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1f487ea18347c8" /></Relationships>
</file>

<file path=xl/workbook.xml><?xml version="1.0" encoding="utf-8"?>
<x:workbook xmlns:x="http://schemas.openxmlformats.org/spreadsheetml/2006/main">
  <x:sheets>
    <x:sheet xmlns:r="http://schemas.openxmlformats.org/officeDocument/2006/relationships" name="产品决策概览" sheetId="1" r:id="R03b858e0d6df4417"/>
    <x:sheet xmlns:r="http://schemas.openxmlformats.org/officeDocument/2006/relationships" name="功能测试用例" sheetId="2" r:id="Rcc222e1937e84a06"/>
    <x:sheet xmlns:r="http://schemas.openxmlformats.org/officeDocument/2006/relationships" name="需求待确认" sheetId="3" r:id="Rfff5a895cb244638"/>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sz val="10"/>
      <x:color rgb="FF1F2937"/>
      <x:name val="Microsoft YaHei"/>
    </x:font>
    <x:font>
      <x:b/>
      <x:sz val="11"/>
      <x:color rgb="FFFFFFFF"/>
      <x:name val="Microsoft YaHei"/>
    </x:font>
    <x:font>
      <x:b/>
      <x:sz val="18"/>
      <x:color rgb="FFFFFFFF"/>
      <x:name val="Microsoft YaHei"/>
    </x:font>
    <x:font>
      <x:sz val="10"/>
      <x:color rgb="FF334155"/>
      <x:name val="Microsoft YaHei"/>
    </x:font>
    <x:font>
      <x:b/>
      <x:sz val="10"/>
      <x:color rgb="FF1F3A52"/>
      <x:name val="Microsoft YaHei"/>
    </x:font>
    <x:font>
      <x:b/>
      <x:sz val="18"/>
      <x:color rgb="FF1F4E78"/>
      <x:name val="Microsoft YaHei"/>
    </x:font>
    <x:font>
      <x:b/>
      <x:sz val="10"/>
      <x:color rgb="FFFFFFFF"/>
      <x:name val="Microsoft YaHei"/>
    </x:font>
    <x:font>
      <x:b/>
      <x:sz val="11"/>
      <x:color rgb="FF1F4E78"/>
      <x:name val="Microsoft YaHei"/>
    </x:font>
    <x:font>
      <x:sz val="10"/>
      <x:color rgb="FF475569"/>
      <x:name val="Microsoft YaHei"/>
    </x:font>
    <x:font>
      <x:b/>
      <x:sz val="10"/>
      <x:color rgb="FF172033"/>
      <x:name val="Microsoft YaHei"/>
    </x:font>
    <x:font>
      <x:b/>
      <x:sz val="10"/>
      <x:color rgb="FF6B4F00"/>
      <x:name val="Microsoft YaHei"/>
    </x:font>
  </x:fonts>
  <x:fills count="9">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DEBF7"/>
      </x:patternFill>
    </x:fill>
    <x:fill>
      <x:patternFill patternType="solid">
        <x:fgColor rgb="FFFFFFFF"/>
      </x:patternFill>
    </x:fill>
    <x:fill>
      <x:patternFill patternType="solid">
        <x:fgColor rgb="FFF8FAFC"/>
      </x:patternFill>
    </x:fill>
    <x:fill>
      <x:patternFill patternType="solid">
        <x:fgColor rgb="FFEAF4EA"/>
      </x:patternFill>
    </x:fill>
    <x:fill>
      <x:patternFill patternType="solid">
        <x:fgColor rgb="FFFFF4CC"/>
      </x:patternFill>
    </x:fill>
  </x:fills>
  <x:borders count="7">
    <x:border/>
    <x:border>
      <x:left style="thin">
        <x:color rgb="FFD6DEE8"/>
      </x:left>
      <x:right style="thin">
        <x:color rgb="FFD6DEE8"/>
      </x:right>
      <x:top style="thin">
        <x:color rgb="FFD6DEE8"/>
      </x:top>
      <x:bottom style="thin">
        <x:color rgb="FFD6DEE8"/>
      </x:bottom>
    </x:border>
    <x:border>
      <x:left style="thin">
        <x:color rgb="FF163A5A"/>
      </x:left>
      <x:right style="thin">
        <x:color rgb="FF163A5A"/>
      </x:right>
      <x:top style="thin">
        <x:color rgb="FF163A5A"/>
      </x:top>
      <x:bottom style="thin">
        <x:color rgb="FF163A5A"/>
      </x:bottom>
    </x:border>
    <x:border>
      <x:left style="thin">
        <x:color rgb="FFB8C7D5"/>
      </x:left>
      <x:right style="thin">
        <x:color rgb="FFB8C7D5"/>
      </x:right>
      <x:top style="thin">
        <x:color rgb="FFB8C7D5"/>
      </x:top>
      <x:bottom style="thin">
        <x:color rgb="FFB8C7D5"/>
      </x:bottom>
    </x:border>
    <x:border>
      <x:left style="thin">
        <x:color rgb="FFD6B656"/>
      </x:left>
      <x:right style="thin">
        <x:color rgb="FFD6B656"/>
      </x:right>
      <x:top style="thin">
        <x:color rgb="FFD6B656"/>
      </x:top>
      <x:bottom style="thin">
        <x:color rgb="FFD6B656"/>
      </x:bottom>
    </x:border>
    <x:border>
      <x:left style="thin">
        <x:color rgb="FFD6DEE8"/>
      </x:left>
      <x:right style="thin">
        <x:color rgb="FFD6DEE8"/>
      </x:right>
      <x:top style="medium">
        <x:color rgb="FF6B879F"/>
      </x:top>
      <x:bottom style="thin">
        <x:color rgb="FFD6DEE8"/>
      </x:bottom>
    </x:border>
    <x:border>
      <x:left style="thin">
        <x:color rgb="FFD6B656"/>
      </x:left>
      <x:right style="thin">
        <x:color rgb="FFD6B656"/>
      </x:right>
      <x:top style="medium">
        <x:color rgb="FF6B879F"/>
      </x:top>
      <x:bottom style="thin">
        <x:color rgb="FFD6DEE8"/>
      </x:bottom>
    </x:border>
  </x:borders>
  <x:cellStyleXfs count="1">
    <x:xf numFmtId="0" fontId="0" fillId="0" borderId="0"/>
  </x:cellStyleXfs>
  <x:cellXfs count="52">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horizontal="center"/>
    </x:xf>
    <x:xf numFmtId="0" fontId="5" fillId="4" borderId="3"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3" xfId="0" applyNumberFormat="1" applyFont="1" applyFill="1" applyBorder="1"/>
    <x:xf numFmtId="0" fontId="6" fillId="5" borderId="3" xfId="0" applyNumberFormat="1" applyFont="1" applyFill="1" applyBorder="1" applyAlignment="1">
      <x:alignment horizontal="center"/>
    </x:xf>
    <x:xf numFmtId="0" fontId="6" fillId="5" borderId="3" xfId="0" applyNumberFormat="1" applyFont="1" applyFill="1" applyBorder="1" applyAlignment="1">
      <x:alignment horizontal="center" vertical="center"/>
    </x:xf>
    <x:xf numFmtId="0" fontId="7" fillId="2" borderId="0" xfId="0" applyNumberFormat="1" applyFont="1" applyFill="1" applyBorder="1"/>
    <x:xf numFmtId="0" fontId="7" fillId="2" borderId="2" xfId="0" applyNumberFormat="1" applyFont="1" applyFill="1" applyBorder="1"/>
    <x:xf numFmtId="0" fontId="7" fillId="2" borderId="2" xfId="0" applyNumberFormat="1" applyFont="1" applyFill="1" applyBorder="1" applyAlignment="1">
      <x:alignment horizontal="center"/>
    </x:xf>
    <x:xf numFmtId="0" fontId="7" fillId="2" borderId="2" xfId="0" applyNumberFormat="1" applyFont="1" applyFill="1" applyBorder="1" applyAlignment="1">
      <x:alignment horizontal="center" vertical="center"/>
    </x:xf>
    <x:xf numFmtId="0" fontId="1" fillId="0" borderId="1" xfId="0" applyNumberFormat="1" applyFont="1" applyFill="1" applyBorder="1" applyAlignment="1">
      <x:alignment horizontal="left" vertical="center" wrapText="1"/>
    </x:xf>
    <x:xf numFmtId="0" fontId="8" fillId="0" borderId="1" xfId="0" applyNumberFormat="1" applyFont="1" applyFill="1" applyBorder="1" applyAlignment="1">
      <x:alignment horizontal="center" vertical="center" wrapText="1"/>
    </x:xf>
    <x:xf numFmtId="0" fontId="0" fillId="6" borderId="0" xfId="0" applyNumberFormat="1" applyFont="1" applyFill="1" applyBorder="1"/>
    <x:xf numFmtId="0" fontId="9" fillId="6" borderId="0" xfId="0" applyNumberFormat="1" applyFont="1" applyFill="1" applyBorder="1"/>
    <x:xf numFmtId="0" fontId="9" fillId="6" borderId="1" xfId="0" applyNumberFormat="1" applyFont="1" applyFill="1" applyBorder="1"/>
    <x:xf numFmtId="0" fontId="9" fillId="6" borderId="1" xfId="0" applyNumberFormat="1" applyFont="1" applyFill="1" applyBorder="1" applyAlignment="1">
      <x:alignment wrapText="1"/>
    </x:xf>
    <x:xf numFmtId="0" fontId="9" fillId="6" borderId="1" xfId="0" applyNumberFormat="1" applyFont="1" applyFill="1" applyBorder="1" applyAlignment="1">
      <x:alignment horizontal="left" wrapText="1"/>
    </x:xf>
    <x:xf numFmtId="0" fontId="9" fillId="6" borderId="1" xfId="0" applyNumberFormat="1" applyFont="1" applyFill="1" applyBorder="1" applyAlignment="1">
      <x:alignment horizontal="left" vertical="center" wrapText="1"/>
    </x:xf>
    <x:xf numFmtId="0" fontId="10" fillId="0" borderId="1" xfId="0" applyNumberFormat="1" applyFont="1" applyFill="1" applyBorder="1" applyAlignment="1">
      <x:alignment horizontal="center" vertical="center" wrapText="1"/>
    </x:xf>
    <x:xf numFmtId="0" fontId="1" fillId="7" borderId="1" xfId="0" applyNumberFormat="1" applyFont="1" applyFill="1" applyBorder="1" applyAlignment="1">
      <x:alignment horizontal="center" vertical="center" wrapText="1"/>
    </x:xf>
    <x:xf numFmtId="0" fontId="1" fillId="8" borderId="1" xfId="0" applyNumberFormat="1" applyFont="1" applyFill="1" applyBorder="1" applyAlignment="1">
      <x:alignment horizontal="center" vertical="center" wrapText="1"/>
    </x:xf>
    <x:xf numFmtId="0" fontId="11" fillId="8" borderId="1" xfId="0" applyNumberFormat="1" applyFont="1" applyFill="1" applyBorder="1" applyAlignment="1">
      <x:alignment horizontal="center" vertical="center" wrapText="1"/>
    </x:xf>
    <x:xf numFmtId="0" fontId="11" fillId="8" borderId="4" xfId="0" applyNumberFormat="1" applyFont="1" applyFill="1" applyBorder="1" applyAlignment="1">
      <x:alignment horizontal="center" vertical="center" wrapText="1"/>
    </x:xf>
    <x:xf numFmtId="0" fontId="11" fillId="8" borderId="4" xfId="0" applyNumberFormat="1" applyFont="1" applyFill="1" applyBorder="1" applyAlignment="1">
      <x:alignment horizontal="left" vertical="center" wrapText="1"/>
    </x:xf>
    <x:xf numFmtId="0" fontId="1" fillId="0" borderId="5" xfId="0" applyNumberFormat="1" applyFont="1" applyFill="1" applyBorder="1" applyAlignment="1">
      <x:alignment horizontal="center" vertical="center" wrapText="1"/>
    </x:xf>
    <x:xf numFmtId="0" fontId="10"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11" fillId="8" borderId="6" xfId="0" applyNumberFormat="1" applyFont="1" applyFill="1" applyBorder="1" applyAlignment="1">
      <x:alignment horizontal="left" vertical="center" wrapText="1"/>
    </x:xf>
    <x:xf numFmtId="0" fontId="1" fillId="4" borderId="5"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cellXfs>
  <x:cellStyles count="1">
    <x:cellStyle name="Normal" xfId="0"/>
  </x:cellStyles>
  <x:dxfs count="5">
    <x:dxf>
      <x:font>
        <x:b/>
        <x:color rgb="FF9B1C1C"/>
      </x:font>
      <x:fill>
        <x:patternFill patternType="solid">
          <x:bgColor rgb="FFFDE8E8"/>
        </x:patternFill>
      </x:fill>
    </x:dxf>
    <x:dxf>
      <x:font>
        <x:b/>
        <x:color rgb="FF8A4B08"/>
      </x:font>
      <x:fill>
        <x:patternFill patternType="solid">
          <x:bgColor rgb="FFFFF4D6"/>
        </x:patternFill>
      </x:fill>
    </x:dxf>
    <x:dxf>
      <x:font>
        <x:b/>
        <x:color rgb="FF9B1C1C"/>
      </x:font>
      <x:fill>
        <x:patternFill patternType="solid">
          <x:bgColor rgb="FFFDE8E8"/>
        </x:patternFill>
      </x:fill>
    </x:dxf>
    <x:dxf>
      <x:font>
        <x:b/>
        <x:color rgb="FF8A4B08"/>
      </x:font>
      <x:fill>
        <x:patternFill patternType="solid">
          <x:bgColor rgb="FFFFF4D6"/>
        </x:patternFill>
      </x:fill>
    </x:dxf>
    <x:dxf>
      <x:font>
        <x:b/>
        <x:color rgb="FF166534"/>
      </x:font>
      <x:fill>
        <x:patternFill patternType="solid">
          <x:bgColor rgb="FFE7F5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7d6a62b534485b" /><Relationship Type="http://schemas.openxmlformats.org/officeDocument/2006/relationships/theme" Target="/xl/theme/theme1.xml" Id="Re16c404edbcc4af6" /><Relationship Type="http://schemas.openxmlformats.org/officeDocument/2006/relationships/sharedStrings" Target="/xl/sharedStrings.xml" Id="R2061153ffd424e49" /><Relationship Type="http://schemas.openxmlformats.org/officeDocument/2006/relationships/worksheet" Target="/xl/worksheets/sheet1.xml" Id="R03b858e0d6df4417" /><Relationship Type="http://schemas.openxmlformats.org/officeDocument/2006/relationships/worksheet" Target="/xl/worksheets/sheet2.xml" Id="Rcc222e1937e84a06" /><Relationship Type="http://schemas.openxmlformats.org/officeDocument/2006/relationships/worksheet" Target="/xl/worksheets/sheet3.xml" Id="Rfff5a895cb244638" /></Relationships>
</file>

<file path=xl/tables/table1.xml><?xml version="1.0" encoding="utf-8"?>
<x:table xmlns:x="http://schemas.openxmlformats.org/spreadsheetml/2006/main" id="1" name="UserAppAllTestCases" displayName="UserAppAllTestCases" ref="A1:O597" headerRowCount="1" totalsRowCount="0" totalsRowShown="0">
  <x:autoFilter ref="A1:O597"/>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UserAppAllPending" displayName="UserAppAllPending" ref="A1:T91" headerRowCount="1" totalsRowCount="0" totalsRowShown="0">
  <x:autoFilter ref="A1:T91"/>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92e78bc6a444ae" /></Relationships>
</file>

<file path=xl/worksheets/_rels/sheet3.xml.rels>&#65279;<?xml version="1.0" encoding="utf-8"?><Relationships xmlns="http://schemas.openxmlformats.org/package/2006/relationships"><Relationship Type="http://schemas.openxmlformats.org/officeDocument/2006/relationships/table" Target="/xl/tables/table2.xml" Id="Ra1e045fee1014af5"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0" hidden="0" customWidth="1"/>
    <x:col min="3" max="3" width="20" hidden="0" customWidth="1"/>
    <x:col min="4" max="4" width="10" hidden="0" customWidth="1"/>
    <x:col min="5" max="5" width="20" hidden="0" customWidth="1"/>
    <x:col min="6" max="6" width="10" hidden="0" customWidth="1"/>
    <x:col min="7" max="7" width="20" hidden="0" customWidth="1"/>
    <x:col min="8" max="8" width="10" hidden="0" customWidth="1"/>
    <x:col min="9" max="9" width="22" hidden="0" customWidth="1"/>
    <x:col min="10" max="10" width="11" hidden="0" customWidth="1"/>
    <x:col min="11" max="11" width="22" hidden="0" customWidth="1"/>
    <x:col min="12" max="12" width="11" hidden="0" customWidth="1"/>
  </x:cols>
  <x:sheetData>
    <x:row r="1" ht="39" customHeight="1">
      <x:c r="A1" s="12" t="str">
        <x:v>用户 App 全部模块 · 产品决策概览</x:v>
      </x:c>
      <x:c r="B1" s="12"/>
      <x:c r="C1" s="12"/>
      <x:c r="D1" s="12"/>
      <x:c r="E1" s="12"/>
      <x:c r="F1" s="12"/>
      <x:c r="G1" s="12"/>
      <x:c r="H1" s="12"/>
      <x:c r="I1" s="12"/>
      <x:c r="J1" s="12"/>
      <x:c r="K1" s="12"/>
      <x:c r="L1" s="12"/>
    </x:row>
    <x:row r="2" ht="25.5" customHeight="1">
      <x:c r="A2" s="16" t="str">
        <x:v>覆盖 65 个用户/主播 App 页面；正式用例和需求待确认均已按当前全局证据生成。</x:v>
      </x:c>
      <x:c r="B2" s="16"/>
      <x:c r="C2" s="16"/>
      <x:c r="D2" s="16"/>
      <x:c r="E2" s="16"/>
      <x:c r="F2" s="16"/>
      <x:c r="G2" s="16"/>
      <x:c r="H2" s="16"/>
      <x:c r="I2" s="16"/>
      <x:c r="J2" s="16"/>
      <x:c r="K2" s="16"/>
      <x:c r="L2" s="16"/>
    </x:row>
    <x:row r="4" ht="22.5" customHeight="1">
      <x:c r="A4" s="21" t="str">
        <x:v>问题总数</x:v>
      </x:c>
      <x:c r="B4" s="21"/>
      <x:c r="C4" s="21" t="str">
        <x:v>当前可回答</x:v>
      </x:c>
      <x:c r="D4" s="21"/>
      <x:c r="E4" s="21" t="str">
        <x:v>待前置结论</x:v>
      </x:c>
      <x:c r="F4" s="21"/>
      <x:c r="G4" s="21" t="str">
        <x:v>确认中</x:v>
      </x:c>
      <x:c r="H4" s="21"/>
      <x:c r="I4" s="21" t="str">
        <x:v>已确认</x:v>
      </x:c>
      <x:c r="J4" s="21"/>
      <x:c r="K4" s="21" t="str">
        <x:v>无需处理</x:v>
      </x:c>
      <x:c r="L4" s="21"/>
    </x:row>
    <x:row r="5" ht="31.5" customHeight="1">
      <x:c r="A5" s="26" t="n">
        <x:f>COUNTA('需求待确认'!$A$2:$A$91)</x:f>
        <x:v>90</x:v>
      </x:c>
      <x:c r="B5" s="26"/>
      <x:c r="C5" s="26" t="n">
        <x:f>COUNTIF('需求待确认'!$T$2:$T$91,"待确认")</x:f>
        <x:v>79</x:v>
      </x:c>
      <x:c r="D5" s="26"/>
      <x:c r="E5" s="26" t="n">
        <x:f>COUNTIF('需求待确认'!$T$2:$T$91,"待前置结论")</x:f>
        <x:v>10</x:v>
      </x:c>
      <x:c r="F5" s="26"/>
      <x:c r="G5" s="26" t="n">
        <x:f>COUNTIF('需求待确认'!$T$2:$T$91,"确认中")</x:f>
        <x:v>0</x:v>
      </x:c>
      <x:c r="H5" s="26"/>
      <x:c r="I5" s="26" t="n">
        <x:f>COUNTIF('需求待确认'!$T$2:$T$91,"已确认")</x:f>
        <x:v>1</x:v>
      </x:c>
      <x:c r="J5" s="26"/>
      <x:c r="K5" s="26" t="n">
        <x:f>COUNTIF('需求待确认'!$T$2:$T$91,"无需处理")</x:f>
        <x:v>0</x:v>
      </x:c>
      <x:c r="L5" s="26"/>
    </x:row>
    <x:row r="7" ht="24" customHeight="1">
      <x:c r="A7" s="30" t="str">
        <x:v>按状态</x:v>
      </x:c>
      <x:c r="B7" s="30" t="str">
        <x:v>数量</x:v>
      </x:c>
      <x:c r="C7" s="30" t="str">
        <x:v>按阻塞等级</x:v>
      </x:c>
      <x:c r="D7" s="30" t="str">
        <x:v>待确认</x:v>
      </x:c>
      <x:c r="E7" s="30" t="str">
        <x:v>按负责人</x:v>
      </x:c>
      <x:c r="F7" s="30" t="str">
        <x:v>待确认</x:v>
      </x:c>
      <x:c r="G7" s="30" t="str">
        <x:v>用例概览</x:v>
      </x:c>
      <x:c r="H7" s="30" t="str">
        <x:v>数量</x:v>
      </x:c>
      <x:c r="I7" s="30" t="str">
        <x:v>模块</x:v>
      </x:c>
      <x:c r="J7" s="30" t="str">
        <x:v>用例数</x:v>
      </x:c>
      <x:c r="K7" s="30" t="str">
        <x:v>页面覆盖</x:v>
      </x:c>
      <x:c r="L7" s="30" t="str">
        <x:v>数量</x:v>
      </x:c>
    </x:row>
    <x:row r="8" ht="23.25" customHeight="1">
      <x:c r="A8" s="31" t="str">
        <x:v>待前置结论</x:v>
      </x:c>
      <x:c r="B8" s="32" t="n">
        <x:f>COUNTIF('需求待确认'!$T$2:$T$91,"待前置结论")</x:f>
        <x:v>10</x:v>
      </x:c>
      <x:c r="C8" s="31" t="str">
        <x:v>阻塞测试</x:v>
      </x:c>
      <x:c r="D8" s="32" t="n">
        <x:f>COUNTIFS('需求待确认'!$E$2:$E$91,"阻塞测试",'需求待确认'!$T$2:$T$91,"待确认")</x:f>
        <x:v>22</x:v>
      </x:c>
      <x:c r="E8" s="31" t="str">
        <x:v>产品</x:v>
      </x:c>
      <x:c r="F8" s="32" t="n">
        <x:f>COUNTIFS('需求待确认'!$R$2:$R$91,"产品",'需求待确认'!$T$2:$T$91,"待确认")</x:f>
        <x:v>46</x:v>
      </x:c>
      <x:c r="G8" s="31" t="str">
        <x:v>正式用例</x:v>
      </x:c>
      <x:c r="H8" s="32" t="n">
        <x:v>596</x:v>
      </x:c>
      <x:c r="I8" s="31" t="str">
        <x:v>系统入口</x:v>
      </x:c>
      <x:c r="J8" s="32" t="n">
        <x:v>20</x:v>
      </x:c>
      <x:c r="K8" s="31" t="str">
        <x:v>用户端页面</x:v>
      </x:c>
      <x:c r="L8" s="32" t="n">
        <x:v>65</x:v>
      </x:c>
    </x:row>
    <x:row r="9" ht="23.25" customHeight="1">
      <x:c r="A9" s="31" t="str">
        <x:v>待确认</x:v>
      </x:c>
      <x:c r="B9" s="32" t="n">
        <x:f>COUNTIF('需求待确认'!$T$2:$T$91,"待确认")</x:f>
        <x:v>79</x:v>
      </x:c>
      <x:c r="C9" s="31" t="str">
        <x:v>部分阻塞</x:v>
      </x:c>
      <x:c r="D9" s="32" t="n">
        <x:f>COUNTIFS('需求待确认'!$E$2:$E$91,"部分阻塞",'需求待确认'!$T$2:$T$91,"待确认")</x:f>
        <x:v>52</x:v>
      </x:c>
      <x:c r="E9" s="31" t="str">
        <x:v>交互</x:v>
      </x:c>
      <x:c r="F9" s="32" t="n">
        <x:f>COUNTIFS('需求待确认'!$R$2:$R$91,"交互",'需求待确认'!$T$2:$T$91,"待确认")</x:f>
        <x:v>1</x:v>
      </x:c>
      <x:c r="G9" s="31" t="str">
        <x:v>P0</x:v>
      </x:c>
      <x:c r="H9" s="32" t="n">
        <x:v>23</x:v>
      </x:c>
      <x:c r="I9" s="31" t="str">
        <x:v>首页与福利</x:v>
      </x:c>
      <x:c r="J9" s="32" t="n">
        <x:v>33</x:v>
      </x:c>
      <x:c r="K9" s="31" t="str">
        <x:v>正式用例覆盖</x:v>
      </x:c>
      <x:c r="L9" s="32" t="n">
        <x:v>64</x:v>
      </x:c>
    </x:row>
    <x:row r="10" ht="23.25" customHeight="1">
      <x:c r="A10" s="31" t="str">
        <x:v>确认中</x:v>
      </x:c>
      <x:c r="B10" s="32" t="n">
        <x:f>COUNTIF('需求待确认'!$T$2:$T$91,"确认中")</x:f>
        <x:v>0</x:v>
      </x:c>
      <x:c r="C10" s="31" t="str">
        <x:v>不阻塞</x:v>
      </x:c>
      <x:c r="D10" s="32" t="n">
        <x:f>COUNTIFS('需求待确认'!$E$2:$E$91,"不阻塞",'需求待确认'!$T$2:$T$91,"待确认")</x:f>
        <x:v>5</x:v>
      </x:c>
      <x:c r="E10" s="31" t="str">
        <x:v>技术</x:v>
      </x:c>
      <x:c r="F10" s="32" t="n">
        <x:f>COUNTIFS('需求待确认'!$R$2:$R$91,"技术",'需求待确认'!$T$2:$T$91,"待确认")</x:f>
        <x:v>1</x:v>
      </x:c>
      <x:c r="G10" s="31" t="str">
        <x:v>P1</x:v>
      </x:c>
      <x:c r="H10" s="32" t="n">
        <x:v>333</x:v>
      </x:c>
      <x:c r="I10" s="31" t="str">
        <x:v>直播</x:v>
      </x:c>
      <x:c r="J10" s="32" t="n">
        <x:v>360</x:v>
      </x:c>
      <x:c r="K10" s="31" t="str">
        <x:v>待确认承接</x:v>
      </x:c>
      <x:c r="L10" s="32" t="n">
        <x:v>1</x:v>
      </x:c>
    </x:row>
    <x:row r="11" ht="23.25" customHeight="1">
      <x:c r="A11" s="31" t="str">
        <x:v>已确认</x:v>
      </x:c>
      <x:c r="B11" s="32" t="n">
        <x:f>COUNTIF('需求待确认'!$T$2:$T$91,"已确认")</x:f>
        <x:v>1</x:v>
      </x:c>
      <x:c r="C11" s="5"/>
      <x:c r="D11" s="5"/>
      <x:c r="E11" s="31" t="str">
        <x:v>多方确认</x:v>
      </x:c>
      <x:c r="F11" s="32" t="n">
        <x:f>COUNTIFS('需求待确认'!$R$2:$R$91,"多方确认",'需求待确认'!$T$2:$T$91,"待确认")</x:f>
        <x:v>31</x:v>
      </x:c>
      <x:c r="G11" s="31" t="str">
        <x:v>跨模块流程</x:v>
      </x:c>
      <x:c r="H11" s="32" t="n">
        <x:v>30</x:v>
      </x:c>
      <x:c r="I11" s="31" t="str">
        <x:v>消息与社交</x:v>
      </x:c>
      <x:c r="J11" s="32" t="n">
        <x:v>50</x:v>
      </x:c>
      <x:c r="K11" s="31" t="str">
        <x:v>未承接页面</x:v>
      </x:c>
      <x:c r="L11" s="32" t="n">
        <x:v>0</x:v>
      </x:c>
    </x:row>
    <x:row r="12" ht="23.25" customHeight="1">
      <x:c r="A12" s="31" t="str">
        <x:v>无需处理</x:v>
      </x:c>
      <x:c r="B12" s="32" t="n">
        <x:f>COUNTIF('需求待确认'!$T$2:$T$91,"无需处理")</x:f>
        <x:v>0</x:v>
      </x:c>
      <x:c r="C12" s="5"/>
      <x:c r="D12" s="5"/>
      <x:c r="E12" s="5"/>
      <x:c r="F12" s="5"/>
      <x:c r="G12" s="5"/>
      <x:c r="H12" s="5"/>
      <x:c r="I12" s="31" t="str">
        <x:v>我的与粉丝团</x:v>
      </x:c>
      <x:c r="J12" s="32" t="n">
        <x:v>42</x:v>
      </x:c>
      <x:c r="K12" s="5"/>
      <x:c r="L12" s="5"/>
    </x:row>
    <x:row r="13" ht="23.25" customHeight="1">
      <x:c r="A13" s="5"/>
      <x:c r="B13" s="5"/>
      <x:c r="C13" s="5"/>
      <x:c r="D13" s="5"/>
      <x:c r="E13" s="5"/>
      <x:c r="F13" s="5"/>
      <x:c r="G13" s="5"/>
      <x:c r="H13" s="5"/>
      <x:c r="I13" s="31" t="str">
        <x:v>公会关系</x:v>
      </x:c>
      <x:c r="J13" s="32" t="n">
        <x:v>24</x:v>
      </x:c>
      <x:c r="K13" s="5"/>
      <x:c r="L13" s="5"/>
    </x:row>
    <x:row r="14" ht="23.25" customHeight="1">
      <x:c r="A14" s="5"/>
      <x:c r="B14" s="5"/>
      <x:c r="C14" s="5"/>
      <x:c r="D14" s="5"/>
      <x:c r="E14" s="5"/>
      <x:c r="F14" s="5"/>
      <x:c r="G14" s="5"/>
      <x:c r="H14" s="5"/>
      <x:c r="I14" s="31" t="str">
        <x:v>主播中心</x:v>
      </x:c>
      <x:c r="J14" s="32" t="n">
        <x:v>45</x:v>
      </x:c>
      <x:c r="K14" s="5"/>
      <x:c r="L14" s="5"/>
    </x:row>
    <x:row r="15" ht="23.25" customHeight="1">
      <x:c r="A15" s="5"/>
      <x:c r="B15" s="5"/>
      <x:c r="C15" s="5"/>
      <x:c r="D15" s="5"/>
      <x:c r="E15" s="5"/>
      <x:c r="F15" s="5"/>
      <x:c r="G15" s="5"/>
      <x:c r="H15" s="5"/>
      <x:c r="I15" s="31" t="str">
        <x:v>钱包与账单</x:v>
      </x:c>
      <x:c r="J15" s="32" t="n">
        <x:v>22</x:v>
      </x:c>
      <x:c r="K15" s="5"/>
      <x:c r="L15" s="5"/>
    </x:row>
    <x:row r="17" ht="25.5" customHeight="1">
      <x:c r="A17" s="38" t="str">
        <x:v>处理顺序：先确认阻塞测试根问题，再处理其子问题和部分阻塞问题；正式用例可先执行不依赖待确认结论的范围。</x:v>
      </x:c>
      <x:c r="B17" s="38"/>
      <x:c r="C17" s="38"/>
      <x:c r="D17" s="38"/>
      <x:c r="E17" s="38"/>
      <x:c r="F17" s="38"/>
      <x:c r="G17" s="38"/>
      <x:c r="H17" s="38"/>
      <x:c r="I17" s="38"/>
      <x:c r="J17" s="38"/>
      <x:c r="K17" s="38"/>
      <x:c r="L17" s="38"/>
    </x:row>
  </x:sheetData>
  <x:mergeCells>
    <x:mergeCell ref="A1:L1"/>
    <x:mergeCell ref="A2:L2"/>
    <x:mergeCell ref="A4:B4"/>
    <x:mergeCell ref="A5:B5"/>
    <x:mergeCell ref="C4:D4"/>
    <x:mergeCell ref="C5:D5"/>
    <x:mergeCell ref="E4:F4"/>
    <x:mergeCell ref="E5:F5"/>
    <x:mergeCell ref="G4:H4"/>
    <x:mergeCell ref="G5:H5"/>
    <x:mergeCell ref="I4:J4"/>
    <x:mergeCell ref="I5:J5"/>
    <x:mergeCell ref="K4:L4"/>
    <x:mergeCell ref="K5:L5"/>
    <x:mergeCell ref="A17:L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20" hidden="0" customWidth="1"/>
    <x:col min="4" max="4" width="27" hidden="0" customWidth="1"/>
    <x:col min="5" max="5" width="13" hidden="0" customWidth="1"/>
    <x:col min="6" max="6" width="9" hidden="0" customWidth="1"/>
    <x:col min="7" max="7" width="36" hidden="0" customWidth="1"/>
    <x:col min="8" max="8" width="28" hidden="0" customWidth="1"/>
    <x:col min="9" max="9" width="46" hidden="0" customWidth="1"/>
    <x:col min="10" max="10" width="46" hidden="0" customWidth="1"/>
    <x:col min="11" max="11" width="54" hidden="0" customWidth="1"/>
    <x:col min="12" max="12" width="19" hidden="0" customWidth="1"/>
    <x:col min="13" max="13" width="12" hidden="0" customWidth="1"/>
    <x:col min="14" max="14" width="14" hidden="0" customWidth="1"/>
    <x:col min="15" max="15" width="54"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流程编号</x:v>
      </x:c>
      <x:c r="M1" s="8" t="str">
        <x:v>测试结果</x:v>
      </x:c>
      <x:c r="N1" s="8" t="str">
        <x:v>测试人员</x:v>
      </x:c>
      <x:c r="O1" s="8" t="str">
        <x:v>备注</x:v>
      </x:c>
    </x:row>
    <x:row r="2" ht="79.5" customHeight="1">
      <x:c r="A2" s="5" t="n">
        <x:v>1</x:v>
      </x:c>
      <x:c r="B2" s="5" t="str">
        <x:v>AUTH-001</x:v>
      </x:c>
      <x:c r="C2" s="5" t="str">
        <x:v>用户App-系统入口</x:v>
      </x:c>
      <x:c r="D2" s="5" t="str">
        <x:v>登录与注册</x:v>
      </x:c>
      <x:c r="E2" s="5" t="str">
        <x:v>功能需求</x:v>
      </x:c>
      <x:c r="F2" s="5" t="str">
        <x:v>P2</x:v>
      </x:c>
      <x:c r="G2" s="5" t="str">
        <x:v>验证登录与注册核心业务信息</x:v>
      </x:c>
      <x:c r="H2" s="5" t="str">
        <x:v>登录与注册核心信息</x:v>
      </x:c>
      <x:c r="I2" s="5" t="str">
        <x:v>1. 用户当前未登录
2. 已进入“登录与注册”页面</x:v>
      </x:c>
      <x:c r="J2" s="5" t="str">
        <x:v>1. 查看页面主要业务区域</x:v>
      </x:c>
      <x:c r="K2" s="5" t="str">
        <x:v>页面展示Google、手机号及第三方登录入口</x:v>
      </x:c>
      <x:c r="L2" s="5" t="str"/>
      <x:c r="M2" s="5" t="str">
        <x:v>未测</x:v>
      </x:c>
      <x:c r="N2" s="5" t="str"/>
      <x:c r="O2" s="5" t="str">
        <x:v>1. 来源：context/01-用户主播App-项目需求清单.md
2. 来源：prototype/pages/user/auth/auth-login-register.html
3. 静态分析：依据当前原型、批注和需求文件生成，未进行真实接口或设备动态验证
4. 全局证据追溯：work/liveshow-user-app-all-260901-001/global-evidence-scan-result.json</x:v>
      </x:c>
    </x:row>
    <x:row r="3" ht="67.5" customHeight="1">
      <x:c r="A3" s="5" t="n">
        <x:v>2</x:v>
      </x:c>
      <x:c r="B3" s="5" t="str">
        <x:v>AUTH-002</x:v>
      </x:c>
      <x:c r="C3" s="5" t="str">
        <x:v>用户App-系统入口</x:v>
      </x:c>
      <x:c r="D3" s="5" t="str">
        <x:v>手机号登录</x:v>
      </x:c>
      <x:c r="E3" s="5" t="str">
        <x:v>功能需求</x:v>
      </x:c>
      <x:c r="F3" s="5" t="str">
        <x:v>P2</x:v>
      </x:c>
      <x:c r="G3" s="5" t="str">
        <x:v>验证手机号登录核心业务信息</x:v>
      </x:c>
      <x:c r="H3" s="5" t="str">
        <x:v>手机号登录核心信息</x:v>
      </x:c>
      <x:c r="I3" s="5" t="str">
        <x:v>1. 用户当前未登录
2. 已进入“手机号登录”页面</x:v>
      </x:c>
      <x:c r="J3" s="5" t="str">
        <x:v>1. 查看页面主要业务区域</x:v>
      </x:c>
      <x:c r="K3" s="5" t="str">
        <x:v>页面展示短信验证码与密码两种登录方式</x:v>
      </x:c>
      <x:c r="L3" s="5" t="str"/>
      <x:c r="M3" s="5" t="str">
        <x:v>未测</x:v>
      </x:c>
      <x:c r="N3" s="5" t="str"/>
      <x:c r="O3"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4" ht="79.5" customHeight="1">
      <x:c r="A4" s="5" t="n">
        <x:v>3</x:v>
      </x:c>
      <x:c r="B4" s="5" t="str">
        <x:v>AUTH-003</x:v>
      </x:c>
      <x:c r="C4" s="5" t="str">
        <x:v>用户App-系统入口</x:v>
      </x:c>
      <x:c r="D4" s="5" t="str">
        <x:v>资料补全</x:v>
      </x:c>
      <x:c r="E4" s="5" t="str">
        <x:v>功能需求</x:v>
      </x:c>
      <x:c r="F4" s="5" t="str">
        <x:v>P2</x:v>
      </x:c>
      <x:c r="G4" s="5" t="str">
        <x:v>验证资料补全核心业务信息</x:v>
      </x:c>
      <x:c r="H4" s="5" t="str">
        <x:v>资料补全核心信息</x:v>
      </x:c>
      <x:c r="I4" s="5" t="str">
        <x:v>1. 用户当前未登录
2. 已进入“资料补全”页面</x:v>
      </x:c>
      <x:c r="J4" s="5" t="str">
        <x:v>1. 查看页面主要业务区域</x:v>
      </x:c>
      <x:c r="K4" s="5" t="str">
        <x:v>页面展示默认资料、预置头像、昵称与跳过入口</x:v>
      </x:c>
      <x:c r="L4" s="5" t="str"/>
      <x:c r="M4" s="5" t="str">
        <x:v>未测</x:v>
      </x:c>
      <x:c r="N4" s="5" t="str"/>
      <x:c r="O4" s="5" t="str">
        <x:v>1. 来源：context/01-用户主播App-项目需求清单.md
2. 来源：prototype/pages/user/auth/auth-profile-completion.html
3. 静态分析：依据当前原型、批注和需求文件生成，未进行真实接口或设备动态验证
4. 全局证据追溯：work/liveshow-user-app-all-260901-001/global-evidence-scan-result.json</x:v>
      </x:c>
    </x:row>
    <x:row r="5" ht="79.5" customHeight="1">
      <x:c r="A5" s="5" t="n">
        <x:v>4</x:v>
      </x:c>
      <x:c r="B5" s="5" t="str">
        <x:v>AUTH-004</x:v>
      </x:c>
      <x:c r="C5" s="5" t="str">
        <x:v>用户App-系统入口</x:v>
      </x:c>
      <x:c r="D5" s="5" t="str">
        <x:v>登录与注册</x:v>
      </x:c>
      <x:c r="E5" s="5" t="str">
        <x:v>逻辑校验</x:v>
      </x:c>
      <x:c r="F5" s="5" t="str">
        <x:v>P0</x:v>
      </x:c>
      <x:c r="G5" s="5" t="str">
        <x:v>验证首次启动必须同意协议</x:v>
      </x:c>
      <x:c r="H5" s="5" t="str">
        <x:v>首次启动必须同意协议</x:v>
      </x:c>
      <x:c r="I5" s="5" t="str">
        <x:v>1. 用户首次启动 App 且尚未同意协议</x:v>
      </x:c>
      <x:c r="J5" s="5" t="str">
        <x:v>1. 保持协议未勾选
2. 尝试进入 App</x:v>
      </x:c>
      <x:c r="K5" s="5" t="str">
        <x:v>App 不进入登录后的业务页面</x:v>
      </x:c>
      <x:c r="L5" s="5" t="str"/>
      <x:c r="M5" s="5" t="str">
        <x:v>未测</x:v>
      </x:c>
      <x:c r="N5" s="5" t="str"/>
      <x:c r="O5" s="5" t="str">
        <x:v>1. 来源：context/01-用户主播App-项目需求清单.md
2. 来源：prototype/pages/user/auth/auth-login-register.html
3. 静态分析：依据当前原型、批注和需求文件生成，未进行真实接口或设备动态验证
4. 全局证据追溯：work/liveshow-user-app-all-260901-001/global-evidence-scan-result.json</x:v>
      </x:c>
    </x:row>
    <x:row r="6" ht="79.5" customHeight="1">
      <x:c r="A6" s="5" t="n">
        <x:v>5</x:v>
      </x:c>
      <x:c r="B6" s="5" t="str">
        <x:v>AUTH-005</x:v>
      </x:c>
      <x:c r="C6" s="5" t="str">
        <x:v>用户App-系统入口</x:v>
      </x:c>
      <x:c r="D6" s="5" t="str">
        <x:v>登录与注册</x:v>
      </x:c>
      <x:c r="E6" s="5" t="str">
        <x:v>业务流程</x:v>
      </x:c>
      <x:c r="F6" s="5" t="str">
        <x:v>P0</x:v>
      </x:c>
      <x:c r="G6" s="5" t="str">
        <x:v>验证Google 老用户授权登录</x:v>
      </x:c>
      <x:c r="H6" s="5" t="str">
        <x:v>Google 老用户授权登录</x:v>
      </x:c>
      <x:c r="I6" s="5" t="str">
        <x:v>1. 已注册用户已绑定 Google 账号</x:v>
      </x:c>
      <x:c r="J6" s="5" t="str">
        <x:v>1. 点击“Google”登录
2. 完成第三方授权</x:v>
      </x:c>
      <x:c r="K6" s="5" t="str">
        <x:v>页面进入首页</x:v>
      </x:c>
      <x:c r="L6" s="5" t="str"/>
      <x:c r="M6" s="5" t="str">
        <x:v>未测</x:v>
      </x:c>
      <x:c r="N6" s="5" t="str"/>
      <x:c r="O6" s="5" t="str">
        <x:v>1. 来源：context/01-用户主播App-项目需求清单.md
2. 来源：prototype/pages/user/auth/auth-login-register.html
3. 静态分析：依据当前原型、批注和需求文件生成，未进行真实接口或设备动态验证
4. 全局证据追溯：work/liveshow-user-app-all-260901-001/global-evidence-scan-result.json</x:v>
      </x:c>
    </x:row>
    <x:row r="7" ht="79.5" customHeight="1">
      <x:c r="A7" s="5" t="n">
        <x:v>6</x:v>
      </x:c>
      <x:c r="B7" s="5" t="str">
        <x:v>AUTH-006</x:v>
      </x:c>
      <x:c r="C7" s="5" t="str">
        <x:v>用户App-系统入口</x:v>
      </x:c>
      <x:c r="D7" s="5" t="str">
        <x:v>登录与注册</x:v>
      </x:c>
      <x:c r="E7" s="5" t="str">
        <x:v>业务流程</x:v>
      </x:c>
      <x:c r="F7" s="5" t="str">
        <x:v>P0</x:v>
      </x:c>
      <x:c r="G7" s="5" t="str">
        <x:v>验证Facebook 老用户授权登录</x:v>
      </x:c>
      <x:c r="H7" s="5" t="str">
        <x:v>Facebook 老用户授权登录</x:v>
      </x:c>
      <x:c r="I7" s="5" t="str">
        <x:v>1. 已注册用户已绑定 Facebook 账号</x:v>
      </x:c>
      <x:c r="J7" s="5" t="str">
        <x:v>1. 点击“Facebook”登录
2. 完成第三方授权</x:v>
      </x:c>
      <x:c r="K7" s="5" t="str">
        <x:v>页面进入首页</x:v>
      </x:c>
      <x:c r="L7" s="5" t="str"/>
      <x:c r="M7" s="5" t="str">
        <x:v>未测</x:v>
      </x:c>
      <x:c r="N7" s="5" t="str"/>
      <x:c r="O7" s="5" t="str">
        <x:v>1. 来源：context/01-用户主播App-项目需求清单.md
2. 来源：prototype/pages/user/auth/auth-login-register.html
3. 静态分析：依据当前原型、批注和需求文件生成，未进行真实接口或设备动态验证
4. 全局证据追溯：work/liveshow-user-app-all-260901-001/global-evidence-scan-result.json</x:v>
      </x:c>
    </x:row>
    <x:row r="8" ht="79.5" customHeight="1">
      <x:c r="A8" s="5" t="n">
        <x:v>7</x:v>
      </x:c>
      <x:c r="B8" s="5" t="str">
        <x:v>AUTH-007</x:v>
      </x:c>
      <x:c r="C8" s="5" t="str">
        <x:v>用户App-系统入口</x:v>
      </x:c>
      <x:c r="D8" s="5" t="str">
        <x:v>登录与注册</x:v>
      </x:c>
      <x:c r="E8" s="5" t="str">
        <x:v>业务流程</x:v>
      </x:c>
      <x:c r="F8" s="5" t="str">
        <x:v>P0</x:v>
      </x:c>
      <x:c r="G8" s="5" t="str">
        <x:v>验证TikTok 老用户授权登录</x:v>
      </x:c>
      <x:c r="H8" s="5" t="str">
        <x:v>TikTok 老用户授权登录</x:v>
      </x:c>
      <x:c r="I8" s="5" t="str">
        <x:v>1. 已注册用户已绑定 TikTok 账号</x:v>
      </x:c>
      <x:c r="J8" s="5" t="str">
        <x:v>1. 点击“TikTok”登录
2. 完成第三方授权</x:v>
      </x:c>
      <x:c r="K8" s="5" t="str">
        <x:v>页面进入首页</x:v>
      </x:c>
      <x:c r="L8" s="5" t="str"/>
      <x:c r="M8" s="5" t="str">
        <x:v>未测</x:v>
      </x:c>
      <x:c r="N8" s="5" t="str"/>
      <x:c r="O8" s="5" t="str">
        <x:v>1. 来源：context/01-用户主播App-项目需求清单.md
2. 来源：prototype/pages/user/auth/auth-login-register.html
3. 静态分析：依据当前原型、批注和需求文件生成，未进行真实接口或设备动态验证
4. 全局证据追溯：work/liveshow-user-app-all-260901-001/global-evidence-scan-result.json</x:v>
      </x:c>
    </x:row>
    <x:row r="9" ht="79.5" customHeight="1">
      <x:c r="A9" s="5" t="n">
        <x:v>8</x:v>
      </x:c>
      <x:c r="B9" s="5" t="str">
        <x:v>AUTH-008</x:v>
      </x:c>
      <x:c r="C9" s="5" t="str">
        <x:v>用户App-系统入口</x:v>
      </x:c>
      <x:c r="D9" s="5" t="str">
        <x:v>登录与注册</x:v>
      </x:c>
      <x:c r="E9" s="5" t="str">
        <x:v>逻辑校验</x:v>
      </x:c>
      <x:c r="F9" s="5" t="str">
        <x:v>P2</x:v>
      </x:c>
      <x:c r="G9" s="5" t="str">
        <x:v>验证Apple ID 仅在 iOS 展示</x:v>
      </x:c>
      <x:c r="H9" s="5" t="str">
        <x:v>Apple ID 仅在 iOS 展示</x:v>
      </x:c>
      <x:c r="I9" s="5" t="str">
        <x:v>1. 分别准备 iOS 与 Android 设备</x:v>
      </x:c>
      <x:c r="J9" s="5" t="str">
        <x:v>1. 在两种设备进入登录与注册页
2. 查看第三方登录入口</x:v>
      </x:c>
      <x:c r="K9" s="5" t="str">
        <x:v>Apple ID 登录入口仅在 iOS 设备展示</x:v>
      </x:c>
      <x:c r="L9" s="5" t="str"/>
      <x:c r="M9" s="5" t="str">
        <x:v>未测</x:v>
      </x:c>
      <x:c r="N9" s="5" t="str"/>
      <x:c r="O9" s="5" t="str">
        <x:v>1. 来源：context/01-用户主播App-项目需求清单.md
2. 来源：prototype/pages/user/auth/auth-login-register.html
3. 静态分析：依据当前原型、批注和需求文件生成，未进行真实接口或设备动态验证
4. 全局证据追溯：work/liveshow-user-app-all-260901-001/global-evidence-scan-result.json</x:v>
      </x:c>
    </x:row>
    <x:row r="10" ht="79.5" customHeight="1">
      <x:c r="A10" s="5" t="n">
        <x:v>9</x:v>
      </x:c>
      <x:c r="B10" s="5" t="str">
        <x:v>AUTH-009</x:v>
      </x:c>
      <x:c r="C10" s="5" t="str">
        <x:v>用户App-系统入口</x:v>
      </x:c>
      <x:c r="D10" s="5" t="str">
        <x:v>登录与注册</x:v>
      </x:c>
      <x:c r="E10" s="5" t="str">
        <x:v>业务流程</x:v>
      </x:c>
      <x:c r="F10" s="5" t="str">
        <x:v>P0</x:v>
      </x:c>
      <x:c r="G10" s="5" t="str">
        <x:v>验证第三方新用户进入资料补全</x:v>
      </x:c>
      <x:c r="H10" s="5" t="str">
        <x:v>第三方新用户进入资料补全</x:v>
      </x:c>
      <x:c r="I10" s="5" t="str">
        <x:v>1. 第三方账号从未登录 Luma Live</x:v>
      </x:c>
      <x:c r="J10" s="5" t="str">
        <x:v>1. 选择任一已展示的第三方登录方式
2. 完成授权</x:v>
      </x:c>
      <x:c r="K10" s="5" t="str">
        <x:v>页面直接进入资料补全</x:v>
      </x:c>
      <x:c r="L10" s="5" t="str">
        <x:v>FLOW-UAPP-REGISTER-01</x:v>
      </x:c>
      <x:c r="M10" s="5" t="str">
        <x:v>未测</x:v>
      </x:c>
      <x:c r="N10" s="5" t="str"/>
      <x:c r="O10" s="5" t="str">
        <x:v>1. 来源：context/01-用户主播App-项目需求清单.md
2. 来源：prototype/pages/user/auth/auth-login-register.html
3. 静态分析：依据当前原型、批注和需求文件生成，未进行真实接口或设备动态验证
4. 全局证据追溯：work/liveshow-user-app-all-260901-001/global-evidence-scan-result.json</x:v>
      </x:c>
    </x:row>
    <x:row r="11" ht="79.5" customHeight="1">
      <x:c r="A11" s="5" t="n">
        <x:v>10</x:v>
      </x:c>
      <x:c r="B11" s="5" t="str">
        <x:v>AUTH-010</x:v>
      </x:c>
      <x:c r="C11" s="5" t="str">
        <x:v>用户App-系统入口</x:v>
      </x:c>
      <x:c r="D11" s="5" t="str">
        <x:v>资料补全</x:v>
      </x:c>
      <x:c r="E11" s="5" t="str">
        <x:v>业务流程</x:v>
      </x:c>
      <x:c r="F11" s="5" t="str">
        <x:v>P0</x:v>
      </x:c>
      <x:c r="G11" s="5" t="str">
        <x:v>验证保存非空昵称进入首页</x:v>
      </x:c>
      <x:c r="H11" s="5" t="str">
        <x:v>保存非空昵称进入首页</x:v>
      </x:c>
      <x:c r="I11" s="5" t="str">
        <x:v>1. 新用户已进入资料补全页</x:v>
      </x:c>
      <x:c r="J11" s="5" t="str">
        <x:v>1. 选择预置头像
2. 填写非空昵称
3. 点击保存</x:v>
      </x:c>
      <x:c r="K11" s="5" t="str">
        <x:v>页面进入首页</x:v>
      </x:c>
      <x:c r="L11" s="5" t="str">
        <x:v>FLOW-UAPP-REGISTER-01</x:v>
      </x:c>
      <x:c r="M11" s="5" t="str">
        <x:v>未测</x:v>
      </x:c>
      <x:c r="N11" s="5" t="str"/>
      <x:c r="O11" s="5" t="str">
        <x:v>1. 来源：context/01-用户主播App-项目需求清单.md
2. 来源：prototype/pages/user/auth/auth-profile-completion.html
3. 静态分析：依据当前原型、批注和需求文件生成，未进行真实接口或设备动态验证
4. 全局证据追溯：work/liveshow-user-app-all-260901-001/global-evidence-scan-result.json</x:v>
      </x:c>
    </x:row>
    <x:row r="12" ht="79.5" customHeight="1">
      <x:c r="A12" s="5" t="n">
        <x:v>11</x:v>
      </x:c>
      <x:c r="B12" s="5" t="str">
        <x:v>AUTH-011</x:v>
      </x:c>
      <x:c r="C12" s="5" t="str">
        <x:v>用户App-系统入口</x:v>
      </x:c>
      <x:c r="D12" s="5" t="str">
        <x:v>资料补全</x:v>
      </x:c>
      <x:c r="E12" s="5" t="str">
        <x:v>业务流程</x:v>
      </x:c>
      <x:c r="F12" s="5" t="str">
        <x:v>P2</x:v>
      </x:c>
      <x:c r="G12" s="5" t="str">
        <x:v>验证跳过资料补全保留默认资料</x:v>
      </x:c>
      <x:c r="H12" s="5" t="str">
        <x:v>跳过资料补全保留默认资料</x:v>
      </x:c>
      <x:c r="I12" s="5" t="str">
        <x:v>1. 新用户资料补全页已展示系统默认头像和昵称</x:v>
      </x:c>
      <x:c r="J12" s="5" t="str">
        <x:v>1. 点击跳过</x:v>
      </x:c>
      <x:c r="K12" s="5" t="str">
        <x:v>页面进入首页且系统默认头像和昵称保持不变</x:v>
      </x:c>
      <x:c r="L12" s="5" t="str">
        <x:v>FLOW-UAPP-REGISTER-01</x:v>
      </x:c>
      <x:c r="M12" s="5" t="str">
        <x:v>未测</x:v>
      </x:c>
      <x:c r="N12" s="5" t="str"/>
      <x:c r="O12" s="5" t="str">
        <x:v>1. 来源：context/01-用户主播App-项目需求清单.md
2. 来源：prototype/pages/user/auth/auth-profile-completion.html
3. 静态分析：依据当前原型、批注和需求文件生成，未进行真实接口或设备动态验证
4. 全局证据追溯：work/liveshow-user-app-all-260901-001/global-evidence-scan-result.json</x:v>
      </x:c>
    </x:row>
    <x:row r="13" ht="67.5" customHeight="1">
      <x:c r="A13" s="5" t="n">
        <x:v>12</x:v>
      </x:c>
      <x:c r="B13" s="5" t="str">
        <x:v>AUTH-012</x:v>
      </x:c>
      <x:c r="C13" s="5" t="str">
        <x:v>用户App-系统入口</x:v>
      </x:c>
      <x:c r="D13" s="5" t="str">
        <x:v>手机号登录</x:v>
      </x:c>
      <x:c r="E13" s="5" t="str">
        <x:v>业务流程</x:v>
      </x:c>
      <x:c r="F13" s="5" t="str">
        <x:v>P0</x:v>
      </x:c>
      <x:c r="G13" s="5" t="str">
        <x:v>验证验证码登录成功</x:v>
      </x:c>
      <x:c r="H13" s="5" t="str">
        <x:v>验证码登录成功</x:v>
      </x:c>
      <x:c r="I13" s="5" t="str">
        <x:v>1. 已注册手机号状态可用
2. 可接收短信验证码</x:v>
      </x:c>
      <x:c r="J13" s="5" t="str">
        <x:v>1. 输入带国家区号的手机号
2. 获取并填写有效 6 位验证码
3. 点击登录</x:v>
      </x:c>
      <x:c r="K13" s="5" t="str">
        <x:v>页面进入首页</x:v>
      </x:c>
      <x:c r="L13" s="5" t="str"/>
      <x:c r="M13" s="5" t="str">
        <x:v>未测</x:v>
      </x:c>
      <x:c r="N13" s="5" t="str"/>
      <x:c r="O13"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14" ht="67.5" customHeight="1">
      <x:c r="A14" s="5" t="n">
        <x:v>13</x:v>
      </x:c>
      <x:c r="B14" s="5" t="str">
        <x:v>AUTH-013</x:v>
      </x:c>
      <x:c r="C14" s="5" t="str">
        <x:v>用户App-系统入口</x:v>
      </x:c>
      <x:c r="D14" s="5" t="str">
        <x:v>手机号登录</x:v>
      </x:c>
      <x:c r="E14" s="5" t="str">
        <x:v>逻辑校验</x:v>
      </x:c>
      <x:c r="F14" s="5" t="str">
        <x:v>P2</x:v>
      </x:c>
      <x:c r="G14" s="5" t="str">
        <x:v>验证验证码 60 秒内不可重复获取</x:v>
      </x:c>
      <x:c r="H14" s="5" t="str">
        <x:v>验证码 60 秒内不可重复获取</x:v>
      </x:c>
      <x:c r="I14" s="5" t="str">
        <x:v>1. 用户已点击获取验证码</x:v>
      </x:c>
      <x:c r="J14" s="5" t="str">
        <x:v>1. 在倒计时未结束时再次点击获取验证码</x:v>
      </x:c>
      <x:c r="K14" s="5" t="str">
        <x:v>获取验证码按钮保持不可用</x:v>
      </x:c>
      <x:c r="L14" s="5" t="str"/>
      <x:c r="M14" s="5" t="str">
        <x:v>未测</x:v>
      </x:c>
      <x:c r="N14" s="5" t="str"/>
      <x:c r="O14"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15" ht="67.5" customHeight="1">
      <x:c r="A15" s="5" t="n">
        <x:v>14</x:v>
      </x:c>
      <x:c r="B15" s="5" t="str">
        <x:v>AUTH-014</x:v>
      </x:c>
      <x:c r="C15" s="5" t="str">
        <x:v>用户App-系统入口</x:v>
      </x:c>
      <x:c r="D15" s="5" t="str">
        <x:v>手机号登录</x:v>
      </x:c>
      <x:c r="E15" s="5" t="str">
        <x:v>异常用例</x:v>
      </x:c>
      <x:c r="F15" s="5" t="str">
        <x:v>P1</x:v>
      </x:c>
      <x:c r="G15" s="5" t="str">
        <x:v>验证验证码连续错误五次后失效</x:v>
      </x:c>
      <x:c r="H15" s="5" t="str">
        <x:v>验证码连续错误五次后失效</x:v>
      </x:c>
      <x:c r="I15" s="5" t="str">
        <x:v>1. 用户已获取当前有效验证码</x:v>
      </x:c>
      <x:c r="J15" s="5" t="str">
        <x:v>1. 连续 5 次填写错误验证码并提交
2. 第 6 次填写原正确验证码并提交</x:v>
      </x:c>
      <x:c r="K15" s="5" t="str">
        <x:v>原验证码不能继续完成登录</x:v>
      </x:c>
      <x:c r="L15" s="5" t="str"/>
      <x:c r="M15" s="5" t="str">
        <x:v>未测</x:v>
      </x:c>
      <x:c r="N15" s="5" t="str"/>
      <x:c r="O15"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16" ht="67.5" customHeight="1">
      <x:c r="A16" s="5" t="n">
        <x:v>15</x:v>
      </x:c>
      <x:c r="B16" s="5" t="str">
        <x:v>AUTH-015</x:v>
      </x:c>
      <x:c r="C16" s="5" t="str">
        <x:v>用户App-系统入口</x:v>
      </x:c>
      <x:c r="D16" s="5" t="str">
        <x:v>手机号登录</x:v>
      </x:c>
      <x:c r="E16" s="5" t="str">
        <x:v>异常用例</x:v>
      </x:c>
      <x:c r="F16" s="5" t="str">
        <x:v>P1</x:v>
      </x:c>
      <x:c r="G16" s="5" t="str">
        <x:v>验证过期验证码不能登录</x:v>
      </x:c>
      <x:c r="H16" s="5" t="str">
        <x:v>过期验证码不能登录</x:v>
      </x:c>
      <x:c r="I16" s="5" t="str">
        <x:v>1. 用户获取验证码后已超过 5 分钟</x:v>
      </x:c>
      <x:c r="J16" s="5" t="str">
        <x:v>1. 填写该验证码
2. 点击登录</x:v>
      </x:c>
      <x:c r="K16" s="5" t="str">
        <x:v>用户不能使用已过期验证码完成登录</x:v>
      </x:c>
      <x:c r="L16" s="5" t="str"/>
      <x:c r="M16" s="5" t="str">
        <x:v>未测</x:v>
      </x:c>
      <x:c r="N16" s="5" t="str"/>
      <x:c r="O16"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17" ht="67.5" customHeight="1">
      <x:c r="A17" s="5" t="n">
        <x:v>16</x:v>
      </x:c>
      <x:c r="B17" s="5" t="str">
        <x:v>AUTH-016</x:v>
      </x:c>
      <x:c r="C17" s="5" t="str">
        <x:v>用户App-系统入口</x:v>
      </x:c>
      <x:c r="D17" s="5" t="str">
        <x:v>手机号登录</x:v>
      </x:c>
      <x:c r="E17" s="5" t="str">
        <x:v>异常用例</x:v>
      </x:c>
      <x:c r="F17" s="5" t="str">
        <x:v>P2</x:v>
      </x:c>
      <x:c r="G17" s="5" t="str">
        <x:v>验证短信下发失败后重新获取</x:v>
      </x:c>
      <x:c r="H17" s="5" t="str">
        <x:v>短信下发失败后重新获取</x:v>
      </x:c>
      <x:c r="I17" s="5" t="str">
        <x:v>1. 短信网关返回下发失败</x:v>
      </x:c>
      <x:c r="J17" s="5" t="str">
        <x:v>1. 点击获取验证码
2. 在重新获取入口可用后再次获取</x:v>
      </x:c>
      <x:c r="K17" s="5" t="str">
        <x:v>系统重新发起验证码获取请求</x:v>
      </x:c>
      <x:c r="L17" s="5" t="str"/>
      <x:c r="M17" s="5" t="str">
        <x:v>未测</x:v>
      </x:c>
      <x:c r="N17" s="5" t="str"/>
      <x:c r="O17"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18" ht="67.5" customHeight="1">
      <x:c r="A18" s="5" t="n">
        <x:v>17</x:v>
      </x:c>
      <x:c r="B18" s="5" t="str">
        <x:v>AUTH-017</x:v>
      </x:c>
      <x:c r="C18" s="5" t="str">
        <x:v>用户App-系统入口</x:v>
      </x:c>
      <x:c r="D18" s="5" t="str">
        <x:v>手机号登录</x:v>
      </x:c>
      <x:c r="E18" s="5" t="str">
        <x:v>业务流程</x:v>
      </x:c>
      <x:c r="F18" s="5" t="str">
        <x:v>P0</x:v>
      </x:c>
      <x:c r="G18" s="5" t="str">
        <x:v>验证有效密码登录</x:v>
      </x:c>
      <x:c r="H18" s="5" t="str">
        <x:v>有效密码登录</x:v>
      </x:c>
      <x:c r="I18" s="5" t="str">
        <x:v>1. 已注册手机号已设置密码且账号可用</x:v>
      </x:c>
      <x:c r="J18" s="5" t="str">
        <x:v>1. 切换到密码登录
2. 填写有效手机号和密码
3. 点击登录</x:v>
      </x:c>
      <x:c r="K18" s="5" t="str">
        <x:v>页面进入首页</x:v>
      </x:c>
      <x:c r="L18" s="5" t="str"/>
      <x:c r="M18" s="5" t="str">
        <x:v>未测</x:v>
      </x:c>
      <x:c r="N18" s="5" t="str"/>
      <x:c r="O18"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19" ht="67.5" customHeight="1">
      <x:c r="A19" s="5" t="n">
        <x:v>18</x:v>
      </x:c>
      <x:c r="B19" s="5" t="str">
        <x:v>AUTH-018</x:v>
      </x:c>
      <x:c r="C19" s="5" t="str">
        <x:v>用户App-系统入口</x:v>
      </x:c>
      <x:c r="D19" s="5" t="str">
        <x:v>手机号登录</x:v>
      </x:c>
      <x:c r="E19" s="5" t="str">
        <x:v>异常用例</x:v>
      </x:c>
      <x:c r="F19" s="5" t="str">
        <x:v>P2</x:v>
      </x:c>
      <x:c r="G19" s="5" t="str">
        <x:v>验证错误密码不进入首页</x:v>
      </x:c>
      <x:c r="H19" s="5" t="str">
        <x:v>错误密码不进入首页</x:v>
      </x:c>
      <x:c r="I19" s="5" t="str">
        <x:v>1. 已注册手机号状态可用</x:v>
      </x:c>
      <x:c r="J19" s="5" t="str">
        <x:v>1. 切换到密码登录
2. 填写错误密码
3. 点击登录</x:v>
      </x:c>
      <x:c r="K19" s="5" t="str">
        <x:v>页面不进入首页</x:v>
      </x:c>
      <x:c r="L19" s="5" t="str"/>
      <x:c r="M19" s="5" t="str">
        <x:v>未测</x:v>
      </x:c>
      <x:c r="N19" s="5" t="str"/>
      <x:c r="O19" s="5" t="str">
        <x:v>1. 来源：context/01-用户主播App-项目需求清单.md
2. 来源：prototype/pages/user/auth/auth-phone-login.html
3. 静态分析：依据当前原型、批注和需求文件生成，未进行真实接口或设备动态验证
4. 全局证据追溯：work/liveshow-user-app-all-260901-001/global-evidence-scan-result.json</x:v>
      </x:c>
    </x:row>
    <x:row r="20" ht="67.5" customHeight="1">
      <x:c r="A20" s="5" t="n">
        <x:v>19</x:v>
      </x:c>
      <x:c r="B20" s="5" t="str">
        <x:v>AUTH-019</x:v>
      </x:c>
      <x:c r="C20" s="5" t="str">
        <x:v>用户App-系统入口</x:v>
      </x:c>
      <x:c r="D20" s="5" t="str">
        <x:v>账号绑定</x:v>
      </x:c>
      <x:c r="E20" s="5" t="str">
        <x:v>逻辑校验</x:v>
      </x:c>
      <x:c r="F20" s="5" t="str">
        <x:v>P1</x:v>
      </x:c>
      <x:c r="G20" s="5" t="str">
        <x:v>验证充值前要求绑定手机号</x:v>
      </x:c>
      <x:c r="H20" s="5" t="str">
        <x:v>充值前要求绑定手机号</x:v>
      </x:c>
      <x:c r="I20" s="5" t="str">
        <x:v>1. 第三方登录用户尚未绑定手机号</x:v>
      </x:c>
      <x:c r="J20" s="5" t="str">
        <x:v>1. 进入充值流程
2. 尝试提交充值</x:v>
      </x:c>
      <x:c r="K20" s="5" t="str">
        <x:v>系统拦截充值提交并要求绑定手机号</x:v>
      </x:c>
      <x:c r="L20" s="5" t="str">
        <x:v>FLOW-UAPP-ACCOUNT-BIND-01</x:v>
      </x:c>
      <x:c r="M20" s="5" t="str">
        <x:v>未测</x:v>
      </x:c>
      <x:c r="N20" s="5" t="str"/>
      <x:c r="O20" s="5" t="str">
        <x:v>1. 来源：context/01-用户主播App-项目需求清单.md
2. 来源：prototype/pages/user/profile/profile.html
3. 静态分析：依据当前原型、批注和需求文件生成，未进行真实接口或设备动态验证
4. 全局证据追溯：work/liveshow-user-app-all-260901-001/global-evidence-scan-result.json</x:v>
      </x:c>
    </x:row>
    <x:row r="21" ht="79.5" customHeight="1">
      <x:c r="A21" s="5" t="n">
        <x:v>20</x:v>
      </x:c>
      <x:c r="B21" s="5" t="str">
        <x:v>AUTH-020</x:v>
      </x:c>
      <x:c r="C21" s="5" t="str">
        <x:v>用户App-系统入口</x:v>
      </x:c>
      <x:c r="D21" s="5" t="str">
        <x:v>账号绑定</x:v>
      </x:c>
      <x:c r="E21" s="5" t="str">
        <x:v>逻辑校验</x:v>
      </x:c>
      <x:c r="F21" s="5" t="str">
        <x:v>P1</x:v>
      </x:c>
      <x:c r="G21" s="5" t="str">
        <x:v>验证主播认证前要求绑定手机号</x:v>
      </x:c>
      <x:c r="H21" s="5" t="str">
        <x:v>主播认证前要求绑定手机号</x:v>
      </x:c>
      <x:c r="I21" s="5" t="str">
        <x:v>1. 第三方登录用户尚未绑定手机号</x:v>
      </x:c>
      <x:c r="J21" s="5" t="str">
        <x:v>1. 进入申请成为主播流程
2. 尝试提交认证资料</x:v>
      </x:c>
      <x:c r="K21" s="5" t="str">
        <x:v>系统拦截认证提交并要求绑定手机号</x:v>
      </x:c>
      <x:c r="L21" s="5" t="str">
        <x:v>FLOW-UAPP-ACCOUNT-BIND-01</x:v>
      </x:c>
      <x:c r="M21" s="5" t="str">
        <x:v>未测</x:v>
      </x:c>
      <x:c r="N21" s="5" t="str"/>
      <x:c r="O21" s="5" t="str">
        <x:v>1. 来源：context/01-用户主播App-项目需求清单.md
2. 来源：prototype/pages/user/host/host-center-pending.html
3. 静态分析：依据当前原型、批注和需求文件生成，未进行真实接口或设备动态验证
4. 全局证据追溯：work/liveshow-user-app-all-260901-001/global-evidence-scan-result.json</x:v>
      </x:c>
    </x:row>
    <x:row r="22" ht="67.5" customHeight="1">
      <x:c r="A22" s="5" t="n">
        <x:v>21</x:v>
      </x:c>
      <x:c r="B22" s="5" t="str">
        <x:v>HOME-001</x:v>
      </x:c>
      <x:c r="C22" s="5" t="str">
        <x:v>用户App-首页与福利</x:v>
      </x:c>
      <x:c r="D22" s="5" t="str">
        <x:v>主播榜</x:v>
      </x:c>
      <x:c r="E22" s="5" t="str">
        <x:v>功能需求</x:v>
      </x:c>
      <x:c r="F22" s="5" t="str">
        <x:v>P2</x:v>
      </x:c>
      <x:c r="G22" s="5" t="str">
        <x:v>验证主播榜核心业务信息</x:v>
      </x:c>
      <x:c r="H22" s="5" t="str">
        <x:v>主播榜核心信息</x:v>
      </x:c>
      <x:c r="I22" s="5" t="str">
        <x:v>1. 用户已登录
2. 已进入“主播榜”页面</x:v>
      </x:c>
      <x:c r="J22" s="5" t="str">
        <x:v>1. 查看页面主要业务区域</x:v>
      </x:c>
      <x:c r="K22" s="5" t="str">
        <x:v>页面展示当日、本周、本月主播收礼排名</x:v>
      </x:c>
      <x:c r="L22" s="5" t="str"/>
      <x:c r="M22" s="5" t="str">
        <x:v>未测</x:v>
      </x:c>
      <x:c r="N22" s="5" t="str"/>
      <x:c r="O22" s="5" t="str">
        <x:v>1. 来源：context/01-用户主播App-项目需求清单.md
2. 来源：prototype/pages/user/home/host-ranking.html
3. 静态分析：依据当前原型、批注和需求文件生成，未进行真实接口或设备动态验证
4. 全局证据追溯：work/liveshow-user-app-all-260901-001/global-evidence-scan-result.json</x:v>
      </x:c>
    </x:row>
    <x:row r="23" ht="79.5" customHeight="1">
      <x:c r="A23" s="5" t="n">
        <x:v>22</x:v>
      </x:c>
      <x:c r="B23" s="5" t="str">
        <x:v>HOME-002</x:v>
      </x:c>
      <x:c r="C23" s="5" t="str">
        <x:v>用户App-首页与福利</x:v>
      </x:c>
      <x:c r="D23" s="5" t="str">
        <x:v>平台贡献榜</x:v>
      </x:c>
      <x:c r="E23" s="5" t="str">
        <x:v>功能需求</x:v>
      </x:c>
      <x:c r="F23" s="5" t="str">
        <x:v>P2</x:v>
      </x:c>
      <x:c r="G23" s="5" t="str">
        <x:v>验证平台贡献榜核心业务信息</x:v>
      </x:c>
      <x:c r="H23" s="5" t="str">
        <x:v>平台贡献榜核心信息</x:v>
      </x:c>
      <x:c r="I23" s="5" t="str">
        <x:v>1. 用户已登录
2. 已进入“平台贡献榜”页面</x:v>
      </x:c>
      <x:c r="J23" s="5" t="str">
        <x:v>1. 查看页面主要业务区域</x:v>
      </x:c>
      <x:c r="K23" s="5" t="str">
        <x:v>页面展示当日、本周、本月用户送礼贡献排名</x:v>
      </x:c>
      <x:c r="L23" s="5" t="str"/>
      <x:c r="M23" s="5" t="str">
        <x:v>未测</x:v>
      </x:c>
      <x:c r="N23" s="5" t="str"/>
      <x:c r="O23" s="5" t="str">
        <x:v>1. 来源：context/01-用户主播App-项目需求清单.md
2. 来源：prototype/pages/user/home/contribution-ranking.html
3. 静态分析：依据当前原型、批注和需求文件生成，未进行真实接口或设备动态验证
4. 全局证据追溯：work/liveshow-user-app-all-260901-001/global-evidence-scan-result.json</x:v>
      </x:c>
    </x:row>
    <x:row r="24" ht="67.5" customHeight="1">
      <x:c r="A24" s="5" t="n">
        <x:v>23</x:v>
      </x:c>
      <x:c r="B24" s="5" t="str">
        <x:v>HOME-003</x:v>
      </x:c>
      <x:c r="C24" s="5" t="str">
        <x:v>用户App-首页与福利</x:v>
      </x:c>
      <x:c r="D24" s="5" t="str">
        <x:v>搜索</x:v>
      </x:c>
      <x:c r="E24" s="5" t="str">
        <x:v>功能需求</x:v>
      </x:c>
      <x:c r="F24" s="5" t="str">
        <x:v>P2</x:v>
      </x:c>
      <x:c r="G24" s="5" t="str">
        <x:v>验证搜索核心业务信息</x:v>
      </x:c>
      <x:c r="H24" s="5" t="str">
        <x:v>搜索核心信息</x:v>
      </x:c>
      <x:c r="I24" s="5" t="str">
        <x:v>1. 用户已登录
2. 已进入“搜索”页面</x:v>
      </x:c>
      <x:c r="J24" s="5" t="str">
        <x:v>1. 查看页面主要业务区域</x:v>
      </x:c>
      <x:c r="K24" s="5" t="str">
        <x:v>页面展示房间号、主播 ID 与主播昵称搜索</x:v>
      </x:c>
      <x:c r="L24" s="5" t="str"/>
      <x:c r="M24" s="5" t="str">
        <x:v>未测</x:v>
      </x:c>
      <x:c r="N24" s="5" t="str"/>
      <x:c r="O24" s="5" t="str">
        <x:v>1. 来源：context/01-用户主播App-项目需求清单.md
2. 来源：prototype/pages/user/home/search.html
3. 静态分析：依据当前原型、批注和需求文件生成，未进行真实接口或设备动态验证
4. 全局证据追溯：work/liveshow-user-app-all-260901-001/global-evidence-scan-result.json</x:v>
      </x:c>
    </x:row>
    <x:row r="25" ht="67.5" customHeight="1">
      <x:c r="A25" s="5" t="n">
        <x:v>24</x:v>
      </x:c>
      <x:c r="B25" s="5" t="str">
        <x:v>HOME-004</x:v>
      </x:c>
      <x:c r="C25" s="5" t="str">
        <x:v>用户App-首页与福利</x:v>
      </x:c>
      <x:c r="D25" s="5" t="str">
        <x:v>搜索结果</x:v>
      </x:c>
      <x:c r="E25" s="5" t="str">
        <x:v>功能需求</x:v>
      </x:c>
      <x:c r="F25" s="5" t="str">
        <x:v>P2</x:v>
      </x:c>
      <x:c r="G25" s="5" t="str">
        <x:v>验证搜索结果核心业务信息</x:v>
      </x:c>
      <x:c r="H25" s="5" t="str">
        <x:v>搜索结果核心信息</x:v>
      </x:c>
      <x:c r="I25" s="5" t="str">
        <x:v>1. 用户已登录
2. 已进入“搜索结果”页面</x:v>
      </x:c>
      <x:c r="J25" s="5" t="str">
        <x:v>1. 查看页面主要业务区域</x:v>
      </x:c>
      <x:c r="K25" s="5" t="str">
        <x:v>页面展示匹配主播、房间号、直播状态与无结果状态</x:v>
      </x:c>
      <x:c r="L25" s="5" t="str"/>
      <x:c r="M25" s="5" t="str">
        <x:v>未测</x:v>
      </x:c>
      <x:c r="N25" s="5" t="str"/>
      <x:c r="O25" s="5" t="str">
        <x:v>1. 来源：context/01-用户主播App-项目需求清单.md
2. 来源：prototype/pages/user/home/search-results.html
3. 静态分析：依据当前原型、批注和需求文件生成，未进行真实接口或设备动态验证
4. 全局证据追溯：work/liveshow-user-app-all-260901-001/global-evidence-scan-result.json</x:v>
      </x:c>
    </x:row>
    <x:row r="26" ht="67.5" customHeight="1">
      <x:c r="A26" s="5" t="n">
        <x:v>25</x:v>
      </x:c>
      <x:c r="B26" s="5" t="str">
        <x:v>HOME-005</x:v>
      </x:c>
      <x:c r="C26" s="5" t="str">
        <x:v>用户App-首页与福利</x:v>
      </x:c>
      <x:c r="D26" s="5" t="str">
        <x:v>福利中心</x:v>
      </x:c>
      <x:c r="E26" s="5" t="str">
        <x:v>功能需求</x:v>
      </x:c>
      <x:c r="F26" s="5" t="str">
        <x:v>P2</x:v>
      </x:c>
      <x:c r="G26" s="5" t="str">
        <x:v>验证福利中心核心业务信息</x:v>
      </x:c>
      <x:c r="H26" s="5" t="str">
        <x:v>福利中心核心信息</x:v>
      </x:c>
      <x:c r="I26" s="5" t="str">
        <x:v>1. 用户已登录
2. 已进入“福利中心”页面</x:v>
      </x:c>
      <x:c r="J26" s="5" t="str">
        <x:v>1. 查看页面主要业务区域</x:v>
      </x:c>
      <x:c r="K26" s="5" t="str">
        <x:v>页面展示签到、任务、邀请和充值福利</x:v>
      </x:c>
      <x:c r="L26" s="5" t="str"/>
      <x:c r="M26" s="5" t="str">
        <x:v>未测</x:v>
      </x:c>
      <x:c r="N26" s="5" t="str"/>
      <x:c r="O26" s="5" t="str">
        <x:v>1. 来源：context/01-用户主播App-项目需求清单.md
2. 来源：prototype/pages/user/home/welfare-center.html
3. 静态分析：依据当前原型、批注和需求文件生成，未进行真实接口或设备动态验证
4. 全局证据追溯：work/liveshow-user-app-all-260901-001/global-evidence-scan-result.json</x:v>
      </x:c>
    </x:row>
    <x:row r="27" ht="67.5" customHeight="1">
      <x:c r="A27" s="5" t="n">
        <x:v>26</x:v>
      </x:c>
      <x:c r="B27" s="5" t="str">
        <x:v>HOME-006</x:v>
      </x:c>
      <x:c r="C27" s="5" t="str">
        <x:v>用户App-首页与福利</x:v>
      </x:c>
      <x:c r="D27" s="5" t="str">
        <x:v>邀请好友</x:v>
      </x:c>
      <x:c r="E27" s="5" t="str">
        <x:v>功能需求</x:v>
      </x:c>
      <x:c r="F27" s="5" t="str">
        <x:v>P2</x:v>
      </x:c>
      <x:c r="G27" s="5" t="str">
        <x:v>验证邀请好友核心业务信息</x:v>
      </x:c>
      <x:c r="H27" s="5" t="str">
        <x:v>邀请好友核心信息</x:v>
      </x:c>
      <x:c r="I27" s="5" t="str">
        <x:v>1. 用户已登录
2. 已进入“邀请好友”页面</x:v>
      </x:c>
      <x:c r="J27" s="5" t="str">
        <x:v>1. 查看页面主要业务区域</x:v>
      </x:c>
      <x:c r="K27" s="5" t="str">
        <x:v>页面展示邀请奖励、邀请记录与分享选项</x:v>
      </x:c>
      <x:c r="L27" s="5" t="str"/>
      <x:c r="M27" s="5" t="str">
        <x:v>未测</x:v>
      </x:c>
      <x:c r="N27" s="5" t="str"/>
      <x:c r="O27"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28" ht="67.5" customHeight="1">
      <x:c r="A28" s="5" t="n">
        <x:v>27</x:v>
      </x:c>
      <x:c r="B28" s="5" t="str">
        <x:v>HOME-007</x:v>
      </x:c>
      <x:c r="C28" s="5" t="str">
        <x:v>用户App-首页与福利</x:v>
      </x:c>
      <x:c r="D28" s="5" t="str">
        <x:v>主播榜</x:v>
      </x:c>
      <x:c r="E28" s="5" t="str">
        <x:v>逻辑校验</x:v>
      </x:c>
      <x:c r="F28" s="5" t="str">
        <x:v>P2</x:v>
      </x:c>
      <x:c r="G28" s="5" t="str">
        <x:v>验证当日主播收礼排名</x:v>
      </x:c>
      <x:c r="H28" s="5" t="str">
        <x:v>当日主播收礼排名</x:v>
      </x:c>
      <x:c r="I28" s="5" t="str">
        <x:v>1. 后台存在当日主播收礼排名数据</x:v>
      </x:c>
      <x:c r="J28" s="5" t="str">
        <x:v>1. 进入“主播榜”
2. 切换到“当日”</x:v>
      </x:c>
      <x:c r="K28" s="5" t="str">
        <x:v>榜单按当日主播收礼排名排序并展示对应数值</x:v>
      </x:c>
      <x:c r="L28" s="5" t="str"/>
      <x:c r="M28" s="5" t="str">
        <x:v>未测</x:v>
      </x:c>
      <x:c r="N28" s="5" t="str"/>
      <x:c r="O28" s="5" t="str">
        <x:v>1. 来源：context/01-用户主播App-项目需求清单.md
2. 来源：prototype/pages/user/home/host-ranking.html
3. 静态分析：依据当前原型、批注和需求文件生成，未进行真实接口或设备动态验证
4. 全局证据追溯：work/liveshow-user-app-all-260901-001/global-evidence-scan-result.json</x:v>
      </x:c>
    </x:row>
    <x:row r="29" ht="67.5" customHeight="1">
      <x:c r="A29" s="5" t="n">
        <x:v>28</x:v>
      </x:c>
      <x:c r="B29" s="5" t="str">
        <x:v>HOME-008</x:v>
      </x:c>
      <x:c r="C29" s="5" t="str">
        <x:v>用户App-首页与福利</x:v>
      </x:c>
      <x:c r="D29" s="5" t="str">
        <x:v>主播榜</x:v>
      </x:c>
      <x:c r="E29" s="5" t="str">
        <x:v>逻辑校验</x:v>
      </x:c>
      <x:c r="F29" s="5" t="str">
        <x:v>P2</x:v>
      </x:c>
      <x:c r="G29" s="5" t="str">
        <x:v>验证本周主播收礼排名</x:v>
      </x:c>
      <x:c r="H29" s="5" t="str">
        <x:v>本周主播收礼排名</x:v>
      </x:c>
      <x:c r="I29" s="5" t="str">
        <x:v>1. 后台存在本周主播收礼排名数据</x:v>
      </x:c>
      <x:c r="J29" s="5" t="str">
        <x:v>1. 进入“主播榜”
2. 切换到“本周”</x:v>
      </x:c>
      <x:c r="K29" s="5" t="str">
        <x:v>榜单按本周主播收礼排名排序并展示对应数值</x:v>
      </x:c>
      <x:c r="L29" s="5" t="str"/>
      <x:c r="M29" s="5" t="str">
        <x:v>未测</x:v>
      </x:c>
      <x:c r="N29" s="5" t="str"/>
      <x:c r="O29" s="5" t="str">
        <x:v>1. 来源：context/01-用户主播App-项目需求清单.md
2. 来源：prototype/pages/user/home/host-ranking.html
3. 静态分析：依据当前原型、批注和需求文件生成，未进行真实接口或设备动态验证
4. 全局证据追溯：work/liveshow-user-app-all-260901-001/global-evidence-scan-result.json</x:v>
      </x:c>
    </x:row>
    <x:row r="30" ht="67.5" customHeight="1">
      <x:c r="A30" s="5" t="n">
        <x:v>29</x:v>
      </x:c>
      <x:c r="B30" s="5" t="str">
        <x:v>HOME-009</x:v>
      </x:c>
      <x:c r="C30" s="5" t="str">
        <x:v>用户App-首页与福利</x:v>
      </x:c>
      <x:c r="D30" s="5" t="str">
        <x:v>主播榜</x:v>
      </x:c>
      <x:c r="E30" s="5" t="str">
        <x:v>逻辑校验</x:v>
      </x:c>
      <x:c r="F30" s="5" t="str">
        <x:v>P2</x:v>
      </x:c>
      <x:c r="G30" s="5" t="str">
        <x:v>验证本月主播收礼排名</x:v>
      </x:c>
      <x:c r="H30" s="5" t="str">
        <x:v>本月主播收礼排名</x:v>
      </x:c>
      <x:c r="I30" s="5" t="str">
        <x:v>1. 后台存在本月主播收礼排名数据</x:v>
      </x:c>
      <x:c r="J30" s="5" t="str">
        <x:v>1. 进入“主播榜”
2. 切换到“本月”</x:v>
      </x:c>
      <x:c r="K30" s="5" t="str">
        <x:v>榜单按本月主播收礼排名排序并展示对应数值</x:v>
      </x:c>
      <x:c r="L30" s="5" t="str"/>
      <x:c r="M30" s="5" t="str">
        <x:v>未测</x:v>
      </x:c>
      <x:c r="N30" s="5" t="str"/>
      <x:c r="O30" s="5" t="str">
        <x:v>1. 来源：context/01-用户主播App-项目需求清单.md
2. 来源：prototype/pages/user/home/host-ranking.html
3. 静态分析：依据当前原型、批注和需求文件生成，未进行真实接口或设备动态验证
4. 全局证据追溯：work/liveshow-user-app-all-260901-001/global-evidence-scan-result.json</x:v>
      </x:c>
    </x:row>
    <x:row r="31" ht="79.5" customHeight="1">
      <x:c r="A31" s="5" t="n">
        <x:v>30</x:v>
      </x:c>
      <x:c r="B31" s="5" t="str">
        <x:v>HOME-010</x:v>
      </x:c>
      <x:c r="C31" s="5" t="str">
        <x:v>用户App-首页与福利</x:v>
      </x:c>
      <x:c r="D31" s="5" t="str">
        <x:v>平台贡献榜</x:v>
      </x:c>
      <x:c r="E31" s="5" t="str">
        <x:v>逻辑校验</x:v>
      </x:c>
      <x:c r="F31" s="5" t="str">
        <x:v>P2</x:v>
      </x:c>
      <x:c r="G31" s="5" t="str">
        <x:v>验证当日用户送礼贡献排名</x:v>
      </x:c>
      <x:c r="H31" s="5" t="str">
        <x:v>当日用户送礼贡献排名</x:v>
      </x:c>
      <x:c r="I31" s="5" t="str">
        <x:v>1. 后台存在当日用户送礼贡献排名数据</x:v>
      </x:c>
      <x:c r="J31" s="5" t="str">
        <x:v>1. 进入“平台贡献榜”
2. 切换到“当日”</x:v>
      </x:c>
      <x:c r="K31" s="5" t="str">
        <x:v>榜单按当日用户送礼贡献排名排序并展示对应数值</x:v>
      </x:c>
      <x:c r="L31" s="5" t="str"/>
      <x:c r="M31" s="5" t="str">
        <x:v>未测</x:v>
      </x:c>
      <x:c r="N31" s="5" t="str"/>
      <x:c r="O31" s="5" t="str">
        <x:v>1. 来源：context/01-用户主播App-项目需求清单.md
2. 来源：prototype/pages/user/home/contribution-ranking.html
3. 静态分析：依据当前原型、批注和需求文件生成，未进行真实接口或设备动态验证
4. 全局证据追溯：work/liveshow-user-app-all-260901-001/global-evidence-scan-result.json</x:v>
      </x:c>
    </x:row>
    <x:row r="32" ht="79.5" customHeight="1">
      <x:c r="A32" s="5" t="n">
        <x:v>31</x:v>
      </x:c>
      <x:c r="B32" s="5" t="str">
        <x:v>HOME-011</x:v>
      </x:c>
      <x:c r="C32" s="5" t="str">
        <x:v>用户App-首页与福利</x:v>
      </x:c>
      <x:c r="D32" s="5" t="str">
        <x:v>平台贡献榜</x:v>
      </x:c>
      <x:c r="E32" s="5" t="str">
        <x:v>逻辑校验</x:v>
      </x:c>
      <x:c r="F32" s="5" t="str">
        <x:v>P2</x:v>
      </x:c>
      <x:c r="G32" s="5" t="str">
        <x:v>验证本周用户送礼贡献排名</x:v>
      </x:c>
      <x:c r="H32" s="5" t="str">
        <x:v>本周用户送礼贡献排名</x:v>
      </x:c>
      <x:c r="I32" s="5" t="str">
        <x:v>1. 后台存在本周用户送礼贡献排名数据</x:v>
      </x:c>
      <x:c r="J32" s="5" t="str">
        <x:v>1. 进入“平台贡献榜”
2. 切换到“本周”</x:v>
      </x:c>
      <x:c r="K32" s="5" t="str">
        <x:v>榜单按本周用户送礼贡献排名排序并展示对应数值</x:v>
      </x:c>
      <x:c r="L32" s="5" t="str"/>
      <x:c r="M32" s="5" t="str">
        <x:v>未测</x:v>
      </x:c>
      <x:c r="N32" s="5" t="str"/>
      <x:c r="O32" s="5" t="str">
        <x:v>1. 来源：context/01-用户主播App-项目需求清单.md
2. 来源：prototype/pages/user/home/contribution-ranking.html
3. 静态分析：依据当前原型、批注和需求文件生成，未进行真实接口或设备动态验证
4. 全局证据追溯：work/liveshow-user-app-all-260901-001/global-evidence-scan-result.json</x:v>
      </x:c>
    </x:row>
    <x:row r="33" ht="79.5" customHeight="1">
      <x:c r="A33" s="5" t="n">
        <x:v>32</x:v>
      </x:c>
      <x:c r="B33" s="5" t="str">
        <x:v>HOME-012</x:v>
      </x:c>
      <x:c r="C33" s="5" t="str">
        <x:v>用户App-首页与福利</x:v>
      </x:c>
      <x:c r="D33" s="5" t="str">
        <x:v>平台贡献榜</x:v>
      </x:c>
      <x:c r="E33" s="5" t="str">
        <x:v>逻辑校验</x:v>
      </x:c>
      <x:c r="F33" s="5" t="str">
        <x:v>P2</x:v>
      </x:c>
      <x:c r="G33" s="5" t="str">
        <x:v>验证本月用户送礼贡献排名</x:v>
      </x:c>
      <x:c r="H33" s="5" t="str">
        <x:v>本月用户送礼贡献排名</x:v>
      </x:c>
      <x:c r="I33" s="5" t="str">
        <x:v>1. 后台存在本月用户送礼贡献排名数据</x:v>
      </x:c>
      <x:c r="J33" s="5" t="str">
        <x:v>1. 进入“平台贡献榜”
2. 切换到“本月”</x:v>
      </x:c>
      <x:c r="K33" s="5" t="str">
        <x:v>榜单按本月用户送礼贡献排名排序并展示对应数值</x:v>
      </x:c>
      <x:c r="L33" s="5" t="str"/>
      <x:c r="M33" s="5" t="str">
        <x:v>未测</x:v>
      </x:c>
      <x:c r="N33" s="5" t="str"/>
      <x:c r="O33" s="5" t="str">
        <x:v>1. 来源：context/01-用户主播App-项目需求清单.md
2. 来源：prototype/pages/user/home/contribution-ranking.html
3. 静态分析：依据当前原型、批注和需求文件生成，未进行真实接口或设备动态验证
4. 全局证据追溯：work/liveshow-user-app-all-260901-001/global-evidence-scan-result.json</x:v>
      </x:c>
    </x:row>
    <x:row r="34" ht="67.5" customHeight="1">
      <x:c r="A34" s="5" t="n">
        <x:v>33</x:v>
      </x:c>
      <x:c r="B34" s="5" t="str">
        <x:v>HOME-013</x:v>
      </x:c>
      <x:c r="C34" s="5" t="str">
        <x:v>用户App-首页与福利</x:v>
      </x:c>
      <x:c r="D34" s="5" t="str">
        <x:v>主播榜</x:v>
      </x:c>
      <x:c r="E34" s="5" t="str">
        <x:v>业务流程</x:v>
      </x:c>
      <x:c r="F34" s="5" t="str">
        <x:v>P2</x:v>
      </x:c>
      <x:c r="G34" s="5" t="str">
        <x:v>验证点击主播进入主播主页</x:v>
      </x:c>
      <x:c r="H34" s="5" t="str">
        <x:v>点击主播进入主播主页</x:v>
      </x:c>
      <x:c r="I34" s="5" t="str">
        <x:v>1. 主播榜存在目标主播记录</x:v>
      </x:c>
      <x:c r="J34" s="5" t="str">
        <x:v>1. 进入主播榜
2. 点击目标主播</x:v>
      </x:c>
      <x:c r="K34" s="5" t="str">
        <x:v>页面进入该主播主页</x:v>
      </x:c>
      <x:c r="L34" s="5" t="str"/>
      <x:c r="M34" s="5" t="str">
        <x:v>未测</x:v>
      </x:c>
      <x:c r="N34" s="5" t="str"/>
      <x:c r="O34" s="5" t="str">
        <x:v>1. 来源：context/01-用户主播App-项目需求清单.md
2. 来源：prototype/pages/user/home/host-ranking.html
3. 静态分析：依据当前原型、批注和需求文件生成，未进行真实接口或设备动态验证
4. 全局证据追溯：work/liveshow-user-app-all-260901-001/global-evidence-scan-result.json</x:v>
      </x:c>
    </x:row>
    <x:row r="35" ht="79.5" customHeight="1">
      <x:c r="A35" s="5" t="n">
        <x:v>34</x:v>
      </x:c>
      <x:c r="B35" s="5" t="str">
        <x:v>HOME-014</x:v>
      </x:c>
      <x:c r="C35" s="5" t="str">
        <x:v>用户App-首页与福利</x:v>
      </x:c>
      <x:c r="D35" s="5" t="str">
        <x:v>平台贡献榜</x:v>
      </x:c>
      <x:c r="E35" s="5" t="str">
        <x:v>业务流程</x:v>
      </x:c>
      <x:c r="F35" s="5" t="str">
        <x:v>P2</x:v>
      </x:c>
      <x:c r="G35" s="5" t="str">
        <x:v>验证点击用户进入用户主页</x:v>
      </x:c>
      <x:c r="H35" s="5" t="str">
        <x:v>点击用户进入用户主页</x:v>
      </x:c>
      <x:c r="I35" s="5" t="str">
        <x:v>1. 平台贡献榜存在目标用户记录</x:v>
      </x:c>
      <x:c r="J35" s="5" t="str">
        <x:v>1. 进入平台贡献榜
2. 点击目标用户</x:v>
      </x:c>
      <x:c r="K35" s="5" t="str">
        <x:v>页面进入该用户主页</x:v>
      </x:c>
      <x:c r="L35" s="5" t="str"/>
      <x:c r="M35" s="5" t="str">
        <x:v>未测</x:v>
      </x:c>
      <x:c r="N35" s="5" t="str"/>
      <x:c r="O35" s="5" t="str">
        <x:v>1. 来源：context/01-用户主播App-项目需求清单.md
2. 来源：prototype/pages/user/home/contribution-ranking.html
3. 静态分析：依据当前原型、批注和需求文件生成，未进行真实接口或设备动态验证
4. 全局证据追溯：work/liveshow-user-app-all-260901-001/global-evidence-scan-result.json</x:v>
      </x:c>
    </x:row>
    <x:row r="36" ht="67.5" customHeight="1">
      <x:c r="A36" s="5" t="n">
        <x:v>35</x:v>
      </x:c>
      <x:c r="B36" s="5" t="str">
        <x:v>HOME-015</x:v>
      </x:c>
      <x:c r="C36" s="5" t="str">
        <x:v>用户App-首页与福利</x:v>
      </x:c>
      <x:c r="D36" s="5" t="str">
        <x:v>搜索</x:v>
      </x:c>
      <x:c r="E36" s="5" t="str">
        <x:v>逻辑校验</x:v>
      </x:c>
      <x:c r="F36" s="5" t="str">
        <x:v>P2</x:v>
      </x:c>
      <x:c r="G36" s="5" t="str">
        <x:v>验证房间号搜索</x:v>
      </x:c>
      <x:c r="H36" s="5" t="str">
        <x:v>房间号搜索</x:v>
      </x:c>
      <x:c r="I36" s="5" t="str">
        <x:v>1. 存在可检索的目标主播</x:v>
      </x:c>
      <x:c r="J36" s="5" t="str">
        <x:v>1. 进入搜索页
2. 输入620100
3. 提交搜索</x:v>
      </x:c>
      <x:c r="K36" s="5" t="str">
        <x:v>搜索结果只展示匹配该房间号的主播</x:v>
      </x:c>
      <x:c r="L36" s="5" t="str"/>
      <x:c r="M36" s="5" t="str">
        <x:v>未测</x:v>
      </x:c>
      <x:c r="N36" s="5" t="str"/>
      <x:c r="O36" s="5" t="str">
        <x:v>1. 来源：context/01-用户主播App-项目需求清单.md
2. 来源：prototype/pages/user/home/search.html
3. 静态分析：依据当前原型、批注和需求文件生成，未进行真实接口或设备动态验证
4. 全局证据追溯：work/liveshow-user-app-all-260901-001/global-evidence-scan-result.json</x:v>
      </x:c>
    </x:row>
    <x:row r="37" ht="67.5" customHeight="1">
      <x:c r="A37" s="5" t="n">
        <x:v>36</x:v>
      </x:c>
      <x:c r="B37" s="5" t="str">
        <x:v>HOME-016</x:v>
      </x:c>
      <x:c r="C37" s="5" t="str">
        <x:v>用户App-首页与福利</x:v>
      </x:c>
      <x:c r="D37" s="5" t="str">
        <x:v>搜索</x:v>
      </x:c>
      <x:c r="E37" s="5" t="str">
        <x:v>逻辑校验</x:v>
      </x:c>
      <x:c r="F37" s="5" t="str">
        <x:v>P2</x:v>
      </x:c>
      <x:c r="G37" s="5" t="str">
        <x:v>验证主播 ID搜索</x:v>
      </x:c>
      <x:c r="H37" s="5" t="str">
        <x:v>主播 ID搜索</x:v>
      </x:c>
      <x:c r="I37" s="5" t="str">
        <x:v>1. 存在可检索的目标主播</x:v>
      </x:c>
      <x:c r="J37" s="5" t="str">
        <x:v>1. 进入搜索页
2. 输入目标主播 ID
3. 提交搜索</x:v>
      </x:c>
      <x:c r="K37" s="5" t="str">
        <x:v>搜索结果只展示匹配该 ID 的主播</x:v>
      </x:c>
      <x:c r="L37" s="5" t="str"/>
      <x:c r="M37" s="5" t="str">
        <x:v>未测</x:v>
      </x:c>
      <x:c r="N37" s="5" t="str"/>
      <x:c r="O37" s="5" t="str">
        <x:v>1. 来源：context/01-用户主播App-项目需求清单.md
2. 来源：prototype/pages/user/home/search.html
3. 静态分析：依据当前原型、批注和需求文件生成，未进行真实接口或设备动态验证
4. 全局证据追溯：work/liveshow-user-app-all-260901-001/global-evidence-scan-result.json</x:v>
      </x:c>
    </x:row>
    <x:row r="38" ht="67.5" customHeight="1">
      <x:c r="A38" s="5" t="n">
        <x:v>37</x:v>
      </x:c>
      <x:c r="B38" s="5" t="str">
        <x:v>HOME-017</x:v>
      </x:c>
      <x:c r="C38" s="5" t="str">
        <x:v>用户App-首页与福利</x:v>
      </x:c>
      <x:c r="D38" s="5" t="str">
        <x:v>搜索</x:v>
      </x:c>
      <x:c r="E38" s="5" t="str">
        <x:v>逻辑校验</x:v>
      </x:c>
      <x:c r="F38" s="5" t="str">
        <x:v>P2</x:v>
      </x:c>
      <x:c r="G38" s="5" t="str">
        <x:v>验证主播昵称搜索</x:v>
      </x:c>
      <x:c r="H38" s="5" t="str">
        <x:v>主播昵称搜索</x:v>
      </x:c>
      <x:c r="I38" s="5" t="str">
        <x:v>1. 存在可检索的目标主播</x:v>
      </x:c>
      <x:c r="J38" s="5" t="str">
        <x:v>1. 进入搜索页
2. 输入目标主播昵称
3. 提交搜索</x:v>
      </x:c>
      <x:c r="K38" s="5" t="str">
        <x:v>搜索结果只展示匹配该昵称的主播</x:v>
      </x:c>
      <x:c r="L38" s="5" t="str"/>
      <x:c r="M38" s="5" t="str">
        <x:v>未测</x:v>
      </x:c>
      <x:c r="N38" s="5" t="str"/>
      <x:c r="O38" s="5" t="str">
        <x:v>1. 来源：context/01-用户主播App-项目需求清单.md
2. 来源：prototype/pages/user/home/search.html
3. 静态分析：依据当前原型、批注和需求文件生成，未进行真实接口或设备动态验证
4. 全局证据追溯：work/liveshow-user-app-all-260901-001/global-evidence-scan-result.json</x:v>
      </x:c>
    </x:row>
    <x:row r="39" ht="67.5" customHeight="1">
      <x:c r="A39" s="5" t="n">
        <x:v>38</x:v>
      </x:c>
      <x:c r="B39" s="5" t="str">
        <x:v>HOME-018</x:v>
      </x:c>
      <x:c r="C39" s="5" t="str">
        <x:v>用户App-首页与福利</x:v>
      </x:c>
      <x:c r="D39" s="5" t="str">
        <x:v>搜索</x:v>
      </x:c>
      <x:c r="E39" s="5" t="str">
        <x:v>异常用例</x:v>
      </x:c>
      <x:c r="F39" s="5" t="str">
        <x:v>P2</x:v>
      </x:c>
      <x:c r="G39" s="5" t="str">
        <x:v>验证空关键词不跳转</x:v>
      </x:c>
      <x:c r="H39" s="5" t="str">
        <x:v>空关键词不跳转</x:v>
      </x:c>
      <x:c r="I39" s="5" t="str">
        <x:v>1. 用户已进入搜索页</x:v>
      </x:c>
      <x:c r="J39" s="5" t="str">
        <x:v>1. 保持搜索词为空
2. 提交搜索</x:v>
      </x:c>
      <x:c r="K39" s="5" t="str">
        <x:v>页面停留在搜索页</x:v>
      </x:c>
      <x:c r="L39" s="5" t="str"/>
      <x:c r="M39" s="5" t="str">
        <x:v>未测</x:v>
      </x:c>
      <x:c r="N39" s="5" t="str"/>
      <x:c r="O39" s="5" t="str">
        <x:v>1. 来源：context/01-用户主播App-项目需求清单.md
2. 来源：prototype/pages/user/home/search.html
3. 静态分析：依据当前原型、批注和需求文件生成，未进行真实接口或设备动态验证
4. 全局证据追溯：work/liveshow-user-app-all-260901-001/global-evidence-scan-result.json</x:v>
      </x:c>
    </x:row>
    <x:row r="40" ht="67.5" customHeight="1">
      <x:c r="A40" s="5" t="n">
        <x:v>39</x:v>
      </x:c>
      <x:c r="B40" s="5" t="str">
        <x:v>HOME-019</x:v>
      </x:c>
      <x:c r="C40" s="5" t="str">
        <x:v>用户App-首页与福利</x:v>
      </x:c>
      <x:c r="D40" s="5" t="str">
        <x:v>搜索结果</x:v>
      </x:c>
      <x:c r="E40" s="5" t="str">
        <x:v>业务流程</x:v>
      </x:c>
      <x:c r="F40" s="5" t="str">
        <x:v>P1</x:v>
      </x:c>
      <x:c r="G40" s="5" t="str">
        <x:v>验证直播中结果进入直播间</x:v>
      </x:c>
      <x:c r="H40" s="5" t="str">
        <x:v>直播中结果进入直播间</x:v>
      </x:c>
      <x:c r="I40" s="5" t="str">
        <x:v>1. 搜索结果包含正在直播的目标主播</x:v>
      </x:c>
      <x:c r="J40" s="5" t="str">
        <x:v>1. 点击该主播头像或“直播中”</x:v>
      </x:c>
      <x:c r="K40" s="5" t="str">
        <x:v>页面进入该主播当前直播间</x:v>
      </x:c>
      <x:c r="L40" s="5" t="str"/>
      <x:c r="M40" s="5" t="str">
        <x:v>未测</x:v>
      </x:c>
      <x:c r="N40" s="5" t="str"/>
      <x:c r="O40" s="5" t="str">
        <x:v>1. 来源：context/01-用户主播App-项目需求清单.md
2. 来源：prototype/pages/user/home/search-results.html
3. 静态分析：依据当前原型、批注和需求文件生成，未进行真实接口或设备动态验证
4. 全局证据追溯：work/liveshow-user-app-all-260901-001/global-evidence-scan-result.json</x:v>
      </x:c>
    </x:row>
    <x:row r="41" ht="67.5" customHeight="1">
      <x:c r="A41" s="5" t="n">
        <x:v>40</x:v>
      </x:c>
      <x:c r="B41" s="5" t="str">
        <x:v>HOME-020</x:v>
      </x:c>
      <x:c r="C41" s="5" t="str">
        <x:v>用户App-首页与福利</x:v>
      </x:c>
      <x:c r="D41" s="5" t="str">
        <x:v>搜索结果</x:v>
      </x:c>
      <x:c r="E41" s="5" t="str">
        <x:v>业务流程</x:v>
      </x:c>
      <x:c r="F41" s="5" t="str">
        <x:v>P2</x:v>
      </x:c>
      <x:c r="G41" s="5" t="str">
        <x:v>验证未直播结果进入主播主页</x:v>
      </x:c>
      <x:c r="H41" s="5" t="str">
        <x:v>未直播结果进入主播主页</x:v>
      </x:c>
      <x:c r="I41" s="5" t="str">
        <x:v>1. 搜索结果包含未直播的目标主播</x:v>
      </x:c>
      <x:c r="J41" s="5" t="str">
        <x:v>1. 点击该主播头像</x:v>
      </x:c>
      <x:c r="K41" s="5" t="str">
        <x:v>页面进入该主播主页</x:v>
      </x:c>
      <x:c r="L41" s="5" t="str"/>
      <x:c r="M41" s="5" t="str">
        <x:v>未测</x:v>
      </x:c>
      <x:c r="N41" s="5" t="str"/>
      <x:c r="O41" s="5" t="str">
        <x:v>1. 来源：context/01-用户主播App-项目需求清单.md
2. 来源：prototype/pages/user/home/search-results.html
3. 静态分析：依据当前原型、批注和需求文件生成，未进行真实接口或设备动态验证
4. 全局证据追溯：work/liveshow-user-app-all-260901-001/global-evidence-scan-result.json</x:v>
      </x:c>
    </x:row>
    <x:row r="42" ht="67.5" customHeight="1">
      <x:c r="A42" s="5" t="n">
        <x:v>41</x:v>
      </x:c>
      <x:c r="B42" s="5" t="str">
        <x:v>HOME-021</x:v>
      </x:c>
      <x:c r="C42" s="5" t="str">
        <x:v>用户App-首页与福利</x:v>
      </x:c>
      <x:c r="D42" s="5" t="str">
        <x:v>搜索结果</x:v>
      </x:c>
      <x:c r="E42" s="5" t="str">
        <x:v>异常用例</x:v>
      </x:c>
      <x:c r="F42" s="5" t="str">
        <x:v>P2</x:v>
      </x:c>
      <x:c r="G42" s="5" t="str">
        <x:v>验证搜索无匹配结果</x:v>
      </x:c>
      <x:c r="H42" s="5" t="str">
        <x:v>搜索无匹配结果</x:v>
      </x:c>
      <x:c r="I42" s="5" t="str">
        <x:v>1. 不存在与输入词匹配的主播或房间</x:v>
      </x:c>
      <x:c r="J42" s="5" t="str">
        <x:v>1. 输入无匹配关键词
2. 提交搜索</x:v>
      </x:c>
      <x:c r="K42" s="5" t="str">
        <x:v>页面保留搜索框并展示无结果空状态</x:v>
      </x:c>
      <x:c r="L42" s="5" t="str"/>
      <x:c r="M42" s="5" t="str">
        <x:v>未测</x:v>
      </x:c>
      <x:c r="N42" s="5" t="str"/>
      <x:c r="O42" s="5" t="str">
        <x:v>1. 来源：context/01-用户主播App-项目需求清单.md
2. 来源：prototype/pages/user/home/search-results.html
3. 静态分析：依据当前原型、批注和需求文件生成，未进行真实接口或设备动态验证
4. 全局证据追溯：work/liveshow-user-app-all-260901-001/global-evidence-scan-result.json</x:v>
      </x:c>
    </x:row>
    <x:row r="43" ht="67.5" customHeight="1">
      <x:c r="A43" s="5" t="n">
        <x:v>42</x:v>
      </x:c>
      <x:c r="B43" s="5" t="str">
        <x:v>HOME-022</x:v>
      </x:c>
      <x:c r="C43" s="5" t="str">
        <x:v>用户App-首页与福利</x:v>
      </x:c>
      <x:c r="D43" s="5" t="str">
        <x:v>福利中心</x:v>
      </x:c>
      <x:c r="E43" s="5" t="str">
        <x:v>业务流程</x:v>
      </x:c>
      <x:c r="F43" s="5" t="str">
        <x:v>P1</x:v>
      </x:c>
      <x:c r="G43" s="5" t="str">
        <x:v>验证领取签到奖励写入金币流水</x:v>
      </x:c>
      <x:c r="H43" s="5" t="str">
        <x:v>领取签到奖励写入金币流水</x:v>
      </x:c>
      <x:c r="I43" s="5" t="str">
        <x:v>1. 当天存在可领取的签到金币奖励</x:v>
      </x:c>
      <x:c r="J43" s="5" t="str">
        <x:v>1. 进入福利中心
2. 领取签到奖励
3. 进入余额明细</x:v>
      </x:c>
      <x:c r="K43" s="5" t="str">
        <x:v>余额明细新增该签到金币入账记录</x:v>
      </x:c>
      <x:c r="L43" s="5" t="str">
        <x:v>FLOW-UAPP-REWARD-01</x:v>
      </x:c>
      <x:c r="M43" s="5" t="str">
        <x:v>未测</x:v>
      </x:c>
      <x:c r="N43" s="5" t="str"/>
      <x:c r="O43" s="5" t="str">
        <x:v>1. 来源：context/01-用户主播App-项目需求清单.md
2. 来源：prototype/pages/user/home/welfare-center.html
3. 静态分析：依据当前原型、批注和需求文件生成，未进行真实接口或设备动态验证
4. 全局证据追溯：work/liveshow-user-app-all-260901-001/global-evidence-scan-result.json</x:v>
      </x:c>
    </x:row>
    <x:row r="44" ht="67.5" customHeight="1">
      <x:c r="A44" s="5" t="n">
        <x:v>43</x:v>
      </x:c>
      <x:c r="B44" s="5" t="str">
        <x:v>HOME-023</x:v>
      </x:c>
      <x:c r="C44" s="5" t="str">
        <x:v>用户App-首页与福利</x:v>
      </x:c>
      <x:c r="D44" s="5" t="str">
        <x:v>福利中心</x:v>
      </x:c>
      <x:c r="E44" s="5" t="str">
        <x:v>逻辑校验</x:v>
      </x:c>
      <x:c r="F44" s="5" t="str">
        <x:v>P1</x:v>
      </x:c>
      <x:c r="G44" s="5" t="str">
        <x:v>验证已领取签到不可重复领取</x:v>
      </x:c>
      <x:c r="H44" s="5" t="str">
        <x:v>已领取签到不可重复领取</x:v>
      </x:c>
      <x:c r="I44" s="5" t="str">
        <x:v>1. 用户当天已领取签到奖励</x:v>
      </x:c>
      <x:c r="J44" s="5" t="str">
        <x:v>1. 再次点击当天签到奖励</x:v>
      </x:c>
      <x:c r="K44" s="5" t="str">
        <x:v>系统不重复发放签到奖励</x:v>
      </x:c>
      <x:c r="L44" s="5" t="str"/>
      <x:c r="M44" s="5" t="str">
        <x:v>未测</x:v>
      </x:c>
      <x:c r="N44" s="5" t="str"/>
      <x:c r="O44" s="5" t="str">
        <x:v>1. 来源：context/01-用户主播App-项目需求清单.md
2. 来源：prototype/pages/user/home/welfare-center.html
3. 静态分析：依据当前原型、批注和需求文件生成，未进行真实接口或设备动态验证
4. 全局证据追溯：work/liveshow-user-app-all-260901-001/global-evidence-scan-result.json</x:v>
      </x:c>
    </x:row>
    <x:row r="45" ht="67.5" customHeight="1">
      <x:c r="A45" s="5" t="n">
        <x:v>44</x:v>
      </x:c>
      <x:c r="B45" s="5" t="str">
        <x:v>HOME-024</x:v>
      </x:c>
      <x:c r="C45" s="5" t="str">
        <x:v>用户App-首页与福利</x:v>
      </x:c>
      <x:c r="D45" s="5" t="str">
        <x:v>福利中心</x:v>
      </x:c>
      <x:c r="E45" s="5" t="str">
        <x:v>业务流程</x:v>
      </x:c>
      <x:c r="F45" s="5" t="str">
        <x:v>P2</x:v>
      </x:c>
      <x:c r="G45" s="5" t="str">
        <x:v>验证任务进度随用户动作更新</x:v>
      </x:c>
      <x:c r="H45" s="5" t="str">
        <x:v>任务进度随用户动作更新</x:v>
      </x:c>
      <x:c r="I45" s="5" t="str">
        <x:v>1. 存在观看直播任务且当前进度未完成</x:v>
      </x:c>
      <x:c r="J45" s="5" t="str">
        <x:v>1. 完成要求的观看直播动作
2. 返回福利中心刷新任务</x:v>
      </x:c>
      <x:c r="K45" s="5" t="str">
        <x:v>该任务进度按本次动作增加</x:v>
      </x:c>
      <x:c r="L45" s="5" t="str">
        <x:v>FLOW-UAPP-TASK-01</x:v>
      </x:c>
      <x:c r="M45" s="5" t="str">
        <x:v>未测</x:v>
      </x:c>
      <x:c r="N45" s="5" t="str"/>
      <x:c r="O45" s="5" t="str">
        <x:v>1. 来源：context/01-用户主播App-项目需求清单.md
2. 来源：prototype/pages/user/home/welfare-center.html
3. 静态分析：依据当前原型、批注和需求文件生成，未进行真实接口或设备动态验证
4. 全局证据追溯：work/liveshow-user-app-all-260901-001/global-evidence-scan-result.json</x:v>
      </x:c>
    </x:row>
    <x:row r="46" ht="67.5" customHeight="1">
      <x:c r="A46" s="5" t="n">
        <x:v>45</x:v>
      </x:c>
      <x:c r="B46" s="5" t="str">
        <x:v>HOME-025</x:v>
      </x:c>
      <x:c r="C46" s="5" t="str">
        <x:v>用户App-首页与福利</x:v>
      </x:c>
      <x:c r="D46" s="5" t="str">
        <x:v>福利中心</x:v>
      </x:c>
      <x:c r="E46" s="5" t="str">
        <x:v>业务流程</x:v>
      </x:c>
      <x:c r="F46" s="5" t="str">
        <x:v>P1</x:v>
      </x:c>
      <x:c r="G46" s="5" t="str">
        <x:v>验证领取任务奖励写入金币流水</x:v>
      </x:c>
      <x:c r="H46" s="5" t="str">
        <x:v>领取任务奖励写入金币流水</x:v>
      </x:c>
      <x:c r="I46" s="5" t="str">
        <x:v>1. 金币任务已完成且奖励待领取</x:v>
      </x:c>
      <x:c r="J46" s="5" t="str">
        <x:v>1. 领取任务奖励
2. 进入余额明细</x:v>
      </x:c>
      <x:c r="K46" s="5" t="str">
        <x:v>余额明细新增该任务金币入账记录</x:v>
      </x:c>
      <x:c r="L46" s="5" t="str">
        <x:v>FLOW-UAPP-TASK-01</x:v>
      </x:c>
      <x:c r="M46" s="5" t="str">
        <x:v>未测</x:v>
      </x:c>
      <x:c r="N46" s="5" t="str"/>
      <x:c r="O46" s="5" t="str">
        <x:v>1. 来源：context/01-用户主播App-项目需求清单.md
2. 来源：prototype/pages/user/home/welfare-center.html
3. 静态分析：依据当前原型、批注和需求文件生成，未进行真实接口或设备动态验证
4. 全局证据追溯：work/liveshow-user-app-all-260901-001/global-evidence-scan-result.json</x:v>
      </x:c>
    </x:row>
    <x:row r="47" ht="79.5" customHeight="1">
      <x:c r="A47" s="5" t="n">
        <x:v>46</x:v>
      </x:c>
      <x:c r="B47" s="5" t="str">
        <x:v>HOME-026</x:v>
      </x:c>
      <x:c r="C47" s="5" t="str">
        <x:v>用户App-首页与福利</x:v>
      </x:c>
      <x:c r="D47" s="5" t="str">
        <x:v>福利中心</x:v>
      </x:c>
      <x:c r="E47" s="5" t="str">
        <x:v>逻辑校验</x:v>
      </x:c>
      <x:c r="F47" s="5" t="str">
        <x:v>P2</x:v>
      </x:c>
      <x:c r="G47" s="5" t="str">
        <x:v>验证运营下架任务后不再展示</x:v>
      </x:c>
      <x:c r="H47" s="5" t="str">
        <x:v>运营下架任务后不再展示</x:v>
      </x:c>
      <x:c r="I47" s="5" t="str">
        <x:v>1. 后台已将目标任务设为不生效</x:v>
      </x:c>
      <x:c r="J47" s="5" t="str">
        <x:v>1. 进入福利中心
2. 查看任务列表</x:v>
      </x:c>
      <x:c r="K47" s="5" t="str">
        <x:v>任务列表不展示该目标任务</x:v>
      </x:c>
      <x:c r="L47" s="5" t="str"/>
      <x:c r="M47" s="5" t="str">
        <x:v>未测</x:v>
      </x:c>
      <x:c r="N47" s="5" t="str"/>
      <x:c r="O47" s="5" t="str">
        <x:v>1. 来源：context/01-用户主播App-项目需求清单.md
2. 来源：prototype/assets/annotations.js 的福利配置批注
3. 来源：context/03-管理后台-项目需求清单.md
4. 静态分析：依据当前原型、批注和需求文件生成，未进行真实接口或设备动态验证
5. 全局证据追溯：work/liveshow-user-app-all-260901-001/global-evidence-scan-result.json</x:v>
      </x:c>
    </x:row>
    <x:row r="48" ht="67.5" customHeight="1">
      <x:c r="A48" s="5" t="n">
        <x:v>47</x:v>
      </x:c>
      <x:c r="B48" s="5" t="str">
        <x:v>HOME-027</x:v>
      </x:c>
      <x:c r="C48" s="5" t="str">
        <x:v>用户App-首页与福利</x:v>
      </x:c>
      <x:c r="D48" s="5" t="str">
        <x:v>邀请好友</x:v>
      </x:c>
      <x:c r="E48" s="5" t="str">
        <x:v>功能需求</x:v>
      </x:c>
      <x:c r="F48" s="5" t="str">
        <x:v>P2</x:v>
      </x:c>
      <x:c r="G48" s="5" t="str">
        <x:v>验证打开三种邀请分享选项</x:v>
      </x:c>
      <x:c r="H48" s="5" t="str">
        <x:v>打开三种邀请分享选项</x:v>
      </x:c>
      <x:c r="I48" s="5" t="str">
        <x:v>1. 用户已进入邀请好友页</x:v>
      </x:c>
      <x:c r="J48" s="5" t="str">
        <x:v>1. 点击邀请好友</x:v>
      </x:c>
      <x:c r="K48" s="5" t="str">
        <x:v>页面展示复制邀请链接、发送邀请卡片和保存图片三种选项</x:v>
      </x:c>
      <x:c r="L48" s="5" t="str"/>
      <x:c r="M48" s="5" t="str">
        <x:v>未测</x:v>
      </x:c>
      <x:c r="N48" s="5" t="str"/>
      <x:c r="O48"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49" ht="67.5" customHeight="1">
      <x:c r="A49" s="5" t="n">
        <x:v>48</x:v>
      </x:c>
      <x:c r="B49" s="5" t="str">
        <x:v>HOME-028</x:v>
      </x:c>
      <x:c r="C49" s="5" t="str">
        <x:v>用户App-首页与福利</x:v>
      </x:c>
      <x:c r="D49" s="5" t="str">
        <x:v>邀请好友</x:v>
      </x:c>
      <x:c r="E49" s="5" t="str">
        <x:v>业务流程</x:v>
      </x:c>
      <x:c r="F49" s="5" t="str">
        <x:v>P2</x:v>
      </x:c>
      <x:c r="G49" s="5" t="str">
        <x:v>验证复制邀请链接</x:v>
      </x:c>
      <x:c r="H49" s="5" t="str">
        <x:v>复制邀请链接</x:v>
      </x:c>
      <x:c r="I49" s="5" t="str">
        <x:v>1. 邀请分享选项已打开</x:v>
      </x:c>
      <x:c r="J49" s="5" t="str">
        <x:v>1. 点击复制邀请链接</x:v>
      </x:c>
      <x:c r="K49" s="5" t="str">
        <x:v>系统反馈邀请链接已复制</x:v>
      </x:c>
      <x:c r="L49" s="5" t="str"/>
      <x:c r="M49" s="5" t="str">
        <x:v>未测</x:v>
      </x:c>
      <x:c r="N49" s="5" t="str"/>
      <x:c r="O49"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50" ht="67.5" customHeight="1">
      <x:c r="A50" s="5" t="n">
        <x:v>49</x:v>
      </x:c>
      <x:c r="B50" s="5" t="str">
        <x:v>HOME-029</x:v>
      </x:c>
      <x:c r="C50" s="5" t="str">
        <x:v>用户App-首页与福利</x:v>
      </x:c>
      <x:c r="D50" s="5" t="str">
        <x:v>邀请好友</x:v>
      </x:c>
      <x:c r="E50" s="5" t="str">
        <x:v>逻辑校验</x:v>
      </x:c>
      <x:c r="F50" s="5" t="str">
        <x:v>P2</x:v>
      </x:c>
      <x:c r="G50" s="5" t="str">
        <x:v>验证邀请记录按成功时间展示</x:v>
      </x:c>
      <x:c r="H50" s="5" t="str">
        <x:v>邀请记录按成功时间展示</x:v>
      </x:c>
      <x:c r="I50" s="5" t="str">
        <x:v>1. 用户已有多条邀请成功记录</x:v>
      </x:c>
      <x:c r="J50" s="5" t="str">
        <x:v>1. 进入邀请好友页
2. 切换到邀请记录</x:v>
      </x:c>
      <x:c r="K50" s="5" t="str">
        <x:v>记录按邀请成功时间展示好友昵称和邀请日期</x:v>
      </x:c>
      <x:c r="L50" s="5" t="str"/>
      <x:c r="M50" s="5" t="str">
        <x:v>未测</x:v>
      </x:c>
      <x:c r="N50" s="5" t="str"/>
      <x:c r="O50"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51" ht="67.5" customHeight="1">
      <x:c r="A51" s="5" t="n">
        <x:v>50</x:v>
      </x:c>
      <x:c r="B51" s="5" t="str">
        <x:v>HOME-030</x:v>
      </x:c>
      <x:c r="C51" s="5" t="str">
        <x:v>用户App-首页与福利</x:v>
      </x:c>
      <x:c r="D51" s="5" t="str">
        <x:v>邀请绑定</x:v>
      </x:c>
      <x:c r="E51" s="5" t="str">
        <x:v>业务流程</x:v>
      </x:c>
      <x:c r="F51" s="5" t="str">
        <x:v>P1</x:v>
      </x:c>
      <x:c r="G51" s="5" t="str">
        <x:v>验证新用户首次绑定邀请码</x:v>
      </x:c>
      <x:c r="H51" s="5" t="str">
        <x:v>新用户首次绑定邀请码</x:v>
      </x:c>
      <x:c r="I51" s="5" t="str">
        <x:v>1. 新用户尚未绑定邀请关系且持有有效邀请码</x:v>
      </x:c>
      <x:c r="J51" s="5" t="str">
        <x:v>1. 在注册流程填写邀请码
2. 完成注册</x:v>
      </x:c>
      <x:c r="K51" s="5" t="str">
        <x:v>系统建立新用户与邀请人的唯一绑定关系</x:v>
      </x:c>
      <x:c r="L51" s="5" t="str">
        <x:v>FLOW-UAPP-INVITE-01</x:v>
      </x:c>
      <x:c r="M51" s="5" t="str">
        <x:v>未测</x:v>
      </x:c>
      <x:c r="N51" s="5" t="str"/>
      <x:c r="O51"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52" ht="67.5" customHeight="1">
      <x:c r="A52" s="5" t="n">
        <x:v>51</x:v>
      </x:c>
      <x:c r="B52" s="5" t="str">
        <x:v>HOME-031</x:v>
      </x:c>
      <x:c r="C52" s="5" t="str">
        <x:v>用户App-首页与福利</x:v>
      </x:c>
      <x:c r="D52" s="5" t="str">
        <x:v>邀请绑定</x:v>
      </x:c>
      <x:c r="E52" s="5" t="str">
        <x:v>逻辑校验</x:v>
      </x:c>
      <x:c r="F52" s="5" t="str">
        <x:v>P1</x:v>
      </x:c>
      <x:c r="G52" s="5" t="str">
        <x:v>验证已绑定用户不能更换邀请人</x:v>
      </x:c>
      <x:c r="H52" s="5" t="str">
        <x:v>已绑定用户不能更换邀请人</x:v>
      </x:c>
      <x:c r="I52" s="5" t="str">
        <x:v>1. 用户已存在邀请绑定关系</x:v>
      </x:c>
      <x:c r="J52" s="5" t="str">
        <x:v>1. 尝试填写另一邀请码
2. 提交绑定</x:v>
      </x:c>
      <x:c r="K52" s="5" t="str">
        <x:v>原邀请绑定关系保持不变</x:v>
      </x:c>
      <x:c r="L52" s="5" t="str">
        <x:v>FLOW-UAPP-INVITE-01</x:v>
      </x:c>
      <x:c r="M52" s="5" t="str">
        <x:v>未测</x:v>
      </x:c>
      <x:c r="N52" s="5" t="str"/>
      <x:c r="O52"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53" ht="67.5" customHeight="1">
      <x:c r="A53" s="5" t="n">
        <x:v>52</x:v>
      </x:c>
      <x:c r="B53" s="5" t="str">
        <x:v>HOME-032</x:v>
      </x:c>
      <x:c r="C53" s="5" t="str">
        <x:v>用户App-首页与福利</x:v>
      </x:c>
      <x:c r="D53" s="5" t="str">
        <x:v>邀请奖励</x:v>
      </x:c>
      <x:c r="E53" s="5" t="str">
        <x:v>业务流程</x:v>
      </x:c>
      <x:c r="F53" s="5" t="str">
        <x:v>P1</x:v>
      </x:c>
      <x:c r="G53" s="5" t="str">
        <x:v>验证注册奖励发放给邀请人</x:v>
      </x:c>
      <x:c r="H53" s="5" t="str">
        <x:v>注册奖励发放给邀请人</x:v>
      </x:c>
      <x:c r="I53" s="5" t="str">
        <x:v>1. 后台已配置邀请注册奖励且新用户成功绑定邀请关系</x:v>
      </x:c>
      <x:c r="J53" s="5" t="str">
        <x:v>1. 邀请人进入邀请好友页
2. 查看累计获赠金币</x:v>
      </x:c>
      <x:c r="K53" s="5" t="str">
        <x:v>累计获赠金币包含本次注册奖励</x:v>
      </x:c>
      <x:c r="L53" s="5" t="str">
        <x:v>FLOW-UAPP-INVITE-01</x:v>
      </x:c>
      <x:c r="M53" s="5" t="str">
        <x:v>未测</x:v>
      </x:c>
      <x:c r="N53" s="5" t="str"/>
      <x:c r="O53"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54" ht="67.5" customHeight="1">
      <x:c r="A54" s="5" t="n">
        <x:v>53</x:v>
      </x:c>
      <x:c r="B54" s="5" t="str">
        <x:v>HOME-033</x:v>
      </x:c>
      <x:c r="C54" s="5" t="str">
        <x:v>用户App-首页与福利</x:v>
      </x:c>
      <x:c r="D54" s="5" t="str">
        <x:v>邀请奖励</x:v>
      </x:c>
      <x:c r="E54" s="5" t="str">
        <x:v>逻辑校验</x:v>
      </x:c>
      <x:c r="F54" s="5" t="str">
        <x:v>P1</x:v>
      </x:c>
      <x:c r="G54" s="5" t="str">
        <x:v>验证命中风控时奖励不进入可用余额</x:v>
      </x:c>
      <x:c r="H54" s="5" t="str">
        <x:v>命中风控时奖励不进入可用余额</x:v>
      </x:c>
      <x:c r="I54" s="5" t="str">
        <x:v>1. 邀请关系命中后台已配置的防刷规则</x:v>
      </x:c>
      <x:c r="J54" s="5" t="str">
        <x:v>1. 完成触发邀请奖励的注册或充值动作
2. 邀请人查看金币余额</x:v>
      </x:c>
      <x:c r="K54" s="5" t="str">
        <x:v>本次邀请奖励不增加邀请人的可用金币余额</x:v>
      </x:c>
      <x:c r="L54" s="5" t="str">
        <x:v>FLOW-UAPP-INVITE-01</x:v>
      </x:c>
      <x:c r="M54" s="5" t="str">
        <x:v>未测</x:v>
      </x:c>
      <x:c r="N54" s="5" t="str"/>
      <x:c r="O54" s="5" t="str">
        <x:v>1. 来源：context/01-用户主播App-项目需求清单.md
2. 来源：prototype/pages/user/home/invite-friends.html
3. 静态分析：依据当前原型、批注和需求文件生成，未进行真实接口或设备动态验证
4. 全局证据追溯：work/liveshow-user-app-all-260901-001/global-evidence-scan-result.json</x:v>
      </x:c>
    </x:row>
    <x:row r="55" ht="103.5" customHeight="1">
      <x:c r="A55" s="5" t="n">
        <x:v>54</x:v>
      </x:c>
      <x:c r="B55" s="5" t="str">
        <x:v>LIVE-001</x:v>
      </x:c>
      <x:c r="C55" s="5" t="str">
        <x:v>用户App-直播</x:v>
      </x:c>
      <x:c r="D55" s="5" t="str">
        <x:v>直播广场</x:v>
      </x:c>
      <x:c r="E55" s="5" t="str">
        <x:v>业务流程</x:v>
      </x:c>
      <x:c r="F55" s="5" t="str">
        <x:v>P1</x:v>
      </x:c>
      <x:c r="G55" s="5" t="str">
        <x:v>验证直播卡片的通用信息</x:v>
      </x:c>
      <x:c r="H55" s="5" t="str">
        <x:v>直播卡片通用信息</x:v>
      </x:c>
      <x:c r="I55" s="5" t="str">
        <x:v>1. 用户已登录
2. 后台存在普通房、门票房和密码房直播数据</x:v>
      </x:c>
      <x:c r="J55" s="5" t="str">
        <x:v>1. 进入首页直播广场
2. 查看热门列表中的直播卡片</x:v>
      </x:c>
      <x:c r="K55" s="5" t="str">
        <x:v>直播卡片展示直播封面、主播昵称或头像、直播标题和房间类型标识</x:v>
      </x:c>
      <x:c r="L55" s="5" t="str"/>
      <x:c r="M55" s="5" t="str">
        <x:v>未测</x:v>
      </x:c>
      <x:c r="N55" s="5" t="str"/>
      <x:c r="O55" s="5" t="str">
        <x:v>1. 来源：context/01-用户主播App-项目需求清单.md
2. 来源：prototype/Luma Live-原型说明.md
3. 来源：对应 HTML 静态原型；未动态验证
4. 追溯：业务底稿 LIVE-001。
5. 同步追溯：work/liveshow-user-app-all-260901-001/prototype-context-sync-result.json；RSL-0002、RSL-0003
6. 全局证据追溯：work/liveshow-user-app-all-260901-001/global-evidence-scan-result.json；扫描模式 full</x:v>
      </x:c>
    </x:row>
    <x:row r="56" ht="103.5" customHeight="1">
      <x:c r="A56" s="5" t="n">
        <x:v>55</x:v>
      </x:c>
      <x:c r="B56" s="5" t="str">
        <x:v>LIVE-002</x:v>
      </x:c>
      <x:c r="C56" s="5" t="str">
        <x:v>用户App-直播</x:v>
      </x:c>
      <x:c r="D56" s="5" t="str">
        <x:v>直播广场</x:v>
      </x:c>
      <x:c r="E56" s="5" t="str">
        <x:v>功能需求</x:v>
      </x:c>
      <x:c r="F56" s="5" t="str">
        <x:v>P1</x:v>
      </x:c>
      <x:c r="G56" s="5" t="str">
        <x:v>验证切换至新人直播列表</x:v>
      </x:c>
      <x:c r="H56" s="5" t="str">
        <x:v>新人直播列表切换</x:v>
      </x:c>
      <x:c r="I56" s="5" t="str">
        <x:v>1. 热门与新人列表均存在直播数据</x:v>
      </x:c>
      <x:c r="J56" s="5" t="str">
        <x:v>1. 进入直播广场
2. 点击“新人”</x:v>
      </x:c>
      <x:c r="K56" s="5" t="str">
        <x:v>直播列表展示新人直播数据</x:v>
      </x:c>
      <x:c r="L56" s="5" t="str"/>
      <x:c r="M56" s="5" t="str">
        <x:v>未测</x:v>
      </x:c>
      <x:c r="N56" s="5" t="str"/>
      <x:c r="O56" s="5" t="str">
        <x:v>1. 来源：context/01-用户主播App-项目需求清单.md
2. 来源：prototype/assets/annotations.js
3. 来源：对应 HTML 静态原型；未动态验证
4. 追溯：业务底稿 LIVE-002。
5. 同步追溯：work/liveshow-user-app-all-260901-001/prototype-context-sync-result.json；RSL-0002、RSL-0003
6. 全局证据追溯：work/liveshow-user-app-all-260901-001/global-evidence-scan-result.json；扫描模式 full</x:v>
      </x:c>
    </x:row>
    <x:row r="57" ht="103.5" customHeight="1">
      <x:c r="A57" s="5" t="n">
        <x:v>56</x:v>
      </x:c>
      <x:c r="B57" s="5" t="str">
        <x:v>LIVE-003</x:v>
      </x:c>
      <x:c r="C57" s="5" t="str">
        <x:v>用户App-直播</x:v>
      </x:c>
      <x:c r="D57" s="5" t="str">
        <x:v>直播广场</x:v>
      </x:c>
      <x:c r="E57" s="5" t="str">
        <x:v>功能需求</x:v>
      </x:c>
      <x:c r="F57" s="5" t="str">
        <x:v>P1</x:v>
      </x:c>
      <x:c r="G57" s="5" t="str">
        <x:v>验证切换至热门直播列表</x:v>
      </x:c>
      <x:c r="H57" s="5" t="str">
        <x:v>热门直播列表切换</x:v>
      </x:c>
      <x:c r="I57" s="5" t="str">
        <x:v>1. 热门与新人列表均存在直播数据</x:v>
      </x:c>
      <x:c r="J57" s="5" t="str">
        <x:v>1. 进入直播广场
2. 点击“热门”</x:v>
      </x:c>
      <x:c r="K57" s="5" t="str">
        <x:v>直播列表展示热门直播数据</x:v>
      </x:c>
      <x:c r="L57" s="5" t="str"/>
      <x:c r="M57" s="5" t="str">
        <x:v>未测</x:v>
      </x:c>
      <x:c r="N57" s="5" t="str"/>
      <x:c r="O57" s="5" t="str">
        <x:v>1. 来源：context/01-用户主播App-项目需求清单.md
2. 来源：prototype/assets/annotations.js
3. 来源：对应 HTML 静态原型；未动态验证
4. 追溯：业务底稿 LIVE-002。
5. 同步追溯：work/liveshow-user-app-all-260901-001/prototype-context-sync-result.json；RSL-0002、RSL-0003
6. 全局证据追溯：work/liveshow-user-app-all-260901-001/global-evidence-scan-result.json；扫描模式 full</x:v>
      </x:c>
    </x:row>
    <x:row r="58" ht="91.5" customHeight="1">
      <x:c r="A58" s="5" t="n">
        <x:v>57</x:v>
      </x:c>
      <x:c r="B58" s="5" t="str">
        <x:v>LIVE-004</x:v>
      </x:c>
      <x:c r="C58" s="5" t="str">
        <x:v>用户App-直播</x:v>
      </x:c>
      <x:c r="D58" s="5" t="str">
        <x:v>直播广场</x:v>
      </x:c>
      <x:c r="E58" s="5" t="str">
        <x:v>逻辑校验</x:v>
      </x:c>
      <x:c r="F58" s="5" t="str">
        <x:v>P1</x:v>
      </x:c>
      <x:c r="G58" s="5" t="str">
        <x:v>验证直播分类来源</x:v>
      </x:c>
      <x:c r="H58" s="5" t="str">
        <x:v>直播分类选项</x:v>
      </x:c>
      <x:c r="I58" s="5" t="str">
        <x:v>1. 后台已配置至少两个直播分类
2. 不同分类下均存在直播中的房间</x:v>
      </x:c>
      <x:c r="J58" s="5" t="str">
        <x:v>1. 进入直播广场
2. 查看分类选项</x:v>
      </x:c>
      <x:c r="K58" s="5" t="str">
        <x:v>分类选项与后台启用配置一致</x:v>
      </x:c>
      <x:c r="L58" s="5" t="str"/>
      <x:c r="M58" s="5" t="str">
        <x:v>未测</x:v>
      </x:c>
      <x:c r="N58" s="5" t="str"/>
      <x:c r="O58" s="5" t="str">
        <x:v>1. 来源：context/01-用户主播App-项目需求清单.md
2. 来源：prototype/assets/annotations.js
3. 追溯：业务底稿 LIVE-003。
4. 同步追溯：work/liveshow-user-app-all-260901-001/prototype-context-sync-result.json；RSL-0002、RSL-0003
5. 全局证据追溯：work/liveshow-user-app-all-260901-001/global-evidence-scan-result.json；扫描模式 full</x:v>
      </x:c>
    </x:row>
    <x:row r="59" ht="91.5" customHeight="1">
      <x:c r="A59" s="5" t="n">
        <x:v>58</x:v>
      </x:c>
      <x:c r="B59" s="5" t="str">
        <x:v>LIVE-005</x:v>
      </x:c>
      <x:c r="C59" s="5" t="str">
        <x:v>用户App-直播</x:v>
      </x:c>
      <x:c r="D59" s="5" t="str">
        <x:v>直播广场</x:v>
      </x:c>
      <x:c r="E59" s="5" t="str">
        <x:v>逻辑校验</x:v>
      </x:c>
      <x:c r="F59" s="5" t="str">
        <x:v>P1</x:v>
      </x:c>
      <x:c r="G59" s="5" t="str">
        <x:v>验证分类 A 的直播筛选</x:v>
      </x:c>
      <x:c r="H59" s="5" t="str">
        <x:v>分类 A 直播筛选</x:v>
      </x:c>
      <x:c r="I59" s="5" t="str">
        <x:v>1. 后台已配置至少两个直播分类
2. 不同分类下均存在直播中的房间</x:v>
      </x:c>
      <x:c r="J59" s="5" t="str">
        <x:v>1. 选择分类 A
2. 查看直播列表</x:v>
      </x:c>
      <x:c r="K59" s="5" t="str">
        <x:v>分类 A 列表仅包含归属分类 A 的房间</x:v>
      </x:c>
      <x:c r="L59" s="5" t="str"/>
      <x:c r="M59" s="5" t="str">
        <x:v>未测</x:v>
      </x:c>
      <x:c r="N59" s="5" t="str"/>
      <x:c r="O59" s="5" t="str">
        <x:v>1. 来源：context/01-用户主播App-项目需求清单.md
2. 来源：prototype/assets/annotations.js
3. 追溯：业务底稿 LIVE-003。
4. 同步追溯：work/liveshow-user-app-all-260901-001/prototype-context-sync-result.json；RSL-0002、RSL-0003
5. 全局证据追溯：work/liveshow-user-app-all-260901-001/global-evidence-scan-result.json；扫描模式 full</x:v>
      </x:c>
    </x:row>
    <x:row r="60" ht="91.5" customHeight="1">
      <x:c r="A60" s="5" t="n">
        <x:v>59</x:v>
      </x:c>
      <x:c r="B60" s="5" t="str">
        <x:v>LIVE-006</x:v>
      </x:c>
      <x:c r="C60" s="5" t="str">
        <x:v>用户App-直播</x:v>
      </x:c>
      <x:c r="D60" s="5" t="str">
        <x:v>直播广场</x:v>
      </x:c>
      <x:c r="E60" s="5" t="str">
        <x:v>逻辑校验</x:v>
      </x:c>
      <x:c r="F60" s="5" t="str">
        <x:v>P1</x:v>
      </x:c>
      <x:c r="G60" s="5" t="str">
        <x:v>验证分类 B 的直播筛选</x:v>
      </x:c>
      <x:c r="H60" s="5" t="str">
        <x:v>分类 B 直播筛选</x:v>
      </x:c>
      <x:c r="I60" s="5" t="str">
        <x:v>1. 后台已配置至少两个直播分类
2. 不同分类下均存在直播中的房间</x:v>
      </x:c>
      <x:c r="J60" s="5" t="str">
        <x:v>1. 选择分类 B
2. 查看直播列表</x:v>
      </x:c>
      <x:c r="K60" s="5" t="str">
        <x:v>切换分类 B 后列表更新为归属分类 B 的房间</x:v>
      </x:c>
      <x:c r="L60" s="5" t="str"/>
      <x:c r="M60" s="5" t="str">
        <x:v>未测</x:v>
      </x:c>
      <x:c r="N60" s="5" t="str"/>
      <x:c r="O60" s="5" t="str">
        <x:v>1. 来源：context/01-用户主播App-项目需求清单.md
2. 来源：prototype/assets/annotations.js
3. 追溯：业务底稿 LIVE-003。
4. 同步追溯：work/liveshow-user-app-all-260901-001/prototype-context-sync-result.json；RSL-0002、RSL-0003
5. 全局证据追溯：work/liveshow-user-app-all-260901-001/global-evidence-scan-result.json；扫描模式 full</x:v>
      </x:c>
    </x:row>
    <x:row r="61" ht="91.5" customHeight="1">
      <x:c r="A61" s="5" t="n">
        <x:v>60</x:v>
      </x:c>
      <x:c r="B61" s="5" t="str">
        <x:v>LIVE-007</x:v>
      </x:c>
      <x:c r="C61" s="5" t="str">
        <x:v>用户App-直播</x:v>
      </x:c>
      <x:c r="D61" s="5" t="str">
        <x:v>直播广场</x:v>
      </x:c>
      <x:c r="E61" s="5" t="str">
        <x:v>功能需求</x:v>
      </x:c>
      <x:c r="F61" s="5" t="str">
        <x:v>P2</x:v>
      </x:c>
      <x:c r="G61" s="5" t="str">
        <x:v>验证下拉刷新直播列表</x:v>
      </x:c>
      <x:c r="H61" s="5" t="str">
        <x:v>下拉刷新</x:v>
      </x:c>
      <x:c r="I61" s="5" t="str">
        <x:v>1. 直播广场已加载
2. 服务端新增一场正在直播的房间</x:v>
      </x:c>
      <x:c r="J61" s="5" t="str">
        <x:v>1. 在直播列表顶部向下拖动并释放
2. 等待刷新完成</x:v>
      </x:c>
      <x:c r="K61" s="5" t="str">
        <x:v>刷新后的列表展示服务端新增的直播房间</x:v>
      </x:c>
      <x:c r="L61" s="5" t="str"/>
      <x:c r="M61" s="5" t="str">
        <x:v>未测</x:v>
      </x:c>
      <x:c r="N61" s="5" t="str"/>
      <x:c r="O61" s="5" t="str">
        <x:v>1. 来源：context/01-用户主播App-项目需求清单.md
2. 追溯：业务底稿 LIVE-004。
3. 质量修正：按 RCL-0018 执行最小前置条件和单分支检查
4. 同步追溯：work/liveshow-user-app-all-260901-001/prototype-context-sync-result.json；RSL-0002、RSL-0003
5. 全局证据追溯：work/liveshow-user-app-all-260901-001/global-evidence-scan-result.json；扫描模式 full</x:v>
      </x:c>
    </x:row>
    <x:row r="62" ht="79.5" customHeight="1">
      <x:c r="A62" s="5" t="n">
        <x:v>61</x:v>
      </x:c>
      <x:c r="B62" s="5" t="str">
        <x:v>LIVE-008</x:v>
      </x:c>
      <x:c r="C62" s="5" t="str">
        <x:v>用户App-直播</x:v>
      </x:c>
      <x:c r="D62" s="5" t="str">
        <x:v>直播广场</x:v>
      </x:c>
      <x:c r="E62" s="5" t="str">
        <x:v>功能需求</x:v>
      </x:c>
      <x:c r="F62" s="5" t="str">
        <x:v>P2</x:v>
      </x:c>
      <x:c r="G62" s="5" t="str">
        <x:v>验证上拉加载后续直播数据</x:v>
      </x:c>
      <x:c r="H62" s="5" t="str">
        <x:v>上拉加载</x:v>
      </x:c>
      <x:c r="I62" s="5" t="str">
        <x:v>1. 当前分类的直播数据超过首屏加载数量</x:v>
      </x:c>
      <x:c r="J62" s="5" t="str">
        <x:v>1. 进入直播广场
2. 滑动到当前列表底部
3. 继续上拉</x:v>
      </x:c>
      <x:c r="K62" s="5" t="str">
        <x:v>列表追加后续直播数据</x:v>
      </x:c>
      <x:c r="L62" s="5" t="str"/>
      <x:c r="M62" s="5" t="str">
        <x:v>未测</x:v>
      </x:c>
      <x:c r="N62" s="5" t="str"/>
      <x:c r="O62" s="5" t="str">
        <x:v>1. 来源：context/01-用户主播App-项目需求清单.md
2. 追溯：业务底稿 LIVE-005。
3. 同步追溯：work/liveshow-user-app-all-260901-001/prototype-context-sync-result.json；RSL-0002、RSL-0003
4. 全局证据追溯：work/liveshow-user-app-all-260901-001/global-evidence-scan-result.json；扫描模式 full</x:v>
      </x:c>
    </x:row>
    <x:row r="63" ht="79.5" customHeight="1">
      <x:c r="A63" s="5" t="n">
        <x:v>62</x:v>
      </x:c>
      <x:c r="B63" s="5" t="str">
        <x:v>LIVE-009</x:v>
      </x:c>
      <x:c r="C63" s="5" t="str">
        <x:v>用户App-直播</x:v>
      </x:c>
      <x:c r="D63" s="5" t="str">
        <x:v>直播广场</x:v>
      </x:c>
      <x:c r="E63" s="5" t="str">
        <x:v>异常用例</x:v>
      </x:c>
      <x:c r="F63" s="5" t="str">
        <x:v>P1</x:v>
      </x:c>
      <x:c r="G63" s="5" t="str">
        <x:v>验证无直播数据时的空状态文案</x:v>
      </x:c>
      <x:c r="H63" s="5" t="str">
        <x:v>广场空状态文案</x:v>
      </x:c>
      <x:c r="I63" s="5" t="str">
        <x:v>1. 当前筛选范围内没有直播中的房间</x:v>
      </x:c>
      <x:c r="J63" s="5" t="str">
        <x:v>1. 进入直播广场</x:v>
      </x:c>
      <x:c r="K63" s="5" t="str">
        <x:v>页面展示“暂无直播，去关注喜欢的主播”</x:v>
      </x:c>
      <x:c r="L63" s="5" t="str"/>
      <x:c r="M63" s="5" t="str">
        <x:v>未测</x:v>
      </x:c>
      <x:c r="N63" s="5" t="str"/>
      <x:c r="O63" s="5" t="str">
        <x:v>1. 来源：context/01-用户主播App-项目需求清单.md
2. 追溯：业务底稿 LIVE-006。
3. 同步追溯：work/liveshow-user-app-all-260901-001/prototype-context-sync-result.json；RSL-0002、RSL-0003
4. 全局证据追溯：work/liveshow-user-app-all-260901-001/global-evidence-scan-result.json；扫描模式 full</x:v>
      </x:c>
    </x:row>
    <x:row r="64" ht="103.5" customHeight="1">
      <x:c r="A64" s="5" t="n">
        <x:v>63</x:v>
      </x:c>
      <x:c r="B64" s="5" t="str">
        <x:v>LIVE-010</x:v>
      </x:c>
      <x:c r="C64" s="5" t="str">
        <x:v>用户App-直播</x:v>
      </x:c>
      <x:c r="D64" s="5" t="str">
        <x:v>直播广场</x:v>
      </x:c>
      <x:c r="E64" s="5" t="str">
        <x:v>功能需求</x:v>
      </x:c>
      <x:c r="F64" s="5" t="str">
        <x:v>P1</x:v>
      </x:c>
      <x:c r="G64" s="5" t="str">
        <x:v>验证直播广场仅提供两个列表 Tab</x:v>
      </x:c>
      <x:c r="H64" s="5" t="str">
        <x:v>直播列表 Tab 范围</x:v>
      </x:c>
      <x:c r="I64" s="5" t="str">
        <x:v>1. 用户已进入直播广场</x:v>
      </x:c>
      <x:c r="J64" s="5" t="str">
        <x:v>1. 查看直播列表顶部 Tab</x:v>
      </x:c>
      <x:c r="K64" s="5" t="str">
        <x:v>列表顶部仅展示“热门”和“新人”两个 Tab</x:v>
      </x:c>
      <x:c r="L64" s="5" t="str"/>
      <x:c r="M64" s="5" t="str">
        <x:v>未测</x:v>
      </x:c>
      <x:c r="N64" s="5" t="str"/>
      <x:c r="O64"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x:v>
      </x:c>
    </x:row>
    <x:row r="65" ht="115.5" customHeight="1">
      <x:c r="A65" s="5" t="n">
        <x:v>64</x:v>
      </x:c>
      <x:c r="B65" s="5" t="str">
        <x:v>LIVE-011</x:v>
      </x:c>
      <x:c r="C65" s="5" t="str">
        <x:v>用户App-直播</x:v>
      </x:c>
      <x:c r="D65" s="5" t="str">
        <x:v>直播广场</x:v>
      </x:c>
      <x:c r="E65" s="5" t="str">
        <x:v>功能需求</x:v>
      </x:c>
      <x:c r="F65" s="5" t="str">
        <x:v>P1</x:v>
      </x:c>
      <x:c r="G65" s="5" t="str">
        <x:v>验证关注且正在直播的主播展示在头像栏</x:v>
      </x:c>
      <x:c r="H65" s="5" t="str">
        <x:v>关注直播头像栏</x:v>
      </x:c>
      <x:c r="I65" s="5" t="str">
        <x:v>1. 用户已关注 Sari
2. Sari 正在直播</x:v>
      </x:c>
      <x:c r="J65" s="5" t="str">
        <x:v>1. 进入直播广场
2. 查看 Tab 上方的头像栏</x:v>
      </x:c>
      <x:c r="K65" s="5" t="str">
        <x:v>Tab 上方的头像栏展示 Sari 的直播头像入口</x:v>
      </x:c>
      <x:c r="L65" s="5" t="str"/>
      <x:c r="M65" s="5" t="str">
        <x:v>未测</x:v>
      </x:c>
      <x:c r="N65" s="5" t="str"/>
      <x:c r="O65" s="5" t="str">
        <x:v>1. 来源：context/01-用户主播App-项目需求清单.md（2026-08-29 按原型同步，RSL-0002）
2. 来源：prototype/Luma Live-原型说明.md
3. 来源：prototype/pages/user/home/live-plaza.html 与当页交互脚本；未动态验证
4. 同步追溯：work/liveshow-user-app-all-260901-001/prototype-context-sync-result.json；RSL-0002、RSL-0003
5. 全局证据追溯：work/liveshow-user-app-all-260901-001/global-evidence-scan-result.json；扫描模式 full</x:v>
      </x:c>
    </x:row>
    <x:row r="66" ht="103.5" customHeight="1">
      <x:c r="A66" s="5" t="n">
        <x:v>65</x:v>
      </x:c>
      <x:c r="B66" s="5" t="str">
        <x:v>LIVE-012</x:v>
      </x:c>
      <x:c r="C66" s="5" t="str">
        <x:v>用户App-直播</x:v>
      </x:c>
      <x:c r="D66" s="5" t="str">
        <x:v>直播广场</x:v>
      </x:c>
      <x:c r="E66" s="5" t="str">
        <x:v>业务流程</x:v>
      </x:c>
      <x:c r="F66" s="5" t="str">
        <x:v>P1</x:v>
      </x:c>
      <x:c r="G66" s="5" t="str">
        <x:v>验证从关注直播头像进入房间</x:v>
      </x:c>
      <x:c r="H66" s="5" t="str">
        <x:v>关注直播头像进房</x:v>
      </x:c>
      <x:c r="I66" s="5" t="str">
        <x:v>1. 关注直播头像栏展示 Sari</x:v>
      </x:c>
      <x:c r="J66" s="5" t="str">
        <x:v>1. 点击 Sari 的头像</x:v>
      </x:c>
      <x:c r="K66" s="5" t="str">
        <x:v>页面进入 Sari 的直播间</x:v>
      </x:c>
      <x:c r="L66" s="5" t="str"/>
      <x:c r="M66" s="5" t="str">
        <x:v>未测</x:v>
      </x:c>
      <x:c r="N66" s="5" t="str"/>
      <x:c r="O66"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x:v>
      </x:c>
    </x:row>
    <x:row r="67" ht="103.5" customHeight="1">
      <x:c r="A67" s="5" t="n">
        <x:v>66</x:v>
      </x:c>
      <x:c r="B67" s="5" t="str">
        <x:v>LIVE-013</x:v>
      </x:c>
      <x:c r="C67" s="5" t="str">
        <x:v>用户App-直播</x:v>
      </x:c>
      <x:c r="D67" s="5" t="str">
        <x:v>直播广场</x:v>
      </x:c>
      <x:c r="E67" s="5" t="str">
        <x:v>功能需求</x:v>
      </x:c>
      <x:c r="F67" s="5" t="str">
        <x:v>P1</x:v>
      </x:c>
      <x:c r="G67" s="5" t="str">
        <x:v>验证普通房卡片展示在线人数</x:v>
      </x:c>
      <x:c r="H67" s="5" t="str">
        <x:v>普通房在线人数</x:v>
      </x:c>
      <x:c r="I67" s="5" t="str">
        <x:v>1. 广场存在普通房卡片</x:v>
      </x:c>
      <x:c r="J67" s="5" t="str">
        <x:v>1. 查看目标普通房卡片</x:v>
      </x:c>
      <x:c r="K67" s="5" t="str">
        <x:v>目标普通房卡片展示在线人数</x:v>
      </x:c>
      <x:c r="L67" s="5" t="str"/>
      <x:c r="M67" s="5" t="str">
        <x:v>未测</x:v>
      </x:c>
      <x:c r="N67" s="5" t="str"/>
      <x:c r="O67"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x:v>
      </x:c>
    </x:row>
    <x:row r="68" ht="115.5" customHeight="1">
      <x:c r="A68" s="5" t="n">
        <x:v>67</x:v>
      </x:c>
      <x:c r="B68" s="5" t="str">
        <x:v>LIVE-014</x:v>
      </x:c>
      <x:c r="C68" s="5" t="str">
        <x:v>用户App-直播</x:v>
      </x:c>
      <x:c r="D68" s="5" t="str">
        <x:v>直播广场</x:v>
      </x:c>
      <x:c r="E68" s="5" t="str">
        <x:v>功能需求</x:v>
      </x:c>
      <x:c r="F68" s="5" t="str">
        <x:v>P1</x:v>
      </x:c>
      <x:c r="G68" s="5" t="str">
        <x:v>验证门票房卡片展示门票标识</x:v>
      </x:c>
      <x:c r="H68" s="5" t="str">
        <x:v>直播广场门票房标识</x:v>
      </x:c>
      <x:c r="I68" s="5" t="str">
        <x:v>1. 广场存在门票房卡片</x:v>
      </x:c>
      <x:c r="J68" s="5" t="str">
        <x:v>1. 查看目标门票房卡片</x:v>
      </x:c>
      <x:c r="K68" s="5" t="str">
        <x:v>目标卡片展示门票金币价格标识</x:v>
      </x:c>
      <x:c r="L68" s="5" t="str"/>
      <x:c r="M68" s="5" t="str">
        <x:v>未测</x:v>
      </x:c>
      <x:c r="N68" s="5" t="str"/>
      <x:c r="O68"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
5. 命名修复：补充页面、状态或动作，消除重复标题和重复验证点名称；业务步骤与预期结果未变</x:v>
      </x:c>
    </x:row>
    <x:row r="69" ht="103.5" customHeight="1">
      <x:c r="A69" s="5" t="n">
        <x:v>68</x:v>
      </x:c>
      <x:c r="B69" s="5" t="str">
        <x:v>LIVE-015</x:v>
      </x:c>
      <x:c r="C69" s="5" t="str">
        <x:v>用户App-直播</x:v>
      </x:c>
      <x:c r="D69" s="5" t="str">
        <x:v>直播广场</x:v>
      </x:c>
      <x:c r="E69" s="5" t="str">
        <x:v>功能需求</x:v>
      </x:c>
      <x:c r="F69" s="5" t="str">
        <x:v>P1</x:v>
      </x:c>
      <x:c r="G69" s="5" t="str">
        <x:v>验证密码房卡片展示锁定标识</x:v>
      </x:c>
      <x:c r="H69" s="5" t="str">
        <x:v>密码房锁定标识</x:v>
      </x:c>
      <x:c r="I69" s="5" t="str">
        <x:v>1. 广场存在可见的密码房卡片</x:v>
      </x:c>
      <x:c r="J69" s="5" t="str">
        <x:v>1. 查看目标密码房卡片</x:v>
      </x:c>
      <x:c r="K69" s="5" t="str">
        <x:v>目标密码房卡片展示锁定标识</x:v>
      </x:c>
      <x:c r="L69" s="5" t="str"/>
      <x:c r="M69" s="5" t="str">
        <x:v>未测</x:v>
      </x:c>
      <x:c r="N69" s="5" t="str"/>
      <x:c r="O69"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x:v>
      </x:c>
    </x:row>
    <x:row r="70" ht="103.5" customHeight="1">
      <x:c r="A70" s="5" t="n">
        <x:v>69</x:v>
      </x:c>
      <x:c r="B70" s="5" t="str">
        <x:v>LIVE-016</x:v>
      </x:c>
      <x:c r="C70" s="5" t="str">
        <x:v>用户App-直播</x:v>
      </x:c>
      <x:c r="D70" s="5" t="str">
        <x:v>直播广场</x:v>
      </x:c>
      <x:c r="E70" s="5" t="str">
        <x:v>功能需求</x:v>
      </x:c>
      <x:c r="F70" s="5" t="str">
        <x:v>P1</x:v>
      </x:c>
      <x:c r="G70" s="5" t="str">
        <x:v>验证密码房卡片隐藏在线人数</x:v>
      </x:c>
      <x:c r="H70" s="5" t="str">
        <x:v>密码房在线人数隐藏</x:v>
      </x:c>
      <x:c r="I70" s="5" t="str">
        <x:v>1. 广场存在可见的密码房卡片</x:v>
      </x:c>
      <x:c r="J70" s="5" t="str">
        <x:v>1. 查看目标密码房卡片</x:v>
      </x:c>
      <x:c r="K70" s="5" t="str">
        <x:v>目标密码房卡片不展示在线人数</x:v>
      </x:c>
      <x:c r="L70" s="5" t="str"/>
      <x:c r="M70" s="5" t="str">
        <x:v>未测</x:v>
      </x:c>
      <x:c r="N70" s="5" t="str"/>
      <x:c r="O70"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x:v>
      </x:c>
    </x:row>
    <x:row r="71" ht="79.5" customHeight="1">
      <x:c r="A71" s="5" t="n">
        <x:v>70</x:v>
      </x:c>
      <x:c r="B71" s="5" t="str">
        <x:v>LIVE-017</x:v>
      </x:c>
      <x:c r="C71" s="5" t="str">
        <x:v>用户App-直播</x:v>
      </x:c>
      <x:c r="D71" s="5" t="str">
        <x:v>直播广场</x:v>
      </x:c>
      <x:c r="E71" s="5" t="str">
        <x:v>功能需求</x:v>
      </x:c>
      <x:c r="F71" s="5" t="str">
        <x:v>P2</x:v>
      </x:c>
      <x:c r="G71" s="5" t="str">
        <x:v>验证广场空状态提供去发现入口</x:v>
      </x:c>
      <x:c r="H71" s="5" t="str">
        <x:v>广场空状态入口</x:v>
      </x:c>
      <x:c r="I71" s="5" t="str">
        <x:v>1. 当前列表范围没有正在直播的房间</x:v>
      </x:c>
      <x:c r="J71" s="5" t="str">
        <x:v>1. 进入直播广场</x:v>
      </x:c>
      <x:c r="K71" s="5" t="str">
        <x:v>空状态区域展示“去发现”按钮</x:v>
      </x:c>
      <x:c r="L71" s="5" t="str"/>
      <x:c r="M71" s="5" t="str">
        <x:v>未测</x:v>
      </x:c>
      <x:c r="N71" s="5" t="str"/>
      <x:c r="O71" s="5" t="str">
        <x:v>1. 来源：context/01-用户主播App-项目需求清单.md（2026-08-29 按原型同步，RSL-0002）
2. 同步追溯：work/liveshow-user-app-all-260901-001/prototype-context-sync-result.json；RSL-0002、RSL-0003
3. 全局证据追溯：work/liveshow-user-app-all-260901-001/global-evidence-scan-result.json；扫描模式 full</x:v>
      </x:c>
    </x:row>
    <x:row r="72" ht="103.5" customHeight="1">
      <x:c r="A72" s="5" t="n">
        <x:v>71</x:v>
      </x:c>
      <x:c r="B72" s="5" t="str">
        <x:v>LIVE-018</x:v>
      </x:c>
      <x:c r="C72" s="5" t="str">
        <x:v>用户App-直播</x:v>
      </x:c>
      <x:c r="D72" s="5" t="str">
        <x:v>直播广场</x:v>
      </x:c>
      <x:c r="E72" s="5" t="str">
        <x:v>逻辑校验</x:v>
      </x:c>
      <x:c r="F72" s="5" t="str">
        <x:v>P2</x:v>
      </x:c>
      <x:c r="G72" s="5" t="str">
        <x:v>验证上拉加载不重复已有直播卡片</x:v>
      </x:c>
      <x:c r="H72" s="5" t="str">
        <x:v>上拉加载去重</x:v>
      </x:c>
      <x:c r="I72" s="5" t="str">
        <x:v>1. 直播广场已展示首批直播卡片
2. 后续页包含与首批相同的直播标识</x:v>
      </x:c>
      <x:c r="J72" s="5" t="str">
        <x:v>1. 上拉直播列表触发加载
2. 查看加载后的卡片</x:v>
      </x:c>
      <x:c r="K72" s="5" t="str">
        <x:v>同一直播标识在列表中只展示一次</x:v>
      </x:c>
      <x:c r="L72" s="5" t="str"/>
      <x:c r="M72" s="5" t="str">
        <x:v>未测</x:v>
      </x:c>
      <x:c r="N72" s="5" t="str"/>
      <x:c r="O72"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x:v>
      </x:c>
    </x:row>
    <x:row r="73" ht="91.5" customHeight="1">
      <x:c r="A73" s="5" t="n">
        <x:v>72</x:v>
      </x:c>
      <x:c r="B73" s="5" t="str">
        <x:v>LIVE-019</x:v>
      </x:c>
      <x:c r="C73" s="5" t="str">
        <x:v>用户App-直播</x:v>
      </x:c>
      <x:c r="D73" s="5" t="str">
        <x:v>直播广场</x:v>
      </x:c>
      <x:c r="E73" s="5" t="str">
        <x:v>逻辑校验</x:v>
      </x:c>
      <x:c r="F73" s="5" t="str">
        <x:v>P2</x:v>
      </x:c>
      <x:c r="G73" s="5" t="str">
        <x:v>验证下拉刷新移除已结束直播</x:v>
      </x:c>
      <x:c r="H73" s="5" t="str">
        <x:v>下拉刷新移除结束场次</x:v>
      </x:c>
      <x:c r="I73" s="5" t="str">
        <x:v>1. 直播广场已展示目标直播房间
2. 服务端已结束目标直播场次</x:v>
      </x:c>
      <x:c r="J73" s="5" t="str">
        <x:v>1. 在直播列表顶部向下拖动并释放
2. 等待刷新完成</x:v>
      </x:c>
      <x:c r="K73" s="5" t="str">
        <x:v>刷新后的列表不再展示已结束的目标直播房间</x:v>
      </x:c>
      <x:c r="L73" s="5" t="str"/>
      <x:c r="M73" s="5" t="str">
        <x:v>未测</x:v>
      </x:c>
      <x:c r="N73" s="5" t="str"/>
      <x:c r="O73" s="5" t="str">
        <x:v>1. 来源：context/01-用户主播App-项目需求清单.md（2026-08-29 按原型同步，RSL-0002）
2. 质量修正：按 RCL-0018 执行最小前置条件和单分支检查
3. 同步追溯：work/liveshow-user-app-all-260901-001/prototype-context-sync-result.json；RSL-0002、RSL-0003
4. 全局证据追溯：work/liveshow-user-app-all-260901-001/global-evidence-scan-result.json；扫描模式 full</x:v>
      </x:c>
    </x:row>
    <x:row r="74" ht="139.5" customHeight="1">
      <x:c r="A74" s="5" t="n">
        <x:v>73</x:v>
      </x:c>
      <x:c r="B74" s="5" t="str">
        <x:v>LIVE-020</x:v>
      </x:c>
      <x:c r="C74" s="5" t="str">
        <x:v>用户App-直播</x:v>
      </x:c>
      <x:c r="D74" s="5" t="str">
        <x:v>普通房进房</x:v>
      </x:c>
      <x:c r="E74" s="5" t="str">
        <x:v>业务流程</x:v>
      </x:c>
      <x:c r="F74" s="5" t="str">
        <x:v>P0</x:v>
      </x:c>
      <x:c r="G74" s="5" t="str">
        <x:v>验证用户无门槛进入普通房</x:v>
      </x:c>
      <x:c r="H74" s="5" t="str">
        <x:v>普通房无门槛进入</x:v>
      </x:c>
      <x:c r="I74" s="5" t="str">
        <x:v>1. 用户已登录
2. 目标普通房正在直播且用户无进房限制</x:v>
      </x:c>
      <x:c r="J74" s="5" t="str">
        <x:v>1. 在直播广场点击目标普通房卡片
2. 等待直播间加载</x:v>
      </x:c>
      <x:c r="K74" s="5" t="str">
        <x:v>用户无需购票或输入密码即可进入目标普通房</x:v>
      </x:c>
      <x:c r="L74" s="5" t="str">
        <x:v>FLOW-LIVE-001</x:v>
      </x:c>
      <x:c r="M74" s="5" t="str">
        <x:v>未测</x:v>
      </x:c>
      <x:c r="N74" s="5" t="str"/>
      <x:c r="O74" s="5" t="str">
        <x:v>1. 来源：context/01-用户主播App-项目需求清单.md
2. 来源：prototype/Luma Live-原型说明.md
3. 追溯：业务底稿 LIVE-007。
4. 流程：阶段 03：观众进入直播间；共同业务对象：普通直播场次（数据别名：LIVE-SESSION-N01）。
5. 共同业务对象：同一直播场次
6. 流程阶段：普通房无门槛进入
7. 同步追溯：work/liveshow-user-app-all-260901-001/prototype-context-sync-result.json；RSL-0002、RSL-0003
8. 全局证据追溯：work/liveshow-user-app-all-260901-001/global-evidence-scan-result.json；扫描模式 full</x:v>
      </x:c>
    </x:row>
    <x:row r="75" ht="79.5" customHeight="1">
      <x:c r="A75" s="5" t="n">
        <x:v>74</x:v>
      </x:c>
      <x:c r="B75" s="5" t="str">
        <x:v>LIVE-021</x:v>
      </x:c>
      <x:c r="C75" s="5" t="str">
        <x:v>用户App-直播</x:v>
      </x:c>
      <x:c r="D75" s="5" t="str">
        <x:v>普通房进房</x:v>
      </x:c>
      <x:c r="E75" s="5" t="str">
        <x:v>异常用例</x:v>
      </x:c>
      <x:c r="F75" s="5" t="str">
        <x:v>P1</x:v>
      </x:c>
      <x:c r="G75" s="5" t="str">
        <x:v>验证直播断流时展示重连提示</x:v>
      </x:c>
      <x:c r="H75" s="5" t="str">
        <x:v>断流重连提示</x:v>
      </x:c>
      <x:c r="I75" s="5" t="str">
        <x:v>1. 用户正在观看普通房
2. 可模拟直播流中断后恢复</x:v>
      </x:c>
      <x:c r="J75" s="5" t="str">
        <x:v>1. 中断直播流连接
2. 观察直播间状态
3. 恢复直播流连接</x:v>
      </x:c>
      <x:c r="K75" s="5" t="str">
        <x:v>断流期间页面展示重连提示</x:v>
      </x:c>
      <x:c r="L75" s="5" t="str"/>
      <x:c r="M75" s="5" t="str">
        <x:v>未测</x:v>
      </x:c>
      <x:c r="N75" s="5" t="str"/>
      <x:c r="O75" s="5" t="str">
        <x:v>1. 来源：context/01-用户主播App-项目需求清单.md
2. 追溯：业务底稿 LIVE-008。
3. 同步追溯：work/liveshow-user-app-all-260901-001/prototype-context-sync-result.json；RSL-0002、RSL-0003
4. 全局证据追溯：work/liveshow-user-app-all-260901-001/global-evidence-scan-result.json；扫描模式 full</x:v>
      </x:c>
    </x:row>
    <x:row r="76" ht="79.5" customHeight="1">
      <x:c r="A76" s="5" t="n">
        <x:v>75</x:v>
      </x:c>
      <x:c r="B76" s="5" t="str">
        <x:v>LIVE-022</x:v>
      </x:c>
      <x:c r="C76" s="5" t="str">
        <x:v>用户App-直播</x:v>
      </x:c>
      <x:c r="D76" s="5" t="str">
        <x:v>普通房进房</x:v>
      </x:c>
      <x:c r="E76" s="5" t="str">
        <x:v>异常用例</x:v>
      </x:c>
      <x:c r="F76" s="5" t="str">
        <x:v>P1</x:v>
      </x:c>
      <x:c r="G76" s="5" t="str">
        <x:v>验证直播流中断后的自动恢复</x:v>
      </x:c>
      <x:c r="H76" s="5" t="str">
        <x:v>断流恢复播放</x:v>
      </x:c>
      <x:c r="I76" s="5" t="str">
        <x:v>1. 用户正在观看普通房
2. 可模拟直播流中断后恢复</x:v>
      </x:c>
      <x:c r="J76" s="5" t="str">
        <x:v>1. 中断直播流连接
2. 观察直播间状态
3. 恢复直播流连接</x:v>
      </x:c>
      <x:c r="K76" s="5" t="str">
        <x:v>流恢复后直播画面继续播放</x:v>
      </x:c>
      <x:c r="L76" s="5" t="str"/>
      <x:c r="M76" s="5" t="str">
        <x:v>未测</x:v>
      </x:c>
      <x:c r="N76" s="5" t="str"/>
      <x:c r="O76" s="5" t="str">
        <x:v>1. 来源：context/01-用户主播App-项目需求清单.md
2. 追溯：业务底稿 LIVE-008。
3. 同步追溯：work/liveshow-user-app-all-260901-001/prototype-context-sync-result.json；RSL-0002、RSL-0003
4. 全局证据追溯：work/liveshow-user-app-all-260901-001/global-evidence-scan-result.json；扫描模式 full</x:v>
      </x:c>
    </x:row>
    <x:row r="77" ht="79.5" customHeight="1">
      <x:c r="A77" s="5" t="n">
        <x:v>76</x:v>
      </x:c>
      <x:c r="B77" s="5" t="str">
        <x:v>LIVE-023</x:v>
      </x:c>
      <x:c r="C77" s="5" t="str">
        <x:v>用户App-直播</x:v>
      </x:c>
      <x:c r="D77" s="5" t="str">
        <x:v>普通房进房</x:v>
      </x:c>
      <x:c r="E77" s="5" t="str">
        <x:v>功能需求</x:v>
      </x:c>
      <x:c r="F77" s="5" t="str">
        <x:v>P2</x:v>
      </x:c>
      <x:c r="G77" s="5" t="str">
        <x:v>验证观看中切换清晰度</x:v>
      </x:c>
      <x:c r="H77" s="5" t="str">
        <x:v>清晰度切换</x:v>
      </x:c>
      <x:c r="I77" s="5" t="str">
        <x:v>1. 用户正在观看普通房
2. 当前直播流提供多个可用清晰度档位</x:v>
      </x:c>
      <x:c r="J77" s="5" t="str">
        <x:v>1. 打开清晰度选项
2. 选择另一个可用档位</x:v>
      </x:c>
      <x:c r="K77" s="5" t="str">
        <x:v>直播流使用用户选择的清晰度档位继续播放</x:v>
      </x:c>
      <x:c r="L77" s="5" t="str"/>
      <x:c r="M77" s="5" t="str">
        <x:v>未测</x:v>
      </x:c>
      <x:c r="N77" s="5" t="str"/>
      <x:c r="O77" s="5" t="str">
        <x:v>1. 来源：context/01-用户主播App-项目需求清单.md
2. 追溯：业务底稿 LIVE-009。
3. 同步追溯：work/liveshow-user-app-all-260901-001/prototype-context-sync-result.json；RSL-0002、RSL-0003
4. 全局证据追溯：work/liveshow-user-app-all-260901-001/global-evidence-scan-result.json；扫描模式 full</x:v>
      </x:c>
    </x:row>
    <x:row r="78" ht="79.5" customHeight="1">
      <x:c r="A78" s="5" t="n">
        <x:v>77</x:v>
      </x:c>
      <x:c r="B78" s="5" t="str">
        <x:v>LIVE-024</x:v>
      </x:c>
      <x:c r="C78" s="5" t="str">
        <x:v>用户App-直播</x:v>
      </x:c>
      <x:c r="D78" s="5" t="str">
        <x:v>普通房进房</x:v>
      </x:c>
      <x:c r="E78" s="5" t="str">
        <x:v>功能需求</x:v>
      </x:c>
      <x:c r="F78" s="5" t="str">
        <x:v>P2</x:v>
      </x:c>
      <x:c r="G78" s="5" t="str">
        <x:v>验证直播画面切换为横屏</x:v>
      </x:c>
      <x:c r="H78" s="5" t="str">
        <x:v>横屏切换</x:v>
      </x:c>
      <x:c r="I78" s="5" t="str">
        <x:v>1. 用户正在观看普通房</x:v>
      </x:c>
      <x:c r="J78" s="5" t="str">
        <x:v>1. 将直播画面切换为横屏
2. 再切换回竖屏</x:v>
      </x:c>
      <x:c r="K78" s="5" t="str">
        <x:v>直播画面按横屏模式展示</x:v>
      </x:c>
      <x:c r="L78" s="5" t="str"/>
      <x:c r="M78" s="5" t="str">
        <x:v>未测</x:v>
      </x:c>
      <x:c r="N78" s="5" t="str"/>
      <x:c r="O78" s="5" t="str">
        <x:v>1. 来源：context/01-用户主播App-项目需求清单.md
2. 追溯：业务底稿 LIVE-010。
3. 同步追溯：work/liveshow-user-app-all-260901-001/prototype-context-sync-result.json；RSL-0002、RSL-0003
4. 全局证据追溯：work/liveshow-user-app-all-260901-001/global-evidence-scan-result.json；扫描模式 full</x:v>
      </x:c>
    </x:row>
    <x:row r="79" ht="79.5" customHeight="1">
      <x:c r="A79" s="5" t="n">
        <x:v>78</x:v>
      </x:c>
      <x:c r="B79" s="5" t="str">
        <x:v>LIVE-025</x:v>
      </x:c>
      <x:c r="C79" s="5" t="str">
        <x:v>用户App-直播</x:v>
      </x:c>
      <x:c r="D79" s="5" t="str">
        <x:v>普通房进房</x:v>
      </x:c>
      <x:c r="E79" s="5" t="str">
        <x:v>功能需求</x:v>
      </x:c>
      <x:c r="F79" s="5" t="str">
        <x:v>P2</x:v>
      </x:c>
      <x:c r="G79" s="5" t="str">
        <x:v>验证直播画面恢复为竖屏</x:v>
      </x:c>
      <x:c r="H79" s="5" t="str">
        <x:v>竖屏恢复</x:v>
      </x:c>
      <x:c r="I79" s="5" t="str">
        <x:v>1. 用户正在观看普通房</x:v>
      </x:c>
      <x:c r="J79" s="5" t="str">
        <x:v>1. 将直播画面切换为横屏
2. 再切换回竖屏</x:v>
      </x:c>
      <x:c r="K79" s="5" t="str">
        <x:v>返回竖屏后直播画面恢复竖屏模式</x:v>
      </x:c>
      <x:c r="L79" s="5" t="str"/>
      <x:c r="M79" s="5" t="str">
        <x:v>未测</x:v>
      </x:c>
      <x:c r="N79" s="5" t="str"/>
      <x:c r="O79" s="5" t="str">
        <x:v>1. 来源：context/01-用户主播App-项目需求清单.md
2. 追溯：业务底稿 LIVE-010。
3. 同步追溯：work/liveshow-user-app-all-260901-001/prototype-context-sync-result.json；RSL-0002、RSL-0003
4. 全局证据追溯：work/liveshow-user-app-all-260901-001/global-evidence-scan-result.json；扫描模式 full</x:v>
      </x:c>
    </x:row>
    <x:row r="80" ht="79.5" customHeight="1">
      <x:c r="A80" s="5" t="n">
        <x:v>79</x:v>
      </x:c>
      <x:c r="B80" s="5" t="str">
        <x:v>LIVE-026</x:v>
      </x:c>
      <x:c r="C80" s="5" t="str">
        <x:v>用户App-直播</x:v>
      </x:c>
      <x:c r="D80" s="5" t="str">
        <x:v>普通房进房</x:v>
      </x:c>
      <x:c r="E80" s="5" t="str">
        <x:v>业务流程</x:v>
      </x:c>
      <x:c r="F80" s="5" t="str">
        <x:v>P1</x:v>
      </x:c>
      <x:c r="G80" s="5" t="str">
        <x:v>验证进入普通房后自动播放</x:v>
      </x:c>
      <x:c r="H80" s="5" t="str">
        <x:v>普通房自动播放</x:v>
      </x:c>
      <x:c r="I80" s="5" t="str">
        <x:v>1. 目标普通房正在直播</x:v>
      </x:c>
      <x:c r="J80" s="5" t="str">
        <x:v>1. 从广场点击目标普通房卡片</x:v>
      </x:c>
      <x:c r="K80" s="5" t="str">
        <x:v>进入直播间后直播画面自动开始播放</x:v>
      </x:c>
      <x:c r="L80" s="5" t="str"/>
      <x:c r="M80" s="5" t="str">
        <x:v>未测</x:v>
      </x:c>
      <x:c r="N80" s="5" t="str"/>
      <x:c r="O80" s="5" t="str">
        <x:v>1. 来源：context/01-用户主播App-项目需求清单.md（2026-08-29 按原型同步，RSL-0002）
2. 同步追溯：work/liveshow-user-app-all-260901-001/prototype-context-sync-result.json；RSL-0002、RSL-0003
3. 全局证据追溯：work/liveshow-user-app-all-260901-001/global-evidence-scan-result.json；扫描模式 full</x:v>
      </x:c>
    </x:row>
    <x:row r="81" ht="103.5" customHeight="1">
      <x:c r="A81" s="5" t="n">
        <x:v>80</x:v>
      </x:c>
      <x:c r="B81" s="5" t="str">
        <x:v>LIVE-027</x:v>
      </x:c>
      <x:c r="C81" s="5" t="str">
        <x:v>用户App-直播</x:v>
      </x:c>
      <x:c r="D81" s="5" t="str">
        <x:v>门票房进房</x:v>
      </x:c>
      <x:c r="E81" s="5" t="str">
        <x:v>业务流程</x:v>
      </x:c>
      <x:c r="F81" s="5" t="str">
        <x:v>P1</x:v>
      </x:c>
      <x:c r="G81" s="5" t="str">
        <x:v>验证门票购买信息展示</x:v>
      </x:c>
      <x:c r="H81" s="5" t="str">
        <x:v>门票购买信息</x:v>
      </x:c>
      <x:c r="I81" s="5" t="str">
        <x:v>1. 门票房灰度开关已开启
2. 目标门票房正在直播
3. 门票价格为 10 金币
4. 用户余额为 20 金币且未购买本场门票</x:v>
      </x:c>
      <x:c r="J81" s="5" t="str">
        <x:v>1. 在直播广场点击目标门票房
2. 核对门票价格
3. 点击“购买”</x:v>
      </x:c>
      <x:c r="K81" s="5" t="str">
        <x:v>购票前展示本场门票价格 10 金币和当前余额</x:v>
      </x:c>
      <x:c r="L81" s="5" t="str"/>
      <x:c r="M81" s="5" t="str">
        <x:v>未测</x:v>
      </x:c>
      <x:c r="N81" s="5" t="str"/>
      <x:c r="O81" s="5" t="str">
        <x:v>1. 来源：context/01-用户主播App-项目需求清单.md
2. 来源：prototype/assets/annotations.js
3. 来源：对应 HTML 静态原型；未动态验证
4. 追溯：业务底稿 LIVE-011。
5. 同步追溯：work/liveshow-user-app-all-260901-001/prototype-context-sync-result.json；RSL-0002、RSL-0003
6. 全局证据追溯：work/liveshow-user-app-all-260901-001/global-evidence-scan-result.json；扫描模式 full</x:v>
      </x:c>
    </x:row>
    <x:row r="82" ht="142.5" customHeight="1">
      <x:c r="A82" s="5" t="n">
        <x:v>81</x:v>
      </x:c>
      <x:c r="B82" s="5" t="str">
        <x:v>LIVE-028</x:v>
      </x:c>
      <x:c r="C82" s="5" t="str">
        <x:v>用户App-直播</x:v>
      </x:c>
      <x:c r="D82" s="5" t="str">
        <x:v>门票房进房</x:v>
      </x:c>
      <x:c r="E82" s="5" t="str">
        <x:v>业务流程</x:v>
      </x:c>
      <x:c r="F82" s="5" t="str">
        <x:v>P0</x:v>
      </x:c>
      <x:c r="G82" s="5" t="str">
        <x:v>验证购买门票后进入直播间</x:v>
      </x:c>
      <x:c r="H82" s="5" t="str">
        <x:v>购票成功进房</x:v>
      </x:c>
      <x:c r="I82" s="5" t="str">
        <x:v>1. 门票房灰度开关已开启
2. 目标门票房正在直播
3. 门票价格为 10 金币
4. 用户余额为 20 金币且未购买本场门票</x:v>
      </x:c>
      <x:c r="J82" s="5" t="str">
        <x:v>1. 在直播广场点击目标门票房
2. 核对门票价格
3. 点击“购买”</x:v>
      </x:c>
      <x:c r="K82" s="5" t="str">
        <x:v>购买成功后进入目标直播间</x:v>
      </x:c>
      <x:c r="L82" s="5" t="str">
        <x:v>FLOW-LIVE-002</x:v>
      </x:c>
      <x:c r="M82" s="5" t="str">
        <x:v>未测</x:v>
      </x:c>
      <x:c r="N82" s="5" t="str"/>
      <x:c r="O82" s="5" t="str">
        <x:v>1. 来源：context/01-用户主播App-项目需求清单.md
2. 来源：prototype/assets/annotations.js
3. 来源：对应 HTML 静态原型；未动态验证
4. 追溯：业务底稿 LIVE-011。
5. 流程：阶段 02：观众购票进入；共同业务对象：门票房场次（数据别名：LIVE-SESSION-T01）、目标观众（数据别名：USER-T01）。
6. 共同业务对象：同一门票房场次和购票资格
7. 流程阶段：购票成功进房
8. 同步追溯：work/liveshow-user-app-all-260901-001/prototype-context-sync-result.json；RSL-0002、RSL-0003
9. 全局证据追溯：work/liveshow-user-app-all-260901-001/global-evidence-scan-result.json；扫描模式 full</x:v>
      </x:c>
    </x:row>
    <x:row r="83" ht="142.5" customHeight="1">
      <x:c r="A83" s="5" t="n">
        <x:v>82</x:v>
      </x:c>
      <x:c r="B83" s="5" t="str">
        <x:v>LIVE-029</x:v>
      </x:c>
      <x:c r="C83" s="5" t="str">
        <x:v>用户App-直播</x:v>
      </x:c>
      <x:c r="D83" s="5" t="str">
        <x:v>门票房进房</x:v>
      </x:c>
      <x:c r="E83" s="5" t="str">
        <x:v>业务流程</x:v>
      </x:c>
      <x:c r="F83" s="5" t="str">
        <x:v>P1</x:v>
      </x:c>
      <x:c r="G83" s="5" t="str">
        <x:v>验证购买门票扣减用户余额</x:v>
      </x:c>
      <x:c r="H83" s="5" t="str">
        <x:v>购票余额扣减</x:v>
      </x:c>
      <x:c r="I83" s="5" t="str">
        <x:v>1. 门票房灰度开关已开启
2. 目标门票房正在直播
3. 门票价格为 10 金币
4. 用户余额为 20 金币且未购买本场门票</x:v>
      </x:c>
      <x:c r="J83" s="5" t="str">
        <x:v>1. 记录购票前余额
2. 购买门票
3. 进入金币钱包查看余额</x:v>
      </x:c>
      <x:c r="K83" s="5" t="str">
        <x:v>用户余额由 20 减为 10 金币</x:v>
      </x:c>
      <x:c r="L83" s="5" t="str">
        <x:v>FLOW-LIVE-002</x:v>
      </x:c>
      <x:c r="M83" s="5" t="str">
        <x:v>未测</x:v>
      </x:c>
      <x:c r="N83" s="5" t="str"/>
      <x:c r="O83" s="5" t="str">
        <x:v>1. 来源：context/01-用户主播App-项目需求清单.md
2. 来源：prototype/assets/annotations.js
3. 来源：对应 HTML 静态原型；未动态验证
4. 追溯：业务底稿 LIVE-011。
5. 流程：阶段 03：核对购票后余额；共同业务对象：门票房场次（数据别名：LIVE-SESSION-T01）、目标观众（数据别名：USER-T01）。
6. 共同业务对象：同一门票房场次和购票资格
7. 流程阶段：购票余额扣减
8. 同步追溯：work/liveshow-user-app-all-260901-001/prototype-context-sync-result.json；RSL-0002、RSL-0003
9. 全局证据追溯：work/liveshow-user-app-all-260901-001/global-evidence-scan-result.json；扫描模式 full</x:v>
      </x:c>
    </x:row>
    <x:row r="84" ht="142.5" customHeight="1">
      <x:c r="A84" s="5" t="n">
        <x:v>83</x:v>
      </x:c>
      <x:c r="B84" s="5" t="str">
        <x:v>LIVE-030</x:v>
      </x:c>
      <x:c r="C84" s="5" t="str">
        <x:v>用户App-直播</x:v>
      </x:c>
      <x:c r="D84" s="5" t="str">
        <x:v>门票房进房</x:v>
      </x:c>
      <x:c r="E84" s="5" t="str">
        <x:v>业务流程</x:v>
      </x:c>
      <x:c r="F84" s="5" t="str">
        <x:v>P1</x:v>
      </x:c>
      <x:c r="G84" s="5" t="str">
        <x:v>验证购买门票生成消费流水</x:v>
      </x:c>
      <x:c r="H84" s="5" t="str">
        <x:v>购票流水记录</x:v>
      </x:c>
      <x:c r="I84" s="5" t="str">
        <x:v>1. 门票房灰度开关已开启
2. 目标门票房正在直播
3. 门票价格为 10 金币
4. 用户余额为 20 金币且未购买本场门票</x:v>
      </x:c>
      <x:c r="J84" s="5" t="str">
        <x:v>1. 购买门票
2. 进入金币消费明细
3. 查看本场门票记录</x:v>
      </x:c>
      <x:c r="K84" s="5" t="str">
        <x:v>消费明细新增一条 10 金币的本场门票记录</x:v>
      </x:c>
      <x:c r="L84" s="5" t="str">
        <x:v>FLOW-LIVE-002</x:v>
      </x:c>
      <x:c r="M84" s="5" t="str">
        <x:v>未测</x:v>
      </x:c>
      <x:c r="N84" s="5" t="str"/>
      <x:c r="O84" s="5" t="str">
        <x:v>1. 来源：context/01-用户主播App-项目需求清单.md
2. 来源：prototype/assets/annotations.js
3. 来源：对应 HTML 静态原型；未动态验证
4. 追溯：业务底稿 LIVE-011。
5. 流程：阶段 04：核对门票消费流水；共同业务对象：门票房场次（数据别名：LIVE-SESSION-T01）、目标观众（数据别名：USER-T01）。
6. 共同业务对象：同一门票房场次和购票资格
7. 流程阶段：购票流水记录
8. 同步追溯：work/liveshow-user-app-all-260901-001/prototype-context-sync-result.json；RSL-0002、RSL-0003
9. 全局证据追溯：work/liveshow-user-app-all-260901-001/global-evidence-scan-result.json；扫描模式 full</x:v>
      </x:c>
    </x:row>
    <x:row r="85" ht="91.5" customHeight="1">
      <x:c r="A85" s="5" t="n">
        <x:v>84</x:v>
      </x:c>
      <x:c r="B85" s="5" t="str">
        <x:v>LIVE-031</x:v>
      </x:c>
      <x:c r="C85" s="5" t="str">
        <x:v>用户App-直播</x:v>
      </x:c>
      <x:c r="D85" s="5" t="str">
        <x:v>门票房进房</x:v>
      </x:c>
      <x:c r="E85" s="5" t="str">
        <x:v>异常用例</x:v>
      </x:c>
      <x:c r="F85" s="5" t="str">
        <x:v>P1</x:v>
      </x:c>
      <x:c r="G85" s="5" t="str">
        <x:v>验证余额不足时不能购买门票</x:v>
      </x:c>
      <x:c r="H85" s="5" t="str">
        <x:v>余额不足购票拦截</x:v>
      </x:c>
      <x:c r="I85" s="5" t="str">
        <x:v>1. 目标门票价格为 10 金币
2. 用户余额为 9 金币
3. 用户未购买本场门票</x:v>
      </x:c>
      <x:c r="J85" s="5" t="str">
        <x:v>1. 点击目标门票房
2. 点击“购买”</x:v>
      </x:c>
      <x:c r="K85" s="5" t="str">
        <x:v>用户不进入目标直播间</x:v>
      </x:c>
      <x:c r="L85" s="5" t="str"/>
      <x:c r="M85" s="5" t="str">
        <x:v>未测</x:v>
      </x:c>
      <x:c r="N85" s="5" t="str"/>
      <x:c r="O85" s="5" t="str">
        <x:v>1. 来源：context/01-用户主播App-项目需求清单.md
2. 来源：对应 HTML 静态原型；未动态验证
3. 追溯：业务底稿 LIVE-012。
4. 同步追溯：work/liveshow-user-app-all-260901-001/prototype-context-sync-result.json；RSL-0002、RSL-0003
5. 全局证据追溯：work/liveshow-user-app-all-260901-001/global-evidence-scan-result.json；扫描模式 full</x:v>
      </x:c>
    </x:row>
    <x:row r="86" ht="91.5" customHeight="1">
      <x:c r="A86" s="5" t="n">
        <x:v>85</x:v>
      </x:c>
      <x:c r="B86" s="5" t="str">
        <x:v>LIVE-032</x:v>
      </x:c>
      <x:c r="C86" s="5" t="str">
        <x:v>用户App-直播</x:v>
      </x:c>
      <x:c r="D86" s="5" t="str">
        <x:v>门票房进房</x:v>
      </x:c>
      <x:c r="E86" s="5" t="str">
        <x:v>异常用例</x:v>
      </x:c>
      <x:c r="F86" s="5" t="str">
        <x:v>P1</x:v>
      </x:c>
      <x:c r="G86" s="5" t="str">
        <x:v>验证购票失败后用户余额不变</x:v>
      </x:c>
      <x:c r="H86" s="5" t="str">
        <x:v>购票失败余额</x:v>
      </x:c>
      <x:c r="I86" s="5" t="str">
        <x:v>1. 目标门票价格为 10 金币
2. 用户余额为 9 金币
3. 用户未购买本场门票</x:v>
      </x:c>
      <x:c r="J86" s="5" t="str">
        <x:v>1. 点击目标门票房
2. 点击“购买”</x:v>
      </x:c>
      <x:c r="K86" s="5" t="str">
        <x:v>用户金币余额不变</x:v>
      </x:c>
      <x:c r="L86" s="5" t="str"/>
      <x:c r="M86" s="5" t="str">
        <x:v>未测</x:v>
      </x:c>
      <x:c r="N86" s="5" t="str"/>
      <x:c r="O86" s="5" t="str">
        <x:v>1. 来源：context/01-用户主播App-项目需求清单.md
2. 来源：对应 HTML 静态原型；未动态验证
3. 追溯：业务底稿 LIVE-012。
4. 同步追溯：work/liveshow-user-app-all-260901-001/prototype-context-sync-result.json；RSL-0002、RSL-0003
5. 全局证据追溯：work/liveshow-user-app-all-260901-001/global-evidence-scan-result.json；扫描模式 full</x:v>
      </x:c>
    </x:row>
    <x:row r="87" ht="103.5" customHeight="1">
      <x:c r="A87" s="5" t="n">
        <x:v>86</x:v>
      </x:c>
      <x:c r="B87" s="5" t="str">
        <x:v>LIVE-033</x:v>
      </x:c>
      <x:c r="C87" s="5" t="str">
        <x:v>用户App-直播</x:v>
      </x:c>
      <x:c r="D87" s="5" t="str">
        <x:v>门票房进房</x:v>
      </x:c>
      <x:c r="E87" s="5" t="str">
        <x:v>异常用例</x:v>
      </x:c>
      <x:c r="F87" s="5" t="str">
        <x:v>P1</x:v>
      </x:c>
      <x:c r="G87" s="5" t="str">
        <x:v>验证余额不足时提供充值入口</x:v>
      </x:c>
      <x:c r="H87" s="5" t="str">
        <x:v>余额不足充值入口展示</x:v>
      </x:c>
      <x:c r="I87" s="5" t="str">
        <x:v>1. 目标门票价格为 10 金币
2. 用户余额为 9 金币
3. 用户未购买本场门票</x:v>
      </x:c>
      <x:c r="J87" s="5" t="str">
        <x:v>1. 点击目标门票房
2. 点击“购买”</x:v>
      </x:c>
      <x:c r="K87" s="5" t="str">
        <x:v>页面提供充值入口</x:v>
      </x:c>
      <x:c r="L87" s="5" t="str"/>
      <x:c r="M87" s="5" t="str">
        <x:v>未测</x:v>
      </x:c>
      <x:c r="N87" s="5" t="str"/>
      <x:c r="O87" s="5" t="str">
        <x:v>1. 来源：context/01-用户主播App-项目需求清单.md
2. 来源：对应 HTML 静态原型；未动态验证
3. 追溯：业务底稿 LIVE-012。
4. 同步追溯：work/liveshow-user-app-all-260901-001/prototype-context-sync-result.json；RSL-0002、RSL-0003
5. 全局证据追溯：work/liveshow-user-app-all-260901-001/global-evidence-scan-result.json；扫描模式 full
6. 命名修复：补充页面、状态或动作，消除重复标题和重复验证点名称；业务步骤与预期结果未变</x:v>
      </x:c>
    </x:row>
    <x:row r="88" ht="127.5" customHeight="1">
      <x:c r="A88" s="5" t="n">
        <x:v>87</x:v>
      </x:c>
      <x:c r="B88" s="5" t="str">
        <x:v>LIVE-034</x:v>
      </x:c>
      <x:c r="C88" s="5" t="str">
        <x:v>用户App-直播</x:v>
      </x:c>
      <x:c r="D88" s="5" t="str">
        <x:v>门票房进房</x:v>
      </x:c>
      <x:c r="E88" s="5" t="str">
        <x:v>逻辑校验</x:v>
      </x:c>
      <x:c r="F88" s="5" t="str">
        <x:v>P1</x:v>
      </x:c>
      <x:c r="G88" s="5" t="str">
        <x:v>验证已购票用户再次进入同一场次</x:v>
      </x:c>
      <x:c r="H88" s="5" t="str">
        <x:v>已购票再次进房</x:v>
      </x:c>
      <x:c r="I88" s="5" t="str">
        <x:v>1. 用户已购买目标门票房当前场次门票
2. 当前场次尚未结束且用户未被踢出</x:v>
      </x:c>
      <x:c r="J88" s="5" t="str">
        <x:v>1. 退出直播间
2. 再次点击同一场门票房</x:v>
      </x:c>
      <x:c r="K88" s="5" t="str">
        <x:v>用户可再次进入目标直播间</x:v>
      </x:c>
      <x:c r="L88" s="5" t="str">
        <x:v>FLOW-LIVE-002</x:v>
      </x:c>
      <x:c r="M88" s="5" t="str">
        <x:v>未测</x:v>
      </x:c>
      <x:c r="N88" s="5" t="str"/>
      <x:c r="O88" s="5" t="str">
        <x:v>1. 来源：context/01-用户主播App-项目需求清单.md
2. 追溯：业务底稿 LIVE-013。
3. 流程：阶段 05：观众重复进入同一场次；共同业务对象：门票房场次（数据别名：LIVE-SESSION-T01）、目标观众（数据别名：USER-T01）。
4. 共同业务对象：同一门票房场次和购票资格
5. 流程阶段：已购票再次进房
6. 同步追溯：work/liveshow-user-app-all-260901-001/prototype-context-sync-result.json；RSL-0002、RSL-0003
7. 全局证据追溯：work/liveshow-user-app-all-260901-001/global-evidence-scan-result.json；扫描模式 full</x:v>
      </x:c>
    </x:row>
    <x:row r="89" ht="79.5" customHeight="1">
      <x:c r="A89" s="5" t="n">
        <x:v>88</x:v>
      </x:c>
      <x:c r="B89" s="5" t="str">
        <x:v>LIVE-035</x:v>
      </x:c>
      <x:c r="C89" s="5" t="str">
        <x:v>用户App-直播</x:v>
      </x:c>
      <x:c r="D89" s="5" t="str">
        <x:v>门票房进房</x:v>
      </x:c>
      <x:c r="E89" s="5" t="str">
        <x:v>逻辑校验</x:v>
      </x:c>
      <x:c r="F89" s="5" t="str">
        <x:v>P1</x:v>
      </x:c>
      <x:c r="G89" s="5" t="str">
        <x:v>验证重复进房不重复扣费</x:v>
      </x:c>
      <x:c r="H89" s="5" t="str">
        <x:v>重复进房扣费</x:v>
      </x:c>
      <x:c r="I89" s="5" t="str">
        <x:v>1. 用户已购买目标门票房当前场次门票
2. 当前场次尚未结束且用户未被踢出</x:v>
      </x:c>
      <x:c r="J89" s="5" t="str">
        <x:v>1. 记录当前余额
2. 退出并重新进入同一门票场次
3. 再次查看余额</x:v>
      </x:c>
      <x:c r="K89" s="5" t="str">
        <x:v>再次进入不扣减金币</x:v>
      </x:c>
      <x:c r="L89" s="5" t="str"/>
      <x:c r="M89" s="5" t="str">
        <x:v>未测</x:v>
      </x:c>
      <x:c r="N89" s="5" t="str"/>
      <x:c r="O89" s="5" t="str">
        <x:v>1. 来源：context/01-用户主播App-项目需求清单.md
2. 追溯：业务底稿 LIVE-013。
3. 同步追溯：work/liveshow-user-app-all-260901-001/prototype-context-sync-result.json；RSL-0002、RSL-0003
4. 全局证据追溯：work/liveshow-user-app-all-260901-001/global-evidence-scan-result.json；扫描模式 full</x:v>
      </x:c>
    </x:row>
    <x:row r="90" ht="79.5" customHeight="1">
      <x:c r="A90" s="5" t="n">
        <x:v>89</x:v>
      </x:c>
      <x:c r="B90" s="5" t="str">
        <x:v>LIVE-036</x:v>
      </x:c>
      <x:c r="C90" s="5" t="str">
        <x:v>用户App-直播</x:v>
      </x:c>
      <x:c r="D90" s="5" t="str">
        <x:v>门票房进房</x:v>
      </x:c>
      <x:c r="E90" s="5" t="str">
        <x:v>逻辑校验</x:v>
      </x:c>
      <x:c r="F90" s="5" t="str">
        <x:v>P1</x:v>
      </x:c>
      <x:c r="G90" s="5" t="str">
        <x:v>验证重复进房不生成重复流水</x:v>
      </x:c>
      <x:c r="H90" s="5" t="str">
        <x:v>重复进房流水</x:v>
      </x:c>
      <x:c r="I90" s="5" t="str">
        <x:v>1. 用户已购买目标门票房当前场次门票
2. 当前场次尚未结束且用户未被踢出</x:v>
      </x:c>
      <x:c r="J90" s="5" t="str">
        <x:v>1. 记录购票流水数量
2. 退出并重新进入同一门票场次
3. 再次查看消费明细</x:v>
      </x:c>
      <x:c r="K90" s="5" t="str">
        <x:v>消费明细不新增重复门票记录</x:v>
      </x:c>
      <x:c r="L90" s="5" t="str"/>
      <x:c r="M90" s="5" t="str">
        <x:v>未测</x:v>
      </x:c>
      <x:c r="N90" s="5" t="str"/>
      <x:c r="O90" s="5" t="str">
        <x:v>1. 来源：context/01-用户主播App-项目需求清单.md
2. 追溯：业务底稿 LIVE-013。
3. 同步追溯：work/liveshow-user-app-all-260901-001/prototype-context-sync-result.json；RSL-0002、RSL-0003
4. 全局证据追溯：work/liveshow-user-app-all-260901-001/global-evidence-scan-result.json；扫描模式 full</x:v>
      </x:c>
    </x:row>
    <x:row r="91" ht="79.5" customHeight="1">
      <x:c r="A91" s="5" t="n">
        <x:v>90</x:v>
      </x:c>
      <x:c r="B91" s="5" t="str">
        <x:v>LIVE-037</x:v>
      </x:c>
      <x:c r="C91" s="5" t="str">
        <x:v>用户App-直播</x:v>
      </x:c>
      <x:c r="D91" s="5" t="str">
        <x:v>门票房进房</x:v>
      </x:c>
      <x:c r="E91" s="5" t="str">
        <x:v>逻辑校验</x:v>
      </x:c>
      <x:c r="F91" s="5" t="str">
        <x:v>P1</x:v>
      </x:c>
      <x:c r="G91" s="5" t="str">
        <x:v>验证直播结束后原门票失效</x:v>
      </x:c>
      <x:c r="H91" s="5" t="str">
        <x:v>场次结束后门票失效</x:v>
      </x:c>
      <x:c r="I91" s="5" t="str">
        <x:v>1. 用户已购买场次 A 的门票
2. 场次 A 已结束
3. 同一主播开启新的门票场次 B</x:v>
      </x:c>
      <x:c r="J91" s="5" t="str">
        <x:v>1. 点击场次 B 的直播卡片</x:v>
      </x:c>
      <x:c r="K91" s="5" t="str">
        <x:v>场次 A 结束后，进入场次 B 需重新购买场次 B 门票</x:v>
      </x:c>
      <x:c r="L91" s="5" t="str"/>
      <x:c r="M91" s="5" t="str">
        <x:v>未测</x:v>
      </x:c>
      <x:c r="N91" s="5" t="str"/>
      <x:c r="O91" s="5" t="str">
        <x:v>1. 来源：context/01-用户主播App-项目需求清单.md
2. 追溯：业务底稿 LIVE-014。
3. 同步追溯：work/liveshow-user-app-all-260901-001/prototype-context-sync-result.json；RSL-0002、RSL-0003
4. 全局证据追溯：work/liveshow-user-app-all-260901-001/global-evidence-scan-result.json；扫描模式 full</x:v>
      </x:c>
    </x:row>
    <x:row r="92" ht="127.5" customHeight="1">
      <x:c r="A92" s="5" t="n">
        <x:v>91</x:v>
      </x:c>
      <x:c r="B92" s="5" t="str">
        <x:v>LIVE-038</x:v>
      </x:c>
      <x:c r="C92" s="5" t="str">
        <x:v>用户App-直播</x:v>
      </x:c>
      <x:c r="D92" s="5" t="str">
        <x:v>门票房进房</x:v>
      </x:c>
      <x:c r="E92" s="5" t="str">
        <x:v>业务流程</x:v>
      </x:c>
      <x:c r="F92" s="5" t="str">
        <x:v>P1</x:v>
      </x:c>
      <x:c r="G92" s="5" t="str">
        <x:v>验证门票房被踢后的进房限制</x:v>
      </x:c>
      <x:c r="H92" s="5" t="str">
        <x:v>被踢后进房限制</x:v>
      </x:c>
      <x:c r="I92" s="5" t="str">
        <x:v>1. 用户已购买并进入当前门票房
2. 用户金币余额和购票流水已记录</x:v>
      </x:c>
      <x:c r="J92" s="5" t="str">
        <x:v>1. 由主播将该用户踢出直播间
2. 用户再次尝试进入当前场次
3. 查看金币余额和消费明细</x:v>
      </x:c>
      <x:c r="K92" s="5" t="str">
        <x:v>用户被踢出门票房后不得再次进入当前场次</x:v>
      </x:c>
      <x:c r="L92" s="5" t="str">
        <x:v>FLOW-LIVE-002</x:v>
      </x:c>
      <x:c r="M92" s="5" t="str">
        <x:v>未测</x:v>
      </x:c>
      <x:c r="N92" s="5" t="str"/>
      <x:c r="O92" s="5" t="str">
        <x:v>1. 来源：context/系统概要 .md（当前全局业务规则）
2. 追溯：业务底稿 LIVE-015。
3. 流程：阶段 06：观众被踢后限制重进；共同业务对象：门票房场次（数据别名：LIVE-SESSION-T01）、目标观众（数据别名：USER-T01）。
4. 共同业务对象：同一门票房场次和购票资格
5. 流程阶段：被踢后进房限制
6. 同步追溯：work/liveshow-user-app-all-260901-001/prototype-context-sync-result.json；RSL-0002、RSL-0003
7. 全局证据追溯：work/liveshow-user-app-all-260901-001/global-evidence-scan-result.json；扫描模式 full</x:v>
      </x:c>
    </x:row>
    <x:row r="93" ht="127.5" customHeight="1">
      <x:c r="A93" s="5" t="n">
        <x:v>92</x:v>
      </x:c>
      <x:c r="B93" s="5" t="str">
        <x:v>LIVE-039</x:v>
      </x:c>
      <x:c r="C93" s="5" t="str">
        <x:v>用户App-直播</x:v>
      </x:c>
      <x:c r="D93" s="5" t="str">
        <x:v>门票房进房</x:v>
      </x:c>
      <x:c r="E93" s="5" t="str">
        <x:v>业务流程</x:v>
      </x:c>
      <x:c r="F93" s="5" t="str">
        <x:v>P1</x:v>
      </x:c>
      <x:c r="G93" s="5" t="str">
        <x:v>验证门票房被踢后不退款</x:v>
      </x:c>
      <x:c r="H93" s="5" t="str">
        <x:v>被踢后门票退款</x:v>
      </x:c>
      <x:c r="I93" s="5" t="str">
        <x:v>1. 用户已购买并进入当前门票房
2. 用户金币余额和购票流水已记录</x:v>
      </x:c>
      <x:c r="J93" s="5" t="str">
        <x:v>1. 记录被踢前余额
2. 由主播踢出用户
3. 查看用户金币余额</x:v>
      </x:c>
      <x:c r="K93" s="5" t="str">
        <x:v>已支付门票不退回金币</x:v>
      </x:c>
      <x:c r="L93" s="5" t="str">
        <x:v>FLOW-LIVE-002</x:v>
      </x:c>
      <x:c r="M93" s="5" t="str">
        <x:v>未测</x:v>
      </x:c>
      <x:c r="N93" s="5" t="str"/>
      <x:c r="O93" s="5" t="str">
        <x:v>1. 来源：context/系统概要 .md（当前全局业务规则）
2. 追溯：业务底稿 LIVE-015。
3. 流程：阶段 07：核对被踢后余额；共同业务对象：门票房场次（数据别名：LIVE-SESSION-T01）、目标观众（数据别名：USER-T01）。
4. 共同业务对象：同一门票房场次和购票资格
5. 流程阶段：被踢后门票退款
6. 同步追溯：work/liveshow-user-app-all-260901-001/prototype-context-sync-result.json；RSL-0002、RSL-0003
7. 全局证据追溯：work/liveshow-user-app-all-260901-001/global-evidence-scan-result.json；扫描模式 full</x:v>
      </x:c>
    </x:row>
    <x:row r="94" ht="127.5" customHeight="1">
      <x:c r="A94" s="5" t="n">
        <x:v>93</x:v>
      </x:c>
      <x:c r="B94" s="5" t="str">
        <x:v>LIVE-040</x:v>
      </x:c>
      <x:c r="C94" s="5" t="str">
        <x:v>用户App-直播</x:v>
      </x:c>
      <x:c r="D94" s="5" t="str">
        <x:v>门票房进房</x:v>
      </x:c>
      <x:c r="E94" s="5" t="str">
        <x:v>业务流程</x:v>
      </x:c>
      <x:c r="F94" s="5" t="str">
        <x:v>P1</x:v>
      </x:c>
      <x:c r="G94" s="5" t="str">
        <x:v>验证门票房被踢后的消费流水</x:v>
      </x:c>
      <x:c r="H94" s="5" t="str">
        <x:v>被踢后门票流水</x:v>
      </x:c>
      <x:c r="I94" s="5" t="str">
        <x:v>1. 用户已购买并进入当前门票房
2. 用户金币余额和购票流水已记录</x:v>
      </x:c>
      <x:c r="J94" s="5" t="str">
        <x:v>1. 由主播踢出用户
2. 进入金币消费明细
3. 查看原门票流水和退款流水</x:v>
      </x:c>
      <x:c r="K94" s="5" t="str">
        <x:v>用户被踢出后，原购票消费明细保留</x:v>
      </x:c>
      <x:c r="L94" s="5" t="str">
        <x:v>FLOW-LIVE-002</x:v>
      </x:c>
      <x:c r="M94" s="5" t="str">
        <x:v>未测</x:v>
      </x:c>
      <x:c r="N94" s="5" t="str"/>
      <x:c r="O94" s="5" t="str">
        <x:v>1. 来源：context/系统概要 .md（当前全局业务规则）
2. 追溯：业务底稿 LIVE-015。
3. 流程：阶段 08：核对被踢后流水；共同业务对象：门票房场次（数据别名：LIVE-SESSION-T01）、目标观众（数据别名：USER-T01）。
4. 共同业务对象：同一门票房场次和购票资格
5. 流程阶段：被踢后门票流水
6. 同步追溯：work/liveshow-user-app-all-260901-001/prototype-context-sync-result.json；RSL-0002、RSL-0003
7. 全局证据追溯：work/liveshow-user-app-all-260901-001/global-evidence-scan-result.json；扫描模式 full</x:v>
      </x:c>
    </x:row>
    <x:row r="95" ht="115.5" customHeight="1">
      <x:c r="A95" s="5" t="n">
        <x:v>94</x:v>
      </x:c>
      <x:c r="B95" s="5" t="str">
        <x:v>LIVE-041</x:v>
      </x:c>
      <x:c r="C95" s="5" t="str">
        <x:v>用户App-直播</x:v>
      </x:c>
      <x:c r="D95" s="5" t="str">
        <x:v>门票房进房</x:v>
      </x:c>
      <x:c r="E95" s="5" t="str">
        <x:v>功能需求</x:v>
      </x:c>
      <x:c r="F95" s="5" t="str">
        <x:v>P2</x:v>
      </x:c>
      <x:c r="G95" s="5" t="str">
        <x:v>验证购买门票成功反馈</x:v>
      </x:c>
      <x:c r="H95" s="5" t="str">
        <x:v>购票成功反馈</x:v>
      </x:c>
      <x:c r="I95" s="5" t="str">
        <x:v>1. 用户未购买当前场次门票
2. 门票价格为 10 金币
3. 用户金币余额不少于 10</x:v>
      </x:c>
      <x:c r="J95" s="5" t="str">
        <x:v>1. 进入目标门票房
2. 确认购买门票</x:v>
      </x:c>
      <x:c r="K95" s="5" t="str">
        <x:v>页面提示“购买门票成功”</x:v>
      </x:c>
      <x:c r="L95" s="5" t="str">
        <x:v>FLOW-LIVE-002</x:v>
      </x:c>
      <x:c r="M95" s="5" t="str">
        <x:v>未测</x:v>
      </x:c>
      <x:c r="N95" s="5" t="str"/>
      <x:c r="O95" s="5" t="str">
        <x:v>1. 来源：prototype/pages/user/live/live-room.html 动态交互脚本
2. 静态分析已确认事件绑定；未在浏览器动态验证
3. 补充原因：业务结果完整性扫描发现独立反馈观察点未覆盖
4. 共同业务对象：同一门票房场次和购票资格
5. 流程阶段：购票成功反馈
6. 同步追溯：work/liveshow-user-app-all-260901-001/prototype-context-sync-result.json；RSL-0002、RSL-0003
7. 全局证据追溯：work/liveshow-user-app-all-260901-001/global-evidence-scan-result.json；扫描模式 full</x:v>
      </x:c>
    </x:row>
    <x:row r="96" ht="79.5" customHeight="1">
      <x:c r="A96" s="5" t="n">
        <x:v>95</x:v>
      </x:c>
      <x:c r="B96" s="5" t="str">
        <x:v>LIVE-042</x:v>
      </x:c>
      <x:c r="C96" s="5" t="str">
        <x:v>用户App-直播</x:v>
      </x:c>
      <x:c r="D96" s="5" t="str">
        <x:v>门票房进房</x:v>
      </x:c>
      <x:c r="E96" s="5" t="str">
        <x:v>功能需求</x:v>
      </x:c>
      <x:c r="F96" s="5" t="str">
        <x:v>P1</x:v>
      </x:c>
      <x:c r="G96" s="5" t="str">
        <x:v>验证点击门票房打开购票面板</x:v>
      </x:c>
      <x:c r="H96" s="5" t="str">
        <x:v>购买门票面板</x:v>
      </x:c>
      <x:c r="I96" s="5" t="str">
        <x:v>1. 广场存在 Maya 的门票房</x:v>
      </x:c>
      <x:c r="J96" s="5" t="str">
        <x:v>1. 点击 Maya 的门票房卡片</x:v>
      </x:c>
      <x:c r="K96" s="5" t="str">
        <x:v>页面底部打开“购买门票”面板</x:v>
      </x:c>
      <x:c r="L96" s="5" t="str"/>
      <x:c r="M96" s="5" t="str">
        <x:v>未测</x:v>
      </x:c>
      <x:c r="N96" s="5" t="str"/>
      <x:c r="O96" s="5" t="str">
        <x:v>1. 来源：prototype/pages/user/home/live-plaza.html 与当页交互脚本；未动态验证
2. 同步追溯：work/liveshow-user-app-all-260901-001/prototype-context-sync-result.json；RSL-0002、RSL-0003
3. 全局证据追溯：work/liveshow-user-app-all-260901-001/global-evidence-scan-result.json；扫描模式 full</x:v>
      </x:c>
    </x:row>
    <x:row r="97" ht="79.5" customHeight="1">
      <x:c r="A97" s="5" t="n">
        <x:v>96</x:v>
      </x:c>
      <x:c r="B97" s="5" t="str">
        <x:v>LIVE-043</x:v>
      </x:c>
      <x:c r="C97" s="5" t="str">
        <x:v>用户App-直播</x:v>
      </x:c>
      <x:c r="D97" s="5" t="str">
        <x:v>门票房进房</x:v>
      </x:c>
      <x:c r="E97" s="5" t="str">
        <x:v>功能需求</x:v>
      </x:c>
      <x:c r="F97" s="5" t="str">
        <x:v>P1</x:v>
      </x:c>
      <x:c r="G97" s="5" t="str">
        <x:v>验证购票面板显示房间与价格</x:v>
      </x:c>
      <x:c r="H97" s="5" t="str">
        <x:v>购票房间与价格</x:v>
      </x:c>
      <x:c r="I97" s="5" t="str">
        <x:v>1. Maya 的购票面板已打开</x:v>
      </x:c>
      <x:c r="J97" s="5" t="str">
        <x:v>1. 查看门票商品信息</x:v>
      </x:c>
      <x:c r="K97" s="5" t="str">
        <x:v>面板展示“Maya 的专场”、“入场门票 × 1”和对应金币价格</x:v>
      </x:c>
      <x:c r="L97" s="5" t="str"/>
      <x:c r="M97" s="5" t="str">
        <x:v>未测</x:v>
      </x:c>
      <x:c r="N97" s="5" t="str"/>
      <x:c r="O97" s="5" t="str">
        <x:v>1. 来源：prototype/pages/user/home/live-plaza.html 与当页交互脚本；未动态验证
2. 同步追溯：work/liveshow-user-app-all-260901-001/prototype-context-sync-result.json；RSL-0002、RSL-0003
3. 全局证据追溯：work/liveshow-user-app-all-260901-001/global-evidence-scan-result.json；扫描模式 full</x:v>
      </x:c>
    </x:row>
    <x:row r="98" ht="91.5" customHeight="1">
      <x:c r="A98" s="5" t="n">
        <x:v>97</x:v>
      </x:c>
      <x:c r="B98" s="5" t="str">
        <x:v>LIVE-044</x:v>
      </x:c>
      <x:c r="C98" s="5" t="str">
        <x:v>用户App-直播</x:v>
      </x:c>
      <x:c r="D98" s="5" t="str">
        <x:v>门票房进房</x:v>
      </x:c>
      <x:c r="E98" s="5" t="str">
        <x:v>功能需求</x:v>
      </x:c>
      <x:c r="F98" s="5" t="str">
        <x:v>P2</x:v>
      </x:c>
      <x:c r="G98" s="5" t="str">
        <x:v>验证购票面板的充值入口</x:v>
      </x:c>
      <x:c r="H98" s="5" t="str">
        <x:v>购票面板充值入口点击反馈</x:v>
      </x:c>
      <x:c r="I98" s="5" t="str">
        <x:v>1. 购票面板已打开</x:v>
      </x:c>
      <x:c r="J98" s="5" t="str">
        <x:v>1. 点击金币余额旁的充值按钮</x:v>
      </x:c>
      <x:c r="K98" s="5" t="str">
        <x:v>页面提示“打开充值”</x:v>
      </x:c>
      <x:c r="L98" s="5" t="str"/>
      <x:c r="M98" s="5" t="str">
        <x:v>未测</x:v>
      </x:c>
      <x:c r="N98" s="5" t="str"/>
      <x:c r="O98" s="5" t="str">
        <x:v>1. 来源：prototype/pages/user/home/live-plaza.html 与当页交互脚本；未动态验证
2. 同步追溯：work/liveshow-user-app-all-260901-001/prototype-context-sync-result.json；RSL-0002、RSL-0003
3. 全局证据追溯：work/liveshow-user-app-all-260901-001/global-evidence-scan-result.json；扫描模式 full
4. 命名修复：补充页面、状态或动作，消除重复标题和重复验证点名称；业务步骤与预期结果未变</x:v>
      </x:c>
    </x:row>
    <x:row r="99" ht="79.5" customHeight="1">
      <x:c r="A99" s="5" t="n">
        <x:v>98</x:v>
      </x:c>
      <x:c r="B99" s="5" t="str">
        <x:v>LIVE-045</x:v>
      </x:c>
      <x:c r="C99" s="5" t="str">
        <x:v>用户App-直播</x:v>
      </x:c>
      <x:c r="D99" s="5" t="str">
        <x:v>门票房进房</x:v>
      </x:c>
      <x:c r="E99" s="5" t="str">
        <x:v>功能需求</x:v>
      </x:c>
      <x:c r="F99" s="5" t="str">
        <x:v>P2</x:v>
      </x:c>
      <x:c r="G99" s="5" t="str">
        <x:v>验证关闭购票面板不进入房间</x:v>
      </x:c>
      <x:c r="H99" s="5" t="str">
        <x:v>取消购票</x:v>
      </x:c>
      <x:c r="I99" s="5" t="str">
        <x:v>1. 购票面板已打开</x:v>
      </x:c>
      <x:c r="J99" s="5" t="str">
        <x:v>1. 点击关闭按钮</x:v>
      </x:c>
      <x:c r="K99" s="5" t="str">
        <x:v>购票面板关闭</x:v>
      </x:c>
      <x:c r="L99" s="5" t="str"/>
      <x:c r="M99" s="5" t="str">
        <x:v>未测</x:v>
      </x:c>
      <x:c r="N99" s="5" t="str"/>
      <x:c r="O99" s="5" t="str">
        <x:v>1. 来源：prototype/pages/user/home/live-plaza.html 与当页交互脚本；未动态验证
2. 同步追溯：work/liveshow-user-app-all-260901-001/prototype-context-sync-result.json；RSL-0002、RSL-0003
3. 全局证据追溯：work/liveshow-user-app-all-260901-001/global-evidence-scan-result.json；扫描模式 full</x:v>
      </x:c>
    </x:row>
    <x:row r="100" ht="79.5" customHeight="1">
      <x:c r="A100" s="5" t="n">
        <x:v>99</x:v>
      </x:c>
      <x:c r="B100" s="5" t="str">
        <x:v>LIVE-046</x:v>
      </x:c>
      <x:c r="C100" s="5" t="str">
        <x:v>用户App-直播</x:v>
      </x:c>
      <x:c r="D100" s="5" t="str">
        <x:v>门票房进房</x:v>
      </x:c>
      <x:c r="E100" s="5" t="str">
        <x:v>功能需求</x:v>
      </x:c>
      <x:c r="F100" s="5" t="str">
        <x:v>P2</x:v>
      </x:c>
      <x:c r="G100" s="5" t="str">
        <x:v>验证取消购票后不进入直播间</x:v>
      </x:c>
      <x:c r="H100" s="5" t="str">
        <x:v>取消购票进房结果</x:v>
      </x:c>
      <x:c r="I100" s="5" t="str">
        <x:v>1. 购票面板已打开</x:v>
      </x:c>
      <x:c r="J100" s="5" t="str">
        <x:v>1. 点击关闭按钮</x:v>
      </x:c>
      <x:c r="K100" s="5" t="str">
        <x:v>用户不进入目标门票房</x:v>
      </x:c>
      <x:c r="L100" s="5" t="str"/>
      <x:c r="M100" s="5" t="str">
        <x:v>未测</x:v>
      </x:c>
      <x:c r="N100" s="5" t="str"/>
      <x:c r="O100" s="5" t="str">
        <x:v>1. 来源：prototype/pages/user/home/live-plaza.html 与当页交互脚本；未动态验证
2. 同步追溯：work/liveshow-user-app-all-260901-001/prototype-context-sync-result.json；RSL-0002、RSL-0003
3. 全局证据追溯：work/liveshow-user-app-all-260901-001/global-evidence-scan-result.json；扫描模式 full</x:v>
      </x:c>
    </x:row>
    <x:row r="101" ht="142.5" customHeight="1">
      <x:c r="A101" s="5" t="n">
        <x:v>100</x:v>
      </x:c>
      <x:c r="B101" s="5" t="str">
        <x:v>LIVE-047</x:v>
      </x:c>
      <x:c r="C101" s="5" t="str">
        <x:v>用户App-直播</x:v>
      </x:c>
      <x:c r="D101" s="5" t="str">
        <x:v>密码房进房</x:v>
      </x:c>
      <x:c r="E101" s="5" t="str">
        <x:v>业务流程</x:v>
      </x:c>
      <x:c r="F101" s="5" t="str">
        <x:v>P0</x:v>
      </x:c>
      <x:c r="G101" s="5" t="str">
        <x:v>验证用户输入有效密码进入密码房</x:v>
      </x:c>
      <x:c r="H101" s="5" t="str">
        <x:v>有效密码进房</x:v>
      </x:c>
      <x:c r="I101" s="5" t="str">
        <x:v>1. 密码房灰度开关已开启
2. 目标密码房正在直播
3. 用户已获得当前房间密码</x:v>
      </x:c>
      <x:c r="J101" s="5" t="str">
        <x:v>1. 点击目标密码房入口
2. 输入当前房间密码
3. 点击“进入直播间”</x:v>
      </x:c>
      <x:c r="K101" s="5" t="str">
        <x:v>当前密码验证通过后进入目标密码房</x:v>
      </x:c>
      <x:c r="L101" s="5" t="str">
        <x:v>FLOW-LIVE-003</x:v>
      </x:c>
      <x:c r="M101" s="5" t="str">
        <x:v>未测</x:v>
      </x:c>
      <x:c r="N101" s="5" t="str"/>
      <x:c r="O101" s="5" t="str">
        <x:v>1. 来源：context/01-用户主播App-项目需求清单.md
2. 来源：prototype/assets/annotations.js
3. 来源：对应 HTML 静态原型；未动态验证
4. 追溯：业务底稿 LIVE-016。
5. 流程：阶段 02：观众使用当前密码进房；共同业务对象：密码房场次（数据别名：LIVE-SESSION-P01）、目标观众（数据别名：USER-P01）。
6. 共同业务对象：同一密码房场次
7. 流程阶段：有效密码进房
8. 同步追溯：work/liveshow-user-app-all-260901-001/prototype-context-sync-result.json；RSL-0002、RSL-0003
9. 全局证据追溯：work/liveshow-user-app-all-260901-001/global-evidence-scan-result.json；扫描模式 full</x:v>
      </x:c>
    </x:row>
    <x:row r="102" ht="91.5" customHeight="1">
      <x:c r="A102" s="5" t="n">
        <x:v>101</x:v>
      </x:c>
      <x:c r="B102" s="5" t="str">
        <x:v>LIVE-048</x:v>
      </x:c>
      <x:c r="C102" s="5" t="str">
        <x:v>用户App-直播</x:v>
      </x:c>
      <x:c r="D102" s="5" t="str">
        <x:v>密码房进房</x:v>
      </x:c>
      <x:c r="E102" s="5" t="str">
        <x:v>异常用例</x:v>
      </x:c>
      <x:c r="F102" s="5" t="str">
        <x:v>P1</x:v>
      </x:c>
      <x:c r="G102" s="5" t="str">
        <x:v>验证错误密码无法进入直播间</x:v>
      </x:c>
      <x:c r="H102" s="5" t="str">
        <x:v>错误密码进房拦截</x:v>
      </x:c>
      <x:c r="I102" s="5" t="str">
        <x:v>1. 目标密码房正在直播</x:v>
      </x:c>
      <x:c r="J102" s="5" t="str">
        <x:v>1. 点击目标密码房入口
2. 输入与当前密码不一致的内容
3. 点击“进入直播间”</x:v>
      </x:c>
      <x:c r="K102" s="5" t="str">
        <x:v>页面不进入直播间</x:v>
      </x:c>
      <x:c r="L102" s="5" t="str"/>
      <x:c r="M102" s="5" t="str">
        <x:v>未测</x:v>
      </x:c>
      <x:c r="N102" s="5" t="str"/>
      <x:c r="O102" s="5" t="str">
        <x:v>1. 来源：context/01-用户主播App-项目需求清单.md
2. 来源：对应 HTML 静态原型；未动态验证
3. 追溯：业务底稿 LIVE-017。
4. 同步追溯：work/liveshow-user-app-all-260901-001/prototype-context-sync-result.json；RSL-0002、RSL-0003
5. 全局证据追溯：work/liveshow-user-app-all-260901-001/global-evidence-scan-result.json；扫描模式 full</x:v>
      </x:c>
    </x:row>
    <x:row r="103" ht="91.5" customHeight="1">
      <x:c r="A103" s="5" t="n">
        <x:v>102</x:v>
      </x:c>
      <x:c r="B103" s="5" t="str">
        <x:v>LIVE-049</x:v>
      </x:c>
      <x:c r="C103" s="5" t="str">
        <x:v>用户App-直播</x:v>
      </x:c>
      <x:c r="D103" s="5" t="str">
        <x:v>密码房进房</x:v>
      </x:c>
      <x:c r="E103" s="5" t="str">
        <x:v>异常用例</x:v>
      </x:c>
      <x:c r="F103" s="5" t="str">
        <x:v>P1</x:v>
      </x:c>
      <x:c r="G103" s="5" t="str">
        <x:v>验证错误密码校验提示</x:v>
      </x:c>
      <x:c r="H103" s="5" t="str">
        <x:v>错误密码提示</x:v>
      </x:c>
      <x:c r="I103" s="5" t="str">
        <x:v>1. 目标密码房正在直播</x:v>
      </x:c>
      <x:c r="J103" s="5" t="str">
        <x:v>1. 点击目标密码房入口
2. 输入与当前密码不一致的内容
3. 点击“进入直播间”</x:v>
      </x:c>
      <x:c r="K103" s="5" t="str">
        <x:v>密码输入区域显示“密码错误，请重新输入”</x:v>
      </x:c>
      <x:c r="L103" s="5" t="str"/>
      <x:c r="M103" s="5" t="str">
        <x:v>未测</x:v>
      </x:c>
      <x:c r="N103" s="5" t="str"/>
      <x:c r="O103" s="5" t="str">
        <x:v>1. 来源：context/01-用户主播App-项目需求清单.md
2. 来源：对应 HTML 静态原型；未动态验证
3. 追溯：业务底稿 LIVE-017。
4. 同步追溯：work/liveshow-user-app-all-260901-001/prototype-context-sync-result.json；RSL-0002、RSL-0003
5. 全局证据追溯：work/liveshow-user-app-all-260901-001/global-evidence-scan-result.json；扫描模式 full</x:v>
      </x:c>
    </x:row>
    <x:row r="104" ht="91.5" customHeight="1">
      <x:c r="A104" s="5" t="n">
        <x:v>103</x:v>
      </x:c>
      <x:c r="B104" s="5" t="str">
        <x:v>LIVE-050</x:v>
      </x:c>
      <x:c r="C104" s="5" t="str">
        <x:v>用户App-直播</x:v>
      </x:c>
      <x:c r="D104" s="5" t="str">
        <x:v>密码房进房</x:v>
      </x:c>
      <x:c r="E104" s="5" t="str">
        <x:v>功能需求</x:v>
      </x:c>
      <x:c r="F104" s="5" t="str">
        <x:v>P2</x:v>
      </x:c>
      <x:c r="G104" s="5" t="str">
        <x:v>验证关闭密码输入后取消进房</x:v>
      </x:c>
      <x:c r="H104" s="5" t="str">
        <x:v>取消密码输入</x:v>
      </x:c>
      <x:c r="I104" s="5" t="str">
        <x:v>1. 密码输入面板已打开</x:v>
      </x:c>
      <x:c r="J104" s="5" t="str">
        <x:v>1. 填写任意密码
2. 点击关闭按钮</x:v>
      </x:c>
      <x:c r="K104" s="5" t="str">
        <x:v>密码输入面板关闭</x:v>
      </x:c>
      <x:c r="L104" s="5" t="str"/>
      <x:c r="M104" s="5" t="str">
        <x:v>未测</x:v>
      </x:c>
      <x:c r="N104" s="5" t="str"/>
      <x:c r="O104" s="5" t="str">
        <x:v>1. 来源：prototype/Luma Live-原型说明.md
2. 来源：对应 HTML 静态原型；未动态验证
3. 追溯：业务底稿 LIVE-018。
4. 同步追溯：work/liveshow-user-app-all-260901-001/prototype-context-sync-result.json；RSL-0002、RSL-0003
5. 全局证据追溯：work/liveshow-user-app-all-260901-001/global-evidence-scan-result.json；扫描模式 full</x:v>
      </x:c>
    </x:row>
    <x:row r="105" ht="127.5" customHeight="1">
      <x:c r="A105" s="5" t="n">
        <x:v>104</x:v>
      </x:c>
      <x:c r="B105" s="5" t="str">
        <x:v>LIVE-051</x:v>
      </x:c>
      <x:c r="C105" s="5" t="str">
        <x:v>用户App-直播</x:v>
      </x:c>
      <x:c r="D105" s="5" t="str">
        <x:v>密码房进房</x:v>
      </x:c>
      <x:c r="E105" s="5" t="str">
        <x:v>逻辑校验</x:v>
      </x:c>
      <x:c r="F105" s="5" t="str">
        <x:v>P1</x:v>
      </x:c>
      <x:c r="G105" s="5" t="str">
        <x:v>验证重置密码后旧密码失效</x:v>
      </x:c>
      <x:c r="H105" s="5" t="str">
        <x:v>旧密码失效</x:v>
      </x:c>
      <x:c r="I105" s="5" t="str">
        <x:v>1. 目标密码房正在直播
2. 主播已将房间密码从旧值重置为新值</x:v>
      </x:c>
      <x:c r="J105" s="5" t="str">
        <x:v>1. 使用旧密码尝试进入</x:v>
      </x:c>
      <x:c r="K105" s="5" t="str">
        <x:v>修改密码后，旧密码验证失败</x:v>
      </x:c>
      <x:c r="L105" s="5" t="str">
        <x:v>FLOW-LIVE-003</x:v>
      </x:c>
      <x:c r="M105" s="5" t="str">
        <x:v>未测</x:v>
      </x:c>
      <x:c r="N105" s="5" t="str"/>
      <x:c r="O105" s="5" t="str">
        <x:v>1. 来源：context/系统概要 .md（当前全局业务规则）
2. 追溯：业务底稿 LIVE-019。
3. 流程：阶段 04：观众使用旧密码验证；共同业务对象：密码房场次（数据别名：LIVE-SESSION-P01）、目标观众（数据别名：USER-P01）。
4. 共同业务对象：同一密码房场次
5. 流程阶段：旧密码失效
6. 同步追溯：work/liveshow-user-app-all-260901-001/prototype-context-sync-result.json；RSL-0002、RSL-0003
7. 全局证据追溯：work/liveshow-user-app-all-260901-001/global-evidence-scan-result.json；扫描模式 full</x:v>
      </x:c>
    </x:row>
    <x:row r="106" ht="127.5" customHeight="1">
      <x:c r="A106" s="5" t="n">
        <x:v>105</x:v>
      </x:c>
      <x:c r="B106" s="5" t="str">
        <x:v>LIVE-052</x:v>
      </x:c>
      <x:c r="C106" s="5" t="str">
        <x:v>用户App-直播</x:v>
      </x:c>
      <x:c r="D106" s="5" t="str">
        <x:v>密码房进房</x:v>
      </x:c>
      <x:c r="E106" s="5" t="str">
        <x:v>逻辑校验</x:v>
      </x:c>
      <x:c r="F106" s="5" t="str">
        <x:v>P1</x:v>
      </x:c>
      <x:c r="G106" s="5" t="str">
        <x:v>验证重置密码后新密码生效</x:v>
      </x:c>
      <x:c r="H106" s="5" t="str">
        <x:v>新密码生效</x:v>
      </x:c>
      <x:c r="I106" s="5" t="str">
        <x:v>1. 目标密码房正在直播
2. 主播已将房间密码从旧值重置为新值</x:v>
      </x:c>
      <x:c r="J106" s="5" t="str">
        <x:v>1. 使用新密码尝试进入</x:v>
      </x:c>
      <x:c r="K106" s="5" t="str">
        <x:v>修改密码后，新密码验证通过</x:v>
      </x:c>
      <x:c r="L106" s="5" t="str">
        <x:v>FLOW-LIVE-003</x:v>
      </x:c>
      <x:c r="M106" s="5" t="str">
        <x:v>未测</x:v>
      </x:c>
      <x:c r="N106" s="5" t="str"/>
      <x:c r="O106" s="5" t="str">
        <x:v>1. 来源：context/系统概要 .md（当前全局业务规则）
2. 追溯：业务底稿 LIVE-019。
3. 流程：阶段 05：观众使用新密码验证；共同业务对象：密码房场次（数据别名：LIVE-SESSION-P01）、目标观众（数据别名：USER-P01）。
4. 共同业务对象：同一密码房场次
5. 流程阶段：新密码生效
6. 同步追溯：work/liveshow-user-app-all-260901-001/prototype-context-sync-result.json；RSL-0002、RSL-0003
7. 全局证据追溯：work/liveshow-user-app-all-260901-001/global-evidence-scan-result.json；扫描模式 full</x:v>
      </x:c>
    </x:row>
    <x:row r="107" ht="103.5" customHeight="1">
      <x:c r="A107" s="5" t="n">
        <x:v>106</x:v>
      </x:c>
      <x:c r="B107" s="5" t="str">
        <x:v>LIVE-053</x:v>
      </x:c>
      <x:c r="C107" s="5" t="str">
        <x:v>用户App-直播</x:v>
      </x:c>
      <x:c r="D107" s="5" t="str">
        <x:v>密码房进房</x:v>
      </x:c>
      <x:c r="E107" s="5" t="str">
        <x:v>逻辑校验</x:v>
      </x:c>
      <x:c r="F107" s="5" t="str">
        <x:v>P1</x:v>
      </x:c>
      <x:c r="G107" s="5" t="str">
        <x:v>验证隐藏展示入口不绕过密码校验</x:v>
      </x:c>
      <x:c r="H107" s="5" t="str">
        <x:v>隐藏房间仍校验密码</x:v>
      </x:c>
      <x:c r="I107" s="5" t="str">
        <x:v>1. 主播关闭密码房的广场展示
2. 用户通过已知房间号找到该房间</x:v>
      </x:c>
      <x:c r="J107" s="5" t="str">
        <x:v>1. 点击房间号对应的密码房入口</x:v>
      </x:c>
      <x:c r="K107" s="5" t="str">
        <x:v>从房间号入口打开隐藏密码房时仍需验证房间密码</x:v>
      </x:c>
      <x:c r="L107" s="5" t="str"/>
      <x:c r="M107" s="5" t="str">
        <x:v>未测</x:v>
      </x:c>
      <x:c r="N107" s="5" t="str"/>
      <x:c r="O107" s="5" t="str">
        <x:v>1. 来源：context/系统概要 .md（当前全局业务规则）
2. 来源：prototype/assets/annotations.js
3. 追溯：业务底稿 LIVE-020。
4. 质量修正：按 RCL-0018 执行最小前置条件和单分支检查
5. 同步追溯：work/liveshow-user-app-all-260901-001/prototype-context-sync-result.json；RSL-0002、RSL-0003
6. 全局证据追溯：work/liveshow-user-app-all-260901-001/global-evidence-scan-result.json；扫描模式 full</x:v>
      </x:c>
    </x:row>
    <x:row r="108" ht="79.5" customHeight="1">
      <x:c r="A108" s="5" t="n">
        <x:v>107</x:v>
      </x:c>
      <x:c r="B108" s="5" t="str">
        <x:v>LIVE-054</x:v>
      </x:c>
      <x:c r="C108" s="5" t="str">
        <x:v>用户App-直播</x:v>
      </x:c>
      <x:c r="D108" s="5" t="str">
        <x:v>密码房进房</x:v>
      </x:c>
      <x:c r="E108" s="5" t="str">
        <x:v>功能需求</x:v>
      </x:c>
      <x:c r="F108" s="5" t="str">
        <x:v>P1</x:v>
      </x:c>
      <x:c r="G108" s="5" t="str">
        <x:v>验证点击密码房打开密码面板</x:v>
      </x:c>
      <x:c r="H108" s="5" t="str">
        <x:v>密码输入面板</x:v>
      </x:c>
      <x:c r="I108" s="5" t="str">
        <x:v>1. 广场存在可见密码房</x:v>
      </x:c>
      <x:c r="J108" s="5" t="str">
        <x:v>1. 点击目标密码房卡片</x:v>
      </x:c>
      <x:c r="K108" s="5" t="str">
        <x:v>页面打开“输入房间密码”面板</x:v>
      </x:c>
      <x:c r="L108" s="5" t="str"/>
      <x:c r="M108" s="5" t="str">
        <x:v>未测</x:v>
      </x:c>
      <x:c r="N108" s="5" t="str"/>
      <x:c r="O108" s="5" t="str">
        <x:v>1. 来源：prototype/pages/user/home/live-plaza.html 与当页交互脚本；未动态验证
2. 同步追溯：work/liveshow-user-app-all-260901-001/prototype-context-sync-result.json；RSL-0002、RSL-0003
3. 全局证据追溯：work/liveshow-user-app-all-260901-001/global-evidence-scan-result.json；扫描模式 full</x:v>
      </x:c>
    </x:row>
    <x:row r="109" ht="79.5" customHeight="1">
      <x:c r="A109" s="5" t="n">
        <x:v>108</x:v>
      </x:c>
      <x:c r="B109" s="5" t="str">
        <x:v>LIVE-055</x:v>
      </x:c>
      <x:c r="C109" s="5" t="str">
        <x:v>用户App-直播</x:v>
      </x:c>
      <x:c r="D109" s="5" t="str">
        <x:v>密码房进房</x:v>
      </x:c>
      <x:c r="E109" s="5" t="str">
        <x:v>功能需求</x:v>
      </x:c>
      <x:c r="F109" s="5" t="str">
        <x:v>P2</x:v>
      </x:c>
      <x:c r="G109" s="5" t="str">
        <x:v>验证密码面板显示目标房间</x:v>
      </x:c>
      <x:c r="H109" s="5" t="str">
        <x:v>密码面板房间信息</x:v>
      </x:c>
      <x:c r="I109" s="5" t="str">
        <x:v>1. Dewi 的密码面板已打开</x:v>
      </x:c>
      <x:c r="J109" s="5" t="str">
        <x:v>1. 查看密码面板房间信息</x:v>
      </x:c>
      <x:c r="K109" s="5" t="str">
        <x:v>密码面板展示 Dewi 的昵称和直播标题</x:v>
      </x:c>
      <x:c r="L109" s="5" t="str"/>
      <x:c r="M109" s="5" t="str">
        <x:v>未测</x:v>
      </x:c>
      <x:c r="N109" s="5" t="str"/>
      <x:c r="O109" s="5" t="str">
        <x:v>1. 来源：prototype/pages/user/home/live-plaza.html 与当页交互脚本；未动态验证
2. 同步追溯：work/liveshow-user-app-all-260901-001/prototype-context-sync-result.json；RSL-0002、RSL-0003
3. 全局证据追溯：work/liveshow-user-app-all-260901-001/global-evidence-scan-result.json；扫描模式 full</x:v>
      </x:c>
    </x:row>
    <x:row r="110" ht="79.5" customHeight="1">
      <x:c r="A110" s="5" t="n">
        <x:v>109</x:v>
      </x:c>
      <x:c r="B110" s="5" t="str">
        <x:v>LIVE-056</x:v>
      </x:c>
      <x:c r="C110" s="5" t="str">
        <x:v>用户App-直播</x:v>
      </x:c>
      <x:c r="D110" s="5" t="str">
        <x:v>密码房进房</x:v>
      </x:c>
      <x:c r="E110" s="5" t="str">
        <x:v>逻辑校验</x:v>
      </x:c>
      <x:c r="F110" s="5" t="str">
        <x:v>P1</x:v>
      </x:c>
      <x:c r="G110" s="5" t="str">
        <x:v>验证空密码时进房按钮不可用</x:v>
      </x:c>
      <x:c r="H110" s="5" t="str">
        <x:v>空密码按钮状态</x:v>
      </x:c>
      <x:c r="I110" s="5" t="str">
        <x:v>1. 密码面板已打开</x:v>
      </x:c>
      <x:c r="J110" s="5" t="str">
        <x:v>1. 保持密码输入框为空
2. 查看“进入直播间”按钮</x:v>
      </x:c>
      <x:c r="K110" s="5" t="str">
        <x:v>“进入直播间”按钮保持不可用</x:v>
      </x:c>
      <x:c r="L110" s="5" t="str"/>
      <x:c r="M110" s="5" t="str">
        <x:v>未测</x:v>
      </x:c>
      <x:c r="N110" s="5" t="str"/>
      <x:c r="O110" s="5" t="str">
        <x:v>1. 来源：prototype/pages/user/home/live-plaza.html 与当页交互脚本；未动态验证
2. 同步追溯：work/liveshow-user-app-all-260901-001/prototype-context-sync-result.json；RSL-0002、RSL-0003
3. 全局证据追溯：work/liveshow-user-app-all-260901-001/global-evidence-scan-result.json；扫描模式 full</x:v>
      </x:c>
    </x:row>
    <x:row r="111" ht="103.5" customHeight="1">
      <x:c r="A111" s="5" t="n">
        <x:v>110</x:v>
      </x:c>
      <x:c r="B111" s="5" t="str">
        <x:v>LIVE-057</x:v>
      </x:c>
      <x:c r="C111" s="5" t="str">
        <x:v>用户App-直播</x:v>
      </x:c>
      <x:c r="D111" s="5" t="str">
        <x:v>密码房进房</x:v>
      </x:c>
      <x:c r="E111" s="5" t="str">
        <x:v>逻辑校验</x:v>
      </x:c>
      <x:c r="F111" s="5" t="str">
        <x:v>P1</x:v>
      </x:c>
      <x:c r="G111" s="5" t="str">
        <x:v>验证进房密码输入上限</x:v>
      </x:c>
      <x:c r="H111" s="5" t="str">
        <x:v>进房密码 8 位上限</x:v>
      </x:c>
      <x:c r="I111" s="5" t="str">
        <x:v>1. 密码面板已打开</x:v>
      </x:c>
      <x:c r="J111" s="5" t="str">
        <x:v>1. 在密码输入框输入超过 8 位的内容</x:v>
      </x:c>
      <x:c r="K111" s="5" t="str">
        <x:v>密码输入框最多保留 8 位内容</x:v>
      </x:c>
      <x:c r="L111" s="5" t="str"/>
      <x:c r="M111" s="5" t="str">
        <x:v>未测</x:v>
      </x:c>
      <x:c r="N111" s="5" t="str"/>
      <x:c r="O111" s="5" t="str">
        <x:v>1. 来源：context/01-用户主播App-项目需求清单.md（2026-08-29 按原型同步，RSL-0002）
2. 来源：prototype/pages/user/home/live-plaza.html 与当页交互脚本；未动态验证
3. 同步追溯：work/liveshow-user-app-all-260901-001/prototype-context-sync-result.json；RSL-0002、RSL-0003
4. 全局证据追溯：work/liveshow-user-app-all-260901-001/global-evidence-scan-result.json；扫描模式 full</x:v>
      </x:c>
    </x:row>
    <x:row r="112" ht="115.5" customHeight="1">
      <x:c r="A112" s="5" t="n">
        <x:v>111</x:v>
      </x:c>
      <x:c r="B112" s="5" t="str">
        <x:v>LIVE-058</x:v>
      </x:c>
      <x:c r="C112" s="5" t="str">
        <x:v>用户App-直播</x:v>
      </x:c>
      <x:c r="D112" s="5" t="str">
        <x:v>密码房进房</x:v>
      </x:c>
      <x:c r="E112" s="5" t="str">
        <x:v>逻辑校验</x:v>
      </x:c>
      <x:c r="F112" s="5" t="str">
        <x:v>P1</x:v>
      </x:c>
      <x:c r="G112" s="5" t="str">
        <x:v>验证粉丝授权入口不绕过密码校验</x:v>
      </x:c>
      <x:c r="H112" s="5" t="str">
        <x:v>粉丝授权入口仍校验密码</x:v>
      </x:c>
      <x:c r="I112" s="5" t="str">
        <x:v>1. 主播关闭密码房的广场展示
2. 当前用户在主播授权可见的粉丝名单中</x:v>
      </x:c>
      <x:c r="J112" s="5" t="str">
        <x:v>1. 从粉丝授权入口打开目标密码房</x:v>
      </x:c>
      <x:c r="K112" s="5" t="str">
        <x:v>从粉丝授权入口打开隐藏密码房时仍需验证房间密码</x:v>
      </x:c>
      <x:c r="L112" s="5" t="str"/>
      <x:c r="M112" s="5" t="str">
        <x:v>未测</x:v>
      </x:c>
      <x:c r="N112" s="5" t="str"/>
      <x:c r="O112"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同步追溯：work/liveshow-user-app-all-260901-001/prototype-context-sync-result.json；RSL-0002、RSL-0003
5. 全局证据追溯：work/liveshow-user-app-all-260901-001/global-evidence-scan-result.json；扫描模式 full</x:v>
      </x:c>
    </x:row>
    <x:row r="113" ht="91.5" customHeight="1">
      <x:c r="A113" s="5" t="n">
        <x:v>112</x:v>
      </x:c>
      <x:c r="B113" s="5" t="str">
        <x:v>LIVE-059</x:v>
      </x:c>
      <x:c r="C113" s="5" t="str">
        <x:v>用户App-直播</x:v>
      </x:c>
      <x:c r="D113" s="5" t="str">
        <x:v>观众互动</x:v>
      </x:c>
      <x:c r="E113" s="5" t="str">
        <x:v>功能需求</x:v>
      </x:c>
      <x:c r="F113" s="5" t="str">
        <x:v>P1</x:v>
      </x:c>
      <x:c r="G113" s="5" t="str">
        <x:v>验证观众关注直播中的主播</x:v>
      </x:c>
      <x:c r="H113" s="5" t="str">
        <x:v>直播间关注主播</x:v>
      </x:c>
      <x:c r="I113" s="5" t="str">
        <x:v>1. 用户正在观看直播
2. 用户尚未关注当前主播</x:v>
      </x:c>
      <x:c r="J113" s="5" t="str">
        <x:v>1. 点击主播信息区域的关注按钮</x:v>
      </x:c>
      <x:c r="K113" s="5" t="str">
        <x:v>当前用户与主播建立关注关系</x:v>
      </x:c>
      <x:c r="L113" s="5" t="str"/>
      <x:c r="M113" s="5" t="str">
        <x:v>未测</x:v>
      </x:c>
      <x:c r="N113" s="5" t="str"/>
      <x:c r="O113" s="5" t="str">
        <x:v>1. 来源：context/01-用户主播App-项目需求清单.md
2. 来源：对应 HTML 静态原型；未动态验证
3. 追溯：业务底稿 LIVE-021。
4. 同步追溯：work/liveshow-user-app-all-260901-001/prototype-context-sync-result.json；RSL-0002、RSL-0003
5. 全局证据追溯：work/liveshow-user-app-all-260901-001/global-evidence-scan-result.json；扫描模式 full</x:v>
      </x:c>
    </x:row>
    <x:row r="114" ht="103.5" customHeight="1">
      <x:c r="A114" s="5" t="n">
        <x:v>113</x:v>
      </x:c>
      <x:c r="B114" s="5" t="str">
        <x:v>LIVE-060</x:v>
      </x:c>
      <x:c r="C114" s="5" t="str">
        <x:v>用户App-直播</x:v>
      </x:c>
      <x:c r="D114" s="5" t="str">
        <x:v>观众互动</x:v>
      </x:c>
      <x:c r="E114" s="5" t="str">
        <x:v>业务流程</x:v>
      </x:c>
      <x:c r="F114" s="5" t="str">
        <x:v>P1</x:v>
      </x:c>
      <x:c r="G114" s="5" t="str">
        <x:v>验证公屏文字消息展示</x:v>
      </x:c>
      <x:c r="H114" s="5" t="str">
        <x:v>公屏文字展示</x:v>
      </x:c>
      <x:c r="I114" s="5" t="str">
        <x:v>1. 用户已进入直播间
2. 用户未被禁言
3. 用户账号未被平台封禁</x:v>
      </x:c>
      <x:c r="J114" s="5" t="str">
        <x:v>1. 在评论框输入“今晚的歌很好听”
2. 点击“发送”</x:v>
      </x:c>
      <x:c r="K114" s="5" t="str">
        <x:v>公屏新增当前用户发送的文字消息</x:v>
      </x:c>
      <x:c r="L114" s="5" t="str"/>
      <x:c r="M114" s="5" t="str">
        <x:v>未测</x:v>
      </x:c>
      <x:c r="N114" s="5" t="str"/>
      <x:c r="O114" s="5" t="str">
        <x:v>1. 来源：context/01-用户主播App-项目需求清单.md
2. 来源：对应 HTML 静态原型；未动态验证
3. 追溯：业务底稿 LIVE-022。
4. 质量修正：按 RCL-0018 执行最小前置条件和单分支检查
5. 同步追溯：work/liveshow-user-app-all-260901-001/prototype-context-sync-result.json；RSL-0002、RSL-0003
6. 全局证据追溯：work/liveshow-user-app-all-260901-001/global-evidence-scan-result.json；扫描模式 full</x:v>
      </x:c>
    </x:row>
    <x:row r="115" ht="103.5" customHeight="1">
      <x:c r="A115" s="5" t="n">
        <x:v>114</x:v>
      </x:c>
      <x:c r="B115" s="5" t="str">
        <x:v>LIVE-061</x:v>
      </x:c>
      <x:c r="C115" s="5" t="str">
        <x:v>用户App-直播</x:v>
      </x:c>
      <x:c r="D115" s="5" t="str">
        <x:v>观众互动</x:v>
      </x:c>
      <x:c r="E115" s="5" t="str">
        <x:v>业务流程</x:v>
      </x:c>
      <x:c r="F115" s="5" t="str">
        <x:v>P1</x:v>
      </x:c>
      <x:c r="G115" s="5" t="str">
        <x:v>验证消息发送后的输入区状态</x:v>
      </x:c>
      <x:c r="H115" s="5" t="str">
        <x:v>发送后输入区复位</x:v>
      </x:c>
      <x:c r="I115" s="5" t="str">
        <x:v>1. 用户已进入直播间
2. 用户未被禁言
3. 用户账号未被平台封禁</x:v>
      </x:c>
      <x:c r="J115" s="5" t="str">
        <x:v>1. 在评论框输入“今晚的歌很好听”
2. 点击“发送”</x:v>
      </x:c>
      <x:c r="K115" s="5" t="str">
        <x:v>公屏消息发送成功后输入框清空</x:v>
      </x:c>
      <x:c r="L115" s="5" t="str"/>
      <x:c r="M115" s="5" t="str">
        <x:v>未测</x:v>
      </x:c>
      <x:c r="N115" s="5" t="str"/>
      <x:c r="O115" s="5" t="str">
        <x:v>1. 来源：context/01-用户主播App-项目需求清单.md
2. 来源：对应 HTML 静态原型；未动态验证
3. 追溯：业务底稿 LIVE-022。
4. 质量修正：按 RCL-0018 执行最小前置条件和单分支检查
5. 同步追溯：work/liveshow-user-app-all-260901-001/prototype-context-sync-result.json；RSL-0002、RSL-0003
6. 全局证据追溯：work/liveshow-user-app-all-260901-001/global-evidence-scan-result.json；扫描模式 full</x:v>
      </x:c>
    </x:row>
    <x:row r="116" ht="79.5" customHeight="1">
      <x:c r="A116" s="5" t="n">
        <x:v>115</x:v>
      </x:c>
      <x:c r="B116" s="5" t="str">
        <x:v>LIVE-062</x:v>
      </x:c>
      <x:c r="C116" s="5" t="str">
        <x:v>用户App-直播</x:v>
      </x:c>
      <x:c r="D116" s="5" t="str">
        <x:v>观众互动</x:v>
      </x:c>
      <x:c r="E116" s="5" t="str">
        <x:v>逻辑校验</x:v>
      </x:c>
      <x:c r="F116" s="5" t="str">
        <x:v>P2</x:v>
      </x:c>
      <x:c r="G116" s="5" t="str">
        <x:v>验证空白评论不能发送</x:v>
      </x:c>
      <x:c r="H116" s="5" t="str">
        <x:v>空白评论拦截</x:v>
      </x:c>
      <x:c r="I116" s="5" t="str">
        <x:v>1. 用户已进入直播间且可发言</x:v>
      </x:c>
      <x:c r="J116" s="5" t="str">
        <x:v>1. 在评论框输入空格
2. 观察发送按钮
3. 尝试提交</x:v>
      </x:c>
      <x:c r="K116" s="5" t="str">
        <x:v>输入空白内容时公屏不新增消息</x:v>
      </x:c>
      <x:c r="L116" s="5" t="str"/>
      <x:c r="M116" s="5" t="str">
        <x:v>未测</x:v>
      </x:c>
      <x:c r="N116" s="5" t="str"/>
      <x:c r="O116" s="5" t="str">
        <x:v>1. 来源：对应 HTML 静态原型；未动态验证
2. 追溯：业务底稿 LIVE-023。
3. 同步追溯：work/liveshow-user-app-all-260901-001/prototype-context-sync-result.json；RSL-0002、RSL-0003
4. 全局证据追溯：work/liveshow-user-app-all-260901-001/global-evidence-scan-result.json；扫描模式 full</x:v>
      </x:c>
    </x:row>
    <x:row r="117" ht="79.5" customHeight="1">
      <x:c r="A117" s="5" t="n">
        <x:v>116</x:v>
      </x:c>
      <x:c r="B117" s="5" t="str">
        <x:v>LIVE-063</x:v>
      </x:c>
      <x:c r="C117" s="5" t="str">
        <x:v>用户App-直播</x:v>
      </x:c>
      <x:c r="D117" s="5" t="str">
        <x:v>观众互动</x:v>
      </x:c>
      <x:c r="E117" s="5" t="str">
        <x:v>逻辑校验</x:v>
      </x:c>
      <x:c r="F117" s="5" t="str">
        <x:v>P2</x:v>
      </x:c>
      <x:c r="G117" s="5" t="str">
        <x:v>验证 80 字评论可以发送</x:v>
      </x:c>
      <x:c r="H117" s="5" t="str">
        <x:v>评论 80 字边界</x:v>
      </x:c>
      <x:c r="I117" s="5" t="str">
        <x:v>1. 用户已进入直播间且可发言</x:v>
      </x:c>
      <x:c r="J117" s="5" t="str">
        <x:v>1. 输入 80 个字符
2. 点击“发送”</x:v>
      </x:c>
      <x:c r="K117" s="5" t="str">
        <x:v>公屏完整展示本次提交的 80 个字符</x:v>
      </x:c>
      <x:c r="L117" s="5" t="str"/>
      <x:c r="M117" s="5" t="str">
        <x:v>未测</x:v>
      </x:c>
      <x:c r="N117" s="5" t="str"/>
      <x:c r="O117" s="5" t="str">
        <x:v>1. 来源：对应 HTML 静态原型；未动态验证
2. 追溯：业务底稿 LIVE-024。
3. 同步追溯：work/liveshow-user-app-all-260901-001/prototype-context-sync-result.json；RSL-0002、RSL-0003
4. 全局证据追溯：work/liveshow-user-app-all-260901-001/global-evidence-scan-result.json；扫描模式 full</x:v>
      </x:c>
    </x:row>
    <x:row r="118" ht="79.5" customHeight="1">
      <x:c r="A118" s="5" t="n">
        <x:v>117</x:v>
      </x:c>
      <x:c r="B118" s="5" t="str">
        <x:v>LIVE-064</x:v>
      </x:c>
      <x:c r="C118" s="5" t="str">
        <x:v>用户App-直播</x:v>
      </x:c>
      <x:c r="D118" s="5" t="str">
        <x:v>观众互动</x:v>
      </x:c>
      <x:c r="E118" s="5" t="str">
        <x:v>逻辑校验</x:v>
      </x:c>
      <x:c r="F118" s="5" t="str">
        <x:v>P2</x:v>
      </x:c>
      <x:c r="G118" s="5" t="str">
        <x:v>验证评论输入长度上限</x:v>
      </x:c>
      <x:c r="H118" s="5" t="str">
        <x:v>评论超长限制</x:v>
      </x:c>
      <x:c r="I118" s="5" t="str">
        <x:v>1. 用户已进入直播间且可发言</x:v>
      </x:c>
      <x:c r="J118" s="5" t="str">
        <x:v>1. 输入超过 80 个字符的内容</x:v>
      </x:c>
      <x:c r="K118" s="5" t="str">
        <x:v>输入框最多保留 80 个字符</x:v>
      </x:c>
      <x:c r="L118" s="5" t="str"/>
      <x:c r="M118" s="5" t="str">
        <x:v>未测</x:v>
      </x:c>
      <x:c r="N118" s="5" t="str"/>
      <x:c r="O118" s="5" t="str">
        <x:v>1. 来源：对应 HTML 静态原型；未动态验证
2. 追溯：业务底稿 LIVE-024。
3. 同步追溯：work/liveshow-user-app-all-260901-001/prototype-context-sync-result.json；RSL-0002、RSL-0003
4. 全局证据追溯：work/liveshow-user-app-all-260901-001/global-evidence-scan-result.json；扫描模式 full</x:v>
      </x:c>
    </x:row>
    <x:row r="119" ht="103.5" customHeight="1">
      <x:c r="A119" s="5" t="n">
        <x:v>118</x:v>
      </x:c>
      <x:c r="B119" s="5" t="str">
        <x:v>LIVE-065</x:v>
      </x:c>
      <x:c r="C119" s="5" t="str">
        <x:v>用户App-直播</x:v>
      </x:c>
      <x:c r="D119" s="5" t="str">
        <x:v>观众互动</x:v>
      </x:c>
      <x:c r="E119" s="5" t="str">
        <x:v>逻辑校验</x:v>
      </x:c>
      <x:c r="F119" s="5" t="str">
        <x:v>P1</x:v>
      </x:c>
      <x:c r="G119" s="5" t="str">
        <x:v>验证禁言用户无法发送评论</x:v>
      </x:c>
      <x:c r="H119" s="5" t="str">
        <x:v>禁言发送限制</x:v>
      </x:c>
      <x:c r="I119" s="5" t="str">
        <x:v>1. 用户已被主播设置为当前场次禁言</x:v>
      </x:c>
      <x:c r="J119" s="5" t="str">
        <x:v>1. 查看评论输入区域
2. 尝试点击并输入内容</x:v>
      </x:c>
      <x:c r="K119" s="5" t="str">
        <x:v>评论输入区域显示“已被禁言”</x:v>
      </x:c>
      <x:c r="L119" s="5" t="str"/>
      <x:c r="M119" s="5" t="str">
        <x:v>未测</x:v>
      </x:c>
      <x:c r="N119" s="5" t="str"/>
      <x:c r="O119" s="5" t="str">
        <x:v>1. 来源：context/系统概要 .md（当前全局业务规则）
2. 来源：prototype/assets/annotations.js
3. 追溯：业务底稿 LIVE-025。
4. 质量修正：按 RCL-0018 执行最小前置条件和单分支检查
5. 同步追溯：work/liveshow-user-app-all-260901-001/prototype-context-sync-result.json；RSL-0002、RSL-0003
6. 全局证据追溯：work/liveshow-user-app-all-260901-001/global-evidence-scan-result.json；扫描模式 full</x:v>
      </x:c>
    </x:row>
    <x:row r="120" ht="103.5" customHeight="1">
      <x:c r="A120" s="5" t="n">
        <x:v>119</x:v>
      </x:c>
      <x:c r="B120" s="5" t="str">
        <x:v>LIVE-066</x:v>
      </x:c>
      <x:c r="C120" s="5" t="str">
        <x:v>用户App-直播</x:v>
      </x:c>
      <x:c r="D120" s="5" t="str">
        <x:v>观众互动</x:v>
      </x:c>
      <x:c r="E120" s="5" t="str">
        <x:v>逻辑校验</x:v>
      </x:c>
      <x:c r="F120" s="5" t="str">
        <x:v>P1</x:v>
      </x:c>
      <x:c r="G120" s="5" t="str">
        <x:v>验证禁言不删除历史消息</x:v>
      </x:c>
      <x:c r="H120" s="5" t="str">
        <x:v>禁言历史消息</x:v>
      </x:c>
      <x:c r="I120" s="5" t="str">
        <x:v>1. 用户已被主播设置为当前场次禁言</x:v>
      </x:c>
      <x:c r="J120" s="5" t="str">
        <x:v>1. 查看评论输入区域
2. 尝试点击并输入内容</x:v>
      </x:c>
      <x:c r="K120" s="5" t="str">
        <x:v>用户已发送的历史消息仍保留</x:v>
      </x:c>
      <x:c r="L120" s="5" t="str"/>
      <x:c r="M120" s="5" t="str">
        <x:v>未测</x:v>
      </x:c>
      <x:c r="N120" s="5" t="str"/>
      <x:c r="O120" s="5" t="str">
        <x:v>1. 来源：context/系统概要 .md（当前全局业务规则）
2. 来源：prototype/assets/annotations.js
3. 追溯：业务底稿 LIVE-025。
4. 质量修正：按 RCL-0018 执行最小前置条件和单分支检查
5. 同步追溯：work/liveshow-user-app-all-260901-001/prototype-context-sync-result.json；RSL-0002、RSL-0003
6. 全局证据追溯：work/liveshow-user-app-all-260901-001/global-evidence-scan-result.json；扫描模式 full</x:v>
      </x:c>
    </x:row>
    <x:row r="121" ht="103.5" customHeight="1">
      <x:c r="A121" s="5" t="n">
        <x:v>120</x:v>
      </x:c>
      <x:c r="B121" s="5" t="str">
        <x:v>LIVE-067</x:v>
      </x:c>
      <x:c r="C121" s="5" t="str">
        <x:v>用户App-直播</x:v>
      </x:c>
      <x:c r="D121" s="5" t="str">
        <x:v>观众互动</x:v>
      </x:c>
      <x:c r="E121" s="5" t="str">
        <x:v>功能需求</x:v>
      </x:c>
      <x:c r="F121" s="5" t="str">
        <x:v>P2</x:v>
      </x:c>
      <x:c r="G121" s="5" t="str">
        <x:v>验证从直播间进入主播主页</x:v>
      </x:c>
      <x:c r="H121" s="5" t="str">
        <x:v>主播主页入口</x:v>
      </x:c>
      <x:c r="I121" s="5" t="str">
        <x:v>1. 用户正在观看直播</x:v>
      </x:c>
      <x:c r="J121" s="5" t="str">
        <x:v>1. 点击直播间顶部主播头像</x:v>
      </x:c>
      <x:c r="K121" s="5" t="str">
        <x:v>页面进入当前直播间主播的主页</x:v>
      </x:c>
      <x:c r="L121" s="5" t="str"/>
      <x:c r="M121" s="5" t="str">
        <x:v>未测</x:v>
      </x:c>
      <x:c r="N121" s="5" t="str"/>
      <x:c r="O121" s="5" t="str">
        <x:v>1. 来源：context/01-用户主播App-项目需求清单.md
2. 来源：prototype/Luma Live-原型说明.md
3. 追溯：业务底稿 LIVE-026。
4. 质量修正：按 RCL-0018 执行最小前置条件和单分支检查
5. 同步追溯：work/liveshow-user-app-all-260901-001/prototype-context-sync-result.json；RSL-0002、RSL-0003
6. 全局证据追溯：work/liveshow-user-app-all-260901-001/global-evidence-scan-result.json；扫描模式 full</x:v>
      </x:c>
    </x:row>
    <x:row r="122" ht="103.5" customHeight="1">
      <x:c r="A122" s="5" t="n">
        <x:v>121</x:v>
      </x:c>
      <x:c r="B122" s="5" t="str">
        <x:v>LIVE-068</x:v>
      </x:c>
      <x:c r="C122" s="5" t="str">
        <x:v>用户App-直播</x:v>
      </x:c>
      <x:c r="D122" s="5" t="str">
        <x:v>观众互动</x:v>
      </x:c>
      <x:c r="E122" s="5" t="str">
        <x:v>功能需求</x:v>
      </x:c>
      <x:c r="F122" s="5" t="str">
        <x:v>P2</x:v>
      </x:c>
      <x:c r="G122" s="5" t="str">
        <x:v>验证查看当前在线观众列表</x:v>
      </x:c>
      <x:c r="H122" s="5" t="str">
        <x:v>在线观众列表</x:v>
      </x:c>
      <x:c r="I122" s="5" t="str">
        <x:v>1. 直播间内存在多名在线观众</x:v>
      </x:c>
      <x:c r="J122" s="5" t="str">
        <x:v>1. 点击直播间在线人数入口</x:v>
      </x:c>
      <x:c r="K122" s="5" t="str">
        <x:v>页面打开当前直播场次的在线观众列表</x:v>
      </x:c>
      <x:c r="L122" s="5" t="str"/>
      <x:c r="M122" s="5" t="str">
        <x:v>未测</x:v>
      </x:c>
      <x:c r="N122" s="5" t="str"/>
      <x:c r="O122" s="5" t="str">
        <x:v>1. 来源：context/01-用户主播App-项目需求清单.md
2. 来源：prototype/assets/annotations.js
3. 追溯：业务底稿 LIVE-027。
4. 质量修正：按 RCL-0018 执行最小前置条件和单分支检查
5. 同步追溯：work/liveshow-user-app-all-260901-001/prototype-context-sync-result.json；RSL-0002、RSL-0003
6. 全局证据追溯：work/liveshow-user-app-all-260901-001/global-evidence-scan-result.json；扫描模式 full</x:v>
      </x:c>
    </x:row>
    <x:row r="123" ht="103.5" customHeight="1">
      <x:c r="A123" s="5" t="n">
        <x:v>122</x:v>
      </x:c>
      <x:c r="B123" s="5" t="str">
        <x:v>LIVE-069</x:v>
      </x:c>
      <x:c r="C123" s="5" t="str">
        <x:v>用户App-直播</x:v>
      </x:c>
      <x:c r="D123" s="5" t="str">
        <x:v>观众互动</x:v>
      </x:c>
      <x:c r="E123" s="5" t="str">
        <x:v>功能需求</x:v>
      </x:c>
      <x:c r="F123" s="5" t="str">
        <x:v>P2</x:v>
      </x:c>
      <x:c r="G123" s="5" t="str">
        <x:v>验证查看本场贡献榜</x:v>
      </x:c>
      <x:c r="H123" s="5" t="str">
        <x:v>本场贡献榜</x:v>
      </x:c>
      <x:c r="I123" s="5" t="str">
        <x:v>1. 当前场次已有用户送礼贡献记录</x:v>
      </x:c>
      <x:c r="J123" s="5" t="str">
        <x:v>1. 点击“本场贡献榜”入口</x:v>
      </x:c>
      <x:c r="K123" s="5" t="str">
        <x:v>贡献榜仅展示当前直播场次的用户贡献数据和对应数值</x:v>
      </x:c>
      <x:c r="L123" s="5" t="str"/>
      <x:c r="M123" s="5" t="str">
        <x:v>未测</x:v>
      </x:c>
      <x:c r="N123" s="5" t="str"/>
      <x:c r="O123" s="5" t="str">
        <x:v>1. 来源：context/01-用户主播App-项目需求清单.md
2. 来源：prototype/assets/annotations.js
3. 追溯：业务底稿 LIVE-028。
4. 质量修正：按 RCL-0018 执行最小前置条件和单分支检查
5. 同步追溯：work/liveshow-user-app-all-260901-001/prototype-context-sync-result.json；RSL-0002、RSL-0003
6. 全局证据追溯：work/liveshow-user-app-all-260901-001/global-evidence-scan-result.json；扫描模式 full</x:v>
      </x:c>
    </x:row>
    <x:row r="124" ht="91.5" customHeight="1">
      <x:c r="A124" s="5" t="n">
        <x:v>123</x:v>
      </x:c>
      <x:c r="B124" s="5" t="str">
        <x:v>LIVE-070</x:v>
      </x:c>
      <x:c r="C124" s="5" t="str">
        <x:v>用户App-直播</x:v>
      </x:c>
      <x:c r="D124" s="5" t="str">
        <x:v>观众互动</x:v>
      </x:c>
      <x:c r="E124" s="5" t="str">
        <x:v>功能需求</x:v>
      </x:c>
      <x:c r="F124" s="5" t="str">
        <x:v>P2</x:v>
      </x:c>
      <x:c r="G124" s="5" t="str">
        <x:v>验证观众主动退出后返回直播广场</x:v>
      </x:c>
      <x:c r="H124" s="5" t="str">
        <x:v>观众退出返回</x:v>
      </x:c>
      <x:c r="I124" s="5" t="str">
        <x:v>1. 用户正在观看直播</x:v>
      </x:c>
      <x:c r="J124" s="5" t="str">
        <x:v>1. 点击直播间退出按钮</x:v>
      </x:c>
      <x:c r="K124" s="5" t="str">
        <x:v>页面离开当前直播间并返回直播广场</x:v>
      </x:c>
      <x:c r="L124" s="5" t="str"/>
      <x:c r="M124" s="5" t="str">
        <x:v>未测</x:v>
      </x:c>
      <x:c r="N124" s="5" t="str"/>
      <x:c r="O124" s="5" t="str">
        <x:v>1. 来源：prototype/Luma Live-原型说明.md
2. 来源：对应 HTML 静态原型；未动态验证
3. 追溯：业务底稿 LIVE-029。
4. 同步追溯：work/liveshow-user-app-all-260901-001/prototype-context-sync-result.json；RSL-0002、RSL-0003
5. 全局证据追溯：work/liveshow-user-app-all-260901-001/global-evidence-scan-result.json；扫描模式 full</x:v>
      </x:c>
    </x:row>
    <x:row r="125" ht="91.5" customHeight="1">
      <x:c r="A125" s="5" t="n">
        <x:v>124</x:v>
      </x:c>
      <x:c r="B125" s="5" t="str">
        <x:v>LIVE-071</x:v>
      </x:c>
      <x:c r="C125" s="5" t="str">
        <x:v>用户App-直播</x:v>
      </x:c>
      <x:c r="D125" s="5" t="str">
        <x:v>观众互动</x:v>
      </x:c>
      <x:c r="E125" s="5" t="str">
        <x:v>功能需求</x:v>
      </x:c>
      <x:c r="F125" s="5" t="str">
        <x:v>P2</x:v>
      </x:c>
      <x:c r="G125" s="5" t="str">
        <x:v>验证观众退出不结束直播场次</x:v>
      </x:c>
      <x:c r="H125" s="5" t="str">
        <x:v>观众退出场次状态</x:v>
      </x:c>
      <x:c r="I125" s="5" t="str">
        <x:v>1. 用户正在观看直播</x:v>
      </x:c>
      <x:c r="J125" s="5" t="str">
        <x:v>1. 点击直播间退出按钮</x:v>
      </x:c>
      <x:c r="K125" s="5" t="str">
        <x:v>主播直播场次保持进行中</x:v>
      </x:c>
      <x:c r="L125" s="5" t="str"/>
      <x:c r="M125" s="5" t="str">
        <x:v>未测</x:v>
      </x:c>
      <x:c r="N125" s="5" t="str"/>
      <x:c r="O125" s="5" t="str">
        <x:v>1. 来源：prototype/Luma Live-原型说明.md
2. 来源：对应 HTML 静态原型；未动态验证
3. 追溯：业务底稿 LIVE-029。
4. 同步追溯：work/liveshow-user-app-all-260901-001/prototype-context-sync-result.json；RSL-0002、RSL-0003
5. 全局证据追溯：work/liveshow-user-app-all-260901-001/global-evidence-scan-result.json；扫描模式 full</x:v>
      </x:c>
    </x:row>
    <x:row r="126" ht="79.5" customHeight="1">
      <x:c r="A126" s="5" t="n">
        <x:v>125</x:v>
      </x:c>
      <x:c r="B126" s="5" t="str">
        <x:v>LIVE-072</x:v>
      </x:c>
      <x:c r="C126" s="5" t="str">
        <x:v>用户App-直播</x:v>
      </x:c>
      <x:c r="D126" s="5" t="str">
        <x:v>观众互动</x:v>
      </x:c>
      <x:c r="E126" s="5" t="str">
        <x:v>功能需求</x:v>
      </x:c>
      <x:c r="F126" s="5" t="str">
        <x:v>P2</x:v>
      </x:c>
      <x:c r="G126" s="5" t="str">
        <x:v>验证关注主播后的页面提示</x:v>
      </x:c>
      <x:c r="H126" s="5" t="str">
        <x:v>关注主播提示</x:v>
      </x:c>
      <x:c r="I126" s="5" t="str">
        <x:v>1. 用户正在观看 Sari 的直播
2. 用户未关注 Sari</x:v>
      </x:c>
      <x:c r="J126" s="5" t="str">
        <x:v>1. 点击主播信息区域的关注按钮</x:v>
      </x:c>
      <x:c r="K126" s="5" t="str">
        <x:v>页面提示“已关注 Sari”</x:v>
      </x:c>
      <x:c r="L126" s="5" t="str"/>
      <x:c r="M126" s="5" t="str">
        <x:v>未测</x:v>
      </x:c>
      <x:c r="N126" s="5" t="str"/>
      <x:c r="O126" s="5" t="str">
        <x:v>1. 来源：prototype/pages/user/live/live-room.html 与 prototype/assets/common.js；未动态验证
2. 同步追溯：work/liveshow-user-app-all-260901-001/prototype-context-sync-result.json；RSL-0002、RSL-0003
3. 全局证据追溯：work/liveshow-user-app-all-260901-001/global-evidence-scan-result.json；扫描模式 full</x:v>
      </x:c>
    </x:row>
    <x:row r="127" ht="79.5" customHeight="1">
      <x:c r="A127" s="5" t="n">
        <x:v>126</x:v>
      </x:c>
      <x:c r="B127" s="5" t="str">
        <x:v>LIVE-073</x:v>
      </x:c>
      <x:c r="C127" s="5" t="str">
        <x:v>用户App-直播</x:v>
      </x:c>
      <x:c r="D127" s="5" t="str">
        <x:v>观众互动</x:v>
      </x:c>
      <x:c r="E127" s="5" t="str">
        <x:v>功能需求</x:v>
      </x:c>
      <x:c r="F127" s="5" t="str">
        <x:v>P1</x:v>
      </x:c>
      <x:c r="G127" s="5" t="str">
        <x:v>验证观众更多功能不提供清屏</x:v>
      </x:c>
      <x:c r="H127" s="5" t="str">
        <x:v>观众端清屏入口移除</x:v>
      </x:c>
      <x:c r="I127" s="5" t="str">
        <x:v>1. 用户以观众身份进入直播间</x:v>
      </x:c>
      <x:c r="J127" s="5" t="str">
        <x:v>1. 点击“…”打开更多功能
2. 查看功能入口</x:v>
      </x:c>
      <x:c r="K127" s="5" t="str">
        <x:v>观众端更多功能中不展示清屏入口</x:v>
      </x:c>
      <x:c r="L127" s="5" t="str"/>
      <x:c r="M127" s="5" t="str">
        <x:v>未测</x:v>
      </x:c>
      <x:c r="N127" s="5" t="str"/>
      <x:c r="O127" s="5" t="str">
        <x:v>1. 来源：prototype/pages/user/live/live-room.html 与 prototype/assets/common.js；未动态验证
2. 同步追溯：work/liveshow-user-app-all-260901-001/prototype-context-sync-result.json；RSL-0002、RSL-0003
3. 全局证据追溯：work/liveshow-user-app-all-260901-001/global-evidence-scan-result.json；扫描模式 full</x:v>
      </x:c>
    </x:row>
    <x:row r="128" ht="79.5" customHeight="1">
      <x:c r="A128" s="5" t="n">
        <x:v>127</x:v>
      </x:c>
      <x:c r="B128" s="5" t="str">
        <x:v>LIVE-074</x:v>
      </x:c>
      <x:c r="C128" s="5" t="str">
        <x:v>用户App-直播</x:v>
      </x:c>
      <x:c r="D128" s="5" t="str">
        <x:v>观众互动</x:v>
      </x:c>
      <x:c r="E128" s="5" t="str">
        <x:v>功能需求</x:v>
      </x:c>
      <x:c r="F128" s="5" t="str">
        <x:v>P2</x:v>
      </x:c>
      <x:c r="G128" s="5" t="str">
        <x:v>验证观众打开直播转发</x:v>
      </x:c>
      <x:c r="H128" s="5" t="str">
        <x:v>直播转发入口</x:v>
      </x:c>
      <x:c r="I128" s="5" t="str">
        <x:v>1. 用户正在观看直播</x:v>
      </x:c>
      <x:c r="J128" s="5" t="str">
        <x:v>1. 打开更多功能
2. 点击“转发”</x:v>
      </x:c>
      <x:c r="K128" s="5" t="str">
        <x:v>页面提示“打开转发”</x:v>
      </x:c>
      <x:c r="L128" s="5" t="str"/>
      <x:c r="M128" s="5" t="str">
        <x:v>未测</x:v>
      </x:c>
      <x:c r="N128" s="5" t="str"/>
      <x:c r="O128" s="5" t="str">
        <x:v>1. 来源：prototype/pages/user/live/live-room.html 与 prototype/assets/common.js；未动态验证
2. 同步追溯：work/liveshow-user-app-all-260901-001/prototype-context-sync-result.json；RSL-0002、RSL-0003
3. 全局证据追溯：work/liveshow-user-app-all-260901-001/global-evidence-scan-result.json；扫描模式 full</x:v>
      </x:c>
    </x:row>
    <x:row r="129" ht="103.5" customHeight="1">
      <x:c r="A129" s="5" t="n">
        <x:v>128</x:v>
      </x:c>
      <x:c r="B129" s="5" t="str">
        <x:v>LIVE-075</x:v>
      </x:c>
      <x:c r="C129" s="5" t="str">
        <x:v>用户App-直播</x:v>
      </x:c>
      <x:c r="D129" s="5" t="str">
        <x:v>观众互动</x:v>
      </x:c>
      <x:c r="E129" s="5" t="str">
        <x:v>功能需求</x:v>
      </x:c>
      <x:c r="F129" s="5" t="str">
        <x:v>P1</x:v>
      </x:c>
      <x:c r="G129" s="5" t="str">
        <x:v>验证公屏消息的发送者信息</x:v>
      </x:c>
      <x:c r="H129" s="5" t="str">
        <x:v>公屏发送者标识</x:v>
      </x:c>
      <x:c r="I129" s="5" t="str">
        <x:v>1. 当前用户具有昵称和已有身份标识
2. 用户已进入直播间</x:v>
      </x:c>
      <x:c r="J129" s="5" t="str">
        <x:v>1. 输入“今晚的歌很好听”
2. 点击“发送”</x:v>
      </x:c>
      <x:c r="K129" s="5" t="str">
        <x:v>新公屏消息展示当前用户昵称及已有身份标识</x:v>
      </x:c>
      <x:c r="L129" s="5" t="str"/>
      <x:c r="M129" s="5" t="str">
        <x:v>未测</x:v>
      </x:c>
      <x:c r="N129" s="5" t="str"/>
      <x:c r="O129" s="5" t="str">
        <x:v>1. 来源：context/01-用户主播App-项目需求清单.md（2026-08-29 按原型同步，RSL-0002）
2. 来源：prototype/pages/user/live/live-room.html 与 prototype/assets/common.js；未动态验证
3. 同步追溯：work/liveshow-user-app-all-260901-001/prototype-context-sync-result.json；RSL-0002、RSL-0003
4. 全局证据追溯：work/liveshow-user-app-all-260901-001/global-evidence-scan-result.json；扫描模式 full</x:v>
      </x:c>
    </x:row>
    <x:row r="130" ht="115.5" customHeight="1">
      <x:c r="A130" s="5" t="n">
        <x:v>129</x:v>
      </x:c>
      <x:c r="B130" s="5" t="str">
        <x:v>LIVE-076</x:v>
      </x:c>
      <x:c r="C130" s="5" t="str">
        <x:v>用户App-直播</x:v>
      </x:c>
      <x:c r="D130" s="5" t="str">
        <x:v>观众互动</x:v>
      </x:c>
      <x:c r="E130" s="5" t="str">
        <x:v>逻辑校验</x:v>
      </x:c>
      <x:c r="F130" s="5" t="str">
        <x:v>P1</x:v>
      </x:c>
      <x:c r="G130" s="5" t="str">
        <x:v>验证禁言用户发送的内容不进入公屏</x:v>
      </x:c>
      <x:c r="H130" s="5" t="str">
        <x:v>禁言发送拦截</x:v>
      </x:c>
      <x:c r="I130" s="5" t="str">
        <x:v>1. 当前用户已被主播禁言
2. 用户正在直播间</x:v>
      </x:c>
      <x:c r="J130" s="5" t="str">
        <x:v>1. 尝试输入并发送评论</x:v>
      </x:c>
      <x:c r="K130" s="5" t="str">
        <x:v>公屏不新增当前用户的评论</x:v>
      </x:c>
      <x:c r="L130" s="5" t="str"/>
      <x:c r="M130" s="5" t="str">
        <x:v>未测</x:v>
      </x:c>
      <x:c r="N130" s="5" t="str"/>
      <x:c r="O130" s="5" t="str">
        <x:v>1. 来源：context/01-用户主播App-项目需求清单.md（2026-08-29 按原型同步，RSL-0002）
2. 来源：context/系统概要 .md（当前全局业务规则）
3. 来源：prototype/pages/user/live/live-room.html 与 prototype/assets/common.js；未动态验证
4. 同步追溯：work/liveshow-user-app-all-260901-001/prototype-context-sync-result.json；RSL-0002、RSL-0003
5. 全局证据追溯：work/liveshow-user-app-all-260901-001/global-evidence-scan-result.json；扫描模式 full</x:v>
      </x:c>
    </x:row>
    <x:row r="131" ht="91.5" customHeight="1">
      <x:c r="A131" s="5" t="n">
        <x:v>130</x:v>
      </x:c>
      <x:c r="B131" s="5" t="str">
        <x:v>LIVE-077</x:v>
      </x:c>
      <x:c r="C131" s="5" t="str">
        <x:v>用户App-直播</x:v>
      </x:c>
      <x:c r="D131" s="5" t="str">
        <x:v>直播送礼</x:v>
      </x:c>
      <x:c r="E131" s="5" t="str">
        <x:v>功能需求</x:v>
      </x:c>
      <x:c r="F131" s="5" t="str">
        <x:v>P1</x:v>
      </x:c>
      <x:c r="G131" s="5" t="str">
        <x:v>验证礼物面板的礼物信息</x:v>
      </x:c>
      <x:c r="H131" s="5" t="str">
        <x:v>礼物面板信息</x:v>
      </x:c>
      <x:c r="I131" s="5" t="str">
        <x:v>1. 用户正在观看直播
2. 后台已上架礼物并配置价格和分类</x:v>
      </x:c>
      <x:c r="J131" s="5" t="str">
        <x:v>1. 点击礼物按钮
2. 切换礼物分类</x:v>
      </x:c>
      <x:c r="K131" s="5" t="str">
        <x:v>礼物面板展示礼物图标、名称、金币价格、当前余额和充值入口</x:v>
      </x:c>
      <x:c r="L131" s="5" t="str"/>
      <x:c r="M131" s="5" t="str">
        <x:v>未测</x:v>
      </x:c>
      <x:c r="N131" s="5" t="str"/>
      <x:c r="O131" s="5" t="str">
        <x:v>1. 来源：context/01-用户主播App-项目需求清单.md
2. 来源：对应 HTML 静态原型；未动态验证
3. 追溯：业务底稿 LIVE-030。
4. 同步追溯：work/liveshow-user-app-all-260901-001/prototype-context-sync-result.json；RSL-0002、RSL-0003
5. 全局证据追溯：work/liveshow-user-app-all-260901-001/global-evidence-scan-result.json；扫描模式 full</x:v>
      </x:c>
    </x:row>
    <x:row r="132" ht="127.5" customHeight="1">
      <x:c r="A132" s="5" t="n">
        <x:v>131</x:v>
      </x:c>
      <x:c r="B132" s="5" t="str">
        <x:v>LIVE-078</x:v>
      </x:c>
      <x:c r="C132" s="5" t="str">
        <x:v>用户App-直播</x:v>
      </x:c>
      <x:c r="D132" s="5" t="str">
        <x:v>直播送礼</x:v>
      </x:c>
      <x:c r="E132" s="5" t="str">
        <x:v>业务流程</x:v>
      </x:c>
      <x:c r="F132" s="5" t="str">
        <x:v>P1</x:v>
      </x:c>
      <x:c r="G132" s="5" t="str">
        <x:v>验证普通礼物扣费和用户余额</x:v>
      </x:c>
      <x:c r="H132" s="5" t="str">
        <x:v>用户扣费与余额</x:v>
      </x:c>
      <x:c r="I132" s="5" t="str">
        <x:v>1. 普通礼物“鲜花”单价为 20 金币
2. 用户余额为 100 金币
3. 主播当前实时收益为 500 金币</x:v>
      </x:c>
      <x:c r="J132" s="5" t="str">
        <x:v>1. 打开礼物面板
2. 选择“鲜花”及数量 1
3. 点击赠送</x:v>
      </x:c>
      <x:c r="K132" s="5" t="str">
        <x:v>赠送 1 个单价 20 金币的礼物后，用户余额 = 100 - 20 × 1 = 80 金币</x:v>
      </x:c>
      <x:c r="L132" s="5" t="str">
        <x:v>FLOW-LIVE-004</x:v>
      </x:c>
      <x:c r="M132" s="5" t="str">
        <x:v>未测</x:v>
      </x:c>
      <x:c r="N132" s="5" t="str"/>
      <x:c r="O132" s="5" t="str">
        <x:v>1. 来源：context/01-用户主播App-项目需求清单.md
2. 来源：context/系统概要 .md（当前全局业务规则）
3. 追溯：业务底稿 LIVE-031。
4. 流程：阶段 01：观众送礼并核对余额；共同业务对象：礼物交易记录（数据别名：GIFT-TXN-01）。
5. 共同业务对象：同一礼物赠送记录
6. 流程阶段：用户扣费与余额
7. 同步追溯：work/liveshow-user-app-all-260901-001/prototype-context-sync-result.json；RSL-0002、RSL-0003
8. 全局证据追溯：work/liveshow-user-app-all-260901-001/global-evidence-scan-result.json；扫描模式 full</x:v>
      </x:c>
    </x:row>
    <x:row r="133" ht="127.5" customHeight="1">
      <x:c r="A133" s="5" t="n">
        <x:v>132</x:v>
      </x:c>
      <x:c r="B133" s="5" t="str">
        <x:v>LIVE-079</x:v>
      </x:c>
      <x:c r="C133" s="5" t="str">
        <x:v>用户App-直播</x:v>
      </x:c>
      <x:c r="D133" s="5" t="str">
        <x:v>直播送礼</x:v>
      </x:c>
      <x:c r="E133" s="5" t="str">
        <x:v>业务流程</x:v>
      </x:c>
      <x:c r="F133" s="5" t="str">
        <x:v>P1</x:v>
      </x:c>
      <x:c r="G133" s="5" t="str">
        <x:v>验证普通礼物计入主播实时收益</x:v>
      </x:c>
      <x:c r="H133" s="5" t="str">
        <x:v>主播实时收益</x:v>
      </x:c>
      <x:c r="I133" s="5" t="str">
        <x:v>1. 普通礼物“鲜花”单价为 20 金币
2. 用户余额为 100 金币
3. 主播当前实时收益为 500 金币</x:v>
      </x:c>
      <x:c r="J133" s="5" t="str">
        <x:v>1. 记录主播当前实时收益
2. 观众赠送 1 个鲜花
3. 切换到主播端查看实时收益</x:v>
      </x:c>
      <x:c r="K133" s="5" t="str">
        <x:v>主播实时收益 = 500 + 20 = 520 金币</x:v>
      </x:c>
      <x:c r="L133" s="5" t="str">
        <x:v>FLOW-LIVE-004</x:v>
      </x:c>
      <x:c r="M133" s="5" t="str">
        <x:v>未测</x:v>
      </x:c>
      <x:c r="N133" s="5" t="str"/>
      <x:c r="O133" s="5" t="str">
        <x:v>1. 来源：context/01-用户主播App-项目需求清单.md
2. 来源：context/系统概要 .md（当前全局业务规则）
3. 追溯：业务底稿 LIVE-031。
4. 流程：阶段 02：主播核对实时收益；共同业务对象：礼物交易记录（数据别名：GIFT-TXN-01）。
5. 共同业务对象：同一礼物赠送记录
6. 流程阶段：主播实时收益
7. 同步追溯：work/liveshow-user-app-all-260901-001/prototype-context-sync-result.json；RSL-0002、RSL-0003
8. 全局证据追溯：work/liveshow-user-app-all-260901-001/global-evidence-scan-result.json；扫描模式 full</x:v>
      </x:c>
    </x:row>
    <x:row r="134" ht="127.5" customHeight="1">
      <x:c r="A134" s="5" t="n">
        <x:v>133</x:v>
      </x:c>
      <x:c r="B134" s="5" t="str">
        <x:v>LIVE-080</x:v>
      </x:c>
      <x:c r="C134" s="5" t="str">
        <x:v>用户App-直播</x:v>
      </x:c>
      <x:c r="D134" s="5" t="str">
        <x:v>直播送礼</x:v>
      </x:c>
      <x:c r="E134" s="5" t="str">
        <x:v>业务流程</x:v>
      </x:c>
      <x:c r="F134" s="5" t="str">
        <x:v>P1</x:v>
      </x:c>
      <x:c r="G134" s="5" t="str">
        <x:v>验证普通礼物生成公屏播报</x:v>
      </x:c>
      <x:c r="H134" s="5" t="str">
        <x:v>公屏送礼播报</x:v>
      </x:c>
      <x:c r="I134" s="5" t="str">
        <x:v>1. 普通礼物“鲜花”单价为 20 金币
2. 用户余额为 100 金币
3. 主播当前实时收益为 500 金币</x:v>
      </x:c>
      <x:c r="J134" s="5" t="str">
        <x:v>1. 观众赠送 1 个鲜花
2. 查看直播间公屏</x:v>
      </x:c>
      <x:c r="K134" s="5" t="str">
        <x:v>公屏新增当前用户“送出 鲜花”的播报</x:v>
      </x:c>
      <x:c r="L134" s="5" t="str">
        <x:v>FLOW-LIVE-004</x:v>
      </x:c>
      <x:c r="M134" s="5" t="str">
        <x:v>未测</x:v>
      </x:c>
      <x:c r="N134" s="5" t="str"/>
      <x:c r="O134" s="5" t="str">
        <x:v>1. 来源：context/01-用户主播App-项目需求清单.md
2. 来源：context/系统概要 .md（当前全局业务规则）
3. 追溯：业务底稿 LIVE-031。
4. 流程：阶段 03：直播间核对礼物播报；共同业务对象：礼物交易记录（数据别名：GIFT-TXN-01）。
5. 共同业务对象：同一礼物赠送记录
6. 流程阶段：公屏送礼播报
7. 同步追溯：work/liveshow-user-app-all-260901-001/prototype-context-sync-result.json；RSL-0002、RSL-0003
8. 全局证据追溯：work/liveshow-user-app-all-260901-001/global-evidence-scan-result.json；扫描模式 full</x:v>
      </x:c>
    </x:row>
    <x:row r="135" ht="127.5" customHeight="1">
      <x:c r="A135" s="5" t="n">
        <x:v>134</x:v>
      </x:c>
      <x:c r="B135" s="5" t="str">
        <x:v>LIVE-081</x:v>
      </x:c>
      <x:c r="C135" s="5" t="str">
        <x:v>用户App-直播</x:v>
      </x:c>
      <x:c r="D135" s="5" t="str">
        <x:v>直播送礼</x:v>
      </x:c>
      <x:c r="E135" s="5" t="str">
        <x:v>业务流程</x:v>
      </x:c>
      <x:c r="F135" s="5" t="str">
        <x:v>P1</x:v>
      </x:c>
      <x:c r="G135" s="5" t="str">
        <x:v>验证普通礼物生成消费流水</x:v>
      </x:c>
      <x:c r="H135" s="5" t="str">
        <x:v>礼物消费流水</x:v>
      </x:c>
      <x:c r="I135" s="5" t="str">
        <x:v>1. 普通礼物“鲜花”单价为 20 金币
2. 用户余额为 100 金币
3. 主播当前实时收益为 500 金币</x:v>
      </x:c>
      <x:c r="J135" s="5" t="str">
        <x:v>1. 观众赠送 1 个鲜花
2. 进入用户金币消费明细
3. 查看本次礼物流水</x:v>
      </x:c>
      <x:c r="K135" s="5" t="str">
        <x:v>消费流水记录礼物、数量、20 金币和当前直播场次</x:v>
      </x:c>
      <x:c r="L135" s="5" t="str">
        <x:v>FLOW-LIVE-004</x:v>
      </x:c>
      <x:c r="M135" s="5" t="str">
        <x:v>未测</x:v>
      </x:c>
      <x:c r="N135" s="5" t="str"/>
      <x:c r="O135" s="5" t="str">
        <x:v>1. 来源：context/01-用户主播App-项目需求清单.md
2. 来源：context/系统概要 .md（当前全局业务规则）
3. 追溯：业务底稿 LIVE-031。
4. 流程：阶段 04：用户核对消费流水；共同业务对象：礼物交易记录（数据别名：GIFT-TXN-01）。
5. 共同业务对象：同一礼物赠送记录
6. 流程阶段：礼物消费流水
7. 同步追溯：work/liveshow-user-app-all-260901-001/prototype-context-sync-result.json；RSL-0002、RSL-0003
8. 全局证据追溯：work/liveshow-user-app-all-260901-001/global-evidence-scan-result.json；扫描模式 full</x:v>
      </x:c>
    </x:row>
    <x:row r="136" ht="79.5" customHeight="1">
      <x:c r="A136" s="5" t="n">
        <x:v>135</x:v>
      </x:c>
      <x:c r="B136" s="5" t="str">
        <x:v>LIVE-082</x:v>
      </x:c>
      <x:c r="C136" s="5" t="str">
        <x:v>用户App-直播</x:v>
      </x:c>
      <x:c r="D136" s="5" t="str">
        <x:v>直播送礼</x:v>
      </x:c>
      <x:c r="E136" s="5" t="str">
        <x:v>异常用例</x:v>
      </x:c>
      <x:c r="F136" s="5" t="str">
        <x:v>P1</x:v>
      </x:c>
      <x:c r="G136" s="5" t="str">
        <x:v>验证余额不足时拒绝送礼</x:v>
      </x:c>
      <x:c r="H136" s="5" t="str">
        <x:v>余额不足送礼拦截</x:v>
      </x:c>
      <x:c r="I136" s="5" t="str">
        <x:v>1. 目标礼物总价为 100 金币
2. 用户余额为 99 金币</x:v>
      </x:c>
      <x:c r="J136" s="5" t="str">
        <x:v>1. 选择目标礼物和数量
2. 点击赠送</x:v>
      </x:c>
      <x:c r="K136" s="5" t="str">
        <x:v>用户余额 19 金币小于礼物价格 20 金币时，目标礼物不送出</x:v>
      </x:c>
      <x:c r="L136" s="5" t="str"/>
      <x:c r="M136" s="5" t="str">
        <x:v>未测</x:v>
      </x:c>
      <x:c r="N136" s="5" t="str"/>
      <x:c r="O136" s="5" t="str">
        <x:v>1. 来源：context/01-用户主播App-项目需求清单.md
2. 追溯：业务底稿 LIVE-032。
3. 同步追溯：work/liveshow-user-app-all-260901-001/prototype-context-sync-result.json；RSL-0002、RSL-0003
4. 全局证据追溯：work/liveshow-user-app-all-260901-001/global-evidence-scan-result.json；扫描模式 full</x:v>
      </x:c>
    </x:row>
    <x:row r="137" ht="79.5" customHeight="1">
      <x:c r="A137" s="5" t="n">
        <x:v>136</x:v>
      </x:c>
      <x:c r="B137" s="5" t="str">
        <x:v>LIVE-083</x:v>
      </x:c>
      <x:c r="C137" s="5" t="str">
        <x:v>用户App-直播</x:v>
      </x:c>
      <x:c r="D137" s="5" t="str">
        <x:v>直播送礼</x:v>
      </x:c>
      <x:c r="E137" s="5" t="str">
        <x:v>异常用例</x:v>
      </x:c>
      <x:c r="F137" s="5" t="str">
        <x:v>P1</x:v>
      </x:c>
      <x:c r="G137" s="5" t="str">
        <x:v>验证送礼失败不增加主播收益</x:v>
      </x:c>
      <x:c r="H137" s="5" t="str">
        <x:v>送礼失败主播收益</x:v>
      </x:c>
      <x:c r="I137" s="5" t="str">
        <x:v>1. 目标礼物总价为 100 金币
2. 用户余额为 99 金币</x:v>
      </x:c>
      <x:c r="J137" s="5" t="str">
        <x:v>1. 选择目标礼物和数量
2. 点击赠送</x:v>
      </x:c>
      <x:c r="K137" s="5" t="str">
        <x:v>主播收益不变</x:v>
      </x:c>
      <x:c r="L137" s="5" t="str"/>
      <x:c r="M137" s="5" t="str">
        <x:v>未测</x:v>
      </x:c>
      <x:c r="N137" s="5" t="str"/>
      <x:c r="O137" s="5" t="str">
        <x:v>1. 来源：context/01-用户主播App-项目需求清单.md
2. 追溯：业务底稿 LIVE-032。
3. 同步追溯：work/liveshow-user-app-all-260901-001/prototype-context-sync-result.json；RSL-0002、RSL-0003
4. 全局证据追溯：work/liveshow-user-app-all-260901-001/global-evidence-scan-result.json；扫描模式 full</x:v>
      </x:c>
    </x:row>
    <x:row r="138" ht="79.5" customHeight="1">
      <x:c r="A138" s="5" t="n">
        <x:v>137</x:v>
      </x:c>
      <x:c r="B138" s="5" t="str">
        <x:v>LIVE-084</x:v>
      </x:c>
      <x:c r="C138" s="5" t="str">
        <x:v>用户App-直播</x:v>
      </x:c>
      <x:c r="D138" s="5" t="str">
        <x:v>直播送礼</x:v>
      </x:c>
      <x:c r="E138" s="5" t="str">
        <x:v>异常用例</x:v>
      </x:c>
      <x:c r="F138" s="5" t="str">
        <x:v>P1</x:v>
      </x:c>
      <x:c r="G138" s="5" t="str">
        <x:v>验证送礼余额不足时提供充值入口</x:v>
      </x:c>
      <x:c r="H138" s="5" t="str">
        <x:v>送礼充值入口</x:v>
      </x:c>
      <x:c r="I138" s="5" t="str">
        <x:v>1. 目标礼物总价为 100 金币
2. 用户余额为 99 金币</x:v>
      </x:c>
      <x:c r="J138" s="5" t="str">
        <x:v>1. 选择目标礼物和数量
2. 点击赠送</x:v>
      </x:c>
      <x:c r="K138" s="5" t="str">
        <x:v>页面提供充值入口</x:v>
      </x:c>
      <x:c r="L138" s="5" t="str"/>
      <x:c r="M138" s="5" t="str">
        <x:v>未测</x:v>
      </x:c>
      <x:c r="N138" s="5" t="str"/>
      <x:c r="O138" s="5" t="str">
        <x:v>1. 来源：context/01-用户主播App-项目需求清单.md
2. 追溯：业务底稿 LIVE-032。
3. 同步追溯：work/liveshow-user-app-all-260901-001/prototype-context-sync-result.json；RSL-0002、RSL-0003
4. 全局证据追溯：work/liveshow-user-app-all-260901-001/global-evidence-scan-result.json；扫描模式 full</x:v>
      </x:c>
    </x:row>
    <x:row r="139" ht="79.5" customHeight="1">
      <x:c r="A139" s="5" t="n">
        <x:v>138</x:v>
      </x:c>
      <x:c r="B139" s="5" t="str">
        <x:v>LIVE-085</x:v>
      </x:c>
      <x:c r="C139" s="5" t="str">
        <x:v>用户App-直播</x:v>
      </x:c>
      <x:c r="D139" s="5" t="str">
        <x:v>直播送礼</x:v>
      </x:c>
      <x:c r="E139" s="5" t="str">
        <x:v>逻辑校验</x:v>
      </x:c>
      <x:c r="F139" s="5" t="str">
        <x:v>P1</x:v>
      </x:c>
      <x:c r="G139" s="5" t="str">
        <x:v>验证连送礼物累计扣费</x:v>
      </x:c>
      <x:c r="H139" s="5" t="str">
        <x:v>连送扣费与余额</x:v>
      </x:c>
      <x:c r="I139" s="5" t="str">
        <x:v>1. 目标普通礼物单价为 20 金币
2. 用户余额为 200 金币</x:v>
      </x:c>
      <x:c r="J139" s="5" t="str">
        <x:v>1. 选择目标礼物和数量 5
2. 点击赠送</x:v>
      </x:c>
      <x:c r="K139" s="5" t="str">
        <x:v>连续赠送 5 个单价 20 金币的礼物后，用户余额 = 200 - 20 × 5 = 100 金币</x:v>
      </x:c>
      <x:c r="L139" s="5" t="str"/>
      <x:c r="M139" s="5" t="str">
        <x:v>未测</x:v>
      </x:c>
      <x:c r="N139" s="5" t="str"/>
      <x:c r="O139" s="5" t="str">
        <x:v>1. 来源：context/01-用户主播App-项目需求清单.md
2. 追溯：业务底稿 LIVE-033。
3. 同步追溯：work/liveshow-user-app-all-260901-001/prototype-context-sync-result.json；RSL-0002、RSL-0003
4. 全局证据追溯：work/liveshow-user-app-all-260901-001/global-evidence-scan-result.json；扫描模式 full</x:v>
      </x:c>
    </x:row>
    <x:row r="140" ht="79.5" customHeight="1">
      <x:c r="A140" s="5" t="n">
        <x:v>139</x:v>
      </x:c>
      <x:c r="B140" s="5" t="str">
        <x:v>LIVE-086</x:v>
      </x:c>
      <x:c r="C140" s="5" t="str">
        <x:v>用户App-直播</x:v>
      </x:c>
      <x:c r="D140" s="5" t="str">
        <x:v>直播送礼</x:v>
      </x:c>
      <x:c r="E140" s="5" t="str">
        <x:v>逻辑校验</x:v>
      </x:c>
      <x:c r="F140" s="5" t="str">
        <x:v>P1</x:v>
      </x:c>
      <x:c r="G140" s="5" t="str">
        <x:v>验证连送礼物累计主播收益</x:v>
      </x:c>
      <x:c r="H140" s="5" t="str">
        <x:v>连送主播收益</x:v>
      </x:c>
      <x:c r="I140" s="5" t="str">
        <x:v>1. 目标普通礼物单价为 20 金币
2. 用户余额为 200 金币</x:v>
      </x:c>
      <x:c r="J140" s="5" t="str">
        <x:v>1. 选择目标礼物和数量 5
2. 点击赠送</x:v>
      </x:c>
      <x:c r="K140" s="5" t="str">
        <x:v>主播实时收益增加 100 金币</x:v>
      </x:c>
      <x:c r="L140" s="5" t="str"/>
      <x:c r="M140" s="5" t="str">
        <x:v>未测</x:v>
      </x:c>
      <x:c r="N140" s="5" t="str"/>
      <x:c r="O140" s="5" t="str">
        <x:v>1. 来源：context/01-用户主播App-项目需求清单.md
2. 追溯：业务底稿 LIVE-033。
3. 同步追溯：work/liveshow-user-app-all-260901-001/prototype-context-sync-result.json；RSL-0002、RSL-0003
4. 全局证据追溯：work/liveshow-user-app-all-260901-001/global-evidence-scan-result.json；扫描模式 full</x:v>
      </x:c>
    </x:row>
    <x:row r="141" ht="79.5" customHeight="1">
      <x:c r="A141" s="5" t="n">
        <x:v>140</x:v>
      </x:c>
      <x:c r="B141" s="5" t="str">
        <x:v>LIVE-087</x:v>
      </x:c>
      <x:c r="C141" s="5" t="str">
        <x:v>用户App-直播</x:v>
      </x:c>
      <x:c r="D141" s="5" t="str">
        <x:v>直播送礼</x:v>
      </x:c>
      <x:c r="E141" s="5" t="str">
        <x:v>逻辑校验</x:v>
      </x:c>
      <x:c r="F141" s="5" t="str">
        <x:v>P1</x:v>
      </x:c>
      <x:c r="G141" s="5" t="str">
        <x:v>验证连送礼物累计公屏数量</x:v>
      </x:c>
      <x:c r="H141" s="5" t="str">
        <x:v>连送公屏播报</x:v>
      </x:c>
      <x:c r="I141" s="5" t="str">
        <x:v>1. 目标普通礼物单价为 20 金币
2. 用户余额为 200 金币</x:v>
      </x:c>
      <x:c r="J141" s="5" t="str">
        <x:v>1. 选择目标礼物和数量 5
2. 点击赠送</x:v>
      </x:c>
      <x:c r="K141" s="5" t="str">
        <x:v>公屏播报目标礼物及累计数量 5</x:v>
      </x:c>
      <x:c r="L141" s="5" t="str"/>
      <x:c r="M141" s="5" t="str">
        <x:v>未测</x:v>
      </x:c>
      <x:c r="N141" s="5" t="str"/>
      <x:c r="O141" s="5" t="str">
        <x:v>1. 来源：context/01-用户主播App-项目需求清单.md
2. 追溯：业务底稿 LIVE-033。
3. 同步追溯：work/liveshow-user-app-all-260901-001/prototype-context-sync-result.json；RSL-0002、RSL-0003
4. 全局证据追溯：work/liveshow-user-app-all-260901-001/global-evidence-scan-result.json；扫描模式 full</x:v>
      </x:c>
    </x:row>
    <x:row r="142" ht="115.5" customHeight="1">
      <x:c r="A142" s="5" t="n">
        <x:v>141</x:v>
      </x:c>
      <x:c r="B142" s="5" t="str">
        <x:v>LIVE-088</x:v>
      </x:c>
      <x:c r="C142" s="5" t="str">
        <x:v>用户App-直播</x:v>
      </x:c>
      <x:c r="D142" s="5" t="str">
        <x:v>直播送礼</x:v>
      </x:c>
      <x:c r="E142" s="5" t="str">
        <x:v>功能需求</x:v>
      </x:c>
      <x:c r="F142" s="5" t="str">
        <x:v>P2</x:v>
      </x:c>
      <x:c r="G142" s="5" t="str">
        <x:v>验证赠送礼物成功反馈</x:v>
      </x:c>
      <x:c r="H142" s="5" t="str">
        <x:v>赠礼成功反馈</x:v>
      </x:c>
      <x:c r="I142" s="5" t="str">
        <x:v>1. 用户正在观看直播
2. 用户余额足够赠送 1 个鲜花</x:v>
      </x:c>
      <x:c r="J142" s="5" t="str">
        <x:v>1. 打开礼物面板
2. 切换到“普通”
3. 选择“鲜花”
4. 选择数量 1
5. 点击“赠送”</x:v>
      </x:c>
      <x:c r="K142" s="5" t="str">
        <x:v>页面提示“已赠送 鲜花 x1”</x:v>
      </x:c>
      <x:c r="L142" s="5" t="str">
        <x:v>FLOW-LIVE-004</x:v>
      </x:c>
      <x:c r="M142" s="5" t="str">
        <x:v>未测</x:v>
      </x:c>
      <x:c r="N142" s="5" t="str"/>
      <x:c r="O142" s="5" t="str">
        <x:v>1. 来源：prototype/assets/common.js 动态交互脚本
2. 静态分析已确认事件绑定；未在浏览器动态验证
3. 补充原因：业务结果完整性扫描发现独立反馈观察点未覆盖
4. 共同业务对象：同一礼物赠送记录
5. 流程阶段：赠礼成功反馈
6. 同步追溯：work/liveshow-user-app-all-260901-001/prototype-context-sync-result.json；RSL-0002、RSL-0003
7. 全局证据追溯：work/liveshow-user-app-all-260901-001/global-evidence-scan-result.json；扫描模式 full</x:v>
      </x:c>
    </x:row>
    <x:row r="143" ht="103.5" customHeight="1">
      <x:c r="A143" s="5" t="n">
        <x:v>142</x:v>
      </x:c>
      <x:c r="B143" s="5" t="str">
        <x:v>LIVE-089</x:v>
      </x:c>
      <x:c r="C143" s="5" t="str">
        <x:v>用户App-直播</x:v>
      </x:c>
      <x:c r="D143" s="5" t="str">
        <x:v>直播送礼</x:v>
      </x:c>
      <x:c r="E143" s="5" t="str">
        <x:v>功能需求</x:v>
      </x:c>
      <x:c r="F143" s="5" t="str">
        <x:v>P1</x:v>
      </x:c>
      <x:c r="G143" s="5" t="str">
        <x:v>验证礼物面板的三个分类</x:v>
      </x:c>
      <x:c r="H143" s="5" t="str">
        <x:v>礼物分类范围</x:v>
      </x:c>
      <x:c r="I143" s="5" t="str">
        <x:v>1. 礼物面板已打开</x:v>
      </x:c>
      <x:c r="J143" s="5" t="str">
        <x:v>1. 查看礼物分类 Tab</x:v>
      </x:c>
      <x:c r="K143" s="5" t="str">
        <x:v>礼物面板展示“幸运”“普通”和“定制”三个 Tab</x:v>
      </x:c>
      <x:c r="L143" s="5" t="str"/>
      <x:c r="M143" s="5" t="str">
        <x:v>未测</x:v>
      </x:c>
      <x:c r="N143" s="5" t="str"/>
      <x:c r="O143" s="5" t="str">
        <x:v>1. 来源：context/01-用户主播App-项目需求清单.md（2026-08-29 按原型同步，RSL-0002）
2. 来源：prototype/pages/user/live/live-room.html 与 prototype/assets/common.js；未动态验证
3. 同步追溯：work/liveshow-user-app-all-260901-001/prototype-context-sync-result.json；RSL-0002、RSL-0003
4. 全局证据追溯：work/liveshow-user-app-all-260901-001/global-evidence-scan-result.json；扫描模式 full</x:v>
      </x:c>
    </x:row>
    <x:row r="144" ht="115.5" customHeight="1">
      <x:c r="A144" s="5" t="n">
        <x:v>143</x:v>
      </x:c>
      <x:c r="B144" s="5" t="str">
        <x:v>LIVE-090</x:v>
      </x:c>
      <x:c r="C144" s="5" t="str">
        <x:v>用户App-直播</x:v>
      </x:c>
      <x:c r="D144" s="5" t="str">
        <x:v>直播送礼</x:v>
      </x:c>
      <x:c r="E144" s="5" t="str">
        <x:v>逻辑校验</x:v>
      </x:c>
      <x:c r="F144" s="5" t="str">
        <x:v>P1</x:v>
      </x:c>
      <x:c r="G144" s="5" t="str">
        <x:v>验证礼物赠送数量选项</x:v>
      </x:c>
      <x:c r="H144" s="5" t="str">
        <x:v>赠送数量固定选项</x:v>
      </x:c>
      <x:c r="I144" s="5" t="str">
        <x:v>1. 礼物面板已打开</x:v>
      </x:c>
      <x:c r="J144" s="5" t="str">
        <x:v>1. 打开赠送数量菜单</x:v>
      </x:c>
      <x:c r="K144" s="5" t="str">
        <x:v>数量菜单仅展示 x1、x10、x66、x188 和 x520</x:v>
      </x:c>
      <x:c r="L144" s="5" t="str"/>
      <x:c r="M144" s="5" t="str">
        <x:v>未测</x:v>
      </x:c>
      <x:c r="N144" s="5" t="str"/>
      <x:c r="O144" s="5" t="str">
        <x:v>1. 来源：context/01-用户主播App-项目需求清单.md（2026-08-29 按原型同步，RSL-0002）
2. 来源：prototype/pages/user/live/live-room.html 与 prototype/assets/common.js；未动态验证
3. 同步追溯：work/liveshow-user-app-all-260901-001/prototype-context-sync-result.json；RSL-0002、RSL-0003
4. 全局证据追溯：work/liveshow-user-app-all-260901-001/global-evidence-scan-result.json；扫描模式 full
5. 跨端重审：管理后台存在购买份数配置，用户 App 固定数量菜单与后台配置的最终关系见 Q-037</x:v>
      </x:c>
    </x:row>
    <x:row r="145" ht="91.5" customHeight="1">
      <x:c r="A145" s="5" t="n">
        <x:v>144</x:v>
      </x:c>
      <x:c r="B145" s="5" t="str">
        <x:v>LIVE-091</x:v>
      </x:c>
      <x:c r="C145" s="5" t="str">
        <x:v>用户App-直播</x:v>
      </x:c>
      <x:c r="D145" s="5" t="str">
        <x:v>直播送礼</x:v>
      </x:c>
      <x:c r="E145" s="5" t="str">
        <x:v>功能需求</x:v>
      </x:c>
      <x:c r="F145" s="5" t="str">
        <x:v>P2</x:v>
      </x:c>
      <x:c r="G145" s="5" t="str">
        <x:v>验证选择礼物赠送数量</x:v>
      </x:c>
      <x:c r="H145" s="5" t="str">
        <x:v>赠送数量回显</x:v>
      </x:c>
      <x:c r="I145" s="5" t="str">
        <x:v>1. 礼物面板已打开</x:v>
      </x:c>
      <x:c r="J145" s="5" t="str">
        <x:v>1. 打开赠送数量菜单
2. 选择 x66</x:v>
      </x:c>
      <x:c r="K145" s="5" t="str">
        <x:v>赠送数量按钮回显 66</x:v>
      </x:c>
      <x:c r="L145" s="5" t="str"/>
      <x:c r="M145" s="5" t="str">
        <x:v>未测</x:v>
      </x:c>
      <x:c r="N145" s="5" t="str"/>
      <x:c r="O145" s="5" t="str">
        <x:v>1. 来源：prototype/pages/user/live/live-room.html 与 prototype/assets/common.js；未动态验证
2. 同步追溯：work/liveshow-user-app-all-260901-001/prototype-context-sync-result.json；RSL-0002、RSL-0003
3. 全局证据追溯：work/liveshow-user-app-all-260901-001/global-evidence-scan-result.json；扫描模式 full
4. 跨端重审：管理后台存在购买份数配置，用户 App 固定数量菜单与后台配置的最终关系见 Q-037</x:v>
      </x:c>
    </x:row>
    <x:row r="146" ht="103.5" customHeight="1">
      <x:c r="A146" s="5" t="n">
        <x:v>145</x:v>
      </x:c>
      <x:c r="B146" s="5" t="str">
        <x:v>LIVE-092</x:v>
      </x:c>
      <x:c r="C146" s="5" t="str">
        <x:v>用户App-直播</x:v>
      </x:c>
      <x:c r="D146" s="5" t="str">
        <x:v>直播间粉丝团</x:v>
      </x:c>
      <x:c r="E146" s="5" t="str">
        <x:v>业务流程</x:v>
      </x:c>
      <x:c r="F146" s="5" t="str">
        <x:v>P2</x:v>
      </x:c>
      <x:c r="G146" s="5" t="str">
        <x:v>验证加入粉丝团后建立团籍和群籍</x:v>
      </x:c>
      <x:c r="H146" s="5" t="str">
        <x:v>粉丝团与群籍建立</x:v>
      </x:c>
      <x:c r="I146" s="5" t="str">
        <x:v>1. 主播已创建粉丝团
2. 当前用户未加入且满足主播配置的加入条件
3. 粉丝团人数少于 500</x:v>
      </x:c>
      <x:c r="J146" s="5" t="str">
        <x:v>1. 点击直播间粉丝团入口
2. 查看粉丝团权益和条件
3. 点击加入</x:v>
      </x:c>
      <x:c r="K146" s="5" t="str">
        <x:v>直播间粉丝团状态更新为“已加入”</x:v>
      </x:c>
      <x:c r="L146" s="5" t="str"/>
      <x:c r="M146" s="5" t="str">
        <x:v>未测</x:v>
      </x:c>
      <x:c r="N146" s="5" t="str"/>
      <x:c r="O146" s="5" t="str">
        <x:v>1. 来源：context/01-用户主播App-项目需求清单.md
2. 来源：context/系统概要 .md（当前全局业务规则）
3. 来源：prototype/assets/annotations.js
4. 追溯：业务底稿 LIVE-035。
5. 同步追溯：work/liveshow-user-app-all-260901-001/prototype-context-sync-result.json；RSL-0002、RSL-0003
6. 全局证据追溯：work/liveshow-user-app-all-260901-001/global-evidence-scan-result.json；扫描模式 full</x:v>
      </x:c>
    </x:row>
    <x:row r="147" ht="103.5" customHeight="1">
      <x:c r="A147" s="5" t="n">
        <x:v>146</x:v>
      </x:c>
      <x:c r="B147" s="5" t="str">
        <x:v>LIVE-093</x:v>
      </x:c>
      <x:c r="C147" s="5" t="str">
        <x:v>用户App-直播</x:v>
      </x:c>
      <x:c r="D147" s="5" t="str">
        <x:v>直播间粉丝团</x:v>
      </x:c>
      <x:c r="E147" s="5" t="str">
        <x:v>业务流程</x:v>
      </x:c>
      <x:c r="F147" s="5" t="str">
        <x:v>P2</x:v>
      </x:c>
      <x:c r="G147" s="5" t="str">
        <x:v>验证加入粉丝团后的身份权益</x:v>
      </x:c>
      <x:c r="H147" s="5" t="str">
        <x:v>入团身份权益</x:v>
      </x:c>
      <x:c r="I147" s="5" t="str">
        <x:v>1. 主播已创建粉丝团
2. 当前用户未加入且满足主播配置的加入条件
3. 粉丝团人数少于 500</x:v>
      </x:c>
      <x:c r="J147" s="5" t="str">
        <x:v>1. 点击直播间粉丝团入口
2. 查看粉丝团权益和条件
3. 点击加入</x:v>
      </x:c>
      <x:c r="K147" s="5" t="str">
        <x:v>用户获得该粉丝团身份标识</x:v>
      </x:c>
      <x:c r="L147" s="5" t="str"/>
      <x:c r="M147" s="5" t="str">
        <x:v>未测</x:v>
      </x:c>
      <x:c r="N147" s="5" t="str"/>
      <x:c r="O147" s="5" t="str">
        <x:v>1. 来源：context/01-用户主播App-项目需求清单.md
2. 来源：context/系统概要 .md（当前全局业务规则）
3. 来源：prototype/assets/annotations.js
4. 追溯：业务底稿 LIVE-035。
5. 同步追溯：work/liveshow-user-app-all-260901-001/prototype-context-sync-result.json；RSL-0002、RSL-0003
6. 全局证据追溯：work/liveshow-user-app-all-260901-001/global-evidence-scan-result.json；扫描模式 full</x:v>
      </x:c>
    </x:row>
    <x:row r="148" ht="91.5" customHeight="1">
      <x:c r="A148" s="5" t="n">
        <x:v>147</x:v>
      </x:c>
      <x:c r="B148" s="5" t="str">
        <x:v>LIVE-094</x:v>
      </x:c>
      <x:c r="C148" s="5" t="str">
        <x:v>用户App-直播</x:v>
      </x:c>
      <x:c r="D148" s="5" t="str">
        <x:v>直播间粉丝团</x:v>
      </x:c>
      <x:c r="E148" s="5" t="str">
        <x:v>功能需求</x:v>
      </x:c>
      <x:c r="F148" s="5" t="str">
        <x:v>P2</x:v>
      </x:c>
      <x:c r="G148" s="5" t="str">
        <x:v>验证加入粉丝团成功反馈</x:v>
      </x:c>
      <x:c r="H148" s="5" t="str">
        <x:v>加入粉丝团反馈</x:v>
      </x:c>
      <x:c r="I148" s="5" t="str">
        <x:v>1. 用户正在观看 Sari 的直播
2. 用户尚未加入 Sari 粉丝团
3. 用户满足加入条件</x:v>
      </x:c>
      <x:c r="J148" s="5" t="str">
        <x:v>1. 打开粉丝团面板
2. 点击“加入粉丝团”</x:v>
      </x:c>
      <x:c r="K148" s="5" t="str">
        <x:v>页面提示“已加入 Sari 粉丝团”</x:v>
      </x:c>
      <x:c r="L148" s="5" t="str"/>
      <x:c r="M148" s="5" t="str">
        <x:v>未测</x:v>
      </x:c>
      <x:c r="N148" s="5" t="str"/>
      <x:c r="O148" s="5" t="str">
        <x:v>1. 来源：prototype/assets/common.js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149" ht="91.5" customHeight="1">
      <x:c r="A149" s="5" t="n">
        <x:v>148</x:v>
      </x:c>
      <x:c r="B149" s="5" t="str">
        <x:v>LIVE-095</x:v>
      </x:c>
      <x:c r="C149" s="5" t="str">
        <x:v>用户App-直播</x:v>
      </x:c>
      <x:c r="D149" s="5" t="str">
        <x:v>直播间粉丝团</x:v>
      </x:c>
      <x:c r="E149" s="5" t="str">
        <x:v>业务流程</x:v>
      </x:c>
      <x:c r="F149" s="5" t="str">
        <x:v>P1</x:v>
      </x:c>
      <x:c r="G149" s="5" t="str">
        <x:v>验证加入粉丝团后建立团籍</x:v>
      </x:c>
      <x:c r="H149" s="5" t="str">
        <x:v>粉丝团团籍建立</x:v>
      </x:c>
      <x:c r="I149" s="5" t="str">
        <x:v>1. 用户未加入 Sari 粉丝团
2. 用户满足加入条件</x:v>
      </x:c>
      <x:c r="J149" s="5" t="str">
        <x:v>1. 在 Sari 直播间点击“加入粉丝团”
2. 完成加入操作
3. 查看用户的粉丝团列表</x:v>
      </x:c>
      <x:c r="K149" s="5" t="str">
        <x:v>用户的粉丝团列表新增 Sari 粉丝团</x:v>
      </x:c>
      <x:c r="L149" s="5" t="str"/>
      <x:c r="M149" s="5" t="str">
        <x:v>未测</x:v>
      </x:c>
      <x:c r="N149" s="5" t="str"/>
      <x:c r="O149" s="5" t="str">
        <x:v>1. 来源：context/01-用户主播App-项目需求清单.md（2026-08-29 按原型同步，RSL-0002）
2. 来源：context/系统概要 .md（当前全局业务规则）
3. 同步追溯：work/liveshow-user-app-all-260901-001/prototype-context-sync-result.json；RSL-0002、RSL-0003
4. 全局证据追溯：work/liveshow-user-app-all-260901-001/global-evidence-scan-result.json；扫描模式 full</x:v>
      </x:c>
    </x:row>
    <x:row r="150" ht="91.5" customHeight="1">
      <x:c r="A150" s="5" t="n">
        <x:v>149</x:v>
      </x:c>
      <x:c r="B150" s="5" t="str">
        <x:v>LIVE-096</x:v>
      </x:c>
      <x:c r="C150" s="5" t="str">
        <x:v>用户App-直播</x:v>
      </x:c>
      <x:c r="D150" s="5" t="str">
        <x:v>直播间粉丝团</x:v>
      </x:c>
      <x:c r="E150" s="5" t="str">
        <x:v>业务流程</x:v>
      </x:c>
      <x:c r="F150" s="5" t="str">
        <x:v>P1</x:v>
      </x:c>
      <x:c r="G150" s="5" t="str">
        <x:v>验证加入粉丝团后建立群籍</x:v>
      </x:c>
      <x:c r="H150" s="5" t="str">
        <x:v>粉丝群群籍建立</x:v>
      </x:c>
      <x:c r="I150" s="5" t="str">
        <x:v>1. 用户未加入 Sari 粉丝团
2. 用户满足加入条件</x:v>
      </x:c>
      <x:c r="J150" s="5" t="str">
        <x:v>1. 在 Sari 直播间点击“加入粉丝团”
2. 完成加入操作
3. 查看 Sari 粉丝群成员</x:v>
      </x:c>
      <x:c r="K150" s="5" t="str">
        <x:v>Sari 粉丝群成员中新增当前用户</x:v>
      </x:c>
      <x:c r="L150" s="5" t="str"/>
      <x:c r="M150" s="5" t="str">
        <x:v>未测</x:v>
      </x:c>
      <x:c r="N150" s="5" t="str"/>
      <x:c r="O150" s="5" t="str">
        <x:v>1. 来源：context/01-用户主播App-项目需求清单.md（2026-08-29 按原型同步，RSL-0002）
2. 来源：context/系统概要 .md（当前全局业务规则）
3. 同步追溯：work/liveshow-user-app-all-260901-001/prototype-context-sync-result.json；RSL-0002、RSL-0003
4. 全局证据追溯：work/liveshow-user-app-all-260901-001/global-evidence-scan-result.json；扫描模式 full</x:v>
      </x:c>
    </x:row>
    <x:row r="151" ht="103.5" customHeight="1">
      <x:c r="A151" s="5" t="n">
        <x:v>150</x:v>
      </x:c>
      <x:c r="B151" s="5" t="str">
        <x:v>LIVE-097</x:v>
      </x:c>
      <x:c r="C151" s="5" t="str">
        <x:v>用户App-直播</x:v>
      </x:c>
      <x:c r="D151" s="5" t="str">
        <x:v>直播间举报</x:v>
      </x:c>
      <x:c r="E151" s="5" t="str">
        <x:v>逻辑校验</x:v>
      </x:c>
      <x:c r="F151" s="5" t="str">
        <x:v>P1</x:v>
      </x:c>
      <x:c r="G151" s="5" t="str">
        <x:v>验证未选择举报原因时不能提交</x:v>
      </x:c>
      <x:c r="H151" s="5" t="str">
        <x:v>举报原因必选</x:v>
      </x:c>
      <x:c r="I151" s="5" t="str">
        <x:v>1. 用户已进入举报直播间页面</x:v>
      </x:c>
      <x:c r="J151" s="5" t="str">
        <x:v>1. 保持举报原因未选择
2. 保持补充说明为空
3. 观察“提交”按钮</x:v>
      </x:c>
      <x:c r="K151" s="5" t="str">
        <x:v>未选择举报原因时提交按钮不可用</x:v>
      </x:c>
      <x:c r="L151" s="5" t="str"/>
      <x:c r="M151" s="5" t="str">
        <x:v>未测</x:v>
      </x:c>
      <x:c r="N151" s="5" t="str"/>
      <x:c r="O151" s="5" t="str">
        <x:v>1. 来源：prototype/assets/annotations.js
2. 来源：对应 HTML 静态原型；未动态验证
3. 追溯：业务底稿 LIVE-036。
4. 质量修正：按 RCL-0018 执行最小前置条件和单分支检查
5. 同步追溯：work/liveshow-user-app-all-260901-001/prototype-context-sync-result.json；RSL-0002、RSL-0003
6. 全局证据追溯：work/liveshow-user-app-all-260901-001/global-evidence-scan-result.json；扫描模式 full</x:v>
      </x:c>
    </x:row>
    <x:row r="152" ht="115.5" customHeight="1">
      <x:c r="A152" s="5" t="n">
        <x:v>151</x:v>
      </x:c>
      <x:c r="B152" s="5" t="str">
        <x:v>LIVE-098</x:v>
      </x:c>
      <x:c r="C152" s="5" t="str">
        <x:v>用户App-直播</x:v>
      </x:c>
      <x:c r="D152" s="5" t="str">
        <x:v>直播间举报</x:v>
      </x:c>
      <x:c r="E152" s="5" t="str">
        <x:v>业务流程</x:v>
      </x:c>
      <x:c r="F152" s="5" t="str">
        <x:v>P1</x:v>
      </x:c>
      <x:c r="G152" s="5" t="str">
        <x:v>验证提交直播间举报生成工单</x:v>
      </x:c>
      <x:c r="H152" s="5" t="str">
        <x:v>直播间举报工单</x:v>
      </x:c>
      <x:c r="I152" s="5" t="str">
        <x:v>1. 用户已登录并正在观看目标直播间</x:v>
      </x:c>
      <x:c r="J152" s="5" t="str">
        <x:v>1. 选择任一举报原因
2. 点击“提交”
3. 检查举报记录</x:v>
      </x:c>
      <x:c r="K152" s="5" t="str">
        <x:v>系统生成关联当前直播间和举报人的举报工单</x:v>
      </x:c>
      <x:c r="L152" s="5" t="str"/>
      <x:c r="M152" s="5" t="str">
        <x:v>未测</x:v>
      </x:c>
      <x:c r="N152" s="5" t="str"/>
      <x:c r="O152" s="5" t="str">
        <x:v>1. 来源：context/01-用户主播App-项目需求清单.md
2. 来源：context/系统概要 .md（当前全局业务规则）
3. 来源：prototype/assets/annotations.js
4. 来源：对应 HTML 静态原型；未动态验证
5. 追溯：业务底稿 LIVE-037。
6. 同步追溯：work/liveshow-user-app-all-260901-001/prototype-context-sync-result.json；RSL-0002、RSL-0003
7. 全局证据追溯：work/liveshow-user-app-all-260901-001/global-evidence-scan-result.json；扫描模式 full</x:v>
      </x:c>
    </x:row>
    <x:row r="153" ht="115.5" customHeight="1">
      <x:c r="A153" s="5" t="n">
        <x:v>152</x:v>
      </x:c>
      <x:c r="B153" s="5" t="str">
        <x:v>LIVE-099</x:v>
      </x:c>
      <x:c r="C153" s="5" t="str">
        <x:v>用户App-直播</x:v>
      </x:c>
      <x:c r="D153" s="5" t="str">
        <x:v>直播间举报</x:v>
      </x:c>
      <x:c r="E153" s="5" t="str">
        <x:v>业务流程</x:v>
      </x:c>
      <x:c r="F153" s="5" t="str">
        <x:v>P1</x:v>
      </x:c>
      <x:c r="G153" s="5" t="str">
        <x:v>验证提交直播间举报的成功提示</x:v>
      </x:c>
      <x:c r="H153" s="5" t="str">
        <x:v>直播间举报提示</x:v>
      </x:c>
      <x:c r="I153" s="5" t="str">
        <x:v>1. 用户已登录并正在观看目标直播间</x:v>
      </x:c>
      <x:c r="J153" s="5" t="str">
        <x:v>1. 选择任一举报原因
2. 点击“提交”
3. 查看页面反馈</x:v>
      </x:c>
      <x:c r="K153" s="5" t="str">
        <x:v>页面提示“举报已提交”</x:v>
      </x:c>
      <x:c r="L153" s="5" t="str"/>
      <x:c r="M153" s="5" t="str">
        <x:v>未测</x:v>
      </x:c>
      <x:c r="N153" s="5" t="str"/>
      <x:c r="O153" s="5" t="str">
        <x:v>1. 来源：context/01-用户主播App-项目需求清单.md
2. 来源：context/系统概要 .md（当前全局业务规则）
3. 来源：prototype/assets/annotations.js
4. 来源：对应 HTML 静态原型；未动态验证
5. 追溯：业务底稿 LIVE-037。
6. 同步追溯：work/liveshow-user-app-all-260901-001/prototype-context-sync-result.json；RSL-0002、RSL-0003
7. 全局证据追溯：work/liveshow-user-app-all-260901-001/global-evidence-scan-result.json；扫描模式 full</x:v>
      </x:c>
    </x:row>
    <x:row r="154" ht="115.5" customHeight="1">
      <x:c r="A154" s="5" t="n">
        <x:v>153</x:v>
      </x:c>
      <x:c r="B154" s="5" t="str">
        <x:v>LIVE-100</x:v>
      </x:c>
      <x:c r="C154" s="5" t="str">
        <x:v>用户App-直播</x:v>
      </x:c>
      <x:c r="D154" s="5" t="str">
        <x:v>直播间举报</x:v>
      </x:c>
      <x:c r="E154" s="5" t="str">
        <x:v>业务流程</x:v>
      </x:c>
      <x:c r="F154" s="5" t="str">
        <x:v>P1</x:v>
      </x:c>
      <x:c r="G154" s="5" t="str">
        <x:v>验证提交直播间举报后返回直播间</x:v>
      </x:c>
      <x:c r="H154" s="5" t="str">
        <x:v>直播间举报返回</x:v>
      </x:c>
      <x:c r="I154" s="5" t="str">
        <x:v>1. 用户已登录并正在观看目标直播间</x:v>
      </x:c>
      <x:c r="J154" s="5" t="str">
        <x:v>1. 打开更多功能
2. 点击“举报”
3. 选择“色情低俗”
4. 填写补充说明
5. 点击“提交”</x:v>
      </x:c>
      <x:c r="K154" s="5" t="str">
        <x:v>页面返回原直播间</x:v>
      </x:c>
      <x:c r="L154" s="5" t="str"/>
      <x:c r="M154" s="5" t="str">
        <x:v>未测</x:v>
      </x:c>
      <x:c r="N154" s="5" t="str"/>
      <x:c r="O154" s="5" t="str">
        <x:v>1. 来源：context/01-用户主播App-项目需求清单.md
2. 来源：context/系统概要 .md（当前全局业务规则）
3. 来源：prototype/assets/annotations.js
4. 来源：对应 HTML 静态原型；未动态验证
5. 追溯：业务底稿 LIVE-037。
6. 同步追溯：work/liveshow-user-app-all-260901-001/prototype-context-sync-result.json；RSL-0002、RSL-0003
7. 全局证据追溯：work/liveshow-user-app-all-260901-001/global-evidence-scan-result.json；扫描模式 full</x:v>
      </x:c>
    </x:row>
    <x:row r="155" ht="115.5" customHeight="1">
      <x:c r="A155" s="5" t="n">
        <x:v>154</x:v>
      </x:c>
      <x:c r="B155" s="5" t="str">
        <x:v>LIVE-101</x:v>
      </x:c>
      <x:c r="C155" s="5" t="str">
        <x:v>用户App-直播</x:v>
      </x:c>
      <x:c r="D155" s="5" t="str">
        <x:v>直播间举报</x:v>
      </x:c>
      <x:c r="E155" s="5" t="str">
        <x:v>业务流程</x:v>
      </x:c>
      <x:c r="F155" s="5" t="str">
        <x:v>P1</x:v>
      </x:c>
      <x:c r="G155" s="5" t="str">
        <x:v>验证提交用户举报生成工单</x:v>
      </x:c>
      <x:c r="H155" s="5" t="str">
        <x:v>用户举报工单</x:v>
      </x:c>
      <x:c r="I155" s="5" t="str">
        <x:v>1. 用户已登录
2. 直播间在线列表中存在目标用户</x:v>
      </x:c>
      <x:c r="J155" s="5" t="str">
        <x:v>1. 打开目标用户资料卡
2. 点击举报
3. 选择任一原因并提交
4. 检查举报记录</x:v>
      </x:c>
      <x:c r="K155" s="5" t="str">
        <x:v>系统生成关联目标用户和举报人的举报工单</x:v>
      </x:c>
      <x:c r="L155" s="5" t="str"/>
      <x:c r="M155" s="5" t="str">
        <x:v>未测</x:v>
      </x:c>
      <x:c r="N155" s="5" t="str"/>
      <x:c r="O155" s="5" t="str">
        <x:v>1. 来源：context/01-用户主播App-项目需求清单.md
2. 来源：context/系统概要 .md（当前全局业务规则）
3. 来源：prototype/assets/annotations.js
4. 来源：对应 HTML 静态原型；未动态验证
5. 追溯：业务底稿 LIVE-038。
6. 同步追溯：work/liveshow-user-app-all-260901-001/prototype-context-sync-result.json；RSL-0002、RSL-0003
7. 全局证据追溯：work/liveshow-user-app-all-260901-001/global-evidence-scan-result.json；扫描模式 full</x:v>
      </x:c>
    </x:row>
    <x:row r="156" ht="115.5" customHeight="1">
      <x:c r="A156" s="5" t="n">
        <x:v>155</x:v>
      </x:c>
      <x:c r="B156" s="5" t="str">
        <x:v>LIVE-102</x:v>
      </x:c>
      <x:c r="C156" s="5" t="str">
        <x:v>用户App-直播</x:v>
      </x:c>
      <x:c r="D156" s="5" t="str">
        <x:v>直播间举报</x:v>
      </x:c>
      <x:c r="E156" s="5" t="str">
        <x:v>业务流程</x:v>
      </x:c>
      <x:c r="F156" s="5" t="str">
        <x:v>P1</x:v>
      </x:c>
      <x:c r="G156" s="5" t="str">
        <x:v>验证提交用户举报的成功提示</x:v>
      </x:c>
      <x:c r="H156" s="5" t="str">
        <x:v>用户举报提示</x:v>
      </x:c>
      <x:c r="I156" s="5" t="str">
        <x:v>1. 用户已登录
2. 直播间在线列表中存在目标用户</x:v>
      </x:c>
      <x:c r="J156" s="5" t="str">
        <x:v>1. 打开目标用户资料卡
2. 点击举报
3. 选择任一原因并提交
4. 查看页面反馈</x:v>
      </x:c>
      <x:c r="K156" s="5" t="str">
        <x:v>页面提示“举报已提交”</x:v>
      </x:c>
      <x:c r="L156" s="5" t="str"/>
      <x:c r="M156" s="5" t="str">
        <x:v>未测</x:v>
      </x:c>
      <x:c r="N156" s="5" t="str"/>
      <x:c r="O156" s="5" t="str">
        <x:v>1. 来源：context/01-用户主播App-项目需求清单.md
2. 来源：context/系统概要 .md（当前全局业务规则）
3. 来源：prototype/assets/annotations.js
4. 来源：对应 HTML 静态原型；未动态验证
5. 追溯：业务底稿 LIVE-038。
6. 同步追溯：work/liveshow-user-app-all-260901-001/prototype-context-sync-result.json；RSL-0002、RSL-0003
7. 全局证据追溯：work/liveshow-user-app-all-260901-001/global-evidence-scan-result.json；扫描模式 full</x:v>
      </x:c>
    </x:row>
    <x:row r="157" ht="115.5" customHeight="1">
      <x:c r="A157" s="5" t="n">
        <x:v>156</x:v>
      </x:c>
      <x:c r="B157" s="5" t="str">
        <x:v>LIVE-103</x:v>
      </x:c>
      <x:c r="C157" s="5" t="str">
        <x:v>用户App-直播</x:v>
      </x:c>
      <x:c r="D157" s="5" t="str">
        <x:v>直播间举报</x:v>
      </x:c>
      <x:c r="E157" s="5" t="str">
        <x:v>业务流程</x:v>
      </x:c>
      <x:c r="F157" s="5" t="str">
        <x:v>P1</x:v>
      </x:c>
      <x:c r="G157" s="5" t="str">
        <x:v>验证提交用户举报后返回直播间</x:v>
      </x:c>
      <x:c r="H157" s="5" t="str">
        <x:v>用户举报返回</x:v>
      </x:c>
      <x:c r="I157" s="5" t="str">
        <x:v>1. 用户已登录
2. 直播间在线列表中存在目标用户</x:v>
      </x:c>
      <x:c r="J157" s="5" t="str">
        <x:v>1. 打开目标用户资料卡
2. 点击“举报”
3. 选择举报原因
4. 点击“提交”</x:v>
      </x:c>
      <x:c r="K157" s="5" t="str">
        <x:v>页面返回原直播间</x:v>
      </x:c>
      <x:c r="L157" s="5" t="str"/>
      <x:c r="M157" s="5" t="str">
        <x:v>未测</x:v>
      </x:c>
      <x:c r="N157" s="5" t="str"/>
      <x:c r="O157" s="5" t="str">
        <x:v>1. 来源：context/01-用户主播App-项目需求清单.md
2. 来源：context/系统概要 .md（当前全局业务规则）
3. 来源：prototype/assets/annotations.js
4. 来源：对应 HTML 静态原型；未动态验证
5. 追溯：业务底稿 LIVE-038。
6. 同步追溯：work/liveshow-user-app-all-260901-001/prototype-context-sync-result.json；RSL-0002、RSL-0003
7. 全局证据追溯：work/liveshow-user-app-all-260901-001/global-evidence-scan-result.json；扫描模式 full</x:v>
      </x:c>
    </x:row>
    <x:row r="158" ht="115.5" customHeight="1">
      <x:c r="A158" s="5" t="n">
        <x:v>157</x:v>
      </x:c>
      <x:c r="B158" s="5" t="str">
        <x:v>LIVE-104</x:v>
      </x:c>
      <x:c r="C158" s="5" t="str">
        <x:v>用户App-直播</x:v>
      </x:c>
      <x:c r="D158" s="5" t="str">
        <x:v>直播间举报</x:v>
      </x:c>
      <x:c r="E158" s="5" t="str">
        <x:v>逻辑校验</x:v>
      </x:c>
      <x:c r="F158" s="5" t="str">
        <x:v>P2</x:v>
      </x:c>
      <x:c r="G158" s="5" t="str">
        <x:v>验证举报主播不改变关注关系</x:v>
      </x:c>
      <x:c r="H158" s="5" t="str">
        <x:v>举报后关注关系保持</x:v>
      </x:c>
      <x:c r="I158" s="5" t="str">
        <x:v>1. 用户已关注目标主播
2. 用户已登录</x:v>
      </x:c>
      <x:c r="J158" s="5" t="str">
        <x:v>1. 提交目标主播的直播间举报
2. 举报成功后查看关注状态</x:v>
      </x:c>
      <x:c r="K158" s="5" t="str">
        <x:v>举报完成后，用户与目标主播的关注关系保持不变</x:v>
      </x:c>
      <x:c r="L158" s="5" t="str"/>
      <x:c r="M158" s="5" t="str">
        <x:v>未测</x:v>
      </x:c>
      <x:c r="N158" s="5" t="str"/>
      <x:c r="O158" s="5" t="str">
        <x:v>1. 来源：context/系统概要 .md（当前全局业务规则）
2. 追溯：业务底稿 LIVE-039。
3. 质量修正：按 RCL-0018 执行最小前置条件和单分支检查
4. 同步追溯：work/liveshow-user-app-all-260901-001/prototype-context-sync-result.json；RSL-0002、RSL-0003
5. 全局证据追溯：work/liveshow-user-app-all-260901-001/global-evidence-scan-result.json；扫描模式 full
6. 来源：prototype/pages/user/live/live-room-report.html、live-room-user-report.html 的提交后交互；静态分析，未动态验证</x:v>
      </x:c>
    </x:row>
    <x:row r="159" ht="79.5" customHeight="1">
      <x:c r="A159" s="5" t="n">
        <x:v>158</x:v>
      </x:c>
      <x:c r="B159" s="5" t="str">
        <x:v>LIVE-105</x:v>
      </x:c>
      <x:c r="C159" s="5" t="str">
        <x:v>用户App-直播</x:v>
      </x:c>
      <x:c r="D159" s="5" t="str">
        <x:v>直播间举报</x:v>
      </x:c>
      <x:c r="E159" s="5" t="str">
        <x:v>功能需求</x:v>
      </x:c>
      <x:c r="F159" s="5" t="str">
        <x:v>P2</x:v>
      </x:c>
      <x:c r="G159" s="5" t="str">
        <x:v>验证取消举报后返回直播间</x:v>
      </x:c>
      <x:c r="H159" s="5" t="str">
        <x:v>取消举报返回</x:v>
      </x:c>
      <x:c r="I159" s="5" t="str">
        <x:v>1. 直播间举报页面已打开且已选择举报原因</x:v>
      </x:c>
      <x:c r="J159" s="5" t="str">
        <x:v>1. 点击“取消”</x:v>
      </x:c>
      <x:c r="K159" s="5" t="str">
        <x:v>页面返回原直播间</x:v>
      </x:c>
      <x:c r="L159" s="5" t="str"/>
      <x:c r="M159" s="5" t="str">
        <x:v>未测</x:v>
      </x:c>
      <x:c r="N159" s="5" t="str"/>
      <x:c r="O159" s="5" t="str">
        <x:v>1. 来源：对应 HTML 静态原型；未动态验证
2. 追溯：业务底稿 LIVE-040。
3. 同步追溯：work/liveshow-user-app-all-260901-001/prototype-context-sync-result.json；RSL-0002、RSL-0003
4. 全局证据追溯：work/liveshow-user-app-all-260901-001/global-evidence-scan-result.json；扫描模式 full</x:v>
      </x:c>
    </x:row>
    <x:row r="160" ht="79.5" customHeight="1">
      <x:c r="A160" s="5" t="n">
        <x:v>159</x:v>
      </x:c>
      <x:c r="B160" s="5" t="str">
        <x:v>LIVE-106</x:v>
      </x:c>
      <x:c r="C160" s="5" t="str">
        <x:v>用户App-直播</x:v>
      </x:c>
      <x:c r="D160" s="5" t="str">
        <x:v>直播间举报</x:v>
      </x:c>
      <x:c r="E160" s="5" t="str">
        <x:v>功能需求</x:v>
      </x:c>
      <x:c r="F160" s="5" t="str">
        <x:v>P2</x:v>
      </x:c>
      <x:c r="G160" s="5" t="str">
        <x:v>验证取消举报不生成工单</x:v>
      </x:c>
      <x:c r="H160" s="5" t="str">
        <x:v>取消举报工单</x:v>
      </x:c>
      <x:c r="I160" s="5" t="str">
        <x:v>1. 直播间举报页面已打开且已选择举报原因</x:v>
      </x:c>
      <x:c r="J160" s="5" t="str">
        <x:v>1. 点击“取消”</x:v>
      </x:c>
      <x:c r="K160" s="5" t="str">
        <x:v>系统不生成举报工单</x:v>
      </x:c>
      <x:c r="L160" s="5" t="str"/>
      <x:c r="M160" s="5" t="str">
        <x:v>未测</x:v>
      </x:c>
      <x:c r="N160" s="5" t="str"/>
      <x:c r="O160" s="5" t="str">
        <x:v>1. 来源：对应 HTML 静态原型；未动态验证
2. 追溯：业务底稿 LIVE-040。
3. 同步追溯：work/liveshow-user-app-all-260901-001/prototype-context-sync-result.json；RSL-0002、RSL-0003
4. 全局证据追溯：work/liveshow-user-app-all-260901-001/global-evidence-scan-result.json；扫描模式 full</x:v>
      </x:c>
    </x:row>
    <x:row r="161" ht="91.5" customHeight="1">
      <x:c r="A161" s="5" t="n">
        <x:v>160</x:v>
      </x:c>
      <x:c r="B161" s="5" t="str">
        <x:v>LIVE-107</x:v>
      </x:c>
      <x:c r="C161" s="5" t="str">
        <x:v>用户App-直播</x:v>
      </x:c>
      <x:c r="D161" s="5" t="str">
        <x:v>直播间举报</x:v>
      </x:c>
      <x:c r="E161" s="5" t="str">
        <x:v>逻辑校验</x:v>
      </x:c>
      <x:c r="F161" s="5" t="str">
        <x:v>P2</x:v>
      </x:c>
      <x:c r="G161" s="5" t="str">
        <x:v>验证补充说明可以输入 200 字</x:v>
      </x:c>
      <x:c r="H161" s="5" t="str">
        <x:v>补充说明 200 字边界</x:v>
      </x:c>
      <x:c r="I161" s="5" t="str">
        <x:v>1. 用户已进入直播举报页面
2. 已选择举报原因</x:v>
      </x:c>
      <x:c r="J161" s="5" t="str">
        <x:v>1. 在补充说明输入 200 个字符</x:v>
      </x:c>
      <x:c r="K161" s="5" t="str">
        <x:v>输入框保留前 200 个字符</x:v>
      </x:c>
      <x:c r="L161" s="5" t="str"/>
      <x:c r="M161" s="5" t="str">
        <x:v>未测</x:v>
      </x:c>
      <x:c r="N161" s="5" t="str"/>
      <x:c r="O161" s="5" t="str">
        <x:v>1. 来源：对应 HTML 静态原型；未动态验证
2. 追溯：业务底稿 LIVE-041。
3. 质量修正：按 RCL-0018 执行最小前置条件和单分支检查
4. 同步追溯：work/liveshow-user-app-all-260901-001/prototype-context-sync-result.json；RSL-0002、RSL-0003
5. 全局证据追溯：work/liveshow-user-app-all-260901-001/global-evidence-scan-result.json；扫描模式 full</x:v>
      </x:c>
    </x:row>
    <x:row r="162" ht="91.5" customHeight="1">
      <x:c r="A162" s="5" t="n">
        <x:v>161</x:v>
      </x:c>
      <x:c r="B162" s="5" t="str">
        <x:v>LIVE-108</x:v>
      </x:c>
      <x:c r="C162" s="5" t="str">
        <x:v>用户App-直播</x:v>
      </x:c>
      <x:c r="D162" s="5" t="str">
        <x:v>直播间举报</x:v>
      </x:c>
      <x:c r="E162" s="5" t="str">
        <x:v>逻辑校验</x:v>
      </x:c>
      <x:c r="F162" s="5" t="str">
        <x:v>P2</x:v>
      </x:c>
      <x:c r="G162" s="5" t="str">
        <x:v>验证补充说明第 201 字被限制</x:v>
      </x:c>
      <x:c r="H162" s="5" t="str">
        <x:v>补充说明超长限制</x:v>
      </x:c>
      <x:c r="I162" s="5" t="str">
        <x:v>1. 用户已进入直播举报页面
2. 已选择举报原因</x:v>
      </x:c>
      <x:c r="J162" s="5" t="str">
        <x:v>1. 在补充说明输入 200 个字符
2. 继续输入第 201 个字符</x:v>
      </x:c>
      <x:c r="K162" s="5" t="str">
        <x:v>第 201 个字符不进入输入框</x:v>
      </x:c>
      <x:c r="L162" s="5" t="str"/>
      <x:c r="M162" s="5" t="str">
        <x:v>未测</x:v>
      </x:c>
      <x:c r="N162" s="5" t="str"/>
      <x:c r="O162" s="5" t="str">
        <x:v>1. 来源：对应 HTML 静态原型；未动态验证
2. 追溯：业务底稿 LIVE-041。
3. 质量修正：按 RCL-0018 执行最小前置条件和单分支检查
4. 同步追溯：work/liveshow-user-app-all-260901-001/prototype-context-sync-result.json；RSL-0002、RSL-0003
5. 全局证据追溯：work/liveshow-user-app-all-260901-001/global-evidence-scan-result.json；扫描模式 full</x:v>
      </x:c>
    </x:row>
    <x:row r="163" ht="91.5" customHeight="1">
      <x:c r="A163" s="5" t="n">
        <x:v>162</x:v>
      </x:c>
      <x:c r="B163" s="5" t="str">
        <x:v>LIVE-109</x:v>
      </x:c>
      <x:c r="C163" s="5" t="str">
        <x:v>用户App-直播</x:v>
      </x:c>
      <x:c r="D163" s="5" t="str">
        <x:v>直播间举报</x:v>
      </x:c>
      <x:c r="E163" s="5" t="str">
        <x:v>逻辑校验</x:v>
      </x:c>
      <x:c r="F163" s="5" t="str">
        <x:v>P2</x:v>
      </x:c>
      <x:c r="G163" s="5" t="str">
        <x:v>验证 200 字补充说明可以提交</x:v>
      </x:c>
      <x:c r="H163" s="5" t="str">
        <x:v>补充说明提交</x:v>
      </x:c>
      <x:c r="I163" s="5" t="str">
        <x:v>1. 用户已进入直播举报页面
2. 已选择举报原因</x:v>
      </x:c>
      <x:c r="J163" s="5" t="str">
        <x:v>1. 选择举报原因
2. 输入 200 个字符
3. 点击“提交”</x:v>
      </x:c>
      <x:c r="K163" s="5" t="str">
        <x:v>已有 200 个字符可随举报原因一并提交</x:v>
      </x:c>
      <x:c r="L163" s="5" t="str"/>
      <x:c r="M163" s="5" t="str">
        <x:v>未测</x:v>
      </x:c>
      <x:c r="N163" s="5" t="str"/>
      <x:c r="O163" s="5" t="str">
        <x:v>1. 来源：对应 HTML 静态原型；未动态验证
2. 追溯：业务底稿 LIVE-041。
3. 质量修正：按 RCL-0018 执行最小前置条件和单分支检查
4. 同步追溯：work/liveshow-user-app-all-260901-001/prototype-context-sync-result.json；RSL-0002、RSL-0003
5. 全局证据追溯：work/liveshow-user-app-all-260901-001/global-evidence-scan-result.json；扫描模式 full</x:v>
      </x:c>
    </x:row>
    <x:row r="164" ht="115.5" customHeight="1">
      <x:c r="A164" s="5" t="n">
        <x:v>163</x:v>
      </x:c>
      <x:c r="B164" s="5" t="str">
        <x:v>LIVE-110</x:v>
      </x:c>
      <x:c r="C164" s="5" t="str">
        <x:v>用户App-直播</x:v>
      </x:c>
      <x:c r="D164" s="5" t="str">
        <x:v>直播间举报</x:v>
      </x:c>
      <x:c r="E164" s="5" t="str">
        <x:v>功能需求</x:v>
      </x:c>
      <x:c r="F164" s="5" t="str">
        <x:v>P1</x:v>
      </x:c>
      <x:c r="G164" s="5" t="str">
        <x:v>验证直播举报原因范围</x:v>
      </x:c>
      <x:c r="H164" s="5" t="str">
        <x:v>举报原因选项</x:v>
      </x:c>
      <x:c r="I164" s="5" t="str">
        <x:v>1. 用户已进入直播举报页</x:v>
      </x:c>
      <x:c r="J164" s="5" t="str">
        <x:v>1. 查看举报原因列表</x:v>
      </x:c>
      <x:c r="K164" s="5" t="str">
        <x:v>页面展示“色情低俗”“涉及宗教政治”“暴恐血腥”“未成年有害”和“其他”五个原因</x:v>
      </x:c>
      <x:c r="L164" s="5" t="str"/>
      <x:c r="M164" s="5" t="str">
        <x:v>未测</x:v>
      </x:c>
      <x:c r="N164" s="5" t="str"/>
      <x:c r="O164" s="5" t="str">
        <x:v>1. 来源：context/01-用户主播App-项目需求清单.md（2026-08-29 按原型同步，RSL-0002）
2. 来源：prototype/assets/annotations.js
3. 来源：prototype/pages/user/live/live-room-report.html、live-room-user-report.html 与当页交互脚本；未动态验证
4. 同步追溯：work/liveshow-user-app-all-260901-001/prototype-context-sync-result.json；RSL-0002、RSL-0003
5. 全局证据追溯：work/liveshow-user-app-all-260901-001/global-evidence-scan-result.json；扫描模式 full</x:v>
      </x:c>
    </x:row>
    <x:row r="165" ht="79.5" customHeight="1">
      <x:c r="A165" s="5" t="n">
        <x:v>164</x:v>
      </x:c>
      <x:c r="B165" s="5" t="str">
        <x:v>LIVE-111</x:v>
      </x:c>
      <x:c r="C165" s="5" t="str">
        <x:v>用户App-直播</x:v>
      </x:c>
      <x:c r="D165" s="5" t="str">
        <x:v>直播间举报</x:v>
      </x:c>
      <x:c r="E165" s="5" t="str">
        <x:v>功能需求</x:v>
      </x:c>
      <x:c r="F165" s="5" t="str">
        <x:v>P2</x:v>
      </x:c>
      <x:c r="G165" s="5" t="str">
        <x:v>验证选择举报原因后可以提交</x:v>
      </x:c>
      <x:c r="H165" s="5" t="str">
        <x:v>选择原因后提交状态</x:v>
      </x:c>
      <x:c r="I165" s="5" t="str">
        <x:v>1. 直播举报页已打开
2. 尚未选择举报原因</x:v>
      </x:c>
      <x:c r="J165" s="5" t="str">
        <x:v>1. 选择“色情低俗”</x:v>
      </x:c>
      <x:c r="K165" s="5" t="str">
        <x:v>提交举报按钮变为可用</x:v>
      </x:c>
      <x:c r="L165" s="5" t="str"/>
      <x:c r="M165" s="5" t="str">
        <x:v>未测</x:v>
      </x:c>
      <x:c r="N165" s="5" t="str"/>
      <x:c r="O165" s="5" t="str">
        <x:v>1. 来源：prototype/pages/user/live/live-room-report.html、live-room-user-report.html 与当页交互脚本；未动态验证
2. 同步追溯：work/liveshow-user-app-all-260901-001/prototype-context-sync-result.json；RSL-0002、RSL-0003
3. 全局证据追溯：work/liveshow-user-app-all-260901-001/global-evidence-scan-result.json；扫描模式 full</x:v>
      </x:c>
    </x:row>
    <x:row r="166" ht="127.5" customHeight="1">
      <x:c r="A166" s="5" t="n">
        <x:v>165</x:v>
      </x:c>
      <x:c r="B166" s="5" t="str">
        <x:v>LIVE-112</x:v>
      </x:c>
      <x:c r="C166" s="5" t="str">
        <x:v>用户App-直播</x:v>
      </x:c>
      <x:c r="D166" s="5" t="str">
        <x:v>直播间举报</x:v>
      </x:c>
      <x:c r="E166" s="5" t="str">
        <x:v>逻辑校验</x:v>
      </x:c>
      <x:c r="F166" s="5" t="str">
        <x:v>P2</x:v>
      </x:c>
      <x:c r="G166" s="5" t="str">
        <x:v>验证举报用户不改变好友关系</x:v>
      </x:c>
      <x:c r="H166" s="5" t="str">
        <x:v>举报后好友关系保持</x:v>
      </x:c>
      <x:c r="I166" s="5" t="str">
        <x:v>1. 当前用户与目标用户已是好友
2. 当前用户已登录</x:v>
      </x:c>
      <x:c r="J166" s="5" t="str">
        <x:v>1. 从目标用户资料卡提交用户举报
2. 举报成功后查看好友关系</x:v>
      </x:c>
      <x:c r="K166" s="5" t="str">
        <x:v>举报完成后，当前用户与目标用户的好友关系保持不变</x:v>
      </x:c>
      <x:c r="L166" s="5" t="str"/>
      <x:c r="M166" s="5" t="str">
        <x:v>未测</x:v>
      </x:c>
      <x:c r="N166" s="5" t="str"/>
      <x:c r="O166" s="5" t="str">
        <x:v>1. 来源：context/系统概要 .md（当前全局业务规则）
2. 来源：prototype/pages/user/live/live-room-report.html、live-room-user-report.html 与当页交互脚本；未动态验证
3. 质量修正：按 RCL-0018 执行最小前置条件和单分支检查
4. 同步追溯：work/liveshow-user-app-all-260901-001/prototype-context-sync-result.json；RSL-0002、RSL-0003
5. 全局证据追溯：work/liveshow-user-app-all-260901-001/global-evidence-scan-result.json；扫描模式 full
6. 来源：prototype/pages/user/live/live-room-report.html、live-room-user-report.html 的提交后交互；静态分析，未动态验证</x:v>
      </x:c>
    </x:row>
    <x:row r="167" ht="127.5" customHeight="1">
      <x:c r="A167" s="5" t="n">
        <x:v>166</x:v>
      </x:c>
      <x:c r="B167" s="5" t="str">
        <x:v>LIVE-113</x:v>
      </x:c>
      <x:c r="C167" s="5" t="str">
        <x:v>用户App-直播</x:v>
      </x:c>
      <x:c r="D167" s="5" t="str">
        <x:v>直播间举报</x:v>
      </x:c>
      <x:c r="E167" s="5" t="str">
        <x:v>逻辑校验</x:v>
      </x:c>
      <x:c r="F167" s="5" t="str">
        <x:v>P2</x:v>
      </x:c>
      <x:c r="G167" s="5" t="str">
        <x:v>验证举报主播不改变粉丝团团籍</x:v>
      </x:c>
      <x:c r="H167" s="5" t="str">
        <x:v>举报后粉丝团团籍保持</x:v>
      </x:c>
      <x:c r="I167" s="5" t="str">
        <x:v>1. 用户已加入目标主播的粉丝团
2. 用户已登录</x:v>
      </x:c>
      <x:c r="J167" s="5" t="str">
        <x:v>1. 提交目标主播的直播间举报
2. 举报成功后查看粉丝团列表</x:v>
      </x:c>
      <x:c r="K167" s="5" t="str">
        <x:v>举报完成后，用户在目标主播粉丝团中的团籍保持不变</x:v>
      </x:c>
      <x:c r="L167" s="5" t="str"/>
      <x:c r="M167" s="5" t="str">
        <x:v>未测</x:v>
      </x:c>
      <x:c r="N167" s="5" t="str"/>
      <x:c r="O167" s="5" t="str">
        <x:v>1. 来源：context/系统概要 .md（当前全局业务规则）
2. 来源：prototype/pages/user/live/live-room-report.html、live-room-user-report.html 与当页交互脚本；未动态验证
3. 质量修正：按 RCL-0018 执行最小前置条件和单分支检查
4. 同步追溯：work/liveshow-user-app-all-260901-001/prototype-context-sync-result.json；RSL-0002、RSL-0003
5. 全局证据追溯：work/liveshow-user-app-all-260901-001/global-evidence-scan-result.json；扫描模式 full
6. 来源：prototype/pages/user/live/live-room-report.html、live-room-user-report.html 的提交后交互；静态分析，未动态验证</x:v>
      </x:c>
    </x:row>
    <x:row r="168" ht="91.5" customHeight="1">
      <x:c r="A168" s="5" t="n">
        <x:v>167</x:v>
      </x:c>
      <x:c r="B168" s="5" t="str">
        <x:v>LIVE-114</x:v>
      </x:c>
      <x:c r="C168" s="5" t="str">
        <x:v>用户App-直播</x:v>
      </x:c>
      <x:c r="D168" s="5" t="str">
        <x:v>直播间举报</x:v>
      </x:c>
      <x:c r="E168" s="5" t="str">
        <x:v>逻辑校验</x:v>
      </x:c>
      <x:c r="F168" s="5" t="str">
        <x:v>P2</x:v>
      </x:c>
      <x:c r="G168" s="5" t="str">
        <x:v>验证用户举报补充说明可以输入 200 字</x:v>
      </x:c>
      <x:c r="H168" s="5" t="str">
        <x:v>用户举报补充说明 200 字边界</x:v>
      </x:c>
      <x:c r="I168" s="5" t="str">
        <x:v>1. 用户已进入用户举报页面
2. 已选择举报原因</x:v>
      </x:c>
      <x:c r="J168" s="5" t="str">
        <x:v>1. 在补充说明输入 200 个字符</x:v>
      </x:c>
      <x:c r="K168" s="5" t="str">
        <x:v>输入框保留前 200 个字符</x:v>
      </x:c>
      <x:c r="L168" s="5" t="str"/>
      <x:c r="M168" s="5" t="str">
        <x:v>未测</x:v>
      </x:c>
      <x:c r="N168" s="5" t="str"/>
      <x:c r="O168" s="5" t="str">
        <x:v>1. 来源：prototype/pages/user/live/live-room-report.html、live-room-user-report.html 与当页交互脚本；未动态验证
2. 质量修正：按 RCL-0018 执行最小前置条件和单分支检查
3. 同步追溯：work/liveshow-user-app-all-260901-001/prototype-context-sync-result.json；RSL-0002、RSL-0003
4. 全局证据追溯：work/liveshow-user-app-all-260901-001/global-evidence-scan-result.json；扫描模式 full</x:v>
      </x:c>
    </x:row>
    <x:row r="169" ht="91.5" customHeight="1">
      <x:c r="A169" s="5" t="n">
        <x:v>168</x:v>
      </x:c>
      <x:c r="B169" s="5" t="str">
        <x:v>LIVE-115</x:v>
      </x:c>
      <x:c r="C169" s="5" t="str">
        <x:v>用户App-直播</x:v>
      </x:c>
      <x:c r="D169" s="5" t="str">
        <x:v>直播间举报</x:v>
      </x:c>
      <x:c r="E169" s="5" t="str">
        <x:v>逻辑校验</x:v>
      </x:c>
      <x:c r="F169" s="5" t="str">
        <x:v>P2</x:v>
      </x:c>
      <x:c r="G169" s="5" t="str">
        <x:v>验证用户举报补充说明第 201 字被限制</x:v>
      </x:c>
      <x:c r="H169" s="5" t="str">
        <x:v>用户举报补充说明超长限制</x:v>
      </x:c>
      <x:c r="I169" s="5" t="str">
        <x:v>1. 用户已进入用户举报页面
2. 已选择举报原因</x:v>
      </x:c>
      <x:c r="J169" s="5" t="str">
        <x:v>1. 在补充说明输入 200 个字符
2. 继续输入第 201 个字符</x:v>
      </x:c>
      <x:c r="K169" s="5" t="str">
        <x:v>第 201 个字符不进入输入框</x:v>
      </x:c>
      <x:c r="L169" s="5" t="str"/>
      <x:c r="M169" s="5" t="str">
        <x:v>未测</x:v>
      </x:c>
      <x:c r="N169" s="5" t="str"/>
      <x:c r="O169" s="5" t="str">
        <x:v>1. 来源：prototype/pages/user/live/live-room-report.html、live-room-user-report.html 与当页交互脚本；未动态验证
2. 质量修正：按 RCL-0018 执行最小前置条件和单分支检查
3. 同步追溯：work/liveshow-user-app-all-260901-001/prototype-context-sync-result.json；RSL-0002、RSL-0003
4. 全局证据追溯：work/liveshow-user-app-all-260901-001/global-evidence-scan-result.json；扫描模式 full</x:v>
      </x:c>
    </x:row>
    <x:row r="170" ht="91.5" customHeight="1">
      <x:c r="A170" s="5" t="n">
        <x:v>169</x:v>
      </x:c>
      <x:c r="B170" s="5" t="str">
        <x:v>LIVE-116</x:v>
      </x:c>
      <x:c r="C170" s="5" t="str">
        <x:v>用户App-直播</x:v>
      </x:c>
      <x:c r="D170" s="5" t="str">
        <x:v>直播间举报</x:v>
      </x:c>
      <x:c r="E170" s="5" t="str">
        <x:v>逻辑校验</x:v>
      </x:c>
      <x:c r="F170" s="5" t="str">
        <x:v>P2</x:v>
      </x:c>
      <x:c r="G170" s="5" t="str">
        <x:v>验证用户举报的 200 字补充说明可以提交</x:v>
      </x:c>
      <x:c r="H170" s="5" t="str">
        <x:v>用户举报补充说明提交</x:v>
      </x:c>
      <x:c r="I170" s="5" t="str">
        <x:v>1. 用户已进入用户举报页面
2. 已选择举报原因</x:v>
      </x:c>
      <x:c r="J170" s="5" t="str">
        <x:v>1. 输入 200 个字符
2. 点击“提交”</x:v>
      </x:c>
      <x:c r="K170" s="5" t="str">
        <x:v>已有 200 个字符可随用户举报原因一并提交</x:v>
      </x:c>
      <x:c r="L170" s="5" t="str"/>
      <x:c r="M170" s="5" t="str">
        <x:v>未测</x:v>
      </x:c>
      <x:c r="N170" s="5" t="str"/>
      <x:c r="O170" s="5" t="str">
        <x:v>1. 来源：prototype/pages/user/live/live-room-report.html、live-room-user-report.html 与当页交互脚本；未动态验证
2. 质量修正：按 RCL-0018 执行最小前置条件和单分支检查
3. 同步追溯：work/liveshow-user-app-all-260901-001/prototype-context-sync-result.json；RSL-0002、RSL-0003
4. 全局证据追溯：work/liveshow-user-app-all-260901-001/global-evidence-scan-result.json；扫描模式 full</x:v>
      </x:c>
    </x:row>
    <x:row r="171" ht="103.5" customHeight="1">
      <x:c r="A171" s="5" t="n">
        <x:v>170</x:v>
      </x:c>
      <x:c r="B171" s="5" t="str">
        <x:v>LIVE-117</x:v>
      </x:c>
      <x:c r="C171" s="5" t="str">
        <x:v>用户App-直播</x:v>
      </x:c>
      <x:c r="D171" s="5" t="str">
        <x:v>开播设置</x:v>
      </x:c>
      <x:c r="E171" s="5" t="str">
        <x:v>业务流程</x:v>
      </x:c>
      <x:c r="F171" s="5" t="str">
        <x:v>P0</x:v>
      </x:c>
      <x:c r="G171" s="5" t="str">
        <x:v>验证具备直播权限的主播进入开播设置</x:v>
      </x:c>
      <x:c r="H171" s="5" t="str">
        <x:v>开播设置入口</x:v>
      </x:c>
      <x:c r="I171" s="5" t="str">
        <x:v>1. 用户已加入工会并通过主播认证
2. 平台与工会均已开启直播权限</x:v>
      </x:c>
      <x:c r="J171" s="5" t="str">
        <x:v>1. 进入主播中心
2. 点击“开始直播”</x:v>
      </x:c>
      <x:c r="K171" s="5" t="str">
        <x:v>具备权限的主播进入开播设置页，可见摄像头预览、标题、封面、分类、房型和美颜入口</x:v>
      </x:c>
      <x:c r="L171" s="5" t="str"/>
      <x:c r="M171" s="5" t="str">
        <x:v>未测</x:v>
      </x:c>
      <x:c r="N171" s="5" t="str"/>
      <x:c r="O171" s="5" t="str">
        <x:v>1. 来源：context/01-用户主播App-项目需求清单.md
2. 来源：context/系统概要 .md（当前全局业务规则）
3. 来源：prototype/Luma Live-原型说明.md
4. 追溯：业务底稿 LIVE-046。
5. 同步追溯：work/liveshow-user-app-all-260901-001/prototype-context-sync-result.json；RSL-0002、RSL-0003
6. 全局证据追溯：work/liveshow-user-app-all-260901-001/global-evidence-scan-result.json；扫描模式 full</x:v>
      </x:c>
    </x:row>
    <x:row r="172" ht="103.5" customHeight="1">
      <x:c r="A172" s="5" t="n">
        <x:v>171</x:v>
      </x:c>
      <x:c r="B172" s="5" t="str">
        <x:v>LIVE-118</x:v>
      </x:c>
      <x:c r="C172" s="5" t="str">
        <x:v>用户App-直播</x:v>
      </x:c>
      <x:c r="D172" s="5" t="str">
        <x:v>开播设置</x:v>
      </x:c>
      <x:c r="E172" s="5" t="str">
        <x:v>异常用例</x:v>
      </x:c>
      <x:c r="F172" s="5" t="str">
        <x:v>P1</x:v>
      </x:c>
      <x:c r="G172" s="5" t="str">
        <x:v>验证平台关闭直播权限后不能开播</x:v>
      </x:c>
      <x:c r="H172" s="5" t="str">
        <x:v>平台直播权限限制</x:v>
      </x:c>
      <x:c r="I172" s="5" t="str">
        <x:v>1. 主播认证已通过
2. 平台已关闭该主播直播权限</x:v>
      </x:c>
      <x:c r="J172" s="5" t="str">
        <x:v>1. 进入主播中心
2. 尝试进入开播设置并开始直播</x:v>
      </x:c>
      <x:c r="K172" s="5" t="str">
        <x:v>主播不能创建直播场次</x:v>
      </x:c>
      <x:c r="L172" s="5" t="str"/>
      <x:c r="M172" s="5" t="str">
        <x:v>未测</x:v>
      </x:c>
      <x:c r="N172" s="5" t="str"/>
      <x:c r="O172" s="5" t="str">
        <x:v>1. 来源：context/01-用户主播App-项目需求清单.md
2. 来源：context/系统概要 .md（当前全局业务规则）
3. 追溯：业务底稿 LIVE-047。
4. 质量修正：按 RCL-0018 执行最小前置条件和单分支检查
5. 同步追溯：work/liveshow-user-app-all-260901-001/prototype-context-sync-result.json；RSL-0002、RSL-0003
6. 全局证据追溯：work/liveshow-user-app-all-260901-001/global-evidence-scan-result.json；扫描模式 full</x:v>
      </x:c>
    </x:row>
    <x:row r="173" ht="103.5" customHeight="1">
      <x:c r="A173" s="5" t="n">
        <x:v>172</x:v>
      </x:c>
      <x:c r="B173" s="5" t="str">
        <x:v>LIVE-119</x:v>
      </x:c>
      <x:c r="C173" s="5" t="str">
        <x:v>用户App-直播</x:v>
      </x:c>
      <x:c r="D173" s="5" t="str">
        <x:v>开播设置</x:v>
      </x:c>
      <x:c r="E173" s="5" t="str">
        <x:v>异常用例</x:v>
      </x:c>
      <x:c r="F173" s="5" t="str">
        <x:v>P1</x:v>
      </x:c>
      <x:c r="G173" s="5" t="str">
        <x:v>验证直播权限关闭原因展示</x:v>
      </x:c>
      <x:c r="H173" s="5" t="str">
        <x:v>直播权限关闭原因</x:v>
      </x:c>
      <x:c r="I173" s="5" t="str">
        <x:v>1. 主播认证已通过
2. 平台已关闭该主播直播权限</x:v>
      </x:c>
      <x:c r="J173" s="5" t="str">
        <x:v>1. 进入主播中心
2. 尝试进入开播设置并开始直播</x:v>
      </x:c>
      <x:c r="K173" s="5" t="str">
        <x:v>直播权限状态展示已关闭及已有原因</x:v>
      </x:c>
      <x:c r="L173" s="5" t="str"/>
      <x:c r="M173" s="5" t="str">
        <x:v>未测</x:v>
      </x:c>
      <x:c r="N173" s="5" t="str"/>
      <x:c r="O173" s="5" t="str">
        <x:v>1. 来源：context/01-用户主播App-项目需求清单.md
2. 来源：context/系统概要 .md（当前全局业务规则）
3. 追溯：业务底稿 LIVE-047。
4. 质量修正：按 RCL-0018 执行最小前置条件和单分支检查
5. 同步追溯：work/liveshow-user-app-all-260901-001/prototype-context-sync-result.json；RSL-0002、RSL-0003
6. 全局证据追溯：work/liveshow-user-app-all-260901-001/global-evidence-scan-result.json；扫描模式 full</x:v>
      </x:c>
    </x:row>
    <x:row r="174" ht="103.5" customHeight="1">
      <x:c r="A174" s="5" t="n">
        <x:v>173</x:v>
      </x:c>
      <x:c r="B174" s="5" t="str">
        <x:v>LIVE-120</x:v>
      </x:c>
      <x:c r="C174" s="5" t="str">
        <x:v>用户App-直播</x:v>
      </x:c>
      <x:c r="D174" s="5" t="str">
        <x:v>开播设置</x:v>
      </x:c>
      <x:c r="E174" s="5" t="str">
        <x:v>异常用例</x:v>
      </x:c>
      <x:c r="F174" s="5" t="str">
        <x:v>P1</x:v>
      </x:c>
      <x:c r="G174" s="5" t="str">
        <x:v>验证工会不能覆盖平台直播权限</x:v>
      </x:c>
      <x:c r="H174" s="5" t="str">
        <x:v>直播权限优先级</x:v>
      </x:c>
      <x:c r="I174" s="5" t="str">
        <x:v>1. 主播认证已通过
2. 平台已关闭该主播直播权限</x:v>
      </x:c>
      <x:c r="J174" s="5" t="str">
        <x:v>1. 进入主播中心
2. 尝试进入开播设置并开始直播</x:v>
      </x:c>
      <x:c r="K174" s="5" t="str">
        <x:v>工会侧开启操作不能覆盖平台关闭状态</x:v>
      </x:c>
      <x:c r="L174" s="5" t="str"/>
      <x:c r="M174" s="5" t="str">
        <x:v>未测</x:v>
      </x:c>
      <x:c r="N174" s="5" t="str"/>
      <x:c r="O174" s="5" t="str">
        <x:v>1. 来源：context/01-用户主播App-项目需求清单.md
2. 来源：context/系统概要 .md（当前全局业务规则）
3. 追溯：业务底稿 LIVE-047。
4. 质量修正：按 RCL-0018 执行最小前置条件和单分支检查
5. 同步追溯：work/liveshow-user-app-all-260901-001/prototype-context-sync-result.json；RSL-0002、RSL-0003
6. 全局证据追溯：work/liveshow-user-app-all-260901-001/global-evidence-scan-result.json；扫描模式 full</x:v>
      </x:c>
    </x:row>
    <x:row r="175" ht="103.5" customHeight="1">
      <x:c r="A175" s="5" t="n">
        <x:v>174</x:v>
      </x:c>
      <x:c r="B175" s="5" t="str">
        <x:v>LIVE-121</x:v>
      </x:c>
      <x:c r="C175" s="5" t="str">
        <x:v>用户App-直播</x:v>
      </x:c>
      <x:c r="D175" s="5" t="str">
        <x:v>开播设置</x:v>
      </x:c>
      <x:c r="E175" s="5" t="str">
        <x:v>功能需求</x:v>
      </x:c>
      <x:c r="F175" s="5" t="str">
        <x:v>P1</x:v>
      </x:c>
      <x:c r="G175" s="5" t="str">
        <x:v>验证主播保存有效直播标题</x:v>
      </x:c>
      <x:c r="H175" s="5" t="str">
        <x:v>直播标题保存</x:v>
      </x:c>
      <x:c r="I175" s="5" t="str">
        <x:v>1. 主播已进入开播设置</x:v>
      </x:c>
      <x:c r="J175" s="5" t="str">
        <x:v>1. 点击“修改主题”
2. 输入“今晚唱到你睡着”
3. 点击“保存”</x:v>
      </x:c>
      <x:c r="K175" s="5" t="str">
        <x:v>保存后开播设置页回显新的直播标题</x:v>
      </x:c>
      <x:c r="L175" s="5" t="str"/>
      <x:c r="M175" s="5" t="str">
        <x:v>未测</x:v>
      </x:c>
      <x:c r="N175" s="5" t="str"/>
      <x:c r="O175" s="5" t="str">
        <x:v>1. 来源：context/01-用户主播App-项目需求清单.md
2. 来源：prototype/assets/annotations.js
3. 来源：对应 HTML 静态原型；未动态验证
4. 追溯：业务底稿 LIVE-048。
5. 同步追溯：work/liveshow-user-app-all-260901-001/prototype-context-sync-result.json；RSL-0002、RSL-0003
6. 全局证据追溯：work/liveshow-user-app-all-260901-001/global-evidence-scan-result.json；扫描模式 full</x:v>
      </x:c>
    </x:row>
    <x:row r="176" ht="91.5" customHeight="1">
      <x:c r="A176" s="5" t="n">
        <x:v>175</x:v>
      </x:c>
      <x:c r="B176" s="5" t="str">
        <x:v>LIVE-122</x:v>
      </x:c>
      <x:c r="C176" s="5" t="str">
        <x:v>用户App-直播</x:v>
      </x:c>
      <x:c r="D176" s="5" t="str">
        <x:v>开播设置</x:v>
      </x:c>
      <x:c r="E176" s="5" t="str">
        <x:v>逻辑校验</x:v>
      </x:c>
      <x:c r="F176" s="5" t="str">
        <x:v>P1</x:v>
      </x:c>
      <x:c r="G176" s="5" t="str">
        <x:v>验证空直播标题不能保存</x:v>
      </x:c>
      <x:c r="H176" s="5" t="str">
        <x:v>直播标题必填</x:v>
      </x:c>
      <x:c r="I176" s="5" t="str">
        <x:v>1. 主播已打开“修改主题”</x:v>
      </x:c>
      <x:c r="J176" s="5" t="str">
        <x:v>1. 清空标题
2. 点击“保存”</x:v>
      </x:c>
      <x:c r="K176" s="5" t="str">
        <x:v>页面提示“请设置直播标题”</x:v>
      </x:c>
      <x:c r="L176" s="5" t="str"/>
      <x:c r="M176" s="5" t="str">
        <x:v>未测</x:v>
      </x:c>
      <x:c r="N176" s="5" t="str"/>
      <x:c r="O176" s="5" t="str">
        <x:v>1. 来源：对应 HTML 静态原型；未动态验证
2. 追溯：业务底稿 LIVE-049。
3. 质量修正：按 RCL-0018 执行最小前置条件和单分支检查
4. 同步追溯：work/liveshow-user-app-all-260901-001/prototype-context-sync-result.json；RSL-0002、RSL-0003
5. 全局证据追溯：work/liveshow-user-app-all-260901-001/global-evidence-scan-result.json；扫描模式 full</x:v>
      </x:c>
    </x:row>
    <x:row r="177" ht="79.5" customHeight="1">
      <x:c r="A177" s="5" t="n">
        <x:v>176</x:v>
      </x:c>
      <x:c r="B177" s="5" t="str">
        <x:v>LIVE-123</x:v>
      </x:c>
      <x:c r="C177" s="5" t="str">
        <x:v>用户App-直播</x:v>
      </x:c>
      <x:c r="D177" s="5" t="str">
        <x:v>开播设置</x:v>
      </x:c>
      <x:c r="E177" s="5" t="str">
        <x:v>逻辑校验</x:v>
      </x:c>
      <x:c r="F177" s="5" t="str">
        <x:v>P2</x:v>
      </x:c>
      <x:c r="G177" s="5" t="str">
        <x:v>验证 40 字直播标题可以保存</x:v>
      </x:c>
      <x:c r="H177" s="5" t="str">
        <x:v>标题 40 字边界</x:v>
      </x:c>
      <x:c r="I177" s="5" t="str">
        <x:v>1. 主播已打开“修改主题”</x:v>
      </x:c>
      <x:c r="J177" s="5" t="str">
        <x:v>1. 输入 40 个字符并保存
2. 再次打开并继续输入第 41 个字符</x:v>
      </x:c>
      <x:c r="K177" s="5" t="str">
        <x:v>保存后开播设置页完整回显 40 个字符的标题</x:v>
      </x:c>
      <x:c r="L177" s="5" t="str"/>
      <x:c r="M177" s="5" t="str">
        <x:v>未测</x:v>
      </x:c>
      <x:c r="N177" s="5" t="str"/>
      <x:c r="O177" s="5" t="str">
        <x:v>1. 来源：对应 HTML 静态原型；未动态验证
2. 追溯：业务底稿 LIVE-050。
3. 同步追溯：work/liveshow-user-app-all-260901-001/prototype-context-sync-result.json；RSL-0002、RSL-0003
4. 全局证据追溯：work/liveshow-user-app-all-260901-001/global-evidence-scan-result.json；扫描模式 full</x:v>
      </x:c>
    </x:row>
    <x:row r="178" ht="79.5" customHeight="1">
      <x:c r="A178" s="5" t="n">
        <x:v>177</x:v>
      </x:c>
      <x:c r="B178" s="5" t="str">
        <x:v>LIVE-124</x:v>
      </x:c>
      <x:c r="C178" s="5" t="str">
        <x:v>用户App-直播</x:v>
      </x:c>
      <x:c r="D178" s="5" t="str">
        <x:v>开播设置</x:v>
      </x:c>
      <x:c r="E178" s="5" t="str">
        <x:v>逻辑校验</x:v>
      </x:c>
      <x:c r="F178" s="5" t="str">
        <x:v>P2</x:v>
      </x:c>
      <x:c r="G178" s="5" t="str">
        <x:v>验证直播标题输入长度上限</x:v>
      </x:c>
      <x:c r="H178" s="5" t="str">
        <x:v>标题超长限制</x:v>
      </x:c>
      <x:c r="I178" s="5" t="str">
        <x:v>1. 主播已打开“修改主题”</x:v>
      </x:c>
      <x:c r="J178" s="5" t="str">
        <x:v>1. 输入 40 个字符并保存
2. 再次打开并继续输入第 41 个字符</x:v>
      </x:c>
      <x:c r="K178" s="5" t="str">
        <x:v>输入框最多保留 40 个字符</x:v>
      </x:c>
      <x:c r="L178" s="5" t="str"/>
      <x:c r="M178" s="5" t="str">
        <x:v>未测</x:v>
      </x:c>
      <x:c r="N178" s="5" t="str"/>
      <x:c r="O178" s="5" t="str">
        <x:v>1. 来源：对应 HTML 静态原型；未动态验证
2. 追溯：业务底稿 LIVE-050。
3. 同步追溯：work/liveshow-user-app-all-260901-001/prototype-context-sync-result.json；RSL-0002、RSL-0003
4. 全局证据追溯：work/liveshow-user-app-all-260901-001/global-evidence-scan-result.json；扫描模式 full</x:v>
      </x:c>
    </x:row>
    <x:row r="179" ht="91.5" customHeight="1">
      <x:c r="A179" s="5" t="n">
        <x:v>178</x:v>
      </x:c>
      <x:c r="B179" s="5" t="str">
        <x:v>LIVE-125</x:v>
      </x:c>
      <x:c r="C179" s="5" t="str">
        <x:v>用户App-直播</x:v>
      </x:c>
      <x:c r="D179" s="5" t="str">
        <x:v>开播设置</x:v>
      </x:c>
      <x:c r="E179" s="5" t="str">
        <x:v>功能需求</x:v>
      </x:c>
      <x:c r="F179" s="5" t="str">
        <x:v>P2</x:v>
      </x:c>
      <x:c r="G179" s="5" t="str">
        <x:v>验证主播选择有效图片作为直播封面</x:v>
      </x:c>
      <x:c r="H179" s="5" t="str">
        <x:v>直播封面选择</x:v>
      </x:c>
      <x:c r="I179" s="5" t="str">
        <x:v>1. 主播已进入开播设置
2. 设备中存在可访问的有效图片</x:v>
      </x:c>
      <x:c r="J179" s="5" t="str">
        <x:v>1. 点击“修改封面”
2. 从设备选择一张有效图片</x:v>
      </x:c>
      <x:c r="K179" s="5" t="str">
        <x:v>开播设置页使用所选图片作为本场封面预览</x:v>
      </x:c>
      <x:c r="L179" s="5" t="str"/>
      <x:c r="M179" s="5" t="str">
        <x:v>未测</x:v>
      </x:c>
      <x:c r="N179" s="5" t="str"/>
      <x:c r="O179" s="5" t="str">
        <x:v>1. 来源：context/01-用户主播App-项目需求清单.md
2. 来源：对应 HTML 静态原型；未动态验证
3. 追溯：业务底稿 LIVE-051。
4. 同步追溯：work/liveshow-user-app-all-260901-001/prototype-context-sync-result.json；RSL-0002、RSL-0003
5. 全局证据追溯：work/liveshow-user-app-all-260901-001/global-evidence-scan-result.json；扫描模式 full</x:v>
      </x:c>
    </x:row>
    <x:row r="180" ht="91.5" customHeight="1">
      <x:c r="A180" s="5" t="n">
        <x:v>179</x:v>
      </x:c>
      <x:c r="B180" s="5" t="str">
        <x:v>LIVE-126</x:v>
      </x:c>
      <x:c r="C180" s="5" t="str">
        <x:v>用户App-直播</x:v>
      </x:c>
      <x:c r="D180" s="5" t="str">
        <x:v>开播设置</x:v>
      </x:c>
      <x:c r="E180" s="5" t="str">
        <x:v>功能需求</x:v>
      </x:c>
      <x:c r="F180" s="5" t="str">
        <x:v>P1</x:v>
      </x:c>
      <x:c r="G180" s="5" t="str">
        <x:v>验证直播分类仅使用后台启用项</x:v>
      </x:c>
      <x:c r="H180" s="5" t="str">
        <x:v>启用分类范围</x:v>
      </x:c>
      <x:c r="I180" s="5" t="str">
        <x:v>1. 后台至少启用两个直播分类
2. 主播已进入开播设置</x:v>
      </x:c>
      <x:c r="J180" s="5" t="str">
        <x:v>1. 点击分类入口
2. 选择分类“唱歌”</x:v>
      </x:c>
      <x:c r="K180" s="5" t="str">
        <x:v>分类列表仅展示后台启用的分类</x:v>
      </x:c>
      <x:c r="L180" s="5" t="str"/>
      <x:c r="M180" s="5" t="str">
        <x:v>未测</x:v>
      </x:c>
      <x:c r="N180" s="5" t="str"/>
      <x:c r="O180" s="5" t="str">
        <x:v>1. 来源：context/01-用户主播App-项目需求清单.md
2. 来源：对应 HTML 静态原型；未动态验证
3. 追溯：业务底稿 LIVE-052。
4. 同步追溯：work/liveshow-user-app-all-260901-001/prototype-context-sync-result.json；RSL-0002、RSL-0003
5. 全局证据追溯：work/liveshow-user-app-all-260901-001/global-evidence-scan-result.json；扫描模式 full</x:v>
      </x:c>
    </x:row>
    <x:row r="181" ht="91.5" customHeight="1">
      <x:c r="A181" s="5" t="n">
        <x:v>180</x:v>
      </x:c>
      <x:c r="B181" s="5" t="str">
        <x:v>LIVE-127</x:v>
      </x:c>
      <x:c r="C181" s="5" t="str">
        <x:v>用户App-直播</x:v>
      </x:c>
      <x:c r="D181" s="5" t="str">
        <x:v>开播设置</x:v>
      </x:c>
      <x:c r="E181" s="5" t="str">
        <x:v>功能需求</x:v>
      </x:c>
      <x:c r="F181" s="5" t="str">
        <x:v>P1</x:v>
      </x:c>
      <x:c r="G181" s="5" t="str">
        <x:v>验证保存并回显直播分类</x:v>
      </x:c>
      <x:c r="H181" s="5" t="str">
        <x:v>分类选择保存</x:v>
      </x:c>
      <x:c r="I181" s="5" t="str">
        <x:v>1. 后台至少启用两个直播分类
2. 主播已进入开播设置</x:v>
      </x:c>
      <x:c r="J181" s="5" t="str">
        <x:v>1. 点击分类入口
2. 选择分类“唱歌”</x:v>
      </x:c>
      <x:c r="K181" s="5" t="str">
        <x:v>选择“唱歌”后，开播设置页回显该分类</x:v>
      </x:c>
      <x:c r="L181" s="5" t="str"/>
      <x:c r="M181" s="5" t="str">
        <x:v>未测</x:v>
      </x:c>
      <x:c r="N181" s="5" t="str"/>
      <x:c r="O181" s="5" t="str">
        <x:v>1. 来源：context/01-用户主播App-项目需求清单.md
2. 来源：对应 HTML 静态原型；未动态验证
3. 追溯：业务底稿 LIVE-052。
4. 同步追溯：work/liveshow-user-app-all-260901-001/prototype-context-sync-result.json；RSL-0002、RSL-0003
5. 全局证据追溯：work/liveshow-user-app-all-260901-001/global-evidence-scan-result.json；扫描模式 full</x:v>
      </x:c>
    </x:row>
    <x:row r="182" ht="91.5" customHeight="1">
      <x:c r="A182" s="5" t="n">
        <x:v>181</x:v>
      </x:c>
      <x:c r="B182" s="5" t="str">
        <x:v>LIVE-128</x:v>
      </x:c>
      <x:c r="C182" s="5" t="str">
        <x:v>用户App-直播</x:v>
      </x:c>
      <x:c r="D182" s="5" t="str">
        <x:v>开播设置</x:v>
      </x:c>
      <x:c r="E182" s="5" t="str">
        <x:v>功能需求</x:v>
      </x:c>
      <x:c r="F182" s="5" t="str">
        <x:v>P1</x:v>
      </x:c>
      <x:c r="G182" s="5" t="str">
        <x:v>验证主播选择普通房</x:v>
      </x:c>
      <x:c r="H182" s="5" t="str">
        <x:v>普通房设置</x:v>
      </x:c>
      <x:c r="I182" s="5" t="str">
        <x:v>1. 主播已进入房型设置</x:v>
      </x:c>
      <x:c r="J182" s="5" t="str">
        <x:v>1. 选择“普通房”
2. 点击“确认”</x:v>
      </x:c>
      <x:c r="K182" s="5" t="str">
        <x:v>普通房设置保存后房型回显为“普通”</x:v>
      </x:c>
      <x:c r="L182" s="5" t="str"/>
      <x:c r="M182" s="5" t="str">
        <x:v>未测</x:v>
      </x:c>
      <x:c r="N182" s="5" t="str"/>
      <x:c r="O182" s="5" t="str">
        <x:v>1. 来源：context/01-用户主播App-项目需求清单.md
2. 来源：对应 HTML 静态原型；未动态验证
3. 追溯：业务底稿 LIVE-053。
4. 同步追溯：work/liveshow-user-app-all-260901-001/prototype-context-sync-result.json；RSL-0002、RSL-0003
5. 全局证据追溯：work/liveshow-user-app-all-260901-001/global-evidence-scan-result.json；扫描模式 full</x:v>
      </x:c>
    </x:row>
    <x:row r="183" ht="103.5" customHeight="1">
      <x:c r="A183" s="5" t="n">
        <x:v>182</x:v>
      </x:c>
      <x:c r="B183" s="5" t="str">
        <x:v>LIVE-129</x:v>
      </x:c>
      <x:c r="C183" s="5" t="str">
        <x:v>用户App-直播</x:v>
      </x:c>
      <x:c r="D183" s="5" t="str">
        <x:v>开播设置</x:v>
      </x:c>
      <x:c r="E183" s="5" t="str">
        <x:v>逻辑校验</x:v>
      </x:c>
      <x:c r="F183" s="5" t="str">
        <x:v>P1</x:v>
      </x:c>
      <x:c r="G183" s="5" t="str">
        <x:v>验证门票房未填写价格不能保存</x:v>
      </x:c>
      <x:c r="H183" s="5" t="str">
        <x:v>门票价格必填</x:v>
      </x:c>
      <x:c r="I183" s="5" t="str">
        <x:v>1. 门票房灰度开关已开启
2. 主播已进入房型设置</x:v>
      </x:c>
      <x:c r="J183" s="5" t="str">
        <x:v>1. 选择“门票房”
2. 保持门票价格为空
3. 点击“确认”</x:v>
      </x:c>
      <x:c r="K183" s="5" t="str">
        <x:v>门票价格为空时页面提示“请设置门票价格”</x:v>
      </x:c>
      <x:c r="L183" s="5" t="str"/>
      <x:c r="M183" s="5" t="str">
        <x:v>未测</x:v>
      </x:c>
      <x:c r="N183" s="5" t="str"/>
      <x:c r="O183" s="5" t="str">
        <x:v>1. 来源：context/01-用户主播App-项目需求清单.md
2. 来源：prototype/assets/annotations.js
3. 来源：对应 HTML 静态原型；未动态验证
4. 追溯：业务底稿 LIVE-054。
5. 同步追溯：work/liveshow-user-app-all-260901-001/prototype-context-sync-result.json；RSL-0002、RSL-0003
6. 全局证据追溯：work/liveshow-user-app-all-260901-001/global-evidence-scan-result.json；扫描模式 full</x:v>
      </x:c>
    </x:row>
    <x:row r="184" ht="103.5" customHeight="1">
      <x:c r="A184" s="5" t="n">
        <x:v>183</x:v>
      </x:c>
      <x:c r="B184" s="5" t="str">
        <x:v>LIVE-130</x:v>
      </x:c>
      <x:c r="C184" s="5" t="str">
        <x:v>用户App-直播</x:v>
      </x:c>
      <x:c r="D184" s="5" t="str">
        <x:v>开播设置</x:v>
      </x:c>
      <x:c r="E184" s="5" t="str">
        <x:v>逻辑校验</x:v>
      </x:c>
      <x:c r="F184" s="5" t="str">
        <x:v>P1</x:v>
      </x:c>
      <x:c r="G184" s="5" t="str">
        <x:v>验证密码房未填写密码不能保存</x:v>
      </x:c>
      <x:c r="H184" s="5" t="str">
        <x:v>房间密码必填</x:v>
      </x:c>
      <x:c r="I184" s="5" t="str">
        <x:v>1. 密码房灰度开关已开启
2. 主播已进入房型设置</x:v>
      </x:c>
      <x:c r="J184" s="5" t="str">
        <x:v>1. 选择“密码房”
2. 保持房间密码为空
3. 点击“确认”</x:v>
      </x:c>
      <x:c r="K184" s="5" t="str">
        <x:v>房间密码为空时页面提示“请设置房间密码”</x:v>
      </x:c>
      <x:c r="L184" s="5" t="str"/>
      <x:c r="M184" s="5" t="str">
        <x:v>未测</x:v>
      </x:c>
      <x:c r="N184" s="5" t="str"/>
      <x:c r="O184" s="5" t="str">
        <x:v>1. 来源：context/01-用户主播App-项目需求清单.md
2. 来源：prototype/assets/annotations.js
3. 来源：对应 HTML 静态原型；未动态验证
4. 追溯：业务底稿 LIVE-055。
5. 同步追溯：work/liveshow-user-app-all-260901-001/prototype-context-sync-result.json；RSL-0002、RSL-0003
6. 全局证据追溯：work/liveshow-user-app-all-260901-001/global-evidence-scan-result.json；扫描模式 full</x:v>
      </x:c>
    </x:row>
    <x:row r="185" ht="103.5" customHeight="1">
      <x:c r="A185" s="5" t="n">
        <x:v>184</x:v>
      </x:c>
      <x:c r="B185" s="5" t="str">
        <x:v>LIVE-131</x:v>
      </x:c>
      <x:c r="C185" s="5" t="str">
        <x:v>用户App-直播</x:v>
      </x:c>
      <x:c r="D185" s="5" t="str">
        <x:v>开播设置</x:v>
      </x:c>
      <x:c r="E185" s="5" t="str">
        <x:v>逻辑校验</x:v>
      </x:c>
      <x:c r="F185" s="5" t="str">
        <x:v>P1</x:v>
      </x:c>
      <x:c r="G185" s="5" t="str">
        <x:v>验证密码房广场展示范围</x:v>
      </x:c>
      <x:c r="H185" s="5" t="str">
        <x:v>密码房可见范围</x:v>
      </x:c>
      <x:c r="I185" s="5" t="str">
        <x:v>1. 密码房灰度开关已开启
2. 主播已选择密码房并设置有效密码</x:v>
      </x:c>
      <x:c r="J185" s="5" t="str">
        <x:v>1. 关闭“在广场展示”
2. 开启“从粉丝中授权可见”并选择两名粉丝
3. 保存房型
4. 分别由授权粉丝和非授权用户通过已知入口尝试进入</x:v>
      </x:c>
      <x:c r="K185" s="5" t="str">
        <x:v>主播关闭“在广场展示”后，直播广场不展示该密码房</x:v>
      </x:c>
      <x:c r="L185" s="5" t="str"/>
      <x:c r="M185" s="5" t="str">
        <x:v>未测</x:v>
      </x:c>
      <x:c r="N185" s="5" t="str"/>
      <x:c r="O185" s="5" t="str">
        <x:v>1. 来源：context/01-用户主播App-项目需求清单.md
2. 来源：context/系统概要 .md（当前全局业务规则）
3. 来源：prototype/assets/annotations.js
4. 追溯：业务底稿 LIVE-056。
5. 同步追溯：work/liveshow-user-app-all-260901-001/prototype-context-sync-result.json；RSL-0002、RSL-0003
6. 全局证据追溯：work/liveshow-user-app-all-260901-001/global-evidence-scan-result.json；扫描模式 full</x:v>
      </x:c>
    </x:row>
    <x:row r="186" ht="103.5" customHeight="1">
      <x:c r="A186" s="5" t="n">
        <x:v>185</x:v>
      </x:c>
      <x:c r="B186" s="5" t="str">
        <x:v>LIVE-132</x:v>
      </x:c>
      <x:c r="C186" s="5" t="str">
        <x:v>用户App-直播</x:v>
      </x:c>
      <x:c r="D186" s="5" t="str">
        <x:v>开播设置</x:v>
      </x:c>
      <x:c r="E186" s="5" t="str">
        <x:v>逻辑校验</x:v>
      </x:c>
      <x:c r="F186" s="5" t="str">
        <x:v>P1</x:v>
      </x:c>
      <x:c r="G186" s="5" t="str">
        <x:v>验证授权名单不能绕过房间密码</x:v>
      </x:c>
      <x:c r="H186" s="5" t="str">
        <x:v>授权用户密码校验</x:v>
      </x:c>
      <x:c r="I186" s="5" t="str">
        <x:v>1. 密码房灰度开关已开启
2. 主播已选择密码房并设置有效密码</x:v>
      </x:c>
      <x:c r="J186" s="5" t="str">
        <x:v>1. 关闭“在广场展示”
2. 开启“从粉丝中授权可见”并选择两名粉丝
3. 保存房型
4. 分别由授权粉丝和非授权用户通过已知入口尝试进入</x:v>
      </x:c>
      <x:c r="K186" s="5" t="str">
        <x:v>授权粉丝和非授权用户进入直播内容前均需通过房间密码校验</x:v>
      </x:c>
      <x:c r="L186" s="5" t="str"/>
      <x:c r="M186" s="5" t="str">
        <x:v>未测</x:v>
      </x:c>
      <x:c r="N186" s="5" t="str"/>
      <x:c r="O186" s="5" t="str">
        <x:v>1. 来源：context/01-用户主播App-项目需求清单.md
2. 来源：context/系统概要 .md（当前全局业务规则）
3. 来源：prototype/assets/annotations.js
4. 追溯：业务底稿 LIVE-056。
5. 同步追溯：work/liveshow-user-app-all-260901-001/prototype-context-sync-result.json；RSL-0002、RSL-0003
6. 全局证据追溯：work/liveshow-user-app-all-260901-001/global-evidence-scan-result.json；扫描模式 full</x:v>
      </x:c>
    </x:row>
    <x:row r="187" ht="91.5" customHeight="1">
      <x:c r="A187" s="5" t="n">
        <x:v>186</x:v>
      </x:c>
      <x:c r="B187" s="5" t="str">
        <x:v>LIVE-133</x:v>
      </x:c>
      <x:c r="C187" s="5" t="str">
        <x:v>用户App-直播</x:v>
      </x:c>
      <x:c r="D187" s="5" t="str">
        <x:v>开播设置</x:v>
      </x:c>
      <x:c r="E187" s="5" t="str">
        <x:v>功能需求</x:v>
      </x:c>
      <x:c r="F187" s="5" t="str">
        <x:v>P2</x:v>
      </x:c>
      <x:c r="G187" s="5" t="str">
        <x:v>验证摄像头从前置切换为后置</x:v>
      </x:c>
      <x:c r="H187" s="5" t="str">
        <x:v>后置摄像头切换</x:v>
      </x:c>
      <x:c r="I187" s="5" t="str">
        <x:v>1. 设备前后摄像头可用
2. 主播已进入开播设置</x:v>
      </x:c>
      <x:c r="J187" s="5" t="str">
        <x:v>1. 点击切换摄像头</x:v>
      </x:c>
      <x:c r="K187" s="5" t="str">
        <x:v>首次点击后预览从前置切换为后置</x:v>
      </x:c>
      <x:c r="L187" s="5" t="str"/>
      <x:c r="M187" s="5" t="str">
        <x:v>未测</x:v>
      </x:c>
      <x:c r="N187" s="5" t="str"/>
      <x:c r="O187" s="5" t="str">
        <x:v>1. 来源：prototype/assets/annotations.js
2. 来源：对应 HTML 静态原型；未动态验证
3. 追溯：业务底稿 LIVE-057。
4. 同步追溯：work/liveshow-user-app-all-260901-001/prototype-context-sync-result.json；RSL-0002、RSL-0003
5. 全局证据追溯：work/liveshow-user-app-all-260901-001/global-evidence-scan-result.json；扫描模式 full</x:v>
      </x:c>
    </x:row>
    <x:row r="188" ht="91.5" customHeight="1">
      <x:c r="A188" s="5" t="n">
        <x:v>187</x:v>
      </x:c>
      <x:c r="B188" s="5" t="str">
        <x:v>LIVE-134</x:v>
      </x:c>
      <x:c r="C188" s="5" t="str">
        <x:v>用户App-直播</x:v>
      </x:c>
      <x:c r="D188" s="5" t="str">
        <x:v>开播设置</x:v>
      </x:c>
      <x:c r="E188" s="5" t="str">
        <x:v>功能需求</x:v>
      </x:c>
      <x:c r="F188" s="5" t="str">
        <x:v>P2</x:v>
      </x:c>
      <x:c r="G188" s="5" t="str">
        <x:v>验证摄像头从后置切换回前置</x:v>
      </x:c>
      <x:c r="H188" s="5" t="str">
        <x:v>前置摄像头恢复</x:v>
      </x:c>
      <x:c r="I188" s="5" t="str">
        <x:v>1. 设备前后摄像头可用
2. 主播已进入开播设置</x:v>
      </x:c>
      <x:c r="J188" s="5" t="str">
        <x:v>1. 点击切换摄像头
2. 再次点击切换摄像头</x:v>
      </x:c>
      <x:c r="K188" s="5" t="str">
        <x:v>再次点击后预览恢复前置</x:v>
      </x:c>
      <x:c r="L188" s="5" t="str"/>
      <x:c r="M188" s="5" t="str">
        <x:v>未测</x:v>
      </x:c>
      <x:c r="N188" s="5" t="str"/>
      <x:c r="O188" s="5" t="str">
        <x:v>1. 来源：prototype/assets/annotations.js
2. 来源：对应 HTML 静态原型；未动态验证
3. 追溯：业务底稿 LIVE-057。
4. 同步追溯：work/liveshow-user-app-all-260901-001/prototype-context-sync-result.json；RSL-0002、RSL-0003
5. 全局证据追溯：work/liveshow-user-app-all-260901-001/global-evidence-scan-result.json；扫描模式 full</x:v>
      </x:c>
    </x:row>
    <x:row r="189" ht="91.5" customHeight="1">
      <x:c r="A189" s="5" t="n">
        <x:v>188</x:v>
      </x:c>
      <x:c r="B189" s="5" t="str">
        <x:v>LIVE-135</x:v>
      </x:c>
      <x:c r="C189" s="5" t="str">
        <x:v>用户App-直播</x:v>
      </x:c>
      <x:c r="D189" s="5" t="str">
        <x:v>开播设置</x:v>
      </x:c>
      <x:c r="E189" s="5" t="str">
        <x:v>功能需求</x:v>
      </x:c>
      <x:c r="F189" s="5" t="str">
        <x:v>P2</x:v>
      </x:c>
      <x:c r="G189" s="5" t="str">
        <x:v>验证美颜参数切换后保留</x:v>
      </x:c>
      <x:c r="H189" s="5" t="str">
        <x:v>美颜参数记忆</x:v>
      </x:c>
      <x:c r="I189" s="5" t="str">
        <x:v>1. 美颜 SDK 可用
2. 主播已打开美颜设置</x:v>
      </x:c>
      <x:c r="J189" s="5" t="str">
        <x:v>1. 选择“磨皮”并调至 70
2. 切换分类后返回“美颜”</x:v>
      </x:c>
      <x:c r="K189" s="5" t="str">
        <x:v>切换标签后“磨皮”参数仍为 70</x:v>
      </x:c>
      <x:c r="L189" s="5" t="str"/>
      <x:c r="M189" s="5" t="str">
        <x:v>未测</x:v>
      </x:c>
      <x:c r="N189" s="5" t="str"/>
      <x:c r="O189" s="5" t="str">
        <x:v>1. 来源：prototype/assets/annotations.js
2. 来源：对应 HTML 静态原型；未动态验证
3. 追溯：业务底稿 LIVE-058。
4. 同步追溯：work/liveshow-user-app-all-260901-001/prototype-context-sync-result.json；RSL-0002、RSL-0003
5. 全局证据追溯：work/liveshow-user-app-all-260901-001/global-evidence-scan-result.json；扫描模式 full</x:v>
      </x:c>
    </x:row>
    <x:row r="190" ht="91.5" customHeight="1">
      <x:c r="A190" s="5" t="n">
        <x:v>189</x:v>
      </x:c>
      <x:c r="B190" s="5" t="str">
        <x:v>LIVE-136</x:v>
      </x:c>
      <x:c r="C190" s="5" t="str">
        <x:v>用户App-直播</x:v>
      </x:c>
      <x:c r="D190" s="5" t="str">
        <x:v>开播设置</x:v>
      </x:c>
      <x:c r="E190" s="5" t="str">
        <x:v>功能需求</x:v>
      </x:c>
      <x:c r="F190" s="5" t="str">
        <x:v>P2</x:v>
      </x:c>
      <x:c r="G190" s="5" t="str">
        <x:v>验证美型参数切换后保留</x:v>
      </x:c>
      <x:c r="H190" s="5" t="str">
        <x:v>美型参数记忆</x:v>
      </x:c>
      <x:c r="I190" s="5" t="str">
        <x:v>1. 美颜 SDK 可用
2. 主播已打开美颜设置</x:v>
      </x:c>
      <x:c r="J190" s="5" t="str">
        <x:v>1. 选择“大眼”并调至 30
2. 切换分类后返回“美型”</x:v>
      </x:c>
      <x:c r="K190" s="5" t="str">
        <x:v>切换标签后“大眼”参数仍为 30</x:v>
      </x:c>
      <x:c r="L190" s="5" t="str"/>
      <x:c r="M190" s="5" t="str">
        <x:v>未测</x:v>
      </x:c>
      <x:c r="N190" s="5" t="str"/>
      <x:c r="O190" s="5" t="str">
        <x:v>1. 来源：prototype/assets/annotations.js
2. 来源：对应 HTML 静态原型；未动态验证
3. 追溯：业务底稿 LIVE-058。
4. 同步追溯：work/liveshow-user-app-all-260901-001/prototype-context-sync-result.json；RSL-0002、RSL-0003
5. 全局证据追溯：work/liveshow-user-app-all-260901-001/global-evidence-scan-result.json；扫描模式 full</x:v>
      </x:c>
    </x:row>
    <x:row r="191" ht="91.5" customHeight="1">
      <x:c r="A191" s="5" t="n">
        <x:v>190</x:v>
      </x:c>
      <x:c r="B191" s="5" t="str">
        <x:v>LIVE-137</x:v>
      </x:c>
      <x:c r="C191" s="5" t="str">
        <x:v>用户App-直播</x:v>
      </x:c>
      <x:c r="D191" s="5" t="str">
        <x:v>开播设置</x:v>
      </x:c>
      <x:c r="E191" s="5" t="str">
        <x:v>逻辑校验</x:v>
      </x:c>
      <x:c r="F191" s="5" t="str">
        <x:v>P2</x:v>
      </x:c>
      <x:c r="G191" s="5" t="str">
        <x:v>验证恢复默认重置全部美颜参数</x:v>
      </x:c>
      <x:c r="H191" s="5" t="str">
        <x:v>美颜恢复默认</x:v>
      </x:c>
      <x:c r="I191" s="5" t="str">
        <x:v>1. 美颜和美型均已选择项目并修改参数</x:v>
      </x:c>
      <x:c r="J191" s="5" t="str">
        <x:v>1. 点击“恢复默认”
2. 分别查看美颜和美型</x:v>
      </x:c>
      <x:c r="K191" s="5" t="str">
        <x:v>点击重置后，全部美颜和美型参数恢复为 50</x:v>
      </x:c>
      <x:c r="L191" s="5" t="str"/>
      <x:c r="M191" s="5" t="str">
        <x:v>未测</x:v>
      </x:c>
      <x:c r="N191" s="5" t="str"/>
      <x:c r="O191" s="5" t="str">
        <x:v>1. 来源：prototype/assets/annotations.js
2. 来源：对应 HTML 静态原型；未动态验证
3. 追溯：业务底稿 LIVE-059。
4. 同步追溯：work/liveshow-user-app-all-260901-001/prototype-context-sync-result.json；RSL-0002、RSL-0003
5. 全局证据追溯：work/liveshow-user-app-all-260901-001/global-evidence-scan-result.json；扫描模式 full</x:v>
      </x:c>
    </x:row>
    <x:row r="192" ht="142.5" customHeight="1">
      <x:c r="A192" s="5" t="n">
        <x:v>191</x:v>
      </x:c>
      <x:c r="B192" s="5" t="str">
        <x:v>LIVE-138</x:v>
      </x:c>
      <x:c r="C192" s="5" t="str">
        <x:v>用户App-直播</x:v>
      </x:c>
      <x:c r="D192" s="5" t="str">
        <x:v>开播设置</x:v>
      </x:c>
      <x:c r="E192" s="5" t="str">
        <x:v>业务流程</x:v>
      </x:c>
      <x:c r="F192" s="5" t="str">
        <x:v>P0</x:v>
      </x:c>
      <x:c r="G192" s="5" t="str">
        <x:v>验证开播时创建直播场次</x:v>
      </x:c>
      <x:c r="H192" s="5" t="str">
        <x:v>直播场次创建</x:v>
      </x:c>
      <x:c r="I192" s="5" t="str">
        <x:v>1. 主播具备直播权限
2. 已设置有效标题、封面、分类和房型
3. 摄像头与直播 SDK 可用</x:v>
      </x:c>
      <x:c r="J192" s="5" t="str">
        <x:v>1. 点击“开始直播”
2. 等待开播倒计时完成
3. 点击“进入直播间”</x:v>
      </x:c>
      <x:c r="K192" s="5" t="str">
        <x:v>系统创建一场进行中的直播场次</x:v>
      </x:c>
      <x:c r="L192" s="5" t="str">
        <x:v>FLOW-LIVE-001</x:v>
      </x:c>
      <x:c r="M192" s="5" t="str">
        <x:v>未测</x:v>
      </x:c>
      <x:c r="N192" s="5" t="str"/>
      <x:c r="O192" s="5" t="str">
        <x:v>1. 来源：context/01-用户主播App-项目需求清单.md
2. 来源：context/系统概要 .md（当前全局业务规则）
3. 来源：对应 HTML 静态原型；未动态验证
4. 追溯：业务底稿 LIVE-060。
5. 流程：阶段 01：主播创建普通直播场次；共同业务对象：普通直播场次（数据别名：LIVE-SESSION-N01）。
6. 共同业务对象：同一直播场次
7. 流程阶段：直播场次创建
8. 同步追溯：work/liveshow-user-app-all-260901-001/prototype-context-sync-result.json；RSL-0002、RSL-0003
9. 全局证据追溯：work/liveshow-user-app-all-260901-001/global-evidence-scan-result.json；扫描模式 full</x:v>
      </x:c>
    </x:row>
    <x:row r="193" ht="91.5" customHeight="1">
      <x:c r="A193" s="5" t="n">
        <x:v>192</x:v>
      </x:c>
      <x:c r="B193" s="5" t="str">
        <x:v>LIVE-139</x:v>
      </x:c>
      <x:c r="C193" s="5" t="str">
        <x:v>用户App-直播</x:v>
      </x:c>
      <x:c r="D193" s="5" t="str">
        <x:v>开播设置</x:v>
      </x:c>
      <x:c r="E193" s="5" t="str">
        <x:v>逻辑校验</x:v>
      </x:c>
      <x:c r="F193" s="5" t="str">
        <x:v>P1</x:v>
      </x:c>
      <x:c r="G193" s="5" t="str">
        <x:v>验证灰度关闭时不能保存特殊房型</x:v>
      </x:c>
      <x:c r="H193" s="5" t="str">
        <x:v>特殊房型灰度限制</x:v>
      </x:c>
      <x:c r="I193" s="5" t="str">
        <x:v>1. 后台关闭门票房和密码房灰度开关
2. 主播已进入房型设置</x:v>
      </x:c>
      <x:c r="J193" s="5" t="str">
        <x:v>1. 查看可选房型
2. 尝试选择门票房和密码房</x:v>
      </x:c>
      <x:c r="K193" s="5" t="str">
        <x:v>主播不能保存被关闭的特殊房型</x:v>
      </x:c>
      <x:c r="L193" s="5" t="str"/>
      <x:c r="M193" s="5" t="str">
        <x:v>未测</x:v>
      </x:c>
      <x:c r="N193" s="5" t="str"/>
      <x:c r="O193" s="5" t="str">
        <x:v>1. 来源：context/01-用户主播App-项目需求清单.md
2. 来源：context/系统概要 .md（当前全局业务规则）
3. 追溯：业务底稿 LIVE-063。
4. 同步追溯：work/liveshow-user-app-all-260901-001/prototype-context-sync-result.json；RSL-0002、RSL-0003
5. 全局证据追溯：work/liveshow-user-app-all-260901-001/global-evidence-scan-result.json；扫描模式 full</x:v>
      </x:c>
    </x:row>
    <x:row r="194" ht="91.5" customHeight="1">
      <x:c r="A194" s="5" t="n">
        <x:v>193</x:v>
      </x:c>
      <x:c r="B194" s="5" t="str">
        <x:v>LIVE-140</x:v>
      </x:c>
      <x:c r="C194" s="5" t="str">
        <x:v>用户App-直播</x:v>
      </x:c>
      <x:c r="D194" s="5" t="str">
        <x:v>开播设置</x:v>
      </x:c>
      <x:c r="E194" s="5" t="str">
        <x:v>逻辑校验</x:v>
      </x:c>
      <x:c r="F194" s="5" t="str">
        <x:v>P1</x:v>
      </x:c>
      <x:c r="G194" s="5" t="str">
        <x:v>验证特殊房型关闭不影响普通房</x:v>
      </x:c>
      <x:c r="H194" s="5" t="str">
        <x:v>普通房灰度隔离</x:v>
      </x:c>
      <x:c r="I194" s="5" t="str">
        <x:v>1. 后台关闭门票房和密码房灰度开关
2. 主播已进入房型设置</x:v>
      </x:c>
      <x:c r="J194" s="5" t="str">
        <x:v>1. 查看可选房型
2. 尝试选择门票房和密码房</x:v>
      </x:c>
      <x:c r="K194" s="5" t="str">
        <x:v>房型设置保存为普通房</x:v>
      </x:c>
      <x:c r="L194" s="5" t="str"/>
      <x:c r="M194" s="5" t="str">
        <x:v>未测</x:v>
      </x:c>
      <x:c r="N194" s="5" t="str"/>
      <x:c r="O194" s="5" t="str">
        <x:v>1. 来源：context/01-用户主播App-项目需求清单.md
2. 来源：context/系统概要 .md（当前全局业务规则）
3. 追溯：业务底稿 LIVE-063。
4. 同步追溯：work/liveshow-user-app-all-260901-001/prototype-context-sync-result.json；RSL-0002、RSL-0003
5. 全局证据追溯：work/liveshow-user-app-all-260901-001/global-evidence-scan-result.json；扫描模式 full</x:v>
      </x:c>
    </x:row>
    <x:row r="195" ht="142.5" customHeight="1">
      <x:c r="A195" s="5" t="n">
        <x:v>194</x:v>
      </x:c>
      <x:c r="B195" s="5" t="str">
        <x:v>LIVE-141</x:v>
      </x:c>
      <x:c r="C195" s="5" t="str">
        <x:v>用户App-直播</x:v>
      </x:c>
      <x:c r="D195" s="5" t="str">
        <x:v>开播设置</x:v>
      </x:c>
      <x:c r="E195" s="5" t="str">
        <x:v>业务流程</x:v>
      </x:c>
      <x:c r="F195" s="5" t="str">
        <x:v>P1</x:v>
      </x:c>
      <x:c r="G195" s="5" t="str">
        <x:v>验证主播保存有效门票房设置</x:v>
      </x:c>
      <x:c r="H195" s="5" t="str">
        <x:v>门票房有效设置</x:v>
      </x:c>
      <x:c r="I195" s="5" t="str">
        <x:v>1. 主播具备直播权限
2. 门票房灰度开关已开启</x:v>
      </x:c>
      <x:c r="J195" s="5" t="str">
        <x:v>1. 进入开播设置
2. 打开房型设置
3. 选择“门票”
4. 填写门票价格 10 金币
5. 保存房型设置</x:v>
      </x:c>
      <x:c r="K195" s="5" t="str">
        <x:v>房型设置保存为门票房</x:v>
      </x:c>
      <x:c r="L195" s="5" t="str">
        <x:v>FLOW-LIVE-002</x:v>
      </x:c>
      <x:c r="M195" s="5" t="str">
        <x:v>未测</x:v>
      </x:c>
      <x:c r="N195" s="5" t="str"/>
      <x:c r="O195" s="5" t="str">
        <x:v>1. 来源：context/01-用户主播App-项目需求清单.md
2. 来源：prototype/assets/annotations.js
3. 来源：对应 HTML 静态原型；未动态验证
4. 追溯：业务底稿 LIVE-096。
5. 流程：阶段 01：主播保存门票房设置；共同业务对象：门票房场次（数据别名：LIVE-SESSION-T01）。
6. 共同业务对象：同一门票房场次和购票资格
7. 流程阶段：门票房有效设置
8. 同步追溯：work/liveshow-user-app-all-260901-001/prototype-context-sync-result.json；RSL-0002、RSL-0003
9. 全局证据追溯：work/liveshow-user-app-all-260901-001/global-evidence-scan-result.json；扫描模式 full</x:v>
      </x:c>
    </x:row>
    <x:row r="196" ht="142.5" customHeight="1">
      <x:c r="A196" s="5" t="n">
        <x:v>195</x:v>
      </x:c>
      <x:c r="B196" s="5" t="str">
        <x:v>LIVE-142</x:v>
      </x:c>
      <x:c r="C196" s="5" t="str">
        <x:v>用户App-直播</x:v>
      </x:c>
      <x:c r="D196" s="5" t="str">
        <x:v>开播设置</x:v>
      </x:c>
      <x:c r="E196" s="5" t="str">
        <x:v>业务流程</x:v>
      </x:c>
      <x:c r="F196" s="5" t="str">
        <x:v>P1</x:v>
      </x:c>
      <x:c r="G196" s="5" t="str">
        <x:v>验证主播保存有效密码房设置</x:v>
      </x:c>
      <x:c r="H196" s="5" t="str">
        <x:v>密码房有效设置</x:v>
      </x:c>
      <x:c r="I196" s="5" t="str">
        <x:v>1. 主播具备直播权限
2. 密码房灰度开关已开启
3. 使用符合当前原型 4 至 12 位提示的测试密码</x:v>
      </x:c>
      <x:c r="J196" s="5" t="str">
        <x:v>1. 进入开播设置
2. 打开房型设置
3. 选择“密码”
4. 填写有效密码
5. 设置广场展示范围和粉丝授权名单
6. 保存房型设置</x:v>
      </x:c>
      <x:c r="K196" s="5" t="str">
        <x:v>房型设置保存为密码房</x:v>
      </x:c>
      <x:c r="L196" s="5" t="str">
        <x:v>FLOW-LIVE-003</x:v>
      </x:c>
      <x:c r="M196" s="5" t="str">
        <x:v>未测</x:v>
      </x:c>
      <x:c r="N196" s="5" t="str"/>
      <x:c r="O196" s="5" t="str">
        <x:v>1. 来源：context/01-用户主播App-项目需求清单.md
2. 来源：prototype/assets/annotations.js
3. 来源：对应 HTML 静态原型；未动态验证
4. 说明：密码精确长度与字符类型仍以 Q-003 确认为准。
5. 追溯：业务底稿 LIVE-097。
6. 流程：阶段 01：主播保存密码房设置；共同业务对象：密码房场次（数据别名：LIVE-SESSION-P01）。
7. 共同业务对象：同一密码房场次
8. 流程阶段：密码房有效设置
9. 同步追溯：work/liveshow-user-app-all-260901-001/prototype-context-sync-result.json；RSL-0002、RSL-0003
10. 全局证据追溯：work/liveshow-user-app-all-260901-001/global-evidence-scan-result.json；扫描模式 full</x:v>
      </x:c>
    </x:row>
    <x:row r="197" ht="127.5" customHeight="1">
      <x:c r="A197" s="5" t="n">
        <x:v>196</x:v>
      </x:c>
      <x:c r="B197" s="5" t="str">
        <x:v>LIVE-143</x:v>
      </x:c>
      <x:c r="C197" s="5" t="str">
        <x:v>用户App-直播</x:v>
      </x:c>
      <x:c r="D197" s="5" t="str">
        <x:v>开播设置</x:v>
      </x:c>
      <x:c r="E197" s="5" t="str">
        <x:v>功能需求</x:v>
      </x:c>
      <x:c r="F197" s="5" t="str">
        <x:v>P2</x:v>
      </x:c>
      <x:c r="G197" s="5" t="str">
        <x:v>验证开播倒计时结束后的成功提示</x:v>
      </x:c>
      <x:c r="H197" s="5" t="str">
        <x:v>开播成功提示</x:v>
      </x:c>
      <x:c r="I197" s="5" t="str">
        <x:v>1. 主播具备直播权限
2. 已完成有效开播设置</x:v>
      </x:c>
      <x:c r="J197" s="5" t="str">
        <x:v>1. 点击“开始直播”</x:v>
      </x:c>
      <x:c r="K197" s="5" t="str">
        <x:v>倒计时结束后页面提示“已开始直播”</x:v>
      </x:c>
      <x:c r="L197" s="5" t="str">
        <x:v>FLOW-LIVE-001</x:v>
      </x:c>
      <x:c r="M197" s="5" t="str">
        <x:v>未测</x:v>
      </x:c>
      <x:c r="N197" s="5" t="str"/>
      <x:c r="O197" s="5" t="str">
        <x:v>1. 来源：prototype/pages/user/host/start-live-settings.html 动态交互脚本
2. 静态分析已确认事件绑定；未在浏览器动态验证
3. 补充原因：业务结果完整性扫描发现独立反馈观察点未覆盖
4. 共同业务对象：同一直播场次
5. 流程阶段：开播成功提示
6. 同步追溯：work/liveshow-user-app-all-260901-001/prototype-context-sync-result.json；RSL-0002、RSL-0003
7. 全局证据追溯：work/liveshow-user-app-all-260901-001/global-evidence-scan-result.json；扫描模式 full</x:v>
      </x:c>
    </x:row>
    <x:row r="198" ht="103.5" customHeight="1">
      <x:c r="A198" s="5" t="n">
        <x:v>197</x:v>
      </x:c>
      <x:c r="B198" s="5" t="str">
        <x:v>LIVE-144</x:v>
      </x:c>
      <x:c r="C198" s="5" t="str">
        <x:v>用户App-直播</x:v>
      </x:c>
      <x:c r="D198" s="5" t="str">
        <x:v>开播设置</x:v>
      </x:c>
      <x:c r="E198" s="5" t="str">
        <x:v>逻辑校验</x:v>
      </x:c>
      <x:c r="F198" s="5" t="str">
        <x:v>P1</x:v>
      </x:c>
      <x:c r="G198" s="5" t="str">
        <x:v>验证开播设置页的密码输入提示</x:v>
      </x:c>
      <x:c r="H198" s="5" t="str">
        <x:v>开播密码提示</x:v>
      </x:c>
      <x:c r="I198" s="5" t="str">
        <x:v>1. 主播已打开房型设置</x:v>
      </x:c>
      <x:c r="J198" s="5" t="str">
        <x:v>1. 选择“密码房”
2. 查看房间密码输入框</x:v>
      </x:c>
      <x:c r="K198" s="5" t="str">
        <x:v>密码输入框提示“设置 4-12 位密码”</x:v>
      </x:c>
      <x:c r="L198" s="5" t="str"/>
      <x:c r="M198" s="5" t="str">
        <x:v>未测</x:v>
      </x:c>
      <x:c r="N198" s="5" t="str"/>
      <x:c r="O198" s="5" t="str">
        <x:v>1. 来源：context/01-用户主播App-项目需求清单.md（2026-08-29 按原型同步，RSL-0002）
2. 来源：prototype/pages/user/host/start-live-settings.html 与当页交互脚本；未动态验证
3. 同步追溯：work/liveshow-user-app-all-260901-001/prototype-context-sync-result.json；RSL-0002、RSL-0003
4. 全局证据追溯：work/liveshow-user-app-all-260901-001/global-evidence-scan-result.json；扫描模式 full</x:v>
      </x:c>
    </x:row>
    <x:row r="199" ht="103.5" customHeight="1">
      <x:c r="A199" s="5" t="n">
        <x:v>198</x:v>
      </x:c>
      <x:c r="B199" s="5" t="str">
        <x:v>LIVE-145</x:v>
      </x:c>
      <x:c r="C199" s="5" t="str">
        <x:v>用户App-直播</x:v>
      </x:c>
      <x:c r="D199" s="5" t="str">
        <x:v>开播设置</x:v>
      </x:c>
      <x:c r="E199" s="5" t="str">
        <x:v>逻辑校验</x:v>
      </x:c>
      <x:c r="F199" s="5" t="str">
        <x:v>P1</x:v>
      </x:c>
      <x:c r="G199" s="5" t="str">
        <x:v>验证开播设置页的密码输入上限</x:v>
      </x:c>
      <x:c r="H199" s="5" t="str">
        <x:v>开播密码 12 位上限</x:v>
      </x:c>
      <x:c r="I199" s="5" t="str">
        <x:v>1. 主播已选择密码房</x:v>
      </x:c>
      <x:c r="J199" s="5" t="str">
        <x:v>1. 在房间密码输入框输入超过 12 位的内容</x:v>
      </x:c>
      <x:c r="K199" s="5" t="str">
        <x:v>房间密码输入框最多保留 12 位内容</x:v>
      </x:c>
      <x:c r="L199" s="5" t="str"/>
      <x:c r="M199" s="5" t="str">
        <x:v>未测</x:v>
      </x:c>
      <x:c r="N199" s="5" t="str"/>
      <x:c r="O199" s="5" t="str">
        <x:v>1. 来源：context/01-用户主播App-项目需求清单.md（2026-08-29 按原型同步，RSL-0002）
2. 来源：prototype/pages/user/host/start-live-settings.html 与当页交互脚本；未动态验证
3. 同步追溯：work/liveshow-user-app-all-260901-001/prototype-context-sync-result.json；RSL-0002、RSL-0003
4. 全局证据追溯：work/liveshow-user-app-all-260901-001/global-evidence-scan-result.json；扫描模式 full</x:v>
      </x:c>
    </x:row>
    <x:row r="200" ht="79.5" customHeight="1">
      <x:c r="A200" s="5" t="n">
        <x:v>199</x:v>
      </x:c>
      <x:c r="B200" s="5" t="str">
        <x:v>LIVE-146</x:v>
      </x:c>
      <x:c r="C200" s="5" t="str">
        <x:v>用户App-直播</x:v>
      </x:c>
      <x:c r="D200" s="5" t="str">
        <x:v>开播设置</x:v>
      </x:c>
      <x:c r="E200" s="5" t="str">
        <x:v>功能需求</x:v>
      </x:c>
      <x:c r="F200" s="5" t="str">
        <x:v>P2</x:v>
      </x:c>
      <x:c r="G200" s="5" t="str">
        <x:v>验证选择直播封面后的提示</x:v>
      </x:c>
      <x:c r="H200" s="5" t="str">
        <x:v>封面选择提示</x:v>
      </x:c>
      <x:c r="I200" s="5" t="str">
        <x:v>1. 主播已进入开播设置
2. 已准备一张可选择的图片</x:v>
      </x:c>
      <x:c r="J200" s="5" t="str">
        <x:v>1. 选择该图片作为直播封面</x:v>
      </x:c>
      <x:c r="K200" s="5" t="str">
        <x:v>页面提示“已选择封面：【文件名】”</x:v>
      </x:c>
      <x:c r="L200" s="5" t="str"/>
      <x:c r="M200" s="5" t="str">
        <x:v>未测</x:v>
      </x:c>
      <x:c r="N200" s="5" t="str"/>
      <x:c r="O200" s="5" t="str">
        <x:v>1. 来源：prototype/pages/user/host/start-live-settings.html 与当页交互脚本；未动态验证
2. 同步追溯：work/liveshow-user-app-all-260901-001/prototype-context-sync-result.json；RSL-0002、RSL-0003
3. 全局证据追溯：work/liveshow-user-app-all-260901-001/global-evidence-scan-result.json；扫描模式 full</x:v>
      </x:c>
    </x:row>
    <x:row r="201" ht="115.5" customHeight="1">
      <x:c r="A201" s="5" t="n">
        <x:v>200</x:v>
      </x:c>
      <x:c r="B201" s="5" t="str">
        <x:v>LIVE-147</x:v>
      </x:c>
      <x:c r="C201" s="5" t="str">
        <x:v>用户App-直播</x:v>
      </x:c>
      <x:c r="D201" s="5" t="str">
        <x:v>开播设置</x:v>
      </x:c>
      <x:c r="E201" s="5" t="str">
        <x:v>功能需求</x:v>
      </x:c>
      <x:c r="F201" s="5" t="str">
        <x:v>P2</x:v>
      </x:c>
      <x:c r="G201" s="5" t="str">
        <x:v>验证重置美颜后清除选中项</x:v>
      </x:c>
      <x:c r="H201" s="5" t="str">
        <x:v>美颜选中项重置</x:v>
      </x:c>
      <x:c r="I201" s="5" t="str">
        <x:v>1. 美颜和美型均已选择调整项</x:v>
      </x:c>
      <x:c r="J201" s="5" t="str">
        <x:v>1. 点击“重置”</x:v>
      </x:c>
      <x:c r="K201" s="5" t="str">
        <x:v>美颜和美型的当前选中项均被清除</x:v>
      </x:c>
      <x:c r="L201" s="5" t="str"/>
      <x:c r="M201" s="5" t="str">
        <x:v>未测</x:v>
      </x:c>
      <x:c r="N201" s="5" t="str"/>
      <x:c r="O201" s="5" t="str">
        <x:v>1. 来源：context/01-用户主播App-项目需求清单.md（2026-08-29 按原型同步，RSL-0002）
2. 来源：prototype/assets/annotations.js
3. 来源：prototype/pages/user/host/start-live-settings.html 与当页交互脚本；未动态验证
4. 同步追溯：work/liveshow-user-app-all-260901-001/prototype-context-sync-result.json；RSL-0002、RSL-0003
5. 全局证据追溯：work/liveshow-user-app-all-260901-001/global-evidence-scan-result.json；扫描模式 full</x:v>
      </x:c>
    </x:row>
    <x:row r="202" ht="103.5" customHeight="1">
      <x:c r="A202" s="5" t="n">
        <x:v>201</x:v>
      </x:c>
      <x:c r="B202" s="5" t="str">
        <x:v>LIVE-148</x:v>
      </x:c>
      <x:c r="C202" s="5" t="str">
        <x:v>用户App-直播</x:v>
      </x:c>
      <x:c r="D202" s="5" t="str">
        <x:v>开播设置</x:v>
      </x:c>
      <x:c r="E202" s="5" t="str">
        <x:v>业务流程</x:v>
      </x:c>
      <x:c r="F202" s="5" t="str">
        <x:v>P1</x:v>
      </x:c>
      <x:c r="G202" s="5" t="str">
        <x:v>验证点击开始直播后进入三秒倒计时</x:v>
      </x:c>
      <x:c r="H202" s="5" t="str">
        <x:v>开播三秒倒计时</x:v>
      </x:c>
      <x:c r="I202" s="5" t="str">
        <x:v>1. 开播设置已填写可保存的内容</x:v>
      </x:c>
      <x:c r="J202" s="5" t="str">
        <x:v>1. 点击“开始直播”</x:v>
      </x:c>
      <x:c r="K202" s="5" t="str">
        <x:v>开播遮罩首先显示数字 3 和“准备开播”</x:v>
      </x:c>
      <x:c r="L202" s="5" t="str"/>
      <x:c r="M202" s="5" t="str">
        <x:v>未测</x:v>
      </x:c>
      <x:c r="N202" s="5" t="str"/>
      <x:c r="O202" s="5" t="str">
        <x:v>1. 来源：context/01-用户主播App-项目需求清单.md（2026-08-29 按原型同步，RSL-0002）
2. 来源：prototype/pages/user/host/start-live-settings.html 与当页交互脚本；未动态验证
3. 同步追溯：work/liveshow-user-app-all-260901-001/prototype-context-sync-result.json；RSL-0002、RSL-0003
4. 全局证据追溯：work/liveshow-user-app-all-260901-001/global-evidence-scan-result.json；扫描模式 full</x:v>
      </x:c>
    </x:row>
    <x:row r="203" ht="103.5" customHeight="1">
      <x:c r="A203" s="5" t="n">
        <x:v>202</x:v>
      </x:c>
      <x:c r="B203" s="5" t="str">
        <x:v>LIVE-149</x:v>
      </x:c>
      <x:c r="C203" s="5" t="str">
        <x:v>用户App-直播</x:v>
      </x:c>
      <x:c r="D203" s="5" t="str">
        <x:v>开播设置</x:v>
      </x:c>
      <x:c r="E203" s="5" t="str">
        <x:v>功能需求</x:v>
      </x:c>
      <x:c r="F203" s="5" t="str">
        <x:v>P1</x:v>
      </x:c>
      <x:c r="G203" s="5" t="str">
        <x:v>验证开播倒计时结束后显示进房入口</x:v>
      </x:c>
      <x:c r="H203" s="5" t="str">
        <x:v>倒计时后进房入口</x:v>
      </x:c>
      <x:c r="I203" s="5" t="str">
        <x:v>1. 开播三秒倒计时已开始</x:v>
      </x:c>
      <x:c r="J203" s="5" t="str">
        <x:v>1. 等待倒计时结束</x:v>
      </x:c>
      <x:c r="K203" s="5" t="str">
        <x:v>页面显示“进入直播间”按钮</x:v>
      </x:c>
      <x:c r="L203" s="5" t="str"/>
      <x:c r="M203" s="5" t="str">
        <x:v>未测</x:v>
      </x:c>
      <x:c r="N203" s="5" t="str"/>
      <x:c r="O203" s="5" t="str">
        <x:v>1. 来源：context/01-用户主播App-项目需求清单.md（2026-08-29 按原型同步，RSL-0002）
2. 来源：prototype/pages/user/host/start-live-settings.html 与当页交互脚本；未动态验证
3. 同步追溯：work/liveshow-user-app-all-260901-001/prototype-context-sync-result.json；RSL-0002、RSL-0003
4. 全局证据追溯：work/liveshow-user-app-all-260901-001/global-evidence-scan-result.json；扫描模式 full</x:v>
      </x:c>
    </x:row>
    <x:row r="204" ht="103.5" customHeight="1">
      <x:c r="A204" s="5" t="n">
        <x:v>203</x:v>
      </x:c>
      <x:c r="B204" s="5" t="str">
        <x:v>LIVE-150</x:v>
      </x:c>
      <x:c r="C204" s="5" t="str">
        <x:v>用户App-直播</x:v>
      </x:c>
      <x:c r="D204" s="5" t="str">
        <x:v>开播设置</x:v>
      </x:c>
      <x:c r="E204" s="5" t="str">
        <x:v>业务流程</x:v>
      </x:c>
      <x:c r="F204" s="5" t="str">
        <x:v>P0</x:v>
      </x:c>
      <x:c r="G204" s="5" t="str">
        <x:v>验证主播从开播结果进入直播间</x:v>
      </x:c>
      <x:c r="H204" s="5" t="str">
        <x:v>开播后进入主播房</x:v>
      </x:c>
      <x:c r="I204" s="5" t="str">
        <x:v>1. 倒计时已结束
2. 页面已显示“进入直播间”按钮</x:v>
      </x:c>
      <x:c r="J204" s="5" t="str">
        <x:v>1. 点击“进入直播间”</x:v>
      </x:c>
      <x:c r="K204" s="5" t="str">
        <x:v>页面进入主播直播间</x:v>
      </x:c>
      <x:c r="L204" s="5" t="str"/>
      <x:c r="M204" s="5" t="str">
        <x:v>未测</x:v>
      </x:c>
      <x:c r="N204" s="5" t="str"/>
      <x:c r="O204" s="5" t="str">
        <x:v>1. 来源：context/01-用户主播App-项目需求清单.md（2026-08-29 按原型同步，RSL-0002）
2. 来源：prototype/pages/user/host/start-live-settings.html 与当页交互脚本；未动态验证
3. 同步追溯：work/liveshow-user-app-all-260901-001/prototype-context-sync-result.json；RSL-0002、RSL-0003
4. 全局证据追溯：work/liveshow-user-app-all-260901-001/global-evidence-scan-result.json；扫描模式 full</x:v>
      </x:c>
    </x:row>
    <x:row r="205" ht="115.5" customHeight="1">
      <x:c r="A205" s="5" t="n">
        <x:v>204</x:v>
      </x:c>
      <x:c r="B205" s="5" t="str">
        <x:v>LIVE-151</x:v>
      </x:c>
      <x:c r="C205" s="5" t="str">
        <x:v>用户App-直播</x:v>
      </x:c>
      <x:c r="D205" s="5" t="str">
        <x:v>开播设置</x:v>
      </x:c>
      <x:c r="E205" s="5" t="str">
        <x:v>逻辑校验</x:v>
      </x:c>
      <x:c r="F205" s="5" t="str">
        <x:v>P1</x:v>
      </x:c>
      <x:c r="G205" s="5" t="str">
        <x:v>验证全空格直播标题触发必填提示</x:v>
      </x:c>
      <x:c r="H205" s="5" t="str">
        <x:v>全空格标题必填</x:v>
      </x:c>
      <x:c r="I205" s="5" t="str">
        <x:v>1. 主播已进入开播设置</x:v>
      </x:c>
      <x:c r="J205" s="5" t="str">
        <x:v>1. 将直播标题填写为全空格
2. 点击“保存”</x:v>
      </x:c>
      <x:c r="K205" s="5" t="str">
        <x:v>页面提示“请设置直播标题”</x:v>
      </x:c>
      <x:c r="L205" s="5" t="str"/>
      <x:c r="M205" s="5" t="str">
        <x:v>未测</x:v>
      </x:c>
      <x:c r="N205" s="5" t="str"/>
      <x:c r="O205"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同步追溯：work/liveshow-user-app-all-260901-001/prototype-context-sync-result.json；RSL-0002、RSL-0003
5. 全局证据追溯：work/liveshow-user-app-all-260901-001/global-evidence-scan-result.json；扫描模式 full</x:v>
      </x:c>
    </x:row>
    <x:row r="206" ht="115.5" customHeight="1">
      <x:c r="A206" s="5" t="n">
        <x:v>205</x:v>
      </x:c>
      <x:c r="B206" s="5" t="str">
        <x:v>LIVE-152</x:v>
      </x:c>
      <x:c r="C206" s="5" t="str">
        <x:v>用户App-直播</x:v>
      </x:c>
      <x:c r="D206" s="5" t="str">
        <x:v>开播设置</x:v>
      </x:c>
      <x:c r="E206" s="5" t="str">
        <x:v>逻辑校验</x:v>
      </x:c>
      <x:c r="F206" s="5" t="str">
        <x:v>P1</x:v>
      </x:c>
      <x:c r="G206" s="5" t="str">
        <x:v>验证空直播标题不写入开播设置</x:v>
      </x:c>
      <x:c r="H206" s="5" t="str">
        <x:v>空标题保存拦截</x:v>
      </x:c>
      <x:c r="I206" s="5" t="str">
        <x:v>1. 主播已打开直播标题编辑</x:v>
      </x:c>
      <x:c r="J206" s="5" t="str">
        <x:v>1. 清空标题
2. 点击“保存”</x:v>
      </x:c>
      <x:c r="K206" s="5" t="str">
        <x:v>开播设置页不回显空标题为已保存主题</x:v>
      </x:c>
      <x:c r="L206" s="5" t="str"/>
      <x:c r="M206" s="5" t="str">
        <x:v>未测</x:v>
      </x:c>
      <x:c r="N206" s="5" t="str"/>
      <x:c r="O206"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同步追溯：work/liveshow-user-app-all-260901-001/prototype-context-sync-result.json；RSL-0002、RSL-0003
5. 全局证据追溯：work/liveshow-user-app-all-260901-001/global-evidence-scan-result.json；扫描模式 full</x:v>
      </x:c>
    </x:row>
    <x:row r="207" ht="115.5" customHeight="1">
      <x:c r="A207" s="5" t="n">
        <x:v>206</x:v>
      </x:c>
      <x:c r="B207" s="5" t="str">
        <x:v>LIVE-153</x:v>
      </x:c>
      <x:c r="C207" s="5" t="str">
        <x:v>用户App-直播</x:v>
      </x:c>
      <x:c r="D207" s="5" t="str">
        <x:v>开播设置</x:v>
      </x:c>
      <x:c r="E207" s="5" t="str">
        <x:v>逻辑校验</x:v>
      </x:c>
      <x:c r="F207" s="5" t="str">
        <x:v>P1</x:v>
      </x:c>
      <x:c r="G207" s="5" t="str">
        <x:v>验证全空格直播标题不写入开播设置</x:v>
      </x:c>
      <x:c r="H207" s="5" t="str">
        <x:v>全空格标题保存拦截</x:v>
      </x:c>
      <x:c r="I207" s="5" t="str">
        <x:v>1. 主播已打开直播标题编辑</x:v>
      </x:c>
      <x:c r="J207" s="5" t="str">
        <x:v>1. 将直播标题填写为全空格
2. 点击“保存”</x:v>
      </x:c>
      <x:c r="K207" s="5" t="str">
        <x:v>开播设置页不回显全空格标题为已保存主题</x:v>
      </x:c>
      <x:c r="L207" s="5" t="str"/>
      <x:c r="M207" s="5" t="str">
        <x:v>未测</x:v>
      </x:c>
      <x:c r="N207" s="5" t="str"/>
      <x:c r="O207" s="5" t="str">
        <x:v>1. 来源：context/01-用户主播App-项目需求清单.md（2026-08-29 按原型同步，RSL-0002）
2. 来源：prototype/pages/user/host/start-live-settings.html 与当页交互脚本；未动态验证
3. 质量修正：按 RCL-0018 执行最小前置条件和单分支检查
4. 同步追溯：work/liveshow-user-app-all-260901-001/prototype-context-sync-result.json；RSL-0002、RSL-0003
5. 全局证据追溯：work/liveshow-user-app-all-260901-001/global-evidence-scan-result.json；扫描模式 full</x:v>
      </x:c>
    </x:row>
    <x:row r="208" ht="103.5" customHeight="1">
      <x:c r="A208" s="5" t="n">
        <x:v>207</x:v>
      </x:c>
      <x:c r="B208" s="5" t="str">
        <x:v>LIVE-154</x:v>
      </x:c>
      <x:c r="C208" s="5" t="str">
        <x:v>用户App-直播</x:v>
      </x:c>
      <x:c r="D208" s="5" t="str">
        <x:v>开播设置</x:v>
      </x:c>
      <x:c r="E208" s="5" t="str">
        <x:v>功能需求</x:v>
      </x:c>
      <x:c r="F208" s="5" t="str">
        <x:v>P1</x:v>
      </x:c>
      <x:c r="G208" s="5" t="str">
        <x:v>验证门票房价格保存后回显</x:v>
      </x:c>
      <x:c r="H208" s="5" t="str">
        <x:v>门票房价格回显</x:v>
      </x:c>
      <x:c r="I208" s="5" t="str">
        <x:v>1. 主播已保存价格为 10 金币的门票房设置</x:v>
      </x:c>
      <x:c r="J208" s="5" t="str">
        <x:v>1. 再次打开房型设置</x:v>
      </x:c>
      <x:c r="K208" s="5" t="str">
        <x:v>门票价格回显为 10 金币</x:v>
      </x:c>
      <x:c r="L208" s="5" t="str"/>
      <x:c r="M208" s="5" t="str">
        <x:v>未测</x:v>
      </x:c>
      <x:c r="N208" s="5" t="str"/>
      <x:c r="O208" s="5" t="str">
        <x:v>1. 来源：context/01-用户主播App-项目需求清单.md（2026-08-29 按原型同步，RSL-0002）
2. 来源：prototype/pages/user/host/start-live-settings.html 与当页交互脚本；未动态验证
3. 同步追溯：work/liveshow-user-app-all-260901-001/prototype-context-sync-result.json；RSL-0002、RSL-0003
4. 全局证据追溯：work/liveshow-user-app-all-260901-001/global-evidence-scan-result.json；扫描模式 full</x:v>
      </x:c>
    </x:row>
    <x:row r="209" ht="103.5" customHeight="1">
      <x:c r="A209" s="5" t="n">
        <x:v>208</x:v>
      </x:c>
      <x:c r="B209" s="5" t="str">
        <x:v>LIVE-155</x:v>
      </x:c>
      <x:c r="C209" s="5" t="str">
        <x:v>用户App-直播</x:v>
      </x:c>
      <x:c r="D209" s="5" t="str">
        <x:v>开播设置</x:v>
      </x:c>
      <x:c r="E209" s="5" t="str">
        <x:v>功能需求</x:v>
      </x:c>
      <x:c r="F209" s="5" t="str">
        <x:v>P1</x:v>
      </x:c>
      <x:c r="G209" s="5" t="str">
        <x:v>验证密码房可见范围保存后回显</x:v>
      </x:c>
      <x:c r="H209" s="5" t="str">
        <x:v>密码房可见范围回显</x:v>
      </x:c>
      <x:c r="I209" s="5" t="str">
        <x:v>1. 主播已保存密码房的广场展示和粉丝授权设置</x:v>
      </x:c>
      <x:c r="J209" s="5" t="str">
        <x:v>1. 再次打开房型设置</x:v>
      </x:c>
      <x:c r="K209" s="5" t="str">
        <x:v>页面回显上次保存的密码房可见范围</x:v>
      </x:c>
      <x:c r="L209" s="5" t="str"/>
      <x:c r="M209" s="5" t="str">
        <x:v>未测</x:v>
      </x:c>
      <x:c r="N209" s="5" t="str"/>
      <x:c r="O209" s="5" t="str">
        <x:v>1. 来源：context/01-用户主播App-项目需求清单.md（2026-08-29 按原型同步，RSL-0002）
2. 来源：prototype/pages/user/host/start-live-settings.html 与当页交互脚本；未动态验证
3. 同步追溯：work/liveshow-user-app-all-260901-001/prototype-context-sync-result.json；RSL-0002、RSL-0003
4. 全局证据追溯：work/liveshow-user-app-all-260901-001/global-evidence-scan-result.json；扫描模式 full</x:v>
      </x:c>
    </x:row>
    <x:row r="210" ht="139.5" customHeight="1">
      <x:c r="A210" s="5" t="n">
        <x:v>209</x:v>
      </x:c>
      <x:c r="B210" s="5" t="str">
        <x:v>LIVE-156</x:v>
      </x:c>
      <x:c r="C210" s="5" t="str">
        <x:v>用户App-直播</x:v>
      </x:c>
      <x:c r="D210" s="5" t="str">
        <x:v>开播控制</x:v>
      </x:c>
      <x:c r="E210" s="5" t="str">
        <x:v>业务流程</x:v>
      </x:c>
      <x:c r="F210" s="5" t="str">
        <x:v>P1</x:v>
      </x:c>
      <x:c r="G210" s="5" t="str">
        <x:v>验证开播成功后直播场次进入直播广场</x:v>
      </x:c>
      <x:c r="H210" s="5" t="str">
        <x:v>开播后的广场入口</x:v>
      </x:c>
      <x:c r="I210" s="5" t="str">
        <x:v>1. 主播已成功创建一场进行中的直播
2. 直播标题、封面、分类和房型已保存</x:v>
      </x:c>
      <x:c r="J210" s="5" t="str">
        <x:v>1. 由另一名用户刷新直播广场
2. 查找该主播的直播场次</x:v>
      </x:c>
      <x:c r="K210" s="5" t="str">
        <x:v>开播成功后直播广场出现本场观看入口，卡片的主播、标题、封面、分类和房型与开播设置一致</x:v>
      </x:c>
      <x:c r="L210" s="5" t="str">
        <x:v>FLOW-LIVE-001</x:v>
      </x:c>
      <x:c r="M210" s="5" t="str">
        <x:v>未测</x:v>
      </x:c>
      <x:c r="N210" s="5" t="str"/>
      <x:c r="O210" s="5" t="str">
        <x:v>1. 来源：context/01-用户主播App-项目需求清单.md
2. 来源：context/系统概要 .md（当前全局业务规则）
3. 追溯：业务底稿 LIVE-061。
4. 流程：阶段 02：直播广场出现观看入口；共同业务对象：普通直播场次（数据别名：LIVE-SESSION-N01）。
5. 共同业务对象：同一直播场次
6. 流程阶段：开播后的广场入口
7. 同步追溯：work/liveshow-user-app-all-260901-001/prototype-context-sync-result.json；RSL-0002、RSL-0003
8. 全局证据追溯：work/liveshow-user-app-all-260901-001/global-evidence-scan-result.json；扫描模式 full</x:v>
      </x:c>
    </x:row>
    <x:row r="211" ht="91.5" customHeight="1">
      <x:c r="A211" s="5" t="n">
        <x:v>210</x:v>
      </x:c>
      <x:c r="B211" s="5" t="str">
        <x:v>LIVE-157</x:v>
      </x:c>
      <x:c r="C211" s="5" t="str">
        <x:v>用户App-直播</x:v>
      </x:c>
      <x:c r="D211" s="5" t="str">
        <x:v>开播控制</x:v>
      </x:c>
      <x:c r="E211" s="5" t="str">
        <x:v>业务流程</x:v>
      </x:c>
      <x:c r="F211" s="5" t="str">
        <x:v>P1</x:v>
      </x:c>
      <x:c r="G211" s="5" t="str">
        <x:v>验证开播成功后向关注用户发送提醒</x:v>
      </x:c>
      <x:c r="H211" s="5" t="str">
        <x:v>关注用户开播提醒</x:v>
      </x:c>
      <x:c r="I211" s="5" t="str">
        <x:v>1. 用户 A 已关注目标主播并允许接收开播提醒
2. 用户 B 未关注目标主播
3. 目标主播尚未开播</x:v>
      </x:c>
      <x:c r="J211" s="5" t="str">
        <x:v>1. 目标主播成功开始直播
2. 分别查看用户 A 和用户 B 的通知</x:v>
      </x:c>
      <x:c r="K211" s="5" t="str">
        <x:v>仅已关注目标主播的用户 A 收到本场开播提醒，未关注的用户 B 不收到该提醒</x:v>
      </x:c>
      <x:c r="L211" s="5" t="str"/>
      <x:c r="M211" s="5" t="str">
        <x:v>未测</x:v>
      </x:c>
      <x:c r="N211" s="5" t="str"/>
      <x:c r="O211" s="5" t="str">
        <x:v>1. 来源：context/01-用户主播App-项目需求清单.md
2. 来源：context/系统概要 .md（当前全局业务规则）
3. 追溯：业务底稿 LIVE-062。
4. 同步追溯：work/liveshow-user-app-all-260901-001/prototype-context-sync-result.json；RSL-0002、RSL-0003
5. 全局证据追溯：work/liveshow-user-app-all-260901-001/global-evidence-scan-result.json；扫描模式 full</x:v>
      </x:c>
    </x:row>
    <x:row r="212" ht="103.5" customHeight="1">
      <x:c r="A212" s="5" t="n">
        <x:v>211</x:v>
      </x:c>
      <x:c r="B212" s="5" t="str">
        <x:v>LIVE-158</x:v>
      </x:c>
      <x:c r="C212" s="5" t="str">
        <x:v>用户App-直播</x:v>
      </x:c>
      <x:c r="D212" s="5" t="str">
        <x:v>主播直播间</x:v>
      </x:c>
      <x:c r="E212" s="5" t="str">
        <x:v>功能需求</x:v>
      </x:c>
      <x:c r="F212" s="5" t="str">
        <x:v>P1</x:v>
      </x:c>
      <x:c r="G212" s="5" t="str">
        <x:v>验证主播查看在线用户经营标识</x:v>
      </x:c>
      <x:c r="H212" s="5" t="str">
        <x:v>在线用户身份标识</x:v>
      </x:c>
      <x:c r="I212" s="5" t="str">
        <x:v>1. 主播正在直播
2. 在线用户覆盖新用户、老粉、粉丝团成员、高贡献用户、财富等级用户和受限用户</x:v>
      </x:c>
      <x:c r="J212" s="5" t="str">
        <x:v>1. 点击在线观众入口
2. 查看各类用户资料</x:v>
      </x:c>
      <x:c r="K212" s="5" t="str">
        <x:v>在线用户列表按实际用户状态展示新用户、关注或老粉、粉丝团、贡献、财富等级和限制标识</x:v>
      </x:c>
      <x:c r="L212" s="5" t="str"/>
      <x:c r="M212" s="5" t="str">
        <x:v>未测</x:v>
      </x:c>
      <x:c r="N212" s="5" t="str"/>
      <x:c r="O212" s="5" t="str">
        <x:v>1. 来源：context/01-用户主播App-项目需求清单.md
2. 来源：context/系统概要 .md（当前全局业务规则）
3. 来源：prototype/assets/annotations.js
4. 追溯：业务底稿 LIVE-064。
5. 同步追溯：work/liveshow-user-app-all-260901-001/prototype-context-sync-result.json；RSL-0002、RSL-0003
6. 全局证据追溯：work/liveshow-user-app-all-260901-001/global-evidence-scan-result.json；扫描模式 full</x:v>
      </x:c>
    </x:row>
    <x:row r="213" ht="91.5" customHeight="1">
      <x:c r="A213" s="5" t="n">
        <x:v>212</x:v>
      </x:c>
      <x:c r="B213" s="5" t="str">
        <x:v>LIVE-159</x:v>
      </x:c>
      <x:c r="C213" s="5" t="str">
        <x:v>用户App-直播</x:v>
      </x:c>
      <x:c r="D213" s="5" t="str">
        <x:v>主播直播间</x:v>
      </x:c>
      <x:c r="E213" s="5" t="str">
        <x:v>逻辑校验</x:v>
      </x:c>
      <x:c r="F213" s="5" t="str">
        <x:v>P1</x:v>
      </x:c>
      <x:c r="G213" s="5" t="str">
        <x:v>验证普通礼物计入本场收礼</x:v>
      </x:c>
      <x:c r="H213" s="5" t="str">
        <x:v>本场收礼金额</x:v>
      </x:c>
      <x:c r="I213" s="5" t="str">
        <x:v>1. 主播本场初始普通礼物收益为 500 金币
2. 观众随后赠送价值 100 金币的普通礼物
3. 无其他收益变动</x:v>
      </x:c>
      <x:c r="J213" s="5" t="str">
        <x:v>1. 记录本场收礼值
2. 观众赠送 100 金币普通礼物
3. 查看本场收礼</x:v>
      </x:c>
      <x:c r="K213" s="5" t="str">
        <x:v>本场普通礼物收礼增加 100 金币</x:v>
      </x:c>
      <x:c r="L213" s="5" t="str"/>
      <x:c r="M213" s="5" t="str">
        <x:v>未测</x:v>
      </x:c>
      <x:c r="N213" s="5" t="str"/>
      <x:c r="O213" s="5" t="str">
        <x:v>1. 来源：context/01-用户主播App-项目需求清单.md
2. 来源：context/系统概要 .md（当前全局业务规则）
3. 追溯：业务底稿 LIVE-065。
4. 同步追溯：work/liveshow-user-app-all-260901-001/prototype-context-sync-result.json；RSL-0002、RSL-0003
5. 全局证据追溯：work/liveshow-user-app-all-260901-001/global-evidence-scan-result.json；扫描模式 full</x:v>
      </x:c>
    </x:row>
    <x:row r="214" ht="91.5" customHeight="1">
      <x:c r="A214" s="5" t="n">
        <x:v>213</x:v>
      </x:c>
      <x:c r="B214" s="5" t="str">
        <x:v>LIVE-160</x:v>
      </x:c>
      <x:c r="C214" s="5" t="str">
        <x:v>用户App-直播</x:v>
      </x:c>
      <x:c r="D214" s="5" t="str">
        <x:v>主播直播间</x:v>
      </x:c>
      <x:c r="E214" s="5" t="str">
        <x:v>逻辑校验</x:v>
      </x:c>
      <x:c r="F214" s="5" t="str">
        <x:v>P1</x:v>
      </x:c>
      <x:c r="G214" s="5" t="str">
        <x:v>验证普通礼物计入实时收益</x:v>
      </x:c>
      <x:c r="H214" s="5" t="str">
        <x:v>实时收益金额</x:v>
      </x:c>
      <x:c r="I214" s="5" t="str">
        <x:v>1. 主播本场初始普通礼物收益为 500 金币
2. 观众随后赠送价值 100 金币的普通礼物
3. 无其他收益变动</x:v>
      </x:c>
      <x:c r="J214" s="5" t="str">
        <x:v>1. 记录主播实时收益 500 金币
2. 观众赠送 100 金币普通礼物
3. 查看实时收益</x:v>
      </x:c>
      <x:c r="K214" s="5" t="str">
        <x:v>实时收益 = 500 + 100 = 600 金币</x:v>
      </x:c>
      <x:c r="L214" s="5" t="str"/>
      <x:c r="M214" s="5" t="str">
        <x:v>未测</x:v>
      </x:c>
      <x:c r="N214" s="5" t="str"/>
      <x:c r="O214" s="5" t="str">
        <x:v>1. 来源：context/01-用户主播App-项目需求清单.md
2. 来源：context/系统概要 .md（当前全局业务规则）
3. 追溯：业务底稿 LIVE-065。
4. 同步追溯：work/liveshow-user-app-all-260901-001/prototype-context-sync-result.json；RSL-0002、RSL-0003
5. 全局证据追溯：work/liveshow-user-app-all-260901-001/global-evidence-scan-result.json；扫描模式 full</x:v>
      </x:c>
    </x:row>
    <x:row r="215" ht="91.5" customHeight="1">
      <x:c r="A215" s="5" t="n">
        <x:v>214</x:v>
      </x:c>
      <x:c r="B215" s="5" t="str">
        <x:v>LIVE-161</x:v>
      </x:c>
      <x:c r="C215" s="5" t="str">
        <x:v>用户App-直播</x:v>
      </x:c>
      <x:c r="D215" s="5" t="str">
        <x:v>主播直播间</x:v>
      </x:c>
      <x:c r="E215" s="5" t="str">
        <x:v>逻辑校验</x:v>
      </x:c>
      <x:c r="F215" s="5" t="str">
        <x:v>P1</x:v>
      </x:c>
      <x:c r="G215" s="5" t="str">
        <x:v>验证礼物消费和收益流水关联</x:v>
      </x:c>
      <x:c r="H215" s="5" t="str">
        <x:v>消费收益流水关联</x:v>
      </x:c>
      <x:c r="I215" s="5" t="str">
        <x:v>1. 主播本场初始普通礼物收益为 500 金币
2. 观众随后赠送价值 100 金币的普通礼物
3. 无其他收益变动</x:v>
      </x:c>
      <x:c r="J215" s="5" t="str">
        <x:v>1. 观众赠送 100 金币普通礼物
2. 分别查看消费流水和收益流水</x:v>
      </x:c>
      <x:c r="K215" s="5" t="str">
        <x:v>消费流水和收益流水使用同一直播场次标识</x:v>
      </x:c>
      <x:c r="L215" s="5" t="str"/>
      <x:c r="M215" s="5" t="str">
        <x:v>未测</x:v>
      </x:c>
      <x:c r="N215" s="5" t="str"/>
      <x:c r="O215" s="5" t="str">
        <x:v>1. 来源：context/01-用户主播App-项目需求清单.md
2. 来源：context/系统概要 .md（当前全局业务规则）
3. 追溯：业务底稿 LIVE-065。
4. 同步追溯：work/liveshow-user-app-all-260901-001/prototype-context-sync-result.json；RSL-0002、RSL-0003
5. 全局证据追溯：work/liveshow-user-app-all-260901-001/global-evidence-scan-result.json；扫描模式 full</x:v>
      </x:c>
    </x:row>
    <x:row r="216" ht="91.5" customHeight="1">
      <x:c r="A216" s="5" t="n">
        <x:v>215</x:v>
      </x:c>
      <x:c r="B216" s="5" t="str">
        <x:v>LIVE-162</x:v>
      </x:c>
      <x:c r="C216" s="5" t="str">
        <x:v>用户App-直播</x:v>
      </x:c>
      <x:c r="D216" s="5" t="str">
        <x:v>主播直播间</x:v>
      </x:c>
      <x:c r="E216" s="5" t="str">
        <x:v>功能需求</x:v>
      </x:c>
      <x:c r="F216" s="5" t="str">
        <x:v>P2</x:v>
      </x:c>
      <x:c r="G216" s="5" t="str">
        <x:v>验证在线观众按贡献排序</x:v>
      </x:c>
      <x:c r="H216" s="5" t="str">
        <x:v>观众贡献排序</x:v>
      </x:c>
      <x:c r="I216" s="5" t="str">
        <x:v>1. 主播正在直播
2. 至少三名在线用户具有不同贡献和停留时长</x:v>
      </x:c>
      <x:c r="J216" s="5" t="str">
        <x:v>1. 打开在线观众
2. 选择按贡献排序</x:v>
      </x:c>
      <x:c r="K216" s="5" t="str">
        <x:v>按贡献排序时列表顺序依据本场贡献值</x:v>
      </x:c>
      <x:c r="L216" s="5" t="str"/>
      <x:c r="M216" s="5" t="str">
        <x:v>未测</x:v>
      </x:c>
      <x:c r="N216" s="5" t="str"/>
      <x:c r="O216" s="5" t="str">
        <x:v>1. 来源：prototype/assets/annotations.js
2. 来源：对应 HTML 静态原型；未动态验证
3. 追溯：业务底稿 LIVE-066。
4. 同步追溯：work/liveshow-user-app-all-260901-001/prototype-context-sync-result.json；RSL-0002、RSL-0003
5. 全局证据追溯：work/liveshow-user-app-all-260901-001/global-evidence-scan-result.json；扫描模式 full</x:v>
      </x:c>
    </x:row>
    <x:row r="217" ht="91.5" customHeight="1">
      <x:c r="A217" s="5" t="n">
        <x:v>216</x:v>
      </x:c>
      <x:c r="B217" s="5" t="str">
        <x:v>LIVE-163</x:v>
      </x:c>
      <x:c r="C217" s="5" t="str">
        <x:v>用户App-直播</x:v>
      </x:c>
      <x:c r="D217" s="5" t="str">
        <x:v>主播直播间</x:v>
      </x:c>
      <x:c r="E217" s="5" t="str">
        <x:v>功能需求</x:v>
      </x:c>
      <x:c r="F217" s="5" t="str">
        <x:v>P2</x:v>
      </x:c>
      <x:c r="G217" s="5" t="str">
        <x:v>验证在线观众按停留时长排序</x:v>
      </x:c>
      <x:c r="H217" s="5" t="str">
        <x:v>观众停留时长排序</x:v>
      </x:c>
      <x:c r="I217" s="5" t="str">
        <x:v>1. 主播正在直播
2. 至少三名在线用户具有不同贡献和停留时长</x:v>
      </x:c>
      <x:c r="J217" s="5" t="str">
        <x:v>1. 打开在线观众
2. 选择按停留时长排序</x:v>
      </x:c>
      <x:c r="K217" s="5" t="str">
        <x:v>按停留时长排序时列表顺序依据本场停留时长</x:v>
      </x:c>
      <x:c r="L217" s="5" t="str"/>
      <x:c r="M217" s="5" t="str">
        <x:v>未测</x:v>
      </x:c>
      <x:c r="N217" s="5" t="str"/>
      <x:c r="O217" s="5" t="str">
        <x:v>1. 来源：prototype/assets/annotations.js
2. 来源：对应 HTML 静态原型；未动态验证
3. 追溯：业务底稿 LIVE-066。
4. 同步追溯：work/liveshow-user-app-all-260901-001/prototype-context-sync-result.json；RSL-0002、RSL-0003
5. 全局证据追溯：work/liveshow-user-app-all-260901-001/global-evidence-scan-result.json；扫描模式 full</x:v>
      </x:c>
    </x:row>
    <x:row r="218" ht="103.5" customHeight="1">
      <x:c r="A218" s="5" t="n">
        <x:v>217</x:v>
      </x:c>
      <x:c r="B218" s="5" t="str">
        <x:v>LIVE-164</x:v>
      </x:c>
      <x:c r="C218" s="5" t="str">
        <x:v>用户App-直播</x:v>
      </x:c>
      <x:c r="D218" s="5" t="str">
        <x:v>主播直播间</x:v>
      </x:c>
      <x:c r="E218" s="5" t="str">
        <x:v>功能需求</x:v>
      </x:c>
      <x:c r="F218" s="5" t="str">
        <x:v>P2</x:v>
      </x:c>
      <x:c r="G218" s="5" t="str">
        <x:v>验证主播从用户卡发送 @ 欢迎</x:v>
      </x:c>
      <x:c r="H218" s="5" t="str">
        <x:v>@欢迎用户</x:v>
      </x:c>
      <x:c r="I218" s="5" t="str">
        <x:v>1. 主播正在直播
2. 目标用户在线且可接收公屏消息</x:v>
      </x:c>
      <x:c r="J218" s="5" t="str">
        <x:v>1. 打开目标用户资料卡
2. 点击“@Ta”
3. 填写欢迎内容并发送</x:v>
      </x:c>
      <x:c r="K218" s="5" t="str">
        <x:v>公屏新增由当前主播发送且包含目标用户标识的欢迎消息</x:v>
      </x:c>
      <x:c r="L218" s="5" t="str"/>
      <x:c r="M218" s="5" t="str">
        <x:v>未测</x:v>
      </x:c>
      <x:c r="N218" s="5" t="str"/>
      <x:c r="O218" s="5" t="str">
        <x:v>1. 来源：context/01-用户主播App-项目需求清单.md
2. 来源：context/系统概要 .md（当前全局业务规则）
3. 来源：对应 HTML 静态原型；未动态验证
4. 追溯：业务底稿 LIVE-067。
5. 同步追溯：work/liveshow-user-app-all-260901-001/prototype-context-sync-result.json；RSL-0002、RSL-0003
6. 全局证据追溯：work/liveshow-user-app-all-260901-001/global-evidence-scan-result.json；扫描模式 full</x:v>
      </x:c>
    </x:row>
    <x:row r="219" ht="79.5" customHeight="1">
      <x:c r="A219" s="5" t="n">
        <x:v>218</x:v>
      </x:c>
      <x:c r="B219" s="5" t="str">
        <x:v>LIVE-165</x:v>
      </x:c>
      <x:c r="C219" s="5" t="str">
        <x:v>用户App-直播</x:v>
      </x:c>
      <x:c r="D219" s="5" t="str">
        <x:v>主播直播间</x:v>
      </x:c>
      <x:c r="E219" s="5" t="str">
        <x:v>逻辑校验</x:v>
      </x:c>
      <x:c r="F219" s="5" t="str">
        <x:v>P1</x:v>
      </x:c>
      <x:c r="G219" s="5" t="str">
        <x:v>验证非好友前三条私信可以发送</x:v>
      </x:c>
      <x:c r="H219" s="5" t="str">
        <x:v>非好友前三条私信</x:v>
      </x:c>
      <x:c r="I219" s="5" t="str">
        <x:v>1. 用户正在观看主播的直播
2. 用户与主播不是好友
3. 双方不存在账号拉黑关系
4. 用户尚未向主播发送私信</x:v>
      </x:c>
      <x:c r="J219" s="5" t="str">
        <x:v>1. 打开主播资料卡
2. 连续发送三条私信</x:v>
      </x:c>
      <x:c r="K219" s="5" t="str">
        <x:v>第 3 条私信发送成功</x:v>
      </x:c>
      <x:c r="L219" s="5" t="str"/>
      <x:c r="M219" s="5" t="str">
        <x:v>未测</x:v>
      </x:c>
      <x:c r="N219" s="5" t="str"/>
      <x:c r="O219" s="5" t="str">
        <x:v>1. 来源：context/系统概要 .md（当前全局业务规则）
2. 全量重审：旧依赖文件已删除，本条按当前系统概要重新建立证据关联
3. 同步追溯：work/liveshow-user-app-all-260901-001/prototype-context-sync-result.json；RSL-0002、RSL-0003
4. 全局证据追溯：work/liveshow-user-app-all-260901-001/global-evidence-scan-result.json；扫描模式 full</x:v>
      </x:c>
    </x:row>
    <x:row r="220" ht="79.5" customHeight="1">
      <x:c r="A220" s="5" t="n">
        <x:v>219</x:v>
      </x:c>
      <x:c r="B220" s="5" t="str">
        <x:v>LIVE-166</x:v>
      </x:c>
      <x:c r="C220" s="5" t="str">
        <x:v>用户App-直播</x:v>
      </x:c>
      <x:c r="D220" s="5" t="str">
        <x:v>主播直播间</x:v>
      </x:c>
      <x:c r="E220" s="5" t="str">
        <x:v>逻辑校验</x:v>
      </x:c>
      <x:c r="F220" s="5" t="str">
        <x:v>P1</x:v>
      </x:c>
      <x:c r="G220" s="5" t="str">
        <x:v>验证非好友第四条私信被拦截</x:v>
      </x:c>
      <x:c r="H220" s="5" t="str">
        <x:v>非好友第四条私信</x:v>
      </x:c>
      <x:c r="I220" s="5" t="str">
        <x:v>1. 用户正在观看主播的直播
2. 用户与主播不是好友
3. 双方不存在账号拉黑关系
4. 用户已向主播成功发送三条私信</x:v>
      </x:c>
      <x:c r="J220" s="5" t="str">
        <x:v>1. 打开与主播的私信会话
2. 发送第 4 条私信</x:v>
      </x:c>
      <x:c r="K220" s="5" t="str">
        <x:v>第 4 条私信不发送</x:v>
      </x:c>
      <x:c r="L220" s="5" t="str"/>
      <x:c r="M220" s="5" t="str">
        <x:v>未测</x:v>
      </x:c>
      <x:c r="N220" s="5" t="str"/>
      <x:c r="O220" s="5" t="str">
        <x:v>1. 来源：context/系统概要 .md（当前全局业务规则）
2. 全量重审：旧依赖文件已删除，本条按当前系统概要重新建立证据关联
3. 同步追溯：work/liveshow-user-app-all-260901-001/prototype-context-sync-result.json；RSL-0002、RSL-0003
4. 全局证据追溯：work/liveshow-user-app-all-260901-001/global-evidence-scan-result.json；扫描模式 full</x:v>
      </x:c>
    </x:row>
    <x:row r="221" ht="79.5" customHeight="1">
      <x:c r="A221" s="5" t="n">
        <x:v>220</x:v>
      </x:c>
      <x:c r="B221" s="5" t="str">
        <x:v>LIVE-167</x:v>
      </x:c>
      <x:c r="C221" s="5" t="str">
        <x:v>用户App-直播</x:v>
      </x:c>
      <x:c r="D221" s="5" t="str">
        <x:v>主播直播间</x:v>
      </x:c>
      <x:c r="E221" s="5" t="str">
        <x:v>业务流程</x:v>
      </x:c>
      <x:c r="F221" s="5" t="str">
        <x:v>P1</x:v>
      </x:c>
      <x:c r="G221" s="5" t="str">
        <x:v>验证账号拉黑限制搜索对方</x:v>
      </x:c>
      <x:c r="H221" s="5" t="str">
        <x:v>账号拉黑搜索限制</x:v>
      </x:c>
      <x:c r="I221" s="5" t="str">
        <x:v>1. 用户正在观看主播的直播
2. 用户与主播不存在账号拉黑关系
3. 用户可以通过主播 ID 搜索到主播</x:v>
      </x:c>
      <x:c r="J221" s="5" t="str">
        <x:v>1. 用户拉黑主播账号
2. 返回搜索页
3. 使用主播 ID 搜索</x:v>
      </x:c>
      <x:c r="K221" s="5" t="str">
        <x:v>搜索结果不展示被拉黑的主播</x:v>
      </x:c>
      <x:c r="L221" s="5" t="str"/>
      <x:c r="M221" s="5" t="str">
        <x:v>未测</x:v>
      </x:c>
      <x:c r="N221" s="5" t="str"/>
      <x:c r="O221" s="5" t="str">
        <x:v>1. 来源：context/系统概要 .md（当前全局业务规则）
2. 全量重审：旧依赖文件已删除，本条按当前系统概要重新建立证据关联
3. 同步追溯：work/liveshow-user-app-all-260901-001/prototype-context-sync-result.json；RSL-0002、RSL-0003
4. 全局证据追溯：work/liveshow-user-app-all-260901-001/global-evidence-scan-result.json；扫描模式 full</x:v>
      </x:c>
    </x:row>
    <x:row r="222" ht="79.5" customHeight="1">
      <x:c r="A222" s="5" t="n">
        <x:v>221</x:v>
      </x:c>
      <x:c r="B222" s="5" t="str">
        <x:v>LIVE-168</x:v>
      </x:c>
      <x:c r="C222" s="5" t="str">
        <x:v>用户App-直播</x:v>
      </x:c>
      <x:c r="D222" s="5" t="str">
        <x:v>主播直播间</x:v>
      </x:c>
      <x:c r="E222" s="5" t="str">
        <x:v>业务流程</x:v>
      </x:c>
      <x:c r="F222" s="5" t="str">
        <x:v>P1</x:v>
      </x:c>
      <x:c r="G222" s="5" t="str">
        <x:v>验证账号拉黑限制加入对方粉丝群</x:v>
      </x:c>
      <x:c r="H222" s="5" t="str">
        <x:v>账号拉黑入群限制</x:v>
      </x:c>
      <x:c r="I222" s="5" t="str">
        <x:v>1. 用户正在观看主播的直播
2. 用户尚未加入主播粉丝群
3. 用户与主播不存在账号拉黑关系</x:v>
      </x:c>
      <x:c r="J222" s="5" t="str">
        <x:v>1. 用户拉黑主播账号
2. 尝试从主播主页加入粉丝群</x:v>
      </x:c>
      <x:c r="K222" s="5" t="str">
        <x:v>用户不能加入被拉黑主播的粉丝群</x:v>
      </x:c>
      <x:c r="L222" s="5" t="str"/>
      <x:c r="M222" s="5" t="str">
        <x:v>未测</x:v>
      </x:c>
      <x:c r="N222" s="5" t="str"/>
      <x:c r="O222" s="5" t="str">
        <x:v>1. 来源：context/系统概要 .md（当前全局业务规则）
2. 全量重审：旧依赖文件已删除，本条按当前系统概要重新建立证据关联
3. 同步追溯：work/liveshow-user-app-all-260901-001/prototype-context-sync-result.json；RSL-0002、RSL-0003
4. 全局证据追溯：work/liveshow-user-app-all-260901-001/global-evidence-scan-result.json；扫描模式 full</x:v>
      </x:c>
    </x:row>
    <x:row r="223" ht="79.5" customHeight="1">
      <x:c r="A223" s="5" t="n">
        <x:v>222</x:v>
      </x:c>
      <x:c r="B223" s="5" t="str">
        <x:v>LIVE-169</x:v>
      </x:c>
      <x:c r="C223" s="5" t="str">
        <x:v>用户App-直播</x:v>
      </x:c>
      <x:c r="D223" s="5" t="str">
        <x:v>主播直播间</x:v>
      </x:c>
      <x:c r="E223" s="5" t="str">
        <x:v>逻辑校验</x:v>
      </x:c>
      <x:c r="F223" s="5" t="str">
        <x:v>P1</x:v>
      </x:c>
      <x:c r="G223" s="5" t="str">
        <x:v>验证账号拉黑使已有好友申请失效</x:v>
      </x:c>
      <x:c r="H223" s="5" t="str">
        <x:v>拉黑后的好友申请状态</x:v>
      </x:c>
      <x:c r="I223" s="5" t="str">
        <x:v>1. 用户正在观看主播的直播
2. 用户已向主播提交待处理好友申请
3. 用户与主播不存在账号拉黑关系</x:v>
      </x:c>
      <x:c r="J223" s="5" t="str">
        <x:v>1. 用户拉黑主播账号
2. 查看原好友申请</x:v>
      </x:c>
      <x:c r="K223" s="5" t="str">
        <x:v>原待处理好友申请失效</x:v>
      </x:c>
      <x:c r="L223" s="5" t="str"/>
      <x:c r="M223" s="5" t="str">
        <x:v>未测</x:v>
      </x:c>
      <x:c r="N223" s="5" t="str"/>
      <x:c r="O223" s="5" t="str">
        <x:v>1. 来源：context/系统概要 .md（当前全局业务规则）
2. 全量重审：旧依赖文件已删除，本条按当前系统概要重新建立证据关联
3. 同步追溯：work/liveshow-user-app-all-260901-001/prototype-context-sync-result.json；RSL-0002、RSL-0003
4. 全局证据追溯：work/liveshow-user-app-all-260901-001/global-evidence-scan-result.json；扫描模式 full</x:v>
      </x:c>
    </x:row>
    <x:row r="224" ht="103.5" customHeight="1">
      <x:c r="A224" s="5" t="n">
        <x:v>223</x:v>
      </x:c>
      <x:c r="B224" s="5" t="str">
        <x:v>LIVE-170</x:v>
      </x:c>
      <x:c r="C224" s="5" t="str">
        <x:v>用户App-直播</x:v>
      </x:c>
      <x:c r="D224" s="5" t="str">
        <x:v>主播直播间</x:v>
      </x:c>
      <x:c r="E224" s="5" t="str">
        <x:v>业务流程</x:v>
      </x:c>
      <x:c r="F224" s="5" t="str">
        <x:v>P1</x:v>
      </x:c>
      <x:c r="G224" s="5" t="str">
        <x:v>验证长期房管授权生效</x:v>
      </x:c>
      <x:c r="H224" s="5" t="str">
        <x:v>长期房管权限</x:v>
      </x:c>
      <x:c r="I224" s="5" t="str">
        <x:v>1. 主播已设置的房管少于 3 人
2. 目标用户不在直播间黑名单内
3. 双方无账号拉黑关系</x:v>
      </x:c>
      <x:c r="J224" s="5" t="str">
        <x:v>1. 在房管设置中输入目标用户 ID
2. 开启“设为房管”</x:v>
      </x:c>
      <x:c r="K224" s="5" t="str">
        <x:v>目标用户获得该主播的房管权限，授权在该主播后续直播中持续有效，直至主播取消</x:v>
      </x:c>
      <x:c r="L224" s="5" t="str"/>
      <x:c r="M224" s="5" t="str">
        <x:v>未测</x:v>
      </x:c>
      <x:c r="N224" s="5" t="str"/>
      <x:c r="O224" s="5" t="str">
        <x:v>1. 来源：context/01-用户主播App-项目需求清单.md
2. 来源：context/系统概要 .md（当前全局业务规则）
3. 追溯：业务底稿 LIVE-072。
4. 质量修正：按 RCL-0018 执行最小前置条件和单分支检查
5. 同步追溯：work/liveshow-user-app-all-260901-001/prototype-context-sync-result.json；RSL-0002、RSL-0003
6. 全局证据追溯：work/liveshow-user-app-all-260901-001/global-evidence-scan-result.json；扫描模式 full</x:v>
      </x:c>
    </x:row>
    <x:row r="225" ht="103.5" customHeight="1">
      <x:c r="A225" s="5" t="n">
        <x:v>224</x:v>
      </x:c>
      <x:c r="B225" s="5" t="str">
        <x:v>LIVE-171</x:v>
      </x:c>
      <x:c r="C225" s="5" t="str">
        <x:v>用户App-直播</x:v>
      </x:c>
      <x:c r="D225" s="5" t="str">
        <x:v>主播直播间</x:v>
      </x:c>
      <x:c r="E225" s="5" t="str">
        <x:v>业务流程</x:v>
      </x:c>
      <x:c r="F225" s="5" t="str">
        <x:v>P1</x:v>
      </x:c>
      <x:c r="G225" s="5" t="str">
        <x:v>验证房管授权关系留存</x:v>
      </x:c>
      <x:c r="H225" s="5" t="str">
        <x:v>房管授权记录</x:v>
      </x:c>
      <x:c r="I225" s="5" t="str">
        <x:v>1. 主播已设置的房管少于 3 人
2. 目标用户不在直播间黑名单内
3. 双方无账号拉黑关系</x:v>
      </x:c>
      <x:c r="J225" s="5" t="str">
        <x:v>1. 在房管设置中输入目标用户 ID
2. 开启“设为房管”</x:v>
      </x:c>
      <x:c r="K225" s="5" t="str">
        <x:v>系统保存主播与房管的授权关系</x:v>
      </x:c>
      <x:c r="L225" s="5" t="str"/>
      <x:c r="M225" s="5" t="str">
        <x:v>未测</x:v>
      </x:c>
      <x:c r="N225" s="5" t="str"/>
      <x:c r="O225" s="5" t="str">
        <x:v>1. 来源：context/01-用户主播App-项目需求清单.md
2. 来源：context/系统概要 .md（当前全局业务规则）
3. 追溯：业务底稿 LIVE-072。
4. 质量修正：按 RCL-0018 执行最小前置条件和单分支检查
5. 同步追溯：work/liveshow-user-app-all-260901-001/prototype-context-sync-result.json；RSL-0002、RSL-0003
6. 全局证据追溯：work/liveshow-user-app-all-260901-001/global-evidence-scan-result.json；扫描模式 full</x:v>
      </x:c>
    </x:row>
    <x:row r="226" ht="91.5" customHeight="1">
      <x:c r="A226" s="5" t="n">
        <x:v>225</x:v>
      </x:c>
      <x:c r="B226" s="5" t="str">
        <x:v>LIVE-172</x:v>
      </x:c>
      <x:c r="C226" s="5" t="str">
        <x:v>用户App-直播</x:v>
      </x:c>
      <x:c r="D226" s="5" t="str">
        <x:v>主播直播间</x:v>
      </x:c>
      <x:c r="E226" s="5" t="str">
        <x:v>逻辑校验</x:v>
      </x:c>
      <x:c r="F226" s="5" t="str">
        <x:v>P1</x:v>
      </x:c>
      <x:c r="G226" s="5" t="str">
        <x:v>验证房管达到三人后不能继续添加</x:v>
      </x:c>
      <x:c r="H226" s="5" t="str">
        <x:v>房管人数上限</x:v>
      </x:c>
      <x:c r="I226" s="5" t="str">
        <x:v>1. 主播已存在 3 名有效房管
2. 第 4 名目标用户满足其他房管条件</x:v>
      </x:c>
      <x:c r="J226" s="5" t="str">
        <x:v>1. 尝试将第 4 名用户设置为房管</x:v>
      </x:c>
      <x:c r="K226" s="5" t="str">
        <x:v>已有 3 名房管时，第 4 名用户不得获得房管权限</x:v>
      </x:c>
      <x:c r="L226" s="5" t="str"/>
      <x:c r="M226" s="5" t="str">
        <x:v>未测</x:v>
      </x:c>
      <x:c r="N226" s="5" t="str"/>
      <x:c r="O226" s="5" t="str">
        <x:v>1. 来源：context/01-用户主播App-项目需求清单.md
2. 来源：context/系统概要 .md（当前全局业务规则）
3. 追溯：业务底稿 LIVE-073。
4. 同步追溯：work/liveshow-user-app-all-260901-001/prototype-context-sync-result.json；RSL-0002、RSL-0003
5. 全局证据追溯：work/liveshow-user-app-all-260901-001/global-evidence-scan-result.json；扫描模式 full</x:v>
      </x:c>
    </x:row>
    <x:row r="227" ht="103.5" customHeight="1">
      <x:c r="A227" s="5" t="n">
        <x:v>226</x:v>
      </x:c>
      <x:c r="B227" s="5" t="str">
        <x:v>LIVE-173</x:v>
      </x:c>
      <x:c r="C227" s="5" t="str">
        <x:v>用户App-直播</x:v>
      </x:c>
      <x:c r="D227" s="5" t="str">
        <x:v>主播直播间</x:v>
      </x:c>
      <x:c r="E227" s="5" t="str">
        <x:v>异常用例</x:v>
      </x:c>
      <x:c r="F227" s="5" t="str">
        <x:v>P1</x:v>
      </x:c>
      <x:c r="G227" s="5" t="str">
        <x:v>验证直播间黑名单用户不能设为房管</x:v>
      </x:c>
      <x:c r="H227" s="5" t="str">
        <x:v>黑名单用户房管限制</x:v>
      </x:c>
      <x:c r="I227" s="5" t="str">
        <x:v>1. 主播正在直播
2. 目标用户已在该主播直播间黑名单内
3. 主播与目标用户不存在账号拉黑关系</x:v>
      </x:c>
      <x:c r="J227" s="5" t="str">
        <x:v>1. 打开房管设置
2. 尝试将目标用户设置为房管</x:v>
      </x:c>
      <x:c r="K227" s="5" t="str">
        <x:v>直播间黑名单内的目标用户未获得房管权限</x:v>
      </x:c>
      <x:c r="L227" s="5" t="str"/>
      <x:c r="M227" s="5" t="str">
        <x:v>未测</x:v>
      </x:c>
      <x:c r="N227" s="5" t="str"/>
      <x:c r="O227" s="5" t="str">
        <x:v>1. 来源：context/01-用户主播App-项目需求清单.md
2. 来源：context/系统概要 .md（当前全局业务规则）
3. 追溯：业务底稿 LIVE-074。
4. 质量修正：按 RCL-0018 执行最小前置条件和单分支检查
5. 同步追溯：work/liveshow-user-app-all-260901-001/prototype-context-sync-result.json；RSL-0002、RSL-0003
6. 全局证据追溯：work/liveshow-user-app-all-260901-001/global-evidence-scan-result.json；扫描模式 full</x:v>
      </x:c>
    </x:row>
    <x:row r="228" ht="103.5" customHeight="1">
      <x:c r="A228" s="5" t="n">
        <x:v>227</x:v>
      </x:c>
      <x:c r="B228" s="5" t="str">
        <x:v>LIVE-174</x:v>
      </x:c>
      <x:c r="C228" s="5" t="str">
        <x:v>用户App-直播</x:v>
      </x:c>
      <x:c r="D228" s="5" t="str">
        <x:v>主播直播间</x:v>
      </x:c>
      <x:c r="E228" s="5" t="str">
        <x:v>异常用例</x:v>
      </x:c>
      <x:c r="F228" s="5" t="str">
        <x:v>P1</x:v>
      </x:c>
      <x:c r="G228" s="5" t="str">
        <x:v>验证房管设置失败不改变直播间黑名单</x:v>
      </x:c>
      <x:c r="H228" s="5" t="str">
        <x:v>黑名单关系保持</x:v>
      </x:c>
      <x:c r="I228" s="5" t="str">
        <x:v>1. 主播正在直播
2. 目标用户已在该主播直播间黑名单内
3. 主播与目标用户不存在账号拉黑关系</x:v>
      </x:c>
      <x:c r="J228" s="5" t="str">
        <x:v>1. 打开房管设置
2. 尝试将目标用户设置为房管
3. 查看直播间黑名单</x:v>
      </x:c>
      <x:c r="K228" s="5" t="str">
        <x:v>目标用户原有的直播间黑名单关系保持不变</x:v>
      </x:c>
      <x:c r="L228" s="5" t="str"/>
      <x:c r="M228" s="5" t="str">
        <x:v>未测</x:v>
      </x:c>
      <x:c r="N228" s="5" t="str"/>
      <x:c r="O228" s="5" t="str">
        <x:v>1. 来源：context/01-用户主播App-项目需求清单.md
2. 来源：context/系统概要 .md（当前全局业务规则）
3. 追溯：业务底稿 LIVE-074。
4. 质量修正：按 RCL-0018 执行最小前置条件和单分支检查
5. 同步追溯：work/liveshow-user-app-all-260901-001/prototype-context-sync-result.json；RSL-0002、RSL-0003
6. 全局证据追溯：work/liveshow-user-app-all-260901-001/global-evidence-scan-result.json；扫描模式 full</x:v>
      </x:c>
    </x:row>
    <x:row r="229" ht="103.5" customHeight="1">
      <x:c r="A229" s="5" t="n">
        <x:v>228</x:v>
      </x:c>
      <x:c r="B229" s="5" t="str">
        <x:v>LIVE-175</x:v>
      </x:c>
      <x:c r="C229" s="5" t="str">
        <x:v>用户App-直播</x:v>
      </x:c>
      <x:c r="D229" s="5" t="str">
        <x:v>主播直播间</x:v>
      </x:c>
      <x:c r="E229" s="5" t="str">
        <x:v>异常用例</x:v>
      </x:c>
      <x:c r="F229" s="5" t="str">
        <x:v>P1</x:v>
      </x:c>
      <x:c r="G229" s="5" t="str">
        <x:v>验证账号拉黑用户不能设为房管</x:v>
      </x:c>
      <x:c r="H229" s="5" t="str">
        <x:v>账号拉黑房管限制</x:v>
      </x:c>
      <x:c r="I229" s="5" t="str">
        <x:v>1. 主播正在直播
2. 主播与目标用户存在账号拉黑关系
3. 目标用户不在该主播直播间黑名单内</x:v>
      </x:c>
      <x:c r="J229" s="5" t="str">
        <x:v>1. 打开房管设置
2. 尝试将目标用户设置为房管</x:v>
      </x:c>
      <x:c r="K229" s="5" t="str">
        <x:v>与主播存在账号拉黑关系的目标用户未获得房管权限</x:v>
      </x:c>
      <x:c r="L229" s="5" t="str"/>
      <x:c r="M229" s="5" t="str">
        <x:v>未测</x:v>
      </x:c>
      <x:c r="N229" s="5" t="str"/>
      <x:c r="O229" s="5" t="str">
        <x:v>1. 来源：context/01-用户主播App-项目需求清单.md
2. 来源：context/系统概要 .md（当前全局业务规则）
3. 追溯：业务底稿 LIVE-074。
4. 质量修正：按 RCL-0018 执行最小前置条件和单分支检查
5. 同步追溯：work/liveshow-user-app-all-260901-001/prototype-context-sync-result.json；RSL-0002、RSL-0003
6. 全局证据追溯：work/liveshow-user-app-all-260901-001/global-evidence-scan-result.json；扫描模式 full</x:v>
      </x:c>
    </x:row>
    <x:row r="230" ht="103.5" customHeight="1">
      <x:c r="A230" s="5" t="n">
        <x:v>229</x:v>
      </x:c>
      <x:c r="B230" s="5" t="str">
        <x:v>LIVE-176</x:v>
      </x:c>
      <x:c r="C230" s="5" t="str">
        <x:v>用户App-直播</x:v>
      </x:c>
      <x:c r="D230" s="5" t="str">
        <x:v>主播直播间</x:v>
      </x:c>
      <x:c r="E230" s="5" t="str">
        <x:v>异常用例</x:v>
      </x:c>
      <x:c r="F230" s="5" t="str">
        <x:v>P1</x:v>
      </x:c>
      <x:c r="G230" s="5" t="str">
        <x:v>验证房管设置失败不改变账号拉黑关系</x:v>
      </x:c>
      <x:c r="H230" s="5" t="str">
        <x:v>账号拉黑关系保持</x:v>
      </x:c>
      <x:c r="I230" s="5" t="str">
        <x:v>1. 主播正在直播
2. 主播与目标用户存在账号拉黑关系
3. 目标用户不在该主播直播间黑名单内</x:v>
      </x:c>
      <x:c r="J230" s="5" t="str">
        <x:v>1. 打开房管设置
2. 尝试将目标用户设置为房管
3. 查看账号拉黑关系</x:v>
      </x:c>
      <x:c r="K230" s="5" t="str">
        <x:v>主播与目标用户原有的账号拉黑关系保持不变</x:v>
      </x:c>
      <x:c r="L230" s="5" t="str"/>
      <x:c r="M230" s="5" t="str">
        <x:v>未测</x:v>
      </x:c>
      <x:c r="N230" s="5" t="str"/>
      <x:c r="O230" s="5" t="str">
        <x:v>1. 来源：context/01-用户主播App-项目需求清单.md
2. 来源：context/系统概要 .md（当前全局业务规则）
3. 追溯：业务底稿 LIVE-074。
4. 质量修正：按 RCL-0018 执行最小前置条件和单分支检查
5. 同步追溯：work/liveshow-user-app-all-260901-001/prototype-context-sync-result.json；RSL-0002、RSL-0003
6. 全局证据追溯：work/liveshow-user-app-all-260901-001/global-evidence-scan-result.json；扫描模式 full</x:v>
      </x:c>
    </x:row>
    <x:row r="231" ht="103.5" customHeight="1">
      <x:c r="A231" s="5" t="n">
        <x:v>230</x:v>
      </x:c>
      <x:c r="B231" s="5" t="str">
        <x:v>LIVE-177</x:v>
      </x:c>
      <x:c r="C231" s="5" t="str">
        <x:v>用户App-直播</x:v>
      </x:c>
      <x:c r="D231" s="5" t="str">
        <x:v>主播直播间</x:v>
      </x:c>
      <x:c r="E231" s="5" t="str">
        <x:v>业务流程</x:v>
      </x:c>
      <x:c r="F231" s="5" t="str">
        <x:v>P1</x:v>
      </x:c>
      <x:c r="G231" s="5" t="str">
        <x:v>验证主播取消长期房管授权</x:v>
      </x:c>
      <x:c r="H231" s="5" t="str">
        <x:v>取消房管</x:v>
      </x:c>
      <x:c r="I231" s="5" t="str">
        <x:v>1. 目标用户是该主播的有效房管</x:v>
      </x:c>
      <x:c r="J231" s="5" t="str">
        <x:v>1. 主播打开房管列表
2. 对目标用户执行取消房管
3. 在确认提示中确认
4. 进入该主播后续直播场次</x:v>
      </x:c>
      <x:c r="K231" s="5" t="str">
        <x:v>目标用户的房管权限被取消</x:v>
      </x:c>
      <x:c r="L231" s="5" t="str"/>
      <x:c r="M231" s="5" t="str">
        <x:v>未测</x:v>
      </x:c>
      <x:c r="N231" s="5" t="str"/>
      <x:c r="O231" s="5" t="str">
        <x:v>1. 来源：context/01-用户主播App-项目需求清单.md
2. 来源：context/系统概要 .md（当前全局业务规则）
3. 来源：prototype/assets/annotations.js
4. 追溯：业务底稿 LIVE-075。
5. 同步追溯：work/liveshow-user-app-all-260901-001/prototype-context-sync-result.json；RSL-0002、RSL-0003
6. 全局证据追溯：work/liveshow-user-app-all-260901-001/global-evidence-scan-result.json；扫描模式 full</x:v>
      </x:c>
    </x:row>
    <x:row r="232" ht="91.5" customHeight="1">
      <x:c r="A232" s="5" t="n">
        <x:v>231</x:v>
      </x:c>
      <x:c r="B232" s="5" t="str">
        <x:v>LIVE-178</x:v>
      </x:c>
      <x:c r="C232" s="5" t="str">
        <x:v>用户App-直播</x:v>
      </x:c>
      <x:c r="D232" s="5" t="str">
        <x:v>主播直播间</x:v>
      </x:c>
      <x:c r="E232" s="5" t="str">
        <x:v>业务流程</x:v>
      </x:c>
      <x:c r="F232" s="5" t="str">
        <x:v>P1</x:v>
      </x:c>
      <x:c r="G232" s="5" t="str">
        <x:v>验证主播禁言限制用户发言</x:v>
      </x:c>
      <x:c r="H232" s="5" t="str">
        <x:v>主播禁言生效</x:v>
      </x:c>
      <x:c r="I232" s="5" t="str">
        <x:v>1. 主播正在直播
2. 目标用户在线且可发言</x:v>
      </x:c>
      <x:c r="J232" s="5" t="str">
        <x:v>1. 主播打开目标用户资料卡
2. 执行禁言并确认
3. 目标用户尝试发送公屏消息</x:v>
      </x:c>
      <x:c r="K232" s="5" t="str">
        <x:v>目标用户在当前场次不能继续发送公屏消息</x:v>
      </x:c>
      <x:c r="L232" s="5" t="str"/>
      <x:c r="M232" s="5" t="str">
        <x:v>未测</x:v>
      </x:c>
      <x:c r="N232" s="5" t="str"/>
      <x:c r="O232" s="5" t="str">
        <x:v>1. 来源：context/01-用户主播App-项目需求清单.md
2. 来源：context/系统概要 .md（当前全局业务规则）
3. 追溯：业务底稿 LIVE-076。
4. 同步追溯：work/liveshow-user-app-all-260901-001/prototype-context-sync-result.json；RSL-0002、RSL-0003
5. 全局证据追溯：work/liveshow-user-app-all-260901-001/global-evidence-scan-result.json；扫描模式 full</x:v>
      </x:c>
    </x:row>
    <x:row r="233" ht="91.5" customHeight="1">
      <x:c r="A233" s="5" t="n">
        <x:v>232</x:v>
      </x:c>
      <x:c r="B233" s="5" t="str">
        <x:v>LIVE-179</x:v>
      </x:c>
      <x:c r="C233" s="5" t="str">
        <x:v>用户App-直播</x:v>
      </x:c>
      <x:c r="D233" s="5" t="str">
        <x:v>主播直播间</x:v>
      </x:c>
      <x:c r="E233" s="5" t="str">
        <x:v>业务流程</x:v>
      </x:c>
      <x:c r="F233" s="5" t="str">
        <x:v>P1</x:v>
      </x:c>
      <x:c r="G233" s="5" t="str">
        <x:v>验证主播禁言保留历史消息</x:v>
      </x:c>
      <x:c r="H233" s="5" t="str">
        <x:v>主播禁言历史消息</x:v>
      </x:c>
      <x:c r="I233" s="5" t="str">
        <x:v>1. 主播正在直播
2. 目标用户在线且可发言</x:v>
      </x:c>
      <x:c r="J233" s="5" t="str">
        <x:v>1. 主播打开目标用户资料卡
2. 执行禁言并确认
3. 目标用户尝试发送公屏消息</x:v>
      </x:c>
      <x:c r="K233" s="5" t="str">
        <x:v>目标用户已发送消息保留</x:v>
      </x:c>
      <x:c r="L233" s="5" t="str"/>
      <x:c r="M233" s="5" t="str">
        <x:v>未测</x:v>
      </x:c>
      <x:c r="N233" s="5" t="str"/>
      <x:c r="O233" s="5" t="str">
        <x:v>1. 来源：context/01-用户主播App-项目需求清单.md
2. 来源：context/系统概要 .md（当前全局业务规则）
3. 追溯：业务底稿 LIVE-076。
4. 同步追溯：work/liveshow-user-app-all-260901-001/prototype-context-sync-result.json；RSL-0002、RSL-0003
5. 全局证据追溯：work/liveshow-user-app-all-260901-001/global-evidence-scan-result.json；扫描模式 full</x:v>
      </x:c>
    </x:row>
    <x:row r="234" ht="91.5" customHeight="1">
      <x:c r="A234" s="5" t="n">
        <x:v>233</x:v>
      </x:c>
      <x:c r="B234" s="5" t="str">
        <x:v>LIVE-180</x:v>
      </x:c>
      <x:c r="C234" s="5" t="str">
        <x:v>用户App-直播</x:v>
      </x:c>
      <x:c r="D234" s="5" t="str">
        <x:v>主播直播间</x:v>
      </x:c>
      <x:c r="E234" s="5" t="str">
        <x:v>业务流程</x:v>
      </x:c>
      <x:c r="F234" s="5" t="str">
        <x:v>P1</x:v>
      </x:c>
      <x:c r="G234" s="5" t="str">
        <x:v>验证主播禁言操作留痕</x:v>
      </x:c>
      <x:c r="H234" s="5" t="str">
        <x:v>主播禁言记录</x:v>
      </x:c>
      <x:c r="I234" s="5" t="str">
        <x:v>1. 主播正在直播
2. 目标用户在线且可发言</x:v>
      </x:c>
      <x:c r="J234" s="5" t="str">
        <x:v>1. 主播打开目标用户资料卡
2. 执行禁言并确认
3. 目标用户尝试发送公屏消息</x:v>
      </x:c>
      <x:c r="K234" s="5" t="str">
        <x:v>系统记录主播的禁言操作</x:v>
      </x:c>
      <x:c r="L234" s="5" t="str"/>
      <x:c r="M234" s="5" t="str">
        <x:v>未测</x:v>
      </x:c>
      <x:c r="N234" s="5" t="str"/>
      <x:c r="O234" s="5" t="str">
        <x:v>1. 来源：context/01-用户主播App-项目需求清单.md
2. 来源：context/系统概要 .md（当前全局业务规则）
3. 追溯：业务底稿 LIVE-076。
4. 同步追溯：work/liveshow-user-app-all-260901-001/prototype-context-sync-result.json；RSL-0002、RSL-0003
5. 全局证据追溯：work/liveshow-user-app-all-260901-001/global-evidence-scan-result.json；扫描模式 full</x:v>
      </x:c>
    </x:row>
    <x:row r="235" ht="91.5" customHeight="1">
      <x:c r="A235" s="5" t="n">
        <x:v>234</x:v>
      </x:c>
      <x:c r="B235" s="5" t="str">
        <x:v>LIVE-181</x:v>
      </x:c>
      <x:c r="C235" s="5" t="str">
        <x:v>用户App-直播</x:v>
      </x:c>
      <x:c r="D235" s="5" t="str">
        <x:v>主播直播间</x:v>
      </x:c>
      <x:c r="E235" s="5" t="str">
        <x:v>业务流程</x:v>
      </x:c>
      <x:c r="F235" s="5" t="str">
        <x:v>P1</x:v>
      </x:c>
      <x:c r="G235" s="5" t="str">
        <x:v>验证主播踢人限制本场重进</x:v>
      </x:c>
      <x:c r="H235" s="5" t="str">
        <x:v>主播踢人当前场次</x:v>
      </x:c>
      <x:c r="I235" s="5" t="str">
        <x:v>1. 主播正在直播
2. 目标用户在线</x:v>
      </x:c>
      <x:c r="J235" s="5" t="str">
        <x:v>1. 主播打开目标用户资料卡
2. 点击“踢出直播间”并确认
3. 目标用户再次尝试进入当前场次
4. 目标用户尝试进入主播下一场直播</x:v>
      </x:c>
      <x:c r="K235" s="5" t="str">
        <x:v>主播踢出用户后，目标用户在当前场次不得再次进入</x:v>
      </x:c>
      <x:c r="L235" s="5" t="str"/>
      <x:c r="M235" s="5" t="str">
        <x:v>未测</x:v>
      </x:c>
      <x:c r="N235" s="5" t="str"/>
      <x:c r="O235" s="5" t="str">
        <x:v>1. 来源：context/01-用户主播App-项目需求清单.md
2. 来源：context/系统概要 .md（当前全局业务规则）
3. 追溯：业务底稿 LIVE-077。
4. 同步追溯：work/liveshow-user-app-all-260901-001/prototype-context-sync-result.json；RSL-0002、RSL-0003
5. 全局证据追溯：work/liveshow-user-app-all-260901-001/global-evidence-scan-result.json；扫描模式 full</x:v>
      </x:c>
    </x:row>
    <x:row r="236" ht="91.5" customHeight="1">
      <x:c r="A236" s="5" t="n">
        <x:v>235</x:v>
      </x:c>
      <x:c r="B236" s="5" t="str">
        <x:v>LIVE-182</x:v>
      </x:c>
      <x:c r="C236" s="5" t="str">
        <x:v>用户App-直播</x:v>
      </x:c>
      <x:c r="D236" s="5" t="str">
        <x:v>主播直播间</x:v>
      </x:c>
      <x:c r="E236" s="5" t="str">
        <x:v>业务流程</x:v>
      </x:c>
      <x:c r="F236" s="5" t="str">
        <x:v>P1</x:v>
      </x:c>
      <x:c r="G236" s="5" t="str">
        <x:v>验证主播踢人不影响下一场直播</x:v>
      </x:c>
      <x:c r="H236" s="5" t="str">
        <x:v>主播踢人跨场恢复</x:v>
      </x:c>
      <x:c r="I236" s="5" t="str">
        <x:v>1. 主播正在直播
2. 目标用户在线</x:v>
      </x:c>
      <x:c r="J236" s="5" t="str">
        <x:v>1. 主播打开目标用户资料卡
2. 点击“踢出直播间”并确认
3. 目标用户再次尝试进入当前场次
4. 目标用户尝试进入主播下一场直播</x:v>
      </x:c>
      <x:c r="K236" s="5" t="str">
        <x:v>下一场直播不继承本次踢出限制</x:v>
      </x:c>
      <x:c r="L236" s="5" t="str"/>
      <x:c r="M236" s="5" t="str">
        <x:v>未测</x:v>
      </x:c>
      <x:c r="N236" s="5" t="str"/>
      <x:c r="O236" s="5" t="str">
        <x:v>1. 来源：context/01-用户主播App-项目需求清单.md
2. 来源：context/系统概要 .md（当前全局业务规则）
3. 追溯：业务底稿 LIVE-077。
4. 同步追溯：work/liveshow-user-app-all-260901-001/prototype-context-sync-result.json；RSL-0002、RSL-0003
5. 全局证据追溯：work/liveshow-user-app-all-260901-001/global-evidence-scan-result.json；扫描模式 full</x:v>
      </x:c>
    </x:row>
    <x:row r="237" ht="91.5" customHeight="1">
      <x:c r="A237" s="5" t="n">
        <x:v>236</x:v>
      </x:c>
      <x:c r="B237" s="5" t="str">
        <x:v>LIVE-183</x:v>
      </x:c>
      <x:c r="C237" s="5" t="str">
        <x:v>用户App-直播</x:v>
      </x:c>
      <x:c r="D237" s="5" t="str">
        <x:v>主播直播间</x:v>
      </x:c>
      <x:c r="E237" s="5" t="str">
        <x:v>业务流程</x:v>
      </x:c>
      <x:c r="F237" s="5" t="str">
        <x:v>P1</x:v>
      </x:c>
      <x:c r="G237" s="5" t="str">
        <x:v>验证直播间黑名单持续限制进房</x:v>
      </x:c>
      <x:c r="H237" s="5" t="str">
        <x:v>直播间黑名单进房限制</x:v>
      </x:c>
      <x:c r="I237" s="5" t="str">
        <x:v>1. 目标用户当前可以进入该主播直播间
2. 主播与目标用户不存在账号拉黑关系</x:v>
      </x:c>
      <x:c r="J237" s="5" t="str">
        <x:v>1. 主播将目标用户加入直播间黑名单
2. 目标用户尝试进入该主播当前及后续直播间</x:v>
      </x:c>
      <x:c r="K237" s="5" t="str">
        <x:v>目标用户不能进入该主播当前及后续直播间</x:v>
      </x:c>
      <x:c r="L237" s="5" t="str"/>
      <x:c r="M237" s="5" t="str">
        <x:v>未测</x:v>
      </x:c>
      <x:c r="N237" s="5" t="str"/>
      <x:c r="O237" s="5" t="str">
        <x:v>1. 来源：context/系统概要 .md（当前全局业务规则）
2. 追溯：业务底稿 LIVE-078。
3. 质量修正：按 RCL-0018 执行最小前置条件和单分支检查
4. 同步追溯：work/liveshow-user-app-all-260901-001/prototype-context-sync-result.json；RSL-0002、RSL-0003
5. 全局证据追溯：work/liveshow-user-app-all-260901-001/global-evidence-scan-result.json；扫描模式 full</x:v>
      </x:c>
    </x:row>
    <x:row r="238" ht="91.5" customHeight="1">
      <x:c r="A238" s="5" t="n">
        <x:v>237</x:v>
      </x:c>
      <x:c r="B238" s="5" t="str">
        <x:v>LIVE-184</x:v>
      </x:c>
      <x:c r="C238" s="5" t="str">
        <x:v>用户App-直播</x:v>
      </x:c>
      <x:c r="D238" s="5" t="str">
        <x:v>主播直播间</x:v>
      </x:c>
      <x:c r="E238" s="5" t="str">
        <x:v>业务流程</x:v>
      </x:c>
      <x:c r="F238" s="5" t="str">
        <x:v>P1</x:v>
      </x:c>
      <x:c r="G238" s="5" t="str">
        <x:v>验证直播间黑名单不影响私信</x:v>
      </x:c>
      <x:c r="H238" s="5" t="str">
        <x:v>直播间黑名单私信隔离</x:v>
      </x:c>
      <x:c r="I238" s="5" t="str">
        <x:v>1. 主播与目标用户不存在账号拉黑关系
2. 目标用户当前可以发送私信</x:v>
      </x:c>
      <x:c r="J238" s="5" t="str">
        <x:v>1. 主播将目标用户加入直播间黑名单
2. 目标用户向主播发送私信</x:v>
      </x:c>
      <x:c r="K238" s="5" t="str">
        <x:v>仅加入直播间黑名单不阻止目标用户向主播发送私信</x:v>
      </x:c>
      <x:c r="L238" s="5" t="str"/>
      <x:c r="M238" s="5" t="str">
        <x:v>未测</x:v>
      </x:c>
      <x:c r="N238" s="5" t="str"/>
      <x:c r="O238" s="5" t="str">
        <x:v>1. 来源：context/系统概要 .md（当前全局业务规则）
2. 追溯：业务底稿 LIVE-078。
3. 质量修正：按 RCL-0018 执行最小前置条件和单分支检查
4. 同步追溯：work/liveshow-user-app-all-260901-001/prototype-context-sync-result.json；RSL-0002、RSL-0003
5. 全局证据追溯：work/liveshow-user-app-all-260901-001/global-evidence-scan-result.json；扫描模式 full</x:v>
      </x:c>
    </x:row>
    <x:row r="239" ht="91.5" customHeight="1">
      <x:c r="A239" s="5" t="n">
        <x:v>238</x:v>
      </x:c>
      <x:c r="B239" s="5" t="str">
        <x:v>LIVE-185</x:v>
      </x:c>
      <x:c r="C239" s="5" t="str">
        <x:v>用户App-直播</x:v>
      </x:c>
      <x:c r="D239" s="5" t="str">
        <x:v>主播直播间</x:v>
      </x:c>
      <x:c r="E239" s="5" t="str">
        <x:v>业务流程</x:v>
      </x:c>
      <x:c r="F239" s="5" t="str">
        <x:v>P1</x:v>
      </x:c>
      <x:c r="G239" s="5" t="str">
        <x:v>验证解除直播间黑名单后恢复进房资格</x:v>
      </x:c>
      <x:c r="H239" s="5" t="str">
        <x:v>解除直播间黑名单</x:v>
      </x:c>
      <x:c r="I239" s="5" t="str">
        <x:v>1. 目标用户在该主播直播间黑名单内
2. 双方不存在账号拉黑关系
3. 双方账号均未被平台封禁</x:v>
      </x:c>
      <x:c r="J239" s="5" t="str">
        <x:v>1. 主播在直播间黑名单中解除目标用户
2. 目标用户尝试进入该主播直播间</x:v>
      </x:c>
      <x:c r="K239" s="5" t="str">
        <x:v>目标用户恢复进入该主播直播间的资格</x:v>
      </x:c>
      <x:c r="L239" s="5" t="str"/>
      <x:c r="M239" s="5" t="str">
        <x:v>未测</x:v>
      </x:c>
      <x:c r="N239" s="5" t="str"/>
      <x:c r="O239" s="5" t="str">
        <x:v>1. 来源：context/系统概要 .md（当前全局业务规则）
2. 追溯：业务底稿 LIVE-079。
3. 质量修正：按 RCL-0018 执行最小前置条件和单分支检查
4. 同步追溯：work/liveshow-user-app-all-260901-001/prototype-context-sync-result.json；RSL-0002、RSL-0003
5. 全局证据追溯：work/liveshow-user-app-all-260901-001/global-evidence-scan-result.json；扫描模式 full</x:v>
      </x:c>
    </x:row>
    <x:row r="240" ht="91.5" customHeight="1">
      <x:c r="A240" s="5" t="n">
        <x:v>239</x:v>
      </x:c>
      <x:c r="B240" s="5" t="str">
        <x:v>LIVE-186</x:v>
      </x:c>
      <x:c r="C240" s="5" t="str">
        <x:v>用户App-直播</x:v>
      </x:c>
      <x:c r="D240" s="5" t="str">
        <x:v>主播直播间</x:v>
      </x:c>
      <x:c r="E240" s="5" t="str">
        <x:v>业务流程</x:v>
      </x:c>
      <x:c r="F240" s="5" t="str">
        <x:v>P1</x:v>
      </x:c>
      <x:c r="G240" s="5" t="str">
        <x:v>验证账号拉黑限制进入主播直播间</x:v>
      </x:c>
      <x:c r="H240" s="5" t="str">
        <x:v>账号拉黑进房限制</x:v>
      </x:c>
      <x:c r="I240" s="5" t="str">
        <x:v>1. 主播与目标用户不存在账号拉黑关系
2. 目标用户当前可以进入该主播直播间
3. 目标用户不在该主播直播间黑名单内</x:v>
      </x:c>
      <x:c r="J240" s="5" t="str">
        <x:v>1. 主播拉黑目标用户账号
2. 目标用户尝试进入该主播直播间</x:v>
      </x:c>
      <x:c r="K240" s="5" t="str">
        <x:v>目标用户不能进入该主播直播间</x:v>
      </x:c>
      <x:c r="L240" s="5" t="str"/>
      <x:c r="M240" s="5" t="str">
        <x:v>未测</x:v>
      </x:c>
      <x:c r="N240" s="5" t="str"/>
      <x:c r="O240" s="5" t="str">
        <x:v>1. 来源：context/系统概要 .md（当前全局业务规则）
2. 追溯：业务底稿 LIVE-080。
3. 质量修正：按 RCL-0018 执行最小前置条件和单分支检查
4. 同步追溯：work/liveshow-user-app-all-260901-001/prototype-context-sync-result.json；RSL-0002、RSL-0003
5. 全局证据追溯：work/liveshow-user-app-all-260901-001/global-evidence-scan-result.json；扫描模式 full</x:v>
      </x:c>
    </x:row>
    <x:row r="241" ht="91.5" customHeight="1">
      <x:c r="A241" s="5" t="n">
        <x:v>240</x:v>
      </x:c>
      <x:c r="B241" s="5" t="str">
        <x:v>LIVE-187</x:v>
      </x:c>
      <x:c r="C241" s="5" t="str">
        <x:v>用户App-直播</x:v>
      </x:c>
      <x:c r="D241" s="5" t="str">
        <x:v>主播直播间</x:v>
      </x:c>
      <x:c r="E241" s="5" t="str">
        <x:v>业务流程</x:v>
      </x:c>
      <x:c r="F241" s="5" t="str">
        <x:v>P1</x:v>
      </x:c>
      <x:c r="G241" s="5" t="str">
        <x:v>验证账号拉黑限制私信</x:v>
      </x:c>
      <x:c r="H241" s="5" t="str">
        <x:v>账号拉黑私信限制</x:v>
      </x:c>
      <x:c r="I241" s="5" t="str">
        <x:v>1. 主播与目标用户不存在账号拉黑关系
2. 双方当前可以发送私信</x:v>
      </x:c>
      <x:c r="J241" s="5" t="str">
        <x:v>1. 主播拉黑目标用户账号
2. 双方尝试发送私信</x:v>
      </x:c>
      <x:c r="K241" s="5" t="str">
        <x:v>主播与目标用户之间不能继续发送私信</x:v>
      </x:c>
      <x:c r="L241" s="5" t="str"/>
      <x:c r="M241" s="5" t="str">
        <x:v>未测</x:v>
      </x:c>
      <x:c r="N241" s="5" t="str"/>
      <x:c r="O241" s="5" t="str">
        <x:v>1. 来源：context/系统概要 .md（当前全局业务规则）
2. 追溯：业务底稿 LIVE-080。
3. 质量修正：按 RCL-0018 执行最小前置条件和单分支检查
4. 同步追溯：work/liveshow-user-app-all-260901-001/prototype-context-sync-result.json；RSL-0002、RSL-0003
5. 全局证据追溯：work/liveshow-user-app-all-260901-001/global-evidence-scan-result.json；扫描模式 full</x:v>
      </x:c>
    </x:row>
    <x:row r="242" ht="127.5" customHeight="1">
      <x:c r="A242" s="5" t="n">
        <x:v>241</x:v>
      </x:c>
      <x:c r="B242" s="5" t="str">
        <x:v>LIVE-188</x:v>
      </x:c>
      <x:c r="C242" s="5" t="str">
        <x:v>用户App-直播</x:v>
      </x:c>
      <x:c r="D242" s="5" t="str">
        <x:v>主播直播间</x:v>
      </x:c>
      <x:c r="E242" s="5" t="str">
        <x:v>业务流程</x:v>
      </x:c>
      <x:c r="F242" s="5" t="str">
        <x:v>P1</x:v>
      </x:c>
      <x:c r="G242" s="5" t="str">
        <x:v>验证账号拉黑不改变既有粉丝团团籍</x:v>
      </x:c>
      <x:c r="H242" s="5" t="str">
        <x:v>账号拉黑团籍保持</x:v>
      </x:c>
      <x:c r="I242" s="5" t="str">
        <x:v>1. 主播与目标用户不存在账号拉黑关系
2. 目标用户已加入该主播粉丝团</x:v>
      </x:c>
      <x:c r="J242" s="5" t="str">
        <x:v>1. 主播拉黑目标用户账号
2. 检查目标用户的粉丝团团籍</x:v>
      </x:c>
      <x:c r="K242" s="5" t="str">
        <x:v>已有粉丝团团籍不变</x:v>
      </x:c>
      <x:c r="L242" s="5" t="str"/>
      <x:c r="M242" s="5" t="str">
        <x:v>未测</x:v>
      </x:c>
      <x:c r="N242" s="5" t="str"/>
      <x:c r="O242" s="5" t="str">
        <x:v>1. 来源：context/系统概要 .md（当前全局业务规则）
2. 追溯：业务底稿 LIVE-080。
3. 质量修正：按 RCL-0018 执行最小前置条件和单分支检查
4. 同步追溯：work/liveshow-user-app-all-260901-001/prototype-context-sync-result.json；RSL-0002、RSL-0003
5. 全局证据追溯：work/liveshow-user-app-all-260901-001/global-evidence-scan-result.json；扫描模式 full
6. 规则冲突追溯：context/系统概要 .md 与 prototype/assets/annotations.js 的账号拉黑关系后果不一致；按 prototype-primary 采用原型批注
7. 来源：prototype/assets/annotations.js 第564、579条账号拉黑批注</x:v>
      </x:c>
    </x:row>
    <x:row r="243" ht="115.5" customHeight="1">
      <x:c r="A243" s="5" t="n">
        <x:v>242</x:v>
      </x:c>
      <x:c r="B243" s="5" t="str">
        <x:v>LIVE-189</x:v>
      </x:c>
      <x:c r="C243" s="5" t="str">
        <x:v>用户App-直播</x:v>
      </x:c>
      <x:c r="D243" s="5" t="str">
        <x:v>主播直播间</x:v>
      </x:c>
      <x:c r="E243" s="5" t="str">
        <x:v>业务流程</x:v>
      </x:c>
      <x:c r="F243" s="5" t="str">
        <x:v>P1</x:v>
      </x:c>
      <x:c r="G243" s="5" t="str">
        <x:v>验证解除账号拉黑恢复账号互动</x:v>
      </x:c>
      <x:c r="H243" s="5" t="str">
        <x:v>解除拉黑社交恢复</x:v>
      </x:c>
      <x:c r="I243" s="5" t="str">
        <x:v>1. 主播与目标用户存在账号拉黑关系
2. 双方不存在平台封禁
3. 目标用户不在该主播直播间黑名单内</x:v>
      </x:c>
      <x:c r="J243" s="5" t="str">
        <x:v>1. 解除双方账号拉黑关系
2. 目标用户尝试进入该主播直播间
3. 双方尝试发送私信和好友申请</x:v>
      </x:c>
      <x:c r="K243" s="5" t="str">
        <x:v>双方恢复私信和好友申请资格</x:v>
      </x:c>
      <x:c r="L243" s="5" t="str"/>
      <x:c r="M243" s="5" t="str">
        <x:v>未测</x:v>
      </x:c>
      <x:c r="N243" s="5" t="str"/>
      <x:c r="O243" s="5" t="str">
        <x:v>1. 来源：context/系统概要 .md（当前全局业务规则）
2. 追溯：业务底稿 LIVE-081。
3. 同步追溯：work/liveshow-user-app-all-260901-001/prototype-context-sync-result.json；RSL-0002、RSL-0003
4. 全局证据追溯：work/liveshow-user-app-all-260901-001/global-evidence-scan-result.json；扫描模式 full
5. 规则冲突追溯：context/系统概要 .md 与 prototype/assets/annotations.js 的账号拉黑关系后果不一致；按 prototype-primary 采用原型批注
6. 来源：prototype/assets/annotations.js 第564、579条账号拉黑批注</x:v>
      </x:c>
    </x:row>
    <x:row r="244" ht="115.5" customHeight="1">
      <x:c r="A244" s="5" t="n">
        <x:v>243</x:v>
      </x:c>
      <x:c r="B244" s="5" t="str">
        <x:v>LIVE-190</x:v>
      </x:c>
      <x:c r="C244" s="5" t="str">
        <x:v>用户App-直播</x:v>
      </x:c>
      <x:c r="D244" s="5" t="str">
        <x:v>主播直播间</x:v>
      </x:c>
      <x:c r="E244" s="5" t="str">
        <x:v>业务流程</x:v>
      </x:c>
      <x:c r="F244" s="5" t="str">
        <x:v>P1</x:v>
      </x:c>
      <x:c r="G244" s="5" t="str">
        <x:v>验证解除账号拉黑恢复进房资格</x:v>
      </x:c>
      <x:c r="H244" s="5" t="str">
        <x:v>解除拉黑进房恢复</x:v>
      </x:c>
      <x:c r="I244" s="5" t="str">
        <x:v>1. 主播与目标用户存在账号拉黑关系
2. 双方不存在平台封禁
3. 目标用户不在该主播直播间黑名单内</x:v>
      </x:c>
      <x:c r="J244" s="5" t="str">
        <x:v>1. 解除双方账号拉黑关系
2. 目标用户尝试进入该主播直播间
3. 双方尝试发送私信和好友申请</x:v>
      </x:c>
      <x:c r="K244" s="5" t="str">
        <x:v>目标用户恢复进入该主播直播间的资格</x:v>
      </x:c>
      <x:c r="L244" s="5" t="str"/>
      <x:c r="M244" s="5" t="str">
        <x:v>未测</x:v>
      </x:c>
      <x:c r="N244" s="5" t="str"/>
      <x:c r="O244" s="5" t="str">
        <x:v>1. 来源：context/系统概要 .md（当前全局业务规则）
2. 追溯：业务底稿 LIVE-081。
3. 同步追溯：work/liveshow-user-app-all-260901-001/prototype-context-sync-result.json；RSL-0002、RSL-0003
4. 全局证据追溯：work/liveshow-user-app-all-260901-001/global-evidence-scan-result.json；扫描模式 full
5. 规则冲突追溯：context/系统概要 .md 与 prototype/assets/annotations.js 的账号拉黑关系后果不一致；按 prototype-primary 采用原型批注
6. 来源：prototype/assets/annotations.js 第564、579条账号拉黑批注</x:v>
      </x:c>
    </x:row>
    <x:row r="245" ht="115.5" customHeight="1">
      <x:c r="A245" s="5" t="n">
        <x:v>244</x:v>
      </x:c>
      <x:c r="B245" s="5" t="str">
        <x:v>LIVE-191</x:v>
      </x:c>
      <x:c r="C245" s="5" t="str">
        <x:v>用户App-直播</x:v>
      </x:c>
      <x:c r="D245" s="5" t="str">
        <x:v>主播直播间</x:v>
      </x:c>
      <x:c r="E245" s="5" t="str">
        <x:v>业务流程</x:v>
      </x:c>
      <x:c r="F245" s="5" t="str">
        <x:v>P1</x:v>
      </x:c>
      <x:c r="G245" s="5" t="str">
        <x:v>验证解除账号拉黑不清除其他限制</x:v>
      </x:c>
      <x:c r="H245" s="5" t="str">
        <x:v>解除拉黑限制隔离</x:v>
      </x:c>
      <x:c r="I245" s="5" t="str">
        <x:v>1. 主播与目标用户存在账号拉黑关系
2. 双方不存在平台封禁
3. 目标用户不在该主播直播间黑名单内</x:v>
      </x:c>
      <x:c r="J245" s="5" t="str">
        <x:v>1. 解除双方账号拉黑关系
2. 目标用户尝试进入该主播直播间
3. 双方尝试发送私信和好友申请</x:v>
      </x:c>
      <x:c r="K245" s="5" t="str">
        <x:v>其他独立限制不因解除账号拉黑而变化</x:v>
      </x:c>
      <x:c r="L245" s="5" t="str"/>
      <x:c r="M245" s="5" t="str">
        <x:v>未测</x:v>
      </x:c>
      <x:c r="N245" s="5" t="str"/>
      <x:c r="O245" s="5" t="str">
        <x:v>1. 来源：context/系统概要 .md（当前全局业务规则）
2. 追溯：业务底稿 LIVE-081。
3. 同步追溯：work/liveshow-user-app-all-260901-001/prototype-context-sync-result.json；RSL-0002、RSL-0003
4. 全局证据追溯：work/liveshow-user-app-all-260901-001/global-evidence-scan-result.json；扫描模式 full
5. 规则冲突追溯：context/系统概要 .md 与 prototype/assets/annotations.js 的账号拉黑关系后果不一致；按 prototype-primary 采用原型批注
6. 来源：prototype/assets/annotations.js 第564、579条账号拉黑批注</x:v>
      </x:c>
    </x:row>
    <x:row r="246" ht="127.5" customHeight="1">
      <x:c r="A246" s="5" t="n">
        <x:v>245</x:v>
      </x:c>
      <x:c r="B246" s="5" t="str">
        <x:v>LIVE-192</x:v>
      </x:c>
      <x:c r="C246" s="5" t="str">
        <x:v>用户App-直播</x:v>
      </x:c>
      <x:c r="D246" s="5" t="str">
        <x:v>主播直播间</x:v>
      </x:c>
      <x:c r="E246" s="5" t="str">
        <x:v>功能需求</x:v>
      </x:c>
      <x:c r="F246" s="5" t="str">
        <x:v>P2</x:v>
      </x:c>
      <x:c r="G246" s="5" t="str">
        <x:v>验证主播清屏仅清除当前公屏展示</x:v>
      </x:c>
      <x:c r="H246" s="5" t="str">
        <x:v>直播间清屏</x:v>
      </x:c>
      <x:c r="I246" s="5" t="str">
        <x:v>1. 当前公屏存在多条互动消息
2. 主播正在直播</x:v>
      </x:c>
      <x:c r="J246" s="5" t="str">
        <x:v>1. 打开直播设置
2. 点击“清屏”</x:v>
      </x:c>
      <x:c r="K246" s="5" t="str">
        <x:v>主播清屏后，当前公屏已展示的互动消息被移除</x:v>
      </x:c>
      <x:c r="L246" s="5" t="str"/>
      <x:c r="M246" s="5" t="str">
        <x:v>未测</x:v>
      </x:c>
      <x:c r="N246" s="5" t="str"/>
      <x:c r="O246" s="5" t="str">
        <x:v>1. 来源：context/01-用户主播App-项目需求清单.md
2. 来源：context/系统概要 .md（当前全局业务规则）
3. 来源：prototype/assets/annotations.js
4. 来源：对应 HTML 静态原型；未动态验证
5. 追溯：业务底稿 LIVE-082。
6. 质量修正：按 RCL-0018 执行最小前置条件和单分支检查
7. 同步追溯：work/liveshow-user-app-all-260901-001/prototype-context-sync-result.json；RSL-0002、RSL-0003
8. 全局证据追溯：work/liveshow-user-app-all-260901-001/global-evidence-scan-result.json；扫描模式 full</x:v>
      </x:c>
    </x:row>
    <x:row r="247" ht="91.5" customHeight="1">
      <x:c r="A247" s="5" t="n">
        <x:v>246</x:v>
      </x:c>
      <x:c r="B247" s="5" t="str">
        <x:v>LIVE-193</x:v>
      </x:c>
      <x:c r="C247" s="5" t="str">
        <x:v>用户App-直播</x:v>
      </x:c>
      <x:c r="D247" s="5" t="str">
        <x:v>主播直播间</x:v>
      </x:c>
      <x:c r="E247" s="5" t="str">
        <x:v>功能需求</x:v>
      </x:c>
      <x:c r="F247" s="5" t="str">
        <x:v>P1</x:v>
      </x:c>
      <x:c r="G247" s="5" t="str">
        <x:v>验证普通房主播直播设置菜单</x:v>
      </x:c>
      <x:c r="H247" s="5" t="str">
        <x:v>普通房直播设置菜单</x:v>
      </x:c>
      <x:c r="I247" s="5" t="str">
        <x:v>1. 主播正在普通房直播</x:v>
      </x:c>
      <x:c r="J247" s="5" t="str">
        <x:v>1. 点击直播间底部“…”</x:v>
      </x:c>
      <x:c r="K247" s="5" t="str">
        <x:v>直播设置菜单展示美颜设置、禁言列表、房间密码、清屏和转至粉丝群</x:v>
      </x:c>
      <x:c r="L247" s="5" t="str"/>
      <x:c r="M247" s="5" t="str">
        <x:v>未测</x:v>
      </x:c>
      <x:c r="N247" s="5" t="str"/>
      <x:c r="O247" s="5" t="str">
        <x:v>1. 来源：prototype/assets/annotations.js
2. 来源：对应 HTML 静态原型；未动态验证
3. 追溯：业务底稿 LIVE-099。
4. 同步追溯：work/liveshow-user-app-all-260901-001/prototype-context-sync-result.json；RSL-0002、RSL-0003
5. 全局证据追溯：work/liveshow-user-app-all-260901-001/global-evidence-scan-result.json；扫描模式 full</x:v>
      </x:c>
    </x:row>
    <x:row r="248" ht="115.5" customHeight="1">
      <x:c r="A248" s="5" t="n">
        <x:v>247</x:v>
      </x:c>
      <x:c r="B248" s="5" t="str">
        <x:v>LIVE-194</x:v>
      </x:c>
      <x:c r="C248" s="5" t="str">
        <x:v>用户App-直播</x:v>
      </x:c>
      <x:c r="D248" s="5" t="str">
        <x:v>主播直播间</x:v>
      </x:c>
      <x:c r="E248" s="5" t="str">
        <x:v>功能需求</x:v>
      </x:c>
      <x:c r="F248" s="5" t="str">
        <x:v>P1</x:v>
      </x:c>
      <x:c r="G248" s="5" t="str">
        <x:v>验证主播查看禁言用户列表</x:v>
      </x:c>
      <x:c r="H248" s="5" t="str">
        <x:v>禁言用户列表范围</x:v>
      </x:c>
      <x:c r="I248" s="5" t="str">
        <x:v>1. 主播正在直播
2. 当前场次同时存在一名已禁言用户和一名已踢出用户</x:v>
      </x:c>
      <x:c r="J248" s="5" t="str">
        <x:v>1. 打开直播设置
2. 点击“禁用用户”</x:v>
      </x:c>
      <x:c r="K248" s="5" t="str">
        <x:v>“禁言用户”列表仅展示已被禁言的用户</x:v>
      </x:c>
      <x:c r="L248" s="5" t="str"/>
      <x:c r="M248" s="5" t="str">
        <x:v>未测</x:v>
      </x:c>
      <x:c r="N248" s="5" t="str"/>
      <x:c r="O248" s="5" t="str">
        <x:v>1. 来源：prototype/assets/annotations.js
2. 来源：prototype/assets/live-muted-users.js
3. 来源：对应 HTML 静态原型；未动态验证
4. 追溯：业务底稿 LIVE-100。
5. 质量修正：按 RCL-0018 执行最小前置条件和单分支检查
6. 同步追溯：work/liveshow-user-app-all-260901-001/prototype-context-sync-result.json；RSL-0002、RSL-0003
7. 全局证据追溯：work/liveshow-user-app-all-260901-001/global-evidence-scan-result.json；扫描模式 full</x:v>
      </x:c>
    </x:row>
    <x:row r="249" ht="103.5" customHeight="1">
      <x:c r="A249" s="5" t="n">
        <x:v>248</x:v>
      </x:c>
      <x:c r="B249" s="5" t="str">
        <x:v>LIVE-195</x:v>
      </x:c>
      <x:c r="C249" s="5" t="str">
        <x:v>用户App-直播</x:v>
      </x:c>
      <x:c r="D249" s="5" t="str">
        <x:v>主播直播间</x:v>
      </x:c>
      <x:c r="E249" s="5" t="str">
        <x:v>业务流程</x:v>
      </x:c>
      <x:c r="F249" s="5" t="str">
        <x:v>P1</x:v>
      </x:c>
      <x:c r="G249" s="5" t="str">
        <x:v>验证主播二次确认后解除用户禁言</x:v>
      </x:c>
      <x:c r="H249" s="5" t="str">
        <x:v>解除禁言确认</x:v>
      </x:c>
      <x:c r="I249" s="5" t="str">
        <x:v>1. 主播正在直播
2. 目标用户处于当前场次禁言状态</x:v>
      </x:c>
      <x:c r="J249" s="5" t="str">
        <x:v>1. 进入禁用用户列表
2. 点击目标用户的解除禁言操作
3. 完成两次确认</x:v>
      </x:c>
      <x:c r="K249" s="5" t="str">
        <x:v>目标用户的当前场次禁言状态被解除</x:v>
      </x:c>
      <x:c r="L249" s="5" t="str"/>
      <x:c r="M249" s="5" t="str">
        <x:v>未测</x:v>
      </x:c>
      <x:c r="N249" s="5" t="str"/>
      <x:c r="O249" s="5" t="str">
        <x:v>1. 来源：prototype/assets/annotations.js
2. 来源：prototype/assets/live-muted-users.js
3. 来源：对应 HTML 静态原型；未动态验证
4. 追溯：业务底稿 LIVE-101。
5. 同步追溯：work/liveshow-user-app-all-260901-001/prototype-context-sync-result.json；RSL-0002、RSL-0003
6. 全局证据追溯：work/liveshow-user-app-all-260901-001/global-evidence-scan-result.json；扫描模式 full</x:v>
      </x:c>
    </x:row>
    <x:row r="250" ht="142.5" customHeight="1">
      <x:c r="A250" s="5" t="n">
        <x:v>249</x:v>
      </x:c>
      <x:c r="B250" s="5" t="str">
        <x:v>LIVE-196</x:v>
      </x:c>
      <x:c r="C250" s="5" t="str">
        <x:v>用户App-直播</x:v>
      </x:c>
      <x:c r="D250" s="5" t="str">
        <x:v>主播直播间</x:v>
      </x:c>
      <x:c r="E250" s="5" t="str">
        <x:v>业务流程</x:v>
      </x:c>
      <x:c r="F250" s="5" t="str">
        <x:v>P1</x:v>
      </x:c>
      <x:c r="G250" s="5" t="str">
        <x:v>验证密码房主播修改房间密码</x:v>
      </x:c>
      <x:c r="H250" s="5" t="str">
        <x:v>直播中修改密码</x:v>
      </x:c>
      <x:c r="I250" s="5" t="str">
        <x:v>1. 主播正在密码房直播
2. 准备符合最终密码规则的新密码</x:v>
      </x:c>
      <x:c r="J250" s="5" t="str">
        <x:v>1. 打开房间密码面板
2. 输入新的 8 位数字密码
3. 点击“保存密码”</x:v>
      </x:c>
      <x:c r="K250" s="5" t="str">
        <x:v>房间密码更新为输入的 8 位数字</x:v>
      </x:c>
      <x:c r="L250" s="5" t="str">
        <x:v>FLOW-LIVE-003</x:v>
      </x:c>
      <x:c r="M250" s="5" t="str">
        <x:v>未测</x:v>
      </x:c>
      <x:c r="N250" s="5" t="str"/>
      <x:c r="O250" s="5" t="str">
        <x:v>1. 来源：context/系统概要 .md（当前全局业务规则）
2. 来源：prototype/assets/annotations.js
3. 来源：对应 HTML 静态原型；未动态验证
4. 说明：密码精确长度与字符类型仍以 Q-003 确认为准。
5. 追溯：业务底稿 LIVE-102。
6. 流程：阶段 03：主播直播中修改密码；共同业务对象：密码房场次（数据别名：LIVE-SESSION-P01）。
7. 共同业务对象：同一密码房场次
8. 流程阶段：直播中修改密码
9. 同步追溯：work/liveshow-user-app-all-260901-001/prototype-context-sync-result.json；RSL-0002、RSL-0003
10. 全局证据追溯：work/liveshow-user-app-all-260901-001/global-evidence-scan-result.json；扫描模式 full</x:v>
      </x:c>
    </x:row>
    <x:row r="251" ht="91.5" customHeight="1">
      <x:c r="A251" s="5" t="n">
        <x:v>250</x:v>
      </x:c>
      <x:c r="B251" s="5" t="str">
        <x:v>LIVE-197</x:v>
      </x:c>
      <x:c r="C251" s="5" t="str">
        <x:v>用户App-直播</x:v>
      </x:c>
      <x:c r="D251" s="5" t="str">
        <x:v>主播直播间</x:v>
      </x:c>
      <x:c r="E251" s="5" t="str">
        <x:v>业务流程</x:v>
      </x:c>
      <x:c r="F251" s="5" t="str">
        <x:v>P2</x:v>
      </x:c>
      <x:c r="G251" s="5" t="str">
        <x:v>验证主播确认转发直播间给粉丝群</x:v>
      </x:c>
      <x:c r="H251" s="5" t="str">
        <x:v>转发至粉丝群</x:v>
      </x:c>
      <x:c r="I251" s="5" t="str">
        <x:v>1. 主播正在直播
2. 主播已创建粉丝群</x:v>
      </x:c>
      <x:c r="J251" s="5" t="str">
        <x:v>1. 打开直播设置
2. 点击“转发”
3. 选择置顶的粉丝群
4. 确认转发</x:v>
      </x:c>
      <x:c r="K251" s="5" t="str">
        <x:v>目标粉丝群收到可进入当前直播间的直播房间卡片</x:v>
      </x:c>
      <x:c r="L251" s="5" t="str"/>
      <x:c r="M251" s="5" t="str">
        <x:v>未测</x:v>
      </x:c>
      <x:c r="N251" s="5" t="str"/>
      <x:c r="O251" s="5" t="str">
        <x:v>1. 来源：prototype/assets/annotations.js
2. 来源：对应 HTML 静态原型；未动态验证
3. 追溯：业务底稿 LIVE-103。
4. 同步追溯：work/liveshow-user-app-all-260901-001/prototype-context-sync-result.json；RSL-0002、RSL-0003
5. 全局证据追溯：work/liveshow-user-app-all-260901-001/global-evidence-scan-result.json；扫描模式 full</x:v>
      </x:c>
    </x:row>
    <x:row r="252" ht="91.5" customHeight="1">
      <x:c r="A252" s="5" t="n">
        <x:v>251</x:v>
      </x:c>
      <x:c r="B252" s="5" t="str">
        <x:v>LIVE-198</x:v>
      </x:c>
      <x:c r="C252" s="5" t="str">
        <x:v>用户App-直播</x:v>
      </x:c>
      <x:c r="D252" s="5" t="str">
        <x:v>主播直播间</x:v>
      </x:c>
      <x:c r="E252" s="5" t="str">
        <x:v>功能需求</x:v>
      </x:c>
      <x:c r="F252" s="5" t="str">
        <x:v>P1</x:v>
      </x:c>
      <x:c r="G252" s="5" t="str">
        <x:v>验证主播查看本场贡献和收到礼物</x:v>
      </x:c>
      <x:c r="H252" s="5" t="str">
        <x:v>本场贡献与收礼入口</x:v>
      </x:c>
      <x:c r="I252" s="5" t="str">
        <x:v>1. 主播正在直播
2. 当前场次已有观众送礼数据</x:v>
      </x:c>
      <x:c r="J252" s="5" t="str">
        <x:v>1. 点击直播间顶部的本场贡献数值</x:v>
      </x:c>
      <x:c r="K252" s="5" t="str">
        <x:v>页面展示当前场次的贡献榜和收到礼物记录</x:v>
      </x:c>
      <x:c r="L252" s="5" t="str"/>
      <x:c r="M252" s="5" t="str">
        <x:v>未测</x:v>
      </x:c>
      <x:c r="N252" s="5" t="str"/>
      <x:c r="O252" s="5" t="str">
        <x:v>1. 来源：prototype/assets/annotations.js
2. 来源：对应 HTML 静态原型；未动态验证
3. 追溯：业务底稿 LIVE-104。
4. 同步追溯：work/liveshow-user-app-all-260901-001/prototype-context-sync-result.json；RSL-0002、RSL-0003
5. 全局证据追溯：work/liveshow-user-app-all-260901-001/global-evidence-scan-result.json；扫描模式 full</x:v>
      </x:c>
    </x:row>
    <x:row r="253" ht="91.5" customHeight="1">
      <x:c r="A253" s="5" t="n">
        <x:v>252</x:v>
      </x:c>
      <x:c r="B253" s="5" t="str">
        <x:v>LIVE-199</x:v>
      </x:c>
      <x:c r="C253" s="5" t="str">
        <x:v>用户App-直播</x:v>
      </x:c>
      <x:c r="D253" s="5" t="str">
        <x:v>主播直播间</x:v>
      </x:c>
      <x:c r="E253" s="5" t="str">
        <x:v>逻辑校验</x:v>
      </x:c>
      <x:c r="F253" s="5" t="str">
        <x:v>P2</x:v>
      </x:c>
      <x:c r="G253" s="5" t="str">
        <x:v>验证普通房房间密码入口不可用</x:v>
      </x:c>
      <x:c r="H253" s="5" t="str">
        <x:v>普通房密码入口限制</x:v>
      </x:c>
      <x:c r="I253" s="5" t="str">
        <x:v>1. 主播正在普通房直播</x:v>
      </x:c>
      <x:c r="J253" s="5" t="str">
        <x:v>1. 打开直播设置
2. 查看并点击房间密码入口</x:v>
      </x:c>
      <x:c r="K253" s="5" t="str">
        <x:v>普通房的房间密码入口置灰</x:v>
      </x:c>
      <x:c r="L253" s="5" t="str"/>
      <x:c r="M253" s="5" t="str">
        <x:v>未测</x:v>
      </x:c>
      <x:c r="N253" s="5" t="str"/>
      <x:c r="O253" s="5" t="str">
        <x:v>1. 来源：prototype/assets/annotations.js
2. 来源：对应 HTML 静态原型；未动态验证
3. 追溯：业务底稿 LIVE-108。
4. 同步追溯：work/liveshow-user-app-all-260901-001/prototype-context-sync-result.json；RSL-0002、RSL-0003
5. 全局证据追溯：work/liveshow-user-app-all-260901-001/global-evidence-scan-result.json；扫描模式 full</x:v>
      </x:c>
    </x:row>
    <x:row r="254" ht="115.5" customHeight="1">
      <x:c r="A254" s="5" t="n">
        <x:v>253</x:v>
      </x:c>
      <x:c r="B254" s="5" t="str">
        <x:v>LIVE-200</x:v>
      </x:c>
      <x:c r="C254" s="5" t="str">
        <x:v>用户App-直播</x:v>
      </x:c>
      <x:c r="D254" s="5" t="str">
        <x:v>主播直播间</x:v>
      </x:c>
      <x:c r="E254" s="5" t="str">
        <x:v>功能需求</x:v>
      </x:c>
      <x:c r="F254" s="5" t="str">
        <x:v>P2</x:v>
      </x:c>
      <x:c r="G254" s="5" t="str">
        <x:v>验证密码房修改密码成功反馈</x:v>
      </x:c>
      <x:c r="H254" s="5" t="str">
        <x:v>修改密码成功反馈</x:v>
      </x:c>
      <x:c r="I254" s="5" t="str">
        <x:v>1. 主播正在密码房直播
2. 新密码为 8 位数字 13572468</x:v>
      </x:c>
      <x:c r="J254" s="5" t="str">
        <x:v>1. 打开直播设置
2. 进入房间密码设置
3. 输入 13572468
4. 点击“保存密码”</x:v>
      </x:c>
      <x:c r="K254" s="5" t="str">
        <x:v>页面提示“房间密码已修改”</x:v>
      </x:c>
      <x:c r="L254" s="5" t="str">
        <x:v>FLOW-LIVE-003</x:v>
      </x:c>
      <x:c r="M254" s="5" t="str">
        <x:v>未测</x:v>
      </x:c>
      <x:c r="N254" s="5" t="str"/>
      <x:c r="O254" s="5" t="str">
        <x:v>1. 来源：prototype/assets/common.js 动态交互脚本
2. 静态分析已确认事件绑定；未在浏览器动态验证
3. 补充原因：业务结果完整性扫描发现独立反馈观察点未覆盖
4. 共同业务对象：同一密码房场次
5. 流程阶段：修改密码成功反馈
6. 同步追溯：work/liveshow-user-app-all-260901-001/prototype-context-sync-result.json；RSL-0002、RSL-0003
7. 全局证据追溯：work/liveshow-user-app-all-260901-001/global-evidence-scan-result.json；扫描模式 full</x:v>
      </x:c>
    </x:row>
    <x:row r="255" ht="91.5" customHeight="1">
      <x:c r="A255" s="5" t="n">
        <x:v>254</x:v>
      </x:c>
      <x:c r="B255" s="5" t="str">
        <x:v>LIVE-201</x:v>
      </x:c>
      <x:c r="C255" s="5" t="str">
        <x:v>用户App-直播</x:v>
      </x:c>
      <x:c r="D255" s="5" t="str">
        <x:v>主播直播间</x:v>
      </x:c>
      <x:c r="E255" s="5" t="str">
        <x:v>功能需求</x:v>
      </x:c>
      <x:c r="F255" s="5" t="str">
        <x:v>P2</x:v>
      </x:c>
      <x:c r="G255" s="5" t="str">
        <x:v>验证转发直播间成功反馈</x:v>
      </x:c>
      <x:c r="H255" s="5" t="str">
        <x:v>转发成功反馈</x:v>
      </x:c>
      <x:c r="I255" s="5" t="str">
        <x:v>1. 主播正在直播
2. 主播存在“Sari 粉丝团”</x:v>
      </x:c>
      <x:c r="J255" s="5" t="str">
        <x:v>1. 打开直播设置
2. 点击“转发”
3. 选择“Sari 粉丝团”
4. 确认转发</x:v>
      </x:c>
      <x:c r="K255" s="5" t="str">
        <x:v>页面提示“已转发至 Sari 粉丝团”</x:v>
      </x:c>
      <x:c r="L255" s="5" t="str"/>
      <x:c r="M255" s="5" t="str">
        <x:v>未测</x:v>
      </x:c>
      <x:c r="N255" s="5" t="str"/>
      <x:c r="O255" s="5" t="str">
        <x:v>1. 来源：prototype/assets/common.js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256" ht="91.5" customHeight="1">
      <x:c r="A256" s="5" t="n">
        <x:v>255</x:v>
      </x:c>
      <x:c r="B256" s="5" t="str">
        <x:v>LIVE-202</x:v>
      </x:c>
      <x:c r="C256" s="5" t="str">
        <x:v>用户App-直播</x:v>
      </x:c>
      <x:c r="D256" s="5" t="str">
        <x:v>主播直播间</x:v>
      </x:c>
      <x:c r="E256" s="5" t="str">
        <x:v>功能需求</x:v>
      </x:c>
      <x:c r="F256" s="5" t="str">
        <x:v>P2</x:v>
      </x:c>
      <x:c r="G256" s="5" t="str">
        <x:v>验证主播禁言成功反馈</x:v>
      </x:c>
      <x:c r="H256" s="5" t="str">
        <x:v>主播禁言反馈</x:v>
      </x:c>
      <x:c r="I256" s="5" t="str">
        <x:v>1. 主播正在直播
2. 目标用户未被禁言</x:v>
      </x:c>
      <x:c r="J256" s="5" t="str">
        <x:v>1. 打开目标用户资料卡
2. 点击“禁言”</x:v>
      </x:c>
      <x:c r="K256" s="5" t="str">
        <x:v>页面提示“已禁言”</x:v>
      </x:c>
      <x:c r="L256" s="5" t="str"/>
      <x:c r="M256" s="5" t="str">
        <x:v>未测</x:v>
      </x:c>
      <x:c r="N256" s="5" t="str"/>
      <x:c r="O256" s="5" t="str">
        <x:v>1. 来源：prototype/assets/common.js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257" ht="91.5" customHeight="1">
      <x:c r="A257" s="5" t="n">
        <x:v>256</x:v>
      </x:c>
      <x:c r="B257" s="5" t="str">
        <x:v>LIVE-203</x:v>
      </x:c>
      <x:c r="C257" s="5" t="str">
        <x:v>用户App-直播</x:v>
      </x:c>
      <x:c r="D257" s="5" t="str">
        <x:v>主播直播间</x:v>
      </x:c>
      <x:c r="E257" s="5" t="str">
        <x:v>功能需求</x:v>
      </x:c>
      <x:c r="F257" s="5" t="str">
        <x:v>P2</x:v>
      </x:c>
      <x:c r="G257" s="5" t="str">
        <x:v>验证主播解除禁言成功反馈</x:v>
      </x:c>
      <x:c r="H257" s="5" t="str">
        <x:v>主播解除禁言反馈</x:v>
      </x:c>
      <x:c r="I257" s="5" t="str">
        <x:v>1. 主播正在直播
2. 目标用户已被禁言</x:v>
      </x:c>
      <x:c r="J257" s="5" t="str">
        <x:v>1. 打开目标用户资料卡
2. 点击“解除禁言”</x:v>
      </x:c>
      <x:c r="K257" s="5" t="str">
        <x:v>页面提示“已解除禁言”</x:v>
      </x:c>
      <x:c r="L257" s="5" t="str"/>
      <x:c r="M257" s="5" t="str">
        <x:v>未测</x:v>
      </x:c>
      <x:c r="N257" s="5" t="str"/>
      <x:c r="O257" s="5" t="str">
        <x:v>1. 来源：prototype/assets/common.js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258" ht="91.5" customHeight="1">
      <x:c r="A258" s="5" t="n">
        <x:v>257</x:v>
      </x:c>
      <x:c r="B258" s="5" t="str">
        <x:v>LIVE-204</x:v>
      </x:c>
      <x:c r="C258" s="5" t="str">
        <x:v>用户App-直播</x:v>
      </x:c>
      <x:c r="D258" s="5" t="str">
        <x:v>主播直播间</x:v>
      </x:c>
      <x:c r="E258" s="5" t="str">
        <x:v>功能需求</x:v>
      </x:c>
      <x:c r="F258" s="5" t="str">
        <x:v>P2</x:v>
      </x:c>
      <x:c r="G258" s="5" t="str">
        <x:v>验证主播踢出用户成功反馈</x:v>
      </x:c>
      <x:c r="H258" s="5" t="str">
        <x:v>主播踢出反馈</x:v>
      </x:c>
      <x:c r="I258" s="5" t="str">
        <x:v>1. 主播正在直播
2. 目标用户在当前直播间</x:v>
      </x:c>
      <x:c r="J258" s="5" t="str">
        <x:v>1. 打开目标用户资料卡
2. 点击“踢出”</x:v>
      </x:c>
      <x:c r="K258" s="5" t="str">
        <x:v>页面提示“已踢出直播间”</x:v>
      </x:c>
      <x:c r="L258" s="5" t="str"/>
      <x:c r="M258" s="5" t="str">
        <x:v>未测</x:v>
      </x:c>
      <x:c r="N258" s="5" t="str"/>
      <x:c r="O258" s="5" t="str">
        <x:v>1. 来源：prototype/assets/common.js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259" ht="91.5" customHeight="1">
      <x:c r="A259" s="5" t="n">
        <x:v>258</x:v>
      </x:c>
      <x:c r="B259" s="5" t="str">
        <x:v>LIVE-205</x:v>
      </x:c>
      <x:c r="C259" s="5" t="str">
        <x:v>用户App-直播</x:v>
      </x:c>
      <x:c r="D259" s="5" t="str">
        <x:v>主播直播间</x:v>
      </x:c>
      <x:c r="E259" s="5" t="str">
        <x:v>功能需求</x:v>
      </x:c>
      <x:c r="F259" s="5" t="str">
        <x:v>P2</x:v>
      </x:c>
      <x:c r="G259" s="5" t="str">
        <x:v>验证主播设置房管成功反馈</x:v>
      </x:c>
      <x:c r="H259" s="5" t="str">
        <x:v>设置房管反馈</x:v>
      </x:c>
      <x:c r="I259" s="5" t="str">
        <x:v>1. 主播正在直播
2. 目标用户满足房管授权条件</x:v>
      </x:c>
      <x:c r="J259" s="5" t="str">
        <x:v>1. 打开目标用户资料卡
2. 点击“设房管”</x:v>
      </x:c>
      <x:c r="K259" s="5" t="str">
        <x:v>页面提示“已设为房管”</x:v>
      </x:c>
      <x:c r="L259" s="5" t="str"/>
      <x:c r="M259" s="5" t="str">
        <x:v>未测</x:v>
      </x:c>
      <x:c r="N259" s="5" t="str"/>
      <x:c r="O259" s="5" t="str">
        <x:v>1. 来源：prototype/assets/common.js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260" ht="91.5" customHeight="1">
      <x:c r="A260" s="5" t="n">
        <x:v>259</x:v>
      </x:c>
      <x:c r="B260" s="5" t="str">
        <x:v>LIVE-206</x:v>
      </x:c>
      <x:c r="C260" s="5" t="str">
        <x:v>用户App-直播</x:v>
      </x:c>
      <x:c r="D260" s="5" t="str">
        <x:v>主播直播间</x:v>
      </x:c>
      <x:c r="E260" s="5" t="str">
        <x:v>功能需求</x:v>
      </x:c>
      <x:c r="F260" s="5" t="str">
        <x:v>P2</x:v>
      </x:c>
      <x:c r="G260" s="5" t="str">
        <x:v>验证主播取消房管成功反馈</x:v>
      </x:c>
      <x:c r="H260" s="5" t="str">
        <x:v>取消房管反馈</x:v>
      </x:c>
      <x:c r="I260" s="5" t="str">
        <x:v>1. 主播正在直播
2. 目标用户是当前主播的房管</x:v>
      </x:c>
      <x:c r="J260" s="5" t="str">
        <x:v>1. 打开目标用户资料卡
2. 点击“取消房管”</x:v>
      </x:c>
      <x:c r="K260" s="5" t="str">
        <x:v>页面提示“已取消房管”</x:v>
      </x:c>
      <x:c r="L260" s="5" t="str"/>
      <x:c r="M260" s="5" t="str">
        <x:v>未测</x:v>
      </x:c>
      <x:c r="N260" s="5" t="str"/>
      <x:c r="O260" s="5" t="str">
        <x:v>1. 来源：prototype/assets/common.js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261" ht="91.5" customHeight="1">
      <x:c r="A261" s="5" t="n">
        <x:v>260</x:v>
      </x:c>
      <x:c r="B261" s="5" t="str">
        <x:v>LIVE-207</x:v>
      </x:c>
      <x:c r="C261" s="5" t="str">
        <x:v>用户App-直播</x:v>
      </x:c>
      <x:c r="D261" s="5" t="str">
        <x:v>主播直播间</x:v>
      </x:c>
      <x:c r="E261" s="5" t="str">
        <x:v>功能需求</x:v>
      </x:c>
      <x:c r="F261" s="5" t="str">
        <x:v>P2</x:v>
      </x:c>
      <x:c r="G261" s="5" t="str">
        <x:v>验证禁用用户列表恢复发言成功反馈</x:v>
      </x:c>
      <x:c r="H261" s="5" t="str">
        <x:v>恢复发言反馈</x:v>
      </x:c>
      <x:c r="I261" s="5" t="str">
        <x:v>1. 主播正在普通房直播
2. 用户 Nila 处于当前场次禁言状态</x:v>
      </x:c>
      <x:c r="J261" s="5" t="str">
        <x:v>1. 打开直播设置
2. 进入“禁用用户”
3. 点击 Nila 的“恢复发言”
4. 完成两次确认</x:v>
      </x:c>
      <x:c r="K261" s="5" t="str">
        <x:v>页面提示“已恢复 Nila 的发言”</x:v>
      </x:c>
      <x:c r="L261" s="5" t="str"/>
      <x:c r="M261" s="5" t="str">
        <x:v>未测</x:v>
      </x:c>
      <x:c r="N261" s="5" t="str"/>
      <x:c r="O261" s="5" t="str">
        <x:v>1. 来源：prototype/assets/live-muted-users.js 动态交互脚本
2. 静态分析已确认事件绑定；未在浏览器动态验证
3. 补充原因：业务结果完整性扫描发现独立反馈观察点未覆盖
4. 同步追溯：work/liveshow-user-app-all-260901-001/prototype-context-sync-result.json；RSL-0002、RSL-0003
5. 全局证据追溯：work/liveshow-user-app-all-260901-001/global-evidence-scan-result.json；扫描模式 full</x:v>
      </x:c>
    </x:row>
    <x:row r="262" ht="91.5" customHeight="1">
      <x:c r="A262" s="5" t="n">
        <x:v>261</x:v>
      </x:c>
      <x:c r="B262" s="5" t="str">
        <x:v>LIVE-208</x:v>
      </x:c>
      <x:c r="C262" s="5" t="str">
        <x:v>用户App-直播</x:v>
      </x:c>
      <x:c r="D262" s="5" t="str">
        <x:v>主播直播间</x:v>
      </x:c>
      <x:c r="E262" s="5" t="str">
        <x:v>功能需求</x:v>
      </x:c>
      <x:c r="F262" s="5" t="str">
        <x:v>P1</x:v>
      </x:c>
      <x:c r="G262" s="5" t="str">
        <x:v>验证恢复发言的第一次确认</x:v>
      </x:c>
      <x:c r="H262" s="5" t="str">
        <x:v>恢复发言首次确认</x:v>
      </x:c>
      <x:c r="I262" s="5" t="str">
        <x:v>1. 禁言用户列表存在 Nila</x:v>
      </x:c>
      <x:c r="J262" s="5" t="str">
        <x:v>1. 点击 Nila 的“恢复发言”</x:v>
      </x:c>
      <x:c r="K262" s="5" t="str">
        <x:v>页面显示“是否恢复用户在直播间评论发言”确认框</x:v>
      </x:c>
      <x:c r="L262" s="5" t="str"/>
      <x:c r="M262" s="5" t="str">
        <x:v>未测</x:v>
      </x:c>
      <x:c r="N262" s="5" t="str"/>
      <x:c r="O262" s="5" t="str">
        <x:v>1. 来源：prototype/assets/annotations.js
2. 来源：prototype/pages/user/live/live-room-host.html 与 prototype/assets/common.js；未动态验证
3. 同步追溯：work/liveshow-user-app-all-260901-001/prototype-context-sync-result.json；RSL-0002、RSL-0003
4. 全局证据追溯：work/liveshow-user-app-all-260901-001/global-evidence-scan-result.json；扫描模式 full</x:v>
      </x:c>
    </x:row>
    <x:row r="263" ht="115.5" customHeight="1">
      <x:c r="A263" s="5" t="n">
        <x:v>262</x:v>
      </x:c>
      <x:c r="B263" s="5" t="str">
        <x:v>LIVE-209</x:v>
      </x:c>
      <x:c r="C263" s="5" t="str">
        <x:v>用户App-直播</x:v>
      </x:c>
      <x:c r="D263" s="5" t="str">
        <x:v>主播直播间</x:v>
      </x:c>
      <x:c r="E263" s="5" t="str">
        <x:v>功能需求</x:v>
      </x:c>
      <x:c r="F263" s="5" t="str">
        <x:v>P1</x:v>
      </x:c>
      <x:c r="G263" s="5" t="str">
        <x:v>验证恢复发言需要第二次确认</x:v>
      </x:c>
      <x:c r="H263" s="5" t="str">
        <x:v>恢复发言二次确认</x:v>
      </x:c>
      <x:c r="I263" s="5" t="str">
        <x:v>1. 恢复发言的首次确认框已打开</x:v>
      </x:c>
      <x:c r="J263" s="5" t="str">
        <x:v>1. 点击“恢复”</x:v>
      </x:c>
      <x:c r="K263" s="5" t="str">
        <x:v>页面再次显示恢复发言确认框</x:v>
      </x:c>
      <x:c r="L263" s="5" t="str"/>
      <x:c r="M263" s="5" t="str">
        <x:v>未测</x:v>
      </x:c>
      <x:c r="N263" s="5" t="str"/>
      <x:c r="O263" s="5" t="str">
        <x:v>1. 来源：context/01-用户主播App-项目需求清单.md（2026-08-29 按原型同步，RSL-0002）
2. 来源：prototype/assets/annotations.js
3. 来源：prototype/pages/user/live/live-room-host.html 与 prototype/assets/common.js；未动态验证
4. 同步追溯：work/liveshow-user-app-all-260901-001/prototype-context-sync-result.json；RSL-0002、RSL-0003
5. 全局证据追溯：work/liveshow-user-app-all-260901-001/global-evidence-scan-result.json；扫描模式 full</x:v>
      </x:c>
    </x:row>
    <x:row r="264" ht="91.5" customHeight="1">
      <x:c r="A264" s="5" t="n">
        <x:v>263</x:v>
      </x:c>
      <x:c r="B264" s="5" t="str">
        <x:v>LIVE-210</x:v>
      </x:c>
      <x:c r="C264" s="5" t="str">
        <x:v>用户App-直播</x:v>
      </x:c>
      <x:c r="D264" s="5" t="str">
        <x:v>主播直播间</x:v>
      </x:c>
      <x:c r="E264" s="5" t="str">
        <x:v>功能需求</x:v>
      </x:c>
      <x:c r="F264" s="5" t="str">
        <x:v>P2</x:v>
      </x:c>
      <x:c r="G264" s="5" t="str">
        <x:v>验证取消恢复发言后保留禁言</x:v>
      </x:c>
      <x:c r="H264" s="5" t="str">
        <x:v>取消恢复发言</x:v>
      </x:c>
      <x:c r="I264" s="5" t="str">
        <x:v>1. 恢复发言确认框已打开
2. Nila 当前处于禁言状态</x:v>
      </x:c>
      <x:c r="J264" s="5" t="str">
        <x:v>1. 点击“取消”</x:v>
      </x:c>
      <x:c r="K264" s="5" t="str">
        <x:v>Nila 仍保持禁言状态</x:v>
      </x:c>
      <x:c r="L264" s="5" t="str"/>
      <x:c r="M264" s="5" t="str">
        <x:v>未测</x:v>
      </x:c>
      <x:c r="N264" s="5" t="str"/>
      <x:c r="O264" s="5" t="str">
        <x:v>1. 来源：prototype/assets/annotations.js
2. 来源：prototype/pages/user/live/live-room-host.html 与 prototype/assets/common.js；未动态验证
3. 同步追溯：work/liveshow-user-app-all-260901-001/prototype-context-sync-result.json；RSL-0002、RSL-0003
4. 全局证据追溯：work/liveshow-user-app-all-260901-001/global-evidence-scan-result.json；扫描模式 full</x:v>
      </x:c>
    </x:row>
    <x:row r="265" ht="115.5" customHeight="1">
      <x:c r="A265" s="5" t="n">
        <x:v>264</x:v>
      </x:c>
      <x:c r="B265" s="5" t="str">
        <x:v>LIVE-211</x:v>
      </x:c>
      <x:c r="C265" s="5" t="str">
        <x:v>用户App-直播</x:v>
      </x:c>
      <x:c r="D265" s="5" t="str">
        <x:v>主播直播间</x:v>
      </x:c>
      <x:c r="E265" s="5" t="str">
        <x:v>功能需求</x:v>
      </x:c>
      <x:c r="F265" s="5" t="str">
        <x:v>P1</x:v>
      </x:c>
      <x:c r="G265" s="5" t="str">
        <x:v>验证密码房展示当前房间密码</x:v>
      </x:c>
      <x:c r="H265" s="5" t="str">
        <x:v>当前房间密码回显</x:v>
      </x:c>
      <x:c r="I265" s="5" t="str">
        <x:v>1. 主播正在密码房直播</x:v>
      </x:c>
      <x:c r="J265" s="5" t="str">
        <x:v>1. 打开直播设置
2. 点击“房间密码”</x:v>
      </x:c>
      <x:c r="K265" s="5" t="str">
        <x:v>房间密码面板回显当前房间密码</x:v>
      </x:c>
      <x:c r="L265" s="5" t="str"/>
      <x:c r="M265" s="5" t="str">
        <x:v>未测</x:v>
      </x:c>
      <x:c r="N265" s="5" t="str"/>
      <x:c r="O265" s="5" t="str">
        <x:v>1. 来源：context/01-用户主播App-项目需求清单.md（2026-08-29 按原型同步，RSL-0002）
2. 来源：prototype/assets/annotations.js
3. 来源：prototype/pages/user/live/live-room-host-password.html 与 prototype/assets/common.js；未动态验证
4. 同步追溯：work/liveshow-user-app-all-260901-001/prototype-context-sync-result.json；RSL-0002、RSL-0003
5. 全局证据追溯：work/liveshow-user-app-all-260901-001/global-evidence-scan-result.json；扫描模式 full</x:v>
      </x:c>
    </x:row>
    <x:row r="266" ht="115.5" customHeight="1">
      <x:c r="A266" s="5" t="n">
        <x:v>265</x:v>
      </x:c>
      <x:c r="B266" s="5" t="str">
        <x:v>LIVE-212</x:v>
      </x:c>
      <x:c r="C266" s="5" t="str">
        <x:v>用户App-直播</x:v>
      </x:c>
      <x:c r="D266" s="5" t="str">
        <x:v>主播直播间</x:v>
      </x:c>
      <x:c r="E266" s="5" t="str">
        <x:v>逻辑校验</x:v>
      </x:c>
      <x:c r="F266" s="5" t="str">
        <x:v>P1</x:v>
      </x:c>
      <x:c r="G266" s="5" t="str">
        <x:v>验证直播中修改密码的 8 位数字校验</x:v>
      </x:c>
      <x:c r="H266" s="5" t="str">
        <x:v>修改密码格式校验</x:v>
      </x:c>
      <x:c r="I266" s="5" t="str">
        <x:v>1. 密码房的房间密码面板已打开</x:v>
      </x:c>
      <x:c r="J266" s="5" t="str">
        <x:v>1. 输入非 8 位数字的新密码
2. 点击“保存密码”</x:v>
      </x:c>
      <x:c r="K266" s="5" t="str">
        <x:v>页面提示“请输入 8 位数字密码”</x:v>
      </x:c>
      <x:c r="L266" s="5" t="str"/>
      <x:c r="M266" s="5" t="str">
        <x:v>未测</x:v>
      </x:c>
      <x:c r="N266" s="5" t="str"/>
      <x:c r="O266" s="5" t="str">
        <x:v>1. 来源：context/01-用户主播App-项目需求清单.md（2026-08-29 按原型同步，RSL-0002）
2. 来源：prototype/assets/annotations.js
3. 来源：prototype/pages/user/live/live-room-host-password.html 与 prototype/assets/common.js；未动态验证
4. 同步追溯：work/liveshow-user-app-all-260901-001/prototype-context-sync-result.json；RSL-0002、RSL-0003
5. 全局证据追溯：work/liveshow-user-app-all-260901-001/global-evidence-scan-result.json；扫描模式 full</x:v>
      </x:c>
    </x:row>
    <x:row r="267" ht="79.5" customHeight="1">
      <x:c r="A267" s="5" t="n">
        <x:v>266</x:v>
      </x:c>
      <x:c r="B267" s="5" t="str">
        <x:v>LIVE-213</x:v>
      </x:c>
      <x:c r="C267" s="5" t="str">
        <x:v>用户App-直播</x:v>
      </x:c>
      <x:c r="D267" s="5" t="str">
        <x:v>主播直播间</x:v>
      </x:c>
      <x:c r="E267" s="5" t="str">
        <x:v>功能需求</x:v>
      </x:c>
      <x:c r="F267" s="5" t="str">
        <x:v>P2</x:v>
      </x:c>
      <x:c r="G267" s="5" t="str">
        <x:v>验证取消转发粉丝群</x:v>
      </x:c>
      <x:c r="H267" s="5" t="str">
        <x:v>取消转发粉丝群</x:v>
      </x:c>
      <x:c r="I267" s="5" t="str">
        <x:v>1. 转发粉丝群确认框已打开</x:v>
      </x:c>
      <x:c r="J267" s="5" t="str">
        <x:v>1. 点击“取消”</x:v>
      </x:c>
      <x:c r="K267" s="5" t="str">
        <x:v>转发确认框关闭</x:v>
      </x:c>
      <x:c r="L267" s="5" t="str"/>
      <x:c r="M267" s="5" t="str">
        <x:v>未测</x:v>
      </x:c>
      <x:c r="N267" s="5" t="str"/>
      <x:c r="O267" s="5" t="str">
        <x:v>1. 来源：prototype/pages/user/live/live-room-host.html 与 prototype/assets/common.js；未动态验证
2. 同步追溯：work/liveshow-user-app-all-260901-001/prototype-context-sync-result.json；RSL-0002、RSL-0003
3. 全局证据追溯：work/liveshow-user-app-all-260901-001/global-evidence-scan-result.json；扫描模式 full</x:v>
      </x:c>
    </x:row>
    <x:row r="268" ht="115.5" customHeight="1">
      <x:c r="A268" s="5" t="n">
        <x:v>267</x:v>
      </x:c>
      <x:c r="B268" s="5" t="str">
        <x:v>LIVE-214</x:v>
      </x:c>
      <x:c r="C268" s="5" t="str">
        <x:v>用户App-直播</x:v>
      </x:c>
      <x:c r="D268" s="5" t="str">
        <x:v>主播直播间</x:v>
      </x:c>
      <x:c r="E268" s="5" t="str">
        <x:v>功能需求</x:v>
      </x:c>
      <x:c r="F268" s="5" t="str">
        <x:v>P1</x:v>
      </x:c>
      <x:c r="G268" s="5" t="str">
        <x:v>验证点击评论显示屏蔽入口</x:v>
      </x:c>
      <x:c r="H268" s="5" t="str">
        <x:v>屏蔽评论入口</x:v>
      </x:c>
      <x:c r="I268" s="5" t="str">
        <x:v>1. 主播直播间公屏存在观众评论</x:v>
      </x:c>
      <x:c r="J268" s="5" t="str">
        <x:v>1. 点击目标观众评论</x:v>
      </x:c>
      <x:c r="K268" s="5" t="str">
        <x:v>目标评论旁显示“屏蔽此评论”按钮</x:v>
      </x:c>
      <x:c r="L268" s="5" t="str"/>
      <x:c r="M268" s="5" t="str">
        <x:v>未测</x:v>
      </x:c>
      <x:c r="N268" s="5" t="str"/>
      <x:c r="O268" s="5" t="str">
        <x:v>1. 来源：context/01-用户主播App-项目需求清单.md（2026-08-29 按原型同步，RSL-0002）
2. 来源：prototype/assets/annotations.js
3. 来源：prototype/pages/user/live/live-room-host.html 与 prototype/assets/common.js；未动态验证
4. 同步追溯：work/liveshow-user-app-all-260901-001/prototype-context-sync-result.json；RSL-0002、RSL-0003
5. 全局证据追溯：work/liveshow-user-app-all-260901-001/global-evidence-scan-result.json；扫描模式 full</x:v>
      </x:c>
    </x:row>
    <x:row r="269" ht="115.5" customHeight="1">
      <x:c r="A269" s="5" t="n">
        <x:v>268</x:v>
      </x:c>
      <x:c r="B269" s="5" t="str">
        <x:v>LIVE-215</x:v>
      </x:c>
      <x:c r="C269" s="5" t="str">
        <x:v>用户App-直播</x:v>
      </x:c>
      <x:c r="D269" s="5" t="str">
        <x:v>主播直播间</x:v>
      </x:c>
      <x:c r="E269" s="5" t="str">
        <x:v>功能需求</x:v>
      </x:c>
      <x:c r="F269" s="5" t="str">
        <x:v>P1</x:v>
      </x:c>
      <x:c r="G269" s="5" t="str">
        <x:v>验证屏蔽当前评论</x:v>
      </x:c>
      <x:c r="H269" s="5" t="str">
        <x:v>当前评论移除</x:v>
      </x:c>
      <x:c r="I269" s="5" t="str">
        <x:v>1. 目标评论已显示“屏蔽此评论”按钮</x:v>
      </x:c>
      <x:c r="J269" s="5" t="str">
        <x:v>1. 点击“屏蔽此评论”</x:v>
      </x:c>
      <x:c r="K269" s="5" t="str">
        <x:v>目标评论从当前公屏移除</x:v>
      </x:c>
      <x:c r="L269" s="5" t="str"/>
      <x:c r="M269" s="5" t="str">
        <x:v>未测</x:v>
      </x:c>
      <x:c r="N269" s="5" t="str"/>
      <x:c r="O269" s="5" t="str">
        <x:v>1. 来源：context/01-用户主播App-项目需求清单.md（2026-08-29 按原型同步，RSL-0002）
2. 来源：prototype/assets/annotations.js
3. 来源：prototype/pages/user/live/live-room-host.html 与 prototype/assets/common.js；未动态验证
4. 同步追溯：work/liveshow-user-app-all-260901-001/prototype-context-sync-result.json；RSL-0002、RSL-0003
5. 全局证据追溯：work/liveshow-user-app-all-260901-001/global-evidence-scan-result.json；扫描模式 full</x:v>
      </x:c>
    </x:row>
    <x:row r="270" ht="79.5" customHeight="1">
      <x:c r="A270" s="5" t="n">
        <x:v>269</x:v>
      </x:c>
      <x:c r="B270" s="5" t="str">
        <x:v>LIVE-216</x:v>
      </x:c>
      <x:c r="C270" s="5" t="str">
        <x:v>用户App-直播</x:v>
      </x:c>
      <x:c r="D270" s="5" t="str">
        <x:v>主播直播间</x:v>
      </x:c>
      <x:c r="E270" s="5" t="str">
        <x:v>功能需求</x:v>
      </x:c>
      <x:c r="F270" s="5" t="str">
        <x:v>P2</x:v>
      </x:c>
      <x:c r="G270" s="5" t="str">
        <x:v>验证屏蔽评论成功提示</x:v>
      </x:c>
      <x:c r="H270" s="5" t="str">
        <x:v>屏蔽评论提示</x:v>
      </x:c>
      <x:c r="I270" s="5" t="str">
        <x:v>1. 目标评论已显示“屏蔽此评论”按钮</x:v>
      </x:c>
      <x:c r="J270" s="5" t="str">
        <x:v>1. 点击“屏蔽此评论”</x:v>
      </x:c>
      <x:c r="K270" s="5" t="str">
        <x:v>页面提示“已屏蔽此评论”</x:v>
      </x:c>
      <x:c r="L270" s="5" t="str"/>
      <x:c r="M270" s="5" t="str">
        <x:v>未测</x:v>
      </x:c>
      <x:c r="N270" s="5" t="str"/>
      <x:c r="O270" s="5" t="str">
        <x:v>1. 来源：prototype/pages/user/live/live-room-host.html 与 prototype/assets/common.js；未动态验证
2. 同步追溯：work/liveshow-user-app-all-260901-001/prototype-context-sync-result.json；RSL-0002、RSL-0003
3. 全局证据追溯：work/liveshow-user-app-all-260901-001/global-evidence-scan-result.json；扫描模式 full</x:v>
      </x:c>
    </x:row>
    <x:row r="271" ht="115.5" customHeight="1">
      <x:c r="A271" s="5" t="n">
        <x:v>270</x:v>
      </x:c>
      <x:c r="B271" s="5" t="str">
        <x:v>LIVE-217</x:v>
      </x:c>
      <x:c r="C271" s="5" t="str">
        <x:v>用户App-直播</x:v>
      </x:c>
      <x:c r="D271" s="5" t="str">
        <x:v>主播直播间</x:v>
      </x:c>
      <x:c r="E271" s="5" t="str">
        <x:v>功能需求</x:v>
      </x:c>
      <x:c r="F271" s="5" t="str">
        <x:v>P1</x:v>
      </x:c>
      <x:c r="G271" s="5" t="str">
        <x:v>验证主播用户卡提供管理操作</x:v>
      </x:c>
      <x:c r="H271" s="5" t="str">
        <x:v>主播用户卡操作范围</x:v>
      </x:c>
      <x:c r="I271" s="5" t="str">
        <x:v>1. 主播直播间存在在线观众</x:v>
      </x:c>
      <x:c r="J271" s="5" t="str">
        <x:v>1. 点击观众头像
2. 查看用户卡操作栏</x:v>
      </x:c>
      <x:c r="K271" s="5" t="str">
        <x:v>用户卡提供举报、禁言、踢出、拉黑和设为房管操作</x:v>
      </x:c>
      <x:c r="L271" s="5" t="str"/>
      <x:c r="M271" s="5" t="str">
        <x:v>未测</x:v>
      </x:c>
      <x:c r="N271" s="5" t="str"/>
      <x:c r="O271" s="5" t="str">
        <x:v>1. 来源：context/01-用户主播App-项目需求清单.md（2026-08-29 按原型同步，RSL-0002）
2. 来源：prototype/assets/annotations.js
3. 来源：prototype/pages/user/live/live-room-host.html 与 prototype/assets/common.js；未动态验证
4. 同步追溯：work/liveshow-user-app-all-260901-001/prototype-context-sync-result.json；RSL-0002、RSL-0003
5. 全局证据追溯：work/liveshow-user-app-all-260901-001/global-evidence-scan-result.json；扫描模式 full</x:v>
      </x:c>
    </x:row>
    <x:row r="272" ht="103.5" customHeight="1">
      <x:c r="A272" s="5" t="n">
        <x:v>271</x:v>
      </x:c>
      <x:c r="B272" s="5" t="str">
        <x:v>LIVE-218</x:v>
      </x:c>
      <x:c r="C272" s="5" t="str">
        <x:v>用户App-直播</x:v>
      </x:c>
      <x:c r="D272" s="5" t="str">
        <x:v>主播直播间</x:v>
      </x:c>
      <x:c r="E272" s="5" t="str">
        <x:v>功能需求</x:v>
      </x:c>
      <x:c r="F272" s="5" t="str">
        <x:v>P1</x:v>
      </x:c>
      <x:c r="G272" s="5" t="str">
        <x:v>验证主播直接发送答谢</x:v>
      </x:c>
      <x:c r="H272" s="5" t="str">
        <x:v>答谢成功提示</x:v>
      </x:c>
      <x:c r="I272" s="5" t="str">
        <x:v>1. 主播已打开 Maya 的用户卡</x:v>
      </x:c>
      <x:c r="J272" s="5" t="str">
        <x:v>1. 点击“答谢”</x:v>
      </x:c>
      <x:c r="K272" s="5" t="str">
        <x:v>页面提示“已向 Maya 发送答谢”</x:v>
      </x:c>
      <x:c r="L272" s="5" t="str"/>
      <x:c r="M272" s="5" t="str">
        <x:v>未测</x:v>
      </x:c>
      <x:c r="N272" s="5" t="str"/>
      <x:c r="O272" s="5" t="str">
        <x:v>1. 来源：context/01-用户主播App-项目需求清单.md（2026-08-29 按原型同步，RSL-0002）
2. 来源：prototype/pages/user/live/live-room-host.html 与 prototype/assets/common.js；未动态验证
3. 同步追溯：work/liveshow-user-app-all-260901-001/prototype-context-sync-result.json；RSL-0002、RSL-0003
4. 全局证据追溯：work/liveshow-user-app-all-260901-001/global-evidence-scan-result.json；扫描模式 full</x:v>
      </x:c>
    </x:row>
    <x:row r="273" ht="103.5" customHeight="1">
      <x:c r="A273" s="5" t="n">
        <x:v>272</x:v>
      </x:c>
      <x:c r="B273" s="5" t="str">
        <x:v>LIVE-219</x:v>
      </x:c>
      <x:c r="C273" s="5" t="str">
        <x:v>用户App-直播</x:v>
      </x:c>
      <x:c r="D273" s="5" t="str">
        <x:v>主播直播间</x:v>
      </x:c>
      <x:c r="E273" s="5" t="str">
        <x:v>功能需求</x:v>
      </x:c>
      <x:c r="F273" s="5" t="str">
        <x:v>P1</x:v>
      </x:c>
      <x:c r="G273" s="5" t="str">
        <x:v>验证答谢不打开礼物面板</x:v>
      </x:c>
      <x:c r="H273" s="5" t="str">
        <x:v>答谢不选礼</x:v>
      </x:c>
      <x:c r="I273" s="5" t="str">
        <x:v>1. 主播已打开 Maya 的用户卡</x:v>
      </x:c>
      <x:c r="J273" s="5" t="str">
        <x:v>1. 点击“答谢”</x:v>
      </x:c>
      <x:c r="K273" s="5" t="str">
        <x:v>页面不打开礼物选择面板</x:v>
      </x:c>
      <x:c r="L273" s="5" t="str"/>
      <x:c r="M273" s="5" t="str">
        <x:v>未测</x:v>
      </x:c>
      <x:c r="N273" s="5" t="str"/>
      <x:c r="O273" s="5" t="str">
        <x:v>1. 来源：context/01-用户主播App-项目需求清单.md（2026-08-29 按原型同步，RSL-0002）
2. 来源：prototype/pages/user/live/live-room-host.html 与 prototype/assets/common.js；未动态验证
3. 同步追溯：work/liveshow-user-app-all-260901-001/prototype-context-sync-result.json；RSL-0002、RSL-0003
4. 全局证据追溯：work/liveshow-user-app-all-260901-001/global-evidence-scan-result.json；扫描模式 full</x:v>
      </x:c>
    </x:row>
    <x:row r="274" ht="79.5" customHeight="1">
      <x:c r="A274" s="5" t="n">
        <x:v>273</x:v>
      </x:c>
      <x:c r="B274" s="5" t="str">
        <x:v>LIVE-220</x:v>
      </x:c>
      <x:c r="C274" s="5" t="str">
        <x:v>用户App-直播</x:v>
      </x:c>
      <x:c r="D274" s="5" t="str">
        <x:v>主播直播间</x:v>
      </x:c>
      <x:c r="E274" s="5" t="str">
        <x:v>逻辑校验</x:v>
      </x:c>
      <x:c r="F274" s="5" t="str">
        <x:v>P1</x:v>
      </x:c>
      <x:c r="G274" s="5" t="str">
        <x:v>验证直播间黑名单不影响好友申请</x:v>
      </x:c>
      <x:c r="H274" s="5" t="str">
        <x:v>直播间黑名单好友申请隔离</x:v>
      </x:c>
      <x:c r="I274" s="5" t="str">
        <x:v>1. 主播与目标用户不存在账号拉黑关系
2. 目标用户当前可以发起好友申请</x:v>
      </x:c>
      <x:c r="J274" s="5" t="str">
        <x:v>1. 主播将目标用户加入直播间黑名单
2. 目标用户向主播发起好友申请</x:v>
      </x:c>
      <x:c r="K274" s="5" t="str">
        <x:v>仅加入直播间黑名单不阻止目标用户向主播发起好友申请</x:v>
      </x:c>
      <x:c r="L274" s="5" t="str"/>
      <x:c r="M274" s="5" t="str">
        <x:v>未测</x:v>
      </x:c>
      <x:c r="N274" s="5" t="str"/>
      <x:c r="O274" s="5" t="str">
        <x:v>1. 来源：context/系统概要 .md（当前全局业务规则）
2. 质量修正：按 RCL-0018 执行最小前置条件和单分支检查
3. 同步追溯：work/liveshow-user-app-all-260901-001/prototype-context-sync-result.json；RSL-0002、RSL-0003
4. 全局证据追溯：work/liveshow-user-app-all-260901-001/global-evidence-scan-result.json；扫描模式 full</x:v>
      </x:c>
    </x:row>
    <x:row r="275" ht="79.5" customHeight="1">
      <x:c r="A275" s="5" t="n">
        <x:v>274</x:v>
      </x:c>
      <x:c r="B275" s="5" t="str">
        <x:v>LIVE-221</x:v>
      </x:c>
      <x:c r="C275" s="5" t="str">
        <x:v>用户App-直播</x:v>
      </x:c>
      <x:c r="D275" s="5" t="str">
        <x:v>主播直播间</x:v>
      </x:c>
      <x:c r="E275" s="5" t="str">
        <x:v>逻辑校验</x:v>
      </x:c>
      <x:c r="F275" s="5" t="str">
        <x:v>P1</x:v>
      </x:c>
      <x:c r="G275" s="5" t="str">
        <x:v>验证账号拉黑限制好友申请</x:v>
      </x:c>
      <x:c r="H275" s="5" t="str">
        <x:v>账号拉黑好友申请限制</x:v>
      </x:c>
      <x:c r="I275" s="5" t="str">
        <x:v>1. 主播与目标用户不存在账号拉黑关系
2. 双方当前可以发起好友申请</x:v>
      </x:c>
      <x:c r="J275" s="5" t="str">
        <x:v>1. 主播拉黑目标用户账号
2. 双方尝试发起好友申请</x:v>
      </x:c>
      <x:c r="K275" s="5" t="str">
        <x:v>主播与目标用户之间不能继续发起或处理好友申请</x:v>
      </x:c>
      <x:c r="L275" s="5" t="str"/>
      <x:c r="M275" s="5" t="str">
        <x:v>未测</x:v>
      </x:c>
      <x:c r="N275" s="5" t="str"/>
      <x:c r="O275" s="5" t="str">
        <x:v>1. 来源：context/系统概要 .md（当前全局业务规则）
2. 质量修正：按 RCL-0018 执行最小前置条件和单分支检查
3. 同步追溯：work/liveshow-user-app-all-260901-001/prototype-context-sync-result.json；RSL-0002、RSL-0003
4. 全局证据追溯：work/liveshow-user-app-all-260901-001/global-evidence-scan-result.json；扫描模式 full</x:v>
      </x:c>
    </x:row>
    <x:row r="276" ht="103.5" customHeight="1">
      <x:c r="A276" s="5" t="n">
        <x:v>275</x:v>
      </x:c>
      <x:c r="B276" s="5" t="str">
        <x:v>LIVE-222</x:v>
      </x:c>
      <x:c r="C276" s="5" t="str">
        <x:v>用户App-直播</x:v>
      </x:c>
      <x:c r="D276" s="5" t="str">
        <x:v>主播直播间</x:v>
      </x:c>
      <x:c r="E276" s="5" t="str">
        <x:v>功能需求</x:v>
      </x:c>
      <x:c r="F276" s="5" t="str">
        <x:v>P2</x:v>
      </x:c>
      <x:c r="G276" s="5" t="str">
        <x:v>验证普通房不打开密码编辑面板</x:v>
      </x:c>
      <x:c r="H276" s="5" t="str">
        <x:v>普通房密码面板拦截</x:v>
      </x:c>
      <x:c r="I276" s="5" t="str">
        <x:v>1. 主播正在普通房直播</x:v>
      </x:c>
      <x:c r="J276" s="5" t="str">
        <x:v>1. 打开直播设置
2. 点击置灰的“房间密码”入口</x:v>
      </x:c>
      <x:c r="K276" s="5" t="str">
        <x:v>页面不打开密码编辑面板</x:v>
      </x:c>
      <x:c r="L276" s="5" t="str"/>
      <x:c r="M276" s="5" t="str">
        <x:v>未测</x:v>
      </x:c>
      <x:c r="N276" s="5" t="str"/>
      <x:c r="O276" s="5" t="str">
        <x:v>1. 来源：context/01-用户主播App-项目需求清单.md（2026-08-29 按原型同步，RSL-0002）
2. 来源：prototype/pages/user/live/live-room-host.html 与 prototype/assets/common.js；未动态验证
3. 同步追溯：work/liveshow-user-app-all-260901-001/prototype-context-sync-result.json；RSL-0002、RSL-0003
4. 全局证据追溯：work/liveshow-user-app-all-260901-001/global-evidence-scan-result.json；扫描模式 full</x:v>
      </x:c>
    </x:row>
    <x:row r="277" ht="79.5" customHeight="1">
      <x:c r="A277" s="5" t="n">
        <x:v>276</x:v>
      </x:c>
      <x:c r="B277" s="5" t="str">
        <x:v>LIVE-223</x:v>
      </x:c>
      <x:c r="C277" s="5" t="str">
        <x:v>用户App-直播</x:v>
      </x:c>
      <x:c r="D277" s="5" t="str">
        <x:v>主播直播间</x:v>
      </x:c>
      <x:c r="E277" s="5" t="str">
        <x:v>功能需求</x:v>
      </x:c>
      <x:c r="F277" s="5" t="str">
        <x:v>P2</x:v>
      </x:c>
      <x:c r="G277" s="5" t="str">
        <x:v>验证取消转发后不发送直播间卡片</x:v>
      </x:c>
      <x:c r="H277" s="5" t="str">
        <x:v>取消转发发送结果</x:v>
      </x:c>
      <x:c r="I277" s="5" t="str">
        <x:v>1. 转发粉丝群确认框已打开</x:v>
      </x:c>
      <x:c r="J277" s="5" t="str">
        <x:v>1. 点击“取消”
2. 查看目标粉丝群</x:v>
      </x:c>
      <x:c r="K277" s="5" t="str">
        <x:v>目标粉丝群不新增本场直播卡片</x:v>
      </x:c>
      <x:c r="L277" s="5" t="str"/>
      <x:c r="M277" s="5" t="str">
        <x:v>未测</x:v>
      </x:c>
      <x:c r="N277" s="5" t="str"/>
      <x:c r="O277" s="5" t="str">
        <x:v>1. 来源：prototype/pages/user/live/live-room-host.html 与 prototype/assets/common.js；未动态验证
2. 同步追溯：work/liveshow-user-app-all-260901-001/prototype-context-sync-result.json；RSL-0002、RSL-0003
3. 全局证据追溯：work/liveshow-user-app-all-260901-001/global-evidence-scan-result.json；扫描模式 full</x:v>
      </x:c>
    </x:row>
    <x:row r="278" ht="91.5" customHeight="1">
      <x:c r="A278" s="5" t="n">
        <x:v>277</x:v>
      </x:c>
      <x:c r="B278" s="5" t="str">
        <x:v>LIVE-224</x:v>
      </x:c>
      <x:c r="C278" s="5" t="str">
        <x:v>用户App-直播</x:v>
      </x:c>
      <x:c r="D278" s="5" t="str">
        <x:v>房管协助管理</x:v>
      </x:c>
      <x:c r="E278" s="5" t="str">
        <x:v>功能需求</x:v>
      </x:c>
      <x:c r="F278" s="5" t="str">
        <x:v>P1</x:v>
      </x:c>
      <x:c r="G278" s="5" t="str">
        <x:v>验证房管资料卡展示受限管理操作</x:v>
      </x:c>
      <x:c r="H278" s="5" t="str">
        <x:v>房管操作范围</x:v>
      </x:c>
      <x:c r="I278" s="5" t="str">
        <x:v>1. 当前用户已被主播设置为房管
2. 当前直播仍在进行</x:v>
      </x:c>
      <x:c r="J278" s="5" t="str">
        <x:v>1. 以房管身份进入直播间
2. 打开在线观众资料卡</x:v>
      </x:c>
      <x:c r="K278" s="5" t="str">
        <x:v>房管资料卡仅提供禁言、踢出和有依据的评论处置能力，不提供房管授权或结束直播能力</x:v>
      </x:c>
      <x:c r="L278" s="5" t="str"/>
      <x:c r="M278" s="5" t="str">
        <x:v>未测</x:v>
      </x:c>
      <x:c r="N278" s="5" t="str"/>
      <x:c r="O278" s="5" t="str">
        <x:v>1. 来源：context/系统概要 .md（当前全局业务规则）
2. 来源：prototype/assets/annotations.js
3. 追溯：业务底稿 LIVE-042。
4. 同步追溯：work/liveshow-user-app-all-260901-001/prototype-context-sync-result.json；RSL-0002、RSL-0003
5. 全局证据追溯：work/liveshow-user-app-all-260901-001/global-evidence-scan-result.json；扫描模式 full</x:v>
      </x:c>
    </x:row>
    <x:row r="279" ht="91.5" customHeight="1">
      <x:c r="A279" s="5" t="n">
        <x:v>278</x:v>
      </x:c>
      <x:c r="B279" s="5" t="str">
        <x:v>LIVE-225</x:v>
      </x:c>
      <x:c r="C279" s="5" t="str">
        <x:v>用户App-直播</x:v>
      </x:c>
      <x:c r="D279" s="5" t="str">
        <x:v>房管协助管理</x:v>
      </x:c>
      <x:c r="E279" s="5" t="str">
        <x:v>业务流程</x:v>
      </x:c>
      <x:c r="F279" s="5" t="str">
        <x:v>P1</x:v>
      </x:c>
      <x:c r="G279" s="5" t="str">
        <x:v>验证房管禁言限制用户发言</x:v>
      </x:c>
      <x:c r="H279" s="5" t="str">
        <x:v>房管禁言生效</x:v>
      </x:c>
      <x:c r="I279" s="5" t="str">
        <x:v>1. 房管和目标用户均在当前直播间
2. 目标用户可正常发言</x:v>
      </x:c>
      <x:c r="J279" s="5" t="str">
        <x:v>1. 房管打开目标用户资料卡
2. 选择禁言
3. 在确认提示中点击确认
4. 目标用户尝试发送公屏消息</x:v>
      </x:c>
      <x:c r="K279" s="5" t="str">
        <x:v>目标用户在当前场次不能继续发送公屏消息</x:v>
      </x:c>
      <x:c r="L279" s="5" t="str"/>
      <x:c r="M279" s="5" t="str">
        <x:v>未测</x:v>
      </x:c>
      <x:c r="N279" s="5" t="str"/>
      <x:c r="O279" s="5" t="str">
        <x:v>1. 来源：context/系统概要 .md（当前全局业务规则）
2. 来源：prototype/assets/annotations.js
3. 追溯：业务底稿 LIVE-043。
4. 同步追溯：work/liveshow-user-app-all-260901-001/prototype-context-sync-result.json；RSL-0002、RSL-0003
5. 全局证据追溯：work/liveshow-user-app-all-260901-001/global-evidence-scan-result.json；扫描模式 full</x:v>
      </x:c>
    </x:row>
    <x:row r="280" ht="91.5" customHeight="1">
      <x:c r="A280" s="5" t="n">
        <x:v>279</x:v>
      </x:c>
      <x:c r="B280" s="5" t="str">
        <x:v>LIVE-226</x:v>
      </x:c>
      <x:c r="C280" s="5" t="str">
        <x:v>用户App-直播</x:v>
      </x:c>
      <x:c r="D280" s="5" t="str">
        <x:v>房管协助管理</x:v>
      </x:c>
      <x:c r="E280" s="5" t="str">
        <x:v>业务流程</x:v>
      </x:c>
      <x:c r="F280" s="5" t="str">
        <x:v>P1</x:v>
      </x:c>
      <x:c r="G280" s="5" t="str">
        <x:v>验证房管禁言保留历史消息</x:v>
      </x:c>
      <x:c r="H280" s="5" t="str">
        <x:v>房管禁言历史消息</x:v>
      </x:c>
      <x:c r="I280" s="5" t="str">
        <x:v>1. 房管和目标用户均在当前直播间
2. 目标用户可正常发言</x:v>
      </x:c>
      <x:c r="J280" s="5" t="str">
        <x:v>1. 房管打开目标用户资料卡
2. 选择禁言
3. 在确认提示中点击确认
4. 目标用户尝试发送公屏消息</x:v>
      </x:c>
      <x:c r="K280" s="5" t="str">
        <x:v>目标用户已发送消息不受影响</x:v>
      </x:c>
      <x:c r="L280" s="5" t="str"/>
      <x:c r="M280" s="5" t="str">
        <x:v>未测</x:v>
      </x:c>
      <x:c r="N280" s="5" t="str"/>
      <x:c r="O280" s="5" t="str">
        <x:v>1. 来源：context/系统概要 .md（当前全局业务规则）
2. 来源：prototype/assets/annotations.js
3. 追溯：业务底稿 LIVE-043。
4. 同步追溯：work/liveshow-user-app-all-260901-001/prototype-context-sync-result.json；RSL-0002、RSL-0003
5. 全局证据追溯：work/liveshow-user-app-all-260901-001/global-evidence-scan-result.json；扫描模式 full</x:v>
      </x:c>
    </x:row>
    <x:row r="281" ht="91.5" customHeight="1">
      <x:c r="A281" s="5" t="n">
        <x:v>280</x:v>
      </x:c>
      <x:c r="B281" s="5" t="str">
        <x:v>LIVE-227</x:v>
      </x:c>
      <x:c r="C281" s="5" t="str">
        <x:v>用户App-直播</x:v>
      </x:c>
      <x:c r="D281" s="5" t="str">
        <x:v>房管协助管理</x:v>
      </x:c>
      <x:c r="E281" s="5" t="str">
        <x:v>业务流程</x:v>
      </x:c>
      <x:c r="F281" s="5" t="str">
        <x:v>P1</x:v>
      </x:c>
      <x:c r="G281" s="5" t="str">
        <x:v>验证房管禁言操作留痕</x:v>
      </x:c>
      <x:c r="H281" s="5" t="str">
        <x:v>房管禁言记录</x:v>
      </x:c>
      <x:c r="I281" s="5" t="str">
        <x:v>1. 房管和目标用户均在当前直播间
2. 目标用户可正常发言</x:v>
      </x:c>
      <x:c r="J281" s="5" t="str">
        <x:v>1. 房管打开目标用户资料卡
2. 选择禁言
3. 在确认提示中点击确认
4. 目标用户尝试发送公屏消息</x:v>
      </x:c>
      <x:c r="K281" s="5" t="str">
        <x:v>系统保留房管、目标用户、场次和操作时间记录</x:v>
      </x:c>
      <x:c r="L281" s="5" t="str"/>
      <x:c r="M281" s="5" t="str">
        <x:v>未测</x:v>
      </x:c>
      <x:c r="N281" s="5" t="str"/>
      <x:c r="O281" s="5" t="str">
        <x:v>1. 来源：context/系统概要 .md（当前全局业务规则）
2. 来源：prototype/assets/annotations.js
3. 追溯：业务底稿 LIVE-043。
4. 同步追溯：work/liveshow-user-app-all-260901-001/prototype-context-sync-result.json；RSL-0002、RSL-0003
5. 全局证据追溯：work/liveshow-user-app-all-260901-001/global-evidence-scan-result.json；扫描模式 full</x:v>
      </x:c>
    </x:row>
    <x:row r="282" ht="79.5" customHeight="1">
      <x:c r="A282" s="5" t="n">
        <x:v>281</x:v>
      </x:c>
      <x:c r="B282" s="5" t="str">
        <x:v>LIVE-228</x:v>
      </x:c>
      <x:c r="C282" s="5" t="str">
        <x:v>用户App-直播</x:v>
      </x:c>
      <x:c r="D282" s="5" t="str">
        <x:v>房管协助管理</x:v>
      </x:c>
      <x:c r="E282" s="5" t="str">
        <x:v>功能需求</x:v>
      </x:c>
      <x:c r="F282" s="5" t="str">
        <x:v>P2</x:v>
      </x:c>
      <x:c r="G282" s="5" t="str">
        <x:v>验证房管取消禁言操作后状态不变</x:v>
      </x:c>
      <x:c r="H282" s="5" t="str">
        <x:v>取消房管禁言</x:v>
      </x:c>
      <x:c r="I282" s="5" t="str">
        <x:v>1. 房管已打开对可发言用户的禁言确认提示</x:v>
      </x:c>
      <x:c r="J282" s="5" t="str">
        <x:v>1. 点击“取消”
2. 由目标用户发送公屏消息</x:v>
      </x:c>
      <x:c r="K282" s="5" t="str">
        <x:v>取消禁言确认后，目标用户的禁言状态不变</x:v>
      </x:c>
      <x:c r="L282" s="5" t="str"/>
      <x:c r="M282" s="5" t="str">
        <x:v>未测</x:v>
      </x:c>
      <x:c r="N282" s="5" t="str"/>
      <x:c r="O282" s="5" t="str">
        <x:v>1. 来源：prototype/assets/annotations.js
2. 追溯：业务底稿 LIVE-044。
3. 同步追溯：work/liveshow-user-app-all-260901-001/prototype-context-sync-result.json；RSL-0002、RSL-0003
4. 全局证据追溯：work/liveshow-user-app-all-260901-001/global-evidence-scan-result.json；扫描模式 full</x:v>
      </x:c>
    </x:row>
    <x:row r="283" ht="91.5" customHeight="1">
      <x:c r="A283" s="5" t="n">
        <x:v>282</x:v>
      </x:c>
      <x:c r="B283" s="5" t="str">
        <x:v>LIVE-229</x:v>
      </x:c>
      <x:c r="C283" s="5" t="str">
        <x:v>用户App-直播</x:v>
      </x:c>
      <x:c r="D283" s="5" t="str">
        <x:v>房管协助管理</x:v>
      </x:c>
      <x:c r="E283" s="5" t="str">
        <x:v>业务流程</x:v>
      </x:c>
      <x:c r="F283" s="5" t="str">
        <x:v>P1</x:v>
      </x:c>
      <x:c r="G283" s="5" t="str">
        <x:v>验证房管踢人限制本场重进</x:v>
      </x:c>
      <x:c r="H283" s="5" t="str">
        <x:v>房管踢人当前场次</x:v>
      </x:c>
      <x:c r="I283" s="5" t="str">
        <x:v>1. 房管和目标用户均在当前直播间</x:v>
      </x:c>
      <x:c r="J283" s="5" t="str">
        <x:v>1. 房管打开目标用户资料卡
2. 点击“踢出直播间”
3. 在确认提示中点击确认
4. 目标用户再次尝试进入当前场次</x:v>
      </x:c>
      <x:c r="K283" s="5" t="str">
        <x:v>房管踢出用户后，目标用户在当前场次不得再次进入</x:v>
      </x:c>
      <x:c r="L283" s="5" t="str"/>
      <x:c r="M283" s="5" t="str">
        <x:v>未测</x:v>
      </x:c>
      <x:c r="N283" s="5" t="str"/>
      <x:c r="O283" s="5" t="str">
        <x:v>1. 来源：context/系统概要 .md（当前全局业务规则）
2. 来源：prototype/assets/annotations.js
3. 追溯：业务底稿 LIVE-045。
4. 同步追溯：work/liveshow-user-app-all-260901-001/prototype-context-sync-result.json；RSL-0002、RSL-0003
5. 全局证据追溯：work/liveshow-user-app-all-260901-001/global-evidence-scan-result.json；扫描模式 full</x:v>
      </x:c>
    </x:row>
    <x:row r="284" ht="91.5" customHeight="1">
      <x:c r="A284" s="5" t="n">
        <x:v>283</x:v>
      </x:c>
      <x:c r="B284" s="5" t="str">
        <x:v>LIVE-230</x:v>
      </x:c>
      <x:c r="C284" s="5" t="str">
        <x:v>用户App-直播</x:v>
      </x:c>
      <x:c r="D284" s="5" t="str">
        <x:v>房管协助管理</x:v>
      </x:c>
      <x:c r="E284" s="5" t="str">
        <x:v>业务流程</x:v>
      </x:c>
      <x:c r="F284" s="5" t="str">
        <x:v>P1</x:v>
      </x:c>
      <x:c r="G284" s="5" t="str">
        <x:v>验证房管踢人不影响下一场直播</x:v>
      </x:c>
      <x:c r="H284" s="5" t="str">
        <x:v>房管踢人跨场恢复</x:v>
      </x:c>
      <x:c r="I284" s="5" t="str">
        <x:v>1. 房管和目标用户均在当前直播间</x:v>
      </x:c>
      <x:c r="J284" s="5" t="str">
        <x:v>1. 房管打开目标用户资料卡
2. 点击“踢出直播间”
3. 在确认提示中点击确认
4. 目标用户再次尝试进入当前场次</x:v>
      </x:c>
      <x:c r="K284" s="5" t="str">
        <x:v>下一场直播不继承本次踢出限制</x:v>
      </x:c>
      <x:c r="L284" s="5" t="str"/>
      <x:c r="M284" s="5" t="str">
        <x:v>未测</x:v>
      </x:c>
      <x:c r="N284" s="5" t="str"/>
      <x:c r="O284" s="5" t="str">
        <x:v>1. 来源：context/系统概要 .md（当前全局业务规则）
2. 来源：prototype/assets/annotations.js
3. 追溯：业务底稿 LIVE-045。
4. 同步追溯：work/liveshow-user-app-all-260901-001/prototype-context-sync-result.json；RSL-0002、RSL-0003
5. 全局证据追溯：work/liveshow-user-app-all-260901-001/global-evidence-scan-result.json；扫描模式 full</x:v>
      </x:c>
    </x:row>
    <x:row r="285" ht="91.5" customHeight="1">
      <x:c r="A285" s="5" t="n">
        <x:v>284</x:v>
      </x:c>
      <x:c r="B285" s="5" t="str">
        <x:v>LIVE-231</x:v>
      </x:c>
      <x:c r="C285" s="5" t="str">
        <x:v>用户App-直播</x:v>
      </x:c>
      <x:c r="D285" s="5" t="str">
        <x:v>房管协助管理</x:v>
      </x:c>
      <x:c r="E285" s="5" t="str">
        <x:v>业务流程</x:v>
      </x:c>
      <x:c r="F285" s="5" t="str">
        <x:v>P1</x:v>
      </x:c>
      <x:c r="G285" s="5" t="str">
        <x:v>验证房管踢人操作留痕</x:v>
      </x:c>
      <x:c r="H285" s="5" t="str">
        <x:v>房管踢人记录</x:v>
      </x:c>
      <x:c r="I285" s="5" t="str">
        <x:v>1. 房管和目标用户均在当前直播间</x:v>
      </x:c>
      <x:c r="J285" s="5" t="str">
        <x:v>1. 房管打开目标用户资料卡
2. 点击“踢出直播间”
3. 在确认提示中点击确认
4. 目标用户再次尝试进入当前场次</x:v>
      </x:c>
      <x:c r="K285" s="5" t="str">
        <x:v>系统保留房管、目标用户、场次和操作时间记录</x:v>
      </x:c>
      <x:c r="L285" s="5" t="str"/>
      <x:c r="M285" s="5" t="str">
        <x:v>未测</x:v>
      </x:c>
      <x:c r="N285" s="5" t="str"/>
      <x:c r="O285" s="5" t="str">
        <x:v>1. 来源：context/系统概要 .md（当前全局业务规则）
2. 来源：prototype/assets/annotations.js
3. 追溯：业务底稿 LIVE-045。
4. 同步追溯：work/liveshow-user-app-all-260901-001/prototype-context-sync-result.json；RSL-0002、RSL-0003
5. 全局证据追溯：work/liveshow-user-app-all-260901-001/global-evidence-scan-result.json；扫描模式 full</x:v>
      </x:c>
    </x:row>
    <x:row r="286" ht="142.5" customHeight="1">
      <x:c r="A286" s="5" t="n">
        <x:v>285</x:v>
      </x:c>
      <x:c r="B286" s="5" t="str">
        <x:v>LIVE-232</x:v>
      </x:c>
      <x:c r="C286" s="5" t="str">
        <x:v>用户App-直播</x:v>
      </x:c>
      <x:c r="D286" s="5" t="str">
        <x:v>主播连麦</x:v>
      </x:c>
      <x:c r="E286" s="5" t="str">
        <x:v>业务流程</x:v>
      </x:c>
      <x:c r="F286" s="5" t="str">
        <x:v>P1</x:v>
      </x:c>
      <x:c r="G286" s="5" t="str">
        <x:v>验证受邀主播接受后建立两人连麦</x:v>
      </x:c>
      <x:c r="H286" s="5" t="str">
        <x:v>两人连麦关系</x:v>
      </x:c>
      <x:c r="I286" s="5" t="str">
        <x:v>1. 主播 B 存在主播 A 发出的有效邀请
2. 双方仍在普通房且在线</x:v>
      </x:c>
      <x:c r="J286" s="5" t="str">
        <x:v>1. 主播 B 打开连麦邀请
2. 点击接受</x:v>
      </x:c>
      <x:c r="K286" s="5" t="str">
        <x:v>系统建立主播 A 与主播 B 的两人连麦关系，参与主播数量为 2</x:v>
      </x:c>
      <x:c r="L286" s="5" t="str">
        <x:v>FLOW-LIVE-005</x:v>
      </x:c>
      <x:c r="M286" s="5" t="str">
        <x:v>未测</x:v>
      </x:c>
      <x:c r="N286" s="5" t="str"/>
      <x:c r="O286" s="5" t="str">
        <x:v>1. 来源：context/01-用户主播App-项目需求清单.md
2. 来源：context/系统概要 .md（当前全局业务规则）
3. 来源：prototype/assets/annotations.js
4. 追溯：业务底稿 LIVE-089。
5. 流程：阶段 03：双方建立连麦关系；共同业务对象：连麦会话（数据别名：COHOST-SESSION-01）。
6. 共同业务对象：同一主播连麦会话
7. 流程阶段：两人连麦关系
8. 同步追溯：work/liveshow-user-app-all-260901-001/prototype-context-sync-result.json；RSL-0002、RSL-0003
9. 全局证据追溯：work/liveshow-user-app-all-260901-001/global-evidence-scan-result.json；扫描模式 full</x:v>
      </x:c>
    </x:row>
    <x:row r="287" ht="142.5" customHeight="1">
      <x:c r="A287" s="5" t="n">
        <x:v>286</x:v>
      </x:c>
      <x:c r="B287" s="5" t="str">
        <x:v>LIVE-233</x:v>
      </x:c>
      <x:c r="C287" s="5" t="str">
        <x:v>用户App-直播</x:v>
      </x:c>
      <x:c r="D287" s="5" t="str">
        <x:v>主播连麦</x:v>
      </x:c>
      <x:c r="E287" s="5" t="str">
        <x:v>业务流程</x:v>
      </x:c>
      <x:c r="F287" s="5" t="str">
        <x:v>P1</x:v>
      </x:c>
      <x:c r="G287" s="5" t="str">
        <x:v>验证主播 A 进入两人分屏画面</x:v>
      </x:c>
      <x:c r="H287" s="5" t="str">
        <x:v>主播 A 连麦分屏</x:v>
      </x:c>
      <x:c r="I287" s="5" t="str">
        <x:v>1. 主播 B 存在主播 A 发出的有效邀请
2. 双方仍在普通房且在线</x:v>
      </x:c>
      <x:c r="J287" s="5" t="str">
        <x:v>1. 主播 B 接受主播 A 的邀请
2. 查看主播 A 的直播画面</x:v>
      </x:c>
      <x:c r="K287" s="5" t="str">
        <x:v>主播 A 的直播间展示主播 A 与主播 B 的左右分屏画面</x:v>
      </x:c>
      <x:c r="L287" s="5" t="str">
        <x:v>FLOW-LIVE-005</x:v>
      </x:c>
      <x:c r="M287" s="5" t="str">
        <x:v>未测</x:v>
      </x:c>
      <x:c r="N287" s="5" t="str"/>
      <x:c r="O287" s="5" t="str">
        <x:v>1. 来源：context/01-用户主播App-项目需求清单.md
2. 来源：context/系统概要 .md（当前全局业务规则）
3. 来源：prototype/assets/annotations.js
4. 追溯：业务底稿 LIVE-089。
5. 流程：阶段 04：主播 A 进入分屏；共同业务对象：连麦会话（数据别名：COHOST-SESSION-01）。
6. 共同业务对象：同一主播连麦会话
7. 流程阶段：主播 A 连麦分屏
8. 同步追溯：work/liveshow-user-app-all-260901-001/prototype-context-sync-result.json；RSL-0002、RSL-0003
9. 全局证据追溯：work/liveshow-user-app-all-260901-001/global-evidence-scan-result.json；扫描模式 full</x:v>
      </x:c>
    </x:row>
    <x:row r="288" ht="142.5" customHeight="1">
      <x:c r="A288" s="5" t="n">
        <x:v>287</x:v>
      </x:c>
      <x:c r="B288" s="5" t="str">
        <x:v>LIVE-234</x:v>
      </x:c>
      <x:c r="C288" s="5" t="str">
        <x:v>用户App-直播</x:v>
      </x:c>
      <x:c r="D288" s="5" t="str">
        <x:v>主播连麦</x:v>
      </x:c>
      <x:c r="E288" s="5" t="str">
        <x:v>业务流程</x:v>
      </x:c>
      <x:c r="F288" s="5" t="str">
        <x:v>P1</x:v>
      </x:c>
      <x:c r="G288" s="5" t="str">
        <x:v>验证主播 B 进入两人分屏画面</x:v>
      </x:c>
      <x:c r="H288" s="5" t="str">
        <x:v>主播 B 连麦分屏</x:v>
      </x:c>
      <x:c r="I288" s="5" t="str">
        <x:v>1. 主播 B 存在主播 A 发出的有效邀请
2. 双方仍在普通房且在线</x:v>
      </x:c>
      <x:c r="J288" s="5" t="str">
        <x:v>1. 主播 B 接受主播 A 的邀请
2. 查看主播 B 的直播画面</x:v>
      </x:c>
      <x:c r="K288" s="5" t="str">
        <x:v>主播 B 的直播间展示主播 A 与主播 B 的左右分屏画面</x:v>
      </x:c>
      <x:c r="L288" s="5" t="str">
        <x:v>FLOW-LIVE-005</x:v>
      </x:c>
      <x:c r="M288" s="5" t="str">
        <x:v>未测</x:v>
      </x:c>
      <x:c r="N288" s="5" t="str"/>
      <x:c r="O288" s="5" t="str">
        <x:v>1. 来源：context/01-用户主播App-项目需求清单.md
2. 来源：context/系统概要 .md（当前全局业务规则）
3. 来源：prototype/assets/annotations.js
4. 追溯：业务底稿 LIVE-089。
5. 流程：阶段 05：主播 B 进入分屏；共同业务对象：连麦会话（数据别名：COHOST-SESSION-01）。
6. 共同业务对象：同一主播连麦会话
7. 流程阶段：主播 B 连麦分屏
8. 同步追溯：work/liveshow-user-app-all-260901-001/prototype-context-sync-result.json；RSL-0002、RSL-0003
9. 全局证据追溯：work/liveshow-user-app-all-260901-001/global-evidence-scan-result.json；扫描模式 full</x:v>
      </x:c>
    </x:row>
    <x:row r="289" ht="142.5" customHeight="1">
      <x:c r="A289" s="5" t="n">
        <x:v>288</x:v>
      </x:c>
      <x:c r="B289" s="5" t="str">
        <x:v>LIVE-235</x:v>
      </x:c>
      <x:c r="C289" s="5" t="str">
        <x:v>用户App-直播</x:v>
      </x:c>
      <x:c r="D289" s="5" t="str">
        <x:v>主播连麦</x:v>
      </x:c>
      <x:c r="E289" s="5" t="str">
        <x:v>业务流程</x:v>
      </x:c>
      <x:c r="F289" s="5" t="str">
        <x:v>P1</x:v>
      </x:c>
      <x:c r="G289" s="5" t="str">
        <x:v>验证退出连麦后的会话状态</x:v>
      </x:c>
      <x:c r="H289" s="5" t="str">
        <x:v>连麦退出结果</x:v>
      </x:c>
      <x:c r="I289" s="5" t="str">
        <x:v>1. 两位主播正在连麦</x:v>
      </x:c>
      <x:c r="J289" s="5" t="str">
        <x:v>1. 连麦主播点击退出
2. 确认退出
3. 查询连麦关系</x:v>
      </x:c>
      <x:c r="K289" s="5" t="str">
        <x:v>两位主播的连麦关系解除</x:v>
      </x:c>
      <x:c r="L289" s="5" t="str">
        <x:v>FLOW-LIVE-005</x:v>
      </x:c>
      <x:c r="M289" s="5" t="str">
        <x:v>未测</x:v>
      </x:c>
      <x:c r="N289" s="5" t="str"/>
      <x:c r="O289" s="5" t="str">
        <x:v>1. 来源：context/01-用户主播App-项目需求清单.md
2. 来源：context/系统概要 .md（当前全局业务规则）
3. 来源：prototype/assets/annotations.js
4. 追溯：业务底稿 LIVE-090。
5. 流程：阶段 06：解除连麦关系；共同业务对象：连麦会话（数据别名：COHOST-SESSION-01）。
6. 共同业务对象：同一主播连麦会话
7. 流程阶段：连麦退出结果
8. 同步追溯：work/liveshow-user-app-all-260901-001/prototype-context-sync-result.json；RSL-0002、RSL-0003
9. 全局证据追溯：work/liveshow-user-app-all-260901-001/global-evidence-scan-result.json；扫描模式 full</x:v>
      </x:c>
    </x:row>
    <x:row r="290" ht="142.5" customHeight="1">
      <x:c r="A290" s="5" t="n">
        <x:v>289</x:v>
      </x:c>
      <x:c r="B290" s="5" t="str">
        <x:v>LIVE-236</x:v>
      </x:c>
      <x:c r="C290" s="5" t="str">
        <x:v>用户App-直播</x:v>
      </x:c>
      <x:c r="D290" s="5" t="str">
        <x:v>主播连麦</x:v>
      </x:c>
      <x:c r="E290" s="5" t="str">
        <x:v>业务流程</x:v>
      </x:c>
      <x:c r="F290" s="5" t="str">
        <x:v>P1</x:v>
      </x:c>
      <x:c r="G290" s="5" t="str">
        <x:v>验证主播 A 退出连麦后恢复单人画面</x:v>
      </x:c>
      <x:c r="H290" s="5" t="str">
        <x:v>主播 A 单人画面恢复</x:v>
      </x:c>
      <x:c r="I290" s="5" t="str">
        <x:v>1. 两位主播正在连麦</x:v>
      </x:c>
      <x:c r="J290" s="5" t="str">
        <x:v>1. 连麦主播确认退出
2. 查看主播 A 的直播画面</x:v>
      </x:c>
      <x:c r="K290" s="5" t="str">
        <x:v>主播 A 的直播间恢复主播 A 的单人直播画面</x:v>
      </x:c>
      <x:c r="L290" s="5" t="str">
        <x:v>FLOW-LIVE-005</x:v>
      </x:c>
      <x:c r="M290" s="5" t="str">
        <x:v>未测</x:v>
      </x:c>
      <x:c r="N290" s="5" t="str"/>
      <x:c r="O290" s="5" t="str">
        <x:v>1. 来源：context/01-用户主播App-项目需求清单.md
2. 来源：context/系统概要 .md（当前全局业务规则）
3. 来源：prototype/assets/annotations.js
4. 追溯：业务底稿 LIVE-090。
5. 流程：阶段 07：主播 A 恢复单人画面；共同业务对象：连麦会话（数据别名：COHOST-SESSION-01）。
6. 共同业务对象：同一主播连麦会话
7. 流程阶段：主播 A 单人画面恢复
8. 同步追溯：work/liveshow-user-app-all-260901-001/prototype-context-sync-result.json；RSL-0002、RSL-0003
9. 全局证据追溯：work/liveshow-user-app-all-260901-001/global-evidence-scan-result.json；扫描模式 full</x:v>
      </x:c>
    </x:row>
    <x:row r="291" ht="142.5" customHeight="1">
      <x:c r="A291" s="5" t="n">
        <x:v>290</x:v>
      </x:c>
      <x:c r="B291" s="5" t="str">
        <x:v>LIVE-237</x:v>
      </x:c>
      <x:c r="C291" s="5" t="str">
        <x:v>用户App-直播</x:v>
      </x:c>
      <x:c r="D291" s="5" t="str">
        <x:v>主播连麦</x:v>
      </x:c>
      <x:c r="E291" s="5" t="str">
        <x:v>业务流程</x:v>
      </x:c>
      <x:c r="F291" s="5" t="str">
        <x:v>P1</x:v>
      </x:c>
      <x:c r="G291" s="5" t="str">
        <x:v>验证主播 B 退出连麦后恢复单人画面</x:v>
      </x:c>
      <x:c r="H291" s="5" t="str">
        <x:v>主播 B 单人画面恢复</x:v>
      </x:c>
      <x:c r="I291" s="5" t="str">
        <x:v>1. 两位主播正在连麦</x:v>
      </x:c>
      <x:c r="J291" s="5" t="str">
        <x:v>1. 连麦主播确认退出
2. 查看主播 B 的直播画面</x:v>
      </x:c>
      <x:c r="K291" s="5" t="str">
        <x:v>主播 B 的直播间恢复主播 B 的单人直播画面</x:v>
      </x:c>
      <x:c r="L291" s="5" t="str">
        <x:v>FLOW-LIVE-005</x:v>
      </x:c>
      <x:c r="M291" s="5" t="str">
        <x:v>未测</x:v>
      </x:c>
      <x:c r="N291" s="5" t="str"/>
      <x:c r="O291" s="5" t="str">
        <x:v>1. 来源：context/01-用户主播App-项目需求清单.md
2. 来源：context/系统概要 .md（当前全局业务规则）
3. 来源：prototype/assets/annotations.js
4. 追溯：业务底稿 LIVE-090。
5. 流程：阶段 08：主播 B 恢复单人画面；共同业务对象：连麦会话（数据别名：COHOST-SESSION-01）。
6. 共同业务对象：同一主播连麦会话
7. 流程阶段：主播 B 单人画面恢复
8. 同步追溯：work/liveshow-user-app-all-260901-001/prototype-context-sync-result.json；RSL-0002、RSL-0003
9. 全局证据追溯：work/liveshow-user-app-all-260901-001/global-evidence-scan-result.json；扫描模式 full</x:v>
      </x:c>
    </x:row>
    <x:row r="292" ht="142.5" customHeight="1">
      <x:c r="A292" s="5" t="n">
        <x:v>291</x:v>
      </x:c>
      <x:c r="B292" s="5" t="str">
        <x:v>LIVE-238</x:v>
      </x:c>
      <x:c r="C292" s="5" t="str">
        <x:v>用户App-直播</x:v>
      </x:c>
      <x:c r="D292" s="5" t="str">
        <x:v>主播连麦</x:v>
      </x:c>
      <x:c r="E292" s="5" t="str">
        <x:v>业务流程</x:v>
      </x:c>
      <x:c r="F292" s="5" t="str">
        <x:v>P1</x:v>
      </x:c>
      <x:c r="G292" s="5" t="str">
        <x:v>验证退出连麦后恢复连麦入口</x:v>
      </x:c>
      <x:c r="H292" s="5" t="str">
        <x:v>连麦入口恢复</x:v>
      </x:c>
      <x:c r="I292" s="5" t="str">
        <x:v>1. 两位主播正在连麦</x:v>
      </x:c>
      <x:c r="J292" s="5" t="str">
        <x:v>1. 连麦主播确认退出
2. 查看普通房连麦入口</x:v>
      </x:c>
      <x:c r="K292" s="5" t="str">
        <x:v>普通房恢复可用的连麦入口</x:v>
      </x:c>
      <x:c r="L292" s="5" t="str">
        <x:v>FLOW-LIVE-005</x:v>
      </x:c>
      <x:c r="M292" s="5" t="str">
        <x:v>未测</x:v>
      </x:c>
      <x:c r="N292" s="5" t="str"/>
      <x:c r="O292" s="5" t="str">
        <x:v>1. 来源：context/01-用户主播App-项目需求清单.md
2. 来源：context/系统概要 .md（当前全局业务规则）
3. 来源：prototype/assets/annotations.js
4. 追溯：业务底稿 LIVE-090。
5. 流程：阶段 09：恢复普通房连麦入口；共同业务对象：连麦会话（数据别名：COHOST-SESSION-01）。
6. 共同业务对象：同一主播连麦会话
7. 流程阶段：连麦入口恢复
8. 同步追溯：work/liveshow-user-app-all-260901-001/prototype-context-sync-result.json；RSL-0002、RSL-0003
9. 全局证据追溯：work/liveshow-user-app-all-260901-001/global-evidence-scan-result.json；扫描模式 full</x:v>
      </x:c>
    </x:row>
    <x:row r="293" ht="142.5" customHeight="1">
      <x:c r="A293" s="5" t="n">
        <x:v>292</x:v>
      </x:c>
      <x:c r="B293" s="5" t="str">
        <x:v>LIVE-239</x:v>
      </x:c>
      <x:c r="C293" s="5" t="str">
        <x:v>用户App-直播</x:v>
      </x:c>
      <x:c r="D293" s="5" t="str">
        <x:v>主播连麦</x:v>
      </x:c>
      <x:c r="E293" s="5" t="str">
        <x:v>业务流程</x:v>
      </x:c>
      <x:c r="F293" s="5" t="str">
        <x:v>P1</x:v>
      </x:c>
      <x:c r="G293" s="5" t="str">
        <x:v>验证退出连麦不结束双方直播场次</x:v>
      </x:c>
      <x:c r="H293" s="5" t="str">
        <x:v>连麦退出场次状态</x:v>
      </x:c>
      <x:c r="I293" s="5" t="str">
        <x:v>1. 两位主播正在连麦</x:v>
      </x:c>
      <x:c r="J293" s="5" t="str">
        <x:v>1. 连麦主播确认退出
2. 查看主播 A 和主播 B 的直播场次状态</x:v>
      </x:c>
      <x:c r="K293" s="5" t="str">
        <x:v>两场直播均保持进行中</x:v>
      </x:c>
      <x:c r="L293" s="5" t="str">
        <x:v>FLOW-LIVE-005</x:v>
      </x:c>
      <x:c r="M293" s="5" t="str">
        <x:v>未测</x:v>
      </x:c>
      <x:c r="N293" s="5" t="str"/>
      <x:c r="O293" s="5" t="str">
        <x:v>1. 来源：context/01-用户主播App-项目需求清单.md
2. 来源：context/系统概要 .md（当前全局业务规则）
3. 来源：prototype/assets/annotations.js
4. 追溯：业务底稿 LIVE-090。
5. 流程：阶段 10：双方直播场次继续；共同业务对象：连麦会话（数据别名：COHOST-SESSION-01）。
6. 共同业务对象：同一主播连麦会话
7. 流程阶段：连麦退出场次状态
8. 同步追溯：work/liveshow-user-app-all-260901-001/prototype-context-sync-result.json；RSL-0002、RSL-0003
9. 全局证据追溯：work/liveshow-user-app-all-260901-001/global-evidence-scan-result.json；扫描模式 full</x:v>
      </x:c>
    </x:row>
    <x:row r="294" ht="115.5" customHeight="1">
      <x:c r="A294" s="5" t="n">
        <x:v>293</x:v>
      </x:c>
      <x:c r="B294" s="5" t="str">
        <x:v>LIVE-240</x:v>
      </x:c>
      <x:c r="C294" s="5" t="str">
        <x:v>用户App-直播</x:v>
      </x:c>
      <x:c r="D294" s="5" t="str">
        <x:v>主播连麦</x:v>
      </x:c>
      <x:c r="E294" s="5" t="str">
        <x:v>逻辑校验</x:v>
      </x:c>
      <x:c r="F294" s="5" t="str">
        <x:v>P1</x:v>
      </x:c>
      <x:c r="G294" s="5" t="str">
        <x:v>验证门票房不提供可用连麦入口</x:v>
      </x:c>
      <x:c r="H294" s="5" t="str">
        <x:v>门票房连麦入口限制</x:v>
      </x:c>
      <x:c r="I294" s="5" t="str">
        <x:v>1. 主播正在门票房直播</x:v>
      </x:c>
      <x:c r="J294" s="5" t="str">
        <x:v>1. 进入门票房主播端
2. 查看连麦入口</x:v>
      </x:c>
      <x:c r="K294" s="5" t="str">
        <x:v>门票房不提供可用的连麦入口</x:v>
      </x:c>
      <x:c r="L294" s="5" t="str"/>
      <x:c r="M294" s="5" t="str">
        <x:v>未测</x:v>
      </x:c>
      <x:c r="N294" s="5" t="str"/>
      <x:c r="O294" s="5" t="str">
        <x:v>1. 来源：context/01-用户主播App-项目需求清单.md
2. 来源：context/系统概要 .md（当前全局业务规则）
3. 来源：prototype/assets/annotations.js
4. 追溯：业务底稿 LIVE-091。
5. 质量修正：按 RCL-0018 执行最小前置条件和单分支检查
6. 同步追溯：work/liveshow-user-app-all-260901-001/prototype-context-sync-result.json；RSL-0002、RSL-0003
7. 全局证据追溯：work/liveshow-user-app-all-260901-001/global-evidence-scan-result.json；扫描模式 full</x:v>
      </x:c>
    </x:row>
    <x:row r="295" ht="127.5" customHeight="1">
      <x:c r="A295" s="5" t="n">
        <x:v>294</x:v>
      </x:c>
      <x:c r="B295" s="5" t="str">
        <x:v>LIVE-241</x:v>
      </x:c>
      <x:c r="C295" s="5" t="str">
        <x:v>用户App-直播</x:v>
      </x:c>
      <x:c r="D295" s="5" t="str">
        <x:v>主播连麦</x:v>
      </x:c>
      <x:c r="E295" s="5" t="str">
        <x:v>逻辑校验</x:v>
      </x:c>
      <x:c r="F295" s="5" t="str">
        <x:v>P1</x:v>
      </x:c>
      <x:c r="G295" s="5" t="str">
        <x:v>验证密码房 PK 按钮置灰</x:v>
      </x:c>
      <x:c r="H295" s="5" t="str">
        <x:v>密码房 PK 按钮状态</x:v>
      </x:c>
      <x:c r="I295" s="5" t="str">
        <x:v>1. 主播正在密码房直播</x:v>
      </x:c>
      <x:c r="J295" s="5" t="str">
        <x:v>1. 进入密码房主播端
2. 查看“PK”入口</x:v>
      </x:c>
      <x:c r="K295" s="5" t="str">
        <x:v>密码房保留置灰且不可用的“PK”按钮</x:v>
      </x:c>
      <x:c r="L295" s="5" t="str"/>
      <x:c r="M295" s="5" t="str">
        <x:v>未测</x:v>
      </x:c>
      <x:c r="N295" s="5" t="str"/>
      <x:c r="O295" s="5" t="str">
        <x:v>1. 来源：context/01-用户主播App-项目需求清单.md
2. 来源：context/系统概要 .md（当前全局业务规则）
3. 来源：prototype/assets/annotations.js
4. 追溯：业务底稿 LIVE-091。
5. 质量修正：按 RCL-0018 执行最小前置条件和单分支检查
6. 同步追溯：work/liveshow-user-app-all-260901-001/prototype-context-sync-result.json；RSL-0002、RSL-0003
7. 全局证据追溯：work/liveshow-user-app-all-260901-001/global-evidence-scan-result.json；扫描模式 full
8. 命名修复：补充页面、状态或动作，消除重复标题和重复验证点名称；业务步骤与预期结果未变</x:v>
      </x:c>
    </x:row>
    <x:row r="296" ht="103.5" customHeight="1">
      <x:c r="A296" s="5" t="n">
        <x:v>295</x:v>
      </x:c>
      <x:c r="B296" s="5" t="str">
        <x:v>LIVE-242</x:v>
      </x:c>
      <x:c r="C296" s="5" t="str">
        <x:v>用户App-直播</x:v>
      </x:c>
      <x:c r="D296" s="5" t="str">
        <x:v>主播连麦</x:v>
      </x:c>
      <x:c r="E296" s="5" t="str">
        <x:v>逻辑校验</x:v>
      </x:c>
      <x:c r="F296" s="5" t="str">
        <x:v>P1</x:v>
      </x:c>
      <x:c r="G296" s="5" t="str">
        <x:v>验证两人连麦中不能加入第三位主播</x:v>
      </x:c>
      <x:c r="H296" s="5" t="str">
        <x:v>连麦人数上限</x:v>
      </x:c>
      <x:c r="I296" s="5" t="str">
        <x:v>1. 主播 A 与主播 B 正在普通房连麦
2. 主播 C 在线且具备连麦权限</x:v>
      </x:c>
      <x:c r="J296" s="5" t="str">
        <x:v>1. 尝试邀请主播 C 加入当前连麦</x:v>
      </x:c>
      <x:c r="K296" s="5" t="str">
        <x:v>两人连麦状态下第三位主播不得加入当前连麦</x:v>
      </x:c>
      <x:c r="L296" s="5" t="str"/>
      <x:c r="M296" s="5" t="str">
        <x:v>未测</x:v>
      </x:c>
      <x:c r="N296" s="5" t="str"/>
      <x:c r="O296" s="5" t="str">
        <x:v>1. 来源：context/01-用户主播App-项目需求清单.md
2. 来源：context/系统概要 .md（当前全局业务规则）
3. 来源：prototype/assets/annotations.js
4. 追溯：业务底稿 LIVE-092。
5. 同步追溯：work/liveshow-user-app-all-260901-001/prototype-context-sync-result.json；RSL-0002、RSL-0003
6. 全局证据追溯：work/liveshow-user-app-all-260901-001/global-evidence-scan-result.json；扫描模式 full</x:v>
      </x:c>
    </x:row>
    <x:row r="297" ht="103.5" customHeight="1">
      <x:c r="A297" s="5" t="n">
        <x:v>296</x:v>
      </x:c>
      <x:c r="B297" s="5" t="str">
        <x:v>LIVE-243</x:v>
      </x:c>
      <x:c r="C297" s="5" t="str">
        <x:v>用户App-直播</x:v>
      </x:c>
      <x:c r="D297" s="5" t="str">
        <x:v>主播连麦</x:v>
      </x:c>
      <x:c r="E297" s="5" t="str">
        <x:v>功能需求</x:v>
      </x:c>
      <x:c r="F297" s="5" t="str">
        <x:v>P1</x:v>
      </x:c>
      <x:c r="G297" s="5" t="str">
        <x:v>验证按 ID 或昵称筛选收到的连麦邀请</x:v>
      </x:c>
      <x:c r="H297" s="5" t="str">
        <x:v>收到的邀请筛选</x:v>
      </x:c>
      <x:c r="I297" s="5" t="str">
        <x:v>1. 主播正在普通房直播
2. 目标主播在线且具备连麦权限</x:v>
      </x:c>
      <x:c r="J297" s="5" t="str">
        <x:v>1. 打开“连麦主播”面板
2. 输入已收到邀请的主播 ID
3. 改为输入该主播昵称</x:v>
      </x:c>
      <x:c r="K297" s="5" t="str">
        <x:v>两种搜索方式均只展示与目标主播匹配的已收到邀请</x:v>
      </x:c>
      <x:c r="L297" s="5" t="str"/>
      <x:c r="M297" s="5" t="str">
        <x:v>未测</x:v>
      </x:c>
      <x:c r="N297" s="5" t="str"/>
      <x:c r="O297" s="5" t="str">
        <x:v>1. 来源：context/01-用户主播App-项目需求清单.md
2. 来源：prototype/assets/annotations.js
3. 来源：对应 HTML 静态原型；未动态验证
4. 追溯：业务底稿 LIVE-105。
5. 同步追溯：work/liveshow-user-app-all-260901-001/prototype-context-sync-result.json；RSL-0002、RSL-0003
6. 全局证据追溯：work/liveshow-user-app-all-260901-001/global-evidence-scan-result.json；扫描模式 full</x:v>
      </x:c>
    </x:row>
    <x:row r="298" ht="91.5" customHeight="1">
      <x:c r="A298" s="5" t="n">
        <x:v>297</x:v>
      </x:c>
      <x:c r="B298" s="5" t="str">
        <x:v>LIVE-244</x:v>
      </x:c>
      <x:c r="C298" s="5" t="str">
        <x:v>用户App-直播</x:v>
      </x:c>
      <x:c r="D298" s="5" t="str">
        <x:v>主播连麦</x:v>
      </x:c>
      <x:c r="E298" s="5" t="str">
        <x:v>逻辑校验</x:v>
      </x:c>
      <x:c r="F298" s="5" t="str">
        <x:v>P1</x:v>
      </x:c>
      <x:c r="G298" s="5" t="str">
        <x:v>验证被邀请主播可同时收到多条连麦邀请</x:v>
      </x:c>
      <x:c r="H298" s="5" t="str">
        <x:v>多条收到邀请</x:v>
      </x:c>
      <x:c r="I298" s="5" t="str">
        <x:v>1. 主播 B 正在普通房直播且未连麦
2. 主播 A 和主播 C 均满足连麦条件</x:v>
      </x:c>
      <x:c r="J298" s="5" t="str">
        <x:v>1. 由主播 A 向主播 B 发起邀请
2. 由主播 C 向主播 B 发起邀请
3. 查看主播 B 的收到邀请列表</x:v>
      </x:c>
      <x:c r="K298" s="5" t="str">
        <x:v>“收到的邀请”列表同时展示多条待处理连麦邀请</x:v>
      </x:c>
      <x:c r="L298" s="5" t="str"/>
      <x:c r="M298" s="5" t="str">
        <x:v>未测</x:v>
      </x:c>
      <x:c r="N298" s="5" t="str"/>
      <x:c r="O298" s="5" t="str">
        <x:v>1. 来源：prototype/assets/annotations.js
2. 来源：对应 HTML 静态原型；未动态验证
3. 追溯：业务底稿 LIVE-107。
4. 同步追溯：work/liveshow-user-app-all-260901-001/prototype-context-sync-result.json；RSL-0002、RSL-0003
5. 全局证据追溯：work/liveshow-user-app-all-260901-001/global-evidence-scan-result.json；扫描模式 full</x:v>
      </x:c>
    </x:row>
    <x:row r="299" ht="115.5" customHeight="1">
      <x:c r="A299" s="5" t="n">
        <x:v>298</x:v>
      </x:c>
      <x:c r="B299" s="5" t="str">
        <x:v>LIVE-245</x:v>
      </x:c>
      <x:c r="C299" s="5" t="str">
        <x:v>用户App-直播</x:v>
      </x:c>
      <x:c r="D299" s="5" t="str">
        <x:v>主播连麦</x:v>
      </x:c>
      <x:c r="E299" s="5" t="str">
        <x:v>逻辑校验</x:v>
      </x:c>
      <x:c r="F299" s="5" t="str">
        <x:v>P1</x:v>
      </x:c>
      <x:c r="G299" s="5" t="str">
        <x:v>验证点击密码房 PK 按钮的限制提示</x:v>
      </x:c>
      <x:c r="H299" s="5" t="str">
        <x:v>密码房 PK 点击提示</x:v>
      </x:c>
      <x:c r="I299" s="5" t="str">
        <x:v>1. 主播正在密码房直播</x:v>
      </x:c>
      <x:c r="J299" s="5" t="str">
        <x:v>1. 点击 PK 入口</x:v>
      </x:c>
      <x:c r="K299" s="5" t="str">
        <x:v>点击密码房的“PK”按钮后提示“密码房无法发起连麦”</x:v>
      </x:c>
      <x:c r="L299" s="5" t="str"/>
      <x:c r="M299" s="5" t="str">
        <x:v>未测</x:v>
      </x:c>
      <x:c r="N299" s="5" t="str"/>
      <x:c r="O299" s="5" t="str">
        <x:v>1. 来源：context/01-用户主播App-项目需求清单.md
2. 来源：prototype/assets/annotations.js
3. 来源：对应 HTML 静态原型；未动态验证
4. 追溯：业务底稿 LIVE-109。
5. 同步追溯：work/liveshow-user-app-all-260901-001/prototype-context-sync-result.json；RSL-0002、RSL-0003
6. 全局证据追溯：work/liveshow-user-app-all-260901-001/global-evidence-scan-result.json；扫描模式 full
7. 命名修复：补充页面、状态或动作，消除重复标题和重复验证点名称；业务步骤与预期结果未变</x:v>
      </x:c>
    </x:row>
    <x:row r="300" ht="91.5" customHeight="1">
      <x:c r="A300" s="5" t="n">
        <x:v>299</x:v>
      </x:c>
      <x:c r="B300" s="5" t="str">
        <x:v>LIVE-246</x:v>
      </x:c>
      <x:c r="C300" s="5" t="str">
        <x:v>用户App-直播</x:v>
      </x:c>
      <x:c r="D300" s="5" t="str">
        <x:v>主播连麦</x:v>
      </x:c>
      <x:c r="E300" s="5" t="str">
        <x:v>逻辑校验</x:v>
      </x:c>
      <x:c r="F300" s="5" t="str">
        <x:v>P2</x:v>
      </x:c>
      <x:c r="G300" s="5" t="str">
        <x:v>验证连麦中房间密码入口不可用</x:v>
      </x:c>
      <x:c r="H300" s="5" t="str">
        <x:v>连麦中密码入口限制</x:v>
      </x:c>
      <x:c r="I300" s="5" t="str">
        <x:v>1. 主播正在普通房两人连麦中</x:v>
      </x:c>
      <x:c r="J300" s="5" t="str">
        <x:v>1. 打开直播设置
2. 查看并点击房间密码入口</x:v>
      </x:c>
      <x:c r="K300" s="5" t="str">
        <x:v>连麦中的房间密码入口置灰</x:v>
      </x:c>
      <x:c r="L300" s="5" t="str"/>
      <x:c r="M300" s="5" t="str">
        <x:v>未测</x:v>
      </x:c>
      <x:c r="N300" s="5" t="str"/>
      <x:c r="O300" s="5" t="str">
        <x:v>1. 来源：prototype/assets/annotations.js
2. 来源：对应 HTML 静态原型；未动态验证
3. 追溯：业务底稿 LIVE-110。
4. 同步追溯：work/liveshow-user-app-all-260901-001/prototype-context-sync-result.json；RSL-0002、RSL-0003
5. 全局证据追溯：work/liveshow-user-app-all-260901-001/global-evidence-scan-result.json；扫描模式 full</x:v>
      </x:c>
    </x:row>
    <x:row r="301" ht="115.5" customHeight="1">
      <x:c r="A301" s="5" t="n">
        <x:v>300</x:v>
      </x:c>
      <x:c r="B301" s="5" t="str">
        <x:v>LIVE-247</x:v>
      </x:c>
      <x:c r="C301" s="5" t="str">
        <x:v>用户App-直播</x:v>
      </x:c>
      <x:c r="D301" s="5" t="str">
        <x:v>主播连麦</x:v>
      </x:c>
      <x:c r="E301" s="5" t="str">
        <x:v>功能需求</x:v>
      </x:c>
      <x:c r="F301" s="5" t="str">
        <x:v>P2</x:v>
      </x:c>
      <x:c r="G301" s="5" t="str">
        <x:v>验证接受连麦邀请成功反馈</x:v>
      </x:c>
      <x:c r="H301" s="5" t="str">
        <x:v>接受连麦邀请反馈</x:v>
      </x:c>
      <x:c r="I301" s="5" t="str">
        <x:v>1. 主播收到 Nadia 的有效连麦邀请
2. 双方均在普通房直播</x:v>
      </x:c>
      <x:c r="J301" s="5" t="str">
        <x:v>1. 打开连麦主播面板
2. 在 Nadia 的邀请中点击“接受”</x:v>
      </x:c>
      <x:c r="K301" s="5" t="str">
        <x:v>页面提示“已接受 Nadia 的连麦邀请”</x:v>
      </x:c>
      <x:c r="L301" s="5" t="str">
        <x:v>FLOW-LIVE-005</x:v>
      </x:c>
      <x:c r="M301" s="5" t="str">
        <x:v>未测</x:v>
      </x:c>
      <x:c r="N301" s="5" t="str"/>
      <x:c r="O301" s="5" t="str">
        <x:v>1. 来源：prototype/assets/common.js 动态交互脚本
2. 静态分析已确认事件绑定；未在浏览器动态验证
3. 补充原因：业务结果完整性扫描发现独立反馈观察点未覆盖
4. 共同业务对象：同一主播连麦会话
5. 流程阶段：接受连麦邀请反馈
6. 同步追溯：work/liveshow-user-app-all-260901-001/prototype-context-sync-result.json；RSL-0002、RSL-0003
7. 全局证据追溯：work/liveshow-user-app-all-260901-001/global-evidence-scan-result.json；扫描模式 full</x:v>
      </x:c>
    </x:row>
    <x:row r="302" ht="115.5" customHeight="1">
      <x:c r="A302" s="5" t="n">
        <x:v>301</x:v>
      </x:c>
      <x:c r="B302" s="5" t="str">
        <x:v>LIVE-248</x:v>
      </x:c>
      <x:c r="C302" s="5" t="str">
        <x:v>用户App-直播</x:v>
      </x:c>
      <x:c r="D302" s="5" t="str">
        <x:v>主播连麦</x:v>
      </x:c>
      <x:c r="E302" s="5" t="str">
        <x:v>业务流程</x:v>
      </x:c>
      <x:c r="F302" s="5" t="str">
        <x:v>P1</x:v>
      </x:c>
      <x:c r="G302" s="5" t="str">
        <x:v>验证拒绝后关闭目标连麦邀请</x:v>
      </x:c>
      <x:c r="H302" s="5" t="str">
        <x:v>拒绝连麦邀请状态</x:v>
      </x:c>
      <x:c r="I302" s="5" t="str">
        <x:v>1. 主播收到 Lina 的有效连麦邀请
2. 双方均在普通房直播</x:v>
      </x:c>
      <x:c r="J302" s="5" t="str">
        <x:v>1. 打开连麦主播面板
2. 在 Lina 的邀请中点击“拒绝”</x:v>
      </x:c>
      <x:c r="K302" s="5" t="str">
        <x:v>Lina 的邀请从收到的邀请列表中移除</x:v>
      </x:c>
      <x:c r="L302" s="5" t="str">
        <x:v>FLOW-LIVE-005</x:v>
      </x:c>
      <x:c r="M302" s="5" t="str">
        <x:v>未测</x:v>
      </x:c>
      <x:c r="N302" s="5" t="str"/>
      <x:c r="O302" s="5" t="str">
        <x:v>1. 来源：prototype/assets/common.js 动态交互脚本
2. 静态分析已确认事件绑定；未在浏览器动态验证
3. 补充原因：业务结果完整性扫描发现独立反馈观察点未覆盖
4. 共同业务对象：同一主播连麦会话
5. 流程阶段：拒绝连麦邀请状态
6. 同步追溯：work/liveshow-user-app-all-260901-001/prototype-context-sync-result.json；RSL-0002、RSL-0003
7. 全局证据追溯：work/liveshow-user-app-all-260901-001/global-evidence-scan-result.json；扫描模式 full</x:v>
      </x:c>
    </x:row>
    <x:row r="303" ht="115.5" customHeight="1">
      <x:c r="A303" s="5" t="n">
        <x:v>302</x:v>
      </x:c>
      <x:c r="B303" s="5" t="str">
        <x:v>LIVE-249</x:v>
      </x:c>
      <x:c r="C303" s="5" t="str">
        <x:v>用户App-直播</x:v>
      </x:c>
      <x:c r="D303" s="5" t="str">
        <x:v>主播连麦</x:v>
      </x:c>
      <x:c r="E303" s="5" t="str">
        <x:v>业务流程</x:v>
      </x:c>
      <x:c r="F303" s="5" t="str">
        <x:v>P1</x:v>
      </x:c>
      <x:c r="G303" s="5" t="str">
        <x:v>验证拒绝后不建立连麦关系</x:v>
      </x:c>
      <x:c r="H303" s="5" t="str">
        <x:v>拒绝连麦关系结果</x:v>
      </x:c>
      <x:c r="I303" s="5" t="str">
        <x:v>1. 主播收到 Lina 的有效连麦邀请
2. 双方均在普通房直播</x:v>
      </x:c>
      <x:c r="J303" s="5" t="str">
        <x:v>1. 打开连麦主播面板
2. 在 Lina 的邀请中点击“拒绝”</x:v>
      </x:c>
      <x:c r="K303" s="5" t="str">
        <x:v>当前主播与 Lina 不建立连麦关系</x:v>
      </x:c>
      <x:c r="L303" s="5" t="str">
        <x:v>FLOW-LIVE-005</x:v>
      </x:c>
      <x:c r="M303" s="5" t="str">
        <x:v>未测</x:v>
      </x:c>
      <x:c r="N303" s="5" t="str"/>
      <x:c r="O303" s="5" t="str">
        <x:v>1. 来源：prototype/assets/common.js 动态交互脚本
2. 静态分析已确认事件绑定；未在浏览器动态验证
3. 补充原因：业务结果完整性扫描发现独立反馈观察点未覆盖
4. 共同业务对象：同一主播连麦会话
5. 流程阶段：拒绝连麦关系结果
6. 同步追溯：work/liveshow-user-app-all-260901-001/prototype-context-sync-result.json；RSL-0002、RSL-0003
7. 全局证据追溯：work/liveshow-user-app-all-260901-001/global-evidence-scan-result.json；扫描模式 full</x:v>
      </x:c>
    </x:row>
    <x:row r="304" ht="115.5" customHeight="1">
      <x:c r="A304" s="5" t="n">
        <x:v>303</x:v>
      </x:c>
      <x:c r="B304" s="5" t="str">
        <x:v>LIVE-250</x:v>
      </x:c>
      <x:c r="C304" s="5" t="str">
        <x:v>用户App-直播</x:v>
      </x:c>
      <x:c r="D304" s="5" t="str">
        <x:v>主播连麦</x:v>
      </x:c>
      <x:c r="E304" s="5" t="str">
        <x:v>功能需求</x:v>
      </x:c>
      <x:c r="F304" s="5" t="str">
        <x:v>P2</x:v>
      </x:c>
      <x:c r="G304" s="5" t="str">
        <x:v>验证拒绝连麦邀请成功反馈</x:v>
      </x:c>
      <x:c r="H304" s="5" t="str">
        <x:v>拒绝连麦邀请反馈</x:v>
      </x:c>
      <x:c r="I304" s="5" t="str">
        <x:v>1. 主播收到 Lina 的有效连麦邀请
2. 双方均在普通房直播</x:v>
      </x:c>
      <x:c r="J304" s="5" t="str">
        <x:v>1. 打开连麦主播面板
2. 在 Lina 的邀请中点击“拒绝”</x:v>
      </x:c>
      <x:c r="K304" s="5" t="str">
        <x:v>页面提示“已拒绝 Lina 的连麦邀请”</x:v>
      </x:c>
      <x:c r="L304" s="5" t="str">
        <x:v>FLOW-LIVE-005</x:v>
      </x:c>
      <x:c r="M304" s="5" t="str">
        <x:v>未测</x:v>
      </x:c>
      <x:c r="N304" s="5" t="str"/>
      <x:c r="O304" s="5" t="str">
        <x:v>1. 来源：prototype/assets/common.js 动态交互脚本
2. 静态分析已确认事件绑定；未在浏览器动态验证
3. 补充原因：业务结果完整性扫描发现独立反馈观察点未覆盖
4. 共同业务对象：同一主播连麦会话
5. 流程阶段：拒绝连麦邀请反馈
6. 同步追溯：work/liveshow-user-app-all-260901-001/prototype-context-sync-result.json；RSL-0002、RSL-0003
7. 全局证据追溯：work/liveshow-user-app-all-260901-001/global-evidence-scan-result.json；扫描模式 full</x:v>
      </x:c>
    </x:row>
    <x:row r="305" ht="115.5" customHeight="1">
      <x:c r="A305" s="5" t="n">
        <x:v>304</x:v>
      </x:c>
      <x:c r="B305" s="5" t="str">
        <x:v>LIVE-251</x:v>
      </x:c>
      <x:c r="C305" s="5" t="str">
        <x:v>用户App-直播</x:v>
      </x:c>
      <x:c r="D305" s="5" t="str">
        <x:v>主播连麦</x:v>
      </x:c>
      <x:c r="E305" s="5" t="str">
        <x:v>功能需求</x:v>
      </x:c>
      <x:c r="F305" s="5" t="str">
        <x:v>P2</x:v>
      </x:c>
      <x:c r="G305" s="5" t="str">
        <x:v>验证退出连麦成功反馈</x:v>
      </x:c>
      <x:c r="H305" s="5" t="str">
        <x:v>退出连麦反馈</x:v>
      </x:c>
      <x:c r="I305" s="5" t="str">
        <x:v>1. 两位主播正在连麦</x:v>
      </x:c>
      <x:c r="J305" s="5" t="str">
        <x:v>1. 点击“退出”
2. 在确认提示中点击“确认退出”</x:v>
      </x:c>
      <x:c r="K305" s="5" t="str">
        <x:v>页面提示“已退出连麦”</x:v>
      </x:c>
      <x:c r="L305" s="5" t="str">
        <x:v>FLOW-LIVE-005</x:v>
      </x:c>
      <x:c r="M305" s="5" t="str">
        <x:v>未测</x:v>
      </x:c>
      <x:c r="N305" s="5" t="str"/>
      <x:c r="O305" s="5" t="str">
        <x:v>1. 来源：prototype/assets/common.js 动态交互脚本
2. 静态分析已确认事件绑定；未在浏览器动态验证
3. 补充原因：业务结果完整性扫描发现独立反馈观察点未覆盖
4. 共同业务对象：同一主播连麦会话
5. 流程阶段：退出连麦反馈
6. 同步追溯：work/liveshow-user-app-all-260901-001/prototype-context-sync-result.json；RSL-0002、RSL-0003
7. 全局证据追溯：work/liveshow-user-app-all-260901-001/global-evidence-scan-result.json；扫描模式 full</x:v>
      </x:c>
    </x:row>
    <x:row r="306" ht="103.5" customHeight="1">
      <x:c r="A306" s="5" t="n">
        <x:v>305</x:v>
      </x:c>
      <x:c r="B306" s="5" t="str">
        <x:v>LIVE-252</x:v>
      </x:c>
      <x:c r="C306" s="5" t="str">
        <x:v>用户App-直播</x:v>
      </x:c>
      <x:c r="D306" s="5" t="str">
        <x:v>主播连麦</x:v>
      </x:c>
      <x:c r="E306" s="5" t="str">
        <x:v>功能需求</x:v>
      </x:c>
      <x:c r="F306" s="5" t="str">
        <x:v>P1</x:v>
      </x:c>
      <x:c r="G306" s="5" t="str">
        <x:v>验证普通房 PK 入口打开连麦面板</x:v>
      </x:c>
      <x:c r="H306" s="5" t="str">
        <x:v>PK 入口打开连麦</x:v>
      </x:c>
      <x:c r="I306" s="5" t="str">
        <x:v>1. 主播正在普通房直播</x:v>
      </x:c>
      <x:c r="J306" s="5" t="str">
        <x:v>1. 点击“PK”</x:v>
      </x:c>
      <x:c r="K306" s="5" t="str">
        <x:v>页面打开标题为“连麦主播”的面板</x:v>
      </x:c>
      <x:c r="L306" s="5" t="str"/>
      <x:c r="M306" s="5" t="str">
        <x:v>未测</x:v>
      </x:c>
      <x:c r="N306" s="5" t="str"/>
      <x:c r="O306" s="5" t="str">
        <x:v>1. 来源：context/01-用户主播App-项目需求清单.md（2026-08-29 按原型同步，RSL-0002）
2. 来源：prototype/pages/user/live/live-room-cohost-active.html 与 prototype/assets/common.js；未动态验证
3. 同步追溯：work/liveshow-user-app-all-260901-001/prototype-context-sync-result.json；RSL-0002、RSL-0003
4. 全局证据追溯：work/liveshow-user-app-all-260901-001/global-evidence-scan-result.json；扫描模式 full</x:v>
      </x:c>
    </x:row>
    <x:row r="307" ht="79.5" customHeight="1">
      <x:c r="A307" s="5" t="n">
        <x:v>306</x:v>
      </x:c>
      <x:c r="B307" s="5" t="str">
        <x:v>LIVE-253</x:v>
      </x:c>
      <x:c r="C307" s="5" t="str">
        <x:v>用户App-直播</x:v>
      </x:c>
      <x:c r="D307" s="5" t="str">
        <x:v>主播连麦</x:v>
      </x:c>
      <x:c r="E307" s="5" t="str">
        <x:v>功能需求</x:v>
      </x:c>
      <x:c r="F307" s="5" t="str">
        <x:v>P2</x:v>
      </x:c>
      <x:c r="G307" s="5" t="str">
        <x:v>验证连麦邀请筛选无结果</x:v>
      </x:c>
      <x:c r="H307" s="5" t="str">
        <x:v>连麦邀请筛选空状态</x:v>
      </x:c>
      <x:c r="I307" s="5" t="str">
        <x:v>1. “连麦主播”面板已打开</x:v>
      </x:c>
      <x:c r="J307" s="5" t="str">
        <x:v>1. 输入与已收到邀请都不匹配的内容</x:v>
      </x:c>
      <x:c r="K307" s="5" t="str">
        <x:v>邀请列表展示“暂无收到的邀请”</x:v>
      </x:c>
      <x:c r="L307" s="5" t="str"/>
      <x:c r="M307" s="5" t="str">
        <x:v>未测</x:v>
      </x:c>
      <x:c r="N307" s="5" t="str"/>
      <x:c r="O307" s="5" t="str">
        <x:v>1. 来源：prototype/pages/user/live/live-room-cohost-active.html 与 prototype/assets/common.js；未动态验证
2. 同步追溯：work/liveshow-user-app-all-260901-001/prototype-context-sync-result.json；RSL-0002、RSL-0003
3. 全局证据追溯：work/liveshow-user-app-all-260901-001/global-evidence-scan-result.json；扫描模式 full</x:v>
      </x:c>
    </x:row>
    <x:row r="308" ht="103.5" customHeight="1">
      <x:c r="A308" s="5" t="n">
        <x:v>307</x:v>
      </x:c>
      <x:c r="B308" s="5" t="str">
        <x:v>LIVE-254</x:v>
      </x:c>
      <x:c r="C308" s="5" t="str">
        <x:v>用户App-直播</x:v>
      </x:c>
      <x:c r="D308" s="5" t="str">
        <x:v>主播连麦</x:v>
      </x:c>
      <x:c r="E308" s="5" t="str">
        <x:v>逻辑校验</x:v>
      </x:c>
      <x:c r="F308" s="5" t="str">
        <x:v>P1</x:v>
      </x:c>
      <x:c r="G308" s="5" t="str">
        <x:v>验证门票房不提供可用 PK 入口</x:v>
      </x:c>
      <x:c r="H308" s="5" t="str">
        <x:v>门票房 PK 入口限制</x:v>
      </x:c>
      <x:c r="I308" s="5" t="str">
        <x:v>1. 主播正在门票房直播</x:v>
      </x:c>
      <x:c r="J308" s="5" t="str">
        <x:v>1. 进入门票房主播端
2. 查看 PK 入口</x:v>
      </x:c>
      <x:c r="K308" s="5" t="str">
        <x:v>门票房不提供可用的 PK 入口</x:v>
      </x:c>
      <x:c r="L308" s="5" t="str"/>
      <x:c r="M308" s="5" t="str">
        <x:v>未测</x:v>
      </x:c>
      <x:c r="N308" s="5" t="str"/>
      <x:c r="O308" s="5" t="str">
        <x:v>1. 来源：context/01-用户主播App-项目需求清单.md（2026-08-29 按原型同步，RSL-0002）
2. 来源：prototype/assets/annotations.js
3. 质量修正：按 RCL-0018 执行最小前置条件和单分支检查
4. 同步追溯：work/liveshow-user-app-all-260901-001/prototype-context-sync-result.json；RSL-0002、RSL-0003
5. 全局证据追溯：work/liveshow-user-app-all-260901-001/global-evidence-scan-result.json；扫描模式 full</x:v>
      </x:c>
    </x:row>
    <x:row r="309" ht="103.5" customHeight="1">
      <x:c r="A309" s="5" t="n">
        <x:v>308</x:v>
      </x:c>
      <x:c r="B309" s="5" t="str">
        <x:v>LIVE-255</x:v>
      </x:c>
      <x:c r="C309" s="5" t="str">
        <x:v>用户App-直播</x:v>
      </x:c>
      <x:c r="D309" s="5" t="str">
        <x:v>主播连麦</x:v>
      </x:c>
      <x:c r="E309" s="5" t="str">
        <x:v>功能需求</x:v>
      </x:c>
      <x:c r="F309" s="5" t="str">
        <x:v>P2</x:v>
      </x:c>
      <x:c r="G309" s="5" t="str">
        <x:v>验证连麦中不打开密码编辑面板</x:v>
      </x:c>
      <x:c r="H309" s="5" t="str">
        <x:v>连麦中密码面板拦截</x:v>
      </x:c>
      <x:c r="I309" s="5" t="str">
        <x:v>1. 主播正在两人连麦
2. 直播设置菜单已打开</x:v>
      </x:c>
      <x:c r="J309" s="5" t="str">
        <x:v>1. 点击置灰的“房间密码”入口</x:v>
      </x:c>
      <x:c r="K309" s="5" t="str">
        <x:v>页面不打开密码编辑面板</x:v>
      </x:c>
      <x:c r="L309" s="5" t="str"/>
      <x:c r="M309" s="5" t="str">
        <x:v>未测</x:v>
      </x:c>
      <x:c r="N309" s="5" t="str"/>
      <x:c r="O309" s="5" t="str">
        <x:v>1. 来源：context/01-用户主播App-项目需求清单.md（2026-08-29 按原型同步，RSL-0002）
2. 来源：prototype/pages/user/live/live-room-cohost-active.html 与 prototype/assets/common.js；未动态验证
3. 同步追溯：work/liveshow-user-app-all-260901-001/prototype-context-sync-result.json；RSL-0002、RSL-0003
4. 全局证据追溯：work/liveshow-user-app-all-260901-001/global-evidence-scan-result.json；扫描模式 full</x:v>
      </x:c>
    </x:row>
    <x:row r="310" ht="91.5" customHeight="1">
      <x:c r="A310" s="5" t="n">
        <x:v>309</x:v>
      </x:c>
      <x:c r="B310" s="5" t="str">
        <x:v>LIVE-256</x:v>
      </x:c>
      <x:c r="C310" s="5" t="str">
        <x:v>用户App-直播</x:v>
      </x:c>
      <x:c r="D310" s="5" t="str">
        <x:v>结束直播</x:v>
      </x:c>
      <x:c r="E310" s="5" t="str">
        <x:v>功能需求</x:v>
      </x:c>
      <x:c r="F310" s="5" t="str">
        <x:v>P2</x:v>
      </x:c>
      <x:c r="G310" s="5" t="str">
        <x:v>验证主播取消结束直播后继续开播</x:v>
      </x:c>
      <x:c r="H310" s="5" t="str">
        <x:v>取消结束直播</x:v>
      </x:c>
      <x:c r="I310" s="5" t="str">
        <x:v>1. 主播正在直播</x:v>
      </x:c>
      <x:c r="J310" s="5" t="str">
        <x:v>1. 点击结束直播按钮
2. 在确认提示中点击“取消”</x:v>
      </x:c>
      <x:c r="K310" s="5" t="str">
        <x:v>取消结束直播后，当前场次仍保持直播中</x:v>
      </x:c>
      <x:c r="L310" s="5" t="str"/>
      <x:c r="M310" s="5" t="str">
        <x:v>未测</x:v>
      </x:c>
      <x:c r="N310" s="5" t="str"/>
      <x:c r="O310" s="5" t="str">
        <x:v>1. 来源：context/01-用户主播App-项目需求清单.md
2. 来源：对应 HTML 静态原型；未动态验证
3. 追溯：业务底稿 LIVE-083。
4. 同步追溯：work/liveshow-user-app-all-260901-001/prototype-context-sync-result.json；RSL-0002、RSL-0003
5. 全局证据追溯：work/liveshow-user-app-all-260901-001/global-evidence-scan-result.json；扫描模式 full</x:v>
      </x:c>
    </x:row>
    <x:row r="311" ht="142.5" customHeight="1">
      <x:c r="A311" s="5" t="n">
        <x:v>310</x:v>
      </x:c>
      <x:c r="B311" s="5" t="str">
        <x:v>LIVE-257</x:v>
      </x:c>
      <x:c r="C311" s="5" t="str">
        <x:v>用户App-直播</x:v>
      </x:c>
      <x:c r="D311" s="5" t="str">
        <x:v>结束直播</x:v>
      </x:c>
      <x:c r="E311" s="5" t="str">
        <x:v>业务流程</x:v>
      </x:c>
      <x:c r="F311" s="5" t="str">
        <x:v>P0</x:v>
      </x:c>
      <x:c r="G311" s="5" t="str">
        <x:v>验证主播结束直播后关闭场次</x:v>
      </x:c>
      <x:c r="H311" s="5" t="str">
        <x:v>直播场次关闭</x:v>
      </x:c>
      <x:c r="I311" s="5" t="str">
        <x:v>1. 主播存在进行中的直播场次
2. 本场已有观看、礼物和涨粉数据</x:v>
      </x:c>
      <x:c r="J311" s="5" t="str">
        <x:v>1. 主播点击结束直播
2. 确认结束
3. 查询本场场次状态</x:v>
      </x:c>
      <x:c r="K311" s="5" t="str">
        <x:v>主播确认结束后，当前直播场次关闭</x:v>
      </x:c>
      <x:c r="L311" s="5" t="str">
        <x:v>FLOW-LIVE-001</x:v>
      </x:c>
      <x:c r="M311" s="5" t="str">
        <x:v>未测</x:v>
      </x:c>
      <x:c r="N311" s="5" t="str"/>
      <x:c r="O311" s="5" t="str">
        <x:v>1. 来源：context/01-用户主播App-项目需求清单.md
2. 来源：context/系统概要 .md（当前全局业务规则）
3. 来源：对应 HTML 静态原型；未动态验证
4. 追溯：业务底稿 LIVE-084。
5. 流程：阶段 04：主播关闭场次；共同业务对象：普通直播场次（数据别名：LIVE-SESSION-N01）。
6. 共同业务对象：同一直播场次
7. 流程阶段：直播场次关闭
8. 同步追溯：work/liveshow-user-app-all-260901-001/prototype-context-sync-result.json；RSL-0002、RSL-0003
9. 全局证据追溯：work/liveshow-user-app-all-260901-001/global-evidence-scan-result.json；扫描模式 full</x:v>
      </x:c>
    </x:row>
    <x:row r="312" ht="103.5" customHeight="1">
      <x:c r="A312" s="5" t="n">
        <x:v>311</x:v>
      </x:c>
      <x:c r="B312" s="5" t="str">
        <x:v>LIVE-258</x:v>
      </x:c>
      <x:c r="C312" s="5" t="str">
        <x:v>用户App-直播</x:v>
      </x:c>
      <x:c r="D312" s="5" t="str">
        <x:v>结束直播</x:v>
      </x:c>
      <x:c r="E312" s="5" t="str">
        <x:v>业务流程</x:v>
      </x:c>
      <x:c r="F312" s="5" t="str">
        <x:v>P1</x:v>
      </x:c>
      <x:c r="G312" s="5" t="str">
        <x:v>验证主播结束直播后观众进入结束页</x:v>
      </x:c>
      <x:c r="H312" s="5" t="str">
        <x:v>观众端结束页</x:v>
      </x:c>
      <x:c r="I312" s="5" t="str">
        <x:v>1. 主播存在进行中的直播场次
2. 本场已有观看、礼物和涨粉数据</x:v>
      </x:c>
      <x:c r="J312" s="5" t="str">
        <x:v>1. 主播确认结束直播
2. 查看在线观众页面</x:v>
      </x:c>
      <x:c r="K312" s="5" t="str">
        <x:v>在线观众进入观众直播结束页</x:v>
      </x:c>
      <x:c r="L312" s="5" t="str"/>
      <x:c r="M312" s="5" t="str">
        <x:v>未测</x:v>
      </x:c>
      <x:c r="N312" s="5" t="str"/>
      <x:c r="O312" s="5" t="str">
        <x:v>1. 来源：context/01-用户主播App-项目需求清单.md
2. 来源：context/系统概要 .md（当前全局业务规则）
3. 来源：对应 HTML 静态原型；未动态验证
4. 追溯：业务底稿 LIVE-084。
5. 同步追溯：work/liveshow-user-app-all-260901-001/prototype-context-sync-result.json；RSL-0002、RSL-0003
6. 全局证据追溯：work/liveshow-user-app-all-260901-001/global-evidence-scan-result.json；扫描模式 full</x:v>
      </x:c>
    </x:row>
    <x:row r="313" ht="103.5" customHeight="1">
      <x:c r="A313" s="5" t="n">
        <x:v>312</x:v>
      </x:c>
      <x:c r="B313" s="5" t="str">
        <x:v>LIVE-259</x:v>
      </x:c>
      <x:c r="C313" s="5" t="str">
        <x:v>用户App-直播</x:v>
      </x:c>
      <x:c r="D313" s="5" t="str">
        <x:v>结束直播</x:v>
      </x:c>
      <x:c r="E313" s="5" t="str">
        <x:v>业务流程</x:v>
      </x:c>
      <x:c r="F313" s="5" t="str">
        <x:v>P1</x:v>
      </x:c>
      <x:c r="G313" s="5" t="str">
        <x:v>验证结束直播后的主播端落点</x:v>
      </x:c>
      <x:c r="H313" s="5" t="str">
        <x:v>主播端结束页</x:v>
      </x:c>
      <x:c r="I313" s="5" t="str">
        <x:v>1. 主播存在进行中的直播场次
2. 本场已有观看、礼物和涨粉数据</x:v>
      </x:c>
      <x:c r="J313" s="5" t="str">
        <x:v>1. 主播确认结束直播
2. 查看主播端页面</x:v>
      </x:c>
      <x:c r="K313" s="5" t="str">
        <x:v>主播进入主播直播结束页</x:v>
      </x:c>
      <x:c r="L313" s="5" t="str"/>
      <x:c r="M313" s="5" t="str">
        <x:v>未测</x:v>
      </x:c>
      <x:c r="N313" s="5" t="str"/>
      <x:c r="O313" s="5" t="str">
        <x:v>1. 来源：context/01-用户主播App-项目需求清单.md
2. 来源：context/系统概要 .md（当前全局业务规则）
3. 来源：对应 HTML 静态原型；未动态验证
4. 追溯：业务底稿 LIVE-084。
5. 同步追溯：work/liveshow-user-app-all-260901-001/prototype-context-sync-result.json；RSL-0002、RSL-0003
6. 全局证据追溯：work/liveshow-user-app-all-260901-001/global-evidence-scan-result.json；扫描模式 full</x:v>
      </x:c>
    </x:row>
    <x:row r="314" ht="103.5" customHeight="1">
      <x:c r="A314" s="5" t="n">
        <x:v>313</x:v>
      </x:c>
      <x:c r="B314" s="5" t="str">
        <x:v>LIVE-260</x:v>
      </x:c>
      <x:c r="C314" s="5" t="str">
        <x:v>用户App-直播</x:v>
      </x:c>
      <x:c r="D314" s="5" t="str">
        <x:v>直播记录-记录生成</x:v>
      </x:c>
      <x:c r="E314" s="5" t="str">
        <x:v>业务流程</x:v>
      </x:c>
      <x:c r="F314" s="5" t="str">
        <x:v>P1</x:v>
      </x:c>
      <x:c r="G314" s="5" t="str">
        <x:v>验证结束直播后生成历史记录</x:v>
      </x:c>
      <x:c r="H314" s="5" t="str">
        <x:v>结束直播生成记录</x:v>
      </x:c>
      <x:c r="I314" s="5" t="str">
        <x:v>1. 主播存在一场进行中的直播
2. 目标直播场次（数据别名：LIVE-SESSION-001）已准备</x:v>
      </x:c>
      <x:c r="J314" s="5" t="str">
        <x:v>1. 主播确认结束该场次
2. 进入直播记录页
3. 查询该场次</x:v>
      </x:c>
      <x:c r="K314" s="5" t="str">
        <x:v>直播记录列表新增该场次对应的历史记录</x:v>
      </x:c>
      <x:c r="L314" s="5" t="str">
        <x:v>FLOW-LREC-001</x:v>
      </x:c>
      <x:c r="M314" s="5" t="str">
        <x:v>未测</x:v>
      </x:c>
      <x:c r="N314" s="5" t="str"/>
      <x:c r="O314" s="5" t="str">
        <x:v>1. 来源：context/系统概要 .md（当前全局业务规则）
2. 流程阶段：主播结束直播后在直播记录模块观察记录生成
3. 共同业务对象：目标直播场次（数据别名：LIVE-SESSION-001）
4. 质量检查：按 RCL-0018 使用最小前置条件和单一业务分支
5. 同步追溯：work/liveshow-user-app-all-260901-001/prototype-context-sync-result.json；RSL-0002、RSL-0003
6. 全局证据追溯：work/liveshow-user-app-all-260901-001/global-evidence-scan-result.json；扫描模式 full</x:v>
      </x:c>
    </x:row>
    <x:row r="315" ht="142.5" customHeight="1">
      <x:c r="A315" s="5" t="n">
        <x:v>314</x:v>
      </x:c>
      <x:c r="B315" s="5" t="str">
        <x:v>LIVE-261</x:v>
      </x:c>
      <x:c r="C315" s="5" t="str">
        <x:v>用户App-直播</x:v>
      </x:c>
      <x:c r="D315" s="5" t="str">
        <x:v>结束直播</x:v>
      </x:c>
      <x:c r="E315" s="5" t="str">
        <x:v>逻辑校验</x:v>
      </x:c>
      <x:c r="F315" s="5" t="str">
        <x:v>P1</x:v>
      </x:c>
      <x:c r="G315" s="5" t="str">
        <x:v>验证主播结束页数据与本场记录一致</x:v>
      </x:c>
      <x:c r="H315" s="5" t="str">
        <x:v>主播结束页数据</x:v>
      </x:c>
      <x:c r="I315" s="5" t="str">
        <x:v>1. 主播刚结束一场直播
2. 本场时长、观看人数和收益已结算到场次记录</x:v>
      </x:c>
      <x:c r="J315" s="5" t="str">
        <x:v>1. 查看主播直播结束页
2. 核对直播时长、观看人数和本场收益</x:v>
      </x:c>
      <x:c r="K315" s="5" t="str">
        <x:v>主播结束页的直播时长、观看人数和本场收益分别与当前场次记录一致</x:v>
      </x:c>
      <x:c r="L315" s="5" t="str">
        <x:v>FLOW-LIVE-001</x:v>
      </x:c>
      <x:c r="M315" s="5" t="str">
        <x:v>未测</x:v>
      </x:c>
      <x:c r="N315" s="5" t="str"/>
      <x:c r="O315" s="5" t="str">
        <x:v>1. 来源：context/01-用户主播App-项目需求清单.md
2. 来源：context/系统概要 .md（当前全局业务规则）
3. 来源：对应 HTML 静态原型；未动态验证
4. 追溯：业务底稿 LIVE-085。
5. 流程：阶段 06：主播核对结束页数据；共同业务对象：普通直播场次（数据别名：LIVE-SESSION-N01）。
6. 共同业务对象：同一直播场次
7. 流程阶段：主播结束页数据
8. 同步追溯：work/liveshow-user-app-all-260901-001/prototype-context-sync-result.json；RSL-0002、RSL-0003
9. 全局证据追溯：work/liveshow-user-app-all-260901-001/global-evidence-scan-result.json；扫描模式 full</x:v>
      </x:c>
    </x:row>
    <x:row r="316" ht="91.5" customHeight="1">
      <x:c r="A316" s="5" t="n">
        <x:v>315</x:v>
      </x:c>
      <x:c r="B316" s="5" t="str">
        <x:v>LIVE-262</x:v>
      </x:c>
      <x:c r="C316" s="5" t="str">
        <x:v>用户App-直播</x:v>
      </x:c>
      <x:c r="D316" s="5" t="str">
        <x:v>结束直播</x:v>
      </x:c>
      <x:c r="E316" s="5" t="str">
        <x:v>功能需求</x:v>
      </x:c>
      <x:c r="F316" s="5" t="str">
        <x:v>P2</x:v>
      </x:c>
      <x:c r="G316" s="5" t="str">
        <x:v>验证主播结束页进入直播数据</x:v>
      </x:c>
      <x:c r="H316" s="5" t="str">
        <x:v>查看直播数据入口</x:v>
      </x:c>
      <x:c r="I316" s="5" t="str">
        <x:v>1. 主播位于本场直播结束页</x:v>
      </x:c>
      <x:c r="J316" s="5" t="str">
        <x:v>1. 点击“查看直播数据”</x:v>
      </x:c>
      <x:c r="K316" s="5" t="str">
        <x:v>页面进入当前主播的直播数据页</x:v>
      </x:c>
      <x:c r="L316" s="5" t="str"/>
      <x:c r="M316" s="5" t="str">
        <x:v>未测</x:v>
      </x:c>
      <x:c r="N316" s="5" t="str"/>
      <x:c r="O316" s="5" t="str">
        <x:v>1. 来源：prototype/Luma Live-原型说明.md
2. 来源：对应 HTML 静态原型；未动态验证
3. 追溯：业务底稿 LIVE-086。
4. 同步追溯：work/liveshow-user-app-all-260901-001/prototype-context-sync-result.json；RSL-0002、RSL-0003
5. 全局证据追溯：work/liveshow-user-app-all-260901-001/global-evidence-scan-result.json；扫描模式 full</x:v>
      </x:c>
    </x:row>
    <x:row r="317" ht="91.5" customHeight="1">
      <x:c r="A317" s="5" t="n">
        <x:v>316</x:v>
      </x:c>
      <x:c r="B317" s="5" t="str">
        <x:v>LIVE-263</x:v>
      </x:c>
      <x:c r="C317" s="5" t="str">
        <x:v>用户App-直播</x:v>
      </x:c>
      <x:c r="D317" s="5" t="str">
        <x:v>结束直播</x:v>
      </x:c>
      <x:c r="E317" s="5" t="str">
        <x:v>功能需求</x:v>
      </x:c>
      <x:c r="F317" s="5" t="str">
        <x:v>P2</x:v>
      </x:c>
      <x:c r="G317" s="5" t="str">
        <x:v>验证主播结束页返回主播中心</x:v>
      </x:c>
      <x:c r="H317" s="5" t="str">
        <x:v>返回主播中心入口</x:v>
      </x:c>
      <x:c r="I317" s="5" t="str">
        <x:v>1. 主播位于本场直播结束页</x:v>
      </x:c>
      <x:c r="J317" s="5" t="str">
        <x:v>1. 点击“返回主播中心”</x:v>
      </x:c>
      <x:c r="K317" s="5" t="str">
        <x:v>页面进入当前主播的主播中心</x:v>
      </x:c>
      <x:c r="L317" s="5" t="str"/>
      <x:c r="M317" s="5" t="str">
        <x:v>未测</x:v>
      </x:c>
      <x:c r="N317" s="5" t="str"/>
      <x:c r="O317" s="5" t="str">
        <x:v>1. 来源：prototype/Luma Live-原型说明.md
2. 来源：对应 HTML 静态原型；未动态验证
3. 追溯：业务底稿 LIVE-087。
4. 同步追溯：work/liveshow-user-app-all-260901-001/prototype-context-sync-result.json；RSL-0002、RSL-0003
5. 全局证据追溯：work/liveshow-user-app-all-260901-001/global-evidence-scan-result.json；扫描模式 full</x:v>
      </x:c>
    </x:row>
    <x:row r="318" ht="139.5" customHeight="1">
      <x:c r="A318" s="5" t="n">
        <x:v>317</x:v>
      </x:c>
      <x:c r="B318" s="5" t="str">
        <x:v>LIVE-264</x:v>
      </x:c>
      <x:c r="C318" s="5" t="str">
        <x:v>用户App-直播</x:v>
      </x:c>
      <x:c r="D318" s="5" t="str">
        <x:v>结束直播</x:v>
      </x:c>
      <x:c r="E318" s="5" t="str">
        <x:v>功能需求</x:v>
      </x:c>
      <x:c r="F318" s="5" t="str">
        <x:v>P1</x:v>
      </x:c>
      <x:c r="G318" s="5" t="str">
        <x:v>验证主播结束后观众进入直播结束页</x:v>
      </x:c>
      <x:c r="H318" s="5" t="str">
        <x:v>观众直播结束页</x:v>
      </x:c>
      <x:c r="I318" s="5" t="str">
        <x:v>1. 观众正在观看直播
2. 主播结束当前直播</x:v>
      </x:c>
      <x:c r="J318" s="5" t="str">
        <x:v>1. 查看观众端页面状态</x:v>
      </x:c>
      <x:c r="K318" s="5" t="str">
        <x:v>观众结束页展示“Sari 的直播已结束”</x:v>
      </x:c>
      <x:c r="L318" s="5" t="str">
        <x:v>FLOW-LIVE-001</x:v>
      </x:c>
      <x:c r="M318" s="5" t="str">
        <x:v>未测</x:v>
      </x:c>
      <x:c r="N318" s="5" t="str"/>
      <x:c r="O318" s="5" t="str">
        <x:v>1. 来源：prototype/Luma Live-原型说明.md
2. 来源：对应 HTML 静态原型；未动态验证
3. 追溯：业务底稿 LIVE-094。
4. 流程：阶段 05：观众进入结束页；共同业务对象：普通直播场次（数据别名：LIVE-SESSION-N01）。
5. 共同业务对象：同一直播场次
6. 流程阶段：观众直播结束页
7. 同步追溯：work/liveshow-user-app-all-260901-001/prototype-context-sync-result.json；RSL-0002、RSL-0003
8. 全局证据追溯：work/liveshow-user-app-all-260901-001/global-evidence-scan-result.json；扫描模式 full</x:v>
      </x:c>
    </x:row>
    <x:row r="319" ht="91.5" customHeight="1">
      <x:c r="A319" s="5" t="n">
        <x:v>318</x:v>
      </x:c>
      <x:c r="B319" s="5" t="str">
        <x:v>LIVE-265</x:v>
      </x:c>
      <x:c r="C319" s="5" t="str">
        <x:v>用户App-直播</x:v>
      </x:c>
      <x:c r="D319" s="5" t="str">
        <x:v>结束直播</x:v>
      </x:c>
      <x:c r="E319" s="5" t="str">
        <x:v>功能需求</x:v>
      </x:c>
      <x:c r="F319" s="5" t="str">
        <x:v>P2</x:v>
      </x:c>
      <x:c r="G319" s="5" t="str">
        <x:v>验证观众从直播结束页返回直播广场</x:v>
      </x:c>
      <x:c r="H319" s="5" t="str">
        <x:v>观众结束页返回</x:v>
      </x:c>
      <x:c r="I319" s="5" t="str">
        <x:v>1. 观众位于直播结束页</x:v>
      </x:c>
      <x:c r="J319" s="5" t="str">
        <x:v>1. 点击“返回首页”</x:v>
      </x:c>
      <x:c r="K319" s="5" t="str">
        <x:v>页面返回直播广场</x:v>
      </x:c>
      <x:c r="L319" s="5" t="str"/>
      <x:c r="M319" s="5" t="str">
        <x:v>未测</x:v>
      </x:c>
      <x:c r="N319" s="5" t="str"/>
      <x:c r="O319" s="5" t="str">
        <x:v>1. 来源：prototype/Luma Live-原型说明.md
2. 来源：对应 HTML 静态原型；未动态验证
3. 追溯：业务底稿 LIVE-095。
4. 同步追溯：work/liveshow-user-app-all-260901-001/prototype-context-sync-result.json；RSL-0002、RSL-0003
5. 全局证据追溯：work/liveshow-user-app-all-260901-001/global-evidence-scan-result.json；扫描模式 full</x:v>
      </x:c>
    </x:row>
    <x:row r="320" ht="79.5" customHeight="1">
      <x:c r="A320" s="5" t="n">
        <x:v>319</x:v>
      </x:c>
      <x:c r="B320" s="5" t="str">
        <x:v>LIVE-266</x:v>
      </x:c>
      <x:c r="C320" s="5" t="str">
        <x:v>用户App-直播</x:v>
      </x:c>
      <x:c r="D320" s="5" t="str">
        <x:v>结束直播</x:v>
      </x:c>
      <x:c r="E320" s="5" t="str">
        <x:v>功能需求</x:v>
      </x:c>
      <x:c r="F320" s="5" t="str">
        <x:v>P1</x:v>
      </x:c>
      <x:c r="G320" s="5" t="str">
        <x:v>验证结束直播前的确认内容</x:v>
      </x:c>
      <x:c r="H320" s="5" t="str">
        <x:v>结束直播确认</x:v>
      </x:c>
      <x:c r="I320" s="5" t="str">
        <x:v>1. 主播正在直播</x:v>
      </x:c>
      <x:c r="J320" s="5" t="str">
        <x:v>1. 点击右上角结束按钮</x:v>
      </x:c>
      <x:c r="K320" s="5" t="str">
        <x:v>页面显示“更多观众正在赶来，是否结束直播？”确认框</x:v>
      </x:c>
      <x:c r="L320" s="5" t="str"/>
      <x:c r="M320" s="5" t="str">
        <x:v>未测</x:v>
      </x:c>
      <x:c r="N320" s="5" t="str"/>
      <x:c r="O320" s="5" t="str">
        <x:v>1. 来源：prototype/pages/user/live/live-room-host.html 与 prototype/assets/common.js；未动态验证
2. 同步追溯：work/liveshow-user-app-all-260901-001/prototype-context-sync-result.json；RSL-0002、RSL-0003
3. 全局证据追溯：work/liveshow-user-app-all-260901-001/global-evidence-scan-result.json；扫描模式 full</x:v>
      </x:c>
    </x:row>
    <x:row r="321" ht="103.5" customHeight="1">
      <x:c r="A321" s="5" t="n">
        <x:v>320</x:v>
      </x:c>
      <x:c r="B321" s="5" t="str">
        <x:v>LIVE-267</x:v>
      </x:c>
      <x:c r="C321" s="5" t="str">
        <x:v>用户App-直播</x:v>
      </x:c>
      <x:c r="D321" s="5" t="str">
        <x:v>直播记录-入口与导航</x:v>
      </x:c>
      <x:c r="E321" s="5" t="str">
        <x:v>业务流程</x:v>
      </x:c>
      <x:c r="F321" s="5" t="str">
        <x:v>P1</x:v>
      </x:c>
      <x:c r="G321" s="5" t="str">
        <x:v>验证从直播数据进入直播记录</x:v>
      </x:c>
      <x:c r="H321" s="5" t="str">
        <x:v>直播数据入口</x:v>
      </x:c>
      <x:c r="I321" s="5" t="str">
        <x:v>1. 主播账号已登录
2. 日数据列表存在一条历史记录</x:v>
      </x:c>
      <x:c r="J321" s="5" t="str">
        <x:v>1. 进入主播中心的直播数据页
2. 点击日数据列表中的历史记录</x:v>
      </x:c>
      <x:c r="K321" s="5" t="str">
        <x:v>页面进入标题为“直播记录”的页面</x:v>
      </x:c>
      <x:c r="L321" s="5" t="str"/>
      <x:c r="M321" s="5" t="str">
        <x:v>未测</x:v>
      </x:c>
      <x:c r="N321" s="5" t="str"/>
      <x:c r="O321" s="5" t="str">
        <x:v>1. 来源：prototype/pages/user/host/live-data.html；未连接真实后端动态验证
2. 来源：prototype/Luma Live-原型说明.md
3. 质量检查：按 RCL-0018 使用最小前置条件和单一业务分支
4. 同步追溯：work/liveshow-user-app-all-260901-001/prototype-context-sync-result.json；RSL-0002、RSL-0003
5. 全局证据追溯：work/liveshow-user-app-all-260901-001/global-evidence-scan-result.json；扫描模式 full</x:v>
      </x:c>
    </x:row>
    <x:row r="322" ht="91.5" customHeight="1">
      <x:c r="A322" s="5" t="n">
        <x:v>321</x:v>
      </x:c>
      <x:c r="B322" s="5" t="str">
        <x:v>LIVE-268</x:v>
      </x:c>
      <x:c r="C322" s="5" t="str">
        <x:v>用户App-直播</x:v>
      </x:c>
      <x:c r="D322" s="5" t="str">
        <x:v>直播记录-入口与导航</x:v>
      </x:c>
      <x:c r="E322" s="5" t="str">
        <x:v>功能需求</x:v>
      </x:c>
      <x:c r="F322" s="5" t="str">
        <x:v>P2</x:v>
      </x:c>
      <x:c r="G322" s="5" t="str">
        <x:v>验证从直播记录返回主播中心</x:v>
      </x:c>
      <x:c r="H322" s="5" t="str">
        <x:v>返回主播中心</x:v>
      </x:c>
      <x:c r="I322" s="5" t="str">
        <x:v>1. 主播已进入直播记录页</x:v>
      </x:c>
      <x:c r="J322" s="5" t="str">
        <x:v>1. 点击页面左上角返回按钮</x:v>
      </x:c>
      <x:c r="K322" s="5" t="str">
        <x:v>页面返回主播中心</x:v>
      </x:c>
      <x:c r="L322" s="5" t="str"/>
      <x:c r="M322" s="5" t="str">
        <x:v>未测</x:v>
      </x:c>
      <x:c r="N322" s="5" t="str"/>
      <x:c r="O322"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23" ht="142.5" customHeight="1">
      <x:c r="A323" s="5" t="n">
        <x:v>322</x:v>
      </x:c>
      <x:c r="B323" s="5" t="str">
        <x:v>LIVE-269</x:v>
      </x:c>
      <x:c r="C323" s="5" t="str">
        <x:v>用户App-直播</x:v>
      </x:c>
      <x:c r="D323" s="5" t="str">
        <x:v>直播记录-默认记录</x:v>
      </x:c>
      <x:c r="E323" s="5" t="str">
        <x:v>逻辑校验</x:v>
      </x:c>
      <x:c r="F323" s="5" t="str">
        <x:v>P1</x:v>
      </x:c>
      <x:c r="G323" s="5" t="str">
        <x:v>验证默认近7天列表筛选</x:v>
      </x:c>
      <x:c r="H323" s="5" t="str">
        <x:v>默认近7天日期边界</x:v>
      </x:c>
      <x:c r="I323" s="5" t="str">
        <x:v>1. 测试当前日期为 2026-08-17
2. 2026-08-11 和 2026-08-17 各存在一场直播记录
3. 2026-08-10 存在一场直播记录
4. 除上述数据外无其他直播记录</x:v>
      </x:c>
      <x:c r="J323" s="5" t="str">
        <x:v>1. 进入直播记录页
2. 查看默认记录列表</x:v>
      </x:c>
      <x:c r="K323" s="5" t="str">
        <x:v>默认近 7 天记录列表仅包含 2026-08-11 和 2026-08-17 两场记录</x:v>
      </x:c>
      <x:c r="L323" s="5" t="str"/>
      <x:c r="M323" s="5" t="str">
        <x:v>未测</x:v>
      </x:c>
      <x:c r="N323" s="5" t="str"/>
      <x:c r="O323"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规则追溯：RCL-0019；默认日期范围按批注“默认近 7 天”生成，页面或 Mock 示例日期不作为边界规则
6. 同步追溯：work/liveshow-user-app-all-260901-001/prototype-context-sync-result.json；RSL-0002、RSL-0003
7. 全局证据追溯：work/liveshow-user-app-all-260901-001/global-evidence-scan-result.json；扫描模式 full</x:v>
      </x:c>
    </x:row>
    <x:row r="324" ht="142.5" customHeight="1">
      <x:c r="A324" s="5" t="n">
        <x:v>323</x:v>
      </x:c>
      <x:c r="B324" s="5" t="str">
        <x:v>LIVE-270</x:v>
      </x:c>
      <x:c r="C324" s="5" t="str">
        <x:v>用户App-直播</x:v>
      </x:c>
      <x:c r="D324" s="5" t="str">
        <x:v>直播记录-默认记录</x:v>
      </x:c>
      <x:c r="E324" s="5" t="str">
        <x:v>逻辑校验</x:v>
      </x:c>
      <x:c r="F324" s="5" t="str">
        <x:v>P1</x:v>
      </x:c>
      <x:c r="G324" s="5" t="str">
        <x:v>验证默认近7天收益汇总</x:v>
      </x:c>
      <x:c r="H324" s="5" t="str">
        <x:v>默认近7天收益汇总</x:v>
      </x:c>
      <x:c r="I324" s="5" t="str">
        <x:v>1. 收益定义为默认近 7 天内各场本场收益的整数之和
2. 2026-08-12、2026-08-15、2026-08-17 三场收益依次为 3,156、1,904、624
3. 2026-08-09 场次收益不计入默认近 7 天收益</x:v>
      </x:c>
      <x:c r="J324" s="5" t="str">
        <x:v>1. 进入直播记录页
2. 查看收益汇总</x:v>
      </x:c>
      <x:c r="K324" s="5" t="str">
        <x:v>收益 = 3,156 + 1,904 + 624 = 5,684</x:v>
      </x:c>
      <x:c r="L324" s="5" t="str"/>
      <x:c r="M324" s="5" t="str">
        <x:v>未测</x:v>
      </x:c>
      <x:c r="N324" s="5" t="str"/>
      <x:c r="O324"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规则追溯：RCL-0019；默认日期范围按批注“默认近 7 天”生成，页面或 Mock 示例日期不作为边界规则
7. 同步追溯：work/liveshow-user-app-all-260901-001/prototype-context-sync-result.json；RSL-0002、RSL-0003
8. 全局证据追溯：work/liveshow-user-app-all-260901-001/global-evidence-scan-result.json；扫描模式 full</x:v>
      </x:c>
    </x:row>
    <x:row r="325" ht="142.5" customHeight="1">
      <x:c r="A325" s="5" t="n">
        <x:v>324</x:v>
      </x:c>
      <x:c r="B325" s="5" t="str">
        <x:v>LIVE-271</x:v>
      </x:c>
      <x:c r="C325" s="5" t="str">
        <x:v>用户App-直播</x:v>
      </x:c>
      <x:c r="D325" s="5" t="str">
        <x:v>直播记录-默认记录</x:v>
      </x:c>
      <x:c r="E325" s="5" t="str">
        <x:v>逻辑校验</x:v>
      </x:c>
      <x:c r="F325" s="5" t="str">
        <x:v>P1</x:v>
      </x:c>
      <x:c r="G325" s="5" t="str">
        <x:v>验证默认近7天总时长汇总</x:v>
      </x:c>
      <x:c r="H325" s="5" t="str">
        <x:v>默认近7天总时长汇总</x:v>
      </x:c>
      <x:c r="I325" s="5" t="str">
        <x:v>1. 总时长定义为默认近 7 天内各场直播时长按分钟相加
2. 2026-08-12、2026-08-15、2026-08-17 三场时长依次为 2h18m、1h42m、56m
3. 2026-08-09 场次时长不计入默认近 7 天总时长</x:v>
      </x:c>
      <x:c r="J325" s="5" t="str">
        <x:v>1. 进入直播记录页
2. 查看总时长汇总</x:v>
      </x:c>
      <x:c r="K325" s="5" t="str">
        <x:v>总时长 = 138 分钟 + 102 分钟 + 56 分钟 = 296 分钟 = 4h56m</x:v>
      </x:c>
      <x:c r="L325" s="5" t="str"/>
      <x:c r="M325" s="5" t="str">
        <x:v>未测</x:v>
      </x:c>
      <x:c r="N325" s="5" t="str"/>
      <x:c r="O325"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规则追溯：RCL-0019；默认日期范围按批注“默认近 7 天”生成，页面或 Mock 示例日期不作为边界规则
7. 同步追溯：work/liveshow-user-app-all-260901-001/prototype-context-sync-result.json；RSL-0002、RSL-0003
8. 全局证据追溯：work/liveshow-user-app-all-260901-001/global-evidence-scan-result.json；扫描模式 full</x:v>
      </x:c>
    </x:row>
    <x:row r="326" ht="142.5" customHeight="1">
      <x:c r="A326" s="5" t="n">
        <x:v>325</x:v>
      </x:c>
      <x:c r="B326" s="5" t="str">
        <x:v>LIVE-272</x:v>
      </x:c>
      <x:c r="C326" s="5" t="str">
        <x:v>用户App-直播</x:v>
      </x:c>
      <x:c r="D326" s="5" t="str">
        <x:v>直播记录-默认记录</x:v>
      </x:c>
      <x:c r="E326" s="5" t="str">
        <x:v>逻辑校验</x:v>
      </x:c>
      <x:c r="F326" s="5" t="str">
        <x:v>P1</x:v>
      </x:c>
      <x:c r="G326" s="5" t="str">
        <x:v>验证默认近7天直播场次汇总</x:v>
      </x:c>
      <x:c r="H326" s="5" t="str">
        <x:v>默认近7天场次汇总</x:v>
      </x:c>
      <x:c r="I326" s="5" t="str">
        <x:v>1. 直播场次定义为默认近 7 天内的直播记录数量
2. 2026-08-12、2026-08-15、2026-08-17 各存在一场直播记录
3. 2026-08-09 场次不计入默认近 7 天场次</x:v>
      </x:c>
      <x:c r="J326" s="5" t="str">
        <x:v>1. 进入直播记录页
2. 查看直播场次汇总</x:v>
      </x:c>
      <x:c r="K326" s="5" t="str">
        <x:v>直播场次 = 3</x:v>
      </x:c>
      <x:c r="L326" s="5" t="str"/>
      <x:c r="M326" s="5" t="str">
        <x:v>未测</x:v>
      </x:c>
      <x:c r="N326" s="5" t="str"/>
      <x:c r="O326"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规则追溯：RCL-0019；默认日期范围按批注“默认近 7 天”生成，页面或 Mock 示例日期不作为边界规则
7. 同步追溯：work/liveshow-user-app-all-260901-001/prototype-context-sync-result.json；RSL-0002、RSL-0003
8. 全局证据追溯：work/liveshow-user-app-all-260901-001/global-evidence-scan-result.json；扫描模式 full</x:v>
      </x:c>
    </x:row>
    <x:row r="327" ht="115.5" customHeight="1">
      <x:c r="A327" s="5" t="n">
        <x:v>326</x:v>
      </x:c>
      <x:c r="B327" s="5" t="str">
        <x:v>LIVE-273</x:v>
      </x:c>
      <x:c r="C327" s="5" t="str">
        <x:v>用户App-直播</x:v>
      </x:c>
      <x:c r="D327" s="5" t="str">
        <x:v>直播记录-默认记录</x:v>
      </x:c>
      <x:c r="E327" s="5" t="str">
        <x:v>逻辑校验</x:v>
      </x:c>
      <x:c r="F327" s="5" t="str">
        <x:v>P1</x:v>
      </x:c>
      <x:c r="G327" s="5" t="str">
        <x:v>验证记录按开播时间倒序展示</x:v>
      </x:c>
      <x:c r="H327" s="5" t="str">
        <x:v>开播时间倒序</x:v>
      </x:c>
      <x:c r="I327" s="5" t="str">
        <x:v>1. 当前日期范围内存在开播时间依次为 2026-08-12 21:12、2026-08-15 19:38、2026-08-17 20:06 的三场记录</x:v>
      </x:c>
      <x:c r="J327" s="5" t="str">
        <x:v>1. 进入直播记录页
2. 查看记录排列顺序</x:v>
      </x:c>
      <x:c r="K327" s="5" t="str">
        <x:v>记录顺序从上到下为 2026-08-17 20:06、2026-08-15 19:38、2026-08-12 21:12</x:v>
      </x:c>
      <x:c r="L327" s="5" t="str"/>
      <x:c r="M327" s="5" t="str">
        <x:v>未测</x:v>
      </x:c>
      <x:c r="N327" s="5" t="str"/>
      <x:c r="O327" s="5" t="str">
        <x:v>1. 来源：context/01-用户主播App-项目需求清单.md（2026-08-31 按原型同步，RSL-0003）
2. 来源：prototype/Luma Live-原型说明.md
3. 来源：prototype/assets/mock.js 的 liveRecords 字段口径
4. 质量检查：按 RCL-0018 使用最小前置条件和单一业务分支
5. 同步追溯：work/liveshow-user-app-all-260901-001/prototype-context-sync-result.json；RSL-0002、RSL-0003
6. 全局证据追溯：work/liveshow-user-app-all-260901-001/global-evidence-scan-result.json；扫描模式 full</x:v>
      </x:c>
    </x:row>
    <x:row r="328" ht="127.5" customHeight="1">
      <x:c r="A328" s="5" t="n">
        <x:v>327</x:v>
      </x:c>
      <x:c r="B328" s="5" t="str">
        <x:v>LIVE-274</x:v>
      </x:c>
      <x:c r="C328" s="5" t="str">
        <x:v>用户App-直播</x:v>
      </x:c>
      <x:c r="D328" s="5" t="str">
        <x:v>直播记录-快捷日期筛选</x:v>
      </x:c>
      <x:c r="E328" s="5" t="str">
        <x:v>功能需求</x:v>
      </x:c>
      <x:c r="F328" s="5" t="str">
        <x:v>P1</x:v>
      </x:c>
      <x:c r="G328" s="5" t="str">
        <x:v>验证快捷日期菜单选项范围</x:v>
      </x:c>
      <x:c r="H328" s="5" t="str">
        <x:v>快捷日期选项</x:v>
      </x:c>
      <x:c r="I328" s="5" t="str">
        <x:v>1. 主播已进入直播记录页</x:v>
      </x:c>
      <x:c r="J328" s="5" t="str">
        <x:v>1. 点击右侧快捷日期按钮</x:v>
      </x:c>
      <x:c r="K328" s="5" t="str">
        <x:v>快捷日期菜单展示“本月”“本周”“上月”“自定义”四个选项</x:v>
      </x:c>
      <x:c r="L328" s="5" t="str"/>
      <x:c r="M328" s="5" t="str">
        <x:v>未测</x:v>
      </x:c>
      <x:c r="N328" s="5" t="str"/>
      <x:c r="O328"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29" ht="91.5" customHeight="1">
      <x:c r="A329" s="5" t="n">
        <x:v>328</x:v>
      </x:c>
      <x:c r="B329" s="5" t="str">
        <x:v>LIVE-275</x:v>
      </x:c>
      <x:c r="C329" s="5" t="str">
        <x:v>用户App-直播</x:v>
      </x:c>
      <x:c r="D329" s="5" t="str">
        <x:v>直播记录-快捷日期筛选</x:v>
      </x:c>
      <x:c r="E329" s="5" t="str">
        <x:v>功能需求</x:v>
      </x:c>
      <x:c r="F329" s="5" t="str">
        <x:v>P2</x:v>
      </x:c>
      <x:c r="G329" s="5" t="str">
        <x:v>验证点击菜单外关闭快捷日期菜单</x:v>
      </x:c>
      <x:c r="H329" s="5" t="str">
        <x:v>快捷菜单外部关闭</x:v>
      </x:c>
      <x:c r="I329" s="5" t="str">
        <x:v>1. 快捷日期菜单已打开</x:v>
      </x:c>
      <x:c r="J329" s="5" t="str">
        <x:v>1. 点击筛选区域外的页面位置</x:v>
      </x:c>
      <x:c r="K329" s="5" t="str">
        <x:v>快捷日期菜单关闭</x:v>
      </x:c>
      <x:c r="L329" s="5" t="str"/>
      <x:c r="M329" s="5" t="str">
        <x:v>未测</x:v>
      </x:c>
      <x:c r="N329" s="5" t="str"/>
      <x:c r="O329"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30" ht="127.5" customHeight="1">
      <x:c r="A330" s="5" t="n">
        <x:v>329</x:v>
      </x:c>
      <x:c r="B330" s="5" t="str">
        <x:v>LIVE-276</x:v>
      </x:c>
      <x:c r="C330" s="5" t="str">
        <x:v>用户App-直播</x:v>
      </x:c>
      <x:c r="D330" s="5" t="str">
        <x:v>直播记录-快捷日期筛选</x:v>
      </x:c>
      <x:c r="E330" s="5" t="str">
        <x:v>逻辑校验</x:v>
      </x:c>
      <x:c r="F330" s="5" t="str">
        <x:v>P1</x:v>
      </x:c>
      <x:c r="G330" s="5" t="str">
        <x:v>验证本月筛选记录范围</x:v>
      </x:c>
      <x:c r="H330" s="5" t="str">
        <x:v>本月记录范围</x:v>
      </x:c>
      <x:c r="I330" s="5" t="str">
        <x:v>1. 测试环境业务日期为 2026-08-17
2. 2026 年 8 月存在三场记录
3. 2026 年 7 月存在一场记录</x:v>
      </x:c>
      <x:c r="J330" s="5" t="str">
        <x:v>1. 打开快捷日期菜单
2. 选择“本月”
3. 查看记录列表</x:v>
      </x:c>
      <x:c r="K330" s="5" t="str">
        <x:v>记录列表结果集仅包含 2026 年 8 月的三场记录</x:v>
      </x:c>
      <x:c r="L330" s="5" t="str"/>
      <x:c r="M330" s="5" t="str">
        <x:v>未测</x:v>
      </x:c>
      <x:c r="N330" s="5" t="str"/>
      <x:c r="O330"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31" ht="91.5" customHeight="1">
      <x:c r="A331" s="5" t="n">
        <x:v>330</x:v>
      </x:c>
      <x:c r="B331" s="5" t="str">
        <x:v>LIVE-277</x:v>
      </x:c>
      <x:c r="C331" s="5" t="str">
        <x:v>用户App-直播</x:v>
      </x:c>
      <x:c r="D331" s="5" t="str">
        <x:v>直播记录-快捷日期筛选</x:v>
      </x:c>
      <x:c r="E331" s="5" t="str">
        <x:v>功能需求</x:v>
      </x:c>
      <x:c r="F331" s="5" t="str">
        <x:v>P2</x:v>
      </x:c>
      <x:c r="G331" s="5" t="str">
        <x:v>验证选择本月后的快捷标签</x:v>
      </x:c>
      <x:c r="H331" s="5" t="str">
        <x:v>本月标签回显</x:v>
      </x:c>
      <x:c r="I331" s="5" t="str">
        <x:v>1. 主播已进入直播记录页</x:v>
      </x:c>
      <x:c r="J331" s="5" t="str">
        <x:v>1. 打开快捷日期菜单
2. 选择“本月”</x:v>
      </x:c>
      <x:c r="K331" s="5" t="str">
        <x:v>右侧快捷日期按钮回显“本月”</x:v>
      </x:c>
      <x:c r="L331" s="5" t="str"/>
      <x:c r="M331" s="5" t="str">
        <x:v>未测</x:v>
      </x:c>
      <x:c r="N331" s="5" t="str"/>
      <x:c r="O331"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32" ht="127.5" customHeight="1">
      <x:c r="A332" s="5" t="n">
        <x:v>331</x:v>
      </x:c>
      <x:c r="B332" s="5" t="str">
        <x:v>LIVE-278</x:v>
      </x:c>
      <x:c r="C332" s="5" t="str">
        <x:v>用户App-直播</x:v>
      </x:c>
      <x:c r="D332" s="5" t="str">
        <x:v>直播记录-快捷日期筛选</x:v>
      </x:c>
      <x:c r="E332" s="5" t="str">
        <x:v>逻辑校验</x:v>
      </x:c>
      <x:c r="F332" s="5" t="str">
        <x:v>P1</x:v>
      </x:c>
      <x:c r="G332" s="5" t="str">
        <x:v>验证本周筛选记录范围</x:v>
      </x:c>
      <x:c r="H332" s="5" t="str">
        <x:v>本周记录范围</x:v>
      </x:c>
      <x:c r="I332" s="5" t="str">
        <x:v>1. 测试环境业务日期为 2026-08-17
2. 2026-08-17 至 2026-08-23 内存在一场记录
3. 2026-08-16 存在一场记录</x:v>
      </x:c>
      <x:c r="J332" s="5" t="str">
        <x:v>1. 打开快捷日期菜单
2. 选择“本周”
3. 查看记录列表</x:v>
      </x:c>
      <x:c r="K332" s="5" t="str">
        <x:v>记录列表结果集仅包含 2026-08-17 至 2026-08-23 内的一场记录</x:v>
      </x:c>
      <x:c r="L332" s="5" t="str"/>
      <x:c r="M332" s="5" t="str">
        <x:v>未测</x:v>
      </x:c>
      <x:c r="N332" s="5" t="str"/>
      <x:c r="O332"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33" ht="91.5" customHeight="1">
      <x:c r="A333" s="5" t="n">
        <x:v>332</x:v>
      </x:c>
      <x:c r="B333" s="5" t="str">
        <x:v>LIVE-279</x:v>
      </x:c>
      <x:c r="C333" s="5" t="str">
        <x:v>用户App-直播</x:v>
      </x:c>
      <x:c r="D333" s="5" t="str">
        <x:v>直播记录-快捷日期筛选</x:v>
      </x:c>
      <x:c r="E333" s="5" t="str">
        <x:v>功能需求</x:v>
      </x:c>
      <x:c r="F333" s="5" t="str">
        <x:v>P2</x:v>
      </x:c>
      <x:c r="G333" s="5" t="str">
        <x:v>验证选择本周后的快捷标签</x:v>
      </x:c>
      <x:c r="H333" s="5" t="str">
        <x:v>本周标签回显</x:v>
      </x:c>
      <x:c r="I333" s="5" t="str">
        <x:v>1. 主播已进入直播记录页</x:v>
      </x:c>
      <x:c r="J333" s="5" t="str">
        <x:v>1. 打开快捷日期菜单
2. 选择“本周”</x:v>
      </x:c>
      <x:c r="K333" s="5" t="str">
        <x:v>右侧快捷日期按钮回显“本周”</x:v>
      </x:c>
      <x:c r="L333" s="5" t="str"/>
      <x:c r="M333" s="5" t="str">
        <x:v>未测</x:v>
      </x:c>
      <x:c r="N333" s="5" t="str"/>
      <x:c r="O333"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34" ht="127.5" customHeight="1">
      <x:c r="A334" s="5" t="n">
        <x:v>333</x:v>
      </x:c>
      <x:c r="B334" s="5" t="str">
        <x:v>LIVE-280</x:v>
      </x:c>
      <x:c r="C334" s="5" t="str">
        <x:v>用户App-直播</x:v>
      </x:c>
      <x:c r="D334" s="5" t="str">
        <x:v>直播记录-快捷日期筛选</x:v>
      </x:c>
      <x:c r="E334" s="5" t="str">
        <x:v>逻辑校验</x:v>
      </x:c>
      <x:c r="F334" s="5" t="str">
        <x:v>P1</x:v>
      </x:c>
      <x:c r="G334" s="5" t="str">
        <x:v>验证上月筛选记录范围</x:v>
      </x:c>
      <x:c r="H334" s="5" t="str">
        <x:v>上月记录范围</x:v>
      </x:c>
      <x:c r="I334" s="5" t="str">
        <x:v>1. 测试环境业务日期为 2026-08-17
2. 2026 年 7 月存在 2026-07-05、2026-07-31 两场记录
3. 2026 年 8 月存在一场记录</x:v>
      </x:c>
      <x:c r="J334" s="5" t="str">
        <x:v>1. 打开快捷日期菜单
2. 选择“上月”
3. 查看记录列表</x:v>
      </x:c>
      <x:c r="K334" s="5" t="str">
        <x:v>记录列表结果集仅包含 2026-07-05、2026-07-31 两场记录</x:v>
      </x:c>
      <x:c r="L334" s="5" t="str"/>
      <x:c r="M334" s="5" t="str">
        <x:v>未测</x:v>
      </x:c>
      <x:c r="N334" s="5" t="str"/>
      <x:c r="O334"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35" ht="91.5" customHeight="1">
      <x:c r="A335" s="5" t="n">
        <x:v>334</x:v>
      </x:c>
      <x:c r="B335" s="5" t="str">
        <x:v>LIVE-281</x:v>
      </x:c>
      <x:c r="C335" s="5" t="str">
        <x:v>用户App-直播</x:v>
      </x:c>
      <x:c r="D335" s="5" t="str">
        <x:v>直播记录-快捷日期筛选</x:v>
      </x:c>
      <x:c r="E335" s="5" t="str">
        <x:v>功能需求</x:v>
      </x:c>
      <x:c r="F335" s="5" t="str">
        <x:v>P2</x:v>
      </x:c>
      <x:c r="G335" s="5" t="str">
        <x:v>验证选择上月后的快捷标签</x:v>
      </x:c>
      <x:c r="H335" s="5" t="str">
        <x:v>上月标签回显</x:v>
      </x:c>
      <x:c r="I335" s="5" t="str">
        <x:v>1. 主播已进入直播记录页</x:v>
      </x:c>
      <x:c r="J335" s="5" t="str">
        <x:v>1. 打开快捷日期菜单
2. 选择“上月”</x:v>
      </x:c>
      <x:c r="K335" s="5" t="str">
        <x:v>右侧快捷日期按钮回显“上月”</x:v>
      </x:c>
      <x:c r="L335" s="5" t="str"/>
      <x:c r="M335" s="5" t="str">
        <x:v>未测</x:v>
      </x:c>
      <x:c r="N335" s="5" t="str"/>
      <x:c r="O335"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36" ht="127.5" customHeight="1">
      <x:c r="A336" s="5" t="n">
        <x:v>335</x:v>
      </x:c>
      <x:c r="B336" s="5" t="str">
        <x:v>LIVE-282</x:v>
      </x:c>
      <x:c r="C336" s="5" t="str">
        <x:v>用户App-直播</x:v>
      </x:c>
      <x:c r="D336" s="5" t="str">
        <x:v>直播记录-快捷日期筛选</x:v>
      </x:c>
      <x:c r="E336" s="5" t="str">
        <x:v>功能需求</x:v>
      </x:c>
      <x:c r="F336" s="5" t="str">
        <x:v>P1</x:v>
      </x:c>
      <x:c r="G336" s="5" t="str">
        <x:v>验证自定义选项打开日期选择器</x:v>
      </x:c>
      <x:c r="H336" s="5" t="str">
        <x:v>自定义日期入口</x:v>
      </x:c>
      <x:c r="I336" s="5" t="str">
        <x:v>1. 主播已进入直播记录页</x:v>
      </x:c>
      <x:c r="J336" s="5" t="str">
        <x:v>1. 打开快捷日期菜单
2. 选择“自定义”</x:v>
      </x:c>
      <x:c r="K336" s="5" t="str">
        <x:v>页面打开标题为“选择日期”的日期选择器</x:v>
      </x:c>
      <x:c r="L336" s="5" t="str"/>
      <x:c r="M336" s="5" t="str">
        <x:v>未测</x:v>
      </x:c>
      <x:c r="N336" s="5" t="str"/>
      <x:c r="O336"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37" ht="127.5" customHeight="1">
      <x:c r="A337" s="5" t="n">
        <x:v>336</x:v>
      </x:c>
      <x:c r="B337" s="5" t="str">
        <x:v>LIVE-283</x:v>
      </x:c>
      <x:c r="C337" s="5" t="str">
        <x:v>用户App-直播</x:v>
      </x:c>
      <x:c r="D337" s="5" t="str">
        <x:v>直播记录-自定义日期筛选</x:v>
      </x:c>
      <x:c r="E337" s="5" t="str">
        <x:v>功能需求</x:v>
      </x:c>
      <x:c r="F337" s="5" t="str">
        <x:v>P1</x:v>
      </x:c>
      <x:c r="G337" s="5" t="str">
        <x:v>验证日期按钮打开日期选择器</x:v>
      </x:c>
      <x:c r="H337" s="5" t="str">
        <x:v>日期按钮入口</x:v>
      </x:c>
      <x:c r="I337" s="5" t="str">
        <x:v>1. 主播已进入直播记录页</x:v>
      </x:c>
      <x:c r="J337" s="5" t="str">
        <x:v>1. 点击左侧日期范围按钮</x:v>
      </x:c>
      <x:c r="K337" s="5" t="str">
        <x:v>页面打开标题为“选择日期”的日期选择器</x:v>
      </x:c>
      <x:c r="L337" s="5" t="str"/>
      <x:c r="M337" s="5" t="str">
        <x:v>未测</x:v>
      </x:c>
      <x:c r="N337" s="5" t="str"/>
      <x:c r="O337"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38" ht="91.5" customHeight="1">
      <x:c r="A338" s="5" t="n">
        <x:v>337</x:v>
      </x:c>
      <x:c r="B338" s="5" t="str">
        <x:v>LIVE-284</x:v>
      </x:c>
      <x:c r="C338" s="5" t="str">
        <x:v>用户App-直播</x:v>
      </x:c>
      <x:c r="D338" s="5" t="str">
        <x:v>直播记录-自定义日期筛选</x:v>
      </x:c>
      <x:c r="E338" s="5" t="str">
        <x:v>功能需求</x:v>
      </x:c>
      <x:c r="F338" s="5" t="str">
        <x:v>P2</x:v>
      </x:c>
      <x:c r="G338" s="5" t="str">
        <x:v>验证取消关闭日期选择器</x:v>
      </x:c>
      <x:c r="H338" s="5" t="str">
        <x:v>取消日期选择</x:v>
      </x:c>
      <x:c r="I338" s="5" t="str">
        <x:v>1. 日期选择器已打开</x:v>
      </x:c>
      <x:c r="J338" s="5" t="str">
        <x:v>1. 点击“取消”</x:v>
      </x:c>
      <x:c r="K338" s="5" t="str">
        <x:v>日期选择器关闭</x:v>
      </x:c>
      <x:c r="L338" s="5" t="str"/>
      <x:c r="M338" s="5" t="str">
        <x:v>未测</x:v>
      </x:c>
      <x:c r="N338" s="5" t="str"/>
      <x:c r="O338"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39" ht="91.5" customHeight="1">
      <x:c r="A339" s="5" t="n">
        <x:v>338</x:v>
      </x:c>
      <x:c r="B339" s="5" t="str">
        <x:v>LIVE-285</x:v>
      </x:c>
      <x:c r="C339" s="5" t="str">
        <x:v>用户App-直播</x:v>
      </x:c>
      <x:c r="D339" s="5" t="str">
        <x:v>直播记录-自定义日期筛选</x:v>
      </x:c>
      <x:c r="E339" s="5" t="str">
        <x:v>逻辑校验</x:v>
      </x:c>
      <x:c r="F339" s="5" t="str">
        <x:v>P2</x:v>
      </x:c>
      <x:c r="G339" s="5" t="str">
        <x:v>验证取消后保留已应用日期</x:v>
      </x:c>
      <x:c r="H339" s="5" t="str">
        <x:v>取消保留日期</x:v>
      </x:c>
      <x:c r="I339" s="5" t="str">
        <x:v>1. 已应用日期范围为 12/8/2026 ~ 15/8/2026
2. 日期选择器已打开</x:v>
      </x:c>
      <x:c r="J339" s="5" t="str">
        <x:v>1. 在日历中选择 17/8/2026
2. 点击“取消”</x:v>
      </x:c>
      <x:c r="K339" s="5" t="str">
        <x:v>日期范围按钮仍显示 12/8/2026 ~ 15/8/2026</x:v>
      </x:c>
      <x:c r="L339" s="5" t="str"/>
      <x:c r="M339" s="5" t="str">
        <x:v>未测</x:v>
      </x:c>
      <x:c r="N339" s="5" t="str"/>
      <x:c r="O339"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40" ht="91.5" customHeight="1">
      <x:c r="A340" s="5" t="n">
        <x:v>339</x:v>
      </x:c>
      <x:c r="B340" s="5" t="str">
        <x:v>LIVE-286</x:v>
      </x:c>
      <x:c r="C340" s="5" t="str">
        <x:v>用户App-直播</x:v>
      </x:c>
      <x:c r="D340" s="5" t="str">
        <x:v>直播记录-自定义日期筛选</x:v>
      </x:c>
      <x:c r="E340" s="5" t="str">
        <x:v>功能需求</x:v>
      </x:c>
      <x:c r="F340" s="5" t="str">
        <x:v>P3</x:v>
      </x:c>
      <x:c r="G340" s="5" t="str">
        <x:v>验证点击遮罩关闭日期选择器</x:v>
      </x:c>
      <x:c r="H340" s="5" t="str">
        <x:v>遮罩关闭日期选择</x:v>
      </x:c>
      <x:c r="I340" s="5" t="str">
        <x:v>1. 日期选择器已打开</x:v>
      </x:c>
      <x:c r="J340" s="5" t="str">
        <x:v>1. 点击日期选择器外的遮罩区域</x:v>
      </x:c>
      <x:c r="K340" s="5" t="str">
        <x:v>日期选择器关闭</x:v>
      </x:c>
      <x:c r="L340" s="5" t="str"/>
      <x:c r="M340" s="5" t="str">
        <x:v>未测</x:v>
      </x:c>
      <x:c r="N340" s="5" t="str"/>
      <x:c r="O340"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41" ht="91.5" customHeight="1">
      <x:c r="A341" s="5" t="n">
        <x:v>340</x:v>
      </x:c>
      <x:c r="B341" s="5" t="str">
        <x:v>LIVE-287</x:v>
      </x:c>
      <x:c r="C341" s="5" t="str">
        <x:v>用户App-直播</x:v>
      </x:c>
      <x:c r="D341" s="5" t="str">
        <x:v>直播记录-自定义日期筛选</x:v>
      </x:c>
      <x:c r="E341" s="5" t="str">
        <x:v>功能需求</x:v>
      </x:c>
      <x:c r="F341" s="5" t="str">
        <x:v>P2</x:v>
      </x:c>
      <x:c r="G341" s="5" t="str">
        <x:v>验证日历切换到上个月</x:v>
      </x:c>
      <x:c r="H341" s="5" t="str">
        <x:v>上个月切换</x:v>
      </x:c>
      <x:c r="I341" s="5" t="str">
        <x:v>1. 日期选择器当前显示 2026 年 8 月</x:v>
      </x:c>
      <x:c r="J341" s="5" t="str">
        <x:v>1. 点击日历左侧月份切换按钮</x:v>
      </x:c>
      <x:c r="K341" s="5" t="str">
        <x:v>日历标题显示“2026年7月”</x:v>
      </x:c>
      <x:c r="L341" s="5" t="str"/>
      <x:c r="M341" s="5" t="str">
        <x:v>未测</x:v>
      </x:c>
      <x:c r="N341" s="5" t="str"/>
      <x:c r="O341"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42" ht="91.5" customHeight="1">
      <x:c r="A342" s="5" t="n">
        <x:v>341</x:v>
      </x:c>
      <x:c r="B342" s="5" t="str">
        <x:v>LIVE-288</x:v>
      </x:c>
      <x:c r="C342" s="5" t="str">
        <x:v>用户App-直播</x:v>
      </x:c>
      <x:c r="D342" s="5" t="str">
        <x:v>直播记录-自定义日期筛选</x:v>
      </x:c>
      <x:c r="E342" s="5" t="str">
        <x:v>功能需求</x:v>
      </x:c>
      <x:c r="F342" s="5" t="str">
        <x:v>P2</x:v>
      </x:c>
      <x:c r="G342" s="5" t="str">
        <x:v>验证日历切换到下个月</x:v>
      </x:c>
      <x:c r="H342" s="5" t="str">
        <x:v>下个月切换</x:v>
      </x:c>
      <x:c r="I342" s="5" t="str">
        <x:v>1. 日期选择器当前显示 2026 年 8 月</x:v>
      </x:c>
      <x:c r="J342" s="5" t="str">
        <x:v>1. 点击日历右侧月份切换按钮</x:v>
      </x:c>
      <x:c r="K342" s="5" t="str">
        <x:v>日历标题显示“2026年9月”</x:v>
      </x:c>
      <x:c r="L342" s="5" t="str"/>
      <x:c r="M342" s="5" t="str">
        <x:v>未测</x:v>
      </x:c>
      <x:c r="N342" s="5" t="str"/>
      <x:c r="O342"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43" ht="127.5" customHeight="1">
      <x:c r="A343" s="5" t="n">
        <x:v>342</x:v>
      </x:c>
      <x:c r="B343" s="5" t="str">
        <x:v>LIVE-289</x:v>
      </x:c>
      <x:c r="C343" s="5" t="str">
        <x:v>用户App-直播</x:v>
      </x:c>
      <x:c r="D343" s="5" t="str">
        <x:v>直播记录-自定义日期筛选</x:v>
      </x:c>
      <x:c r="E343" s="5" t="str">
        <x:v>逻辑校验</x:v>
      </x:c>
      <x:c r="F343" s="5" t="str">
        <x:v>P1</x:v>
      </x:c>
      <x:c r="G343" s="5" t="str">
        <x:v>验证确认单日后回显纯日期</x:v>
      </x:c>
      <x:c r="H343" s="5" t="str">
        <x:v>单日日期回显</x:v>
      </x:c>
      <x:c r="I343" s="5" t="str">
        <x:v>1. 日期选择器已打开</x:v>
      </x:c>
      <x:c r="J343" s="5" t="str">
        <x:v>1. 选择 15/8/2026
2. 点击“确定”</x:v>
      </x:c>
      <x:c r="K343" s="5" t="str">
        <x:v>日期范围按钮显示“15/8/2026”</x:v>
      </x:c>
      <x:c r="L343" s="5" t="str"/>
      <x:c r="M343" s="5" t="str">
        <x:v>未测</x:v>
      </x:c>
      <x:c r="N343" s="5" t="str"/>
      <x:c r="O343"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44" ht="127.5" customHeight="1">
      <x:c r="A344" s="5" t="n">
        <x:v>343</x:v>
      </x:c>
      <x:c r="B344" s="5" t="str">
        <x:v>LIVE-290</x:v>
      </x:c>
      <x:c r="C344" s="5" t="str">
        <x:v>用户App-直播</x:v>
      </x:c>
      <x:c r="D344" s="5" t="str">
        <x:v>直播记录-自定义日期筛选</x:v>
      </x:c>
      <x:c r="E344" s="5" t="str">
        <x:v>逻辑校验</x:v>
      </x:c>
      <x:c r="F344" s="5" t="str">
        <x:v>P1</x:v>
      </x:c>
      <x:c r="G344" s="5" t="str">
        <x:v>验证单日筛选记录范围</x:v>
      </x:c>
      <x:c r="H344" s="5" t="str">
        <x:v>单日记录范围</x:v>
      </x:c>
      <x:c r="I344" s="5" t="str">
        <x:v>1. 2026-08-15 存在一场记录
2. 2026-08-12 存在一场记录</x:v>
      </x:c>
      <x:c r="J344" s="5" t="str">
        <x:v>1. 将自定义日期设置为 15/8/2026
2. 查看记录列表</x:v>
      </x:c>
      <x:c r="K344" s="5" t="str">
        <x:v>记录列表结果集仅包含 2026-08-15 的一场记录</x:v>
      </x:c>
      <x:c r="L344" s="5" t="str"/>
      <x:c r="M344" s="5" t="str">
        <x:v>未测</x:v>
      </x:c>
      <x:c r="N344" s="5" t="str"/>
      <x:c r="O344"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45" ht="139.5" customHeight="1">
      <x:c r="A345" s="5" t="n">
        <x:v>344</x:v>
      </x:c>
      <x:c r="B345" s="5" t="str">
        <x:v>LIVE-291</x:v>
      </x:c>
      <x:c r="C345" s="5" t="str">
        <x:v>用户App-直播</x:v>
      </x:c>
      <x:c r="D345" s="5" t="str">
        <x:v>直播记录-自定义日期筛选</x:v>
      </x:c>
      <x:c r="E345" s="5" t="str">
        <x:v>逻辑校验</x:v>
      </x:c>
      <x:c r="F345" s="5" t="str">
        <x:v>P1</x:v>
      </x:c>
      <x:c r="G345" s="5" t="str">
        <x:v>验证单日筛选收益汇总</x:v>
      </x:c>
      <x:c r="H345" s="5" t="str">
        <x:v>单日收益汇总</x:v>
      </x:c>
      <x:c r="I345" s="5" t="str">
        <x:v>1. 收益定义为所选日期内各场本场收益的整数之和
2. 2026-08-15 仅有一场收益为 1,904 的记录</x:v>
      </x:c>
      <x:c r="J345" s="5" t="str">
        <x:v>1. 将自定义日期设置为 15/8/2026
2. 查看收益汇总</x:v>
      </x:c>
      <x:c r="K345" s="5" t="str">
        <x:v>收益 = 1,904</x:v>
      </x:c>
      <x:c r="L345" s="5" t="str"/>
      <x:c r="M345" s="5" t="str">
        <x:v>未测</x:v>
      </x:c>
      <x:c r="N345" s="5" t="str"/>
      <x:c r="O345"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46" ht="139.5" customHeight="1">
      <x:c r="A346" s="5" t="n">
        <x:v>345</x:v>
      </x:c>
      <x:c r="B346" s="5" t="str">
        <x:v>LIVE-292</x:v>
      </x:c>
      <x:c r="C346" s="5" t="str">
        <x:v>用户App-直播</x:v>
      </x:c>
      <x:c r="D346" s="5" t="str">
        <x:v>直播记录-自定义日期筛选</x:v>
      </x:c>
      <x:c r="E346" s="5" t="str">
        <x:v>逻辑校验</x:v>
      </x:c>
      <x:c r="F346" s="5" t="str">
        <x:v>P1</x:v>
      </x:c>
      <x:c r="G346" s="5" t="str">
        <x:v>验证单日筛选总时长汇总</x:v>
      </x:c>
      <x:c r="H346" s="5" t="str">
        <x:v>单日总时长汇总</x:v>
      </x:c>
      <x:c r="I346" s="5" t="str">
        <x:v>1. 总时长定义为所选日期内各场直播时长按分钟相加
2. 2026-08-15 仅有一场时长为 1h42m 的记录</x:v>
      </x:c>
      <x:c r="J346" s="5" t="str">
        <x:v>1. 将自定义日期设置为 15/8/2026
2. 查看总时长汇总</x:v>
      </x:c>
      <x:c r="K346" s="5" t="str">
        <x:v>总时长 = 102 分钟 = 1h42m</x:v>
      </x:c>
      <x:c r="L346" s="5" t="str"/>
      <x:c r="M346" s="5" t="str">
        <x:v>未测</x:v>
      </x:c>
      <x:c r="N346" s="5" t="str"/>
      <x:c r="O346"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47" ht="139.5" customHeight="1">
      <x:c r="A347" s="5" t="n">
        <x:v>346</x:v>
      </x:c>
      <x:c r="B347" s="5" t="str">
        <x:v>LIVE-293</x:v>
      </x:c>
      <x:c r="C347" s="5" t="str">
        <x:v>用户App-直播</x:v>
      </x:c>
      <x:c r="D347" s="5" t="str">
        <x:v>直播记录-自定义日期筛选</x:v>
      </x:c>
      <x:c r="E347" s="5" t="str">
        <x:v>逻辑校验</x:v>
      </x:c>
      <x:c r="F347" s="5" t="str">
        <x:v>P1</x:v>
      </x:c>
      <x:c r="G347" s="5" t="str">
        <x:v>验证单日筛选直播场次汇总</x:v>
      </x:c>
      <x:c r="H347" s="5" t="str">
        <x:v>单日场次汇总</x:v>
      </x:c>
      <x:c r="I347" s="5" t="str">
        <x:v>1. 直播场次定义为所选日期内的直播记录数量
2. 2026-08-15 仅有一场记录</x:v>
      </x:c>
      <x:c r="J347" s="5" t="str">
        <x:v>1. 将自定义日期设置为 15/8/2026
2. 查看直播场次汇总</x:v>
      </x:c>
      <x:c r="K347" s="5" t="str">
        <x:v>直播场次 = 1</x:v>
      </x:c>
      <x:c r="L347" s="5" t="str"/>
      <x:c r="M347" s="5" t="str">
        <x:v>未测</x:v>
      </x:c>
      <x:c r="N347" s="5" t="str"/>
      <x:c r="O347"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48" ht="91.5" customHeight="1">
      <x:c r="A348" s="5" t="n">
        <x:v>347</x:v>
      </x:c>
      <x:c r="B348" s="5" t="str">
        <x:v>LIVE-294</x:v>
      </x:c>
      <x:c r="C348" s="5" t="str">
        <x:v>用户App-直播</x:v>
      </x:c>
      <x:c r="D348" s="5" t="str">
        <x:v>直播记录-自定义日期筛选</x:v>
      </x:c>
      <x:c r="E348" s="5" t="str">
        <x:v>逻辑校验</x:v>
      </x:c>
      <x:c r="F348" s="5" t="str">
        <x:v>P1</x:v>
      </x:c>
      <x:c r="G348" s="5" t="str">
        <x:v>验证反向选择日期后按先后顺序回显</x:v>
      </x:c>
      <x:c r="H348" s="5" t="str">
        <x:v>反向日期归一</x:v>
      </x:c>
      <x:c r="I348" s="5" t="str">
        <x:v>1. 日期选择器已打开</x:v>
      </x:c>
      <x:c r="J348" s="5" t="str">
        <x:v>1. 先选择 15/8/2026
2. 再选择 12/8/2026
3. 点击“确定”</x:v>
      </x:c>
      <x:c r="K348" s="5" t="str">
        <x:v>日期范围按钮显示“12/8/2026 ~ 15/8/2026”</x:v>
      </x:c>
      <x:c r="L348" s="5" t="str"/>
      <x:c r="M348" s="5" t="str">
        <x:v>未测</x:v>
      </x:c>
      <x:c r="N348" s="5" t="str"/>
      <x:c r="O348"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49" ht="127.5" customHeight="1">
      <x:c r="A349" s="5" t="n">
        <x:v>348</x:v>
      </x:c>
      <x:c r="B349" s="5" t="str">
        <x:v>LIVE-295</x:v>
      </x:c>
      <x:c r="C349" s="5" t="str">
        <x:v>用户App-直播</x:v>
      </x:c>
      <x:c r="D349" s="5" t="str">
        <x:v>直播记录-自定义日期筛选</x:v>
      </x:c>
      <x:c r="E349" s="5" t="str">
        <x:v>逻辑校验</x:v>
      </x:c>
      <x:c r="F349" s="5" t="str">
        <x:v>P1</x:v>
      </x:c>
      <x:c r="G349" s="5" t="str">
        <x:v>验证连续日期范围包含起止日</x:v>
      </x:c>
      <x:c r="H349" s="5" t="str">
        <x:v>日期范围闭区间</x:v>
      </x:c>
      <x:c r="I349" s="5" t="str">
        <x:v>1. 2026-08-12 和 2026-08-15 各存在一场记录
2. 2026-08-17 存在一场记录</x:v>
      </x:c>
      <x:c r="J349" s="5" t="str">
        <x:v>1. 将自定义日期范围设置为 12/8/2026 ~ 15/8/2026
2. 查看记录列表</x:v>
      </x:c>
      <x:c r="K349" s="5" t="str">
        <x:v>记录列表结果集仅包含 2026-08-12、2026-08-15 两场记录</x:v>
      </x:c>
      <x:c r="L349" s="5" t="str"/>
      <x:c r="M349" s="5" t="str">
        <x:v>未测</x:v>
      </x:c>
      <x:c r="N349" s="5" t="str"/>
      <x:c r="O349"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50" ht="139.5" customHeight="1">
      <x:c r="A350" s="5" t="n">
        <x:v>349</x:v>
      </x:c>
      <x:c r="B350" s="5" t="str">
        <x:v>LIVE-296</x:v>
      </x:c>
      <x:c r="C350" s="5" t="str">
        <x:v>用户App-直播</x:v>
      </x:c>
      <x:c r="D350" s="5" t="str">
        <x:v>直播记录-自定义日期筛选</x:v>
      </x:c>
      <x:c r="E350" s="5" t="str">
        <x:v>逻辑校验</x:v>
      </x:c>
      <x:c r="F350" s="5" t="str">
        <x:v>P1</x:v>
      </x:c>
      <x:c r="G350" s="5" t="str">
        <x:v>验证连续日期范围收益汇总</x:v>
      </x:c>
      <x:c r="H350" s="5" t="str">
        <x:v>日期范围收益汇总</x:v>
      </x:c>
      <x:c r="I350" s="5" t="str">
        <x:v>1. 收益定义为所选范围内各场本场收益的整数之和
2. 2026-08-12 收益为 624
3. 2026-08-15 收益为 1,904</x:v>
      </x:c>
      <x:c r="J350" s="5" t="str">
        <x:v>1. 将自定义日期范围设置为 12/8/2026 ~ 15/8/2026
2. 查看收益汇总</x:v>
      </x:c>
      <x:c r="K350" s="5" t="str">
        <x:v>收益 = 624 + 1,904 = 2,528</x:v>
      </x:c>
      <x:c r="L350" s="5" t="str"/>
      <x:c r="M350" s="5" t="str">
        <x:v>未测</x:v>
      </x:c>
      <x:c r="N350" s="5" t="str"/>
      <x:c r="O350"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51" ht="139.5" customHeight="1">
      <x:c r="A351" s="5" t="n">
        <x:v>350</x:v>
      </x:c>
      <x:c r="B351" s="5" t="str">
        <x:v>LIVE-297</x:v>
      </x:c>
      <x:c r="C351" s="5" t="str">
        <x:v>用户App-直播</x:v>
      </x:c>
      <x:c r="D351" s="5" t="str">
        <x:v>直播记录-自定义日期筛选</x:v>
      </x:c>
      <x:c r="E351" s="5" t="str">
        <x:v>逻辑校验</x:v>
      </x:c>
      <x:c r="F351" s="5" t="str">
        <x:v>P1</x:v>
      </x:c>
      <x:c r="G351" s="5" t="str">
        <x:v>验证连续日期范围总时长汇总</x:v>
      </x:c>
      <x:c r="H351" s="5" t="str">
        <x:v>日期范围总时长汇总</x:v>
      </x:c>
      <x:c r="I351" s="5" t="str">
        <x:v>1. 总时长定义为所选范围内各场直播时长按分钟相加
2. 2026-08-12 时长为 56m
3. 2026-08-15 时长为 1h42m</x:v>
      </x:c>
      <x:c r="J351" s="5" t="str">
        <x:v>1. 将自定义日期范围设置为 12/8/2026 ~ 15/8/2026
2. 查看总时长汇总</x:v>
      </x:c>
      <x:c r="K351" s="5" t="str">
        <x:v>总时长 = 56 分钟 + 102 分钟 = 158 分钟 = 2h38m</x:v>
      </x:c>
      <x:c r="L351" s="5" t="str"/>
      <x:c r="M351" s="5" t="str">
        <x:v>未测</x:v>
      </x:c>
      <x:c r="N351" s="5" t="str"/>
      <x:c r="O351"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52" ht="139.5" customHeight="1">
      <x:c r="A352" s="5" t="n">
        <x:v>351</x:v>
      </x:c>
      <x:c r="B352" s="5" t="str">
        <x:v>LIVE-298</x:v>
      </x:c>
      <x:c r="C352" s="5" t="str">
        <x:v>用户App-直播</x:v>
      </x:c>
      <x:c r="D352" s="5" t="str">
        <x:v>直播记录-自定义日期筛选</x:v>
      </x:c>
      <x:c r="E352" s="5" t="str">
        <x:v>逻辑校验</x:v>
      </x:c>
      <x:c r="F352" s="5" t="str">
        <x:v>P1</x:v>
      </x:c>
      <x:c r="G352" s="5" t="str">
        <x:v>验证连续日期范围直播场次汇总</x:v>
      </x:c>
      <x:c r="H352" s="5" t="str">
        <x:v>日期范围场次汇总</x:v>
      </x:c>
      <x:c r="I352" s="5" t="str">
        <x:v>1. 直播场次定义为所选范围内的直播记录数量
2. 2026-08-12 至 2026-08-15 内有 2 场记录</x:v>
      </x:c>
      <x:c r="J352" s="5" t="str">
        <x:v>1. 将自定义日期范围设置为 12/8/2026 ~ 15/8/2026
2. 查看直播场次汇总</x:v>
      </x:c>
      <x:c r="K352" s="5" t="str">
        <x:v>直播场次 = 2</x:v>
      </x:c>
      <x:c r="L352" s="5" t="str"/>
      <x:c r="M352" s="5" t="str">
        <x:v>未测</x:v>
      </x:c>
      <x:c r="N352" s="5" t="str"/>
      <x:c r="O352"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53" ht="91.5" customHeight="1">
      <x:c r="A353" s="5" t="n">
        <x:v>352</x:v>
      </x:c>
      <x:c r="B353" s="5" t="str">
        <x:v>LIVE-299</x:v>
      </x:c>
      <x:c r="C353" s="5" t="str">
        <x:v>用户App-直播</x:v>
      </x:c>
      <x:c r="D353" s="5" t="str">
        <x:v>直播记录-自定义日期筛选</x:v>
      </x:c>
      <x:c r="E353" s="5" t="str">
        <x:v>逻辑校验</x:v>
      </x:c>
      <x:c r="F353" s="5" t="str">
        <x:v>P2</x:v>
      </x:c>
      <x:c r="G353" s="5" t="str">
        <x:v>验证连续选择同一天保持单日范围</x:v>
      </x:c>
      <x:c r="H353" s="5" t="str">
        <x:v>重复日期单日范围</x:v>
      </x:c>
      <x:c r="I353" s="5" t="str">
        <x:v>1. 日期选择器已打开</x:v>
      </x:c>
      <x:c r="J353" s="5" t="str">
        <x:v>1. 选择 15/8/2026
2. 再次选择 15/8/2026
3. 点击“确定”</x:v>
      </x:c>
      <x:c r="K353" s="5" t="str">
        <x:v>日期范围按钮显示“15/8/2026”</x:v>
      </x:c>
      <x:c r="L353" s="5" t="str"/>
      <x:c r="M353" s="5" t="str">
        <x:v>未测</x:v>
      </x:c>
      <x:c r="N353" s="5" t="str"/>
      <x:c r="O353"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54" ht="91.5" customHeight="1">
      <x:c r="A354" s="5" t="n">
        <x:v>353</x:v>
      </x:c>
      <x:c r="B354" s="5" t="str">
        <x:v>LIVE-300</x:v>
      </x:c>
      <x:c r="C354" s="5" t="str">
        <x:v>用户App-直播</x:v>
      </x:c>
      <x:c r="D354" s="5" t="str">
        <x:v>直播记录-无记录日期</x:v>
      </x:c>
      <x:c r="E354" s="5" t="str">
        <x:v>功能需求</x:v>
      </x:c>
      <x:c r="F354" s="5" t="str">
        <x:v>P2</x:v>
      </x:c>
      <x:c r="G354" s="5" t="str">
        <x:v>验证无记录日期的列表结果</x:v>
      </x:c>
      <x:c r="H354" s="5" t="str">
        <x:v>无记录列表</x:v>
      </x:c>
      <x:c r="I354" s="5" t="str">
        <x:v>1. 2026-07-01 没有直播记录</x:v>
      </x:c>
      <x:c r="J354" s="5" t="str">
        <x:v>1. 将自定义日期设置为 1/7/2026
2. 查看记录列表</x:v>
      </x:c>
      <x:c r="K354" s="5" t="str">
        <x:v>记录列表不展示任何直播记录卡片</x:v>
      </x:c>
      <x:c r="L354" s="5" t="str"/>
      <x:c r="M354" s="5" t="str">
        <x:v>未测</x:v>
      </x:c>
      <x:c r="N354" s="5" t="str"/>
      <x:c r="O354" s="5" t="str">
        <x:v>1. 来源：prototype/pages/user/host/live-records.html 与当页交互脚本；未连接真实后端动态验证
2. 质量检查：按 RCL-0018 使用最小前置条件和单一业务分支
3. 同步追溯：work/liveshow-user-app-all-260901-001/prototype-context-sync-result.json；RSL-0002、RSL-0003
4. 全局证据追溯：work/liveshow-user-app-all-260901-001/global-evidence-scan-result.json；扫描模式 full</x:v>
      </x:c>
    </x:row>
    <x:row r="355" ht="103.5" customHeight="1">
      <x:c r="A355" s="5" t="n">
        <x:v>354</x:v>
      </x:c>
      <x:c r="B355" s="5" t="str">
        <x:v>LIVE-301</x:v>
      </x:c>
      <x:c r="C355" s="5" t="str">
        <x:v>用户App-直播</x:v>
      </x:c>
      <x:c r="D355" s="5" t="str">
        <x:v>直播记录-无记录日期</x:v>
      </x:c>
      <x:c r="E355" s="5" t="str">
        <x:v>逻辑校验</x:v>
      </x:c>
      <x:c r="F355" s="5" t="str">
        <x:v>P2</x:v>
      </x:c>
      <x:c r="G355" s="5" t="str">
        <x:v>验证无记录日期的收益汇总</x:v>
      </x:c>
      <x:c r="H355" s="5" t="str">
        <x:v>无记录收益</x:v>
      </x:c>
      <x:c r="I355" s="5" t="str">
        <x:v>1. 收益定义为所选日期内各场本场收益的整数之和
2. 2026-07-01 没有直播记录</x:v>
      </x:c>
      <x:c r="J355" s="5" t="str">
        <x:v>1. 将自定义日期设置为 1/7/2026
2. 查看收益汇总</x:v>
      </x:c>
      <x:c r="K355" s="5" t="str">
        <x:v>收益 = 0</x:v>
      </x:c>
      <x:c r="L355" s="5" t="str"/>
      <x:c r="M355" s="5" t="str">
        <x:v>未测</x:v>
      </x:c>
      <x:c r="N355" s="5" t="str"/>
      <x:c r="O355" s="5" t="str">
        <x:v>1. 来源：prototype/assets/annotations.js
2. 来源：prototype/pages/user/host/live-records.html 与当页交互脚本；未连接真实后端动态验证
3. 质量检查：按 RCL-0018 使用最小前置条件和单一业务分支
4. 同步追溯：work/liveshow-user-app-all-260901-001/prototype-context-sync-result.json；RSL-0002、RSL-0003
5. 全局证据追溯：work/liveshow-user-app-all-260901-001/global-evidence-scan-result.json；扫描模式 full</x:v>
      </x:c>
    </x:row>
    <x:row r="356" ht="103.5" customHeight="1">
      <x:c r="A356" s="5" t="n">
        <x:v>355</x:v>
      </x:c>
      <x:c r="B356" s="5" t="str">
        <x:v>LIVE-302</x:v>
      </x:c>
      <x:c r="C356" s="5" t="str">
        <x:v>用户App-直播</x:v>
      </x:c>
      <x:c r="D356" s="5" t="str">
        <x:v>直播记录-无记录日期</x:v>
      </x:c>
      <x:c r="E356" s="5" t="str">
        <x:v>逻辑校验</x:v>
      </x:c>
      <x:c r="F356" s="5" t="str">
        <x:v>P2</x:v>
      </x:c>
      <x:c r="G356" s="5" t="str">
        <x:v>验证无记录日期的总时长汇总</x:v>
      </x:c>
      <x:c r="H356" s="5" t="str">
        <x:v>无记录总时长</x:v>
      </x:c>
      <x:c r="I356" s="5" t="str">
        <x:v>1. 总时长定义为所选日期内各场直播时长按分钟相加
2. 2026-07-01 没有直播记录</x:v>
      </x:c>
      <x:c r="J356" s="5" t="str">
        <x:v>1. 将自定义日期设置为 1/7/2026
2. 查看总时长汇总</x:v>
      </x:c>
      <x:c r="K356" s="5" t="str">
        <x:v>总时长 = 0 分钟 = 0h0m</x:v>
      </x:c>
      <x:c r="L356" s="5" t="str"/>
      <x:c r="M356" s="5" t="str">
        <x:v>未测</x:v>
      </x:c>
      <x:c r="N356" s="5" t="str"/>
      <x:c r="O356" s="5" t="str">
        <x:v>1. 来源：prototype/assets/annotations.js
2. 来源：prototype/pages/user/host/live-records.html 与当页交互脚本；未连接真实后端动态验证
3. 质量检查：按 RCL-0018 使用最小前置条件和单一业务分支
4. 同步追溯：work/liveshow-user-app-all-260901-001/prototype-context-sync-result.json；RSL-0002、RSL-0003
5. 全局证据追溯：work/liveshow-user-app-all-260901-001/global-evidence-scan-result.json；扫描模式 full</x:v>
      </x:c>
    </x:row>
    <x:row r="357" ht="103.5" customHeight="1">
      <x:c r="A357" s="5" t="n">
        <x:v>356</x:v>
      </x:c>
      <x:c r="B357" s="5" t="str">
        <x:v>LIVE-303</x:v>
      </x:c>
      <x:c r="C357" s="5" t="str">
        <x:v>用户App-直播</x:v>
      </x:c>
      <x:c r="D357" s="5" t="str">
        <x:v>直播记录-无记录日期</x:v>
      </x:c>
      <x:c r="E357" s="5" t="str">
        <x:v>逻辑校验</x:v>
      </x:c>
      <x:c r="F357" s="5" t="str">
        <x:v>P2</x:v>
      </x:c>
      <x:c r="G357" s="5" t="str">
        <x:v>验证无记录日期的直播场次汇总</x:v>
      </x:c>
      <x:c r="H357" s="5" t="str">
        <x:v>无记录场次</x:v>
      </x:c>
      <x:c r="I357" s="5" t="str">
        <x:v>1. 直播场次定义为所选日期内的直播记录数量
2. 2026-07-01 没有直播记录</x:v>
      </x:c>
      <x:c r="J357" s="5" t="str">
        <x:v>1. 将自定义日期设置为 1/7/2026
2. 查看直播场次汇总</x:v>
      </x:c>
      <x:c r="K357" s="5" t="str">
        <x:v>直播场次 = 0</x:v>
      </x:c>
      <x:c r="L357" s="5" t="str"/>
      <x:c r="M357" s="5" t="str">
        <x:v>未测</x:v>
      </x:c>
      <x:c r="N357" s="5" t="str"/>
      <x:c r="O357" s="5" t="str">
        <x:v>1. 来源：prototype/assets/annotations.js
2. 来源：prototype/pages/user/host/live-records.html 与当页交互脚本；未连接真实后端动态验证
3. 质量检查：按 RCL-0018 使用最小前置条件和单一业务分支
4. 同步追溯：work/liveshow-user-app-all-260901-001/prototype-context-sync-result.json；RSL-0002、RSL-0003
5. 全局证据追溯：work/liveshow-user-app-all-260901-001/global-evidence-scan-result.json；扫描模式 full</x:v>
      </x:c>
    </x:row>
    <x:row r="358" ht="139.5" customHeight="1">
      <x:c r="A358" s="5" t="n">
        <x:v>357</x:v>
      </x:c>
      <x:c r="B358" s="5" t="str">
        <x:v>LIVE-304</x:v>
      </x:c>
      <x:c r="C358" s="5" t="str">
        <x:v>用户App-直播</x:v>
      </x:c>
      <x:c r="D358" s="5" t="str">
        <x:v>直播记录-记录卡片</x:v>
      </x:c>
      <x:c r="E358" s="5" t="str">
        <x:v>功能需求</x:v>
      </x:c>
      <x:c r="F358" s="5" t="str">
        <x:v>P1</x:v>
      </x:c>
      <x:c r="G358" s="5" t="str">
        <x:v>验证记录卡片展示开播时标题</x:v>
      </x:c>
      <x:c r="H358" s="5" t="str">
        <x:v>历史标题展示</x:v>
      </x:c>
      <x:c r="I358" s="5" t="str">
        <x:v>1. 目标历史记录的开播时标题为“今晚唱到你睡着”</x:v>
      </x:c>
      <x:c r="J358" s="5" t="str">
        <x:v>1. 进入直播记录页
2. 查看目标记录标题</x:v>
      </x:c>
      <x:c r="K358" s="5" t="str">
        <x:v>目标记录标题显示“今晚唱到你睡着”</x:v>
      </x:c>
      <x:c r="L358" s="5" t="str"/>
      <x:c r="M358" s="5" t="str">
        <x:v>未测</x:v>
      </x:c>
      <x:c r="N358" s="5" t="str"/>
      <x:c r="O358"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59" ht="139.5" customHeight="1">
      <x:c r="A359" s="5" t="n">
        <x:v>358</x:v>
      </x:c>
      <x:c r="B359" s="5" t="str">
        <x:v>LIVE-305</x:v>
      </x:c>
      <x:c r="C359" s="5" t="str">
        <x:v>用户App-直播</x:v>
      </x:c>
      <x:c r="D359" s="5" t="str">
        <x:v>直播记录-记录卡片</x:v>
      </x:c>
      <x:c r="E359" s="5" t="str">
        <x:v>功能需求</x:v>
      </x:c>
      <x:c r="F359" s="5" t="str">
        <x:v>P1</x:v>
      </x:c>
      <x:c r="G359" s="5" t="str">
        <x:v>验证记录卡片展示开播时封面</x:v>
      </x:c>
      <x:c r="H359" s="5" t="str">
        <x:v>历史封面展示</x:v>
      </x:c>
      <x:c r="I359" s="5" t="str">
        <x:v>1. 目标历史记录已保存开播时封面</x:v>
      </x:c>
      <x:c r="J359" s="5" t="str">
        <x:v>1. 进入直播记录页
2. 查看目标记录封面</x:v>
      </x:c>
      <x:c r="K359" s="5" t="str">
        <x:v>目标记录展示该场直播开播时保存的封面</x:v>
      </x:c>
      <x:c r="L359" s="5" t="str"/>
      <x:c r="M359" s="5" t="str">
        <x:v>未测</x:v>
      </x:c>
      <x:c r="N359" s="5" t="str"/>
      <x:c r="O359" s="5" t="str">
        <x:v>1. 来源：context/01-用户主播App-项目需求清单.md（2026-08-31 按原型同步，RSL-0003）
2. 来源：prototype/assets/annotations.js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60" ht="127.5" customHeight="1">
      <x:c r="A360" s="5" t="n">
        <x:v>359</x:v>
      </x:c>
      <x:c r="B360" s="5" t="str">
        <x:v>LIVE-306</x:v>
      </x:c>
      <x:c r="C360" s="5" t="str">
        <x:v>用户App-直播</x:v>
      </x:c>
      <x:c r="D360" s="5" t="str">
        <x:v>直播记录-记录卡片</x:v>
      </x:c>
      <x:c r="E360" s="5" t="str">
        <x:v>逻辑校验</x:v>
      </x:c>
      <x:c r="F360" s="5" t="str">
        <x:v>P1</x:v>
      </x:c>
      <x:c r="G360" s="5" t="str">
        <x:v>验证记录卡片的开播时间格式</x:v>
      </x:c>
      <x:c r="H360" s="5" t="str">
        <x:v>开播时间格式</x:v>
      </x:c>
      <x:c r="I360" s="5" t="str">
        <x:v>1. 目标历史记录的开播时间为 2026-08-17 20:06</x:v>
      </x:c>
      <x:c r="J360" s="5" t="str">
        <x:v>1. 进入直播记录页
2. 查看目标记录开播时间</x:v>
      </x:c>
      <x:c r="K360" s="5" t="str">
        <x:v>目标记录开播时间显示为“17/8/2026 20.06”</x:v>
      </x:c>
      <x:c r="L360" s="5" t="str"/>
      <x:c r="M360" s="5" t="str">
        <x:v>未测</x:v>
      </x:c>
      <x:c r="N360" s="5" t="str"/>
      <x:c r="O360" s="5" t="str">
        <x:v>1. 来源：context/01-用户主播App-项目需求清单.md（2026-08-31 按原型同步，RSL-0003）
2. 来源：prototype/assets/annotations.js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61" ht="127.5" customHeight="1">
      <x:c r="A361" s="5" t="n">
        <x:v>360</x:v>
      </x:c>
      <x:c r="B361" s="5" t="str">
        <x:v>LIVE-307</x:v>
      </x:c>
      <x:c r="C361" s="5" t="str">
        <x:v>用户App-直播</x:v>
      </x:c>
      <x:c r="D361" s="5" t="str">
        <x:v>直播记录-记录卡片</x:v>
      </x:c>
      <x:c r="E361" s="5" t="str">
        <x:v>功能需求</x:v>
      </x:c>
      <x:c r="F361" s="5" t="str">
        <x:v>P1</x:v>
      </x:c>
      <x:c r="G361" s="5" t="str">
        <x:v>验证记录卡片展示直播时长</x:v>
      </x:c>
      <x:c r="H361" s="5" t="str">
        <x:v>直播时长展示</x:v>
      </x:c>
      <x:c r="I361" s="5" t="str">
        <x:v>1. 目标历史记录的直播时长为 2h18m</x:v>
      </x:c>
      <x:c r="J361" s="5" t="str">
        <x:v>1. 进入直播记录页
2. 查看目标记录直播时长</x:v>
      </x:c>
      <x:c r="K361" s="5" t="str">
        <x:v>目标记录直播时长显示“2h18m”</x:v>
      </x:c>
      <x:c r="L361" s="5" t="str"/>
      <x:c r="M361" s="5" t="str">
        <x:v>未测</x:v>
      </x:c>
      <x:c r="N361" s="5" t="str"/>
      <x:c r="O361"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62" ht="127.5" customHeight="1">
      <x:c r="A362" s="5" t="n">
        <x:v>361</x:v>
      </x:c>
      <x:c r="B362" s="5" t="str">
        <x:v>LIVE-308</x:v>
      </x:c>
      <x:c r="C362" s="5" t="str">
        <x:v>用户App-直播</x:v>
      </x:c>
      <x:c r="D362" s="5" t="str">
        <x:v>直播记录-记录卡片</x:v>
      </x:c>
      <x:c r="E362" s="5" t="str">
        <x:v>功能需求</x:v>
      </x:c>
      <x:c r="F362" s="5" t="str">
        <x:v>P1</x:v>
      </x:c>
      <x:c r="G362" s="5" t="str">
        <x:v>验证记录卡片展示本场收益</x:v>
      </x:c>
      <x:c r="H362" s="5" t="str">
        <x:v>本场收益展示</x:v>
      </x:c>
      <x:c r="I362" s="5" t="str">
        <x:v>1. 目标历史记录的本场收益为 3,156</x:v>
      </x:c>
      <x:c r="J362" s="5" t="str">
        <x:v>1. 进入直播记录页
2. 查看目标记录本场收益</x:v>
      </x:c>
      <x:c r="K362" s="5" t="str">
        <x:v>目标记录本场收益显示“+3.156”</x:v>
      </x:c>
      <x:c r="L362" s="5" t="str"/>
      <x:c r="M362" s="5" t="str">
        <x:v>未测</x:v>
      </x:c>
      <x:c r="N362" s="5" t="str"/>
      <x:c r="O362"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63" ht="127.5" customHeight="1">
      <x:c r="A363" s="5" t="n">
        <x:v>362</x:v>
      </x:c>
      <x:c r="B363" s="5" t="str">
        <x:v>LIVE-309</x:v>
      </x:c>
      <x:c r="C363" s="5" t="str">
        <x:v>用户App-直播</x:v>
      </x:c>
      <x:c r="D363" s="5" t="str">
        <x:v>直播记录-记录卡片</x:v>
      </x:c>
      <x:c r="E363" s="5" t="str">
        <x:v>功能需求</x:v>
      </x:c>
      <x:c r="F363" s="5" t="str">
        <x:v>P1</x:v>
      </x:c>
      <x:c r="G363" s="5" t="str">
        <x:v>验证记录卡片展示观众人数</x:v>
      </x:c>
      <x:c r="H363" s="5" t="str">
        <x:v>观众人数展示</x:v>
      </x:c>
      <x:c r="I363" s="5" t="str">
        <x:v>1. 目标历史记录的观众人数为 1,286</x:v>
      </x:c>
      <x:c r="J363" s="5" t="str">
        <x:v>1. 进入直播记录页
2. 查看目标记录观众人数</x:v>
      </x:c>
      <x:c r="K363" s="5" t="str">
        <x:v>目标记录观众人数显示“1.286”</x:v>
      </x:c>
      <x:c r="L363" s="5" t="str"/>
      <x:c r="M363" s="5" t="str">
        <x:v>未测</x:v>
      </x:c>
      <x:c r="N363" s="5" t="str"/>
      <x:c r="O363"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64" ht="127.5" customHeight="1">
      <x:c r="A364" s="5" t="n">
        <x:v>363</x:v>
      </x:c>
      <x:c r="B364" s="5" t="str">
        <x:v>LIVE-310</x:v>
      </x:c>
      <x:c r="C364" s="5" t="str">
        <x:v>用户App-直播</x:v>
      </x:c>
      <x:c r="D364" s="5" t="str">
        <x:v>直播记录-记录卡片</x:v>
      </x:c>
      <x:c r="E364" s="5" t="str">
        <x:v>功能需求</x:v>
      </x:c>
      <x:c r="F364" s="5" t="str">
        <x:v>P1</x:v>
      </x:c>
      <x:c r="G364" s="5" t="str">
        <x:v>验证记录卡片展示收礼数量</x:v>
      </x:c>
      <x:c r="H364" s="5" t="str">
        <x:v>收礼数量展示</x:v>
      </x:c>
      <x:c r="I364" s="5" t="str">
        <x:v>1. 目标历史记录的收礼数量为 4,820</x:v>
      </x:c>
      <x:c r="J364" s="5" t="str">
        <x:v>1. 进入直播记录页
2. 查看目标记录收礼数量</x:v>
      </x:c>
      <x:c r="K364" s="5" t="str">
        <x:v>目标记录收礼数量显示“4.820”</x:v>
      </x:c>
      <x:c r="L364" s="5" t="str"/>
      <x:c r="M364" s="5" t="str">
        <x:v>未测</x:v>
      </x:c>
      <x:c r="N364" s="5" t="str"/>
      <x:c r="O364" s="5" t="str">
        <x:v>1. 来源：context/01-用户主播App-项目需求清单.md（2026-08-31 按原型同步，RSL-0003）
2. 来源：prototype/assets/mock.js 的 liveRecords 字段口径
3. 来源：prototype/pages/user/host/live-records.html 与当页交互脚本；未连接真实后端动态验证
4. 质量检查：按 RCL-0018 使用最小前置条件和单一业务分支
5. 同步追溯：work/liveshow-user-app-all-260901-001/prototype-context-sync-result.json；RSL-0002、RSL-0003
6. 全局证据追溯：work/liveshow-user-app-all-260901-001/global-evidence-scan-result.json；扫描模式 full</x:v>
      </x:c>
    </x:row>
    <x:row r="365" ht="142.5" customHeight="1">
      <x:c r="A365" s="5" t="n">
        <x:v>364</x:v>
      </x:c>
      <x:c r="B365" s="5" t="str">
        <x:v>LIVE-311</x:v>
      </x:c>
      <x:c r="C365" s="5" t="str">
        <x:v>用户App-直播</x:v>
      </x:c>
      <x:c r="D365" s="5" t="str">
        <x:v>直播记录-记录卡片</x:v>
      </x:c>
      <x:c r="E365" s="5" t="str">
        <x:v>功能需求</x:v>
      </x:c>
      <x:c r="F365" s="5" t="str">
        <x:v>P1</x:v>
      </x:c>
      <x:c r="G365" s="5" t="str">
        <x:v>验证门票房记录展示房型标识</x:v>
      </x:c>
      <x:c r="H365" s="5" t="str">
        <x:v>直播记录门票房标识</x:v>
      </x:c>
      <x:c r="I365" s="5" t="str">
        <x:v>1. 目标历史记录的房间类型为门票房</x:v>
      </x:c>
      <x:c r="J365" s="5" t="str">
        <x:v>1. 进入直播记录页
2. 查看目标记录标题区域</x:v>
      </x:c>
      <x:c r="K365" s="5" t="str">
        <x:v>目标记录标题区域展示门票房标识</x:v>
      </x:c>
      <x:c r="L365" s="5" t="str"/>
      <x:c r="M365" s="5" t="str">
        <x:v>未测</x:v>
      </x:c>
      <x:c r="N365" s="5" t="str"/>
      <x:c r="O365" s="5" t="str">
        <x:v>1. 来源：context/01-用户主播App-项目需求清单.md（2026-08-31 按原型同步，RSL-0003）
2. 来源：prototype/Luma Live-原型说明.md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
8. 命名修复：补充页面、状态或动作，消除重复标题和重复验证点名称；业务步骤与预期结果未变</x:v>
      </x:c>
    </x:row>
    <x:row r="366" ht="139.5" customHeight="1">
      <x:c r="A366" s="5" t="n">
        <x:v>365</x:v>
      </x:c>
      <x:c r="B366" s="5" t="str">
        <x:v>LIVE-312</x:v>
      </x:c>
      <x:c r="C366" s="5" t="str">
        <x:v>用户App-直播</x:v>
      </x:c>
      <x:c r="D366" s="5" t="str">
        <x:v>直播记录-记录卡片</x:v>
      </x:c>
      <x:c r="E366" s="5" t="str">
        <x:v>功能需求</x:v>
      </x:c>
      <x:c r="F366" s="5" t="str">
        <x:v>P1</x:v>
      </x:c>
      <x:c r="G366" s="5" t="str">
        <x:v>验证密码房记录展示房型标识</x:v>
      </x:c>
      <x:c r="H366" s="5" t="str">
        <x:v>密码房标识</x:v>
      </x:c>
      <x:c r="I366" s="5" t="str">
        <x:v>1. 目标历史记录的房间类型为密码房</x:v>
      </x:c>
      <x:c r="J366" s="5" t="str">
        <x:v>1. 进入直播记录页
2. 查看目标记录标题区域</x:v>
      </x:c>
      <x:c r="K366" s="5" t="str">
        <x:v>目标记录标题区域展示密码房标识</x:v>
      </x:c>
      <x:c r="L366" s="5" t="str"/>
      <x:c r="M366" s="5" t="str">
        <x:v>未测</x:v>
      </x:c>
      <x:c r="N366" s="5" t="str"/>
      <x:c r="O366" s="5" t="str">
        <x:v>1. 来源：context/01-用户主播App-项目需求清单.md（2026-08-31 按原型同步，RSL-0003）
2. 来源：prototype/Luma Live-原型说明.md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67" ht="139.5" customHeight="1">
      <x:c r="A367" s="5" t="n">
        <x:v>366</x:v>
      </x:c>
      <x:c r="B367" s="5" t="str">
        <x:v>LIVE-313</x:v>
      </x:c>
      <x:c r="C367" s="5" t="str">
        <x:v>用户App-直播</x:v>
      </x:c>
      <x:c r="D367" s="5" t="str">
        <x:v>直播记录-记录卡片</x:v>
      </x:c>
      <x:c r="E367" s="5" t="str">
        <x:v>功能需求</x:v>
      </x:c>
      <x:c r="F367" s="5" t="str">
        <x:v>P2</x:v>
      </x:c>
      <x:c r="G367" s="5" t="str">
        <x:v>验证普通房记录不展示特殊房型标识</x:v>
      </x:c>
      <x:c r="H367" s="5" t="str">
        <x:v>普通房标识</x:v>
      </x:c>
      <x:c r="I367" s="5" t="str">
        <x:v>1. 目标历史记录的房间类型为普通房</x:v>
      </x:c>
      <x:c r="J367" s="5" t="str">
        <x:v>1. 进入直播记录页
2. 查看目标记录标题区域</x:v>
      </x:c>
      <x:c r="K367" s="5" t="str">
        <x:v>目标记录标题区域不展示门票房标识和密码房标识</x:v>
      </x:c>
      <x:c r="L367" s="5" t="str"/>
      <x:c r="M367" s="5" t="str">
        <x:v>未测</x:v>
      </x:c>
      <x:c r="N367" s="5" t="str"/>
      <x:c r="O367" s="5" t="str">
        <x:v>1. 来源：context/01-用户主播App-项目需求清单.md（2026-08-31 按原型同步，RSL-0003）
2. 来源：prototype/Luma Live-原型说明.md
3. 来源：prototype/assets/mock.js 的 liveRecords 字段口径
4. 来源：prototype/pages/user/host/live-records.html 与当页交互脚本；未连接真实后端动态验证
5. 质量检查：按 RCL-0018 使用最小前置条件和单一业务分支
6. 同步追溯：work/liveshow-user-app-all-260901-001/prototype-context-sync-result.json；RSL-0002、RSL-0003
7. 全局证据追溯：work/liveshow-user-app-all-260901-001/global-evidence-scan-result.json；扫描模式 full</x:v>
      </x:c>
    </x:row>
    <x:row r="368" ht="115.5" customHeight="1">
      <x:c r="A368" s="5" t="n">
        <x:v>367</x:v>
      </x:c>
      <x:c r="B368" s="5" t="str">
        <x:v>LIVE-314</x:v>
      </x:c>
      <x:c r="C368" s="5" t="str">
        <x:v>用户App-直播</x:v>
      </x:c>
      <x:c r="D368" s="5" t="str">
        <x:v>直播记录-记录卡片</x:v>
      </x:c>
      <x:c r="E368" s="5" t="str">
        <x:v>功能需求</x:v>
      </x:c>
      <x:c r="F368" s="5" t="str">
        <x:v>P2</x:v>
      </x:c>
      <x:c r="G368" s="5" t="str">
        <x:v>验证点击单场记录的操作反馈</x:v>
      </x:c>
      <x:c r="H368" s="5" t="str">
        <x:v>单场记录点击反馈</x:v>
      </x:c>
      <x:c r="I368" s="5" t="str">
        <x:v>1. 直播记录列表存在一场记录</x:v>
      </x:c>
      <x:c r="J368" s="5" t="str">
        <x:v>1. 点击该场直播记录卡片</x:v>
      </x:c>
      <x:c r="K368" s="5" t="str">
        <x:v>页面提示“查看本场直播数据”</x:v>
      </x:c>
      <x:c r="L368" s="5" t="str"/>
      <x:c r="M368" s="5" t="str">
        <x:v>未测</x:v>
      </x:c>
      <x:c r="N368" s="5" t="str"/>
      <x:c r="O368" s="5" t="str">
        <x:v>1. 来源：context/01-用户主播App-项目需求清单.md（2026-08-31 按原型同步，RSL-0003）
2. 来源：prototype/pages/user/host/live-records.html 与当页交互脚本；未连接真实后端动态验证
3. 质量检查：按 RCL-0018 使用最小前置条件和单一业务分支
4. 同步追溯：work/liveshow-user-app-all-260901-001/prototype-context-sync-result.json；RSL-0002、RSL-0003
5. 全局证据追溯：work/liveshow-user-app-all-260901-001/global-evidence-scan-result.json；扫描模式 full</x:v>
      </x:c>
    </x:row>
    <x:row r="369" ht="127.5" customHeight="1">
      <x:c r="A369" s="5" t="n">
        <x:v>368</x:v>
      </x:c>
      <x:c r="B369" s="5" t="str">
        <x:v>LIVE-315</x:v>
      </x:c>
      <x:c r="C369" s="5" t="str">
        <x:v>用户App-直播</x:v>
      </x:c>
      <x:c r="D369" s="5" t="str">
        <x:v>直播记录-记录生成</x:v>
      </x:c>
      <x:c r="E369" s="5" t="str">
        <x:v>业务流程</x:v>
      </x:c>
      <x:c r="F369" s="5" t="str">
        <x:v>P1</x:v>
      </x:c>
      <x:c r="G369" s="5" t="str">
        <x:v>验证新记录计入收益汇总</x:v>
      </x:c>
      <x:c r="H369" s="5" t="str">
        <x:v>新记录收益汇总</x:v>
      </x:c>
      <x:c r="I369" s="5" t="str">
        <x:v>1. 筛选范围原有三场收益为 3,156、1,904、624 的记录
2. 新结束的目标直播场次（数据别名：LIVE-SESSION-001）的本场收益为 100
3. 该场次的日期位于当前筛选范围内</x:v>
      </x:c>
      <x:c r="J369" s="5" t="str">
        <x:v>1. 结束该场次
2. 进入直播记录页
3. 查看当前范围收益汇总</x:v>
      </x:c>
      <x:c r="K369" s="5" t="str">
        <x:v>收益 = 3,156 + 1,904 + 624 + 100 = 5,784</x:v>
      </x:c>
      <x:c r="L369" s="5" t="str">
        <x:v>FLOW-LREC-001</x:v>
      </x:c>
      <x:c r="M369" s="5" t="str">
        <x:v>未测</x:v>
      </x:c>
      <x:c r="N369" s="5" t="str"/>
      <x:c r="O369" s="5" t="str">
        <x:v>1. 来源：context/系统概要 .md（当前全局业务规则）
2. 来源：context/01-用户主播App-项目需求清单.md（2026-08-31 按原型同步，RSL-0003）
3. 流程阶段：结束直播后在直播记录模块观察收益汇总
4. 共同业务对象：目标直播场次（数据别名：LIVE-SESSION-001）
5. 质量检查：按 RCL-0018 使用最小前置条件和单一业务分支
6. 同步追溯：work/liveshow-user-app-all-260901-001/prototype-context-sync-result.json；RSL-0002、RSL-0003
7. 全局证据追溯：work/liveshow-user-app-all-260901-001/global-evidence-scan-result.json；扫描模式 full</x:v>
      </x:c>
    </x:row>
    <x:row r="370" ht="127.5" customHeight="1">
      <x:c r="A370" s="5" t="n">
        <x:v>369</x:v>
      </x:c>
      <x:c r="B370" s="5" t="str">
        <x:v>LIVE-316</x:v>
      </x:c>
      <x:c r="C370" s="5" t="str">
        <x:v>用户App-直播</x:v>
      </x:c>
      <x:c r="D370" s="5" t="str">
        <x:v>直播记录-记录生成</x:v>
      </x:c>
      <x:c r="E370" s="5" t="str">
        <x:v>业务流程</x:v>
      </x:c>
      <x:c r="F370" s="5" t="str">
        <x:v>P1</x:v>
      </x:c>
      <x:c r="G370" s="5" t="str">
        <x:v>验证新记录计入总时长汇总</x:v>
      </x:c>
      <x:c r="H370" s="5" t="str">
        <x:v>新记录总时长汇总</x:v>
      </x:c>
      <x:c r="I370" s="5" t="str">
        <x:v>1. 筛选范围原有三场时长为 2h18m、1h42m、56m 的记录
2. 新结束的目标直播场次（数据别名：LIVE-SESSION-001）的直播时长为 30m
3. 该场次的日期位于当前筛选范围内</x:v>
      </x:c>
      <x:c r="J370" s="5" t="str">
        <x:v>1. 结束该场次
2. 进入直播记录页
3. 查看当前范围总时长汇总</x:v>
      </x:c>
      <x:c r="K370" s="5" t="str">
        <x:v>总时长 = 138 分钟 + 102 分钟 + 56 分钟 + 30 分钟 = 326 分钟 = 5h26m</x:v>
      </x:c>
      <x:c r="L370" s="5" t="str">
        <x:v>FLOW-LREC-001</x:v>
      </x:c>
      <x:c r="M370" s="5" t="str">
        <x:v>未测</x:v>
      </x:c>
      <x:c r="N370" s="5" t="str"/>
      <x:c r="O370" s="5" t="str">
        <x:v>1. 来源：context/系统概要 .md（当前全局业务规则）
2. 来源：context/01-用户主播App-项目需求清单.md（2026-08-31 按原型同步，RSL-0003）
3. 流程阶段：结束直播后在直播记录模块观察总时长汇总
4. 共同业务对象：目标直播场次（数据别名：LIVE-SESSION-001）
5. 质量检查：按 RCL-0018 使用最小前置条件和单一业务分支
6. 同步追溯：work/liveshow-user-app-all-260901-001/prototype-context-sync-result.json；RSL-0002、RSL-0003
7. 全局证据追溯：work/liveshow-user-app-all-260901-001/global-evidence-scan-result.json；扫描模式 full</x:v>
      </x:c>
    </x:row>
    <x:row r="371" ht="127.5" customHeight="1">
      <x:c r="A371" s="5" t="n">
        <x:v>370</x:v>
      </x:c>
      <x:c r="B371" s="5" t="str">
        <x:v>LIVE-317</x:v>
      </x:c>
      <x:c r="C371" s="5" t="str">
        <x:v>用户App-直播</x:v>
      </x:c>
      <x:c r="D371" s="5" t="str">
        <x:v>直播记录-记录生成</x:v>
      </x:c>
      <x:c r="E371" s="5" t="str">
        <x:v>业务流程</x:v>
      </x:c>
      <x:c r="F371" s="5" t="str">
        <x:v>P1</x:v>
      </x:c>
      <x:c r="G371" s="5" t="str">
        <x:v>验证新记录计入直播场次汇总</x:v>
      </x:c>
      <x:c r="H371" s="5" t="str">
        <x:v>新记录场次汇总</x:v>
      </x:c>
      <x:c r="I371" s="5" t="str">
        <x:v>1. 筛选范围原有 3 场直播记录
2. 新结束的目标直播场次（数据别名：LIVE-SESSION-001）的日期位于当前筛选范围内</x:v>
      </x:c>
      <x:c r="J371" s="5" t="str">
        <x:v>1. 结束该场次
2. 进入直播记录页
3. 查看当前范围直播场次汇总</x:v>
      </x:c>
      <x:c r="K371" s="5" t="str">
        <x:v>直播场次 = 3 + 1 = 4</x:v>
      </x:c>
      <x:c r="L371" s="5" t="str">
        <x:v>FLOW-LREC-001</x:v>
      </x:c>
      <x:c r="M371" s="5" t="str">
        <x:v>未测</x:v>
      </x:c>
      <x:c r="N371" s="5" t="str"/>
      <x:c r="O371" s="5" t="str">
        <x:v>1. 来源：context/系统概要 .md（当前全局业务规则）
2. 来源：context/01-用户主播App-项目需求清单.md（2026-08-31 按原型同步，RSL-0003）
3. 流程阶段：结束直播后在直播记录模块观察场次汇总
4. 共同业务对象：目标直播场次（数据别名：LIVE-SESSION-001）
5. 质量检查：按 RCL-0018 使用最小前置条件和单一业务分支
6. 同步追溯：work/liveshow-user-app-all-260901-001/prototype-context-sync-result.json；RSL-0002、RSL-0003
7. 全局证据追溯：work/liveshow-user-app-all-260901-001/global-evidence-scan-result.json；扫描模式 full</x:v>
      </x:c>
    </x:row>
    <x:row r="372" ht="127.5" customHeight="1">
      <x:c r="A372" s="5" t="n">
        <x:v>371</x:v>
      </x:c>
      <x:c r="B372" s="5" t="str">
        <x:v>LIVE-318</x:v>
      </x:c>
      <x:c r="C372" s="5" t="str">
        <x:v>用户App-直播</x:v>
      </x:c>
      <x:c r="D372" s="5" t="str">
        <x:v>直播记录-历史快照</x:v>
      </x:c>
      <x:c r="E372" s="5" t="str">
        <x:v>业务流程</x:v>
      </x:c>
      <x:c r="F372" s="5" t="str">
        <x:v>P1</x:v>
      </x:c>
      <x:c r="G372" s="5" t="str">
        <x:v>验证历史标题不随当前开播设置变更</x:v>
      </x:c>
      <x:c r="H372" s="5" t="str">
        <x:v>历史标题快照保持</x:v>
      </x:c>
      <x:c r="I372" s="5" t="str">
        <x:v>1. 历史直播场次（数据别名：LIVE-SESSION-002）的开播时标题为“深夜聊天局”
2. 主播当前开播设置标题已改为“周末唱歌局”</x:v>
      </x:c>
      <x:c r="J372" s="5" t="str">
        <x:v>1. 进入直播记录页
2. 查看该历史直播场次的标题</x:v>
      </x:c>
      <x:c r="K372" s="5" t="str">
        <x:v>该历史直播场次的标题仍显示“深夜聊天局”</x:v>
      </x:c>
      <x:c r="L372" s="5" t="str">
        <x:v>FLOW-LREC-002</x:v>
      </x:c>
      <x:c r="M372" s="5" t="str">
        <x:v>未测</x:v>
      </x:c>
      <x:c r="N372" s="5" t="str"/>
      <x:c r="O372" s="5" t="str">
        <x:v>1. 来源：context/01-用户主播App-项目需求清单.md（2026-08-31 按原型同步，RSL-0003）
2. 来源：prototype/assets/annotations.js
3. 流程阶段：修改当前开播设置后观察历史标题
4. 共同业务对象：历史直播场次（数据别名：LIVE-SESSION-002）
5. 质量检查：按 RCL-0018 使用最小前置条件和单一业务分支
6. 同步追溯：work/liveshow-user-app-all-260901-001/prototype-context-sync-result.json；RSL-0002、RSL-0003
7. 全局证据追溯：work/liveshow-user-app-all-260901-001/global-evidence-scan-result.json；扫描模式 full</x:v>
      </x:c>
    </x:row>
    <x:row r="373" ht="127.5" customHeight="1">
      <x:c r="A373" s="5" t="n">
        <x:v>372</x:v>
      </x:c>
      <x:c r="B373" s="5" t="str">
        <x:v>LIVE-319</x:v>
      </x:c>
      <x:c r="C373" s="5" t="str">
        <x:v>用户App-直播</x:v>
      </x:c>
      <x:c r="D373" s="5" t="str">
        <x:v>直播记录-历史快照</x:v>
      </x:c>
      <x:c r="E373" s="5" t="str">
        <x:v>业务流程</x:v>
      </x:c>
      <x:c r="F373" s="5" t="str">
        <x:v>P1</x:v>
      </x:c>
      <x:c r="G373" s="5" t="str">
        <x:v>验证历史封面不随当前开播设置变更</x:v>
      </x:c>
      <x:c r="H373" s="5" t="str">
        <x:v>历史封面快照保持</x:v>
      </x:c>
      <x:c r="I373" s="5" t="str">
        <x:v>1. 历史直播场次（数据别名：LIVE-SESSION-002）的开播时封面为封面 A
2. 主播当前开播设置封面已改为封面 B</x:v>
      </x:c>
      <x:c r="J373" s="5" t="str">
        <x:v>1. 进入直播记录页
2. 查看该历史直播场次的封面</x:v>
      </x:c>
      <x:c r="K373" s="5" t="str">
        <x:v>该历史直播场次仍展示封面 A</x:v>
      </x:c>
      <x:c r="L373" s="5" t="str">
        <x:v>FLOW-LREC-002</x:v>
      </x:c>
      <x:c r="M373" s="5" t="str">
        <x:v>未测</x:v>
      </x:c>
      <x:c r="N373" s="5" t="str"/>
      <x:c r="O373" s="5" t="str">
        <x:v>1. 来源：context/01-用户主播App-项目需求清单.md（2026-08-31 按原型同步，RSL-0003）
2. 来源：prototype/assets/annotations.js
3. 流程阶段：修改当前开播设置后观察历史封面
4. 共同业务对象：历史直播场次（数据别名：LIVE-SESSION-002）
5. 质量检查：按 RCL-0018 使用最小前置条件和单一业务分支
6. 同步追溯：work/liveshow-user-app-all-260901-001/prototype-context-sync-result.json；RSL-0002、RSL-0003
7. 全局证据追溯：work/liveshow-user-app-all-260901-001/global-evidence-scan-result.json；扫描模式 full</x:v>
      </x:c>
    </x:row>
    <x:row r="374" ht="139.5" customHeight="1">
      <x:c r="A374" s="5" t="n">
        <x:v>373</x:v>
      </x:c>
      <x:c r="B374" s="5" t="str">
        <x:v>LIVE-320</x:v>
      </x:c>
      <x:c r="C374" s="5" t="str">
        <x:v>用户App-直播</x:v>
      </x:c>
      <x:c r="D374" s="5" t="str">
        <x:v>平台处置直播</x:v>
      </x:c>
      <x:c r="E374" s="5" t="str">
        <x:v>业务流程</x:v>
      </x:c>
      <x:c r="F374" s="5" t="str">
        <x:v>P1</x:v>
      </x:c>
      <x:c r="G374" s="5" t="str">
        <x:v>验证平台强制关播后的观众提示</x:v>
      </x:c>
      <x:c r="H374" s="5" t="str">
        <x:v>强制关播结束提示</x:v>
      </x:c>
      <x:c r="I374" s="5" t="str">
        <x:v>1. 观众正在观看目标直播场次（数据别名：LIVE-ADMIN-001）
2. 管理后台中该场次状态为直播中</x:v>
      </x:c>
      <x:c r="J374" s="5" t="str">
        <x:v>1. 管理员在直播详情对该场次执行强制关播
2. 查看观众端页面</x:v>
      </x:c>
      <x:c r="K374" s="5" t="str">
        <x:v>观众端显示“直播已结束”提示</x:v>
      </x:c>
      <x:c r="L374" s="5" t="str">
        <x:v>FLOW-LIVE-006</x:v>
      </x:c>
      <x:c r="M374" s="5" t="str">
        <x:v>未测</x:v>
      </x:c>
      <x:c r="N374" s="5" t="str"/>
      <x:c r="O374" s="5" t="str">
        <x:v>1. 来源：context/03-管理后台-项目需求清单.md 第29行
2. 来源：prototype/pages/admin/host/admin-live-detail.html
3. 来源：prototype/pages/user/live/live-end-viewer.html；静态分析，未动态验证
4. 流程阶段：平台强制关播后的观众提示
5. 共同业务对象：目标直播场次（数据别名：LIVE-ADMIN-001）
6. 同步追溯：work/liveshow-user-app-all-260901-001/prototype-context-sync-result.json；RSL-0002、RSL-0003
7. 全局证据追溯：work/liveshow-user-app-all-260901-001/global-evidence-scan-result.json；扫描模式 full</x:v>
      </x:c>
    </x:row>
    <x:row r="375" ht="115.5" customHeight="1">
      <x:c r="A375" s="5" t="n">
        <x:v>374</x:v>
      </x:c>
      <x:c r="B375" s="5" t="str">
        <x:v>LIVE-321</x:v>
      </x:c>
      <x:c r="C375" s="5" t="str">
        <x:v>用户App-直播</x:v>
      </x:c>
      <x:c r="D375" s="5" t="str">
        <x:v>平台处置直播</x:v>
      </x:c>
      <x:c r="E375" s="5" t="str">
        <x:v>业务流程</x:v>
      </x:c>
      <x:c r="F375" s="5" t="str">
        <x:v>P1</x:v>
      </x:c>
      <x:c r="G375" s="5" t="str">
        <x:v>验证平台强制关播后的观众落点</x:v>
      </x:c>
      <x:c r="H375" s="5" t="str">
        <x:v>强制关播返回广场</x:v>
      </x:c>
      <x:c r="I375" s="5" t="str">
        <x:v>1. 观众正在观看目标直播场次（数据别名：LIVE-ADMIN-001）
2. 管理后台中该场次状态为直播中</x:v>
      </x:c>
      <x:c r="J375" s="5" t="str">
        <x:v>1. 管理员在直播详情对该场次执行强制关播
2. 查看观众端处置完成后的页面</x:v>
      </x:c>
      <x:c r="K375" s="5" t="str">
        <x:v>观众端返回直播广场</x:v>
      </x:c>
      <x:c r="L375" s="5" t="str">
        <x:v>FLOW-LIVE-006</x:v>
      </x:c>
      <x:c r="M375" s="5" t="str">
        <x:v>未测</x:v>
      </x:c>
      <x:c r="N375" s="5" t="str"/>
      <x:c r="O375" s="5" t="str">
        <x:v>1. 来源：context/03-管理后台-项目需求清单.md 第29行
2. 来源：prototype/pages/admin/host/admin-live-detail.html；静态分析，未动态验证
3. 流程阶段：平台强制关播后的观众落点
4. 共同业务对象：目标直播场次（数据别名：LIVE-ADMIN-001）
5. 同步追溯：work/liveshow-user-app-all-260901-001/prototype-context-sync-result.json；RSL-0002、RSL-0003
6. 全局证据追溯：work/liveshow-user-app-all-260901-001/global-evidence-scan-result.json；扫描模式 full</x:v>
      </x:c>
    </x:row>
    <x:row r="376" ht="115.5" customHeight="1">
      <x:c r="A376" s="5" t="n">
        <x:v>375</x:v>
      </x:c>
      <x:c r="B376" s="5" t="str">
        <x:v>LIVE-322</x:v>
      </x:c>
      <x:c r="C376" s="5" t="str">
        <x:v>用户App-直播</x:v>
      </x:c>
      <x:c r="D376" s="5" t="str">
        <x:v>平台处置直播</x:v>
      </x:c>
      <x:c r="E376" s="5" t="str">
        <x:v>业务流程</x:v>
      </x:c>
      <x:c r="F376" s="5" t="str">
        <x:v>P1</x:v>
      </x:c>
      <x:c r="G376" s="5" t="str">
        <x:v>验证平台强制关闭门票房不退还门票金币</x:v>
      </x:c>
      <x:c r="H376" s="5" t="str">
        <x:v>强制关播门票不退款</x:v>
      </x:c>
      <x:c r="I376" s="5" t="str">
        <x:v>1. 用户已支付 10 金币进入目标门票房场次（数据别名：LIVE-ADMIN-T01）
2. 购票后用户金币余额为 90
3. 管理后台中该场次状态为直播中</x:v>
      </x:c>
      <x:c r="J376" s="5" t="str">
        <x:v>1. 管理员在直播详情对该场次执行强制关播
2. 用户进入余额明细查看金币余额</x:v>
      </x:c>
      <x:c r="K376" s="5" t="str">
        <x:v>用户金币余额保持 90</x:v>
      </x:c>
      <x:c r="L376" s="5" t="str">
        <x:v>FLOW-LIVE-006</x:v>
      </x:c>
      <x:c r="M376" s="5" t="str">
        <x:v>未测</x:v>
      </x:c>
      <x:c r="N376" s="5" t="str"/>
      <x:c r="O376" s="5" t="str">
        <x:v>1. 来源：context/03-管理后台-项目需求清单.md 第30行
2. 来源：prototype/pages/admin/host/admin-live-detail.html；静态分析，未动态验证
3. 流程阶段：平台强制关闭门票房后的资金结果
4. 共同业务对象：目标门票房场次（数据别名：LIVE-ADMIN-T01）及本场购票资格
5. 同步追溯：work/liveshow-user-app-all-260901-001/prototype-context-sync-result.json；RSL-0002、RSL-0003
6. 全局证据追溯：work/liveshow-user-app-all-260901-001/global-evidence-scan-result.json；扫描模式 full</x:v>
      </x:c>
    </x:row>
    <x:row r="377" ht="139.5" customHeight="1">
      <x:c r="A377" s="5" t="n">
        <x:v>376</x:v>
      </x:c>
      <x:c r="B377" s="5" t="str">
        <x:v>LIVE-323</x:v>
      </x:c>
      <x:c r="C377" s="5" t="str">
        <x:v>用户App-直播</x:v>
      </x:c>
      <x:c r="D377" s="5" t="str">
        <x:v>直播权限联动</x:v>
      </x:c>
      <x:c r="E377" s="5" t="str">
        <x:v>业务流程</x:v>
      </x:c>
      <x:c r="F377" s="5" t="str">
        <x:v>P1</x:v>
      </x:c>
      <x:c r="G377" s="5" t="str">
        <x:v>验证公会关闭直播权限后结束进行中直播</x:v>
      </x:c>
      <x:c r="H377" s="5" t="str">
        <x:v>公会关权限结束场次</x:v>
      </x:c>
      <x:c r="I377" s="5" t="str">
        <x:v>1. 目标主播（数据别名：HOST-G01）正在用户 App 直播
2. 平台已开通该主播的直播权限
3. 公会端当前直播权限为开启</x:v>
      </x:c>
      <x:c r="J377" s="5" t="str">
        <x:v>1. 公会管理员在主播详情关闭该主播的直播权限并确认
2. 查看主播用户 App 的当前直播状态</x:v>
      </x:c>
      <x:c r="K377" s="5" t="str">
        <x:v>该主播的当前直播场次结束</x:v>
      </x:c>
      <x:c r="L377" s="5" t="str">
        <x:v>FLOW-LIVE-007</x:v>
      </x:c>
      <x:c r="M377" s="5" t="str">
        <x:v>未测</x:v>
      </x:c>
      <x:c r="N377" s="5" t="str"/>
      <x:c r="O377" s="5" t="str">
        <x:v>1. 来源：context/02-公会App-项目需求清单.md 第27行
2. 来源：prototype/assets/annotations.js 的 guild-host-detail.html 批注
3. 来源：prototype/pages/guild/people/guild-host-detail.html；静态分析，未动态验证
4. 流程阶段：公会关闭权限后终止用户 App 场次
5. 共同业务对象：目标主播（数据别名：HOST-G01）的直播权限及当前直播场次
6. 同步追溯：work/liveshow-user-app-all-260901-001/prototype-context-sync-result.json；RSL-0002、RSL-0003
7. 全局证据追溯：work/liveshow-user-app-all-260901-001/global-evidence-scan-result.json；扫描模式 full</x:v>
      </x:c>
    </x:row>
    <x:row r="378" ht="103.5" customHeight="1">
      <x:c r="A378" s="5" t="n">
        <x:v>377</x:v>
      </x:c>
      <x:c r="B378" s="5" t="str">
        <x:v>LIVE-324</x:v>
      </x:c>
      <x:c r="C378" s="5" t="str">
        <x:v>用户App-直播</x:v>
      </x:c>
      <x:c r="D378" s="5" t="str">
        <x:v>直播权限联动</x:v>
      </x:c>
      <x:c r="E378" s="5" t="str">
        <x:v>业务流程</x:v>
      </x:c>
      <x:c r="F378" s="5" t="str">
        <x:v>P1</x:v>
      </x:c>
      <x:c r="G378" s="5" t="str">
        <x:v>验证公会关闭直播权限后的用户 App 状态</x:v>
      </x:c>
      <x:c r="H378" s="5" t="str">
        <x:v>公会关权限状态回显</x:v>
      </x:c>
      <x:c r="I378" s="5" t="str">
        <x:v>1. 目标主播（数据别名：HOST-G01）已通过认证
2. 平台已开通该主播的直播权限
3. 公会端已关闭该主播的直播权限</x:v>
      </x:c>
      <x:c r="J378" s="5" t="str">
        <x:v>1. 该主播登录用户 App
2. 进入主播权限状态页面</x:v>
      </x:c>
      <x:c r="K378" s="5" t="str">
        <x:v>直播权限状态显示为“已关闭”</x:v>
      </x:c>
      <x:c r="L378" s="5" t="str">
        <x:v>FLOW-LIVE-007</x:v>
      </x:c>
      <x:c r="M378" s="5" t="str">
        <x:v>未测</x:v>
      </x:c>
      <x:c r="N378" s="5" t="str"/>
      <x:c r="O378" s="5" t="str">
        <x:v>1. 来源：context/01-用户主播App-项目需求清单.md 第168行
2. 来源：context/02-公会App-项目需求清单.md 第27行
3. 流程阶段：主播在用户 App 查看公会关闭后的权限状态
4. 共同业务对象：目标主播（数据别名：HOST-G01）的直播权限
5. 同步追溯：work/liveshow-user-app-all-260901-001/prototype-context-sync-result.json；RSL-0002、RSL-0003
6. 全局证据追溯：work/liveshow-user-app-all-260901-001/global-evidence-scan-result.json；扫描模式 full</x:v>
      </x:c>
    </x:row>
    <x:row r="379" ht="115.5" customHeight="1">
      <x:c r="A379" s="5" t="n">
        <x:v>378</x:v>
      </x:c>
      <x:c r="B379" s="5" t="str">
        <x:v>LIVE-325</x:v>
      </x:c>
      <x:c r="C379" s="5" t="str">
        <x:v>用户App-直播</x:v>
      </x:c>
      <x:c r="D379" s="5" t="str">
        <x:v>开播设置</x:v>
      </x:c>
      <x:c r="E379" s="5" t="str">
        <x:v>业务流程</x:v>
      </x:c>
      <x:c r="F379" s="5" t="str">
        <x:v>P1</x:v>
      </x:c>
      <x:c r="G379" s="5" t="str">
        <x:v>验证指定测试用户可选择灰度房型</x:v>
      </x:c>
      <x:c r="H379" s="5" t="str">
        <x:v>测试用户房型开放范围</x:v>
      </x:c>
      <x:c r="I379" s="5" t="str">
        <x:v>1. 后台已开启密码房
2. 密码房开放用户范围为指定测试用户
3. 目标主播（数据别名：HOST-TEST-01）已加入指定测试用户列表
4. 该主播具备直播权限</x:v>
      </x:c>
      <x:c r="J379" s="5" t="str">
        <x:v>1. 该主播登录用户 App
2. 进入开播设置并打开房型设置</x:v>
      </x:c>
      <x:c r="K379" s="5" t="str">
        <x:v>房型列表提供可选择的“密码房”</x:v>
      </x:c>
      <x:c r="L379" s="5" t="str">
        <x:v>FLOW-LIVE-008</x:v>
      </x:c>
      <x:c r="M379" s="5" t="str">
        <x:v>未测</x:v>
      </x:c>
      <x:c r="N379" s="5" t="str"/>
      <x:c r="O379" s="5" t="str">
        <x:v>1. 来源：prototype/pages/admin/operations/admin-feature-switch-detail.html
2. 来源：context/01-用户主播App-项目需求清单.md；静态分析，未动态验证
3. 流程阶段：后台指定测试用户后的用户 App 房型可见性
4. 共同业务对象：密码房灰度配置及目标主播（数据别名：HOST-TEST-01）
5. 同步追溯：work/liveshow-user-app-all-260901-001/prototype-context-sync-result.json；RSL-0002、RSL-0003
6. 全局证据追溯：work/liveshow-user-app-all-260901-001/global-evidence-scan-result.json；扫描模式 full</x:v>
      </x:c>
    </x:row>
    <x:row r="380" ht="115.5" customHeight="1">
      <x:c r="A380" s="5" t="n">
        <x:v>379</x:v>
      </x:c>
      <x:c r="B380" s="5" t="str">
        <x:v>LIVE-326</x:v>
      </x:c>
      <x:c r="C380" s="5" t="str">
        <x:v>用户App-直播</x:v>
      </x:c>
      <x:c r="D380" s="5" t="str">
        <x:v>开播设置</x:v>
      </x:c>
      <x:c r="E380" s="5" t="str">
        <x:v>逻辑校验</x:v>
      </x:c>
      <x:c r="F380" s="5" t="str">
        <x:v>P1</x:v>
      </x:c>
      <x:c r="G380" s="5" t="str">
        <x:v>验证非测试用户不能选择指定范围房型</x:v>
      </x:c>
      <x:c r="H380" s="5" t="str">
        <x:v>非测试用户房型隔离</x:v>
      </x:c>
      <x:c r="I380" s="5" t="str">
        <x:v>1. 后台已开启密码房
2. 密码房开放用户范围为指定测试用户
3. 目标主播（数据别名：HOST-NORMAL-01）不在指定测试用户列表
4. 该主播具备直播权限</x:v>
      </x:c>
      <x:c r="J380" s="5" t="str">
        <x:v>1. 该主播登录用户 App
2. 进入开播设置并打开房型设置</x:v>
      </x:c>
      <x:c r="K380" s="5" t="str">
        <x:v>房型列表不提供可选择的“密码房”</x:v>
      </x:c>
      <x:c r="L380" s="5" t="str">
        <x:v>FLOW-LIVE-008</x:v>
      </x:c>
      <x:c r="M380" s="5" t="str">
        <x:v>未测</x:v>
      </x:c>
      <x:c r="N380" s="5" t="str"/>
      <x:c r="O380" s="5" t="str">
        <x:v>1. 来源：prototype/pages/admin/operations/admin-feature-switch-detail.html
2. 来源：context/01-用户主播App-项目需求清单.md；静态分析，未动态验证
3. 流程阶段：后台指定测试用户后的非名单账号隔离
4. 共同业务对象：密码房灰度配置及目标主播（数据别名：HOST-NORMAL-01）
5. 同步追溯：work/liveshow-user-app-all-260901-001/prototype-context-sync-result.json；RSL-0002、RSL-0003
6. 全局证据追溯：work/liveshow-user-app-all-260901-001/global-evidence-scan-result.json；扫描模式 full</x:v>
      </x:c>
    </x:row>
    <x:row r="381" ht="115.5" customHeight="1">
      <x:c r="A381" s="5" t="n">
        <x:v>380</x:v>
      </x:c>
      <x:c r="B381" s="5" t="str">
        <x:v>LIVE-327</x:v>
      </x:c>
      <x:c r="C381" s="5" t="str">
        <x:v>用户App-直播</x:v>
      </x:c>
      <x:c r="D381" s="5" t="str">
        <x:v>开播设置</x:v>
      </x:c>
      <x:c r="E381" s="5" t="str">
        <x:v>业务流程</x:v>
      </x:c>
      <x:c r="F381" s="5" t="str">
        <x:v>P1</x:v>
      </x:c>
      <x:c r="G381" s="5" t="str">
        <x:v>验证全部用户范围的房型可选择</x:v>
      </x:c>
      <x:c r="H381" s="5" t="str">
        <x:v>全部用户房型开放范围</x:v>
      </x:c>
      <x:c r="I381" s="5" t="str">
        <x:v>1. 后台已开启门票房
2. 门票房开放用户范围为全部用户
3. 目标主播（数据别名：HOST-NORMAL-01）具备直播权限</x:v>
      </x:c>
      <x:c r="J381" s="5" t="str">
        <x:v>1. 该主播登录用户 App
2. 进入开播设置并打开房型设置</x:v>
      </x:c>
      <x:c r="K381" s="5" t="str">
        <x:v>房型列表提供可选择的“门票房”</x:v>
      </x:c>
      <x:c r="L381" s="5" t="str">
        <x:v>FLOW-LIVE-008</x:v>
      </x:c>
      <x:c r="M381" s="5" t="str">
        <x:v>未测</x:v>
      </x:c>
      <x:c r="N381" s="5" t="str"/>
      <x:c r="O381" s="5" t="str">
        <x:v>1. 来源：prototype/pages/admin/operations/admin-feature-switch-detail.html
2. 来源：context/01-用户主播App-项目需求清单.md；静态分析，未动态验证
3. 流程阶段：后台面向全部用户开放房型后的用户 App 可见性
4. 共同业务对象：门票房灰度配置及目标主播（数据别名：HOST-NORMAL-01）
5. 同步追溯：work/liveshow-user-app-all-260901-001/prototype-context-sync-result.json；RSL-0002、RSL-0003
6. 全局证据追溯：work/liveshow-user-app-all-260901-001/global-evidence-scan-result.json；扫描模式 full</x:v>
      </x:c>
    </x:row>
    <x:row r="382" ht="127.5" customHeight="1">
      <x:c r="A382" s="5" t="n">
        <x:v>381</x:v>
      </x:c>
      <x:c r="B382" s="5" t="str">
        <x:v>LIVE-328</x:v>
      </x:c>
      <x:c r="C382" s="5" t="str">
        <x:v>用户App-直播</x:v>
      </x:c>
      <x:c r="D382" s="5" t="str">
        <x:v>直播送礼</x:v>
      </x:c>
      <x:c r="E382" s="5" t="str">
        <x:v>业务流程</x:v>
      </x:c>
      <x:c r="F382" s="5" t="str">
        <x:v>P1</x:v>
      </x:c>
      <x:c r="G382" s="5" t="str">
        <x:v>验证后台上架礼物进入用户 App 礼物面板</x:v>
      </x:c>
      <x:c r="H382" s="5" t="str">
        <x:v>上架礼物面板可见</x:v>
      </x:c>
      <x:c r="I382" s="5" t="str">
        <x:v>1. 后台已将普通礼物“鲜花”（数据别名：GFT-LIVE-01）设置为上架
2. 用户正在观看支持送礼的直播</x:v>
      </x:c>
      <x:c r="J382" s="5" t="str">
        <x:v>1. 用户打开礼物面板
2. 切换到普通礼物分类</x:v>
      </x:c>
      <x:c r="K382" s="5" t="str">
        <x:v>普通礼物列表展示“鲜花”</x:v>
      </x:c>
      <x:c r="L382" s="5" t="str">
        <x:v>FLOW-LIVE-009</x:v>
      </x:c>
      <x:c r="M382" s="5" t="str">
        <x:v>未测</x:v>
      </x:c>
      <x:c r="N382" s="5" t="str"/>
      <x:c r="O382" s="5" t="str">
        <x:v>1. 来源：context/01-用户主播App-项目需求清单.md 第53行
2. 来源：context/03-管理后台-项目需求清单.md 第58行
3. 来源：prototype/pages/admin/gifts/admin-gift-list.html；静态分析，未动态验证
4. 流程阶段：后台礼物上架后的用户 App 展示
5. 共同业务对象：礼物“鲜花”（数据别名：GFT-LIVE-01）
6. 同步追溯：work/liveshow-user-app-all-260901-001/prototype-context-sync-result.json；RSL-0002、RSL-0003
7. 全局证据追溯：work/liveshow-user-app-all-260901-001/global-evidence-scan-result.json；扫描模式 full</x:v>
      </x:c>
    </x:row>
    <x:row r="383" ht="115.5" customHeight="1">
      <x:c r="A383" s="5" t="n">
        <x:v>382</x:v>
      </x:c>
      <x:c r="B383" s="5" t="str">
        <x:v>LIVE-329</x:v>
      </x:c>
      <x:c r="C383" s="5" t="str">
        <x:v>用户App-直播</x:v>
      </x:c>
      <x:c r="D383" s="5" t="str">
        <x:v>直播送礼</x:v>
      </x:c>
      <x:c r="E383" s="5" t="str">
        <x:v>逻辑校验</x:v>
      </x:c>
      <x:c r="F383" s="5" t="str">
        <x:v>P1</x:v>
      </x:c>
      <x:c r="G383" s="5" t="str">
        <x:v>验证后台下架礼物不进入用户 App 礼物面板</x:v>
      </x:c>
      <x:c r="H383" s="5" t="str">
        <x:v>下架礼物面板隐藏</x:v>
      </x:c>
      <x:c r="I383" s="5" t="str">
        <x:v>1. 后台已将普通礼物“咖啡”（数据别名：GFT-LIVE-02）设置为下架
2. 用户正在观看支持送礼的直播</x:v>
      </x:c>
      <x:c r="J383" s="5" t="str">
        <x:v>1. 用户打开礼物面板
2. 切换到普通礼物分类</x:v>
      </x:c>
      <x:c r="K383" s="5" t="str">
        <x:v>普通礼物列表不展示“咖啡”</x:v>
      </x:c>
      <x:c r="L383" s="5" t="str">
        <x:v>FLOW-LIVE-009</x:v>
      </x:c>
      <x:c r="M383" s="5" t="str">
        <x:v>未测</x:v>
      </x:c>
      <x:c r="N383" s="5" t="str"/>
      <x:c r="O383" s="5" t="str">
        <x:v>1. 来源：context/03-管理后台-项目需求清单.md 第58行
2. 来源：prototype/pages/admin/gifts/admin-gift-list.html；静态分析，未动态验证
3. 流程阶段：后台礼物下架后的用户 App 展示
4. 共同业务对象：礼物“咖啡”（数据别名：GFT-LIVE-02）
5. 同步追溯：work/liveshow-user-app-all-260901-001/prototype-context-sync-result.json；RSL-0002、RSL-0003
6. 全局证据追溯：work/liveshow-user-app-all-260901-001/global-evidence-scan-result.json；扫描模式 full</x:v>
      </x:c>
    </x:row>
    <x:row r="384" ht="115.5" customHeight="1">
      <x:c r="A384" s="5" t="n">
        <x:v>383</x:v>
      </x:c>
      <x:c r="B384" s="5" t="str">
        <x:v>LIVE-330</x:v>
      </x:c>
      <x:c r="C384" s="5" t="str">
        <x:v>用户App-直播</x:v>
      </x:c>
      <x:c r="D384" s="5" t="str">
        <x:v>直播送礼</x:v>
      </x:c>
      <x:c r="E384" s="5" t="str">
        <x:v>逻辑校验</x:v>
      </x:c>
      <x:c r="F384" s="5" t="str">
        <x:v>P1</x:v>
      </x:c>
      <x:c r="G384" s="5" t="str">
        <x:v>验证用户 App 礼物价格采用后台配置</x:v>
      </x:c>
      <x:c r="H384" s="5" t="str">
        <x:v>礼物金币价格跨端一致</x:v>
      </x:c>
      <x:c r="I384" s="5" t="str">
        <x:v>1. 后台已将上架礼物“鲜花”（数据别名：GFT-LIVE-01）的金币单价保存为 20
2. 用户正在观看支持送礼的直播</x:v>
      </x:c>
      <x:c r="J384" s="5" t="str">
        <x:v>1. 用户打开礼物面板
2. 查看“鲜花”的金币价格</x:v>
      </x:c>
      <x:c r="K384" s="5" t="str">
        <x:v>“鲜花”在用户 App 展示的金币价格为 20</x:v>
      </x:c>
      <x:c r="L384" s="5" t="str">
        <x:v>FLOW-LIVE-009</x:v>
      </x:c>
      <x:c r="M384" s="5" t="str">
        <x:v>未测</x:v>
      </x:c>
      <x:c r="N384" s="5" t="str"/>
      <x:c r="O384" s="5" t="str">
        <x:v>1. 来源：context/01-用户主播App-项目需求清单.md 第53行
2. 来源：prototype/pages/admin/gifts/admin-gift-detail.html；静态分析，未动态验证
3. 流程阶段：后台保存礼物单价后的用户 App 回显
4. 共同业务对象：礼物“鲜花”（数据别名：GFT-LIVE-01）
5. 同步追溯：work/liveshow-user-app-all-260901-001/prototype-context-sync-result.json；RSL-0002、RSL-0003
6. 全局证据追溯：work/liveshow-user-app-all-260901-001/global-evidence-scan-result.json；扫描模式 full</x:v>
      </x:c>
    </x:row>
    <x:row r="385" ht="139.5" customHeight="1">
      <x:c r="A385" s="5" t="n">
        <x:v>384</x:v>
      </x:c>
      <x:c r="B385" s="5" t="str">
        <x:v>LIVE-331</x:v>
      </x:c>
      <x:c r="C385" s="5" t="str">
        <x:v>用户App-直播</x:v>
      </x:c>
      <x:c r="D385" s="5" t="str">
        <x:v>直播送礼</x:v>
      </x:c>
      <x:c r="E385" s="5" t="str">
        <x:v>业务流程</x:v>
      </x:c>
      <x:c r="F385" s="5" t="str">
        <x:v>P1</x:v>
      </x:c>
      <x:c r="G385" s="5" t="str">
        <x:v>验证运营账号虚拟送礼计入贡献榜</x:v>
      </x:c>
      <x:c r="H385" s="5" t="str">
        <x:v>虚拟送礼榜单展示</x:v>
      </x:c>
      <x:c r="I385" s="5" t="str">
        <x:v>1. 目标运营账号（数据别名：OP-LIVE-01）已获得虚拟金币
2. 该运营账号在目标直播场次（数据别名：LIVE-OPS-001）赠送价值 100 金币的礼物
3. 赠送前该运营账号在本场贡献值为 0</x:v>
      </x:c>
      <x:c r="J385" s="5" t="str">
        <x:v>1. 用户在该场次打开贡献榜
2. 查看该运营账号的本场贡献值</x:v>
      </x:c>
      <x:c r="K385" s="5" t="str">
        <x:v>该运营账号的本场贡献值为 100</x:v>
      </x:c>
      <x:c r="L385" s="5" t="str">
        <x:v>FLOW-LIVE-010</x:v>
      </x:c>
      <x:c r="M385" s="5" t="str">
        <x:v>未测</x:v>
      </x:c>
      <x:c r="N385" s="5" t="str"/>
      <x:c r="O385" s="5" t="str">
        <x:v>1. 来源：context/03-管理后台-项目需求清单.md 第79行
2. 来源：context/02-公会App-项目需求清单.md 第55至56行
3. 来源：prototype/assets/annotations.js 的运营账号批注；静态分析，未动态验证
4. 流程阶段：运营账号送礼后的用户 App 榜单观察
5. 共同业务对象：目标运营账号（数据别名：OP-LIVE-01）、目标直播场次（数据别名：LIVE-OPS-001）及虚拟礼物记录
6. 同步追溯：work/liveshow-user-app-all-260901-001/prototype-context-sync-result.json；RSL-0002、RSL-0003
7. 全局证据追溯：work/liveshow-user-app-all-260901-001/global-evidence-scan-result.json；扫描模式 full</x:v>
      </x:c>
    </x:row>
    <x:row r="386" ht="115.5" customHeight="1">
      <x:c r="A386" s="5" t="n">
        <x:v>385</x:v>
      </x:c>
      <x:c r="B386" s="5" t="str">
        <x:v>LIVE-332</x:v>
      </x:c>
      <x:c r="C386" s="5" t="str">
        <x:v>用户App-直播</x:v>
      </x:c>
      <x:c r="D386" s="5" t="str">
        <x:v>主播直播间</x:v>
      </x:c>
      <x:c r="E386" s="5" t="str">
        <x:v>业务流程</x:v>
      </x:c>
      <x:c r="F386" s="5" t="str">
        <x:v>P1</x:v>
      </x:c>
      <x:c r="G386" s="5" t="str">
        <x:v>验证运营账号虚拟送礼不计入主播真实收益</x:v>
      </x:c>
      <x:c r="H386" s="5" t="str">
        <x:v>虚拟送礼收益隔离</x:v>
      </x:c>
      <x:c r="I386" s="5" t="str">
        <x:v>1. 主播在目标直播场次（数据别名：LIVE-OPS-001）的实时收益为 500 金币
2. 目标运营账号（数据别名：OP-LIVE-01）已获得虚拟金币</x:v>
      </x:c>
      <x:c r="J386" s="5" t="str">
        <x:v>1. 该运营账号在该场次赠送价值 100 金币的礼物
2. 主播查看当前实时收益</x:v>
      </x:c>
      <x:c r="K386" s="5" t="str">
        <x:v>主播实时收益保持 500 金币</x:v>
      </x:c>
      <x:c r="L386" s="5" t="str">
        <x:v>FLOW-LIVE-010</x:v>
      </x:c>
      <x:c r="M386" s="5" t="str">
        <x:v>未测</x:v>
      </x:c>
      <x:c r="N386" s="5" t="str"/>
      <x:c r="O386" s="5" t="str">
        <x:v>1. 来源：context/03-管理后台-项目需求清单.md 第79至80行
2. 来源：context/02-公会App-项目需求清单.md 第56行
3. 流程阶段：运营账号送礼后的主播收益观察
4. 共同业务对象：目标运营账号（数据别名：OP-LIVE-01）、目标直播场次（数据别名：LIVE-OPS-001）及主播实时收益
5. 同步追溯：work/liveshow-user-app-all-260901-001/prototype-context-sync-result.json；RSL-0002、RSL-0003
6. 全局证据追溯：work/liveshow-user-app-all-260901-001/global-evidence-scan-result.json；扫描模式 full</x:v>
      </x:c>
    </x:row>
    <x:row r="387" ht="103.5" customHeight="1">
      <x:c r="A387" s="5" t="n">
        <x:v>386</x:v>
      </x:c>
      <x:c r="B387" s="5" t="str">
        <x:v>LIVE-333</x:v>
      </x:c>
      <x:c r="C387" s="5" t="str">
        <x:v>用户App-直播</x:v>
      </x:c>
      <x:c r="D387" s="5" t="str">
        <x:v>举报处置通知</x:v>
      </x:c>
      <x:c r="E387" s="5" t="str">
        <x:v>业务流程</x:v>
      </x:c>
      <x:c r="F387" s="5" t="str">
        <x:v>P1</x:v>
      </x:c>
      <x:c r="G387" s="5" t="str">
        <x:v>验证举报不成立时通知举报人</x:v>
      </x:c>
      <x:c r="H387" s="5" t="str">
        <x:v>不处置的举报人通知</x:v>
      </x:c>
      <x:c r="I387" s="5" t="str">
        <x:v>1. 用户已提交直播场次举报
2. 管理后台已判定举报不成立</x:v>
      </x:c>
      <x:c r="J387" s="5" t="str">
        <x:v>1. 管理员选择不处置并完成工单
2. 举报人查看消息通知</x:v>
      </x:c>
      <x:c r="K387" s="5" t="str">
        <x:v>举报人收到“举报内容暂无可处置违规，感谢您的反馈”</x:v>
      </x:c>
      <x:c r="L387" s="5" t="str">
        <x:v>FLOW-LIVE-011</x:v>
      </x:c>
      <x:c r="M387" s="5" t="str">
        <x:v>未测</x:v>
      </x:c>
      <x:c r="N387" s="5" t="str"/>
      <x:c r="O387" s="5" t="str">
        <x:v>1. 来源：context/系统概要 .md 第256至258行
2. 流程阶段：举报不成立后的举报人通知
3. 共同业务对象：同一直播举报工单及举报人
4. 质量检查：按 RCL-0018 使用最小前置条件和单一业务分支
5. 同步追溯：work/liveshow-user-app-all-260901-001/prototype-context-sync-result.json；RSL-0002、RSL-0003
6. 全局证据追溯：work/liveshow-user-app-all-260901-001/global-evidence-scan-result.json；扫描模式 full</x:v>
      </x:c>
    </x:row>
    <x:row r="388" ht="103.5" customHeight="1">
      <x:c r="A388" s="5" t="n">
        <x:v>387</x:v>
      </x:c>
      <x:c r="B388" s="5" t="str">
        <x:v>LIVE-334</x:v>
      </x:c>
      <x:c r="C388" s="5" t="str">
        <x:v>用户App-直播</x:v>
      </x:c>
      <x:c r="D388" s="5" t="str">
        <x:v>举报处置通知</x:v>
      </x:c>
      <x:c r="E388" s="5" t="str">
        <x:v>业务流程</x:v>
      </x:c>
      <x:c r="F388" s="5" t="str">
        <x:v>P1</x:v>
      </x:c>
      <x:c r="G388" s="5" t="str">
        <x:v>验证警告处置后通知举报人</x:v>
      </x:c>
      <x:c r="H388" s="5" t="str">
        <x:v>警告处置的举报人通知</x:v>
      </x:c>
      <x:c r="I388" s="5" t="str">
        <x:v>1. 用户已提交直播场次举报
2. 管理后台已判定举报成立</x:v>
      </x:c>
      <x:c r="J388" s="5" t="str">
        <x:v>1. 管理员选择警告并完成工单
2. 举报人查看消息通知</x:v>
      </x:c>
      <x:c r="K388" s="5" t="str">
        <x:v>举报人收到“举报成立，平台已依规处理”</x:v>
      </x:c>
      <x:c r="L388" s="5" t="str">
        <x:v>FLOW-LIVE-011</x:v>
      </x:c>
      <x:c r="M388" s="5" t="str">
        <x:v>未测</x:v>
      </x:c>
      <x:c r="N388" s="5" t="str"/>
      <x:c r="O388" s="5" t="str">
        <x:v>1. 来源：context/系统概要 .md 第256至259行
2. 流程阶段：警告处置后的举报人通知
3. 共同业务对象：同一直播举报工单及举报人
4. 质量检查：按 RCL-0018 使用最小前置条件和单一业务分支
5. 同步追溯：work/liveshow-user-app-all-260901-001/prototype-context-sync-result.json；RSL-0002、RSL-0003
6. 全局证据追溯：work/liveshow-user-app-all-260901-001/global-evidence-scan-result.json；扫描模式 full</x:v>
      </x:c>
    </x:row>
    <x:row r="389" ht="103.5" customHeight="1">
      <x:c r="A389" s="5" t="n">
        <x:v>388</x:v>
      </x:c>
      <x:c r="B389" s="5" t="str">
        <x:v>LIVE-335</x:v>
      </x:c>
      <x:c r="C389" s="5" t="str">
        <x:v>用户App-直播</x:v>
      </x:c>
      <x:c r="D389" s="5" t="str">
        <x:v>举报处置通知</x:v>
      </x:c>
      <x:c r="E389" s="5" t="str">
        <x:v>业务流程</x:v>
      </x:c>
      <x:c r="F389" s="5" t="str">
        <x:v>P1</x:v>
      </x:c>
      <x:c r="G389" s="5" t="str">
        <x:v>验证警告处置后提示主播</x:v>
      </x:c>
      <x:c r="H389" s="5" t="str">
        <x:v>警告处置的主播提示</x:v>
      </x:c>
      <x:c r="I389" s="5" t="str">
        <x:v>1. 主播正在目标直播场次直播
2. 管理后台已判定该场次举报成立</x:v>
      </x:c>
      <x:c r="J389" s="5" t="str">
        <x:v>1. 管理员选择警告并完成工单
2. 查看主播直播间</x:v>
      </x:c>
      <x:c r="K389" s="5" t="str">
        <x:v>主播收到“直播间存在违规，请及时调整”弹窗提示</x:v>
      </x:c>
      <x:c r="L389" s="5" t="str">
        <x:v>FLOW-LIVE-011</x:v>
      </x:c>
      <x:c r="M389" s="5" t="str">
        <x:v>未测</x:v>
      </x:c>
      <x:c r="N389" s="5" t="str"/>
      <x:c r="O389" s="5" t="str">
        <x:v>1. 来源：context/系统概要 .md 第256至259行
2. 流程阶段：警告处置后的主播提示
3. 共同业务对象：同一直播举报工单及被举报场次
4. 质量检查：按 RCL-0018 使用最小前置条件和单一业务分支
5. 同步追溯：work/liveshow-user-app-all-260901-001/prototype-context-sync-result.json；RSL-0002、RSL-0003
6. 全局证据追溯：work/liveshow-user-app-all-260901-001/global-evidence-scan-result.json；扫描模式 full</x:v>
      </x:c>
    </x:row>
    <x:row r="390" ht="103.5" customHeight="1">
      <x:c r="A390" s="5" t="n">
        <x:v>389</x:v>
      </x:c>
      <x:c r="B390" s="5" t="str">
        <x:v>LIVE-336</x:v>
      </x:c>
      <x:c r="C390" s="5" t="str">
        <x:v>用户App-直播</x:v>
      </x:c>
      <x:c r="D390" s="5" t="str">
        <x:v>举报处置通知</x:v>
      </x:c>
      <x:c r="E390" s="5" t="str">
        <x:v>业务流程</x:v>
      </x:c>
      <x:c r="F390" s="5" t="str">
        <x:v>P1</x:v>
      </x:c>
      <x:c r="G390" s="5" t="str">
        <x:v>验证关播处置后通知举报人</x:v>
      </x:c>
      <x:c r="H390" s="5" t="str">
        <x:v>关播处置的举报人通知</x:v>
      </x:c>
      <x:c r="I390" s="5" t="str">
        <x:v>1. 用户已提交直播场次举报
2. 管理后台已判定举报成立</x:v>
      </x:c>
      <x:c r="J390" s="5" t="str">
        <x:v>1. 管理员选择关播并完成工单
2. 举报人查看消息通知</x:v>
      </x:c>
      <x:c r="K390" s="5" t="str">
        <x:v>举报人收到“举报成立，平台已依规处理”</x:v>
      </x:c>
      <x:c r="L390" s="5" t="str">
        <x:v>FLOW-LIVE-011</x:v>
      </x:c>
      <x:c r="M390" s="5" t="str">
        <x:v>未测</x:v>
      </x:c>
      <x:c r="N390" s="5" t="str"/>
      <x:c r="O390" s="5" t="str">
        <x:v>1. 来源：context/系统概要 .md 第256至260行
2. 流程阶段：关播处置后的举报人通知
3. 共同业务对象：同一直播举报工单及举报人
4. 质量检查：按 RCL-0018 使用最小前置条件和单一业务分支
5. 同步追溯：work/liveshow-user-app-all-260901-001/prototype-context-sync-result.json；RSL-0002、RSL-0003
6. 全局证据追溯：work/liveshow-user-app-all-260901-001/global-evidence-scan-result.json；扫描模式 full</x:v>
      </x:c>
    </x:row>
    <x:row r="391" ht="103.5" customHeight="1">
      <x:c r="A391" s="5" t="n">
        <x:v>390</x:v>
      </x:c>
      <x:c r="B391" s="5" t="str">
        <x:v>LIVE-337</x:v>
      </x:c>
      <x:c r="C391" s="5" t="str">
        <x:v>用户App-直播</x:v>
      </x:c>
      <x:c r="D391" s="5" t="str">
        <x:v>举报处置通知</x:v>
      </x:c>
      <x:c r="E391" s="5" t="str">
        <x:v>业务流程</x:v>
      </x:c>
      <x:c r="F391" s="5" t="str">
        <x:v>P1</x:v>
      </x:c>
      <x:c r="G391" s="5" t="str">
        <x:v>验证关播处置后提示主播</x:v>
      </x:c>
      <x:c r="H391" s="5" t="str">
        <x:v>关播处置的主播提示</x:v>
      </x:c>
      <x:c r="I391" s="5" t="str">
        <x:v>1. 主播正在目标直播场次直播
2. 管理后台已判定该场次举报成立</x:v>
      </x:c>
      <x:c r="J391" s="5" t="str">
        <x:v>1. 管理员选择关播并完成工单
2. 查看主播用户 App</x:v>
      </x:c>
      <x:c r="K391" s="5" t="str">
        <x:v>主播收到“直播间存在违规，平台已关闭直播间”通知</x:v>
      </x:c>
      <x:c r="L391" s="5" t="str">
        <x:v>FLOW-LIVE-011</x:v>
      </x:c>
      <x:c r="M391" s="5" t="str">
        <x:v>未测</x:v>
      </x:c>
      <x:c r="N391" s="5" t="str"/>
      <x:c r="O391" s="5" t="str">
        <x:v>1. 来源：context/系统概要 .md 第256至260行
2. 流程阶段：关播处置后的主播通知
3. 共同业务对象：同一直播举报工单及被举报场次
4. 质量检查：按 RCL-0018 使用最小前置条件和单一业务分支
5. 同步追溯：work/liveshow-user-app-all-260901-001/prototype-context-sync-result.json；RSL-0002、RSL-0003
6. 全局证据追溯：work/liveshow-user-app-all-260901-001/global-evidence-scan-result.json；扫描模式 full</x:v>
      </x:c>
    </x:row>
    <x:row r="392" ht="103.5" customHeight="1">
      <x:c r="A392" s="5" t="n">
        <x:v>391</x:v>
      </x:c>
      <x:c r="B392" s="5" t="str">
        <x:v>LIVE-338</x:v>
      </x:c>
      <x:c r="C392" s="5" t="str">
        <x:v>用户App-直播</x:v>
      </x:c>
      <x:c r="D392" s="5" t="str">
        <x:v>举报处置通知</x:v>
      </x:c>
      <x:c r="E392" s="5" t="str">
        <x:v>业务流程</x:v>
      </x:c>
      <x:c r="F392" s="5" t="str">
        <x:v>P1</x:v>
      </x:c>
      <x:c r="G392" s="5" t="str">
        <x:v>验证关闭直播权限后通知举报人</x:v>
      </x:c>
      <x:c r="H392" s="5" t="str">
        <x:v>关闭权限的举报人通知</x:v>
      </x:c>
      <x:c r="I392" s="5" t="str">
        <x:v>1. 用户已提交直播场次举报
2. 管理后台已判定举报成立</x:v>
      </x:c>
      <x:c r="J392" s="5" t="str">
        <x:v>1. 管理员选择关闭直播权限并完成工单
2. 举报人查看消息通知</x:v>
      </x:c>
      <x:c r="K392" s="5" t="str">
        <x:v>举报人收到“举报成立，平台已依规处理”</x:v>
      </x:c>
      <x:c r="L392" s="5" t="str">
        <x:v>FLOW-LIVE-011</x:v>
      </x:c>
      <x:c r="M392" s="5" t="str">
        <x:v>未测</x:v>
      </x:c>
      <x:c r="N392" s="5" t="str"/>
      <x:c r="O392" s="5" t="str">
        <x:v>1. 来源：context/系统概要 .md 第256至261行
2. 流程阶段：关闭直播权限后的举报人通知
3. 共同业务对象：同一直播举报工单及举报人
4. 质量检查：按 RCL-0018 使用最小前置条件和单一业务分支
5. 同步追溯：work/liveshow-user-app-all-260901-001/prototype-context-sync-result.json；RSL-0002、RSL-0003
6. 全局证据追溯：work/liveshow-user-app-all-260901-001/global-evidence-scan-result.json；扫描模式 full</x:v>
      </x:c>
    </x:row>
    <x:row r="393" ht="103.5" customHeight="1">
      <x:c r="A393" s="5" t="n">
        <x:v>392</x:v>
      </x:c>
      <x:c r="B393" s="5" t="str">
        <x:v>LIVE-339</x:v>
      </x:c>
      <x:c r="C393" s="5" t="str">
        <x:v>用户App-直播</x:v>
      </x:c>
      <x:c r="D393" s="5" t="str">
        <x:v>举报处置通知</x:v>
      </x:c>
      <x:c r="E393" s="5" t="str">
        <x:v>业务流程</x:v>
      </x:c>
      <x:c r="F393" s="5" t="str">
        <x:v>P1</x:v>
      </x:c>
      <x:c r="G393" s="5" t="str">
        <x:v>验证关闭直播权限后提示主播</x:v>
      </x:c>
      <x:c r="H393" s="5" t="str">
        <x:v>关闭权限的主播提示</x:v>
      </x:c>
      <x:c r="I393" s="5" t="str">
        <x:v>1. 主播正在目标直播场次直播
2. 管理后台已判定该场次举报成立</x:v>
      </x:c>
      <x:c r="J393" s="5" t="str">
        <x:v>1. 管理员选择关闭直播权限并完成工单
2. 查看主播用户 App</x:v>
      </x:c>
      <x:c r="K393" s="5" t="str">
        <x:v>主播收到“直播间严重违规，平台已关闭直播间，并关闭直播权限”通知</x:v>
      </x:c>
      <x:c r="L393" s="5" t="str">
        <x:v>FLOW-LIVE-011</x:v>
      </x:c>
      <x:c r="M393" s="5" t="str">
        <x:v>未测</x:v>
      </x:c>
      <x:c r="N393" s="5" t="str"/>
      <x:c r="O393" s="5" t="str">
        <x:v>1. 来源：context/系统概要 .md 第256至261行
2. 流程阶段：关闭直播权限后的主播通知
3. 共同业务对象：同一直播举报工单及被举报主播
4. 质量检查：按 RCL-0018 使用最小前置条件和单一业务分支
5. 同步追溯：work/liveshow-user-app-all-260901-001/prototype-context-sync-result.json；RSL-0002、RSL-0003
6. 全局证据追溯：work/liveshow-user-app-all-260901-001/global-evidence-scan-result.json；扫描模式 full</x:v>
      </x:c>
    </x:row>
    <x:row r="394" ht="91.5" customHeight="1">
      <x:c r="A394" s="5" t="n">
        <x:v>393</x:v>
      </x:c>
      <x:c r="B394" s="5" t="str">
        <x:v>LIVE-340</x:v>
      </x:c>
      <x:c r="C394" s="5" t="str">
        <x:v>用户App-直播</x:v>
      </x:c>
      <x:c r="D394" s="5" t="str">
        <x:v>主播连麦</x:v>
      </x:c>
      <x:c r="E394" s="5" t="str">
        <x:v>逻辑校验</x:v>
      </x:c>
      <x:c r="F394" s="5" t="str">
        <x:v>P1</x:v>
      </x:c>
      <x:c r="G394" s="5" t="str">
        <x:v>验证主播只能保留一个发出邀请</x:v>
      </x:c>
      <x:c r="H394" s="5" t="str">
        <x:v>发出邀请数量上限</x:v>
      </x:c>
      <x:c r="I394" s="5" t="str">
        <x:v>1. 主播 A 正在普通房直播
2. 主播 B 和主播 C 均在普通房直播
3. 三名主播均未连麦且不存在账号拉黑关系</x:v>
      </x:c>
      <x:c r="J394" s="5" t="str">
        <x:v>1. 主播 A 向主播 B 发起连麦邀请
2. 主播 A 尝试向主播 C 发起连麦邀请</x:v>
      </x:c>
      <x:c r="K394" s="5" t="str">
        <x:v>主播 A 的发出邀请列表仅保留对主播 B 的一条邀请</x:v>
      </x:c>
      <x:c r="L394" s="5" t="str"/>
      <x:c r="M394" s="5" t="str">
        <x:v>未测</x:v>
      </x:c>
      <x:c r="N394" s="5" t="str"/>
      <x:c r="O394" s="5" t="str">
        <x:v>1. 来源：context/系统概要 .md 第231至243行
2. 来源：prototype/assets/annotations.js 第82条
3. 质量检查：按 RCL-0018 使用最小前置条件和单一业务分支
4. 同步追溯：work/liveshow-user-app-all-260901-001/prototype-context-sync-result.json；RSL-0002、RSL-0003
5. 全局证据追溯：work/liveshow-user-app-all-260901-001/global-evidence-scan-result.json；扫描模式 full</x:v>
      </x:c>
    </x:row>
    <x:row r="395" ht="91.5" customHeight="1">
      <x:c r="A395" s="5" t="n">
        <x:v>394</x:v>
      </x:c>
      <x:c r="B395" s="5" t="str">
        <x:v>LIVE-341</x:v>
      </x:c>
      <x:c r="C395" s="5" t="str">
        <x:v>用户App-直播</x:v>
      </x:c>
      <x:c r="D395" s="5" t="str">
        <x:v>主播连麦</x:v>
      </x:c>
      <x:c r="E395" s="5" t="str">
        <x:v>业务流程</x:v>
      </x:c>
      <x:c r="F395" s="5" t="str">
        <x:v>P1</x:v>
      </x:c>
      <x:c r="G395" s="5" t="str">
        <x:v>验证接受一条邀请后保留其他收到邀请</x:v>
      </x:c>
      <x:c r="H395" s="5" t="str">
        <x:v>接受邀请后的其他邀请</x:v>
      </x:c>
      <x:c r="I395" s="5" t="str">
        <x:v>1. 主播 B 同时收到主播 A 和主播 C 的连麦邀请
2. 主播 B 尚未连麦</x:v>
      </x:c>
      <x:c r="J395" s="5" t="str">
        <x:v>1. 主播 B 接受主播 A 的邀请
2. 查看主播 B 的收到邀请列表</x:v>
      </x:c>
      <x:c r="K395" s="5" t="str">
        <x:v>主播 C 发出的邀请仍保留在收到邀请列表中</x:v>
      </x:c>
      <x:c r="L395" s="5" t="str"/>
      <x:c r="M395" s="5" t="str">
        <x:v>未测</x:v>
      </x:c>
      <x:c r="N395" s="5" t="str"/>
      <x:c r="O395" s="5" t="str">
        <x:v>1. 来源：context/系统概要 .md 第239至243行
2. 来源：prototype/assets/annotations.js 第34条
3. 质量检查：按 RCL-0018 使用最小前置条件和单一业务分支
4. 同步追溯：work/liveshow-user-app-all-260901-001/prototype-context-sync-result.json；RSL-0002、RSL-0003
5. 全局证据追溯：work/liveshow-user-app-all-260901-001/global-evidence-scan-result.json；扫描模式 full</x:v>
      </x:c>
    </x:row>
    <x:row r="396" ht="79.5" customHeight="1">
      <x:c r="A396" s="5" t="n">
        <x:v>395</x:v>
      </x:c>
      <x:c r="B396" s="5" t="str">
        <x:v>LIVE-342</x:v>
      </x:c>
      <x:c r="C396" s="5" t="str">
        <x:v>用户App-直播</x:v>
      </x:c>
      <x:c r="D396" s="5" t="str">
        <x:v>主播连麦</x:v>
      </x:c>
      <x:c r="E396" s="5" t="str">
        <x:v>业务流程</x:v>
      </x:c>
      <x:c r="F396" s="5" t="str">
        <x:v>P1</x:v>
      </x:c>
      <x:c r="G396" s="5" t="str">
        <x:v>验证结束直播后待处理邀请失效</x:v>
      </x:c>
      <x:c r="H396" s="5" t="str">
        <x:v>结束直播的邀请失效</x:v>
      </x:c>
      <x:c r="I396" s="5" t="str">
        <x:v>1. 主播 A 已向主播 B 发出连麦邀请
2. 主播 B 尚未处理该邀请
3. 主播 A 仍在普通房直播</x:v>
      </x:c>
      <x:c r="J396" s="5" t="str">
        <x:v>1. 主播 A 结束直播
2. 主播 B 查看收到邀请列表</x:v>
      </x:c>
      <x:c r="K396" s="5" t="str">
        <x:v>主播 A 发出的待处理邀请失效</x:v>
      </x:c>
      <x:c r="L396" s="5" t="str"/>
      <x:c r="M396" s="5" t="str">
        <x:v>未测</x:v>
      </x:c>
      <x:c r="N396" s="5" t="str"/>
      <x:c r="O396" s="5" t="str">
        <x:v>1. 来源：context/系统概要 .md 第231至243行
2. 质量检查：按 RCL-0018 使用最小前置条件和单一业务分支
3. 同步追溯：work/liveshow-user-app-all-260901-001/prototype-context-sync-result.json；RSL-0002、RSL-0003
4. 全局证据追溯：work/liveshow-user-app-all-260901-001/global-evidence-scan-result.json；扫描模式 full</x:v>
      </x:c>
    </x:row>
    <x:row r="397" ht="79.5" customHeight="1">
      <x:c r="A397" s="5" t="n">
        <x:v>396</x:v>
      </x:c>
      <x:c r="B397" s="5" t="str">
        <x:v>LIVE-343</x:v>
      </x:c>
      <x:c r="C397" s="5" t="str">
        <x:v>用户App-直播</x:v>
      </x:c>
      <x:c r="D397" s="5" t="str">
        <x:v>主播连麦</x:v>
      </x:c>
      <x:c r="E397" s="5" t="str">
        <x:v>业务流程</x:v>
      </x:c>
      <x:c r="F397" s="5" t="str">
        <x:v>P1</x:v>
      </x:c>
      <x:c r="G397" s="5" t="str">
        <x:v>验证连麦方结束直播后连麦失效</x:v>
      </x:c>
      <x:c r="H397" s="5" t="str">
        <x:v>结束直播的连麦状态</x:v>
      </x:c>
      <x:c r="I397" s="5" t="str">
        <x:v>1. 主播 A 与主播 B 正在连麦
2. 双方原直播场次均在进行</x:v>
      </x:c>
      <x:c r="J397" s="5" t="str">
        <x:v>1. 主播 A 结束直播
2. 查看主播 B 的连麦画面</x:v>
      </x:c>
      <x:c r="K397" s="5" t="str">
        <x:v>主播 B 退出与主播 A 的连麦画面</x:v>
      </x:c>
      <x:c r="L397" s="5" t="str"/>
      <x:c r="M397" s="5" t="str">
        <x:v>未测</x:v>
      </x:c>
      <x:c r="N397" s="5" t="str"/>
      <x:c r="O397" s="5" t="str">
        <x:v>1. 来源：context/系统概要 .md 第231至244行
2. 质量检查：按 RCL-0018 使用最小前置条件和单一业务分支
3. 同步追溯：work/liveshow-user-app-all-260901-001/prototype-context-sync-result.json；RSL-0002、RSL-0003
4. 全局证据追溯：work/liveshow-user-app-all-260901-001/global-evidence-scan-result.json；扫描模式 full</x:v>
      </x:c>
    </x:row>
    <x:row r="398" ht="103.5" customHeight="1">
      <x:c r="A398" s="5" t="n">
        <x:v>397</x:v>
      </x:c>
      <x:c r="B398" s="5" t="str">
        <x:v>LIVE-344</x:v>
      </x:c>
      <x:c r="C398" s="5" t="str">
        <x:v>用户App-直播</x:v>
      </x:c>
      <x:c r="D398" s="5" t="str">
        <x:v>运营账号进房</x:v>
      </x:c>
      <x:c r="E398" s="5" t="str">
        <x:v>业务流程</x:v>
      </x:c>
      <x:c r="F398" s="5" t="str">
        <x:v>P1</x:v>
      </x:c>
      <x:c r="G398" s="5" t="str">
        <x:v>验证运营账号免购票进入门票房</x:v>
      </x:c>
      <x:c r="H398" s="5" t="str">
        <x:v>运营账号门票房准入</x:v>
      </x:c>
      <x:c r="I398" s="5" t="str">
        <x:v>1. 目标运营账号（数据别名：OP-LIVE-02）已启用
2. 目标门票房正在直播
3. 该运营账号未购买本场门票</x:v>
      </x:c>
      <x:c r="J398" s="5" t="str">
        <x:v>1. 该运营账号点击目标门票房</x:v>
      </x:c>
      <x:c r="K398" s="5" t="str">
        <x:v>该运营账号不经过购票即可进入目标门票房</x:v>
      </x:c>
      <x:c r="L398" s="5" t="str">
        <x:v>FLOW-LIVE-012</x:v>
      </x:c>
      <x:c r="M398" s="5" t="str">
        <x:v>未测</x:v>
      </x:c>
      <x:c r="N398" s="5" t="str"/>
      <x:c r="O398" s="5" t="str">
        <x:v>1. 来源：context/系统概要 .md 第413至423行
2. 流程阶段：运营账号进入门票房
3. 共同业务对象：目标运营账号（数据别名：OP-LIVE-02）及目标门票房场次
4. 质量检查：按 RCL-0018 使用最小前置条件和单一业务分支
5. 同步追溯：work/liveshow-user-app-all-260901-001/prototype-context-sync-result.json；RSL-0002、RSL-0003
6. 全局证据追溯：work/liveshow-user-app-all-260901-001/global-evidence-scan-result.json；扫描模式 full</x:v>
      </x:c>
    </x:row>
    <x:row r="399" ht="103.5" customHeight="1">
      <x:c r="A399" s="5" t="n">
        <x:v>398</x:v>
      </x:c>
      <x:c r="B399" s="5" t="str">
        <x:v>LIVE-345</x:v>
      </x:c>
      <x:c r="C399" s="5" t="str">
        <x:v>用户App-直播</x:v>
      </x:c>
      <x:c r="D399" s="5" t="str">
        <x:v>运营账号进房</x:v>
      </x:c>
      <x:c r="E399" s="5" t="str">
        <x:v>业务流程</x:v>
      </x:c>
      <x:c r="F399" s="5" t="str">
        <x:v>P1</x:v>
      </x:c>
      <x:c r="G399" s="5" t="str">
        <x:v>验证运营账号免密码进入密码房</x:v>
      </x:c>
      <x:c r="H399" s="5" t="str">
        <x:v>运营账号密码房准入</x:v>
      </x:c>
      <x:c r="I399" s="5" t="str">
        <x:v>1. 目标运营账号（数据别名：OP-LIVE-02）已启用
2. 目标密码房正在直播
3. 该运营账号未获得房间密码</x:v>
      </x:c>
      <x:c r="J399" s="5" t="str">
        <x:v>1. 该运营账号点击目标密码房</x:v>
      </x:c>
      <x:c r="K399" s="5" t="str">
        <x:v>该运营账号不输入密码即可进入目标密码房</x:v>
      </x:c>
      <x:c r="L399" s="5" t="str">
        <x:v>FLOW-LIVE-012</x:v>
      </x:c>
      <x:c r="M399" s="5" t="str">
        <x:v>未测</x:v>
      </x:c>
      <x:c r="N399" s="5" t="str"/>
      <x:c r="O399" s="5" t="str">
        <x:v>1. 来源：context/系统概要 .md 第413至423行
2. 流程阶段：运营账号进入密码房
3. 共同业务对象：目标运营账号（数据别名：OP-LIVE-02）及目标密码房场次
4. 质量检查：按 RCL-0018 使用最小前置条件和单一业务分支
5. 同步追溯：work/liveshow-user-app-all-260901-001/prototype-context-sync-result.json；RSL-0002、RSL-0003
6. 全局证据追溯：work/liveshow-user-app-all-260901-001/global-evidence-scan-result.json；扫描模式 full</x:v>
      </x:c>
    </x:row>
    <x:row r="400" ht="103.5" customHeight="1">
      <x:c r="A400" s="5" t="n">
        <x:v>399</x:v>
      </x:c>
      <x:c r="B400" s="5" t="str">
        <x:v>LIVE-346</x:v>
      </x:c>
      <x:c r="C400" s="5" t="str">
        <x:v>用户App-直播</x:v>
      </x:c>
      <x:c r="D400" s="5" t="str">
        <x:v>运营账号送礼</x:v>
      </x:c>
      <x:c r="E400" s="5" t="str">
        <x:v>逻辑校验</x:v>
      </x:c>
      <x:c r="F400" s="5" t="str">
        <x:v>P1</x:v>
      </x:c>
      <x:c r="G400" s="5" t="str">
        <x:v>验证运营账号不能赠送幸运礼物</x:v>
      </x:c>
      <x:c r="H400" s="5" t="str">
        <x:v>运营账号幸运礼物限制</x:v>
      </x:c>
      <x:c r="I400" s="5" t="str">
        <x:v>1. 目标运营账号（数据别名：OP-LIVE-02）已启用
2. 该运营账号已进入支持送礼的直播间</x:v>
      </x:c>
      <x:c r="J400" s="5" t="str">
        <x:v>1. 该运营账号打开礼物面板
2. 切换到幸运礼物分类</x:v>
      </x:c>
      <x:c r="K400" s="5" t="str">
        <x:v>运营账号没有可执行的幸运礼物赠送入口</x:v>
      </x:c>
      <x:c r="L400" s="5" t="str">
        <x:v>FLOW-LIVE-012</x:v>
      </x:c>
      <x:c r="M400" s="5" t="str">
        <x:v>未测</x:v>
      </x:c>
      <x:c r="N400" s="5" t="str"/>
      <x:c r="O400" s="5" t="str">
        <x:v>1. 来源：context/系统概要 .md 第413至423行
2. 流程阶段：运营账号查看幸运礼物
3. 共同业务对象：目标运营账号（数据别名：OP-LIVE-02）及幸运礼物配置
4. 质量检查：按 RCL-0018 使用最小前置条件和单一业务分支
5. 同步追溯：work/liveshow-user-app-all-260901-001/prototype-context-sync-result.json；RSL-0002、RSL-0003
6. 全局证据追溯：work/liveshow-user-app-all-260901-001/global-evidence-scan-result.json；扫描模式 full</x:v>
      </x:c>
    </x:row>
    <x:row r="401" ht="79.5" customHeight="1">
      <x:c r="A401" s="5" t="n">
        <x:v>400</x:v>
      </x:c>
      <x:c r="B401" s="5" t="str">
        <x:v>LIVE-347</x:v>
      </x:c>
      <x:c r="C401" s="5" t="str">
        <x:v>用户App-直播</x:v>
      </x:c>
      <x:c r="D401" s="5" t="str">
        <x:v>账号拉黑</x:v>
      </x:c>
      <x:c r="E401" s="5" t="str">
        <x:v>业务流程</x:v>
      </x:c>
      <x:c r="F401" s="5" t="str">
        <x:v>P1</x:v>
      </x:c>
      <x:c r="G401" s="5" t="str">
        <x:v>验证账号拉黑后取消既有关注</x:v>
      </x:c>
      <x:c r="H401" s="5" t="str">
        <x:v>拉黑后的关注关系</x:v>
      </x:c>
      <x:c r="I401" s="5" t="str">
        <x:v>1. 用户已关注目标主播
2. 双方不存在账号拉黑关系</x:v>
      </x:c>
      <x:c r="J401" s="5" t="str">
        <x:v>1. 用户拉黑目标主播
2. 查看用户的关注列表</x:v>
      </x:c>
      <x:c r="K401" s="5" t="str">
        <x:v>目标主播从用户关注列表中移除</x:v>
      </x:c>
      <x:c r="L401" s="5" t="str"/>
      <x:c r="M401" s="5" t="str">
        <x:v>未测</x:v>
      </x:c>
      <x:c r="N401" s="5" t="str"/>
      <x:c r="O401" s="5" t="str">
        <x:v>1. 来源：context/系统概要 .md 第198至207行；原型未明确关注关系后果
2. 质量检查：按 RCL-0018 使用最小前置条件和单一业务分支
3. 同步追溯：work/liveshow-user-app-all-260901-001/prototype-context-sync-result.json；RSL-0002、RSL-0003
4. 全局证据追溯：work/liveshow-user-app-all-260901-001/global-evidence-scan-result.json；扫描模式 full</x:v>
      </x:c>
    </x:row>
    <x:row r="402" ht="79.5" customHeight="1">
      <x:c r="A402" s="5" t="n">
        <x:v>401</x:v>
      </x:c>
      <x:c r="B402" s="5" t="str">
        <x:v>LIVE-348</x:v>
      </x:c>
      <x:c r="C402" s="5" t="str">
        <x:v>用户App-直播</x:v>
      </x:c>
      <x:c r="D402" s="5" t="str">
        <x:v>账号拉黑</x:v>
      </x:c>
      <x:c r="E402" s="5" t="str">
        <x:v>业务流程</x:v>
      </x:c>
      <x:c r="F402" s="5" t="str">
        <x:v>P1</x:v>
      </x:c>
      <x:c r="G402" s="5" t="str">
        <x:v>验证解除拉黑后不恢复原关注</x:v>
      </x:c>
      <x:c r="H402" s="5" t="str">
        <x:v>解除拉黑后的关注关系</x:v>
      </x:c>
      <x:c r="I402" s="5" t="str">
        <x:v>1. 用户拉黑目标主播前已关注该主播
2. 拉黑后目标主播已从关注列表移除</x:v>
      </x:c>
      <x:c r="J402" s="5" t="str">
        <x:v>1. 用户解除对目标主播的账号拉黑
2. 查看用户的关注列表</x:v>
      </x:c>
      <x:c r="K402" s="5" t="str">
        <x:v>目标主播不会自动恢复到用户关注列表</x:v>
      </x:c>
      <x:c r="L402" s="5" t="str"/>
      <x:c r="M402" s="5" t="str">
        <x:v>未测</x:v>
      </x:c>
      <x:c r="N402" s="5" t="str"/>
      <x:c r="O402" s="5" t="str">
        <x:v>1. 来源：context/系统概要 .md 第198至207行；原型未明确关注关系后果
2. 质量检查：按 RCL-0018 使用最小前置条件和单一业务分支
3. 同步追溯：work/liveshow-user-app-all-260901-001/prototype-context-sync-result.json；RSL-0002、RSL-0003
4. 全局证据追溯：work/liveshow-user-app-all-260901-001/global-evidence-scan-result.json；扫描模式 full</x:v>
      </x:c>
    </x:row>
    <x:row r="403" ht="127.5" customHeight="1">
      <x:c r="A403" s="5" t="n">
        <x:v>402</x:v>
      </x:c>
      <x:c r="B403" s="5" t="str">
        <x:v>LIVE-349</x:v>
      </x:c>
      <x:c r="C403" s="5" t="str">
        <x:v>用户App-直播</x:v>
      </x:c>
      <x:c r="D403" s="5" t="str">
        <x:v>幸运礼物</x:v>
      </x:c>
      <x:c r="E403" s="5" t="str">
        <x:v>逻辑校验</x:v>
      </x:c>
      <x:c r="F403" s="5" t="str">
        <x:v>P1</x:v>
      </x:c>
      <x:c r="G403" s="5" t="str">
        <x:v>验证单个幸运礼物返奖 50 金币后的余额</x:v>
      </x:c>
      <x:c r="H403" s="5" t="str">
        <x:v>单个礼物返奖 50 金币</x:v>
      </x:c>
      <x:c r="I403" s="5" t="str">
        <x:v>1. 幸运礼物单价为 10 金币
2. 用户初始余额为 100 金币
3. 测试开奖结果固定为返奖 50 金币</x:v>
      </x:c>
      <x:c r="J403" s="5" t="str">
        <x:v>1. 用户赠送 1 个幸运礼物
2. 开奖完成后查看余额</x:v>
      </x:c>
      <x:c r="K403" s="5" t="str">
        <x:v>用户余额 = 100 - 10 + 50 = 140 金币</x:v>
      </x:c>
      <x:c r="L403" s="5" t="str"/>
      <x:c r="M403" s="5" t="str">
        <x:v>未测</x:v>
      </x:c>
      <x:c r="N403" s="5" t="str"/>
      <x:c r="O403" s="5" t="str">
        <x:v>1. 来源：prototype/assets/common.js 的幸运礼物、赠送按钮和金币余额；prototype/pages/user/live/live-room.html 的中奖结果播报；静态分析，未动态验证
2. 目标端可执行性：用户App礼物面板可执行赠送并显示金币余额；仅验证返奖后的余额结果，不假设存在规则详情入口
3. 来源：context/系统概要 .md 第311至349行
4. 质量检查：按 RCL-0018 使用最小前置条件和单一业务分支
5. 同步追溯：work/liveshow-user-app-all-260901-001/prototype-context-sync-result.json；RSL-0002、RSL-0003
6. 全局证据追溯：work/liveshow-user-app-all-260901-001/global-evidence-scan-result.json；扫描模式 full</x:v>
      </x:c>
    </x:row>
    <x:row r="404" ht="127.5" customHeight="1">
      <x:c r="A404" s="5" t="n">
        <x:v>403</x:v>
      </x:c>
      <x:c r="B404" s="5" t="str">
        <x:v>LIVE-350</x:v>
      </x:c>
      <x:c r="C404" s="5" t="str">
        <x:v>用户App-直播</x:v>
      </x:c>
      <x:c r="D404" s="5" t="str">
        <x:v>幸运礼物</x:v>
      </x:c>
      <x:c r="E404" s="5" t="str">
        <x:v>逻辑校验</x:v>
      </x:c>
      <x:c r="F404" s="5" t="str">
        <x:v>P1</x:v>
      </x:c>
      <x:c r="G404" s="5" t="str">
        <x:v>验证单个幸运礼物返奖 0 金币后的余额</x:v>
      </x:c>
      <x:c r="H404" s="5" t="str">
        <x:v>单个礼物返奖 0 金币</x:v>
      </x:c>
      <x:c r="I404" s="5" t="str">
        <x:v>1. 幸运礼物单价为 10 金币
2. 用户初始余额为 100 金币
3. 测试开奖结果固定为返奖 0 金币</x:v>
      </x:c>
      <x:c r="J404" s="5" t="str">
        <x:v>1. 用户赠送 1 个幸运礼物
2. 开奖完成后查看余额</x:v>
      </x:c>
      <x:c r="K404" s="5" t="str">
        <x:v>用户余额 = 100 - 10 + 0 = 90 金币</x:v>
      </x:c>
      <x:c r="L404" s="5" t="str"/>
      <x:c r="M404" s="5" t="str">
        <x:v>未测</x:v>
      </x:c>
      <x:c r="N404" s="5" t="str"/>
      <x:c r="O404" s="5" t="str">
        <x:v>1. 来源：prototype/assets/common.js 的幸运礼物、赠送按钮和金币余额；prototype/pages/user/live/live-room.html 的中奖结果播报；静态分析，未动态验证
2. 目标端可执行性：用户App礼物面板可执行赠送并显示金币余额；仅验证返奖后的余额结果，不假设存在规则详情入口
3. 来源：context/系统概要 .md 第311至349行
4. 质量检查：按 RCL-0018 使用最小前置条件和单一业务分支
5. 同步追溯：work/liveshow-user-app-all-260901-001/prototype-context-sync-result.json；RSL-0002、RSL-0003
6. 全局证据追溯：work/liveshow-user-app-all-260901-001/global-evidence-scan-result.json；扫描模式 full</x:v>
      </x:c>
    </x:row>
    <x:row r="405" ht="79.5" customHeight="1">
      <x:c r="A405" s="5" t="n">
        <x:v>404</x:v>
      </x:c>
      <x:c r="B405" s="5" t="str">
        <x:v>LIVE-351</x:v>
      </x:c>
      <x:c r="C405" s="5" t="str">
        <x:v>用户App-直播</x:v>
      </x:c>
      <x:c r="D405" s="5" t="str">
        <x:v>直播送礼</x:v>
      </x:c>
      <x:c r="E405" s="5" t="str">
        <x:v>业务流程</x:v>
      </x:c>
      <x:c r="F405" s="5" t="str">
        <x:v>P1</x:v>
      </x:c>
      <x:c r="G405" s="5" t="str">
        <x:v>验证已成功赠送的礼物不退款</x:v>
      </x:c>
      <x:c r="H405" s="5" t="str">
        <x:v>成功赠送礼物退款限制</x:v>
      </x:c>
      <x:c r="I405" s="5" t="str">
        <x:v>1. 用户已成功赠送价值 20 金币的普通礼物
2. 赠送后用户余额为 80 金币</x:v>
      </x:c>
      <x:c r="J405" s="5" t="str">
        <x:v>1. 用户返回金币消费明细
2. 查看已完成礼物消费和当前余额</x:v>
      </x:c>
      <x:c r="K405" s="5" t="str">
        <x:v>已完成礼物消费对应的 20 金币不退回用户余额</x:v>
      </x:c>
      <x:c r="L405" s="5" t="str"/>
      <x:c r="M405" s="5" t="str">
        <x:v>未测</x:v>
      </x:c>
      <x:c r="N405" s="5" t="str"/>
      <x:c r="O405" s="5" t="str">
        <x:v>1. 来源：context/系统概要 .md 第294至307行
2. 质量检查：按 RCL-0018 使用最小前置条件和单一业务分支
3. 同步追溯：work/liveshow-user-app-all-260901-001/prototype-context-sync-result.json；RSL-0002、RSL-0003
4. 全局证据追溯：work/liveshow-user-app-all-260901-001/global-evidence-scan-result.json；扫描模式 full</x:v>
      </x:c>
    </x:row>
    <x:row r="406" ht="103.5" customHeight="1">
      <x:c r="A406" s="5" t="n">
        <x:v>405</x:v>
      </x:c>
      <x:c r="B406" s="5" t="str">
        <x:v>LIVE-352</x:v>
      </x:c>
      <x:c r="C406" s="5" t="str">
        <x:v>用户App-直播</x:v>
      </x:c>
      <x:c r="D406" s="5" t="str">
        <x:v>直播送礼</x:v>
      </x:c>
      <x:c r="E406" s="5" t="str">
        <x:v>逻辑校验</x:v>
      </x:c>
      <x:c r="F406" s="5" t="str">
        <x:v>P1</x:v>
      </x:c>
      <x:c r="G406" s="5" t="str">
        <x:v>验证下架礼物不能继续赠送</x:v>
      </x:c>
      <x:c r="H406" s="5" t="str">
        <x:v>礼物下架后的赠送限制</x:v>
      </x:c>
      <x:c r="I406" s="5" t="str">
        <x:v>1. 用户已打开礼物面板
2. 后台随后下架礼物“星光”（数据别名：GFT-LIVE-03）</x:v>
      </x:c>
      <x:c r="J406" s="5" t="str">
        <x:v>1. 用户刷新礼物面板
2. 尝试选择“星光”</x:v>
      </x:c>
      <x:c r="K406" s="5" t="str">
        <x:v>用户不能继续赠送“星光”</x:v>
      </x:c>
      <x:c r="L406" s="5" t="str">
        <x:v>FLOW-LIVE-009</x:v>
      </x:c>
      <x:c r="M406" s="5" t="str">
        <x:v>未测</x:v>
      </x:c>
      <x:c r="N406" s="5" t="str"/>
      <x:c r="O406" s="5" t="str">
        <x:v>1. 来源：context/系统概要 .md 第294至305行
2. 流程阶段：后台下架后的用户 App 赠送限制
3. 共同业务对象：礼物“星光”（数据别名：GFT-LIVE-03）
4. 质量检查：按 RCL-0018 使用最小前置条件和单一业务分支
5. 同步追溯：work/liveshow-user-app-all-260901-001/prototype-context-sync-result.json；RSL-0002、RSL-0003
6. 全局证据追溯：work/liveshow-user-app-all-260901-001/global-evidence-scan-result.json；扫描模式 full</x:v>
      </x:c>
    </x:row>
    <x:row r="407" ht="103.5" customHeight="1">
      <x:c r="A407" s="5" t="n">
        <x:v>406</x:v>
      </x:c>
      <x:c r="B407" s="5" t="str">
        <x:v>LIVE-353</x:v>
      </x:c>
      <x:c r="C407" s="5" t="str">
        <x:v>用户App-直播</x:v>
      </x:c>
      <x:c r="D407" s="5" t="str">
        <x:v>直播送礼</x:v>
      </x:c>
      <x:c r="E407" s="5" t="str">
        <x:v>业务流程</x:v>
      </x:c>
      <x:c r="F407" s="5" t="str">
        <x:v>P1</x:v>
      </x:c>
      <x:c r="G407" s="5" t="str">
        <x:v>验证礼物下架后保留已完成消费记录</x:v>
      </x:c>
      <x:c r="H407" s="5" t="str">
        <x:v>下架礼物历史记录</x:v>
      </x:c>
      <x:c r="I407" s="5" t="str">
        <x:v>1. 用户已成功赠送礼物“星光”（数据别名：GFT-LIVE-03）
2. 消费明细已生成“星光”记录
3. 后台随后下架“星光”</x:v>
      </x:c>
      <x:c r="J407" s="5" t="str">
        <x:v>1. 用户进入金币消费明细
2. 查看“星光”的历史记录</x:v>
      </x:c>
      <x:c r="K407" s="5" t="str">
        <x:v>“星光”的已完成消费记录仍保留</x:v>
      </x:c>
      <x:c r="L407" s="5" t="str">
        <x:v>FLOW-LIVE-009</x:v>
      </x:c>
      <x:c r="M407" s="5" t="str">
        <x:v>未测</x:v>
      </x:c>
      <x:c r="N407" s="5" t="str"/>
      <x:c r="O407" s="5" t="str">
        <x:v>1. 来源：context/系统概要 .md 第294至305行
2. 流程阶段：礼物下架后的用户 App 历史记录
3. 共同业务对象：礼物“星光”（数据别名：GFT-LIVE-03）及其消费记录
4. 质量检查：按 RCL-0018 使用最小前置条件和单一业务分支
5. 同步追溯：work/liveshow-user-app-all-260901-001/prototype-context-sync-result.json；RSL-0002、RSL-0003
6. 全局证据追溯：work/liveshow-user-app-all-260901-001/global-evidence-scan-result.json；扫描模式 full</x:v>
      </x:c>
    </x:row>
    <x:row r="408" ht="79.5" customHeight="1">
      <x:c r="A408" s="5" t="n">
        <x:v>407</x:v>
      </x:c>
      <x:c r="B408" s="5" t="str">
        <x:v>LIVE-354</x:v>
      </x:c>
      <x:c r="C408" s="5" t="str">
        <x:v>用户App-直播</x:v>
      </x:c>
      <x:c r="D408" s="5" t="str">
        <x:v>直播送礼</x:v>
      </x:c>
      <x:c r="E408" s="5" t="str">
        <x:v>逻辑校验</x:v>
      </x:c>
      <x:c r="F408" s="5" t="str">
        <x:v>P1</x:v>
      </x:c>
      <x:c r="G408" s="5" t="str">
        <x:v>验证负金币余额不能继续送礼</x:v>
      </x:c>
      <x:c r="H408" s="5" t="str">
        <x:v>负余额送礼限制</x:v>
      </x:c>
      <x:c r="I408" s="5" t="str">
        <x:v>1. 用户金币余额为 -10
2. 用户已进入支持送礼的直播间</x:v>
      </x:c>
      <x:c r="J408" s="5" t="str">
        <x:v>1. 用户打开礼物面板
2. 尝试赠送单价 1 金币的普通礼物</x:v>
      </x:c>
      <x:c r="K408" s="5" t="str">
        <x:v>目标普通礼物不送出</x:v>
      </x:c>
      <x:c r="L408" s="5" t="str"/>
      <x:c r="M408" s="5" t="str">
        <x:v>未测</x:v>
      </x:c>
      <x:c r="N408" s="5" t="str"/>
      <x:c r="O408" s="5" t="str">
        <x:v>1. 来源：context/系统概要 .md 第278至290行
2. 质量检查：按 RCL-0018 使用最小前置条件和单一业务分支
3. 同步追溯：work/liveshow-user-app-all-260901-001/prototype-context-sync-result.json；RSL-0002、RSL-0003
4. 全局证据追溯：work/liveshow-user-app-all-260901-001/global-evidence-scan-result.json；扫描模式 full</x:v>
      </x:c>
    </x:row>
    <x:row r="409" ht="103.5" customHeight="1">
      <x:c r="A409" s="5" t="n">
        <x:v>408</x:v>
      </x:c>
      <x:c r="B409" s="5" t="str">
        <x:v>LIVE-355</x:v>
      </x:c>
      <x:c r="C409" s="5" t="str">
        <x:v>用户App-直播</x:v>
      </x:c>
      <x:c r="D409" s="5" t="str">
        <x:v>直播送礼</x:v>
      </x:c>
      <x:c r="E409" s="5" t="str">
        <x:v>异常用例</x:v>
      </x:c>
      <x:c r="F409" s="5" t="str">
        <x:v>P1</x:v>
      </x:c>
      <x:c r="G409" s="5" t="str">
        <x:v>验证送礼条件检查失败不扣金币</x:v>
      </x:c>
      <x:c r="H409" s="5" t="str">
        <x:v>送礼失败余额保持</x:v>
      </x:c>
      <x:c r="I409" s="5" t="str">
        <x:v>1. 用户金币余额为 100
2. 后台已下架用户当前选中的礼物“麦克风”（数据别名：GFT-LIVE-04）</x:v>
      </x:c>
      <x:c r="J409" s="5" t="str">
        <x:v>1. 用户提交“麦克风”的赠送请求
2. 刷新金币余额</x:v>
      </x:c>
      <x:c r="K409" s="5" t="str">
        <x:v>用户金币余额保持 100</x:v>
      </x:c>
      <x:c r="L409" s="5" t="str">
        <x:v>FLOW-LIVE-009</x:v>
      </x:c>
      <x:c r="M409" s="5" t="str">
        <x:v>未测</x:v>
      </x:c>
      <x:c r="N409" s="5" t="str"/>
      <x:c r="O409" s="5" t="str">
        <x:v>1. 来源：context/系统概要 .md 第278至305行
2. 流程阶段：后台下架与用户提交并发时的余额结果
3. 共同业务对象：礼物“麦克风”（数据别名：GFT-LIVE-04）及用户金币账户
4. 质量检查：按 RCL-0018 使用最小前置条件和单一业务分支
5. 同步追溯：work/liveshow-user-app-all-260901-001/prototype-context-sync-result.json；RSL-0002、RSL-0003
6. 全局证据追溯：work/liveshow-user-app-all-260901-001/global-evidence-scan-result.json；扫描模式 full</x:v>
      </x:c>
    </x:row>
    <x:row r="410" ht="103.5" customHeight="1">
      <x:c r="A410" s="5" t="n">
        <x:v>409</x:v>
      </x:c>
      <x:c r="B410" s="5" t="str">
        <x:v>LIVE-356</x:v>
      </x:c>
      <x:c r="C410" s="5" t="str">
        <x:v>用户App-直播</x:v>
      </x:c>
      <x:c r="D410" s="5" t="str">
        <x:v>直播间私信</x:v>
      </x:c>
      <x:c r="E410" s="5" t="str">
        <x:v>逻辑校验</x:v>
      </x:c>
      <x:c r="F410" s="5" t="str">
        <x:v>P1</x:v>
      </x:c>
      <x:c r="G410" s="5" t="str">
        <x:v>验证删除好友后主播仍可发起首次私信</x:v>
      </x:c>
      <x:c r="H410" s="5" t="str">
        <x:v>删除好友后的首次私信</x:v>
      </x:c>
      <x:c r="I410" s="5" t="str">
        <x:v>1. 主播与非好友目标观众（数据别名：非好友目标观众（数据别名：USER-CHAT-01））已删除好友关系
2. 主播与该观众不存在账号拉黑关系
3. 该观众已进入主播后续普通房直播场次</x:v>
      </x:c>
      <x:c r="J410" s="5" t="str">
        <x:v>1. 主播打开该观众的直播间资料卡
2. 点击“私信”
3. 发送第 1 条合法文本私信</x:v>
      </x:c>
      <x:c r="K410" s="5" t="str">
        <x:v>第 1 条私信成功进入主播与该观众的会话</x:v>
      </x:c>
      <x:c r="L410" s="5" t="str"/>
      <x:c r="M410" s="5" t="str">
        <x:v>未测</x:v>
      </x:c>
      <x:c r="N410" s="5" t="str"/>
      <x:c r="O410" s="5" t="str">
        <x:v>1. 来源：context/01-用户主播App-项目需求清单.md 第122至126行
2. 来源：context/系统概要 .md 第198至207行
3. 规则缺失复核：旧角色与用例文件已由当前系统概要和需求清单替代；现行来源均允许非好友发起至少第 1 条私信
4. 同步追溯：work/liveshow-user-app-all-260901-001/prototype-context-sync-result.json；RSL-0007
5. 全局证据追溯：work/liveshow-user-app-all-260901-001/global-evidence-scan-result.json；扫描模式 full</x:v>
      </x:c>
    </x:row>
    <x:row r="411" ht="67.5" customHeight="1">
      <x:c r="A411" s="5" t="n">
        <x:v>410</x:v>
      </x:c>
      <x:c r="B411" s="5" t="str">
        <x:v>LIVE-357</x:v>
      </x:c>
      <x:c r="C411" s="5" t="str">
        <x:v>用户App-直播</x:v>
      </x:c>
      <x:c r="D411" s="5" t="str">
        <x:v>主播连麦</x:v>
      </x:c>
      <x:c r="E411" s="5" t="str">
        <x:v>功能需求</x:v>
      </x:c>
      <x:c r="F411" s="5" t="str">
        <x:v>P1</x:v>
      </x:c>
      <x:c r="G411" s="5" t="str">
        <x:v>验证连麦面板同时提供收到邀请和主播搜索</x:v>
      </x:c>
      <x:c r="H411" s="5" t="str">
        <x:v>连麦面板同时提供收到邀请和主播搜索</x:v>
      </x:c>
      <x:c r="I411" s="5" t="str">
        <x:v>1. 普通房主播正在直播且当前未连麦</x:v>
      </x:c>
      <x:c r="J411" s="5" t="str">
        <x:v>1. 点击 PK 打开连麦主播面板
2. 查看面板内容</x:v>
      </x:c>
      <x:c r="K411" s="5" t="str">
        <x:v>面板展示收到的邀请区域和可搜索主播的操作区域</x:v>
      </x:c>
      <x:c r="L411" s="5" t="str"/>
      <x:c r="M411" s="5" t="str">
        <x:v>未测</x:v>
      </x:c>
      <x:c r="N411" s="5" t="str"/>
      <x:c r="O411" s="5" t="str">
        <x:v>1. 来源：prototype/assets/annotations.js 第 82 行连麦主播批注
2. 来源：prototype/assets/common.js 的连麦搜索和邀请操作
3. 静态分析：依据当前原型、批注和需求文件生成，未进行真实接口或设备动态验证
4. 全局证据追溯：work/liveshow-user-app-all-260901-001/global-evidence-scan-result.json</x:v>
      </x:c>
    </x:row>
    <x:row r="412" ht="67.5" customHeight="1">
      <x:c r="A412" s="5" t="n">
        <x:v>411</x:v>
      </x:c>
      <x:c r="B412" s="5" t="str">
        <x:v>LIVE-358</x:v>
      </x:c>
      <x:c r="C412" s="5" t="str">
        <x:v>用户App-直播</x:v>
      </x:c>
      <x:c r="D412" s="5" t="str">
        <x:v>主播连麦</x:v>
      </x:c>
      <x:c r="E412" s="5" t="str">
        <x:v>逻辑校验</x:v>
      </x:c>
      <x:c r="F412" s="5" t="str">
        <x:v>P1</x:v>
      </x:c>
      <x:c r="G412" s="5" t="str">
        <x:v>验证按主播 ID 搜索可邀请主播</x:v>
      </x:c>
      <x:c r="H412" s="5" t="str">
        <x:v>按主播 ID 搜索可邀请主播</x:v>
      </x:c>
      <x:c r="I412" s="5" t="str">
        <x:v>1. 双方均在普通房直播且均未连麦
2. 双方不存在账号拉黑关系</x:v>
      </x:c>
      <x:c r="J412" s="5" t="str">
        <x:v>1. 打开连麦主播面板
2. 输入目标主播 ID 搜索</x:v>
      </x:c>
      <x:c r="K412" s="5" t="str">
        <x:v>搜索结果展示目标主播及可发起连麦的操作</x:v>
      </x:c>
      <x:c r="L412" s="5" t="str"/>
      <x:c r="M412" s="5" t="str">
        <x:v>未测</x:v>
      </x:c>
      <x:c r="N412" s="5" t="str"/>
      <x:c r="O412" s="5" t="str">
        <x:v>1. 来源：context/01-用户主播App-项目需求清单.md
2. 来源：prototype/pages/user/live/live-room-host.html
3. 静态分析：依据当前原型、批注和需求文件生成，未进行真实接口或设备动态验证
4. 全局证据追溯：work/liveshow-user-app-all-260901-001/global-evidence-scan-result.json</x:v>
      </x:c>
    </x:row>
    <x:row r="413" ht="67.5" customHeight="1">
      <x:c r="A413" s="5" t="n">
        <x:v>412</x:v>
      </x:c>
      <x:c r="B413" s="5" t="str">
        <x:v>LIVE-359</x:v>
      </x:c>
      <x:c r="C413" s="5" t="str">
        <x:v>用户App-直播</x:v>
      </x:c>
      <x:c r="D413" s="5" t="str">
        <x:v>主播连麦</x:v>
      </x:c>
      <x:c r="E413" s="5" t="str">
        <x:v>业务流程</x:v>
      </x:c>
      <x:c r="F413" s="5" t="str">
        <x:v>P1</x:v>
      </x:c>
      <x:c r="G413" s="5" t="str">
        <x:v>验证从搜索结果发起连麦邀请</x:v>
      </x:c>
      <x:c r="H413" s="5" t="str">
        <x:v>从搜索结果发起连麦邀请</x:v>
      </x:c>
      <x:c r="I413" s="5" t="str">
        <x:v>1. 双方均在普通房直播且均未连麦
2. 双方不存在账号拉黑关系</x:v>
      </x:c>
      <x:c r="J413" s="5" t="str">
        <x:v>1. 搜索目标主播
2. 点击发起连麦</x:v>
      </x:c>
      <x:c r="K413" s="5" t="str">
        <x:v>发出邀请区域展示该目标主播的一条待处理邀请</x:v>
      </x:c>
      <x:c r="L413" s="5" t="str">
        <x:v>FLOW-LIVE-COHOST-01</x:v>
      </x:c>
      <x:c r="M413" s="5" t="str">
        <x:v>未测</x:v>
      </x:c>
      <x:c r="N413" s="5" t="str"/>
      <x:c r="O413" s="5" t="str">
        <x:v>1. 来源：context/01-用户主播App-项目需求清单.md
2. 来源：prototype/pages/user/live/live-room-host.html
3. 静态分析：依据当前原型、批注和需求文件生成，未进行真实接口或设备动态验证
4. 全局证据追溯：work/liveshow-user-app-all-260901-001/global-evidence-scan-result.json</x:v>
      </x:c>
    </x:row>
    <x:row r="414" ht="67.5" customHeight="1">
      <x:c r="A414" s="5" t="n">
        <x:v>413</x:v>
      </x:c>
      <x:c r="B414" s="5" t="str">
        <x:v>LIVE-360</x:v>
      </x:c>
      <x:c r="C414" s="5" t="str">
        <x:v>用户App-直播</x:v>
      </x:c>
      <x:c r="D414" s="5" t="str">
        <x:v>主播连麦</x:v>
      </x:c>
      <x:c r="E414" s="5" t="str">
        <x:v>业务流程</x:v>
      </x:c>
      <x:c r="F414" s="5" t="str">
        <x:v>P1</x:v>
      </x:c>
      <x:c r="G414" s="5" t="str">
        <x:v>验证取消已发出的连麦邀请</x:v>
      </x:c>
      <x:c r="H414" s="5" t="str">
        <x:v>取消已发出的连麦邀请</x:v>
      </x:c>
      <x:c r="I414" s="5" t="str">
        <x:v>1. 主播已向目标主播发出一条待处理连麦邀请</x:v>
      </x:c>
      <x:c r="J414" s="5" t="str">
        <x:v>1. 打开连麦主播面板
2. 点击该发出邀请的取消</x:v>
      </x:c>
      <x:c r="K414" s="5" t="str">
        <x:v>该发出邀请从面板中移除并失效</x:v>
      </x:c>
      <x:c r="L414" s="5" t="str">
        <x:v>FLOW-LIVE-COHOST-01</x:v>
      </x:c>
      <x:c r="M414" s="5" t="str">
        <x:v>未测</x:v>
      </x:c>
      <x:c r="N414" s="5" t="str"/>
      <x:c r="O414" s="5" t="str">
        <x:v>1. 来源：context/01-用户主播App-项目需求清单.md
2. 来源：prototype/pages/user/live/live-room-host.html
3. 静态分析：依据当前原型、批注和需求文件生成，未进行真实接口或设备动态验证
4. 全局证据追溯：work/liveshow-user-app-all-260901-001/global-evidence-scan-result.json</x:v>
      </x:c>
    </x:row>
    <x:row r="415" ht="67.5" customHeight="1">
      <x:c r="A415" s="5" t="n">
        <x:v>414</x:v>
      </x:c>
      <x:c r="B415" s="5" t="str">
        <x:v>SOCIAL-001</x:v>
      </x:c>
      <x:c r="C415" s="5" t="str">
        <x:v>用户App-消息与社交</x:v>
      </x:c>
      <x:c r="D415" s="5" t="str">
        <x:v>消息中心</x:v>
      </x:c>
      <x:c r="E415" s="5" t="str">
        <x:v>功能需求</x:v>
      </x:c>
      <x:c r="F415" s="5" t="str">
        <x:v>P2</x:v>
      </x:c>
      <x:c r="G415" s="5" t="str">
        <x:v>验证消息中心核心业务信息</x:v>
      </x:c>
      <x:c r="H415" s="5" t="str">
        <x:v>消息中心核心信息</x:v>
      </x:c>
      <x:c r="I415" s="5" t="str">
        <x:v>1. 用户已登录
2. 已进入“消息中心”页面</x:v>
      </x:c>
      <x:c r="J415" s="5" t="str">
        <x:v>1. 查看页面主要业务区域</x:v>
      </x:c>
      <x:c r="K415" s="5" t="str">
        <x:v>页面展示系统通知、互动通知、私信与粉丝团会话</x:v>
      </x:c>
      <x:c r="L415" s="5" t="str"/>
      <x:c r="M415" s="5" t="str">
        <x:v>未测</x:v>
      </x:c>
      <x:c r="N415" s="5" t="str"/>
      <x:c r="O415" s="5" t="str">
        <x:v>1. 来源：context/01-用户主播App-项目需求清单.md
2. 来源：prototype/pages/user/social/message-center.html
3. 静态分析：依据当前原型、批注和需求文件生成，未进行真实接口或设备动态验证
4. 全局证据追溯：work/liveshow-user-app-all-260901-001/global-evidence-scan-result.json</x:v>
      </x:c>
    </x:row>
    <x:row r="416" ht="79.5" customHeight="1">
      <x:c r="A416" s="5" t="n">
        <x:v>415</x:v>
      </x:c>
      <x:c r="B416" s="5" t="str">
        <x:v>SOCIAL-002</x:v>
      </x:c>
      <x:c r="C416" s="5" t="str">
        <x:v>用户App-消息与社交</x:v>
      </x:c>
      <x:c r="D416" s="5" t="str">
        <x:v>系统通知</x:v>
      </x:c>
      <x:c r="E416" s="5" t="str">
        <x:v>功能需求</x:v>
      </x:c>
      <x:c r="F416" s="5" t="str">
        <x:v>P2</x:v>
      </x:c>
      <x:c r="G416" s="5" t="str">
        <x:v>验证系统通知核心业务信息</x:v>
      </x:c>
      <x:c r="H416" s="5" t="str">
        <x:v>系统通知核心信息</x:v>
      </x:c>
      <x:c r="I416" s="5" t="str">
        <x:v>1. 用户已登录
2. 已进入“系统通知”页面</x:v>
      </x:c>
      <x:c r="J416" s="5" t="str">
        <x:v>1. 查看页面主要业务区域</x:v>
      </x:c>
      <x:c r="K416" s="5" t="str">
        <x:v>页面展示公会、主播身份和直播权限通知</x:v>
      </x:c>
      <x:c r="L416" s="5" t="str"/>
      <x:c r="M416" s="5" t="str">
        <x:v>未测</x:v>
      </x:c>
      <x:c r="N416" s="5" t="str"/>
      <x:c r="O416" s="5" t="str">
        <x:v>1. 来源：context/01-用户主播App-项目需求清单.md
2. 来源：prototype/pages/user/social/system-notifications.html
3. 静态分析：依据当前原型、批注和需求文件生成，未进行真实接口或设备动态验证
4. 全局证据追溯：work/liveshow-user-app-all-260901-001/global-evidence-scan-result.json</x:v>
      </x:c>
    </x:row>
    <x:row r="417" ht="79.5" customHeight="1">
      <x:c r="A417" s="5" t="n">
        <x:v>416</x:v>
      </x:c>
      <x:c r="B417" s="5" t="str">
        <x:v>SOCIAL-003</x:v>
      </x:c>
      <x:c r="C417" s="5" t="str">
        <x:v>用户App-消息与社交</x:v>
      </x:c>
      <x:c r="D417" s="5" t="str">
        <x:v>互动通知</x:v>
      </x:c>
      <x:c r="E417" s="5" t="str">
        <x:v>功能需求</x:v>
      </x:c>
      <x:c r="F417" s="5" t="str">
        <x:v>P2</x:v>
      </x:c>
      <x:c r="G417" s="5" t="str">
        <x:v>验证互动通知核心业务信息</x:v>
      </x:c>
      <x:c r="H417" s="5" t="str">
        <x:v>互动通知核心信息</x:v>
      </x:c>
      <x:c r="I417" s="5" t="str">
        <x:v>1. 用户已登录
2. 已进入“互动通知”页面</x:v>
      </x:c>
      <x:c r="J417" s="5" t="str">
        <x:v>1. 查看页面主要业务区域</x:v>
      </x:c>
      <x:c r="K417" s="5" t="str">
        <x:v>页面展示关注通知、好友申请与处理结果</x:v>
      </x:c>
      <x:c r="L417" s="5" t="str"/>
      <x:c r="M417" s="5" t="str">
        <x:v>未测</x:v>
      </x:c>
      <x:c r="N417" s="5" t="str"/>
      <x:c r="O417" s="5" t="str">
        <x:v>1. 来源：context/01-用户主播App-项目需求清单.md
2. 来源：prototype/pages/user/social/interaction-notifications.html
3. 静态分析：依据当前原型、批注和需求文件生成，未进行真实接口或设备动态验证
4. 全局证据追溯：work/liveshow-user-app-all-260901-001/global-evidence-scan-result.json</x:v>
      </x:c>
    </x:row>
    <x:row r="418" ht="67.5" customHeight="1">
      <x:c r="A418" s="5" t="n">
        <x:v>417</x:v>
      </x:c>
      <x:c r="B418" s="5" t="str">
        <x:v>SOCIAL-004</x:v>
      </x:c>
      <x:c r="C418" s="5" t="str">
        <x:v>用户App-消息与社交</x:v>
      </x:c>
      <x:c r="D418" s="5" t="str">
        <x:v>一对一私信</x:v>
      </x:c>
      <x:c r="E418" s="5" t="str">
        <x:v>功能需求</x:v>
      </x:c>
      <x:c r="F418" s="5" t="str">
        <x:v>P2</x:v>
      </x:c>
      <x:c r="G418" s="5" t="str">
        <x:v>验证一对一私信核心业务信息</x:v>
      </x:c>
      <x:c r="H418" s="5" t="str">
        <x:v>一对一私信核心信息</x:v>
      </x:c>
      <x:c r="I418" s="5" t="str">
        <x:v>1. 用户已登录
2. 已进入“一对一私信”页面</x:v>
      </x:c>
      <x:c r="J418" s="5" t="str">
        <x:v>1. 查看页面主要业务区域</x:v>
      </x:c>
      <x:c r="K418" s="5" t="str">
        <x:v>页面展示文字、图片和语音消息</x:v>
      </x:c>
      <x:c r="L418" s="5" t="str"/>
      <x:c r="M418" s="5" t="str">
        <x:v>未测</x:v>
      </x:c>
      <x:c r="N418" s="5" t="str"/>
      <x:c r="O418" s="5" t="str">
        <x:v>1. 来源：context/01-用户主播App-项目需求清单.md
2. 来源：prototype/pages/user/social/direct-message.html
3. 静态分析：依据当前原型、批注和需求文件生成，未进行真实接口或设备动态验证
4. 全局证据追溯：work/liveshow-user-app-all-260901-001/global-evidence-scan-result.json</x:v>
      </x:c>
    </x:row>
    <x:row r="419" ht="67.5" customHeight="1">
      <x:c r="A419" s="5" t="n">
        <x:v>418</x:v>
      </x:c>
      <x:c r="B419" s="5" t="str">
        <x:v>SOCIAL-005</x:v>
      </x:c>
      <x:c r="C419" s="5" t="str">
        <x:v>用户App-消息与社交</x:v>
      </x:c>
      <x:c r="D419" s="5" t="str">
        <x:v>粉丝团群聊</x:v>
      </x:c>
      <x:c r="E419" s="5" t="str">
        <x:v>功能需求</x:v>
      </x:c>
      <x:c r="F419" s="5" t="str">
        <x:v>P2</x:v>
      </x:c>
      <x:c r="G419" s="5" t="str">
        <x:v>验证粉丝团群聊核心业务信息</x:v>
      </x:c>
      <x:c r="H419" s="5" t="str">
        <x:v>粉丝团群聊核心信息</x:v>
      </x:c>
      <x:c r="I419" s="5" t="str">
        <x:v>1. 用户已登录
2. 已进入“粉丝团群聊”页面</x:v>
      </x:c>
      <x:c r="J419" s="5" t="str">
        <x:v>1. 查看页面主要业务区域</x:v>
      </x:c>
      <x:c r="K419" s="5" t="str">
        <x:v>页面展示群消息、公告和直播房间卡片</x:v>
      </x:c>
      <x:c r="L419" s="5" t="str"/>
      <x:c r="M419" s="5" t="str">
        <x:v>未测</x:v>
      </x:c>
      <x:c r="N419" s="5" t="str"/>
      <x:c r="O419" s="5" t="str">
        <x:v>1. 来源：context/01-用户主播App-项目需求清单.md
2. 来源：prototype/pages/user/social/fan-group-chat.html
3. 静态分析：依据当前原型、批注和需求文件生成，未进行真实接口或设备动态验证
4. 全局证据追溯：work/liveshow-user-app-all-260901-001/global-evidence-scan-result.json</x:v>
      </x:c>
    </x:row>
    <x:row r="420" ht="79.5" customHeight="1">
      <x:c r="A420" s="5" t="n">
        <x:v>419</x:v>
      </x:c>
      <x:c r="B420" s="5" t="str">
        <x:v>SOCIAL-006</x:v>
      </x:c>
      <x:c r="C420" s="5" t="str">
        <x:v>用户App-消息与社交</x:v>
      </x:c>
      <x:c r="D420" s="5" t="str">
        <x:v>群管理（成员）</x:v>
      </x:c>
      <x:c r="E420" s="5" t="str">
        <x:v>功能需求</x:v>
      </x:c>
      <x:c r="F420" s="5" t="str">
        <x:v>P2</x:v>
      </x:c>
      <x:c r="G420" s="5" t="str">
        <x:v>验证群管理（成员）核心业务信息</x:v>
      </x:c>
      <x:c r="H420" s="5" t="str">
        <x:v>群管理（成员）核心信息</x:v>
      </x:c>
      <x:c r="I420" s="5" t="str">
        <x:v>1. 用户已登录
2. 已进入“群管理（成员）”页面</x:v>
      </x:c>
      <x:c r="J420" s="5" t="str">
        <x:v>1. 查看页面主要业务区域</x:v>
      </x:c>
      <x:c r="K420" s="5" t="str">
        <x:v>页面展示群公告、免打扰、举报与退出</x:v>
      </x:c>
      <x:c r="L420" s="5" t="str"/>
      <x:c r="M420" s="5" t="str">
        <x:v>未测</x:v>
      </x:c>
      <x:c r="N420" s="5" t="str"/>
      <x:c r="O420" s="5" t="str">
        <x:v>1. 来源：context/01-用户主播App-项目需求清单.md
2. 来源：prototype/pages/user/social/group-manage-member.html
3. 静态分析：依据当前原型、批注和需求文件生成，未进行真实接口或设备动态验证
4. 全局证据追溯：work/liveshow-user-app-all-260901-001/global-evidence-scan-result.json</x:v>
      </x:c>
    </x:row>
    <x:row r="421" ht="79.5" customHeight="1">
      <x:c r="A421" s="5" t="n">
        <x:v>420</x:v>
      </x:c>
      <x:c r="B421" s="5" t="str">
        <x:v>SOCIAL-007</x:v>
      </x:c>
      <x:c r="C421" s="5" t="str">
        <x:v>用户App-消息与社交</x:v>
      </x:c>
      <x:c r="D421" s="5" t="str">
        <x:v>群管理（群主）</x:v>
      </x:c>
      <x:c r="E421" s="5" t="str">
        <x:v>功能需求</x:v>
      </x:c>
      <x:c r="F421" s="5" t="str">
        <x:v>P2</x:v>
      </x:c>
      <x:c r="G421" s="5" t="str">
        <x:v>验证群管理（群主）核心业务信息</x:v>
      </x:c>
      <x:c r="H421" s="5" t="str">
        <x:v>群管理（群主）核心信息</x:v>
      </x:c>
      <x:c r="I421" s="5" t="str">
        <x:v>1. 用户已登录
2. 已进入“群管理（群主）”页面</x:v>
      </x:c>
      <x:c r="J421" s="5" t="str">
        <x:v>1. 查看页面主要业务区域</x:v>
      </x:c>
      <x:c r="K421" s="5" t="str">
        <x:v>页面展示群公告编辑、禁言和成员管理</x:v>
      </x:c>
      <x:c r="L421" s="5" t="str"/>
      <x:c r="M421" s="5" t="str">
        <x:v>未测</x:v>
      </x:c>
      <x:c r="N421" s="5" t="str"/>
      <x:c r="O421" s="5" t="str">
        <x:v>1. 来源：context/01-用户主播App-项目需求清单.md
2. 来源：prototype/pages/user/social/group-manage-owner.html
3. 静态分析：依据当前原型、批注和需求文件生成，未进行真实接口或设备动态验证
4. 全局证据追溯：work/liveshow-user-app-all-260901-001/global-evidence-scan-result.json</x:v>
      </x:c>
    </x:row>
    <x:row r="422" ht="67.5" customHeight="1">
      <x:c r="A422" s="5" t="n">
        <x:v>421</x:v>
      </x:c>
      <x:c r="B422" s="5" t="str">
        <x:v>SOCIAL-008</x:v>
      </x:c>
      <x:c r="C422" s="5" t="str">
        <x:v>用户App-消息与社交</x:v>
      </x:c>
      <x:c r="D422" s="5" t="str">
        <x:v>聊天设置</x:v>
      </x:c>
      <x:c r="E422" s="5" t="str">
        <x:v>功能需求</x:v>
      </x:c>
      <x:c r="F422" s="5" t="str">
        <x:v>P2</x:v>
      </x:c>
      <x:c r="G422" s="5" t="str">
        <x:v>验证聊天设置核心业务信息</x:v>
      </x:c>
      <x:c r="H422" s="5" t="str">
        <x:v>聊天设置核心信息</x:v>
      </x:c>
      <x:c r="I422" s="5" t="str">
        <x:v>1. 用户已登录
2. 已进入“聊天设置”页面</x:v>
      </x:c>
      <x:c r="J422" s="5" t="str">
        <x:v>1. 查看页面主要业务区域</x:v>
      </x:c>
      <x:c r="K422" s="5" t="str">
        <x:v>页面展示消息免打扰、举报和账号拉黑</x:v>
      </x:c>
      <x:c r="L422" s="5" t="str"/>
      <x:c r="M422" s="5" t="str">
        <x:v>未测</x:v>
      </x:c>
      <x:c r="N422" s="5" t="str"/>
      <x:c r="O422" s="5" t="str">
        <x:v>1. 来源：context/01-用户主播App-项目需求清单.md
2. 来源：prototype/pages/user/social/chat-settings.html
3. 静态分析：依据当前原型、批注和需求文件生成，未进行真实接口或设备动态验证
4. 全局证据追溯：work/liveshow-user-app-all-260901-001/global-evidence-scan-result.json</x:v>
      </x:c>
    </x:row>
    <x:row r="423" ht="67.5" customHeight="1">
      <x:c r="A423" s="5" t="n">
        <x:v>422</x:v>
      </x:c>
      <x:c r="B423" s="5" t="str">
        <x:v>SOCIAL-009</x:v>
      </x:c>
      <x:c r="C423" s="5" t="str">
        <x:v>用户App-消息与社交</x:v>
      </x:c>
      <x:c r="D423" s="5" t="str">
        <x:v>好友列表</x:v>
      </x:c>
      <x:c r="E423" s="5" t="str">
        <x:v>功能需求</x:v>
      </x:c>
      <x:c r="F423" s="5" t="str">
        <x:v>P2</x:v>
      </x:c>
      <x:c r="G423" s="5" t="str">
        <x:v>验证好友列表核心业务信息</x:v>
      </x:c>
      <x:c r="H423" s="5" t="str">
        <x:v>好友列表核心信息</x:v>
      </x:c>
      <x:c r="I423" s="5" t="str">
        <x:v>1. 用户已登录
2. 已进入“好友列表”页面</x:v>
      </x:c>
      <x:c r="J423" s="5" t="str">
        <x:v>1. 查看页面主要业务区域</x:v>
      </x:c>
      <x:c r="K423" s="5" t="str">
        <x:v>页面展示好友搜索与主页入口</x:v>
      </x:c>
      <x:c r="L423" s="5" t="str"/>
      <x:c r="M423" s="5" t="str">
        <x:v>未测</x:v>
      </x:c>
      <x:c r="N423" s="5" t="str"/>
      <x:c r="O423" s="5" t="str">
        <x:v>1. 来源：context/01-用户主播App-项目需求清单.md
2. 来源：prototype/pages/user/social/friend-list.html
3. 静态分析：依据当前原型、批注和需求文件生成，未进行真实接口或设备动态验证
4. 全局证据追溯：work/liveshow-user-app-all-260901-001/global-evidence-scan-result.json</x:v>
      </x:c>
    </x:row>
    <x:row r="424" ht="67.5" customHeight="1">
      <x:c r="A424" s="5" t="n">
        <x:v>423</x:v>
      </x:c>
      <x:c r="B424" s="5" t="str">
        <x:v>SOCIAL-010</x:v>
      </x:c>
      <x:c r="C424" s="5" t="str">
        <x:v>用户App-消息与社交</x:v>
      </x:c>
      <x:c r="D424" s="5" t="str">
        <x:v>用户主页</x:v>
      </x:c>
      <x:c r="E424" s="5" t="str">
        <x:v>功能需求</x:v>
      </x:c>
      <x:c r="F424" s="5" t="str">
        <x:v>P2</x:v>
      </x:c>
      <x:c r="G424" s="5" t="str">
        <x:v>验证用户主页核心业务信息</x:v>
      </x:c>
      <x:c r="H424" s="5" t="str">
        <x:v>用户主页核心信息</x:v>
      </x:c>
      <x:c r="I424" s="5" t="str">
        <x:v>1. 用户已登录
2. 已进入“用户主页”页面</x:v>
      </x:c>
      <x:c r="J424" s="5" t="str">
        <x:v>1. 查看页面主要业务区域</x:v>
      </x:c>
      <x:c r="K424" s="5" t="str">
        <x:v>页面展示资料、关系状态、关注、好友与私信操作</x:v>
      </x:c>
      <x:c r="L424" s="5" t="str"/>
      <x:c r="M424" s="5" t="str">
        <x:v>未测</x:v>
      </x:c>
      <x:c r="N424" s="5" t="str"/>
      <x:c r="O424" s="5" t="str">
        <x:v>1. 来源：context/01-用户主播App-项目需求清单.md
2. 来源：prototype/pages/user/social/user-home.html
3. 静态分析：依据当前原型、批注和需求文件生成，未进行真实接口或设备动态验证
4. 全局证据追溯：work/liveshow-user-app-all-260901-001/global-evidence-scan-result.json</x:v>
      </x:c>
    </x:row>
    <x:row r="425" ht="67.5" customHeight="1">
      <x:c r="A425" s="5" t="n">
        <x:v>424</x:v>
      </x:c>
      <x:c r="B425" s="5" t="str">
        <x:v>SOCIAL-011</x:v>
      </x:c>
      <x:c r="C425" s="5" t="str">
        <x:v>用户App-消息与社交</x:v>
      </x:c>
      <x:c r="D425" s="5" t="str">
        <x:v>主播主页</x:v>
      </x:c>
      <x:c r="E425" s="5" t="str">
        <x:v>功能需求</x:v>
      </x:c>
      <x:c r="F425" s="5" t="str">
        <x:v>P2</x:v>
      </x:c>
      <x:c r="G425" s="5" t="str">
        <x:v>验证主播主页核心业务信息</x:v>
      </x:c>
      <x:c r="H425" s="5" t="str">
        <x:v>主播主页核心信息</x:v>
      </x:c>
      <x:c r="I425" s="5" t="str">
        <x:v>1. 用户已登录
2. 已进入“主播主页”页面</x:v>
      </x:c>
      <x:c r="J425" s="5" t="str">
        <x:v>1. 查看页面主要业务区域</x:v>
      </x:c>
      <x:c r="K425" s="5" t="str">
        <x:v>页面展示主播资料、粉丝团、礼物展馆、贡献榜与直播入口</x:v>
      </x:c>
      <x:c r="L425" s="5" t="str"/>
      <x:c r="M425" s="5" t="str">
        <x:v>未测</x:v>
      </x:c>
      <x:c r="N425" s="5" t="str"/>
      <x:c r="O425" s="5" t="str">
        <x:v>1. 来源：context/01-用户主播App-项目需求清单.md
2. 来源：prototype/pages/user/social/host-home.html
3. 静态分析：依据当前原型、批注和需求文件生成，未进行真实接口或设备动态验证
4. 全局证据追溯：work/liveshow-user-app-all-260901-001/global-evidence-scan-result.json</x:v>
      </x:c>
    </x:row>
    <x:row r="426" ht="79.5" customHeight="1">
      <x:c r="A426" s="5" t="n">
        <x:v>425</x:v>
      </x:c>
      <x:c r="B426" s="5" t="str">
        <x:v>SOCIAL-012</x:v>
      </x:c>
      <x:c r="C426" s="5" t="str">
        <x:v>用户App-消息与社交</x:v>
      </x:c>
      <x:c r="D426" s="5" t="str">
        <x:v>主播礼物展馆</x:v>
      </x:c>
      <x:c r="E426" s="5" t="str">
        <x:v>功能需求</x:v>
      </x:c>
      <x:c r="F426" s="5" t="str">
        <x:v>P2</x:v>
      </x:c>
      <x:c r="G426" s="5" t="str">
        <x:v>验证主播礼物展馆核心业务信息</x:v>
      </x:c>
      <x:c r="H426" s="5" t="str">
        <x:v>主播礼物展馆核心信息</x:v>
      </x:c>
      <x:c r="I426" s="5" t="str">
        <x:v>1. 用户已登录
2. 已进入“主播礼物展馆”页面</x:v>
      </x:c>
      <x:c r="J426" s="5" t="str">
        <x:v>1. 查看页面主要业务区域</x:v>
      </x:c>
      <x:c r="K426" s="5" t="str">
        <x:v>页面展示已收到和未收到礼物状态</x:v>
      </x:c>
      <x:c r="L426" s="5" t="str"/>
      <x:c r="M426" s="5" t="str">
        <x:v>未测</x:v>
      </x:c>
      <x:c r="N426" s="5" t="str"/>
      <x:c r="O426" s="5" t="str">
        <x:v>1. 来源：context/01-用户主播App-项目需求清单.md
2. 来源：prototype/pages/user/social/host-gift-gallery.html
3. 静态分析：依据当前原型、批注和需求文件生成，未进行真实接口或设备动态验证
4. 全局证据追溯：work/liveshow-user-app-all-260901-001/global-evidence-scan-result.json</x:v>
      </x:c>
    </x:row>
    <x:row r="427" ht="67.5" customHeight="1">
      <x:c r="A427" s="5" t="n">
        <x:v>426</x:v>
      </x:c>
      <x:c r="B427" s="5" t="str">
        <x:v>SOCIAL-013</x:v>
      </x:c>
      <x:c r="C427" s="5" t="str">
        <x:v>用户App-消息与社交</x:v>
      </x:c>
      <x:c r="D427" s="5" t="str">
        <x:v>消息中心</x:v>
      </x:c>
      <x:c r="E427" s="5" t="str">
        <x:v>功能需求</x:v>
      </x:c>
      <x:c r="F427" s="5" t="str">
        <x:v>P2</x:v>
      </x:c>
      <x:c r="G427" s="5" t="str">
        <x:v>验证通知与会话分区</x:v>
      </x:c>
      <x:c r="H427" s="5" t="str">
        <x:v>通知与会话分区</x:v>
      </x:c>
      <x:c r="I427" s="5" t="str">
        <x:v>1. 用户存在系统通知、互动通知、私信和粉丝团消息</x:v>
      </x:c>
      <x:c r="J427" s="5" t="str">
        <x:v>1. 进入消息中心</x:v>
      </x:c>
      <x:c r="K427" s="5" t="str">
        <x:v>系统通知、互动通知、私信与粉丝团消息分别展示在对应入口或会话区域</x:v>
      </x:c>
      <x:c r="L427" s="5" t="str"/>
      <x:c r="M427" s="5" t="str">
        <x:v>未测</x:v>
      </x:c>
      <x:c r="N427" s="5" t="str"/>
      <x:c r="O427" s="5" t="str">
        <x:v>1. 来源：context/01-用户主播App-项目需求清单.md
2. 来源：prototype/pages/user/social/message-center.html
3. 静态分析：依据当前原型、批注和需求文件生成，未进行真实接口或设备动态验证
4. 全局证据追溯：work/liveshow-user-app-all-260901-001/global-evidence-scan-result.json</x:v>
      </x:c>
    </x:row>
    <x:row r="428" ht="67.5" customHeight="1">
      <x:c r="A428" s="5" t="n">
        <x:v>427</x:v>
      </x:c>
      <x:c r="B428" s="5" t="str">
        <x:v>SOCIAL-014</x:v>
      </x:c>
      <x:c r="C428" s="5" t="str">
        <x:v>用户App-消息与社交</x:v>
      </x:c>
      <x:c r="D428" s="5" t="str">
        <x:v>消息中心</x:v>
      </x:c>
      <x:c r="E428" s="5" t="str">
        <x:v>业务流程</x:v>
      </x:c>
      <x:c r="F428" s="5" t="str">
        <x:v>P2</x:v>
      </x:c>
      <x:c r="G428" s="5" t="str">
        <x:v>验证私信会话未读数更新</x:v>
      </x:c>
      <x:c r="H428" s="5" t="str">
        <x:v>私信会话未读数更新</x:v>
      </x:c>
      <x:c r="I428" s="5" t="str">
        <x:v>1. 目标私信会话存在未读消息</x:v>
      </x:c>
      <x:c r="J428" s="5" t="str">
        <x:v>1. 进入消息中心
2. 打开目标私信会话
3. 返回消息中心</x:v>
      </x:c>
      <x:c r="K428" s="5" t="str">
        <x:v>目标私信会话的未读数被清除</x:v>
      </x:c>
      <x:c r="L428" s="5" t="str"/>
      <x:c r="M428" s="5" t="str">
        <x:v>未测</x:v>
      </x:c>
      <x:c r="N428" s="5" t="str"/>
      <x:c r="O428" s="5" t="str">
        <x:v>1. 来源：context/01-用户主播App-项目需求清单.md
2. 来源：prototype/pages/user/social/message-center.html
3. 静态分析：依据当前原型、批注和需求文件生成，未进行真实接口或设备动态验证
4. 全局证据追溯：work/liveshow-user-app-all-260901-001/global-evidence-scan-result.json</x:v>
      </x:c>
    </x:row>
    <x:row r="429" ht="79.5" customHeight="1">
      <x:c r="A429" s="5" t="n">
        <x:v>428</x:v>
      </x:c>
      <x:c r="B429" s="5" t="str">
        <x:v>SOCIAL-015</x:v>
      </x:c>
      <x:c r="C429" s="5" t="str">
        <x:v>用户App-消息与社交</x:v>
      </x:c>
      <x:c r="D429" s="5" t="str">
        <x:v>系统通知</x:v>
      </x:c>
      <x:c r="E429" s="5" t="str">
        <x:v>逻辑校验</x:v>
      </x:c>
      <x:c r="F429" s="5" t="str">
        <x:v>P2</x:v>
      </x:c>
      <x:c r="G429" s="5" t="str">
        <x:v>验证公会申请结果不进入私信</x:v>
      </x:c>
      <x:c r="H429" s="5" t="str">
        <x:v>公会申请结果不进入私信</x:v>
      </x:c>
      <x:c r="I429" s="5" t="str">
        <x:v>1. 用户存在公会申请结果通知</x:v>
      </x:c>
      <x:c r="J429" s="5" t="str">
        <x:v>1. 进入消息中心
2. 打开系统通知</x:v>
      </x:c>
      <x:c r="K429" s="5" t="str">
        <x:v>公会申请结果展示在系统通知列表</x:v>
      </x:c>
      <x:c r="L429" s="5" t="str"/>
      <x:c r="M429" s="5" t="str">
        <x:v>未测</x:v>
      </x:c>
      <x:c r="N429" s="5" t="str"/>
      <x:c r="O429" s="5" t="str">
        <x:v>1. 来源：context/01-用户主播App-项目需求清单.md
2. 来源：prototype/pages/user/social/system-notifications.html
3. 静态分析：依据当前原型、批注和需求文件生成，未进行真实接口或设备动态验证
4. 全局证据追溯：work/liveshow-user-app-all-260901-001/global-evidence-scan-result.json</x:v>
      </x:c>
    </x:row>
    <x:row r="430" ht="79.5" customHeight="1">
      <x:c r="A430" s="5" t="n">
        <x:v>429</x:v>
      </x:c>
      <x:c r="B430" s="5" t="str">
        <x:v>SOCIAL-016</x:v>
      </x:c>
      <x:c r="C430" s="5" t="str">
        <x:v>用户App-消息与社交</x:v>
      </x:c>
      <x:c r="D430" s="5" t="str">
        <x:v>系统通知</x:v>
      </x:c>
      <x:c r="E430" s="5" t="str">
        <x:v>业务流程</x:v>
      </x:c>
      <x:c r="F430" s="5" t="str">
        <x:v>P1</x:v>
      </x:c>
      <x:c r="G430" s="5" t="str">
        <x:v>验证直播权限变更通知</x:v>
      </x:c>
      <x:c r="H430" s="5" t="str">
        <x:v>直播权限变更通知</x:v>
      </x:c>
      <x:c r="I430" s="5" t="str">
        <x:v>1. 主播的直播权限已被开启或关闭</x:v>
      </x:c>
      <x:c r="J430" s="5" t="str">
        <x:v>1. 主播进入系统通知
2. 查看最新通知</x:v>
      </x:c>
      <x:c r="K430" s="5" t="str">
        <x:v>列表展示与本次直播权限变更对应的通知</x:v>
      </x:c>
      <x:c r="L430" s="5" t="str">
        <x:v>FLOW-UAPP-HOST-PERMISSION-01</x:v>
      </x:c>
      <x:c r="M430" s="5" t="str">
        <x:v>未测</x:v>
      </x:c>
      <x:c r="N430" s="5" t="str"/>
      <x:c r="O430" s="5" t="str">
        <x:v>1. 来源：context/01-用户主播App-项目需求清单.md
2. 来源：prototype/pages/user/social/system-notifications.html
3. 静态分析：依据当前原型、批注和需求文件生成，未进行真实接口或设备动态验证
4. 全局证据追溯：work/liveshow-user-app-all-260901-001/global-evidence-scan-result.json</x:v>
      </x:c>
    </x:row>
    <x:row r="431" ht="79.5" customHeight="1">
      <x:c r="A431" s="5" t="n">
        <x:v>430</x:v>
      </x:c>
      <x:c r="B431" s="5" t="str">
        <x:v>SOCIAL-017</x:v>
      </x:c>
      <x:c r="C431" s="5" t="str">
        <x:v>用户App-消息与社交</x:v>
      </x:c>
      <x:c r="D431" s="5" t="str">
        <x:v>互动通知</x:v>
      </x:c>
      <x:c r="E431" s="5" t="str">
        <x:v>业务流程</x:v>
      </x:c>
      <x:c r="F431" s="5" t="str">
        <x:v>P1</x:v>
      </x:c>
      <x:c r="G431" s="5" t="str">
        <x:v>验证同意好友申请</x:v>
      </x:c>
      <x:c r="H431" s="5" t="str">
        <x:v>同意好友申请</x:v>
      </x:c>
      <x:c r="I431" s="5" t="str">
        <x:v>1. 用户收到一条待处理好友申请</x:v>
      </x:c>
      <x:c r="J431" s="5" t="str">
        <x:v>1. 进入互动通知
2. 点击该申请的同意</x:v>
      </x:c>
      <x:c r="K431" s="5" t="str">
        <x:v>该通知更新为已同意结果</x:v>
      </x:c>
      <x:c r="L431" s="5" t="str">
        <x:v>FLOW-UAPP-FRIEND-01</x:v>
      </x:c>
      <x:c r="M431" s="5" t="str">
        <x:v>未测</x:v>
      </x:c>
      <x:c r="N431" s="5" t="str"/>
      <x:c r="O431" s="5" t="str">
        <x:v>1. 来源：context/01-用户主播App-项目需求清单.md
2. 来源：prototype/pages/user/social/interaction-notifications.html
3. 静态分析：依据当前原型、批注和需求文件生成，未进行真实接口或设备动态验证
4. 全局证据追溯：work/liveshow-user-app-all-260901-001/global-evidence-scan-result.json</x:v>
      </x:c>
    </x:row>
    <x:row r="432" ht="79.5" customHeight="1">
      <x:c r="A432" s="5" t="n">
        <x:v>431</x:v>
      </x:c>
      <x:c r="B432" s="5" t="str">
        <x:v>SOCIAL-018</x:v>
      </x:c>
      <x:c r="C432" s="5" t="str">
        <x:v>用户App-消息与社交</x:v>
      </x:c>
      <x:c r="D432" s="5" t="str">
        <x:v>互动通知</x:v>
      </x:c>
      <x:c r="E432" s="5" t="str">
        <x:v>业务流程</x:v>
      </x:c>
      <x:c r="F432" s="5" t="str">
        <x:v>P2</x:v>
      </x:c>
      <x:c r="G432" s="5" t="str">
        <x:v>验证拒绝好友申请</x:v>
      </x:c>
      <x:c r="H432" s="5" t="str">
        <x:v>拒绝好友申请</x:v>
      </x:c>
      <x:c r="I432" s="5" t="str">
        <x:v>1. 用户收到一条待处理好友申请</x:v>
      </x:c>
      <x:c r="J432" s="5" t="str">
        <x:v>1. 进入互动通知
2. 点击该申请的拒绝</x:v>
      </x:c>
      <x:c r="K432" s="5" t="str">
        <x:v>该通知更新为已拒绝结果</x:v>
      </x:c>
      <x:c r="L432" s="5" t="str">
        <x:v>FLOW-UAPP-FRIEND-01</x:v>
      </x:c>
      <x:c r="M432" s="5" t="str">
        <x:v>未测</x:v>
      </x:c>
      <x:c r="N432" s="5" t="str"/>
      <x:c r="O432" s="5" t="str">
        <x:v>1. 来源：context/01-用户主播App-项目需求清单.md
2. 来源：prototype/pages/user/social/interaction-notifications.html
3. 静态分析：依据当前原型、批注和需求文件生成，未进行真实接口或设备动态验证
4. 全局证据追溯：work/liveshow-user-app-all-260901-001/global-evidence-scan-result.json</x:v>
      </x:c>
    </x:row>
    <x:row r="433" ht="79.5" customHeight="1">
      <x:c r="A433" s="5" t="n">
        <x:v>432</x:v>
      </x:c>
      <x:c r="B433" s="5" t="str">
        <x:v>SOCIAL-019</x:v>
      </x:c>
      <x:c r="C433" s="5" t="str">
        <x:v>用户App-消息与社交</x:v>
      </x:c>
      <x:c r="D433" s="5" t="str">
        <x:v>互动通知</x:v>
      </x:c>
      <x:c r="E433" s="5" t="str">
        <x:v>逻辑校验</x:v>
      </x:c>
      <x:c r="F433" s="5" t="str">
        <x:v>P2</x:v>
      </x:c>
      <x:c r="G433" s="5" t="str">
        <x:v>验证处理后的申请不可重复处理</x:v>
      </x:c>
      <x:c r="H433" s="5" t="str">
        <x:v>处理后的申请不可重复处理</x:v>
      </x:c>
      <x:c r="I433" s="5" t="str">
        <x:v>1. 好友申请已被同意或拒绝</x:v>
      </x:c>
      <x:c r="J433" s="5" t="str">
        <x:v>1. 再次查看该条互动通知</x:v>
      </x:c>
      <x:c r="K433" s="5" t="str">
        <x:v>该通知不再展示同意或拒绝操作</x:v>
      </x:c>
      <x:c r="L433" s="5" t="str"/>
      <x:c r="M433" s="5" t="str">
        <x:v>未测</x:v>
      </x:c>
      <x:c r="N433" s="5" t="str"/>
      <x:c r="O433" s="5" t="str">
        <x:v>1. 来源：context/01-用户主播App-项目需求清单.md
2. 来源：prototype/pages/user/social/interaction-notifications.html
3. 静态分析：依据当前原型、批注和需求文件生成，未进行真实接口或设备动态验证
4. 全局证据追溯：work/liveshow-user-app-all-260901-001/global-evidence-scan-result.json</x:v>
      </x:c>
    </x:row>
    <x:row r="434" ht="67.5" customHeight="1">
      <x:c r="A434" s="5" t="n">
        <x:v>433</x:v>
      </x:c>
      <x:c r="B434" s="5" t="str">
        <x:v>SOCIAL-020</x:v>
      </x:c>
      <x:c r="C434" s="5" t="str">
        <x:v>用户App-消息与社交</x:v>
      </x:c>
      <x:c r="D434" s="5" t="str">
        <x:v>一对一私信</x:v>
      </x:c>
      <x:c r="E434" s="5" t="str">
        <x:v>业务流程</x:v>
      </x:c>
      <x:c r="F434" s="5" t="str">
        <x:v>P2</x:v>
      </x:c>
      <x:c r="G434" s="5" t="str">
        <x:v>验证发送文字消息</x:v>
      </x:c>
      <x:c r="H434" s="5" t="str">
        <x:v>发送文字消息</x:v>
      </x:c>
      <x:c r="I434" s="5" t="str">
        <x:v>1. 双方具备当前私信权限且不存在账号拉黑关系</x:v>
      </x:c>
      <x:c r="J434" s="5" t="str">
        <x:v>1. 进入一对一私信会话
2. 发送一条文字消息</x:v>
      </x:c>
      <x:c r="K434" s="5" t="str">
        <x:v>文字消息插入当前消息流</x:v>
      </x:c>
      <x:c r="L434" s="5" t="str"/>
      <x:c r="M434" s="5" t="str">
        <x:v>未测</x:v>
      </x:c>
      <x:c r="N434" s="5" t="str"/>
      <x:c r="O434" s="5" t="str">
        <x:v>1. 来源：context/01-用户主播App-项目需求清单.md
2. 来源：prototype/pages/user/social/direct-message.html
3. 静态分析：依据当前原型、批注和需求文件生成，未进行真实接口或设备动态验证
4. 全局证据追溯：work/liveshow-user-app-all-260901-001/global-evidence-scan-result.json</x:v>
      </x:c>
    </x:row>
    <x:row r="435" ht="67.5" customHeight="1">
      <x:c r="A435" s="5" t="n">
        <x:v>434</x:v>
      </x:c>
      <x:c r="B435" s="5" t="str">
        <x:v>SOCIAL-021</x:v>
      </x:c>
      <x:c r="C435" s="5" t="str">
        <x:v>用户App-消息与社交</x:v>
      </x:c>
      <x:c r="D435" s="5" t="str">
        <x:v>一对一私信</x:v>
      </x:c>
      <x:c r="E435" s="5" t="str">
        <x:v>业务流程</x:v>
      </x:c>
      <x:c r="F435" s="5" t="str">
        <x:v>P2</x:v>
      </x:c>
      <x:c r="G435" s="5" t="str">
        <x:v>验证发送图片消息</x:v>
      </x:c>
      <x:c r="H435" s="5" t="str">
        <x:v>发送图片消息</x:v>
      </x:c>
      <x:c r="I435" s="5" t="str">
        <x:v>1. 双方具备当前私信权限且不存在账号拉黑关系</x:v>
      </x:c>
      <x:c r="J435" s="5" t="str">
        <x:v>1. 进入一对一私信会话
2. 发送一条图片消息</x:v>
      </x:c>
      <x:c r="K435" s="5" t="str">
        <x:v>图片消息插入当前消息流</x:v>
      </x:c>
      <x:c r="L435" s="5" t="str"/>
      <x:c r="M435" s="5" t="str">
        <x:v>未测</x:v>
      </x:c>
      <x:c r="N435" s="5" t="str"/>
      <x:c r="O435" s="5" t="str">
        <x:v>1. 来源：context/01-用户主播App-项目需求清单.md
2. 来源：prototype/pages/user/social/direct-message.html
3. 静态分析：依据当前原型、批注和需求文件生成，未进行真实接口或设备动态验证
4. 全局证据追溯：work/liveshow-user-app-all-260901-001/global-evidence-scan-result.json</x:v>
      </x:c>
    </x:row>
    <x:row r="436" ht="67.5" customHeight="1">
      <x:c r="A436" s="5" t="n">
        <x:v>435</x:v>
      </x:c>
      <x:c r="B436" s="5" t="str">
        <x:v>SOCIAL-022</x:v>
      </x:c>
      <x:c r="C436" s="5" t="str">
        <x:v>用户App-消息与社交</x:v>
      </x:c>
      <x:c r="D436" s="5" t="str">
        <x:v>一对一私信</x:v>
      </x:c>
      <x:c r="E436" s="5" t="str">
        <x:v>业务流程</x:v>
      </x:c>
      <x:c r="F436" s="5" t="str">
        <x:v>P2</x:v>
      </x:c>
      <x:c r="G436" s="5" t="str">
        <x:v>验证发送语音消息</x:v>
      </x:c>
      <x:c r="H436" s="5" t="str">
        <x:v>发送语音消息</x:v>
      </x:c>
      <x:c r="I436" s="5" t="str">
        <x:v>1. 双方具备当前私信权限且不存在账号拉黑关系</x:v>
      </x:c>
      <x:c r="J436" s="5" t="str">
        <x:v>1. 进入一对一私信会话
2. 发送一条语音消息</x:v>
      </x:c>
      <x:c r="K436" s="5" t="str">
        <x:v>语音消息插入当前消息流</x:v>
      </x:c>
      <x:c r="L436" s="5" t="str"/>
      <x:c r="M436" s="5" t="str">
        <x:v>未测</x:v>
      </x:c>
      <x:c r="N436" s="5" t="str"/>
      <x:c r="O436" s="5" t="str">
        <x:v>1. 来源：context/01-用户主播App-项目需求清单.md
2. 来源：prototype/pages/user/social/direct-message.html
3. 静态分析：依据当前原型、批注和需求文件生成，未进行真实接口或设备动态验证
4. 全局证据追溯：work/liveshow-user-app-all-260901-001/global-evidence-scan-result.json</x:v>
      </x:c>
    </x:row>
    <x:row r="437" ht="67.5" customHeight="1">
      <x:c r="A437" s="5" t="n">
        <x:v>436</x:v>
      </x:c>
      <x:c r="B437" s="5" t="str">
        <x:v>SOCIAL-023</x:v>
      </x:c>
      <x:c r="C437" s="5" t="str">
        <x:v>用户App-消息与社交</x:v>
      </x:c>
      <x:c r="D437" s="5" t="str">
        <x:v>一对一私信</x:v>
      </x:c>
      <x:c r="E437" s="5" t="str">
        <x:v>逻辑校验</x:v>
      </x:c>
      <x:c r="F437" s="5" t="str">
        <x:v>P1</x:v>
      </x:c>
      <x:c r="G437" s="5" t="str">
        <x:v>验证黑名单关系阻止发送消息</x:v>
      </x:c>
      <x:c r="H437" s="5" t="str">
        <x:v>黑名单关系阻止发送消息</x:v>
      </x:c>
      <x:c r="I437" s="5" t="str">
        <x:v>1. 当前用户与会话对象存在账号拉黑关系</x:v>
      </x:c>
      <x:c r="J437" s="5" t="str">
        <x:v>1. 进入原一对一会话
2. 尝试发送文字消息</x:v>
      </x:c>
      <x:c r="K437" s="5" t="str">
        <x:v>文字消息不进入当前消息流</x:v>
      </x:c>
      <x:c r="L437" s="5" t="str">
        <x:v>FLOW-UAPP-BLOCK-01</x:v>
      </x:c>
      <x:c r="M437" s="5" t="str">
        <x:v>未测</x:v>
      </x:c>
      <x:c r="N437" s="5" t="str"/>
      <x:c r="O437" s="5" t="str">
        <x:v>1. 来源：context/01-用户主播App-项目需求清单.md
2. 来源：prototype/pages/user/social/direct-message.html
3. 静态分析：依据当前原型、批注和需求文件生成，未进行真实接口或设备动态验证
4. 全局证据追溯：work/liveshow-user-app-all-260901-001/global-evidence-scan-result.json</x:v>
      </x:c>
    </x:row>
    <x:row r="438" ht="67.5" customHeight="1">
      <x:c r="A438" s="5" t="n">
        <x:v>437</x:v>
      </x:c>
      <x:c r="B438" s="5" t="str">
        <x:v>SOCIAL-024</x:v>
      </x:c>
      <x:c r="C438" s="5" t="str">
        <x:v>用户App-消息与社交</x:v>
      </x:c>
      <x:c r="D438" s="5" t="str">
        <x:v>粉丝团群聊</x:v>
      </x:c>
      <x:c r="E438" s="5" t="str">
        <x:v>业务流程</x:v>
      </x:c>
      <x:c r="F438" s="5" t="str">
        <x:v>P2</x:v>
      </x:c>
      <x:c r="G438" s="5" t="str">
        <x:v>验证发送群聊文字消息</x:v>
      </x:c>
      <x:c r="H438" s="5" t="str">
        <x:v>发送群聊文字消息</x:v>
      </x:c>
      <x:c r="I438" s="5" t="str">
        <x:v>1. 用户具有有效团籍且未被群禁言或平台禁言</x:v>
      </x:c>
      <x:c r="J438" s="5" t="str">
        <x:v>1. 进入粉丝团群聊
2. 发送一条文字消息</x:v>
      </x:c>
      <x:c r="K438" s="5" t="str">
        <x:v>文字消息插入当前群消息流</x:v>
      </x:c>
      <x:c r="L438" s="5" t="str"/>
      <x:c r="M438" s="5" t="str">
        <x:v>未测</x:v>
      </x:c>
      <x:c r="N438" s="5" t="str"/>
      <x:c r="O438" s="5" t="str">
        <x:v>1. 来源：context/01-用户主播App-项目需求清单.md
2. 来源：prototype/pages/user/social/fan-group-chat.html
3. 静态分析：依据当前原型、批注和需求文件生成，未进行真实接口或设备动态验证
4. 全局证据追溯：work/liveshow-user-app-all-260901-001/global-evidence-scan-result.json</x:v>
      </x:c>
    </x:row>
    <x:row r="439" ht="67.5" customHeight="1">
      <x:c r="A439" s="5" t="n">
        <x:v>438</x:v>
      </x:c>
      <x:c r="B439" s="5" t="str">
        <x:v>SOCIAL-025</x:v>
      </x:c>
      <x:c r="C439" s="5" t="str">
        <x:v>用户App-消息与社交</x:v>
      </x:c>
      <x:c r="D439" s="5" t="str">
        <x:v>粉丝团群聊</x:v>
      </x:c>
      <x:c r="E439" s="5" t="str">
        <x:v>业务流程</x:v>
      </x:c>
      <x:c r="F439" s="5" t="str">
        <x:v>P2</x:v>
      </x:c>
      <x:c r="G439" s="5" t="str">
        <x:v>验证发送群聊图片消息</x:v>
      </x:c>
      <x:c r="H439" s="5" t="str">
        <x:v>发送群聊图片消息</x:v>
      </x:c>
      <x:c r="I439" s="5" t="str">
        <x:v>1. 用户具有有效团籍且未被群禁言或平台禁言</x:v>
      </x:c>
      <x:c r="J439" s="5" t="str">
        <x:v>1. 进入粉丝团群聊
2. 发送一条图片消息</x:v>
      </x:c>
      <x:c r="K439" s="5" t="str">
        <x:v>图片消息插入当前群消息流</x:v>
      </x:c>
      <x:c r="L439" s="5" t="str"/>
      <x:c r="M439" s="5" t="str">
        <x:v>未测</x:v>
      </x:c>
      <x:c r="N439" s="5" t="str"/>
      <x:c r="O439" s="5" t="str">
        <x:v>1. 来源：context/01-用户主播App-项目需求清单.md
2. 来源：prototype/pages/user/social/fan-group-chat.html
3. 静态分析：依据当前原型、批注和需求文件生成，未进行真实接口或设备动态验证
4. 全局证据追溯：work/liveshow-user-app-all-260901-001/global-evidence-scan-result.json</x:v>
      </x:c>
    </x:row>
    <x:row r="440" ht="67.5" customHeight="1">
      <x:c r="A440" s="5" t="n">
        <x:v>439</x:v>
      </x:c>
      <x:c r="B440" s="5" t="str">
        <x:v>SOCIAL-026</x:v>
      </x:c>
      <x:c r="C440" s="5" t="str">
        <x:v>用户App-消息与社交</x:v>
      </x:c>
      <x:c r="D440" s="5" t="str">
        <x:v>粉丝团群聊</x:v>
      </x:c>
      <x:c r="E440" s="5" t="str">
        <x:v>业务流程</x:v>
      </x:c>
      <x:c r="F440" s="5" t="str">
        <x:v>P2</x:v>
      </x:c>
      <x:c r="G440" s="5" t="str">
        <x:v>验证发送群聊语音消息</x:v>
      </x:c>
      <x:c r="H440" s="5" t="str">
        <x:v>发送群聊语音消息</x:v>
      </x:c>
      <x:c r="I440" s="5" t="str">
        <x:v>1. 用户具有有效团籍且未被群禁言或平台禁言</x:v>
      </x:c>
      <x:c r="J440" s="5" t="str">
        <x:v>1. 进入粉丝团群聊
2. 发送一条语音消息</x:v>
      </x:c>
      <x:c r="K440" s="5" t="str">
        <x:v>语音消息插入当前群消息流</x:v>
      </x:c>
      <x:c r="L440" s="5" t="str"/>
      <x:c r="M440" s="5" t="str">
        <x:v>未测</x:v>
      </x:c>
      <x:c r="N440" s="5" t="str"/>
      <x:c r="O440" s="5" t="str">
        <x:v>1. 来源：context/01-用户主播App-项目需求清单.md
2. 来源：prototype/pages/user/social/fan-group-chat.html
3. 静态分析：依据当前原型、批注和需求文件生成，未进行真实接口或设备动态验证
4. 全局证据追溯：work/liveshow-user-app-all-260901-001/global-evidence-scan-result.json</x:v>
      </x:c>
    </x:row>
    <x:row r="441" ht="67.5" customHeight="1">
      <x:c r="A441" s="5" t="n">
        <x:v>440</x:v>
      </x:c>
      <x:c r="B441" s="5" t="str">
        <x:v>SOCIAL-027</x:v>
      </x:c>
      <x:c r="C441" s="5" t="str">
        <x:v>用户App-消息与社交</x:v>
      </x:c>
      <x:c r="D441" s="5" t="str">
        <x:v>粉丝团群聊</x:v>
      </x:c>
      <x:c r="E441" s="5" t="str">
        <x:v>业务流程</x:v>
      </x:c>
      <x:c r="F441" s="5" t="str">
        <x:v>P1</x:v>
      </x:c>
      <x:c r="G441" s="5" t="str">
        <x:v>验证直播中房间卡片进入直播间</x:v>
      </x:c>
      <x:c r="H441" s="5" t="str">
        <x:v>直播中房间卡片进入直播间</x:v>
      </x:c>
      <x:c r="I441" s="5" t="str">
        <x:v>1. 群消息包含仍在直播的房间卡片</x:v>
      </x:c>
      <x:c r="J441" s="5" t="str">
        <x:v>1. 点击该直播房间卡片</x:v>
      </x:c>
      <x:c r="K441" s="5" t="str">
        <x:v>页面进入卡片对应直播间</x:v>
      </x:c>
      <x:c r="L441" s="5" t="str"/>
      <x:c r="M441" s="5" t="str">
        <x:v>未测</x:v>
      </x:c>
      <x:c r="N441" s="5" t="str"/>
      <x:c r="O441" s="5" t="str">
        <x:v>1. 来源：context/01-用户主播App-项目需求清单.md
2. 来源：prototype/pages/user/social/fan-group-chat.html
3. 静态分析：依据当前原型、批注和需求文件生成，未进行真实接口或设备动态验证
4. 全局证据追溯：work/liveshow-user-app-all-260901-001/global-evidence-scan-result.json</x:v>
      </x:c>
    </x:row>
    <x:row r="442" ht="67.5" customHeight="1">
      <x:c r="A442" s="5" t="n">
        <x:v>441</x:v>
      </x:c>
      <x:c r="B442" s="5" t="str">
        <x:v>SOCIAL-028</x:v>
      </x:c>
      <x:c r="C442" s="5" t="str">
        <x:v>用户App-消息与社交</x:v>
      </x:c>
      <x:c r="D442" s="5" t="str">
        <x:v>粉丝团群聊</x:v>
      </x:c>
      <x:c r="E442" s="5" t="str">
        <x:v>异常用例</x:v>
      </x:c>
      <x:c r="F442" s="5" t="str">
        <x:v>P2</x:v>
      </x:c>
      <x:c r="G442" s="5" t="str">
        <x:v>验证已结束房间卡片不能进房</x:v>
      </x:c>
      <x:c r="H442" s="5" t="str">
        <x:v>已结束房间卡片不能进房</x:v>
      </x:c>
      <x:c r="I442" s="5" t="str">
        <x:v>1. 群消息包含已结束直播的房间卡片</x:v>
      </x:c>
      <x:c r="J442" s="5" t="str">
        <x:v>1. 点击该直播房间卡片</x:v>
      </x:c>
      <x:c r="K442" s="5" t="str">
        <x:v>系统提示该直播已结束</x:v>
      </x:c>
      <x:c r="L442" s="5" t="str"/>
      <x:c r="M442" s="5" t="str">
        <x:v>未测</x:v>
      </x:c>
      <x:c r="N442" s="5" t="str"/>
      <x:c r="O442" s="5" t="str">
        <x:v>1. 来源：context/01-用户主播App-项目需求清单.md
2. 来源：prototype/pages/user/social/fan-group-chat.html
3. 静态分析：依据当前原型、批注和需求文件生成，未进行真实接口或设备动态验证
4. 全局证据追溯：work/liveshow-user-app-all-260901-001/global-evidence-scan-result.json</x:v>
      </x:c>
    </x:row>
    <x:row r="443" ht="67.5" customHeight="1">
      <x:c r="A443" s="5" t="n">
        <x:v>442</x:v>
      </x:c>
      <x:c r="B443" s="5" t="str">
        <x:v>SOCIAL-029</x:v>
      </x:c>
      <x:c r="C443" s="5" t="str">
        <x:v>用户App-消息与社交</x:v>
      </x:c>
      <x:c r="D443" s="5" t="str">
        <x:v>粉丝团群聊</x:v>
      </x:c>
      <x:c r="E443" s="5" t="str">
        <x:v>逻辑校验</x:v>
      </x:c>
      <x:c r="F443" s="5" t="str">
        <x:v>P1</x:v>
      </x:c>
      <x:c r="G443" s="5" t="str">
        <x:v>验证无有效团籍不能发言</x:v>
      </x:c>
      <x:c r="H443" s="5" t="str">
        <x:v>无有效团籍不能发言</x:v>
      </x:c>
      <x:c r="I443" s="5" t="str">
        <x:v>1. 用户的粉丝团团籍已解除</x:v>
      </x:c>
      <x:c r="J443" s="5" t="str">
        <x:v>1. 重新进入原粉丝团群聊
2. 尝试发送文字消息</x:v>
      </x:c>
      <x:c r="K443" s="5" t="str">
        <x:v>文字消息不进入群消息流</x:v>
      </x:c>
      <x:c r="L443" s="5" t="str">
        <x:v>FLOW-UAPP-FANCLUB-01</x:v>
      </x:c>
      <x:c r="M443" s="5" t="str">
        <x:v>未测</x:v>
      </x:c>
      <x:c r="N443" s="5" t="str"/>
      <x:c r="O443" s="5" t="str">
        <x:v>1. 来源：context/01-用户主播App-项目需求清单.md
2. 来源：prototype/pages/user/social/fan-group-chat.html
3. 静态分析：依据当前原型、批注和需求文件生成，未进行真实接口或设备动态验证
4. 全局证据追溯：work/liveshow-user-app-all-260901-001/global-evidence-scan-result.json</x:v>
      </x:c>
    </x:row>
    <x:row r="444" ht="79.5" customHeight="1">
      <x:c r="A444" s="5" t="n">
        <x:v>443</x:v>
      </x:c>
      <x:c r="B444" s="5" t="str">
        <x:v>SOCIAL-030</x:v>
      </x:c>
      <x:c r="C444" s="5" t="str">
        <x:v>用户App-消息与社交</x:v>
      </x:c>
      <x:c r="D444" s="5" t="str">
        <x:v>群管理（成员）</x:v>
      </x:c>
      <x:c r="E444" s="5" t="str">
        <x:v>逻辑校验</x:v>
      </x:c>
      <x:c r="F444" s="5" t="str">
        <x:v>P2</x:v>
      </x:c>
      <x:c r="G444" s="5" t="str">
        <x:v>验证开启群消息免打扰不影响收发</x:v>
      </x:c>
      <x:c r="H444" s="5" t="str">
        <x:v>开启群消息免打扰不影响收发</x:v>
      </x:c>
      <x:c r="I444" s="5" t="str">
        <x:v>1. 用户是粉丝团成员</x:v>
      </x:c>
      <x:c r="J444" s="5" t="str">
        <x:v>1. 进入群管理
2. 开启消息免打扰
3. 返回群聊并发送消息</x:v>
      </x:c>
      <x:c r="K444" s="5" t="str">
        <x:v>发送的消息进入群消息流</x:v>
      </x:c>
      <x:c r="L444" s="5" t="str"/>
      <x:c r="M444" s="5" t="str">
        <x:v>未测</x:v>
      </x:c>
      <x:c r="N444" s="5" t="str"/>
      <x:c r="O444" s="5" t="str">
        <x:v>1. 来源：context/01-用户主播App-项目需求清单.md
2. 来源：prototype/pages/user/social/group-manage-member.html
3. 静态分析：依据当前原型、批注和需求文件生成，未进行真实接口或设备动态验证
4. 全局证据追溯：work/liveshow-user-app-all-260901-001/global-evidence-scan-result.json</x:v>
      </x:c>
    </x:row>
    <x:row r="445" ht="79.5" customHeight="1">
      <x:c r="A445" s="5" t="n">
        <x:v>444</x:v>
      </x:c>
      <x:c r="B445" s="5" t="str">
        <x:v>SOCIAL-031</x:v>
      </x:c>
      <x:c r="C445" s="5" t="str">
        <x:v>用户App-消息与社交</x:v>
      </x:c>
      <x:c r="D445" s="5" t="str">
        <x:v>群管理（成员）</x:v>
      </x:c>
      <x:c r="E445" s="5" t="str">
        <x:v>业务流程</x:v>
      </x:c>
      <x:c r="F445" s="5" t="str">
        <x:v>P1</x:v>
      </x:c>
      <x:c r="G445" s="5" t="str">
        <x:v>验证主动退出同步解除团籍和群籍</x:v>
      </x:c>
      <x:c r="H445" s="5" t="str">
        <x:v>主动退出同步解除团籍和群籍</x:v>
      </x:c>
      <x:c r="I445" s="5" t="str">
        <x:v>1. 用户具有有效团籍和群籍</x:v>
      </x:c>
      <x:c r="J445" s="5" t="str">
        <x:v>1. 进入群管理
2. 点击退出群聊
3. 确认退出</x:v>
      </x:c>
      <x:c r="K445" s="5" t="str">
        <x:v>用户的粉丝团团籍与群籍同时解除</x:v>
      </x:c>
      <x:c r="L445" s="5" t="str">
        <x:v>FLOW-UAPP-FANCLUB-01</x:v>
      </x:c>
      <x:c r="M445" s="5" t="str">
        <x:v>未测</x:v>
      </x:c>
      <x:c r="N445" s="5" t="str"/>
      <x:c r="O445" s="5" t="str">
        <x:v>1. 来源：context/01-用户主播App-项目需求清单.md
2. 来源：prototype/pages/user/social/group-manage-member.html
3. 静态分析：依据当前原型、批注和需求文件生成，未进行真实接口或设备动态验证
4. 全局证据追溯：work/liveshow-user-app-all-260901-001/global-evidence-scan-result.json</x:v>
      </x:c>
    </x:row>
    <x:row r="446" ht="79.5" customHeight="1">
      <x:c r="A446" s="5" t="n">
        <x:v>445</x:v>
      </x:c>
      <x:c r="B446" s="5" t="str">
        <x:v>SOCIAL-032</x:v>
      </x:c>
      <x:c r="C446" s="5" t="str">
        <x:v>用户App-消息与社交</x:v>
      </x:c>
      <x:c r="D446" s="5" t="str">
        <x:v>群管理（成员）</x:v>
      </x:c>
      <x:c r="E446" s="5" t="str">
        <x:v>逻辑校验</x:v>
      </x:c>
      <x:c r="F446" s="5" t="str">
        <x:v>P2</x:v>
      </x:c>
      <x:c r="G446" s="5" t="str">
        <x:v>验证取消退出保留团籍</x:v>
      </x:c>
      <x:c r="H446" s="5" t="str">
        <x:v>取消退出保留团籍</x:v>
      </x:c>
      <x:c r="I446" s="5" t="str">
        <x:v>1. 用户具有有效团籍和群籍</x:v>
      </x:c>
      <x:c r="J446" s="5" t="str">
        <x:v>1. 进入群管理
2. 点击退出群聊
3. 取消确认</x:v>
      </x:c>
      <x:c r="K446" s="5" t="str">
        <x:v>用户的粉丝团团籍保持有效</x:v>
      </x:c>
      <x:c r="L446" s="5" t="str"/>
      <x:c r="M446" s="5" t="str">
        <x:v>未测</x:v>
      </x:c>
      <x:c r="N446" s="5" t="str"/>
      <x:c r="O446" s="5" t="str">
        <x:v>1. 来源：context/01-用户主播App-项目需求清单.md
2. 来源：prototype/pages/user/social/group-manage-member.html
3. 静态分析：依据当前原型、批注和需求文件生成，未进行真实接口或设备动态验证
4. 全局证据追溯：work/liveshow-user-app-all-260901-001/global-evidence-scan-result.json</x:v>
      </x:c>
    </x:row>
    <x:row r="447" ht="79.5" customHeight="1">
      <x:c r="A447" s="5" t="n">
        <x:v>446</x:v>
      </x:c>
      <x:c r="B447" s="5" t="str">
        <x:v>SOCIAL-033</x:v>
      </x:c>
      <x:c r="C447" s="5" t="str">
        <x:v>用户App-消息与社交</x:v>
      </x:c>
      <x:c r="D447" s="5" t="str">
        <x:v>群管理（群主）</x:v>
      </x:c>
      <x:c r="E447" s="5" t="str">
        <x:v>业务流程</x:v>
      </x:c>
      <x:c r="F447" s="5" t="str">
        <x:v>P1</x:v>
      </x:c>
      <x:c r="G447" s="5" t="str">
        <x:v>验证编辑群公告</x:v>
      </x:c>
      <x:c r="H447" s="5" t="str">
        <x:v>编辑群公告</x:v>
      </x:c>
      <x:c r="I447" s="5" t="str">
        <x:v>1. 主播是当前粉丝团群主</x:v>
      </x:c>
      <x:c r="J447" s="5" t="str">
        <x:v>1. 进入群管理
2. 编辑并保存群公告</x:v>
      </x:c>
      <x:c r="K447" s="5" t="str">
        <x:v>群聊展示保存后的群公告内容</x:v>
      </x:c>
      <x:c r="L447" s="5" t="str"/>
      <x:c r="M447" s="5" t="str">
        <x:v>未测</x:v>
      </x:c>
      <x:c r="N447" s="5" t="str"/>
      <x:c r="O447" s="5" t="str">
        <x:v>1. 来源：context/01-用户主播App-项目需求清单.md
2. 来源：prototype/pages/user/social/group-manage-owner.html
3. 静态分析：依据当前原型、批注和需求文件生成，未进行真实接口或设备动态验证
4. 全局证据追溯：work/liveshow-user-app-all-260901-001/global-evidence-scan-result.json</x:v>
      </x:c>
    </x:row>
    <x:row r="448" ht="79.5" customHeight="1">
      <x:c r="A448" s="5" t="n">
        <x:v>447</x:v>
      </x:c>
      <x:c r="B448" s="5" t="str">
        <x:v>SOCIAL-034</x:v>
      </x:c>
      <x:c r="C448" s="5" t="str">
        <x:v>用户App-消息与社交</x:v>
      </x:c>
      <x:c r="D448" s="5" t="str">
        <x:v>群管理（群主）</x:v>
      </x:c>
      <x:c r="E448" s="5" t="str">
        <x:v>业务流程</x:v>
      </x:c>
      <x:c r="F448" s="5" t="str">
        <x:v>P1</x:v>
      </x:c>
      <x:c r="G448" s="5" t="str">
        <x:v>验证单人禁言限制目标成员发言</x:v>
      </x:c>
      <x:c r="H448" s="5" t="str">
        <x:v>单人禁言限制目标成员发言</x:v>
      </x:c>
      <x:c r="I448" s="5" t="str">
        <x:v>1. 主播是群主且目标成员具有有效团籍</x:v>
      </x:c>
      <x:c r="J448" s="5" t="str">
        <x:v>1. 在群管理选择目标成员
2. 执行单人禁言
3. 目标成员尝试发送消息</x:v>
      </x:c>
      <x:c r="K448" s="5" t="str">
        <x:v>目标成员的消息不进入群消息流</x:v>
      </x:c>
      <x:c r="L448" s="5" t="str"/>
      <x:c r="M448" s="5" t="str">
        <x:v>未测</x:v>
      </x:c>
      <x:c r="N448" s="5" t="str"/>
      <x:c r="O448" s="5" t="str">
        <x:v>1. 来源：context/01-用户主播App-项目需求清单.md
2. 来源：prototype/pages/user/social/group-manage-owner.html
3. 静态分析：依据当前原型、批注和需求文件生成，未进行真实接口或设备动态验证
4. 全局证据追溯：work/liveshow-user-app-all-260901-001/global-evidence-scan-result.json</x:v>
      </x:c>
    </x:row>
    <x:row r="449" ht="79.5" customHeight="1">
      <x:c r="A449" s="5" t="n">
        <x:v>448</x:v>
      </x:c>
      <x:c r="B449" s="5" t="str">
        <x:v>SOCIAL-035</x:v>
      </x:c>
      <x:c r="C449" s="5" t="str">
        <x:v>用户App-消息与社交</x:v>
      </x:c>
      <x:c r="D449" s="5" t="str">
        <x:v>群管理（群主）</x:v>
      </x:c>
      <x:c r="E449" s="5" t="str">
        <x:v>业务流程</x:v>
      </x:c>
      <x:c r="F449" s="5" t="str">
        <x:v>P1</x:v>
      </x:c>
      <x:c r="G449" s="5" t="str">
        <x:v>验证移出成员同步解除团籍</x:v>
      </x:c>
      <x:c r="H449" s="5" t="str">
        <x:v>移出成员同步解除团籍</x:v>
      </x:c>
      <x:c r="I449" s="5" t="str">
        <x:v>1. 主播是群主且目标成员具有有效团籍</x:v>
      </x:c>
      <x:c r="J449" s="5" t="str">
        <x:v>1. 选择目标成员
2. 点击移出
3. 确认移出</x:v>
      </x:c>
      <x:c r="K449" s="5" t="str">
        <x:v>目标成员的粉丝团团籍被解除</x:v>
      </x:c>
      <x:c r="L449" s="5" t="str">
        <x:v>FLOW-UAPP-FANCLUB-01</x:v>
      </x:c>
      <x:c r="M449" s="5" t="str">
        <x:v>未测</x:v>
      </x:c>
      <x:c r="N449" s="5" t="str"/>
      <x:c r="O449" s="5" t="str">
        <x:v>1. 来源：context/01-用户主播App-项目需求清单.md
2. 来源：prototype/pages/user/social/group-manage-owner.html
3. 静态分析：依据当前原型、批注和需求文件生成，未进行真实接口或设备动态验证
4. 全局证据追溯：work/liveshow-user-app-all-260901-001/global-evidence-scan-result.json</x:v>
      </x:c>
    </x:row>
    <x:row r="450" ht="79.5" customHeight="1">
      <x:c r="A450" s="5" t="n">
        <x:v>449</x:v>
      </x:c>
      <x:c r="B450" s="5" t="str">
        <x:v>SOCIAL-036</x:v>
      </x:c>
      <x:c r="C450" s="5" t="str">
        <x:v>用户App-消息与社交</x:v>
      </x:c>
      <x:c r="D450" s="5" t="str">
        <x:v>群管理（群主）</x:v>
      </x:c>
      <x:c r="E450" s="5" t="str">
        <x:v>业务流程</x:v>
      </x:c>
      <x:c r="F450" s="5" t="str">
        <x:v>P1</x:v>
      </x:c>
      <x:c r="G450" s="5" t="str">
        <x:v>验证移出成员清零前台关系成长值</x:v>
      </x:c>
      <x:c r="H450" s="5" t="str">
        <x:v>移出成员清零前台关系成长值</x:v>
      </x:c>
      <x:c r="I450" s="5" t="str">
        <x:v>1. 目标成员已有粉丝等级和亲密度</x:v>
      </x:c>
      <x:c r="J450" s="5" t="str">
        <x:v>1. 群主确认移出目标成员
2. 目标用户查看与该主播的粉丝团关系</x:v>
      </x:c>
      <x:c r="K450" s="5" t="str">
        <x:v>目标用户的粉丝等级和亲密度在前台显示为 0</x:v>
      </x:c>
      <x:c r="L450" s="5" t="str">
        <x:v>FLOW-UAPP-FANCLUB-01</x:v>
      </x:c>
      <x:c r="M450" s="5" t="str">
        <x:v>未测</x:v>
      </x:c>
      <x:c r="N450" s="5" t="str"/>
      <x:c r="O450" s="5" t="str">
        <x:v>1. 来源：context/01-用户主播App-项目需求清单.md
2. 来源：prototype/pages/user/social/group-manage-owner.html
3. 静态分析：依据当前原型、批注和需求文件生成，未进行真实接口或设备动态验证
4. 全局证据追溯：work/liveshow-user-app-all-260901-001/global-evidence-scan-result.json</x:v>
      </x:c>
    </x:row>
    <x:row r="451" ht="67.5" customHeight="1">
      <x:c r="A451" s="5" t="n">
        <x:v>450</x:v>
      </x:c>
      <x:c r="B451" s="5" t="str">
        <x:v>SOCIAL-037</x:v>
      </x:c>
      <x:c r="C451" s="5" t="str">
        <x:v>用户App-消息与社交</x:v>
      </x:c>
      <x:c r="D451" s="5" t="str">
        <x:v>聊天设置</x:v>
      </x:c>
      <x:c r="E451" s="5" t="str">
        <x:v>逻辑校验</x:v>
      </x:c>
      <x:c r="F451" s="5" t="str">
        <x:v>P2</x:v>
      </x:c>
      <x:c r="G451" s="5" t="str">
        <x:v>验证开启单聊免打扰不影响收发</x:v>
      </x:c>
      <x:c r="H451" s="5" t="str">
        <x:v>开启单聊免打扰不影响收发</x:v>
      </x:c>
      <x:c r="I451" s="5" t="str">
        <x:v>1. 用户与会话对象具备私信权限</x:v>
      </x:c>
      <x:c r="J451" s="5" t="str">
        <x:v>1. 进入聊天设置
2. 开启消息免打扰
3. 返回会话发送消息</x:v>
      </x:c>
      <x:c r="K451" s="5" t="str">
        <x:v>发送的消息进入当前会话</x:v>
      </x:c>
      <x:c r="L451" s="5" t="str"/>
      <x:c r="M451" s="5" t="str">
        <x:v>未测</x:v>
      </x:c>
      <x:c r="N451" s="5" t="str"/>
      <x:c r="O451" s="5" t="str">
        <x:v>1. 来源：context/01-用户主播App-项目需求清单.md
2. 来源：prototype/pages/user/social/chat-settings.html
3. 静态分析：依据当前原型、批注和需求文件生成，未进行真实接口或设备动态验证
4. 全局证据追溯：work/liveshow-user-app-all-260901-001/global-evidence-scan-result.json</x:v>
      </x:c>
    </x:row>
    <x:row r="452" ht="67.5" customHeight="1">
      <x:c r="A452" s="5" t="n">
        <x:v>451</x:v>
      </x:c>
      <x:c r="B452" s="5" t="str">
        <x:v>SOCIAL-038</x:v>
      </x:c>
      <x:c r="C452" s="5" t="str">
        <x:v>用户App-消息与社交</x:v>
      </x:c>
      <x:c r="D452" s="5" t="str">
        <x:v>聊天设置</x:v>
      </x:c>
      <x:c r="E452" s="5" t="str">
        <x:v>业务流程</x:v>
      </x:c>
      <x:c r="F452" s="5" t="str">
        <x:v>P2</x:v>
      </x:c>
      <x:c r="G452" s="5" t="str">
        <x:v>验证举报进入用户举报页</x:v>
      </x:c>
      <x:c r="H452" s="5" t="str">
        <x:v>举报进入用户举报页</x:v>
      </x:c>
      <x:c r="I452" s="5" t="str">
        <x:v>1. 用户已进入聊天设置</x:v>
      </x:c>
      <x:c r="J452" s="5" t="str">
        <x:v>1. 点击举报</x:v>
      </x:c>
      <x:c r="K452" s="5" t="str">
        <x:v>页面进入举报用户流程</x:v>
      </x:c>
      <x:c r="L452" s="5" t="str"/>
      <x:c r="M452" s="5" t="str">
        <x:v>未测</x:v>
      </x:c>
      <x:c r="N452" s="5" t="str"/>
      <x:c r="O452" s="5" t="str">
        <x:v>1. 来源：context/01-用户主播App-项目需求清单.md
2. 来源：prototype/pages/user/social/chat-settings.html
3. 静态分析：依据当前原型、批注和需求文件生成，未进行真实接口或设备动态验证
4. 全局证据追溯：work/liveshow-user-app-all-260901-001/global-evidence-scan-result.json</x:v>
      </x:c>
    </x:row>
    <x:row r="453" ht="67.5" customHeight="1">
      <x:c r="A453" s="5" t="n">
        <x:v>452</x:v>
      </x:c>
      <x:c r="B453" s="5" t="str">
        <x:v>SOCIAL-039</x:v>
      </x:c>
      <x:c r="C453" s="5" t="str">
        <x:v>用户App-消息与社交</x:v>
      </x:c>
      <x:c r="D453" s="5" t="str">
        <x:v>好友列表</x:v>
      </x:c>
      <x:c r="E453" s="5" t="str">
        <x:v>逻辑校验</x:v>
      </x:c>
      <x:c r="F453" s="5" t="str">
        <x:v>P2</x:v>
      </x:c>
      <x:c r="G453" s="5" t="str">
        <x:v>验证按昵称搜索好友</x:v>
      </x:c>
      <x:c r="H453" s="5" t="str">
        <x:v>按昵称搜索好友</x:v>
      </x:c>
      <x:c r="I453" s="5" t="str">
        <x:v>1. 好友列表存在目标好友</x:v>
      </x:c>
      <x:c r="J453" s="5" t="str">
        <x:v>1. 进入好友列表
2. 输入目标好友昵称</x:v>
      </x:c>
      <x:c r="K453" s="5" t="str">
        <x:v>列表只展示昵称匹配的好友</x:v>
      </x:c>
      <x:c r="L453" s="5" t="str"/>
      <x:c r="M453" s="5" t="str">
        <x:v>未测</x:v>
      </x:c>
      <x:c r="N453" s="5" t="str"/>
      <x:c r="O453" s="5" t="str">
        <x:v>1. 来源：context/01-用户主播App-项目需求清单.md
2. 来源：prototype/pages/user/social/friend-list.html
3. 静态分析：依据当前原型、批注和需求文件生成，未进行真实接口或设备动态验证
4. 全局证据追溯：work/liveshow-user-app-all-260901-001/global-evidence-scan-result.json</x:v>
      </x:c>
    </x:row>
    <x:row r="454" ht="67.5" customHeight="1">
      <x:c r="A454" s="5" t="n">
        <x:v>453</x:v>
      </x:c>
      <x:c r="B454" s="5" t="str">
        <x:v>SOCIAL-040</x:v>
      </x:c>
      <x:c r="C454" s="5" t="str">
        <x:v>用户App-消息与社交</x:v>
      </x:c>
      <x:c r="D454" s="5" t="str">
        <x:v>好友列表</x:v>
      </x:c>
      <x:c r="E454" s="5" t="str">
        <x:v>业务流程</x:v>
      </x:c>
      <x:c r="F454" s="5" t="str">
        <x:v>P2</x:v>
      </x:c>
      <x:c r="G454" s="5" t="str">
        <x:v>验证点击主播好友进入主播主页</x:v>
      </x:c>
      <x:c r="H454" s="5" t="str">
        <x:v>点击主播好友进入主播主页</x:v>
      </x:c>
      <x:c r="I454" s="5" t="str">
        <x:v>1. 好友列表存在主播身份好友</x:v>
      </x:c>
      <x:c r="J454" s="5" t="str">
        <x:v>1. 点击该好友头像</x:v>
      </x:c>
      <x:c r="K454" s="5" t="str">
        <x:v>页面进入该主播主页</x:v>
      </x:c>
      <x:c r="L454" s="5" t="str"/>
      <x:c r="M454" s="5" t="str">
        <x:v>未测</x:v>
      </x:c>
      <x:c r="N454" s="5" t="str"/>
      <x:c r="O454" s="5" t="str">
        <x:v>1. 来源：context/01-用户主播App-项目需求清单.md
2. 来源：prototype/pages/user/social/friend-list.html
3. 静态分析：依据当前原型、批注和需求文件生成，未进行真实接口或设备动态验证
4. 全局证据追溯：work/liveshow-user-app-all-260901-001/global-evidence-scan-result.json</x:v>
      </x:c>
    </x:row>
    <x:row r="455" ht="67.5" customHeight="1">
      <x:c r="A455" s="5" t="n">
        <x:v>454</x:v>
      </x:c>
      <x:c r="B455" s="5" t="str">
        <x:v>SOCIAL-041</x:v>
      </x:c>
      <x:c r="C455" s="5" t="str">
        <x:v>用户App-消息与社交</x:v>
      </x:c>
      <x:c r="D455" s="5" t="str">
        <x:v>用户主页</x:v>
      </x:c>
      <x:c r="E455" s="5" t="str">
        <x:v>业务流程</x:v>
      </x:c>
      <x:c r="F455" s="5" t="str">
        <x:v>P1</x:v>
      </x:c>
      <x:c r="G455" s="5" t="str">
        <x:v>验证关注用户增加关系计数</x:v>
      </x:c>
      <x:c r="H455" s="5" t="str">
        <x:v>关注用户增加关系计数</x:v>
      </x:c>
      <x:c r="I455" s="5" t="str">
        <x:v>1. 当前用户尚未关注目标用户且双方无账号拉黑关系</x:v>
      </x:c>
      <x:c r="J455" s="5" t="str">
        <x:v>1. 进入目标用户主页
2. 点击关注</x:v>
      </x:c>
      <x:c r="K455" s="5" t="str">
        <x:v>当前用户关注数与目标用户粉丝数各增加 1</x:v>
      </x:c>
      <x:c r="L455" s="5" t="str">
        <x:v>FLOW-UAPP-FOLLOW-01</x:v>
      </x:c>
      <x:c r="M455" s="5" t="str">
        <x:v>未测</x:v>
      </x:c>
      <x:c r="N455" s="5" t="str"/>
      <x:c r="O455" s="5" t="str">
        <x:v>1. 来源：context/01-用户主播App-项目需求清单.md
2. 来源：prototype/pages/user/social/user-home.html
3. 静态分析：依据当前原型、批注和需求文件生成，未进行真实接口或设备动态验证
4. 全局证据追溯：work/liveshow-user-app-all-260901-001/global-evidence-scan-result.json</x:v>
      </x:c>
    </x:row>
    <x:row r="456" ht="67.5" customHeight="1">
      <x:c r="A456" s="5" t="n">
        <x:v>455</x:v>
      </x:c>
      <x:c r="B456" s="5" t="str">
        <x:v>SOCIAL-042</x:v>
      </x:c>
      <x:c r="C456" s="5" t="str">
        <x:v>用户App-消息与社交</x:v>
      </x:c>
      <x:c r="D456" s="5" t="str">
        <x:v>用户主页</x:v>
      </x:c>
      <x:c r="E456" s="5" t="str">
        <x:v>逻辑校验</x:v>
      </x:c>
      <x:c r="F456" s="5" t="str">
        <x:v>P1</x:v>
      </x:c>
      <x:c r="G456" s="5" t="str">
        <x:v>验证重复好友申请被阻止</x:v>
      </x:c>
      <x:c r="H456" s="5" t="str">
        <x:v>重复好友申请被阻止</x:v>
      </x:c>
      <x:c r="I456" s="5" t="str">
        <x:v>1. 已向目标用户发送待处理好友申请</x:v>
      </x:c>
      <x:c r="J456" s="5" t="str">
        <x:v>1. 进入目标用户主页
2. 再次点击加好友</x:v>
      </x:c>
      <x:c r="K456" s="5" t="str">
        <x:v>系统不生成第二条待处理好友申请</x:v>
      </x:c>
      <x:c r="L456" s="5" t="str">
        <x:v>FLOW-UAPP-FRIEND-01</x:v>
      </x:c>
      <x:c r="M456" s="5" t="str">
        <x:v>未测</x:v>
      </x:c>
      <x:c r="N456" s="5" t="str"/>
      <x:c r="O456" s="5" t="str">
        <x:v>1. 来源：context/01-用户主播App-项目需求清单.md
2. 来源：prototype/pages/user/social/user-home.html
3. 静态分析：依据当前原型、批注和需求文件生成，未进行真实接口或设备动态验证
4. 全局证据追溯：work/liveshow-user-app-all-260901-001/global-evidence-scan-result.json</x:v>
      </x:c>
    </x:row>
    <x:row r="457" ht="67.5" customHeight="1">
      <x:c r="A457" s="5" t="n">
        <x:v>456</x:v>
      </x:c>
      <x:c r="B457" s="5" t="str">
        <x:v>SOCIAL-043</x:v>
      </x:c>
      <x:c r="C457" s="5" t="str">
        <x:v>用户App-消息与社交</x:v>
      </x:c>
      <x:c r="D457" s="5" t="str">
        <x:v>用户主页</x:v>
      </x:c>
      <x:c r="E457" s="5" t="str">
        <x:v>业务流程</x:v>
      </x:c>
      <x:c r="F457" s="5" t="str">
        <x:v>P1</x:v>
      </x:c>
      <x:c r="G457" s="5" t="str">
        <x:v>验证删除好友解除好友关系</x:v>
      </x:c>
      <x:c r="H457" s="5" t="str">
        <x:v>删除好友解除好友关系</x:v>
      </x:c>
      <x:c r="I457" s="5" t="str">
        <x:v>1. 双方当前是好友</x:v>
      </x:c>
      <x:c r="J457" s="5" t="str">
        <x:v>1. 进入目标用户主页更多操作
2. 选择删除好友
3. 确认删除</x:v>
      </x:c>
      <x:c r="K457" s="5" t="str">
        <x:v>双方好友关系解除</x:v>
      </x:c>
      <x:c r="L457" s="5" t="str">
        <x:v>FLOW-UAPP-FRIEND-01</x:v>
      </x:c>
      <x:c r="M457" s="5" t="str">
        <x:v>未测</x:v>
      </x:c>
      <x:c r="N457" s="5" t="str"/>
      <x:c r="O457" s="5" t="str">
        <x:v>1. 来源：context/01-用户主播App-项目需求清单.md
2. 来源：prototype/pages/user/social/user-home.html
3. 静态分析：依据当前原型、批注和需求文件生成，未进行真实接口或设备动态验证
4. 全局证据追溯：work/liveshow-user-app-all-260901-001/global-evidence-scan-result.json</x:v>
      </x:c>
    </x:row>
    <x:row r="458" ht="67.5" customHeight="1">
      <x:c r="A458" s="5" t="n">
        <x:v>457</x:v>
      </x:c>
      <x:c r="B458" s="5" t="str">
        <x:v>SOCIAL-044</x:v>
      </x:c>
      <x:c r="C458" s="5" t="str">
        <x:v>用户App-消息与社交</x:v>
      </x:c>
      <x:c r="D458" s="5" t="str">
        <x:v>用户主页</x:v>
      </x:c>
      <x:c r="E458" s="5" t="str">
        <x:v>业务流程</x:v>
      </x:c>
      <x:c r="F458" s="5" t="str">
        <x:v>P1</x:v>
      </x:c>
      <x:c r="G458" s="5" t="str">
        <x:v>验证账号拉黑后隐藏底部操作</x:v>
      </x:c>
      <x:c r="H458" s="5" t="str">
        <x:v>账号拉黑后隐藏底部操作</x:v>
      </x:c>
      <x:c r="I458" s="5" t="str">
        <x:v>1. 双方当前不存在账号拉黑关系</x:v>
      </x:c>
      <x:c r="J458" s="5" t="str">
        <x:v>1. 进入目标用户主页更多操作
2. 选择拉黑并确认</x:v>
      </x:c>
      <x:c r="K458" s="5" t="str">
        <x:v>目标用户主页隐藏关注、加好友和私信操作</x:v>
      </x:c>
      <x:c r="L458" s="5" t="str">
        <x:v>FLOW-UAPP-BLOCK-01</x:v>
      </x:c>
      <x:c r="M458" s="5" t="str">
        <x:v>未测</x:v>
      </x:c>
      <x:c r="N458" s="5" t="str"/>
      <x:c r="O458" s="5" t="str">
        <x:v>1. 来源：context/01-用户主播App-项目需求清单.md
2. 来源：prototype/pages/user/social/user-home.html
3. 静态分析：依据当前原型、批注和需求文件生成，未进行真实接口或设备动态验证
4. 全局证据追溯：work/liveshow-user-app-all-260901-001/global-evidence-scan-result.json</x:v>
      </x:c>
    </x:row>
    <x:row r="459" ht="67.5" customHeight="1">
      <x:c r="A459" s="5" t="n">
        <x:v>458</x:v>
      </x:c>
      <x:c r="B459" s="5" t="str">
        <x:v>SOCIAL-045</x:v>
      </x:c>
      <x:c r="C459" s="5" t="str">
        <x:v>用户App-消息与社交</x:v>
      </x:c>
      <x:c r="D459" s="5" t="str">
        <x:v>主播主页</x:v>
      </x:c>
      <x:c r="E459" s="5" t="str">
        <x:v>功能需求</x:v>
      </x:c>
      <x:c r="F459" s="5" t="str">
        <x:v>P1</x:v>
      </x:c>
      <x:c r="G459" s="5" t="str">
        <x:v>验证直播中展示进房入口</x:v>
      </x:c>
      <x:c r="H459" s="5" t="str">
        <x:v>直播中展示进房入口</x:v>
      </x:c>
      <x:c r="I459" s="5" t="str">
        <x:v>1. 目标主播正在直播且双方无账号拉黑关系</x:v>
      </x:c>
      <x:c r="J459" s="5" t="str">
        <x:v>1. 进入目标主播主页</x:v>
      </x:c>
      <x:c r="K459" s="5" t="str">
        <x:v>主播主页展示当前直播间入口</x:v>
      </x:c>
      <x:c r="L459" s="5" t="str"/>
      <x:c r="M459" s="5" t="str">
        <x:v>未测</x:v>
      </x:c>
      <x:c r="N459" s="5" t="str"/>
      <x:c r="O459" s="5" t="str">
        <x:v>1. 来源：context/01-用户主播App-项目需求清单.md
2. 来源：prototype/pages/user/social/host-home.html
3. 静态分析：依据当前原型、批注和需求文件生成，未进行真实接口或设备动态验证
4. 全局证据追溯：work/liveshow-user-app-all-260901-001/global-evidence-scan-result.json</x:v>
      </x:c>
    </x:row>
    <x:row r="460" ht="67.5" customHeight="1">
      <x:c r="A460" s="5" t="n">
        <x:v>459</x:v>
      </x:c>
      <x:c r="B460" s="5" t="str">
        <x:v>SOCIAL-046</x:v>
      </x:c>
      <x:c r="C460" s="5" t="str">
        <x:v>用户App-消息与社交</x:v>
      </x:c>
      <x:c r="D460" s="5" t="str">
        <x:v>主播主页</x:v>
      </x:c>
      <x:c r="E460" s="5" t="str">
        <x:v>逻辑校验</x:v>
      </x:c>
      <x:c r="F460" s="5" t="str">
        <x:v>P2</x:v>
      </x:c>
      <x:c r="G460" s="5" t="str">
        <x:v>验证未直播时不展示进房入口</x:v>
      </x:c>
      <x:c r="H460" s="5" t="str">
        <x:v>未直播时不展示进房入口</x:v>
      </x:c>
      <x:c r="I460" s="5" t="str">
        <x:v>1. 目标主播当前未直播</x:v>
      </x:c>
      <x:c r="J460" s="5" t="str">
        <x:v>1. 进入目标主播主页</x:v>
      </x:c>
      <x:c r="K460" s="5" t="str">
        <x:v>主播主页不展示直播间入口</x:v>
      </x:c>
      <x:c r="L460" s="5" t="str"/>
      <x:c r="M460" s="5" t="str">
        <x:v>未测</x:v>
      </x:c>
      <x:c r="N460" s="5" t="str"/>
      <x:c r="O460" s="5" t="str">
        <x:v>1. 来源：context/01-用户主播App-项目需求清单.md
2. 来源：prototype/pages/user/social/host-home.html
3. 静态分析：依据当前原型、批注和需求文件生成，未进行真实接口或设备动态验证
4. 全局证据追溯：work/liveshow-user-app-all-260901-001/global-evidence-scan-result.json</x:v>
      </x:c>
    </x:row>
    <x:row r="461" ht="67.5" customHeight="1">
      <x:c r="A461" s="5" t="n">
        <x:v>460</x:v>
      </x:c>
      <x:c r="B461" s="5" t="str">
        <x:v>SOCIAL-047</x:v>
      </x:c>
      <x:c r="C461" s="5" t="str">
        <x:v>用户App-消息与社交</x:v>
      </x:c>
      <x:c r="D461" s="5" t="str">
        <x:v>主播主页</x:v>
      </x:c>
      <x:c r="E461" s="5" t="str">
        <x:v>业务流程</x:v>
      </x:c>
      <x:c r="F461" s="5" t="str">
        <x:v>P2</x:v>
      </x:c>
      <x:c r="G461" s="5" t="str">
        <x:v>验证已入团用户进入粉丝团贡献榜</x:v>
      </x:c>
      <x:c r="H461" s="5" t="str">
        <x:v>已入团用户进入粉丝团贡献榜</x:v>
      </x:c>
      <x:c r="I461" s="5" t="str">
        <x:v>1. 用户已加入目标主播粉丝团</x:v>
      </x:c>
      <x:c r="J461" s="5" t="str">
        <x:v>1. 进入目标主播主页
2. 点击粉丝团入口</x:v>
      </x:c>
      <x:c r="K461" s="5" t="str">
        <x:v>页面进入该主播粉丝团贡献榜</x:v>
      </x:c>
      <x:c r="L461" s="5" t="str"/>
      <x:c r="M461" s="5" t="str">
        <x:v>未测</x:v>
      </x:c>
      <x:c r="N461" s="5" t="str"/>
      <x:c r="O461" s="5" t="str">
        <x:v>1. 来源：context/01-用户主播App-项目需求清单.md
2. 来源：prototype/pages/user/social/host-home.html
3. 静态分析：依据当前原型、批注和需求文件生成，未进行真实接口或设备动态验证
4. 全局证据追溯：work/liveshow-user-app-all-260901-001/global-evidence-scan-result.json</x:v>
      </x:c>
    </x:row>
    <x:row r="462" ht="67.5" customHeight="1">
      <x:c r="A462" s="5" t="n">
        <x:v>461</x:v>
      </x:c>
      <x:c r="B462" s="5" t="str">
        <x:v>SOCIAL-048</x:v>
      </x:c>
      <x:c r="C462" s="5" t="str">
        <x:v>用户App-消息与社交</x:v>
      </x:c>
      <x:c r="D462" s="5" t="str">
        <x:v>主播主页</x:v>
      </x:c>
      <x:c r="E462" s="5" t="str">
        <x:v>业务流程</x:v>
      </x:c>
      <x:c r="F462" s="5" t="str">
        <x:v>P2</x:v>
      </x:c>
      <x:c r="G462" s="5" t="str">
        <x:v>验证未入团用户打开加入弹层</x:v>
      </x:c>
      <x:c r="H462" s="5" t="str">
        <x:v>未入团用户打开加入弹层</x:v>
      </x:c>
      <x:c r="I462" s="5" t="str">
        <x:v>1. 用户尚未加入目标主播粉丝团</x:v>
      </x:c>
      <x:c r="J462" s="5" t="str">
        <x:v>1. 进入目标主播主页
2. 点击粉丝团入口</x:v>
      </x:c>
      <x:c r="K462" s="5" t="str">
        <x:v>页面打开该主播粉丝团加入弹层</x:v>
      </x:c>
      <x:c r="L462" s="5" t="str"/>
      <x:c r="M462" s="5" t="str">
        <x:v>未测</x:v>
      </x:c>
      <x:c r="N462" s="5" t="str"/>
      <x:c r="O462" s="5" t="str">
        <x:v>1. 来源：context/01-用户主播App-项目需求清单.md
2. 来源：prototype/pages/user/social/host-home.html
3. 静态分析：依据当前原型、批注和需求文件生成，未进行真实接口或设备动态验证
4. 全局证据追溯：work/liveshow-user-app-all-260901-001/global-evidence-scan-result.json</x:v>
      </x:c>
    </x:row>
    <x:row r="463" ht="79.5" customHeight="1">
      <x:c r="A463" s="5" t="n">
        <x:v>462</x:v>
      </x:c>
      <x:c r="B463" s="5" t="str">
        <x:v>SOCIAL-049</x:v>
      </x:c>
      <x:c r="C463" s="5" t="str">
        <x:v>用户App-消息与社交</x:v>
      </x:c>
      <x:c r="D463" s="5" t="str">
        <x:v>主播礼物展馆</x:v>
      </x:c>
      <x:c r="E463" s="5" t="str">
        <x:v>逻辑校验</x:v>
      </x:c>
      <x:c r="F463" s="5" t="str">
        <x:v>P2</x:v>
      </x:c>
      <x:c r="G463" s="5" t="str">
        <x:v>验证已收到礼物展示累计数量</x:v>
      </x:c>
      <x:c r="H463" s="5" t="str">
        <x:v>已收到礼物展示累计数量</x:v>
      </x:c>
      <x:c r="I463" s="5" t="str">
        <x:v>1. 目标主播已收到目标礼物</x:v>
      </x:c>
      <x:c r="J463" s="5" t="str">
        <x:v>1. 进入该主播礼物展馆</x:v>
      </x:c>
      <x:c r="K463" s="5" t="str">
        <x:v>目标礼物展示累计收到数量</x:v>
      </x:c>
      <x:c r="L463" s="5" t="str"/>
      <x:c r="M463" s="5" t="str">
        <x:v>未测</x:v>
      </x:c>
      <x:c r="N463" s="5" t="str"/>
      <x:c r="O463" s="5" t="str">
        <x:v>1. 来源：context/01-用户主播App-项目需求清单.md
2. 来源：prototype/pages/user/social/host-gift-gallery.html
3. 静态分析：依据当前原型、批注和需求文件生成，未进行真实接口或设备动态验证
4. 全局证据追溯：work/liveshow-user-app-all-260901-001/global-evidence-scan-result.json</x:v>
      </x:c>
    </x:row>
    <x:row r="464" ht="79.5" customHeight="1">
      <x:c r="A464" s="5" t="n">
        <x:v>463</x:v>
      </x:c>
      <x:c r="B464" s="5" t="str">
        <x:v>SOCIAL-050</x:v>
      </x:c>
      <x:c r="C464" s="5" t="str">
        <x:v>用户App-消息与社交</x:v>
      </x:c>
      <x:c r="D464" s="5" t="str">
        <x:v>主播礼物展馆</x:v>
      </x:c>
      <x:c r="E464" s="5" t="str">
        <x:v>逻辑校验</x:v>
      </x:c>
      <x:c r="F464" s="5" t="str">
        <x:v>P2</x:v>
      </x:c>
      <x:c r="G464" s="5" t="str">
        <x:v>验证未收到礼物显示未收到状态</x:v>
      </x:c>
      <x:c r="H464" s="5" t="str">
        <x:v>未收到礼物显示未收到状态</x:v>
      </x:c>
      <x:c r="I464" s="5" t="str">
        <x:v>1. 目标主播从未收到目标礼物</x:v>
      </x:c>
      <x:c r="J464" s="5" t="str">
        <x:v>1. 进入该主播礼物展馆</x:v>
      </x:c>
      <x:c r="K464" s="5" t="str">
        <x:v>目标礼物置灰并显示“未收到”</x:v>
      </x:c>
      <x:c r="L464" s="5" t="str"/>
      <x:c r="M464" s="5" t="str">
        <x:v>未测</x:v>
      </x:c>
      <x:c r="N464" s="5" t="str"/>
      <x:c r="O464" s="5" t="str">
        <x:v>1. 来源：context/01-用户主播App-项目需求清单.md
2. 来源：prototype/pages/user/social/host-gift-gallery.html
3. 静态分析：依据当前原型、批注和需求文件生成，未进行真实接口或设备动态验证
4. 全局证据追溯：work/liveshow-user-app-all-260901-001/global-evidence-scan-result.json</x:v>
      </x:c>
    </x:row>
    <x:row r="465" ht="67.5" customHeight="1">
      <x:c r="A465" s="5" t="n">
        <x:v>464</x:v>
      </x:c>
      <x:c r="B465" s="5" t="str">
        <x:v>PROFILE-001</x:v>
      </x:c>
      <x:c r="C465" s="5" t="str">
        <x:v>用户App-我的与粉丝团</x:v>
      </x:c>
      <x:c r="D465" s="5" t="str">
        <x:v>我的</x:v>
      </x:c>
      <x:c r="E465" s="5" t="str">
        <x:v>功能需求</x:v>
      </x:c>
      <x:c r="F465" s="5" t="str">
        <x:v>P2</x:v>
      </x:c>
      <x:c r="G465" s="5" t="str">
        <x:v>验证我的核心业务信息</x:v>
      </x:c>
      <x:c r="H465" s="5" t="str">
        <x:v>我的核心信息</x:v>
      </x:c>
      <x:c r="I465" s="5" t="str">
        <x:v>1. 用户已登录
2. 已进入“我的”页面</x:v>
      </x:c>
      <x:c r="J465" s="5" t="str">
        <x:v>1. 查看页面主要业务区域</x:v>
      </x:c>
      <x:c r="K465" s="5" t="str">
        <x:v>页面展示资料、资产、装扮、粉丝团、主播中心与公会入口</x:v>
      </x:c>
      <x:c r="L465" s="5" t="str"/>
      <x:c r="M465" s="5" t="str">
        <x:v>未测</x:v>
      </x:c>
      <x:c r="N465" s="5" t="str"/>
      <x:c r="O465" s="5" t="str">
        <x:v>1. 来源：context/01-用户主播App-项目需求清单.md
2. 来源：prototype/pages/user/profile/profile.html
3. 静态分析：依据当前原型、批注和需求文件生成，未进行真实接口或设备动态验证
4. 全局证据追溯：work/liveshow-user-app-all-260901-001/global-evidence-scan-result.json</x:v>
      </x:c>
    </x:row>
    <x:row r="466" ht="67.5" customHeight="1">
      <x:c r="A466" s="5" t="n">
        <x:v>465</x:v>
      </x:c>
      <x:c r="B466" s="5" t="str">
        <x:v>PROFILE-002</x:v>
      </x:c>
      <x:c r="C466" s="5" t="str">
        <x:v>用户App-我的与粉丝团</x:v>
      </x:c>
      <x:c r="D466" s="5" t="str">
        <x:v>资料编辑</x:v>
      </x:c>
      <x:c r="E466" s="5" t="str">
        <x:v>功能需求</x:v>
      </x:c>
      <x:c r="F466" s="5" t="str">
        <x:v>P2</x:v>
      </x:c>
      <x:c r="G466" s="5" t="str">
        <x:v>验证资料编辑核心业务信息</x:v>
      </x:c>
      <x:c r="H466" s="5" t="str">
        <x:v>资料编辑核心信息</x:v>
      </x:c>
      <x:c r="I466" s="5" t="str">
        <x:v>1. 用户已登录
2. 已进入“资料编辑”页面</x:v>
      </x:c>
      <x:c r="J466" s="5" t="str">
        <x:v>1. 查看页面主要业务区域</x:v>
      </x:c>
      <x:c r="K466" s="5" t="str">
        <x:v>页面展示头像、背景图、昵称、签名、性别、地区和生日</x:v>
      </x:c>
      <x:c r="L466" s="5" t="str"/>
      <x:c r="M466" s="5" t="str">
        <x:v>未测</x:v>
      </x:c>
      <x:c r="N466" s="5" t="str"/>
      <x:c r="O466"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67" ht="67.5" customHeight="1">
      <x:c r="A467" s="5" t="n">
        <x:v>466</x:v>
      </x:c>
      <x:c r="B467" s="5" t="str">
        <x:v>PROFILE-003</x:v>
      </x:c>
      <x:c r="C467" s="5" t="str">
        <x:v>用户App-我的与粉丝团</x:v>
      </x:c>
      <x:c r="D467" s="5" t="str">
        <x:v>我的关注</x:v>
      </x:c>
      <x:c r="E467" s="5" t="str">
        <x:v>功能需求</x:v>
      </x:c>
      <x:c r="F467" s="5" t="str">
        <x:v>P2</x:v>
      </x:c>
      <x:c r="G467" s="5" t="str">
        <x:v>验证我的关注核心业务信息</x:v>
      </x:c>
      <x:c r="H467" s="5" t="str">
        <x:v>我的关注核心信息</x:v>
      </x:c>
      <x:c r="I467" s="5" t="str">
        <x:v>1. 用户已登录
2. 已进入“我的关注”页面</x:v>
      </x:c>
      <x:c r="J467" s="5" t="str">
        <x:v>1. 查看页面主要业务区域</x:v>
      </x:c>
      <x:c r="K467" s="5" t="str">
        <x:v>页面展示已关注主播与开播状态</x:v>
      </x:c>
      <x:c r="L467" s="5" t="str"/>
      <x:c r="M467" s="5" t="str">
        <x:v>未测</x:v>
      </x:c>
      <x:c r="N467" s="5" t="str"/>
      <x:c r="O467" s="5" t="str">
        <x:v>1. 来源：context/01-用户主播App-项目需求清单.md
2. 来源：prototype/pages/user/profile/my-following.html
3. 静态分析：依据当前原型、批注和需求文件生成，未进行真实接口或设备动态验证
4. 全局证据追溯：work/liveshow-user-app-all-260901-001/global-evidence-scan-result.json</x:v>
      </x:c>
    </x:row>
    <x:row r="468" ht="67.5" customHeight="1">
      <x:c r="A468" s="5" t="n">
        <x:v>467</x:v>
      </x:c>
      <x:c r="B468" s="5" t="str">
        <x:v>PROFILE-004</x:v>
      </x:c>
      <x:c r="C468" s="5" t="str">
        <x:v>用户App-我的与粉丝团</x:v>
      </x:c>
      <x:c r="D468" s="5" t="str">
        <x:v>我的装扮</x:v>
      </x:c>
      <x:c r="E468" s="5" t="str">
        <x:v>功能需求</x:v>
      </x:c>
      <x:c r="F468" s="5" t="str">
        <x:v>P2</x:v>
      </x:c>
      <x:c r="G468" s="5" t="str">
        <x:v>验证我的装扮核心业务信息</x:v>
      </x:c>
      <x:c r="H468" s="5" t="str">
        <x:v>我的装扮核心信息</x:v>
      </x:c>
      <x:c r="I468" s="5" t="str">
        <x:v>1. 用户已登录
2. 已进入“我的装扮”页面</x:v>
      </x:c>
      <x:c r="J468" s="5" t="str">
        <x:v>1. 查看页面主要业务区域</x:v>
      </x:c>
      <x:c r="K468" s="5" t="str">
        <x:v>页面展示头像框、聊天气泡和勋章穿戴状态</x:v>
      </x:c>
      <x:c r="L468" s="5" t="str"/>
      <x:c r="M468" s="5" t="str">
        <x:v>未测</x:v>
      </x:c>
      <x:c r="N468" s="5" t="str"/>
      <x:c r="O468" s="5" t="str">
        <x:v>1. 来源：context/01-用户主播App-项目需求清单.md
2. 来源：prototype/pages/user/profile/my-decoration.html
3. 静态分析：依据当前原型、批注和需求文件生成，未进行真实接口或设备动态验证
4. 全局证据追溯：work/liveshow-user-app-all-260901-001/global-evidence-scan-result.json</x:v>
      </x:c>
    </x:row>
    <x:row r="469" ht="79.5" customHeight="1">
      <x:c r="A469" s="5" t="n">
        <x:v>468</x:v>
      </x:c>
      <x:c r="B469" s="5" t="str">
        <x:v>PROFILE-005</x:v>
      </x:c>
      <x:c r="C469" s="5" t="str">
        <x:v>用户App-我的与粉丝团</x:v>
      </x:c>
      <x:c r="D469" s="5" t="str">
        <x:v>头像框</x:v>
      </x:c>
      <x:c r="E469" s="5" t="str">
        <x:v>功能需求</x:v>
      </x:c>
      <x:c r="F469" s="5" t="str">
        <x:v>P2</x:v>
      </x:c>
      <x:c r="G469" s="5" t="str">
        <x:v>验证头像框核心业务信息</x:v>
      </x:c>
      <x:c r="H469" s="5" t="str">
        <x:v>头像框核心信息</x:v>
      </x:c>
      <x:c r="I469" s="5" t="str">
        <x:v>1. 用户已登录
2. 已进入“头像框”页面</x:v>
      </x:c>
      <x:c r="J469" s="5" t="str">
        <x:v>1. 查看页面主要业务区域</x:v>
      </x:c>
      <x:c r="K469" s="5" t="str">
        <x:v>页面展示有效头像框与单个穿戴状态</x:v>
      </x:c>
      <x:c r="L469" s="5" t="str"/>
      <x:c r="M469" s="5" t="str">
        <x:v>未测</x:v>
      </x:c>
      <x:c r="N469" s="5" t="str"/>
      <x:c r="O469" s="5" t="str">
        <x:v>1. 来源：context/01-用户主播App-项目需求清单.md
2. 来源：prototype/pages/user/profile/my-decoration-avatar-frame.html
3. 静态分析：依据当前原型、批注和需求文件生成，未进行真实接口或设备动态验证
4. 全局证据追溯：work/liveshow-user-app-all-260901-001/global-evidence-scan-result.json</x:v>
      </x:c>
    </x:row>
    <x:row r="470" ht="79.5" customHeight="1">
      <x:c r="A470" s="5" t="n">
        <x:v>469</x:v>
      </x:c>
      <x:c r="B470" s="5" t="str">
        <x:v>PROFILE-006</x:v>
      </x:c>
      <x:c r="C470" s="5" t="str">
        <x:v>用户App-我的与粉丝团</x:v>
      </x:c>
      <x:c r="D470" s="5" t="str">
        <x:v>聊天气泡</x:v>
      </x:c>
      <x:c r="E470" s="5" t="str">
        <x:v>功能需求</x:v>
      </x:c>
      <x:c r="F470" s="5" t="str">
        <x:v>P2</x:v>
      </x:c>
      <x:c r="G470" s="5" t="str">
        <x:v>验证聊天气泡核心业务信息</x:v>
      </x:c>
      <x:c r="H470" s="5" t="str">
        <x:v>聊天气泡核心信息</x:v>
      </x:c>
      <x:c r="I470" s="5" t="str">
        <x:v>1. 用户已登录
2. 已进入“聊天气泡”页面</x:v>
      </x:c>
      <x:c r="J470" s="5" t="str">
        <x:v>1. 查看页面主要业务区域</x:v>
      </x:c>
      <x:c r="K470" s="5" t="str">
        <x:v>页面展示有效期与单个穿戴状态</x:v>
      </x:c>
      <x:c r="L470" s="5" t="str"/>
      <x:c r="M470" s="5" t="str">
        <x:v>未测</x:v>
      </x:c>
      <x:c r="N470" s="5" t="str"/>
      <x:c r="O470" s="5" t="str">
        <x:v>1. 来源：context/01-用户主播App-项目需求清单.md
2. 来源：prototype/pages/user/profile/my-decoration-chat-bubble.html
3. 静态分析：依据当前原型、批注和需求文件生成，未进行真实接口或设备动态验证
4. 全局证据追溯：work/liveshow-user-app-all-260901-001/global-evidence-scan-result.json</x:v>
      </x:c>
    </x:row>
    <x:row r="471" ht="79.5" customHeight="1">
      <x:c r="A471" s="5" t="n">
        <x:v>470</x:v>
      </x:c>
      <x:c r="B471" s="5" t="str">
        <x:v>PROFILE-007</x:v>
      </x:c>
      <x:c r="C471" s="5" t="str">
        <x:v>用户App-我的与粉丝团</x:v>
      </x:c>
      <x:c r="D471" s="5" t="str">
        <x:v>勋章</x:v>
      </x:c>
      <x:c r="E471" s="5" t="str">
        <x:v>功能需求</x:v>
      </x:c>
      <x:c r="F471" s="5" t="str">
        <x:v>P2</x:v>
      </x:c>
      <x:c r="G471" s="5" t="str">
        <x:v>验证勋章核心业务信息</x:v>
      </x:c>
      <x:c r="H471" s="5" t="str">
        <x:v>勋章核心信息</x:v>
      </x:c>
      <x:c r="I471" s="5" t="str">
        <x:v>1. 用户已登录
2. 已进入“勋章”页面</x:v>
      </x:c>
      <x:c r="J471" s="5" t="str">
        <x:v>1. 查看页面主要业务区域</x:v>
      </x:c>
      <x:c r="K471" s="5" t="str">
        <x:v>页面展示勋章列表与最多五个穿戴状态</x:v>
      </x:c>
      <x:c r="L471" s="5" t="str"/>
      <x:c r="M471" s="5" t="str">
        <x:v>未测</x:v>
      </x:c>
      <x:c r="N471" s="5" t="str"/>
      <x:c r="O471" s="5" t="str">
        <x:v>1. 来源：context/01-用户主播App-项目需求清单.md
2. 来源：prototype/pages/user/profile/my-decoration-medal.html
3. 静态分析：依据当前原型、批注和需求文件生成，未进行真实接口或设备动态验证
4. 全局证据追溯：work/liveshow-user-app-all-260901-001/global-evidence-scan-result.json</x:v>
      </x:c>
    </x:row>
    <x:row r="472" ht="67.5" customHeight="1">
      <x:c r="A472" s="5" t="n">
        <x:v>471</x:v>
      </x:c>
      <x:c r="B472" s="5" t="str">
        <x:v>PROFILE-008</x:v>
      </x:c>
      <x:c r="C472" s="5" t="str">
        <x:v>用户App-我的与粉丝团</x:v>
      </x:c>
      <x:c r="D472" s="5" t="str">
        <x:v>设置</x:v>
      </x:c>
      <x:c r="E472" s="5" t="str">
        <x:v>功能需求</x:v>
      </x:c>
      <x:c r="F472" s="5" t="str">
        <x:v>P2</x:v>
      </x:c>
      <x:c r="G472" s="5" t="str">
        <x:v>验证设置核心业务信息</x:v>
      </x:c>
      <x:c r="H472" s="5" t="str">
        <x:v>设置核心信息</x:v>
      </x:c>
      <x:c r="I472" s="5" t="str">
        <x:v>1. 用户已登录
2. 已进入“设置”页面</x:v>
      </x:c>
      <x:c r="J472" s="5" t="str">
        <x:v>1. 查看页面主要业务区域</x:v>
      </x:c>
      <x:c r="K472" s="5" t="str">
        <x:v>页面展示账号安全、通知、语言、注销与退出登录</x:v>
      </x:c>
      <x:c r="L472" s="5" t="str"/>
      <x:c r="M472" s="5" t="str">
        <x:v>未测</x:v>
      </x:c>
      <x:c r="N472" s="5" t="str"/>
      <x:c r="O472" s="5" t="str">
        <x:v>1. 来源：context/01-用户主播App-项目需求清单.md
2. 来源：prototype/pages/user/profile/settings.html
3. 静态分析：依据当前原型、批注和需求文件生成，未进行真实接口或设备动态验证
4. 全局证据追溯：work/liveshow-user-app-all-260901-001/global-evidence-scan-result.json</x:v>
      </x:c>
    </x:row>
    <x:row r="473" ht="79.5" customHeight="1">
      <x:c r="A473" s="5" t="n">
        <x:v>472</x:v>
      </x:c>
      <x:c r="B473" s="5" t="str">
        <x:v>PROFILE-009</x:v>
      </x:c>
      <x:c r="C473" s="5" t="str">
        <x:v>用户App-我的与粉丝团</x:v>
      </x:c>
      <x:c r="D473" s="5" t="str">
        <x:v>黑名单管理</x:v>
      </x:c>
      <x:c r="E473" s="5" t="str">
        <x:v>功能需求</x:v>
      </x:c>
      <x:c r="F473" s="5" t="str">
        <x:v>P2</x:v>
      </x:c>
      <x:c r="G473" s="5" t="str">
        <x:v>验证黑名单管理核心业务信息</x:v>
      </x:c>
      <x:c r="H473" s="5" t="str">
        <x:v>黑名单管理核心信息</x:v>
      </x:c>
      <x:c r="I473" s="5" t="str">
        <x:v>1. 用户已登录
2. 已进入“黑名单管理”页面</x:v>
      </x:c>
      <x:c r="J473" s="5" t="str">
        <x:v>1. 查看页面主要业务区域</x:v>
      </x:c>
      <x:c r="K473" s="5" t="str">
        <x:v>页面展示账号黑名单列表与解除入口</x:v>
      </x:c>
      <x:c r="L473" s="5" t="str"/>
      <x:c r="M473" s="5" t="str">
        <x:v>未测</x:v>
      </x:c>
      <x:c r="N473" s="5" t="str"/>
      <x:c r="O473" s="5" t="str">
        <x:v>1. 来源：context/01-用户主播App-项目需求清单.md
2. 来源：prototype/pages/user/profile/blacklist-management.html
3. 静态分析：依据当前原型、批注和需求文件生成，未进行真实接口或设备动态验证
4. 全局证据追溯：work/liveshow-user-app-all-260901-001/global-evidence-scan-result.json</x:v>
      </x:c>
    </x:row>
    <x:row r="474" ht="67.5" customHeight="1">
      <x:c r="A474" s="5" t="n">
        <x:v>473</x:v>
      </x:c>
      <x:c r="B474" s="5" t="str">
        <x:v>PROFILE-010</x:v>
      </x:c>
      <x:c r="C474" s="5" t="str">
        <x:v>用户App-我的与粉丝团</x:v>
      </x:c>
      <x:c r="D474" s="5" t="str">
        <x:v>我的粉丝团</x:v>
      </x:c>
      <x:c r="E474" s="5" t="str">
        <x:v>功能需求</x:v>
      </x:c>
      <x:c r="F474" s="5" t="str">
        <x:v>P2</x:v>
      </x:c>
      <x:c r="G474" s="5" t="str">
        <x:v>验证我的粉丝团核心业务信息</x:v>
      </x:c>
      <x:c r="H474" s="5" t="str">
        <x:v>我的粉丝团核心信息</x:v>
      </x:c>
      <x:c r="I474" s="5" t="str">
        <x:v>1. 用户已登录
2. 已进入“我的粉丝团”页面</x:v>
      </x:c>
      <x:c r="J474" s="5" t="str">
        <x:v>1. 查看页面主要业务区域</x:v>
      </x:c>
      <x:c r="K474" s="5" t="str">
        <x:v>页面展示已加入粉丝团、群聊与贡献榜入口</x:v>
      </x:c>
      <x:c r="L474" s="5" t="str"/>
      <x:c r="M474" s="5" t="str">
        <x:v>未测</x:v>
      </x:c>
      <x:c r="N474" s="5" t="str"/>
      <x:c r="O474" s="5" t="str">
        <x:v>1. 来源：context/01-用户主播App-项目需求清单.md
2. 来源：prototype/pages/user/fan-club/my-fan-clubs.html
3. 静态分析：依据当前原型、批注和需求文件生成，未进行真实接口或设备动态验证
4. 全局证据追溯：work/liveshow-user-app-all-260901-001/global-evidence-scan-result.json</x:v>
      </x:c>
    </x:row>
    <x:row r="475" ht="79.5" customHeight="1">
      <x:c r="A475" s="5" t="n">
        <x:v>474</x:v>
      </x:c>
      <x:c r="B475" s="5" t="str">
        <x:v>PROFILE-011</x:v>
      </x:c>
      <x:c r="C475" s="5" t="str">
        <x:v>用户App-我的与粉丝团</x:v>
      </x:c>
      <x:c r="D475" s="5" t="str">
        <x:v>粉丝团贡献榜</x:v>
      </x:c>
      <x:c r="E475" s="5" t="str">
        <x:v>功能需求</x:v>
      </x:c>
      <x:c r="F475" s="5" t="str">
        <x:v>P2</x:v>
      </x:c>
      <x:c r="G475" s="5" t="str">
        <x:v>验证粉丝团贡献榜核心业务信息</x:v>
      </x:c>
      <x:c r="H475" s="5" t="str">
        <x:v>粉丝团贡献榜核心信息</x:v>
      </x:c>
      <x:c r="I475" s="5" t="str">
        <x:v>1. 用户已登录
2. 已进入“粉丝团贡献榜”页面</x:v>
      </x:c>
      <x:c r="J475" s="5" t="str">
        <x:v>1. 查看页面主要业务区域</x:v>
      </x:c>
      <x:c r="K475" s="5" t="str">
        <x:v>页面展示本周、本月、累计排名与我的排名</x:v>
      </x:c>
      <x:c r="L475" s="5" t="str"/>
      <x:c r="M475" s="5" t="str">
        <x:v>未测</x:v>
      </x:c>
      <x:c r="N475" s="5" t="str"/>
      <x:c r="O475" s="5" t="str">
        <x:v>1. 来源：context/01-用户主播App-项目需求清单.md
2. 来源：prototype/pages/user/fan-club/fan-contribution-ranking.html
3. 静态分析：依据当前原型、批注和需求文件生成，未进行真实接口或设备动态验证
4. 全局证据追溯：work/liveshow-user-app-all-260901-001/global-evidence-scan-result.json</x:v>
      </x:c>
    </x:row>
    <x:row r="476" ht="67.5" customHeight="1">
      <x:c r="A476" s="5" t="n">
        <x:v>475</x:v>
      </x:c>
      <x:c r="B476" s="5" t="str">
        <x:v>PROFILE-012</x:v>
      </x:c>
      <x:c r="C476" s="5" t="str">
        <x:v>用户App-我的与粉丝团</x:v>
      </x:c>
      <x:c r="D476" s="5" t="str">
        <x:v>我的</x:v>
      </x:c>
      <x:c r="E476" s="5" t="str">
        <x:v>业务流程</x:v>
      </x:c>
      <x:c r="F476" s="5" t="str">
        <x:v>P0</x:v>
      </x:c>
      <x:c r="G476" s="5" t="str">
        <x:v>验证底部四项导航互相切换</x:v>
      </x:c>
      <x:c r="H476" s="5" t="str">
        <x:v>底部四项导航互相切换</x:v>
      </x:c>
      <x:c r="I476" s="5" t="str">
        <x:v>1. 用户已登录</x:v>
      </x:c>
      <x:c r="J476" s="5" t="str">
        <x:v>1. 依次点击首页、福利、消息、我的</x:v>
      </x:c>
      <x:c r="K476" s="5" t="str">
        <x:v>每次点击均进入对应底部主页面</x:v>
      </x:c>
      <x:c r="L476" s="5" t="str"/>
      <x:c r="M476" s="5" t="str">
        <x:v>未测</x:v>
      </x:c>
      <x:c r="N476" s="5" t="str"/>
      <x:c r="O476" s="5" t="str">
        <x:v>1. 来源：context/01-用户主播App-项目需求清单.md
2. 来源：prototype/pages/user/profile/profile.html
3. 静态分析：依据当前原型、批注和需求文件生成，未进行真实接口或设备动态验证
4. 全局证据追溯：work/liveshow-user-app-all-260901-001/global-evidence-scan-result.json</x:v>
      </x:c>
    </x:row>
    <x:row r="477" ht="67.5" customHeight="1">
      <x:c r="A477" s="5" t="n">
        <x:v>476</x:v>
      </x:c>
      <x:c r="B477" s="5" t="str">
        <x:v>PROFILE-013</x:v>
      </x:c>
      <x:c r="C477" s="5" t="str">
        <x:v>用户App-我的与粉丝团</x:v>
      </x:c>
      <x:c r="D477" s="5" t="str">
        <x:v>我的</x:v>
      </x:c>
      <x:c r="E477" s="5" t="str">
        <x:v>业务流程</x:v>
      </x:c>
      <x:c r="F477" s="5" t="str">
        <x:v>P1</x:v>
      </x:c>
      <x:c r="G477" s="5" t="str">
        <x:v>验证普通用户进入主播申请页</x:v>
      </x:c>
      <x:c r="H477" s="5" t="str">
        <x:v>普通用户进入主播申请页</x:v>
      </x:c>
      <x:c r="I477" s="5" t="str">
        <x:v>1. 当前账号尚未成为主播</x:v>
      </x:c>
      <x:c r="J477" s="5" t="str">
        <x:v>1. 进入我的
2. 点击主播中心</x:v>
      </x:c>
      <x:c r="K477" s="5" t="str">
        <x:v>页面进入申请成为主播页</x:v>
      </x:c>
      <x:c r="L477" s="5" t="str"/>
      <x:c r="M477" s="5" t="str">
        <x:v>未测</x:v>
      </x:c>
      <x:c r="N477" s="5" t="str"/>
      <x:c r="O477" s="5" t="str">
        <x:v>1. 来源：context/01-用户主播App-项目需求清单.md
2. 来源：prototype/pages/user/profile/profile.html
3. 静态分析：依据当前原型、批注和需求文件生成，未进行真实接口或设备动态验证
4. 全局证据追溯：work/liveshow-user-app-all-260901-001/global-evidence-scan-result.json</x:v>
      </x:c>
    </x:row>
    <x:row r="478" ht="67.5" customHeight="1">
      <x:c r="A478" s="5" t="n">
        <x:v>477</x:v>
      </x:c>
      <x:c r="B478" s="5" t="str">
        <x:v>PROFILE-014</x:v>
      </x:c>
      <x:c r="C478" s="5" t="str">
        <x:v>用户App-我的与粉丝团</x:v>
      </x:c>
      <x:c r="D478" s="5" t="str">
        <x:v>我的</x:v>
      </x:c>
      <x:c r="E478" s="5" t="str">
        <x:v>业务流程</x:v>
      </x:c>
      <x:c r="F478" s="5" t="str">
        <x:v>P1</x:v>
      </x:c>
      <x:c r="G478" s="5" t="str">
        <x:v>验证已认证主播进入主播中心</x:v>
      </x:c>
      <x:c r="H478" s="5" t="str">
        <x:v>已认证主播进入主播中心</x:v>
      </x:c>
      <x:c r="I478" s="5" t="str">
        <x:v>1. 当前账号已获得主播身份</x:v>
      </x:c>
      <x:c r="J478" s="5" t="str">
        <x:v>1. 进入我的
2. 点击主播中心</x:v>
      </x:c>
      <x:c r="K478" s="5" t="str">
        <x:v>页面进入主播中心</x:v>
      </x:c>
      <x:c r="L478" s="5" t="str"/>
      <x:c r="M478" s="5" t="str">
        <x:v>未测</x:v>
      </x:c>
      <x:c r="N478" s="5" t="str"/>
      <x:c r="O478" s="5" t="str">
        <x:v>1. 来源：context/01-用户主播App-项目需求清单.md
2. 来源：prototype/pages/user/profile/profile.html
3. 静态分析：依据当前原型、批注和需求文件生成，未进行真实接口或设备动态验证
4. 全局证据追溯：work/liveshow-user-app-all-260901-001/global-evidence-scan-result.json</x:v>
      </x:c>
    </x:row>
    <x:row r="479" ht="67.5" customHeight="1">
      <x:c r="A479" s="5" t="n">
        <x:v>478</x:v>
      </x:c>
      <x:c r="B479" s="5" t="str">
        <x:v>PROFILE-015</x:v>
      </x:c>
      <x:c r="C479" s="5" t="str">
        <x:v>用户App-我的与粉丝团</x:v>
      </x:c>
      <x:c r="D479" s="5" t="str">
        <x:v>资料编辑</x:v>
      </x:c>
      <x:c r="E479" s="5" t="str">
        <x:v>业务流程</x:v>
      </x:c>
      <x:c r="F479" s="5" t="str">
        <x:v>P1</x:v>
      </x:c>
      <x:c r="G479" s="5" t="str">
        <x:v>验证头像修改进入风控检测</x:v>
      </x:c>
      <x:c r="H479" s="5" t="str">
        <x:v>头像修改进入风控检测</x:v>
      </x:c>
      <x:c r="I479" s="5" t="str">
        <x:v>1. 用户已进入资料编辑页</x:v>
      </x:c>
      <x:c r="J479" s="5" t="str">
        <x:v>1. 选择新头像
2. 提交资料</x:v>
      </x:c>
      <x:c r="K479" s="5" t="str">
        <x:v>头像显示风控检测中状态</x:v>
      </x:c>
      <x:c r="L479" s="5" t="str">
        <x:v>FLOW-UAPP-PROFILE-RISK-01</x:v>
      </x:c>
      <x:c r="M479" s="5" t="str">
        <x:v>未测</x:v>
      </x:c>
      <x:c r="N479" s="5" t="str"/>
      <x:c r="O479"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0" ht="67.5" customHeight="1">
      <x:c r="A480" s="5" t="n">
        <x:v>479</x:v>
      </x:c>
      <x:c r="B480" s="5" t="str">
        <x:v>PROFILE-016</x:v>
      </x:c>
      <x:c r="C480" s="5" t="str">
        <x:v>用户App-我的与粉丝团</x:v>
      </x:c>
      <x:c r="D480" s="5" t="str">
        <x:v>资料编辑</x:v>
      </x:c>
      <x:c r="E480" s="5" t="str">
        <x:v>业务流程</x:v>
      </x:c>
      <x:c r="F480" s="5" t="str">
        <x:v>P1</x:v>
      </x:c>
      <x:c r="G480" s="5" t="str">
        <x:v>验证头像检测通过后生效</x:v>
      </x:c>
      <x:c r="H480" s="5" t="str">
        <x:v>头像检测通过后生效</x:v>
      </x:c>
      <x:c r="I480" s="5" t="str">
        <x:v>1. 新头像已提交且后台风控检测通过</x:v>
      </x:c>
      <x:c r="J480" s="5" t="str">
        <x:v>1. 重新进入资料编辑页
2. 查看头像</x:v>
      </x:c>
      <x:c r="K480" s="5" t="str">
        <x:v>页面回显检测通过的新头像</x:v>
      </x:c>
      <x:c r="L480" s="5" t="str">
        <x:v>FLOW-UAPP-PROFILE-RISK-01</x:v>
      </x:c>
      <x:c r="M480" s="5" t="str">
        <x:v>未测</x:v>
      </x:c>
      <x:c r="N480" s="5" t="str"/>
      <x:c r="O480"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1" ht="67.5" customHeight="1">
      <x:c r="A481" s="5" t="n">
        <x:v>480</x:v>
      </x:c>
      <x:c r="B481" s="5" t="str">
        <x:v>PROFILE-017</x:v>
      </x:c>
      <x:c r="C481" s="5" t="str">
        <x:v>用户App-我的与粉丝团</x:v>
      </x:c>
      <x:c r="D481" s="5" t="str">
        <x:v>资料编辑</x:v>
      </x:c>
      <x:c r="E481" s="5" t="str">
        <x:v>业务流程</x:v>
      </x:c>
      <x:c r="F481" s="5" t="str">
        <x:v>P1</x:v>
      </x:c>
      <x:c r="G481" s="5" t="str">
        <x:v>验证头像检测不通过保留原头像</x:v>
      </x:c>
      <x:c r="H481" s="5" t="str">
        <x:v>头像检测不通过保留原头像</x:v>
      </x:c>
      <x:c r="I481" s="5" t="str">
        <x:v>1. 新头像已提交且后台风控检测不通过</x:v>
      </x:c>
      <x:c r="J481" s="5" t="str">
        <x:v>1. 重新进入资料编辑页
2. 查看头像</x:v>
      </x:c>
      <x:c r="K481" s="5" t="str">
        <x:v>页面仍回显提交前的原头像</x:v>
      </x:c>
      <x:c r="L481" s="5" t="str">
        <x:v>FLOW-UAPP-PROFILE-RISK-01</x:v>
      </x:c>
      <x:c r="M481" s="5" t="str">
        <x:v>未测</x:v>
      </x:c>
      <x:c r="N481" s="5" t="str"/>
      <x:c r="O481"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2" ht="67.5" customHeight="1">
      <x:c r="A482" s="5" t="n">
        <x:v>481</x:v>
      </x:c>
      <x:c r="B482" s="5" t="str">
        <x:v>PROFILE-018</x:v>
      </x:c>
      <x:c r="C482" s="5" t="str">
        <x:v>用户App-我的与粉丝团</x:v>
      </x:c>
      <x:c r="D482" s="5" t="str">
        <x:v>资料编辑</x:v>
      </x:c>
      <x:c r="E482" s="5" t="str">
        <x:v>业务流程</x:v>
      </x:c>
      <x:c r="F482" s="5" t="str">
        <x:v>P1</x:v>
      </x:c>
      <x:c r="G482" s="5" t="str">
        <x:v>验证昵称修改进入风控检测</x:v>
      </x:c>
      <x:c r="H482" s="5" t="str">
        <x:v>昵称修改进入风控检测</x:v>
      </x:c>
      <x:c r="I482" s="5" t="str">
        <x:v>1. 用户已进入资料编辑页</x:v>
      </x:c>
      <x:c r="J482" s="5" t="str">
        <x:v>1. 填写新昵称
2. 提交资料</x:v>
      </x:c>
      <x:c r="K482" s="5" t="str">
        <x:v>昵称显示风控检测中状态</x:v>
      </x:c>
      <x:c r="L482" s="5" t="str">
        <x:v>FLOW-UAPP-PROFILE-RISK-01</x:v>
      </x:c>
      <x:c r="M482" s="5" t="str">
        <x:v>未测</x:v>
      </x:c>
      <x:c r="N482" s="5" t="str"/>
      <x:c r="O482"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3" ht="67.5" customHeight="1">
      <x:c r="A483" s="5" t="n">
        <x:v>482</x:v>
      </x:c>
      <x:c r="B483" s="5" t="str">
        <x:v>PROFILE-019</x:v>
      </x:c>
      <x:c r="C483" s="5" t="str">
        <x:v>用户App-我的与粉丝团</x:v>
      </x:c>
      <x:c r="D483" s="5" t="str">
        <x:v>资料编辑</x:v>
      </x:c>
      <x:c r="E483" s="5" t="str">
        <x:v>业务流程</x:v>
      </x:c>
      <x:c r="F483" s="5" t="str">
        <x:v>P1</x:v>
      </x:c>
      <x:c r="G483" s="5" t="str">
        <x:v>验证昵称检测不通过保留原昵称</x:v>
      </x:c>
      <x:c r="H483" s="5" t="str">
        <x:v>昵称检测不通过保留原昵称</x:v>
      </x:c>
      <x:c r="I483" s="5" t="str">
        <x:v>1. 新昵称已提交且后台风控检测不通过</x:v>
      </x:c>
      <x:c r="J483" s="5" t="str">
        <x:v>1. 重新进入资料编辑页
2. 查看昵称</x:v>
      </x:c>
      <x:c r="K483" s="5" t="str">
        <x:v>页面仍回显提交前的原昵称</x:v>
      </x:c>
      <x:c r="L483" s="5" t="str">
        <x:v>FLOW-UAPP-PROFILE-RISK-01</x:v>
      </x:c>
      <x:c r="M483" s="5" t="str">
        <x:v>未测</x:v>
      </x:c>
      <x:c r="N483" s="5" t="str"/>
      <x:c r="O483"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4" ht="67.5" customHeight="1">
      <x:c r="A484" s="5" t="n">
        <x:v>483</x:v>
      </x:c>
      <x:c r="B484" s="5" t="str">
        <x:v>PROFILE-020</x:v>
      </x:c>
      <x:c r="C484" s="5" t="str">
        <x:v>用户App-我的与粉丝团</x:v>
      </x:c>
      <x:c r="D484" s="5" t="str">
        <x:v>资料编辑</x:v>
      </x:c>
      <x:c r="E484" s="5" t="str">
        <x:v>业务流程</x:v>
      </x:c>
      <x:c r="F484" s="5" t="str">
        <x:v>P2</x:v>
      </x:c>
      <x:c r="G484" s="5" t="str">
        <x:v>验证背景图修改直接生效</x:v>
      </x:c>
      <x:c r="H484" s="5" t="str">
        <x:v>背景图修改直接生效</x:v>
      </x:c>
      <x:c r="I484" s="5" t="str">
        <x:v>1. 用户已进入资料编辑页</x:v>
      </x:c>
      <x:c r="J484" s="5" t="str">
        <x:v>1. 修改背景图
2. 保存资料
3. 重新进入资料编辑页</x:v>
      </x:c>
      <x:c r="K484" s="5" t="str">
        <x:v>页面回显保存后的背景图</x:v>
      </x:c>
      <x:c r="L484" s="5" t="str"/>
      <x:c r="M484" s="5" t="str">
        <x:v>未测</x:v>
      </x:c>
      <x:c r="N484" s="5" t="str"/>
      <x:c r="O484"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5" ht="67.5" customHeight="1">
      <x:c r="A485" s="5" t="n">
        <x:v>484</x:v>
      </x:c>
      <x:c r="B485" s="5" t="str">
        <x:v>PROFILE-021</x:v>
      </x:c>
      <x:c r="C485" s="5" t="str">
        <x:v>用户App-我的与粉丝团</x:v>
      </x:c>
      <x:c r="D485" s="5" t="str">
        <x:v>资料编辑</x:v>
      </x:c>
      <x:c r="E485" s="5" t="str">
        <x:v>业务流程</x:v>
      </x:c>
      <x:c r="F485" s="5" t="str">
        <x:v>P2</x:v>
      </x:c>
      <x:c r="G485" s="5" t="str">
        <x:v>验证个性签名修改直接生效</x:v>
      </x:c>
      <x:c r="H485" s="5" t="str">
        <x:v>个性签名修改直接生效</x:v>
      </x:c>
      <x:c r="I485" s="5" t="str">
        <x:v>1. 用户已进入资料编辑页</x:v>
      </x:c>
      <x:c r="J485" s="5" t="str">
        <x:v>1. 修改个性签名
2. 保存资料
3. 重新进入资料编辑页</x:v>
      </x:c>
      <x:c r="K485" s="5" t="str">
        <x:v>页面回显保存后的个性签名</x:v>
      </x:c>
      <x:c r="L485" s="5" t="str"/>
      <x:c r="M485" s="5" t="str">
        <x:v>未测</x:v>
      </x:c>
      <x:c r="N485" s="5" t="str"/>
      <x:c r="O485"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6" ht="67.5" customHeight="1">
      <x:c r="A486" s="5" t="n">
        <x:v>485</x:v>
      </x:c>
      <x:c r="B486" s="5" t="str">
        <x:v>PROFILE-022</x:v>
      </x:c>
      <x:c r="C486" s="5" t="str">
        <x:v>用户App-我的与粉丝团</x:v>
      </x:c>
      <x:c r="D486" s="5" t="str">
        <x:v>资料编辑</x:v>
      </x:c>
      <x:c r="E486" s="5" t="str">
        <x:v>业务流程</x:v>
      </x:c>
      <x:c r="F486" s="5" t="str">
        <x:v>P2</x:v>
      </x:c>
      <x:c r="G486" s="5" t="str">
        <x:v>验证性别修改直接生效</x:v>
      </x:c>
      <x:c r="H486" s="5" t="str">
        <x:v>性别修改直接生效</x:v>
      </x:c>
      <x:c r="I486" s="5" t="str">
        <x:v>1. 用户已进入资料编辑页</x:v>
      </x:c>
      <x:c r="J486" s="5" t="str">
        <x:v>1. 修改性别
2. 保存资料
3. 重新进入资料编辑页</x:v>
      </x:c>
      <x:c r="K486" s="5" t="str">
        <x:v>页面回显保存后的性别</x:v>
      </x:c>
      <x:c r="L486" s="5" t="str"/>
      <x:c r="M486" s="5" t="str">
        <x:v>未测</x:v>
      </x:c>
      <x:c r="N486" s="5" t="str"/>
      <x:c r="O486"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7" ht="67.5" customHeight="1">
      <x:c r="A487" s="5" t="n">
        <x:v>486</x:v>
      </x:c>
      <x:c r="B487" s="5" t="str">
        <x:v>PROFILE-023</x:v>
      </x:c>
      <x:c r="C487" s="5" t="str">
        <x:v>用户App-我的与粉丝团</x:v>
      </x:c>
      <x:c r="D487" s="5" t="str">
        <x:v>资料编辑</x:v>
      </x:c>
      <x:c r="E487" s="5" t="str">
        <x:v>业务流程</x:v>
      </x:c>
      <x:c r="F487" s="5" t="str">
        <x:v>P2</x:v>
      </x:c>
      <x:c r="G487" s="5" t="str">
        <x:v>验证地区修改直接生效</x:v>
      </x:c>
      <x:c r="H487" s="5" t="str">
        <x:v>地区修改直接生效</x:v>
      </x:c>
      <x:c r="I487" s="5" t="str">
        <x:v>1. 用户已进入资料编辑页</x:v>
      </x:c>
      <x:c r="J487" s="5" t="str">
        <x:v>1. 修改地区
2. 保存资料
3. 重新进入资料编辑页</x:v>
      </x:c>
      <x:c r="K487" s="5" t="str">
        <x:v>页面回显保存后的地区</x:v>
      </x:c>
      <x:c r="L487" s="5" t="str"/>
      <x:c r="M487" s="5" t="str">
        <x:v>未测</x:v>
      </x:c>
      <x:c r="N487" s="5" t="str"/>
      <x:c r="O487"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8" ht="67.5" customHeight="1">
      <x:c r="A488" s="5" t="n">
        <x:v>487</x:v>
      </x:c>
      <x:c r="B488" s="5" t="str">
        <x:v>PROFILE-024</x:v>
      </x:c>
      <x:c r="C488" s="5" t="str">
        <x:v>用户App-我的与粉丝团</x:v>
      </x:c>
      <x:c r="D488" s="5" t="str">
        <x:v>资料编辑</x:v>
      </x:c>
      <x:c r="E488" s="5" t="str">
        <x:v>业务流程</x:v>
      </x:c>
      <x:c r="F488" s="5" t="str">
        <x:v>P2</x:v>
      </x:c>
      <x:c r="G488" s="5" t="str">
        <x:v>验证生日修改直接生效</x:v>
      </x:c>
      <x:c r="H488" s="5" t="str">
        <x:v>生日修改直接生效</x:v>
      </x:c>
      <x:c r="I488" s="5" t="str">
        <x:v>1. 用户已进入资料编辑页</x:v>
      </x:c>
      <x:c r="J488" s="5" t="str">
        <x:v>1. 修改生日
2. 保存资料
3. 重新进入资料编辑页</x:v>
      </x:c>
      <x:c r="K488" s="5" t="str">
        <x:v>页面回显保存后的生日</x:v>
      </x:c>
      <x:c r="L488" s="5" t="str"/>
      <x:c r="M488" s="5" t="str">
        <x:v>未测</x:v>
      </x:c>
      <x:c r="N488" s="5" t="str"/>
      <x:c r="O488" s="5" t="str">
        <x:v>1. 来源：context/01-用户主播App-项目需求清单.md
2. 来源：prototype/pages/user/profile/profile-edit.html
3. 静态分析：依据当前原型、批注和需求文件生成，未进行真实接口或设备动态验证
4. 全局证据追溯：work/liveshow-user-app-all-260901-001/global-evidence-scan-result.json</x:v>
      </x:c>
    </x:row>
    <x:row r="489" ht="67.5" customHeight="1">
      <x:c r="A489" s="5" t="n">
        <x:v>488</x:v>
      </x:c>
      <x:c r="B489" s="5" t="str">
        <x:v>PROFILE-025</x:v>
      </x:c>
      <x:c r="C489" s="5" t="str">
        <x:v>用户App-我的与粉丝团</x:v>
      </x:c>
      <x:c r="D489" s="5" t="str">
        <x:v>我的关注</x:v>
      </x:c>
      <x:c r="E489" s="5" t="str">
        <x:v>业务流程</x:v>
      </x:c>
      <x:c r="F489" s="5" t="str">
        <x:v>P2</x:v>
      </x:c>
      <x:c r="G489" s="5" t="str">
        <x:v>验证开播主播进入直播间</x:v>
      </x:c>
      <x:c r="H489" s="5" t="str">
        <x:v>开播主播进入直播间</x:v>
      </x:c>
      <x:c r="I489" s="5" t="str">
        <x:v>1. 关注列表存在正在直播的主播</x:v>
      </x:c>
      <x:c r="J489" s="5" t="str">
        <x:v>1. 点击该主播</x:v>
      </x:c>
      <x:c r="K489" s="5" t="str">
        <x:v>页面进入该主播当前直播间</x:v>
      </x:c>
      <x:c r="L489" s="5" t="str"/>
      <x:c r="M489" s="5" t="str">
        <x:v>未测</x:v>
      </x:c>
      <x:c r="N489" s="5" t="str"/>
      <x:c r="O489" s="5" t="str">
        <x:v>1. 来源：context/01-用户主播App-项目需求清单.md
2. 来源：prototype/pages/user/profile/my-following.html
3. 静态分析：依据当前原型、批注和需求文件生成，未进行真实接口或设备动态验证
4. 全局证据追溯：work/liveshow-user-app-all-260901-001/global-evidence-scan-result.json</x:v>
      </x:c>
    </x:row>
    <x:row r="490" ht="67.5" customHeight="1">
      <x:c r="A490" s="5" t="n">
        <x:v>489</x:v>
      </x:c>
      <x:c r="B490" s="5" t="str">
        <x:v>PROFILE-026</x:v>
      </x:c>
      <x:c r="C490" s="5" t="str">
        <x:v>用户App-我的与粉丝团</x:v>
      </x:c>
      <x:c r="D490" s="5" t="str">
        <x:v>我的关注</x:v>
      </x:c>
      <x:c r="E490" s="5" t="str">
        <x:v>业务流程</x:v>
      </x:c>
      <x:c r="F490" s="5" t="str">
        <x:v>P2</x:v>
      </x:c>
      <x:c r="G490" s="5" t="str">
        <x:v>验证未开播主播进入主播主页</x:v>
      </x:c>
      <x:c r="H490" s="5" t="str">
        <x:v>未开播主播进入主播主页</x:v>
      </x:c>
      <x:c r="I490" s="5" t="str">
        <x:v>1. 关注列表存在未直播的主播</x:v>
      </x:c>
      <x:c r="J490" s="5" t="str">
        <x:v>1. 点击该主播</x:v>
      </x:c>
      <x:c r="K490" s="5" t="str">
        <x:v>页面进入该主播主页</x:v>
      </x:c>
      <x:c r="L490" s="5" t="str"/>
      <x:c r="M490" s="5" t="str">
        <x:v>未测</x:v>
      </x:c>
      <x:c r="N490" s="5" t="str"/>
      <x:c r="O490" s="5" t="str">
        <x:v>1. 来源：context/01-用户主播App-项目需求清单.md
2. 来源：prototype/pages/user/profile/my-following.html
3. 静态分析：依据当前原型、批注和需求文件生成，未进行真实接口或设备动态验证
4. 全局证据追溯：work/liveshow-user-app-all-260901-001/global-evidence-scan-result.json</x:v>
      </x:c>
    </x:row>
    <x:row r="491" ht="79.5" customHeight="1">
      <x:c r="A491" s="5" t="n">
        <x:v>490</x:v>
      </x:c>
      <x:c r="B491" s="5" t="str">
        <x:v>PROFILE-027</x:v>
      </x:c>
      <x:c r="C491" s="5" t="str">
        <x:v>用户App-我的与粉丝团</x:v>
      </x:c>
      <x:c r="D491" s="5" t="str">
        <x:v>头像框</x:v>
      </x:c>
      <x:c r="E491" s="5" t="str">
        <x:v>业务流程</x:v>
      </x:c>
      <x:c r="F491" s="5" t="str">
        <x:v>P2</x:v>
      </x:c>
      <x:c r="G491" s="5" t="str">
        <x:v>验证穿戴头像框替换同类旧装扮</x:v>
      </x:c>
      <x:c r="H491" s="5" t="str">
        <x:v>穿戴头像框替换同类旧装扮</x:v>
      </x:c>
      <x:c r="I491" s="5" t="str">
        <x:v>1. 用户已拥有两个有效头像框且已穿戴其中一个</x:v>
      </x:c>
      <x:c r="J491" s="5" t="str">
        <x:v>1. 进入头像框页面
2. 穿戴另一个头像框</x:v>
      </x:c>
      <x:c r="K491" s="5" t="str">
        <x:v>新头像框变为穿戴中且原头像框取消穿戴</x:v>
      </x:c>
      <x:c r="L491" s="5" t="str"/>
      <x:c r="M491" s="5" t="str">
        <x:v>未测</x:v>
      </x:c>
      <x:c r="N491" s="5" t="str"/>
      <x:c r="O491" s="5" t="str">
        <x:v>1. 来源：context/01-用户主播App-项目需求清单.md
2. 来源：prototype/pages/user/profile/my-decoration-avatar-frame.html
3. 静态分析：依据当前原型、批注和需求文件生成，未进行真实接口或设备动态验证
4. 全局证据追溯：work/liveshow-user-app-all-260901-001/global-evidence-scan-result.json</x:v>
      </x:c>
    </x:row>
    <x:row r="492" ht="79.5" customHeight="1">
      <x:c r="A492" s="5" t="n">
        <x:v>491</x:v>
      </x:c>
      <x:c r="B492" s="5" t="str">
        <x:v>PROFILE-028</x:v>
      </x:c>
      <x:c r="C492" s="5" t="str">
        <x:v>用户App-我的与粉丝团</x:v>
      </x:c>
      <x:c r="D492" s="5" t="str">
        <x:v>聊天气泡</x:v>
      </x:c>
      <x:c r="E492" s="5" t="str">
        <x:v>逻辑校验</x:v>
      </x:c>
      <x:c r="F492" s="5" t="str">
        <x:v>P1</x:v>
      </x:c>
      <x:c r="G492" s="5" t="str">
        <x:v>验证过期聊天气泡不可穿戴</x:v>
      </x:c>
      <x:c r="H492" s="5" t="str">
        <x:v>过期聊天气泡不可穿戴</x:v>
      </x:c>
      <x:c r="I492" s="5" t="str">
        <x:v>1. 用户拥有一个已过期聊天气泡</x:v>
      </x:c>
      <x:c r="J492" s="5" t="str">
        <x:v>1. 进入聊天气泡页面
2. 尝试穿戴该气泡</x:v>
      </x:c>
      <x:c r="K492" s="5" t="str">
        <x:v>该聊天气泡不会变为穿戴中</x:v>
      </x:c>
      <x:c r="L492" s="5" t="str"/>
      <x:c r="M492" s="5" t="str">
        <x:v>未测</x:v>
      </x:c>
      <x:c r="N492" s="5" t="str"/>
      <x:c r="O492" s="5" t="str">
        <x:v>1. 来源：context/01-用户主播App-项目需求清单.md
2. 来源：prototype/pages/user/profile/my-decoration-chat-bubble.html
3. 静态分析：依据当前原型、批注和需求文件生成，未进行真实接口或设备动态验证
4. 全局证据追溯：work/liveshow-user-app-all-260901-001/global-evidence-scan-result.json</x:v>
      </x:c>
    </x:row>
    <x:row r="493" ht="79.5" customHeight="1">
      <x:c r="A493" s="5" t="n">
        <x:v>492</x:v>
      </x:c>
      <x:c r="B493" s="5" t="str">
        <x:v>PROFILE-029</x:v>
      </x:c>
      <x:c r="C493" s="5" t="str">
        <x:v>用户App-我的与粉丝团</x:v>
      </x:c>
      <x:c r="D493" s="5" t="str">
        <x:v>勋章</x:v>
      </x:c>
      <x:c r="E493" s="5" t="str">
        <x:v>逻辑校验</x:v>
      </x:c>
      <x:c r="F493" s="5" t="str">
        <x:v>P1</x:v>
      </x:c>
      <x:c r="G493" s="5" t="str">
        <x:v>验证最多穿戴五个勋章</x:v>
      </x:c>
      <x:c r="H493" s="5" t="str">
        <x:v>最多穿戴五个勋章</x:v>
      </x:c>
      <x:c r="I493" s="5" t="str">
        <x:v>1. 用户已穿戴 5 个有效勋章并另有 1 个未穿戴勋章</x:v>
      </x:c>
      <x:c r="J493" s="5" t="str">
        <x:v>1. 进入勋章页面
2. 尝试穿戴第 6 个勋章</x:v>
      </x:c>
      <x:c r="K493" s="5" t="str">
        <x:v>已穿戴勋章数量保持为 5</x:v>
      </x:c>
      <x:c r="L493" s="5" t="str"/>
      <x:c r="M493" s="5" t="str">
        <x:v>未测</x:v>
      </x:c>
      <x:c r="N493" s="5" t="str"/>
      <x:c r="O493" s="5" t="str">
        <x:v>1. 来源：context/01-用户主播App-项目需求清单.md
2. 来源：prototype/pages/user/profile/my-decoration-medal.html
3. 静态分析：依据当前原型、批注和需求文件生成，未进行真实接口或设备动态验证
4. 全局证据追溯：work/liveshow-user-app-all-260901-001/global-evidence-scan-result.json</x:v>
      </x:c>
    </x:row>
    <x:row r="494" ht="67.5" customHeight="1">
      <x:c r="A494" s="5" t="n">
        <x:v>493</x:v>
      </x:c>
      <x:c r="B494" s="5" t="str">
        <x:v>PROFILE-030</x:v>
      </x:c>
      <x:c r="C494" s="5" t="str">
        <x:v>用户App-我的与粉丝团</x:v>
      </x:c>
      <x:c r="D494" s="5" t="str">
        <x:v>我的装扮</x:v>
      </x:c>
      <x:c r="E494" s="5" t="str">
        <x:v>逻辑校验</x:v>
      </x:c>
      <x:c r="F494" s="5" t="str">
        <x:v>P1</x:v>
      </x:c>
      <x:c r="G494" s="5" t="str">
        <x:v>验证道具到期后停止展示</x:v>
      </x:c>
      <x:c r="H494" s="5" t="str">
        <x:v>道具到期后停止展示</x:v>
      </x:c>
      <x:c r="I494" s="5" t="str">
        <x:v>1. 用户当前穿戴的头像框已到期</x:v>
      </x:c>
      <x:c r="J494" s="5" t="str">
        <x:v>1. 重新进入我的装扮
2. 查看头像框状态</x:v>
      </x:c>
      <x:c r="K494" s="5" t="str">
        <x:v>已到期头像框不再显示为穿戴中</x:v>
      </x:c>
      <x:c r="L494" s="5" t="str"/>
      <x:c r="M494" s="5" t="str">
        <x:v>未测</x:v>
      </x:c>
      <x:c r="N494" s="5" t="str"/>
      <x:c r="O494" s="5" t="str">
        <x:v>1. 来源：context/01-用户主播App-项目需求清单.md
2. 来源：prototype/pages/user/profile/my-decoration.html
3. 静态分析：依据当前原型、批注和需求文件生成，未进行真实接口或设备动态验证
4. 全局证据追溯：work/liveshow-user-app-all-260901-001/global-evidence-scan-result.json</x:v>
      </x:c>
    </x:row>
    <x:row r="495" ht="67.5" customHeight="1">
      <x:c r="A495" s="5" t="n">
        <x:v>494</x:v>
      </x:c>
      <x:c r="B495" s="5" t="str">
        <x:v>PROFILE-031</x:v>
      </x:c>
      <x:c r="C495" s="5" t="str">
        <x:v>用户App-我的与粉丝团</x:v>
      </x:c>
      <x:c r="D495" s="5" t="str">
        <x:v>设置</x:v>
      </x:c>
      <x:c r="E495" s="5" t="str">
        <x:v>业务流程</x:v>
      </x:c>
      <x:c r="F495" s="5" t="str">
        <x:v>P2</x:v>
      </x:c>
      <x:c r="G495" s="5" t="str">
        <x:v>验证切换英语</x:v>
      </x:c>
      <x:c r="H495" s="5" t="str">
        <x:v>切换英语</x:v>
      </x:c>
      <x:c r="I495" s="5" t="str">
        <x:v>1. 当前界面语言不是英语</x:v>
      </x:c>
      <x:c r="J495" s="5" t="str">
        <x:v>1. 进入设置
2. 将语言切换为英语</x:v>
      </x:c>
      <x:c r="K495" s="5" t="str">
        <x:v>用户 App 的可翻译界面文案切换为英语</x:v>
      </x:c>
      <x:c r="L495" s="5" t="str"/>
      <x:c r="M495" s="5" t="str">
        <x:v>未测</x:v>
      </x:c>
      <x:c r="N495" s="5" t="str"/>
      <x:c r="O495" s="5" t="str">
        <x:v>1. 来源：context/01-用户主播App-项目需求清单.md
2. 来源：prototype/pages/user/profile/settings.html
3. 静态分析：依据当前原型、批注和需求文件生成，未进行真实接口或设备动态验证
4. 全局证据追溯：work/liveshow-user-app-all-260901-001/global-evidence-scan-result.json</x:v>
      </x:c>
    </x:row>
    <x:row r="496" ht="67.5" customHeight="1">
      <x:c r="A496" s="5" t="n">
        <x:v>495</x:v>
      </x:c>
      <x:c r="B496" s="5" t="str">
        <x:v>PROFILE-032</x:v>
      </x:c>
      <x:c r="C496" s="5" t="str">
        <x:v>用户App-我的与粉丝团</x:v>
      </x:c>
      <x:c r="D496" s="5" t="str">
        <x:v>设置</x:v>
      </x:c>
      <x:c r="E496" s="5" t="str">
        <x:v>业务流程</x:v>
      </x:c>
      <x:c r="F496" s="5" t="str">
        <x:v>P2</x:v>
      </x:c>
      <x:c r="G496" s="5" t="str">
        <x:v>验证切换马来西亚语</x:v>
      </x:c>
      <x:c r="H496" s="5" t="str">
        <x:v>切换马来西亚语</x:v>
      </x:c>
      <x:c r="I496" s="5" t="str">
        <x:v>1. 当前界面语言不是马来西亚语</x:v>
      </x:c>
      <x:c r="J496" s="5" t="str">
        <x:v>1. 进入设置
2. 将语言切换为马来西亚语</x:v>
      </x:c>
      <x:c r="K496" s="5" t="str">
        <x:v>用户 App 的可翻译界面文案切换为马来西亚语</x:v>
      </x:c>
      <x:c r="L496" s="5" t="str"/>
      <x:c r="M496" s="5" t="str">
        <x:v>未测</x:v>
      </x:c>
      <x:c r="N496" s="5" t="str"/>
      <x:c r="O496" s="5" t="str">
        <x:v>1. 来源：context/01-用户主播App-项目需求清单.md
2. 来源：prototype/pages/user/profile/settings.html
3. 静态分析：依据当前原型、批注和需求文件生成，未进行真实接口或设备动态验证
4. 全局证据追溯：work/liveshow-user-app-all-260901-001/global-evidence-scan-result.json</x:v>
      </x:c>
    </x:row>
    <x:row r="497" ht="67.5" customHeight="1">
      <x:c r="A497" s="5" t="n">
        <x:v>496</x:v>
      </x:c>
      <x:c r="B497" s="5" t="str">
        <x:v>PROFILE-033</x:v>
      </x:c>
      <x:c r="C497" s="5" t="str">
        <x:v>用户App-我的与粉丝团</x:v>
      </x:c>
      <x:c r="D497" s="5" t="str">
        <x:v>设置</x:v>
      </x:c>
      <x:c r="E497" s="5" t="str">
        <x:v>业务流程</x:v>
      </x:c>
      <x:c r="F497" s="5" t="str">
        <x:v>P2</x:v>
      </x:c>
      <x:c r="G497" s="5" t="str">
        <x:v>验证切换印尼语</x:v>
      </x:c>
      <x:c r="H497" s="5" t="str">
        <x:v>切换印尼语</x:v>
      </x:c>
      <x:c r="I497" s="5" t="str">
        <x:v>1. 当前界面语言不是印尼语</x:v>
      </x:c>
      <x:c r="J497" s="5" t="str">
        <x:v>1. 进入设置
2. 将语言切换为印尼语</x:v>
      </x:c>
      <x:c r="K497" s="5" t="str">
        <x:v>用户 App 的可翻译界面文案切换为印尼语</x:v>
      </x:c>
      <x:c r="L497" s="5" t="str"/>
      <x:c r="M497" s="5" t="str">
        <x:v>未测</x:v>
      </x:c>
      <x:c r="N497" s="5" t="str"/>
      <x:c r="O497" s="5" t="str">
        <x:v>1. 来源：context/01-用户主播App-项目需求清单.md
2. 来源：prototype/pages/user/profile/settings.html
3. 静态分析：依据当前原型、批注和需求文件生成，未进行真实接口或设备动态验证
4. 全局证据追溯：work/liveshow-user-app-all-260901-001/global-evidence-scan-result.json</x:v>
      </x:c>
    </x:row>
    <x:row r="498" ht="67.5" customHeight="1">
      <x:c r="A498" s="5" t="n">
        <x:v>497</x:v>
      </x:c>
      <x:c r="B498" s="5" t="str">
        <x:v>PROFILE-034</x:v>
      </x:c>
      <x:c r="C498" s="5" t="str">
        <x:v>用户App-我的与粉丝团</x:v>
      </x:c>
      <x:c r="D498" s="5" t="str">
        <x:v>设置</x:v>
      </x:c>
      <x:c r="E498" s="5" t="str">
        <x:v>逻辑校验</x:v>
      </x:c>
      <x:c r="F498" s="5" t="str">
        <x:v>P1</x:v>
      </x:c>
      <x:c r="G498" s="5" t="str">
        <x:v>验证退出登录仅清除当前设备会话</x:v>
      </x:c>
      <x:c r="H498" s="5" t="str">
        <x:v>退出登录仅清除当前设备会话</x:v>
      </x:c>
      <x:c r="I498" s="5" t="str">
        <x:v>1. 同一账号已在两台设备登录</x:v>
      </x:c>
      <x:c r="J498" s="5" t="str">
        <x:v>1. 在设备 A 进入设置
2. 点击退出登录
3. 在设备 B 刷新登录态</x:v>
      </x:c>
      <x:c r="K498" s="5" t="str">
        <x:v>设备 B 的登录会话保持有效</x:v>
      </x:c>
      <x:c r="L498" s="5" t="str"/>
      <x:c r="M498" s="5" t="str">
        <x:v>未测</x:v>
      </x:c>
      <x:c r="N498" s="5" t="str"/>
      <x:c r="O498" s="5" t="str">
        <x:v>1. 来源：context/01-用户主播App-项目需求清单.md
2. 来源：prototype/pages/user/profile/settings.html
3. 静态分析：依据当前原型、批注和需求文件生成，未进行真实接口或设备动态验证
4. 全局证据追溯：work/liveshow-user-app-all-260901-001/global-evidence-scan-result.json</x:v>
      </x:c>
    </x:row>
    <x:row r="499" ht="67.5" customHeight="1">
      <x:c r="A499" s="5" t="n">
        <x:v>498</x:v>
      </x:c>
      <x:c r="B499" s="5" t="str">
        <x:v>PROFILE-035</x:v>
      </x:c>
      <x:c r="C499" s="5" t="str">
        <x:v>用户App-我的与粉丝团</x:v>
      </x:c>
      <x:c r="D499" s="5" t="str">
        <x:v>设置</x:v>
      </x:c>
      <x:c r="E499" s="5" t="str">
        <x:v>逻辑校验</x:v>
      </x:c>
      <x:c r="F499" s="5" t="str">
        <x:v>P1</x:v>
      </x:c>
      <x:c r="G499" s="5" t="str">
        <x:v>验证有未消费金币时不能提交注销</x:v>
      </x:c>
      <x:c r="H499" s="5" t="str">
        <x:v>有未消费金币时不能提交注销</x:v>
      </x:c>
      <x:c r="I499" s="5" t="str">
        <x:v>1. 用户金币余额大于 0</x:v>
      </x:c>
      <x:c r="J499" s="5" t="str">
        <x:v>1. 进入设置的账号注销
2. 确认提交注销申请</x:v>
      </x:c>
      <x:c r="K499" s="5" t="str">
        <x:v>系统不接受本次注销申请</x:v>
      </x:c>
      <x:c r="L499" s="5" t="str"/>
      <x:c r="M499" s="5" t="str">
        <x:v>未测</x:v>
      </x:c>
      <x:c r="N499" s="5" t="str"/>
      <x:c r="O499" s="5" t="str">
        <x:v>1. 来源：context/01-用户主播App-项目需求清单.md
2. 来源：prototype/pages/user/profile/settings.html
3. 静态分析：依据当前原型、批注和需求文件生成，未进行真实接口或设备动态验证
4. 全局证据追溯：work/liveshow-user-app-all-260901-001/global-evidence-scan-result.json</x:v>
      </x:c>
    </x:row>
    <x:row r="500" ht="67.5" customHeight="1">
      <x:c r="A500" s="5" t="n">
        <x:v>499</x:v>
      </x:c>
      <x:c r="B500" s="5" t="str">
        <x:v>PROFILE-036</x:v>
      </x:c>
      <x:c r="C500" s="5" t="str">
        <x:v>用户App-我的与粉丝团</x:v>
      </x:c>
      <x:c r="D500" s="5" t="str">
        <x:v>设置</x:v>
      </x:c>
      <x:c r="E500" s="5" t="str">
        <x:v>逻辑校验</x:v>
      </x:c>
      <x:c r="F500" s="5" t="str">
        <x:v>P1</x:v>
      </x:c>
      <x:c r="G500" s="5" t="str">
        <x:v>验证有未处理收益时不能提交注销</x:v>
      </x:c>
      <x:c r="H500" s="5" t="str">
        <x:v>有未处理收益时不能提交注销</x:v>
      </x:c>
      <x:c r="I500" s="5" t="str">
        <x:v>1. 主播存在未处理收益</x:v>
      </x:c>
      <x:c r="J500" s="5" t="str">
        <x:v>1. 进入设置的账号注销
2. 确认提交注销申请</x:v>
      </x:c>
      <x:c r="K500" s="5" t="str">
        <x:v>系统不接受本次注销申请</x:v>
      </x:c>
      <x:c r="L500" s="5" t="str"/>
      <x:c r="M500" s="5" t="str">
        <x:v>未测</x:v>
      </x:c>
      <x:c r="N500" s="5" t="str"/>
      <x:c r="O500" s="5" t="str">
        <x:v>1. 来源：context/01-用户主播App-项目需求清单.md
2. 来源：prototype/pages/user/profile/settings.html
3. 静态分析：依据当前原型、批注和需求文件生成，未进行真实接口或设备动态验证
4. 全局证据追溯：work/liveshow-user-app-all-260901-001/global-evidence-scan-result.json</x:v>
      </x:c>
    </x:row>
    <x:row r="501" ht="79.5" customHeight="1">
      <x:c r="A501" s="5" t="n">
        <x:v>500</x:v>
      </x:c>
      <x:c r="B501" s="5" t="str">
        <x:v>PROFILE-037</x:v>
      </x:c>
      <x:c r="C501" s="5" t="str">
        <x:v>用户App-我的与粉丝团</x:v>
      </x:c>
      <x:c r="D501" s="5" t="str">
        <x:v>黑名单管理</x:v>
      </x:c>
      <x:c r="E501" s="5" t="str">
        <x:v>业务流程</x:v>
      </x:c>
      <x:c r="F501" s="5" t="str">
        <x:v>P1</x:v>
      </x:c>
      <x:c r="G501" s="5" t="str">
        <x:v>验证解除账号拉黑</x:v>
      </x:c>
      <x:c r="H501" s="5" t="str">
        <x:v>解除账号拉黑</x:v>
      </x:c>
      <x:c r="I501" s="5" t="str">
        <x:v>1. 账号黑名单中存在目标用户</x:v>
      </x:c>
      <x:c r="J501" s="5" t="str">
        <x:v>1. 进入黑名单管理
2. 点击目标用户的解除
3. 确认解除</x:v>
      </x:c>
      <x:c r="K501" s="5" t="str">
        <x:v>目标用户从账号黑名单列表移除</x:v>
      </x:c>
      <x:c r="L501" s="5" t="str">
        <x:v>FLOW-UAPP-BLOCK-01</x:v>
      </x:c>
      <x:c r="M501" s="5" t="str">
        <x:v>未测</x:v>
      </x:c>
      <x:c r="N501" s="5" t="str"/>
      <x:c r="O501" s="5" t="str">
        <x:v>1. 来源：context/01-用户主播App-项目需求清单.md
2. 来源：prototype/pages/user/profile/blacklist-management.html
3. 静态分析：依据当前原型、批注和需求文件生成，未进行真实接口或设备动态验证
4. 全局证据追溯：work/liveshow-user-app-all-260901-001/global-evidence-scan-result.json</x:v>
      </x:c>
    </x:row>
    <x:row r="502" ht="79.5" customHeight="1">
      <x:c r="A502" s="5" t="n">
        <x:v>501</x:v>
      </x:c>
      <x:c r="B502" s="5" t="str">
        <x:v>PROFILE-038</x:v>
      </x:c>
      <x:c r="C502" s="5" t="str">
        <x:v>用户App-我的与粉丝团</x:v>
      </x:c>
      <x:c r="D502" s="5" t="str">
        <x:v>黑名单管理</x:v>
      </x:c>
      <x:c r="E502" s="5" t="str">
        <x:v>逻辑校验</x:v>
      </x:c>
      <x:c r="F502" s="5" t="str">
        <x:v>P1</x:v>
      </x:c>
      <x:c r="G502" s="5" t="str">
        <x:v>验证账号黑名单不包含直播间黑名单</x:v>
      </x:c>
      <x:c r="H502" s="5" t="str">
        <x:v>账号黑名单不包含直播间黑名单</x:v>
      </x:c>
      <x:c r="I502" s="5" t="str">
        <x:v>1. 主播仅在某场直播中将目标用户加入直播间黑名单</x:v>
      </x:c>
      <x:c r="J502" s="5" t="str">
        <x:v>1. 进入账号黑名单管理</x:v>
      </x:c>
      <x:c r="K502" s="5" t="str">
        <x:v>账号黑名单列表不因该直播间黑名单关系新增目标用户</x:v>
      </x:c>
      <x:c r="L502" s="5" t="str"/>
      <x:c r="M502" s="5" t="str">
        <x:v>未测</x:v>
      </x:c>
      <x:c r="N502" s="5" t="str"/>
      <x:c r="O502" s="5" t="str">
        <x:v>1. 来源：context/01-用户主播App-项目需求清单.md
2. 来源：prototype/pages/user/profile/blacklist-management.html
3. 静态分析：依据当前原型、批注和需求文件生成，未进行真实接口或设备动态验证
4. 全局证据追溯：work/liveshow-user-app-all-260901-001/global-evidence-scan-result.json</x:v>
      </x:c>
    </x:row>
    <x:row r="503" ht="67.5" customHeight="1">
      <x:c r="A503" s="5" t="n">
        <x:v>502</x:v>
      </x:c>
      <x:c r="B503" s="5" t="str">
        <x:v>PROFILE-039</x:v>
      </x:c>
      <x:c r="C503" s="5" t="str">
        <x:v>用户App-我的与粉丝团</x:v>
      </x:c>
      <x:c r="D503" s="5" t="str">
        <x:v>我的粉丝团</x:v>
      </x:c>
      <x:c r="E503" s="5" t="str">
        <x:v>业务流程</x:v>
      </x:c>
      <x:c r="F503" s="5" t="str">
        <x:v>P2</x:v>
      </x:c>
      <x:c r="G503" s="5" t="str">
        <x:v>验证进入粉丝团群聊</x:v>
      </x:c>
      <x:c r="H503" s="5" t="str">
        <x:v>进入粉丝团群聊</x:v>
      </x:c>
      <x:c r="I503" s="5" t="str">
        <x:v>1. 用户已加入目标主播粉丝团</x:v>
      </x:c>
      <x:c r="J503" s="5" t="str">
        <x:v>1. 进入我的粉丝团
2. 点击该粉丝团群聊入口</x:v>
      </x:c>
      <x:c r="K503" s="5" t="str">
        <x:v>页面进入该粉丝团群聊</x:v>
      </x:c>
      <x:c r="L503" s="5" t="str"/>
      <x:c r="M503" s="5" t="str">
        <x:v>未测</x:v>
      </x:c>
      <x:c r="N503" s="5" t="str"/>
      <x:c r="O503" s="5" t="str">
        <x:v>1. 来源：context/01-用户主播App-项目需求清单.md
2. 来源：prototype/pages/user/fan-club/my-fan-clubs.html
3. 静态分析：依据当前原型、批注和需求文件生成，未进行真实接口或设备动态验证
4. 全局证据追溯：work/liveshow-user-app-all-260901-001/global-evidence-scan-result.json</x:v>
      </x:c>
    </x:row>
    <x:row r="504" ht="79.5" customHeight="1">
      <x:c r="A504" s="5" t="n">
        <x:v>503</x:v>
      </x:c>
      <x:c r="B504" s="5" t="str">
        <x:v>PROFILE-040</x:v>
      </x:c>
      <x:c r="C504" s="5" t="str">
        <x:v>用户App-我的与粉丝团</x:v>
      </x:c>
      <x:c r="D504" s="5" t="str">
        <x:v>粉丝团贡献榜</x:v>
      </x:c>
      <x:c r="E504" s="5" t="str">
        <x:v>逻辑校验</x:v>
      </x:c>
      <x:c r="F504" s="5" t="str">
        <x:v>P2</x:v>
      </x:c>
      <x:c r="G504" s="5" t="str">
        <x:v>验证本周贡献排名</x:v>
      </x:c>
      <x:c r="H504" s="5" t="str">
        <x:v>本周贡献排名</x:v>
      </x:c>
      <x:c r="I504" s="5" t="str">
        <x:v>1. 目标粉丝团存在本周贡献数据</x:v>
      </x:c>
      <x:c r="J504" s="5" t="str">
        <x:v>1. 进入粉丝团贡献榜
2. 切换到“本周”</x:v>
      </x:c>
      <x:c r="K504" s="5" t="str">
        <x:v>前三、榜单列表和我的排名同步展示本周数据</x:v>
      </x:c>
      <x:c r="L504" s="5" t="str"/>
      <x:c r="M504" s="5" t="str">
        <x:v>未测</x:v>
      </x:c>
      <x:c r="N504" s="5" t="str"/>
      <x:c r="O504" s="5" t="str">
        <x:v>1. 来源：context/01-用户主播App-项目需求清单.md
2. 来源：prototype/pages/user/fan-club/fan-contribution-ranking.html
3. 静态分析：依据当前原型、批注和需求文件生成，未进行真实接口或设备动态验证
4. 全局证据追溯：work/liveshow-user-app-all-260901-001/global-evidence-scan-result.json</x:v>
      </x:c>
    </x:row>
    <x:row r="505" ht="79.5" customHeight="1">
      <x:c r="A505" s="5" t="n">
        <x:v>504</x:v>
      </x:c>
      <x:c r="B505" s="5" t="str">
        <x:v>PROFILE-041</x:v>
      </x:c>
      <x:c r="C505" s="5" t="str">
        <x:v>用户App-我的与粉丝团</x:v>
      </x:c>
      <x:c r="D505" s="5" t="str">
        <x:v>粉丝团贡献榜</x:v>
      </x:c>
      <x:c r="E505" s="5" t="str">
        <x:v>逻辑校验</x:v>
      </x:c>
      <x:c r="F505" s="5" t="str">
        <x:v>P2</x:v>
      </x:c>
      <x:c r="G505" s="5" t="str">
        <x:v>验证本月贡献排名</x:v>
      </x:c>
      <x:c r="H505" s="5" t="str">
        <x:v>本月贡献排名</x:v>
      </x:c>
      <x:c r="I505" s="5" t="str">
        <x:v>1. 目标粉丝团存在本月贡献数据</x:v>
      </x:c>
      <x:c r="J505" s="5" t="str">
        <x:v>1. 进入粉丝团贡献榜
2. 切换到“本月”</x:v>
      </x:c>
      <x:c r="K505" s="5" t="str">
        <x:v>前三、榜单列表和我的排名同步展示本月数据</x:v>
      </x:c>
      <x:c r="L505" s="5" t="str"/>
      <x:c r="M505" s="5" t="str">
        <x:v>未测</x:v>
      </x:c>
      <x:c r="N505" s="5" t="str"/>
      <x:c r="O505" s="5" t="str">
        <x:v>1. 来源：context/01-用户主播App-项目需求清单.md
2. 来源：prototype/pages/user/fan-club/fan-contribution-ranking.html
3. 静态分析：依据当前原型、批注和需求文件生成，未进行真实接口或设备动态验证
4. 全局证据追溯：work/liveshow-user-app-all-260901-001/global-evidence-scan-result.json</x:v>
      </x:c>
    </x:row>
    <x:row r="506" ht="79.5" customHeight="1">
      <x:c r="A506" s="5" t="n">
        <x:v>505</x:v>
      </x:c>
      <x:c r="B506" s="5" t="str">
        <x:v>PROFILE-042</x:v>
      </x:c>
      <x:c r="C506" s="5" t="str">
        <x:v>用户App-我的与粉丝团</x:v>
      </x:c>
      <x:c r="D506" s="5" t="str">
        <x:v>粉丝团贡献榜</x:v>
      </x:c>
      <x:c r="E506" s="5" t="str">
        <x:v>逻辑校验</x:v>
      </x:c>
      <x:c r="F506" s="5" t="str">
        <x:v>P2</x:v>
      </x:c>
      <x:c r="G506" s="5" t="str">
        <x:v>验证累计贡献排名</x:v>
      </x:c>
      <x:c r="H506" s="5" t="str">
        <x:v>累计贡献排名</x:v>
      </x:c>
      <x:c r="I506" s="5" t="str">
        <x:v>1. 目标粉丝团存在累计贡献数据</x:v>
      </x:c>
      <x:c r="J506" s="5" t="str">
        <x:v>1. 进入粉丝团贡献榜
2. 切换到“累计”</x:v>
      </x:c>
      <x:c r="K506" s="5" t="str">
        <x:v>前三、榜单列表和我的排名同步展示累计数据</x:v>
      </x:c>
      <x:c r="L506" s="5" t="str"/>
      <x:c r="M506" s="5" t="str">
        <x:v>未测</x:v>
      </x:c>
      <x:c r="N506" s="5" t="str"/>
      <x:c r="O506" s="5" t="str">
        <x:v>1. 来源：context/01-用户主播App-项目需求清单.md
2. 来源：prototype/pages/user/fan-club/fan-contribution-ranking.html
3. 静态分析：依据当前原型、批注和需求文件生成，未进行真实接口或设备动态验证
4. 全局证据追溯：work/liveshow-user-app-all-260901-001/global-evidence-scan-result.json</x:v>
      </x:c>
    </x:row>
    <x:row r="507" ht="67.5" customHeight="1">
      <x:c r="A507" s="5" t="n">
        <x:v>506</x:v>
      </x:c>
      <x:c r="B507" s="5" t="str">
        <x:v>GUILD-001</x:v>
      </x:c>
      <x:c r="C507" s="5" t="str">
        <x:v>用户App-公会关系</x:v>
      </x:c>
      <x:c r="D507" s="5" t="str">
        <x:v>公会中心</x:v>
      </x:c>
      <x:c r="E507" s="5" t="str">
        <x:v>功能需求</x:v>
      </x:c>
      <x:c r="F507" s="5" t="str">
        <x:v>P2</x:v>
      </x:c>
      <x:c r="G507" s="5" t="str">
        <x:v>验证公会中心核心业务信息</x:v>
      </x:c>
      <x:c r="H507" s="5" t="str">
        <x:v>公会中心核心信息</x:v>
      </x:c>
      <x:c r="I507" s="5" t="str">
        <x:v>1. 用户已登录
2. 已进入“公会中心”页面</x:v>
      </x:c>
      <x:c r="J507" s="5" t="str">
        <x:v>1. 查看页面主要业务区域</x:v>
      </x:c>
      <x:c r="K507" s="5" t="str">
        <x:v>页面展示推荐公会、实时搜索与我的公会入口</x:v>
      </x:c>
      <x:c r="L507" s="5" t="str"/>
      <x:c r="M507" s="5" t="str">
        <x:v>未测</x:v>
      </x:c>
      <x:c r="N507" s="5" t="str"/>
      <x:c r="O507" s="5" t="str">
        <x:v>1. 来源：context/01-用户主播App-项目需求清单.md
2. 来源：prototype/pages/user/guild/guild-management.html
3. 静态分析：依据当前原型、批注和需求文件生成，未进行真实接口或设备动态验证
4. 全局证据追溯：work/liveshow-user-app-all-260901-001/global-evidence-scan-result.json</x:v>
      </x:c>
    </x:row>
    <x:row r="508" ht="79.5" customHeight="1">
      <x:c r="A508" s="5" t="n">
        <x:v>507</x:v>
      </x:c>
      <x:c r="B508" s="5" t="str">
        <x:v>GUILD-002</x:v>
      </x:c>
      <x:c r="C508" s="5" t="str">
        <x:v>用户App-公会关系</x:v>
      </x:c>
      <x:c r="D508" s="5" t="str">
        <x:v>申请加入公会</x:v>
      </x:c>
      <x:c r="E508" s="5" t="str">
        <x:v>功能需求</x:v>
      </x:c>
      <x:c r="F508" s="5" t="str">
        <x:v>P2</x:v>
      </x:c>
      <x:c r="G508" s="5" t="str">
        <x:v>验证申请加入公会核心业务信息</x:v>
      </x:c>
      <x:c r="H508" s="5" t="str">
        <x:v>申请加入公会核心信息</x:v>
      </x:c>
      <x:c r="I508" s="5" t="str">
        <x:v>1. 用户已登录
2. 已进入“申请加入公会”页面</x:v>
      </x:c>
      <x:c r="J508" s="5" t="str">
        <x:v>1. 查看页面主要业务区域</x:v>
      </x:c>
      <x:c r="K508" s="5" t="str">
        <x:v>页面展示申请资料和认证材料提交</x:v>
      </x:c>
      <x:c r="L508" s="5" t="str"/>
      <x:c r="M508" s="5" t="str">
        <x:v>未测</x:v>
      </x:c>
      <x:c r="N508" s="5" t="str"/>
      <x:c r="O508" s="5" t="str">
        <x:v>1. 来源：context/01-用户主播App-项目需求清单.md
2. 来源：prototype/pages/user/guild/guild-application-form.html
3. 静态分析：依据当前原型、批注和需求文件生成，未进行真实接口或设备动态验证
4. 全局证据追溯：work/liveshow-user-app-all-260901-001/global-evidence-scan-result.json</x:v>
      </x:c>
    </x:row>
    <x:row r="509" ht="79.5" customHeight="1">
      <x:c r="A509" s="5" t="n">
        <x:v>508</x:v>
      </x:c>
      <x:c r="B509" s="5" t="str">
        <x:v>GUILD-003</x:v>
      </x:c>
      <x:c r="C509" s="5" t="str">
        <x:v>用户App-公会关系</x:v>
      </x:c>
      <x:c r="D509" s="5" t="str">
        <x:v>我的公会</x:v>
      </x:c>
      <x:c r="E509" s="5" t="str">
        <x:v>功能需求</x:v>
      </x:c>
      <x:c r="F509" s="5" t="str">
        <x:v>P2</x:v>
      </x:c>
      <x:c r="G509" s="5" t="str">
        <x:v>验证我的公会核心业务信息</x:v>
      </x:c>
      <x:c r="H509" s="5" t="str">
        <x:v>我的公会核心信息</x:v>
      </x:c>
      <x:c r="I509" s="5" t="str">
        <x:v>1. 用户已登录
2. 已进入“我的公会”页面</x:v>
      </x:c>
      <x:c r="J509" s="5" t="str">
        <x:v>1. 查看页面主要业务区域</x:v>
      </x:c>
      <x:c r="K509" s="5" t="str">
        <x:v>页面展示当前账号申请过的公会</x:v>
      </x:c>
      <x:c r="L509" s="5" t="str"/>
      <x:c r="M509" s="5" t="str">
        <x:v>未测</x:v>
      </x:c>
      <x:c r="N509" s="5" t="str"/>
      <x:c r="O509" s="5" t="str">
        <x:v>1. 来源：context/01-用户主播App-项目需求清单.md
2. 来源：prototype/pages/user/guild/guild-application-records.html
3. 静态分析：依据当前原型、批注和需求文件生成，未进行真实接口或设备动态验证
4. 全局证据追溯：work/liveshow-user-app-all-260901-001/global-evidence-scan-result.json</x:v>
      </x:c>
    </x:row>
    <x:row r="510" ht="67.5" customHeight="1">
      <x:c r="A510" s="5" t="n">
        <x:v>509</x:v>
      </x:c>
      <x:c r="B510" s="5" t="str">
        <x:v>GUILD-004</x:v>
      </x:c>
      <x:c r="C510" s="5" t="str">
        <x:v>用户App-公会关系</x:v>
      </x:c>
      <x:c r="D510" s="5" t="str">
        <x:v>公会详情</x:v>
      </x:c>
      <x:c r="E510" s="5" t="str">
        <x:v>功能需求</x:v>
      </x:c>
      <x:c r="F510" s="5" t="str">
        <x:v>P2</x:v>
      </x:c>
      <x:c r="G510" s="5" t="str">
        <x:v>验证公会详情核心业务信息</x:v>
      </x:c>
      <x:c r="H510" s="5" t="str">
        <x:v>公会详情核心信息</x:v>
      </x:c>
      <x:c r="I510" s="5" t="str">
        <x:v>1. 用户已登录
2. 已进入“公会详情”页面</x:v>
      </x:c>
      <x:c r="J510" s="5" t="str">
        <x:v>1. 查看页面主要业务区域</x:v>
      </x:c>
      <x:c r="K510" s="5" t="str">
        <x:v>页面展示入会和退会申请时间轴</x:v>
      </x:c>
      <x:c r="L510" s="5" t="str"/>
      <x:c r="M510" s="5" t="str">
        <x:v>未测</x:v>
      </x:c>
      <x:c r="N510" s="5" t="str"/>
      <x:c r="O510"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11" ht="79.5" customHeight="1">
      <x:c r="A511" s="5" t="n">
        <x:v>510</x:v>
      </x:c>
      <x:c r="B511" s="5" t="str">
        <x:v>GUILD-005</x:v>
      </x:c>
      <x:c r="C511" s="5" t="str">
        <x:v>用户App-公会关系</x:v>
      </x:c>
      <x:c r="D511" s="5" t="str">
        <x:v>申请退出公会</x:v>
      </x:c>
      <x:c r="E511" s="5" t="str">
        <x:v>功能需求</x:v>
      </x:c>
      <x:c r="F511" s="5" t="str">
        <x:v>P2</x:v>
      </x:c>
      <x:c r="G511" s="5" t="str">
        <x:v>验证申请退出公会核心业务信息</x:v>
      </x:c>
      <x:c r="H511" s="5" t="str">
        <x:v>申请退出公会核心信息</x:v>
      </x:c>
      <x:c r="I511" s="5" t="str">
        <x:v>1. 用户已登录
2. 已进入“申请退出公会”页面</x:v>
      </x:c>
      <x:c r="J511" s="5" t="str">
        <x:v>1. 查看页面主要业务区域</x:v>
      </x:c>
      <x:c r="K511" s="5" t="str">
        <x:v>页面展示只读公会信息、退出原因与提交</x:v>
      </x:c>
      <x:c r="L511" s="5" t="str"/>
      <x:c r="M511" s="5" t="str">
        <x:v>未测</x:v>
      </x:c>
      <x:c r="N511" s="5" t="str"/>
      <x:c r="O511" s="5" t="str">
        <x:v>1. 来源：context/01-用户主播App-项目需求清单.md
2. 来源：prototype/pages/user/guild/guild-leave-application.html
3. 静态分析：依据当前原型、批注和需求文件生成，未进行真实接口或设备动态验证
4. 全局证据追溯：work/liveshow-user-app-all-260901-001/global-evidence-scan-result.json</x:v>
      </x:c>
    </x:row>
    <x:row r="512" ht="79.5" customHeight="1">
      <x:c r="A512" s="5" t="n">
        <x:v>511</x:v>
      </x:c>
      <x:c r="B512" s="5" t="str">
        <x:v>GUILD-006</x:v>
      </x:c>
      <x:c r="C512" s="5" t="str">
        <x:v>用户App-公会关系</x:v>
      </x:c>
      <x:c r="D512" s="5" t="str">
        <x:v>公会中心</x:v>
      </x:c>
      <x:c r="E512" s="5" t="str">
        <x:v>逻辑校验</x:v>
      </x:c>
      <x:c r="F512" s="5" t="str">
        <x:v>P1</x:v>
      </x:c>
      <x:c r="G512" s="5" t="str">
        <x:v>验证默认只展示后台配置的五个公会</x:v>
      </x:c>
      <x:c r="H512" s="5" t="str">
        <x:v>默认只展示后台配置的五个公会</x:v>
      </x:c>
      <x:c r="I512" s="5" t="str">
        <x:v>1. 后台已配置 5 个推荐公会且存在其他未推荐公会</x:v>
      </x:c>
      <x:c r="J512" s="5" t="str">
        <x:v>1. 进入公会中心</x:v>
      </x:c>
      <x:c r="K512" s="5" t="str">
        <x:v>默认列表仅展示后台配置的 5 个推荐公会</x:v>
      </x:c>
      <x:c r="L512" s="5" t="str"/>
      <x:c r="M512" s="5" t="str">
        <x:v>未测</x:v>
      </x:c>
      <x:c r="N512" s="5" t="str"/>
      <x:c r="O512" s="5" t="str">
        <x:v>1. 来源：context/01-用户主播App-项目需求清单.md
2. 来源：prototype/assets/annotations.js 的公会展示范围批注
3. 来源：context/03-管理后台-项目需求清单.md
4. 静态分析：依据当前原型、批注和需求文件生成，未进行真实接口或设备动态验证
5. 全局证据追溯：work/liveshow-user-app-all-260901-001/global-evidence-scan-result.json</x:v>
      </x:c>
    </x:row>
    <x:row r="513" ht="67.5" customHeight="1">
      <x:c r="A513" s="5" t="n">
        <x:v>512</x:v>
      </x:c>
      <x:c r="B513" s="5" t="str">
        <x:v>GUILD-007</x:v>
      </x:c>
      <x:c r="C513" s="5" t="str">
        <x:v>用户App-公会关系</x:v>
      </x:c>
      <x:c r="D513" s="5" t="str">
        <x:v>公会中心</x:v>
      </x:c>
      <x:c r="E513" s="5" t="str">
        <x:v>逻辑校验</x:v>
      </x:c>
      <x:c r="F513" s="5" t="str">
        <x:v>P2</x:v>
      </x:c>
      <x:c r="G513" s="5" t="str">
        <x:v>验证公会名称实时搜索</x:v>
      </x:c>
      <x:c r="H513" s="5" t="str">
        <x:v>公会名称实时搜索</x:v>
      </x:c>
      <x:c r="I513" s="5" t="str">
        <x:v>1. 存在不在默认五个公会中的目标公会</x:v>
      </x:c>
      <x:c r="J513" s="5" t="str">
        <x:v>1. 进入公会中心
2. 输入目标公会名称</x:v>
      </x:c>
      <x:c r="K513" s="5" t="str">
        <x:v>搜索结果展示目标公会</x:v>
      </x:c>
      <x:c r="L513" s="5" t="str"/>
      <x:c r="M513" s="5" t="str">
        <x:v>未测</x:v>
      </x:c>
      <x:c r="N513" s="5" t="str"/>
      <x:c r="O513" s="5" t="str">
        <x:v>1. 来源：context/01-用户主播App-项目需求清单.md
2. 来源：prototype/pages/user/guild/guild-management.html
3. 静态分析：依据当前原型、批注和需求文件生成，未进行真实接口或设备动态验证
4. 全局证据追溯：work/liveshow-user-app-all-260901-001/global-evidence-scan-result.json</x:v>
      </x:c>
    </x:row>
    <x:row r="514" ht="67.5" customHeight="1">
      <x:c r="A514" s="5" t="n">
        <x:v>513</x:v>
      </x:c>
      <x:c r="B514" s="5" t="str">
        <x:v>GUILD-008</x:v>
      </x:c>
      <x:c r="C514" s="5" t="str">
        <x:v>用户App-公会关系</x:v>
      </x:c>
      <x:c r="D514" s="5" t="str">
        <x:v>公会中心</x:v>
      </x:c>
      <x:c r="E514" s="5" t="str">
        <x:v>逻辑校验</x:v>
      </x:c>
      <x:c r="F514" s="5" t="str">
        <x:v>P2</x:v>
      </x:c>
      <x:c r="G514" s="5" t="str">
        <x:v>验证公会 ID实时搜索</x:v>
      </x:c>
      <x:c r="H514" s="5" t="str">
        <x:v>公会 ID实时搜索</x:v>
      </x:c>
      <x:c r="I514" s="5" t="str">
        <x:v>1. 存在不在默认五个公会中的目标公会</x:v>
      </x:c>
      <x:c r="J514" s="5" t="str">
        <x:v>1. 进入公会中心
2. 输入目标公会 ID</x:v>
      </x:c>
      <x:c r="K514" s="5" t="str">
        <x:v>搜索结果展示目标公会</x:v>
      </x:c>
      <x:c r="L514" s="5" t="str"/>
      <x:c r="M514" s="5" t="str">
        <x:v>未测</x:v>
      </x:c>
      <x:c r="N514" s="5" t="str"/>
      <x:c r="O514" s="5" t="str">
        <x:v>1. 来源：context/01-用户主播App-项目需求清单.md
2. 来源：prototype/pages/user/guild/guild-management.html
3. 静态分析：依据当前原型、批注和需求文件生成，未进行真实接口或设备动态验证
4. 全局证据追溯：work/liveshow-user-app-all-260901-001/global-evidence-scan-result.json</x:v>
      </x:c>
    </x:row>
    <x:row r="515" ht="67.5" customHeight="1">
      <x:c r="A515" s="5" t="n">
        <x:v>514</x:v>
      </x:c>
      <x:c r="B515" s="5" t="str">
        <x:v>GUILD-009</x:v>
      </x:c>
      <x:c r="C515" s="5" t="str">
        <x:v>用户App-公会关系</x:v>
      </x:c>
      <x:c r="D515" s="5" t="str">
        <x:v>公会中心</x:v>
      </x:c>
      <x:c r="E515" s="5" t="str">
        <x:v>异常用例</x:v>
      </x:c>
      <x:c r="F515" s="5" t="str">
        <x:v>P2</x:v>
      </x:c>
      <x:c r="G515" s="5" t="str">
        <x:v>验证无匹配公会显示空态</x:v>
      </x:c>
      <x:c r="H515" s="5" t="str">
        <x:v>无匹配公会显示空态</x:v>
      </x:c>
      <x:c r="I515" s="5" t="str">
        <x:v>1. 不存在与关键词匹配的公会</x:v>
      </x:c>
      <x:c r="J515" s="5" t="str">
        <x:v>1. 进入公会中心
2. 输入无匹配关键词</x:v>
      </x:c>
      <x:c r="K515" s="5" t="str">
        <x:v>列表展示无匹配结果空态</x:v>
      </x:c>
      <x:c r="L515" s="5" t="str"/>
      <x:c r="M515" s="5" t="str">
        <x:v>未测</x:v>
      </x:c>
      <x:c r="N515" s="5" t="str"/>
      <x:c r="O515" s="5" t="str">
        <x:v>1. 来源：context/01-用户主播App-项目需求清单.md
2. 来源：prototype/pages/user/guild/guild-management.html
3. 静态分析：依据当前原型、批注和需求文件生成，未进行真实接口或设备动态验证
4. 全局证据追溯：work/liveshow-user-app-all-260901-001/global-evidence-scan-result.json</x:v>
      </x:c>
    </x:row>
    <x:row r="516" ht="67.5" customHeight="1">
      <x:c r="A516" s="5" t="n">
        <x:v>515</x:v>
      </x:c>
      <x:c r="B516" s="5" t="str">
        <x:v>GUILD-010</x:v>
      </x:c>
      <x:c r="C516" s="5" t="str">
        <x:v>用户App-公会关系</x:v>
      </x:c>
      <x:c r="D516" s="5" t="str">
        <x:v>公会中心</x:v>
      </x:c>
      <x:c r="E516" s="5" t="str">
        <x:v>业务流程</x:v>
      </x:c>
      <x:c r="F516" s="5" t="str">
        <x:v>P2</x:v>
      </x:c>
      <x:c r="G516" s="5" t="str">
        <x:v>验证我的入口进入申请记录</x:v>
      </x:c>
      <x:c r="H516" s="5" t="str">
        <x:v>我的入口进入申请记录</x:v>
      </x:c>
      <x:c r="I516" s="5" t="str">
        <x:v>1. 用户已提交过公会申请</x:v>
      </x:c>
      <x:c r="J516" s="5" t="str">
        <x:v>1. 进入公会中心
2. 点击我的</x:v>
      </x:c>
      <x:c r="K516" s="5" t="str">
        <x:v>页面进入我的公会并展示当前账号申请记录</x:v>
      </x:c>
      <x:c r="L516" s="5" t="str"/>
      <x:c r="M516" s="5" t="str">
        <x:v>未测</x:v>
      </x:c>
      <x:c r="N516" s="5" t="str"/>
      <x:c r="O516" s="5" t="str">
        <x:v>1. 来源：context/01-用户主播App-项目需求清单.md
2. 来源：prototype/pages/user/guild/guild-management.html
3. 静态分析：依据当前原型、批注和需求文件生成，未进行真实接口或设备动态验证
4. 全局证据追溯：work/liveshow-user-app-all-260901-001/global-evidence-scan-result.json</x:v>
      </x:c>
    </x:row>
    <x:row r="517" ht="79.5" customHeight="1">
      <x:c r="A517" s="5" t="n">
        <x:v>516</x:v>
      </x:c>
      <x:c r="B517" s="5" t="str">
        <x:v>GUILD-011</x:v>
      </x:c>
      <x:c r="C517" s="5" t="str">
        <x:v>用户App-公会关系</x:v>
      </x:c>
      <x:c r="D517" s="5" t="str">
        <x:v>申请加入公会</x:v>
      </x:c>
      <x:c r="E517" s="5" t="str">
        <x:v>业务流程</x:v>
      </x:c>
      <x:c r="F517" s="5" t="str">
        <x:v>P0</x:v>
      </x:c>
      <x:c r="G517" s="5" t="str">
        <x:v>验证有效资料提交入会申请</x:v>
      </x:c>
      <x:c r="H517" s="5" t="str">
        <x:v>有效资料提交入会申请</x:v>
      </x:c>
      <x:c r="I517" s="5" t="str">
        <x:v>1. 用户未加入公会且不存在处理中入会申请</x:v>
      </x:c>
      <x:c r="J517" s="5" t="str">
        <x:v>1. 选择目标公会
2. 填写真实姓名和手机号
3. 上传原型要求的认证材料
4. 提交申请</x:v>
      </x:c>
      <x:c r="K517" s="5" t="str">
        <x:v>系统生成一笔待审核入会申请</x:v>
      </x:c>
      <x:c r="L517" s="5" t="str">
        <x:v>FLOW-UAPP-GUILD-JOIN-01</x:v>
      </x:c>
      <x:c r="M517" s="5" t="str">
        <x:v>未测</x:v>
      </x:c>
      <x:c r="N517" s="5" t="str"/>
      <x:c r="O517" s="5" t="str">
        <x:v>1. 来源：context/01-用户主播App-项目需求清单.md
2. 来源：prototype/pages/user/guild/guild-application-form.html
3. 静态分析：依据当前原型、批注和需求文件生成，未进行真实接口或设备动态验证
4. 全局证据追溯：work/liveshow-user-app-all-260901-001/global-evidence-scan-result.json</x:v>
      </x:c>
    </x:row>
    <x:row r="518" ht="79.5" customHeight="1">
      <x:c r="A518" s="5" t="n">
        <x:v>517</x:v>
      </x:c>
      <x:c r="B518" s="5" t="str">
        <x:v>GUILD-012</x:v>
      </x:c>
      <x:c r="C518" s="5" t="str">
        <x:v>用户App-公会关系</x:v>
      </x:c>
      <x:c r="D518" s="5" t="str">
        <x:v>申请加入公会</x:v>
      </x:c>
      <x:c r="E518" s="5" t="str">
        <x:v>业务流程</x:v>
      </x:c>
      <x:c r="F518" s="5" t="str">
        <x:v>P1</x:v>
      </x:c>
      <x:c r="G518" s="5" t="str">
        <x:v>验证提交后进入公会详情时间轴</x:v>
      </x:c>
      <x:c r="H518" s="5" t="str">
        <x:v>提交后进入公会详情时间轴</x:v>
      </x:c>
      <x:c r="I518" s="5" t="str">
        <x:v>1. 用户未加入公会且申请资料合法</x:v>
      </x:c>
      <x:c r="J518" s="5" t="str">
        <x:v>1. 提交目标公会入会申请
2. 查看返回页面</x:v>
      </x:c>
      <x:c r="K518" s="5" t="str">
        <x:v>公会详情时间轴展示本次加入审核中记录</x:v>
      </x:c>
      <x:c r="L518" s="5" t="str">
        <x:v>FLOW-UAPP-GUILD-JOIN-01</x:v>
      </x:c>
      <x:c r="M518" s="5" t="str">
        <x:v>未测</x:v>
      </x:c>
      <x:c r="N518" s="5" t="str"/>
      <x:c r="O518" s="5" t="str">
        <x:v>1. 来源：context/01-用户主播App-项目需求清单.md
2. 来源：prototype/pages/user/guild/guild-application-form.html
3. 静态分析：依据当前原型、批注和需求文件生成，未进行真实接口或设备动态验证
4. 全局证据追溯：work/liveshow-user-app-all-260901-001/global-evidence-scan-result.json</x:v>
      </x:c>
    </x:row>
    <x:row r="519" ht="79.5" customHeight="1">
      <x:c r="A519" s="5" t="n">
        <x:v>518</x:v>
      </x:c>
      <x:c r="B519" s="5" t="str">
        <x:v>GUILD-013</x:v>
      </x:c>
      <x:c r="C519" s="5" t="str">
        <x:v>用户App-公会关系</x:v>
      </x:c>
      <x:c r="D519" s="5" t="str">
        <x:v>申请加入公会</x:v>
      </x:c>
      <x:c r="E519" s="5" t="str">
        <x:v>逻辑校验</x:v>
      </x:c>
      <x:c r="F519" s="5" t="str">
        <x:v>P1</x:v>
      </x:c>
      <x:c r="G519" s="5" t="str">
        <x:v>验证处理中申请阻止再次提交</x:v>
      </x:c>
      <x:c r="H519" s="5" t="str">
        <x:v>处理中申请阻止再次提交</x:v>
      </x:c>
      <x:c r="I519" s="5" t="str">
        <x:v>1. 用户已存在一笔待审核或平台终审中的入会申请</x:v>
      </x:c>
      <x:c r="J519" s="5" t="str">
        <x:v>1. 选择另一公会
2. 尝试提交入会申请</x:v>
      </x:c>
      <x:c r="K519" s="5" t="str">
        <x:v>系统不生成第二笔处理中入会申请</x:v>
      </x:c>
      <x:c r="L519" s="5" t="str">
        <x:v>FLOW-UAPP-GUILD-JOIN-01</x:v>
      </x:c>
      <x:c r="M519" s="5" t="str">
        <x:v>未测</x:v>
      </x:c>
      <x:c r="N519" s="5" t="str"/>
      <x:c r="O519" s="5" t="str">
        <x:v>1. 来源：context/01-用户主播App-项目需求清单.md
2. 来源：prototype/pages/user/guild/guild-application-form.html
3. 静态分析：依据当前原型、批注和需求文件生成，未进行真实接口或设备动态验证
4. 全局证据追溯：work/liveshow-user-app-all-260901-001/global-evidence-scan-result.json</x:v>
      </x:c>
    </x:row>
    <x:row r="520" ht="79.5" customHeight="1">
      <x:c r="A520" s="5" t="n">
        <x:v>519</x:v>
      </x:c>
      <x:c r="B520" s="5" t="str">
        <x:v>GUILD-014</x:v>
      </x:c>
      <x:c r="C520" s="5" t="str">
        <x:v>用户App-公会关系</x:v>
      </x:c>
      <x:c r="D520" s="5" t="str">
        <x:v>申请加入公会</x:v>
      </x:c>
      <x:c r="E520" s="5" t="str">
        <x:v>逻辑校验</x:v>
      </x:c>
      <x:c r="F520" s="5" t="str">
        <x:v>P1</x:v>
      </x:c>
      <x:c r="G520" s="5" t="str">
        <x:v>验证已加入公会阻止再次入会</x:v>
      </x:c>
      <x:c r="H520" s="5" t="str">
        <x:v>已加入公会阻止再次入会</x:v>
      </x:c>
      <x:c r="I520" s="5" t="str">
        <x:v>1. 用户已加入一个有效公会</x:v>
      </x:c>
      <x:c r="J520" s="5" t="str">
        <x:v>1. 进入另一公会申请页
2. 尝试提交入会申请</x:v>
      </x:c>
      <x:c r="K520" s="5" t="str">
        <x:v>系统不生成新的入会申请</x:v>
      </x:c>
      <x:c r="L520" s="5" t="str">
        <x:v>FLOW-UAPP-GUILD-JOIN-01</x:v>
      </x:c>
      <x:c r="M520" s="5" t="str">
        <x:v>未测</x:v>
      </x:c>
      <x:c r="N520" s="5" t="str"/>
      <x:c r="O520" s="5" t="str">
        <x:v>1. 来源：context/01-用户主播App-项目需求清单.md
2. 来源：prototype/pages/user/guild/guild-application-form.html
3. 静态分析：依据当前原型、批注和需求文件生成，未进行真实接口或设备动态验证
4. 全局证据追溯：work/liveshow-user-app-all-260901-001/global-evidence-scan-result.json</x:v>
      </x:c>
    </x:row>
    <x:row r="521" ht="79.5" customHeight="1">
      <x:c r="A521" s="5" t="n">
        <x:v>520</x:v>
      </x:c>
      <x:c r="B521" s="5" t="str">
        <x:v>GUILD-015</x:v>
      </x:c>
      <x:c r="C521" s="5" t="str">
        <x:v>用户App-公会关系</x:v>
      </x:c>
      <x:c r="D521" s="5" t="str">
        <x:v>我的公会</x:v>
      </x:c>
      <x:c r="E521" s="5" t="str">
        <x:v>逻辑校验</x:v>
      </x:c>
      <x:c r="F521" s="5" t="str">
        <x:v>P2</x:v>
      </x:c>
      <x:c r="G521" s="5" t="str">
        <x:v>验证只展示当前账号申请过的公会</x:v>
      </x:c>
      <x:c r="H521" s="5" t="str">
        <x:v>只展示当前账号申请过的公会</x:v>
      </x:c>
      <x:c r="I521" s="5" t="str">
        <x:v>1. 账号申请过两个公会且平台还有其他公会</x:v>
      </x:c>
      <x:c r="J521" s="5" t="str">
        <x:v>1. 进入我的公会</x:v>
      </x:c>
      <x:c r="K521" s="5" t="str">
        <x:v>列表只展示当前账号申请过的两个公会</x:v>
      </x:c>
      <x:c r="L521" s="5" t="str"/>
      <x:c r="M521" s="5" t="str">
        <x:v>未测</x:v>
      </x:c>
      <x:c r="N521" s="5" t="str"/>
      <x:c r="O521" s="5" t="str">
        <x:v>1. 来源：context/01-用户主播App-项目需求清单.md
2. 来源：prototype/pages/user/guild/guild-application-records.html
3. 静态分析：依据当前原型、批注和需求文件生成，未进行真实接口或设备动态验证
4. 全局证据追溯：work/liveshow-user-app-all-260901-001/global-evidence-scan-result.json</x:v>
      </x:c>
    </x:row>
    <x:row r="522" ht="67.5" customHeight="1">
      <x:c r="A522" s="5" t="n">
        <x:v>521</x:v>
      </x:c>
      <x:c r="B522" s="5" t="str">
        <x:v>GUILD-016</x:v>
      </x:c>
      <x:c r="C522" s="5" t="str">
        <x:v>用户App-公会关系</x:v>
      </x:c>
      <x:c r="D522" s="5" t="str">
        <x:v>公会详情</x:v>
      </x:c>
      <x:c r="E522" s="5" t="str">
        <x:v>逻辑校验</x:v>
      </x:c>
      <x:c r="F522" s="5" t="str">
        <x:v>P2</x:v>
      </x:c>
      <x:c r="G522" s="5" t="str">
        <x:v>验证申请时间轴按提交时间倒序</x:v>
      </x:c>
      <x:c r="H522" s="5" t="str">
        <x:v>申请时间轴按提交时间倒序</x:v>
      </x:c>
      <x:c r="I522" s="5" t="str">
        <x:v>1. 用户存在多笔已结束的入会或退会申请</x:v>
      </x:c>
      <x:c r="J522" s="5" t="str">
        <x:v>1. 进入公会详情</x:v>
      </x:c>
      <x:c r="K522" s="5" t="str">
        <x:v>申请记录按提交时间倒序排列</x:v>
      </x:c>
      <x:c r="L522" s="5" t="str"/>
      <x:c r="M522" s="5" t="str">
        <x:v>未测</x:v>
      </x:c>
      <x:c r="N522" s="5" t="str"/>
      <x:c r="O522"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23" ht="67.5" customHeight="1">
      <x:c r="A523" s="5" t="n">
        <x:v>522</x:v>
      </x:c>
      <x:c r="B523" s="5" t="str">
        <x:v>GUILD-017</x:v>
      </x:c>
      <x:c r="C523" s="5" t="str">
        <x:v>用户App-公会关系</x:v>
      </x:c>
      <x:c r="D523" s="5" t="str">
        <x:v>公会详情</x:v>
      </x:c>
      <x:c r="E523" s="5" t="str">
        <x:v>业务流程</x:v>
      </x:c>
      <x:c r="F523" s="5" t="str">
        <x:v>P1</x:v>
      </x:c>
      <x:c r="G523" s="5" t="str">
        <x:v>验证公会驳回后可重新申请</x:v>
      </x:c>
      <x:c r="H523" s="5" t="str">
        <x:v>公会驳回后可重新申请</x:v>
      </x:c>
      <x:c r="I523" s="5" t="str">
        <x:v>1. 原入会申请已被公会驳回</x:v>
      </x:c>
      <x:c r="J523" s="5" t="str">
        <x:v>1. 进入公会详情
2. 重新发起入会申请</x:v>
      </x:c>
      <x:c r="K523" s="5" t="str">
        <x:v>页面允许进入新的入会申请流程</x:v>
      </x:c>
      <x:c r="L523" s="5" t="str">
        <x:v>FLOW-UAPP-GUILD-JOIN-01</x:v>
      </x:c>
      <x:c r="M523" s="5" t="str">
        <x:v>未测</x:v>
      </x:c>
      <x:c r="N523" s="5" t="str"/>
      <x:c r="O523"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24" ht="67.5" customHeight="1">
      <x:c r="A524" s="5" t="n">
        <x:v>523</x:v>
      </x:c>
      <x:c r="B524" s="5" t="str">
        <x:v>GUILD-018</x:v>
      </x:c>
      <x:c r="C524" s="5" t="str">
        <x:v>用户App-公会关系</x:v>
      </x:c>
      <x:c r="D524" s="5" t="str">
        <x:v>公会详情</x:v>
      </x:c>
      <x:c r="E524" s="5" t="str">
        <x:v>业务流程</x:v>
      </x:c>
      <x:c r="F524" s="5" t="str">
        <x:v>P1</x:v>
      </x:c>
      <x:c r="G524" s="5" t="str">
        <x:v>验证平台驳回后可重新申请</x:v>
      </x:c>
      <x:c r="H524" s="5" t="str">
        <x:v>平台驳回后可重新申请</x:v>
      </x:c>
      <x:c r="I524" s="5" t="str">
        <x:v>1. 原入会申请已被平台驳回</x:v>
      </x:c>
      <x:c r="J524" s="5" t="str">
        <x:v>1. 进入公会详情
2. 重新发起入会申请</x:v>
      </x:c>
      <x:c r="K524" s="5" t="str">
        <x:v>页面允许进入新的入会申请流程</x:v>
      </x:c>
      <x:c r="L524" s="5" t="str">
        <x:v>FLOW-UAPP-GUILD-JOIN-01</x:v>
      </x:c>
      <x:c r="M524" s="5" t="str">
        <x:v>未测</x:v>
      </x:c>
      <x:c r="N524" s="5" t="str"/>
      <x:c r="O524"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25" ht="67.5" customHeight="1">
      <x:c r="A525" s="5" t="n">
        <x:v>524</x:v>
      </x:c>
      <x:c r="B525" s="5" t="str">
        <x:v>GUILD-019</x:v>
      </x:c>
      <x:c r="C525" s="5" t="str">
        <x:v>用户App-公会关系</x:v>
      </x:c>
      <x:c r="D525" s="5" t="str">
        <x:v>公会关系</x:v>
      </x:c>
      <x:c r="E525" s="5" t="str">
        <x:v>业务流程</x:v>
      </x:c>
      <x:c r="F525" s="5" t="str">
        <x:v>P0</x:v>
      </x:c>
      <x:c r="G525" s="5" t="str">
        <x:v>验证平台终审通过后成为主播</x:v>
      </x:c>
      <x:c r="H525" s="5" t="str">
        <x:v>平台终审通过后成为主播</x:v>
      </x:c>
      <x:c r="I525" s="5" t="str">
        <x:v>1. 入会申请已由公会通过并由平台终审通过</x:v>
      </x:c>
      <x:c r="J525" s="5" t="str">
        <x:v>1. 重新进入我的公会
2. 进入主播中心</x:v>
      </x:c>
      <x:c r="K525" s="5" t="str">
        <x:v>账号以主播身份进入主播中心</x:v>
      </x:c>
      <x:c r="L525" s="5" t="str">
        <x:v>FLOW-UAPP-GUILD-JOIN-01</x:v>
      </x:c>
      <x:c r="M525" s="5" t="str">
        <x:v>未测</x:v>
      </x:c>
      <x:c r="N525" s="5" t="str"/>
      <x:c r="O525"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26" ht="79.5" customHeight="1">
      <x:c r="A526" s="5" t="n">
        <x:v>525</x:v>
      </x:c>
      <x:c r="B526" s="5" t="str">
        <x:v>GUILD-020</x:v>
      </x:c>
      <x:c r="C526" s="5" t="str">
        <x:v>用户App-公会关系</x:v>
      </x:c>
      <x:c r="D526" s="5" t="str">
        <x:v>申请退出公会</x:v>
      </x:c>
      <x:c r="E526" s="5" t="str">
        <x:v>逻辑校验</x:v>
      </x:c>
      <x:c r="F526" s="5" t="str">
        <x:v>P1</x:v>
      </x:c>
      <x:c r="G526" s="5" t="str">
        <x:v>验证退出原因必填</x:v>
      </x:c>
      <x:c r="H526" s="5" t="str">
        <x:v>退出原因必填</x:v>
      </x:c>
      <x:c r="I526" s="5" t="str">
        <x:v>1. 主播已加入有效公会且不存在处理中退会申请</x:v>
      </x:c>
      <x:c r="J526" s="5" t="str">
        <x:v>1. 进入申请退出公会页
2. 保持退出原因为空
3. 提交申请</x:v>
      </x:c>
      <x:c r="K526" s="5" t="str">
        <x:v>系统不生成退会申请</x:v>
      </x:c>
      <x:c r="L526" s="5" t="str">
        <x:v>FLOW-UAPP-GUILD-LEAVE-01</x:v>
      </x:c>
      <x:c r="M526" s="5" t="str">
        <x:v>未测</x:v>
      </x:c>
      <x:c r="N526" s="5" t="str"/>
      <x:c r="O526" s="5" t="str">
        <x:v>1. 来源：context/01-用户主播App-项目需求清单.md
2. 来源：prototype/pages/user/guild/guild-leave-application.html
3. 静态分析：依据当前原型、批注和需求文件生成，未进行真实接口或设备动态验证
4. 全局证据追溯：work/liveshow-user-app-all-260901-001/global-evidence-scan-result.json</x:v>
      </x:c>
    </x:row>
    <x:row r="527" ht="79.5" customHeight="1">
      <x:c r="A527" s="5" t="n">
        <x:v>526</x:v>
      </x:c>
      <x:c r="B527" s="5" t="str">
        <x:v>GUILD-021</x:v>
      </x:c>
      <x:c r="C527" s="5" t="str">
        <x:v>用户App-公会关系</x:v>
      </x:c>
      <x:c r="D527" s="5" t="str">
        <x:v>申请退出公会</x:v>
      </x:c>
      <x:c r="E527" s="5" t="str">
        <x:v>业务流程</x:v>
      </x:c>
      <x:c r="F527" s="5" t="str">
        <x:v>P1</x:v>
      </x:c>
      <x:c r="G527" s="5" t="str">
        <x:v>验证有效原因提交退会申请</x:v>
      </x:c>
      <x:c r="H527" s="5" t="str">
        <x:v>有效原因提交退会申请</x:v>
      </x:c>
      <x:c r="I527" s="5" t="str">
        <x:v>1. 主播已加入有效公会且不存在处理中退会申请</x:v>
      </x:c>
      <x:c r="J527" s="5" t="str">
        <x:v>1. 进入申请退出公会页
2. 填写退出原因
3. 提交申请</x:v>
      </x:c>
      <x:c r="K527" s="5" t="str">
        <x:v>系统生成一笔待审核退会申请</x:v>
      </x:c>
      <x:c r="L527" s="5" t="str">
        <x:v>FLOW-UAPP-GUILD-LEAVE-01</x:v>
      </x:c>
      <x:c r="M527" s="5" t="str">
        <x:v>未测</x:v>
      </x:c>
      <x:c r="N527" s="5" t="str"/>
      <x:c r="O527" s="5" t="str">
        <x:v>1. 来源：context/01-用户主播App-项目需求清单.md
2. 来源：prototype/pages/user/guild/guild-leave-application.html
3. 静态分析：依据当前原型、批注和需求文件生成，未进行真实接口或设备动态验证
4. 全局证据追溯：work/liveshow-user-app-all-260901-001/global-evidence-scan-result.json</x:v>
      </x:c>
    </x:row>
    <x:row r="528" ht="67.5" customHeight="1">
      <x:c r="A528" s="5" t="n">
        <x:v>527</x:v>
      </x:c>
      <x:c r="B528" s="5" t="str">
        <x:v>GUILD-022</x:v>
      </x:c>
      <x:c r="C528" s="5" t="str">
        <x:v>用户App-公会关系</x:v>
      </x:c>
      <x:c r="D528" s="5" t="str">
        <x:v>申请退出公会</x:v>
      </x:c>
      <x:c r="E528" s="5" t="str">
        <x:v>逻辑校验</x:v>
      </x:c>
      <x:c r="F528" s="5" t="str">
        <x:v>P1</x:v>
      </x:c>
      <x:c r="G528" s="5" t="str">
        <x:v>验证处理中退会申请不可重复发起</x:v>
      </x:c>
      <x:c r="H528" s="5" t="str">
        <x:v>处理中退会申请不可重复发起</x:v>
      </x:c>
      <x:c r="I528" s="5" t="str">
        <x:v>1. 主播已存在一笔待审核退会申请</x:v>
      </x:c>
      <x:c r="J528" s="5" t="str">
        <x:v>1. 进入公会详情
2. 查看退会操作</x:v>
      </x:c>
      <x:c r="K528" s="5" t="str">
        <x:v>页面不提供再次发起退会申请的可用操作</x:v>
      </x:c>
      <x:c r="L528" s="5" t="str">
        <x:v>FLOW-UAPP-GUILD-LEAVE-01</x:v>
      </x:c>
      <x:c r="M528" s="5" t="str">
        <x:v>未测</x:v>
      </x:c>
      <x:c r="N528" s="5" t="str"/>
      <x:c r="O528"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29" ht="67.5" customHeight="1">
      <x:c r="A529" s="5" t="n">
        <x:v>528</x:v>
      </x:c>
      <x:c r="B529" s="5" t="str">
        <x:v>GUILD-023</x:v>
      </x:c>
      <x:c r="C529" s="5" t="str">
        <x:v>用户App-公会关系</x:v>
      </x:c>
      <x:c r="D529" s="5" t="str">
        <x:v>公会关系</x:v>
      </x:c>
      <x:c r="E529" s="5" t="str">
        <x:v>业务流程</x:v>
      </x:c>
      <x:c r="F529" s="5" t="str">
        <x:v>P1</x:v>
      </x:c>
      <x:c r="G529" s="5" t="str">
        <x:v>验证退会驳回后保持主播身份</x:v>
      </x:c>
      <x:c r="H529" s="5" t="str">
        <x:v>退会驳回后保持主播身份</x:v>
      </x:c>
      <x:c r="I529" s="5" t="str">
        <x:v>1. 退会申请已被公会驳回</x:v>
      </x:c>
      <x:c r="J529" s="5" t="str">
        <x:v>1. 进入我的公会
2. 进入主播中心</x:v>
      </x:c>
      <x:c r="K529" s="5" t="str">
        <x:v>账号仍以主播身份进入主播中心</x:v>
      </x:c>
      <x:c r="L529" s="5" t="str">
        <x:v>FLOW-UAPP-GUILD-LEAVE-01</x:v>
      </x:c>
      <x:c r="M529" s="5" t="str">
        <x:v>未测</x:v>
      </x:c>
      <x:c r="N529" s="5" t="str"/>
      <x:c r="O529"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30" ht="67.5" customHeight="1">
      <x:c r="A530" s="5" t="n">
        <x:v>529</x:v>
      </x:c>
      <x:c r="B530" s="5" t="str">
        <x:v>GUILD-024</x:v>
      </x:c>
      <x:c r="C530" s="5" t="str">
        <x:v>用户App-公会关系</x:v>
      </x:c>
      <x:c r="D530" s="5" t="str">
        <x:v>公会关系</x:v>
      </x:c>
      <x:c r="E530" s="5" t="str">
        <x:v>业务流程</x:v>
      </x:c>
      <x:c r="F530" s="5" t="str">
        <x:v>P0</x:v>
      </x:c>
      <x:c r="G530" s="5" t="str">
        <x:v>验证退会通过后失去主播身份</x:v>
      </x:c>
      <x:c r="H530" s="5" t="str">
        <x:v>退会通过后失去主播身份</x:v>
      </x:c>
      <x:c r="I530" s="5" t="str">
        <x:v>1. 退会申请已被公会通过</x:v>
      </x:c>
      <x:c r="J530" s="5" t="str">
        <x:v>1. 进入我的公会
2. 进入主播中心</x:v>
      </x:c>
      <x:c r="K530" s="5" t="str">
        <x:v>账号进入申请成为主播页而非主播工作台</x:v>
      </x:c>
      <x:c r="L530" s="5" t="str">
        <x:v>FLOW-UAPP-GUILD-LEAVE-01</x:v>
      </x:c>
      <x:c r="M530" s="5" t="str">
        <x:v>未测</x:v>
      </x:c>
      <x:c r="N530" s="5" t="str"/>
      <x:c r="O530" s="5" t="str">
        <x:v>1. 来源：context/01-用户主播App-项目需求清单.md
2. 来源：prototype/pages/user/guild/guild-detail.html
3. 静态分析：依据当前原型、批注和需求文件生成，未进行真实接口或设备动态验证
4. 全局证据追溯：work/liveshow-user-app-all-260901-001/global-evidence-scan-result.json</x:v>
      </x:c>
    </x:row>
    <x:row r="531" ht="67.5" customHeight="1">
      <x:c r="A531" s="5" t="n">
        <x:v>530</x:v>
      </x:c>
      <x:c r="B531" s="5" t="str">
        <x:v>HOST-001</x:v>
      </x:c>
      <x:c r="C531" s="5" t="str">
        <x:v>用户App-主播中心</x:v>
      </x:c>
      <x:c r="D531" s="5" t="str">
        <x:v>主播中心</x:v>
      </x:c>
      <x:c r="E531" s="5" t="str">
        <x:v>功能需求</x:v>
      </x:c>
      <x:c r="F531" s="5" t="str">
        <x:v>P2</x:v>
      </x:c>
      <x:c r="G531" s="5" t="str">
        <x:v>验证主播中心核心业务信息</x:v>
      </x:c>
      <x:c r="H531" s="5" t="str">
        <x:v>主播中心核心信息</x:v>
      </x:c>
      <x:c r="I531" s="5" t="str">
        <x:v>1. 已具备访问该主播页面所需身份或状态
2. 已进入“主播中心”页面</x:v>
      </x:c>
      <x:c r="J531" s="5" t="str">
        <x:v>1. 查看页面主要业务区域</x:v>
      </x:c>
      <x:c r="K531" s="5" t="str">
        <x:v>页面展示主播等级、收益、有效天、直播数据与主播工具</x:v>
      </x:c>
      <x:c r="L531" s="5" t="str"/>
      <x:c r="M531" s="5" t="str">
        <x:v>未测</x:v>
      </x:c>
      <x:c r="N531" s="5" t="str"/>
      <x:c r="O531" s="5" t="str">
        <x:v>1. 来源：context/01-用户主播App-项目需求清单.md
2. 来源：prototype/pages/user/host/host-center.html
3. 静态分析：依据当前原型、批注和需求文件生成，未进行真实接口或设备动态验证
4. 全局证据追溯：work/liveshow-user-app-all-260901-001/global-evidence-scan-result.json</x:v>
      </x:c>
    </x:row>
    <x:row r="532" ht="79.5" customHeight="1">
      <x:c r="A532" s="5" t="n">
        <x:v>531</x:v>
      </x:c>
      <x:c r="B532" s="5" t="str">
        <x:v>HOST-002</x:v>
      </x:c>
      <x:c r="C532" s="5" t="str">
        <x:v>用户App-主播中心</x:v>
      </x:c>
      <x:c r="D532" s="5" t="str">
        <x:v>申请成为主播</x:v>
      </x:c>
      <x:c r="E532" s="5" t="str">
        <x:v>功能需求</x:v>
      </x:c>
      <x:c r="F532" s="5" t="str">
        <x:v>P2</x:v>
      </x:c>
      <x:c r="G532" s="5" t="str">
        <x:v>验证申请成为主播核心业务信息</x:v>
      </x:c>
      <x:c r="H532" s="5" t="str">
        <x:v>申请成为主播核心信息</x:v>
      </x:c>
      <x:c r="I532" s="5" t="str">
        <x:v>1. 已具备访问该主播页面所需身份或状态
2. 已进入“申请成为主播”页面</x:v>
      </x:c>
      <x:c r="J532" s="5" t="str">
        <x:v>1. 查看页面主要业务区域</x:v>
      </x:c>
      <x:c r="K532" s="5" t="str">
        <x:v>页面展示加入公会、申请直播权限和开始直播三步状态</x:v>
      </x:c>
      <x:c r="L532" s="5" t="str"/>
      <x:c r="M532" s="5" t="str">
        <x:v>未测</x:v>
      </x:c>
      <x:c r="N532" s="5" t="str"/>
      <x:c r="O532" s="5" t="str">
        <x:v>1. 来源：context/01-用户主播App-项目需求清单.md
2. 来源：prototype/pages/user/host/host-center-pending.html
3. 静态分析：依据当前原型、批注和需求文件生成，未进行真实接口或设备动态验证
4. 全局证据追溯：work/liveshow-user-app-all-260901-001/global-evidence-scan-result.json</x:v>
      </x:c>
    </x:row>
    <x:row r="533" ht="79.5" customHeight="1">
      <x:c r="A533" s="5" t="n">
        <x:v>532</x:v>
      </x:c>
      <x:c r="B533" s="5" t="str">
        <x:v>HOST-003</x:v>
      </x:c>
      <x:c r="C533" s="5" t="str">
        <x:v>用户App-主播中心</x:v>
      </x:c>
      <x:c r="D533" s="5" t="str">
        <x:v>房管管理</x:v>
      </x:c>
      <x:c r="E533" s="5" t="str">
        <x:v>功能需求</x:v>
      </x:c>
      <x:c r="F533" s="5" t="str">
        <x:v>P2</x:v>
      </x:c>
      <x:c r="G533" s="5" t="str">
        <x:v>验证房管管理核心业务信息</x:v>
      </x:c>
      <x:c r="H533" s="5" t="str">
        <x:v>房管管理核心信息</x:v>
      </x:c>
      <x:c r="I533" s="5" t="str">
        <x:v>1. 已具备访问该主播页面所需身份或状态
2. 已进入“房管管理”页面</x:v>
      </x:c>
      <x:c r="J533" s="5" t="str">
        <x:v>1. 查看页面主要业务区域</x:v>
      </x:c>
      <x:c r="K533" s="5" t="str">
        <x:v>页面展示房管列表、添加与取消房管</x:v>
      </x:c>
      <x:c r="L533" s="5" t="str"/>
      <x:c r="M533" s="5" t="str">
        <x:v>未测</x:v>
      </x:c>
      <x:c r="N533" s="5" t="str"/>
      <x:c r="O533" s="5" t="str">
        <x:v>1. 来源：context/01-用户主播App-项目需求清单.md
2. 来源：prototype/pages/user/host/moderator-management.html
3. 静态分析：依据当前原型、批注和需求文件生成，未进行真实接口或设备动态验证
4. 全局证据追溯：work/liveshow-user-app-all-260901-001/global-evidence-scan-result.json</x:v>
      </x:c>
    </x:row>
    <x:row r="534" ht="79.5" customHeight="1">
      <x:c r="A534" s="5" t="n">
        <x:v>533</x:v>
      </x:c>
      <x:c r="B534" s="5" t="str">
        <x:v>HOST-004</x:v>
      </x:c>
      <x:c r="C534" s="5" t="str">
        <x:v>用户App-主播中心</x:v>
      </x:c>
      <x:c r="D534" s="5" t="str">
        <x:v>公会通知</x:v>
      </x:c>
      <x:c r="E534" s="5" t="str">
        <x:v>功能需求</x:v>
      </x:c>
      <x:c r="F534" s="5" t="str">
        <x:v>P2</x:v>
      </x:c>
      <x:c r="G534" s="5" t="str">
        <x:v>验证公会通知核心业务信息</x:v>
      </x:c>
      <x:c r="H534" s="5" t="str">
        <x:v>公会通知核心信息</x:v>
      </x:c>
      <x:c r="I534" s="5" t="str">
        <x:v>1. 已具备访问该主播页面所需身份或状态
2. 已进入“公会通知”页面</x:v>
      </x:c>
      <x:c r="J534" s="5" t="str">
        <x:v>1. 查看页面主要业务区域</x:v>
      </x:c>
      <x:c r="K534" s="5" t="str">
        <x:v>页面展示纯文字、图片加文字和长内容展开</x:v>
      </x:c>
      <x:c r="L534" s="5" t="str"/>
      <x:c r="M534" s="5" t="str">
        <x:v>未测</x:v>
      </x:c>
      <x:c r="N534" s="5" t="str"/>
      <x:c r="O534" s="5" t="str">
        <x:v>1. 来源：context/01-用户主播App-项目需求清单.md
2. 来源：prototype/pages/user/host/host-guild-notifications.html
3. 静态分析：依据当前原型、批注和需求文件生成，未进行真实接口或设备动态验证
4. 全局证据追溯：work/liveshow-user-app-all-260901-001/global-evidence-scan-result.json</x:v>
      </x:c>
    </x:row>
    <x:row r="535" ht="67.5" customHeight="1">
      <x:c r="A535" s="5" t="n">
        <x:v>534</x:v>
      </x:c>
      <x:c r="B535" s="5" t="str">
        <x:v>HOST-005</x:v>
      </x:c>
      <x:c r="C535" s="5" t="str">
        <x:v>用户App-主播中心</x:v>
      </x:c>
      <x:c r="D535" s="5" t="str">
        <x:v>粉丝列表</x:v>
      </x:c>
      <x:c r="E535" s="5" t="str">
        <x:v>功能需求</x:v>
      </x:c>
      <x:c r="F535" s="5" t="str">
        <x:v>P2</x:v>
      </x:c>
      <x:c r="G535" s="5" t="str">
        <x:v>验证粉丝列表核心业务信息</x:v>
      </x:c>
      <x:c r="H535" s="5" t="str">
        <x:v>粉丝列表核心信息</x:v>
      </x:c>
      <x:c r="I535" s="5" t="str">
        <x:v>1. 已具备访问该主播页面所需身份或状态
2. 已进入“粉丝列表”页面</x:v>
      </x:c>
      <x:c r="J535" s="5" t="str">
        <x:v>1. 查看页面主要业务区域</x:v>
      </x:c>
      <x:c r="K535" s="5" t="str">
        <x:v>页面展示粉丝资料、财富等级与装扮图标</x:v>
      </x:c>
      <x:c r="L535" s="5" t="str"/>
      <x:c r="M535" s="5" t="str">
        <x:v>未测</x:v>
      </x:c>
      <x:c r="N535" s="5" t="str"/>
      <x:c r="O535" s="5" t="str">
        <x:v>1. 来源：context/01-用户主播App-项目需求清单.md
2. 来源：prototype/pages/user/host/fan-list.html
3. 静态分析：依据当前原型、批注和需求文件生成，未进行真实接口或设备动态验证
4. 全局证据追溯：work/liveshow-user-app-all-260901-001/global-evidence-scan-result.json</x:v>
      </x:c>
    </x:row>
    <x:row r="536" ht="67.5" customHeight="1">
      <x:c r="A536" s="5" t="n">
        <x:v>535</x:v>
      </x:c>
      <x:c r="B536" s="5" t="str">
        <x:v>HOST-006</x:v>
      </x:c>
      <x:c r="C536" s="5" t="str">
        <x:v>用户App-主播中心</x:v>
      </x:c>
      <x:c r="D536" s="5" t="str">
        <x:v>主播粉丝团</x:v>
      </x:c>
      <x:c r="E536" s="5" t="str">
        <x:v>功能需求</x:v>
      </x:c>
      <x:c r="F536" s="5" t="str">
        <x:v>P2</x:v>
      </x:c>
      <x:c r="G536" s="5" t="str">
        <x:v>验证主播粉丝团核心业务信息</x:v>
      </x:c>
      <x:c r="H536" s="5" t="str">
        <x:v>主播粉丝团核心信息</x:v>
      </x:c>
      <x:c r="I536" s="5" t="str">
        <x:v>1. 已具备访问该主播页面所需身份或状态
2. 已进入“主播粉丝团”页面</x:v>
      </x:c>
      <x:c r="J536" s="5" t="str">
        <x:v>1. 查看页面主要业务区域</x:v>
      </x:c>
      <x:c r="K536" s="5" t="str">
        <x:v>页面展示成员、加入规则、排序与移除</x:v>
      </x:c>
      <x:c r="L536" s="5" t="str"/>
      <x:c r="M536" s="5" t="str">
        <x:v>未测</x:v>
      </x:c>
      <x:c r="N536" s="5" t="str"/>
      <x:c r="O536" s="5" t="str">
        <x:v>1. 来源：context/01-用户主播App-项目需求清单.md
2. 来源：prototype/pages/user/host/fan-club.html
3. 静态分析：依据当前原型、批注和需求文件生成，未进行真实接口或设备动态验证
4. 全局证据追溯：work/liveshow-user-app-all-260901-001/global-evidence-scan-result.json</x:v>
      </x:c>
    </x:row>
    <x:row r="537" ht="67.5" customHeight="1">
      <x:c r="A537" s="5" t="n">
        <x:v>536</x:v>
      </x:c>
      <x:c r="B537" s="5" t="str">
        <x:v>HOST-007</x:v>
      </x:c>
      <x:c r="C537" s="5" t="str">
        <x:v>用户App-主播中心</x:v>
      </x:c>
      <x:c r="D537" s="5" t="str">
        <x:v>粉丝团设置</x:v>
      </x:c>
      <x:c r="E537" s="5" t="str">
        <x:v>功能需求</x:v>
      </x:c>
      <x:c r="F537" s="5" t="str">
        <x:v>P2</x:v>
      </x:c>
      <x:c r="G537" s="5" t="str">
        <x:v>验证粉丝团设置核心业务信息</x:v>
      </x:c>
      <x:c r="H537" s="5" t="str">
        <x:v>粉丝团设置核心信息</x:v>
      </x:c>
      <x:c r="I537" s="5" t="str">
        <x:v>1. 已具备访问该主播页面所需身份或状态
2. 已进入“粉丝团设置”页面</x:v>
      </x:c>
      <x:c r="J537" s="5" t="str">
        <x:v>1. 查看页面主要业务区域</x:v>
      </x:c>
      <x:c r="K537" s="5" t="str">
        <x:v>页面展示名称、关注要求和累计贡献条件</x:v>
      </x:c>
      <x:c r="L537" s="5" t="str"/>
      <x:c r="M537" s="5" t="str">
        <x:v>未测</x:v>
      </x:c>
      <x:c r="N537" s="5" t="str"/>
      <x:c r="O537" s="5" t="str">
        <x:v>1. 来源：context/01-用户主播App-项目需求清单.md
2. 来源：prototype/pages/user/host/fan-club-settings.html
3. 静态分析：依据当前原型、批注和需求文件生成，未进行真实接口或设备动态验证
4. 全局证据追溯：work/liveshow-user-app-all-260901-001/global-evidence-scan-result.json</x:v>
      </x:c>
    </x:row>
    <x:row r="538" ht="67.5" customHeight="1">
      <x:c r="A538" s="5" t="n">
        <x:v>537</x:v>
      </x:c>
      <x:c r="B538" s="5" t="str">
        <x:v>HOST-008</x:v>
      </x:c>
      <x:c r="C538" s="5" t="str">
        <x:v>用户App-主播中心</x:v>
      </x:c>
      <x:c r="D538" s="5" t="str">
        <x:v>直播数据</x:v>
      </x:c>
      <x:c r="E538" s="5" t="str">
        <x:v>功能需求</x:v>
      </x:c>
      <x:c r="F538" s="5" t="str">
        <x:v>P2</x:v>
      </x:c>
      <x:c r="G538" s="5" t="str">
        <x:v>验证直播数据核心业务信息</x:v>
      </x:c>
      <x:c r="H538" s="5" t="str">
        <x:v>直播数据核心信息</x:v>
      </x:c>
      <x:c r="I538" s="5" t="str">
        <x:v>1. 已具备访问该主播页面所需身份或状态
2. 已进入“直播数据”页面</x:v>
      </x:c>
      <x:c r="J538" s="5" t="str">
        <x:v>1. 查看页面主要业务区域</x:v>
      </x:c>
      <x:c r="K538" s="5" t="str">
        <x:v>页面展示日数据、月数据、趋势和有效天</x:v>
      </x:c>
      <x:c r="L538" s="5" t="str"/>
      <x:c r="M538" s="5" t="str">
        <x:v>未测</x:v>
      </x:c>
      <x:c r="N538" s="5" t="str"/>
      <x:c r="O538"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39" ht="67.5" customHeight="1">
      <x:c r="A539" s="5" t="n">
        <x:v>538</x:v>
      </x:c>
      <x:c r="B539" s="5" t="str">
        <x:v>HOST-009</x:v>
      </x:c>
      <x:c r="C539" s="5" t="str">
        <x:v>用户App-主播中心</x:v>
      </x:c>
      <x:c r="D539" s="5" t="str">
        <x:v>收益与分成记录</x:v>
      </x:c>
      <x:c r="E539" s="5" t="str">
        <x:v>功能需求</x:v>
      </x:c>
      <x:c r="F539" s="5" t="str">
        <x:v>P2</x:v>
      </x:c>
      <x:c r="G539" s="5" t="str">
        <x:v>验证收益与分成记录核心业务信息</x:v>
      </x:c>
      <x:c r="H539" s="5" t="str">
        <x:v>收益与分成记录核心信息</x:v>
      </x:c>
      <x:c r="I539" s="5" t="str">
        <x:v>1. 已具备访问该主播页面所需身份或状态
2. 已进入“收益与分成记录”页面</x:v>
      </x:c>
      <x:c r="J539" s="5" t="str">
        <x:v>1. 查看页面主要业务区域</x:v>
      </x:c>
      <x:c r="K539" s="5" t="str">
        <x:v>页面展示累计收益、账户金额和分成记录</x:v>
      </x:c>
      <x:c r="L539" s="5" t="str"/>
      <x:c r="M539" s="5" t="str">
        <x:v>未测</x:v>
      </x:c>
      <x:c r="N539" s="5" t="str"/>
      <x:c r="O539" s="5" t="str">
        <x:v>1. 来源：context/01-用户主播App-项目需求清单.md
2. 来源：prototype/pages/user/host/income-withdrawal.html
3. 静态分析：依据当前原型、批注和需求文件生成，未进行真实接口或设备动态验证
4. 全局证据追溯：work/liveshow-user-app-all-260901-001/global-evidence-scan-result.json</x:v>
      </x:c>
    </x:row>
    <x:row r="540" ht="67.5" customHeight="1">
      <x:c r="A540" s="5" t="n">
        <x:v>539</x:v>
      </x:c>
      <x:c r="B540" s="5" t="str">
        <x:v>HOST-010</x:v>
      </x:c>
      <x:c r="C540" s="5" t="str">
        <x:v>用户App-主播中心</x:v>
      </x:c>
      <x:c r="D540" s="5" t="str">
        <x:v>我的银行卡</x:v>
      </x:c>
      <x:c r="E540" s="5" t="str">
        <x:v>功能需求</x:v>
      </x:c>
      <x:c r="F540" s="5" t="str">
        <x:v>P2</x:v>
      </x:c>
      <x:c r="G540" s="5" t="str">
        <x:v>验证我的银行卡核心业务信息</x:v>
      </x:c>
      <x:c r="H540" s="5" t="str">
        <x:v>我的银行卡核心信息</x:v>
      </x:c>
      <x:c r="I540" s="5" t="str">
        <x:v>1. 已具备访问该主播页面所需身份或状态
2. 已进入“我的银行卡”页面</x:v>
      </x:c>
      <x:c r="J540" s="5" t="str">
        <x:v>1. 查看页面主要业务区域</x:v>
      </x:c>
      <x:c r="K540" s="5" t="str">
        <x:v>页面展示空态、已绑定银行卡和移除操作</x:v>
      </x:c>
      <x:c r="L540" s="5" t="str"/>
      <x:c r="M540" s="5" t="str">
        <x:v>未测</x:v>
      </x:c>
      <x:c r="N540" s="5" t="str"/>
      <x:c r="O540" s="5" t="str">
        <x:v>1. 来源：context/01-用户主播App-项目需求清单.md
2. 来源：prototype/pages/user/host/my-bank-cards.html
3. 静态分析：依据当前原型、批注和需求文件生成，未进行真实接口或设备动态验证
4. 全局证据追溯：work/liveshow-user-app-all-260901-001/global-evidence-scan-result.json</x:v>
      </x:c>
    </x:row>
    <x:row r="541" ht="67.5" customHeight="1">
      <x:c r="A541" s="5" t="n">
        <x:v>540</x:v>
      </x:c>
      <x:c r="B541" s="5" t="str">
        <x:v>HOST-011</x:v>
      </x:c>
      <x:c r="C541" s="5" t="str">
        <x:v>用户App-主播中心</x:v>
      </x:c>
      <x:c r="D541" s="5" t="str">
        <x:v>添加银行卡</x:v>
      </x:c>
      <x:c r="E541" s="5" t="str">
        <x:v>功能需求</x:v>
      </x:c>
      <x:c r="F541" s="5" t="str">
        <x:v>P2</x:v>
      </x:c>
      <x:c r="G541" s="5" t="str">
        <x:v>验证添加银行卡核心业务信息</x:v>
      </x:c>
      <x:c r="H541" s="5" t="str">
        <x:v>添加银行卡核心信息</x:v>
      </x:c>
      <x:c r="I541" s="5" t="str">
        <x:v>1. 已具备访问该主播页面所需身份或状态
2. 已进入“添加银行卡”页面</x:v>
      </x:c>
      <x:c r="J541" s="5" t="str">
        <x:v>1. 查看页面主要业务区域</x:v>
      </x:c>
      <x:c r="K541" s="5" t="str">
        <x:v>页面展示银行、账号和收款人姓名</x:v>
      </x:c>
      <x:c r="L541" s="5" t="str"/>
      <x:c r="M541" s="5" t="str">
        <x:v>未测</x:v>
      </x:c>
      <x:c r="N541" s="5" t="str"/>
      <x:c r="O541" s="5" t="str">
        <x:v>1. 来源：context/01-用户主播App-项目需求清单.md
2. 来源：prototype/pages/user/host/add-bank-card.html
3. 静态分析：依据当前原型、批注和需求文件生成，未进行真实接口或设备动态验证
4. 全局证据追溯：work/liveshow-user-app-all-260901-001/global-evidence-scan-result.json</x:v>
      </x:c>
    </x:row>
    <x:row r="542" ht="79.5" customHeight="1">
      <x:c r="A542" s="5" t="n">
        <x:v>541</x:v>
      </x:c>
      <x:c r="B542" s="5" t="str">
        <x:v>HOST-012</x:v>
      </x:c>
      <x:c r="C542" s="5" t="str">
        <x:v>用户App-主播中心</x:v>
      </x:c>
      <x:c r="D542" s="5" t="str">
        <x:v>提现填写</x:v>
      </x:c>
      <x:c r="E542" s="5" t="str">
        <x:v>功能需求</x:v>
      </x:c>
      <x:c r="F542" s="5" t="str">
        <x:v>P2</x:v>
      </x:c>
      <x:c r="G542" s="5" t="str">
        <x:v>验证提现填写核心业务信息</x:v>
      </x:c>
      <x:c r="H542" s="5" t="str">
        <x:v>提现填写核心信息</x:v>
      </x:c>
      <x:c r="I542" s="5" t="str">
        <x:v>1. 已具备访问该主播页面所需身份或状态
2. 已进入“提现填写”页面</x:v>
      </x:c>
      <x:c r="J542" s="5" t="str">
        <x:v>1. 查看页面主要业务区域</x:v>
      </x:c>
      <x:c r="K542" s="5" t="str">
        <x:v>页面展示提现金额和到账银行卡</x:v>
      </x:c>
      <x:c r="L542" s="5" t="str"/>
      <x:c r="M542" s="5" t="str">
        <x:v>未测</x:v>
      </x:c>
      <x:c r="N542" s="5" t="str"/>
      <x:c r="O542" s="5" t="str">
        <x:v>1. 来源：context/01-用户主播App-项目需求清单.md
2. 来源：prototype/pages/user/host/withdrawal-application.html
3. 静态分析：依据当前原型、批注和需求文件生成，未进行真实接口或设备动态验证
4. 全局证据追溯：work/liveshow-user-app-all-260901-001/global-evidence-scan-result.json</x:v>
      </x:c>
    </x:row>
    <x:row r="543" ht="79.5" customHeight="1">
      <x:c r="A543" s="5" t="n">
        <x:v>542</x:v>
      </x:c>
      <x:c r="B543" s="5" t="str">
        <x:v>HOST-013</x:v>
      </x:c>
      <x:c r="C543" s="5" t="str">
        <x:v>用户App-主播中心</x:v>
      </x:c>
      <x:c r="D543" s="5" t="str">
        <x:v>申请成为主播</x:v>
      </x:c>
      <x:c r="E543" s="5" t="str">
        <x:v>逻辑校验</x:v>
      </x:c>
      <x:c r="F543" s="5" t="str">
        <x:v>P1</x:v>
      </x:c>
      <x:c r="G543" s="5" t="str">
        <x:v>验证未入会时下一步为加入公会</x:v>
      </x:c>
      <x:c r="H543" s="5" t="str">
        <x:v>未入会时下一步为加入公会</x:v>
      </x:c>
      <x:c r="I543" s="5" t="str">
        <x:v>1. 普通用户尚未加入公会</x:v>
      </x:c>
      <x:c r="J543" s="5" t="str">
        <x:v>1. 进入申请成为主播页</x:v>
      </x:c>
      <x:c r="K543" s="5" t="str">
        <x:v>加入公会步骤展示唯一可执行的下一步操作</x:v>
      </x:c>
      <x:c r="L543" s="5" t="str"/>
      <x:c r="M543" s="5" t="str">
        <x:v>未测</x:v>
      </x:c>
      <x:c r="N543" s="5" t="str"/>
      <x:c r="O543" s="5" t="str">
        <x:v>1. 来源：context/01-用户主播App-项目需求清单.md
2. 来源：prototype/pages/user/host/host-center-pending.html
3. 静态分析：依据当前原型、批注和需求文件生成，未进行真实接口或设备动态验证
4. 全局证据追溯：work/liveshow-user-app-all-260901-001/global-evidence-scan-result.json</x:v>
      </x:c>
    </x:row>
    <x:row r="544" ht="79.5" customHeight="1">
      <x:c r="A544" s="5" t="n">
        <x:v>543</x:v>
      </x:c>
      <x:c r="B544" s="5" t="str">
        <x:v>HOST-014</x:v>
      </x:c>
      <x:c r="C544" s="5" t="str">
        <x:v>用户App-主播中心</x:v>
      </x:c>
      <x:c r="D544" s="5" t="str">
        <x:v>申请成为主播</x:v>
      </x:c>
      <x:c r="E544" s="5" t="str">
        <x:v>业务流程</x:v>
      </x:c>
      <x:c r="F544" s="5" t="str">
        <x:v>P1</x:v>
      </x:c>
      <x:c r="G544" s="5" t="str">
        <x:v>验证入会申请中回显申请状态</x:v>
      </x:c>
      <x:c r="H544" s="5" t="str">
        <x:v>入会申请中回显申请状态</x:v>
      </x:c>
      <x:c r="I544" s="5" t="str">
        <x:v>1. 用户已提交入会申请且仍在审核中</x:v>
      </x:c>
      <x:c r="J544" s="5" t="str">
        <x:v>1. 进入申请成为主播页</x:v>
      </x:c>
      <x:c r="K544" s="5" t="str">
        <x:v>加入公会步骤展示申请中状态</x:v>
      </x:c>
      <x:c r="L544" s="5" t="str">
        <x:v>FLOW-UAPP-GUILD-JOIN-01</x:v>
      </x:c>
      <x:c r="M544" s="5" t="str">
        <x:v>未测</x:v>
      </x:c>
      <x:c r="N544" s="5" t="str"/>
      <x:c r="O544" s="5" t="str">
        <x:v>1. 来源：context/01-用户主播App-项目需求清单.md
2. 来源：prototype/pages/user/host/host-center-pending.html
3. 静态分析：依据当前原型、批注和需求文件生成，未进行真实接口或设备动态验证
4. 全局证据追溯：work/liveshow-user-app-all-260901-001/global-evidence-scan-result.json</x:v>
      </x:c>
    </x:row>
    <x:row r="545" ht="79.5" customHeight="1">
      <x:c r="A545" s="5" t="n">
        <x:v>544</x:v>
      </x:c>
      <x:c r="B545" s="5" t="str">
        <x:v>HOST-015</x:v>
      </x:c>
      <x:c r="C545" s="5" t="str">
        <x:v>用户App-主播中心</x:v>
      </x:c>
      <x:c r="D545" s="5" t="str">
        <x:v>申请成为主播</x:v>
      </x:c>
      <x:c r="E545" s="5" t="str">
        <x:v>逻辑校验</x:v>
      </x:c>
      <x:c r="F545" s="5" t="str">
        <x:v>P1</x:v>
      </x:c>
      <x:c r="G545" s="5" t="str">
        <x:v>验证主播身份与直播权限分别回显</x:v>
      </x:c>
      <x:c r="H545" s="5" t="str">
        <x:v>主播身份与直播权限分别回显</x:v>
      </x:c>
      <x:c r="I545" s="5" t="str">
        <x:v>1. 账号已获得主播身份但直播权限尚未开启</x:v>
      </x:c>
      <x:c r="J545" s="5" t="str">
        <x:v>1. 进入申请成为主播页</x:v>
      </x:c>
      <x:c r="K545" s="5" t="str">
        <x:v>页面显示主播身份已具备且直播权限未开通</x:v>
      </x:c>
      <x:c r="L545" s="5" t="str">
        <x:v>FLOW-UAPP-HOST-PERMISSION-01</x:v>
      </x:c>
      <x:c r="M545" s="5" t="str">
        <x:v>未测</x:v>
      </x:c>
      <x:c r="N545" s="5" t="str"/>
      <x:c r="O545" s="5" t="str">
        <x:v>1. 来源：context/01-用户主播App-项目需求清单.md
2. 来源：prototype/pages/user/host/host-center-pending.html
3. 静态分析：依据当前原型、批注和需求文件生成，未进行真实接口或设备动态验证
4. 全局证据追溯：work/liveshow-user-app-all-260901-001/global-evidence-scan-result.json</x:v>
      </x:c>
    </x:row>
    <x:row r="546" ht="67.5" customHeight="1">
      <x:c r="A546" s="5" t="n">
        <x:v>545</x:v>
      </x:c>
      <x:c r="B546" s="5" t="str">
        <x:v>HOST-016</x:v>
      </x:c>
      <x:c r="C546" s="5" t="str">
        <x:v>用户App-主播中心</x:v>
      </x:c>
      <x:c r="D546" s="5" t="str">
        <x:v>主播中心</x:v>
      </x:c>
      <x:c r="E546" s="5" t="str">
        <x:v>业务流程</x:v>
      </x:c>
      <x:c r="F546" s="5" t="str">
        <x:v>P0</x:v>
      </x:c>
      <x:c r="G546" s="5" t="str">
        <x:v>验证直播权限开启后进入开播设置</x:v>
      </x:c>
      <x:c r="H546" s="5" t="str">
        <x:v>直播权限开启后进入开播设置</x:v>
      </x:c>
      <x:c r="I546" s="5" t="str">
        <x:v>1. 主播认证通过且直播权限已开启</x:v>
      </x:c>
      <x:c r="J546" s="5" t="str">
        <x:v>1. 进入主播中心
2. 点击开始直播</x:v>
      </x:c>
      <x:c r="K546" s="5" t="str">
        <x:v>页面进入开播设置</x:v>
      </x:c>
      <x:c r="L546" s="5" t="str">
        <x:v>FLOW-UAPP-HOST-PERMISSION-01</x:v>
      </x:c>
      <x:c r="M546" s="5" t="str">
        <x:v>未测</x:v>
      </x:c>
      <x:c r="N546" s="5" t="str"/>
      <x:c r="O546" s="5" t="str">
        <x:v>1. 来源：context/01-用户主播App-项目需求清单.md
2. 来源：prototype/pages/user/host/host-center.html
3. 静态分析：依据当前原型、批注和需求文件生成，未进行真实接口或设备动态验证
4. 全局证据追溯：work/liveshow-user-app-all-260901-001/global-evidence-scan-result.json</x:v>
      </x:c>
    </x:row>
    <x:row r="547" ht="67.5" customHeight="1">
      <x:c r="A547" s="5" t="n">
        <x:v>546</x:v>
      </x:c>
      <x:c r="B547" s="5" t="str">
        <x:v>HOST-017</x:v>
      </x:c>
      <x:c r="C547" s="5" t="str">
        <x:v>用户App-主播中心</x:v>
      </x:c>
      <x:c r="D547" s="5" t="str">
        <x:v>主播中心</x:v>
      </x:c>
      <x:c r="E547" s="5" t="str">
        <x:v>逻辑校验</x:v>
      </x:c>
      <x:c r="F547" s="5" t="str">
        <x:v>P2</x:v>
      </x:c>
      <x:c r="G547" s="5" t="str">
        <x:v>验证主播等级与财富等级分开展示</x:v>
      </x:c>
      <x:c r="H547" s="5" t="str">
        <x:v>主播等级与财富等级分开展示</x:v>
      </x:c>
      <x:c r="I547" s="5" t="str">
        <x:v>1. 主播同时具有主播等级和财富等级</x:v>
      </x:c>
      <x:c r="J547" s="5" t="str">
        <x:v>1. 进入主播中心</x:v>
      </x:c>
      <x:c r="K547" s="5" t="str">
        <x:v>昵称旁展示主播等级且不以财富等级替代</x:v>
      </x:c>
      <x:c r="L547" s="5" t="str"/>
      <x:c r="M547" s="5" t="str">
        <x:v>未测</x:v>
      </x:c>
      <x:c r="N547" s="5" t="str"/>
      <x:c r="O547" s="5" t="str">
        <x:v>1. 来源：context/01-用户主播App-项目需求清单.md
2. 来源：prototype/pages/user/host/host-center.html
3. 静态分析：依据当前原型、批注和需求文件生成，未进行真实接口或设备动态验证
4. 全局证据追溯：work/liveshow-user-app-all-260901-001/global-evidence-scan-result.json</x:v>
      </x:c>
    </x:row>
    <x:row r="548" ht="67.5" customHeight="1">
      <x:c r="A548" s="5" t="n">
        <x:v>547</x:v>
      </x:c>
      <x:c r="B548" s="5" t="str">
        <x:v>HOST-018</x:v>
      </x:c>
      <x:c r="C548" s="5" t="str">
        <x:v>用户App-主播中心</x:v>
      </x:c>
      <x:c r="D548" s="5" t="str">
        <x:v>主播中心</x:v>
      </x:c>
      <x:c r="E548" s="5" t="str">
        <x:v>逻辑校验</x:v>
      </x:c>
      <x:c r="F548" s="5" t="str">
        <x:v>P2</x:v>
      </x:c>
      <x:c r="G548" s="5" t="str">
        <x:v>验证公会通知未读数</x:v>
      </x:c>
      <x:c r="H548" s="5" t="str">
        <x:v>公会通知未读数</x:v>
      </x:c>
      <x:c r="I548" s="5" t="str">
        <x:v>1. 主播存在多条未读公会通知</x:v>
      </x:c>
      <x:c r="J548" s="5" t="str">
        <x:v>1. 进入主播中心</x:v>
      </x:c>
      <x:c r="K548" s="5" t="str">
        <x:v>公会通知入口展示对应未读数量</x:v>
      </x:c>
      <x:c r="L548" s="5" t="str"/>
      <x:c r="M548" s="5" t="str">
        <x:v>未测</x:v>
      </x:c>
      <x:c r="N548" s="5" t="str"/>
      <x:c r="O548" s="5" t="str">
        <x:v>1. 来源：context/01-用户主播App-项目需求清单.md
2. 来源：prototype/pages/user/host/host-center.html
3. 静态分析：依据当前原型、批注和需求文件生成，未进行真实接口或设备动态验证
4. 全局证据追溯：work/liveshow-user-app-all-260901-001/global-evidence-scan-result.json</x:v>
      </x:c>
    </x:row>
    <x:row r="549" ht="79.5" customHeight="1">
      <x:c r="A549" s="5" t="n">
        <x:v>548</x:v>
      </x:c>
      <x:c r="B549" s="5" t="str">
        <x:v>HOST-019</x:v>
      </x:c>
      <x:c r="C549" s="5" t="str">
        <x:v>用户App-主播中心</x:v>
      </x:c>
      <x:c r="D549" s="5" t="str">
        <x:v>公会通知</x:v>
      </x:c>
      <x:c r="E549" s="5" t="str">
        <x:v>业务流程</x:v>
      </x:c>
      <x:c r="F549" s="5" t="str">
        <x:v>P2</x:v>
      </x:c>
      <x:c r="G549" s="5" t="str">
        <x:v>验证长通知在当前卡片展开</x:v>
      </x:c>
      <x:c r="H549" s="5" t="str">
        <x:v>长通知在当前卡片展开</x:v>
      </x:c>
      <x:c r="I549" s="5" t="str">
        <x:v>1. 公会通知列表存在长内容通知</x:v>
      </x:c>
      <x:c r="J549" s="5" t="str">
        <x:v>1. 进入公会通知
2. 点击展开长内容</x:v>
      </x:c>
      <x:c r="K549" s="5" t="str">
        <x:v>长内容在当前通知卡片内展开</x:v>
      </x:c>
      <x:c r="L549" s="5" t="str"/>
      <x:c r="M549" s="5" t="str">
        <x:v>未测</x:v>
      </x:c>
      <x:c r="N549" s="5" t="str"/>
      <x:c r="O549" s="5" t="str">
        <x:v>1. 来源：context/01-用户主播App-项目需求清单.md
2. 来源：prototype/pages/user/host/host-guild-notifications.html
3. 静态分析：依据当前原型、批注和需求文件生成，未进行真实接口或设备动态验证
4. 全局证据追溯：work/liveshow-user-app-all-260901-001/global-evidence-scan-result.json</x:v>
      </x:c>
    </x:row>
    <x:row r="550" ht="79.5" customHeight="1">
      <x:c r="A550" s="5" t="n">
        <x:v>549</x:v>
      </x:c>
      <x:c r="B550" s="5" t="str">
        <x:v>HOST-020</x:v>
      </x:c>
      <x:c r="C550" s="5" t="str">
        <x:v>用户App-主播中心</x:v>
      </x:c>
      <x:c r="D550" s="5" t="str">
        <x:v>公会通知</x:v>
      </x:c>
      <x:c r="E550" s="5" t="str">
        <x:v>逻辑校验</x:v>
      </x:c>
      <x:c r="F550" s="5" t="str">
        <x:v>P2</x:v>
      </x:c>
      <x:c r="G550" s="5" t="str">
        <x:v>验证通知不进入独立详情页</x:v>
      </x:c>
      <x:c r="H550" s="5" t="str">
        <x:v>通知不进入独立详情页</x:v>
      </x:c>
      <x:c r="I550" s="5" t="str">
        <x:v>1. 公会通知列表存在长内容通知</x:v>
      </x:c>
      <x:c r="J550" s="5" t="str">
        <x:v>1. 进入公会通知
2. 点击该通知内容</x:v>
      </x:c>
      <x:c r="K550" s="5" t="str">
        <x:v>页面保持在公会通知列表</x:v>
      </x:c>
      <x:c r="L550" s="5" t="str"/>
      <x:c r="M550" s="5" t="str">
        <x:v>未测</x:v>
      </x:c>
      <x:c r="N550" s="5" t="str"/>
      <x:c r="O550" s="5" t="str">
        <x:v>1. 来源：context/01-用户主播App-项目需求清单.md
2. 来源：prototype/pages/user/host/host-guild-notifications.html
3. 静态分析：依据当前原型、批注和需求文件生成，未进行真实接口或设备动态验证
4. 全局证据追溯：work/liveshow-user-app-all-260901-001/global-evidence-scan-result.json</x:v>
      </x:c>
    </x:row>
    <x:row r="551" ht="79.5" customHeight="1">
      <x:c r="A551" s="5" t="n">
        <x:v>550</x:v>
      </x:c>
      <x:c r="B551" s="5" t="str">
        <x:v>HOST-021</x:v>
      </x:c>
      <x:c r="C551" s="5" t="str">
        <x:v>用户App-主播中心</x:v>
      </x:c>
      <x:c r="D551" s="5" t="str">
        <x:v>房管管理</x:v>
      </x:c>
      <x:c r="E551" s="5" t="str">
        <x:v>业务流程</x:v>
      </x:c>
      <x:c r="F551" s="5" t="str">
        <x:v>P1</x:v>
      </x:c>
      <x:c r="G551" s="5" t="str">
        <x:v>验证通过用户 ID 添加房管</x:v>
      </x:c>
      <x:c r="H551" s="5" t="str">
        <x:v>通过用户 ID 添加房管</x:v>
      </x:c>
      <x:c r="I551" s="5" t="str">
        <x:v>1. 主播当前房管少于 3 人
2. 目标用户不在直播间黑名单内且双方无账号拉黑关系</x:v>
      </x:c>
      <x:c r="J551" s="5" t="str">
        <x:v>1. 进入房管管理
2. 输入目标用户 ID
3. 确认添加</x:v>
      </x:c>
      <x:c r="K551" s="5" t="str">
        <x:v>目标用户加入该主播房管列表</x:v>
      </x:c>
      <x:c r="L551" s="5" t="str"/>
      <x:c r="M551" s="5" t="str">
        <x:v>未测</x:v>
      </x:c>
      <x:c r="N551" s="5" t="str"/>
      <x:c r="O551" s="5" t="str">
        <x:v>1. 来源：context/01-用户主播App-项目需求清单.md
2. 来源：prototype/pages/user/host/moderator-management.html
3. 静态分析：依据当前原型、批注和需求文件生成，未进行真实接口或设备动态验证
4. 全局证据追溯：work/liveshow-user-app-all-260901-001/global-evidence-scan-result.json</x:v>
      </x:c>
    </x:row>
    <x:row r="552" ht="79.5" customHeight="1">
      <x:c r="A552" s="5" t="n">
        <x:v>551</x:v>
      </x:c>
      <x:c r="B552" s="5" t="str">
        <x:v>HOST-022</x:v>
      </x:c>
      <x:c r="C552" s="5" t="str">
        <x:v>用户App-主播中心</x:v>
      </x:c>
      <x:c r="D552" s="5" t="str">
        <x:v>房管管理</x:v>
      </x:c>
      <x:c r="E552" s="5" t="str">
        <x:v>逻辑校验</x:v>
      </x:c>
      <x:c r="F552" s="5" t="str">
        <x:v>P1</x:v>
      </x:c>
      <x:c r="G552" s="5" t="str">
        <x:v>验证添加离线非好友用户为房管</x:v>
      </x:c>
      <x:c r="H552" s="5" t="str">
        <x:v>添加离线非好友用户为房管</x:v>
      </x:c>
      <x:c r="I552" s="5" t="str">
        <x:v>1. 目标用户当前离线且不是主播好友
2. 主播当前房管少于 3 人
3. 双方无账号拉黑且目标不在直播间黑名单</x:v>
      </x:c>
      <x:c r="J552" s="5" t="str">
        <x:v>1. 输入目标用户 ID
2. 确认添加</x:v>
      </x:c>
      <x:c r="K552" s="5" t="str">
        <x:v>目标用户加入该主播房管列表</x:v>
      </x:c>
      <x:c r="L552" s="5" t="str"/>
      <x:c r="M552" s="5" t="str">
        <x:v>未测</x:v>
      </x:c>
      <x:c r="N552" s="5" t="str"/>
      <x:c r="O552" s="5" t="str">
        <x:v>1. 来源：context/01-用户主播App-项目需求清单.md
2. 来源：prototype/pages/user/host/moderator-management.html
3. 静态分析：依据当前原型、批注和需求文件生成，未进行真实接口或设备动态验证
4. 全局证据追溯：work/liveshow-user-app-all-260901-001/global-evidence-scan-result.json</x:v>
      </x:c>
    </x:row>
    <x:row r="553" ht="79.5" customHeight="1">
      <x:c r="A553" s="5" t="n">
        <x:v>552</x:v>
      </x:c>
      <x:c r="B553" s="5" t="str">
        <x:v>HOST-023</x:v>
      </x:c>
      <x:c r="C553" s="5" t="str">
        <x:v>用户App-主播中心</x:v>
      </x:c>
      <x:c r="D553" s="5" t="str">
        <x:v>房管管理</x:v>
      </x:c>
      <x:c r="E553" s="5" t="str">
        <x:v>逻辑校验</x:v>
      </x:c>
      <x:c r="F553" s="5" t="str">
        <x:v>P1</x:v>
      </x:c>
      <x:c r="G553" s="5" t="str">
        <x:v>验证第四名房管不能添加</x:v>
      </x:c>
      <x:c r="H553" s="5" t="str">
        <x:v>第四名房管不能添加</x:v>
      </x:c>
      <x:c r="I553" s="5" t="str">
        <x:v>1. 主播已有 3 名房管</x:v>
      </x:c>
      <x:c r="J553" s="5" t="str">
        <x:v>1. 输入另一合法用户 ID
2. 确认添加</x:v>
      </x:c>
      <x:c r="K553" s="5" t="str">
        <x:v>主播房管数量保持为 3</x:v>
      </x:c>
      <x:c r="L553" s="5" t="str"/>
      <x:c r="M553" s="5" t="str">
        <x:v>未测</x:v>
      </x:c>
      <x:c r="N553" s="5" t="str"/>
      <x:c r="O553" s="5" t="str">
        <x:v>1. 来源：context/01-用户主播App-项目需求清单.md
2. 来源：prototype/pages/user/host/moderator-management.html
3. 静态分析：依据当前原型、批注和需求文件生成，未进行真实接口或设备动态验证
4. 全局证据追溯：work/liveshow-user-app-all-260901-001/global-evidence-scan-result.json</x:v>
      </x:c>
    </x:row>
    <x:row r="554" ht="79.5" customHeight="1">
      <x:c r="A554" s="5" t="n">
        <x:v>553</x:v>
      </x:c>
      <x:c r="B554" s="5" t="str">
        <x:v>HOST-024</x:v>
      </x:c>
      <x:c r="C554" s="5" t="str">
        <x:v>用户App-主播中心</x:v>
      </x:c>
      <x:c r="D554" s="5" t="str">
        <x:v>房管管理</x:v>
      </x:c>
      <x:c r="E554" s="5" t="str">
        <x:v>逻辑校验</x:v>
      </x:c>
      <x:c r="F554" s="5" t="str">
        <x:v>P1</x:v>
      </x:c>
      <x:c r="G554" s="5" t="str">
        <x:v>验证直播间黑名单用户不能设为房管</x:v>
      </x:c>
      <x:c r="H554" s="5" t="str">
        <x:v>直播间黑名单用户不能设为房管</x:v>
      </x:c>
      <x:c r="I554" s="5" t="str">
        <x:v>1. 目标用户在该主播直播间黑名单内</x:v>
      </x:c>
      <x:c r="J554" s="5" t="str">
        <x:v>1. 输入目标用户 ID
2. 确认添加</x:v>
      </x:c>
      <x:c r="K554" s="5" t="str">
        <x:v>目标用户不加入房管列表</x:v>
      </x:c>
      <x:c r="L554" s="5" t="str"/>
      <x:c r="M554" s="5" t="str">
        <x:v>未测</x:v>
      </x:c>
      <x:c r="N554" s="5" t="str"/>
      <x:c r="O554" s="5" t="str">
        <x:v>1. 来源：context/01-用户主播App-项目需求清单.md
2. 来源：prototype/pages/user/host/moderator-management.html
3. 静态分析：依据当前原型、批注和需求文件生成，未进行真实接口或设备动态验证
4. 全局证据追溯：work/liveshow-user-app-all-260901-001/global-evidence-scan-result.json</x:v>
      </x:c>
    </x:row>
    <x:row r="555" ht="79.5" customHeight="1">
      <x:c r="A555" s="5" t="n">
        <x:v>554</x:v>
      </x:c>
      <x:c r="B555" s="5" t="str">
        <x:v>HOST-025</x:v>
      </x:c>
      <x:c r="C555" s="5" t="str">
        <x:v>用户App-主播中心</x:v>
      </x:c>
      <x:c r="D555" s="5" t="str">
        <x:v>房管管理</x:v>
      </x:c>
      <x:c r="E555" s="5" t="str">
        <x:v>逻辑校验</x:v>
      </x:c>
      <x:c r="F555" s="5" t="str">
        <x:v>P1</x:v>
      </x:c>
      <x:c r="G555" s="5" t="str">
        <x:v>验证账号拉黑关系阻止房管授权</x:v>
      </x:c>
      <x:c r="H555" s="5" t="str">
        <x:v>账号拉黑关系阻止房管授权</x:v>
      </x:c>
      <x:c r="I555" s="5" t="str">
        <x:v>1. 主播与目标用户存在账号拉黑关系</x:v>
      </x:c>
      <x:c r="J555" s="5" t="str">
        <x:v>1. 输入目标用户 ID
2. 确认添加</x:v>
      </x:c>
      <x:c r="K555" s="5" t="str">
        <x:v>目标用户不加入房管列表</x:v>
      </x:c>
      <x:c r="L555" s="5" t="str"/>
      <x:c r="M555" s="5" t="str">
        <x:v>未测</x:v>
      </x:c>
      <x:c r="N555" s="5" t="str"/>
      <x:c r="O555" s="5" t="str">
        <x:v>1. 来源：context/01-用户主播App-项目需求清单.md
2. 来源：prototype/pages/user/host/moderator-management.html
3. 静态分析：依据当前原型、批注和需求文件生成，未进行真实接口或设备动态验证
4. 全局证据追溯：work/liveshow-user-app-all-260901-001/global-evidence-scan-result.json</x:v>
      </x:c>
    </x:row>
    <x:row r="556" ht="79.5" customHeight="1">
      <x:c r="A556" s="5" t="n">
        <x:v>555</x:v>
      </x:c>
      <x:c r="B556" s="5" t="str">
        <x:v>HOST-026</x:v>
      </x:c>
      <x:c r="C556" s="5" t="str">
        <x:v>用户App-主播中心</x:v>
      </x:c>
      <x:c r="D556" s="5" t="str">
        <x:v>房管管理</x:v>
      </x:c>
      <x:c r="E556" s="5" t="str">
        <x:v>业务流程</x:v>
      </x:c>
      <x:c r="F556" s="5" t="str">
        <x:v>P1</x:v>
      </x:c>
      <x:c r="G556" s="5" t="str">
        <x:v>验证取消长期房管授权</x:v>
      </x:c>
      <x:c r="H556" s="5" t="str">
        <x:v>取消长期房管授权</x:v>
      </x:c>
      <x:c r="I556" s="5" t="str">
        <x:v>1. 目标用户已是该主播的长期房管</x:v>
      </x:c>
      <x:c r="J556" s="5" t="str">
        <x:v>1. 进入房管管理
2. 取消目标用户房管
3. 确认取消</x:v>
      </x:c>
      <x:c r="K556" s="5" t="str">
        <x:v>目标用户从房管列表移除</x:v>
      </x:c>
      <x:c r="L556" s="5" t="str"/>
      <x:c r="M556" s="5" t="str">
        <x:v>未测</x:v>
      </x:c>
      <x:c r="N556" s="5" t="str"/>
      <x:c r="O556" s="5" t="str">
        <x:v>1. 来源：context/01-用户主播App-项目需求清单.md
2. 来源：prototype/pages/user/host/moderator-management.html
3. 静态分析：依据当前原型、批注和需求文件生成，未进行真实接口或设备动态验证
4. 全局证据追溯：work/liveshow-user-app-all-260901-001/global-evidence-scan-result.json</x:v>
      </x:c>
    </x:row>
    <x:row r="557" ht="67.5" customHeight="1">
      <x:c r="A557" s="5" t="n">
        <x:v>556</x:v>
      </x:c>
      <x:c r="B557" s="5" t="str">
        <x:v>HOST-027</x:v>
      </x:c>
      <x:c r="C557" s="5" t="str">
        <x:v>用户App-主播中心</x:v>
      </x:c>
      <x:c r="D557" s="5" t="str">
        <x:v>粉丝列表</x:v>
      </x:c>
      <x:c r="E557" s="5" t="str">
        <x:v>业务流程</x:v>
      </x:c>
      <x:c r="F557" s="5" t="str">
        <x:v>P2</x:v>
      </x:c>
      <x:c r="G557" s="5" t="str">
        <x:v>验证点击粉丝进入用户主页</x:v>
      </x:c>
      <x:c r="H557" s="5" t="str">
        <x:v>点击粉丝进入用户主页</x:v>
      </x:c>
      <x:c r="I557" s="5" t="str">
        <x:v>1. 粉丝列表存在目标粉丝</x:v>
      </x:c>
      <x:c r="J557" s="5" t="str">
        <x:v>1. 进入粉丝列表
2. 点击目标粉丝</x:v>
      </x:c>
      <x:c r="K557" s="5" t="str">
        <x:v>页面进入目标粉丝的用户主页</x:v>
      </x:c>
      <x:c r="L557" s="5" t="str"/>
      <x:c r="M557" s="5" t="str">
        <x:v>未测</x:v>
      </x:c>
      <x:c r="N557" s="5" t="str"/>
      <x:c r="O557" s="5" t="str">
        <x:v>1. 来源：context/01-用户主播App-项目需求清单.md
2. 来源：prototype/pages/user/host/fan-list.html
3. 静态分析：依据当前原型、批注和需求文件生成，未进行真实接口或设备动态验证
4. 全局证据追溯：work/liveshow-user-app-all-260901-001/global-evidence-scan-result.json</x:v>
      </x:c>
    </x:row>
    <x:row r="558" ht="67.5" customHeight="1">
      <x:c r="A558" s="5" t="n">
        <x:v>557</x:v>
      </x:c>
      <x:c r="B558" s="5" t="str">
        <x:v>HOST-028</x:v>
      </x:c>
      <x:c r="C558" s="5" t="str">
        <x:v>用户App-主播中心</x:v>
      </x:c>
      <x:c r="D558" s="5" t="str">
        <x:v>主播粉丝团</x:v>
      </x:c>
      <x:c r="E558" s="5" t="str">
        <x:v>逻辑校验</x:v>
      </x:c>
      <x:c r="F558" s="5" t="str">
        <x:v>P2</x:v>
      </x:c>
      <x:c r="G558" s="5" t="str">
        <x:v>验证按累计贡献排序成员</x:v>
      </x:c>
      <x:c r="H558" s="5" t="str">
        <x:v>按累计贡献排序成员</x:v>
      </x:c>
      <x:c r="I558" s="5" t="str">
        <x:v>1. 粉丝团存在可区分累计贡献顺序的成员</x:v>
      </x:c>
      <x:c r="J558" s="5" t="str">
        <x:v>1. 进入主播粉丝团
2. 选择按累计贡献排序</x:v>
      </x:c>
      <x:c r="K558" s="5" t="str">
        <x:v>成员列表按累计贡献排列</x:v>
      </x:c>
      <x:c r="L558" s="5" t="str"/>
      <x:c r="M558" s="5" t="str">
        <x:v>未测</x:v>
      </x:c>
      <x:c r="N558" s="5" t="str"/>
      <x:c r="O558" s="5" t="str">
        <x:v>1. 来源：context/01-用户主播App-项目需求清单.md
2. 来源：prototype/pages/user/host/fan-club.html
3. 静态分析：依据当前原型、批注和需求文件生成，未进行真实接口或设备动态验证
4. 全局证据追溯：work/liveshow-user-app-all-260901-001/global-evidence-scan-result.json</x:v>
      </x:c>
    </x:row>
    <x:row r="559" ht="67.5" customHeight="1">
      <x:c r="A559" s="5" t="n">
        <x:v>558</x:v>
      </x:c>
      <x:c r="B559" s="5" t="str">
        <x:v>HOST-029</x:v>
      </x:c>
      <x:c r="C559" s="5" t="str">
        <x:v>用户App-主播中心</x:v>
      </x:c>
      <x:c r="D559" s="5" t="str">
        <x:v>主播粉丝团</x:v>
      </x:c>
      <x:c r="E559" s="5" t="str">
        <x:v>逻辑校验</x:v>
      </x:c>
      <x:c r="F559" s="5" t="str">
        <x:v>P2</x:v>
      </x:c>
      <x:c r="G559" s="5" t="str">
        <x:v>验证按本月贡献排序成员</x:v>
      </x:c>
      <x:c r="H559" s="5" t="str">
        <x:v>按本月贡献排序成员</x:v>
      </x:c>
      <x:c r="I559" s="5" t="str">
        <x:v>1. 粉丝团存在可区分本月贡献顺序的成员</x:v>
      </x:c>
      <x:c r="J559" s="5" t="str">
        <x:v>1. 进入主播粉丝团
2. 选择按本月贡献排序</x:v>
      </x:c>
      <x:c r="K559" s="5" t="str">
        <x:v>成员列表按本月贡献排列</x:v>
      </x:c>
      <x:c r="L559" s="5" t="str"/>
      <x:c r="M559" s="5" t="str">
        <x:v>未测</x:v>
      </x:c>
      <x:c r="N559" s="5" t="str"/>
      <x:c r="O559" s="5" t="str">
        <x:v>1. 来源：context/01-用户主播App-项目需求清单.md
2. 来源：prototype/pages/user/host/fan-club.html
3. 静态分析：依据当前原型、批注和需求文件生成，未进行真实接口或设备动态验证
4. 全局证据追溯：work/liveshow-user-app-all-260901-001/global-evidence-scan-result.json</x:v>
      </x:c>
    </x:row>
    <x:row r="560" ht="67.5" customHeight="1">
      <x:c r="A560" s="5" t="n">
        <x:v>559</x:v>
      </x:c>
      <x:c r="B560" s="5" t="str">
        <x:v>HOST-030</x:v>
      </x:c>
      <x:c r="C560" s="5" t="str">
        <x:v>用户App-主播中心</x:v>
      </x:c>
      <x:c r="D560" s="5" t="str">
        <x:v>主播粉丝团</x:v>
      </x:c>
      <x:c r="E560" s="5" t="str">
        <x:v>逻辑校验</x:v>
      </x:c>
      <x:c r="F560" s="5" t="str">
        <x:v>P2</x:v>
      </x:c>
      <x:c r="G560" s="5" t="str">
        <x:v>验证按加入时间排序成员</x:v>
      </x:c>
      <x:c r="H560" s="5" t="str">
        <x:v>按加入时间排序成员</x:v>
      </x:c>
      <x:c r="I560" s="5" t="str">
        <x:v>1. 粉丝团存在可区分加入时间顺序的成员</x:v>
      </x:c>
      <x:c r="J560" s="5" t="str">
        <x:v>1. 进入主播粉丝团
2. 选择按加入时间排序</x:v>
      </x:c>
      <x:c r="K560" s="5" t="str">
        <x:v>成员列表按加入时间排列</x:v>
      </x:c>
      <x:c r="L560" s="5" t="str"/>
      <x:c r="M560" s="5" t="str">
        <x:v>未测</x:v>
      </x:c>
      <x:c r="N560" s="5" t="str"/>
      <x:c r="O560" s="5" t="str">
        <x:v>1. 来源：context/01-用户主播App-项目需求清单.md
2. 来源：prototype/pages/user/host/fan-club.html
3. 静态分析：依据当前原型、批注和需求文件生成，未进行真实接口或设备动态验证
4. 全局证据追溯：work/liveshow-user-app-all-260901-001/global-evidence-scan-result.json</x:v>
      </x:c>
    </x:row>
    <x:row r="561" ht="67.5" customHeight="1">
      <x:c r="A561" s="5" t="n">
        <x:v>560</x:v>
      </x:c>
      <x:c r="B561" s="5" t="str">
        <x:v>HOST-031</x:v>
      </x:c>
      <x:c r="C561" s="5" t="str">
        <x:v>用户App-主播中心</x:v>
      </x:c>
      <x:c r="D561" s="5" t="str">
        <x:v>主播粉丝团</x:v>
      </x:c>
      <x:c r="E561" s="5" t="str">
        <x:v>逻辑校验</x:v>
      </x:c>
      <x:c r="F561" s="5" t="str">
        <x:v>P1</x:v>
      </x:c>
      <x:c r="G561" s="5" t="str">
        <x:v>验证满五百人拒绝新成员</x:v>
      </x:c>
      <x:c r="H561" s="5" t="str">
        <x:v>满五百人拒绝新成员</x:v>
      </x:c>
      <x:c r="I561" s="5" t="str">
        <x:v>1. 主播粉丝团已有 500 名有效成员</x:v>
      </x:c>
      <x:c r="J561" s="5" t="str">
        <x:v>1. 另一用户满足加入条件
2. 尝试加入该粉丝团</x:v>
      </x:c>
      <x:c r="K561" s="5" t="str">
        <x:v>该用户不会成为第 501 名成员</x:v>
      </x:c>
      <x:c r="L561" s="5" t="str">
        <x:v>FLOW-UAPP-FANCLUB-01</x:v>
      </x:c>
      <x:c r="M561" s="5" t="str">
        <x:v>未测</x:v>
      </x:c>
      <x:c r="N561" s="5" t="str"/>
      <x:c r="O561" s="5" t="str">
        <x:v>1. 来源：context/01-用户主播App-项目需求清单.md
2. 来源：prototype/pages/user/host/fan-club.html
3. 静态分析：依据当前原型、批注和需求文件生成，未进行真实接口或设备动态验证
4. 全局证据追溯：work/liveshow-user-app-all-260901-001/global-evidence-scan-result.json</x:v>
      </x:c>
    </x:row>
    <x:row r="562" ht="67.5" customHeight="1">
      <x:c r="A562" s="5" t="n">
        <x:v>561</x:v>
      </x:c>
      <x:c r="B562" s="5" t="str">
        <x:v>HOST-032</x:v>
      </x:c>
      <x:c r="C562" s="5" t="str">
        <x:v>用户App-主播中心</x:v>
      </x:c>
      <x:c r="D562" s="5" t="str">
        <x:v>主播粉丝团</x:v>
      </x:c>
      <x:c r="E562" s="5" t="str">
        <x:v>逻辑校验</x:v>
      </x:c>
      <x:c r="F562" s="5" t="str">
        <x:v>P1</x:v>
      </x:c>
      <x:c r="G562" s="5" t="str">
        <x:v>验证主播只能创建一个粉丝团</x:v>
      </x:c>
      <x:c r="H562" s="5" t="str">
        <x:v>主播只能创建一个粉丝团</x:v>
      </x:c>
      <x:c r="I562" s="5" t="str">
        <x:v>1. 主播已拥有一个粉丝团</x:v>
      </x:c>
      <x:c r="J562" s="5" t="str">
        <x:v>1. 尝试再次创建粉丝团</x:v>
      </x:c>
      <x:c r="K562" s="5" t="str">
        <x:v>系统不创建第二个粉丝团</x:v>
      </x:c>
      <x:c r="L562" s="5" t="str"/>
      <x:c r="M562" s="5" t="str">
        <x:v>未测</x:v>
      </x:c>
      <x:c r="N562" s="5" t="str"/>
      <x:c r="O562" s="5" t="str">
        <x:v>1. 来源：context/01-用户主播App-项目需求清单.md
2. 来源：prototype/pages/user/host/fan-club.html
3. 静态分析：依据当前原型、批注和需求文件生成，未进行真实接口或设备动态验证
4. 全局证据追溯：work/liveshow-user-app-all-260901-001/global-evidence-scan-result.json</x:v>
      </x:c>
    </x:row>
    <x:row r="563" ht="67.5" customHeight="1">
      <x:c r="A563" s="5" t="n">
        <x:v>562</x:v>
      </x:c>
      <x:c r="B563" s="5" t="str">
        <x:v>HOST-033</x:v>
      </x:c>
      <x:c r="C563" s="5" t="str">
        <x:v>用户App-主播中心</x:v>
      </x:c>
      <x:c r="D563" s="5" t="str">
        <x:v>粉丝团设置</x:v>
      </x:c>
      <x:c r="E563" s="5" t="str">
        <x:v>业务流程</x:v>
      </x:c>
      <x:c r="F563" s="5" t="str">
        <x:v>P1</x:v>
      </x:c>
      <x:c r="G563" s="5" t="str">
        <x:v>验证保存名称和加入条件</x:v>
      </x:c>
      <x:c r="H563" s="5" t="str">
        <x:v>保存名称和加入条件</x:v>
      </x:c>
      <x:c r="I563" s="5" t="str">
        <x:v>1. 主播已创建粉丝团</x:v>
      </x:c>
      <x:c r="J563" s="5" t="str">
        <x:v>1. 进入粉丝团设置
2. 填写名称并设置关注和累计贡献条件
3. 保存设置</x:v>
      </x:c>
      <x:c r="K563" s="5" t="str">
        <x:v>页面回显保存后的粉丝团名称和加入条件</x:v>
      </x:c>
      <x:c r="L563" s="5" t="str"/>
      <x:c r="M563" s="5" t="str">
        <x:v>未测</x:v>
      </x:c>
      <x:c r="N563" s="5" t="str"/>
      <x:c r="O563" s="5" t="str">
        <x:v>1. 来源：context/01-用户主播App-项目需求清单.md
2. 来源：prototype/pages/user/host/fan-club-settings.html
3. 静态分析：依据当前原型、批注和需求文件生成，未进行真实接口或设备动态验证
4. 全局证据追溯：work/liveshow-user-app-all-260901-001/global-evidence-scan-result.json</x:v>
      </x:c>
    </x:row>
    <x:row r="564" ht="67.5" customHeight="1">
      <x:c r="A564" s="5" t="n">
        <x:v>563</x:v>
      </x:c>
      <x:c r="B564" s="5" t="str">
        <x:v>HOST-034</x:v>
      </x:c>
      <x:c r="C564" s="5" t="str">
        <x:v>用户App-主播中心</x:v>
      </x:c>
      <x:c r="D564" s="5" t="str">
        <x:v>粉丝团设置</x:v>
      </x:c>
      <x:c r="E564" s="5" t="str">
        <x:v>逻辑校验</x:v>
      </x:c>
      <x:c r="F564" s="5" t="str">
        <x:v>P1</x:v>
      </x:c>
      <x:c r="G564" s="5" t="str">
        <x:v>验证新加入用户按新条件校验</x:v>
      </x:c>
      <x:c r="H564" s="5" t="str">
        <x:v>新加入用户按新条件校验</x:v>
      </x:c>
      <x:c r="I564" s="5" t="str">
        <x:v>1. 主播已提高累计贡献加入条件</x:v>
      </x:c>
      <x:c r="J564" s="5" t="str">
        <x:v>1. 未达到新条件的用户尝试加入
2. 达到新条件的另一用户尝试加入</x:v>
      </x:c>
      <x:c r="K564" s="5" t="str">
        <x:v>未达到新条件的用户不能加入粉丝团</x:v>
      </x:c>
      <x:c r="L564" s="5" t="str"/>
      <x:c r="M564" s="5" t="str">
        <x:v>未测</x:v>
      </x:c>
      <x:c r="N564" s="5" t="str"/>
      <x:c r="O564" s="5" t="str">
        <x:v>1. 来源：context/01-用户主播App-项目需求清单.md
2. 来源：prototype/pages/user/host/fan-club-settings.html
3. 静态分析：依据当前原型、批注和需求文件生成，未进行真实接口或设备动态验证
4. 全局证据追溯：work/liveshow-user-app-all-260901-001/global-evidence-scan-result.json</x:v>
      </x:c>
    </x:row>
    <x:row r="565" ht="67.5" customHeight="1">
      <x:c r="A565" s="5" t="n">
        <x:v>564</x:v>
      </x:c>
      <x:c r="B565" s="5" t="str">
        <x:v>HOST-035</x:v>
      </x:c>
      <x:c r="C565" s="5" t="str">
        <x:v>用户App-主播中心</x:v>
      </x:c>
      <x:c r="D565" s="5" t="str">
        <x:v>直播数据</x:v>
      </x:c>
      <x:c r="E565" s="5" t="str">
        <x:v>逻辑校验</x:v>
      </x:c>
      <x:c r="F565" s="5" t="str">
        <x:v>P1</x:v>
      </x:c>
      <x:c r="G565" s="5" t="str">
        <x:v>验证单日累计满三小时计一个有效天</x:v>
      </x:c>
      <x:c r="H565" s="5" t="str">
        <x:v>单日累计满三小时计一个有效天</x:v>
      </x:c>
      <x:c r="I565" s="5" t="str">
        <x:v>1. 主播同一自然日多场直播累计恰好 3 小时</x:v>
      </x:c>
      <x:c r="J565" s="5" t="str">
        <x:v>1. 进入直播数据
2. 查看该自然日有效天</x:v>
      </x:c>
      <x:c r="K565" s="5" t="str">
        <x:v>该自然日计为 1 个有效天</x:v>
      </x:c>
      <x:c r="L565" s="5" t="str"/>
      <x:c r="M565" s="5" t="str">
        <x:v>未测</x:v>
      </x:c>
      <x:c r="N565" s="5" t="str"/>
      <x:c r="O565"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66" ht="67.5" customHeight="1">
      <x:c r="A566" s="5" t="n">
        <x:v>565</x:v>
      </x:c>
      <x:c r="B566" s="5" t="str">
        <x:v>HOST-036</x:v>
      </x:c>
      <x:c r="C566" s="5" t="str">
        <x:v>用户App-主播中心</x:v>
      </x:c>
      <x:c r="D566" s="5" t="str">
        <x:v>直播数据</x:v>
      </x:c>
      <x:c r="E566" s="5" t="str">
        <x:v>逻辑校验</x:v>
      </x:c>
      <x:c r="F566" s="5" t="str">
        <x:v>P1</x:v>
      </x:c>
      <x:c r="G566" s="5" t="str">
        <x:v>验证单日不足三小时不计有效天</x:v>
      </x:c>
      <x:c r="H566" s="5" t="str">
        <x:v>单日不足三小时不计有效天</x:v>
      </x:c>
      <x:c r="I566" s="5" t="str">
        <x:v>1. 主播同一自然日累计直播 2 小时 59 分钟</x:v>
      </x:c>
      <x:c r="J566" s="5" t="str">
        <x:v>1. 进入直播数据
2. 查看该自然日有效天</x:v>
      </x:c>
      <x:c r="K566" s="5" t="str">
        <x:v>该自然日计为 0 个有效天</x:v>
      </x:c>
      <x:c r="L566" s="5" t="str"/>
      <x:c r="M566" s="5" t="str">
        <x:v>未测</x:v>
      </x:c>
      <x:c r="N566" s="5" t="str"/>
      <x:c r="O566"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67" ht="67.5" customHeight="1">
      <x:c r="A567" s="5" t="n">
        <x:v>566</x:v>
      </x:c>
      <x:c r="B567" s="5" t="str">
        <x:v>HOST-037</x:v>
      </x:c>
      <x:c r="C567" s="5" t="str">
        <x:v>用户App-主播中心</x:v>
      </x:c>
      <x:c r="D567" s="5" t="str">
        <x:v>直播数据</x:v>
      </x:c>
      <x:c r="E567" s="5" t="str">
        <x:v>逻辑校验</x:v>
      </x:c>
      <x:c r="F567" s="5" t="str">
        <x:v>P1</x:v>
      </x:c>
      <x:c r="G567" s="5" t="str">
        <x:v>验证单日超过三小时仍最多一个有效天</x:v>
      </x:c>
      <x:c r="H567" s="5" t="str">
        <x:v>单日超过三小时仍最多一个有效天</x:v>
      </x:c>
      <x:c r="I567" s="5" t="str">
        <x:v>1. 主播同一自然日累计直播 7 小时</x:v>
      </x:c>
      <x:c r="J567" s="5" t="str">
        <x:v>1. 进入直播数据
2. 查看该自然日有效天</x:v>
      </x:c>
      <x:c r="K567" s="5" t="str">
        <x:v>该自然日只计 1 个有效天</x:v>
      </x:c>
      <x:c r="L567" s="5" t="str"/>
      <x:c r="M567" s="5" t="str">
        <x:v>未测</x:v>
      </x:c>
      <x:c r="N567" s="5" t="str"/>
      <x:c r="O567"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68" ht="67.5" customHeight="1">
      <x:c r="A568" s="5" t="n">
        <x:v>567</x:v>
      </x:c>
      <x:c r="B568" s="5" t="str">
        <x:v>HOST-038</x:v>
      </x:c>
      <x:c r="C568" s="5" t="str">
        <x:v>用户App-主播中心</x:v>
      </x:c>
      <x:c r="D568" s="5" t="str">
        <x:v>直播数据</x:v>
      </x:c>
      <x:c r="E568" s="5" t="str">
        <x:v>逻辑校验</x:v>
      </x:c>
      <x:c r="F568" s="5" t="str">
        <x:v>P2</x:v>
      </x:c>
      <x:c r="G568" s="5" t="str">
        <x:v>验证月数据展示累计收益</x:v>
      </x:c>
      <x:c r="H568" s="5" t="str">
        <x:v>月数据展示累计收益</x:v>
      </x:c>
      <x:c r="I568" s="5" t="str">
        <x:v>1. 主播当月存在可复算的累计收益数据</x:v>
      </x:c>
      <x:c r="J568" s="5" t="str">
        <x:v>1. 进入直播数据
2. 切换到月数据</x:v>
      </x:c>
      <x:c r="K568" s="5" t="str">
        <x:v>月数据展示当月累计收益</x:v>
      </x:c>
      <x:c r="L568" s="5" t="str"/>
      <x:c r="M568" s="5" t="str">
        <x:v>未测</x:v>
      </x:c>
      <x:c r="N568" s="5" t="str"/>
      <x:c r="O568"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69" ht="67.5" customHeight="1">
      <x:c r="A569" s="5" t="n">
        <x:v>568</x:v>
      </x:c>
      <x:c r="B569" s="5" t="str">
        <x:v>HOST-039</x:v>
      </x:c>
      <x:c r="C569" s="5" t="str">
        <x:v>用户App-主播中心</x:v>
      </x:c>
      <x:c r="D569" s="5" t="str">
        <x:v>直播数据</x:v>
      </x:c>
      <x:c r="E569" s="5" t="str">
        <x:v>逻辑校验</x:v>
      </x:c>
      <x:c r="F569" s="5" t="str">
        <x:v>P2</x:v>
      </x:c>
      <x:c r="G569" s="5" t="str">
        <x:v>验证月数据展示有效天数</x:v>
      </x:c>
      <x:c r="H569" s="5" t="str">
        <x:v>月数据展示有效天数</x:v>
      </x:c>
      <x:c r="I569" s="5" t="str">
        <x:v>1. 主播当月存在可复算的有效天数数据</x:v>
      </x:c>
      <x:c r="J569" s="5" t="str">
        <x:v>1. 进入直播数据
2. 切换到月数据</x:v>
      </x:c>
      <x:c r="K569" s="5" t="str">
        <x:v>月数据展示当月有效天数</x:v>
      </x:c>
      <x:c r="L569" s="5" t="str"/>
      <x:c r="M569" s="5" t="str">
        <x:v>未测</x:v>
      </x:c>
      <x:c r="N569" s="5" t="str"/>
      <x:c r="O569"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70" ht="67.5" customHeight="1">
      <x:c r="A570" s="5" t="n">
        <x:v>569</x:v>
      </x:c>
      <x:c r="B570" s="5" t="str">
        <x:v>HOST-040</x:v>
      </x:c>
      <x:c r="C570" s="5" t="str">
        <x:v>用户App-主播中心</x:v>
      </x:c>
      <x:c r="D570" s="5" t="str">
        <x:v>直播数据</x:v>
      </x:c>
      <x:c r="E570" s="5" t="str">
        <x:v>逻辑校验</x:v>
      </x:c>
      <x:c r="F570" s="5" t="str">
        <x:v>P2</x:v>
      </x:c>
      <x:c r="G570" s="5" t="str">
        <x:v>验证月数据展示开播时长</x:v>
      </x:c>
      <x:c r="H570" s="5" t="str">
        <x:v>月数据展示开播时长</x:v>
      </x:c>
      <x:c r="I570" s="5" t="str">
        <x:v>1. 主播当月存在可复算的开播时长数据</x:v>
      </x:c>
      <x:c r="J570" s="5" t="str">
        <x:v>1. 进入直播数据
2. 切换到月数据</x:v>
      </x:c>
      <x:c r="K570" s="5" t="str">
        <x:v>月数据展示当月开播时长</x:v>
      </x:c>
      <x:c r="L570" s="5" t="str"/>
      <x:c r="M570" s="5" t="str">
        <x:v>未测</x:v>
      </x:c>
      <x:c r="N570" s="5" t="str"/>
      <x:c r="O570"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71" ht="67.5" customHeight="1">
      <x:c r="A571" s="5" t="n">
        <x:v>570</x:v>
      </x:c>
      <x:c r="B571" s="5" t="str">
        <x:v>HOST-041</x:v>
      </x:c>
      <x:c r="C571" s="5" t="str">
        <x:v>用户App-主播中心</x:v>
      </x:c>
      <x:c r="D571" s="5" t="str">
        <x:v>直播数据</x:v>
      </x:c>
      <x:c r="E571" s="5" t="str">
        <x:v>逻辑校验</x:v>
      </x:c>
      <x:c r="F571" s="5" t="str">
        <x:v>P2</x:v>
      </x:c>
      <x:c r="G571" s="5" t="str">
        <x:v>验证月数据展示观众人次</x:v>
      </x:c>
      <x:c r="H571" s="5" t="str">
        <x:v>月数据展示观众人次</x:v>
      </x:c>
      <x:c r="I571" s="5" t="str">
        <x:v>1. 主播当月存在可复算的观众人次数据</x:v>
      </x:c>
      <x:c r="J571" s="5" t="str">
        <x:v>1. 进入直播数据
2. 切换到月数据</x:v>
      </x:c>
      <x:c r="K571" s="5" t="str">
        <x:v>月数据展示当月观众人次</x:v>
      </x:c>
      <x:c r="L571" s="5" t="str"/>
      <x:c r="M571" s="5" t="str">
        <x:v>未测</x:v>
      </x:c>
      <x:c r="N571" s="5" t="str"/>
      <x:c r="O571"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72" ht="67.5" customHeight="1">
      <x:c r="A572" s="5" t="n">
        <x:v>571</x:v>
      </x:c>
      <x:c r="B572" s="5" t="str">
        <x:v>HOST-042</x:v>
      </x:c>
      <x:c r="C572" s="5" t="str">
        <x:v>用户App-主播中心</x:v>
      </x:c>
      <x:c r="D572" s="5" t="str">
        <x:v>直播数据</x:v>
      </x:c>
      <x:c r="E572" s="5" t="str">
        <x:v>逻辑校验</x:v>
      </x:c>
      <x:c r="F572" s="5" t="str">
        <x:v>P2</x:v>
      </x:c>
      <x:c r="G572" s="5" t="str">
        <x:v>验证月数据展示新增粉丝</x:v>
      </x:c>
      <x:c r="H572" s="5" t="str">
        <x:v>月数据展示新增粉丝</x:v>
      </x:c>
      <x:c r="I572" s="5" t="str">
        <x:v>1. 主播当月存在可复算的新增粉丝数据</x:v>
      </x:c>
      <x:c r="J572" s="5" t="str">
        <x:v>1. 进入直播数据
2. 切换到月数据</x:v>
      </x:c>
      <x:c r="K572" s="5" t="str">
        <x:v>月数据展示当月新增粉丝</x:v>
      </x:c>
      <x:c r="L572" s="5" t="str"/>
      <x:c r="M572" s="5" t="str">
        <x:v>未测</x:v>
      </x:c>
      <x:c r="N572" s="5" t="str"/>
      <x:c r="O572"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73" ht="67.5" customHeight="1">
      <x:c r="A573" s="5" t="n">
        <x:v>572</x:v>
      </x:c>
      <x:c r="B573" s="5" t="str">
        <x:v>HOST-043</x:v>
      </x:c>
      <x:c r="C573" s="5" t="str">
        <x:v>用户App-主播中心</x:v>
      </x:c>
      <x:c r="D573" s="5" t="str">
        <x:v>直播数据</x:v>
      </x:c>
      <x:c r="E573" s="5" t="str">
        <x:v>逻辑校验</x:v>
      </x:c>
      <x:c r="F573" s="5" t="str">
        <x:v>P2</x:v>
      </x:c>
      <x:c r="G573" s="5" t="str">
        <x:v>验证月数据展示送礼人数</x:v>
      </x:c>
      <x:c r="H573" s="5" t="str">
        <x:v>月数据展示送礼人数</x:v>
      </x:c>
      <x:c r="I573" s="5" t="str">
        <x:v>1. 主播当月存在可复算的送礼人数数据</x:v>
      </x:c>
      <x:c r="J573" s="5" t="str">
        <x:v>1. 进入直播数据
2. 切换到月数据</x:v>
      </x:c>
      <x:c r="K573" s="5" t="str">
        <x:v>月数据展示当月送礼人数</x:v>
      </x:c>
      <x:c r="L573" s="5" t="str"/>
      <x:c r="M573" s="5" t="str">
        <x:v>未测</x:v>
      </x:c>
      <x:c r="N573" s="5" t="str"/>
      <x:c r="O573" s="5" t="str">
        <x:v>1. 来源：context/01-用户主播App-项目需求清单.md
2. 来源：prototype/pages/user/host/live-data.html
3. 静态分析：依据当前原型、批注和需求文件生成，未进行真实接口或设备动态验证
4. 全局证据追溯：work/liveshow-user-app-all-260901-001/global-evidence-scan-result.json</x:v>
      </x:c>
    </x:row>
    <x:row r="574" ht="67.5" customHeight="1">
      <x:c r="A574" s="5" t="n">
        <x:v>573</x:v>
      </x:c>
      <x:c r="B574" s="5" t="str">
        <x:v>HOST-044</x:v>
      </x:c>
      <x:c r="C574" s="5" t="str">
        <x:v>用户App-主播中心</x:v>
      </x:c>
      <x:c r="D574" s="5" t="str">
        <x:v>收益与分成记录</x:v>
      </x:c>
      <x:c r="E574" s="5" t="str">
        <x:v>逻辑校验</x:v>
      </x:c>
      <x:c r="F574" s="5" t="str">
        <x:v>P2</x:v>
      </x:c>
      <x:c r="G574" s="5" t="str">
        <x:v>验证金额使用美元和印尼数字格式</x:v>
      </x:c>
      <x:c r="H574" s="5" t="str">
        <x:v>金额使用美元和印尼数字格式</x:v>
      </x:c>
      <x:c r="I574" s="5" t="str">
        <x:v>1. 主播存在分成金额 1234.50 美元的记录</x:v>
      </x:c>
      <x:c r="J574" s="5" t="str">
        <x:v>1. 进入收益与分成记录</x:v>
      </x:c>
      <x:c r="K574" s="5" t="str">
        <x:v>金额显示为 $1.234,50</x:v>
      </x:c>
      <x:c r="L574" s="5" t="str"/>
      <x:c r="M574" s="5" t="str">
        <x:v>未测</x:v>
      </x:c>
      <x:c r="N574" s="5" t="str"/>
      <x:c r="O574" s="5" t="str">
        <x:v>1. 来源：context/01-用户主播App-项目需求清单.md
2. 来源：prototype/pages/user/host/income-withdrawal.html
3. 静态分析：依据当前原型、批注和需求文件生成，未进行真实接口或设备动态验证
4. 全局证据追溯：work/liveshow-user-app-all-260901-001/global-evidence-scan-result.json</x:v>
      </x:c>
    </x:row>
    <x:row r="575" ht="67.5" customHeight="1">
      <x:c r="A575" s="5" t="n">
        <x:v>574</x:v>
      </x:c>
      <x:c r="B575" s="5" t="str">
        <x:v>HOST-045</x:v>
      </x:c>
      <x:c r="C575" s="5" t="str">
        <x:v>用户App-主播中心</x:v>
      </x:c>
      <x:c r="D575" s="5" t="str">
        <x:v>收益与分成记录</x:v>
      </x:c>
      <x:c r="E575" s="5" t="str">
        <x:v>逻辑校验</x:v>
      </x:c>
      <x:c r="F575" s="5" t="str">
        <x:v>P1</x:v>
      </x:c>
      <x:c r="G575" s="5" t="str">
        <x:v>验证分成记录按当前账号展示</x:v>
      </x:c>
      <x:c r="H575" s="5" t="str">
        <x:v>分成记录按当前账号展示</x:v>
      </x:c>
      <x:c r="I575" s="5" t="str">
        <x:v>1. 当前主播与另一主播均有分成记录</x:v>
      </x:c>
      <x:c r="J575" s="5" t="str">
        <x:v>1. 进入收益与分成记录</x:v>
      </x:c>
      <x:c r="K575" s="5" t="str">
        <x:v>列表只展示当前主播的分成记录</x:v>
      </x:c>
      <x:c r="L575" s="5" t="str"/>
      <x:c r="M575" s="5" t="str">
        <x:v>未测</x:v>
      </x:c>
      <x:c r="N575" s="5" t="str"/>
      <x:c r="O575" s="5" t="str">
        <x:v>1. 来源：context/01-用户主播App-项目需求清单.md
2. 来源：prototype/pages/user/host/income-withdrawal.html
3. 静态分析：依据当前原型、批注和需求文件生成，未进行真实接口或设备动态验证
4. 全局证据追溯：work/liveshow-user-app-all-260901-001/global-evidence-scan-result.json</x:v>
      </x:c>
    </x:row>
    <x:row r="576" ht="67.5" customHeight="1">
      <x:c r="A576" s="5" t="n">
        <x:v>575</x:v>
      </x:c>
      <x:c r="B576" s="5" t="str">
        <x:v>WALLET-001</x:v>
      </x:c>
      <x:c r="C576" s="5" t="str">
        <x:v>用户App-钱包与账单</x:v>
      </x:c>
      <x:c r="D576" s="5" t="str">
        <x:v>余额充值</x:v>
      </x:c>
      <x:c r="E576" s="5" t="str">
        <x:v>功能需求</x:v>
      </x:c>
      <x:c r="F576" s="5" t="str">
        <x:v>P2</x:v>
      </x:c>
      <x:c r="G576" s="5" t="str">
        <x:v>验证余额充值核心业务信息</x:v>
      </x:c>
      <x:c r="H576" s="5" t="str">
        <x:v>余额充值核心信息</x:v>
      </x:c>
      <x:c r="I576" s="5" t="str">
        <x:v>1. 用户已登录
2. 已进入“余额充值”页面</x:v>
      </x:c>
      <x:c r="J576" s="5" t="str">
        <x:v>1. 查看页面主要业务区域</x:v>
      </x:c>
      <x:c r="K576" s="5" t="str">
        <x:v>页面展示金币余额、活动套餐和常规套餐</x:v>
      </x:c>
      <x:c r="L576" s="5" t="str"/>
      <x:c r="M576" s="5" t="str">
        <x:v>未测</x:v>
      </x:c>
      <x:c r="N576" s="5" t="str"/>
      <x:c r="O576"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77" ht="67.5" customHeight="1">
      <x:c r="A577" s="5" t="n">
        <x:v>576</x:v>
      </x:c>
      <x:c r="B577" s="5" t="str">
        <x:v>WALLET-002</x:v>
      </x:c>
      <x:c r="C577" s="5" t="str">
        <x:v>用户App-钱包与账单</x:v>
      </x:c>
      <x:c r="D577" s="5" t="str">
        <x:v>余额明细</x:v>
      </x:c>
      <x:c r="E577" s="5" t="str">
        <x:v>功能需求</x:v>
      </x:c>
      <x:c r="F577" s="5" t="str">
        <x:v>P2</x:v>
      </x:c>
      <x:c r="G577" s="5" t="str">
        <x:v>验证余额明细核心业务信息</x:v>
      </x:c>
      <x:c r="H577" s="5" t="str">
        <x:v>余额明细核心信息</x:v>
      </x:c>
      <x:c r="I577" s="5" t="str">
        <x:v>1. 用户已登录
2. 已进入“余额明细”页面</x:v>
      </x:c>
      <x:c r="J577" s="5" t="str">
        <x:v>1. 查看页面主要业务区域</x:v>
      </x:c>
      <x:c r="K577" s="5" t="str">
        <x:v>页面展示充值、礼物和门票金币流水</x:v>
      </x:c>
      <x:c r="L577" s="5" t="str"/>
      <x:c r="M577" s="5" t="str">
        <x:v>未测</x:v>
      </x:c>
      <x:c r="N577" s="5" t="str"/>
      <x:c r="O577" s="5" t="str">
        <x:v>1. 来源：context/01-用户主播App-项目需求清单.md
2. 来源：prototype/pages/user/wallet/balance-detail.html
3. 静态分析：依据当前原型、批注和需求文件生成，未进行真实接口或设备动态验证
4. 全局证据追溯：work/liveshow-user-app-all-260901-001/global-evidence-scan-result.json</x:v>
      </x:c>
    </x:row>
    <x:row r="578" ht="79.5" customHeight="1">
      <x:c r="A578" s="5" t="n">
        <x:v>577</x:v>
      </x:c>
      <x:c r="B578" s="5" t="str">
        <x:v>WALLET-003</x:v>
      </x:c>
      <x:c r="C578" s="5" t="str">
        <x:v>用户App-钱包与账单</x:v>
      </x:c>
      <x:c r="D578" s="5" t="str">
        <x:v>充值订单详情</x:v>
      </x:c>
      <x:c r="E578" s="5" t="str">
        <x:v>功能需求</x:v>
      </x:c>
      <x:c r="F578" s="5" t="str">
        <x:v>P2</x:v>
      </x:c>
      <x:c r="G578" s="5" t="str">
        <x:v>验证充值订单详情核心业务信息</x:v>
      </x:c>
      <x:c r="H578" s="5" t="str">
        <x:v>充值订单详情核心信息</x:v>
      </x:c>
      <x:c r="I578" s="5" t="str">
        <x:v>1. 用户已登录
2. 已进入“充值订单详情”页面</x:v>
      </x:c>
      <x:c r="J578" s="5" t="str">
        <x:v>1. 查看页面主要业务区域</x:v>
      </x:c>
      <x:c r="K578" s="5" t="str">
        <x:v>页面展示套餐、金币入账、法币金额、渠道和状态</x:v>
      </x:c>
      <x:c r="L578" s="5" t="str"/>
      <x:c r="M578" s="5" t="str">
        <x:v>未测</x:v>
      </x:c>
      <x:c r="N578" s="5" t="str"/>
      <x:c r="O578" s="5" t="str">
        <x:v>1. 来源：context/01-用户主播App-项目需求清单.md
2. 来源：prototype/pages/user/wallet/order-income-detail.html
3. 静态分析：依据当前原型、批注和需求文件生成，未进行真实接口或设备动态验证
4. 全局证据追溯：work/liveshow-user-app-all-260901-001/global-evidence-scan-result.json</x:v>
      </x:c>
    </x:row>
    <x:row r="579" ht="79.5" customHeight="1">
      <x:c r="A579" s="5" t="n">
        <x:v>578</x:v>
      </x:c>
      <x:c r="B579" s="5" t="str">
        <x:v>WALLET-004</x:v>
      </x:c>
      <x:c r="C579" s="5" t="str">
        <x:v>用户App-钱包与账单</x:v>
      </x:c>
      <x:c r="D579" s="5" t="str">
        <x:v>支出订单详情</x:v>
      </x:c>
      <x:c r="E579" s="5" t="str">
        <x:v>功能需求</x:v>
      </x:c>
      <x:c r="F579" s="5" t="str">
        <x:v>P2</x:v>
      </x:c>
      <x:c r="G579" s="5" t="str">
        <x:v>验证支出订单详情核心业务信息</x:v>
      </x:c>
      <x:c r="H579" s="5" t="str">
        <x:v>支出订单详情核心信息</x:v>
      </x:c>
      <x:c r="I579" s="5" t="str">
        <x:v>1. 用户已登录
2. 已进入“支出订单详情”页面</x:v>
      </x:c>
      <x:c r="J579" s="5" t="str">
        <x:v>1. 查看页面主要业务区域</x:v>
      </x:c>
      <x:c r="K579" s="5" t="str">
        <x:v>页面展示礼物或门票扣款与直播间信息</x:v>
      </x:c>
      <x:c r="L579" s="5" t="str"/>
      <x:c r="M579" s="5" t="str">
        <x:v>未测</x:v>
      </x:c>
      <x:c r="N579" s="5" t="str"/>
      <x:c r="O579" s="5" t="str">
        <x:v>1. 来源：context/01-用户主播App-项目需求清单.md
2. 来源：prototype/pages/user/wallet/order-expense-detail.html
3. 静态分析：依据当前原型、批注和需求文件生成，未进行真实接口或设备动态验证
4. 全局证据追溯：work/liveshow-user-app-all-260901-001/global-evidence-scan-result.json</x:v>
      </x:c>
    </x:row>
    <x:row r="580" ht="67.5" customHeight="1">
      <x:c r="A580" s="5" t="n">
        <x:v>579</x:v>
      </x:c>
      <x:c r="B580" s="5" t="str">
        <x:v>WALLET-005</x:v>
      </x:c>
      <x:c r="C580" s="5" t="str">
        <x:v>用户App-钱包与账单</x:v>
      </x:c>
      <x:c r="D580" s="5" t="str">
        <x:v>余额充值</x:v>
      </x:c>
      <x:c r="E580" s="5" t="str">
        <x:v>业务流程</x:v>
      </x:c>
      <x:c r="F580" s="5" t="str">
        <x:v>P0</x:v>
      </x:c>
      <x:c r="G580" s="5" t="str">
        <x:v>验证iOS 使用 Apple IAP</x:v>
      </x:c>
      <x:c r="H580" s="5" t="str">
        <x:v>iOS 使用 Apple IAP</x:v>
      </x:c>
      <x:c r="I580" s="5" t="str">
        <x:v>1. 用户在 iOS 设备进入充值页</x:v>
      </x:c>
      <x:c r="J580" s="5" t="str">
        <x:v>1. 选择一个可购买金币套餐
2. 提交购买</x:v>
      </x:c>
      <x:c r="K580" s="5" t="str">
        <x:v>系统进入 Apple IAP 支付流程</x:v>
      </x:c>
      <x:c r="L580" s="5" t="str">
        <x:v>FLOW-UAPP-RECHARGE-01</x:v>
      </x:c>
      <x:c r="M580" s="5" t="str">
        <x:v>未测</x:v>
      </x:c>
      <x:c r="N580" s="5" t="str"/>
      <x:c r="O580"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81" ht="67.5" customHeight="1">
      <x:c r="A581" s="5" t="n">
        <x:v>580</x:v>
      </x:c>
      <x:c r="B581" s="5" t="str">
        <x:v>WALLET-006</x:v>
      </x:c>
      <x:c r="C581" s="5" t="str">
        <x:v>用户App-钱包与账单</x:v>
      </x:c>
      <x:c r="D581" s="5" t="str">
        <x:v>余额充值</x:v>
      </x:c>
      <x:c r="E581" s="5" t="str">
        <x:v>业务流程</x:v>
      </x:c>
      <x:c r="F581" s="5" t="str">
        <x:v>P0</x:v>
      </x:c>
      <x:c r="G581" s="5" t="str">
        <x:v>验证Android 使用第三方支付通道</x:v>
      </x:c>
      <x:c r="H581" s="5" t="str">
        <x:v>Android 使用第三方支付通道</x:v>
      </x:c>
      <x:c r="I581" s="5" t="str">
        <x:v>1. 用户在 Android 设备进入充值页</x:v>
      </x:c>
      <x:c r="J581" s="5" t="str">
        <x:v>1. 选择一个可购买金币套餐
2. 提交购买</x:v>
      </x:c>
      <x:c r="K581" s="5" t="str">
        <x:v>系统进入 Android 配置的第三方支付流程</x:v>
      </x:c>
      <x:c r="L581" s="5" t="str">
        <x:v>FLOW-UAPP-RECHARGE-01</x:v>
      </x:c>
      <x:c r="M581" s="5" t="str">
        <x:v>未测</x:v>
      </x:c>
      <x:c r="N581" s="5" t="str"/>
      <x:c r="O581"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82" ht="67.5" customHeight="1">
      <x:c r="A582" s="5" t="n">
        <x:v>581</x:v>
      </x:c>
      <x:c r="B582" s="5" t="str">
        <x:v>WALLET-007</x:v>
      </x:c>
      <x:c r="C582" s="5" t="str">
        <x:v>用户App-钱包与账单</x:v>
      </x:c>
      <x:c r="D582" s="5" t="str">
        <x:v>余额充值</x:v>
      </x:c>
      <x:c r="E582" s="5" t="str">
        <x:v>业务流程</x:v>
      </x:c>
      <x:c r="F582" s="5" t="str">
        <x:v>P0</x:v>
      </x:c>
      <x:c r="G582" s="5" t="str">
        <x:v>验证支付成功增加金币一次</x:v>
      </x:c>
      <x:c r="H582" s="5" t="str">
        <x:v>支付成功增加金币一次</x:v>
      </x:c>
      <x:c r="I582" s="5" t="str">
        <x:v>1. 用户金币余额为 100 且选择到账 1000 金币的套餐</x:v>
      </x:c>
      <x:c r="J582" s="5" t="str">
        <x:v>1. 完成支付
2. 返回充值页查看余额</x:v>
      </x:c>
      <x:c r="K582" s="5" t="str">
        <x:v>用户金币余额变为 1100</x:v>
      </x:c>
      <x:c r="L582" s="5" t="str">
        <x:v>FLOW-UAPP-RECHARGE-01</x:v>
      </x:c>
      <x:c r="M582" s="5" t="str">
        <x:v>未测</x:v>
      </x:c>
      <x:c r="N582" s="5" t="str"/>
      <x:c r="O582"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83" ht="67.5" customHeight="1">
      <x:c r="A583" s="5" t="n">
        <x:v>582</x:v>
      </x:c>
      <x:c r="B583" s="5" t="str">
        <x:v>WALLET-008</x:v>
      </x:c>
      <x:c r="C583" s="5" t="str">
        <x:v>用户App-钱包与账单</x:v>
      </x:c>
      <x:c r="D583" s="5" t="str">
        <x:v>余额充值</x:v>
      </x:c>
      <x:c r="E583" s="5" t="str">
        <x:v>业务流程</x:v>
      </x:c>
      <x:c r="F583" s="5" t="str">
        <x:v>P1</x:v>
      </x:c>
      <x:c r="G583" s="5" t="str">
        <x:v>验证支付成功生成充值记录</x:v>
      </x:c>
      <x:c r="H583" s="5" t="str">
        <x:v>支付成功生成充值记录</x:v>
      </x:c>
      <x:c r="I583" s="5" t="str">
        <x:v>1. 用户完成一笔有效充值支付</x:v>
      </x:c>
      <x:c r="J583" s="5" t="str">
        <x:v>1. 进入余额明细
2. 查看最新充值记录</x:v>
      </x:c>
      <x:c r="K583" s="5" t="str">
        <x:v>余额明细新增一笔对应充值入账记录</x:v>
      </x:c>
      <x:c r="L583" s="5" t="str">
        <x:v>FLOW-UAPP-RECHARGE-01</x:v>
      </x:c>
      <x:c r="M583" s="5" t="str">
        <x:v>未测</x:v>
      </x:c>
      <x:c r="N583" s="5" t="str"/>
      <x:c r="O583" s="5" t="str">
        <x:v>1. 来源：context/01-用户主播App-项目需求清单.md
2. 来源：prototype/pages/user/wallet/balance-detail.html
3. 静态分析：依据当前原型、批注和需求文件生成，未进行真实接口或设备动态验证
4. 全局证据追溯：work/liveshow-user-app-all-260901-001/global-evidence-scan-result.json</x:v>
      </x:c>
    </x:row>
    <x:row r="584" ht="67.5" customHeight="1">
      <x:c r="A584" s="5" t="n">
        <x:v>583</x:v>
      </x:c>
      <x:c r="B584" s="5" t="str">
        <x:v>WALLET-009</x:v>
      </x:c>
      <x:c r="C584" s="5" t="str">
        <x:v>用户App-钱包与账单</x:v>
      </x:c>
      <x:c r="D584" s="5" t="str">
        <x:v>余额充值</x:v>
      </x:c>
      <x:c r="E584" s="5" t="str">
        <x:v>异常用例</x:v>
      </x:c>
      <x:c r="F584" s="5" t="str">
        <x:v>P1</x:v>
      </x:c>
      <x:c r="G584" s="5" t="str">
        <x:v>验证支付超时不增加金币</x:v>
      </x:c>
      <x:c r="H584" s="5" t="str">
        <x:v>支付超时不增加金币</x:v>
      </x:c>
      <x:c r="I584" s="5" t="str">
        <x:v>1. 用户创建充值订单后未在支付时限内完成支付</x:v>
      </x:c>
      <x:c r="J584" s="5" t="str">
        <x:v>1. 等待订单超时
2. 返回充值页查看余额</x:v>
      </x:c>
      <x:c r="K584" s="5" t="str">
        <x:v>用户金币余额不因该订单增加</x:v>
      </x:c>
      <x:c r="L584" s="5" t="str">
        <x:v>FLOW-UAPP-RECHARGE-01</x:v>
      </x:c>
      <x:c r="M584" s="5" t="str">
        <x:v>未测</x:v>
      </x:c>
      <x:c r="N584" s="5" t="str"/>
      <x:c r="O584"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85" ht="67.5" customHeight="1">
      <x:c r="A585" s="5" t="n">
        <x:v>584</x:v>
      </x:c>
      <x:c r="B585" s="5" t="str">
        <x:v>WALLET-010</x:v>
      </x:c>
      <x:c r="C585" s="5" t="str">
        <x:v>用户App-钱包与账单</x:v>
      </x:c>
      <x:c r="D585" s="5" t="str">
        <x:v>余额充值</x:v>
      </x:c>
      <x:c r="E585" s="5" t="str">
        <x:v>异常用例</x:v>
      </x:c>
      <x:c r="F585" s="5" t="str">
        <x:v>P1</x:v>
      </x:c>
      <x:c r="G585" s="5" t="str">
        <x:v>验证用户取消支付不增加金币</x:v>
      </x:c>
      <x:c r="H585" s="5" t="str">
        <x:v>用户取消支付不增加金币</x:v>
      </x:c>
      <x:c r="I585" s="5" t="str">
        <x:v>1. 用户已创建待支付充值订单</x:v>
      </x:c>
      <x:c r="J585" s="5" t="str">
        <x:v>1. 在支付流程取消订单
2. 返回充值页查看余额</x:v>
      </x:c>
      <x:c r="K585" s="5" t="str">
        <x:v>用户金币余额不因该订单增加</x:v>
      </x:c>
      <x:c r="L585" s="5" t="str">
        <x:v>FLOW-UAPP-RECHARGE-01</x:v>
      </x:c>
      <x:c r="M585" s="5" t="str">
        <x:v>未测</x:v>
      </x:c>
      <x:c r="N585" s="5" t="str"/>
      <x:c r="O585"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86" ht="67.5" customHeight="1">
      <x:c r="A586" s="5" t="n">
        <x:v>585</x:v>
      </x:c>
      <x:c r="B586" s="5" t="str">
        <x:v>WALLET-011</x:v>
      </x:c>
      <x:c r="C586" s="5" t="str">
        <x:v>用户App-钱包与账单</x:v>
      </x:c>
      <x:c r="D586" s="5" t="str">
        <x:v>余额充值</x:v>
      </x:c>
      <x:c r="E586" s="5" t="str">
        <x:v>逻辑校验</x:v>
      </x:c>
      <x:c r="F586" s="5" t="str">
        <x:v>P1</x:v>
      </x:c>
      <x:c r="G586" s="5" t="str">
        <x:v>验证活动套餐超出限购次数不可购买</x:v>
      </x:c>
      <x:c r="H586" s="5" t="str">
        <x:v>活动套餐超出限购次数不可购买</x:v>
      </x:c>
      <x:c r="I586" s="5" t="str">
        <x:v>1. 后台配置目标活动套餐每用户限购 1 次且用户已购买 1 次</x:v>
      </x:c>
      <x:c r="J586" s="5" t="str">
        <x:v>1. 进入充值页
2. 尝试再次购买该套餐</x:v>
      </x:c>
      <x:c r="K586" s="5" t="str">
        <x:v>系统不创建第二笔该活动套餐订单</x:v>
      </x:c>
      <x:c r="L586" s="5" t="str"/>
      <x:c r="M586" s="5" t="str">
        <x:v>未测</x:v>
      </x:c>
      <x:c r="N586" s="5" t="str"/>
      <x:c r="O586"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87" ht="67.5" customHeight="1">
      <x:c r="A587" s="5" t="n">
        <x:v>586</x:v>
      </x:c>
      <x:c r="B587" s="5" t="str">
        <x:v>WALLET-012</x:v>
      </x:c>
      <x:c r="C587" s="5" t="str">
        <x:v>用户App-钱包与账单</x:v>
      </x:c>
      <x:c r="D587" s="5" t="str">
        <x:v>余额充值</x:v>
      </x:c>
      <x:c r="E587" s="5" t="str">
        <x:v>逻辑校验</x:v>
      </x:c>
      <x:c r="F587" s="5" t="str">
        <x:v>P2</x:v>
      </x:c>
      <x:c r="G587" s="5" t="str">
        <x:v>验证失效活动套餐不展示</x:v>
      </x:c>
      <x:c r="H587" s="5" t="str">
        <x:v>失效活动套餐不展示</x:v>
      </x:c>
      <x:c r="I587" s="5" t="str">
        <x:v>1. 后台配置的目标活动套餐已超过有效期</x:v>
      </x:c>
      <x:c r="J587" s="5" t="str">
        <x:v>1. 进入充值页</x:v>
      </x:c>
      <x:c r="K587" s="5" t="str">
        <x:v>充值套餐列表不展示该活动套餐</x:v>
      </x:c>
      <x:c r="L587" s="5" t="str"/>
      <x:c r="M587" s="5" t="str">
        <x:v>未测</x:v>
      </x:c>
      <x:c r="N587" s="5" t="str"/>
      <x:c r="O587" s="5" t="str">
        <x:v>1. 来源：context/01-用户主播App-项目需求清单.md
2. 来源：prototype/pages/user/wallet/recharge.html
3. 静态分析：依据当前原型、批注和需求文件生成，未进行真实接口或设备动态验证
4. 全局证据追溯：work/liveshow-user-app-all-260901-001/global-evidence-scan-result.json</x:v>
      </x:c>
    </x:row>
    <x:row r="588" ht="67.5" customHeight="1">
      <x:c r="A588" s="5" t="n">
        <x:v>587</x:v>
      </x:c>
      <x:c r="B588" s="5" t="str">
        <x:v>WALLET-013</x:v>
      </x:c>
      <x:c r="C588" s="5" t="str">
        <x:v>用户App-钱包与账单</x:v>
      </x:c>
      <x:c r="D588" s="5" t="str">
        <x:v>余额明细</x:v>
      </x:c>
      <x:c r="E588" s="5" t="str">
        <x:v>业务流程</x:v>
      </x:c>
      <x:c r="F588" s="5" t="str">
        <x:v>P1</x:v>
      </x:c>
      <x:c r="G588" s="5" t="str">
        <x:v>验证金币流水只增不改</x:v>
      </x:c>
      <x:c r="H588" s="5" t="str">
        <x:v>金币流水只增不改</x:v>
      </x:c>
      <x:c r="I588" s="5" t="str">
        <x:v>1. 用户已有一笔历史充值入账记录</x:v>
      </x:c>
      <x:c r="J588" s="5" t="str">
        <x:v>1. 后台对该充值执行退款或拒付
2. 用户进入余额明细</x:v>
      </x:c>
      <x:c r="K588" s="5" t="str">
        <x:v>余额明细保留原入账记录并新增一笔冲正记录</x:v>
      </x:c>
      <x:c r="L588" s="5" t="str">
        <x:v>FLOW-UAPP-REFUND-01</x:v>
      </x:c>
      <x:c r="M588" s="5" t="str">
        <x:v>未测</x:v>
      </x:c>
      <x:c r="N588" s="5" t="str"/>
      <x:c r="O588" s="5" t="str">
        <x:v>1. 来源：context/01-用户主播App-项目需求清单.md
2. 来源：prototype/pages/user/wallet/balance-detail.html
3. 静态分析：依据当前原型、批注和需求文件生成，未进行真实接口或设备动态验证
4. 全局证据追溯：work/liveshow-user-app-all-260901-001/global-evidence-scan-result.json</x:v>
      </x:c>
    </x:row>
    <x:row r="589" ht="67.5" customHeight="1">
      <x:c r="A589" s="5" t="n">
        <x:v>588</x:v>
      </x:c>
      <x:c r="B589" s="5" t="str">
        <x:v>WALLET-014</x:v>
      </x:c>
      <x:c r="C589" s="5" t="str">
        <x:v>用户App-钱包与账单</x:v>
      </x:c>
      <x:c r="D589" s="5" t="str">
        <x:v>余额明细</x:v>
      </x:c>
      <x:c r="E589" s="5" t="str">
        <x:v>业务流程</x:v>
      </x:c>
      <x:c r="F589" s="5" t="str">
        <x:v>P1</x:v>
      </x:c>
      <x:c r="G589" s="5" t="str">
        <x:v>验证退款可形成负数余额</x:v>
      </x:c>
      <x:c r="H589" s="5" t="str">
        <x:v>退款可形成负数余额</x:v>
      </x:c>
      <x:c r="I589" s="5" t="str">
        <x:v>1. 用户充值到账 1000 金币后已全部消费且余额为 0</x:v>
      </x:c>
      <x:c r="J589" s="5" t="str">
        <x:v>1. 后台完成该充值订单退款
2. 用户查看余额</x:v>
      </x:c>
      <x:c r="K589" s="5" t="str">
        <x:v>用户金币余额变为 -1000</x:v>
      </x:c>
      <x:c r="L589" s="5" t="str">
        <x:v>FLOW-UAPP-REFUND-01</x:v>
      </x:c>
      <x:c r="M589" s="5" t="str">
        <x:v>未测</x:v>
      </x:c>
      <x:c r="N589" s="5" t="str"/>
      <x:c r="O589" s="5" t="str">
        <x:v>1. 来源：context/01-用户主播App-项目需求清单.md
2. 来源：prototype/pages/user/wallet/balance-detail.html
3. 静态分析：依据当前原型、批注和需求文件生成，未进行真实接口或设备动态验证
4. 全局证据追溯：work/liveshow-user-app-all-260901-001/global-evidence-scan-result.json</x:v>
      </x:c>
    </x:row>
    <x:row r="590" ht="67.5" customHeight="1">
      <x:c r="A590" s="5" t="n">
        <x:v>589</x:v>
      </x:c>
      <x:c r="B590" s="5" t="str">
        <x:v>WALLET-015</x:v>
      </x:c>
      <x:c r="C590" s="5" t="str">
        <x:v>用户App-钱包与账单</x:v>
      </x:c>
      <x:c r="D590" s="5" t="str">
        <x:v>余额明细</x:v>
      </x:c>
      <x:c r="E590" s="5" t="str">
        <x:v>逻辑校验</x:v>
      </x:c>
      <x:c r="F590" s="5" t="str">
        <x:v>P1</x:v>
      </x:c>
      <x:c r="G590" s="5" t="str">
        <x:v>验证负余额时不能继续消费</x:v>
      </x:c>
      <x:c r="H590" s="5" t="str">
        <x:v>负余额时不能继续消费</x:v>
      </x:c>
      <x:c r="I590" s="5" t="str">
        <x:v>1. 用户金币余额为 -100</x:v>
      </x:c>
      <x:c r="J590" s="5" t="str">
        <x:v>1. 进入直播间选择任一可赠送普通礼物
2. 尝试赠送</x:v>
      </x:c>
      <x:c r="K590" s="5" t="str">
        <x:v>系统不扣减金币且不生成礼物消费记录</x:v>
      </x:c>
      <x:c r="L590" s="5" t="str">
        <x:v>FLOW-UAPP-REFUND-01</x:v>
      </x:c>
      <x:c r="M590" s="5" t="str">
        <x:v>未测</x:v>
      </x:c>
      <x:c r="N590" s="5" t="str"/>
      <x:c r="O590" s="5" t="str">
        <x:v>1. 来源：context/01-用户主播App-项目需求清单.md
2. 来源：prototype/pages/user/wallet/balance-detail.html
3. 静态分析：依据当前原型、批注和需求文件生成，未进行真实接口或设备动态验证
4. 全局证据追溯：work/liveshow-user-app-all-260901-001/global-evidence-scan-result.json</x:v>
      </x:c>
    </x:row>
    <x:row r="591" ht="67.5" customHeight="1">
      <x:c r="A591" s="5" t="n">
        <x:v>590</x:v>
      </x:c>
      <x:c r="B591" s="5" t="str">
        <x:v>WALLET-016</x:v>
      </x:c>
      <x:c r="C591" s="5" t="str">
        <x:v>用户App-钱包与账单</x:v>
      </x:c>
      <x:c r="D591" s="5" t="str">
        <x:v>余额明细</x:v>
      </x:c>
      <x:c r="E591" s="5" t="str">
        <x:v>业务流程</x:v>
      </x:c>
      <x:c r="F591" s="5" t="str">
        <x:v>P1</x:v>
      </x:c>
      <x:c r="G591" s="5" t="str">
        <x:v>验证后续充值先抵扣负余额</x:v>
      </x:c>
      <x:c r="H591" s="5" t="str">
        <x:v>后续充值先抵扣负余额</x:v>
      </x:c>
      <x:c r="I591" s="5" t="str">
        <x:v>1. 用户金币余额为 -1000</x:v>
      </x:c>
      <x:c r="J591" s="5" t="str">
        <x:v>1. 完成到账 2000 金币的充值
2. 查看余额</x:v>
      </x:c>
      <x:c r="K591" s="5" t="str">
        <x:v>用户可用金币余额变为 1000</x:v>
      </x:c>
      <x:c r="L591" s="5" t="str">
        <x:v>FLOW-UAPP-REFUND-01</x:v>
      </x:c>
      <x:c r="M591" s="5" t="str">
        <x:v>未测</x:v>
      </x:c>
      <x:c r="N591" s="5" t="str"/>
      <x:c r="O591" s="5" t="str">
        <x:v>1. 来源：context/01-用户主播App-项目需求清单.md
2. 来源：prototype/pages/user/wallet/balance-detail.html
3. 静态分析：依据当前原型、批注和需求文件生成，未进行真实接口或设备动态验证
4. 全局证据追溯：work/liveshow-user-app-all-260901-001/global-evidence-scan-result.json</x:v>
      </x:c>
    </x:row>
    <x:row r="592" ht="79.5" customHeight="1">
      <x:c r="A592" s="5" t="n">
        <x:v>591</x:v>
      </x:c>
      <x:c r="B592" s="5" t="str">
        <x:v>WALLET-017</x:v>
      </x:c>
      <x:c r="C592" s="5" t="str">
        <x:v>用户App-钱包与账单</x:v>
      </x:c>
      <x:c r="D592" s="5" t="str">
        <x:v>充值订单详情</x:v>
      </x:c>
      <x:c r="E592" s="5" t="str">
        <x:v>逻辑校验</x:v>
      </x:c>
      <x:c r="F592" s="5" t="str">
        <x:v>P2</x:v>
      </x:c>
      <x:c r="G592" s="5" t="str">
        <x:v>验证待支付订单不显示金币入账</x:v>
      </x:c>
      <x:c r="H592" s="5" t="str">
        <x:v>待支付订单不显示金币入账</x:v>
      </x:c>
      <x:c r="I592" s="5" t="str">
        <x:v>1. 用户存在一笔待支付充值订单</x:v>
      </x:c>
      <x:c r="J592" s="5" t="str">
        <x:v>1. 进入该充值订单详情</x:v>
      </x:c>
      <x:c r="K592" s="5" t="str">
        <x:v>订单详情不显示已完成的金币入账结果</x:v>
      </x:c>
      <x:c r="L592" s="5" t="str"/>
      <x:c r="M592" s="5" t="str">
        <x:v>未测</x:v>
      </x:c>
      <x:c r="N592" s="5" t="str"/>
      <x:c r="O592" s="5" t="str">
        <x:v>1. 来源：context/01-用户主播App-项目需求清单.md
2. 来源：prototype/pages/user/wallet/order-income-detail.html
3. 静态分析：依据当前原型、批注和需求文件生成，未进行真实接口或设备动态验证
4. 全局证据追溯：work/liveshow-user-app-all-260901-001/global-evidence-scan-result.json</x:v>
      </x:c>
    </x:row>
    <x:row r="593" ht="79.5" customHeight="1">
      <x:c r="A593" s="5" t="n">
        <x:v>592</x:v>
      </x:c>
      <x:c r="B593" s="5" t="str">
        <x:v>WALLET-018</x:v>
      </x:c>
      <x:c r="C593" s="5" t="str">
        <x:v>用户App-钱包与账单</x:v>
      </x:c>
      <x:c r="D593" s="5" t="str">
        <x:v>充值订单详情</x:v>
      </x:c>
      <x:c r="E593" s="5" t="str">
        <x:v>功能需求</x:v>
      </x:c>
      <x:c r="F593" s="5" t="str">
        <x:v>P2</x:v>
      </x:c>
      <x:c r="G593" s="5" t="str">
        <x:v>验证支付成功订单展示支付信息</x:v>
      </x:c>
      <x:c r="H593" s="5" t="str">
        <x:v>支付成功订单展示支付信息</x:v>
      </x:c>
      <x:c r="I593" s="5" t="str">
        <x:v>1. 用户存在一笔支付成功充值订单</x:v>
      </x:c>
      <x:c r="J593" s="5" t="str">
        <x:v>1. 进入该充值订单详情</x:v>
      </x:c>
      <x:c r="K593" s="5" t="str">
        <x:v>详情展示套餐、金币入账、法币金额、支付渠道和支付成功状态</x:v>
      </x:c>
      <x:c r="L593" s="5" t="str"/>
      <x:c r="M593" s="5" t="str">
        <x:v>未测</x:v>
      </x:c>
      <x:c r="N593" s="5" t="str"/>
      <x:c r="O593" s="5" t="str">
        <x:v>1. 来源：context/01-用户主播App-项目需求清单.md
2. 来源：prototype/pages/user/wallet/order-income-detail.html
3. 静态分析：依据当前原型、批注和需求文件生成，未进行真实接口或设备动态验证
4. 全局证据追溯：work/liveshow-user-app-all-260901-001/global-evidence-scan-result.json</x:v>
      </x:c>
    </x:row>
    <x:row r="594" ht="79.5" customHeight="1">
      <x:c r="A594" s="5" t="n">
        <x:v>593</x:v>
      </x:c>
      <x:c r="B594" s="5" t="str">
        <x:v>WALLET-019</x:v>
      </x:c>
      <x:c r="C594" s="5" t="str">
        <x:v>用户App-钱包与账单</x:v>
      </x:c>
      <x:c r="D594" s="5" t="str">
        <x:v>充值订单详情</x:v>
      </x:c>
      <x:c r="E594" s="5" t="str">
        <x:v>逻辑校验</x:v>
      </x:c>
      <x:c r="F594" s="5" t="str">
        <x:v>P1</x:v>
      </x:c>
      <x:c r="G594" s="5" t="str">
        <x:v>验证用户端不提供充值退款操作</x:v>
      </x:c>
      <x:c r="H594" s="5" t="str">
        <x:v>用户端不提供充值退款操作</x:v>
      </x:c>
      <x:c r="I594" s="5" t="str">
        <x:v>1. 用户存在一笔支付成功充值订单</x:v>
      </x:c>
      <x:c r="J594" s="5" t="str">
        <x:v>1. 进入该充值订单详情</x:v>
      </x:c>
      <x:c r="K594" s="5" t="str">
        <x:v>页面不提供退款提交入口</x:v>
      </x:c>
      <x:c r="L594" s="5" t="str"/>
      <x:c r="M594" s="5" t="str">
        <x:v>未测</x:v>
      </x:c>
      <x:c r="N594" s="5" t="str"/>
      <x:c r="O594" s="5" t="str">
        <x:v>1. 来源：context/01-用户主播App-项目需求清单.md
2. 来源：prototype/pages/user/wallet/order-income-detail.html
3. 静态分析：依据当前原型、批注和需求文件生成，未进行真实接口或设备动态验证
4. 全局证据追溯：work/liveshow-user-app-all-260901-001/global-evidence-scan-result.json</x:v>
      </x:c>
    </x:row>
    <x:row r="595" ht="79.5" customHeight="1">
      <x:c r="A595" s="5" t="n">
        <x:v>594</x:v>
      </x:c>
      <x:c r="B595" s="5" t="str">
        <x:v>WALLET-020</x:v>
      </x:c>
      <x:c r="C595" s="5" t="str">
        <x:v>用户App-钱包与账单</x:v>
      </x:c>
      <x:c r="D595" s="5" t="str">
        <x:v>支出订单详情</x:v>
      </x:c>
      <x:c r="E595" s="5" t="str">
        <x:v>功能需求</x:v>
      </x:c>
      <x:c r="F595" s="5" t="str">
        <x:v>P2</x:v>
      </x:c>
      <x:c r="G595" s="5" t="str">
        <x:v>验证礼物消费展示对应直播间</x:v>
      </x:c>
      <x:c r="H595" s="5" t="str">
        <x:v>礼物消费展示对应直播间</x:v>
      </x:c>
      <x:c r="I595" s="5" t="str">
        <x:v>1. 用户存在一笔已完成礼物消费</x:v>
      </x:c>
      <x:c r="J595" s="5" t="str">
        <x:v>1. 进入该支出订单详情</x:v>
      </x:c>
      <x:c r="K595" s="5" t="str">
        <x:v>详情展示礼物商品、扣减金币和消费对应直播间</x:v>
      </x:c>
      <x:c r="L595" s="5" t="str"/>
      <x:c r="M595" s="5" t="str">
        <x:v>未测</x:v>
      </x:c>
      <x:c r="N595" s="5" t="str"/>
      <x:c r="O595" s="5" t="str">
        <x:v>1. 来源：context/01-用户主播App-项目需求清单.md
2. 来源：prototype/pages/user/wallet/order-expense-detail.html
3. 静态分析：依据当前原型、批注和需求文件生成，未进行真实接口或设备动态验证
4. 全局证据追溯：work/liveshow-user-app-all-260901-001/global-evidence-scan-result.json</x:v>
      </x:c>
    </x:row>
    <x:row r="596" ht="79.5" customHeight="1">
      <x:c r="A596" s="5" t="n">
        <x:v>595</x:v>
      </x:c>
      <x:c r="B596" s="5" t="str">
        <x:v>WALLET-021</x:v>
      </x:c>
      <x:c r="C596" s="5" t="str">
        <x:v>用户App-钱包与账单</x:v>
      </x:c>
      <x:c r="D596" s="5" t="str">
        <x:v>支出订单详情</x:v>
      </x:c>
      <x:c r="E596" s="5" t="str">
        <x:v>功能需求</x:v>
      </x:c>
      <x:c r="F596" s="5" t="str">
        <x:v>P2</x:v>
      </x:c>
      <x:c r="G596" s="5" t="str">
        <x:v>验证门票消费展示对应直播场次</x:v>
      </x:c>
      <x:c r="H596" s="5" t="str">
        <x:v>门票消费展示对应直播场次</x:v>
      </x:c>
      <x:c r="I596" s="5" t="str">
        <x:v>1. 用户存在一笔已完成门票购买</x:v>
      </x:c>
      <x:c r="J596" s="5" t="str">
        <x:v>1. 进入该支出订单详情</x:v>
      </x:c>
      <x:c r="K596" s="5" t="str">
        <x:v>详情展示门票扣减金币和对应直播场次</x:v>
      </x:c>
      <x:c r="L596" s="5" t="str"/>
      <x:c r="M596" s="5" t="str">
        <x:v>未测</x:v>
      </x:c>
      <x:c r="N596" s="5" t="str"/>
      <x:c r="O596" s="5" t="str">
        <x:v>1. 来源：context/01-用户主播App-项目需求清单.md
2. 来源：prototype/pages/user/wallet/order-expense-detail.html
3. 静态分析：依据当前原型、批注和需求文件生成，未进行真实接口或设备动态验证
4. 全局证据追溯：work/liveshow-user-app-all-260901-001/global-evidence-scan-result.json</x:v>
      </x:c>
    </x:row>
    <x:row r="597" ht="79.5" customHeight="1">
      <x:c r="A597" s="5" t="n">
        <x:v>596</x:v>
      </x:c>
      <x:c r="B597" s="5" t="str">
        <x:v>WALLET-022</x:v>
      </x:c>
      <x:c r="C597" s="5" t="str">
        <x:v>用户App-钱包与账单</x:v>
      </x:c>
      <x:c r="D597" s="5" t="str">
        <x:v>支出订单详情</x:v>
      </x:c>
      <x:c r="E597" s="5" t="str">
        <x:v>逻辑校验</x:v>
      </x:c>
      <x:c r="F597" s="5" t="str">
        <x:v>P1</x:v>
      </x:c>
      <x:c r="G597" s="5" t="str">
        <x:v>验证充值退款不撤销已完成消费</x:v>
      </x:c>
      <x:c r="H597" s="5" t="str">
        <x:v>充值退款不撤销已完成消费</x:v>
      </x:c>
      <x:c r="I597" s="5" t="str">
        <x:v>1. 充值订单已退款且该金币此前已用于完成礼物消费</x:v>
      </x:c>
      <x:c r="J597" s="5" t="str">
        <x:v>1. 进入该礼物支出订单详情</x:v>
      </x:c>
      <x:c r="K597" s="5" t="str">
        <x:v>该已完成礼物消费记录仍保留</x:v>
      </x:c>
      <x:c r="L597" s="5" t="str">
        <x:v>FLOW-UAPP-REFUND-01</x:v>
      </x:c>
      <x:c r="M597" s="5" t="str">
        <x:v>未测</x:v>
      </x:c>
      <x:c r="N597" s="5" t="str"/>
      <x:c r="O597" s="5" t="str">
        <x:v>1. 来源：context/01-用户主播App-项目需求清单.md
2. 来源：prototype/pages/user/wallet/order-expense-detail.html
3. 静态分析：依据当前原型、批注和需求文件生成，未进行真实接口或设备动态验证
4. 全局证据追溯：work/liveshow-user-app-all-260901-001/global-evidence-scan-result.json</x:v>
      </x:c>
    </x:row>
  </x:sheetData>
  <x:conditionalFormatting sqref="F2:F597">
    <x:cfRule type="containsText" dxfId="0" priority="1" operator="containsText" text="P0"/>
    <x:cfRule type="containsText" dxfId="1" priority="2" operator="containsText" text="P1"/>
  </x:conditionalFormatting>
  <x:dataValidations count="3">
    <x:dataValidation type="list" sqref="E2:E597">
      <x:formula1>"功能需求,业务流程,逻辑校验,异常用例"</x:formula1>
    </x:dataValidation>
    <x:dataValidation type="list" sqref="F2:F597">
      <x:formula1>"P0,P1,P2,P3"</x:formula1>
    </x:dataValidation>
    <x:dataValidation type="list" sqref="M2:M597">
      <x:formula1>"未测,通过,不通过,阻塞,不适用"</x:formula1>
    </x:dataValidation>
  </x:dataValidations>
  <x:pageMargins left="0.7" right="0.7" top="0.75" bottom="0.75" header="0.3" footer="0.3"/>
  <x:tableParts count="1">
    <x:tablePart xmlns:r="http://schemas.openxmlformats.org/officeDocument/2006/relationships" r:id="Rff92e78bc6a444a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6" hidden="0" customWidth="1"/>
    <x:col min="4" max="4" width="38" hidden="0" customWidth="1"/>
    <x:col min="5" max="5" width="14" hidden="0" customWidth="1"/>
    <x:col min="6" max="6" width="20" hidden="0" customWidth="1"/>
    <x:col min="7" max="7" width="40" hidden="0" customWidth="1"/>
    <x:col min="8" max="8" width="22" hidden="0" customWidth="1"/>
    <x:col min="9" max="9" width="48" hidden="0" customWidth="1"/>
    <x:col min="10" max="10" width="60" hidden="0" customWidth="1"/>
    <x:col min="11" max="11" width="50" hidden="0" customWidth="1"/>
    <x:col min="12" max="12" width="15" hidden="0" customWidth="1"/>
    <x:col min="13" max="13" width="36" hidden="0" customWidth="1"/>
    <x:col min="14" max="14" width="54" hidden="0" customWidth="1"/>
    <x:col min="15" max="15" width="44" hidden="0" customWidth="1"/>
    <x:col min="16" max="16" width="28" hidden="0" customWidth="1"/>
    <x:col min="17" max="17" width="44" hidden="0" customWidth="1"/>
    <x:col min="18" max="18" width="16" hidden="0" customWidth="1"/>
    <x:col min="19" max="19" width="22" hidden="0" customWidth="1"/>
    <x:col min="20" max="20" width="16" hidden="0" customWidth="1"/>
  </x:cols>
  <x:sheetData>
    <x:row r="1" ht="30" customHeight="1">
      <x:c r="A1" s="8" t="str">
        <x:v>问题编号</x:v>
      </x:c>
      <x:c r="B1" s="8" t="str">
        <x:v>需求组编号</x:v>
      </x:c>
      <x:c r="C1" s="8" t="str">
        <x:v>父问题编号</x:v>
      </x:c>
      <x:c r="D1" s="8" t="str">
        <x:v>追问触发条件</x:v>
      </x:c>
      <x:c r="E1" s="8" t="str">
        <x:v>阻塞等级</x:v>
      </x:c>
      <x:c r="F1" s="8" t="str">
        <x:v>功能模块</x:v>
      </x:c>
      <x:c r="G1" s="8" t="str">
        <x:v>具体场景</x:v>
      </x:c>
      <x:c r="H1" s="8" t="str">
        <x:v>问题分类</x:v>
      </x:c>
      <x:c r="I1" s="8" t="str">
        <x:v>待决策问题</x:v>
      </x:c>
      <x:c r="J1" s="8" t="str">
        <x:v>可选方案</x:v>
      </x:c>
      <x:c r="K1" s="8" t="str">
        <x:v>测试建议</x:v>
      </x:c>
      <x:c r="L1" s="8" t="str">
        <x:v>产品结论</x:v>
      </x:c>
      <x:c r="M1" s="8" t="str">
        <x:v>结论补充</x:v>
      </x:c>
      <x:c r="N1" s="8" t="str">
        <x:v>已知依据</x:v>
      </x:c>
      <x:c r="O1" s="8" t="str">
        <x:v>影响范围</x:v>
      </x:c>
      <x:c r="P1" s="8" t="str">
        <x:v>已有用例编号</x:v>
      </x:c>
      <x:c r="Q1" s="8" t="str">
        <x:v>确认后待补用例</x:v>
      </x:c>
      <x:c r="R1" s="8" t="str">
        <x:v>负责人</x:v>
      </x:c>
      <x:c r="S1" s="8" t="str">
        <x:v>期望确认时间</x:v>
      </x:c>
      <x:c r="T1" s="8" t="str">
        <x:v>确认状态</x:v>
      </x:c>
    </x:row>
    <x:row r="2" ht="55.5" customHeight="1">
      <x:c r="A2" s="45" t="str">
        <x:v>Q-001</x:v>
      </x:c>
      <x:c r="B2" s="49" t="str">
        <x:v>RQ-001</x:v>
      </x:c>
      <x:c r="C2" s="45" t="str"/>
      <x:c r="D2" s="45" t="str"/>
      <x:c r="E2" s="45" t="str">
        <x:v>阻塞测试</x:v>
      </x:c>
      <x:c r="F2" s="45" t="str">
        <x:v>用户App-直播</x:v>
      </x:c>
      <x:c r="G2" s="45" t="str">
        <x:v>观众从直播间点击转发，需要选择站内或外部分享渠道</x:v>
      </x:c>
      <x:c r="H2" s="45" t="str">
        <x:v>需求范围</x:v>
      </x:c>
      <x:c r="I2" s="46" t="str">
        <x:v>当前版本的直播间分享最终采用哪一组渠道范围？</x:v>
      </x:c>
      <x:c r="J2" s="45" t="str">
        <x:v>A. 同时支持站内粉丝群或好友，以及 WhatsApp、Facebook、Instagram
B. 仅支持站内粉丝群或好友
C. 仅支持 WhatsApp、Facebook、Instagram</x:v>
      </x:c>
      <x:c r="K2" s="47" t="str">
        <x:v>建议 A；同时保留当前原型已实现的站内转发和现行需求明确的三种外部平台。</x:v>
      </x:c>
      <x:c r="L2" s="48" t="str"/>
      <x:c r="M2" s="48" t="str"/>
      <x:c r="N2" s="45" t="str">
        <x:v>1. context/01-用户主播App-项目需求清单.md 第46行要求分享到 WhatsApp、Facebook、Instagram
2. prototype/assets/annotations.js 第83、91条及 prototype/assets/common.js 仅实现转发给粉丝群或好友</x:v>
      </x:c>
      <x:c r="O2" s="45" t="str">
        <x:v>1. 直播间外部分享
2. 分享平台图标和跳转</x:v>
      </x:c>
      <x:c r="P2" s="45" t="str"/>
      <x:c r="Q2" s="45" t="str">
        <x:v>1. 分享渠道展示
2. 外部平台跳转</x:v>
      </x:c>
      <x:c r="R2" s="45" t="str">
        <x:v>产品</x:v>
      </x:c>
      <x:c r="S2" s="45" t="str">
        <x:v>进入对应功能测试前</x:v>
      </x:c>
      <x:c r="T2" s="45" t="str">
        <x:v>待确认</x:v>
      </x:c>
    </x:row>
    <x:row r="3" ht="55.5" customHeight="1">
      <x:c r="A3" s="50" t="str">
        <x:v>Q-002</x:v>
      </x:c>
      <x:c r="B3" s="50" t="str">
        <x:v>RQ-001</x:v>
      </x:c>
      <x:c r="C3" s="50" t="str">
        <x:v>Q-001</x:v>
      </x:c>
      <x:c r="D3" s="50" t="str">
        <x:v>Q-001 选择 A 或 C，最终渠道包含至少一个外部 App 时</x:v>
      </x:c>
      <x:c r="E3" s="5" t="str">
        <x:v>部分阻塞</x:v>
      </x:c>
      <x:c r="F3" s="5" t="str">
        <x:v>用户App-直播</x:v>
      </x:c>
      <x:c r="G3" s="5" t="str">
        <x:v>用户选择设备未安装的外部分享应用</x:v>
      </x:c>
      <x:c r="H3" s="5" t="str">
        <x:v>异常处理</x:v>
      </x:c>
      <x:c r="I3" s="39" t="str">
        <x:v>目标分享应用未安装时应执行哪一种处理？</x:v>
      </x:c>
      <x:c r="J3" s="5" t="str">
        <x:v>A. 提示未安装并停留在直播间
B. 跳转应用商店
C. 改为复制直播链接</x:v>
      </x:c>
      <x:c r="K3" s="40" t="str">
        <x:v>建议 A；不会强制离开直播间，失败结果也最容易识别。</x:v>
      </x:c>
      <x:c r="L3" s="44" t="str"/>
      <x:c r="M3" s="44" t="str"/>
      <x:c r="N3" s="5" t="str">
        <x:v>1. context/01-用户主播App-项目需求清单.md 第46行要求分享到 WhatsApp、Facebook、Instagram
2. prototype/assets/annotations.js 第83、91条及 prototype/assets/common.js 仅实现转发给粉丝群或好友</x:v>
      </x:c>
      <x:c r="O3" s="5" t="str">
        <x:v>1. 外部分享失败处理</x:v>
      </x:c>
      <x:c r="P3" s="5" t="str"/>
      <x:c r="Q3" s="5" t="str">
        <x:v>1. 分享应用未安装</x:v>
      </x:c>
      <x:c r="R3" s="5" t="str">
        <x:v>多方确认</x:v>
      </x:c>
      <x:c r="S3" s="5" t="str">
        <x:v>本轮回归前</x:v>
      </x:c>
      <x:c r="T3" s="5" t="str">
        <x:v>待前置结论</x:v>
      </x:c>
    </x:row>
    <x:row r="4" ht="55.5" customHeight="1">
      <x:c r="A4" s="50" t="str">
        <x:v>Q-003</x:v>
      </x:c>
      <x:c r="B4" s="50" t="str">
        <x:v>RQ-001</x:v>
      </x:c>
      <x:c r="C4" s="50" t="str">
        <x:v>Q-001</x:v>
      </x:c>
      <x:c r="D4" s="50" t="str">
        <x:v>Q-001 选择 A 或 C，最终渠道包含至少一个外部 App 时</x:v>
      </x:c>
      <x:c r="E4" s="5" t="str">
        <x:v>部分阻塞</x:v>
      </x:c>
      <x:c r="F4" s="5" t="str">
        <x:v>用户App-直播</x:v>
      </x:c>
      <x:c r="G4" s="5" t="str">
        <x:v>已打开外部应用但分享回调返回失败</x:v>
      </x:c>
      <x:c r="H4" s="5" t="str">
        <x:v>异常处理</x:v>
      </x:c>
      <x:c r="I4" s="39" t="str">
        <x:v>外部分享失败后直播 App 应如何反馈？</x:v>
      </x:c>
      <x:c r="J4" s="5" t="str">
        <x:v>A. 回到直播间并提示分享失败
B. 回到直播间且不提示
C. 停留在外部应用</x:v>
      </x:c>
      <x:c r="K4" s="40" t="str">
        <x:v>建议 A；用户可以明确区分分享成功、取消和失败。</x:v>
      </x:c>
      <x:c r="L4" s="44" t="str"/>
      <x:c r="M4" s="44" t="str"/>
      <x:c r="N4" s="5" t="str">
        <x:v>1. context/01-用户主播App-项目需求清单.md 第46行要求分享到 WhatsApp、Facebook、Instagram
2. prototype/assets/annotations.js 第83、91条及 prototype/assets/common.js 仅实现转发给粉丝群或好友</x:v>
      </x:c>
      <x:c r="O4" s="5" t="str">
        <x:v>1. 外部分享回调
2. 直播间反馈</x:v>
      </x:c>
      <x:c r="P4" s="5" t="str"/>
      <x:c r="Q4" s="5" t="str">
        <x:v>1. 分享回调失败
2. 分享取消</x:v>
      </x:c>
      <x:c r="R4" s="5" t="str">
        <x:v>多方确认</x:v>
      </x:c>
      <x:c r="S4" s="5" t="str">
        <x:v>本轮回归前</x:v>
      </x:c>
      <x:c r="T4" s="5" t="str">
        <x:v>待前置结论</x:v>
      </x:c>
    </x:row>
    <x:row r="5" ht="43.5" customHeight="1">
      <x:c r="A5" s="45" t="str">
        <x:v>Q-004</x:v>
      </x:c>
      <x:c r="B5" s="49" t="str">
        <x:v>RQ-002</x:v>
      </x:c>
      <x:c r="C5" s="45" t="str"/>
      <x:c r="D5" s="45" t="str"/>
      <x:c r="E5" s="45" t="str">
        <x:v>阻塞测试</x:v>
      </x:c>
      <x:c r="F5" s="45" t="str">
        <x:v>用户App-直播</x:v>
      </x:c>
      <x:c r="G5" s="45" t="str">
        <x:v>主播创建或修改密码房密码</x:v>
      </x:c>
      <x:c r="H5" s="45" t="str">
        <x:v>字段与数据校验</x:v>
      </x:c>
      <x:c r="I5" s="46" t="str">
        <x:v>房间密码最终采用哪一套长度和字符规则？</x:v>
      </x:c>
      <x:c r="J5" s="45" t="str">
        <x:v>A. 固定 8 位数字
B. 4 至 12 位数字
C. 4 至 12 位字母或数字</x:v>
      </x:c>
      <x:c r="K5" s="47" t="str">
        <x:v>建议 A；与修改密码和进房原型一致，规则单一且便于私下传递。</x:v>
      </x:c>
      <x:c r="L5" s="48" t="str"/>
      <x:c r="M5" s="48" t="str"/>
      <x:c r="N5" s="45" t="str">
        <x:v>1. 开播设置原型提示密码为 4 至 12 位
2. 主播密码房批注和观众输入原型使用 8 位数字</x:v>
      </x:c>
      <x:c r="O5" s="45" t="str">
        <x:v>1. 创建密码房
2. 直播中修改密码
3. 观众输入密码</x:v>
      </x:c>
      <x:c r="P5" s="45" t="str"/>
      <x:c r="Q5" s="45" t="str">
        <x:v>1. 补充或重审：主播创建或修改密码房密码</x:v>
      </x:c>
      <x:c r="R5" s="45" t="str">
        <x:v>产品</x:v>
      </x:c>
      <x:c r="S5" s="45" t="str">
        <x:v>进入对应功能测试前</x:v>
      </x:c>
      <x:c r="T5" s="45" t="str">
        <x:v>待确认</x:v>
      </x:c>
    </x:row>
    <x:row r="6" ht="79.5" customHeight="1">
      <x:c r="A6" s="5" t="str">
        <x:v>Q-005</x:v>
      </x:c>
      <x:c r="B6" s="51" t="str">
        <x:v>RQ-002</x:v>
      </x:c>
      <x:c r="C6" s="5" t="str"/>
      <x:c r="D6" s="5" t="str"/>
      <x:c r="E6" s="5" t="str">
        <x:v>阻塞测试</x:v>
      </x:c>
      <x:c r="F6" s="5" t="str">
        <x:v>用户App-直播</x:v>
      </x:c>
      <x:c r="G6" s="5" t="str">
        <x:v>密码规则调整后，主播创建密码房、直播中修改密码，观众输入房间密码</x:v>
      </x:c>
      <x:c r="H6" s="5" t="str">
        <x:v>跨端与跨模块一致性</x:v>
      </x:c>
      <x:c r="I6" s="39" t="str">
        <x:v>新密码规则在三个入口和规则生效前已开播的密码房中如何适用？</x:v>
      </x:c>
      <x:c r="J6" s="5" t="str">
        <x:v>A. 三个入口统一使用 Q-003-01 选定的规则；规则生效前已开播且未改密码的房间沿用原规则，房间结束或改密后退出原规则
B. 创建和修改入口使用 Q-003-01 选定的规则；观众输入按房间保存密码校验，规则生效前房间在结束或改密后退出原规则
C. 仅规则生效后新建房间使用 Q-003-01 选定的规则；生效前已开播房间的创建、修改和输入规则保持不变，房间结束后退出原规则</x:v>
      </x:c>
      <x:c r="K6" s="40" t="str">
        <x:v>建议 B；校验依据与房间实际保存的密码一致，同时明确进行中房间何时切换到新规则。</x:v>
      </x:c>
      <x:c r="L6" s="44" t="str"/>
      <x:c r="M6" s="44" t="str"/>
      <x:c r="N6" s="5" t="str">
        <x:v>1. 开播设置原型提示密码为 4 至 12 位
2. 主播密码房批注和观众输入原型使用 8 位数字</x:v>
      </x:c>
      <x:c r="O6" s="5" t="str">
        <x:v>1. 开播密码设置
2. 直播中密码修改
3. 观众密码进房
4. 规则生效前已开播的密码房</x:v>
      </x:c>
      <x:c r="P6" s="5" t="str"/>
      <x:c r="Q6" s="5" t="str">
        <x:v>1. 密码创建
2. 修改和输入边界</x:v>
      </x:c>
      <x:c r="R6" s="5" t="str">
        <x:v>多方确认</x:v>
      </x:c>
      <x:c r="S6" s="5" t="str">
        <x:v>进入对应功能测试前</x:v>
      </x:c>
      <x:c r="T6" s="5" t="str">
        <x:v>待确认</x:v>
      </x:c>
    </x:row>
    <x:row r="7" ht="43.5" customHeight="1">
      <x:c r="A7" s="45" t="str">
        <x:v>Q-006</x:v>
      </x:c>
      <x:c r="B7" s="49" t="str">
        <x:v>RQ-003</x:v>
      </x:c>
      <x:c r="C7" s="45" t="str"/>
      <x:c r="D7" s="45" t="str"/>
      <x:c r="E7" s="45" t="str">
        <x:v>阻塞测试</x:v>
      </x:c>
      <x:c r="F7" s="45" t="str">
        <x:v>用户App-直播</x:v>
      </x:c>
      <x:c r="G7" s="45" t="str">
        <x:v>主播设置门票房金币价格</x:v>
      </x:c>
      <x:c r="H7" s="45" t="str">
        <x:v>字段与数据校验</x:v>
      </x:c>
      <x:c r="I7" s="46" t="str">
        <x:v>门票价格最终采用哪一套数值规则？</x:v>
      </x:c>
      <x:c r="J7" s="45" t="str">
        <x:v>A. 仅允许大于 0 的整数金币
B. 允许 0 或正整数金币
C. 允许最多两位小数的正数</x:v>
      </x:c>
      <x:c r="K7" s="47" t="str">
        <x:v>建议 A；金币余额和消费流水均使用整数口径，能避免精度和舍入争议。</x:v>
      </x:c>
      <x:c r="L7" s="48" t="str"/>
      <x:c r="M7" s="48" t="str"/>
      <x:c r="N7" s="45" t="str">
        <x:v>1. 需求和原型仅明确门票价格必填
2. 资料未定义上下限、精度和前导零</x:v>
      </x:c>
      <x:c r="O7" s="45" t="str">
        <x:v>1. 门票房设置
2. 购票扣款和消费流水</x:v>
      </x:c>
      <x:c r="P7" s="45" t="str"/>
      <x:c r="Q7" s="45" t="str">
        <x:v>1. 补充或重审：主播设置门票房金币价格</x:v>
      </x:c>
      <x:c r="R7" s="45" t="str">
        <x:v>产品</x:v>
      </x:c>
      <x:c r="S7" s="45" t="str">
        <x:v>进入对应功能测试前</x:v>
      </x:c>
      <x:c r="T7" s="45" t="str">
        <x:v>待确认</x:v>
      </x:c>
    </x:row>
    <x:row r="8" ht="43.5" customHeight="1">
      <x:c r="A8" s="5" t="str">
        <x:v>Q-007</x:v>
      </x:c>
      <x:c r="B8" s="51" t="str">
        <x:v>RQ-003</x:v>
      </x:c>
      <x:c r="C8" s="5" t="str"/>
      <x:c r="D8" s="5" t="str"/>
      <x:c r="E8" s="5" t="str">
        <x:v>不阻塞</x:v>
      </x:c>
      <x:c r="F8" s="5" t="str">
        <x:v>用户App-直播</x:v>
      </x:c>
      <x:c r="G8" s="5" t="str">
        <x:v>主播在门票价格字段输入不满足已选价格规则的值并提交</x:v>
      </x:c>
      <x:c r="H8" s="5" t="str">
        <x:v>交互与文案规则</x:v>
      </x:c>
      <x:c r="I8" s="39" t="str">
        <x:v>非法门票价格采用哪一种反馈方式？</x:v>
      </x:c>
      <x:c r="J8" s="5" t="str">
        <x:v>A. 字段下方提示并保留输入
B. Toast 提示并保留输入
C. 自动修正为合法值</x:v>
      </x:c>
      <x:c r="K8" s="40" t="str">
        <x:v>建议 A；错误位置明确，主播可以直接修改原输入。</x:v>
      </x:c>
      <x:c r="L8" s="44" t="str"/>
      <x:c r="M8" s="44" t="str"/>
      <x:c r="N8" s="5" t="str">
        <x:v>1. 需求和原型仅明确门票价格必填
2. 资料未定义上下限、精度和前导零</x:v>
      </x:c>
      <x:c r="O8" s="5" t="str">
        <x:v>1. 门票价格字段校验反馈</x:v>
      </x:c>
      <x:c r="P8" s="5" t="str"/>
      <x:c r="Q8" s="5" t="str">
        <x:v>1. 门票价格等价类和边界</x:v>
      </x:c>
      <x:c r="R8" s="5" t="str">
        <x:v>交互</x:v>
      </x:c>
      <x:c r="S8" s="5" t="str">
        <x:v>版本验收前</x:v>
      </x:c>
      <x:c r="T8" s="5" t="str">
        <x:v>待确认</x:v>
      </x:c>
    </x:row>
    <x:row r="9" ht="43.5" customHeight="1">
      <x:c r="A9" s="45" t="str">
        <x:v>Q-008</x:v>
      </x:c>
      <x:c r="B9" s="49" t="str">
        <x:v>RQ-004</x:v>
      </x:c>
      <x:c r="C9" s="45" t="str"/>
      <x:c r="D9" s="45" t="str"/>
      <x:c r="E9" s="45" t="str">
        <x:v>阻塞测试</x:v>
      </x:c>
      <x:c r="F9" s="45" t="str">
        <x:v>用户App-直播</x:v>
      </x:c>
      <x:c r="G9" s="45" t="str">
        <x:v>观众发送命中敏感词库的公屏消息</x:v>
      </x:c>
      <x:c r="H9" s="45" t="str">
        <x:v>业务规则</x:v>
      </x:c>
      <x:c r="I9" s="46" t="str">
        <x:v>敏感词命中后消息采用哪一种处理？</x:v>
      </x:c>
      <x:c r="J9" s="45" t="str">
        <x:v>A. 阻止整条消息发送
B. 替换敏感内容后发送
C. 消息进入审核后再展示</x:v>
      </x:c>
      <x:c r="K9" s="47" t="str">
        <x:v>建议 A；违规内容不会先进入公屏，结果也最明确。</x:v>
      </x:c>
      <x:c r="L9" s="48" t="str"/>
      <x:c r="M9" s="48" t="str"/>
      <x:c r="N9" s="45" t="str">
        <x:v>1. 项目需求要求公屏接入后台敏感词库
2. 资料未描述命中后的具体处理</x:v>
      </x:c>
      <x:c r="O9" s="45" t="str">
        <x:v>1. 公屏发送
2. 内容安全</x:v>
      </x:c>
      <x:c r="P9" s="45" t="str"/>
      <x:c r="Q9" s="45" t="str">
        <x:v>1. 敏感词发送结果</x:v>
      </x:c>
      <x:c r="R9" s="45" t="str">
        <x:v>产品</x:v>
      </x:c>
      <x:c r="S9" s="45" t="str">
        <x:v>进入对应功能测试前</x:v>
      </x:c>
      <x:c r="T9" s="45" t="str">
        <x:v>待确认</x:v>
      </x:c>
    </x:row>
    <x:row r="10" ht="43.5" customHeight="1">
      <x:c r="A10" s="50" t="str">
        <x:v>Q-009</x:v>
      </x:c>
      <x:c r="B10" s="50" t="str">
        <x:v>RQ-004</x:v>
      </x:c>
      <x:c r="C10" s="50" t="str">
        <x:v>Q-008</x:v>
      </x:c>
      <x:c r="D10" s="50" t="str">
        <x:v>Q-008 选择 A 或 C，消息不会立即进入公屏时</x:v>
      </x:c>
      <x:c r="E10" s="5" t="str">
        <x:v>不阻塞</x:v>
      </x:c>
      <x:c r="F10" s="5" t="str">
        <x:v>用户App-直播</x:v>
      </x:c>
      <x:c r="G10" s="5" t="str">
        <x:v>用户发送的消息因敏感词规则未进入公屏</x:v>
      </x:c>
      <x:c r="H10" s="5" t="str">
        <x:v>交互与文案规则</x:v>
      </x:c>
      <x:c r="I10" s="39" t="str">
        <x:v>敏感词拦截后用户端采用哪一种反馈？</x:v>
      </x:c>
      <x:c r="J10" s="5" t="str">
        <x:v>A. 提示内容包含敏感词并保留输入
B. 提示发送失败并清空输入
C. 不提示，仅不展示消息</x:v>
      </x:c>
      <x:c r="K10" s="40" t="str">
        <x:v>建议 A；用户能理解失败原因并修改内容。</x:v>
      </x:c>
      <x:c r="L10" s="44" t="str"/>
      <x:c r="M10" s="44" t="str"/>
      <x:c r="N10" s="5" t="str">
        <x:v>1. 项目需求要求公屏接入后台敏感词库
2. 资料未描述命中后的具体处理</x:v>
      </x:c>
      <x:c r="O10" s="5" t="str">
        <x:v>1. 公屏发送反馈</x:v>
      </x:c>
      <x:c r="P10" s="5" t="str"/>
      <x:c r="Q10" s="5" t="str">
        <x:v>1. 敏感词拦截提示
2. 输入框状态</x:v>
      </x:c>
      <x:c r="R10" s="5" t="str">
        <x:v>交互</x:v>
      </x:c>
      <x:c r="S10" s="5" t="str">
        <x:v>版本验收前</x:v>
      </x:c>
      <x:c r="T10" s="5" t="str">
        <x:v>待前置结论</x:v>
      </x:c>
    </x:row>
    <x:row r="11" ht="55.5" customHeight="1">
      <x:c r="A11" s="5" t="str">
        <x:v>Q-010</x:v>
      </x:c>
      <x:c r="B11" s="51" t="str">
        <x:v>RQ-004</x:v>
      </x:c>
      <x:c r="C11" s="5" t="str"/>
      <x:c r="D11" s="5" t="str"/>
      <x:c r="E11" s="5" t="str">
        <x:v>部分阻塞</x:v>
      </x:c>
      <x:c r="F11" s="5" t="str">
        <x:v>用户App-直播</x:v>
      </x:c>
      <x:c r="G11" s="5" t="str">
        <x:v>消息包含大小写、空格或变形的敏感内容</x:v>
      </x:c>
      <x:c r="H11" s="5" t="str">
        <x:v>业务规则</x:v>
      </x:c>
      <x:c r="I11" s="39" t="str">
        <x:v>敏感词库采用哪一种匹配方式？</x:v>
      </x:c>
      <x:c r="J11" s="5" t="str">
        <x:v>A. 全部词条仅按完整文本精确匹配
B. 全部词条匹配时忽略字母大小写和文字间的空格、横线、下划线
C. 全部词条同时识别常见同音、拆字和字符替换形式
D. 以测试环境可读取的词条匹配类型配置为准，每个词条只选择 A、B、C 中的一种匹配方式</x:v>
      </x:c>
      <x:c r="K11" s="40" t="str">
        <x:v>建议 D；不同词条风险不同，配置化比统一模糊规则更可控。</x:v>
      </x:c>
      <x:c r="L11" s="44" t="str"/>
      <x:c r="M11" s="44" t="str"/>
      <x:c r="N11" s="5" t="str">
        <x:v>1. 项目需求要求公屏接入后台敏感词库
2. 资料未描述命中后的具体处理</x:v>
      </x:c>
      <x:c r="O11" s="5" t="str">
        <x:v>1. 敏感词匹配
2. 后台词库配置</x:v>
      </x:c>
      <x:c r="P11" s="5" t="str"/>
      <x:c r="Q11" s="5" t="str">
        <x:v>1. 敏感词组合和变形边界</x:v>
      </x:c>
      <x:c r="R11" s="5" t="str">
        <x:v>多方确认</x:v>
      </x:c>
      <x:c r="S11" s="5" t="str">
        <x:v>本轮回归前</x:v>
      </x:c>
      <x:c r="T11" s="5" t="str">
        <x:v>待确认</x:v>
      </x:c>
    </x:row>
    <x:row r="12" ht="55.5" customHeight="1">
      <x:c r="A12" s="45" t="str">
        <x:v>Q-011</x:v>
      </x:c>
      <x:c r="B12" s="49" t="str">
        <x:v>RQ-005</x:v>
      </x:c>
      <x:c r="C12" s="45" t="str"/>
      <x:c r="D12" s="45" t="str"/>
      <x:c r="E12" s="45" t="str">
        <x:v>阻塞测试</x:v>
      </x:c>
      <x:c r="F12" s="45" t="str">
        <x:v>用户App-直播</x:v>
      </x:c>
      <x:c r="G12" s="45" t="str">
        <x:v>主播或房管对直播间用户执行禁言</x:v>
      </x:c>
      <x:c r="H12" s="45" t="str">
        <x:v>流程与状态</x:v>
      </x:c>
      <x:c r="I12" s="46" t="str">
        <x:v>直播间禁言提供哪些时长选项，首次打开时默认选中哪一项？</x:v>
      </x:c>
      <x:c r="J12" s="45" t="str">
        <x:v>A. 仅“本场直播”，默认本场直播结束时解除
B. 仅“10 分钟”，默认 10 分钟
C. “10 分钟、1 小时、本场直播”，默认 1 小时
D. “10 分钟、1 小时、本场直播”，默认本场直播</x:v>
      </x:c>
      <x:c r="K12" s="47" t="str">
        <x:v>建议 D；既保留明确的短时选择，也与现有本场直播作用范围一致。</x:v>
      </x:c>
      <x:c r="L12" s="48" t="str"/>
      <x:c r="M12" s="48" t="str"/>
      <x:c r="N12" s="45" t="str">
        <x:v>1. 项目需求写禁言时长可选
2. context/系统概要 .md 第215行明确禁言仅限本场次，下一场次恢复；当前来源未明确提前解除角色
3. 当前原型只有开关</x:v>
      </x:c>
      <x:c r="O12" s="45" t="str">
        <x:v>1. 主播禁言
2. 房管禁言
3. 禁言到期</x:v>
      </x:c>
      <x:c r="P12" s="45" t="str"/>
      <x:c r="Q12" s="45" t="str">
        <x:v>1. 补充或重审：主播或房管对直播间用户执行禁言</x:v>
      </x:c>
      <x:c r="R12" s="45" t="str">
        <x:v>产品</x:v>
      </x:c>
      <x:c r="S12" s="45" t="str">
        <x:v>进入对应功能测试前</x:v>
      </x:c>
      <x:c r="T12" s="45" t="str">
        <x:v>待确认</x:v>
      </x:c>
    </x:row>
    <x:row r="13" ht="55.5" customHeight="1">
      <x:c r="A13" s="5" t="str">
        <x:v>Q-012</x:v>
      </x:c>
      <x:c r="B13" s="51" t="str">
        <x:v>RQ-005</x:v>
      </x:c>
      <x:c r="C13" s="5" t="str"/>
      <x:c r="D13" s="5" t="str"/>
      <x:c r="E13" s="5" t="str">
        <x:v>部分阻塞</x:v>
      </x:c>
      <x:c r="F13" s="5" t="str">
        <x:v>用户App-直播</x:v>
      </x:c>
      <x:c r="G13" s="5" t="str">
        <x:v>目标观众仍在禁言有效期内，或禁言时间已经到期</x:v>
      </x:c>
      <x:c r="H13" s="5" t="str">
        <x:v>角色与权限</x:v>
      </x:c>
      <x:c r="I13" s="39" t="str">
        <x:v>谁可以提前解除禁言，达到所选时长后是否自动恢复发言？</x:v>
      </x:c>
      <x:c r="J13" s="5" t="str">
        <x:v>A. 仅主播可提前解除，达到时长后自动恢复
B. 主播和执行禁言的房管可提前解除，达到时长后自动恢复
C. 任何人都不能提前解除，仅在达到时长后自动恢复</x:v>
      </x:c>
      <x:c r="K13" s="40" t="str">
        <x:v>建议 A；长期权限变更由主播控制，房管仍可执行即时管理。</x:v>
      </x:c>
      <x:c r="L13" s="44" t="str"/>
      <x:c r="M13" s="44" t="str"/>
      <x:c r="N13" s="5" t="str">
        <x:v>1. 项目需求写禁言时长可选
2. context/系统概要 .md 第215行明确禁言仅限本场次，下一场次恢复；当前来源未明确提前解除角色
3. 当前原型只有开关</x:v>
      </x:c>
      <x:c r="O13" s="5" t="str">
        <x:v>1. 解除禁言权限
2. 禁言到期恢复</x:v>
      </x:c>
      <x:c r="P13" s="5" t="str"/>
      <x:c r="Q13" s="5" t="str">
        <x:v>1. 补充或重审：目标观众仍在禁言有效期内，或禁言时间已经到期</x:v>
      </x:c>
      <x:c r="R13" s="5" t="str">
        <x:v>产品</x:v>
      </x:c>
      <x:c r="S13" s="5" t="str">
        <x:v>本轮回归前</x:v>
      </x:c>
      <x:c r="T13" s="5" t="str">
        <x:v>待确认</x:v>
      </x:c>
    </x:row>
    <x:row r="14" ht="55.5" customHeight="1">
      <x:c r="A14" s="45" t="str">
        <x:v>Q-013</x:v>
      </x:c>
      <x:c r="B14" s="49" t="str">
        <x:v>RQ-006</x:v>
      </x:c>
      <x:c r="C14" s="45" t="str"/>
      <x:c r="D14" s="45" t="str"/>
      <x:c r="E14" s="45" t="str">
        <x:v>阻塞测试</x:v>
      </x:c>
      <x:c r="F14" s="45" t="str">
        <x:v>用户App-直播</x:v>
      </x:c>
      <x:c r="G14" s="45" t="str">
        <x:v>房管打开直播间观众资料卡</x:v>
      </x:c>
      <x:c r="H14" s="45" t="str">
        <x:v>角色与权限</x:v>
      </x:c>
      <x:c r="I14" s="46" t="str">
        <x:v>房管是否拥有拉黑用户的权限？</x:v>
      </x:c>
      <x:c r="J14" s="45" t="str">
        <x:v>A. 房管没有拉黑权限
B. 房管可以执行直播间黑名单
C. 房管可以执行账号拉黑
D. 房管可选择两种拉黑</x:v>
      </x:c>
      <x:c r="K14" s="47" t="str">
        <x:v>建议 A；与权限规则一致，永久关系操作保留给主播。</x:v>
      </x:c>
      <x:c r="L14" s="48" t="str"/>
      <x:c r="M14" s="48" t="str"/>
      <x:c r="N14" s="45" t="str">
        <x:v>1. context/系统概要 .md 第217行及 context/01-用户主播App-项目需求清单.md 第195行只授权房管踢人、禁言和屏蔽单条评论
2. 观众资料卡原型在房管操作区展示“拉黑”</x:v>
      </x:c>
      <x:c r="O14" s="45" t="str">
        <x:v>1. 房管资料卡权限
2. 直播间秩序管理</x:v>
      </x:c>
      <x:c r="P14" s="45" t="str"/>
      <x:c r="Q14" s="45" t="str">
        <x:v>1. 房管拉黑权限</x:v>
      </x:c>
      <x:c r="R14" s="45" t="str">
        <x:v>产品</x:v>
      </x:c>
      <x:c r="S14" s="45" t="str">
        <x:v>进入对应功能测试前</x:v>
      </x:c>
      <x:c r="T14" s="45" t="str">
        <x:v>待确认</x:v>
      </x:c>
    </x:row>
    <x:row r="15" ht="55.5" customHeight="1">
      <x:c r="A15" s="50" t="str">
        <x:v>Q-014</x:v>
      </x:c>
      <x:c r="B15" s="50" t="str">
        <x:v>RQ-006</x:v>
      </x:c>
      <x:c r="C15" s="50" t="str">
        <x:v>Q-013</x:v>
      </x:c>
      <x:c r="D15" s="50" t="str">
        <x:v>Q-013 选择 B、C 或 D，房管具有至少一种拉黑权限时</x:v>
      </x:c>
      <x:c r="E15" s="5" t="str">
        <x:v>阻塞测试</x:v>
      </x:c>
      <x:c r="F15" s="5" t="str">
        <x:v>用户App-直播</x:v>
      </x:c>
      <x:c r="G15" s="5" t="str">
        <x:v>产品确认房管拥有拉黑权限后执行拉黑</x:v>
      </x:c>
      <x:c r="H15" s="5" t="str">
        <x:v>业务规则</x:v>
      </x:c>
      <x:c r="I15" s="39" t="str">
        <x:v>房管拉黑应写入哪一种黑名单？</x:v>
      </x:c>
      <x:c r="J15" s="5" t="str">
        <x:v>A. 仅直播间黑名单
B. 账号黑名单
C. 同时写入两层黑名单
D. 操作时由房管选择</x:v>
      </x:c>
      <x:c r="K15" s="40" t="str">
        <x:v>建议 A；房管职责限于直播间管理，不应改变账号级社交关系。</x:v>
      </x:c>
      <x:c r="L15" s="44" t="str"/>
      <x:c r="M15" s="44" t="str"/>
      <x:c r="N15" s="5" t="str">
        <x:v>1. context/系统概要 .md 第217行及 context/01-用户主播App-项目需求清单.md 第195行只授权房管踢人、禁言和屏蔽单条评论
2. 观众资料卡原型在房管操作区展示“拉黑”</x:v>
      </x:c>
      <x:c r="O15" s="5" t="str">
        <x:v>1. 直播间黑名单
2. 账号拉黑</x:v>
      </x:c>
      <x:c r="P15" s="5" t="str"/>
      <x:c r="Q15" s="5" t="str">
        <x:v>1. 房管拉黑作用域</x:v>
      </x:c>
      <x:c r="R15" s="5" t="str">
        <x:v>产品</x:v>
      </x:c>
      <x:c r="S15" s="5" t="str">
        <x:v>进入对应功能测试前</x:v>
      </x:c>
      <x:c r="T15" s="5" t="str">
        <x:v>待前置结论</x:v>
      </x:c>
    </x:row>
    <x:row r="16" ht="43.5" customHeight="1">
      <x:c r="A16" s="50" t="str">
        <x:v>Q-015</x:v>
      </x:c>
      <x:c r="B16" s="50" t="str">
        <x:v>RQ-006</x:v>
      </x:c>
      <x:c r="C16" s="50" t="str">
        <x:v>Q-014</x:v>
      </x:c>
      <x:c r="D16" s="50" t="str">
        <x:v>Q-014 选择 A、B 或 C，房管写入的黑名单层级已经固定时</x:v>
      </x:c>
      <x:c r="E16" s="5" t="str">
        <x:v>部分阻塞</x:v>
      </x:c>
      <x:c r="F16" s="5" t="str">
        <x:v>用户App-直播</x:v>
      </x:c>
      <x:c r="G16" s="5" t="str">
        <x:v>房管已将用户加入允许的黑名单层级</x:v>
      </x:c>
      <x:c r="H16" s="5" t="str">
        <x:v>流程与状态</x:v>
      </x:c>
      <x:c r="I16" s="39" t="str">
        <x:v>房管拉黑记录采用哪一种存续和解除规则？</x:v>
      </x:c>
      <x:c r="J16" s="5" t="str">
        <x:v>A. 长期有效且仅主播可解除
B. 仅本场有效且结束直播自动解除
C. 长期有效且主播或房管可解除</x:v>
      </x:c>
      <x:c r="K16" s="40" t="str">
        <x:v>建议 A；若采用直播间黑名单，应与主播已有长期黑名单口径一致。</x:v>
      </x:c>
      <x:c r="L16" s="44" t="str"/>
      <x:c r="M16" s="44" t="str"/>
      <x:c r="N16" s="5" t="str">
        <x:v>1. context/系统概要 .md 第217行及 context/01-用户主播App-项目需求清单.md 第195行只授权房管踢人、禁言和屏蔽单条评论
2. 观众资料卡原型在房管操作区展示“拉黑”</x:v>
      </x:c>
      <x:c r="O16" s="5" t="str">
        <x:v>1. 拉黑存续
2. 解除入口</x:v>
      </x:c>
      <x:c r="P16" s="5" t="str"/>
      <x:c r="Q16" s="5" t="str">
        <x:v>1. 房管拉黑跨场限制
2. 房管拉黑解除</x:v>
      </x:c>
      <x:c r="R16" s="5" t="str">
        <x:v>产品</x:v>
      </x:c>
      <x:c r="S16" s="5" t="str">
        <x:v>本轮回归前</x:v>
      </x:c>
      <x:c r="T16" s="5" t="str">
        <x:v>待前置结论</x:v>
      </x:c>
    </x:row>
    <x:row r="17" ht="55.5" customHeight="1">
      <x:c r="A17" s="45" t="str">
        <x:v>Q-016</x:v>
      </x:c>
      <x:c r="B17" s="49" t="str">
        <x:v>RQ-007</x:v>
      </x:c>
      <x:c r="C17" s="45" t="str"/>
      <x:c r="D17" s="45" t="str"/>
      <x:c r="E17" s="45" t="str">
        <x:v>阻塞测试</x:v>
      </x:c>
      <x:c r="F17" s="45" t="str">
        <x:v>用户App-直播</x:v>
      </x:c>
      <x:c r="G17" s="45" t="str">
        <x:v>主播从观众资料卡执行拉黑</x:v>
      </x:c>
      <x:c r="H17" s="45" t="str">
        <x:v>业务规则</x:v>
      </x:c>
      <x:c r="I17" s="46" t="str">
        <x:v>主播资料卡的拉黑入口应对应哪一种业务操作？</x:v>
      </x:c>
      <x:c r="J17" s="45" t="str">
        <x:v>A. 单一入口默认加入直播间黑名单
B. 单一入口默认执行账号拉黑
C. 一个入口后选择黑名单层级
D. 拆成两个独立按钮</x:v>
      </x:c>
      <x:c r="K17" s="47" t="str">
        <x:v>建议 D；两层后果差异明显，独立入口最不容易误操作。</x:v>
      </x:c>
      <x:c r="L17" s="48" t="str"/>
      <x:c r="M17" s="48" t="str"/>
      <x:c r="N17" s="45" t="str">
        <x:v>1. context/系统概要 .md 第198至217行及 prototype/assets/annotations.js 第579条区分账号拉黑与直播间黑名单
2. 主播资料卡原型仅展示一个“拉黑”按钮</x:v>
      </x:c>
      <x:c r="O17" s="45" t="str">
        <x:v>1. 主播资料卡
2. 两层黑名单</x:v>
      </x:c>
      <x:c r="P17" s="45" t="str"/>
      <x:c r="Q17" s="45" t="str">
        <x:v>1. 补充或重审：主播从观众资料卡执行拉黑</x:v>
      </x:c>
      <x:c r="R17" s="45" t="str">
        <x:v>多方确认</x:v>
      </x:c>
      <x:c r="S17" s="45" t="str">
        <x:v>进入对应功能测试前</x:v>
      </x:c>
      <x:c r="T17" s="45" t="str">
        <x:v>待确认</x:v>
      </x:c>
    </x:row>
    <x:row r="18" ht="43.5" customHeight="1">
      <x:c r="A18" s="5" t="str">
        <x:v>Q-017</x:v>
      </x:c>
      <x:c r="B18" s="51" t="str">
        <x:v>RQ-007</x:v>
      </x:c>
      <x:c r="C18" s="5" t="str"/>
      <x:c r="D18" s="5" t="str"/>
      <x:c r="E18" s="5" t="str">
        <x:v>部分阻塞</x:v>
      </x:c>
      <x:c r="F18" s="5" t="str">
        <x:v>用户App-直播</x:v>
      </x:c>
      <x:c r="G18" s="5" t="str">
        <x:v>主播确认执行任一层级的拉黑操作</x:v>
      </x:c>
      <x:c r="H18" s="5" t="str">
        <x:v>交互与文案规则</x:v>
      </x:c>
      <x:c r="I18" s="39" t="str">
        <x:v>拉黑生效前采用哪一种确认方式？</x:v>
      </x:c>
      <x:c r="J18" s="5" t="str">
        <x:v>A. 每种拉黑均二次确认并说明后果
B. 仅账号拉黑需要二次确认
C. 两种拉黑均直接生效</x:v>
      </x:c>
      <x:c r="K18" s="40" t="str">
        <x:v>建议 A；永久限制和社交影响需要在操作前明确告知。</x:v>
      </x:c>
      <x:c r="L18" s="44" t="str"/>
      <x:c r="M18" s="44" t="str"/>
      <x:c r="N18" s="5" t="str">
        <x:v>1. context/系统概要 .md 第198至217行及 prototype/assets/annotations.js 第579条区分账号拉黑与直播间黑名单
2. 主播资料卡原型仅展示一个“拉黑”按钮</x:v>
      </x:c>
      <x:c r="O18" s="5" t="str">
        <x:v>1. 拉黑确认弹窗
2. 风险说明</x:v>
      </x:c>
      <x:c r="P18" s="5" t="str"/>
      <x:c r="Q18" s="5" t="str">
        <x:v>1. 主播拉黑确认
2. 取消拉黑</x:v>
      </x:c>
      <x:c r="R18" s="5" t="str">
        <x:v>多方确认</x:v>
      </x:c>
      <x:c r="S18" s="5" t="str">
        <x:v>本轮回归前</x:v>
      </x:c>
      <x:c r="T18" s="5" t="str">
        <x:v>待确认</x:v>
      </x:c>
    </x:row>
    <x:row r="19" ht="43.5" customHeight="1">
      <x:c r="A19" s="5" t="str">
        <x:v>Q-018</x:v>
      </x:c>
      <x:c r="B19" s="51" t="str">
        <x:v>RQ-007</x:v>
      </x:c>
      <x:c r="C19" s="5" t="str"/>
      <x:c r="D19" s="5" t="str"/>
      <x:c r="E19" s="5" t="str">
        <x:v>部分阻塞</x:v>
      </x:c>
      <x:c r="F19" s="5" t="str">
        <x:v>用户App-直播</x:v>
      </x:c>
      <x:c r="G19" s="5" t="str">
        <x:v>主播需要解除已经建立的黑名单关系</x:v>
      </x:c>
      <x:c r="H19" s="5" t="str">
        <x:v>流程与状态</x:v>
      </x:c>
      <x:c r="I19" s="39" t="str">
        <x:v>两层黑名单应从哪里分别解除？</x:v>
      </x:c>
      <x:c r="J19" s="5" t="str">
        <x:v>A. 均在统一黑名单管理页分层解除
B. 直播间黑名单在主播中心解除，账号拉黑在个人设置解除
C. 均从目标用户资料卡解除</x:v>
      </x:c>
      <x:c r="K19" s="40" t="str">
        <x:v>建议 A；统一入口便于查看层级和避免漏解除。</x:v>
      </x:c>
      <x:c r="L19" s="44" t="str"/>
      <x:c r="M19" s="44" t="str"/>
      <x:c r="N19" s="5" t="str">
        <x:v>1. context/系统概要 .md 第198至217行及 prototype/assets/annotations.js 第579条区分账号拉黑与直播间黑名单
2. 主播资料卡原型仅展示一个“拉黑”按钮</x:v>
      </x:c>
      <x:c r="O19" s="5" t="str">
        <x:v>1. 直播间黑名单解除
2. 账号拉黑解除</x:v>
      </x:c>
      <x:c r="P19" s="5" t="str"/>
      <x:c r="Q19" s="5" t="str">
        <x:v>1. 补充或重审：主播需要解除已经建立的黑名单关系</x:v>
      </x:c>
      <x:c r="R19" s="5" t="str">
        <x:v>多方确认</x:v>
      </x:c>
      <x:c r="S19" s="5" t="str">
        <x:v>本轮回归前</x:v>
      </x:c>
      <x:c r="T19" s="5" t="str">
        <x:v>待确认</x:v>
      </x:c>
    </x:row>
    <x:row r="20" ht="43.5" customHeight="1">
      <x:c r="A20" s="45" t="str">
        <x:v>Q-019</x:v>
      </x:c>
      <x:c r="B20" s="49" t="str">
        <x:v>RQ-008</x:v>
      </x:c>
      <x:c r="C20" s="45" t="str"/>
      <x:c r="D20" s="45" t="str"/>
      <x:c r="E20" s="45" t="str">
        <x:v>部分阻塞</x:v>
      </x:c>
      <x:c r="F20" s="45" t="str">
        <x:v>用户App-直播</x:v>
      </x:c>
      <x:c r="G20" s="45" t="str">
        <x:v>用户连续点击赠送同一种礼物</x:v>
      </x:c>
      <x:c r="H20" s="45" t="str">
        <x:v>业务规则</x:v>
      </x:c>
      <x:c r="I20" s="46" t="str">
        <x:v>用户连续赠送同一种礼物时，几秒内计为同一轮连击，计时从何时重新开始？</x:v>
      </x:c>
      <x:c r="J20" s="45" t="str">
        <x:v>A. 从首次赠送成功起固定计算 3 秒，3 秒后重新计数
B. 每次赠送成功后重新计算 3 秒，连续超过 3 秒未成功赠送时重新计数
C. 不设置时间限制，用户切换礼物或关闭礼物面板后重新计数</x:v>
      </x:c>
      <x:c r="K20" s="47" t="str">
        <x:v>建议 B；每次成功赠送后都有相同继续连击时间，并能形成明确时间边界。</x:v>
      </x:c>
      <x:c r="L20" s="48" t="str"/>
      <x:c r="M20" s="48" t="str"/>
      <x:c r="N20" s="45" t="str">
        <x:v>1. 项目需求明确礼物支持选择数量和连击
2. 资料未给出数量边界、连击窗口和部分成功规则</x:v>
      </x:c>
      <x:c r="O20" s="45" t="str">
        <x:v>1. 礼物连击展示
2. 连续赠送</x:v>
      </x:c>
      <x:c r="P20" s="45" t="str"/>
      <x:c r="Q20" s="45" t="str">
        <x:v>1. 补充或重审：用户连续点击赠送同一种礼物</x:v>
      </x:c>
      <x:c r="R20" s="45" t="str">
        <x:v>产品</x:v>
      </x:c>
      <x:c r="S20" s="45" t="str">
        <x:v>本轮回归前</x:v>
      </x:c>
      <x:c r="T20" s="45" t="str">
        <x:v>待确认</x:v>
      </x:c>
    </x:row>
    <x:row r="21" ht="43.5" customHeight="1">
      <x:c r="A21" s="5" t="str">
        <x:v>Q-020</x:v>
      </x:c>
      <x:c r="B21" s="51" t="str">
        <x:v>RQ-008</x:v>
      </x:c>
      <x:c r="C21" s="5" t="str"/>
      <x:c r="D21" s="5" t="str"/>
      <x:c r="E21" s="5" t="str">
        <x:v>阻塞测试</x:v>
      </x:c>
      <x:c r="F21" s="5" t="str">
        <x:v>用户App-直播</x:v>
      </x:c>
      <x:c r="G21" s="5" t="str">
        <x:v>用户余额只能支付所选礼物数量的一部分</x:v>
      </x:c>
      <x:c r="H21" s="5" t="str">
        <x:v>业务规则</x:v>
      </x:c>
      <x:c r="I21" s="39" t="str">
        <x:v>余额不足以完成整次赠送时是否允许部分成功？</x:v>
      </x:c>
      <x:c r="J21" s="5" t="str">
        <x:v>A. 整次失败且不扣费
B. 按余额可支付数量部分成功
C. 引导充值后保留本次赠送</x:v>
      </x:c>
      <x:c r="K21" s="40" t="str">
        <x:v>建议 A；交易原子性最清晰，也便于核对扣款和收益。</x:v>
      </x:c>
      <x:c r="L21" s="44" t="str"/>
      <x:c r="M21" s="44" t="str"/>
      <x:c r="N21" s="5" t="str">
        <x:v>1. 项目需求明确礼物支持选择数量和连击
2. 资料未给出数量边界、连击窗口和部分成功规则</x:v>
      </x:c>
      <x:c r="O21" s="5" t="str">
        <x:v>1. 赠礼扣款
2. 主播收益
3. 消费流水</x:v>
      </x:c>
      <x:c r="P21" s="5" t="str"/>
      <x:c r="Q21" s="5" t="str">
        <x:v>1. 补充或重审：用户余额只能支付所选礼物数量的一部分</x:v>
      </x:c>
      <x:c r="R21" s="5" t="str">
        <x:v>产品</x:v>
      </x:c>
      <x:c r="S21" s="5" t="str">
        <x:v>进入对应功能测试前</x:v>
      </x:c>
      <x:c r="T21" s="5" t="str">
        <x:v>待确认</x:v>
      </x:c>
    </x:row>
    <x:row r="22" ht="43.5" customHeight="1">
      <x:c r="A22" s="5" t="str">
        <x:v>Q-021</x:v>
      </x:c>
      <x:c r="B22" s="51" t="str">
        <x:v>RQ-008</x:v>
      </x:c>
      <x:c r="C22" s="5" t="str"/>
      <x:c r="D22" s="5" t="str"/>
      <x:c r="E22" s="5" t="str">
        <x:v>部分阻塞</x:v>
      </x:c>
      <x:c r="F22" s="5" t="str">
        <x:v>用户App-直播</x:v>
      </x:c>
      <x:c r="G22" s="5" t="str">
        <x:v>用户在上一次赠送结果返回前，连续点击同一礼物的赠送按钮</x:v>
      </x:c>
      <x:c r="H22" s="5" t="str">
        <x:v>异常处理</x:v>
      </x:c>
      <x:c r="I22" s="39" t="str">
        <x:v>连续点击到达服务端后，应产生几次扣款、赠礼结果和消费流水？</x:v>
      </x:c>
      <x:c r="J22" s="5" t="str">
        <x:v>A. 每次点击独立处理；每次成功均扣款一次、赠送一次并生成一条流水
B. 同一轮连续点击合并处理；按合并后的总数量扣款一次并生成一条汇总流水
C. 上一次处理完成前仅接受首次点击；后续点击不扣款、不赠礼且不新增流水</x:v>
      </x:c>
      <x:c r="K22" s="40" t="str">
        <x:v>建议 C；用户在等待结果时不会因重复点击产生非预期的多次扣款。</x:v>
      </x:c>
      <x:c r="L22" s="44" t="str"/>
      <x:c r="M22" s="44" t="str"/>
      <x:c r="N22" s="5" t="str">
        <x:v>1. 项目需求明确礼物支持选择数量和连击
2. 资料未给出数量边界、连击窗口和部分成功规则</x:v>
      </x:c>
      <x:c r="O22" s="5" t="str">
        <x:v>1. 赠礼重复提交
2. 消费流水</x:v>
      </x:c>
      <x:c r="P22" s="5" t="str"/>
      <x:c r="Q22" s="5" t="str">
        <x:v>1. 礼物重复点击
2. 重复请求去重</x:v>
      </x:c>
      <x:c r="R22" s="5" t="str">
        <x:v>多方确认</x:v>
      </x:c>
      <x:c r="S22" s="5" t="str">
        <x:v>本轮回归前</x:v>
      </x:c>
      <x:c r="T22" s="5" t="str">
        <x:v>待确认</x:v>
      </x:c>
    </x:row>
    <x:row r="23" ht="43.5" customHeight="1">
      <x:c r="A23" s="45" t="str">
        <x:v>Q-022</x:v>
      </x:c>
      <x:c r="B23" s="49" t="str">
        <x:v>RQ-009</x:v>
      </x:c>
      <x:c r="C23" s="45" t="str"/>
      <x:c r="D23" s="45" t="str"/>
      <x:c r="E23" s="45" t="str">
        <x:v>部分阻塞</x:v>
      </x:c>
      <x:c r="F23" s="45" t="str">
        <x:v>用户App-直播</x:v>
      </x:c>
      <x:c r="G23" s="45" t="str">
        <x:v>主播在首次开播请求尚未返回时再次点击开始直播，或同一请求被网络重发</x:v>
      </x:c>
      <x:c r="H23" s="45" t="str">
        <x:v>异常处理</x:v>
      </x:c>
      <x:c r="I23" s="46" t="str">
        <x:v>多次开播请求到达后，系统最终应创建几个直播场次并向主播返回什么结果？</x:v>
      </x:c>
      <x:c r="J23" s="45" t="str">
        <x:v>A. 仅首次请求创建一个场次，后续请求返回同一场次
B. 仅首次请求创建一个场次，后续请求提示正在开播
C. 每次请求都创建独立场次</x:v>
      </x:c>
      <x:c r="K23" s="47" t="str">
        <x:v>建议 A；无论重复点击还是网络重发，主播都只进入同一个已创建场次。</x:v>
      </x:c>
      <x:c r="L23" s="48" t="str"/>
      <x:c r="M23" s="48" t="str"/>
      <x:c r="N23" s="45" t="str">
        <x:v>1. 需求要求创建直播场次并发送开播提醒
2. 资料未定义重复请求、推流失败或提醒失败的补偿</x:v>
      </x:c>
      <x:c r="O23" s="45" t="str">
        <x:v>1. 开播按钮
2. 直播场次创建</x:v>
      </x:c>
      <x:c r="P23" s="45" t="str"/>
      <x:c r="Q23" s="45" t="str">
        <x:v>1. 重复开播</x:v>
      </x:c>
      <x:c r="R23" s="45" t="str">
        <x:v>多方确认</x:v>
      </x:c>
      <x:c r="S23" s="45" t="str">
        <x:v>本轮回归前</x:v>
      </x:c>
      <x:c r="T23" s="45" t="str">
        <x:v>待确认</x:v>
      </x:c>
    </x:row>
    <x:row r="24" ht="43.5" customHeight="1">
      <x:c r="A24" s="5" t="str">
        <x:v>Q-023</x:v>
      </x:c>
      <x:c r="B24" s="51" t="str">
        <x:v>RQ-009</x:v>
      </x:c>
      <x:c r="C24" s="5" t="str"/>
      <x:c r="D24" s="5" t="str"/>
      <x:c r="E24" s="5" t="str">
        <x:v>部分阻塞</x:v>
      </x:c>
      <x:c r="F24" s="5" t="str">
        <x:v>用户App-直播</x:v>
      </x:c>
      <x:c r="G24" s="5" t="str">
        <x:v>主播提交开播请求后持续未收到成功或失败结果</x:v>
      </x:c>
      <x:c r="H24" s="5" t="str">
        <x:v>异常处理</x:v>
      </x:c>
      <x:c r="I24" s="39" t="str">
        <x:v>提交后经过多少秒仍无结果时，页面显示什么业务结果？</x:v>
      </x:c>
      <x:c r="J24" s="5" t="str">
        <x:v>A. 15 秒后显示结果未知，并提供查询是否已创建场次的入口
B. 15 秒后显示开播失败，并允许主播重新提交
C. 30 秒内保持处理中，30 秒后显示结果未知并自动查询一次场次结果</x:v>
      </x:c>
      <x:c r="K24" s="40" t="str">
        <x:v>建议 A；先查询是否已创建场次可以降低重复开播风险。</x:v>
      </x:c>
      <x:c r="L24" s="44" t="str"/>
      <x:c r="M24" s="44" t="str"/>
      <x:c r="N24" s="5" t="str">
        <x:v>1. 需求要求创建直播场次并发送开播提醒
2. 资料未定义重复请求、推流失败或提醒失败的补偿</x:v>
      </x:c>
      <x:c r="O24" s="5" t="str">
        <x:v>1. 开播处理中
2. 超时恢复</x:v>
      </x:c>
      <x:c r="P24" s="5" t="str"/>
      <x:c r="Q24" s="5" t="str">
        <x:v>1. 开播超时
2. 超时后查询</x:v>
      </x:c>
      <x:c r="R24" s="5" t="str">
        <x:v>多方确认</x:v>
      </x:c>
      <x:c r="S24" s="5" t="str">
        <x:v>本轮回归前</x:v>
      </x:c>
      <x:c r="T24" s="5" t="str">
        <x:v>待确认</x:v>
      </x:c>
    </x:row>
    <x:row r="25" ht="43.5" customHeight="1">
      <x:c r="A25" s="5" t="str">
        <x:v>Q-024</x:v>
      </x:c>
      <x:c r="B25" s="51" t="str">
        <x:v>RQ-009</x:v>
      </x:c>
      <x:c r="C25" s="5" t="str"/>
      <x:c r="D25" s="5" t="str"/>
      <x:c r="E25" s="5" t="str">
        <x:v>阻塞测试</x:v>
      </x:c>
      <x:c r="F25" s="5" t="str">
        <x:v>用户App-直播</x:v>
      </x:c>
      <x:c r="G25" s="5" t="str">
        <x:v>直播场次已创建但推流 SDK 启动失败</x:v>
      </x:c>
      <x:c r="H25" s="5" t="str">
        <x:v>异常处理</x:v>
      </x:c>
      <x:c r="I25" s="39" t="str">
        <x:v>场次创建后推流失败采用哪一种补偿？</x:v>
      </x:c>
      <x:c r="J25" s="5" t="str">
        <x:v>A. 关闭场次并允许重新开播
B. 保留场次并在原场次重试推流
C. 将场次标记异常并等待人工处理</x:v>
      </x:c>
      <x:c r="K25" s="40" t="str">
        <x:v>建议 B；可以保留已生成的场次对象，避免重复入口和提醒。</x:v>
      </x:c>
      <x:c r="L25" s="44" t="str"/>
      <x:c r="M25" s="44" t="str"/>
      <x:c r="N25" s="5" t="str">
        <x:v>1. 需求要求创建直播场次并发送开播提醒
2. 资料未定义重复请求、推流失败或提醒失败的补偿</x:v>
      </x:c>
      <x:c r="O25" s="5" t="str">
        <x:v>1. 直播场次
2. 推流 SDK</x:v>
      </x:c>
      <x:c r="P25" s="5" t="str"/>
      <x:c r="Q25" s="5" t="str">
        <x:v>1. 开播部分成功
2. 推流失败恢复</x:v>
      </x:c>
      <x:c r="R25" s="5" t="str">
        <x:v>多方确认</x:v>
      </x:c>
      <x:c r="S25" s="5" t="str">
        <x:v>进入对应功能测试前</x:v>
      </x:c>
      <x:c r="T25" s="5" t="str">
        <x:v>待确认</x:v>
      </x:c>
    </x:row>
    <x:row r="26" ht="43.5" customHeight="1">
      <x:c r="A26" s="5" t="str">
        <x:v>Q-025</x:v>
      </x:c>
      <x:c r="B26" s="51" t="str">
        <x:v>RQ-009</x:v>
      </x:c>
      <x:c r="C26" s="5" t="str"/>
      <x:c r="D26" s="5" t="str"/>
      <x:c r="E26" s="5" t="str">
        <x:v>部分阻塞</x:v>
      </x:c>
      <x:c r="F26" s="5" t="str">
        <x:v>用户App-直播</x:v>
      </x:c>
      <x:c r="G26" s="5" t="str">
        <x:v>直播场次和观看入口已成功但开播提醒发送失败</x:v>
      </x:c>
      <x:c r="H26" s="5" t="str">
        <x:v>跨端与跨模块一致性</x:v>
      </x:c>
      <x:c r="I26" s="39" t="str">
        <x:v>开播提醒失败是否影响直播场次继续进行？</x:v>
      </x:c>
      <x:c r="J26" s="5" t="str">
        <x:v>A. 直播继续，提醒异步重试
B. 直播继续且不重试提醒
C. 关闭直播场次</x:v>
      </x:c>
      <x:c r="K26" s="40" t="str">
        <x:v>建议 A；提醒是附属链路，不应阻断已成功的直播主流程。</x:v>
      </x:c>
      <x:c r="L26" s="44" t="str"/>
      <x:c r="M26" s="44" t="str"/>
      <x:c r="N26" s="5" t="str">
        <x:v>1. 需求要求创建直播场次并发送开播提醒
2. 资料未定义重复请求、推流失败或提醒失败的补偿</x:v>
      </x:c>
      <x:c r="O26" s="5" t="str">
        <x:v>1. 直播场次
2. 关注用户提醒</x:v>
      </x:c>
      <x:c r="P26" s="5" t="str"/>
      <x:c r="Q26" s="5" t="str">
        <x:v>1. 提醒失败补偿</x:v>
      </x:c>
      <x:c r="R26" s="5" t="str">
        <x:v>产品</x:v>
      </x:c>
      <x:c r="S26" s="5" t="str">
        <x:v>本轮回归前</x:v>
      </x:c>
      <x:c r="T26" s="5" t="str">
        <x:v>待确认</x:v>
      </x:c>
    </x:row>
    <x:row r="27" ht="55.5" customHeight="1">
      <x:c r="A27" s="45" t="str">
        <x:v>Q-026</x:v>
      </x:c>
      <x:c r="B27" s="49" t="str">
        <x:v>RQ-010</x:v>
      </x:c>
      <x:c r="C27" s="45" t="str"/>
      <x:c r="D27" s="45" t="str"/>
      <x:c r="E27" s="45" t="str">
        <x:v>阻塞测试</x:v>
      </x:c>
      <x:c r="F27" s="45" t="str">
        <x:v>用户App-直播</x:v>
      </x:c>
      <x:c r="G27" s="45" t="str">
        <x:v>密码房主播在直播中保存新密码</x:v>
      </x:c>
      <x:c r="H27" s="45" t="str">
        <x:v>配置和历史数据影响</x:v>
      </x:c>
      <x:c r="I27" s="46" t="str">
        <x:v>新密码从哪个时点开始用于进房校验？</x:v>
      </x:c>
      <x:c r="J27" s="45" t="str">
        <x:v>A. 保存成功后立即生效
B. 主播关闭设置面板后生效
C. 下一位新观众请求进房时生效
D. 下一场直播生效</x:v>
      </x:c>
      <x:c r="K27" s="47" t="str">
        <x:v>建议 A；成功提示与实际生效时点一致，安全边界最清晰。</x:v>
      </x:c>
      <x:c r="L27" s="48" t="str"/>
      <x:c r="M27" s="48" t="str"/>
      <x:c r="N27" s="45" t="str">
        <x:v>1. 原型保存后提示“房间密码已修改”
2. prototype/assets/annotations.js 第89至91条明确正确密码进房和主播可修改为 8 位数字，但未定义修改后的生效时点</x:v>
      </x:c>
      <x:c r="O27" s="45" t="str">
        <x:v>1. 直播中修改密码
2. 密码进房校验</x:v>
      </x:c>
      <x:c r="P27" s="45" t="str"/>
      <x:c r="Q27" s="45" t="str">
        <x:v>1. 补充或重审：密码房主播在直播中保存新密码</x:v>
      </x:c>
      <x:c r="R27" s="45" t="str">
        <x:v>产品</x:v>
      </x:c>
      <x:c r="S27" s="45" t="str">
        <x:v>进入对应功能测试前</x:v>
      </x:c>
      <x:c r="T27" s="45" t="str">
        <x:v>待确认</x:v>
      </x:c>
    </x:row>
    <x:row r="28" ht="43.5" customHeight="1">
      <x:c r="A28" s="50" t="str">
        <x:v>Q-027</x:v>
      </x:c>
      <x:c r="B28" s="50" t="str">
        <x:v>RQ-010</x:v>
      </x:c>
      <x:c r="C28" s="50" t="str">
        <x:v>Q-026</x:v>
      </x:c>
      <x:c r="D28" s="50" t="str">
        <x:v>Q-089 选择 A、B 或 C，新密码在当前直播中生效时</x:v>
      </x:c>
      <x:c r="E28" s="5" t="str">
        <x:v>部分阻塞</x:v>
      </x:c>
      <x:c r="F28" s="5" t="str">
        <x:v>用户App-直播</x:v>
      </x:c>
      <x:c r="G28" s="5" t="str">
        <x:v>主播修改密码时观众已经在密码房内观看</x:v>
      </x:c>
      <x:c r="H28" s="5" t="str">
        <x:v>配置和历史数据影响</x:v>
      </x:c>
      <x:c r="I28" s="39" t="str">
        <x:v>已在房间内的观众是否需要重新验证新密码？</x:v>
      </x:c>
      <x:c r="J28" s="5" t="str">
        <x:v>A. 不受影响，继续观看
B. 立即要求重新验证
C. 下一次重新进入时验证新密码</x:v>
      </x:c>
      <x:c r="K28" s="40" t="str">
        <x:v>建议 C；不中断当前观看，同时保证后续进房使用新密码。</x:v>
      </x:c>
      <x:c r="L28" s="44" t="str"/>
      <x:c r="M28" s="44" t="str"/>
      <x:c r="N28" s="5" t="str">
        <x:v>1. 原型保存后提示“房间密码已修改”
2. prototype/assets/annotations.js 第89至91条明确正确密码进房和主播可修改为 8 位数字，但未定义修改后的生效时点</x:v>
      </x:c>
      <x:c r="O28" s="5" t="str">
        <x:v>1. 已在房观众
2. 重新进房</x:v>
      </x:c>
      <x:c r="P28" s="5" t="str"/>
      <x:c r="Q28" s="5" t="str">
        <x:v>1. 密码修改后的在房观众
2. 密码修改后重新进入</x:v>
      </x:c>
      <x:c r="R28" s="5" t="str">
        <x:v>产品</x:v>
      </x:c>
      <x:c r="S28" s="5" t="str">
        <x:v>本轮回归前</x:v>
      </x:c>
      <x:c r="T28" s="5" t="str">
        <x:v>待前置结论</x:v>
      </x:c>
    </x:row>
    <x:row r="29" ht="43.5" customHeight="1">
      <x:c r="A29" s="50" t="str">
        <x:v>Q-028</x:v>
      </x:c>
      <x:c r="B29" s="50" t="str">
        <x:v>RQ-010</x:v>
      </x:c>
      <x:c r="C29" s="50" t="str">
        <x:v>Q-026</x:v>
      </x:c>
      <x:c r="D29" s="50" t="str">
        <x:v>Q-089 选择 A、B 或 C，新密码在当前直播中生效时</x:v>
      </x:c>
      <x:c r="E29" s="5" t="str">
        <x:v>阻塞测试</x:v>
      </x:c>
      <x:c r="F29" s="5" t="str">
        <x:v>用户App-直播</x:v>
      </x:c>
      <x:c r="G29" s="5" t="str">
        <x:v>观众已打开密码面板但尚未提交，主播此时保存新密码</x:v>
      </x:c>
      <x:c r="H29" s="5" t="str">
        <x:v>流程与状态</x:v>
      </x:c>
      <x:c r="I29" s="39" t="str">
        <x:v>观众随后提交旧密码时应按哪一种规则处理？</x:v>
      </x:c>
      <x:c r="J29" s="5" t="str">
        <x:v>A. 旧密码从新密码生效时立即失效
B. 已打开密码面板的观众可用旧密码成功一次，成功或关闭面板后旧密码失效
C. 新密码生效后的 30 秒内新旧密码均可使用，30 秒后旧密码失效</x:v>
      </x:c>
      <x:c r="K29" s="40" t="str">
        <x:v>建议 A；不存在双密码并存窗口，规则最容易理解和验证。</x:v>
      </x:c>
      <x:c r="L29" s="44" t="str"/>
      <x:c r="M29" s="44" t="str"/>
      <x:c r="N29" s="5" t="str">
        <x:v>1. 原型保存后提示“房间密码已修改”
2. prototype/assets/annotations.js 第89至91条明确正确密码进房和主播可修改为 8 位数字，但未定义修改后的生效时点</x:v>
      </x:c>
      <x:c r="O29" s="5" t="str">
        <x:v>1. 密码修改并发
2. 旧密码失效</x:v>
      </x:c>
      <x:c r="P29" s="5" t="str"/>
      <x:c r="Q29" s="5" t="str">
        <x:v>1. 并发提交旧密码</x:v>
      </x:c>
      <x:c r="R29" s="5" t="str">
        <x:v>产品</x:v>
      </x:c>
      <x:c r="S29" s="5" t="str">
        <x:v>进入对应功能测试前</x:v>
      </x:c>
      <x:c r="T29" s="5" t="str">
        <x:v>待前置结论</x:v>
      </x:c>
    </x:row>
    <x:row r="30" ht="43.5" customHeight="1">
      <x:c r="A30" s="5" t="str">
        <x:v>Q-029</x:v>
      </x:c>
      <x:c r="B30" s="51" t="str">
        <x:v>RQ-010</x:v>
      </x:c>
      <x:c r="C30" s="5" t="str"/>
      <x:c r="D30" s="5" t="str"/>
      <x:c r="E30" s="5" t="str">
        <x:v>部分阻塞</x:v>
      </x:c>
      <x:c r="F30" s="5" t="str">
        <x:v>用户App-直播</x:v>
      </x:c>
      <x:c r="G30" s="5" t="str">
        <x:v>密码房已配置粉丝授权可见名单，主播只修改密码</x:v>
      </x:c>
      <x:c r="H30" s="5" t="str">
        <x:v>配置和历史数据影响</x:v>
      </x:c>
      <x:c r="I30" s="39" t="str">
        <x:v>修改密码后原授权可见名单是否保留？</x:v>
      </x:c>
      <x:c r="J30" s="5" t="str">
        <x:v>A. 完整保留原名单
B. 清空名单并要求重新授权
C. 弹窗让主播选择是否保留</x:v>
      </x:c>
      <x:c r="K30" s="40" t="str">
        <x:v>建议 A；修改进房凭证不应无提示改变房间可见范围。</x:v>
      </x:c>
      <x:c r="L30" s="44" t="str"/>
      <x:c r="M30" s="44" t="str"/>
      <x:c r="N30" s="5" t="str">
        <x:v>1. 原型保存后提示“房间密码已修改”
2. prototype/assets/annotations.js 第89至91条明确正确密码进房和主播可修改为 8 位数字，但未定义修改后的生效时点</x:v>
      </x:c>
      <x:c r="O30" s="5" t="str">
        <x:v>1. 密码房授权名单
2. 直播广场可见入口</x:v>
      </x:c>
      <x:c r="P30" s="5" t="str"/>
      <x:c r="Q30" s="5" t="str">
        <x:v>1. 补充或重审：密码房已配置粉丝授权可见名单，主播只修改密码</x:v>
      </x:c>
      <x:c r="R30" s="5" t="str">
        <x:v>产品</x:v>
      </x:c>
      <x:c r="S30" s="5" t="str">
        <x:v>本轮回归前</x:v>
      </x:c>
      <x:c r="T30" s="5" t="str">
        <x:v>待确认</x:v>
      </x:c>
    </x:row>
    <x:row r="31" ht="43.5" customHeight="1">
      <x:c r="A31" s="45" t="str">
        <x:v>Q-030</x:v>
      </x:c>
      <x:c r="B31" s="49" t="str">
        <x:v>RQ-011</x:v>
      </x:c>
      <x:c r="C31" s="45" t="str"/>
      <x:c r="D31" s="45" t="str"/>
      <x:c r="E31" s="45" t="str">
        <x:v>部分阻塞</x:v>
      </x:c>
      <x:c r="F31" s="45" t="str">
        <x:v>用户App-直播</x:v>
      </x:c>
      <x:c r="G31" s="45" t="str">
        <x:v>金币扣款成功但用户没有进入门票房</x:v>
      </x:c>
      <x:c r="H31" s="45" t="str">
        <x:v>异常处理</x:v>
      </x:c>
      <x:c r="I31" s="46" t="str">
        <x:v>扣款成功但进房失败时采用哪一种补偿？</x:v>
      </x:c>
      <x:c r="J31" s="45" t="str">
        <x:v>A. 保留门票资格并提供重新进房
B. 自动退回金币并关闭订单
C. 标记异常并等待人工处理</x:v>
      </x:c>
      <x:c r="K31" s="47" t="str">
        <x:v>建议 A；门票本场可重复进入，保留资格可以避免不必要退款。</x:v>
      </x:c>
      <x:c r="L31" s="48" t="str"/>
      <x:c r="M31" s="48" t="str"/>
      <x:c r="N31" s="45" t="str">
        <x:v>1. 购票成功需要扣减金币、生成消费记录并获得本场资格
2. 资料未定义多系统部分成功的补偿</x:v>
      </x:c>
      <x:c r="O31" s="45" t="str">
        <x:v>1. 金币余额
2. 门票资格
3. 进房</x:v>
      </x:c>
      <x:c r="P31" s="45" t="str"/>
      <x:c r="Q31" s="45" t="str">
        <x:v>1. 扣款成功进房失败</x:v>
      </x:c>
      <x:c r="R31" s="45" t="str">
        <x:v>多方确认</x:v>
      </x:c>
      <x:c r="S31" s="45" t="str">
        <x:v>本轮回归前</x:v>
      </x:c>
      <x:c r="T31" s="45" t="str">
        <x:v>待确认</x:v>
      </x:c>
    </x:row>
    <x:row r="32" ht="55.5" customHeight="1">
      <x:c r="A32" s="5" t="str">
        <x:v>Q-031</x:v>
      </x:c>
      <x:c r="B32" s="51" t="str">
        <x:v>RQ-011</x:v>
      </x:c>
      <x:c r="C32" s="5" t="str"/>
      <x:c r="D32" s="5" t="str"/>
      <x:c r="E32" s="5" t="str">
        <x:v>阻塞测试</x:v>
      </x:c>
      <x:c r="F32" s="5" t="str">
        <x:v>用户App-直播</x:v>
      </x:c>
      <x:c r="G32" s="5" t="str">
        <x:v>购票订单成功但本场门票资格未生成</x:v>
      </x:c>
      <x:c r="H32" s="5" t="str">
        <x:v>异常处理</x:v>
      </x:c>
      <x:c r="I32" s="39" t="str">
        <x:v>订单成功但资格未生效时采用哪一种补偿？</x:v>
      </x:c>
      <x:c r="J32" s="5" t="str">
        <x:v>A. 自动补发本场资格
B. 自动退款并关闭订单
C. 查询后由用户选择补发或退款
D. 进入人工处理</x:v>
      </x:c>
      <x:c r="K32" s="40" t="str">
        <x:v>建议 A；订单和扣款已成功时，补发资格最符合用户原始购买目的。</x:v>
      </x:c>
      <x:c r="L32" s="44" t="str"/>
      <x:c r="M32" s="44" t="str"/>
      <x:c r="N32" s="5" t="str">
        <x:v>1. 购票成功需要扣减金币、生成消费记录并获得本场资格
2. 资料未定义多系统部分成功的补偿</x:v>
      </x:c>
      <x:c r="O32" s="5" t="str">
        <x:v>1. 购票订单
2. 本场门票资格</x:v>
      </x:c>
      <x:c r="P32" s="5" t="str"/>
      <x:c r="Q32" s="5" t="str">
        <x:v>1. 订单成功资格缺失</x:v>
      </x:c>
      <x:c r="R32" s="5" t="str">
        <x:v>多方确认</x:v>
      </x:c>
      <x:c r="S32" s="5" t="str">
        <x:v>进入对应功能测试前</x:v>
      </x:c>
      <x:c r="T32" s="5" t="str">
        <x:v>待确认</x:v>
      </x:c>
    </x:row>
    <x:row r="33" ht="55.5" customHeight="1">
      <x:c r="A33" s="5" t="str">
        <x:v>Q-032</x:v>
      </x:c>
      <x:c r="B33" s="51" t="str">
        <x:v>RQ-011</x:v>
      </x:c>
      <x:c r="C33" s="5" t="str"/>
      <x:c r="D33" s="5" t="str"/>
      <x:c r="E33" s="5" t="str">
        <x:v>部分阻塞</x:v>
      </x:c>
      <x:c r="F33" s="5" t="str">
        <x:v>用户App-直播</x:v>
      </x:c>
      <x:c r="G33" s="5" t="str">
        <x:v>支付回调重复到达或超时后迟到</x:v>
      </x:c>
      <x:c r="H33" s="5" t="str">
        <x:v>异常处理</x:v>
      </x:c>
      <x:c r="I33" s="39" t="str">
        <x:v>同一订单的支付回调重复到达，或在页面显示超时后到达时，订单应保留哪一个业务结果？</x:v>
      </x:c>
      <x:c r="J33" s="5" t="str">
        <x:v>A. 首次成功回调使订单成功一次，后续重复或迟到回调均返回该订单已有结果
B. 只接受页面超时前到达的首个回调，超时后的回调全部拒绝且订单保持超时
C. 每次成功回调都新增支付记录和观看资格</x:v>
      </x:c>
      <x:c r="K33" s="40" t="str">
        <x:v>建议 A；同一订单只形成一次扣款结果和一份观看资格。</x:v>
      </x:c>
      <x:c r="L33" s="44" t="str"/>
      <x:c r="M33" s="44" t="str"/>
      <x:c r="N33" s="5" t="str">
        <x:v>1. 购票成功需要扣减金币、生成消费记录并获得本场资格
2. 资料未定义多系统部分成功的补偿</x:v>
      </x:c>
      <x:c r="O33" s="5" t="str">
        <x:v>1. 支付回调
2. 金币余额
3. 消费流水
4. 门票资格</x:v>
      </x:c>
      <x:c r="P33" s="5" t="str"/>
      <x:c r="Q33" s="5" t="str">
        <x:v>1. 重复支付回调
2. 超时后实际成功</x:v>
      </x:c>
      <x:c r="R33" s="5" t="str">
        <x:v>技术</x:v>
      </x:c>
      <x:c r="S33" s="5" t="str">
        <x:v>本轮回归前</x:v>
      </x:c>
      <x:c r="T33" s="5" t="str">
        <x:v>待确认</x:v>
      </x:c>
    </x:row>
    <x:row r="34" ht="43.5" customHeight="1">
      <x:c r="A34" s="45" t="str">
        <x:v>Q-033</x:v>
      </x:c>
      <x:c r="B34" s="49" t="str">
        <x:v>RQ-012</x:v>
      </x:c>
      <x:c r="C34" s="45" t="str"/>
      <x:c r="D34" s="45" t="str"/>
      <x:c r="E34" s="45" t="str">
        <x:v>阻塞测试</x:v>
      </x:c>
      <x:c r="F34" s="45" t="str">
        <x:v>用户App-直播</x:v>
      </x:c>
      <x:c r="G34" s="45" t="str">
        <x:v>主播在观众用户卡点击“答谢”，页面提示已发送答谢</x:v>
      </x:c>
      <x:c r="H34" s="45" t="str">
        <x:v>业务规则</x:v>
      </x:c>
      <x:c r="I34" s="46" t="str">
        <x:v>“答谢”成功后应产生哪一种可追溯的业务结果？</x:v>
      </x:c>
      <x:c r="J34" s="45" t="str">
        <x:v>A. 仅展示成功提示，不生成消息、礼物或记录
B. 向目标观众发送一条固定答谢消息并生成消息记录
C. 向目标观众发送一个固定免费答谢道具并生成道具记录</x:v>
      </x:c>
      <x:c r="K34" s="47" t="str">
        <x:v>建议 A；与当前原型只显示成功提示的行为一致，也不会误产生礼物扣款。</x:v>
      </x:c>
      <x:c r="L34" s="48" t="str"/>
      <x:c r="M34" s="48" t="str"/>
      <x:c r="N34" s="45" t="str">
        <x:v>1. 原型点击答谢后只提示“已向【用户昵称】发送答谢”
2. 最新需求已明确不打开礼物选择面板</x:v>
      </x:c>
      <x:c r="O34" s="45" t="str">
        <x:v>1. 主播直播间用户卡
2. 观众收到的答谢内容
3. 答谢记录</x:v>
      </x:c>
      <x:c r="P34" s="45" t="str"/>
      <x:c r="Q34" s="45" t="str">
        <x:v>1. 答谢在观众端的展示与记录</x:v>
      </x:c>
      <x:c r="R34" s="45" t="str">
        <x:v>产品</x:v>
      </x:c>
      <x:c r="S34" s="45" t="str">
        <x:v>进入对应功能测试前</x:v>
      </x:c>
      <x:c r="T34" s="45" t="str">
        <x:v>待确认</x:v>
      </x:c>
    </x:row>
    <x:row r="35" ht="55.5" customHeight="1">
      <x:c r="A35" s="45" t="str">
        <x:v>Q-034</x:v>
      </x:c>
      <x:c r="B35" s="49" t="str">
        <x:v>RQ-013</x:v>
      </x:c>
      <x:c r="C35" s="45" t="str"/>
      <x:c r="D35" s="45" t="str"/>
      <x:c r="E35" s="45" t="str">
        <x:v>阻塞测试</x:v>
      </x:c>
      <x:c r="F35" s="45" t="str">
        <x:v>用户App-直播</x:v>
      </x:c>
      <x:c r="G35" s="45" t="str">
        <x:v>用户在直播间赠送幸运礼物并完成返奖后，主播查看本场收益</x:v>
      </x:c>
      <x:c r="H35" s="45" t="str">
        <x:v>计算与统计口径</x:v>
      </x:c>
      <x:c r="I35" s="46" t="str">
        <x:v>幸运礼物计入主播收益时最终采用哪一种计算规则？</x:v>
      </x:c>
      <x:c r="J35" s="45" t="str">
        <x:v>A. 主播收益等于礼物投入金币减去返奖金币
B. 主播收益等于实际消耗金币乘以后台当前配置比例，结果不足 1 金币直接舍去
C. 主播收益等于实际消耗金币乘以固定 1%，结果不足 1 金币直接舍去</x:v>
      </x:c>
      <x:c r="K35" s="47" t="str">
        <x:v>建议 B；项目需求清单和管理后台均声明比例可配置，可形成跨端可读取且可复算的唯一规则。</x:v>
      </x:c>
      <x:c r="L35" s="48" t="str"/>
      <x:c r="M35" s="48" t="str"/>
      <x:c r="N35" s="45" t="str">
        <x:v>1. context/系统概要 .md 写主播收益等于投入金币减去返奖金币
2. context/01-用户主播App-项目需求清单.md 写按用户实际消耗金币的 1% 暂定且后台可调
3. context/03-管理后台-项目需求清单.md 提供幸运礼物主播分成比例配置</x:v>
      </x:c>
      <x:c r="O35" s="45" t="str">
        <x:v>1. 用户 App / 幸运礼物赠送
2. 主播端 / 本场收益
3. 管理后台 / 幸运礼物分成比例
4. 公会和主播收益报表</x:v>
      </x:c>
      <x:c r="P35" s="45" t="str"/>
      <x:c r="Q35" s="45" t="str">
        <x:v>1. 幸运礼物主播收益计算
2. 幸运礼物收益舍去边界
3. 后台比例变更后的生效范围</x:v>
      </x:c>
      <x:c r="R35" s="45" t="str">
        <x:v>多方确认</x:v>
      </x:c>
      <x:c r="S35" s="45" t="str">
        <x:v>进入对应功能测试前</x:v>
      </x:c>
      <x:c r="T35" s="45" t="str">
        <x:v>待确认</x:v>
      </x:c>
    </x:row>
    <x:row r="36" ht="43.5" customHeight="1">
      <x:c r="A36" s="45" t="str">
        <x:v>Q-035</x:v>
      </x:c>
      <x:c r="B36" s="49" t="str">
        <x:v>RQ-014</x:v>
      </x:c>
      <x:c r="C36" s="45" t="str"/>
      <x:c r="D36" s="45" t="str"/>
      <x:c r="E36" s="45" t="str">
        <x:v>阻塞测试</x:v>
      </x:c>
      <x:c r="F36" s="45" t="str">
        <x:v>用户App-系统入口</x:v>
      </x:c>
      <x:c r="G36" s="45" t="str">
        <x:v>邮箱注册或登录时获取并填写邮箱验证码</x:v>
      </x:c>
      <x:c r="H36" s="45" t="str">
        <x:v>业务规则</x:v>
      </x:c>
      <x:c r="I36" s="46" t="str">
        <x:v>邮箱验证码的有效期和连续错误失效次数采用哪一组规则？</x:v>
      </x:c>
      <x:c r="J36" s="45" t="str">
        <x:v>A. 有效期 5 分钟，连续错误 5 次失效
B. 有效期 10 分钟，连续错误 5 次失效
C. 读取统一验证码配置作为唯一依据</x:v>
      </x:c>
      <x:c r="K36" s="47" t="str">
        <x:v>建议 A；该方案规则明确且便于形成可重复验证的边界。</x:v>
      </x:c>
      <x:c r="L36" s="48" t="str"/>
      <x:c r="M36" s="48" t="str"/>
      <x:c r="N36" s="45" t="str">
        <x:v>1. 需求明确支持邮箱验证码注册或登录
2. 当前资料只明确手机号验证码有效期和错误次数</x:v>
      </x:c>
      <x:c r="O36" s="45" t="str">
        <x:v>1. 邮箱注册
2. 邮箱验证码登录
3. 邮箱重置密码</x:v>
      </x:c>
      <x:c r="P36" s="45" t="str"/>
      <x:c r="Q36" s="45" t="str">
        <x:v>1. 邮箱验证码有效期
2. 邮箱验证码错误次数边界</x:v>
      </x:c>
      <x:c r="R36" s="45" t="str">
        <x:v>产品</x:v>
      </x:c>
      <x:c r="S36" s="45" t="str">
        <x:v>进入对应功能测试前</x:v>
      </x:c>
      <x:c r="T36" s="45" t="str">
        <x:v>待确认</x:v>
      </x:c>
    </x:row>
    <x:row r="37" ht="55.5" customHeight="1">
      <x:c r="A37" s="45" t="str">
        <x:v>Q-036</x:v>
      </x:c>
      <x:c r="B37" s="49" t="str">
        <x:v>RQ-015</x:v>
      </x:c>
      <x:c r="C37" s="45" t="str"/>
      <x:c r="D37" s="45" t="str"/>
      <x:c r="E37" s="45" t="str">
        <x:v>阻塞测试</x:v>
      </x:c>
      <x:c r="F37" s="45" t="str">
        <x:v>用户App-系统入口</x:v>
      </x:c>
      <x:c r="G37" s="45" t="str">
        <x:v>满足资产条件的用户提交账号注销申请</x:v>
      </x:c>
      <x:c r="H37" s="45" t="str">
        <x:v>业务规则</x:v>
      </x:c>
      <x:c r="I37" s="46" t="str">
        <x:v>账号注销冷静期采用哪一种时长规则？</x:v>
      </x:c>
      <x:c r="J37" s="45" t="str">
        <x:v>A. 7 个自然日
B. 15 个自然日
C. 30 个自然日
D. 读取平台账号注销配置作为唯一依据</x:v>
      </x:c>
      <x:c r="K37" s="47" t="str">
        <x:v>建议 A；该方案规则明确且便于形成可重复验证的边界。</x:v>
      </x:c>
      <x:c r="L37" s="48" t="str"/>
      <x:c r="M37" s="48" t="str"/>
      <x:c r="N37" s="45" t="str">
        <x:v>1. 需求和批注均要求进入注销冷静期
2. 当前资料未给出具体时长</x:v>
      </x:c>
      <x:c r="O37" s="45" t="str">
        <x:v>1. 账号注销提交
2. 冷静期内登录
3. 冷静期结束后的清除</x:v>
      </x:c>
      <x:c r="P37" s="45" t="str"/>
      <x:c r="Q37" s="45" t="str">
        <x:v>1. 冷静期边界
2. 冷静期撤销注销
3. 期满账号清除</x:v>
      </x:c>
      <x:c r="R37" s="45" t="str">
        <x:v>产品</x:v>
      </x:c>
      <x:c r="S37" s="45" t="str">
        <x:v>进入对应功能测试前</x:v>
      </x:c>
      <x:c r="T37" s="45" t="str">
        <x:v>待确认</x:v>
      </x:c>
    </x:row>
    <x:row r="38" ht="55.5" customHeight="1">
      <x:c r="A38" s="45" t="str">
        <x:v>Q-037</x:v>
      </x:c>
      <x:c r="B38" s="49" t="str">
        <x:v>RQ-016</x:v>
      </x:c>
      <x:c r="C38" s="45" t="str"/>
      <x:c r="D38" s="45" t="str"/>
      <x:c r="E38" s="45" t="str">
        <x:v>阻塞测试</x:v>
      </x:c>
      <x:c r="F38" s="45" t="str">
        <x:v>用户App-消息与社交</x:v>
      </x:c>
      <x:c r="G38" s="45" t="str">
        <x:v>非好友用户尝试向另一用户或主播发送私信</x:v>
      </x:c>
      <x:c r="H38" s="45" t="str">
        <x:v>业务规则</x:v>
      </x:c>
      <x:c r="I38" s="46" t="str">
        <x:v>非好友私信最终采用哪一种权限规则？</x:v>
      </x:c>
      <x:c r="J38" s="45" t="str">
        <x:v>A. 非好友最多发送 3 条私信
B. 用户私聊主播必须先成为好友，其他非好友也不可私信
C. 主播私聊用户不限，普通用户之间非好友最多 3 条，用户私聊主播必须成为好友</x:v>
      </x:c>
      <x:c r="K38" s="47" t="str">
        <x:v>建议 C；它保留两份现行规则各自明确的角色差异。</x:v>
      </x:c>
      <x:c r="L38" s="48" t="str"/>
      <x:c r="M38" s="48" t="str"/>
      <x:c r="N38" s="45" t="str">
        <x:v>1. 系统概要写非好友最多发送三条私信
2. 用户 App 需求写主播私聊用户不限，用户私聊主播需先成为好友
3. 两份规则的适用角色范围未完全一致</x:v>
      </x:c>
      <x:c r="O38" s="45" t="str">
        <x:v>1. 用户主页私信
2. 主播主页私信
3. 直播间资料卡私信
4. 一对一会话</x:v>
      </x:c>
      <x:c r="P38" s="45" t="str"/>
      <x:c r="Q38" s="45" t="str">
        <x:v>1. 非好友第 1 至第 4 条私信
2. 用户私聊主播
3. 主播私聊用户</x:v>
      </x:c>
      <x:c r="R38" s="45" t="str">
        <x:v>产品</x:v>
      </x:c>
      <x:c r="S38" s="45" t="str">
        <x:v>进入对应功能测试前</x:v>
      </x:c>
      <x:c r="T38" s="45" t="str">
        <x:v>待确认</x:v>
      </x:c>
    </x:row>
    <x:row r="39" ht="67.5" customHeight="1">
      <x:c r="A39" s="45" t="str">
        <x:v>Q-038</x:v>
      </x:c>
      <x:c r="B39" s="49" t="str">
        <x:v>RQ-017</x:v>
      </x:c>
      <x:c r="C39" s="45" t="str"/>
      <x:c r="D39" s="45" t="str"/>
      <x:c r="E39" s="45" t="str">
        <x:v>阻塞测试</x:v>
      </x:c>
      <x:c r="F39" s="45" t="str">
        <x:v>用户App-消息与社交</x:v>
      </x:c>
      <x:c r="G39" s="45" t="str">
        <x:v>用户将好友账号加入账号黑名单后再解除</x:v>
      </x:c>
      <x:c r="H39" s="45" t="str">
        <x:v>业务规则</x:v>
      </x:c>
      <x:c r="I39" s="46" t="str">
        <x:v>账号拉黑对既有好友关系最终采用哪一种处理？</x:v>
      </x:c>
      <x:c r="J39" s="45" t="str">
        <x:v>A. 拉黑立即解除好友关系，解除拉黑后不恢复
B. 拉黑保留好友关系但暂时不可用，解除后恢复资格</x:v>
      </x:c>
      <x:c r="K39" s="47" t="str">
        <x:v>建议 A；系统概要覆盖账号关系的完整后果，但需产品确认批注是否应同步修正。</x:v>
      </x:c>
      <x:c r="L39" s="48" t="str"/>
      <x:c r="M39" s="48" t="str"/>
      <x:c r="N39" s="45" t="str">
        <x:v>1. 系统概要写拉黑解除粉丝、关注、好友和粉丝团关系且取消后不恢复
2. 聊天设置批注写已有好友关系保留但不可用，解除后恢复资格</x:v>
      </x:c>
      <x:c r="O39" s="45" t="str">
        <x:v>1. 用户主页
2. 聊天设置
3. 好友列表
4. 互动通知
5. 私信会话</x:v>
      </x:c>
      <x:c r="P39" s="45" t="str"/>
      <x:c r="Q39" s="45" t="str">
        <x:v>1. 拉黑后的好友关系
2. 解除拉黑后的好友关系
3. 好友列表回显</x:v>
      </x:c>
      <x:c r="R39" s="45" t="str">
        <x:v>产品</x:v>
      </x:c>
      <x:c r="S39" s="45" t="str">
        <x:v>进入对应功能测试前</x:v>
      </x:c>
      <x:c r="T39" s="45" t="str">
        <x:v>待确认</x:v>
      </x:c>
    </x:row>
    <x:row r="40" ht="55.5" customHeight="1">
      <x:c r="A40" s="45" t="str">
        <x:v>Q-039</x:v>
      </x:c>
      <x:c r="B40" s="49" t="str">
        <x:v>RQ-018</x:v>
      </x:c>
      <x:c r="C40" s="45" t="str"/>
      <x:c r="D40" s="45" t="str"/>
      <x:c r="E40" s="45" t="str">
        <x:v>阻塞测试</x:v>
      </x:c>
      <x:c r="F40" s="45" t="str">
        <x:v>用户App-公会关系</x:v>
      </x:c>
      <x:c r="G40" s="45" t="str">
        <x:v>用户填写入会申请并上传认证材料</x:v>
      </x:c>
      <x:c r="H40" s="45" t="str">
        <x:v>字段与数据校验</x:v>
      </x:c>
      <x:c r="I40" s="46" t="str">
        <x:v>入会申请的材料必填范围、文件类型和大小限制采用哪一种规则？</x:v>
      </x:c>
      <x:c r="J40" s="45" t="str">
        <x:v>A. 姓名、手机号、人像、证件正反面全部必填，并按产品给出文件限制
B. 姓名和手机号必填，认证图片允许后补
C. 读取后台认证材料配置作为唯一依据</x:v>
      </x:c>
      <x:c r="K40" s="47" t="str">
        <x:v>建议 A；该方案规则明确且便于形成可重复验证的边界。</x:v>
      </x:c>
      <x:c r="L40" s="48" t="str"/>
      <x:c r="M40" s="48" t="str"/>
      <x:c r="N40" s="45" t="str">
        <x:v>1. 原型展示姓名、手机号、人像和证件正反面上传
2. 当前资料未完整定义必填标识、类型和大小</x:v>
      </x:c>
      <x:c r="O40" s="45" t="str">
        <x:v>1. 入会申请表
2. 主播认证审核
3. 材料重提</x:v>
      </x:c>
      <x:c r="P40" s="45" t="str"/>
      <x:c r="Q40" s="45" t="str">
        <x:v>1. 字段必填
2. 图片类型
3. 图片大小
4. 缺失材料提交</x:v>
      </x:c>
      <x:c r="R40" s="45" t="str">
        <x:v>产品</x:v>
      </x:c>
      <x:c r="S40" s="45" t="str">
        <x:v>进入对应功能测试前</x:v>
      </x:c>
      <x:c r="T40" s="45" t="str">
        <x:v>待确认</x:v>
      </x:c>
    </x:row>
    <x:row r="41" ht="43.5" customHeight="1">
      <x:c r="A41" s="45" t="str">
        <x:v>Q-040</x:v>
      </x:c>
      <x:c r="B41" s="49" t="str">
        <x:v>RQ-019</x:v>
      </x:c>
      <x:c r="C41" s="45" t="str"/>
      <x:c r="D41" s="45" t="str"/>
      <x:c r="E41" s="45" t="str">
        <x:v>阻塞测试</x:v>
      </x:c>
      <x:c r="F41" s="45" t="str">
        <x:v>用户App-主播中心</x:v>
      </x:c>
      <x:c r="G41" s="45" t="str">
        <x:v>主播查看直播数据中的观众人次和送礼人数</x:v>
      </x:c>
      <x:c r="H41" s="45" t="str">
        <x:v>计算与统计口径</x:v>
      </x:c>
      <x:c r="I41" s="46" t="str">
        <x:v>观众人次与送礼人数的去重口径采用哪一种？</x:v>
      </x:c>
      <x:c r="J41" s="45" t="str">
        <x:v>A. 观众人次不去重，送礼人数按用户去重
B. 两项均按用户去重
C. 两项均按场次累计不去重</x:v>
      </x:c>
      <x:c r="K41" s="47" t="str">
        <x:v>建议 A；该方案规则明确且便于形成可重复验证的边界。</x:v>
      </x:c>
      <x:c r="L41" s="48" t="str"/>
      <x:c r="M41" s="48" t="str"/>
      <x:c r="N41" s="45" t="str">
        <x:v>1. 需求列出观众人次和送礼人数指标
2. 当前资料未完整定义跨场次去重口径</x:v>
      </x:c>
      <x:c r="O41" s="45" t="str">
        <x:v>1. 主播中心本月数据
2. 直播数据日/月汇总
3. 公会和后台报表对账</x:v>
      </x:c>
      <x:c r="P41" s="45" t="str"/>
      <x:c r="Q41" s="45" t="str">
        <x:v>1. 单场去重
2. 跨场次去重
3. 日月汇总</x:v>
      </x:c>
      <x:c r="R41" s="45" t="str">
        <x:v>多方确认</x:v>
      </x:c>
      <x:c r="S41" s="45" t="str">
        <x:v>进入对应功能测试前</x:v>
      </x:c>
      <x:c r="T41" s="45" t="str">
        <x:v>待确认</x:v>
      </x:c>
    </x:row>
    <x:row r="42" ht="67.5" customHeight="1">
      <x:c r="A42" s="45" t="str">
        <x:v>Q-041</x:v>
      </x:c>
      <x:c r="B42" s="49" t="str">
        <x:v>RQ-020</x:v>
      </x:c>
      <x:c r="C42" s="45" t="str"/>
      <x:c r="D42" s="45" t="str"/>
      <x:c r="E42" s="45" t="str">
        <x:v>阻塞测试</x:v>
      </x:c>
      <x:c r="F42" s="45" t="str">
        <x:v>用户App-主播中心</x:v>
      </x:c>
      <x:c r="G42" s="45" t="str">
        <x:v>主播从收益页进入银行卡或提现填写页面</x:v>
      </x:c>
      <x:c r="H42" s="45" t="str">
        <x:v>需求范围</x:v>
      </x:c>
      <x:c r="I42" s="46" t="str">
        <x:v>当前版本是否启用主播线上绑卡和提现申请流程？</x:v>
      </x:c>
      <x:c r="J42" s="45" t="str">
        <x:v>A. 启用线上绑卡和提现申请，由后台审核后线下打款
B. 不启用线上流程，仅展示收益和线下结算记录
C. 仅灰度开放给指定主播</x:v>
      </x:c>
      <x:c r="K42" s="47" t="str">
        <x:v>建议 A；当前项目说明和完整原型链路均支持线上发起，但必须统一现行需求文件。</x:v>
      </x:c>
      <x:c r="L42" s="48" t="str"/>
      <x:c r="M42" s="48" t="str"/>
      <x:c r="N42" s="45" t="str">
        <x:v>1. 项目说明写主播在线发起提现申请、后台审核、财务线下打款
2. 系统概要和用户 App 需求写系统不提供线上申请或审批且主播端仅展示记录
3. 原型包含我的银行卡、添加银行卡和提现填写页面</x:v>
      </x:c>
      <x:c r="O42" s="45" t="str">
        <x:v>1. 收益页
2. 银行卡
3. 提现填写
4. 后台提现审核
5. 主播余额</x:v>
      </x:c>
      <x:c r="P42" s="45" t="str"/>
      <x:c r="Q42" s="45" t="str">
        <x:v>1. 绑卡
2. 移除银行卡
3. 提现金额边界
4. 提现提交和状态</x:v>
      </x:c>
      <x:c r="R42" s="45" t="str">
        <x:v>多方确认</x:v>
      </x:c>
      <x:c r="S42" s="45" t="str">
        <x:v>进入对应功能测试前</x:v>
      </x:c>
      <x:c r="T42" s="45" t="str">
        <x:v>待确认</x:v>
      </x:c>
    </x:row>
    <x:row r="43" ht="55.5" customHeight="1">
      <x:c r="A43" s="45" t="str">
        <x:v>Q-042</x:v>
      </x:c>
      <x:c r="B43" s="49" t="str">
        <x:v>RQ-021</x:v>
      </x:c>
      <x:c r="C43" s="45" t="str"/>
      <x:c r="D43" s="45" t="str"/>
      <x:c r="E43" s="45" t="str">
        <x:v>阻塞测试</x:v>
      </x:c>
      <x:c r="F43" s="45" t="str">
        <x:v>用户App-钱包与账单</x:v>
      </x:c>
      <x:c r="G43" s="45" t="str">
        <x:v>用户创建充值订单后等待支付</x:v>
      </x:c>
      <x:c r="H43" s="45" t="str">
        <x:v>业务规则</x:v>
      </x:c>
      <x:c r="I43" s="46" t="str">
        <x:v>充值订单支付倒计时采用多长时间？</x:v>
      </x:c>
      <x:c r="J43" s="45" t="str">
        <x:v>A. 10 分钟
B. 15 分钟
C. 30 分钟
D. 读取支付渠道返回的超时时间作为唯一依据</x:v>
      </x:c>
      <x:c r="K43" s="47" t="str">
        <x:v>建议 A；该方案规则明确且便于形成可重复验证的边界。</x:v>
      </x:c>
      <x:c r="L43" s="48" t="str"/>
      <x:c r="M43" s="48" t="str"/>
      <x:c r="N43" s="45" t="str">
        <x:v>1. 需求要求 H5 充值订单支付倒计时
2. 原型批注存在超时自动取消状态
3. 当前资料未给出具体时长</x:v>
      </x:c>
      <x:c r="O43" s="45" t="str">
        <x:v>1. 充值页
2. 充值订单详情
3. 支付回调</x:v>
      </x:c>
      <x:c r="P43" s="45" t="str"/>
      <x:c r="Q43" s="45" t="str">
        <x:v>1. 倒计时边界
2. 超时取消
3. 超时回调</x:v>
      </x:c>
      <x:c r="R43" s="45" t="str">
        <x:v>多方确认</x:v>
      </x:c>
      <x:c r="S43" s="45" t="str">
        <x:v>进入对应功能测试前</x:v>
      </x:c>
      <x:c r="T43" s="45" t="str">
        <x:v>待确认</x:v>
      </x:c>
    </x:row>
    <x:row r="44" ht="43.5" customHeight="1">
      <x:c r="A44" s="45" t="str">
        <x:v>Q-043</x:v>
      </x:c>
      <x:c r="B44" s="49" t="str">
        <x:v>RQ-022</x:v>
      </x:c>
      <x:c r="C44" s="45" t="str"/>
      <x:c r="D44" s="45" t="str"/>
      <x:c r="E44" s="45" t="str">
        <x:v>部分阻塞</x:v>
      </x:c>
      <x:c r="F44" s="45" t="str">
        <x:v>用户App-直播</x:v>
      </x:c>
      <x:c r="G44" s="45" t="str">
        <x:v>关注主播存在多个同时在播房间</x:v>
      </x:c>
      <x:c r="H44" s="45" t="str">
        <x:v>业务规则</x:v>
      </x:c>
      <x:c r="I44" s="46" t="str">
        <x:v>关注直播列表采用哪一种排序规则？</x:v>
      </x:c>
      <x:c r="J44" s="45" t="str">
        <x:v>A. 沿用热门直播排序规则
B. 按开播时间倒序，开播时间相同按直播间编号升序
C. 按测试环境可读取的关注直播权重配置倒序，权重相同按开播时间倒序</x:v>
      </x:c>
      <x:c r="K44" s="47" t="str">
        <x:v>建议 A；复用现有口径可以减少新增排序规则和跨页面差异。</x:v>
      </x:c>
      <x:c r="L44" s="48" t="str"/>
      <x:c r="M44" s="48" t="str"/>
      <x:c r="N44" s="45" t="str">
        <x:v>1. 项目需求清单写明热门、新人、关注 3 个 Tab
2. 静态原型仅有热门、新人 Tab，关注主播位于顶部独立区域</x:v>
      </x:c>
      <x:c r="O44" s="45" t="str">
        <x:v>1. 关注直播列表
2. 直播广场排序</x:v>
      </x:c>
      <x:c r="P44" s="45" t="str"/>
      <x:c r="Q44" s="45" t="str">
        <x:v>1. 关注直播多房间排序</x:v>
      </x:c>
      <x:c r="R44" s="45" t="str">
        <x:v>产品</x:v>
      </x:c>
      <x:c r="S44" s="45" t="str">
        <x:v>本轮回归前</x:v>
      </x:c>
      <x:c r="T44" s="45" t="str">
        <x:v>待确认</x:v>
      </x:c>
    </x:row>
    <x:row r="45" ht="43.5" customHeight="1">
      <x:c r="A45" s="5" t="str">
        <x:v>Q-044</x:v>
      </x:c>
      <x:c r="B45" s="51" t="str">
        <x:v>RQ-022</x:v>
      </x:c>
      <x:c r="C45" s="5" t="str"/>
      <x:c r="D45" s="5" t="str"/>
      <x:c r="E45" s="5" t="str">
        <x:v>不阻塞</x:v>
      </x:c>
      <x:c r="F45" s="5" t="str">
        <x:v>用户App-直播</x:v>
      </x:c>
      <x:c r="G45" s="5" t="str">
        <x:v>用户没有任何已关注且正在直播的主播</x:v>
      </x:c>
      <x:c r="H45" s="5" t="str">
        <x:v>交互与文案规则</x:v>
      </x:c>
      <x:c r="I45" s="39" t="str">
        <x:v>关注直播为空时页面采用哪一种展示方式？</x:v>
      </x:c>
      <x:c r="J45" s="5" t="str">
        <x:v>A. 展示空态并提供发现主播入口
B. 展示空态且不提供跳转
C. 直接展示平台推荐直播</x:v>
      </x:c>
      <x:c r="K45" s="40" t="str">
        <x:v>建议 A；既说明当前没有关注直播，也保留可继续浏览的路径。</x:v>
      </x:c>
      <x:c r="L45" s="44" t="str"/>
      <x:c r="M45" s="44" t="str"/>
      <x:c r="N45" s="5" t="str">
        <x:v>1. 项目需求清单写明热门、新人、关注 3 个 Tab
2. 静态原型仅有热门、新人 Tab，关注主播位于顶部独立区域</x:v>
      </x:c>
      <x:c r="O45" s="5" t="str">
        <x:v>1. 关注直播空态</x:v>
      </x:c>
      <x:c r="P45" s="5" t="str"/>
      <x:c r="Q45" s="5" t="str">
        <x:v>1. 关注直播空态
2. 空态操作入口</x:v>
      </x:c>
      <x:c r="R45" s="5" t="str">
        <x:v>多方确认</x:v>
      </x:c>
      <x:c r="S45" s="5" t="str">
        <x:v>版本验收前</x:v>
      </x:c>
      <x:c r="T45" s="5" t="str">
        <x:v>待确认</x:v>
      </x:c>
    </x:row>
    <x:row r="46" ht="55.5" customHeight="1">
      <x:c r="A46" s="45" t="str">
        <x:v>Q-045</x:v>
      </x:c>
      <x:c r="B46" s="49" t="str">
        <x:v>RQ-023</x:v>
      </x:c>
      <x:c r="C46" s="45" t="str"/>
      <x:c r="D46" s="45" t="str"/>
      <x:c r="E46" s="45" t="str">
        <x:v>部分阻塞</x:v>
      </x:c>
      <x:c r="F46" s="45" t="str">
        <x:v>用户App-直播</x:v>
      </x:c>
      <x:c r="G46" s="45" t="str">
        <x:v>主播开播前选择直播清晰度</x:v>
      </x:c>
      <x:c r="H46" s="45" t="str">
        <x:v>业务规则</x:v>
      </x:c>
      <x:c r="I46" s="46" t="str">
        <x:v>主播开播前可选择哪一组清晰度档位，页面默认选中哪一档？</x:v>
      </x:c>
      <x:c r="J46" s="45" t="str">
        <x:v>A. 低清、标准、高清三档，默认标准
B. 标清、高清、超清、自动四档，默认自动
C. 档位名称和唯一默认值均以测试环境可读取的后台配置为准
D. 当前版本不提供开播前清晰度选择</x:v>
      </x:c>
      <x:c r="K46" s="47" t="str">
        <x:v>建议 C；配置是唯一判断依据时，产品选定方案后即可按测试环境实际配置准备用例。</x:v>
      </x:c>
      <x:c r="L46" s="48" t="str"/>
      <x:c r="M46" s="48" t="str"/>
      <x:c r="N46" s="45" t="str">
        <x:v>1. 项目需求要求开播前和观看中支持多档清晰度
2. 当前开播设置原型未展示清晰度控件</x:v>
      </x:c>
      <x:c r="O46" s="45" t="str">
        <x:v>1. 开播设置
2. 推流参数</x:v>
      </x:c>
      <x:c r="P46" s="45" t="str"/>
      <x:c r="Q46" s="45" t="str">
        <x:v>1. 开播清晰度档位
2. 默认清晰度</x:v>
      </x:c>
      <x:c r="R46" s="45" t="str">
        <x:v>多方确认</x:v>
      </x:c>
      <x:c r="S46" s="45" t="str">
        <x:v>本轮回归前</x:v>
      </x:c>
      <x:c r="T46" s="45" t="str">
        <x:v>待确认</x:v>
      </x:c>
    </x:row>
    <x:row r="47" ht="43.5" customHeight="1">
      <x:c r="A47" s="5" t="str">
        <x:v>Q-046</x:v>
      </x:c>
      <x:c r="B47" s="51" t="str">
        <x:v>RQ-023</x:v>
      </x:c>
      <x:c r="C47" s="5" t="str"/>
      <x:c r="D47" s="5" t="str"/>
      <x:c r="E47" s="5" t="str">
        <x:v>部分阻塞</x:v>
      </x:c>
      <x:c r="F47" s="5" t="str">
        <x:v>用户App-直播</x:v>
      </x:c>
      <x:c r="G47" s="5" t="str">
        <x:v>直播中网络质量发生变化</x:v>
      </x:c>
      <x:c r="H47" s="5" t="str">
        <x:v>流程与状态</x:v>
      </x:c>
      <x:c r="I47" s="39" t="str">
        <x:v>网络变化时清晰度是否自动切换？</x:v>
      </x:c>
      <x:c r="J47" s="5" t="str">
        <x:v>A. 自动降级且网络恢复后自动升级
B. 仅自动降级，恢复由用户选择
C. 始终由用户手动切换</x:v>
      </x:c>
      <x:c r="K47" s="40" t="str">
        <x:v>建议 B；优先保证播放连续性，同时避免恢复时频繁自动切换。</x:v>
      </x:c>
      <x:c r="L47" s="44" t="str"/>
      <x:c r="M47" s="44" t="str"/>
      <x:c r="N47" s="5" t="str">
        <x:v>1. 项目需求要求开播前和观看中支持多档清晰度
2. 当前开播设置原型未展示清晰度控件</x:v>
      </x:c>
      <x:c r="O47" s="5" t="str">
        <x:v>1. 观看中清晰度切换
2. 断流恢复</x:v>
      </x:c>
      <x:c r="P47" s="5" t="str"/>
      <x:c r="Q47" s="5" t="str">
        <x:v>1. 补充或重审：直播中网络质量发生变化</x:v>
      </x:c>
      <x:c r="R47" s="5" t="str">
        <x:v>多方确认</x:v>
      </x:c>
      <x:c r="S47" s="5" t="str">
        <x:v>本轮回归前</x:v>
      </x:c>
      <x:c r="T47" s="5" t="str">
        <x:v>待确认</x:v>
      </x:c>
    </x:row>
    <x:row r="48" ht="43.5" customHeight="1">
      <x:c r="A48" s="45" t="str">
        <x:v>Q-047</x:v>
      </x:c>
      <x:c r="B48" s="49" t="str">
        <x:v>RQ-024</x:v>
      </x:c>
      <x:c r="C48" s="45" t="str"/>
      <x:c r="D48" s="45" t="str"/>
      <x:c r="E48" s="45" t="str">
        <x:v>部分阻塞</x:v>
      </x:c>
      <x:c r="F48" s="45" t="str">
        <x:v>用户App-直播</x:v>
      </x:c>
      <x:c r="G48" s="45" t="str">
        <x:v>同一举报人短时间内重复提交举报</x:v>
      </x:c>
      <x:c r="H48" s="45" t="str">
        <x:v>业务规则</x:v>
      </x:c>
      <x:c r="I48" s="46" t="str">
        <x:v>同一举报人对同一直播对象重复举报时，允许再次提交的时间边界是什么？</x:v>
      </x:c>
      <x:c r="J48" s="45" t="str">
        <x:v>A. 首次提交后 10 分钟内不允许再次提交，10 分钟后可重新提交
B. 同一自然日只允许提交一次，次日 00:00 后可重新提交
C. 不限制提交次数，每次点击提交都创建一条举报记录</x:v>
      </x:c>
      <x:c r="K48" s="47" t="str">
        <x:v>建议 A；能减少同一事件的短时重复记录，同时保留后续重新举报入口。</x:v>
      </x:c>
      <x:c r="L48" s="48" t="str"/>
      <x:c r="M48" s="48" t="str"/>
      <x:c r="N48" s="45" t="str">
        <x:v>1. 原型支持五类举报原因和 200 字补充说明
2. 需求只说明举报联动后台审核处置</x:v>
      </x:c>
      <x:c r="O48" s="45" t="str">
        <x:v>1. 直播间举报
2. 用户举报</x:v>
      </x:c>
      <x:c r="P48" s="45" t="str"/>
      <x:c r="Q48" s="45" t="str">
        <x:v>1. 重复举报频控</x:v>
      </x:c>
      <x:c r="R48" s="45" t="str">
        <x:v>产品</x:v>
      </x:c>
      <x:c r="S48" s="45" t="str">
        <x:v>本轮回归前</x:v>
      </x:c>
      <x:c r="T48" s="45" t="str">
        <x:v>待确认</x:v>
      </x:c>
    </x:row>
    <x:row r="49" ht="43.5" customHeight="1">
      <x:c r="A49" s="5" t="str">
        <x:v>Q-048</x:v>
      </x:c>
      <x:c r="B49" s="51" t="str">
        <x:v>RQ-024</x:v>
      </x:c>
      <x:c r="C49" s="5" t="str"/>
      <x:c r="D49" s="5" t="str"/>
      <x:c r="E49" s="5" t="str">
        <x:v>部分阻塞</x:v>
      </x:c>
      <x:c r="F49" s="5" t="str">
        <x:v>用户App-直播</x:v>
      </x:c>
      <x:c r="G49" s="5" t="str">
        <x:v>同一用户对同一对象重复举报</x:v>
      </x:c>
      <x:c r="H49" s="5" t="str">
        <x:v>流程与状态</x:v>
      </x:c>
      <x:c r="I49" s="39" t="str">
        <x:v>重复举报记录采用哪一种合并方式？</x:v>
      </x:c>
      <x:c r="J49" s="5" t="str">
        <x:v>A. 合并到原工单并累计次数
B. 每次生成独立工单
C. 拒绝重复举报且不新增记录</x:v>
      </x:c>
      <x:c r="K49" s="40" t="str">
        <x:v>建议 A；后台可以看到举报热度，又不会产生大量重复工单。</x:v>
      </x:c>
      <x:c r="L49" s="44" t="str"/>
      <x:c r="M49" s="44" t="str"/>
      <x:c r="N49" s="5" t="str">
        <x:v>1. 原型支持五类举报原因和 200 字补充说明
2. 需求只说明举报联动后台审核处置</x:v>
      </x:c>
      <x:c r="O49" s="5" t="str">
        <x:v>1. 举报工单
2. 后台审核</x:v>
      </x:c>
      <x:c r="P49" s="5" t="str"/>
      <x:c r="Q49" s="5" t="str">
        <x:v>1. 重复举报记录</x:v>
      </x:c>
      <x:c r="R49" s="5" t="str">
        <x:v>多方确认</x:v>
      </x:c>
      <x:c r="S49" s="5" t="str">
        <x:v>本轮回归前</x:v>
      </x:c>
      <x:c r="T49" s="5" t="str">
        <x:v>待确认</x:v>
      </x:c>
    </x:row>
    <x:row r="50" ht="43.5" customHeight="1">
      <x:c r="A50" s="5" t="str">
        <x:v>Q-049</x:v>
      </x:c>
      <x:c r="B50" s="51" t="str">
        <x:v>RQ-024</x:v>
      </x:c>
      <x:c r="C50" s="5" t="str"/>
      <x:c r="D50" s="5" t="str"/>
      <x:c r="E50" s="5" t="str">
        <x:v>不阻塞</x:v>
      </x:c>
      <x:c r="F50" s="5" t="str">
        <x:v>用户App-直播</x:v>
      </x:c>
      <x:c r="G50" s="5" t="str">
        <x:v>举报人需要补充文字之外的证据</x:v>
      </x:c>
      <x:c r="H50" s="5" t="str">
        <x:v>需求范围</x:v>
      </x:c>
      <x:c r="I50" s="39" t="str">
        <x:v>当前版本举报是否支持上传附件？</x:v>
      </x:c>
      <x:c r="J50" s="5" t="str">
        <x:v>A. 当前版本不支持附件
B. 支持图片附件
C. 支持图片和视频附件</x:v>
      </x:c>
      <x:c r="K50" s="40" t="str">
        <x:v>建议 A；当前原型没有附件入口，可将附件能力作为后续独立需求。</x:v>
      </x:c>
      <x:c r="L50" s="44" t="str"/>
      <x:c r="M50" s="44" t="str"/>
      <x:c r="N50" s="5" t="str">
        <x:v>1. 原型支持五类举报原因和 200 字补充说明
2. 需求只说明举报联动后台审核处置</x:v>
      </x:c>
      <x:c r="O50" s="5" t="str">
        <x:v>1. 举报表单
2. 举报证据</x:v>
      </x:c>
      <x:c r="P50" s="5" t="str"/>
      <x:c r="Q50" s="5" t="str">
        <x:v>1. 举报附件入口和上传</x:v>
      </x:c>
      <x:c r="R50" s="5" t="str">
        <x:v>产品</x:v>
      </x:c>
      <x:c r="S50" s="5" t="str">
        <x:v>版本验收前</x:v>
      </x:c>
      <x:c r="T50" s="5" t="str">
        <x:v>待确认</x:v>
      </x:c>
    </x:row>
    <x:row r="51" ht="43.5" customHeight="1">
      <x:c r="A51" s="45" t="str">
        <x:v>Q-050</x:v>
      </x:c>
      <x:c r="B51" s="49" t="str">
        <x:v>RQ-025</x:v>
      </x:c>
      <x:c r="C51" s="45" t="str"/>
      <x:c r="D51" s="45" t="str"/>
      <x:c r="E51" s="45" t="str">
        <x:v>部分阻塞</x:v>
      </x:c>
      <x:c r="F51" s="45" t="str">
        <x:v>用户App-直播</x:v>
      </x:c>
      <x:c r="G51" s="45" t="str">
        <x:v>主播从本地选择直播封面文件</x:v>
      </x:c>
      <x:c r="H51" s="45" t="str">
        <x:v>字段与数据校验</x:v>
      </x:c>
      <x:c r="I51" s="46" t="str">
        <x:v>主播上传直播封面时，允许的文件格式和单个文件大小上限采用哪一组完整规则？</x:v>
      </x:c>
      <x:c r="J51" s="45" t="str">
        <x:v>A. 仅 JPG、PNG，单个文件不超过 5 MB
B. 支持 JPG、PNG、WebP，单个文件不超过 10 MB
C. 文件格式和大小上限均以测试环境可读取的后台配置为准</x:v>
      </x:c>
      <x:c r="K51" s="47" t="str">
        <x:v>建议 A；候选格式常见且大小边界明确，选中后可以直接形成等价类和边界用例。</x:v>
      </x:c>
      <x:c r="L51" s="48" t="str"/>
      <x:c r="M51" s="48" t="str"/>
      <x:c r="N51" s="45" t="str">
        <x:v>1. 需求要求设置直播封面
2. 静态原型只限制 image/*，没有业务校验</x:v>
      </x:c>
      <x:c r="O51" s="45" t="str">
        <x:v>1. 开播封面上传</x:v>
      </x:c>
      <x:c r="P51" s="45" t="str"/>
      <x:c r="Q51" s="45" t="str">
        <x:v>1. 封面格式和大小边界</x:v>
      </x:c>
      <x:c r="R51" s="45" t="str">
        <x:v>多方确认</x:v>
      </x:c>
      <x:c r="S51" s="45" t="str">
        <x:v>本轮回归前</x:v>
      </x:c>
      <x:c r="T51" s="45" t="str">
        <x:v>待确认</x:v>
      </x:c>
    </x:row>
    <x:row r="52" ht="55.5" customHeight="1">
      <x:c r="A52" s="5" t="str">
        <x:v>Q-051</x:v>
      </x:c>
      <x:c r="B52" s="51" t="str">
        <x:v>RQ-025</x:v>
      </x:c>
      <x:c r="C52" s="5" t="str"/>
      <x:c r="D52" s="5" t="str"/>
      <x:c r="E52" s="5" t="str">
        <x:v>部分阻塞</x:v>
      </x:c>
      <x:c r="F52" s="5" t="str">
        <x:v>用户App-直播</x:v>
      </x:c>
      <x:c r="G52" s="5" t="str">
        <x:v>主播上传不同尺寸或比例的直播封面</x:v>
      </x:c>
      <x:c r="H52" s="5" t="str">
        <x:v>业务规则</x:v>
      </x:c>
      <x:c r="I52" s="39" t="str">
        <x:v>不符合目标比例的封面采用哪一种处理？</x:v>
      </x:c>
      <x:c r="J52" s="5" t="str">
        <x:v>A. 进入裁剪页后保存
B. 自动居中裁剪
C. 拒绝上传并提示目标比例
D. 保持原图比例展示</x:v>
      </x:c>
      <x:c r="K52" s="40" t="str">
        <x:v>建议 A；主播可以确认最终展示区域，减少关键内容被自动截断。</x:v>
      </x:c>
      <x:c r="L52" s="44" t="str"/>
      <x:c r="M52" s="44" t="str"/>
      <x:c r="N52" s="5" t="str">
        <x:v>1. 需求要求设置直播封面
2. 静态原型只限制 image/*，没有业务校验</x:v>
      </x:c>
      <x:c r="O52" s="5" t="str">
        <x:v>1. 封面尺寸
2. 封面裁剪</x:v>
      </x:c>
      <x:c r="P52" s="5" t="str"/>
      <x:c r="Q52" s="5" t="str">
        <x:v>1. 封面尺寸和比例</x:v>
      </x:c>
      <x:c r="R52" s="5" t="str">
        <x:v>多方确认</x:v>
      </x:c>
      <x:c r="S52" s="5" t="str">
        <x:v>本轮回归前</x:v>
      </x:c>
      <x:c r="T52" s="5" t="str">
        <x:v>待确认</x:v>
      </x:c>
    </x:row>
    <x:row r="53" ht="43.5" customHeight="1">
      <x:c r="A53" s="5" t="str">
        <x:v>Q-052</x:v>
      </x:c>
      <x:c r="B53" s="51" t="str">
        <x:v>RQ-025</x:v>
      </x:c>
      <x:c r="C53" s="5" t="str"/>
      <x:c r="D53" s="5" t="str"/>
      <x:c r="E53" s="5" t="str">
        <x:v>部分阻塞</x:v>
      </x:c>
      <x:c r="F53" s="5" t="str">
        <x:v>用户App-直播</x:v>
      </x:c>
      <x:c r="G53" s="5" t="str">
        <x:v>直播封面命中内容审核规则</x:v>
      </x:c>
      <x:c r="H53" s="5" t="str">
        <x:v>流程与状态</x:v>
      </x:c>
      <x:c r="I53" s="39" t="str">
        <x:v>封面审核不通过时采用哪一种业务结果？</x:v>
      </x:c>
      <x:c r="J53" s="5" t="str">
        <x:v>A. 不允许开播并要求更换封面
B. 使用平台默认封面继续开播
C. 允许开播后进入人工审核</x:v>
      </x:c>
      <x:c r="K53" s="40" t="str">
        <x:v>建议 A；违规封面不会先进入直播广场。</x:v>
      </x:c>
      <x:c r="L53" s="44" t="str"/>
      <x:c r="M53" s="44" t="str"/>
      <x:c r="N53" s="5" t="str">
        <x:v>1. 需求要求设置直播封面
2. 静态原型只限制 image/*，没有业务校验</x:v>
      </x:c>
      <x:c r="O53" s="5" t="str">
        <x:v>1. 封面审核
2. 开始直播</x:v>
      </x:c>
      <x:c r="P53" s="5" t="str"/>
      <x:c r="Q53" s="5" t="str">
        <x:v>1. 封面审核失败
2. 开播拦截</x:v>
      </x:c>
      <x:c r="R53" s="5" t="str">
        <x:v>产品</x:v>
      </x:c>
      <x:c r="S53" s="5" t="str">
        <x:v>本轮回归前</x:v>
      </x:c>
      <x:c r="T53" s="5" t="str">
        <x:v>待确认</x:v>
      </x:c>
    </x:row>
    <x:row r="54" ht="43.5" customHeight="1">
      <x:c r="A54" s="45" t="str">
        <x:v>Q-053</x:v>
      </x:c>
      <x:c r="B54" s="49" t="str">
        <x:v>RQ-026</x:v>
      </x:c>
      <x:c r="C54" s="45" t="str"/>
      <x:c r="D54" s="45" t="str"/>
      <x:c r="E54" s="45" t="str">
        <x:v>部分阻塞</x:v>
      </x:c>
      <x:c r="F54" s="45" t="str">
        <x:v>用户App-直播</x:v>
      </x:c>
      <x:c r="G54" s="45" t="str">
        <x:v>主播或房管成功禁言目标观众后，目标观众仍停留在直播间并准备发送评论</x:v>
      </x:c>
      <x:c r="H54" s="45" t="str">
        <x:v>跨端与跨模块一致性</x:v>
      </x:c>
      <x:c r="I54" s="46" t="str">
        <x:v>禁言成功后，目标观众端从哪个动作开始不能发送评论？</x:v>
      </x:c>
      <x:c r="J54" s="45" t="str">
        <x:v>A. 目标观众下一次点击发送时被拒绝，并在拒绝后显示禁言状态
B. 目标观众无需操作即显示禁言状态，下一次点击发送前已不可发送
C. 目标观众重新进入直播间后才显示禁言状态并不可发送</x:v>
      </x:c>
      <x:c r="K54" s="47" t="str">
        <x:v>建议 B；管理操作成功后，目标观众无需先发送一条失败评论就能看到限制。</x:v>
      </x:c>
      <x:c r="L54" s="48" t="str"/>
      <x:c r="M54" s="48" t="str"/>
      <x:c r="N54" s="45" t="str">
        <x:v>1. 需求明确禁言、踢出、拉黑和房管变更的业务作用域
2. 原型展示主播或房管侧操作入口</x:v>
      </x:c>
      <x:c r="O54" s="45" t="str">
        <x:v>1. 被禁言观众的评论输入区
2. 被禁言观众的发送动作
3. 主播和房管查看的观众管理状态</x:v>
      </x:c>
      <x:c r="P54" s="45" t="str"/>
      <x:c r="Q54" s="45" t="str">
        <x:v>1. 补充或重审：主播或房管成功禁言目标观众后，目标观众仍停留在直播间并准备发送评论</x:v>
      </x:c>
      <x:c r="R54" s="45" t="str">
        <x:v>多方确认</x:v>
      </x:c>
      <x:c r="S54" s="45" t="str">
        <x:v>本轮回归前</x:v>
      </x:c>
      <x:c r="T54" s="45" t="str">
        <x:v>待确认</x:v>
      </x:c>
    </x:row>
    <x:row r="55" ht="43.5" customHeight="1">
      <x:c r="A55" s="5" t="str">
        <x:v>Q-054</x:v>
      </x:c>
      <x:c r="B55" s="51" t="str">
        <x:v>RQ-026</x:v>
      </x:c>
      <x:c r="C55" s="5" t="str"/>
      <x:c r="D55" s="5" t="str"/>
      <x:c r="E55" s="5" t="str">
        <x:v>部分阻塞</x:v>
      </x:c>
      <x:c r="F55" s="5" t="str">
        <x:v>用户App-直播</x:v>
      </x:c>
      <x:c r="G55" s="5" t="str">
        <x:v>主播或房管成功踢出目标观众，或主播把目标观众加入允许的黑名单</x:v>
      </x:c>
      <x:c r="H55" s="5" t="str">
        <x:v>跨端与跨模块一致性</x:v>
      </x:c>
      <x:c r="I55" s="39" t="str">
        <x:v>操作成功后，目标观众何时离开当前直播间并被限制再次进入？</x:v>
      </x:c>
      <x:c r="J55" s="5" t="str">
        <x:v>A. 操作成功后立即离开当前直播间，下一次进房请求被拒绝
B. 当前观看不受影响，仅下一次重新进房时被拒绝
C. 目标观众刷新或重新进入后离开直播间，之后进房请求被拒绝</x:v>
      </x:c>
      <x:c r="K55" s="40" t="str">
        <x:v>建议 A；当前场次限制和后续进房限制都有明确的观察时点。</x:v>
      </x:c>
      <x:c r="L55" s="44" t="str"/>
      <x:c r="M55" s="44" t="str"/>
      <x:c r="N55" s="5" t="str">
        <x:v>1. 需求明确禁言、踢出、拉黑和房管变更的业务作用域
2. 原型展示主播或房管侧操作入口</x:v>
      </x:c>
      <x:c r="O55" s="5" t="str">
        <x:v>1. 被踢或被拉黑观众的当前观看页
2. 目标观众再次进房
3. 主播和房管查看的观众管理状态</x:v>
      </x:c>
      <x:c r="P55" s="5" t="str"/>
      <x:c r="Q55" s="5" t="str">
        <x:v>1. 补充或重审：主播或房管成功踢出目标观众，或主播把目标观众加入允许的黑名单</x:v>
      </x:c>
      <x:c r="R55" s="5" t="str">
        <x:v>多方确认</x:v>
      </x:c>
      <x:c r="S55" s="5" t="str">
        <x:v>本轮回归前</x:v>
      </x:c>
      <x:c r="T55" s="5" t="str">
        <x:v>待确认</x:v>
      </x:c>
    </x:row>
    <x:row r="56" ht="43.5" customHeight="1">
      <x:c r="A56" s="5" t="str">
        <x:v>Q-055</x:v>
      </x:c>
      <x:c r="B56" s="51" t="str">
        <x:v>RQ-026</x:v>
      </x:c>
      <x:c r="C56" s="5" t="str"/>
      <x:c r="D56" s="5" t="str"/>
      <x:c r="E56" s="5" t="str">
        <x:v>部分阻塞</x:v>
      </x:c>
      <x:c r="F56" s="5" t="str">
        <x:v>用户App-直播</x:v>
      </x:c>
      <x:c r="G56" s="5" t="str">
        <x:v>主播在直播中新增或取消目标用户的长期房管身份</x:v>
      </x:c>
      <x:c r="H56" s="5" t="str">
        <x:v>跨端与跨模块一致性</x:v>
      </x:c>
      <x:c r="I56" s="39" t="str">
        <x:v>操作成功后，目标用户从何时开始获得或失去房管操作权限？</x:v>
      </x:c>
      <x:c r="J56" s="5" t="str">
        <x:v>A. 当前直播中立即变化，后续直播继续沿用变化后的身份
B. 当前直播身份不变，从下一场直播开始变化
C. 目标用户重新进入当前直播间后变化，后续直播继续沿用</x:v>
      </x:c>
      <x:c r="K56" s="40" t="str">
        <x:v>建议 A；与长期房管关系的业务定义一致，主播操作后可立即使用。</x:v>
      </x:c>
      <x:c r="L56" s="44" t="str"/>
      <x:c r="M56" s="44" t="str"/>
      <x:c r="N56" s="5" t="str">
        <x:v>1. 需求明确禁言、踢出、拉黑和房管变更的业务作用域
2. 原型展示主播或房管侧操作入口</x:v>
      </x:c>
      <x:c r="O56" s="5" t="str">
        <x:v>1. 目标用户当前直播的房管入口
2. 目标用户当前直播的管理权限
3. 目标用户后续直播的房管身份</x:v>
      </x:c>
      <x:c r="P56" s="5" t="str"/>
      <x:c r="Q56" s="5" t="str">
        <x:v>1. 补充或重审：主播在直播中新增或取消目标用户的长期房管身份</x:v>
      </x:c>
      <x:c r="R56" s="5" t="str">
        <x:v>产品</x:v>
      </x:c>
      <x:c r="S56" s="5" t="str">
        <x:v>本轮回归前</x:v>
      </x:c>
      <x:c r="T56" s="5" t="str">
        <x:v>待确认</x:v>
      </x:c>
    </x:row>
    <x:row r="57" ht="43.5" customHeight="1">
      <x:c r="A57" s="45" t="str">
        <x:v>Q-056</x:v>
      </x:c>
      <x:c r="B57" s="49" t="str">
        <x:v>RQ-027</x:v>
      </x:c>
      <x:c r="C57" s="45" t="str"/>
      <x:c r="D57" s="45" t="str"/>
      <x:c r="E57" s="45" t="str">
        <x:v>部分阻塞</x:v>
      </x:c>
      <x:c r="F57" s="45" t="str">
        <x:v>用户App-直播</x:v>
      </x:c>
      <x:c r="G57" s="45" t="str">
        <x:v>连麦邀请长期未被受邀主播处理</x:v>
      </x:c>
      <x:c r="H57" s="45" t="str">
        <x:v>流程与状态</x:v>
      </x:c>
      <x:c r="I57" s="46" t="str">
        <x:v>受邀主播未处理连麦邀请时，邀请在什么具体条件下失效？</x:v>
      </x:c>
      <x:c r="J57" s="45" t="str">
        <x:v>A. 发出 30 秒后自动失效
B. 发出 60 秒后自动失效
C. 不按时间失效，仅在发起方取消、受邀方拒绝或任一方结束直播时失效；其他状态按独立问题确认</x:v>
      </x:c>
      <x:c r="K57" s="47" t="str">
        <x:v>建议 C；是否可继续连麦直接由双方状态和房型决定，不需要猜测未定义的等待秒数。</x:v>
      </x:c>
      <x:c r="L57" s="48" t="str"/>
      <x:c r="M57" s="48" t="str"/>
      <x:c r="N57" s="45" t="str">
        <x:v>1. context/系统概要 .md 明确取消、拒绝和任一方结束直播会使邀请失效
2. 当前证据未定义邀请自动超时时限</x:v>
      </x:c>
      <x:c r="O57" s="45" t="str">
        <x:v>1. 发出邀请
2. 收到邀请</x:v>
      </x:c>
      <x:c r="P57" s="45" t="str">
        <x:v>1. LIVE-248
2. LIVE-342</x:v>
      </x:c>
      <x:c r="Q57" s="45" t="str">
        <x:v>1. 邀请失效</x:v>
      </x:c>
      <x:c r="R57" s="45" t="str">
        <x:v>产品</x:v>
      </x:c>
      <x:c r="S57" s="45" t="str">
        <x:v>本轮回归前</x:v>
      </x:c>
      <x:c r="T57" s="45" t="str">
        <x:v>待确认</x:v>
      </x:c>
    </x:row>
    <x:row r="58" ht="43.5" customHeight="1">
      <x:c r="A58" s="5" t="str">
        <x:v>Q-057</x:v>
      </x:c>
      <x:c r="B58" s="51" t="str">
        <x:v>RQ-027</x:v>
      </x:c>
      <x:c r="C58" s="5" t="str"/>
      <x:c r="D58" s="5" t="str"/>
      <x:c r="E58" s="5" t="str">
        <x:v>部分阻塞</x:v>
      </x:c>
      <x:c r="F58" s="5" t="str">
        <x:v>用户App-直播</x:v>
      </x:c>
      <x:c r="G58" s="5" t="str">
        <x:v>连麦邀请等待期间任一主播网络离线但直播场次尚未结束</x:v>
      </x:c>
      <x:c r="H58" s="5" t="str">
        <x:v>流程与状态</x:v>
      </x:c>
      <x:c r="I58" s="39" t="str">
        <x:v>主播网络离线但直播场次未结束时待处理邀请如何变化？</x:v>
      </x:c>
      <x:c r="J58" s="5" t="str">
        <x:v>A. 与离线一方相关的待处理邀请立即关闭
B. 待处理邀请保留但离线期间不能接受
C. 待处理邀请保留且网络恢复后允许继续处理</x:v>
      </x:c>
      <x:c r="K58" s="40" t="str">
        <x:v>建议 A；双方已经不满足连麦前置条件，保留邀请容易产生迟到处理。</x:v>
      </x:c>
      <x:c r="L58" s="44" t="str"/>
      <x:c r="M58" s="44" t="str"/>
      <x:c r="N58" s="5" t="str">
        <x:v>1. context/系统概要 .md 已明确任一方结束直播时邀请立即失效
2. 当前证据未定义仅网络离线且场次未结束时的邀请状态</x:v>
      </x:c>
      <x:c r="O58" s="5" t="str">
        <x:v>1. 主播网络状态
2. 直播场次
3. 连麦邀请</x:v>
      </x:c>
      <x:c r="P58" s="5" t="str"/>
      <x:c r="Q58" s="5" t="str">
        <x:v>1. 邀请等待期间主播网络离线</x:v>
      </x:c>
      <x:c r="R58" s="5" t="str">
        <x:v>产品</x:v>
      </x:c>
      <x:c r="S58" s="5" t="str">
        <x:v>本轮回归前</x:v>
      </x:c>
      <x:c r="T58" s="5" t="str">
        <x:v>待确认</x:v>
      </x:c>
    </x:row>
    <x:row r="59" ht="43.5" customHeight="1">
      <x:c r="A59" s="5" t="str">
        <x:v>Q-058</x:v>
      </x:c>
      <x:c r="B59" s="51" t="str">
        <x:v>RQ-027</x:v>
      </x:c>
      <x:c r="C59" s="5" t="str"/>
      <x:c r="D59" s="5" t="str"/>
      <x:c r="E59" s="5" t="str">
        <x:v>部分阻塞</x:v>
      </x:c>
      <x:c r="F59" s="5" t="str">
        <x:v>用户App-直播</x:v>
      </x:c>
      <x:c r="G59" s="5" t="str">
        <x:v>邀请等待期间任一直播间切换为门票房或密码房</x:v>
      </x:c>
      <x:c r="H59" s="5" t="str">
        <x:v>流程与状态</x:v>
      </x:c>
      <x:c r="I59" s="39" t="str">
        <x:v>房型变为不支持连麦后待处理邀请如何变化？</x:v>
      </x:c>
      <x:c r="J59" s="5" t="str">
        <x:v>A. 邀请立即关闭
B. 保留邀请但禁止接受
C. 房型恢复普通房后继续处理</x:v>
      </x:c>
      <x:c r="K59" s="40" t="str">
        <x:v>建议 A；特殊房型不支持连麦，关闭邀请可以保持状态一致。</x:v>
      </x:c>
      <x:c r="L59" s="44" t="str"/>
      <x:c r="M59" s="44" t="str"/>
      <x:c r="N59" s="5" t="str">
        <x:v>1. 原型支持发出、取消、接受、拒绝和同时收到多条连麦邀请
2. 需求只限定在线、权限、普通房和两人上限</x:v>
      </x:c>
      <x:c r="O59" s="5" t="str">
        <x:v>1. 房型变更
2. 连麦邀请</x:v>
      </x:c>
      <x:c r="P59" s="5" t="str"/>
      <x:c r="Q59" s="5" t="str">
        <x:v>1. 补充或重审：邀请等待期间任一直播间切换为门票房或密码房</x:v>
      </x:c>
      <x:c r="R59" s="5" t="str">
        <x:v>产品</x:v>
      </x:c>
      <x:c r="S59" s="5" t="str">
        <x:v>本轮回归前</x:v>
      </x:c>
      <x:c r="T59" s="5" t="str">
        <x:v>待确认</x:v>
      </x:c>
    </x:row>
    <x:row r="60" ht="43.5" customHeight="1">
      <x:c r="A60" s="5" t="str">
        <x:v>Q-059</x:v>
      </x:c>
      <x:c r="B60" s="51" t="str">
        <x:v>RQ-027</x:v>
      </x:c>
      <x:c r="C60" s="5" t="str"/>
      <x:c r="D60" s="5" t="str"/>
      <x:c r="E60" s="5" t="str">
        <x:v>部分阻塞</x:v>
      </x:c>
      <x:c r="F60" s="5" t="str">
        <x:v>用户App-直播</x:v>
      </x:c>
      <x:c r="G60" s="5" t="str">
        <x:v>主播几乎同时处理多条邀请或收到迟到响应</x:v>
      </x:c>
      <x:c r="H60" s="5" t="str">
        <x:v>流程与状态</x:v>
      </x:c>
      <x:c r="I60" s="39" t="str">
        <x:v>多条连麦邀请几乎同时被接受时，系统最终应保留哪一个连麦关系？</x:v>
      </x:c>
      <x:c r="J60" s="5" t="str">
        <x:v>A. 保留最先成功建立的连麦关系，并关闭其他待处理邀请
B. 保留最后成功建立的连麦关系，并结束此前建立的关系
C. 不建立任何连麦关系，全部返回失败后由主播重新选择</x:v>
      </x:c>
      <x:c r="K60" s="40" t="str">
        <x:v>建议 A；两人上限下只保留第一条成功关系，最终结果唯一且可观察。</x:v>
      </x:c>
      <x:c r="L60" s="44" t="str"/>
      <x:c r="M60" s="44" t="str"/>
      <x:c r="N60" s="5" t="str">
        <x:v>1. 原型支持发出、取消、接受、拒绝和同时收到多条连麦邀请
2. 需求只限定在线、权限、普通房和两人上限</x:v>
      </x:c>
      <x:c r="O60" s="5" t="str">
        <x:v>1. 多条收到邀请
2. 两人连麦上限
3. 迟到响应</x:v>
      </x:c>
      <x:c r="P60" s="5" t="str"/>
      <x:c r="Q60" s="5" t="str">
        <x:v>1. 并发接受邀请</x:v>
      </x:c>
      <x:c r="R60" s="5" t="str">
        <x:v>多方确认</x:v>
      </x:c>
      <x:c r="S60" s="5" t="str">
        <x:v>本轮回归前</x:v>
      </x:c>
      <x:c r="T60" s="5" t="str">
        <x:v>待确认</x:v>
      </x:c>
    </x:row>
    <x:row r="61" ht="43.5" customHeight="1">
      <x:c r="A61" s="45" t="str">
        <x:v>Q-060</x:v>
      </x:c>
      <x:c r="B61" s="49" t="str">
        <x:v>RQ-028</x:v>
      </x:c>
      <x:c r="C61" s="45" t="str"/>
      <x:c r="D61" s="45" t="str"/>
      <x:c r="E61" s="45" t="str">
        <x:v>部分阻塞</x:v>
      </x:c>
      <x:c r="F61" s="45" t="str">
        <x:v>用户App-直播</x:v>
      </x:c>
      <x:c r="G61" s="45" t="str">
        <x:v>主播在直播中点击清屏，主播端当前互动消息被移除</x:v>
      </x:c>
      <x:c r="H61" s="45" t="str">
        <x:v>跨端与跨模块一致性</x:v>
      </x:c>
      <x:c r="I61" s="46" t="str">
        <x:v>主播清屏后，观众端的当前公屏应采用哪一种结果？</x:v>
      </x:c>
      <x:c r="J61" s="45" t="str">
        <x:v>A. 所有在线观众的当前公屏同步清空
B. 仅主播端本地清空，观众端保留原消息
C. 在线观众保留原消息，清屏后新进观众仅看到清屏后的消息</x:v>
      </x:c>
      <x:c r="K61" s="47" t="str">
        <x:v>建议 A；清屏作为主播管理动作时，全部在线观众一致更易理解和验收。</x:v>
      </x:c>
      <x:c r="L61" s="48" t="str"/>
      <x:c r="M61" s="48" t="str"/>
      <x:c r="N61" s="45" t="str">
        <x:v>1. 原型脚本只能观察到主播当前页面移除互动消息
2. 最新需求未明确观众端的清屏范围</x:v>
      </x:c>
      <x:c r="O61" s="45" t="str">
        <x:v>1. 主播直播间清屏
2. 在线观众公屏
3. 清屏后新进观众公屏</x:v>
      </x:c>
      <x:c r="P61" s="45" t="str"/>
      <x:c r="Q61" s="45" t="str">
        <x:v>1. 主播清屏后的观众端结果</x:v>
      </x:c>
      <x:c r="R61" s="45" t="str">
        <x:v>产品</x:v>
      </x:c>
      <x:c r="S61" s="45" t="str">
        <x:v>进入对应功能测试前</x:v>
      </x:c>
      <x:c r="T61" s="45" t="str">
        <x:v>待确认</x:v>
      </x:c>
    </x:row>
    <x:row r="62" ht="43.5" customHeight="1">
      <x:c r="A62" s="45" t="str">
        <x:v>Q-061</x:v>
      </x:c>
      <x:c r="B62" s="49" t="str">
        <x:v>RQ-029</x:v>
      </x:c>
      <x:c r="C62" s="45" t="str"/>
      <x:c r="D62" s="45" t="str"/>
      <x:c r="E62" s="45" t="str">
        <x:v>部分阻塞</x:v>
      </x:c>
      <x:c r="F62" s="45" t="str">
        <x:v>用户App-直播</x:v>
      </x:c>
      <x:c r="G62" s="45" t="str">
        <x:v>主播在主播中心点击“直播记录”工具入口</x:v>
      </x:c>
      <x:c r="H62" s="45" t="str">
        <x:v>流程与状态</x:v>
      </x:c>
      <x:c r="I62" s="46" t="str">
        <x:v>主播中心的“直播记录”入口点击后应执行哪一种结果？</x:v>
      </x:c>
      <x:c r="J62" s="45" t="str">
        <x:v>A. 直接进入直播记录页
B. 先进入直播数据页，再由主播选择日数据进入直播记录页
C. 从主播中心移除直播记录入口</x:v>
      </x:c>
      <x:c r="K62" s="47" t="str">
        <x:v>建议 A；直播记录已作为主播中心独立页面登记，直接进入路径最短，也符合工具入口的用户预期。</x:v>
      </x:c>
      <x:c r="L62" s="48" t="str"/>
      <x:c r="M62" s="48" t="str"/>
      <x:c r="N62" s="45" t="str">
        <x:v>1. 主播中心展示“直播记录”工具入口
2. 当前按钮仅提示“进入直播记录”，没有页面跳转
3. 直播记录页已在页面树独立登记</x:v>
      </x:c>
      <x:c r="O62" s="45" t="str">
        <x:v>1. 用户 App 主播中心
2. 直播记录入口
3. 主播返回路径</x:v>
      </x:c>
      <x:c r="P62" s="45" t="str">
        <x:v>1. LIVE-267
2. LIVE-268</x:v>
      </x:c>
      <x:c r="Q62" s="45" t="str">
        <x:v>1. 主播中心直播记录入口</x:v>
      </x:c>
      <x:c r="R62" s="45" t="str">
        <x:v>产品</x:v>
      </x:c>
      <x:c r="S62" s="45" t="str">
        <x:v>进入直播记录功能测试前</x:v>
      </x:c>
      <x:c r="T62" s="45" t="str">
        <x:v>待确认</x:v>
      </x:c>
    </x:row>
    <x:row r="63" ht="55.5" customHeight="1">
      <x:c r="A63" s="45" t="str">
        <x:v>Q-062</x:v>
      </x:c>
      <x:c r="B63" s="49" t="str">
        <x:v>RQ-030</x:v>
      </x:c>
      <x:c r="C63" s="45" t="str"/>
      <x:c r="D63" s="45" t="str"/>
      <x:c r="E63" s="45" t="str">
        <x:v>部分阻塞</x:v>
      </x:c>
      <x:c r="F63" s="45" t="str">
        <x:v>用户App-直播</x:v>
      </x:c>
      <x:c r="G63" s="45" t="str">
        <x:v>主播首次进入直播记录页，系统计算默认近 7 天范围</x:v>
      </x:c>
      <x:c r="H63" s="45" t="str">
        <x:v>计算与统计口径</x:v>
      </x:c>
      <x:c r="I63" s="46" t="str">
        <x:v>默认“近 7 天”采用哪一种起止范围？</x:v>
      </x:c>
      <x:c r="J63" s="45" t="str">
        <x:v>A. 包含当天及前 6 个自然日，共 7 个自然日
B. 包含当天及前 7 个自然日，共 8 个自然日
C. 从进入页面时刻向前滚动 168 小时</x:v>
      </x:c>
      <x:c r="K63" s="47" t="str">
        <x:v>建议 A；自然日口径便于主播理解，列表和三项汇总也能使用同一日期边界。</x:v>
      </x:c>
      <x:c r="L63" s="48" t="str">
        <x:v>A</x:v>
      </x:c>
      <x:c r="M63" s="48" t="str">
        <x:v>按 RCL-0019，以原型批注“默认近 7 天”为准；采用当天及前 6 个自然日，共 7 个自然日。页面或 Mock 示例日期不作为默认边界规则。</x:v>
      </x:c>
      <x:c r="N63" s="45" t="str">
        <x:v>1. 原型批注明确写明默认近 7 天
2. 页面或 Mock 中存在 10/8/2026 至 17/8/2026 的示例日期
3. RCL-0019 明确页面默认值或 Mock 示例与批注不一致时批注优先</x:v>
      </x:c>
      <x:c r="O63" s="45" t="str">
        <x:v>1. 默认记录列表
2. 默认收益汇总
3. 默认总时长汇总
4. 默认直播场次汇总</x:v>
      </x:c>
      <x:c r="P63" s="45" t="str">
        <x:v>1. LIVE-269
2. LIVE-270
3. LIVE-271
4. LIVE-272</x:v>
      </x:c>
      <x:c r="Q63" s="45" t="str"/>
      <x:c r="R63" s="45" t="str">
        <x:v>产品</x:v>
      </x:c>
      <x:c r="S63" s="45" t="str">
        <x:v>已按 RCL-0019 处理</x:v>
      </x:c>
      <x:c r="T63" s="45" t="str">
        <x:v>已确认</x:v>
      </x:c>
    </x:row>
    <x:row r="64" ht="142.5" customHeight="1">
      <x:c r="A64" s="45" t="str">
        <x:v>Q-063</x:v>
      </x:c>
      <x:c r="B64" s="49" t="str">
        <x:v>RQ-031</x:v>
      </x:c>
      <x:c r="C64" s="45" t="str"/>
      <x:c r="D64" s="45" t="str"/>
      <x:c r="E64" s="45" t="str">
        <x:v>部分阻塞</x:v>
      </x:c>
      <x:c r="F64" s="45" t="str">
        <x:v>用户App-直播</x:v>
      </x:c>
      <x:c r="G64" s="45" t="str">
        <x:v>直播发生在日期切换边界，主播使用默认、快捷和自定义日期筛选</x:v>
      </x:c>
      <x:c r="H64" s="45" t="str">
        <x:v>计算与统计口径</x:v>
      </x:c>
      <x:c r="I64" s="46" t="str">
        <x:v>直播记录日期归属和筛选边界使用哪个时区？</x:v>
      </x:c>
      <x:c r="J64" s="45" t="str">
        <x:v>A. 使用主播账号所属时区
B. 使用主播设备系统时区
C. 固定使用 Asia/Jakarta 时区</x:v>
      </x:c>
      <x:c r="K64" s="47" t="str">
        <x:v>建议 A；与有效天按主播所属自然日计算的既有口径一致，可减少同一主播跨设备结果变化。</x:v>
      </x:c>
      <x:c r="L64" s="48" t="str"/>
      <x:c r="M64" s="48" t="str"/>
      <x:c r="N64" s="45" t="str">
        <x:v>1. 有效天使用主播所属自然日
2. 直播记录原型只比较日期字段
3. 直播记录批注未定义时区</x:v>
      </x:c>
      <x:c r="O64" s="45" t="str">
        <x:v>1. 默认日期范围
2. 本周、本月、上月筛选
3. 自定义日期筛选
4. 汇总指标</x:v>
      </x:c>
      <x:c r="P64" s="45" t="str">
        <x:v>1. LIVE-269
2. LIVE-270
3. LIVE-271
4. LIVE-272
5. LIVE-273
6. LIVE-274
7. LIVE-275
8. LIVE-276
9. LIVE-277
10. LIVE-278
11. LIVE-279
12. LIVE-280
13. LIVE-281
14. LIVE-282
15. LIVE-283
16. LIVE-284
17. LIVE-285
18. LIVE-286
19. LIVE-287
20. LIVE-288
21. LIVE-289
22. LIVE-290
23. LIVE-291
24. LIVE-292
25. LIVE-293
26. LIVE-294
27. LIVE-295
28. LIVE-296
29. LIVE-297
30. LIVE-298
31. LIVE-299
32. LIVE-300
33. LIVE-301
34. LIVE-302
35. LIVE-303</x:v>
      </x:c>
      <x:c r="Q64" s="45" t="str">
        <x:v>1. 跨日开播和跨日结束的日期归属
2. 时区切换边界</x:v>
      </x:c>
      <x:c r="R64" s="45" t="str">
        <x:v>多方确认</x:v>
      </x:c>
      <x:c r="S64" s="45" t="str">
        <x:v>进入日期筛选测试前</x:v>
      </x:c>
      <x:c r="T64" s="45" t="str">
        <x:v>待确认</x:v>
      </x:c>
    </x:row>
    <x:row r="65" ht="43.5" customHeight="1">
      <x:c r="A65" s="45" t="str">
        <x:v>Q-064</x:v>
      </x:c>
      <x:c r="B65" s="49" t="str">
        <x:v>RQ-032</x:v>
      </x:c>
      <x:c r="C65" s="45" t="str"/>
      <x:c r="D65" s="45" t="str"/>
      <x:c r="E65" s="45" t="str">
        <x:v>部分阻塞</x:v>
      </x:c>
      <x:c r="F65" s="45" t="str">
        <x:v>用户App-直播</x:v>
      </x:c>
      <x:c r="G65" s="45" t="str">
        <x:v>一场直播存在用户重复进出和并发观看，记录卡片展示观众人数</x:v>
      </x:c>
      <x:c r="H65" s="45" t="str">
        <x:v>计算与统计口径</x:v>
      </x:c>
      <x:c r="I65" s="46" t="str">
        <x:v>单场记录的“观众人数”采用哪一种统计口径？</x:v>
      </x:c>
      <x:c r="J65" s="45" t="str">
        <x:v>A. 按用户 ID 去重后的观看人数
B. 直播期间的最高同时在线人数
C. 用户每次进入直播间均累计一次</x:v>
      </x:c>
      <x:c r="K65" s="47" t="str">
        <x:v>建议 A；字段名称为人数，按用户去重最符合人数语义，也便于与重复进房行为区分。</x:v>
      </x:c>
      <x:c r="L65" s="48" t="str"/>
      <x:c r="M65" s="48" t="str"/>
      <x:c r="N65" s="45" t="str">
        <x:v>1. 记录卡片展示观众人数
2. Mock 仅提供 viewers 数值
3. 原型未说明重复进入和并发统计方式</x:v>
      </x:c>
      <x:c r="O65" s="45" t="str">
        <x:v>1. 记录卡片观众人数
2. 单场直播数据
3. 主播数据对账</x:v>
      </x:c>
      <x:c r="P65" s="45" t="str">
        <x:v>1. LIVE-309</x:v>
      </x:c>
      <x:c r="Q65" s="45" t="str">
        <x:v>1. 重复进入统计
2. 并发观看统计</x:v>
      </x:c>
      <x:c r="R65" s="45" t="str">
        <x:v>产品</x:v>
      </x:c>
      <x:c r="S65" s="45" t="str">
        <x:v>进入记录字段测试前</x:v>
      </x:c>
      <x:c r="T65" s="45" t="str">
        <x:v>待确认</x:v>
      </x:c>
    </x:row>
    <x:row r="66" ht="43.5" customHeight="1">
      <x:c r="A66" s="45" t="str">
        <x:v>Q-065</x:v>
      </x:c>
      <x:c r="B66" s="49" t="str">
        <x:v>RQ-033</x:v>
      </x:c>
      <x:c r="C66" s="45" t="str"/>
      <x:c r="D66" s="45" t="str"/>
      <x:c r="E66" s="45" t="str">
        <x:v>部分阻塞</x:v>
      </x:c>
      <x:c r="F66" s="45" t="str">
        <x:v>用户App-直播</x:v>
      </x:c>
      <x:c r="G66" s="45" t="str">
        <x:v>一场直播中同一用户批量赠送礼物，记录卡片展示收礼数量</x:v>
      </x:c>
      <x:c r="H66" s="45" t="str">
        <x:v>计算与统计口径</x:v>
      </x:c>
      <x:c r="I66" s="46" t="str">
        <x:v>单场记录的“收礼数量”采用哪一种统计口径？</x:v>
      </x:c>
      <x:c r="J66" s="45" t="str">
        <x:v>A. 累计所有礼物的商品件数
B. 累计用户执行赠送的操作次数
C. 统计本场收到的不同礼物种类数</x:v>
      </x:c>
      <x:c r="K66" s="47" t="str">
        <x:v>建议 A；“数量”按商品件数可以直接覆盖 x1、x10 等批量赠送，也便于收益对账。</x:v>
      </x:c>
      <x:c r="L66" s="48" t="str"/>
      <x:c r="M66" s="48" t="str"/>
      <x:c r="N66" s="45" t="str">
        <x:v>1. 记录卡片展示收礼数量
2. 直播送礼支持批量数量
3. Mock 仅提供 gifts 数值</x:v>
      </x:c>
      <x:c r="O66" s="45" t="str">
        <x:v>1. 记录卡片收礼数量
2. 直播送礼
3. 主播数据对账</x:v>
      </x:c>
      <x:c r="P66" s="45" t="str">
        <x:v>1. LIVE-310</x:v>
      </x:c>
      <x:c r="Q66" s="45" t="str">
        <x:v>1. 批量赠礼数量统计
2. 多礼物类型统计</x:v>
      </x:c>
      <x:c r="R66" s="45" t="str">
        <x:v>产品</x:v>
      </x:c>
      <x:c r="S66" s="45" t="str">
        <x:v>进入记录字段测试前</x:v>
      </x:c>
      <x:c r="T66" s="45" t="str">
        <x:v>待确认</x:v>
      </x:c>
    </x:row>
    <x:row r="67" ht="55.5" customHeight="1">
      <x:c r="A67" s="45" t="str">
        <x:v>Q-066</x:v>
      </x:c>
      <x:c r="B67" s="49" t="str">
        <x:v>RQ-034</x:v>
      </x:c>
      <x:c r="C67" s="45" t="str"/>
      <x:c r="D67" s="45" t="str"/>
      <x:c r="E67" s="45" t="str">
        <x:v>部分阻塞</x:v>
      </x:c>
      <x:c r="F67" s="45" t="str">
        <x:v>用户App-直播</x:v>
      </x:c>
      <x:c r="G67" s="45" t="str">
        <x:v>主播结束直播后进入直播记录查询刚结束的场次</x:v>
      </x:c>
      <x:c r="H67" s="45" t="str">
        <x:v>跨端与跨模块一致性</x:v>
      </x:c>
      <x:c r="I67" s="46" t="str">
        <x:v>结束直播后，新场次记录最迟应在什么时候可以查询？</x:v>
      </x:c>
      <x:c r="J67" s="45" t="str">
        <x:v>A. 直播结束结果页出现时即可查询
B. 直播结束后 30 秒内可以查询
C. 直播结束后 5 分钟内可以查询
D. 该场结算完成后可以查询</x:v>
      </x:c>
      <x:c r="K67" s="47" t="str">
        <x:v>建议 A；主播结束后通常会立即查看本场数据，立即可查可以减少重复刷新和误判。</x:v>
      </x:c>
      <x:c r="L67" s="48" t="str"/>
      <x:c r="M67" s="48" t="str"/>
      <x:c r="N67" s="45" t="str">
        <x:v>1. 需求写明结束直播后生成本场记录、收益和数据
2. 原型未定义生成时效和刷新动作</x:v>
      </x:c>
      <x:c r="O67" s="45" t="str">
        <x:v>1. 结束直播
2. 直播记录生成
3. 收益、时长和场次汇总</x:v>
      </x:c>
      <x:c r="P67" s="45" t="str">
        <x:v>1. LIVE-260
2. LIVE-315
3. LIVE-316
4. LIVE-317</x:v>
      </x:c>
      <x:c r="Q67" s="45" t="str">
        <x:v>1. 记录生成时效边界
2. 超时后的页面结果</x:v>
      </x:c>
      <x:c r="R67" s="45" t="str">
        <x:v>多方确认</x:v>
      </x:c>
      <x:c r="S67" s="45" t="str">
        <x:v>进入跨模块流程测试前</x:v>
      </x:c>
      <x:c r="T67" s="45" t="str">
        <x:v>待确认</x:v>
      </x:c>
    </x:row>
    <x:row r="68" ht="43.5" customHeight="1">
      <x:c r="A68" s="45" t="str">
        <x:v>Q-067</x:v>
      </x:c>
      <x:c r="B68" s="49" t="str">
        <x:v>RQ-035</x:v>
      </x:c>
      <x:c r="C68" s="45" t="str"/>
      <x:c r="D68" s="45" t="str"/>
      <x:c r="E68" s="45" t="str">
        <x:v>部分阻塞</x:v>
      </x:c>
      <x:c r="F68" s="45" t="str">
        <x:v>用户App-直播</x:v>
      </x:c>
      <x:c r="G68" s="45" t="str">
        <x:v>主播点击直播记录列表中的单场记录卡片</x:v>
      </x:c>
      <x:c r="H68" s="45" t="str">
        <x:v>流程与状态</x:v>
      </x:c>
      <x:c r="I68" s="46" t="str">
        <x:v>点击单场直播记录后应进入哪一种查看方式？</x:v>
      </x:c>
      <x:c r="J68" s="45" t="str">
        <x:v>A. 进入独立的单场直播详情页
B. 在当前页打开单场数据抽屉
C. 仅提示“查看本场直播数据”，不展示更多内容</x:v>
      </x:c>
      <x:c r="K68" s="47" t="str">
        <x:v>建议 A；独立详情页更适合承载单场数据和后续扩展，也能形成明确返回路径。</x:v>
      </x:c>
      <x:c r="L68" s="48" t="str"/>
      <x:c r="M68" s="48" t="str"/>
      <x:c r="N68" s="45" t="str">
        <x:v>1. 记录卡片具有点击交互
2. 当前原型只提示“查看本场直播数据”
3. 原型没有单场详情页面</x:v>
      </x:c>
      <x:c r="O68" s="45" t="str">
        <x:v>1. 记录卡片点击
2. 单场数据查看
3. 详情返回路径</x:v>
      </x:c>
      <x:c r="P68" s="45" t="str">
        <x:v>1. LIVE-314</x:v>
      </x:c>
      <x:c r="Q68" s="45" t="str">
        <x:v>1. 单场记录详情入口</x:v>
      </x:c>
      <x:c r="R68" s="45" t="str">
        <x:v>产品</x:v>
      </x:c>
      <x:c r="S68" s="45" t="str">
        <x:v>进入记录卡片交互测试前</x:v>
      </x:c>
      <x:c r="T68" s="45" t="str">
        <x:v>待确认</x:v>
      </x:c>
    </x:row>
    <x:row r="69" ht="43.5" customHeight="1">
      <x:c r="A69" s="50" t="str">
        <x:v>Q-068</x:v>
      </x:c>
      <x:c r="B69" s="50" t="str">
        <x:v>RQ-035</x:v>
      </x:c>
      <x:c r="C69" s="50" t="str">
        <x:v>Q-067</x:v>
      </x:c>
      <x:c r="D69" s="50" t="str">
        <x:v>Q-087 选择 A 或 B 后</x:v>
      </x:c>
      <x:c r="E69" s="5" t="str">
        <x:v>部分阻塞</x:v>
      </x:c>
      <x:c r="F69" s="5" t="str">
        <x:v>用户App-直播</x:v>
      </x:c>
      <x:c r="G69" s="5" t="str">
        <x:v>产品决定点击单场记录后展示详情页或数据抽屉</x:v>
      </x:c>
      <x:c r="H69" s="5" t="str">
        <x:v>需求范围</x:v>
      </x:c>
      <x:c r="I69" s="39" t="str">
        <x:v>单场详情首版展示哪一组数据？</x:v>
      </x:c>
      <x:c r="J69" s="5" t="str">
        <x:v>A. 仅展示记录卡片已有的标题、封面、开播时间、时长、收益、观众人数、收礼数量和房型
B. 在 A 的基础上增加新增粉丝人数和送礼人数
C. 展示结束直播页已有的开播时长、观众人数、新增粉丝和本场收益</x:v>
      </x:c>
      <x:c r="K69" s="40" t="str">
        <x:v>建议 A；完全复用当前已有字段，范围明确且不新增未定义统计口径。</x:v>
      </x:c>
      <x:c r="L69" s="44" t="str"/>
      <x:c r="M69" s="44" t="str"/>
      <x:c r="N69" s="5" t="str">
        <x:v>1. 记录卡片已有八类信息
2. 结束直播页存在另一组本场数据
3. 当前没有单场详情字段说明</x:v>
      </x:c>
      <x:c r="O69" s="5" t="str">
        <x:v>1. 单场直播详情页
2. 单场数据抽屉
3. 记录字段来源</x:v>
      </x:c>
      <x:c r="P69" s="5" t="str"/>
      <x:c r="Q69" s="5" t="str">
        <x:v>1. 单场详情字段展示
2. 单场详情数据一致性</x:v>
      </x:c>
      <x:c r="R69" s="5" t="str">
        <x:v>产品</x:v>
      </x:c>
      <x:c r="S69" s="5" t="str">
        <x:v>Q-007 确认后进入详情开发前</x:v>
      </x:c>
      <x:c r="T69" s="5" t="str">
        <x:v>待前置结论</x:v>
      </x:c>
    </x:row>
    <x:row r="70" ht="43.5" customHeight="1">
      <x:c r="A70" s="45" t="str">
        <x:v>Q-069</x:v>
      </x:c>
      <x:c r="B70" s="49" t="str">
        <x:v>RQ-036</x:v>
      </x:c>
      <x:c r="C70" s="45" t="str"/>
      <x:c r="D70" s="45" t="str"/>
      <x:c r="E70" s="45" t="str">
        <x:v>部分阻塞</x:v>
      </x:c>
      <x:c r="F70" s="45" t="str">
        <x:v>用户App-直播</x:v>
      </x:c>
      <x:c r="G70" s="45" t="str">
        <x:v>普通用户、直播权限关闭主播和曾经开播的账号访问直播记录页</x:v>
      </x:c>
      <x:c r="H70" s="45" t="str">
        <x:v>角色与权限</x:v>
      </x:c>
      <x:c r="I70" s="46" t="str">
        <x:v>哪些账号可以查看自己的历史直播记录？</x:v>
      </x:c>
      <x:c r="J70" s="45" t="str">
        <x:v>A. 仅当前具有直播权限的主播可以查看
B. 曾经产生直播记录的主播在权限关闭后仍可查看
C. 所有登录用户均可进入，未开播用户展示空记录</x:v>
      </x:c>
      <x:c r="K70" s="47" t="str">
        <x:v>建议 B；历史记录属于已发生业务数据，权限关闭后保留只读查询更利于主播核对。</x:v>
      </x:c>
      <x:c r="L70" s="48" t="str"/>
      <x:c r="M70" s="48" t="str"/>
      <x:c r="N70" s="45" t="str">
        <x:v>1. 直播记录位于主播中心
2. 主播中心仅对主播相关账号开放
3. 原型未展示权限关闭后的历史查询规则</x:v>
      </x:c>
      <x:c r="O70" s="45" t="str">
        <x:v>1. 主播中心权限
2. 直播记录访问
3. 历史数据可见范围</x:v>
      </x:c>
      <x:c r="P70" s="45" t="str"/>
      <x:c r="Q70" s="45" t="str">
        <x:v>1. 非主播访问
2. 直播权限关闭后访问
3. 历史主播访问</x:v>
      </x:c>
      <x:c r="R70" s="45" t="str">
        <x:v>产品</x:v>
      </x:c>
      <x:c r="S70" s="45" t="str">
        <x:v>进入权限测试前</x:v>
      </x:c>
      <x:c r="T70" s="45" t="str">
        <x:v>待确认</x:v>
      </x:c>
    </x:row>
    <x:row r="71" ht="55.5" customHeight="1">
      <x:c r="A71" s="45" t="str">
        <x:v>Q-070</x:v>
      </x:c>
      <x:c r="B71" s="49" t="str">
        <x:v>RQ-037</x:v>
      </x:c>
      <x:c r="C71" s="45" t="str"/>
      <x:c r="D71" s="45" t="str"/>
      <x:c r="E71" s="45" t="str">
        <x:v>部分阻塞</x:v>
      </x:c>
      <x:c r="F71" s="45" t="str">
        <x:v>用户App-直播</x:v>
      </x:c>
      <x:c r="G71" s="45" t="str">
        <x:v>直播因断网、App 崩溃或平台强制关闭而结束</x:v>
      </x:c>
      <x:c r="H71" s="45" t="str">
        <x:v>异常处理</x:v>
      </x:c>
      <x:c r="I71" s="46" t="str">
        <x:v>非主播手动结束的直播场次是否生成直播记录？</x:v>
      </x:c>
      <x:c r="J71" s="45" t="str">
        <x:v>A. 所有已经开始的直播场次均生成记录
B. 仅直播时长达到 1 分钟的场次生成记录
C. 仅主播手动结束的场次生成记录</x:v>
      </x:c>
      <x:c r="K71" s="47" t="str">
        <x:v>建议 A；保留全部已发生场次便于主播核对，也有利于异常追踪和数据对账。</x:v>
      </x:c>
      <x:c r="L71" s="48" t="str"/>
      <x:c r="M71" s="48" t="str"/>
      <x:c r="N71" s="45" t="str">
        <x:v>1. 需求只写明主播结束直播后生成记录
2. 原型没有异常结束和强制关闭后的记录规则</x:v>
      </x:c>
      <x:c r="O71" s="45" t="str">
        <x:v>1. 异常结束直播
2. 直播记录生成
3. 汇总指标</x:v>
      </x:c>
      <x:c r="P71" s="45" t="str">
        <x:v>1. LIVE-260
2. LIVE-315
3. LIVE-316
4. LIVE-317</x:v>
      </x:c>
      <x:c r="Q71" s="45" t="str">
        <x:v>1. 断网结束生成记录
2. App 崩溃后生成记录
3. 平台强制关闭后生成记录</x:v>
      </x:c>
      <x:c r="R71" s="45" t="str">
        <x:v>多方确认</x:v>
      </x:c>
      <x:c r="S71" s="45" t="str">
        <x:v>进入异常流程测试前</x:v>
      </x:c>
      <x:c r="T71" s="45" t="str">
        <x:v>待确认</x:v>
      </x:c>
    </x:row>
    <x:row r="72" ht="79.5" customHeight="1">
      <x:c r="A72" s="45" t="str">
        <x:v>Q-071</x:v>
      </x:c>
      <x:c r="B72" s="49" t="str">
        <x:v>RQ-038</x:v>
      </x:c>
      <x:c r="C72" s="45" t="str"/>
      <x:c r="D72" s="45" t="str"/>
      <x:c r="E72" s="45" t="str">
        <x:v>部分阻塞</x:v>
      </x:c>
      <x:c r="F72" s="45" t="str">
        <x:v>用户App-直播</x:v>
      </x:c>
      <x:c r="G72" s="45" t="str">
        <x:v>管理后台维护礼物购买份数配置，用户在直播间打开所选礼物的赠送数量菜单</x:v>
      </x:c>
      <x:c r="H72" s="45" t="str">
        <x:v>跨端与跨模块一致性</x:v>
      </x:c>
      <x:c r="I72" s="46" t="str">
        <x:v>用户 App 礼物赠送数量选项最终采用哪一种来源规则？</x:v>
      </x:c>
      <x:c r="J72" s="45" t="str">
        <x:v>A. 用户 App 固定展示 x1、x10、x66、x188、x520，管理后台购买份数配置不影响用户 App
B. 用户 App 仅展示对所选礼物生效的后台购买份数配置，并按后台排序展示
C. 用户 App 固定保留 x1，再追加对所选礼物生效的后台购买份数配置，重复数量只展示一次</x:v>
      </x:c>
      <x:c r="K72" s="47" t="str">
        <x:v>建议 B；管理后台已提供礼物类型、适用礼物、状态和排序字段，直接作为用户端数量来源更便于配置闭环。</x:v>
      </x:c>
      <x:c r="L72" s="48" t="str"/>
      <x:c r="M72" s="48" t="str"/>
      <x:c r="N72" s="45" t="str">
        <x:v>1. prototype/assets/common.js 将用户 App 数量菜单固定为 1、10、66、188、520
2. prototype/pages/admin/gifts/admin-gift-send-count-rules.html 提供购买份数、适用礼物、状态和排序配置
3. prototype/assets/admin-mock.js 当前只有数量 1 的全类型规则生效，数量 10 的定制礼物规则失效</x:v>
      </x:c>
      <x:c r="O72" s="45" t="str">
        <x:v>1. 用户 App / 直播间 / 礼物数量菜单
2. 管理后台 / 礼物道具 / 购买份数配置
3. 礼物送出数量及对应扣费测试数据</x:v>
      </x:c>
      <x:c r="P72" s="45" t="str">
        <x:v>1. LIVE-090
2. LIVE-091</x:v>
      </x:c>
      <x:c r="Q72" s="45" t="str">
        <x:v>1. 直播送礼-赠送数量选项来源与后台配置生效</x:v>
      </x:c>
      <x:c r="R72" s="45" t="str">
        <x:v>多方确认</x:v>
      </x:c>
      <x:c r="S72" s="45" t="str">
        <x:v>本轮回归前</x:v>
      </x:c>
      <x:c r="T72" s="45" t="str">
        <x:v>待确认</x:v>
      </x:c>
    </x:row>
    <x:row r="73" ht="43.5" customHeight="1">
      <x:c r="A73" s="45" t="str">
        <x:v>Q-072</x:v>
      </x:c>
      <x:c r="B73" s="49" t="str">
        <x:v>RQ-039</x:v>
      </x:c>
      <x:c r="C73" s="45" t="str"/>
      <x:c r="D73" s="45" t="str"/>
      <x:c r="E73" s="45" t="str">
        <x:v>部分阻塞</x:v>
      </x:c>
      <x:c r="F73" s="45" t="str">
        <x:v>用户App-直播</x:v>
      </x:c>
      <x:c r="G73" s="45" t="str">
        <x:v>普通用户进入支持送礼的直播间并打开幸运礼物面板，需要了解返奖规则</x:v>
      </x:c>
      <x:c r="H73" s="45" t="str">
        <x:v>需求范围</x:v>
      </x:c>
      <x:c r="I73" s="46" t="str">
        <x:v>用户App是否提供可点击的幸运礼物规则查看入口？</x:v>
      </x:c>
      <x:c r="J73" s="45" t="str">
        <x:v>A. 用户App提供可点击的幸运礼物规则查看入口
B. 用户App不提供规则查看入口，只展示幸运礼物和中奖结果</x:v>
      </x:c>
      <x:c r="K73" s="47" t="str">
        <x:v>建议 B；当前审核通过的用户App原型只有幸运礼物选择、赠送和中奖结果播报，没有规则入口。</x:v>
      </x:c>
      <x:c r="L73" s="48" t="str"/>
      <x:c r="M73" s="48" t="str"/>
      <x:c r="N73" s="45" t="str">
        <x:v>1. context/01-用户主播App-项目需求清单.md 写礼物面板或详情展示中奖概率与奖励档位
2. prototype/assets/common.js 只实现幸运礼物选择、数量、余额和赠送按钮
3. prototype/pages/user/live/live-room.html 只展示中奖结果播报</x:v>
      </x:c>
      <x:c r="O73" s="45" t="str">
        <x:v>1. 用户App / 直播间 / 幸运礼物面板
2. 幸运礼物返奖档位和概率说明</x:v>
      </x:c>
      <x:c r="P73" s="45" t="str"/>
      <x:c r="Q73" s="45" t="str">
        <x:v>1. 幸运礼物规则入口存在性</x:v>
      </x:c>
      <x:c r="R73" s="45" t="str">
        <x:v>产品</x:v>
      </x:c>
      <x:c r="S73" s="45" t="str">
        <x:v>进入对应功能测试前</x:v>
      </x:c>
      <x:c r="T73" s="45" t="str">
        <x:v>待确认</x:v>
      </x:c>
    </x:row>
    <x:row r="74" ht="43.5" customHeight="1">
      <x:c r="A74" s="50" t="str">
        <x:v>Q-073</x:v>
      </x:c>
      <x:c r="B74" s="50" t="str">
        <x:v>RQ-039</x:v>
      </x:c>
      <x:c r="C74" s="50" t="str">
        <x:v>Q-072</x:v>
      </x:c>
      <x:c r="D74" s="50" t="str">
        <x:v>Q-072 选择 A 后</x:v>
      </x:c>
      <x:c r="E74" s="5" t="str">
        <x:v>部分阻塞</x:v>
      </x:c>
      <x:c r="F74" s="5" t="str">
        <x:v>用户App-直播</x:v>
      </x:c>
      <x:c r="G74" s="5" t="str">
        <x:v>产品确认用户App需要提供幸运礼物规则入口，用户已打开直播间礼物面板</x:v>
      </x:c>
      <x:c r="H74" s="5" t="str">
        <x:v>交互与文案规则</x:v>
      </x:c>
      <x:c r="I74" s="39" t="str">
        <x:v>幸运礼物规则入口设置在哪一个位置？</x:v>
      </x:c>
      <x:c r="J74" s="5" t="str">
        <x:v>A. 设置在幸运礼物分类标题区域
B. 设置在每个幸运礼物条目中
C. 设置在礼物面板的统一规则入口中</x:v>
      </x:c>
      <x:c r="K74" s="40" t="str">
        <x:v>建议 A；入口与幸运礼物分类直接关联，也不需要每个礼物重复展示。</x:v>
      </x:c>
      <x:c r="L74" s="44" t="str"/>
      <x:c r="M74" s="44" t="str"/>
      <x:c r="N74" s="5" t="str">
        <x:v>1. 当前用户App原型没有规则入口
2. 需求清单只写礼物面板或详情展示，未确定入口位置</x:v>
      </x:c>
      <x:c r="O74" s="5" t="str">
        <x:v>1. 用户App / 直播间 / 礼物面板入口
2. 幸运礼物规则查看路径</x:v>
      </x:c>
      <x:c r="P74" s="5" t="str"/>
      <x:c r="Q74" s="5" t="str">
        <x:v>1. 幸运礼物规则入口位置和跳转</x:v>
      </x:c>
      <x:c r="R74" s="5" t="str">
        <x:v>交互</x:v>
      </x:c>
      <x:c r="S74" s="5" t="str">
        <x:v>进入对应功能测试前</x:v>
      </x:c>
      <x:c r="T74" s="5" t="str">
        <x:v>待前置结论</x:v>
      </x:c>
    </x:row>
    <x:row r="75" ht="55.5" customHeight="1">
      <x:c r="A75" s="50" t="str">
        <x:v>Q-074</x:v>
      </x:c>
      <x:c r="B75" s="50" t="str">
        <x:v>RQ-039</x:v>
      </x:c>
      <x:c r="C75" s="50" t="str">
        <x:v>Q-072</x:v>
      </x:c>
      <x:c r="D75" s="50" t="str">
        <x:v>Q-072 选择 A 后</x:v>
      </x:c>
      <x:c r="E75" s="5" t="str">
        <x:v>部分阻塞</x:v>
      </x:c>
      <x:c r="F75" s="5" t="str">
        <x:v>用户App-直播</x:v>
      </x:c>
      <x:c r="G75" s="5" t="str">
        <x:v>产品确认用户App需要提供幸运礼物规则入口，用户打开规则内容</x:v>
      </x:c>
      <x:c r="H75" s="5" t="str">
        <x:v>需求范围</x:v>
      </x:c>
      <x:c r="I75" s="39" t="str">
        <x:v>用户App的幸运礼物规则入口展示哪一组规则内容？</x:v>
      </x:c>
      <x:c r="J75" s="5" t="str">
        <x:v>A. 同时展示返奖档位和各连抽数量的概率
B. 只展示返奖档位
C. 只展示各连抽数量的概率
D. 只展示玩法说明，不展示具体档位和概率</x:v>
      </x:c>
      <x:c r="K75" s="40" t="str">
        <x:v>建议 A；与当前派生需求中展示中奖概率和奖励档位的范围一致。</x:v>
      </x:c>
      <x:c r="L75" s="44" t="str"/>
      <x:c r="M75" s="44" t="str"/>
      <x:c r="N75" s="5" t="str">
        <x:v>1. 系统概要定义返奖档位和三组概率
2. 派生需求写礼物面板或详情展示中奖概率与奖励档位</x:v>
      </x:c>
      <x:c r="O75" s="5" t="str">
        <x:v>1. 用户App / 幸运礼物规则内容
2. 后台幸运礼物配置与用户端展示一致性</x:v>
      </x:c>
      <x:c r="P75" s="5" t="str"/>
      <x:c r="Q75" s="5" t="str">
        <x:v>1. 幸运礼物返奖档位展示
2. 幸运礼物概率展示</x:v>
      </x:c>
      <x:c r="R75" s="5" t="str">
        <x:v>产品</x:v>
      </x:c>
      <x:c r="S75" s="5" t="str">
        <x:v>进入对应功能测试前</x:v>
      </x:c>
      <x:c r="T75" s="5" t="str">
        <x:v>待前置结论</x:v>
      </x:c>
    </x:row>
    <x:row r="76" ht="43.5" customHeight="1">
      <x:c r="A76" s="45" t="str">
        <x:v>Q-075</x:v>
      </x:c>
      <x:c r="B76" s="49" t="str">
        <x:v>RQ-040</x:v>
      </x:c>
      <x:c r="C76" s="45" t="str"/>
      <x:c r="D76" s="45" t="str"/>
      <x:c r="E76" s="45" t="str">
        <x:v>部分阻塞</x:v>
      </x:c>
      <x:c r="F76" s="45" t="str">
        <x:v>用户App-直播</x:v>
      </x:c>
      <x:c r="G76" s="45" t="str">
        <x:v>普通用户一次赠送多个幸运礼物并完成开奖，需要查看本次开奖结果</x:v>
      </x:c>
      <x:c r="H76" s="45" t="str">
        <x:v>需求范围</x:v>
      </x:c>
      <x:c r="I76" s="46" t="str">
        <x:v>用户App是否提供本次赠送的逐个开奖结果明细？</x:v>
      </x:c>
      <x:c r="J76" s="45" t="str">
        <x:v>A. 提供逐个开奖结果明细，每个幸运礼物显示一条结果
B. 只展示本次赠送的汇总开奖结果
C. 不提供开奖明细，只展示中奖播报和返奖后的金币余额</x:v>
      </x:c>
      <x:c r="K76" s="47" t="str">
        <x:v>建议 C；当前用户App原型只有中奖播报和礼物面板余额，没有开奖明细入口。</x:v>
      </x:c>
      <x:c r="L76" s="48" t="str"/>
      <x:c r="M76" s="48" t="str"/>
      <x:c r="N76" s="45" t="str">
        <x:v>1. 系统概要写每个幸运礼物独立开奖
2. 当前用户App原型没有开奖明细入口</x:v>
      </x:c>
      <x:c r="O76" s="45" t="str">
        <x:v>1. 用户App / 幸运礼物赠送结果
2. 多份幸运礼物独立开奖验证方式</x:v>
      </x:c>
      <x:c r="P76" s="45" t="str"/>
      <x:c r="Q76" s="45" t="str">
        <x:v>1. 多份幸运礼物开奖结果展示</x:v>
      </x:c>
      <x:c r="R76" s="45" t="str">
        <x:v>产品</x:v>
      </x:c>
      <x:c r="S76" s="45" t="str">
        <x:v>进入对应功能测试前</x:v>
      </x:c>
      <x:c r="T76" s="45" t="str">
        <x:v>待确认</x:v>
      </x:c>
    </x:row>
    <x:row r="77" ht="67.5" customHeight="1">
      <x:c r="A77" s="45" t="str">
        <x:v>Q-076</x:v>
      </x:c>
      <x:c r="B77" s="49" t="str">
        <x:v>RQ-041</x:v>
      </x:c>
      <x:c r="C77" s="45" t="str"/>
      <x:c r="D77" s="45" t="str"/>
      <x:c r="E77" s="45" t="str">
        <x:v>部分阻塞</x:v>
      </x:c>
      <x:c r="F77" s="45" t="str">
        <x:v>用户App-直播</x:v>
      </x:c>
      <x:c r="G77" s="45" t="str">
        <x:v>观众已提交直播场次举报，管理后台尚未处理时目标直播结束</x:v>
      </x:c>
      <x:c r="H77" s="45" t="str">
        <x:v>流程与状态</x:v>
      </x:c>
      <x:c r="I77" s="46" t="str">
        <x:v>直播场次结束后，已提交且未处理的举报工单采用哪一种状态规则？</x:v>
      </x:c>
      <x:c r="J77" s="45" t="str">
        <x:v>A. 举报工单自动作废，不再允许审核
B. 举报工单继续保持待审核，仍允许完成处置</x:v>
      </x:c>
      <x:c r="K77" s="47" t="str">
        <x:v>建议 A；系统概要和管理后台举报页面均实现自动作废，只有公共批注给出继续审核的相反规则。</x:v>
      </x:c>
      <x:c r="L77" s="48" t="str"/>
      <x:c r="M77" s="48" t="str"/>
      <x:c r="N77" s="45" t="str">
        <x:v>1. context/系统概要 .md 第263行写直播结束后举报工单自动作废
2. prototype/pages/admin/content/admin-report-detail.html 和 admin-report-handling.html 实现自动作废
3. prototype/assets/annotations.js 第323条写已提交工单不因直播结束而终止审核</x:v>
      </x:c>
      <x:c r="O77" s="45" t="str">
        <x:v>1. 用户App / 直播举报提交
2. 管理后台 / 举报工单状态与处置</x:v>
      </x:c>
      <x:c r="P77" s="45" t="str"/>
      <x:c r="Q77" s="45" t="str">
        <x:v>1. 直播结束后的举报工单状态
2. 结束后继续处置或作废拦截</x:v>
      </x:c>
      <x:c r="R77" s="45" t="str">
        <x:v>产品</x:v>
      </x:c>
      <x:c r="S77" s="45" t="str">
        <x:v>进入对应功能测试前</x:v>
      </x:c>
      <x:c r="T77" s="45" t="str">
        <x:v>待确认</x:v>
      </x:c>
    </x:row>
    <x:row r="78" ht="43.5" customHeight="1">
      <x:c r="A78" s="45" t="str">
        <x:v>Q-077</x:v>
      </x:c>
      <x:c r="B78" s="49" t="str">
        <x:v>RQ-042</x:v>
      </x:c>
      <x:c r="C78" s="45" t="str"/>
      <x:c r="D78" s="45" t="str"/>
      <x:c r="E78" s="45" t="str">
        <x:v>部分阻塞</x:v>
      </x:c>
      <x:c r="F78" s="45" t="str">
        <x:v>用户App-系统入口</x:v>
      </x:c>
      <x:c r="G78" s="45" t="str">
        <x:v>手机号密码登录失败后继续尝试登录</x:v>
      </x:c>
      <x:c r="H78" s="45" t="str">
        <x:v>业务规则</x:v>
      </x:c>
      <x:c r="I78" s="46" t="str">
        <x:v>连续密码错误达到多少次后限制继续登录？</x:v>
      </x:c>
      <x:c r="J78" s="45" t="str">
        <x:v>A. 连续错误 5 次后限制
B. 连续错误 10 次后限制
C. 不按次数限制，仅依赖统一风控</x:v>
      </x:c>
      <x:c r="K78" s="47" t="str">
        <x:v>建议 A；该方案规则明确且便于形成可重复验证的边界。</x:v>
      </x:c>
      <x:c r="L78" s="48" t="str"/>
      <x:c r="M78" s="48" t="str"/>
      <x:c r="N78" s="45" t="str">
        <x:v>1. 手机号验证码已定义连续错误 5 次失效
2. 当前需求未定义密码错误次数和恢复方式</x:v>
      </x:c>
      <x:c r="O78" s="45" t="str">
        <x:v>1. 手机号密码登录
2. 账号安全风控</x:v>
      </x:c>
      <x:c r="P78" s="45" t="str"/>
      <x:c r="Q78" s="45" t="str">
        <x:v>1. 密码错误次数边界
2. 限制后的恢复方式</x:v>
      </x:c>
      <x:c r="R78" s="45" t="str">
        <x:v>多方确认</x:v>
      </x:c>
      <x:c r="S78" s="45" t="str">
        <x:v>进入对应功能测试前</x:v>
      </x:c>
      <x:c r="T78" s="45" t="str">
        <x:v>待确认</x:v>
      </x:c>
    </x:row>
    <x:row r="79" ht="43.5" customHeight="1">
      <x:c r="A79" s="45" t="str">
        <x:v>Q-078</x:v>
      </x:c>
      <x:c r="B79" s="49" t="str">
        <x:v>RQ-043</x:v>
      </x:c>
      <x:c r="C79" s="45" t="str"/>
      <x:c r="D79" s="45" t="str"/>
      <x:c r="E79" s="45" t="str">
        <x:v>部分阻塞</x:v>
      </x:c>
      <x:c r="F79" s="45" t="str">
        <x:v>用户App-首页与福利</x:v>
      </x:c>
      <x:c r="G79" s="45" t="str">
        <x:v>用户连续签到后发生一天断签</x:v>
      </x:c>
      <x:c r="H79" s="45" t="str">
        <x:v>业务规则</x:v>
      </x:c>
      <x:c r="I79" s="46" t="str">
        <x:v>断签后连续签到进度如何处理？</x:v>
      </x:c>
      <x:c r="J79" s="45" t="str">
        <x:v>A. 次日从第 1 天重新累计
B. 保留累计天数但连续天数清零
C. 允许使用补签道具后延续原连续进度</x:v>
      </x:c>
      <x:c r="K79" s="47" t="str">
        <x:v>建议 A；该方案规则明确且便于形成可重复验证的边界。</x:v>
      </x:c>
      <x:c r="L79" s="48" t="str"/>
      <x:c r="M79" s="48" t="str"/>
      <x:c r="N79" s="45" t="str">
        <x:v>1. 需求要求展示断签重置规则
2. 当前原型和需求未给出最终处理方式</x:v>
      </x:c>
      <x:c r="O79" s="45" t="str">
        <x:v>1. 福利中心签到进度
2. 连续签到额外奖励</x:v>
      </x:c>
      <x:c r="P79" s="45" t="str"/>
      <x:c r="Q79" s="45" t="str">
        <x:v>1. 断签后的进度
2. 补签规则
3. 连续奖励重算</x:v>
      </x:c>
      <x:c r="R79" s="45" t="str">
        <x:v>产品</x:v>
      </x:c>
      <x:c r="S79" s="45" t="str">
        <x:v>进入对应功能测试前</x:v>
      </x:c>
      <x:c r="T79" s="45" t="str">
        <x:v>待确认</x:v>
      </x:c>
    </x:row>
    <x:row r="80" ht="43.5" customHeight="1">
      <x:c r="A80" s="45" t="str">
        <x:v>Q-079</x:v>
      </x:c>
      <x:c r="B80" s="49" t="str">
        <x:v>RQ-044</x:v>
      </x:c>
      <x:c r="C80" s="45" t="str"/>
      <x:c r="D80" s="45" t="str"/>
      <x:c r="E80" s="45" t="str">
        <x:v>部分阻塞</x:v>
      </x:c>
      <x:c r="F80" s="45" t="str">
        <x:v>用户App-首页与福利</x:v>
      </x:c>
      <x:c r="G80" s="45" t="str">
        <x:v>任务达到完成条件后等待领取奖励</x:v>
      </x:c>
      <x:c r="H80" s="45" t="str">
        <x:v>业务规则</x:v>
      </x:c>
      <x:c r="I80" s="46" t="str">
        <x:v>当前版本的任务奖励采用哪一种领取方式？</x:v>
      </x:c>
      <x:c r="J80" s="45" t="str">
        <x:v>A. 全部由用户手动领取
B. 全部自动发放
C. 按后台任务配置决定手动或自动</x:v>
      </x:c>
      <x:c r="K80" s="47" t="str">
        <x:v>建议 A；当前后台批注明确奖励由用户手动领取。</x:v>
      </x:c>
      <x:c r="L80" s="48" t="str"/>
      <x:c r="M80" s="48" t="str"/>
      <x:c r="N80" s="45" t="str">
        <x:v>1. 需求写手动或自动领取
2. 后台任务批注写奖励由用户手动领取</x:v>
      </x:c>
      <x:c r="O80" s="45" t="str">
        <x:v>1. 福利中心任务状态
2. 金币或道具奖励到账</x:v>
      </x:c>
      <x:c r="P80" s="45" t="str"/>
      <x:c r="Q80" s="45" t="str">
        <x:v>1. 任务完成后的状态
2. 手动领取
3. 自动到账</x:v>
      </x:c>
      <x:c r="R80" s="45" t="str">
        <x:v>产品</x:v>
      </x:c>
      <x:c r="S80" s="45" t="str">
        <x:v>进入对应功能测试前</x:v>
      </x:c>
      <x:c r="T80" s="45" t="str">
        <x:v>待确认</x:v>
      </x:c>
    </x:row>
    <x:row r="81" ht="43.5" customHeight="1">
      <x:c r="A81" s="45" t="str">
        <x:v>Q-080</x:v>
      </x:c>
      <x:c r="B81" s="49" t="str">
        <x:v>RQ-045</x:v>
      </x:c>
      <x:c r="C81" s="45" t="str"/>
      <x:c r="D81" s="45" t="str"/>
      <x:c r="E81" s="45" t="str">
        <x:v>部分阻塞</x:v>
      </x:c>
      <x:c r="F81" s="45" t="str">
        <x:v>用户App-首页与福利</x:v>
      </x:c>
      <x:c r="G81" s="45" t="str">
        <x:v>邀请关系命中设备、支付账号或异常绑定风控</x:v>
      </x:c>
      <x:c r="H81" s="45" t="str">
        <x:v>异常处理</x:v>
      </x:c>
      <x:c r="I81" s="46" t="str">
        <x:v>命中邀请风控后的奖励最终采用哪一种状态？</x:v>
      </x:c>
      <x:c r="J81" s="45" t="str">
        <x:v>A. 不生成奖励记录
B. 生成冻结奖励记录，审核后解冻或作废
C. 按风控等级分别不发放或冻结，并读取后台配置</x:v>
      </x:c>
      <x:c r="K81" s="47" t="str">
        <x:v>建议 A；该方案规则明确且便于形成可重复验证的边界。</x:v>
      </x:c>
      <x:c r="L81" s="48" t="str"/>
      <x:c r="M81" s="48" t="str"/>
      <x:c r="N81" s="45" t="str">
        <x:v>1. 需求写奖励不发放或冻结
2. 原型未展示冻结记录及其后续状态</x:v>
      </x:c>
      <x:c r="O81" s="45" t="str">
        <x:v>1. 邀请累计奖励
2. 邀请成员返利明细
3. 金币余额</x:v>
      </x:c>
      <x:c r="P81" s="45" t="str"/>
      <x:c r="Q81" s="45" t="str">
        <x:v>1. 不发放记录
2. 冻结记录
3. 审核后的状态</x:v>
      </x:c>
      <x:c r="R81" s="45" t="str">
        <x:v>多方确认</x:v>
      </x:c>
      <x:c r="S81" s="45" t="str">
        <x:v>进入对应功能测试前</x:v>
      </x:c>
      <x:c r="T81" s="45" t="str">
        <x:v>待确认</x:v>
      </x:c>
    </x:row>
    <x:row r="82" ht="43.5" customHeight="1">
      <x:c r="A82" s="45" t="str">
        <x:v>Q-081</x:v>
      </x:c>
      <x:c r="B82" s="49" t="str">
        <x:v>RQ-046</x:v>
      </x:c>
      <x:c r="C82" s="45" t="str"/>
      <x:c r="D82" s="45" t="str"/>
      <x:c r="E82" s="45" t="str">
        <x:v>部分阻塞</x:v>
      </x:c>
      <x:c r="F82" s="45" t="str">
        <x:v>用户App-消息与社交</x:v>
      </x:c>
      <x:c r="G82" s="45" t="str">
        <x:v>双方账号拉黑后查看粉丝团群聊历史消息</x:v>
      </x:c>
      <x:c r="H82" s="45" t="str">
        <x:v>业务规则</x:v>
      </x:c>
      <x:c r="I82" s="46" t="str">
        <x:v>账号拉黑双方的历史群消息如何展示？</x:v>
      </x:c>
      <x:c r="J82" s="45" t="str">
        <x:v>A. 仅隐藏拉黑生效后的新消息
B. 历史和新消息均互相不可见
C. 历史消息保留，新消息折叠并允许手动查看</x:v>
      </x:c>
      <x:c r="K82" s="47" t="str">
        <x:v>建议 A；该方案规则明确且便于形成可重复验证的边界。</x:v>
      </x:c>
      <x:c r="L82" s="48" t="str"/>
      <x:c r="M82" s="48" t="str"/>
      <x:c r="N82" s="45" t="str">
        <x:v>1. 批注明确账号拉黑双方群消息互相不可见
2. 未明确是否追溯到历史消息</x:v>
      </x:c>
      <x:c r="O82" s="45" t="str">
        <x:v>1. 粉丝团群聊历史
2. 拉黑生效后的新消息</x:v>
      </x:c>
      <x:c r="P82" s="45" t="str"/>
      <x:c r="Q82" s="45" t="str">
        <x:v>1. 历史消息可见性
2. 新消息可见性</x:v>
      </x:c>
      <x:c r="R82" s="45" t="str">
        <x:v>产品</x:v>
      </x:c>
      <x:c r="S82" s="45" t="str">
        <x:v>进入对应功能测试前</x:v>
      </x:c>
      <x:c r="T82" s="45" t="str">
        <x:v>待确认</x:v>
      </x:c>
    </x:row>
    <x:row r="83" ht="43.5" customHeight="1">
      <x:c r="A83" s="45" t="str">
        <x:v>Q-082</x:v>
      </x:c>
      <x:c r="B83" s="49" t="str">
        <x:v>RQ-047</x:v>
      </x:c>
      <x:c r="C83" s="45" t="str"/>
      <x:c r="D83" s="45" t="str"/>
      <x:c r="E83" s="45" t="str">
        <x:v>部分阻塞</x:v>
      </x:c>
      <x:c r="F83" s="45" t="str">
        <x:v>用户App-我的与粉丝团</x:v>
      </x:c>
      <x:c r="G83" s="45" t="str">
        <x:v>用户修改昵称、签名或其他文本资料</x:v>
      </x:c>
      <x:c r="H83" s="45" t="str">
        <x:v>字段与数据校验</x:v>
      </x:c>
      <x:c r="I83" s="46" t="str">
        <x:v>各文本资料字段的长度与字符限制采用哪一组规则？</x:v>
      </x:c>
      <x:c r="J83" s="45" t="str">
        <x:v>A. 按产品给出的固定字段上限
B. 读取后台字段配置作为唯一依据
C. 仅限制非空字段，当前版本不设额外长度上限</x:v>
      </x:c>
      <x:c r="K83" s="47" t="str">
        <x:v>建议 A；该方案规则明确且便于形成可重复验证的边界。</x:v>
      </x:c>
      <x:c r="L83" s="48" t="str"/>
      <x:c r="M83" s="48" t="str"/>
      <x:c r="N83" s="45" t="str">
        <x:v>1. 原型提供资料编辑入口
2. 现行资料未给出昵称、签名等字段长度和字符规则</x:v>
      </x:c>
      <x:c r="O83" s="45" t="str">
        <x:v>1. 昵称
2. 个性签名
3. 地区自定义内容</x:v>
      </x:c>
      <x:c r="P83" s="45" t="str"/>
      <x:c r="Q83" s="45" t="str">
        <x:v>1. 最小长度
2. 最大长度
3. 特殊字符和空白字符</x:v>
      </x:c>
      <x:c r="R83" s="45" t="str">
        <x:v>产品</x:v>
      </x:c>
      <x:c r="S83" s="45" t="str">
        <x:v>进入对应功能测试前</x:v>
      </x:c>
      <x:c r="T83" s="45" t="str">
        <x:v>待确认</x:v>
      </x:c>
    </x:row>
    <x:row r="84" ht="43.5" customHeight="1">
      <x:c r="A84" s="45" t="str">
        <x:v>Q-083</x:v>
      </x:c>
      <x:c r="B84" s="49" t="str">
        <x:v>RQ-048</x:v>
      </x:c>
      <x:c r="C84" s="45" t="str"/>
      <x:c r="D84" s="45" t="str"/>
      <x:c r="E84" s="45" t="str">
        <x:v>部分阻塞</x:v>
      </x:c>
      <x:c r="F84" s="45" t="str">
        <x:v>用户App-我的与粉丝团</x:v>
      </x:c>
      <x:c r="G84" s="45" t="str">
        <x:v>用户满足资产条件并进入账号注销冷静期</x:v>
      </x:c>
      <x:c r="H84" s="45" t="str">
        <x:v>配置和历史数据影响</x:v>
      </x:c>
      <x:c r="I84" s="46" t="str">
        <x:v>冷静期内重新登录后注销申请如何处理？</x:v>
      </x:c>
      <x:c r="J84" s="45" t="str">
        <x:v>A. 登录即自动撤销注销
B. 允许登录但注销申请继续
C. 禁止登录，只提供撤销注销入口</x:v>
      </x:c>
      <x:c r="K84" s="47" t="str">
        <x:v>建议 A；该方案规则明确且便于形成可重复验证的边界。</x:v>
      </x:c>
      <x:c r="L84" s="48" t="str"/>
      <x:c r="M84" s="48" t="str"/>
      <x:c r="N84" s="45" t="str">
        <x:v>1. 需求只说明按平台规则冷静期后清除账号
2. 未定义冷静期内登录与撤销关系</x:v>
      </x:c>
      <x:c r="O84" s="45" t="str">
        <x:v>1. 登录
2. 账号注销状态
3. 冷静期撤销</x:v>
      </x:c>
      <x:c r="P84" s="45" t="str"/>
      <x:c r="Q84" s="45" t="str">
        <x:v>1. 冷静期登录
2. 撤销注销
3. 再次提交注销</x:v>
      </x:c>
      <x:c r="R84" s="45" t="str">
        <x:v>产品</x:v>
      </x:c>
      <x:c r="S84" s="45" t="str">
        <x:v>进入对应功能测试前</x:v>
      </x:c>
      <x:c r="T84" s="45" t="str">
        <x:v>待确认</x:v>
      </x:c>
    </x:row>
    <x:row r="85" ht="43.5" customHeight="1">
      <x:c r="A85" s="45" t="str">
        <x:v>Q-084</x:v>
      </x:c>
      <x:c r="B85" s="49" t="str">
        <x:v>RQ-049</x:v>
      </x:c>
      <x:c r="C85" s="45" t="str"/>
      <x:c r="D85" s="45" t="str"/>
      <x:c r="E85" s="45" t="str">
        <x:v>部分阻塞</x:v>
      </x:c>
      <x:c r="F85" s="45" t="str">
        <x:v>用户App-我的与粉丝团</x:v>
      </x:c>
      <x:c r="G85" s="45" t="str">
        <x:v>用户重新加入曾退出或被移出的粉丝团</x:v>
      </x:c>
      <x:c r="H85" s="45" t="str">
        <x:v>流程与状态</x:v>
      </x:c>
      <x:c r="I85" s="46" t="str">
        <x:v>重新入团后的粉丝等级和亲密度从什么初始值开始？</x:v>
      </x:c>
      <x:c r="J85" s="45" t="str">
        <x:v>A. 两项均从 0 开始
B. 两项均从后台配置的初始值开始
C. 粉丝等级从 0 开始，亲密度从后台配置初始值开始</x:v>
      </x:c>
      <x:c r="K85" s="47" t="str">
        <x:v>建议 A；该方案规则明确且便于形成可重复验证的边界。</x:v>
      </x:c>
      <x:c r="L85" s="48" t="str"/>
      <x:c r="M85" s="48" t="str"/>
      <x:c r="N85" s="45" t="str">
        <x:v>1. 系统概要和批注写重新加入不恢复旧值
2. 未明确新关系的初始值是否固定为 0 或可配置</x:v>
      </x:c>
      <x:c r="O85" s="45" t="str">
        <x:v>1. 粉丝团关系
2. 粉丝等级
3. 亲密度</x:v>
      </x:c>
      <x:c r="P85" s="45" t="str"/>
      <x:c r="Q85" s="45" t="str">
        <x:v>1. 重新入团初始值
2. 首次行为后的成长值</x:v>
      </x:c>
      <x:c r="R85" s="45" t="str">
        <x:v>产品</x:v>
      </x:c>
      <x:c r="S85" s="45" t="str">
        <x:v>进入对应功能测试前</x:v>
      </x:c>
      <x:c r="T85" s="45" t="str">
        <x:v>待确认</x:v>
      </x:c>
    </x:row>
    <x:row r="86" ht="67.5" customHeight="1">
      <x:c r="A86" s="45" t="str">
        <x:v>Q-085</x:v>
      </x:c>
      <x:c r="B86" s="49" t="str">
        <x:v>RQ-050</x:v>
      </x:c>
      <x:c r="C86" s="45" t="str"/>
      <x:c r="D86" s="45" t="str"/>
      <x:c r="E86" s="45" t="str">
        <x:v>部分阻塞</x:v>
      </x:c>
      <x:c r="F86" s="45" t="str">
        <x:v>用户App-我的与粉丝团</x:v>
      </x:c>
      <x:c r="G86" s="45" t="str">
        <x:v>项目中存在 my-outfits.html 装扮分类页，但用户 App 页面树、页面架构和现行导航均未登记入口</x:v>
      </x:c>
      <x:c r="H86" s="45" t="str">
        <x:v>需求范围</x:v>
      </x:c>
      <x:c r="I86" s="46" t="str">
        <x:v>my-outfits.html 装扮分类页在当前版本如何处理？</x:v>
      </x:c>
      <x:c r="J86" s="45" t="str">
        <x:v>A. 补充用户端入口并作为现行装扮分类页
B. 明确废弃该孤立页面，以现有我的装扮及三个分类页为准
C. 仅保留为原型调试视图，不作为可交付用户功能</x:v>
      </x:c>
      <x:c r="K86" s="47" t="str">
        <x:v>建议 B；现行页面树已由我的装扮主页和三个明确分类页完整承载该功能。</x:v>
      </x:c>
      <x:c r="L86" s="48" t="str"/>
      <x:c r="M86" s="48" t="str"/>
      <x:c r="N86" s="45" t="str">
        <x:v>1. prototype/pages/user/profile/my-outfits.html 实现全部、头像框、勋章和气泡分类
2. prototype/index.html 和 context/01-用户主播App-页面架构.md 未登记该页
3. profile.html 与 my-decoration.html 未发现进入该页的导航</x:v>
      </x:c>
      <x:c r="O86" s="45" t="str">
        <x:v>1. 我的装扮
2. 用户 App 页面树
3. 头像框、勋章和气泡入口</x:v>
      </x:c>
      <x:c r="P86" s="45" t="str"/>
      <x:c r="Q86" s="45" t="str">
        <x:v>1. 页面入口
2. 分类筛选
3. 穿戴互斥
4. 空态</x:v>
      </x:c>
      <x:c r="R86" s="45" t="str">
        <x:v>产品</x:v>
      </x:c>
      <x:c r="S86" s="45" t="str">
        <x:v>进入对应功能测试前</x:v>
      </x:c>
      <x:c r="T86" s="45" t="str">
        <x:v>待确认</x:v>
      </x:c>
    </x:row>
    <x:row r="87" ht="43.5" customHeight="1">
      <x:c r="A87" s="45" t="str">
        <x:v>Q-086</x:v>
      </x:c>
      <x:c r="B87" s="49" t="str">
        <x:v>RQ-051</x:v>
      </x:c>
      <x:c r="C87" s="45" t="str"/>
      <x:c r="D87" s="45" t="str"/>
      <x:c r="E87" s="45" t="str">
        <x:v>部分阻塞</x:v>
      </x:c>
      <x:c r="F87" s="45" t="str">
        <x:v>用户App-公会关系</x:v>
      </x:c>
      <x:c r="G87" s="45" t="str">
        <x:v>主播正在直播或存在未结算收益时提交退会申请</x:v>
      </x:c>
      <x:c r="H87" s="45" t="str">
        <x:v>流程与状态</x:v>
      </x:c>
      <x:c r="I87" s="46" t="str">
        <x:v>退会限制在用户端何时生效？</x:v>
      </x:c>
      <x:c r="J87" s="45" t="str">
        <x:v>A. 提交申请时直接阻止
B. 允许提交，公会审批通过时阻止
C. 允许审批通过，待直播结束且收益结清后自动退会</x:v>
      </x:c>
      <x:c r="K87" s="47" t="str">
        <x:v>建议 A；该方案规则明确且便于形成可重复验证的边界。</x:v>
      </x:c>
      <x:c r="L87" s="48" t="str"/>
      <x:c r="M87" s="48" t="str"/>
      <x:c r="N87" s="45" t="str">
        <x:v>1. 公会端批注写正在直播或存在未结算收益时不可通过退会申请
2. 用户端当前资料未说明提交阶段是否拦截</x:v>
      </x:c>
      <x:c r="O87" s="45" t="str">
        <x:v>1. 退会申请提交
2. 公会审批
3. 主播身份和直播状态</x:v>
      </x:c>
      <x:c r="P87" s="45" t="str"/>
      <x:c r="Q87" s="45" t="str">
        <x:v>1. 直播中提交退会
2. 有未结算收益提交退会
3. 条件消除后的处理</x:v>
      </x:c>
      <x:c r="R87" s="45" t="str">
        <x:v>多方确认</x:v>
      </x:c>
      <x:c r="S87" s="45" t="str">
        <x:v>进入对应功能测试前</x:v>
      </x:c>
      <x:c r="T87" s="45" t="str">
        <x:v>待确认</x:v>
      </x:c>
    </x:row>
    <x:row r="88" ht="43.5" customHeight="1">
      <x:c r="A88" s="45" t="str">
        <x:v>Q-087</x:v>
      </x:c>
      <x:c r="B88" s="49" t="str">
        <x:v>RQ-052</x:v>
      </x:c>
      <x:c r="C88" s="45" t="str"/>
      <x:c r="D88" s="45" t="str"/>
      <x:c r="E88" s="45" t="str">
        <x:v>部分阻塞</x:v>
      </x:c>
      <x:c r="F88" s="45" t="str">
        <x:v>用户App-主播中心</x:v>
      </x:c>
      <x:c r="G88" s="45" t="str">
        <x:v>主播查看主播等级标签和升级进度</x:v>
      </x:c>
      <x:c r="H88" s="45" t="str">
        <x:v>计算与统计口径</x:v>
      </x:c>
      <x:c r="I88" s="46" t="str">
        <x:v>主播等级阈值和升级权益采用哪一种来源？</x:v>
      </x:c>
      <x:c r="J88" s="45" t="str">
        <x:v>A. 读取后台主播等级配置作为唯一依据
B. 当前版本仅展示等级数字，不展示升级权益
C. 按产品给出的固定阈值和权益表</x:v>
      </x:c>
      <x:c r="K88" s="47" t="str">
        <x:v>建议 A；该方案规则明确且便于形成可重复验证的边界。</x:v>
      </x:c>
      <x:c r="L88" s="48" t="str"/>
      <x:c r="M88" s="48" t="str"/>
      <x:c r="N88" s="45" t="str">
        <x:v>1. 项目说明和需求写主播等级按累计收到贡献值计算
2. 等级阈值和权益尚未定义</x:v>
      </x:c>
      <x:c r="O88" s="45" t="str">
        <x:v>1. 主播中心
2. 主播主页
3. 排行榜</x:v>
      </x:c>
      <x:c r="P88" s="45" t="str"/>
      <x:c r="Q88" s="45" t="str">
        <x:v>1. 等级边界
2. 升级回显
3. 等级权益</x:v>
      </x:c>
      <x:c r="R88" s="45" t="str">
        <x:v>产品</x:v>
      </x:c>
      <x:c r="S88" s="45" t="str">
        <x:v>进入对应功能测试前</x:v>
      </x:c>
      <x:c r="T88" s="45" t="str">
        <x:v>待确认</x:v>
      </x:c>
    </x:row>
    <x:row r="89" ht="55.5" customHeight="1">
      <x:c r="A89" s="45" t="str">
        <x:v>Q-088</x:v>
      </x:c>
      <x:c r="B89" s="49" t="str">
        <x:v>RQ-053</x:v>
      </x:c>
      <x:c r="C89" s="45" t="str"/>
      <x:c r="D89" s="45" t="str"/>
      <x:c r="E89" s="45" t="str">
        <x:v>部分阻塞</x:v>
      </x:c>
      <x:c r="F89" s="45" t="str">
        <x:v>用户App-钱包与账单</x:v>
      </x:c>
      <x:c r="G89" s="45" t="str">
        <x:v>后台退款或支付渠道拒付导致用户余额变为负数</x:v>
      </x:c>
      <x:c r="H89" s="45" t="str">
        <x:v>交互与文案规则</x:v>
      </x:c>
      <x:c r="I89" s="46" t="str">
        <x:v>用户端负余额采用哪一种展示和提醒方式？</x:v>
      </x:c>
      <x:c r="J89" s="45" t="str">
        <x:v>A. 余额直接展示负数，并禁止消费
B. 余额显示 0，可在明细中查看欠款
C. 余额直接展示负数，并在进入钱包时展示欠款说明</x:v>
      </x:c>
      <x:c r="K89" s="47" t="str">
        <x:v>建议 A；该方案规则明确且便于形成可重复验证的边界。</x:v>
      </x:c>
      <x:c r="L89" s="48" t="str"/>
      <x:c r="M89" s="48" t="str"/>
      <x:c r="N89" s="45" t="str">
        <x:v>1. 系统概要明确余额允许为负且负余额不能消费
2. 用户端页面未定义负余额展示和说明</x:v>
      </x:c>
      <x:c r="O89" s="45" t="str">
        <x:v>1. 我的钱包
2. 充值页
3. 余额明细
4. 直播间消费拦截</x:v>
      </x:c>
      <x:c r="P89" s="45" t="str"/>
      <x:c r="Q89" s="45" t="str">
        <x:v>1. 负余额展示
2. 消费拦截反馈
3. 后续充值抵扣说明</x:v>
      </x:c>
      <x:c r="R89" s="45" t="str">
        <x:v>产品</x:v>
      </x:c>
      <x:c r="S89" s="45" t="str">
        <x:v>进入对应功能测试前</x:v>
      </x:c>
      <x:c r="T89" s="45" t="str">
        <x:v>待确认</x:v>
      </x:c>
    </x:row>
    <x:row r="90" ht="55.5" customHeight="1">
      <x:c r="A90" s="45" t="str">
        <x:v>Q-089</x:v>
      </x:c>
      <x:c r="B90" s="49" t="str">
        <x:v>RQ-054</x:v>
      </x:c>
      <x:c r="C90" s="45" t="str"/>
      <x:c r="D90" s="45" t="str"/>
      <x:c r="E90" s="45" t="str">
        <x:v>不阻塞</x:v>
      </x:c>
      <x:c r="F90" s="45" t="str">
        <x:v>用户App-直播</x:v>
      </x:c>
      <x:c r="G90" s="45" t="str">
        <x:v>主播在较长日期范围内拥有超过一屏的历史直播记录</x:v>
      </x:c>
      <x:c r="H90" s="45" t="str">
        <x:v>业务规则</x:v>
      </x:c>
      <x:c r="I90" s="46" t="str">
        <x:v>历史直播记录数量较多时使用哪一种加载方式？</x:v>
      </x:c>
      <x:c r="J90" s="45" t="str">
        <x:v>A. 每页 20 条，通过页码切换
B. 首次 20 条，上拉后每次再加载 20 条
C. 单次最多加载 1,000 条，超过后要求缩小日期范围</x:v>
      </x:c>
      <x:c r="K90" s="47" t="str">
        <x:v>建议 B；符合移动端连续浏览习惯，也能控制首次加载数据量。</x:v>
      </x:c>
      <x:c r="L90" s="48" t="str"/>
      <x:c r="M90" s="48" t="str"/>
      <x:c r="N90" s="45" t="str">
        <x:v>1. 当前原型一次渲染全部 Mock 记录
2. 原型没有分页、上拉加载和上限说明</x:v>
      </x:c>
      <x:c r="O90" s="45" t="str">
        <x:v>1. 直播记录列表
2. 日期范围筛选
3. 大量历史记录</x:v>
      </x:c>
      <x:c r="P90" s="45" t="str"/>
      <x:c r="Q90" s="45" t="str">
        <x:v>1. 首批加载
2. 后续加载
3. 重复记录去重
4. 加载结束状态</x:v>
      </x:c>
      <x:c r="R90" s="45" t="str">
        <x:v>产品</x:v>
      </x:c>
      <x:c r="S90" s="45" t="str">
        <x:v>版本验收前</x:v>
      </x:c>
      <x:c r="T90" s="45" t="str">
        <x:v>待确认</x:v>
      </x:c>
    </x:row>
    <x:row r="91" ht="55.5" customHeight="1">
      <x:c r="A91" s="45" t="str">
        <x:v>Q-090</x:v>
      </x:c>
      <x:c r="B91" s="49" t="str">
        <x:v>RQ-055</x:v>
      </x:c>
      <x:c r="C91" s="45" t="str"/>
      <x:c r="D91" s="45" t="str"/>
      <x:c r="E91" s="45" t="str">
        <x:v>不阻塞</x:v>
      </x:c>
      <x:c r="F91" s="45" t="str">
        <x:v>用户App-直播</x:v>
      </x:c>
      <x:c r="G91" s="45" t="str">
        <x:v>主播查询一年以上的历史直播记录</x:v>
      </x:c>
      <x:c r="H91" s="45" t="str">
        <x:v>配置和历史数据影响</x:v>
      </x:c>
      <x:c r="I91" s="46" t="str">
        <x:v>用户 App 中的直播记录保留多长时间？</x:v>
      </x:c>
      <x:c r="J91" s="45" t="str">
        <x:v>A. 永久保留并允许查询
B. 保留最近 1 年
C. 保留最近 2 年
D. 保留最近 3 年</x:v>
      </x:c>
      <x:c r="K91" s="47" t="str">
        <x:v>建议 B；覆盖常用年度核对范围，并限制移动端长期历史查询成本。</x:v>
      </x:c>
      <x:c r="L91" s="48" t="str"/>
      <x:c r="M91" s="48" t="str"/>
      <x:c r="N91" s="45" t="str">
        <x:v>1. 当前原型只提供日期筛选
2. 需求和原型均未定义保留期限</x:v>
      </x:c>
      <x:c r="O91" s="45" t="str">
        <x:v>1. 直播记录历史数据
2. 日期选择器可选范围
3. 过期记录查询</x:v>
      </x:c>
      <x:c r="P91" s="45" t="str"/>
      <x:c r="Q91" s="45" t="str">
        <x:v>1. 保留期限内记录
2. 保留期限边界
3. 过期记录处理</x:v>
      </x:c>
      <x:c r="R91" s="45" t="str">
        <x:v>产品</x:v>
      </x:c>
      <x:c r="S91" s="45" t="str">
        <x:v>版本验收前</x:v>
      </x:c>
      <x:c r="T91" s="45" t="str">
        <x:v>待确认</x:v>
      </x:c>
    </x:row>
  </x:sheetData>
  <x:conditionalFormatting sqref="E2:E91">
    <x:cfRule type="containsText" dxfId="2" priority="1" operator="containsText" text="阻塞测试"/>
    <x:cfRule type="containsText" dxfId="3" priority="2" operator="containsText" text="部分阻塞"/>
    <x:cfRule type="containsText" dxfId="4" priority="3" operator="containsText" text="不阻塞"/>
  </x:conditionalFormatting>
  <x:dataValidations count="5">
    <x:dataValidation type="list" sqref="E2:E91">
      <x:formula1>"阻塞测试,部分阻塞,不阻塞"</x:formula1>
    </x:dataValidation>
    <x:dataValidation type="list" sqref="H2:H91">
      <x:formula1>"需求范围,业务规则,角色与权限,流程与状态,字段与数据校验,计算与统计口径,异常处理,跨端与跨模块一致性,配置和历史数据影响,交互与文案规则"</x:formula1>
    </x:dataValidation>
    <x:dataValidation type="list" sqref="L2:L91">
      <x:formula1>"A,B,C,D,其他"</x:formula1>
    </x:dataValidation>
    <x:dataValidation type="list" sqref="R2:R91">
      <x:formula1>"产品,交互,技术,多方确认"</x:formula1>
    </x:dataValidation>
    <x:dataValidation type="list" sqref="T2:T91">
      <x:formula1>"待前置结论,待确认,确认中,已确认,无需处理"</x:formula1>
    </x:dataValidation>
  </x:dataValidations>
  <x:pageMargins left="0.7" right="0.7" top="0.75" bottom="0.75" header="0.3" footer="0.3"/>
  <x:tableParts count="1">
    <x:tablePart xmlns:r="http://schemas.openxmlformats.org/officeDocument/2006/relationships" r:id="Ra1e045fee1014af5"/>
  </x:tableParts>
</x:worksheet>
</file>