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e784ea945ca41e2" /></Relationships>
</file>

<file path=xl/workbook.xml><?xml version="1.0" encoding="utf-8"?>
<x:workbook xmlns:x="http://schemas.openxmlformats.org/spreadsheetml/2006/main">
  <x:sheets>
    <x:sheet xmlns:r="http://schemas.openxmlformats.org/officeDocument/2006/relationships" name="产品决策概览" sheetId="1" r:id="R0e718b834d644164"/>
    <x:sheet xmlns:r="http://schemas.openxmlformats.org/officeDocument/2006/relationships" name="功能测试用例" sheetId="2" r:id="Rcafa7030f12f46c1"/>
    <x:sheet xmlns:r="http://schemas.openxmlformats.org/officeDocument/2006/relationships" name="需求待确认" sheetId="3" r:id="Rfe8c6195e22f43cb"/>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11827"/>
      <x:name val="Arial"/>
    </x:font>
    <x:font>
      <x:b/>
      <x:sz val="10"/>
      <x:color rgb="FFFFFFFF"/>
      <x:name val="Arial"/>
    </x:font>
    <x:font>
      <x:b/>
      <x:sz val="15"/>
      <x:color rgb="FF111827"/>
      <x:name val="Arial"/>
    </x:font>
    <x:font>
      <x:i/>
      <x:sz val="10"/>
      <x:color rgb="FF64748B"/>
      <x:name val="Arial"/>
    </x:font>
  </x:fonts>
  <x:fills count="4">
    <x:fill>
      <x:patternFill patternType="none"/>
    </x:fill>
    <x:fill>
      <x:patternFill patternType="gray125"/>
    </x:fill>
    <x:fill>
      <x:patternFill patternType="solid">
        <x:fgColor rgb="FF243447"/>
      </x:patternFill>
    </x:fill>
    <x:fill>
      <x:patternFill patternType="solid">
        <x:fgColor rgb="FFFFF4CC"/>
      </x:patternFill>
    </x:fill>
  </x:fills>
  <x:borders count="2">
    <x:border/>
    <x:border>
      <x:left style="thin">
        <x:color rgb="FFCBD5E1"/>
      </x:left>
      <x:right style="thin">
        <x:color rgb="FFCBD5E1"/>
      </x:right>
      <x:top style="thin">
        <x:color rgb="FFCBD5E1"/>
      </x:top>
      <x:bottom style="thin">
        <x:color rgb="FFCBD5E1"/>
      </x:bottom>
    </x:border>
  </x:borders>
  <x:cellStyleXfs count="1">
    <x:xf numFmtId="0" fontId="0" fillId="0" borderId="0"/>
  </x:cellStyleXfs>
  <x:cellXfs count="15">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0" fontId="2" fillId="2" borderId="1" xfId="0" applyNumberFormat="1" applyFont="1" applyFill="1" applyBorder="1" applyAlignment="1">
      <x:alignment vertical="center" wrapText="1"/>
    </x:xf>
    <x:xf numFmtId="0" fontId="2" fillId="2" borderId="1" xfId="0" applyNumberFormat="1" applyFont="1" applyFill="1" applyBorder="1" applyAlignment="1">
      <x:alignment horizontal="center" vertical="center" wrapText="1"/>
    </x:xf>
    <x:xf numFmtId="0" fontId="1" fillId="3" borderId="1" xfId="0" applyNumberFormat="1" applyFont="1" applyFill="1" applyBorder="1" applyAlignment="1">
      <x:alignment vertical="center" wrapText="1"/>
    </x:xf>
    <x:xf numFmtId="0" fontId="1"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1" xfId="0" applyNumberFormat="1" applyFont="1" applyFill="1" applyBorder="1" applyAlignment="1">
      <x:alignment vertical="center"/>
    </x:xf>
    <x:xf numFmtId="0" fontId="2" fillId="2" borderId="1"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a775e7c71e6434b" /><Relationship Type="http://schemas.openxmlformats.org/officeDocument/2006/relationships/theme" Target="/xl/theme/theme1.xml" Id="R69d58cce16454443" /><Relationship Type="http://schemas.openxmlformats.org/officeDocument/2006/relationships/sharedStrings" Target="/xl/sharedStrings.xml" Id="Ra5fc48b37d734285" /><Relationship Type="http://schemas.openxmlformats.org/officeDocument/2006/relationships/worksheet" Target="/xl/worksheets/sheet1.xml" Id="R0e718b834d644164" /><Relationship Type="http://schemas.openxmlformats.org/officeDocument/2006/relationships/worksheet" Target="/xl/worksheets/sheet2.xml" Id="Rcafa7030f12f46c1" /><Relationship Type="http://schemas.openxmlformats.org/officeDocument/2006/relationships/worksheet" Target="/xl/worksheets/sheet3.xml" Id="Rfe8c6195e22f43cb" /></Relationships>
</file>

<file path=xl/tables/table1.xml><?xml version="1.0" encoding="utf-8"?>
<x:table xmlns:x="http://schemas.openxmlformats.org/spreadsheetml/2006/main" id="1" name="UserAllCases" displayName="UserAllCases" ref="A1:O191" headerRowCount="1" totalsRowCount="0" totalsRowShown="0">
  <x:autoFilter ref="A1:O191"/>
  <x:tableColumns count="15">
    <x:tableColumn id="1" name="序号"/>
    <x:tableColumn id="2" name="用例编号"/>
    <x:tableColumn id="3" name="功能模块"/>
    <x:tableColumn id="4" name="功能结构"/>
    <x:tableColumn id="5" name="用例类型"/>
    <x:tableColumn id="6" name="优先级"/>
    <x:tableColumn id="7" name="用例描述"/>
    <x:tableColumn id="8" name="验证用例子项"/>
    <x:tableColumn id="9" name="前置条件"/>
    <x:tableColumn id="10" name="操作步骤"/>
    <x:tableColumn id="11" name="预期结果"/>
    <x:tableColumn id="12" name="流程编号"/>
    <x:tableColumn id="13" name="测试结果"/>
    <x:tableColumn id="14" name="测试人员"/>
    <x:tableColumn id="15" name="备注"/>
  </x:tableColumns>
  <x:tableStyleInfo name="TableStyleMedium2" showFirstColumn="0" showLastColumn="0" showRowStripes="1" showColumnStripes="0"/>
</x:table>
</file>

<file path=xl/tables/table2.xml><?xml version="1.0" encoding="utf-8"?>
<x:table xmlns:x="http://schemas.openxmlformats.org/spreadsheetml/2006/main" id="2" name="UserAllPending" displayName="UserAllPending" ref="A1:T87" headerRowCount="1" totalsRowCount="0" totalsRowShown="0">
  <x:autoFilter ref="A1:T87"/>
  <x:tableColumns count="20">
    <x:tableColumn id="1" name="问题编号"/>
    <x:tableColumn id="2" name="需求组编号"/>
    <x:tableColumn id="3" name="父问题编号"/>
    <x:tableColumn id="4" name="追问触发条件"/>
    <x:tableColumn id="5" name="阻塞等级"/>
    <x:tableColumn id="6" name="功能模块"/>
    <x:tableColumn id="7" name="具体场景"/>
    <x:tableColumn id="8" name="问题分类"/>
    <x:tableColumn id="9" name="待决策问题"/>
    <x:tableColumn id="10" name="可选方案"/>
    <x:tableColumn id="11" name="测试建议"/>
    <x:tableColumn id="12" name="产品结论"/>
    <x:tableColumn id="13" name="结论补充"/>
    <x:tableColumn id="14" name="已知依据"/>
    <x:tableColumn id="15" name="影响范围"/>
    <x:tableColumn id="16" name="已有用例编号"/>
    <x:tableColumn id="17" name="确认后待补用例"/>
    <x:tableColumn id="18" name="负责人"/>
    <x:tableColumn id="19" name="期望确认时间"/>
    <x:tableColumn id="20" name="确认状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b945b0ea9c9446f" /></Relationships>
</file>

<file path=xl/worksheets/_rels/sheet3.xml.rels>&#65279;<?xml version="1.0" encoding="utf-8"?><Relationships xmlns="http://schemas.openxmlformats.org/package/2006/relationships"><Relationship Type="http://schemas.openxmlformats.org/officeDocument/2006/relationships/table" Target="/xl/tables/table2.xml" Id="R7d5e5a8d286f45fc" /></Relationships>
</file>

<file path=xl/worksheets/sheet1.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22" hidden="0" customWidth="1"/>
    <x:col min="2" max="2" width="12" hidden="0" customWidth="1"/>
    <x:col min="3" max="3" width="4" hidden="0" customWidth="1"/>
    <x:col min="4" max="4" width="18" hidden="0" customWidth="1"/>
    <x:col min="5" max="5" width="14" hidden="0" customWidth="1"/>
    <x:col min="6" max="6" width="4" hidden="0" customWidth="1"/>
    <x:col min="7" max="7" width="18" hidden="0" customWidth="1"/>
    <x:col min="8" max="8" width="14" hidden="0" customWidth="1"/>
  </x:cols>
  <x:sheetData>
    <x:row r="1" ht="30" customHeight="1">
      <x:c r="A1" s="10" t="str">
        <x:v>用户App-全部模块 产品决策概览</x:v>
      </x:c>
      <x:c r="B1" s="9"/>
      <x:c r="C1" s="9"/>
      <x:c r="D1" s="9"/>
      <x:c r="E1" s="9"/>
      <x:c r="F1" s="9"/>
      <x:c r="G1" s="9"/>
      <x:c r="H1" s="9"/>
    </x:row>
    <x:row r="2">
      <x:c r="A2" s="11" t="str">
        <x:v>MainBasis 需求基准；用例未执行；问题数量由明细实时汇总</x:v>
      </x:c>
      <x:c r="B2" s="9"/>
      <x:c r="C2" s="9"/>
      <x:c r="D2" s="9"/>
      <x:c r="E2" s="9"/>
      <x:c r="F2" s="9"/>
      <x:c r="G2" s="9"/>
      <x:c r="H2" s="9"/>
    </x:row>
    <x:row r="3">
      <x:c r="A3" s="9"/>
      <x:c r="B3" s="9"/>
      <x:c r="C3" s="9"/>
      <x:c r="D3" s="9"/>
      <x:c r="E3" s="9"/>
      <x:c r="F3" s="9"/>
      <x:c r="G3" s="9"/>
      <x:c r="H3" s="9"/>
    </x:row>
    <x:row r="4">
      <x:c r="A4" s="7" t="str">
        <x:v>状态</x:v>
      </x:c>
      <x:c r="B4" s="7" t="str">
        <x:v>数量</x:v>
      </x:c>
      <x:c r="C4" s="9"/>
      <x:c r="D4" s="7" t="str">
        <x:v>阻塞等级</x:v>
      </x:c>
      <x:c r="E4" s="7" t="str">
        <x:v>当前待确认</x:v>
      </x:c>
      <x:c r="F4" s="9"/>
      <x:c r="G4" s="7" t="str">
        <x:v>负责人</x:v>
      </x:c>
      <x:c r="H4" s="7" t="str">
        <x:v>当前待确认</x:v>
      </x:c>
    </x:row>
    <x:row r="5">
      <x:c r="A5" s="12" t="str">
        <x:v>问题总数</x:v>
      </x:c>
      <x:c r="B5" s="12" t="n">
        <x:f>COUNTA('需求待确认'!$A$2:$A$87)</x:f>
        <x:v>86</x:v>
      </x:c>
      <x:c r="C5" s="9"/>
      <x:c r="D5" s="12" t="str">
        <x:v>阻塞测试</x:v>
      </x:c>
      <x:c r="E5" s="12" t="n">
        <x:f>COUNTIFS('需求待确认'!$E$2:$E$87,"阻塞测试",'需求待确认'!$T$2:$T$87,"待确认")</x:f>
        <x:v>12</x:v>
      </x:c>
      <x:c r="F5" s="9"/>
      <x:c r="G5" s="12" t="str">
        <x:v>产品</x:v>
      </x:c>
      <x:c r="H5" s="12" t="n">
        <x:f>COUNTIFS('需求待确认'!$R$2:$R$87,"产品",'需求待确认'!$T$2:$T$87,"待确认")</x:f>
        <x:v>64</x:v>
      </x:c>
    </x:row>
    <x:row r="6">
      <x:c r="A6" s="12" t="str">
        <x:v>当前可回答</x:v>
      </x:c>
      <x:c r="B6" s="12" t="n">
        <x:f>COUNTIF('需求待确认'!$T$2:$T$87,"待确认")</x:f>
        <x:v>86</x:v>
      </x:c>
      <x:c r="C6" s="9"/>
      <x:c r="D6" s="12" t="str">
        <x:v>部分阻塞</x:v>
      </x:c>
      <x:c r="E6" s="12" t="n">
        <x:f>COUNTIFS('需求待确认'!$E$2:$E$87,"部分阻塞",'需求待确认'!$T$2:$T$87,"待确认")</x:f>
        <x:v>74</x:v>
      </x:c>
      <x:c r="F6" s="9"/>
      <x:c r="G6" s="12" t="str">
        <x:v>交互</x:v>
      </x:c>
      <x:c r="H6" s="12" t="n">
        <x:f>COUNTIFS('需求待确认'!$R$2:$R$87,"交互",'需求待确认'!$T$2:$T$87,"待确认")</x:f>
        <x:v>15</x:v>
      </x:c>
    </x:row>
    <x:row r="7">
      <x:c r="A7" s="12" t="str">
        <x:v>待前置结论</x:v>
      </x:c>
      <x:c r="B7" s="12" t="n">
        <x:f>COUNTIF('需求待确认'!$T$2:$T$87,"待前置结论")</x:f>
        <x:v>0</x:v>
      </x:c>
      <x:c r="C7" s="9"/>
      <x:c r="D7" s="12" t="str">
        <x:v>不阻塞</x:v>
      </x:c>
      <x:c r="E7" s="12" t="n">
        <x:f>COUNTIFS('需求待确认'!$E$2:$E$87,"不阻塞",'需求待确认'!$T$2:$T$87,"待确认")</x:f>
        <x:v>0</x:v>
      </x:c>
      <x:c r="F7" s="9"/>
      <x:c r="G7" s="12" t="str">
        <x:v>技术</x:v>
      </x:c>
      <x:c r="H7" s="12" t="n">
        <x:f>COUNTIFS('需求待确认'!$R$2:$R$87,"技术",'需求待确认'!$T$2:$T$87,"待确认")</x:f>
        <x:v>2</x:v>
      </x:c>
    </x:row>
    <x:row r="8">
      <x:c r="A8" s="12" t="str">
        <x:v>确认中</x:v>
      </x:c>
      <x:c r="B8" s="12" t="n">
        <x:f>COUNTIF('需求待确认'!$T$2:$T$87,"确认中")</x:f>
        <x:v>0</x:v>
      </x:c>
      <x:c r="C8" s="9"/>
      <x:c r="D8" s="9"/>
      <x:c r="E8" s="9"/>
      <x:c r="F8" s="9"/>
      <x:c r="G8" s="12" t="str">
        <x:v>多方确认</x:v>
      </x:c>
      <x:c r="H8" s="12" t="n">
        <x:f>COUNTIFS('需求待确认'!$R$2:$R$87,"多方确认",'需求待确认'!$T$2:$T$87,"待确认")</x:f>
        <x:v>5</x:v>
      </x:c>
    </x:row>
    <x:row r="9">
      <x:c r="A9" s="12" t="str">
        <x:v>已确认</x:v>
      </x:c>
      <x:c r="B9" s="12" t="n">
        <x:f>COUNTIF('需求待确认'!$T$2:$T$87,"已确认")</x:f>
        <x:v>0</x:v>
      </x:c>
      <x:c r="C9" s="9"/>
      <x:c r="D9" s="9"/>
      <x:c r="E9" s="9"/>
      <x:c r="F9" s="9"/>
      <x:c r="G9" s="9"/>
      <x:c r="H9" s="9"/>
    </x:row>
    <x:row r="10">
      <x:c r="A10" s="12" t="str">
        <x:v>无需处理</x:v>
      </x:c>
      <x:c r="B10" s="12" t="n">
        <x:f>COUNTIF('需求待确认'!$T$2:$T$87,"无需处理")</x:f>
        <x:v>0</x:v>
      </x:c>
      <x:c r="C10" s="9"/>
      <x:c r="D10" s="9"/>
      <x:c r="E10" s="9"/>
      <x:c r="F10" s="9"/>
      <x:c r="G10" s="9"/>
      <x:c r="H10" s="9"/>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7" hidden="0" customWidth="1"/>
    <x:col min="2" max="2" width="14" hidden="0" customWidth="1"/>
    <x:col min="3" max="3" width="13" hidden="0" customWidth="1"/>
    <x:col min="4" max="4" width="25" hidden="0" customWidth="1"/>
    <x:col min="5" max="5" width="12" hidden="0" customWidth="1"/>
    <x:col min="6" max="6" width="8" hidden="0" customWidth="1"/>
    <x:col min="7" max="7" width="29" hidden="0" customWidth="1"/>
    <x:col min="8" max="8" width="22" hidden="0" customWidth="1"/>
    <x:col min="9" max="9" width="31" hidden="0" customWidth="1"/>
    <x:col min="10" max="10" width="34" hidden="0" customWidth="1"/>
    <x:col min="11" max="11" width="39" hidden="0" customWidth="1"/>
    <x:col min="12" max="12" width="18" hidden="0" customWidth="1"/>
    <x:col min="13" max="13" width="10" hidden="0" customWidth="1"/>
    <x:col min="14" max="14" width="12" hidden="0" customWidth="1"/>
    <x:col min="15" max="15" width="43" hidden="0" customWidth="1"/>
  </x:cols>
  <x:sheetData>
    <x:row r="1" ht="34" customHeight="1">
      <x:c r="A1" s="7" t="str">
        <x:v>序号</x:v>
      </x:c>
      <x:c r="B1" s="7" t="str">
        <x:v>用例编号</x:v>
      </x:c>
      <x:c r="C1" s="7" t="str">
        <x:v>功能模块</x:v>
      </x:c>
      <x:c r="D1" s="7" t="str">
        <x:v>功能结构</x:v>
      </x:c>
      <x:c r="E1" s="7" t="str">
        <x:v>用例类型</x:v>
      </x:c>
      <x:c r="F1" s="7" t="str">
        <x:v>优先级</x:v>
      </x:c>
      <x:c r="G1" s="7" t="str">
        <x:v>用例描述</x:v>
      </x:c>
      <x:c r="H1" s="7" t="str">
        <x:v>验证用例子项</x:v>
      </x:c>
      <x:c r="I1" s="7" t="str">
        <x:v>前置条件</x:v>
      </x:c>
      <x:c r="J1" s="7" t="str">
        <x:v>操作步骤</x:v>
      </x:c>
      <x:c r="K1" s="7" t="str">
        <x:v>预期结果</x:v>
      </x:c>
      <x:c r="L1" s="7" t="str">
        <x:v>流程编号</x:v>
      </x:c>
      <x:c r="M1" s="7" t="str">
        <x:v>测试结果</x:v>
      </x:c>
      <x:c r="N1" s="7" t="str">
        <x:v>测试人员</x:v>
      </x:c>
      <x:c r="O1" s="7" t="str">
        <x:v>备注</x:v>
      </x:c>
    </x:row>
    <x:row r="2" ht="82" customHeight="1">
      <x:c r="A2" s="4" t="n">
        <x:v>1</x:v>
      </x:c>
      <x:c r="B2" s="4" t="str">
        <x:v>UMB-0001</x:v>
      </x:c>
      <x:c r="C2" s="4" t="str">
        <x:v>M01 账号·登录·资料与设置</x:v>
      </x:c>
      <x:c r="D2" s="4" t="str">
        <x:v>勋章（用户视角）</x:v>
      </x:c>
      <x:c r="E2" s="4" t="str">
        <x:v>异常用例</x:v>
      </x:c>
      <x:c r="F2" s="4" t="str">
        <x:v>P2</x:v>
      </x:c>
      <x:c r="G2" s="4" t="str">
        <x:v>验证用户在勋章的勋章佩戴上限</x:v>
      </x:c>
      <x:c r="H2" s="4" t="str">
        <x:v>勋章佩戴上限</x:v>
      </x:c>
      <x:c r="I2" s="4" t="str">
        <x:v>1. 执行身份为用户
2. 已佩戴5枚有效勋章
3. 还有未佩戴的有效勋章
4. 执行账号已登录</x:v>
      </x:c>
      <x:c r="J2" s="4" t="str">
        <x:v>1. 进入勋章页
2. 选择一枚未佩戴勋章
3. 点击佩戴</x:v>
      </x:c>
      <x:c r="K2" s="4" t="str">
        <x:v>不能再佩戴第6枚勋章</x:v>
      </x:c>
      <x:c r="L2" s="4" t="str"/>
      <x:c r="M2" s="4" t="str">
        <x:v>未测</x:v>
      </x:c>
      <x:c r="N2" s="4" t="str"/>
      <x:c r="O2" s="4" t="str">
        <x:v>1. 来源（当前证据）：MainBasis/统一需求文档.md；位置：U-my-decoration-medal-007，第1178行
2. 规则：BR-MB-B50FB17F335B07
3. 未动态验证</x:v>
      </x:c>
    </x:row>
    <x:row r="3" ht="82" customHeight="1">
      <x:c r="A3" s="4" t="n">
        <x:v>2</x:v>
      </x:c>
      <x:c r="B3" s="4" t="str">
        <x:v>UMB-0002</x:v>
      </x:c>
      <x:c r="C3" s="4" t="str">
        <x:v>M01 账号·登录·资料与设置</x:v>
      </x:c>
      <x:c r="D3" s="4" t="str">
        <x:v>头像框（用户视角）</x:v>
      </x:c>
      <x:c r="E3" s="4" t="str">
        <x:v>功能需求</x:v>
      </x:c>
      <x:c r="F3" s="4" t="str">
        <x:v>P1</x:v>
      </x:c>
      <x:c r="G3" s="4" t="str">
        <x:v>验证用户在头像框的头像框替换</x:v>
      </x:c>
      <x:c r="H3" s="4" t="str">
        <x:v>头像框替换</x:v>
      </x:c>
      <x:c r="I3" s="4" t="str">
        <x:v>1. 执行身份为用户
2. 已佩戴一个有效头像框
3. 另有一个未佩戴的有效头像框
4. 执行账号已登录</x:v>
      </x:c>
      <x:c r="J3" s="4" t="str">
        <x:v>1. 进入头像框页
2. 选择另一个有效头像框
3. 点击佩戴</x:v>
      </x:c>
      <x:c r="K3" s="4" t="str">
        <x:v>原头像框变为未佩戴</x:v>
      </x:c>
      <x:c r="L3" s="4" t="str"/>
      <x:c r="M3" s="4" t="str">
        <x:v>未测</x:v>
      </x:c>
      <x:c r="N3" s="4" t="str"/>
      <x:c r="O3" s="4" t="str">
        <x:v>1. 来源（当前证据）：MainBasis/统一需求文档.md；位置：U-my-decoration-avatar-frame-004，第1090行
2. 规则：BR-MB-CEC59FBD4455BD
3. 未动态验证</x:v>
      </x:c>
    </x:row>
    <x:row r="4" ht="138" customHeight="1">
      <x:c r="A4" s="4" t="n">
        <x:v>3</x:v>
      </x:c>
      <x:c r="B4" s="4" t="str">
        <x:v>UMB-0003</x:v>
      </x:c>
      <x:c r="C4" s="4" t="str">
        <x:v>M01 账号·登录·资料与设置</x:v>
      </x:c>
      <x:c r="D4" s="4" t="str">
        <x:v>头像框（用户视角）</x:v>
      </x:c>
      <x:c r="E4" s="4" t="str">
        <x:v>业务流程</x:v>
      </x:c>
      <x:c r="F4" s="4" t="str">
        <x:v>P1</x:v>
      </x:c>
      <x:c r="G4" s="4" t="str">
        <x:v>验证用户在头像框的已下架道具继续使用</x:v>
      </x:c>
      <x:c r="H4" s="4" t="str">
        <x:v>已下架道具继续使用</x:v>
      </x:c>
      <x:c r="I4" s="4" t="str">
        <x:v>1. 执行身份为用户
2. 已持有一个未过期头像框
3. 该头像框已被平台下架
4. 执行账号已登录</x:v>
      </x:c>
      <x:c r="J4" s="4" t="str">
        <x:v>1. 进入头像框页
2. 选择该头像框
3. 点击佩戴</x:v>
      </x:c>
      <x:c r="K4" s="4" t="str">
        <x:v>该头像框仍可佩戴</x:v>
      </x:c>
      <x:c r="L4" s="4" t="str">
        <x:v>MBF-7483F8EC</x:v>
      </x:c>
      <x:c r="M4" s="4" t="str">
        <x:v>未测</x:v>
      </x:c>
      <x:c r="N4" s="4" t="str"/>
      <x:c r="O4" s="4" t="str">
        <x:v>1. 来源（当前证据）：MainBasis/统一需求文档.md；位置：U-my-decoration-005，第1048行、U-my-decoration-avatar-frame-001，第1074行
2. 规则：BR-MB-324D8F18ED6B95
3. 未动态验证
4. 共同对象：道具；阶段：已下架道具继续使用
5. 状态转换：MBT-6F4E192713A4；上架→下架</x:v>
      </x:c>
    </x:row>
    <x:row r="5" ht="68" customHeight="1">
      <x:c r="A5" s="4" t="n">
        <x:v>4</x:v>
      </x:c>
      <x:c r="B5" s="4" t="str">
        <x:v>UMB-0004</x:v>
      </x:c>
      <x:c r="C5" s="4" t="str">
        <x:v>M01 账号·登录·资料与设置</x:v>
      </x:c>
      <x:c r="D5" s="4" t="str">
        <x:v>我的（用户视角）</x:v>
      </x:c>
      <x:c r="E5" s="4" t="str">
        <x:v>功能需求</x:v>
      </x:c>
      <x:c r="F5" s="4" t="str">
        <x:v>P2</x:v>
      </x:c>
      <x:c r="G5" s="4" t="str">
        <x:v>验证用户在我的的好友数跳转</x:v>
      </x:c>
      <x:c r="H5" s="4" t="str">
        <x:v>好友数跳转</x:v>
      </x:c>
      <x:c r="I5" s="4" t="str">
        <x:v>1. 用户已登录</x:v>
      </x:c>
      <x:c r="J5" s="4" t="str">
        <x:v>1. 进入我的
2. 点击好友数</x:v>
      </x:c>
      <x:c r="K5" s="4" t="str">
        <x:v>进入好友列表 P043</x:v>
      </x:c>
      <x:c r="L5" s="4" t="str"/>
      <x:c r="M5" s="4" t="str">
        <x:v>未测</x:v>
      </x:c>
      <x:c r="N5" s="4" t="str"/>
      <x:c r="O5" s="4" t="str">
        <x:v>1. 来源（当前证据）：MainBasis/统一需求文档.md；位置：U-profile-008，第968行
2. 规则：BR-MB-DFE33FB635175C
3. 未动态验证</x:v>
      </x:c>
    </x:row>
    <x:row r="6" ht="68" customHeight="1">
      <x:c r="A6" s="4" t="n">
        <x:v>5</x:v>
      </x:c>
      <x:c r="B6" s="4" t="str">
        <x:v>UMB-0005</x:v>
      </x:c>
      <x:c r="C6" s="4" t="str">
        <x:v>M01 账号·登录·资料与设置</x:v>
      </x:c>
      <x:c r="D6" s="4" t="str">
        <x:v>我的（用户视角）</x:v>
      </x:c>
      <x:c r="E6" s="4" t="str">
        <x:v>功能需求</x:v>
      </x:c>
      <x:c r="F6" s="4" t="str">
        <x:v>P2</x:v>
      </x:c>
      <x:c r="G6" s="4" t="str">
        <x:v>验证用户在我的的粉丝数跳转</x:v>
      </x:c>
      <x:c r="H6" s="4" t="str">
        <x:v>粉丝数跳转</x:v>
      </x:c>
      <x:c r="I6" s="4" t="str">
        <x:v>1. 用户已登录</x:v>
      </x:c>
      <x:c r="J6" s="4" t="str">
        <x:v>1. 进入我的
2. 点击粉丝数</x:v>
      </x:c>
      <x:c r="K6" s="4" t="str">
        <x:v>进入粉丝列表 P045</x:v>
      </x:c>
      <x:c r="L6" s="4" t="str"/>
      <x:c r="M6" s="4" t="str">
        <x:v>未测</x:v>
      </x:c>
      <x:c r="N6" s="4" t="str"/>
      <x:c r="O6" s="4" t="str">
        <x:v>1. 来源（当前证据）：MainBasis/统一需求文档.md；位置：U-profile-008，第968行
2. 规则：BR-MB-5427E863A69E43
3. 未动态验证</x:v>
      </x:c>
    </x:row>
    <x:row r="7" ht="82" customHeight="1">
      <x:c r="A7" s="4" t="n">
        <x:v>6</x:v>
      </x:c>
      <x:c r="B7" s="4" t="str">
        <x:v>UMB-0006</x:v>
      </x:c>
      <x:c r="C7" s="4" t="str">
        <x:v>M01 账号·登录·资料与设置</x:v>
      </x:c>
      <x:c r="D7" s="4" t="str">
        <x:v>手机号登录（游客视角）</x:v>
      </x:c>
      <x:c r="E7" s="4" t="str">
        <x:v>异常用例</x:v>
      </x:c>
      <x:c r="F7" s="4" t="str">
        <x:v>P1</x:v>
      </x:c>
      <x:c r="G7" s="4" t="str">
        <x:v>验证游客在手机号登录的手机号长度边界</x:v>
      </x:c>
      <x:c r="H7" s="4" t="str">
        <x:v>手机号长度边界</x:v>
      </x:c>
      <x:c r="I7" s="4" t="str">
        <x:v>1. 执行身份为游客
2. 区号为 +62
3. 当前为未登录游客</x:v>
      </x:c>
      <x:c r="J7" s="4" t="str">
        <x:v>1. 进入手机号登录页
2. 输入由7个数字1组成的手机号</x:v>
      </x:c>
      <x:c r="K7" s="4" t="str">
        <x:v>获取验证码操作不可用</x:v>
      </x:c>
      <x:c r="L7" s="4" t="str"/>
      <x:c r="M7" s="4" t="str">
        <x:v>未测</x:v>
      </x:c>
      <x:c r="N7" s="4" t="str"/>
      <x:c r="O7" s="4" t="str">
        <x:v>1. 来源（当前证据）：MainBasis/统一需求文档.md；位置：U-auth-phone-login-003，第1392行、U-auth-phone-login-009，第1420行
2. 规则：BR-MB-7B0178D94FACAA
3. 未动态验证</x:v>
      </x:c>
    </x:row>
    <x:row r="8" ht="82" customHeight="1">
      <x:c r="A8" s="4" t="n">
        <x:v>7</x:v>
      </x:c>
      <x:c r="B8" s="4" t="str">
        <x:v>UMB-0007</x:v>
      </x:c>
      <x:c r="C8" s="4" t="str">
        <x:v>M01 账号·登录·资料与设置</x:v>
      </x:c>
      <x:c r="D8" s="4" t="str">
        <x:v>手机号登录（游客视角）</x:v>
      </x:c>
      <x:c r="E8" s="4" t="str">
        <x:v>功能需求</x:v>
      </x:c>
      <x:c r="F8" s="4" t="str">
        <x:v>P1</x:v>
      </x:c>
      <x:c r="G8" s="4" t="str">
        <x:v>验证游客在手机号登录的手机号长度边界</x:v>
      </x:c>
      <x:c r="H8" s="4" t="str">
        <x:v>手机号长度边界</x:v>
      </x:c>
      <x:c r="I8" s="4" t="str">
        <x:v>1. 执行身份为游客
2. 区号为 +62
3. 当前为未登录游客</x:v>
      </x:c>
      <x:c r="J8" s="4" t="str">
        <x:v>1. 进入手机号登录页
2. 输入由8个数字1组成的手机号</x:v>
      </x:c>
      <x:c r="K8" s="4" t="str">
        <x:v>获取验证码操作可用</x:v>
      </x:c>
      <x:c r="L8" s="4" t="str"/>
      <x:c r="M8" s="4" t="str">
        <x:v>未测</x:v>
      </x:c>
      <x:c r="N8" s="4" t="str"/>
      <x:c r="O8" s="4" t="str">
        <x:v>1. 来源（当前证据）：MainBasis/统一需求文档.md；位置：U-auth-phone-login-003，第1392行、U-auth-phone-login-009，第1420行
2. 规则：BR-MB-E2E669C171B716
3. 未动态验证</x:v>
      </x:c>
    </x:row>
    <x:row r="9" ht="82" customHeight="1">
      <x:c r="A9" s="4" t="n">
        <x:v>8</x:v>
      </x:c>
      <x:c r="B9" s="4" t="str">
        <x:v>UMB-0008</x:v>
      </x:c>
      <x:c r="C9" s="4" t="str">
        <x:v>M01 账号·登录·资料与设置</x:v>
      </x:c>
      <x:c r="D9" s="4" t="str">
        <x:v>手机号登录（游客视角）</x:v>
      </x:c>
      <x:c r="E9" s="4" t="str">
        <x:v>功能需求</x:v>
      </x:c>
      <x:c r="F9" s="4" t="str">
        <x:v>P1</x:v>
      </x:c>
      <x:c r="G9" s="4" t="str">
        <x:v>验证游客在手机号登录的手机号长度边界</x:v>
      </x:c>
      <x:c r="H9" s="4" t="str">
        <x:v>手机号长度边界</x:v>
      </x:c>
      <x:c r="I9" s="4" t="str">
        <x:v>1. 执行身份为游客
2. 区号为 +62
3. 当前为未登录游客</x:v>
      </x:c>
      <x:c r="J9" s="4" t="str">
        <x:v>1. 进入手机号登录页
2. 输入由15个数字1组成的手机号</x:v>
      </x:c>
      <x:c r="K9" s="4" t="str">
        <x:v>获取验证码操作可用</x:v>
      </x:c>
      <x:c r="L9" s="4" t="str"/>
      <x:c r="M9" s="4" t="str">
        <x:v>未测</x:v>
      </x:c>
      <x:c r="N9" s="4" t="str"/>
      <x:c r="O9" s="4" t="str">
        <x:v>1. 来源（当前证据）：MainBasis/统一需求文档.md；位置：U-auth-phone-login-003，第1392行、U-auth-phone-login-009，第1420行
2. 规则：BR-MB-66BFFB45622385
3. 未动态验证</x:v>
      </x:c>
    </x:row>
    <x:row r="10" ht="82" customHeight="1">
      <x:c r="A10" s="4" t="n">
        <x:v>9</x:v>
      </x:c>
      <x:c r="B10" s="4" t="str">
        <x:v>UMB-0009</x:v>
      </x:c>
      <x:c r="C10" s="4" t="str">
        <x:v>M01 账号·登录·资料与设置</x:v>
      </x:c>
      <x:c r="D10" s="4" t="str">
        <x:v>手机号登录（游客视角）</x:v>
      </x:c>
      <x:c r="E10" s="4" t="str">
        <x:v>异常用例</x:v>
      </x:c>
      <x:c r="F10" s="4" t="str">
        <x:v>P1</x:v>
      </x:c>
      <x:c r="G10" s="4" t="str">
        <x:v>验证游客在手机号登录的手机号长度边界</x:v>
      </x:c>
      <x:c r="H10" s="4" t="str">
        <x:v>手机号长度边界</x:v>
      </x:c>
      <x:c r="I10" s="4" t="str">
        <x:v>1. 执行身份为游客
2. 区号为 +62
3. 当前为未登录游客</x:v>
      </x:c>
      <x:c r="J10" s="4" t="str">
        <x:v>1. 进入手机号登录页
2. 输入由16个数字1组成的手机号</x:v>
      </x:c>
      <x:c r="K10" s="4" t="str">
        <x:v>获取验证码操作不可用</x:v>
      </x:c>
      <x:c r="L10" s="4" t="str"/>
      <x:c r="M10" s="4" t="str">
        <x:v>未测</x:v>
      </x:c>
      <x:c r="N10" s="4" t="str"/>
      <x:c r="O10" s="4" t="str">
        <x:v>1. 来源（当前证据）：MainBasis/统一需求文档.md；位置：U-auth-phone-login-003，第1392行、U-auth-phone-login-009，第1420行
2. 规则：BR-MB-20119618DA0DD8
3. 未动态验证</x:v>
      </x:c>
    </x:row>
    <x:row r="11" ht="82" customHeight="1">
      <x:c r="A11" s="4" t="n">
        <x:v>10</x:v>
      </x:c>
      <x:c r="B11" s="4" t="str">
        <x:v>UMB-0010</x:v>
      </x:c>
      <x:c r="C11" s="4" t="str">
        <x:v>M01 账号·登录·资料与设置</x:v>
      </x:c>
      <x:c r="D11" s="4" t="str">
        <x:v>手机号登录（游客视角）</x:v>
      </x:c>
      <x:c r="E11" s="4" t="str">
        <x:v>功能需求</x:v>
      </x:c>
      <x:c r="F11" s="4" t="str">
        <x:v>P1</x:v>
      </x:c>
      <x:c r="G11" s="4" t="str">
        <x:v>验证游客在手机号登录的地区回退</x:v>
      </x:c>
      <x:c r="H11" s="4" t="str">
        <x:v>地区回退</x:v>
      </x:c>
      <x:c r="I11" s="4" t="str">
        <x:v>1. 执行身份为游客
2. 设备地区不受支持
3. 当前为未登录游客</x:v>
      </x:c>
      <x:c r="J11" s="4" t="str">
        <x:v>1. 进入手机号登录页</x:v>
      </x:c>
      <x:c r="K11" s="4" t="str">
        <x:v>默认区号为印度尼西亚 +62</x:v>
      </x:c>
      <x:c r="L11" s="4" t="str"/>
      <x:c r="M11" s="4" t="str">
        <x:v>未测</x:v>
      </x:c>
      <x:c r="N11" s="4" t="str"/>
      <x:c r="O11" s="4" t="str">
        <x:v>1. 来源（当前证据）：MainBasis/统一需求文档.md；位置：U-auth-phone-login-002，第1388行
2. 规则：BR-MB-442E493C304C35
3. 未动态验证</x:v>
      </x:c>
    </x:row>
    <x:row r="12" ht="82" customHeight="1">
      <x:c r="A12" s="4" t="n">
        <x:v>11</x:v>
      </x:c>
      <x:c r="B12" s="4" t="str">
        <x:v>UMB-0011</x:v>
      </x:c>
      <x:c r="C12" s="4" t="str">
        <x:v>M01 账号·登录·资料与设置</x:v>
      </x:c>
      <x:c r="D12" s="4" t="str">
        <x:v>手机号登录（游客视角）</x:v>
      </x:c>
      <x:c r="E12" s="4" t="str">
        <x:v>功能需求</x:v>
      </x:c>
      <x:c r="F12" s="4" t="str">
        <x:v>P1</x:v>
      </x:c>
      <x:c r="G12" s="4" t="str">
        <x:v>验证游客在手机号登录的手机号默认登录方式</x:v>
      </x:c>
      <x:c r="H12" s="4" t="str">
        <x:v>手机号默认登录方式</x:v>
      </x:c>
      <x:c r="I12" s="4" t="str">
        <x:v>1. 执行身份为游客
2. 当前为未登录游客</x:v>
      </x:c>
      <x:c r="J12" s="4" t="str">
        <x:v>1. 从登录与注册页进入手机号登录页</x:v>
      </x:c>
      <x:c r="K12" s="4" t="str">
        <x:v>默认使用短信验证码登录</x:v>
      </x:c>
      <x:c r="L12" s="4" t="str"/>
      <x:c r="M12" s="4" t="str">
        <x:v>未测</x:v>
      </x:c>
      <x:c r="N12" s="4" t="str"/>
      <x:c r="O12" s="4" t="str">
        <x:v>1. 来源（当前证据）：MainBasis/统一需求文档.md；位置：U-auth-phone-login-006，第1406行
2. 规则：BR-MB-4E38784AA28F5A
3. 未动态验证</x:v>
      </x:c>
    </x:row>
    <x:row r="13" ht="82" customHeight="1">
      <x:c r="A13" s="4" t="n">
        <x:v>12</x:v>
      </x:c>
      <x:c r="B13" s="4" t="str">
        <x:v>UMB-0012</x:v>
      </x:c>
      <x:c r="C13" s="4" t="str">
        <x:v>M01 账号·登录·资料与设置</x:v>
      </x:c>
      <x:c r="D13" s="4" t="str">
        <x:v>手机号登录（游客视角）</x:v>
      </x:c>
      <x:c r="E13" s="4" t="str">
        <x:v>功能需求</x:v>
      </x:c>
      <x:c r="F13" s="4" t="str">
        <x:v>P1</x:v>
      </x:c>
      <x:c r="G13" s="4" t="str">
        <x:v>验证游客在手机号登录的区号选择保留手机号</x:v>
      </x:c>
      <x:c r="H13" s="4" t="str">
        <x:v>区号选择保留手机号</x:v>
      </x:c>
      <x:c r="I13" s="4" t="str">
        <x:v>1. 执行身份为游客
2. 本次手机号输入为812345678
3. 登录方式为密码
4. 当前为未登录游客</x:v>
      </x:c>
      <x:c r="J13" s="4" t="str">
        <x:v>1. 点击区号
2. 选择印度尼西亚+62</x:v>
      </x:c>
      <x:c r="K13" s="4" t="str">
        <x:v>手机号仍为812345678</x:v>
      </x:c>
      <x:c r="L13" s="4" t="str"/>
      <x:c r="M13" s="4" t="str">
        <x:v>未测</x:v>
      </x:c>
      <x:c r="N13" s="4" t="str"/>
      <x:c r="O13" s="4" t="str">
        <x:v>1. 来源（当前证据）：MainBasis/统一需求文档.md；位置：U-auth-phone-login-007，第1410行
2. 规则：BR-MB-787BAB50AD5D7A
3. 未动态验证</x:v>
      </x:c>
    </x:row>
    <x:row r="14" ht="82" customHeight="1">
      <x:c r="A14" s="4" t="n">
        <x:v>13</x:v>
      </x:c>
      <x:c r="B14" s="4" t="str">
        <x:v>UMB-0013</x:v>
      </x:c>
      <x:c r="C14" s="4" t="str">
        <x:v>M01 账号·登录·资料与设置</x:v>
      </x:c>
      <x:c r="D14" s="4" t="str">
        <x:v>手机号登录（用户视角）</x:v>
      </x:c>
      <x:c r="E14" s="4" t="str">
        <x:v>功能需求</x:v>
      </x:c>
      <x:c r="F14" s="4" t="str">
        <x:v>P1</x:v>
      </x:c>
      <x:c r="G14" s="4" t="str">
        <x:v>验证用户在手机号登录的验证码连续错误上限·原验证码已失效</x:v>
      </x:c>
      <x:c r="H14" s="4" t="str">
        <x:v>验证码连续错误上限·原验证码已失效</x:v>
      </x:c>
      <x:c r="I14" s="4" t="str">
        <x:v>1. 执行身份为用户
2. 已注册手机号收到仍在五分钟有效期内的验证码
3. 已连续输入错误验证码4次
4. 当前尚未建立登录会话</x:v>
      </x:c>
      <x:c r="J14" s="4" t="str">
        <x:v>1. 进入手机号登录页
2. 输入错误的六位验证码
3. 点击继续
4. 输入原正确验证码
5. 点击继续</x:v>
      </x:c>
      <x:c r="K14" s="4" t="str">
        <x:v>原验证码已失效</x:v>
      </x:c>
      <x:c r="L14" s="4" t="str"/>
      <x:c r="M14" s="4" t="str">
        <x:v>未测</x:v>
      </x:c>
      <x:c r="N14" s="4" t="str"/>
      <x:c r="O14" s="4" t="str">
        <x:v>1. 来源（当前证据）：MainBasis/统一需求文档.md；位置：U-auth-phone-login-004，第1396行
2. 规则：BR-MB-747A00CABF22CC
3. 未动态验证</x:v>
      </x:c>
    </x:row>
    <x:row r="15" ht="82" customHeight="1">
      <x:c r="A15" s="4" t="n">
        <x:v>14</x:v>
      </x:c>
      <x:c r="B15" s="4" t="str">
        <x:v>UMB-0014</x:v>
      </x:c>
      <x:c r="C15" s="4" t="str">
        <x:v>M01 账号·登录·资料与设置</x:v>
      </x:c>
      <x:c r="D15" s="4" t="str">
        <x:v>手机号登录（用户视角）</x:v>
      </x:c>
      <x:c r="E15" s="4" t="str">
        <x:v>异常用例</x:v>
      </x:c>
      <x:c r="F15" s="4" t="str">
        <x:v>P1</x:v>
      </x:c>
      <x:c r="G15" s="4" t="str">
        <x:v>验证用户在手机号登录的验证码连续错误上限·不能完成登录</x:v>
      </x:c>
      <x:c r="H15" s="4" t="str">
        <x:v>验证码连续错误上限·不能完成登录</x:v>
      </x:c>
      <x:c r="I15" s="4" t="str">
        <x:v>1. 执行身份为用户
2. 已注册手机号收到仍在五分钟有效期内的验证码
3. 已连续输入错误验证码4次
4. 当前尚未建立登录会话</x:v>
      </x:c>
      <x:c r="J15" s="4" t="str">
        <x:v>1. 进入手机号登录页
2. 输入错误的六位验证码
3. 点击继续
4. 输入原正确验证码
5. 点击继续</x:v>
      </x:c>
      <x:c r="K15" s="4" t="str">
        <x:v>不能完成登录</x:v>
      </x:c>
      <x:c r="L15" s="4" t="str"/>
      <x:c r="M15" s="4" t="str">
        <x:v>未测</x:v>
      </x:c>
      <x:c r="N15" s="4" t="str"/>
      <x:c r="O15" s="4" t="str">
        <x:v>1. 来源（当前证据）：MainBasis/统一需求文档.md；位置：U-auth-phone-login-004，第1396行
2. 规则：BR-MB-EEE5B0D5734844
3. 未动态验证</x:v>
      </x:c>
    </x:row>
    <x:row r="16" ht="82" customHeight="1">
      <x:c r="A16" s="4" t="n">
        <x:v>15</x:v>
      </x:c>
      <x:c r="B16" s="4" t="str">
        <x:v>UMB-0015</x:v>
      </x:c>
      <x:c r="C16" s="4" t="str">
        <x:v>M01 账号·登录·资料与设置</x:v>
      </x:c>
      <x:c r="D16" s="4" t="str">
        <x:v>手机号登录（用户视角）</x:v>
      </x:c>
      <x:c r="E16" s="4" t="str">
        <x:v>异常用例</x:v>
      </x:c>
      <x:c r="F16" s="4" t="str">
        <x:v>P1</x:v>
      </x:c>
      <x:c r="G16" s="4" t="str">
        <x:v>验证用户在手机号登录的验证码重复获取</x:v>
      </x:c>
      <x:c r="H16" s="4" t="str">
        <x:v>验证码重复获取</x:v>
      </x:c>
      <x:c r="I16" s="4" t="str">
        <x:v>1. 执行身份为用户
2. 手机号有效
3. 验证码发送成功已过去30秒
4. 当前尚未建立登录会话</x:v>
      </x:c>
      <x:c r="J16" s="4" t="str">
        <x:v>1. 进入手机号登录页
2. 点击获取验证码</x:v>
      </x:c>
      <x:c r="K16" s="4" t="str">
        <x:v>不能重复发送验证码</x:v>
      </x:c>
      <x:c r="L16" s="4" t="str"/>
      <x:c r="M16" s="4" t="str">
        <x:v>未测</x:v>
      </x:c>
      <x:c r="N16" s="4" t="str"/>
      <x:c r="O16" s="4" t="str">
        <x:v>1. 来源（当前证据）：MainBasis/统一需求文档.md；位置：U-auth-phone-login-009，第1420行
2. 规则：BR-MB-260954A432A13A
3. 未动态验证</x:v>
      </x:c>
    </x:row>
    <x:row r="17" ht="82" customHeight="1">
      <x:c r="A17" s="4" t="n">
        <x:v>16</x:v>
      </x:c>
      <x:c r="B17" s="4" t="str">
        <x:v>UMB-0016</x:v>
      </x:c>
      <x:c r="C17" s="4" t="str">
        <x:v>M01 账号·登录·资料与设置</x:v>
      </x:c>
      <x:c r="D17" s="4" t="str">
        <x:v>手机号登录（用户视角）</x:v>
      </x:c>
      <x:c r="E17" s="4" t="str">
        <x:v>功能需求</x:v>
      </x:c>
      <x:c r="F17" s="4" t="str">
        <x:v>P1</x:v>
      </x:c>
      <x:c r="G17" s="4" t="str">
        <x:v>验证用户在手机号登录的手机已注册账号登录</x:v>
      </x:c>
      <x:c r="H17" s="4" t="str">
        <x:v>手机已注册账号登录</x:v>
      </x:c>
      <x:c r="I17" s="4" t="str">
        <x:v>1. 执行身份为用户
2. 账号已注册且状态正常
3. 已取得仍有效的短信验证码
4. 已同意登录协议
5. 当前尚未建立登录会话</x:v>
      </x:c>
      <x:c r="J17" s="4" t="str">
        <x:v>1. 进入手机号登录页
2. 输入该手机号及有效验证码
3. 点击继续</x:v>
      </x:c>
      <x:c r="K17" s="4" t="str">
        <x:v>进入首页</x:v>
      </x:c>
      <x:c r="L17" s="4" t="str"/>
      <x:c r="M17" s="4" t="str">
        <x:v>未测</x:v>
      </x:c>
      <x:c r="N17" s="4" t="str"/>
      <x:c r="O17" s="4" t="str">
        <x:v>1. 来源（当前证据）：MainBasis/统一需求文档.md；位置：U-auth-phone-login-010，第1424行
2. 规则：BR-MB-5E05ED4A397E2D
3. 未动态验证</x:v>
      </x:c>
    </x:row>
    <x:row r="18" ht="82" customHeight="1">
      <x:c r="A18" s="4" t="n">
        <x:v>17</x:v>
      </x:c>
      <x:c r="B18" s="4" t="str">
        <x:v>UMB-0017</x:v>
      </x:c>
      <x:c r="C18" s="4" t="str">
        <x:v>M01 账号·登录·资料与设置</x:v>
      </x:c>
      <x:c r="D18" s="4" t="str">
        <x:v>注销冷静期（用户视角）</x:v>
      </x:c>
      <x:c r="E18" s="4" t="str">
        <x:v>功能需求</x:v>
      </x:c>
      <x:c r="F18" s="4" t="str">
        <x:v>P2</x:v>
      </x:c>
      <x:c r="G18" s="4" t="str">
        <x:v>验证用户在注销冷静期的取消注销登录</x:v>
      </x:c>
      <x:c r="H18" s="4" t="str">
        <x:v>取消注销登录</x:v>
      </x:c>
      <x:c r="I18" s="4" t="str">
        <x:v>1. 执行身份为用户
2. 账号在注销申请提交后第 3 天，尚未最终删除
3. 执行账号已登录</x:v>
      </x:c>
      <x:c r="J18" s="4" t="str">
        <x:v>1. 进入登录与注册页
2. 点击取消注销</x:v>
      </x:c>
      <x:c r="K18" s="4" t="str">
        <x:v>直接登录账号</x:v>
      </x:c>
      <x:c r="L18" s="4" t="str"/>
      <x:c r="M18" s="4" t="str">
        <x:v>未测</x:v>
      </x:c>
      <x:c r="N18" s="4" t="str"/>
      <x:c r="O18" s="4" t="str">
        <x:v>1. 来源（当前证据）：MainBasis/统一需求文档.md；位置：U-views_auth-login-register_deletion-cooling-007，第1332行
2. 规则：BR-MB-D678E818FF4680
3. 未动态验证</x:v>
      </x:c>
    </x:row>
    <x:row r="19" ht="82" customHeight="1">
      <x:c r="A19" s="4" t="n">
        <x:v>18</x:v>
      </x:c>
      <x:c r="B19" s="4" t="str">
        <x:v>UMB-0018</x:v>
      </x:c>
      <x:c r="C19" s="4" t="str">
        <x:v>M01 账号·登录·资料与设置</x:v>
      </x:c>
      <x:c r="D19" s="4" t="str">
        <x:v>注销冷静期（用户视角）</x:v>
      </x:c>
      <x:c r="E19" s="4" t="str">
        <x:v>功能需求</x:v>
      </x:c>
      <x:c r="F19" s="4" t="str">
        <x:v>P2</x:v>
      </x:c>
      <x:c r="G19" s="4" t="str">
        <x:v>验证用户在注销冷静期的暂不取消注销</x:v>
      </x:c>
      <x:c r="H19" s="4" t="str">
        <x:v>暂不取消注销</x:v>
      </x:c>
      <x:c r="I19" s="4" t="str">
        <x:v>1. 执行身份为用户
2. 账号处于七日注销冷静期
3. 执行账号已登录</x:v>
      </x:c>
      <x:c r="J19" s="4" t="str">
        <x:v>1. 进入登录与注册页
2. 点击暂不取消</x:v>
      </x:c>
      <x:c r="K19" s="4" t="str">
        <x:v>停留登录与注册页</x:v>
      </x:c>
      <x:c r="L19" s="4" t="str"/>
      <x:c r="M19" s="4" t="str">
        <x:v>未测</x:v>
      </x:c>
      <x:c r="N19" s="4" t="str"/>
      <x:c r="O19" s="4" t="str">
        <x:v>1. 来源（当前证据）：MainBasis/统一需求文档.md；位置：U-views_auth-login-register_deletion-cooling-007，第1332行
2. 规则：BR-MB-CCC184BAF6D2C9
3. 未动态验证</x:v>
      </x:c>
    </x:row>
    <x:row r="20" ht="82" customHeight="1">
      <x:c r="A20" s="4" t="n">
        <x:v>19</x:v>
      </x:c>
      <x:c r="B20" s="4" t="str">
        <x:v>UMB-0019</x:v>
      </x:c>
      <x:c r="C20" s="4" t="str">
        <x:v>M01 账号·登录·资料与设置</x:v>
      </x:c>
      <x:c r="D20" s="4" t="str">
        <x:v>登录与注册（游客视角）</x:v>
      </x:c>
      <x:c r="E20" s="4" t="str">
        <x:v>功能需求</x:v>
      </x:c>
      <x:c r="F20" s="4" t="str">
        <x:v>P1</x:v>
      </x:c>
      <x:c r="G20" s="4" t="str">
        <x:v>验证游客在登录与注册的登录协议拦截</x:v>
      </x:c>
      <x:c r="H20" s="4" t="str">
        <x:v>登录协议拦截</x:v>
      </x:c>
      <x:c r="I20" s="4" t="str">
        <x:v>1. 执行身份为游客
2. 未勾选用户协议和隐私政策
3. 当前为未登录游客</x:v>
      </x:c>
      <x:c r="J20" s="4" t="str">
        <x:v>1. 进入登录与注册页
2. 点击Google</x:v>
      </x:c>
      <x:c r="K20" s="4" t="str">
        <x:v>提示先同意《用户协议》和《隐私政策》</x:v>
      </x:c>
      <x:c r="L20" s="4" t="str"/>
      <x:c r="M20" s="4" t="str">
        <x:v>未测</x:v>
      </x:c>
      <x:c r="N20" s="4" t="str"/>
      <x:c r="O20" s="4" t="str">
        <x:v>1. 来源（当前证据）：MainBasis/统一需求文档.md；位置：U-auth-login-register-017，第1266行
2. 规则：BR-MB-CAEA4275505911
3. 未动态验证</x:v>
      </x:c>
    </x:row>
    <x:row r="21" ht="96" customHeight="1">
      <x:c r="A21" s="4" t="n">
        <x:v>20</x:v>
      </x:c>
      <x:c r="B21" s="4" t="str">
        <x:v>UMB-0020</x:v>
      </x:c>
      <x:c r="C21" s="4" t="str">
        <x:v>M01 账号·登录·资料与设置</x:v>
      </x:c>
      <x:c r="D21" s="4" t="str">
        <x:v>登录与注册（游客视角）</x:v>
      </x:c>
      <x:c r="E21" s="4" t="str">
        <x:v>功能需求</x:v>
      </x:c>
      <x:c r="F21" s="4" t="str">
        <x:v>P0</x:v>
      </x:c>
      <x:c r="G21" s="4" t="str">
        <x:v>验证游客在登录与注册的Google已有账号登录</x:v>
      </x:c>
      <x:c r="H21" s="4" t="str">
        <x:v>Google已有账号登录</x:v>
      </x:c>
      <x:c r="I21" s="4" t="str">
        <x:v>1. 执行身份为游客
2. 已同意登录协议
3. Google授权身份已关联正常的 Luma Live 账号
4. 当前为未登录游客</x:v>
      </x:c>
      <x:c r="J21" s="4" t="str">
        <x:v>1. 进入登录与注册页
2. 点击Google
3. 确认该平台授权</x:v>
      </x:c>
      <x:c r="K21" s="4" t="str">
        <x:v>进入首页</x:v>
      </x:c>
      <x:c r="L21" s="4" t="str"/>
      <x:c r="M21" s="4" t="str">
        <x:v>未测</x:v>
      </x:c>
      <x:c r="N21" s="4" t="str"/>
      <x:c r="O21" s="4" t="str">
        <x:v>1. 来源（当前证据）：MainBasis/统一需求文档.md；位置：U-auth-login-register-011，第1240行、U-auth-login-register-018，第1270行
2. 规则：BR-MB-90EE7E39D5F353
3. 未动态验证</x:v>
      </x:c>
    </x:row>
    <x:row r="22" ht="96" customHeight="1">
      <x:c r="A22" s="4" t="n">
        <x:v>21</x:v>
      </x:c>
      <x:c r="B22" s="4" t="str">
        <x:v>UMB-0021</x:v>
      </x:c>
      <x:c r="C22" s="4" t="str">
        <x:v>M01 账号·登录·资料与设置</x:v>
      </x:c>
      <x:c r="D22" s="4" t="str">
        <x:v>登录与注册（游客视角）</x:v>
      </x:c>
      <x:c r="E22" s="4" t="str">
        <x:v>功能需求</x:v>
      </x:c>
      <x:c r="F22" s="4" t="str">
        <x:v>P1</x:v>
      </x:c>
      <x:c r="G22" s="4" t="str">
        <x:v>验证游客在登录与注册的Google新账号分流</x:v>
      </x:c>
      <x:c r="H22" s="4" t="str">
        <x:v>Google新账号分流</x:v>
      </x:c>
      <x:c r="I22" s="4" t="str">
        <x:v>1. 执行身份为游客
2. 已同意登录协议
3. Google授权身份尚未关联 Luma Live 账号
4. 当前为未登录游客</x:v>
      </x:c>
      <x:c r="J22" s="4" t="str">
        <x:v>1. 进入登录与注册页
2. 点击Google
3. 确认该平台授权</x:v>
      </x:c>
      <x:c r="K22" s="4" t="str">
        <x:v>进入资料补全页</x:v>
      </x:c>
      <x:c r="L22" s="4" t="str"/>
      <x:c r="M22" s="4" t="str">
        <x:v>未测</x:v>
      </x:c>
      <x:c r="N22" s="4" t="str"/>
      <x:c r="O22" s="4" t="str">
        <x:v>1. 来源（当前证据）：MainBasis/统一需求文档.md；位置：U-auth-login-register-011，第1240行、U-auth-login-register-018，第1270行
2. 规则：BR-MB-5F1FD382447523
3. 未动态验证</x:v>
      </x:c>
    </x:row>
    <x:row r="23" ht="82" customHeight="1">
      <x:c r="A23" s="4" t="n">
        <x:v>22</x:v>
      </x:c>
      <x:c r="B23" s="4" t="str">
        <x:v>UMB-0022</x:v>
      </x:c>
      <x:c r="C23" s="4" t="str">
        <x:v>M01 账号·登录·资料与设置</x:v>
      </x:c>
      <x:c r="D23" s="4" t="str">
        <x:v>登录与注册（游客视角）</x:v>
      </x:c>
      <x:c r="E23" s="4" t="str">
        <x:v>功能需求</x:v>
      </x:c>
      <x:c r="F23" s="4" t="str">
        <x:v>P1</x:v>
      </x:c>
      <x:c r="G23" s="4" t="str">
        <x:v>验证游客在登录与注册的登录协议拦截</x:v>
      </x:c>
      <x:c r="H23" s="4" t="str">
        <x:v>登录协议拦截</x:v>
      </x:c>
      <x:c r="I23" s="4" t="str">
        <x:v>1. 执行身份为游客
2. 未勾选用户协议和隐私政策
3. 当前为未登录游客</x:v>
      </x:c>
      <x:c r="J23" s="4" t="str">
        <x:v>1. 进入登录与注册页
2. 点击Facebook</x:v>
      </x:c>
      <x:c r="K23" s="4" t="str">
        <x:v>提示先同意《用户协议》和《隐私政策》</x:v>
      </x:c>
      <x:c r="L23" s="4" t="str"/>
      <x:c r="M23" s="4" t="str">
        <x:v>未测</x:v>
      </x:c>
      <x:c r="N23" s="4" t="str"/>
      <x:c r="O23" s="4" t="str">
        <x:v>1. 来源（当前证据）：MainBasis/统一需求文档.md；位置：U-auth-login-register-017，第1266行
2. 规则：BR-MB-E07939743A9B54
3. 未动态验证</x:v>
      </x:c>
    </x:row>
    <x:row r="24" ht="96" customHeight="1">
      <x:c r="A24" s="4" t="n">
        <x:v>23</x:v>
      </x:c>
      <x:c r="B24" s="4" t="str">
        <x:v>UMB-0023</x:v>
      </x:c>
      <x:c r="C24" s="4" t="str">
        <x:v>M01 账号·登录·资料与设置</x:v>
      </x:c>
      <x:c r="D24" s="4" t="str">
        <x:v>登录与注册（游客视角）</x:v>
      </x:c>
      <x:c r="E24" s="4" t="str">
        <x:v>功能需求</x:v>
      </x:c>
      <x:c r="F24" s="4" t="str">
        <x:v>P1</x:v>
      </x:c>
      <x:c r="G24" s="4" t="str">
        <x:v>验证游客在登录与注册的Facebook已有账号登录</x:v>
      </x:c>
      <x:c r="H24" s="4" t="str">
        <x:v>Facebook已有账号登录</x:v>
      </x:c>
      <x:c r="I24" s="4" t="str">
        <x:v>1. 执行身份为游客
2. 已同意登录协议
3. Facebook授权身份已关联正常的 Luma Live 账号
4. 当前为未登录游客</x:v>
      </x:c>
      <x:c r="J24" s="4" t="str">
        <x:v>1. 进入登录与注册页
2. 点击Facebook
3. 确认该平台授权</x:v>
      </x:c>
      <x:c r="K24" s="4" t="str">
        <x:v>进入首页</x:v>
      </x:c>
      <x:c r="L24" s="4" t="str"/>
      <x:c r="M24" s="4" t="str">
        <x:v>未测</x:v>
      </x:c>
      <x:c r="N24" s="4" t="str"/>
      <x:c r="O24" s="4" t="str">
        <x:v>1. 来源（当前证据）：MainBasis/统一需求文档.md；位置：U-auth-login-register-011，第1240行、U-auth-login-register-018，第1270行
2. 规则：BR-MB-350BE976126175
3. 未动态验证</x:v>
      </x:c>
    </x:row>
    <x:row r="25" ht="96" customHeight="1">
      <x:c r="A25" s="4" t="n">
        <x:v>24</x:v>
      </x:c>
      <x:c r="B25" s="4" t="str">
        <x:v>UMB-0024</x:v>
      </x:c>
      <x:c r="C25" s="4" t="str">
        <x:v>M01 账号·登录·资料与设置</x:v>
      </x:c>
      <x:c r="D25" s="4" t="str">
        <x:v>登录与注册（游客视角）</x:v>
      </x:c>
      <x:c r="E25" s="4" t="str">
        <x:v>功能需求</x:v>
      </x:c>
      <x:c r="F25" s="4" t="str">
        <x:v>P1</x:v>
      </x:c>
      <x:c r="G25" s="4" t="str">
        <x:v>验证游客在登录与注册的Facebook新账号分流</x:v>
      </x:c>
      <x:c r="H25" s="4" t="str">
        <x:v>Facebook新账号分流</x:v>
      </x:c>
      <x:c r="I25" s="4" t="str">
        <x:v>1. 执行身份为游客
2. 已同意登录协议
3. Facebook授权身份尚未关联 Luma Live 账号
4. 当前为未登录游客</x:v>
      </x:c>
      <x:c r="J25" s="4" t="str">
        <x:v>1. 进入登录与注册页
2. 点击Facebook
3. 确认该平台授权</x:v>
      </x:c>
      <x:c r="K25" s="4" t="str">
        <x:v>进入资料补全页</x:v>
      </x:c>
      <x:c r="L25" s="4" t="str"/>
      <x:c r="M25" s="4" t="str">
        <x:v>未测</x:v>
      </x:c>
      <x:c r="N25" s="4" t="str"/>
      <x:c r="O25" s="4" t="str">
        <x:v>1. 来源（当前证据）：MainBasis/统一需求文档.md；位置：U-auth-login-register-011，第1240行、U-auth-login-register-018，第1270行
2. 规则：BR-MB-3D1F9B8E2CF79C
3. 未动态验证</x:v>
      </x:c>
    </x:row>
    <x:row r="26" ht="82" customHeight="1">
      <x:c r="A26" s="4" t="n">
        <x:v>25</x:v>
      </x:c>
      <x:c r="B26" s="4" t="str">
        <x:v>UMB-0025</x:v>
      </x:c>
      <x:c r="C26" s="4" t="str">
        <x:v>M01 账号·登录·资料与设置</x:v>
      </x:c>
      <x:c r="D26" s="4" t="str">
        <x:v>登录与注册（游客视角）</x:v>
      </x:c>
      <x:c r="E26" s="4" t="str">
        <x:v>功能需求</x:v>
      </x:c>
      <x:c r="F26" s="4" t="str">
        <x:v>P1</x:v>
      </x:c>
      <x:c r="G26" s="4" t="str">
        <x:v>验证游客在登录与注册的登录协议拦截</x:v>
      </x:c>
      <x:c r="H26" s="4" t="str">
        <x:v>登录协议拦截</x:v>
      </x:c>
      <x:c r="I26" s="4" t="str">
        <x:v>1. 执行身份为游客
2. 未勾选用户协议和隐私政策
3. 当前为未登录游客</x:v>
      </x:c>
      <x:c r="J26" s="4" t="str">
        <x:v>1. 进入登录与注册页
2. 点击TikTok</x:v>
      </x:c>
      <x:c r="K26" s="4" t="str">
        <x:v>提示先同意《用户协议》和《隐私政策》</x:v>
      </x:c>
      <x:c r="L26" s="4" t="str"/>
      <x:c r="M26" s="4" t="str">
        <x:v>未测</x:v>
      </x:c>
      <x:c r="N26" s="4" t="str"/>
      <x:c r="O26" s="4" t="str">
        <x:v>1. 来源（当前证据）：MainBasis/统一需求文档.md；位置：U-auth-login-register-017，第1266行
2. 规则：BR-MB-20052FF1A6ABC4
3. 未动态验证</x:v>
      </x:c>
    </x:row>
    <x:row r="27" ht="96" customHeight="1">
      <x:c r="A27" s="4" t="n">
        <x:v>26</x:v>
      </x:c>
      <x:c r="B27" s="4" t="str">
        <x:v>UMB-0026</x:v>
      </x:c>
      <x:c r="C27" s="4" t="str">
        <x:v>M01 账号·登录·资料与设置</x:v>
      </x:c>
      <x:c r="D27" s="4" t="str">
        <x:v>登录与注册（游客视角）</x:v>
      </x:c>
      <x:c r="E27" s="4" t="str">
        <x:v>功能需求</x:v>
      </x:c>
      <x:c r="F27" s="4" t="str">
        <x:v>P1</x:v>
      </x:c>
      <x:c r="G27" s="4" t="str">
        <x:v>验证游客在登录与注册的TikTok已有账号登录</x:v>
      </x:c>
      <x:c r="H27" s="4" t="str">
        <x:v>TikTok已有账号登录</x:v>
      </x:c>
      <x:c r="I27" s="4" t="str">
        <x:v>1. 执行身份为游客
2. 已同意登录协议
3. TikTok授权身份已关联正常的 Luma Live 账号
4. 当前为未登录游客</x:v>
      </x:c>
      <x:c r="J27" s="4" t="str">
        <x:v>1. 进入登录与注册页
2. 点击TikTok
3. 确认该平台授权</x:v>
      </x:c>
      <x:c r="K27" s="4" t="str">
        <x:v>进入首页</x:v>
      </x:c>
      <x:c r="L27" s="4" t="str"/>
      <x:c r="M27" s="4" t="str">
        <x:v>未测</x:v>
      </x:c>
      <x:c r="N27" s="4" t="str"/>
      <x:c r="O27" s="4" t="str">
        <x:v>1. 来源（当前证据）：MainBasis/统一需求文档.md；位置：U-auth-login-register-011，第1240行、U-auth-login-register-018，第1270行
2. 规则：BR-MB-E35174645D297E
3. 未动态验证</x:v>
      </x:c>
    </x:row>
    <x:row r="28" ht="96" customHeight="1">
      <x:c r="A28" s="4" t="n">
        <x:v>27</x:v>
      </x:c>
      <x:c r="B28" s="4" t="str">
        <x:v>UMB-0027</x:v>
      </x:c>
      <x:c r="C28" s="4" t="str">
        <x:v>M01 账号·登录·资料与设置</x:v>
      </x:c>
      <x:c r="D28" s="4" t="str">
        <x:v>登录与注册（游客视角）</x:v>
      </x:c>
      <x:c r="E28" s="4" t="str">
        <x:v>功能需求</x:v>
      </x:c>
      <x:c r="F28" s="4" t="str">
        <x:v>P1</x:v>
      </x:c>
      <x:c r="G28" s="4" t="str">
        <x:v>验证游客在登录与注册的TikTok新账号分流</x:v>
      </x:c>
      <x:c r="H28" s="4" t="str">
        <x:v>TikTok新账号分流</x:v>
      </x:c>
      <x:c r="I28" s="4" t="str">
        <x:v>1. 执行身份为游客
2. 已同意登录协议
3. TikTok授权身份尚未关联 Luma Live 账号
4. 当前为未登录游客</x:v>
      </x:c>
      <x:c r="J28" s="4" t="str">
        <x:v>1. 进入登录与注册页
2. 点击TikTok
3. 确认该平台授权</x:v>
      </x:c>
      <x:c r="K28" s="4" t="str">
        <x:v>进入资料补全页</x:v>
      </x:c>
      <x:c r="L28" s="4" t="str"/>
      <x:c r="M28" s="4" t="str">
        <x:v>未测</x:v>
      </x:c>
      <x:c r="N28" s="4" t="str"/>
      <x:c r="O28" s="4" t="str">
        <x:v>1. 来源（当前证据）：MainBasis/统一需求文档.md；位置：U-auth-login-register-011，第1240行、U-auth-login-register-018，第1270行
2. 规则：BR-MB-D6BBAA35C4D1BD
3. 未动态验证</x:v>
      </x:c>
    </x:row>
    <x:row r="29" ht="82" customHeight="1">
      <x:c r="A29" s="4" t="n">
        <x:v>28</x:v>
      </x:c>
      <x:c r="B29" s="4" t="str">
        <x:v>UMB-0028</x:v>
      </x:c>
      <x:c r="C29" s="4" t="str">
        <x:v>M01 账号·登录·资料与设置</x:v>
      </x:c>
      <x:c r="D29" s="4" t="str">
        <x:v>登录与注册（游客视角）</x:v>
      </x:c>
      <x:c r="E29" s="4" t="str">
        <x:v>功能需求</x:v>
      </x:c>
      <x:c r="F29" s="4" t="str">
        <x:v>P1</x:v>
      </x:c>
      <x:c r="G29" s="4" t="str">
        <x:v>验证游客在登录与注册的iOS 登录入口</x:v>
      </x:c>
      <x:c r="H29" s="4" t="str">
        <x:v>iOS 登录入口</x:v>
      </x:c>
      <x:c r="I29" s="4" t="str">
        <x:v>1. 执行身份为游客
2. 设备为 iOS
3. 当前为未登录游客</x:v>
      </x:c>
      <x:c r="J29" s="4" t="str">
        <x:v>1. 进入登录与注册页</x:v>
      </x:c>
      <x:c r="K29" s="4" t="str">
        <x:v>显示 Apple ID 登录入口</x:v>
      </x:c>
      <x:c r="L29" s="4" t="str"/>
      <x:c r="M29" s="4" t="str">
        <x:v>未测</x:v>
      </x:c>
      <x:c r="N29" s="4" t="str"/>
      <x:c r="O29" s="4" t="str">
        <x:v>1. 来源（当前证据）：MainBasis/统一需求文档.md；位置：U-auth-login-register-015，第1256行
2. 规则：BR-MB-CD5D702F446AA0
3. 未动态验证</x:v>
      </x:c>
    </x:row>
    <x:row r="30" ht="82" customHeight="1">
      <x:c r="A30" s="4" t="n">
        <x:v>29</x:v>
      </x:c>
      <x:c r="B30" s="4" t="str">
        <x:v>UMB-0029</x:v>
      </x:c>
      <x:c r="C30" s="4" t="str">
        <x:v>M01 账号·登录·资料与设置</x:v>
      </x:c>
      <x:c r="D30" s="4" t="str">
        <x:v>登录与注册（游客视角）</x:v>
      </x:c>
      <x:c r="E30" s="4" t="str">
        <x:v>功能需求</x:v>
      </x:c>
      <x:c r="F30" s="4" t="str">
        <x:v>P1</x:v>
      </x:c>
      <x:c r="G30" s="4" t="str">
        <x:v>验证游客在登录与注册的Android 登录入口</x:v>
      </x:c>
      <x:c r="H30" s="4" t="str">
        <x:v>Android 登录入口</x:v>
      </x:c>
      <x:c r="I30" s="4" t="str">
        <x:v>1. 执行身份为游客
2. 设备为 Android
3. 当前为未登录游客</x:v>
      </x:c>
      <x:c r="J30" s="4" t="str">
        <x:v>1. 进入登录与注册页</x:v>
      </x:c>
      <x:c r="K30" s="4" t="str">
        <x:v>不显示 Apple ID 登录入口</x:v>
      </x:c>
      <x:c r="L30" s="4" t="str"/>
      <x:c r="M30" s="4" t="str">
        <x:v>未测</x:v>
      </x:c>
      <x:c r="N30" s="4" t="str"/>
      <x:c r="O30" s="4" t="str">
        <x:v>1. 来源（当前证据）：MainBasis/统一需求文档.md；位置：U-auth-login-register-015，第1256行
2. 规则：BR-MB-250E149D5702BC
3. 未动态验证</x:v>
      </x:c>
    </x:row>
    <x:row r="31" ht="82" customHeight="1">
      <x:c r="A31" s="4" t="n">
        <x:v>30</x:v>
      </x:c>
      <x:c r="B31" s="4" t="str">
        <x:v>UMB-0030</x:v>
      </x:c>
      <x:c r="C31" s="4" t="str">
        <x:v>M01 账号·登录·资料与设置</x:v>
      </x:c>
      <x:c r="D31" s="4" t="str">
        <x:v>登录与注册（游客视角）</x:v>
      </x:c>
      <x:c r="E31" s="4" t="str">
        <x:v>功能需求</x:v>
      </x:c>
      <x:c r="F31" s="4" t="str">
        <x:v>P2</x:v>
      </x:c>
      <x:c r="G31" s="4" t="str">
        <x:v>验证游客在登录与注册的取消第三方授权</x:v>
      </x:c>
      <x:c r="H31" s="4" t="str">
        <x:v>取消第三方授权</x:v>
      </x:c>
      <x:c r="I31" s="4" t="str">
        <x:v>1. 执行身份为游客
2. 已同意登录协议
3. 当前为未登录游客</x:v>
      </x:c>
      <x:c r="J31" s="4" t="str">
        <x:v>1. 进入登录与注册页
2. 点击Google
3. 取消授权</x:v>
      </x:c>
      <x:c r="K31" s="4" t="str">
        <x:v>提示“已取消授权”</x:v>
      </x:c>
      <x:c r="L31" s="4" t="str"/>
      <x:c r="M31" s="4" t="str">
        <x:v>未测</x:v>
      </x:c>
      <x:c r="N31" s="4" t="str"/>
      <x:c r="O31" s="4" t="str">
        <x:v>1. 来源（当前证据）：MainBasis/统一需求文档.md；位置：U-auth-login-register-019，第1274行
2. 规则：BR-MB-7AF071AF85B301
3. 未动态验证</x:v>
      </x:c>
    </x:row>
    <x:row r="32" ht="110" customHeight="1">
      <x:c r="A32" s="4" t="n">
        <x:v>31</x:v>
      </x:c>
      <x:c r="B32" s="4" t="str">
        <x:v>UMB-0031</x:v>
      </x:c>
      <x:c r="C32" s="4" t="str">
        <x:v>M01 账号·登录·资料与设置</x:v>
      </x:c>
      <x:c r="D32" s="4" t="str">
        <x:v>登录与注册（游客视角）</x:v>
      </x:c>
      <x:c r="E32" s="4" t="str">
        <x:v>业务流程</x:v>
      </x:c>
      <x:c r="F32" s="4" t="str">
        <x:v>P1</x:v>
      </x:c>
      <x:c r="G32" s="4" t="str">
        <x:v>验证游客在登录与注册的封禁账号登录</x:v>
      </x:c>
      <x:c r="H32" s="4" t="str">
        <x:v>封禁账号登录</x:v>
      </x:c>
      <x:c r="I32" s="4" t="str">
        <x:v>1. 执行身份为游客
2. 第三方身份关联的账号已封禁
3. 已同意登录协议
4. 当前为未登录游客</x:v>
      </x:c>
      <x:c r="J32" s="4" t="str">
        <x:v>1. 进入登录与注册页
2. 点击Google
3. 确认授权</x:v>
      </x:c>
      <x:c r="K32" s="4" t="str">
        <x:v>提示“账号已被封禁”</x:v>
      </x:c>
      <x:c r="L32" s="4" t="str">
        <x:v>MBF-082EDB69</x:v>
      </x:c>
      <x:c r="M32" s="4" t="str">
        <x:v>未测</x:v>
      </x:c>
      <x:c r="N32" s="4" t="str"/>
      <x:c r="O32" s="4" t="str">
        <x:v>1. 来源（当前证据）：MainBasis/统一需求文档.md；位置：U-auth-login-register-020，第1278行
2. 规则：BR-MB-E84070AE626E5D
3. 未动态验证
4. 共同对象：用户账号；阶段：封禁账号登录
5. 状态转换：MBT-B679FCAF21BF；正常→封禁</x:v>
      </x:c>
    </x:row>
    <x:row r="33" ht="82" customHeight="1">
      <x:c r="A33" s="4" t="n">
        <x:v>32</x:v>
      </x:c>
      <x:c r="B33" s="4" t="str">
        <x:v>UMB-0032</x:v>
      </x:c>
      <x:c r="C33" s="4" t="str">
        <x:v>M01 账号·登录·资料与设置</x:v>
      </x:c>
      <x:c r="D33" s="4" t="str">
        <x:v>登录与注册（游客视角）</x:v>
      </x:c>
      <x:c r="E33" s="4" t="str">
        <x:v>功能需求</x:v>
      </x:c>
      <x:c r="F33" s="4" t="str">
        <x:v>P1</x:v>
      </x:c>
      <x:c r="G33" s="4" t="str">
        <x:v>验证游客在登录与注册的游客入口</x:v>
      </x:c>
      <x:c r="H33" s="4" t="str">
        <x:v>游客入口</x:v>
      </x:c>
      <x:c r="I33" s="4" t="str">
        <x:v>1. 执行身份为游客
2. 未勾选登录协议
3. 当前为未登录游客</x:v>
      </x:c>
      <x:c r="J33" s="4" t="str">
        <x:v>1. 进入登录与注册页
2. 点击游客进入</x:v>
      </x:c>
      <x:c r="K33" s="4" t="str">
        <x:v>以游客身份进入首页</x:v>
      </x:c>
      <x:c r="L33" s="4" t="str"/>
      <x:c r="M33" s="4" t="str">
        <x:v>未测</x:v>
      </x:c>
      <x:c r="N33" s="4" t="str"/>
      <x:c r="O33" s="4" t="str">
        <x:v>1. 来源（当前证据）：MainBasis/统一需求文档.md；位置：U-auth-login-register-024，第1294行
2. 规则：BR-MB-6056EA827A40C0
3. 未动态验证</x:v>
      </x:c>
    </x:row>
    <x:row r="34" ht="82" customHeight="1">
      <x:c r="A34" s="4" t="n">
        <x:v>33</x:v>
      </x:c>
      <x:c r="B34" s="4" t="str">
        <x:v>UMB-0033</x:v>
      </x:c>
      <x:c r="C34" s="4" t="str">
        <x:v>M01 账号·登录·资料与设置</x:v>
      </x:c>
      <x:c r="D34" s="4" t="str">
        <x:v>登录与注册（游客视角）</x:v>
      </x:c>
      <x:c r="E34" s="4" t="str">
        <x:v>功能需求</x:v>
      </x:c>
      <x:c r="F34" s="4" t="str">
        <x:v>P2</x:v>
      </x:c>
      <x:c r="G34" s="4" t="str">
        <x:v>验证游客在登录与注册的手机号登录跳转</x:v>
      </x:c>
      <x:c r="H34" s="4" t="str">
        <x:v>手机号登录跳转</x:v>
      </x:c>
      <x:c r="I34" s="4" t="str">
        <x:v>1. 当前为未登录游客</x:v>
      </x:c>
      <x:c r="J34" s="4" t="str">
        <x:v>1. 进入登录与注册
2. 点击手机号登录</x:v>
      </x:c>
      <x:c r="K34" s="4" t="str">
        <x:v>进入手机号登录页</x:v>
      </x:c>
      <x:c r="L34" s="4" t="str"/>
      <x:c r="M34" s="4" t="str">
        <x:v>未测</x:v>
      </x:c>
      <x:c r="N34" s="4" t="str"/>
      <x:c r="O34" s="4" t="str">
        <x:v>1. 来源（当前证据）：MainBasis/统一需求文档.md；位置：U-auth-login-register-022，第1286行
2. 规则：BR-MB-490604BB560BE4
3. 未动态验证</x:v>
      </x:c>
    </x:row>
    <x:row r="35" ht="82" customHeight="1">
      <x:c r="A35" s="4" t="n">
        <x:v>34</x:v>
      </x:c>
      <x:c r="B35" s="4" t="str">
        <x:v>UMB-0034</x:v>
      </x:c>
      <x:c r="C35" s="4" t="str">
        <x:v>M01 账号·登录·资料与设置</x:v>
      </x:c>
      <x:c r="D35" s="4" t="str">
        <x:v>登录与注册（游客视角）</x:v>
      </x:c>
      <x:c r="E35" s="4" t="str">
        <x:v>功能需求</x:v>
      </x:c>
      <x:c r="F35" s="4" t="str">
        <x:v>P2</x:v>
      </x:c>
      <x:c r="G35" s="4" t="str">
        <x:v>验证游客在登录与注册的邮箱跳转</x:v>
      </x:c>
      <x:c r="H35" s="4" t="str">
        <x:v>邮箱跳转</x:v>
      </x:c>
      <x:c r="I35" s="4" t="str">
        <x:v>1. 当前为未登录游客</x:v>
      </x:c>
      <x:c r="J35" s="4" t="str">
        <x:v>1. 进入登录与注册
2. 点击邮箱</x:v>
      </x:c>
      <x:c r="K35" s="4" t="str">
        <x:v>进入邮箱登录页</x:v>
      </x:c>
      <x:c r="L35" s="4" t="str"/>
      <x:c r="M35" s="4" t="str">
        <x:v>未测</x:v>
      </x:c>
      <x:c r="N35" s="4" t="str"/>
      <x:c r="O35" s="4" t="str">
        <x:v>1. 来源（当前证据）：MainBasis/统一需求文档.md；位置：U-auth-login-register-023，第1290行
2. 规则：BR-MB-43368CA891EC65
3. 未动态验证</x:v>
      </x:c>
    </x:row>
    <x:row r="36" ht="138" customHeight="1">
      <x:c r="A36" s="4" t="n">
        <x:v>35</x:v>
      </x:c>
      <x:c r="B36" s="4" t="str">
        <x:v>UMB-0035</x:v>
      </x:c>
      <x:c r="C36" s="4" t="str">
        <x:v>M01 账号·登录·资料与设置</x:v>
      </x:c>
      <x:c r="D36" s="4" t="str">
        <x:v>登录与注册（用户视角）</x:v>
      </x:c>
      <x:c r="E36" s="4" t="str">
        <x:v>业务流程</x:v>
      </x:c>
      <x:c r="F36" s="4" t="str">
        <x:v>P1</x:v>
      </x:c>
      <x:c r="G36" s="4" t="str">
        <x:v>验证用户在登录与注册的解封账号重新登录</x:v>
      </x:c>
      <x:c r="H36" s="4" t="str">
        <x:v>解封账号重新登录</x:v>
      </x:c>
      <x:c r="I36" s="4" t="str">
        <x:v>1. 执行身份为用户
2. 原封禁账号已被平台解封
3. Google身份已关联该账号
4. 已同意登录协议
5. 当前尚未建立登录会话</x:v>
      </x:c>
      <x:c r="J36" s="4" t="str">
        <x:v>1. 进入登录与注册页
2. 点击Google
3. 确认授权</x:v>
      </x:c>
      <x:c r="K36" s="4" t="str">
        <x:v>进入首页</x:v>
      </x:c>
      <x:c r="L36" s="4" t="str">
        <x:v>MBF-082EDB69</x:v>
      </x:c>
      <x:c r="M36" s="4" t="str">
        <x:v>未测</x:v>
      </x:c>
      <x:c r="N36" s="4" t="str"/>
      <x:c r="O36" s="4" t="str">
        <x:v>1. 来源（当前证据）：MainBasis/统一需求文档.md；位置：D-SYS-120，第634行、U-auth-login-register-011，第1240行、U-auth-login-register-018，第1270行
2. 规则：BR-MB-A3FAD7739C0738
3. 未动态验证
4. 共同对象：用户账号；阶段：解封账号重新登录
5. 状态转换：MBT-F2DBE35AB58E；封禁→正常</x:v>
      </x:c>
    </x:row>
    <x:row r="37" ht="82" customHeight="1">
      <x:c r="A37" s="4" t="n">
        <x:v>36</x:v>
      </x:c>
      <x:c r="B37" s="4" t="str">
        <x:v>UMB-0036</x:v>
      </x:c>
      <x:c r="C37" s="4" t="str">
        <x:v>M01 账号·登录·资料与设置</x:v>
      </x:c>
      <x:c r="D37" s="4" t="str">
        <x:v>聊天气泡（用户视角）</x:v>
      </x:c>
      <x:c r="E37" s="4" t="str">
        <x:v>功能需求</x:v>
      </x:c>
      <x:c r="F37" s="4" t="str">
        <x:v>P2</x:v>
      </x:c>
      <x:c r="G37" s="4" t="str">
        <x:v>验证用户在聊天气泡的历史消息气泡</x:v>
      </x:c>
      <x:c r="H37" s="4" t="str">
        <x:v>历史消息气泡</x:v>
      </x:c>
      <x:c r="I37" s="4" t="str">
        <x:v>1. 执行身份为用户
2. 已有使用原气泡的历史消息
3. 另有一个有效聊天气泡
4. 执行账号已登录</x:v>
      </x:c>
      <x:c r="J37" s="4" t="str">
        <x:v>1. 进入聊天气泡页
2. 选择另一个有效聊天气泡
3. 点击佩戴
4. 打开原私信会话</x:v>
      </x:c>
      <x:c r="K37" s="4" t="str">
        <x:v>历史消息仍使用原气泡</x:v>
      </x:c>
      <x:c r="L37" s="4" t="str"/>
      <x:c r="M37" s="4" t="str">
        <x:v>未测</x:v>
      </x:c>
      <x:c r="N37" s="4" t="str"/>
      <x:c r="O37" s="4" t="str">
        <x:v>1. 来源（当前证据）：MainBasis/统一需求文档.md；位置：U-my-decoration-chat-bubble-006，第1138行
2. 规则：BR-MB-8B1ABA3F60C4CD
3. 未动态验证</x:v>
      </x:c>
    </x:row>
    <x:row r="38" ht="96" customHeight="1">
      <x:c r="A38" s="4" t="n">
        <x:v>37</x:v>
      </x:c>
      <x:c r="B38" s="4" t="str">
        <x:v>UMB-0037</x:v>
      </x:c>
      <x:c r="C38" s="4" t="str">
        <x:v>M01 账号·登录·资料与设置</x:v>
      </x:c>
      <x:c r="D38" s="4" t="str">
        <x:v>资料编辑（用户视角）</x:v>
      </x:c>
      <x:c r="E38" s="4" t="str">
        <x:v>功能需求</x:v>
      </x:c>
      <x:c r="F38" s="4" t="str">
        <x:v>P1</x:v>
      </x:c>
      <x:c r="G38" s="4" t="str">
        <x:v>验证用户在资料编辑的头像风控拒绝</x:v>
      </x:c>
      <x:c r="H38" s="4" t="str">
        <x:v>头像风控拒绝</x:v>
      </x:c>
      <x:c r="I38" s="4" t="str">
        <x:v>1. 执行身份为用户
2. 原头像已有有效值
3. 新头像提交后的风控结论为不通过
4. 执行账号已登录</x:v>
      </x:c>
      <x:c r="J38" s="4" t="str">
        <x:v>1. 进入资料编辑页
2. 重新进入我的页面</x:v>
      </x:c>
      <x:c r="K38" s="4" t="str">
        <x:v>仍展示原头像</x:v>
      </x:c>
      <x:c r="L38" s="4" t="str"/>
      <x:c r="M38" s="4" t="str">
        <x:v>未测</x:v>
      </x:c>
      <x:c r="N38" s="4" t="str"/>
      <x:c r="O38" s="4" t="str">
        <x:v>1. 来源（当前证据）：MainBasis/统一需求文档.md；位置：D-SYS-044，第300行、U-profile-006，第958行、U-profile-edit-001，第1560行
2. 规则：BR-MB-F10FF138F5EEE1
3. 未动态验证</x:v>
      </x:c>
    </x:row>
    <x:row r="39" ht="82" customHeight="1">
      <x:c r="A39" s="4" t="n">
        <x:v>38</x:v>
      </x:c>
      <x:c r="B39" s="4" t="str">
        <x:v>UMB-0038</x:v>
      </x:c>
      <x:c r="C39" s="4" t="str">
        <x:v>M01 账号·登录·资料与设置</x:v>
      </x:c>
      <x:c r="D39" s="4" t="str">
        <x:v>资料编辑（用户视角）</x:v>
      </x:c>
      <x:c r="E39" s="4" t="str">
        <x:v>功能需求</x:v>
      </x:c>
      <x:c r="F39" s="4" t="str">
        <x:v>P1</x:v>
      </x:c>
      <x:c r="G39" s="4" t="str">
        <x:v>验证用户在资料编辑的昵称风控拒绝</x:v>
      </x:c>
      <x:c r="H39" s="4" t="str">
        <x:v>昵称风控拒绝</x:v>
      </x:c>
      <x:c r="I39" s="4" t="str">
        <x:v>1. 执行身份为用户
2. 原昵称已有有效值
3. 新昵称提交后的风控结论为不通过
4. 执行账号已登录</x:v>
      </x:c>
      <x:c r="J39" s="4" t="str">
        <x:v>1. 进入资料编辑页
2. 重新进入我的页面</x:v>
      </x:c>
      <x:c r="K39" s="4" t="str">
        <x:v>仍展示原昵称</x:v>
      </x:c>
      <x:c r="L39" s="4" t="str"/>
      <x:c r="M39" s="4" t="str">
        <x:v>未测</x:v>
      </x:c>
      <x:c r="N39" s="4" t="str"/>
      <x:c r="O39" s="4" t="str">
        <x:v>1. 来源（当前证据）：MainBasis/统一需求文档.md；位置：D-SYS-044，第300行、U-profile-edit-001，第1560行
2. 规则：BR-MB-6A1D87BDE0504D
3. 未动态验证</x:v>
      </x:c>
    </x:row>
    <x:row r="40" ht="68" customHeight="1">
      <x:c r="A40" s="4" t="n">
        <x:v>39</x:v>
      </x:c>
      <x:c r="B40" s="4" t="str">
        <x:v>UMB-0039</x:v>
      </x:c>
      <x:c r="C40" s="4" t="str">
        <x:v>M01 账号·登录·资料与设置</x:v>
      </x:c>
      <x:c r="D40" s="4" t="str">
        <x:v>资料编辑（用户视角）</x:v>
      </x:c>
      <x:c r="E40" s="4" t="str">
        <x:v>异常用例</x:v>
      </x:c>
      <x:c r="F40" s="4" t="str">
        <x:v>P1</x:v>
      </x:c>
      <x:c r="G40" s="4" t="str">
        <x:v>验证用户在资料编辑的用户ID只读</x:v>
      </x:c>
      <x:c r="H40" s="4" t="str">
        <x:v>用户ID只读</x:v>
      </x:c>
      <x:c r="I40" s="4" t="str">
        <x:v>1. 执行身份为用户
2. 执行账号已登录</x:v>
      </x:c>
      <x:c r="J40" s="4" t="str">
        <x:v>1. 进入编辑资料</x:v>
      </x:c>
      <x:c r="K40" s="4" t="str">
        <x:v>用户ID不可编辑</x:v>
      </x:c>
      <x:c r="L40" s="4" t="str"/>
      <x:c r="M40" s="4" t="str">
        <x:v>未测</x:v>
      </x:c>
      <x:c r="N40" s="4" t="str"/>
      <x:c r="O40" s="4" t="str">
        <x:v>1. 来源（当前证据）：MainBasis/统一需求文档.md；位置：U-profile-edit-002，第1566行
2. 规则：BR-MB-1A1EBFF85305CE
3. 未动态验证</x:v>
      </x:c>
    </x:row>
    <x:row r="41" ht="82" customHeight="1">
      <x:c r="A41" s="4" t="n">
        <x:v>40</x:v>
      </x:c>
      <x:c r="B41" s="4" t="str">
        <x:v>UMB-0040</x:v>
      </x:c>
      <x:c r="C41" s="4" t="str">
        <x:v>M01 账号·登录·资料与设置</x:v>
      </x:c>
      <x:c r="D41" s="4" t="str">
        <x:v>资料编辑（用户视角）</x:v>
      </x:c>
      <x:c r="E41" s="4" t="str">
        <x:v>功能需求</x:v>
      </x:c>
      <x:c r="F41" s="4" t="str">
        <x:v>P1</x:v>
      </x:c>
      <x:c r="G41" s="4" t="str">
        <x:v>验证用户在资料编辑的昵称长度上界</x:v>
      </x:c>
      <x:c r="H41" s="4" t="str">
        <x:v>昵称长度上界</x:v>
      </x:c>
      <x:c r="I41" s="4" t="str">
        <x:v>1. 执行身份为用户
2. 执行账号已登录</x:v>
      </x:c>
      <x:c r="J41" s="4" t="str">
        <x:v>1. 进入编辑资料
2. 清空昵称
3. 输入由20个测组成的昵称</x:v>
      </x:c>
      <x:c r="K41" s="4" t="str">
        <x:v>昵称输入框保留20个字符</x:v>
      </x:c>
      <x:c r="L41" s="4" t="str"/>
      <x:c r="M41" s="4" t="str">
        <x:v>未测</x:v>
      </x:c>
      <x:c r="N41" s="4" t="str"/>
      <x:c r="O41" s="4" t="str">
        <x:v>1. 来源（当前证据）：MainBasis/统一需求文档.md；位置：U-profile-edit-005，第1578行、U-profile-edit-011，第1606行
2. 规则：BR-MB-FAA8DBEA14FA22
3. 未动态验证</x:v>
      </x:c>
    </x:row>
    <x:row r="42" ht="82" customHeight="1">
      <x:c r="A42" s="4" t="n">
        <x:v>41</x:v>
      </x:c>
      <x:c r="B42" s="4" t="str">
        <x:v>UMB-0041</x:v>
      </x:c>
      <x:c r="C42" s="4" t="str">
        <x:v>M01 账号·登录·资料与设置</x:v>
      </x:c>
      <x:c r="D42" s="4" t="str">
        <x:v>资料编辑（用户视角）</x:v>
      </x:c>
      <x:c r="E42" s="4" t="str">
        <x:v>功能需求</x:v>
      </x:c>
      <x:c r="F42" s="4" t="str">
        <x:v>P1</x:v>
      </x:c>
      <x:c r="G42" s="4" t="str">
        <x:v>验证用户在资料编辑的昵称超长截断</x:v>
      </x:c>
      <x:c r="H42" s="4" t="str">
        <x:v>昵称超长截断</x:v>
      </x:c>
      <x:c r="I42" s="4" t="str">
        <x:v>1. 执行身份为用户
2. 执行账号已登录</x:v>
      </x:c>
      <x:c r="J42" s="4" t="str">
        <x:v>1. 进入编辑资料
2. 清空昵称
3. 输入由21个测组成的昵称</x:v>
      </x:c>
      <x:c r="K42" s="4" t="str">
        <x:v>昵称输入框最多保留20个字符</x:v>
      </x:c>
      <x:c r="L42" s="4" t="str"/>
      <x:c r="M42" s="4" t="str">
        <x:v>未测</x:v>
      </x:c>
      <x:c r="N42" s="4" t="str"/>
      <x:c r="O42" s="4" t="str">
        <x:v>1. 来源（当前证据）：MainBasis/统一需求文档.md；位置：U-profile-edit-005，第1578行、U-profile-edit-011，第1606行
2. 规则：BR-MB-4283B25D72AFD5
3. 未动态验证</x:v>
      </x:c>
    </x:row>
    <x:row r="43" ht="82" customHeight="1">
      <x:c r="A43" s="4" t="n">
        <x:v>42</x:v>
      </x:c>
      <x:c r="B43" s="4" t="str">
        <x:v>UMB-0042</x:v>
      </x:c>
      <x:c r="C43" s="4" t="str">
        <x:v>M01 账号·登录·资料与设置</x:v>
      </x:c>
      <x:c r="D43" s="4" t="str">
        <x:v>资料编辑（用户视角）</x:v>
      </x:c>
      <x:c r="E43" s="4" t="str">
        <x:v>功能需求</x:v>
      </x:c>
      <x:c r="F43" s="4" t="str">
        <x:v>P1</x:v>
      </x:c>
      <x:c r="G43" s="4" t="str">
        <x:v>验证用户在资料编辑的签名长度上界</x:v>
      </x:c>
      <x:c r="H43" s="4" t="str">
        <x:v>签名长度上界</x:v>
      </x:c>
      <x:c r="I43" s="4" t="str">
        <x:v>1. 执行身份为用户
2. 执行账号已登录</x:v>
      </x:c>
      <x:c r="J43" s="4" t="str">
        <x:v>1. 进入编辑资料
2. 清空签名
3. 输入由80个测组成的签名</x:v>
      </x:c>
      <x:c r="K43" s="4" t="str">
        <x:v>签名输入框保留80个字符</x:v>
      </x:c>
      <x:c r="L43" s="4" t="str"/>
      <x:c r="M43" s="4" t="str">
        <x:v>未测</x:v>
      </x:c>
      <x:c r="N43" s="4" t="str"/>
      <x:c r="O43" s="4" t="str">
        <x:v>1. 来源（当前证据）：MainBasis/统一需求文档.md；位置：U-profile-edit-006，第1582行、U-profile-edit-011，第1606行
2. 规则：BR-MB-AEB26A36307D8E
3. 未动态验证</x:v>
      </x:c>
    </x:row>
    <x:row r="44" ht="82" customHeight="1">
      <x:c r="A44" s="4" t="n">
        <x:v>43</x:v>
      </x:c>
      <x:c r="B44" s="4" t="str">
        <x:v>UMB-0043</x:v>
      </x:c>
      <x:c r="C44" s="4" t="str">
        <x:v>M01 账号·登录·资料与设置</x:v>
      </x:c>
      <x:c r="D44" s="4" t="str">
        <x:v>资料编辑（用户视角）</x:v>
      </x:c>
      <x:c r="E44" s="4" t="str">
        <x:v>功能需求</x:v>
      </x:c>
      <x:c r="F44" s="4" t="str">
        <x:v>P1</x:v>
      </x:c>
      <x:c r="G44" s="4" t="str">
        <x:v>验证用户在资料编辑的签名超长截断</x:v>
      </x:c>
      <x:c r="H44" s="4" t="str">
        <x:v>签名超长截断</x:v>
      </x:c>
      <x:c r="I44" s="4" t="str">
        <x:v>1. 执行身份为用户
2. 执行账号已登录</x:v>
      </x:c>
      <x:c r="J44" s="4" t="str">
        <x:v>1. 进入编辑资料
2. 清空签名
3. 输入由81个测组成的签名</x:v>
      </x:c>
      <x:c r="K44" s="4" t="str">
        <x:v>签名输入框最多保留80个字符</x:v>
      </x:c>
      <x:c r="L44" s="4" t="str"/>
      <x:c r="M44" s="4" t="str">
        <x:v>未测</x:v>
      </x:c>
      <x:c r="N44" s="4" t="str"/>
      <x:c r="O44" s="4" t="str">
        <x:v>1. 来源（当前证据）：MainBasis/统一需求文档.md；位置：U-profile-edit-006，第1582行、U-profile-edit-011，第1606行
2. 规则：BR-MB-E3AE0ACA2E0038
3. 未动态验证</x:v>
      </x:c>
    </x:row>
    <x:row r="45" ht="82" customHeight="1">
      <x:c r="A45" s="4" t="n">
        <x:v>44</x:v>
      </x:c>
      <x:c r="B45" s="4" t="str">
        <x:v>UMB-0044</x:v>
      </x:c>
      <x:c r="C45" s="4" t="str">
        <x:v>M01 账号·登录·资料与设置</x:v>
      </x:c>
      <x:c r="D45" s="4" t="str">
        <x:v>资料编辑（用户视角）</x:v>
      </x:c>
      <x:c r="E45" s="4" t="str">
        <x:v>功能需求</x:v>
      </x:c>
      <x:c r="F45" s="4" t="str">
        <x:v>P1</x:v>
      </x:c>
      <x:c r="G45" s="4" t="str">
        <x:v>验证用户在资料编辑的地区长度上界</x:v>
      </x:c>
      <x:c r="H45" s="4" t="str">
        <x:v>地区长度上界</x:v>
      </x:c>
      <x:c r="I45" s="4" t="str">
        <x:v>1. 执行身份为用户
2. 执行账号已登录</x:v>
      </x:c>
      <x:c r="J45" s="4" t="str">
        <x:v>1. 进入编辑资料
2. 清空地区
3. 输入由30个测组成的地区</x:v>
      </x:c>
      <x:c r="K45" s="4" t="str">
        <x:v>地区输入框保留30个字符</x:v>
      </x:c>
      <x:c r="L45" s="4" t="str"/>
      <x:c r="M45" s="4" t="str">
        <x:v>未测</x:v>
      </x:c>
      <x:c r="N45" s="4" t="str"/>
      <x:c r="O45" s="4" t="str">
        <x:v>1. 来源（当前证据）：MainBasis/统一需求文档.md；位置：U-profile-edit-008，第1590行、U-profile-edit-011，第1606行
2. 规则：BR-MB-FEFD10CBAEDCB1
3. 未动态验证</x:v>
      </x:c>
    </x:row>
    <x:row r="46" ht="82" customHeight="1">
      <x:c r="A46" s="4" t="n">
        <x:v>45</x:v>
      </x:c>
      <x:c r="B46" s="4" t="str">
        <x:v>UMB-0045</x:v>
      </x:c>
      <x:c r="C46" s="4" t="str">
        <x:v>M01 账号·登录·资料与设置</x:v>
      </x:c>
      <x:c r="D46" s="4" t="str">
        <x:v>资料编辑（用户视角）</x:v>
      </x:c>
      <x:c r="E46" s="4" t="str">
        <x:v>功能需求</x:v>
      </x:c>
      <x:c r="F46" s="4" t="str">
        <x:v>P1</x:v>
      </x:c>
      <x:c r="G46" s="4" t="str">
        <x:v>验证用户在资料编辑的地区超长截断</x:v>
      </x:c>
      <x:c r="H46" s="4" t="str">
        <x:v>地区超长截断</x:v>
      </x:c>
      <x:c r="I46" s="4" t="str">
        <x:v>1. 执行身份为用户
2. 执行账号已登录</x:v>
      </x:c>
      <x:c r="J46" s="4" t="str">
        <x:v>1. 进入编辑资料
2. 清空地区
3. 输入由31个测组成的地区</x:v>
      </x:c>
      <x:c r="K46" s="4" t="str">
        <x:v>地区输入框最多保留30个字符</x:v>
      </x:c>
      <x:c r="L46" s="4" t="str"/>
      <x:c r="M46" s="4" t="str">
        <x:v>未测</x:v>
      </x:c>
      <x:c r="N46" s="4" t="str"/>
      <x:c r="O46" s="4" t="str">
        <x:v>1. 来源（当前证据）：MainBasis/统一需求文档.md；位置：U-profile-edit-008，第1590行、U-profile-edit-011，第1606行
2. 规则：BR-MB-5EA09976A532E7
3. 未动态验证</x:v>
      </x:c>
    </x:row>
    <x:row r="47" ht="68" customHeight="1">
      <x:c r="A47" s="4" t="n">
        <x:v>46</x:v>
      </x:c>
      <x:c r="B47" s="4" t="str">
        <x:v>UMB-0046</x:v>
      </x:c>
      <x:c r="C47" s="4" t="str">
        <x:v>M01 账号·登录·资料与设置</x:v>
      </x:c>
      <x:c r="D47" s="4" t="str">
        <x:v>资料编辑（用户视角）</x:v>
      </x:c>
      <x:c r="E47" s="4" t="str">
        <x:v>异常用例</x:v>
      </x:c>
      <x:c r="F47" s="4" t="str">
        <x:v>P1</x:v>
      </x:c>
      <x:c r="G47" s="4" t="str">
        <x:v>验证用户在资料编辑的昵称空白保存限制</x:v>
      </x:c>
      <x:c r="H47" s="4" t="str">
        <x:v>昵称空白保存限制</x:v>
      </x:c>
      <x:c r="I47" s="4" t="str">
        <x:v>1. 执行身份为用户
2. 其他资料不变
3. 执行账号已登录</x:v>
      </x:c>
      <x:c r="J47" s="4" t="str">
        <x:v>1. 进入编辑资料
2. 清空昵称</x:v>
      </x:c>
      <x:c r="K47" s="4" t="str">
        <x:v>保存按钮不可用</x:v>
      </x:c>
      <x:c r="L47" s="4" t="str"/>
      <x:c r="M47" s="4" t="str">
        <x:v>未测</x:v>
      </x:c>
      <x:c r="N47" s="4" t="str"/>
      <x:c r="O47" s="4" t="str">
        <x:v>1. 来源（当前证据）：MainBasis/统一需求文档.md；位置：U-profile-edit-011，第1606行
2. 规则：BR-MB-AECB7F20F5F04F
3. 未动态验证</x:v>
      </x:c>
    </x:row>
    <x:row r="48" ht="68" customHeight="1">
      <x:c r="A48" s="4" t="n">
        <x:v>47</x:v>
      </x:c>
      <x:c r="B48" s="4" t="str">
        <x:v>UMB-0047</x:v>
      </x:c>
      <x:c r="C48" s="4" t="str">
        <x:v>M01 账号·登录·资料与设置</x:v>
      </x:c>
      <x:c r="D48" s="4" t="str">
        <x:v>资料编辑（用户视角）</x:v>
      </x:c>
      <x:c r="E48" s="4" t="str">
        <x:v>异常用例</x:v>
      </x:c>
      <x:c r="F48" s="4" t="str">
        <x:v>P1</x:v>
      </x:c>
      <x:c r="G48" s="4" t="str">
        <x:v>验证用户在资料编辑的生日未来日期</x:v>
      </x:c>
      <x:c r="H48" s="4" t="str">
        <x:v>生日未来日期</x:v>
      </x:c>
      <x:c r="I48" s="4" t="str">
        <x:v>1. 执行身份为用户
2. 设备当前日期2026-09-11
3. 执行账号已登录</x:v>
      </x:c>
      <x:c r="J48" s="4" t="str">
        <x:v>1. 进入编辑资料
2. 选择生日2026-09-12</x:v>
      </x:c>
      <x:c r="K48" s="4" t="str">
        <x:v>不能保存晚于当前日期的生日</x:v>
      </x:c>
      <x:c r="L48" s="4" t="str"/>
      <x:c r="M48" s="4" t="str">
        <x:v>未测</x:v>
      </x:c>
      <x:c r="N48" s="4" t="str"/>
      <x:c r="O48" s="4" t="str">
        <x:v>1. 来源（当前证据）：MainBasis/统一需求文档.md；位置：U-profile-edit-009，第1594行
2. 规则：BR-MB-B87BC03E0C8BE6
3. 未动态验证</x:v>
      </x:c>
    </x:row>
    <x:row r="49" ht="68" customHeight="1">
      <x:c r="A49" s="4" t="n">
        <x:v>48</x:v>
      </x:c>
      <x:c r="B49" s="4" t="str">
        <x:v>UMB-0048</x:v>
      </x:c>
      <x:c r="C49" s="4" t="str">
        <x:v>M01 账号·登录·资料与设置</x:v>
      </x:c>
      <x:c r="D49" s="4" t="str">
        <x:v>资料编辑（用户视角）</x:v>
      </x:c>
      <x:c r="E49" s="4" t="str">
        <x:v>功能需求</x:v>
      </x:c>
      <x:c r="F49" s="4" t="str">
        <x:v>P1</x:v>
      </x:c>
      <x:c r="G49" s="4" t="str">
        <x:v>验证用户在资料编辑的资料审核未通过文案</x:v>
      </x:c>
      <x:c r="H49" s="4" t="str">
        <x:v>资料审核未通过文案</x:v>
      </x:c>
      <x:c r="I49" s="4" t="str">
        <x:v>1. 执行身份为用户
2. 新头像已提交
3. 风控返回不通过
4. 执行账号已登录</x:v>
      </x:c>
      <x:c r="J49" s="4" t="str">
        <x:v>1. 进入编辑资料
2. 点击保存</x:v>
      </x:c>
      <x:c r="K49" s="4" t="str">
        <x:v>提示“头像或昵称不合规”</x:v>
      </x:c>
      <x:c r="L49" s="4" t="str"/>
      <x:c r="M49" s="4" t="str">
        <x:v>未测</x:v>
      </x:c>
      <x:c r="N49" s="4" t="str"/>
      <x:c r="O49" s="4" t="str">
        <x:v>1. 来源（当前证据）：MainBasis/统一需求文档.md；位置：U-profile-edit-013，第1614行
2. 规则：BR-MB-DD0CA23F6BB4EA
3. 未动态验证</x:v>
      </x:c>
    </x:row>
    <x:row r="50" ht="68" customHeight="1">
      <x:c r="A50" s="4" t="n">
        <x:v>49</x:v>
      </x:c>
      <x:c r="B50" s="4" t="str">
        <x:v>UMB-0049</x:v>
      </x:c>
      <x:c r="C50" s="4" t="str">
        <x:v>M01 账号·登录·资料与设置</x:v>
      </x:c>
      <x:c r="D50" s="4" t="str">
        <x:v>资料编辑（用户视角）</x:v>
      </x:c>
      <x:c r="E50" s="4" t="str">
        <x:v>功能需求</x:v>
      </x:c>
      <x:c r="F50" s="4" t="str">
        <x:v>P1</x:v>
      </x:c>
      <x:c r="G50" s="4" t="str">
        <x:v>验证用户在资料编辑的资料审核网络失败</x:v>
      </x:c>
      <x:c r="H50" s="4" t="str">
        <x:v>资料审核网络失败</x:v>
      </x:c>
      <x:c r="I50" s="4" t="str">
        <x:v>1. 执行身份为用户
2. 新昵称为测试昵称A
3. 校验请求发生网络异常
4. 执行账号已登录</x:v>
      </x:c>
      <x:c r="J50" s="4" t="str">
        <x:v>1. 进入编辑资料
2. 输入新昵称
3. 点击保存</x:v>
      </x:c>
      <x:c r="K50" s="4" t="str">
        <x:v>提示“网络异常，请重试”</x:v>
      </x:c>
      <x:c r="L50" s="4" t="str"/>
      <x:c r="M50" s="4" t="str">
        <x:v>未测</x:v>
      </x:c>
      <x:c r="N50" s="4" t="str"/>
      <x:c r="O50" s="4" t="str">
        <x:v>1. 来源（当前证据）：MainBasis/统一需求文档.md；位置：U-profile-edit-013，第1614行
2. 规则：BR-MB-3A17008A46A2F5
3. 未动态验证</x:v>
      </x:c>
    </x:row>
    <x:row r="51" ht="82" customHeight="1">
      <x:c r="A51" s="4" t="n">
        <x:v>50</x:v>
      </x:c>
      <x:c r="B51" s="4" t="str">
        <x:v>UMB-0050</x:v>
      </x:c>
      <x:c r="C51" s="4" t="str">
        <x:v>M01 账号·登录·资料与设置</x:v>
      </x:c>
      <x:c r="D51" s="4" t="str">
        <x:v>资料补全（新注册用户视角）</x:v>
      </x:c>
      <x:c r="E51" s="4" t="str">
        <x:v>功能需求</x:v>
      </x:c>
      <x:c r="F51" s="4" t="str">
        <x:v>P1</x:v>
      </x:c>
      <x:c r="G51" s="4" t="str">
        <x:v>验证新注册用户在资料补全的跳过资料补全</x:v>
      </x:c>
      <x:c r="H51" s="4" t="str">
        <x:v>跳过资料补全</x:v>
      </x:c>
      <x:c r="I51" s="4" t="str">
        <x:v>1. 执行身份为新注册用户
2. 默认头像和昵称已生成
3. 执行账号已登录</x:v>
      </x:c>
      <x:c r="J51" s="4" t="str">
        <x:v>1. 进入资料补全页
2. 点击跳过</x:v>
      </x:c>
      <x:c r="K51" s="4" t="str">
        <x:v>进入首页</x:v>
      </x:c>
      <x:c r="L51" s="4" t="str"/>
      <x:c r="M51" s="4" t="str">
        <x:v>未测</x:v>
      </x:c>
      <x:c r="N51" s="4" t="str"/>
      <x:c r="O51" s="4" t="str">
        <x:v>1. 来源（当前证据）：MainBasis/统一需求文档.md；位置：U-auth-profile-completion-006，第1370行
2. 规则：BR-MB-54830A7FD9FB95
3. 未动态验证</x:v>
      </x:c>
    </x:row>
    <x:row r="52" ht="82" customHeight="1">
      <x:c r="A52" s="4" t="n">
        <x:v>51</x:v>
      </x:c>
      <x:c r="B52" s="4" t="str">
        <x:v>UMB-0051</x:v>
      </x:c>
      <x:c r="C52" s="4" t="str">
        <x:v>M01 账号·登录·资料与设置</x:v>
      </x:c>
      <x:c r="D52" s="4" t="str">
        <x:v>选择国家/地区（游客视角）</x:v>
      </x:c>
      <x:c r="E52" s="4" t="str">
        <x:v>功能需求</x:v>
      </x:c>
      <x:c r="F52" s="4" t="str">
        <x:v>P1</x:v>
      </x:c>
      <x:c r="G52" s="4" t="str">
        <x:v>验证游客在选择国家/地区的区号可选范围</x:v>
      </x:c>
      <x:c r="H52" s="4" t="str">
        <x:v>区号可选范围</x:v>
      </x:c>
      <x:c r="I52" s="4" t="str">
        <x:v>1. 执行身份为游客
2. 当前为未登录游客</x:v>
      </x:c>
      <x:c r="J52" s="4" t="str">
        <x:v>1. 进入选择国家/地区页
2. 输入+86搜索</x:v>
      </x:c>
      <x:c r="K52" s="4" t="str">
        <x:v>可选结果中没有中国大陆 +86</x:v>
      </x:c>
      <x:c r="L52" s="4" t="str"/>
      <x:c r="M52" s="4" t="str">
        <x:v>未测</x:v>
      </x:c>
      <x:c r="N52" s="4" t="str"/>
      <x:c r="O52" s="4" t="str">
        <x:v>1. 来源（当前证据）：MainBasis/统一需求文档.md；位置：U-auth-country-select-005，第1468行
2. 规则：BR-MB-B21F37B46906A1
3. 未动态验证</x:v>
      </x:c>
    </x:row>
    <x:row r="53" ht="82" customHeight="1">
      <x:c r="A53" s="4" t="n">
        <x:v>52</x:v>
      </x:c>
      <x:c r="B53" s="4" t="str">
        <x:v>UMB-0052</x:v>
      </x:c>
      <x:c r="C53" s="4" t="str">
        <x:v>M01 账号·登录·资料与设置</x:v>
      </x:c>
      <x:c r="D53" s="4" t="str">
        <x:v>邮箱登录（游客视角）</x:v>
      </x:c>
      <x:c r="E53" s="4" t="str">
        <x:v>功能需求</x:v>
      </x:c>
      <x:c r="F53" s="4" t="str">
        <x:v>P1</x:v>
      </x:c>
      <x:c r="G53" s="4" t="str">
        <x:v>验证游客在邮箱登录的邮箱默认登录方式</x:v>
      </x:c>
      <x:c r="H53" s="4" t="str">
        <x:v>邮箱默认登录方式</x:v>
      </x:c>
      <x:c r="I53" s="4" t="str">
        <x:v>1. 执行身份为游客
2. 当前为未登录游客</x:v>
      </x:c>
      <x:c r="J53" s="4" t="str">
        <x:v>1. 从登录与注册页进入邮箱登录页</x:v>
      </x:c>
      <x:c r="K53" s="4" t="str">
        <x:v>默认使用邮箱验证码登录</x:v>
      </x:c>
      <x:c r="L53" s="4" t="str"/>
      <x:c r="M53" s="4" t="str">
        <x:v>未测</x:v>
      </x:c>
      <x:c r="N53" s="4" t="str"/>
      <x:c r="O53" s="4" t="str">
        <x:v>1. 来源（当前证据）：MainBasis/统一需求文档.md；位置：U-auth-email-login-005，第1526行
2. 规则：BR-MB-D838516D69D568
3. 未动态验证</x:v>
      </x:c>
    </x:row>
    <x:row r="54" ht="82" customHeight="1">
      <x:c r="A54" s="4" t="n">
        <x:v>53</x:v>
      </x:c>
      <x:c r="B54" s="4" t="str">
        <x:v>UMB-0053</x:v>
      </x:c>
      <x:c r="C54" s="4" t="str">
        <x:v>M01 账号·登录·资料与设置</x:v>
      </x:c>
      <x:c r="D54" s="4" t="str">
        <x:v>邮箱登录（游客视角）</x:v>
      </x:c>
      <x:c r="E54" s="4" t="str">
        <x:v>异常用例</x:v>
      </x:c>
      <x:c r="F54" s="4" t="str">
        <x:v>P1</x:v>
      </x:c>
      <x:c r="G54" s="4" t="str">
        <x:v>验证游客在邮箱登录的邮箱格式拦截</x:v>
      </x:c>
      <x:c r="H54" s="4" t="str">
        <x:v>邮箱格式拦截</x:v>
      </x:c>
      <x:c r="I54" s="4" t="str">
        <x:v>1. 执行身份为游客
2. 当前为未登录游客</x:v>
      </x:c>
      <x:c r="J54" s="4" t="str">
        <x:v>1. 进入邮箱登录页
2. 输入邮箱abc</x:v>
      </x:c>
      <x:c r="K54" s="4" t="str">
        <x:v>不能获取验证码</x:v>
      </x:c>
      <x:c r="L54" s="4" t="str"/>
      <x:c r="M54" s="4" t="str">
        <x:v>未测</x:v>
      </x:c>
      <x:c r="N54" s="4" t="str"/>
      <x:c r="O54" s="4" t="str">
        <x:v>1. 来源（当前证据）：MainBasis/统一需求文档.md；位置：U-auth-email-login-002，第1512行、U-auth-email-login-007，第1536行
2. 规则：BR-MB-178D0C6C293308
3. 未动态验证</x:v>
      </x:c>
    </x:row>
    <x:row r="55" ht="82" customHeight="1">
      <x:c r="A55" s="4" t="n">
        <x:v>54</x:v>
      </x:c>
      <x:c r="B55" s="4" t="str">
        <x:v>UMB-0054</x:v>
      </x:c>
      <x:c r="C55" s="4" t="str">
        <x:v>M01 账号·登录·资料与设置</x:v>
      </x:c>
      <x:c r="D55" s="4" t="str">
        <x:v>邮箱登录（游客视角）</x:v>
      </x:c>
      <x:c r="E55" s="4" t="str">
        <x:v>异常用例</x:v>
      </x:c>
      <x:c r="F55" s="4" t="str">
        <x:v>P1</x:v>
      </x:c>
      <x:c r="G55" s="4" t="str">
        <x:v>验证游客在邮箱登录的邮箱格式拦截</x:v>
      </x:c>
      <x:c r="H55" s="4" t="str">
        <x:v>邮箱格式拦截</x:v>
      </x:c>
      <x:c r="I55" s="4" t="str">
        <x:v>1. 执行身份为游客
2. 当前为未登录游客</x:v>
      </x:c>
      <x:c r="J55" s="4" t="str">
        <x:v>1. 进入邮箱登录页
2. 输入邮箱abc@</x:v>
      </x:c>
      <x:c r="K55" s="4" t="str">
        <x:v>不能获取验证码</x:v>
      </x:c>
      <x:c r="L55" s="4" t="str"/>
      <x:c r="M55" s="4" t="str">
        <x:v>未测</x:v>
      </x:c>
      <x:c r="N55" s="4" t="str"/>
      <x:c r="O55" s="4" t="str">
        <x:v>1. 来源（当前证据）：MainBasis/统一需求文档.md；位置：U-auth-email-login-002，第1512行、U-auth-email-login-007，第1536行
2. 规则：BR-MB-EF2761FD1702BF
3. 未动态验证</x:v>
      </x:c>
    </x:row>
    <x:row r="56" ht="82" customHeight="1">
      <x:c r="A56" s="4" t="n">
        <x:v>55</x:v>
      </x:c>
      <x:c r="B56" s="4" t="str">
        <x:v>UMB-0055</x:v>
      </x:c>
      <x:c r="C56" s="4" t="str">
        <x:v>M01 账号·登录·资料与设置</x:v>
      </x:c>
      <x:c r="D56" s="4" t="str">
        <x:v>邮箱登录（游客视角）</x:v>
      </x:c>
      <x:c r="E56" s="4" t="str">
        <x:v>异常用例</x:v>
      </x:c>
      <x:c r="F56" s="4" t="str">
        <x:v>P1</x:v>
      </x:c>
      <x:c r="G56" s="4" t="str">
        <x:v>验证游客在邮箱登录的邮箱格式拦截</x:v>
      </x:c>
      <x:c r="H56" s="4" t="str">
        <x:v>邮箱格式拦截</x:v>
      </x:c>
      <x:c r="I56" s="4" t="str">
        <x:v>1. 执行身份为游客
2. 当前为未登录游客</x:v>
      </x:c>
      <x:c r="J56" s="4" t="str">
        <x:v>1. 进入邮箱登录页
2. 输入邮箱@example.com</x:v>
      </x:c>
      <x:c r="K56" s="4" t="str">
        <x:v>不能获取验证码</x:v>
      </x:c>
      <x:c r="L56" s="4" t="str"/>
      <x:c r="M56" s="4" t="str">
        <x:v>未测</x:v>
      </x:c>
      <x:c r="N56" s="4" t="str"/>
      <x:c r="O56" s="4" t="str">
        <x:v>1. 来源（当前证据）：MainBasis/统一需求文档.md；位置：U-auth-email-login-002，第1512行、U-auth-email-login-007，第1536行
2. 规则：BR-MB-F03A857D4AE32C
3. 未动态验证</x:v>
      </x:c>
    </x:row>
    <x:row r="57" ht="82" customHeight="1">
      <x:c r="A57" s="4" t="n">
        <x:v>56</x:v>
      </x:c>
      <x:c r="B57" s="4" t="str">
        <x:v>UMB-0056</x:v>
      </x:c>
      <x:c r="C57" s="4" t="str">
        <x:v>M01 账号·登录·资料与设置</x:v>
      </x:c>
      <x:c r="D57" s="4" t="str">
        <x:v>邮箱登录（用户视角）</x:v>
      </x:c>
      <x:c r="E57" s="4" t="str">
        <x:v>异常用例</x:v>
      </x:c>
      <x:c r="F57" s="4" t="str">
        <x:v>P1</x:v>
      </x:c>
      <x:c r="G57" s="4" t="str">
        <x:v>验证用户在邮箱登录的邮箱验证码重发间隔</x:v>
      </x:c>
      <x:c r="H57" s="4" t="str">
        <x:v>邮箱验证码重发间隔</x:v>
      </x:c>
      <x:c r="I57" s="4" t="str">
        <x:v>1. 执行身份为用户
2. 有效邮箱刚发送验证码30秒
3. 当前尚未建立登录会话</x:v>
      </x:c>
      <x:c r="J57" s="4" t="str">
        <x:v>1. 进入邮箱登录页
2. 点击获取验证码</x:v>
      </x:c>
      <x:c r="K57" s="4" t="str">
        <x:v>不能再次发送验证码</x:v>
      </x:c>
      <x:c r="L57" s="4" t="str"/>
      <x:c r="M57" s="4" t="str">
        <x:v>未测</x:v>
      </x:c>
      <x:c r="N57" s="4" t="str"/>
      <x:c r="O57" s="4" t="str">
        <x:v>1. 来源（当前证据）：MainBasis/统一需求文档.md；位置：U-auth-email-login-007，第1536行
2. 规则：BR-MB-D6D3EEB4AF40CC
3. 未动态验证</x:v>
      </x:c>
    </x:row>
    <x:row r="58" ht="82" customHeight="1">
      <x:c r="A58" s="4" t="n">
        <x:v>57</x:v>
      </x:c>
      <x:c r="B58" s="4" t="str">
        <x:v>UMB-0057</x:v>
      </x:c>
      <x:c r="C58" s="4" t="str">
        <x:v>M01 账号·登录·资料与设置</x:v>
      </x:c>
      <x:c r="D58" s="4" t="str">
        <x:v>邮箱登录（用户视角）</x:v>
      </x:c>
      <x:c r="E58" s="4" t="str">
        <x:v>功能需求</x:v>
      </x:c>
      <x:c r="F58" s="4" t="str">
        <x:v>P1</x:v>
      </x:c>
      <x:c r="G58" s="4" t="str">
        <x:v>验证用户在邮箱登录的邮箱已注册账号登录</x:v>
      </x:c>
      <x:c r="H58" s="4" t="str">
        <x:v>邮箱已注册账号登录</x:v>
      </x:c>
      <x:c r="I58" s="4" t="str">
        <x:v>1. 执行身份为用户
2. 账号已注册且状态正常
3. 已取得仍有效的邮箱验证码
4. 已同意登录协议
5. 当前尚未建立登录会话</x:v>
      </x:c>
      <x:c r="J58" s="4" t="str">
        <x:v>1. 进入邮箱登录页
2. 输入该邮箱及有效验证码
3. 点击继续</x:v>
      </x:c>
      <x:c r="K58" s="4" t="str">
        <x:v>进入首页</x:v>
      </x:c>
      <x:c r="L58" s="4" t="str"/>
      <x:c r="M58" s="4" t="str">
        <x:v>未测</x:v>
      </x:c>
      <x:c r="N58" s="4" t="str"/>
      <x:c r="O58" s="4" t="str">
        <x:v>1. 来源（当前证据）：MainBasis/统一需求文档.md；位置：U-auth-email-login-008，第1540行
2. 规则：BR-MB-17CCA7CD9D2BA5
3. 未动态验证</x:v>
      </x:c>
    </x:row>
    <x:row r="59" ht="68" customHeight="1">
      <x:c r="A59" s="4" t="n">
        <x:v>58</x:v>
      </x:c>
      <x:c r="B59" s="4" t="str">
        <x:v>UMB-0058</x:v>
      </x:c>
      <x:c r="C59" s="4" t="str">
        <x:v>M02 发现·搜索·主页与平台榜单</x:v>
      </x:c>
      <x:c r="D59" s="4" t="str">
        <x:v>主播榜（游客视角）</x:v>
      </x:c>
      <x:c r="E59" s="4" t="str">
        <x:v>功能需求</x:v>
      </x:c>
      <x:c r="F59" s="4" t="str">
        <x:v>P2</x:v>
      </x:c>
      <x:c r="G59" s="4" t="str">
        <x:v>验证游客在主播榜的主播榜游客访问主页</x:v>
      </x:c>
      <x:c r="H59" s="4" t="str">
        <x:v>主播榜游客访问主页</x:v>
      </x:c>
      <x:c r="I59" s="4" t="str">
        <x:v>1. 执行身份为游客
2. 榜单有账号数据
3. 当前为未登录游客</x:v>
      </x:c>
      <x:c r="J59" s="4" t="str">
        <x:v>1. 进入主播榜
2. 点击第一名账号</x:v>
      </x:c>
      <x:c r="K59" s="4" t="str">
        <x:v>进入登录页</x:v>
      </x:c>
      <x:c r="L59" s="4" t="str"/>
      <x:c r="M59" s="4" t="str">
        <x:v>未测</x:v>
      </x:c>
      <x:c r="N59" s="4" t="str"/>
      <x:c r="O59" s="4" t="str">
        <x:v>1. 来源（当前证据）：MainBasis/统一需求文档.md；位置：U-host-ranking-012，第2098行
2. 规则：BR-MB-80AD58CE8D7FD2
3. 未动态验证</x:v>
      </x:c>
    </x:row>
    <x:row r="60" ht="68" customHeight="1">
      <x:c r="A60" s="4" t="n">
        <x:v>59</x:v>
      </x:c>
      <x:c r="B60" s="4" t="str">
        <x:v>UMB-0059</x:v>
      </x:c>
      <x:c r="C60" s="4" t="str">
        <x:v>M02 发现·搜索·主页与平台榜单</x:v>
      </x:c>
      <x:c r="D60" s="4" t="str">
        <x:v>主播榜（用户视角）</x:v>
      </x:c>
      <x:c r="E60" s="4" t="str">
        <x:v>功能需求</x:v>
      </x:c>
      <x:c r="F60" s="4" t="str">
        <x:v>P2</x:v>
      </x:c>
      <x:c r="G60" s="4" t="str">
        <x:v>验证用户在主播榜的主播榜条数上限</x:v>
      </x:c>
      <x:c r="H60" s="4" t="str">
        <x:v>主播榜条数上限</x:v>
      </x:c>
      <x:c r="I60" s="4" t="str">
        <x:v>1. 执行身份为用户
2. 所选周期存在31个有有效礼物数据的账号
3. 执行账号已登录</x:v>
      </x:c>
      <x:c r="J60" s="4" t="str">
        <x:v>1. 进入主播榜
2. 选择该周期</x:v>
      </x:c>
      <x:c r="K60" s="4" t="str">
        <x:v>榜单列表仅展示前30名</x:v>
      </x:c>
      <x:c r="L60" s="4" t="str"/>
      <x:c r="M60" s="4" t="str">
        <x:v>未测</x:v>
      </x:c>
      <x:c r="N60" s="4" t="str"/>
      <x:c r="O60" s="4" t="str">
        <x:v>1. 来源（当前证据）：MainBasis/统一需求文档.md；位置：U-host-ranking-004，第2062行
2. 规则：BR-MB-A6D5E861837E30
3. 未动态验证</x:v>
      </x:c>
    </x:row>
    <x:row r="61" ht="96" customHeight="1">
      <x:c r="A61" s="4" t="n">
        <x:v>60</x:v>
      </x:c>
      <x:c r="B61" s="4" t="str">
        <x:v>UMB-0060</x:v>
      </x:c>
      <x:c r="C61" s="4" t="str">
        <x:v>M02 发现·搜索·主页与平台榜单</x:v>
      </x:c>
      <x:c r="D61" s="4" t="str">
        <x:v>主播榜（用户视角）</x:v>
      </x:c>
      <x:c r="E61" s="4" t="str">
        <x:v>功能需求</x:v>
      </x:c>
      <x:c r="F61" s="4" t="str">
        <x:v>P2</x:v>
      </x:c>
      <x:c r="G61" s="4" t="str">
        <x:v>验证用户在主播榜的主播榜同值顺序</x:v>
      </x:c>
      <x:c r="H61" s="4" t="str">
        <x:v>主播榜同值顺序</x:v>
      </x:c>
      <x:c r="I61" s="4" t="str">
        <x:v>1. 执行身份为用户
2. A与B收礼值均100
3. A主播等级5、B主播等级4
4. 两者财富等级均1且无更高收礼账号
5. 执行账号已登录</x:v>
      </x:c>
      <x:c r="J61" s="4" t="str">
        <x:v>1. 进入主播榜</x:v>
      </x:c>
      <x:c r="K61" s="4" t="str">
        <x:v>A的排名在B之前</x:v>
      </x:c>
      <x:c r="L61" s="4" t="str"/>
      <x:c r="M61" s="4" t="str">
        <x:v>未测</x:v>
      </x:c>
      <x:c r="N61" s="4" t="str"/>
      <x:c r="O61" s="4" t="str">
        <x:v>1. 来源（当前证据）：MainBasis/统一需求文档.md；位置：U-host-ranking-003，第2058行
2. 规则：BR-MB-0B94B03DEAC69B
3. 未动态验证</x:v>
      </x:c>
    </x:row>
    <x:row r="62" ht="68" customHeight="1">
      <x:c r="A62" s="4" t="n">
        <x:v>61</x:v>
      </x:c>
      <x:c r="B62" s="4" t="str">
        <x:v>UMB-0061</x:v>
      </x:c>
      <x:c r="C62" s="4" t="str">
        <x:v>M02 发现·搜索·主页与平台榜单</x:v>
      </x:c>
      <x:c r="D62" s="4" t="str">
        <x:v>主播榜（用户视角）</x:v>
      </x:c>
      <x:c r="E62" s="4" t="str">
        <x:v>功能需求</x:v>
      </x:c>
      <x:c r="F62" s="4" t="str">
        <x:v>P2</x:v>
      </x:c>
      <x:c r="G62" s="4" t="str">
        <x:v>验证用户在主播榜的主播榜等级同值</x:v>
      </x:c>
      <x:c r="H62" s="4" t="str">
        <x:v>主播榜等级同值</x:v>
      </x:c>
      <x:c r="I62" s="4" t="str">
        <x:v>1. 执行身份为用户
2. A与B收礼值及主播等级相同
3. A财富等级5、B财富等级4
4. 执行账号已登录</x:v>
      </x:c>
      <x:c r="J62" s="4" t="str">
        <x:v>1. 进入主播榜</x:v>
      </x:c>
      <x:c r="K62" s="4" t="str">
        <x:v>A的排名在B之前</x:v>
      </x:c>
      <x:c r="L62" s="4" t="str"/>
      <x:c r="M62" s="4" t="str">
        <x:v>未测</x:v>
      </x:c>
      <x:c r="N62" s="4" t="str"/>
      <x:c r="O62" s="4" t="str">
        <x:v>1. 来源（当前证据）：MainBasis/统一需求文档.md；位置：U-host-ranking-003，第2058行
2. 规则：BR-MB-5F1E6CC9B01D41
3. 未动态验证</x:v>
      </x:c>
    </x:row>
    <x:row r="63" ht="68" customHeight="1">
      <x:c r="A63" s="4" t="n">
        <x:v>62</x:v>
      </x:c>
      <x:c r="B63" s="4" t="str">
        <x:v>UMB-0062</x:v>
      </x:c>
      <x:c r="C63" s="4" t="str">
        <x:v>M02 发现·搜索·主页与平台榜单</x:v>
      </x:c>
      <x:c r="D63" s="4" t="str">
        <x:v>主播榜（用户视角）</x:v>
      </x:c>
      <x:c r="E63" s="4" t="str">
        <x:v>功能需求</x:v>
      </x:c>
      <x:c r="F63" s="4" t="str">
        <x:v>P2</x:v>
      </x:c>
      <x:c r="G63" s="4" t="str">
        <x:v>验证用户在主播榜的主播榜最终顺序</x:v>
      </x:c>
      <x:c r="H63" s="4" t="str">
        <x:v>主播榜最终顺序</x:v>
      </x:c>
      <x:c r="I63" s="4" t="str">
        <x:v>1. 执行身份为用户
2. U100和U101收礼值、主播等级、财富等级均相同
3. 执行账号已登录</x:v>
      </x:c>
      <x:c r="J63" s="4" t="str">
        <x:v>1. 进入主播榜</x:v>
      </x:c>
      <x:c r="K63" s="4" t="str">
        <x:v>U100的排名在U101之前</x:v>
      </x:c>
      <x:c r="L63" s="4" t="str"/>
      <x:c r="M63" s="4" t="str">
        <x:v>未测</x:v>
      </x:c>
      <x:c r="N63" s="4" t="str"/>
      <x:c r="O63" s="4" t="str">
        <x:v>1. 来源（当前证据）：MainBasis/统一需求文档.md；位置：U-host-ranking-003，第2058行
2. 规则：BR-MB-BBDDC109A1F920
3. 未动态验证</x:v>
      </x:c>
    </x:row>
    <x:row r="64" ht="82" customHeight="1">
      <x:c r="A64" s="4" t="n">
        <x:v>63</x:v>
      </x:c>
      <x:c r="B64" s="4" t="str">
        <x:v>UMB-0063</x:v>
      </x:c>
      <x:c r="C64" s="4" t="str">
        <x:v>M02 发现·搜索·主页与平台榜单</x:v>
      </x:c>
      <x:c r="D64" s="4" t="str">
        <x:v>好友（用户视角）</x:v>
      </x:c>
      <x:c r="E64" s="4" t="str">
        <x:v>功能需求</x:v>
      </x:c>
      <x:c r="F64" s="4" t="str">
        <x:v>P1</x:v>
      </x:c>
      <x:c r="G64" s="4" t="str">
        <x:v>验证用户在好友的删好友保留关注</x:v>
      </x:c>
      <x:c r="H64" s="4" t="str">
        <x:v>删好友保留关注</x:v>
      </x:c>
      <x:c r="I64" s="4" t="str">
        <x:v>1. 执行身份为用户
2. 双方为好友且当前用户已关注对方
3. 执行账号已登录</x:v>
      </x:c>
      <x:c r="J64" s="4" t="str">
        <x:v>1. 进入对方主页
2. 点击删除好友
3. 点击确认</x:v>
      </x:c>
      <x:c r="K64" s="4" t="str">
        <x:v>关注关系仍保留</x:v>
      </x:c>
      <x:c r="L64" s="4" t="str"/>
      <x:c r="M64" s="4" t="str">
        <x:v>未测</x:v>
      </x:c>
      <x:c r="N64" s="4" t="str"/>
      <x:c r="O64" s="4" t="str">
        <x:v>1. 来源（当前证据）：MainBasis/统一需求文档.md；位置：U-views_user-home_friend-005，第2358行
2. 规则：BR-MB-97BACC4B6C5973
3. 未动态验证</x:v>
      </x:c>
    </x:row>
    <x:row r="65" ht="82" customHeight="1">
      <x:c r="A65" s="4" t="n">
        <x:v>64</x:v>
      </x:c>
      <x:c r="B65" s="4" t="str">
        <x:v>UMB-0064</x:v>
      </x:c>
      <x:c r="C65" s="4" t="str">
        <x:v>M02 发现·搜索·主页与平台榜单</x:v>
      </x:c>
      <x:c r="D65" s="4" t="str">
        <x:v>拉黑（用户视角）</x:v>
      </x:c>
      <x:c r="E65" s="4" t="str">
        <x:v>功能需求</x:v>
      </x:c>
      <x:c r="F65" s="4" t="str">
        <x:v>P1</x:v>
      </x:c>
      <x:c r="G65" s="4" t="str">
        <x:v>验证用户在拉黑的拉黑后的关注入口</x:v>
      </x:c>
      <x:c r="H65" s="4" t="str">
        <x:v>拉黑后的关注入口</x:v>
      </x:c>
      <x:c r="I65" s="4" t="str">
        <x:v>1. 执行身份为用户
2. 当前账号已拉黑被查看账号
3. 执行账号已登录</x:v>
      </x:c>
      <x:c r="J65" s="4" t="str">
        <x:v>1. 进入该账号主页</x:v>
      </x:c>
      <x:c r="K65" s="4" t="str">
        <x:v>不显示关注操作</x:v>
      </x:c>
      <x:c r="L65" s="4" t="str"/>
      <x:c r="M65" s="4" t="str">
        <x:v>未测</x:v>
      </x:c>
      <x:c r="N65" s="4" t="str"/>
      <x:c r="O65" s="4" t="str">
        <x:v>1. 来源（当前证据）：MainBasis/统一需求文档.md；位置：U-views_user-home_blocked-003，第2386行
2. 规则：BR-MB-C2A131EFEC99DF
3. 未动态验证</x:v>
      </x:c>
    </x:row>
    <x:row r="66" ht="82" customHeight="1">
      <x:c r="A66" s="4" t="n">
        <x:v>65</x:v>
      </x:c>
      <x:c r="B66" s="4" t="str">
        <x:v>UMB-0065</x:v>
      </x:c>
      <x:c r="C66" s="4" t="str">
        <x:v>M02 发现·搜索·主页与平台榜单</x:v>
      </x:c>
      <x:c r="D66" s="4" t="str">
        <x:v>拉黑（用户视角）</x:v>
      </x:c>
      <x:c r="E66" s="4" t="str">
        <x:v>功能需求</x:v>
      </x:c>
      <x:c r="F66" s="4" t="str">
        <x:v>P1</x:v>
      </x:c>
      <x:c r="G66" s="4" t="str">
        <x:v>验证用户在拉黑的拉黑后的好友入口</x:v>
      </x:c>
      <x:c r="H66" s="4" t="str">
        <x:v>拉黑后的好友入口</x:v>
      </x:c>
      <x:c r="I66" s="4" t="str">
        <x:v>1. 执行身份为用户
2. 当前账号已拉黑被查看账号
3. 执行账号已登录</x:v>
      </x:c>
      <x:c r="J66" s="4" t="str">
        <x:v>1. 进入该账号主页</x:v>
      </x:c>
      <x:c r="K66" s="4" t="str">
        <x:v>不显示好友操作</x:v>
      </x:c>
      <x:c r="L66" s="4" t="str"/>
      <x:c r="M66" s="4" t="str">
        <x:v>未测</x:v>
      </x:c>
      <x:c r="N66" s="4" t="str"/>
      <x:c r="O66" s="4" t="str">
        <x:v>1. 来源（当前证据）：MainBasis/统一需求文档.md；位置：U-views_user-home_blocked-003，第2386行
2. 规则：BR-MB-1B0D1E8C1233DD
3. 未动态验证</x:v>
      </x:c>
    </x:row>
    <x:row r="67" ht="82" customHeight="1">
      <x:c r="A67" s="4" t="n">
        <x:v>66</x:v>
      </x:c>
      <x:c r="B67" s="4" t="str">
        <x:v>UMB-0066</x:v>
      </x:c>
      <x:c r="C67" s="4" t="str">
        <x:v>M02 发现·搜索·主页与平台榜单</x:v>
      </x:c>
      <x:c r="D67" s="4" t="str">
        <x:v>拉黑（用户视角）</x:v>
      </x:c>
      <x:c r="E67" s="4" t="str">
        <x:v>功能需求</x:v>
      </x:c>
      <x:c r="F67" s="4" t="str">
        <x:v>P1</x:v>
      </x:c>
      <x:c r="G67" s="4" t="str">
        <x:v>验证用户在拉黑的拉黑后的私信入口</x:v>
      </x:c>
      <x:c r="H67" s="4" t="str">
        <x:v>拉黑后的私信入口</x:v>
      </x:c>
      <x:c r="I67" s="4" t="str">
        <x:v>1. 执行身份为用户
2. 当前账号已拉黑被查看账号
3. 执行账号已登录</x:v>
      </x:c>
      <x:c r="J67" s="4" t="str">
        <x:v>1. 进入该账号主页</x:v>
      </x:c>
      <x:c r="K67" s="4" t="str">
        <x:v>不显示私信操作</x:v>
      </x:c>
      <x:c r="L67" s="4" t="str"/>
      <x:c r="M67" s="4" t="str">
        <x:v>未测</x:v>
      </x:c>
      <x:c r="N67" s="4" t="str"/>
      <x:c r="O67" s="4" t="str">
        <x:v>1. 来源（当前证据）：MainBasis/统一需求文档.md；位置：U-views_user-home_blocked-003，第2386行
2. 规则：BR-MB-F52CE616E9CB2D
3. 未动态验证</x:v>
      </x:c>
    </x:row>
    <x:row r="68" ht="82" customHeight="1">
      <x:c r="A68" s="4" t="n">
        <x:v>67</x:v>
      </x:c>
      <x:c r="B68" s="4" t="str">
        <x:v>UMB-0067</x:v>
      </x:c>
      <x:c r="C68" s="4" t="str">
        <x:v>M02 发现·搜索·主页与平台榜单</x:v>
      </x:c>
      <x:c r="D68" s="4" t="str">
        <x:v>搜索（用户视角）</x:v>
      </x:c>
      <x:c r="E68" s="4" t="str">
        <x:v>功能需求</x:v>
      </x:c>
      <x:c r="F68" s="4" t="str">
        <x:v>P2</x:v>
      </x:c>
      <x:c r="G68" s="4" t="str">
        <x:v>验证用户在搜索的搜索空白拦截</x:v>
      </x:c>
      <x:c r="H68" s="4" t="str">
        <x:v>搜索空白拦截</x:v>
      </x:c>
      <x:c r="I68" s="4" t="str">
        <x:v>1. 执行身份为用户
2. 执行账号已登录</x:v>
      </x:c>
      <x:c r="J68" s="4" t="str">
        <x:v>1. 进入搜索页
2. 清空关键词
3. 点击搜索</x:v>
      </x:c>
      <x:c r="K68" s="4" t="str">
        <x:v>不进入搜索结果页</x:v>
      </x:c>
      <x:c r="L68" s="4" t="str"/>
      <x:c r="M68" s="4" t="str">
        <x:v>未测</x:v>
      </x:c>
      <x:c r="N68" s="4" t="str"/>
      <x:c r="O68" s="4" t="str">
        <x:v>1. 来源（当前证据）：MainBasis/统一需求文档.md；位置：U-search-002，第2178行、U-search-008，第2206行
2. 规则：BR-MB-460FEE52089D9A
3. 未动态验证</x:v>
      </x:c>
    </x:row>
    <x:row r="69" ht="82" customHeight="1">
      <x:c r="A69" s="4" t="n">
        <x:v>68</x:v>
      </x:c>
      <x:c r="B69" s="4" t="str">
        <x:v>UMB-0068</x:v>
      </x:c>
      <x:c r="C69" s="4" t="str">
        <x:v>M02 发现·搜索·主页与平台榜单</x:v>
      </x:c>
      <x:c r="D69" s="4" t="str">
        <x:v>搜索（用户视角）</x:v>
      </x:c>
      <x:c r="E69" s="4" t="str">
        <x:v>功能需求</x:v>
      </x:c>
      <x:c r="F69" s="4" t="str">
        <x:v>P2</x:v>
      </x:c>
      <x:c r="G69" s="4" t="str">
        <x:v>验证用户在搜索的搜索空白拦截</x:v>
      </x:c>
      <x:c r="H69" s="4" t="str">
        <x:v>搜索空白拦截</x:v>
      </x:c>
      <x:c r="I69" s="4" t="str">
        <x:v>1. 执行身份为用户
2. 执行账号已登录</x:v>
      </x:c>
      <x:c r="J69" s="4" t="str">
        <x:v>1. 进入搜索页
2. 输入三个空格
3. 点击搜索</x:v>
      </x:c>
      <x:c r="K69" s="4" t="str">
        <x:v>不进入搜索结果页</x:v>
      </x:c>
      <x:c r="L69" s="4" t="str"/>
      <x:c r="M69" s="4" t="str">
        <x:v>未测</x:v>
      </x:c>
      <x:c r="N69" s="4" t="str"/>
      <x:c r="O69" s="4" t="str">
        <x:v>1. 来源（当前证据）：MainBasis/统一需求文档.md；位置：U-search-002，第2178行、U-search-008，第2206行
2. 规则：BR-MB-9D323E592921C5
3. 未动态验证</x:v>
      </x:c>
    </x:row>
    <x:row r="70" ht="68" customHeight="1">
      <x:c r="A70" s="4" t="n">
        <x:v>69</x:v>
      </x:c>
      <x:c r="B70" s="4" t="str">
        <x:v>UMB-0069</x:v>
      </x:c>
      <x:c r="C70" s="4" t="str">
        <x:v>M02 发现·搜索·主页与平台榜单</x:v>
      </x:c>
      <x:c r="D70" s="4" t="str">
        <x:v>搜索（用户视角）</x:v>
      </x:c>
      <x:c r="E70" s="4" t="str">
        <x:v>功能需求</x:v>
      </x:c>
      <x:c r="F70" s="4" t="str">
        <x:v>P2</x:v>
      </x:c>
      <x:c r="G70" s="4" t="str">
        <x:v>验证用户在搜索的搜索历史去重</x:v>
      </x:c>
      <x:c r="H70" s="4" t="str">
        <x:v>搜索历史去重</x:v>
      </x:c>
      <x:c r="I70" s="4" t="str">
        <x:v>1. 执行身份为用户
2. 已有历史词A、B
3. A当前位于B之后
4. 执行账号已登录</x:v>
      </x:c>
      <x:c r="J70" s="4" t="str">
        <x:v>1. 进入搜索页
2. 输入关键词A
3. 点击搜索
4. 返回搜索页</x:v>
      </x:c>
      <x:c r="K70" s="4" t="str">
        <x:v>关键词A只保留1条</x:v>
      </x:c>
      <x:c r="L70" s="4" t="str"/>
      <x:c r="M70" s="4" t="str">
        <x:v>未测</x:v>
      </x:c>
      <x:c r="N70" s="4" t="str"/>
      <x:c r="O70" s="4" t="str">
        <x:v>1. 来源（当前证据）：MainBasis/统一需求文档.md；位置：U-search-005，第2192行
2. 规则：BR-MB-212A12B48F549C
3. 未动态验证</x:v>
      </x:c>
    </x:row>
    <x:row r="71" ht="68" customHeight="1">
      <x:c r="A71" s="4" t="n">
        <x:v>70</x:v>
      </x:c>
      <x:c r="B71" s="4" t="str">
        <x:v>UMB-0070</x:v>
      </x:c>
      <x:c r="C71" s="4" t="str">
        <x:v>M02 发现·搜索·主页与平台榜单</x:v>
      </x:c>
      <x:c r="D71" s="4" t="str">
        <x:v>搜索（用户视角）</x:v>
      </x:c>
      <x:c r="E71" s="4" t="str">
        <x:v>功能需求</x:v>
      </x:c>
      <x:c r="F71" s="4" t="str">
        <x:v>P2</x:v>
      </x:c>
      <x:c r="G71" s="4" t="str">
        <x:v>验证用户在搜索的重复搜索置顶</x:v>
      </x:c>
      <x:c r="H71" s="4" t="str">
        <x:v>重复搜索置顶</x:v>
      </x:c>
      <x:c r="I71" s="4" t="str">
        <x:v>1. 执行身份为用户
2. 已有历史词A、B
3. A当前位于B之后
4. 执行账号已登录</x:v>
      </x:c>
      <x:c r="J71" s="4" t="str">
        <x:v>1. 进入搜索页
2. 输入关键词A
3. 点击搜索
4. 返回搜索页</x:v>
      </x:c>
      <x:c r="K71" s="4" t="str">
        <x:v>关键词A位于历史列表首位</x:v>
      </x:c>
      <x:c r="L71" s="4" t="str"/>
      <x:c r="M71" s="4" t="str">
        <x:v>未测</x:v>
      </x:c>
      <x:c r="N71" s="4" t="str"/>
      <x:c r="O71" s="4" t="str">
        <x:v>1. 来源（当前证据）：MainBasis/统一需求文档.md；位置：U-search-005，第2192行
2. 规则：BR-MB-57466827C8DD86
3. 未动态验证</x:v>
      </x:c>
    </x:row>
    <x:row r="72" ht="68" customHeight="1">
      <x:c r="A72" s="4" t="n">
        <x:v>71</x:v>
      </x:c>
      <x:c r="B72" s="4" t="str">
        <x:v>UMB-0071</x:v>
      </x:c>
      <x:c r="C72" s="4" t="str">
        <x:v>M02 发现·搜索·主页与平台榜单</x:v>
      </x:c>
      <x:c r="D72" s="4" t="str">
        <x:v>搜索（用户视角）</x:v>
      </x:c>
      <x:c r="E72" s="4" t="str">
        <x:v>功能需求</x:v>
      </x:c>
      <x:c r="F72" s="4" t="str">
        <x:v>P1</x:v>
      </x:c>
      <x:c r="G72" s="4" t="str">
        <x:v>验证用户在搜索的第十一条历史淘汰</x:v>
      </x:c>
      <x:c r="H72" s="4" t="str">
        <x:v>第十一条历史淘汰</x:v>
      </x:c>
      <x:c r="I72" s="4" t="str">
        <x:v>1. 执行身份为用户
2. 本机已有10条不同的历史词，最早一条为A
3. 执行账号已登录</x:v>
      </x:c>
      <x:c r="J72" s="4" t="str">
        <x:v>1. 进入搜索页
2. 输入新词K
3. 点击搜索
4. 返回搜索页</x:v>
      </x:c>
      <x:c r="K72" s="4" t="str">
        <x:v>历史列表不再包含A</x:v>
      </x:c>
      <x:c r="L72" s="4" t="str"/>
      <x:c r="M72" s="4" t="str">
        <x:v>未测</x:v>
      </x:c>
      <x:c r="N72" s="4" t="str"/>
      <x:c r="O72" s="4" t="str">
        <x:v>1. 来源（当前证据）：MainBasis/统一需求文档.md；位置：U-search-005，第2192行
2. 规则：BR-MB-A504F104FE23F2
3. 未动态验证</x:v>
      </x:c>
    </x:row>
    <x:row r="73" ht="68" customHeight="1">
      <x:c r="A73" s="4" t="n">
        <x:v>72</x:v>
      </x:c>
      <x:c r="B73" s="4" t="str">
        <x:v>UMB-0072</x:v>
      </x:c>
      <x:c r="C73" s="4" t="str">
        <x:v>M02 发现·搜索·主页与平台榜单</x:v>
      </x:c>
      <x:c r="D73" s="4" t="str">
        <x:v>搜索（用户视角）</x:v>
      </x:c>
      <x:c r="E73" s="4" t="str">
        <x:v>功能需求</x:v>
      </x:c>
      <x:c r="F73" s="4" t="str">
        <x:v>P2</x:v>
      </x:c>
      <x:c r="G73" s="4" t="str">
        <x:v>验证用户在搜索的单条搜索历史删除</x:v>
      </x:c>
      <x:c r="H73" s="4" t="str">
        <x:v>单条搜索历史删除</x:v>
      </x:c>
      <x:c r="I73" s="4" t="str">
        <x:v>1. 执行身份为用户
2. 本机仅有历史词A、B
3. 执行账号已登录</x:v>
      </x:c>
      <x:c r="J73" s="4" t="str">
        <x:v>1. 进入搜索页
2. 点击A右侧删除</x:v>
      </x:c>
      <x:c r="K73" s="4" t="str">
        <x:v>历史列表只剩B</x:v>
      </x:c>
      <x:c r="L73" s="4" t="str"/>
      <x:c r="M73" s="4" t="str">
        <x:v>未测</x:v>
      </x:c>
      <x:c r="N73" s="4" t="str"/>
      <x:c r="O73" s="4" t="str">
        <x:v>1. 来源（当前证据）：MainBasis/统一需求文档.md；位置：U-search-010，第2214行
2. 规则：BR-MB-00683B38A35168
3. 未动态验证</x:v>
      </x:c>
    </x:row>
    <x:row r="74" ht="68" customHeight="1">
      <x:c r="A74" s="4" t="n">
        <x:v>73</x:v>
      </x:c>
      <x:c r="B74" s="4" t="str">
        <x:v>UMB-0073</x:v>
      </x:c>
      <x:c r="C74" s="4" t="str">
        <x:v>M02 发现·搜索·主页与平台榜单</x:v>
      </x:c>
      <x:c r="D74" s="4" t="str">
        <x:v>搜索（用户视角）</x:v>
      </x:c>
      <x:c r="E74" s="4" t="str">
        <x:v>功能需求</x:v>
      </x:c>
      <x:c r="F74" s="4" t="str">
        <x:v>P2</x:v>
      </x:c>
      <x:c r="G74" s="4" t="str">
        <x:v>验证用户在搜索的清空搜索历史</x:v>
      </x:c>
      <x:c r="H74" s="4" t="str">
        <x:v>清空搜索历史</x:v>
      </x:c>
      <x:c r="I74" s="4" t="str">
        <x:v>1. 执行身份为用户
2. 本机有搜索历史
3. 执行账号已登录</x:v>
      </x:c>
      <x:c r="J74" s="4" t="str">
        <x:v>1. 进入搜索页
2. 点击清空全部</x:v>
      </x:c>
      <x:c r="K74" s="4" t="str">
        <x:v>搜索历史显示空状态</x:v>
      </x:c>
      <x:c r="L74" s="4" t="str"/>
      <x:c r="M74" s="4" t="str">
        <x:v>未测</x:v>
      </x:c>
      <x:c r="N74" s="4" t="str"/>
      <x:c r="O74" s="4" t="str">
        <x:v>1. 来源（当前证据）：MainBasis/统一需求文档.md；位置：U-search-010，第2214行
2. 规则：BR-MB-112FF804FEB6E7
3. 未动态验证</x:v>
      </x:c>
    </x:row>
    <x:row r="75" ht="82" customHeight="1">
      <x:c r="A75" s="4" t="n">
        <x:v>74</x:v>
      </x:c>
      <x:c r="B75" s="4" t="str">
        <x:v>UMB-0074</x:v>
      </x:c>
      <x:c r="C75" s="4" t="str">
        <x:v>M02 发现·搜索·主页与平台榜单</x:v>
      </x:c>
      <x:c r="D75" s="4" t="str">
        <x:v>搜索结果（用户视角）</x:v>
      </x:c>
      <x:c r="E75" s="4" t="str">
        <x:v>功能需求</x:v>
      </x:c>
      <x:c r="F75" s="4" t="str">
        <x:v>P1</x:v>
      </x:c>
      <x:c r="G75" s="4" t="str">
        <x:v>验证用户在搜索结果的普通用户无房间号</x:v>
      </x:c>
      <x:c r="H75" s="4" t="str">
        <x:v>普通用户无房间号</x:v>
      </x:c>
      <x:c r="I75" s="4" t="str">
        <x:v>1. 执行身份为用户
2. 当前关键词只匹配一个没有主播身份的账号
3. 执行账号已登录</x:v>
      </x:c>
      <x:c r="J75" s="4" t="str">
        <x:v>1. 进入该关键词的搜索结果页</x:v>
      </x:c>
      <x:c r="K75" s="4" t="str">
        <x:v>该账号不显示房间号</x:v>
      </x:c>
      <x:c r="L75" s="4" t="str"/>
      <x:c r="M75" s="4" t="str">
        <x:v>未测</x:v>
      </x:c>
      <x:c r="N75" s="4" t="str"/>
      <x:c r="O75" s="4" t="str">
        <x:v>1. 来源（当前证据）：MainBasis/统一需求文档.md；位置：U-search-results-004，第2240行
2. 规则：BR-MB-01A3221EEA5429
3. 未动态验证</x:v>
      </x:c>
    </x:row>
    <x:row r="76" ht="82" customHeight="1">
      <x:c r="A76" s="4" t="n">
        <x:v>75</x:v>
      </x:c>
      <x:c r="B76" s="4" t="str">
        <x:v>UMB-0075</x:v>
      </x:c>
      <x:c r="C76" s="4" t="str">
        <x:v>M02 发现·搜索·主页与平台榜单</x:v>
      </x:c>
      <x:c r="D76" s="4" t="str">
        <x:v>搜索结果（用户视角）</x:v>
      </x:c>
      <x:c r="E76" s="4" t="str">
        <x:v>功能需求</x:v>
      </x:c>
      <x:c r="F76" s="4" t="str">
        <x:v>P1</x:v>
      </x:c>
      <x:c r="G76" s="4" t="str">
        <x:v>验证用户在搜索结果的未开播标记</x:v>
      </x:c>
      <x:c r="H76" s="4" t="str">
        <x:v>未开播标记</x:v>
      </x:c>
      <x:c r="I76" s="4" t="str">
        <x:v>1. 执行身份为用户
2. 当前关键词只匹配一个未开播主播
3. 执行账号已登录</x:v>
      </x:c>
      <x:c r="J76" s="4" t="str">
        <x:v>1. 进入该关键词的搜索结果页</x:v>
      </x:c>
      <x:c r="K76" s="4" t="str">
        <x:v>该主播不显示直播中标记</x:v>
      </x:c>
      <x:c r="L76" s="4" t="str"/>
      <x:c r="M76" s="4" t="str">
        <x:v>未测</x:v>
      </x:c>
      <x:c r="N76" s="4" t="str"/>
      <x:c r="O76" s="4" t="str">
        <x:v>1. 来源（当前证据）：MainBasis/统一需求文档.md；位置：U-search-results-006，第2250行
2. 规则：BR-MB-6708AD46058E45
3. 未动态验证</x:v>
      </x:c>
    </x:row>
    <x:row r="77" ht="82" customHeight="1">
      <x:c r="A77" s="4" t="n">
        <x:v>76</x:v>
      </x:c>
      <x:c r="B77" s="4" t="str">
        <x:v>UMB-0076</x:v>
      </x:c>
      <x:c r="C77" s="4" t="str">
        <x:v>M02 发现·搜索·主页与平台榜单</x:v>
      </x:c>
      <x:c r="D77" s="4" t="str">
        <x:v>搜索结果（用户视角）</x:v>
      </x:c>
      <x:c r="E77" s="4" t="str">
        <x:v>功能需求</x:v>
      </x:c>
      <x:c r="F77" s="4" t="str">
        <x:v>P1</x:v>
      </x:c>
      <x:c r="G77" s="4" t="str">
        <x:v>验证用户在搜索结果的直播中标记</x:v>
      </x:c>
      <x:c r="H77" s="4" t="str">
        <x:v>直播中标记</x:v>
      </x:c>
      <x:c r="I77" s="4" t="str">
        <x:v>1. 执行身份为用户
2. 当前关键词只匹配一个正在开播主播
3. 执行账号已登录</x:v>
      </x:c>
      <x:c r="J77" s="4" t="str">
        <x:v>1. 进入该关键词的搜索结果页</x:v>
      </x:c>
      <x:c r="K77" s="4" t="str">
        <x:v>该主播显示直播中标记</x:v>
      </x:c>
      <x:c r="L77" s="4" t="str"/>
      <x:c r="M77" s="4" t="str">
        <x:v>未测</x:v>
      </x:c>
      <x:c r="N77" s="4" t="str"/>
      <x:c r="O77" s="4" t="str">
        <x:v>1. 来源（当前证据）：MainBasis/统一需求文档.md；位置：U-search-results-006，第2250行
2. 规则：BR-MB-40042AF5ED086E
3. 未动态验证</x:v>
      </x:c>
    </x:row>
    <x:row r="78" ht="82" customHeight="1">
      <x:c r="A78" s="4" t="n">
        <x:v>77</x:v>
      </x:c>
      <x:c r="B78" s="4" t="str">
        <x:v>UMB-0077</x:v>
      </x:c>
      <x:c r="C78" s="4" t="str">
        <x:v>M02 发现·搜索·主页与平台榜单</x:v>
      </x:c>
      <x:c r="D78" s="4" t="str">
        <x:v>搜索结果（用户视角）</x:v>
      </x:c>
      <x:c r="E78" s="4" t="str">
        <x:v>功能需求</x:v>
      </x:c>
      <x:c r="F78" s="4" t="str">
        <x:v>P2</x:v>
      </x:c>
      <x:c r="G78" s="4" t="str">
        <x:v>验证用户在搜索结果的搜索无匹配</x:v>
      </x:c>
      <x:c r="H78" s="4" t="str">
        <x:v>搜索无匹配</x:v>
      </x:c>
      <x:c r="I78" s="4" t="str">
        <x:v>1. 执行身份为用户
2. 关键词没有匹配账号
3. 执行账号已登录</x:v>
      </x:c>
      <x:c r="J78" s="4" t="str">
        <x:v>1. 进入搜索页
2. 输入该关键词
3. 点击搜索</x:v>
      </x:c>
      <x:c r="K78" s="4" t="str">
        <x:v>搜索结果显示空状态</x:v>
      </x:c>
      <x:c r="L78" s="4" t="str"/>
      <x:c r="M78" s="4" t="str">
        <x:v>未测</x:v>
      </x:c>
      <x:c r="N78" s="4" t="str"/>
      <x:c r="O78" s="4" t="str">
        <x:v>1. 来源（当前证据）：MainBasis/统一需求文档.md；位置：U-search-results-005，第2246行
2. 规则：BR-MB-3AEB5FB78B2DE6
3. 未动态验证</x:v>
      </x:c>
    </x:row>
    <x:row r="79" ht="68" customHeight="1">
      <x:c r="A79" s="4" t="n">
        <x:v>78</x:v>
      </x:c>
      <x:c r="B79" s="4" t="str">
        <x:v>UMB-0078</x:v>
      </x:c>
      <x:c r="C79" s="4" t="str">
        <x:v>M02 发现·搜索·主页与平台榜单</x:v>
      </x:c>
      <x:c r="D79" s="4" t="str">
        <x:v>用户主页（用户视角）</x:v>
      </x:c>
      <x:c r="E79" s="4" t="str">
        <x:v>功能需求</x:v>
      </x:c>
      <x:c r="F79" s="4" t="str">
        <x:v>P1</x:v>
      </x:c>
      <x:c r="G79" s="4" t="str">
        <x:v>验证用户在用户主页的关注不建立好友</x:v>
      </x:c>
      <x:c r="H79" s="4" t="str">
        <x:v>关注不建立好友</x:v>
      </x:c>
      <x:c r="I79" s="4" t="str">
        <x:v>1. 执行身份为用户
2. 双方未关注且不是好友，无拉黑关系
3. 执行账号已登录</x:v>
      </x:c>
      <x:c r="J79" s="4" t="str">
        <x:v>1. 进入对方用户主页
2. 点击关注</x:v>
      </x:c>
      <x:c r="K79" s="4" t="str">
        <x:v>好友关系仍为未建立</x:v>
      </x:c>
      <x:c r="L79" s="4" t="str"/>
      <x:c r="M79" s="4" t="str">
        <x:v>未测</x:v>
      </x:c>
      <x:c r="N79" s="4" t="str"/>
      <x:c r="O79" s="4" t="str">
        <x:v>1. 来源（当前证据）：MainBasis/统一需求文档.md；位置：U-user-home-007，第2308行
2. 规则：BR-MB-EBCAFF5691F4C7
3. 未动态验证</x:v>
      </x:c>
    </x:row>
    <x:row r="80" ht="68" customHeight="1">
      <x:c r="A80" s="4" t="n">
        <x:v>79</x:v>
      </x:c>
      <x:c r="B80" s="4" t="str">
        <x:v>UMB-0079</x:v>
      </x:c>
      <x:c r="C80" s="4" t="str">
        <x:v>M02 发现·搜索·主页与平台榜单</x:v>
      </x:c>
      <x:c r="D80" s="4" t="str">
        <x:v>用户主页（用户视角）</x:v>
      </x:c>
      <x:c r="E80" s="4" t="str">
        <x:v>功能需求</x:v>
      </x:c>
      <x:c r="F80" s="4" t="str">
        <x:v>P2</x:v>
      </x:c>
      <x:c r="G80" s="4" t="str">
        <x:v>验证用户在用户主页的取消拉黑保留关系</x:v>
      </x:c>
      <x:c r="H80" s="4" t="str">
        <x:v>取消拉黑保留关系</x:v>
      </x:c>
      <x:c r="I80" s="4" t="str">
        <x:v>1. 执行身份为用户
2. 当前已关注对方且尚未拉黑
3. 执行账号已登录</x:v>
      </x:c>
      <x:c r="J80" s="4" t="str">
        <x:v>1. 进入对方主页
2. 点击拉黑
3. 点击取消</x:v>
      </x:c>
      <x:c r="K80" s="4" t="str">
        <x:v>关注关系保持原状</x:v>
      </x:c>
      <x:c r="L80" s="4" t="str"/>
      <x:c r="M80" s="4" t="str">
        <x:v>未测</x:v>
      </x:c>
      <x:c r="N80" s="4" t="str"/>
      <x:c r="O80" s="4" t="str">
        <x:v>1. 来源（当前证据）：MainBasis/统一需求文档.md；位置：U-user-home-012，第2330行
2. 规则：BR-MB-BA14F40E84B5B2
3. 未动态验证</x:v>
      </x:c>
    </x:row>
    <x:row r="81" ht="82" customHeight="1">
      <x:c r="A81" s="4" t="n">
        <x:v>80</x:v>
      </x:c>
      <x:c r="B81" s="4" t="str">
        <x:v>UMB-0080</x:v>
      </x:c>
      <x:c r="C81" s="4" t="str">
        <x:v>M02 发现·搜索·主页与平台榜单</x:v>
      </x:c>
      <x:c r="D81" s="4" t="str">
        <x:v>系统通知授权弹窗（用户视角）</x:v>
      </x:c>
      <x:c r="E81" s="4" t="str">
        <x:v>功能需求</x:v>
      </x:c>
      <x:c r="F81" s="4" t="str">
        <x:v>P2</x:v>
      </x:c>
      <x:c r="G81" s="4" t="str">
        <x:v>验证用户在系统通知授权弹窗的系统拒绝不影响站内通知</x:v>
      </x:c>
      <x:c r="H81" s="4" t="str">
        <x:v>系统拒绝不影响站内通知</x:v>
      </x:c>
      <x:c r="I81" s="4" t="str">
        <x:v>1. 执行身份为用户
2. 系统通知权限已拒绝
3. 账号新收到一条系统通知
4. 执行账号已登录</x:v>
      </x:c>
      <x:c r="J81" s="4" t="str">
        <x:v>1. 进入消息页
2. 打开系统通知</x:v>
      </x:c>
      <x:c r="K81" s="4" t="str">
        <x:v>该条站内通知可见</x:v>
      </x:c>
      <x:c r="L81" s="4" t="str"/>
      <x:c r="M81" s="4" t="str">
        <x:v>未测</x:v>
      </x:c>
      <x:c r="N81" s="4" t="str"/>
      <x:c r="O81" s="4" t="str">
        <x:v>1. 来源（当前证据）：MainBasis/统一需求文档.md；位置：U-views_live-plaza_notification-permission-005，第2030行
2. 规则：BR-MB-FF59195F7F9DF6
3. 未动态验证</x:v>
      </x:c>
    </x:row>
    <x:row r="82" ht="82" customHeight="1">
      <x:c r="A82" s="4" t="n">
        <x:v>81</x:v>
      </x:c>
      <x:c r="B82" s="4" t="str">
        <x:v>UMB-0081</x:v>
      </x:c>
      <x:c r="C82" s="4" t="str">
        <x:v>M02 发现·搜索·主页与平台榜单</x:v>
      </x:c>
      <x:c r="D82" s="4" t="str">
        <x:v>贡献榜（平台）（游客视角）</x:v>
      </x:c>
      <x:c r="E82" s="4" t="str">
        <x:v>功能需求</x:v>
      </x:c>
      <x:c r="F82" s="4" t="str">
        <x:v>P2</x:v>
      </x:c>
      <x:c r="G82" s="4" t="str">
        <x:v>验证游客在贡献榜（平台）的贡献榜游客访问主页</x:v>
      </x:c>
      <x:c r="H82" s="4" t="str">
        <x:v>贡献榜游客访问主页</x:v>
      </x:c>
      <x:c r="I82" s="4" t="str">
        <x:v>1. 执行身份为游客
2. 榜单有账号数据
3. 当前为未登录游客</x:v>
      </x:c>
      <x:c r="J82" s="4" t="str">
        <x:v>1. 进入贡献榜
2. 点击第一名账号</x:v>
      </x:c>
      <x:c r="K82" s="4" t="str">
        <x:v>进入登录页</x:v>
      </x:c>
      <x:c r="L82" s="4" t="str"/>
      <x:c r="M82" s="4" t="str">
        <x:v>未测</x:v>
      </x:c>
      <x:c r="N82" s="4" t="str"/>
      <x:c r="O82" s="4" t="str">
        <x:v>1. 来源（当前证据）：MainBasis/统一需求文档.md；位置：U-contribution-ranking-012，第2160行
2. 规则：BR-MB-471E6EAD699540
3. 未动态验证</x:v>
      </x:c>
    </x:row>
    <x:row r="83" ht="82" customHeight="1">
      <x:c r="A83" s="4" t="n">
        <x:v>82</x:v>
      </x:c>
      <x:c r="B83" s="4" t="str">
        <x:v>UMB-0082</x:v>
      </x:c>
      <x:c r="C83" s="4" t="str">
        <x:v>M02 发现·搜索·主页与平台榜单</x:v>
      </x:c>
      <x:c r="D83" s="4" t="str">
        <x:v>贡献榜（平台）（用户视角）</x:v>
      </x:c>
      <x:c r="E83" s="4" t="str">
        <x:v>功能需求</x:v>
      </x:c>
      <x:c r="F83" s="4" t="str">
        <x:v>P2</x:v>
      </x:c>
      <x:c r="G83" s="4" t="str">
        <x:v>验证用户在贡献榜（平台）的贡献榜条数上限</x:v>
      </x:c>
      <x:c r="H83" s="4" t="str">
        <x:v>贡献榜条数上限</x:v>
      </x:c>
      <x:c r="I83" s="4" t="str">
        <x:v>1. 执行身份为用户
2. 所选周期存在31个有有效礼物数据的账号
3. 执行账号已登录</x:v>
      </x:c>
      <x:c r="J83" s="4" t="str">
        <x:v>1. 进入贡献榜
2. 选择该周期</x:v>
      </x:c>
      <x:c r="K83" s="4" t="str">
        <x:v>榜单列表仅展示前30名</x:v>
      </x:c>
      <x:c r="L83" s="4" t="str"/>
      <x:c r="M83" s="4" t="str">
        <x:v>未测</x:v>
      </x:c>
      <x:c r="N83" s="4" t="str"/>
      <x:c r="O83" s="4" t="str">
        <x:v>1. 来源（当前证据）：MainBasis/统一需求文档.md；位置：U-contribution-ranking-004，第2124行
2. 规则：BR-MB-9A5CA962167026
3. 未动态验证</x:v>
      </x:c>
    </x:row>
    <x:row r="84" ht="82" customHeight="1">
      <x:c r="A84" s="4" t="n">
        <x:v>83</x:v>
      </x:c>
      <x:c r="B84" s="4" t="str">
        <x:v>UMB-0083</x:v>
      </x:c>
      <x:c r="C84" s="4" t="str">
        <x:v>M02 发现·搜索·主页与平台榜单</x:v>
      </x:c>
      <x:c r="D84" s="4" t="str">
        <x:v>贡献榜（平台）（用户视角）</x:v>
      </x:c>
      <x:c r="E84" s="4" t="str">
        <x:v>功能需求</x:v>
      </x:c>
      <x:c r="F84" s="4" t="str">
        <x:v>P2</x:v>
      </x:c>
      <x:c r="G84" s="4" t="str">
        <x:v>验证用户在贡献榜（平台）的贡献榜等级顺序</x:v>
      </x:c>
      <x:c r="H84" s="4" t="str">
        <x:v>贡献榜等级顺序</x:v>
      </x:c>
      <x:c r="I84" s="4" t="str">
        <x:v>1. 执行身份为用户
2. A与B贡献值均100
3. A财富等级5、B财富等级4
4. 执行账号已登录</x:v>
      </x:c>
      <x:c r="J84" s="4" t="str">
        <x:v>1. 进入贡献榜</x:v>
      </x:c>
      <x:c r="K84" s="4" t="str">
        <x:v>A的排名在B之前</x:v>
      </x:c>
      <x:c r="L84" s="4" t="str"/>
      <x:c r="M84" s="4" t="str">
        <x:v>未测</x:v>
      </x:c>
      <x:c r="N84" s="4" t="str"/>
      <x:c r="O84" s="4" t="str">
        <x:v>1. 来源（当前证据）：MainBasis/统一需求文档.md；位置：U-contribution-ranking-003，第2120行
2. 规则：BR-MB-5FA3894733B94D
3. 未动态验证</x:v>
      </x:c>
    </x:row>
    <x:row r="85" ht="82" customHeight="1">
      <x:c r="A85" s="4" t="n">
        <x:v>84</x:v>
      </x:c>
      <x:c r="B85" s="4" t="str">
        <x:v>UMB-0084</x:v>
      </x:c>
      <x:c r="C85" s="4" t="str">
        <x:v>M02 发现·搜索·主页与平台榜单</x:v>
      </x:c>
      <x:c r="D85" s="4" t="str">
        <x:v>贡献榜（平台）（用户视角）</x:v>
      </x:c>
      <x:c r="E85" s="4" t="str">
        <x:v>功能需求</x:v>
      </x:c>
      <x:c r="F85" s="4" t="str">
        <x:v>P2</x:v>
      </x:c>
      <x:c r="G85" s="4" t="str">
        <x:v>验证用户在贡献榜（平台）的贡献榜最终顺序</x:v>
      </x:c>
      <x:c r="H85" s="4" t="str">
        <x:v>贡献榜最终顺序</x:v>
      </x:c>
      <x:c r="I85" s="4" t="str">
        <x:v>1. 执行身份为用户
2. U100和U101贡献值、财富等级均相同
3. 执行账号已登录</x:v>
      </x:c>
      <x:c r="J85" s="4" t="str">
        <x:v>1. 进入贡献榜</x:v>
      </x:c>
      <x:c r="K85" s="4" t="str">
        <x:v>U100的排名在U101之前</x:v>
      </x:c>
      <x:c r="L85" s="4" t="str"/>
      <x:c r="M85" s="4" t="str">
        <x:v>未测</x:v>
      </x:c>
      <x:c r="N85" s="4" t="str"/>
      <x:c r="O85" s="4" t="str">
        <x:v>1. 来源（当前证据）：MainBasis/统一需求文档.md；位置：U-contribution-ranking-003，第2120行
2. 规则：BR-MB-FB615BCFD95216
3. 未动态验证</x:v>
      </x:c>
    </x:row>
    <x:row r="86" ht="68" customHeight="1">
      <x:c r="A86" s="4" t="n">
        <x:v>85</x:v>
      </x:c>
      <x:c r="B86" s="4" t="str">
        <x:v>UMB-0085</x:v>
      </x:c>
      <x:c r="C86" s="4" t="str">
        <x:v>M02 发现·搜索·主页与平台榜单</x:v>
      </x:c>
      <x:c r="D86" s="4" t="str">
        <x:v>首页（游客视角）</x:v>
      </x:c>
      <x:c r="E86" s="4" t="str">
        <x:v>功能需求</x:v>
      </x:c>
      <x:c r="F86" s="4" t="str">
        <x:v>P1</x:v>
      </x:c>
      <x:c r="G86" s="4" t="str">
        <x:v>验证游客在首页的游客账号操作拦截</x:v>
      </x:c>
      <x:c r="H86" s="4" t="str">
        <x:v>游客账号操作拦截</x:v>
      </x:c>
      <x:c r="I86" s="4" t="str">
        <x:v>1. 执行身份为游客
2. 当前为未登录游客</x:v>
      </x:c>
      <x:c r="J86" s="4" t="str">
        <x:v>1. 进入首页
2. 点击直播间</x:v>
      </x:c>
      <x:c r="K86" s="4" t="str">
        <x:v>进入登录页</x:v>
      </x:c>
      <x:c r="L86" s="4" t="str"/>
      <x:c r="M86" s="4" t="str">
        <x:v>未测</x:v>
      </x:c>
      <x:c r="N86" s="4" t="str"/>
      <x:c r="O86" s="4" t="str">
        <x:v>1. 来源（当前证据）：MainBasis/统一需求文档.md；位置：U-live-plaza-009，第1930行
2. 规则：BR-MB-48665B226B2C2F
3. 未动态验证</x:v>
      </x:c>
    </x:row>
    <x:row r="87" ht="68" customHeight="1">
      <x:c r="A87" s="4" t="n">
        <x:v>86</x:v>
      </x:c>
      <x:c r="B87" s="4" t="str">
        <x:v>UMB-0086</x:v>
      </x:c>
      <x:c r="C87" s="4" t="str">
        <x:v>M02 发现·搜索·主页与平台榜单</x:v>
      </x:c>
      <x:c r="D87" s="4" t="str">
        <x:v>首页（游客视角）</x:v>
      </x:c>
      <x:c r="E87" s="4" t="str">
        <x:v>功能需求</x:v>
      </x:c>
      <x:c r="F87" s="4" t="str">
        <x:v>P1</x:v>
      </x:c>
      <x:c r="G87" s="4" t="str">
        <x:v>验证游客在首页的游客账号操作拦截</x:v>
      </x:c>
      <x:c r="H87" s="4" t="str">
        <x:v>游客账号操作拦截</x:v>
      </x:c>
      <x:c r="I87" s="4" t="str">
        <x:v>1. 执行身份为游客
2. 当前为未登录游客</x:v>
      </x:c>
      <x:c r="J87" s="4" t="str">
        <x:v>1. 进入首页
2. 点击搜索</x:v>
      </x:c>
      <x:c r="K87" s="4" t="str">
        <x:v>进入登录页</x:v>
      </x:c>
      <x:c r="L87" s="4" t="str"/>
      <x:c r="M87" s="4" t="str">
        <x:v>未测</x:v>
      </x:c>
      <x:c r="N87" s="4" t="str"/>
      <x:c r="O87" s="4" t="str">
        <x:v>1. 来源（当前证据）：MainBasis/统一需求文档.md；位置：U-live-plaza-009，第1930行
2. 规则：BR-MB-DCEC89CF3AC502
3. 未动态验证</x:v>
      </x:c>
    </x:row>
    <x:row r="88" ht="68" customHeight="1">
      <x:c r="A88" s="4" t="n">
        <x:v>87</x:v>
      </x:c>
      <x:c r="B88" s="4" t="str">
        <x:v>UMB-0087</x:v>
      </x:c>
      <x:c r="C88" s="4" t="str">
        <x:v>M02 发现·搜索·主页与平台榜单</x:v>
      </x:c>
      <x:c r="D88" s="4" t="str">
        <x:v>首页（游客视角）</x:v>
      </x:c>
      <x:c r="E88" s="4" t="str">
        <x:v>功能需求</x:v>
      </x:c>
      <x:c r="F88" s="4" t="str">
        <x:v>P1</x:v>
      </x:c>
      <x:c r="G88" s="4" t="str">
        <x:v>验证游客在首页的游客账号操作拦截</x:v>
      </x:c>
      <x:c r="H88" s="4" t="str">
        <x:v>游客账号操作拦截</x:v>
      </x:c>
      <x:c r="I88" s="4" t="str">
        <x:v>1. 执行身份为游客
2. 当前为未登录游客</x:v>
      </x:c>
      <x:c r="J88" s="4" t="str">
        <x:v>1. 进入首页
2. 点击消息</x:v>
      </x:c>
      <x:c r="K88" s="4" t="str">
        <x:v>进入登录页</x:v>
      </x:c>
      <x:c r="L88" s="4" t="str"/>
      <x:c r="M88" s="4" t="str">
        <x:v>未测</x:v>
      </x:c>
      <x:c r="N88" s="4" t="str"/>
      <x:c r="O88" s="4" t="str">
        <x:v>1. 来源（当前证据）：MainBasis/统一需求文档.md；位置：U-live-plaza-009，第1930行
2. 规则：BR-MB-B9F14CD93D3685
3. 未动态验证</x:v>
      </x:c>
    </x:row>
    <x:row r="89" ht="68" customHeight="1">
      <x:c r="A89" s="4" t="n">
        <x:v>88</x:v>
      </x:c>
      <x:c r="B89" s="4" t="str">
        <x:v>UMB-0088</x:v>
      </x:c>
      <x:c r="C89" s="4" t="str">
        <x:v>M02 发现·搜索·主页与平台榜单</x:v>
      </x:c>
      <x:c r="D89" s="4" t="str">
        <x:v>首页（游客视角）</x:v>
      </x:c>
      <x:c r="E89" s="4" t="str">
        <x:v>功能需求</x:v>
      </x:c>
      <x:c r="F89" s="4" t="str">
        <x:v>P1</x:v>
      </x:c>
      <x:c r="G89" s="4" t="str">
        <x:v>验证游客在首页的游客账号操作拦截</x:v>
      </x:c>
      <x:c r="H89" s="4" t="str">
        <x:v>游客账号操作拦截</x:v>
      </x:c>
      <x:c r="I89" s="4" t="str">
        <x:v>1. 执行身份为游客
2. 当前为未登录游客</x:v>
      </x:c>
      <x:c r="J89" s="4" t="str">
        <x:v>1. 进入首页
2. 点击我的</x:v>
      </x:c>
      <x:c r="K89" s="4" t="str">
        <x:v>进入登录页</x:v>
      </x:c>
      <x:c r="L89" s="4" t="str"/>
      <x:c r="M89" s="4" t="str">
        <x:v>未测</x:v>
      </x:c>
      <x:c r="N89" s="4" t="str"/>
      <x:c r="O89" s="4" t="str">
        <x:v>1. 来源（当前证据）：MainBasis/统一需求文档.md；位置：U-live-plaza-009，第1930行
2. 规则：BR-MB-0D7632E34BDDB3
3. 未动态验证</x:v>
      </x:c>
    </x:row>
    <x:row r="90" ht="68" customHeight="1">
      <x:c r="A90" s="4" t="n">
        <x:v>89</x:v>
      </x:c>
      <x:c r="B90" s="4" t="str">
        <x:v>UMB-0089</x:v>
      </x:c>
      <x:c r="C90" s="4" t="str">
        <x:v>M02 发现·搜索·主页与平台榜单</x:v>
      </x:c>
      <x:c r="D90" s="4" t="str">
        <x:v>首页（用户视角）</x:v>
      </x:c>
      <x:c r="E90" s="4" t="str">
        <x:v>功能需求</x:v>
      </x:c>
      <x:c r="F90" s="4" t="str">
        <x:v>P1</x:v>
      </x:c>
      <x:c r="G90" s="4" t="str">
        <x:v>验证用户在首页的关注区无直播</x:v>
      </x:c>
      <x:c r="H90" s="4" t="str">
        <x:v>关注区无直播</x:v>
      </x:c>
      <x:c r="I90" s="4" t="str">
        <x:v>1. 执行身份为用户
2. 已关注的主播均未开播
3. 执行账号已登录</x:v>
      </x:c>
      <x:c r="J90" s="4" t="str">
        <x:v>1. 进入首页</x:v>
      </x:c>
      <x:c r="K90" s="4" t="str">
        <x:v>不显示关注主播区</x:v>
      </x:c>
      <x:c r="L90" s="4" t="str"/>
      <x:c r="M90" s="4" t="str">
        <x:v>未测</x:v>
      </x:c>
      <x:c r="N90" s="4" t="str"/>
      <x:c r="O90" s="4" t="str">
        <x:v>1. 来源（当前证据）：MainBasis/统一需求文档.md；位置：U-live-plaza-011，第1938行
2. 规则：BR-MB-A320F67E46732E
3. 未动态验证</x:v>
      </x:c>
    </x:row>
    <x:row r="91" ht="68" customHeight="1">
      <x:c r="A91" s="4" t="n">
        <x:v>90</x:v>
      </x:c>
      <x:c r="B91" s="4" t="str">
        <x:v>UMB-0090</x:v>
      </x:c>
      <x:c r="C91" s="4" t="str">
        <x:v>M02 发现·搜索·主页与平台榜单</x:v>
      </x:c>
      <x:c r="D91" s="4" t="str">
        <x:v>首页（用户视角）</x:v>
      </x:c>
      <x:c r="E91" s="4" t="str">
        <x:v>功能需求</x:v>
      </x:c>
      <x:c r="F91" s="4" t="str">
        <x:v>P2</x:v>
      </x:c>
      <x:c r="G91" s="4" t="str">
        <x:v>验证用户在首页的通知说明仅首登</x:v>
      </x:c>
      <x:c r="H91" s="4" t="str">
        <x:v>通知说明仅首登</x:v>
      </x:c>
      <x:c r="I91" s="4" t="str">
        <x:v>1. 执行身份为用户
2. 此前首次登录已选择暂不开启通知
3. 执行账号已登录</x:v>
      </x:c>
      <x:c r="J91" s="4" t="str">
        <x:v>1. 重新登录账号
2. 进入首页</x:v>
      </x:c>
      <x:c r="K91" s="4" t="str">
        <x:v>不再展示通知授权说明</x:v>
      </x:c>
      <x:c r="L91" s="4" t="str"/>
      <x:c r="M91" s="4" t="str">
        <x:v>未测</x:v>
      </x:c>
      <x:c r="N91" s="4" t="str"/>
      <x:c r="O91" s="4" t="str">
        <x:v>1. 来源（当前证据）：MainBasis/统一需求文档.md；位置：U-live-plaza-014，第1950行
2. 规则：BR-MB-83F5E8A0B7ED5C
3. 未动态验证</x:v>
      </x:c>
    </x:row>
    <x:row r="92" ht="68" customHeight="1">
      <x:c r="A92" s="4" t="n">
        <x:v>91</x:v>
      </x:c>
      <x:c r="B92" s="4" t="str">
        <x:v>UMB-0091</x:v>
      </x:c>
      <x:c r="C92" s="4" t="str">
        <x:v>M02 发现·搜索·主页与平台榜单</x:v>
      </x:c>
      <x:c r="D92" s="4" t="str">
        <x:v>首页（用户视角）</x:v>
      </x:c>
      <x:c r="E92" s="4" t="str">
        <x:v>功能需求</x:v>
      </x:c>
      <x:c r="F92" s="4" t="str">
        <x:v>P2</x:v>
      </x:c>
      <x:c r="G92" s="4" t="str">
        <x:v>验证用户在首页的搜索跳转</x:v>
      </x:c>
      <x:c r="H92" s="4" t="str">
        <x:v>搜索跳转</x:v>
      </x:c>
      <x:c r="I92" s="4" t="str">
        <x:v>1. 用户已登录</x:v>
      </x:c>
      <x:c r="J92" s="4" t="str">
        <x:v>1. 进入首页
2. 点击搜索</x:v>
      </x:c>
      <x:c r="K92" s="4" t="str">
        <x:v>进入搜索页</x:v>
      </x:c>
      <x:c r="L92" s="4" t="str"/>
      <x:c r="M92" s="4" t="str">
        <x:v>未测</x:v>
      </x:c>
      <x:c r="N92" s="4" t="str"/>
      <x:c r="O92" s="4" t="str">
        <x:v>1. 来源（当前证据）：MainBasis/统一需求文档.md；位置：U-live-plaza-015，第1956行
2. 规则：BR-MB-C1480C9CD83C3E
3. 未动态验证</x:v>
      </x:c>
    </x:row>
    <x:row r="93" ht="82" customHeight="1">
      <x:c r="A93" s="4" t="n">
        <x:v>92</x:v>
      </x:c>
      <x:c r="B93" s="4" t="str">
        <x:v>UMB-0092</x:v>
      </x:c>
      <x:c r="C93" s="4" t="str">
        <x:v>M03 社交·私信·群聊与通知</x:v>
      </x:c>
      <x:c r="D93" s="4" t="str">
        <x:v>1 对 1 私信（用户视角）</x:v>
      </x:c>
      <x:c r="E93" s="4" t="str">
        <x:v>功能需求</x:v>
      </x:c>
      <x:c r="F93" s="4" t="str">
        <x:v>P1</x:v>
      </x:c>
      <x:c r="G93" s="4" t="str">
        <x:v>验证用户在1 对 1 私信的非好友第三条私信</x:v>
      </x:c>
      <x:c r="H93" s="4" t="str">
        <x:v>非好友第三条私信</x:v>
      </x:c>
      <x:c r="I93" s="4" t="str">
        <x:v>1. 执行身份为用户
2. 双方无拉黑关系且不是好友
3. 当前用户本次已成功向对方发送2条文本私信
4. 执行账号已登录</x:v>
      </x:c>
      <x:c r="J93" s="4" t="str">
        <x:v>1. 进入与对方的私信页
2. 输入文本你好
3. 点击发送</x:v>
      </x:c>
      <x:c r="K93" s="4" t="str">
        <x:v>第三条文本消息发送成功</x:v>
      </x:c>
      <x:c r="L93" s="4" t="str"/>
      <x:c r="M93" s="4" t="str">
        <x:v>未测</x:v>
      </x:c>
      <x:c r="N93" s="4" t="str"/>
      <x:c r="O93" s="4" t="str">
        <x:v>1. 来源（当前证据）：MainBasis/统一需求文档.md；位置：U-direct-message-004，第2958行、U-direct-message-010，第2984行
2. 规则：BR-MB-58C2240596D4E0
3. 未动态验证</x:v>
      </x:c>
    </x:row>
    <x:row r="94" ht="82" customHeight="1">
      <x:c r="A94" s="4" t="n">
        <x:v>93</x:v>
      </x:c>
      <x:c r="B94" s="4" t="str">
        <x:v>UMB-0093</x:v>
      </x:c>
      <x:c r="C94" s="4" t="str">
        <x:v>M03 社交·私信·群聊与通知</x:v>
      </x:c>
      <x:c r="D94" s="4" t="str">
        <x:v>1 对 1 私信（用户视角）</x:v>
      </x:c>
      <x:c r="E94" s="4" t="str">
        <x:v>功能需求</x:v>
      </x:c>
      <x:c r="F94" s="4" t="str">
        <x:v>P1</x:v>
      </x:c>
      <x:c r="G94" s="4" t="str">
        <x:v>验证用户在1 对 1 私信的非好友第四条私信</x:v>
      </x:c>
      <x:c r="H94" s="4" t="str">
        <x:v>非好友第四条私信</x:v>
      </x:c>
      <x:c r="I94" s="4" t="str">
        <x:v>1. 执行身份为用户
2. 双方无拉黑关系且不是好友
3. 当前用户已成功向对方发送3条文本私信
4. 执行账号已登录</x:v>
      </x:c>
      <x:c r="J94" s="4" t="str">
        <x:v>1. 进入与对方的私信页
2. 输入文本你好
3. 点击发送</x:v>
      </x:c>
      <x:c r="K94" s="4" t="str">
        <x:v>提示“非好友最多发送三条”</x:v>
      </x:c>
      <x:c r="L94" s="4" t="str"/>
      <x:c r="M94" s="4" t="str">
        <x:v>未测</x:v>
      </x:c>
      <x:c r="N94" s="4" t="str"/>
      <x:c r="O94" s="4" t="str">
        <x:v>1. 来源（当前证据）：MainBasis/统一需求文档.md；位置：U-direct-message-004，第2958行、U-direct-message-010，第2984行
2. 规则：BR-MB-BFB9359BF882C1
3. 未动态验证</x:v>
      </x:c>
    </x:row>
    <x:row r="95" ht="82" customHeight="1">
      <x:c r="A95" s="4" t="n">
        <x:v>94</x:v>
      </x:c>
      <x:c r="B95" s="4" t="str">
        <x:v>UMB-0094</x:v>
      </x:c>
      <x:c r="C95" s="4" t="str">
        <x:v>M03 社交·私信·群聊与通知</x:v>
      </x:c>
      <x:c r="D95" s="4" t="str">
        <x:v>1 对 1 私信（用户视角）</x:v>
      </x:c>
      <x:c r="E95" s="4" t="str">
        <x:v>功能需求</x:v>
      </x:c>
      <x:c r="F95" s="4" t="str">
        <x:v>P1</x:v>
      </x:c>
      <x:c r="G95" s="4" t="str">
        <x:v>验证用户在1 对 1 私信的双向额度独立</x:v>
      </x:c>
      <x:c r="H95" s="4" t="str">
        <x:v>双向额度独立</x:v>
      </x:c>
      <x:c r="I95" s="4" t="str">
        <x:v>1. 执行身份为用户
2. 双方不是好友且无拉黑关系
3. 对方已发送3条文本私信，当前用户尚未发送
4. 执行账号已登录</x:v>
      </x:c>
      <x:c r="J95" s="4" t="str">
        <x:v>1. 进入与对方的私信页
2. 输入文本你好
3. 点击发送</x:v>
      </x:c>
      <x:c r="K95" s="4" t="str">
        <x:v>当前用户的第一条文本消息发送成功</x:v>
      </x:c>
      <x:c r="L95" s="4" t="str"/>
      <x:c r="M95" s="4" t="str">
        <x:v>未测</x:v>
      </x:c>
      <x:c r="N95" s="4" t="str"/>
      <x:c r="O95" s="4" t="str">
        <x:v>1. 来源（当前证据）：MainBasis/统一需求文档.md；位置：U-direct-message-004，第2958行
2. 规则：BR-MB-691AE04F0B848B
3. 未动态验证</x:v>
      </x:c>
    </x:row>
    <x:row r="96" ht="82" customHeight="1">
      <x:c r="A96" s="4" t="n">
        <x:v>95</x:v>
      </x:c>
      <x:c r="B96" s="4" t="str">
        <x:v>UMB-0095</x:v>
      </x:c>
      <x:c r="C96" s="4" t="str">
        <x:v>M03 社交·私信·群聊与通知</x:v>
      </x:c>
      <x:c r="D96" s="4" t="str">
        <x:v>1 对 1 私信（用户视角）</x:v>
      </x:c>
      <x:c r="E96" s="4" t="str">
        <x:v>异常用例</x:v>
      </x:c>
      <x:c r="F96" s="4" t="str">
        <x:v>P1</x:v>
      </x:c>
      <x:c r="G96" s="4" t="str">
        <x:v>验证用户在1 对 1 私信的拉黑拒收</x:v>
      </x:c>
      <x:c r="H96" s="4" t="str">
        <x:v>拉黑拒收</x:v>
      </x:c>
      <x:c r="I96" s="4" t="str">
        <x:v>1. 执行身份为用户
2. 对方已经拉黑当前账号
3. 执行账号已登录</x:v>
      </x:c>
      <x:c r="J96" s="4" t="str">
        <x:v>1. 进入原私信会话
2. 输入文本你好
3. 点击发送</x:v>
      </x:c>
      <x:c r="K96" s="4" t="str">
        <x:v>显示“消息发送失败，对方拒收”</x:v>
      </x:c>
      <x:c r="L96" s="4" t="str"/>
      <x:c r="M96" s="4" t="str">
        <x:v>未测</x:v>
      </x:c>
      <x:c r="N96" s="4" t="str"/>
      <x:c r="O96" s="4" t="str">
        <x:v>1. 来源（当前证据）：MainBasis/统一需求文档.md；位置：U-direct-message-007，第2970行
2. 规则：BR-MB-4DE33DC3A1E702
3. 未动态验证</x:v>
      </x:c>
    </x:row>
    <x:row r="97" ht="82" customHeight="1">
      <x:c r="A97" s="4" t="n">
        <x:v>96</x:v>
      </x:c>
      <x:c r="B97" s="4" t="str">
        <x:v>UMB-0096</x:v>
      </x:c>
      <x:c r="C97" s="4" t="str">
        <x:v>M03 社交·私信·群聊与通知</x:v>
      </x:c>
      <x:c r="D97" s="4" t="str">
        <x:v>互动通知（用户视角）</x:v>
      </x:c>
      <x:c r="E97" s="4" t="str">
        <x:v>功能需求</x:v>
      </x:c>
      <x:c r="F97" s="4" t="str">
        <x:v>P1</x:v>
      </x:c>
      <x:c r="G97" s="4" t="str">
        <x:v>验证用户在互动通知的失效申请只读·该申请不显示同意</x:v>
      </x:c>
      <x:c r="H97" s="4" t="str">
        <x:v>失效申请只读·该申请不显示同意</x:v>
      </x:c>
      <x:c r="I97" s="4" t="str">
        <x:v>1. 执行身份为用户
2. 当前收到的好友申请已失效
3. 执行账号已登录</x:v>
      </x:c>
      <x:c r="J97" s="4" t="str">
        <x:v>1. 进入互动通知页</x:v>
      </x:c>
      <x:c r="K97" s="4" t="str">
        <x:v>该申请不显示同意</x:v>
      </x:c>
      <x:c r="L97" s="4" t="str"/>
      <x:c r="M97" s="4" t="str">
        <x:v>未测</x:v>
      </x:c>
      <x:c r="N97" s="4" t="str"/>
      <x:c r="O97" s="4" t="str">
        <x:v>1. 来源（当前证据）：MainBasis/统一需求文档.md；位置：U-interaction-notifications-010，第2930行
2. 规则：BR-MB-947BC1AB896585
3. 未动态验证</x:v>
      </x:c>
    </x:row>
    <x:row r="98" ht="82" customHeight="1">
      <x:c r="A98" s="4" t="n">
        <x:v>97</x:v>
      </x:c>
      <x:c r="B98" s="4" t="str">
        <x:v>UMB-0097</x:v>
      </x:c>
      <x:c r="C98" s="4" t="str">
        <x:v>M03 社交·私信·群聊与通知</x:v>
      </x:c>
      <x:c r="D98" s="4" t="str">
        <x:v>互动通知（用户视角）</x:v>
      </x:c>
      <x:c r="E98" s="4" t="str">
        <x:v>异常用例</x:v>
      </x:c>
      <x:c r="F98" s="4" t="str">
        <x:v>P1</x:v>
      </x:c>
      <x:c r="G98" s="4" t="str">
        <x:v>验证用户在互动通知的失效申请只读·该申请不显示拒绝按钮</x:v>
      </x:c>
      <x:c r="H98" s="4" t="str">
        <x:v>失效申请只读·该申请不显示拒绝按钮</x:v>
      </x:c>
      <x:c r="I98" s="4" t="str">
        <x:v>1. 执行身份为用户
2. 当前收到的好友申请已失效
3. 执行账号已登录</x:v>
      </x:c>
      <x:c r="J98" s="4" t="str">
        <x:v>1. 进入互动通知页</x:v>
      </x:c>
      <x:c r="K98" s="4" t="str">
        <x:v>该申请不显示拒绝按钮</x:v>
      </x:c>
      <x:c r="L98" s="4" t="str"/>
      <x:c r="M98" s="4" t="str">
        <x:v>未测</x:v>
      </x:c>
      <x:c r="N98" s="4" t="str"/>
      <x:c r="O98" s="4" t="str">
        <x:v>1. 来源（当前证据）：MainBasis/统一需求文档.md；位置：U-interaction-notifications-010，第2930行
2. 规则：BR-MB-EAD51E75EBDB38
3. 未动态验证</x:v>
      </x:c>
    </x:row>
    <x:row r="99" ht="68" customHeight="1">
      <x:c r="A99" s="4" t="n">
        <x:v>98</x:v>
      </x:c>
      <x:c r="B99" s="4" t="str">
        <x:v>UMB-0098</x:v>
      </x:c>
      <x:c r="C99" s="4" t="str">
        <x:v>M03 社交·私信·群聊与通知</x:v>
      </x:c>
      <x:c r="D99" s="4" t="str">
        <x:v>好友列表（用户视角）</x:v>
      </x:c>
      <x:c r="E99" s="4" t="str">
        <x:v>功能需求</x:v>
      </x:c>
      <x:c r="F99" s="4" t="str">
        <x:v>P2</x:v>
      </x:c>
      <x:c r="G99" s="4" t="str">
        <x:v>验证用户在好友列表的返回跳转</x:v>
      </x:c>
      <x:c r="H99" s="4" t="str">
        <x:v>返回跳转</x:v>
      </x:c>
      <x:c r="I99" s="4" t="str">
        <x:v>1. 用户已登录</x:v>
      </x:c>
      <x:c r="J99" s="4" t="str">
        <x:v>1. 进入好友列表
2. 点击返回</x:v>
      </x:c>
      <x:c r="K99" s="4" t="str">
        <x:v>进入消息中心</x:v>
      </x:c>
      <x:c r="L99" s="4" t="str"/>
      <x:c r="M99" s="4" t="str">
        <x:v>未测</x:v>
      </x:c>
      <x:c r="N99" s="4" t="str"/>
      <x:c r="O99" s="4" t="str">
        <x:v>1. 来源（当前证据）：MainBasis/统一需求文档.md；位置：U-friend-list-013，第2830行
2. 规则：BR-MB-68B3CF18690C3F
3. 未动态验证</x:v>
      </x:c>
    </x:row>
    <x:row r="100" ht="82" customHeight="1">
      <x:c r="A100" s="4" t="n">
        <x:v>99</x:v>
      </x:c>
      <x:c r="B100" s="4" t="str">
        <x:v>UMB-0099</x:v>
      </x:c>
      <x:c r="C100" s="4" t="str">
        <x:v>M03 社交·私信·群聊与通知</x:v>
      </x:c>
      <x:c r="D100" s="4" t="str">
        <x:v>消息（用户视角）</x:v>
      </x:c>
      <x:c r="E100" s="4" t="str">
        <x:v>功能需求</x:v>
      </x:c>
      <x:c r="F100" s="4" t="str">
        <x:v>P1</x:v>
      </x:c>
      <x:c r="G100" s="4" t="str">
        <x:v>验证用户在消息的固定置顶入口</x:v>
      </x:c>
      <x:c r="H100" s="4" t="str">
        <x:v>固定置顶入口</x:v>
      </x:c>
      <x:c r="I100" s="4" t="str">
        <x:v>1. 执行身份为用户
2. 一条私信的最后消息时间晚于系统通知
3. 执行账号已登录</x:v>
      </x:c>
      <x:c r="J100" s="4" t="str">
        <x:v>1. 进入消息页</x:v>
      </x:c>
      <x:c r="K100" s="4" t="str">
        <x:v>系统通知入口仍位于私信会话之前</x:v>
      </x:c>
      <x:c r="L100" s="4" t="str"/>
      <x:c r="M100" s="4" t="str">
        <x:v>未测</x:v>
      </x:c>
      <x:c r="N100" s="4" t="str"/>
      <x:c r="O100" s="4" t="str">
        <x:v>1. 来源（当前证据）：MainBasis/统一需求文档.md；位置：U-message-center-005，第2630行
2. 规则：BR-MB-8DCB92A0AEE45D
3. 未动态验证</x:v>
      </x:c>
    </x:row>
    <x:row r="101" ht="82" customHeight="1">
      <x:c r="A101" s="4" t="n">
        <x:v>100</x:v>
      </x:c>
      <x:c r="B101" s="4" t="str">
        <x:v>UMB-0100</x:v>
      </x:c>
      <x:c r="C101" s="4" t="str">
        <x:v>M03 社交·私信·群聊与通知</x:v>
      </x:c>
      <x:c r="D101" s="4" t="str">
        <x:v>消息（用户视角）</x:v>
      </x:c>
      <x:c r="E101" s="4" t="str">
        <x:v>功能需求</x:v>
      </x:c>
      <x:c r="F101" s="4" t="str">
        <x:v>P1</x:v>
      </x:c>
      <x:c r="G101" s="4" t="str">
        <x:v>验证用户在消息的会话已读</x:v>
      </x:c>
      <x:c r="H101" s="4" t="str">
        <x:v>会话已读</x:v>
      </x:c>
      <x:c r="I101" s="4" t="str">
        <x:v>1. 执行身份为用户
2. 一个私信会话有2条未读消息
3. 执行账号已登录</x:v>
      </x:c>
      <x:c r="J101" s="4" t="str">
        <x:v>1. 进入消息页
2. 打开该私信会话
3. 返回消息页</x:v>
      </x:c>
      <x:c r="K101" s="4" t="str">
        <x:v>该会话未读数清零</x:v>
      </x:c>
      <x:c r="L101" s="4" t="str"/>
      <x:c r="M101" s="4" t="str">
        <x:v>未测</x:v>
      </x:c>
      <x:c r="N101" s="4" t="str"/>
      <x:c r="O101" s="4" t="str">
        <x:v>1. 来源（当前证据）：MainBasis/统一需求文档.md；位置：U-message-center-010，第2652行
2. 规则：BR-MB-B323FB20DC6E3F
3. 未动态验证</x:v>
      </x:c>
    </x:row>
    <x:row r="102" ht="82" customHeight="1">
      <x:c r="A102" s="4" t="n">
        <x:v>101</x:v>
      </x:c>
      <x:c r="B102" s="4" t="str">
        <x:v>UMB-0101</x:v>
      </x:c>
      <x:c r="C102" s="4" t="str">
        <x:v>M03 社交·私信·群聊与通知</x:v>
      </x:c>
      <x:c r="D102" s="4" t="str">
        <x:v>群管理（成员）（粉丝团成员视角）</x:v>
      </x:c>
      <x:c r="E102" s="4" t="str">
        <x:v>功能需求</x:v>
      </x:c>
      <x:c r="F102" s="4" t="str">
        <x:v>P1</x:v>
      </x:c>
      <x:c r="G102" s="4" t="str">
        <x:v>验证粉丝团成员在群管理（成员）的群成员管理权限</x:v>
      </x:c>
      <x:c r="H102" s="4" t="str">
        <x:v>群成员管理权限</x:v>
      </x:c>
      <x:c r="I102" s="4" t="str">
        <x:v>1. 执行身份为粉丝团成员
2. 团籍有效且不是团主
3. 执行账号已登录</x:v>
      </x:c>
      <x:c r="J102" s="4" t="str">
        <x:v>1. 进入群管理页</x:v>
      </x:c>
      <x:c r="K102" s="4" t="str">
        <x:v>不显示成员管理入口</x:v>
      </x:c>
      <x:c r="L102" s="4" t="str"/>
      <x:c r="M102" s="4" t="str">
        <x:v>未测</x:v>
      </x:c>
      <x:c r="N102" s="4" t="str"/>
      <x:c r="O102" s="4" t="str">
        <x:v>1. 来源（当前证据）：MainBasis/统一需求文档.md；位置：U-group-manage-member-004，第3066行
2. 规则：BR-MB-B70323D188478C
3. 未动态验证</x:v>
      </x:c>
    </x:row>
    <x:row r="103" ht="96" customHeight="1">
      <x:c r="A103" s="4" t="n">
        <x:v>102</x:v>
      </x:c>
      <x:c r="B103" s="4" t="str">
        <x:v>UMB-0102</x:v>
      </x:c>
      <x:c r="C103" s="4" t="str">
        <x:v>M03 社交·私信·群聊与通知</x:v>
      </x:c>
      <x:c r="D103" s="4" t="str">
        <x:v>群管理（群主）（主播视角）</x:v>
      </x:c>
      <x:c r="E103" s="4" t="str">
        <x:v>异常用例</x:v>
      </x:c>
      <x:c r="F103" s="4" t="str">
        <x:v>P1</x:v>
      </x:c>
      <x:c r="G103" s="4" t="str">
        <x:v>验证主播在群管理（群主）的群公告长度边界</x:v>
      </x:c>
      <x:c r="H103" s="4" t="str">
        <x:v>群公告长度边界</x:v>
      </x:c>
      <x:c r="I103" s="4" t="str">
        <x:v>1. 执行身份为主播
2. 当前粉丝团属于本主播
3. 执行账号已登录</x:v>
      </x:c>
      <x:c r="J103" s="4" t="str">
        <x:v>1. 进入群管理页
2. 点击编辑公告
3. 清空公告</x:v>
      </x:c>
      <x:c r="K103" s="4" t="str">
        <x:v>公告不能保存</x:v>
      </x:c>
      <x:c r="L103" s="4" t="str"/>
      <x:c r="M103" s="4" t="str">
        <x:v>未测</x:v>
      </x:c>
      <x:c r="N103" s="4" t="str"/>
      <x:c r="O103" s="4" t="str">
        <x:v>1. 来源（当前证据）：MainBasis/统一需求文档.md；位置：U-group-manage-owner-002，第3098行、U-group-manage-owner-006，第3118行
2. 规则：BR-MB-EE85C17B8B6490
3. 未动态验证</x:v>
      </x:c>
    </x:row>
    <x:row r="104" ht="96" customHeight="1">
      <x:c r="A104" s="4" t="n">
        <x:v>103</x:v>
      </x:c>
      <x:c r="B104" s="4" t="str">
        <x:v>UMB-0103</x:v>
      </x:c>
      <x:c r="C104" s="4" t="str">
        <x:v>M03 社交·私信·群聊与通知</x:v>
      </x:c>
      <x:c r="D104" s="4" t="str">
        <x:v>群管理（群主）（主播视角）</x:v>
      </x:c>
      <x:c r="E104" s="4" t="str">
        <x:v>功能需求</x:v>
      </x:c>
      <x:c r="F104" s="4" t="str">
        <x:v>P1</x:v>
      </x:c>
      <x:c r="G104" s="4" t="str">
        <x:v>验证主播在群管理（群主）的群公告长度边界</x:v>
      </x:c>
      <x:c r="H104" s="4" t="str">
        <x:v>群公告长度边界</x:v>
      </x:c>
      <x:c r="I104" s="4" t="str">
        <x:v>1. 执行身份为主播
2. 当前粉丝团属于本主播
3. 执行账号已登录</x:v>
      </x:c>
      <x:c r="J104" s="4" t="str">
        <x:v>1. 进入群管理页
2. 点击编辑公告
3. 输入由200个测组成的公告</x:v>
      </x:c>
      <x:c r="K104" s="4" t="str">
        <x:v>公告可保存</x:v>
      </x:c>
      <x:c r="L104" s="4" t="str"/>
      <x:c r="M104" s="4" t="str">
        <x:v>未测</x:v>
      </x:c>
      <x:c r="N104" s="4" t="str"/>
      <x:c r="O104" s="4" t="str">
        <x:v>1. 来源（当前证据）：MainBasis/统一需求文档.md；位置：U-group-manage-owner-002，第3098行、U-group-manage-owner-006，第3118行
2. 规则：BR-MB-A3570441D1923E
3. 未动态验证</x:v>
      </x:c>
    </x:row>
    <x:row r="105" ht="96" customHeight="1">
      <x:c r="A105" s="4" t="n">
        <x:v>104</x:v>
      </x:c>
      <x:c r="B105" s="4" t="str">
        <x:v>UMB-0104</x:v>
      </x:c>
      <x:c r="C105" s="4" t="str">
        <x:v>M03 社交·私信·群聊与通知</x:v>
      </x:c>
      <x:c r="D105" s="4" t="str">
        <x:v>群管理（群主）（主播视角）</x:v>
      </x:c>
      <x:c r="E105" s="4" t="str">
        <x:v>功能需求</x:v>
      </x:c>
      <x:c r="F105" s="4" t="str">
        <x:v>P1</x:v>
      </x:c>
      <x:c r="G105" s="4" t="str">
        <x:v>验证主播在群管理（群主）的群公告长度边界</x:v>
      </x:c>
      <x:c r="H105" s="4" t="str">
        <x:v>群公告长度边界</x:v>
      </x:c>
      <x:c r="I105" s="4" t="str">
        <x:v>1. 执行身份为主播
2. 当前粉丝团属于本主播
3. 执行账号已登录</x:v>
      </x:c>
      <x:c r="J105" s="4" t="str">
        <x:v>1. 进入群管理页
2. 点击编辑公告
3. 输入由201个测组成的公告</x:v>
      </x:c>
      <x:c r="K105" s="4" t="str">
        <x:v>公告输入框最多保留200个字符</x:v>
      </x:c>
      <x:c r="L105" s="4" t="str"/>
      <x:c r="M105" s="4" t="str">
        <x:v>未测</x:v>
      </x:c>
      <x:c r="N105" s="4" t="str"/>
      <x:c r="O105" s="4" t="str">
        <x:v>1. 来源（当前证据）：MainBasis/统一需求文档.md；位置：U-group-manage-owner-002，第3098行、U-group-manage-owner-006，第3118行
2. 规则：BR-MB-602B12EFF6C9B9
3. 未动态验证</x:v>
      </x:c>
    </x:row>
    <x:row r="106" ht="82" customHeight="1">
      <x:c r="A106" s="4" t="n">
        <x:v>105</x:v>
      </x:c>
      <x:c r="B106" s="4" t="str">
        <x:v>UMB-0105</x:v>
      </x:c>
      <x:c r="C106" s="4" t="str">
        <x:v>M03 社交·私信·群聊与通知</x:v>
      </x:c>
      <x:c r="D106" s="4" t="str">
        <x:v>黑名单管理（用户视角）</x:v>
      </x:c>
      <x:c r="E106" s="4" t="str">
        <x:v>异常用例</x:v>
      </x:c>
      <x:c r="F106" s="4" t="str">
        <x:v>P2</x:v>
      </x:c>
      <x:c r="G106" s="4" t="str">
        <x:v>验证用户在黑名单管理的取消拉黑失败</x:v>
      </x:c>
      <x:c r="H106" s="4" t="str">
        <x:v>取消拉黑失败</x:v>
      </x:c>
      <x:c r="I106" s="4" t="str">
        <x:v>1. 执行身份为用户
2. 目标账号在当前用户黑名单内
3. 取消拉黑请求返回失败
4. 执行账号已登录</x:v>
      </x:c>
      <x:c r="J106" s="4" t="str">
        <x:v>1. 进入黑名单管理页
2. 选择该账号
3. 点击取消拉黑
4. 点击确认</x:v>
      </x:c>
      <x:c r="K106" s="4" t="str">
        <x:v>提示“请求失败”</x:v>
      </x:c>
      <x:c r="L106" s="4" t="str"/>
      <x:c r="M106" s="4" t="str">
        <x:v>未测</x:v>
      </x:c>
      <x:c r="N106" s="4" t="str"/>
      <x:c r="O106" s="4" t="str">
        <x:v>1. 来源（当前证据）：MainBasis/统一需求文档.md；位置：U-blacklist-management-014，第3272行
2. 规则：BR-MB-3311DB938D7857
3. 未动态验证</x:v>
      </x:c>
    </x:row>
    <x:row r="107" ht="82" customHeight="1">
      <x:c r="A107" s="4" t="n">
        <x:v>106</x:v>
      </x:c>
      <x:c r="B107" s="4" t="str">
        <x:v>UMB-0106</x:v>
      </x:c>
      <x:c r="C107" s="4" t="str">
        <x:v>M03 社交·私信·群聊与通知</x:v>
      </x:c>
      <x:c r="D107" s="4" t="str">
        <x:v>黑名单管理（用户视角）</x:v>
      </x:c>
      <x:c r="E107" s="4" t="str">
        <x:v>功能需求</x:v>
      </x:c>
      <x:c r="F107" s="4" t="str">
        <x:v>P2</x:v>
      </x:c>
      <x:c r="G107" s="4" t="str">
        <x:v>验证用户在黑名单管理的取消拉黑不恢复好友</x:v>
      </x:c>
      <x:c r="H107" s="4" t="str">
        <x:v>取消拉黑不恢复好友</x:v>
      </x:c>
      <x:c r="I107" s="4" t="str">
        <x:v>1. 执行身份为用户
2. 双方原为好友，拉黑已解除好友关系
3. 当前用户是唯一拉黑发起方
4. 执行账号已登录</x:v>
      </x:c>
      <x:c r="J107" s="4" t="str">
        <x:v>1. 进入黑名单管理页
2. 选择该账号
3. 点击取消拉黑
4. 点击确认
5. 进入好友列表</x:v>
      </x:c>
      <x:c r="K107" s="4" t="str">
        <x:v>该账号没有自动恢复为好友</x:v>
      </x:c>
      <x:c r="L107" s="4" t="str"/>
      <x:c r="M107" s="4" t="str">
        <x:v>未测</x:v>
      </x:c>
      <x:c r="N107" s="4" t="str"/>
      <x:c r="O107" s="4" t="str">
        <x:v>1. 来源（当前证据）：MainBasis/统一需求文档.md；位置：U-blacklist-management-009，第3250行
2. 规则：BR-MB-8C947C5516B8E6
3. 未动态验证</x:v>
      </x:c>
    </x:row>
    <x:row r="108" ht="82" customHeight="1">
      <x:c r="A108" s="4" t="n">
        <x:v>107</x:v>
      </x:c>
      <x:c r="B108" s="4" t="str">
        <x:v>UMB-0107</x:v>
      </x:c>
      <x:c r="C108" s="4" t="str">
        <x:v>M03 社交·私信·群聊与通知</x:v>
      </x:c>
      <x:c r="D108" s="4" t="str">
        <x:v>黑名单管理（用户视角）</x:v>
      </x:c>
      <x:c r="E108" s="4" t="str">
        <x:v>功能需求</x:v>
      </x:c>
      <x:c r="F108" s="4" t="str">
        <x:v>P1</x:v>
      </x:c>
      <x:c r="G108" s="4" t="str">
        <x:v>验证用户在黑名单管理的单向拉黑记录范围</x:v>
      </x:c>
      <x:c r="H108" s="4" t="str">
        <x:v>单向拉黑记录范围</x:v>
      </x:c>
      <x:c r="I108" s="4" t="str">
        <x:v>1. 执行身份为用户
2. 对方拉黑了当前用户，当前用户未拉黑对方
3. 执行账号已登录</x:v>
      </x:c>
      <x:c r="J108" s="4" t="str">
        <x:v>1. 进入黑名单管理页</x:v>
      </x:c>
      <x:c r="K108" s="4" t="str">
        <x:v>列表中不包含仅拉黑当前用户的账号</x:v>
      </x:c>
      <x:c r="L108" s="4" t="str"/>
      <x:c r="M108" s="4" t="str">
        <x:v>未测</x:v>
      </x:c>
      <x:c r="N108" s="4" t="str"/>
      <x:c r="O108" s="4" t="str">
        <x:v>1. 来源（当前证据）：MainBasis/统一需求文档.md；位置：U-blacklist-management-011，第3258行
2. 规则：BR-MB-39FE5F265CD784
3. 未动态验证</x:v>
      </x:c>
    </x:row>
    <x:row r="109" ht="82" customHeight="1">
      <x:c r="A109" s="4" t="n">
        <x:v>108</x:v>
      </x:c>
      <x:c r="B109" s="4" t="str">
        <x:v>UMB-0108</x:v>
      </x:c>
      <x:c r="C109" s="4" t="str">
        <x:v>M04 粉丝团·房管与成长等级</x:v>
      </x:c>
      <x:c r="D109" s="4" t="str">
        <x:v>房管管理（主播视角）</x:v>
      </x:c>
      <x:c r="E109" s="4" t="str">
        <x:v>异常用例</x:v>
      </x:c>
      <x:c r="F109" s="4" t="str">
        <x:v>P1</x:v>
      </x:c>
      <x:c r="G109" s="4" t="str">
        <x:v>验证主播在房管管理的房管人数上限</x:v>
      </x:c>
      <x:c r="H109" s="4" t="str">
        <x:v>房管人数上限</x:v>
      </x:c>
      <x:c r="I109" s="4" t="str">
        <x:v>1. 执行身份为主播
2. 已授权3名房管
3. 候选用户无拉黑或本场踢出限制
4. 执行账号已登录</x:v>
      </x:c>
      <x:c r="J109" s="4" t="str">
        <x:v>1. 进入房管管理页
2. 点击添加房管</x:v>
      </x:c>
      <x:c r="K109" s="4" t="str">
        <x:v>提示“已达3人上限”</x:v>
      </x:c>
      <x:c r="L109" s="4" t="str"/>
      <x:c r="M109" s="4" t="str">
        <x:v>未测</x:v>
      </x:c>
      <x:c r="N109" s="4" t="str"/>
      <x:c r="O109" s="4" t="str">
        <x:v>1. 来源（当前证据）：MainBasis/统一需求文档.md；位置：U-moderator-management-009，第3562行
2. 规则：BR-MB-2BD4E262F21291
3. 未动态验证</x:v>
      </x:c>
    </x:row>
    <x:row r="110" ht="82" customHeight="1">
      <x:c r="A110" s="4" t="n">
        <x:v>109</x:v>
      </x:c>
      <x:c r="B110" s="4" t="str">
        <x:v>UMB-0109</x:v>
      </x:c>
      <x:c r="C110" s="4" t="str">
        <x:v>M04 粉丝团·房管与成长等级</x:v>
      </x:c>
      <x:c r="D110" s="4" t="str">
        <x:v>房管管理（主播视角）</x:v>
      </x:c>
      <x:c r="E110" s="4" t="str">
        <x:v>功能需求</x:v>
      </x:c>
      <x:c r="F110" s="4" t="str">
        <x:v>P1</x:v>
      </x:c>
      <x:c r="G110" s="4" t="str">
        <x:v>验证主播在房管管理的房管长期授权</x:v>
      </x:c>
      <x:c r="H110" s="4" t="str">
        <x:v>房管长期授权</x:v>
      </x:c>
      <x:c r="I110" s="4" t="str">
        <x:v>1. 执行身份为主播
2. 上一场结束前已授权一名房管
3. 该授权未被取消且双方无拉黑关系
4. 执行账号已登录</x:v>
      </x:c>
      <x:c r="J110" s="4" t="str">
        <x:v>1. 进入房管管理页</x:v>
      </x:c>
      <x:c r="K110" s="4" t="str">
        <x:v>上一场授权的房管仍在列表</x:v>
      </x:c>
      <x:c r="L110" s="4" t="str"/>
      <x:c r="M110" s="4" t="str">
        <x:v>未测</x:v>
      </x:c>
      <x:c r="N110" s="4" t="str"/>
      <x:c r="O110" s="4" t="str">
        <x:v>1. 来源（当前证据）：MainBasis/统一需求文档.md；位置：U-moderator-management-006，第3548行
2. 规则：BR-MB-D122BC5374B939
3. 未动态验证</x:v>
      </x:c>
    </x:row>
    <x:row r="111" ht="68" customHeight="1">
      <x:c r="A111" s="4" t="n">
        <x:v>110</x:v>
      </x:c>
      <x:c r="B111" s="4" t="str">
        <x:v>UMB-0110</x:v>
      </x:c>
      <x:c r="C111" s="4" t="str">
        <x:v>M04 粉丝团·房管与成长等级</x:v>
      </x:c>
      <x:c r="D111" s="4" t="str">
        <x:v>粉丝团（用户视角）</x:v>
      </x:c>
      <x:c r="E111" s="4" t="str">
        <x:v>异常用例</x:v>
      </x:c>
      <x:c r="F111" s="4" t="str">
        <x:v>P1</x:v>
      </x:c>
      <x:c r="G111" s="4" t="str">
        <x:v>验证用户在粉丝团的粉丝团容量上限</x:v>
      </x:c>
      <x:c r="H111" s="4" t="str">
        <x:v>粉丝团容量上限</x:v>
      </x:c>
      <x:c r="I111" s="4" t="str">
        <x:v>1. 执行身份为用户
2. 目标粉丝团已有500名成员
3. 当前用户满足其其他加入条件
4. 执行账号已登录</x:v>
      </x:c>
      <x:c r="J111" s="4" t="str">
        <x:v>1. 进入该主播直播间
2. 点击加入粉丝团
3. 点击确认加入</x:v>
      </x:c>
      <x:c r="K111" s="4" t="str">
        <x:v>不能加入已满500人的粉丝团</x:v>
      </x:c>
      <x:c r="L111" s="4" t="str"/>
      <x:c r="M111" s="4" t="str">
        <x:v>未测</x:v>
      </x:c>
      <x:c r="N111" s="4" t="str"/>
      <x:c r="O111" s="4" t="str">
        <x:v>1. 来源（当前证据）：MainBasis/统一需求文档.md；位置：U-fan-club-005，第3636行
2. 规则：BR-MB-1C5697205ED7C0
3. 未动态验证</x:v>
      </x:c>
    </x:row>
    <x:row r="112" ht="82" customHeight="1">
      <x:c r="A112" s="4" t="n">
        <x:v>111</x:v>
      </x:c>
      <x:c r="B112" s="4" t="str">
        <x:v>UMB-0111</x:v>
      </x:c>
      <x:c r="C112" s="4" t="str">
        <x:v>M04 粉丝团·房管与成长等级</x:v>
      </x:c>
      <x:c r="D112" s="4" t="str">
        <x:v>粉丝团设置（主播视角）</x:v>
      </x:c>
      <x:c r="E112" s="4" t="str">
        <x:v>功能需求</x:v>
      </x:c>
      <x:c r="F112" s="4" t="str">
        <x:v>P1</x:v>
      </x:c>
      <x:c r="G112" s="4" t="str">
        <x:v>验证主播在粉丝团设置的加入条件变更不移除成员</x:v>
      </x:c>
      <x:c r="H112" s="4" t="str">
        <x:v>加入条件变更不移除成员</x:v>
      </x:c>
      <x:c r="I112" s="4" t="str">
        <x:v>1. 执行身份为主播
2. 粉丝团已有不满足新门槛的成员
3. 新的有效加入门槛已保存
4. 执行账号已登录</x:v>
      </x:c>
      <x:c r="J112" s="4" t="str">
        <x:v>1. 进入粉丝团成员列表</x:v>
      </x:c>
      <x:c r="K112" s="4" t="str">
        <x:v>原成员仍保留团籍</x:v>
      </x:c>
      <x:c r="L112" s="4" t="str"/>
      <x:c r="M112" s="4" t="str">
        <x:v>未测</x:v>
      </x:c>
      <x:c r="N112" s="4" t="str"/>
      <x:c r="O112" s="4" t="str">
        <x:v>1. 来源（当前证据）：MainBasis/统一需求文档.md；位置：U-fan-club-settings-005，第3724行
2. 规则：BR-MB-CF10C3BE7BBF60
3. 未动态验证</x:v>
      </x:c>
    </x:row>
    <x:row r="113" ht="82" customHeight="1">
      <x:c r="A113" s="4" t="n">
        <x:v>112</x:v>
      </x:c>
      <x:c r="B113" s="4" t="str">
        <x:v>UMB-0112</x:v>
      </x:c>
      <x:c r="C113" s="4" t="str">
        <x:v>M04 粉丝团·房管与成长等级</x:v>
      </x:c>
      <x:c r="D113" s="4" t="str">
        <x:v>粉丝团设置（主播视角）</x:v>
      </x:c>
      <x:c r="E113" s="4" t="str">
        <x:v>异常用例</x:v>
      </x:c>
      <x:c r="F113" s="4" t="str">
        <x:v>P1</x:v>
      </x:c>
      <x:c r="G113" s="4" t="str">
        <x:v>验证主播在粉丝团设置的粉丝团名称必填</x:v>
      </x:c>
      <x:c r="H113" s="4" t="str">
        <x:v>粉丝团名称必填</x:v>
      </x:c>
      <x:c r="I113" s="4" t="str">
        <x:v>1. 执行身份为主播
2. 当前粉丝团属于本主播
3. 其他字段为已有合法值
4. 执行账号已登录</x:v>
      </x:c>
      <x:c r="J113" s="4" t="str">
        <x:v>1. 进入粉丝团设置页
2. 清空名称</x:v>
      </x:c>
      <x:c r="K113" s="4" t="str">
        <x:v>保存按钮不可用</x:v>
      </x:c>
      <x:c r="L113" s="4" t="str"/>
      <x:c r="M113" s="4" t="str">
        <x:v>未测</x:v>
      </x:c>
      <x:c r="N113" s="4" t="str"/>
      <x:c r="O113" s="4" t="str">
        <x:v>1. 来源（当前证据）：MainBasis/统一需求文档.md；位置：U-fan-club-settings-007，第3734行
2. 规则：BR-MB-8C207EC9679AE9
3. 未动态验证</x:v>
      </x:c>
    </x:row>
    <x:row r="114" ht="82" customHeight="1">
      <x:c r="A114" s="4" t="n">
        <x:v>113</x:v>
      </x:c>
      <x:c r="B114" s="4" t="str">
        <x:v>UMB-0113</x:v>
      </x:c>
      <x:c r="C114" s="4" t="str">
        <x:v>M05 公会申请·认证·组织与权限</x:v>
      </x:c>
      <x:c r="D114" s="4" t="str">
        <x:v>公会中心（用户视角）</x:v>
      </x:c>
      <x:c r="E114" s="4" t="str">
        <x:v>异常用例</x:v>
      </x:c>
      <x:c r="F114" s="4" t="str">
        <x:v>P1</x:v>
      </x:c>
      <x:c r="G114" s="4" t="str">
        <x:v>验证用户在公会中心的入会申请唯一</x:v>
      </x:c>
      <x:c r="H114" s="4" t="str">
        <x:v>入会申请唯一</x:v>
      </x:c>
      <x:c r="I114" s="4" t="str">
        <x:v>1. 执行身份为用户
2. 已存在一笔处理中入会申请
3. 执行账号已登录</x:v>
      </x:c>
      <x:c r="J114" s="4" t="str">
        <x:v>1. 进入公会中心
2. 查询另一个可见公会</x:v>
      </x:c>
      <x:c r="K114" s="4" t="str">
        <x:v>该公会的申请按钮不可用</x:v>
      </x:c>
      <x:c r="L114" s="4" t="str"/>
      <x:c r="M114" s="4" t="str">
        <x:v>未测</x:v>
      </x:c>
      <x:c r="N114" s="4" t="str"/>
      <x:c r="O114" s="4" t="str">
        <x:v>1. 来源（当前证据）：MainBasis/统一需求文档.md；位置：U-guild-management-013，第3936行
2. 规则：BR-MB-264AB9702DC032
3. 未动态验证</x:v>
      </x:c>
    </x:row>
    <x:row r="115" ht="82" customHeight="1">
      <x:c r="A115" s="4" t="n">
        <x:v>114</x:v>
      </x:c>
      <x:c r="B115" s="4" t="str">
        <x:v>UMB-0114</x:v>
      </x:c>
      <x:c r="C115" s="4" t="str">
        <x:v>M05 公会申请·认证·组织与权限</x:v>
      </x:c>
      <x:c r="D115" s="4" t="str">
        <x:v>公会中心（用户视角）</x:v>
      </x:c>
      <x:c r="E115" s="4" t="str">
        <x:v>异常用例</x:v>
      </x:c>
      <x:c r="F115" s="4" t="str">
        <x:v>P1</x:v>
      </x:c>
      <x:c r="G115" s="4" t="str">
        <x:v>验证用户在公会中心的单一公会关系</x:v>
      </x:c>
      <x:c r="H115" s="4" t="str">
        <x:v>单一公会关系</x:v>
      </x:c>
      <x:c r="I115" s="4" t="str">
        <x:v>1. 执行身份为用户
2. 当前已加入一个公会
3. 执行账号已登录</x:v>
      </x:c>
      <x:c r="J115" s="4" t="str">
        <x:v>1. 进入公会中心
2. 查询另一个可见公会</x:v>
      </x:c>
      <x:c r="K115" s="4" t="str">
        <x:v>该公会的申请按钮不可用</x:v>
      </x:c>
      <x:c r="L115" s="4" t="str"/>
      <x:c r="M115" s="4" t="str">
        <x:v>未测</x:v>
      </x:c>
      <x:c r="N115" s="4" t="str"/>
      <x:c r="O115" s="4" t="str">
        <x:v>1. 来源（当前证据）：MainBasis/统一需求文档.md；位置：U-guild-management-013，第3936行
2. 规则：BR-MB-9DA5E4519CE364
3. 未动态验证</x:v>
      </x:c>
    </x:row>
    <x:row r="116" ht="110" customHeight="1">
      <x:c r="A116" s="4" t="n">
        <x:v>115</x:v>
      </x:c>
      <x:c r="B116" s="4" t="str">
        <x:v>UMB-0115</x:v>
      </x:c>
      <x:c r="C116" s="4" t="str">
        <x:v>M05 公会申请·认证·组织与权限</x:v>
      </x:c>
      <x:c r="D116" s="4" t="str">
        <x:v>公会中心（用户视角）</x:v>
      </x:c>
      <x:c r="E116" s="4" t="str">
        <x:v>业务流程</x:v>
      </x:c>
      <x:c r="F116" s="4" t="str">
        <x:v>P2</x:v>
      </x:c>
      <x:c r="G116" s="4" t="str">
        <x:v>验证用户在公会中心的停用公会搜索</x:v>
      </x:c>
      <x:c r="H116" s="4" t="str">
        <x:v>停用公会搜索</x:v>
      </x:c>
      <x:c r="I116" s="4" t="str">
        <x:v>1. 执行身份为用户
2. 原可见公会已被平台停用
3. 执行账号已登录</x:v>
      </x:c>
      <x:c r="J116" s="4" t="str">
        <x:v>1. 进入公会中心
2. 输入该公会ID搜索</x:v>
      </x:c>
      <x:c r="K116" s="4" t="str">
        <x:v>搜索结果不包含已停用公会</x:v>
      </x:c>
      <x:c r="L116" s="4" t="str">
        <x:v>MBF-BBDF5E6E</x:v>
      </x:c>
      <x:c r="M116" s="4" t="str">
        <x:v>未测</x:v>
      </x:c>
      <x:c r="N116" s="4" t="str"/>
      <x:c r="O116" s="4" t="str">
        <x:v>1. 来源（当前证据）：MainBasis/统一需求文档.md；位置：D-SYS-066，第396行、U-guild-management-007，第3910行
2. 规则：BR-MB-F0C18EBC4C7C9F
3. 未动态验证
4. 共同对象：公会状态；阶段：停用公会搜索
5. 状态转换：MBT-DB7D56D54045；启用→停用</x:v>
      </x:c>
    </x:row>
    <x:row r="117" ht="68" customHeight="1">
      <x:c r="A117" s="4" t="n">
        <x:v>116</x:v>
      </x:c>
      <x:c r="B117" s="4" t="str">
        <x:v>UMB-0116</x:v>
      </x:c>
      <x:c r="C117" s="4" t="str">
        <x:v>M05 公会申请·认证·组织与权限</x:v>
      </x:c>
      <x:c r="D117" s="4" t="str">
        <x:v>公会详情（主播视角）</x:v>
      </x:c>
      <x:c r="E117" s="4" t="str">
        <x:v>功能需求</x:v>
      </x:c>
      <x:c r="F117" s="4" t="str">
        <x:v>P1</x:v>
      </x:c>
      <x:c r="G117" s="4" t="str">
        <x:v>验证主播在公会详情的处理中退会入口</x:v>
      </x:c>
      <x:c r="H117" s="4" t="str">
        <x:v>处理中退会入口</x:v>
      </x:c>
      <x:c r="I117" s="4" t="str">
        <x:v>1. 执行身份为主播
2. 已加入公会且已有一笔处理中退会申请
3. 执行账号已登录</x:v>
      </x:c>
      <x:c r="J117" s="4" t="str">
        <x:v>1. 进入当前公会详情</x:v>
      </x:c>
      <x:c r="K117" s="4" t="str">
        <x:v>不显示申请退出入口</x:v>
      </x:c>
      <x:c r="L117" s="4" t="str"/>
      <x:c r="M117" s="4" t="str">
        <x:v>未测</x:v>
      </x:c>
      <x:c r="N117" s="4" t="str"/>
      <x:c r="O117" s="4" t="str">
        <x:v>1. 来源（当前证据）：MainBasis/统一需求文档.md；位置：U-guild-detail-018，第4146行
2. 规则：BR-MB-84867B6AC793E5
3. 未动态验证</x:v>
      </x:c>
    </x:row>
    <x:row r="118" ht="138" customHeight="1">
      <x:c r="A118" s="4" t="n">
        <x:v>117</x:v>
      </x:c>
      <x:c r="B118" s="4" t="str">
        <x:v>UMB-0117</x:v>
      </x:c>
      <x:c r="C118" s="4" t="str">
        <x:v>M05 公会申请·认证·组织与权限</x:v>
      </x:c>
      <x:c r="D118" s="4" t="str">
        <x:v>公会详情（主播视角）</x:v>
      </x:c>
      <x:c r="E118" s="4" t="str">
        <x:v>业务流程</x:v>
      </x:c>
      <x:c r="F118" s="4" t="str">
        <x:v>P1</x:v>
      </x:c>
      <x:c r="G118" s="4" t="str">
        <x:v>验证主播在公会详情的驳回退会关系</x:v>
      </x:c>
      <x:c r="H118" s="4" t="str">
        <x:v>驳回退会关系</x:v>
      </x:c>
      <x:c r="I118" s="4" t="str">
        <x:v>1. 执行身份为主播
2. 本人的退会申请已被公会驳回
3. 执行账号已登录</x:v>
      </x:c>
      <x:c r="J118" s="4" t="str">
        <x:v>1. 进入当前公会详情</x:v>
      </x:c>
      <x:c r="K118" s="4" t="str">
        <x:v>公会关系仍为已加入</x:v>
      </x:c>
      <x:c r="L118" s="4" t="str">
        <x:v>MBF-289CDBD1</x:v>
      </x:c>
      <x:c r="M118" s="4" t="str">
        <x:v>未测</x:v>
      </x:c>
      <x:c r="N118" s="4" t="str"/>
      <x:c r="O118" s="4" t="str">
        <x:v>1. 来源（当前证据）：MainBasis/统一需求文档.md；位置：U-guild-detail-016，第4136行、G-guild-leave-review-detail-007，第4682行
2. 规则：BR-MB-2BCC44EC749568
3. 未动态验证
4. 共同对象：退会申请；阶段：驳回退会关系
5. 状态转换：MBT-735B27B37EE6；待审核→驳回</x:v>
      </x:c>
    </x:row>
    <x:row r="119" ht="82" customHeight="1">
      <x:c r="A119" s="4" t="n">
        <x:v>118</x:v>
      </x:c>
      <x:c r="B119" s="4" t="str">
        <x:v>UMB-0118</x:v>
      </x:c>
      <x:c r="C119" s="4" t="str">
        <x:v>M05 公会申请·认证·组织与权限</x:v>
      </x:c>
      <x:c r="D119" s="4" t="str">
        <x:v>公会详情（用户视角）</x:v>
      </x:c>
      <x:c r="E119" s="4" t="str">
        <x:v>功能需求</x:v>
      </x:c>
      <x:c r="F119" s="4" t="str">
        <x:v>P1</x:v>
      </x:c>
      <x:c r="G119" s="4" t="str">
        <x:v>验证用户在公会详情的申请资料快照</x:v>
      </x:c>
      <x:c r="H119" s="4" t="str">
        <x:v>申请资料快照</x:v>
      </x:c>
      <x:c r="I119" s="4" t="str">
        <x:v>1. 执行身份为用户
2. 历史申请提交后已修改个人昵称
3. 历史申请保留提交时昵称
4. 执行账号已登录</x:v>
      </x:c>
      <x:c r="J119" s="4" t="str">
        <x:v>1. 进入我的公会
2. 打开该公会详情
3. 展开申请资料</x:v>
      </x:c>
      <x:c r="K119" s="4" t="str">
        <x:v>申请单仍显示提交时的昵称</x:v>
      </x:c>
      <x:c r="L119" s="4" t="str"/>
      <x:c r="M119" s="4" t="str">
        <x:v>未测</x:v>
      </x:c>
      <x:c r="N119" s="4" t="str"/>
      <x:c r="O119" s="4" t="str">
        <x:v>1. 来源（当前证据）：MainBasis/统一需求文档.md；位置：U-guild-detail-017，第4140行
2. 规则：BR-MB-F8B599B70B34E5
3. 未动态验证</x:v>
      </x:c>
    </x:row>
    <x:row r="120" ht="124" customHeight="1">
      <x:c r="A120" s="4" t="n">
        <x:v>119</x:v>
      </x:c>
      <x:c r="B120" s="4" t="str">
        <x:v>UMB-0119</x:v>
      </x:c>
      <x:c r="C120" s="4" t="str">
        <x:v>M05 公会申请·认证·组织与权限</x:v>
      </x:c>
      <x:c r="D120" s="4" t="str">
        <x:v>公会详情（用户视角）</x:v>
      </x:c>
      <x:c r="E120" s="4" t="str">
        <x:v>业务流程</x:v>
      </x:c>
      <x:c r="F120" s="4" t="str">
        <x:v>P1</x:v>
      </x:c>
      <x:c r="G120" s="4" t="str">
        <x:v>验证用户在公会详情的退会通过关系</x:v>
      </x:c>
      <x:c r="H120" s="4" t="str">
        <x:v>退会通过关系</x:v>
      </x:c>
      <x:c r="I120" s="4" t="str">
        <x:v>1. 执行身份为用户
2. 原公会已通过本人的退会申请
3. 执行账号已登录</x:v>
      </x:c>
      <x:c r="J120" s="4" t="str">
        <x:v>1. 进入我的公会
2. 打开原公会详情</x:v>
      </x:c>
      <x:c r="K120" s="4" t="str">
        <x:v>公会关系显示已退出</x:v>
      </x:c>
      <x:c r="L120" s="4" t="str">
        <x:v>MBF-289CDBD1</x:v>
      </x:c>
      <x:c r="M120" s="4" t="str">
        <x:v>未测</x:v>
      </x:c>
      <x:c r="N120" s="4" t="str"/>
      <x:c r="O120" s="4" t="str">
        <x:v>1. 来源（当前证据）：MainBasis/统一需求文档.md；位置：U-guild-detail-015，第4132行、U-guild-leave-application-006，第4190行
2. 规则：BR-MB-E5E4B725292790
3. 未动态验证
4. 共同对象：退会申请；阶段：退会通过关系
5. 状态转换：MBT-4342472F211A；待审核→通过</x:v>
      </x:c>
    </x:row>
    <x:row r="121" ht="68" customHeight="1">
      <x:c r="A121" s="4" t="n">
        <x:v>120</x:v>
      </x:c>
      <x:c r="B121" s="4" t="str">
        <x:v>UMB-0120</x:v>
      </x:c>
      <x:c r="C121" s="4" t="str">
        <x:v>M05 公会申请·认证·组织与权限</x:v>
      </x:c>
      <x:c r="D121" s="4" t="str">
        <x:v>公会详情（用户视角）</x:v>
      </x:c>
      <x:c r="E121" s="4" t="str">
        <x:v>功能需求</x:v>
      </x:c>
      <x:c r="F121" s="4" t="str">
        <x:v>P2</x:v>
      </x:c>
      <x:c r="G121" s="4" t="str">
        <x:v>验证用户在公会详情的返回跳转</x:v>
      </x:c>
      <x:c r="H121" s="4" t="str">
        <x:v>返回跳转</x:v>
      </x:c>
      <x:c r="I121" s="4" t="str">
        <x:v>1. 用户已登录</x:v>
      </x:c>
      <x:c r="J121" s="4" t="str">
        <x:v>1. 进入公会详情
2. 点击返回</x:v>
      </x:c>
      <x:c r="K121" s="4" t="str">
        <x:v>进入我的公会 P032</x:v>
      </x:c>
      <x:c r="L121" s="4" t="str"/>
      <x:c r="M121" s="4" t="str">
        <x:v>未测</x:v>
      </x:c>
      <x:c r="N121" s="4" t="str"/>
      <x:c r="O121" s="4" t="str">
        <x:v>1. 来源（当前证据）：MainBasis/统一需求文档.md；位置：U-guild-detail-019，第4150行
2. 规则：BR-MB-369A72768ACB9E
3. 未动态验证</x:v>
      </x:c>
    </x:row>
    <x:row r="122" ht="82" customHeight="1">
      <x:c r="A122" s="4" t="n">
        <x:v>121</x:v>
      </x:c>
      <x:c r="B122" s="4" t="str">
        <x:v>UMB-0121</x:v>
      </x:c>
      <x:c r="C122" s="4" t="str">
        <x:v>M05 公会申请·认证·组织与权限</x:v>
      </x:c>
      <x:c r="D122" s="4" t="str">
        <x:v>填写申请单（用户视角）</x:v>
      </x:c>
      <x:c r="E122" s="4" t="str">
        <x:v>功能需求</x:v>
      </x:c>
      <x:c r="F122" s="4" t="str">
        <x:v>P1</x:v>
      </x:c>
      <x:c r="G122" s="4" t="str">
        <x:v>验证用户在填写申请单的证件类型切换</x:v>
      </x:c>
      <x:c r="H122" s="4" t="str">
        <x:v>证件类型切换</x:v>
      </x:c>
      <x:c r="I122" s="4" t="str">
        <x:v>1. 执行身份为用户
2. 本次申请已有KTP正反面照片
3. 执行账号已登录</x:v>
      </x:c>
      <x:c r="J122" s="4" t="str">
        <x:v>1. 进入填写申请单页
2. 将证件类型切换为驾照</x:v>
      </x:c>
      <x:c r="K122" s="4" t="str">
        <x:v>原证件正反面照片被清空</x:v>
      </x:c>
      <x:c r="L122" s="4" t="str"/>
      <x:c r="M122" s="4" t="str">
        <x:v>未测</x:v>
      </x:c>
      <x:c r="N122" s="4" t="str"/>
      <x:c r="O122" s="4" t="str">
        <x:v>1. 来源（当前证据）：MainBasis/统一需求文档.md；位置：U-guild-application-form-012，第3998行
2. 规则：BR-MB-6F09AA11DC6D85
3. 未动态验证</x:v>
      </x:c>
    </x:row>
    <x:row r="123" ht="82" customHeight="1">
      <x:c r="A123" s="4" t="n">
        <x:v>122</x:v>
      </x:c>
      <x:c r="B123" s="4" t="str">
        <x:v>UMB-0122</x:v>
      </x:c>
      <x:c r="C123" s="4" t="str">
        <x:v>M05 公会申请·认证·组织与权限</x:v>
      </x:c>
      <x:c r="D123" s="4" t="str">
        <x:v>填写申请单（用户视角）</x:v>
      </x:c>
      <x:c r="E123" s="4" t="str">
        <x:v>异常用例</x:v>
      </x:c>
      <x:c r="F123" s="4" t="str">
        <x:v>P1</x:v>
      </x:c>
      <x:c r="G123" s="4" t="str">
        <x:v>验证用户在填写申请单的入会必填校验</x:v>
      </x:c>
      <x:c r="H123" s="4" t="str">
        <x:v>入会必填校验</x:v>
      </x:c>
      <x:c r="I123" s="4" t="str">
        <x:v>1. 执行身份为用户
2. 无处理中申请且未加入公会
3. 本次申请缺少证件照片
4. 执行账号已登录</x:v>
      </x:c>
      <x:c r="J123" s="4" t="str">
        <x:v>1. 进入填写申请单页</x:v>
      </x:c>
      <x:c r="K123" s="4" t="str">
        <x:v>提交按钮不可用</x:v>
      </x:c>
      <x:c r="L123" s="4" t="str"/>
      <x:c r="M123" s="4" t="str">
        <x:v>未测</x:v>
      </x:c>
      <x:c r="N123" s="4" t="str"/>
      <x:c r="O123" s="4" t="str">
        <x:v>1. 来源（当前证据）：MainBasis/统一需求文档.md；位置：U-guild-application-form-012，第3998行
2. 规则：BR-MB-652CBBECC8EB5F
3. 未动态验证</x:v>
      </x:c>
    </x:row>
    <x:row r="124" ht="82" customHeight="1">
      <x:c r="A124" s="4" t="n">
        <x:v>123</x:v>
      </x:c>
      <x:c r="B124" s="4" t="str">
        <x:v>UMB-0123</x:v>
      </x:c>
      <x:c r="C124" s="4" t="str">
        <x:v>M05 公会申请·认证·组织与权限</x:v>
      </x:c>
      <x:c r="D124" s="4" t="str">
        <x:v>申请退出公会（主播视角）</x:v>
      </x:c>
      <x:c r="E124" s="4" t="str">
        <x:v>异常用例</x:v>
      </x:c>
      <x:c r="F124" s="4" t="str">
        <x:v>P1</x:v>
      </x:c>
      <x:c r="G124" s="4" t="str">
        <x:v>验证主播在申请退出公会的退会原因必填</x:v>
      </x:c>
      <x:c r="H124" s="4" t="str">
        <x:v>退会原因必填</x:v>
      </x:c>
      <x:c r="I124" s="4" t="str">
        <x:v>1. 执行身份为主播
2. 已加入公会且无处理中退会申请
3. 执行账号已登录</x:v>
      </x:c>
      <x:c r="J124" s="4" t="str">
        <x:v>1. 进入退出申请页
2. 清空退出原因</x:v>
      </x:c>
      <x:c r="K124" s="4" t="str">
        <x:v>提交按钮不可用</x:v>
      </x:c>
      <x:c r="L124" s="4" t="str"/>
      <x:c r="M124" s="4" t="str">
        <x:v>未测</x:v>
      </x:c>
      <x:c r="N124" s="4" t="str"/>
      <x:c r="O124" s="4" t="str">
        <x:v>1. 来源（当前证据）：MainBasis/统一需求文档.md；位置：U-guild-leave-application-008，第4200行
2. 规则：BR-MB-D5815870952478
3. 未动态验证</x:v>
      </x:c>
    </x:row>
    <x:row r="125" ht="82" customHeight="1">
      <x:c r="A125" s="4" t="n">
        <x:v>124</x:v>
      </x:c>
      <x:c r="B125" s="4" t="str">
        <x:v>UMB-0124</x:v>
      </x:c>
      <x:c r="C125" s="4" t="str">
        <x:v>M06 开播·房型·观看·连麦与房内管理</x:v>
      </x:c>
      <x:c r="D125" s="4" t="str">
        <x:v>举报直播间（观众视角）</x:v>
      </x:c>
      <x:c r="E125" s="4" t="str">
        <x:v>异常用例</x:v>
      </x:c>
      <x:c r="F125" s="4" t="str">
        <x:v>P1</x:v>
      </x:c>
      <x:c r="G125" s="4" t="str">
        <x:v>验证观众在举报直播间的直播举报原因必填</x:v>
      </x:c>
      <x:c r="H125" s="4" t="str">
        <x:v>直播举报原因必填</x:v>
      </x:c>
      <x:c r="I125" s="4" t="str">
        <x:v>1. 执行身份为观众
2. 目标直播场次正在直播
3. 执行账号已登录</x:v>
      </x:c>
      <x:c r="J125" s="4" t="str">
        <x:v>1. 进入直播举报页
2. 查看提交按钮</x:v>
      </x:c>
      <x:c r="K125" s="4" t="str">
        <x:v>提交按钮不可用</x:v>
      </x:c>
      <x:c r="L125" s="4" t="str"/>
      <x:c r="M125" s="4" t="str">
        <x:v>未测</x:v>
      </x:c>
      <x:c r="N125" s="4" t="str"/>
      <x:c r="O125" s="4" t="str">
        <x:v>1. 来源（当前证据）：MainBasis/统一需求文档.md；位置：U-live-room-report-005，第5736行
2. 规则：BR-MB-F8426781729FF8
3. 未动态验证</x:v>
      </x:c>
    </x:row>
    <x:row r="126" ht="82" customHeight="1">
      <x:c r="A126" s="4" t="n">
        <x:v>125</x:v>
      </x:c>
      <x:c r="B126" s="4" t="str">
        <x:v>UMB-0125</x:v>
      </x:c>
      <x:c r="C126" s="4" t="str">
        <x:v>M06 开播·房型·观看·连麦与房内管理</x:v>
      </x:c>
      <x:c r="D126" s="4" t="str">
        <x:v>充值（观众视角）</x:v>
      </x:c>
      <x:c r="E126" s="4" t="str">
        <x:v>功能需求</x:v>
      </x:c>
      <x:c r="F126" s="4" t="str">
        <x:v>P1</x:v>
      </x:c>
      <x:c r="G126" s="4" t="str">
        <x:v>验证观众在充值的充值不自动补送</x:v>
      </x:c>
      <x:c r="H126" s="4" t="str">
        <x:v>充值不自动补送</x:v>
      </x:c>
      <x:c r="I126" s="4" t="str">
        <x:v>1. 执行身份为观众
2. 礼物面板因余额不足进入充值视图
3. 原赠送未成功
4. 执行账号已登录</x:v>
      </x:c>
      <x:c r="J126" s="4" t="str">
        <x:v>1. 选择可用充值套餐
2. 确认支付
3. 返回礼物面板</x:v>
      </x:c>
      <x:c r="K126" s="4" t="str">
        <x:v>原礼物没有自动再次赠送</x:v>
      </x:c>
      <x:c r="L126" s="4" t="str"/>
      <x:c r="M126" s="4" t="str">
        <x:v>未测</x:v>
      </x:c>
      <x:c r="N126" s="4" t="str"/>
      <x:c r="O126" s="4" t="str">
        <x:v>1. 来源（当前证据）：MainBasis/统一需求文档.md；位置：U-views_live-room_gift-recharge-005，第5226行
2. 规则：BR-MB-21A36B7C11080B
3. 未动态验证</x:v>
      </x:c>
    </x:row>
    <x:row r="127" ht="82" customHeight="1">
      <x:c r="A127" s="4" t="n">
        <x:v>126</x:v>
      </x:c>
      <x:c r="B127" s="4" t="str">
        <x:v>UMB-0126</x:v>
      </x:c>
      <x:c r="C127" s="4" t="str">
        <x:v>M06 开播·房型·观看·连麦与房内管理</x:v>
      </x:c>
      <x:c r="D127" s="4" t="str">
        <x:v>在线观众-观众列表（主播视角）</x:v>
      </x:c>
      <x:c r="E127" s="4" t="str">
        <x:v>功能需求</x:v>
      </x:c>
      <x:c r="F127" s="4" t="str">
        <x:v>P2</x:v>
      </x:c>
      <x:c r="G127" s="4" t="str">
        <x:v>验证主播在在线观众-观众列表的私信跳转</x:v>
      </x:c>
      <x:c r="H127" s="4" t="str">
        <x:v>私信跳转</x:v>
      </x:c>
      <x:c r="I127" s="4" t="str">
        <x:v>1. 主播已登录</x:v>
      </x:c>
      <x:c r="J127" s="4" t="str">
        <x:v>1. 进入在线观众-观众列表
2. 点击私信</x:v>
      </x:c>
      <x:c r="K127" s="4" t="str">
        <x:v>进入与该用户的单聊</x:v>
      </x:c>
      <x:c r="L127" s="4" t="str"/>
      <x:c r="M127" s="4" t="str">
        <x:v>未测</x:v>
      </x:c>
      <x:c r="N127" s="4" t="str"/>
      <x:c r="O127" s="4" t="str">
        <x:v>1. 来源（当前证据）：MainBasis/统一需求文档.md；位置：U-views_live-room-host_audience-viewers-016，第5962行
2. 规则：BR-MB-C60ABA5FF3D936
3. 未动态验证</x:v>
      </x:c>
    </x:row>
    <x:row r="128" ht="82" customHeight="1">
      <x:c r="A128" s="4" t="n">
        <x:v>127</x:v>
      </x:c>
      <x:c r="B128" s="4" t="str">
        <x:v>UMB-0127</x:v>
      </x:c>
      <x:c r="C128" s="4" t="str">
        <x:v>M06 开播·房型·观看·连麦与房内管理</x:v>
      </x:c>
      <x:c r="D128" s="4" t="str">
        <x:v>密码房-访问受限（观众视角）</x:v>
      </x:c>
      <x:c r="E128" s="4" t="str">
        <x:v>功能需求</x:v>
      </x:c>
      <x:c r="F128" s="4" t="str">
        <x:v>P1</x:v>
      </x:c>
      <x:c r="G128" s="4" t="str">
        <x:v>验证观众在密码房-访问受限的密码格式边界</x:v>
      </x:c>
      <x:c r="H128" s="4" t="str">
        <x:v>密码格式边界</x:v>
      </x:c>
      <x:c r="I128" s="4" t="str">
        <x:v>1. 执行身份为观众
2. 账号准入校验通过
3. 房间当前有效密码为1234
4. 执行账号已登录</x:v>
      </x:c>
      <x:c r="J128" s="4" t="str">
        <x:v>1. 进入密码房
2. 输入密码123
3. 点击确认</x:v>
      </x:c>
      <x:c r="K128" s="4" t="str">
        <x:v>提示“密码必须是4-12个数字”</x:v>
      </x:c>
      <x:c r="L128" s="4" t="str"/>
      <x:c r="M128" s="4" t="str">
        <x:v>未测</x:v>
      </x:c>
      <x:c r="N128" s="4" t="str"/>
      <x:c r="O128" s="4" t="str">
        <x:v>1. 来源（当前证据）：MainBasis/统一需求文档.md；位置：U-views_live-room_password-room-restricted-003，第5348行
2. 规则：BR-MB-1BCE8FAD0985E6
3. 未动态验证</x:v>
      </x:c>
    </x:row>
    <x:row r="129" ht="82" customHeight="1">
      <x:c r="A129" s="4" t="n">
        <x:v>128</x:v>
      </x:c>
      <x:c r="B129" s="4" t="str">
        <x:v>UMB-0128</x:v>
      </x:c>
      <x:c r="C129" s="4" t="str">
        <x:v>M06 开播·房型·观看·连麦与房内管理</x:v>
      </x:c>
      <x:c r="D129" s="4" t="str">
        <x:v>密码房-访问受限（观众视角）</x:v>
      </x:c>
      <x:c r="E129" s="4" t="str">
        <x:v>功能需求</x:v>
      </x:c>
      <x:c r="F129" s="4" t="str">
        <x:v>P1</x:v>
      </x:c>
      <x:c r="G129" s="4" t="str">
        <x:v>验证观众在密码房-访问受限的密码格式边界</x:v>
      </x:c>
      <x:c r="H129" s="4" t="str">
        <x:v>密码格式边界</x:v>
      </x:c>
      <x:c r="I129" s="4" t="str">
        <x:v>1. 执行身份为观众
2. 账号准入校验通过
3. 房间当前有效密码为1234
4. 执行账号已登录</x:v>
      </x:c>
      <x:c r="J129" s="4" t="str">
        <x:v>1. 进入密码房
2. 输入密码1234
3. 点击确认</x:v>
      </x:c>
      <x:c r="K129" s="4" t="str">
        <x:v>进入直播间</x:v>
      </x:c>
      <x:c r="L129" s="4" t="str"/>
      <x:c r="M129" s="4" t="str">
        <x:v>未测</x:v>
      </x:c>
      <x:c r="N129" s="4" t="str"/>
      <x:c r="O129" s="4" t="str">
        <x:v>1. 来源（当前证据）：MainBasis/统一需求文档.md；位置：U-views_live-room_password-room-restricted-003，第5348行
2. 规则：BR-MB-BD4E6CB5151127
3. 未动态验证</x:v>
      </x:c>
    </x:row>
    <x:row r="130" ht="82" customHeight="1">
      <x:c r="A130" s="4" t="n">
        <x:v>129</x:v>
      </x:c>
      <x:c r="B130" s="4" t="str">
        <x:v>UMB-0129</x:v>
      </x:c>
      <x:c r="C130" s="4" t="str">
        <x:v>M06 开播·房型·观看·连麦与房内管理</x:v>
      </x:c>
      <x:c r="D130" s="4" t="str">
        <x:v>密码房-访问受限（观众视角）</x:v>
      </x:c>
      <x:c r="E130" s="4" t="str">
        <x:v>功能需求</x:v>
      </x:c>
      <x:c r="F130" s="4" t="str">
        <x:v>P1</x:v>
      </x:c>
      <x:c r="G130" s="4" t="str">
        <x:v>验证观众在密码房-访问受限的密码格式边界</x:v>
      </x:c>
      <x:c r="H130" s="4" t="str">
        <x:v>密码格式边界</x:v>
      </x:c>
      <x:c r="I130" s="4" t="str">
        <x:v>1. 执行身份为观众
2. 账号准入校验通过
3. 房间当前有效密码为1234
4. 执行账号已登录</x:v>
      </x:c>
      <x:c r="J130" s="4" t="str">
        <x:v>1. 进入密码房
2. 输入密码123456789012
3. 点击确认</x:v>
      </x:c>
      <x:c r="K130" s="4" t="str">
        <x:v>提示“密码错误，请重新输入”</x:v>
      </x:c>
      <x:c r="L130" s="4" t="str"/>
      <x:c r="M130" s="4" t="str">
        <x:v>未测</x:v>
      </x:c>
      <x:c r="N130" s="4" t="str"/>
      <x:c r="O130" s="4" t="str">
        <x:v>1. 来源（当前证据）：MainBasis/统一需求文档.md；位置：U-views_live-room_password-room-restricted-003，第5348行
2. 规则：BR-MB-51C4DE7C4E7A99
3. 未动态验证</x:v>
      </x:c>
    </x:row>
    <x:row r="131" ht="82" customHeight="1">
      <x:c r="A131" s="4" t="n">
        <x:v>130</x:v>
      </x:c>
      <x:c r="B131" s="4" t="str">
        <x:v>UMB-0130</x:v>
      </x:c>
      <x:c r="C131" s="4" t="str">
        <x:v>M06 开播·房型·观看·连麦与房内管理</x:v>
      </x:c>
      <x:c r="D131" s="4" t="str">
        <x:v>密码房-访问受限（观众视角）</x:v>
      </x:c>
      <x:c r="E131" s="4" t="str">
        <x:v>功能需求</x:v>
      </x:c>
      <x:c r="F131" s="4" t="str">
        <x:v>P1</x:v>
      </x:c>
      <x:c r="G131" s="4" t="str">
        <x:v>验证观众在密码房-访问受限的密码格式边界</x:v>
      </x:c>
      <x:c r="H131" s="4" t="str">
        <x:v>密码格式边界</x:v>
      </x:c>
      <x:c r="I131" s="4" t="str">
        <x:v>1. 执行身份为观众
2. 账号准入校验通过
3. 房间当前有效密码为1234
4. 执行账号已登录</x:v>
      </x:c>
      <x:c r="J131" s="4" t="str">
        <x:v>1. 进入密码房
2. 输入密码1234567890123
3. 点击确认</x:v>
      </x:c>
      <x:c r="K131" s="4" t="str">
        <x:v>提示“密码必须是4-12个数字”</x:v>
      </x:c>
      <x:c r="L131" s="4" t="str"/>
      <x:c r="M131" s="4" t="str">
        <x:v>未测</x:v>
      </x:c>
      <x:c r="N131" s="4" t="str"/>
      <x:c r="O131" s="4" t="str">
        <x:v>1. 来源（当前证据）：MainBasis/统一需求文档.md；位置：U-views_live-room_password-room-restricted-003，第5348行
2. 规则：BR-MB-F0BFAD866998A3
3. 未动态验证</x:v>
      </x:c>
    </x:row>
    <x:row r="132" ht="82" customHeight="1">
      <x:c r="A132" s="4" t="n">
        <x:v>131</x:v>
      </x:c>
      <x:c r="B132" s="4" t="str">
        <x:v>UMB-0131</x:v>
      </x:c>
      <x:c r="C132" s="4" t="str">
        <x:v>M06 开播·房型·观看·连麦与房内管理</x:v>
      </x:c>
      <x:c r="D132" s="4" t="str">
        <x:v>密码房-访问受限（观众视角）</x:v>
      </x:c>
      <x:c r="E132" s="4" t="str">
        <x:v>功能需求</x:v>
      </x:c>
      <x:c r="F132" s="4" t="str">
        <x:v>P1</x:v>
      </x:c>
      <x:c r="G132" s="4" t="str">
        <x:v>验证观众在密码房-访问受限的密码格式边界</x:v>
      </x:c>
      <x:c r="H132" s="4" t="str">
        <x:v>密码格式边界</x:v>
      </x:c>
      <x:c r="I132" s="4" t="str">
        <x:v>1. 执行身份为观众
2. 账号准入校验通过
3. 房间当前有效密码为1234
4. 执行账号已登录</x:v>
      </x:c>
      <x:c r="J132" s="4" t="str">
        <x:v>1. 进入密码房
2. 输入密码12ab
3. 点击确认</x:v>
      </x:c>
      <x:c r="K132" s="4" t="str">
        <x:v>提示“密码必须是4-12个数字”</x:v>
      </x:c>
      <x:c r="L132" s="4" t="str"/>
      <x:c r="M132" s="4" t="str">
        <x:v>未测</x:v>
      </x:c>
      <x:c r="N132" s="4" t="str"/>
      <x:c r="O132" s="4" t="str">
        <x:v>1. 来源（当前证据）：MainBasis/统一需求文档.md；位置：U-views_live-room_password-room-restricted-003，第5348行
2. 规则：BR-MB-730D8F35F973CA
3. 未动态验证</x:v>
      </x:c>
    </x:row>
    <x:row r="133" ht="82" customHeight="1">
      <x:c r="A133" s="4" t="n">
        <x:v>132</x:v>
      </x:c>
      <x:c r="B133" s="4" t="str">
        <x:v>UMB-0132</x:v>
      </x:c>
      <x:c r="C133" s="4" t="str">
        <x:v>M06 开播·房型·观看·连麦与房内管理</x:v>
      </x:c>
      <x:c r="D133" s="4" t="str">
        <x:v>开播设置（主播视角）</x:v>
      </x:c>
      <x:c r="E133" s="4" t="str">
        <x:v>功能需求</x:v>
      </x:c>
      <x:c r="F133" s="4" t="str">
        <x:v>P1</x:v>
      </x:c>
      <x:c r="G133" s="4" t="str">
        <x:v>验证主播在开播设置的相机权限拒绝</x:v>
      </x:c>
      <x:c r="H133" s="4" t="str">
        <x:v>相机权限拒绝</x:v>
      </x:c>
      <x:c r="I133" s="4" t="str">
        <x:v>1. 执行身份为主播
2. 业务开播条件满足
3. 相机权限被拒绝
4. 麦克风权限已授权
5. 执行账号已登录</x:v>
      </x:c>
      <x:c r="J133" s="4" t="str">
        <x:v>1. 进入开播设置
2. 点击开始直播</x:v>
      </x:c>
      <x:c r="K133" s="4" t="str">
        <x:v>提示“权限未开启，请前往系统设置”</x:v>
      </x:c>
      <x:c r="L133" s="4" t="str"/>
      <x:c r="M133" s="4" t="str">
        <x:v>未测</x:v>
      </x:c>
      <x:c r="N133" s="4" t="str"/>
      <x:c r="O133" s="4" t="str">
        <x:v>1. 来源（当前证据）：MainBasis/统一需求文档.md；位置：U-start-live-settings-019，第6654行
2. 规则：BR-MB-05BB492E2FB8C8
3. 未动态验证</x:v>
      </x:c>
    </x:row>
    <x:row r="134" ht="82" customHeight="1">
      <x:c r="A134" s="4" t="n">
        <x:v>133</x:v>
      </x:c>
      <x:c r="B134" s="4" t="str">
        <x:v>UMB-0133</x:v>
      </x:c>
      <x:c r="C134" s="4" t="str">
        <x:v>M06 开播·房型·观看·连麦与房内管理</x:v>
      </x:c>
      <x:c r="D134" s="4" t="str">
        <x:v>开播设置（主播视角）</x:v>
      </x:c>
      <x:c r="E134" s="4" t="str">
        <x:v>功能需求</x:v>
      </x:c>
      <x:c r="F134" s="4" t="str">
        <x:v>P1</x:v>
      </x:c>
      <x:c r="G134" s="4" t="str">
        <x:v>验证主播在开播设置的麦克风权限拒绝</x:v>
      </x:c>
      <x:c r="H134" s="4" t="str">
        <x:v>麦克风权限拒绝</x:v>
      </x:c>
      <x:c r="I134" s="4" t="str">
        <x:v>1. 执行身份为主播
2. 业务开播条件满足
3. 麦克风权限被拒绝
4. 相机权限已授权
5. 执行账号已登录</x:v>
      </x:c>
      <x:c r="J134" s="4" t="str">
        <x:v>1. 进入开播设置
2. 点击开始直播</x:v>
      </x:c>
      <x:c r="K134" s="4" t="str">
        <x:v>提示“权限未开启，请前往系统设置”</x:v>
      </x:c>
      <x:c r="L134" s="4" t="str"/>
      <x:c r="M134" s="4" t="str">
        <x:v>未测</x:v>
      </x:c>
      <x:c r="N134" s="4" t="str"/>
      <x:c r="O134" s="4" t="str">
        <x:v>1. 来源（当前证据）：MainBasis/统一需求文档.md；位置：U-start-live-settings-019，第6654行
2. 规则：BR-MB-6985483DAC0337
3. 未动态验证</x:v>
      </x:c>
    </x:row>
    <x:row r="135" ht="82" customHeight="1">
      <x:c r="A135" s="4" t="n">
        <x:v>134</x:v>
      </x:c>
      <x:c r="B135" s="4" t="str">
        <x:v>UMB-0134</x:v>
      </x:c>
      <x:c r="C135" s="4" t="str">
        <x:v>M06 开播·房型·观看·连麦与房内管理</x:v>
      </x:c>
      <x:c r="D135" s="4" t="str">
        <x:v>开播设置（主播视角）</x:v>
      </x:c>
      <x:c r="E135" s="4" t="str">
        <x:v>功能需求</x:v>
      </x:c>
      <x:c r="F135" s="4" t="str">
        <x:v>P2</x:v>
      </x:c>
      <x:c r="G135" s="4" t="str">
        <x:v>验证主播在开播设置的取消封面选择</x:v>
      </x:c>
      <x:c r="H135" s="4" t="str">
        <x:v>取消封面选择</x:v>
      </x:c>
      <x:c r="I135" s="4" t="str">
        <x:v>1. 执行身份为主播
2. 已有有效直播封面
3. 执行账号已登录</x:v>
      </x:c>
      <x:c r="J135" s="4" t="str">
        <x:v>1. 进入开播设置
2. 点击修改封面
3. 取消照片选择</x:v>
      </x:c>
      <x:c r="K135" s="4" t="str">
        <x:v>原封面保持不变</x:v>
      </x:c>
      <x:c r="L135" s="4" t="str"/>
      <x:c r="M135" s="4" t="str">
        <x:v>未测</x:v>
      </x:c>
      <x:c r="N135" s="4" t="str"/>
      <x:c r="O135" s="4" t="str">
        <x:v>1. 来源（当前证据）：MainBasis/统一需求文档.md；位置：U-start-live-settings-020，第6658行
2. 规则：BR-MB-06A6F1A7217C51
3. 未动态验证</x:v>
      </x:c>
    </x:row>
    <x:row r="136" ht="82" customHeight="1">
      <x:c r="A136" s="4" t="n">
        <x:v>135</x:v>
      </x:c>
      <x:c r="B136" s="4" t="str">
        <x:v>UMB-0135</x:v>
      </x:c>
      <x:c r="C136" s="4" t="str">
        <x:v>M06 开播·房型·观看·连麦与房内管理</x:v>
      </x:c>
      <x:c r="D136" s="4" t="str">
        <x:v>开播设置（主播视角）</x:v>
      </x:c>
      <x:c r="E136" s="4" t="str">
        <x:v>功能需求</x:v>
      </x:c>
      <x:c r="F136" s="4" t="str">
        <x:v>P2</x:v>
      </x:c>
      <x:c r="G136" s="4" t="str">
        <x:v>验证主播在开播设置的美颜恢复默认</x:v>
      </x:c>
      <x:c r="H136" s="4" t="str">
        <x:v>美颜恢复默认</x:v>
      </x:c>
      <x:c r="I136" s="4" t="str">
        <x:v>1. 执行身份为主播
2. 至少一个美颜参数不为50
3. 执行账号已登录</x:v>
      </x:c>
      <x:c r="J136" s="4" t="str">
        <x:v>1. 进入开播设置
2. 打开美颜
3. 点击恢复默认</x:v>
      </x:c>
      <x:c r="K136" s="4" t="str">
        <x:v>全部美颜参数重置为50</x:v>
      </x:c>
      <x:c r="L136" s="4" t="str"/>
      <x:c r="M136" s="4" t="str">
        <x:v>未测</x:v>
      </x:c>
      <x:c r="N136" s="4" t="str"/>
      <x:c r="O136" s="4" t="str">
        <x:v>1. 来源（当前证据）：MainBasis/统一需求文档.md；位置：U-start-live-settings-017，第6646行
2. 规则：BR-MB-4C221786E629E8
3. 未动态验证</x:v>
      </x:c>
    </x:row>
    <x:row r="137" ht="124" customHeight="1">
      <x:c r="A137" s="4" t="n">
        <x:v>136</x:v>
      </x:c>
      <x:c r="B137" s="4" t="str">
        <x:v>UMB-0136</x:v>
      </x:c>
      <x:c r="C137" s="4" t="str">
        <x:v>M06 开播·房型·观看·连麦与房内管理</x:v>
      </x:c>
      <x:c r="D137" s="4" t="str">
        <x:v>开播设置（主播视角）</x:v>
      </x:c>
      <x:c r="E137" s="4" t="str">
        <x:v>功能需求</x:v>
      </x:c>
      <x:c r="F137" s="4" t="str">
        <x:v>P1</x:v>
      </x:c>
      <x:c r="G137" s="4" t="str">
        <x:v>验证主播在开播设置的普通房成功开播</x:v>
      </x:c>
      <x:c r="H137" s="4" t="str">
        <x:v>普通房成功开播</x:v>
      </x:c>
      <x:c r="I137" s="4" t="str">
        <x:v>1. 执行身份为主播
2. 账号正常且公会启用
3. 主播认证通过，平台和公会开播权限均开启
4. 相机及麦克风已授权
5. 平台有启用的直播分类
6. 执行账号已登录</x:v>
      </x:c>
      <x:c r="J137" s="4" t="str">
        <x:v>1. 进入开播设置
2. 输入主题测试直播
3. 选择一个启用分类
4. 选择普通房
5. 点击开始直播</x:v>
      </x:c>
      <x:c r="K137" s="4" t="str">
        <x:v>进入当前新场次的主播直播间</x:v>
      </x:c>
      <x:c r="L137" s="4" t="str"/>
      <x:c r="M137" s="4" t="str">
        <x:v>未测</x:v>
      </x:c>
      <x:c r="N137" s="4" t="str"/>
      <x:c r="O137" s="4" t="str">
        <x:v>1. 来源（当前证据）：MainBasis/统一需求文档.md；位置：U-start-live-settings-003，第6586行、U-start-live-settings-004，第6590行、U-start-live-settings-005，第6594行、U-start-live-settings-009，第6612行、U-start-live-settings-018，第6650行
2. 规则：BR-MB-2298CFB9929462
3. 未动态验证</x:v>
      </x:c>
    </x:row>
    <x:row r="138" ht="82" customHeight="1">
      <x:c r="A138" s="4" t="n">
        <x:v>137</x:v>
      </x:c>
      <x:c r="B138" s="4" t="str">
        <x:v>UMB-0137</x:v>
      </x:c>
      <x:c r="C138" s="4" t="str">
        <x:v>M06 开播·房型·观看·连麦与房内管理</x:v>
      </x:c>
      <x:c r="D138" s="4" t="str">
        <x:v>开播设置（主播视角）</x:v>
      </x:c>
      <x:c r="E138" s="4" t="str">
        <x:v>功能需求</x:v>
      </x:c>
      <x:c r="F138" s="4" t="str">
        <x:v>P2</x:v>
      </x:c>
      <x:c r="G138" s="4" t="str">
        <x:v>验证主播在开播设置的编辑图标跳转</x:v>
      </x:c>
      <x:c r="H138" s="4" t="str">
        <x:v>编辑图标跳转</x:v>
      </x:c>
      <x:c r="I138" s="4" t="str">
        <x:v>1. 主播已登录</x:v>
      </x:c>
      <x:c r="J138" s="4" t="str">
        <x:v>1. 进入开播设置
2. 点击编辑图标</x:v>
      </x:c>
      <x:c r="K138" s="4" t="str">
        <x:v>进入选择可见粉丝页</x:v>
      </x:c>
      <x:c r="L138" s="4" t="str"/>
      <x:c r="M138" s="4" t="str">
        <x:v>未测</x:v>
      </x:c>
      <x:c r="N138" s="4" t="str"/>
      <x:c r="O138" s="4" t="str">
        <x:v>1. 来源（当前证据）：MainBasis/统一需求文档.md；位置：U-start-live-settings-022，第6666行
2. 规则：BR-MB-F9E1F33E461A27
3. 未动态验证</x:v>
      </x:c>
    </x:row>
    <x:row r="139" ht="96" customHeight="1">
      <x:c r="A139" s="4" t="n">
        <x:v>138</x:v>
      </x:c>
      <x:c r="B139" s="4" t="str">
        <x:v>UMB-0138</x:v>
      </x:c>
      <x:c r="C139" s="4" t="str">
        <x:v>M06 开播·房型·观看·连麦与房内管理</x:v>
      </x:c>
      <x:c r="D139" s="4" t="str">
        <x:v>快捷答谢（主播视角）</x:v>
      </x:c>
      <x:c r="E139" s="4" t="str">
        <x:v>功能需求</x:v>
      </x:c>
      <x:c r="F139" s="4" t="str">
        <x:v>P1</x:v>
      </x:c>
      <x:c r="G139" s="4" t="str">
        <x:v>验证主播在快捷答谢的快捷答谢预填</x:v>
      </x:c>
      <x:c r="H139" s="4" t="str">
        <x:v>快捷答谢预填</x:v>
      </x:c>
      <x:c r="I139" s="4" t="str">
        <x:v>1. 执行身份为主播
2. 当前场次有成功送礼的观众
3. 执行账号已登录</x:v>
      </x:c>
      <x:c r="J139" s="4" t="str">
        <x:v>1. 打开该送礼观众资料卡
2. 点击答谢</x:v>
      </x:c>
      <x:c r="K139" s="4" t="str">
        <x:v>公屏输入框预填答谢文案，尚未发送</x:v>
      </x:c>
      <x:c r="L139" s="4" t="str"/>
      <x:c r="M139" s="4" t="str">
        <x:v>未测</x:v>
      </x:c>
      <x:c r="N139" s="4" t="str"/>
      <x:c r="O139" s="4" t="str">
        <x:v>1. 来源（当前证据）：MainBasis/统一需求文档.md；位置：U-views_live-room-host_thank-message-003，第6078行、U-views_live-room-host_thank-message-004，第6084行
2. 规则：BR-MB-76394DDEBDD8DA
3. 未动态验证</x:v>
      </x:c>
    </x:row>
    <x:row r="140" ht="124" customHeight="1">
      <x:c r="A140" s="4" t="n">
        <x:v>139</x:v>
      </x:c>
      <x:c r="B140" s="4" t="str">
        <x:v>UMB-0139</x:v>
      </x:c>
      <x:c r="C140" s="4" t="str">
        <x:v>M06 开播·房型·观看·连麦与房内管理</x:v>
      </x:c>
      <x:c r="D140" s="4" t="str">
        <x:v>房型（门票房）（主播视角）</x:v>
      </x:c>
      <x:c r="E140" s="4" t="str">
        <x:v>业务流程</x:v>
      </x:c>
      <x:c r="F140" s="4" t="str">
        <x:v>P1</x:v>
      </x:c>
      <x:c r="G140" s="4" t="str">
        <x:v>验证主播在房型（门票房）的关闭门票房的新场次</x:v>
      </x:c>
      <x:c r="H140" s="4" t="str">
        <x:v>关闭门票房的新场次</x:v>
      </x:c>
      <x:c r="I140" s="4" t="str">
        <x:v>1. 执行身份为主播
2. 门票房功能已被平台关闭
3. 其他开播条件满足
4. 执行账号已登录</x:v>
      </x:c>
      <x:c r="J140" s="4" t="str">
        <x:v>1. 进入开播设置
2. 打开房型选择</x:v>
      </x:c>
      <x:c r="K140" s="4" t="str">
        <x:v>不能选择门票房</x:v>
      </x:c>
      <x:c r="L140" s="4" t="str">
        <x:v>MBF-F3B98BEF</x:v>
      </x:c>
      <x:c r="M140" s="4" t="str">
        <x:v>未测</x:v>
      </x:c>
      <x:c r="N140" s="4" t="str"/>
      <x:c r="O140" s="4" t="str">
        <x:v>1. 来源（当前证据）：MainBasis/统一需求文档.md；位置：U-views_start-live-settings_room-ticket-003，第6750行
2. 规则：BR-MB-A7FBBE1677E814
3. 未动态验证
4. 共同对象：门票房功能；阶段：关闭门票房的新场次
5. 状态转换：MBT-0C86CC344107；开启→关闭</x:v>
      </x:c>
    </x:row>
    <x:row r="141" ht="82" customHeight="1">
      <x:c r="A141" s="4" t="n">
        <x:v>140</x:v>
      </x:c>
      <x:c r="B141" s="4" t="str">
        <x:v>UMB-0140</x:v>
      </x:c>
      <x:c r="C141" s="4" t="str">
        <x:v>M06 开播·房型·观看·连麦与房内管理</x:v>
      </x:c>
      <x:c r="D141" s="4" t="str">
        <x:v>用户资料卡-房管（房管视角）</x:v>
      </x:c>
      <x:c r="E141" s="4" t="str">
        <x:v>功能需求</x:v>
      </x:c>
      <x:c r="F141" s="4" t="str">
        <x:v>P1</x:v>
      </x:c>
      <x:c r="G141" s="4" t="str">
        <x:v>验证房管在用户资料卡-房管的房管禁止处置主播</x:v>
      </x:c>
      <x:c r="H141" s="4" t="str">
        <x:v>房管禁止处置主播</x:v>
      </x:c>
      <x:c r="I141" s="4" t="str">
        <x:v>1. 执行身份为房管
2. 已获得当前主播授权
3. 主播正在直播
4. 执行账号已登录</x:v>
      </x:c>
      <x:c r="J141" s="4" t="str">
        <x:v>1. 打开当前主播资料卡</x:v>
      </x:c>
      <x:c r="K141" s="4" t="str">
        <x:v>不提供对主播的禁言或踢出操作</x:v>
      </x:c>
      <x:c r="L141" s="4" t="str"/>
      <x:c r="M141" s="4" t="str">
        <x:v>未测</x:v>
      </x:c>
      <x:c r="N141" s="4" t="str"/>
      <x:c r="O141" s="4" t="str">
        <x:v>1. 来源（当前证据）：MainBasis/统一需求文档.md；位置：U-views_live-room_profile-moderator-002，第5540行
2. 规则：BR-MB-6DD7C074FEB54C
3. 未动态验证</x:v>
      </x:c>
    </x:row>
    <x:row r="142" ht="82" customHeight="1">
      <x:c r="A142" s="4" t="n">
        <x:v>141</x:v>
      </x:c>
      <x:c r="B142" s="4" t="str">
        <x:v>UMB-0141</x:v>
      </x:c>
      <x:c r="C142" s="4" t="str">
        <x:v>M06 开播·房型·观看·连麦与房内管理</x:v>
      </x:c>
      <x:c r="D142" s="4" t="str">
        <x:v>用户资料卡-普通观众（观众视角）</x:v>
      </x:c>
      <x:c r="E142" s="4" t="str">
        <x:v>功能需求</x:v>
      </x:c>
      <x:c r="F142" s="4" t="str">
        <x:v>P2</x:v>
      </x:c>
      <x:c r="G142" s="4" t="str">
        <x:v>验证观众在用户资料卡-普通观众的主页跳转</x:v>
      </x:c>
      <x:c r="H142" s="4" t="str">
        <x:v>主页跳转</x:v>
      </x:c>
      <x:c r="I142" s="4" t="str">
        <x:v>1. 观众已登录</x:v>
      </x:c>
      <x:c r="J142" s="4" t="str">
        <x:v>1. 进入用户资料卡-普通观众
2. 点击主页</x:v>
      </x:c>
      <x:c r="K142" s="4" t="str">
        <x:v>进入该用户主页</x:v>
      </x:c>
      <x:c r="L142" s="4" t="str"/>
      <x:c r="M142" s="4" t="str">
        <x:v>未测</x:v>
      </x:c>
      <x:c r="N142" s="4" t="str"/>
      <x:c r="O142" s="4" t="str">
        <x:v>1. 来源（当前证据）：MainBasis/统一需求文档.md；位置：U-views_live-room_profile-viewer-005，第5528行
2. 规则：BR-MB-47565DC561F8F0
3. 未动态验证</x:v>
      </x:c>
    </x:row>
    <x:row r="143" ht="138" customHeight="1">
      <x:c r="A143" s="4" t="n">
        <x:v>142</x:v>
      </x:c>
      <x:c r="B143" s="4" t="str">
        <x:v>UMB-0142</x:v>
      </x:c>
      <x:c r="C143" s="4" t="str">
        <x:v>M06 开播·房型·观看·连麦与房内管理</x:v>
      </x:c>
      <x:c r="D143" s="4" t="str">
        <x:v>直播结束页（主播）（主播视角）</x:v>
      </x:c>
      <x:c r="E143" s="4" t="str">
        <x:v>业务流程</x:v>
      </x:c>
      <x:c r="F143" s="4" t="str">
        <x:v>P1</x:v>
      </x:c>
      <x:c r="G143" s="4" t="str">
        <x:v>验证主播在直播结束页（主播）的平台关播后的主播端</x:v>
      </x:c>
      <x:c r="H143" s="4" t="str">
        <x:v>平台关播后的主播端</x:v>
      </x:c>
      <x:c r="I143" s="4" t="str">
        <x:v>1. 执行身份为主播
2. 本场已被平台关播
3. 执行账号已登录</x:v>
      </x:c>
      <x:c r="J143" s="4" t="str">
        <x:v>1. 查看当前主播直播页面</x:v>
      </x:c>
      <x:c r="K143" s="4" t="str">
        <x:v>当前场次显示结束状态</x:v>
      </x:c>
      <x:c r="L143" s="4" t="str">
        <x:v>MBF-3316A78D</x:v>
      </x:c>
      <x:c r="M143" s="4" t="str">
        <x:v>未测</x:v>
      </x:c>
      <x:c r="N143" s="4" t="str"/>
      <x:c r="O143" s="4" t="str">
        <x:v>1. 来源（当前证据）：MainBasis/统一需求文档.md；位置：U-live-end-host-004，第6500行、D-SYS-117，第620行
2. 规则：BR-MB-38D979F55F48CA
3. 未动态验证
4. 共同对象：直播场次；阶段：平台关播后的主播端
5. 状态转换：MBT-7FB96D065F3B；直播中→已结束</x:v>
      </x:c>
    </x:row>
    <x:row r="144" ht="124" customHeight="1">
      <x:c r="A144" s="4" t="n">
        <x:v>143</x:v>
      </x:c>
      <x:c r="B144" s="4" t="str">
        <x:v>UMB-0143</x:v>
      </x:c>
      <x:c r="C144" s="4" t="str">
        <x:v>M06 开播·房型·观看·连麦与房内管理</x:v>
      </x:c>
      <x:c r="D144" s="4" t="str">
        <x:v>直播间-主播（主播视角）</x:v>
      </x:c>
      <x:c r="E144" s="4" t="str">
        <x:v>业务流程</x:v>
      </x:c>
      <x:c r="F144" s="4" t="str">
        <x:v>P1</x:v>
      </x:c>
      <x:c r="G144" s="4" t="str">
        <x:v>验证主播在直播间-主播的公会关闭权限关播</x:v>
      </x:c>
      <x:c r="H144" s="4" t="str">
        <x:v>公会关闭权限关播</x:v>
      </x:c>
      <x:c r="I144" s="4" t="str">
        <x:v>1. 执行身份为主播
2. 本公会已关闭本人的直播权限
3. 权限关闭时本人的场次正在直播
4. 执行账号已登录</x:v>
      </x:c>
      <x:c r="J144" s="4" t="str">
        <x:v>1. 查看当前主播直播页面</x:v>
      </x:c>
      <x:c r="K144" s="4" t="str">
        <x:v>当前场次已结束</x:v>
      </x:c>
      <x:c r="L144" s="4" t="str">
        <x:v>MBF-29684C4A</x:v>
      </x:c>
      <x:c r="M144" s="4" t="str">
        <x:v>未测</x:v>
      </x:c>
      <x:c r="N144" s="4" t="str"/>
      <x:c r="O144" s="4" t="str">
        <x:v>1. 来源（当前证据）：MainBasis/统一需求文档.md；位置：U-live-room-host-006，第5806行、G-guild-host-detail-008，第4586行
2. 规则：BR-MB-239DBC7F3F9745
3. 未动态验证
4. 共同对象：主播直播权限；阶段：公会关闭权限关播
5. 状态转换：MBT-BF343888BFA2；开启→关闭</x:v>
      </x:c>
    </x:row>
    <x:row r="145" ht="82" customHeight="1">
      <x:c r="A145" s="4" t="n">
        <x:v>144</x:v>
      </x:c>
      <x:c r="B145" s="4" t="str">
        <x:v>UMB-0144</x:v>
      </x:c>
      <x:c r="C145" s="4" t="str">
        <x:v>M06 开播·房型·观看·连麦与房内管理</x:v>
      </x:c>
      <x:c r="D145" s="4" t="str">
        <x:v>直播间-主播（主播视角）</x:v>
      </x:c>
      <x:c r="E145" s="4" t="str">
        <x:v>功能需求</x:v>
      </x:c>
      <x:c r="F145" s="4" t="str">
        <x:v>P1</x:v>
      </x:c>
      <x:c r="G145" s="4" t="str">
        <x:v>验证主播在直播间-主播的门票开关不改在播场次</x:v>
      </x:c>
      <x:c r="H145" s="4" t="str">
        <x:v>门票开关不改在播场次</x:v>
      </x:c>
      <x:c r="I145" s="4" t="str">
        <x:v>1. 执行身份为主播
2. 本场门票房正在直播
3. 平台已关闭门票房功能
4. 执行账号已登录</x:v>
      </x:c>
      <x:c r="J145" s="4" t="str">
        <x:v>1. 查看当前主播直播页面</x:v>
      </x:c>
      <x:c r="K145" s="4" t="str">
        <x:v>本场仍为门票房直播中</x:v>
      </x:c>
      <x:c r="L145" s="4" t="str"/>
      <x:c r="M145" s="4" t="str">
        <x:v>未测</x:v>
      </x:c>
      <x:c r="N145" s="4" t="str"/>
      <x:c r="O145" s="4" t="str">
        <x:v>1. 来源（当前证据）：MainBasis/统一需求文档.md；位置：A-admin-feature-switch-005，第8296行、U-live-room-host-001，第5784行
2. 规则：BR-MB-592F976F8C9843
3. 未动态验证</x:v>
      </x:c>
    </x:row>
    <x:row r="146" ht="96" customHeight="1">
      <x:c r="A146" s="4" t="n">
        <x:v>145</x:v>
      </x:c>
      <x:c r="B146" s="4" t="str">
        <x:v>UMB-0145</x:v>
      </x:c>
      <x:c r="C146" s="4" t="str">
        <x:v>M06 开播·房型·观看·连麦与房内管理</x:v>
      </x:c>
      <x:c r="D146" s="4" t="str">
        <x:v>直播间-观众（观众视角）</x:v>
      </x:c>
      <x:c r="E146" s="4" t="str">
        <x:v>功能需求</x:v>
      </x:c>
      <x:c r="F146" s="4" t="str">
        <x:v>P0</x:v>
      </x:c>
      <x:c r="G146" s="4" t="str">
        <x:v>验证观众在直播间-观众的普通房进入</x:v>
      </x:c>
      <x:c r="H146" s="4" t="str">
        <x:v>普通房进入</x:v>
      </x:c>
      <x:c r="I146" s="4" t="str">
        <x:v>1. 执行身份为观众
2. 账号正常
3. 与主播无拉黑关系且未被本场踢出
4. 主播在普通房直播
5. 执行账号已登录</x:v>
      </x:c>
      <x:c r="J146" s="4" t="str">
        <x:v>1. 进入该主播当前直播间</x:v>
      </x:c>
      <x:c r="K146" s="4" t="str">
        <x:v>直接展示直播内容</x:v>
      </x:c>
      <x:c r="L146" s="4" t="str"/>
      <x:c r="M146" s="4" t="str">
        <x:v>未测</x:v>
      </x:c>
      <x:c r="N146" s="4" t="str"/>
      <x:c r="O146" s="4" t="str">
        <x:v>1. 来源（当前证据）：MainBasis/统一需求文档.md；位置：U-live-room-012，第5126行
2. 规则：BR-MB-6E25453DE12014
3. 未动态验证</x:v>
      </x:c>
    </x:row>
    <x:row r="147" ht="82" customHeight="1">
      <x:c r="A147" s="4" t="n">
        <x:v>146</x:v>
      </x:c>
      <x:c r="B147" s="4" t="str">
        <x:v>UMB-0146</x:v>
      </x:c>
      <x:c r="C147" s="4" t="str">
        <x:v>M06 开播·房型·观看·连麦与房内管理</x:v>
      </x:c>
      <x:c r="D147" s="4" t="str">
        <x:v>直播间-观众（观众视角）</x:v>
      </x:c>
      <x:c r="E147" s="4" t="str">
        <x:v>异常用例</x:v>
      </x:c>
      <x:c r="F147" s="4" t="str">
        <x:v>P1</x:v>
      </x:c>
      <x:c r="G147" s="4" t="str">
        <x:v>验证观众在直播间-观众的拉黑准入</x:v>
      </x:c>
      <x:c r="H147" s="4" t="str">
        <x:v>拉黑准入</x:v>
      </x:c>
      <x:c r="I147" s="4" t="str">
        <x:v>1. 执行身份为观众
2. 账号正常
3. 与主播存在账号拉黑关系
4. 主播正在直播
5. 执行账号已登录</x:v>
      </x:c>
      <x:c r="J147" s="4" t="str">
        <x:v>1. 进入该主播当前直播间</x:v>
      </x:c>
      <x:c r="K147" s="4" t="str">
        <x:v>显示访问受限拦截</x:v>
      </x:c>
      <x:c r="L147" s="4" t="str"/>
      <x:c r="M147" s="4" t="str">
        <x:v>未测</x:v>
      </x:c>
      <x:c r="N147" s="4" t="str"/>
      <x:c r="O147" s="4" t="str">
        <x:v>1. 来源（当前证据）：MainBasis/统一需求文档.md；位置：U-live-room-014，第5134行
2. 规则：BR-MB-EB940F905E09F0
3. 未动态验证</x:v>
      </x:c>
    </x:row>
    <x:row r="148" ht="82" customHeight="1">
      <x:c r="A148" s="4" t="n">
        <x:v>147</x:v>
      </x:c>
      <x:c r="B148" s="4" t="str">
        <x:v>UMB-0147</x:v>
      </x:c>
      <x:c r="C148" s="4" t="str">
        <x:v>M06 开播·房型·观看·连麦与房内管理</x:v>
      </x:c>
      <x:c r="D148" s="4" t="str">
        <x:v>直播间-观众（观众视角）</x:v>
      </x:c>
      <x:c r="E148" s="4" t="str">
        <x:v>功能需求</x:v>
      </x:c>
      <x:c r="F148" s="4" t="str">
        <x:v>P1</x:v>
      </x:c>
      <x:c r="G148" s="4" t="str">
        <x:v>验证观众在直播间-观众的门票同场重进</x:v>
      </x:c>
      <x:c r="H148" s="4" t="str">
        <x:v>门票同场重进</x:v>
      </x:c>
      <x:c r="I148" s="4" t="str">
        <x:v>1. 执行身份为观众
2. 已购买当前场次门票且未被踢出
3. 当前场次仍在直播
4. 执行账号已登录</x:v>
      </x:c>
      <x:c r="J148" s="4" t="str">
        <x:v>1. 退出直播间
2. 重新进入同一直播场次</x:v>
      </x:c>
      <x:c r="K148" s="4" t="str">
        <x:v>金币余额不因重进再次扣减</x:v>
      </x:c>
      <x:c r="L148" s="4" t="str"/>
      <x:c r="M148" s="4" t="str">
        <x:v>未测</x:v>
      </x:c>
      <x:c r="N148" s="4" t="str"/>
      <x:c r="O148" s="4" t="str">
        <x:v>1. 来源（当前证据）：MainBasis/统一需求文档.md；位置：U-live-room-009，第5112行
2. 规则：BR-MB-63BBE5C8CFFFAB
3. 未动态验证</x:v>
      </x:c>
    </x:row>
    <x:row r="149" ht="110" customHeight="1">
      <x:c r="A149" s="4" t="n">
        <x:v>148</x:v>
      </x:c>
      <x:c r="B149" s="4" t="str">
        <x:v>UMB-0148</x:v>
      </x:c>
      <x:c r="C149" s="4" t="str">
        <x:v>M06 开播·房型·观看·连麦与房内管理</x:v>
      </x:c>
      <x:c r="D149" s="4" t="str">
        <x:v>直播间-观众（观众视角）</x:v>
      </x:c>
      <x:c r="E149" s="4" t="str">
        <x:v>功能需求</x:v>
      </x:c>
      <x:c r="F149" s="4" t="str">
        <x:v>P1</x:v>
      </x:c>
      <x:c r="G149" s="4" t="str">
        <x:v>验证观众在直播间-观众的同场重进保留禁言</x:v>
      </x:c>
      <x:c r="H149" s="4" t="str">
        <x:v>同场重进保留禁言</x:v>
      </x:c>
      <x:c r="I149" s="4" t="str">
        <x:v>1. 执行身份为观众
2. 当前场次被禁言后离开
3. 场次仍在直播
4. 执行账号已登录</x:v>
      </x:c>
      <x:c r="J149" s="4" t="str">
        <x:v>1. 重新进入同一场次
2. 查看评论输入框</x:v>
      </x:c>
      <x:c r="K149" s="4" t="str">
        <x:v>本场禁言仍然生效</x:v>
      </x:c>
      <x:c r="L149" s="4" t="str"/>
      <x:c r="M149" s="4" t="str">
        <x:v>未测</x:v>
      </x:c>
      <x:c r="N149" s="4" t="str"/>
      <x:c r="O149" s="4" t="str">
        <x:v>1. 来源（当前证据）：MainBasis/统一需求文档.md；位置：U-views_live-room-host_muted-users-006，第5996行、U-views_live-room_comment-muted-004，第5328行、U-live-room-001，第5078行
2. 规则：BR-MB-28286D1717371C
3. 未动态验证</x:v>
      </x:c>
    </x:row>
    <x:row r="150" ht="110" customHeight="1">
      <x:c r="A150" s="4" t="n">
        <x:v>149</x:v>
      </x:c>
      <x:c r="B150" s="4" t="str">
        <x:v>UMB-0149</x:v>
      </x:c>
      <x:c r="C150" s="4" t="str">
        <x:v>M06 开播·房型·观看·连麦与房内管理</x:v>
      </x:c>
      <x:c r="D150" s="4" t="str">
        <x:v>直播间-观众（观众视角）</x:v>
      </x:c>
      <x:c r="E150" s="4" t="str">
        <x:v>功能需求</x:v>
      </x:c>
      <x:c r="F150" s="4" t="str">
        <x:v>P1</x:v>
      </x:c>
      <x:c r="G150" s="4" t="str">
        <x:v>验证观众在直播间-观众的密码修改后重进</x:v>
      </x:c>
      <x:c r="H150" s="4" t="str">
        <x:v>密码修改后重进</x:v>
      </x:c>
      <x:c r="I150" s="4" t="str">
        <x:v>1. 执行身份为观众
2. 曾使用密码1234进入
3. 主播已经将本场密码改为5678
4. 当前观众已离开
5. 执行账号已登录</x:v>
      </x:c>
      <x:c r="J150" s="4" t="str">
        <x:v>1. 重新进入该密码房
2. 输入密码1234
3. 点击确认</x:v>
      </x:c>
      <x:c r="K150" s="4" t="str">
        <x:v>提示“密码错误，请重新输入”</x:v>
      </x:c>
      <x:c r="L150" s="4" t="str"/>
      <x:c r="M150" s="4" t="str">
        <x:v>未测</x:v>
      </x:c>
      <x:c r="N150" s="4" t="str"/>
      <x:c r="O150" s="4" t="str">
        <x:v>1. 来源（当前证据）：MainBasis/统一需求文档.md；位置：U-live-room-host-password-006，第6302行、U-views_live-room_password-room-restricted-003，第5348行、U-live-room-001，第5078行
2. 规则：BR-MB-C8627D2C8545B3
3. 未动态验证</x:v>
      </x:c>
    </x:row>
    <x:row r="151" ht="82" customHeight="1">
      <x:c r="A151" s="4" t="n">
        <x:v>150</x:v>
      </x:c>
      <x:c r="B151" s="4" t="str">
        <x:v>UMB-0150</x:v>
      </x:c>
      <x:c r="C151" s="4" t="str">
        <x:v>M06 开播·房型·观看·连麦与房内管理</x:v>
      </x:c>
      <x:c r="D151" s="4" t="str">
        <x:v>直播间-观众（观众视角）</x:v>
      </x:c>
      <x:c r="E151" s="4" t="str">
        <x:v>功能需求</x:v>
      </x:c>
      <x:c r="F151" s="4" t="str">
        <x:v>P1</x:v>
      </x:c>
      <x:c r="G151" s="4" t="str">
        <x:v>验证观众在直播间-观众的密码修改保留在线</x:v>
      </x:c>
      <x:c r="H151" s="4" t="str">
        <x:v>密码修改保留在线</x:v>
      </x:c>
      <x:c r="I151" s="4" t="str">
        <x:v>1. 执行身份为观众
2. 已通过旧密码在线
3. 主播已修改当前场次密码
4. 执行账号已登录</x:v>
      </x:c>
      <x:c r="J151" s="4" t="str">
        <x:v>1. 查看当前直播画面</x:v>
      </x:c>
      <x:c r="K151" s="4" t="str">
        <x:v>当前观众继续观看直播</x:v>
      </x:c>
      <x:c r="L151" s="4" t="str"/>
      <x:c r="M151" s="4" t="str">
        <x:v>未测</x:v>
      </x:c>
      <x:c r="N151" s="4" t="str"/>
      <x:c r="O151" s="4" t="str">
        <x:v>1. 来源（当前证据）：MainBasis/统一需求文档.md；位置：U-live-room-host-password-006，第6302行、U-live-room-001，第5078行
2. 规则：BR-MB-D583355D21CC7A
3. 未动态验证</x:v>
      </x:c>
    </x:row>
    <x:row r="152" ht="96" customHeight="1">
      <x:c r="A152" s="4" t="n">
        <x:v>151</x:v>
      </x:c>
      <x:c r="B152" s="4" t="str">
        <x:v>UMB-0151</x:v>
      </x:c>
      <x:c r="C152" s="4" t="str">
        <x:v>M06 开播·房型·观看·连麦与房内管理</x:v>
      </x:c>
      <x:c r="D152" s="4" t="str">
        <x:v>直播间-观众（观众视角）</x:v>
      </x:c>
      <x:c r="E152" s="4" t="str">
        <x:v>功能需求</x:v>
      </x:c>
      <x:c r="F152" s="4" t="str">
        <x:v>P1</x:v>
      </x:c>
      <x:c r="G152" s="4" t="str">
        <x:v>验证观众在直播间-观众的停用档位保留在播价格</x:v>
      </x:c>
      <x:c r="H152" s="4" t="str">
        <x:v>停用档位保留在播价格</x:v>
      </x:c>
      <x:c r="I152" s="4" t="str">
        <x:v>1. 执行身份为观众
2. 本场门票价格100金币且正在直播
3. 平台已停用100金币价格档
4. 本人尚未购票
5. 执行账号已登录</x:v>
      </x:c>
      <x:c r="J152" s="4" t="str">
        <x:v>1. 进入该场次购票入口</x:v>
      </x:c>
      <x:c r="K152" s="4" t="str">
        <x:v>本场票价仍显示100金币</x:v>
      </x:c>
      <x:c r="L152" s="4" t="str"/>
      <x:c r="M152" s="4" t="str">
        <x:v>未测</x:v>
      </x:c>
      <x:c r="N152" s="4" t="str"/>
      <x:c r="O152" s="4" t="str">
        <x:v>1. 来源（当前证据）：MainBasis/统一需求文档.md；位置：A-admin-ticket-price-level-006，第8338行、U-live-room-001，第5078行
2. 规则：BR-MB-7ED9F66280F182
3. 未动态验证</x:v>
      </x:c>
    </x:row>
    <x:row r="153" ht="110" customHeight="1">
      <x:c r="A153" s="4" t="n">
        <x:v>152</x:v>
      </x:c>
      <x:c r="B153" s="4" t="str">
        <x:v>UMB-0152</x:v>
      </x:c>
      <x:c r="C153" s="4" t="str">
        <x:v>M06 开播·房型·观看·连麦与房内管理</x:v>
      </x:c>
      <x:c r="D153" s="4" t="str">
        <x:v>直播间-观众（观众视角）</x:v>
      </x:c>
      <x:c r="E153" s="4" t="str">
        <x:v>逻辑校验</x:v>
      </x:c>
      <x:c r="F153" s="4" t="str">
        <x:v>P1</x:v>
      </x:c>
      <x:c r="G153" s="4" t="str">
        <x:v>验证观众在直播间-观众的幸运返奖到账</x:v>
      </x:c>
      <x:c r="H153" s="4" t="str">
        <x:v>幸运返奖到账</x:v>
      </x:c>
      <x:c r="I153" s="4" t="str">
        <x:v>1. 观众已登录
2. 赠送前余额100金币
3. 本笔幸运赠礼价值100金币已成功
4. 本笔实际返奖150金币已到账
5. 无其他余额变化</x:v>
      </x:c>
      <x:c r="J153" s="4" t="str">
        <x:v>1. 进入直播间-观众
2. 查看金币余额</x:v>
      </x:c>
      <x:c r="K153" s="4" t="str">
        <x:v>金币余额计算结果 = 100 + (-100) + 150 = 150 金币</x:v>
      </x:c>
      <x:c r="L153" s="4" t="str"/>
      <x:c r="M153" s="4" t="str">
        <x:v>未测</x:v>
      </x:c>
      <x:c r="N153" s="4" t="str"/>
      <x:c r="O153" s="4" t="str">
        <x:v>1. 来源（当前证据）：MainBasis/统一需求文档.md；位置：U-views_live-room_gift-003，第5162行、U-views_live-room_gift-005，第5172行、A-admin-lucky-gift-config-009，第7638行、U-live-room-001，第5078行
2. 规则：BR-MB-5FDAF1936A59FA
3. 未动态验证</x:v>
      </x:c>
    </x:row>
    <x:row r="154" ht="110" customHeight="1">
      <x:c r="A154" s="4" t="n">
        <x:v>153</x:v>
      </x:c>
      <x:c r="B154" s="4" t="str">
        <x:v>UMB-0153</x:v>
      </x:c>
      <x:c r="C154" s="4" t="str">
        <x:v>M06 开播·房型·观看·连麦与房内管理</x:v>
      </x:c>
      <x:c r="D154" s="4" t="str">
        <x:v>直播间-观众（观众视角）</x:v>
      </x:c>
      <x:c r="E154" s="4" t="str">
        <x:v>逻辑校验</x:v>
      </x:c>
      <x:c r="F154" s="4" t="str">
        <x:v>P1</x:v>
      </x:c>
      <x:c r="G154" s="4" t="str">
        <x:v>验证观众在直播间-观众的普通礼物成功扣币</x:v>
      </x:c>
      <x:c r="H154" s="4" t="str">
        <x:v>普通礼物成功扣币</x:v>
      </x:c>
      <x:c r="I154" s="4" t="str">
        <x:v>1. 观众已登录
2. 初始金币余额100
3. 所选上架普通礼物单价10金币、赠送数量1
4. 本场直播中且无送礼限制</x:v>
      </x:c>
      <x:c r="J154" s="4" t="str">
        <x:v>1. 进入当前直播间
2. 打开礼物面板
3. 选择单价10金币的普通礼物
4. 选择数量1
5. 点击赠送
6. 查看金币余额</x:v>
      </x:c>
      <x:c r="K154" s="4" t="str">
        <x:v>金币余额计算结果 = 100 - 10 = 90 金币</x:v>
      </x:c>
      <x:c r="L154" s="4" t="str"/>
      <x:c r="M154" s="4" t="str">
        <x:v>未测</x:v>
      </x:c>
      <x:c r="N154" s="4" t="str"/>
      <x:c r="O154" s="4" t="str">
        <x:v>1. 来源（当前证据）：MainBasis/统一需求文档.md；位置：U-views_live-room_gift-008，第5184行、U-views_live-room_gift-009，第5190行、U-views_live-room_gift-010，第5194行、U-live-room-001，第5078行
2. 规则：BR-MB-84C5DA12075894
3. 未动态验证</x:v>
      </x:c>
    </x:row>
    <x:row r="155" ht="96" customHeight="1">
      <x:c r="A155" s="4" t="n">
        <x:v>154</x:v>
      </x:c>
      <x:c r="B155" s="4" t="str">
        <x:v>UMB-0154</x:v>
      </x:c>
      <x:c r="C155" s="4" t="str">
        <x:v>M06 开播·房型·观看·连麦与房内管理</x:v>
      </x:c>
      <x:c r="D155" s="4" t="str">
        <x:v>直播间-观众（运营账号视角）</x:v>
      </x:c>
      <x:c r="E155" s="4" t="str">
        <x:v>功能需求</x:v>
      </x:c>
      <x:c r="F155" s="4" t="str">
        <x:v>P1</x:v>
      </x:c>
      <x:c r="G155" s="4" t="str">
        <x:v>验证运营账号在直播间-观众的运营账号免门票</x:v>
      </x:c>
      <x:c r="H155" s="4" t="str">
        <x:v>运营账号免门票</x:v>
      </x:c>
      <x:c r="I155" s="4" t="str">
        <x:v>1. 执行身份为运营账号
2. 账号有效且具备当前房间准入资格
3. 本场为门票房
4. 执行账号已登录</x:v>
      </x:c>
      <x:c r="J155" s="4" t="str">
        <x:v>1. 进入该门票房</x:v>
      </x:c>
      <x:c r="K155" s="4" t="str">
        <x:v>无需购买门票即可观看</x:v>
      </x:c>
      <x:c r="L155" s="4" t="str"/>
      <x:c r="M155" s="4" t="str">
        <x:v>未测</x:v>
      </x:c>
      <x:c r="N155" s="4" t="str"/>
      <x:c r="O155" s="4" t="str">
        <x:v>1. 来源（当前证据）：MainBasis/统一需求文档.md；位置：A-admin-operation-account-detail-007，第8798行、U-live-room-001，第5078行
2. 规则：BR-MB-A80623FCF79039
3. 未动态验证</x:v>
      </x:c>
    </x:row>
    <x:row r="156" ht="96" customHeight="1">
      <x:c r="A156" s="4" t="n">
        <x:v>155</x:v>
      </x:c>
      <x:c r="B156" s="4" t="str">
        <x:v>UMB-0155</x:v>
      </x:c>
      <x:c r="C156" s="4" t="str">
        <x:v>M06 开播·房型·观看·连麦与房内管理</x:v>
      </x:c>
      <x:c r="D156" s="4" t="str">
        <x:v>直播间-观众（运营账号视角）</x:v>
      </x:c>
      <x:c r="E156" s="4" t="str">
        <x:v>功能需求</x:v>
      </x:c>
      <x:c r="F156" s="4" t="str">
        <x:v>P1</x:v>
      </x:c>
      <x:c r="G156" s="4" t="str">
        <x:v>验证运营账号在直播间-观众的运营账号免密码</x:v>
      </x:c>
      <x:c r="H156" s="4" t="str">
        <x:v>运营账号免密码</x:v>
      </x:c>
      <x:c r="I156" s="4" t="str">
        <x:v>1. 执行身份为运营账号
2. 账号有效且具备当前房间准入资格
3. 本场为密码房
4. 执行账号已登录</x:v>
      </x:c>
      <x:c r="J156" s="4" t="str">
        <x:v>1. 进入该密码房</x:v>
      </x:c>
      <x:c r="K156" s="4" t="str">
        <x:v>无需输入密码即可观看</x:v>
      </x:c>
      <x:c r="L156" s="4" t="str"/>
      <x:c r="M156" s="4" t="str">
        <x:v>未测</x:v>
      </x:c>
      <x:c r="N156" s="4" t="str"/>
      <x:c r="O156" s="4" t="str">
        <x:v>1. 来源（当前证据）：MainBasis/统一需求文档.md；位置：A-admin-operation-account-detail-007，第8798行、U-live-room-001，第5078行
2. 规则：BR-MB-650126ACA87D5A
3. 未动态验证</x:v>
      </x:c>
    </x:row>
    <x:row r="157" ht="82" customHeight="1">
      <x:c r="A157" s="4" t="n">
        <x:v>156</x:v>
      </x:c>
      <x:c r="B157" s="4" t="str">
        <x:v>UMB-0156</x:v>
      </x:c>
      <x:c r="C157" s="4" t="str">
        <x:v>M06 开播·房型·观看·连麦与房内管理</x:v>
      </x:c>
      <x:c r="D157" s="4" t="str">
        <x:v>直播间-连麦中-主播（主播视角）</x:v>
      </x:c>
      <x:c r="E157" s="4" t="str">
        <x:v>功能需求</x:v>
      </x:c>
      <x:c r="F157" s="4" t="str">
        <x:v>P2</x:v>
      </x:c>
      <x:c r="G157" s="4" t="str">
        <x:v>验证主播在直播间-连麦中-主播的取消退出连麦</x:v>
      </x:c>
      <x:c r="H157" s="4" t="str">
        <x:v>取消退出连麦</x:v>
      </x:c>
      <x:c r="I157" s="4" t="str">
        <x:v>1. 执行身份为主播
2. 正在与另一位主播连麦
3. 执行账号已登录</x:v>
      </x:c>
      <x:c r="J157" s="4" t="str">
        <x:v>1. 点击退出连麦
2. 点击取消</x:v>
      </x:c>
      <x:c r="K157" s="4" t="str">
        <x:v>双方仍处于连麦状态</x:v>
      </x:c>
      <x:c r="L157" s="4" t="str"/>
      <x:c r="M157" s="4" t="str">
        <x:v>未测</x:v>
      </x:c>
      <x:c r="N157" s="4" t="str"/>
      <x:c r="O157" s="4" t="str">
        <x:v>1. 来源（当前证据）：MainBasis/统一需求文档.md；位置：U-live-room-cohost-active-009，第6416行
2. 规则：BR-MB-D28F1BB32C549D
3. 未动态验证</x:v>
      </x:c>
    </x:row>
    <x:row r="158" ht="96" customHeight="1">
      <x:c r="A158" s="4" t="n">
        <x:v>157</x:v>
      </x:c>
      <x:c r="B158" s="4" t="str">
        <x:v>UMB-0157</x:v>
      </x:c>
      <x:c r="C158" s="4" t="str">
        <x:v>M06 开播·房型·观看·连麦与房内管理</x:v>
      </x:c>
      <x:c r="D158" s="4" t="str">
        <x:v>礼物（用户视角）</x:v>
      </x:c>
      <x:c r="E158" s="4" t="str">
        <x:v>功能需求</x:v>
      </x:c>
      <x:c r="F158" s="4" t="str">
        <x:v>P1</x:v>
      </x:c>
      <x:c r="G158" s="4" t="str">
        <x:v>验证用户在礼物的停用赠送数量规则</x:v>
      </x:c>
      <x:c r="H158" s="4" t="str">
        <x:v>停用赠送数量规则</x:v>
      </x:c>
      <x:c r="I158" s="4" t="str">
        <x:v>1. 执行身份为用户
2. 普通礼物原关联1、10数量档
3. 平台已停用该数量规则
4. 执行账号已登录</x:v>
      </x:c>
      <x:c r="J158" s="4" t="str">
        <x:v>1. 进入直播间
2. 打开礼物面板
3. 选择该礼物</x:v>
      </x:c>
      <x:c r="K158" s="4" t="str">
        <x:v>赠送数量只支持1</x:v>
      </x:c>
      <x:c r="L158" s="4" t="str"/>
      <x:c r="M158" s="4" t="str">
        <x:v>未测</x:v>
      </x:c>
      <x:c r="N158" s="4" t="str"/>
      <x:c r="O158" s="4" t="str">
        <x:v>1. 来源（当前证据）：MainBasis/统一需求文档.md；位置：A-admin-gift-send-count-rules-007，第7848行、U-views_live-room_gift-001，第5154行
2. 规则：BR-MB-7EB0579E437117
3. 未动态验证</x:v>
      </x:c>
    </x:row>
    <x:row r="159" ht="82" customHeight="1">
      <x:c r="A159" s="4" t="n">
        <x:v>158</x:v>
      </x:c>
      <x:c r="B159" s="4" t="str">
        <x:v>UMB-0158</x:v>
      </x:c>
      <x:c r="C159" s="4" t="str">
        <x:v>M06 开播·房型·观看·连麦与房内管理</x:v>
      </x:c>
      <x:c r="D159" s="4" t="str">
        <x:v>礼物（观众视角）</x:v>
      </x:c>
      <x:c r="E159" s="4" t="str">
        <x:v>功能需求</x:v>
      </x:c>
      <x:c r="F159" s="4" t="str">
        <x:v>P1</x:v>
      </x:c>
      <x:c r="G159" s="4" t="str">
        <x:v>验证观众在礼物的余额不足不扣币</x:v>
      </x:c>
      <x:c r="H159" s="4" t="str">
        <x:v>余额不足不扣币</x:v>
      </x:c>
      <x:c r="I159" s="4" t="str">
        <x:v>1. 执行身份为观众
2. 金币余额0
3. 所选普通礼物价格大于0
4. 执行账号已登录</x:v>
      </x:c>
      <x:c r="J159" s="4" t="str">
        <x:v>1. 进入直播间
2. 打开礼物面板
3. 选择该普通礼物
4. 点击赠送</x:v>
      </x:c>
      <x:c r="K159" s="4" t="str">
        <x:v>金币余额保持0</x:v>
      </x:c>
      <x:c r="L159" s="4" t="str"/>
      <x:c r="M159" s="4" t="str">
        <x:v>未测</x:v>
      </x:c>
      <x:c r="N159" s="4" t="str"/>
      <x:c r="O159" s="4" t="str">
        <x:v>1. 来源（当前证据）：MainBasis/统一需求文档.md；位置：U-views_live-room_gift-008，第5184行
2. 规则：BR-MB-9A32EF11B8A07A
3. 未动态验证</x:v>
      </x:c>
    </x:row>
    <x:row r="160" ht="124" customHeight="1">
      <x:c r="A160" s="4" t="n">
        <x:v>159</x:v>
      </x:c>
      <x:c r="B160" s="4" t="str">
        <x:v>UMB-0159</x:v>
      </x:c>
      <x:c r="C160" s="4" t="str">
        <x:v>M06 开播·房型·观看·连麦与房内管理</x:v>
      </x:c>
      <x:c r="D160" s="4" t="str">
        <x:v>礼物（观众视角）</x:v>
      </x:c>
      <x:c r="E160" s="4" t="str">
        <x:v>业务流程</x:v>
      </x:c>
      <x:c r="F160" s="4" t="str">
        <x:v>P1</x:v>
      </x:c>
      <x:c r="G160" s="4" t="str">
        <x:v>验证观众在礼物的下架礼物停止赠送</x:v>
      </x:c>
      <x:c r="H160" s="4" t="str">
        <x:v>下架礼物停止赠送</x:v>
      </x:c>
      <x:c r="I160" s="4" t="str">
        <x:v>1. 执行身份为观众
2. 当前普通礼物已被平台下架
3. 现有直播场次准入正常
4. 执行账号已登录</x:v>
      </x:c>
      <x:c r="J160" s="4" t="str">
        <x:v>1. 进入直播间
2. 打开礼物面板</x:v>
      </x:c>
      <x:c r="K160" s="4" t="str">
        <x:v>该已下架礼物不可赠送</x:v>
      </x:c>
      <x:c r="L160" s="4" t="str">
        <x:v>MBF-256BEA0D</x:v>
      </x:c>
      <x:c r="M160" s="4" t="str">
        <x:v>未测</x:v>
      </x:c>
      <x:c r="N160" s="4" t="str"/>
      <x:c r="O160" s="4" t="str">
        <x:v>1. 来源（当前证据）：MainBasis/统一需求文档.md；位置：U-views_live-room_gift-004，第5168行、D-SYS-132，第686行
2. 规则：BR-MB-17717B7C55D371
3. 未动态验证
4. 共同对象：普通礼物；阶段：下架礼物停止赠送
5. 状态转换：MBT-119B7B363A95；上架→下架</x:v>
      </x:c>
    </x:row>
    <x:row r="161" ht="82" customHeight="1">
      <x:c r="A161" s="4" t="n">
        <x:v>160</x:v>
      </x:c>
      <x:c r="B161" s="4" t="str">
        <x:v>UMB-0160</x:v>
      </x:c>
      <x:c r="C161" s="4" t="str">
        <x:v>M06 开播·房型·观看·连麦与房内管理</x:v>
      </x:c>
      <x:c r="D161" s="4" t="str">
        <x:v>礼物（运营账号视角）</x:v>
      </x:c>
      <x:c r="E161" s="4" t="str">
        <x:v>功能需求</x:v>
      </x:c>
      <x:c r="F161" s="4" t="str">
        <x:v>P1</x:v>
      </x:c>
      <x:c r="G161" s="4" t="str">
        <x:v>验证运营账号在礼物的运营金币不足</x:v>
      </x:c>
      <x:c r="H161" s="4" t="str">
        <x:v>运营金币不足</x:v>
      </x:c>
      <x:c r="I161" s="4" t="str">
        <x:v>1. 执行身份为运营账号
2. 当前虚拟金币余额不足以支付所选普通礼物
3. 执行账号已登录</x:v>
      </x:c>
      <x:c r="J161" s="4" t="str">
        <x:v>1. 进入直播间
2. 打开礼物面板
3. 选择该普通礼物
4. 点击赠送</x:v>
      </x:c>
      <x:c r="K161" s="4" t="str">
        <x:v>提示联系公会发放虚拟金币</x:v>
      </x:c>
      <x:c r="L161" s="4" t="str"/>
      <x:c r="M161" s="4" t="str">
        <x:v>未测</x:v>
      </x:c>
      <x:c r="N161" s="4" t="str"/>
      <x:c r="O161" s="4" t="str">
        <x:v>1. 来源（当前证据）：MainBasis/统一需求文档.md；位置：U-views_live-room_gift-011，第5198行
2. 规则：BR-MB-85D264D4470BDD
3. 未动态验证</x:v>
      </x:c>
    </x:row>
    <x:row r="162" ht="82" customHeight="1">
      <x:c r="A162" s="4" t="n">
        <x:v>161</x:v>
      </x:c>
      <x:c r="B162" s="4" t="str">
        <x:v>UMB-0161</x:v>
      </x:c>
      <x:c r="C162" s="4" t="str">
        <x:v>M06 开播·房型·观看·连麦与房内管理</x:v>
      </x:c>
      <x:c r="D162" s="4" t="str">
        <x:v>被禁言（观众视角）</x:v>
      </x:c>
      <x:c r="E162" s="4" t="str">
        <x:v>异常用例</x:v>
      </x:c>
      <x:c r="F162" s="4" t="str">
        <x:v>P1</x:v>
      </x:c>
      <x:c r="G162" s="4" t="str">
        <x:v>验证观众在被禁言的本场禁言输入限制</x:v>
      </x:c>
      <x:c r="H162" s="4" t="str">
        <x:v>本场禁言输入限制</x:v>
      </x:c>
      <x:c r="I162" s="4" t="str">
        <x:v>1. 执行身份为观众
2. 当前场次被主播禁言且尚未解除
3. 执行账号已登录</x:v>
      </x:c>
      <x:c r="J162" s="4" t="str">
        <x:v>1. 查看直播间评论输入框</x:v>
      </x:c>
      <x:c r="K162" s="4" t="str">
        <x:v>评论输入框不可提交</x:v>
      </x:c>
      <x:c r="L162" s="4" t="str"/>
      <x:c r="M162" s="4" t="str">
        <x:v>未测</x:v>
      </x:c>
      <x:c r="N162" s="4" t="str"/>
      <x:c r="O162" s="4" t="str">
        <x:v>1. 来源（当前证据）：MainBasis/统一需求文档.md；位置：U-views_live-room_comment-muted-004，第5328行
2. 规则：BR-MB-A069200219001F
3. 未动态验证</x:v>
      </x:c>
    </x:row>
    <x:row r="163" ht="82" customHeight="1">
      <x:c r="A163" s="4" t="n">
        <x:v>162</x:v>
      </x:c>
      <x:c r="B163" s="4" t="str">
        <x:v>UMB-0162</x:v>
      </x:c>
      <x:c r="C163" s="4" t="str">
        <x:v>M06 开播·房型·观看·连麦与房内管理</x:v>
      </x:c>
      <x:c r="D163" s="4" t="str">
        <x:v>被禁言（观众视角）</x:v>
      </x:c>
      <x:c r="E163" s="4" t="str">
        <x:v>功能需求</x:v>
      </x:c>
      <x:c r="F163" s="4" t="str">
        <x:v>P1</x:v>
      </x:c>
      <x:c r="G163" s="4" t="str">
        <x:v>验证观众在被禁言的下一场恢复发言</x:v>
      </x:c>
      <x:c r="H163" s="4" t="str">
        <x:v>下一场恢复发言</x:v>
      </x:c>
      <x:c r="I163" s="4" t="str">
        <x:v>1. 执行身份为观众
2. 上一场被禁言且未解除
3. 同一主播已开启新场次
4. 当前准入正常
5. 执行账号已登录</x:v>
      </x:c>
      <x:c r="J163" s="4" t="str">
        <x:v>1. 进入新场次
2. 输入评论你好
3. 点击发送</x:v>
      </x:c>
      <x:c r="K163" s="4" t="str">
        <x:v>评论在新场次公屏显示</x:v>
      </x:c>
      <x:c r="L163" s="4" t="str"/>
      <x:c r="M163" s="4" t="str">
        <x:v>未测</x:v>
      </x:c>
      <x:c r="N163" s="4" t="str"/>
      <x:c r="O163" s="4" t="str">
        <x:v>1. 来源（当前证据）：MainBasis/统一需求文档.md；位置：U-views_live-room_comment-muted-003，第5322行
2. 规则：BR-MB-0DC6C80673B7BB
3. 未动态验证</x:v>
      </x:c>
    </x:row>
    <x:row r="164" ht="82" customHeight="1">
      <x:c r="A164" s="4" t="n">
        <x:v>163</x:v>
      </x:c>
      <x:c r="B164" s="4" t="str">
        <x:v>UMB-0163</x:v>
      </x:c>
      <x:c r="C164" s="4" t="str">
        <x:v>M06 开播·房型·观看·连麦与房内管理</x:v>
      </x:c>
      <x:c r="D164" s="4" t="str">
        <x:v>观众资料卡-主播（主播视角）</x:v>
      </x:c>
      <x:c r="E164" s="4" t="str">
        <x:v>功能需求</x:v>
      </x:c>
      <x:c r="F164" s="4" t="str">
        <x:v>P1</x:v>
      </x:c>
      <x:c r="G164" s="4" t="str">
        <x:v>验证主播在观众资料卡-主播的巡房人员保护·不显示拉黑</x:v>
      </x:c>
      <x:c r="H164" s="4" t="str">
        <x:v>巡房人员保护·不显示拉黑</x:v>
      </x:c>
      <x:c r="I164" s="4" t="str">
        <x:v>1. 执行身份为主播
2. 目标观众处于有效巡房会话
3. 执行账号已登录</x:v>
      </x:c>
      <x:c r="J164" s="4" t="str">
        <x:v>1. 打开该巡房人员资料卡</x:v>
      </x:c>
      <x:c r="K164" s="4" t="str">
        <x:v>不显示拉黑</x:v>
      </x:c>
      <x:c r="L164" s="4" t="str"/>
      <x:c r="M164" s="4" t="str">
        <x:v>未测</x:v>
      </x:c>
      <x:c r="N164" s="4" t="str"/>
      <x:c r="O164" s="4" t="str">
        <x:v>1. 来源（当前证据）：MainBasis/统一需求文档.md；位置：U-views_live-room-host_profile-host-008，第6054行
2. 规则：BR-MB-1379EF2772528A
3. 未动态验证</x:v>
      </x:c>
    </x:row>
    <x:row r="165" ht="82" customHeight="1">
      <x:c r="A165" s="4" t="n">
        <x:v>164</x:v>
      </x:c>
      <x:c r="B165" s="4" t="str">
        <x:v>UMB-0164</x:v>
      </x:c>
      <x:c r="C165" s="4" t="str">
        <x:v>M06 开播·房型·观看·连麦与房内管理</x:v>
      </x:c>
      <x:c r="D165" s="4" t="str">
        <x:v>观众资料卡-主播（主播视角）</x:v>
      </x:c>
      <x:c r="E165" s="4" t="str">
        <x:v>功能需求</x:v>
      </x:c>
      <x:c r="F165" s="4" t="str">
        <x:v>P1</x:v>
      </x:c>
      <x:c r="G165" s="4" t="str">
        <x:v>验证主播在观众资料卡-主播的巡房人员保护·不显示踢出操作</x:v>
      </x:c>
      <x:c r="H165" s="4" t="str">
        <x:v>巡房人员保护·不显示踢出操作</x:v>
      </x:c>
      <x:c r="I165" s="4" t="str">
        <x:v>1. 执行身份为主播
2. 目标观众处于有效巡房会话
3. 执行账号已登录</x:v>
      </x:c>
      <x:c r="J165" s="4" t="str">
        <x:v>1. 打开该巡房人员资料卡</x:v>
      </x:c>
      <x:c r="K165" s="4" t="str">
        <x:v>不显示踢出操作</x:v>
      </x:c>
      <x:c r="L165" s="4" t="str"/>
      <x:c r="M165" s="4" t="str">
        <x:v>未测</x:v>
      </x:c>
      <x:c r="N165" s="4" t="str"/>
      <x:c r="O165" s="4" t="str">
        <x:v>1. 来源（当前证据）：MainBasis/统一需求文档.md；位置：U-views_live-room-host_profile-host-008，第6054行
2. 规则：BR-MB-A0C45D3F799BA3
3. 未动态验证</x:v>
      </x:c>
    </x:row>
    <x:row r="166" ht="110" customHeight="1">
      <x:c r="A166" s="4" t="n">
        <x:v>165</x:v>
      </x:c>
      <x:c r="B166" s="4" t="str">
        <x:v>UMB-0165</x:v>
      </x:c>
      <x:c r="C166" s="4" t="str">
        <x:v>M06 开播·房型·观看·连麦与房内管理</x:v>
      </x:c>
      <x:c r="D166" s="4" t="str">
        <x:v>连麦主播（主播视角）</x:v>
      </x:c>
      <x:c r="E166" s="4" t="str">
        <x:v>功能需求</x:v>
      </x:c>
      <x:c r="F166" s="4" t="str">
        <x:v>P1</x:v>
      </x:c>
      <x:c r="G166" s="4" t="str">
        <x:v>验证主播在连麦主播的单一发出邀请</x:v>
      </x:c>
      <x:c r="H166" s="4" t="str">
        <x:v>单一发出邀请</x:v>
      </x:c>
      <x:c r="I166" s="4" t="str">
        <x:v>1. 执行身份为主播
2. 已向一位主播发送待处理邀请
3. 另一位主播符合连麦条件
4. 执行账号已登录</x:v>
      </x:c>
      <x:c r="J166" s="4" t="str">
        <x:v>1. 打开连麦主播搜索
2. 查询另一位主播
3. 点击该搜索结果</x:v>
      </x:c>
      <x:c r="K166" s="4" t="str">
        <x:v>提示“已有发出请求，请先取消”</x:v>
      </x:c>
      <x:c r="L166" s="4" t="str"/>
      <x:c r="M166" s="4" t="str">
        <x:v>未测</x:v>
      </x:c>
      <x:c r="N166" s="4" t="str"/>
      <x:c r="O166" s="4" t="str">
        <x:v>1. 来源（当前证据）：MainBasis/统一需求文档.md；位置：U-views_live-room-host_cohost-hosts-005，第6138行、U-views_live-room-host_cohost-hosts-search-result-004，第6172行
2. 规则：BR-MB-9965EABBBD93DE
3. 未动态验证</x:v>
      </x:c>
    </x:row>
    <x:row r="167" ht="82" customHeight="1">
      <x:c r="A167" s="4" t="n">
        <x:v>166</x:v>
      </x:c>
      <x:c r="B167" s="4" t="str">
        <x:v>UMB-0166</x:v>
      </x:c>
      <x:c r="C167" s="4" t="str">
        <x:v>M06 开播·房型·观看·连麦与房内管理</x:v>
      </x:c>
      <x:c r="D167" s="4" t="str">
        <x:v>退出连麦确认（主播视角）</x:v>
      </x:c>
      <x:c r="E167" s="4" t="str">
        <x:v>功能需求</x:v>
      </x:c>
      <x:c r="F167" s="4" t="str">
        <x:v>P1</x:v>
      </x:c>
      <x:c r="G167" s="4" t="str">
        <x:v>验证主播在退出连麦确认的退出连麦保留直播</x:v>
      </x:c>
      <x:c r="H167" s="4" t="str">
        <x:v>退出连麦保留直播</x:v>
      </x:c>
      <x:c r="I167" s="4" t="str">
        <x:v>1. 执行身份为主播
2. 正在与另一位主播连麦
3. 执行账号已登录</x:v>
      </x:c>
      <x:c r="J167" s="4" t="str">
        <x:v>1. 点击退出连麦
2. 点击确认</x:v>
      </x:c>
      <x:c r="K167" s="4" t="str">
        <x:v>本人原直播场次仍继续</x:v>
      </x:c>
      <x:c r="L167" s="4" t="str"/>
      <x:c r="M167" s="4" t="str">
        <x:v>未测</x:v>
      </x:c>
      <x:c r="N167" s="4" t="str"/>
      <x:c r="O167" s="4" t="str">
        <x:v>1. 来源（当前证据）：MainBasis/统一需求文档.md；位置：U-views_live-room-cohost-active_cohost-exit-confirm-001，第6442行
2. 规则：BR-MB-D9DB30834CCDD4
3. 未动态验证</x:v>
      </x:c>
    </x:row>
    <x:row r="168" ht="82" customHeight="1">
      <x:c r="A168" s="4" t="n">
        <x:v>167</x:v>
      </x:c>
      <x:c r="B168" s="4" t="str">
        <x:v>UMB-0167</x:v>
      </x:c>
      <x:c r="C168" s="4" t="str">
        <x:v>M06 开播·房型·观看·连麦与房内管理</x:v>
      </x:c>
      <x:c r="D168" s="4" t="str">
        <x:v>选择可见粉丝（主播视角）</x:v>
      </x:c>
      <x:c r="E168" s="4" t="str">
        <x:v>功能需求</x:v>
      </x:c>
      <x:c r="F168" s="4" t="str">
        <x:v>P2</x:v>
      </x:c>
      <x:c r="G168" s="4" t="str">
        <x:v>验证主播在选择可见粉丝的搜索下全选范围</x:v>
      </x:c>
      <x:c r="H168" s="4" t="str">
        <x:v>搜索下全选范围</x:v>
      </x:c>
      <x:c r="I168" s="4" t="str">
        <x:v>1. 执行身份为主播
2. 共有3名有效粉丝，其中仅1名匹配当前搜索条件
3. 执行账号已登录</x:v>
      </x:c>
      <x:c r="J168" s="4" t="str">
        <x:v>1. 进入选择可见粉丝页
2. 输入仅匹配1名粉丝的昵称
3. 点击全选
4. 清空搜索</x:v>
      </x:c>
      <x:c r="K168" s="4" t="str">
        <x:v>3名有效粉丝均被选中</x:v>
      </x:c>
      <x:c r="L168" s="4" t="str"/>
      <x:c r="M168" s="4" t="str">
        <x:v>未测</x:v>
      </x:c>
      <x:c r="N168" s="4" t="str"/>
      <x:c r="O168" s="4" t="str">
        <x:v>1. 来源（当前证据）：MainBasis/统一需求文档.md；位置：U-visible-fan-select-009，第6906行
2. 规则：BR-MB-F391173CAFFBDC
3. 未动态验证</x:v>
      </x:c>
    </x:row>
    <x:row r="169" ht="82" customHeight="1">
      <x:c r="A169" s="4" t="n">
        <x:v>168</x:v>
      </x:c>
      <x:c r="B169" s="4" t="str">
        <x:v>UMB-0168</x:v>
      </x:c>
      <x:c r="C169" s="4" t="str">
        <x:v>M06 开播·房型·观看·连麦与房内管理</x:v>
      </x:c>
      <x:c r="D169" s="4" t="str">
        <x:v>选择可见粉丝（主播视角）</x:v>
      </x:c>
      <x:c r="E169" s="4" t="str">
        <x:v>功能需求</x:v>
      </x:c>
      <x:c r="F169" s="4" t="str">
        <x:v>P2</x:v>
      </x:c>
      <x:c r="G169" s="4" t="str">
        <x:v>验证主播在选择可见粉丝的取消可见名单修改</x:v>
      </x:c>
      <x:c r="H169" s="4" t="str">
        <x:v>取消可见名单修改</x:v>
      </x:c>
      <x:c r="I169" s="4" t="str">
        <x:v>1. 执行身份为主播
2. 已有保存的可见名单
3. 本次增加一名有效粉丝但尚未确认
4. 执行账号已登录</x:v>
      </x:c>
      <x:c r="J169" s="4" t="str">
        <x:v>1. 点击返回
2. 重新打开选择可见粉丝页</x:v>
      </x:c>
      <x:c r="K169" s="4" t="str">
        <x:v>原保存名单保持不变</x:v>
      </x:c>
      <x:c r="L169" s="4" t="str"/>
      <x:c r="M169" s="4" t="str">
        <x:v>未测</x:v>
      </x:c>
      <x:c r="N169" s="4" t="str"/>
      <x:c r="O169" s="4" t="str">
        <x:v>1. 来源（当前证据）：MainBasis/统一需求文档.md；位置：U-visible-fan-select-011，第6914行
2. 规则：BR-MB-ED21FCB5E3B44E
3. 未动态验证</x:v>
      </x:c>
    </x:row>
    <x:row r="170" ht="68" customHeight="1">
      <x:c r="A170" s="4" t="n">
        <x:v>169</x:v>
      </x:c>
      <x:c r="B170" s="4" t="str">
        <x:v>UMB-0169</x:v>
      </x:c>
      <x:c r="C170" s="4" t="str">
        <x:v>M07 金币·充值·消费与客户端账单</x:v>
      </x:c>
      <x:c r="D170" s="4" t="str">
        <x:v>余额充值（用户视角）</x:v>
      </x:c>
      <x:c r="E170" s="4" t="str">
        <x:v>功能需求</x:v>
      </x:c>
      <x:c r="F170" s="4" t="str">
        <x:v>P1</x:v>
      </x:c>
      <x:c r="G170" s="4" t="str">
        <x:v>验证用户在余额充值的充值失败余额</x:v>
      </x:c>
      <x:c r="H170" s="4" t="str">
        <x:v>充值失败余额</x:v>
      </x:c>
      <x:c r="I170" s="4" t="str">
        <x:v>1. 执行身份为用户
2. 当前金币余额100
3. 所选套餐支付返回失败
4. 执行账号已登录</x:v>
      </x:c>
      <x:c r="J170" s="4" t="str">
        <x:v>1. 进入充值页
2. 选择当前可用套餐和渠道
3. 提交支付</x:v>
      </x:c>
      <x:c r="K170" s="4" t="str">
        <x:v>金币余额仍为100</x:v>
      </x:c>
      <x:c r="L170" s="4" t="str"/>
      <x:c r="M170" s="4" t="str">
        <x:v>未测</x:v>
      </x:c>
      <x:c r="N170" s="4" t="str"/>
      <x:c r="O170" s="4" t="str">
        <x:v>1. 来源（当前证据）：MainBasis/统一需求文档.md；位置：U-recharge-005，第6954行
2. 规则：BR-MB-4962306AC403B7
3. 未动态验证</x:v>
      </x:c>
    </x:row>
    <x:row r="171" ht="96" customHeight="1">
      <x:c r="A171" s="4" t="n">
        <x:v>170</x:v>
      </x:c>
      <x:c r="B171" s="4" t="str">
        <x:v>UMB-0170</x:v>
      </x:c>
      <x:c r="C171" s="4" t="str">
        <x:v>M07 金币·充值·消费与客户端账单</x:v>
      </x:c>
      <x:c r="D171" s="4" t="str">
        <x:v>余额充值（用户视角）</x:v>
      </x:c>
      <x:c r="E171" s="4" t="str">
        <x:v>功能需求</x:v>
      </x:c>
      <x:c r="F171" s="4" t="str">
        <x:v>P1</x:v>
      </x:c>
      <x:c r="G171" s="4" t="str">
        <x:v>验证用户在余额充值的退款不恢复限购</x:v>
      </x:c>
      <x:c r="H171" s="4" t="str">
        <x:v>退款不恢复限购</x:v>
      </x:c>
      <x:c r="I171" s="4" t="str">
        <x:v>1. 执行身份为用户
2. 活动套餐限购1次
3. 本人已成功购买且该笔订单已全额退款
4. 执行账号已登录</x:v>
      </x:c>
      <x:c r="J171" s="4" t="str">
        <x:v>1. 进入充值页
2. 选择该活动套餐</x:v>
      </x:c>
      <x:c r="K171" s="4" t="str">
        <x:v>该套餐的已用限购次数仍为1</x:v>
      </x:c>
      <x:c r="L171" s="4" t="str"/>
      <x:c r="M171" s="4" t="str">
        <x:v>未测</x:v>
      </x:c>
      <x:c r="N171" s="4" t="str"/>
      <x:c r="O171" s="4" t="str">
        <x:v>1. 来源（当前证据）：MainBasis/统一需求文档.md；位置：A-admin-recharge-package-detail-009，第8166行、U-recharge-001，第6934行
2. 规则：BR-MB-AB4C6AAB94AD13
3. 未动态验证</x:v>
      </x:c>
    </x:row>
    <x:row r="172" ht="82" customHeight="1">
      <x:c r="A172" s="4" t="n">
        <x:v>171</x:v>
      </x:c>
      <x:c r="B172" s="4" t="str">
        <x:v>UMB-0171</x:v>
      </x:c>
      <x:c r="C172" s="4" t="str">
        <x:v>M07 金币·充值·消费与客户端账单</x:v>
      </x:c>
      <x:c r="D172" s="4" t="str">
        <x:v>余额充值（用户视角）</x:v>
      </x:c>
      <x:c r="E172" s="4" t="str">
        <x:v>功能需求</x:v>
      </x:c>
      <x:c r="F172" s="4" t="str">
        <x:v>P1</x:v>
      </x:c>
      <x:c r="G172" s="4" t="str">
        <x:v>验证用户在余额充值的停用任务已领奖励</x:v>
      </x:c>
      <x:c r="H172" s="4" t="str">
        <x:v>停用任务已领奖励</x:v>
      </x:c>
      <x:c r="I172" s="4" t="str">
        <x:v>1. 执行身份为用户
2. 已领取某任务100金币
3. 平台已停用该任务
4. 没有其他余额变化
5. 执行账号已登录</x:v>
      </x:c>
      <x:c r="J172" s="4" t="str">
        <x:v>1. 进入金币钱包</x:v>
      </x:c>
      <x:c r="K172" s="4" t="str">
        <x:v>该任务已领取的100金币未被回收</x:v>
      </x:c>
      <x:c r="L172" s="4" t="str"/>
      <x:c r="M172" s="4" t="str">
        <x:v>未测</x:v>
      </x:c>
      <x:c r="N172" s="4" t="str"/>
      <x:c r="O172" s="4" t="str">
        <x:v>1. 来源（当前证据）：MainBasis/统一需求文档.md；位置：A-admin-task-config-007，第8214行、U-recharge-001，第6934行
2. 规则：BR-MB-1860432D33D347
3. 未动态验证</x:v>
      </x:c>
    </x:row>
    <x:row r="173" ht="124" customHeight="1">
      <x:c r="A173" s="4" t="n">
        <x:v>172</x:v>
      </x:c>
      <x:c r="B173" s="4" t="str">
        <x:v>UMB-0172</x:v>
      </x:c>
      <x:c r="C173" s="4" t="str">
        <x:v>M07 金币·充值·消费与客户端账单</x:v>
      </x:c>
      <x:c r="D173" s="4" t="str">
        <x:v>余额充值（用户视角）</x:v>
      </x:c>
      <x:c r="E173" s="4" t="str">
        <x:v>逻辑校验</x:v>
      </x:c>
      <x:c r="F173" s="4" t="str">
        <x:v>P1</x:v>
      </x:c>
      <x:c r="G173" s="4" t="str">
        <x:v>验证用户在余额充值的退款负余额</x:v>
      </x:c>
      <x:c r="H173" s="4" t="str">
        <x:v>退款负余额</x:v>
      </x:c>
      <x:c r="I173" s="4" t="str">
        <x:v>1. 用户已登录
2. 余额为0
3. 原订单到账1000金币已全部消费
4. 该订单退款已完成</x:v>
      </x:c>
      <x:c r="J173" s="4" t="str">
        <x:v>1. 进入余额充值
2. 查看金币余额</x:v>
      </x:c>
      <x:c r="K173" s="4" t="str">
        <x:v>金币余额计算结果 = 0 - 1000 = -1000 金币</x:v>
      </x:c>
      <x:c r="L173" s="4" t="str">
        <x:v>MBF-2BA2481A</x:v>
      </x:c>
      <x:c r="M173" s="4" t="str">
        <x:v>未测</x:v>
      </x:c>
      <x:c r="N173" s="4" t="str"/>
      <x:c r="O173" s="4" t="str">
        <x:v>1. 来源（当前证据）：MainBasis/统一需求文档.md；位置：U-recharge-006，第6958行、D-SYS-162，第812行
2. 规则：BR-MB-600D498A24061D
3. 未动态验证
4. 共同对象：充值订单；阶段：退款负余额
5. 状态转换：MBT-EF4F685D0934；支付成功且未退款→已退款</x:v>
      </x:c>
    </x:row>
    <x:row r="174" ht="96" customHeight="1">
      <x:c r="A174" s="4" t="n">
        <x:v>173</x:v>
      </x:c>
      <x:c r="B174" s="4" t="str">
        <x:v>UMB-0173</x:v>
      </x:c>
      <x:c r="C174" s="4" t="str">
        <x:v>M07 金币·充值·消费与客户端账单</x:v>
      </x:c>
      <x:c r="D174" s="4" t="str">
        <x:v>余额充值（用户视角）</x:v>
      </x:c>
      <x:c r="E174" s="4" t="str">
        <x:v>逻辑校验</x:v>
      </x:c>
      <x:c r="F174" s="4" t="str">
        <x:v>P1</x:v>
      </x:c>
      <x:c r="G174" s="4" t="str">
        <x:v>验证用户在余额充值的负余额再充值</x:v>
      </x:c>
      <x:c r="H174" s="4" t="str">
        <x:v>负余额再充值</x:v>
      </x:c>
      <x:c r="I174" s="4" t="str">
        <x:v>1. 用户已登录
2. 原余额-1000金币
3. 本次新充值已成功到账2000金币</x:v>
      </x:c>
      <x:c r="J174" s="4" t="str">
        <x:v>1. 进入余额充值
2. 查看金币余额</x:v>
      </x:c>
      <x:c r="K174" s="4" t="str">
        <x:v>金币余额计算结果 = (-1000) + 2000 = 1000 金币</x:v>
      </x:c>
      <x:c r="L174" s="4" t="str">
        <x:v>MBF-2BA2481A</x:v>
      </x:c>
      <x:c r="M174" s="4" t="str">
        <x:v>未测</x:v>
      </x:c>
      <x:c r="N174" s="4" t="str"/>
      <x:c r="O174" s="4" t="str">
        <x:v>1. 来源（当前证据）：MainBasis/统一需求文档.md；位置：U-recharge-006，第6958行、D-SYS-162，第812行
2. 规则：BR-MB-7DFC899DAF325D
3. 未动态验证
4. 共同对象：充值订单；阶段：负余额再充值</x:v>
      </x:c>
    </x:row>
    <x:row r="175" ht="96" customHeight="1">
      <x:c r="A175" s="4" t="n">
        <x:v>174</x:v>
      </x:c>
      <x:c r="B175" s="4" t="str">
        <x:v>UMB-0174</x:v>
      </x:c>
      <x:c r="C175" s="4" t="str">
        <x:v>M07 金币·充值·消费与客户端账单</x:v>
      </x:c>
      <x:c r="D175" s="4" t="str">
        <x:v>余额充值（用户视角）</x:v>
      </x:c>
      <x:c r="E175" s="4" t="str">
        <x:v>逻辑校验</x:v>
      </x:c>
      <x:c r="F175" s="4" t="str">
        <x:v>P1</x:v>
      </x:c>
      <x:c r="G175" s="4" t="str">
        <x:v>验证用户在余额充值的成功充值到账</x:v>
      </x:c>
      <x:c r="H175" s="4" t="str">
        <x:v>成功充值到账</x:v>
      </x:c>
      <x:c r="I175" s="4" t="str">
        <x:v>1. 用户已登录
2. 初始金币余额100
3. 当前可购套餐基础金币1000、赠送金币100
4. 测试渠道可支付成功
5. 无其他余额变化</x:v>
      </x:c>
      <x:c r="J175" s="4" t="str">
        <x:v>1. 进入充值页
2. 选择基础金币1000且赠送100金币的套餐
3. 选择可用支付渠道
4. 确认支付
5. 返回充值页查看金币余额</x:v>
      </x:c>
      <x:c r="K175" s="4" t="str">
        <x:v>金币余额计算结果 = 100 + 1000 + 100 = 1200 金币</x:v>
      </x:c>
      <x:c r="L175" s="4" t="str"/>
      <x:c r="M175" s="4" t="str">
        <x:v>未测</x:v>
      </x:c>
      <x:c r="N175" s="4" t="str"/>
      <x:c r="O175" s="4" t="str">
        <x:v>1. 来源（当前证据）：MainBasis/统一需求文档.md；位置：U-recharge-002，第6940行、U-recharge-004，第6948行、U-recharge-005，第6954行、U-recharge-010，第6976行
2. 规则：BR-MB-25008EF6DCC361
3. 未动态验证</x:v>
      </x:c>
    </x:row>
    <x:row r="176" ht="68" customHeight="1">
      <x:c r="A176" s="4" t="n">
        <x:v>175</x:v>
      </x:c>
      <x:c r="B176" s="4" t="str">
        <x:v>UMB-0175</x:v>
      </x:c>
      <x:c r="C176" s="4" t="str">
        <x:v>M07 金币·充值·消费与客户端账单</x:v>
      </x:c>
      <x:c r="D176" s="4" t="str">
        <x:v>余额充值（运营账号视角）</x:v>
      </x:c>
      <x:c r="E176" s="4" t="str">
        <x:v>异常用例</x:v>
      </x:c>
      <x:c r="F176" s="4" t="str">
        <x:v>P1</x:v>
      </x:c>
      <x:c r="G176" s="4" t="str">
        <x:v>验证运营账号在余额充值的运营账号充值限制</x:v>
      </x:c>
      <x:c r="H176" s="4" t="str">
        <x:v>运营账号充值限制</x:v>
      </x:c>
      <x:c r="I176" s="4" t="str">
        <x:v>1. 执行身份为运营账号
2. 执行账号已登录</x:v>
      </x:c>
      <x:c r="J176" s="4" t="str">
        <x:v>1. 尝试进入充值页</x:v>
      </x:c>
      <x:c r="K176" s="4" t="str">
        <x:v>不能进入真实金币充值页</x:v>
      </x:c>
      <x:c r="L176" s="4" t="str"/>
      <x:c r="M176" s="4" t="str">
        <x:v>未测</x:v>
      </x:c>
      <x:c r="N176" s="4" t="str"/>
      <x:c r="O176" s="4" t="str">
        <x:v>1. 来源（当前证据）：MainBasis/统一需求文档.md；位置：U-recharge-008，第6966行
2. 规则：BR-MB-797E92A1C8E00D
3. 未动态验证</x:v>
      </x:c>
    </x:row>
    <x:row r="177" ht="82" customHeight="1">
      <x:c r="A177" s="4" t="n">
        <x:v>176</x:v>
      </x:c>
      <x:c r="B177" s="4" t="str">
        <x:v>UMB-0176</x:v>
      </x:c>
      <x:c r="C177" s="4" t="str">
        <x:v>M07 金币·充值·消费与客户端账单</x:v>
      </x:c>
      <x:c r="D177" s="4" t="str">
        <x:v>充值订单详情（用户视角）</x:v>
      </x:c>
      <x:c r="E177" s="4" t="str">
        <x:v>功能需求</x:v>
      </x:c>
      <x:c r="F177" s="4" t="str">
        <x:v>P1</x:v>
      </x:c>
      <x:c r="G177" s="4" t="str">
        <x:v>验证用户在充值订单详情的用户退款入口</x:v>
      </x:c>
      <x:c r="H177" s="4" t="str">
        <x:v>用户退款入口</x:v>
      </x:c>
      <x:c r="I177" s="4" t="str">
        <x:v>1. 执行身份为用户
2. 本人有支付成功的充值订单
3. 执行账号已登录</x:v>
      </x:c>
      <x:c r="J177" s="4" t="str">
        <x:v>1. 进入该充值订单详情</x:v>
      </x:c>
      <x:c r="K177" s="4" t="str">
        <x:v>不提供退款操作</x:v>
      </x:c>
      <x:c r="L177" s="4" t="str"/>
      <x:c r="M177" s="4" t="str">
        <x:v>未测</x:v>
      </x:c>
      <x:c r="N177" s="4" t="str"/>
      <x:c r="O177" s="4" t="str">
        <x:v>1. 来源（当前证据）：MainBasis/统一需求文档.md；位置：U-order-income-detail-008，第7062行
2. 规则：BR-MB-38E885DAE31A44
3. 未动态验证</x:v>
      </x:c>
    </x:row>
    <x:row r="178" ht="82" customHeight="1">
      <x:c r="A178" s="4" t="n">
        <x:v>177</x:v>
      </x:c>
      <x:c r="B178" s="4" t="str">
        <x:v>UMB-0177</x:v>
      </x:c>
      <x:c r="C178" s="4" t="str">
        <x:v>M07 金币·充值·消费与客户端账单</x:v>
      </x:c>
      <x:c r="D178" s="4" t="str">
        <x:v>充值订单详情（用户视角）</x:v>
      </x:c>
      <x:c r="E178" s="4" t="str">
        <x:v>功能需求</x:v>
      </x:c>
      <x:c r="F178" s="4" t="str">
        <x:v>P1</x:v>
      </x:c>
      <x:c r="G178" s="4" t="str">
        <x:v>验证用户在充值订单详情的充值套餐快照</x:v>
      </x:c>
      <x:c r="H178" s="4" t="str">
        <x:v>充值套餐快照</x:v>
      </x:c>
      <x:c r="I178" s="4" t="str">
        <x:v>1. 执行身份为用户
2. 本人充值订单已支付
3. 该套餐后来已修改赠送金币
4. 执行账号已登录</x:v>
      </x:c>
      <x:c r="J178" s="4" t="str">
        <x:v>1. 进入该充值订单详情</x:v>
      </x:c>
      <x:c r="K178" s="4" t="str">
        <x:v>显示支付时订单保存的赠送金币</x:v>
      </x:c>
      <x:c r="L178" s="4" t="str"/>
      <x:c r="M178" s="4" t="str">
        <x:v>未测</x:v>
      </x:c>
      <x:c r="N178" s="4" t="str"/>
      <x:c r="O178" s="4" t="str">
        <x:v>1. 来源（当前证据）：MainBasis/统一需求文档.md；位置：U-order-income-detail-009，第7066行
2. 规则：BR-MB-0227CC2D5AFFF2
3. 未动态验证</x:v>
      </x:c>
    </x:row>
    <x:row r="179" ht="82" customHeight="1">
      <x:c r="A179" s="4" t="n">
        <x:v>178</x:v>
      </x:c>
      <x:c r="B179" s="4" t="str">
        <x:v>UMB-0178</x:v>
      </x:c>
      <x:c r="C179" s="4" t="str">
        <x:v>M07 金币·充值·消费与客户端账单</x:v>
      </x:c>
      <x:c r="D179" s="4" t="str">
        <x:v>支出订单详情（用户视角）</x:v>
      </x:c>
      <x:c r="E179" s="4" t="str">
        <x:v>功能需求</x:v>
      </x:c>
      <x:c r="F179" s="4" t="str">
        <x:v>P1</x:v>
      </x:c>
      <x:c r="G179" s="4" t="str">
        <x:v>验证用户在支出订单详情的消费退款限制</x:v>
      </x:c>
      <x:c r="H179" s="4" t="str">
        <x:v>消费退款限制</x:v>
      </x:c>
      <x:c r="I179" s="4" t="str">
        <x:v>1. 执行身份为用户
2. 本人有成功的普通礼物消费订单
3. 执行账号已登录</x:v>
      </x:c>
      <x:c r="J179" s="4" t="str">
        <x:v>1. 进入该支出订单详情</x:v>
      </x:c>
      <x:c r="K179" s="4" t="str">
        <x:v>不提供消费退款操作</x:v>
      </x:c>
      <x:c r="L179" s="4" t="str"/>
      <x:c r="M179" s="4" t="str">
        <x:v>未测</x:v>
      </x:c>
      <x:c r="N179" s="4" t="str"/>
      <x:c r="O179" s="4" t="str">
        <x:v>1. 来源（当前证据）：MainBasis/统一需求文档.md；位置：U-order-expense-detail-008，第7116行
2. 规则：BR-MB-6D50372496F8CF
3. 未动态验证</x:v>
      </x:c>
    </x:row>
    <x:row r="180" ht="82" customHeight="1">
      <x:c r="A180" s="4" t="n">
        <x:v>179</x:v>
      </x:c>
      <x:c r="B180" s="4" t="str">
        <x:v>UMB-0179</x:v>
      </x:c>
      <x:c r="C180" s="4" t="str">
        <x:v>M08 礼物·道具·任务·邀请与运营配置</x:v>
      </x:c>
      <x:c r="D180" s="4" t="str">
        <x:v>充值福利（游客视角）</x:v>
      </x:c>
      <x:c r="E180" s="4" t="str">
        <x:v>功能需求</x:v>
      </x:c>
      <x:c r="F180" s="4" t="str">
        <x:v>P1</x:v>
      </x:c>
      <x:c r="G180" s="4" t="str">
        <x:v>验证游客在充值福利的游客签到引导</x:v>
      </x:c>
      <x:c r="H180" s="4" t="str">
        <x:v>游客签到引导</x:v>
      </x:c>
      <x:c r="I180" s="4" t="str">
        <x:v>1. 执行身份为游客
2. 当前为未登录游客</x:v>
      </x:c>
      <x:c r="J180" s="4" t="str">
        <x:v>1. 进入福利页
2. 点击签到</x:v>
      </x:c>
      <x:c r="K180" s="4" t="str">
        <x:v>跳转登录页</x:v>
      </x:c>
      <x:c r="L180" s="4" t="str"/>
      <x:c r="M180" s="4" t="str">
        <x:v>未测</x:v>
      </x:c>
      <x:c r="N180" s="4" t="str"/>
      <x:c r="O180" s="4" t="str">
        <x:v>1. 来源（当前证据）：MainBasis/统一需求文档.md；位置：U-welfare-center-022，第7246行
2. 规则：BR-MB-43DAB635E77780
3. 未动态验证</x:v>
      </x:c>
    </x:row>
    <x:row r="181" ht="82" customHeight="1">
      <x:c r="A181" s="4" t="n">
        <x:v>180</x:v>
      </x:c>
      <x:c r="B181" s="4" t="str">
        <x:v>UMB-0180</x:v>
      </x:c>
      <x:c r="C181" s="4" t="str">
        <x:v>M08 礼物·道具·任务·邀请与运营配置</x:v>
      </x:c>
      <x:c r="D181" s="4" t="str">
        <x:v>充值福利（用户视角）</x:v>
      </x:c>
      <x:c r="E181" s="4" t="str">
        <x:v>功能需求</x:v>
      </x:c>
      <x:c r="F181" s="4" t="str">
        <x:v>P1</x:v>
      </x:c>
      <x:c r="G181" s="4" t="str">
        <x:v>验证用户在充值福利的签到完成状态·签到按钮显示已签到</x:v>
      </x:c>
      <x:c r="H181" s="4" t="str">
        <x:v>签到完成状态·签到按钮显示已签到</x:v>
      </x:c>
      <x:c r="I181" s="4" t="str">
        <x:v>1. 执行身份为用户
2. 今日未签到
3. 签到功能当前有效
4. 执行账号已登录</x:v>
      </x:c>
      <x:c r="J181" s="4" t="str">
        <x:v>1. 进入福利页
2. 点击签到</x:v>
      </x:c>
      <x:c r="K181" s="4" t="str">
        <x:v>签到按钮显示已签到</x:v>
      </x:c>
      <x:c r="L181" s="4" t="str"/>
      <x:c r="M181" s="4" t="str">
        <x:v>未测</x:v>
      </x:c>
      <x:c r="N181" s="4" t="str"/>
      <x:c r="O181" s="4" t="str">
        <x:v>1. 来源（当前证据）：MainBasis/统一需求文档.md；位置：U-welfare-center-011，第7198行
2. 规则：BR-MB-C09C4A1748C231
3. 未动态验证</x:v>
      </x:c>
    </x:row>
    <x:row r="182" ht="82" customHeight="1">
      <x:c r="A182" s="4" t="n">
        <x:v>181</x:v>
      </x:c>
      <x:c r="B182" s="4" t="str">
        <x:v>UMB-0181</x:v>
      </x:c>
      <x:c r="C182" s="4" t="str">
        <x:v>M08 礼物·道具·任务·邀请与运营配置</x:v>
      </x:c>
      <x:c r="D182" s="4" t="str">
        <x:v>充值福利（用户视角）</x:v>
      </x:c>
      <x:c r="E182" s="4" t="str">
        <x:v>异常用例</x:v>
      </x:c>
      <x:c r="F182" s="4" t="str">
        <x:v>P1</x:v>
      </x:c>
      <x:c r="G182" s="4" t="str">
        <x:v>验证用户在充值福利的签到完成状态·不可再次领取</x:v>
      </x:c>
      <x:c r="H182" s="4" t="str">
        <x:v>签到完成状态·不可再次领取</x:v>
      </x:c>
      <x:c r="I182" s="4" t="str">
        <x:v>1. 执行身份为用户
2. 今日未签到
3. 签到功能当前有效
4. 执行账号已登录</x:v>
      </x:c>
      <x:c r="J182" s="4" t="str">
        <x:v>1. 进入福利页
2. 点击签到</x:v>
      </x:c>
      <x:c r="K182" s="4" t="str">
        <x:v>不可再次领取</x:v>
      </x:c>
      <x:c r="L182" s="4" t="str"/>
      <x:c r="M182" s="4" t="str">
        <x:v>未测</x:v>
      </x:c>
      <x:c r="N182" s="4" t="str"/>
      <x:c r="O182" s="4" t="str">
        <x:v>1. 来源（当前证据）：MainBasis/统一需求文档.md；位置：U-welfare-center-011，第7198行
2. 规则：BR-MB-EE2A2E8D3A39F6
3. 未动态验证</x:v>
      </x:c>
    </x:row>
    <x:row r="183" ht="82" customHeight="1">
      <x:c r="A183" s="4" t="n">
        <x:v>182</x:v>
      </x:c>
      <x:c r="B183" s="4" t="str">
        <x:v>UMB-0182</x:v>
      </x:c>
      <x:c r="C183" s="4" t="str">
        <x:v>M08 礼物·道具·任务·邀请与运营配置</x:v>
      </x:c>
      <x:c r="D183" s="4" t="str">
        <x:v>充值福利（用户视角）</x:v>
      </x:c>
      <x:c r="E183" s="4" t="str">
        <x:v>功能需求</x:v>
      </x:c>
      <x:c r="F183" s="4" t="str">
        <x:v>P1</x:v>
      </x:c>
      <x:c r="G183" s="4" t="str">
        <x:v>验证用户在充值福利的断签后重新开始</x:v>
      </x:c>
      <x:c r="H183" s="4" t="str">
        <x:v>断签后重新开始</x:v>
      </x:c>
      <x:c r="I183" s="4" t="str">
        <x:v>1. 执行身份为用户
2. 此前已连续签到2天
3. 昨日登录但未手动签到
4. 今日是断签后的下一天
5. 执行账号已登录</x:v>
      </x:c>
      <x:c r="J183" s="4" t="str">
        <x:v>1. 进入福利页
2. 点击签到</x:v>
      </x:c>
      <x:c r="K183" s="4" t="str">
        <x:v>连续签到天数重新从第1天开始</x:v>
      </x:c>
      <x:c r="L183" s="4" t="str"/>
      <x:c r="M183" s="4" t="str">
        <x:v>未测</x:v>
      </x:c>
      <x:c r="N183" s="4" t="str"/>
      <x:c r="O183" s="4" t="str">
        <x:v>1. 来源（当前证据）：MainBasis/统一需求文档.md；位置：U-welfare-center-012，第7202行
2. 规则：BR-MB-10DFEDF0D6A3C8
3. 未动态验证</x:v>
      </x:c>
    </x:row>
    <x:row r="184" ht="96" customHeight="1">
      <x:c r="A184" s="4" t="n">
        <x:v>183</x:v>
      </x:c>
      <x:c r="B184" s="4" t="str">
        <x:v>UMB-0183</x:v>
      </x:c>
      <x:c r="C184" s="4" t="str">
        <x:v>M08 礼物·道具·任务·邀请与运营配置</x:v>
      </x:c>
      <x:c r="D184" s="4" t="str">
        <x:v>充值福利（用户视角）</x:v>
      </x:c>
      <x:c r="E184" s="4" t="str">
        <x:v>功能需求</x:v>
      </x:c>
      <x:c r="F184" s="4" t="str">
        <x:v>P1</x:v>
      </x:c>
      <x:c r="G184" s="4" t="str">
        <x:v>验证用户在充值福利的最高签到档后延续</x:v>
      </x:c>
      <x:c r="H184" s="4" t="str">
        <x:v>最高签到档后延续</x:v>
      </x:c>
      <x:c r="I184" s="4" t="str">
        <x:v>1. 执行身份为用户
2. 已配置第1天20金币、第2天30金币
3. 已连续签到2天
4. 今日未签到
5. 执行账号已登录</x:v>
      </x:c>
      <x:c r="J184" s="4" t="str">
        <x:v>1. 进入福利页
2. 点击签到</x:v>
      </x:c>
      <x:c r="K184" s="4" t="str">
        <x:v>今日签到奖励为30金币</x:v>
      </x:c>
      <x:c r="L184" s="4" t="str"/>
      <x:c r="M184" s="4" t="str">
        <x:v>未测</x:v>
      </x:c>
      <x:c r="N184" s="4" t="str"/>
      <x:c r="O184" s="4" t="str">
        <x:v>1. 来源（当前证据）：MainBasis/统一需求文档.md；位置：U-welfare-center-014，第7210行
2. 规则：BR-MB-3F72618CBFE5E2
3. 未动态验证</x:v>
      </x:c>
    </x:row>
    <x:row r="185" ht="82" customHeight="1">
      <x:c r="A185" s="4" t="n">
        <x:v>184</x:v>
      </x:c>
      <x:c r="B185" s="4" t="str">
        <x:v>UMB-0184</x:v>
      </x:c>
      <x:c r="C185" s="4" t="str">
        <x:v>M08 礼物·道具·任务·邀请与运营配置</x:v>
      </x:c>
      <x:c r="D185" s="4" t="str">
        <x:v>充值福利（用户视角）</x:v>
      </x:c>
      <x:c r="E185" s="4" t="str">
        <x:v>功能需求</x:v>
      </x:c>
      <x:c r="F185" s="4" t="str">
        <x:v>P1</x:v>
      </x:c>
      <x:c r="G185" s="4" t="str">
        <x:v>验证用户在充值福利的未达标任务</x:v>
      </x:c>
      <x:c r="H185" s="4" t="str">
        <x:v>未达标任务</x:v>
      </x:c>
      <x:c r="I185" s="4" t="str">
        <x:v>1. 执行身份为用户
2. 当前观看任务尚未完成
3. 执行账号已登录</x:v>
      </x:c>
      <x:c r="J185" s="4" t="str">
        <x:v>1. 进入福利页
2. 点击该观看任务奖励</x:v>
      </x:c>
      <x:c r="K185" s="4" t="str">
        <x:v>提示“任务尚未完成”</x:v>
      </x:c>
      <x:c r="L185" s="4" t="str"/>
      <x:c r="M185" s="4" t="str">
        <x:v>未测</x:v>
      </x:c>
      <x:c r="N185" s="4" t="str"/>
      <x:c r="O185" s="4" t="str">
        <x:v>1. 来源（当前证据）：MainBasis/统一需求文档.md；位置：U-welfare-center-020，第7238行
2. 规则：BR-MB-17CEE55B1797BE
3. 未动态验证</x:v>
      </x:c>
    </x:row>
    <x:row r="186" ht="82" customHeight="1">
      <x:c r="A186" s="4" t="n">
        <x:v>185</x:v>
      </x:c>
      <x:c r="B186" s="4" t="str">
        <x:v>UMB-0185</x:v>
      </x:c>
      <x:c r="C186" s="4" t="str">
        <x:v>M08 礼物·道具·任务·邀请与运营配置</x:v>
      </x:c>
      <x:c r="D186" s="4" t="str">
        <x:v>充值福利（用户视角）</x:v>
      </x:c>
      <x:c r="E186" s="4" t="str">
        <x:v>功能需求</x:v>
      </x:c>
      <x:c r="F186" s="4" t="str">
        <x:v>P1</x:v>
      </x:c>
      <x:c r="G186" s="4" t="str">
        <x:v>验证用户在充值福利的奖励过期领取</x:v>
      </x:c>
      <x:c r="H186" s="4" t="str">
        <x:v>奖励过期领取</x:v>
      </x:c>
      <x:c r="I186" s="4" t="str">
        <x:v>1. 执行身份为用户
2. 任务已达标且未领取
3. 已超过该奖励取得日23:59
4. 业务时区在测试环境已明确
5. 执行账号已登录</x:v>
      </x:c>
      <x:c r="J186" s="4" t="str">
        <x:v>1. 进入福利页
2. 点击该任务奖励</x:v>
      </x:c>
      <x:c r="K186" s="4" t="str">
        <x:v>提示“奖励已失效”</x:v>
      </x:c>
      <x:c r="L186" s="4" t="str"/>
      <x:c r="M186" s="4" t="str">
        <x:v>未测</x:v>
      </x:c>
      <x:c r="N186" s="4" t="str"/>
      <x:c r="O186" s="4" t="str">
        <x:v>1. 来源（当前证据）：MainBasis/统一需求文档.md；位置：U-welfare-center-018，第7228行
2. 规则：BR-MB-0D65F1DBF66CA7
3. 未动态验证</x:v>
      </x:c>
    </x:row>
    <x:row r="187" ht="82" customHeight="1">
      <x:c r="A187" s="4" t="n">
        <x:v>186</x:v>
      </x:c>
      <x:c r="B187" s="4" t="str">
        <x:v>UMB-0186</x:v>
      </x:c>
      <x:c r="C187" s="4" t="str">
        <x:v>M08 礼物·道具·任务·邀请与运营配置</x:v>
      </x:c>
      <x:c r="D187" s="4" t="str">
        <x:v>充值福利（用户视角）</x:v>
      </x:c>
      <x:c r="E187" s="4" t="str">
        <x:v>功能需求</x:v>
      </x:c>
      <x:c r="F187" s="4" t="str">
        <x:v>P1</x:v>
      </x:c>
      <x:c r="G187" s="4" t="str">
        <x:v>验证用户在充值福利的领取失败可重试</x:v>
      </x:c>
      <x:c r="H187" s="4" t="str">
        <x:v>领取失败可重试</x:v>
      </x:c>
      <x:c r="I187" s="4" t="str">
        <x:v>1. 执行身份为用户
2. 奖励已达标且未过期
3. 本次领取返回失败
4. 执行账号已登录</x:v>
      </x:c>
      <x:c r="J187" s="4" t="str">
        <x:v>1. 进入福利页
2. 点击该任务奖励</x:v>
      </x:c>
      <x:c r="K187" s="4" t="str">
        <x:v>任务未变为已领取</x:v>
      </x:c>
      <x:c r="L187" s="4" t="str"/>
      <x:c r="M187" s="4" t="str">
        <x:v>未测</x:v>
      </x:c>
      <x:c r="N187" s="4" t="str"/>
      <x:c r="O187" s="4" t="str">
        <x:v>1. 来源（当前证据）：MainBasis/统一需求文档.md；位置：U-welfare-center-019，第7234行
2. 规则：BR-MB-97F1BC48EBA2DD
3. 未动态验证</x:v>
      </x:c>
    </x:row>
    <x:row r="188" ht="82" customHeight="1">
      <x:c r="A188" s="4" t="n">
        <x:v>187</x:v>
      </x:c>
      <x:c r="B188" s="4" t="str">
        <x:v>UMB-0187</x:v>
      </x:c>
      <x:c r="C188" s="4" t="str">
        <x:v>M08 礼物·道具·任务·邀请与运营配置</x:v>
      </x:c>
      <x:c r="D188" s="4" t="str">
        <x:v>邀请好友-选项（用户视角）</x:v>
      </x:c>
      <x:c r="E188" s="4" t="str">
        <x:v>功能需求</x:v>
      </x:c>
      <x:c r="F188" s="4" t="str">
        <x:v>P1</x:v>
      </x:c>
      <x:c r="G188" s="4" t="str">
        <x:v>验证用户在邀请好友-选项的分享与成功邀请区分</x:v>
      </x:c>
      <x:c r="H188" s="4" t="str">
        <x:v>分享与成功邀请区分</x:v>
      </x:c>
      <x:c r="I188" s="4" t="str">
        <x:v>1. 执行身份为用户
2. 当前没有新增成功邀请记录
3. 执行账号已登录</x:v>
      </x:c>
      <x:c r="J188" s="4" t="str">
        <x:v>1. 进入邀请好友页
2. 点击邀请好友
3. 点击复制链接</x:v>
      </x:c>
      <x:c r="K188" s="4" t="str">
        <x:v>成功邀请人数不增加</x:v>
      </x:c>
      <x:c r="L188" s="4" t="str"/>
      <x:c r="M188" s="4" t="str">
        <x:v>未测</x:v>
      </x:c>
      <x:c r="N188" s="4" t="str"/>
      <x:c r="O188" s="4" t="str">
        <x:v>1. 来源（当前证据）：MainBasis/统一需求文档.md；位置：U-views_invite-friends_share-options-003，第7430行
2. 规则：BR-MB-825E1FED8B9524
3. 未动态验证</x:v>
      </x:c>
    </x:row>
    <x:row r="189" ht="82" customHeight="1">
      <x:c r="A189" s="4" t="n">
        <x:v>188</x:v>
      </x:c>
      <x:c r="B189" s="4" t="str">
        <x:v>UMB-0188</x:v>
      </x:c>
      <x:c r="C189" s="4" t="str">
        <x:v>M12 直播业绩·增长与统计报表</x:v>
      </x:c>
      <x:c r="D189" s="4" t="str">
        <x:v>分成记录（主播视角）</x:v>
      </x:c>
      <x:c r="E189" s="4" t="str">
        <x:v>功能需求</x:v>
      </x:c>
      <x:c r="F189" s="4" t="str">
        <x:v>P1</x:v>
      </x:c>
      <x:c r="G189" s="4" t="str">
        <x:v>验证主播在分成记录的主播结算入口范围</x:v>
      </x:c>
      <x:c r="H189" s="4" t="str">
        <x:v>主播结算入口范围</x:v>
      </x:c>
      <x:c r="I189" s="4" t="str">
        <x:v>1. 执行身份为主播
2. 已有财务上传的分成结果
3. 执行账号已登录</x:v>
      </x:c>
      <x:c r="J189" s="4" t="str">
        <x:v>1. 进入分成收入页</x:v>
      </x:c>
      <x:c r="K189" s="4" t="str">
        <x:v>不提供线上结算申请入口</x:v>
      </x:c>
      <x:c r="L189" s="4" t="str"/>
      <x:c r="M189" s="4" t="str">
        <x:v>未测</x:v>
      </x:c>
      <x:c r="N189" s="4" t="str"/>
      <x:c r="O189" s="4" t="str">
        <x:v>1. 来源（当前证据）：MainBasis/统一需求文档.md；位置：U-income-sharing-004，第10692行
2. 规则：BR-MB-DBAE50B8BDD3EE
3. 未动态验证</x:v>
      </x:c>
    </x:row>
    <x:row r="190" ht="82" customHeight="1">
      <x:c r="A190" s="4" t="n">
        <x:v>189</x:v>
      </x:c>
      <x:c r="B190" s="4" t="str">
        <x:v>UMB-0189</x:v>
      </x:c>
      <x:c r="C190" s="4" t="str">
        <x:v>M12 直播业绩·增长与统计报表</x:v>
      </x:c>
      <x:c r="D190" s="4" t="str">
        <x:v>月数据（主播视角）</x:v>
      </x:c>
      <x:c r="E190" s="4" t="str">
        <x:v>功能需求</x:v>
      </x:c>
      <x:c r="F190" s="4" t="str">
        <x:v>P1</x:v>
      </x:c>
      <x:c r="G190" s="4" t="str">
        <x:v>验证主播在月数据的空月份无旧数据</x:v>
      </x:c>
      <x:c r="H190" s="4" t="str">
        <x:v>空月份无旧数据</x:v>
      </x:c>
      <x:c r="I190" s="4" t="str">
        <x:v>1. 执行身份为主播
2. 前一月份有直播数据
3. 目标月份无直播数据
4. 执行账号已登录</x:v>
      </x:c>
      <x:c r="J190" s="4" t="str">
        <x:v>1. 进入直播数据页
2. 切换到该无数据月份</x:v>
      </x:c>
      <x:c r="K190" s="4" t="str">
        <x:v>目标月份指标显示0</x:v>
      </x:c>
      <x:c r="L190" s="4" t="str"/>
      <x:c r="M190" s="4" t="str">
        <x:v>未测</x:v>
      </x:c>
      <x:c r="N190" s="4" t="str"/>
      <x:c r="O190" s="4" t="str">
        <x:v>1. 来源（当前证据）：MainBasis/统一需求文档.md；位置：U-views_live-data_month-010，第10590行
2. 规则：BR-MB-DD96AECCC64F67
3. 未动态验证</x:v>
      </x:c>
    </x:row>
    <x:row r="191" ht="82" customHeight="1">
      <x:c r="A191" s="4" t="n">
        <x:v>190</x:v>
      </x:c>
      <x:c r="B191" s="4" t="str">
        <x:v>UMB-0190</x:v>
      </x:c>
      <x:c r="C191" s="4" t="str">
        <x:v>M12 直播业绩·增长与统计报表</x:v>
      </x:c>
      <x:c r="D191" s="4" t="str">
        <x:v>直播记录（主播视角）</x:v>
      </x:c>
      <x:c r="E191" s="4" t="str">
        <x:v>逻辑校验</x:v>
      </x:c>
      <x:c r="F191" s="4" t="str">
        <x:v>P1</x:v>
      </x:c>
      <x:c r="G191" s="4" t="str">
        <x:v>验证主播在直播记录的多场次收益合计</x:v>
      </x:c>
      <x:c r="H191" s="4" t="str">
        <x:v>多场次收益合计</x:v>
      </x:c>
      <x:c r="I191" s="4" t="str">
        <x:v>1. 主播已登录
2. 筛选范围内两场有效直播收益100、200金币
3. 范围外一场收益500金币</x:v>
      </x:c>
      <x:c r="J191" s="4" t="str">
        <x:v>1. 进入直播记录
2. 查看当前范围收益</x:v>
      </x:c>
      <x:c r="K191" s="4" t="str">
        <x:v>当前范围收益计算结果 = 100 + 200 = 300 金币</x:v>
      </x:c>
      <x:c r="L191" s="4" t="str"/>
      <x:c r="M191" s="4" t="str">
        <x:v>未测</x:v>
      </x:c>
      <x:c r="N191" s="4" t="str"/>
      <x:c r="O191" s="4" t="str">
        <x:v>1. 来源（当前证据）：MainBasis/统一需求文档.md；位置：U-live-records-007，第10630行
2. 规则：BR-MB-05C644281C9B7C
3. 未动态验证</x:v>
      </x:c>
    </x:row>
  </x:sheetData>
  <x:dataValidations count="3">
    <x:dataValidation type="list" sqref="E2:E191">
      <x:formula1>"功能需求,业务流程,逻辑校验,异常用例"</x:formula1>
    </x:dataValidation>
    <x:dataValidation type="list" sqref="F2:F191">
      <x:formula1>"P0,P1,P2,P3"</x:formula1>
    </x:dataValidation>
    <x:dataValidation type="list" sqref="M2:M191">
      <x:formula1>"未测,通过,不通过,阻塞,不适用"</x:formula1>
    </x:dataValidation>
  </x:dataValidations>
  <x:pageMargins left="0.7" right="0.7" top="0.75" bottom="0.75" header="0.3" footer="0.3"/>
  <x:tableParts count="1">
    <x:tablePart xmlns:r="http://schemas.openxmlformats.org/officeDocument/2006/relationships" r:id="R2b945b0ea9c9446f"/>
  </x:tableParts>
</x:worksheet>
</file>

<file path=xl/worksheets/sheet3.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2" hidden="0" customWidth="1"/>
    <x:col min="2" max="2" width="13" hidden="0" customWidth="1"/>
    <x:col min="3" max="3" width="13" hidden="0" customWidth="1"/>
    <x:col min="4" max="4" width="22" hidden="0" customWidth="1"/>
    <x:col min="5" max="5" width="11" hidden="0" customWidth="1"/>
    <x:col min="6" max="6" width="13" hidden="0" customWidth="1"/>
    <x:col min="7" max="7" width="31" hidden="0" customWidth="1"/>
    <x:col min="8" max="8" width="19" hidden="0" customWidth="1"/>
    <x:col min="9" max="9" width="38" hidden="0" customWidth="1"/>
    <x:col min="10" max="10" width="44" hidden="0" customWidth="1"/>
    <x:col min="11" max="11" width="38" hidden="0" customWidth="1"/>
    <x:col min="12" max="12" width="12" hidden="0" customWidth="1"/>
    <x:col min="13" max="13" width="24" hidden="0" customWidth="1"/>
    <x:col min="14" max="14" width="38" hidden="0" customWidth="1"/>
    <x:col min="15" max="15" width="32" hidden="0" customWidth="1"/>
    <x:col min="16" max="16" width="20" hidden="0" customWidth="1"/>
    <x:col min="17" max="17" width="32" hidden="0" customWidth="1"/>
    <x:col min="18" max="18" width="12" hidden="0" customWidth="1"/>
    <x:col min="19" max="19" width="22" hidden="0" customWidth="1"/>
    <x:col min="20" max="20" width="12" hidden="0" customWidth="1"/>
  </x:cols>
  <x:sheetData>
    <x:row r="1" ht="34" customHeight="1">
      <x:c r="A1" s="7" t="str">
        <x:v>问题编号</x:v>
      </x:c>
      <x:c r="B1" s="7" t="str">
        <x:v>需求组编号</x:v>
      </x:c>
      <x:c r="C1" s="7" t="str">
        <x:v>父问题编号</x:v>
      </x:c>
      <x:c r="D1" s="7" t="str">
        <x:v>追问触发条件</x:v>
      </x:c>
      <x:c r="E1" s="7" t="str">
        <x:v>阻塞等级</x:v>
      </x:c>
      <x:c r="F1" s="7" t="str">
        <x:v>功能模块</x:v>
      </x:c>
      <x:c r="G1" s="7" t="str">
        <x:v>具体场景</x:v>
      </x:c>
      <x:c r="H1" s="7" t="str">
        <x:v>问题分类</x:v>
      </x:c>
      <x:c r="I1" s="7" t="str">
        <x:v>待决策问题</x:v>
      </x:c>
      <x:c r="J1" s="7" t="str">
        <x:v>可选方案</x:v>
      </x:c>
      <x:c r="K1" s="7" t="str">
        <x:v>测试建议</x:v>
      </x:c>
      <x:c r="L1" s="7" t="str">
        <x:v>产品结论</x:v>
      </x:c>
      <x:c r="M1" s="7" t="str">
        <x:v>结论补充</x:v>
      </x:c>
      <x:c r="N1" s="7" t="str">
        <x:v>已知依据</x:v>
      </x:c>
      <x:c r="O1" s="7" t="str">
        <x:v>影响范围</x:v>
      </x:c>
      <x:c r="P1" s="7" t="str">
        <x:v>已有用例编号</x:v>
      </x:c>
      <x:c r="Q1" s="7" t="str">
        <x:v>确认后待补用例</x:v>
      </x:c>
      <x:c r="R1" s="7" t="str">
        <x:v>负责人</x:v>
      </x:c>
      <x:c r="S1" s="7" t="str">
        <x:v>期望确认时间</x:v>
      </x:c>
      <x:c r="T1" s="7" t="str">
        <x:v>确认状态</x:v>
      </x:c>
    </x:row>
    <x:row r="2" ht="96" customHeight="1">
      <x:c r="A2" s="4" t="str">
        <x:v>Q-001</x:v>
      </x:c>
      <x:c r="B2" s="4" t="str">
        <x:v>RQ-001</x:v>
      </x:c>
      <x:c r="C2" s="4" t="str"/>
      <x:c r="D2" s="4" t="str"/>
      <x:c r="E2" s="4" t="str">
        <x:v>阻塞测试</x:v>
      </x:c>
      <x:c r="F2" s="4" t="str">
        <x:v>M05 公会申请·认证·组织与权限</x:v>
      </x:c>
      <x:c r="G2" s="4" t="str">
        <x:v>申请人提交入会材料后由公会审核</x:v>
      </x:c>
      <x:c r="H2" s="4" t="str">
        <x:v>业务规则</x:v>
      </x:c>
      <x:c r="I2" s="4" t="str">
        <x:v>公会初审通过时是否立即建立公会关系？</x:v>
      </x:c>
      <x:c r="J2" s="4" t="str">
        <x:v>A. 立即建立关系；主播身份在平台认证通过后生效
B. 公会初审及平台终审均通过后才建立关系和主播身份</x:v>
      </x:c>
      <x:c r="K2" s="4" t="str">
        <x:v>建议优先评估A：明确申请人提交入会材料后由公会审核的唯一处理口径后，可构造确定的输入和结果；此建议不代表产品结论</x:v>
      </x:c>
      <x:c r="L2" s="8" t="str"/>
      <x:c r="M2" s="8" t="str"/>
      <x:c r="N2" s="4" t="str">
        <x:v>1. MainBasis/需求待确认清单.md#Q001：入会、主播认证与身份生效顺序
2. 主文档关联：D-SYS-041、U-guild-application-form-010、G-guild-notifications-005、A-admin-host-review-001</x:v>
      </x:c>
      <x:c r="O2" s="4" t="str">
        <x:v>1. 用户App：申请人提交入会材料后由公会审核
2. 公会App：申请人提交入会材料后由公会审核
3. 管理后台：申请人提交入会材料后由公会审核</x:v>
      </x:c>
      <x:c r="P2" s="4" t="str"/>
      <x:c r="Q2" s="4" t="str">
        <x:v>1. 公会初审通过时是否立即建立公会关系的正向、边界及异常场景</x:v>
      </x:c>
      <x:c r="R2" s="4" t="str">
        <x:v>产品</x:v>
      </x:c>
      <x:c r="S2" s="4" t="str">
        <x:v>进入对应功能测试前</x:v>
      </x:c>
      <x:c r="T2" s="4" t="str">
        <x:v>待确认</x:v>
      </x:c>
    </x:row>
    <x:row r="3" ht="96" customHeight="1">
      <x:c r="A3" s="4" t="str">
        <x:v>Q-002</x:v>
      </x:c>
      <x:c r="B3" s="4" t="str">
        <x:v>RQ-001</x:v>
      </x:c>
      <x:c r="C3" s="4" t="str"/>
      <x:c r="D3" s="4" t="str"/>
      <x:c r="E3" s="4" t="str">
        <x:v>阻塞测试</x:v>
      </x:c>
      <x:c r="F3" s="4" t="str">
        <x:v>M05 公会申请·认证·组织与权限</x:v>
      </x:c>
      <x:c r="G3" s="4" t="str">
        <x:v>平台驳回认证后申请人再次申请</x:v>
      </x:c>
      <x:c r="H3" s="4" t="str">
        <x:v>业务规则</x:v>
      </x:c>
      <x:c r="I3" s="4" t="str">
        <x:v>再次提交是否创建新的申请单？</x:v>
      </x:c>
      <x:c r="J3" s="4" t="str">
        <x:v>A. 创建新单，旧单保持驳回快照
B. 重开原单，保留各次提交和审核版本</x:v>
      </x:c>
      <x:c r="K3" s="4" t="str">
        <x:v>建议优先评估A：明确平台驳回认证后申请人再次申请的唯一处理口径后，可构造确定的输入和结果；此建议不代表产品结论</x:v>
      </x:c>
      <x:c r="L3" s="8" t="str"/>
      <x:c r="M3" s="8" t="str"/>
      <x:c r="N3" s="4" t="str">
        <x:v>1. MainBasis/需求待确认清单.md#Q001：入会、主播认证与身份生效顺序
2. 主文档关联：D-SYS-041、U-guild-application-form-010、G-guild-notifications-005、A-admin-host-review-001</x:v>
      </x:c>
      <x:c r="O3" s="4" t="str">
        <x:v>1. 用户App：平台驳回认证后申请人再次申请
2. 公会App：平台驳回认证后申请人再次申请
3. 管理后台：平台驳回认证后申请人再次申请</x:v>
      </x:c>
      <x:c r="P3" s="4" t="str"/>
      <x:c r="Q3" s="4" t="str">
        <x:v>1. 再次提交是否创建新的申请单的正向、边界及异常场景</x:v>
      </x:c>
      <x:c r="R3" s="4" t="str">
        <x:v>产品</x:v>
      </x:c>
      <x:c r="S3" s="4" t="str">
        <x:v>进入对应功能测试前</x:v>
      </x:c>
      <x:c r="T3" s="4" t="str">
        <x:v>待确认</x:v>
      </x:c>
    </x:row>
    <x:row r="4" ht="96" customHeight="1">
      <x:c r="A4" s="4" t="str">
        <x:v>Q-011</x:v>
      </x:c>
      <x:c r="B4" s="4" t="str">
        <x:v>RQ-006</x:v>
      </x:c>
      <x:c r="C4" s="4" t="str"/>
      <x:c r="D4" s="4" t="str"/>
      <x:c r="E4" s="4" t="str">
        <x:v>阻塞测试</x:v>
      </x:c>
      <x:c r="F4" s="4" t="str">
        <x:v>M12 直播业绩·增长与统计报表</x:v>
      </x:c>
      <x:c r="G4" s="4" t="str">
        <x:v>用户充值，后台和财务查看实际支付金额</x:v>
      </x:c>
      <x:c r="H4" s="4" t="str">
        <x:v>业务规则</x:v>
      </x:c>
      <x:c r="I4" s="4" t="str">
        <x:v>本期充值支付以哪种货币记账？</x:v>
      </x:c>
      <x:c r="J4" s="4" t="str">
        <x:v>A. USD；保留渠道原币和实际汇率快照
B. IDR；保留渠道原币和实际汇率快照</x:v>
      </x:c>
      <x:c r="K4" s="4" t="str">
        <x:v>建议优先评估A：明确用户充值，后台和财务查看实际支付金额的唯一处理口径后，可构造确定的输入和结果；此建议不代表产品结论</x:v>
      </x:c>
      <x:c r="L4" s="8" t="str"/>
      <x:c r="M4" s="8" t="str"/>
      <x:c r="N4" s="4" t="str">
        <x:v>1. MainBasis/需求待确认清单.md#Q006：金币、支付货币、收益与结算币种换算
2. 主文档关联：D-SYS-172、U-income-sharing-003、A-admin-recharge-package-003、A-admin-recharge-package-detail-004</x:v>
      </x:c>
      <x:c r="O4" s="4" t="str">
        <x:v>1. 用户App：用户充值，后台和财务查看实际支付金额
2. 公会App：用户充值，后台和财务查看实际支付金额
3. 管理后台：用户充值，后台和财务查看实际支付金额</x:v>
      </x:c>
      <x:c r="P4" s="4" t="str"/>
      <x:c r="Q4" s="4" t="str">
        <x:v>1. 本期充值支付以哪种货币记账的正向、边界及异常场景</x:v>
      </x:c>
      <x:c r="R4" s="4" t="str">
        <x:v>产品</x:v>
      </x:c>
      <x:c r="S4" s="4" t="str">
        <x:v>进入对应功能测试前</x:v>
      </x:c>
      <x:c r="T4" s="4" t="str">
        <x:v>待确认</x:v>
      </x:c>
    </x:row>
    <x:row r="5" ht="96" customHeight="1">
      <x:c r="A5" s="4" t="str">
        <x:v>Q-012</x:v>
      </x:c>
      <x:c r="B5" s="4" t="str">
        <x:v>RQ-006</x:v>
      </x:c>
      <x:c r="C5" s="4" t="str"/>
      <x:c r="D5" s="4" t="str"/>
      <x:c r="E5" s="4" t="str">
        <x:v>阻塞测试</x:v>
      </x:c>
      <x:c r="F5" s="4" t="str">
        <x:v>M12 直播业绩·增长与统计报表</x:v>
      </x:c>
      <x:c r="G5" s="4" t="str">
        <x:v>财务录入主播或公会结算结果</x:v>
      </x:c>
      <x:c r="H5" s="4" t="str">
        <x:v>业务规则</x:v>
      </x:c>
      <x:c r="I5" s="4" t="str">
        <x:v>结算结果采用哪种金额币种？</x:v>
      </x:c>
      <x:c r="J5" s="4" t="str">
        <x:v>A. USD，上传文件每行必须带USD币种
B. IDR，上传文件每行必须带IDR币种</x:v>
      </x:c>
      <x:c r="K5" s="4" t="str">
        <x:v>建议优先评估A：明确财务录入主播或公会结算结果的唯一处理口径后，可构造确定的输入和结果；此建议不代表产品结论</x:v>
      </x:c>
      <x:c r="L5" s="8" t="str"/>
      <x:c r="M5" s="8" t="str"/>
      <x:c r="N5" s="4" t="str">
        <x:v>1. MainBasis/需求待确认清单.md#Q006：金币、支付货币、收益与结算币种换算
2. 主文档关联：D-SYS-172、U-income-sharing-003、A-admin-recharge-package-003、A-admin-recharge-package-detail-004</x:v>
      </x:c>
      <x:c r="O5" s="4" t="str">
        <x:v>1. 用户App：财务录入主播或公会结算结果
2. 公会App：财务录入主播或公会结算结果
3. 管理后台：财务录入主播或公会结算结果</x:v>
      </x:c>
      <x:c r="P5" s="4" t="str"/>
      <x:c r="Q5" s="4" t="str">
        <x:v>1. 结算结果采用哪种金额币种的正向、边界及异常场景</x:v>
      </x:c>
      <x:c r="R5" s="4" t="str">
        <x:v>产品</x:v>
      </x:c>
      <x:c r="S5" s="4" t="str">
        <x:v>进入对应功能测试前</x:v>
      </x:c>
      <x:c r="T5" s="4" t="str">
        <x:v>待确认</x:v>
      </x:c>
    </x:row>
    <x:row r="6" ht="96" customHeight="1">
      <x:c r="A6" s="4" t="str">
        <x:v>Q-013</x:v>
      </x:c>
      <x:c r="B6" s="4" t="str">
        <x:v>RQ-006</x:v>
      </x:c>
      <x:c r="C6" s="4" t="str"/>
      <x:c r="D6" s="4" t="str"/>
      <x:c r="E6" s="4" t="str">
        <x:v>阻塞测试</x:v>
      </x:c>
      <x:c r="F6" s="4" t="str">
        <x:v>M12 直播业绩·增长与统计报表</x:v>
      </x:c>
      <x:c r="G6" s="4" t="str">
        <x:v>订单支付日与结算日的汇率不同</x:v>
      </x:c>
      <x:c r="H6" s="4" t="str">
        <x:v>业务规则</x:v>
      </x:c>
      <x:c r="I6" s="4" t="str">
        <x:v>币种换算使用哪个时点的汇率？</x:v>
      </x:c>
      <x:c r="J6" s="4" t="str">
        <x:v>A. 使用订单支付成功时冻结的渠道汇率
B. 使用结算批次确认时冻结的财务汇率</x:v>
      </x:c>
      <x:c r="K6" s="4" t="str">
        <x:v>建议优先评估A：明确订单支付日与结算日的汇率不同的唯一处理口径后，可构造确定的输入和结果；此建议不代表产品结论</x:v>
      </x:c>
      <x:c r="L6" s="8" t="str"/>
      <x:c r="M6" s="8" t="str"/>
      <x:c r="N6" s="4" t="str">
        <x:v>1. MainBasis/需求待确认清单.md#Q006：金币、支付货币、收益与结算币种换算
2. 主文档关联：D-SYS-172、U-income-sharing-003、A-admin-recharge-package-003、A-admin-recharge-package-detail-004</x:v>
      </x:c>
      <x:c r="O6" s="4" t="str">
        <x:v>1. 用户App：订单支付日与结算日的汇率不同
2. 公会App：订单支付日与结算日的汇率不同
3. 管理后台：订单支付日与结算日的汇率不同</x:v>
      </x:c>
      <x:c r="P6" s="4" t="str"/>
      <x:c r="Q6" s="4" t="str">
        <x:v>1. 币种换算使用哪个时点的汇率的正向、边界及异常场景</x:v>
      </x:c>
      <x:c r="R6" s="4" t="str">
        <x:v>产品</x:v>
      </x:c>
      <x:c r="S6" s="4" t="str">
        <x:v>进入对应功能测试前</x:v>
      </x:c>
      <x:c r="T6" s="4" t="str">
        <x:v>待确认</x:v>
      </x:c>
    </x:row>
    <x:row r="7" ht="96" customHeight="1">
      <x:c r="A7" s="4" t="str">
        <x:v>Q-018</x:v>
      </x:c>
      <x:c r="B7" s="4" t="str">
        <x:v>RQ-010</x:v>
      </x:c>
      <x:c r="C7" s="4" t="str"/>
      <x:c r="D7" s="4" t="str"/>
      <x:c r="E7" s="4" t="str">
        <x:v>阻塞测试</x:v>
      </x:c>
      <x:c r="F7" s="4" t="str">
        <x:v>M06 开播·房型·观看·连麦与房内管理</x:v>
      </x:c>
      <x:c r="G7" s="4" t="str">
        <x:v>管理员配置幸运礼物价格</x:v>
      </x:c>
      <x:c r="H7" s="4" t="str">
        <x:v>业务规则</x:v>
      </x:c>
      <x:c r="I7" s="4" t="str">
        <x:v>每次独立开奖的消耗是否固定10金币？</x:v>
      </x:c>
      <x:c r="J7" s="4" t="str">
        <x:v>A. 固定10金币，其他值禁止保存
B. 读取每个SKU的正整数单次消耗配置</x:v>
      </x:c>
      <x:c r="K7" s="4" t="str">
        <x:v>建议优先评估A：明确管理员配置幸运礼物价格的唯一处理口径后，可构造确定的输入和结果；此建议不代表产品结论</x:v>
      </x:c>
      <x:c r="L7" s="8" t="str"/>
      <x:c r="M7" s="8" t="str"/>
      <x:c r="N7" s="4" t="str">
        <x:v>1. MainBasis/需求待确认清单.md#Q010：幸运礼物单次成本、数量档位、概率和上架验证
2. 主文档关联：D-SYS-137、U-live-room-011、A-admin-lucky-gift-config-003、U-views_live-room_gift-002</x:v>
      </x:c>
      <x:c r="O7" s="4" t="str">
        <x:v>1. 用户App：管理员配置幸运礼物价格
2. 公会App：管理员配置幸运礼物价格
3. 管理后台：管理员配置幸运礼物价格</x:v>
      </x:c>
      <x:c r="P7" s="4" t="str"/>
      <x:c r="Q7" s="4" t="str">
        <x:v>1. 每次独立开奖的消耗是否固定10金币的正向、边界及异常场景</x:v>
      </x:c>
      <x:c r="R7" s="4" t="str">
        <x:v>产品</x:v>
      </x:c>
      <x:c r="S7" s="4" t="str">
        <x:v>进入对应功能测试前</x:v>
      </x:c>
      <x:c r="T7" s="4" t="str">
        <x:v>待确认</x:v>
      </x:c>
    </x:row>
    <x:row r="8" ht="96" customHeight="1">
      <x:c r="A8" s="4" t="str">
        <x:v>Q-019</x:v>
      </x:c>
      <x:c r="B8" s="4" t="str">
        <x:v>RQ-010</x:v>
      </x:c>
      <x:c r="C8" s="4" t="str"/>
      <x:c r="D8" s="4" t="str"/>
      <x:c r="E8" s="4" t="str">
        <x:v>阻塞测试</x:v>
      </x:c>
      <x:c r="F8" s="4" t="str">
        <x:v>M06 开播·房型·观看·连麦与房内管理</x:v>
      </x:c>
      <x:c r="G8" s="4" t="str">
        <x:v>用户一次赠送数量为2至9的幸运礼物</x:v>
      </x:c>
      <x:c r="H8" s="4" t="str">
        <x:v>业务规则</x:v>
      </x:c>
      <x:c r="I8" s="4" t="str">
        <x:v>2至9个礼物采用哪套概率？</x:v>
      </x:c>
      <x:c r="J8" s="4" t="str">
        <x:v>A. 每个礼物均使用1个档的概率独立开奖
B. 每个礼物均使用10个档的概率独立开奖</x:v>
      </x:c>
      <x:c r="K8" s="4" t="str">
        <x:v>建议优先评估A：明确用户一次赠送数量为2至9的幸运礼物的唯一处理口径后，可构造确定的输入和结果；此建议不代表产品结论</x:v>
      </x:c>
      <x:c r="L8" s="8" t="str"/>
      <x:c r="M8" s="8" t="str"/>
      <x:c r="N8" s="4" t="str">
        <x:v>1. MainBasis/需求待确认清单.md#Q010：幸运礼物单次成本、数量档位、概率和上架验证
2. 主文档关联：D-SYS-137、U-live-room-011、A-admin-lucky-gift-config-003、U-views_live-room_gift-002</x:v>
      </x:c>
      <x:c r="O8" s="4" t="str">
        <x:v>1. 用户App：用户一次赠送数量为2至9的幸运礼物
2. 公会App：用户一次赠送数量为2至9的幸运礼物
3. 管理后台：用户一次赠送数量为2至9的幸运礼物</x:v>
      </x:c>
      <x:c r="P8" s="4" t="str"/>
      <x:c r="Q8" s="4" t="str">
        <x:v>1. 2至9个礼物采用哪套概率的正向、边界及异常场景</x:v>
      </x:c>
      <x:c r="R8" s="4" t="str">
        <x:v>产品</x:v>
      </x:c>
      <x:c r="S8" s="4" t="str">
        <x:v>进入对应功能测试前</x:v>
      </x:c>
      <x:c r="T8" s="4" t="str">
        <x:v>待确认</x:v>
      </x:c>
    </x:row>
    <x:row r="9" ht="96" customHeight="1">
      <x:c r="A9" s="4" t="str">
        <x:v>Q-020</x:v>
      </x:c>
      <x:c r="B9" s="4" t="str">
        <x:v>RQ-010</x:v>
      </x:c>
      <x:c r="C9" s="4" t="str"/>
      <x:c r="D9" s="4" t="str"/>
      <x:c r="E9" s="4" t="str">
        <x:v>阻塞测试</x:v>
      </x:c>
      <x:c r="F9" s="4" t="str">
        <x:v>M06 开播·房型·观看·连麦与房内管理</x:v>
      </x:c>
      <x:c r="G9" s="4" t="str">
        <x:v>用户一次赠送数量为11至99的幸运礼物</x:v>
      </x:c>
      <x:c r="H9" s="4" t="str">
        <x:v>业务规则</x:v>
      </x:c>
      <x:c r="I9" s="4" t="str">
        <x:v>11至99个礼物采用哪套概率？</x:v>
      </x:c>
      <x:c r="J9" s="4" t="str">
        <x:v>A. 每个礼物均使用10个档的概率独立开奖
B. 每个礼物均使用100个档的概率独立开奖</x:v>
      </x:c>
      <x:c r="K9" s="4" t="str">
        <x:v>建议优先评估A：明确用户一次赠送数量为11至99的幸运礼物的唯一处理口径后，可构造确定的输入和结果；此建议不代表产品结论</x:v>
      </x:c>
      <x:c r="L9" s="8" t="str"/>
      <x:c r="M9" s="8" t="str"/>
      <x:c r="N9" s="4" t="str">
        <x:v>1. MainBasis/需求待确认清单.md#Q010：幸运礼物单次成本、数量档位、概率和上架验证
2. 主文档关联：D-SYS-137、U-live-room-011、A-admin-lucky-gift-config-003、U-views_live-room_gift-002</x:v>
      </x:c>
      <x:c r="O9" s="4" t="str">
        <x:v>1. 用户App：用户一次赠送数量为11至99的幸运礼物
2. 公会App：用户一次赠送数量为11至99的幸运礼物
3. 管理后台：用户一次赠送数量为11至99的幸运礼物</x:v>
      </x:c>
      <x:c r="P9" s="4" t="str"/>
      <x:c r="Q9" s="4" t="str">
        <x:v>1. 11至99个礼物采用哪套概率的正向、边界及异常场景</x:v>
      </x:c>
      <x:c r="R9" s="4" t="str">
        <x:v>产品</x:v>
      </x:c>
      <x:c r="S9" s="4" t="str">
        <x:v>进入对应功能测试前</x:v>
      </x:c>
      <x:c r="T9" s="4" t="str">
        <x:v>待确认</x:v>
      </x:c>
    </x:row>
    <x:row r="10" ht="96" customHeight="1">
      <x:c r="A10" s="4" t="str">
        <x:v>Q-021</x:v>
      </x:c>
      <x:c r="B10" s="4" t="str">
        <x:v>RQ-010</x:v>
      </x:c>
      <x:c r="C10" s="4" t="str"/>
      <x:c r="D10" s="4" t="str"/>
      <x:c r="E10" s="4" t="str">
        <x:v>阻塞测试</x:v>
      </x:c>
      <x:c r="F10" s="4" t="str">
        <x:v>M06 开播·房型·观看·连麦与房内管理</x:v>
      </x:c>
      <x:c r="G10" s="4" t="str">
        <x:v>管理员验证幸运礼物配置后上架</x:v>
      </x:c>
      <x:c r="H10" s="4" t="str">
        <x:v>业务规则</x:v>
      </x:c>
      <x:c r="I10" s="4" t="str">
        <x:v>上架是否以统计抽样结果作为强制门槛？</x:v>
      </x:c>
      <x:c r="J10" s="4" t="str">
        <x:v>A. 不作为强制门槛，仅校验配置公式，抽样另作发布报告
B. 作为门槛，样本量和允许误差必须读取有版本的发布配置</x:v>
      </x:c>
      <x:c r="K10" s="4" t="str">
        <x:v>建议优先评估A：明确管理员验证幸运礼物配置后上架的唯一处理口径后，可构造确定的输入和结果；此建议不代表产品结论</x:v>
      </x:c>
      <x:c r="L10" s="8" t="str"/>
      <x:c r="M10" s="8" t="str"/>
      <x:c r="N10" s="4" t="str">
        <x:v>1. MainBasis/需求待确认清单.md#Q010：幸运礼物单次成本、数量档位、概率和上架验证
2. 主文档关联：D-SYS-137、U-live-room-011、A-admin-lucky-gift-config-003、U-views_live-room_gift-002</x:v>
      </x:c>
      <x:c r="O10" s="4" t="str">
        <x:v>1. 用户App：管理员验证幸运礼物配置后上架
2. 公会App：管理员验证幸运礼物配置后上架
3. 管理后台：管理员验证幸运礼物配置后上架</x:v>
      </x:c>
      <x:c r="P10" s="4" t="str"/>
      <x:c r="Q10" s="4" t="str">
        <x:v>1. 上架是否以统计抽样结果作为强制门槛的正向、边界及异常场景</x:v>
      </x:c>
      <x:c r="R10" s="4" t="str">
        <x:v>产品</x:v>
      </x:c>
      <x:c r="S10" s="4" t="str">
        <x:v>进入对应功能测试前</x:v>
      </x:c>
      <x:c r="T10" s="4" t="str">
        <x:v>待确认</x:v>
      </x:c>
    </x:row>
    <x:row r="11" ht="110" customHeight="1">
      <x:c r="A11" s="4" t="str">
        <x:v>Q-062</x:v>
      </x:c>
      <x:c r="B11" s="4" t="str">
        <x:v>RQ-029</x:v>
      </x:c>
      <x:c r="C11" s="4" t="str"/>
      <x:c r="D11" s="4" t="str"/>
      <x:c r="E11" s="4" t="str">
        <x:v>阻塞测试</x:v>
      </x:c>
      <x:c r="F11" s="4" t="str">
        <x:v>M11 财务·退款·结算上传与账户调整</x:v>
      </x:c>
      <x:c r="G11" s="4" t="str">
        <x:v>财务上传结果后查看主播或公会薪资账户</x:v>
      </x:c>
      <x:c r="H11" s="4" t="str">
        <x:v>业务规则</x:v>
      </x:c>
      <x:c r="I11" s="4" t="str">
        <x:v>薪资账户余额表示哪种业务数值？</x:v>
      </x:c>
      <x:c r="J11" s="4" t="str">
        <x:v>A. 累计已结算金额，线下付款不再扣减
B. 应付未付金额，线下付款需扣减
C. 已实际到账且可支取余额，支取后扣减</x:v>
      </x:c>
      <x:c r="K11" s="4" t="str">
        <x:v>建议优先评估A：明确财务上传结果后查看主播或公会薪资账户的唯一处理口径后，可构造确定的输入和结果；此建议不代表产品结论</x:v>
      </x:c>
      <x:c r="L11" s="8" t="str"/>
      <x:c r="M11" s="8" t="str"/>
      <x:c r="N11" s="4" t="str">
        <x:v>1. MainBasis/需求待确认清单.md#Q029：薪资账户、调整记录与线下实付的含义
2. 主文档关联：A-admin-host-account-balance-002、A-admin-guild-account-balance-002、A-admin-host-account-balance-003、A-admin-guild-account-balance-003</x:v>
      </x:c>
      <x:c r="O11" s="4" t="str">
        <x:v>1. 用户App：财务上传结果后查看主播或公会薪资账户
2. 公会App：财务上传结果后查看主播或公会薪资账户
3. 管理后台：财务上传结果后查看主播或公会薪资账户</x:v>
      </x:c>
      <x:c r="P11" s="4" t="str"/>
      <x:c r="Q11" s="4" t="str">
        <x:v>1. 薪资账户余额表示哪种业务数值的正向、边界及异常场景</x:v>
      </x:c>
      <x:c r="R11" s="4" t="str">
        <x:v>产品</x:v>
      </x:c>
      <x:c r="S11" s="4" t="str">
        <x:v>进入对应功能测试前</x:v>
      </x:c>
      <x:c r="T11" s="4" t="str">
        <x:v>待确认</x:v>
      </x:c>
    </x:row>
    <x:row r="12" ht="68" customHeight="1">
      <x:c r="A12" s="4" t="str">
        <x:v>Q-063</x:v>
      </x:c>
      <x:c r="B12" s="4" t="str">
        <x:v>RQ-030</x:v>
      </x:c>
      <x:c r="C12" s="4" t="str"/>
      <x:c r="D12" s="4" t="str"/>
      <x:c r="E12" s="4" t="str">
        <x:v>阻塞测试</x:v>
      </x:c>
      <x:c r="F12" s="4" t="str">
        <x:v>跨模块需求</x:v>
      </x:c>
      <x:c r="G12" s="4" t="str">
        <x:v>支付渠道重复发送成功通知</x:v>
      </x:c>
      <x:c r="H12" s="4" t="str">
        <x:v>异常处理</x:v>
      </x:c>
      <x:c r="I12" s="4" t="str">
        <x:v>重复回调如何识别同一笔入账？</x:v>
      </x:c>
      <x:c r="J12" s="4" t="str">
        <x:v>A. 以渠道交易号与订单号联合去重
B. 以平台订单号去重，渠道交易号仅作核对</x:v>
      </x:c>
      <x:c r="K12" s="4" t="str">
        <x:v>建议优先评估A：明确支付渠道重复发送成功通知的唯一处理口径后，可构造确定的输入和结果；此建议不代表产品结论</x:v>
      </x:c>
      <x:c r="L12" s="8" t="str"/>
      <x:c r="M12" s="8" t="str"/>
      <x:c r="N12" s="4" t="str">
        <x:v>1. MainBasis/需求待确认清单.md#Q030：支付与退款异步状态
2. 主文档关联：见风险来源中的来源异常范围</x:v>
      </x:c>
      <x:c r="O12" s="4" t="str">
        <x:v>1. 用户App：支付渠道重复发送成功通知
2. 管理后台：支付渠道重复发送成功通知</x:v>
      </x:c>
      <x:c r="P12" s="4" t="str"/>
      <x:c r="Q12" s="4" t="str">
        <x:v>1. 重复回调如何识别同一笔入账的正向、边界及异常场景</x:v>
      </x:c>
      <x:c r="R12" s="4" t="str">
        <x:v>多方确认</x:v>
      </x:c>
      <x:c r="S12" s="4" t="str">
        <x:v>进入对应功能测试前</x:v>
      </x:c>
      <x:c r="T12" s="4" t="str">
        <x:v>待确认</x:v>
      </x:c>
    </x:row>
    <x:row r="13" ht="68" customHeight="1">
      <x:c r="A13" s="4" t="str">
        <x:v>Q-064</x:v>
      </x:c>
      <x:c r="B13" s="4" t="str">
        <x:v>RQ-030</x:v>
      </x:c>
      <x:c r="C13" s="4" t="str"/>
      <x:c r="D13" s="4" t="str"/>
      <x:c r="E13" s="4" t="str">
        <x:v>阻塞测试</x:v>
      </x:c>
      <x:c r="F13" s="4" t="str">
        <x:v>跨模块需求</x:v>
      </x:c>
      <x:c r="G13" s="4" t="str">
        <x:v>订单超时后收到真实支付成功通知</x:v>
      </x:c>
      <x:c r="H13" s="4" t="str">
        <x:v>异常处理</x:v>
      </x:c>
      <x:c r="I13" s="4" t="str">
        <x:v>迟到成功回调是否补记充值？</x:v>
      </x:c>
      <x:c r="J13" s="4" t="str">
        <x:v>A. 补记一次到账并恢复成功状态
B. 不补记金币，发起原渠道退回</x:v>
      </x:c>
      <x:c r="K13" s="4" t="str">
        <x:v>建议优先评估A：明确订单超时后收到真实支付成功通知的唯一处理口径后，可构造确定的输入和结果；此建议不代表产品结论</x:v>
      </x:c>
      <x:c r="L13" s="8" t="str"/>
      <x:c r="M13" s="8" t="str"/>
      <x:c r="N13" s="4" t="str">
        <x:v>1. MainBasis/需求待确认清单.md#Q030：支付与退款异步状态
2. 主文档关联：见风险来源中的来源异常范围</x:v>
      </x:c>
      <x:c r="O13" s="4" t="str">
        <x:v>1. 用户App：订单超时后收到真实支付成功通知
2. 管理后台：订单超时后收到真实支付成功通知</x:v>
      </x:c>
      <x:c r="P13" s="4" t="str"/>
      <x:c r="Q13" s="4" t="str">
        <x:v>1. 迟到成功回调是否补记充值的正向、边界及异常场景</x:v>
      </x:c>
      <x:c r="R13" s="4" t="str">
        <x:v>多方确认</x:v>
      </x:c>
      <x:c r="S13" s="4" t="str">
        <x:v>进入对应功能测试前</x:v>
      </x:c>
      <x:c r="T13" s="4" t="str">
        <x:v>待确认</x:v>
      </x:c>
    </x:row>
    <x:row r="14" ht="96" customHeight="1">
      <x:c r="A14" s="4" t="str">
        <x:v>Q-003</x:v>
      </x:c>
      <x:c r="B14" s="4" t="str">
        <x:v>RQ-002</x:v>
      </x:c>
      <x:c r="C14" s="4" t="str"/>
      <x:c r="D14" s="4" t="str"/>
      <x:c r="E14" s="4" t="str">
        <x:v>部分阻塞</x:v>
      </x:c>
      <x:c r="F14" s="4" t="str">
        <x:v>M05 公会申请·认证·组织与权限</x:v>
      </x:c>
      <x:c r="G14" s="4" t="str">
        <x:v>管理员重新启用曾停用的公会</x:v>
      </x:c>
      <x:c r="H14" s="4" t="str">
        <x:v>业务规则</x:v>
      </x:c>
      <x:c r="I14" s="4" t="str">
        <x:v>恢复启用是否自动恢复停用时解除的主播关系？</x:v>
      </x:c>
      <x:c r="J14" s="4" t="str">
        <x:v>A. 不恢复，主播须重新申请
B. 仅恢复未加入其他公会且账号有效的原成员</x:v>
      </x:c>
      <x:c r="K14" s="4" t="str">
        <x:v>建议优先评估A：明确管理员重新启用曾停用的公会的唯一处理口径后，可构造确定的输入和结果；此建议不代表产品结论</x:v>
      </x:c>
      <x:c r="L14" s="8" t="str"/>
      <x:c r="M14" s="8" t="str"/>
      <x:c r="N14" s="4" t="str">
        <x:v>1. MainBasis/需求待确认清单.md#Q002：公会停用与解散的关系后果
2. 主文档关联：D-SYS-066、U-guild-management-007、G-guild-switch-003、A-admin-guild-list-005</x:v>
      </x:c>
      <x:c r="O14" s="4" t="str">
        <x:v>1. 用户App：管理员重新启用曾停用的公会
2. 公会App：管理员重新启用曾停用的公会
3. 管理后台：管理员重新启用曾停用的公会</x:v>
      </x:c>
      <x:c r="P14" s="4" t="str"/>
      <x:c r="Q14" s="4" t="str">
        <x:v>1. 恢复启用是否自动恢复停用时解除的主播关系的正向、边界及异常场景</x:v>
      </x:c>
      <x:c r="R14" s="4" t="str">
        <x:v>产品</x:v>
      </x:c>
      <x:c r="S14" s="4" t="str">
        <x:v>进入对应功能测试前</x:v>
      </x:c>
      <x:c r="T14" s="4" t="str">
        <x:v>待确认</x:v>
      </x:c>
    </x:row>
    <x:row r="15" ht="96" customHeight="1">
      <x:c r="A15" s="4" t="str">
        <x:v>Q-004</x:v>
      </x:c>
      <x:c r="B15" s="4" t="str">
        <x:v>RQ-002</x:v>
      </x:c>
      <x:c r="C15" s="4" t="str"/>
      <x:c r="D15" s="4" t="str"/>
      <x:c r="E15" s="4" t="str">
        <x:v>部分阻塞</x:v>
      </x:c>
      <x:c r="F15" s="4" t="str">
        <x:v>M05 公会申请·认证·组织与权限</x:v>
      </x:c>
      <x:c r="G15" s="4" t="str">
        <x:v>管理员停用公会时仍有未处理入会申请</x:v>
      </x:c>
      <x:c r="H15" s="4" t="str">
        <x:v>业务规则</x:v>
      </x:c>
      <x:c r="I15" s="4" t="str">
        <x:v>未处理申请是否自动终止？</x:v>
      </x:c>
      <x:c r="J15" s="4" t="str">
        <x:v>A. 终止并标记公会停用
B. 暂停处理，公会恢复后可继续审核</x:v>
      </x:c>
      <x:c r="K15" s="4" t="str">
        <x:v>建议优先评估A：明确管理员停用公会时仍有未处理入会申请的唯一处理口径后，可构造确定的输入和结果；此建议不代表产品结论</x:v>
      </x:c>
      <x:c r="L15" s="8" t="str"/>
      <x:c r="M15" s="8" t="str"/>
      <x:c r="N15" s="4" t="str">
        <x:v>1. MainBasis/需求待确认清单.md#Q002：公会停用与解散的关系后果
2. 主文档关联：D-SYS-066、U-guild-management-007、G-guild-switch-003、A-admin-guild-list-005</x:v>
      </x:c>
      <x:c r="O15" s="4" t="str">
        <x:v>1. 用户App：管理员停用公会时仍有未处理入会申请
2. 公会App：管理员停用公会时仍有未处理入会申请
3. 管理后台：管理员停用公会时仍有未处理入会申请</x:v>
      </x:c>
      <x:c r="P15" s="4" t="str"/>
      <x:c r="Q15" s="4" t="str">
        <x:v>1. 未处理申请是否自动终止的正向、边界及异常场景</x:v>
      </x:c>
      <x:c r="R15" s="4" t="str">
        <x:v>产品</x:v>
      </x:c>
      <x:c r="S15" s="4" t="str">
        <x:v>进入对应功能测试前</x:v>
      </x:c>
      <x:c r="T15" s="4" t="str">
        <x:v>待确认</x:v>
      </x:c>
    </x:row>
    <x:row r="16" ht="96" customHeight="1">
      <x:c r="A16" s="4" t="str">
        <x:v>Q-005</x:v>
      </x:c>
      <x:c r="B16" s="4" t="str">
        <x:v>RQ-002</x:v>
      </x:c>
      <x:c r="C16" s="4" t="str"/>
      <x:c r="D16" s="4" t="str"/>
      <x:c r="E16" s="4" t="str">
        <x:v>部分阻塞</x:v>
      </x:c>
      <x:c r="F16" s="4" t="str">
        <x:v>M05 公会申请·认证·组织与权限</x:v>
      </x:c>
      <x:c r="G16" s="4" t="str">
        <x:v>公会长有多个可管理公会，其中一个停用</x:v>
      </x:c>
      <x:c r="H16" s="4" t="str">
        <x:v>业务规则</x:v>
      </x:c>
      <x:c r="I16" s="4" t="str">
        <x:v>公会切换列表是否显示停用公会？</x:v>
      </x:c>
      <x:c r="J16" s="4" t="str">
        <x:v>A. 隐藏停用公会
B. 显示停用标记但禁止切入</x:v>
      </x:c>
      <x:c r="K16" s="4" t="str">
        <x:v>建议优先评估A：明确公会长有多个可管理公会，其中一个停用的唯一处理口径后，可构造确定的输入和结果；此建议不代表产品结论</x:v>
      </x:c>
      <x:c r="L16" s="8" t="str"/>
      <x:c r="M16" s="8" t="str"/>
      <x:c r="N16" s="4" t="str">
        <x:v>1. MainBasis/需求待确认清单.md#Q002：公会停用与解散的关系后果
2. 主文档关联：D-SYS-066、U-guild-management-007、G-guild-switch-003、A-admin-guild-list-005</x:v>
      </x:c>
      <x:c r="O16" s="4" t="str">
        <x:v>1. 用户App：公会长有多个可管理公会，其中一个停用
2. 公会App：公会长有多个可管理公会，其中一个停用
3. 管理后台：公会长有多个可管理公会，其中一个停用</x:v>
      </x:c>
      <x:c r="P16" s="4" t="str"/>
      <x:c r="Q16" s="4" t="str">
        <x:v>1. 公会切换列表是否显示停用公会的正向、边界及异常场景</x:v>
      </x:c>
      <x:c r="R16" s="4" t="str">
        <x:v>产品</x:v>
      </x:c>
      <x:c r="S16" s="4" t="str">
        <x:v>进入对应功能测试前</x:v>
      </x:c>
      <x:c r="T16" s="4" t="str">
        <x:v>待确认</x:v>
      </x:c>
    </x:row>
    <x:row r="17" ht="96" customHeight="1">
      <x:c r="A17" s="4" t="str">
        <x:v>Q-006</x:v>
      </x:c>
      <x:c r="B17" s="4" t="str">
        <x:v>RQ-003</x:v>
      </x:c>
      <x:c r="C17" s="4" t="str"/>
      <x:c r="D17" s="4" t="str"/>
      <x:c r="E17" s="4" t="str">
        <x:v>部分阻塞</x:v>
      </x:c>
      <x:c r="F17" s="4" t="str">
        <x:v>M05 公会申请·认证·组织与权限</x:v>
      </x:c>
      <x:c r="G17" s="4" t="str">
        <x:v>平台关闭开播权限但锁定标志未开启</x:v>
      </x:c>
      <x:c r="H17" s="4" t="str">
        <x:v>业务规则</x:v>
      </x:c>
      <x:c r="I17" s="4" t="str">
        <x:v>公会端是否仍显示权限已锁定？</x:v>
      </x:c>
      <x:c r="J17" s="4" t="str">
        <x:v>A. 显示平台已关闭，只禁用控制，不显示已锁定
B. 显示已锁定，平台关闭隐含锁定效果</x:v>
      </x:c>
      <x:c r="K17" s="4" t="str">
        <x:v>建议优先评估A：明确平台关闭开播权限但锁定标志未开启的唯一处理口径后，可构造确定的输入和结果；此建议不代表产品结论</x:v>
      </x:c>
      <x:c r="L17" s="8" t="str"/>
      <x:c r="M17" s="8" t="str"/>
      <x:c r="N17" s="4" t="str">
        <x:v>1. MainBasis/需求待确认清单.md#Q003：平台锁定与公会原权限的完整真值表
2. 主文档关联：D-SYS-083、G-guild-host-detail-006、A-admin-host-list-008、A-admin-host-detail-003</x:v>
      </x:c>
      <x:c r="O17" s="4" t="str">
        <x:v>1. 用户App：平台关闭开播权限但锁定标志未开启
2. 公会App：平台关闭开播权限但锁定标志未开启
3. 管理后台：平台关闭开播权限但锁定标志未开启</x:v>
      </x:c>
      <x:c r="P17" s="4" t="str"/>
      <x:c r="Q17" s="4" t="str">
        <x:v>1. 公会端是否仍显示权限已锁定的正向、边界及异常场景</x:v>
      </x:c>
      <x:c r="R17" s="4" t="str">
        <x:v>产品</x:v>
      </x:c>
      <x:c r="S17" s="4" t="str">
        <x:v>进入对应功能测试前</x:v>
      </x:c>
      <x:c r="T17" s="4" t="str">
        <x:v>待确认</x:v>
      </x:c>
    </x:row>
    <x:row r="18" ht="96" customHeight="1">
      <x:c r="A18" s="4" t="str">
        <x:v>Q-007</x:v>
      </x:c>
      <x:c r="B18" s="4" t="str">
        <x:v>RQ-003</x:v>
      </x:c>
      <x:c r="C18" s="4" t="str"/>
      <x:c r="D18" s="4" t="str"/>
      <x:c r="E18" s="4" t="str">
        <x:v>部分阻塞</x:v>
      </x:c>
      <x:c r="F18" s="4" t="str">
        <x:v>M05 公会申请·认证·组织与权限</x:v>
      </x:c>
      <x:c r="G18" s="4" t="str">
        <x:v>平台先关闭再开启主播开播权限</x:v>
      </x:c>
      <x:c r="H18" s="4" t="str">
        <x:v>业务规则</x:v>
      </x:c>
      <x:c r="I18" s="4" t="str">
        <x:v>重新开启时是否保留操作前的锁定标志？</x:v>
      </x:c>
      <x:c r="J18" s="4" t="str">
        <x:v>A. 保留锁定标志，并按该标志重算最终权限
B. 开启时清除锁定，按原公会权限重算</x:v>
      </x:c>
      <x:c r="K18" s="4" t="str">
        <x:v>建议优先评估A：明确平台先关闭再开启主播开播权限的唯一处理口径后，可构造确定的输入和结果；此建议不代表产品结论</x:v>
      </x:c>
      <x:c r="L18" s="8" t="str"/>
      <x:c r="M18" s="8" t="str"/>
      <x:c r="N18" s="4" t="str">
        <x:v>1. MainBasis/需求待确认清单.md#Q003：平台锁定与公会原权限的完整真值表
2. 主文档关联：D-SYS-083、G-guild-host-detail-006、A-admin-host-list-008、A-admin-host-detail-003</x:v>
      </x:c>
      <x:c r="O18" s="4" t="str">
        <x:v>1. 用户App：平台先关闭再开启主播开播权限
2. 公会App：平台先关闭再开启主播开播权限
3. 管理后台：平台先关闭再开启主播开播权限</x:v>
      </x:c>
      <x:c r="P18" s="4" t="str"/>
      <x:c r="Q18" s="4" t="str">
        <x:v>1. 重新开启时是否保留操作前的锁定标志的正向、边界及异常场景</x:v>
      </x:c>
      <x:c r="R18" s="4" t="str">
        <x:v>产品</x:v>
      </x:c>
      <x:c r="S18" s="4" t="str">
        <x:v>进入对应功能测试前</x:v>
      </x:c>
      <x:c r="T18" s="4" t="str">
        <x:v>待确认</x:v>
      </x:c>
    </x:row>
    <x:row r="19" ht="96" customHeight="1">
      <x:c r="A19" s="4" t="str">
        <x:v>Q-008</x:v>
      </x:c>
      <x:c r="B19" s="4" t="str">
        <x:v>RQ-004</x:v>
      </x:c>
      <x:c r="C19" s="4" t="str"/>
      <x:c r="D19" s="4" t="str"/>
      <x:c r="E19" s="4" t="str">
        <x:v>部分阻塞</x:v>
      </x:c>
      <x:c r="F19" s="4" t="str">
        <x:v>M05 公会申请·认证·组织与权限</x:v>
      </x:c>
      <x:c r="G19" s="4" t="str">
        <x:v>主播有未结收益时提交退会申请</x:v>
      </x:c>
      <x:c r="H19" s="4" t="str">
        <x:v>业务规则</x:v>
      </x:c>
      <x:c r="I19" s="4" t="str">
        <x:v>有未结收益时是否允许提交退会申请？</x:v>
      </x:c>
      <x:c r="J19" s="4" t="str">
        <x:v>A. 不允许，收益结清后再办理
B. 允许，旧公会收益归属保留至线下结清</x:v>
      </x:c>
      <x:c r="K19" s="4" t="str">
        <x:v>建议优先评估A：明确主播有未结收益时提交退会申请的唯一处理口径后，可构造确定的输入和结果；此建议不代表产品结论</x:v>
      </x:c>
      <x:c r="L19" s="8" t="str"/>
      <x:c r="M19" s="8" t="str"/>
      <x:c r="N19" s="4" t="str">
        <x:v>1. MainBasis/需求待确认清单.md#Q004：未结算收益是否阻止退会或移除
2. 主文档关联：G-guild-host-detail-009、A-admin-guild-detail-012</x:v>
      </x:c>
      <x:c r="O19" s="4" t="str">
        <x:v>1. 用户App：主播有未结收益时提交退会申请
2. 公会App：主播有未结收益时提交退会申请
3. 管理后台：主播有未结收益时提交退会申请</x:v>
      </x:c>
      <x:c r="P19" s="4" t="str"/>
      <x:c r="Q19" s="4" t="str">
        <x:v>1. 有未结收益时是否允许提交退会申请的正向、边界及异常场景</x:v>
      </x:c>
      <x:c r="R19" s="4" t="str">
        <x:v>产品</x:v>
      </x:c>
      <x:c r="S19" s="4" t="str">
        <x:v>进入对应功能测试前</x:v>
      </x:c>
      <x:c r="T19" s="4" t="str">
        <x:v>待确认</x:v>
      </x:c>
    </x:row>
    <x:row r="20" ht="96" customHeight="1">
      <x:c r="A20" s="4" t="str">
        <x:v>Q-009</x:v>
      </x:c>
      <x:c r="B20" s="4" t="str">
        <x:v>RQ-004</x:v>
      </x:c>
      <x:c r="C20" s="4" t="str"/>
      <x:c r="D20" s="4" t="str"/>
      <x:c r="E20" s="4" t="str">
        <x:v>部分阻塞</x:v>
      </x:c>
      <x:c r="F20" s="4" t="str">
        <x:v>M05 公会申请·认证·组织与权限</x:v>
      </x:c>
      <x:c r="G20" s="4" t="str">
        <x:v>主播有未结收益时通过退会申请</x:v>
      </x:c>
      <x:c r="H20" s="4" t="str">
        <x:v>业务规则</x:v>
      </x:c>
      <x:c r="I20" s="4" t="str">
        <x:v>有未结收益时是否允许通过退会申请？</x:v>
      </x:c>
      <x:c r="J20" s="4" t="str">
        <x:v>A. 不允许，收益结清后再办理
B. 允许，旧公会收益归属保留至线下结清</x:v>
      </x:c>
      <x:c r="K20" s="4" t="str">
        <x:v>建议优先评估A：明确主播有未结收益时通过退会申请的唯一处理口径后，可构造确定的输入和结果；此建议不代表产品结论</x:v>
      </x:c>
      <x:c r="L20" s="8" t="str"/>
      <x:c r="M20" s="8" t="str"/>
      <x:c r="N20" s="4" t="str">
        <x:v>1. MainBasis/需求待确认清单.md#Q004：未结算收益是否阻止退会或移除
2. 主文档关联：G-guild-host-detail-009、A-admin-guild-detail-012</x:v>
      </x:c>
      <x:c r="O20" s="4" t="str">
        <x:v>1. 用户App：主播有未结收益时通过退会申请
2. 公会App：主播有未结收益时通过退会申请
3. 管理后台：主播有未结收益时通过退会申请</x:v>
      </x:c>
      <x:c r="P20" s="4" t="str"/>
      <x:c r="Q20" s="4" t="str">
        <x:v>1. 有未结收益时是否允许通过退会申请的正向、边界及异常场景</x:v>
      </x:c>
      <x:c r="R20" s="4" t="str">
        <x:v>产品</x:v>
      </x:c>
      <x:c r="S20" s="4" t="str">
        <x:v>进入对应功能测试前</x:v>
      </x:c>
      <x:c r="T20" s="4" t="str">
        <x:v>待确认</x:v>
      </x:c>
    </x:row>
    <x:row r="21" ht="96" customHeight="1">
      <x:c r="A21" s="4" t="str">
        <x:v>Q-010</x:v>
      </x:c>
      <x:c r="B21" s="4" t="str">
        <x:v>RQ-005</x:v>
      </x:c>
      <x:c r="C21" s="4" t="str"/>
      <x:c r="D21" s="4" t="str"/>
      <x:c r="E21" s="4" t="str">
        <x:v>部分阻塞</x:v>
      </x:c>
      <x:c r="F21" s="4" t="str">
        <x:v>M11 财务·退款·结算上传与账户调整</x:v>
      </x:c>
      <x:c r="G21" s="4" t="str">
        <x:v>财务改为线下核算后维护商品分成规则</x:v>
      </x:c>
      <x:c r="H21" s="4" t="str">
        <x:v>业务规则</x:v>
      </x:c>
      <x:c r="I21" s="4" t="str">
        <x:v>是否继续维护和绑定SKU分成比例？</x:v>
      </x:c>
      <x:c r="J21" s="4" t="str">
        <x:v>A. 保留配置与历史比例快照，系统不计算分成金额
B. 停止新增和修改配置，历史配置只读归档</x:v>
      </x:c>
      <x:c r="K21" s="4" t="str">
        <x:v>建议优先评估A：明确财务改为线下核算后维护商品分成规则的唯一处理口径后，可构造确定的输入和结果；此建议不代表产品结论</x:v>
      </x:c>
      <x:c r="L21" s="8" t="str"/>
      <x:c r="M21" s="8" t="str"/>
      <x:c r="N21" s="4" t="str">
        <x:v>1. MainBasis/需求待确认清单.md#Q005：SKU 分成配置是否保留及系统计算边界
2. 主文档关联：D-SYS-036、G-guild-share-ledger-005、A-admin-settlement-record-001、A-admin-settlement-record-detail-006</x:v>
      </x:c>
      <x:c r="O21" s="4" t="str">
        <x:v>1. 用户App：财务改为线下核算后维护商品分成规则
2. 公会App：财务改为线下核算后维护商品分成规则
3. 管理后台：财务改为线下核算后维护商品分成规则</x:v>
      </x:c>
      <x:c r="P21" s="4" t="str"/>
      <x:c r="Q21" s="4" t="str">
        <x:v>1. 是否继续维护和绑定SKU分成比例的正向、边界及异常场景</x:v>
      </x:c>
      <x:c r="R21" s="4" t="str">
        <x:v>产品</x:v>
      </x:c>
      <x:c r="S21" s="4" t="str">
        <x:v>进入对应功能测试前</x:v>
      </x:c>
      <x:c r="T21" s="4" t="str">
        <x:v>待确认</x:v>
      </x:c>
    </x:row>
    <x:row r="22" ht="96" customHeight="1">
      <x:c r="A22" s="4" t="str">
        <x:v>Q-014</x:v>
      </x:c>
      <x:c r="B22" s="4" t="str">
        <x:v>RQ-007</x:v>
      </x:c>
      <x:c r="C22" s="4" t="str"/>
      <x:c r="D22" s="4" t="str"/>
      <x:c r="E22" s="4" t="str">
        <x:v>部分阻塞</x:v>
      </x:c>
      <x:c r="F22" s="4" t="str">
        <x:v>M04 粉丝团·房管与成长等级</x:v>
      </x:c>
      <x:c r="G22" s="4" t="str">
        <x:v>十笔幸运礼物各产生0.1金币收益</x:v>
      </x:c>
      <x:c r="H22" s="4" t="str">
        <x:v>业务规则</x:v>
      </x:c>
      <x:c r="I22" s="4" t="str">
        <x:v>幸运收益在哪个粒度舍去不足1金币的部分？</x:v>
      </x:c>
      <x:c r="J22" s="4" t="str">
        <x:v>A. 每笔赠送分别舍去，此例收益0金币
B. 按场次汇总后舍去，此例收益1金币</x:v>
      </x:c>
      <x:c r="K22" s="4" t="str">
        <x:v>建议优先评估A：明确十笔幸运礼物各产生0.1金币收益的唯一处理口径后，可构造确定的输入和结果；此建议不代表产品结论</x:v>
      </x:c>
      <x:c r="L22" s="8" t="str"/>
      <x:c r="M22" s="8" t="str"/>
      <x:c r="N22" s="4" t="str">
        <x:v>1. MainBasis/需求待确认清单.md#Q007：幸运收益与各类金额的精度和取整时点
2. 主文档关联：A-admin-level-config-022</x:v>
      </x:c>
      <x:c r="O22" s="4" t="str">
        <x:v>1. 用户App：十笔幸运礼物各产生0.1金币收益
2. 公会App：十笔幸运礼物各产生0.1金币收益
3. 管理后台：十笔幸运礼物各产生0.1金币收益</x:v>
      </x:c>
      <x:c r="P22" s="4" t="str"/>
      <x:c r="Q22" s="4" t="str">
        <x:v>1. 幸运收益在哪个粒度舍去不足1金币的部分的正向、边界及异常场景</x:v>
      </x:c>
      <x:c r="R22" s="4" t="str">
        <x:v>产品</x:v>
      </x:c>
      <x:c r="S22" s="4" t="str">
        <x:v>进入对应功能测试前</x:v>
      </x:c>
      <x:c r="T22" s="4" t="str">
        <x:v>待确认</x:v>
      </x:c>
    </x:row>
    <x:row r="23" ht="96" customHeight="1">
      <x:c r="A23" s="4" t="str">
        <x:v>Q-015</x:v>
      </x:c>
      <x:c r="B23" s="4" t="str">
        <x:v>RQ-007</x:v>
      </x:c>
      <x:c r="C23" s="4" t="str"/>
      <x:c r="D23" s="4" t="str"/>
      <x:c r="E23" s="4" t="str">
        <x:v>部分阻塞</x:v>
      </x:c>
      <x:c r="F23" s="4" t="str">
        <x:v>M04 粉丝团·房管与成长等级</x:v>
      </x:c>
      <x:c r="G23" s="4" t="str">
        <x:v>后台编辑幸运礼物收益比例</x:v>
      </x:c>
      <x:c r="H23" s="4" t="str">
        <x:v>业务规则</x:v>
      </x:c>
      <x:c r="I23" s="4" t="str">
        <x:v>比例允许的小数位数以何为准？</x:v>
      </x:c>
      <x:c r="J23" s="4" t="str">
        <x:v>A. 最多两位小数，多余精度拒绝保存
B. 仅允许整数百分比</x:v>
      </x:c>
      <x:c r="K23" s="4" t="str">
        <x:v>建议优先评估A：明确后台编辑幸运礼物收益比例的唯一处理口径后，可构造确定的输入和结果；此建议不代表产品结论</x:v>
      </x:c>
      <x:c r="L23" s="8" t="str"/>
      <x:c r="M23" s="8" t="str"/>
      <x:c r="N23" s="4" t="str">
        <x:v>1. MainBasis/需求待确认清单.md#Q007：幸运收益与各类金额的精度和取整时点
2. 主文档关联：A-admin-level-config-022</x:v>
      </x:c>
      <x:c r="O23" s="4" t="str">
        <x:v>1. 用户App：后台编辑幸运礼物收益比例
2. 公会App：后台编辑幸运礼物收益比例
3. 管理后台：后台编辑幸运礼物收益比例</x:v>
      </x:c>
      <x:c r="P23" s="4" t="str"/>
      <x:c r="Q23" s="4" t="str">
        <x:v>1. 比例允许的小数位数以何为准的正向、边界及异常场景</x:v>
      </x:c>
      <x:c r="R23" s="4" t="str">
        <x:v>产品</x:v>
      </x:c>
      <x:c r="S23" s="4" t="str">
        <x:v>进入对应功能测试前</x:v>
      </x:c>
      <x:c r="T23" s="4" t="str">
        <x:v>待确认</x:v>
      </x:c>
    </x:row>
    <x:row r="24" ht="96" customHeight="1">
      <x:c r="A24" s="4" t="str">
        <x:v>Q-016</x:v>
      </x:c>
      <x:c r="B24" s="4" t="str">
        <x:v>RQ-008</x:v>
      </x:c>
      <x:c r="C24" s="4" t="str"/>
      <x:c r="D24" s="4" t="str"/>
      <x:c r="E24" s="4" t="str">
        <x:v>部分阻塞</x:v>
      </x:c>
      <x:c r="F24" s="4" t="str">
        <x:v>M02 发现·搜索·主页与平台榜单</x:v>
      </x:c>
      <x:c r="G24" s="4" t="str">
        <x:v>已成功消费订单发生业务纠错</x:v>
      </x:c>
      <x:c r="H24" s="4" t="str">
        <x:v>业务规则</x:v>
      </x:c>
      <x:c r="I24" s="4" t="str">
        <x:v>本期是否支持消费冲正？</x:v>
      </x:c>
      <x:c r="J24" s="4" t="str">
        <x:v>A. 支持，仅管理后台授权财务可发起，并保留原单
B. 不支持，礼物和门票消费成功后无冲正入口</x:v>
      </x:c>
      <x:c r="K24" s="4" t="str">
        <x:v>建议优先评估A：明确已成功消费订单发生业务纠错的唯一处理口径后，可构造确定的输入和结果；此建议不代表产品结论</x:v>
      </x:c>
      <x:c r="L24" s="8" t="str"/>
      <x:c r="M24" s="8" t="str"/>
      <x:c r="N24" s="4" t="str">
        <x:v>1. MainBasis/需求待确认清单.md#Q008：充值退款与消费冲正的适用范围
2. 主文档关联：D-SYS-134、U-host-ranking-009、A-admin-recharge-order-008、U-contribution-ranking-009</x:v>
      </x:c>
      <x:c r="O24" s="4" t="str">
        <x:v>1. 用户App：已成功消费订单发生业务纠错
2. 公会App：已成功消费订单发生业务纠错
3. 管理后台：已成功消费订单发生业务纠错</x:v>
      </x:c>
      <x:c r="P24" s="4" t="str"/>
      <x:c r="Q24" s="4" t="str">
        <x:v>1. 本期是否支持消费冲正的正向、边界及异常场景</x:v>
      </x:c>
      <x:c r="R24" s="4" t="str">
        <x:v>产品</x:v>
      </x:c>
      <x:c r="S24" s="4" t="str">
        <x:v>进入对应功能测试前</x:v>
      </x:c>
      <x:c r="T24" s="4" t="str">
        <x:v>待确认</x:v>
      </x:c>
    </x:row>
    <x:row r="25" ht="96" customHeight="1">
      <x:c r="A25" s="4" t="str">
        <x:v>Q-017</x:v>
      </x:c>
      <x:c r="B25" s="4" t="str">
        <x:v>RQ-009</x:v>
      </x:c>
      <x:c r="C25" s="4" t="str"/>
      <x:c r="D25" s="4" t="str"/>
      <x:c r="E25" s="4" t="str">
        <x:v>部分阻塞</x:v>
      </x:c>
      <x:c r="F25" s="4" t="str">
        <x:v>M04 粉丝团·房管与成长等级</x:v>
      </x:c>
      <x:c r="G25" s="4" t="str">
        <x:v>充值退款发生但此前赠送的礼物保留</x:v>
      </x:c>
      <x:c r="H25" s="4" t="str">
        <x:v>业务规则</x:v>
      </x:c>
      <x:c r="I25" s="4" t="str">
        <x:v>是否扣减财富等级成长值？</x:v>
      </x:c>
      <x:c r="J25" s="4" t="str">
        <x:v>A. 不扣减，财富成长仍按成功赠礼贡献
B. 按退款回收金币等额扣减财富成长，最低回到1级</x:v>
      </x:c>
      <x:c r="K25" s="4" t="str">
        <x:v>建议优先评估A：明确充值退款发生但此前赠送的礼物保留的唯一处理口径后，可构造确定的输入和结果；此建议不代表产品结论</x:v>
      </x:c>
      <x:c r="L25" s="8" t="str"/>
      <x:c r="M25" s="8" t="str"/>
      <x:c r="N25" s="4" t="str">
        <x:v>1. MainBasis/需求待确认清单.md#Q009：充值退款如何影响以送礼贡献计算的财富等级
2. 主文档关联：U-my-fan-clubs-015、A-admin-level-config-010、A-admin-level-config-023</x:v>
      </x:c>
      <x:c r="O25" s="4" t="str">
        <x:v>1. 用户App：充值退款发生但此前赠送的礼物保留
2. 公会App：充值退款发生但此前赠送的礼物保留
3. 管理后台：充值退款发生但此前赠送的礼物保留</x:v>
      </x:c>
      <x:c r="P25" s="4" t="str"/>
      <x:c r="Q25" s="4" t="str">
        <x:v>1. 是否扣减财富等级成长值的正向、边界及异常场景</x:v>
      </x:c>
      <x:c r="R25" s="4" t="str">
        <x:v>产品</x:v>
      </x:c>
      <x:c r="S25" s="4" t="str">
        <x:v>进入对应功能测试前</x:v>
      </x:c>
      <x:c r="T25" s="4" t="str">
        <x:v>待确认</x:v>
      </x:c>
    </x:row>
    <x:row r="26" ht="110" customHeight="1">
      <x:c r="A26" s="4" t="str">
        <x:v>Q-022</x:v>
      </x:c>
      <x:c r="B26" s="4" t="str">
        <x:v>RQ-011</x:v>
      </x:c>
      <x:c r="C26" s="4" t="str"/>
      <x:c r="D26" s="4" t="str"/>
      <x:c r="E26" s="4" t="str">
        <x:v>部分阻塞</x:v>
      </x:c>
      <x:c r="F26" s="4" t="str">
        <x:v>M08 礼物·道具·任务·邀请与运营配置</x:v>
      </x:c>
      <x:c r="G26" s="4" t="str">
        <x:v>管理员创建任务并选择奖励</x:v>
      </x:c>
      <x:c r="H26" s="4" t="str">
        <x:v>业务规则</x:v>
      </x:c>
      <x:c r="I26" s="4" t="str">
        <x:v>任务奖励是否允许道具？</x:v>
      </x:c>
      <x:c r="J26" s="4" t="str">
        <x:v>A. 仅金币；现有道具视图从本期任务流程移除
B. 允许金币或道具单选；已发出的奖励保持原类型</x:v>
      </x:c>
      <x:c r="K26" s="4" t="str">
        <x:v>建议优先评估A：明确管理员创建任务并选择奖励的唯一处理口径后，可构造确定的输入和结果；此建议不代表产品结论</x:v>
      </x:c>
      <x:c r="L26" s="8" t="str"/>
      <x:c r="M26" s="8" t="str"/>
      <x:c r="N26" s="4" t="str">
        <x:v>1. MainBasis/需求待确认清单.md#Q011：签到、任务与道具奖励的类型和领取方式
2. 主文档关联：U-welfare-center-007、A-admin-task-config-006、U-my-decoration-004、U-views_welfare-center_claimed-005</x:v>
      </x:c>
      <x:c r="O26" s="4" t="str">
        <x:v>1. 用户App：管理员创建任务并选择奖励
2. 公会App：管理员创建任务并选择奖励
3. 管理后台：管理员创建任务并选择奖励</x:v>
      </x:c>
      <x:c r="P26" s="4" t="str"/>
      <x:c r="Q26" s="4" t="str">
        <x:v>1. 任务奖励是否允许道具的正向、边界及异常场景</x:v>
      </x:c>
      <x:c r="R26" s="4" t="str">
        <x:v>产品</x:v>
      </x:c>
      <x:c r="S26" s="4" t="str">
        <x:v>进入对应功能测试前</x:v>
      </x:c>
      <x:c r="T26" s="4" t="str">
        <x:v>待确认</x:v>
      </x:c>
    </x:row>
    <x:row r="27" ht="110" customHeight="1">
      <x:c r="A27" s="4" t="str">
        <x:v>Q-023</x:v>
      </x:c>
      <x:c r="B27" s="4" t="str">
        <x:v>RQ-011</x:v>
      </x:c>
      <x:c r="C27" s="4" t="str"/>
      <x:c r="D27" s="4" t="str"/>
      <x:c r="E27" s="4" t="str">
        <x:v>部分阻塞</x:v>
      </x:c>
      <x:c r="F27" s="4" t="str">
        <x:v>M08 礼物·道具·任务·邀请与运营配置</x:v>
      </x:c>
      <x:c r="G27" s="4" t="str">
        <x:v>用户断签后返回每日签到</x:v>
      </x:c>
      <x:c r="H27" s="4" t="str">
        <x:v>业务规则</x:v>
      </x:c>
      <x:c r="I27" s="4" t="str">
        <x:v>是否允许补签？</x:v>
      </x:c>
      <x:c r="J27" s="4" t="str">
        <x:v>A. 不允许，断签后从第1天重新累计
B. 允许使用补签功能，补签价格及次数以公开配置为准</x:v>
      </x:c>
      <x:c r="K27" s="4" t="str">
        <x:v>建议优先评估A：明确用户断签后返回每日签到的唯一处理口径后，可构造确定的输入和结果；此建议不代表产品结论</x:v>
      </x:c>
      <x:c r="L27" s="8" t="str"/>
      <x:c r="M27" s="8" t="str"/>
      <x:c r="N27" s="4" t="str">
        <x:v>1. MainBasis/需求待确认清单.md#Q011：签到、任务与道具奖励的类型和领取方式
2. 主文档关联：U-welfare-center-007、A-admin-task-config-006、U-my-decoration-004、U-views_welfare-center_claimed-005</x:v>
      </x:c>
      <x:c r="O27" s="4" t="str">
        <x:v>1. 用户App：用户断签后返回每日签到
2. 公会App：用户断签后返回每日签到
3. 管理后台：用户断签后返回每日签到</x:v>
      </x:c>
      <x:c r="P27" s="4" t="str"/>
      <x:c r="Q27" s="4" t="str">
        <x:v>1. 是否允许补签的正向、边界及异常场景</x:v>
      </x:c>
      <x:c r="R27" s="4" t="str">
        <x:v>产品</x:v>
      </x:c>
      <x:c r="S27" s="4" t="str">
        <x:v>进入对应功能测试前</x:v>
      </x:c>
      <x:c r="T27" s="4" t="str">
        <x:v>待确认</x:v>
      </x:c>
    </x:row>
    <x:row r="28" ht="110" customHeight="1">
      <x:c r="A28" s="4" t="str">
        <x:v>Q-024</x:v>
      </x:c>
      <x:c r="B28" s="4" t="str">
        <x:v>RQ-011</x:v>
      </x:c>
      <x:c r="C28" s="4" t="str"/>
      <x:c r="D28" s="4" t="str"/>
      <x:c r="E28" s="4" t="str">
        <x:v>部分阻塞</x:v>
      </x:c>
      <x:c r="F28" s="4" t="str">
        <x:v>M08 礼物·道具·任务·邀请与运营配置</x:v>
      </x:c>
      <x:c r="G28" s="4" t="str">
        <x:v>任务被停用时用户已达标但尚未领取</x:v>
      </x:c>
      <x:c r="H28" s="4" t="str">
        <x:v>业务规则</x:v>
      </x:c>
      <x:c r="I28" s="4" t="str">
        <x:v>停用前已达标且未过领取期限的奖励能否领取？</x:v>
      </x:c>
      <x:c r="J28" s="4" t="str">
        <x:v>A. 可以，按达标时奖励快照领取至原领取期限
B. 不可以，停用起关闭所有未领取奖励</x:v>
      </x:c>
      <x:c r="K28" s="4" t="str">
        <x:v>建议优先评估A：明确任务被停用时用户已达标但尚未领取的唯一处理口径后，可构造确定的输入和结果；此建议不代表产品结论</x:v>
      </x:c>
      <x:c r="L28" s="8" t="str"/>
      <x:c r="M28" s="8" t="str"/>
      <x:c r="N28" s="4" t="str">
        <x:v>1. MainBasis/需求待确认清单.md#Q011：签到、任务与道具奖励的类型和领取方式
2. 主文档关联：U-welfare-center-007、A-admin-task-config-006、U-my-decoration-004、U-views_welfare-center_claimed-005</x:v>
      </x:c>
      <x:c r="O28" s="4" t="str">
        <x:v>1. 用户App：任务被停用时用户已达标但尚未领取
2. 公会App：任务被停用时用户已达标但尚未领取
3. 管理后台：任务被停用时用户已达标但尚未领取</x:v>
      </x:c>
      <x:c r="P28" s="4" t="str"/>
      <x:c r="Q28" s="4" t="str">
        <x:v>1. 停用前已达标且未过领取期限的奖励能否领取的正向、边界及异常场景</x:v>
      </x:c>
      <x:c r="R28" s="4" t="str">
        <x:v>产品</x:v>
      </x:c>
      <x:c r="S28" s="4" t="str">
        <x:v>进入对应功能测试前</x:v>
      </x:c>
      <x:c r="T28" s="4" t="str">
        <x:v>待确认</x:v>
      </x:c>
    </x:row>
    <x:row r="29" ht="96" customHeight="1">
      <x:c r="A29" s="4" t="str">
        <x:v>Q-025</x:v>
      </x:c>
      <x:c r="B29" s="4" t="str">
        <x:v>RQ-012</x:v>
      </x:c>
      <x:c r="C29" s="4" t="str"/>
      <x:c r="D29" s="4" t="str"/>
      <x:c r="E29" s="4" t="str">
        <x:v>部分阻塞</x:v>
      </x:c>
      <x:c r="F29" s="4" t="str">
        <x:v>M08 礼物·道具·任务·邀请与运营配置</x:v>
      </x:c>
      <x:c r="G29" s="4" t="str">
        <x:v>受邀用户首次完成注册绑定</x:v>
      </x:c>
      <x:c r="H29" s="4" t="str">
        <x:v>业务规则</x:v>
      </x:c>
      <x:c r="I29" s="4" t="str">
        <x:v>注册邀请奖励数量采用哪个来源？</x:v>
      </x:c>
      <x:c r="J29" s="4" t="str">
        <x:v>A. 每次固定10金币
B. 按绑定时生效的后台邀请奖励配置</x:v>
      </x:c>
      <x:c r="K29" s="4" t="str">
        <x:v>建议优先评估A：明确受邀用户首次完成注册绑定的唯一处理口径后，可构造确定的输入和结果；此建议不代表产品结论</x:v>
      </x:c>
      <x:c r="L29" s="8" t="str"/>
      <x:c r="M29" s="8" t="str"/>
      <x:c r="N29" s="4" t="str">
        <x:v>1. MainBasis/需求待确认清单.md#Q012：邀请奖励固定值、后台配置与返利范围
2. 主文档关联：U-welfare-center-003、U-invite-friends-005、U-invite-friends-006、U-invite-friends-007</x:v>
      </x:c>
      <x:c r="O29" s="4" t="str">
        <x:v>1. 用户App：受邀用户首次完成注册绑定
2. 公会App：受邀用户首次完成注册绑定
3. 管理后台：受邀用户首次完成注册绑定</x:v>
      </x:c>
      <x:c r="P29" s="4" t="str"/>
      <x:c r="Q29" s="4" t="str">
        <x:v>1. 注册邀请奖励数量采用哪个来源的正向、边界及异常场景</x:v>
      </x:c>
      <x:c r="R29" s="4" t="str">
        <x:v>产品</x:v>
      </x:c>
      <x:c r="S29" s="4" t="str">
        <x:v>进入对应功能测试前</x:v>
      </x:c>
      <x:c r="T29" s="4" t="str">
        <x:v>待确认</x:v>
      </x:c>
    </x:row>
    <x:row r="30" ht="96" customHeight="1">
      <x:c r="A30" s="4" t="str">
        <x:v>Q-026</x:v>
      </x:c>
      <x:c r="B30" s="4" t="str">
        <x:v>RQ-012</x:v>
      </x:c>
      <x:c r="C30" s="4" t="str"/>
      <x:c r="D30" s="4" t="str"/>
      <x:c r="E30" s="4" t="str">
        <x:v>部分阻塞</x:v>
      </x:c>
      <x:c r="F30" s="4" t="str">
        <x:v>M08 礼物·道具·任务·邀请与运营配置</x:v>
      </x:c>
      <x:c r="G30" s="4" t="str">
        <x:v>受邀用户首次完成有效注册绑定</x:v>
      </x:c>
      <x:c r="H30" s="4" t="str">
        <x:v>业务规则</x:v>
      </x:c>
      <x:c r="I30" s="4" t="str">
        <x:v>注册奖励发给谁？</x:v>
      </x:c>
      <x:c r="J30" s="4" t="str">
        <x:v>A. 仅邀请人
B. 邀请人与受邀人各获得一份</x:v>
      </x:c>
      <x:c r="K30" s="4" t="str">
        <x:v>建议优先评估A：明确受邀用户首次完成有效注册绑定的唯一处理口径后，可构造确定的输入和结果；此建议不代表产品结论</x:v>
      </x:c>
      <x:c r="L30" s="8" t="str"/>
      <x:c r="M30" s="8" t="str"/>
      <x:c r="N30" s="4" t="str">
        <x:v>1. MainBasis/需求待确认清单.md#Q012：邀请奖励固定值、后台配置与返利范围
2. 主文档关联：U-welfare-center-003、U-invite-friends-005、U-invite-friends-006、U-invite-friends-007</x:v>
      </x:c>
      <x:c r="O30" s="4" t="str">
        <x:v>1. 用户App：受邀用户首次完成有效注册绑定
2. 公会App：受邀用户首次完成有效注册绑定
3. 管理后台：受邀用户首次完成有效注册绑定</x:v>
      </x:c>
      <x:c r="P30" s="4" t="str"/>
      <x:c r="Q30" s="4" t="str">
        <x:v>1. 注册奖励发给谁的正向、边界及异常场景</x:v>
      </x:c>
      <x:c r="R30" s="4" t="str">
        <x:v>产品</x:v>
      </x:c>
      <x:c r="S30" s="4" t="str">
        <x:v>进入对应功能测试前</x:v>
      </x:c>
      <x:c r="T30" s="4" t="str">
        <x:v>待确认</x:v>
      </x:c>
    </x:row>
    <x:row r="31" ht="96" customHeight="1">
      <x:c r="A31" s="4" t="str">
        <x:v>Q-027</x:v>
      </x:c>
      <x:c r="B31" s="4" t="str">
        <x:v>RQ-012</x:v>
      </x:c>
      <x:c r="C31" s="4" t="str"/>
      <x:c r="D31" s="4" t="str"/>
      <x:c r="E31" s="4" t="str">
        <x:v>部分阻塞</x:v>
      </x:c>
      <x:c r="F31" s="4" t="str">
        <x:v>M08 礼物·道具·任务·邀请与运营配置</x:v>
      </x:c>
      <x:c r="G31" s="4" t="str">
        <x:v>受邀用户后续充值成功</x:v>
      </x:c>
      <x:c r="H31" s="4" t="str">
        <x:v>业务规则</x:v>
      </x:c>
      <x:c r="I31" s="4" t="str">
        <x:v>本期是否提供充值邀请返利？</x:v>
      </x:c>
      <x:c r="J31" s="4" t="str">
        <x:v>A. 不提供，邀请收益仅来自注册绑定
B. 提供，按充值成功时生效的返利比例配置结算</x:v>
      </x:c>
      <x:c r="K31" s="4" t="str">
        <x:v>建议优先评估A：明确受邀用户后续充值成功的唯一处理口径后，可构造确定的输入和结果；此建议不代表产品结论</x:v>
      </x:c>
      <x:c r="L31" s="8" t="str"/>
      <x:c r="M31" s="8" t="str"/>
      <x:c r="N31" s="4" t="str">
        <x:v>1. MainBasis/需求待确认清单.md#Q012：邀请奖励固定值、后台配置与返利范围
2. 主文档关联：U-welfare-center-003、U-invite-friends-005、U-invite-friends-006、U-invite-friends-007</x:v>
      </x:c>
      <x:c r="O31" s="4" t="str">
        <x:v>1. 用户App：受邀用户后续充值成功
2. 公会App：受邀用户后续充值成功
3. 管理后台：受邀用户后续充值成功</x:v>
      </x:c>
      <x:c r="P31" s="4" t="str"/>
      <x:c r="Q31" s="4" t="str">
        <x:v>1. 本期是否提供充值邀请返利的正向、边界及异常场景</x:v>
      </x:c>
      <x:c r="R31" s="4" t="str">
        <x:v>产品</x:v>
      </x:c>
      <x:c r="S31" s="4" t="str">
        <x:v>进入对应功能测试前</x:v>
      </x:c>
      <x:c r="T31" s="4" t="str">
        <x:v>待确认</x:v>
      </x:c>
    </x:row>
    <x:row r="32" ht="96" customHeight="1">
      <x:c r="A32" s="4" t="str">
        <x:v>Q-028</x:v>
      </x:c>
      <x:c r="B32" s="4" t="str">
        <x:v>RQ-013</x:v>
      </x:c>
      <x:c r="C32" s="4" t="str"/>
      <x:c r="D32" s="4" t="str"/>
      <x:c r="E32" s="4" t="str">
        <x:v>部分阻塞</x:v>
      </x:c>
      <x:c r="F32" s="4" t="str">
        <x:v>M04 粉丝团·房管与成长等级</x:v>
      </x:c>
      <x:c r="G32" s="4" t="str">
        <x:v>用户加入主播粉丝团前已向该主播送礼</x:v>
      </x:c>
      <x:c r="H32" s="4" t="str">
        <x:v>业务规则</x:v>
      </x:c>
      <x:c r="I32" s="4" t="str">
        <x:v>入团前礼物是否计入首次粉丝等级？</x:v>
      </x:c>
      <x:c r="J32" s="4" t="str">
        <x:v>A. 不计入，从本次入团时点累计
B. 计入该用户对该主播的全部历史成功赠礼</x:v>
      </x:c>
      <x:c r="K32" s="4" t="str">
        <x:v>建议优先评估A：明确用户加入主播粉丝团前已向该主播送礼的唯一处理口径后，可构造确定的输入和结果；此建议不代表产品结论</x:v>
      </x:c>
      <x:c r="L32" s="8" t="str"/>
      <x:c r="M32" s="8" t="str"/>
      <x:c r="N32" s="4" t="str">
        <x:v>1. MainBasis/需求待确认清单.md#Q013：粉丝等级、团等级与亲密度的统计归属
2. 主文档关联：U-my-fan-clubs-009、A-admin-level-config-022、U-my-fan-clubs-020</x:v>
      </x:c>
      <x:c r="O32" s="4" t="str">
        <x:v>1. 用户App：用户加入主播粉丝团前已向该主播送礼
2. 公会App：用户加入主播粉丝团前已向该主播送礼
3. 管理后台：用户加入主播粉丝团前已向该主播送礼</x:v>
      </x:c>
      <x:c r="P32" s="4" t="str"/>
      <x:c r="Q32" s="4" t="str">
        <x:v>1. 入团前礼物是否计入首次粉丝等级的正向、边界及异常场景</x:v>
      </x:c>
      <x:c r="R32" s="4" t="str">
        <x:v>产品</x:v>
      </x:c>
      <x:c r="S32" s="4" t="str">
        <x:v>进入对应功能测试前</x:v>
      </x:c>
      <x:c r="T32" s="4" t="str">
        <x:v>待确认</x:v>
      </x:c>
    </x:row>
    <x:row r="33" ht="96" customHeight="1">
      <x:c r="A33" s="4" t="str">
        <x:v>Q-029</x:v>
      </x:c>
      <x:c r="B33" s="4" t="str">
        <x:v>RQ-013</x:v>
      </x:c>
      <x:c r="C33" s="4" t="str"/>
      <x:c r="D33" s="4" t="str"/>
      <x:c r="E33" s="4" t="str">
        <x:v>部分阻塞</x:v>
      </x:c>
      <x:c r="F33" s="4" t="str">
        <x:v>M04 粉丝团·房管与成长等级</x:v>
      </x:c>
      <x:c r="G33" s="4" t="str">
        <x:v>粉丝团成员长期未互动但仍保有团籍</x:v>
      </x:c>
      <x:c r="H33" s="4" t="str">
        <x:v>业务规则</x:v>
      </x:c>
      <x:c r="I33" s="4" t="str">
        <x:v>长期不活跃是否降低粉丝团等级？</x:v>
      </x:c>
      <x:c r="J33" s="4" t="str">
        <x:v>A. 不降低，仅按累计有效收礼计算
B. 按后台公开的不活跃周期和降级规则配置调整</x:v>
      </x:c>
      <x:c r="K33" s="4" t="str">
        <x:v>建议优先评估A：明确粉丝团成员长期未互动但仍保有团籍的唯一处理口径后，可构造确定的输入和结果；此建议不代表产品结论</x:v>
      </x:c>
      <x:c r="L33" s="8" t="str"/>
      <x:c r="M33" s="8" t="str"/>
      <x:c r="N33" s="4" t="str">
        <x:v>1. MainBasis/需求待确认清单.md#Q013：粉丝等级、团等级与亲密度的统计归属
2. 主文档关联：U-my-fan-clubs-009、A-admin-level-config-022、U-my-fan-clubs-020</x:v>
      </x:c>
      <x:c r="O33" s="4" t="str">
        <x:v>1. 用户App：粉丝团成员长期未互动但仍保有团籍
2. 公会App：粉丝团成员长期未互动但仍保有团籍
3. 管理后台：粉丝团成员长期未互动但仍保有团籍</x:v>
      </x:c>
      <x:c r="P33" s="4" t="str"/>
      <x:c r="Q33" s="4" t="str">
        <x:v>1. 长期不活跃是否降低粉丝团等级的正向、边界及异常场景</x:v>
      </x:c>
      <x:c r="R33" s="4" t="str">
        <x:v>产品</x:v>
      </x:c>
      <x:c r="S33" s="4" t="str">
        <x:v>进入对应功能测试前</x:v>
      </x:c>
      <x:c r="T33" s="4" t="str">
        <x:v>待确认</x:v>
      </x:c>
    </x:row>
    <x:row r="34" ht="96" customHeight="1">
      <x:c r="A34" s="4" t="str">
        <x:v>Q-030</x:v>
      </x:c>
      <x:c r="B34" s="4" t="str">
        <x:v>RQ-014</x:v>
      </x:c>
      <x:c r="C34" s="4" t="str"/>
      <x:c r="D34" s="4" t="str"/>
      <x:c r="E34" s="4" t="str">
        <x:v>部分阻塞</x:v>
      </x:c>
      <x:c r="F34" s="4" t="str">
        <x:v>M04 粉丝团·房管与成长等级</x:v>
      </x:c>
      <x:c r="G34" s="4" t="str">
        <x:v>已退团用户重新加入后查看贡献榜</x:v>
      </x:c>
      <x:c r="H34" s="4" t="str">
        <x:v>业务规则</x:v>
      </x:c>
      <x:c r="I34" s="4" t="str">
        <x:v>历史团籍贡献是否继续计入榜单？</x:v>
      </x:c>
      <x:c r="J34" s="4" t="str">
        <x:v>A. 只统计当前团籍有效期间的贡献
B. 统计该用户历史全部团籍期间的贡献</x:v>
      </x:c>
      <x:c r="K34" s="4" t="str">
        <x:v>建议优先评估A：明确已退团用户重新加入后查看贡献榜的唯一处理口径后，可构造确定的输入和结果；此建议不代表产品结论</x:v>
      </x:c>
      <x:c r="L34" s="8" t="str"/>
      <x:c r="M34" s="8" t="str"/>
      <x:c r="N34" s="4" t="str">
        <x:v>1. MainBasis/需求待确认清单.md#Q014：粉丝团贡献榜、成员榜与个人卡片的口径
2. 主文档关联：U-my-fan-clubs-010、U-fan-contribution-ranking-002、U-my-fan-clubs-011、U-my-fan-clubs-012</x:v>
      </x:c>
      <x:c r="O34" s="4" t="str">
        <x:v>1. 用户App：已退团用户重新加入后查看贡献榜
2. 公会App：已退团用户重新加入后查看贡献榜
3. 管理后台：已退团用户重新加入后查看贡献榜</x:v>
      </x:c>
      <x:c r="P34" s="4" t="str"/>
      <x:c r="Q34" s="4" t="str">
        <x:v>1. 历史团籍贡献是否继续计入榜单的正向、边界及异常场景</x:v>
      </x:c>
      <x:c r="R34" s="4" t="str">
        <x:v>产品</x:v>
      </x:c>
      <x:c r="S34" s="4" t="str">
        <x:v>进入对应功能测试前</x:v>
      </x:c>
      <x:c r="T34" s="4" t="str">
        <x:v>待确认</x:v>
      </x:c>
    </x:row>
    <x:row r="35" ht="96" customHeight="1">
      <x:c r="A35" s="4" t="str">
        <x:v>Q-031</x:v>
      </x:c>
      <x:c r="B35" s="4" t="str">
        <x:v>RQ-014</x:v>
      </x:c>
      <x:c r="C35" s="4" t="str"/>
      <x:c r="D35" s="4" t="str"/>
      <x:c r="E35" s="4" t="str">
        <x:v>部分阻塞</x:v>
      </x:c>
      <x:c r="F35" s="4" t="str">
        <x:v>M04 粉丝团·房管与成长等级</x:v>
      </x:c>
      <x:c r="G35" s="4" t="str">
        <x:v>当前用户未进入粉丝团贡献前三名</x:v>
      </x:c>
      <x:c r="H35" s="4" t="str">
        <x:v>业务规则</x:v>
      </x:c>
      <x:c r="I35" s="4" t="str">
        <x:v>我的粉丝团卡片的头像位置如何分配？</x:v>
      </x:c>
      <x:c r="J35" s="4" t="str">
        <x:v>A. 本人固定占1位，另2位按贡献排序
B. 仅显示贡献前三名，本人未入前三则不显示本人</x:v>
      </x:c>
      <x:c r="K35" s="4" t="str">
        <x:v>建议优先评估A：明确当前用户未进入粉丝团贡献前三名的唯一处理口径后，可构造确定的输入和结果；此建议不代表产品结论</x:v>
      </x:c>
      <x:c r="L35" s="8" t="str"/>
      <x:c r="M35" s="8" t="str"/>
      <x:c r="N35" s="4" t="str">
        <x:v>1. MainBasis/需求待确认清单.md#Q014：粉丝团贡献榜、成员榜与个人卡片的口径
2. 主文档关联：U-my-fan-clubs-010、U-fan-contribution-ranking-002、U-my-fan-clubs-011、U-my-fan-clubs-012</x:v>
      </x:c>
      <x:c r="O35" s="4" t="str">
        <x:v>1. 用户App：当前用户未进入粉丝团贡献前三名
2. 公会App：当前用户未进入粉丝团贡献前三名
3. 管理后台：当前用户未进入粉丝团贡献前三名</x:v>
      </x:c>
      <x:c r="P35" s="4" t="str"/>
      <x:c r="Q35" s="4" t="str">
        <x:v>1. 我的粉丝团卡片的头像位置如何分配的正向、边界及异常场景</x:v>
      </x:c>
      <x:c r="R35" s="4" t="str">
        <x:v>产品</x:v>
      </x:c>
      <x:c r="S35" s="4" t="str">
        <x:v>进入对应功能测试前</x:v>
      </x:c>
      <x:c r="T35" s="4" t="str">
        <x:v>待确认</x:v>
      </x:c>
    </x:row>
    <x:row r="36" ht="96" customHeight="1">
      <x:c r="A36" s="4" t="str">
        <x:v>Q-032</x:v>
      </x:c>
      <x:c r="B36" s="4" t="str">
        <x:v>RQ-015</x:v>
      </x:c>
      <x:c r="C36" s="4" t="str"/>
      <x:c r="D36" s="4" t="str"/>
      <x:c r="E36" s="4" t="str">
        <x:v>部分阻塞</x:v>
      </x:c>
      <x:c r="F36" s="4" t="str">
        <x:v>M04 粉丝团·房管与成长等级</x:v>
      </x:c>
      <x:c r="G36" s="4" t="str">
        <x:v>管理员编辑连续等级的成长门槛</x:v>
      </x:c>
      <x:c r="H36" s="4" t="str">
        <x:v>业务规则</x:v>
      </x:c>
      <x:c r="I36" s="4" t="str">
        <x:v>相邻等级门槛是否必须严格递增？</x:v>
      </x:c>
      <x:c r="J36" s="4" t="str">
        <x:v>A. 必须严格递增，相同或倒置拒绝保存
B. 允许相同门槛，达标时取其中最高等级</x:v>
      </x:c>
      <x:c r="K36" s="4" t="str">
        <x:v>建议优先评估A：明确管理员编辑连续等级的成长门槛的唯一处理口径后，可构造确定的输入和结果；此建议不代表产品结论</x:v>
      </x:c>
      <x:c r="L36" s="8" t="str"/>
      <x:c r="M36" s="8" t="str"/>
      <x:c r="N36" s="4" t="str">
        <x:v>1. MainBasis/需求待确认清单.md#Q015：等级门槛、保存并发和勋章展示边界
2. 主文档关联：A-admin-level-config-019、A-admin-level-config-020、A-admin-level-config-021、A-admin-level-config-022</x:v>
      </x:c>
      <x:c r="O36" s="4" t="str">
        <x:v>1. 用户App：管理员编辑连续等级的成长门槛
2. 公会App：管理员编辑连续等级的成长门槛
3. 管理后台：管理员编辑连续等级的成长门槛</x:v>
      </x:c>
      <x:c r="P36" s="4" t="str"/>
      <x:c r="Q36" s="4" t="str">
        <x:v>1. 相邻等级门槛是否必须严格递增的正向、边界及异常场景</x:v>
      </x:c>
      <x:c r="R36" s="4" t="str">
        <x:v>产品</x:v>
      </x:c>
      <x:c r="S36" s="4" t="str">
        <x:v>进入对应功能测试前</x:v>
      </x:c>
      <x:c r="T36" s="4" t="str">
        <x:v>待确认</x:v>
      </x:c>
    </x:row>
    <x:row r="37" ht="96" customHeight="1">
      <x:c r="A37" s="4" t="str">
        <x:v>Q-033</x:v>
      </x:c>
      <x:c r="B37" s="4" t="str">
        <x:v>RQ-015</x:v>
      </x:c>
      <x:c r="C37" s="4" t="str"/>
      <x:c r="D37" s="4" t="str"/>
      <x:c r="E37" s="4" t="str">
        <x:v>部分阻塞</x:v>
      </x:c>
      <x:c r="F37" s="4" t="str">
        <x:v>M04 粉丝团·房管与成长等级</x:v>
      </x:c>
      <x:c r="G37" s="4" t="str">
        <x:v>两位管理员同时编辑同一等级配置</x:v>
      </x:c>
      <x:c r="H37" s="4" t="str">
        <x:v>业务规则</x:v>
      </x:c>
      <x:c r="I37" s="4" t="str">
        <x:v>后提交者如何处理版本冲突？</x:v>
      </x:c>
      <x:c r="J37" s="4" t="str">
        <x:v>A. 拒绝旧版本提交并要求刷新
B. 以最后一次成功提交的整组配置为准</x:v>
      </x:c>
      <x:c r="K37" s="4" t="str">
        <x:v>建议优先评估A：明确两位管理员同时编辑同一等级配置的唯一处理口径后，可构造确定的输入和结果；此建议不代表产品结论</x:v>
      </x:c>
      <x:c r="L37" s="8" t="str"/>
      <x:c r="M37" s="8" t="str"/>
      <x:c r="N37" s="4" t="str">
        <x:v>1. MainBasis/需求待确认清单.md#Q015：等级门槛、保存并发和勋章展示边界
2. 主文档关联：A-admin-level-config-019、A-admin-level-config-020、A-admin-level-config-021、A-admin-level-config-022</x:v>
      </x:c>
      <x:c r="O37" s="4" t="str">
        <x:v>1. 用户App：两位管理员同时编辑同一等级配置
2. 公会App：两位管理员同时编辑同一等级配置
3. 管理后台：两位管理员同时编辑同一等级配置</x:v>
      </x:c>
      <x:c r="P37" s="4" t="str"/>
      <x:c r="Q37" s="4" t="str">
        <x:v>1. 后提交者如何处理版本冲突的正向、边界及异常场景</x:v>
      </x:c>
      <x:c r="R37" s="4" t="str">
        <x:v>产品</x:v>
      </x:c>
      <x:c r="S37" s="4" t="str">
        <x:v>进入对应功能测试前</x:v>
      </x:c>
      <x:c r="T37" s="4" t="str">
        <x:v>待确认</x:v>
      </x:c>
    </x:row>
    <x:row r="38" ht="96" customHeight="1">
      <x:c r="A38" s="4" t="str">
        <x:v>Q-034</x:v>
      </x:c>
      <x:c r="B38" s="4" t="str">
        <x:v>RQ-015</x:v>
      </x:c>
      <x:c r="C38" s="4" t="str"/>
      <x:c r="D38" s="4" t="str"/>
      <x:c r="E38" s="4" t="str">
        <x:v>部分阻塞</x:v>
      </x:c>
      <x:c r="F38" s="4" t="str">
        <x:v>M04 粉丝团·房管与成长等级</x:v>
      </x:c>
      <x:c r="G38" s="4" t="str">
        <x:v>用户成长后获得更高等级勋章</x:v>
      </x:c>
      <x:c r="H38" s="4" t="str">
        <x:v>业务规则</x:v>
      </x:c>
      <x:c r="I38" s="4" t="str">
        <x:v>新等级勋章是否自动替换已佩戴的旧等级勋章？</x:v>
      </x:c>
      <x:c r="J38" s="4" t="str">
        <x:v>A. 自动替换同系列旧勋章
B. 仅发入背包，由用户手动佩戴</x:v>
      </x:c>
      <x:c r="K38" s="4" t="str">
        <x:v>建议优先评估A：明确用户成长后获得更高等级勋章的唯一处理口径后，可构造确定的输入和结果；此建议不代表产品结论</x:v>
      </x:c>
      <x:c r="L38" s="8" t="str"/>
      <x:c r="M38" s="8" t="str"/>
      <x:c r="N38" s="4" t="str">
        <x:v>1. MainBasis/需求待确认清单.md#Q015：等级门槛、保存并发和勋章展示边界
2. 主文档关联：A-admin-level-config-019、A-admin-level-config-020、A-admin-level-config-021、A-admin-level-config-022</x:v>
      </x:c>
      <x:c r="O38" s="4" t="str">
        <x:v>1. 用户App：用户成长后获得更高等级勋章
2. 公会App：用户成长后获得更高等级勋章
3. 管理后台：用户成长后获得更高等级勋章</x:v>
      </x:c>
      <x:c r="P38" s="4" t="str"/>
      <x:c r="Q38" s="4" t="str">
        <x:v>1. 新等级勋章是否自动替换已佩戴的旧等级勋章的正向、边界及异常场景</x:v>
      </x:c>
      <x:c r="R38" s="4" t="str">
        <x:v>产品</x:v>
      </x:c>
      <x:c r="S38" s="4" t="str">
        <x:v>进入对应功能测试前</x:v>
      </x:c>
      <x:c r="T38" s="4" t="str">
        <x:v>待确认</x:v>
      </x:c>
    </x:row>
    <x:row r="39" ht="96" customHeight="1">
      <x:c r="A39" s="4" t="str">
        <x:v>Q-035</x:v>
      </x:c>
      <x:c r="B39" s="4" t="str">
        <x:v>RQ-016</x:v>
      </x:c>
      <x:c r="C39" s="4" t="str"/>
      <x:c r="D39" s="4" t="str"/>
      <x:c r="E39" s="4" t="str">
        <x:v>部分阻塞</x:v>
      </x:c>
      <x:c r="F39" s="4" t="str">
        <x:v>M06 开播·房型·观看·连麦与房内管理</x:v>
      </x:c>
      <x:c r="G39" s="4" t="str">
        <x:v>主播接受一条连麦邀请且还有其他已收到邀请</x:v>
      </x:c>
      <x:c r="H39" s="4" t="str">
        <x:v>业务规则</x:v>
      </x:c>
      <x:c r="I39" s="4" t="str">
        <x:v>接受后其他已收到邀请是否失效？</x:v>
      </x:c>
      <x:c r="J39" s="4" t="str">
        <x:v>A. 保留，恢复单播后在原有效期内可继续处理
B. 全部失效，不再允许接受</x:v>
      </x:c>
      <x:c r="K39" s="4" t="str">
        <x:v>建议优先评估A：明确主播接受一条连麦邀请且还有其他已收到邀请的唯一处理口径后，可构造确定的输入和结果；此建议不代表产品结论</x:v>
      </x:c>
      <x:c r="L39" s="8" t="str"/>
      <x:c r="M39" s="8" t="str"/>
      <x:c r="N39" s="4" t="str">
        <x:v>1. MainBasis/需求待确认清单.md#Q016：接受连麦后其他收到的邀请是否保留
2. 主文档关联：D-SYS-110、U-views_live-room-host_cohost-hosts-006、U-views_live-room-host_cohost-invite-notice-005</x:v>
      </x:c>
      <x:c r="O39" s="4" t="str">
        <x:v>1. 用户App：主播接受一条连麦邀请且还有其他已收到邀请
2. 公会App：主播接受一条连麦邀请且还有其他已收到邀请
3. 管理后台：主播接受一条连麦邀请且还有其他已收到邀请</x:v>
      </x:c>
      <x:c r="P39" s="4" t="str"/>
      <x:c r="Q39" s="4" t="str">
        <x:v>1. 接受后其他已收到邀请是否失效的正向、边界及异常场景</x:v>
      </x:c>
      <x:c r="R39" s="4" t="str">
        <x:v>产品</x:v>
      </x:c>
      <x:c r="S39" s="4" t="str">
        <x:v>进入对应功能测试前</x:v>
      </x:c>
      <x:c r="T39" s="4" t="str">
        <x:v>待确认</x:v>
      </x:c>
    </x:row>
    <x:row r="40" ht="82" customHeight="1">
      <x:c r="A40" s="4" t="str">
        <x:v>Q-036</x:v>
      </x:c>
      <x:c r="B40" s="4" t="str">
        <x:v>RQ-017</x:v>
      </x:c>
      <x:c r="C40" s="4" t="str"/>
      <x:c r="D40" s="4" t="str"/>
      <x:c r="E40" s="4" t="str">
        <x:v>部分阻塞</x:v>
      </x:c>
      <x:c r="F40" s="4" t="str">
        <x:v>M06 开播·房型·观看·连麦与房内管理</x:v>
      </x:c>
      <x:c r="G40" s="4" t="str">
        <x:v>主播在直播间清屏</x:v>
      </x:c>
      <x:c r="H40" s="4" t="str">
        <x:v>跨端与跨模块一致性</x:v>
      </x:c>
      <x:c r="I40" s="4" t="str">
        <x:v>主播清屏是否影响其他设备的评论？</x:v>
      </x:c>
      <x:c r="J40" s="4" t="str">
        <x:v>A. 仅清除当前设备已展示的评论
B. 同步清除本场所有在线设备已展示的评论</x:v>
      </x:c>
      <x:c r="K40" s="4" t="str">
        <x:v>建议优先评估A：明确主播在直播间清屏的唯一处理口径后，可构造确定的输入和结果；此建议不代表产品结论</x:v>
      </x:c>
      <x:c r="L40" s="8" t="str"/>
      <x:c r="M40" s="8" t="str"/>
      <x:c r="N40" s="4" t="str">
        <x:v>1. MainBasis/需求待确认清单.md#Q017：清屏的作用范围
2. 主文档关联：D-SYS-102、U-live-room-017、U-live-room-host-013、U-views_live-room_more-actions-003</x:v>
      </x:c>
      <x:c r="O40" s="4" t="str">
        <x:v>1. 用户App：主播在直播间清屏
2. 管理后台：主播在直播间清屏</x:v>
      </x:c>
      <x:c r="P40" s="4" t="str"/>
      <x:c r="Q40" s="4" t="str">
        <x:v>1. 主播清屏是否影响其他设备的评论的正向、边界及异常场景</x:v>
      </x:c>
      <x:c r="R40" s="4" t="str">
        <x:v>产品</x:v>
      </x:c>
      <x:c r="S40" s="4" t="str">
        <x:v>进入对应功能测试前</x:v>
      </x:c>
      <x:c r="T40" s="4" t="str">
        <x:v>待确认</x:v>
      </x:c>
    </x:row>
    <x:row r="41" ht="82" customHeight="1">
      <x:c r="A41" s="4" t="str">
        <x:v>Q-037</x:v>
      </x:c>
      <x:c r="B41" s="4" t="str">
        <x:v>RQ-017</x:v>
      </x:c>
      <x:c r="C41" s="4" t="str"/>
      <x:c r="D41" s="4" t="str"/>
      <x:c r="E41" s="4" t="str">
        <x:v>部分阻塞</x:v>
      </x:c>
      <x:c r="F41" s="4" t="str">
        <x:v>M06 开播·房型·观看·连麦与房内管理</x:v>
      </x:c>
      <x:c r="G41" s="4" t="str">
        <x:v>观众在直播间清屏</x:v>
      </x:c>
      <x:c r="H41" s="4" t="str">
        <x:v>跨端与跨模块一致性</x:v>
      </x:c>
      <x:c r="I41" s="4" t="str">
        <x:v>观众清屏是否影响其他设备的评论？</x:v>
      </x:c>
      <x:c r="J41" s="4" t="str">
        <x:v>A. 仅清除当前设备已展示的评论
B. 同步清除本场所有在线设备已展示的评论</x:v>
      </x:c>
      <x:c r="K41" s="4" t="str">
        <x:v>建议优先评估A：明确观众在直播间清屏的唯一处理口径后，可构造确定的输入和结果；此建议不代表产品结论</x:v>
      </x:c>
      <x:c r="L41" s="8" t="str"/>
      <x:c r="M41" s="8" t="str"/>
      <x:c r="N41" s="4" t="str">
        <x:v>1. MainBasis/需求待确认清单.md#Q017：清屏的作用范围
2. 主文档关联：D-SYS-102、U-live-room-017、U-live-room-host-013、U-views_live-room_more-actions-003</x:v>
      </x:c>
      <x:c r="O41" s="4" t="str">
        <x:v>1. 用户App：观众在直播间清屏
2. 管理后台：观众在直播间清屏</x:v>
      </x:c>
      <x:c r="P41" s="4" t="str"/>
      <x:c r="Q41" s="4" t="str">
        <x:v>1. 观众清屏是否影响其他设备的评论的正向、边界及异常场景</x:v>
      </x:c>
      <x:c r="R41" s="4" t="str">
        <x:v>产品</x:v>
      </x:c>
      <x:c r="S41" s="4" t="str">
        <x:v>进入对应功能测试前</x:v>
      </x:c>
      <x:c r="T41" s="4" t="str">
        <x:v>待确认</x:v>
      </x:c>
    </x:row>
    <x:row r="42" ht="96" customHeight="1">
      <x:c r="A42" s="4" t="str">
        <x:v>Q-038</x:v>
      </x:c>
      <x:c r="B42" s="4" t="str">
        <x:v>RQ-018</x:v>
      </x:c>
      <x:c r="C42" s="4" t="str"/>
      <x:c r="D42" s="4" t="str"/>
      <x:c r="E42" s="4" t="str">
        <x:v>部分阻塞</x:v>
      </x:c>
      <x:c r="F42" s="4" t="str">
        <x:v>M02 发现·搜索·主页与平台榜单</x:v>
      </x:c>
      <x:c r="G42" s="4" t="str">
        <x:v>用户金币余额为负数并发起注销</x:v>
      </x:c>
      <x:c r="H42" s="4" t="str">
        <x:v>业务规则</x:v>
      </x:c>
      <x:c r="I42" s="4" t="str">
        <x:v>负余额是否满足小于100金币的注销条件？</x:v>
      </x:c>
      <x:c r="J42" s="4" t="str">
        <x:v>A. 不满足，负余额结清至非负后才能申请
B. 满足，余额小于100即可申请</x:v>
      </x:c>
      <x:c r="K42" s="4" t="str">
        <x:v>建议优先评估A：明确用户金币余额为负数并发起注销的唯一处理口径后，可构造确定的输入和结果；此建议不代表产品结论</x:v>
      </x:c>
      <x:c r="L42" s="8" t="str"/>
      <x:c r="M42" s="8" t="str"/>
      <x:c r="N42" s="4" t="str">
        <x:v>1. MainBasis/需求待确认清单.md#Q018：注销资产门槛和冷静期后数据留存
2. 主文档关联：U-host-ranking-009、U-contribution-ranking-009、U-fan-contribution-ranking-009、U-auth-login-register-014</x:v>
      </x:c>
      <x:c r="O42" s="4" t="str">
        <x:v>1. 用户App：用户金币余额为负数并发起注销
2. 公会App：用户金币余额为负数并发起注销
3. 管理后台：用户金币余额为负数并发起注销</x:v>
      </x:c>
      <x:c r="P42" s="4" t="str"/>
      <x:c r="Q42" s="4" t="str">
        <x:v>1. 负余额是否满足小于100金币的注销条件的正向、边界及异常场景</x:v>
      </x:c>
      <x:c r="R42" s="4" t="str">
        <x:v>产品</x:v>
      </x:c>
      <x:c r="S42" s="4" t="str">
        <x:v>进入对应功能测试前</x:v>
      </x:c>
      <x:c r="T42" s="4" t="str">
        <x:v>待确认</x:v>
      </x:c>
    </x:row>
    <x:row r="43" ht="96" customHeight="1">
      <x:c r="A43" s="4" t="str">
        <x:v>Q-039</x:v>
      </x:c>
      <x:c r="B43" s="4" t="str">
        <x:v>RQ-018</x:v>
      </x:c>
      <x:c r="C43" s="4" t="str"/>
      <x:c r="D43" s="4" t="str"/>
      <x:c r="E43" s="4" t="str">
        <x:v>部分阻塞</x:v>
      </x:c>
      <x:c r="F43" s="4" t="str">
        <x:v>M02 发现·搜索·主页与平台榜单</x:v>
      </x:c>
      <x:c r="G43" s="4" t="str">
        <x:v>主播仍有未结收益并发起注销</x:v>
      </x:c>
      <x:c r="H43" s="4" t="str">
        <x:v>业务规则</x:v>
      </x:c>
      <x:c r="I43" s="4" t="str">
        <x:v>未结收益是否阻止注销申请？</x:v>
      </x:c>
      <x:c r="J43" s="4" t="str">
        <x:v>A. 阻止，结清后才能提交
B. 不阻止，保留财务身份与债权记录至结清</x:v>
      </x:c>
      <x:c r="K43" s="4" t="str">
        <x:v>建议优先评估A：明确主播仍有未结收益并发起注销的唯一处理口径后，可构造确定的输入和结果；此建议不代表产品结论</x:v>
      </x:c>
      <x:c r="L43" s="8" t="str"/>
      <x:c r="M43" s="8" t="str"/>
      <x:c r="N43" s="4" t="str">
        <x:v>1. MainBasis/需求待确认清单.md#Q018：注销资产门槛和冷静期后数据留存
2. 主文档关联：U-host-ranking-009、U-contribution-ranking-009、U-fan-contribution-ranking-009、U-auth-login-register-014</x:v>
      </x:c>
      <x:c r="O43" s="4" t="str">
        <x:v>1. 用户App：主播仍有未结收益并发起注销
2. 公会App：主播仍有未结收益并发起注销
3. 管理后台：主播仍有未结收益并发起注销</x:v>
      </x:c>
      <x:c r="P43" s="4" t="str"/>
      <x:c r="Q43" s="4" t="str">
        <x:v>1. 未结收益是否阻止注销申请的正向、边界及异常场景</x:v>
      </x:c>
      <x:c r="R43" s="4" t="str">
        <x:v>产品</x:v>
      </x:c>
      <x:c r="S43" s="4" t="str">
        <x:v>进入对应功能测试前</x:v>
      </x:c>
      <x:c r="T43" s="4" t="str">
        <x:v>待确认</x:v>
      </x:c>
    </x:row>
    <x:row r="44" ht="96" customHeight="1">
      <x:c r="A44" s="4" t="str">
        <x:v>Q-040</x:v>
      </x:c>
      <x:c r="B44" s="4" t="str">
        <x:v>RQ-018</x:v>
      </x:c>
      <x:c r="C44" s="4" t="str"/>
      <x:c r="D44" s="4" t="str"/>
      <x:c r="E44" s="4" t="str">
        <x:v>部分阻塞</x:v>
      </x:c>
      <x:c r="F44" s="4" t="str">
        <x:v>M02 发现·搜索·主页与平台榜单</x:v>
      </x:c>
      <x:c r="G44" s="4" t="str">
        <x:v>七日冷静期结束，账号最终注销</x:v>
      </x:c>
      <x:c r="H44" s="4" t="str">
        <x:v>业务规则</x:v>
      </x:c>
      <x:c r="I44" s="4" t="str">
        <x:v>财务及榜单历史是否保留？</x:v>
      </x:c>
      <x:c r="J44" s="4" t="str">
        <x:v>A. 保留去标识历史记录，名称统一为账号已注销
B. 删除个人展示历史，财务凭证按独立留存规则保留</x:v>
      </x:c>
      <x:c r="K44" s="4" t="str">
        <x:v>建议优先评估A：明确七日冷静期结束，账号最终注销的唯一处理口径后，可构造确定的输入和结果；此建议不代表产品结论</x:v>
      </x:c>
      <x:c r="L44" s="8" t="str"/>
      <x:c r="M44" s="8" t="str"/>
      <x:c r="N44" s="4" t="str">
        <x:v>1. MainBasis/需求待确认清单.md#Q018：注销资产门槛和冷静期后数据留存
2. 主文档关联：U-host-ranking-009、U-contribution-ranking-009、U-fan-contribution-ranking-009、U-auth-login-register-014</x:v>
      </x:c>
      <x:c r="O44" s="4" t="str">
        <x:v>1. 用户App：七日冷静期结束，账号最终注销
2. 公会App：七日冷静期结束，账号最终注销
3. 管理后台：七日冷静期结束，账号最终注销</x:v>
      </x:c>
      <x:c r="P44" s="4" t="str"/>
      <x:c r="Q44" s="4" t="str">
        <x:v>1. 财务及榜单历史是否保留的正向、边界及异常场景</x:v>
      </x:c>
      <x:c r="R44" s="4" t="str">
        <x:v>产品</x:v>
      </x:c>
      <x:c r="S44" s="4" t="str">
        <x:v>进入对应功能测试前</x:v>
      </x:c>
      <x:c r="T44" s="4" t="str">
        <x:v>待确认</x:v>
      </x:c>
    </x:row>
    <x:row r="45" ht="68" customHeight="1">
      <x:c r="A45" s="4" t="str">
        <x:v>Q-041</x:v>
      </x:c>
      <x:c r="B45" s="4" t="str">
        <x:v>RQ-019</x:v>
      </x:c>
      <x:c r="C45" s="4" t="str"/>
      <x:c r="D45" s="4" t="str"/>
      <x:c r="E45" s="4" t="str">
        <x:v>部分阻塞</x:v>
      </x:c>
      <x:c r="F45" s="4" t="str">
        <x:v>M01 账号·登录·资料与设置</x:v>
      </x:c>
      <x:c r="G45" s="4" t="str">
        <x:v>未注册手机号通过验证码验证</x:v>
      </x:c>
      <x:c r="H45" s="4" t="str">
        <x:v>业务规则</x:v>
      </x:c>
      <x:c r="I45" s="4" t="str">
        <x:v>手机号验证码验证成功是否自动注册？</x:v>
      </x:c>
      <x:c r="J45" s="4" t="str">
        <x:v>A. 自动注册并进入资料补全
B. 不注册，提示账号不存在并引导注册</x:v>
      </x:c>
      <x:c r="K45" s="4" t="str">
        <x:v>建议优先评估A：明确未注册手机号通过验证码验证的唯一处理口径后，可构造确定的输入和结果；此建议不代表产品结论</x:v>
      </x:c>
      <x:c r="L45" s="8" t="str"/>
      <x:c r="M45" s="8" t="str"/>
      <x:c r="N45" s="4" t="str">
        <x:v>1. MainBasis/需求待确认清单.md#Q019：手机号/邮箱账号建立、找回和绑定
2. 主文档关联：U-auth-login-register-011</x:v>
      </x:c>
      <x:c r="O45" s="4" t="str">
        <x:v>1. 用户App：未注册手机号通过验证码验证</x:v>
      </x:c>
      <x:c r="P45" s="4" t="str"/>
      <x:c r="Q45" s="4" t="str">
        <x:v>1. 手机号验证码验证成功是否自动注册的正向、边界及异常场景</x:v>
      </x:c>
      <x:c r="R45" s="4" t="str">
        <x:v>产品</x:v>
      </x:c>
      <x:c r="S45" s="4" t="str">
        <x:v>进入对应功能测试前</x:v>
      </x:c>
      <x:c r="T45" s="4" t="str">
        <x:v>待确认</x:v>
      </x:c>
    </x:row>
    <x:row r="46" ht="68" customHeight="1">
      <x:c r="A46" s="4" t="str">
        <x:v>Q-042</x:v>
      </x:c>
      <x:c r="B46" s="4" t="str">
        <x:v>RQ-019</x:v>
      </x:c>
      <x:c r="C46" s="4" t="str"/>
      <x:c r="D46" s="4" t="str"/>
      <x:c r="E46" s="4" t="str">
        <x:v>部分阻塞</x:v>
      </x:c>
      <x:c r="F46" s="4" t="str">
        <x:v>M01 账号·登录·资料与设置</x:v>
      </x:c>
      <x:c r="G46" s="4" t="str">
        <x:v>未注册邮箱通过验证码验证</x:v>
      </x:c>
      <x:c r="H46" s="4" t="str">
        <x:v>业务规则</x:v>
      </x:c>
      <x:c r="I46" s="4" t="str">
        <x:v>邮箱验证码验证成功是否自动注册？</x:v>
      </x:c>
      <x:c r="J46" s="4" t="str">
        <x:v>A. 自动注册并进入资料补全
B. 不注册，提示账号不存在并引导注册</x:v>
      </x:c>
      <x:c r="K46" s="4" t="str">
        <x:v>建议优先评估A：明确未注册邮箱通过验证码验证的唯一处理口径后，可构造确定的输入和结果；此建议不代表产品结论</x:v>
      </x:c>
      <x:c r="L46" s="8" t="str"/>
      <x:c r="M46" s="8" t="str"/>
      <x:c r="N46" s="4" t="str">
        <x:v>1. MainBasis/需求待确认清单.md#Q019：手机号/邮箱账号建立、找回和绑定
2. 主文档关联：U-auth-login-register-011</x:v>
      </x:c>
      <x:c r="O46" s="4" t="str">
        <x:v>1. 用户App：未注册邮箱通过验证码验证</x:v>
      </x:c>
      <x:c r="P46" s="4" t="str"/>
      <x:c r="Q46" s="4" t="str">
        <x:v>1. 邮箱验证码验证成功是否自动注册的正向、边界及异常场景</x:v>
      </x:c>
      <x:c r="R46" s="4" t="str">
        <x:v>产品</x:v>
      </x:c>
      <x:c r="S46" s="4" t="str">
        <x:v>进入对应功能测试前</x:v>
      </x:c>
      <x:c r="T46" s="4" t="str">
        <x:v>待确认</x:v>
      </x:c>
    </x:row>
    <x:row r="47" ht="96" customHeight="1">
      <x:c r="A47" s="4" t="str">
        <x:v>Q-043</x:v>
      </x:c>
      <x:c r="B47" s="4" t="str">
        <x:v>RQ-019</x:v>
      </x:c>
      <x:c r="C47" s="4" t="str"/>
      <x:c r="D47" s="4" t="str"/>
      <x:c r="E47" s="4" t="str">
        <x:v>部分阻塞</x:v>
      </x:c>
      <x:c r="F47" s="4" t="str">
        <x:v>M01 账号·登录·资料与设置</x:v>
      </x:c>
      <x:c r="G47" s="4" t="str">
        <x:v>手机号已被另一账号绑定，当前用户申请绑定</x:v>
      </x:c>
      <x:c r="H47" s="4" t="str">
        <x:v>业务规则</x:v>
      </x:c>
      <x:c r="I47" s="4" t="str">
        <x:v>发生手机号绑定冲突时如何处理？</x:v>
      </x:c>
      <x:c r="J47" s="4" t="str">
        <x:v>A. 拒绝绑定，不合并账号
B. 验证原账号所有权后执行账号合并</x:v>
      </x:c>
      <x:c r="K47" s="4" t="str">
        <x:v>建议优先评估A：明确手机号已被另一账号绑定，当前用户申请绑定的唯一处理口径后，可构造确定的输入和结果；此建议不代表产品结论</x:v>
      </x:c>
      <x:c r="L47" s="8" t="str"/>
      <x:c r="M47" s="8" t="str"/>
      <x:c r="N47" s="4" t="str">
        <x:v>1. MainBasis/需求待确认清单.md#Q019：手机号/邮箱账号建立、找回和绑定
2. 主文档关联：U-auth-login-register-011</x:v>
      </x:c>
      <x:c r="O47" s="4" t="str">
        <x:v>1. 用户App：手机号已被另一账号绑定，当前用户申请绑定
2. 公会App：手机号已被另一账号绑定，当前用户申请绑定
3. 管理后台：手机号已被另一账号绑定，当前用户申请绑定</x:v>
      </x:c>
      <x:c r="P47" s="4" t="str"/>
      <x:c r="Q47" s="4" t="str">
        <x:v>1. 发生手机号绑定冲突时如何处理的正向、边界及异常场景</x:v>
      </x:c>
      <x:c r="R47" s="4" t="str">
        <x:v>产品</x:v>
      </x:c>
      <x:c r="S47" s="4" t="str">
        <x:v>进入对应功能测试前</x:v>
      </x:c>
      <x:c r="T47" s="4" t="str">
        <x:v>待确认</x:v>
      </x:c>
    </x:row>
    <x:row r="48" ht="68" customHeight="1">
      <x:c r="A48" s="4" t="str">
        <x:v>Q-082</x:v>
      </x:c>
      <x:c r="B48" s="4" t="str">
        <x:v>RQ-019</x:v>
      </x:c>
      <x:c r="C48" s="4" t="str"/>
      <x:c r="D48" s="4" t="str"/>
      <x:c r="E48" s="4" t="str">
        <x:v>部分阻塞</x:v>
      </x:c>
      <x:c r="F48" s="4" t="str">
        <x:v>M01 账号·登录·资料与设置</x:v>
      </x:c>
      <x:c r="G48" s="4" t="str">
        <x:v>运营账号已拥有登录账号和密码，在用户App尝试登录</x:v>
      </x:c>
      <x:c r="H48" s="4" t="str">
        <x:v>角色与权限</x:v>
      </x:c>
      <x:c r="I48" s="4" t="str">
        <x:v>运营账号应使用哪个用户App入口？</x:v>
      </x:c>
      <x:c r="J48" s="4" t="str">
        <x:v>A. 复用手机号密码登录，运营登录账号必须绑定手机号
B. 提供独立运营账号密码入口，不要求手机号</x:v>
      </x:c>
      <x:c r="K48" s="4" t="str">
        <x:v>建议优先评估A：明确运营账号已拥有登录账号和密码，在用户App尝试登录的唯一处理口径后，可构造确定的输入和结果；此建议不代表产品结论</x:v>
      </x:c>
      <x:c r="L48" s="8" t="str"/>
      <x:c r="M48" s="8" t="str"/>
      <x:c r="N48" s="4" t="str">
        <x:v>1. MainBasis/需求待确认清单.md#Q019：手机号/邮箱账号建立、找回和绑定
2. 主文档关联：U-auth-login-register-011</x:v>
      </x:c>
      <x:c r="O48" s="4" t="str">
        <x:v>1. 用户App：运营账号已拥有登录账号和密码，在用户App尝试登录
2. 公会App：运营账号已拥有登录账号和密码，在用户App尝试登录</x:v>
      </x:c>
      <x:c r="P48" s="4" t="str"/>
      <x:c r="Q48" s="4" t="str">
        <x:v>1. 运营账号应使用哪个用户App入口的正向、边界及异常场景</x:v>
      </x:c>
      <x:c r="R48" s="4" t="str">
        <x:v>多方确认</x:v>
      </x:c>
      <x:c r="S48" s="4" t="str">
        <x:v>进入对应功能测试前</x:v>
      </x:c>
      <x:c r="T48" s="4" t="str">
        <x:v>待确认</x:v>
      </x:c>
    </x:row>
    <x:row r="49" ht="82" customHeight="1">
      <x:c r="A49" s="4" t="str">
        <x:v>Q-044</x:v>
      </x:c>
      <x:c r="B49" s="4" t="str">
        <x:v>RQ-020</x:v>
      </x:c>
      <x:c r="C49" s="4" t="str"/>
      <x:c r="D49" s="4" t="str"/>
      <x:c r="E49" s="4" t="str">
        <x:v>部分阻塞</x:v>
      </x:c>
      <x:c r="F49" s="4" t="str">
        <x:v>M01 账号·登录·资料与设置</x:v>
      </x:c>
      <x:c r="G49" s="4" t="str">
        <x:v>新用户首次保存头像和昵称</x:v>
      </x:c>
      <x:c r="H49" s="4" t="str">
        <x:v>业务规则</x:v>
      </x:c>
      <x:c r="I49" s="4" t="str">
        <x:v>首次资料保存是否执行修改资料相同的风控？</x:v>
      </x:c>
      <x:c r="J49" s="4" t="str">
        <x:v>A. 执行同一风控，不通过时保留默认资料
B. 首次不检测，仅后续修改时检测</x:v>
      </x:c>
      <x:c r="K49" s="4" t="str">
        <x:v>建议优先评估A：明确新用户首次保存头像和昵称的唯一处理口径后，可构造确定的输入和结果；此建议不代表产品结论</x:v>
      </x:c>
      <x:c r="L49" s="8" t="str"/>
      <x:c r="M49" s="8" t="str"/>
      <x:c r="N49" s="4" t="str">
        <x:v>1. MainBasis/需求待确认清单.md#Q020：首次完善资料是否走相同风控
2. 主文档关联：U-auth-profile-completion-004、U-auth-profile-completion-005</x:v>
      </x:c>
      <x:c r="O49" s="4" t="str">
        <x:v>1. 用户App：新用户首次保存头像和昵称
2. 管理后台：新用户首次保存头像和昵称</x:v>
      </x:c>
      <x:c r="P49" s="4" t="str"/>
      <x:c r="Q49" s="4" t="str">
        <x:v>1. 首次资料保存是否执行修改资料相同的风控的正向、边界及异常场景</x:v>
      </x:c>
      <x:c r="R49" s="4" t="str">
        <x:v>产品</x:v>
      </x:c>
      <x:c r="S49" s="4" t="str">
        <x:v>进入对应功能测试前</x:v>
      </x:c>
      <x:c r="T49" s="4" t="str">
        <x:v>待确认</x:v>
      </x:c>
    </x:row>
    <x:row r="50" ht="68" customHeight="1">
      <x:c r="A50" s="4" t="str">
        <x:v>Q-045</x:v>
      </x:c>
      <x:c r="B50" s="4" t="str">
        <x:v>RQ-021</x:v>
      </x:c>
      <x:c r="C50" s="4" t="str"/>
      <x:c r="D50" s="4" t="str"/>
      <x:c r="E50" s="4" t="str">
        <x:v>部分阻塞</x:v>
      </x:c>
      <x:c r="F50" s="4" t="str">
        <x:v>M03 社交·私信·群聊与通知</x:v>
      </x:c>
      <x:c r="G50" s="4" t="str">
        <x:v>非好友私信已发送三条后删除会话重新打开</x:v>
      </x:c>
      <x:c r="H50" s="4" t="str">
        <x:v>业务规则</x:v>
      </x:c>
      <x:c r="I50" s="4" t="str">
        <x:v>删除会话是否重置非好友私信额度？</x:v>
      </x:c>
      <x:c r="J50" s="4" t="str">
        <x:v>A. 不重置，按当前账号对累计
B. 重置为可发送三条</x:v>
      </x:c>
      <x:c r="K50" s="4" t="str">
        <x:v>建议优先评估A：明确非好友私信已发送三条后删除会话重新打开的唯一处理口径后，可构造确定的输入和结果；此建议不代表产品结论</x:v>
      </x:c>
      <x:c r="L50" s="8" t="str"/>
      <x:c r="M50" s="8" t="str"/>
      <x:c r="N50" s="4" t="str">
        <x:v>1. MainBasis/需求待确认清单.md#Q021：非好友私信额度和媒体边界
2. 主文档关联：D-SYS-098、U-direct-message-004、U-direct-message-010</x:v>
      </x:c>
      <x:c r="O50" s="4" t="str">
        <x:v>1. 用户App：非好友私信已发送三条后删除会话重新打开</x:v>
      </x:c>
      <x:c r="P50" s="4" t="str"/>
      <x:c r="Q50" s="4" t="str">
        <x:v>1. 删除会话是否重置非好友私信额度的正向、边界及异常场景</x:v>
      </x:c>
      <x:c r="R50" s="4" t="str">
        <x:v>产品</x:v>
      </x:c>
      <x:c r="S50" s="4" t="str">
        <x:v>进入对应功能测试前</x:v>
      </x:c>
      <x:c r="T50" s="4" t="str">
        <x:v>待确认</x:v>
      </x:c>
    </x:row>
    <x:row r="51" ht="68" customHeight="1">
      <x:c r="A51" s="4" t="str">
        <x:v>Q-046</x:v>
      </x:c>
      <x:c r="B51" s="4" t="str">
        <x:v>RQ-021</x:v>
      </x:c>
      <x:c r="C51" s="4" t="str"/>
      <x:c r="D51" s="4" t="str"/>
      <x:c r="E51" s="4" t="str">
        <x:v>部分阻塞</x:v>
      </x:c>
      <x:c r="F51" s="4" t="str">
        <x:v>M03 社交·私信·群聊与通知</x:v>
      </x:c>
      <x:c r="G51" s="4" t="str">
        <x:v>非好友发送图片、语音或分享卡片</x:v>
      </x:c>
      <x:c r="H51" s="4" t="str">
        <x:v>业务规则</x:v>
      </x:c>
      <x:c r="I51" s="4" t="str">
        <x:v>这些消息是否占用三条私信额度？</x:v>
      </x:c>
      <x:c r="J51" s="4" t="str">
        <x:v>A. 每条成功发送的消息均占1条
B. 仅文本占用，其他类型发送不扣额度</x:v>
      </x:c>
      <x:c r="K51" s="4" t="str">
        <x:v>建议优先评估A：明确非好友发送图片、语音或分享卡片的唯一处理口径后，可构造确定的输入和结果；此建议不代表产品结论</x:v>
      </x:c>
      <x:c r="L51" s="8" t="str"/>
      <x:c r="M51" s="8" t="str"/>
      <x:c r="N51" s="4" t="str">
        <x:v>1. MainBasis/需求待确认清单.md#Q021：非好友私信额度和媒体边界
2. 主文档关联：D-SYS-098、U-direct-message-004、U-direct-message-010</x:v>
      </x:c>
      <x:c r="O51" s="4" t="str">
        <x:v>1. 用户App：非好友发送图片、语音或分享卡片</x:v>
      </x:c>
      <x:c r="P51" s="4" t="str"/>
      <x:c r="Q51" s="4" t="str">
        <x:v>1. 这些消息是否占用三条私信额度的正向、边界及异常场景</x:v>
      </x:c>
      <x:c r="R51" s="4" t="str">
        <x:v>产品</x:v>
      </x:c>
      <x:c r="S51" s="4" t="str">
        <x:v>进入对应功能测试前</x:v>
      </x:c>
      <x:c r="T51" s="4" t="str">
        <x:v>待确认</x:v>
      </x:c>
    </x:row>
    <x:row r="52" ht="82" customHeight="1">
      <x:c r="A52" s="4" t="str">
        <x:v>Q-047</x:v>
      </x:c>
      <x:c r="B52" s="4" t="str">
        <x:v>RQ-022</x:v>
      </x:c>
      <x:c r="C52" s="4" t="str"/>
      <x:c r="D52" s="4" t="str"/>
      <x:c r="E52" s="4" t="str">
        <x:v>部分阻塞</x:v>
      </x:c>
      <x:c r="F52" s="4" t="str">
        <x:v>M03 社交·私信·群聊与通知</x:v>
      </x:c>
      <x:c r="G52" s="4" t="str">
        <x:v>粉丝团成员取消关注所属主播</x:v>
      </x:c>
      <x:c r="H52" s="4" t="str">
        <x:v>业务规则</x:v>
      </x:c>
      <x:c r="I52" s="4" t="str">
        <x:v>取消关注是否自动退出粉丝团？</x:v>
      </x:c>
      <x:c r="J52" s="4" t="str">
        <x:v>A. 自动退团并清空本团成长
B. 保留团籍与成长，关注关系单独解除</x:v>
      </x:c>
      <x:c r="K52" s="4" t="str">
        <x:v>建议优先评估A：明确粉丝团成员取消关注所属主播的唯一处理口径后，可构造确定的输入和结果；此建议不代表产品结论</x:v>
      </x:c>
      <x:c r="L52" s="8" t="str"/>
      <x:c r="M52" s="8" t="str"/>
      <x:c r="N52" s="4" t="str">
        <x:v>1. MainBasis/需求待确认清单.md#Q022：粉丝团创建、关注取消及群禁言细节
2. 主文档关联：D-SYS-104、U-fan-group-chat-004、U-group-manage-member-005、U-fan-club-010</x:v>
      </x:c>
      <x:c r="O52" s="4" t="str">
        <x:v>1. 用户App：粉丝团成员取消关注所属主播</x:v>
      </x:c>
      <x:c r="P52" s="4" t="str"/>
      <x:c r="Q52" s="4" t="str">
        <x:v>1. 取消关注是否自动退出粉丝团的正向、边界及异常场景</x:v>
      </x:c>
      <x:c r="R52" s="4" t="str">
        <x:v>产品</x:v>
      </x:c>
      <x:c r="S52" s="4" t="str">
        <x:v>进入对应功能测试前</x:v>
      </x:c>
      <x:c r="T52" s="4" t="str">
        <x:v>待确认</x:v>
      </x:c>
    </x:row>
    <x:row r="53" ht="82" customHeight="1">
      <x:c r="A53" s="4" t="str">
        <x:v>Q-048</x:v>
      </x:c>
      <x:c r="B53" s="4" t="str">
        <x:v>RQ-022</x:v>
      </x:c>
      <x:c r="C53" s="4" t="str"/>
      <x:c r="D53" s="4" t="str"/>
      <x:c r="E53" s="4" t="str">
        <x:v>部分阻塞</x:v>
      </x:c>
      <x:c r="F53" s="4" t="str">
        <x:v>M03 社交·私信·群聊与通知</x:v>
      </x:c>
      <x:c r="G53" s="4" t="str">
        <x:v>团主开启全员禁言后自己发送群消息</x:v>
      </x:c>
      <x:c r="H53" s="4" t="str">
        <x:v>业务规则</x:v>
      </x:c>
      <x:c r="I53" s="4" t="str">
        <x:v>全员禁言是否限制团主？</x:v>
      </x:c>
      <x:c r="J53" s="4" t="str">
        <x:v>A. 团主不受限制
B. 包括团主在内所有成员均不能发送</x:v>
      </x:c>
      <x:c r="K53" s="4" t="str">
        <x:v>建议优先评估A：明确团主开启全员禁言后自己发送群消息的唯一处理口径后，可构造确定的输入和结果；此建议不代表产品结论</x:v>
      </x:c>
      <x:c r="L53" s="8" t="str"/>
      <x:c r="M53" s="8" t="str"/>
      <x:c r="N53" s="4" t="str">
        <x:v>1. MainBasis/需求待确认清单.md#Q022：粉丝团创建、关注取消及群禁言细节
2. 主文档关联：D-SYS-104、U-fan-group-chat-004、U-group-manage-member-005、U-fan-club-010</x:v>
      </x:c>
      <x:c r="O53" s="4" t="str">
        <x:v>1. 用户App：团主开启全员禁言后自己发送群消息</x:v>
      </x:c>
      <x:c r="P53" s="4" t="str"/>
      <x:c r="Q53" s="4" t="str">
        <x:v>1. 全员禁言是否限制团主的正向、边界及异常场景</x:v>
      </x:c>
      <x:c r="R53" s="4" t="str">
        <x:v>产品</x:v>
      </x:c>
      <x:c r="S53" s="4" t="str">
        <x:v>进入对应功能测试前</x:v>
      </x:c>
      <x:c r="T53" s="4" t="str">
        <x:v>待确认</x:v>
      </x:c>
    </x:row>
    <x:row r="54" ht="110" customHeight="1">
      <x:c r="A54" s="4" t="str">
        <x:v>Q-049</x:v>
      </x:c>
      <x:c r="B54" s="4" t="str">
        <x:v>RQ-023</x:v>
      </x:c>
      <x:c r="C54" s="4" t="str"/>
      <x:c r="D54" s="4" t="str"/>
      <x:c r="E54" s="4" t="str">
        <x:v>部分阻塞</x:v>
      </x:c>
      <x:c r="F54" s="4" t="str">
        <x:v>M06 开播·房型·观看·连麦与房内管理</x:v>
      </x:c>
      <x:c r="G54" s="4" t="str">
        <x:v>未在密码房授权名单的用户通过分享直达</x:v>
      </x:c>
      <x:c r="H54" s="4" t="str">
        <x:v>业务规则</x:v>
      </x:c>
      <x:c r="I54" s="4" t="str">
        <x:v>授权名单是否约束分享直达准入？</x:v>
      </x:c>
      <x:c r="J54" s="4" t="str">
        <x:v>A. 约束，名单外账号即使密码正确也不得进入
B. 不约束，名单仅控制广场展示</x:v>
      </x:c>
      <x:c r="K54" s="4" t="str">
        <x:v>建议优先评估A：明确未在密码房授权名单的用户通过分享直达的唯一处理口径后，可构造确定的输入和结果；此建议不代表产品结论</x:v>
      </x:c>
      <x:c r="L54" s="8" t="str"/>
      <x:c r="M54" s="8" t="str"/>
      <x:c r="N54" s="4" t="str">
        <x:v>1. MainBasis/需求待确认清单.md#Q023：密码房授权可见与准入的关系
2. 主文档关联：U-start-live-settings-001、U-visible-fan-select-001、U-views_live-room-host-password_more-actions-002、U-views_live-room-host-password_visible-scope-001</x:v>
      </x:c>
      <x:c r="O54" s="4" t="str">
        <x:v>1. 用户App：未在密码房授权名单的用户通过分享直达</x:v>
      </x:c>
      <x:c r="P54" s="4" t="str"/>
      <x:c r="Q54" s="4" t="str">
        <x:v>1. 授权名单是否约束分享直达准入的正向、边界及异常场景</x:v>
      </x:c>
      <x:c r="R54" s="4" t="str">
        <x:v>产品</x:v>
      </x:c>
      <x:c r="S54" s="4" t="str">
        <x:v>进入对应功能测试前</x:v>
      </x:c>
      <x:c r="T54" s="4" t="str">
        <x:v>待确认</x:v>
      </x:c>
    </x:row>
    <x:row r="55" ht="110" customHeight="1">
      <x:c r="A55" s="4" t="str">
        <x:v>Q-050</x:v>
      </x:c>
      <x:c r="B55" s="4" t="str">
        <x:v>RQ-023</x:v>
      </x:c>
      <x:c r="C55" s="4" t="str"/>
      <x:c r="D55" s="4" t="str"/>
      <x:c r="E55" s="4" t="str">
        <x:v>部分阻塞</x:v>
      </x:c>
      <x:c r="F55" s="4" t="str">
        <x:v>M06 开播·房型·观看·连麦与房内管理</x:v>
      </x:c>
      <x:c r="G55" s="4" t="str">
        <x:v>主播从密码房授权名单移除在线观众</x:v>
      </x:c>
      <x:c r="H55" s="4" t="str">
        <x:v>业务规则</x:v>
      </x:c>
      <x:c r="I55" s="4" t="str">
        <x:v>移除是否使当前在线观众退出？</x:v>
      </x:c>
      <x:c r="J55" s="4" t="str">
        <x:v>A. 移除成功后结束该观众本场会话
B. 不影响当前会话，下次进入再校验</x:v>
      </x:c>
      <x:c r="K55" s="4" t="str">
        <x:v>建议优先评估A：明确主播从密码房授权名单移除在线观众的唯一处理口径后，可构造确定的输入和结果；此建议不代表产品结论</x:v>
      </x:c>
      <x:c r="L55" s="8" t="str"/>
      <x:c r="M55" s="8" t="str"/>
      <x:c r="N55" s="4" t="str">
        <x:v>1. MainBasis/需求待确认清单.md#Q023：密码房授权可见与准入的关系
2. 主文档关联：U-start-live-settings-001、U-visible-fan-select-001、U-views_live-room-host-password_more-actions-002、U-views_live-room-host-password_visible-scope-001</x:v>
      </x:c>
      <x:c r="O55" s="4" t="str">
        <x:v>1. 用户App：主播从密码房授权名单移除在线观众</x:v>
      </x:c>
      <x:c r="P55" s="4" t="str"/>
      <x:c r="Q55" s="4" t="str">
        <x:v>1. 移除是否使当前在线观众退出的正向、边界及异常场景</x:v>
      </x:c>
      <x:c r="R55" s="4" t="str">
        <x:v>产品</x:v>
      </x:c>
      <x:c r="S55" s="4" t="str">
        <x:v>进入对应功能测试前</x:v>
      </x:c>
      <x:c r="T55" s="4" t="str">
        <x:v>待确认</x:v>
      </x:c>
    </x:row>
    <x:row r="56" ht="68" customHeight="1">
      <x:c r="A56" s="4" t="str">
        <x:v>Q-051</x:v>
      </x:c>
      <x:c r="B56" s="4" t="str">
        <x:v>RQ-024</x:v>
      </x:c>
      <x:c r="C56" s="4" t="str"/>
      <x:c r="D56" s="4" t="str"/>
      <x:c r="E56" s="4" t="str">
        <x:v>部分阻塞</x:v>
      </x:c>
      <x:c r="F56" s="4" t="str">
        <x:v>跨模块需求</x:v>
      </x:c>
      <x:c r="G56" s="4" t="str">
        <x:v>主播在普通房选择PK入口</x:v>
      </x:c>
      <x:c r="H56" s="4" t="str">
        <x:v>需求范围</x:v>
      </x:c>
      <x:c r="I56" s="4" t="str">
        <x:v>本期PK是否包含独立比分和胜负业务？</x:v>
      </x:c>
      <x:c r="J56" s="4" t="str">
        <x:v>A. 不包含，入口仅用于双主播连麦
B. 包含，须补充比分计分和胜负结算需求</x:v>
      </x:c>
      <x:c r="K56" s="4" t="str">
        <x:v>建议优先评估A：明确主播在普通房选择PK入口的唯一处理口径后，可构造确定的输入和结果；此建议不代表产品结论</x:v>
      </x:c>
      <x:c r="L56" s="8" t="str"/>
      <x:c r="M56" s="8" t="str"/>
      <x:c r="N56" s="4" t="str">
        <x:v>1. MainBasis/需求待确认清单.md#Q024：本期范围、房型/幸运开关与 PK
2. 主文档关联：见风险来源中的来源异常范围</x:v>
      </x:c>
      <x:c r="O56" s="4" t="str">
        <x:v>1. 用户App：主播在普通房选择PK入口
2. 管理后台：主播在普通房选择PK入口</x:v>
      </x:c>
      <x:c r="P56" s="4" t="str"/>
      <x:c r="Q56" s="4" t="str">
        <x:v>1. 本期PK是否包含独立比分和胜负业务的正向、边界及异常场景</x:v>
      </x:c>
      <x:c r="R56" s="4" t="str">
        <x:v>产品</x:v>
      </x:c>
      <x:c r="S56" s="4" t="str">
        <x:v>进入对应功能测试前</x:v>
      </x:c>
      <x:c r="T56" s="4" t="str">
        <x:v>待确认</x:v>
      </x:c>
    </x:row>
    <x:row r="57" ht="96" customHeight="1">
      <x:c r="A57" s="4" t="str">
        <x:v>Q-052</x:v>
      </x:c>
      <x:c r="B57" s="4" t="str">
        <x:v>RQ-024</x:v>
      </x:c>
      <x:c r="C57" s="4" t="str"/>
      <x:c r="D57" s="4" t="str"/>
      <x:c r="E57" s="4" t="str">
        <x:v>部分阻塞</x:v>
      </x:c>
      <x:c r="F57" s="4" t="str">
        <x:v>跨模块需求</x:v>
      </x:c>
      <x:c r="G57" s="4" t="str">
        <x:v>平台关闭幸运礼物功能时赠送请求正在处理</x:v>
      </x:c>
      <x:c r="H57" s="4" t="str">
        <x:v>业务规则</x:v>
      </x:c>
      <x:c r="I57" s="4" t="str">
        <x:v>已受理的赠送按哪个开关版本处理？</x:v>
      </x:c>
      <x:c r="J57" s="4" t="str">
        <x:v>A. 按受理时快照完成，本次关闭只拦截后续请求
B. 关闭后未扣款请求取消，已扣款请求完成</x:v>
      </x:c>
      <x:c r="K57" s="4" t="str">
        <x:v>建议优先评估A：明确平台关闭幸运礼物功能时赠送请求正在处理的唯一处理口径后，可构造确定的输入和结果；此建议不代表产品结论</x:v>
      </x:c>
      <x:c r="L57" s="8" t="str"/>
      <x:c r="M57" s="8" t="str"/>
      <x:c r="N57" s="4" t="str">
        <x:v>1. MainBasis/需求待确认清单.md#Q024：本期范围、房型/幸运开关与 PK
2. 主文档关联：见风险来源中的来源异常范围</x:v>
      </x:c>
      <x:c r="O57" s="4" t="str">
        <x:v>1. 用户App：平台关闭幸运礼物功能时赠送请求正在处理
2. 公会App：平台关闭幸运礼物功能时赠送请求正在处理
3. 管理后台：平台关闭幸运礼物功能时赠送请求正在处理</x:v>
      </x:c>
      <x:c r="P57" s="4" t="str"/>
      <x:c r="Q57" s="4" t="str">
        <x:v>1. 已受理的赠送按哪个开关版本处理的正向、边界及异常场景</x:v>
      </x:c>
      <x:c r="R57" s="4" t="str">
        <x:v>产品</x:v>
      </x:c>
      <x:c r="S57" s="4" t="str">
        <x:v>进入对应功能测试前</x:v>
      </x:c>
      <x:c r="T57" s="4" t="str">
        <x:v>待确认</x:v>
      </x:c>
    </x:row>
    <x:row r="58" ht="96" customHeight="1">
      <x:c r="A58" s="4" t="str">
        <x:v>Q-053</x:v>
      </x:c>
      <x:c r="B58" s="4" t="str">
        <x:v>RQ-025</x:v>
      </x:c>
      <x:c r="C58" s="4" t="str"/>
      <x:c r="D58" s="4" t="str"/>
      <x:c r="E58" s="4" t="str">
        <x:v>部分阻塞</x:v>
      </x:c>
      <x:c r="F58" s="4" t="str">
        <x:v>M02 发现·搜索·主页与平台榜单</x:v>
      </x:c>
      <x:c r="G58" s="4" t="str">
        <x:v>主播场次跨越当地午夜</x:v>
      </x:c>
      <x:c r="H58" s="4" t="str">
        <x:v>计算与统计口径</x:v>
      </x:c>
      <x:c r="I58" s="4" t="str">
        <x:v>统计自然日使用哪个时区？</x:v>
      </x:c>
      <x:c r="J58" s="4" t="str">
        <x:v>A. 统一使用Asia/Jakarta
B. 统一使用UTC</x:v>
      </x:c>
      <x:c r="K58" s="4" t="str">
        <x:v>建议优先评估A：明确主播场次跨越当地午夜的唯一处理口径后，可构造确定的输入和结果；此建议不代表产品结论</x:v>
      </x:c>
      <x:c r="L58" s="8" t="str"/>
      <x:c r="M58" s="8" t="str"/>
      <x:c r="N58" s="4" t="str">
        <x:v>1. MainBasis/需求待确认清单.md#Q025：业务时区、跨日场次和有效直播时长
2. 主文档关联：U-host-ranking-002、G-guild-income-002、A-admin-data-overview-007、U-contribution-ranking-002</x:v>
      </x:c>
      <x:c r="O58" s="4" t="str">
        <x:v>1. 用户App：主播场次跨越当地午夜
2. 公会App：主播场次跨越当地午夜
3. 管理后台：主播场次跨越当地午夜</x:v>
      </x:c>
      <x:c r="P58" s="4" t="str"/>
      <x:c r="Q58" s="4" t="str">
        <x:v>1. 统计自然日使用哪个时区的正向、边界及异常场景</x:v>
      </x:c>
      <x:c r="R58" s="4" t="str">
        <x:v>产品</x:v>
      </x:c>
      <x:c r="S58" s="4" t="str">
        <x:v>进入对应功能测试前</x:v>
      </x:c>
      <x:c r="T58" s="4" t="str">
        <x:v>待确认</x:v>
      </x:c>
    </x:row>
    <x:row r="59" ht="96" customHeight="1">
      <x:c r="A59" s="4" t="str">
        <x:v>Q-054</x:v>
      </x:c>
      <x:c r="B59" s="4" t="str">
        <x:v>RQ-025</x:v>
      </x:c>
      <x:c r="C59" s="4" t="str"/>
      <x:c r="D59" s="4" t="str"/>
      <x:c r="E59" s="4" t="str">
        <x:v>部分阻塞</x:v>
      </x:c>
      <x:c r="F59" s="4" t="str">
        <x:v>M02 发现·搜索·主页与平台榜单</x:v>
      </x:c>
      <x:c r="G59" s="4" t="str">
        <x:v>主播一场直播跨越统计日边界</x:v>
      </x:c>
      <x:c r="H59" s="4" t="str">
        <x:v>业务规则</x:v>
      </x:c>
      <x:c r="I59" s="4" t="str">
        <x:v>跨日直播时长如何归属日期？</x:v>
      </x:c>
      <x:c r="J59" s="4" t="str">
        <x:v>A. 按实际时间切分到各自然日
B. 全部归入开播所在自然日</x:v>
      </x:c>
      <x:c r="K59" s="4" t="str">
        <x:v>建议优先评估A：明确主播一场直播跨越统计日边界的唯一处理口径后，可构造确定的输入和结果；此建议不代表产品结论</x:v>
      </x:c>
      <x:c r="L59" s="8" t="str"/>
      <x:c r="M59" s="8" t="str"/>
      <x:c r="N59" s="4" t="str">
        <x:v>1. MainBasis/需求待确认清单.md#Q025：业务时区、跨日场次和有效直播时长
2. 主文档关联：U-host-ranking-002、G-guild-income-002、A-admin-data-overview-007、U-contribution-ranking-002</x:v>
      </x:c>
      <x:c r="O59" s="4" t="str">
        <x:v>1. 用户App：主播一场直播跨越统计日边界
2. 公会App：主播一场直播跨越统计日边界
3. 管理后台：主播一场直播跨越统计日边界</x:v>
      </x:c>
      <x:c r="P59" s="4" t="str"/>
      <x:c r="Q59" s="4" t="str">
        <x:v>1. 跨日直播时长如何归属日期的正向、边界及异常场景</x:v>
      </x:c>
      <x:c r="R59" s="4" t="str">
        <x:v>产品</x:v>
      </x:c>
      <x:c r="S59" s="4" t="str">
        <x:v>进入对应功能测试前</x:v>
      </x:c>
      <x:c r="T59" s="4" t="str">
        <x:v>待确认</x:v>
      </x:c>
    </x:row>
    <x:row r="60" ht="96" customHeight="1">
      <x:c r="A60" s="4" t="str">
        <x:v>Q-055</x:v>
      </x:c>
      <x:c r="B60" s="4" t="str">
        <x:v>RQ-025</x:v>
      </x:c>
      <x:c r="C60" s="4" t="str"/>
      <x:c r="D60" s="4" t="str"/>
      <x:c r="E60" s="4" t="str">
        <x:v>部分阻塞</x:v>
      </x:c>
      <x:c r="F60" s="4" t="str">
        <x:v>M02 发现·搜索·主页与平台榜单</x:v>
      </x:c>
      <x:c r="G60" s="4" t="str">
        <x:v>直播因网络中断暂停推流但场次未结束</x:v>
      </x:c>
      <x:c r="H60" s="4" t="str">
        <x:v>业务规则</x:v>
      </x:c>
      <x:c r="I60" s="4" t="str">
        <x:v>断流时间是否计入有效直播时长？</x:v>
      </x:c>
      <x:c r="J60" s="4" t="str">
        <x:v>A. 不计入，以有效推流区间累计
B. 计入，以场次开始至结束累计</x:v>
      </x:c>
      <x:c r="K60" s="4" t="str">
        <x:v>建议优先评估A：明确直播因网络中断暂停推流但场次未结束的唯一处理口径后，可构造确定的输入和结果；此建议不代表产品结论</x:v>
      </x:c>
      <x:c r="L60" s="8" t="str"/>
      <x:c r="M60" s="8" t="str"/>
      <x:c r="N60" s="4" t="str">
        <x:v>1. MainBasis/需求待确认清单.md#Q025：业务时区、跨日场次和有效直播时长
2. 主文档关联：U-host-ranking-002、G-guild-income-002、A-admin-data-overview-007、U-contribution-ranking-002</x:v>
      </x:c>
      <x:c r="O60" s="4" t="str">
        <x:v>1. 用户App：直播因网络中断暂停推流但场次未结束
2. 公会App：直播因网络中断暂停推流但场次未结束
3. 管理后台：直播因网络中断暂停推流但场次未结束</x:v>
      </x:c>
      <x:c r="P60" s="4" t="str"/>
      <x:c r="Q60" s="4" t="str">
        <x:v>1. 断流时间是否计入有效直播时长的正向、边界及异常场景</x:v>
      </x:c>
      <x:c r="R60" s="4" t="str">
        <x:v>产品</x:v>
      </x:c>
      <x:c r="S60" s="4" t="str">
        <x:v>进入对应功能测试前</x:v>
      </x:c>
      <x:c r="T60" s="4" t="str">
        <x:v>待确认</x:v>
      </x:c>
    </x:row>
    <x:row r="61" ht="82" customHeight="1">
      <x:c r="A61" s="4" t="str">
        <x:v>Q-056</x:v>
      </x:c>
      <x:c r="B61" s="4" t="str">
        <x:v>RQ-026</x:v>
      </x:c>
      <x:c r="C61" s="4" t="str"/>
      <x:c r="D61" s="4" t="str"/>
      <x:c r="E61" s="4" t="str">
        <x:v>部分阻塞</x:v>
      </x:c>
      <x:c r="F61" s="4" t="str">
        <x:v>M06 开播·房型·观看·连麦与房内管理</x:v>
      </x:c>
      <x:c r="G61" s="4" t="str">
        <x:v>主播在直播数据页查看观众人次，同一观众有两次成功进入</x:v>
      </x:c>
      <x:c r="H61" s="4" t="str">
        <x:v>计算与统计口径</x:v>
      </x:c>
      <x:c r="I61" s="4" t="str">
        <x:v>该页观众人次是否重复计算同一账号重进？</x:v>
      </x:c>
      <x:c r="J61" s="4" t="str">
        <x:v>A. 按成功进入事件累计，此例为2
B. 按账号去重，此例为1</x:v>
      </x:c>
      <x:c r="K61" s="4" t="str">
        <x:v>建议优先评估A：明确主播在直播数据页查看观众人次，同一观众有两次成功进入的唯一处理口径后，可构造确定的输入和结果；此建议不代表产品结论</x:v>
      </x:c>
      <x:c r="L61" s="8" t="str"/>
      <x:c r="M61" s="8" t="str"/>
      <x:c r="N61" s="4" t="str">
        <x:v>1. MainBasis/需求待确认清单.md#Q026：观众人数、人次、访问次数与新增粉丝
2. 主文档关联：U-live-end-host-002、G-guild-host-summary-004、A-admin-live-statistics-003、U-host-center-005</x:v>
      </x:c>
      <x:c r="O61" s="4" t="str">
        <x:v>1. 用户App：主播在直播数据页查看观众人次，同一观众有两次成功进入</x:v>
      </x:c>
      <x:c r="P61" s="4" t="str"/>
      <x:c r="Q61" s="4" t="str">
        <x:v>1. 该页观众人次是否重复计算同一账号重进的正向、边界及异常场景</x:v>
      </x:c>
      <x:c r="R61" s="4" t="str">
        <x:v>产品</x:v>
      </x:c>
      <x:c r="S61" s="4" t="str">
        <x:v>进入对应功能测试前</x:v>
      </x:c>
      <x:c r="T61" s="4" t="str">
        <x:v>待确认</x:v>
      </x:c>
    </x:row>
    <x:row r="62" ht="96" customHeight="1">
      <x:c r="A62" s="4" t="str">
        <x:v>Q-057</x:v>
      </x:c>
      <x:c r="B62" s="4" t="str">
        <x:v>RQ-026</x:v>
      </x:c>
      <x:c r="C62" s="4" t="str"/>
      <x:c r="D62" s="4" t="str"/>
      <x:c r="E62" s="4" t="str">
        <x:v>部分阻塞</x:v>
      </x:c>
      <x:c r="F62" s="4" t="str">
        <x:v>M06 开播·房型·观看·连麦与房内管理</x:v>
      </x:c>
      <x:c r="G62" s="4" t="str">
        <x:v>用户在同一场次关注、取关后再次关注</x:v>
      </x:c>
      <x:c r="H62" s="4" t="str">
        <x:v>业务规则</x:v>
      </x:c>
      <x:c r="I62" s="4" t="str">
        <x:v>新增粉丝指标如何计数？</x:v>
      </x:c>
      <x:c r="J62" s="4" t="str">
        <x:v>A. 只计本场首次新增关注账号且去重
B. 每次关注成功事件均累计</x:v>
      </x:c>
      <x:c r="K62" s="4" t="str">
        <x:v>建议优先评估A：明确用户在同一场次关注、取关后再次关注的唯一处理口径后，可构造确定的输入和结果；此建议不代表产品结论</x:v>
      </x:c>
      <x:c r="L62" s="8" t="str"/>
      <x:c r="M62" s="8" t="str"/>
      <x:c r="N62" s="4" t="str">
        <x:v>1. MainBasis/需求待确认清单.md#Q026：观众人数、人次、访问次数与新增粉丝
2. 主文档关联：U-live-end-host-002、G-guild-host-summary-004、A-admin-live-statistics-003、U-host-center-005</x:v>
      </x:c>
      <x:c r="O62" s="4" t="str">
        <x:v>1. 用户App：用户在同一场次关注、取关后再次关注
2. 公会App：用户在同一场次关注、取关后再次关注
3. 管理后台：用户在同一场次关注、取关后再次关注</x:v>
      </x:c>
      <x:c r="P62" s="4" t="str"/>
      <x:c r="Q62" s="4" t="str">
        <x:v>1. 新增粉丝指标如何计数的正向、边界及异常场景</x:v>
      </x:c>
      <x:c r="R62" s="4" t="str">
        <x:v>产品</x:v>
      </x:c>
      <x:c r="S62" s="4" t="str">
        <x:v>进入对应功能测试前</x:v>
      </x:c>
      <x:c r="T62" s="4" t="str">
        <x:v>待确认</x:v>
      </x:c>
    </x:row>
    <x:row r="63" ht="96" customHeight="1">
      <x:c r="A63" s="4" t="str">
        <x:v>Q-065</x:v>
      </x:c>
      <x:c r="B63" s="4" t="str">
        <x:v>RQ-031</x:v>
      </x:c>
      <x:c r="C63" s="4" t="str"/>
      <x:c r="D63" s="4" t="str"/>
      <x:c r="E63" s="4" t="str">
        <x:v>部分阻塞</x:v>
      </x:c>
      <x:c r="F63" s="4" t="str">
        <x:v>M07 金币·充值·消费与客户端账单</x:v>
      </x:c>
      <x:c r="G63" s="4" t="str">
        <x:v>用户在App内充值</x:v>
      </x:c>
      <x:c r="H63" s="4" t="str">
        <x:v>需求范围</x:v>
      </x:c>
      <x:c r="I63" s="4" t="str">
        <x:v>本期是否支持跳转外部H5支付？</x:v>
      </x:c>
      <x:c r="J63" s="4" t="str">
        <x:v>A. 支持，支付渠道以当前平台配置为准
B. 不支持，仅使用App内已登记支付渠道</x:v>
      </x:c>
      <x:c r="K63" s="4" t="str">
        <x:v>建议优先评估A：明确用户在App内充值的唯一处理口径后，可构造确定的输入和结果；此建议不代表产品结论</x:v>
      </x:c>
      <x:c r="L63" s="8" t="str"/>
      <x:c r="M63" s="8" t="str"/>
      <x:c r="N63" s="4" t="str">
        <x:v>1. MainBasis/需求待确认清单.md#Q031：支付渠道与 H5 充值范围
2. 主文档关联：U-recharge-003、A-admin-recharge-order-008、U-views_live-room_gift-recharge-002、A-admin-recharge-order-detail-002</x:v>
      </x:c>
      <x:c r="O63" s="4" t="str">
        <x:v>1. 用户App：用户在App内充值
2. 管理后台：用户在App内充值</x:v>
      </x:c>
      <x:c r="P63" s="4" t="str"/>
      <x:c r="Q63" s="4" t="str">
        <x:v>1. 本期是否支持跳转外部H5支付的正向、边界及异常场景</x:v>
      </x:c>
      <x:c r="R63" s="4" t="str">
        <x:v>产品</x:v>
      </x:c>
      <x:c r="S63" s="4" t="str">
        <x:v>进入对应功能测试前</x:v>
      </x:c>
      <x:c r="T63" s="4" t="str">
        <x:v>待确认</x:v>
      </x:c>
    </x:row>
    <x:row r="64" ht="96" customHeight="1">
      <x:c r="A64" s="4" t="str">
        <x:v>Q-066</x:v>
      </x:c>
      <x:c r="B64" s="4" t="str">
        <x:v>RQ-032</x:v>
      </x:c>
      <x:c r="C64" s="4" t="str"/>
      <x:c r="D64" s="4" t="str"/>
      <x:c r="E64" s="4" t="str">
        <x:v>部分阻塞</x:v>
      </x:c>
      <x:c r="F64" s="4" t="str">
        <x:v>M10 用户管理·审核·举报与巡房</x:v>
      </x:c>
      <x:c r="G64" s="4" t="str">
        <x:v>管理员封禁用户账号</x:v>
      </x:c>
      <x:c r="H64" s="4" t="str">
        <x:v>角色与权限</x:v>
      </x:c>
      <x:c r="I64" s="4" t="str">
        <x:v>封禁期限采用什么方式？</x:v>
      </x:c>
      <x:c r="J64" s="4" t="str">
        <x:v>A. 仅永久封禁，管理员解封后恢复
B. 允许定时或永久，定时时长以后台可选配置为准</x:v>
      </x:c>
      <x:c r="K64" s="4" t="str">
        <x:v>建议优先评估A：明确管理员封禁用户账号的唯一处理口径后，可构造确定的输入和结果；此建议不代表产品结论</x:v>
      </x:c>
      <x:c r="L64" s="8" t="str"/>
      <x:c r="M64" s="8" t="str"/>
      <x:c r="N64" s="4" t="str">
        <x:v>1. MainBasis/需求待确认清单.md#Q032：封禁、申诉和账号/直播工单生命周期
2. 主文档关联：A-admin-report-handling-005、A-admin-report-detail-008、A-admin-report-handling-007、A-admin-report-handling-008</x:v>
      </x:c>
      <x:c r="O64" s="4" t="str">
        <x:v>1. 用户App：管理员封禁用户账号
2. 管理后台：管理员封禁用户账号</x:v>
      </x:c>
      <x:c r="P64" s="4" t="str"/>
      <x:c r="Q64" s="4" t="str">
        <x:v>1. 封禁期限采用什么方式的正向、边界及异常场景</x:v>
      </x:c>
      <x:c r="R64" s="4" t="str">
        <x:v>产品</x:v>
      </x:c>
      <x:c r="S64" s="4" t="str">
        <x:v>进入对应功能测试前</x:v>
      </x:c>
      <x:c r="T64" s="4" t="str">
        <x:v>待确认</x:v>
      </x:c>
    </x:row>
    <x:row r="65" ht="110" customHeight="1">
      <x:c r="A65" s="4" t="str">
        <x:v>Q-067</x:v>
      </x:c>
      <x:c r="B65" s="4" t="str">
        <x:v>RQ-033</x:v>
      </x:c>
      <x:c r="C65" s="4" t="str"/>
      <x:c r="D65" s="4" t="str"/>
      <x:c r="E65" s="4" t="str">
        <x:v>部分阻塞</x:v>
      </x:c>
      <x:c r="F65" s="4" t="str">
        <x:v>M06 开播·房型·观看·连麦与房内管理</x:v>
      </x:c>
      <x:c r="G65" s="4" t="str">
        <x:v>巡房人员的排班结束但直播间仍在线</x:v>
      </x:c>
      <x:c r="H65" s="4" t="str">
        <x:v>角色与权限</x:v>
      </x:c>
      <x:c r="I65" s="4" t="str">
        <x:v>巡房保护是否在排班结束时失效？</x:v>
      </x:c>
      <x:c r="J65" s="4" t="str">
        <x:v>A. 排班结束即失效
B. 保留至当前直播场次结束</x:v>
      </x:c>
      <x:c r="K65" s="4" t="str">
        <x:v>建议优先评估A：明确巡房人员的排班结束但直播间仍在线的唯一处理口径后，可构造确定的输入和结果；此建议不代表产品结论</x:v>
      </x:c>
      <x:c r="L65" s="8" t="str"/>
      <x:c r="M65" s="8" t="str"/>
      <x:c r="N65" s="4" t="str">
        <x:v>1. MainBasis/需求待确认清单.md#Q033：后台角色权限和巡房授权时效
2. 主文档关联：U-views_live-room_patrol-room-allowed-001、A-admin-inspection-schedule-006、A-admin-inspection-schedule-detail-005、A-admin-system-account-004</x:v>
      </x:c>
      <x:c r="O65" s="4" t="str">
        <x:v>1. 用户App：巡房人员的排班结束但直播间仍在线
2. 管理后台：巡房人员的排班结束但直播间仍在线</x:v>
      </x:c>
      <x:c r="P65" s="4" t="str"/>
      <x:c r="Q65" s="4" t="str">
        <x:v>1. 巡房保护是否在排班结束时失效的正向、边界及异常场景</x:v>
      </x:c>
      <x:c r="R65" s="4" t="str">
        <x:v>产品</x:v>
      </x:c>
      <x:c r="S65" s="4" t="str">
        <x:v>进入对应功能测试前</x:v>
      </x:c>
      <x:c r="T65" s="4" t="str">
        <x:v>待确认</x:v>
      </x:c>
    </x:row>
    <x:row r="66" ht="96" customHeight="1">
      <x:c r="A66" s="4" t="str">
        <x:v>Q-068</x:v>
      </x:c>
      <x:c r="B66" s="4" t="str">
        <x:v>RQ-034</x:v>
      </x:c>
      <x:c r="C66" s="4" t="str"/>
      <x:c r="D66" s="4" t="str"/>
      <x:c r="E66" s="4" t="str">
        <x:v>部分阻塞</x:v>
      </x:c>
      <x:c r="F66" s="4" t="str">
        <x:v>M10 用户管理·审核·举报与巡房</x:v>
      </x:c>
      <x:c r="G66" s="4" t="str">
        <x:v>三端上传图片资源</x:v>
      </x:c>
      <x:c r="H66" s="4" t="str">
        <x:v>字段与数据校验</x:v>
      </x:c>
      <x:c r="I66" s="4" t="str">
        <x:v>图片大小限制采用什么依据？</x:v>
      </x:c>
      <x:c r="J66" s="4" t="str">
        <x:v>A. 每个上传字段读取平台发布的资源限制配置
B. 全部图片统一最大5MB</x:v>
      </x:c>
      <x:c r="K66" s="4" t="str">
        <x:v>建议优先评估A：明确三端上传图片资源的唯一处理口径后，可构造确定的输入和结果；此建议不代表产品结论</x:v>
      </x:c>
      <x:c r="L66" s="8" t="str"/>
      <x:c r="M66" s="8" t="str"/>
      <x:c r="N66" s="4" t="str">
        <x:v>1. MainBasis/需求待确认清单.md#Q034：内容风控、敏感词和上传资源约束
2. 主文档关联：A-admin-sensitive-words-001、A-admin-sensitive-words-detail-001、A-admin-sensitive-words-002、A-admin-sensitive-words-005</x:v>
      </x:c>
      <x:c r="O66" s="4" t="str">
        <x:v>1. 用户App：三端上传图片资源
2. 公会App：三端上传图片资源
3. 管理后台：三端上传图片资源</x:v>
      </x:c>
      <x:c r="P66" s="4" t="str"/>
      <x:c r="Q66" s="4" t="str">
        <x:v>1. 图片大小限制采用什么依据的正向、边界及异常场景</x:v>
      </x:c>
      <x:c r="R66" s="4" t="str">
        <x:v>技术</x:v>
      </x:c>
      <x:c r="S66" s="4" t="str">
        <x:v>进入对应功能测试前</x:v>
      </x:c>
      <x:c r="T66" s="4" t="str">
        <x:v>待确认</x:v>
      </x:c>
    </x:row>
    <x:row r="67" ht="68" customHeight="1">
      <x:c r="A67" s="4" t="str">
        <x:v>Q-069</x:v>
      </x:c>
      <x:c r="B67" s="4" t="str">
        <x:v>RQ-035</x:v>
      </x:c>
      <x:c r="C67" s="4" t="str"/>
      <x:c r="D67" s="4" t="str"/>
      <x:c r="E67" s="4" t="str">
        <x:v>部分阻塞</x:v>
      </x:c>
      <x:c r="F67" s="4" t="str">
        <x:v>M01 账号·登录·资料与设置</x:v>
      </x:c>
      <x:c r="G67" s="4" t="str">
        <x:v>用户未达到平台规定年龄尝试注册</x:v>
      </x:c>
      <x:c r="H67" s="4" t="str">
        <x:v>需求范围</x:v>
      </x:c>
      <x:c r="I67" s="4" t="str">
        <x:v>本期是否拦截未成年人注册？</x:v>
      </x:c>
      <x:c r="J67" s="4" t="str">
        <x:v>A. 根据产品明确的年龄门槛配置执行拦截
B. 本期不按年龄拦截，仅展示适龄说明</x:v>
      </x:c>
      <x:c r="K67" s="4" t="str">
        <x:v>建议优先评估A：明确用户未达到平台规定年龄尝试注册的唯一处理口径后，可构造确定的输入和结果；此建议不代表产品结论</x:v>
      </x:c>
      <x:c r="L67" s="8" t="str"/>
      <x:c r="M67" s="8" t="str"/>
      <x:c r="N67" s="4" t="str">
        <x:v>1. MainBasis/需求待确认清单.md#Q035：协议、隐私、帮助与年龄准入
2. 主文档关联：U-settings-006</x:v>
      </x:c>
      <x:c r="O67" s="4" t="str">
        <x:v>1. 用户App：用户未达到平台规定年龄尝试注册
2. 管理后台：用户未达到平台规定年龄尝试注册</x:v>
      </x:c>
      <x:c r="P67" s="4" t="str"/>
      <x:c r="Q67" s="4" t="str">
        <x:v>1. 本期是否拦截未成年人注册的正向、边界及异常场景</x:v>
      </x:c>
      <x:c r="R67" s="4" t="str">
        <x:v>多方确认</x:v>
      </x:c>
      <x:c r="S67" s="4" t="str">
        <x:v>进入对应功能测试前</x:v>
      </x:c>
      <x:c r="T67" s="4" t="str">
        <x:v>待确认</x:v>
      </x:c>
    </x:row>
    <x:row r="68" ht="82" customHeight="1">
      <x:c r="A68" s="4" t="str">
        <x:v>Q-070</x:v>
      </x:c>
      <x:c r="B68" s="4" t="str">
        <x:v>RQ-036</x:v>
      </x:c>
      <x:c r="C68" s="4" t="str"/>
      <x:c r="D68" s="4" t="str"/>
      <x:c r="E68" s="4" t="str">
        <x:v>部分阻塞</x:v>
      </x:c>
      <x:c r="F68" s="4" t="str">
        <x:v>M01 账号·登录·资料与设置</x:v>
      </x:c>
      <x:c r="G68" s="4" t="str">
        <x:v>当前头像框到期且用户还持有其他有效头像框</x:v>
      </x:c>
      <x:c r="H68" s="4" t="str">
        <x:v>业务规则</x:v>
      </x:c>
      <x:c r="I68" s="4" t="str">
        <x:v>失效头像框停止展示后采用哪个回退样式？</x:v>
      </x:c>
      <x:c r="J68" s="4" t="str">
        <x:v>A. 显示当前头像，不带任何头像框
B. 自动佩戴最近使用的仍有效头像框，无有效项则只显示头像</x:v>
      </x:c>
      <x:c r="K68" s="4" t="str">
        <x:v>建议优先评估A：明确当前头像框到期且用户还持有其他有效头像框的唯一处理口径后，可构造确定的输入和结果；此建议不代表产品结论</x:v>
      </x:c>
      <x:c r="L68" s="8" t="str"/>
      <x:c r="M68" s="8" t="str"/>
      <x:c r="N68" s="4" t="str">
        <x:v>1. MainBasis/需求待确认清单.md#Q036：装扮获取、佩戴位与到期处理
2. 主文档关联：D-SYS-155、U-profile-003、U-my-decoration-medal-004、U-my-decoration-medal-007</x:v>
      </x:c>
      <x:c r="O68" s="4" t="str">
        <x:v>1. 用户App：当前头像框到期且用户还持有其他有效头像框
2. 管理后台：当前头像框到期且用户还持有其他有效头像框</x:v>
      </x:c>
      <x:c r="P68" s="4" t="str"/>
      <x:c r="Q68" s="4" t="str">
        <x:v>1. 失效头像框停止展示后采用哪个回退样式的正向、边界及异常场景</x:v>
      </x:c>
      <x:c r="R68" s="4" t="str">
        <x:v>产品</x:v>
      </x:c>
      <x:c r="S68" s="4" t="str">
        <x:v>进入对应功能测试前</x:v>
      </x:c>
      <x:c r="T68" s="4" t="str">
        <x:v>待确认</x:v>
      </x:c>
    </x:row>
    <x:row r="69" ht="68" customHeight="1">
      <x:c r="A69" s="4" t="str">
        <x:v>Q-083</x:v>
      </x:c>
      <x:c r="B69" s="4" t="str">
        <x:v>RQ-037</x:v>
      </x:c>
      <x:c r="C69" s="4" t="str"/>
      <x:c r="D69" s="4" t="str"/>
      <x:c r="E69" s="4" t="str">
        <x:v>部分阻塞</x:v>
      </x:c>
      <x:c r="F69" s="4" t="str">
        <x:v>M02 发现·搜索·主页与平台榜单</x:v>
      </x:c>
      <x:c r="G69" s="4" t="str">
        <x:v>用户在搜索结果查看多条符合范围的记录</x:v>
      </x:c>
      <x:c r="H69" s="4" t="str">
        <x:v>交互与文案规则</x:v>
      </x:c>
      <x:c r="I69" s="4" t="str">
        <x:v>搜索结果列表采用哪种稳定次序？</x:v>
      </x:c>
      <x:c r="J69" s="4" t="str">
        <x:v>A. 按记录唯一标识升序
B. 按记录唯一标识降序</x:v>
      </x:c>
      <x:c r="K69" s="4" t="str">
        <x:v>建议优先评估A：明确用户在搜索结果查看多条符合范围的记录的唯一处理口径后，可构造确定的输入和结果；此建议不代表产品结论</x:v>
      </x:c>
      <x:c r="L69" s="8" t="str"/>
      <x:c r="M69" s="8" t="str"/>
      <x:c r="N69" s="4" t="str">
        <x:v>1. MainBasis/需求待确认清单.md#Q037：各列表排序和同值次序
2. 主文档关联：U-search-results-007</x:v>
      </x:c>
      <x:c r="O69" s="4" t="str">
        <x:v>1. 用户App：用户在搜索结果查看多条符合范围的记录</x:v>
      </x:c>
      <x:c r="P69" s="4" t="str"/>
      <x:c r="Q69" s="4" t="str">
        <x:v>1. 搜索结果列表采用哪种稳定次序的正向、边界及异常场景</x:v>
      </x:c>
      <x:c r="R69" s="4" t="str">
        <x:v>交互</x:v>
      </x:c>
      <x:c r="S69" s="4" t="str">
        <x:v>进入对应功能测试前</x:v>
      </x:c>
      <x:c r="T69" s="4" t="str">
        <x:v>待确认</x:v>
      </x:c>
    </x:row>
    <x:row r="70" ht="68" customHeight="1">
      <x:c r="A70" s="4" t="str">
        <x:v>Q-084</x:v>
      </x:c>
      <x:c r="B70" s="4" t="str">
        <x:v>RQ-037</x:v>
      </x:c>
      <x:c r="C70" s="4" t="str"/>
      <x:c r="D70" s="4" t="str"/>
      <x:c r="E70" s="4" t="str">
        <x:v>部分阻塞</x:v>
      </x:c>
      <x:c r="F70" s="4" t="str">
        <x:v>M03 社交·私信·群聊与通知</x:v>
      </x:c>
      <x:c r="G70" s="4" t="str">
        <x:v>用户在粉丝列表查看多条符合范围的记录</x:v>
      </x:c>
      <x:c r="H70" s="4" t="str">
        <x:v>交互与文案规则</x:v>
      </x:c>
      <x:c r="I70" s="4" t="str">
        <x:v>粉丝列表列表采用哪种稳定次序？</x:v>
      </x:c>
      <x:c r="J70" s="4" t="str">
        <x:v>A. 按记录唯一标识升序
B. 按记录唯一标识降序</x:v>
      </x:c>
      <x:c r="K70" s="4" t="str">
        <x:v>建议优先评估A：明确用户在粉丝列表查看多条符合范围的记录的唯一处理口径后，可构造确定的输入和结果；此建议不代表产品结论</x:v>
      </x:c>
      <x:c r="L70" s="8" t="str"/>
      <x:c r="M70" s="8" t="str"/>
      <x:c r="N70" s="4" t="str">
        <x:v>1. MainBasis/需求待确认清单.md#Q037：各列表排序和同值次序
2. 主文档关联：U-follower-list-007</x:v>
      </x:c>
      <x:c r="O70" s="4" t="str">
        <x:v>1. 用户App：用户在粉丝列表查看多条符合范围的记录</x:v>
      </x:c>
      <x:c r="P70" s="4" t="str"/>
      <x:c r="Q70" s="4" t="str">
        <x:v>1. 粉丝列表列表采用哪种稳定次序的正向、边界及异常场景</x:v>
      </x:c>
      <x:c r="R70" s="4" t="str">
        <x:v>交互</x:v>
      </x:c>
      <x:c r="S70" s="4" t="str">
        <x:v>进入对应功能测试前</x:v>
      </x:c>
      <x:c r="T70" s="4" t="str">
        <x:v>待确认</x:v>
      </x:c>
    </x:row>
    <x:row r="71" ht="68" customHeight="1">
      <x:c r="A71" s="4" t="str">
        <x:v>Q-085</x:v>
      </x:c>
      <x:c r="B71" s="4" t="str">
        <x:v>RQ-037</x:v>
      </x:c>
      <x:c r="C71" s="4" t="str"/>
      <x:c r="D71" s="4" t="str"/>
      <x:c r="E71" s="4" t="str">
        <x:v>部分阻塞</x:v>
      </x:c>
      <x:c r="F71" s="4" t="str">
        <x:v>M01 账号·登录·资料与设置</x:v>
      </x:c>
      <x:c r="G71" s="4" t="str">
        <x:v>用户在头像框查看多条符合范围的记录</x:v>
      </x:c>
      <x:c r="H71" s="4" t="str">
        <x:v>交互与文案规则</x:v>
      </x:c>
      <x:c r="I71" s="4" t="str">
        <x:v>头像框列表采用哪种稳定次序？</x:v>
      </x:c>
      <x:c r="J71" s="4" t="str">
        <x:v>A. 按记录唯一标识升序
B. 按记录唯一标识降序</x:v>
      </x:c>
      <x:c r="K71" s="4" t="str">
        <x:v>建议优先评估A：明确用户在头像框查看多条符合范围的记录的唯一处理口径后，可构造确定的输入和结果；此建议不代表产品结论</x:v>
      </x:c>
      <x:c r="L71" s="8" t="str"/>
      <x:c r="M71" s="8" t="str"/>
      <x:c r="N71" s="4" t="str">
        <x:v>1. MainBasis/需求待确认清单.md#Q037：各列表排序和同值次序
2. 主文档关联：U-my-decoration-avatar-frame-005</x:v>
      </x:c>
      <x:c r="O71" s="4" t="str">
        <x:v>1. 用户App：用户在头像框查看多条符合范围的记录</x:v>
      </x:c>
      <x:c r="P71" s="4" t="str"/>
      <x:c r="Q71" s="4" t="str">
        <x:v>1. 头像框列表采用哪种稳定次序的正向、边界及异常场景</x:v>
      </x:c>
      <x:c r="R71" s="4" t="str">
        <x:v>交互</x:v>
      </x:c>
      <x:c r="S71" s="4" t="str">
        <x:v>进入对应功能测试前</x:v>
      </x:c>
      <x:c r="T71" s="4" t="str">
        <x:v>待确认</x:v>
      </x:c>
    </x:row>
    <x:row r="72" ht="68" customHeight="1">
      <x:c r="A72" s="4" t="str">
        <x:v>Q-086</x:v>
      </x:c>
      <x:c r="B72" s="4" t="str">
        <x:v>RQ-037</x:v>
      </x:c>
      <x:c r="C72" s="4" t="str"/>
      <x:c r="D72" s="4" t="str"/>
      <x:c r="E72" s="4" t="str">
        <x:v>部分阻塞</x:v>
      </x:c>
      <x:c r="F72" s="4" t="str">
        <x:v>M01 账号·登录·资料与设置</x:v>
      </x:c>
      <x:c r="G72" s="4" t="str">
        <x:v>用户在聊天气泡查看多条符合范围的记录</x:v>
      </x:c>
      <x:c r="H72" s="4" t="str">
        <x:v>交互与文案规则</x:v>
      </x:c>
      <x:c r="I72" s="4" t="str">
        <x:v>聊天气泡列表采用哪种稳定次序？</x:v>
      </x:c>
      <x:c r="J72" s="4" t="str">
        <x:v>A. 按记录唯一标识升序
B. 按记录唯一标识降序</x:v>
      </x:c>
      <x:c r="K72" s="4" t="str">
        <x:v>建议优先评估A：明确用户在聊天气泡查看多条符合范围的记录的唯一处理口径后，可构造确定的输入和结果；此建议不代表产品结论</x:v>
      </x:c>
      <x:c r="L72" s="8" t="str"/>
      <x:c r="M72" s="8" t="str"/>
      <x:c r="N72" s="4" t="str">
        <x:v>1. MainBasis/需求待确认清单.md#Q037：各列表排序和同值次序
2. 主文档关联：U-my-decoration-chat-bubble-005</x:v>
      </x:c>
      <x:c r="O72" s="4" t="str">
        <x:v>1. 用户App：用户在聊天气泡查看多条符合范围的记录</x:v>
      </x:c>
      <x:c r="P72" s="4" t="str"/>
      <x:c r="Q72" s="4" t="str">
        <x:v>1. 聊天气泡列表采用哪种稳定次序的正向、边界及异常场景</x:v>
      </x:c>
      <x:c r="R72" s="4" t="str">
        <x:v>交互</x:v>
      </x:c>
      <x:c r="S72" s="4" t="str">
        <x:v>进入对应功能测试前</x:v>
      </x:c>
      <x:c r="T72" s="4" t="str">
        <x:v>待确认</x:v>
      </x:c>
    </x:row>
    <x:row r="73" ht="68" customHeight="1">
      <x:c r="A73" s="4" t="str">
        <x:v>Q-087</x:v>
      </x:c>
      <x:c r="B73" s="4" t="str">
        <x:v>RQ-037</x:v>
      </x:c>
      <x:c r="C73" s="4" t="str"/>
      <x:c r="D73" s="4" t="str"/>
      <x:c r="E73" s="4" t="str">
        <x:v>部分阻塞</x:v>
      </x:c>
      <x:c r="F73" s="4" t="str">
        <x:v>M01 账号·登录·资料与设置</x:v>
      </x:c>
      <x:c r="G73" s="4" t="str">
        <x:v>用户在勋章查看多条符合范围的记录</x:v>
      </x:c>
      <x:c r="H73" s="4" t="str">
        <x:v>交互与文案规则</x:v>
      </x:c>
      <x:c r="I73" s="4" t="str">
        <x:v>勋章列表采用哪种稳定次序？</x:v>
      </x:c>
      <x:c r="J73" s="4" t="str">
        <x:v>A. 按记录唯一标识升序
B. 按记录唯一标识降序</x:v>
      </x:c>
      <x:c r="K73" s="4" t="str">
        <x:v>建议优先评估A：明确用户在勋章查看多条符合范围的记录的唯一处理口径后，可构造确定的输入和结果；此建议不代表产品结论</x:v>
      </x:c>
      <x:c r="L73" s="8" t="str"/>
      <x:c r="M73" s="8" t="str"/>
      <x:c r="N73" s="4" t="str">
        <x:v>1. MainBasis/需求待确认清单.md#Q037：各列表排序和同值次序
2. 主文档关联：U-my-decoration-medal-006</x:v>
      </x:c>
      <x:c r="O73" s="4" t="str">
        <x:v>1. 用户App：用户在勋章查看多条符合范围的记录</x:v>
      </x:c>
      <x:c r="P73" s="4" t="str"/>
      <x:c r="Q73" s="4" t="str">
        <x:v>1. 勋章列表采用哪种稳定次序的正向、边界及异常场景</x:v>
      </x:c>
      <x:c r="R73" s="4" t="str">
        <x:v>交互</x:v>
      </x:c>
      <x:c r="S73" s="4" t="str">
        <x:v>进入对应功能测试前</x:v>
      </x:c>
      <x:c r="T73" s="4" t="str">
        <x:v>待确认</x:v>
      </x:c>
    </x:row>
    <x:row r="74" ht="68" customHeight="1">
      <x:c r="A74" s="4" t="str">
        <x:v>Q-088</x:v>
      </x:c>
      <x:c r="B74" s="4" t="str">
        <x:v>RQ-037</x:v>
      </x:c>
      <x:c r="C74" s="4" t="str"/>
      <x:c r="D74" s="4" t="str"/>
      <x:c r="E74" s="4" t="str">
        <x:v>部分阻塞</x:v>
      </x:c>
      <x:c r="F74" s="4" t="str">
        <x:v>M03 社交·私信·群聊与通知</x:v>
      </x:c>
      <x:c r="G74" s="4" t="str">
        <x:v>用户在好友列表查看多条符合范围的记录</x:v>
      </x:c>
      <x:c r="H74" s="4" t="str">
        <x:v>交互与文案规则</x:v>
      </x:c>
      <x:c r="I74" s="4" t="str">
        <x:v>好友列表列表采用哪种稳定次序？</x:v>
      </x:c>
      <x:c r="J74" s="4" t="str">
        <x:v>A. 按记录唯一标识升序
B. 按记录唯一标识降序</x:v>
      </x:c>
      <x:c r="K74" s="4" t="str">
        <x:v>建议优先评估A：明确用户在好友列表查看多条符合范围的记录的唯一处理口径后，可构造确定的输入和结果；此建议不代表产品结论</x:v>
      </x:c>
      <x:c r="L74" s="8" t="str"/>
      <x:c r="M74" s="8" t="str"/>
      <x:c r="N74" s="4" t="str">
        <x:v>1. MainBasis/需求待确认清单.md#Q037：各列表排序和同值次序
2. 主文档关联：U-friend-list-010</x:v>
      </x:c>
      <x:c r="O74" s="4" t="str">
        <x:v>1. 用户App：用户在好友列表查看多条符合范围的记录</x:v>
      </x:c>
      <x:c r="P74" s="4" t="str"/>
      <x:c r="Q74" s="4" t="str">
        <x:v>1. 好友列表列表采用哪种稳定次序的正向、边界及异常场景</x:v>
      </x:c>
      <x:c r="R74" s="4" t="str">
        <x:v>交互</x:v>
      </x:c>
      <x:c r="S74" s="4" t="str">
        <x:v>进入对应功能测试前</x:v>
      </x:c>
      <x:c r="T74" s="4" t="str">
        <x:v>待确认</x:v>
      </x:c>
    </x:row>
    <x:row r="75" ht="68" customHeight="1">
      <x:c r="A75" s="4" t="str">
        <x:v>Q-089</x:v>
      </x:c>
      <x:c r="B75" s="4" t="str">
        <x:v>RQ-037</x:v>
      </x:c>
      <x:c r="C75" s="4" t="str"/>
      <x:c r="D75" s="4" t="str"/>
      <x:c r="E75" s="4" t="str">
        <x:v>部分阻塞</x:v>
      </x:c>
      <x:c r="F75" s="4" t="str">
        <x:v>M04 粉丝团·房管与成长等级</x:v>
      </x:c>
      <x:c r="G75" s="4" t="str">
        <x:v>用户在房管管理查看多条符合范围的记录</x:v>
      </x:c>
      <x:c r="H75" s="4" t="str">
        <x:v>交互与文案规则</x:v>
      </x:c>
      <x:c r="I75" s="4" t="str">
        <x:v>房管管理列表采用哪种稳定次序？</x:v>
      </x:c>
      <x:c r="J75" s="4" t="str">
        <x:v>A. 按记录唯一标识升序
B. 按记录唯一标识降序</x:v>
      </x:c>
      <x:c r="K75" s="4" t="str">
        <x:v>建议优先评估A：明确用户在房管管理查看多条符合范围的记录的唯一处理口径后，可构造确定的输入和结果；此建议不代表产品结论</x:v>
      </x:c>
      <x:c r="L75" s="8" t="str"/>
      <x:c r="M75" s="8" t="str"/>
      <x:c r="N75" s="4" t="str">
        <x:v>1. MainBasis/需求待确认清单.md#Q037：各列表排序和同值次序
2. 主文档关联：U-moderator-management-008</x:v>
      </x:c>
      <x:c r="O75" s="4" t="str">
        <x:v>1. 用户App：用户在房管管理查看多条符合范围的记录</x:v>
      </x:c>
      <x:c r="P75" s="4" t="str"/>
      <x:c r="Q75" s="4" t="str">
        <x:v>1. 房管管理列表采用哪种稳定次序的正向、边界及异常场景</x:v>
      </x:c>
      <x:c r="R75" s="4" t="str">
        <x:v>交互</x:v>
      </x:c>
      <x:c r="S75" s="4" t="str">
        <x:v>进入对应功能测试前</x:v>
      </x:c>
      <x:c r="T75" s="4" t="str">
        <x:v>待确认</x:v>
      </x:c>
    </x:row>
    <x:row r="76" ht="68" customHeight="1">
      <x:c r="A76" s="4" t="str">
        <x:v>Q-090</x:v>
      </x:c>
      <x:c r="B76" s="4" t="str">
        <x:v>RQ-037</x:v>
      </x:c>
      <x:c r="C76" s="4" t="str"/>
      <x:c r="D76" s="4" t="str"/>
      <x:c r="E76" s="4" t="str">
        <x:v>部分阻塞</x:v>
      </x:c>
      <x:c r="F76" s="4" t="str">
        <x:v>M05 公会申请·认证·组织与权限</x:v>
      </x:c>
      <x:c r="G76" s="4" t="str">
        <x:v>用户在公会通知查看多条符合范围的记录</x:v>
      </x:c>
      <x:c r="H76" s="4" t="str">
        <x:v>交互与文案规则</x:v>
      </x:c>
      <x:c r="I76" s="4" t="str">
        <x:v>公会通知列表采用哪种稳定次序？</x:v>
      </x:c>
      <x:c r="J76" s="4" t="str">
        <x:v>A. 按记录唯一标识升序
B. 按记录唯一标识降序</x:v>
      </x:c>
      <x:c r="K76" s="4" t="str">
        <x:v>建议优先评估A：明确用户在公会通知查看多条符合范围的记录的唯一处理口径后，可构造确定的输入和结果；此建议不代表产品结论</x:v>
      </x:c>
      <x:c r="L76" s="8" t="str"/>
      <x:c r="M76" s="8" t="str"/>
      <x:c r="N76" s="4" t="str">
        <x:v>1. MainBasis/需求待确认清单.md#Q037：各列表排序和同值次序
2. 主文档关联：U-host-guild-notifications-006</x:v>
      </x:c>
      <x:c r="O76" s="4" t="str">
        <x:v>1. 用户App：用户在公会通知查看多条符合范围的记录</x:v>
      </x:c>
      <x:c r="P76" s="4" t="str"/>
      <x:c r="Q76" s="4" t="str">
        <x:v>1. 公会通知列表采用哪种稳定次序的正向、边界及异常场景</x:v>
      </x:c>
      <x:c r="R76" s="4" t="str">
        <x:v>交互</x:v>
      </x:c>
      <x:c r="S76" s="4" t="str">
        <x:v>进入对应功能测试前</x:v>
      </x:c>
      <x:c r="T76" s="4" t="str">
        <x:v>待确认</x:v>
      </x:c>
    </x:row>
    <x:row r="77" ht="68" customHeight="1">
      <x:c r="A77" s="4" t="str">
        <x:v>Q-091</x:v>
      </x:c>
      <x:c r="B77" s="4" t="str">
        <x:v>RQ-037</x:v>
      </x:c>
      <x:c r="C77" s="4" t="str"/>
      <x:c r="D77" s="4" t="str"/>
      <x:c r="E77" s="4" t="str">
        <x:v>部分阻塞</x:v>
      </x:c>
      <x:c r="F77" s="4" t="str">
        <x:v>M06 开播·房型·观看·连麦与房内管理</x:v>
      </x:c>
      <x:c r="G77" s="4" t="str">
        <x:v>用户在选择可见粉丝查看多条符合范围的记录</x:v>
      </x:c>
      <x:c r="H77" s="4" t="str">
        <x:v>交互与文案规则</x:v>
      </x:c>
      <x:c r="I77" s="4" t="str">
        <x:v>选择可见粉丝列表采用哪种稳定次序？</x:v>
      </x:c>
      <x:c r="J77" s="4" t="str">
        <x:v>A. 按记录唯一标识升序
B. 按记录唯一标识降序</x:v>
      </x:c>
      <x:c r="K77" s="4" t="str">
        <x:v>建议优先评估A：明确用户在选择可见粉丝查看多条符合范围的记录的唯一处理口径后，可构造确定的输入和结果；此建议不代表产品结论</x:v>
      </x:c>
      <x:c r="L77" s="8" t="str"/>
      <x:c r="M77" s="8" t="str"/>
      <x:c r="N77" s="4" t="str">
        <x:v>1. MainBasis/需求待确认清单.md#Q037：各列表排序和同值次序
2. 主文档关联：U-visible-fan-select-007</x:v>
      </x:c>
      <x:c r="O77" s="4" t="str">
        <x:v>1. 用户App：用户在选择可见粉丝查看多条符合范围的记录</x:v>
      </x:c>
      <x:c r="P77" s="4" t="str"/>
      <x:c r="Q77" s="4" t="str">
        <x:v>1. 选择可见粉丝列表采用哪种稳定次序的正向、边界及异常场景</x:v>
      </x:c>
      <x:c r="R77" s="4" t="str">
        <x:v>交互</x:v>
      </x:c>
      <x:c r="S77" s="4" t="str">
        <x:v>进入对应功能测试前</x:v>
      </x:c>
      <x:c r="T77" s="4" t="str">
        <x:v>待确认</x:v>
      </x:c>
    </x:row>
    <x:row r="78" ht="68" customHeight="1">
      <x:c r="A78" s="4" t="str">
        <x:v>Q-092</x:v>
      </x:c>
      <x:c r="B78" s="4" t="str">
        <x:v>RQ-037</x:v>
      </x:c>
      <x:c r="C78" s="4" t="str"/>
      <x:c r="D78" s="4" t="str"/>
      <x:c r="E78" s="4" t="str">
        <x:v>部分阻塞</x:v>
      </x:c>
      <x:c r="F78" s="4" t="str">
        <x:v>M04 粉丝团·房管与成长等级</x:v>
      </x:c>
      <x:c r="G78" s="4" t="str">
        <x:v>用户在粉丝列表查看多条符合范围的记录</x:v>
      </x:c>
      <x:c r="H78" s="4" t="str">
        <x:v>交互与文案规则</x:v>
      </x:c>
      <x:c r="I78" s="4" t="str">
        <x:v>粉丝列表列表采用哪种稳定次序？</x:v>
      </x:c>
      <x:c r="J78" s="4" t="str">
        <x:v>A. 按记录唯一标识升序
B. 按记录唯一标识降序</x:v>
      </x:c>
      <x:c r="K78" s="4" t="str">
        <x:v>建议优先评估A：明确用户在粉丝列表查看多条符合范围的记录的唯一处理口径后，可构造确定的输入和结果；此建议不代表产品结论</x:v>
      </x:c>
      <x:c r="L78" s="8" t="str"/>
      <x:c r="M78" s="8" t="str"/>
      <x:c r="N78" s="4" t="str">
        <x:v>1. MainBasis/需求待确认清单.md#Q037：各列表排序和同值次序
2. 主文档关联：U-fan-list-006</x:v>
      </x:c>
      <x:c r="O78" s="4" t="str">
        <x:v>1. 用户App：用户在粉丝列表查看多条符合范围的记录</x:v>
      </x:c>
      <x:c r="P78" s="4" t="str"/>
      <x:c r="Q78" s="4" t="str">
        <x:v>1. 粉丝列表列表采用哪种稳定次序的正向、边界及异常场景</x:v>
      </x:c>
      <x:c r="R78" s="4" t="str">
        <x:v>交互</x:v>
      </x:c>
      <x:c r="S78" s="4" t="str">
        <x:v>进入对应功能测试前</x:v>
      </x:c>
      <x:c r="T78" s="4" t="str">
        <x:v>待确认</x:v>
      </x:c>
    </x:row>
    <x:row r="79" ht="68" customHeight="1">
      <x:c r="A79" s="4" t="str">
        <x:v>Q-093</x:v>
      </x:c>
      <x:c r="B79" s="4" t="str">
        <x:v>RQ-037</x:v>
      </x:c>
      <x:c r="C79" s="4" t="str"/>
      <x:c r="D79" s="4" t="str"/>
      <x:c r="E79" s="4" t="str">
        <x:v>部分阻塞</x:v>
      </x:c>
      <x:c r="F79" s="4" t="str">
        <x:v>M04 粉丝团·房管与成长等级</x:v>
      </x:c>
      <x:c r="G79" s="4" t="str">
        <x:v>用户在粉丝团查看多条符合范围的记录</x:v>
      </x:c>
      <x:c r="H79" s="4" t="str">
        <x:v>交互与文案规则</x:v>
      </x:c>
      <x:c r="I79" s="4" t="str">
        <x:v>粉丝团记录同值时采用哪种稳定次序？</x:v>
      </x:c>
      <x:c r="J79" s="4" t="str">
        <x:v>A. 按记录唯一标识升序
B. 按记录唯一标识降序</x:v>
      </x:c>
      <x:c r="K79" s="4" t="str">
        <x:v>建议优先评估A：明确用户在粉丝团查看多条符合范围的记录的唯一处理口径后，可构造确定的输入和结果；此建议不代表产品结论</x:v>
      </x:c>
      <x:c r="L79" s="8" t="str"/>
      <x:c r="M79" s="8" t="str"/>
      <x:c r="N79" s="4" t="str">
        <x:v>1. MainBasis/需求待确认清单.md#Q037：各列表排序和同值次序
2. 主文档关联：U-fan-club-008</x:v>
      </x:c>
      <x:c r="O79" s="4" t="str">
        <x:v>1. 用户App：用户在粉丝团查看多条符合范围的记录</x:v>
      </x:c>
      <x:c r="P79" s="4" t="str"/>
      <x:c r="Q79" s="4" t="str">
        <x:v>1. 粉丝团记录同值时采用哪种稳定次序的正向、边界及异常场景</x:v>
      </x:c>
      <x:c r="R79" s="4" t="str">
        <x:v>交互</x:v>
      </x:c>
      <x:c r="S79" s="4" t="str">
        <x:v>进入对应功能测试前</x:v>
      </x:c>
      <x:c r="T79" s="4" t="str">
        <x:v>待确认</x:v>
      </x:c>
    </x:row>
    <x:row r="80" ht="68" customHeight="1">
      <x:c r="A80" s="4" t="str">
        <x:v>Q-094</x:v>
      </x:c>
      <x:c r="B80" s="4" t="str">
        <x:v>RQ-037</x:v>
      </x:c>
      <x:c r="C80" s="4" t="str"/>
      <x:c r="D80" s="4" t="str"/>
      <x:c r="E80" s="4" t="str">
        <x:v>部分阻塞</x:v>
      </x:c>
      <x:c r="F80" s="4" t="str">
        <x:v>M12 直播业绩·增长与统计报表</x:v>
      </x:c>
      <x:c r="G80" s="4" t="str">
        <x:v>用户在直播数据查看多条符合范围的记录</x:v>
      </x:c>
      <x:c r="H80" s="4" t="str">
        <x:v>交互与文案规则</x:v>
      </x:c>
      <x:c r="I80" s="4" t="str">
        <x:v>直播数据列表采用哪种稳定次序？</x:v>
      </x:c>
      <x:c r="J80" s="4" t="str">
        <x:v>A. 按记录唯一标识升序
B. 按记录唯一标识降序</x:v>
      </x:c>
      <x:c r="K80" s="4" t="str">
        <x:v>建议优先评估A：明确用户在直播数据查看多条符合范围的记录的唯一处理口径后，可构造确定的输入和结果；此建议不代表产品结论</x:v>
      </x:c>
      <x:c r="L80" s="8" t="str"/>
      <x:c r="M80" s="8" t="str"/>
      <x:c r="N80" s="4" t="str">
        <x:v>1. MainBasis/需求待确认清单.md#Q037：各列表排序和同值次序
2. 主文档关联：U-live-data-008</x:v>
      </x:c>
      <x:c r="O80" s="4" t="str">
        <x:v>1. 用户App：用户在直播数据查看多条符合范围的记录</x:v>
      </x:c>
      <x:c r="P80" s="4" t="str"/>
      <x:c r="Q80" s="4" t="str">
        <x:v>1. 直播数据列表采用哪种稳定次序的正向、边界及异常场景</x:v>
      </x:c>
      <x:c r="R80" s="4" t="str">
        <x:v>交互</x:v>
      </x:c>
      <x:c r="S80" s="4" t="str">
        <x:v>进入对应功能测试前</x:v>
      </x:c>
      <x:c r="T80" s="4" t="str">
        <x:v>待确认</x:v>
      </x:c>
    </x:row>
    <x:row r="81" ht="68" customHeight="1">
      <x:c r="A81" s="4" t="str">
        <x:v>Q-095</x:v>
      </x:c>
      <x:c r="B81" s="4" t="str">
        <x:v>RQ-037</x:v>
      </x:c>
      <x:c r="C81" s="4" t="str"/>
      <x:c r="D81" s="4" t="str"/>
      <x:c r="E81" s="4" t="str">
        <x:v>部分阻塞</x:v>
      </x:c>
      <x:c r="F81" s="4" t="str">
        <x:v>M01 账号·登录·资料与设置</x:v>
      </x:c>
      <x:c r="G81" s="4" t="str">
        <x:v>用户在选择国家/地区查看多条符合范围的记录</x:v>
      </x:c>
      <x:c r="H81" s="4" t="str">
        <x:v>交互与文案规则</x:v>
      </x:c>
      <x:c r="I81" s="4" t="str">
        <x:v>选择国家/地区列表采用哪种稳定次序？</x:v>
      </x:c>
      <x:c r="J81" s="4" t="str">
        <x:v>A. 按记录唯一标识升序
B. 按记录唯一标识降序</x:v>
      </x:c>
      <x:c r="K81" s="4" t="str">
        <x:v>建议优先评估A：明确用户在选择国家/地区查看多条符合范围的记录的唯一处理口径后，可构造确定的输入和结果；此建议不代表产品结论</x:v>
      </x:c>
      <x:c r="L81" s="8" t="str"/>
      <x:c r="M81" s="8" t="str"/>
      <x:c r="N81" s="4" t="str">
        <x:v>1. MainBasis/需求待确认清单.md#Q037：各列表排序和同值次序
2. 主文档关联：U-auth-country-select-008</x:v>
      </x:c>
      <x:c r="O81" s="4" t="str">
        <x:v>1. 用户App：用户在选择国家/地区查看多条符合范围的记录</x:v>
      </x:c>
      <x:c r="P81" s="4" t="str"/>
      <x:c r="Q81" s="4" t="str">
        <x:v>1. 选择国家/地区列表采用哪种稳定次序的正向、边界及异常场景</x:v>
      </x:c>
      <x:c r="R81" s="4" t="str">
        <x:v>交互</x:v>
      </x:c>
      <x:c r="S81" s="4" t="str">
        <x:v>进入对应功能测试前</x:v>
      </x:c>
      <x:c r="T81" s="4" t="str">
        <x:v>待确认</x:v>
      </x:c>
    </x:row>
    <x:row r="82" ht="68" customHeight="1">
      <x:c r="A82" s="4" t="str">
        <x:v>Q-096</x:v>
      </x:c>
      <x:c r="B82" s="4" t="str">
        <x:v>RQ-037</x:v>
      </x:c>
      <x:c r="C82" s="4" t="str"/>
      <x:c r="D82" s="4" t="str"/>
      <x:c r="E82" s="4" t="str">
        <x:v>部分阻塞</x:v>
      </x:c>
      <x:c r="F82" s="4" t="str">
        <x:v>M12 直播业绩·增长与统计报表</x:v>
      </x:c>
      <x:c r="G82" s="4" t="str">
        <x:v>用户在月数据查看多条符合范围的记录</x:v>
      </x:c>
      <x:c r="H82" s="4" t="str">
        <x:v>交互与文案规则</x:v>
      </x:c>
      <x:c r="I82" s="4" t="str">
        <x:v>月数据列表采用哪种稳定次序？</x:v>
      </x:c>
      <x:c r="J82" s="4" t="str">
        <x:v>A. 按记录唯一标识升序
B. 按记录唯一标识降序</x:v>
      </x:c>
      <x:c r="K82" s="4" t="str">
        <x:v>建议优先评估A：明确用户在月数据查看多条符合范围的记录的唯一处理口径后，可构造确定的输入和结果；此建议不代表产品结论</x:v>
      </x:c>
      <x:c r="L82" s="8" t="str"/>
      <x:c r="M82" s="8" t="str"/>
      <x:c r="N82" s="4" t="str">
        <x:v>1. MainBasis/需求待确认清单.md#Q037：各列表排序和同值次序
2. 主文档关联：U-views_live-data_month-009</x:v>
      </x:c>
      <x:c r="O82" s="4" t="str">
        <x:v>1. 用户App：用户在月数据查看多条符合范围的记录</x:v>
      </x:c>
      <x:c r="P82" s="4" t="str"/>
      <x:c r="Q82" s="4" t="str">
        <x:v>1. 月数据列表采用哪种稳定次序的正向、边界及异常场景</x:v>
      </x:c>
      <x:c r="R82" s="4" t="str">
        <x:v>交互</x:v>
      </x:c>
      <x:c r="S82" s="4" t="str">
        <x:v>进入对应功能测试前</x:v>
      </x:c>
      <x:c r="T82" s="4" t="str">
        <x:v>待确认</x:v>
      </x:c>
    </x:row>
    <x:row r="83" ht="96" customHeight="1">
      <x:c r="A83" s="4" t="str">
        <x:v>Q-071</x:v>
      </x:c>
      <x:c r="B83" s="4" t="str">
        <x:v>RQ-038</x:v>
      </x:c>
      <x:c r="C83" s="4" t="str"/>
      <x:c r="D83" s="4" t="str"/>
      <x:c r="E83" s="4" t="str">
        <x:v>部分阻塞</x:v>
      </x:c>
      <x:c r="F83" s="4" t="str">
        <x:v>跨模块需求</x:v>
      </x:c>
      <x:c r="G83" s="4" t="str">
        <x:v>旧资料出现现行主文档未确认的功能</x:v>
      </x:c>
      <x:c r="H83" s="4" t="str">
        <x:v>需求范围</x:v>
      </x:c>
      <x:c r="I83" s="4" t="str">
        <x:v>旧功能是否进入本期验收范围？</x:v>
      </x:c>
      <x:c r="J83" s="4" t="str">
        <x:v>A. 不进入，以当前MainBasis已明确功能验收
B. 进入，须逐项补齐正式规则后再纳入</x:v>
      </x:c>
      <x:c r="K83" s="4" t="str">
        <x:v>建议优先评估A：明确旧资料出现现行主文档未确认的功能的唯一处理口径后，可构造确定的输入和结果；此建议不代表产品结论</x:v>
      </x:c>
      <x:c r="L83" s="8" t="str"/>
      <x:c r="M83" s="8" t="str"/>
      <x:c r="N83" s="4" t="str">
        <x:v>1. MainBasis/需求待确认清单.md#Q038：主基准之外的运营配置与其他功能是否纳入本期
2. 主文档关联：见风险来源中的来源异常范围</x:v>
      </x:c>
      <x:c r="O83" s="4" t="str">
        <x:v>1. 用户App：旧资料出现现行主文档未确认的功能
2. 公会App：旧资料出现现行主文档未确认的功能
3. 管理后台：旧资料出现现行主文档未确认的功能</x:v>
      </x:c>
      <x:c r="P83" s="4" t="str"/>
      <x:c r="Q83" s="4" t="str">
        <x:v>1. 旧功能是否进入本期验收范围的正向、边界及异常场景</x:v>
      </x:c>
      <x:c r="R83" s="4" t="str">
        <x:v>产品</x:v>
      </x:c>
      <x:c r="S83" s="4" t="str">
        <x:v>进入对应功能测试前</x:v>
      </x:c>
      <x:c r="T83" s="4" t="str">
        <x:v>待确认</x:v>
      </x:c>
    </x:row>
    <x:row r="84" ht="68" customHeight="1">
      <x:c r="A84" s="4" t="str">
        <x:v>Q-072</x:v>
      </x:c>
      <x:c r="B84" s="4" t="str">
        <x:v>RQ-039</x:v>
      </x:c>
      <x:c r="C84" s="4" t="str"/>
      <x:c r="D84" s="4" t="str"/>
      <x:c r="E84" s="4" t="str">
        <x:v>部分阻塞</x:v>
      </x:c>
      <x:c r="F84" s="4" t="str">
        <x:v>跨模块需求</x:v>
      </x:c>
      <x:c r="G84" s="4" t="str">
        <x:v>直播过程中切换网络并发生连接中断</x:v>
      </x:c>
      <x:c r="H84" s="4" t="str">
        <x:v>流程与状态</x:v>
      </x:c>
      <x:c r="I84" s="4" t="str">
        <x:v>恢复后是否继续原场次？</x:v>
      </x:c>
      <x:c r="J84" s="4" t="str">
        <x:v>A. 原场次未结束则恢复原场次，结束后不得恢复
B. 任何网络中断均结束原场次，恢复后重新开播</x:v>
      </x:c>
      <x:c r="K84" s="4" t="str">
        <x:v>建议优先评估A：明确直播过程中切换网络并发生连接中断的唯一处理口径后，可构造确定的输入和结果；此建议不代表产品结论</x:v>
      </x:c>
      <x:c r="L84" s="8" t="str"/>
      <x:c r="M84" s="8" t="str"/>
      <x:c r="N84" s="4" t="str">
        <x:v>1. MainBasis/需求待确认清单.md#Q039：直播和 IM 的实际技术验收指标
2. 主文档关联：见风险来源中的来源异常范围</x:v>
      </x:c>
      <x:c r="O84" s="4" t="str">
        <x:v>1. 用户App：直播过程中切换网络并发生连接中断
2. 管理后台：直播过程中切换网络并发生连接中断</x:v>
      </x:c>
      <x:c r="P84" s="4" t="str"/>
      <x:c r="Q84" s="4" t="str">
        <x:v>1. 恢复后是否继续原场次的正向、边界及异常场景</x:v>
      </x:c>
      <x:c r="R84" s="4" t="str">
        <x:v>多方确认</x:v>
      </x:c>
      <x:c r="S84" s="4" t="str">
        <x:v>进入对应功能测试前</x:v>
      </x:c>
      <x:c r="T84" s="4" t="str">
        <x:v>待确认</x:v>
      </x:c>
    </x:row>
    <x:row r="85" ht="68" customHeight="1">
      <x:c r="A85" s="4" t="str">
        <x:v>Q-073</x:v>
      </x:c>
      <x:c r="B85" s="4" t="str">
        <x:v>RQ-039</x:v>
      </x:c>
      <x:c r="C85" s="4" t="str"/>
      <x:c r="D85" s="4" t="str"/>
      <x:c r="E85" s="4" t="str">
        <x:v>部分阻塞</x:v>
      </x:c>
      <x:c r="F85" s="4" t="str">
        <x:v>跨模块需求</x:v>
      </x:c>
      <x:c r="G85" s="4" t="str">
        <x:v>私信发送后进程结束，服务端已接收</x:v>
      </x:c>
      <x:c r="H85" s="4" t="str">
        <x:v>异常处理</x:v>
      </x:c>
      <x:c r="I85" s="4" t="str">
        <x:v>重新启动App后该消息应如何恢复？</x:v>
      </x:c>
      <x:c r="J85" s="4" t="str">
        <x:v>A. 恢复同一条已发送消息，不重复发送
B. 不自动恢复，消息记录同步后由用户核对</x:v>
      </x:c>
      <x:c r="K85" s="4" t="str">
        <x:v>建议优先评估A：明确私信发送后进程结束，服务端已接收的唯一处理口径后，可构造确定的输入和结果；此建议不代表产品结论</x:v>
      </x:c>
      <x:c r="L85" s="8" t="str"/>
      <x:c r="M85" s="8" t="str"/>
      <x:c r="N85" s="4" t="str">
        <x:v>1. MainBasis/需求待确认清单.md#Q039：直播和 IM 的实际技术验收指标
2. 主文档关联：见风险来源中的来源异常范围</x:v>
      </x:c>
      <x:c r="O85" s="4" t="str">
        <x:v>1. 用户App：私信发送后进程结束，服务端已接收</x:v>
      </x:c>
      <x:c r="P85" s="4" t="str"/>
      <x:c r="Q85" s="4" t="str">
        <x:v>1. 重新启动App后该消息应如何恢复的正向、边界及异常场景</x:v>
      </x:c>
      <x:c r="R85" s="4" t="str">
        <x:v>技术</x:v>
      </x:c>
      <x:c r="S85" s="4" t="str">
        <x:v>进入对应功能测试前</x:v>
      </x:c>
      <x:c r="T85" s="4" t="str">
        <x:v>待确认</x:v>
      </x:c>
    </x:row>
    <x:row r="86" ht="68" customHeight="1">
      <x:c r="A86" s="4" t="str">
        <x:v>Q-079</x:v>
      </x:c>
      <x:c r="B86" s="4" t="str">
        <x:v>RQ-040</x:v>
      </x:c>
      <x:c r="C86" s="4" t="str"/>
      <x:c r="D86" s="4" t="str"/>
      <x:c r="E86" s="4" t="str">
        <x:v>部分阻塞</x:v>
      </x:c>
      <x:c r="F86" s="4" t="str">
        <x:v>跨模块需求</x:v>
      </x:c>
      <x:c r="G86" s="4" t="str">
        <x:v>当前索引未登记的旧装扮页my-outfits</x:v>
      </x:c>
      <x:c r="H86" s="4" t="str">
        <x:v>需求范围</x:v>
      </x:c>
      <x:c r="I86" s="4" t="str">
        <x:v>旧装扮页my-outfits是否属于本期范围？</x:v>
      </x:c>
      <x:c r="J86" s="4" t="str">
        <x:v>A. 排除，只保留为历史资料
B. 纳入，补齐本页规则与角色后生成用例</x:v>
      </x:c>
      <x:c r="K86" s="4" t="str">
        <x:v>建议优先评估A：明确当前索引未登记的旧装扮页my-outfits的唯一处理口径后，可构造确定的输入和结果；此建议不代表产品结论</x:v>
      </x:c>
      <x:c r="L86" s="8" t="str"/>
      <x:c r="M86" s="8" t="str"/>
      <x:c r="N86" s="4" t="str">
        <x:v>1. MainBasis/需求待确认清单.md#Q040：未登记页面和缺失来源的范围归属
2. 主文档关联：见风险来源中的来源异常范围</x:v>
      </x:c>
      <x:c r="O86" s="4" t="str">
        <x:v>1. 用户App：当前索引未登记的旧装扮页my-outfits</x:v>
      </x:c>
      <x:c r="P86" s="4" t="str"/>
      <x:c r="Q86" s="4" t="str">
        <x:v>1. 旧装扮页my-outfits是否属于本期范围的正向、边界及异常场景</x:v>
      </x:c>
      <x:c r="R86" s="4" t="str">
        <x:v>产品</x:v>
      </x:c>
      <x:c r="S86" s="4" t="str">
        <x:v>进入对应功能测试前</x:v>
      </x:c>
      <x:c r="T86" s="4" t="str">
        <x:v>待确认</x:v>
      </x:c>
    </x:row>
    <x:row r="87" ht="96" customHeight="1">
      <x:c r="A87" s="4" t="str">
        <x:v>Q-081</x:v>
      </x:c>
      <x:c r="B87" s="4" t="str">
        <x:v>RQ-042</x:v>
      </x:c>
      <x:c r="C87" s="4" t="str"/>
      <x:c r="D87" s="4" t="str"/>
      <x:c r="E87" s="4" t="str">
        <x:v>部分阻塞</x:v>
      </x:c>
      <x:c r="F87" s="4" t="str">
        <x:v>跨模块需求</x:v>
      </x:c>
      <x:c r="G87" s="4" t="str">
        <x:v>客户端展示超过1000的大数</x:v>
      </x:c>
      <x:c r="H87" s="4" t="str">
        <x:v>交互与文案规则</x:v>
      </x:c>
      <x:c r="I87" s="4" t="str">
        <x:v>数字展示是否使用缩写？</x:v>
      </x:c>
      <x:c r="J87" s="4" t="str">
        <x:v>A. 显示完整数值，按当前语言设置分组符
B. 使用K和M缩写，保留1位小数向下截断</x:v>
      </x:c>
      <x:c r="K87" s="4" t="str">
        <x:v>建议优先评估A：明确客户端展示超过1000的大数的唯一处理口径后，可构造确定的输入和结果；此建议不代表产品结论</x:v>
      </x:c>
      <x:c r="L87" s="8" t="str"/>
      <x:c r="M87" s="8" t="str"/>
      <x:c r="N87" s="4" t="str">
        <x:v>1. MainBasis/需求待确认清单.md#Q042：大数缩写与精确值显示
2. 主文档关联：见风险来源中的来源异常范围</x:v>
      </x:c>
      <x:c r="O87" s="4" t="str">
        <x:v>1. 用户App：客户端展示超过1000的大数
2. 公会App：客户端展示超过1000的大数
3. 管理后台：客户端展示超过1000的大数</x:v>
      </x:c>
      <x:c r="P87" s="4" t="str"/>
      <x:c r="Q87" s="4" t="str">
        <x:v>1. 数字展示是否使用缩写的正向、边界及异常场景</x:v>
      </x:c>
      <x:c r="R87" s="4" t="str">
        <x:v>交互</x:v>
      </x:c>
      <x:c r="S87" s="4" t="str">
        <x:v>进入对应功能测试前</x:v>
      </x:c>
      <x:c r="T87" s="4" t="str">
        <x:v>待确认</x:v>
      </x:c>
    </x:row>
  </x:sheetData>
  <x:dataValidations count="5">
    <x:dataValidation type="list" sqref="E2:E87">
      <x:formula1>"阻塞测试,部分阻塞,不阻塞"</x:formula1>
    </x:dataValidation>
    <x:dataValidation type="list" sqref="H2:H87">
      <x:formula1>"需求范围,业务规则,角色与权限,流程与状态,字段与数据校验,计算与统计口径,异常处理,跨端与跨模块一致性,配置和历史数据影响,交互与文案规则"</x:formula1>
    </x:dataValidation>
    <x:dataValidation type="list" sqref="L2:L87">
      <x:formula1>"A,B,C,D,其他"</x:formula1>
    </x:dataValidation>
    <x:dataValidation type="list" sqref="R2:R87">
      <x:formula1>"产品,交互,技术,多方确认"</x:formula1>
    </x:dataValidation>
    <x:dataValidation type="list" sqref="T2:T87">
      <x:formula1>"待前置结论,待确认,确认中,已确认,无需处理"</x:formula1>
    </x:dataValidation>
  </x:dataValidations>
  <x:pageMargins left="0.7" right="0.7" top="0.75" bottom="0.75" header="0.3" footer="0.3"/>
  <x:tableParts count="1">
    <x:tablePart xmlns:r="http://schemas.openxmlformats.org/officeDocument/2006/relationships" r:id="R7d5e5a8d286f45fc"/>
  </x:tableParts>
</x:worksheet>
</file>