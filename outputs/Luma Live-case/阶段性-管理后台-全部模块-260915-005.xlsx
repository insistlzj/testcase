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a148ff66034c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产品决策概览" sheetId="1" r:id="Rcb6cb1b362114235"/>
    <x:sheet xmlns:r="http://schemas.openxmlformats.org/officeDocument/2006/relationships" name="功能测试用例" sheetId="2" r:id="Rec737590d96749d5"/>
    <x:sheet xmlns:r="http://schemas.openxmlformats.org/officeDocument/2006/relationships" name="需求待确认" sheetId="3" r:id="R4ad06528ad8a4e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0"/>
      <x:color rgb="FF111827"/>
      <x:name val="Arial"/>
    </x:font>
    <x:font>
      <x:b/>
      <x:sz val="10"/>
      <x:color rgb="FFFFFFFF"/>
      <x:name val="Arial"/>
    </x:font>
    <x:font>
      <x:b/>
      <x:sz val="15"/>
      <x:color rgb="FF111827"/>
      <x:name val="Arial"/>
    </x:font>
    <x:font>
      <x:i/>
      <x:sz val="10"/>
      <x:color rgb="FF64748B"/>
      <x:name val="Arial"/>
    </x:font>
    <x:font>
      <x:b/>
      <x:sz val="11"/>
      <x:color rgb="FF1D4ED8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FFF4CC"/>
      </x:patternFill>
    </x:fill>
    <x:fill>
      <x:patternFill patternType="solid">
        <x:fgColor rgb="FFF8FAFC"/>
      </x:patternFill>
    </x:fill>
  </x:fills>
  <x:borders count="3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horizontal="left" vertic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28a1e3523446da" /><Relationship Type="http://schemas.openxmlformats.org/officeDocument/2006/relationships/theme" Target="/xl/theme/theme1.xml" Id="R39f9dc5f4b96461f" /><Relationship Type="http://schemas.openxmlformats.org/officeDocument/2006/relationships/sharedStrings" Target="/xl/sharedStrings.xml" Id="Rb3694a5befa845fb" /><Relationship Type="http://schemas.openxmlformats.org/officeDocument/2006/relationships/worksheet" Target="/xl/worksheets/sheet1.xml" Id="Rcb6cb1b362114235" /><Relationship Type="http://schemas.openxmlformats.org/officeDocument/2006/relationships/worksheet" Target="/xl/worksheets/sheet2.xml" Id="Rec737590d96749d5" /><Relationship Type="http://schemas.openxmlformats.org/officeDocument/2006/relationships/worksheet" Target="/xl/worksheets/sheet3.xml" Id="R4ad06528ad8a4edd" /></Relationships>
</file>

<file path=xl/tables/table1.xml><?xml version="1.0" encoding="utf-8"?>
<x:table xmlns:x="http://schemas.openxmlformats.org/spreadsheetml/2006/main" id="1" name="LiveCasesTable" displayName="LiveCasesTable" ref="A1:O621" headerRowCount="1" totalsRowCount="0" totalsRowShown="0">
  <x:autoFilter ref="A1:O621"/>
  <x:tableColumns count="15">
    <x:tableColumn id="1" name="序号"/>
    <x:tableColumn id="2" name="用例编号"/>
    <x:tableColumn id="3" name="功能模块"/>
    <x:tableColumn id="4" name="功能结构"/>
    <x:tableColumn id="5" name="用例类型"/>
    <x:tableColumn id="6" name="优先级"/>
    <x:tableColumn id="7" name="用例描述"/>
    <x:tableColumn id="8" name="验证用例子项"/>
    <x:tableColumn id="9" name="前置条件"/>
    <x:tableColumn id="10" name="操作步骤"/>
    <x:tableColumn id="11" name="预期结果"/>
    <x:tableColumn id="12" name="流程编号"/>
    <x:tableColumn id="13" name="测试结果"/>
    <x:tableColumn id="14" name="测试人员"/>
    <x:tableColumn id="15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ivePendingTable" displayName="LivePendingTable" ref="A1:T29" headerRowCount="1" totalsRowCount="0" totalsRowShown="0">
  <x:autoFilter ref="A1:T29"/>
  <x:tableColumns count="20">
    <x:tableColumn id="1" name="问题编号"/>
    <x:tableColumn id="2" name="需求组编号"/>
    <x:tableColumn id="3" name="父问题编号"/>
    <x:tableColumn id="4" name="追问触发条件"/>
    <x:tableColumn id="5" name="阻塞等级"/>
    <x:tableColumn id="6" name="功能模块"/>
    <x:tableColumn id="7" name="具体场景"/>
    <x:tableColumn id="8" name="问题分类"/>
    <x:tableColumn id="9" name="待决策问题"/>
    <x:tableColumn id="10" name="可选方案"/>
    <x:tableColumn id="11" name="测试建议"/>
    <x:tableColumn id="12" name="产品结论"/>
    <x:tableColumn id="13" name="结论补充"/>
    <x:tableColumn id="14" name="已知依据"/>
    <x:tableColumn id="15" name="影响范围"/>
    <x:tableColumn id="16" name="已有用例编号"/>
    <x:tableColumn id="17" name="确认后待补用例"/>
    <x:tableColumn id="18" name="负责人"/>
    <x:tableColumn id="19" name="期望确认时间"/>
    <x:tableColumn id="20" name="确认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1036d0438d1491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2e9319e98494c35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2" hidden="0" customWidth="1"/>
    <x:col min="2" max="2" width="12" hidden="0" customWidth="1"/>
    <x:col min="3" max="3" width="4" hidden="0" customWidth="1"/>
    <x:col min="4" max="4" width="18" hidden="0" customWidth="1"/>
    <x:col min="5" max="5" width="14" hidden="0" customWidth="1"/>
    <x:col min="6" max="6" width="4" hidden="0" customWidth="1"/>
    <x:col min="7" max="7" width="18" hidden="0" customWidth="1"/>
    <x:col min="8" max="8" width="14" hidden="0" customWidth="1"/>
  </x:cols>
  <x:sheetData>
    <x:row r="1" ht="30" customHeight="1">
      <x:c r="A1" s="14" t="str">
        <x:v>阶段性-管理后台-全部模块-260915-005 产品决策概览</x:v>
      </x:c>
      <x:c r="B1" s="13"/>
      <x:c r="C1" s="13"/>
      <x:c r="D1" s="13"/>
      <x:c r="E1" s="13"/>
      <x:c r="F1" s="13"/>
      <x:c r="G1" s="13"/>
      <x:c r="H1" s="13"/>
    </x:row>
    <x:row r="2">
      <x:c r="A2" s="15" t="str">
        <x:v>阶段性产物；本轮交付尚未完成</x:v>
      </x:c>
      <x:c r="B2" s="13"/>
      <x:c r="C2" s="13"/>
      <x:c r="D2" s="13"/>
      <x:c r="E2" s="13"/>
      <x:c r="F2" s="13"/>
      <x:c r="G2" s="13"/>
      <x:c r="H2" s="13"/>
    </x:row>
    <x:row r="3">
      <x:c r="A3" s="13"/>
      <x:c r="B3" s="13"/>
      <x:c r="C3" s="13"/>
      <x:c r="D3" s="13"/>
      <x:c r="E3" s="13"/>
      <x:c r="F3" s="13"/>
      <x:c r="G3" s="13"/>
      <x:c r="H3" s="13"/>
    </x:row>
    <x:row r="4">
      <x:c r="A4" s="8" t="str">
        <x:v>状态</x:v>
      </x:c>
      <x:c r="B4" s="8" t="str">
        <x:v>数量</x:v>
      </x:c>
      <x:c r="C4" s="13"/>
      <x:c r="D4" s="8" t="str">
        <x:v>阻塞等级</x:v>
      </x:c>
      <x:c r="E4" s="8" t="str">
        <x:v>当前待确认</x:v>
      </x:c>
      <x:c r="F4" s="13"/>
      <x:c r="G4" s="8" t="str">
        <x:v>负责人</x:v>
      </x:c>
      <x:c r="H4" s="8" t="str">
        <x:v>当前待确认</x:v>
      </x:c>
    </x:row>
    <x:row r="5">
      <x:c r="A5" s="20" t="str">
        <x:v>问题总数</x:v>
      </x:c>
      <x:c r="B5" s="22" t="n">
        <x:f>COUNTA('需求待确认'!$A$2:$A$29)</x:f>
        <x:v>28</x:v>
      </x:c>
      <x:c r="C5" s="13"/>
      <x:c r="D5" s="20" t="str">
        <x:v>阻塞测试</x:v>
      </x:c>
      <x:c r="E5" s="22" t="n">
        <x:f>COUNTIFS('需求待确认'!$E$2:$E$29,"阻塞测试",'需求待确认'!$T$2:$T$29,"待确认")</x:f>
        <x:v>0</x:v>
      </x:c>
      <x:c r="F5" s="13"/>
      <x:c r="G5" s="20" t="str">
        <x:v>产品</x:v>
      </x:c>
      <x:c r="H5" s="22" t="n">
        <x:f>COUNTIFS('需求待确认'!$R$2:$R$29,"产品",'需求待确认'!$T$2:$T$29,"待确认")</x:f>
        <x:v>28</x:v>
      </x:c>
    </x:row>
    <x:row r="6">
      <x:c r="A6" s="20" t="str">
        <x:v>当前可回答</x:v>
      </x:c>
      <x:c r="B6" s="22" t="n">
        <x:f>COUNTIF('需求待确认'!$T$2:$T$29,"待确认")</x:f>
        <x:v>28</x:v>
      </x:c>
      <x:c r="C6" s="13"/>
      <x:c r="D6" s="20" t="str">
        <x:v>部分阻塞</x:v>
      </x:c>
      <x:c r="E6" s="22" t="n">
        <x:f>COUNTIFS('需求待确认'!$E$2:$E$29,"部分阻塞",'需求待确认'!$T$2:$T$29,"待确认")</x:f>
        <x:v>28</x:v>
      </x:c>
      <x:c r="F6" s="13"/>
      <x:c r="G6" s="20" t="str">
        <x:v>交互</x:v>
      </x:c>
      <x:c r="H6" s="22" t="n">
        <x:f>COUNTIFS('需求待确认'!$R$2:$R$29,"交互",'需求待确认'!$T$2:$T$29,"待确认")</x:f>
        <x:v>0</x:v>
      </x:c>
    </x:row>
    <x:row r="7">
      <x:c r="A7" s="20" t="str">
        <x:v>待前置结论</x:v>
      </x:c>
      <x:c r="B7" s="22" t="n">
        <x:f>COUNTIF('需求待确认'!$T$2:$T$29,"待前置结论")</x:f>
        <x:v>0</x:v>
      </x:c>
      <x:c r="C7" s="13"/>
      <x:c r="D7" s="20" t="str">
        <x:v>不阻塞</x:v>
      </x:c>
      <x:c r="E7" s="22" t="n">
        <x:f>COUNTIFS('需求待确认'!$E$2:$E$29,"不阻塞",'需求待确认'!$T$2:$T$29,"待确认")</x:f>
        <x:v>0</x:v>
      </x:c>
      <x:c r="F7" s="13"/>
      <x:c r="G7" s="20" t="str">
        <x:v>技术</x:v>
      </x:c>
      <x:c r="H7" s="22" t="n">
        <x:f>COUNTIFS('需求待确认'!$R$2:$R$29,"技术",'需求待确认'!$T$2:$T$29,"待确认")</x:f>
        <x:v>0</x:v>
      </x:c>
    </x:row>
    <x:row r="8">
      <x:c r="A8" s="20" t="str">
        <x:v>确认中</x:v>
      </x:c>
      <x:c r="B8" s="22" t="n">
        <x:f>COUNTIF('需求待确认'!$T$2:$T$29,"确认中")</x:f>
        <x:v>0</x:v>
      </x:c>
      <x:c r="C8" s="13"/>
      <x:c r="D8" s="13"/>
      <x:c r="E8" s="13"/>
      <x:c r="F8" s="13"/>
      <x:c r="G8" s="20" t="str">
        <x:v>多方确认</x:v>
      </x:c>
      <x:c r="H8" s="22" t="n">
        <x:f>COUNTIFS('需求待确认'!$R$2:$R$29,"多方确认",'需求待确认'!$T$2:$T$29,"待确认")</x:f>
        <x:v>0</x:v>
      </x:c>
    </x:row>
    <x:row r="9">
      <x:c r="A9" s="20" t="str">
        <x:v>已确认</x:v>
      </x:c>
      <x:c r="B9" s="22" t="n">
        <x:f>COUNTIF('需求待确认'!$T$2:$T$29,"已确认")</x:f>
        <x:v>0</x:v>
      </x:c>
      <x:c r="C9" s="13"/>
      <x:c r="D9" s="13"/>
      <x:c r="E9" s="13"/>
      <x:c r="F9" s="13"/>
      <x:c r="G9" s="13"/>
      <x:c r="H9" s="13"/>
    </x:row>
    <x:row r="10">
      <x:c r="A10" s="20" t="str">
        <x:v>无需处理</x:v>
      </x:c>
      <x:c r="B10" s="22" t="n">
        <x:f>COUNTIF('需求待确认'!$T$2:$T$29,"无需处理")</x:f>
        <x:v>0</x:v>
      </x:c>
      <x:c r="C10" s="13"/>
      <x:c r="D10" s="13"/>
      <x:c r="E10" s="13"/>
      <x:c r="F10" s="13"/>
      <x:c r="G10" s="13"/>
      <x:c r="H10" s="1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" hidden="0" customWidth="1"/>
    <x:col min="2" max="2" width="13" hidden="0" customWidth="1"/>
    <x:col min="3" max="3" width="12" hidden="0" customWidth="1"/>
    <x:col min="4" max="4" width="24" hidden="0" customWidth="1"/>
    <x:col min="5" max="5" width="12" hidden="0" customWidth="1"/>
    <x:col min="6" max="6" width="8" hidden="0" customWidth="1"/>
    <x:col min="7" max="7" width="27" hidden="0" customWidth="1"/>
    <x:col min="8" max="8" width="20" hidden="0" customWidth="1"/>
    <x:col min="9" max="9" width="30" hidden="0" customWidth="1"/>
    <x:col min="10" max="10" width="32" hidden="0" customWidth="1"/>
    <x:col min="11" max="11" width="38" hidden="0" customWidth="1"/>
    <x:col min="12" max="12" width="18" hidden="0" customWidth="1"/>
    <x:col min="13" max="13" width="10" hidden="0" customWidth="1"/>
    <x:col min="14" max="14" width="12" hidden="0" customWidth="1"/>
    <x:col min="15" max="15" width="42" hidden="0" customWidth="1"/>
  </x:cols>
  <x:sheetData>
    <x:row r="1" ht="34" customHeight="1">
      <x:c r="A1" s="11" t="str">
        <x:v>序号</x:v>
      </x:c>
      <x:c r="B1" s="11" t="str">
        <x:v>用例编号</x:v>
      </x:c>
      <x:c r="C1" s="11" t="str">
        <x:v>功能模块</x:v>
      </x:c>
      <x:c r="D1" s="11" t="str">
        <x:v>功能结构</x:v>
      </x:c>
      <x:c r="E1" s="11" t="str">
        <x:v>用例类型</x:v>
      </x:c>
      <x:c r="F1" s="11" t="str">
        <x:v>优先级</x:v>
      </x:c>
      <x:c r="G1" s="11" t="str">
        <x:v>用例描述</x:v>
      </x:c>
      <x:c r="H1" s="11" t="str">
        <x:v>验证用例子项</x:v>
      </x:c>
      <x:c r="I1" s="11" t="str">
        <x:v>前置条件</x:v>
      </x:c>
      <x:c r="J1" s="11" t="str">
        <x:v>操作步骤</x:v>
      </x:c>
      <x:c r="K1" s="11" t="str">
        <x:v>预期结果</x:v>
      </x:c>
      <x:c r="L1" s="11" t="str">
        <x:v>流程编号</x:v>
      </x:c>
      <x:c r="M1" s="11" t="str">
        <x:v>测试结果</x:v>
      </x:c>
      <x:c r="N1" s="11" t="str">
        <x:v>测试人员</x:v>
      </x:c>
      <x:c r="O1" s="11" t="str">
        <x:v>备注</x:v>
      </x:c>
    </x:row>
    <x:row r="2" ht="70" customHeight="1">
      <x:c r="A2" s="10" t="n">
        <x:v>1</x:v>
      </x:c>
      <x:c r="B2" s="10" t="str">
        <x:v>ADMIN-01-0001</x:v>
      </x:c>
      <x:c r="C2" s="10" t="str">
        <x:v>工作台</x:v>
      </x:c>
      <x:c r="D2" s="10" t="str">
        <x:v>工作台（平台管理员视角）</x:v>
      </x:c>
      <x:c r="E2" s="10" t="str">
        <x:v>逻辑校验</x:v>
      </x:c>
      <x:c r="F2" s="10" t="str">
        <x:v>P1</x:v>
      </x:c>
      <x:c r="G2" s="9" t="str">
        <x:v>验证工作台新客ARPU使用付费人数</x:v>
      </x:c>
      <x:c r="H2" s="9" t="str">
        <x:v>工作台新用户ARPU</x:v>
      </x:c>
      <x:c r="I2" s="9" t="str">
        <x:v>1. 执行角色为平台管理员
2. 最新自然日注册10人，其中2人成功充值合计6USD，其余未充值</x:v>
      </x:c>
      <x:c r="J2" s="9" t="str">
        <x:v>1. 进入工作台</x:v>
      </x:c>
      <x:c r="K2" s="9" t="str">
        <x:v>工作台新用户ARPU按6/2计算=3USD</x:v>
      </x:c>
      <x:c r="L2" s="10" t="str"/>
      <x:c r="M2" s="10" t="str">
        <x:v>未测</x:v>
      </x:c>
      <x:c r="N2" s="10" t="str"/>
      <x:c r="O2" s="9" t="str">
        <x:v>1. 来源（当前证据）：liveshow-proto/MainBasis/统一需求文档.md；位置：行2535
2. 规则：BR-f450b76746860455
3. 未动态验证</x:v>
      </x:c>
    </x:row>
    <x:row r="3" ht="70" customHeight="1">
      <x:c r="A3" s="10" t="n">
        <x:v>2</x:v>
      </x:c>
      <x:c r="B3" s="10" t="str">
        <x:v>ADMIN-01-0002</x:v>
      </x:c>
      <x:c r="C3" s="10" t="str">
        <x:v>工作台</x:v>
      </x:c>
      <x:c r="D3" s="10" t="str">
        <x:v>工作台（平台管理员视角）</x:v>
      </x:c>
      <x:c r="E3" s="10" t="str">
        <x:v>逻辑校验</x:v>
      </x:c>
      <x:c r="F3" s="10" t="str">
        <x:v>P1</x:v>
      </x:c>
      <x:c r="G3" s="9" t="str">
        <x:v>验证工作台新用户ARPU分母为零</x:v>
      </x:c>
      <x:c r="H3" s="9" t="str">
        <x:v>零分母保护</x:v>
      </x:c>
      <x:c r="I3" s="9" t="str">
        <x:v>1. 执行角色为平台管理员
2. 工作台当前统计周期没有对应付费、开播或观看对象；该指标分母为0</x:v>
      </x:c>
      <x:c r="J3" s="9" t="str">
        <x:v>1. 进入工作台
2. 查看新用户ARPU</x:v>
      </x:c>
      <x:c r="K3" s="9" t="str">
        <x:v>新用户ARPU显示0</x:v>
      </x:c>
      <x:c r="L3" s="10" t="str"/>
      <x:c r="M3" s="10" t="str">
        <x:v>未测</x:v>
      </x:c>
      <x:c r="N3" s="10" t="str"/>
      <x:c r="O3" s="9" t="str">
        <x:v>1. 来源（当前证据）：liveshow-proto/MainBasis/统一需求文档.md；位置：行2535
2. 规则：BR-547317dbbaeb59de
3. 未动态验证</x:v>
      </x:c>
    </x:row>
    <x:row r="4" ht="115" customHeight="1">
      <x:c r="A4" s="10" t="n">
        <x:v>3</x:v>
      </x:c>
      <x:c r="B4" s="10" t="str">
        <x:v>ADMIN-01-0003</x:v>
      </x:c>
      <x:c r="C4" s="10" t="str">
        <x:v>工作台</x:v>
      </x:c>
      <x:c r="D4" s="10" t="str">
        <x:v>工作台（平台管理员视角）</x:v>
      </x:c>
      <x:c r="E4" s="10" t="str">
        <x:v>功能需求</x:v>
      </x:c>
      <x:c r="F4" s="10" t="str">
        <x:v>P2</x:v>
      </x:c>
      <x:c r="G4" s="9" t="str">
        <x:v>验证首页被动退款取最新记录</x:v>
      </x:c>
      <x:c r="H4" s="9" t="str">
        <x:v>渠道退款时间顺序</x:v>
      </x:c>
      <x:c r="I4" s="9" t="str">
        <x:v>1. 执行角色为平台管理员
2. 渠道退款甲10:00完成、乙11:00完成，当前两笔可见</x:v>
      </x:c>
      <x:c r="J4" s="9" t="str">
        <x:v>1. 进入后台首页</x:v>
      </x:c>
      <x:c r="K4" s="9" t="str">
        <x:v>乙排在甲之前</x:v>
      </x:c>
      <x:c r="L4" s="10" t="str"/>
      <x:c r="M4" s="10" t="str">
        <x:v>未测</x:v>
      </x:c>
      <x:c r="N4" s="10" t="str"/>
      <x:c r="O4" s="9" t="str">
        <x:v>1. 来源（当前证据）：liveshow-proto/MainBasis/统一需求文档.md；位置：行2537
2. 规则：BR-b55a9e38b25f2b76
3. 未动态验证
4. 数据别名：甲、乙、丙用于区分本条测试对象；按前置条件准备并记录实际账号或记录 ID，不是固定业务名称。</x:v>
      </x:c>
    </x:row>
    <x:row r="5" ht="70" customHeight="1">
      <x:c r="A5" s="10" t="n">
        <x:v>4</x:v>
      </x:c>
      <x:c r="B5" s="10" t="str">
        <x:v>ADMIN-01-0004</x:v>
      </x:c>
      <x:c r="C5" s="10" t="str">
        <x:v>工作台</x:v>
      </x:c>
      <x:c r="D5" s="10" t="str">
        <x:v>工作台（平台管理员视角）</x:v>
      </x:c>
      <x:c r="E5" s="10" t="str">
        <x:v>功能需求</x:v>
      </x:c>
      <x:c r="F5" s="10" t="str">
        <x:v>P2</x:v>
      </x:c>
      <x:c r="G5" s="9" t="str">
        <x:v>验证首页趋势按最近7个自然日</x:v>
      </x:c>
      <x:c r="H5" s="9" t="str">
        <x:v>首页趋势范围</x:v>
      </x:c>
      <x:c r="I5" s="9" t="str">
        <x:v>1. 执行角色为平台管理员
2. 最新统计日为2026年9月15日</x:v>
      </x:c>
      <x:c r="J5" s="9" t="str">
        <x:v>1. 进入后台首页
2. 查看趋势</x:v>
      </x:c>
      <x:c r="K5" s="9" t="str">
        <x:v>日期范围为9月9日至9月15日</x:v>
      </x:c>
      <x:c r="L5" s="10" t="str"/>
      <x:c r="M5" s="10" t="str">
        <x:v>未测</x:v>
      </x:c>
      <x:c r="N5" s="10" t="str"/>
      <x:c r="O5" s="9" t="str">
        <x:v>1. 来源（当前证据）：liveshow-proto/MainBasis/统一需求文档.md；位置：行2538
2. 规则：BR-29ebe17cc177ef70
3. 未动态验证</x:v>
      </x:c>
    </x:row>
    <x:row r="6" ht="115" customHeight="1">
      <x:c r="A6" s="10" t="n">
        <x:v>5</x:v>
      </x:c>
      <x:c r="B6" s="10" t="str">
        <x:v>ADMIN-01-0005</x:v>
      </x:c>
      <x:c r="C6" s="10" t="str">
        <x:v>工作台</x:v>
      </x:c>
      <x:c r="D6" s="10" t="str">
        <x:v>工作台（平台管理员视角）</x:v>
      </x:c>
      <x:c r="E6" s="10" t="str">
        <x:v>功能需求</x:v>
      </x:c>
      <x:c r="F6" s="10" t="str">
        <x:v>P2</x:v>
      </x:c>
      <x:c r="G6" s="9" t="str">
        <x:v>验证首页退款卡片进入对应记录</x:v>
      </x:c>
      <x:c r="H6" s="9" t="str">
        <x:v>首页退款导航</x:v>
      </x:c>
      <x:c r="I6" s="9" t="str">
        <x:v>1. 执行角色为平台管理员
2. 首页有一笔渠道退款甲</x:v>
      </x:c>
      <x:c r="J6" s="9" t="str">
        <x:v>1. 点击退款甲</x:v>
      </x:c>
      <x:c r="K6" s="9" t="str">
        <x:v>进入对应退款记录</x:v>
      </x:c>
      <x:c r="L6" s="10" t="str"/>
      <x:c r="M6" s="10" t="str">
        <x:v>未测</x:v>
      </x:c>
      <x:c r="N6" s="10" t="str"/>
      <x:c r="O6" s="9" t="str">
        <x:v>1. 来源（当前证据）：liveshow-proto/MainBasis/统一需求文档.md；位置：行2539
2. 规则：BR-91f302e6142e4423
3. 未动态验证
4. 数据别名：甲、乙、丙用于区分本条测试对象；按前置条件准备并记录实际账号或记录 ID，不是固定业务名称。</x:v>
      </x:c>
    </x:row>
    <x:row r="7" ht="115" customHeight="1">
      <x:c r="A7" s="10" t="n">
        <x:v>6</x:v>
      </x:c>
      <x:c r="B7" s="10" t="str">
        <x:v>ADMIN-02-0001</x:v>
      </x:c>
      <x:c r="C7" s="10" t="str">
        <x:v>用户管理</x:v>
      </x:c>
      <x:c r="D7" s="10" t="str">
        <x:v>用户列表（平台管理员视角）</x:v>
      </x:c>
      <x:c r="E7" s="10" t="str">
        <x:v>功能需求</x:v>
      </x:c>
      <x:c r="F7" s="10" t="str">
        <x:v>P2</x:v>
      </x:c>
      <x:c r="G7" s="9" t="str">
        <x:v>验证用户列表读取昵称</x:v>
      </x:c>
      <x:c r="H7" s="9" t="str">
        <x:v>昵称回显</x:v>
      </x:c>
      <x:c r="I7" s="9" t="str">
        <x:v>1. 执行角色为平台管理员
2. 当前所选用户资料的昵称为“用户甲”</x:v>
      </x:c>
      <x:c r="J7" s="9" t="str">
        <x:v>1. 进入用户列表
2. 查看昵称</x:v>
      </x:c>
      <x:c r="K7" s="9" t="str">
        <x:v>昵称显示“用户甲”</x:v>
      </x:c>
      <x:c r="L7" s="10" t="str"/>
      <x:c r="M7" s="10" t="str">
        <x:v>未测</x:v>
      </x:c>
      <x:c r="N7" s="10" t="str"/>
      <x:c r="O7" s="9" t="str">
        <x:v>1. 来源（当前证据）：liveshow-proto/MainBasis/统一需求文档.md；位置：行2544
2. 规则：BR-0d6834632a723432
3. 未动态验证
4. 数据别名：甲、乙、丙用于区分本条测试对象；按前置条件准备并记录实际账号或记录 ID，不是固定业务名称。</x:v>
      </x:c>
    </x:row>
    <x:row r="8" ht="70" customHeight="1">
      <x:c r="A8" s="10" t="n">
        <x:v>7</x:v>
      </x:c>
      <x:c r="B8" s="10" t="str">
        <x:v>ADMIN-02-0002</x:v>
      </x:c>
      <x:c r="C8" s="10" t="str">
        <x:v>用户管理</x:v>
      </x:c>
      <x:c r="D8" s="10" t="str">
        <x:v>用户列表（平台管理员视角）</x:v>
      </x:c>
      <x:c r="E8" s="10" t="str">
        <x:v>功能需求</x:v>
      </x:c>
      <x:c r="F8" s="10" t="str">
        <x:v>P2</x:v>
      </x:c>
      <x:c r="G8" s="9" t="str">
        <x:v>验证用户列表读取用户ID</x:v>
      </x:c>
      <x:c r="H8" s="9" t="str">
        <x:v>用户ID回显</x:v>
      </x:c>
      <x:c r="I8" s="9" t="str">
        <x:v>1. 执行角色为平台管理员
2. 当前所选用户的用户ID为“100001”</x:v>
      </x:c>
      <x:c r="J8" s="9" t="str">
        <x:v>1. 进入用户列表
2. 查看用户ID</x:v>
      </x:c>
      <x:c r="K8" s="9" t="str">
        <x:v>用户ID显示“100001”</x:v>
      </x:c>
      <x:c r="L8" s="10" t="str"/>
      <x:c r="M8" s="10" t="str">
        <x:v>未测</x:v>
      </x:c>
      <x:c r="N8" s="10" t="str"/>
      <x:c r="O8" s="9" t="str">
        <x:v>1. 来源（当前证据）：liveshow-proto/MainBasis/统一需求文档.md；位置：行2544
2. 规则：BR-57cc4256d7f6cadd
3. 未动态验证</x:v>
      </x:c>
    </x:row>
    <x:row r="9" ht="70" customHeight="1">
      <x:c r="A9" s="10" t="n">
        <x:v>8</x:v>
      </x:c>
      <x:c r="B9" s="10" t="str">
        <x:v>ADMIN-02-0003</x:v>
      </x:c>
      <x:c r="C9" s="10" t="str">
        <x:v>用户管理</x:v>
      </x:c>
      <x:c r="D9" s="10" t="str">
        <x:v>用户列表（平台管理员视角）</x:v>
      </x:c>
      <x:c r="E9" s="10" t="str">
        <x:v>功能需求</x:v>
      </x:c>
      <x:c r="F9" s="10" t="str">
        <x:v>P2</x:v>
      </x:c>
      <x:c r="G9" s="9" t="str">
        <x:v>验证用户列表读取账号状态</x:v>
      </x:c>
      <x:c r="H9" s="9" t="str">
        <x:v>账号状态回显</x:v>
      </x:c>
      <x:c r="I9" s="9" t="str">
        <x:v>1. 执行角色为平台管理员
2. 当前所选用户账号的账号状态为“封禁”</x:v>
      </x:c>
      <x:c r="J9" s="9" t="str">
        <x:v>1. 进入用户列表
2. 查看账号状态</x:v>
      </x:c>
      <x:c r="K9" s="9" t="str">
        <x:v>账号状态显示“封禁”</x:v>
      </x:c>
      <x:c r="L9" s="10" t="str"/>
      <x:c r="M9" s="10" t="str">
        <x:v>未测</x:v>
      </x:c>
      <x:c r="N9" s="10" t="str"/>
      <x:c r="O9" s="9" t="str">
        <x:v>1. 来源（当前证据）：liveshow-proto/MainBasis/统一需求文档.md；位置：行2545
2. 规则：BR-d7506f4a0fac0755
3. 未动态验证</x:v>
      </x:c>
    </x:row>
    <x:row r="10" ht="70" customHeight="1">
      <x:c r="A10" s="10" t="n">
        <x:v>9</x:v>
      </x:c>
      <x:c r="B10" s="10" t="str">
        <x:v>ADMIN-02-0004</x:v>
      </x:c>
      <x:c r="C10" s="10" t="str">
        <x:v>用户管理</x:v>
      </x:c>
      <x:c r="D10" s="10" t="str">
        <x:v>用户列表（平台管理员视角）</x:v>
      </x:c>
      <x:c r="E10" s="10" t="str">
        <x:v>业务流程</x:v>
      </x:c>
      <x:c r="F10" s="10" t="str">
        <x:v>P1</x:v>
      </x:c>
      <x:c r="G10" s="9" t="str">
        <x:v>验证财富筛选上限低于下限</x:v>
      </x:c>
      <x:c r="H10" s="9" t="str">
        <x:v>财富等级区间校验</x:v>
      </x:c>
      <x:c r="I10" s="9" t="str">
        <x:v>1. 执行角色为平台管理员
2. 有用户查询权限</x:v>
      </x:c>
      <x:c r="J10" s="9" t="str">
        <x:v>1. 进入用户列表
2. 输入财富等级下限5
3. 输入上限4
4. 点击查询</x:v>
      </x:c>
      <x:c r="K10" s="9" t="str">
        <x:v>不接受上限低于下限的筛选</x:v>
      </x:c>
      <x:c r="L10" s="10" t="str"/>
      <x:c r="M10" s="10" t="str">
        <x:v>未测</x:v>
      </x:c>
      <x:c r="N10" s="10" t="str"/>
      <x:c r="O10" s="9" t="str">
        <x:v>1. 来源（当前证据）：liveshow-proto/MainBasis/统一需求文档.md；位置：行2546
2. 规则：BR-c5fd93c43fd5d562
3. 未动态验证</x:v>
      </x:c>
    </x:row>
    <x:row r="11" ht="70" customHeight="1">
      <x:c r="A11" s="10" t="n">
        <x:v>10</x:v>
      </x:c>
      <x:c r="B11" s="10" t="str">
        <x:v>ADMIN-02-0005</x:v>
      </x:c>
      <x:c r="C11" s="10" t="str">
        <x:v>用户管理</x:v>
      </x:c>
      <x:c r="D11" s="10" t="str">
        <x:v>用户列表（平台管理员视角）</x:v>
      </x:c>
      <x:c r="E11" s="10" t="str">
        <x:v>业务流程</x:v>
      </x:c>
      <x:c r="F11" s="10" t="str">
        <x:v>P1</x:v>
      </x:c>
      <x:c r="G11" s="9" t="str">
        <x:v>验证财富等级筛选负数</x:v>
      </x:c>
      <x:c r="H11" s="9" t="str">
        <x:v>财富等级非负校验</x:v>
      </x:c>
      <x:c r="I11" s="9" t="str">
        <x:v>1. 执行角色为平台管理员
2. 有用户查询权限</x:v>
      </x:c>
      <x:c r="J11" s="9" t="str">
        <x:v>1. 进入用户列表
2. 输入财富等级下限-1
3. 点击查询</x:v>
      </x:c>
      <x:c r="K11" s="9" t="str">
        <x:v>不接受负数等级条件</x:v>
      </x:c>
      <x:c r="L11" s="10" t="str"/>
      <x:c r="M11" s="10" t="str">
        <x:v>未测</x:v>
      </x:c>
      <x:c r="N11" s="10" t="str"/>
      <x:c r="O11" s="9" t="str">
        <x:v>1. 来源（当前证据）：liveshow-proto/MainBasis/统一需求文档.md；位置：行2546
2. 规则：BR-e7c36dae13aa0304
3. 未动态验证</x:v>
      </x:c>
    </x:row>
    <x:row r="12" ht="115" customHeight="1">
      <x:c r="A12" s="10" t="n">
        <x:v>11</x:v>
      </x:c>
      <x:c r="B12" s="10" t="str">
        <x:v>ADMIN-02-0006</x:v>
      </x:c>
      <x:c r="C12" s="10" t="str">
        <x:v>用户管理</x:v>
      </x:c>
      <x:c r="D12" s="10" t="str">
        <x:v>用户列表（平台管理员视角）</x:v>
      </x:c>
      <x:c r="E12" s="10" t="str">
        <x:v>业务流程</x:v>
      </x:c>
      <x:c r="F12" s="10" t="str">
        <x:v>P1</x:v>
      </x:c>
      <x:c r="G12" s="9" t="str">
        <x:v>验证无有效公会显示横线</x:v>
      </x:c>
      <x:c r="H12" s="9" t="str">
        <x:v>无公会关系占位</x:v>
      </x:c>
      <x:c r="I12" s="9" t="str">
        <x:v>1. 执行角色为平台管理员
2. 用户甲无当前有效公会关系</x:v>
      </x:c>
      <x:c r="J12" s="9" t="str">
        <x:v>1. 进入用户列表
2. 查询甲</x:v>
      </x:c>
      <x:c r="K12" s="9" t="str">
        <x:v>所属公会显示“-”</x:v>
      </x:c>
      <x:c r="L12" s="10" t="str"/>
      <x:c r="M12" s="10" t="str">
        <x:v>未测</x:v>
      </x:c>
      <x:c r="N12" s="10" t="str"/>
      <x:c r="O12" s="9" t="str">
        <x:v>1. 来源（当前证据）：liveshow-proto/MainBasis/统一需求文档.md；位置：行2550
2. 规则：BR-6b04b1a4153cd273
3. 未动态验证
4. 数据别名：甲、乙、丙用于区分本条测试对象；按前置条件准备并记录实际账号或记录 ID，不是固定业务名称。</x:v>
      </x:c>
    </x:row>
    <x:row r="13" ht="115" customHeight="1">
      <x:c r="A13" s="10" t="n">
        <x:v>12</x:v>
      </x:c>
      <x:c r="B13" s="10" t="str">
        <x:v>ADMIN-02-0007</x:v>
      </x:c>
      <x:c r="C13" s="10" t="str">
        <x:v>用户管理</x:v>
      </x:c>
      <x:c r="D13" s="10" t="str">
        <x:v>用户列表（平台管理员视角）</x:v>
      </x:c>
      <x:c r="E13" s="10" t="str">
        <x:v>功能需求</x:v>
      </x:c>
      <x:c r="F13" s="10" t="str">
        <x:v>P2</x:v>
      </x:c>
      <x:c r="G13" s="9" t="str">
        <x:v>验证注册起始日期包含边界用户</x:v>
      </x:c>
      <x:c r="H13" s="9" t="str">
        <x:v>注册筛选开始边界</x:v>
      </x:c>
      <x:c r="I13" s="9" t="str">
        <x:v>1. 执行角色为平台管理员
2. 用户甲注册于2026年9月1日00:00，乙在8月31日23:59:59</x:v>
      </x:c>
      <x:c r="J13" s="9" t="str">
        <x:v>1. 进入用户列表
2. 选择注册日期9月1日至2日
3. 点击查询</x:v>
      </x:c>
      <x:c r="K13" s="9" t="str">
        <x:v>结果包含甲</x:v>
      </x:c>
      <x:c r="L13" s="10" t="str"/>
      <x:c r="M13" s="10" t="str">
        <x:v>未测</x:v>
      </x:c>
      <x:c r="N13" s="10" t="str"/>
      <x:c r="O13" s="9" t="str">
        <x:v>1. 来源（当前证据）：liveshow-proto/MainBasis/统一需求文档.md；位置：行2551
2. 规则：BR-dff5a632946a5365
3. 未动态验证
4. 数据别名：甲、乙、丙用于区分本条测试对象；按前置条件准备并记录实际账号或记录 ID，不是固定业务名称。</x:v>
      </x:c>
    </x:row>
    <x:row r="14" ht="115" customHeight="1">
      <x:c r="A14" s="10" t="n">
        <x:v>13</x:v>
      </x:c>
      <x:c r="B14" s="10" t="str">
        <x:v>ADMIN-02-0008</x:v>
      </x:c>
      <x:c r="C14" s="10" t="str">
        <x:v>用户管理</x:v>
      </x:c>
      <x:c r="D14" s="10" t="str">
        <x:v>用户列表（平台管理员视角）</x:v>
      </x:c>
      <x:c r="E14" s="10" t="str">
        <x:v>功能需求</x:v>
      </x:c>
      <x:c r="F14" s="10" t="str">
        <x:v>P2</x:v>
      </x:c>
      <x:c r="G14" s="9" t="str">
        <x:v>验证注册结束日期包含当日用户</x:v>
      </x:c>
      <x:c r="H14" s="9" t="str">
        <x:v>注册筛选结束边界</x:v>
      </x:c>
      <x:c r="I14" s="9" t="str">
        <x:v>1. 执行角色为平台管理员
2. 用户甲注册于9月2日23:59:59，乙9月3日00:00</x:v>
      </x:c>
      <x:c r="J14" s="9" t="str">
        <x:v>1. 进入用户列表
2. 选择注册日期9月1日至2日
3. 点击查询</x:v>
      </x:c>
      <x:c r="K14" s="9" t="str">
        <x:v>结果不包含乙</x:v>
      </x:c>
      <x:c r="L14" s="10" t="str"/>
      <x:c r="M14" s="10" t="str">
        <x:v>未测</x:v>
      </x:c>
      <x:c r="N14" s="10" t="str"/>
      <x:c r="O14" s="9" t="str">
        <x:v>1. 来源（当前证据）：liveshow-proto/MainBasis/统一需求文档.md；位置：行2551
2. 规则：BR-c0477703a137daf1
3. 未动态验证
4. 数据别名：甲、乙、丙用于区分本条测试对象；按前置条件准备并记录实际账号或记录 ID，不是固定业务名称。</x:v>
      </x:c>
    </x:row>
    <x:row r="15" ht="160" customHeight="1">
      <x:c r="A15" s="10" t="n">
        <x:v>14</x:v>
      </x:c>
      <x:c r="B15" s="10" t="str">
        <x:v>ADMIN-02-0009</x:v>
      </x:c>
      <x:c r="C15" s="10" t="str">
        <x:v>用户管理</x:v>
      </x:c>
      <x:c r="D15" s="10" t="str">
        <x:v>用户列表（平台管理员视角）</x:v>
      </x:c>
      <x:c r="E15" s="10" t="str">
        <x:v>业务流程</x:v>
      </x:c>
      <x:c r="F15" s="10" t="str">
        <x:v>P1</x:v>
      </x:c>
      <x:c r="G15" s="9" t="str">
        <x:v>验证平台封禁正常用户</x:v>
      </x:c>
      <x:c r="H15" s="9" t="str">
        <x:v>账号封禁状态</x:v>
      </x:c>
      <x:c r="I15" s="9" t="str">
        <x:v>1. 执行角色为平台管理员
2. 用户甲正常；管理员有用户处置权限</x:v>
      </x:c>
      <x:c r="J15" s="9" t="str">
        <x:v>1. 进入用户列表
2. 查询用户甲
3. 点击封禁
4. 填写原因“测试违规处置”
5. 点击确认</x:v>
      </x:c>
      <x:c r="K15" s="9" t="str">
        <x:v>账号甲状态变为封禁</x:v>
      </x:c>
      <x:c r="L15" s="10" t="str">
        <x:v>FLOW-ACCOUNT</x:v>
      </x:c>
      <x:c r="M15" s="10" t="str">
        <x:v>未测</x:v>
      </x:c>
      <x:c r="N15" s="10" t="str"/>
      <x:c r="O15" s="9" t="str">
        <x:v>1. 来源（当前证据）：liveshow-proto/MainBasis/统一需求文档.md；位置：行2552、行2554
2. 规则：BR-d0d47e358d6385ce
3. 未动态验证
4. 状态转换：ST-ACCOUNT-BAN；按同一业务对象的数据别名准备对应上下游记录
5. 数据别名：甲、乙、丙用于区分本条测试对象；按前置条件准备并记录实际账号或记录 ID，不是固定业务名称。</x:v>
      </x:c>
    </x:row>
    <x:row r="16" ht="115" customHeight="1">
      <x:c r="A16" s="10" t="n">
        <x:v>15</x:v>
      </x:c>
      <x:c r="B16" s="10" t="str">
        <x:v>ADMIN-02-0010</x:v>
      </x:c>
      <x:c r="C16" s="10" t="str">
        <x:v>用户管理</x:v>
      </x:c>
      <x:c r="D16" s="10" t="str">
        <x:v>用户列表（平台管理员视角）</x:v>
      </x:c>
      <x:c r="E16" s="10" t="str">
        <x:v>业务流程</x:v>
      </x:c>
      <x:c r="F16" s="10" t="str">
        <x:v>P1</x:v>
      </x:c>
      <x:c r="G16" s="9" t="str">
        <x:v>验证用户组合查询取交集</x:v>
      </x:c>
      <x:c r="H16" s="9" t="str">
        <x:v>用户查询条件交集</x:v>
      </x:c>
      <x:c r="I16" s="9" t="str">
        <x:v>1. 执行角色为平台管理员
2. 甲正常等级3，乙封禁等级3，丙正常等级5</x:v>
      </x:c>
      <x:c r="J16" s="9" t="str">
        <x:v>1. 进入用户列表
2. 选择账号状态正常
3. 输入等级上下限3
4. 点击查询</x:v>
      </x:c>
      <x:c r="K16" s="9" t="str">
        <x:v>列表只包含甲</x:v>
      </x:c>
      <x:c r="L16" s="10" t="str"/>
      <x:c r="M16" s="10" t="str">
        <x:v>未测</x:v>
      </x:c>
      <x:c r="N16" s="10" t="str"/>
      <x:c r="O16" s="9" t="str">
        <x:v>1. 来源（当前证据）：liveshow-proto/MainBasis/统一需求文档.md；位置：行2553
2. 规则：BR-024e74458a2c9ac5
3. 未动态验证
4. 数据别名：甲、乙、丙用于区分本条测试对象；按前置条件准备并记录实际账号或记录 ID，不是固定业务名称。</x:v>
      </x:c>
    </x:row>
    <x:row r="17" ht="115" customHeight="1">
      <x:c r="A17" s="10" t="n">
        <x:v>16</x:v>
      </x:c>
      <x:c r="B17" s="10" t="str">
        <x:v>ADMIN-02-0011</x:v>
      </x:c>
      <x:c r="C17" s="10" t="str">
        <x:v>用户管理</x:v>
      </x:c>
      <x:c r="D17" s="10" t="str">
        <x:v>用户列表（平台管理员视角）</x:v>
      </x:c>
      <x:c r="E17" s="10" t="str">
        <x:v>业务流程</x:v>
      </x:c>
      <x:c r="F17" s="10" t="str">
        <x:v>P1</x:v>
      </x:c>
      <x:c r="G17" s="9" t="str">
        <x:v>验证用户导出保持当前筛选</x:v>
      </x:c>
      <x:c r="H17" s="9" t="str">
        <x:v>用户导出数据范围</x:v>
      </x:c>
      <x:c r="I17" s="9" t="str">
        <x:v>1. 执行角色为平台管理员
2. 已按封禁状态筛选得到甲乙两条；有导出权限</x:v>
      </x:c>
      <x:c r="J17" s="9" t="str">
        <x:v>1. 进入用户列表
2. 点击导出
3. 打开导出文件</x:v>
      </x:c>
      <x:c r="K17" s="9" t="str">
        <x:v>文件数据仅包含甲乙两条</x:v>
      </x:c>
      <x:c r="L17" s="10" t="str"/>
      <x:c r="M17" s="10" t="str">
        <x:v>未测</x:v>
      </x:c>
      <x:c r="N17" s="10" t="str"/>
      <x:c r="O17" s="9" t="str">
        <x:v>1. 来源（当前证据）：liveshow-proto/MainBasis/统一需求文档.md；位置：行2553
2. 规则：BR-9a2dedde15e6409c
3. 未动态验证
4. 数据别名：甲、乙、丙用于区分本条测试对象；按前置条件准备并记录实际账号或记录 ID，不是固定业务名称。</x:v>
      </x:c>
    </x:row>
    <x:row r="18" ht="160" customHeight="1">
      <x:c r="A18" s="10" t="n">
        <x:v>17</x:v>
      </x:c>
      <x:c r="B18" s="10" t="str">
        <x:v>ADMIN-02-0012</x:v>
      </x:c>
      <x:c r="C18" s="10" t="str">
        <x:v>用户管理</x:v>
      </x:c>
      <x:c r="D18" s="10" t="str">
        <x:v>用户列表（平台管理员视角）</x:v>
      </x:c>
      <x:c r="E18" s="10" t="str">
        <x:v>业务流程</x:v>
      </x:c>
      <x:c r="F18" s="10" t="str">
        <x:v>P1</x:v>
      </x:c>
      <x:c r="G18" s="9" t="str">
        <x:v>验证解封账号只恢复账号状态</x:v>
      </x:c>
      <x:c r="H18" s="9" t="str">
        <x:v>账号解封状态</x:v>
      </x:c>
      <x:c r="I18" s="9" t="str">
        <x:v>1. 执行角色为平台管理员
2. 甲已封禁；平台直播权限也已关闭</x:v>
      </x:c>
      <x:c r="J18" s="9" t="str">
        <x:v>1. 进入用户详情
2. 点击解封
3. 填写原因“复核解除账号封禁”
4. 点击确认</x:v>
      </x:c>
      <x:c r="K18" s="9" t="str">
        <x:v>账号状态恢复正常</x:v>
      </x:c>
      <x:c r="L18" s="10" t="str">
        <x:v>FLOW-ACCOUNT</x:v>
      </x:c>
      <x:c r="M18" s="10" t="str">
        <x:v>未测</x:v>
      </x:c>
      <x:c r="N18" s="10" t="str"/>
      <x:c r="O18" s="9" t="str">
        <x:v>1. 来源（当前证据）：liveshow-proto/MainBasis/统一需求文档.md；位置：行2554、行2566
2. 规则：BR-37328e008d10b41c
3. 未动态验证
4. 状态转换：ST-ACCOUNT-UNBAN；按同一业务对象的数据别名准备对应上下游记录
5. 数据别名：甲、乙、丙用于区分本条测试对象；按前置条件准备并记录实际账号或记录 ID，不是固定业务名称。</x:v>
      </x:c>
    </x:row>
    <x:row r="19" ht="115" customHeight="1">
      <x:c r="A19" s="10" t="n">
        <x:v>18</x:v>
      </x:c>
      <x:c r="B19" s="10" t="str">
        <x:v>ADMIN-02-0013</x:v>
      </x:c>
      <x:c r="C19" s="10" t="str">
        <x:v>用户管理</x:v>
      </x:c>
      <x:c r="D19" s="10" t="str">
        <x:v>用户详情（平台管理员视角）</x:v>
      </x:c>
      <x:c r="E19" s="10" t="str">
        <x:v>业务流程</x:v>
      </x:c>
      <x:c r="F19" s="10" t="str">
        <x:v>P1</x:v>
      </x:c>
      <x:c r="G19" s="9" t="str">
        <x:v>验证用户详情读取当前资料</x:v>
      </x:c>
      <x:c r="H19" s="9" t="str">
        <x:v>用户资料当前值</x:v>
      </x:c>
      <x:c r="I19" s="9" t="str">
        <x:v>1. 执行角色为平台管理员
2. 用户甲昵称已从旧名变为新名</x:v>
      </x:c>
      <x:c r="J19" s="9" t="str">
        <x:v>1. 进入用户甲详情</x:v>
      </x:c>
      <x:c r="K19" s="9" t="str">
        <x:v>昵称显示新名</x:v>
      </x:c>
      <x:c r="L19" s="10" t="str"/>
      <x:c r="M19" s="10" t="str">
        <x:v>未测</x:v>
      </x:c>
      <x:c r="N19" s="10" t="str"/>
      <x:c r="O19" s="9" t="str">
        <x:v>1. 来源（当前证据）：liveshow-proto/MainBasis/统一需求文档.md；位置：行2559
2. 规则：BR-e70e6170c4f60252
3. 未动态验证
4. 数据别名：甲、乙、丙用于区分本条测试对象；按前置条件准备并记录实际账号或记录 ID，不是固定业务名称。</x:v>
      </x:c>
    </x:row>
    <x:row r="20" ht="70" customHeight="1">
      <x:c r="A20" s="10" t="n">
        <x:v>19</x:v>
      </x:c>
      <x:c r="B20" s="10" t="str">
        <x:v>ADMIN-02-0014</x:v>
      </x:c>
      <x:c r="C20" s="10" t="str">
        <x:v>用户管理</x:v>
      </x:c>
      <x:c r="D20" s="10" t="str">
        <x:v>用户详情（平台管理员视角）</x:v>
      </x:c>
      <x:c r="E20" s="10" t="str">
        <x:v>功能需求</x:v>
      </x:c>
      <x:c r="F20" s="10" t="str">
        <x:v>P2</x:v>
      </x:c>
      <x:c r="G20" s="9" t="str">
        <x:v>验证用户详情读取地区</x:v>
      </x:c>
      <x:c r="H20" s="9" t="str">
        <x:v>地区回显</x:v>
      </x:c>
      <x:c r="I20" s="9" t="str">
        <x:v>1. 执行角色为平台管理员
2. 所选用户当前资料的地区为“Jakarta”</x:v>
      </x:c>
      <x:c r="J20" s="9" t="str">
        <x:v>1. 进入用户详情
2. 查看地区</x:v>
      </x:c>
      <x:c r="K20" s="9" t="str">
        <x:v>地区显示“Jakarta”</x:v>
      </x:c>
      <x:c r="L20" s="10" t="str"/>
      <x:c r="M20" s="10" t="str">
        <x:v>未测</x:v>
      </x:c>
      <x:c r="N20" s="10" t="str"/>
      <x:c r="O20" s="9" t="str">
        <x:v>1. 来源（当前证据）：liveshow-proto/MainBasis/统一需求文档.md；位置：行2559
2. 规则：BR-a2c7c3bba8fa362b
3. 未动态验证</x:v>
      </x:c>
    </x:row>
    <x:row r="21" ht="70" customHeight="1">
      <x:c r="A21" s="10" t="n">
        <x:v>20</x:v>
      </x:c>
      <x:c r="B21" s="10" t="str">
        <x:v>ADMIN-02-0015</x:v>
      </x:c>
      <x:c r="C21" s="10" t="str">
        <x:v>用户管理</x:v>
      </x:c>
      <x:c r="D21" s="10" t="str">
        <x:v>用户详情（平台管理员视角）</x:v>
      </x:c>
      <x:c r="E21" s="10" t="str">
        <x:v>功能需求</x:v>
      </x:c>
      <x:c r="F21" s="10" t="str">
        <x:v>P2</x:v>
      </x:c>
      <x:c r="G21" s="9" t="str">
        <x:v>验证用户详情读取手机号</x:v>
      </x:c>
      <x:c r="H21" s="9" t="str">
        <x:v>手机号回显</x:v>
      </x:c>
      <x:c r="I21" s="9" t="str">
        <x:v>1. 执行角色为平台管理员
2. 所选用户当前绑定手机的手机号为“+6281234567890”</x:v>
      </x:c>
      <x:c r="J21" s="9" t="str">
        <x:v>1. 进入用户详情
2. 查看手机号</x:v>
      </x:c>
      <x:c r="K21" s="9" t="str">
        <x:v>手机号显示“+6281234567890”</x:v>
      </x:c>
      <x:c r="L21" s="10" t="str"/>
      <x:c r="M21" s="10" t="str">
        <x:v>未测</x:v>
      </x:c>
      <x:c r="N21" s="10" t="str"/>
      <x:c r="O21" s="9" t="str">
        <x:v>1. 来源（当前证据）：liveshow-proto/MainBasis/统一需求文档.md；位置：行2559
2. 规则：BR-9242cd466fe6dd36
3. 未动态验证</x:v>
      </x:c>
    </x:row>
    <x:row r="22" ht="130" customHeight="1">
      <x:c r="A22" s="10" t="n">
        <x:v>21</x:v>
      </x:c>
      <x:c r="B22" s="10" t="str">
        <x:v>ADMIN-02-0016</x:v>
      </x:c>
      <x:c r="C22" s="10" t="str">
        <x:v>用户管理</x:v>
      </x:c>
      <x:c r="D22" s="10" t="str">
        <x:v>用户详情（平台管理员视角）</x:v>
      </x:c>
      <x:c r="E22" s="10" t="str">
        <x:v>功能需求</x:v>
      </x:c>
      <x:c r="F22" s="10" t="str">
        <x:v>P2</x:v>
      </x:c>
      <x:c r="G22" s="9" t="str">
        <x:v>验证用户详情读取支付渠道</x:v>
      </x:c>
      <x:c r="H22" s="9" t="str">
        <x:v>支付渠道回显</x:v>
      </x:c>
      <x:c r="I22" s="9" t="str">
        <x:v>1. 执行角色为平台管理员
2. 所选充值流水的实际渠道的支付渠道为“测试支付渠道”
3. 环境准备要求：支付测试渠道、测试账号及本条所需支付或退款回调当前未具备；执行前由技术提供并确认仅影响测试交易</x:v>
      </x:c>
      <x:c r="J22" s="9" t="str">
        <x:v>1. 进入用户详情
2. 查看支付渠道</x:v>
      </x:c>
      <x:c r="K22" s="9" t="str">
        <x:v>支付渠道显示“测试支付渠道”</x:v>
      </x:c>
      <x:c r="L22" s="10" t="str"/>
      <x:c r="M22" s="10" t="str">
        <x:v>未测</x:v>
      </x:c>
      <x:c r="N22" s="10" t="str"/>
      <x:c r="O22" s="9" t="str">
        <x:v>1. 来源（当前证据）：liveshow-proto/MainBasis/统一需求文档.md；位置：行2561
2. 规则：BR-add1a8e2683638c9
3. 未动态验证</x:v>
      </x:c>
    </x:row>
    <x:row r="23" ht="115" customHeight="1">
      <x:c r="A23" s="10" t="n">
        <x:v>22</x:v>
      </x:c>
      <x:c r="B23" s="10" t="str">
        <x:v>ADMIN-02-0017</x:v>
      </x:c>
      <x:c r="C23" s="10" t="str">
        <x:v>用户管理</x:v>
      </x:c>
      <x:c r="D23" s="10" t="str">
        <x:v>用户详情（平台管理员视角）</x:v>
      </x:c>
      <x:c r="E23" s="10" t="str">
        <x:v>业务流程</x:v>
      </x:c>
      <x:c r="F23" s="10" t="str">
        <x:v>P1</x:v>
      </x:c>
      <x:c r="G23" s="9" t="str">
        <x:v>验证用户消费流水不可编辑</x:v>
      </x:c>
      <x:c r="H23" s="9" t="str">
        <x:v>消费流水编辑权限</x:v>
      </x:c>
      <x:c r="I23" s="9" t="str">
        <x:v>1. 执行角色为平台管理员
2. 用户甲有成功消费订单</x:v>
      </x:c>
      <x:c r="J23" s="9" t="str">
        <x:v>1. 进入用户甲详情
2. 切换消费流水
3. 打开该订单</x:v>
      </x:c>
      <x:c r="K23" s="9" t="str">
        <x:v>消费流水只读</x:v>
      </x:c>
      <x:c r="L23" s="10" t="str"/>
      <x:c r="M23" s="10" t="str">
        <x:v>未测</x:v>
      </x:c>
      <x:c r="N23" s="10" t="str"/>
      <x:c r="O23" s="9" t="str">
        <x:v>1. 来源（当前证据）：liveshow-proto/MainBasis/统一需求文档.md；位置：行2562
2. 规则：BR-59fa80e84a97b14c
3. 未动态验证
4. 数据别名：甲、乙、丙用于区分本条测试对象；按前置条件准备并记录实际账号或记录 ID，不是固定业务名称。</x:v>
      </x:c>
    </x:row>
    <x:row r="24" ht="70" customHeight="1">
      <x:c r="A24" s="10" t="n">
        <x:v>23</x:v>
      </x:c>
      <x:c r="B24" s="10" t="str">
        <x:v>ADMIN-02-0018</x:v>
      </x:c>
      <x:c r="C24" s="10" t="str">
        <x:v>用户管理</x:v>
      </x:c>
      <x:c r="D24" s="10" t="str">
        <x:v>用户详情（平台管理员视角）</x:v>
      </x:c>
      <x:c r="E24" s="10" t="str">
        <x:v>功能需求</x:v>
      </x:c>
      <x:c r="F24" s="10" t="str">
        <x:v>P2</x:v>
      </x:c>
      <x:c r="G24" s="9" t="str">
        <x:v>验证用户详情读取设备系统</x:v>
      </x:c>
      <x:c r="H24" s="9" t="str">
        <x:v>设备系统回显</x:v>
      </x:c>
      <x:c r="I24" s="9" t="str">
        <x:v>1. 执行角色为平台管理员
2. 所选登录设备实际记录的设备系统为“Android”</x:v>
      </x:c>
      <x:c r="J24" s="9" t="str">
        <x:v>1. 进入用户详情
2. 查看设备系统</x:v>
      </x:c>
      <x:c r="K24" s="9" t="str">
        <x:v>设备系统显示“Android”</x:v>
      </x:c>
      <x:c r="L24" s="10" t="str"/>
      <x:c r="M24" s="10" t="str">
        <x:v>未测</x:v>
      </x:c>
      <x:c r="N24" s="10" t="str"/>
      <x:c r="O24" s="9" t="str">
        <x:v>1. 来源（当前证据）：liveshow-proto/MainBasis/统一需求文档.md；位置：行2563
2. 规则：BR-43643411e513da02
3. 未动态验证</x:v>
      </x:c>
    </x:row>
    <x:row r="25" ht="70" customHeight="1">
      <x:c r="A25" s="10" t="n">
        <x:v>24</x:v>
      </x:c>
      <x:c r="B25" s="10" t="str">
        <x:v>ADMIN-02-0019</x:v>
      </x:c>
      <x:c r="C25" s="10" t="str">
        <x:v>用户管理</x:v>
      </x:c>
      <x:c r="D25" s="10" t="str">
        <x:v>用户详情（平台管理员视角）</x:v>
      </x:c>
      <x:c r="E25" s="10" t="str">
        <x:v>功能需求</x:v>
      </x:c>
      <x:c r="F25" s="10" t="str">
        <x:v>P2</x:v>
      </x:c>
      <x:c r="G25" s="9" t="str">
        <x:v>验证用户详情读取应用版本</x:v>
      </x:c>
      <x:c r="H25" s="9" t="str">
        <x:v>应用版本回显</x:v>
      </x:c>
      <x:c r="I25" s="9" t="str">
        <x:v>1. 执行角色为平台管理员
2. 所选登录设备实际记录的应用版本为“1.0.0”</x:v>
      </x:c>
      <x:c r="J25" s="9" t="str">
        <x:v>1. 进入用户详情
2. 查看应用版本</x:v>
      </x:c>
      <x:c r="K25" s="9" t="str">
        <x:v>应用版本显示“1.0.0”</x:v>
      </x:c>
      <x:c r="L25" s="10" t="str"/>
      <x:c r="M25" s="10" t="str">
        <x:v>未测</x:v>
      </x:c>
      <x:c r="N25" s="10" t="str"/>
      <x:c r="O25" s="9" t="str">
        <x:v>1. 来源（当前证据）：liveshow-proto/MainBasis/统一需求文档.md；位置：行2563
2. 规则：BR-1ae8c929fbd3d816
3. 未动态验证</x:v>
      </x:c>
    </x:row>
    <x:row r="26" ht="115" customHeight="1">
      <x:c r="A26" s="10" t="n">
        <x:v>25</x:v>
      </x:c>
      <x:c r="B26" s="10" t="str">
        <x:v>ADMIN-02-0020</x:v>
      </x:c>
      <x:c r="C26" s="10" t="str">
        <x:v>用户管理</x:v>
      </x:c>
      <x:c r="D26" s="10" t="str">
        <x:v>用户详情（平台管理员视角）</x:v>
      </x:c>
      <x:c r="E26" s="10" t="str">
        <x:v>业务流程</x:v>
      </x:c>
      <x:c r="F26" s="10" t="str">
        <x:v>P1</x:v>
      </x:c>
      <x:c r="G26" s="9" t="str">
        <x:v>验证用户关系统计不使用历史累计</x:v>
      </x:c>
      <x:c r="H26" s="9" t="str">
        <x:v>有效社交关系范围</x:v>
      </x:c>
      <x:c r="I26" s="9" t="str">
        <x:v>1. 执行角色为平台管理员
2. 用户甲曾关注3人，已取关1人，当前关注2人</x:v>
      </x:c>
      <x:c r="J26" s="9" t="str">
        <x:v>1. 进入用户甲详情
2. 查看关注</x:v>
      </x:c>
      <x:c r="K26" s="9" t="str">
        <x:v>关注数为2</x:v>
      </x:c>
      <x:c r="L26" s="10" t="str"/>
      <x:c r="M26" s="10" t="str">
        <x:v>未测</x:v>
      </x:c>
      <x:c r="N26" s="10" t="str"/>
      <x:c r="O26" s="9" t="str">
        <x:v>1. 来源（当前证据）：liveshow-proto/MainBasis/统一需求文档.md；位置：行2564
2. 规则：BR-5b45149718bc4670
3. 未动态验证
4. 数据别名：甲、乙、丙用于区分本条测试对象；按前置条件准备并记录实际账号或记录 ID，不是固定业务名称。</x:v>
      </x:c>
    </x:row>
    <x:row r="27" ht="130" customHeight="1">
      <x:c r="A27" s="10" t="n">
        <x:v>26</x:v>
      </x:c>
      <x:c r="B27" s="10" t="str">
        <x:v>ADMIN-02-0021</x:v>
      </x:c>
      <x:c r="C27" s="10" t="str">
        <x:v>用户管理</x:v>
      </x:c>
      <x:c r="D27" s="10" t="str">
        <x:v>用户详情（平台管理员视角）</x:v>
      </x:c>
      <x:c r="E27" s="10" t="str">
        <x:v>业务流程</x:v>
      </x:c>
      <x:c r="F27" s="10" t="str">
        <x:v>P1</x:v>
      </x:c>
      <x:c r="G27" s="9" t="str">
        <x:v>验证解封不自动恢复直播权限</x:v>
      </x:c>
      <x:c r="H27" s="9" t="str">
        <x:v>解封与开播权限隔离</x:v>
      </x:c>
      <x:c r="I27" s="9" t="str">
        <x:v>1. 执行角色为平台管理员
2. 主播甲被封禁且平台直播权限关闭</x:v>
      </x:c>
      <x:c r="J27" s="9" t="str">
        <x:v>1. 进入用户详情
2. 点击解封甲
3. 填写原因“解除账号封禁”
4. 点击确认
5. 进入主播甲详情</x:v>
      </x:c>
      <x:c r="K27" s="9" t="str">
        <x:v>平台直播权限仍关闭</x:v>
      </x:c>
      <x:c r="L27" s="10" t="str"/>
      <x:c r="M27" s="10" t="str">
        <x:v>未测</x:v>
      </x:c>
      <x:c r="N27" s="10" t="str"/>
      <x:c r="O27" s="9" t="str">
        <x:v>1. 来源（当前证据）：liveshow-proto/MainBasis/统一需求文档.md；位置：行2566、行2590
2. 规则：BR-41ae13a91e5b7fee
3. 未动态验证
4. 数据别名：甲、乙、丙用于区分本条测试对象；按前置条件准备并记录实际账号或记录 ID，不是固定业务名称。</x:v>
      </x:c>
    </x:row>
    <x:row r="28" ht="115" customHeight="1">
      <x:c r="A28" s="10" t="n">
        <x:v>27</x:v>
      </x:c>
      <x:c r="B28" s="10" t="str">
        <x:v>ADMIN-02-0022</x:v>
      </x:c>
      <x:c r="C28" s="10" t="str">
        <x:v>用户管理</x:v>
      </x:c>
      <x:c r="D28" s="10" t="str">
        <x:v>用户详情（平台管理员视角）</x:v>
      </x:c>
      <x:c r="E28" s="10" t="str">
        <x:v>功能需求</x:v>
      </x:c>
      <x:c r="F28" s="10" t="str">
        <x:v>P2</x:v>
      </x:c>
      <x:c r="G28" s="9" t="str">
        <x:v>验证封禁处置必须有原因</x:v>
      </x:c>
      <x:c r="H28" s="9" t="str">
        <x:v>账号处置原因必填</x:v>
      </x:c>
      <x:c r="I28" s="9" t="str">
        <x:v>1. 执行角色为平台管理员
2. 正常账号甲存在，管理员有封禁权限</x:v>
      </x:c>
      <x:c r="J28" s="9" t="str">
        <x:v>1. 进入甲详情
2. 点击封禁
3. 清空原因
4. 点击确认</x:v>
      </x:c>
      <x:c r="K28" s="9" t="str">
        <x:v>不完成本次封禁</x:v>
      </x:c>
      <x:c r="L28" s="10" t="str"/>
      <x:c r="M28" s="10" t="str">
        <x:v>未测</x:v>
      </x:c>
      <x:c r="N28" s="10" t="str"/>
      <x:c r="O28" s="9" t="str">
        <x:v>1. 来源（当前证据）：liveshow-proto/MainBasis/统一需求文档.md；位置：行2568
2. 规则：BR-264003dadee65bc8
3. 未动态验证
4. 数据别名：甲、乙、丙用于区分本条测试对象；按前置条件准备并记录实际账号或记录 ID，不是固定业务名称。</x:v>
      </x:c>
    </x:row>
    <x:row r="29" ht="115" customHeight="1">
      <x:c r="A29" s="10" t="n">
        <x:v>28</x:v>
      </x:c>
      <x:c r="B29" s="10" t="str">
        <x:v>ADMIN-03-0001</x:v>
      </x:c>
      <x:c r="C29" s="10" t="str">
        <x:v>主播管理</x:v>
      </x:c>
      <x:c r="D29" s="10" t="str">
        <x:v>主播审核（平台管理员视角）</x:v>
      </x:c>
      <x:c r="E29" s="10" t="str">
        <x:v>业务流程</x:v>
      </x:c>
      <x:c r="F29" s="10" t="str">
        <x:v>P1</x:v>
      </x:c>
      <x:c r="G29" s="9" t="str">
        <x:v>验证重复申请具有新的申请单号</x:v>
      </x:c>
      <x:c r="H29" s="9" t="str">
        <x:v>重新认证单号隔离</x:v>
      </x:c>
      <x:c r="I29" s="9" t="str">
        <x:v>1. 执行角色为平台管理员
2. 申请甲曾被驳回；同用户重新经公会审核后形成乙</x:v>
      </x:c>
      <x:c r="J29" s="9" t="str">
        <x:v>1. 进入主播审核
2. 打开申请乙</x:v>
      </x:c>
      <x:c r="K29" s="9" t="str">
        <x:v>申请乙单号不同于甲</x:v>
      </x:c>
      <x:c r="L29" s="10" t="str"/>
      <x:c r="M29" s="10" t="str">
        <x:v>未测</x:v>
      </x:c>
      <x:c r="N29" s="10" t="str"/>
      <x:c r="O29" s="9" t="str">
        <x:v>1. 来源（当前证据）：liveshow-proto/MainBasis/统一需求文档.md；位置：行2596
2. 规则：BR-0521f4e315ca6496
3. 未动态验证
4. 数据别名：甲、乙、丙用于区分本条测试对象；按前置条件准备并记录实际账号或记录 ID，不是固定业务名称。</x:v>
      </x:c>
    </x:row>
    <x:row r="30" ht="70" customHeight="1">
      <x:c r="A30" s="10" t="n">
        <x:v>29</x:v>
      </x:c>
      <x:c r="B30" s="10" t="str">
        <x:v>ADMIN-03-0002</x:v>
      </x:c>
      <x:c r="C30" s="10" t="str">
        <x:v>主播管理</x:v>
      </x:c>
      <x:c r="D30" s="10" t="str">
        <x:v>主播审核（平台管理员视角）</x:v>
      </x:c>
      <x:c r="E30" s="10" t="str">
        <x:v>功能需求</x:v>
      </x:c>
      <x:c r="F30" s="10" t="str">
        <x:v>P2</x:v>
      </x:c>
      <x:c r="G30" s="9" t="str">
        <x:v>验证主播审核读取申请单号</x:v>
      </x:c>
      <x:c r="H30" s="9" t="str">
        <x:v>申请单号回显</x:v>
      </x:c>
      <x:c r="I30" s="9" t="str">
        <x:v>1. 执行角色为平台管理员
2. 当前平台待审申请的实际单号的申请单号为“500001”</x:v>
      </x:c>
      <x:c r="J30" s="9" t="str">
        <x:v>1. 进入主播审核
2. 查看申请单号</x:v>
      </x:c>
      <x:c r="K30" s="9" t="str">
        <x:v>申请单号显示“500001”</x:v>
      </x:c>
      <x:c r="L30" s="10" t="str"/>
      <x:c r="M30" s="10" t="str">
        <x:v>未测</x:v>
      </x:c>
      <x:c r="N30" s="10" t="str"/>
      <x:c r="O30" s="9" t="str">
        <x:v>1. 来源（当前证据）：liveshow-proto/MainBasis/统一需求文档.md；位置：行2596
2. 规则：BR-fd4b9b91725db966
3. 未动态验证</x:v>
      </x:c>
    </x:row>
    <x:row r="31" ht="115" customHeight="1">
      <x:c r="A31" s="10" t="n">
        <x:v>30</x:v>
      </x:c>
      <x:c r="B31" s="10" t="str">
        <x:v>ADMIN-03-0003</x:v>
      </x:c>
      <x:c r="C31" s="10" t="str">
        <x:v>主播管理</x:v>
      </x:c>
      <x:c r="D31" s="10" t="str">
        <x:v>主播审核（平台管理员视角）</x:v>
      </x:c>
      <x:c r="E31" s="10" t="str">
        <x:v>功能需求</x:v>
      </x:c>
      <x:c r="F31" s="10" t="str">
        <x:v>P2</x:v>
      </x:c>
      <x:c r="G31" s="9" t="str">
        <x:v>验证终审通过前身份仍为用户</x:v>
      </x:c>
      <x:c r="H31" s="9" t="str">
        <x:v>审核中的身份边界</x:v>
      </x:c>
      <x:c r="I31" s="9" t="str">
        <x:v>1. 执行角色为平台管理员
2. 甲公会初审通过，平台待审核</x:v>
      </x:c>
      <x:c r="J31" s="9" t="str">
        <x:v>1. 进入主播审核
2. 打开甲</x:v>
      </x:c>
      <x:c r="K31" s="9" t="str">
        <x:v>甲尚无已认证主播身份</x:v>
      </x:c>
      <x:c r="L31" s="10" t="str"/>
      <x:c r="M31" s="10" t="str">
        <x:v>未测</x:v>
      </x:c>
      <x:c r="N31" s="10" t="str"/>
      <x:c r="O31" s="9" t="str">
        <x:v>1. 来源（当前证据）：liveshow-proto/MainBasis/统一需求文档.md；位置：行2597
2. 规则：BR-c2c9efabe67773aa
3. 未动态验证
4. 数据别名：甲、乙、丙用于区分本条测试对象；按前置条件准备并记录实际账号或记录 ID，不是固定业务名称。</x:v>
      </x:c>
    </x:row>
    <x:row r="32" ht="70" customHeight="1">
      <x:c r="A32" s="10" t="n">
        <x:v>31</x:v>
      </x:c>
      <x:c r="B32" s="10" t="str">
        <x:v>ADMIN-03-0004</x:v>
      </x:c>
      <x:c r="C32" s="10" t="str">
        <x:v>主播管理</x:v>
      </x:c>
      <x:c r="D32" s="10" t="str">
        <x:v>主播审核（平台管理员视角）</x:v>
      </x:c>
      <x:c r="E32" s="10" t="str">
        <x:v>功能需求</x:v>
      </x:c>
      <x:c r="F32" s="10" t="str">
        <x:v>P2</x:v>
      </x:c>
      <x:c r="G32" s="9" t="str">
        <x:v>验证主播审核读取公会ID</x:v>
      </x:c>
      <x:c r="H32" s="9" t="str">
        <x:v>公会ID回显</x:v>
      </x:c>
      <x:c r="I32" s="9" t="str">
        <x:v>1. 执行角色为平台管理员
2. 当前申请的目标公会的公会ID为“200001”</x:v>
      </x:c>
      <x:c r="J32" s="9" t="str">
        <x:v>1. 进入主播审核
2. 查看公会ID</x:v>
      </x:c>
      <x:c r="K32" s="9" t="str">
        <x:v>公会ID显示“200001”</x:v>
      </x:c>
      <x:c r="L32" s="10" t="str"/>
      <x:c r="M32" s="10" t="str">
        <x:v>未测</x:v>
      </x:c>
      <x:c r="N32" s="10" t="str"/>
      <x:c r="O32" s="9" t="str">
        <x:v>1. 来源（当前证据）：liveshow-proto/MainBasis/统一需求文档.md；位置：行2598
2. 规则：BR-bff4713d59cd234a
3. 未动态验证</x:v>
      </x:c>
    </x:row>
    <x:row r="33" ht="70" customHeight="1">
      <x:c r="A33" s="10" t="n">
        <x:v>32</x:v>
      </x:c>
      <x:c r="B33" s="10" t="str">
        <x:v>ADMIN-03-0005</x:v>
      </x:c>
      <x:c r="C33" s="10" t="str">
        <x:v>主播管理</x:v>
      </x:c>
      <x:c r="D33" s="10" t="str">
        <x:v>主播审核（平台管理员视角）</x:v>
      </x:c>
      <x:c r="E33" s="10" t="str">
        <x:v>功能需求</x:v>
      </x:c>
      <x:c r="F33" s="10" t="str">
        <x:v>P2</x:v>
      </x:c>
      <x:c r="G33" s="9" t="str">
        <x:v>验证主播审核读取认证状态</x:v>
      </x:c>
      <x:c r="H33" s="9" t="str">
        <x:v>认证状态回显</x:v>
      </x:c>
      <x:c r="I33" s="9" t="str">
        <x:v>1. 执行角色为平台管理员
2. 当前平台待审申请的认证状态为“待审核”</x:v>
      </x:c>
      <x:c r="J33" s="9" t="str">
        <x:v>1. 进入主播审核
2. 查看认证状态</x:v>
      </x:c>
      <x:c r="K33" s="9" t="str">
        <x:v>认证状态显示“待审核”</x:v>
      </x:c>
      <x:c r="L33" s="10" t="str"/>
      <x:c r="M33" s="10" t="str">
        <x:v>未测</x:v>
      </x:c>
      <x:c r="N33" s="10" t="str"/>
      <x:c r="O33" s="9" t="str">
        <x:v>1. 来源（当前证据）：liveshow-proto/MainBasis/统一需求文档.md；位置：行2599
2. 规则：BR-a7ffa2ed8b1b8c53
3. 未动态验证</x:v>
      </x:c>
    </x:row>
    <x:row r="34" ht="70" customHeight="1">
      <x:c r="A34" s="10" t="n">
        <x:v>33</x:v>
      </x:c>
      <x:c r="B34" s="10" t="str">
        <x:v>ADMIN-03-0006</x:v>
      </x:c>
      <x:c r="C34" s="10" t="str">
        <x:v>主播管理</x:v>
      </x:c>
      <x:c r="D34" s="10" t="str">
        <x:v>主播审核（平台管理员视角）</x:v>
      </x:c>
      <x:c r="E34" s="10" t="str">
        <x:v>业务流程</x:v>
      </x:c>
      <x:c r="F34" s="10" t="str">
        <x:v>P1</x:v>
      </x:c>
      <x:c r="G34" s="9" t="str">
        <x:v>验证平台列表时间使用公会提交时间</x:v>
      </x:c>
      <x:c r="H34" s="9" t="str">
        <x:v>平台待审提交时间</x:v>
      </x:c>
      <x:c r="I34" s="9" t="str">
        <x:v>1. 执行角色为平台管理员
2. 用户9月1日申请，公会9月3日初审通过</x:v>
      </x:c>
      <x:c r="J34" s="9" t="str">
        <x:v>1. 进入主播审核
2. 查询该申请</x:v>
      </x:c>
      <x:c r="K34" s="9" t="str">
        <x:v>提交时间为公会9月3日初审通过的时间</x:v>
      </x:c>
      <x:c r="L34" s="10" t="str"/>
      <x:c r="M34" s="10" t="str">
        <x:v>未测</x:v>
      </x:c>
      <x:c r="N34" s="10" t="str"/>
      <x:c r="O34" s="9" t="str">
        <x:v>1. 来源（当前证据）：liveshow-proto/MainBasis/统一需求文档.md；位置：行2600
2. 规则：BR-dd16085d3392f939
3. 未动态验证</x:v>
      </x:c>
    </x:row>
    <x:row r="35" ht="115" customHeight="1">
      <x:c r="A35" s="10" t="n">
        <x:v>34</x:v>
      </x:c>
      <x:c r="B35" s="10" t="str">
        <x:v>ADMIN-03-0007</x:v>
      </x:c>
      <x:c r="C35" s="10" t="str">
        <x:v>主播管理</x:v>
      </x:c>
      <x:c r="D35" s="10" t="str">
        <x:v>主播审核（平台管理员视角）</x:v>
      </x:c>
      <x:c r="E35" s="10" t="str">
        <x:v>业务流程</x:v>
      </x:c>
      <x:c r="F35" s="10" t="str">
        <x:v>P1</x:v>
      </x:c>
      <x:c r="G35" s="9" t="str">
        <x:v>验证平台通过前不授予主播身份</x:v>
      </x:c>
      <x:c r="H35" s="9" t="str">
        <x:v>认证生效节点</x:v>
      </x:c>
      <x:c r="I35" s="9" t="str">
        <x:v>1. 执行角色为平台管理员
2. 甲公会初审通过但平台待审核</x:v>
      </x:c>
      <x:c r="J35" s="9" t="str">
        <x:v>1. 进入主播审核
2. 打开申请甲</x:v>
      </x:c>
      <x:c r="K35" s="9" t="str">
        <x:v>甲仍以用户身份待认证</x:v>
      </x:c>
      <x:c r="L35" s="10" t="str"/>
      <x:c r="M35" s="10" t="str">
        <x:v>未测</x:v>
      </x:c>
      <x:c r="N35" s="10" t="str"/>
      <x:c r="O35" s="9" t="str">
        <x:v>1. 来源（当前证据）：liveshow-proto/MainBasis/统一需求文档.md；位置：行2601
2. 规则：BR-651e7c4aaedfe000
3. 未动态验证
4. 数据别名：甲、乙、丙用于区分本条测试对象；按前置条件准备并记录实际账号或记录 ID，不是固定业务名称。</x:v>
      </x:c>
    </x:row>
    <x:row r="36" ht="115" customHeight="1">
      <x:c r="A36" s="10" t="n">
        <x:v>35</x:v>
      </x:c>
      <x:c r="B36" s="10" t="str">
        <x:v>ADMIN-03-0008</x:v>
      </x:c>
      <x:c r="C36" s="10" t="str">
        <x:v>主播管理</x:v>
      </x:c>
      <x:c r="D36" s="10" t="str">
        <x:v>主播审核（平台管理员视角）</x:v>
      </x:c>
      <x:c r="E36" s="10" t="str">
        <x:v>功能需求</x:v>
      </x:c>
      <x:c r="F36" s="10" t="str">
        <x:v>P2</x:v>
      </x:c>
      <x:c r="G36" s="9" t="str">
        <x:v>验证主播审核两个筛选条件共同生效</x:v>
      </x:c>
      <x:c r="H36" s="9" t="str">
        <x:v>主播审核查询交集</x:v>
      </x:c>
      <x:c r="I36" s="9" t="str">
        <x:v>1. 执行角色为平台管理员
2. 准备三条当前范围有效记录：记录甲同时满足公会=测试公会甲条件与认证状态=待审核条件；记录乙仅满足公会=测试公会甲；记录丙仅满足认证状态=待审核；选值采用本页可用配置</x:v>
      </x:c>
      <x:c r="J36" s="9" t="str">
        <x:v>1. 进入主播审核
2. 选择上述公会=测试公会甲条件
3. 选择上述认证状态=待审核条件
4. 点击查询</x:v>
      </x:c>
      <x:c r="K36" s="9" t="str">
        <x:v>结果集合仅包含记录甲</x:v>
      </x:c>
      <x:c r="L36" s="10" t="str"/>
      <x:c r="M36" s="10" t="str">
        <x:v>未测</x:v>
      </x:c>
      <x:c r="N36" s="10" t="str"/>
      <x:c r="O36" s="9" t="str">
        <x:v>1. 来源（当前证据）：liveshow-proto/MainBasis/统一需求文档.md；位置：行2602
2. 规则：BR-80d3b169cef90e25
3. 未动态验证
4. 数据别名：甲、乙、丙用于区分本条测试对象；按前置条件准备并记录实际账号或记录 ID，不是固定业务名称。</x:v>
      </x:c>
    </x:row>
    <x:row r="37" ht="115" customHeight="1">
      <x:c r="A37" s="10" t="n">
        <x:v>36</x:v>
      </x:c>
      <x:c r="B37" s="10" t="str">
        <x:v>ADMIN-03-0009</x:v>
      </x:c>
      <x:c r="C37" s="10" t="str">
        <x:v>主播管理</x:v>
      </x:c>
      <x:c r="D37" s="10" t="str">
        <x:v>主播审核（平台管理员视角）</x:v>
      </x:c>
      <x:c r="E37" s="10" t="str">
        <x:v>功能需求</x:v>
      </x:c>
      <x:c r="F37" s="10" t="str">
        <x:v>P2</x:v>
      </x:c>
      <x:c r="G37" s="9" t="str">
        <x:v>验证主播审核没有同时满足条件的记录</x:v>
      </x:c>
      <x:c r="H37" s="9" t="str">
        <x:v>主播审核查询空集合</x:v>
      </x:c>
      <x:c r="I37" s="9" t="str">
        <x:v>1. 执行角色为平台管理员
2. 准备数据中没有记录同时满足公会=测试公会甲和认证状态=待审核两个条件</x:v>
      </x:c>
      <x:c r="J37" s="9" t="str">
        <x:v>1. 进入主播审核
2. 选择公会=测试公会甲
3. 选择认证状态=待审核
4. 点击查询</x:v>
      </x:c>
      <x:c r="K37" s="9" t="str">
        <x:v>结果集合为空</x:v>
      </x:c>
      <x:c r="L37" s="10" t="str"/>
      <x:c r="M37" s="10" t="str">
        <x:v>未测</x:v>
      </x:c>
      <x:c r="N37" s="10" t="str"/>
      <x:c r="O37" s="9" t="str">
        <x:v>1. 来源（当前证据）：liveshow-proto/MainBasis/统一需求文档.md；位置：行2602
2. 规则：BR-4edb7cb8f6d48629
3. 未动态验证
4. 数据别名：甲、乙、丙用于区分本条测试对象；按前置条件准备并记录实际账号或记录 ID，不是固定业务名称。</x:v>
      </x:c>
    </x:row>
    <x:row r="38" ht="145" customHeight="1">
      <x:c r="A38" s="10" t="n">
        <x:v>37</x:v>
      </x:c>
      <x:c r="B38" s="10" t="str">
        <x:v>ADMIN-03-0010</x:v>
      </x:c>
      <x:c r="C38" s="10" t="str">
        <x:v>主播管理</x:v>
      </x:c>
      <x:c r="D38" s="10" t="str">
        <x:v>主播审核（平台管理员视角）</x:v>
      </x:c>
      <x:c r="E38" s="10" t="str">
        <x:v>业务流程</x:v>
      </x:c>
      <x:c r="F38" s="10" t="str">
        <x:v>P1</x:v>
      </x:c>
      <x:c r="G38" s="9" t="str">
        <x:v>验证初审通过后进入平台审核列表</x:v>
      </x:c>
      <x:c r="H38" s="9" t="str">
        <x:v>平台审核队列</x:v>
      </x:c>
      <x:c r="I38" s="9" t="str">
        <x:v>1. 执行角色为平台管理员
2. 用户甲向有效公会提交申请并刚获公会通过，平台尚未处理</x:v>
      </x:c>
      <x:c r="J38" s="9" t="str">
        <x:v>1. 进入主播审核
2. 选择待审核
3. 查询甲</x:v>
      </x:c>
      <x:c r="K38" s="9" t="str">
        <x:v>审核队列包含甲</x:v>
      </x:c>
      <x:c r="L38" s="10" t="str">
        <x:v>FLOW-JOIN</x:v>
      </x:c>
      <x:c r="M38" s="10" t="str">
        <x:v>未测</x:v>
      </x:c>
      <x:c r="N38" s="10" t="str"/>
      <x:c r="O38" s="9" t="str">
        <x:v>1. 来源（当前证据）：liveshow-proto/MainBasis/统一需求文档.md；位置：行2602
2. 规则：BR-55b59bb1ec38cd4c
3. 未动态验证
4. 状态转换：ST-JOIN-GUILD-PASS；按同一业务对象的数据别名准备对应上下游记录
5. 数据别名：甲、乙、丙用于区分本条测试对象；按前置条件准备并记录实际账号或记录 ID，不是固定业务名称。</x:v>
      </x:c>
    </x:row>
    <x:row r="39" ht="130" customHeight="1">
      <x:c r="A39" s="10" t="n">
        <x:v>38</x:v>
      </x:c>
      <x:c r="B39" s="10" t="str">
        <x:v>ADMIN-03-0011</x:v>
      </x:c>
      <x:c r="C39" s="10" t="str">
        <x:v>主播管理</x:v>
      </x:c>
      <x:c r="D39" s="10" t="str">
        <x:v>审核详情（平台管理员视角）</x:v>
      </x:c>
      <x:c r="E39" s="10" t="str">
        <x:v>业务流程</x:v>
      </x:c>
      <x:c r="F39" s="10" t="str">
        <x:v>P1</x:v>
      </x:c>
      <x:c r="G39" s="9" t="str">
        <x:v>验证审核材料使用提交快照</x:v>
      </x:c>
      <x:c r="H39" s="9" t="str">
        <x:v>实名材料快照</x:v>
      </x:c>
      <x:c r="I39" s="9" t="str">
        <x:v>1. 执行角色为平台管理员
2. 申请甲提交姓名实名甲，当前账号昵称已变更</x:v>
      </x:c>
      <x:c r="J39" s="9" t="str">
        <x:v>1. 进入申请甲审核详情</x:v>
      </x:c>
      <x:c r="K39" s="9" t="str">
        <x:v>实名仍为实名甲</x:v>
      </x:c>
      <x:c r="L39" s="10" t="str"/>
      <x:c r="M39" s="10" t="str">
        <x:v>未测</x:v>
      </x:c>
      <x:c r="N39" s="10" t="str"/>
      <x:c r="O39" s="9" t="str">
        <x:v>1. 来源（当前证据）：liveshow-proto/MainBasis/统一需求文档.md；位置：行2607、行2608
2. 规则：BR-b063320f4f3d5ddd
3. 未动态验证
4. 数据别名：甲、乙、丙用于区分本条测试对象；按前置条件准备并记录实际账号或记录 ID，不是固定业务名称。</x:v>
      </x:c>
    </x:row>
    <x:row r="40" ht="70" customHeight="1">
      <x:c r="A40" s="10" t="n">
        <x:v>39</x:v>
      </x:c>
      <x:c r="B40" s="10" t="str">
        <x:v>ADMIN-03-0012</x:v>
      </x:c>
      <x:c r="C40" s="10" t="str">
        <x:v>主播管理</x:v>
      </x:c>
      <x:c r="D40" s="10" t="str">
        <x:v>审核详情（平台管理员视角）</x:v>
      </x:c>
      <x:c r="E40" s="10" t="str">
        <x:v>功能需求</x:v>
      </x:c>
      <x:c r="F40" s="10" t="str">
        <x:v>P2</x:v>
      </x:c>
      <x:c r="G40" s="9" t="str">
        <x:v>验证审核详情读取申请单号</x:v>
      </x:c>
      <x:c r="H40" s="9" t="str">
        <x:v>申请单号回显</x:v>
      </x:c>
      <x:c r="I40" s="9" t="str">
        <x:v>1. 执行角色为平台管理员
2. 当前所选平台申请的申请单号为“500001”</x:v>
      </x:c>
      <x:c r="J40" s="9" t="str">
        <x:v>1. 进入审核详情
2. 查看申请单号</x:v>
      </x:c>
      <x:c r="K40" s="9" t="str">
        <x:v>申请单号显示“500001”</x:v>
      </x:c>
      <x:c r="L40" s="10" t="str"/>
      <x:c r="M40" s="10" t="str">
        <x:v>未测</x:v>
      </x:c>
      <x:c r="N40" s="10" t="str"/>
      <x:c r="O40" s="9" t="str">
        <x:v>1. 来源（当前证据）：liveshow-proto/MainBasis/统一需求文档.md；位置：行2607
2. 规则：BR-8ba83af1cdff6ea8
3. 未动态验证</x:v>
      </x:c>
    </x:row>
    <x:row r="41" ht="115" customHeight="1">
      <x:c r="A41" s="10" t="n">
        <x:v>40</x:v>
      </x:c>
      <x:c r="B41" s="10" t="str">
        <x:v>ADMIN-03-0013</x:v>
      </x:c>
      <x:c r="C41" s="10" t="str">
        <x:v>主播管理</x:v>
      </x:c>
      <x:c r="D41" s="10" t="str">
        <x:v>审核详情（平台管理员视角）</x:v>
      </x:c>
      <x:c r="E41" s="10" t="str">
        <x:v>功能需求</x:v>
      </x:c>
      <x:c r="F41" s="10" t="str">
        <x:v>P2</x:v>
      </x:c>
      <x:c r="G41" s="9" t="str">
        <x:v>验证审核详情读取实名</x:v>
      </x:c>
      <x:c r="H41" s="9" t="str">
        <x:v>实名回显</x:v>
      </x:c>
      <x:c r="I41" s="9" t="str">
        <x:v>1. 执行角色为平台管理员
2. 当前申请材料提交快照的实名为“实名甲”</x:v>
      </x:c>
      <x:c r="J41" s="9" t="str">
        <x:v>1. 进入审核详情
2. 查看实名</x:v>
      </x:c>
      <x:c r="K41" s="9" t="str">
        <x:v>实名显示“实名甲”</x:v>
      </x:c>
      <x:c r="L41" s="10" t="str"/>
      <x:c r="M41" s="10" t="str">
        <x:v>未测</x:v>
      </x:c>
      <x:c r="N41" s="10" t="str"/>
      <x:c r="O41" s="9" t="str">
        <x:v>1. 来源（当前证据）：liveshow-proto/MainBasis/统一需求文档.md；位置：行2608
2. 规则：BR-754b53be26d9b414
3. 未动态验证
4. 数据别名：甲、乙、丙用于区分本条测试对象；按前置条件准备并记录实际账号或记录 ID，不是固定业务名称。</x:v>
      </x:c>
    </x:row>
    <x:row r="42" ht="115" customHeight="1">
      <x:c r="A42" s="10" t="n">
        <x:v>41</x:v>
      </x:c>
      <x:c r="B42" s="10" t="str">
        <x:v>ADMIN-03-0014</x:v>
      </x:c>
      <x:c r="C42" s="10" t="str">
        <x:v>主播管理</x:v>
      </x:c>
      <x:c r="D42" s="10" t="str">
        <x:v>审核详情（平台管理员视角）</x:v>
      </x:c>
      <x:c r="E42" s="10" t="str">
        <x:v>功能需求</x:v>
      </x:c>
      <x:c r="F42" s="10" t="str">
        <x:v>P2</x:v>
      </x:c>
      <x:c r="G42" s="9" t="str">
        <x:v>验证终审通过时平台初始权限关闭</x:v>
      </x:c>
      <x:c r="H42" s="9" t="str">
        <x:v>认证与权限分离</x:v>
      </x:c>
      <x:c r="I42" s="9" t="str">
        <x:v>1. 执行角色为平台管理员
2. 甲公会已初审通过，材料完整</x:v>
      </x:c>
      <x:c r="J42" s="9" t="str">
        <x:v>1. 进入甲终审详情
2. 选择通过
3. 选择平台直播权限关闭
4. 填写原因材料符合
5. 点击确认</x:v>
      </x:c>
      <x:c r="K42" s="9" t="str">
        <x:v>甲的最终直播权限为关闭</x:v>
      </x:c>
      <x:c r="L42" s="10" t="str"/>
      <x:c r="M42" s="10" t="str">
        <x:v>未测</x:v>
      </x:c>
      <x:c r="N42" s="10" t="str"/>
      <x:c r="O42" s="9" t="str">
        <x:v>1. 来源（当前证据）：liveshow-proto/MainBasis/统一需求文档.md；位置：行2610
2. 规则：BR-9b348c9d3352b47d
3. 未动态验证
4. 数据别名：甲、乙、丙用于区分本条测试对象；按前置条件准备并记录实际账号或记录 ID，不是固定业务名称。</x:v>
      </x:c>
    </x:row>
    <x:row r="43" ht="115" customHeight="1">
      <x:c r="A43" s="10" t="n">
        <x:v>42</x:v>
      </x:c>
      <x:c r="B43" s="10" t="str">
        <x:v>ADMIN-03-0015</x:v>
      </x:c>
      <x:c r="C43" s="10" t="str">
        <x:v>主播管理</x:v>
      </x:c>
      <x:c r="D43" s="10" t="str">
        <x:v>审核详情（平台管理员视角）</x:v>
      </x:c>
      <x:c r="E43" s="10" t="str">
        <x:v>功能需求</x:v>
      </x:c>
      <x:c r="F43" s="10" t="str">
        <x:v>P2</x:v>
      </x:c>
      <x:c r="G43" s="9" t="str">
        <x:v>验证终审可锁定公会管理</x:v>
      </x:c>
      <x:c r="H43" s="9" t="str">
        <x:v>终审公会授权初值</x:v>
      </x:c>
      <x:c r="I43" s="9" t="str">
        <x:v>1. 执行角色为平台管理员
2. 甲公会已初审通过，材料完整</x:v>
      </x:c>
      <x:c r="J43" s="9" t="str">
        <x:v>1. 进入甲终审详情
2. 选择通过
3. 选择平台权限开启
4. 关闭公会管理权限
5. 填写原因平台统一管理
6. 点击确认</x:v>
      </x:c>
      <x:c r="K43" s="9" t="str">
        <x:v>公会不能修改甲直播权限</x:v>
      </x:c>
      <x:c r="L43" s="10" t="str"/>
      <x:c r="M43" s="10" t="str">
        <x:v>未测</x:v>
      </x:c>
      <x:c r="N43" s="10" t="str"/>
      <x:c r="O43" s="9" t="str">
        <x:v>1. 来源（当前证据）：liveshow-proto/MainBasis/统一需求文档.md；位置：行2611
2. 规则：BR-412112193e7f4d58
3. 未动态验证
4. 数据别名：甲、乙、丙用于区分本条测试对象；按前置条件准备并记录实际账号或记录 ID，不是固定业务名称。</x:v>
      </x:c>
    </x:row>
    <x:row r="44" ht="115" customHeight="1">
      <x:c r="A44" s="10" t="n">
        <x:v>43</x:v>
      </x:c>
      <x:c r="B44" s="10" t="str">
        <x:v>ADMIN-03-0016</x:v>
      </x:c>
      <x:c r="C44" s="10" t="str">
        <x:v>主播管理</x:v>
      </x:c>
      <x:c r="D44" s="10" t="str">
        <x:v>审核详情（平台管理员视角）</x:v>
      </x:c>
      <x:c r="E44" s="10" t="str">
        <x:v>业务流程</x:v>
      </x:c>
      <x:c r="F44" s="10" t="str">
        <x:v>P1</x:v>
      </x:c>
      <x:c r="G44" s="9" t="str">
        <x:v>验证平台驳回原因必填</x:v>
      </x:c>
      <x:c r="H44" s="9" t="str">
        <x:v>平台驳回非空校验</x:v>
      </x:c>
      <x:c r="I44" s="9" t="str">
        <x:v>1. 执行角色为平台管理员
2. 申请甲待平台审核</x:v>
      </x:c>
      <x:c r="J44" s="9" t="str">
        <x:v>1. 进入审核详情
2. 选择驳回
3. 清空原因
4. 点击确认</x:v>
      </x:c>
      <x:c r="K44" s="9" t="str">
        <x:v>不能提交无原因驳回</x:v>
      </x:c>
      <x:c r="L44" s="10" t="str"/>
      <x:c r="M44" s="10" t="str">
        <x:v>未测</x:v>
      </x:c>
      <x:c r="N44" s="10" t="str"/>
      <x:c r="O44" s="9" t="str">
        <x:v>1. 来源（当前证据）：liveshow-proto/MainBasis/统一需求文档.md；位置：行2612
2. 规则：BR-b46f2b8b1224dac7
3. 未动态验证
4. 数据别名：甲、乙、丙用于区分本条测试对象；按前置条件准备并记录实际账号或记录 ID，不是固定业务名称。</x:v>
      </x:c>
    </x:row>
    <x:row r="45" ht="175" customHeight="1">
      <x:c r="A45" s="10" t="n">
        <x:v>44</x:v>
      </x:c>
      <x:c r="B45" s="10" t="str">
        <x:v>ADMIN-03-0017</x:v>
      </x:c>
      <x:c r="C45" s="10" t="str">
        <x:v>主播管理</x:v>
      </x:c>
      <x:c r="D45" s="10" t="str">
        <x:v>审核详情（平台管理员视角）</x:v>
      </x:c>
      <x:c r="E45" s="10" t="str">
        <x:v>业务流程</x:v>
      </x:c>
      <x:c r="F45" s="10" t="str">
        <x:v>P1</x:v>
      </x:c>
      <x:c r="G45" s="9" t="str">
        <x:v>验证平台驳回后申请终止</x:v>
      </x:c>
      <x:c r="H45" s="9" t="str">
        <x:v>平台驳回终态</x:v>
      </x:c>
      <x:c r="I45" s="9" t="str">
        <x:v>1. 执行角色为平台管理员
2. 申请甲待平台审核</x:v>
      </x:c>
      <x:c r="J45" s="9" t="str">
        <x:v>1. 进入审核详情
2. 选择驳回
3. 填写原因“材料不清晰”
4. 点击确认</x:v>
      </x:c>
      <x:c r="K45" s="9" t="str">
        <x:v>申请状态为已驳回</x:v>
      </x:c>
      <x:c r="L45" s="10" t="str"/>
      <x:c r="M45" s="10" t="str">
        <x:v>未测</x:v>
      </x:c>
      <x:c r="N45" s="10" t="str"/>
      <x:c r="O45" s="9" t="str">
        <x:v>1. 来源（当前证据）：liveshow-proto/MainBasis/统一需求文档.md；位置：行2612、行2614
2. 规则：BR-54cd1a71927368a4
3. 未动态验证
4. 数据别名：甲、乙、丙用于区分本条测试对象；按前置条件准备并记录实际账号或记录 ID，不是固定业务名称。
5. 本轮语义去重：合并同一结果路径“验证终审驳回使当前申请作废”，不读取历史用例。</x:v>
      </x:c>
    </x:row>
    <x:row r="46" ht="175" customHeight="1">
      <x:c r="A46" s="10" t="n">
        <x:v>45</x:v>
      </x:c>
      <x:c r="B46" s="10" t="str">
        <x:v>ADMIN-03-0018</x:v>
      </x:c>
      <x:c r="C46" s="10" t="str">
        <x:v>主播管理</x:v>
      </x:c>
      <x:c r="D46" s="10" t="str">
        <x:v>审核详情（平台管理员视角）</x:v>
      </x:c>
      <x:c r="E46" s="10" t="str">
        <x:v>业务流程</x:v>
      </x:c>
      <x:c r="F46" s="10" t="str">
        <x:v>P1</x:v>
      </x:c>
      <x:c r="G46" s="9" t="str">
        <x:v>验证平台终审通过建立主播身份</x:v>
      </x:c>
      <x:c r="H46" s="9" t="str">
        <x:v>主播认证通过</x:v>
      </x:c>
      <x:c r="I46" s="9" t="str">
        <x:v>1. 执行角色为平台管理员
2. 申请甲待平台审核，公会有效、账号正常</x:v>
      </x:c>
      <x:c r="J46" s="9" t="str">
        <x:v>1. 进入审核详情
2. 选择通过
3. 选择平台权限开启
4. 选择公会可管理
5. 点击确认
6. 进入主播列表
7. 查询甲</x:v>
      </x:c>
      <x:c r="K46" s="9" t="str">
        <x:v>甲具有主播身份</x:v>
      </x:c>
      <x:c r="L46" s="10" t="str">
        <x:v>FLOW-JOIN</x:v>
      </x:c>
      <x:c r="M46" s="10" t="str">
        <x:v>未测</x:v>
      </x:c>
      <x:c r="N46" s="10" t="str"/>
      <x:c r="O46" s="9" t="str">
        <x:v>1. 来源（当前证据）：liveshow-proto/MainBasis/统一需求文档.md；位置：行2613、行2614
2. 规则：BR-bec5a7ed84e05e81
3. 未动态验证
4. 状态转换：ST-JOIN-PLATFORM-PASS；按同一业务对象的数据别名准备对应上下游记录
5. 数据别名：甲、乙、丙用于区分本条测试对象；按前置条件准备并记录实际账号或记录 ID，不是固定业务名称。</x:v>
      </x:c>
    </x:row>
    <x:row r="47" ht="115" customHeight="1">
      <x:c r="A47" s="10" t="n">
        <x:v>46</x:v>
      </x:c>
      <x:c r="B47" s="10" t="str">
        <x:v>ADMIN-03-0019</x:v>
      </x:c>
      <x:c r="C47" s="10" t="str">
        <x:v>主播管理</x:v>
      </x:c>
      <x:c r="D47" s="10" t="str">
        <x:v>审核详情（平台管理员视角）</x:v>
      </x:c>
      <x:c r="E47" s="10" t="str">
        <x:v>业务流程</x:v>
      </x:c>
      <x:c r="F47" s="10" t="str">
        <x:v>P1</x:v>
      </x:c>
      <x:c r="G47" s="9" t="str">
        <x:v>验证平台审核终态不可再次提交</x:v>
      </x:c>
      <x:c r="H47" s="9" t="str">
        <x:v>平台审核幂等</x:v>
      </x:c>
      <x:c r="I47" s="9" t="str">
        <x:v>1. 执行角色为平台管理员
2. 申请甲已经通过</x:v>
      </x:c>
      <x:c r="J47" s="9" t="str">
        <x:v>1. 进入申请甲审核详情</x:v>
      </x:c>
      <x:c r="K47" s="9" t="str">
        <x:v>不提供再次审核提交</x:v>
      </x:c>
      <x:c r="L47" s="10" t="str"/>
      <x:c r="M47" s="10" t="str">
        <x:v>未测</x:v>
      </x:c>
      <x:c r="N47" s="10" t="str"/>
      <x:c r="O47" s="9" t="str">
        <x:v>1. 来源（当前证据）：liveshow-proto/MainBasis/统一需求文档.md；位置：行2614
2. 规则：BR-3bbb502a85b8dc9e
3. 未动态验证
4. 数据别名：甲、乙、丙用于区分本条测试对象；按前置条件准备并记录实际账号或记录 ID，不是固定业务名称。</x:v>
      </x:c>
    </x:row>
    <x:row r="48" ht="115" customHeight="1">
      <x:c r="A48" s="10" t="n">
        <x:v>47</x:v>
      </x:c>
      <x:c r="B48" s="10" t="str">
        <x:v>ADMIN-03-0020</x:v>
      </x:c>
      <x:c r="C48" s="10" t="str">
        <x:v>主播管理</x:v>
      </x:c>
      <x:c r="D48" s="10" t="str">
        <x:v>主播列表（平台管理员视角）</x:v>
      </x:c>
      <x:c r="E48" s="10" t="str">
        <x:v>功能需求</x:v>
      </x:c>
      <x:c r="F48" s="10" t="str">
        <x:v>P2</x:v>
      </x:c>
      <x:c r="G48" s="9" t="str">
        <x:v>验证主播列表读取公会</x:v>
      </x:c>
      <x:c r="H48" s="9" t="str">
        <x:v>公会回显</x:v>
      </x:c>
      <x:c r="I48" s="9" t="str">
        <x:v>1. 执行角色为平台管理员
2. 所选主播当前有效公会关系的公会为“公会甲”</x:v>
      </x:c>
      <x:c r="J48" s="9" t="str">
        <x:v>1. 进入主播列表
2. 查看公会</x:v>
      </x:c>
      <x:c r="K48" s="9" t="str">
        <x:v>公会显示“公会甲”</x:v>
      </x:c>
      <x:c r="L48" s="10" t="str"/>
      <x:c r="M48" s="10" t="str">
        <x:v>未测</x:v>
      </x:c>
      <x:c r="N48" s="10" t="str"/>
      <x:c r="O48" s="9" t="str">
        <x:v>1. 来源（当前证据）：liveshow-proto/MainBasis/统一需求文档.md；位置：行2573
2. 规则：BR-5d9b641cc0fb72d0
3. 未动态验证
4. 数据别名：甲、乙、丙用于区分本条测试对象；按前置条件准备并记录实际账号或记录 ID，不是固定业务名称。</x:v>
      </x:c>
    </x:row>
    <x:row r="49" ht="70" customHeight="1">
      <x:c r="A49" s="10" t="n">
        <x:v>48</x:v>
      </x:c>
      <x:c r="B49" s="10" t="str">
        <x:v>ADMIN-03-0021</x:v>
      </x:c>
      <x:c r="C49" s="10" t="str">
        <x:v>主播管理</x:v>
      </x:c>
      <x:c r="D49" s="10" t="str">
        <x:v>主播列表（平台管理员视角）</x:v>
      </x:c>
      <x:c r="E49" s="10" t="str">
        <x:v>功能需求</x:v>
      </x:c>
      <x:c r="F49" s="10" t="str">
        <x:v>P2</x:v>
      </x:c>
      <x:c r="G49" s="9" t="str">
        <x:v>验证主播列表读取账号状态</x:v>
      </x:c>
      <x:c r="H49" s="9" t="str">
        <x:v>账号状态回显</x:v>
      </x:c>
      <x:c r="I49" s="9" t="str">
        <x:v>1. 执行角色为平台管理员
2. 所选主播账号当前状态的账号状态为“正常”</x:v>
      </x:c>
      <x:c r="J49" s="9" t="str">
        <x:v>1. 进入主播列表
2. 查看账号状态</x:v>
      </x:c>
      <x:c r="K49" s="9" t="str">
        <x:v>账号状态显示“正常”</x:v>
      </x:c>
      <x:c r="L49" s="10" t="str"/>
      <x:c r="M49" s="10" t="str">
        <x:v>未测</x:v>
      </x:c>
      <x:c r="N49" s="10" t="str"/>
      <x:c r="O49" s="9" t="str">
        <x:v>1. 来源（当前证据）：liveshow-proto/MainBasis/统一需求文档.md；位置：行2574
2. 规则：BR-7c51416897d19519
3. 未动态验证</x:v>
      </x:c>
    </x:row>
    <x:row r="50" ht="70" customHeight="1">
      <x:c r="A50" s="10" t="n">
        <x:v>49</x:v>
      </x:c>
      <x:c r="B50" s="10" t="str">
        <x:v>ADMIN-03-0022</x:v>
      </x:c>
      <x:c r="C50" s="10" t="str">
        <x:v>主播管理</x:v>
      </x:c>
      <x:c r="D50" s="10" t="str">
        <x:v>主播列表（平台管理员视角）</x:v>
      </x:c>
      <x:c r="E50" s="10" t="str">
        <x:v>逻辑校验</x:v>
      </x:c>
      <x:c r="F50" s="10" t="str">
        <x:v>P1</x:v>
      </x:c>
      <x:c r="G50" s="9" t="str">
        <x:v>验证平台关闭锁定否公会关闭权限矩阵</x:v>
      </x:c>
      <x:c r="H50" s="9" t="str">
        <x:v>最终直播权限判定</x:v>
      </x:c>
      <x:c r="I50" s="9" t="str">
        <x:v>1. 执行角色为平台管理员
2. 主播认证通过、账号正常、公会有效；平台关闭；管理锁定关闭；锁定前公会设置关闭</x:v>
      </x:c>
      <x:c r="J50" s="9" t="str">
        <x:v>1. 进入主播详情
2. 查看最终直播权限</x:v>
      </x:c>
      <x:c r="K50" s="9" t="str">
        <x:v>最终直播权限为关闭</x:v>
      </x:c>
      <x:c r="L50" s="10" t="str"/>
      <x:c r="M50" s="10" t="str">
        <x:v>未测</x:v>
      </x:c>
      <x:c r="N50" s="10" t="str"/>
      <x:c r="O50" s="9" t="str">
        <x:v>1. 来源（当前证据）：liveshow-proto/MainBasis/统一需求文档.md；位置：行2575
2. 规则：BR-c15f208b09be533e
3. 未动态验证</x:v>
      </x:c>
    </x:row>
    <x:row r="51" ht="70" customHeight="1">
      <x:c r="A51" s="10" t="n">
        <x:v>50</x:v>
      </x:c>
      <x:c r="B51" s="10" t="str">
        <x:v>ADMIN-03-0023</x:v>
      </x:c>
      <x:c r="C51" s="10" t="str">
        <x:v>主播管理</x:v>
      </x:c>
      <x:c r="D51" s="10" t="str">
        <x:v>主播列表（平台管理员视角）</x:v>
      </x:c>
      <x:c r="E51" s="10" t="str">
        <x:v>逻辑校验</x:v>
      </x:c>
      <x:c r="F51" s="10" t="str">
        <x:v>P1</x:v>
      </x:c>
      <x:c r="G51" s="9" t="str">
        <x:v>验证平台关闭锁定否公会开启权限矩阵</x:v>
      </x:c>
      <x:c r="H51" s="9" t="str">
        <x:v>最终直播权限判定</x:v>
      </x:c>
      <x:c r="I51" s="9" t="str">
        <x:v>1. 执行角色为平台管理员
2. 主播认证通过、账号正常、公会有效；平台关闭；管理锁定关闭；锁定前公会设置开启</x:v>
      </x:c>
      <x:c r="J51" s="9" t="str">
        <x:v>1. 进入主播详情
2. 查看最终直播权限</x:v>
      </x:c>
      <x:c r="K51" s="9" t="str">
        <x:v>最终直播权限为关闭</x:v>
      </x:c>
      <x:c r="L51" s="10" t="str"/>
      <x:c r="M51" s="10" t="str">
        <x:v>未测</x:v>
      </x:c>
      <x:c r="N51" s="10" t="str"/>
      <x:c r="O51" s="9" t="str">
        <x:v>1. 来源（当前证据）：liveshow-proto/MainBasis/统一需求文档.md；位置：行2575
2. 规则：BR-0b91be131387f04b
3. 未动态验证</x:v>
      </x:c>
    </x:row>
    <x:row r="52" ht="70" customHeight="1">
      <x:c r="A52" s="10" t="n">
        <x:v>51</x:v>
      </x:c>
      <x:c r="B52" s="10" t="str">
        <x:v>ADMIN-03-0024</x:v>
      </x:c>
      <x:c r="C52" s="10" t="str">
        <x:v>主播管理</x:v>
      </x:c>
      <x:c r="D52" s="10" t="str">
        <x:v>主播列表（平台管理员视角）</x:v>
      </x:c>
      <x:c r="E52" s="10" t="str">
        <x:v>逻辑校验</x:v>
      </x:c>
      <x:c r="F52" s="10" t="str">
        <x:v>P1</x:v>
      </x:c>
      <x:c r="G52" s="9" t="str">
        <x:v>验证平台关闭锁定是公会开启权限矩阵</x:v>
      </x:c>
      <x:c r="H52" s="9" t="str">
        <x:v>最终直播权限判定</x:v>
      </x:c>
      <x:c r="I52" s="9" t="str">
        <x:v>1. 执行角色为平台管理员
2. 主播认证通过、账号正常、公会有效；平台关闭；管理锁定开启；锁定前公会设置开启</x:v>
      </x:c>
      <x:c r="J52" s="9" t="str">
        <x:v>1. 进入主播详情
2. 查看最终直播权限</x:v>
      </x:c>
      <x:c r="K52" s="9" t="str">
        <x:v>最终直播权限为关闭</x:v>
      </x:c>
      <x:c r="L52" s="10" t="str"/>
      <x:c r="M52" s="10" t="str">
        <x:v>未测</x:v>
      </x:c>
      <x:c r="N52" s="10" t="str"/>
      <x:c r="O52" s="9" t="str">
        <x:v>1. 来源（当前证据）：liveshow-proto/MainBasis/统一需求文档.md；位置：行2575
2. 规则：BR-6646ca60d4ce76b7
3. 未动态验证</x:v>
      </x:c>
    </x:row>
    <x:row r="53" ht="70" customHeight="1">
      <x:c r="A53" s="10" t="n">
        <x:v>52</x:v>
      </x:c>
      <x:c r="B53" s="10" t="str">
        <x:v>ADMIN-03-0025</x:v>
      </x:c>
      <x:c r="C53" s="10" t="str">
        <x:v>主播管理</x:v>
      </x:c>
      <x:c r="D53" s="10" t="str">
        <x:v>主播列表（平台管理员视角）</x:v>
      </x:c>
      <x:c r="E53" s="10" t="str">
        <x:v>逻辑校验</x:v>
      </x:c>
      <x:c r="F53" s="10" t="str">
        <x:v>P1</x:v>
      </x:c>
      <x:c r="G53" s="9" t="str">
        <x:v>验证平台开启锁定否公会关闭权限矩阵</x:v>
      </x:c>
      <x:c r="H53" s="9" t="str">
        <x:v>最终直播权限判定</x:v>
      </x:c>
      <x:c r="I53" s="9" t="str">
        <x:v>1. 执行角色为平台管理员
2. 主播认证通过、账号正常、公会有效；平台开启；管理锁定关闭；锁定前公会设置关闭</x:v>
      </x:c>
      <x:c r="J53" s="9" t="str">
        <x:v>1. 进入主播详情
2. 查看最终直播权限</x:v>
      </x:c>
      <x:c r="K53" s="9" t="str">
        <x:v>最终直播权限为关闭</x:v>
      </x:c>
      <x:c r="L53" s="10" t="str"/>
      <x:c r="M53" s="10" t="str">
        <x:v>未测</x:v>
      </x:c>
      <x:c r="N53" s="10" t="str"/>
      <x:c r="O53" s="9" t="str">
        <x:v>1. 来源（当前证据）：liveshow-proto/MainBasis/统一需求文档.md；位置：行2575
2. 规则：BR-52417c860b9e3c53
3. 未动态验证</x:v>
      </x:c>
    </x:row>
    <x:row r="54" ht="70" customHeight="1">
      <x:c r="A54" s="10" t="n">
        <x:v>53</x:v>
      </x:c>
      <x:c r="B54" s="10" t="str">
        <x:v>ADMIN-03-0026</x:v>
      </x:c>
      <x:c r="C54" s="10" t="str">
        <x:v>主播管理</x:v>
      </x:c>
      <x:c r="D54" s="10" t="str">
        <x:v>主播列表（平台管理员视角）</x:v>
      </x:c>
      <x:c r="E54" s="10" t="str">
        <x:v>逻辑校验</x:v>
      </x:c>
      <x:c r="F54" s="10" t="str">
        <x:v>P1</x:v>
      </x:c>
      <x:c r="G54" s="9" t="str">
        <x:v>验证平台开启锁定否公会开启权限矩阵</x:v>
      </x:c>
      <x:c r="H54" s="9" t="str">
        <x:v>最终直播权限判定</x:v>
      </x:c>
      <x:c r="I54" s="9" t="str">
        <x:v>1. 执行角色为平台管理员
2. 主播认证通过、账号正常、公会有效；平台开启；管理锁定关闭；锁定前公会设置开启</x:v>
      </x:c>
      <x:c r="J54" s="9" t="str">
        <x:v>1. 进入主播详情
2. 查看最终直播权限</x:v>
      </x:c>
      <x:c r="K54" s="9" t="str">
        <x:v>最终直播权限为开启</x:v>
      </x:c>
      <x:c r="L54" s="10" t="str"/>
      <x:c r="M54" s="10" t="str">
        <x:v>未测</x:v>
      </x:c>
      <x:c r="N54" s="10" t="str"/>
      <x:c r="O54" s="9" t="str">
        <x:v>1. 来源（当前证据）：liveshow-proto/MainBasis/统一需求文档.md；位置：行2575
2. 规则：BR-0d738ed911601706
3. 未动态验证</x:v>
      </x:c>
    </x:row>
    <x:row r="55" ht="70" customHeight="1">
      <x:c r="A55" s="10" t="n">
        <x:v>54</x:v>
      </x:c>
      <x:c r="B55" s="10" t="str">
        <x:v>ADMIN-03-0027</x:v>
      </x:c>
      <x:c r="C55" s="10" t="str">
        <x:v>主播管理</x:v>
      </x:c>
      <x:c r="D55" s="10" t="str">
        <x:v>主播列表（平台管理员视角）</x:v>
      </x:c>
      <x:c r="E55" s="10" t="str">
        <x:v>逻辑校验</x:v>
      </x:c>
      <x:c r="F55" s="10" t="str">
        <x:v>P1</x:v>
      </x:c>
      <x:c r="G55" s="9" t="str">
        <x:v>验证平台开启锁定是公会关闭权限矩阵</x:v>
      </x:c>
      <x:c r="H55" s="9" t="str">
        <x:v>最终直播权限判定</x:v>
      </x:c>
      <x:c r="I55" s="9" t="str">
        <x:v>1. 执行角色为平台管理员
2. 主播认证通过、账号正常、公会有效；平台开启；管理锁定开启；锁定前公会设置关闭</x:v>
      </x:c>
      <x:c r="J55" s="9" t="str">
        <x:v>1. 进入主播详情
2. 查看最终直播权限</x:v>
      </x:c>
      <x:c r="K55" s="9" t="str">
        <x:v>最终直播权限为开启</x:v>
      </x:c>
      <x:c r="L55" s="10" t="str"/>
      <x:c r="M55" s="10" t="str">
        <x:v>未测</x:v>
      </x:c>
      <x:c r="N55" s="10" t="str"/>
      <x:c r="O55" s="9" t="str">
        <x:v>1. 来源（当前证据）：liveshow-proto/MainBasis/统一需求文档.md；位置：行2575
2. 规则：BR-7da8a4ffc4702452
3. 未动态验证</x:v>
      </x:c>
    </x:row>
    <x:row r="56" ht="160" customHeight="1">
      <x:c r="A56" s="10" t="n">
        <x:v>55</x:v>
      </x:c>
      <x:c r="B56" s="10" t="str">
        <x:v>ADMIN-03-0028</x:v>
      </x:c>
      <x:c r="C56" s="10" t="str">
        <x:v>主播管理</x:v>
      </x:c>
      <x:c r="D56" s="10" t="str">
        <x:v>主播列表（平台管理员视角）</x:v>
      </x:c>
      <x:c r="E56" s="10" t="str">
        <x:v>业务流程</x:v>
      </x:c>
      <x:c r="F56" s="10" t="str">
        <x:v>P1</x:v>
      </x:c>
      <x:c r="G56" s="9" t="str">
        <x:v>验证公会关闭权限后后台最终权限关闭</x:v>
      </x:c>
      <x:c r="H56" s="9" t="str">
        <x:v>公会关权限后台投影</x:v>
      </x:c>
      <x:c r="I56" s="9" t="str">
        <x:v>1. 执行角色为平台管理员
2. 甲认证有效，平台开且未锁定；公会刚将甲直播权限关闭</x:v>
      </x:c>
      <x:c r="J56" s="9" t="str">
        <x:v>1. 进入主播甲详情</x:v>
      </x:c>
      <x:c r="K56" s="9" t="str">
        <x:v>最终直播权限为关闭</x:v>
      </x:c>
      <x:c r="L56" s="10" t="str">
        <x:v>FLOW-PERMISSION</x:v>
      </x:c>
      <x:c r="M56" s="10" t="str">
        <x:v>未测</x:v>
      </x:c>
      <x:c r="N56" s="10" t="str"/>
      <x:c r="O56" s="9" t="str">
        <x:v>1. 来源（当前证据）：liveshow-proto/MainBasis/统一需求文档.md；位置：行2575
2. 规则：BR-e512a5580678053b
3. 未动态验证
4. 状态转换：ST-PERMISSION-GUILD-OFF；按同一业务对象的数据别名准备对应上下游记录
5. 数据别名：甲、乙、丙用于区分本条测试对象；按前置条件准备并记录实际账号或记录 ID，不是固定业务名称。</x:v>
      </x:c>
    </x:row>
    <x:row r="57" ht="115" customHeight="1">
      <x:c r="A57" s="10" t="n">
        <x:v>56</x:v>
      </x:c>
      <x:c r="B57" s="10" t="str">
        <x:v>ADMIN-03-0029</x:v>
      </x:c>
      <x:c r="C57" s="10" t="str">
        <x:v>主播管理</x:v>
      </x:c>
      <x:c r="D57" s="10" t="str">
        <x:v>主播列表（平台管理员视角）</x:v>
      </x:c>
      <x:c r="E57" s="10" t="str">
        <x:v>业务流程</x:v>
      </x:c>
      <x:c r="F57" s="10" t="str">
        <x:v>P1</x:v>
      </x:c>
      <x:c r="G57" s="9" t="str">
        <x:v>验证不成立举报不计违规次数</x:v>
      </x:c>
      <x:c r="H57" s="9" t="str">
        <x:v>主播违规次数有效口径</x:v>
      </x:c>
      <x:c r="I57" s="9" t="str">
        <x:v>1. 执行角色为平台管理员
2. 甲有1笔已确认违规和2笔不成立举报</x:v>
      </x:c>
      <x:c r="J57" s="9" t="str">
        <x:v>1. 进入主播列表
2. 查询甲</x:v>
      </x:c>
      <x:c r="K57" s="9" t="str">
        <x:v>违规次数为1</x:v>
      </x:c>
      <x:c r="L57" s="10" t="str"/>
      <x:c r="M57" s="10" t="str">
        <x:v>未测</x:v>
      </x:c>
      <x:c r="N57" s="10" t="str"/>
      <x:c r="O57" s="9" t="str">
        <x:v>1. 来源（当前证据）：liveshow-proto/MainBasis/统一需求文档.md；位置：行2577
2. 规则：BR-43201f5b480a76c9
3. 未动态验证
4. 数据别名：甲、乙、丙用于区分本条测试对象；按前置条件准备并记录实际账号或记录 ID，不是固定业务名称。</x:v>
      </x:c>
    </x:row>
    <x:row r="58" ht="160" customHeight="1">
      <x:c r="A58" s="10" t="n">
        <x:v>57</x:v>
      </x:c>
      <x:c r="B58" s="10" t="str">
        <x:v>ADMIN-03-0030</x:v>
      </x:c>
      <x:c r="C58" s="10" t="str">
        <x:v>主播管理</x:v>
      </x:c>
      <x:c r="D58" s="10" t="str">
        <x:v>主播列表（平台管理员视角）</x:v>
      </x:c>
      <x:c r="E58" s="10" t="str">
        <x:v>业务流程</x:v>
      </x:c>
      <x:c r="F58" s="10" t="str">
        <x:v>P1</x:v>
      </x:c>
      <x:c r="G58" s="9" t="str">
        <x:v>验证平台关闭权限即终止当前场次</x:v>
      </x:c>
      <x:c r="H58" s="9" t="str">
        <x:v>平台关权限联动</x:v>
      </x:c>
      <x:c r="I58" s="9" t="str">
        <x:v>1. 执行角色为平台管理员
2. 甲正在场次甲直播；平台权限开启</x:v>
      </x:c>
      <x:c r="J58" s="9" t="str">
        <x:v>1. 进入主播甲详情
2. 关闭平台直播权限
3. 填写原因“权限回收”
4. 点击确认
5. 进入直播场次甲</x:v>
      </x:c>
      <x:c r="K58" s="9" t="str">
        <x:v>场次甲已结束</x:v>
      </x:c>
      <x:c r="L58" s="10" t="str">
        <x:v>FLOW-PERMISSION</x:v>
      </x:c>
      <x:c r="M58" s="10" t="str">
        <x:v>未测</x:v>
      </x:c>
      <x:c r="N58" s="10" t="str"/>
      <x:c r="O58" s="9" t="str">
        <x:v>1. 来源（当前证据）：liveshow-proto/MainBasis/统一需求文档.md；位置：行2578
2. 规则：BR-6f398033458cf118
3. 未动态验证
4. 状态转换：ST-PERMISSION-PLATFORM-OFF；按同一业务对象的数据别名准备对应上下游记录
5. 数据别名：甲、乙、丙用于区分本条测试对象；按前置条件准备并记录实际账号或记录 ID，不是固定业务名称。</x:v>
      </x:c>
    </x:row>
    <x:row r="59" ht="100" customHeight="1">
      <x:c r="A59" s="10" t="n">
        <x:v>58</x:v>
      </x:c>
      <x:c r="B59" s="10" t="str">
        <x:v>ADMIN-03-0031</x:v>
      </x:c>
      <x:c r="C59" s="10" t="str">
        <x:v>主播管理</x:v>
      </x:c>
      <x:c r="D59" s="10" t="str">
        <x:v>主播列表（平台管理员视角）</x:v>
      </x:c>
      <x:c r="E59" s="10" t="str">
        <x:v>业务流程</x:v>
      </x:c>
      <x:c r="F59" s="10" t="str">
        <x:v>P1</x:v>
      </x:c>
      <x:c r="G59" s="9" t="str">
        <x:v>验证锁定后保留原公会设置</x:v>
      </x:c>
      <x:c r="H59" s="9" t="str">
        <x:v>权限锁定原值保留</x:v>
      </x:c>
      <x:c r="I59" s="9" t="str">
        <x:v>1. 执行角色为平台管理员
2. 平台开启、公会关闭且未锁定</x:v>
      </x:c>
      <x:c r="J59" s="9" t="str">
        <x:v>1. 进入主播详情
2. 锁定公会管理
3. 填写原因“平台接管”
4. 点击确认</x:v>
      </x:c>
      <x:c r="K59" s="9" t="str">
        <x:v>最终直播权限开启</x:v>
      </x:c>
      <x:c r="L59" s="10" t="str">
        <x:v>FLOW-PERMISSION</x:v>
      </x:c>
      <x:c r="M59" s="10" t="str">
        <x:v>未测</x:v>
      </x:c>
      <x:c r="N59" s="10" t="str"/>
      <x:c r="O59" s="9" t="str">
        <x:v>1. 来源（当前证据）：liveshow-proto/MainBasis/统一需求文档.md；位置：行2579
2. 规则：BR-d695d490922d95c9
3. 未动态验证
4. 状态转换：ST-PERMISSION-LOCK；按同一业务对象的数据别名准备对应上下游记录</x:v>
      </x:c>
    </x:row>
    <x:row r="60" ht="100" customHeight="1">
      <x:c r="A60" s="10" t="n">
        <x:v>59</x:v>
      </x:c>
      <x:c r="B60" s="10" t="str">
        <x:v>ADMIN-03-0032</x:v>
      </x:c>
      <x:c r="C60" s="10" t="str">
        <x:v>主播管理</x:v>
      </x:c>
      <x:c r="D60" s="10" t="str">
        <x:v>主播列表（平台管理员视角）</x:v>
      </x:c>
      <x:c r="E60" s="10" t="str">
        <x:v>业务流程</x:v>
      </x:c>
      <x:c r="F60" s="10" t="str">
        <x:v>P1</x:v>
      </x:c>
      <x:c r="G60" s="9" t="str">
        <x:v>验证解锁恢复锁前公会关闭</x:v>
      </x:c>
      <x:c r="H60" s="9" t="str">
        <x:v>权限解锁原值恢复</x:v>
      </x:c>
      <x:c r="I60" s="9" t="str">
        <x:v>1. 执行角色为平台管理员
2. 平台开启且已锁定，锁定前公会设置为关闭</x:v>
      </x:c>
      <x:c r="J60" s="9" t="str">
        <x:v>1. 进入主播详情
2. 解锁公会管理
3. 填写原因“恢复公会管理”
4. 点击确认</x:v>
      </x:c>
      <x:c r="K60" s="9" t="str">
        <x:v>最终直播权限关闭</x:v>
      </x:c>
      <x:c r="L60" s="10" t="str">
        <x:v>FLOW-PERMISSION</x:v>
      </x:c>
      <x:c r="M60" s="10" t="str">
        <x:v>未测</x:v>
      </x:c>
      <x:c r="N60" s="10" t="str"/>
      <x:c r="O60" s="9" t="str">
        <x:v>1. 来源（当前证据）：liveshow-proto/MainBasis/统一需求文档.md；位置：行2579
2. 规则：BR-e37c6a9017b4924c
3. 未动态验证
4. 状态转换：ST-PERMISSION-UNLOCK；按同一业务对象的数据别名准备对应上下游记录</x:v>
      </x:c>
    </x:row>
    <x:row r="61" ht="115" customHeight="1">
      <x:c r="A61" s="10" t="n">
        <x:v>60</x:v>
      </x:c>
      <x:c r="B61" s="10" t="str">
        <x:v>ADMIN-03-0033</x:v>
      </x:c>
      <x:c r="C61" s="10" t="str">
        <x:v>主播管理</x:v>
      </x:c>
      <x:c r="D61" s="10" t="str">
        <x:v>主播列表（平台管理员视角）</x:v>
      </x:c>
      <x:c r="E61" s="10" t="str">
        <x:v>业务流程</x:v>
      </x:c>
      <x:c r="F61" s="10" t="str">
        <x:v>P1</x:v>
      </x:c>
      <x:c r="G61" s="9" t="str">
        <x:v>验证权限处置保存原因和操作者</x:v>
      </x:c>
      <x:c r="H61" s="9" t="str">
        <x:v>权限变更审计</x:v>
      </x:c>
      <x:c r="I61" s="9" t="str">
        <x:v>1. 执行角色为平台管理员
2. 管理员甲有权限；主播平台权限开启</x:v>
      </x:c>
      <x:c r="J61" s="9" t="str">
        <x:v>1. 进入主播详情
2. 关闭平台直播权限
3. 填写原因“测试权限变更”
4. 点击确认
5. 查看处置记录</x:v>
      </x:c>
      <x:c r="K61" s="9" t="str">
        <x:v>记录中的操作人为管理员甲</x:v>
      </x:c>
      <x:c r="L61" s="10" t="str"/>
      <x:c r="M61" s="10" t="str">
        <x:v>未测</x:v>
      </x:c>
      <x:c r="N61" s="10" t="str"/>
      <x:c r="O61" s="9" t="str">
        <x:v>1. 来源（当前证据）：liveshow-proto/MainBasis/统一需求文档.md；位置：行2580
2. 规则：BR-81592528aec9d92b
3. 未动态验证
4. 数据别名：甲、乙、丙用于区分本条测试对象；按前置条件准备并记录实际账号或记录 ID，不是固定业务名称。</x:v>
      </x:c>
    </x:row>
    <x:row r="62" ht="70" customHeight="1">
      <x:c r="A62" s="10" t="n">
        <x:v>61</x:v>
      </x:c>
      <x:c r="B62" s="10" t="str">
        <x:v>ADMIN-03-0034</x:v>
      </x:c>
      <x:c r="C62" s="10" t="str">
        <x:v>主播管理</x:v>
      </x:c>
      <x:c r="D62" s="10" t="str">
        <x:v>主播详情（平台管理员视角）</x:v>
      </x:c>
      <x:c r="E62" s="10" t="str">
        <x:v>功能需求</x:v>
      </x:c>
      <x:c r="F62" s="10" t="str">
        <x:v>P2</x:v>
      </x:c>
      <x:c r="G62" s="9" t="str">
        <x:v>验证主播详情读取平台直播权限</x:v>
      </x:c>
      <x:c r="H62" s="9" t="str">
        <x:v>平台直播权限回显</x:v>
      </x:c>
      <x:c r="I62" s="9" t="str">
        <x:v>1. 执行角色为平台管理员
2. 当前主播的平台权限设置的平台直播权限为“关闭”</x:v>
      </x:c>
      <x:c r="J62" s="9" t="str">
        <x:v>1. 进入主播详情
2. 查看平台直播权限</x:v>
      </x:c>
      <x:c r="K62" s="9" t="str">
        <x:v>平台直播权限显示“关闭”</x:v>
      </x:c>
      <x:c r="L62" s="10" t="str"/>
      <x:c r="M62" s="10" t="str">
        <x:v>未测</x:v>
      </x:c>
      <x:c r="N62" s="10" t="str"/>
      <x:c r="O62" s="9" t="str">
        <x:v>1. 来源（当前证据）：liveshow-proto/MainBasis/统一需求文档.md；位置：行2585
2. 规则：BR-00898d7977a8b61a
3. 未动态验证</x:v>
      </x:c>
    </x:row>
    <x:row r="63" ht="115" customHeight="1">
      <x:c r="A63" s="10" t="n">
        <x:v>62</x:v>
      </x:c>
      <x:c r="B63" s="10" t="str">
        <x:v>ADMIN-03-0035</x:v>
      </x:c>
      <x:c r="C63" s="10" t="str">
        <x:v>主播管理</x:v>
      </x:c>
      <x:c r="D63" s="10" t="str">
        <x:v>主播详情（平台管理员视角）</x:v>
      </x:c>
      <x:c r="E63" s="10" t="str">
        <x:v>功能需求</x:v>
      </x:c>
      <x:c r="F63" s="10" t="str">
        <x:v>P2</x:v>
      </x:c>
      <x:c r="G63" s="9" t="str">
        <x:v>验证锁定保留公会开关原设置</x:v>
      </x:c>
      <x:c r="H63" s="9" t="str">
        <x:v>直播权限锁定快照</x:v>
      </x:c>
      <x:c r="I63" s="9" t="str">
        <x:v>1. 执行角色为平台管理员
2. 平台权限开，公会权限关，当前未锁定</x:v>
      </x:c>
      <x:c r="J63" s="9" t="str">
        <x:v>1. 进入主播甲详情
2. 锁定公会管理权限
3. 填写原因测试锁定
4. 点击确认
5. 点击解除锁定
6. 填写原因测试解锁
7. 点击确认</x:v>
      </x:c>
      <x:c r="K63" s="9" t="str">
        <x:v>公会直播权限恢复为关</x:v>
      </x:c>
      <x:c r="L63" s="10" t="str"/>
      <x:c r="M63" s="10" t="str">
        <x:v>未测</x:v>
      </x:c>
      <x:c r="N63" s="10" t="str"/>
      <x:c r="O63" s="9" t="str">
        <x:v>1. 来源（当前证据）：liveshow-proto/MainBasis/统一需求文档.md；位置：行2586
2. 规则：BR-e90e164e07f7f19c
3. 未动态验证</x:v>
      </x:c>
    </x:row>
    <x:row r="64" ht="70" customHeight="1">
      <x:c r="A64" s="10" t="n">
        <x:v>63</x:v>
      </x:c>
      <x:c r="B64" s="10" t="str">
        <x:v>ADMIN-03-0036</x:v>
      </x:c>
      <x:c r="C64" s="10" t="str">
        <x:v>主播管理</x:v>
      </x:c>
      <x:c r="D64" s="10" t="str">
        <x:v>主播详情（平台管理员视角）</x:v>
      </x:c>
      <x:c r="E64" s="10" t="str">
        <x:v>业务流程</x:v>
      </x:c>
      <x:c r="F64" s="10" t="str">
        <x:v>P1</x:v>
      </x:c>
      <x:c r="G64" s="9" t="str">
        <x:v>验证主播详情幸运收益按比例计算</x:v>
      </x:c>
      <x:c r="H64" s="9" t="str">
        <x:v>主播详情收益口径</x:v>
      </x:c>
      <x:c r="I64" s="9" t="str">
        <x:v>1. 执行角色为平台管理员
2. 本场只有幸运礼物1000金币，赠送时比例1%，中奖返还500金币</x:v>
      </x:c>
      <x:c r="J64" s="9" t="str">
        <x:v>1. 进入主播详情
2. 查看收益</x:v>
      </x:c>
      <x:c r="K64" s="9" t="str">
        <x:v>本场主播收益为10金币</x:v>
      </x:c>
      <x:c r="L64" s="10" t="str"/>
      <x:c r="M64" s="10" t="str">
        <x:v>未测</x:v>
      </x:c>
      <x:c r="N64" s="10" t="str"/>
      <x:c r="O64" s="9" t="str">
        <x:v>1. 来源（当前证据）：liveshow-proto/MainBasis/统一需求文档.md；位置：行2588
2. 规则：BR-cc938b359b367dec
3. 未动态验证</x:v>
      </x:c>
    </x:row>
    <x:row r="65" ht="70" customHeight="1">
      <x:c r="A65" s="10" t="n">
        <x:v>64</x:v>
      </x:c>
      <x:c r="B65" s="10" t="str">
        <x:v>ADMIN-03-0037</x:v>
      </x:c>
      <x:c r="C65" s="10" t="str">
        <x:v>主播管理</x:v>
      </x:c>
      <x:c r="D65" s="10" t="str">
        <x:v>主播详情（平台管理员视角）</x:v>
      </x:c>
      <x:c r="E65" s="10" t="str">
        <x:v>功能需求</x:v>
      </x:c>
      <x:c r="F65" s="10" t="str">
        <x:v>P2</x:v>
      </x:c>
      <x:c r="G65" s="9" t="str">
        <x:v>验证主播详情读取处置结论</x:v>
      </x:c>
      <x:c r="H65" s="9" t="str">
        <x:v>处置结论回显</x:v>
      </x:c>
      <x:c r="I65" s="9" t="str">
        <x:v>1. 执行角色为平台管理员
2. 所选已确认违规的结果记录的处置结论为“警告”</x:v>
      </x:c>
      <x:c r="J65" s="9" t="str">
        <x:v>1. 进入主播详情
2. 查看处置结论</x:v>
      </x:c>
      <x:c r="K65" s="9" t="str">
        <x:v>处置结论显示“警告”</x:v>
      </x:c>
      <x:c r="L65" s="10" t="str"/>
      <x:c r="M65" s="10" t="str">
        <x:v>未测</x:v>
      </x:c>
      <x:c r="N65" s="10" t="str"/>
      <x:c r="O65" s="9" t="str">
        <x:v>1. 来源（当前证据）：liveshow-proto/MainBasis/统一需求文档.md；位置：行2589
2. 规则：BR-f037647ed034ff9f
3. 未动态验证</x:v>
      </x:c>
    </x:row>
    <x:row r="66" ht="115" customHeight="1">
      <x:c r="A66" s="10" t="n">
        <x:v>65</x:v>
      </x:c>
      <x:c r="B66" s="10" t="str">
        <x:v>ADMIN-03-0038</x:v>
      </x:c>
      <x:c r="C66" s="10" t="str">
        <x:v>主播管理</x:v>
      </x:c>
      <x:c r="D66" s="10" t="str">
        <x:v>直播场次（平台管理员视角）</x:v>
      </x:c>
      <x:c r="E66" s="10" t="str">
        <x:v>业务流程</x:v>
      </x:c>
      <x:c r="F66" s="10" t="str">
        <x:v>P1</x:v>
      </x:c>
      <x:c r="G66" s="9" t="str">
        <x:v>验证固定房间下新开场次ID不同</x:v>
      </x:c>
      <x:c r="H66" s="9" t="str">
        <x:v>房间与场次标识分离</x:v>
      </x:c>
      <x:c r="I66" s="9" t="str">
        <x:v>1. 执行角色为平台管理员
2. 主播甲已完成两次独立开播</x:v>
      </x:c>
      <x:c r="J66" s="9" t="str">
        <x:v>1. 进入直播场次
2. 查询主播甲</x:v>
      </x:c>
      <x:c r="K66" s="9" t="str">
        <x:v>两次直播的场次ID不同</x:v>
      </x:c>
      <x:c r="L66" s="10" t="str"/>
      <x:c r="M66" s="10" t="str">
        <x:v>未测</x:v>
      </x:c>
      <x:c r="N66" s="10" t="str"/>
      <x:c r="O66" s="9" t="str">
        <x:v>1. 来源（当前证据）：liveshow-proto/MainBasis/统一需求文档.md；位置：行2619
2. 规则：BR-664c57a524759bca
3. 未动态验证
4. 数据别名：甲、乙、丙用于区分本条测试对象；按前置条件准备并记录实际账号或记录 ID，不是固定业务名称。</x:v>
      </x:c>
    </x:row>
    <x:row r="67" ht="70" customHeight="1">
      <x:c r="A67" s="10" t="n">
        <x:v>66</x:v>
      </x:c>
      <x:c r="B67" s="10" t="str">
        <x:v>ADMIN-03-0039</x:v>
      </x:c>
      <x:c r="C67" s="10" t="str">
        <x:v>主播管理</x:v>
      </x:c>
      <x:c r="D67" s="10" t="str">
        <x:v>直播场次（平台管理员视角）</x:v>
      </x:c>
      <x:c r="E67" s="10" t="str">
        <x:v>功能需求</x:v>
      </x:c>
      <x:c r="F67" s="10" t="str">
        <x:v>P2</x:v>
      </x:c>
      <x:c r="G67" s="9" t="str">
        <x:v>验证直播场次读取直播场次ID</x:v>
      </x:c>
      <x:c r="H67" s="9" t="str">
        <x:v>直播场次ID回显</x:v>
      </x:c>
      <x:c r="I67" s="9" t="str">
        <x:v>1. 执行角色为平台管理员
2. 当前所选直播场次的直播场次ID为“400001”</x:v>
      </x:c>
      <x:c r="J67" s="9" t="str">
        <x:v>1. 进入直播场次
2. 查看直播场次ID</x:v>
      </x:c>
      <x:c r="K67" s="9" t="str">
        <x:v>直播场次ID显示“400001”</x:v>
      </x:c>
      <x:c r="L67" s="10" t="str"/>
      <x:c r="M67" s="10" t="str">
        <x:v>未测</x:v>
      </x:c>
      <x:c r="N67" s="10" t="str"/>
      <x:c r="O67" s="9" t="str">
        <x:v>1. 来源（当前证据）：liveshow-proto/MainBasis/统一需求文档.md；位置：行2619
2. 规则：BR-61df60517d79df02
3. 未动态验证</x:v>
      </x:c>
    </x:row>
    <x:row r="68" ht="145" customHeight="1">
      <x:c r="A68" s="10" t="n">
        <x:v>67</x:v>
      </x:c>
      <x:c r="B68" s="10" t="str">
        <x:v>ADMIN-03-0040</x:v>
      </x:c>
      <x:c r="C68" s="10" t="str">
        <x:v>主播管理</x:v>
      </x:c>
      <x:c r="D68" s="10" t="str">
        <x:v>直播场次（平台管理员视角）</x:v>
      </x:c>
      <x:c r="E68" s="10" t="str">
        <x:v>业务流程</x:v>
      </x:c>
      <x:c r="F68" s="10" t="str">
        <x:v>P1</x:v>
      </x:c>
      <x:c r="G68" s="9" t="str">
        <x:v>验证新开播在后台形成新场次</x:v>
      </x:c>
      <x:c r="H68" s="9" t="str">
        <x:v>开播后台记录</x:v>
      </x:c>
      <x:c r="I68" s="9" t="str">
        <x:v>1. 执行角色为平台管理员
2. 主播甲刚成功开播形成新场次乙</x:v>
      </x:c>
      <x:c r="J68" s="9" t="str">
        <x:v>1. 进入直播场次
2. 查询甲</x:v>
      </x:c>
      <x:c r="K68" s="9" t="str">
        <x:v>新场次乙状态为直播中</x:v>
      </x:c>
      <x:c r="L68" s="10" t="str">
        <x:v>FLOW-LIVE-START</x:v>
      </x:c>
      <x:c r="M68" s="10" t="str">
        <x:v>未测</x:v>
      </x:c>
      <x:c r="N68" s="10" t="str"/>
      <x:c r="O68" s="9" t="str">
        <x:v>1. 来源（当前证据）：liveshow-proto/MainBasis/统一需求文档.md；位置：行2619
2. 规则：BR-b64c6c7a88536038
3. 未动态验证
4. 状态转换：ST-LIVE-START；按同一业务对象的数据别名准备对应上下游记录
5. 数据别名：甲、乙、丙用于区分本条测试对象；按前置条件准备并记录实际账号或记录 ID，不是固定业务名称。</x:v>
      </x:c>
    </x:row>
    <x:row r="69" ht="70" customHeight="1">
      <x:c r="A69" s="10" t="n">
        <x:v>68</x:v>
      </x:c>
      <x:c r="B69" s="10" t="str">
        <x:v>ADMIN-03-0041</x:v>
      </x:c>
      <x:c r="C69" s="10" t="str">
        <x:v>主播管理</x:v>
      </x:c>
      <x:c r="D69" s="10" t="str">
        <x:v>直播场次（平台管理员视角）</x:v>
      </x:c>
      <x:c r="E69" s="10" t="str">
        <x:v>功能需求</x:v>
      </x:c>
      <x:c r="F69" s="10" t="str">
        <x:v>P2</x:v>
      </x:c>
      <x:c r="G69" s="9" t="str">
        <x:v>验证直播场次读取房型</x:v>
      </x:c>
      <x:c r="H69" s="9" t="str">
        <x:v>房型回显</x:v>
      </x:c>
      <x:c r="I69" s="9" t="str">
        <x:v>1. 执行角色为平台管理员
2. 该场创建时快照的房型为“普通”</x:v>
      </x:c>
      <x:c r="J69" s="9" t="str">
        <x:v>1. 进入直播场次
2. 查看房型</x:v>
      </x:c>
      <x:c r="K69" s="9" t="str">
        <x:v>房型显示“普通”</x:v>
      </x:c>
      <x:c r="L69" s="10" t="str"/>
      <x:c r="M69" s="10" t="str">
        <x:v>未测</x:v>
      </x:c>
      <x:c r="N69" s="10" t="str"/>
      <x:c r="O69" s="9" t="str">
        <x:v>1. 来源（当前证据）：liveshow-proto/MainBasis/统一需求文档.md；位置：行2620
2. 规则：BR-bd2c1456f3f5a523
3. 未动态验证</x:v>
      </x:c>
    </x:row>
    <x:row r="70" ht="115" customHeight="1">
      <x:c r="A70" s="10" t="n">
        <x:v>69</x:v>
      </x:c>
      <x:c r="B70" s="10" t="str">
        <x:v>ADMIN-03-0042</x:v>
      </x:c>
      <x:c r="C70" s="10" t="str">
        <x:v>主播管理</x:v>
      </x:c>
      <x:c r="D70" s="10" t="str">
        <x:v>直播场次（平台管理员视角）</x:v>
      </x:c>
      <x:c r="E70" s="10" t="str">
        <x:v>业务流程</x:v>
      </x:c>
      <x:c r="F70" s="10" t="str">
        <x:v>P1</x:v>
      </x:c>
      <x:c r="G70" s="9" t="str">
        <x:v>验证结束场次不可重开</x:v>
      </x:c>
      <x:c r="H70" s="9" t="str">
        <x:v>直播场次终态</x:v>
      </x:c>
      <x:c r="I70" s="9" t="str">
        <x:v>1. 执行角色为平台管理员
2. 场次甲已经结束，主播有开播权限</x:v>
      </x:c>
      <x:c r="J70" s="9" t="str">
        <x:v>1. 进入直播场次甲详情</x:v>
      </x:c>
      <x:c r="K70" s="9" t="str">
        <x:v>不提供重开场次甲操作</x:v>
      </x:c>
      <x:c r="L70" s="10" t="str"/>
      <x:c r="M70" s="10" t="str">
        <x:v>未测</x:v>
      </x:c>
      <x:c r="N70" s="10" t="str"/>
      <x:c r="O70" s="9" t="str">
        <x:v>1. 来源（当前证据）：liveshow-proto/MainBasis/统一需求文档.md；位置：行2626
2. 规则：BR-f5dd10799accd50e
3. 未动态验证
4. 数据别名：甲、乙、丙用于区分本条测试对象；按前置条件准备并记录实际账号或记录 ID，不是固定业务名称。</x:v>
      </x:c>
    </x:row>
    <x:row r="71" ht="145" customHeight="1">
      <x:c r="A71" s="10" t="n">
        <x:v>70</x:v>
      </x:c>
      <x:c r="B71" s="10" t="str">
        <x:v>ADMIN-03-0043</x:v>
      </x:c>
      <x:c r="C71" s="10" t="str">
        <x:v>主播管理</x:v>
      </x:c>
      <x:c r="D71" s="10" t="str">
        <x:v>直播场次（平台管理员视角）</x:v>
      </x:c>
      <x:c r="E71" s="10" t="str">
        <x:v>业务流程</x:v>
      </x:c>
      <x:c r="F71" s="10" t="str">
        <x:v>P1</x:v>
      </x:c>
      <x:c r="G71" s="9" t="str">
        <x:v>验证主播结束后后台场次关闭</x:v>
      </x:c>
      <x:c r="H71" s="9" t="str">
        <x:v>结束直播后台投影</x:v>
      </x:c>
      <x:c r="I71" s="9" t="str">
        <x:v>1. 执行角色为平台管理员
2. 主播甲刚主动结束场次乙</x:v>
      </x:c>
      <x:c r="J71" s="9" t="str">
        <x:v>1. 进入直播场次
2. 打开乙</x:v>
      </x:c>
      <x:c r="K71" s="9" t="str">
        <x:v>场次乙为已结束</x:v>
      </x:c>
      <x:c r="L71" s="10" t="str">
        <x:v>FLOW-LIVE-END</x:v>
      </x:c>
      <x:c r="M71" s="10" t="str">
        <x:v>未测</x:v>
      </x:c>
      <x:c r="N71" s="10" t="str"/>
      <x:c r="O71" s="9" t="str">
        <x:v>1. 来源（当前证据）：liveshow-proto/MainBasis/统一需求文档.md；位置：行2626
2. 规则：BR-c6487bbc71f387ab
3. 未动态验证
4. 状态转换：ST-LIVE-END；按同一业务对象的数据别名准备对应上下游记录
5. 数据别名：甲、乙、丙用于区分本条测试对象；按前置条件准备并记录实际账号或记录 ID，不是固定业务名称。</x:v>
      </x:c>
    </x:row>
    <x:row r="72" ht="115" customHeight="1">
      <x:c r="A72" s="10" t="n">
        <x:v>71</x:v>
      </x:c>
      <x:c r="B72" s="10" t="str">
        <x:v>ADMIN-03-0044</x:v>
      </x:c>
      <x:c r="C72" s="10" t="str">
        <x:v>主播管理</x:v>
      </x:c>
      <x:c r="D72" s="10" t="str">
        <x:v>直播场次（平台管理员视角）</x:v>
      </x:c>
      <x:c r="E72" s="10" t="str">
        <x:v>业务流程</x:v>
      </x:c>
      <x:c r="F72" s="10" t="str">
        <x:v>P1</x:v>
      </x:c>
      <x:c r="G72" s="9" t="str">
        <x:v>验证直播警告不会关播</x:v>
      </x:c>
      <x:c r="H72" s="9" t="str">
        <x:v>警告的直播状态</x:v>
      </x:c>
      <x:c r="I72" s="9" t="str">
        <x:v>1. 执行角色为平台管理员
2. 场次甲正在直播</x:v>
      </x:c>
      <x:c r="J72" s="9" t="str">
        <x:v>1. 进入直播场次甲
2. 点击警告
3. 填写原因“注意内容规范”
4. 点击确认</x:v>
      </x:c>
      <x:c r="K72" s="9" t="str">
        <x:v>场次甲仍为直播中</x:v>
      </x:c>
      <x:c r="L72" s="10" t="str"/>
      <x:c r="M72" s="10" t="str">
        <x:v>未测</x:v>
      </x:c>
      <x:c r="N72" s="10" t="str"/>
      <x:c r="O72" s="9" t="str">
        <x:v>1. 来源（当前证据）：liveshow-proto/MainBasis/统一需求文档.md；位置：行2627
2. 规则：BR-226f8fd51121c9a0
3. 未动态验证
4. 数据别名：甲、乙、丙用于区分本条测试对象；按前置条件准备并记录实际账号或记录 ID，不是固定业务名称。</x:v>
      </x:c>
    </x:row>
    <x:row r="73" ht="130" customHeight="1">
      <x:c r="A73" s="10" t="n">
        <x:v>72</x:v>
      </x:c>
      <x:c r="B73" s="10" t="str">
        <x:v>ADMIN-03-0045</x:v>
      </x:c>
      <x:c r="C73" s="10" t="str">
        <x:v>主播管理</x:v>
      </x:c>
      <x:c r="D73" s="10" t="str">
        <x:v>直播场次（平台管理员视角）</x:v>
      </x:c>
      <x:c r="E73" s="10" t="str">
        <x:v>业务流程</x:v>
      </x:c>
      <x:c r="F73" s="10" t="str">
        <x:v>P1</x:v>
      </x:c>
      <x:c r="G73" s="9" t="str">
        <x:v>验证后台关播仅结束当前场次</x:v>
      </x:c>
      <x:c r="H73" s="9" t="str">
        <x:v>后台关播状态</x:v>
      </x:c>
      <x:c r="I73" s="9" t="str">
        <x:v>1. 执行角色为平台管理员
2. 场次甲直播中，主播平台权限开启</x:v>
      </x:c>
      <x:c r="J73" s="9" t="str">
        <x:v>1. 进入场次甲详情
2. 点击关播
3. 填写原因“停止当前场次”
4. 点击确认</x:v>
      </x:c>
      <x:c r="K73" s="9" t="str">
        <x:v>场次甲状态为已结束</x:v>
      </x:c>
      <x:c r="L73" s="10" t="str"/>
      <x:c r="M73" s="10" t="str">
        <x:v>未测</x:v>
      </x:c>
      <x:c r="N73" s="10" t="str"/>
      <x:c r="O73" s="9" t="str">
        <x:v>1. 来源（当前证据）：liveshow-proto/MainBasis/统一需求文档.md；位置：行2627、行2639
2. 规则：BR-a6707e979664207c
3. 未动态验证
4. 数据别名：甲、乙、丙用于区分本条测试对象；按前置条件准备并记录实际账号或记录 ID，不是固定业务名称。</x:v>
      </x:c>
    </x:row>
    <x:row r="74" ht="115" customHeight="1">
      <x:c r="A74" s="10" t="n">
        <x:v>73</x:v>
      </x:c>
      <x:c r="B74" s="10" t="str">
        <x:v>ADMIN-03-0046</x:v>
      </x:c>
      <x:c r="C74" s="10" t="str">
        <x:v>主播管理</x:v>
      </x:c>
      <x:c r="D74" s="10" t="str">
        <x:v>直播详情（平台管理员视角）</x:v>
      </x:c>
      <x:c r="E74" s="10" t="str">
        <x:v>业务流程</x:v>
      </x:c>
      <x:c r="F74" s="10" t="str">
        <x:v>P1</x:v>
      </x:c>
      <x:c r="G74" s="9" t="str">
        <x:v>验证直播详情采用本场旧标题</x:v>
      </x:c>
      <x:c r="H74" s="9" t="str">
        <x:v>本场标题快照</x:v>
      </x:c>
      <x:c r="I74" s="9" t="str">
        <x:v>1. 执行角色为平台管理员
2. 场次甲标题旧主题已结束；主播新开场次乙标题新主题</x:v>
      </x:c>
      <x:c r="J74" s="9" t="str">
        <x:v>1. 进入场次甲详情</x:v>
      </x:c>
      <x:c r="K74" s="9" t="str">
        <x:v>标题仍为旧主题</x:v>
      </x:c>
      <x:c r="L74" s="10" t="str"/>
      <x:c r="M74" s="10" t="str">
        <x:v>未测</x:v>
      </x:c>
      <x:c r="N74" s="10" t="str"/>
      <x:c r="O74" s="9" t="str">
        <x:v>1. 来源（当前证据）：liveshow-proto/MainBasis/统一需求文档.md；位置：行2632
2. 规则：BR-1a70f141799f50fc
3. 未动态验证
4. 数据别名：甲、乙、丙用于区分本条测试对象；按前置条件准备并记录实际账号或记录 ID，不是固定业务名称。</x:v>
      </x:c>
    </x:row>
    <x:row r="75" ht="70" customHeight="1">
      <x:c r="A75" s="10" t="n">
        <x:v>74</x:v>
      </x:c>
      <x:c r="B75" s="10" t="str">
        <x:v>ADMIN-03-0047</x:v>
      </x:c>
      <x:c r="C75" s="10" t="str">
        <x:v>主播管理</x:v>
      </x:c>
      <x:c r="D75" s="10" t="str">
        <x:v>直播详情（平台管理员视角）</x:v>
      </x:c>
      <x:c r="E75" s="10" t="str">
        <x:v>功能需求</x:v>
      </x:c>
      <x:c r="F75" s="10" t="str">
        <x:v>P2</x:v>
      </x:c>
      <x:c r="G75" s="9" t="str">
        <x:v>验证直播详情读取标题</x:v>
      </x:c>
      <x:c r="H75" s="9" t="str">
        <x:v>标题回显</x:v>
      </x:c>
      <x:c r="I75" s="9" t="str">
        <x:v>1. 执行角色为平台管理员
2. 当前场次创建快照的标题为“午间歌唱”</x:v>
      </x:c>
      <x:c r="J75" s="9" t="str">
        <x:v>1. 进入直播详情
2. 查看标题</x:v>
      </x:c>
      <x:c r="K75" s="9" t="str">
        <x:v>标题显示“午间歌唱”</x:v>
      </x:c>
      <x:c r="L75" s="10" t="str"/>
      <x:c r="M75" s="10" t="str">
        <x:v>未测</x:v>
      </x:c>
      <x:c r="N75" s="10" t="str"/>
      <x:c r="O75" s="9" t="str">
        <x:v>1. 来源（当前证据）：liveshow-proto/MainBasis/统一需求文档.md；位置：行2632
2. 规则：BR-bc8ba03734a4ec2c
3. 未动态验证</x:v>
      </x:c>
    </x:row>
    <x:row r="76" ht="115" customHeight="1">
      <x:c r="A76" s="10" t="n">
        <x:v>75</x:v>
      </x:c>
      <x:c r="B76" s="10" t="str">
        <x:v>ADMIN-03-0048</x:v>
      </x:c>
      <x:c r="C76" s="10" t="str">
        <x:v>主播管理</x:v>
      </x:c>
      <x:c r="D76" s="10" t="str">
        <x:v>直播详情（平台管理员视角）</x:v>
      </x:c>
      <x:c r="E76" s="10" t="str">
        <x:v>功能需求</x:v>
      </x:c>
      <x:c r="F76" s="10" t="str">
        <x:v>P2</x:v>
      </x:c>
      <x:c r="G76" s="9" t="str">
        <x:v>验证巡房记录保留处置备注</x:v>
      </x:c>
      <x:c r="H76" s="9" t="str">
        <x:v>巡房证据记录</x:v>
      </x:c>
      <x:c r="I76" s="9" t="str">
        <x:v>1. 执行角色为平台管理员
2. 本场巡房人员已执行警告并填写备注测试警告甲</x:v>
      </x:c>
      <x:c r="J76" s="9" t="str">
        <x:v>1. 进入本场直播监控详情
2. 查看巡房记录</x:v>
      </x:c>
      <x:c r="K76" s="9" t="str">
        <x:v>记录保留测试警告甲备注</x:v>
      </x:c>
      <x:c r="L76" s="10" t="str"/>
      <x:c r="M76" s="10" t="str">
        <x:v>未测</x:v>
      </x:c>
      <x:c r="N76" s="10" t="str"/>
      <x:c r="O76" s="9" t="str">
        <x:v>1. 来源（当前证据）：liveshow-proto/MainBasis/统一需求文档.md；位置：行2636
2. 规则：BR-20af3bcb1976020e
3. 未动态验证
4. 数据别名：甲、乙、丙用于区分本条测试对象；按前置条件准备并记录实际账号或记录 ID，不是固定业务名称。</x:v>
      </x:c>
    </x:row>
    <x:row r="77" ht="70" customHeight="1">
      <x:c r="A77" s="10" t="n">
        <x:v>76</x:v>
      </x:c>
      <x:c r="B77" s="10" t="str">
        <x:v>ADMIN-03-0049</x:v>
      </x:c>
      <x:c r="C77" s="10" t="str">
        <x:v>主播管理</x:v>
      </x:c>
      <x:c r="D77" s="10" t="str">
        <x:v>直播详情（平台管理员视角）</x:v>
      </x:c>
      <x:c r="E77" s="10" t="str">
        <x:v>功能需求</x:v>
      </x:c>
      <x:c r="F77" s="10" t="str">
        <x:v>P2</x:v>
      </x:c>
      <x:c r="G77" s="9" t="str">
        <x:v>验证直播详情读取直播状态</x:v>
      </x:c>
      <x:c r="H77" s="9" t="str">
        <x:v>直播状态回显</x:v>
      </x:c>
      <x:c r="I77" s="9" t="str">
        <x:v>1. 执行角色为平台管理员
2. 当前所选场次的直播状态为“已结束”</x:v>
      </x:c>
      <x:c r="J77" s="9" t="str">
        <x:v>1. 进入直播详情
2. 查看直播状态</x:v>
      </x:c>
      <x:c r="K77" s="9" t="str">
        <x:v>直播状态显示“已结束”</x:v>
      </x:c>
      <x:c r="L77" s="10" t="str"/>
      <x:c r="M77" s="10" t="str">
        <x:v>未测</x:v>
      </x:c>
      <x:c r="N77" s="10" t="str"/>
      <x:c r="O77" s="9" t="str">
        <x:v>1. 来源（当前证据）：liveshow-proto/MainBasis/统一需求文档.md；位置：行2637
2. 规则：BR-c1e4fec7e57e4a9f
3. 未动态验证</x:v>
      </x:c>
    </x:row>
    <x:row r="78" ht="115" customHeight="1">
      <x:c r="A78" s="10" t="n">
        <x:v>77</x:v>
      </x:c>
      <x:c r="B78" s="10" t="str">
        <x:v>ADMIN-03-0050</x:v>
      </x:c>
      <x:c r="C78" s="10" t="str">
        <x:v>主播管理</x:v>
      </x:c>
      <x:c r="D78" s="10" t="str">
        <x:v>直播详情（平台管理员视角）</x:v>
      </x:c>
      <x:c r="E78" s="10" t="str">
        <x:v>功能需求</x:v>
      </x:c>
      <x:c r="F78" s="10" t="str">
        <x:v>P2</x:v>
      </x:c>
      <x:c r="G78" s="9" t="str">
        <x:v>验证监控警告不结束直播</x:v>
      </x:c>
      <x:c r="H78" s="9" t="str">
        <x:v>警告状态边界</x:v>
      </x:c>
      <x:c r="I78" s="9" t="str">
        <x:v>1. 执行角色为平台管理员
2. 直播甲正在进行，具备监控处置权限</x:v>
      </x:c>
      <x:c r="J78" s="9" t="str">
        <x:v>1. 进入直播甲监控
2. 点击警告
3. 填写原因测试警告
4. 点击确认</x:v>
      </x:c>
      <x:c r="K78" s="9" t="str">
        <x:v>甲仍为直播中</x:v>
      </x:c>
      <x:c r="L78" s="10" t="str"/>
      <x:c r="M78" s="10" t="str">
        <x:v>未测</x:v>
      </x:c>
      <x:c r="N78" s="10" t="str"/>
      <x:c r="O78" s="9" t="str">
        <x:v>1. 来源（当前证据）：liveshow-proto/MainBasis/统一需求文档.md；位置：行2638
2. 规则：BR-a53a937922829355
3. 未动态验证
4. 数据别名：甲、乙、丙用于区分本条测试对象；按前置条件准备并记录实际账号或记录 ID，不是固定业务名称。</x:v>
      </x:c>
    </x:row>
    <x:row r="79" ht="115" customHeight="1">
      <x:c r="A79" s="10" t="n">
        <x:v>78</x:v>
      </x:c>
      <x:c r="B79" s="10" t="str">
        <x:v>ADMIN-03-0051</x:v>
      </x:c>
      <x:c r="C79" s="10" t="str">
        <x:v>主播管理</x:v>
      </x:c>
      <x:c r="D79" s="10" t="str">
        <x:v>直播详情（平台管理员视角）</x:v>
      </x:c>
      <x:c r="E79" s="10" t="str">
        <x:v>业务流程</x:v>
      </x:c>
      <x:c r="F79" s="10" t="str">
        <x:v>P1</x:v>
      </x:c>
      <x:c r="G79" s="9" t="str">
        <x:v>验证已结束场次不允许即时处置</x:v>
      </x:c>
      <x:c r="H79" s="9" t="str">
        <x:v>历史直播处置限制</x:v>
      </x:c>
      <x:c r="I79" s="9" t="str">
        <x:v>1. 执行角色为平台管理员
2. 场次甲已结束</x:v>
      </x:c>
      <x:c r="J79" s="9" t="str">
        <x:v>1. 进入场次甲详情</x:v>
      </x:c>
      <x:c r="K79" s="9" t="str">
        <x:v>不提供即时警告或关播操作</x:v>
      </x:c>
      <x:c r="L79" s="10" t="str"/>
      <x:c r="M79" s="10" t="str">
        <x:v>未测</x:v>
      </x:c>
      <x:c r="N79" s="10" t="str"/>
      <x:c r="O79" s="9" t="str">
        <x:v>1. 来源（当前证据）：liveshow-proto/MainBasis/统一需求文档.md；位置：行2639
2. 规则：BR-d06b1df2c3045a2f
3. 未动态验证
4. 数据别名：甲、乙、丙用于区分本条测试对象；按前置条件准备并记录实际账号或记录 ID，不是固定业务名称。</x:v>
      </x:c>
    </x:row>
    <x:row r="80" ht="70" customHeight="1">
      <x:c r="A80" s="10" t="n">
        <x:v>79</x:v>
      </x:c>
      <x:c r="B80" s="10" t="str">
        <x:v>ADMIN-03-0052</x:v>
      </x:c>
      <x:c r="C80" s="10" t="str">
        <x:v>主播管理</x:v>
      </x:c>
      <x:c r="D80" s="10" t="str">
        <x:v>巡房排班（平台管理员视角）</x:v>
      </x:c>
      <x:c r="E80" s="10" t="str">
        <x:v>功能需求</x:v>
      </x:c>
      <x:c r="F80" s="10" t="str">
        <x:v>P2</x:v>
      </x:c>
      <x:c r="G80" s="9" t="str">
        <x:v>验证巡房排班读取排班编号</x:v>
      </x:c>
      <x:c r="H80" s="9" t="str">
        <x:v>排班编号回显</x:v>
      </x:c>
      <x:c r="I80" s="9" t="str">
        <x:v>1. 执行角色为平台管理员
2. 当前排班的实际编号的排班编号为“600001”</x:v>
      </x:c>
      <x:c r="J80" s="9" t="str">
        <x:v>1. 进入巡房排班
2. 查看排班编号</x:v>
      </x:c>
      <x:c r="K80" s="9" t="str">
        <x:v>排班编号显示“600001”</x:v>
      </x:c>
      <x:c r="L80" s="10" t="str"/>
      <x:c r="M80" s="10" t="str">
        <x:v>未测</x:v>
      </x:c>
      <x:c r="N80" s="10" t="str"/>
      <x:c r="O80" s="9" t="str">
        <x:v>1. 来源（当前证据）：liveshow-proto/MainBasis/统一需求文档.md；位置：行2644
2. 规则：BR-8699bed54bfff38d
3. 未动态验证</x:v>
      </x:c>
    </x:row>
    <x:row r="81" ht="70" customHeight="1">
      <x:c r="A81" s="10" t="n">
        <x:v>80</x:v>
      </x:c>
      <x:c r="B81" s="10" t="str">
        <x:v>ADMIN-03-0053</x:v>
      </x:c>
      <x:c r="C81" s="10" t="str">
        <x:v>主播管理</x:v>
      </x:c>
      <x:c r="D81" s="10" t="str">
        <x:v>巡房排班（平台管理员视角）</x:v>
      </x:c>
      <x:c r="E81" s="10" t="str">
        <x:v>功能需求</x:v>
      </x:c>
      <x:c r="F81" s="10" t="str">
        <x:v>P2</x:v>
      </x:c>
      <x:c r="G81" s="9" t="str">
        <x:v>验证巡房排班读取状态</x:v>
      </x:c>
      <x:c r="H81" s="9" t="str">
        <x:v>状态回显</x:v>
      </x:c>
      <x:c r="I81" s="9" t="str">
        <x:v>1. 执行角色为平台管理员
2. 所选排班的当前状态的状态为“已停用”</x:v>
      </x:c>
      <x:c r="J81" s="9" t="str">
        <x:v>1. 进入巡房排班
2. 查看状态</x:v>
      </x:c>
      <x:c r="K81" s="9" t="str">
        <x:v>状态显示“已停用”</x:v>
      </x:c>
      <x:c r="L81" s="10" t="str"/>
      <x:c r="M81" s="10" t="str">
        <x:v>未测</x:v>
      </x:c>
      <x:c r="N81" s="10" t="str"/>
      <x:c r="O81" s="9" t="str">
        <x:v>1. 来源（当前证据）：liveshow-proto/MainBasis/统一需求文档.md；位置：行2647
2. 规则：BR-ff979f1b49afedc4
3. 未动态验证</x:v>
      </x:c>
    </x:row>
    <x:row r="82" ht="115" customHeight="1">
      <x:c r="A82" s="10" t="n">
        <x:v>81</x:v>
      </x:c>
      <x:c r="B82" s="10" t="str">
        <x:v>ADMIN-03-0054</x:v>
      </x:c>
      <x:c r="C82" s="10" t="str">
        <x:v>主播管理</x:v>
      </x:c>
      <x:c r="D82" s="10" t="str">
        <x:v>巡房排班（平台管理员视角）</x:v>
      </x:c>
      <x:c r="E82" s="10" t="str">
        <x:v>业务流程</x:v>
      </x:c>
      <x:c r="F82" s="10" t="str">
        <x:v>P1</x:v>
      </x:c>
      <x:c r="G82" s="9" t="str">
        <x:v>验证停用当前生效排班</x:v>
      </x:c>
      <x:c r="H82" s="9" t="str">
        <x:v>巡房排班停用</x:v>
      </x:c>
      <x:c r="I82" s="9" t="str">
        <x:v>1. 执行角色为平台管理员
2. 排班甲当前生效</x:v>
      </x:c>
      <x:c r="J82" s="9" t="str">
        <x:v>1. 进入巡房排班
2. 点击停用甲
3. 点击确认</x:v>
      </x:c>
      <x:c r="K82" s="9" t="str">
        <x:v>排班甲不再生效</x:v>
      </x:c>
      <x:c r="L82" s="10" t="str"/>
      <x:c r="M82" s="10" t="str">
        <x:v>未测</x:v>
      </x:c>
      <x:c r="N82" s="10" t="str"/>
      <x:c r="O82" s="9" t="str">
        <x:v>1. 来源（当前证据）：liveshow-proto/MainBasis/统一需求文档.md；位置：行2651
2. 规则：BR-88761e4005e8c672
3. 未动态验证
4. 数据别名：甲、乙、丙用于区分本条测试对象；按前置条件准备并记录实际账号或记录 ID，不是固定业务名称。</x:v>
      </x:c>
    </x:row>
    <x:row r="83" ht="70" customHeight="1">
      <x:c r="A83" s="10" t="n">
        <x:v>82</x:v>
      </x:c>
      <x:c r="B83" s="10" t="str">
        <x:v>ADMIN-03-0055</x:v>
      </x:c>
      <x:c r="C83" s="10" t="str">
        <x:v>主播管理</x:v>
      </x:c>
      <x:c r="D83" s="10" t="str">
        <x:v>新建排班（平台管理员视角）</x:v>
      </x:c>
      <x:c r="E83" s="10" t="str">
        <x:v>业务流程</x:v>
      </x:c>
      <x:c r="F83" s="10" t="str">
        <x:v>P1</x:v>
      </x:c>
      <x:c r="G83" s="9" t="str">
        <x:v>验证不能排班过去日期</x:v>
      </x:c>
      <x:c r="H83" s="9" t="str">
        <x:v>巡房排班日期边界</x:v>
      </x:c>
      <x:c r="I83" s="9" t="str">
        <x:v>1. 执行角色为平台管理员
2. 系统当前日期2026年9月15日</x:v>
      </x:c>
      <x:c r="J83" s="9" t="str">
        <x:v>1. 进入新建排班
2. 选择日期9月14日
3. 填写有效时间段和人员
4. 点击保存</x:v>
      </x:c>
      <x:c r="K83" s="9" t="str">
        <x:v>不能保存过去日期的排班</x:v>
      </x:c>
      <x:c r="L83" s="10" t="str"/>
      <x:c r="M83" s="10" t="str">
        <x:v>未测</x:v>
      </x:c>
      <x:c r="N83" s="10" t="str"/>
      <x:c r="O83" s="9" t="str">
        <x:v>1. 来源（当前证据）：liveshow-proto/MainBasis/统一需求文档.md；位置：行2656
2. 规则：BR-13c76f1046dcae8f
3. 未动态验证</x:v>
      </x:c>
    </x:row>
    <x:row r="84" ht="175" customHeight="1">
      <x:c r="A84" s="10" t="n">
        <x:v>83</x:v>
      </x:c>
      <x:c r="B84" s="10" t="str">
        <x:v>ADMIN-03-0056</x:v>
      </x:c>
      <x:c r="C84" s="10" t="str">
        <x:v>主播管理</x:v>
      </x:c>
      <x:c r="D84" s="10" t="str">
        <x:v>新建排班（平台管理员视角）</x:v>
      </x:c>
      <x:c r="E84" s="10" t="str">
        <x:v>业务流程</x:v>
      </x:c>
      <x:c r="F84" s="10" t="str">
        <x:v>P1</x:v>
      </x:c>
      <x:c r="G84" s="9" t="str">
        <x:v>验证排班结束时间等于开始</x:v>
      </x:c>
      <x:c r="H84" s="9" t="str">
        <x:v>巡房时间段零长度</x:v>
      </x:c>
      <x:c r="I84" s="9" t="str">
        <x:v>1. 执行角色为平台管理员
2. 日期为今天，巡房人员甲可用</x:v>
      </x:c>
      <x:c r="J84" s="9" t="str">
        <x:v>1. 进入新建排班
2. 输入起止时间均12:00
3. 点击保存</x:v>
      </x:c>
      <x:c r="K84" s="9" t="str">
        <x:v>不能保存零长度排班</x:v>
      </x:c>
      <x:c r="L84" s="10" t="str"/>
      <x:c r="M84" s="10" t="str">
        <x:v>未测</x:v>
      </x:c>
      <x:c r="N84" s="10" t="str"/>
      <x:c r="O84" s="9" t="str">
        <x:v>1. 来源（当前证据）：liveshow-proto/MainBasis/统一需求文档.md；位置：行2657、行2645
2. 规则：BR-9b7c2cba6dbba44f
3. 未动态验证
4. 数据别名：甲、乙、丙用于区分本条测试对象；按前置条件准备并记录实际账号或记录 ID，不是固定业务名称。
5. 本轮语义去重：合并同一结果路径“验证排班结束等于开始不能保存”，不读取历史用例。</x:v>
      </x:c>
    </x:row>
    <x:row r="85" ht="175" customHeight="1">
      <x:c r="A85" s="10" t="n">
        <x:v>84</x:v>
      </x:c>
      <x:c r="B85" s="10" t="str">
        <x:v>ADMIN-03-0057</x:v>
      </x:c>
      <x:c r="C85" s="10" t="str">
        <x:v>主播管理</x:v>
      </x:c>
      <x:c r="D85" s="10" t="str">
        <x:v>新建排班（平台管理员视角）</x:v>
      </x:c>
      <x:c r="E85" s="10" t="str">
        <x:v>业务流程</x:v>
      </x:c>
      <x:c r="F85" s="10" t="str">
        <x:v>P1</x:v>
      </x:c>
      <x:c r="G85" s="9" t="str">
        <x:v>验证排班结束早于开始</x:v>
      </x:c>
      <x:c r="H85" s="9" t="str">
        <x:v>巡房时间段倒置</x:v>
      </x:c>
      <x:c r="I85" s="9" t="str">
        <x:v>1. 执行角色为平台管理员
2. 日期为今天，巡房人员甲可用</x:v>
      </x:c>
      <x:c r="J85" s="9" t="str">
        <x:v>1. 进入新建排班
2. 输入开始13:00结束12:00
3. 点击保存</x:v>
      </x:c>
      <x:c r="K85" s="9" t="str">
        <x:v>不能保存结束早于开始的排班</x:v>
      </x:c>
      <x:c r="L85" s="10" t="str"/>
      <x:c r="M85" s="10" t="str">
        <x:v>未测</x:v>
      </x:c>
      <x:c r="N85" s="10" t="str"/>
      <x:c r="O85" s="9" t="str">
        <x:v>1. 来源（当前证据）：liveshow-proto/MainBasis/统一需求文档.md；位置：行2657、行2645
2. 规则：BR-023c5f15c7d1891c
3. 未动态验证
4. 数据别名：甲、乙、丙用于区分本条测试对象；按前置条件准备并记录实际账号或记录 ID，不是固定业务名称。
5. 本轮语义去重：合并同一结果路径“验证排班结束早于开始不能保存”，不读取历史用例。</x:v>
      </x:c>
    </x:row>
    <x:row r="86" ht="70" customHeight="1">
      <x:c r="A86" s="10" t="n">
        <x:v>85</x:v>
      </x:c>
      <x:c r="B86" s="10" t="str">
        <x:v>ADMIN-03-0058</x:v>
      </x:c>
      <x:c r="C86" s="10" t="str">
        <x:v>主播管理</x:v>
      </x:c>
      <x:c r="D86" s="10" t="str">
        <x:v>新建排班（平台管理员视角）</x:v>
      </x:c>
      <x:c r="E86" s="10" t="str">
        <x:v>业务流程</x:v>
      </x:c>
      <x:c r="F86" s="10" t="str">
        <x:v>P1</x:v>
      </x:c>
      <x:c r="G86" s="9" t="str">
        <x:v>验证巡房人员至少选择一人</x:v>
      </x:c>
      <x:c r="H86" s="9" t="str">
        <x:v>排班人员必选</x:v>
      </x:c>
      <x:c r="I86" s="9" t="str">
        <x:v>1. 执行角色为平台管理员
2. 日期和时间段合法</x:v>
      </x:c>
      <x:c r="J86" s="9" t="str">
        <x:v>1. 进入新建排班
2. 清空巡房人员
3. 点击保存</x:v>
      </x:c>
      <x:c r="K86" s="9" t="str">
        <x:v>不能保存无人员排班</x:v>
      </x:c>
      <x:c r="L86" s="10" t="str"/>
      <x:c r="M86" s="10" t="str">
        <x:v>未测</x:v>
      </x:c>
      <x:c r="N86" s="10" t="str"/>
      <x:c r="O86" s="9" t="str">
        <x:v>1. 来源（当前证据）：liveshow-proto/MainBasis/统一需求文档.md；位置：行2658
2. 规则：BR-dbc936cd8f3da438
3. 未动态验证</x:v>
      </x:c>
    </x:row>
    <x:row r="87" ht="115" customHeight="1">
      <x:c r="A87" s="10" t="n">
        <x:v>86</x:v>
      </x:c>
      <x:c r="B87" s="10" t="str">
        <x:v>ADMIN-03-0059</x:v>
      </x:c>
      <x:c r="C87" s="10" t="str">
        <x:v>主播管理</x:v>
      </x:c>
      <x:c r="D87" s="10" t="str">
        <x:v>新建排班（平台管理员视角）</x:v>
      </x:c>
      <x:c r="E87" s="10" t="str">
        <x:v>业务流程</x:v>
      </x:c>
      <x:c r="F87" s="10" t="str">
        <x:v>P1</x:v>
      </x:c>
      <x:c r="G87" s="9" t="str">
        <x:v>验证巡房人员不可重复</x:v>
      </x:c>
      <x:c r="H87" s="9" t="str">
        <x:v>排班人员去重</x:v>
      </x:c>
      <x:c r="I87" s="9" t="str">
        <x:v>1. 执行角色为平台管理员
2. 甲为可用账号；排班已有甲</x:v>
      </x:c>
      <x:c r="J87" s="9" t="str">
        <x:v>1. 进入新建排班
2. 点击添加
3. 选择甲</x:v>
      </x:c>
      <x:c r="K87" s="9" t="str">
        <x:v>名单只保留一条甲</x:v>
      </x:c>
      <x:c r="L87" s="10" t="str"/>
      <x:c r="M87" s="10" t="str">
        <x:v>未测</x:v>
      </x:c>
      <x:c r="N87" s="10" t="str"/>
      <x:c r="O87" s="9" t="str">
        <x:v>1. 来源（当前证据）：liveshow-proto/MainBasis/统一需求文档.md；位置：行2658
2. 规则：BR-5a4fa888c25252a8
3. 未动态验证
4. 数据别名：甲、乙、丙用于区分本条测试对象；按前置条件准备并记录实际账号或记录 ID，不是固定业务名称。</x:v>
      </x:c>
    </x:row>
    <x:row r="88" ht="115" customHeight="1">
      <x:c r="A88" s="10" t="n">
        <x:v>87</x:v>
      </x:c>
      <x:c r="B88" s="10" t="str">
        <x:v>ADMIN-03-0060</x:v>
      </x:c>
      <x:c r="C88" s="10" t="str">
        <x:v>主播管理</x:v>
      </x:c>
      <x:c r="D88" s="10" t="str">
        <x:v>新建排班（平台管理员视角）</x:v>
      </x:c>
      <x:c r="E88" s="10" t="str">
        <x:v>业务流程</x:v>
      </x:c>
      <x:c r="F88" s="10" t="str">
        <x:v>P1</x:v>
      </x:c>
      <x:c r="G88" s="9" t="str">
        <x:v>验证封禁用户不能加入巡房排班</x:v>
      </x:c>
      <x:c r="H88" s="9" t="str">
        <x:v>巡房账号资格</x:v>
      </x:c>
      <x:c r="I88" s="9" t="str">
        <x:v>1. 执行角色为平台管理员
2. 用户甲已被平台封禁</x:v>
      </x:c>
      <x:c r="J88" s="9" t="str">
        <x:v>1. 进入新建排班
2. 打开人员选择
3. 查询甲</x:v>
      </x:c>
      <x:c r="K88" s="9" t="str">
        <x:v>甲不可被添加为有效巡房人员</x:v>
      </x:c>
      <x:c r="L88" s="10" t="str"/>
      <x:c r="M88" s="10" t="str">
        <x:v>未测</x:v>
      </x:c>
      <x:c r="N88" s="10" t="str"/>
      <x:c r="O88" s="9" t="str">
        <x:v>1. 来源（当前证据）：liveshow-proto/MainBasis/统一需求文档.md；位置：行2659
2. 规则：BR-262ab2f59c788f2d
3. 未动态验证
4. 数据别名：甲、乙、丙用于区分本条测试对象；按前置条件准备并记录实际账号或记录 ID，不是固定业务名称。</x:v>
      </x:c>
    </x:row>
    <x:row r="89" ht="115" customHeight="1">
      <x:c r="A89" s="10" t="n">
        <x:v>88</x:v>
      </x:c>
      <x:c r="B89" s="10" t="str">
        <x:v>ADMIN-03-0061</x:v>
      </x:c>
      <x:c r="C89" s="10" t="str">
        <x:v>主播管理</x:v>
      </x:c>
      <x:c r="D89" s="10" t="str">
        <x:v>新建排班（平台管理员视角）</x:v>
      </x:c>
      <x:c r="E89" s="10" t="str">
        <x:v>业务流程</x:v>
      </x:c>
      <x:c r="F89" s="10" t="str">
        <x:v>P1</x:v>
      </x:c>
      <x:c r="G89" s="9" t="str">
        <x:v>验证巡房人员全选只作用当前结果</x:v>
      </x:c>
      <x:c r="H89" s="9" t="str">
        <x:v>巡房选择范围</x:v>
      </x:c>
      <x:c r="I89" s="9" t="str">
        <x:v>1. 执行角色为平台管理员
2. 可选甲乙丙；当前关键词只命中甲乙</x:v>
      </x:c>
      <x:c r="J89" s="9" t="str">
        <x:v>1. 进入人员选择
2. 点击全选</x:v>
      </x:c>
      <x:c r="K89" s="9" t="str">
        <x:v>仅甲乙被选中</x:v>
      </x:c>
      <x:c r="L89" s="10" t="str"/>
      <x:c r="M89" s="10" t="str">
        <x:v>未测</x:v>
      </x:c>
      <x:c r="N89" s="10" t="str"/>
      <x:c r="O89" s="9" t="str">
        <x:v>1. 来源（当前证据）：liveshow-proto/MainBasis/统一需求文档.md；位置：行2660
2. 规则：BR-925aa92b8526a858
3. 未动态验证
4. 数据别名：甲、乙、丙用于区分本条测试对象；按前置条件准备并记录实际账号或记录 ID，不是固定业务名称。</x:v>
      </x:c>
    </x:row>
    <x:row r="90" ht="115" customHeight="1">
      <x:c r="A90" s="10" t="n">
        <x:v>89</x:v>
      </x:c>
      <x:c r="B90" s="10" t="str">
        <x:v>ADMIN-03-0062</x:v>
      </x:c>
      <x:c r="C90" s="10" t="str">
        <x:v>主播管理</x:v>
      </x:c>
      <x:c r="D90" s="10" t="str">
        <x:v>新建排班（平台管理员视角）</x:v>
      </x:c>
      <x:c r="E90" s="10" t="str">
        <x:v>业务流程</x:v>
      </x:c>
      <x:c r="F90" s="10" t="str">
        <x:v>P1</x:v>
      </x:c>
      <x:c r="G90" s="9" t="str">
        <x:v>验证保存合法排班返回列表</x:v>
      </x:c>
      <x:c r="H90" s="9" t="str">
        <x:v>巡房创建主流程</x:v>
      </x:c>
      <x:c r="I90" s="9" t="str">
        <x:v>1. 执行角色为平台管理员
2. 当前日期9月15日；甲启用且可巡房</x:v>
      </x:c>
      <x:c r="J90" s="9" t="str">
        <x:v>1. 进入新建排班
2. 选择9月16日
3. 输入12:00至13:00
4. 选择甲
5. 点击保存</x:v>
      </x:c>
      <x:c r="K90" s="9" t="str">
        <x:v>返回巡房排班列表</x:v>
      </x:c>
      <x:c r="L90" s="10" t="str"/>
      <x:c r="M90" s="10" t="str">
        <x:v>未测</x:v>
      </x:c>
      <x:c r="N90" s="10" t="str"/>
      <x:c r="O90" s="9" t="str">
        <x:v>1. 来源（当前证据）：liveshow-proto/MainBasis/统一需求文档.md；位置：行2660
2. 规则：BR-dc00c9fa94766b3b
3. 未动态验证
4. 数据别名：甲、乙、丙用于区分本条测试对象；按前置条件准备并记录实际账号或记录 ID，不是固定业务名称。</x:v>
      </x:c>
    </x:row>
    <x:row r="91" ht="70" customHeight="1">
      <x:c r="A91" s="10" t="n">
        <x:v>90</x:v>
      </x:c>
      <x:c r="B91" s="10" t="str">
        <x:v>ADMIN-03-0063</x:v>
      </x:c>
      <x:c r="C91" s="10" t="str">
        <x:v>主播管理</x:v>
      </x:c>
      <x:c r="D91" s="10" t="str">
        <x:v>排班详情（平台管理员视角）</x:v>
      </x:c>
      <x:c r="E91" s="10" t="str">
        <x:v>功能需求</x:v>
      </x:c>
      <x:c r="F91" s="10" t="str">
        <x:v>P2</x:v>
      </x:c>
      <x:c r="G91" s="9" t="str">
        <x:v>验证排班详情读取编号</x:v>
      </x:c>
      <x:c r="H91" s="9" t="str">
        <x:v>编号回显</x:v>
      </x:c>
      <x:c r="I91" s="9" t="str">
        <x:v>1. 执行角色为平台管理员
2. 所选历史排班创建记录的编号为“600001”</x:v>
      </x:c>
      <x:c r="J91" s="9" t="str">
        <x:v>1. 进入排班详情
2. 查看编号</x:v>
      </x:c>
      <x:c r="K91" s="9" t="str">
        <x:v>编号显示“600001”</x:v>
      </x:c>
      <x:c r="L91" s="10" t="str"/>
      <x:c r="M91" s="10" t="str">
        <x:v>未测</x:v>
      </x:c>
      <x:c r="N91" s="10" t="str"/>
      <x:c r="O91" s="9" t="str">
        <x:v>1. 来源（当前证据）：liveshow-proto/MainBasis/统一需求文档.md；位置：行2665
2. 规则：BR-4fc0ef5e6bf07b48
3. 未动态验证</x:v>
      </x:c>
    </x:row>
    <x:row r="92" ht="70" customHeight="1">
      <x:c r="A92" s="10" t="n">
        <x:v>91</x:v>
      </x:c>
      <x:c r="B92" s="10" t="str">
        <x:v>ADMIN-03-0064</x:v>
      </x:c>
      <x:c r="C92" s="10" t="str">
        <x:v>主播管理</x:v>
      </x:c>
      <x:c r="D92" s="10" t="str">
        <x:v>排班详情（平台管理员视角）</x:v>
      </x:c>
      <x:c r="E92" s="10" t="str">
        <x:v>功能需求</x:v>
      </x:c>
      <x:c r="F92" s="10" t="str">
        <x:v>P2</x:v>
      </x:c>
      <x:c r="G92" s="9" t="str">
        <x:v>验证排班详情读取用户ID</x:v>
      </x:c>
      <x:c r="H92" s="9" t="str">
        <x:v>用户ID回显</x:v>
      </x:c>
      <x:c r="I92" s="9" t="str">
        <x:v>1. 执行角色为平台管理员
2. 该排班名单中的巡房账号的用户ID为“100001”</x:v>
      </x:c>
      <x:c r="J92" s="9" t="str">
        <x:v>1. 进入排班详情
2. 查看用户ID</x:v>
      </x:c>
      <x:c r="K92" s="9" t="str">
        <x:v>用户ID显示“100001”</x:v>
      </x:c>
      <x:c r="L92" s="10" t="str"/>
      <x:c r="M92" s="10" t="str">
        <x:v>未测</x:v>
      </x:c>
      <x:c r="N92" s="10" t="str"/>
      <x:c r="O92" s="9" t="str">
        <x:v>1. 来源（当前证据）：liveshow-proto/MainBasis/统一需求文档.md；位置：行2666
2. 规则：BR-1325568c7761a7cb
3. 未动态验证</x:v>
      </x:c>
    </x:row>
    <x:row r="93" ht="115" customHeight="1">
      <x:c r="A93" s="10" t="n">
        <x:v>92</x:v>
      </x:c>
      <x:c r="B93" s="10" t="str">
        <x:v>ADMIN-03-0065</x:v>
      </x:c>
      <x:c r="C93" s="10" t="str">
        <x:v>主播管理</x:v>
      </x:c>
      <x:c r="D93" s="10" t="str">
        <x:v>排班详情（平台管理员视角）</x:v>
      </x:c>
      <x:c r="E93" s="10" t="str">
        <x:v>业务流程</x:v>
      </x:c>
      <x:c r="F93" s="10" t="str">
        <x:v>P1</x:v>
      </x:c>
      <x:c r="G93" s="9" t="str">
        <x:v>验证人员后续封禁不删历史名单</x:v>
      </x:c>
      <x:c r="H93" s="9" t="str">
        <x:v>巡房人员历史保留</x:v>
      </x:c>
      <x:c r="I93" s="9" t="str">
        <x:v>1. 执行角色为平台管理员
2. 甲已列入昨日排班，今天被封禁</x:v>
      </x:c>
      <x:c r="J93" s="9" t="str">
        <x:v>1. 进入昨日排班详情</x:v>
      </x:c>
      <x:c r="K93" s="9" t="str">
        <x:v>历史名单仍包含甲</x:v>
      </x:c>
      <x:c r="L93" s="10" t="str"/>
      <x:c r="M93" s="10" t="str">
        <x:v>未测</x:v>
      </x:c>
      <x:c r="N93" s="10" t="str"/>
      <x:c r="O93" s="9" t="str">
        <x:v>1. 来源（当前证据）：liveshow-proto/MainBasis/统一需求文档.md；位置：行2667
2. 规则：BR-18de1e41ff7127a3
3. 未动态验证
4. 数据别名：甲、乙、丙用于区分本条测试对象；按前置条件准备并记录实际账号或记录 ID，不是固定业务名称。</x:v>
      </x:c>
    </x:row>
    <x:row r="94" ht="70" customHeight="1">
      <x:c r="A94" s="10" t="n">
        <x:v>93</x:v>
      </x:c>
      <x:c r="B94" s="10" t="str">
        <x:v>ADMIN-03-0066</x:v>
      </x:c>
      <x:c r="C94" s="10" t="str">
        <x:v>主播管理</x:v>
      </x:c>
      <x:c r="D94" s="10" t="str">
        <x:v>内容审核（平台管理员视角）</x:v>
      </x:c>
      <x:c r="E94" s="10" t="str">
        <x:v>功能需求</x:v>
      </x:c>
      <x:c r="F94" s="10" t="str">
        <x:v>P2</x:v>
      </x:c>
      <x:c r="G94" s="9" t="str">
        <x:v>验证内容审核读取审核单号</x:v>
      </x:c>
      <x:c r="H94" s="9" t="str">
        <x:v>审核单号回显</x:v>
      </x:c>
      <x:c r="I94" s="9" t="str">
        <x:v>1. 执行角色为平台管理员
2. 所选机审告警实际编号的审核单号为“700001”</x:v>
      </x:c>
      <x:c r="J94" s="9" t="str">
        <x:v>1. 进入内容审核
2. 查看审核单号</x:v>
      </x:c>
      <x:c r="K94" s="9" t="str">
        <x:v>审核单号显示“700001”</x:v>
      </x:c>
      <x:c r="L94" s="10" t="str"/>
      <x:c r="M94" s="10" t="str">
        <x:v>未测</x:v>
      </x:c>
      <x:c r="N94" s="10" t="str"/>
      <x:c r="O94" s="9" t="str">
        <x:v>1. 来源（当前证据）：liveshow-proto/MainBasis/统一需求文档.md；位置：行2673
2. 规则：BR-e0d3f2539d7910f3
3. 未动态验证</x:v>
      </x:c>
    </x:row>
    <x:row r="95" ht="115" customHeight="1">
      <x:c r="A95" s="10" t="n">
        <x:v>94</x:v>
      </x:c>
      <x:c r="B95" s="10" t="str">
        <x:v>ADMIN-03-0067</x:v>
      </x:c>
      <x:c r="C95" s="10" t="str">
        <x:v>主播管理</x:v>
      </x:c>
      <x:c r="D95" s="10" t="str">
        <x:v>内容审核（平台管理员视角）</x:v>
      </x:c>
      <x:c r="E95" s="10" t="str">
        <x:v>业务流程</x:v>
      </x:c>
      <x:c r="F95" s="10" t="str">
        <x:v>P1</x:v>
      </x:c>
      <x:c r="G95" s="9" t="str">
        <x:v>验证机审命中不直接处罚</x:v>
      </x:c>
      <x:c r="H95" s="9" t="str">
        <x:v>机审告警与处罚分离</x:v>
      </x:c>
      <x:c r="I95" s="9" t="str">
        <x:v>1. 执行角色为平台管理员
2. 刚产生甲高风险机审告警，尚未人工处理</x:v>
      </x:c>
      <x:c r="J95" s="9" t="str">
        <x:v>1. 进入内容审核
2. 打开该告警</x:v>
      </x:c>
      <x:c r="K95" s="9" t="str">
        <x:v>处置结果仍为“-”</x:v>
      </x:c>
      <x:c r="L95" s="10" t="str"/>
      <x:c r="M95" s="10" t="str">
        <x:v>未测</x:v>
      </x:c>
      <x:c r="N95" s="10" t="str"/>
      <x:c r="O95" s="9" t="str">
        <x:v>1. 来源（当前证据）：liveshow-proto/MainBasis/统一需求文档.md；位置：行2674
2. 规则：BR-3c3ddaadfed289ea
3. 未动态验证
4. 数据别名：甲、乙、丙用于区分本条测试对象；按前置条件准备并记录实际账号或记录 ID，不是固定业务名称。</x:v>
      </x:c>
    </x:row>
    <x:row r="96" ht="70" customHeight="1">
      <x:c r="A96" s="10" t="n">
        <x:v>95</x:v>
      </x:c>
      <x:c r="B96" s="10" t="str">
        <x:v>ADMIN-03-0068</x:v>
      </x:c>
      <x:c r="C96" s="10" t="str">
        <x:v>主播管理</x:v>
      </x:c>
      <x:c r="D96" s="10" t="str">
        <x:v>内容审核（平台管理员视角）</x:v>
      </x:c>
      <x:c r="E96" s="10" t="str">
        <x:v>功能需求</x:v>
      </x:c>
      <x:c r="F96" s="10" t="str">
        <x:v>P2</x:v>
      </x:c>
      <x:c r="G96" s="9" t="str">
        <x:v>验证内容审核读取风险等级</x:v>
      </x:c>
      <x:c r="H96" s="9" t="str">
        <x:v>风险等级回显</x:v>
      </x:c>
      <x:c r="I96" s="9" t="str">
        <x:v>1. 执行角色为平台管理员
2. 所选机审结果的风险等级为“高”</x:v>
      </x:c>
      <x:c r="J96" s="9" t="str">
        <x:v>1. 进入内容审核
2. 查看风险等级</x:v>
      </x:c>
      <x:c r="K96" s="9" t="str">
        <x:v>风险等级显示“高”</x:v>
      </x:c>
      <x:c r="L96" s="10" t="str"/>
      <x:c r="M96" s="10" t="str">
        <x:v>未测</x:v>
      </x:c>
      <x:c r="N96" s="10" t="str"/>
      <x:c r="O96" s="9" t="str">
        <x:v>1. 来源（当前证据）：liveshow-proto/MainBasis/统一需求文档.md；位置：行2674
2. 规则：BR-54645d0e829973b0
3. 未动态验证</x:v>
      </x:c>
    </x:row>
    <x:row r="97" ht="70" customHeight="1">
      <x:c r="A97" s="10" t="n">
        <x:v>96</x:v>
      </x:c>
      <x:c r="B97" s="10" t="str">
        <x:v>ADMIN-03-0069</x:v>
      </x:c>
      <x:c r="C97" s="10" t="str">
        <x:v>主播管理</x:v>
      </x:c>
      <x:c r="D97" s="10" t="str">
        <x:v>内容审核（平台管理员视角）</x:v>
      </x:c>
      <x:c r="E97" s="10" t="str">
        <x:v>功能需求</x:v>
      </x:c>
      <x:c r="F97" s="10" t="str">
        <x:v>P2</x:v>
      </x:c>
      <x:c r="G97" s="9" t="str">
        <x:v>验证内容审核读取审核状态</x:v>
      </x:c>
      <x:c r="H97" s="9" t="str">
        <x:v>审核状态回显</x:v>
      </x:c>
      <x:c r="I97" s="9" t="str">
        <x:v>1. 执行角色为平台管理员
2. 所选审核单当前阶段的审核状态为“人工复审中”</x:v>
      </x:c>
      <x:c r="J97" s="9" t="str">
        <x:v>1. 进入内容审核
2. 查看审核状态</x:v>
      </x:c>
      <x:c r="K97" s="9" t="str">
        <x:v>审核状态显示“人工复审中”</x:v>
      </x:c>
      <x:c r="L97" s="10" t="str"/>
      <x:c r="M97" s="10" t="str">
        <x:v>未测</x:v>
      </x:c>
      <x:c r="N97" s="10" t="str"/>
      <x:c r="O97" s="9" t="str">
        <x:v>1. 来源（当前证据）：liveshow-proto/MainBasis/统一需求文档.md；位置：行2676
2. 规则：BR-47de1dd16ea78184
3. 未动态验证</x:v>
      </x:c>
    </x:row>
    <x:row r="98" ht="115" customHeight="1">
      <x:c r="A98" s="10" t="n">
        <x:v>97</x:v>
      </x:c>
      <x:c r="B98" s="10" t="str">
        <x:v>ADMIN-03-0070</x:v>
      </x:c>
      <x:c r="C98" s="10" t="str">
        <x:v>主播管理</x:v>
      </x:c>
      <x:c r="D98" s="10" t="str">
        <x:v>内容审核（平台管理员视角）</x:v>
      </x:c>
      <x:c r="E98" s="10" t="str">
        <x:v>功能需求</x:v>
      </x:c>
      <x:c r="F98" s="10" t="str">
        <x:v>P2</x:v>
      </x:c>
      <x:c r="G98" s="9" t="str">
        <x:v>验证未处理机审记录不填处置结果</x:v>
      </x:c>
      <x:c r="H98" s="9" t="str">
        <x:v>机审未处理结果</x:v>
      </x:c>
      <x:c r="I98" s="9" t="str">
        <x:v>1. 执行角色为平台管理员
2. 机审告警甲未处理</x:v>
      </x:c>
      <x:c r="J98" s="9" t="str">
        <x:v>1. 进入内容审核列表
2. 查看甲</x:v>
      </x:c>
      <x:c r="K98" s="9" t="str">
        <x:v>处置结果为“-”</x:v>
      </x:c>
      <x:c r="L98" s="10" t="str"/>
      <x:c r="M98" s="10" t="str">
        <x:v>未测</x:v>
      </x:c>
      <x:c r="N98" s="10" t="str"/>
      <x:c r="O98" s="9" t="str">
        <x:v>1. 来源（当前证据）：liveshow-proto/MainBasis/统一需求文档.md；位置：行2677
2. 规则：BR-5498b0f95ac6c8e8
3. 未动态验证
4. 数据别名：甲、乙、丙用于区分本条测试对象；按前置条件准备并记录实际账号或记录 ID，不是固定业务名称。</x:v>
      </x:c>
    </x:row>
    <x:row r="99" ht="130" customHeight="1">
      <x:c r="A99" s="10" t="n">
        <x:v>98</x:v>
      </x:c>
      <x:c r="B99" s="10" t="str">
        <x:v>ADMIN-03-0071</x:v>
      </x:c>
      <x:c r="C99" s="10" t="str">
        <x:v>主播管理</x:v>
      </x:c>
      <x:c r="D99" s="10" t="str">
        <x:v>内容审核（平台管理员视角）</x:v>
      </x:c>
      <x:c r="E99" s="10" t="str">
        <x:v>业务流程</x:v>
      </x:c>
      <x:c r="F99" s="10" t="str">
        <x:v>P1</x:v>
      </x:c>
      <x:c r="G99" s="9" t="str">
        <x:v>验证忽略误报不改变直播状态</x:v>
      </x:c>
      <x:c r="H99" s="9" t="str">
        <x:v>忽略告警影响边界</x:v>
      </x:c>
      <x:c r="I99" s="9" t="str">
        <x:v>1. 执行角色为平台管理员
2. 告警甲关联直播中场次，尚未处理</x:v>
      </x:c>
      <x:c r="J99" s="9" t="str">
        <x:v>1. 进入告警详情
2. 选择忽略
3. 填写原因“误报”
4. 点击提交
5. 进入关联场次</x:v>
      </x:c>
      <x:c r="K99" s="9" t="str">
        <x:v>场次仍为直播中</x:v>
      </x:c>
      <x:c r="L99" s="10" t="str"/>
      <x:c r="M99" s="10" t="str">
        <x:v>未测</x:v>
      </x:c>
      <x:c r="N99" s="10" t="str"/>
      <x:c r="O99" s="9" t="str">
        <x:v>1. 来源（当前证据）：liveshow-proto/MainBasis/统一需求文档.md；位置：行2678、行2688
2. 规则：BR-112c1cf04a7407c8
3. 未动态验证
4. 数据别名：甲、乙、丙用于区分本条测试对象；按前置条件准备并记录实际账号或记录 ID，不是固定业务名称。</x:v>
      </x:c>
    </x:row>
    <x:row r="100" ht="115" customHeight="1">
      <x:c r="A100" s="10" t="n">
        <x:v>99</x:v>
      </x:c>
      <x:c r="B100" s="10" t="str">
        <x:v>ADMIN-03-0072</x:v>
      </x:c>
      <x:c r="C100" s="10" t="str">
        <x:v>主播管理</x:v>
      </x:c>
      <x:c r="D100" s="10" t="str">
        <x:v>内容审核（平台管理员视角）</x:v>
      </x:c>
      <x:c r="E100" s="10" t="str">
        <x:v>业务流程</x:v>
      </x:c>
      <x:c r="F100" s="10" t="str">
        <x:v>P1</x:v>
      </x:c>
      <x:c r="G100" s="9" t="str">
        <x:v>验证转人工复审仍可继续处理</x:v>
      </x:c>
      <x:c r="H100" s="9" t="str">
        <x:v>机审转复审状态</x:v>
      </x:c>
      <x:c r="I100" s="9" t="str">
        <x:v>1. 执行角色为平台管理员
2. 告警甲待处理</x:v>
      </x:c>
      <x:c r="J100" s="9" t="str">
        <x:v>1. 进入告警详情
2. 选择转人工复审
3. 填写原因“进一步确认”
4. 点击提交</x:v>
      </x:c>
      <x:c r="K100" s="9" t="str">
        <x:v>告警处于人工复审中</x:v>
      </x:c>
      <x:c r="L100" s="10" t="str"/>
      <x:c r="M100" s="10" t="str">
        <x:v>未测</x:v>
      </x:c>
      <x:c r="N100" s="10" t="str"/>
      <x:c r="O100" s="9" t="str">
        <x:v>1. 来源（当前证据）：liveshow-proto/MainBasis/统一需求文档.md；位置：行2678
2. 规则：BR-32a5731a9eaf85d3
3. 未动态验证
4. 数据别名：甲、乙、丙用于区分本条测试对象；按前置条件准备并记录实际账号或记录 ID，不是固定业务名称。</x:v>
      </x:c>
    </x:row>
    <x:row r="101" ht="70" customHeight="1">
      <x:c r="A101" s="10" t="n">
        <x:v>100</x:v>
      </x:c>
      <x:c r="B101" s="10" t="str">
        <x:v>ADMIN-03-0073</x:v>
      </x:c>
      <x:c r="C101" s="10" t="str">
        <x:v>主播管理</x:v>
      </x:c>
      <x:c r="D101" s="10" t="str">
        <x:v>内容审核详情（平台管理员视角）</x:v>
      </x:c>
      <x:c r="E101" s="10" t="str">
        <x:v>功能需求</x:v>
      </x:c>
      <x:c r="F101" s="10" t="str">
        <x:v>P2</x:v>
      </x:c>
      <x:c r="G101" s="9" t="str">
        <x:v>验证内容审核详情读取场次</x:v>
      </x:c>
      <x:c r="H101" s="9" t="str">
        <x:v>场次回显</x:v>
      </x:c>
      <x:c r="I101" s="9" t="str">
        <x:v>1. 执行角色为平台管理员
2. 所选告警关联场次的场次为“400001”</x:v>
      </x:c>
      <x:c r="J101" s="9" t="str">
        <x:v>1. 进入内容审核详情
2. 查看场次</x:v>
      </x:c>
      <x:c r="K101" s="9" t="str">
        <x:v>场次显示“400001”</x:v>
      </x:c>
      <x:c r="L101" s="10" t="str"/>
      <x:c r="M101" s="10" t="str">
        <x:v>未测</x:v>
      </x:c>
      <x:c r="N101" s="10" t="str"/>
      <x:c r="O101" s="9" t="str">
        <x:v>1. 来源（当前证据）：liveshow-proto/MainBasis/统一需求文档.md；位置：行2684
2. 规则：BR-cbc026724f2b2b53
3. 未动态验证</x:v>
      </x:c>
    </x:row>
    <x:row r="102" ht="115" customHeight="1">
      <x:c r="A102" s="10" t="n">
        <x:v>101</x:v>
      </x:c>
      <x:c r="B102" s="10" t="str">
        <x:v>ADMIN-03-0074</x:v>
      </x:c>
      <x:c r="C102" s="10" t="str">
        <x:v>主播管理</x:v>
      </x:c>
      <x:c r="D102" s="10" t="str">
        <x:v>内容审核详情（平台管理员视角）</x:v>
      </x:c>
      <x:c r="E102" s="10" t="str">
        <x:v>功能需求</x:v>
      </x:c>
      <x:c r="F102" s="10" t="str">
        <x:v>P2</x:v>
      </x:c>
      <x:c r="G102" s="9" t="str">
        <x:v>验证处置后保留告警证据</x:v>
      </x:c>
      <x:c r="H102" s="9" t="str">
        <x:v>机审证据持久性</x:v>
      </x:c>
      <x:c r="I102" s="9" t="str">
        <x:v>1. 执行角色为平台管理员
2. 告警甲有证据截图且已完成人工复审</x:v>
      </x:c>
      <x:c r="J102" s="9" t="str">
        <x:v>1. 进入甲详情</x:v>
      </x:c>
      <x:c r="K102" s="9" t="str">
        <x:v>仍可查看原告警截图</x:v>
      </x:c>
      <x:c r="L102" s="10" t="str"/>
      <x:c r="M102" s="10" t="str">
        <x:v>未测</x:v>
      </x:c>
      <x:c r="N102" s="10" t="str"/>
      <x:c r="O102" s="9" t="str">
        <x:v>1. 来源（当前证据）：liveshow-proto/MainBasis/统一需求文档.md；位置：行2685
2. 规则：BR-fbcc649176f2561d
3. 未动态验证
4. 数据别名：甲、乙、丙用于区分本条测试对象；按前置条件准备并记录实际账号或记录 ID，不是固定业务名称。</x:v>
      </x:c>
    </x:row>
    <x:row r="103" ht="115" customHeight="1">
      <x:c r="A103" s="10" t="n">
        <x:v>102</x:v>
      </x:c>
      <x:c r="B103" s="10" t="str">
        <x:v>ADMIN-03-0075</x:v>
      </x:c>
      <x:c r="C103" s="10" t="str">
        <x:v>主播管理</x:v>
      </x:c>
      <x:c r="D103" s="10" t="str">
        <x:v>内容审核详情（平台管理员视角）</x:v>
      </x:c>
      <x:c r="E103" s="10" t="str">
        <x:v>业务流程</x:v>
      </x:c>
      <x:c r="F103" s="10" t="str">
        <x:v>P1</x:v>
      </x:c>
      <x:c r="G103" s="9" t="str">
        <x:v>验证内容处置原因不能为空</x:v>
      </x:c>
      <x:c r="H103" s="9" t="str">
        <x:v>机审人工处理原因</x:v>
      </x:c>
      <x:c r="I103" s="9" t="str">
        <x:v>1. 执行角色为平台管理员
2. 告警甲待处理</x:v>
      </x:c>
      <x:c r="J103" s="9" t="str">
        <x:v>1. 进入告警详情
2. 选择忽略
3. 清空原因
4. 点击提交</x:v>
      </x:c>
      <x:c r="K103" s="9" t="str">
        <x:v>不能提交无原因处理</x:v>
      </x:c>
      <x:c r="L103" s="10" t="str"/>
      <x:c r="M103" s="10" t="str">
        <x:v>未测</x:v>
      </x:c>
      <x:c r="N103" s="10" t="str"/>
      <x:c r="O103" s="9" t="str">
        <x:v>1. 来源（当前证据）：liveshow-proto/MainBasis/统一需求文档.md；位置：行2687
2. 规则：BR-99fbf4b48e5f1381
3. 未动态验证
4. 数据别名：甲、乙、丙用于区分本条测试对象；按前置条件准备并记录实际账号或记录 ID，不是固定业务名称。</x:v>
      </x:c>
    </x:row>
    <x:row r="104" ht="115" customHeight="1">
      <x:c r="A104" s="10" t="n">
        <x:v>103</x:v>
      </x:c>
      <x:c r="B104" s="10" t="str">
        <x:v>ADMIN-03-0076</x:v>
      </x:c>
      <x:c r="C104" s="10" t="str">
        <x:v>主播管理</x:v>
      </x:c>
      <x:c r="D104" s="10" t="str">
        <x:v>内容审核详情（平台管理员视角）</x:v>
      </x:c>
      <x:c r="E104" s="10" t="str">
        <x:v>业务流程</x:v>
      </x:c>
      <x:c r="F104" s="10" t="str">
        <x:v>P1</x:v>
      </x:c>
      <x:c r="G104" s="9" t="str">
        <x:v>验证已经忽略的告警只读</x:v>
      </x:c>
      <x:c r="H104" s="9" t="str">
        <x:v>内容审核终态</x:v>
      </x:c>
      <x:c r="I104" s="9" t="str">
        <x:v>1. 执行角色为平台管理员
2. 告警甲已忽略</x:v>
      </x:c>
      <x:c r="J104" s="9" t="str">
        <x:v>1. 进入告警甲详情</x:v>
      </x:c>
      <x:c r="K104" s="9" t="str">
        <x:v>不可再次处置</x:v>
      </x:c>
      <x:c r="L104" s="10" t="str"/>
      <x:c r="M104" s="10" t="str">
        <x:v>未测</x:v>
      </x:c>
      <x:c r="N104" s="10" t="str"/>
      <x:c r="O104" s="9" t="str">
        <x:v>1. 来源（当前证据）：liveshow-proto/MainBasis/统一需求文档.md；位置：行2688
2. 规则：BR-8841f55a0b217959
3. 未动态验证
4. 数据别名：甲、乙、丙用于区分本条测试对象；按前置条件准备并记录实际账号或记录 ID，不是固定业务名称。</x:v>
      </x:c>
    </x:row>
    <x:row r="105" ht="115" customHeight="1">
      <x:c r="A105" s="10" t="n">
        <x:v>104</x:v>
      </x:c>
      <x:c r="B105" s="10" t="str">
        <x:v>ADMIN-03-0077</x:v>
      </x:c>
      <x:c r="C105" s="10" t="str">
        <x:v>主播管理</x:v>
      </x:c>
      <x:c r="D105" s="10" t="str">
        <x:v>内容审核详情（平台管理员视角）</x:v>
      </x:c>
      <x:c r="E105" s="10" t="str">
        <x:v>功能需求</x:v>
      </x:c>
      <x:c r="F105" s="10" t="str">
        <x:v>P2</x:v>
      </x:c>
      <x:c r="G105" s="9" t="str">
        <x:v>验证人工复审必须填写原因</x:v>
      </x:c>
      <x:c r="H105" s="9" t="str">
        <x:v>复审原因必填</x:v>
      </x:c>
      <x:c r="I105" s="9" t="str">
        <x:v>1. 执行角色为平台管理员
2. 告警甲待复审</x:v>
      </x:c>
      <x:c r="J105" s="9" t="str">
        <x:v>1. 进入甲复审
2. 选择忽略
3. 清空原因
4. 点击提交</x:v>
      </x:c>
      <x:c r="K105" s="9" t="str">
        <x:v>不能提交无原因复审</x:v>
      </x:c>
      <x:c r="L105" s="10" t="str"/>
      <x:c r="M105" s="10" t="str">
        <x:v>未测</x:v>
      </x:c>
      <x:c r="N105" s="10" t="str"/>
      <x:c r="O105" s="9" t="str">
        <x:v>1. 来源（当前证据）：liveshow-proto/MainBasis/统一需求文档.md；位置：行2689
2. 规则：BR-7b978d92fa0c5d6a
3. 未动态验证
4. 数据别名：甲、乙、丙用于区分本条测试对象；按前置条件准备并记录实际账号或记录 ID，不是固定业务名称。</x:v>
      </x:c>
    </x:row>
    <x:row r="106" ht="70" customHeight="1">
      <x:c r="A106" s="10" t="n">
        <x:v>105</x:v>
      </x:c>
      <x:c r="B106" s="10" t="str">
        <x:v>ADMIN-04-0001</x:v>
      </x:c>
      <x:c r="C106" s="10" t="str">
        <x:v>举报处理</x:v>
      </x:c>
      <x:c r="D106" s="10" t="str">
        <x:v>账号违规（平台管理员视角）</x:v>
      </x:c>
      <x:c r="E106" s="10" t="str">
        <x:v>功能需求</x:v>
      </x:c>
      <x:c r="F106" s="10" t="str">
        <x:v>P2</x:v>
      </x:c>
      <x:c r="G106" s="9" t="str">
        <x:v>验证账号违规读取账号ID</x:v>
      </x:c>
      <x:c r="H106" s="9" t="str">
        <x:v>账号ID回显</x:v>
      </x:c>
      <x:c r="I106" s="9" t="str">
        <x:v>1. 执行角色为平台管理员
2. 账号举报所指对象的账号ID为“100001”</x:v>
      </x:c>
      <x:c r="J106" s="9" t="str">
        <x:v>1. 进入账号违规
2. 查看账号ID</x:v>
      </x:c>
      <x:c r="K106" s="9" t="str">
        <x:v>账号ID显示“100001”</x:v>
      </x:c>
      <x:c r="L106" s="10" t="str"/>
      <x:c r="M106" s="10" t="str">
        <x:v>未测</x:v>
      </x:c>
      <x:c r="N106" s="10" t="str"/>
      <x:c r="O106" s="9" t="str">
        <x:v>1. 来源（当前证据）：liveshow-proto/MainBasis/统一需求文档.md；位置：行2694
2. 规则：BR-0ab5a0b547f59eeb
3. 未动态验证</x:v>
      </x:c>
    </x:row>
    <x:row r="107" ht="70" customHeight="1">
      <x:c r="A107" s="10" t="n">
        <x:v>106</x:v>
      </x:c>
      <x:c r="B107" s="10" t="str">
        <x:v>ADMIN-04-0002</x:v>
      </x:c>
      <x:c r="C107" s="10" t="str">
        <x:v>举报处理</x:v>
      </x:c>
      <x:c r="D107" s="10" t="str">
        <x:v>账号违规（平台管理员视角）</x:v>
      </x:c>
      <x:c r="E107" s="10" t="str">
        <x:v>功能需求</x:v>
      </x:c>
      <x:c r="F107" s="10" t="str">
        <x:v>P2</x:v>
      </x:c>
      <x:c r="G107" s="9" t="str">
        <x:v>验证账号违规读取举报类型</x:v>
      </x:c>
      <x:c r="H107" s="9" t="str">
        <x:v>举报类型回显</x:v>
      </x:c>
      <x:c r="I107" s="9" t="str">
        <x:v>1. 执行角色为平台管理员
2. 该笔账号举报提交快照的举报类型为“其他”</x:v>
      </x:c>
      <x:c r="J107" s="9" t="str">
        <x:v>1. 进入账号违规
2. 查看举报类型</x:v>
      </x:c>
      <x:c r="K107" s="9" t="str">
        <x:v>举报类型显示“其他”</x:v>
      </x:c>
      <x:c r="L107" s="10" t="str"/>
      <x:c r="M107" s="10" t="str">
        <x:v>未测</x:v>
      </x:c>
      <x:c r="N107" s="10" t="str"/>
      <x:c r="O107" s="9" t="str">
        <x:v>1. 来源（当前证据）：liveshow-proto/MainBasis/统一需求文档.md；位置：行2695
2. 规则：BR-8886e224b9364388
3. 未动态验证</x:v>
      </x:c>
    </x:row>
    <x:row r="108" ht="70" customHeight="1">
      <x:c r="A108" s="10" t="n">
        <x:v>107</x:v>
      </x:c>
      <x:c r="B108" s="10" t="str">
        <x:v>ADMIN-04-0003</x:v>
      </x:c>
      <x:c r="C108" s="10" t="str">
        <x:v>举报处理</x:v>
      </x:c>
      <x:c r="D108" s="10" t="str">
        <x:v>账号违规（平台管理员视角）</x:v>
      </x:c>
      <x:c r="E108" s="10" t="str">
        <x:v>功能需求</x:v>
      </x:c>
      <x:c r="F108" s="10" t="str">
        <x:v>P2</x:v>
      </x:c>
      <x:c r="G108" s="9" t="str">
        <x:v>验证账号违规读取账号状态</x:v>
      </x:c>
      <x:c r="H108" s="9" t="str">
        <x:v>账号状态回显</x:v>
      </x:c>
      <x:c r="I108" s="9" t="str">
        <x:v>1. 执行角色为平台管理员
2. 该笔账号举报对象当前状态的账号状态为“正常”</x:v>
      </x:c>
      <x:c r="J108" s="9" t="str">
        <x:v>1. 进入账号违规
2. 查看账号状态</x:v>
      </x:c>
      <x:c r="K108" s="9" t="str">
        <x:v>账号状态显示“正常”</x:v>
      </x:c>
      <x:c r="L108" s="10" t="str"/>
      <x:c r="M108" s="10" t="str">
        <x:v>未测</x:v>
      </x:c>
      <x:c r="N108" s="10" t="str"/>
      <x:c r="O108" s="9" t="str">
        <x:v>1. 来源（当前证据）：liveshow-proto/MainBasis/统一需求文档.md；位置：行2696
2. 规则：BR-664124565bc0de87
3. 未动态验证</x:v>
      </x:c>
    </x:row>
    <x:row r="109" ht="70" customHeight="1">
      <x:c r="A109" s="10" t="n">
        <x:v>108</x:v>
      </x:c>
      <x:c r="B109" s="10" t="str">
        <x:v>ADMIN-04-0004</x:v>
      </x:c>
      <x:c r="C109" s="10" t="str">
        <x:v>举报处理</x:v>
      </x:c>
      <x:c r="D109" s="10" t="str">
        <x:v>账号违规（平台管理员视角）</x:v>
      </x:c>
      <x:c r="E109" s="10" t="str">
        <x:v>功能需求</x:v>
      </x:c>
      <x:c r="F109" s="10" t="str">
        <x:v>P2</x:v>
      </x:c>
      <x:c r="G109" s="9" t="str">
        <x:v>验证账号违规读取处理状态</x:v>
      </x:c>
      <x:c r="H109" s="9" t="str">
        <x:v>处理状态回显</x:v>
      </x:c>
      <x:c r="I109" s="9" t="str">
        <x:v>1. 执行角色为平台管理员
2. 所选账号举报工单的处理状态为“已处理”</x:v>
      </x:c>
      <x:c r="J109" s="9" t="str">
        <x:v>1. 进入账号违规
2. 查看处理状态</x:v>
      </x:c>
      <x:c r="K109" s="9" t="str">
        <x:v>处理状态显示“已处理”</x:v>
      </x:c>
      <x:c r="L109" s="10" t="str"/>
      <x:c r="M109" s="10" t="str">
        <x:v>未测</x:v>
      </x:c>
      <x:c r="N109" s="10" t="str"/>
      <x:c r="O109" s="9" t="str">
        <x:v>1. 来源（当前证据）：liveshow-proto/MainBasis/统一需求文档.md；位置：行2697
2. 规则：BR-dcb00933d02fc3df
3. 未动态验证</x:v>
      </x:c>
    </x:row>
    <x:row r="110" ht="115" customHeight="1">
      <x:c r="A110" s="10" t="n">
        <x:v>109</x:v>
      </x:c>
      <x:c r="B110" s="10" t="str">
        <x:v>ADMIN-04-0005</x:v>
      </x:c>
      <x:c r="C110" s="10" t="str">
        <x:v>举报处理</x:v>
      </x:c>
      <x:c r="D110" s="10" t="str">
        <x:v>账号违规（平台管理员视角）</x:v>
      </x:c>
      <x:c r="E110" s="10" t="str">
        <x:v>业务流程</x:v>
      </x:c>
      <x:c r="F110" s="10" t="str">
        <x:v>P1</x:v>
      </x:c>
      <x:c r="G110" s="9" t="str">
        <x:v>验证账号被举报后不自动封禁</x:v>
      </x:c>
      <x:c r="H110" s="9" t="str">
        <x:v>举报与处罚分离</x:v>
      </x:c>
      <x:c r="I110" s="9" t="str">
        <x:v>1. 执行角色为平台管理员
2. 正常账号甲刚收到一条举报，未人工处置</x:v>
      </x:c>
      <x:c r="J110" s="9" t="str">
        <x:v>1. 进入账号违规
2. 打开该举报</x:v>
      </x:c>
      <x:c r="K110" s="9" t="str">
        <x:v>账号状态仍正常</x:v>
      </x:c>
      <x:c r="L110" s="10" t="str"/>
      <x:c r="M110" s="10" t="str">
        <x:v>未测</x:v>
      </x:c>
      <x:c r="N110" s="10" t="str"/>
      <x:c r="O110" s="9" t="str">
        <x:v>1. 来源（当前证据）：liveshow-proto/MainBasis/统一需求文档.md；位置：行2699
2. 规则：BR-96deee8f70e0a9da
3. 未动态验证
4. 数据别名：甲、乙、丙用于区分本条测试对象；按前置条件准备并记录实际账号或记录 ID，不是固定业务名称。</x:v>
      </x:c>
    </x:row>
    <x:row r="111" ht="130" customHeight="1">
      <x:c r="A111" s="10" t="n">
        <x:v>110</x:v>
      </x:c>
      <x:c r="B111" s="10" t="str">
        <x:v>ADMIN-04-0006</x:v>
      </x:c>
      <x:c r="C111" s="10" t="str">
        <x:v>举报处理</x:v>
      </x:c>
      <x:c r="D111" s="10" t="str">
        <x:v>账号违规（平台管理员视角）</x:v>
      </x:c>
      <x:c r="E111" s="10" t="str">
        <x:v>业务流程</x:v>
      </x:c>
      <x:c r="F111" s="10" t="str">
        <x:v>P1</x:v>
      </x:c>
      <x:c r="G111" s="9" t="str">
        <x:v>验证账号举报只提供合法处置类型</x:v>
      </x:c>
      <x:c r="H111" s="9" t="str">
        <x:v>账号举报处置范围</x:v>
      </x:c>
      <x:c r="I111" s="9" t="str">
        <x:v>1. 执行角色为平台管理员
2. 工单甲为待处理账号举报</x:v>
      </x:c>
      <x:c r="J111" s="9" t="str">
        <x:v>1. 进入举报甲详情
2. 打开处置类型</x:v>
      </x:c>
      <x:c r="K111" s="9" t="str">
        <x:v>可选项仅为不处置和封禁</x:v>
      </x:c>
      <x:c r="L111" s="10" t="str"/>
      <x:c r="M111" s="10" t="str">
        <x:v>未测</x:v>
      </x:c>
      <x:c r="N111" s="10" t="str"/>
      <x:c r="O111" s="9" t="str">
        <x:v>1. 来源（当前证据）：liveshow-proto/MainBasis/统一需求文档.md；位置：行2699、行2718
2. 规则：BR-12b29eeda7706d20
3. 未动态验证
4. 数据别名：甲、乙、丙用于区分本条测试对象；按前置条件准备并记录实际账号或记录 ID，不是固定业务名称。</x:v>
      </x:c>
    </x:row>
    <x:row r="112" ht="70" customHeight="1">
      <x:c r="A112" s="10" t="n">
        <x:v>111</x:v>
      </x:c>
      <x:c r="B112" s="10" t="str">
        <x:v>ADMIN-04-0007</x:v>
      </x:c>
      <x:c r="C112" s="10" t="str">
        <x:v>举报处理</x:v>
      </x:c>
      <x:c r="D112" s="10" t="str">
        <x:v>直播间违规（平台管理员视角）</x:v>
      </x:c>
      <x:c r="E112" s="10" t="str">
        <x:v>功能需求</x:v>
      </x:c>
      <x:c r="F112" s="10" t="str">
        <x:v>P2</x:v>
      </x:c>
      <x:c r="G112" s="9" t="str">
        <x:v>验证直播间违规读取直播场次ID</x:v>
      </x:c>
      <x:c r="H112" s="9" t="str">
        <x:v>直播场次ID回显</x:v>
      </x:c>
      <x:c r="I112" s="9" t="str">
        <x:v>1. 执行角色为平台管理员
2. 所选直播举报关联场次的直播场次ID为“400001”</x:v>
      </x:c>
      <x:c r="J112" s="9" t="str">
        <x:v>1. 进入直播间违规
2. 查看直播场次ID</x:v>
      </x:c>
      <x:c r="K112" s="9" t="str">
        <x:v>直播场次ID显示“400001”</x:v>
      </x:c>
      <x:c r="L112" s="10" t="str"/>
      <x:c r="M112" s="10" t="str">
        <x:v>未测</x:v>
      </x:c>
      <x:c r="N112" s="10" t="str"/>
      <x:c r="O112" s="9" t="str">
        <x:v>1. 来源（当前证据）：liveshow-proto/MainBasis/统一需求文档.md；位置：行2705
2. 规则：BR-da6698222b51917b
3. 未动态验证</x:v>
      </x:c>
    </x:row>
    <x:row r="113" ht="70" customHeight="1">
      <x:c r="A113" s="10" t="n">
        <x:v>112</x:v>
      </x:c>
      <x:c r="B113" s="10" t="str">
        <x:v>ADMIN-04-0008</x:v>
      </x:c>
      <x:c r="C113" s="10" t="str">
        <x:v>举报处理</x:v>
      </x:c>
      <x:c r="D113" s="10" t="str">
        <x:v>直播间违规（平台管理员视角）</x:v>
      </x:c>
      <x:c r="E113" s="10" t="str">
        <x:v>功能需求</x:v>
      </x:c>
      <x:c r="F113" s="10" t="str">
        <x:v>P2</x:v>
      </x:c>
      <x:c r="G113" s="9" t="str">
        <x:v>验证直播间违规读取举报类型</x:v>
      </x:c>
      <x:c r="H113" s="9" t="str">
        <x:v>举报类型回显</x:v>
      </x:c>
      <x:c r="I113" s="9" t="str">
        <x:v>1. 执行角色为平台管理员
2. 所选直播举报提交快照的举报类型为“其他”</x:v>
      </x:c>
      <x:c r="J113" s="9" t="str">
        <x:v>1. 进入直播间违规
2. 查看举报类型</x:v>
      </x:c>
      <x:c r="K113" s="9" t="str">
        <x:v>举报类型显示“其他”</x:v>
      </x:c>
      <x:c r="L113" s="10" t="str"/>
      <x:c r="M113" s="10" t="str">
        <x:v>未测</x:v>
      </x:c>
      <x:c r="N113" s="10" t="str"/>
      <x:c r="O113" s="9" t="str">
        <x:v>1. 来源（当前证据）：liveshow-proto/MainBasis/统一需求文档.md；位置：行2706
2. 规则：BR-f195156b32a3c9f4
3. 未动态验证</x:v>
      </x:c>
    </x:row>
    <x:row r="114" ht="70" customHeight="1">
      <x:c r="A114" s="10" t="n">
        <x:v>113</x:v>
      </x:c>
      <x:c r="B114" s="10" t="str">
        <x:v>ADMIN-04-0009</x:v>
      </x:c>
      <x:c r="C114" s="10" t="str">
        <x:v>举报处理</x:v>
      </x:c>
      <x:c r="D114" s="10" t="str">
        <x:v>直播间违规（平台管理员视角）</x:v>
      </x:c>
      <x:c r="E114" s="10" t="str">
        <x:v>功能需求</x:v>
      </x:c>
      <x:c r="F114" s="10" t="str">
        <x:v>P2</x:v>
      </x:c>
      <x:c r="G114" s="9" t="str">
        <x:v>验证直播间违规读取直播状态</x:v>
      </x:c>
      <x:c r="H114" s="9" t="str">
        <x:v>直播状态回显</x:v>
      </x:c>
      <x:c r="I114" s="9" t="str">
        <x:v>1. 执行角色为平台管理员
2. 所选直播举报关联场次的直播状态为“已结束”</x:v>
      </x:c>
      <x:c r="J114" s="9" t="str">
        <x:v>1. 进入直播间违规
2. 查看直播状态</x:v>
      </x:c>
      <x:c r="K114" s="9" t="str">
        <x:v>直播状态显示“已结束”</x:v>
      </x:c>
      <x:c r="L114" s="10" t="str"/>
      <x:c r="M114" s="10" t="str">
        <x:v>未测</x:v>
      </x:c>
      <x:c r="N114" s="10" t="str"/>
      <x:c r="O114" s="9" t="str">
        <x:v>1. 来源（当前证据）：liveshow-proto/MainBasis/统一需求文档.md；位置：行2707
2. 规则：BR-9f9fe5f8efadd502
3. 未动态验证</x:v>
      </x:c>
    </x:row>
    <x:row r="115" ht="70" customHeight="1">
      <x:c r="A115" s="10" t="n">
        <x:v>114</x:v>
      </x:c>
      <x:c r="B115" s="10" t="str">
        <x:v>ADMIN-04-0010</x:v>
      </x:c>
      <x:c r="C115" s="10" t="str">
        <x:v>举报处理</x:v>
      </x:c>
      <x:c r="D115" s="10" t="str">
        <x:v>直播间违规（平台管理员视角）</x:v>
      </x:c>
      <x:c r="E115" s="10" t="str">
        <x:v>功能需求</x:v>
      </x:c>
      <x:c r="F115" s="10" t="str">
        <x:v>P2</x:v>
      </x:c>
      <x:c r="G115" s="9" t="str">
        <x:v>验证直播间违规读取处理状态</x:v>
      </x:c>
      <x:c r="H115" s="9" t="str">
        <x:v>处理状态回显</x:v>
      </x:c>
      <x:c r="I115" s="9" t="str">
        <x:v>1. 执行角色为平台管理员
2. 所选直播举报工单的处理状态为“已作废”</x:v>
      </x:c>
      <x:c r="J115" s="9" t="str">
        <x:v>1. 进入直播间违规
2. 查看处理状态</x:v>
      </x:c>
      <x:c r="K115" s="9" t="str">
        <x:v>处理状态显示“已作废”</x:v>
      </x:c>
      <x:c r="L115" s="10" t="str"/>
      <x:c r="M115" s="10" t="str">
        <x:v>未测</x:v>
      </x:c>
      <x:c r="N115" s="10" t="str"/>
      <x:c r="O115" s="9" t="str">
        <x:v>1. 来源（当前证据）：liveshow-proto/MainBasis/统一需求文档.md；位置：行2708
2. 规则：BR-27c3556764b98603
3. 未动态验证</x:v>
      </x:c>
    </x:row>
    <x:row r="116" ht="115" customHeight="1">
      <x:c r="A116" s="10" t="n">
        <x:v>115</x:v>
      </x:c>
      <x:c r="B116" s="10" t="str">
        <x:v>ADMIN-04-0011</x:v>
      </x:c>
      <x:c r="C116" s="10" t="str">
        <x:v>举报处理</x:v>
      </x:c>
      <x:c r="D116" s="10" t="str">
        <x:v>直播间违规（平台管理员视角）</x:v>
      </x:c>
      <x:c r="E116" s="10" t="str">
        <x:v>业务流程</x:v>
      </x:c>
      <x:c r="F116" s="10" t="str">
        <x:v>P1</x:v>
      </x:c>
      <x:c r="G116" s="9" t="str">
        <x:v>验证待处理直播举报随场次结束作废</x:v>
      </x:c>
      <x:c r="H116" s="9" t="str">
        <x:v>直播举报生命周期</x:v>
      </x:c>
      <x:c r="I116" s="9" t="str">
        <x:v>1. 执行角色为平台管理员
2. 工单甲待处理，关联场次刚结束</x:v>
      </x:c>
      <x:c r="J116" s="9" t="str">
        <x:v>1. 进入直播间违规
2. 打开工单甲</x:v>
      </x:c>
      <x:c r="K116" s="9" t="str">
        <x:v>工单状态显示“已作废”</x:v>
      </x:c>
      <x:c r="L116" s="10" t="str"/>
      <x:c r="M116" s="10" t="str">
        <x:v>未测</x:v>
      </x:c>
      <x:c r="N116" s="10" t="str"/>
      <x:c r="O116" s="9" t="str">
        <x:v>1. 来源（当前证据）：liveshow-proto/MainBasis/统一需求文档.md；位置：行2710
2. 规则：BR-6359a1ef5918b866
3. 未动态验证
4. 数据别名：甲、乙、丙用于区分本条测试对象；按前置条件准备并记录实际账号或记录 ID，不是固定业务名称。</x:v>
      </x:c>
    </x:row>
    <x:row r="117" ht="145" customHeight="1">
      <x:c r="A117" s="10" t="n">
        <x:v>116</x:v>
      </x:c>
      <x:c r="B117" s="10" t="str">
        <x:v>ADMIN-04-0012</x:v>
      </x:c>
      <x:c r="C117" s="10" t="str">
        <x:v>举报处理</x:v>
      </x:c>
      <x:c r="D117" s="10" t="str">
        <x:v>直播间违规（平台管理员视角）</x:v>
      </x:c>
      <x:c r="E117" s="10" t="str">
        <x:v>业务流程</x:v>
      </x:c>
      <x:c r="F117" s="10" t="str">
        <x:v>P1</x:v>
      </x:c>
      <x:c r="G117" s="9" t="str">
        <x:v>验证场次结束使待处理直播举报作废</x:v>
      </x:c>
      <x:c r="H117" s="9" t="str">
        <x:v>举报随场次作废</x:v>
      </x:c>
      <x:c r="I117" s="9" t="str">
        <x:v>1. 执行角色为平台管理员
2. 直播举报甲原待处理，其关联场次刚结束</x:v>
      </x:c>
      <x:c r="J117" s="9" t="str">
        <x:v>1. 进入直播违规
2. 打开甲</x:v>
      </x:c>
      <x:c r="K117" s="9" t="str">
        <x:v>举报状态为已作废</x:v>
      </x:c>
      <x:c r="L117" s="10" t="str">
        <x:v>FLOW-REPORT-VOID</x:v>
      </x:c>
      <x:c r="M117" s="10" t="str">
        <x:v>未测</x:v>
      </x:c>
      <x:c r="N117" s="10" t="str"/>
      <x:c r="O117" s="9" t="str">
        <x:v>1. 来源（当前证据）：liveshow-proto/MainBasis/统一需求文档.md；位置：行2710
2. 规则：BR-82274538dcd53ede
3. 未动态验证
4. 状态转换：ST-REPORT-VOID；按同一业务对象的数据别名准备对应上下游记录
5. 数据别名：甲、乙、丙用于区分本条测试对象；按前置条件准备并记录实际账号或记录 ID，不是固定业务名称。</x:v>
      </x:c>
    </x:row>
    <x:row r="118" ht="115" customHeight="1">
      <x:c r="A118" s="10" t="n">
        <x:v>117</x:v>
      </x:c>
      <x:c r="B118" s="10" t="str">
        <x:v>ADMIN-04-0013</x:v>
      </x:c>
      <x:c r="C118" s="10" t="str">
        <x:v>举报处理</x:v>
      </x:c>
      <x:c r="D118" s="10" t="str">
        <x:v>直播间违规（平台管理员视角）</x:v>
      </x:c>
      <x:c r="E118" s="10" t="str">
        <x:v>业务流程</x:v>
      </x:c>
      <x:c r="F118" s="10" t="str">
        <x:v>P1</x:v>
      </x:c>
      <x:c r="G118" s="9" t="str">
        <x:v>验证作废直播工单不可再处理</x:v>
      </x:c>
      <x:c r="H118" s="9" t="str">
        <x:v>作废举报操作限制</x:v>
      </x:c>
      <x:c r="I118" s="9" t="str">
        <x:v>1. 执行角色为平台管理员
2. 工单甲已经作废</x:v>
      </x:c>
      <x:c r="J118" s="9" t="str">
        <x:v>1. 进入工单甲详情</x:v>
      </x:c>
      <x:c r="K118" s="9" t="str">
        <x:v>不提供处罚提交</x:v>
      </x:c>
      <x:c r="L118" s="10" t="str"/>
      <x:c r="M118" s="10" t="str">
        <x:v>未测</x:v>
      </x:c>
      <x:c r="N118" s="10" t="str"/>
      <x:c r="O118" s="9" t="str">
        <x:v>1. 来源（当前证据）：liveshow-proto/MainBasis/统一需求文档.md；位置：行2711
2. 规则：BR-e0a3bf00e3d04748
3. 未动态验证
4. 数据别名：甲、乙、丙用于区分本条测试对象；按前置条件准备并记录实际账号或记录 ID，不是固定业务名称。</x:v>
      </x:c>
    </x:row>
    <x:row r="119" ht="115" customHeight="1">
      <x:c r="A119" s="10" t="n">
        <x:v>118</x:v>
      </x:c>
      <x:c r="B119" s="10" t="str">
        <x:v>ADMIN-04-0014</x:v>
      </x:c>
      <x:c r="C119" s="10" t="str">
        <x:v>举报处理</x:v>
      </x:c>
      <x:c r="D119" s="10" t="str">
        <x:v>举报详情（平台管理员视角）</x:v>
      </x:c>
      <x:c r="E119" s="10" t="str">
        <x:v>功能需求</x:v>
      </x:c>
      <x:c r="F119" s="10" t="str">
        <x:v>P2</x:v>
      </x:c>
      <x:c r="G119" s="9" t="str">
        <x:v>验证账号举报绑定被举报账号</x:v>
      </x:c>
      <x:c r="H119" s="9" t="str">
        <x:v>举报主体准确性</x:v>
      </x:c>
      <x:c r="I119" s="9" t="str">
        <x:v>1. 执行角色为平台管理员
2. 用户乙举报账号甲，已有账号举报单</x:v>
      </x:c>
      <x:c r="J119" s="9" t="str">
        <x:v>1. 进入该举报详情</x:v>
      </x:c>
      <x:c r="K119" s="9" t="str">
        <x:v>举报对象为账号甲</x:v>
      </x:c>
      <x:c r="L119" s="10" t="str"/>
      <x:c r="M119" s="10" t="str">
        <x:v>未测</x:v>
      </x:c>
      <x:c r="N119" s="10" t="str"/>
      <x:c r="O119" s="9" t="str">
        <x:v>1. 来源（当前证据）：liveshow-proto/MainBasis/统一需求文档.md；位置：行2716
2. 规则：BR-60731bb838886a60
3. 未动态验证
4. 数据别名：甲、乙、丙用于区分本条测试对象；按前置条件准备并记录实际账号或记录 ID，不是固定业务名称。</x:v>
      </x:c>
    </x:row>
    <x:row r="120" ht="70" customHeight="1">
      <x:c r="A120" s="10" t="n">
        <x:v>119</x:v>
      </x:c>
      <x:c r="B120" s="10" t="str">
        <x:v>ADMIN-04-0015</x:v>
      </x:c>
      <x:c r="C120" s="10" t="str">
        <x:v>举报处理</x:v>
      </x:c>
      <x:c r="D120" s="10" t="str">
        <x:v>举报详情（平台管理员视角）</x:v>
      </x:c>
      <x:c r="E120" s="10" t="str">
        <x:v>功能需求</x:v>
      </x:c>
      <x:c r="F120" s="10" t="str">
        <x:v>P2</x:v>
      </x:c>
      <x:c r="G120" s="9" t="str">
        <x:v>验证直播举报绑定具体场次</x:v>
      </x:c>
      <x:c r="H120" s="9" t="str">
        <x:v>直播举报场次归属</x:v>
      </x:c>
      <x:c r="I120" s="9" t="str">
        <x:v>1. 执行角色为平台管理员
2. 同一主播有先后两场，举报单针对第一场</x:v>
      </x:c>
      <x:c r="J120" s="9" t="str">
        <x:v>1. 进入该直播举报详情</x:v>
      </x:c>
      <x:c r="K120" s="9" t="str">
        <x:v>关联第一场场次ID</x:v>
      </x:c>
      <x:c r="L120" s="10" t="str"/>
      <x:c r="M120" s="10" t="str">
        <x:v>未测</x:v>
      </x:c>
      <x:c r="N120" s="10" t="str"/>
      <x:c r="O120" s="9" t="str">
        <x:v>1. 来源（当前证据）：liveshow-proto/MainBasis/统一需求文档.md；位置：行2716
2. 规则：BR-739503249a1a5219
3. 未动态验证</x:v>
      </x:c>
    </x:row>
    <x:row r="121" ht="70" customHeight="1">
      <x:c r="A121" s="10" t="n">
        <x:v>120</x:v>
      </x:c>
      <x:c r="B121" s="10" t="str">
        <x:v>ADMIN-04-0016</x:v>
      </x:c>
      <x:c r="C121" s="10" t="str">
        <x:v>举报处理</x:v>
      </x:c>
      <x:c r="D121" s="10" t="str">
        <x:v>举报详情（平台管理员视角）</x:v>
      </x:c>
      <x:c r="E121" s="10" t="str">
        <x:v>功能需求</x:v>
      </x:c>
      <x:c r="F121" s="10" t="str">
        <x:v>P2</x:v>
      </x:c>
      <x:c r="G121" s="9" t="str">
        <x:v>验证举报详情读取举报内容</x:v>
      </x:c>
      <x:c r="H121" s="9" t="str">
        <x:v>举报内容回显</x:v>
      </x:c>
      <x:c r="I121" s="9" t="str">
        <x:v>1. 执行角色为平台管理员
2. 所选举报提交快照的举报内容为“测试举报说明”</x:v>
      </x:c>
      <x:c r="J121" s="9" t="str">
        <x:v>1. 进入举报详情
2. 查看举报内容</x:v>
      </x:c>
      <x:c r="K121" s="9" t="str">
        <x:v>举报内容显示“测试举报说明”</x:v>
      </x:c>
      <x:c r="L121" s="10" t="str"/>
      <x:c r="M121" s="10" t="str">
        <x:v>未测</x:v>
      </x:c>
      <x:c r="N121" s="10" t="str"/>
      <x:c r="O121" s="9" t="str">
        <x:v>1. 来源（当前证据）：liveshow-proto/MainBasis/统一需求文档.md；位置：行2717
2. 规则：BR-77f887d1e155c35d
3. 未动态验证</x:v>
      </x:c>
    </x:row>
    <x:row r="122" ht="115" customHeight="1">
      <x:c r="A122" s="10" t="n">
        <x:v>121</x:v>
      </x:c>
      <x:c r="B122" s="10" t="str">
        <x:v>ADMIN-04-0017</x:v>
      </x:c>
      <x:c r="C122" s="10" t="str">
        <x:v>举报处理</x:v>
      </x:c>
      <x:c r="D122" s="10" t="str">
        <x:v>举报详情（平台管理员视角）</x:v>
      </x:c>
      <x:c r="E122" s="10" t="str">
        <x:v>业务流程</x:v>
      </x:c>
      <x:c r="F122" s="10" t="str">
        <x:v>P1</x:v>
      </x:c>
      <x:c r="G122" s="9" t="str">
        <x:v>验证处罚必须填写原因</x:v>
      </x:c>
      <x:c r="H122" s="9" t="str">
        <x:v>举报处罚原因校验</x:v>
      </x:c>
      <x:c r="I122" s="9" t="str">
        <x:v>1. 执行角色为平台管理员
2. 直播举报甲待处理且场次在播</x:v>
      </x:c>
      <x:c r="J122" s="9" t="str">
        <x:v>1. 进入举报甲详情
2. 选择关播
3. 清空原因
4. 点击处理</x:v>
      </x:c>
      <x:c r="K122" s="9" t="str">
        <x:v>不能提交无原因处罚</x:v>
      </x:c>
      <x:c r="L122" s="10" t="str"/>
      <x:c r="M122" s="10" t="str">
        <x:v>未测</x:v>
      </x:c>
      <x:c r="N122" s="10" t="str"/>
      <x:c r="O122" s="9" t="str">
        <x:v>1. 来源（当前证据）：liveshow-proto/MainBasis/统一需求文档.md；位置：行2719
2. 规则：BR-1a209695dbebd149
3. 未动态验证
4. 数据别名：甲、乙、丙用于区分本条测试对象；按前置条件准备并记录实际账号或记录 ID，不是固定业务名称。</x:v>
      </x:c>
    </x:row>
    <x:row r="123" ht="115" customHeight="1">
      <x:c r="A123" s="10" t="n">
        <x:v>122</x:v>
      </x:c>
      <x:c r="B123" s="10" t="str">
        <x:v>ADMIN-04-0018</x:v>
      </x:c>
      <x:c r="C123" s="10" t="str">
        <x:v>举报处理</x:v>
      </x:c>
      <x:c r="D123" s="10" t="str">
        <x:v>举报详情（平台管理员视角）</x:v>
      </x:c>
      <x:c r="E123" s="10" t="str">
        <x:v>业务流程</x:v>
      </x:c>
      <x:c r="F123" s="10" t="str">
        <x:v>P1</x:v>
      </x:c>
      <x:c r="G123" s="9" t="str">
        <x:v>验证直播举报警告后继续直播</x:v>
      </x:c>
      <x:c r="H123" s="9" t="str">
        <x:v>举报警告效果</x:v>
      </x:c>
      <x:c r="I123" s="9" t="str">
        <x:v>1. 执行角色为平台管理员
2. 工单甲关联在播场次乙</x:v>
      </x:c>
      <x:c r="J123" s="9" t="str">
        <x:v>1. 进入工单甲
2. 选择警告
3. 填写原因“规范直播内容”
4. 点击处理
5. 进入场次乙</x:v>
      </x:c>
      <x:c r="K123" s="9" t="str">
        <x:v>场次乙继续直播</x:v>
      </x:c>
      <x:c r="L123" s="10" t="str"/>
      <x:c r="M123" s="10" t="str">
        <x:v>未测</x:v>
      </x:c>
      <x:c r="N123" s="10" t="str"/>
      <x:c r="O123" s="9" t="str">
        <x:v>1. 来源（当前证据）：liveshow-proto/MainBasis/统一需求文档.md；位置：行2721
2. 规则：BR-6c64c873c48eead6
3. 未动态验证
4. 数据别名：甲、乙、丙用于区分本条测试对象；按前置条件准备并记录实际账号或记录 ID，不是固定业务名称。</x:v>
      </x:c>
    </x:row>
    <x:row r="124" ht="145" customHeight="1">
      <x:c r="A124" s="10" t="n">
        <x:v>123</x:v>
      </x:c>
      <x:c r="B124" s="10" t="str">
        <x:v>ADMIN-04-0019</x:v>
      </x:c>
      <x:c r="C124" s="10" t="str">
        <x:v>举报处理</x:v>
      </x:c>
      <x:c r="D124" s="10" t="str">
        <x:v>举报详情（平台管理员视角）</x:v>
      </x:c>
      <x:c r="E124" s="10" t="str">
        <x:v>业务流程</x:v>
      </x:c>
      <x:c r="F124" s="10" t="str">
        <x:v>P1</x:v>
      </x:c>
      <x:c r="G124" s="9" t="str">
        <x:v>验证直播举报关播不关权限</x:v>
      </x:c>
      <x:c r="H124" s="9" t="str">
        <x:v>关播与权限区分</x:v>
      </x:c>
      <x:c r="I124" s="9" t="str">
        <x:v>1. 执行角色为平台管理员
2. 在播主播甲平台权限开启；工单待处理</x:v>
      </x:c>
      <x:c r="J124" s="9" t="str">
        <x:v>1. 进入举报详情
2. 选择关播
3. 填写原因“仅处理本场”
4. 点击处理
5. 进入主播甲详情</x:v>
      </x:c>
      <x:c r="K124" s="9" t="str">
        <x:v>平台直播权限仍开启</x:v>
      </x:c>
      <x:c r="L124" s="10" t="str">
        <x:v>FLOW-REPORT-RESOLVE</x:v>
      </x:c>
      <x:c r="M124" s="10" t="str">
        <x:v>未测</x:v>
      </x:c>
      <x:c r="N124" s="10" t="str"/>
      <x:c r="O124" s="9" t="str">
        <x:v>1. 来源（当前证据）：liveshow-proto/MainBasis/统一需求文档.md；位置：行2721
2. 规则：BR-0d5c78651931cfe1
3. 未动态验证
4. 状态转换：ST-REPORT-RESOLVE；按同一业务对象的数据别名准备对应上下游记录
5. 数据别名：甲、乙、丙用于区分本条测试对象；按前置条件准备并记录实际账号或记录 ID，不是固定业务名称。</x:v>
      </x:c>
    </x:row>
    <x:row r="125" ht="115" customHeight="1">
      <x:c r="A125" s="10" t="n">
        <x:v>124</x:v>
      </x:c>
      <x:c r="B125" s="10" t="str">
        <x:v>ADMIN-04-0020</x:v>
      </x:c>
      <x:c r="C125" s="10" t="str">
        <x:v>举报处理</x:v>
      </x:c>
      <x:c r="D125" s="10" t="str">
        <x:v>举报详情（平台管理员视角）</x:v>
      </x:c>
      <x:c r="E125" s="10" t="str">
        <x:v>业务流程</x:v>
      </x:c>
      <x:c r="F125" s="10" t="str">
        <x:v>P1</x:v>
      </x:c>
      <x:c r="G125" s="9" t="str">
        <x:v>验证关闭直播权限阻止再开播</x:v>
      </x:c>
      <x:c r="H125" s="9" t="str">
        <x:v>举报权限处置</x:v>
      </x:c>
      <x:c r="I125" s="9" t="str">
        <x:v>1. 执行角色为平台管理员
2. 主播甲在播且平台权限开启</x:v>
      </x:c>
      <x:c r="J125" s="9" t="str">
        <x:v>1. 进入举报详情
2. 选择关闭直播权限
3. 填写原因“暂停开播资格”
4. 点击处理
5. 进入主播详情</x:v>
      </x:c>
      <x:c r="K125" s="9" t="str">
        <x:v>最终直播权限关闭</x:v>
      </x:c>
      <x:c r="L125" s="10" t="str"/>
      <x:c r="M125" s="10" t="str">
        <x:v>未测</x:v>
      </x:c>
      <x:c r="N125" s="10" t="str"/>
      <x:c r="O125" s="9" t="str">
        <x:v>1. 来源（当前证据）：liveshow-proto/MainBasis/统一需求文档.md；位置：行2721
2. 规则：BR-b0d26dfb6ab0576f
3. 未动态验证
4. 数据别名：甲、乙、丙用于区分本条测试对象；按前置条件准备并记录实际账号或记录 ID，不是固定业务名称。</x:v>
      </x:c>
    </x:row>
    <x:row r="126" ht="115" customHeight="1">
      <x:c r="A126" s="10" t="n">
        <x:v>125</x:v>
      </x:c>
      <x:c r="B126" s="10" t="str">
        <x:v>ADMIN-04-0021</x:v>
      </x:c>
      <x:c r="C126" s="10" t="str">
        <x:v>举报处理</x:v>
      </x:c>
      <x:c r="D126" s="10" t="str">
        <x:v>举报详情（平台管理员视角）</x:v>
      </x:c>
      <x:c r="E126" s="10" t="str">
        <x:v>业务流程</x:v>
      </x:c>
      <x:c r="F126" s="10" t="str">
        <x:v>P1</x:v>
      </x:c>
      <x:c r="G126" s="9" t="str">
        <x:v>验证举报处理后禁止重复提交</x:v>
      </x:c>
      <x:c r="H126" s="9" t="str">
        <x:v>举报处理幂等</x:v>
      </x:c>
      <x:c r="I126" s="9" t="str">
        <x:v>1. 执行角色为平台管理员
2. 工单甲已处理</x:v>
      </x:c>
      <x:c r="J126" s="9" t="str">
        <x:v>1. 进入工单甲详情</x:v>
      </x:c>
      <x:c r="K126" s="9" t="str">
        <x:v>不可再次提交处置</x:v>
      </x:c>
      <x:c r="L126" s="10" t="str"/>
      <x:c r="M126" s="10" t="str">
        <x:v>未测</x:v>
      </x:c>
      <x:c r="N126" s="10" t="str"/>
      <x:c r="O126" s="9" t="str">
        <x:v>1. 来源（当前证据）：liveshow-proto/MainBasis/统一需求文档.md；位置：行2723
2. 规则：BR-f566019b91a0a911
3. 未动态验证
4. 数据别名：甲、乙、丙用于区分本条测试对象；按前置条件准备并记录实际账号或记录 ID，不是固定业务名称。</x:v>
      </x:c>
    </x:row>
    <x:row r="127" ht="70" customHeight="1">
      <x:c r="A127" s="10" t="n">
        <x:v>126</x:v>
      </x:c>
      <x:c r="B127" s="10" t="str">
        <x:v>ADMIN-04-0022</x:v>
      </x:c>
      <x:c r="C127" s="10" t="str">
        <x:v>举报处理</x:v>
      </x:c>
      <x:c r="D127" s="10" t="str">
        <x:v>违规类型（平台管理员视角）</x:v>
      </x:c>
      <x:c r="E127" s="10" t="str">
        <x:v>功能需求</x:v>
      </x:c>
      <x:c r="F127" s="10" t="str">
        <x:v>P2</x:v>
      </x:c>
      <x:c r="G127" s="9" t="str">
        <x:v>验证违规类型读取类型ID</x:v>
      </x:c>
      <x:c r="H127" s="9" t="str">
        <x:v>类型ID回显</x:v>
      </x:c>
      <x:c r="I127" s="9" t="str">
        <x:v>1. 执行角色为平台管理员
2. 所选违规类型实际标识的类型ID为“800001”</x:v>
      </x:c>
      <x:c r="J127" s="9" t="str">
        <x:v>1. 进入违规类型
2. 查看类型ID</x:v>
      </x:c>
      <x:c r="K127" s="9" t="str">
        <x:v>类型ID显示“800001”</x:v>
      </x:c>
      <x:c r="L127" s="10" t="str"/>
      <x:c r="M127" s="10" t="str">
        <x:v>未测</x:v>
      </x:c>
      <x:c r="N127" s="10" t="str"/>
      <x:c r="O127" s="9" t="str">
        <x:v>1. 来源（当前证据）：liveshow-proto/MainBasis/统一需求文档.md；位置：行2728
2. 规则：BR-e430de8616c6d110
3. 未动态验证</x:v>
      </x:c>
    </x:row>
    <x:row r="128" ht="70" customHeight="1">
      <x:c r="A128" s="10" t="n">
        <x:v>127</x:v>
      </x:c>
      <x:c r="B128" s="10" t="str">
        <x:v>ADMIN-04-0023</x:v>
      </x:c>
      <x:c r="C128" s="10" t="str">
        <x:v>举报处理</x:v>
      </x:c>
      <x:c r="D128" s="10" t="str">
        <x:v>违规类型（平台管理员视角）</x:v>
      </x:c>
      <x:c r="E128" s="10" t="str">
        <x:v>功能需求</x:v>
      </x:c>
      <x:c r="F128" s="10" t="str">
        <x:v>P2</x:v>
      </x:c>
      <x:c r="G128" s="9" t="str">
        <x:v>验证违规类型读取中文名称</x:v>
      </x:c>
      <x:c r="H128" s="9" t="str">
        <x:v>中文名称回显</x:v>
      </x:c>
      <x:c r="I128" s="9" t="str">
        <x:v>1. 执行角色为平台管理员
2. 所选违规类型中文配置的中文名称为“其他”</x:v>
      </x:c>
      <x:c r="J128" s="9" t="str">
        <x:v>1. 进入违规类型
2. 查看中文名称</x:v>
      </x:c>
      <x:c r="K128" s="9" t="str">
        <x:v>中文名称显示“其他”</x:v>
      </x:c>
      <x:c r="L128" s="10" t="str"/>
      <x:c r="M128" s="10" t="str">
        <x:v>未测</x:v>
      </x:c>
      <x:c r="N128" s="10" t="str"/>
      <x:c r="O128" s="9" t="str">
        <x:v>1. 来源（当前证据）：liveshow-proto/MainBasis/统一需求文档.md；位置：行2730
2. 规则：BR-a4ae35825feeb603
3. 未动态验证</x:v>
      </x:c>
    </x:row>
    <x:row r="129" ht="115" customHeight="1">
      <x:c r="A129" s="10" t="n">
        <x:v>128</x:v>
      </x:c>
      <x:c r="B129" s="10" t="str">
        <x:v>ADMIN-04-0024</x:v>
      </x:c>
      <x:c r="C129" s="10" t="str">
        <x:v>举报处理</x:v>
      </x:c>
      <x:c r="D129" s="10" t="str">
        <x:v>违规类型（平台管理员视角）</x:v>
      </x:c>
      <x:c r="E129" s="10" t="str">
        <x:v>业务流程</x:v>
      </x:c>
      <x:c r="F129" s="10" t="str">
        <x:v>P1</x:v>
      </x:c>
      <x:c r="G129" s="9" t="str">
        <x:v>验证预置违规类型不能删除</x:v>
      </x:c>
      <x:c r="H129" s="9" t="str">
        <x:v>预置类型保护</x:v>
      </x:c>
      <x:c r="I129" s="9" t="str">
        <x:v>1. 执行角色为平台管理员
2. 类型甲为系统预置</x:v>
      </x:c>
      <x:c r="J129" s="9" t="str">
        <x:v>1. 进入违规类型
2. 打开甲</x:v>
      </x:c>
      <x:c r="K129" s="9" t="str">
        <x:v>不提供删除操作</x:v>
      </x:c>
      <x:c r="L129" s="10" t="str"/>
      <x:c r="M129" s="10" t="str">
        <x:v>未测</x:v>
      </x:c>
      <x:c r="N129" s="10" t="str"/>
      <x:c r="O129" s="9" t="str">
        <x:v>1. 来源（当前证据）：liveshow-proto/MainBasis/统一需求文档.md；位置：行2731
2. 规则：BR-0d5d5ba99e6b5a90
3. 未动态验证
4. 数据别名：甲、乙、丙用于区分本条测试对象；按前置条件准备并记录实际账号或记录 ID，不是固定业务名称。</x:v>
      </x:c>
    </x:row>
    <x:row r="130" ht="70" customHeight="1">
      <x:c r="A130" s="10" t="n">
        <x:v>129</x:v>
      </x:c>
      <x:c r="B130" s="10" t="str">
        <x:v>ADMIN-04-0025</x:v>
      </x:c>
      <x:c r="C130" s="10" t="str">
        <x:v>举报处理</x:v>
      </x:c>
      <x:c r="D130" s="10" t="str">
        <x:v>违规类型（平台管理员视角）</x:v>
      </x:c>
      <x:c r="E130" s="10" t="str">
        <x:v>功能需求</x:v>
      </x:c>
      <x:c r="F130" s="10" t="str">
        <x:v>P2</x:v>
      </x:c>
      <x:c r="G130" s="9" t="str">
        <x:v>验证违规类型读取类型属性</x:v>
      </x:c>
      <x:c r="H130" s="9" t="str">
        <x:v>类型属性回显</x:v>
      </x:c>
      <x:c r="I130" s="9" t="str">
        <x:v>1. 执行角色为平台管理员
2. 所选违规类型创建记录的类型属性为“自定义”</x:v>
      </x:c>
      <x:c r="J130" s="9" t="str">
        <x:v>1. 进入违规类型
2. 查看类型属性</x:v>
      </x:c>
      <x:c r="K130" s="9" t="str">
        <x:v>类型属性显示“自定义”</x:v>
      </x:c>
      <x:c r="L130" s="10" t="str"/>
      <x:c r="M130" s="10" t="str">
        <x:v>未测</x:v>
      </x:c>
      <x:c r="N130" s="10" t="str"/>
      <x:c r="O130" s="9" t="str">
        <x:v>1. 来源（当前证据）：liveshow-proto/MainBasis/统一需求文档.md；位置：行2731
2. 规则：BR-8e845d7f551253d5
3. 未动态验证</x:v>
      </x:c>
    </x:row>
    <x:row r="131" ht="115" customHeight="1">
      <x:c r="A131" s="10" t="n">
        <x:v>130</x:v>
      </x:c>
      <x:c r="B131" s="10" t="str">
        <x:v>ADMIN-04-0026</x:v>
      </x:c>
      <x:c r="C131" s="10" t="str">
        <x:v>举报处理</x:v>
      </x:c>
      <x:c r="D131" s="10" t="str">
        <x:v>违规类型（平台管理员视角）</x:v>
      </x:c>
      <x:c r="E131" s="10" t="str">
        <x:v>业务流程</x:v>
      </x:c>
      <x:c r="F131" s="10" t="str">
        <x:v>P1</x:v>
      </x:c>
      <x:c r="G131" s="9" t="str">
        <x:v>验证预置违规类型不能停用</x:v>
      </x:c>
      <x:c r="H131" s="9" t="str">
        <x:v>预置类型启用约束</x:v>
      </x:c>
      <x:c r="I131" s="9" t="str">
        <x:v>1. 执行角色为平台管理员
2. 类型甲为系统预置</x:v>
      </x:c>
      <x:c r="J131" s="9" t="str">
        <x:v>1. 进入违规类型
2. 打开甲</x:v>
      </x:c>
      <x:c r="K131" s="9" t="str">
        <x:v>状态固定启用</x:v>
      </x:c>
      <x:c r="L131" s="10" t="str"/>
      <x:c r="M131" s="10" t="str">
        <x:v>未测</x:v>
      </x:c>
      <x:c r="N131" s="10" t="str"/>
      <x:c r="O131" s="9" t="str">
        <x:v>1. 来源（当前证据）：liveshow-proto/MainBasis/统一需求文档.md；位置：行2732
2. 规则：BR-fe8aad4718de8ee5
3. 未动态验证
4. 数据别名：甲、乙、丙用于区分本条测试对象；按前置条件准备并记录实际账号或记录 ID，不是固定业务名称。</x:v>
      </x:c>
    </x:row>
    <x:row r="132" ht="115" customHeight="1">
      <x:c r="A132" s="10" t="n">
        <x:v>131</x:v>
      </x:c>
      <x:c r="B132" s="10" t="str">
        <x:v>ADMIN-04-0027</x:v>
      </x:c>
      <x:c r="C132" s="10" t="str">
        <x:v>举报处理</x:v>
      </x:c>
      <x:c r="D132" s="10" t="str">
        <x:v>违规类型（平台管理员视角）</x:v>
      </x:c>
      <x:c r="E132" s="10" t="str">
        <x:v>业务流程</x:v>
      </x:c>
      <x:c r="F132" s="10" t="str">
        <x:v>P1</x:v>
      </x:c>
      <x:c r="G132" s="9" t="str">
        <x:v>验证停用自定义类型保留历史名称</x:v>
      </x:c>
      <x:c r="H132" s="9" t="str">
        <x:v>违规类型历史快照</x:v>
      </x:c>
      <x:c r="I132" s="9" t="str">
        <x:v>1. 执行角色为平台管理员
2. 历史举报使用类型甲旧名称；类型甲现为停用</x:v>
      </x:c>
      <x:c r="J132" s="9" t="str">
        <x:v>1. 进入历史举报详情</x:v>
      </x:c>
      <x:c r="K132" s="9" t="str">
        <x:v>举报类型仍显示提交时名称</x:v>
      </x:c>
      <x:c r="L132" s="10" t="str"/>
      <x:c r="M132" s="10" t="str">
        <x:v>未测</x:v>
      </x:c>
      <x:c r="N132" s="10" t="str"/>
      <x:c r="O132" s="9" t="str">
        <x:v>1. 来源（当前证据）：liveshow-proto/MainBasis/统一需求文档.md；位置：行2733
2. 规则：BR-02bf9306b25ee435
3. 未动态验证
4. 数据别名：甲、乙、丙用于区分本条测试对象；按前置条件准备并记录实际账号或记录 ID，不是固定业务名称。</x:v>
      </x:c>
    </x:row>
    <x:row r="133" ht="115" customHeight="1">
      <x:c r="A133" s="10" t="n">
        <x:v>132</x:v>
      </x:c>
      <x:c r="B133" s="10" t="str">
        <x:v>ADMIN-04-0028</x:v>
      </x:c>
      <x:c r="C133" s="10" t="str">
        <x:v>举报处理</x:v>
      </x:c>
      <x:c r="D133" s="10" t="str">
        <x:v>违规类型（平台管理员视角）</x:v>
      </x:c>
      <x:c r="E133" s="10" t="str">
        <x:v>功能需求</x:v>
      </x:c>
      <x:c r="F133" s="10" t="str">
        <x:v>P2</x:v>
      </x:c>
      <x:c r="G133" s="9" t="str">
        <x:v>验证自定义举报类型删除需确认</x:v>
      </x:c>
      <x:c r="H133" s="9" t="str">
        <x:v>举报类型删除确认</x:v>
      </x:c>
      <x:c r="I133" s="9" t="str">
        <x:v>1. 执行角色为平台管理员
2. 自定义类型甲允许删除</x:v>
      </x:c>
      <x:c r="J133" s="9" t="str">
        <x:v>1. 进入举报类型
2. 点击甲删除</x:v>
      </x:c>
      <x:c r="K133" s="9" t="str">
        <x:v>显示删除确认</x:v>
      </x:c>
      <x:c r="L133" s="10" t="str"/>
      <x:c r="M133" s="10" t="str">
        <x:v>未测</x:v>
      </x:c>
      <x:c r="N133" s="10" t="str"/>
      <x:c r="O133" s="9" t="str">
        <x:v>1. 来源（当前证据）：liveshow-proto/MainBasis/统一需求文档.md；位置：行2734
2. 规则：BR-116f9ec6b9a62b75
3. 未动态验证
4. 数据别名：甲、乙、丙用于区分本条测试对象；按前置条件准备并记录实际账号或记录 ID，不是固定业务名称。</x:v>
      </x:c>
    </x:row>
    <x:row r="134" ht="115" customHeight="1">
      <x:c r="A134" s="10" t="n">
        <x:v>133</x:v>
      </x:c>
      <x:c r="B134" s="10" t="str">
        <x:v>ADMIN-04-0029</x:v>
      </x:c>
      <x:c r="C134" s="10" t="str">
        <x:v>举报处理</x:v>
      </x:c>
      <x:c r="D134" s="10" t="str">
        <x:v>违规类型编辑（平台管理员视角）</x:v>
      </x:c>
      <x:c r="E134" s="10" t="str">
        <x:v>功能需求</x:v>
      </x:c>
      <x:c r="F134" s="10" t="str">
        <x:v>P2</x:v>
      </x:c>
      <x:c r="G134" s="9" t="str">
        <x:v>验证举报类型已有ID不可编辑</x:v>
      </x:c>
      <x:c r="H134" s="9" t="str">
        <x:v>举报类型标识只读</x:v>
      </x:c>
      <x:c r="I134" s="9" t="str">
        <x:v>1. 执行角色为平台管理员
2. 自定义类型甲已保存</x:v>
      </x:c>
      <x:c r="J134" s="9" t="str">
        <x:v>1. 进入甲类型详情
2. 点击ID</x:v>
      </x:c>
      <x:c r="K134" s="9" t="str">
        <x:v>类型ID不可编辑</x:v>
      </x:c>
      <x:c r="L134" s="10" t="str"/>
      <x:c r="M134" s="10" t="str">
        <x:v>未测</x:v>
      </x:c>
      <x:c r="N134" s="10" t="str"/>
      <x:c r="O134" s="9" t="str">
        <x:v>1. 来源（当前证据）：liveshow-proto/MainBasis/统一需求文档.md；位置：行2739
2. 规则：BR-cc956b2efb7688a2
3. 未动态验证
4. 数据别名：甲、乙、丙用于区分本条测试对象；按前置条件准备并记录实际账号或记录 ID，不是固定业务名称。</x:v>
      </x:c>
    </x:row>
    <x:row r="135" ht="70" customHeight="1">
      <x:c r="A135" s="10" t="n">
        <x:v>134</x:v>
      </x:c>
      <x:c r="B135" s="10" t="str">
        <x:v>ADMIN-04-0030</x:v>
      </x:c>
      <x:c r="C135" s="10" t="str">
        <x:v>举报处理</x:v>
      </x:c>
      <x:c r="D135" s="10" t="str">
        <x:v>违规类型编辑（平台管理员视角）</x:v>
      </x:c>
      <x:c r="E135" s="10" t="str">
        <x:v>逻辑校验</x:v>
      </x:c>
      <x:c r="F135" s="10" t="str">
        <x:v>P1</x:v>
      </x:c>
      <x:c r="G135" s="9" t="str">
        <x:v>验证违规类型编辑中文名称缺失</x:v>
      </x:c>
      <x:c r="H135" s="9" t="str">
        <x:v>中文名称校验</x:v>
      </x:c>
      <x:c r="I135" s="9" t="str">
        <x:v>1. 执行角色为平台管理员
2. 其他三语名称合法唯一；当前为新建类型；排序1</x:v>
      </x:c>
      <x:c r="J135" s="9" t="str">
        <x:v>1. 进入违规类型编辑
2. 清空中文名称
3. 点击保存</x:v>
      </x:c>
      <x:c r="K135" s="9" t="str">
        <x:v>不能保存中文名称缺失的违规类型</x:v>
      </x:c>
      <x:c r="L135" s="10" t="str"/>
      <x:c r="M135" s="10" t="str">
        <x:v>未测</x:v>
      </x:c>
      <x:c r="N135" s="10" t="str"/>
      <x:c r="O135" s="9" t="str">
        <x:v>1. 来源（当前证据）：liveshow-proto/MainBasis/统一需求文档.md；位置：行2740
2. 规则：BR-b77f4fcee260bdfe
3. 未动态验证</x:v>
      </x:c>
    </x:row>
    <x:row r="136" ht="115" customHeight="1">
      <x:c r="A136" s="10" t="n">
        <x:v>135</x:v>
      </x:c>
      <x:c r="B136" s="10" t="str">
        <x:v>ADMIN-04-0031</x:v>
      </x:c>
      <x:c r="C136" s="10" t="str">
        <x:v>举报处理</x:v>
      </x:c>
      <x:c r="D136" s="10" t="str">
        <x:v>违规类型编辑（平台管理员视角）</x:v>
      </x:c>
      <x:c r="E136" s="10" t="str">
        <x:v>逻辑校验</x:v>
      </x:c>
      <x:c r="F136" s="10" t="str">
        <x:v>P1</x:v>
      </x:c>
      <x:c r="G136" s="9" t="str">
        <x:v>验证违规类型编辑中文名称重复</x:v>
      </x:c>
      <x:c r="H136" s="9" t="str">
        <x:v>中文名称校验</x:v>
      </x:c>
      <x:c r="I136" s="9" t="str">
        <x:v>1. 执行角色为平台管理员
2. 其他三语名称合法唯一；已有类型的中文名称为重复名称甲；排序1</x:v>
      </x:c>
      <x:c r="J136" s="9" t="str">
        <x:v>1. 进入违规类型编辑
2. 填写中文名称为重复名称甲
3. 点击保存</x:v>
      </x:c>
      <x:c r="K136" s="9" t="str">
        <x:v>不能保存中文名称重复的违规类型</x:v>
      </x:c>
      <x:c r="L136" s="10" t="str"/>
      <x:c r="M136" s="10" t="str">
        <x:v>未测</x:v>
      </x:c>
      <x:c r="N136" s="10" t="str"/>
      <x:c r="O136" s="9" t="str">
        <x:v>1. 来源（当前证据）：liveshow-proto/MainBasis/统一需求文档.md；位置：行2740
2. 规则：BR-03eb63c29c54710b
3. 未动态验证
4. 数据别名：甲、乙、丙用于区分本条测试对象；按前置条件准备并记录实际账号或记录 ID，不是固定业务名称。</x:v>
      </x:c>
    </x:row>
    <x:row r="137" ht="70" customHeight="1">
      <x:c r="A137" s="10" t="n">
        <x:v>136</x:v>
      </x:c>
      <x:c r="B137" s="10" t="str">
        <x:v>ADMIN-04-0032</x:v>
      </x:c>
      <x:c r="C137" s="10" t="str">
        <x:v>举报处理</x:v>
      </x:c>
      <x:c r="D137" s="10" t="str">
        <x:v>违规类型编辑（平台管理员视角）</x:v>
      </x:c>
      <x:c r="E137" s="10" t="str">
        <x:v>逻辑校验</x:v>
      </x:c>
      <x:c r="F137" s="10" t="str">
        <x:v>P1</x:v>
      </x:c>
      <x:c r="G137" s="9" t="str">
        <x:v>验证违规类型编辑英语名称缺失</x:v>
      </x:c>
      <x:c r="H137" s="9" t="str">
        <x:v>英语名称校验</x:v>
      </x:c>
      <x:c r="I137" s="9" t="str">
        <x:v>1. 执行角色为平台管理员
2. 其他三语名称合法唯一；当前为新建类型；排序1</x:v>
      </x:c>
      <x:c r="J137" s="9" t="str">
        <x:v>1. 进入违规类型编辑
2. 清空英语名称
3. 点击保存</x:v>
      </x:c>
      <x:c r="K137" s="9" t="str">
        <x:v>不能保存英语名称缺失的违规类型</x:v>
      </x:c>
      <x:c r="L137" s="10" t="str"/>
      <x:c r="M137" s="10" t="str">
        <x:v>未测</x:v>
      </x:c>
      <x:c r="N137" s="10" t="str"/>
      <x:c r="O137" s="9" t="str">
        <x:v>1. 来源（当前证据）：liveshow-proto/MainBasis/统一需求文档.md；位置：行2740
2. 规则：BR-89f87c707d717b07
3. 未动态验证</x:v>
      </x:c>
    </x:row>
    <x:row r="138" ht="115" customHeight="1">
      <x:c r="A138" s="10" t="n">
        <x:v>137</x:v>
      </x:c>
      <x:c r="B138" s="10" t="str">
        <x:v>ADMIN-04-0033</x:v>
      </x:c>
      <x:c r="C138" s="10" t="str">
        <x:v>举报处理</x:v>
      </x:c>
      <x:c r="D138" s="10" t="str">
        <x:v>违规类型编辑（平台管理员视角）</x:v>
      </x:c>
      <x:c r="E138" s="10" t="str">
        <x:v>逻辑校验</x:v>
      </x:c>
      <x:c r="F138" s="10" t="str">
        <x:v>P1</x:v>
      </x:c>
      <x:c r="G138" s="9" t="str">
        <x:v>验证违规类型编辑英语名称重复</x:v>
      </x:c>
      <x:c r="H138" s="9" t="str">
        <x:v>英语名称校验</x:v>
      </x:c>
      <x:c r="I138" s="9" t="str">
        <x:v>1. 执行角色为平台管理员
2. 其他三语名称合法唯一；已有类型的英语名称为重复名称甲；排序1</x:v>
      </x:c>
      <x:c r="J138" s="9" t="str">
        <x:v>1. 进入违规类型编辑
2. 填写英语名称为重复名称甲
3. 点击保存</x:v>
      </x:c>
      <x:c r="K138" s="9" t="str">
        <x:v>不能保存英语名称重复的违规类型</x:v>
      </x:c>
      <x:c r="L138" s="10" t="str"/>
      <x:c r="M138" s="10" t="str">
        <x:v>未测</x:v>
      </x:c>
      <x:c r="N138" s="10" t="str"/>
      <x:c r="O138" s="9" t="str">
        <x:v>1. 来源（当前证据）：liveshow-proto/MainBasis/统一需求文档.md；位置：行2740
2. 规则：BR-63b01c0940cb0d86
3. 未动态验证
4. 数据别名：甲、乙、丙用于区分本条测试对象；按前置条件准备并记录实际账号或记录 ID，不是固定业务名称。</x:v>
      </x:c>
    </x:row>
    <x:row r="139" ht="70" customHeight="1">
      <x:c r="A139" s="10" t="n">
        <x:v>138</x:v>
      </x:c>
      <x:c r="B139" s="10" t="str">
        <x:v>ADMIN-04-0034</x:v>
      </x:c>
      <x:c r="C139" s="10" t="str">
        <x:v>举报处理</x:v>
      </x:c>
      <x:c r="D139" s="10" t="str">
        <x:v>违规类型编辑（平台管理员视角）</x:v>
      </x:c>
      <x:c r="E139" s="10" t="str">
        <x:v>逻辑校验</x:v>
      </x:c>
      <x:c r="F139" s="10" t="str">
        <x:v>P1</x:v>
      </x:c>
      <x:c r="G139" s="9" t="str">
        <x:v>验证违规类型编辑印尼语名称缺失</x:v>
      </x:c>
      <x:c r="H139" s="9" t="str">
        <x:v>印尼语名称校验</x:v>
      </x:c>
      <x:c r="I139" s="9" t="str">
        <x:v>1. 执行角色为平台管理员
2. 其他三语名称合法唯一；当前为新建类型；排序1</x:v>
      </x:c>
      <x:c r="J139" s="9" t="str">
        <x:v>1. 进入违规类型编辑
2. 清空印尼语名称
3. 点击保存</x:v>
      </x:c>
      <x:c r="K139" s="9" t="str">
        <x:v>不能保存印尼语名称缺失的违规类型</x:v>
      </x:c>
      <x:c r="L139" s="10" t="str"/>
      <x:c r="M139" s="10" t="str">
        <x:v>未测</x:v>
      </x:c>
      <x:c r="N139" s="10" t="str"/>
      <x:c r="O139" s="9" t="str">
        <x:v>1. 来源（当前证据）：liveshow-proto/MainBasis/统一需求文档.md；位置：行2740
2. 规则：BR-a853f949829e9277
3. 未动态验证</x:v>
      </x:c>
    </x:row>
    <x:row r="140" ht="115" customHeight="1">
      <x:c r="A140" s="10" t="n">
        <x:v>139</x:v>
      </x:c>
      <x:c r="B140" s="10" t="str">
        <x:v>ADMIN-04-0035</x:v>
      </x:c>
      <x:c r="C140" s="10" t="str">
        <x:v>举报处理</x:v>
      </x:c>
      <x:c r="D140" s="10" t="str">
        <x:v>违规类型编辑（平台管理员视角）</x:v>
      </x:c>
      <x:c r="E140" s="10" t="str">
        <x:v>逻辑校验</x:v>
      </x:c>
      <x:c r="F140" s="10" t="str">
        <x:v>P1</x:v>
      </x:c>
      <x:c r="G140" s="9" t="str">
        <x:v>验证违规类型编辑印尼语名称重复</x:v>
      </x:c>
      <x:c r="H140" s="9" t="str">
        <x:v>印尼语名称校验</x:v>
      </x:c>
      <x:c r="I140" s="9" t="str">
        <x:v>1. 执行角色为平台管理员
2. 其他三语名称合法唯一；已有类型的印尼语名称为重复名称甲；排序1</x:v>
      </x:c>
      <x:c r="J140" s="9" t="str">
        <x:v>1. 进入违规类型编辑
2. 填写印尼语名称为重复名称甲
3. 点击保存</x:v>
      </x:c>
      <x:c r="K140" s="9" t="str">
        <x:v>不能保存印尼语名称重复的违规类型</x:v>
      </x:c>
      <x:c r="L140" s="10" t="str"/>
      <x:c r="M140" s="10" t="str">
        <x:v>未测</x:v>
      </x:c>
      <x:c r="N140" s="10" t="str"/>
      <x:c r="O140" s="9" t="str">
        <x:v>1. 来源（当前证据）：liveshow-proto/MainBasis/统一需求文档.md；位置：行2740
2. 规则：BR-862273b0615ea6ea
3. 未动态验证
4. 数据别名：甲、乙、丙用于区分本条测试对象；按前置条件准备并记录实际账号或记录 ID，不是固定业务名称。</x:v>
      </x:c>
    </x:row>
    <x:row r="141" ht="70" customHeight="1">
      <x:c r="A141" s="10" t="n">
        <x:v>140</x:v>
      </x:c>
      <x:c r="B141" s="10" t="str">
        <x:v>ADMIN-04-0036</x:v>
      </x:c>
      <x:c r="C141" s="10" t="str">
        <x:v>举报处理</x:v>
      </x:c>
      <x:c r="D141" s="10" t="str">
        <x:v>违规类型编辑（平台管理员视角）</x:v>
      </x:c>
      <x:c r="E141" s="10" t="str">
        <x:v>逻辑校验</x:v>
      </x:c>
      <x:c r="F141" s="10" t="str">
        <x:v>P1</x:v>
      </x:c>
      <x:c r="G141" s="9" t="str">
        <x:v>验证违规类型编辑马来语名称缺失</x:v>
      </x:c>
      <x:c r="H141" s="9" t="str">
        <x:v>马来语名称校验</x:v>
      </x:c>
      <x:c r="I141" s="9" t="str">
        <x:v>1. 执行角色为平台管理员
2. 其他三语名称合法唯一；当前为新建类型；排序1</x:v>
      </x:c>
      <x:c r="J141" s="9" t="str">
        <x:v>1. 进入违规类型编辑
2. 清空马来语名称
3. 点击保存</x:v>
      </x:c>
      <x:c r="K141" s="9" t="str">
        <x:v>不能保存马来语名称缺失的违规类型</x:v>
      </x:c>
      <x:c r="L141" s="10" t="str"/>
      <x:c r="M141" s="10" t="str">
        <x:v>未测</x:v>
      </x:c>
      <x:c r="N141" s="10" t="str"/>
      <x:c r="O141" s="9" t="str">
        <x:v>1. 来源（当前证据）：liveshow-proto/MainBasis/统一需求文档.md；位置：行2740
2. 规则：BR-04b6828fb1ec63ea
3. 未动态验证</x:v>
      </x:c>
    </x:row>
    <x:row r="142" ht="115" customHeight="1">
      <x:c r="A142" s="10" t="n">
        <x:v>141</x:v>
      </x:c>
      <x:c r="B142" s="10" t="str">
        <x:v>ADMIN-04-0037</x:v>
      </x:c>
      <x:c r="C142" s="10" t="str">
        <x:v>举报处理</x:v>
      </x:c>
      <x:c r="D142" s="10" t="str">
        <x:v>违规类型编辑（平台管理员视角）</x:v>
      </x:c>
      <x:c r="E142" s="10" t="str">
        <x:v>逻辑校验</x:v>
      </x:c>
      <x:c r="F142" s="10" t="str">
        <x:v>P1</x:v>
      </x:c>
      <x:c r="G142" s="9" t="str">
        <x:v>验证违规类型编辑马来语名称重复</x:v>
      </x:c>
      <x:c r="H142" s="9" t="str">
        <x:v>马来语名称校验</x:v>
      </x:c>
      <x:c r="I142" s="9" t="str">
        <x:v>1. 执行角色为平台管理员
2. 其他三语名称合法唯一；已有类型的马来语名称为重复名称甲；排序1</x:v>
      </x:c>
      <x:c r="J142" s="9" t="str">
        <x:v>1. 进入违规类型编辑
2. 填写马来语名称为重复名称甲
3. 点击保存</x:v>
      </x:c>
      <x:c r="K142" s="9" t="str">
        <x:v>不能保存马来语名称重复的违规类型</x:v>
      </x:c>
      <x:c r="L142" s="10" t="str"/>
      <x:c r="M142" s="10" t="str">
        <x:v>未测</x:v>
      </x:c>
      <x:c r="N142" s="10" t="str"/>
      <x:c r="O142" s="9" t="str">
        <x:v>1. 来源（当前证据）：liveshow-proto/MainBasis/统一需求文档.md；位置：行2740
2. 规则：BR-81f7086717bbddb1
3. 未动态验证
4. 数据别名：甲、乙、丙用于区分本条测试对象；按前置条件准备并记录实际账号或记录 ID，不是固定业务名称。</x:v>
      </x:c>
    </x:row>
    <x:row r="143" ht="70" customHeight="1">
      <x:c r="A143" s="10" t="n">
        <x:v>142</x:v>
      </x:c>
      <x:c r="B143" s="10" t="str">
        <x:v>ADMIN-04-0038</x:v>
      </x:c>
      <x:c r="C143" s="10" t="str">
        <x:v>举报处理</x:v>
      </x:c>
      <x:c r="D143" s="10" t="str">
        <x:v>违规类型编辑（平台管理员视角）</x:v>
      </x:c>
      <x:c r="E143" s="10" t="str">
        <x:v>业务流程</x:v>
      </x:c>
      <x:c r="F143" s="10" t="str">
        <x:v>P1</x:v>
      </x:c>
      <x:c r="G143" s="9" t="str">
        <x:v>验证违规类型排序不接受0</x:v>
      </x:c>
      <x:c r="H143" s="9" t="str">
        <x:v>违规排序正整数</x:v>
      </x:c>
      <x:c r="I143" s="9" t="str">
        <x:v>1. 执行角色为平台管理员
2. 四语名称均合法唯一</x:v>
      </x:c>
      <x:c r="J143" s="9" t="str">
        <x:v>1. 进入新建违规类型
2. 填写排序0
3. 点击保存</x:v>
      </x:c>
      <x:c r="K143" s="9" t="str">
        <x:v>不能保存非正整数排序</x:v>
      </x:c>
      <x:c r="L143" s="10" t="str"/>
      <x:c r="M143" s="10" t="str">
        <x:v>未测</x:v>
      </x:c>
      <x:c r="N143" s="10" t="str"/>
      <x:c r="O143" s="9" t="str">
        <x:v>1. 来源（当前证据）：liveshow-proto/MainBasis/统一需求文档.md；位置：行2741
2. 规则：BR-f93fb804a8399749
3. 未动态验证</x:v>
      </x:c>
    </x:row>
    <x:row r="144" ht="115" customHeight="1">
      <x:c r="A144" s="10" t="n">
        <x:v>143</x:v>
      </x:c>
      <x:c r="B144" s="10" t="str">
        <x:v>ADMIN-04-0039</x:v>
      </x:c>
      <x:c r="C144" s="10" t="str">
        <x:v>举报处理</x:v>
      </x:c>
      <x:c r="D144" s="10" t="str">
        <x:v>违规类型编辑（平台管理员视角）</x:v>
      </x:c>
      <x:c r="E144" s="10" t="str">
        <x:v>业务流程</x:v>
      </x:c>
      <x:c r="F144" s="10" t="str">
        <x:v>P1</x:v>
      </x:c>
      <x:c r="G144" s="9" t="str">
        <x:v>验证类型创建后不能切换属性</x:v>
      </x:c>
      <x:c r="H144" s="9" t="str">
        <x:v>违规类型属性不可变</x:v>
      </x:c>
      <x:c r="I144" s="9" t="str">
        <x:v>1. 执行角色为平台管理员
2. 类型甲已作为自定义保存</x:v>
      </x:c>
      <x:c r="J144" s="9" t="str">
        <x:v>1. 进入类型甲编辑</x:v>
      </x:c>
      <x:c r="K144" s="9" t="str">
        <x:v>不能改为系统预置类型</x:v>
      </x:c>
      <x:c r="L144" s="10" t="str"/>
      <x:c r="M144" s="10" t="str">
        <x:v>未测</x:v>
      </x:c>
      <x:c r="N144" s="10" t="str"/>
      <x:c r="O144" s="9" t="str">
        <x:v>1. 来源（当前证据）：liveshow-proto/MainBasis/统一需求文档.md；位置：行2742
2. 规则：BR-92afb0596023d633
3. 未动态验证
4. 数据别名：甲、乙、丙用于区分本条测试对象；按前置条件准备并记录实际账号或记录 ID，不是固定业务名称。</x:v>
      </x:c>
    </x:row>
    <x:row r="145" ht="70" customHeight="1">
      <x:c r="A145" s="10" t="n">
        <x:v>144</x:v>
      </x:c>
      <x:c r="B145" s="10" t="str">
        <x:v>ADMIN-04-0040</x:v>
      </x:c>
      <x:c r="C145" s="10" t="str">
        <x:v>举报处理</x:v>
      </x:c>
      <x:c r="D145" s="10" t="str">
        <x:v>违规类型编辑（平台管理员视角）</x:v>
      </x:c>
      <x:c r="E145" s="10" t="str">
        <x:v>功能需求</x:v>
      </x:c>
      <x:c r="F145" s="10" t="str">
        <x:v>P2</x:v>
      </x:c>
      <x:c r="G145" s="9" t="str">
        <x:v>验证预置举报类型保持启用</x:v>
      </x:c>
      <x:c r="H145" s="9" t="str">
        <x:v>预置类型状态限制</x:v>
      </x:c>
      <x:c r="I145" s="9" t="str">
        <x:v>1. 执行角色为平台管理员
2. 系统预置其他举报类型存在</x:v>
      </x:c>
      <x:c r="J145" s="9" t="str">
        <x:v>1. 进入该预置类型详情</x:v>
      </x:c>
      <x:c r="K145" s="9" t="str">
        <x:v>状态不能设置为停用</x:v>
      </x:c>
      <x:c r="L145" s="10" t="str"/>
      <x:c r="M145" s="10" t="str">
        <x:v>未测</x:v>
      </x:c>
      <x:c r="N145" s="10" t="str"/>
      <x:c r="O145" s="9" t="str">
        <x:v>1. 来源（当前证据）：liveshow-proto/MainBasis/统一需求文档.md；位置：行2743
2. 规则：BR-790d22a522778efb
3. 未动态验证</x:v>
      </x:c>
    </x:row>
    <x:row r="146" ht="70" customHeight="1">
      <x:c r="A146" s="10" t="n">
        <x:v>145</x:v>
      </x:c>
      <x:c r="B146" s="10" t="str">
        <x:v>ADMIN-05-0001</x:v>
      </x:c>
      <x:c r="C146" s="10" t="str">
        <x:v>公会管理</x:v>
      </x:c>
      <x:c r="D146" s="10" t="str">
        <x:v>公会列表（平台管理员视角）</x:v>
      </x:c>
      <x:c r="E146" s="10" t="str">
        <x:v>功能需求</x:v>
      </x:c>
      <x:c r="F146" s="10" t="str">
        <x:v>P2</x:v>
      </x:c>
      <x:c r="G146" s="9" t="str">
        <x:v>验证公会列表读取公会ID</x:v>
      </x:c>
      <x:c r="H146" s="9" t="str">
        <x:v>公会ID回显</x:v>
      </x:c>
      <x:c r="I146" s="9" t="str">
        <x:v>1. 执行角色为平台管理员
2. 所选公会的公会ID为“200001”</x:v>
      </x:c>
      <x:c r="J146" s="9" t="str">
        <x:v>1. 进入公会列表
2. 查看公会ID</x:v>
      </x:c>
      <x:c r="K146" s="9" t="str">
        <x:v>公会ID显示“200001”</x:v>
      </x:c>
      <x:c r="L146" s="10" t="str"/>
      <x:c r="M146" s="10" t="str">
        <x:v>未测</x:v>
      </x:c>
      <x:c r="N146" s="10" t="str"/>
      <x:c r="O146" s="9" t="str">
        <x:v>1. 来源（当前证据）：liveshow-proto/MainBasis/统一需求文档.md；位置：行2749
2. 规则：BR-d72a702777e6d0a2
3. 未动态验证</x:v>
      </x:c>
    </x:row>
    <x:row r="147" ht="115" customHeight="1">
      <x:c r="A147" s="10" t="n">
        <x:v>146</x:v>
      </x:c>
      <x:c r="B147" s="10" t="str">
        <x:v>ADMIN-05-0002</x:v>
      </x:c>
      <x:c r="C147" s="10" t="str">
        <x:v>公会管理</x:v>
      </x:c>
      <x:c r="D147" s="10" t="str">
        <x:v>公会列表（平台管理员视角）</x:v>
      </x:c>
      <x:c r="E147" s="10" t="str">
        <x:v>功能需求</x:v>
      </x:c>
      <x:c r="F147" s="10" t="str">
        <x:v>P2</x:v>
      </x:c>
      <x:c r="G147" s="9" t="str">
        <x:v>验证公会列表读取当前名称</x:v>
      </x:c>
      <x:c r="H147" s="9" t="str">
        <x:v>当前名称回显</x:v>
      </x:c>
      <x:c r="I147" s="9" t="str">
        <x:v>1. 执行角色为平台管理员
2. 所选公会当前资料的当前名称为“公会甲”</x:v>
      </x:c>
      <x:c r="J147" s="9" t="str">
        <x:v>1. 进入公会列表
2. 查看当前名称</x:v>
      </x:c>
      <x:c r="K147" s="9" t="str">
        <x:v>当前名称显示“公会甲”</x:v>
      </x:c>
      <x:c r="L147" s="10" t="str"/>
      <x:c r="M147" s="10" t="str">
        <x:v>未测</x:v>
      </x:c>
      <x:c r="N147" s="10" t="str"/>
      <x:c r="O147" s="9" t="str">
        <x:v>1. 来源（当前证据）：liveshow-proto/MainBasis/统一需求文档.md；位置：行2749
2. 规则：BR-5ae6ba17d7f90f3a
3. 未动态验证
4. 数据别名：甲、乙、丙用于区分本条测试对象；按前置条件准备并记录实际账号或记录 ID，不是固定业务名称。</x:v>
      </x:c>
    </x:row>
    <x:row r="148" ht="115" customHeight="1">
      <x:c r="A148" s="10" t="n">
        <x:v>147</x:v>
      </x:c>
      <x:c r="B148" s="10" t="str">
        <x:v>ADMIN-05-0003</x:v>
      </x:c>
      <x:c r="C148" s="10" t="str">
        <x:v>公会管理</x:v>
      </x:c>
      <x:c r="D148" s="10" t="str">
        <x:v>公会列表（平台管理员视角）</x:v>
      </x:c>
      <x:c r="E148" s="10" t="str">
        <x:v>功能需求</x:v>
      </x:c>
      <x:c r="F148" s="10" t="str">
        <x:v>P2</x:v>
      </x:c>
      <x:c r="G148" s="9" t="str">
        <x:v>验证公会列表读取公会长昵称</x:v>
      </x:c>
      <x:c r="H148" s="9" t="str">
        <x:v>公会长昵称回显</x:v>
      </x:c>
      <x:c r="I148" s="9" t="str">
        <x:v>1. 执行角色为平台管理员
2. 所选公会当前管理账号资料的公会长昵称为“负责人甲”</x:v>
      </x:c>
      <x:c r="J148" s="9" t="str">
        <x:v>1. 进入公会列表
2. 查看公会长昵称</x:v>
      </x:c>
      <x:c r="K148" s="9" t="str">
        <x:v>公会长昵称显示“负责人甲”</x:v>
      </x:c>
      <x:c r="L148" s="10" t="str"/>
      <x:c r="M148" s="10" t="str">
        <x:v>未测</x:v>
      </x:c>
      <x:c r="N148" s="10" t="str"/>
      <x:c r="O148" s="9" t="str">
        <x:v>1. 来源（当前证据）：liveshow-proto/MainBasis/统一需求文档.md；位置：行2750
2. 规则：BR-281d56930cfd2fe4
3. 未动态验证
4. 数据别名：甲、乙、丙用于区分本条测试对象；按前置条件准备并记录实际账号或记录 ID，不是固定业务名称。</x:v>
      </x:c>
    </x:row>
    <x:row r="149" ht="160" customHeight="1">
      <x:c r="A149" s="10" t="n">
        <x:v>148</x:v>
      </x:c>
      <x:c r="B149" s="10" t="str">
        <x:v>ADMIN-05-0004</x:v>
      </x:c>
      <x:c r="C149" s="10" t="str">
        <x:v>公会管理</x:v>
      </x:c>
      <x:c r="D149" s="10" t="str">
        <x:v>公会列表（平台管理员视角）</x:v>
      </x:c>
      <x:c r="E149" s="10" t="str">
        <x:v>业务流程</x:v>
      </x:c>
      <x:c r="F149" s="10" t="str">
        <x:v>P1</x:v>
      </x:c>
      <x:c r="G149" s="9" t="str">
        <x:v>验证收益结清后解散不可恢复</x:v>
      </x:c>
      <x:c r="H149" s="9" t="str">
        <x:v>公会解散终态</x:v>
      </x:c>
      <x:c r="I149" s="9" t="str">
        <x:v>1. 执行角色为平台管理员
2. 公会甲全部主播收益结清为0</x:v>
      </x:c>
      <x:c r="J149" s="9" t="str">
        <x:v>1. 进入公会甲详情
2. 点击解散
3. 点击确认</x:v>
      </x:c>
      <x:c r="K149" s="9" t="str">
        <x:v>公会甲状态为已解散</x:v>
      </x:c>
      <x:c r="L149" s="10" t="str">
        <x:v>FLOW-GUILD</x:v>
      </x:c>
      <x:c r="M149" s="10" t="str">
        <x:v>未测</x:v>
      </x:c>
      <x:c r="N149" s="10" t="str"/>
      <x:c r="O149" s="9" t="str">
        <x:v>1. 来源（当前证据）：liveshow-proto/MainBasis/统一需求文档.md；位置：行2752、行2771
2. 规则：BR-b5373d55c5ade703
3. 未动态验证
4. 状态转换：ST-GUILD-DISSOLVE；按同一业务对象的数据别名准备对应上下游记录
5. 数据别名：甲、乙、丙用于区分本条测试对象；按前置条件准备并记录实际账号或记录 ID，不是固定业务名称。</x:v>
      </x:c>
    </x:row>
    <x:row r="150" ht="70" customHeight="1">
      <x:c r="A150" s="10" t="n">
        <x:v>149</x:v>
      </x:c>
      <x:c r="B150" s="10" t="str">
        <x:v>ADMIN-05-0005</x:v>
      </x:c>
      <x:c r="C150" s="10" t="str">
        <x:v>公会管理</x:v>
      </x:c>
      <x:c r="D150" s="10" t="str">
        <x:v>公会列表（平台管理员视角）</x:v>
      </x:c>
      <x:c r="E150" s="10" t="str">
        <x:v>功能需求</x:v>
      </x:c>
      <x:c r="F150" s="10" t="str">
        <x:v>P2</x:v>
      </x:c>
      <x:c r="G150" s="9" t="str">
        <x:v>验证公会列表读取公会状态</x:v>
      </x:c>
      <x:c r="H150" s="9" t="str">
        <x:v>公会状态回显</x:v>
      </x:c>
      <x:c r="I150" s="9" t="str">
        <x:v>1. 执行角色为平台管理员
2. 所选公会当前状态的公会状态为“已解散”</x:v>
      </x:c>
      <x:c r="J150" s="9" t="str">
        <x:v>1. 进入公会列表
2. 查看公会状态</x:v>
      </x:c>
      <x:c r="K150" s="9" t="str">
        <x:v>公会状态显示“已解散”</x:v>
      </x:c>
      <x:c r="L150" s="10" t="str"/>
      <x:c r="M150" s="10" t="str">
        <x:v>未测</x:v>
      </x:c>
      <x:c r="N150" s="10" t="str"/>
      <x:c r="O150" s="9" t="str">
        <x:v>1. 来源（当前证据）：liveshow-proto/MainBasis/统一需求文档.md；位置：行2752
2. 规则：BR-46818be1b180c430
3. 未动态验证</x:v>
      </x:c>
    </x:row>
    <x:row r="151" ht="115" customHeight="1">
      <x:c r="A151" s="10" t="n">
        <x:v>150</x:v>
      </x:c>
      <x:c r="B151" s="10" t="str">
        <x:v>ADMIN-05-0006</x:v>
      </x:c>
      <x:c r="C151" s="10" t="str">
        <x:v>公会管理</x:v>
      </x:c>
      <x:c r="D151" s="10" t="str">
        <x:v>公会列表（平台管理员视角）</x:v>
      </x:c>
      <x:c r="E151" s="10" t="str">
        <x:v>业务流程</x:v>
      </x:c>
      <x:c r="F151" s="10" t="str">
        <x:v>P1</x:v>
      </x:c>
      <x:c r="G151" s="9" t="str">
        <x:v>验证停用公会不改变管理账号自身状态</x:v>
      </x:c>
      <x:c r="H151" s="9" t="str">
        <x:v>公会状态隔离</x:v>
      </x:c>
      <x:c r="I151" s="9" t="str">
        <x:v>1. 执行角色为平台管理员
2. 公会甲启用；公会长乙账号启用</x:v>
      </x:c>
      <x:c r="J151" s="9" t="str">
        <x:v>1. 进入公会列表
2. 点击停用公会甲
3. 点击确认
4. 查看管理账号</x:v>
      </x:c>
      <x:c r="K151" s="9" t="str">
        <x:v>乙的账号自身状态仍启用</x:v>
      </x:c>
      <x:c r="L151" s="10" t="str"/>
      <x:c r="M151" s="10" t="str">
        <x:v>未测</x:v>
      </x:c>
      <x:c r="N151" s="10" t="str"/>
      <x:c r="O151" s="9" t="str">
        <x:v>1. 来源（当前证据）：liveshow-proto/MainBasis/统一需求文档.md；位置：行2753
2. 规则：BR-4924028942cf12fc
3. 未动态验证
4. 数据别名：甲、乙、丙用于区分本条测试对象；按前置条件准备并记录实际账号或记录 ID，不是固定业务名称。</x:v>
      </x:c>
    </x:row>
    <x:row r="152" ht="160" customHeight="1">
      <x:c r="A152" s="10" t="n">
        <x:v>151</x:v>
      </x:c>
      <x:c r="B152" s="10" t="str">
        <x:v>ADMIN-05-0007</x:v>
      </x:c>
      <x:c r="C152" s="10" t="str">
        <x:v>公会管理</x:v>
      </x:c>
      <x:c r="D152" s="10" t="str">
        <x:v>公会列表（平台管理员视角）</x:v>
      </x:c>
      <x:c r="E152" s="10" t="str">
        <x:v>业务流程</x:v>
      </x:c>
      <x:c r="F152" s="10" t="str">
        <x:v>P1</x:v>
      </x:c>
      <x:c r="G152" s="9" t="str">
        <x:v>验证平台停用公会记录状态</x:v>
      </x:c>
      <x:c r="H152" s="9" t="str">
        <x:v>公会停用终态</x:v>
      </x:c>
      <x:c r="I152" s="9" t="str">
        <x:v>1. 执行角色为平台管理员
2. 公会甲正常，平台管理员有公会处置权限</x:v>
      </x:c>
      <x:c r="J152" s="9" t="str">
        <x:v>1. 进入公会甲详情
2. 点击停用
3. 点击确认</x:v>
      </x:c>
      <x:c r="K152" s="9" t="str">
        <x:v>公会甲为停用</x:v>
      </x:c>
      <x:c r="L152" s="10" t="str">
        <x:v>FLOW-GUILD</x:v>
      </x:c>
      <x:c r="M152" s="10" t="str">
        <x:v>未测</x:v>
      </x:c>
      <x:c r="N152" s="10" t="str"/>
      <x:c r="O152" s="9" t="str">
        <x:v>1. 来源（当前证据）：liveshow-proto/MainBasis/统一需求文档.md；位置：行2753、行158
2. 规则：BR-ab6bb19472ef80c2
3. 未动态验证
4. 状态转换：ST-GUILD-STOP；按同一业务对象的数据别名准备对应上下游记录
5. 数据别名：甲、乙、丙用于区分本条测试对象；按前置条件准备并记录实际账号或记录 ID，不是固定业务名称。</x:v>
      </x:c>
    </x:row>
    <x:row r="153" ht="130" customHeight="1">
      <x:c r="A153" s="10" t="n">
        <x:v>152</x:v>
      </x:c>
      <x:c r="B153" s="10" t="str">
        <x:v>ADMIN-05-0008</x:v>
      </x:c>
      <x:c r="C153" s="10" t="str">
        <x:v>公会管理</x:v>
      </x:c>
      <x:c r="D153" s="10" t="str">
        <x:v>公会列表（平台管理员视角）</x:v>
      </x:c>
      <x:c r="E153" s="10" t="str">
        <x:v>功能需求</x:v>
      </x:c>
      <x:c r="F153" s="10" t="str">
        <x:v>P2</x:v>
      </x:c>
      <x:c r="G153" s="9" t="str">
        <x:v>验证停用公会长不改变公会状态</x:v>
      </x:c>
      <x:c r="H153" s="9" t="str">
        <x:v>公会与账号状态分离</x:v>
      </x:c>
      <x:c r="I153" s="9" t="str">
        <x:v>1. 执行角色为平台管理员
2. 公会甲启用；公会长乙启用</x:v>
      </x:c>
      <x:c r="J153" s="9" t="str">
        <x:v>1. 进入公会甲详情
2. 点击停用公会长账号
3. 填写原因测试停用
4. 点击确认</x:v>
      </x:c>
      <x:c r="K153" s="9" t="str">
        <x:v>公会甲仍为启用</x:v>
      </x:c>
      <x:c r="L153" s="10" t="str"/>
      <x:c r="M153" s="10" t="str">
        <x:v>未测</x:v>
      </x:c>
      <x:c r="N153" s="10" t="str"/>
      <x:c r="O153" s="9" t="str">
        <x:v>1. 来源（当前证据）：liveshow-proto/MainBasis/统一需求文档.md；位置：行2754、行2770
2. 规则：BR-f2488f898b25836a
3. 未动态验证
4. 数据别名：甲、乙、丙用于区分本条测试对象；按前置条件准备并记录实际账号或记录 ID，不是固定业务名称。</x:v>
      </x:c>
    </x:row>
    <x:row r="154" ht="145" customHeight="1">
      <x:c r="A154" s="10" t="n">
        <x:v>153</x:v>
      </x:c>
      <x:c r="B154" s="10" t="str">
        <x:v>ADMIN-05-0009</x:v>
      </x:c>
      <x:c r="C154" s="10" t="str">
        <x:v>公会管理</x:v>
      </x:c>
      <x:c r="D154" s="10" t="str">
        <x:v>公会列表（平台管理员视角）</x:v>
      </x:c>
      <x:c r="E154" s="10" t="str">
        <x:v>业务流程</x:v>
      </x:c>
      <x:c r="F154" s="10" t="str">
        <x:v>P1</x:v>
      </x:c>
      <x:c r="G154" s="9" t="str">
        <x:v>验证停用公会长账号记录终态</x:v>
      </x:c>
      <x:c r="H154" s="9" t="str">
        <x:v>公会长停用终态</x:v>
      </x:c>
      <x:c r="I154" s="9" t="str">
        <x:v>1. 执行角色为平台管理员
2. 公会甲及管理账号乙均启用，有停用权限</x:v>
      </x:c>
      <x:c r="J154" s="9" t="str">
        <x:v>1. 进入公会甲详情
2. 点击停用管理账号乙
3. 填写原因测试停用
4. 点击确认</x:v>
      </x:c>
      <x:c r="K154" s="9" t="str">
        <x:v>乙账号状态为停用</x:v>
      </x:c>
      <x:c r="L154" s="10" t="str">
        <x:v>FLOW-GUILD</x:v>
      </x:c>
      <x:c r="M154" s="10" t="str">
        <x:v>未测</x:v>
      </x:c>
      <x:c r="N154" s="10" t="str"/>
      <x:c r="O154" s="9" t="str">
        <x:v>1. 来源（当前证据）：liveshow-proto/MainBasis/统一需求文档.md；位置：行2754
2. 规则：BR-f562d9da2d1a17b1
3. 未动态验证
4. 状态转换：ST-GUILD-OWNER-STOP；按同一业务对象的数据别名准备对应上下游记录
5. 数据别名：甲、乙、丙用于区分本条测试对象；按前置条件准备并记录实际账号或记录 ID，不是固定业务名称。</x:v>
      </x:c>
    </x:row>
    <x:row r="155" ht="130" customHeight="1">
      <x:c r="A155" s="10" t="n">
        <x:v>154</x:v>
      </x:c>
      <x:c r="B155" s="10" t="str">
        <x:v>ADMIN-05-0010</x:v>
      </x:c>
      <x:c r="C155" s="10" t="str">
        <x:v>公会管理</x:v>
      </x:c>
      <x:c r="D155" s="10" t="str">
        <x:v>公会列表（平台管理员视角）</x:v>
      </x:c>
      <x:c r="E155" s="10" t="str">
        <x:v>业务流程</x:v>
      </x:c>
      <x:c r="F155" s="10" t="str">
        <x:v>P1</x:v>
      </x:c>
      <x:c r="G155" s="9" t="str">
        <x:v>验证未结清主播收益不能解散</x:v>
      </x:c>
      <x:c r="H155" s="9" t="str">
        <x:v>公会解散余额门槛</x:v>
      </x:c>
      <x:c r="I155" s="9" t="str">
        <x:v>1. 执行角色为平台管理员
2. 公会甲仍有主播未结清收益1金币</x:v>
      </x:c>
      <x:c r="J155" s="9" t="str">
        <x:v>1. 进入公会甲详情
2. 点击解散
3. 点击确认</x:v>
      </x:c>
      <x:c r="K155" s="9" t="str">
        <x:v>公会甲未被解散</x:v>
      </x:c>
      <x:c r="L155" s="10" t="str"/>
      <x:c r="M155" s="10" t="str">
        <x:v>未测</x:v>
      </x:c>
      <x:c r="N155" s="10" t="str"/>
      <x:c r="O155" s="9" t="str">
        <x:v>1. 来源（当前证据）：liveshow-proto/MainBasis/统一需求文档.md；位置：行2755、行2771
2. 规则：BR-1bc245db38075ecf
3. 未动态验证
4. 数据别名：甲、乙、丙用于区分本条测试对象；按前置条件准备并记录实际账号或记录 ID，不是固定业务名称。</x:v>
      </x:c>
    </x:row>
    <x:row r="156" ht="115" customHeight="1">
      <x:c r="A156" s="10" t="n">
        <x:v>155</x:v>
      </x:c>
      <x:c r="B156" s="10" t="str">
        <x:v>ADMIN-05-0011</x:v>
      </x:c>
      <x:c r="C156" s="10" t="str">
        <x:v>公会管理</x:v>
      </x:c>
      <x:c r="D156" s="10" t="str">
        <x:v>公会详情（平台管理员视角）</x:v>
      </x:c>
      <x:c r="E156" s="10" t="str">
        <x:v>业务流程</x:v>
      </x:c>
      <x:c r="F156" s="10" t="str">
        <x:v>P1</x:v>
      </x:c>
      <x:c r="G156" s="9" t="str">
        <x:v>验证公会创建后ID只读</x:v>
      </x:c>
      <x:c r="H156" s="9" t="str">
        <x:v>公会标识不可修改</x:v>
      </x:c>
      <x:c r="I156" s="9" t="str">
        <x:v>1. 执行角色为平台管理员
2. 公会甲已创建，ID200001</x:v>
      </x:c>
      <x:c r="J156" s="9" t="str">
        <x:v>1. 进入公会甲详情
2. 点击公会ID</x:v>
      </x:c>
      <x:c r="K156" s="9" t="str">
        <x:v>公会ID不可修改</x:v>
      </x:c>
      <x:c r="L156" s="10" t="str"/>
      <x:c r="M156" s="10" t="str">
        <x:v>未测</x:v>
      </x:c>
      <x:c r="N156" s="10" t="str"/>
      <x:c r="O156" s="9" t="str">
        <x:v>1. 来源（当前证据）：liveshow-proto/MainBasis/统一需求文档.md；位置：行2761
2. 规则：BR-a356f76d5ec7bc09
3. 未动态验证
4. 数据别名：甲、乙、丙用于区分本条测试对象；按前置条件准备并记录实际账号或记录 ID，不是固定业务名称。</x:v>
      </x:c>
    </x:row>
    <x:row r="157" ht="70" customHeight="1">
      <x:c r="A157" s="10" t="n">
        <x:v>156</x:v>
      </x:c>
      <x:c r="B157" s="10" t="str">
        <x:v>ADMIN-05-0012</x:v>
      </x:c>
      <x:c r="C157" s="10" t="str">
        <x:v>公会管理</x:v>
      </x:c>
      <x:c r="D157" s="10" t="str">
        <x:v>公会详情（平台管理员视角）</x:v>
      </x:c>
      <x:c r="E157" s="10" t="str">
        <x:v>功能需求</x:v>
      </x:c>
      <x:c r="F157" s="10" t="str">
        <x:v>P2</x:v>
      </x:c>
      <x:c r="G157" s="9" t="str">
        <x:v>验证新公会名称必填</x:v>
      </x:c>
      <x:c r="H157" s="9" t="str">
        <x:v>公会名称必填</x:v>
      </x:c>
      <x:c r="I157" s="9" t="str">
        <x:v>1. 执行角色为平台管理员
2. Logo及其他必填项合法</x:v>
      </x:c>
      <x:c r="J157" s="9" t="str">
        <x:v>1. 进入新建公会
2. 清空名称
3. 点击保存</x:v>
      </x:c>
      <x:c r="K157" s="9" t="str">
        <x:v>不能创建无名称公会</x:v>
      </x:c>
      <x:c r="L157" s="10" t="str"/>
      <x:c r="M157" s="10" t="str">
        <x:v>未测</x:v>
      </x:c>
      <x:c r="N157" s="10" t="str"/>
      <x:c r="O157" s="9" t="str">
        <x:v>1. 来源（当前证据）：liveshow-proto/MainBasis/统一需求文档.md；位置：行2762
2. 规则：BR-15b1778dcd52a530
3. 未动态验证</x:v>
      </x:c>
    </x:row>
    <x:row r="158" ht="70" customHeight="1">
      <x:c r="A158" s="10" t="n">
        <x:v>157</x:v>
      </x:c>
      <x:c r="B158" s="10" t="str">
        <x:v>ADMIN-05-0013</x:v>
      </x:c>
      <x:c r="C158" s="10" t="str">
        <x:v>公会管理</x:v>
      </x:c>
      <x:c r="D158" s="10" t="str">
        <x:v>公会详情（平台管理员视角）</x:v>
      </x:c>
      <x:c r="E158" s="10" t="str">
        <x:v>功能需求</x:v>
      </x:c>
      <x:c r="F158" s="10" t="str">
        <x:v>P2</x:v>
      </x:c>
      <x:c r="G158" s="9" t="str">
        <x:v>验证新公会Logo必填</x:v>
      </x:c>
      <x:c r="H158" s="9" t="str">
        <x:v>公会Logo必填</x:v>
      </x:c>
      <x:c r="I158" s="9" t="str">
        <x:v>1. 执行角色为平台管理员
2. 名称及其他必填项合法</x:v>
      </x:c>
      <x:c r="J158" s="9" t="str">
        <x:v>1. 进入新建公会
2. 删除Logo
3. 点击保存</x:v>
      </x:c>
      <x:c r="K158" s="9" t="str">
        <x:v>不能创建无Logo公会</x:v>
      </x:c>
      <x:c r="L158" s="10" t="str"/>
      <x:c r="M158" s="10" t="str">
        <x:v>未测</x:v>
      </x:c>
      <x:c r="N158" s="10" t="str"/>
      <x:c r="O158" s="9" t="str">
        <x:v>1. 来源（当前证据）：liveshow-proto/MainBasis/统一需求文档.md；位置：行2762
2. 规则：BR-c137374ff8fea9a7
3. 未动态验证</x:v>
      </x:c>
    </x:row>
    <x:row r="159" ht="175" customHeight="1">
      <x:c r="A159" s="10" t="n">
        <x:v>158</x:v>
      </x:c>
      <x:c r="B159" s="10" t="str">
        <x:v>ADMIN-05-0014</x:v>
      </x:c>
      <x:c r="C159" s="10" t="str">
        <x:v>公会管理</x:v>
      </x:c>
      <x:c r="D159" s="10" t="str">
        <x:v>公会详情（平台管理员视角）</x:v>
      </x:c>
      <x:c r="E159" s="10" t="str">
        <x:v>业务流程</x:v>
      </x:c>
      <x:c r="F159" s="10" t="str">
        <x:v>P1</x:v>
      </x:c>
      <x:c r="G159" s="9" t="str">
        <x:v>验证公会管理账号不能重复</x:v>
      </x:c>
      <x:c r="H159" s="9" t="str">
        <x:v>公会登录账号唯一性</x:v>
      </x:c>
      <x:c r="I159" s="9" t="str">
        <x:v>1. 执行角色为平台管理员
2. 公会乙已有管理账号guild-owner-qa；本次新公会名QA公会甲未使用；准备Logo图片qa-guild.png；密码OwnerPass8满足本页策略
3. 材料准备要求：准备本条使用的qa-guild.png，为可正常解码的测试图片，并按前置条件保存原图或供本次上传；文件名仅为材料别名</x:v>
      </x:c>
      <x:c r="J159" s="9" t="str">
        <x:v>1. 进入新建公会
2. 填写名称QA公会甲
3. 上传Logo图片qa-guild.png
4. 填写管理账号guild-owner-qa
5. 填写初始密码OwnerPass8
6. 点击保存</x:v>
      </x:c>
      <x:c r="K159" s="9" t="str">
        <x:v>不能创建重复管理账号</x:v>
      </x:c>
      <x:c r="L159" s="10" t="str"/>
      <x:c r="M159" s="10" t="str">
        <x:v>未测</x:v>
      </x:c>
      <x:c r="N159" s="10" t="str"/>
      <x:c r="O159" s="9" t="str">
        <x:v>1. 来源（当前证据）：liveshow-proto/MainBasis/统一需求文档.md；位置：行2763
2. 规则：BR-ca0f92b1dc7aa8af
3. 未动态验证
4. 数据别名：甲、乙、丙用于区分本条测试对象；按前置条件准备并记录实际账号或记录 ID，不是固定业务名称。</x:v>
      </x:c>
    </x:row>
    <x:row r="160" ht="70" customHeight="1">
      <x:c r="A160" s="10" t="n">
        <x:v>159</x:v>
      </x:c>
      <x:c r="B160" s="10" t="str">
        <x:v>ADMIN-05-0015</x:v>
      </x:c>
      <x:c r="C160" s="10" t="str">
        <x:v>公会管理</x:v>
      </x:c>
      <x:c r="D160" s="10" t="str">
        <x:v>公会详情（平台管理员视角）</x:v>
      </x:c>
      <x:c r="E160" s="10" t="str">
        <x:v>功能需求</x:v>
      </x:c>
      <x:c r="F160" s="10" t="str">
        <x:v>P2</x:v>
      </x:c>
      <x:c r="G160" s="9" t="str">
        <x:v>验证公会详情读取公会长账号状态</x:v>
      </x:c>
      <x:c r="H160" s="9" t="str">
        <x:v>公会长账号状态回显</x:v>
      </x:c>
      <x:c r="I160" s="9" t="str">
        <x:v>1. 执行角色为平台管理员
2. 当前管理账号自身状态的公会长账号状态为“停用”</x:v>
      </x:c>
      <x:c r="J160" s="9" t="str">
        <x:v>1. 进入公会详情
2. 查看公会长账号状态</x:v>
      </x:c>
      <x:c r="K160" s="9" t="str">
        <x:v>公会长账号状态显示“停用”</x:v>
      </x:c>
      <x:c r="L160" s="10" t="str"/>
      <x:c r="M160" s="10" t="str">
        <x:v>未测</x:v>
      </x:c>
      <x:c r="N160" s="10" t="str"/>
      <x:c r="O160" s="9" t="str">
        <x:v>1. 来源（当前证据）：liveshow-proto/MainBasis/统一需求文档.md；位置：行2764
2. 规则：BR-bbc5ec4a25a50b5e
3. 未动态验证</x:v>
      </x:c>
    </x:row>
    <x:row r="161" ht="115" customHeight="1">
      <x:c r="A161" s="10" t="n">
        <x:v>160</x:v>
      </x:c>
      <x:c r="B161" s="10" t="str">
        <x:v>ADMIN-05-0016</x:v>
      </x:c>
      <x:c r="C161" s="10" t="str">
        <x:v>公会管理</x:v>
      </x:c>
      <x:c r="D161" s="10" t="str">
        <x:v>公会详情（平台管理员视角）</x:v>
      </x:c>
      <x:c r="E161" s="10" t="str">
        <x:v>功能需求</x:v>
      </x:c>
      <x:c r="F161" s="10" t="str">
        <x:v>P2</x:v>
      </x:c>
      <x:c r="G161" s="9" t="str">
        <x:v>验证公会详情不显示他会主播</x:v>
      </x:c>
      <x:c r="H161" s="9" t="str">
        <x:v>后台公会关系隔离</x:v>
      </x:c>
      <x:c r="I161" s="9" t="str">
        <x:v>1. 执行角色为平台管理员
2. 甲属公会A，乙属公会B</x:v>
      </x:c>
      <x:c r="J161" s="9" t="str">
        <x:v>1. 进入公会A详情</x:v>
      </x:c>
      <x:c r="K161" s="9" t="str">
        <x:v>主播列表不包含乙</x:v>
      </x:c>
      <x:c r="L161" s="10" t="str"/>
      <x:c r="M161" s="10" t="str">
        <x:v>未测</x:v>
      </x:c>
      <x:c r="N161" s="10" t="str"/>
      <x:c r="O161" s="9" t="str">
        <x:v>1. 来源（当前证据）：liveshow-proto/MainBasis/统一需求文档.md；位置：行2766
2. 规则：BR-eaea72d7f447068c
3. 未动态验证
4. 数据别名：甲、乙、丙用于区分本条测试对象；按前置条件准备并记录实际账号或记录 ID，不是固定业务名称。</x:v>
      </x:c>
    </x:row>
    <x:row r="162" ht="70" customHeight="1">
      <x:c r="A162" s="10" t="n">
        <x:v>161</x:v>
      </x:c>
      <x:c r="B162" s="10" t="str">
        <x:v>ADMIN-05-0017</x:v>
      </x:c>
      <x:c r="C162" s="10" t="str">
        <x:v>公会管理</x:v>
      </x:c>
      <x:c r="D162" s="10" t="str">
        <x:v>公会详情（平台管理员视角）</x:v>
      </x:c>
      <x:c r="E162" s="10" t="str">
        <x:v>业务流程</x:v>
      </x:c>
      <x:c r="F162" s="10" t="str">
        <x:v>P1</x:v>
      </x:c>
      <x:c r="G162" s="9" t="str">
        <x:v>验证重置密码不修改登录账号</x:v>
      </x:c>
      <x:c r="H162" s="9" t="str">
        <x:v>公会账号重置范围</x:v>
      </x:c>
      <x:c r="I162" s="9" t="str">
        <x:v>1. 执行角色为平台管理员
2. 管理账号为guild-owner-qa</x:v>
      </x:c>
      <x:c r="J162" s="9" t="str">
        <x:v>1. 进入公会详情
2. 点击重置密码
3. 填写新密码
4. 点击确认</x:v>
      </x:c>
      <x:c r="K162" s="9" t="str">
        <x:v>管理账号仍为guild-owner-qa</x:v>
      </x:c>
      <x:c r="L162" s="10" t="str"/>
      <x:c r="M162" s="10" t="str">
        <x:v>未测</x:v>
      </x:c>
      <x:c r="N162" s="10" t="str"/>
      <x:c r="O162" s="9" t="str">
        <x:v>1. 来源（当前证据）：liveshow-proto/MainBasis/统一需求文档.md；位置：行2771
2. 规则：BR-f366c87ac416d5e9
3. 未动态验证</x:v>
      </x:c>
    </x:row>
    <x:row r="163" ht="70" customHeight="1">
      <x:c r="A163" s="10" t="n">
        <x:v>162</x:v>
      </x:c>
      <x:c r="B163" s="10" t="str">
        <x:v>ADMIN-06-0001</x:v>
      </x:c>
      <x:c r="C163" s="10" t="str">
        <x:v>礼物道具</x:v>
      </x:c>
      <x:c r="D163" s="10" t="str">
        <x:v>普通礼物（平台管理员视角）</x:v>
      </x:c>
      <x:c r="E163" s="10" t="str">
        <x:v>功能需求</x:v>
      </x:c>
      <x:c r="F163" s="10" t="str">
        <x:v>P2</x:v>
      </x:c>
      <x:c r="G163" s="9" t="str">
        <x:v>验证普通礼物读取礼物ID</x:v>
      </x:c>
      <x:c r="H163" s="9" t="str">
        <x:v>礼物ID回显</x:v>
      </x:c>
      <x:c r="I163" s="9" t="str">
        <x:v>1. 执行角色为平台管理员
2. 所选普通礼物配置的礼物ID为“900001”</x:v>
      </x:c>
      <x:c r="J163" s="9" t="str">
        <x:v>1. 进入普通礼物
2. 查看礼物ID</x:v>
      </x:c>
      <x:c r="K163" s="9" t="str">
        <x:v>礼物ID显示“900001”</x:v>
      </x:c>
      <x:c r="L163" s="10" t="str"/>
      <x:c r="M163" s="10" t="str">
        <x:v>未测</x:v>
      </x:c>
      <x:c r="N163" s="10" t="str"/>
      <x:c r="O163" s="9" t="str">
        <x:v>1. 来源（当前证据）：liveshow-proto/MainBasis/统一需求文档.md；位置：行2776
2. 规则：BR-813446f5fd945896
3. 未动态验证</x:v>
      </x:c>
    </x:row>
    <x:row r="164" ht="70" customHeight="1">
      <x:c r="A164" s="10" t="n">
        <x:v>163</x:v>
      </x:c>
      <x:c r="B164" s="10" t="str">
        <x:v>ADMIN-06-0002</x:v>
      </x:c>
      <x:c r="C164" s="10" t="str">
        <x:v>礼物道具</x:v>
      </x:c>
      <x:c r="D164" s="10" t="str">
        <x:v>普通礼物（平台管理员视角）</x:v>
      </x:c>
      <x:c r="E164" s="10" t="str">
        <x:v>功能需求</x:v>
      </x:c>
      <x:c r="F164" s="10" t="str">
        <x:v>P2</x:v>
      </x:c>
      <x:c r="G164" s="9" t="str">
        <x:v>验证普通礼物读取状态</x:v>
      </x:c>
      <x:c r="H164" s="9" t="str">
        <x:v>状态回显</x:v>
      </x:c>
      <x:c r="I164" s="9" t="str">
        <x:v>1. 执行角色为平台管理员
2. 所选普通礼物当前状态的状态为“下架”</x:v>
      </x:c>
      <x:c r="J164" s="9" t="str">
        <x:v>1. 进入普通礼物
2. 查看状态</x:v>
      </x:c>
      <x:c r="K164" s="9" t="str">
        <x:v>状态显示“下架”</x:v>
      </x:c>
      <x:c r="L164" s="10" t="str"/>
      <x:c r="M164" s="10" t="str">
        <x:v>未测</x:v>
      </x:c>
      <x:c r="N164" s="10" t="str"/>
      <x:c r="O164" s="9" t="str">
        <x:v>1. 来源（当前证据）：liveshow-proto/MainBasis/统一需求文档.md；位置：行2781
2. 规则：BR-feaeb35c8b86dddd
3. 未动态验证</x:v>
      </x:c>
    </x:row>
    <x:row r="165" ht="115" customHeight="1">
      <x:c r="A165" s="10" t="n">
        <x:v>164</x:v>
      </x:c>
      <x:c r="B165" s="10" t="str">
        <x:v>ADMIN-06-0003</x:v>
      </x:c>
      <x:c r="C165" s="10" t="str">
        <x:v>礼物道具</x:v>
      </x:c>
      <x:c r="D165" s="10" t="str">
        <x:v>普通礼物（平台管理员视角）</x:v>
      </x:c>
      <x:c r="E165" s="10" t="str">
        <x:v>业务流程</x:v>
      </x:c>
      <x:c r="F165" s="10" t="str">
        <x:v>P1</x:v>
      </x:c>
      <x:c r="G165" s="9" t="str">
        <x:v>验证普通礼物下架保留历史收益</x:v>
      </x:c>
      <x:c r="H165" s="9" t="str">
        <x:v>普通礼物历史保留</x:v>
      </x:c>
      <x:c r="I165" s="9" t="str">
        <x:v>1. 执行角色为平台管理员
2. 礼物甲历史成功赠送100金币</x:v>
      </x:c>
      <x:c r="J165" s="9" t="str">
        <x:v>1. 进入普通礼物
2. 下架甲
3. 点击确认
4. 进入历史消费订单</x:v>
      </x:c>
      <x:c r="K165" s="9" t="str">
        <x:v>历史主播收益仍为100金币</x:v>
      </x:c>
      <x:c r="L165" s="10" t="str"/>
      <x:c r="M165" s="10" t="str">
        <x:v>未测</x:v>
      </x:c>
      <x:c r="N165" s="10" t="str"/>
      <x:c r="O165" s="9" t="str">
        <x:v>1. 来源（当前证据）：liveshow-proto/MainBasis/统一需求文档.md；位置：行2782
2. 规则：BR-28f29ad32a881d9b
3. 未动态验证
4. 数据别名：甲、乙、丙用于区分本条测试对象；按前置条件准备并记录实际账号或记录 ID，不是固定业务名称。</x:v>
      </x:c>
    </x:row>
    <x:row r="166" ht="115" customHeight="1">
      <x:c r="A166" s="10" t="n">
        <x:v>165</x:v>
      </x:c>
      <x:c r="B166" s="10" t="str">
        <x:v>ADMIN-06-0004</x:v>
      </x:c>
      <x:c r="C166" s="10" t="str">
        <x:v>礼物道具</x:v>
      </x:c>
      <x:c r="D166" s="10" t="str">
        <x:v>普通礼物（平台管理员视角）</x:v>
      </x:c>
      <x:c r="E166" s="10" t="str">
        <x:v>业务流程</x:v>
      </x:c>
      <x:c r="F166" s="10" t="str">
        <x:v>P1</x:v>
      </x:c>
      <x:c r="G166" s="9" t="str">
        <x:v>验证普通礼物上下架需确认</x:v>
      </x:c>
      <x:c r="H166" s="9" t="str">
        <x:v>普通礼物状态确认</x:v>
      </x:c>
      <x:c r="I166" s="9" t="str">
        <x:v>1. 执行角色为平台管理员
2. 普通礼物甲上架中</x:v>
      </x:c>
      <x:c r="J166" s="9" t="str">
        <x:v>1. 进入普通礼物
2. 点击甲下架</x:v>
      </x:c>
      <x:c r="K166" s="9" t="str">
        <x:v>显示下架确认</x:v>
      </x:c>
      <x:c r="L166" s="10" t="str"/>
      <x:c r="M166" s="10" t="str">
        <x:v>未测</x:v>
      </x:c>
      <x:c r="N166" s="10" t="str"/>
      <x:c r="O166" s="9" t="str">
        <x:v>1. 来源（当前证据）：liveshow-proto/MainBasis/统一需求文档.md；位置：行2783
2. 规则：BR-0503a6d084c4d8ab
3. 未动态验证
4. 数据别名：甲、乙、丙用于区分本条测试对象；按前置条件准备并记录实际账号或记录 ID，不是固定业务名称。</x:v>
      </x:c>
    </x:row>
    <x:row r="167" ht="70" customHeight="1">
      <x:c r="A167" s="10" t="n">
        <x:v>166</x:v>
      </x:c>
      <x:c r="B167" s="10" t="str">
        <x:v>ADMIN-06-0005</x:v>
      </x:c>
      <x:c r="C167" s="10" t="str">
        <x:v>礼物道具</x:v>
      </x:c>
      <x:c r="D167" s="10" t="str">
        <x:v>礼物详情（平台管理员视角）</x:v>
      </x:c>
      <x:c r="E167" s="10" t="str">
        <x:v>功能需求</x:v>
      </x:c>
      <x:c r="F167" s="10" t="str">
        <x:v>P2</x:v>
      </x:c>
      <x:c r="G167" s="9" t="str">
        <x:v>验证礼物详情已创建标识不可修改</x:v>
      </x:c>
      <x:c r="H167" s="9" t="str">
        <x:v>礼物ID只读</x:v>
      </x:c>
      <x:c r="I167" s="9" t="str">
        <x:v>1. 执行角色为平台管理员
2. 礼物详情对应记录已成功创建</x:v>
      </x:c>
      <x:c r="J167" s="9" t="str">
        <x:v>1. 进入礼物详情
2. 点击礼物ID</x:v>
      </x:c>
      <x:c r="K167" s="9" t="str">
        <x:v>礼物ID不可编辑</x:v>
      </x:c>
      <x:c r="L167" s="10" t="str"/>
      <x:c r="M167" s="10" t="str">
        <x:v>未测</x:v>
      </x:c>
      <x:c r="N167" s="10" t="str"/>
      <x:c r="O167" s="9" t="str">
        <x:v>1. 来源（当前证据）：liveshow-proto/MainBasis/统一需求文档.md；位置：行2788
2. 规则：BR-f373bc0c4ee54e2b
3. 未动态验证</x:v>
      </x:c>
    </x:row>
    <x:row r="168" ht="85" customHeight="1">
      <x:c r="A168" s="10" t="n">
        <x:v>167</x:v>
      </x:c>
      <x:c r="B168" s="10" t="str">
        <x:v>ADMIN-06-0006</x:v>
      </x:c>
      <x:c r="C168" s="10" t="str">
        <x:v>礼物道具</x:v>
      </x:c>
      <x:c r="D168" s="10" t="str">
        <x:v>礼物详情（平台管理员视角）</x:v>
      </x:c>
      <x:c r="E168" s="10" t="str">
        <x:v>逻辑校验</x:v>
      </x:c>
      <x:c r="F168" s="10" t="str">
        <x:v>P1</x:v>
      </x:c>
      <x:c r="G168" s="9" t="str">
        <x:v>验证礼物详情缺少中文名称</x:v>
      </x:c>
      <x:c r="H168" s="9" t="str">
        <x:v>中文必填校验</x:v>
      </x:c>
      <x:c r="I168" s="9" t="str">
        <x:v>1. 执行角色为平台管理员
2. 管理员具备当前配置的编辑权限；使用本轮隔离测试记录；除本条修改字段外，其余字段均来自已成功保存的有效配置</x:v>
      </x:c>
      <x:c r="J168" s="9" t="str">
        <x:v>1. 进入礼物详情
2. 清空中文名称
3. 点击保存</x:v>
      </x:c>
      <x:c r="K168" s="9" t="str">
        <x:v>不能保存缺少中文名称的配置</x:v>
      </x:c>
      <x:c r="L168" s="10" t="str"/>
      <x:c r="M168" s="10" t="str">
        <x:v>未测</x:v>
      </x:c>
      <x:c r="N168" s="10" t="str"/>
      <x:c r="O168" s="9" t="str">
        <x:v>1. 来源（当前证据）：liveshow-proto/MainBasis/统一需求文档.md；位置：行2789
2. 规则：BR-dbe34854b9ed44c2
3. 未动态验证</x:v>
      </x:c>
    </x:row>
    <x:row r="169" ht="85" customHeight="1">
      <x:c r="A169" s="10" t="n">
        <x:v>168</x:v>
      </x:c>
      <x:c r="B169" s="10" t="str">
        <x:v>ADMIN-06-0007</x:v>
      </x:c>
      <x:c r="C169" s="10" t="str">
        <x:v>礼物道具</x:v>
      </x:c>
      <x:c r="D169" s="10" t="str">
        <x:v>礼物详情（平台管理员视角）</x:v>
      </x:c>
      <x:c r="E169" s="10" t="str">
        <x:v>逻辑校验</x:v>
      </x:c>
      <x:c r="F169" s="10" t="str">
        <x:v>P1</x:v>
      </x:c>
      <x:c r="G169" s="9" t="str">
        <x:v>验证礼物详情缺少英语名称</x:v>
      </x:c>
      <x:c r="H169" s="9" t="str">
        <x:v>英语必填校验</x:v>
      </x:c>
      <x:c r="I169" s="9" t="str">
        <x:v>1. 执行角色为平台管理员
2. 管理员具备当前配置的编辑权限；使用本轮隔离测试记录；除本条修改字段外，其余字段均来自已成功保存的有效配置</x:v>
      </x:c>
      <x:c r="J169" s="9" t="str">
        <x:v>1. 进入礼物详情
2. 清空英语名称
3. 点击保存</x:v>
      </x:c>
      <x:c r="K169" s="9" t="str">
        <x:v>不能保存缺少英语名称的配置</x:v>
      </x:c>
      <x:c r="L169" s="10" t="str"/>
      <x:c r="M169" s="10" t="str">
        <x:v>未测</x:v>
      </x:c>
      <x:c r="N169" s="10" t="str"/>
      <x:c r="O169" s="9" t="str">
        <x:v>1. 来源（当前证据）：liveshow-proto/MainBasis/统一需求文档.md；位置：行2789
2. 规则：BR-06a334c5244f1387
3. 未动态验证</x:v>
      </x:c>
    </x:row>
    <x:row r="170" ht="85" customHeight="1">
      <x:c r="A170" s="10" t="n">
        <x:v>169</x:v>
      </x:c>
      <x:c r="B170" s="10" t="str">
        <x:v>ADMIN-06-0008</x:v>
      </x:c>
      <x:c r="C170" s="10" t="str">
        <x:v>礼物道具</x:v>
      </x:c>
      <x:c r="D170" s="10" t="str">
        <x:v>礼物详情（平台管理员视角）</x:v>
      </x:c>
      <x:c r="E170" s="10" t="str">
        <x:v>逻辑校验</x:v>
      </x:c>
      <x:c r="F170" s="10" t="str">
        <x:v>P1</x:v>
      </x:c>
      <x:c r="G170" s="9" t="str">
        <x:v>验证礼物详情缺少印尼语名称</x:v>
      </x:c>
      <x:c r="H170" s="9" t="str">
        <x:v>印尼语必填校验</x:v>
      </x:c>
      <x:c r="I170" s="9" t="str">
        <x:v>1. 执行角色为平台管理员
2. 管理员具备当前配置的编辑权限；使用本轮隔离测试记录；除本条修改字段外，其余字段均来自已成功保存的有效配置</x:v>
      </x:c>
      <x:c r="J170" s="9" t="str">
        <x:v>1. 进入礼物详情
2. 清空印尼语名称
3. 点击保存</x:v>
      </x:c>
      <x:c r="K170" s="9" t="str">
        <x:v>不能保存缺少印尼语名称的配置</x:v>
      </x:c>
      <x:c r="L170" s="10" t="str"/>
      <x:c r="M170" s="10" t="str">
        <x:v>未测</x:v>
      </x:c>
      <x:c r="N170" s="10" t="str"/>
      <x:c r="O170" s="9" t="str">
        <x:v>1. 来源（当前证据）：liveshow-proto/MainBasis/统一需求文档.md；位置：行2789
2. 规则：BR-c6537d6a894b1bed
3. 未动态验证</x:v>
      </x:c>
    </x:row>
    <x:row r="171" ht="85" customHeight="1">
      <x:c r="A171" s="10" t="n">
        <x:v>170</x:v>
      </x:c>
      <x:c r="B171" s="10" t="str">
        <x:v>ADMIN-06-0009</x:v>
      </x:c>
      <x:c r="C171" s="10" t="str">
        <x:v>礼物道具</x:v>
      </x:c>
      <x:c r="D171" s="10" t="str">
        <x:v>礼物详情（平台管理员视角）</x:v>
      </x:c>
      <x:c r="E171" s="10" t="str">
        <x:v>逻辑校验</x:v>
      </x:c>
      <x:c r="F171" s="10" t="str">
        <x:v>P1</x:v>
      </x:c>
      <x:c r="G171" s="9" t="str">
        <x:v>验证礼物详情缺少马来语名称</x:v>
      </x:c>
      <x:c r="H171" s="9" t="str">
        <x:v>马来语必填校验</x:v>
      </x:c>
      <x:c r="I171" s="9" t="str">
        <x:v>1. 执行角色为平台管理员
2. 管理员具备当前配置的编辑权限；使用本轮隔离测试记录；除本条修改字段外，其余字段均来自已成功保存的有效配置</x:v>
      </x:c>
      <x:c r="J171" s="9" t="str">
        <x:v>1. 进入礼物详情
2. 清空马来语名称
3. 点击保存</x:v>
      </x:c>
      <x:c r="K171" s="9" t="str">
        <x:v>不能保存缺少马来语名称的配置</x:v>
      </x:c>
      <x:c r="L171" s="10" t="str"/>
      <x:c r="M171" s="10" t="str">
        <x:v>未测</x:v>
      </x:c>
      <x:c r="N171" s="10" t="str"/>
      <x:c r="O171" s="9" t="str">
        <x:v>1. 来源（当前证据）：liveshow-proto/MainBasis/统一需求文档.md；位置：行2789
2. 规则：BR-b78b59424a380772
3. 未动态验证</x:v>
      </x:c>
    </x:row>
    <x:row r="172" ht="130" customHeight="1">
      <x:c r="A172" s="10" t="n">
        <x:v>171</x:v>
      </x:c>
      <x:c r="B172" s="10" t="str">
        <x:v>ADMIN-06-0010</x:v>
      </x:c>
      <x:c r="C172" s="10" t="str">
        <x:v>礼物道具</x:v>
      </x:c>
      <x:c r="D172" s="10" t="str">
        <x:v>礼物详情（平台管理员视角）</x:v>
      </x:c>
      <x:c r="E172" s="10" t="str">
        <x:v>业务流程</x:v>
      </x:c>
      <x:c r="F172" s="10" t="str">
        <x:v>P1</x:v>
      </x:c>
      <x:c r="G172" s="9" t="str">
        <x:v>验证删除礼物必填图标后不能保存</x:v>
      </x:c>
      <x:c r="H172" s="9" t="str">
        <x:v>礼物资源必填</x:v>
      </x:c>
      <x:c r="I172" s="9" t="str">
        <x:v>1. 执行角色为平台管理员
2. 已创建礼物甲，原图标qa-icon.png；有编辑权限
3. 材料准备要求：准备本条使用的qa-icon.png，为可正常解码的测试图片，并按前置条件保存原图或供本次上传；文件名仅为材料别名</x:v>
      </x:c>
      <x:c r="J172" s="9" t="str">
        <x:v>1. 进入礼物甲详情
2. 删除图标
3. 点击保存</x:v>
      </x:c>
      <x:c r="K172" s="9" t="str">
        <x:v>不能保存缺少图标的礼物</x:v>
      </x:c>
      <x:c r="L172" s="10" t="str"/>
      <x:c r="M172" s="10" t="str">
        <x:v>未测</x:v>
      </x:c>
      <x:c r="N172" s="10" t="str"/>
      <x:c r="O172" s="9" t="str">
        <x:v>1. 来源（当前证据）：liveshow-proto/MainBasis/统一需求文档.md；位置：行2790
2. 规则：BR-6cba6b17e828be26
3. 未动态验证
4. 数据别名：甲、乙、丙用于区分本条测试对象；按前置条件准备并记录实际账号或记录 ID，不是固定业务名称。</x:v>
      </x:c>
    </x:row>
    <x:row r="173" ht="115" customHeight="1">
      <x:c r="A173" s="10" t="n">
        <x:v>172</x:v>
      </x:c>
      <x:c r="B173" s="10" t="str">
        <x:v>ADMIN-06-0011</x:v>
      </x:c>
      <x:c r="C173" s="10" t="str">
        <x:v>礼物道具</x:v>
      </x:c>
      <x:c r="D173" s="10" t="str">
        <x:v>礼物详情（平台管理员视角）</x:v>
      </x:c>
      <x:c r="E173" s="10" t="str">
        <x:v>逻辑校验</x:v>
      </x:c>
      <x:c r="F173" s="10" t="str">
        <x:v>P1</x:v>
      </x:c>
      <x:c r="G173" s="9" t="str">
        <x:v>验证礼物详情单价输入0</x:v>
      </x:c>
      <x:c r="H173" s="9" t="str">
        <x:v>单价数值边界</x:v>
      </x:c>
      <x:c r="I173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173" s="9" t="str">
        <x:v>1. 进入礼物详情
2. 填写单价0
3. 点击保存</x:v>
      </x:c>
      <x:c r="K173" s="9" t="str">
        <x:v>不能保存单价为0的配置</x:v>
      </x:c>
      <x:c r="L173" s="10" t="str"/>
      <x:c r="M173" s="10" t="str">
        <x:v>未测</x:v>
      </x:c>
      <x:c r="N173" s="10" t="str"/>
      <x:c r="O173" s="9" t="str">
        <x:v>1. 来源（当前证据）：liveshow-proto/MainBasis/统一需求文档.md；位置：行2791
2. 规则：BR-c1070f0bfe59b384
3. 未动态验证</x:v>
      </x:c>
    </x:row>
    <x:row r="174" ht="115" customHeight="1">
      <x:c r="A174" s="10" t="n">
        <x:v>173</x:v>
      </x:c>
      <x:c r="B174" s="10" t="str">
        <x:v>ADMIN-06-0012</x:v>
      </x:c>
      <x:c r="C174" s="10" t="str">
        <x:v>礼物道具</x:v>
      </x:c>
      <x:c r="D174" s="10" t="str">
        <x:v>礼物详情（平台管理员视角）</x:v>
      </x:c>
      <x:c r="E174" s="10" t="str">
        <x:v>逻辑校验</x:v>
      </x:c>
      <x:c r="F174" s="10" t="str">
        <x:v>P1</x:v>
      </x:c>
      <x:c r="G174" s="9" t="str">
        <x:v>验证礼物详情单价输入1</x:v>
      </x:c>
      <x:c r="H174" s="9" t="str">
        <x:v>单价数值边界</x:v>
      </x:c>
      <x:c r="I174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174" s="9" t="str">
        <x:v>1. 进入礼物详情
2. 填写单价1
3. 点击保存</x:v>
      </x:c>
      <x:c r="K174" s="9" t="str">
        <x:v>单价保存为1</x:v>
      </x:c>
      <x:c r="L174" s="10" t="str"/>
      <x:c r="M174" s="10" t="str">
        <x:v>未测</x:v>
      </x:c>
      <x:c r="N174" s="10" t="str"/>
      <x:c r="O174" s="9" t="str">
        <x:v>1. 来源（当前证据）：liveshow-proto/MainBasis/统一需求文档.md；位置：行2791
2. 规则：BR-a437afc1db6f5fe6
3. 未动态验证</x:v>
      </x:c>
    </x:row>
    <x:row r="175" ht="115" customHeight="1">
      <x:c r="A175" s="10" t="n">
        <x:v>174</x:v>
      </x:c>
      <x:c r="B175" s="10" t="str">
        <x:v>ADMIN-06-0013</x:v>
      </x:c>
      <x:c r="C175" s="10" t="str">
        <x:v>礼物道具</x:v>
      </x:c>
      <x:c r="D175" s="10" t="str">
        <x:v>礼物详情（平台管理员视角）</x:v>
      </x:c>
      <x:c r="E175" s="10" t="str">
        <x:v>逻辑校验</x:v>
      </x:c>
      <x:c r="F175" s="10" t="str">
        <x:v>P1</x:v>
      </x:c>
      <x:c r="G175" s="9" t="str">
        <x:v>验证礼物详情单价输入2</x:v>
      </x:c>
      <x:c r="H175" s="9" t="str">
        <x:v>单价数值边界</x:v>
      </x:c>
      <x:c r="I175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175" s="9" t="str">
        <x:v>1. 进入礼物详情
2. 填写单价2
3. 点击保存</x:v>
      </x:c>
      <x:c r="K175" s="9" t="str">
        <x:v>单价保存为2</x:v>
      </x:c>
      <x:c r="L175" s="10" t="str"/>
      <x:c r="M175" s="10" t="str">
        <x:v>未测</x:v>
      </x:c>
      <x:c r="N175" s="10" t="str"/>
      <x:c r="O175" s="9" t="str">
        <x:v>1. 来源（当前证据）：liveshow-proto/MainBasis/统一需求文档.md；位置：行2791
2. 规则：BR-872aac46f2806fa3
3. 未动态验证</x:v>
      </x:c>
    </x:row>
    <x:row r="176" ht="115" customHeight="1">
      <x:c r="A176" s="10" t="n">
        <x:v>175</x:v>
      </x:c>
      <x:c r="B176" s="10" t="str">
        <x:v>ADMIN-06-0014</x:v>
      </x:c>
      <x:c r="C176" s="10" t="str">
        <x:v>礼物道具</x:v>
      </x:c>
      <x:c r="D176" s="10" t="str">
        <x:v>礼物详情（平台管理员视角）</x:v>
      </x:c>
      <x:c r="E176" s="10" t="str">
        <x:v>逻辑校验</x:v>
      </x:c>
      <x:c r="F176" s="10" t="str">
        <x:v>P1</x:v>
      </x:c>
      <x:c r="G176" s="9" t="str">
        <x:v>验证礼物详情单价输入1.5</x:v>
      </x:c>
      <x:c r="H176" s="9" t="str">
        <x:v>单价数值边界</x:v>
      </x:c>
      <x:c r="I176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176" s="9" t="str">
        <x:v>1. 进入礼物详情
2. 填写单价1.5
3. 点击保存</x:v>
      </x:c>
      <x:c r="K176" s="9" t="str">
        <x:v>不能保存单价为1.5的配置</x:v>
      </x:c>
      <x:c r="L176" s="10" t="str"/>
      <x:c r="M176" s="10" t="str">
        <x:v>未测</x:v>
      </x:c>
      <x:c r="N176" s="10" t="str"/>
      <x:c r="O176" s="9" t="str">
        <x:v>1. 来源（当前证据）：liveshow-proto/MainBasis/统一需求文档.md；位置：行2791
2. 规则：BR-12bd159ebf444433
3. 未动态验证</x:v>
      </x:c>
    </x:row>
    <x:row r="177" ht="70" customHeight="1">
      <x:c r="A177" s="10" t="n">
        <x:v>176</x:v>
      </x:c>
      <x:c r="B177" s="10" t="str">
        <x:v>ADMIN-06-0015</x:v>
      </x:c>
      <x:c r="C177" s="10" t="str">
        <x:v>礼物道具</x:v>
      </x:c>
      <x:c r="D177" s="10" t="str">
        <x:v>礼物详情（平台管理员视角）</x:v>
      </x:c>
      <x:c r="E177" s="10" t="str">
        <x:v>业务流程</x:v>
      </x:c>
      <x:c r="F177" s="10" t="str">
        <x:v>P1</x:v>
      </x:c>
      <x:c r="G177" s="9" t="str">
        <x:v>验证定制礼物失效早于生效</x:v>
      </x:c>
      <x:c r="H177" s="9" t="str">
        <x:v>定制礼物日期倒置</x:v>
      </x:c>
      <x:c r="I177" s="9" t="str">
        <x:v>1. 执行角色为平台管理员
2. 类型为定制礼物，四语名称及价格图标合法</x:v>
      </x:c>
      <x:c r="J177" s="9" t="str">
        <x:v>1. 进入礼物详情
2. 填写生效9月20日12:00
3. 填写失效9月20日11:59
4. 点击保存</x:v>
      </x:c>
      <x:c r="K177" s="9" t="str">
        <x:v>不能保存倒置时间段</x:v>
      </x:c>
      <x:c r="L177" s="10" t="str"/>
      <x:c r="M177" s="10" t="str">
        <x:v>未测</x:v>
      </x:c>
      <x:c r="N177" s="10" t="str"/>
      <x:c r="O177" s="9" t="str">
        <x:v>1. 来源（当前证据）：liveshow-proto/MainBasis/统一需求文档.md；位置：行2793
2. 规则：BR-a77f2594a0b0c241
3. 未动态验证</x:v>
      </x:c>
    </x:row>
    <x:row r="178" ht="115" customHeight="1">
      <x:c r="A178" s="10" t="n">
        <x:v>177</x:v>
      </x:c>
      <x:c r="B178" s="10" t="str">
        <x:v>ADMIN-06-0016</x:v>
      </x:c>
      <x:c r="C178" s="10" t="str">
        <x:v>礼物道具</x:v>
      </x:c>
      <x:c r="D178" s="10" t="str">
        <x:v>礼物详情（平台管理员视角）</x:v>
      </x:c>
      <x:c r="E178" s="10" t="str">
        <x:v>功能需求</x:v>
      </x:c>
      <x:c r="F178" s="10" t="str">
        <x:v>P2</x:v>
      </x:c>
      <x:c r="G178" s="9" t="str">
        <x:v>验证礼物详情读取操作人</x:v>
      </x:c>
      <x:c r="H178" s="9" t="str">
        <x:v>操作人回显</x:v>
      </x:c>
      <x:c r="I178" s="9" t="str">
        <x:v>1. 执行角色为平台管理员
2. 本次礼物修改保存记录的操作人为“管理员甲”</x:v>
      </x:c>
      <x:c r="J178" s="9" t="str">
        <x:v>1. 进入礼物详情
2. 查看操作人</x:v>
      </x:c>
      <x:c r="K178" s="9" t="str">
        <x:v>操作人显示“管理员甲”</x:v>
      </x:c>
      <x:c r="L178" s="10" t="str"/>
      <x:c r="M178" s="10" t="str">
        <x:v>未测</x:v>
      </x:c>
      <x:c r="N178" s="10" t="str"/>
      <x:c r="O178" s="9" t="str">
        <x:v>1. 来源（当前证据）：liveshow-proto/MainBasis/统一需求文档.md；位置：行2794
2. 规则：BR-f04e408375790777
3. 未动态验证
4. 数据别名：甲、乙、丙用于区分本条测试对象；按前置条件准备并记录实际账号或记录 ID，不是固定业务名称。</x:v>
      </x:c>
    </x:row>
    <x:row r="179" ht="130" customHeight="1">
      <x:c r="A179" s="10" t="n">
        <x:v>178</x:v>
      </x:c>
      <x:c r="B179" s="10" t="str">
        <x:v>ADMIN-06-0017</x:v>
      </x:c>
      <x:c r="C179" s="10" t="str">
        <x:v>礼物道具</x:v>
      </x:c>
      <x:c r="D179" s="10" t="str">
        <x:v>礼物详情（平台管理员视角）</x:v>
      </x:c>
      <x:c r="E179" s="10" t="str">
        <x:v>功能需求</x:v>
      </x:c>
      <x:c r="F179" s="10" t="str">
        <x:v>P2</x:v>
      </x:c>
      <x:c r="G179" s="9" t="str">
        <x:v>验证定制礼物到生效时间启用</x:v>
      </x:c>
      <x:c r="H179" s="9" t="str">
        <x:v>定制礼物开始边界</x:v>
      </x:c>
      <x:c r="I179" s="9" t="str">
        <x:v>1. 执行角色为平台管理员
2. 定制礼物甲配置为当前测试时钟10:00生效，11:00失效；环境准备要求：需可控测试时钟，当前待准备</x:v>
      </x:c>
      <x:c r="J179" s="9" t="str">
        <x:v>1. 进入定制礼物
2. 刷新10:00时状态</x:v>
      </x:c>
      <x:c r="K179" s="9" t="str">
        <x:v>甲进入生效状态</x:v>
      </x:c>
      <x:c r="L179" s="10" t="str"/>
      <x:c r="M179" s="10" t="str">
        <x:v>未测</x:v>
      </x:c>
      <x:c r="N179" s="10" t="str"/>
      <x:c r="O179" s="9" t="str">
        <x:v>1. 来源（当前证据）：liveshow-proto/MainBasis/统一需求文档.md；位置：行2795、行2802
2. 规则：BR-905a49368779397b
3. 未动态验证
4. 数据别名：甲、乙、丙用于区分本条测试对象；按前置条件准备并记录实际账号或记录 ID，不是固定业务名称。</x:v>
      </x:c>
    </x:row>
    <x:row r="180" ht="130" customHeight="1">
      <x:c r="A180" s="10" t="n">
        <x:v>179</x:v>
      </x:c>
      <x:c r="B180" s="10" t="str">
        <x:v>ADMIN-06-0018</x:v>
      </x:c>
      <x:c r="C180" s="10" t="str">
        <x:v>礼物道具</x:v>
      </x:c>
      <x:c r="D180" s="10" t="str">
        <x:v>礼物详情（平台管理员视角）</x:v>
      </x:c>
      <x:c r="E180" s="10" t="str">
        <x:v>功能需求</x:v>
      </x:c>
      <x:c r="F180" s="10" t="str">
        <x:v>P2</x:v>
      </x:c>
      <x:c r="G180" s="9" t="str">
        <x:v>验证定制礼物到失效时间停用</x:v>
      </x:c>
      <x:c r="H180" s="9" t="str">
        <x:v>定制礼物到期边界</x:v>
      </x:c>
      <x:c r="I180" s="9" t="str">
        <x:v>1. 执行角色为平台管理员
2. 定制礼物甲在10:00生效，11:00失效；当前测试时钟已到11:00</x:v>
      </x:c>
      <x:c r="J180" s="9" t="str">
        <x:v>1. 进入定制礼物
2. 刷新状态</x:v>
      </x:c>
      <x:c r="K180" s="9" t="str">
        <x:v>甲不再生效</x:v>
      </x:c>
      <x:c r="L180" s="10" t="str"/>
      <x:c r="M180" s="10" t="str">
        <x:v>未测</x:v>
      </x:c>
      <x:c r="N180" s="10" t="str"/>
      <x:c r="O180" s="9" t="str">
        <x:v>1. 来源（当前证据）：liveshow-proto/MainBasis/统一需求文档.md；位置：行2795、行2802
2. 规则：BR-9e1f4fcf5fd7e3e7
3. 未动态验证
4. 数据别名：甲、乙、丙用于区分本条测试对象；按前置条件准备并记录实际账号或记录 ID，不是固定业务名称。</x:v>
      </x:c>
    </x:row>
    <x:row r="181" ht="115" customHeight="1">
      <x:c r="A181" s="10" t="n">
        <x:v>180</x:v>
      </x:c>
      <x:c r="B181" s="10" t="str">
        <x:v>ADMIN-06-0019</x:v>
      </x:c>
      <x:c r="C181" s="10" t="str">
        <x:v>礼物道具</x:v>
      </x:c>
      <x:c r="D181" s="10" t="str">
        <x:v>礼物详情（平台管理员视角）</x:v>
      </x:c>
      <x:c r="E181" s="10" t="str">
        <x:v>业务流程</x:v>
      </x:c>
      <x:c r="F181" s="10" t="str">
        <x:v>P1</x:v>
      </x:c>
      <x:c r="G181" s="9" t="str">
        <x:v>验证礼物保存成功留在详情</x:v>
      </x:c>
      <x:c r="H181" s="9" t="str">
        <x:v>礼物保存去向</x:v>
      </x:c>
      <x:c r="I181" s="9" t="str">
        <x:v>1. 执行角色为平台管理员
2. 礼物甲有效且可编辑</x:v>
      </x:c>
      <x:c r="J181" s="9" t="str">
        <x:v>1. 进入礼物甲详情
2. 填写中文名称测试礼物甲
3. 点击保存</x:v>
      </x:c>
      <x:c r="K181" s="9" t="str">
        <x:v>留在礼物甲详情</x:v>
      </x:c>
      <x:c r="L181" s="10" t="str"/>
      <x:c r="M181" s="10" t="str">
        <x:v>未测</x:v>
      </x:c>
      <x:c r="N181" s="10" t="str"/>
      <x:c r="O181" s="9" t="str">
        <x:v>1. 来源（当前证据）：liveshow-proto/MainBasis/统一需求文档.md；位置：行2796
2. 规则：BR-7ce23139a4fe3f3b
3. 未动态验证
4. 数据别名：甲、乙、丙用于区分本条测试对象；按前置条件准备并记录实际账号或记录 ID，不是固定业务名称。</x:v>
      </x:c>
    </x:row>
    <x:row r="182" ht="130" customHeight="1">
      <x:c r="A182" s="10" t="n">
        <x:v>181</x:v>
      </x:c>
      <x:c r="B182" s="10" t="str">
        <x:v>ADMIN-06-0020</x:v>
      </x:c>
      <x:c r="C182" s="10" t="str">
        <x:v>礼物道具</x:v>
      </x:c>
      <x:c r="D182" s="10" t="str">
        <x:v>定制礼物（平台管理员视角）</x:v>
      </x:c>
      <x:c r="E182" s="10" t="str">
        <x:v>业务流程</x:v>
      </x:c>
      <x:c r="F182" s="10" t="str">
        <x:v>P1</x:v>
      </x:c>
      <x:c r="G182" s="9" t="str">
        <x:v>验证提前下架覆盖定制自动排期</x:v>
      </x:c>
      <x:c r="H182" s="9" t="str">
        <x:v>定制礼物手动下架优先</x:v>
      </x:c>
      <x:c r="I182" s="9" t="str">
        <x:v>1. 执行角色为平台管理员
2. 礼物甲当前在排期内且上架</x:v>
      </x:c>
      <x:c r="J182" s="9" t="str">
        <x:v>1. 进入定制礼物
2. 点击甲提前下架
3. 点击确认
4. 刷新列表</x:v>
      </x:c>
      <x:c r="K182" s="9" t="str">
        <x:v>甲保持已下架</x:v>
      </x:c>
      <x:c r="L182" s="10" t="str"/>
      <x:c r="M182" s="10" t="str">
        <x:v>未测</x:v>
      </x:c>
      <x:c r="N182" s="10" t="str"/>
      <x:c r="O182" s="9" t="str">
        <x:v>1. 来源（当前证据）：liveshow-proto/MainBasis/统一需求文档.md；位置：行2803、行2804
2. 规则：BR-6b9498dbee617de9
3. 未动态验证
4. 数据别名：甲、乙、丙用于区分本条测试对象；按前置条件准备并记录实际账号或记录 ID，不是固定业务名称。</x:v>
      </x:c>
    </x:row>
    <x:row r="183" ht="70" customHeight="1">
      <x:c r="A183" s="10" t="n">
        <x:v>182</x:v>
      </x:c>
      <x:c r="B183" s="10" t="str">
        <x:v>ADMIN-06-0021</x:v>
      </x:c>
      <x:c r="C183" s="10" t="str">
        <x:v>礼物道具</x:v>
      </x:c>
      <x:c r="D183" s="10" t="str">
        <x:v>定制礼物（平台管理员视角）</x:v>
      </x:c>
      <x:c r="E183" s="10" t="str">
        <x:v>功能需求</x:v>
      </x:c>
      <x:c r="F183" s="10" t="str">
        <x:v>P2</x:v>
      </x:c>
      <x:c r="G183" s="9" t="str">
        <x:v>验证定制礼物读取上下架状态</x:v>
      </x:c>
      <x:c r="H183" s="9" t="str">
        <x:v>上下架状态回显</x:v>
      </x:c>
      <x:c r="I183" s="9" t="str">
        <x:v>1. 执行角色为平台管理员
2. 当前时间尚未到生效时刻的定制礼物的上下架状态为“未生效”</x:v>
      </x:c>
      <x:c r="J183" s="9" t="str">
        <x:v>1. 进入定制礼物
2. 查看上下架状态</x:v>
      </x:c>
      <x:c r="K183" s="9" t="str">
        <x:v>上下架状态显示“未生效”</x:v>
      </x:c>
      <x:c r="L183" s="10" t="str"/>
      <x:c r="M183" s="10" t="str">
        <x:v>未测</x:v>
      </x:c>
      <x:c r="N183" s="10" t="str"/>
      <x:c r="O183" s="9" t="str">
        <x:v>1. 来源（当前证据）：liveshow-proto/MainBasis/统一需求文档.md；位置：行2803
2. 规则：BR-8363d949fd632f5d
3. 未动态验证</x:v>
      </x:c>
    </x:row>
    <x:row r="184" ht="115" customHeight="1">
      <x:c r="A184" s="10" t="n">
        <x:v>183</x:v>
      </x:c>
      <x:c r="B184" s="10" t="str">
        <x:v>ADMIN-06-0022</x:v>
      </x:c>
      <x:c r="C184" s="10" t="str">
        <x:v>礼物道具</x:v>
      </x:c>
      <x:c r="D184" s="10" t="str">
        <x:v>定制礼物（平台管理员视角）</x:v>
      </x:c>
      <x:c r="E184" s="10" t="str">
        <x:v>业务流程</x:v>
      </x:c>
      <x:c r="F184" s="10" t="str">
        <x:v>P1</x:v>
      </x:c>
      <x:c r="G184" s="9" t="str">
        <x:v>验证定制礼物到期自动下架</x:v>
      </x:c>
      <x:c r="H184" s="9" t="str">
        <x:v>定制礼物到期状态</x:v>
      </x:c>
      <x:c r="I184" s="9" t="str">
        <x:v>1. 执行角色为平台管理员
2. 礼物甲失效时刻已到，未延长配置</x:v>
      </x:c>
      <x:c r="J184" s="9" t="str">
        <x:v>1. 进入定制礼物
2. 刷新列表</x:v>
      </x:c>
      <x:c r="K184" s="9" t="str">
        <x:v>甲为已下架</x:v>
      </x:c>
      <x:c r="L184" s="10" t="str"/>
      <x:c r="M184" s="10" t="str">
        <x:v>未测</x:v>
      </x:c>
      <x:c r="N184" s="10" t="str"/>
      <x:c r="O184" s="9" t="str">
        <x:v>1. 来源（当前证据）：liveshow-proto/MainBasis/统一需求文档.md；位置：行2804
2. 规则：BR-d5bd6a8c680e3abe
3. 未动态验证
4. 数据别名：甲、乙、丙用于区分本条测试对象；按前置条件准备并记录实际账号或记录 ID，不是固定业务名称。</x:v>
      </x:c>
    </x:row>
    <x:row r="185" ht="70" customHeight="1">
      <x:c r="A185" s="10" t="n">
        <x:v>184</x:v>
      </x:c>
      <x:c r="B185" s="10" t="str">
        <x:v>ADMIN-06-0023</x:v>
      </x:c>
      <x:c r="C185" s="10" t="str">
        <x:v>礼物道具</x:v>
      </x:c>
      <x:c r="D185" s="10" t="str">
        <x:v>幸运礼物（平台管理员视角）</x:v>
      </x:c>
      <x:c r="E185" s="10" t="str">
        <x:v>业务流程</x:v>
      </x:c>
      <x:c r="F185" s="10" t="str">
        <x:v>P1</x:v>
      </x:c>
      <x:c r="G185" s="9" t="str">
        <x:v>验证幸运收益比例初始为1%</x:v>
      </x:c>
      <x:c r="H185" s="9" t="str">
        <x:v>幸运收益默认比例</x:v>
      </x:c>
      <x:c r="I185" s="9" t="str">
        <x:v>1. 执行角色为平台管理员
2. 全新项目尚未修改幸运礼物全局收益比例</x:v>
      </x:c>
      <x:c r="J185" s="9" t="str">
        <x:v>1. 进入幸运礼物</x:v>
      </x:c>
      <x:c r="K185" s="9" t="str">
        <x:v>全局主播收益比例显示1%</x:v>
      </x:c>
      <x:c r="L185" s="10" t="str"/>
      <x:c r="M185" s="10" t="str">
        <x:v>未测</x:v>
      </x:c>
      <x:c r="N185" s="10" t="str"/>
      <x:c r="O185" s="9" t="str">
        <x:v>1. 来源（当前证据）：liveshow-proto/MainBasis/统一需求文档.md；位置：行2810
2. 规则：BR-623f9a56ab516e32
3. 未动态验证</x:v>
      </x:c>
    </x:row>
    <x:row r="186" ht="85" customHeight="1">
      <x:c r="A186" s="10" t="n">
        <x:v>185</x:v>
      </x:c>
      <x:c r="B186" s="10" t="str">
        <x:v>ADMIN-06-0024</x:v>
      </x:c>
      <x:c r="C186" s="10" t="str">
        <x:v>礼物道具</x:v>
      </x:c>
      <x:c r="D186" s="10" t="str">
        <x:v>幸运礼物（平台管理员视角）</x:v>
      </x:c>
      <x:c r="E186" s="10" t="str">
        <x:v>逻辑校验</x:v>
      </x:c>
      <x:c r="F186" s="10" t="str">
        <x:v>P1</x:v>
      </x:c>
      <x:c r="G186" s="9" t="str">
        <x:v>验证幸运礼物收益比例-1%</x:v>
      </x:c>
      <x:c r="H186" s="9" t="str">
        <x:v>全局幸运收益比例边界</x:v>
      </x:c>
      <x:c r="I186" s="9" t="str">
        <x:v>1. 执行角色为平台管理员
2. 有幸运礼物全局比例修改权限</x:v>
      </x:c>
      <x:c r="J186" s="9" t="str">
        <x:v>1. 进入幸运礼物
2. 点击编辑
3. 输入比例-1%
4. 点击保存</x:v>
      </x:c>
      <x:c r="K186" s="9" t="str">
        <x:v>不能保存超出0%至100%的比例</x:v>
      </x:c>
      <x:c r="L186" s="10" t="str"/>
      <x:c r="M186" s="10" t="str">
        <x:v>未测</x:v>
      </x:c>
      <x:c r="N186" s="10" t="str"/>
      <x:c r="O186" s="9" t="str">
        <x:v>1. 来源（当前证据）：liveshow-proto/MainBasis/统一需求文档.md；位置：行2810、行2820
2. 规则：BR-b6ceafb51827d959
3. 未动态验证</x:v>
      </x:c>
    </x:row>
    <x:row r="187" ht="85" customHeight="1">
      <x:c r="A187" s="10" t="n">
        <x:v>186</x:v>
      </x:c>
      <x:c r="B187" s="10" t="str">
        <x:v>ADMIN-06-0025</x:v>
      </x:c>
      <x:c r="C187" s="10" t="str">
        <x:v>礼物道具</x:v>
      </x:c>
      <x:c r="D187" s="10" t="str">
        <x:v>幸运礼物（平台管理员视角）</x:v>
      </x:c>
      <x:c r="E187" s="10" t="str">
        <x:v>逻辑校验</x:v>
      </x:c>
      <x:c r="F187" s="10" t="str">
        <x:v>P1</x:v>
      </x:c>
      <x:c r="G187" s="9" t="str">
        <x:v>验证幸运礼物收益比例0%</x:v>
      </x:c>
      <x:c r="H187" s="9" t="str">
        <x:v>全局幸运收益比例边界</x:v>
      </x:c>
      <x:c r="I187" s="9" t="str">
        <x:v>1. 执行角色为平台管理员
2. 有幸运礼物全局比例修改权限</x:v>
      </x:c>
      <x:c r="J187" s="9" t="str">
        <x:v>1. 进入幸运礼物
2. 点击编辑
3. 输入比例0%
4. 点击保存</x:v>
      </x:c>
      <x:c r="K187" s="9" t="str">
        <x:v>比例保存为0%</x:v>
      </x:c>
      <x:c r="L187" s="10" t="str"/>
      <x:c r="M187" s="10" t="str">
        <x:v>未测</x:v>
      </x:c>
      <x:c r="N187" s="10" t="str"/>
      <x:c r="O187" s="9" t="str">
        <x:v>1. 来源（当前证据）：liveshow-proto/MainBasis/统一需求文档.md；位置：行2810、行2820
2. 规则：BR-b954570b41348a78
3. 未动态验证</x:v>
      </x:c>
    </x:row>
    <x:row r="188" ht="85" customHeight="1">
      <x:c r="A188" s="10" t="n">
        <x:v>187</x:v>
      </x:c>
      <x:c r="B188" s="10" t="str">
        <x:v>ADMIN-06-0026</x:v>
      </x:c>
      <x:c r="C188" s="10" t="str">
        <x:v>礼物道具</x:v>
      </x:c>
      <x:c r="D188" s="10" t="str">
        <x:v>幸运礼物（平台管理员视角）</x:v>
      </x:c>
      <x:c r="E188" s="10" t="str">
        <x:v>逻辑校验</x:v>
      </x:c>
      <x:c r="F188" s="10" t="str">
        <x:v>P1</x:v>
      </x:c>
      <x:c r="G188" s="9" t="str">
        <x:v>验证幸运礼物收益比例1%</x:v>
      </x:c>
      <x:c r="H188" s="9" t="str">
        <x:v>全局幸运收益比例边界</x:v>
      </x:c>
      <x:c r="I188" s="9" t="str">
        <x:v>1. 执行角色为平台管理员
2. 有幸运礼物全局比例修改权限</x:v>
      </x:c>
      <x:c r="J188" s="9" t="str">
        <x:v>1. 进入幸运礼物
2. 点击编辑
3. 输入比例1%
4. 点击保存</x:v>
      </x:c>
      <x:c r="K188" s="9" t="str">
        <x:v>比例保存为1%</x:v>
      </x:c>
      <x:c r="L188" s="10" t="str"/>
      <x:c r="M188" s="10" t="str">
        <x:v>未测</x:v>
      </x:c>
      <x:c r="N188" s="10" t="str"/>
      <x:c r="O188" s="9" t="str">
        <x:v>1. 来源（当前证据）：liveshow-proto/MainBasis/统一需求文档.md；位置：行2810、行2820
2. 规则：BR-bf8b656171286982
3. 未动态验证</x:v>
      </x:c>
    </x:row>
    <x:row r="189" ht="85" customHeight="1">
      <x:c r="A189" s="10" t="n">
        <x:v>188</x:v>
      </x:c>
      <x:c r="B189" s="10" t="str">
        <x:v>ADMIN-06-0027</x:v>
      </x:c>
      <x:c r="C189" s="10" t="str">
        <x:v>礼物道具</x:v>
      </x:c>
      <x:c r="D189" s="10" t="str">
        <x:v>幸运礼物（平台管理员视角）</x:v>
      </x:c>
      <x:c r="E189" s="10" t="str">
        <x:v>逻辑校验</x:v>
      </x:c>
      <x:c r="F189" s="10" t="str">
        <x:v>P1</x:v>
      </x:c>
      <x:c r="G189" s="9" t="str">
        <x:v>验证幸运礼物收益比例100%</x:v>
      </x:c>
      <x:c r="H189" s="9" t="str">
        <x:v>全局幸运收益比例边界</x:v>
      </x:c>
      <x:c r="I189" s="9" t="str">
        <x:v>1. 执行角色为平台管理员
2. 有幸运礼物全局比例修改权限</x:v>
      </x:c>
      <x:c r="J189" s="9" t="str">
        <x:v>1. 进入幸运礼物
2. 点击编辑
3. 输入比例100%
4. 点击保存</x:v>
      </x:c>
      <x:c r="K189" s="9" t="str">
        <x:v>比例保存为100%</x:v>
      </x:c>
      <x:c r="L189" s="10" t="str"/>
      <x:c r="M189" s="10" t="str">
        <x:v>未测</x:v>
      </x:c>
      <x:c r="N189" s="10" t="str"/>
      <x:c r="O189" s="9" t="str">
        <x:v>1. 来源（当前证据）：liveshow-proto/MainBasis/统一需求文档.md；位置：行2810、行2820
2. 规则：BR-6291078e82c20c66
3. 未动态验证</x:v>
      </x:c>
    </x:row>
    <x:row r="190" ht="85" customHeight="1">
      <x:c r="A190" s="10" t="n">
        <x:v>189</x:v>
      </x:c>
      <x:c r="B190" s="10" t="str">
        <x:v>ADMIN-06-0028</x:v>
      </x:c>
      <x:c r="C190" s="10" t="str">
        <x:v>礼物道具</x:v>
      </x:c>
      <x:c r="D190" s="10" t="str">
        <x:v>幸运礼物（平台管理员视角）</x:v>
      </x:c>
      <x:c r="E190" s="10" t="str">
        <x:v>逻辑校验</x:v>
      </x:c>
      <x:c r="F190" s="10" t="str">
        <x:v>P1</x:v>
      </x:c>
      <x:c r="G190" s="9" t="str">
        <x:v>验证幸运礼物收益比例101%</x:v>
      </x:c>
      <x:c r="H190" s="9" t="str">
        <x:v>全局幸运收益比例边界</x:v>
      </x:c>
      <x:c r="I190" s="9" t="str">
        <x:v>1. 执行角色为平台管理员
2. 有幸运礼物全局比例修改权限</x:v>
      </x:c>
      <x:c r="J190" s="9" t="str">
        <x:v>1. 进入幸运礼物
2. 点击编辑
3. 输入比例101%
4. 点击保存</x:v>
      </x:c>
      <x:c r="K190" s="9" t="str">
        <x:v>不能保存超出0%至100%的比例</x:v>
      </x:c>
      <x:c r="L190" s="10" t="str"/>
      <x:c r="M190" s="10" t="str">
        <x:v>未测</x:v>
      </x:c>
      <x:c r="N190" s="10" t="str"/>
      <x:c r="O190" s="9" t="str">
        <x:v>1. 来源（当前证据）：liveshow-proto/MainBasis/统一需求文档.md；位置：行2810、行2820
2. 规则：BR-8a355c694bb89850
3. 未动态验证</x:v>
      </x:c>
    </x:row>
    <x:row r="191" ht="70" customHeight="1">
      <x:c r="A191" s="10" t="n">
        <x:v>190</x:v>
      </x:c>
      <x:c r="B191" s="10" t="str">
        <x:v>ADMIN-06-0029</x:v>
      </x:c>
      <x:c r="C191" s="10" t="str">
        <x:v>礼物道具</x:v>
      </x:c>
      <x:c r="D191" s="10" t="str">
        <x:v>幸运礼物（平台管理员视角）</x:v>
      </x:c>
      <x:c r="E191" s="10" t="str">
        <x:v>逻辑校验</x:v>
      </x:c>
      <x:c r="F191" s="10" t="str">
        <x:v>P1</x:v>
      </x:c>
      <x:c r="G191" s="9" t="str">
        <x:v>验证幸运礼物单价由消耗次数确定</x:v>
      </x:c>
      <x:c r="H191" s="9" t="str">
        <x:v>幸运礼物定价</x:v>
      </x:c>
      <x:c r="I191" s="9" t="str">
        <x:v>1. 执行角色为平台管理员
2. 单次消耗10金币，开奖次数100</x:v>
      </x:c>
      <x:c r="J191" s="9" t="str">
        <x:v>1. 进入幸运礼物编辑
2. 填写单次消耗10和次数100</x:v>
      </x:c>
      <x:c r="K191" s="9" t="str">
        <x:v>幸运礼物定价按10×100计算=1000金币</x:v>
      </x:c>
      <x:c r="L191" s="10" t="str"/>
      <x:c r="M191" s="10" t="str">
        <x:v>未测</x:v>
      </x:c>
      <x:c r="N191" s="10" t="str"/>
      <x:c r="O191" s="9" t="str">
        <x:v>1. 来源（当前证据）：liveshow-proto/MainBasis/统一需求文档.md；位置：行2813
2. 规则：BR-d15dfa030c5c0b1b
3. 未动态验证</x:v>
      </x:c>
    </x:row>
    <x:row r="192" ht="70" customHeight="1">
      <x:c r="A192" s="10" t="n">
        <x:v>191</x:v>
      </x:c>
      <x:c r="B192" s="10" t="str">
        <x:v>ADMIN-06-0030</x:v>
      </x:c>
      <x:c r="C192" s="10" t="str">
        <x:v>礼物道具</x:v>
      </x:c>
      <x:c r="D192" s="10" t="str">
        <x:v>幸运礼物（平台管理员视角）</x:v>
      </x:c>
      <x:c r="E192" s="10" t="str">
        <x:v>逻辑校验</x:v>
      </x:c>
      <x:c r="F192" s="10" t="str">
        <x:v>P1</x:v>
      </x:c>
      <x:c r="G192" s="9" t="str">
        <x:v>验证中奖概率加权计算RTP</x:v>
      </x:c>
      <x:c r="H192" s="9" t="str">
        <x:v>幸运礼物期望返还率</x:v>
      </x:c>
      <x:c r="I192" s="9" t="str">
        <x:v>1. 执行角色为平台管理员
2. 单次消耗10金币，奖励0概率90%、奖励100概率10%，无其他档位</x:v>
      </x:c>
      <x:c r="J192" s="9" t="str">
        <x:v>1. 进入幸运礼物编辑
2. 填写上述消耗及奖励档位</x:v>
      </x:c>
      <x:c r="K192" s="9" t="str">
        <x:v>幸运礼物期望返还率按(0×90%+100×10%)/10×100计算=100%</x:v>
      </x:c>
      <x:c r="L192" s="10" t="str"/>
      <x:c r="M192" s="10" t="str">
        <x:v>未测</x:v>
      </x:c>
      <x:c r="N192" s="10" t="str"/>
      <x:c r="O192" s="9" t="str">
        <x:v>1. 来源（当前证据）：liveshow-proto/MainBasis/统一需求文档.md；位置：行2814
2. 规则：BR-8da0c4e47703a96b
3. 未动态验证</x:v>
      </x:c>
    </x:row>
    <x:row r="193" ht="115" customHeight="1">
      <x:c r="A193" s="10" t="n">
        <x:v>192</x:v>
      </x:c>
      <x:c r="B193" s="10" t="str">
        <x:v>ADMIN-06-0031</x:v>
      </x:c>
      <x:c r="C193" s="10" t="str">
        <x:v>礼物道具</x:v>
      </x:c>
      <x:c r="D193" s="10" t="str">
        <x:v>幸运礼物（平台管理员视角）</x:v>
      </x:c>
      <x:c r="E193" s="10" t="str">
        <x:v>业务流程</x:v>
      </x:c>
      <x:c r="F193" s="10" t="str">
        <x:v>P1</x:v>
      </x:c>
      <x:c r="G193" s="9" t="str">
        <x:v>验证修改幸运比例保留历史收益</x:v>
      </x:c>
      <x:c r="H193" s="9" t="str">
        <x:v>幸运礼物比例快照</x:v>
      </x:c>
      <x:c r="I193" s="9" t="str">
        <x:v>1. 执行角色为平台管理员
2. 礼物甲历史价值1000金币按1%形成收益10金币</x:v>
      </x:c>
      <x:c r="J193" s="9" t="str">
        <x:v>1. 进入幸运礼物
2. 点击编辑
3. 输入全局收益比例2%
4. 点击保存
5. 进入甲历史消费详情</x:v>
      </x:c>
      <x:c r="K193" s="9" t="str">
        <x:v>历史主播收益仍为10金币</x:v>
      </x:c>
      <x:c r="L193" s="10" t="str"/>
      <x:c r="M193" s="10" t="str">
        <x:v>未测</x:v>
      </x:c>
      <x:c r="N193" s="10" t="str"/>
      <x:c r="O193" s="9" t="str">
        <x:v>1. 来源（当前证据）：liveshow-proto/MainBasis/统一需求文档.md；位置：行2818
2. 规则：BR-c906988322e9ce18
3. 未动态验证
4. 数据别名：甲、乙、丙用于区分本条测试对象；按前置条件准备并记录实际账号或记录 ID，不是固定业务名称。</x:v>
      </x:c>
    </x:row>
    <x:row r="194" ht="115" customHeight="1">
      <x:c r="A194" s="10" t="n">
        <x:v>193</x:v>
      </x:c>
      <x:c r="B194" s="10" t="str">
        <x:v>ADMIN-06-0032</x:v>
      </x:c>
      <x:c r="C194" s="10" t="str">
        <x:v>礼物道具</x:v>
      </x:c>
      <x:c r="D194" s="10" t="str">
        <x:v>幸运礼物（平台管理员视角）</x:v>
      </x:c>
      <x:c r="E194" s="10" t="str">
        <x:v>功能需求</x:v>
      </x:c>
      <x:c r="F194" s="10" t="str">
        <x:v>P2</x:v>
      </x:c>
      <x:c r="G194" s="9" t="str">
        <x:v>验证幸运礼物下架不改历史开奖</x:v>
      </x:c>
      <x:c r="H194" s="9" t="str">
        <x:v>幸运开奖历史保留</x:v>
      </x:c>
      <x:c r="I194" s="9" t="str">
        <x:v>1. 执行角色为平台管理员
2. 幸运礼物甲已完成一次开奖返奖20金币</x:v>
      </x:c>
      <x:c r="J194" s="9" t="str">
        <x:v>1. 进入幸运礼物
2. 下架甲
3. 点击确认
4. 进入该笔消费详情</x:v>
      </x:c>
      <x:c r="K194" s="9" t="str">
        <x:v>历史返奖仍为20金币</x:v>
      </x:c>
      <x:c r="L194" s="10" t="str"/>
      <x:c r="M194" s="10" t="str">
        <x:v>未测</x:v>
      </x:c>
      <x:c r="N194" s="10" t="str"/>
      <x:c r="O194" s="9" t="str">
        <x:v>1. 来源（当前证据）：liveshow-proto/MainBasis/统一需求文档.md；位置：行2819
2. 规则：BR-3478805064182e1d
3. 未动态验证
4. 数据别名：甲、乙、丙用于区分本条测试对象；按前置条件准备并记录实际账号或记录 ID，不是固定业务名称。</x:v>
      </x:c>
    </x:row>
    <x:row r="195" ht="85" customHeight="1">
      <x:c r="A195" s="10" t="n">
        <x:v>194</x:v>
      </x:c>
      <x:c r="B195" s="10" t="str">
        <x:v>ADMIN-06-0033</x:v>
      </x:c>
      <x:c r="C195" s="10" t="str">
        <x:v>礼物道具</x:v>
      </x:c>
      <x:c r="D195" s="10" t="str">
        <x:v>幸运礼物编辑（平台管理员视角）</x:v>
      </x:c>
      <x:c r="E195" s="10" t="str">
        <x:v>逻辑校验</x:v>
      </x:c>
      <x:c r="F195" s="10" t="str">
        <x:v>P1</x:v>
      </x:c>
      <x:c r="G195" s="9" t="str">
        <x:v>验证幸运礼物编辑缺少中文名称</x:v>
      </x:c>
      <x:c r="H195" s="9" t="str">
        <x:v>中文必填校验</x:v>
      </x:c>
      <x:c r="I195" s="9" t="str">
        <x:v>1. 执行角色为平台管理员
2. 管理员具备当前配置的编辑权限；使用本轮隔离测试记录；除本条修改字段外，其余字段均来自已成功保存的有效配置</x:v>
      </x:c>
      <x:c r="J195" s="9" t="str">
        <x:v>1. 进入幸运礼物编辑
2. 清空中文名称
3. 点击保存</x:v>
      </x:c>
      <x:c r="K195" s="9" t="str">
        <x:v>不能保存缺少中文名称的配置</x:v>
      </x:c>
      <x:c r="L195" s="10" t="str"/>
      <x:c r="M195" s="10" t="str">
        <x:v>未测</x:v>
      </x:c>
      <x:c r="N195" s="10" t="str"/>
      <x:c r="O195" s="9" t="str">
        <x:v>1. 来源（当前证据）：liveshow-proto/MainBasis/统一需求文档.md；位置：行2826
2. 规则：BR-dca938d9bee13b99
3. 未动态验证</x:v>
      </x:c>
    </x:row>
    <x:row r="196" ht="85" customHeight="1">
      <x:c r="A196" s="10" t="n">
        <x:v>195</x:v>
      </x:c>
      <x:c r="B196" s="10" t="str">
        <x:v>ADMIN-06-0034</x:v>
      </x:c>
      <x:c r="C196" s="10" t="str">
        <x:v>礼物道具</x:v>
      </x:c>
      <x:c r="D196" s="10" t="str">
        <x:v>幸运礼物编辑（平台管理员视角）</x:v>
      </x:c>
      <x:c r="E196" s="10" t="str">
        <x:v>逻辑校验</x:v>
      </x:c>
      <x:c r="F196" s="10" t="str">
        <x:v>P1</x:v>
      </x:c>
      <x:c r="G196" s="9" t="str">
        <x:v>验证幸运礼物编辑缺少英语名称</x:v>
      </x:c>
      <x:c r="H196" s="9" t="str">
        <x:v>英语必填校验</x:v>
      </x:c>
      <x:c r="I196" s="9" t="str">
        <x:v>1. 执行角色为平台管理员
2. 管理员具备当前配置的编辑权限；使用本轮隔离测试记录；除本条修改字段外，其余字段均来自已成功保存的有效配置</x:v>
      </x:c>
      <x:c r="J196" s="9" t="str">
        <x:v>1. 进入幸运礼物编辑
2. 清空英语名称
3. 点击保存</x:v>
      </x:c>
      <x:c r="K196" s="9" t="str">
        <x:v>不能保存缺少英语名称的配置</x:v>
      </x:c>
      <x:c r="L196" s="10" t="str"/>
      <x:c r="M196" s="10" t="str">
        <x:v>未测</x:v>
      </x:c>
      <x:c r="N196" s="10" t="str"/>
      <x:c r="O196" s="9" t="str">
        <x:v>1. 来源（当前证据）：liveshow-proto/MainBasis/统一需求文档.md；位置：行2826
2. 规则：BR-6c4f5aba019ab475
3. 未动态验证</x:v>
      </x:c>
    </x:row>
    <x:row r="197" ht="85" customHeight="1">
      <x:c r="A197" s="10" t="n">
        <x:v>196</x:v>
      </x:c>
      <x:c r="B197" s="10" t="str">
        <x:v>ADMIN-06-0035</x:v>
      </x:c>
      <x:c r="C197" s="10" t="str">
        <x:v>礼物道具</x:v>
      </x:c>
      <x:c r="D197" s="10" t="str">
        <x:v>幸运礼物编辑（平台管理员视角）</x:v>
      </x:c>
      <x:c r="E197" s="10" t="str">
        <x:v>逻辑校验</x:v>
      </x:c>
      <x:c r="F197" s="10" t="str">
        <x:v>P1</x:v>
      </x:c>
      <x:c r="G197" s="9" t="str">
        <x:v>验证幸运礼物编辑缺少印尼语名称</x:v>
      </x:c>
      <x:c r="H197" s="9" t="str">
        <x:v>印尼语必填校验</x:v>
      </x:c>
      <x:c r="I197" s="9" t="str">
        <x:v>1. 执行角色为平台管理员
2. 管理员具备当前配置的编辑权限；使用本轮隔离测试记录；除本条修改字段外，其余字段均来自已成功保存的有效配置</x:v>
      </x:c>
      <x:c r="J197" s="9" t="str">
        <x:v>1. 进入幸运礼物编辑
2. 清空印尼语名称
3. 点击保存</x:v>
      </x:c>
      <x:c r="K197" s="9" t="str">
        <x:v>不能保存缺少印尼语名称的配置</x:v>
      </x:c>
      <x:c r="L197" s="10" t="str"/>
      <x:c r="M197" s="10" t="str">
        <x:v>未测</x:v>
      </x:c>
      <x:c r="N197" s="10" t="str"/>
      <x:c r="O197" s="9" t="str">
        <x:v>1. 来源（当前证据）：liveshow-proto/MainBasis/统一需求文档.md；位置：行2826
2. 规则：BR-1d7b676ef8c6dce7
3. 未动态验证</x:v>
      </x:c>
    </x:row>
    <x:row r="198" ht="85" customHeight="1">
      <x:c r="A198" s="10" t="n">
        <x:v>197</x:v>
      </x:c>
      <x:c r="B198" s="10" t="str">
        <x:v>ADMIN-06-0036</x:v>
      </x:c>
      <x:c r="C198" s="10" t="str">
        <x:v>礼物道具</x:v>
      </x:c>
      <x:c r="D198" s="10" t="str">
        <x:v>幸运礼物编辑（平台管理员视角）</x:v>
      </x:c>
      <x:c r="E198" s="10" t="str">
        <x:v>逻辑校验</x:v>
      </x:c>
      <x:c r="F198" s="10" t="str">
        <x:v>P1</x:v>
      </x:c>
      <x:c r="G198" s="9" t="str">
        <x:v>验证幸运礼物编辑缺少马来语名称</x:v>
      </x:c>
      <x:c r="H198" s="9" t="str">
        <x:v>马来语必填校验</x:v>
      </x:c>
      <x:c r="I198" s="9" t="str">
        <x:v>1. 执行角色为平台管理员
2. 管理员具备当前配置的编辑权限；使用本轮隔离测试记录；除本条修改字段外，其余字段均来自已成功保存的有效配置</x:v>
      </x:c>
      <x:c r="J198" s="9" t="str">
        <x:v>1. 进入幸运礼物编辑
2. 清空马来语名称
3. 点击保存</x:v>
      </x:c>
      <x:c r="K198" s="9" t="str">
        <x:v>不能保存缺少马来语名称的配置</x:v>
      </x:c>
      <x:c r="L198" s="10" t="str"/>
      <x:c r="M198" s="10" t="str">
        <x:v>未测</x:v>
      </x:c>
      <x:c r="N198" s="10" t="str"/>
      <x:c r="O198" s="9" t="str">
        <x:v>1. 来源（当前证据）：liveshow-proto/MainBasis/统一需求文档.md；位置：行2826
2. 规则：BR-ac92637ede6b6549
3. 未动态验证</x:v>
      </x:c>
    </x:row>
    <x:row r="199" ht="115" customHeight="1">
      <x:c r="A199" s="10" t="n">
        <x:v>198</x:v>
      </x:c>
      <x:c r="B199" s="10" t="str">
        <x:v>ADMIN-06-0037</x:v>
      </x:c>
      <x:c r="C199" s="10" t="str">
        <x:v>礼物道具</x:v>
      </x:c>
      <x:c r="D199" s="10" t="str">
        <x:v>幸运礼物编辑（平台管理员视角）</x:v>
      </x:c>
      <x:c r="E199" s="10" t="str">
        <x:v>逻辑校验</x:v>
      </x:c>
      <x:c r="F199" s="10" t="str">
        <x:v>P1</x:v>
      </x:c>
      <x:c r="G199" s="9" t="str">
        <x:v>验证幸运礼物编辑单次消耗输入0</x:v>
      </x:c>
      <x:c r="H199" s="9" t="str">
        <x:v>单次消耗数值边界</x:v>
      </x:c>
      <x:c r="I199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199" s="9" t="str">
        <x:v>1. 进入幸运礼物编辑
2. 填写单次消耗0
3. 点击保存</x:v>
      </x:c>
      <x:c r="K199" s="9" t="str">
        <x:v>不能保存单次消耗为0的配置</x:v>
      </x:c>
      <x:c r="L199" s="10" t="str"/>
      <x:c r="M199" s="10" t="str">
        <x:v>未测</x:v>
      </x:c>
      <x:c r="N199" s="10" t="str"/>
      <x:c r="O199" s="9" t="str">
        <x:v>1. 来源（当前证据）：liveshow-proto/MainBasis/统一需求文档.md；位置：行2827
2. 规则：BR-7532dcea6f9b0f65
3. 未动态验证</x:v>
      </x:c>
    </x:row>
    <x:row r="200" ht="115" customHeight="1">
      <x:c r="A200" s="10" t="n">
        <x:v>199</x:v>
      </x:c>
      <x:c r="B200" s="10" t="str">
        <x:v>ADMIN-06-0038</x:v>
      </x:c>
      <x:c r="C200" s="10" t="str">
        <x:v>礼物道具</x:v>
      </x:c>
      <x:c r="D200" s="10" t="str">
        <x:v>幸运礼物编辑（平台管理员视角）</x:v>
      </x:c>
      <x:c r="E200" s="10" t="str">
        <x:v>逻辑校验</x:v>
      </x:c>
      <x:c r="F200" s="10" t="str">
        <x:v>P1</x:v>
      </x:c>
      <x:c r="G200" s="9" t="str">
        <x:v>验证幸运礼物编辑单次消耗输入1</x:v>
      </x:c>
      <x:c r="H200" s="9" t="str">
        <x:v>单次消耗数值边界</x:v>
      </x:c>
      <x:c r="I200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200" s="9" t="str">
        <x:v>1. 进入幸运礼物编辑
2. 填写单次消耗1
3. 点击保存</x:v>
      </x:c>
      <x:c r="K200" s="9" t="str">
        <x:v>单次消耗保存为1</x:v>
      </x:c>
      <x:c r="L200" s="10" t="str"/>
      <x:c r="M200" s="10" t="str">
        <x:v>未测</x:v>
      </x:c>
      <x:c r="N200" s="10" t="str"/>
      <x:c r="O200" s="9" t="str">
        <x:v>1. 来源（当前证据）：liveshow-proto/MainBasis/统一需求文档.md；位置：行2827
2. 规则：BR-a8e3661e0f19814c
3. 未动态验证</x:v>
      </x:c>
    </x:row>
    <x:row r="201" ht="115" customHeight="1">
      <x:c r="A201" s="10" t="n">
        <x:v>200</x:v>
      </x:c>
      <x:c r="B201" s="10" t="str">
        <x:v>ADMIN-06-0039</x:v>
      </x:c>
      <x:c r="C201" s="10" t="str">
        <x:v>礼物道具</x:v>
      </x:c>
      <x:c r="D201" s="10" t="str">
        <x:v>幸运礼物编辑（平台管理员视角）</x:v>
      </x:c>
      <x:c r="E201" s="10" t="str">
        <x:v>逻辑校验</x:v>
      </x:c>
      <x:c r="F201" s="10" t="str">
        <x:v>P1</x:v>
      </x:c>
      <x:c r="G201" s="9" t="str">
        <x:v>验证幸运礼物编辑单次消耗输入2</x:v>
      </x:c>
      <x:c r="H201" s="9" t="str">
        <x:v>单次消耗数值边界</x:v>
      </x:c>
      <x:c r="I201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201" s="9" t="str">
        <x:v>1. 进入幸运礼物编辑
2. 填写单次消耗2
3. 点击保存</x:v>
      </x:c>
      <x:c r="K201" s="9" t="str">
        <x:v>单次消耗保存为2</x:v>
      </x:c>
      <x:c r="L201" s="10" t="str"/>
      <x:c r="M201" s="10" t="str">
        <x:v>未测</x:v>
      </x:c>
      <x:c r="N201" s="10" t="str"/>
      <x:c r="O201" s="9" t="str">
        <x:v>1. 来源（当前证据）：liveshow-proto/MainBasis/统一需求文档.md；位置：行2827
2. 规则：BR-78fb00f176e07079
3. 未动态验证</x:v>
      </x:c>
    </x:row>
    <x:row r="202" ht="115" customHeight="1">
      <x:c r="A202" s="10" t="n">
        <x:v>201</x:v>
      </x:c>
      <x:c r="B202" s="10" t="str">
        <x:v>ADMIN-06-0040</x:v>
      </x:c>
      <x:c r="C202" s="10" t="str">
        <x:v>礼物道具</x:v>
      </x:c>
      <x:c r="D202" s="10" t="str">
        <x:v>幸运礼物编辑（平台管理员视角）</x:v>
      </x:c>
      <x:c r="E202" s="10" t="str">
        <x:v>逻辑校验</x:v>
      </x:c>
      <x:c r="F202" s="10" t="str">
        <x:v>P1</x:v>
      </x:c>
      <x:c r="G202" s="9" t="str">
        <x:v>验证幸运礼物编辑单次消耗输入1.5</x:v>
      </x:c>
      <x:c r="H202" s="9" t="str">
        <x:v>单次消耗数值边界</x:v>
      </x:c>
      <x:c r="I202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202" s="9" t="str">
        <x:v>1. 进入幸运礼物编辑
2. 填写单次消耗1.5
3. 点击保存</x:v>
      </x:c>
      <x:c r="K202" s="9" t="str">
        <x:v>不能保存单次消耗为1.5的配置</x:v>
      </x:c>
      <x:c r="L202" s="10" t="str"/>
      <x:c r="M202" s="10" t="str">
        <x:v>未测</x:v>
      </x:c>
      <x:c r="N202" s="10" t="str"/>
      <x:c r="O202" s="9" t="str">
        <x:v>1. 来源（当前证据）：liveshow-proto/MainBasis/统一需求文档.md；位置：行2827
2. 规则：BR-56b0f5a02b4fb33d
3. 未动态验证</x:v>
      </x:c>
    </x:row>
    <x:row r="203" ht="115" customHeight="1">
      <x:c r="A203" s="10" t="n">
        <x:v>202</x:v>
      </x:c>
      <x:c r="B203" s="10" t="str">
        <x:v>ADMIN-06-0041</x:v>
      </x:c>
      <x:c r="C203" s="10" t="str">
        <x:v>礼物道具</x:v>
      </x:c>
      <x:c r="D203" s="10" t="str">
        <x:v>幸运礼物编辑（平台管理员视角）</x:v>
      </x:c>
      <x:c r="E203" s="10" t="str">
        <x:v>逻辑校验</x:v>
      </x:c>
      <x:c r="F203" s="10" t="str">
        <x:v>P1</x:v>
      </x:c>
      <x:c r="G203" s="9" t="str">
        <x:v>验证幸运礼物编辑开奖次数输入0</x:v>
      </x:c>
      <x:c r="H203" s="9" t="str">
        <x:v>开奖次数数值边界</x:v>
      </x:c>
      <x:c r="I203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203" s="9" t="str">
        <x:v>1. 进入幸运礼物编辑
2. 填写开奖次数0
3. 点击保存</x:v>
      </x:c>
      <x:c r="K203" s="9" t="str">
        <x:v>不能保存开奖次数为0的配置</x:v>
      </x:c>
      <x:c r="L203" s="10" t="str"/>
      <x:c r="M203" s="10" t="str">
        <x:v>未测</x:v>
      </x:c>
      <x:c r="N203" s="10" t="str"/>
      <x:c r="O203" s="9" t="str">
        <x:v>1. 来源（当前证据）：liveshow-proto/MainBasis/统一需求文档.md；位置：行2828
2. 规则：BR-08ab418993d09438
3. 未动态验证</x:v>
      </x:c>
    </x:row>
    <x:row r="204" ht="115" customHeight="1">
      <x:c r="A204" s="10" t="n">
        <x:v>203</x:v>
      </x:c>
      <x:c r="B204" s="10" t="str">
        <x:v>ADMIN-06-0042</x:v>
      </x:c>
      <x:c r="C204" s="10" t="str">
        <x:v>礼物道具</x:v>
      </x:c>
      <x:c r="D204" s="10" t="str">
        <x:v>幸运礼物编辑（平台管理员视角）</x:v>
      </x:c>
      <x:c r="E204" s="10" t="str">
        <x:v>逻辑校验</x:v>
      </x:c>
      <x:c r="F204" s="10" t="str">
        <x:v>P1</x:v>
      </x:c>
      <x:c r="G204" s="9" t="str">
        <x:v>验证幸运礼物编辑开奖次数输入1</x:v>
      </x:c>
      <x:c r="H204" s="9" t="str">
        <x:v>开奖次数数值边界</x:v>
      </x:c>
      <x:c r="I204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204" s="9" t="str">
        <x:v>1. 进入幸运礼物编辑
2. 填写开奖次数1
3. 点击保存</x:v>
      </x:c>
      <x:c r="K204" s="9" t="str">
        <x:v>开奖次数保存为1</x:v>
      </x:c>
      <x:c r="L204" s="10" t="str"/>
      <x:c r="M204" s="10" t="str">
        <x:v>未测</x:v>
      </x:c>
      <x:c r="N204" s="10" t="str"/>
      <x:c r="O204" s="9" t="str">
        <x:v>1. 来源（当前证据）：liveshow-proto/MainBasis/统一需求文档.md；位置：行2828
2. 规则：BR-6adfbe85fda2699f
3. 未动态验证</x:v>
      </x:c>
    </x:row>
    <x:row r="205" ht="115" customHeight="1">
      <x:c r="A205" s="10" t="n">
        <x:v>204</x:v>
      </x:c>
      <x:c r="B205" s="10" t="str">
        <x:v>ADMIN-06-0043</x:v>
      </x:c>
      <x:c r="C205" s="10" t="str">
        <x:v>礼物道具</x:v>
      </x:c>
      <x:c r="D205" s="10" t="str">
        <x:v>幸运礼物编辑（平台管理员视角）</x:v>
      </x:c>
      <x:c r="E205" s="10" t="str">
        <x:v>逻辑校验</x:v>
      </x:c>
      <x:c r="F205" s="10" t="str">
        <x:v>P1</x:v>
      </x:c>
      <x:c r="G205" s="9" t="str">
        <x:v>验证幸运礼物编辑开奖次数输入2</x:v>
      </x:c>
      <x:c r="H205" s="9" t="str">
        <x:v>开奖次数数值边界</x:v>
      </x:c>
      <x:c r="I205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205" s="9" t="str">
        <x:v>1. 进入幸运礼物编辑
2. 填写开奖次数2
3. 点击保存</x:v>
      </x:c>
      <x:c r="K205" s="9" t="str">
        <x:v>开奖次数保存为2</x:v>
      </x:c>
      <x:c r="L205" s="10" t="str"/>
      <x:c r="M205" s="10" t="str">
        <x:v>未测</x:v>
      </x:c>
      <x:c r="N205" s="10" t="str"/>
      <x:c r="O205" s="9" t="str">
        <x:v>1. 来源（当前证据）：liveshow-proto/MainBasis/统一需求文档.md；位置：行2828
2. 规则：BR-2fe04d24c294e475
3. 未动态验证</x:v>
      </x:c>
    </x:row>
    <x:row r="206" ht="115" customHeight="1">
      <x:c r="A206" s="10" t="n">
        <x:v>205</x:v>
      </x:c>
      <x:c r="B206" s="10" t="str">
        <x:v>ADMIN-06-0044</x:v>
      </x:c>
      <x:c r="C206" s="10" t="str">
        <x:v>礼物道具</x:v>
      </x:c>
      <x:c r="D206" s="10" t="str">
        <x:v>幸运礼物编辑（平台管理员视角）</x:v>
      </x:c>
      <x:c r="E206" s="10" t="str">
        <x:v>逻辑校验</x:v>
      </x:c>
      <x:c r="F206" s="10" t="str">
        <x:v>P1</x:v>
      </x:c>
      <x:c r="G206" s="9" t="str">
        <x:v>验证幸运礼物编辑开奖次数输入1.5</x:v>
      </x:c>
      <x:c r="H206" s="9" t="str">
        <x:v>开奖次数数值边界</x:v>
      </x:c>
      <x:c r="I206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206" s="9" t="str">
        <x:v>1. 进入幸运礼物编辑
2. 填写开奖次数1.5
3. 点击保存</x:v>
      </x:c>
      <x:c r="K206" s="9" t="str">
        <x:v>不能保存开奖次数为1.5的配置</x:v>
      </x:c>
      <x:c r="L206" s="10" t="str"/>
      <x:c r="M206" s="10" t="str">
        <x:v>未测</x:v>
      </x:c>
      <x:c r="N206" s="10" t="str"/>
      <x:c r="O206" s="9" t="str">
        <x:v>1. 来源（当前证据）：liveshow-proto/MainBasis/统一需求文档.md；位置：行2828
2. 规则：BR-8e9b04a62b22be12
3. 未动态验证</x:v>
      </x:c>
    </x:row>
    <x:row r="207" ht="115" customHeight="1">
      <x:c r="A207" s="10" t="n">
        <x:v>206</x:v>
      </x:c>
      <x:c r="B207" s="10" t="str">
        <x:v>ADMIN-06-0045</x:v>
      </x:c>
      <x:c r="C207" s="10" t="str">
        <x:v>礼物道具</x:v>
      </x:c>
      <x:c r="D207" s="10" t="str">
        <x:v>幸运礼物编辑（平台管理员视角）</x:v>
      </x:c>
      <x:c r="E207" s="10" t="str">
        <x:v>逻辑校验</x:v>
      </x:c>
      <x:c r="F207" s="10" t="str">
        <x:v>P1</x:v>
      </x:c>
      <x:c r="G207" s="9" t="str">
        <x:v>验证幸运礼物编辑奖励金币输入-1</x:v>
      </x:c>
      <x:c r="H207" s="9" t="str">
        <x:v>奖励金币数值边界</x:v>
      </x:c>
      <x:c r="I207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207" s="9" t="str">
        <x:v>1. 进入幸运礼物编辑
2. 填写奖励金币-1
3. 点击保存</x:v>
      </x:c>
      <x:c r="K207" s="9" t="str">
        <x:v>不能保存奖励金币为-1的配置</x:v>
      </x:c>
      <x:c r="L207" s="10" t="str"/>
      <x:c r="M207" s="10" t="str">
        <x:v>未测</x:v>
      </x:c>
      <x:c r="N207" s="10" t="str"/>
      <x:c r="O207" s="9" t="str">
        <x:v>1. 来源（当前证据）：liveshow-proto/MainBasis/统一需求文档.md；位置：行2829
2. 规则：BR-1f8be14387bf6302
3. 未动态验证</x:v>
      </x:c>
    </x:row>
    <x:row r="208" ht="115" customHeight="1">
      <x:c r="A208" s="10" t="n">
        <x:v>207</x:v>
      </x:c>
      <x:c r="B208" s="10" t="str">
        <x:v>ADMIN-06-0046</x:v>
      </x:c>
      <x:c r="C208" s="10" t="str">
        <x:v>礼物道具</x:v>
      </x:c>
      <x:c r="D208" s="10" t="str">
        <x:v>幸运礼物编辑（平台管理员视角）</x:v>
      </x:c>
      <x:c r="E208" s="10" t="str">
        <x:v>逻辑校验</x:v>
      </x:c>
      <x:c r="F208" s="10" t="str">
        <x:v>P1</x:v>
      </x:c>
      <x:c r="G208" s="9" t="str">
        <x:v>验证幸运礼物编辑奖励金币输入0</x:v>
      </x:c>
      <x:c r="H208" s="9" t="str">
        <x:v>奖励金币数值边界</x:v>
      </x:c>
      <x:c r="I208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208" s="9" t="str">
        <x:v>1. 进入幸运礼物编辑
2. 填写奖励金币0
3. 点击保存</x:v>
      </x:c>
      <x:c r="K208" s="9" t="str">
        <x:v>奖励金币保存为0</x:v>
      </x:c>
      <x:c r="L208" s="10" t="str"/>
      <x:c r="M208" s="10" t="str">
        <x:v>未测</x:v>
      </x:c>
      <x:c r="N208" s="10" t="str"/>
      <x:c r="O208" s="9" t="str">
        <x:v>1. 来源（当前证据）：liveshow-proto/MainBasis/统一需求文档.md；位置：行2829
2. 规则：BR-7a0910622b8b041c
3. 未动态验证</x:v>
      </x:c>
    </x:row>
    <x:row r="209" ht="115" customHeight="1">
      <x:c r="A209" s="10" t="n">
        <x:v>208</x:v>
      </x:c>
      <x:c r="B209" s="10" t="str">
        <x:v>ADMIN-06-0047</x:v>
      </x:c>
      <x:c r="C209" s="10" t="str">
        <x:v>礼物道具</x:v>
      </x:c>
      <x:c r="D209" s="10" t="str">
        <x:v>幸运礼物编辑（平台管理员视角）</x:v>
      </x:c>
      <x:c r="E209" s="10" t="str">
        <x:v>逻辑校验</x:v>
      </x:c>
      <x:c r="F209" s="10" t="str">
        <x:v>P1</x:v>
      </x:c>
      <x:c r="G209" s="9" t="str">
        <x:v>验证幸运礼物编辑奖励金币输入1</x:v>
      </x:c>
      <x:c r="H209" s="9" t="str">
        <x:v>奖励金币数值边界</x:v>
      </x:c>
      <x:c r="I209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209" s="9" t="str">
        <x:v>1. 进入幸运礼物编辑
2. 填写奖励金币1
3. 点击保存</x:v>
      </x:c>
      <x:c r="K209" s="9" t="str">
        <x:v>奖励金币保存为1</x:v>
      </x:c>
      <x:c r="L209" s="10" t="str"/>
      <x:c r="M209" s="10" t="str">
        <x:v>未测</x:v>
      </x:c>
      <x:c r="N209" s="10" t="str"/>
      <x:c r="O209" s="9" t="str">
        <x:v>1. 来源（当前证据）：liveshow-proto/MainBasis/统一需求文档.md；位置：行2829
2. 规则：BR-c5d1c31ad36f5cdc
3. 未动态验证</x:v>
      </x:c>
    </x:row>
    <x:row r="210" ht="115" customHeight="1">
      <x:c r="A210" s="10" t="n">
        <x:v>209</x:v>
      </x:c>
      <x:c r="B210" s="10" t="str">
        <x:v>ADMIN-06-0048</x:v>
      </x:c>
      <x:c r="C210" s="10" t="str">
        <x:v>礼物道具</x:v>
      </x:c>
      <x:c r="D210" s="10" t="str">
        <x:v>幸运礼物编辑（平台管理员视角）</x:v>
      </x:c>
      <x:c r="E210" s="10" t="str">
        <x:v>逻辑校验</x:v>
      </x:c>
      <x:c r="F210" s="10" t="str">
        <x:v>P1</x:v>
      </x:c>
      <x:c r="G210" s="9" t="str">
        <x:v>验证幸运礼物编辑奖励金币输入1.5</x:v>
      </x:c>
      <x:c r="H210" s="9" t="str">
        <x:v>奖励金币数值边界</x:v>
      </x:c>
      <x:c r="I210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210" s="9" t="str">
        <x:v>1. 进入幸运礼物编辑
2. 填写奖励金币1.5
3. 点击保存</x:v>
      </x:c>
      <x:c r="K210" s="9" t="str">
        <x:v>不能保存奖励金币为1.5的配置</x:v>
      </x:c>
      <x:c r="L210" s="10" t="str"/>
      <x:c r="M210" s="10" t="str">
        <x:v>未测</x:v>
      </x:c>
      <x:c r="N210" s="10" t="str"/>
      <x:c r="O210" s="9" t="str">
        <x:v>1. 来源（当前证据）：liveshow-proto/MainBasis/统一需求文档.md；位置：行2829
2. 规则：BR-a2ca15631a3f26d6
3. 未动态验证</x:v>
      </x:c>
    </x:row>
    <x:row r="211" ht="70" customHeight="1">
      <x:c r="A211" s="10" t="n">
        <x:v>210</x:v>
      </x:c>
      <x:c r="B211" s="10" t="str">
        <x:v>ADMIN-06-0049</x:v>
      </x:c>
      <x:c r="C211" s="10" t="str">
        <x:v>礼物道具</x:v>
      </x:c>
      <x:c r="D211" s="10" t="str">
        <x:v>幸运礼物编辑（平台管理员视角）</x:v>
      </x:c>
      <x:c r="E211" s="10" t="str">
        <x:v>业务流程</x:v>
      </x:c>
      <x:c r="F211" s="10" t="str">
        <x:v>P1</x:v>
      </x:c>
      <x:c r="G211" s="9" t="str">
        <x:v>验证幸运奖励档位不能重复</x:v>
      </x:c>
      <x:c r="H211" s="9" t="str">
        <x:v>中奖金额档位唯一</x:v>
      </x:c>
      <x:c r="I211" s="9" t="str">
        <x:v>1. 执行角色为平台管理员
2. 现有奖励档位0、100；其他配置合法</x:v>
      </x:c>
      <x:c r="J211" s="9" t="str">
        <x:v>1. 进入幸运礼物编辑
2. 点击添加档位
3. 输入奖励100
4. 点击保存</x:v>
      </x:c>
      <x:c r="K211" s="9" t="str">
        <x:v>不能保存重复的100金币档位</x:v>
      </x:c>
      <x:c r="L211" s="10" t="str"/>
      <x:c r="M211" s="10" t="str">
        <x:v>未测</x:v>
      </x:c>
      <x:c r="N211" s="10" t="str"/>
      <x:c r="O211" s="9" t="str">
        <x:v>1. 来源（当前证据）：liveshow-proto/MainBasis/统一需求文档.md；位置：行2829
2. 规则：BR-9aef1e5a1c1d2517
3. 未动态验证</x:v>
      </x:c>
    </x:row>
    <x:row r="212" ht="85" customHeight="1">
      <x:c r="A212" s="10" t="n">
        <x:v>211</x:v>
      </x:c>
      <x:c r="B212" s="10" t="str">
        <x:v>ADMIN-06-0050</x:v>
      </x:c>
      <x:c r="C212" s="10" t="str">
        <x:v>礼物道具</x:v>
      </x:c>
      <x:c r="D212" s="10" t="str">
        <x:v>幸运礼物编辑（平台管理员视角）</x:v>
      </x:c>
      <x:c r="E212" s="10" t="str">
        <x:v>业务流程</x:v>
      </x:c>
      <x:c r="F212" s="10" t="str">
        <x:v>P1</x:v>
      </x:c>
      <x:c r="G212" s="9" t="str">
        <x:v>验证概率总和99%不能保存</x:v>
      </x:c>
      <x:c r="H212" s="9" t="str">
        <x:v>中奖概率合计下界</x:v>
      </x:c>
      <x:c r="I212" s="9" t="str">
        <x:v>1. 执行角色为平台管理员
2. 幸运礼物有0金币和100金币两个不同奖励档位</x:v>
      </x:c>
      <x:c r="J212" s="9" t="str">
        <x:v>1. 进入幸运礼物编辑
2. 填写两个概率50%和49%
3. 点击保存</x:v>
      </x:c>
      <x:c r="K212" s="9" t="str">
        <x:v>配置不能生效</x:v>
      </x:c>
      <x:c r="L212" s="10" t="str"/>
      <x:c r="M212" s="10" t="str">
        <x:v>未测</x:v>
      </x:c>
      <x:c r="N212" s="10" t="str"/>
      <x:c r="O212" s="9" t="str">
        <x:v>1. 来源（当前证据）：liveshow-proto/MainBasis/统一需求文档.md；位置：行2830、行2834
2. 规则：BR-03b40d19dc3ee10d
3. 未动态验证</x:v>
      </x:c>
    </x:row>
    <x:row r="213" ht="85" customHeight="1">
      <x:c r="A213" s="10" t="n">
        <x:v>212</x:v>
      </x:c>
      <x:c r="B213" s="10" t="str">
        <x:v>ADMIN-06-0051</x:v>
      </x:c>
      <x:c r="C213" s="10" t="str">
        <x:v>礼物道具</x:v>
      </x:c>
      <x:c r="D213" s="10" t="str">
        <x:v>幸运礼物编辑（平台管理员视角）</x:v>
      </x:c>
      <x:c r="E213" s="10" t="str">
        <x:v>业务流程</x:v>
      </x:c>
      <x:c r="F213" s="10" t="str">
        <x:v>P1</x:v>
      </x:c>
      <x:c r="G213" s="9" t="str">
        <x:v>验证概率总和101%不能保存</x:v>
      </x:c>
      <x:c r="H213" s="9" t="str">
        <x:v>中奖概率合计上界</x:v>
      </x:c>
      <x:c r="I213" s="9" t="str">
        <x:v>1. 执行角色为平台管理员
2. 幸运礼物有0金币和100金币两个不同奖励档位</x:v>
      </x:c>
      <x:c r="J213" s="9" t="str">
        <x:v>1. 进入幸运礼物编辑
2. 填写两个概率50%和51%
3. 点击保存</x:v>
      </x:c>
      <x:c r="K213" s="9" t="str">
        <x:v>配置不能生效</x:v>
      </x:c>
      <x:c r="L213" s="10" t="str"/>
      <x:c r="M213" s="10" t="str">
        <x:v>未测</x:v>
      </x:c>
      <x:c r="N213" s="10" t="str"/>
      <x:c r="O213" s="9" t="str">
        <x:v>1. 来源（当前证据）：liveshow-proto/MainBasis/统一需求文档.md；位置：行2830、行2834
2. 规则：BR-02b63f10dcee23ad
3. 未动态验证</x:v>
      </x:c>
    </x:row>
    <x:row r="214" ht="70" customHeight="1">
      <x:c r="A214" s="10" t="n">
        <x:v>213</x:v>
      </x:c>
      <x:c r="B214" s="10" t="str">
        <x:v>ADMIN-06-0052</x:v>
      </x:c>
      <x:c r="C214" s="10" t="str">
        <x:v>礼物道具</x:v>
      </x:c>
      <x:c r="D214" s="10" t="str">
        <x:v>幸运礼物编辑（平台管理员视角）</x:v>
      </x:c>
      <x:c r="E214" s="10" t="str">
        <x:v>逻辑校验</x:v>
      </x:c>
      <x:c r="F214" s="10" t="str">
        <x:v>P1</x:v>
      </x:c>
      <x:c r="G214" s="9" t="str">
        <x:v>验证单档中奖概率-1%</x:v>
      </x:c>
      <x:c r="H214" s="9" t="str">
        <x:v>中奖概率单档范围</x:v>
      </x:c>
      <x:c r="I214" s="9" t="str">
        <x:v>1. 执行角色为平台管理员
2. 存在两个不同奖励档位；另一档概率101%；图标、名称、消耗、次数合法</x:v>
      </x:c>
      <x:c r="J214" s="9" t="str">
        <x:v>1. 进入幸运礼物编辑
2. 填写本档概率-1%
3. 点击保存</x:v>
      </x:c>
      <x:c r="K214" s="9" t="str">
        <x:v>不能保存含非法单档概率的配置</x:v>
      </x:c>
      <x:c r="L214" s="10" t="str"/>
      <x:c r="M214" s="10" t="str">
        <x:v>未测</x:v>
      </x:c>
      <x:c r="N214" s="10" t="str"/>
      <x:c r="O214" s="9" t="str">
        <x:v>1. 来源（当前证据）：liveshow-proto/MainBasis/统一需求文档.md；位置：行2830
2. 规则：BR-b60f8e26ad00b214
3. 未动态验证</x:v>
      </x:c>
    </x:row>
    <x:row r="215" ht="70" customHeight="1">
      <x:c r="A215" s="10" t="n">
        <x:v>214</x:v>
      </x:c>
      <x:c r="B215" s="10" t="str">
        <x:v>ADMIN-06-0053</x:v>
      </x:c>
      <x:c r="C215" s="10" t="str">
        <x:v>礼物道具</x:v>
      </x:c>
      <x:c r="D215" s="10" t="str">
        <x:v>幸运礼物编辑（平台管理员视角）</x:v>
      </x:c>
      <x:c r="E215" s="10" t="str">
        <x:v>逻辑校验</x:v>
      </x:c>
      <x:c r="F215" s="10" t="str">
        <x:v>P1</x:v>
      </x:c>
      <x:c r="G215" s="9" t="str">
        <x:v>验证单档中奖概率0%</x:v>
      </x:c>
      <x:c r="H215" s="9" t="str">
        <x:v>中奖概率单档范围</x:v>
      </x:c>
      <x:c r="I215" s="9" t="str">
        <x:v>1. 执行角色为平台管理员
2. 存在两个不同奖励档位；另一档概率100%；图标、名称、消耗、次数合法</x:v>
      </x:c>
      <x:c r="J215" s="9" t="str">
        <x:v>1. 进入幸运礼物编辑
2. 填写本档概率0%
3. 点击保存</x:v>
      </x:c>
      <x:c r="K215" s="9" t="str">
        <x:v>该概率配置可保存</x:v>
      </x:c>
      <x:c r="L215" s="10" t="str"/>
      <x:c r="M215" s="10" t="str">
        <x:v>未测</x:v>
      </x:c>
      <x:c r="N215" s="10" t="str"/>
      <x:c r="O215" s="9" t="str">
        <x:v>1. 来源（当前证据）：liveshow-proto/MainBasis/统一需求文档.md；位置：行2830
2. 规则：BR-897b87f0cf2a92b7
3. 未动态验证</x:v>
      </x:c>
    </x:row>
    <x:row r="216" ht="70" customHeight="1">
      <x:c r="A216" s="10" t="n">
        <x:v>215</x:v>
      </x:c>
      <x:c r="B216" s="10" t="str">
        <x:v>ADMIN-06-0054</x:v>
      </x:c>
      <x:c r="C216" s="10" t="str">
        <x:v>礼物道具</x:v>
      </x:c>
      <x:c r="D216" s="10" t="str">
        <x:v>幸运礼物编辑（平台管理员视角）</x:v>
      </x:c>
      <x:c r="E216" s="10" t="str">
        <x:v>逻辑校验</x:v>
      </x:c>
      <x:c r="F216" s="10" t="str">
        <x:v>P1</x:v>
      </x:c>
      <x:c r="G216" s="9" t="str">
        <x:v>验证单档中奖概率100%</x:v>
      </x:c>
      <x:c r="H216" s="9" t="str">
        <x:v>中奖概率单档范围</x:v>
      </x:c>
      <x:c r="I216" s="9" t="str">
        <x:v>1. 执行角色为平台管理员
2. 存在两个不同奖励档位；另一档概率0%；图标、名称、消耗、次数合法</x:v>
      </x:c>
      <x:c r="J216" s="9" t="str">
        <x:v>1. 进入幸运礼物编辑
2. 填写本档概率100%
3. 点击保存</x:v>
      </x:c>
      <x:c r="K216" s="9" t="str">
        <x:v>该概率配置可保存</x:v>
      </x:c>
      <x:c r="L216" s="10" t="str"/>
      <x:c r="M216" s="10" t="str">
        <x:v>未测</x:v>
      </x:c>
      <x:c r="N216" s="10" t="str"/>
      <x:c r="O216" s="9" t="str">
        <x:v>1. 来源（当前证据）：liveshow-proto/MainBasis/统一需求文档.md；位置：行2830
2. 规则：BR-5ca67557b9043e6e
3. 未动态验证</x:v>
      </x:c>
    </x:row>
    <x:row r="217" ht="70" customHeight="1">
      <x:c r="A217" s="10" t="n">
        <x:v>216</x:v>
      </x:c>
      <x:c r="B217" s="10" t="str">
        <x:v>ADMIN-06-0055</x:v>
      </x:c>
      <x:c r="C217" s="10" t="str">
        <x:v>礼物道具</x:v>
      </x:c>
      <x:c r="D217" s="10" t="str">
        <x:v>幸运礼物编辑（平台管理员视角）</x:v>
      </x:c>
      <x:c r="E217" s="10" t="str">
        <x:v>逻辑校验</x:v>
      </x:c>
      <x:c r="F217" s="10" t="str">
        <x:v>P1</x:v>
      </x:c>
      <x:c r="G217" s="9" t="str">
        <x:v>验证单档中奖概率101%</x:v>
      </x:c>
      <x:c r="H217" s="9" t="str">
        <x:v>中奖概率单档范围</x:v>
      </x:c>
      <x:c r="I217" s="9" t="str">
        <x:v>1. 执行角色为平台管理员
2. 存在两个不同奖励档位；另一档概率-1%；图标、名称、消耗、次数合法</x:v>
      </x:c>
      <x:c r="J217" s="9" t="str">
        <x:v>1. 进入幸运礼物编辑
2. 填写本档概率101%
3. 点击保存</x:v>
      </x:c>
      <x:c r="K217" s="9" t="str">
        <x:v>不能保存含非法单档概率的配置</x:v>
      </x:c>
      <x:c r="L217" s="10" t="str"/>
      <x:c r="M217" s="10" t="str">
        <x:v>未测</x:v>
      </x:c>
      <x:c r="N217" s="10" t="str"/>
      <x:c r="O217" s="9" t="str">
        <x:v>1. 来源（当前证据）：liveshow-proto/MainBasis/统一需求文档.md；位置：行2830
2. 规则：BR-79dfa6afefae9e76
3. 未动态验证</x:v>
      </x:c>
    </x:row>
    <x:row r="218" ht="70" customHeight="1">
      <x:c r="A218" s="10" t="n">
        <x:v>217</x:v>
      </x:c>
      <x:c r="B218" s="10" t="str">
        <x:v>ADMIN-06-0056</x:v>
      </x:c>
      <x:c r="C218" s="10" t="str">
        <x:v>礼物道具</x:v>
      </x:c>
      <x:c r="D218" s="10" t="str">
        <x:v>幸运礼物编辑（平台管理员视角）</x:v>
      </x:c>
      <x:c r="E218" s="10" t="str">
        <x:v>逻辑校验</x:v>
      </x:c>
      <x:c r="F218" s="10" t="str">
        <x:v>P1</x:v>
      </x:c>
      <x:c r="G218" s="9" t="str">
        <x:v>验证RTP原值97.01%按要求向上保留一位</x:v>
      </x:c>
      <x:c r="H218" s="9" t="str">
        <x:v>RTP向上取整</x:v>
      </x:c>
      <x:c r="I218" s="9" t="str">
        <x:v>1. 执行角色为平台管理员
2. 单次消耗100金币；奖励档位100金币概率97.01%，0金币概率2.99%；其他必填合法</x:v>
      </x:c>
      <x:c r="J218" s="9" t="str">
        <x:v>1. 进入幸运礼物编辑
2. 填写上述奖励档位及概率
3. 查看RTP</x:v>
      </x:c>
      <x:c r="K218" s="9" t="str">
        <x:v>RTP向上保留一位小数=97.1%</x:v>
      </x:c>
      <x:c r="L218" s="10" t="str"/>
      <x:c r="M218" s="10" t="str">
        <x:v>未测</x:v>
      </x:c>
      <x:c r="N218" s="10" t="str"/>
      <x:c r="O218" s="9" t="str">
        <x:v>1. 来源（当前证据）：liveshow-proto/MainBasis/统一需求文档.md；位置：行2831
2. 规则：BR-0f4b008a6b012042
3. 未动态验证</x:v>
      </x:c>
    </x:row>
    <x:row r="219" ht="70" customHeight="1">
      <x:c r="A219" s="10" t="n">
        <x:v>218</x:v>
      </x:c>
      <x:c r="B219" s="10" t="str">
        <x:v>ADMIN-06-0057</x:v>
      </x:c>
      <x:c r="C219" s="10" t="str">
        <x:v>礼物道具</x:v>
      </x:c>
      <x:c r="D219" s="10" t="str">
        <x:v>幸运礼物编辑（平台管理员视角）</x:v>
      </x:c>
      <x:c r="E219" s="10" t="str">
        <x:v>逻辑校验</x:v>
      </x:c>
      <x:c r="F219" s="10" t="str">
        <x:v>P1</x:v>
      </x:c>
      <x:c r="G219" s="9" t="str">
        <x:v>验证RTP原值97.1%按要求向上保留一位</x:v>
      </x:c>
      <x:c r="H219" s="9" t="str">
        <x:v>RTP向上取整</x:v>
      </x:c>
      <x:c r="I219" s="9" t="str">
        <x:v>1. 执行角色为平台管理员
2. 单次消耗100金币；奖励档位100金币概率97.1%，0金币概率2.9%；其他必填合法</x:v>
      </x:c>
      <x:c r="J219" s="9" t="str">
        <x:v>1. 进入幸运礼物编辑
2. 填写上述奖励档位及概率
3. 查看RTP</x:v>
      </x:c>
      <x:c r="K219" s="9" t="str">
        <x:v>RTP向上保留一位小数=97.1%</x:v>
      </x:c>
      <x:c r="L219" s="10" t="str"/>
      <x:c r="M219" s="10" t="str">
        <x:v>未测</x:v>
      </x:c>
      <x:c r="N219" s="10" t="str"/>
      <x:c r="O219" s="9" t="str">
        <x:v>1. 来源（当前证据）：liveshow-proto/MainBasis/统一需求文档.md；位置：行2831
2. 规则：BR-c260be18426918e4
3. 未动态验证</x:v>
      </x:c>
    </x:row>
    <x:row r="220" ht="70" customHeight="1">
      <x:c r="A220" s="10" t="n">
        <x:v>219</x:v>
      </x:c>
      <x:c r="B220" s="10" t="str">
        <x:v>ADMIN-06-0058</x:v>
      </x:c>
      <x:c r="C220" s="10" t="str">
        <x:v>礼物道具</x:v>
      </x:c>
      <x:c r="D220" s="10" t="str">
        <x:v>幸运礼物编辑（平台管理员视角）</x:v>
      </x:c>
      <x:c r="E220" s="10" t="str">
        <x:v>功能需求</x:v>
      </x:c>
      <x:c r="F220" s="10" t="str">
        <x:v>P2</x:v>
      </x:c>
      <x:c r="G220" s="9" t="str">
        <x:v>验证修改概率立即刷新RTP</x:v>
      </x:c>
      <x:c r="H220" s="9" t="str">
        <x:v>概率编辑即时计算</x:v>
      </x:c>
      <x:c r="I220" s="9" t="str">
        <x:v>1. 执行角色为平台管理员
2. 单次消耗100；两个奖励档0和100金币，概率各50%</x:v>
      </x:c>
      <x:c r="J220" s="9" t="str">
        <x:v>1. 进入幸运礼物编辑
2. 填写概率为0档40%、100档60%</x:v>
      </x:c>
      <x:c r="K220" s="9" t="str">
        <x:v>RTP显示60%</x:v>
      </x:c>
      <x:c r="L220" s="10" t="str"/>
      <x:c r="M220" s="10" t="str">
        <x:v>未测</x:v>
      </x:c>
      <x:c r="N220" s="10" t="str"/>
      <x:c r="O220" s="9" t="str">
        <x:v>1. 来源（当前证据）：liveshow-proto/MainBasis/统一需求文档.md；位置：行2835
2. 规则：BR-6cd6f371d390458c
3. 未动态验证</x:v>
      </x:c>
    </x:row>
    <x:row r="221" ht="85" customHeight="1">
      <x:c r="A221" s="10" t="n">
        <x:v>220</x:v>
      </x:c>
      <x:c r="B221" s="10" t="str">
        <x:v>ADMIN-06-0059</x:v>
      </x:c>
      <x:c r="C221" s="10" t="str">
        <x:v>礼物道具</x:v>
      </x:c>
      <x:c r="D221" s="10" t="str">
        <x:v>道具配置（平台管理员视角）</x:v>
      </x:c>
      <x:c r="E221" s="10" t="str">
        <x:v>业务流程</x:v>
      </x:c>
      <x:c r="F221" s="10" t="str">
        <x:v>P1</x:v>
      </x:c>
      <x:c r="G221" s="9" t="str">
        <x:v>验证道具类型限于客户端现有三类</x:v>
      </x:c>
      <x:c r="H221" s="9" t="str">
        <x:v>道具类型范围</x:v>
      </x:c>
      <x:c r="I221" s="9" t="str">
        <x:v>1. 执行角色为平台管理员
2. 管理员有道具编辑权限</x:v>
      </x:c>
      <x:c r="J221" s="9" t="str">
        <x:v>1. 进入道具详情
2. 打开道具类型</x:v>
      </x:c>
      <x:c r="K221" s="9" t="str">
        <x:v>只能选择勋章、气泡、头像框</x:v>
      </x:c>
      <x:c r="L221" s="10" t="str"/>
      <x:c r="M221" s="10" t="str">
        <x:v>未测</x:v>
      </x:c>
      <x:c r="N221" s="10" t="str"/>
      <x:c r="O221" s="9" t="str">
        <x:v>1. 来源（当前证据）：liveshow-proto/MainBasis/统一需求文档.md；位置：行2840、行2856
2. 规则：BR-3df8c14c19104059
3. 未动态验证</x:v>
      </x:c>
    </x:row>
    <x:row r="222" ht="70" customHeight="1">
      <x:c r="A222" s="10" t="n">
        <x:v>221</x:v>
      </x:c>
      <x:c r="B222" s="10" t="str">
        <x:v>ADMIN-06-0060</x:v>
      </x:c>
      <x:c r="C222" s="10" t="str">
        <x:v>礼物道具</x:v>
      </x:c>
      <x:c r="D222" s="10" t="str">
        <x:v>道具配置（平台管理员视角）</x:v>
      </x:c>
      <x:c r="E222" s="10" t="str">
        <x:v>功能需求</x:v>
      </x:c>
      <x:c r="F222" s="10" t="str">
        <x:v>P2</x:v>
      </x:c>
      <x:c r="G222" s="9" t="str">
        <x:v>验证道具配置读取道具ID</x:v>
      </x:c>
      <x:c r="H222" s="9" t="str">
        <x:v>道具ID回显</x:v>
      </x:c>
      <x:c r="I222" s="9" t="str">
        <x:v>1. 执行角色为平台管理员
2. 所选道具配置的道具ID为“910001”</x:v>
      </x:c>
      <x:c r="J222" s="9" t="str">
        <x:v>1. 进入道具配置
2. 查看道具ID</x:v>
      </x:c>
      <x:c r="K222" s="9" t="str">
        <x:v>道具ID显示“910001”</x:v>
      </x:c>
      <x:c r="L222" s="10" t="str"/>
      <x:c r="M222" s="10" t="str">
        <x:v>未测</x:v>
      </x:c>
      <x:c r="N222" s="10" t="str"/>
      <x:c r="O222" s="9" t="str">
        <x:v>1. 来源（当前证据）：liveshow-proto/MainBasis/统一需求文档.md；位置：行2841
2. 规则：BR-afb39f6aa2118cbf
3. 未动态验证</x:v>
      </x:c>
    </x:row>
    <x:row r="223" ht="70" customHeight="1">
      <x:c r="A223" s="10" t="n">
        <x:v>222</x:v>
      </x:c>
      <x:c r="B223" s="10" t="str">
        <x:v>ADMIN-06-0061</x:v>
      </x:c>
      <x:c r="C223" s="10" t="str">
        <x:v>礼物道具</x:v>
      </x:c>
      <x:c r="D223" s="10" t="str">
        <x:v>道具详情（平台管理员视角）</x:v>
      </x:c>
      <x:c r="E223" s="10" t="str">
        <x:v>功能需求</x:v>
      </x:c>
      <x:c r="F223" s="10" t="str">
        <x:v>P2</x:v>
      </x:c>
      <x:c r="G223" s="9" t="str">
        <x:v>验证道具详情已创建标识不可修改</x:v>
      </x:c>
      <x:c r="H223" s="9" t="str">
        <x:v>道具ID只读</x:v>
      </x:c>
      <x:c r="I223" s="9" t="str">
        <x:v>1. 执行角色为平台管理员
2. 道具详情对应记录已成功创建</x:v>
      </x:c>
      <x:c r="J223" s="9" t="str">
        <x:v>1. 进入道具详情
2. 点击道具ID</x:v>
      </x:c>
      <x:c r="K223" s="9" t="str">
        <x:v>道具ID不可编辑</x:v>
      </x:c>
      <x:c r="L223" s="10" t="str"/>
      <x:c r="M223" s="10" t="str">
        <x:v>未测</x:v>
      </x:c>
      <x:c r="N223" s="10" t="str"/>
      <x:c r="O223" s="9" t="str">
        <x:v>1. 来源（当前证据）：liveshow-proto/MainBasis/统一需求文档.md；位置：行2854
2. 规则：BR-c2df78c87d1ec464
3. 未动态验证</x:v>
      </x:c>
    </x:row>
    <x:row r="224" ht="85" customHeight="1">
      <x:c r="A224" s="10" t="n">
        <x:v>223</x:v>
      </x:c>
      <x:c r="B224" s="10" t="str">
        <x:v>ADMIN-06-0062</x:v>
      </x:c>
      <x:c r="C224" s="10" t="str">
        <x:v>礼物道具</x:v>
      </x:c>
      <x:c r="D224" s="10" t="str">
        <x:v>道具详情（平台管理员视角）</x:v>
      </x:c>
      <x:c r="E224" s="10" t="str">
        <x:v>逻辑校验</x:v>
      </x:c>
      <x:c r="F224" s="10" t="str">
        <x:v>P1</x:v>
      </x:c>
      <x:c r="G224" s="9" t="str">
        <x:v>验证道具详情缺少中文名称</x:v>
      </x:c>
      <x:c r="H224" s="9" t="str">
        <x:v>中文必填校验</x:v>
      </x:c>
      <x:c r="I224" s="9" t="str">
        <x:v>1. 执行角色为平台管理员
2. 管理员具备当前配置的编辑权限；使用本轮隔离测试记录；除本条修改字段外，其余字段均来自已成功保存的有效配置</x:v>
      </x:c>
      <x:c r="J224" s="9" t="str">
        <x:v>1. 进入道具详情
2. 清空中文名称
3. 点击保存</x:v>
      </x:c>
      <x:c r="K224" s="9" t="str">
        <x:v>不能保存缺少中文名称的配置</x:v>
      </x:c>
      <x:c r="L224" s="10" t="str"/>
      <x:c r="M224" s="10" t="str">
        <x:v>未测</x:v>
      </x:c>
      <x:c r="N224" s="10" t="str"/>
      <x:c r="O224" s="9" t="str">
        <x:v>1. 来源（当前证据）：liveshow-proto/MainBasis/统一需求文档.md；位置：行2855
2. 规则：BR-7325478e5153522a
3. 未动态验证</x:v>
      </x:c>
    </x:row>
    <x:row r="225" ht="85" customHeight="1">
      <x:c r="A225" s="10" t="n">
        <x:v>224</x:v>
      </x:c>
      <x:c r="B225" s="10" t="str">
        <x:v>ADMIN-06-0063</x:v>
      </x:c>
      <x:c r="C225" s="10" t="str">
        <x:v>礼物道具</x:v>
      </x:c>
      <x:c r="D225" s="10" t="str">
        <x:v>道具详情（平台管理员视角）</x:v>
      </x:c>
      <x:c r="E225" s="10" t="str">
        <x:v>逻辑校验</x:v>
      </x:c>
      <x:c r="F225" s="10" t="str">
        <x:v>P1</x:v>
      </x:c>
      <x:c r="G225" s="9" t="str">
        <x:v>验证道具详情缺少英语名称</x:v>
      </x:c>
      <x:c r="H225" s="9" t="str">
        <x:v>英语必填校验</x:v>
      </x:c>
      <x:c r="I225" s="9" t="str">
        <x:v>1. 执行角色为平台管理员
2. 管理员具备当前配置的编辑权限；使用本轮隔离测试记录；除本条修改字段外，其余字段均来自已成功保存的有效配置</x:v>
      </x:c>
      <x:c r="J225" s="9" t="str">
        <x:v>1. 进入道具详情
2. 清空英语名称
3. 点击保存</x:v>
      </x:c>
      <x:c r="K225" s="9" t="str">
        <x:v>不能保存缺少英语名称的配置</x:v>
      </x:c>
      <x:c r="L225" s="10" t="str"/>
      <x:c r="M225" s="10" t="str">
        <x:v>未测</x:v>
      </x:c>
      <x:c r="N225" s="10" t="str"/>
      <x:c r="O225" s="9" t="str">
        <x:v>1. 来源（当前证据）：liveshow-proto/MainBasis/统一需求文档.md；位置：行2855
2. 规则：BR-56c9c46a5e36536f
3. 未动态验证</x:v>
      </x:c>
    </x:row>
    <x:row r="226" ht="85" customHeight="1">
      <x:c r="A226" s="10" t="n">
        <x:v>225</x:v>
      </x:c>
      <x:c r="B226" s="10" t="str">
        <x:v>ADMIN-06-0064</x:v>
      </x:c>
      <x:c r="C226" s="10" t="str">
        <x:v>礼物道具</x:v>
      </x:c>
      <x:c r="D226" s="10" t="str">
        <x:v>道具详情（平台管理员视角）</x:v>
      </x:c>
      <x:c r="E226" s="10" t="str">
        <x:v>逻辑校验</x:v>
      </x:c>
      <x:c r="F226" s="10" t="str">
        <x:v>P1</x:v>
      </x:c>
      <x:c r="G226" s="9" t="str">
        <x:v>验证道具详情缺少印尼语名称</x:v>
      </x:c>
      <x:c r="H226" s="9" t="str">
        <x:v>印尼语必填校验</x:v>
      </x:c>
      <x:c r="I226" s="9" t="str">
        <x:v>1. 执行角色为平台管理员
2. 管理员具备当前配置的编辑权限；使用本轮隔离测试记录；除本条修改字段外，其余字段均来自已成功保存的有效配置</x:v>
      </x:c>
      <x:c r="J226" s="9" t="str">
        <x:v>1. 进入道具详情
2. 清空印尼语名称
3. 点击保存</x:v>
      </x:c>
      <x:c r="K226" s="9" t="str">
        <x:v>不能保存缺少印尼语名称的配置</x:v>
      </x:c>
      <x:c r="L226" s="10" t="str"/>
      <x:c r="M226" s="10" t="str">
        <x:v>未测</x:v>
      </x:c>
      <x:c r="N226" s="10" t="str"/>
      <x:c r="O226" s="9" t="str">
        <x:v>1. 来源（当前证据）：liveshow-proto/MainBasis/统一需求文档.md；位置：行2855
2. 规则：BR-0beee85dfef07d9b
3. 未动态验证</x:v>
      </x:c>
    </x:row>
    <x:row r="227" ht="85" customHeight="1">
      <x:c r="A227" s="10" t="n">
        <x:v>226</x:v>
      </x:c>
      <x:c r="B227" s="10" t="str">
        <x:v>ADMIN-06-0065</x:v>
      </x:c>
      <x:c r="C227" s="10" t="str">
        <x:v>礼物道具</x:v>
      </x:c>
      <x:c r="D227" s="10" t="str">
        <x:v>道具详情（平台管理员视角）</x:v>
      </x:c>
      <x:c r="E227" s="10" t="str">
        <x:v>逻辑校验</x:v>
      </x:c>
      <x:c r="F227" s="10" t="str">
        <x:v>P1</x:v>
      </x:c>
      <x:c r="G227" s="9" t="str">
        <x:v>验证道具详情缺少马来语名称</x:v>
      </x:c>
      <x:c r="H227" s="9" t="str">
        <x:v>马来语必填校验</x:v>
      </x:c>
      <x:c r="I227" s="9" t="str">
        <x:v>1. 执行角色为平台管理员
2. 管理员具备当前配置的编辑权限；使用本轮隔离测试记录；除本条修改字段外，其余字段均来自已成功保存的有效配置</x:v>
      </x:c>
      <x:c r="J227" s="9" t="str">
        <x:v>1. 进入道具详情
2. 清空马来语名称
3. 点击保存</x:v>
      </x:c>
      <x:c r="K227" s="9" t="str">
        <x:v>不能保存缺少马来语名称的配置</x:v>
      </x:c>
      <x:c r="L227" s="10" t="str"/>
      <x:c r="M227" s="10" t="str">
        <x:v>未测</x:v>
      </x:c>
      <x:c r="N227" s="10" t="str"/>
      <x:c r="O227" s="9" t="str">
        <x:v>1. 来源（当前证据）：liveshow-proto/MainBasis/统一需求文档.md；位置：行2855
2. 规则：BR-aa1d20ed0c0c1eb3
3. 未动态验证</x:v>
      </x:c>
    </x:row>
    <x:row r="228" ht="115" customHeight="1">
      <x:c r="A228" s="10" t="n">
        <x:v>227</x:v>
      </x:c>
      <x:c r="B228" s="10" t="str">
        <x:v>ADMIN-06-0066</x:v>
      </x:c>
      <x:c r="C228" s="10" t="str">
        <x:v>礼物道具</x:v>
      </x:c>
      <x:c r="D228" s="10" t="str">
        <x:v>道具详情（平台管理员视角）</x:v>
      </x:c>
      <x:c r="E228" s="10" t="str">
        <x:v>逻辑校验</x:v>
      </x:c>
      <x:c r="F228" s="10" t="str">
        <x:v>P1</x:v>
      </x:c>
      <x:c r="G228" s="9" t="str">
        <x:v>验证道具详情单价输入0</x:v>
      </x:c>
      <x:c r="H228" s="9" t="str">
        <x:v>单价数值边界</x:v>
      </x:c>
      <x:c r="I228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228" s="9" t="str">
        <x:v>1. 进入道具详情
2. 填写单价0
3. 点击保存</x:v>
      </x:c>
      <x:c r="K228" s="9" t="str">
        <x:v>不能保存单价为0的配置</x:v>
      </x:c>
      <x:c r="L228" s="10" t="str"/>
      <x:c r="M228" s="10" t="str">
        <x:v>未测</x:v>
      </x:c>
      <x:c r="N228" s="10" t="str"/>
      <x:c r="O228" s="9" t="str">
        <x:v>1. 来源（当前证据）：liveshow-proto/MainBasis/统一需求文档.md；位置：行2857
2. 规则：BR-c5b28cb789657d9d
3. 未动态验证</x:v>
      </x:c>
    </x:row>
    <x:row r="229" ht="115" customHeight="1">
      <x:c r="A229" s="10" t="n">
        <x:v>228</x:v>
      </x:c>
      <x:c r="B229" s="10" t="str">
        <x:v>ADMIN-06-0067</x:v>
      </x:c>
      <x:c r="C229" s="10" t="str">
        <x:v>礼物道具</x:v>
      </x:c>
      <x:c r="D229" s="10" t="str">
        <x:v>道具详情（平台管理员视角）</x:v>
      </x:c>
      <x:c r="E229" s="10" t="str">
        <x:v>逻辑校验</x:v>
      </x:c>
      <x:c r="F229" s="10" t="str">
        <x:v>P1</x:v>
      </x:c>
      <x:c r="G229" s="9" t="str">
        <x:v>验证道具详情单价输入1</x:v>
      </x:c>
      <x:c r="H229" s="9" t="str">
        <x:v>单价数值边界</x:v>
      </x:c>
      <x:c r="I229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229" s="9" t="str">
        <x:v>1. 进入道具详情
2. 填写单价1
3. 点击保存</x:v>
      </x:c>
      <x:c r="K229" s="9" t="str">
        <x:v>单价保存为1</x:v>
      </x:c>
      <x:c r="L229" s="10" t="str"/>
      <x:c r="M229" s="10" t="str">
        <x:v>未测</x:v>
      </x:c>
      <x:c r="N229" s="10" t="str"/>
      <x:c r="O229" s="9" t="str">
        <x:v>1. 来源（当前证据）：liveshow-proto/MainBasis/统一需求文档.md；位置：行2857
2. 规则：BR-5d90253ad004c539
3. 未动态验证</x:v>
      </x:c>
    </x:row>
    <x:row r="230" ht="115" customHeight="1">
      <x:c r="A230" s="10" t="n">
        <x:v>229</x:v>
      </x:c>
      <x:c r="B230" s="10" t="str">
        <x:v>ADMIN-06-0068</x:v>
      </x:c>
      <x:c r="C230" s="10" t="str">
        <x:v>礼物道具</x:v>
      </x:c>
      <x:c r="D230" s="10" t="str">
        <x:v>道具详情（平台管理员视角）</x:v>
      </x:c>
      <x:c r="E230" s="10" t="str">
        <x:v>逻辑校验</x:v>
      </x:c>
      <x:c r="F230" s="10" t="str">
        <x:v>P1</x:v>
      </x:c>
      <x:c r="G230" s="9" t="str">
        <x:v>验证道具详情单价输入2</x:v>
      </x:c>
      <x:c r="H230" s="9" t="str">
        <x:v>单价数值边界</x:v>
      </x:c>
      <x:c r="I230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230" s="9" t="str">
        <x:v>1. 进入道具详情
2. 填写单价2
3. 点击保存</x:v>
      </x:c>
      <x:c r="K230" s="9" t="str">
        <x:v>单价保存为2</x:v>
      </x:c>
      <x:c r="L230" s="10" t="str"/>
      <x:c r="M230" s="10" t="str">
        <x:v>未测</x:v>
      </x:c>
      <x:c r="N230" s="10" t="str"/>
      <x:c r="O230" s="9" t="str">
        <x:v>1. 来源（当前证据）：liveshow-proto/MainBasis/统一需求文档.md；位置：行2857
2. 规则：BR-4489162edd5273a2
3. 未动态验证</x:v>
      </x:c>
    </x:row>
    <x:row r="231" ht="115" customHeight="1">
      <x:c r="A231" s="10" t="n">
        <x:v>230</x:v>
      </x:c>
      <x:c r="B231" s="10" t="str">
        <x:v>ADMIN-06-0069</x:v>
      </x:c>
      <x:c r="C231" s="10" t="str">
        <x:v>礼物道具</x:v>
      </x:c>
      <x:c r="D231" s="10" t="str">
        <x:v>道具详情（平台管理员视角）</x:v>
      </x:c>
      <x:c r="E231" s="10" t="str">
        <x:v>逻辑校验</x:v>
      </x:c>
      <x:c r="F231" s="10" t="str">
        <x:v>P1</x:v>
      </x:c>
      <x:c r="G231" s="9" t="str">
        <x:v>验证道具详情单价输入1.5</x:v>
      </x:c>
      <x:c r="H231" s="9" t="str">
        <x:v>单价数值边界</x:v>
      </x:c>
      <x:c r="I231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231" s="9" t="str">
        <x:v>1. 进入道具详情
2. 填写单价1.5
3. 点击保存</x:v>
      </x:c>
      <x:c r="K231" s="9" t="str">
        <x:v>不能保存单价为1.5的配置</x:v>
      </x:c>
      <x:c r="L231" s="10" t="str"/>
      <x:c r="M231" s="10" t="str">
        <x:v>未测</x:v>
      </x:c>
      <x:c r="N231" s="10" t="str"/>
      <x:c r="O231" s="9" t="str">
        <x:v>1. 来源（当前证据）：liveshow-proto/MainBasis/统一需求文档.md；位置：行2857
2. 规则：BR-f8929506f2cf1b1e
3. 未动态验证</x:v>
      </x:c>
    </x:row>
    <x:row r="232" ht="70" customHeight="1">
      <x:c r="A232" s="10" t="n">
        <x:v>231</x:v>
      </x:c>
      <x:c r="B232" s="10" t="str">
        <x:v>ADMIN-06-0070</x:v>
      </x:c>
      <x:c r="C232" s="10" t="str">
        <x:v>礼物道具</x:v>
      </x:c>
      <x:c r="D232" s="10" t="str">
        <x:v>道具详情（平台管理员视角）</x:v>
      </x:c>
      <x:c r="E232" s="10" t="str">
        <x:v>业务流程</x:v>
      </x:c>
      <x:c r="F232" s="10" t="str">
        <x:v>P1</x:v>
      </x:c>
      <x:c r="G232" s="9" t="str">
        <x:v>验证道具期限默认当天至30天后</x:v>
      </x:c>
      <x:c r="H232" s="9" t="str">
        <x:v>道具期限默认值</x:v>
      </x:c>
      <x:c r="I232" s="9" t="str">
        <x:v>1. 执行角色为平台管理员
2. 设备业务日期2026年9月15日；新建道具</x:v>
      </x:c>
      <x:c r="J232" s="9" t="str">
        <x:v>1. 进入道具详情</x:v>
      </x:c>
      <x:c r="K232" s="9" t="str">
        <x:v>期限默认2026年9月15日至2026年10月15日</x:v>
      </x:c>
      <x:c r="L232" s="10" t="str"/>
      <x:c r="M232" s="10" t="str">
        <x:v>未测</x:v>
      </x:c>
      <x:c r="N232" s="10" t="str"/>
      <x:c r="O232" s="9" t="str">
        <x:v>1. 来源（当前证据）：liveshow-proto/MainBasis/统一需求文档.md；位置：行2861
2. 规则：BR-314db7ab88401f5b
3. 未动态验证</x:v>
      </x:c>
    </x:row>
    <x:row r="233" ht="70" customHeight="1">
      <x:c r="A233" s="10" t="n">
        <x:v>232</x:v>
      </x:c>
      <x:c r="B233" s="10" t="str">
        <x:v>ADMIN-06-0071</x:v>
      </x:c>
      <x:c r="C233" s="10" t="str">
        <x:v>礼物道具</x:v>
      </x:c>
      <x:c r="D233" s="10" t="str">
        <x:v>道具详情（平台管理员视角）</x:v>
      </x:c>
      <x:c r="E233" s="10" t="str">
        <x:v>业务流程</x:v>
      </x:c>
      <x:c r="F233" s="10" t="str">
        <x:v>P1</x:v>
      </x:c>
      <x:c r="G233" s="9" t="str">
        <x:v>验证道具开始不能早于当天</x:v>
      </x:c>
      <x:c r="H233" s="9" t="str">
        <x:v>道具期限开始边界</x:v>
      </x:c>
      <x:c r="I233" s="9" t="str">
        <x:v>1. 执行角色为平台管理员
2. 业务日期9月15日；其他道具字段合法</x:v>
      </x:c>
      <x:c r="J233" s="9" t="str">
        <x:v>1. 进入道具详情
2. 选择开始9月14日结束10月15日
3. 点击保存</x:v>
      </x:c>
      <x:c r="K233" s="9" t="str">
        <x:v>不能保存早于当天的开始日期</x:v>
      </x:c>
      <x:c r="L233" s="10" t="str"/>
      <x:c r="M233" s="10" t="str">
        <x:v>未测</x:v>
      </x:c>
      <x:c r="N233" s="10" t="str"/>
      <x:c r="O233" s="9" t="str">
        <x:v>1. 来源（当前证据）：liveshow-proto/MainBasis/统一需求文档.md；位置：行2861
2. 规则：BR-8c2dcc6977bd5511
3. 未动态验证</x:v>
      </x:c>
    </x:row>
    <x:row r="234" ht="70" customHeight="1">
      <x:c r="A234" s="10" t="n">
        <x:v>233</x:v>
      </x:c>
      <x:c r="B234" s="10" t="str">
        <x:v>ADMIN-06-0072</x:v>
      </x:c>
      <x:c r="C234" s="10" t="str">
        <x:v>礼物道具</x:v>
      </x:c>
      <x:c r="D234" s="10" t="str">
        <x:v>道具详情（平台管理员视角）</x:v>
      </x:c>
      <x:c r="E234" s="10" t="str">
        <x:v>业务流程</x:v>
      </x:c>
      <x:c r="F234" s="10" t="str">
        <x:v>P1</x:v>
      </x:c>
      <x:c r="G234" s="9" t="str">
        <x:v>验证道具结束等于开始不能保存</x:v>
      </x:c>
      <x:c r="H234" s="9" t="str">
        <x:v>道具期限零长度</x:v>
      </x:c>
      <x:c r="I234" s="9" t="str">
        <x:v>1. 执行角色为平台管理员
2. 其他字段合法</x:v>
      </x:c>
      <x:c r="J234" s="9" t="str">
        <x:v>1. 进入道具详情
2. 选择开始和结束均9月15日
3. 点击保存</x:v>
      </x:c>
      <x:c r="K234" s="9" t="str">
        <x:v>不能保存结束等于开始的期限</x:v>
      </x:c>
      <x:c r="L234" s="10" t="str"/>
      <x:c r="M234" s="10" t="str">
        <x:v>未测</x:v>
      </x:c>
      <x:c r="N234" s="10" t="str"/>
      <x:c r="O234" s="9" t="str">
        <x:v>1. 来源（当前证据）：liveshow-proto/MainBasis/统一需求文档.md；位置：行2861
2. 规则：BR-cf1bf27730307ebd
3. 未动态验证</x:v>
      </x:c>
    </x:row>
    <x:row r="235" ht="115" customHeight="1">
      <x:c r="A235" s="10" t="n">
        <x:v>234</x:v>
      </x:c>
      <x:c r="B235" s="10" t="str">
        <x:v>ADMIN-06-0073</x:v>
      </x:c>
      <x:c r="C235" s="10" t="str">
        <x:v>礼物道具</x:v>
      </x:c>
      <x:c r="D235" s="10" t="str">
        <x:v>道具详情（平台管理员视角）</x:v>
      </x:c>
      <x:c r="E235" s="10" t="str">
        <x:v>功能需求</x:v>
      </x:c>
      <x:c r="F235" s="10" t="str">
        <x:v>P2</x:v>
      </x:c>
      <x:c r="G235" s="9" t="str">
        <x:v>验证道具详情读取操作人</x:v>
      </x:c>
      <x:c r="H235" s="9" t="str">
        <x:v>操作人回显</x:v>
      </x:c>
      <x:c r="I235" s="9" t="str">
        <x:v>1. 执行角色为平台管理员
2. 所选道具的最近保存记录的操作人为“管理员甲”</x:v>
      </x:c>
      <x:c r="J235" s="9" t="str">
        <x:v>1. 进入道具详情
2. 查看操作人</x:v>
      </x:c>
      <x:c r="K235" s="9" t="str">
        <x:v>操作人显示“管理员甲”</x:v>
      </x:c>
      <x:c r="L235" s="10" t="str"/>
      <x:c r="M235" s="10" t="str">
        <x:v>未测</x:v>
      </x:c>
      <x:c r="N235" s="10" t="str"/>
      <x:c r="O235" s="9" t="str">
        <x:v>1. 来源（当前证据）：liveshow-proto/MainBasis/统一需求文档.md；位置：行2862
2. 规则：BR-64f3ef4b48fa7d3f
3. 未动态验证
4. 数据别名：甲、乙、丙用于区分本条测试对象；按前置条件准备并记录实际账号或记录 ID，不是固定业务名称。</x:v>
      </x:c>
    </x:row>
    <x:row r="236" ht="115" customHeight="1">
      <x:c r="A236" s="10" t="n">
        <x:v>235</x:v>
      </x:c>
      <x:c r="B236" s="10" t="str">
        <x:v>ADMIN-06-0074</x:v>
      </x:c>
      <x:c r="C236" s="10" t="str">
        <x:v>礼物道具</x:v>
      </x:c>
      <x:c r="D236" s="10" t="str">
        <x:v>道具详情（平台管理员视角）</x:v>
      </x:c>
      <x:c r="E236" s="10" t="str">
        <x:v>业务流程</x:v>
      </x:c>
      <x:c r="F236" s="10" t="str">
        <x:v>P1</x:v>
      </x:c>
      <x:c r="G236" s="9" t="str">
        <x:v>验证道具保存追加操作记录</x:v>
      </x:c>
      <x:c r="H236" s="9" t="str">
        <x:v>道具修改留痕</x:v>
      </x:c>
      <x:c r="I236" s="9" t="str">
        <x:v>1. 执行角色为平台管理员
2. 管理员甲编辑道具乙；原中文名称旧名</x:v>
      </x:c>
      <x:c r="J236" s="9" t="str">
        <x:v>1. 进入道具乙详情
2. 填写中文名称新名
3. 点击保存
4. 查看操作记录</x:v>
      </x:c>
      <x:c r="K236" s="9" t="str">
        <x:v>新增记录操作人为管理员甲</x:v>
      </x:c>
      <x:c r="L236" s="10" t="str"/>
      <x:c r="M236" s="10" t="str">
        <x:v>未测</x:v>
      </x:c>
      <x:c r="N236" s="10" t="str"/>
      <x:c r="O236" s="9" t="str">
        <x:v>1. 来源（当前证据）：liveshow-proto/MainBasis/统一需求文档.md；位置：行2864
2. 规则：BR-789fe52468fde70b
3. 未动态验证
4. 数据别名：甲、乙、丙用于区分本条测试对象；按前置条件准备并记录实际账号或记录 ID，不是固定业务名称。</x:v>
      </x:c>
    </x:row>
    <x:row r="237" ht="70" customHeight="1">
      <x:c r="A237" s="10" t="n">
        <x:v>236</x:v>
      </x:c>
      <x:c r="B237" s="10" t="str">
        <x:v>ADMIN-06-0075</x:v>
      </x:c>
      <x:c r="C237" s="10" t="str">
        <x:v>礼物道具</x:v>
      </x:c>
      <x:c r="D237" s="10" t="str">
        <x:v>购买份数配置（平台管理员视角）</x:v>
      </x:c>
      <x:c r="E237" s="10" t="str">
        <x:v>功能需求</x:v>
      </x:c>
      <x:c r="F237" s="10" t="str">
        <x:v>P2</x:v>
      </x:c>
      <x:c r="G237" s="9" t="str">
        <x:v>验证购买份数配置读取规则ID</x:v>
      </x:c>
      <x:c r="H237" s="9" t="str">
        <x:v>规则ID回显</x:v>
      </x:c>
      <x:c r="I237" s="9" t="str">
        <x:v>1. 执行角色为平台管理员
2. 所选购买份数规则的规则ID为“920001”</x:v>
      </x:c>
      <x:c r="J237" s="9" t="str">
        <x:v>1. 进入购买份数配置
2. 查看规则ID</x:v>
      </x:c>
      <x:c r="K237" s="9" t="str">
        <x:v>规则ID显示“920001”</x:v>
      </x:c>
      <x:c r="L237" s="10" t="str"/>
      <x:c r="M237" s="10" t="str">
        <x:v>未测</x:v>
      </x:c>
      <x:c r="N237" s="10" t="str"/>
      <x:c r="O237" s="9" t="str">
        <x:v>1. 来源（当前证据）：liveshow-proto/MainBasis/统一需求文档.md；位置：行2869
2. 规则：BR-b95c593a15bdc31f
3. 未动态验证</x:v>
      </x:c>
    </x:row>
    <x:row r="238" ht="70" customHeight="1">
      <x:c r="A238" s="10" t="n">
        <x:v>237</x:v>
      </x:c>
      <x:c r="B238" s="10" t="str">
        <x:v>ADMIN-06-0076</x:v>
      </x:c>
      <x:c r="C238" s="10" t="str">
        <x:v>礼物道具</x:v>
      </x:c>
      <x:c r="D238" s="10" t="str">
        <x:v>购买份数配置（平台管理员视角）</x:v>
      </x:c>
      <x:c r="E238" s="10" t="str">
        <x:v>功能需求</x:v>
      </x:c>
      <x:c r="F238" s="10" t="str">
        <x:v>P2</x:v>
      </x:c>
      <x:c r="G238" s="9" t="str">
        <x:v>验证购买份数配置读取状态</x:v>
      </x:c>
      <x:c r="H238" s="9" t="str">
        <x:v>状态回显</x:v>
      </x:c>
      <x:c r="I238" s="9" t="str">
        <x:v>1. 执行角色为平台管理员
2. 所选购买份数规则的状态为“停用”</x:v>
      </x:c>
      <x:c r="J238" s="9" t="str">
        <x:v>1. 进入购买份数配置
2. 查看状态</x:v>
      </x:c>
      <x:c r="K238" s="9" t="str">
        <x:v>状态显示“停用”</x:v>
      </x:c>
      <x:c r="L238" s="10" t="str"/>
      <x:c r="M238" s="10" t="str">
        <x:v>未测</x:v>
      </x:c>
      <x:c r="N238" s="10" t="str"/>
      <x:c r="O238" s="9" t="str">
        <x:v>1. 来源（当前证据）：liveshow-proto/MainBasis/统一需求文档.md；位置：行2873
2. 规则：BR-61a054f76a40c2fc
3. 未动态验证</x:v>
      </x:c>
    </x:row>
    <x:row r="239" ht="115" customHeight="1">
      <x:c r="A239" s="10" t="n">
        <x:v>238</x:v>
      </x:c>
      <x:c r="B239" s="10" t="str">
        <x:v>ADMIN-06-0077</x:v>
      </x:c>
      <x:c r="C239" s="10" t="str">
        <x:v>礼物道具</x:v>
      </x:c>
      <x:c r="D239" s="10" t="str">
        <x:v>购买份数配置（平台管理员视角）</x:v>
      </x:c>
      <x:c r="E239" s="10" t="str">
        <x:v>业务流程</x:v>
      </x:c>
      <x:c r="F239" s="10" t="str">
        <x:v>P1</x:v>
      </x:c>
      <x:c r="G239" s="9" t="str">
        <x:v>验证停用规则不改历史赠送数量</x:v>
      </x:c>
      <x:c r="H239" s="9" t="str">
        <x:v>连送规则历史保留</x:v>
      </x:c>
      <x:c r="I239" s="9" t="str">
        <x:v>1. 执行角色为平台管理员
2. 甲礼物历史订单按10份成功赠送</x:v>
      </x:c>
      <x:c r="J239" s="9" t="str">
        <x:v>1. 进入购买份数配置
2. 点击停用甲关联规则
3. 点击确认
4. 进入历史消费订单</x:v>
      </x:c>
      <x:c r="K239" s="9" t="str">
        <x:v>历史赠送数量仍为10</x:v>
      </x:c>
      <x:c r="L239" s="10" t="str"/>
      <x:c r="M239" s="10" t="str">
        <x:v>未测</x:v>
      </x:c>
      <x:c r="N239" s="10" t="str"/>
      <x:c r="O239" s="9" t="str">
        <x:v>1. 来源（当前证据）：liveshow-proto/MainBasis/统一需求文档.md；位置：行2874
2. 规则：BR-ca0dd1993e126f6c
3. 未动态验证
4. 数据别名：甲、乙、丙用于区分本条测试对象；按前置条件准备并记录实际账号或记录 ID，不是固定业务名称。</x:v>
      </x:c>
    </x:row>
    <x:row r="240" ht="115" customHeight="1">
      <x:c r="A240" s="10" t="n">
        <x:v>239</x:v>
      </x:c>
      <x:c r="B240" s="10" t="str">
        <x:v>ADMIN-06-0078</x:v>
      </x:c>
      <x:c r="C240" s="10" t="str">
        <x:v>礼物道具</x:v>
      </x:c>
      <x:c r="D240" s="10" t="str">
        <x:v>购买份数配置详情（平台管理员视角）</x:v>
      </x:c>
      <x:c r="E240" s="10" t="str">
        <x:v>业务流程</x:v>
      </x:c>
      <x:c r="F240" s="10" t="str">
        <x:v>P1</x:v>
      </x:c>
      <x:c r="G240" s="9" t="str">
        <x:v>验证赠送数量至少配置一档</x:v>
      </x:c>
      <x:c r="H240" s="9" t="str">
        <x:v>连送配置非空</x:v>
      </x:c>
      <x:c r="I240" s="9" t="str">
        <x:v>1. 执行角色为平台管理员
2. 规则甲允许编辑</x:v>
      </x:c>
      <x:c r="J240" s="9" t="str">
        <x:v>1. 进入购买份数配置详情
2. 删除全部赠送数量
3. 点击保存</x:v>
      </x:c>
      <x:c r="K240" s="9" t="str">
        <x:v>不能保存空赠送数量规则</x:v>
      </x:c>
      <x:c r="L240" s="10" t="str"/>
      <x:c r="M240" s="10" t="str">
        <x:v>未测</x:v>
      </x:c>
      <x:c r="N240" s="10" t="str"/>
      <x:c r="O240" s="9" t="str">
        <x:v>1. 来源（当前证据）：liveshow-proto/MainBasis/统一需求文档.md；位置：行2880
2. 规则：BR-bfb53d3dbd3ab76b
3. 未动态验证
4. 数据别名：甲、乙、丙用于区分本条测试对象；按前置条件准备并记录实际账号或记录 ID，不是固定业务名称。</x:v>
      </x:c>
    </x:row>
    <x:row r="241" ht="70" customHeight="1">
      <x:c r="A241" s="10" t="n">
        <x:v>240</x:v>
      </x:c>
      <x:c r="B241" s="10" t="str">
        <x:v>ADMIN-06-0079</x:v>
      </x:c>
      <x:c r="C241" s="10" t="str">
        <x:v>礼物道具</x:v>
      </x:c>
      <x:c r="D241" s="10" t="str">
        <x:v>购买份数配置详情（平台管理员视角）</x:v>
      </x:c>
      <x:c r="E241" s="10" t="str">
        <x:v>业务流程</x:v>
      </x:c>
      <x:c r="F241" s="10" t="str">
        <x:v>P1</x:v>
      </x:c>
      <x:c r="G241" s="9" t="str">
        <x:v>验证赠送数量重复不能保存</x:v>
      </x:c>
      <x:c r="H241" s="9" t="str">
        <x:v>连送数量唯一</x:v>
      </x:c>
      <x:c r="I241" s="9" t="str">
        <x:v>1. 执行角色为平台管理员
2. 当前数量为1、10</x:v>
      </x:c>
      <x:c r="J241" s="9" t="str">
        <x:v>1. 进入购买份数配置详情
2. 点击添加数量
3. 输入10
4. 点击保存</x:v>
      </x:c>
      <x:c r="K241" s="9" t="str">
        <x:v>不能保存重复的10份档位</x:v>
      </x:c>
      <x:c r="L241" s="10" t="str"/>
      <x:c r="M241" s="10" t="str">
        <x:v>未测</x:v>
      </x:c>
      <x:c r="N241" s="10" t="str"/>
      <x:c r="O241" s="9" t="str">
        <x:v>1. 来源（当前证据）：liveshow-proto/MainBasis/统一需求文档.md；位置：行2880
2. 规则：BR-e35dcbb84db429ba
3. 未动态验证</x:v>
      </x:c>
    </x:row>
    <x:row r="242" ht="85" customHeight="1">
      <x:c r="A242" s="10" t="n">
        <x:v>241</x:v>
      </x:c>
      <x:c r="B242" s="10" t="str">
        <x:v>ADMIN-06-0080</x:v>
      </x:c>
      <x:c r="C242" s="10" t="str">
        <x:v>礼物道具</x:v>
      </x:c>
      <x:c r="D242" s="10" t="str">
        <x:v>购买份数配置详情（平台管理员视角）</x:v>
      </x:c>
      <x:c r="E242" s="10" t="str">
        <x:v>业务流程</x:v>
      </x:c>
      <x:c r="F242" s="10" t="str">
        <x:v>P1</x:v>
      </x:c>
      <x:c r="G242" s="9" t="str">
        <x:v>验证删除数量同步默认选项</x:v>
      </x:c>
      <x:c r="H242" s="9" t="str">
        <x:v>默认赠送数量引用</x:v>
      </x:c>
      <x:c r="I242" s="9" t="str">
        <x:v>1. 执行角色为平台管理员
2. 当前数量1、10、100，默认1</x:v>
      </x:c>
      <x:c r="J242" s="9" t="str">
        <x:v>1. 进入购买份数配置详情
2. 删除数量10
3. 打开默认数量</x:v>
      </x:c>
      <x:c r="K242" s="9" t="str">
        <x:v>默认数量不再提供10</x:v>
      </x:c>
      <x:c r="L242" s="10" t="str"/>
      <x:c r="M242" s="10" t="str">
        <x:v>未测</x:v>
      </x:c>
      <x:c r="N242" s="10" t="str"/>
      <x:c r="O242" s="9" t="str">
        <x:v>1. 来源（当前证据）：liveshow-proto/MainBasis/统一需求文档.md；位置：行2881、行2884
2. 规则：BR-e3ab8afa66113777
3. 未动态验证</x:v>
      </x:c>
    </x:row>
    <x:row r="243" ht="115" customHeight="1">
      <x:c r="A243" s="10" t="n">
        <x:v>242</x:v>
      </x:c>
      <x:c r="B243" s="10" t="str">
        <x:v>ADMIN-06-0081</x:v>
      </x:c>
      <x:c r="C243" s="10" t="str">
        <x:v>礼物道具</x:v>
      </x:c>
      <x:c r="D243" s="10" t="str">
        <x:v>购买份数配置详情（平台管理员视角）</x:v>
      </x:c>
      <x:c r="E243" s="10" t="str">
        <x:v>业务流程</x:v>
      </x:c>
      <x:c r="F243" s="10" t="str">
        <x:v>P1</x:v>
      </x:c>
      <x:c r="G243" s="9" t="str">
        <x:v>验证启用规则的礼物不能重复关联</x:v>
      </x:c>
      <x:c r="H243" s="9" t="str">
        <x:v>连送规则冲突</x:v>
      </x:c>
      <x:c r="I243" s="9" t="str">
        <x:v>1. 执行角色为平台管理员
2. 礼物甲已有启用规则A</x:v>
      </x:c>
      <x:c r="J243" s="9" t="str">
        <x:v>1. 进入新建购买份数规则
2. 点击添加数量
3. 输入1
4. 选择礼物甲
5. 选择启用
6. 点击保存</x:v>
      </x:c>
      <x:c r="K243" s="9" t="str">
        <x:v>不能启用与A冲突的规则</x:v>
      </x:c>
      <x:c r="L243" s="10" t="str"/>
      <x:c r="M243" s="10" t="str">
        <x:v>未测</x:v>
      </x:c>
      <x:c r="N243" s="10" t="str"/>
      <x:c r="O243" s="9" t="str">
        <x:v>1. 来源（当前证据）：liveshow-proto/MainBasis/统一需求文档.md；位置：行2882
2. 规则：BR-ba4328b50f9657d9
3. 未动态验证
4. 数据别名：甲、乙、丙用于区分本条测试对象；按前置条件准备并记录实际账号或记录 ID，不是固定业务名称。</x:v>
      </x:c>
    </x:row>
    <x:row r="244" ht="70" customHeight="1">
      <x:c r="A244" s="10" t="n">
        <x:v>243</x:v>
      </x:c>
      <x:c r="B244" s="10" t="str">
        <x:v>ADMIN-06-0082</x:v>
      </x:c>
      <x:c r="C244" s="10" t="str">
        <x:v>礼物道具</x:v>
      </x:c>
      <x:c r="D244" s="10" t="str">
        <x:v>购买份数配置详情（平台管理员视角）</x:v>
      </x:c>
      <x:c r="E244" s="10" t="str">
        <x:v>业务流程</x:v>
      </x:c>
      <x:c r="F244" s="10" t="str">
        <x:v>P1</x:v>
      </x:c>
      <x:c r="G244" s="9" t="str">
        <x:v>验证购买份数规则必须选择礼物</x:v>
      </x:c>
      <x:c r="H244" s="9" t="str">
        <x:v>规则礼物范围非空</x:v>
      </x:c>
      <x:c r="I244" s="9" t="str">
        <x:v>1. 执行角色为平台管理员
2. 数量1和默认1合法</x:v>
      </x:c>
      <x:c r="J244" s="9" t="str">
        <x:v>1. 进入购买份数配置详情
2. 清空适用礼物
3. 点击保存</x:v>
      </x:c>
      <x:c r="K244" s="9" t="str">
        <x:v>不能保存没有适用礼物的规则</x:v>
      </x:c>
      <x:c r="L244" s="10" t="str"/>
      <x:c r="M244" s="10" t="str">
        <x:v>未测</x:v>
      </x:c>
      <x:c r="N244" s="10" t="str"/>
      <x:c r="O244" s="9" t="str">
        <x:v>1. 来源（当前证据）：liveshow-proto/MainBasis/统一需求文档.md；位置：行2882
2. 规则：BR-ab4519d754798516
3. 未动态验证</x:v>
      </x:c>
    </x:row>
    <x:row r="245" ht="115" customHeight="1">
      <x:c r="A245" s="10" t="n">
        <x:v>244</x:v>
      </x:c>
      <x:c r="B245" s="10" t="str">
        <x:v>ADMIN-07-0001</x:v>
      </x:c>
      <x:c r="C245" s="10" t="str">
        <x:v>运营配置</x:v>
      </x:c>
      <x:c r="D245" s="10" t="str">
        <x:v>展位配置（平台管理员视角）</x:v>
      </x:c>
      <x:c r="E245" s="10" t="str">
        <x:v>功能需求</x:v>
      </x:c>
      <x:c r="F245" s="10" t="str">
        <x:v>P2</x:v>
      </x:c>
      <x:c r="G245" s="9" t="str">
        <x:v>验证周期外展位隐藏</x:v>
      </x:c>
      <x:c r="H245" s="9" t="str">
        <x:v>展位周期外状态</x:v>
      </x:c>
      <x:c r="I245" s="9" t="str">
        <x:v>1. 执行角色为平台管理员
2. 启用展位甲展示日期为9月1日至3日，当前9月4日</x:v>
      </x:c>
      <x:c r="J245" s="9" t="str">
        <x:v>1. 进入展位配置</x:v>
      </x:c>
      <x:c r="K245" s="9" t="str">
        <x:v>甲当前状态为隐藏</x:v>
      </x:c>
      <x:c r="L245" s="10" t="str"/>
      <x:c r="M245" s="10" t="str">
        <x:v>未测</x:v>
      </x:c>
      <x:c r="N245" s="10" t="str"/>
      <x:c r="O245" s="9" t="str">
        <x:v>1. 来源（当前证据）：liveshow-proto/MainBasis/统一需求文档.md；位置：行2892
2. 规则：BR-2df8d6bcd085af84
3. 未动态验证
4. 数据别名：甲、乙、丙用于区分本条测试对象；按前置条件准备并记录实际账号或记录 ID，不是固定业务名称。</x:v>
      </x:c>
    </x:row>
    <x:row r="246" ht="115" customHeight="1">
      <x:c r="A246" s="10" t="n">
        <x:v>245</x:v>
      </x:c>
      <x:c r="B246" s="10" t="str">
        <x:v>ADMIN-07-0002</x:v>
      </x:c>
      <x:c r="C246" s="10" t="str">
        <x:v>运营配置</x:v>
      </x:c>
      <x:c r="D246" s="10" t="str">
        <x:v>展位配置（平台管理员视角）</x:v>
      </x:c>
      <x:c r="E246" s="10" t="str">
        <x:v>业务流程</x:v>
      </x:c>
      <x:c r="F246" s="10" t="str">
        <x:v>P1</x:v>
      </x:c>
      <x:c r="G246" s="9" t="str">
        <x:v>验证同位置两个有效配置排期重叠</x:v>
      </x:c>
      <x:c r="H246" s="9" t="str">
        <x:v>展位排期冲突</x:v>
      </x:c>
      <x:c r="I246" s="9" t="str">
        <x:v>1. 执行角色为平台管理员
2. 配置甲在直播广场9月1日至9月10日有效</x:v>
      </x:c>
      <x:c r="J246" s="9" t="str">
        <x:v>1. 进入新展位配置
2. 选择直播广场
3. 选择9月10日至9月20日
4. 填写合法素材目标
5. 点击保存</x:v>
      </x:c>
      <x:c r="K246" s="9" t="str">
        <x:v>不能保存与甲重叠的新配置</x:v>
      </x:c>
      <x:c r="L246" s="10" t="str"/>
      <x:c r="M246" s="10" t="str">
        <x:v>未测</x:v>
      </x:c>
      <x:c r="N246" s="10" t="str"/>
      <x:c r="O246" s="9" t="str">
        <x:v>1. 来源（当前证据）：liveshow-proto/MainBasis/统一需求文档.md；位置：行2893
2. 规则：BR-04758b61197eb9d0
3. 未动态验证
4. 数据别名：甲、乙、丙用于区分本条测试对象；按前置条件准备并记录实际账号或记录 ID，不是固定业务名称。</x:v>
      </x:c>
    </x:row>
    <x:row r="247" ht="70" customHeight="1">
      <x:c r="A247" s="10" t="n">
        <x:v>246</x:v>
      </x:c>
      <x:c r="B247" s="10" t="str">
        <x:v>ADMIN-07-0003</x:v>
      </x:c>
      <x:c r="C247" s="10" t="str">
        <x:v>运营配置</x:v>
      </x:c>
      <x:c r="D247" s="10" t="str">
        <x:v>展示素材编辑（平台管理员视角）</x:v>
      </x:c>
      <x:c r="E247" s="10" t="str">
        <x:v>业务流程</x:v>
      </x:c>
      <x:c r="F247" s="10" t="str">
        <x:v>P1</x:v>
      </x:c>
      <x:c r="G247" s="9" t="str">
        <x:v>验证第6项轮播不能添加</x:v>
      </x:c>
      <x:c r="H247" s="9" t="str">
        <x:v>轮播内容数量上限</x:v>
      </x:c>
      <x:c r="I247" s="9" t="str">
        <x:v>1. 执行角色为平台管理员
2. 当前配置已有5项</x:v>
      </x:c>
      <x:c r="J247" s="9" t="str">
        <x:v>1. 进入展示素材编辑
2. 点击添加</x:v>
      </x:c>
      <x:c r="K247" s="9" t="str">
        <x:v>不能新增第6项</x:v>
      </x:c>
      <x:c r="L247" s="10" t="str"/>
      <x:c r="M247" s="10" t="str">
        <x:v>未测</x:v>
      </x:c>
      <x:c r="N247" s="10" t="str"/>
      <x:c r="O247" s="9" t="str">
        <x:v>1. 来源（当前证据）：liveshow-proto/MainBasis/统一需求文档.md；位置：行2900
2. 规则：BR-38c5d3e5fe21f617
3. 未动态验证</x:v>
      </x:c>
    </x:row>
    <x:row r="248" ht="115" customHeight="1">
      <x:c r="A248" s="10" t="n">
        <x:v>247</x:v>
      </x:c>
      <x:c r="B248" s="10" t="str">
        <x:v>ADMIN-07-0004</x:v>
      </x:c>
      <x:c r="C248" s="10" t="str">
        <x:v>运营配置</x:v>
      </x:c>
      <x:c r="D248" s="10" t="str">
        <x:v>展示素材编辑（平台管理员视角）</x:v>
      </x:c>
      <x:c r="E248" s="10" t="str">
        <x:v>功能需求</x:v>
      </x:c>
      <x:c r="F248" s="10" t="str">
        <x:v>P2</x:v>
      </x:c>
      <x:c r="G248" s="9" t="str">
        <x:v>验证已上传轮播素材可预览</x:v>
      </x:c>
      <x:c r="H248" s="9" t="str">
        <x:v>轮播素材预览</x:v>
      </x:c>
      <x:c r="I248" s="9" t="str">
        <x:v>1. 执行角色为平台管理员
2. 当前配置含可正常显示图片甲</x:v>
      </x:c>
      <x:c r="J248" s="9" t="str">
        <x:v>1. 进入展位详情
2. 点击图片甲</x:v>
      </x:c>
      <x:c r="K248" s="9" t="str">
        <x:v>打开图片甲预览</x:v>
      </x:c>
      <x:c r="L248" s="10" t="str"/>
      <x:c r="M248" s="10" t="str">
        <x:v>未测</x:v>
      </x:c>
      <x:c r="N248" s="10" t="str"/>
      <x:c r="O248" s="9" t="str">
        <x:v>1. 来源（当前证据）：liveshow-proto/MainBasis/统一需求文档.md；位置：行2901
2. 规则：BR-6580b0c043243f79
3. 未动态验证
4. 数据别名：甲、乙、丙用于区分本条测试对象；按前置条件准备并记录实际账号或记录 ID，不是固定业务名称。</x:v>
      </x:c>
    </x:row>
    <x:row r="249" ht="85" customHeight="1">
      <x:c r="A249" s="10" t="n">
        <x:v>248</x:v>
      </x:c>
      <x:c r="B249" s="10" t="str">
        <x:v>ADMIN-07-0005</x:v>
      </x:c>
      <x:c r="C249" s="10" t="str">
        <x:v>运营配置</x:v>
      </x:c>
      <x:c r="D249" s="10" t="str">
        <x:v>展示素材编辑（平台管理员视角）</x:v>
      </x:c>
      <x:c r="E249" s="10" t="str">
        <x:v>业务流程</x:v>
      </x:c>
      <x:c r="F249" s="10" t="str">
        <x:v>P1</x:v>
      </x:c>
      <x:c r="G249" s="9" t="str">
        <x:v>验证APP跳转未选页面不能保存</x:v>
      </x:c>
      <x:c r="H249" s="9" t="str">
        <x:v>轮播目标页面必选</x:v>
      </x:c>
      <x:c r="I249" s="9" t="str">
        <x:v>1. 执行角色为平台管理员
2. 轮播图片已上传；跳转类型APP已有页面</x:v>
      </x:c>
      <x:c r="J249" s="9" t="str">
        <x:v>1. 进入展示素材编辑
2. 清空目标页面
3. 点击保存</x:v>
      </x:c>
      <x:c r="K249" s="9" t="str">
        <x:v>该行因缺少目标页面不能保存</x:v>
      </x:c>
      <x:c r="L249" s="10" t="str"/>
      <x:c r="M249" s="10" t="str">
        <x:v>未测</x:v>
      </x:c>
      <x:c r="N249" s="10" t="str"/>
      <x:c r="O249" s="9" t="str">
        <x:v>1. 来源（当前证据）：liveshow-proto/MainBasis/统一需求文档.md；位置：行2903、行2909
2. 规则：BR-30158be9237ea67f
3. 未动态验证</x:v>
      </x:c>
    </x:row>
    <x:row r="250" ht="85" customHeight="1">
      <x:c r="A250" s="10" t="n">
        <x:v>249</x:v>
      </x:c>
      <x:c r="B250" s="10" t="str">
        <x:v>ADMIN-07-0006</x:v>
      </x:c>
      <x:c r="C250" s="10" t="str">
        <x:v>运营配置</x:v>
      </x:c>
      <x:c r="D250" s="10" t="str">
        <x:v>展示素材编辑（平台管理员视角）</x:v>
      </x:c>
      <x:c r="E250" s="10" t="str">
        <x:v>业务流程</x:v>
      </x:c>
      <x:c r="F250" s="10" t="str">
        <x:v>P1</x:v>
      </x:c>
      <x:c r="G250" s="9" t="str">
        <x:v>验证活动长图跳转必须有详情长图</x:v>
      </x:c>
      <x:c r="H250" s="9" t="str">
        <x:v>轮播长图资源必填</x:v>
      </x:c>
      <x:c r="I250" s="9" t="str">
        <x:v>1. 执行角色为平台管理员
2. 轮播图片已上传；类型为活动长图页面</x:v>
      </x:c>
      <x:c r="J250" s="9" t="str">
        <x:v>1. 进入展示素材编辑
2. 删除详情长图
3. 点击保存</x:v>
      </x:c>
      <x:c r="K250" s="9" t="str">
        <x:v>该行因缺少详情长图不能保存</x:v>
      </x:c>
      <x:c r="L250" s="10" t="str"/>
      <x:c r="M250" s="10" t="str">
        <x:v>未测</x:v>
      </x:c>
      <x:c r="N250" s="10" t="str"/>
      <x:c r="O250" s="9" t="str">
        <x:v>1. 来源（当前证据）：liveshow-proto/MainBasis/统一需求文档.md；位置：行2903、行2909
2. 规则：BR-d25a0e28bf6ab69b
3. 未动态验证</x:v>
      </x:c>
    </x:row>
    <x:row r="251" ht="70" customHeight="1">
      <x:c r="A251" s="10" t="n">
        <x:v>250</x:v>
      </x:c>
      <x:c r="B251" s="10" t="str">
        <x:v>ADMIN-07-0007</x:v>
      </x:c>
      <x:c r="C251" s="10" t="str">
        <x:v>运营配置</x:v>
      </x:c>
      <x:c r="D251" s="10" t="str">
        <x:v>展示素材编辑（平台管理员视角）</x:v>
      </x:c>
      <x:c r="E251" s="10" t="str">
        <x:v>业务流程</x:v>
      </x:c>
      <x:c r="F251" s="10" t="str">
        <x:v>P1</x:v>
      </x:c>
      <x:c r="G251" s="9" t="str">
        <x:v>验证同配置多项轮播不互相冲突</x:v>
      </x:c>
      <x:c r="H251" s="9" t="str">
        <x:v>轮播共同排期</x:v>
      </x:c>
      <x:c r="I251" s="9" t="str">
        <x:v>1. 执行角色为平台管理员
2. 同一新配置内有两项合法图片和目标；无其他位置排期冲突</x:v>
      </x:c>
      <x:c r="J251" s="9" t="str">
        <x:v>1. 进入展位编辑
2. 选择两项共用9月20日至9月21日
3. 点击保存</x:v>
      </x:c>
      <x:c r="K251" s="9" t="str">
        <x:v>两项轮播配置可保存</x:v>
      </x:c>
      <x:c r="L251" s="10" t="str"/>
      <x:c r="M251" s="10" t="str">
        <x:v>未测</x:v>
      </x:c>
      <x:c r="N251" s="10" t="str"/>
      <x:c r="O251" s="9" t="str">
        <x:v>1. 来源（当前证据）：liveshow-proto/MainBasis/统一需求文档.md；位置：行2905
2. 规则：BR-d4d6f1e241fd846a
3. 未动态验证</x:v>
      </x:c>
    </x:row>
    <x:row r="252" ht="70" customHeight="1">
      <x:c r="A252" s="10" t="n">
        <x:v>251</x:v>
      </x:c>
      <x:c r="B252" s="10" t="str">
        <x:v>ADMIN-07-0008</x:v>
      </x:c>
      <x:c r="C252" s="10" t="str">
        <x:v>运营配置</x:v>
      </x:c>
      <x:c r="D252" s="10" t="str">
        <x:v>展示素材编辑（平台管理员视角）</x:v>
      </x:c>
      <x:c r="E252" s="10" t="str">
        <x:v>业务流程</x:v>
      </x:c>
      <x:c r="F252" s="10" t="str">
        <x:v>P1</x:v>
      </x:c>
      <x:c r="G252" s="9" t="str">
        <x:v>验证最后一项轮播禁止删除</x:v>
      </x:c>
      <x:c r="H252" s="9" t="str">
        <x:v>轮播内容数量下限</x:v>
      </x:c>
      <x:c r="I252" s="9" t="str">
        <x:v>1. 执行角色为平台管理员
2. 当前配置只剩1项</x:v>
      </x:c>
      <x:c r="J252" s="9" t="str">
        <x:v>1. 进入展示素材编辑
2. 点击该项删除</x:v>
      </x:c>
      <x:c r="K252" s="9" t="str">
        <x:v>最后一项仍保留</x:v>
      </x:c>
      <x:c r="L252" s="10" t="str"/>
      <x:c r="M252" s="10" t="str">
        <x:v>未测</x:v>
      </x:c>
      <x:c r="N252" s="10" t="str"/>
      <x:c r="O252" s="9" t="str">
        <x:v>1. 来源（当前证据）：liveshow-proto/MainBasis/统一需求文档.md；位置：行2906
2. 规则：BR-79d36e37208d6c0d
3. 未动态验证</x:v>
      </x:c>
    </x:row>
    <x:row r="253" ht="70" customHeight="1">
      <x:c r="A253" s="10" t="n">
        <x:v>252</x:v>
      </x:c>
      <x:c r="B253" s="10" t="str">
        <x:v>ADMIN-07-0009</x:v>
      </x:c>
      <x:c r="C253" s="10" t="str">
        <x:v>运营配置</x:v>
      </x:c>
      <x:c r="D253" s="10" t="str">
        <x:v>展示素材编辑（平台管理员视角）</x:v>
      </x:c>
      <x:c r="E253" s="10" t="str">
        <x:v>业务流程</x:v>
      </x:c>
      <x:c r="F253" s="10" t="str">
        <x:v>P1</x:v>
      </x:c>
      <x:c r="G253" s="9" t="str">
        <x:v>验证删除已保存素材需确认</x:v>
      </x:c>
      <x:c r="H253" s="9" t="str">
        <x:v>轮播持久内容删除确认</x:v>
      </x:c>
      <x:c r="I253" s="9" t="str">
        <x:v>1. 执行角色为平台管理员
2. 配置有2项已保存内容</x:v>
      </x:c>
      <x:c r="J253" s="9" t="str">
        <x:v>1. 进入展示素材编辑
2. 点击第2项删除</x:v>
      </x:c>
      <x:c r="K253" s="9" t="str">
        <x:v>显示删除确认</x:v>
      </x:c>
      <x:c r="L253" s="10" t="str"/>
      <x:c r="M253" s="10" t="str">
        <x:v>未测</x:v>
      </x:c>
      <x:c r="N253" s="10" t="str"/>
      <x:c r="O253" s="9" t="str">
        <x:v>1. 来源（当前证据）：liveshow-proto/MainBasis/统一需求文档.md；位置：行2906
2. 规则：BR-fcd0572d58161667
3. 未动态验证</x:v>
      </x:c>
    </x:row>
    <x:row r="254" ht="70" customHeight="1">
      <x:c r="A254" s="10" t="n">
        <x:v>253</x:v>
      </x:c>
      <x:c r="B254" s="10" t="str">
        <x:v>ADMIN-07-0010</x:v>
      </x:c>
      <x:c r="C254" s="10" t="str">
        <x:v>运营配置</x:v>
      </x:c>
      <x:c r="D254" s="10" t="str">
        <x:v>展示素材编辑（平台管理员视角）</x:v>
      </x:c>
      <x:c r="E254" s="10" t="str">
        <x:v>业务流程</x:v>
      </x:c>
      <x:c r="F254" s="10" t="str">
        <x:v>P1</x:v>
      </x:c>
      <x:c r="G254" s="9" t="str">
        <x:v>验证删除未保存素材无需确认</x:v>
      </x:c>
      <x:c r="H254" s="9" t="str">
        <x:v>轮播草稿删除</x:v>
      </x:c>
      <x:c r="I254" s="9" t="str">
        <x:v>1. 执行角色为平台管理员
2. 配置有1项已保存内容和1项新添加未保存项</x:v>
      </x:c>
      <x:c r="J254" s="9" t="str">
        <x:v>1. 进入展示素材编辑
2. 点击新项删除</x:v>
      </x:c>
      <x:c r="K254" s="9" t="str">
        <x:v>新添加项直接移除</x:v>
      </x:c>
      <x:c r="L254" s="10" t="str"/>
      <x:c r="M254" s="10" t="str">
        <x:v>未测</x:v>
      </x:c>
      <x:c r="N254" s="10" t="str"/>
      <x:c r="O254" s="9" t="str">
        <x:v>1. 来源（当前证据）：liveshow-proto/MainBasis/统一需求文档.md；位置：行2906
2. 规则：BR-5bb2917c1cbddf1a
3. 未动态验证</x:v>
      </x:c>
    </x:row>
    <x:row r="255" ht="115" customHeight="1">
      <x:c r="A255" s="10" t="n">
        <x:v>254</x:v>
      </x:c>
      <x:c r="B255" s="10" t="str">
        <x:v>ADMIN-07-0011</x:v>
      </x:c>
      <x:c r="C255" s="10" t="str">
        <x:v>运营配置</x:v>
      </x:c>
      <x:c r="D255" s="10" t="str">
        <x:v>展示素材编辑（平台管理员视角）</x:v>
      </x:c>
      <x:c r="E255" s="10" t="str">
        <x:v>业务流程</x:v>
      </x:c>
      <x:c r="F255" s="10" t="str">
        <x:v>P1</x:v>
      </x:c>
      <x:c r="G255" s="9" t="str">
        <x:v>验证拖动轮播项更新顺序</x:v>
      </x:c>
      <x:c r="H255" s="9" t="str">
        <x:v>轮播顺序保存</x:v>
      </x:c>
      <x:c r="I255" s="9" t="str">
        <x:v>1. 执行角色为平台管理员
2. 当前轮播内容顺序甲乙丙，各字段合法</x:v>
      </x:c>
      <x:c r="J255" s="9" t="str">
        <x:v>1. 进入展示素材编辑
2. 拖动丙至第1项
3. 点击保存
4. 刷新详情</x:v>
      </x:c>
      <x:c r="K255" s="9" t="str">
        <x:v>轮播顺序为丙甲乙</x:v>
      </x:c>
      <x:c r="L255" s="10" t="str"/>
      <x:c r="M255" s="10" t="str">
        <x:v>未测</x:v>
      </x:c>
      <x:c r="N255" s="10" t="str"/>
      <x:c r="O255" s="9" t="str">
        <x:v>1. 来源（当前证据）：liveshow-proto/MainBasis/统一需求文档.md；位置：行2907
2. 规则：BR-112bb6e8efeacb4f
3. 未动态验证
4. 数据别名：甲、乙、丙用于区分本条测试对象；按前置条件准备并记录实际账号或记录 ID，不是固定业务名称。</x:v>
      </x:c>
    </x:row>
    <x:row r="256" ht="70" customHeight="1">
      <x:c r="A256" s="10" t="n">
        <x:v>255</x:v>
      </x:c>
      <x:c r="B256" s="10" t="str">
        <x:v>ADMIN-07-0012</x:v>
      </x:c>
      <x:c r="C256" s="10" t="str">
        <x:v>运营配置</x:v>
      </x:c>
      <x:c r="D256" s="10" t="str">
        <x:v>展示素材编辑（平台管理员视角）</x:v>
      </x:c>
      <x:c r="E256" s="10" t="str">
        <x:v>功能需求</x:v>
      </x:c>
      <x:c r="F256" s="10" t="str">
        <x:v>P2</x:v>
      </x:c>
      <x:c r="G256" s="9" t="str">
        <x:v>验证切换活动长图显示上传入口</x:v>
      </x:c>
      <x:c r="H256" s="9" t="str">
        <x:v>展位跳转类型联动</x:v>
      </x:c>
      <x:c r="I256" s="9" t="str">
        <x:v>1. 执行角色为平台管理员
2. 当前展位跳转类型为APP已有页面</x:v>
      </x:c>
      <x:c r="J256" s="9" t="str">
        <x:v>1. 进入展位详情
2. 选择活动长图页面</x:v>
      </x:c>
      <x:c r="K256" s="9" t="str">
        <x:v>显示活动长图上传入口</x:v>
      </x:c>
      <x:c r="L256" s="10" t="str"/>
      <x:c r="M256" s="10" t="str">
        <x:v>未测</x:v>
      </x:c>
      <x:c r="N256" s="10" t="str"/>
      <x:c r="O256" s="9" t="str">
        <x:v>1. 来源（当前证据）：liveshow-proto/MainBasis/统一需求文档.md；位置：行2908
2. 规则：BR-c97b5ff551c3a253
3. 未动态验证</x:v>
      </x:c>
    </x:row>
    <x:row r="257" ht="70" customHeight="1">
      <x:c r="A257" s="10" t="n">
        <x:v>256</x:v>
      </x:c>
      <x:c r="B257" s="10" t="str">
        <x:v>ADMIN-07-0013</x:v>
      </x:c>
      <x:c r="C257" s="10" t="str">
        <x:v>运营配置</x:v>
      </x:c>
      <x:c r="D257" s="10" t="str">
        <x:v>展示素材编辑（平台管理员视角）</x:v>
      </x:c>
      <x:c r="E257" s="10" t="str">
        <x:v>功能需求</x:v>
      </x:c>
      <x:c r="F257" s="10" t="str">
        <x:v>P2</x:v>
      </x:c>
      <x:c r="G257" s="9" t="str">
        <x:v>验证切回APP页面显示选择器</x:v>
      </x:c>
      <x:c r="H257" s="9" t="str">
        <x:v>展位页面目标选择</x:v>
      </x:c>
      <x:c r="I257" s="9" t="str">
        <x:v>1. 执行角色为平台管理员
2. 当前类型为活动长图页面</x:v>
      </x:c>
      <x:c r="J257" s="9" t="str">
        <x:v>1. 进入展位详情
2. 选择APP已有页面</x:v>
      </x:c>
      <x:c r="K257" s="9" t="str">
        <x:v>显示目标页面选择器</x:v>
      </x:c>
      <x:c r="L257" s="10" t="str"/>
      <x:c r="M257" s="10" t="str">
        <x:v>未测</x:v>
      </x:c>
      <x:c r="N257" s="10" t="str"/>
      <x:c r="O257" s="9" t="str">
        <x:v>1. 来源（当前证据）：liveshow-proto/MainBasis/统一需求文档.md；位置：行2908
2. 规则：BR-6b51c5c3367e7353
3. 未动态验证</x:v>
      </x:c>
    </x:row>
    <x:row r="258" ht="70" customHeight="1">
      <x:c r="A258" s="10" t="n">
        <x:v>257</x:v>
      </x:c>
      <x:c r="B258" s="10" t="str">
        <x:v>ADMIN-07-0014</x:v>
      </x:c>
      <x:c r="C258" s="10" t="str">
        <x:v>运营配置</x:v>
      </x:c>
      <x:c r="D258" s="10" t="str">
        <x:v>推送管理（平台管理员视角）</x:v>
      </x:c>
      <x:c r="E258" s="10" t="str">
        <x:v>功能需求</x:v>
      </x:c>
      <x:c r="F258" s="10" t="str">
        <x:v>P2</x:v>
      </x:c>
      <x:c r="G258" s="9" t="str">
        <x:v>验证推送管理读取中文标题</x:v>
      </x:c>
      <x:c r="H258" s="9" t="str">
        <x:v>中文标题回显</x:v>
      </x:c>
      <x:c r="I258" s="9" t="str">
        <x:v>1. 执行角色为平台管理员
2. 所选推送中文标题配置的中文标题为“平台活动”</x:v>
      </x:c>
      <x:c r="J258" s="9" t="str">
        <x:v>1. 进入推送管理
2. 查看中文标题</x:v>
      </x:c>
      <x:c r="K258" s="9" t="str">
        <x:v>中文标题显示“平台活动”</x:v>
      </x:c>
      <x:c r="L258" s="10" t="str"/>
      <x:c r="M258" s="10" t="str">
        <x:v>未测</x:v>
      </x:c>
      <x:c r="N258" s="10" t="str"/>
      <x:c r="O258" s="9" t="str">
        <x:v>1. 来源（当前证据）：liveshow-proto/MainBasis/统一需求文档.md；位置：行2914
2. 规则：BR-6daf8bf63cc2c6ff
3. 未动态验证</x:v>
      </x:c>
    </x:row>
    <x:row r="259" ht="70" customHeight="1">
      <x:c r="A259" s="10" t="n">
        <x:v>258</x:v>
      </x:c>
      <x:c r="B259" s="10" t="str">
        <x:v>ADMIN-07-0015</x:v>
      </x:c>
      <x:c r="C259" s="10" t="str">
        <x:v>运营配置</x:v>
      </x:c>
      <x:c r="D259" s="10" t="str">
        <x:v>推送管理（平台管理员视角）</x:v>
      </x:c>
      <x:c r="E259" s="10" t="str">
        <x:v>功能需求</x:v>
      </x:c>
      <x:c r="F259" s="10" t="str">
        <x:v>P2</x:v>
      </x:c>
      <x:c r="G259" s="9" t="str">
        <x:v>验证推送管理读取目标用户</x:v>
      </x:c>
      <x:c r="H259" s="9" t="str">
        <x:v>目标用户回显</x:v>
      </x:c>
      <x:c r="I259" s="9" t="str">
        <x:v>1. 执行角色为平台管理员
2. 所选推送目标配置的目标用户为“全部用户”</x:v>
      </x:c>
      <x:c r="J259" s="9" t="str">
        <x:v>1. 进入推送管理
2. 查看目标用户</x:v>
      </x:c>
      <x:c r="K259" s="9" t="str">
        <x:v>目标用户显示“全部用户”</x:v>
      </x:c>
      <x:c r="L259" s="10" t="str"/>
      <x:c r="M259" s="10" t="str">
        <x:v>未测</x:v>
      </x:c>
      <x:c r="N259" s="10" t="str"/>
      <x:c r="O259" s="9" t="str">
        <x:v>1. 来源（当前证据）：liveshow-proto/MainBasis/统一需求文档.md；位置：行2915
2. 规则：BR-f9ef6fad4f8b8f0f
3. 未动态验证</x:v>
      </x:c>
    </x:row>
    <x:row r="260" ht="115" customHeight="1">
      <x:c r="A260" s="10" t="n">
        <x:v>259</x:v>
      </x:c>
      <x:c r="B260" s="10" t="str">
        <x:v>ADMIN-07-0016</x:v>
      </x:c>
      <x:c r="C260" s="10" t="str">
        <x:v>运营配置</x:v>
      </x:c>
      <x:c r="D260" s="10" t="str">
        <x:v>推送管理（平台管理员视角）</x:v>
      </x:c>
      <x:c r="E260" s="10" t="str">
        <x:v>业务流程</x:v>
      </x:c>
      <x:c r="F260" s="10" t="str">
        <x:v>P1</x:v>
      </x:c>
      <x:c r="G260" s="9" t="str">
        <x:v>验证已发送推送任务只读</x:v>
      </x:c>
      <x:c r="H260" s="9" t="str">
        <x:v>推送已发送终态</x:v>
      </x:c>
      <x:c r="I260" s="9" t="str">
        <x:v>1. 执行角色为平台管理员
2. 推送甲已发送</x:v>
      </x:c>
      <x:c r="J260" s="9" t="str">
        <x:v>1. 进入推送管理
2. 打开甲</x:v>
      </x:c>
      <x:c r="K260" s="9" t="str">
        <x:v>甲的发送任务和结果只读</x:v>
      </x:c>
      <x:c r="L260" s="10" t="str"/>
      <x:c r="M260" s="10" t="str">
        <x:v>未测</x:v>
      </x:c>
      <x:c r="N260" s="10" t="str"/>
      <x:c r="O260" s="9" t="str">
        <x:v>1. 来源（当前证据）：liveshow-proto/MainBasis/统一需求文档.md；位置：行2918
2. 规则：BR-d979f7f746eb721d
3. 未动态验证
4. 数据别名：甲、乙、丙用于区分本条测试对象；按前置条件准备并记录实际账号或记录 ID，不是固定业务名称。</x:v>
      </x:c>
    </x:row>
    <x:row r="261" ht="115" customHeight="1">
      <x:c r="A261" s="10" t="n">
        <x:v>260</x:v>
      </x:c>
      <x:c r="B261" s="10" t="str">
        <x:v>ADMIN-07-0017</x:v>
      </x:c>
      <x:c r="C261" s="10" t="str">
        <x:v>运营配置</x:v>
      </x:c>
      <x:c r="D261" s="10" t="str">
        <x:v>推送配置（平台管理员视角）</x:v>
      </x:c>
      <x:c r="E261" s="10" t="str">
        <x:v>功能需求</x:v>
      </x:c>
      <x:c r="F261" s="10" t="str">
        <x:v>P2</x:v>
      </x:c>
      <x:c r="G261" s="9" t="str">
        <x:v>验证已创建推送ID不可编辑</x:v>
      </x:c>
      <x:c r="H261" s="9" t="str">
        <x:v>推送标识只读</x:v>
      </x:c>
      <x:c r="I261" s="9" t="str">
        <x:v>1. 执行角色为平台管理员
2. 推送甲已创建尚未发送</x:v>
      </x:c>
      <x:c r="J261" s="9" t="str">
        <x:v>1. 进入甲推送配置
2. 点击ID</x:v>
      </x:c>
      <x:c r="K261" s="9" t="str">
        <x:v>推送ID不可编辑</x:v>
      </x:c>
      <x:c r="L261" s="10" t="str"/>
      <x:c r="M261" s="10" t="str">
        <x:v>未测</x:v>
      </x:c>
      <x:c r="N261" s="10" t="str"/>
      <x:c r="O261" s="9" t="str">
        <x:v>1. 来源（当前证据）：liveshow-proto/MainBasis/统一需求文档.md；位置：行2924
2. 规则：BR-602e9c48c50e3122
3. 未动态验证
4. 数据别名：甲、乙、丙用于区分本条测试对象；按前置条件准备并记录实际账号或记录 ID，不是固定业务名称。</x:v>
      </x:c>
    </x:row>
    <x:row r="262" ht="85" customHeight="1">
      <x:c r="A262" s="10" t="n">
        <x:v>261</x:v>
      </x:c>
      <x:c r="B262" s="10" t="str">
        <x:v>ADMIN-07-0018</x:v>
      </x:c>
      <x:c r="C262" s="10" t="str">
        <x:v>运营配置</x:v>
      </x:c>
      <x:c r="D262" s="10" t="str">
        <x:v>推送配置（平台管理员视角）</x:v>
      </x:c>
      <x:c r="E262" s="10" t="str">
        <x:v>逻辑校验</x:v>
      </x:c>
      <x:c r="F262" s="10" t="str">
        <x:v>P1</x:v>
      </x:c>
      <x:c r="G262" s="9" t="str">
        <x:v>验证推送配置缺少中文名称</x:v>
      </x:c>
      <x:c r="H262" s="9" t="str">
        <x:v>中文必填校验</x:v>
      </x:c>
      <x:c r="I262" s="9" t="str">
        <x:v>1. 执行角色为平台管理员
2. 管理员具备当前配置的编辑权限；使用本轮隔离测试记录；除本条修改字段外，其余字段均来自已成功保存的有效配置</x:v>
      </x:c>
      <x:c r="J262" s="9" t="str">
        <x:v>1. 进入推送配置
2. 清空中文标题
3. 点击立即发送</x:v>
      </x:c>
      <x:c r="K262" s="9" t="str">
        <x:v>不能保存缺少中文标题的配置</x:v>
      </x:c>
      <x:c r="L262" s="10" t="str"/>
      <x:c r="M262" s="10" t="str">
        <x:v>未测</x:v>
      </x:c>
      <x:c r="N262" s="10" t="str"/>
      <x:c r="O262" s="9" t="str">
        <x:v>1. 来源（当前证据）：liveshow-proto/MainBasis/统一需求文档.md；位置：行2925
2. 规则：BR-fd4cdf7285686d8f
3. 未动态验证</x:v>
      </x:c>
    </x:row>
    <x:row r="263" ht="85" customHeight="1">
      <x:c r="A263" s="10" t="n">
        <x:v>262</x:v>
      </x:c>
      <x:c r="B263" s="10" t="str">
        <x:v>ADMIN-07-0019</x:v>
      </x:c>
      <x:c r="C263" s="10" t="str">
        <x:v>运营配置</x:v>
      </x:c>
      <x:c r="D263" s="10" t="str">
        <x:v>推送配置（平台管理员视角）</x:v>
      </x:c>
      <x:c r="E263" s="10" t="str">
        <x:v>逻辑校验</x:v>
      </x:c>
      <x:c r="F263" s="10" t="str">
        <x:v>P1</x:v>
      </x:c>
      <x:c r="G263" s="9" t="str">
        <x:v>验证推送配置缺少英语名称</x:v>
      </x:c>
      <x:c r="H263" s="9" t="str">
        <x:v>英语必填校验</x:v>
      </x:c>
      <x:c r="I263" s="9" t="str">
        <x:v>1. 执行角色为平台管理员
2. 管理员具备当前配置的编辑权限；使用本轮隔离测试记录；除本条修改字段外，其余字段均来自已成功保存的有效配置</x:v>
      </x:c>
      <x:c r="J263" s="9" t="str">
        <x:v>1. 进入推送配置
2. 清空英语标题
3. 点击立即发送</x:v>
      </x:c>
      <x:c r="K263" s="9" t="str">
        <x:v>不能保存缺少英语标题的配置</x:v>
      </x:c>
      <x:c r="L263" s="10" t="str"/>
      <x:c r="M263" s="10" t="str">
        <x:v>未测</x:v>
      </x:c>
      <x:c r="N263" s="10" t="str"/>
      <x:c r="O263" s="9" t="str">
        <x:v>1. 来源（当前证据）：liveshow-proto/MainBasis/统一需求文档.md；位置：行2925
2. 规则：BR-867c250556f7dc8f
3. 未动态验证</x:v>
      </x:c>
    </x:row>
    <x:row r="264" ht="85" customHeight="1">
      <x:c r="A264" s="10" t="n">
        <x:v>263</x:v>
      </x:c>
      <x:c r="B264" s="10" t="str">
        <x:v>ADMIN-07-0020</x:v>
      </x:c>
      <x:c r="C264" s="10" t="str">
        <x:v>运营配置</x:v>
      </x:c>
      <x:c r="D264" s="10" t="str">
        <x:v>推送配置（平台管理员视角）</x:v>
      </x:c>
      <x:c r="E264" s="10" t="str">
        <x:v>逻辑校验</x:v>
      </x:c>
      <x:c r="F264" s="10" t="str">
        <x:v>P1</x:v>
      </x:c>
      <x:c r="G264" s="9" t="str">
        <x:v>验证推送配置缺少印尼语名称</x:v>
      </x:c>
      <x:c r="H264" s="9" t="str">
        <x:v>印尼语必填校验</x:v>
      </x:c>
      <x:c r="I264" s="9" t="str">
        <x:v>1. 执行角色为平台管理员
2. 管理员具备当前配置的编辑权限；使用本轮隔离测试记录；除本条修改字段外，其余字段均来自已成功保存的有效配置</x:v>
      </x:c>
      <x:c r="J264" s="9" t="str">
        <x:v>1. 进入推送配置
2. 清空印尼语标题
3. 点击立即发送</x:v>
      </x:c>
      <x:c r="K264" s="9" t="str">
        <x:v>不能保存缺少印尼语标题的配置</x:v>
      </x:c>
      <x:c r="L264" s="10" t="str"/>
      <x:c r="M264" s="10" t="str">
        <x:v>未测</x:v>
      </x:c>
      <x:c r="N264" s="10" t="str"/>
      <x:c r="O264" s="9" t="str">
        <x:v>1. 来源（当前证据）：liveshow-proto/MainBasis/统一需求文档.md；位置：行2925
2. 规则：BR-b567ef28d982c8c6
3. 未动态验证</x:v>
      </x:c>
    </x:row>
    <x:row r="265" ht="85" customHeight="1">
      <x:c r="A265" s="10" t="n">
        <x:v>264</x:v>
      </x:c>
      <x:c r="B265" s="10" t="str">
        <x:v>ADMIN-07-0021</x:v>
      </x:c>
      <x:c r="C265" s="10" t="str">
        <x:v>运营配置</x:v>
      </x:c>
      <x:c r="D265" s="10" t="str">
        <x:v>推送配置（平台管理员视角）</x:v>
      </x:c>
      <x:c r="E265" s="10" t="str">
        <x:v>逻辑校验</x:v>
      </x:c>
      <x:c r="F265" s="10" t="str">
        <x:v>P1</x:v>
      </x:c>
      <x:c r="G265" s="9" t="str">
        <x:v>验证推送配置缺少马来语名称</x:v>
      </x:c>
      <x:c r="H265" s="9" t="str">
        <x:v>马来语必填校验</x:v>
      </x:c>
      <x:c r="I265" s="9" t="str">
        <x:v>1. 执行角色为平台管理员
2. 管理员具备当前配置的编辑权限；使用本轮隔离测试记录；除本条修改字段外，其余字段均来自已成功保存的有效配置</x:v>
      </x:c>
      <x:c r="J265" s="9" t="str">
        <x:v>1. 进入推送配置
2. 清空马来语标题
3. 点击立即发送</x:v>
      </x:c>
      <x:c r="K265" s="9" t="str">
        <x:v>不能保存缺少马来语标题的配置</x:v>
      </x:c>
      <x:c r="L265" s="10" t="str"/>
      <x:c r="M265" s="10" t="str">
        <x:v>未测</x:v>
      </x:c>
      <x:c r="N265" s="10" t="str"/>
      <x:c r="O265" s="9" t="str">
        <x:v>1. 来源（当前证据）：liveshow-proto/MainBasis/统一需求文档.md；位置：行2925
2. 规则：BR-944ccb2228de034b
3. 未动态验证</x:v>
      </x:c>
    </x:row>
    <x:row r="266" ht="85" customHeight="1">
      <x:c r="A266" s="10" t="n">
        <x:v>265</x:v>
      </x:c>
      <x:c r="B266" s="10" t="str">
        <x:v>ADMIN-07-0022</x:v>
      </x:c>
      <x:c r="C266" s="10" t="str">
        <x:v>运营配置</x:v>
      </x:c>
      <x:c r="D266" s="10" t="str">
        <x:v>推送配置（平台管理员视角）</x:v>
      </x:c>
      <x:c r="E266" s="10" t="str">
        <x:v>逻辑校验</x:v>
      </x:c>
      <x:c r="F266" s="10" t="str">
        <x:v>P1</x:v>
      </x:c>
      <x:c r="G266" s="9" t="str">
        <x:v>验证推送缺少中文正文</x:v>
      </x:c>
      <x:c r="H266" s="9" t="str">
        <x:v>中文推送正文必填</x:v>
      </x:c>
      <x:c r="I266" s="9" t="str">
        <x:v>1. 执行角色为平台管理员
2. 管理员具备当前配置的编辑权限；使用本轮隔离测试记录；除本条修改字段外，其余字段均来自已成功保存的有效配置</x:v>
      </x:c>
      <x:c r="J266" s="9" t="str">
        <x:v>1. 进入推送配置
2. 清空中文内容
3. 点击立即发送</x:v>
      </x:c>
      <x:c r="K266" s="9" t="str">
        <x:v>不能发送缺少中文内容的推送</x:v>
      </x:c>
      <x:c r="L266" s="10" t="str"/>
      <x:c r="M266" s="10" t="str">
        <x:v>未测</x:v>
      </x:c>
      <x:c r="N266" s="10" t="str"/>
      <x:c r="O266" s="9" t="str">
        <x:v>1. 来源（当前证据）：liveshow-proto/MainBasis/统一需求文档.md；位置：行2925
2. 规则：BR-ceed2c6ca3a5f66a
3. 未动态验证</x:v>
      </x:c>
    </x:row>
    <x:row r="267" ht="85" customHeight="1">
      <x:c r="A267" s="10" t="n">
        <x:v>266</x:v>
      </x:c>
      <x:c r="B267" s="10" t="str">
        <x:v>ADMIN-07-0023</x:v>
      </x:c>
      <x:c r="C267" s="10" t="str">
        <x:v>运营配置</x:v>
      </x:c>
      <x:c r="D267" s="10" t="str">
        <x:v>推送配置（平台管理员视角）</x:v>
      </x:c>
      <x:c r="E267" s="10" t="str">
        <x:v>逻辑校验</x:v>
      </x:c>
      <x:c r="F267" s="10" t="str">
        <x:v>P1</x:v>
      </x:c>
      <x:c r="G267" s="9" t="str">
        <x:v>验证推送缺少英语正文</x:v>
      </x:c>
      <x:c r="H267" s="9" t="str">
        <x:v>英语推送正文必填</x:v>
      </x:c>
      <x:c r="I267" s="9" t="str">
        <x:v>1. 执行角色为平台管理员
2. 管理员具备当前配置的编辑权限；使用本轮隔离测试记录；除本条修改字段外，其余字段均来自已成功保存的有效配置</x:v>
      </x:c>
      <x:c r="J267" s="9" t="str">
        <x:v>1. 进入推送配置
2. 清空英语内容
3. 点击立即发送</x:v>
      </x:c>
      <x:c r="K267" s="9" t="str">
        <x:v>不能发送缺少英语内容的推送</x:v>
      </x:c>
      <x:c r="L267" s="10" t="str"/>
      <x:c r="M267" s="10" t="str">
        <x:v>未测</x:v>
      </x:c>
      <x:c r="N267" s="10" t="str"/>
      <x:c r="O267" s="9" t="str">
        <x:v>1. 来源（当前证据）：liveshow-proto/MainBasis/统一需求文档.md；位置：行2925
2. 规则：BR-d319915f6f6342ec
3. 未动态验证</x:v>
      </x:c>
    </x:row>
    <x:row r="268" ht="85" customHeight="1">
      <x:c r="A268" s="10" t="n">
        <x:v>267</x:v>
      </x:c>
      <x:c r="B268" s="10" t="str">
        <x:v>ADMIN-07-0024</x:v>
      </x:c>
      <x:c r="C268" s="10" t="str">
        <x:v>运营配置</x:v>
      </x:c>
      <x:c r="D268" s="10" t="str">
        <x:v>推送配置（平台管理员视角）</x:v>
      </x:c>
      <x:c r="E268" s="10" t="str">
        <x:v>逻辑校验</x:v>
      </x:c>
      <x:c r="F268" s="10" t="str">
        <x:v>P1</x:v>
      </x:c>
      <x:c r="G268" s="9" t="str">
        <x:v>验证推送缺少印尼语正文</x:v>
      </x:c>
      <x:c r="H268" s="9" t="str">
        <x:v>印尼语推送正文必填</x:v>
      </x:c>
      <x:c r="I268" s="9" t="str">
        <x:v>1. 执行角色为平台管理员
2. 管理员具备当前配置的编辑权限；使用本轮隔离测试记录；除本条修改字段外，其余字段均来自已成功保存的有效配置</x:v>
      </x:c>
      <x:c r="J268" s="9" t="str">
        <x:v>1. 进入推送配置
2. 清空印尼语内容
3. 点击立即发送</x:v>
      </x:c>
      <x:c r="K268" s="9" t="str">
        <x:v>不能发送缺少印尼语内容的推送</x:v>
      </x:c>
      <x:c r="L268" s="10" t="str"/>
      <x:c r="M268" s="10" t="str">
        <x:v>未测</x:v>
      </x:c>
      <x:c r="N268" s="10" t="str"/>
      <x:c r="O268" s="9" t="str">
        <x:v>1. 来源（当前证据）：liveshow-proto/MainBasis/统一需求文档.md；位置：行2925
2. 规则：BR-6fe240adb2f3dbbb
3. 未动态验证</x:v>
      </x:c>
    </x:row>
    <x:row r="269" ht="85" customHeight="1">
      <x:c r="A269" s="10" t="n">
        <x:v>268</x:v>
      </x:c>
      <x:c r="B269" s="10" t="str">
        <x:v>ADMIN-07-0025</x:v>
      </x:c>
      <x:c r="C269" s="10" t="str">
        <x:v>运营配置</x:v>
      </x:c>
      <x:c r="D269" s="10" t="str">
        <x:v>推送配置（平台管理员视角）</x:v>
      </x:c>
      <x:c r="E269" s="10" t="str">
        <x:v>逻辑校验</x:v>
      </x:c>
      <x:c r="F269" s="10" t="str">
        <x:v>P1</x:v>
      </x:c>
      <x:c r="G269" s="9" t="str">
        <x:v>验证推送缺少马来语正文</x:v>
      </x:c>
      <x:c r="H269" s="9" t="str">
        <x:v>马来语推送正文必填</x:v>
      </x:c>
      <x:c r="I269" s="9" t="str">
        <x:v>1. 执行角色为平台管理员
2. 管理员具备当前配置的编辑权限；使用本轮隔离测试记录；除本条修改字段外，其余字段均来自已成功保存的有效配置</x:v>
      </x:c>
      <x:c r="J269" s="9" t="str">
        <x:v>1. 进入推送配置
2. 清空马来语内容
3. 点击立即发送</x:v>
      </x:c>
      <x:c r="K269" s="9" t="str">
        <x:v>不能发送缺少马来语内容的推送</x:v>
      </x:c>
      <x:c r="L269" s="10" t="str"/>
      <x:c r="M269" s="10" t="str">
        <x:v>未测</x:v>
      </x:c>
      <x:c r="N269" s="10" t="str"/>
      <x:c r="O269" s="9" t="str">
        <x:v>1. 来源（当前证据）：liveshow-proto/MainBasis/统一需求文档.md；位置：行2925
2. 规则：BR-555beeaeaae75d15
3. 未动态验证</x:v>
      </x:c>
    </x:row>
    <x:row r="270" ht="115" customHeight="1">
      <x:c r="A270" s="10" t="n">
        <x:v>269</x:v>
      </x:c>
      <x:c r="B270" s="10" t="str">
        <x:v>ADMIN-07-0026</x:v>
      </x:c>
      <x:c r="C270" s="10" t="str">
        <x:v>运营配置</x:v>
      </x:c>
      <x:c r="D270" s="10" t="str">
        <x:v>推送配置（平台管理员视角）</x:v>
      </x:c>
      <x:c r="E270" s="10" t="str">
        <x:v>业务流程</x:v>
      </x:c>
      <x:c r="F270" s="10" t="str">
        <x:v>P1</x:v>
      </x:c>
      <x:c r="G270" s="9" t="str">
        <x:v>验证推送不得选择无效公会</x:v>
      </x:c>
      <x:c r="H270" s="9" t="str">
        <x:v>推送目标有效性</x:v>
      </x:c>
      <x:c r="I270" s="9" t="str">
        <x:v>1. 执行角色为平台管理员
2. 公会甲已解散</x:v>
      </x:c>
      <x:c r="J270" s="9" t="str">
        <x:v>1. 进入推送配置
2. 选择指定公会
3. 打开公会列表</x:v>
      </x:c>
      <x:c r="K270" s="9" t="str">
        <x:v>不能选择公会甲</x:v>
      </x:c>
      <x:c r="L270" s="10" t="str"/>
      <x:c r="M270" s="10" t="str">
        <x:v>未测</x:v>
      </x:c>
      <x:c r="N270" s="10" t="str"/>
      <x:c r="O270" s="9" t="str">
        <x:v>1. 来源（当前证据）：liveshow-proto/MainBasis/统一需求文档.md；位置：行2926
2. 规则：BR-66b747d78cddbbe2
3. 未动态验证
4. 数据别名：甲、乙、丙用于区分本条测试对象；按前置条件准备并记录实际账号或记录 ID，不是固定业务名称。</x:v>
      </x:c>
    </x:row>
    <x:row r="271" ht="115" customHeight="1">
      <x:c r="A271" s="10" t="n">
        <x:v>270</x:v>
      </x:c>
      <x:c r="B271" s="10" t="str">
        <x:v>ADMIN-07-0027</x:v>
      </x:c>
      <x:c r="C271" s="10" t="str">
        <x:v>运营配置</x:v>
      </x:c>
      <x:c r="D271" s="10" t="str">
        <x:v>推送配置（平台管理员视角）</x:v>
      </x:c>
      <x:c r="E271" s="10" t="str">
        <x:v>功能需求</x:v>
      </x:c>
      <x:c r="F271" s="10" t="str">
        <x:v>P2</x:v>
      </x:c>
      <x:c r="G271" s="9" t="str">
        <x:v>验证推送配置读取最后操作人</x:v>
      </x:c>
      <x:c r="H271" s="9" t="str">
        <x:v>最后操作人回显</x:v>
      </x:c>
      <x:c r="I271" s="9" t="str">
        <x:v>1. 执行角色为平台管理员
2. 当前推送配置保存记录的最后操作人为“管理员甲”</x:v>
      </x:c>
      <x:c r="J271" s="9" t="str">
        <x:v>1. 进入推送配置
2. 查看最后操作人</x:v>
      </x:c>
      <x:c r="K271" s="9" t="str">
        <x:v>最后操作人显示“管理员甲”</x:v>
      </x:c>
      <x:c r="L271" s="10" t="str"/>
      <x:c r="M271" s="10" t="str">
        <x:v>未测</x:v>
      </x:c>
      <x:c r="N271" s="10" t="str"/>
      <x:c r="O271" s="9" t="str">
        <x:v>1. 来源（当前证据）：liveshow-proto/MainBasis/统一需求文档.md；位置：行2927
2. 规则：BR-513ef1bcb0876bd2
3. 未动态验证
4. 数据别名：甲、乙、丙用于区分本条测试对象；按前置条件准备并记录实际账号或记录 ID，不是固定业务名称。</x:v>
      </x:c>
    </x:row>
    <x:row r="272" ht="115" customHeight="1">
      <x:c r="A272" s="10" t="n">
        <x:v>271</x:v>
      </x:c>
      <x:c r="B272" s="10" t="str">
        <x:v>ADMIN-07-0028</x:v>
      </x:c>
      <x:c r="C272" s="10" t="str">
        <x:v>运营配置</x:v>
      </x:c>
      <x:c r="D272" s="10" t="str">
        <x:v>充值套餐（平台管理员视角）</x:v>
      </x:c>
      <x:c r="E272" s="10" t="str">
        <x:v>业务流程</x:v>
      </x:c>
      <x:c r="F272" s="10" t="str">
        <x:v>P1</x:v>
      </x:c>
      <x:c r="G272" s="9" t="str">
        <x:v>验证改套餐不改变成功订单</x:v>
      </x:c>
      <x:c r="H272" s="9" t="str">
        <x:v>充值配置订单快照</x:v>
      </x:c>
      <x:c r="I272" s="9" t="str">
        <x:v>1. 执行角色为平台管理员
2. 套餐甲历史成功订单基础1000赠送100</x:v>
      </x:c>
      <x:c r="J272" s="9" t="str">
        <x:v>1. 进入套餐甲编辑
2. 填写充值金币2000
3. 填写赠送金币200
4. 点击保存
5. 进入该历史充值订单</x:v>
      </x:c>
      <x:c r="K272" s="9" t="str">
        <x:v>订单仍为基础1000赠送100</x:v>
      </x:c>
      <x:c r="L272" s="10" t="str"/>
      <x:c r="M272" s="10" t="str">
        <x:v>未测</x:v>
      </x:c>
      <x:c r="N272" s="10" t="str"/>
      <x:c r="O272" s="9" t="str">
        <x:v>1. 来源（当前证据）：liveshow-proto/MainBasis/统一需求文档.md；位置：行2938
2. 规则：BR-99f6bc277bf8602f
3. 未动态验证
4. 数据别名：甲、乙、丙用于区分本条测试对象；按前置条件准备并记录实际账号或记录 ID，不是固定业务名称。</x:v>
      </x:c>
    </x:row>
    <x:row r="273" ht="70" customHeight="1">
      <x:c r="A273" s="10" t="n">
        <x:v>272</x:v>
      </x:c>
      <x:c r="B273" s="10" t="str">
        <x:v>ADMIN-07-0029</x:v>
      </x:c>
      <x:c r="C273" s="10" t="str">
        <x:v>运营配置</x:v>
      </x:c>
      <x:c r="D273" s="10" t="str">
        <x:v>充值套餐编辑（平台管理员视角）</x:v>
      </x:c>
      <x:c r="E273" s="10" t="str">
        <x:v>功能需求</x:v>
      </x:c>
      <x:c r="F273" s="10" t="str">
        <x:v>P2</x:v>
      </x:c>
      <x:c r="G273" s="9" t="str">
        <x:v>验证充值套餐编辑已创建标识不可修改</x:v>
      </x:c>
      <x:c r="H273" s="9" t="str">
        <x:v>套餐ID只读</x:v>
      </x:c>
      <x:c r="I273" s="9" t="str">
        <x:v>1. 执行角色为平台管理员
2. 充值套餐编辑对应记录已成功创建</x:v>
      </x:c>
      <x:c r="J273" s="9" t="str">
        <x:v>1. 进入充值套餐编辑
2. 点击套餐ID</x:v>
      </x:c>
      <x:c r="K273" s="9" t="str">
        <x:v>套餐ID不可编辑</x:v>
      </x:c>
      <x:c r="L273" s="10" t="str"/>
      <x:c r="M273" s="10" t="str">
        <x:v>未测</x:v>
      </x:c>
      <x:c r="N273" s="10" t="str"/>
      <x:c r="O273" s="9" t="str">
        <x:v>1. 来源（当前证据）：liveshow-proto/MainBasis/统一需求文档.md；位置：行2944
2. 规则：BR-5b2ac82dd0d597ac
3. 未动态验证</x:v>
      </x:c>
    </x:row>
    <x:row r="274" ht="70" customHeight="1">
      <x:c r="A274" s="10" t="n">
        <x:v>273</x:v>
      </x:c>
      <x:c r="B274" s="10" t="str">
        <x:v>ADMIN-07-0030</x:v>
      </x:c>
      <x:c r="C274" s="10" t="str">
        <x:v>运营配置</x:v>
      </x:c>
      <x:c r="D274" s="10" t="str">
        <x:v>充值套餐编辑（平台管理员视角）</x:v>
      </x:c>
      <x:c r="E274" s="10" t="str">
        <x:v>功能需求</x:v>
      </x:c>
      <x:c r="F274" s="10" t="str">
        <x:v>P2</x:v>
      </x:c>
      <x:c r="G274" s="9" t="str">
        <x:v>验证充值套餐必须封面</x:v>
      </x:c>
      <x:c r="H274" s="9" t="str">
        <x:v>充值套餐封面必填</x:v>
      </x:c>
      <x:c r="I274" s="9" t="str">
        <x:v>1. 执行角色为平台管理员
2. 新套餐其他必填项合法</x:v>
      </x:c>
      <x:c r="J274" s="9" t="str">
        <x:v>1. 进入充值套餐编辑
2. 清空封面
3. 点击保存</x:v>
      </x:c>
      <x:c r="K274" s="9" t="str">
        <x:v>不能保存无封面的套餐</x:v>
      </x:c>
      <x:c r="L274" s="10" t="str"/>
      <x:c r="M274" s="10" t="str">
        <x:v>未测</x:v>
      </x:c>
      <x:c r="N274" s="10" t="str"/>
      <x:c r="O274" s="9" t="str">
        <x:v>1. 来源（当前证据）：liveshow-proto/MainBasis/统一需求文档.md；位置：行2945
2. 规则：BR-7f5cc31d1d378f65
3. 未动态验证</x:v>
      </x:c>
    </x:row>
    <x:row r="275" ht="70" customHeight="1">
      <x:c r="A275" s="10" t="n">
        <x:v>274</x:v>
      </x:c>
      <x:c r="B275" s="10" t="str">
        <x:v>ADMIN-07-0031</x:v>
      </x:c>
      <x:c r="C275" s="10" t="str">
        <x:v>运营配置</x:v>
      </x:c>
      <x:c r="D275" s="10" t="str">
        <x:v>充值套餐编辑（平台管理员视角）</x:v>
      </x:c>
      <x:c r="E275" s="10" t="str">
        <x:v>业务流程</x:v>
      </x:c>
      <x:c r="F275" s="10" t="str">
        <x:v>P1</x:v>
      </x:c>
      <x:c r="G275" s="9" t="str">
        <x:v>验证充值售价不能超过2位小数</x:v>
      </x:c>
      <x:c r="H275" s="9" t="str">
        <x:v>充值USD精度</x:v>
      </x:c>
      <x:c r="I275" s="9" t="str">
        <x:v>1. 执行角色为平台管理员
2. 其他套餐字段合法</x:v>
      </x:c>
      <x:c r="J275" s="9" t="str">
        <x:v>1. 进入充值套餐编辑
2. 输入销售价格1.999
3. 点击保存</x:v>
      </x:c>
      <x:c r="K275" s="9" t="str">
        <x:v>不能保存超过两位小数的售价</x:v>
      </x:c>
      <x:c r="L275" s="10" t="str"/>
      <x:c r="M275" s="10" t="str">
        <x:v>未测</x:v>
      </x:c>
      <x:c r="N275" s="10" t="str"/>
      <x:c r="O275" s="9" t="str">
        <x:v>1. 来源（当前证据）：liveshow-proto/MainBasis/统一需求文档.md；位置：行2946
2. 规则：BR-f3c34931f5451485
3. 未动态验证</x:v>
      </x:c>
    </x:row>
    <x:row r="276" ht="70" customHeight="1">
      <x:c r="A276" s="10" t="n">
        <x:v>275</x:v>
      </x:c>
      <x:c r="B276" s="10" t="str">
        <x:v>ADMIN-07-0032</x:v>
      </x:c>
      <x:c r="C276" s="10" t="str">
        <x:v>运营配置</x:v>
      </x:c>
      <x:c r="D276" s="10" t="str">
        <x:v>充值套餐编辑（平台管理员视角）</x:v>
      </x:c>
      <x:c r="E276" s="10" t="str">
        <x:v>业务流程</x:v>
      </x:c>
      <x:c r="F276" s="10" t="str">
        <x:v>P1</x:v>
      </x:c>
      <x:c r="G276" s="9" t="str">
        <x:v>验证充值售价不能为0</x:v>
      </x:c>
      <x:c r="H276" s="9" t="str">
        <x:v>充值价格正值</x:v>
      </x:c>
      <x:c r="I276" s="9" t="str">
        <x:v>1. 执行角色为平台管理员
2. 其他套餐字段合法</x:v>
      </x:c>
      <x:c r="J276" s="9" t="str">
        <x:v>1. 进入充值套餐编辑
2. 输入销售价格0
3. 点击保存</x:v>
      </x:c>
      <x:c r="K276" s="9" t="str">
        <x:v>不能保存0元套餐</x:v>
      </x:c>
      <x:c r="L276" s="10" t="str"/>
      <x:c r="M276" s="10" t="str">
        <x:v>未测</x:v>
      </x:c>
      <x:c r="N276" s="10" t="str"/>
      <x:c r="O276" s="9" t="str">
        <x:v>1. 来源（当前证据）：liveshow-proto/MainBasis/统一需求文档.md；位置：行2946
2. 规则：BR-7e54af6fd071e8c7
3. 未动态验证</x:v>
      </x:c>
    </x:row>
    <x:row r="277" ht="115" customHeight="1">
      <x:c r="A277" s="10" t="n">
        <x:v>276</x:v>
      </x:c>
      <x:c r="B277" s="10" t="str">
        <x:v>ADMIN-07-0033</x:v>
      </x:c>
      <x:c r="C277" s="10" t="str">
        <x:v>运营配置</x:v>
      </x:c>
      <x:c r="D277" s="10" t="str">
        <x:v>充值套餐编辑（平台管理员视角）</x:v>
      </x:c>
      <x:c r="E277" s="10" t="str">
        <x:v>逻辑校验</x:v>
      </x:c>
      <x:c r="F277" s="10" t="str">
        <x:v>P1</x:v>
      </x:c>
      <x:c r="G277" s="9" t="str">
        <x:v>验证充值套餐编辑充值金币输入0</x:v>
      </x:c>
      <x:c r="H277" s="9" t="str">
        <x:v>充值金币数值边界</x:v>
      </x:c>
      <x:c r="I277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277" s="9" t="str">
        <x:v>1. 进入充值套餐编辑
2. 填写充值金币0
3. 点击保存</x:v>
      </x:c>
      <x:c r="K277" s="9" t="str">
        <x:v>不能保存充值金币为0的配置</x:v>
      </x:c>
      <x:c r="L277" s="10" t="str"/>
      <x:c r="M277" s="10" t="str">
        <x:v>未测</x:v>
      </x:c>
      <x:c r="N277" s="10" t="str"/>
      <x:c r="O277" s="9" t="str">
        <x:v>1. 来源（当前证据）：liveshow-proto/MainBasis/统一需求文档.md；位置：行2947
2. 规则：BR-2fb678a629ea84f6
3. 未动态验证</x:v>
      </x:c>
    </x:row>
    <x:row r="278" ht="115" customHeight="1">
      <x:c r="A278" s="10" t="n">
        <x:v>277</x:v>
      </x:c>
      <x:c r="B278" s="10" t="str">
        <x:v>ADMIN-07-0034</x:v>
      </x:c>
      <x:c r="C278" s="10" t="str">
        <x:v>运营配置</x:v>
      </x:c>
      <x:c r="D278" s="10" t="str">
        <x:v>充值套餐编辑（平台管理员视角）</x:v>
      </x:c>
      <x:c r="E278" s="10" t="str">
        <x:v>逻辑校验</x:v>
      </x:c>
      <x:c r="F278" s="10" t="str">
        <x:v>P1</x:v>
      </x:c>
      <x:c r="G278" s="9" t="str">
        <x:v>验证充值套餐编辑充值金币输入1</x:v>
      </x:c>
      <x:c r="H278" s="9" t="str">
        <x:v>充值金币数值边界</x:v>
      </x:c>
      <x:c r="I278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278" s="9" t="str">
        <x:v>1. 进入充值套餐编辑
2. 填写充值金币1
3. 点击保存</x:v>
      </x:c>
      <x:c r="K278" s="9" t="str">
        <x:v>充值金币保存为1</x:v>
      </x:c>
      <x:c r="L278" s="10" t="str"/>
      <x:c r="M278" s="10" t="str">
        <x:v>未测</x:v>
      </x:c>
      <x:c r="N278" s="10" t="str"/>
      <x:c r="O278" s="9" t="str">
        <x:v>1. 来源（当前证据）：liveshow-proto/MainBasis/统一需求文档.md；位置：行2947
2. 规则：BR-65bd21e9fece445d
3. 未动态验证</x:v>
      </x:c>
    </x:row>
    <x:row r="279" ht="115" customHeight="1">
      <x:c r="A279" s="10" t="n">
        <x:v>278</x:v>
      </x:c>
      <x:c r="B279" s="10" t="str">
        <x:v>ADMIN-07-0035</x:v>
      </x:c>
      <x:c r="C279" s="10" t="str">
        <x:v>运营配置</x:v>
      </x:c>
      <x:c r="D279" s="10" t="str">
        <x:v>充值套餐编辑（平台管理员视角）</x:v>
      </x:c>
      <x:c r="E279" s="10" t="str">
        <x:v>逻辑校验</x:v>
      </x:c>
      <x:c r="F279" s="10" t="str">
        <x:v>P1</x:v>
      </x:c>
      <x:c r="G279" s="9" t="str">
        <x:v>验证充值套餐编辑充值金币输入2</x:v>
      </x:c>
      <x:c r="H279" s="9" t="str">
        <x:v>充值金币数值边界</x:v>
      </x:c>
      <x:c r="I279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279" s="9" t="str">
        <x:v>1. 进入充值套餐编辑
2. 填写充值金币2
3. 点击保存</x:v>
      </x:c>
      <x:c r="K279" s="9" t="str">
        <x:v>充值金币保存为2</x:v>
      </x:c>
      <x:c r="L279" s="10" t="str"/>
      <x:c r="M279" s="10" t="str">
        <x:v>未测</x:v>
      </x:c>
      <x:c r="N279" s="10" t="str"/>
      <x:c r="O279" s="9" t="str">
        <x:v>1. 来源（当前证据）：liveshow-proto/MainBasis/统一需求文档.md；位置：行2947
2. 规则：BR-a05019a722166a89
3. 未动态验证</x:v>
      </x:c>
    </x:row>
    <x:row r="280" ht="115" customHeight="1">
      <x:c r="A280" s="10" t="n">
        <x:v>279</x:v>
      </x:c>
      <x:c r="B280" s="10" t="str">
        <x:v>ADMIN-07-0036</x:v>
      </x:c>
      <x:c r="C280" s="10" t="str">
        <x:v>运营配置</x:v>
      </x:c>
      <x:c r="D280" s="10" t="str">
        <x:v>充值套餐编辑（平台管理员视角）</x:v>
      </x:c>
      <x:c r="E280" s="10" t="str">
        <x:v>逻辑校验</x:v>
      </x:c>
      <x:c r="F280" s="10" t="str">
        <x:v>P1</x:v>
      </x:c>
      <x:c r="G280" s="9" t="str">
        <x:v>验证充值套餐编辑充值金币输入1.5</x:v>
      </x:c>
      <x:c r="H280" s="9" t="str">
        <x:v>充值金币数值边界</x:v>
      </x:c>
      <x:c r="I280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280" s="9" t="str">
        <x:v>1. 进入充值套餐编辑
2. 填写充值金币1.5
3. 点击保存</x:v>
      </x:c>
      <x:c r="K280" s="9" t="str">
        <x:v>不能保存充值金币为1.5的配置</x:v>
      </x:c>
      <x:c r="L280" s="10" t="str"/>
      <x:c r="M280" s="10" t="str">
        <x:v>未测</x:v>
      </x:c>
      <x:c r="N280" s="10" t="str"/>
      <x:c r="O280" s="9" t="str">
        <x:v>1. 来源（当前证据）：liveshow-proto/MainBasis/统一需求文档.md；位置：行2947
2. 规则：BR-5af26ed8996f91ce
3. 未动态验证</x:v>
      </x:c>
    </x:row>
    <x:row r="281" ht="115" customHeight="1">
      <x:c r="A281" s="10" t="n">
        <x:v>280</x:v>
      </x:c>
      <x:c r="B281" s="10" t="str">
        <x:v>ADMIN-07-0037</x:v>
      </x:c>
      <x:c r="C281" s="10" t="str">
        <x:v>运营配置</x:v>
      </x:c>
      <x:c r="D281" s="10" t="str">
        <x:v>充值套餐编辑（平台管理员视角）</x:v>
      </x:c>
      <x:c r="E281" s="10" t="str">
        <x:v>逻辑校验</x:v>
      </x:c>
      <x:c r="F281" s="10" t="str">
        <x:v>P1</x:v>
      </x:c>
      <x:c r="G281" s="9" t="str">
        <x:v>验证充值套餐编辑赠送金币输入-1</x:v>
      </x:c>
      <x:c r="H281" s="9" t="str">
        <x:v>赠送金币数值边界</x:v>
      </x:c>
      <x:c r="I281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281" s="9" t="str">
        <x:v>1. 进入充值套餐编辑
2. 填写赠送金币-1
3. 点击保存</x:v>
      </x:c>
      <x:c r="K281" s="9" t="str">
        <x:v>不能保存赠送金币为-1的配置</x:v>
      </x:c>
      <x:c r="L281" s="10" t="str"/>
      <x:c r="M281" s="10" t="str">
        <x:v>未测</x:v>
      </x:c>
      <x:c r="N281" s="10" t="str"/>
      <x:c r="O281" s="9" t="str">
        <x:v>1. 来源（当前证据）：liveshow-proto/MainBasis/统一需求文档.md；位置：行2947
2. 规则：BR-d2c422ff11a60b36
3. 未动态验证</x:v>
      </x:c>
    </x:row>
    <x:row r="282" ht="115" customHeight="1">
      <x:c r="A282" s="10" t="n">
        <x:v>281</x:v>
      </x:c>
      <x:c r="B282" s="10" t="str">
        <x:v>ADMIN-07-0038</x:v>
      </x:c>
      <x:c r="C282" s="10" t="str">
        <x:v>运营配置</x:v>
      </x:c>
      <x:c r="D282" s="10" t="str">
        <x:v>充值套餐编辑（平台管理员视角）</x:v>
      </x:c>
      <x:c r="E282" s="10" t="str">
        <x:v>逻辑校验</x:v>
      </x:c>
      <x:c r="F282" s="10" t="str">
        <x:v>P1</x:v>
      </x:c>
      <x:c r="G282" s="9" t="str">
        <x:v>验证充值套餐编辑赠送金币输入0</x:v>
      </x:c>
      <x:c r="H282" s="9" t="str">
        <x:v>赠送金币数值边界</x:v>
      </x:c>
      <x:c r="I282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282" s="9" t="str">
        <x:v>1. 进入充值套餐编辑
2. 填写赠送金币0
3. 点击保存</x:v>
      </x:c>
      <x:c r="K282" s="9" t="str">
        <x:v>赠送金币保存为0</x:v>
      </x:c>
      <x:c r="L282" s="10" t="str"/>
      <x:c r="M282" s="10" t="str">
        <x:v>未测</x:v>
      </x:c>
      <x:c r="N282" s="10" t="str"/>
      <x:c r="O282" s="9" t="str">
        <x:v>1. 来源（当前证据）：liveshow-proto/MainBasis/统一需求文档.md；位置：行2947
2. 规则：BR-44c6e9d549b6563b
3. 未动态验证</x:v>
      </x:c>
    </x:row>
    <x:row r="283" ht="115" customHeight="1">
      <x:c r="A283" s="10" t="n">
        <x:v>282</x:v>
      </x:c>
      <x:c r="B283" s="10" t="str">
        <x:v>ADMIN-07-0039</x:v>
      </x:c>
      <x:c r="C283" s="10" t="str">
        <x:v>运营配置</x:v>
      </x:c>
      <x:c r="D283" s="10" t="str">
        <x:v>充值套餐编辑（平台管理员视角）</x:v>
      </x:c>
      <x:c r="E283" s="10" t="str">
        <x:v>逻辑校验</x:v>
      </x:c>
      <x:c r="F283" s="10" t="str">
        <x:v>P1</x:v>
      </x:c>
      <x:c r="G283" s="9" t="str">
        <x:v>验证充值套餐编辑赠送金币输入1</x:v>
      </x:c>
      <x:c r="H283" s="9" t="str">
        <x:v>赠送金币数值边界</x:v>
      </x:c>
      <x:c r="I283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283" s="9" t="str">
        <x:v>1. 进入充值套餐编辑
2. 填写赠送金币1
3. 点击保存</x:v>
      </x:c>
      <x:c r="K283" s="9" t="str">
        <x:v>赠送金币保存为1</x:v>
      </x:c>
      <x:c r="L283" s="10" t="str"/>
      <x:c r="M283" s="10" t="str">
        <x:v>未测</x:v>
      </x:c>
      <x:c r="N283" s="10" t="str"/>
      <x:c r="O283" s="9" t="str">
        <x:v>1. 来源（当前证据）：liveshow-proto/MainBasis/统一需求文档.md；位置：行2947
2. 规则：BR-c32a054de3358a69
3. 未动态验证</x:v>
      </x:c>
    </x:row>
    <x:row r="284" ht="115" customHeight="1">
      <x:c r="A284" s="10" t="n">
        <x:v>283</x:v>
      </x:c>
      <x:c r="B284" s="10" t="str">
        <x:v>ADMIN-07-0040</x:v>
      </x:c>
      <x:c r="C284" s="10" t="str">
        <x:v>运营配置</x:v>
      </x:c>
      <x:c r="D284" s="10" t="str">
        <x:v>充值套餐编辑（平台管理员视角）</x:v>
      </x:c>
      <x:c r="E284" s="10" t="str">
        <x:v>逻辑校验</x:v>
      </x:c>
      <x:c r="F284" s="10" t="str">
        <x:v>P1</x:v>
      </x:c>
      <x:c r="G284" s="9" t="str">
        <x:v>验证充值套餐编辑赠送金币输入1.5</x:v>
      </x:c>
      <x:c r="H284" s="9" t="str">
        <x:v>赠送金币数值边界</x:v>
      </x:c>
      <x:c r="I284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284" s="9" t="str">
        <x:v>1. 进入充值套餐编辑
2. 填写赠送金币1.5
3. 点击保存</x:v>
      </x:c>
      <x:c r="K284" s="9" t="str">
        <x:v>不能保存赠送金币为1.5的配置</x:v>
      </x:c>
      <x:c r="L284" s="10" t="str"/>
      <x:c r="M284" s="10" t="str">
        <x:v>未测</x:v>
      </x:c>
      <x:c r="N284" s="10" t="str"/>
      <x:c r="O284" s="9" t="str">
        <x:v>1. 来源（当前证据）：liveshow-proto/MainBasis/统一需求文档.md；位置：行2947
2. 规则：BR-98415b43263a0dea
3. 未动态验证</x:v>
      </x:c>
    </x:row>
    <x:row r="285" ht="115" customHeight="1">
      <x:c r="A285" s="10" t="n">
        <x:v>284</x:v>
      </x:c>
      <x:c r="B285" s="10" t="str">
        <x:v>ADMIN-07-0041</x:v>
      </x:c>
      <x:c r="C285" s="10" t="str">
        <x:v>运营配置</x:v>
      </x:c>
      <x:c r="D285" s="10" t="str">
        <x:v>充值套餐编辑（平台管理员视角）</x:v>
      </x:c>
      <x:c r="E285" s="10" t="str">
        <x:v>逻辑校验</x:v>
      </x:c>
      <x:c r="F285" s="10" t="str">
        <x:v>P1</x:v>
      </x:c>
      <x:c r="G285" s="9" t="str">
        <x:v>验证充值套餐编辑限购次数输入-1</x:v>
      </x:c>
      <x:c r="H285" s="9" t="str">
        <x:v>限购次数数值边界</x:v>
      </x:c>
      <x:c r="I285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285" s="9" t="str">
        <x:v>1. 进入充值套餐编辑
2. 填写限购次数-1
3. 点击保存</x:v>
      </x:c>
      <x:c r="K285" s="9" t="str">
        <x:v>不能保存限购次数为-1的配置</x:v>
      </x:c>
      <x:c r="L285" s="10" t="str"/>
      <x:c r="M285" s="10" t="str">
        <x:v>未测</x:v>
      </x:c>
      <x:c r="N285" s="10" t="str"/>
      <x:c r="O285" s="9" t="str">
        <x:v>1. 来源（当前证据）：liveshow-proto/MainBasis/统一需求文档.md；位置：行2948
2. 规则：BR-c7bd8137528c5e07
3. 未动态验证</x:v>
      </x:c>
    </x:row>
    <x:row r="286" ht="115" customHeight="1">
      <x:c r="A286" s="10" t="n">
        <x:v>285</x:v>
      </x:c>
      <x:c r="B286" s="10" t="str">
        <x:v>ADMIN-07-0042</x:v>
      </x:c>
      <x:c r="C286" s="10" t="str">
        <x:v>运营配置</x:v>
      </x:c>
      <x:c r="D286" s="10" t="str">
        <x:v>充值套餐编辑（平台管理员视角）</x:v>
      </x:c>
      <x:c r="E286" s="10" t="str">
        <x:v>逻辑校验</x:v>
      </x:c>
      <x:c r="F286" s="10" t="str">
        <x:v>P1</x:v>
      </x:c>
      <x:c r="G286" s="9" t="str">
        <x:v>验证充值套餐编辑限购次数输入0</x:v>
      </x:c>
      <x:c r="H286" s="9" t="str">
        <x:v>限购次数数值边界</x:v>
      </x:c>
      <x:c r="I286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286" s="9" t="str">
        <x:v>1. 进入充值套餐编辑
2. 填写限购次数0
3. 点击保存</x:v>
      </x:c>
      <x:c r="K286" s="9" t="str">
        <x:v>限购次数保存为0</x:v>
      </x:c>
      <x:c r="L286" s="10" t="str"/>
      <x:c r="M286" s="10" t="str">
        <x:v>未测</x:v>
      </x:c>
      <x:c r="N286" s="10" t="str"/>
      <x:c r="O286" s="9" t="str">
        <x:v>1. 来源（当前证据）：liveshow-proto/MainBasis/统一需求文档.md；位置：行2948
2. 规则：BR-6dea107c4a74ea88
3. 未动态验证</x:v>
      </x:c>
    </x:row>
    <x:row r="287" ht="115" customHeight="1">
      <x:c r="A287" s="10" t="n">
        <x:v>286</x:v>
      </x:c>
      <x:c r="B287" s="10" t="str">
        <x:v>ADMIN-07-0043</x:v>
      </x:c>
      <x:c r="C287" s="10" t="str">
        <x:v>运营配置</x:v>
      </x:c>
      <x:c r="D287" s="10" t="str">
        <x:v>充值套餐编辑（平台管理员视角）</x:v>
      </x:c>
      <x:c r="E287" s="10" t="str">
        <x:v>逻辑校验</x:v>
      </x:c>
      <x:c r="F287" s="10" t="str">
        <x:v>P1</x:v>
      </x:c>
      <x:c r="G287" s="9" t="str">
        <x:v>验证充值套餐编辑限购次数输入1</x:v>
      </x:c>
      <x:c r="H287" s="9" t="str">
        <x:v>限购次数数值边界</x:v>
      </x:c>
      <x:c r="I287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287" s="9" t="str">
        <x:v>1. 进入充值套餐编辑
2. 填写限购次数1
3. 点击保存</x:v>
      </x:c>
      <x:c r="K287" s="9" t="str">
        <x:v>限购次数保存为1</x:v>
      </x:c>
      <x:c r="L287" s="10" t="str"/>
      <x:c r="M287" s="10" t="str">
        <x:v>未测</x:v>
      </x:c>
      <x:c r="N287" s="10" t="str"/>
      <x:c r="O287" s="9" t="str">
        <x:v>1. 来源（当前证据）：liveshow-proto/MainBasis/统一需求文档.md；位置：行2948
2. 规则：BR-767d32fa1ae4b17e
3. 未动态验证</x:v>
      </x:c>
    </x:row>
    <x:row r="288" ht="115" customHeight="1">
      <x:c r="A288" s="10" t="n">
        <x:v>287</x:v>
      </x:c>
      <x:c r="B288" s="10" t="str">
        <x:v>ADMIN-07-0044</x:v>
      </x:c>
      <x:c r="C288" s="10" t="str">
        <x:v>运营配置</x:v>
      </x:c>
      <x:c r="D288" s="10" t="str">
        <x:v>充值套餐编辑（平台管理员视角）</x:v>
      </x:c>
      <x:c r="E288" s="10" t="str">
        <x:v>逻辑校验</x:v>
      </x:c>
      <x:c r="F288" s="10" t="str">
        <x:v>P1</x:v>
      </x:c>
      <x:c r="G288" s="9" t="str">
        <x:v>验证充值套餐编辑限购次数输入1.5</x:v>
      </x:c>
      <x:c r="H288" s="9" t="str">
        <x:v>限购次数数值边界</x:v>
      </x:c>
      <x:c r="I288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288" s="9" t="str">
        <x:v>1. 进入充值套餐编辑
2. 填写限购次数1.5
3. 点击保存</x:v>
      </x:c>
      <x:c r="K288" s="9" t="str">
        <x:v>不能保存限购次数为1.5的配置</x:v>
      </x:c>
      <x:c r="L288" s="10" t="str"/>
      <x:c r="M288" s="10" t="str">
        <x:v>未测</x:v>
      </x:c>
      <x:c r="N288" s="10" t="str"/>
      <x:c r="O288" s="9" t="str">
        <x:v>1. 来源（当前证据）：liveshow-proto/MainBasis/统一需求文档.md；位置：行2948
2. 规则：BR-8941605b1ccaae25
3. 未动态验证</x:v>
      </x:c>
    </x:row>
    <x:row r="289" ht="70" customHeight="1">
      <x:c r="A289" s="10" t="n">
        <x:v>288</x:v>
      </x:c>
      <x:c r="B289" s="10" t="str">
        <x:v>ADMIN-07-0045</x:v>
      </x:c>
      <x:c r="C289" s="10" t="str">
        <x:v>运营配置</x:v>
      </x:c>
      <x:c r="D289" s="10" t="str">
        <x:v>充值套餐编辑（平台管理员视角）</x:v>
      </x:c>
      <x:c r="E289" s="10" t="str">
        <x:v>业务流程</x:v>
      </x:c>
      <x:c r="F289" s="10" t="str">
        <x:v>P1</x:v>
      </x:c>
      <x:c r="G289" s="9" t="str">
        <x:v>验证活动套餐结束必须晚于开始</x:v>
      </x:c>
      <x:c r="H289" s="9" t="str">
        <x:v>活动期限边界</x:v>
      </x:c>
      <x:c r="I289" s="9" t="str">
        <x:v>1. 执行角色为平台管理员
2. 套餐类型活动；其他字段合法</x:v>
      </x:c>
      <x:c r="J289" s="9" t="str">
        <x:v>1. 进入充值套餐编辑
2. 填写相同开始和结束时刻
3. 点击保存</x:v>
      </x:c>
      <x:c r="K289" s="9" t="str">
        <x:v>不能保存零长度活动期限</x:v>
      </x:c>
      <x:c r="L289" s="10" t="str"/>
      <x:c r="M289" s="10" t="str">
        <x:v>未测</x:v>
      </x:c>
      <x:c r="N289" s="10" t="str"/>
      <x:c r="O289" s="9" t="str">
        <x:v>1. 来源（当前证据）：liveshow-proto/MainBasis/统一需求文档.md；位置：行2949
2. 规则：BR-1ab009226f42129b
3. 未动态验证</x:v>
      </x:c>
    </x:row>
    <x:row r="290" ht="70" customHeight="1">
      <x:c r="A290" s="10" t="n">
        <x:v>289</x:v>
      </x:c>
      <x:c r="B290" s="10" t="str">
        <x:v>ADMIN-07-0046</x:v>
      </x:c>
      <x:c r="C290" s="10" t="str">
        <x:v>运营配置</x:v>
      </x:c>
      <x:c r="D290" s="10" t="str">
        <x:v>充值套餐编辑（平台管理员视角）</x:v>
      </x:c>
      <x:c r="E290" s="10" t="str">
        <x:v>业务流程</x:v>
      </x:c>
      <x:c r="F290" s="10" t="str">
        <x:v>P1</x:v>
      </x:c>
      <x:c r="G290" s="9" t="str">
        <x:v>验证切换活动套餐显示限购设置</x:v>
      </x:c>
      <x:c r="H290" s="9" t="str">
        <x:v>活动套餐限购设置入口</x:v>
      </x:c>
      <x:c r="I290" s="9" t="str">
        <x:v>1. 执行角色为平台管理员
2. 当前新建常规套餐</x:v>
      </x:c>
      <x:c r="J290" s="9" t="str">
        <x:v>1. 进入充值套餐编辑
2. 切换活动套餐</x:v>
      </x:c>
      <x:c r="K290" s="9" t="str">
        <x:v>显示限购次数输入项</x:v>
      </x:c>
      <x:c r="L290" s="10" t="str"/>
      <x:c r="M290" s="10" t="str">
        <x:v>未测</x:v>
      </x:c>
      <x:c r="N290" s="10" t="str"/>
      <x:c r="O290" s="9" t="str">
        <x:v>1. 来源（当前证据）：liveshow-proto/MainBasis/统一需求文档.md；位置：行2952
2. 规则：BR-638f557373b64ee4
3. 未动态验证</x:v>
      </x:c>
    </x:row>
    <x:row r="291" ht="70" customHeight="1">
      <x:c r="A291" s="10" t="n">
        <x:v>290</x:v>
      </x:c>
      <x:c r="B291" s="10" t="str">
        <x:v>ADMIN-07-0047</x:v>
      </x:c>
      <x:c r="C291" s="10" t="str">
        <x:v>运营配置</x:v>
      </x:c>
      <x:c r="D291" s="10" t="str">
        <x:v>充值套餐编辑（平台管理员视角）</x:v>
      </x:c>
      <x:c r="E291" s="10" t="str">
        <x:v>业务流程</x:v>
      </x:c>
      <x:c r="F291" s="10" t="str">
        <x:v>P1</x:v>
      </x:c>
      <x:c r="G291" s="9" t="str">
        <x:v>验证切换活动套餐显示时间设置</x:v>
      </x:c>
      <x:c r="H291" s="9" t="str">
        <x:v>活动套餐生效时间入口</x:v>
      </x:c>
      <x:c r="I291" s="9" t="str">
        <x:v>1. 执行角色为平台管理员
2. 当前新建常规套餐</x:v>
      </x:c>
      <x:c r="J291" s="9" t="str">
        <x:v>1. 进入充值套餐编辑
2. 切换活动套餐</x:v>
      </x:c>
      <x:c r="K291" s="9" t="str">
        <x:v>显示有效时间输入项</x:v>
      </x:c>
      <x:c r="L291" s="10" t="str"/>
      <x:c r="M291" s="10" t="str">
        <x:v>未测</x:v>
      </x:c>
      <x:c r="N291" s="10" t="str"/>
      <x:c r="O291" s="9" t="str">
        <x:v>1. 来源（当前证据）：liveshow-proto/MainBasis/统一需求文档.md；位置：行2952
2. 规则：BR-d577b6f16b5878ed
3. 未动态验证</x:v>
      </x:c>
    </x:row>
    <x:row r="292" ht="70" customHeight="1">
      <x:c r="A292" s="10" t="n">
        <x:v>291</x:v>
      </x:c>
      <x:c r="B292" s="10" t="str">
        <x:v>ADMIN-07-0048</x:v>
      </x:c>
      <x:c r="C292" s="10" t="str">
        <x:v>运营配置</x:v>
      </x:c>
      <x:c r="D292" s="10" t="str">
        <x:v>任务配置（平台管理员视角）</x:v>
      </x:c>
      <x:c r="E292" s="10" t="str">
        <x:v>功能需求</x:v>
      </x:c>
      <x:c r="F292" s="10" t="str">
        <x:v>P2</x:v>
      </x:c>
      <x:c r="G292" s="9" t="str">
        <x:v>验证任务配置读取任务ID</x:v>
      </x:c>
      <x:c r="H292" s="9" t="str">
        <x:v>任务ID回显</x:v>
      </x:c>
      <x:c r="I292" s="9" t="str">
        <x:v>1. 执行角色为平台管理员
2. 所选任务配置的任务ID为“930001”</x:v>
      </x:c>
      <x:c r="J292" s="9" t="str">
        <x:v>1. 进入任务配置
2. 查看任务ID</x:v>
      </x:c>
      <x:c r="K292" s="9" t="str">
        <x:v>任务ID显示“930001”</x:v>
      </x:c>
      <x:c r="L292" s="10" t="str"/>
      <x:c r="M292" s="10" t="str">
        <x:v>未测</x:v>
      </x:c>
      <x:c r="N292" s="10" t="str"/>
      <x:c r="O292" s="9" t="str">
        <x:v>1. 来源（当前证据）：liveshow-proto/MainBasis/统一需求文档.md；位置：行2957
2. 规则：BR-1b0eaaaaff5b47ae
3. 未动态验证</x:v>
      </x:c>
    </x:row>
    <x:row r="293" ht="70" customHeight="1">
      <x:c r="A293" s="10" t="n">
        <x:v>292</x:v>
      </x:c>
      <x:c r="B293" s="10" t="str">
        <x:v>ADMIN-07-0049</x:v>
      </x:c>
      <x:c r="C293" s="10" t="str">
        <x:v>运营配置</x:v>
      </x:c>
      <x:c r="D293" s="10" t="str">
        <x:v>任务配置（平台管理员视角）</x:v>
      </x:c>
      <x:c r="E293" s="10" t="str">
        <x:v>功能需求</x:v>
      </x:c>
      <x:c r="F293" s="10" t="str">
        <x:v>P2</x:v>
      </x:c>
      <x:c r="G293" s="9" t="str">
        <x:v>验证任务配置读取状态</x:v>
      </x:c>
      <x:c r="H293" s="9" t="str">
        <x:v>状态回显</x:v>
      </x:c>
      <x:c r="I293" s="9" t="str">
        <x:v>1. 执行角色为平台管理员
2. 所选任务当前配置的状态为“停用”</x:v>
      </x:c>
      <x:c r="J293" s="9" t="str">
        <x:v>1. 进入任务配置
2. 查看状态</x:v>
      </x:c>
      <x:c r="K293" s="9" t="str">
        <x:v>状态显示“停用”</x:v>
      </x:c>
      <x:c r="L293" s="10" t="str"/>
      <x:c r="M293" s="10" t="str">
        <x:v>未测</x:v>
      </x:c>
      <x:c r="N293" s="10" t="str"/>
      <x:c r="O293" s="9" t="str">
        <x:v>1. 来源（当前证据）：liveshow-proto/MainBasis/统一需求文档.md；位置：行2960
2. 规则：BR-12a001ac4d28abe3
3. 未动态验证</x:v>
      </x:c>
    </x:row>
    <x:row r="294" ht="85" customHeight="1">
      <x:c r="A294" s="10" t="n">
        <x:v>293</x:v>
      </x:c>
      <x:c r="B294" s="10" t="str">
        <x:v>ADMIN-07-0050</x:v>
      </x:c>
      <x:c r="C294" s="10" t="str">
        <x:v>运营配置</x:v>
      </x:c>
      <x:c r="D294" s="10" t="str">
        <x:v>任务配置（平台管理员视角）</x:v>
      </x:c>
      <x:c r="E294" s="10" t="str">
        <x:v>业务流程</x:v>
      </x:c>
      <x:c r="F294" s="10" t="str">
        <x:v>P1</x:v>
      </x:c>
      <x:c r="G294" s="9" t="str">
        <x:v>验证任务不能新增非预置动作</x:v>
      </x:c>
      <x:c r="H294" s="9" t="str">
        <x:v>任务动作范围</x:v>
      </x:c>
      <x:c r="I294" s="9" t="str">
        <x:v>1. 执行角色为平台管理员
2. 管理员有任务编辑权限</x:v>
      </x:c>
      <x:c r="J294" s="9" t="str">
        <x:v>1. 进入通用任务编辑
2. 打开用户动作</x:v>
      </x:c>
      <x:c r="K294" s="9" t="str">
        <x:v>只提供系统预置动作</x:v>
      </x:c>
      <x:c r="L294" s="10" t="str"/>
      <x:c r="M294" s="10" t="str">
        <x:v>未测</x:v>
      </x:c>
      <x:c r="N294" s="10" t="str"/>
      <x:c r="O294" s="9" t="str">
        <x:v>1. 来源（当前证据）：liveshow-proto/MainBasis/统一需求文档.md；位置：行2961、行2969
2. 规则：BR-8050b8aff01af4aa
3. 未动态验证</x:v>
      </x:c>
    </x:row>
    <x:row r="295" ht="115" customHeight="1">
      <x:c r="A295" s="10" t="n">
        <x:v>294</x:v>
      </x:c>
      <x:c r="B295" s="10" t="str">
        <x:v>ADMIN-07-0051</x:v>
      </x:c>
      <x:c r="C295" s="10" t="str">
        <x:v>运营配置</x:v>
      </x:c>
      <x:c r="D295" s="10" t="str">
        <x:v>任务配置（平台管理员视角）</x:v>
      </x:c>
      <x:c r="E295" s="10" t="str">
        <x:v>业务流程</x:v>
      </x:c>
      <x:c r="F295" s="10" t="str">
        <x:v>P1</x:v>
      </x:c>
      <x:c r="G295" s="9" t="str">
        <x:v>验证停用任务不回收已领奖励</x:v>
      </x:c>
      <x:c r="H295" s="9" t="str">
        <x:v>任务停用资产边界</x:v>
      </x:c>
      <x:c r="I295" s="9" t="str">
        <x:v>1. 执行角色为平台管理员
2. 用户甲已领取任务A奖励20金币；尚未消费</x:v>
      </x:c>
      <x:c r="J295" s="9" t="str">
        <x:v>1. 进入任务配置
2. 点击停用任务A
3. 点击确认
4. 进入用户甲详情</x:v>
      </x:c>
      <x:c r="K295" s="9" t="str">
        <x:v>余额不因任务停用扣回20金币</x:v>
      </x:c>
      <x:c r="L295" s="10" t="str"/>
      <x:c r="M295" s="10" t="str">
        <x:v>未测</x:v>
      </x:c>
      <x:c r="N295" s="10" t="str"/>
      <x:c r="O295" s="9" t="str">
        <x:v>1. 来源（当前证据）：liveshow-proto/MainBasis/统一需求文档.md；位置：行2962
2. 规则：BR-cc2c402f811418fe
3. 未动态验证
4. 数据别名：甲、乙、丙用于区分本条测试对象；按前置条件准备并记录实际账号或记录 ID，不是固定业务名称。</x:v>
      </x:c>
    </x:row>
    <x:row r="296" ht="85" customHeight="1">
      <x:c r="A296" s="10" t="n">
        <x:v>295</x:v>
      </x:c>
      <x:c r="B296" s="10" t="str">
        <x:v>ADMIN-07-0052</x:v>
      </x:c>
      <x:c r="C296" s="10" t="str">
        <x:v>运营配置</x:v>
      </x:c>
      <x:c r="D296" s="10" t="str">
        <x:v>通用任务编辑（平台管理员视角）</x:v>
      </x:c>
      <x:c r="E296" s="10" t="str">
        <x:v>逻辑校验</x:v>
      </x:c>
      <x:c r="F296" s="10" t="str">
        <x:v>P1</x:v>
      </x:c>
      <x:c r="G296" s="9" t="str">
        <x:v>验证通用任务编辑缺少中文名称</x:v>
      </x:c>
      <x:c r="H296" s="9" t="str">
        <x:v>中文必填校验</x:v>
      </x:c>
      <x:c r="I296" s="9" t="str">
        <x:v>1. 执行角色为平台管理员
2. 管理员具备当前配置的编辑权限；使用本轮隔离测试记录；除本条修改字段外，其余字段均来自已成功保存的有效配置</x:v>
      </x:c>
      <x:c r="J296" s="9" t="str">
        <x:v>1. 进入通用任务编辑
2. 清空中文名称
3. 点击保存</x:v>
      </x:c>
      <x:c r="K296" s="9" t="str">
        <x:v>不能保存缺少中文名称的配置</x:v>
      </x:c>
      <x:c r="L296" s="10" t="str"/>
      <x:c r="M296" s="10" t="str">
        <x:v>未测</x:v>
      </x:c>
      <x:c r="N296" s="10" t="str"/>
      <x:c r="O296" s="9" t="str">
        <x:v>1. 来源（当前证据）：liveshow-proto/MainBasis/统一需求文档.md；位置：行2967
2. 规则：BR-36e87d84c1c5b5ef
3. 未动态验证</x:v>
      </x:c>
    </x:row>
    <x:row r="297" ht="85" customHeight="1">
      <x:c r="A297" s="10" t="n">
        <x:v>296</x:v>
      </x:c>
      <x:c r="B297" s="10" t="str">
        <x:v>ADMIN-07-0053</x:v>
      </x:c>
      <x:c r="C297" s="10" t="str">
        <x:v>运营配置</x:v>
      </x:c>
      <x:c r="D297" s="10" t="str">
        <x:v>通用任务编辑（平台管理员视角）</x:v>
      </x:c>
      <x:c r="E297" s="10" t="str">
        <x:v>逻辑校验</x:v>
      </x:c>
      <x:c r="F297" s="10" t="str">
        <x:v>P1</x:v>
      </x:c>
      <x:c r="G297" s="9" t="str">
        <x:v>验证通用任务编辑缺少英语名称</x:v>
      </x:c>
      <x:c r="H297" s="9" t="str">
        <x:v>英语必填校验</x:v>
      </x:c>
      <x:c r="I297" s="9" t="str">
        <x:v>1. 执行角色为平台管理员
2. 管理员具备当前配置的编辑权限；使用本轮隔离测试记录；除本条修改字段外，其余字段均来自已成功保存的有效配置</x:v>
      </x:c>
      <x:c r="J297" s="9" t="str">
        <x:v>1. 进入通用任务编辑
2. 清空英语名称
3. 点击保存</x:v>
      </x:c>
      <x:c r="K297" s="9" t="str">
        <x:v>不能保存缺少英语名称的配置</x:v>
      </x:c>
      <x:c r="L297" s="10" t="str"/>
      <x:c r="M297" s="10" t="str">
        <x:v>未测</x:v>
      </x:c>
      <x:c r="N297" s="10" t="str"/>
      <x:c r="O297" s="9" t="str">
        <x:v>1. 来源（当前证据）：liveshow-proto/MainBasis/统一需求文档.md；位置：行2967
2. 规则：BR-26dd15b795135a7a
3. 未动态验证</x:v>
      </x:c>
    </x:row>
    <x:row r="298" ht="85" customHeight="1">
      <x:c r="A298" s="10" t="n">
        <x:v>297</x:v>
      </x:c>
      <x:c r="B298" s="10" t="str">
        <x:v>ADMIN-07-0054</x:v>
      </x:c>
      <x:c r="C298" s="10" t="str">
        <x:v>运营配置</x:v>
      </x:c>
      <x:c r="D298" s="10" t="str">
        <x:v>通用任务编辑（平台管理员视角）</x:v>
      </x:c>
      <x:c r="E298" s="10" t="str">
        <x:v>逻辑校验</x:v>
      </x:c>
      <x:c r="F298" s="10" t="str">
        <x:v>P1</x:v>
      </x:c>
      <x:c r="G298" s="9" t="str">
        <x:v>验证通用任务编辑缺少印尼语名称</x:v>
      </x:c>
      <x:c r="H298" s="9" t="str">
        <x:v>印尼语必填校验</x:v>
      </x:c>
      <x:c r="I298" s="9" t="str">
        <x:v>1. 执行角色为平台管理员
2. 管理员具备当前配置的编辑权限；使用本轮隔离测试记录；除本条修改字段外，其余字段均来自已成功保存的有效配置</x:v>
      </x:c>
      <x:c r="J298" s="9" t="str">
        <x:v>1. 进入通用任务编辑
2. 清空印尼语名称
3. 点击保存</x:v>
      </x:c>
      <x:c r="K298" s="9" t="str">
        <x:v>不能保存缺少印尼语名称的配置</x:v>
      </x:c>
      <x:c r="L298" s="10" t="str"/>
      <x:c r="M298" s="10" t="str">
        <x:v>未测</x:v>
      </x:c>
      <x:c r="N298" s="10" t="str"/>
      <x:c r="O298" s="9" t="str">
        <x:v>1. 来源（当前证据）：liveshow-proto/MainBasis/统一需求文档.md；位置：行2967
2. 规则：BR-04a4de90e0632cc3
3. 未动态验证</x:v>
      </x:c>
    </x:row>
    <x:row r="299" ht="85" customHeight="1">
      <x:c r="A299" s="10" t="n">
        <x:v>298</x:v>
      </x:c>
      <x:c r="B299" s="10" t="str">
        <x:v>ADMIN-07-0055</x:v>
      </x:c>
      <x:c r="C299" s="10" t="str">
        <x:v>运营配置</x:v>
      </x:c>
      <x:c r="D299" s="10" t="str">
        <x:v>通用任务编辑（平台管理员视角）</x:v>
      </x:c>
      <x:c r="E299" s="10" t="str">
        <x:v>逻辑校验</x:v>
      </x:c>
      <x:c r="F299" s="10" t="str">
        <x:v>P1</x:v>
      </x:c>
      <x:c r="G299" s="9" t="str">
        <x:v>验证通用任务编辑缺少马来语名称</x:v>
      </x:c>
      <x:c r="H299" s="9" t="str">
        <x:v>马来语必填校验</x:v>
      </x:c>
      <x:c r="I299" s="9" t="str">
        <x:v>1. 执行角色为平台管理员
2. 管理员具备当前配置的编辑权限；使用本轮隔离测试记录；除本条修改字段外，其余字段均来自已成功保存的有效配置</x:v>
      </x:c>
      <x:c r="J299" s="9" t="str">
        <x:v>1. 进入通用任务编辑
2. 清空马来语名称
3. 点击保存</x:v>
      </x:c>
      <x:c r="K299" s="9" t="str">
        <x:v>不能保存缺少马来语名称的配置</x:v>
      </x:c>
      <x:c r="L299" s="10" t="str"/>
      <x:c r="M299" s="10" t="str">
        <x:v>未测</x:v>
      </x:c>
      <x:c r="N299" s="10" t="str"/>
      <x:c r="O299" s="9" t="str">
        <x:v>1. 来源（当前证据）：liveshow-proto/MainBasis/统一需求文档.md；位置：行2967
2. 规则：BR-1f66a8c3505e98e9
3. 未动态验证</x:v>
      </x:c>
    </x:row>
    <x:row r="300" ht="70" customHeight="1">
      <x:c r="A300" s="10" t="n">
        <x:v>299</x:v>
      </x:c>
      <x:c r="B300" s="10" t="str">
        <x:v>ADMIN-07-0056</x:v>
      </x:c>
      <x:c r="C300" s="10" t="str">
        <x:v>运营配置</x:v>
      </x:c>
      <x:c r="D300" s="10" t="str">
        <x:v>通用任务编辑（平台管理员视角）</x:v>
      </x:c>
      <x:c r="E300" s="10" t="str">
        <x:v>功能需求</x:v>
      </x:c>
      <x:c r="F300" s="10" t="str">
        <x:v>P2</x:v>
      </x:c>
      <x:c r="G300" s="9" t="str">
        <x:v>验证任务结束时间必须晚于开始</x:v>
      </x:c>
      <x:c r="H300" s="9" t="str">
        <x:v>任务生效区间</x:v>
      </x:c>
      <x:c r="I300" s="9" t="str">
        <x:v>1. 执行角色为平台管理员
2. 其他配置合法</x:v>
      </x:c>
      <x:c r="J300" s="9" t="str">
        <x:v>1. 进入通用任务编辑
2. 选择开始10:00结束10:00
3. 点击保存</x:v>
      </x:c>
      <x:c r="K300" s="9" t="str">
        <x:v>不能保存相同起止时间</x:v>
      </x:c>
      <x:c r="L300" s="10" t="str"/>
      <x:c r="M300" s="10" t="str">
        <x:v>未测</x:v>
      </x:c>
      <x:c r="N300" s="10" t="str"/>
      <x:c r="O300" s="9" t="str">
        <x:v>1. 来源（当前证据）：liveshow-proto/MainBasis/统一需求文档.md；位置：行2968
2. 规则：BR-1d3bafb7daf86f8c
3. 未动态验证</x:v>
      </x:c>
    </x:row>
    <x:row r="301" ht="70" customHeight="1">
      <x:c r="A301" s="10" t="n">
        <x:v>300</x:v>
      </x:c>
      <x:c r="B301" s="10" t="str">
        <x:v>ADMIN-07-0057</x:v>
      </x:c>
      <x:c r="C301" s="10" t="str">
        <x:v>运营配置</x:v>
      </x:c>
      <x:c r="D301" s="10" t="str">
        <x:v>通用任务编辑（平台管理员视角）</x:v>
      </x:c>
      <x:c r="E301" s="10" t="str">
        <x:v>业务流程</x:v>
      </x:c>
      <x:c r="F301" s="10" t="str">
        <x:v>P1</x:v>
      </x:c>
      <x:c r="G301" s="9" t="str">
        <x:v>验证任务达成条件不能为空</x:v>
      </x:c>
      <x:c r="H301" s="9" t="str">
        <x:v>任务至少一个条件</x:v>
      </x:c>
      <x:c r="I301" s="9" t="str">
        <x:v>1. 执行角色为平台管理员
2. 其他任务配置合法</x:v>
      </x:c>
      <x:c r="J301" s="9" t="str">
        <x:v>1. 进入通用任务编辑
2. 删除全部条件
3. 点击保存</x:v>
      </x:c>
      <x:c r="K301" s="9" t="str">
        <x:v>不能保存无达成条件任务</x:v>
      </x:c>
      <x:c r="L301" s="10" t="str"/>
      <x:c r="M301" s="10" t="str">
        <x:v>未测</x:v>
      </x:c>
      <x:c r="N301" s="10" t="str"/>
      <x:c r="O301" s="9" t="str">
        <x:v>1. 来源（当前证据）：liveshow-proto/MainBasis/统一需求文档.md；位置：行2971
2. 规则：BR-15a1d6cbea0e8301
3. 未动态验证</x:v>
      </x:c>
    </x:row>
    <x:row r="302" ht="70" customHeight="1">
      <x:c r="A302" s="10" t="n">
        <x:v>301</x:v>
      </x:c>
      <x:c r="B302" s="10" t="str">
        <x:v>ADMIN-07-0058</x:v>
      </x:c>
      <x:c r="C302" s="10" t="str">
        <x:v>运营配置</x:v>
      </x:c>
      <x:c r="D302" s="10" t="str">
        <x:v>通用任务编辑（平台管理员视角）</x:v>
      </x:c>
      <x:c r="E302" s="10" t="str">
        <x:v>业务流程</x:v>
      </x:c>
      <x:c r="F302" s="10" t="str">
        <x:v>P1</x:v>
      </x:c>
      <x:c r="G302" s="9" t="str">
        <x:v>验证同任务阈值不能重复</x:v>
      </x:c>
      <x:c r="H302" s="9" t="str">
        <x:v>任务达成档位去重</x:v>
      </x:c>
      <x:c r="I302" s="9" t="str">
        <x:v>1. 执行角色为平台管理员
2. 现有阈值10，奖励20金币</x:v>
      </x:c>
      <x:c r="J302" s="9" t="str">
        <x:v>1. 进入通用任务编辑
2. 点击添加条件
3. 填写阈值10奖励30
4. 点击保存</x:v>
      </x:c>
      <x:c r="K302" s="9" t="str">
        <x:v>不能保存重复阈值10</x:v>
      </x:c>
      <x:c r="L302" s="10" t="str"/>
      <x:c r="M302" s="10" t="str">
        <x:v>未测</x:v>
      </x:c>
      <x:c r="N302" s="10" t="str"/>
      <x:c r="O302" s="9" t="str">
        <x:v>1. 来源（当前证据）：liveshow-proto/MainBasis/统一需求文档.md；位置：行2971
2. 规则：BR-9ba6e820f1361740
3. 未动态验证</x:v>
      </x:c>
    </x:row>
    <x:row r="303" ht="115" customHeight="1">
      <x:c r="A303" s="10" t="n">
        <x:v>302</x:v>
      </x:c>
      <x:c r="B303" s="10" t="str">
        <x:v>ADMIN-07-0059</x:v>
      </x:c>
      <x:c r="C303" s="10" t="str">
        <x:v>运营配置</x:v>
      </x:c>
      <x:c r="D303" s="10" t="str">
        <x:v>通用任务编辑（平台管理员视角）</x:v>
      </x:c>
      <x:c r="E303" s="10" t="str">
        <x:v>逻辑校验</x:v>
      </x:c>
      <x:c r="F303" s="10" t="str">
        <x:v>P1</x:v>
      </x:c>
      <x:c r="G303" s="9" t="str">
        <x:v>验证通用任务编辑达成奖励输入0</x:v>
      </x:c>
      <x:c r="H303" s="9" t="str">
        <x:v>达成奖励数值边界</x:v>
      </x:c>
      <x:c r="I303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303" s="9" t="str">
        <x:v>1. 进入通用任务编辑
2. 填写达成奖励0
3. 点击保存</x:v>
      </x:c>
      <x:c r="K303" s="9" t="str">
        <x:v>不能保存达成奖励为0的配置</x:v>
      </x:c>
      <x:c r="L303" s="10" t="str"/>
      <x:c r="M303" s="10" t="str">
        <x:v>未测</x:v>
      </x:c>
      <x:c r="N303" s="10" t="str"/>
      <x:c r="O303" s="9" t="str">
        <x:v>1. 来源（当前证据）：liveshow-proto/MainBasis/统一需求文档.md；位置：行2972
2. 规则：BR-d52cf15867c2f512
3. 未动态验证</x:v>
      </x:c>
    </x:row>
    <x:row r="304" ht="115" customHeight="1">
      <x:c r="A304" s="10" t="n">
        <x:v>303</x:v>
      </x:c>
      <x:c r="B304" s="10" t="str">
        <x:v>ADMIN-07-0060</x:v>
      </x:c>
      <x:c r="C304" s="10" t="str">
        <x:v>运营配置</x:v>
      </x:c>
      <x:c r="D304" s="10" t="str">
        <x:v>通用任务编辑（平台管理员视角）</x:v>
      </x:c>
      <x:c r="E304" s="10" t="str">
        <x:v>逻辑校验</x:v>
      </x:c>
      <x:c r="F304" s="10" t="str">
        <x:v>P1</x:v>
      </x:c>
      <x:c r="G304" s="9" t="str">
        <x:v>验证通用任务编辑达成奖励输入1</x:v>
      </x:c>
      <x:c r="H304" s="9" t="str">
        <x:v>达成奖励数值边界</x:v>
      </x:c>
      <x:c r="I304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304" s="9" t="str">
        <x:v>1. 进入通用任务编辑
2. 填写达成奖励1
3. 点击保存</x:v>
      </x:c>
      <x:c r="K304" s="9" t="str">
        <x:v>达成奖励保存为1</x:v>
      </x:c>
      <x:c r="L304" s="10" t="str"/>
      <x:c r="M304" s="10" t="str">
        <x:v>未测</x:v>
      </x:c>
      <x:c r="N304" s="10" t="str"/>
      <x:c r="O304" s="9" t="str">
        <x:v>1. 来源（当前证据）：liveshow-proto/MainBasis/统一需求文档.md；位置：行2972
2. 规则：BR-5635a6c3368e634d
3. 未动态验证</x:v>
      </x:c>
    </x:row>
    <x:row r="305" ht="115" customHeight="1">
      <x:c r="A305" s="10" t="n">
        <x:v>304</x:v>
      </x:c>
      <x:c r="B305" s="10" t="str">
        <x:v>ADMIN-07-0061</x:v>
      </x:c>
      <x:c r="C305" s="10" t="str">
        <x:v>运营配置</x:v>
      </x:c>
      <x:c r="D305" s="10" t="str">
        <x:v>通用任务编辑（平台管理员视角）</x:v>
      </x:c>
      <x:c r="E305" s="10" t="str">
        <x:v>逻辑校验</x:v>
      </x:c>
      <x:c r="F305" s="10" t="str">
        <x:v>P1</x:v>
      </x:c>
      <x:c r="G305" s="9" t="str">
        <x:v>验证通用任务编辑达成奖励输入2</x:v>
      </x:c>
      <x:c r="H305" s="9" t="str">
        <x:v>达成奖励数值边界</x:v>
      </x:c>
      <x:c r="I305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305" s="9" t="str">
        <x:v>1. 进入通用任务编辑
2. 填写达成奖励2
3. 点击保存</x:v>
      </x:c>
      <x:c r="K305" s="9" t="str">
        <x:v>达成奖励保存为2</x:v>
      </x:c>
      <x:c r="L305" s="10" t="str"/>
      <x:c r="M305" s="10" t="str">
        <x:v>未测</x:v>
      </x:c>
      <x:c r="N305" s="10" t="str"/>
      <x:c r="O305" s="9" t="str">
        <x:v>1. 来源（当前证据）：liveshow-proto/MainBasis/统一需求文档.md；位置：行2972
2. 规则：BR-5e021b4251ff2c88
3. 未动态验证</x:v>
      </x:c>
    </x:row>
    <x:row r="306" ht="115" customHeight="1">
      <x:c r="A306" s="10" t="n">
        <x:v>305</x:v>
      </x:c>
      <x:c r="B306" s="10" t="str">
        <x:v>ADMIN-07-0062</x:v>
      </x:c>
      <x:c r="C306" s="10" t="str">
        <x:v>运营配置</x:v>
      </x:c>
      <x:c r="D306" s="10" t="str">
        <x:v>通用任务编辑（平台管理员视角）</x:v>
      </x:c>
      <x:c r="E306" s="10" t="str">
        <x:v>逻辑校验</x:v>
      </x:c>
      <x:c r="F306" s="10" t="str">
        <x:v>P1</x:v>
      </x:c>
      <x:c r="G306" s="9" t="str">
        <x:v>验证通用任务编辑达成奖励输入1.5</x:v>
      </x:c>
      <x:c r="H306" s="9" t="str">
        <x:v>达成奖励数值边界</x:v>
      </x:c>
      <x:c r="I306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306" s="9" t="str">
        <x:v>1. 进入通用任务编辑
2. 填写达成奖励1.5
3. 点击保存</x:v>
      </x:c>
      <x:c r="K306" s="9" t="str">
        <x:v>不能保存达成奖励为1.5的配置</x:v>
      </x:c>
      <x:c r="L306" s="10" t="str"/>
      <x:c r="M306" s="10" t="str">
        <x:v>未测</x:v>
      </x:c>
      <x:c r="N306" s="10" t="str"/>
      <x:c r="O306" s="9" t="str">
        <x:v>1. 来源（当前证据）：liveshow-proto/MainBasis/统一需求文档.md；位置：行2972
2. 规则：BR-52424d538e538b07
3. 未动态验证</x:v>
      </x:c>
    </x:row>
    <x:row r="307" ht="70" customHeight="1">
      <x:c r="A307" s="10" t="n">
        <x:v>306</x:v>
      </x:c>
      <x:c r="B307" s="10" t="str">
        <x:v>ADMIN-07-0063</x:v>
      </x:c>
      <x:c r="C307" s="10" t="str">
        <x:v>运营配置</x:v>
      </x:c>
      <x:c r="D307" s="10" t="str">
        <x:v>通用任务编辑（平台管理员视角）</x:v>
      </x:c>
      <x:c r="E307" s="10" t="str">
        <x:v>业务流程</x:v>
      </x:c>
      <x:c r="F307" s="10" t="str">
        <x:v>P1</x:v>
      </x:c>
      <x:c r="G307" s="9" t="str">
        <x:v>验证切换任务动作重置指标周期</x:v>
      </x:c>
      <x:c r="H307" s="9" t="str">
        <x:v>任务组合联动</x:v>
      </x:c>
      <x:c r="I307" s="9" t="str">
        <x:v>1. 执行角色为平台管理员
2. 当前动作观看，已选观看时长及日周期</x:v>
      </x:c>
      <x:c r="J307" s="9" t="str">
        <x:v>1. 进入通用任务编辑
2. 选择邀请动作</x:v>
      </x:c>
      <x:c r="K307" s="9" t="str">
        <x:v>可选指标和周期按邀请动作重置</x:v>
      </x:c>
      <x:c r="L307" s="10" t="str"/>
      <x:c r="M307" s="10" t="str">
        <x:v>未测</x:v>
      </x:c>
      <x:c r="N307" s="10" t="str"/>
      <x:c r="O307" s="9" t="str">
        <x:v>1. 来源（当前证据）：liveshow-proto/MainBasis/统一需求文档.md；位置：行2974
2. 规则：BR-32cceb55c0391813
3. 未动态验证</x:v>
      </x:c>
    </x:row>
    <x:row r="308" ht="130" customHeight="1">
      <x:c r="A308" s="10" t="n">
        <x:v>307</x:v>
      </x:c>
      <x:c r="B308" s="10" t="str">
        <x:v>ADMIN-07-0064</x:v>
      </x:c>
      <x:c r="C308" s="10" t="str">
        <x:v>运营配置</x:v>
      </x:c>
      <x:c r="D308" s="10" t="str">
        <x:v>公会推荐（平台管理员视角）</x:v>
      </x:c>
      <x:c r="E308" s="10" t="str">
        <x:v>业务流程</x:v>
      </x:c>
      <x:c r="F308" s="10" t="str">
        <x:v>P1</x:v>
      </x:c>
      <x:c r="G308" s="9" t="str">
        <x:v>验证公会只能配置一次推荐</x:v>
      </x:c>
      <x:c r="H308" s="9" t="str">
        <x:v>推荐公会唯一</x:v>
      </x:c>
      <x:c r="I308" s="9" t="str">
        <x:v>1. 执行角色为平台管理员
2. 有效公会甲已在推荐列表</x:v>
      </x:c>
      <x:c r="J308" s="9" t="str">
        <x:v>1. 进入公会推荐编辑
2. 选择公会甲
3. 点击保存</x:v>
      </x:c>
      <x:c r="K308" s="9" t="str">
        <x:v>不能重复推荐公会甲</x:v>
      </x:c>
      <x:c r="L308" s="10" t="str"/>
      <x:c r="M308" s="10" t="str">
        <x:v>未测</x:v>
      </x:c>
      <x:c r="N308" s="10" t="str"/>
      <x:c r="O308" s="9" t="str">
        <x:v>1. 来源（当前证据）：liveshow-proto/MainBasis/统一需求文档.md；位置：行2979、行2988
2. 规则：BR-370f27f68c8b380d
3. 未动态验证
4. 数据别名：甲、乙、丙用于区分本条测试对象；按前置条件准备并记录实际账号或记录 ID，不是固定业务名称。</x:v>
      </x:c>
    </x:row>
    <x:row r="309" ht="115" customHeight="1">
      <x:c r="A309" s="10" t="n">
        <x:v>308</x:v>
      </x:c>
      <x:c r="B309" s="10" t="str">
        <x:v>ADMIN-07-0065</x:v>
      </x:c>
      <x:c r="C309" s="10" t="str">
        <x:v>运营配置</x:v>
      </x:c>
      <x:c r="D309" s="10" t="str">
        <x:v>公会推荐（平台管理员视角）</x:v>
      </x:c>
      <x:c r="E309" s="10" t="str">
        <x:v>业务流程</x:v>
      </x:c>
      <x:c r="F309" s="10" t="str">
        <x:v>P1</x:v>
      </x:c>
      <x:c r="G309" s="9" t="str">
        <x:v>验证移除推荐不改变公会状态</x:v>
      </x:c>
      <x:c r="H309" s="9" t="str">
        <x:v>推荐与公会状态隔离</x:v>
      </x:c>
      <x:c r="I309" s="9" t="str">
        <x:v>1. 执行角色为平台管理员
2. 公会甲启用且已推荐</x:v>
      </x:c>
      <x:c r="J309" s="9" t="str">
        <x:v>1. 进入公会推荐
2. 点击移除甲
3. 点击确认
4. 进入公会甲详情</x:v>
      </x:c>
      <x:c r="K309" s="9" t="str">
        <x:v>公会甲仍为启用</x:v>
      </x:c>
      <x:c r="L309" s="10" t="str"/>
      <x:c r="M309" s="10" t="str">
        <x:v>未测</x:v>
      </x:c>
      <x:c r="N309" s="10" t="str"/>
      <x:c r="O309" s="9" t="str">
        <x:v>1. 来源（当前证据）：liveshow-proto/MainBasis/统一需求文档.md；位置：行2982
2. 规则：BR-d8c4735dc8a889da
3. 未动态验证
4. 数据别名：甲、乙、丙用于区分本条测试对象；按前置条件准备并记录实际账号或记录 ID，不是固定业务名称。</x:v>
      </x:c>
    </x:row>
    <x:row r="310" ht="115" customHeight="1">
      <x:c r="A310" s="10" t="n">
        <x:v>309</x:v>
      </x:c>
      <x:c r="B310" s="10" t="str">
        <x:v>ADMIN-07-0066</x:v>
      </x:c>
      <x:c r="C310" s="10" t="str">
        <x:v>运营配置</x:v>
      </x:c>
      <x:c r="D310" s="10" t="str">
        <x:v>公会推荐（平台管理员视角）</x:v>
      </x:c>
      <x:c r="E310" s="10" t="str">
        <x:v>功能需求</x:v>
      </x:c>
      <x:c r="F310" s="10" t="str">
        <x:v>P2</x:v>
      </x:c>
      <x:c r="G310" s="9" t="str">
        <x:v>验证移除推荐后退出推荐列表</x:v>
      </x:c>
      <x:c r="H310" s="9" t="str">
        <x:v>推荐取消投放</x:v>
      </x:c>
      <x:c r="I310" s="9" t="str">
        <x:v>1. 执行角色为平台管理员
2. 公会甲当前已推荐</x:v>
      </x:c>
      <x:c r="J310" s="9" t="str">
        <x:v>1. 进入公会推荐
2. 点击移除甲
3. 点击确认</x:v>
      </x:c>
      <x:c r="K310" s="9" t="str">
        <x:v>推荐列表不再包含甲</x:v>
      </x:c>
      <x:c r="L310" s="10" t="str"/>
      <x:c r="M310" s="10" t="str">
        <x:v>未测</x:v>
      </x:c>
      <x:c r="N310" s="10" t="str"/>
      <x:c r="O310" s="9" t="str">
        <x:v>1. 来源（当前证据）：liveshow-proto/MainBasis/统一需求文档.md；位置：行2983
2. 规则：BR-8ef4ad8dc1651606
3. 未动态验证
4. 数据别名：甲、乙、丙用于区分本条测试对象；按前置条件准备并记录实际账号或记录 ID，不是固定业务名称。</x:v>
      </x:c>
    </x:row>
    <x:row r="311" ht="115" customHeight="1">
      <x:c r="A311" s="10" t="n">
        <x:v>310</x:v>
      </x:c>
      <x:c r="B311" s="10" t="str">
        <x:v>ADMIN-07-0067</x:v>
      </x:c>
      <x:c r="C311" s="10" t="str">
        <x:v>运营配置</x:v>
      </x:c>
      <x:c r="D311" s="10" t="str">
        <x:v>公会推荐编辑（平台管理员视角）</x:v>
      </x:c>
      <x:c r="E311" s="10" t="str">
        <x:v>逻辑校验</x:v>
      </x:c>
      <x:c r="F311" s="10" t="str">
        <x:v>P1</x:v>
      </x:c>
      <x:c r="G311" s="9" t="str">
        <x:v>验证公会推荐编辑排序权重输入0</x:v>
      </x:c>
      <x:c r="H311" s="9" t="str">
        <x:v>排序权重数值边界</x:v>
      </x:c>
      <x:c r="I311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311" s="9" t="str">
        <x:v>1. 进入公会推荐编辑
2. 填写排序权重0
3. 点击保存</x:v>
      </x:c>
      <x:c r="K311" s="9" t="str">
        <x:v>不能保存排序权重为0的配置</x:v>
      </x:c>
      <x:c r="L311" s="10" t="str"/>
      <x:c r="M311" s="10" t="str">
        <x:v>未测</x:v>
      </x:c>
      <x:c r="N311" s="10" t="str"/>
      <x:c r="O311" s="9" t="str">
        <x:v>1. 来源（当前证据）：liveshow-proto/MainBasis/统一需求文档.md；位置：行2989
2. 规则：BR-ef34266f0f18ac1c
3. 未动态验证</x:v>
      </x:c>
    </x:row>
    <x:row r="312" ht="115" customHeight="1">
      <x:c r="A312" s="10" t="n">
        <x:v>311</x:v>
      </x:c>
      <x:c r="B312" s="10" t="str">
        <x:v>ADMIN-07-0068</x:v>
      </x:c>
      <x:c r="C312" s="10" t="str">
        <x:v>运营配置</x:v>
      </x:c>
      <x:c r="D312" s="10" t="str">
        <x:v>公会推荐编辑（平台管理员视角）</x:v>
      </x:c>
      <x:c r="E312" s="10" t="str">
        <x:v>逻辑校验</x:v>
      </x:c>
      <x:c r="F312" s="10" t="str">
        <x:v>P1</x:v>
      </x:c>
      <x:c r="G312" s="9" t="str">
        <x:v>验证公会推荐编辑排序权重输入1</x:v>
      </x:c>
      <x:c r="H312" s="9" t="str">
        <x:v>排序权重数值边界</x:v>
      </x:c>
      <x:c r="I312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312" s="9" t="str">
        <x:v>1. 进入公会推荐编辑
2. 填写排序权重1
3. 点击保存</x:v>
      </x:c>
      <x:c r="K312" s="9" t="str">
        <x:v>排序权重保存为1</x:v>
      </x:c>
      <x:c r="L312" s="10" t="str"/>
      <x:c r="M312" s="10" t="str">
        <x:v>未测</x:v>
      </x:c>
      <x:c r="N312" s="10" t="str"/>
      <x:c r="O312" s="9" t="str">
        <x:v>1. 来源（当前证据）：liveshow-proto/MainBasis/统一需求文档.md；位置：行2989
2. 规则：BR-cd71cf85611878cc
3. 未动态验证</x:v>
      </x:c>
    </x:row>
    <x:row r="313" ht="115" customHeight="1">
      <x:c r="A313" s="10" t="n">
        <x:v>312</x:v>
      </x:c>
      <x:c r="B313" s="10" t="str">
        <x:v>ADMIN-07-0069</x:v>
      </x:c>
      <x:c r="C313" s="10" t="str">
        <x:v>运营配置</x:v>
      </x:c>
      <x:c r="D313" s="10" t="str">
        <x:v>公会推荐编辑（平台管理员视角）</x:v>
      </x:c>
      <x:c r="E313" s="10" t="str">
        <x:v>逻辑校验</x:v>
      </x:c>
      <x:c r="F313" s="10" t="str">
        <x:v>P1</x:v>
      </x:c>
      <x:c r="G313" s="9" t="str">
        <x:v>验证公会推荐编辑排序权重输入2</x:v>
      </x:c>
      <x:c r="H313" s="9" t="str">
        <x:v>排序权重数值边界</x:v>
      </x:c>
      <x:c r="I313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313" s="9" t="str">
        <x:v>1. 进入公会推荐编辑
2. 填写排序权重2
3. 点击保存</x:v>
      </x:c>
      <x:c r="K313" s="9" t="str">
        <x:v>排序权重保存为2</x:v>
      </x:c>
      <x:c r="L313" s="10" t="str"/>
      <x:c r="M313" s="10" t="str">
        <x:v>未测</x:v>
      </x:c>
      <x:c r="N313" s="10" t="str"/>
      <x:c r="O313" s="9" t="str">
        <x:v>1. 来源（当前证据）：liveshow-proto/MainBasis/统一需求文档.md；位置：行2989
2. 规则：BR-cdc1a521601d1ade
3. 未动态验证</x:v>
      </x:c>
    </x:row>
    <x:row r="314" ht="115" customHeight="1">
      <x:c r="A314" s="10" t="n">
        <x:v>313</x:v>
      </x:c>
      <x:c r="B314" s="10" t="str">
        <x:v>ADMIN-07-0070</x:v>
      </x:c>
      <x:c r="C314" s="10" t="str">
        <x:v>运营配置</x:v>
      </x:c>
      <x:c r="D314" s="10" t="str">
        <x:v>公会推荐编辑（平台管理员视角）</x:v>
      </x:c>
      <x:c r="E314" s="10" t="str">
        <x:v>逻辑校验</x:v>
      </x:c>
      <x:c r="F314" s="10" t="str">
        <x:v>P1</x:v>
      </x:c>
      <x:c r="G314" s="9" t="str">
        <x:v>验证公会推荐编辑排序权重输入1.5</x:v>
      </x:c>
      <x:c r="H314" s="9" t="str">
        <x:v>排序权重数值边界</x:v>
      </x:c>
      <x:c r="I314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314" s="9" t="str">
        <x:v>1. 进入公会推荐编辑
2. 填写排序权重1.5
3. 点击保存</x:v>
      </x:c>
      <x:c r="K314" s="9" t="str">
        <x:v>不能保存排序权重为1.5的配置</x:v>
      </x:c>
      <x:c r="L314" s="10" t="str"/>
      <x:c r="M314" s="10" t="str">
        <x:v>未测</x:v>
      </x:c>
      <x:c r="N314" s="10" t="str"/>
      <x:c r="O314" s="9" t="str">
        <x:v>1. 来源（当前证据）：liveshow-proto/MainBasis/统一需求文档.md；位置：行2989
2. 规则：BR-745922287d4632cf
3. 未动态验证</x:v>
      </x:c>
    </x:row>
    <x:row r="315" ht="115" customHeight="1">
      <x:c r="A315" s="10" t="n">
        <x:v>314</x:v>
      </x:c>
      <x:c r="B315" s="10" t="str">
        <x:v>ADMIN-07-0071</x:v>
      </x:c>
      <x:c r="C315" s="10" t="str">
        <x:v>运营配置</x:v>
      </x:c>
      <x:c r="D315" s="10" t="str">
        <x:v>公会推荐编辑（平台管理员视角）</x:v>
      </x:c>
      <x:c r="E315" s="10" t="str">
        <x:v>功能需求</x:v>
      </x:c>
      <x:c r="F315" s="10" t="str">
        <x:v>P2</x:v>
      </x:c>
      <x:c r="G315" s="9" t="str">
        <x:v>验证重复推荐公会不能保存</x:v>
      </x:c>
      <x:c r="H315" s="9" t="str">
        <x:v>推荐公会唯一</x:v>
      </x:c>
      <x:c r="I315" s="9" t="str">
        <x:v>1. 执行角色为平台管理员
2. 公会甲启用且已有推荐配置</x:v>
      </x:c>
      <x:c r="J315" s="9" t="str">
        <x:v>1. 进入新建公会推荐
2. 选择公会甲
3. 填写排序2
4. 点击保存</x:v>
      </x:c>
      <x:c r="K315" s="9" t="str">
        <x:v>不能重复推荐公会甲</x:v>
      </x:c>
      <x:c r="L315" s="10" t="str"/>
      <x:c r="M315" s="10" t="str">
        <x:v>未测</x:v>
      </x:c>
      <x:c r="N315" s="10" t="str"/>
      <x:c r="O315" s="9" t="str">
        <x:v>1. 来源（当前证据）：liveshow-proto/MainBasis/统一需求文档.md；位置：行2990
2. 规则：BR-e8b56a140b257f52
3. 未动态验证
4. 数据别名：甲、乙、丙用于区分本条测试对象；按前置条件准备并记录实际账号或记录 ID，不是固定业务名称。</x:v>
      </x:c>
    </x:row>
    <x:row r="316" ht="70" customHeight="1">
      <x:c r="A316" s="10" t="n">
        <x:v>315</x:v>
      </x:c>
      <x:c r="B316" s="10" t="str">
        <x:v>ADMIN-07-0072</x:v>
      </x:c>
      <x:c r="C316" s="10" t="str">
        <x:v>运营配置</x:v>
      </x:c>
      <x:c r="D316" s="10" t="str">
        <x:v>直播类型（平台管理员视角）</x:v>
      </x:c>
      <x:c r="E316" s="10" t="str">
        <x:v>功能需求</x:v>
      </x:c>
      <x:c r="F316" s="10" t="str">
        <x:v>P2</x:v>
      </x:c>
      <x:c r="G316" s="9" t="str">
        <x:v>验证直播类型读取类型ID</x:v>
      </x:c>
      <x:c r="H316" s="9" t="str">
        <x:v>类型ID回显</x:v>
      </x:c>
      <x:c r="I316" s="9" t="str">
        <x:v>1. 执行角色为平台管理员
2. 所选直播类型配置的类型ID为“940001”</x:v>
      </x:c>
      <x:c r="J316" s="9" t="str">
        <x:v>1. 进入直播类型
2. 查看类型ID</x:v>
      </x:c>
      <x:c r="K316" s="9" t="str">
        <x:v>类型ID显示“940001”</x:v>
      </x:c>
      <x:c r="L316" s="10" t="str"/>
      <x:c r="M316" s="10" t="str">
        <x:v>未测</x:v>
      </x:c>
      <x:c r="N316" s="10" t="str"/>
      <x:c r="O316" s="9" t="str">
        <x:v>1. 来源（当前证据）：liveshow-proto/MainBasis/统一需求文档.md；位置：行3017
2. 规则：BR-705e2d4b33f2f8ab
3. 未动态验证</x:v>
      </x:c>
    </x:row>
    <x:row r="317" ht="85" customHeight="1">
      <x:c r="A317" s="10" t="n">
        <x:v>316</x:v>
      </x:c>
      <x:c r="B317" s="10" t="str">
        <x:v>ADMIN-07-0073</x:v>
      </x:c>
      <x:c r="C317" s="10" t="str">
        <x:v>运营配置</x:v>
      </x:c>
      <x:c r="D317" s="10" t="str">
        <x:v>直播类型（平台管理员视角）</x:v>
      </x:c>
      <x:c r="E317" s="10" t="str">
        <x:v>逻辑校验</x:v>
      </x:c>
      <x:c r="F317" s="10" t="str">
        <x:v>P1</x:v>
      </x:c>
      <x:c r="G317" s="9" t="str">
        <x:v>验证直播类型缺少中文名称</x:v>
      </x:c>
      <x:c r="H317" s="9" t="str">
        <x:v>中文必填校验</x:v>
      </x:c>
      <x:c r="I317" s="9" t="str">
        <x:v>1. 执行角色为平台管理员
2. 管理员具备当前配置的编辑权限；使用本轮隔离测试记录；除本条修改字段外，其余字段均来自已成功保存的有效配置</x:v>
      </x:c>
      <x:c r="J317" s="9" t="str">
        <x:v>1. 进入直播类型
2. 清空中文名称
3. 点击保存</x:v>
      </x:c>
      <x:c r="K317" s="9" t="str">
        <x:v>不能保存缺少中文名称的配置</x:v>
      </x:c>
      <x:c r="L317" s="10" t="str"/>
      <x:c r="M317" s="10" t="str">
        <x:v>未测</x:v>
      </x:c>
      <x:c r="N317" s="10" t="str"/>
      <x:c r="O317" s="9" t="str">
        <x:v>1. 来源（当前证据）：liveshow-proto/MainBasis/统一需求文档.md；位置：行3018
2. 规则：BR-db73f03556e24254
3. 未动态验证</x:v>
      </x:c>
    </x:row>
    <x:row r="318" ht="85" customHeight="1">
      <x:c r="A318" s="10" t="n">
        <x:v>317</x:v>
      </x:c>
      <x:c r="B318" s="10" t="str">
        <x:v>ADMIN-07-0074</x:v>
      </x:c>
      <x:c r="C318" s="10" t="str">
        <x:v>运营配置</x:v>
      </x:c>
      <x:c r="D318" s="10" t="str">
        <x:v>直播类型（平台管理员视角）</x:v>
      </x:c>
      <x:c r="E318" s="10" t="str">
        <x:v>逻辑校验</x:v>
      </x:c>
      <x:c r="F318" s="10" t="str">
        <x:v>P1</x:v>
      </x:c>
      <x:c r="G318" s="9" t="str">
        <x:v>验证直播类型缺少英语名称</x:v>
      </x:c>
      <x:c r="H318" s="9" t="str">
        <x:v>英语必填校验</x:v>
      </x:c>
      <x:c r="I318" s="9" t="str">
        <x:v>1. 执行角色为平台管理员
2. 管理员具备当前配置的编辑权限；使用本轮隔离测试记录；除本条修改字段外，其余字段均来自已成功保存的有效配置</x:v>
      </x:c>
      <x:c r="J318" s="9" t="str">
        <x:v>1. 进入直播类型
2. 清空英语名称
3. 点击保存</x:v>
      </x:c>
      <x:c r="K318" s="9" t="str">
        <x:v>不能保存缺少英语名称的配置</x:v>
      </x:c>
      <x:c r="L318" s="10" t="str"/>
      <x:c r="M318" s="10" t="str">
        <x:v>未测</x:v>
      </x:c>
      <x:c r="N318" s="10" t="str"/>
      <x:c r="O318" s="9" t="str">
        <x:v>1. 来源（当前证据）：liveshow-proto/MainBasis/统一需求文档.md；位置：行3018
2. 规则：BR-8bc97ea1542b757b
3. 未动态验证</x:v>
      </x:c>
    </x:row>
    <x:row r="319" ht="85" customHeight="1">
      <x:c r="A319" s="10" t="n">
        <x:v>318</x:v>
      </x:c>
      <x:c r="B319" s="10" t="str">
        <x:v>ADMIN-07-0075</x:v>
      </x:c>
      <x:c r="C319" s="10" t="str">
        <x:v>运营配置</x:v>
      </x:c>
      <x:c r="D319" s="10" t="str">
        <x:v>直播类型（平台管理员视角）</x:v>
      </x:c>
      <x:c r="E319" s="10" t="str">
        <x:v>逻辑校验</x:v>
      </x:c>
      <x:c r="F319" s="10" t="str">
        <x:v>P1</x:v>
      </x:c>
      <x:c r="G319" s="9" t="str">
        <x:v>验证直播类型缺少印尼语名称</x:v>
      </x:c>
      <x:c r="H319" s="9" t="str">
        <x:v>印尼语必填校验</x:v>
      </x:c>
      <x:c r="I319" s="9" t="str">
        <x:v>1. 执行角色为平台管理员
2. 管理员具备当前配置的编辑权限；使用本轮隔离测试记录；除本条修改字段外，其余字段均来自已成功保存的有效配置</x:v>
      </x:c>
      <x:c r="J319" s="9" t="str">
        <x:v>1. 进入直播类型
2. 清空印尼语名称
3. 点击保存</x:v>
      </x:c>
      <x:c r="K319" s="9" t="str">
        <x:v>不能保存缺少印尼语名称的配置</x:v>
      </x:c>
      <x:c r="L319" s="10" t="str"/>
      <x:c r="M319" s="10" t="str">
        <x:v>未测</x:v>
      </x:c>
      <x:c r="N319" s="10" t="str"/>
      <x:c r="O319" s="9" t="str">
        <x:v>1. 来源（当前证据）：liveshow-proto/MainBasis/统一需求文档.md；位置：行3018
2. 规则：BR-8ac5f605b134371c
3. 未动态验证</x:v>
      </x:c>
    </x:row>
    <x:row r="320" ht="85" customHeight="1">
      <x:c r="A320" s="10" t="n">
        <x:v>319</x:v>
      </x:c>
      <x:c r="B320" s="10" t="str">
        <x:v>ADMIN-07-0076</x:v>
      </x:c>
      <x:c r="C320" s="10" t="str">
        <x:v>运营配置</x:v>
      </x:c>
      <x:c r="D320" s="10" t="str">
        <x:v>直播类型（平台管理员视角）</x:v>
      </x:c>
      <x:c r="E320" s="10" t="str">
        <x:v>逻辑校验</x:v>
      </x:c>
      <x:c r="F320" s="10" t="str">
        <x:v>P1</x:v>
      </x:c>
      <x:c r="G320" s="9" t="str">
        <x:v>验证直播类型缺少马来语名称</x:v>
      </x:c>
      <x:c r="H320" s="9" t="str">
        <x:v>马来语必填校验</x:v>
      </x:c>
      <x:c r="I320" s="9" t="str">
        <x:v>1. 执行角色为平台管理员
2. 管理员具备当前配置的编辑权限；使用本轮隔离测试记录；除本条修改字段外，其余字段均来自已成功保存的有效配置</x:v>
      </x:c>
      <x:c r="J320" s="9" t="str">
        <x:v>1. 进入直播类型
2. 清空马来语名称
3. 点击保存</x:v>
      </x:c>
      <x:c r="K320" s="9" t="str">
        <x:v>不能保存缺少马来语名称的配置</x:v>
      </x:c>
      <x:c r="L320" s="10" t="str"/>
      <x:c r="M320" s="10" t="str">
        <x:v>未测</x:v>
      </x:c>
      <x:c r="N320" s="10" t="str"/>
      <x:c r="O320" s="9" t="str">
        <x:v>1. 来源（当前证据）：liveshow-proto/MainBasis/统一需求文档.md；位置：行3018
2. 规则：BR-182a6e28d1b9662c
3. 未动态验证</x:v>
      </x:c>
    </x:row>
    <x:row r="321" ht="115" customHeight="1">
      <x:c r="A321" s="10" t="n">
        <x:v>320</x:v>
      </x:c>
      <x:c r="B321" s="10" t="str">
        <x:v>ADMIN-07-0077</x:v>
      </x:c>
      <x:c r="C321" s="10" t="str">
        <x:v>运营配置</x:v>
      </x:c>
      <x:c r="D321" s="10" t="str">
        <x:v>直播类型（平台管理员视角）</x:v>
      </x:c>
      <x:c r="E321" s="10" t="str">
        <x:v>业务流程</x:v>
      </x:c>
      <x:c r="F321" s="10" t="str">
        <x:v>P1</x:v>
      </x:c>
      <x:c r="G321" s="9" t="str">
        <x:v>验证停用直播分类保留本场快照</x:v>
      </x:c>
      <x:c r="H321" s="9" t="str">
        <x:v>分类停用影响范围</x:v>
      </x:c>
      <x:c r="I321" s="9" t="str">
        <x:v>1. 执行角色为平台管理员
2. 场次甲正在使用音乐分类</x:v>
      </x:c>
      <x:c r="J321" s="9" t="str">
        <x:v>1. 进入直播类型
2. 点击停用音乐
3. 点击确认
4. 进入场次甲详情</x:v>
      </x:c>
      <x:c r="K321" s="9" t="str">
        <x:v>本场分类仍为音乐</x:v>
      </x:c>
      <x:c r="L321" s="10" t="str"/>
      <x:c r="M321" s="10" t="str">
        <x:v>未测</x:v>
      </x:c>
      <x:c r="N321" s="10" t="str"/>
      <x:c r="O321" s="9" t="str">
        <x:v>1. 来源（当前证据）：liveshow-proto/MainBasis/统一需求文档.md；位置：行3020
2. 规则：BR-b43fbad651773062
3. 未动态验证
4. 数据别名：甲、乙、丙用于区分本条测试对象；按前置条件准备并记录实际账号或记录 ID，不是固定业务名称。</x:v>
      </x:c>
    </x:row>
    <x:row r="322" ht="70" customHeight="1">
      <x:c r="A322" s="10" t="n">
        <x:v>321</x:v>
      </x:c>
      <x:c r="B322" s="10" t="str">
        <x:v>ADMIN-07-0078</x:v>
      </x:c>
      <x:c r="C322" s="10" t="str">
        <x:v>运营配置</x:v>
      </x:c>
      <x:c r="D322" s="10" t="str">
        <x:v>直播房型（平台管理员视角）</x:v>
      </x:c>
      <x:c r="E322" s="10" t="str">
        <x:v>业务流程</x:v>
      </x:c>
      <x:c r="F322" s="10" t="str">
        <x:v>P1</x:v>
      </x:c>
      <x:c r="G322" s="9" t="str">
        <x:v>验证预置房型不能新增或改名</x:v>
      </x:c>
      <x:c r="H322" s="9" t="str">
        <x:v>房型种类固定</x:v>
      </x:c>
      <x:c r="I322" s="9" t="str">
        <x:v>1. 执行角色为平台管理员
2. 管理员有房型配置权限</x:v>
      </x:c>
      <x:c r="J322" s="9" t="str">
        <x:v>1. 进入直播房型</x:v>
      </x:c>
      <x:c r="K322" s="9" t="str">
        <x:v>不提供新增房型或修改名称入口</x:v>
      </x:c>
      <x:c r="L322" s="10" t="str"/>
      <x:c r="M322" s="10" t="str">
        <x:v>未测</x:v>
      </x:c>
      <x:c r="N322" s="10" t="str"/>
      <x:c r="O322" s="9" t="str">
        <x:v>1. 来源（当前证据）：liveshow-proto/MainBasis/统一需求文档.md；位置：行3026
2. 规则：BR-7d5629a0eed1c023
3. 未动态验证</x:v>
      </x:c>
    </x:row>
    <x:row r="323" ht="115" customHeight="1">
      <x:c r="A323" s="10" t="n">
        <x:v>322</x:v>
      </x:c>
      <x:c r="B323" s="10" t="str">
        <x:v>ADMIN-07-0079</x:v>
      </x:c>
      <x:c r="C323" s="10" t="str">
        <x:v>运营配置</x:v>
      </x:c>
      <x:c r="D323" s="10" t="str">
        <x:v>直播房型（平台管理员视角）</x:v>
      </x:c>
      <x:c r="E323" s="10" t="str">
        <x:v>功能需求</x:v>
      </x:c>
      <x:c r="F323" s="10" t="str">
        <x:v>P2</x:v>
      </x:c>
      <x:c r="G323" s="9" t="str">
        <x:v>验证直播房型读取最后操作人</x:v>
      </x:c>
      <x:c r="H323" s="9" t="str">
        <x:v>最后操作人回显</x:v>
      </x:c>
      <x:c r="I323" s="9" t="str">
        <x:v>1. 执行角色为平台管理员
2. 当前房型开关最近修改记录的最后操作人为“管理员甲”</x:v>
      </x:c>
      <x:c r="J323" s="9" t="str">
        <x:v>1. 进入直播房型
2. 查看最后操作人</x:v>
      </x:c>
      <x:c r="K323" s="9" t="str">
        <x:v>最后操作人显示“管理员甲”</x:v>
      </x:c>
      <x:c r="L323" s="10" t="str"/>
      <x:c r="M323" s="10" t="str">
        <x:v>未测</x:v>
      </x:c>
      <x:c r="N323" s="10" t="str"/>
      <x:c r="O323" s="9" t="str">
        <x:v>1. 来源（当前证据）：liveshow-proto/MainBasis/统一需求文档.md；位置：行3028
2. 规则：BR-82855d693ebc8ccc
3. 未动态验证
4. 数据别名：甲、乙、丙用于区分本条测试对象；按前置条件准备并记录实际账号或记录 ID，不是固定业务名称。</x:v>
      </x:c>
    </x:row>
    <x:row r="324" ht="115" customHeight="1">
      <x:c r="A324" s="10" t="n">
        <x:v>323</x:v>
      </x:c>
      <x:c r="B324" s="10" t="str">
        <x:v>ADMIN-07-0080</x:v>
      </x:c>
      <x:c r="C324" s="10" t="str">
        <x:v>运营配置</x:v>
      </x:c>
      <x:c r="D324" s="10" t="str">
        <x:v>直播房型（平台管理员视角）</x:v>
      </x:c>
      <x:c r="E324" s="10" t="str">
        <x:v>业务流程</x:v>
      </x:c>
      <x:c r="F324" s="10" t="str">
        <x:v>P1</x:v>
      </x:c>
      <x:c r="G324" s="9" t="str">
        <x:v>验证关闭门票房不终止已开场次</x:v>
      </x:c>
      <x:c r="H324" s="9" t="str">
        <x:v>房型开关影响范围</x:v>
      </x:c>
      <x:c r="I324" s="9" t="str">
        <x:v>1. 执行角色为平台管理员
2. 门票场次甲正在直播</x:v>
      </x:c>
      <x:c r="J324" s="9" t="str">
        <x:v>1. 进入直播房型
2. 关闭门票房
3. 进入场次甲详情</x:v>
      </x:c>
      <x:c r="K324" s="9" t="str">
        <x:v>场次甲继续直播</x:v>
      </x:c>
      <x:c r="L324" s="10" t="str"/>
      <x:c r="M324" s="10" t="str">
        <x:v>未测</x:v>
      </x:c>
      <x:c r="N324" s="10" t="str"/>
      <x:c r="O324" s="9" t="str">
        <x:v>1. 来源（当前证据）：liveshow-proto/MainBasis/统一需求文档.md；位置：行3029
2. 规则：BR-789d51caffef3caa
3. 未动态验证
4. 数据别名：甲、乙、丙用于区分本条测试对象；按前置条件准备并记录实际账号或记录 ID，不是固定业务名称。</x:v>
      </x:c>
    </x:row>
    <x:row r="325" ht="70" customHeight="1">
      <x:c r="A325" s="10" t="n">
        <x:v>324</x:v>
      </x:c>
      <x:c r="B325" s="10" t="str">
        <x:v>ADMIN-07-0081</x:v>
      </x:c>
      <x:c r="C325" s="10" t="str">
        <x:v>运营配置</x:v>
      </x:c>
      <x:c r="D325" s="10" t="str">
        <x:v>直播房型（平台管理员视角）</x:v>
      </x:c>
      <x:c r="E325" s="10" t="str">
        <x:v>功能需求</x:v>
      </x:c>
      <x:c r="F325" s="10" t="str">
        <x:v>P2</x:v>
      </x:c>
      <x:c r="G325" s="9" t="str">
        <x:v>验证房型配置进入门票档位</x:v>
      </x:c>
      <x:c r="H325" s="9" t="str">
        <x:v>门票档位入口</x:v>
      </x:c>
      <x:c r="I325" s="9" t="str">
        <x:v>1. 执行角色为平台管理员
2. 当前管理员有配置权限</x:v>
      </x:c>
      <x:c r="J325" s="9" t="str">
        <x:v>1. 进入直播房型
2. 点击门票房价格配置</x:v>
      </x:c>
      <x:c r="K325" s="9" t="str">
        <x:v>进入价格档位列表</x:v>
      </x:c>
      <x:c r="L325" s="10" t="str"/>
      <x:c r="M325" s="10" t="str">
        <x:v>未测</x:v>
      </x:c>
      <x:c r="N325" s="10" t="str"/>
      <x:c r="O325" s="9" t="str">
        <x:v>1. 来源（当前证据）：liveshow-proto/MainBasis/统一需求文档.md；位置：行3030
2. 规则：BR-b88270ee1b1b74fe
3. 未动态验证</x:v>
      </x:c>
    </x:row>
    <x:row r="326" ht="70" customHeight="1">
      <x:c r="A326" s="10" t="n">
        <x:v>325</x:v>
      </x:c>
      <x:c r="B326" s="10" t="str">
        <x:v>ADMIN-07-0082</x:v>
      </x:c>
      <x:c r="C326" s="10" t="str">
        <x:v>运营配置</x:v>
      </x:c>
      <x:c r="D326" s="10" t="str">
        <x:v>门票价格档位（平台管理员视角）</x:v>
      </x:c>
      <x:c r="E326" s="10" t="str">
        <x:v>功能需求</x:v>
      </x:c>
      <x:c r="F326" s="10" t="str">
        <x:v>P2</x:v>
      </x:c>
      <x:c r="G326" s="9" t="str">
        <x:v>验证门票价格档位读取档位ID</x:v>
      </x:c>
      <x:c r="H326" s="9" t="str">
        <x:v>档位ID回显</x:v>
      </x:c>
      <x:c r="I326" s="9" t="str">
        <x:v>1. 执行角色为平台管理员
2. 所选票价档位配置的档位ID为“950001”</x:v>
      </x:c>
      <x:c r="J326" s="9" t="str">
        <x:v>1. 进入门票价格档位
2. 查看档位ID</x:v>
      </x:c>
      <x:c r="K326" s="9" t="str">
        <x:v>档位ID显示“950001”</x:v>
      </x:c>
      <x:c r="L326" s="10" t="str"/>
      <x:c r="M326" s="10" t="str">
        <x:v>未测</x:v>
      </x:c>
      <x:c r="N326" s="10" t="str"/>
      <x:c r="O326" s="9" t="str">
        <x:v>1. 来源（当前证据）：liveshow-proto/MainBasis/统一需求文档.md；位置：行3035
2. 规则：BR-cadc069b8d8fe644
3. 未动态验证</x:v>
      </x:c>
    </x:row>
    <x:row r="327" ht="115" customHeight="1">
      <x:c r="A327" s="10" t="n">
        <x:v>326</x:v>
      </x:c>
      <x:c r="B327" s="10" t="str">
        <x:v>ADMIN-07-0083</x:v>
      </x:c>
      <x:c r="C327" s="10" t="str">
        <x:v>运营配置</x:v>
      </x:c>
      <x:c r="D327" s="10" t="str">
        <x:v>门票价格档位（平台管理员视角）</x:v>
      </x:c>
      <x:c r="E327" s="10" t="str">
        <x:v>功能需求</x:v>
      </x:c>
      <x:c r="F327" s="10" t="str">
        <x:v>P2</x:v>
      </x:c>
      <x:c r="G327" s="9" t="str">
        <x:v>验证门票排序越小越靠前</x:v>
      </x:c>
      <x:c r="H327" s="9" t="str">
        <x:v>门票档位排序方向</x:v>
      </x:c>
      <x:c r="I327" s="9" t="str">
        <x:v>1. 执行角色为平台管理员
2. 甲价格100排序2，乙价格200排序1，均启用</x:v>
      </x:c>
      <x:c r="J327" s="9" t="str">
        <x:v>1. 进入门票价格档位</x:v>
      </x:c>
      <x:c r="K327" s="9" t="str">
        <x:v>乙排在甲之前</x:v>
      </x:c>
      <x:c r="L327" s="10" t="str"/>
      <x:c r="M327" s="10" t="str">
        <x:v>未测</x:v>
      </x:c>
      <x:c r="N327" s="10" t="str"/>
      <x:c r="O327" s="9" t="str">
        <x:v>1. 来源（当前证据）：liveshow-proto/MainBasis/统一需求文档.md；位置：行3038
2. 规则：BR-fe45687709d823be
3. 未动态验证
4. 数据别名：甲、乙、丙用于区分本条测试对象；按前置条件准备并记录实际账号或记录 ID，不是固定业务名称。</x:v>
      </x:c>
    </x:row>
    <x:row r="328" ht="70" customHeight="1">
      <x:c r="A328" s="10" t="n">
        <x:v>327</x:v>
      </x:c>
      <x:c r="B328" s="10" t="str">
        <x:v>ADMIN-07-0084</x:v>
      </x:c>
      <x:c r="C328" s="10" t="str">
        <x:v>运营配置</x:v>
      </x:c>
      <x:c r="D328" s="10" t="str">
        <x:v>门票价格档位（平台管理员视角）</x:v>
      </x:c>
      <x:c r="E328" s="10" t="str">
        <x:v>业务流程</x:v>
      </x:c>
      <x:c r="F328" s="10" t="str">
        <x:v>P1</x:v>
      </x:c>
      <x:c r="G328" s="9" t="str">
        <x:v>验证最后有效票价不得停用</x:v>
      </x:c>
      <x:c r="H328" s="9" t="str">
        <x:v>门票最低可用档位</x:v>
      </x:c>
      <x:c r="I328" s="9" t="str">
        <x:v>1. 执行角色为平台管理员
2. 仅100金币档位启用，200已停用</x:v>
      </x:c>
      <x:c r="J328" s="9" t="str">
        <x:v>1. 进入门票价格档位
2. 点击停用100金币</x:v>
      </x:c>
      <x:c r="K328" s="9" t="str">
        <x:v>提示不能停用最后一个有效档位</x:v>
      </x:c>
      <x:c r="L328" s="10" t="str"/>
      <x:c r="M328" s="10" t="str">
        <x:v>未测</x:v>
      </x:c>
      <x:c r="N328" s="10" t="str"/>
      <x:c r="O328" s="9" t="str">
        <x:v>1. 来源（当前证据）：liveshow-proto/MainBasis/统一需求文档.md；位置：行3040
2. 规则：BR-7a93c94e5d51159b
3. 未动态验证</x:v>
      </x:c>
    </x:row>
    <x:row r="329" ht="70" customHeight="1">
      <x:c r="A329" s="10" t="n">
        <x:v>328</x:v>
      </x:c>
      <x:c r="B329" s="10" t="str">
        <x:v>ADMIN-07-0085</x:v>
      </x:c>
      <x:c r="C329" s="10" t="str">
        <x:v>运营配置</x:v>
      </x:c>
      <x:c r="D329" s="10" t="str">
        <x:v>门票价格档位编辑（平台管理员视角）</x:v>
      </x:c>
      <x:c r="E329" s="10" t="str">
        <x:v>功能需求</x:v>
      </x:c>
      <x:c r="F329" s="10" t="str">
        <x:v>P2</x:v>
      </x:c>
      <x:c r="G329" s="9" t="str">
        <x:v>验证门票价格档位编辑已创建标识不可修改</x:v>
      </x:c>
      <x:c r="H329" s="9" t="str">
        <x:v>档位ID只读</x:v>
      </x:c>
      <x:c r="I329" s="9" t="str">
        <x:v>1. 执行角色为平台管理员
2. 门票价格档位编辑对应记录已成功创建</x:v>
      </x:c>
      <x:c r="J329" s="9" t="str">
        <x:v>1. 进入门票价格档位编辑
2. 点击档位ID</x:v>
      </x:c>
      <x:c r="K329" s="9" t="str">
        <x:v>档位ID不可编辑</x:v>
      </x:c>
      <x:c r="L329" s="10" t="str"/>
      <x:c r="M329" s="10" t="str">
        <x:v>未测</x:v>
      </x:c>
      <x:c r="N329" s="10" t="str"/>
      <x:c r="O329" s="9" t="str">
        <x:v>1. 来源（当前证据）：liveshow-proto/MainBasis/统一需求文档.md；位置：行3045
2. 规则：BR-83d9120b73e126e3
3. 未动态验证</x:v>
      </x:c>
    </x:row>
    <x:row r="330" ht="115" customHeight="1">
      <x:c r="A330" s="10" t="n">
        <x:v>329</x:v>
      </x:c>
      <x:c r="B330" s="10" t="str">
        <x:v>ADMIN-07-0086</x:v>
      </x:c>
      <x:c r="C330" s="10" t="str">
        <x:v>运营配置</x:v>
      </x:c>
      <x:c r="D330" s="10" t="str">
        <x:v>门票价格档位编辑（平台管理员视角）</x:v>
      </x:c>
      <x:c r="E330" s="10" t="str">
        <x:v>逻辑校验</x:v>
      </x:c>
      <x:c r="F330" s="10" t="str">
        <x:v>P1</x:v>
      </x:c>
      <x:c r="G330" s="9" t="str">
        <x:v>验证门票价格档位编辑门票价格输入0</x:v>
      </x:c>
      <x:c r="H330" s="9" t="str">
        <x:v>门票价格数值边界</x:v>
      </x:c>
      <x:c r="I330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330" s="9" t="str">
        <x:v>1. 进入门票价格档位编辑
2. 填写门票价格0
3. 点击保存</x:v>
      </x:c>
      <x:c r="K330" s="9" t="str">
        <x:v>不能保存门票价格为0的配置</x:v>
      </x:c>
      <x:c r="L330" s="10" t="str"/>
      <x:c r="M330" s="10" t="str">
        <x:v>未测</x:v>
      </x:c>
      <x:c r="N330" s="10" t="str"/>
      <x:c r="O330" s="9" t="str">
        <x:v>1. 来源（当前证据）：liveshow-proto/MainBasis/统一需求文档.md；位置：行3046
2. 规则：BR-5d290464adb2b6af
3. 未动态验证</x:v>
      </x:c>
    </x:row>
    <x:row r="331" ht="115" customHeight="1">
      <x:c r="A331" s="10" t="n">
        <x:v>330</x:v>
      </x:c>
      <x:c r="B331" s="10" t="str">
        <x:v>ADMIN-07-0087</x:v>
      </x:c>
      <x:c r="C331" s="10" t="str">
        <x:v>运营配置</x:v>
      </x:c>
      <x:c r="D331" s="10" t="str">
        <x:v>门票价格档位编辑（平台管理员视角）</x:v>
      </x:c>
      <x:c r="E331" s="10" t="str">
        <x:v>逻辑校验</x:v>
      </x:c>
      <x:c r="F331" s="10" t="str">
        <x:v>P1</x:v>
      </x:c>
      <x:c r="G331" s="9" t="str">
        <x:v>验证门票价格档位编辑门票价格输入1</x:v>
      </x:c>
      <x:c r="H331" s="9" t="str">
        <x:v>门票价格数值边界</x:v>
      </x:c>
      <x:c r="I331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331" s="9" t="str">
        <x:v>1. 进入门票价格档位编辑
2. 填写门票价格1
3. 点击保存</x:v>
      </x:c>
      <x:c r="K331" s="9" t="str">
        <x:v>门票价格保存为1</x:v>
      </x:c>
      <x:c r="L331" s="10" t="str"/>
      <x:c r="M331" s="10" t="str">
        <x:v>未测</x:v>
      </x:c>
      <x:c r="N331" s="10" t="str"/>
      <x:c r="O331" s="9" t="str">
        <x:v>1. 来源（当前证据）：liveshow-proto/MainBasis/统一需求文档.md；位置：行3046
2. 规则：BR-c31d2c3c5c08eddf
3. 未动态验证</x:v>
      </x:c>
    </x:row>
    <x:row r="332" ht="115" customHeight="1">
      <x:c r="A332" s="10" t="n">
        <x:v>331</x:v>
      </x:c>
      <x:c r="B332" s="10" t="str">
        <x:v>ADMIN-07-0088</x:v>
      </x:c>
      <x:c r="C332" s="10" t="str">
        <x:v>运营配置</x:v>
      </x:c>
      <x:c r="D332" s="10" t="str">
        <x:v>门票价格档位编辑（平台管理员视角）</x:v>
      </x:c>
      <x:c r="E332" s="10" t="str">
        <x:v>逻辑校验</x:v>
      </x:c>
      <x:c r="F332" s="10" t="str">
        <x:v>P1</x:v>
      </x:c>
      <x:c r="G332" s="9" t="str">
        <x:v>验证门票价格档位编辑门票价格输入2</x:v>
      </x:c>
      <x:c r="H332" s="9" t="str">
        <x:v>门票价格数值边界</x:v>
      </x:c>
      <x:c r="I332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332" s="9" t="str">
        <x:v>1. 进入门票价格档位编辑
2. 填写门票价格2
3. 点击保存</x:v>
      </x:c>
      <x:c r="K332" s="9" t="str">
        <x:v>门票价格保存为2</x:v>
      </x:c>
      <x:c r="L332" s="10" t="str"/>
      <x:c r="M332" s="10" t="str">
        <x:v>未测</x:v>
      </x:c>
      <x:c r="N332" s="10" t="str"/>
      <x:c r="O332" s="9" t="str">
        <x:v>1. 来源（当前证据）：liveshow-proto/MainBasis/统一需求文档.md；位置：行3046
2. 规则：BR-5d9ed4359f9e55b5
3. 未动态验证</x:v>
      </x:c>
    </x:row>
    <x:row r="333" ht="115" customHeight="1">
      <x:c r="A333" s="10" t="n">
        <x:v>332</x:v>
      </x:c>
      <x:c r="B333" s="10" t="str">
        <x:v>ADMIN-07-0089</x:v>
      </x:c>
      <x:c r="C333" s="10" t="str">
        <x:v>运营配置</x:v>
      </x:c>
      <x:c r="D333" s="10" t="str">
        <x:v>门票价格档位编辑（平台管理员视角）</x:v>
      </x:c>
      <x:c r="E333" s="10" t="str">
        <x:v>逻辑校验</x:v>
      </x:c>
      <x:c r="F333" s="10" t="str">
        <x:v>P1</x:v>
      </x:c>
      <x:c r="G333" s="9" t="str">
        <x:v>验证门票价格档位编辑门票价格输入1.5</x:v>
      </x:c>
      <x:c r="H333" s="9" t="str">
        <x:v>门票价格数值边界</x:v>
      </x:c>
      <x:c r="I333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333" s="9" t="str">
        <x:v>1. 进入门票价格档位编辑
2. 填写门票价格1.5
3. 点击保存</x:v>
      </x:c>
      <x:c r="K333" s="9" t="str">
        <x:v>不能保存门票价格为1.5的配置</x:v>
      </x:c>
      <x:c r="L333" s="10" t="str"/>
      <x:c r="M333" s="10" t="str">
        <x:v>未测</x:v>
      </x:c>
      <x:c r="N333" s="10" t="str"/>
      <x:c r="O333" s="9" t="str">
        <x:v>1. 来源（当前证据）：liveshow-proto/MainBasis/统一需求文档.md；位置：行3046
2. 规则：BR-60289dc5559361f5
3. 未动态验证</x:v>
      </x:c>
    </x:row>
    <x:row r="334" ht="70" customHeight="1">
      <x:c r="A334" s="10" t="n">
        <x:v>333</x:v>
      </x:c>
      <x:c r="B334" s="10" t="str">
        <x:v>ADMIN-07-0090</x:v>
      </x:c>
      <x:c r="C334" s="10" t="str">
        <x:v>运营配置</x:v>
      </x:c>
      <x:c r="D334" s="10" t="str">
        <x:v>门票价格档位编辑（平台管理员视角）</x:v>
      </x:c>
      <x:c r="E334" s="10" t="str">
        <x:v>业务流程</x:v>
      </x:c>
      <x:c r="F334" s="10" t="str">
        <x:v>P1</x:v>
      </x:c>
      <x:c r="G334" s="9" t="str">
        <x:v>验证门票价格不能重复</x:v>
      </x:c>
      <x:c r="H334" s="9" t="str">
        <x:v>门票金额唯一</x:v>
      </x:c>
      <x:c r="I334" s="9" t="str">
        <x:v>1. 执行角色为平台管理员
2. 已有100金币档位</x:v>
      </x:c>
      <x:c r="J334" s="9" t="str">
        <x:v>1. 进入新建门票档位
2. 输入价格100
3. 输入排序2
4. 点击保存</x:v>
      </x:c>
      <x:c r="K334" s="9" t="str">
        <x:v>不能保存重复100金币档位</x:v>
      </x:c>
      <x:c r="L334" s="10" t="str"/>
      <x:c r="M334" s="10" t="str">
        <x:v>未测</x:v>
      </x:c>
      <x:c r="N334" s="10" t="str"/>
      <x:c r="O334" s="9" t="str">
        <x:v>1. 来源（当前证据）：liveshow-proto/MainBasis/统一需求文档.md；位置：行3046
2. 规则：BR-54d9012b48e5a4f1
3. 未动态验证</x:v>
      </x:c>
    </x:row>
    <x:row r="335" ht="115" customHeight="1">
      <x:c r="A335" s="10" t="n">
        <x:v>334</x:v>
      </x:c>
      <x:c r="B335" s="10" t="str">
        <x:v>ADMIN-07-0091</x:v>
      </x:c>
      <x:c r="C335" s="10" t="str">
        <x:v>运营配置</x:v>
      </x:c>
      <x:c r="D335" s="10" t="str">
        <x:v>门票价格档位编辑（平台管理员视角）</x:v>
      </x:c>
      <x:c r="E335" s="10" t="str">
        <x:v>逻辑校验</x:v>
      </x:c>
      <x:c r="F335" s="10" t="str">
        <x:v>P1</x:v>
      </x:c>
      <x:c r="G335" s="9" t="str">
        <x:v>验证门票价格档位编辑排序输入0</x:v>
      </x:c>
      <x:c r="H335" s="9" t="str">
        <x:v>排序数值边界</x:v>
      </x:c>
      <x:c r="I335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335" s="9" t="str">
        <x:v>1. 进入门票价格档位编辑
2. 填写排序0
3. 点击保存</x:v>
      </x:c>
      <x:c r="K335" s="9" t="str">
        <x:v>不能保存排序为0的配置</x:v>
      </x:c>
      <x:c r="L335" s="10" t="str"/>
      <x:c r="M335" s="10" t="str">
        <x:v>未测</x:v>
      </x:c>
      <x:c r="N335" s="10" t="str"/>
      <x:c r="O335" s="9" t="str">
        <x:v>1. 来源（当前证据）：liveshow-proto/MainBasis/统一需求文档.md；位置：行3047
2. 规则：BR-157b8ba177a2ef2d
3. 未动态验证</x:v>
      </x:c>
    </x:row>
    <x:row r="336" ht="115" customHeight="1">
      <x:c r="A336" s="10" t="n">
        <x:v>335</x:v>
      </x:c>
      <x:c r="B336" s="10" t="str">
        <x:v>ADMIN-07-0092</x:v>
      </x:c>
      <x:c r="C336" s="10" t="str">
        <x:v>运营配置</x:v>
      </x:c>
      <x:c r="D336" s="10" t="str">
        <x:v>门票价格档位编辑（平台管理员视角）</x:v>
      </x:c>
      <x:c r="E336" s="10" t="str">
        <x:v>逻辑校验</x:v>
      </x:c>
      <x:c r="F336" s="10" t="str">
        <x:v>P1</x:v>
      </x:c>
      <x:c r="G336" s="9" t="str">
        <x:v>验证门票价格档位编辑排序输入1</x:v>
      </x:c>
      <x:c r="H336" s="9" t="str">
        <x:v>排序数值边界</x:v>
      </x:c>
      <x:c r="I336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336" s="9" t="str">
        <x:v>1. 进入门票价格档位编辑
2. 填写排序1
3. 点击保存</x:v>
      </x:c>
      <x:c r="K336" s="9" t="str">
        <x:v>排序保存为1</x:v>
      </x:c>
      <x:c r="L336" s="10" t="str"/>
      <x:c r="M336" s="10" t="str">
        <x:v>未测</x:v>
      </x:c>
      <x:c r="N336" s="10" t="str"/>
      <x:c r="O336" s="9" t="str">
        <x:v>1. 来源（当前证据）：liveshow-proto/MainBasis/统一需求文档.md；位置：行3047
2. 规则：BR-8679c96b86e557a3
3. 未动态验证</x:v>
      </x:c>
    </x:row>
    <x:row r="337" ht="115" customHeight="1">
      <x:c r="A337" s="10" t="n">
        <x:v>336</x:v>
      </x:c>
      <x:c r="B337" s="10" t="str">
        <x:v>ADMIN-07-0093</x:v>
      </x:c>
      <x:c r="C337" s="10" t="str">
        <x:v>运营配置</x:v>
      </x:c>
      <x:c r="D337" s="10" t="str">
        <x:v>门票价格档位编辑（平台管理员视角）</x:v>
      </x:c>
      <x:c r="E337" s="10" t="str">
        <x:v>逻辑校验</x:v>
      </x:c>
      <x:c r="F337" s="10" t="str">
        <x:v>P1</x:v>
      </x:c>
      <x:c r="G337" s="9" t="str">
        <x:v>验证门票价格档位编辑排序输入2</x:v>
      </x:c>
      <x:c r="H337" s="9" t="str">
        <x:v>排序数值边界</x:v>
      </x:c>
      <x:c r="I337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337" s="9" t="str">
        <x:v>1. 进入门票价格档位编辑
2. 填写排序2
3. 点击保存</x:v>
      </x:c>
      <x:c r="K337" s="9" t="str">
        <x:v>排序保存为2</x:v>
      </x:c>
      <x:c r="L337" s="10" t="str"/>
      <x:c r="M337" s="10" t="str">
        <x:v>未测</x:v>
      </x:c>
      <x:c r="N337" s="10" t="str"/>
      <x:c r="O337" s="9" t="str">
        <x:v>1. 来源（当前证据）：liveshow-proto/MainBasis/统一需求文档.md；位置：行3047
2. 规则：BR-65d3fa97f26294a9
3. 未动态验证</x:v>
      </x:c>
    </x:row>
    <x:row r="338" ht="115" customHeight="1">
      <x:c r="A338" s="10" t="n">
        <x:v>337</x:v>
      </x:c>
      <x:c r="B338" s="10" t="str">
        <x:v>ADMIN-07-0094</x:v>
      </x:c>
      <x:c r="C338" s="10" t="str">
        <x:v>运营配置</x:v>
      </x:c>
      <x:c r="D338" s="10" t="str">
        <x:v>门票价格档位编辑（平台管理员视角）</x:v>
      </x:c>
      <x:c r="E338" s="10" t="str">
        <x:v>逻辑校验</x:v>
      </x:c>
      <x:c r="F338" s="10" t="str">
        <x:v>P1</x:v>
      </x:c>
      <x:c r="G338" s="9" t="str">
        <x:v>验证门票价格档位编辑排序输入1.5</x:v>
      </x:c>
      <x:c r="H338" s="9" t="str">
        <x:v>排序数值边界</x:v>
      </x:c>
      <x:c r="I338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338" s="9" t="str">
        <x:v>1. 进入门票价格档位编辑
2. 填写排序1.5
3. 点击保存</x:v>
      </x:c>
      <x:c r="K338" s="9" t="str">
        <x:v>不能保存排序为1.5的配置</x:v>
      </x:c>
      <x:c r="L338" s="10" t="str"/>
      <x:c r="M338" s="10" t="str">
        <x:v>未测</x:v>
      </x:c>
      <x:c r="N338" s="10" t="str"/>
      <x:c r="O338" s="9" t="str">
        <x:v>1. 来源（当前证据）：liveshow-proto/MainBasis/统一需求文档.md；位置：行3047
2. 规则：BR-c5317921e6a3a345
3. 未动态验证</x:v>
      </x:c>
    </x:row>
    <x:row r="339" ht="115" customHeight="1">
      <x:c r="A339" s="10" t="n">
        <x:v>338</x:v>
      </x:c>
      <x:c r="B339" s="10" t="str">
        <x:v>ADMIN-07-0095</x:v>
      </x:c>
      <x:c r="C339" s="10" t="str">
        <x:v>运营配置</x:v>
      </x:c>
      <x:c r="D339" s="10" t="str">
        <x:v>敏感词库（平台管理员视角）</x:v>
      </x:c>
      <x:c r="E339" s="10" t="str">
        <x:v>功能需求</x:v>
      </x:c>
      <x:c r="F339" s="10" t="str">
        <x:v>P2</x:v>
      </x:c>
      <x:c r="G339" s="9" t="str">
        <x:v>验证敏感词库读取敏感词</x:v>
      </x:c>
      <x:c r="H339" s="9" t="str">
        <x:v>敏感词回显</x:v>
      </x:c>
      <x:c r="I339" s="9" t="str">
        <x:v>1. 执行角色为平台管理员
2. 所选敏感词记录的敏感词为“测试词甲”</x:v>
      </x:c>
      <x:c r="J339" s="9" t="str">
        <x:v>1. 进入敏感词库
2. 查看敏感词</x:v>
      </x:c>
      <x:c r="K339" s="9" t="str">
        <x:v>敏感词显示“测试词甲”</x:v>
      </x:c>
      <x:c r="L339" s="10" t="str"/>
      <x:c r="M339" s="10" t="str">
        <x:v>未测</x:v>
      </x:c>
      <x:c r="N339" s="10" t="str"/>
      <x:c r="O339" s="9" t="str">
        <x:v>1. 来源（当前证据）：liveshow-proto/MainBasis/统一需求文档.md；位置：行3054
2. 规则：BR-5ffc275996b9f989
3. 未动态验证
4. 数据别名：甲、乙、丙用于区分本条测试对象；按前置条件准备并记录实际账号或记录 ID，不是固定业务名称。</x:v>
      </x:c>
    </x:row>
    <x:row r="340" ht="70" customHeight="1">
      <x:c r="A340" s="10" t="n">
        <x:v>339</x:v>
      </x:c>
      <x:c r="B340" s="10" t="str">
        <x:v>ADMIN-07-0096</x:v>
      </x:c>
      <x:c r="C340" s="10" t="str">
        <x:v>运营配置</x:v>
      </x:c>
      <x:c r="D340" s="10" t="str">
        <x:v>敏感词库（平台管理员视角）</x:v>
      </x:c>
      <x:c r="E340" s="10" t="str">
        <x:v>功能需求</x:v>
      </x:c>
      <x:c r="F340" s="10" t="str">
        <x:v>P2</x:v>
      </x:c>
      <x:c r="G340" s="9" t="str">
        <x:v>验证敏感词库读取匹配规则</x:v>
      </x:c>
      <x:c r="H340" s="9" t="str">
        <x:v>匹配规则回显</x:v>
      </x:c>
      <x:c r="I340" s="9" t="str">
        <x:v>1. 执行角色为平台管理员
2. 所选敏感词配置的匹配规则为“精确匹配”</x:v>
      </x:c>
      <x:c r="J340" s="9" t="str">
        <x:v>1. 进入敏感词库
2. 查看匹配规则</x:v>
      </x:c>
      <x:c r="K340" s="9" t="str">
        <x:v>匹配规则显示“精确匹配”</x:v>
      </x:c>
      <x:c r="L340" s="10" t="str"/>
      <x:c r="M340" s="10" t="str">
        <x:v>未测</x:v>
      </x:c>
      <x:c r="N340" s="10" t="str"/>
      <x:c r="O340" s="9" t="str">
        <x:v>1. 来源（当前证据）：liveshow-proto/MainBasis/统一需求文档.md；位置：行3056
2. 规则：BR-f876ece7b5837a74
3. 未动态验证</x:v>
      </x:c>
    </x:row>
    <x:row r="341" ht="70" customHeight="1">
      <x:c r="A341" s="10" t="n">
        <x:v>340</x:v>
      </x:c>
      <x:c r="B341" s="10" t="str">
        <x:v>ADMIN-07-0097</x:v>
      </x:c>
      <x:c r="C341" s="10" t="str">
        <x:v>运营配置</x:v>
      </x:c>
      <x:c r="D341" s="10" t="str">
        <x:v>敏感词库（平台管理员视角）</x:v>
      </x:c>
      <x:c r="E341" s="10" t="str">
        <x:v>功能需求</x:v>
      </x:c>
      <x:c r="F341" s="10" t="str">
        <x:v>P2</x:v>
      </x:c>
      <x:c r="G341" s="9" t="str">
        <x:v>验证敏感词库读取替换内容</x:v>
      </x:c>
      <x:c r="H341" s="9" t="str">
        <x:v>替换内容回显</x:v>
      </x:c>
      <x:c r="I341" s="9" t="str">
        <x:v>1. 执行角色为平台管理员
2. 所选敏感词配置的替换内容为“***”</x:v>
      </x:c>
      <x:c r="J341" s="9" t="str">
        <x:v>1. 进入敏感词库
2. 查看替换内容</x:v>
      </x:c>
      <x:c r="K341" s="9" t="str">
        <x:v>替换内容显示“***”</x:v>
      </x:c>
      <x:c r="L341" s="10" t="str"/>
      <x:c r="M341" s="10" t="str">
        <x:v>未测</x:v>
      </x:c>
      <x:c r="N341" s="10" t="str"/>
      <x:c r="O341" s="9" t="str">
        <x:v>1. 来源（当前证据）：liveshow-proto/MainBasis/统一需求文档.md；位置：行3057
2. 规则：BR-4c353149dbc35f54
3. 未动态验证</x:v>
      </x:c>
    </x:row>
    <x:row r="342" ht="70" customHeight="1">
      <x:c r="A342" s="10" t="n">
        <x:v>341</x:v>
      </x:c>
      <x:c r="B342" s="10" t="str">
        <x:v>ADMIN-07-0098</x:v>
      </x:c>
      <x:c r="C342" s="10" t="str">
        <x:v>运营配置</x:v>
      </x:c>
      <x:c r="D342" s="10" t="str">
        <x:v>敏感词库（平台管理员视角）</x:v>
      </x:c>
      <x:c r="E342" s="10" t="str">
        <x:v>功能需求</x:v>
      </x:c>
      <x:c r="F342" s="10" t="str">
        <x:v>P2</x:v>
      </x:c>
      <x:c r="G342" s="9" t="str">
        <x:v>验证敏感词库读取状态</x:v>
      </x:c>
      <x:c r="H342" s="9" t="str">
        <x:v>状态回显</x:v>
      </x:c>
      <x:c r="I342" s="9" t="str">
        <x:v>1. 执行角色为平台管理员
2. 所选敏感词当前状态的状态为“停用”</x:v>
      </x:c>
      <x:c r="J342" s="9" t="str">
        <x:v>1. 进入敏感词库
2. 查看状态</x:v>
      </x:c>
      <x:c r="K342" s="9" t="str">
        <x:v>状态显示“停用”</x:v>
      </x:c>
      <x:c r="L342" s="10" t="str"/>
      <x:c r="M342" s="10" t="str">
        <x:v>未测</x:v>
      </x:c>
      <x:c r="N342" s="10" t="str"/>
      <x:c r="O342" s="9" t="str">
        <x:v>1. 来源（当前证据）：liveshow-proto/MainBasis/统一需求文档.md；位置：行3058
2. 规则：BR-6ebef4d1cc92cb8f
3. 未动态验证</x:v>
      </x:c>
    </x:row>
    <x:row r="343" ht="115" customHeight="1">
      <x:c r="A343" s="10" t="n">
        <x:v>342</x:v>
      </x:c>
      <x:c r="B343" s="10" t="str">
        <x:v>ADMIN-07-0099</x:v>
      </x:c>
      <x:c r="C343" s="10" t="str">
        <x:v>运营配置</x:v>
      </x:c>
      <x:c r="D343" s="10" t="str">
        <x:v>敏感词库（平台管理员视角）</x:v>
      </x:c>
      <x:c r="E343" s="10" t="str">
        <x:v>功能需求</x:v>
      </x:c>
      <x:c r="F343" s="10" t="str">
        <x:v>P2</x:v>
      </x:c>
      <x:c r="G343" s="9" t="str">
        <x:v>验证删除敏感词保留历史命中</x:v>
      </x:c>
      <x:c r="H343" s="9" t="str">
        <x:v>敏感词历史留存</x:v>
      </x:c>
      <x:c r="I343" s="9" t="str">
        <x:v>1. 执行角色为平台管理员
2. 词条甲存在一条历史命中和处置记录</x:v>
      </x:c>
      <x:c r="J343" s="9" t="str">
        <x:v>1. 进入敏感词库
2. 删除甲
3. 点击确认
4. 打开原处置记录</x:v>
      </x:c>
      <x:c r="K343" s="9" t="str">
        <x:v>仍可查看原命中内容</x:v>
      </x:c>
      <x:c r="L343" s="10" t="str"/>
      <x:c r="M343" s="10" t="str">
        <x:v>未测</x:v>
      </x:c>
      <x:c r="N343" s="10" t="str"/>
      <x:c r="O343" s="9" t="str">
        <x:v>1. 来源（当前证据）：liveshow-proto/MainBasis/统一需求文档.md；位置：行3059
2. 规则：BR-cb0736ad03a5f2e5
3. 未动态验证
4. 数据别名：甲、乙、丙用于区分本条测试对象；按前置条件准备并记录实际账号或记录 ID，不是固定业务名称。</x:v>
      </x:c>
    </x:row>
    <x:row r="344" ht="115" customHeight="1">
      <x:c r="A344" s="10" t="n">
        <x:v>343</x:v>
      </x:c>
      <x:c r="B344" s="10" t="str">
        <x:v>ADMIN-07-0100</x:v>
      </x:c>
      <x:c r="C344" s="10" t="str">
        <x:v>运营配置</x:v>
      </x:c>
      <x:c r="D344" s="10" t="str">
        <x:v>敏感词库（平台管理员视角）</x:v>
      </x:c>
      <x:c r="E344" s="10" t="str">
        <x:v>业务流程</x:v>
      </x:c>
      <x:c r="F344" s="10" t="str">
        <x:v>P1</x:v>
      </x:c>
      <x:c r="G344" s="9" t="str">
        <x:v>验证敏感词导入拒绝重复组合</x:v>
      </x:c>
      <x:c r="H344" s="9" t="str">
        <x:v>敏感词导入去重</x:v>
      </x:c>
      <x:c r="I344" s="9" t="str">
        <x:v>1. 执行角色为平台管理员
2. 已有包含匹配词甲；导入文件按当前提供模板包含同词同模式</x:v>
      </x:c>
      <x:c r="J344" s="9" t="str">
        <x:v>1. 进入敏感词库
2. 点击导入
3. 上传准备文件</x:v>
      </x:c>
      <x:c r="K344" s="9" t="str">
        <x:v>重复组合不作为新词条导入</x:v>
      </x:c>
      <x:c r="L344" s="10" t="str"/>
      <x:c r="M344" s="10" t="str">
        <x:v>未测</x:v>
      </x:c>
      <x:c r="N344" s="10" t="str"/>
      <x:c r="O344" s="9" t="str">
        <x:v>1. 来源（当前证据）：liveshow-proto/MainBasis/统一需求文档.md；位置：行3060
2. 规则：BR-2b41116b2ad17952
3. 未动态验证
4. 数据别名：甲、乙、丙用于区分本条测试对象；按前置条件准备并记录实际账号或记录 ID，不是固定业务名称。</x:v>
      </x:c>
    </x:row>
    <x:row r="345" ht="70" customHeight="1">
      <x:c r="A345" s="10" t="n">
        <x:v>344</x:v>
      </x:c>
      <x:c r="B345" s="10" t="str">
        <x:v>ADMIN-07-0101</x:v>
      </x:c>
      <x:c r="C345" s="10" t="str">
        <x:v>运营配置</x:v>
      </x:c>
      <x:c r="D345" s="10" t="str">
        <x:v>敏感词编辑（平台管理员视角）</x:v>
      </x:c>
      <x:c r="E345" s="10" t="str">
        <x:v>功能需求</x:v>
      </x:c>
      <x:c r="F345" s="10" t="str">
        <x:v>P2</x:v>
      </x:c>
      <x:c r="G345" s="9" t="str">
        <x:v>验证敏感词编辑已创建标识不可修改</x:v>
      </x:c>
      <x:c r="H345" s="9" t="str">
        <x:v>词条ID只读</x:v>
      </x:c>
      <x:c r="I345" s="9" t="str">
        <x:v>1. 执行角色为平台管理员
2. 敏感词编辑对应记录已成功创建</x:v>
      </x:c>
      <x:c r="J345" s="9" t="str">
        <x:v>1. 进入敏感词编辑
2. 点击词条ID</x:v>
      </x:c>
      <x:c r="K345" s="9" t="str">
        <x:v>词条ID不可编辑</x:v>
      </x:c>
      <x:c r="L345" s="10" t="str"/>
      <x:c r="M345" s="10" t="str">
        <x:v>未测</x:v>
      </x:c>
      <x:c r="N345" s="10" t="str"/>
      <x:c r="O345" s="9" t="str">
        <x:v>1. 来源（当前证据）：liveshow-proto/MainBasis/统一需求文档.md；位置：行3065
2. 规则：BR-2b354a6667f13ce9
3. 未动态验证</x:v>
      </x:c>
    </x:row>
    <x:row r="346" ht="115" customHeight="1">
      <x:c r="A346" s="10" t="n">
        <x:v>345</x:v>
      </x:c>
      <x:c r="B346" s="10" t="str">
        <x:v>ADMIN-07-0102</x:v>
      </x:c>
      <x:c r="C346" s="10" t="str">
        <x:v>运营配置</x:v>
      </x:c>
      <x:c r="D346" s="10" t="str">
        <x:v>敏感词编辑（平台管理员视角）</x:v>
      </x:c>
      <x:c r="E346" s="10" t="str">
        <x:v>业务流程</x:v>
      </x:c>
      <x:c r="F346" s="10" t="str">
        <x:v>P1</x:v>
      </x:c>
      <x:c r="G346" s="9" t="str">
        <x:v>验证同匹配模式敏感词不可重复</x:v>
      </x:c>
      <x:c r="H346" s="9" t="str">
        <x:v>敏感词组合唯一</x:v>
      </x:c>
      <x:c r="I346" s="9" t="str">
        <x:v>1. 执行角色为平台管理员
2. 包含匹配下已有词测试词甲</x:v>
      </x:c>
      <x:c r="J346" s="9" t="str">
        <x:v>1. 进入敏感词编辑
2. 填写测试词甲
3. 选择包含匹配
4. 填写场景和替换内容
5. 点击保存</x:v>
      </x:c>
      <x:c r="K346" s="9" t="str">
        <x:v>不能重复保存该词与模式组合</x:v>
      </x:c>
      <x:c r="L346" s="10" t="str"/>
      <x:c r="M346" s="10" t="str">
        <x:v>未测</x:v>
      </x:c>
      <x:c r="N346" s="10" t="str"/>
      <x:c r="O346" s="9" t="str">
        <x:v>1. 来源（当前证据）：liveshow-proto/MainBasis/统一需求文档.md；位置：行3066
2. 规则：BR-b740e98cff55304b
3. 未动态验证
4. 数据别名：甲、乙、丙用于区分本条测试对象；按前置条件准备并记录实际账号或记录 ID，不是固定业务名称。</x:v>
      </x:c>
    </x:row>
    <x:row r="347" ht="70" customHeight="1">
      <x:c r="A347" s="10" t="n">
        <x:v>346</x:v>
      </x:c>
      <x:c r="B347" s="10" t="str">
        <x:v>ADMIN-07-0103</x:v>
      </x:c>
      <x:c r="C347" s="10" t="str">
        <x:v>运营配置</x:v>
      </x:c>
      <x:c r="D347" s="10" t="str">
        <x:v>敏感词编辑（平台管理员视角）</x:v>
      </x:c>
      <x:c r="E347" s="10" t="str">
        <x:v>业务流程</x:v>
      </x:c>
      <x:c r="F347" s="10" t="str">
        <x:v>P1</x:v>
      </x:c>
      <x:c r="G347" s="9" t="str">
        <x:v>验证敏感词至少一个场景</x:v>
      </x:c>
      <x:c r="H347" s="9" t="str">
        <x:v>敏感词生效场景必选</x:v>
      </x:c>
      <x:c r="I347" s="9" t="str">
        <x:v>1. 执行角色为平台管理员
2. 词条、分类、替换内容合法</x:v>
      </x:c>
      <x:c r="J347" s="9" t="str">
        <x:v>1. 进入敏感词编辑
2. 清空全部使用场景
3. 点击保存</x:v>
      </x:c>
      <x:c r="K347" s="9" t="str">
        <x:v>不能保存无使用场景词条</x:v>
      </x:c>
      <x:c r="L347" s="10" t="str"/>
      <x:c r="M347" s="10" t="str">
        <x:v>未测</x:v>
      </x:c>
      <x:c r="N347" s="10" t="str"/>
      <x:c r="O347" s="9" t="str">
        <x:v>1. 来源（当前证据）：liveshow-proto/MainBasis/统一需求文档.md；位置：行3068
2. 规则：BR-d79c98b90c7ddf72
3. 未动态验证</x:v>
      </x:c>
    </x:row>
    <x:row r="348" ht="70" customHeight="1">
      <x:c r="A348" s="10" t="n">
        <x:v>347</x:v>
      </x:c>
      <x:c r="B348" s="10" t="str">
        <x:v>ADMIN-07-0104</x:v>
      </x:c>
      <x:c r="C348" s="10" t="str">
        <x:v>运营配置</x:v>
      </x:c>
      <x:c r="D348" s="10" t="str">
        <x:v>敏感词编辑（平台管理员视角）</x:v>
      </x:c>
      <x:c r="E348" s="10" t="str">
        <x:v>业务流程</x:v>
      </x:c>
      <x:c r="F348" s="10" t="str">
        <x:v>P1</x:v>
      </x:c>
      <x:c r="G348" s="9" t="str">
        <x:v>验证敏感词替换内容必填</x:v>
      </x:c>
      <x:c r="H348" s="9" t="str">
        <x:v>敏感词替换非空</x:v>
      </x:c>
      <x:c r="I348" s="9" t="str">
        <x:v>1. 执行角色为平台管理员
2. 词条及场景均合法</x:v>
      </x:c>
      <x:c r="J348" s="9" t="str">
        <x:v>1. 进入敏感词编辑
2. 清空替换内容
3. 点击保存</x:v>
      </x:c>
      <x:c r="K348" s="9" t="str">
        <x:v>不能保存空替换内容</x:v>
      </x:c>
      <x:c r="L348" s="10" t="str"/>
      <x:c r="M348" s="10" t="str">
        <x:v>未测</x:v>
      </x:c>
      <x:c r="N348" s="10" t="str"/>
      <x:c r="O348" s="9" t="str">
        <x:v>1. 来源（当前证据）：liveshow-proto/MainBasis/统一需求文档.md；位置：行3069
2. 规则：BR-6f03b73c24d9aba4
3. 未动态验证</x:v>
      </x:c>
    </x:row>
    <x:row r="349" ht="85" customHeight="1">
      <x:c r="A349" s="10" t="n">
        <x:v>348</x:v>
      </x:c>
      <x:c r="B349" s="10" t="str">
        <x:v>ADMIN-07-0105</x:v>
      </x:c>
      <x:c r="C349" s="10" t="str">
        <x:v>运营配置</x:v>
      </x:c>
      <x:c r="D349" s="10" t="str">
        <x:v>等级配置（平台管理员视角）</x:v>
      </x:c>
      <x:c r="E349" s="10" t="str">
        <x:v>业务流程</x:v>
      </x:c>
      <x:c r="F349" s="10" t="str">
        <x:v>P1</x:v>
      </x:c>
      <x:c r="G349" s="9" t="str">
        <x:v>验证首级门槛固定0不可修改</x:v>
      </x:c>
      <x:c r="H349" s="9" t="str">
        <x:v>等级初始门槛</x:v>
      </x:c>
      <x:c r="I349" s="9" t="str">
        <x:v>1. 执行角色为平台管理员
2. 当前有等级配置权限</x:v>
      </x:c>
      <x:c r="J349" s="9" t="str">
        <x:v>1. 进入等级配置
2. 查看1级门槛</x:v>
      </x:c>
      <x:c r="K349" s="9" t="str">
        <x:v>门槛固定0且不可编辑</x:v>
      </x:c>
      <x:c r="L349" s="10" t="str"/>
      <x:c r="M349" s="10" t="str">
        <x:v>未测</x:v>
      </x:c>
      <x:c r="N349" s="10" t="str"/>
      <x:c r="O349" s="9" t="str">
        <x:v>1. 来源（当前证据）：liveshow-proto/MainBasis/统一需求文档.md；位置：行3000、行3007
2. 规则：BR-1932c23cc83ffab4
3. 未动态验证</x:v>
      </x:c>
    </x:row>
    <x:row r="350" ht="70" customHeight="1">
      <x:c r="A350" s="10" t="n">
        <x:v>349</x:v>
      </x:c>
      <x:c r="B350" s="10" t="str">
        <x:v>ADMIN-07-0106</x:v>
      </x:c>
      <x:c r="C350" s="10" t="str">
        <x:v>运营配置</x:v>
      </x:c>
      <x:c r="D350" s="10" t="str">
        <x:v>等级配置（平台管理员视角）</x:v>
      </x:c>
      <x:c r="E350" s="10" t="str">
        <x:v>功能需求</x:v>
      </x:c>
      <x:c r="F350" s="10" t="str">
        <x:v>P2</x:v>
      </x:c>
      <x:c r="G350" s="9" t="str">
        <x:v>验证等级编号不允许手工编辑</x:v>
      </x:c>
      <x:c r="H350" s="9" t="str">
        <x:v>等级编号生成方式</x:v>
      </x:c>
      <x:c r="I350" s="9" t="str">
        <x:v>1. 执行角色为平台管理员
2. 当前已有1至3级配置</x:v>
      </x:c>
      <x:c r="J350" s="9" t="str">
        <x:v>1. 进入等级配置
2. 点击2级等级编号</x:v>
      </x:c>
      <x:c r="K350" s="9" t="str">
        <x:v>等级编号不可手动修改</x:v>
      </x:c>
      <x:c r="L350" s="10" t="str"/>
      <x:c r="M350" s="10" t="str">
        <x:v>未测</x:v>
      </x:c>
      <x:c r="N350" s="10" t="str"/>
      <x:c r="O350" s="9" t="str">
        <x:v>1. 来源（当前证据）：liveshow-proto/MainBasis/统一需求文档.md；位置：行3004
2. 规则：BR-236c7fa1e6ad9bea
3. 未动态验证</x:v>
      </x:c>
    </x:row>
    <x:row r="351" ht="70" customHeight="1">
      <x:c r="A351" s="10" t="n">
        <x:v>350</x:v>
      </x:c>
      <x:c r="B351" s="10" t="str">
        <x:v>ADMIN-07-0107</x:v>
      </x:c>
      <x:c r="C351" s="10" t="str">
        <x:v>运营配置</x:v>
      </x:c>
      <x:c r="D351" s="10" t="str">
        <x:v>等级配置（平台管理员视角）</x:v>
      </x:c>
      <x:c r="E351" s="10" t="str">
        <x:v>业务流程</x:v>
      </x:c>
      <x:c r="F351" s="10" t="str">
        <x:v>P1</x:v>
      </x:c>
      <x:c r="G351" s="9" t="str">
        <x:v>验证等级门槛必须严格递增</x:v>
      </x:c>
      <x:c r="H351" s="9" t="str">
        <x:v>等级相邻阈值</x:v>
      </x:c>
      <x:c r="I351" s="9" t="str">
        <x:v>1. 执行角色为平台管理员
2. 当前2级门槛100，3级正在编辑</x:v>
      </x:c>
      <x:c r="J351" s="9" t="str">
        <x:v>1. 进入等级配置
2. 输入3级门槛100
3. 点击保存</x:v>
      </x:c>
      <x:c r="K351" s="9" t="str">
        <x:v>不能保存等于上级的3级门槛</x:v>
      </x:c>
      <x:c r="L351" s="10" t="str"/>
      <x:c r="M351" s="10" t="str">
        <x:v>未测</x:v>
      </x:c>
      <x:c r="N351" s="10" t="str"/>
      <x:c r="O351" s="9" t="str">
        <x:v>1. 来源（当前证据）：liveshow-proto/MainBasis/统一需求文档.md；位置：行3007
2. 规则：BR-37590597a757fc33
3. 未动态验证</x:v>
      </x:c>
    </x:row>
    <x:row r="352" ht="70" customHeight="1">
      <x:c r="A352" s="10" t="n">
        <x:v>351</x:v>
      </x:c>
      <x:c r="B352" s="10" t="str">
        <x:v>ADMIN-07-0108</x:v>
      </x:c>
      <x:c r="C352" s="10" t="str">
        <x:v>运营配置</x:v>
      </x:c>
      <x:c r="D352" s="10" t="str">
        <x:v>等级配置（平台管理员视角）</x:v>
      </x:c>
      <x:c r="E352" s="10" t="str">
        <x:v>业务流程</x:v>
      </x:c>
      <x:c r="F352" s="10" t="str">
        <x:v>P1</x:v>
      </x:c>
      <x:c r="G352" s="9" t="str">
        <x:v>验证新增等级自动连续编号</x:v>
      </x:c>
      <x:c r="H352" s="9" t="str">
        <x:v>等级新增编号</x:v>
      </x:c>
      <x:c r="I352" s="9" t="str">
        <x:v>1. 执行角色为平台管理员
2. 当前Tab已有1至3级</x:v>
      </x:c>
      <x:c r="J352" s="9" t="str">
        <x:v>1. 进入等级配置
2. 点击新增等级</x:v>
      </x:c>
      <x:c r="K352" s="9" t="str">
        <x:v>新行等级编号为4</x:v>
      </x:c>
      <x:c r="L352" s="10" t="str"/>
      <x:c r="M352" s="10" t="str">
        <x:v>未测</x:v>
      </x:c>
      <x:c r="N352" s="10" t="str"/>
      <x:c r="O352" s="9" t="str">
        <x:v>1. 来源（当前证据）：liveshow-proto/MainBasis/统一需求文档.md；位置：行3008
2. 规则：BR-8ae26be030026eb1
3. 未动态验证</x:v>
      </x:c>
    </x:row>
    <x:row r="353" ht="70" customHeight="1">
      <x:c r="A353" s="10" t="n">
        <x:v>352</x:v>
      </x:c>
      <x:c r="B353" s="10" t="str">
        <x:v>ADMIN-07-0109</x:v>
      </x:c>
      <x:c r="C353" s="10" t="str">
        <x:v>运营配置</x:v>
      </x:c>
      <x:c r="D353" s="10" t="str">
        <x:v>等级配置（平台管理员视角）</x:v>
      </x:c>
      <x:c r="E353" s="10" t="str">
        <x:v>业务流程</x:v>
      </x:c>
      <x:c r="F353" s="10" t="str">
        <x:v>P1</x:v>
      </x:c>
      <x:c r="G353" s="9" t="str">
        <x:v>验证新增等级阈值不预填</x:v>
      </x:c>
      <x:c r="H353" s="9" t="str">
        <x:v>等级阈值待填写</x:v>
      </x:c>
      <x:c r="I353" s="9" t="str">
        <x:v>1. 执行角色为平台管理员
2. 当前Tab已有1至3级</x:v>
      </x:c>
      <x:c r="J353" s="9" t="str">
        <x:v>1. 进入等级配置
2. 点击新增等级</x:v>
      </x:c>
      <x:c r="K353" s="9" t="str">
        <x:v>4级金币数值为空</x:v>
      </x:c>
      <x:c r="L353" s="10" t="str"/>
      <x:c r="M353" s="10" t="str">
        <x:v>未测</x:v>
      </x:c>
      <x:c r="N353" s="10" t="str"/>
      <x:c r="O353" s="9" t="str">
        <x:v>1. 来源（当前证据）：liveshow-proto/MainBasis/统一需求文档.md；位置：行3008
2. 规则：BR-58cfdd594031158c
3. 未动态验证</x:v>
      </x:c>
    </x:row>
    <x:row r="354" ht="70" customHeight="1">
      <x:c r="A354" s="10" t="n">
        <x:v>353</x:v>
      </x:c>
      <x:c r="B354" s="10" t="str">
        <x:v>ADMIN-07-0110</x:v>
      </x:c>
      <x:c r="C354" s="10" t="str">
        <x:v>运营配置</x:v>
      </x:c>
      <x:c r="D354" s="10" t="str">
        <x:v>等级配置（平台管理员视角）</x:v>
      </x:c>
      <x:c r="E354" s="10" t="str">
        <x:v>业务流程</x:v>
      </x:c>
      <x:c r="F354" s="10" t="str">
        <x:v>P1</x:v>
      </x:c>
      <x:c r="G354" s="9" t="str">
        <x:v>验证等级不提供删除入口</x:v>
      </x:c>
      <x:c r="H354" s="9" t="str">
        <x:v>等级删除限制</x:v>
      </x:c>
      <x:c r="I354" s="9" t="str">
        <x:v>1. 执行角色为平台管理员
2. 当前Tab已有多个等级</x:v>
      </x:c>
      <x:c r="J354" s="9" t="str">
        <x:v>1. 进入等级配置</x:v>
      </x:c>
      <x:c r="K354" s="9" t="str">
        <x:v>不提供删除等级入口</x:v>
      </x:c>
      <x:c r="L354" s="10" t="str"/>
      <x:c r="M354" s="10" t="str">
        <x:v>未测</x:v>
      </x:c>
      <x:c r="N354" s="10" t="str"/>
      <x:c r="O354" s="9" t="str">
        <x:v>1. 来源（当前证据）：liveshow-proto/MainBasis/统一需求文档.md；位置：行3008
2. 规则：BR-36b1320a644a13a7
3. 未动态验证</x:v>
      </x:c>
    </x:row>
    <x:row r="355" ht="70" customHeight="1">
      <x:c r="A355" s="10" t="n">
        <x:v>354</x:v>
      </x:c>
      <x:c r="B355" s="10" t="str">
        <x:v>ADMIN-07-0111</x:v>
      </x:c>
      <x:c r="C355" s="10" t="str">
        <x:v>运营配置</x:v>
      </x:c>
      <x:c r="D355" s="10" t="str">
        <x:v>等级配置（平台管理员视角）</x:v>
      </x:c>
      <x:c r="E355" s="10" t="str">
        <x:v>业务流程</x:v>
      </x:c>
      <x:c r="F355" s="10" t="str">
        <x:v>P1</x:v>
      </x:c>
      <x:c r="G355" s="9" t="str">
        <x:v>验证切换Tab保留未保存输入</x:v>
      </x:c>
      <x:c r="H355" s="9" t="str">
        <x:v>等级多Tab草稿</x:v>
      </x:c>
      <x:c r="I355" s="9" t="str">
        <x:v>1. 执行角色为平台管理员
2. 主播等级2级门槛已填200尚未保存</x:v>
      </x:c>
      <x:c r="J355" s="9" t="str">
        <x:v>1. 切换财富等级
2. 切换主播等级</x:v>
      </x:c>
      <x:c r="K355" s="9" t="str">
        <x:v>主播2级输入仍为200</x:v>
      </x:c>
      <x:c r="L355" s="10" t="str"/>
      <x:c r="M355" s="10" t="str">
        <x:v>未测</x:v>
      </x:c>
      <x:c r="N355" s="10" t="str"/>
      <x:c r="O355" s="9" t="str">
        <x:v>1. 来源（当前证据）：liveshow-proto/MainBasis/统一需求文档.md；位置：行3009
2. 规则：BR-0587fe531c1ba6ab
3. 未动态验证</x:v>
      </x:c>
    </x:row>
    <x:row r="356" ht="70" customHeight="1">
      <x:c r="A356" s="10" t="n">
        <x:v>355</x:v>
      </x:c>
      <x:c r="B356" s="10" t="str">
        <x:v>ADMIN-07-0112</x:v>
      </x:c>
      <x:c r="C356" s="10" t="str">
        <x:v>运营配置</x:v>
      </x:c>
      <x:c r="D356" s="10" t="str">
        <x:v>等级配置（平台管理员视角）</x:v>
      </x:c>
      <x:c r="E356" s="10" t="str">
        <x:v>业务流程</x:v>
      </x:c>
      <x:c r="F356" s="10" t="str">
        <x:v>P1</x:v>
      </x:c>
      <x:c r="G356" s="9" t="str">
        <x:v>验证保存仅校验当前Tab</x:v>
      </x:c>
      <x:c r="H356" s="9" t="str">
        <x:v>等级分表保存范围</x:v>
      </x:c>
      <x:c r="I356" s="9" t="str">
        <x:v>1. 执行角色为平台管理员
2. 主播Tab字段合法；财富Tab新增行未填阈值</x:v>
      </x:c>
      <x:c r="J356" s="9" t="str">
        <x:v>1. 切换主播等级
2. 点击保存</x:v>
      </x:c>
      <x:c r="K356" s="9" t="str">
        <x:v>主播等级配置保存成功</x:v>
      </x:c>
      <x:c r="L356" s="10" t="str"/>
      <x:c r="M356" s="10" t="str">
        <x:v>未测</x:v>
      </x:c>
      <x:c r="N356" s="10" t="str"/>
      <x:c r="O356" s="9" t="str">
        <x:v>1. 来源（当前证据）：liveshow-proto/MainBasis/统一需求文档.md；位置：行3009
2. 规则：BR-5941fee67c428e51
3. 未动态验证</x:v>
      </x:c>
    </x:row>
    <x:row r="357" ht="70" customHeight="1">
      <x:c r="A357" s="10" t="n">
        <x:v>356</x:v>
      </x:c>
      <x:c r="B357" s="10" t="str">
        <x:v>ADMIN-07-0113</x:v>
      </x:c>
      <x:c r="C357" s="10" t="str">
        <x:v>运营配置</x:v>
      </x:c>
      <x:c r="D357" s="10" t="str">
        <x:v>等级配置（平台管理员视角）</x:v>
      </x:c>
      <x:c r="E357" s="10" t="str">
        <x:v>业务流程</x:v>
      </x:c>
      <x:c r="F357" s="10" t="str">
        <x:v>P1</x:v>
      </x:c>
      <x:c r="G357" s="9" t="str">
        <x:v>验证缺少等级勋章图阻止保存</x:v>
      </x:c>
      <x:c r="H357" s="9" t="str">
        <x:v>等级图片必填</x:v>
      </x:c>
      <x:c r="I357" s="9" t="str">
        <x:v>1. 执行角色为平台管理员
2. 当前Tab其余字段合法，2级缺图</x:v>
      </x:c>
      <x:c r="J357" s="9" t="str">
        <x:v>1. 进入等级配置
2. 点击保存</x:v>
      </x:c>
      <x:c r="K357" s="9" t="str">
        <x:v>定位2级缺图并阻止保存</x:v>
      </x:c>
      <x:c r="L357" s="10" t="str"/>
      <x:c r="M357" s="10" t="str">
        <x:v>未测</x:v>
      </x:c>
      <x:c r="N357" s="10" t="str"/>
      <x:c r="O357" s="9" t="str">
        <x:v>1. 来源（当前证据）：liveshow-proto/MainBasis/统一需求文档.md；位置：行3010
2. 规则：BR-0f2df0fbbdcea77b
3. 未动态验证</x:v>
      </x:c>
    </x:row>
    <x:row r="358" ht="115" customHeight="1">
      <x:c r="A358" s="10" t="n">
        <x:v>357</x:v>
      </x:c>
      <x:c r="B358" s="10" t="str">
        <x:v>ADMIN-07-0114</x:v>
      </x:c>
      <x:c r="C358" s="10" t="str">
        <x:v>运营配置</x:v>
      </x:c>
      <x:c r="D358" s="10" t="str">
        <x:v>等级配置（平台管理员视角）</x:v>
      </x:c>
      <x:c r="E358" s="10" t="str">
        <x:v>业务流程</x:v>
      </x:c>
      <x:c r="F358" s="10" t="str">
        <x:v>P1</x:v>
      </x:c>
      <x:c r="G358" s="9" t="str">
        <x:v>验证取消选图保留旧勋章</x:v>
      </x:c>
      <x:c r="H358" s="9" t="str">
        <x:v>等级图片取消</x:v>
      </x:c>
      <x:c r="I358" s="9" t="str">
        <x:v>1. 执行角色为平台管理员
2. 当前2级图为qa-badge.png
3. 材料准备要求：准备本条使用的qa-badge.png，为可正常解码的测试图片，并按前置条件保存原图或供本次上传；文件名仅为材料别名</x:v>
      </x:c>
      <x:c r="J358" s="9" t="str">
        <x:v>1. 进入等级配置
2. 点击2级换图
3. 取消文件选择</x:v>
      </x:c>
      <x:c r="K358" s="9" t="str">
        <x:v>2级仍保留原勋章图</x:v>
      </x:c>
      <x:c r="L358" s="10" t="str"/>
      <x:c r="M358" s="10" t="str">
        <x:v>未测</x:v>
      </x:c>
      <x:c r="N358" s="10" t="str"/>
      <x:c r="O358" s="9" t="str">
        <x:v>1. 来源（当前证据）：liveshow-proto/MainBasis/统一需求文档.md；位置：行3011
2. 规则：BR-70550ca8155deb8a
3. 未动态验证</x:v>
      </x:c>
    </x:row>
    <x:row r="359" ht="70" customHeight="1">
      <x:c r="A359" s="10" t="n">
        <x:v>358</x:v>
      </x:c>
      <x:c r="B359" s="10" t="str">
        <x:v>ADMIN-07-0115</x:v>
      </x:c>
      <x:c r="C359" s="10" t="str">
        <x:v>运营配置</x:v>
      </x:c>
      <x:c r="D359" s="10" t="str">
        <x:v>等级配置（平台管理员视角）</x:v>
      </x:c>
      <x:c r="E359" s="10" t="str">
        <x:v>业务流程</x:v>
      </x:c>
      <x:c r="F359" s="10" t="str">
        <x:v>P1</x:v>
      </x:c>
      <x:c r="G359" s="9" t="str">
        <x:v>验证损坏图片不覆盖原图</x:v>
      </x:c>
      <x:c r="H359" s="9" t="str">
        <x:v>等级图片读取失败</x:v>
      </x:c>
      <x:c r="I359" s="9" t="str">
        <x:v>1. 执行角色为平台管理员
2. 2级已有有效图；准备不可解码的损坏图片文件</x:v>
      </x:c>
      <x:c r="J359" s="9" t="str">
        <x:v>1. 进入等级配置
2. 选择损坏图片作为2级勋章</x:v>
      </x:c>
      <x:c r="K359" s="9" t="str">
        <x:v>仍保留2级原有效图片</x:v>
      </x:c>
      <x:c r="L359" s="10" t="str"/>
      <x:c r="M359" s="10" t="str">
        <x:v>未测</x:v>
      </x:c>
      <x:c r="N359" s="10" t="str"/>
      <x:c r="O359" s="9" t="str">
        <x:v>1. 来源（当前证据）：liveshow-proto/MainBasis/统一需求文档.md；位置：行3011
2. 规则：BR-6eb340f1a113bd65
3. 未动态验证</x:v>
      </x:c>
    </x:row>
    <x:row r="360" ht="70" customHeight="1">
      <x:c r="A360" s="10" t="n">
        <x:v>359</x:v>
      </x:c>
      <x:c r="B360" s="10" t="str">
        <x:v>ADMIN-08-0001</x:v>
      </x:c>
      <x:c r="C360" s="10" t="str">
        <x:v>订单管理</x:v>
      </x:c>
      <x:c r="D360" s="10" t="str">
        <x:v>充值订单（平台管理员视角）</x:v>
      </x:c>
      <x:c r="E360" s="10" t="str">
        <x:v>功能需求</x:v>
      </x:c>
      <x:c r="F360" s="10" t="str">
        <x:v>P2</x:v>
      </x:c>
      <x:c r="G360" s="9" t="str">
        <x:v>验证充值订单读取订单号</x:v>
      </x:c>
      <x:c r="H360" s="9" t="str">
        <x:v>订单号回显</x:v>
      </x:c>
      <x:c r="I360" s="9" t="str">
        <x:v>1. 执行角色为平台管理员
2. 所选充值的平台实际订单号的订单号为“960001”</x:v>
      </x:c>
      <x:c r="J360" s="9" t="str">
        <x:v>1. 进入充值订单
2. 查看订单号</x:v>
      </x:c>
      <x:c r="K360" s="9" t="str">
        <x:v>订单号显示“960001”</x:v>
      </x:c>
      <x:c r="L360" s="10" t="str"/>
      <x:c r="M360" s="10" t="str">
        <x:v>未测</x:v>
      </x:c>
      <x:c r="N360" s="10" t="str"/>
      <x:c r="O360" s="9" t="str">
        <x:v>1. 来源（当前证据）：liveshow-proto/MainBasis/统一需求文档.md；位置：行3076
2. 规则：BR-d57774b8ac08829e
3. 未动态验证</x:v>
      </x:c>
    </x:row>
    <x:row r="361" ht="70" customHeight="1">
      <x:c r="A361" s="10" t="n">
        <x:v>360</x:v>
      </x:c>
      <x:c r="B361" s="10" t="str">
        <x:v>ADMIN-08-0002</x:v>
      </x:c>
      <x:c r="C361" s="10" t="str">
        <x:v>订单管理</x:v>
      </x:c>
      <x:c r="D361" s="10" t="str">
        <x:v>充值订单（平台管理员视角）</x:v>
      </x:c>
      <x:c r="E361" s="10" t="str">
        <x:v>功能需求</x:v>
      </x:c>
      <x:c r="F361" s="10" t="str">
        <x:v>P2</x:v>
      </x:c>
      <x:c r="G361" s="9" t="str">
        <x:v>验证充值订单读取渠道交易号</x:v>
      </x:c>
      <x:c r="H361" s="9" t="str">
        <x:v>渠道交易号回显</x:v>
      </x:c>
      <x:c r="I361" s="9" t="str">
        <x:v>1. 执行角色为平台管理员
2. 该充值的渠道实际交易号的渠道交易号为“970001”</x:v>
      </x:c>
      <x:c r="J361" s="9" t="str">
        <x:v>1. 进入充值订单
2. 查看渠道交易号</x:v>
      </x:c>
      <x:c r="K361" s="9" t="str">
        <x:v>渠道交易号显示“970001”</x:v>
      </x:c>
      <x:c r="L361" s="10" t="str"/>
      <x:c r="M361" s="10" t="str">
        <x:v>未测</x:v>
      </x:c>
      <x:c r="N361" s="10" t="str"/>
      <x:c r="O361" s="9" t="str">
        <x:v>1. 来源（当前证据）：liveshow-proto/MainBasis/统一需求文档.md；位置：行3076
2. 规则：BR-800e548a22407809
3. 未动态验证</x:v>
      </x:c>
    </x:row>
    <x:row r="362" ht="70" customHeight="1">
      <x:c r="A362" s="10" t="n">
        <x:v>361</x:v>
      </x:c>
      <x:c r="B362" s="10" t="str">
        <x:v>ADMIN-08-0003</x:v>
      </x:c>
      <x:c r="C362" s="10" t="str">
        <x:v>订单管理</x:v>
      </x:c>
      <x:c r="D362" s="10" t="str">
        <x:v>充值订单（平台管理员视角）</x:v>
      </x:c>
      <x:c r="E362" s="10" t="str">
        <x:v>功能需求</x:v>
      </x:c>
      <x:c r="F362" s="10" t="str">
        <x:v>P2</x:v>
      </x:c>
      <x:c r="G362" s="9" t="str">
        <x:v>验证充值订单读取基础金币</x:v>
      </x:c>
      <x:c r="H362" s="9" t="str">
        <x:v>基础金币回显</x:v>
      </x:c>
      <x:c r="I362" s="9" t="str">
        <x:v>1. 执行角色为平台管理员
2. 所选成功充值的购买快照的基础金币为“1000”</x:v>
      </x:c>
      <x:c r="J362" s="9" t="str">
        <x:v>1. 进入充值订单
2. 查看基础金币</x:v>
      </x:c>
      <x:c r="K362" s="9" t="str">
        <x:v>基础金币显示“1000”</x:v>
      </x:c>
      <x:c r="L362" s="10" t="str"/>
      <x:c r="M362" s="10" t="str">
        <x:v>未测</x:v>
      </x:c>
      <x:c r="N362" s="10" t="str"/>
      <x:c r="O362" s="9" t="str">
        <x:v>1. 来源（当前证据）：liveshow-proto/MainBasis/统一需求文档.md；位置：行3078
2. 规则：BR-0118c8fad86354f0
3. 未动态验证</x:v>
      </x:c>
    </x:row>
    <x:row r="363" ht="70" customHeight="1">
      <x:c r="A363" s="10" t="n">
        <x:v>362</x:v>
      </x:c>
      <x:c r="B363" s="10" t="str">
        <x:v>ADMIN-08-0004</x:v>
      </x:c>
      <x:c r="C363" s="10" t="str">
        <x:v>订单管理</x:v>
      </x:c>
      <x:c r="D363" s="10" t="str">
        <x:v>充值订单（平台管理员视角）</x:v>
      </x:c>
      <x:c r="E363" s="10" t="str">
        <x:v>功能需求</x:v>
      </x:c>
      <x:c r="F363" s="10" t="str">
        <x:v>P2</x:v>
      </x:c>
      <x:c r="G363" s="9" t="str">
        <x:v>验证充值订单读取赠送金币</x:v>
      </x:c>
      <x:c r="H363" s="9" t="str">
        <x:v>赠送金币回显</x:v>
      </x:c>
      <x:c r="I363" s="9" t="str">
        <x:v>1. 执行角色为平台管理员
2. 所选成功充值的购买快照的赠送金币为“100”</x:v>
      </x:c>
      <x:c r="J363" s="9" t="str">
        <x:v>1. 进入充值订单
2. 查看赠送金币</x:v>
      </x:c>
      <x:c r="K363" s="9" t="str">
        <x:v>赠送金币显示“100”</x:v>
      </x:c>
      <x:c r="L363" s="10" t="str"/>
      <x:c r="M363" s="10" t="str">
        <x:v>未测</x:v>
      </x:c>
      <x:c r="N363" s="10" t="str"/>
      <x:c r="O363" s="9" t="str">
        <x:v>1. 来源（当前证据）：liveshow-proto/MainBasis/统一需求文档.md；位置：行3078
2. 规则：BR-de55de87aff913ae
3. 未动态验证</x:v>
      </x:c>
    </x:row>
    <x:row r="364" ht="70" customHeight="1">
      <x:c r="A364" s="10" t="n">
        <x:v>363</x:v>
      </x:c>
      <x:c r="B364" s="10" t="str">
        <x:v>ADMIN-08-0005</x:v>
      </x:c>
      <x:c r="C364" s="10" t="str">
        <x:v>订单管理</x:v>
      </x:c>
      <x:c r="D364" s="10" t="str">
        <x:v>充值订单（平台管理员视角）</x:v>
      </x:c>
      <x:c r="E364" s="10" t="str">
        <x:v>逻辑校验</x:v>
      </x:c>
      <x:c r="F364" s="10" t="str">
        <x:v>P1</x:v>
      </x:c>
      <x:c r="G364" s="9" t="str">
        <x:v>验证充值订单到账包含赠送</x:v>
      </x:c>
      <x:c r="H364" s="9" t="str">
        <x:v>充值总到账</x:v>
      </x:c>
      <x:c r="I364" s="9" t="str">
        <x:v>1. 执行角色为平台管理员
2. 订单基础1000金币，赠送100金币，已成功支付</x:v>
      </x:c>
      <x:c r="J364" s="9" t="str">
        <x:v>1. 进入充值订单
2. 打开该订单</x:v>
      </x:c>
      <x:c r="K364" s="9" t="str">
        <x:v>充值总到账按1000+100计算=1100金币</x:v>
      </x:c>
      <x:c r="L364" s="10" t="str"/>
      <x:c r="M364" s="10" t="str">
        <x:v>未测</x:v>
      </x:c>
      <x:c r="N364" s="10" t="str"/>
      <x:c r="O364" s="9" t="str">
        <x:v>1. 来源（当前证据）：liveshow-proto/MainBasis/统一需求文档.md；位置：行3079
2. 规则：BR-46f81c9efe53f5f2
3. 未动态验证</x:v>
      </x:c>
    </x:row>
    <x:row r="365" ht="145" customHeight="1">
      <x:c r="A365" s="10" t="n">
        <x:v>364</x:v>
      </x:c>
      <x:c r="B365" s="10" t="str">
        <x:v>ADMIN-08-0006</x:v>
      </x:c>
      <x:c r="C365" s="10" t="str">
        <x:v>订单管理</x:v>
      </x:c>
      <x:c r="D365" s="10" t="str">
        <x:v>充值订单（平台管理员视角）</x:v>
      </x:c>
      <x:c r="E365" s="10" t="str">
        <x:v>业务流程</x:v>
      </x:c>
      <x:c r="F365" s="10" t="str">
        <x:v>P1</x:v>
      </x:c>
      <x:c r="G365" s="9" t="str">
        <x:v>验证充值成功在后台保存到账订单</x:v>
      </x:c>
      <x:c r="H365" s="9" t="str">
        <x:v>充值后台投影</x:v>
      </x:c>
      <x:c r="I365" s="9" t="str">
        <x:v>1. 执行角色为平台管理员
2. 用户甲通过测试渠道成功购买基础1000赠送100金币套餐
3. 环境准备要求：支付测试渠道、测试账号及本条所需支付或退款回调当前未具备；执行前由技术提供并确认仅影响测试交易</x:v>
      </x:c>
      <x:c r="J365" s="9" t="str">
        <x:v>1. 进入充值订单
2. 查询甲</x:v>
      </x:c>
      <x:c r="K365" s="9" t="str">
        <x:v>存在该笔支付成功订单</x:v>
      </x:c>
      <x:c r="L365" s="10" t="str">
        <x:v>FLOW-RECHARGE</x:v>
      </x:c>
      <x:c r="M365" s="10" t="str">
        <x:v>未测</x:v>
      </x:c>
      <x:c r="N365" s="10" t="str"/>
      <x:c r="O365" s="9" t="str">
        <x:v>1. 来源（当前证据）：liveshow-proto/MainBasis/统一需求文档.md；位置：行3079
2. 规则：BR-f4cc6001519e4fcc
3. 未动态验证
4. 状态转换：ST-RECHARGE；按同一业务对象的数据别名准备对应上下游记录
5. 数据别名：甲、乙、丙用于区分本条测试对象；按前置条件准备并记录实际账号或记录 ID，不是固定业务名称。</x:v>
      </x:c>
    </x:row>
    <x:row r="366" ht="70" customHeight="1">
      <x:c r="A366" s="10" t="n">
        <x:v>365</x:v>
      </x:c>
      <x:c r="B366" s="10" t="str">
        <x:v>ADMIN-08-0007</x:v>
      </x:c>
      <x:c r="C366" s="10" t="str">
        <x:v>订单管理</x:v>
      </x:c>
      <x:c r="D366" s="10" t="str">
        <x:v>充值订单（平台管理员视角）</x:v>
      </x:c>
      <x:c r="E366" s="10" t="str">
        <x:v>功能需求</x:v>
      </x:c>
      <x:c r="F366" s="10" t="str">
        <x:v>P2</x:v>
      </x:c>
      <x:c r="G366" s="9" t="str">
        <x:v>验证充值订单读取状态</x:v>
      </x:c>
      <x:c r="H366" s="9" t="str">
        <x:v>状态回显</x:v>
      </x:c>
      <x:c r="I366" s="9" t="str">
        <x:v>1. 执行角色为平台管理员
2. 所选充值订单当前状态的状态为“已退款”</x:v>
      </x:c>
      <x:c r="J366" s="9" t="str">
        <x:v>1. 进入充值订单
2. 查看状态</x:v>
      </x:c>
      <x:c r="K366" s="9" t="str">
        <x:v>状态显示“已退款”</x:v>
      </x:c>
      <x:c r="L366" s="10" t="str"/>
      <x:c r="M366" s="10" t="str">
        <x:v>未测</x:v>
      </x:c>
      <x:c r="N366" s="10" t="str"/>
      <x:c r="O366" s="9" t="str">
        <x:v>1. 来源（当前证据）：liveshow-proto/MainBasis/统一需求文档.md；位置：行3080
2. 规则：BR-03a17a77ee5f5288
3. 未动态验证</x:v>
      </x:c>
    </x:row>
    <x:row r="367" ht="115" customHeight="1">
      <x:c r="A367" s="10" t="n">
        <x:v>366</x:v>
      </x:c>
      <x:c r="B367" s="10" t="str">
        <x:v>ADMIN-08-0008</x:v>
      </x:c>
      <x:c r="C367" s="10" t="str">
        <x:v>订单管理</x:v>
      </x:c>
      <x:c r="D367" s="10" t="str">
        <x:v>充值订单（平台管理员视角）</x:v>
      </x:c>
      <x:c r="E367" s="10" t="str">
        <x:v>功能需求</x:v>
      </x:c>
      <x:c r="F367" s="10" t="str">
        <x:v>P2</x:v>
      </x:c>
      <x:c r="G367" s="9" t="str">
        <x:v>验证充值订单导出当前结果</x:v>
      </x:c>
      <x:c r="H367" s="9" t="str">
        <x:v>充值订单导出范围</x:v>
      </x:c>
      <x:c r="I367" s="9" t="str">
        <x:v>1. 执行角色为平台管理员
2. 本轮查询仅返回订单甲乙，丙已排除</x:v>
      </x:c>
      <x:c r="J367" s="9" t="str">
        <x:v>1. 进入充值订单
2. 点击导出
3. 打开本次文件</x:v>
      </x:c>
      <x:c r="K367" s="9" t="str">
        <x:v>导出订单集合为甲乙</x:v>
      </x:c>
      <x:c r="L367" s="10" t="str"/>
      <x:c r="M367" s="10" t="str">
        <x:v>未测</x:v>
      </x:c>
      <x:c r="N367" s="10" t="str"/>
      <x:c r="O367" s="9" t="str">
        <x:v>1. 来源（当前证据）：liveshow-proto/MainBasis/统一需求文档.md；位置：行3083
2. 规则：BR-ba0c004c6e5d9962
3. 未动态验证
4. 数据别名：甲、乙、丙用于区分本条测试对象；按前置条件准备并记录实际账号或记录 ID，不是固定业务名称。</x:v>
      </x:c>
    </x:row>
    <x:row r="368" ht="130" customHeight="1">
      <x:c r="A368" s="10" t="n">
        <x:v>367</x:v>
      </x:c>
      <x:c r="B368" s="10" t="str">
        <x:v>ADMIN-08-0009</x:v>
      </x:c>
      <x:c r="C368" s="10" t="str">
        <x:v>订单管理</x:v>
      </x:c>
      <x:c r="D368" s="10" t="str">
        <x:v>充值订单详情（平台管理员视角）</x:v>
      </x:c>
      <x:c r="E368" s="10" t="str">
        <x:v>功能需求</x:v>
      </x:c>
      <x:c r="F368" s="10" t="str">
        <x:v>P2</x:v>
      </x:c>
      <x:c r="G368" s="9" t="str">
        <x:v>验证充值订单详情读取支付渠道</x:v>
      </x:c>
      <x:c r="H368" s="9" t="str">
        <x:v>支付渠道回显</x:v>
      </x:c>
      <x:c r="I368" s="9" t="str">
        <x:v>1. 执行角色为平台管理员
2. 所选充值订单实际记录的支付渠道为“测试支付渠道”
3. 环境准备要求：支付测试渠道、测试账号及本条所需支付或退款回调当前未具备；执行前由技术提供并确认仅影响测试交易</x:v>
      </x:c>
      <x:c r="J368" s="9" t="str">
        <x:v>1. 进入充值订单详情
2. 查看支付渠道</x:v>
      </x:c>
      <x:c r="K368" s="9" t="str">
        <x:v>支付渠道显示“测试支付渠道”</x:v>
      </x:c>
      <x:c r="L368" s="10" t="str"/>
      <x:c r="M368" s="10" t="str">
        <x:v>未测</x:v>
      </x:c>
      <x:c r="N368" s="10" t="str"/>
      <x:c r="O368" s="9" t="str">
        <x:v>1. 来源（当前证据）：liveshow-proto/MainBasis/统一需求文档.md；位置：行3088
2. 规则：BR-3474327b0fc1d6a0
3. 未动态验证</x:v>
      </x:c>
    </x:row>
    <x:row r="369" ht="70" customHeight="1">
      <x:c r="A369" s="10" t="n">
        <x:v>368</x:v>
      </x:c>
      <x:c r="B369" s="10" t="str">
        <x:v>ADMIN-08-0010</x:v>
      </x:c>
      <x:c r="C369" s="10" t="str">
        <x:v>订单管理</x:v>
      </x:c>
      <x:c r="D369" s="10" t="str">
        <x:v>充值订单详情（平台管理员视角）</x:v>
      </x:c>
      <x:c r="E369" s="10" t="str">
        <x:v>功能需求</x:v>
      </x:c>
      <x:c r="F369" s="10" t="str">
        <x:v>P2</x:v>
      </x:c>
      <x:c r="G369" s="9" t="str">
        <x:v>验证充值订单详情读取订单金额</x:v>
      </x:c>
      <x:c r="H369" s="9" t="str">
        <x:v>订单金额回显</x:v>
      </x:c>
      <x:c r="I369" s="9" t="str">
        <x:v>1. 执行角色为平台管理员
2. 所选充值订单USD标价快照的订单金额为“2.99”</x:v>
      </x:c>
      <x:c r="J369" s="9" t="str">
        <x:v>1. 进入充值订单详情
2. 查看订单金额</x:v>
      </x:c>
      <x:c r="K369" s="9" t="str">
        <x:v>订单金额显示“2.99”</x:v>
      </x:c>
      <x:c r="L369" s="10" t="str"/>
      <x:c r="M369" s="10" t="str">
        <x:v>未测</x:v>
      </x:c>
      <x:c r="N369" s="10" t="str"/>
      <x:c r="O369" s="9" t="str">
        <x:v>1. 来源（当前证据）：liveshow-proto/MainBasis/统一需求文档.md；位置：行3089
2. 规则：BR-cf2cce64149eb9a7
3. 未动态验证</x:v>
      </x:c>
    </x:row>
    <x:row r="370" ht="70" customHeight="1">
      <x:c r="A370" s="10" t="n">
        <x:v>369</x:v>
      </x:c>
      <x:c r="B370" s="10" t="str">
        <x:v>ADMIN-08-0011</x:v>
      </x:c>
      <x:c r="C370" s="10" t="str">
        <x:v>订单管理</x:v>
      </x:c>
      <x:c r="D370" s="10" t="str">
        <x:v>充值订单详情（平台管理员视角）</x:v>
      </x:c>
      <x:c r="E370" s="10" t="str">
        <x:v>功能需求</x:v>
      </x:c>
      <x:c r="F370" s="10" t="str">
        <x:v>P2</x:v>
      </x:c>
      <x:c r="G370" s="9" t="str">
        <x:v>验证充值订单详情读取实付金额</x:v>
      </x:c>
      <x:c r="H370" s="9" t="str">
        <x:v>实付金额回显</x:v>
      </x:c>
      <x:c r="I370" s="9" t="str">
        <x:v>1. 执行角色为平台管理员
2. 所选充值订单USD实际付款记录的实付金额为“1.99”</x:v>
      </x:c>
      <x:c r="J370" s="9" t="str">
        <x:v>1. 进入充值订单详情
2. 查看实付金额</x:v>
      </x:c>
      <x:c r="K370" s="9" t="str">
        <x:v>实付金额显示“1.99”</x:v>
      </x:c>
      <x:c r="L370" s="10" t="str"/>
      <x:c r="M370" s="10" t="str">
        <x:v>未测</x:v>
      </x:c>
      <x:c r="N370" s="10" t="str"/>
      <x:c r="O370" s="9" t="str">
        <x:v>1. 来源（当前证据）：liveshow-proto/MainBasis/统一需求文档.md；位置：行3089
2. 规则：BR-2f9a294e0d5cd742
3. 未动态验证</x:v>
      </x:c>
    </x:row>
    <x:row r="371" ht="70" customHeight="1">
      <x:c r="A371" s="10" t="n">
        <x:v>370</x:v>
      </x:c>
      <x:c r="B371" s="10" t="str">
        <x:v>ADMIN-08-0012</x:v>
      </x:c>
      <x:c r="C371" s="10" t="str">
        <x:v>订单管理</x:v>
      </x:c>
      <x:c r="D371" s="10" t="str">
        <x:v>充值订单详情（平台管理员视角）</x:v>
      </x:c>
      <x:c r="E371" s="10" t="str">
        <x:v>逻辑校验</x:v>
      </x:c>
      <x:c r="F371" s="10" t="str">
        <x:v>P1</x:v>
      </x:c>
      <x:c r="G371" s="9" t="str">
        <x:v>验证充值订单详情总到账金币按当前对象求和</x:v>
      </x:c>
      <x:c r="H371" s="9" t="str">
        <x:v>总到账金币计算范围</x:v>
      </x:c>
      <x:c r="I371" s="9" t="str">
        <x:v>1. 执行角色为平台管理员
2. 成功充值订单基础1000金币、赠送100金币</x:v>
      </x:c>
      <x:c r="J371" s="9" t="str">
        <x:v>1. 进入充值订单详情
2. 查看前置条件指定对象及范围的总到账金币</x:v>
      </x:c>
      <x:c r="K371" s="9" t="str">
        <x:v>总到账金币按1000+100计算=1100金币</x:v>
      </x:c>
      <x:c r="L371" s="10" t="str"/>
      <x:c r="M371" s="10" t="str">
        <x:v>未测</x:v>
      </x:c>
      <x:c r="N371" s="10" t="str"/>
      <x:c r="O371" s="9" t="str">
        <x:v>1. 来源（当前证据）：liveshow-proto/MainBasis/统一需求文档.md；位置：行3090
2. 规则：BR-77e7dec65188af85
3. 未动态验证</x:v>
      </x:c>
    </x:row>
    <x:row r="372" ht="130" customHeight="1">
      <x:c r="A372" s="10" t="n">
        <x:v>371</x:v>
      </x:c>
      <x:c r="B372" s="10" t="str">
        <x:v>ADMIN-08-0013</x:v>
      </x:c>
      <x:c r="C372" s="10" t="str">
        <x:v>订单管理</x:v>
      </x:c>
      <x:c r="D372" s="10" t="str">
        <x:v>充值订单详情（平台管理员视角）</x:v>
      </x:c>
      <x:c r="E372" s="10" t="str">
        <x:v>业务流程</x:v>
      </x:c>
      <x:c r="F372" s="10" t="str">
        <x:v>P1</x:v>
      </x:c>
      <x:c r="G372" s="9" t="str">
        <x:v>验证充值订单不提供部分退款</x:v>
      </x:c>
      <x:c r="H372" s="9" t="str">
        <x:v>整单退款限制</x:v>
      </x:c>
      <x:c r="I372" s="9" t="str">
        <x:v>1. 执行角色为平台管理员
2. 订单甲实付1.99USD且成功未退款</x:v>
      </x:c>
      <x:c r="J372" s="9" t="str">
        <x:v>1. 进入充值订单甲详情
2. 点击手动退款</x:v>
      </x:c>
      <x:c r="K372" s="9" t="str">
        <x:v>退款金额固定为1.99USD</x:v>
      </x:c>
      <x:c r="L372" s="10" t="str"/>
      <x:c r="M372" s="10" t="str">
        <x:v>未测</x:v>
      </x:c>
      <x:c r="N372" s="10" t="str"/>
      <x:c r="O372" s="9" t="str">
        <x:v>1. 来源（当前证据）：liveshow-proto/MainBasis/统一需求文档.md；位置：行3091、行3094
2. 规则：BR-c911fedec3486e74
3. 未动态验证
4. 数据别名：甲、乙、丙用于区分本条测试对象；按前置条件准备并记录实际账号或记录 ID，不是固定业务名称。</x:v>
      </x:c>
    </x:row>
    <x:row r="373" ht="70" customHeight="1">
      <x:c r="A373" s="10" t="n">
        <x:v>372</x:v>
      </x:c>
      <x:c r="B373" s="10" t="str">
        <x:v>ADMIN-08-0014</x:v>
      </x:c>
      <x:c r="C373" s="10" t="str">
        <x:v>订单管理</x:v>
      </x:c>
      <x:c r="D373" s="10" t="str">
        <x:v>充值订单详情（平台管理员视角）</x:v>
      </x:c>
      <x:c r="E373" s="10" t="str">
        <x:v>逻辑校验</x:v>
      </x:c>
      <x:c r="F373" s="10" t="str">
        <x:v>P1</x:v>
      </x:c>
      <x:c r="G373" s="9" t="str">
        <x:v>验证充值订单详情扣回金币按当前对象求和</x:v>
      </x:c>
      <x:c r="H373" s="9" t="str">
        <x:v>扣回金币计算范围</x:v>
      </x:c>
      <x:c r="I373" s="9" t="str">
        <x:v>1. 执行角色为平台管理员
2. 原成功充值订单基础1000金币、赠送100金币，刚完成整单退款</x:v>
      </x:c>
      <x:c r="J373" s="9" t="str">
        <x:v>1. 进入充值订单详情
2. 查看前置条件指定对象及范围的扣回金币</x:v>
      </x:c>
      <x:c r="K373" s="9" t="str">
        <x:v>扣回金币按1000+100计算=1100金币</x:v>
      </x:c>
      <x:c r="L373" s="10" t="str"/>
      <x:c r="M373" s="10" t="str">
        <x:v>未测</x:v>
      </x:c>
      <x:c r="N373" s="10" t="str"/>
      <x:c r="O373" s="9" t="str">
        <x:v>1. 来源（当前证据）：liveshow-proto/MainBasis/统一需求文档.md；位置：行3092
2. 规则：BR-238e72552aa2049a
3. 未动态验证</x:v>
      </x:c>
    </x:row>
    <x:row r="374" ht="70" customHeight="1">
      <x:c r="A374" s="10" t="n">
        <x:v>373</x:v>
      </x:c>
      <x:c r="B374" s="10" t="str">
        <x:v>ADMIN-08-0015</x:v>
      </x:c>
      <x:c r="C374" s="10" t="str">
        <x:v>订单管理</x:v>
      </x:c>
      <x:c r="D374" s="10" t="str">
        <x:v>充值订单详情（平台管理员视角）</x:v>
      </x:c>
      <x:c r="E374" s="10" t="str">
        <x:v>功能需求</x:v>
      </x:c>
      <x:c r="F374" s="10" t="str">
        <x:v>P2</x:v>
      </x:c>
      <x:c r="G374" s="9" t="str">
        <x:v>验证充值订单详情读取退款类型</x:v>
      </x:c>
      <x:c r="H374" s="9" t="str">
        <x:v>退款类型回显</x:v>
      </x:c>
      <x:c r="I374" s="9" t="str">
        <x:v>1. 执行角色为平台管理员
2. 所选已完成退款的发起记录的退款类型为“主动退款”</x:v>
      </x:c>
      <x:c r="J374" s="9" t="str">
        <x:v>1. 进入充值订单详情
2. 查看退款类型</x:v>
      </x:c>
      <x:c r="K374" s="9" t="str">
        <x:v>退款类型显示“主动退款”</x:v>
      </x:c>
      <x:c r="L374" s="10" t="str"/>
      <x:c r="M374" s="10" t="str">
        <x:v>未测</x:v>
      </x:c>
      <x:c r="N374" s="10" t="str"/>
      <x:c r="O374" s="9" t="str">
        <x:v>1. 来源（当前证据）：liveshow-proto/MainBasis/统一需求文档.md；位置：行3093
2. 规则：BR-ad0d58ab649e4907
3. 未动态验证</x:v>
      </x:c>
    </x:row>
    <x:row r="375" ht="115" customHeight="1">
      <x:c r="A375" s="10" t="n">
        <x:v>374</x:v>
      </x:c>
      <x:c r="B375" s="10" t="str">
        <x:v>ADMIN-08-0016</x:v>
      </x:c>
      <x:c r="C375" s="10" t="str">
        <x:v>订单管理</x:v>
      </x:c>
      <x:c r="D375" s="10" t="str">
        <x:v>充值订单详情（平台管理员视角）</x:v>
      </x:c>
      <x:c r="E375" s="10" t="str">
        <x:v>业务流程</x:v>
      </x:c>
      <x:c r="F375" s="10" t="str">
        <x:v>P1</x:v>
      </x:c>
      <x:c r="G375" s="9" t="str">
        <x:v>验证仅成功未退订单可主动退款</x:v>
      </x:c>
      <x:c r="H375" s="9" t="str">
        <x:v>充值退款资格</x:v>
      </x:c>
      <x:c r="I375" s="9" t="str">
        <x:v>1. 执行角色为平台管理员
2. 充值订单甲成功且未退款；有退款权限</x:v>
      </x:c>
      <x:c r="J375" s="9" t="str">
        <x:v>1. 进入充值订单甲详情
2. 点击手动退款</x:v>
      </x:c>
      <x:c r="K375" s="9" t="str">
        <x:v>允许填写退款原因</x:v>
      </x:c>
      <x:c r="L375" s="10" t="str"/>
      <x:c r="M375" s="10" t="str">
        <x:v>未测</x:v>
      </x:c>
      <x:c r="N375" s="10" t="str"/>
      <x:c r="O375" s="9" t="str">
        <x:v>1. 来源（当前证据）：liveshow-proto/MainBasis/统一需求文档.md；位置：行3094
2. 规则：BR-583281ee02926ac4
3. 未动态验证
4. 数据别名：甲、乙、丙用于区分本条测试对象；按前置条件准备并记录实际账号或记录 ID，不是固定业务名称。</x:v>
      </x:c>
    </x:row>
    <x:row r="376" ht="115" customHeight="1">
      <x:c r="A376" s="10" t="n">
        <x:v>375</x:v>
      </x:c>
      <x:c r="B376" s="10" t="str">
        <x:v>ADMIN-08-0017</x:v>
      </x:c>
      <x:c r="C376" s="10" t="str">
        <x:v>订单管理</x:v>
      </x:c>
      <x:c r="D376" s="10" t="str">
        <x:v>充值订单详情（平台管理员视角）</x:v>
      </x:c>
      <x:c r="E376" s="10" t="str">
        <x:v>业务流程</x:v>
      </x:c>
      <x:c r="F376" s="10" t="str">
        <x:v>P1</x:v>
      </x:c>
      <x:c r="G376" s="9" t="str">
        <x:v>验证已退款订单不可重复退款</x:v>
      </x:c>
      <x:c r="H376" s="9" t="str">
        <x:v>充值退款幂等</x:v>
      </x:c>
      <x:c r="I376" s="9" t="str">
        <x:v>1. 执行角色为平台管理员
2. 充值订单甲已完成全额退款</x:v>
      </x:c>
      <x:c r="J376" s="9" t="str">
        <x:v>1. 进入充值订单甲详情</x:v>
      </x:c>
      <x:c r="K376" s="9" t="str">
        <x:v>不提供再次退款操作</x:v>
      </x:c>
      <x:c r="L376" s="10" t="str"/>
      <x:c r="M376" s="10" t="str">
        <x:v>未测</x:v>
      </x:c>
      <x:c r="N376" s="10" t="str"/>
      <x:c r="O376" s="9" t="str">
        <x:v>1. 来源（当前证据）：liveshow-proto/MainBasis/统一需求文档.md；位置：行3094
2. 规则：BR-09e56e81a8ac8d8c
3. 未动态验证
4. 数据别名：甲、乙、丙用于区分本条测试对象；按前置条件准备并记录实际账号或记录 ID，不是固定业务名称。</x:v>
      </x:c>
    </x:row>
    <x:row r="377" ht="160" customHeight="1">
      <x:c r="A377" s="10" t="n">
        <x:v>376</x:v>
      </x:c>
      <x:c r="B377" s="10" t="str">
        <x:v>ADMIN-08-0018</x:v>
      </x:c>
      <x:c r="C377" s="10" t="str">
        <x:v>订单管理</x:v>
      </x:c>
      <x:c r="D377" s="10" t="str">
        <x:v>充值订单详情（平台管理员视角）</x:v>
      </x:c>
      <x:c r="E377" s="10" t="str">
        <x:v>逻辑校验</x:v>
      </x:c>
      <x:c r="F377" s="10" t="str">
        <x:v>P1</x:v>
      </x:c>
      <x:c r="G377" s="9" t="str">
        <x:v>验证余额不足仍全额扣回充值</x:v>
      </x:c>
      <x:c r="H377" s="9" t="str">
        <x:v>退款后的负余额</x:v>
      </x:c>
      <x:c r="I377" s="9" t="str">
        <x:v>1. 执行角色为平台管理员
2. 退款前真实金币余额50；原订单基础1000赠送100，成功未退款；执行前须准备可全额退款的测试渠道
3. 环境准备要求：支付测试渠道、测试账号及本条所需支付或退款回调当前未具备；执行前由技术提供并确认仅影响测试交易</x:v>
      </x:c>
      <x:c r="J377" s="9" t="str">
        <x:v>1. 进入原充值订单
2. 点击手动退款
3. 填写原因“测试退款”
4. 点击确认
5. 进入用户详情</x:v>
      </x:c>
      <x:c r="K377" s="9" t="str">
        <x:v>退款后的负余额按50-(1000+100)计算=-1050金币</x:v>
      </x:c>
      <x:c r="L377" s="10" t="str"/>
      <x:c r="M377" s="10" t="str">
        <x:v>未测</x:v>
      </x:c>
      <x:c r="N377" s="10" t="str"/>
      <x:c r="O377" s="9" t="str">
        <x:v>1. 来源（当前证据）：liveshow-proto/MainBasis/统一需求文档.md；位置：行3095
2. 规则：BR-12f4dd9315d22be6
3. 未动态验证</x:v>
      </x:c>
    </x:row>
    <x:row r="378" ht="115" customHeight="1">
      <x:c r="A378" s="10" t="n">
        <x:v>377</x:v>
      </x:c>
      <x:c r="B378" s="10" t="str">
        <x:v>ADMIN-08-0019</x:v>
      </x:c>
      <x:c r="C378" s="10" t="str">
        <x:v>订单管理</x:v>
      </x:c>
      <x:c r="D378" s="10" t="str">
        <x:v>充值订单详情（平台管理员视角）</x:v>
      </x:c>
      <x:c r="E378" s="10" t="str">
        <x:v>业务流程</x:v>
      </x:c>
      <x:c r="F378" s="10" t="str">
        <x:v>P1</x:v>
      </x:c>
      <x:c r="G378" s="9" t="str">
        <x:v>验证充值退款不撤销礼物消费</x:v>
      </x:c>
      <x:c r="H378" s="9" t="str">
        <x:v>充值与消费独立性</x:v>
      </x:c>
      <x:c r="I378" s="9" t="str">
        <x:v>1. 执行角色为平台管理员
2. 用户甲用充值A的金币完成礼物订单B；充值A可全额退款</x:v>
      </x:c>
      <x:c r="J378" s="9" t="str">
        <x:v>1. 进入充值A详情
2. 点击手动退款
3. 填写原因“测试退款”
4. 点击确认
5. 进入消费订单B详情</x:v>
      </x:c>
      <x:c r="K378" s="9" t="str">
        <x:v>B仍为已支付</x:v>
      </x:c>
      <x:c r="L378" s="10" t="str"/>
      <x:c r="M378" s="10" t="str">
        <x:v>未测</x:v>
      </x:c>
      <x:c r="N378" s="10" t="str"/>
      <x:c r="O378" s="9" t="str">
        <x:v>1. 来源（当前证据）：liveshow-proto/MainBasis/统一需求文档.md；位置：行3096
2. 规则：BR-825adc2e52fbbb93
3. 未动态验证
4. 数据别名：甲、乙、丙用于区分本条测试对象；按前置条件准备并记录实际账号或记录 ID，不是固定业务名称。</x:v>
      </x:c>
    </x:row>
    <x:row r="379" ht="145" customHeight="1">
      <x:c r="A379" s="10" t="n">
        <x:v>378</x:v>
      </x:c>
      <x:c r="B379" s="10" t="str">
        <x:v>ADMIN-08-0020</x:v>
      </x:c>
      <x:c r="C379" s="10" t="str">
        <x:v>订单管理</x:v>
      </x:c>
      <x:c r="D379" s="10" t="str">
        <x:v>充值订单详情（平台管理员视角）</x:v>
      </x:c>
      <x:c r="E379" s="10" t="str">
        <x:v>业务流程</x:v>
      </x:c>
      <x:c r="F379" s="10" t="str">
        <x:v>P1</x:v>
      </x:c>
      <x:c r="G379" s="9" t="str">
        <x:v>验证充值退款保留主播收益</x:v>
      </x:c>
      <x:c r="H379" s="9" t="str">
        <x:v>退款收益不回滚</x:v>
      </x:c>
      <x:c r="I379" s="9" t="str">
        <x:v>1. 执行角色为平台管理员
2. 充值A关联账号已完成礼物B使主播收益100金币；执行前须准备支持全额退款的测试通道
3. 环境准备要求：支付测试渠道、测试账号及本条所需支付或退款回调当前未具备；执行前由技术提供并确认仅影响测试交易</x:v>
      </x:c>
      <x:c r="J379" s="9" t="str">
        <x:v>1. 进入充值A详情
2. 点击手动退款
3. 填写原因“测试退款”
4. 点击确认
5. 进入消费B详情</x:v>
      </x:c>
      <x:c r="K379" s="9" t="str">
        <x:v>B主播收益仍为100金币</x:v>
      </x:c>
      <x:c r="L379" s="10" t="str"/>
      <x:c r="M379" s="10" t="str">
        <x:v>未测</x:v>
      </x:c>
      <x:c r="N379" s="10" t="str"/>
      <x:c r="O379" s="9" t="str">
        <x:v>1. 来源（当前证据）：liveshow-proto/MainBasis/统一需求文档.md；位置：行3096
2. 规则：BR-d9c6a53e994ee699
3. 未动态验证</x:v>
      </x:c>
    </x:row>
    <x:row r="380" ht="145" customHeight="1">
      <x:c r="A380" s="10" t="n">
        <x:v>379</x:v>
      </x:c>
      <x:c r="B380" s="10" t="str">
        <x:v>ADMIN-08-0021</x:v>
      </x:c>
      <x:c r="C380" s="10" t="str">
        <x:v>订单管理</x:v>
      </x:c>
      <x:c r="D380" s="10" t="str">
        <x:v>充值订单详情（平台管理员视角）</x:v>
      </x:c>
      <x:c r="E380" s="10" t="str">
        <x:v>业务流程</x:v>
      </x:c>
      <x:c r="F380" s="10" t="str">
        <x:v>P1</x:v>
      </x:c>
      <x:c r="G380" s="9" t="str">
        <x:v>验证确认手动退款生成关联退款单</x:v>
      </x:c>
      <x:c r="H380" s="9" t="str">
        <x:v>手动退款关联记录</x:v>
      </x:c>
      <x:c r="I380" s="9" t="str">
        <x:v>1. 执行角色为平台管理员
2. 订单甲实付1.99USD，已支付未退款；执行前须准备支持全额退款的测试支付渠道
3. 环境准备要求：支付测试渠道、测试账号及本条所需支付或退款回调当前未具备；执行前由技术提供并确认仅影响测试交易</x:v>
      </x:c>
      <x:c r="J380" s="9" t="str">
        <x:v>1. 进入订单甲详情
2. 点击手动退款
3. 填写原因“测试退款”
4. 点击确认
5. 进入退款订单
6. 查询甲</x:v>
      </x:c>
      <x:c r="K380" s="9" t="str">
        <x:v>存在关联充值订单甲的已完成退款单</x:v>
      </x:c>
      <x:c r="L380" s="10" t="str">
        <x:v>FLOW-REFUND</x:v>
      </x:c>
      <x:c r="M380" s="10" t="str">
        <x:v>未测</x:v>
      </x:c>
      <x:c r="N380" s="10" t="str"/>
      <x:c r="O380" s="9" t="str">
        <x:v>1. 来源（当前证据）：liveshow-proto/MainBasis/统一需求文档.md；位置：行3097
2. 规则：BR-143721340217663b
3. 未动态验证
4. 状态转换：ST-REFUND；按同一业务对象的数据别名准备对应上下游记录
5. 数据别名：甲、乙、丙用于区分本条测试对象；按前置条件准备并记录实际账号或记录 ID，不是固定业务名称。</x:v>
      </x:c>
    </x:row>
    <x:row r="381" ht="70" customHeight="1">
      <x:c r="A381" s="10" t="n">
        <x:v>380</x:v>
      </x:c>
      <x:c r="B381" s="10" t="str">
        <x:v>ADMIN-08-0022</x:v>
      </x:c>
      <x:c r="C381" s="10" t="str">
        <x:v>订单管理</x:v>
      </x:c>
      <x:c r="D381" s="10" t="str">
        <x:v>消费订单（平台管理员视角）</x:v>
      </x:c>
      <x:c r="E381" s="10" t="str">
        <x:v>功能需求</x:v>
      </x:c>
      <x:c r="F381" s="10" t="str">
        <x:v>P2</x:v>
      </x:c>
      <x:c r="G381" s="9" t="str">
        <x:v>验证消费订单读取消费类型</x:v>
      </x:c>
      <x:c r="H381" s="9" t="str">
        <x:v>消费类型回显</x:v>
      </x:c>
      <x:c r="I381" s="9" t="str">
        <x:v>1. 执行角色为平台管理员
2. 所选成功消费订单的消费类型为“定制礼物”</x:v>
      </x:c>
      <x:c r="J381" s="9" t="str">
        <x:v>1. 进入消费订单
2. 查看消费类型</x:v>
      </x:c>
      <x:c r="K381" s="9" t="str">
        <x:v>消费类型显示“定制礼物”</x:v>
      </x:c>
      <x:c r="L381" s="10" t="str"/>
      <x:c r="M381" s="10" t="str">
        <x:v>未测</x:v>
      </x:c>
      <x:c r="N381" s="10" t="str"/>
      <x:c r="O381" s="9" t="str">
        <x:v>1. 来源（当前证据）：liveshow-proto/MainBasis/统一需求文档.md；位置：行3102
2. 规则：BR-cdfb7969391872dd
3. 未动态验证</x:v>
      </x:c>
    </x:row>
    <x:row r="382" ht="70" customHeight="1">
      <x:c r="A382" s="10" t="n">
        <x:v>381</x:v>
      </x:c>
      <x:c r="B382" s="10" t="str">
        <x:v>ADMIN-08-0023</x:v>
      </x:c>
      <x:c r="C382" s="10" t="str">
        <x:v>订单管理</x:v>
      </x:c>
      <x:c r="D382" s="10" t="str">
        <x:v>消费订单（平台管理员视角）</x:v>
      </x:c>
      <x:c r="E382" s="10" t="str">
        <x:v>功能需求</x:v>
      </x:c>
      <x:c r="F382" s="10" t="str">
        <x:v>P2</x:v>
      </x:c>
      <x:c r="G382" s="9" t="str">
        <x:v>验证消费订单读取数量</x:v>
      </x:c>
      <x:c r="H382" s="9" t="str">
        <x:v>数量回显</x:v>
      </x:c>
      <x:c r="I382" s="9" t="str">
        <x:v>1. 执行角色为平台管理员
2. 所选成功消费订单的数量为“3”</x:v>
      </x:c>
      <x:c r="J382" s="9" t="str">
        <x:v>1. 进入消费订单
2. 查看数量</x:v>
      </x:c>
      <x:c r="K382" s="9" t="str">
        <x:v>数量显示“3”</x:v>
      </x:c>
      <x:c r="L382" s="10" t="str"/>
      <x:c r="M382" s="10" t="str">
        <x:v>未测</x:v>
      </x:c>
      <x:c r="N382" s="10" t="str"/>
      <x:c r="O382" s="9" t="str">
        <x:v>1. 来源（当前证据）：liveshow-proto/MainBasis/统一需求文档.md；位置：行3103
2. 规则：BR-7a5bbf03f9a025c2
3. 未动态验证</x:v>
      </x:c>
    </x:row>
    <x:row r="383" ht="70" customHeight="1">
      <x:c r="A383" s="10" t="n">
        <x:v>382</x:v>
      </x:c>
      <x:c r="B383" s="10" t="str">
        <x:v>ADMIN-08-0024</x:v>
      </x:c>
      <x:c r="C383" s="10" t="str">
        <x:v>订单管理</x:v>
      </x:c>
      <x:c r="D383" s="10" t="str">
        <x:v>消费订单（平台管理员视角）</x:v>
      </x:c>
      <x:c r="E383" s="10" t="str">
        <x:v>逻辑校验</x:v>
      </x:c>
      <x:c r="F383" s="10" t="str">
        <x:v>P1</x:v>
      </x:c>
      <x:c r="G383" s="9" t="str">
        <x:v>验证消费订单扣减按成交价乘份数</x:v>
      </x:c>
      <x:c r="H383" s="9" t="str">
        <x:v>订单扣减金币</x:v>
      </x:c>
      <x:c r="I383" s="9" t="str">
        <x:v>1. 执行角色为平台管理员
2. 商品成交单价100，成功购买3份</x:v>
      </x:c>
      <x:c r="J383" s="9" t="str">
        <x:v>1. 进入消费订单
2. 打开该订单</x:v>
      </x:c>
      <x:c r="K383" s="9" t="str">
        <x:v>订单扣减金币按100×3计算=300金币</x:v>
      </x:c>
      <x:c r="L383" s="10" t="str"/>
      <x:c r="M383" s="10" t="str">
        <x:v>未测</x:v>
      </x:c>
      <x:c r="N383" s="10" t="str"/>
      <x:c r="O383" s="9" t="str">
        <x:v>1. 来源（当前证据）：liveshow-proto/MainBasis/统一需求文档.md；位置：行3104
2. 规则：BR-fdc4d86a401bc6d6
3. 未动态验证</x:v>
      </x:c>
    </x:row>
    <x:row r="384" ht="145" customHeight="1">
      <x:c r="A384" s="10" t="n">
        <x:v>383</x:v>
      </x:c>
      <x:c r="B384" s="10" t="str">
        <x:v>ADMIN-08-0025</x:v>
      </x:c>
      <x:c r="C384" s="10" t="str">
        <x:v>订单管理</x:v>
      </x:c>
      <x:c r="D384" s="10" t="str">
        <x:v>消费订单（平台管理员视角）</x:v>
      </x:c>
      <x:c r="E384" s="10" t="str">
        <x:v>业务流程</x:v>
      </x:c>
      <x:c r="F384" s="10" t="str">
        <x:v>P1</x:v>
      </x:c>
      <x:c r="G384" s="9" t="str">
        <x:v>验证赠礼成功进入后台消费订单</x:v>
      </x:c>
      <x:c r="H384" s="9" t="str">
        <x:v>赠礼后台投影</x:v>
      </x:c>
      <x:c r="I384" s="9" t="str">
        <x:v>1. 执行角色为平台管理员
2. 用户甲刚成功向主播乙赠送1件100金币普通礼物</x:v>
      </x:c>
      <x:c r="J384" s="9" t="str">
        <x:v>1. 进入消费订单
2. 查询本笔</x:v>
      </x:c>
      <x:c r="K384" s="9" t="str">
        <x:v>存在该笔已支付消费订单</x:v>
      </x:c>
      <x:c r="L384" s="10" t="str">
        <x:v>FLOW-GIFT</x:v>
      </x:c>
      <x:c r="M384" s="10" t="str">
        <x:v>未测</x:v>
      </x:c>
      <x:c r="N384" s="10" t="str"/>
      <x:c r="O384" s="9" t="str">
        <x:v>1. 来源（当前证据）：liveshow-proto/MainBasis/统一需求文档.md；位置：行3104
2. 规则：BR-0c7622b880d81d9b
3. 未动态验证
4. 状态转换：ST-GIFT；按同一业务对象的数据别名准备对应上下游记录
5. 数据别名：甲、乙、丙用于区分本条测试对象；按前置条件准备并记录实际账号或记录 ID，不是固定业务名称。</x:v>
      </x:c>
    </x:row>
    <x:row r="385" ht="70" customHeight="1">
      <x:c r="A385" s="10" t="n">
        <x:v>384</x:v>
      </x:c>
      <x:c r="B385" s="10" t="str">
        <x:v>ADMIN-08-0026</x:v>
      </x:c>
      <x:c r="C385" s="10" t="str">
        <x:v>订单管理</x:v>
      </x:c>
      <x:c r="D385" s="10" t="str">
        <x:v>消费订单（平台管理员视角）</x:v>
      </x:c>
      <x:c r="E385" s="10" t="str">
        <x:v>功能需求</x:v>
      </x:c>
      <x:c r="F385" s="10" t="str">
        <x:v>P2</x:v>
      </x:c>
      <x:c r="G385" s="9" t="str">
        <x:v>验证消费订单读取状态</x:v>
      </x:c>
      <x:c r="H385" s="9" t="str">
        <x:v>状态回显</x:v>
      </x:c>
      <x:c r="I385" s="9" t="str">
        <x:v>1. 执行角色为平台管理员
2. 所选成功消费订单的状态为“已支付”</x:v>
      </x:c>
      <x:c r="J385" s="9" t="str">
        <x:v>1. 进入消费订单
2. 查看状态</x:v>
      </x:c>
      <x:c r="K385" s="9" t="str">
        <x:v>状态显示“已支付”</x:v>
      </x:c>
      <x:c r="L385" s="10" t="str"/>
      <x:c r="M385" s="10" t="str">
        <x:v>未测</x:v>
      </x:c>
      <x:c r="N385" s="10" t="str"/>
      <x:c r="O385" s="9" t="str">
        <x:v>1. 来源（当前证据）：liveshow-proto/MainBasis/统一需求文档.md；位置：行3106
2. 规则：BR-4015cd4e9a3f5736
3. 未动态验证</x:v>
      </x:c>
    </x:row>
    <x:row r="386" ht="70" customHeight="1">
      <x:c r="A386" s="10" t="n">
        <x:v>385</x:v>
      </x:c>
      <x:c r="B386" s="10" t="str">
        <x:v>ADMIN-08-0027</x:v>
      </x:c>
      <x:c r="C386" s="10" t="str">
        <x:v>订单管理</x:v>
      </x:c>
      <x:c r="D386" s="10" t="str">
        <x:v>消费订单（平台管理员视角）</x:v>
      </x:c>
      <x:c r="E386" s="10" t="str">
        <x:v>功能需求</x:v>
      </x:c>
      <x:c r="F386" s="10" t="str">
        <x:v>P2</x:v>
      </x:c>
      <x:c r="G386" s="9" t="str">
        <x:v>验证消费订单读取主播ID</x:v>
      </x:c>
      <x:c r="H386" s="9" t="str">
        <x:v>主播ID回显</x:v>
      </x:c>
      <x:c r="I386" s="9" t="str">
        <x:v>1. 执行角色为平台管理员
2. 所选消费对应主播的主播ID为“100001”</x:v>
      </x:c>
      <x:c r="J386" s="9" t="str">
        <x:v>1. 进入消费订单
2. 查看主播ID</x:v>
      </x:c>
      <x:c r="K386" s="9" t="str">
        <x:v>主播ID显示“100001”</x:v>
      </x:c>
      <x:c r="L386" s="10" t="str"/>
      <x:c r="M386" s="10" t="str">
        <x:v>未测</x:v>
      </x:c>
      <x:c r="N386" s="10" t="str"/>
      <x:c r="O386" s="9" t="str">
        <x:v>1. 来源（当前证据）：liveshow-proto/MainBasis/统一需求文档.md；位置：行3107
2. 规则：BR-e6307a333c040866
3. 未动态验证</x:v>
      </x:c>
    </x:row>
    <x:row r="387" ht="130" customHeight="1">
      <x:c r="A387" s="10" t="n">
        <x:v>386</x:v>
      </x:c>
      <x:c r="B387" s="10" t="str">
        <x:v>ADMIN-08-0028</x:v>
      </x:c>
      <x:c r="C387" s="10" t="str">
        <x:v>订单管理</x:v>
      </x:c>
      <x:c r="D387" s="10" t="str">
        <x:v>消费订单（平台管理员视角）</x:v>
      </x:c>
      <x:c r="E387" s="10" t="str">
        <x:v>业务流程</x:v>
      </x:c>
      <x:c r="F387" s="10" t="str">
        <x:v>P1</x:v>
      </x:c>
      <x:c r="G387" s="9" t="str">
        <x:v>验证消费订单不可主动退款</x:v>
      </x:c>
      <x:c r="H387" s="9" t="str">
        <x:v>消费退款边界</x:v>
      </x:c>
      <x:c r="I387" s="9" t="str">
        <x:v>1. 执行角色为平台管理员
2. 存在已支付普通礼物订单甲</x:v>
      </x:c>
      <x:c r="J387" s="9" t="str">
        <x:v>1. 进入消费订单甲详情</x:v>
      </x:c>
      <x:c r="K387" s="9" t="str">
        <x:v>不提供消费退款操作</x:v>
      </x:c>
      <x:c r="L387" s="10" t="str"/>
      <x:c r="M387" s="10" t="str">
        <x:v>未测</x:v>
      </x:c>
      <x:c r="N387" s="10" t="str"/>
      <x:c r="O387" s="9" t="str">
        <x:v>1. 来源（当前证据）：liveshow-proto/MainBasis/统一需求文档.md；位置：行3109、行3121
2. 规则：BR-648a560e3c384ec5
3. 未动态验证
4. 数据别名：甲、乙、丙用于区分本条测试对象；按前置条件准备并记录实际账号或记录 ID，不是固定业务名称。</x:v>
      </x:c>
    </x:row>
    <x:row r="388" ht="115" customHeight="1">
      <x:c r="A388" s="10" t="n">
        <x:v>387</x:v>
      </x:c>
      <x:c r="B388" s="10" t="str">
        <x:v>ADMIN-08-0029</x:v>
      </x:c>
      <x:c r="C388" s="10" t="str">
        <x:v>订单管理</x:v>
      </x:c>
      <x:c r="D388" s="10" t="str">
        <x:v>消费订单（平台管理员视角）</x:v>
      </x:c>
      <x:c r="E388" s="10" t="str">
        <x:v>功能需求</x:v>
      </x:c>
      <x:c r="F388" s="10" t="str">
        <x:v>P2</x:v>
      </x:c>
      <x:c r="G388" s="9" t="str">
        <x:v>验证消费订单导出当前结果</x:v>
      </x:c>
      <x:c r="H388" s="9" t="str">
        <x:v>消费订单导出范围</x:v>
      </x:c>
      <x:c r="I388" s="9" t="str">
        <x:v>1. 执行角色为平台管理员
2. 本轮查询仅返回消费甲乙，丙已排除</x:v>
      </x:c>
      <x:c r="J388" s="9" t="str">
        <x:v>1. 进入消费订单
2. 点击导出
3. 打开本次文件</x:v>
      </x:c>
      <x:c r="K388" s="9" t="str">
        <x:v>导出消费集合为甲乙</x:v>
      </x:c>
      <x:c r="L388" s="10" t="str"/>
      <x:c r="M388" s="10" t="str">
        <x:v>未测</x:v>
      </x:c>
      <x:c r="N388" s="10" t="str"/>
      <x:c r="O388" s="9" t="str">
        <x:v>1. 来源（当前证据）：liveshow-proto/MainBasis/统一需求文档.md；位置：行3110
2. 规则：BR-05aa8a885c3b0e81
3. 未动态验证
4. 数据别名：甲、乙、丙用于区分本条测试对象；按前置条件准备并记录实际账号或记录 ID，不是固定业务名称。</x:v>
      </x:c>
    </x:row>
    <x:row r="389" ht="115" customHeight="1">
      <x:c r="A389" s="10" t="n">
        <x:v>388</x:v>
      </x:c>
      <x:c r="B389" s="10" t="str">
        <x:v>ADMIN-08-0030</x:v>
      </x:c>
      <x:c r="C389" s="10" t="str">
        <x:v>订单管理</x:v>
      </x:c>
      <x:c r="D389" s="10" t="str">
        <x:v>消费订单详情（平台管理员视角）</x:v>
      </x:c>
      <x:c r="E389" s="10" t="str">
        <x:v>业务流程</x:v>
      </x:c>
      <x:c r="F389" s="10" t="str">
        <x:v>P1</x:v>
      </x:c>
      <x:c r="G389" s="9" t="str">
        <x:v>验证礼物改价后订单保留原单价</x:v>
      </x:c>
      <x:c r="H389" s="9" t="str">
        <x:v>消费单价快照</x:v>
      </x:c>
      <x:c r="I389" s="9" t="str">
        <x:v>1. 执行角色为平台管理员
2. 订单甲成交时礼物单价100；当前礼物已改为200</x:v>
      </x:c>
      <x:c r="J389" s="9" t="str">
        <x:v>1. 进入订单甲详情</x:v>
      </x:c>
      <x:c r="K389" s="9" t="str">
        <x:v>订单单价仍为100金币</x:v>
      </x:c>
      <x:c r="L389" s="10" t="str"/>
      <x:c r="M389" s="10" t="str">
        <x:v>未测</x:v>
      </x:c>
      <x:c r="N389" s="10" t="str"/>
      <x:c r="O389" s="9" t="str">
        <x:v>1. 来源（当前证据）：liveshow-proto/MainBasis/统一需求文档.md；位置：行3115
2. 规则：BR-7cdd0bbb3d998cf6
3. 未动态验证
4. 数据别名：甲、乙、丙用于区分本条测试对象；按前置条件准备并记录实际账号或记录 ID，不是固定业务名称。</x:v>
      </x:c>
    </x:row>
    <x:row r="390" ht="70" customHeight="1">
      <x:c r="A390" s="10" t="n">
        <x:v>389</x:v>
      </x:c>
      <x:c r="B390" s="10" t="str">
        <x:v>ADMIN-08-0031</x:v>
      </x:c>
      <x:c r="C390" s="10" t="str">
        <x:v>订单管理</x:v>
      </x:c>
      <x:c r="D390" s="10" t="str">
        <x:v>消费订单详情（平台管理员视角）</x:v>
      </x:c>
      <x:c r="E390" s="10" t="str">
        <x:v>功能需求</x:v>
      </x:c>
      <x:c r="F390" s="10" t="str">
        <x:v>P2</x:v>
      </x:c>
      <x:c r="G390" s="9" t="str">
        <x:v>验证消费订单详情读取商品名称</x:v>
      </x:c>
      <x:c r="H390" s="9" t="str">
        <x:v>商品名称回显</x:v>
      </x:c>
      <x:c r="I390" s="9" t="str">
        <x:v>1. 执行角色为平台管理员
2. 所选消费发生时快照的商品名称为“玫瑰”</x:v>
      </x:c>
      <x:c r="J390" s="9" t="str">
        <x:v>1. 进入消费订单详情
2. 查看商品名称</x:v>
      </x:c>
      <x:c r="K390" s="9" t="str">
        <x:v>商品名称显示“玫瑰”</x:v>
      </x:c>
      <x:c r="L390" s="10" t="str"/>
      <x:c r="M390" s="10" t="str">
        <x:v>未测</x:v>
      </x:c>
      <x:c r="N390" s="10" t="str"/>
      <x:c r="O390" s="9" t="str">
        <x:v>1. 来源（当前证据）：liveshow-proto/MainBasis/统一需求文档.md；位置：行3115
2. 规则：BR-12ad39dffd46216a
3. 未动态验证</x:v>
      </x:c>
    </x:row>
    <x:row r="391" ht="70" customHeight="1">
      <x:c r="A391" s="10" t="n">
        <x:v>390</x:v>
      </x:c>
      <x:c r="B391" s="10" t="str">
        <x:v>ADMIN-08-0032</x:v>
      </x:c>
      <x:c r="C391" s="10" t="str">
        <x:v>订单管理</x:v>
      </x:c>
      <x:c r="D391" s="10" t="str">
        <x:v>消费订单详情（平台管理员视角）</x:v>
      </x:c>
      <x:c r="E391" s="10" t="str">
        <x:v>逻辑校验</x:v>
      </x:c>
      <x:c r="F391" s="10" t="str">
        <x:v>P1</x:v>
      </x:c>
      <x:c r="G391" s="9" t="str">
        <x:v>验证消费订单详情幸运返奖按当前对象求和</x:v>
      </x:c>
      <x:c r="H391" s="9" t="str">
        <x:v>幸运返奖计算范围</x:v>
      </x:c>
      <x:c r="I391" s="9" t="str">
        <x:v>1. 执行角色为平台管理员
2. 当前幸运礼物订单两个独立开奖结果分别5金币、10金币；没有其他开奖</x:v>
      </x:c>
      <x:c r="J391" s="9" t="str">
        <x:v>1. 进入消费订单详情
2. 查看前置条件指定对象及范围的幸运返奖</x:v>
      </x:c>
      <x:c r="K391" s="9" t="str">
        <x:v>幸运返奖按5+10计算=15金币</x:v>
      </x:c>
      <x:c r="L391" s="10" t="str"/>
      <x:c r="M391" s="10" t="str">
        <x:v>未测</x:v>
      </x:c>
      <x:c r="N391" s="10" t="str"/>
      <x:c r="O391" s="9" t="str">
        <x:v>1. 来源（当前证据）：liveshow-proto/MainBasis/统一需求文档.md；位置：行3117
2. 规则：BR-f510201773584c5b
3. 未动态验证</x:v>
      </x:c>
    </x:row>
    <x:row r="392" ht="70" customHeight="1">
      <x:c r="A392" s="10" t="n">
        <x:v>391</x:v>
      </x:c>
      <x:c r="B392" s="10" t="str">
        <x:v>ADMIN-08-0033</x:v>
      </x:c>
      <x:c r="C392" s="10" t="str">
        <x:v>订单管理</x:v>
      </x:c>
      <x:c r="D392" s="10" t="str">
        <x:v>消费订单详情（平台管理员视角）</x:v>
      </x:c>
      <x:c r="E392" s="10" t="str">
        <x:v>逻辑校验</x:v>
      </x:c>
      <x:c r="F392" s="10" t="str">
        <x:v>P1</x:v>
      </x:c>
      <x:c r="G392" s="9" t="str">
        <x:v>验证中奖超过投入时净消耗为负</x:v>
      </x:c>
      <x:c r="H392" s="9" t="str">
        <x:v>幸运礼物用户净消耗</x:v>
      </x:c>
      <x:c r="I392" s="9" t="str">
        <x:v>1. 执行角色为平台管理员
2. 幸运订单扣减1000金币，实际返奖2000金币</x:v>
      </x:c>
      <x:c r="J392" s="9" t="str">
        <x:v>1. 进入该消费订单详情</x:v>
      </x:c>
      <x:c r="K392" s="9" t="str">
        <x:v>幸运礼物用户净消耗按1000-2000计算=-1000金币</x:v>
      </x:c>
      <x:c r="L392" s="10" t="str"/>
      <x:c r="M392" s="10" t="str">
        <x:v>未测</x:v>
      </x:c>
      <x:c r="N392" s="10" t="str"/>
      <x:c r="O392" s="9" t="str">
        <x:v>1. 来源（当前证据）：liveshow-proto/MainBasis/统一需求文档.md；位置：行3118
2. 规则：BR-75e9e0e98a6ce60c
3. 未动态验证</x:v>
      </x:c>
    </x:row>
    <x:row r="393" ht="70" customHeight="1">
      <x:c r="A393" s="10" t="n">
        <x:v>392</x:v>
      </x:c>
      <x:c r="B393" s="10" t="str">
        <x:v>ADMIN-08-0034</x:v>
      </x:c>
      <x:c r="C393" s="10" t="str">
        <x:v>订单管理</x:v>
      </x:c>
      <x:c r="D393" s="10" t="str">
        <x:v>消费订单详情（平台管理员视角）</x:v>
      </x:c>
      <x:c r="E393" s="10" t="str">
        <x:v>业务流程</x:v>
      </x:c>
      <x:c r="F393" s="10" t="str">
        <x:v>P1</x:v>
      </x:c>
      <x:c r="G393" s="9" t="str">
        <x:v>验证幸运返奖不冲减主播收入</x:v>
      </x:c>
      <x:c r="H393" s="9" t="str">
        <x:v>幸运主播收益口径</x:v>
      </x:c>
      <x:c r="I393" s="9" t="str">
        <x:v>1. 执行角色为平台管理员
2. 成功赠送幸运礼物1000金币，赠送时比例1%，实际返奖500</x:v>
      </x:c>
      <x:c r="J393" s="9" t="str">
        <x:v>1. 进入该消费订单详情</x:v>
      </x:c>
      <x:c r="K393" s="9" t="str">
        <x:v>主播收益为10金币</x:v>
      </x:c>
      <x:c r="L393" s="10" t="str"/>
      <x:c r="M393" s="10" t="str">
        <x:v>未测</x:v>
      </x:c>
      <x:c r="N393" s="10" t="str"/>
      <x:c r="O393" s="9" t="str">
        <x:v>1. 来源（当前证据）：liveshow-proto/MainBasis/统一需求文档.md；位置：行3119
2. 规则：BR-9f550f8afe55cf6e
3. 未动态验证</x:v>
      </x:c>
    </x:row>
    <x:row r="394" ht="70" customHeight="1">
      <x:c r="A394" s="10" t="n">
        <x:v>393</x:v>
      </x:c>
      <x:c r="B394" s="10" t="str">
        <x:v>ADMIN-08-0035</x:v>
      </x:c>
      <x:c r="C394" s="10" t="str">
        <x:v>订单管理</x:v>
      </x:c>
      <x:c r="D394" s="10" t="str">
        <x:v>消费订单详情（平台管理员视角）</x:v>
      </x:c>
      <x:c r="E394" s="10" t="str">
        <x:v>逻辑校验</x:v>
      </x:c>
      <x:c r="F394" s="10" t="str">
        <x:v>P1</x:v>
      </x:c>
      <x:c r="G394" s="9" t="str">
        <x:v>验证普通礼物全部消费计主播收益</x:v>
      </x:c>
      <x:c r="H394" s="9" t="str">
        <x:v>普通礼物主播收益</x:v>
      </x:c>
      <x:c r="I394" s="9" t="str">
        <x:v>1. 执行角色为平台管理员
2. 普通礼物单价100，成功送出3个</x:v>
      </x:c>
      <x:c r="J394" s="9" t="str">
        <x:v>1. 进入该消费订单详情</x:v>
      </x:c>
      <x:c r="K394" s="9" t="str">
        <x:v>普通礼物主播收益按100×3计算=300金币</x:v>
      </x:c>
      <x:c r="L394" s="10" t="str"/>
      <x:c r="M394" s="10" t="str">
        <x:v>未测</x:v>
      </x:c>
      <x:c r="N394" s="10" t="str"/>
      <x:c r="O394" s="9" t="str">
        <x:v>1. 来源（当前证据）：liveshow-proto/MainBasis/统一需求文档.md；位置：行3119
2. 规则：BR-1baaf1cce5b7ad45
3. 未动态验证</x:v>
      </x:c>
    </x:row>
    <x:row r="395" ht="70" customHeight="1">
      <x:c r="A395" s="10" t="n">
        <x:v>394</x:v>
      </x:c>
      <x:c r="B395" s="10" t="str">
        <x:v>ADMIN-08-0036</x:v>
      </x:c>
      <x:c r="C395" s="10" t="str">
        <x:v>订单管理</x:v>
      </x:c>
      <x:c r="D395" s="10" t="str">
        <x:v>消费订单详情（平台管理员视角）</x:v>
      </x:c>
      <x:c r="E395" s="10" t="str">
        <x:v>逻辑校验</x:v>
      </x:c>
      <x:c r="F395" s="10" t="str">
        <x:v>P1</x:v>
      </x:c>
      <x:c r="G395" s="9" t="str">
        <x:v>验证定制礼物全部消费计主播收益</x:v>
      </x:c>
      <x:c r="H395" s="9" t="str">
        <x:v>定制礼物主播收益</x:v>
      </x:c>
      <x:c r="I395" s="9" t="str">
        <x:v>1. 执行角色为平台管理员
2. 定制礼物单价100，成功送出3个</x:v>
      </x:c>
      <x:c r="J395" s="9" t="str">
        <x:v>1. 进入该消费订单详情</x:v>
      </x:c>
      <x:c r="K395" s="9" t="str">
        <x:v>定制礼物主播收益按100×3计算=300金币</x:v>
      </x:c>
      <x:c r="L395" s="10" t="str"/>
      <x:c r="M395" s="10" t="str">
        <x:v>未测</x:v>
      </x:c>
      <x:c r="N395" s="10" t="str"/>
      <x:c r="O395" s="9" t="str">
        <x:v>1. 来源（当前证据）：liveshow-proto/MainBasis/统一需求文档.md；位置：行3119
2. 规则：BR-9371c6512c1e51fb
3. 未动态验证</x:v>
      </x:c>
    </x:row>
    <x:row r="396" ht="70" customHeight="1">
      <x:c r="A396" s="10" t="n">
        <x:v>395</x:v>
      </x:c>
      <x:c r="B396" s="10" t="str">
        <x:v>ADMIN-08-0037</x:v>
      </x:c>
      <x:c r="C396" s="10" t="str">
        <x:v>订单管理</x:v>
      </x:c>
      <x:c r="D396" s="10" t="str">
        <x:v>消费订单详情（平台管理员视角）</x:v>
      </x:c>
      <x:c r="E396" s="10" t="str">
        <x:v>逻辑校验</x:v>
      </x:c>
      <x:c r="F396" s="10" t="str">
        <x:v>P1</x:v>
      </x:c>
      <x:c r="G396" s="9" t="str">
        <x:v>验证门票消费计主播收益</x:v>
      </x:c>
      <x:c r="H396" s="9" t="str">
        <x:v>门票主播收益</x:v>
      </x:c>
      <x:c r="I396" s="9" t="str">
        <x:v>1. 执行角色为平台管理员
2. 本场门票单价100，用户成功购买1份</x:v>
      </x:c>
      <x:c r="J396" s="9" t="str">
        <x:v>1. 进入门票消费订单详情</x:v>
      </x:c>
      <x:c r="K396" s="9" t="str">
        <x:v>门票主播收益按100×1计算=100金币</x:v>
      </x:c>
      <x:c r="L396" s="10" t="str"/>
      <x:c r="M396" s="10" t="str">
        <x:v>未测</x:v>
      </x:c>
      <x:c r="N396" s="10" t="str"/>
      <x:c r="O396" s="9" t="str">
        <x:v>1. 来源（当前证据）：liveshow-proto/MainBasis/统一需求文档.md；位置：行3119
2. 规则：BR-9b7f239071da1e91
3. 未动态验证</x:v>
      </x:c>
    </x:row>
    <x:row r="397" ht="70" customHeight="1">
      <x:c r="A397" s="10" t="n">
        <x:v>396</x:v>
      </x:c>
      <x:c r="B397" s="10" t="str">
        <x:v>ADMIN-08-0038</x:v>
      </x:c>
      <x:c r="C397" s="10" t="str">
        <x:v>订单管理</x:v>
      </x:c>
      <x:c r="D397" s="10" t="str">
        <x:v>消费订单详情（平台管理员视角）</x:v>
      </x:c>
      <x:c r="E397" s="10" t="str">
        <x:v>功能需求</x:v>
      </x:c>
      <x:c r="F397" s="10" t="str">
        <x:v>P2</x:v>
      </x:c>
      <x:c r="G397" s="9" t="str">
        <x:v>验证消费订单详情读取公会ID</x:v>
      </x:c>
      <x:c r="H397" s="9" t="str">
        <x:v>公会ID回显</x:v>
      </x:c>
      <x:c r="I397" s="9" t="str">
        <x:v>1. 执行角色为平台管理员
2. 所选消费发生时所属公会的公会ID为“200001”</x:v>
      </x:c>
      <x:c r="J397" s="9" t="str">
        <x:v>1. 进入消费订单详情
2. 查看公会ID</x:v>
      </x:c>
      <x:c r="K397" s="9" t="str">
        <x:v>公会ID显示“200001”</x:v>
      </x:c>
      <x:c r="L397" s="10" t="str"/>
      <x:c r="M397" s="10" t="str">
        <x:v>未测</x:v>
      </x:c>
      <x:c r="N397" s="10" t="str"/>
      <x:c r="O397" s="9" t="str">
        <x:v>1. 来源（当前证据）：liveshow-proto/MainBasis/统一需求文档.md；位置：行3120
2. 规则：BR-06e18166ed3139f6
3. 未动态验证</x:v>
      </x:c>
    </x:row>
    <x:row r="398" ht="70" customHeight="1">
      <x:c r="A398" s="10" t="n">
        <x:v>397</x:v>
      </x:c>
      <x:c r="B398" s="10" t="str">
        <x:v>ADMIN-08-0039</x:v>
      </x:c>
      <x:c r="C398" s="10" t="str">
        <x:v>订单管理</x:v>
      </x:c>
      <x:c r="D398" s="10" t="str">
        <x:v>消费订单详情（平台管理员视角）</x:v>
      </x:c>
      <x:c r="E398" s="10" t="str">
        <x:v>功能需求</x:v>
      </x:c>
      <x:c r="F398" s="10" t="str">
        <x:v>P2</x:v>
      </x:c>
      <x:c r="G398" s="9" t="str">
        <x:v>验证消费订单详情读取直播场次ID</x:v>
      </x:c>
      <x:c r="H398" s="9" t="str">
        <x:v>直播场次ID回显</x:v>
      </x:c>
      <x:c r="I398" s="9" t="str">
        <x:v>1. 执行角色为平台管理员
2. 所选消费实际场次的直播场次ID为“400001”</x:v>
      </x:c>
      <x:c r="J398" s="9" t="str">
        <x:v>1. 进入消费订单详情
2. 查看直播场次ID</x:v>
      </x:c>
      <x:c r="K398" s="9" t="str">
        <x:v>直播场次ID显示“400001”</x:v>
      </x:c>
      <x:c r="L398" s="10" t="str"/>
      <x:c r="M398" s="10" t="str">
        <x:v>未测</x:v>
      </x:c>
      <x:c r="N398" s="10" t="str"/>
      <x:c r="O398" s="9" t="str">
        <x:v>1. 来源（当前证据）：liveshow-proto/MainBasis/统一需求文档.md；位置：行3120
2. 规则：BR-83fd529223e2f07c
3. 未动态验证</x:v>
      </x:c>
    </x:row>
    <x:row r="399" ht="115" customHeight="1">
      <x:c r="A399" s="10" t="n">
        <x:v>398</x:v>
      </x:c>
      <x:c r="B399" s="10" t="str">
        <x:v>ADMIN-08-0040</x:v>
      </x:c>
      <x:c r="C399" s="10" t="str">
        <x:v>订单管理</x:v>
      </x:c>
      <x:c r="D399" s="10" t="str">
        <x:v>消费订单详情（平台管理员视角）</x:v>
      </x:c>
      <x:c r="E399" s="10" t="str">
        <x:v>业务流程</x:v>
      </x:c>
      <x:c r="F399" s="10" t="str">
        <x:v>P1</x:v>
      </x:c>
      <x:c r="G399" s="9" t="str">
        <x:v>验证消费详情只读</x:v>
      </x:c>
      <x:c r="H399" s="9" t="str">
        <x:v>消费订单不可编辑</x:v>
      </x:c>
      <x:c r="I399" s="9" t="str">
        <x:v>1. 执行角色为平台管理员
2. 有已支付礼物订单甲</x:v>
      </x:c>
      <x:c r="J399" s="9" t="str">
        <x:v>1. 进入消费订单甲详情</x:v>
      </x:c>
      <x:c r="K399" s="9" t="str">
        <x:v>订单只读</x:v>
      </x:c>
      <x:c r="L399" s="10" t="str"/>
      <x:c r="M399" s="10" t="str">
        <x:v>未测</x:v>
      </x:c>
      <x:c r="N399" s="10" t="str"/>
      <x:c r="O399" s="9" t="str">
        <x:v>1. 来源（当前证据）：liveshow-proto/MainBasis/统一需求文档.md；位置：行3121
2. 规则：BR-70f1dc07be144a60
3. 未动态验证
4. 数据别名：甲、乙、丙用于区分本条测试对象；按前置条件准备并记录实际账号或记录 ID，不是固定业务名称。</x:v>
      </x:c>
    </x:row>
    <x:row r="400" ht="115" customHeight="1">
      <x:c r="A400" s="10" t="n">
        <x:v>399</x:v>
      </x:c>
      <x:c r="B400" s="10" t="str">
        <x:v>ADMIN-08-0041</x:v>
      </x:c>
      <x:c r="C400" s="10" t="str">
        <x:v>订单管理</x:v>
      </x:c>
      <x:c r="D400" s="10" t="str">
        <x:v>消费订单详情（平台管理员视角）</x:v>
      </x:c>
      <x:c r="E400" s="10" t="str">
        <x:v>功能需求</x:v>
      </x:c>
      <x:c r="F400" s="10" t="str">
        <x:v>P2</x:v>
      </x:c>
      <x:c r="G400" s="9" t="str">
        <x:v>验证消费详情不提供退款</x:v>
      </x:c>
      <x:c r="H400" s="9" t="str">
        <x:v>消费退款权限边界</x:v>
      </x:c>
      <x:c r="I400" s="9" t="str">
        <x:v>1. 执行角色为平台管理员
2. 已完成普通礼物订单甲</x:v>
      </x:c>
      <x:c r="J400" s="9" t="str">
        <x:v>1. 进入甲消费详情</x:v>
      </x:c>
      <x:c r="K400" s="9" t="str">
        <x:v>不提供消费退款操作</x:v>
      </x:c>
      <x:c r="L400" s="10" t="str"/>
      <x:c r="M400" s="10" t="str">
        <x:v>未测</x:v>
      </x:c>
      <x:c r="N400" s="10" t="str"/>
      <x:c r="O400" s="9" t="str">
        <x:v>1. 来源（当前证据）：liveshow-proto/MainBasis/统一需求文档.md；位置：行3122
2. 规则：BR-9fc8410797d46e85
3. 未动态验证
4. 数据别名：甲、乙、丙用于区分本条测试对象；按前置条件准备并记录实际账号或记录 ID，不是固定业务名称。</x:v>
      </x:c>
    </x:row>
    <x:row r="401" ht="70" customHeight="1">
      <x:c r="A401" s="10" t="n">
        <x:v>400</x:v>
      </x:c>
      <x:c r="B401" s="10" t="str">
        <x:v>ADMIN-08-0042</x:v>
      </x:c>
      <x:c r="C401" s="10" t="str">
        <x:v>订单管理</x:v>
      </x:c>
      <x:c r="D401" s="10" t="str">
        <x:v>退款订单（平台管理员视角）</x:v>
      </x:c>
      <x:c r="E401" s="10" t="str">
        <x:v>功能需求</x:v>
      </x:c>
      <x:c r="F401" s="10" t="str">
        <x:v>P2</x:v>
      </x:c>
      <x:c r="G401" s="9" t="str">
        <x:v>验证退款订单读取退款单号</x:v>
      </x:c>
      <x:c r="H401" s="9" t="str">
        <x:v>退款单号回显</x:v>
      </x:c>
      <x:c r="I401" s="9" t="str">
        <x:v>1. 执行角色为平台管理员
2. 所选已完成退款的实际单号的退款单号为“980001”</x:v>
      </x:c>
      <x:c r="J401" s="9" t="str">
        <x:v>1. 进入退款订单
2. 查看退款单号</x:v>
      </x:c>
      <x:c r="K401" s="9" t="str">
        <x:v>退款单号显示“980001”</x:v>
      </x:c>
      <x:c r="L401" s="10" t="str"/>
      <x:c r="M401" s="10" t="str">
        <x:v>未测</x:v>
      </x:c>
      <x:c r="N401" s="10" t="str"/>
      <x:c r="O401" s="9" t="str">
        <x:v>1. 来源（当前证据）：liveshow-proto/MainBasis/统一需求文档.md；位置：行3127
2. 规则：BR-aa77f0e71aea419c
3. 未动态验证</x:v>
      </x:c>
    </x:row>
    <x:row r="402" ht="130" customHeight="1">
      <x:c r="A402" s="10" t="n">
        <x:v>401</x:v>
      </x:c>
      <x:c r="B402" s="10" t="str">
        <x:v>ADMIN-08-0043</x:v>
      </x:c>
      <x:c r="C402" s="10" t="str">
        <x:v>订单管理</x:v>
      </x:c>
      <x:c r="D402" s="10" t="str">
        <x:v>退款订单（平台管理员视角）</x:v>
      </x:c>
      <x:c r="E402" s="10" t="str">
        <x:v>业务流程</x:v>
      </x:c>
      <x:c r="F402" s="10" t="str">
        <x:v>P1</x:v>
      </x:c>
      <x:c r="G402" s="9" t="str">
        <x:v>验证渠道退款记录为被动类型</x:v>
      </x:c>
      <x:c r="H402" s="9" t="str">
        <x:v>被动退款归类</x:v>
      </x:c>
      <x:c r="I402" s="9" t="str">
        <x:v>1. 执行角色为平台管理员
2. 测试支付渠道已完成充值甲全额退款；非管理员发起
3. 环境准备要求：支付测试渠道、测试账号及本条所需支付或退款回调当前未具备；执行前由技术提供并确认仅影响测试交易</x:v>
      </x:c>
      <x:c r="J402" s="9" t="str">
        <x:v>1. 进入退款订单
2. 查询甲</x:v>
      </x:c>
      <x:c r="K402" s="9" t="str">
        <x:v>退款类型为被动退款</x:v>
      </x:c>
      <x:c r="L402" s="10" t="str"/>
      <x:c r="M402" s="10" t="str">
        <x:v>未测</x:v>
      </x:c>
      <x:c r="N402" s="10" t="str"/>
      <x:c r="O402" s="9" t="str">
        <x:v>1. 来源（当前证据）：liveshow-proto/MainBasis/统一需求文档.md；位置：行3129
2. 规则：BR-445ce89c2eb27e53
3. 未动态验证
4. 数据别名：甲、乙、丙用于区分本条测试对象；按前置条件准备并记录实际账号或记录 ID，不是固定业务名称。</x:v>
      </x:c>
    </x:row>
    <x:row r="403" ht="70" customHeight="1">
      <x:c r="A403" s="10" t="n">
        <x:v>402</x:v>
      </x:c>
      <x:c r="B403" s="10" t="str">
        <x:v>ADMIN-08-0044</x:v>
      </x:c>
      <x:c r="C403" s="10" t="str">
        <x:v>订单管理</x:v>
      </x:c>
      <x:c r="D403" s="10" t="str">
        <x:v>退款订单（平台管理员视角）</x:v>
      </x:c>
      <x:c r="E403" s="10" t="str">
        <x:v>功能需求</x:v>
      </x:c>
      <x:c r="F403" s="10" t="str">
        <x:v>P2</x:v>
      </x:c>
      <x:c r="G403" s="9" t="str">
        <x:v>验证退款订单读取类型</x:v>
      </x:c>
      <x:c r="H403" s="9" t="str">
        <x:v>类型回显</x:v>
      </x:c>
      <x:c r="I403" s="9" t="str">
        <x:v>1. 执行角色为平台管理员
2. 所选由支付渠道发起的退款的类型为“被动退款”</x:v>
      </x:c>
      <x:c r="J403" s="9" t="str">
        <x:v>1. 进入退款订单
2. 查看类型</x:v>
      </x:c>
      <x:c r="K403" s="9" t="str">
        <x:v>类型显示“被动退款”</x:v>
      </x:c>
      <x:c r="L403" s="10" t="str"/>
      <x:c r="M403" s="10" t="str">
        <x:v>未测</x:v>
      </x:c>
      <x:c r="N403" s="10" t="str"/>
      <x:c r="O403" s="9" t="str">
        <x:v>1. 来源（当前证据）：liveshow-proto/MainBasis/统一需求文档.md；位置：行3129
2. 规则：BR-1f244aea69d4c73a
3. 未动态验证</x:v>
      </x:c>
    </x:row>
    <x:row r="404" ht="70" customHeight="1">
      <x:c r="A404" s="10" t="n">
        <x:v>403</x:v>
      </x:c>
      <x:c r="B404" s="10" t="str">
        <x:v>ADMIN-08-0045</x:v>
      </x:c>
      <x:c r="C404" s="10" t="str">
        <x:v>订单管理</x:v>
      </x:c>
      <x:c r="D404" s="10" t="str">
        <x:v>退款订单（平台管理员视角）</x:v>
      </x:c>
      <x:c r="E404" s="10" t="str">
        <x:v>逻辑校验</x:v>
      </x:c>
      <x:c r="F404" s="10" t="str">
        <x:v>P1</x:v>
      </x:c>
      <x:c r="G404" s="9" t="str">
        <x:v>验证退款订单退款金额按当前对象求和</x:v>
      </x:c>
      <x:c r="H404" s="9" t="str">
        <x:v>退款金额计算范围</x:v>
      </x:c>
      <x:c r="I404" s="9" t="str">
        <x:v>1. 执行角色为平台管理员
2. 原成功充值订单实付1.99USD，已完成全额退款</x:v>
      </x:c>
      <x:c r="J404" s="9" t="str">
        <x:v>1. 进入退款订单
2. 查看前置条件指定对象及范围的退款金额</x:v>
      </x:c>
      <x:c r="K404" s="9" t="str">
        <x:v>退款金额按1.99计算=1.99USD</x:v>
      </x:c>
      <x:c r="L404" s="10" t="str"/>
      <x:c r="M404" s="10" t="str">
        <x:v>未测</x:v>
      </x:c>
      <x:c r="N404" s="10" t="str"/>
      <x:c r="O404" s="9" t="str">
        <x:v>1. 来源（当前证据）：liveshow-proto/MainBasis/统一需求文档.md；位置：行3130
2. 规则：BR-ad95333c088ce523
3. 未动态验证</x:v>
      </x:c>
    </x:row>
    <x:row r="405" ht="115" customHeight="1">
      <x:c r="A405" s="10" t="n">
        <x:v>404</x:v>
      </x:c>
      <x:c r="B405" s="10" t="str">
        <x:v>ADMIN-08-0046</x:v>
      </x:c>
      <x:c r="C405" s="10" t="str">
        <x:v>订单管理</x:v>
      </x:c>
      <x:c r="D405" s="10" t="str">
        <x:v>退款订单（平台管理员视角）</x:v>
      </x:c>
      <x:c r="E405" s="10" t="str">
        <x:v>业务流程</x:v>
      </x:c>
      <x:c r="F405" s="10" t="str">
        <x:v>P1</x:v>
      </x:c>
      <x:c r="G405" s="9" t="str">
        <x:v>验证退款列表仅包含完成结果</x:v>
      </x:c>
      <x:c r="H405" s="9" t="str">
        <x:v>退款完成范围</x:v>
      </x:c>
      <x:c r="I405" s="9" t="str">
        <x:v>1. 执行角色为平台管理员
2. 退款甲完成，乙仍处理中，丙失败</x:v>
      </x:c>
      <x:c r="J405" s="9" t="str">
        <x:v>1. 进入退款订单</x:v>
      </x:c>
      <x:c r="K405" s="9" t="str">
        <x:v>列表只包含甲的已完成退款结果</x:v>
      </x:c>
      <x:c r="L405" s="10" t="str"/>
      <x:c r="M405" s="10" t="str">
        <x:v>未测</x:v>
      </x:c>
      <x:c r="N405" s="10" t="str"/>
      <x:c r="O405" s="9" t="str">
        <x:v>1. 来源（当前证据）：liveshow-proto/MainBasis/统一需求文档.md；位置：行3131
2. 规则：BR-4585a2987ee4d773
3. 未动态验证
4. 数据别名：甲、乙、丙用于区分本条测试对象；按前置条件准备并记录实际账号或记录 ID，不是固定业务名称。</x:v>
      </x:c>
    </x:row>
    <x:row r="406" ht="115" customHeight="1">
      <x:c r="A406" s="10" t="n">
        <x:v>405</x:v>
      </x:c>
      <x:c r="B406" s="10" t="str">
        <x:v>ADMIN-08-0047</x:v>
      </x:c>
      <x:c r="C406" s="10" t="str">
        <x:v>订单管理</x:v>
      </x:c>
      <x:c r="D406" s="10" t="str">
        <x:v>退款订单（平台管理员视角）</x:v>
      </x:c>
      <x:c r="E406" s="10" t="str">
        <x:v>业务流程</x:v>
      </x:c>
      <x:c r="F406" s="10" t="str">
        <x:v>P1</x:v>
      </x:c>
      <x:c r="G406" s="9" t="str">
        <x:v>验证退款详情关联原充值订单</x:v>
      </x:c>
      <x:c r="H406" s="9" t="str">
        <x:v>退款原订单追溯</x:v>
      </x:c>
      <x:c r="I406" s="9" t="str">
        <x:v>1. 执行角色为平台管理员
2. 退款甲关联充值乙</x:v>
      </x:c>
      <x:c r="J406" s="9" t="str">
        <x:v>1. 进入退款订单
2. 点击甲查看</x:v>
      </x:c>
      <x:c r="K406" s="9" t="str">
        <x:v>进入充值乙详情</x:v>
      </x:c>
      <x:c r="L406" s="10" t="str"/>
      <x:c r="M406" s="10" t="str">
        <x:v>未测</x:v>
      </x:c>
      <x:c r="N406" s="10" t="str"/>
      <x:c r="O406" s="9" t="str">
        <x:v>1. 来源（当前证据）：liveshow-proto/MainBasis/统一需求文档.md；位置：行3134
2. 规则：BR-d2141bbb661ceb80
3. 未动态验证
4. 数据别名：甲、乙、丙用于区分本条测试对象；按前置条件准备并记录实际账号或记录 ID，不是固定业务名称。</x:v>
      </x:c>
    </x:row>
    <x:row r="407" ht="70" customHeight="1">
      <x:c r="A407" s="10" t="n">
        <x:v>406</x:v>
      </x:c>
      <x:c r="B407" s="10" t="str">
        <x:v>ADMIN-09-0001</x:v>
      </x:c>
      <x:c r="C407" s="10" t="str">
        <x:v>财务分成</x:v>
      </x:c>
      <x:c r="D407" s="10" t="str">
        <x:v>主播分成记录（平台管理员视角）</x:v>
      </x:c>
      <x:c r="E407" s="10" t="str">
        <x:v>业务流程</x:v>
      </x:c>
      <x:c r="F407" s="10" t="str">
        <x:v>P1</x:v>
      </x:c>
      <x:c r="G407" s="9" t="str">
        <x:v>验证主播分成下载模板</x:v>
      </x:c>
      <x:c r="H407" s="9" t="str">
        <x:v>模板列契约</x:v>
      </x:c>
      <x:c r="I407" s="9" t="str">
        <x:v>1. 执行角色为平台管理员
2. 管理员具备财务导入权限</x:v>
      </x:c>
      <x:c r="J407" s="9" t="str">
        <x:v>1. 进入主播分成记录
2. 点击上传
3. 点击下载模板
4. 打开模板</x:v>
      </x:c>
      <x:c r="K407" s="9" t="str">
        <x:v>表头依次为主播名称、主播ID、公会名称、公会ID、分成金额</x:v>
      </x:c>
      <x:c r="L407" s="10" t="str"/>
      <x:c r="M407" s="10" t="str">
        <x:v>未测</x:v>
      </x:c>
      <x:c r="N407" s="10" t="str"/>
      <x:c r="O407" s="9" t="str">
        <x:v>1. 来源（当前证据）：liveshow-proto/MainBasis/统一需求文档.md；位置：行3138
2. 规则：BR-63165b69d667b027
3. 未动态验证</x:v>
      </x:c>
    </x:row>
    <x:row r="408" ht="115" customHeight="1">
      <x:c r="A408" s="10" t="n">
        <x:v>407</x:v>
      </x:c>
      <x:c r="B408" s="10" t="str">
        <x:v>ADMIN-09-0002</x:v>
      </x:c>
      <x:c r="C408" s="10" t="str">
        <x:v>财务分成</x:v>
      </x:c>
      <x:c r="D408" s="10" t="str">
        <x:v>主播分成记录（平台管理员视角）</x:v>
      </x:c>
      <x:c r="E408" s="10" t="str">
        <x:v>业务流程</x:v>
      </x:c>
      <x:c r="F408" s="10" t="str">
        <x:v>P2</x:v>
      </x:c>
      <x:c r="G408" s="9" t="str">
        <x:v>验证主播分成预览取消不导入</x:v>
      </x:c>
      <x:c r="H408" s="9" t="str">
        <x:v>财务导入取消</x:v>
      </x:c>
      <x:c r="I408" s="9" t="str">
        <x:v>1. 执行角色为平台管理员
2. 分成文件按模板准备两行：主播甲100.25USD，主播乙200.75USD；对象ID均有效；备注“2026年9月测试分成”</x:v>
      </x:c>
      <x:c r="J408" s="9" t="str">
        <x:v>1. 进入主播分成记录
2. 上传准备文件
3. 关闭预览
4. 刷新列表</x:v>
      </x:c>
      <x:c r="K408" s="9" t="str">
        <x:v>没有新增本次导入批次</x:v>
      </x:c>
      <x:c r="L408" s="10" t="str"/>
      <x:c r="M408" s="10" t="str">
        <x:v>未测</x:v>
      </x:c>
      <x:c r="N408" s="10" t="str"/>
      <x:c r="O408" s="9" t="str">
        <x:v>1. 来源（当前证据）：liveshow-proto/MainBasis/统一需求文档.md；位置：行3138
2. 规则：BR-c04dc7ed4ad4c0f3
3. 未动态验证
4. 数据别名：甲、乙、丙用于区分本条测试对象；按前置条件准备并记录实际账号或记录 ID，不是固定业务名称。</x:v>
      </x:c>
    </x:row>
    <x:row r="409" ht="115" customHeight="1">
      <x:c r="A409" s="10" t="n">
        <x:v>408</x:v>
      </x:c>
      <x:c r="B409" s="10" t="str">
        <x:v>ADMIN-09-0003</x:v>
      </x:c>
      <x:c r="C409" s="10" t="str">
        <x:v>财务分成</x:v>
      </x:c>
      <x:c r="D409" s="10" t="str">
        <x:v>主播分成记录（平台管理员视角）</x:v>
      </x:c>
      <x:c r="E409" s="10" t="str">
        <x:v>逻辑校验</x:v>
      </x:c>
      <x:c r="F409" s="10" t="str">
        <x:v>P1</x:v>
      </x:c>
      <x:c r="G409" s="9" t="str">
        <x:v>验证主播分成备注必填</x:v>
      </x:c>
      <x:c r="H409" s="9" t="str">
        <x:v>分成备注非空</x:v>
      </x:c>
      <x:c r="I409" s="9" t="str">
        <x:v>1. 执行角色为平台管理员
2. 分成文件按模板准备两行：主播甲100.25USD，主播乙200.75USD；对象ID均有效；备注“2026年9月测试分成”</x:v>
      </x:c>
      <x:c r="J409" s="9" t="str">
        <x:v>1. 进入主播分成记录
2. 点击上传
3. 清空备注
4. 上传准备文件
5. 点击确认导入</x:v>
      </x:c>
      <x:c r="K409" s="9" t="str">
        <x:v>不能提交空备注批次</x:v>
      </x:c>
      <x:c r="L409" s="10" t="str"/>
      <x:c r="M409" s="10" t="str">
        <x:v>未测</x:v>
      </x:c>
      <x:c r="N409" s="10" t="str"/>
      <x:c r="O409" s="9" t="str">
        <x:v>1. 来源（当前证据）：liveshow-proto/MainBasis/统一需求文档.md；位置：行3140
2. 规则：BR-e42ba16752857d0a
3. 未动态验证
4. 数据别名：甲、乙、丙用于区分本条测试对象；按前置条件准备并记录实际账号或记录 ID，不是固定业务名称。</x:v>
      </x:c>
    </x:row>
    <x:row r="410" ht="115" customHeight="1">
      <x:c r="A410" s="10" t="n">
        <x:v>409</x:v>
      </x:c>
      <x:c r="B410" s="10" t="str">
        <x:v>ADMIN-09-0004</x:v>
      </x:c>
      <x:c r="C410" s="10" t="str">
        <x:v>财务分成</x:v>
      </x:c>
      <x:c r="D410" s="10" t="str">
        <x:v>主播分成记录（平台管理员视角）</x:v>
      </x:c>
      <x:c r="E410" s="10" t="str">
        <x:v>逻辑校验</x:v>
      </x:c>
      <x:c r="F410" s="10" t="str">
        <x:v>P1</x:v>
      </x:c>
      <x:c r="G410" s="9" t="str">
        <x:v>验证主播分成备注超过100字</x:v>
      </x:c>
      <x:c r="H410" s="9" t="str">
        <x:v>分成备注长度</x:v>
      </x:c>
      <x:c r="I410" s="9" t="str">
        <x:v>1. 执行角色为平台管理员
2. 分成文件按模板准备两行：主播甲100.25USD，主播乙200.75USD；对象ID均有效；备注“2026年9月测试分成”</x:v>
      </x:c>
      <x:c r="J410" s="9" t="str">
        <x:v>1. 进入主播分成记录
2. 点击上传
3. 填写101个“备”
4. 上传准备文件
5. 点击确认导入</x:v>
      </x:c>
      <x:c r="K410" s="9" t="str">
        <x:v>不能保存超过100字的备注</x:v>
      </x:c>
      <x:c r="L410" s="10" t="str"/>
      <x:c r="M410" s="10" t="str">
        <x:v>未测</x:v>
      </x:c>
      <x:c r="N410" s="10" t="str"/>
      <x:c r="O410" s="9" t="str">
        <x:v>1. 来源（当前证据）：liveshow-proto/MainBasis/统一需求文档.md；位置：行3140
2. 规则：BR-bed214d7e68744bf
3. 未动态验证
4. 数据别名：甲、乙、丙用于区分本条测试对象；按前置条件准备并记录实际账号或记录 ID，不是固定业务名称。</x:v>
      </x:c>
    </x:row>
    <x:row r="411" ht="115" customHeight="1">
      <x:c r="A411" s="10" t="n">
        <x:v>410</x:v>
      </x:c>
      <x:c r="B411" s="10" t="str">
        <x:v>ADMIN-09-0005</x:v>
      </x:c>
      <x:c r="C411" s="10" t="str">
        <x:v>财务分成</x:v>
      </x:c>
      <x:c r="D411" s="10" t="str">
        <x:v>主播分成记录（平台管理员视角）</x:v>
      </x:c>
      <x:c r="E411" s="10" t="str">
        <x:v>功能需求</x:v>
      </x:c>
      <x:c r="F411" s="10" t="str">
        <x:v>P2</x:v>
      </x:c>
      <x:c r="G411" s="9" t="str">
        <x:v>验证主播分成记录主播人数按业务对象去重</x:v>
      </x:c>
      <x:c r="H411" s="9" t="str">
        <x:v>主播人数去重范围</x:v>
      </x:c>
      <x:c r="I411" s="9" t="str">
        <x:v>1. 执行角色为平台管理员
2. 有效导入预览有甲、乙两名不同主播各一行，没有重复ID</x:v>
      </x:c>
      <x:c r="J411" s="9" t="str">
        <x:v>1. 进入主播分成记录
2. 查看准备范围的主播人数</x:v>
      </x:c>
      <x:c r="K411" s="9" t="str">
        <x:v>主播人数为2人</x:v>
      </x:c>
      <x:c r="L411" s="10" t="str"/>
      <x:c r="M411" s="10" t="str">
        <x:v>未测</x:v>
      </x:c>
      <x:c r="N411" s="10" t="str"/>
      <x:c r="O411" s="9" t="str">
        <x:v>1. 来源（当前证据）：liveshow-proto/MainBasis/统一需求文档.md；位置：行3141
2. 规则：BR-b63d2e5dbbd22d3f
3. 未动态验证
4. 数据别名：甲、乙、丙用于区分本条测试对象；按前置条件准备并记录实际账号或记录 ID，不是固定业务名称。</x:v>
      </x:c>
    </x:row>
    <x:row r="412" ht="115" customHeight="1">
      <x:c r="A412" s="10" t="n">
        <x:v>411</x:v>
      </x:c>
      <x:c r="B412" s="10" t="str">
        <x:v>ADMIN-09-0006</x:v>
      </x:c>
      <x:c r="C412" s="10" t="str">
        <x:v>财务分成</x:v>
      </x:c>
      <x:c r="D412" s="10" t="str">
        <x:v>主播分成记录（平台管理员视角）</x:v>
      </x:c>
      <x:c r="E412" s="10" t="str">
        <x:v>逻辑校验</x:v>
      </x:c>
      <x:c r="F412" s="10" t="str">
        <x:v>P1</x:v>
      </x:c>
      <x:c r="G412" s="9" t="str">
        <x:v>验证主播导入批次总额按上传行求和</x:v>
      </x:c>
      <x:c r="H412" s="9" t="str">
        <x:v>主播分成批次总额</x:v>
      </x:c>
      <x:c r="I412" s="9" t="str">
        <x:v>1. 执行角色为平台管理员
2. 按模板有主播甲100.25USD和乙200.75USD两行有效明细；备注测试分成</x:v>
      </x:c>
      <x:c r="J412" s="9" t="str">
        <x:v>1. 进入主播分成记录
2. 上传该文件
3. 查看预览</x:v>
      </x:c>
      <x:c r="K412" s="9" t="str">
        <x:v>主播分成批次总额按100.25+200.75计算=301USD</x:v>
      </x:c>
      <x:c r="L412" s="10" t="str"/>
      <x:c r="M412" s="10" t="str">
        <x:v>未测</x:v>
      </x:c>
      <x:c r="N412" s="10" t="str"/>
      <x:c r="O412" s="9" t="str">
        <x:v>1. 来源（当前证据）：liveshow-proto/MainBasis/统一需求文档.md；位置：行3142
2. 规则：BR-c34336c9427d6228
3. 未动态验证
4. 数据别名：甲、乙、丙用于区分本条测试对象；按前置条件准备并记录实际账号或记录 ID，不是固定业务名称。</x:v>
      </x:c>
    </x:row>
    <x:row r="413" ht="115" customHeight="1">
      <x:c r="A413" s="10" t="n">
        <x:v>412</x:v>
      </x:c>
      <x:c r="B413" s="10" t="str">
        <x:v>ADMIN-09-0007</x:v>
      </x:c>
      <x:c r="C413" s="10" t="str">
        <x:v>财务分成</x:v>
      </x:c>
      <x:c r="D413" s="10" t="str">
        <x:v>主播分成记录（平台管理员视角）</x:v>
      </x:c>
      <x:c r="E413" s="10" t="str">
        <x:v>业务流程</x:v>
      </x:c>
      <x:c r="F413" s="10" t="str">
        <x:v>P1</x:v>
      </x:c>
      <x:c r="G413" s="9" t="str">
        <x:v>验证主播分成支持xlsx解析</x:v>
      </x:c>
      <x:c r="H413" s="9" t="str">
        <x:v>财务结果文件解析</x:v>
      </x:c>
      <x:c r="I413" s="9" t="str">
        <x:v>1. 执行角色为平台管理员
2. 分成文件按模板准备两行：主播甲100.25USD，主播乙200.75USD；对象ID均有效；备注“2026年9月测试分成”；文件格式xlsx</x:v>
      </x:c>
      <x:c r="J413" s="9" t="str">
        <x:v>1. 进入主播分成记录
2. 点击上传
3. 填写分成备注
4. 上传该xlsx文件</x:v>
      </x:c>
      <x:c r="K413" s="9" t="str">
        <x:v>预览包含甲100.25USD和乙200.75USD两条输入记录</x:v>
      </x:c>
      <x:c r="L413" s="10" t="str"/>
      <x:c r="M413" s="10" t="str">
        <x:v>未测</x:v>
      </x:c>
      <x:c r="N413" s="10" t="str"/>
      <x:c r="O413" s="9" t="str">
        <x:v>1. 来源（当前证据）：liveshow-proto/MainBasis/统一需求文档.md；位置：行3143
2. 规则：BR-c141b911f167be50
3. 未动态验证
4. 数据别名：甲、乙、丙用于区分本条测试对象；按前置条件准备并记录实际账号或记录 ID，不是固定业务名称。</x:v>
      </x:c>
    </x:row>
    <x:row r="414" ht="115" customHeight="1">
      <x:c r="A414" s="10" t="n">
        <x:v>413</x:v>
      </x:c>
      <x:c r="B414" s="10" t="str">
        <x:v>ADMIN-09-0008</x:v>
      </x:c>
      <x:c r="C414" s="10" t="str">
        <x:v>财务分成</x:v>
      </x:c>
      <x:c r="D414" s="10" t="str">
        <x:v>主播分成记录（平台管理员视角）</x:v>
      </x:c>
      <x:c r="E414" s="10" t="str">
        <x:v>业务流程</x:v>
      </x:c>
      <x:c r="F414" s="10" t="str">
        <x:v>P1</x:v>
      </x:c>
      <x:c r="G414" s="9" t="str">
        <x:v>验证主播分成支持xls解析</x:v>
      </x:c>
      <x:c r="H414" s="9" t="str">
        <x:v>财务结果文件解析</x:v>
      </x:c>
      <x:c r="I414" s="9" t="str">
        <x:v>1. 执行角色为平台管理员
2. 分成文件按模板准备两行：主播甲100.25USD，主播乙200.75USD；对象ID均有效；备注“2026年9月测试分成”；文件格式xls</x:v>
      </x:c>
      <x:c r="J414" s="9" t="str">
        <x:v>1. 进入主播分成记录
2. 点击上传
3. 填写分成备注
4. 上传该xls文件</x:v>
      </x:c>
      <x:c r="K414" s="9" t="str">
        <x:v>预览包含甲100.25USD和乙200.75USD两条输入记录</x:v>
      </x:c>
      <x:c r="L414" s="10" t="str"/>
      <x:c r="M414" s="10" t="str">
        <x:v>未测</x:v>
      </x:c>
      <x:c r="N414" s="10" t="str"/>
      <x:c r="O414" s="9" t="str">
        <x:v>1. 来源（当前证据）：liveshow-proto/MainBasis/统一需求文档.md；位置：行3143
2. 规则：BR-f21d71f0908c2072
3. 未动态验证
4. 数据别名：甲、乙、丙用于区分本条测试对象；按前置条件准备并记录实际账号或记录 ID，不是固定业务名称。</x:v>
      </x:c>
    </x:row>
    <x:row r="415" ht="115" customHeight="1">
      <x:c r="A415" s="10" t="n">
        <x:v>414</x:v>
      </x:c>
      <x:c r="B415" s="10" t="str">
        <x:v>ADMIN-09-0009</x:v>
      </x:c>
      <x:c r="C415" s="10" t="str">
        <x:v>财务分成</x:v>
      </x:c>
      <x:c r="D415" s="10" t="str">
        <x:v>主播分成记录（平台管理员视角）</x:v>
      </x:c>
      <x:c r="E415" s="10" t="str">
        <x:v>业务流程</x:v>
      </x:c>
      <x:c r="F415" s="10" t="str">
        <x:v>P1</x:v>
      </x:c>
      <x:c r="G415" s="9" t="str">
        <x:v>验证主播分成支持csv解析</x:v>
      </x:c>
      <x:c r="H415" s="9" t="str">
        <x:v>财务结果文件解析</x:v>
      </x:c>
      <x:c r="I415" s="9" t="str">
        <x:v>1. 执行角色为平台管理员
2. 分成文件按模板准备两行：主播甲100.25USD，主播乙200.75USD；对象ID均有效；备注“2026年9月测试分成”；文件格式csv</x:v>
      </x:c>
      <x:c r="J415" s="9" t="str">
        <x:v>1. 进入主播分成记录
2. 点击上传
3. 填写分成备注
4. 上传该csv文件</x:v>
      </x:c>
      <x:c r="K415" s="9" t="str">
        <x:v>预览包含甲100.25USD和乙200.75USD两条输入记录</x:v>
      </x:c>
      <x:c r="L415" s="10" t="str"/>
      <x:c r="M415" s="10" t="str">
        <x:v>未测</x:v>
      </x:c>
      <x:c r="N415" s="10" t="str"/>
      <x:c r="O415" s="9" t="str">
        <x:v>1. 来源（当前证据）：liveshow-proto/MainBasis/统一需求文档.md；位置：行3143
2. 规则：BR-d62d5edb0bf0d3ca
3. 未动态验证
4. 数据别名：甲、乙、丙用于区分本条测试对象；按前置条件准备并记录实际账号或记录 ID，不是固定业务名称。</x:v>
      </x:c>
    </x:row>
    <x:row r="416" ht="115" customHeight="1">
      <x:c r="A416" s="10" t="n">
        <x:v>415</x:v>
      </x:c>
      <x:c r="B416" s="10" t="str">
        <x:v>ADMIN-09-0010</x:v>
      </x:c>
      <x:c r="C416" s="10" t="str">
        <x:v>财务分成</x:v>
      </x:c>
      <x:c r="D416" s="10" t="str">
        <x:v>主播分成记录（平台管理员视角）</x:v>
      </x:c>
      <x:c r="E416" s="10" t="str">
        <x:v>功能需求</x:v>
      </x:c>
      <x:c r="F416" s="10" t="str">
        <x:v>P2</x:v>
      </x:c>
      <x:c r="G416" s="9" t="str">
        <x:v>验证分成导入记录当前操作账号</x:v>
      </x:c>
      <x:c r="H416" s="9" t="str">
        <x:v>主播分成上传人</x:v>
      </x:c>
      <x:c r="I416" s="9" t="str">
        <x:v>1. 执行角色为平台管理员
2. 当前后台账号为本次测试财务甲；已准备有效分成文件并预览通过</x:v>
      </x:c>
      <x:c r="J416" s="9" t="str">
        <x:v>1. 点击确认导入
2. 查看导入记录</x:v>
      </x:c>
      <x:c r="K416" s="9" t="str">
        <x:v>上传人为当前测试财务甲</x:v>
      </x:c>
      <x:c r="L416" s="10" t="str"/>
      <x:c r="M416" s="10" t="str">
        <x:v>未测</x:v>
      </x:c>
      <x:c r="N416" s="10" t="str"/>
      <x:c r="O416" s="9" t="str">
        <x:v>1. 来源（当前证据）：liveshow-proto/MainBasis/统一需求文档.md；位置：行3144
2. 规则：BR-607ee7212a910153
3. 未动态验证
4. 数据别名：甲、乙、丙用于区分本条测试对象；按前置条件准备并记录实际账号或记录 ID，不是固定业务名称。</x:v>
      </x:c>
    </x:row>
    <x:row r="417" ht="70" customHeight="1">
      <x:c r="A417" s="10" t="n">
        <x:v>416</x:v>
      </x:c>
      <x:c r="B417" s="10" t="str">
        <x:v>ADMIN-09-0011</x:v>
      </x:c>
      <x:c r="C417" s="10" t="str">
        <x:v>财务分成</x:v>
      </x:c>
      <x:c r="D417" s="10" t="str">
        <x:v>主播分成记录（平台管理员视角）</x:v>
      </x:c>
      <x:c r="E417" s="10" t="str">
        <x:v>功能需求</x:v>
      </x:c>
      <x:c r="F417" s="10" t="str">
        <x:v>P2</x:v>
      </x:c>
      <x:c r="G417" s="9" t="str">
        <x:v>验证财务上传不执行线上分成审批</x:v>
      </x:c>
      <x:c r="H417" s="9" t="str">
        <x:v>主播分成流程范围</x:v>
      </x:c>
      <x:c r="I417" s="9" t="str">
        <x:v>1. 执行角色为平台管理员
2. 财务已在线下完成核算，持有有效文件</x:v>
      </x:c>
      <x:c r="J417" s="9" t="str">
        <x:v>1. 进入主播分成上传</x:v>
      </x:c>
      <x:c r="K417" s="9" t="str">
        <x:v>不提供线上分成审批流程</x:v>
      </x:c>
      <x:c r="L417" s="10" t="str"/>
      <x:c r="M417" s="10" t="str">
        <x:v>未测</x:v>
      </x:c>
      <x:c r="N417" s="10" t="str"/>
      <x:c r="O417" s="9" t="str">
        <x:v>1. 来源（当前证据）：liveshow-proto/MainBasis/统一需求文档.md；位置：行3145
2. 规则：BR-c00c2dd20ae93662
3. 未动态验证</x:v>
      </x:c>
    </x:row>
    <x:row r="418" ht="145" customHeight="1">
      <x:c r="A418" s="10" t="n">
        <x:v>417</x:v>
      </x:c>
      <x:c r="B418" s="10" t="str">
        <x:v>ADMIN-09-0012</x:v>
      </x:c>
      <x:c r="C418" s="10" t="str">
        <x:v>财务分成</x:v>
      </x:c>
      <x:c r="D418" s="10" t="str">
        <x:v>主播分成记录（平台管理员视角）</x:v>
      </x:c>
      <x:c r="E418" s="10" t="str">
        <x:v>业务流程</x:v>
      </x:c>
      <x:c r="F418" s="10" t="str">
        <x:v>P1</x:v>
      </x:c>
      <x:c r="G418" s="9" t="str">
        <x:v>验证主播分成导入后锁定</x:v>
      </x:c>
      <x:c r="H418" s="9" t="str">
        <x:v>导入批次不可变</x:v>
      </x:c>
      <x:c r="I418" s="9" t="str">
        <x:v>1. 执行角色为平台管理员
2. 分成文件按模板准备两行：主播甲100.25USD，主播乙200.75USD；对象ID均有效；备注“2026年9月测试分成”</x:v>
      </x:c>
      <x:c r="J418" s="9" t="str">
        <x:v>1. 进入主播分成记录
2. 点击上传
3. 填写分成备注
4. 上传准备文件
5. 点击确认导入
6. 打开本批次</x:v>
      </x:c>
      <x:c r="K418" s="9" t="str">
        <x:v>批次不可编辑或删除</x:v>
      </x:c>
      <x:c r="L418" s="10" t="str">
        <x:v>FLOW-SETTLEMENT-IMPORT</x:v>
      </x:c>
      <x:c r="M418" s="10" t="str">
        <x:v>未测</x:v>
      </x:c>
      <x:c r="N418" s="10" t="str"/>
      <x:c r="O418" s="9" t="str">
        <x:v>1. 来源（当前证据）：liveshow-proto/MainBasis/统一需求文档.md；位置：行3146
2. 规则：BR-7755d0ede6c7ae91
3. 未动态验证
4. 状态转换：ST-SETTLEMENT-IMPORT；按同一业务对象的数据别名准备对应上下游记录
5. 数据别名：甲、乙、丙用于区分本条测试对象；按前置条件准备并记录实际账号或记录 ID，不是固定业务名称。</x:v>
      </x:c>
    </x:row>
    <x:row r="419" ht="70" customHeight="1">
      <x:c r="A419" s="10" t="n">
        <x:v>418</x:v>
      </x:c>
      <x:c r="B419" s="10" t="str">
        <x:v>ADMIN-09-0013</x:v>
      </x:c>
      <x:c r="C419" s="10" t="str">
        <x:v>财务分成</x:v>
      </x:c>
      <x:c r="D419" s="10" t="str">
        <x:v>主播分成记录详情（平台管理员视角）</x:v>
      </x:c>
      <x:c r="E419" s="10" t="str">
        <x:v>功能需求</x:v>
      </x:c>
      <x:c r="F419" s="10" t="str">
        <x:v>P2</x:v>
      </x:c>
      <x:c r="G419" s="9" t="str">
        <x:v>验证主播分成记录详情读取备注</x:v>
      </x:c>
      <x:c r="H419" s="9" t="str">
        <x:v>备注回显</x:v>
      </x:c>
      <x:c r="I419" s="9" t="str">
        <x:v>1. 执行角色为平台管理员
2. 所选锁定批次导入快照的备注为“2026年9月分成”</x:v>
      </x:c>
      <x:c r="J419" s="9" t="str">
        <x:v>1. 进入主播分成记录详情
2. 查看备注</x:v>
      </x:c>
      <x:c r="K419" s="9" t="str">
        <x:v>备注显示“2026年9月分成”</x:v>
      </x:c>
      <x:c r="L419" s="10" t="str"/>
      <x:c r="M419" s="10" t="str">
        <x:v>未测</x:v>
      </x:c>
      <x:c r="N419" s="10" t="str"/>
      <x:c r="O419" s="9" t="str">
        <x:v>1. 来源（当前证据）：liveshow-proto/MainBasis/统一需求文档.md；位置：行3152
2. 规则：BR-ed3823950d21f5f8
3. 未动态验证</x:v>
      </x:c>
    </x:row>
    <x:row r="420" ht="115" customHeight="1">
      <x:c r="A420" s="10" t="n">
        <x:v>419</x:v>
      </x:c>
      <x:c r="B420" s="10" t="str">
        <x:v>ADMIN-09-0014</x:v>
      </x:c>
      <x:c r="C420" s="10" t="str">
        <x:v>财务分成</x:v>
      </x:c>
      <x:c r="D420" s="10" t="str">
        <x:v>主播分成记录详情（平台管理员视角）</x:v>
      </x:c>
      <x:c r="E420" s="10" t="str">
        <x:v>功能需求</x:v>
      </x:c>
      <x:c r="F420" s="10" t="str">
        <x:v>P2</x:v>
      </x:c>
      <x:c r="G420" s="9" t="str">
        <x:v>验证主播分成记录详情读取上传人</x:v>
      </x:c>
      <x:c r="H420" s="9" t="str">
        <x:v>上传人回显</x:v>
      </x:c>
      <x:c r="I420" s="9" t="str">
        <x:v>1. 执行角色为平台管理员
2. 所选锁定批次确认导入记录的上传人为“管理员甲”</x:v>
      </x:c>
      <x:c r="J420" s="9" t="str">
        <x:v>1. 进入主播分成记录详情
2. 查看上传人</x:v>
      </x:c>
      <x:c r="K420" s="9" t="str">
        <x:v>上传人显示“管理员甲”</x:v>
      </x:c>
      <x:c r="L420" s="10" t="str"/>
      <x:c r="M420" s="10" t="str">
        <x:v>未测</x:v>
      </x:c>
      <x:c r="N420" s="10" t="str"/>
      <x:c r="O420" s="9" t="str">
        <x:v>1. 来源（当前证据）：liveshow-proto/MainBasis/统一需求文档.md；位置：行3152
2. 规则：BR-f867c6559f41e946
3. 未动态验证
4. 数据别名：甲、乙、丙用于区分本条测试对象；按前置条件准备并记录实际账号或记录 ID，不是固定业务名称。</x:v>
      </x:c>
    </x:row>
    <x:row r="421" ht="115" customHeight="1">
      <x:c r="A421" s="10" t="n">
        <x:v>420</x:v>
      </x:c>
      <x:c r="B421" s="10" t="str">
        <x:v>ADMIN-09-0015</x:v>
      </x:c>
      <x:c r="C421" s="10" t="str">
        <x:v>财务分成</x:v>
      </x:c>
      <x:c r="D421" s="10" t="str">
        <x:v>主播分成记录详情（平台管理员视角）</x:v>
      </x:c>
      <x:c r="E421" s="10" t="str">
        <x:v>功能需求</x:v>
      </x:c>
      <x:c r="F421" s="10" t="str">
        <x:v>P2</x:v>
      </x:c>
      <x:c r="G421" s="9" t="str">
        <x:v>验证主播分成记录详情主播人数按业务对象去重</x:v>
      </x:c>
      <x:c r="H421" s="9" t="str">
        <x:v>主播人数去重范围</x:v>
      </x:c>
      <x:c r="I421" s="9" t="str">
        <x:v>1. 执行角色为平台管理员
2. 锁定批次只有甲、乙两名不同主播的明细</x:v>
      </x:c>
      <x:c r="J421" s="9" t="str">
        <x:v>1. 进入主播分成记录详情
2. 查看准备范围的主播人数</x:v>
      </x:c>
      <x:c r="K421" s="9" t="str">
        <x:v>主播人数为2人</x:v>
      </x:c>
      <x:c r="L421" s="10" t="str"/>
      <x:c r="M421" s="10" t="str">
        <x:v>未测</x:v>
      </x:c>
      <x:c r="N421" s="10" t="str"/>
      <x:c r="O421" s="9" t="str">
        <x:v>1. 来源（当前证据）：liveshow-proto/MainBasis/统一需求文档.md；位置：行3153
2. 规则：BR-b7e59418896b1e4d
3. 未动态验证
4. 数据别名：甲、乙、丙用于区分本条测试对象；按前置条件准备并记录实际账号或记录 ID，不是固定业务名称。</x:v>
      </x:c>
    </x:row>
    <x:row r="422" ht="115" customHeight="1">
      <x:c r="A422" s="10" t="n">
        <x:v>421</x:v>
      </x:c>
      <x:c r="B422" s="10" t="str">
        <x:v>ADMIN-09-0016</x:v>
      </x:c>
      <x:c r="C422" s="10" t="str">
        <x:v>财务分成</x:v>
      </x:c>
      <x:c r="D422" s="10" t="str">
        <x:v>主播分成记录详情（平台管理员视角）</x:v>
      </x:c>
      <x:c r="E422" s="10" t="str">
        <x:v>逻辑校验</x:v>
      </x:c>
      <x:c r="F422" s="10" t="str">
        <x:v>P1</x:v>
      </x:c>
      <x:c r="G422" s="9" t="str">
        <x:v>验证主播分成记录详情分成总金额按当前对象求和</x:v>
      </x:c>
      <x:c r="H422" s="9" t="str">
        <x:v>分成总金额计算范围</x:v>
      </x:c>
      <x:c r="I422" s="9" t="str">
        <x:v>1. 执行角色为平台管理员
2. 当前锁定批次只有主播甲100.25USD、乙200.75USD两条明细</x:v>
      </x:c>
      <x:c r="J422" s="9" t="str">
        <x:v>1. 进入主播分成记录详情
2. 查看前置条件指定对象及范围的分成总金额</x:v>
      </x:c>
      <x:c r="K422" s="9" t="str">
        <x:v>分成总金额按100.25+200.75计算=301USD</x:v>
      </x:c>
      <x:c r="L422" s="10" t="str"/>
      <x:c r="M422" s="10" t="str">
        <x:v>未测</x:v>
      </x:c>
      <x:c r="N422" s="10" t="str"/>
      <x:c r="O422" s="9" t="str">
        <x:v>1. 来源（当前证据）：liveshow-proto/MainBasis/统一需求文档.md；位置：行3155
2. 规则：BR-4d0badca2e2a3bf4
3. 未动态验证
4. 数据别名：甲、乙、丙用于区分本条测试对象；按前置条件准备并记录实际账号或记录 ID，不是固定业务名称。</x:v>
      </x:c>
    </x:row>
    <x:row r="423" ht="115" customHeight="1">
      <x:c r="A423" s="10" t="n">
        <x:v>422</x:v>
      </x:c>
      <x:c r="B423" s="10" t="str">
        <x:v>ADMIN-09-0017</x:v>
      </x:c>
      <x:c r="C423" s="10" t="str">
        <x:v>财务分成</x:v>
      </x:c>
      <x:c r="D423" s="10" t="str">
        <x:v>主播分成记录详情（平台管理员视角）</x:v>
      </x:c>
      <x:c r="E423" s="10" t="str">
        <x:v>功能需求</x:v>
      </x:c>
      <x:c r="F423" s="10" t="str">
        <x:v>P2</x:v>
      </x:c>
      <x:c r="G423" s="9" t="str">
        <x:v>验证主播分成详情无审批操作</x:v>
      </x:c>
      <x:c r="H423" s="9" t="str">
        <x:v>分成详情只读</x:v>
      </x:c>
      <x:c r="I423" s="9" t="str">
        <x:v>1. 执行角色为平台管理员
2. 存在导入完成批次甲</x:v>
      </x:c>
      <x:c r="J423" s="9" t="str">
        <x:v>1. 进入主播分成记录
2. 打开甲</x:v>
      </x:c>
      <x:c r="K423" s="9" t="str">
        <x:v>详情不提供线上审批</x:v>
      </x:c>
      <x:c r="L423" s="10" t="str"/>
      <x:c r="M423" s="10" t="str">
        <x:v>未测</x:v>
      </x:c>
      <x:c r="N423" s="10" t="str"/>
      <x:c r="O423" s="9" t="str">
        <x:v>1. 来源（当前证据）：liveshow-proto/MainBasis/统一需求文档.md；位置：行3156
2. 规则：BR-93286c08501fda12
3. 未动态验证
4. 数据别名：甲、乙、丙用于区分本条测试对象；按前置条件准备并记录实际账号或记录 ID，不是固定业务名称。</x:v>
      </x:c>
    </x:row>
    <x:row r="424" ht="115" customHeight="1">
      <x:c r="A424" s="10" t="n">
        <x:v>423</x:v>
      </x:c>
      <x:c r="B424" s="10" t="str">
        <x:v>ADMIN-09-0018</x:v>
      </x:c>
      <x:c r="C424" s="10" t="str">
        <x:v>财务分成</x:v>
      </x:c>
      <x:c r="D424" s="10" t="str">
        <x:v>主播账户余额（平台管理员视角）</x:v>
      </x:c>
      <x:c r="E424" s="10" t="str">
        <x:v>逻辑校验</x:v>
      </x:c>
      <x:c r="F424" s="10" t="str">
        <x:v>P1</x:v>
      </x:c>
      <x:c r="G424" s="9" t="str">
        <x:v>验证主播余额汇总随筛选变化</x:v>
      </x:c>
      <x:c r="H424" s="9" t="str">
        <x:v>筛选主播余额合计</x:v>
      </x:c>
      <x:c r="I424" s="9" t="str">
        <x:v>1. 执行角色为平台管理员
2. 主播甲100USD，乙200USD，丙500USD；筛选仅甲乙</x:v>
      </x:c>
      <x:c r="J424" s="9" t="str">
        <x:v>1. 进入主播账户余额
2. 选择甲乙筛选
3. 点击查询</x:v>
      </x:c>
      <x:c r="K424" s="9" t="str">
        <x:v>筛选主播余额合计按100+200计算=300USD</x:v>
      </x:c>
      <x:c r="L424" s="10" t="str"/>
      <x:c r="M424" s="10" t="str">
        <x:v>未测</x:v>
      </x:c>
      <x:c r="N424" s="10" t="str"/>
      <x:c r="O424" s="9" t="str">
        <x:v>1. 来源（当前证据）：liveshow-proto/MainBasis/统一需求文档.md；位置：行3162
2. 规则：BR-9177273f484503b4
3. 未动态验证
4. 数据别名：甲、乙、丙用于区分本条测试对象；按前置条件准备并记录实际账号或记录 ID，不是固定业务名称。</x:v>
      </x:c>
    </x:row>
    <x:row r="425" ht="115" customHeight="1">
      <x:c r="A425" s="10" t="n">
        <x:v>424</x:v>
      </x:c>
      <x:c r="B425" s="10" t="str">
        <x:v>ADMIN-09-0019</x:v>
      </x:c>
      <x:c r="C425" s="10" t="str">
        <x:v>财务分成</x:v>
      </x:c>
      <x:c r="D425" s="10" t="str">
        <x:v>主播账户余额（平台管理员视角）</x:v>
      </x:c>
      <x:c r="E425" s="10" t="str">
        <x:v>功能需求</x:v>
      </x:c>
      <x:c r="F425" s="10" t="str">
        <x:v>P2</x:v>
      </x:c>
      <x:c r="G425" s="9" t="str">
        <x:v>验证账户余额进入对应主播流水</x:v>
      </x:c>
      <x:c r="H425" s="9" t="str">
        <x:v>主播余额流水导航</x:v>
      </x:c>
      <x:c r="I425" s="9" t="str">
        <x:v>1. 执行角色为平台管理员
2. 主播甲有已上传分成余额</x:v>
      </x:c>
      <x:c r="J425" s="9" t="str">
        <x:v>1. 进入主播账户余额
2. 点击甲余额</x:v>
      </x:c>
      <x:c r="K425" s="9" t="str">
        <x:v>进入甲余额变更记录</x:v>
      </x:c>
      <x:c r="L425" s="10" t="str"/>
      <x:c r="M425" s="10" t="str">
        <x:v>未测</x:v>
      </x:c>
      <x:c r="N425" s="10" t="str"/>
      <x:c r="O425" s="9" t="str">
        <x:v>1. 来源（当前证据）：liveshow-proto/MainBasis/统一需求文档.md；位置：行3163
2. 规则：BR-fd29aea2ee851798
3. 未动态验证
4. 数据别名：甲、乙、丙用于区分本条测试对象；按前置条件准备并记录实际账号或记录 ID，不是固定业务名称。</x:v>
      </x:c>
    </x:row>
    <x:row r="426" ht="70" customHeight="1">
      <x:c r="A426" s="10" t="n">
        <x:v>425</x:v>
      </x:c>
      <x:c r="B426" s="10" t="str">
        <x:v>ADMIN-09-0020</x:v>
      </x:c>
      <x:c r="C426" s="10" t="str">
        <x:v>财务分成</x:v>
      </x:c>
      <x:c r="D426" s="10" t="str">
        <x:v>余额变更记录（平台管理员视角）</x:v>
      </x:c>
      <x:c r="E426" s="10" t="str">
        <x:v>功能需求</x:v>
      </x:c>
      <x:c r="F426" s="10" t="str">
        <x:v>P2</x:v>
      </x:c>
      <x:c r="G426" s="9" t="str">
        <x:v>验证余额变更记录读取变更类型</x:v>
      </x:c>
      <x:c r="H426" s="9" t="str">
        <x:v>变更类型回显</x:v>
      </x:c>
      <x:c r="I426" s="9" t="str">
        <x:v>1. 执行角色为平台管理员
2. 所选主播USD变更流水的变更类型为“分成修正”</x:v>
      </x:c>
      <x:c r="J426" s="9" t="str">
        <x:v>1. 进入余额变更记录
2. 查看变更类型</x:v>
      </x:c>
      <x:c r="K426" s="9" t="str">
        <x:v>变更类型显示“分成修正”</x:v>
      </x:c>
      <x:c r="L426" s="10" t="str"/>
      <x:c r="M426" s="10" t="str">
        <x:v>未测</x:v>
      </x:c>
      <x:c r="N426" s="10" t="str"/>
      <x:c r="O426" s="9" t="str">
        <x:v>1. 来源（当前证据）：liveshow-proto/MainBasis/统一需求文档.md；位置：行3168
2. 规则：BR-b4f22ff987fc0061
3. 未动态验证</x:v>
      </x:c>
    </x:row>
    <x:row r="427" ht="115" customHeight="1">
      <x:c r="A427" s="10" t="n">
        <x:v>426</x:v>
      </x:c>
      <x:c r="B427" s="10" t="str">
        <x:v>ADMIN-09-0021</x:v>
      </x:c>
      <x:c r="C427" s="10" t="str">
        <x:v>财务分成</x:v>
      </x:c>
      <x:c r="D427" s="10" t="str">
        <x:v>余额变更记录（平台管理员视角）</x:v>
      </x:c>
      <x:c r="E427" s="10" t="str">
        <x:v>逻辑校验</x:v>
      </x:c>
      <x:c r="F427" s="10" t="str">
        <x:v>P1</x:v>
      </x:c>
      <x:c r="G427" s="9" t="str">
        <x:v>验证主播余额修正0</x:v>
      </x:c>
      <x:c r="H427" s="9" t="str">
        <x:v>手工修正金额边界</x:v>
      </x:c>
      <x:c r="I427" s="9" t="str">
        <x:v>1. 执行角色为平台管理员
2. 主播甲当前余额100USD；原流水已保存</x:v>
      </x:c>
      <x:c r="J427" s="9" t="str">
        <x:v>1. 进入主播余额变更记录
2. 点击余额变更
3. 输入金额0
4. 填写原因“测试修正”
5. 点击确认</x:v>
      </x:c>
      <x:c r="K427" s="9" t="str">
        <x:v>不能提交0金额修正</x:v>
      </x:c>
      <x:c r="L427" s="10" t="str"/>
      <x:c r="M427" s="10" t="str">
        <x:v>未测</x:v>
      </x:c>
      <x:c r="N427" s="10" t="str"/>
      <x:c r="O427" s="9" t="str">
        <x:v>1. 来源（当前证据）：liveshow-proto/MainBasis/统一需求文档.md；位置：行3169
2. 规则：BR-ffe0a1f38034d040
3. 未动态验证
4. 数据别名：甲、乙、丙用于区分本条测试对象；按前置条件准备并记录实际账号或记录 ID，不是固定业务名称。</x:v>
      </x:c>
    </x:row>
    <x:row r="428" ht="115" customHeight="1">
      <x:c r="A428" s="10" t="n">
        <x:v>427</x:v>
      </x:c>
      <x:c r="B428" s="10" t="str">
        <x:v>ADMIN-09-0022</x:v>
      </x:c>
      <x:c r="C428" s="10" t="str">
        <x:v>财务分成</x:v>
      </x:c>
      <x:c r="D428" s="10" t="str">
        <x:v>余额变更记录（平台管理员视角）</x:v>
      </x:c>
      <x:c r="E428" s="10" t="str">
        <x:v>逻辑校验</x:v>
      </x:c>
      <x:c r="F428" s="10" t="str">
        <x:v>P1</x:v>
      </x:c>
      <x:c r="G428" s="9" t="str">
        <x:v>验证主播余额修正-101</x:v>
      </x:c>
      <x:c r="H428" s="9" t="str">
        <x:v>手工修正金额边界</x:v>
      </x:c>
      <x:c r="I428" s="9" t="str">
        <x:v>1. 执行角色为平台管理员
2. 主播甲当前余额100USD；原流水已保存</x:v>
      </x:c>
      <x:c r="J428" s="9" t="str">
        <x:v>1. 进入主播余额变更记录
2. 点击余额变更
3. 输入金额-101
4. 填写原因“测试修正”
5. 点击确认</x:v>
      </x:c>
      <x:c r="K428" s="9" t="str">
        <x:v>不能使账户余额因手工修正为负</x:v>
      </x:c>
      <x:c r="L428" s="10" t="str"/>
      <x:c r="M428" s="10" t="str">
        <x:v>未测</x:v>
      </x:c>
      <x:c r="N428" s="10" t="str"/>
      <x:c r="O428" s="9" t="str">
        <x:v>1. 来源（当前证据）：liveshow-proto/MainBasis/统一需求文档.md；位置：行3169
2. 规则：BR-9fe2085dd8f2f500
3. 未动态验证
4. 数据别名：甲、乙、丙用于区分本条测试对象；按前置条件准备并记录实际账号或记录 ID，不是固定业务名称。</x:v>
      </x:c>
    </x:row>
    <x:row r="429" ht="115" customHeight="1">
      <x:c r="A429" s="10" t="n">
        <x:v>428</x:v>
      </x:c>
      <x:c r="B429" s="10" t="str">
        <x:v>ADMIN-09-0023</x:v>
      </x:c>
      <x:c r="C429" s="10" t="str">
        <x:v>财务分成</x:v>
      </x:c>
      <x:c r="D429" s="10" t="str">
        <x:v>余额变更记录（平台管理员视角）</x:v>
      </x:c>
      <x:c r="E429" s="10" t="str">
        <x:v>逻辑校验</x:v>
      </x:c>
      <x:c r="F429" s="10" t="str">
        <x:v>P1</x:v>
      </x:c>
      <x:c r="G429" s="9" t="str">
        <x:v>验证主播余额修正1.111</x:v>
      </x:c>
      <x:c r="H429" s="9" t="str">
        <x:v>手工修正金额边界</x:v>
      </x:c>
      <x:c r="I429" s="9" t="str">
        <x:v>1. 执行角色为平台管理员
2. 主播甲当前余额100USD；原流水已保存</x:v>
      </x:c>
      <x:c r="J429" s="9" t="str">
        <x:v>1. 进入主播余额变更记录
2. 点击余额变更
3. 输入金额1.111
4. 填写原因“测试修正”
5. 点击确认</x:v>
      </x:c>
      <x:c r="K429" s="9" t="str">
        <x:v>不能保存超过两位小数的金额</x:v>
      </x:c>
      <x:c r="L429" s="10" t="str"/>
      <x:c r="M429" s="10" t="str">
        <x:v>未测</x:v>
      </x:c>
      <x:c r="N429" s="10" t="str"/>
      <x:c r="O429" s="9" t="str">
        <x:v>1. 来源（当前证据）：liveshow-proto/MainBasis/统一需求文档.md；位置：行3169
2. 规则：BR-2a8c276a4a71f052
3. 未动态验证
4. 数据别名：甲、乙、丙用于区分本条测试对象；按前置条件准备并记录实际账号或记录 ID，不是固定业务名称。</x:v>
      </x:c>
    </x:row>
    <x:row r="430" ht="130" customHeight="1">
      <x:c r="A430" s="10" t="n">
        <x:v>429</x:v>
      </x:c>
      <x:c r="B430" s="10" t="str">
        <x:v>ADMIN-09-0024</x:v>
      </x:c>
      <x:c r="C430" s="10" t="str">
        <x:v>财务分成</x:v>
      </x:c>
      <x:c r="D430" s="10" t="str">
        <x:v>余额变更记录（平台管理员视角）</x:v>
      </x:c>
      <x:c r="E430" s="10" t="str">
        <x:v>逻辑校验</x:v>
      </x:c>
      <x:c r="F430" s="10" t="str">
        <x:v>P1</x:v>
      </x:c>
      <x:c r="G430" s="9" t="str">
        <x:v>验证主播余额有符号修正25</x:v>
      </x:c>
      <x:c r="H430" s="9" t="str">
        <x:v>修正后USD余额</x:v>
      </x:c>
      <x:c r="I430" s="9" t="str">
        <x:v>1. 执行角色为平台管理员
2. 主播甲修正前余额100USD；备注“测试修正”</x:v>
      </x:c>
      <x:c r="J430" s="9" t="str">
        <x:v>1. 进入主播余额变更记录
2. 点击余额变更
3. 输入金额25
4. 填写原因“测试修正”
5. 点击确认</x:v>
      </x:c>
      <x:c r="K430" s="9" t="str">
        <x:v>余额计算为100+25=125USD</x:v>
      </x:c>
      <x:c r="L430" s="10" t="str"/>
      <x:c r="M430" s="10" t="str">
        <x:v>未测</x:v>
      </x:c>
      <x:c r="N430" s="10" t="str"/>
      <x:c r="O430" s="9" t="str">
        <x:v>1. 来源（当前证据）：liveshow-proto/MainBasis/统一需求文档.md；位置：行3169、行3170、行3173
2. 规则：BR-c00277a633ceddbc
3. 未动态验证
4. 数据别名：甲、乙、丙用于区分本条测试对象；按前置条件准备并记录实际账号或记录 ID，不是固定业务名称。</x:v>
      </x:c>
    </x:row>
    <x:row r="431" ht="130" customHeight="1">
      <x:c r="A431" s="10" t="n">
        <x:v>430</x:v>
      </x:c>
      <x:c r="B431" s="10" t="str">
        <x:v>ADMIN-09-0025</x:v>
      </x:c>
      <x:c r="C431" s="10" t="str">
        <x:v>财务分成</x:v>
      </x:c>
      <x:c r="D431" s="10" t="str">
        <x:v>余额变更记录（平台管理员视角）</x:v>
      </x:c>
      <x:c r="E431" s="10" t="str">
        <x:v>逻辑校验</x:v>
      </x:c>
      <x:c r="F431" s="10" t="str">
        <x:v>P1</x:v>
      </x:c>
      <x:c r="G431" s="9" t="str">
        <x:v>验证主播余额有符号修正-25</x:v>
      </x:c>
      <x:c r="H431" s="9" t="str">
        <x:v>修正后USD余额</x:v>
      </x:c>
      <x:c r="I431" s="9" t="str">
        <x:v>1. 执行角色为平台管理员
2. 主播甲修正前余额100USD；备注“测试修正”</x:v>
      </x:c>
      <x:c r="J431" s="9" t="str">
        <x:v>1. 进入主播余额变更记录
2. 点击余额变更
3. 输入金额-25
4. 填写原因“测试修正”
5. 点击确认</x:v>
      </x:c>
      <x:c r="K431" s="9" t="str">
        <x:v>余额计算为100-25=75USD</x:v>
      </x:c>
      <x:c r="L431" s="10" t="str"/>
      <x:c r="M431" s="10" t="str">
        <x:v>未测</x:v>
      </x:c>
      <x:c r="N431" s="10" t="str"/>
      <x:c r="O431" s="9" t="str">
        <x:v>1. 来源（当前证据）：liveshow-proto/MainBasis/统一需求文档.md；位置：行3169、行3170、行3173
2. 规则：BR-807d92e0b1ab3ec1
3. 未动态验证
4. 数据别名：甲、乙、丙用于区分本条测试对象；按前置条件准备并记录实际账号或记录 ID，不是固定业务名称。</x:v>
      </x:c>
    </x:row>
    <x:row r="432" ht="130" customHeight="1">
      <x:c r="A432" s="10" t="n">
        <x:v>431</x:v>
      </x:c>
      <x:c r="B432" s="10" t="str">
        <x:v>ADMIN-09-0026</x:v>
      </x:c>
      <x:c r="C432" s="10" t="str">
        <x:v>财务分成</x:v>
      </x:c>
      <x:c r="D432" s="10" t="str">
        <x:v>余额变更记录（平台管理员视角）</x:v>
      </x:c>
      <x:c r="E432" s="10" t="str">
        <x:v>逻辑校验</x:v>
      </x:c>
      <x:c r="F432" s="10" t="str">
        <x:v>P1</x:v>
      </x:c>
      <x:c r="G432" s="9" t="str">
        <x:v>验证主播余额有符号修正-100</x:v>
      </x:c>
      <x:c r="H432" s="9" t="str">
        <x:v>修正后USD余额</x:v>
      </x:c>
      <x:c r="I432" s="9" t="str">
        <x:v>1. 执行角色为平台管理员
2. 主播甲修正前余额100USD；备注“测试修正”</x:v>
      </x:c>
      <x:c r="J432" s="9" t="str">
        <x:v>1. 进入主播余额变更记录
2. 点击余额变更
3. 输入金额-100
4. 填写原因“测试修正”
5. 点击确认</x:v>
      </x:c>
      <x:c r="K432" s="9" t="str">
        <x:v>余额计算为100-100=0USD</x:v>
      </x:c>
      <x:c r="L432" s="10" t="str"/>
      <x:c r="M432" s="10" t="str">
        <x:v>未测</x:v>
      </x:c>
      <x:c r="N432" s="10" t="str"/>
      <x:c r="O432" s="9" t="str">
        <x:v>1. 来源（当前证据）：liveshow-proto/MainBasis/统一需求文档.md；位置：行3169、行3170、行3173
2. 规则：BR-b86b36d1602590b6
3. 未动态验证
4. 数据别名：甲、乙、丙用于区分本条测试对象；按前置条件准备并记录实际账号或记录 ID，不是固定业务名称。</x:v>
      </x:c>
    </x:row>
    <x:row r="433" ht="115" customHeight="1">
      <x:c r="A433" s="10" t="n">
        <x:v>432</x:v>
      </x:c>
      <x:c r="B433" s="10" t="str">
        <x:v>ADMIN-09-0027</x:v>
      </x:c>
      <x:c r="C433" s="10" t="str">
        <x:v>财务分成</x:v>
      </x:c>
      <x:c r="D433" s="10" t="str">
        <x:v>余额变更记录（平台管理员视角）</x:v>
      </x:c>
      <x:c r="E433" s="10" t="str">
        <x:v>逻辑校验</x:v>
      </x:c>
      <x:c r="F433" s="10" t="str">
        <x:v>P1</x:v>
      </x:c>
      <x:c r="G433" s="9" t="str">
        <x:v>验证主播分成修正原因必填</x:v>
      </x:c>
      <x:c r="H433" s="9" t="str">
        <x:v>手工修正备注</x:v>
      </x:c>
      <x:c r="I433" s="9" t="str">
        <x:v>1. 执行角色为平台管理员
2. 主播甲余额100USD</x:v>
      </x:c>
      <x:c r="J433" s="9" t="str">
        <x:v>1. 进入主播余额变更记录
2. 点击余额变更
3. 输入金额1
4. 清空原因
5. 点击确认</x:v>
      </x:c>
      <x:c r="K433" s="9" t="str">
        <x:v>不生成无原因修正流水</x:v>
      </x:c>
      <x:c r="L433" s="10" t="str"/>
      <x:c r="M433" s="10" t="str">
        <x:v>未测</x:v>
      </x:c>
      <x:c r="N433" s="10" t="str"/>
      <x:c r="O433" s="9" t="str">
        <x:v>1. 来源（当前证据）：liveshow-proto/MainBasis/统一需求文档.md；位置：行3171
2. 规则：BR-37f0de2cd112615c
3. 未动态验证
4. 数据别名：甲、乙、丙用于区分本条测试对象；按前置条件准备并记录实际账号或记录 ID，不是固定业务名称。</x:v>
      </x:c>
    </x:row>
    <x:row r="434" ht="115" customHeight="1">
      <x:c r="A434" s="10" t="n">
        <x:v>433</x:v>
      </x:c>
      <x:c r="B434" s="10" t="str">
        <x:v>ADMIN-09-0028</x:v>
      </x:c>
      <x:c r="C434" s="10" t="str">
        <x:v>财务分成</x:v>
      </x:c>
      <x:c r="D434" s="10" t="str">
        <x:v>余额变更记录（平台管理员视角）</x:v>
      </x:c>
      <x:c r="E434" s="10" t="str">
        <x:v>功能需求</x:v>
      </x:c>
      <x:c r="F434" s="10" t="str">
        <x:v>P2</x:v>
      </x:c>
      <x:c r="G434" s="9" t="str">
        <x:v>验证余额变更记录读取操作人</x:v>
      </x:c>
      <x:c r="H434" s="9" t="str">
        <x:v>操作人回显</x:v>
      </x:c>
      <x:c r="I434" s="9" t="str">
        <x:v>1. 执行角色为平台管理员
2. 所选主播修正流水记录的操作人为“管理员甲”</x:v>
      </x:c>
      <x:c r="J434" s="9" t="str">
        <x:v>1. 进入余额变更记录
2. 查看操作人</x:v>
      </x:c>
      <x:c r="K434" s="9" t="str">
        <x:v>操作人显示“管理员甲”</x:v>
      </x:c>
      <x:c r="L434" s="10" t="str"/>
      <x:c r="M434" s="10" t="str">
        <x:v>未测</x:v>
      </x:c>
      <x:c r="N434" s="10" t="str"/>
      <x:c r="O434" s="9" t="str">
        <x:v>1. 来源（当前证据）：liveshow-proto/MainBasis/统一需求文档.md；位置：行3172
2. 规则：BR-9840534abce7a77b
3. 未动态验证
4. 数据别名：甲、乙、丙用于区分本条测试对象；按前置条件准备并记录实际账号或记录 ID，不是固定业务名称。</x:v>
      </x:c>
    </x:row>
    <x:row r="435" ht="70" customHeight="1">
      <x:c r="A435" s="10" t="n">
        <x:v>434</x:v>
      </x:c>
      <x:c r="B435" s="10" t="str">
        <x:v>ADMIN-09-0029</x:v>
      </x:c>
      <x:c r="C435" s="10" t="str">
        <x:v>财务分成</x:v>
      </x:c>
      <x:c r="D435" s="10" t="str">
        <x:v>公会分成记录（平台管理员视角）</x:v>
      </x:c>
      <x:c r="E435" s="10" t="str">
        <x:v>业务流程</x:v>
      </x:c>
      <x:c r="F435" s="10" t="str">
        <x:v>P1</x:v>
      </x:c>
      <x:c r="G435" s="9" t="str">
        <x:v>验证公会分成下载模板</x:v>
      </x:c>
      <x:c r="H435" s="9" t="str">
        <x:v>模板列契约</x:v>
      </x:c>
      <x:c r="I435" s="9" t="str">
        <x:v>1. 执行角色为平台管理员
2. 管理员具备财务导入权限</x:v>
      </x:c>
      <x:c r="J435" s="9" t="str">
        <x:v>1. 进入公会分成记录
2. 点击上传
3. 点击下载模板
4. 打开模板</x:v>
      </x:c>
      <x:c r="K435" s="9" t="str">
        <x:v>表头依次为公会名称、公会ID、分成金额(USD)</x:v>
      </x:c>
      <x:c r="L435" s="10" t="str"/>
      <x:c r="M435" s="10" t="str">
        <x:v>未测</x:v>
      </x:c>
      <x:c r="N435" s="10" t="str"/>
      <x:c r="O435" s="9" t="str">
        <x:v>1. 来源（当前证据）：liveshow-proto/MainBasis/统一需求文档.md；位置：行3178
2. 规则：BR-ee129227f4afb04d
3. 未动态验证</x:v>
      </x:c>
    </x:row>
    <x:row r="436" ht="115" customHeight="1">
      <x:c r="A436" s="10" t="n">
        <x:v>435</x:v>
      </x:c>
      <x:c r="B436" s="10" t="str">
        <x:v>ADMIN-09-0030</x:v>
      </x:c>
      <x:c r="C436" s="10" t="str">
        <x:v>财务分成</x:v>
      </x:c>
      <x:c r="D436" s="10" t="str">
        <x:v>公会分成记录（平台管理员视角）</x:v>
      </x:c>
      <x:c r="E436" s="10" t="str">
        <x:v>业务流程</x:v>
      </x:c>
      <x:c r="F436" s="10" t="str">
        <x:v>P2</x:v>
      </x:c>
      <x:c r="G436" s="9" t="str">
        <x:v>验证公会分成预览取消不导入</x:v>
      </x:c>
      <x:c r="H436" s="9" t="str">
        <x:v>财务导入取消</x:v>
      </x:c>
      <x:c r="I436" s="9" t="str">
        <x:v>1. 执行角色为平台管理员
2. 分成文件按模板准备两行：公会甲100.25USD，公会乙200.75USD；对象ID均有效；备注“2026年9月测试分成”</x:v>
      </x:c>
      <x:c r="J436" s="9" t="str">
        <x:v>1. 进入公会分成记录
2. 上传准备文件
3. 关闭预览
4. 刷新列表</x:v>
      </x:c>
      <x:c r="K436" s="9" t="str">
        <x:v>没有新增本次导入批次</x:v>
      </x:c>
      <x:c r="L436" s="10" t="str"/>
      <x:c r="M436" s="10" t="str">
        <x:v>未测</x:v>
      </x:c>
      <x:c r="N436" s="10" t="str"/>
      <x:c r="O436" s="9" t="str">
        <x:v>1. 来源（当前证据）：liveshow-proto/MainBasis/统一需求文档.md；位置：行3178
2. 规则：BR-a081555ced64bba9
3. 未动态验证
4. 数据别名：甲、乙、丙用于区分本条测试对象；按前置条件准备并记录实际账号或记录 ID，不是固定业务名称。</x:v>
      </x:c>
    </x:row>
    <x:row r="437" ht="115" customHeight="1">
      <x:c r="A437" s="10" t="n">
        <x:v>436</x:v>
      </x:c>
      <x:c r="B437" s="10" t="str">
        <x:v>ADMIN-09-0031</x:v>
      </x:c>
      <x:c r="C437" s="10" t="str">
        <x:v>财务分成</x:v>
      </x:c>
      <x:c r="D437" s="10" t="str">
        <x:v>公会分成记录（平台管理员视角）</x:v>
      </x:c>
      <x:c r="E437" s="10" t="str">
        <x:v>逻辑校验</x:v>
      </x:c>
      <x:c r="F437" s="10" t="str">
        <x:v>P1</x:v>
      </x:c>
      <x:c r="G437" s="9" t="str">
        <x:v>验证公会分成备注必填</x:v>
      </x:c>
      <x:c r="H437" s="9" t="str">
        <x:v>分成备注非空</x:v>
      </x:c>
      <x:c r="I437" s="9" t="str">
        <x:v>1. 执行角色为平台管理员
2. 分成文件按模板准备两行：公会甲100.25USD，公会乙200.75USD；对象ID均有效；备注“2026年9月测试分成”</x:v>
      </x:c>
      <x:c r="J437" s="9" t="str">
        <x:v>1. 进入公会分成记录
2. 点击上传
3. 清空备注
4. 上传准备文件
5. 点击确认导入</x:v>
      </x:c>
      <x:c r="K437" s="9" t="str">
        <x:v>不能提交空备注批次</x:v>
      </x:c>
      <x:c r="L437" s="10" t="str"/>
      <x:c r="M437" s="10" t="str">
        <x:v>未测</x:v>
      </x:c>
      <x:c r="N437" s="10" t="str"/>
      <x:c r="O437" s="9" t="str">
        <x:v>1. 来源（当前证据）：liveshow-proto/MainBasis/统一需求文档.md；位置：行3180
2. 规则：BR-1824e8a32f5b36ed
3. 未动态验证
4. 数据别名：甲、乙、丙用于区分本条测试对象；按前置条件准备并记录实际账号或记录 ID，不是固定业务名称。</x:v>
      </x:c>
    </x:row>
    <x:row r="438" ht="115" customHeight="1">
      <x:c r="A438" s="10" t="n">
        <x:v>437</x:v>
      </x:c>
      <x:c r="B438" s="10" t="str">
        <x:v>ADMIN-09-0032</x:v>
      </x:c>
      <x:c r="C438" s="10" t="str">
        <x:v>财务分成</x:v>
      </x:c>
      <x:c r="D438" s="10" t="str">
        <x:v>公会分成记录（平台管理员视角）</x:v>
      </x:c>
      <x:c r="E438" s="10" t="str">
        <x:v>逻辑校验</x:v>
      </x:c>
      <x:c r="F438" s="10" t="str">
        <x:v>P1</x:v>
      </x:c>
      <x:c r="G438" s="9" t="str">
        <x:v>验证公会分成备注超过100字</x:v>
      </x:c>
      <x:c r="H438" s="9" t="str">
        <x:v>分成备注长度</x:v>
      </x:c>
      <x:c r="I438" s="9" t="str">
        <x:v>1. 执行角色为平台管理员
2. 分成文件按模板准备两行：公会甲100.25USD，公会乙200.75USD；对象ID均有效；备注“2026年9月测试分成”</x:v>
      </x:c>
      <x:c r="J438" s="9" t="str">
        <x:v>1. 进入公会分成记录
2. 点击上传
3. 填写101个“备”
4. 上传准备文件
5. 点击确认导入</x:v>
      </x:c>
      <x:c r="K438" s="9" t="str">
        <x:v>不能保存超过100字的备注</x:v>
      </x:c>
      <x:c r="L438" s="10" t="str"/>
      <x:c r="M438" s="10" t="str">
        <x:v>未测</x:v>
      </x:c>
      <x:c r="N438" s="10" t="str"/>
      <x:c r="O438" s="9" t="str">
        <x:v>1. 来源（当前证据）：liveshow-proto/MainBasis/统一需求文档.md；位置：行3180
2. 规则：BR-0b432d723cad6ee2
3. 未动态验证
4. 数据别名：甲、乙、丙用于区分本条测试对象；按前置条件准备并记录实际账号或记录 ID，不是固定业务名称。</x:v>
      </x:c>
    </x:row>
    <x:row r="439" ht="115" customHeight="1">
      <x:c r="A439" s="10" t="n">
        <x:v>438</x:v>
      </x:c>
      <x:c r="B439" s="10" t="str">
        <x:v>ADMIN-09-0033</x:v>
      </x:c>
      <x:c r="C439" s="10" t="str">
        <x:v>财务分成</x:v>
      </x:c>
      <x:c r="D439" s="10" t="str">
        <x:v>公会分成记录（平台管理员视角）</x:v>
      </x:c>
      <x:c r="E439" s="10" t="str">
        <x:v>功能需求</x:v>
      </x:c>
      <x:c r="F439" s="10" t="str">
        <x:v>P2</x:v>
      </x:c>
      <x:c r="G439" s="9" t="str">
        <x:v>验证公会分成记录公会数量按业务对象去重</x:v>
      </x:c>
      <x:c r="H439" s="9" t="str">
        <x:v>公会数量去重范围</x:v>
      </x:c>
      <x:c r="I439" s="9" t="str">
        <x:v>1. 执行角色为平台管理员
2. 有效导入预览有甲、乙两家不同公会各一行</x:v>
      </x:c>
      <x:c r="J439" s="9" t="str">
        <x:v>1. 进入公会分成记录
2. 查看准备范围的公会数量</x:v>
      </x:c>
      <x:c r="K439" s="9" t="str">
        <x:v>公会数量为2</x:v>
      </x:c>
      <x:c r="L439" s="10" t="str"/>
      <x:c r="M439" s="10" t="str">
        <x:v>未测</x:v>
      </x:c>
      <x:c r="N439" s="10" t="str"/>
      <x:c r="O439" s="9" t="str">
        <x:v>1. 来源（当前证据）：liveshow-proto/MainBasis/统一需求文档.md；位置：行3181
2. 规则：BR-e08c85b7fa630b88
3. 未动态验证
4. 数据别名：甲、乙、丙用于区分本条测试对象；按前置条件准备并记录实际账号或记录 ID，不是固定业务名称。</x:v>
      </x:c>
    </x:row>
    <x:row r="440" ht="115" customHeight="1">
      <x:c r="A440" s="10" t="n">
        <x:v>439</x:v>
      </x:c>
      <x:c r="B440" s="10" t="str">
        <x:v>ADMIN-09-0034</x:v>
      </x:c>
      <x:c r="C440" s="10" t="str">
        <x:v>财务分成</x:v>
      </x:c>
      <x:c r="D440" s="10" t="str">
        <x:v>公会分成记录（平台管理员视角）</x:v>
      </x:c>
      <x:c r="E440" s="10" t="str">
        <x:v>逻辑校验</x:v>
      </x:c>
      <x:c r="F440" s="10" t="str">
        <x:v>P1</x:v>
      </x:c>
      <x:c r="G440" s="9" t="str">
        <x:v>验证公会导入批次总额按上传行求和</x:v>
      </x:c>
      <x:c r="H440" s="9" t="str">
        <x:v>公会分成批次总额</x:v>
      </x:c>
      <x:c r="I440" s="9" t="str">
        <x:v>1. 执行角色为平台管理员
2. 按模板有公会甲100.25USD和乙200.75USD两行有效明细；备注测试分成</x:v>
      </x:c>
      <x:c r="J440" s="9" t="str">
        <x:v>1. 进入公会分成记录
2. 上传该文件
3. 查看预览</x:v>
      </x:c>
      <x:c r="K440" s="9" t="str">
        <x:v>公会分成批次总额按100.25+200.75计算=301USD</x:v>
      </x:c>
      <x:c r="L440" s="10" t="str"/>
      <x:c r="M440" s="10" t="str">
        <x:v>未测</x:v>
      </x:c>
      <x:c r="N440" s="10" t="str"/>
      <x:c r="O440" s="9" t="str">
        <x:v>1. 来源（当前证据）：liveshow-proto/MainBasis/统一需求文档.md；位置：行3182
2. 规则：BR-e02eccb931138dc2
3. 未动态验证
4. 数据别名：甲、乙、丙用于区分本条测试对象；按前置条件准备并记录实际账号或记录 ID，不是固定业务名称。</x:v>
      </x:c>
    </x:row>
    <x:row r="441" ht="115" customHeight="1">
      <x:c r="A441" s="10" t="n">
        <x:v>440</x:v>
      </x:c>
      <x:c r="B441" s="10" t="str">
        <x:v>ADMIN-09-0035</x:v>
      </x:c>
      <x:c r="C441" s="10" t="str">
        <x:v>财务分成</x:v>
      </x:c>
      <x:c r="D441" s="10" t="str">
        <x:v>公会分成记录（平台管理员视角）</x:v>
      </x:c>
      <x:c r="E441" s="10" t="str">
        <x:v>业务流程</x:v>
      </x:c>
      <x:c r="F441" s="10" t="str">
        <x:v>P1</x:v>
      </x:c>
      <x:c r="G441" s="9" t="str">
        <x:v>验证公会分成支持xlsx解析</x:v>
      </x:c>
      <x:c r="H441" s="9" t="str">
        <x:v>财务结果文件解析</x:v>
      </x:c>
      <x:c r="I441" s="9" t="str">
        <x:v>1. 执行角色为平台管理员
2. 分成文件按模板准备两行：公会甲100.25USD，公会乙200.75USD；对象ID均有效；备注“2026年9月测试分成”；文件格式xlsx</x:v>
      </x:c>
      <x:c r="J441" s="9" t="str">
        <x:v>1. 进入公会分成记录
2. 点击上传
3. 填写分成备注
4. 上传该xlsx文件</x:v>
      </x:c>
      <x:c r="K441" s="9" t="str">
        <x:v>预览包含甲100.25USD和乙200.75USD两条输入记录</x:v>
      </x:c>
      <x:c r="L441" s="10" t="str"/>
      <x:c r="M441" s="10" t="str">
        <x:v>未测</x:v>
      </x:c>
      <x:c r="N441" s="10" t="str"/>
      <x:c r="O441" s="9" t="str">
        <x:v>1. 来源（当前证据）：liveshow-proto/MainBasis/统一需求文档.md；位置：行3183
2. 规则：BR-c714ee540505bb6c
3. 未动态验证
4. 数据别名：甲、乙、丙用于区分本条测试对象；按前置条件准备并记录实际账号或记录 ID，不是固定业务名称。</x:v>
      </x:c>
    </x:row>
    <x:row r="442" ht="115" customHeight="1">
      <x:c r="A442" s="10" t="n">
        <x:v>441</x:v>
      </x:c>
      <x:c r="B442" s="10" t="str">
        <x:v>ADMIN-09-0036</x:v>
      </x:c>
      <x:c r="C442" s="10" t="str">
        <x:v>财务分成</x:v>
      </x:c>
      <x:c r="D442" s="10" t="str">
        <x:v>公会分成记录（平台管理员视角）</x:v>
      </x:c>
      <x:c r="E442" s="10" t="str">
        <x:v>业务流程</x:v>
      </x:c>
      <x:c r="F442" s="10" t="str">
        <x:v>P1</x:v>
      </x:c>
      <x:c r="G442" s="9" t="str">
        <x:v>验证公会分成支持xls解析</x:v>
      </x:c>
      <x:c r="H442" s="9" t="str">
        <x:v>财务结果文件解析</x:v>
      </x:c>
      <x:c r="I442" s="9" t="str">
        <x:v>1. 执行角色为平台管理员
2. 分成文件按模板准备两行：公会甲100.25USD，公会乙200.75USD；对象ID均有效；备注“2026年9月测试分成”；文件格式xls</x:v>
      </x:c>
      <x:c r="J442" s="9" t="str">
        <x:v>1. 进入公会分成记录
2. 点击上传
3. 填写分成备注
4. 上传该xls文件</x:v>
      </x:c>
      <x:c r="K442" s="9" t="str">
        <x:v>预览包含甲100.25USD和乙200.75USD两条输入记录</x:v>
      </x:c>
      <x:c r="L442" s="10" t="str"/>
      <x:c r="M442" s="10" t="str">
        <x:v>未测</x:v>
      </x:c>
      <x:c r="N442" s="10" t="str"/>
      <x:c r="O442" s="9" t="str">
        <x:v>1. 来源（当前证据）：liveshow-proto/MainBasis/统一需求文档.md；位置：行3183
2. 规则：BR-4ace81a2443ca75d
3. 未动态验证
4. 数据别名：甲、乙、丙用于区分本条测试对象；按前置条件准备并记录实际账号或记录 ID，不是固定业务名称。</x:v>
      </x:c>
    </x:row>
    <x:row r="443" ht="115" customHeight="1">
      <x:c r="A443" s="10" t="n">
        <x:v>442</x:v>
      </x:c>
      <x:c r="B443" s="10" t="str">
        <x:v>ADMIN-09-0037</x:v>
      </x:c>
      <x:c r="C443" s="10" t="str">
        <x:v>财务分成</x:v>
      </x:c>
      <x:c r="D443" s="10" t="str">
        <x:v>公会分成记录（平台管理员视角）</x:v>
      </x:c>
      <x:c r="E443" s="10" t="str">
        <x:v>业务流程</x:v>
      </x:c>
      <x:c r="F443" s="10" t="str">
        <x:v>P1</x:v>
      </x:c>
      <x:c r="G443" s="9" t="str">
        <x:v>验证公会分成支持csv解析</x:v>
      </x:c>
      <x:c r="H443" s="9" t="str">
        <x:v>财务结果文件解析</x:v>
      </x:c>
      <x:c r="I443" s="9" t="str">
        <x:v>1. 执行角色为平台管理员
2. 分成文件按模板准备两行：公会甲100.25USD，公会乙200.75USD；对象ID均有效；备注“2026年9月测试分成”；文件格式csv</x:v>
      </x:c>
      <x:c r="J443" s="9" t="str">
        <x:v>1. 进入公会分成记录
2. 点击上传
3. 填写分成备注
4. 上传该csv文件</x:v>
      </x:c>
      <x:c r="K443" s="9" t="str">
        <x:v>预览包含甲100.25USD和乙200.75USD两条输入记录</x:v>
      </x:c>
      <x:c r="L443" s="10" t="str"/>
      <x:c r="M443" s="10" t="str">
        <x:v>未测</x:v>
      </x:c>
      <x:c r="N443" s="10" t="str"/>
      <x:c r="O443" s="9" t="str">
        <x:v>1. 来源（当前证据）：liveshow-proto/MainBasis/统一需求文档.md；位置：行3183
2. 规则：BR-106e09c461f71f69
3. 未动态验证
4. 数据别名：甲、乙、丙用于区分本条测试对象；按前置条件准备并记录实际账号或记录 ID，不是固定业务名称。</x:v>
      </x:c>
    </x:row>
    <x:row r="444" ht="70" customHeight="1">
      <x:c r="A444" s="10" t="n">
        <x:v>443</x:v>
      </x:c>
      <x:c r="B444" s="10" t="str">
        <x:v>ADMIN-09-0038</x:v>
      </x:c>
      <x:c r="C444" s="10" t="str">
        <x:v>财务分成</x:v>
      </x:c>
      <x:c r="D444" s="10" t="str">
        <x:v>公会分成记录（平台管理员视角）</x:v>
      </x:c>
      <x:c r="E444" s="10" t="str">
        <x:v>功能需求</x:v>
      </x:c>
      <x:c r="F444" s="10" t="str">
        <x:v>P2</x:v>
      </x:c>
      <x:c r="G444" s="9" t="str">
        <x:v>验证公会分成记录确认时间</x:v>
      </x:c>
      <x:c r="H444" s="9" t="str">
        <x:v>公会分成导入时间</x:v>
      </x:c>
      <x:c r="I444" s="9" t="str">
        <x:v>1. 执行角色为平台管理员
2. 预览完成，本次确认时间可记录</x:v>
      </x:c>
      <x:c r="J444" s="9" t="str">
        <x:v>1. 点击确认公会分成导入
2. 查看批次</x:v>
      </x:c>
      <x:c r="K444" s="9" t="str">
        <x:v>上传时间为本次确认导入时间</x:v>
      </x:c>
      <x:c r="L444" s="10" t="str"/>
      <x:c r="M444" s="10" t="str">
        <x:v>未测</x:v>
      </x:c>
      <x:c r="N444" s="10" t="str"/>
      <x:c r="O444" s="9" t="str">
        <x:v>1. 来源（当前证据）：liveshow-proto/MainBasis/统一需求文档.md；位置：行3184
2. 规则：BR-299e05c346cba97a
3. 未动态验证</x:v>
      </x:c>
    </x:row>
    <x:row r="445" ht="160" customHeight="1">
      <x:c r="A445" s="10" t="n">
        <x:v>444</x:v>
      </x:c>
      <x:c r="B445" s="10" t="str">
        <x:v>ADMIN-09-0039</x:v>
      </x:c>
      <x:c r="C445" s="10" t="str">
        <x:v>财务分成</x:v>
      </x:c>
      <x:c r="D445" s="10" t="str">
        <x:v>公会分成记录（平台管理员视角）</x:v>
      </x:c>
      <x:c r="E445" s="10" t="str">
        <x:v>业务流程</x:v>
      </x:c>
      <x:c r="F445" s="10" t="str">
        <x:v>P1</x:v>
      </x:c>
      <x:c r="G445" s="9" t="str">
        <x:v>验证公会分成导入后锁定</x:v>
      </x:c>
      <x:c r="H445" s="9" t="str">
        <x:v>导入批次不可变</x:v>
      </x:c>
      <x:c r="I445" s="9" t="str">
        <x:v>1. 执行角色为平台管理员
2. 分成文件按模板准备两行：公会甲100.25USD，公会乙200.75USD；对象ID均有效；备注“2026年9月测试分成”</x:v>
      </x:c>
      <x:c r="J445" s="9" t="str">
        <x:v>1. 进入公会分成记录
2. 点击上传
3. 填写分成备注
4. 上传准备文件
5. 点击确认导入
6. 打开本批次</x:v>
      </x:c>
      <x:c r="K445" s="9" t="str">
        <x:v>批次不可编辑或删除</x:v>
      </x:c>
      <x:c r="L445" s="10" t="str">
        <x:v>FLOW-GUILD</x:v>
      </x:c>
      <x:c r="M445" s="10" t="str">
        <x:v>未测</x:v>
      </x:c>
      <x:c r="N445" s="10" t="str"/>
      <x:c r="O445" s="9" t="str">
        <x:v>1. 来源（当前证据）：liveshow-proto/MainBasis/统一需求文档.md；位置：行3185
2. 规则：BR-6e81f1a43d0ed212
3. 未动态验证
4. 状态转换：ST-GUILD-SETTLEMENT-IMPORT；按同一业务对象的数据别名准备对应上下游记录
5. 数据别名：甲、乙、丙用于区分本条测试对象；按前置条件准备并记录实际账号或记录 ID，不是固定业务名称。</x:v>
      </x:c>
    </x:row>
    <x:row r="446" ht="70" customHeight="1">
      <x:c r="A446" s="10" t="n">
        <x:v>445</x:v>
      </x:c>
      <x:c r="B446" s="10" t="str">
        <x:v>ADMIN-09-0040</x:v>
      </x:c>
      <x:c r="C446" s="10" t="str">
        <x:v>财务分成</x:v>
      </x:c>
      <x:c r="D446" s="10" t="str">
        <x:v>公会分成记录详情（平台管理员视角）</x:v>
      </x:c>
      <x:c r="E446" s="10" t="str">
        <x:v>功能需求</x:v>
      </x:c>
      <x:c r="F446" s="10" t="str">
        <x:v>P2</x:v>
      </x:c>
      <x:c r="G446" s="9" t="str">
        <x:v>验证公会分成记录详情读取备注</x:v>
      </x:c>
      <x:c r="H446" s="9" t="str">
        <x:v>备注回显</x:v>
      </x:c>
      <x:c r="I446" s="9" t="str">
        <x:v>1. 执行角色为平台管理员
2. 所选公会批次导入快照的备注为“2026年9月公会分成”</x:v>
      </x:c>
      <x:c r="J446" s="9" t="str">
        <x:v>1. 进入公会分成记录详情
2. 查看备注</x:v>
      </x:c>
      <x:c r="K446" s="9" t="str">
        <x:v>备注显示“2026年9月公会分成”</x:v>
      </x:c>
      <x:c r="L446" s="10" t="str"/>
      <x:c r="M446" s="10" t="str">
        <x:v>未测</x:v>
      </x:c>
      <x:c r="N446" s="10" t="str"/>
      <x:c r="O446" s="9" t="str">
        <x:v>1. 来源（当前证据）：liveshow-proto/MainBasis/统一需求文档.md；位置：行3192
2. 规则：BR-eb280fd4f4c9b307
3. 未动态验证</x:v>
      </x:c>
    </x:row>
    <x:row r="447" ht="115" customHeight="1">
      <x:c r="A447" s="10" t="n">
        <x:v>446</x:v>
      </x:c>
      <x:c r="B447" s="10" t="str">
        <x:v>ADMIN-09-0041</x:v>
      </x:c>
      <x:c r="C447" s="10" t="str">
        <x:v>财务分成</x:v>
      </x:c>
      <x:c r="D447" s="10" t="str">
        <x:v>公会分成记录详情（平台管理员视角）</x:v>
      </x:c>
      <x:c r="E447" s="10" t="str">
        <x:v>功能需求</x:v>
      </x:c>
      <x:c r="F447" s="10" t="str">
        <x:v>P2</x:v>
      </x:c>
      <x:c r="G447" s="9" t="str">
        <x:v>验证公会分成记录详情读取上传人</x:v>
      </x:c>
      <x:c r="H447" s="9" t="str">
        <x:v>上传人回显</x:v>
      </x:c>
      <x:c r="I447" s="9" t="str">
        <x:v>1. 执行角色为平台管理员
2. 所选公会批次确认导入记录的上传人为“管理员甲”</x:v>
      </x:c>
      <x:c r="J447" s="9" t="str">
        <x:v>1. 进入公会分成记录详情
2. 查看上传人</x:v>
      </x:c>
      <x:c r="K447" s="9" t="str">
        <x:v>上传人显示“管理员甲”</x:v>
      </x:c>
      <x:c r="L447" s="10" t="str"/>
      <x:c r="M447" s="10" t="str">
        <x:v>未测</x:v>
      </x:c>
      <x:c r="N447" s="10" t="str"/>
      <x:c r="O447" s="9" t="str">
        <x:v>1. 来源（当前证据）：liveshow-proto/MainBasis/统一需求文档.md；位置：行3192
2. 规则：BR-b8482ac35cd67554
3. 未动态验证
4. 数据别名：甲、乙、丙用于区分本条测试对象；按前置条件准备并记录实际账号或记录 ID，不是固定业务名称。</x:v>
      </x:c>
    </x:row>
    <x:row r="448" ht="115" customHeight="1">
      <x:c r="A448" s="10" t="n">
        <x:v>447</x:v>
      </x:c>
      <x:c r="B448" s="10" t="str">
        <x:v>ADMIN-09-0042</x:v>
      </x:c>
      <x:c r="C448" s="10" t="str">
        <x:v>财务分成</x:v>
      </x:c>
      <x:c r="D448" s="10" t="str">
        <x:v>公会分成记录详情（平台管理员视角）</x:v>
      </x:c>
      <x:c r="E448" s="10" t="str">
        <x:v>功能需求</x:v>
      </x:c>
      <x:c r="F448" s="10" t="str">
        <x:v>P2</x:v>
      </x:c>
      <x:c r="G448" s="9" t="str">
        <x:v>验证公会分成记录详情公会数量按业务对象去重</x:v>
      </x:c>
      <x:c r="H448" s="9" t="str">
        <x:v>公会数量去重范围</x:v>
      </x:c>
      <x:c r="I448" s="9" t="str">
        <x:v>1. 执行角色为平台管理员
2. 锁定批次只有甲、乙两家不同公会的明细</x:v>
      </x:c>
      <x:c r="J448" s="9" t="str">
        <x:v>1. 进入公会分成记录详情
2. 查看准备范围的公会数量</x:v>
      </x:c>
      <x:c r="K448" s="9" t="str">
        <x:v>公会数量为2</x:v>
      </x:c>
      <x:c r="L448" s="10" t="str"/>
      <x:c r="M448" s="10" t="str">
        <x:v>未测</x:v>
      </x:c>
      <x:c r="N448" s="10" t="str"/>
      <x:c r="O448" s="9" t="str">
        <x:v>1. 来源（当前证据）：liveshow-proto/MainBasis/统一需求文档.md；位置：行3193
2. 规则：BR-0a6cc3b8fd5370b8
3. 未动态验证
4. 数据别名：甲、乙、丙用于区分本条测试对象；按前置条件准备并记录实际账号或记录 ID，不是固定业务名称。</x:v>
      </x:c>
    </x:row>
    <x:row r="449" ht="115" customHeight="1">
      <x:c r="A449" s="10" t="n">
        <x:v>448</x:v>
      </x:c>
      <x:c r="B449" s="10" t="str">
        <x:v>ADMIN-09-0043</x:v>
      </x:c>
      <x:c r="C449" s="10" t="str">
        <x:v>财务分成</x:v>
      </x:c>
      <x:c r="D449" s="10" t="str">
        <x:v>公会分成记录详情（平台管理员视角）</x:v>
      </x:c>
      <x:c r="E449" s="10" t="str">
        <x:v>逻辑校验</x:v>
      </x:c>
      <x:c r="F449" s="10" t="str">
        <x:v>P1</x:v>
      </x:c>
      <x:c r="G449" s="9" t="str">
        <x:v>验证公会分成记录详情分成总金额按当前对象求和</x:v>
      </x:c>
      <x:c r="H449" s="9" t="str">
        <x:v>分成总金额计算范围</x:v>
      </x:c>
      <x:c r="I449" s="9" t="str">
        <x:v>1. 执行角色为平台管理员
2. 当前锁定批次只有公会甲100.25USD、乙200.75USD两条明细</x:v>
      </x:c>
      <x:c r="J449" s="9" t="str">
        <x:v>1. 进入公会分成记录详情
2. 查看前置条件指定对象及范围的分成总金额</x:v>
      </x:c>
      <x:c r="K449" s="9" t="str">
        <x:v>分成总金额按100.25+200.75计算=301USD</x:v>
      </x:c>
      <x:c r="L449" s="10" t="str"/>
      <x:c r="M449" s="10" t="str">
        <x:v>未测</x:v>
      </x:c>
      <x:c r="N449" s="10" t="str"/>
      <x:c r="O449" s="9" t="str">
        <x:v>1. 来源（当前证据）：liveshow-proto/MainBasis/统一需求文档.md；位置：行3195
2. 规则：BR-9e3d2f775124dbee
3. 未动态验证
4. 数据别名：甲、乙、丙用于区分本条测试对象；按前置条件准备并记录实际账号或记录 ID，不是固定业务名称。</x:v>
      </x:c>
    </x:row>
    <x:row r="450" ht="115" customHeight="1">
      <x:c r="A450" s="10" t="n">
        <x:v>449</x:v>
      </x:c>
      <x:c r="B450" s="10" t="str">
        <x:v>ADMIN-09-0044</x:v>
      </x:c>
      <x:c r="C450" s="10" t="str">
        <x:v>财务分成</x:v>
      </x:c>
      <x:c r="D450" s="10" t="str">
        <x:v>公会分成记录详情（平台管理员视角）</x:v>
      </x:c>
      <x:c r="E450" s="10" t="str">
        <x:v>功能需求</x:v>
      </x:c>
      <x:c r="F450" s="10" t="str">
        <x:v>P2</x:v>
      </x:c>
      <x:c r="G450" s="9" t="str">
        <x:v>验证公会分成详情无审批操作</x:v>
      </x:c>
      <x:c r="H450" s="9" t="str">
        <x:v>分成详情只读</x:v>
      </x:c>
      <x:c r="I450" s="9" t="str">
        <x:v>1. 执行角色为平台管理员
2. 存在导入完成批次甲</x:v>
      </x:c>
      <x:c r="J450" s="9" t="str">
        <x:v>1. 进入公会分成记录
2. 打开甲</x:v>
      </x:c>
      <x:c r="K450" s="9" t="str">
        <x:v>详情不提供线上审批</x:v>
      </x:c>
      <x:c r="L450" s="10" t="str"/>
      <x:c r="M450" s="10" t="str">
        <x:v>未测</x:v>
      </x:c>
      <x:c r="N450" s="10" t="str"/>
      <x:c r="O450" s="9" t="str">
        <x:v>1. 来源（当前证据）：liveshow-proto/MainBasis/统一需求文档.md；位置：行3196
2. 规则：BR-f63482e76705551b
3. 未动态验证
4. 数据别名：甲、乙、丙用于区分本条测试对象；按前置条件准备并记录实际账号或记录 ID，不是固定业务名称。</x:v>
      </x:c>
    </x:row>
    <x:row r="451" ht="115" customHeight="1">
      <x:c r="A451" s="10" t="n">
        <x:v>450</x:v>
      </x:c>
      <x:c r="B451" s="10" t="str">
        <x:v>ADMIN-09-0045</x:v>
      </x:c>
      <x:c r="C451" s="10" t="str">
        <x:v>财务分成</x:v>
      </x:c>
      <x:c r="D451" s="10" t="str">
        <x:v>公会账户余额（平台管理员视角）</x:v>
      </x:c>
      <x:c r="E451" s="10" t="str">
        <x:v>逻辑校验</x:v>
      </x:c>
      <x:c r="F451" s="10" t="str">
        <x:v>P1</x:v>
      </x:c>
      <x:c r="G451" s="9" t="str">
        <x:v>验证公会余额汇总随筛选变化</x:v>
      </x:c>
      <x:c r="H451" s="9" t="str">
        <x:v>筛选公会余额合计</x:v>
      </x:c>
      <x:c r="I451" s="9" t="str">
        <x:v>1. 执行角色为平台管理员
2. 公会甲100USD，乙200USD，丙500USD；筛选仅甲乙</x:v>
      </x:c>
      <x:c r="J451" s="9" t="str">
        <x:v>1. 进入公会账户余额
2. 选择甲乙筛选
3. 点击查询</x:v>
      </x:c>
      <x:c r="K451" s="9" t="str">
        <x:v>筛选公会余额合计按100+200计算=300USD</x:v>
      </x:c>
      <x:c r="L451" s="10" t="str"/>
      <x:c r="M451" s="10" t="str">
        <x:v>未测</x:v>
      </x:c>
      <x:c r="N451" s="10" t="str"/>
      <x:c r="O451" s="9" t="str">
        <x:v>1. 来源（当前证据）：liveshow-proto/MainBasis/统一需求文档.md；位置：行3202
2. 规则：BR-a3f766cf006f1373
3. 未动态验证
4. 数据别名：甲、乙、丙用于区分本条测试对象；按前置条件准备并记录实际账号或记录 ID，不是固定业务名称。</x:v>
      </x:c>
    </x:row>
    <x:row r="452" ht="115" customHeight="1">
      <x:c r="A452" s="10" t="n">
        <x:v>451</x:v>
      </x:c>
      <x:c r="B452" s="10" t="str">
        <x:v>ADMIN-09-0046</x:v>
      </x:c>
      <x:c r="C452" s="10" t="str">
        <x:v>财务分成</x:v>
      </x:c>
      <x:c r="D452" s="10" t="str">
        <x:v>公会账户余额（平台管理员视角）</x:v>
      </x:c>
      <x:c r="E452" s="10" t="str">
        <x:v>功能需求</x:v>
      </x:c>
      <x:c r="F452" s="10" t="str">
        <x:v>P2</x:v>
      </x:c>
      <x:c r="G452" s="9" t="str">
        <x:v>验证公会余额进入对应变更记录</x:v>
      </x:c>
      <x:c r="H452" s="9" t="str">
        <x:v>公会余额流水导航</x:v>
      </x:c>
      <x:c r="I452" s="9" t="str">
        <x:v>1. 执行角色为平台管理员
2. 公会甲有已上传分成余额</x:v>
      </x:c>
      <x:c r="J452" s="9" t="str">
        <x:v>1. 进入公会账户余额
2. 点击甲</x:v>
      </x:c>
      <x:c r="K452" s="9" t="str">
        <x:v>进入甲余额变更记录</x:v>
      </x:c>
      <x:c r="L452" s="10" t="str"/>
      <x:c r="M452" s="10" t="str">
        <x:v>未测</x:v>
      </x:c>
      <x:c r="N452" s="10" t="str"/>
      <x:c r="O452" s="9" t="str">
        <x:v>1. 来源（当前证据）：liveshow-proto/MainBasis/统一需求文档.md；位置：行3203
2. 规则：BR-bef856f339bae0a2
3. 未动态验证
4. 数据别名：甲、乙、丙用于区分本条测试对象；按前置条件准备并记录实际账号或记录 ID，不是固定业务名称。</x:v>
      </x:c>
    </x:row>
    <x:row r="453" ht="70" customHeight="1">
      <x:c r="A453" s="10" t="n">
        <x:v>452</x:v>
      </x:c>
      <x:c r="B453" s="10" t="str">
        <x:v>ADMIN-09-0047</x:v>
      </x:c>
      <x:c r="C453" s="10" t="str">
        <x:v>财务分成</x:v>
      </x:c>
      <x:c r="D453" s="10" t="str">
        <x:v>余额变更记录（平台管理员视角）</x:v>
      </x:c>
      <x:c r="E453" s="10" t="str">
        <x:v>功能需求</x:v>
      </x:c>
      <x:c r="F453" s="10" t="str">
        <x:v>P2</x:v>
      </x:c>
      <x:c r="G453" s="9" t="str">
        <x:v>验证余额变更记录读取变更类型</x:v>
      </x:c>
      <x:c r="H453" s="9" t="str">
        <x:v>变更类型回显</x:v>
      </x:c>
      <x:c r="I453" s="9" t="str">
        <x:v>1. 执行角色为平台管理员
2. 所选公会USD变更流水的变更类型为“收益分成”</x:v>
      </x:c>
      <x:c r="J453" s="9" t="str">
        <x:v>1. 进入余额变更记录
2. 查看变更类型</x:v>
      </x:c>
      <x:c r="K453" s="9" t="str">
        <x:v>变更类型显示“收益分成”</x:v>
      </x:c>
      <x:c r="L453" s="10" t="str"/>
      <x:c r="M453" s="10" t="str">
        <x:v>未测</x:v>
      </x:c>
      <x:c r="N453" s="10" t="str"/>
      <x:c r="O453" s="9" t="str">
        <x:v>1. 来源（当前证据）：liveshow-proto/MainBasis/统一需求文档.md；位置：行3208
2. 规则：BR-92da08ffe76fbe7a
3. 未动态验证</x:v>
      </x:c>
    </x:row>
    <x:row r="454" ht="115" customHeight="1">
      <x:c r="A454" s="10" t="n">
        <x:v>453</x:v>
      </x:c>
      <x:c r="B454" s="10" t="str">
        <x:v>ADMIN-09-0048</x:v>
      </x:c>
      <x:c r="C454" s="10" t="str">
        <x:v>财务分成</x:v>
      </x:c>
      <x:c r="D454" s="10" t="str">
        <x:v>余额变更记录（平台管理员视角）</x:v>
      </x:c>
      <x:c r="E454" s="10" t="str">
        <x:v>逻辑校验</x:v>
      </x:c>
      <x:c r="F454" s="10" t="str">
        <x:v>P1</x:v>
      </x:c>
      <x:c r="G454" s="9" t="str">
        <x:v>验证公会余额修正0</x:v>
      </x:c>
      <x:c r="H454" s="9" t="str">
        <x:v>手工修正金额边界</x:v>
      </x:c>
      <x:c r="I454" s="9" t="str">
        <x:v>1. 执行角色为平台管理员
2. 公会甲当前余额100USD；原流水已保存</x:v>
      </x:c>
      <x:c r="J454" s="9" t="str">
        <x:v>1. 进入公会余额变更记录
2. 点击余额变更
3. 输入金额0
4. 填写原因“测试修正”
5. 点击确认</x:v>
      </x:c>
      <x:c r="K454" s="9" t="str">
        <x:v>不能提交0金额修正</x:v>
      </x:c>
      <x:c r="L454" s="10" t="str"/>
      <x:c r="M454" s="10" t="str">
        <x:v>未测</x:v>
      </x:c>
      <x:c r="N454" s="10" t="str"/>
      <x:c r="O454" s="9" t="str">
        <x:v>1. 来源（当前证据）：liveshow-proto/MainBasis/统一需求文档.md；位置：行3209
2. 规则：BR-c4561626df92f58e
3. 未动态验证
4. 数据别名：甲、乙、丙用于区分本条测试对象；按前置条件准备并记录实际账号或记录 ID，不是固定业务名称。</x:v>
      </x:c>
    </x:row>
    <x:row r="455" ht="115" customHeight="1">
      <x:c r="A455" s="10" t="n">
        <x:v>454</x:v>
      </x:c>
      <x:c r="B455" s="10" t="str">
        <x:v>ADMIN-09-0049</x:v>
      </x:c>
      <x:c r="C455" s="10" t="str">
        <x:v>财务分成</x:v>
      </x:c>
      <x:c r="D455" s="10" t="str">
        <x:v>余额变更记录（平台管理员视角）</x:v>
      </x:c>
      <x:c r="E455" s="10" t="str">
        <x:v>逻辑校验</x:v>
      </x:c>
      <x:c r="F455" s="10" t="str">
        <x:v>P1</x:v>
      </x:c>
      <x:c r="G455" s="9" t="str">
        <x:v>验证公会余额修正-101</x:v>
      </x:c>
      <x:c r="H455" s="9" t="str">
        <x:v>手工修正金额边界</x:v>
      </x:c>
      <x:c r="I455" s="9" t="str">
        <x:v>1. 执行角色为平台管理员
2. 公会甲当前余额100USD；原流水已保存</x:v>
      </x:c>
      <x:c r="J455" s="9" t="str">
        <x:v>1. 进入公会余额变更记录
2. 点击余额变更
3. 输入金额-101
4. 填写原因“测试修正”
5. 点击确认</x:v>
      </x:c>
      <x:c r="K455" s="9" t="str">
        <x:v>不能使账户余额因手工修正为负</x:v>
      </x:c>
      <x:c r="L455" s="10" t="str"/>
      <x:c r="M455" s="10" t="str">
        <x:v>未测</x:v>
      </x:c>
      <x:c r="N455" s="10" t="str"/>
      <x:c r="O455" s="9" t="str">
        <x:v>1. 来源（当前证据）：liveshow-proto/MainBasis/统一需求文档.md；位置：行3209
2. 规则：BR-cf338046a38a8a85
3. 未动态验证
4. 数据别名：甲、乙、丙用于区分本条测试对象；按前置条件准备并记录实际账号或记录 ID，不是固定业务名称。</x:v>
      </x:c>
    </x:row>
    <x:row r="456" ht="115" customHeight="1">
      <x:c r="A456" s="10" t="n">
        <x:v>455</x:v>
      </x:c>
      <x:c r="B456" s="10" t="str">
        <x:v>ADMIN-09-0050</x:v>
      </x:c>
      <x:c r="C456" s="10" t="str">
        <x:v>财务分成</x:v>
      </x:c>
      <x:c r="D456" s="10" t="str">
        <x:v>余额变更记录（平台管理员视角）</x:v>
      </x:c>
      <x:c r="E456" s="10" t="str">
        <x:v>逻辑校验</x:v>
      </x:c>
      <x:c r="F456" s="10" t="str">
        <x:v>P1</x:v>
      </x:c>
      <x:c r="G456" s="9" t="str">
        <x:v>验证公会余额修正1.111</x:v>
      </x:c>
      <x:c r="H456" s="9" t="str">
        <x:v>手工修正金额边界</x:v>
      </x:c>
      <x:c r="I456" s="9" t="str">
        <x:v>1. 执行角色为平台管理员
2. 公会甲当前余额100USD；原流水已保存</x:v>
      </x:c>
      <x:c r="J456" s="9" t="str">
        <x:v>1. 进入公会余额变更记录
2. 点击余额变更
3. 输入金额1.111
4. 填写原因“测试修正”
5. 点击确认</x:v>
      </x:c>
      <x:c r="K456" s="9" t="str">
        <x:v>不能保存超过两位小数的金额</x:v>
      </x:c>
      <x:c r="L456" s="10" t="str"/>
      <x:c r="M456" s="10" t="str">
        <x:v>未测</x:v>
      </x:c>
      <x:c r="N456" s="10" t="str"/>
      <x:c r="O456" s="9" t="str">
        <x:v>1. 来源（当前证据）：liveshow-proto/MainBasis/统一需求文档.md；位置：行3209
2. 规则：BR-e4a30e1d5a1af711
3. 未动态验证
4. 数据别名：甲、乙、丙用于区分本条测试对象；按前置条件准备并记录实际账号或记录 ID，不是固定业务名称。</x:v>
      </x:c>
    </x:row>
    <x:row r="457" ht="130" customHeight="1">
      <x:c r="A457" s="10" t="n">
        <x:v>456</x:v>
      </x:c>
      <x:c r="B457" s="10" t="str">
        <x:v>ADMIN-09-0051</x:v>
      </x:c>
      <x:c r="C457" s="10" t="str">
        <x:v>财务分成</x:v>
      </x:c>
      <x:c r="D457" s="10" t="str">
        <x:v>余额变更记录（平台管理员视角）</x:v>
      </x:c>
      <x:c r="E457" s="10" t="str">
        <x:v>逻辑校验</x:v>
      </x:c>
      <x:c r="F457" s="10" t="str">
        <x:v>P1</x:v>
      </x:c>
      <x:c r="G457" s="9" t="str">
        <x:v>验证公会余额有符号修正25</x:v>
      </x:c>
      <x:c r="H457" s="9" t="str">
        <x:v>修正后USD余额</x:v>
      </x:c>
      <x:c r="I457" s="9" t="str">
        <x:v>1. 执行角色为平台管理员
2. 公会甲修正前余额100USD；备注“测试修正”</x:v>
      </x:c>
      <x:c r="J457" s="9" t="str">
        <x:v>1. 进入公会余额变更记录
2. 点击余额变更
3. 输入金额25
4. 填写原因“测试修正”
5. 点击确认</x:v>
      </x:c>
      <x:c r="K457" s="9" t="str">
        <x:v>余额计算为100+25=125USD</x:v>
      </x:c>
      <x:c r="L457" s="10" t="str"/>
      <x:c r="M457" s="10" t="str">
        <x:v>未测</x:v>
      </x:c>
      <x:c r="N457" s="10" t="str"/>
      <x:c r="O457" s="9" t="str">
        <x:v>1. 来源（当前证据）：liveshow-proto/MainBasis/统一需求文档.md；位置：行3209、行3210、行3213
2. 规则：BR-e1c7bceb16536d5a
3. 未动态验证
4. 数据别名：甲、乙、丙用于区分本条测试对象；按前置条件准备并记录实际账号或记录 ID，不是固定业务名称。</x:v>
      </x:c>
    </x:row>
    <x:row r="458" ht="130" customHeight="1">
      <x:c r="A458" s="10" t="n">
        <x:v>457</x:v>
      </x:c>
      <x:c r="B458" s="10" t="str">
        <x:v>ADMIN-09-0052</x:v>
      </x:c>
      <x:c r="C458" s="10" t="str">
        <x:v>财务分成</x:v>
      </x:c>
      <x:c r="D458" s="10" t="str">
        <x:v>余额变更记录（平台管理员视角）</x:v>
      </x:c>
      <x:c r="E458" s="10" t="str">
        <x:v>逻辑校验</x:v>
      </x:c>
      <x:c r="F458" s="10" t="str">
        <x:v>P1</x:v>
      </x:c>
      <x:c r="G458" s="9" t="str">
        <x:v>验证公会余额有符号修正-25</x:v>
      </x:c>
      <x:c r="H458" s="9" t="str">
        <x:v>修正后USD余额</x:v>
      </x:c>
      <x:c r="I458" s="9" t="str">
        <x:v>1. 执行角色为平台管理员
2. 公会甲修正前余额100USD；备注“测试修正”</x:v>
      </x:c>
      <x:c r="J458" s="9" t="str">
        <x:v>1. 进入公会余额变更记录
2. 点击余额变更
3. 输入金额-25
4. 填写原因“测试修正”
5. 点击确认</x:v>
      </x:c>
      <x:c r="K458" s="9" t="str">
        <x:v>余额计算为100-25=75USD</x:v>
      </x:c>
      <x:c r="L458" s="10" t="str"/>
      <x:c r="M458" s="10" t="str">
        <x:v>未测</x:v>
      </x:c>
      <x:c r="N458" s="10" t="str"/>
      <x:c r="O458" s="9" t="str">
        <x:v>1. 来源（当前证据）：liveshow-proto/MainBasis/统一需求文档.md；位置：行3209、行3210、行3213
2. 规则：BR-5e6bdde53073430c
3. 未动态验证
4. 数据别名：甲、乙、丙用于区分本条测试对象；按前置条件准备并记录实际账号或记录 ID，不是固定业务名称。</x:v>
      </x:c>
    </x:row>
    <x:row r="459" ht="130" customHeight="1">
      <x:c r="A459" s="10" t="n">
        <x:v>458</x:v>
      </x:c>
      <x:c r="B459" s="10" t="str">
        <x:v>ADMIN-09-0053</x:v>
      </x:c>
      <x:c r="C459" s="10" t="str">
        <x:v>财务分成</x:v>
      </x:c>
      <x:c r="D459" s="10" t="str">
        <x:v>余额变更记录（平台管理员视角）</x:v>
      </x:c>
      <x:c r="E459" s="10" t="str">
        <x:v>逻辑校验</x:v>
      </x:c>
      <x:c r="F459" s="10" t="str">
        <x:v>P1</x:v>
      </x:c>
      <x:c r="G459" s="9" t="str">
        <x:v>验证公会余额有符号修正-100</x:v>
      </x:c>
      <x:c r="H459" s="9" t="str">
        <x:v>修正后USD余额</x:v>
      </x:c>
      <x:c r="I459" s="9" t="str">
        <x:v>1. 执行角色为平台管理员
2. 公会甲修正前余额100USD；备注“测试修正”</x:v>
      </x:c>
      <x:c r="J459" s="9" t="str">
        <x:v>1. 进入公会余额变更记录
2. 点击余额变更
3. 输入金额-100
4. 填写原因“测试修正”
5. 点击确认</x:v>
      </x:c>
      <x:c r="K459" s="9" t="str">
        <x:v>余额计算为100-100=0USD</x:v>
      </x:c>
      <x:c r="L459" s="10" t="str"/>
      <x:c r="M459" s="10" t="str">
        <x:v>未测</x:v>
      </x:c>
      <x:c r="N459" s="10" t="str"/>
      <x:c r="O459" s="9" t="str">
        <x:v>1. 来源（当前证据）：liveshow-proto/MainBasis/统一需求文档.md；位置：行3209、行3210、行3213
2. 规则：BR-83cfd5a7282d11dd
3. 未动态验证
4. 数据别名：甲、乙、丙用于区分本条测试对象；按前置条件准备并记录实际账号或记录 ID，不是固定业务名称。</x:v>
      </x:c>
    </x:row>
    <x:row r="460" ht="115" customHeight="1">
      <x:c r="A460" s="10" t="n">
        <x:v>459</x:v>
      </x:c>
      <x:c r="B460" s="10" t="str">
        <x:v>ADMIN-09-0054</x:v>
      </x:c>
      <x:c r="C460" s="10" t="str">
        <x:v>财务分成</x:v>
      </x:c>
      <x:c r="D460" s="10" t="str">
        <x:v>余额变更记录（平台管理员视角）</x:v>
      </x:c>
      <x:c r="E460" s="10" t="str">
        <x:v>逻辑校验</x:v>
      </x:c>
      <x:c r="F460" s="10" t="str">
        <x:v>P1</x:v>
      </x:c>
      <x:c r="G460" s="9" t="str">
        <x:v>验证公会分成修正原因必填</x:v>
      </x:c>
      <x:c r="H460" s="9" t="str">
        <x:v>手工修正备注</x:v>
      </x:c>
      <x:c r="I460" s="9" t="str">
        <x:v>1. 执行角色为平台管理员
2. 公会甲余额100USD</x:v>
      </x:c>
      <x:c r="J460" s="9" t="str">
        <x:v>1. 进入公会余额变更记录
2. 点击余额变更
3. 输入金额1
4. 清空原因
5. 点击确认</x:v>
      </x:c>
      <x:c r="K460" s="9" t="str">
        <x:v>不生成无原因修正流水</x:v>
      </x:c>
      <x:c r="L460" s="10" t="str"/>
      <x:c r="M460" s="10" t="str">
        <x:v>未测</x:v>
      </x:c>
      <x:c r="N460" s="10" t="str"/>
      <x:c r="O460" s="9" t="str">
        <x:v>1. 来源（当前证据）：liveshow-proto/MainBasis/统一需求文档.md；位置：行3211
2. 规则：BR-fea4dadb31bd2bc8
3. 未动态验证
4. 数据别名：甲、乙、丙用于区分本条测试对象；按前置条件准备并记录实际账号或记录 ID，不是固定业务名称。</x:v>
      </x:c>
    </x:row>
    <x:row r="461" ht="115" customHeight="1">
      <x:c r="A461" s="10" t="n">
        <x:v>460</x:v>
      </x:c>
      <x:c r="B461" s="10" t="str">
        <x:v>ADMIN-09-0055</x:v>
      </x:c>
      <x:c r="C461" s="10" t="str">
        <x:v>财务分成</x:v>
      </x:c>
      <x:c r="D461" s="10" t="str">
        <x:v>余额变更记录（平台管理员视角）</x:v>
      </x:c>
      <x:c r="E461" s="10" t="str">
        <x:v>功能需求</x:v>
      </x:c>
      <x:c r="F461" s="10" t="str">
        <x:v>P2</x:v>
      </x:c>
      <x:c r="G461" s="9" t="str">
        <x:v>验证余额变更记录读取操作人</x:v>
      </x:c>
      <x:c r="H461" s="9" t="str">
        <x:v>操作人回显</x:v>
      </x:c>
      <x:c r="I461" s="9" t="str">
        <x:v>1. 执行角色为平台管理员
2. 所选公会修正流水记录的操作人为“管理员甲”</x:v>
      </x:c>
      <x:c r="J461" s="9" t="str">
        <x:v>1. 进入余额变更记录
2. 查看操作人</x:v>
      </x:c>
      <x:c r="K461" s="9" t="str">
        <x:v>操作人显示“管理员甲”</x:v>
      </x:c>
      <x:c r="L461" s="10" t="str"/>
      <x:c r="M461" s="10" t="str">
        <x:v>未测</x:v>
      </x:c>
      <x:c r="N461" s="10" t="str"/>
      <x:c r="O461" s="9" t="str">
        <x:v>1. 来源（当前证据）：liveshow-proto/MainBasis/统一需求文档.md；位置：行3212
2. 规则：BR-62f36d0c909274e0
3. 未动态验证
4. 数据别名：甲、乙、丙用于区分本条测试对象；按前置条件准备并记录实际账号或记录 ID，不是固定业务名称。</x:v>
      </x:c>
    </x:row>
    <x:row r="462" ht="85" customHeight="1">
      <x:c r="A462" s="10" t="n">
        <x:v>461</x:v>
      </x:c>
      <x:c r="B462" s="10" t="str">
        <x:v>ADMIN-10-0001</x:v>
      </x:c>
      <x:c r="C462" s="10" t="str">
        <x:v>数据分析</x:v>
      </x:c>
      <x:c r="D462" s="10" t="str">
        <x:v>报表中心（平台管理员视角）</x:v>
      </x:c>
      <x:c r="E462" s="10" t="str">
        <x:v>业务流程</x:v>
      </x:c>
      <x:c r="F462" s="10" t="str">
        <x:v>P1</x:v>
      </x:c>
      <x:c r="G462" s="9" t="str">
        <x:v>验证无报表权限的入口隐藏</x:v>
      </x:c>
      <x:c r="H462" s="9" t="str">
        <x:v>报表入口权限</x:v>
      </x:c>
      <x:c r="I462" s="9" t="str">
        <x:v>1. 执行角色为平台管理员
2. 当前平台管理员仅有每日统计权限，无主播报表权限</x:v>
      </x:c>
      <x:c r="J462" s="9" t="str">
        <x:v>1. 进入报表中心</x:v>
      </x:c>
      <x:c r="K462" s="9" t="str">
        <x:v>不显示主播业绩报表入口</x:v>
      </x:c>
      <x:c r="L462" s="10" t="str"/>
      <x:c r="M462" s="10" t="str">
        <x:v>未测</x:v>
      </x:c>
      <x:c r="N462" s="10" t="str"/>
      <x:c r="O462" s="9" t="str">
        <x:v>1. 来源（当前证据）：liveshow-proto/MainBasis/统一需求文档.md；位置：行3219、行3221
2. 规则：BR-c22b6ca782254af1
3. 未动态验证</x:v>
      </x:c>
    </x:row>
    <x:row r="463" ht="70" customHeight="1">
      <x:c r="A463" s="10" t="n">
        <x:v>462</x:v>
      </x:c>
      <x:c r="B463" s="10" t="str">
        <x:v>ADMIN-10-0002</x:v>
      </x:c>
      <x:c r="C463" s="10" t="str">
        <x:v>数据分析</x:v>
      </x:c>
      <x:c r="D463" s="10" t="str">
        <x:v>报表中心（平台管理员视角）</x:v>
      </x:c>
      <x:c r="E463" s="10" t="str">
        <x:v>业务流程</x:v>
      </x:c>
      <x:c r="F463" s="10" t="str">
        <x:v>P1</x:v>
      </x:c>
      <x:c r="G463" s="9" t="str">
        <x:v>验证报表权限控制导出</x:v>
      </x:c>
      <x:c r="H463" s="9" t="str">
        <x:v>报表导出授权</x:v>
      </x:c>
      <x:c r="I463" s="9" t="str">
        <x:v>1. 执行角色为平台管理员
2. 当前账号不具备用户活跃报表权限；保留该报表既有页面用于权限复测</x:v>
      </x:c>
      <x:c r="J463" s="9" t="str">
        <x:v>1. 进入用户活跃报表
2. 点击导出</x:v>
      </x:c>
      <x:c r="K463" s="9" t="str">
        <x:v>不返回无权限报表数据</x:v>
      </x:c>
      <x:c r="L463" s="10" t="str"/>
      <x:c r="M463" s="10" t="str">
        <x:v>未测</x:v>
      </x:c>
      <x:c r="N463" s="10" t="str"/>
      <x:c r="O463" s="9" t="str">
        <x:v>1. 来源（当前证据）：liveshow-proto/MainBasis/统一需求文档.md；位置：行3221
2. 规则：BR-cd62c526904b5b52
3. 未动态验证</x:v>
      </x:c>
    </x:row>
    <x:row r="464" ht="70" customHeight="1">
      <x:c r="A464" s="10" t="n">
        <x:v>463</x:v>
      </x:c>
      <x:c r="B464" s="10" t="str">
        <x:v>ADMIN-10-0003</x:v>
      </x:c>
      <x:c r="C464" s="10" t="str">
        <x:v>数据分析</x:v>
      </x:c>
      <x:c r="D464" s="10" t="str">
        <x:v>数据概览（平台管理员视角）</x:v>
      </x:c>
      <x:c r="E464" s="10" t="str">
        <x:v>逻辑校验</x:v>
      </x:c>
      <x:c r="F464" s="10" t="str">
        <x:v>P1</x:v>
      </x:c>
      <x:c r="G464" s="9" t="str">
        <x:v>验证数据概览总充值金额按当前对象求和</x:v>
      </x:c>
      <x:c r="H464" s="9" t="str">
        <x:v>总充值金额计算范围</x:v>
      </x:c>
      <x:c r="I464" s="9" t="str">
        <x:v>1. 执行角色为平台管理员
2. 所选两日成功支付实付2USD、3USD，另有失败订单5USD</x:v>
      </x:c>
      <x:c r="J464" s="9" t="str">
        <x:v>1. 进入数据概览
2. 查看前置条件指定对象及范围的总充值金额</x:v>
      </x:c>
      <x:c r="K464" s="9" t="str">
        <x:v>总充值金额按2+3计算=5USD</x:v>
      </x:c>
      <x:c r="L464" s="10" t="str"/>
      <x:c r="M464" s="10" t="str">
        <x:v>未测</x:v>
      </x:c>
      <x:c r="N464" s="10" t="str"/>
      <x:c r="O464" s="9" t="str">
        <x:v>1. 来源（当前证据）：liveshow-proto/MainBasis/统一需求文档.md；位置：行3229
2. 规则：BR-20c2fa75e7c9746a
3. 未动态验证</x:v>
      </x:c>
    </x:row>
    <x:row r="465" ht="70" customHeight="1">
      <x:c r="A465" s="10" t="n">
        <x:v>464</x:v>
      </x:c>
      <x:c r="B465" s="10" t="str">
        <x:v>ADMIN-10-0004</x:v>
      </x:c>
      <x:c r="C465" s="10" t="str">
        <x:v>数据分析</x:v>
      </x:c>
      <x:c r="D465" s="10" t="str">
        <x:v>数据概览（平台管理员视角）</x:v>
      </x:c>
      <x:c r="E465" s="10" t="str">
        <x:v>逻辑校验</x:v>
      </x:c>
      <x:c r="F465" s="10" t="str">
        <x:v>P1</x:v>
      </x:c>
      <x:c r="G465" s="9" t="str">
        <x:v>验证数据概览新用户充值金额按当前对象求和</x:v>
      </x:c>
      <x:c r="H465" s="9" t="str">
        <x:v>新用户充值金额计算范围</x:v>
      </x:c>
      <x:c r="I465" s="9" t="str">
        <x:v>1. 执行角色为平台管理员
2. 所选范围两名用户各在注册当日成功充值2USD、3USD；另有老用户充值5USD</x:v>
      </x:c>
      <x:c r="J465" s="9" t="str">
        <x:v>1. 进入数据概览
2. 查看前置条件指定对象及范围的新用户充值金额</x:v>
      </x:c>
      <x:c r="K465" s="9" t="str">
        <x:v>新用户充值金额按2+3计算=5USD</x:v>
      </x:c>
      <x:c r="L465" s="10" t="str"/>
      <x:c r="M465" s="10" t="str">
        <x:v>未测</x:v>
      </x:c>
      <x:c r="N465" s="10" t="str"/>
      <x:c r="O465" s="9" t="str">
        <x:v>1. 来源（当前证据）：liveshow-proto/MainBasis/统一需求文档.md；位置：行3230
2. 规则：BR-742db3644e4d369f
3. 未动态验证</x:v>
      </x:c>
    </x:row>
    <x:row r="466" ht="70" customHeight="1">
      <x:c r="A466" s="10" t="n">
        <x:v>465</x:v>
      </x:c>
      <x:c r="B466" s="10" t="str">
        <x:v>ADMIN-10-0005</x:v>
      </x:c>
      <x:c r="C466" s="10" t="str">
        <x:v>数据分析</x:v>
      </x:c>
      <x:c r="D466" s="10" t="str">
        <x:v>数据概览（平台管理员视角）</x:v>
      </x:c>
      <x:c r="E466" s="10" t="str">
        <x:v>逻辑校验</x:v>
      </x:c>
      <x:c r="F466" s="10" t="str">
        <x:v>P1</x:v>
      </x:c>
      <x:c r="G466" s="9" t="str">
        <x:v>验证数据概览新客ARPU汇总计算</x:v>
      </x:c>
      <x:c r="H466" s="9" t="str">
        <x:v>区间新用户ARPU</x:v>
      </x:c>
      <x:c r="I466" s="9" t="str">
        <x:v>1. 执行角色为平台管理员
2. 所选两天新用户充值金额分别4和8USD，人数分别1和3</x:v>
      </x:c>
      <x:c r="J466" s="9" t="str">
        <x:v>1. 进入数据概览
2. 选择两日
3. 点击查询</x:v>
      </x:c>
      <x:c r="K466" s="9" t="str">
        <x:v>区间新用户ARPU按(4+8)/(1+3)计算=3USD</x:v>
      </x:c>
      <x:c r="L466" s="10" t="str"/>
      <x:c r="M466" s="10" t="str">
        <x:v>未测</x:v>
      </x:c>
      <x:c r="N466" s="10" t="str"/>
      <x:c r="O466" s="9" t="str">
        <x:v>1. 来源（当前证据）：liveshow-proto/MainBasis/统一需求文档.md；位置：行3231
2. 规则：BR-7ffa1e26981cdd8d
3. 未动态验证</x:v>
      </x:c>
    </x:row>
    <x:row r="467" ht="70" customHeight="1">
      <x:c r="A467" s="10" t="n">
        <x:v>466</x:v>
      </x:c>
      <x:c r="B467" s="10" t="str">
        <x:v>ADMIN-10-0006</x:v>
      </x:c>
      <x:c r="C467" s="10" t="str">
        <x:v>数据分析</x:v>
      </x:c>
      <x:c r="D467" s="10" t="str">
        <x:v>数据概览（平台管理员视角）</x:v>
      </x:c>
      <x:c r="E467" s="10" t="str">
        <x:v>逻辑校验</x:v>
      </x:c>
      <x:c r="F467" s="10" t="str">
        <x:v>P1</x:v>
      </x:c>
      <x:c r="G467" s="9" t="str">
        <x:v>验证数据概览新用户ARPU分母为零</x:v>
      </x:c>
      <x:c r="H467" s="9" t="str">
        <x:v>零分母保护</x:v>
      </x:c>
      <x:c r="I467" s="9" t="str">
        <x:v>1. 执行角色为平台管理员
2. 数据概览当前统计周期没有对应付费、开播或观看对象；该指标分母为0</x:v>
      </x:c>
      <x:c r="J467" s="9" t="str">
        <x:v>1. 进入数据概览
2. 查看新用户ARPU</x:v>
      </x:c>
      <x:c r="K467" s="9" t="str">
        <x:v>新用户ARPU显示0</x:v>
      </x:c>
      <x:c r="L467" s="10" t="str"/>
      <x:c r="M467" s="10" t="str">
        <x:v>未测</x:v>
      </x:c>
      <x:c r="N467" s="10" t="str"/>
      <x:c r="O467" s="9" t="str">
        <x:v>1. 来源（当前证据）：liveshow-proto/MainBasis/统一需求文档.md；位置：行3231
2. 规则：BR-e209cb69b456d068
3. 未动态验证</x:v>
      </x:c>
    </x:row>
    <x:row r="468" ht="115" customHeight="1">
      <x:c r="A468" s="10" t="n">
        <x:v>467</x:v>
      </x:c>
      <x:c r="B468" s="10" t="str">
        <x:v>ADMIN-10-0007</x:v>
      </x:c>
      <x:c r="C468" s="10" t="str">
        <x:v>数据分析</x:v>
      </x:c>
      <x:c r="D468" s="10" t="str">
        <x:v>数据概览（平台管理员视角）</x:v>
      </x:c>
      <x:c r="E468" s="10" t="str">
        <x:v>功能需求</x:v>
      </x:c>
      <x:c r="F468" s="10" t="str">
        <x:v>P2</x:v>
      </x:c>
      <x:c r="G468" s="9" t="str">
        <x:v>验证数据概览达成有效天主播按业务对象去重</x:v>
      </x:c>
      <x:c r="H468" s="9" t="str">
        <x:v>达成有效天主播去重范围</x:v>
      </x:c>
      <x:c r="I468" s="9" t="str">
        <x:v>1. 执行角色为平台管理员
2. 两日内甲每天满3小时，乙仅一天满3小时，其他无达标</x:v>
      </x:c>
      <x:c r="J468" s="9" t="str">
        <x:v>1. 进入数据概览
2. 查看准备范围的达成有效天主播</x:v>
      </x:c>
      <x:c r="K468" s="9" t="str">
        <x:v>达成有效天主播为3人次</x:v>
      </x:c>
      <x:c r="L468" s="10" t="str"/>
      <x:c r="M468" s="10" t="str">
        <x:v>未测</x:v>
      </x:c>
      <x:c r="N468" s="10" t="str"/>
      <x:c r="O468" s="9" t="str">
        <x:v>1. 来源（当前证据）：liveshow-proto/MainBasis/统一需求文档.md；位置：行3232
2. 规则：BR-0b13fd5abcff8aee
3. 未动态验证
4. 数据别名：甲、乙、丙用于区分本条测试对象；按前置条件准备并记录实际账号或记录 ID，不是固定业务名称。</x:v>
      </x:c>
    </x:row>
    <x:row r="469" ht="70" customHeight="1">
      <x:c r="A469" s="10" t="n">
        <x:v>468</x:v>
      </x:c>
      <x:c r="B469" s="10" t="str">
        <x:v>ADMIN-10-0008</x:v>
      </x:c>
      <x:c r="C469" s="10" t="str">
        <x:v>数据分析</x:v>
      </x:c>
      <x:c r="D469" s="10" t="str">
        <x:v>数据概览（平台管理员视角）</x:v>
      </x:c>
      <x:c r="E469" s="10" t="str">
        <x:v>业务流程</x:v>
      </x:c>
      <x:c r="F469" s="10" t="str">
        <x:v>P1</x:v>
      </x:c>
      <x:c r="G469" s="9" t="str">
        <x:v>验证统计结束日早于开始日拒绝</x:v>
      </x:c>
      <x:c r="H469" s="9" t="str">
        <x:v>报表日期范围校验</x:v>
      </x:c>
      <x:c r="I469" s="9" t="str">
        <x:v>1. 执行角色为平台管理员
2. 具备数据概览查询权限</x:v>
      </x:c>
      <x:c r="J469" s="9" t="str">
        <x:v>1. 进入数据概览
2. 选择开始9月15日结束9月14日
3. 点击查询</x:v>
      </x:c>
      <x:c r="K469" s="9" t="str">
        <x:v>不执行倒置日期范围查询</x:v>
      </x:c>
      <x:c r="L469" s="10" t="str"/>
      <x:c r="M469" s="10" t="str">
        <x:v>未测</x:v>
      </x:c>
      <x:c r="N469" s="10" t="str"/>
      <x:c r="O469" s="9" t="str">
        <x:v>1. 来源（当前证据）：liveshow-proto/MainBasis/统一需求文档.md；位置：行3234
2. 规则：BR-8157b26e3b5599cf
3. 未动态验证</x:v>
      </x:c>
    </x:row>
    <x:row r="470" ht="70" customHeight="1">
      <x:c r="A470" s="10" t="n">
        <x:v>469</x:v>
      </x:c>
      <x:c r="B470" s="10" t="str">
        <x:v>ADMIN-10-0009</x:v>
      </x:c>
      <x:c r="C470" s="10" t="str">
        <x:v>数据分析</x:v>
      </x:c>
      <x:c r="D470" s="10" t="str">
        <x:v>每日统计（平台管理员视角）</x:v>
      </x:c>
      <x:c r="E470" s="10" t="str">
        <x:v>逻辑校验</x:v>
      </x:c>
      <x:c r="F470" s="10" t="str">
        <x:v>P1</x:v>
      </x:c>
      <x:c r="G470" s="9" t="str">
        <x:v>验证每日统计当日充值金额按当前对象求和</x:v>
      </x:c>
      <x:c r="H470" s="9" t="str">
        <x:v>当日充值金额计算范围</x:v>
      </x:c>
      <x:c r="I470" s="9" t="str">
        <x:v>1. 执行角色为平台管理员
2. 当天支付成功两笔2USD、3USD；失败订单5USD排除</x:v>
      </x:c>
      <x:c r="J470" s="9" t="str">
        <x:v>1. 进入每日统计
2. 查看前置条件指定对象及范围的当日充值金额</x:v>
      </x:c>
      <x:c r="K470" s="9" t="str">
        <x:v>当日充值金额按2+3计算=5USD</x:v>
      </x:c>
      <x:c r="L470" s="10" t="str"/>
      <x:c r="M470" s="10" t="str">
        <x:v>未测</x:v>
      </x:c>
      <x:c r="N470" s="10" t="str"/>
      <x:c r="O470" s="9" t="str">
        <x:v>1. 来源（当前证据）：liveshow-proto/MainBasis/统一需求文档.md；位置：行3240
2. 规则：BR-82bb01db674480a9
3. 未动态验证</x:v>
      </x:c>
    </x:row>
    <x:row r="471" ht="70" customHeight="1">
      <x:c r="A471" s="10" t="n">
        <x:v>470</x:v>
      </x:c>
      <x:c r="B471" s="10" t="str">
        <x:v>ADMIN-10-0010</x:v>
      </x:c>
      <x:c r="C471" s="10" t="str">
        <x:v>数据分析</x:v>
      </x:c>
      <x:c r="D471" s="10" t="str">
        <x:v>每日统计（平台管理员视角）</x:v>
      </x:c>
      <x:c r="E471" s="10" t="str">
        <x:v>逻辑校验</x:v>
      </x:c>
      <x:c r="F471" s="10" t="str">
        <x:v>P1</x:v>
      </x:c>
      <x:c r="G471" s="9" t="str">
        <x:v>验证每日新客ARPU使用成功充值</x:v>
      </x:c>
      <x:c r="H471" s="9" t="str">
        <x:v>每日新用户ARPU</x:v>
      </x:c>
      <x:c r="I471" s="9" t="str">
        <x:v>1. 执行角色为平台管理员
2. 当日新注册10人，成功充值2人合计6USD，另有失败充值4USD</x:v>
      </x:c>
      <x:c r="J471" s="9" t="str">
        <x:v>1. 进入每日统计
2. 查询当天</x:v>
      </x:c>
      <x:c r="K471" s="9" t="str">
        <x:v>每日新用户ARPU按6/2计算=3USD</x:v>
      </x:c>
      <x:c r="L471" s="10" t="str"/>
      <x:c r="M471" s="10" t="str">
        <x:v>未测</x:v>
      </x:c>
      <x:c r="N471" s="10" t="str"/>
      <x:c r="O471" s="9" t="str">
        <x:v>1. 来源（当前证据）：liveshow-proto/MainBasis/统一需求文档.md；位置：行3242
2. 规则：BR-165d48726e149308
3. 未动态验证</x:v>
      </x:c>
    </x:row>
    <x:row r="472" ht="70" customHeight="1">
      <x:c r="A472" s="10" t="n">
        <x:v>471</x:v>
      </x:c>
      <x:c r="B472" s="10" t="str">
        <x:v>ADMIN-10-0011</x:v>
      </x:c>
      <x:c r="C472" s="10" t="str">
        <x:v>数据分析</x:v>
      </x:c>
      <x:c r="D472" s="10" t="str">
        <x:v>每日统计（平台管理员视角）</x:v>
      </x:c>
      <x:c r="E472" s="10" t="str">
        <x:v>逻辑校验</x:v>
      </x:c>
      <x:c r="F472" s="10" t="str">
        <x:v>P1</x:v>
      </x:c>
      <x:c r="G472" s="9" t="str">
        <x:v>验证每日统计新用户ARPU分母为零</x:v>
      </x:c>
      <x:c r="H472" s="9" t="str">
        <x:v>零分母保护</x:v>
      </x:c>
      <x:c r="I472" s="9" t="str">
        <x:v>1. 执行角色为平台管理员
2. 每日统计当前统计周期没有对应付费、开播或观看对象；该指标分母为0</x:v>
      </x:c>
      <x:c r="J472" s="9" t="str">
        <x:v>1. 进入每日统计
2. 查看新用户ARPU</x:v>
      </x:c>
      <x:c r="K472" s="9" t="str">
        <x:v>新用户ARPU显示0</x:v>
      </x:c>
      <x:c r="L472" s="10" t="str"/>
      <x:c r="M472" s="10" t="str">
        <x:v>未测</x:v>
      </x:c>
      <x:c r="N472" s="10" t="str"/>
      <x:c r="O472" s="9" t="str">
        <x:v>1. 来源（当前证据）：liveshow-proto/MainBasis/统一需求文档.md；位置：行3242
2. 规则：BR-a7e30eb15da3ada0
3. 未动态验证</x:v>
      </x:c>
    </x:row>
    <x:row r="473" ht="115" customHeight="1">
      <x:c r="A473" s="10" t="n">
        <x:v>472</x:v>
      </x:c>
      <x:c r="B473" s="10" t="str">
        <x:v>ADMIN-10-0012</x:v>
      </x:c>
      <x:c r="C473" s="10" t="str">
        <x:v>数据分析</x:v>
      </x:c>
      <x:c r="D473" s="10" t="str">
        <x:v>每日统计（平台管理员视角）</x:v>
      </x:c>
      <x:c r="E473" s="10" t="str">
        <x:v>功能需求</x:v>
      </x:c>
      <x:c r="F473" s="10" t="str">
        <x:v>P2</x:v>
      </x:c>
      <x:c r="G473" s="9" t="str">
        <x:v>验证每日统计开播人数按业务对象去重</x:v>
      </x:c>
      <x:c r="H473" s="9" t="str">
        <x:v>开播人数去重范围</x:v>
      </x:c>
      <x:c r="I473" s="9" t="str">
        <x:v>1. 执行角色为平台管理员
2. 当天甲开播两场，乙一场，丙开播失败没有场次</x:v>
      </x:c>
      <x:c r="J473" s="9" t="str">
        <x:v>1. 进入每日统计
2. 查看准备范围的开播人数</x:v>
      </x:c>
      <x:c r="K473" s="9" t="str">
        <x:v>开播人数为2人</x:v>
      </x:c>
      <x:c r="L473" s="10" t="str"/>
      <x:c r="M473" s="10" t="str">
        <x:v>未测</x:v>
      </x:c>
      <x:c r="N473" s="10" t="str"/>
      <x:c r="O473" s="9" t="str">
        <x:v>1. 来源（当前证据）：liveshow-proto/MainBasis/统一需求文档.md；位置：行3243
2. 规则：BR-aa2c1870e0c7cbb9
3. 未动态验证
4. 数据别名：甲、乙、丙用于区分本条测试对象；按前置条件准备并记录实际账号或记录 ID，不是固定业务名称。</x:v>
      </x:c>
    </x:row>
    <x:row r="474" ht="115" customHeight="1">
      <x:c r="A474" s="10" t="n">
        <x:v>473</x:v>
      </x:c>
      <x:c r="B474" s="10" t="str">
        <x:v>ADMIN-10-0013</x:v>
      </x:c>
      <x:c r="C474" s="10" t="str">
        <x:v>数据分析</x:v>
      </x:c>
      <x:c r="D474" s="10" t="str">
        <x:v>每日统计（平台管理员视角）</x:v>
      </x:c>
      <x:c r="E474" s="10" t="str">
        <x:v>功能需求</x:v>
      </x:c>
      <x:c r="F474" s="10" t="str">
        <x:v>P2</x:v>
      </x:c>
      <x:c r="G474" s="9" t="str">
        <x:v>验证每日统计达成有效天主播按业务对象去重</x:v>
      </x:c>
      <x:c r="H474" s="9" t="str">
        <x:v>达成有效天主播去重范围</x:v>
      </x:c>
      <x:c r="I474" s="9" t="str">
        <x:v>1. 执行角色为平台管理员
2. 当天甲180分钟、乙179分钟、丙181分钟有效直播，均无跨日</x:v>
      </x:c>
      <x:c r="J474" s="9" t="str">
        <x:v>1. 进入每日统计
2. 查看准备范围的达成有效天主播</x:v>
      </x:c>
      <x:c r="K474" s="9" t="str">
        <x:v>达成有效天主播为2人</x:v>
      </x:c>
      <x:c r="L474" s="10" t="str"/>
      <x:c r="M474" s="10" t="str">
        <x:v>未测</x:v>
      </x:c>
      <x:c r="N474" s="10" t="str"/>
      <x:c r="O474" s="9" t="str">
        <x:v>1. 来源（当前证据）：liveshow-proto/MainBasis/统一需求文档.md；位置：行3244
2. 规则：BR-c3b8cc47eb6363ed
3. 未动态验证
4. 数据别名：甲、乙、丙用于区分本条测试对象；按前置条件准备并记录实际账号或记录 ID，不是固定业务名称。</x:v>
      </x:c>
    </x:row>
    <x:row r="475" ht="70" customHeight="1">
      <x:c r="A475" s="10" t="n">
        <x:v>474</x:v>
      </x:c>
      <x:c r="B475" s="10" t="str">
        <x:v>ADMIN-10-0014</x:v>
      </x:c>
      <x:c r="C475" s="10" t="str">
        <x:v>数据分析</x:v>
      </x:c>
      <x:c r="D475" s="10" t="str">
        <x:v>每日统计（平台管理员视角）</x:v>
      </x:c>
      <x:c r="E475" s="10" t="str">
        <x:v>逻辑校验</x:v>
      </x:c>
      <x:c r="F475" s="10" t="str">
        <x:v>P1</x:v>
      </x:c>
      <x:c r="G475" s="9" t="str">
        <x:v>验证偶数场次时长中位数</x:v>
      </x:c>
      <x:c r="H475" s="9" t="str">
        <x:v>偶数样本中位数</x:v>
      </x:c>
      <x:c r="I475" s="9" t="str">
        <x:v>1. 执行角色为平台管理员
2. 当天有效场次时长升序10、20、40、60分钟</x:v>
      </x:c>
      <x:c r="J475" s="9" t="str">
        <x:v>1. 进入每日统计
2. 查询当天</x:v>
      </x:c>
      <x:c r="K475" s="9" t="str">
        <x:v>偶数样本中位数按(20+40)/2计算=30分钟</x:v>
      </x:c>
      <x:c r="L475" s="10" t="str"/>
      <x:c r="M475" s="10" t="str">
        <x:v>未测</x:v>
      </x:c>
      <x:c r="N475" s="10" t="str"/>
      <x:c r="O475" s="9" t="str">
        <x:v>1. 来源（当前证据）：liveshow-proto/MainBasis/统一需求文档.md；位置：行3245
2. 规则：BR-755f06f72dd74a98
3. 未动态验证</x:v>
      </x:c>
    </x:row>
    <x:row r="476" ht="70" customHeight="1">
      <x:c r="A476" s="10" t="n">
        <x:v>475</x:v>
      </x:c>
      <x:c r="B476" s="10" t="str">
        <x:v>ADMIN-10-0015</x:v>
      </x:c>
      <x:c r="C476" s="10" t="str">
        <x:v>数据分析</x:v>
      </x:c>
      <x:c r="D476" s="10" t="str">
        <x:v>每日统计（平台管理员视角）</x:v>
      </x:c>
      <x:c r="E476" s="10" t="str">
        <x:v>逻辑校验</x:v>
      </x:c>
      <x:c r="F476" s="10" t="str">
        <x:v>P1</x:v>
      </x:c>
      <x:c r="G476" s="9" t="str">
        <x:v>验证奇数场次时长中位数</x:v>
      </x:c>
      <x:c r="H476" s="9" t="str">
        <x:v>奇数样本中位数</x:v>
      </x:c>
      <x:c r="I476" s="9" t="str">
        <x:v>1. 执行角色为平台管理员
2. 当天有效场次时长10、20、60分钟</x:v>
      </x:c>
      <x:c r="J476" s="9" t="str">
        <x:v>1. 进入每日统计
2. 查询当天</x:v>
      </x:c>
      <x:c r="K476" s="9" t="str">
        <x:v>奇数样本中位数按中间一项20计算=20分钟</x:v>
      </x:c>
      <x:c r="L476" s="10" t="str"/>
      <x:c r="M476" s="10" t="str">
        <x:v>未测</x:v>
      </x:c>
      <x:c r="N476" s="10" t="str"/>
      <x:c r="O476" s="9" t="str">
        <x:v>1. 来源（当前证据）：liveshow-proto/MainBasis/统一需求文档.md；位置：行3245
2. 规则：BR-322adebb8c8d601a
3. 未动态验证</x:v>
      </x:c>
    </x:row>
    <x:row r="477" ht="70" customHeight="1">
      <x:c r="A477" s="10" t="n">
        <x:v>476</x:v>
      </x:c>
      <x:c r="B477" s="10" t="str">
        <x:v>ADMIN-10-0016</x:v>
      </x:c>
      <x:c r="C477" s="10" t="str">
        <x:v>数据分析</x:v>
      </x:c>
      <x:c r="D477" s="10" t="str">
        <x:v>每日统计（平台管理员视角）</x:v>
      </x:c>
      <x:c r="E477" s="10" t="str">
        <x:v>逻辑校验</x:v>
      </x:c>
      <x:c r="F477" s="10" t="str">
        <x:v>P1</x:v>
      </x:c>
      <x:c r="G477" s="9" t="str">
        <x:v>验证每日统计当日退款金额按当前对象求和</x:v>
      </x:c>
      <x:c r="H477" s="9" t="str">
        <x:v>当日退款金额计算范围</x:v>
      </x:c>
      <x:c r="I477" s="9" t="str">
        <x:v>1. 执行角色为平台管理员
2. 当天完成主动退款2USD、渠道退款3USD；处理中5USD排除</x:v>
      </x:c>
      <x:c r="J477" s="9" t="str">
        <x:v>1. 进入每日统计
2. 查看前置条件指定对象及范围的当日退款金额</x:v>
      </x:c>
      <x:c r="K477" s="9" t="str">
        <x:v>当日退款金额按2+3计算=5USD</x:v>
      </x:c>
      <x:c r="L477" s="10" t="str"/>
      <x:c r="M477" s="10" t="str">
        <x:v>未测</x:v>
      </x:c>
      <x:c r="N477" s="10" t="str"/>
      <x:c r="O477" s="9" t="str">
        <x:v>1. 来源（当前证据）：liveshow-proto/MainBasis/统一需求文档.md；位置：行3246
2. 规则：BR-58e2d445853ef673
3. 未动态验证</x:v>
      </x:c>
    </x:row>
    <x:row r="478" ht="70" customHeight="1">
      <x:c r="A478" s="10" t="n">
        <x:v>477</x:v>
      </x:c>
      <x:c r="B478" s="10" t="str">
        <x:v>ADMIN-10-0017</x:v>
      </x:c>
      <x:c r="C478" s="10" t="str">
        <x:v>数据分析</x:v>
      </x:c>
      <x:c r="D478" s="10" t="str">
        <x:v>每日统计（平台管理员视角）</x:v>
      </x:c>
      <x:c r="E478" s="10" t="str">
        <x:v>业务流程</x:v>
      </x:c>
      <x:c r="F478" s="10" t="str">
        <x:v>P1</x:v>
      </x:c>
      <x:c r="G478" s="9" t="str">
        <x:v>验证单日查询包含当天两端记录</x:v>
      </x:c>
      <x:c r="H478" s="9" t="str">
        <x:v>报表日期包含边界</x:v>
      </x:c>
      <x:c r="I478" s="9" t="str">
        <x:v>1. 执行角色为平台管理员
2. 已按平台业务时区准备9月15日00:00和23:59两笔成功充值，各1USD，无其他记录</x:v>
      </x:c>
      <x:c r="J478" s="9" t="str">
        <x:v>1. 进入每日统计
2. 选择9月15日至9月15日
3. 点击查询</x:v>
      </x:c>
      <x:c r="K478" s="9" t="str">
        <x:v>当日总充值金额为2USD</x:v>
      </x:c>
      <x:c r="L478" s="10" t="str"/>
      <x:c r="M478" s="10" t="str">
        <x:v>未测</x:v>
      </x:c>
      <x:c r="N478" s="10" t="str"/>
      <x:c r="O478" s="9" t="str">
        <x:v>1. 来源（当前证据）：liveshow-proto/MainBasis/统一需求文档.md；位置：行3248
2. 规则：BR-1d4a151922921a25
3. 未动态验证</x:v>
      </x:c>
    </x:row>
    <x:row r="479" ht="115" customHeight="1">
      <x:c r="A479" s="10" t="n">
        <x:v>478</x:v>
      </x:c>
      <x:c r="B479" s="10" t="str">
        <x:v>ADMIN-10-0018</x:v>
      </x:c>
      <x:c r="C479" s="10" t="str">
        <x:v>数据分析</x:v>
      </x:c>
      <x:c r="D479" s="10" t="str">
        <x:v>每日统计（平台管理员视角）</x:v>
      </x:c>
      <x:c r="E479" s="10" t="str">
        <x:v>功能需求</x:v>
      </x:c>
      <x:c r="F479" s="10" t="str">
        <x:v>P2</x:v>
      </x:c>
      <x:c r="G479" s="9" t="str">
        <x:v>验证每日统计导出保留当前查询范围</x:v>
      </x:c>
      <x:c r="H479" s="9" t="str">
        <x:v>每日统计导出范围</x:v>
      </x:c>
      <x:c r="I479" s="9" t="str">
        <x:v>1. 执行角色为平台管理员
2. 有当前报表查询及导出权限；当前筛选返回记录甲乙，记录丙被当前筛选排除</x:v>
      </x:c>
      <x:c r="J479" s="9" t="str">
        <x:v>1. 进入每日统计
2. 点击导出
3. 打开本次导出文件</x:v>
      </x:c>
      <x:c r="K479" s="9" t="str">
        <x:v>导出数据集合为记录甲乙</x:v>
      </x:c>
      <x:c r="L479" s="10" t="str"/>
      <x:c r="M479" s="10" t="str">
        <x:v>未测</x:v>
      </x:c>
      <x:c r="N479" s="10" t="str"/>
      <x:c r="O479" s="9" t="str">
        <x:v>1. 来源（当前证据）：liveshow-proto/MainBasis/统一需求文档.md；位置：行3248
2. 规则：BR-a602375552ee1ecc
3. 未动态验证
4. 数据别名：甲、乙、丙用于区分本条测试对象；按前置条件准备并记录实际账号或记录 ID，不是固定业务名称。</x:v>
      </x:c>
    </x:row>
    <x:row r="480" ht="115" customHeight="1">
      <x:c r="A480" s="10" t="n">
        <x:v>479</x:v>
      </x:c>
      <x:c r="B480" s="10" t="str">
        <x:v>ADMIN-10-0019</x:v>
      </x:c>
      <x:c r="C480" s="10" t="str">
        <x:v>数据分析</x:v>
      </x:c>
      <x:c r="D480" s="10" t="str">
        <x:v>用户活跃汇总（每日）（平台管理员视角）</x:v>
      </x:c>
      <x:c r="E480" s="10" t="str">
        <x:v>业务流程</x:v>
      </x:c>
      <x:c r="F480" s="10" t="str">
        <x:v>P1</x:v>
      </x:c>
      <x:c r="G480" s="9" t="str">
        <x:v>验证仅App切回前台不算成功登录</x:v>
      </x:c>
      <x:c r="H480" s="9" t="str">
        <x:v>登录指标和打开App区分</x:v>
      </x:c>
      <x:c r="I480" s="9" t="str">
        <x:v>1. 执行角色为平台管理员
2. 当天甲只从后台切前台未重新登录；乙当天成功登录</x:v>
      </x:c>
      <x:c r="J480" s="9" t="str">
        <x:v>1. 进入用户活跃汇总
2. 查询当天</x:v>
      </x:c>
      <x:c r="K480" s="9" t="str">
        <x:v>登录用户数为1</x:v>
      </x:c>
      <x:c r="L480" s="10" t="str"/>
      <x:c r="M480" s="10" t="str">
        <x:v>未测</x:v>
      </x:c>
      <x:c r="N480" s="10" t="str"/>
      <x:c r="O480" s="9" t="str">
        <x:v>1. 来源（当前证据）：liveshow-proto/MainBasis/统一需求文档.md；位置：行3253
2. 规则：BR-07013a7256d2e6df
3. 未动态验证
4. 数据别名：甲、乙、丙用于区分本条测试对象；按前置条件准备并记录实际账号或记录 ID，不是固定业务名称。</x:v>
      </x:c>
    </x:row>
    <x:row r="481" ht="115" customHeight="1">
      <x:c r="A481" s="10" t="n">
        <x:v>480</x:v>
      </x:c>
      <x:c r="B481" s="10" t="str">
        <x:v>ADMIN-10-0020</x:v>
      </x:c>
      <x:c r="C481" s="10" t="str">
        <x:v>数据分析</x:v>
      </x:c>
      <x:c r="D481" s="10" t="str">
        <x:v>用户活跃汇总（每日）（平台管理员视角）</x:v>
      </x:c>
      <x:c r="E481" s="10" t="str">
        <x:v>功能需求</x:v>
      </x:c>
      <x:c r="F481" s="10" t="str">
        <x:v>P2</x:v>
      </x:c>
      <x:c r="G481" s="9" t="str">
        <x:v>验证用户活跃汇总（每日）新用户按业务对象去重</x:v>
      </x:c>
      <x:c r="H481" s="9" t="str">
        <x:v>新用户去重范围</x:v>
      </x:c>
      <x:c r="I481" s="9" t="str">
        <x:v>1. 执行角色为平台管理员
2. 当天登录的甲乙丙中仅甲当日注册，乙丙昨天注册</x:v>
      </x:c>
      <x:c r="J481" s="9" t="str">
        <x:v>1. 进入用户活跃汇总（每日）
2. 查看准备范围的新用户</x:v>
      </x:c>
      <x:c r="K481" s="9" t="str">
        <x:v>新用户为1人</x:v>
      </x:c>
      <x:c r="L481" s="10" t="str"/>
      <x:c r="M481" s="10" t="str">
        <x:v>未测</x:v>
      </x:c>
      <x:c r="N481" s="10" t="str"/>
      <x:c r="O481" s="9" t="str">
        <x:v>1. 来源（当前证据）：liveshow-proto/MainBasis/统一需求文档.md；位置：行3254
2. 规则：BR-a7fe91a1b143dc21
3. 未动态验证
4. 数据别名：甲、乙、丙用于区分本条测试对象；按前置条件准备并记录实际账号或记录 ID，不是固定业务名称。</x:v>
      </x:c>
    </x:row>
    <x:row r="482" ht="115" customHeight="1">
      <x:c r="A482" s="10" t="n">
        <x:v>481</x:v>
      </x:c>
      <x:c r="B482" s="10" t="str">
        <x:v>ADMIN-10-0021</x:v>
      </x:c>
      <x:c r="C482" s="10" t="str">
        <x:v>数据分析</x:v>
      </x:c>
      <x:c r="D482" s="10" t="str">
        <x:v>用户活跃汇总（每日）（平台管理员视角）</x:v>
      </x:c>
      <x:c r="E482" s="10" t="str">
        <x:v>功能需求</x:v>
      </x:c>
      <x:c r="F482" s="10" t="str">
        <x:v>P2</x:v>
      </x:c>
      <x:c r="G482" s="9" t="str">
        <x:v>验证用户活跃汇总（每日）老用户按业务对象去重</x:v>
      </x:c>
      <x:c r="H482" s="9" t="str">
        <x:v>老用户去重范围</x:v>
      </x:c>
      <x:c r="I482" s="9" t="str">
        <x:v>1. 执行角色为平台管理员
2. 当天登录的甲乙丙中仅甲当日注册，乙丙昨天注册</x:v>
      </x:c>
      <x:c r="J482" s="9" t="str">
        <x:v>1. 进入用户活跃汇总（每日）
2. 查看准备范围的老用户</x:v>
      </x:c>
      <x:c r="K482" s="9" t="str">
        <x:v>老用户为2人</x:v>
      </x:c>
      <x:c r="L482" s="10" t="str"/>
      <x:c r="M482" s="10" t="str">
        <x:v>未测</x:v>
      </x:c>
      <x:c r="N482" s="10" t="str"/>
      <x:c r="O482" s="9" t="str">
        <x:v>1. 来源（当前证据）：liveshow-proto/MainBasis/统一需求文档.md；位置：行3255
2. 规则：BR-a318b2dd6ceb471f
3. 未动态验证
4. 数据别名：甲、乙、丙用于区分本条测试对象；按前置条件准备并记录实际账号或记录 ID，不是固定业务名称。</x:v>
      </x:c>
    </x:row>
    <x:row r="483" ht="115" customHeight="1">
      <x:c r="A483" s="10" t="n">
        <x:v>482</x:v>
      </x:c>
      <x:c r="B483" s="10" t="str">
        <x:v>ADMIN-10-0022</x:v>
      </x:c>
      <x:c r="C483" s="10" t="str">
        <x:v>数据分析</x:v>
      </x:c>
      <x:c r="D483" s="10" t="str">
        <x:v>用户活跃汇总（每日）（平台管理员视角）</x:v>
      </x:c>
      <x:c r="E483" s="10" t="str">
        <x:v>功能需求</x:v>
      </x:c>
      <x:c r="F483" s="10" t="str">
        <x:v>P2</x:v>
      </x:c>
      <x:c r="G483" s="9" t="str">
        <x:v>验证用户活跃汇总（每日）付费用户按业务对象去重</x:v>
      </x:c>
      <x:c r="H483" s="9" t="str">
        <x:v>付费用户去重范围</x:v>
      </x:c>
      <x:c r="I483" s="9" t="str">
        <x:v>1. 执行角色为平台管理员
2. 当天甲成功充值两次，乙一次，丙仅支付失败</x:v>
      </x:c>
      <x:c r="J483" s="9" t="str">
        <x:v>1. 进入用户活跃汇总（每日）
2. 查看准备范围的付费用户</x:v>
      </x:c>
      <x:c r="K483" s="9" t="str">
        <x:v>付费用户为2人</x:v>
      </x:c>
      <x:c r="L483" s="10" t="str"/>
      <x:c r="M483" s="10" t="str">
        <x:v>未测</x:v>
      </x:c>
      <x:c r="N483" s="10" t="str"/>
      <x:c r="O483" s="9" t="str">
        <x:v>1. 来源（当前证据）：liveshow-proto/MainBasis/统一需求文档.md；位置：行3256
2. 规则：BR-54500904280f7f19
3. 未动态验证
4. 数据别名：甲、乙、丙用于区分本条测试对象；按前置条件准备并记录实际账号或记录 ID，不是固定业务名称。</x:v>
      </x:c>
    </x:row>
    <x:row r="484" ht="115" customHeight="1">
      <x:c r="A484" s="10" t="n">
        <x:v>483</x:v>
      </x:c>
      <x:c r="B484" s="10" t="str">
        <x:v>ADMIN-10-0023</x:v>
      </x:c>
      <x:c r="C484" s="10" t="str">
        <x:v>数据分析</x:v>
      </x:c>
      <x:c r="D484" s="10" t="str">
        <x:v>用户活跃汇总（每日）（平台管理员视角）</x:v>
      </x:c>
      <x:c r="E484" s="10" t="str">
        <x:v>业务流程</x:v>
      </x:c>
      <x:c r="F484" s="10" t="str">
        <x:v>P1</x:v>
      </x:c>
      <x:c r="G484" s="9" t="str">
        <x:v>验证跨日登录汇总不再去重</x:v>
      </x:c>
      <x:c r="H484" s="9" t="str">
        <x:v>用户活跃汇总口径</x:v>
      </x:c>
      <x:c r="I484" s="9" t="str">
        <x:v>1. 执行角色为平台管理员
2. 同一用户甲在9月1日和2日都成功登录；无其他用户</x:v>
      </x:c>
      <x:c r="J484" s="9" t="str">
        <x:v>1. 进入用户活跃汇总
2. 选择9月1日至9月2日
3. 点击查询</x:v>
      </x:c>
      <x:c r="K484" s="9" t="str">
        <x:v>登录用户汇总为2</x:v>
      </x:c>
      <x:c r="L484" s="10" t="str"/>
      <x:c r="M484" s="10" t="str">
        <x:v>未测</x:v>
      </x:c>
      <x:c r="N484" s="10" t="str"/>
      <x:c r="O484" s="9" t="str">
        <x:v>1. 来源（当前证据）：liveshow-proto/MainBasis/统一需求文档.md；位置：行3257
2. 规则：BR-12371c7a83607413
3. 未动态验证
4. 数据别名：甲、乙、丙用于区分本条测试对象；按前置条件准备并记录实际账号或记录 ID，不是固定业务名称。</x:v>
      </x:c>
    </x:row>
    <x:row r="485" ht="115" customHeight="1">
      <x:c r="A485" s="10" t="n">
        <x:v>484</x:v>
      </x:c>
      <x:c r="B485" s="10" t="str">
        <x:v>ADMIN-10-0024</x:v>
      </x:c>
      <x:c r="C485" s="10" t="str">
        <x:v>数据分析</x:v>
      </x:c>
      <x:c r="D485" s="10" t="str">
        <x:v>用户活跃汇总（每日）（平台管理员视角）</x:v>
      </x:c>
      <x:c r="E485" s="10" t="str">
        <x:v>功能需求</x:v>
      </x:c>
      <x:c r="F485" s="10" t="str">
        <x:v>P2</x:v>
      </x:c>
      <x:c r="G485" s="9" t="str">
        <x:v>验证用户活跃汇总导出保留当前查询范围</x:v>
      </x:c>
      <x:c r="H485" s="9" t="str">
        <x:v>用户活跃汇总导出范围</x:v>
      </x:c>
      <x:c r="I485" s="9" t="str">
        <x:v>1. 执行角色为平台管理员
2. 有当前报表查询及导出权限；当前筛选返回记录甲乙，记录丙被当前筛选排除</x:v>
      </x:c>
      <x:c r="J485" s="9" t="str">
        <x:v>1. 进入用户活跃汇总
2. 点击导出
3. 打开本次导出文件</x:v>
      </x:c>
      <x:c r="K485" s="9" t="str">
        <x:v>导出数据集合为记录甲乙</x:v>
      </x:c>
      <x:c r="L485" s="10" t="str"/>
      <x:c r="M485" s="10" t="str">
        <x:v>未测</x:v>
      </x:c>
      <x:c r="N485" s="10" t="str"/>
      <x:c r="O485" s="9" t="str">
        <x:v>1. 来源（当前证据）：liveshow-proto/MainBasis/统一需求文档.md；位置：行3258
2. 规则：BR-92e708fdd857ebf6
3. 未动态验证
4. 数据别名：甲、乙、丙用于区分本条测试对象；按前置条件准备并记录实际账号或记录 ID，不是固定业务名称。</x:v>
      </x:c>
    </x:row>
    <x:row r="486" ht="115" customHeight="1">
      <x:c r="A486" s="10" t="n">
        <x:v>485</x:v>
      </x:c>
      <x:c r="B486" s="10" t="str">
        <x:v>ADMIN-10-0025</x:v>
      </x:c>
      <x:c r="C486" s="10" t="str">
        <x:v>数据分析</x:v>
      </x:c>
      <x:c r="D486" s="10" t="str">
        <x:v>主播活跃汇总（每日）（平台管理员视角）</x:v>
      </x:c>
      <x:c r="E486" s="10" t="str">
        <x:v>业务流程</x:v>
      </x:c>
      <x:c r="F486" s="10" t="str">
        <x:v>P1</x:v>
      </x:c>
      <x:c r="G486" s="9" t="str">
        <x:v>验证新增主播按平台认证日</x:v>
      </x:c>
      <x:c r="H486" s="9" t="str">
        <x:v>新增主播归属日期</x:v>
      </x:c>
      <x:c r="I486" s="9" t="str">
        <x:v>1. 执行角色为平台管理员
2. 甲9月1日公会通过，9月3日平台认证通过</x:v>
      </x:c>
      <x:c r="J486" s="9" t="str">
        <x:v>1. 进入主播活跃汇总
2. 选择9月3日
3. 点击查询</x:v>
      </x:c>
      <x:c r="K486" s="9" t="str">
        <x:v>新增主播包含甲</x:v>
      </x:c>
      <x:c r="L486" s="10" t="str"/>
      <x:c r="M486" s="10" t="str">
        <x:v>未测</x:v>
      </x:c>
      <x:c r="N486" s="10" t="str"/>
      <x:c r="O486" s="9" t="str">
        <x:v>1. 来源（当前证据）：liveshow-proto/MainBasis/统一需求文档.md；位置：行3263
2. 规则：BR-54a11e022854392b
3. 未动态验证
4. 数据别名：甲、乙、丙用于区分本条测试对象；按前置条件准备并记录实际账号或记录 ID，不是固定业务名称。</x:v>
      </x:c>
    </x:row>
    <x:row r="487" ht="115" customHeight="1">
      <x:c r="A487" s="10" t="n">
        <x:v>486</x:v>
      </x:c>
      <x:c r="B487" s="10" t="str">
        <x:v>ADMIN-10-0026</x:v>
      </x:c>
      <x:c r="C487" s="10" t="str">
        <x:v>数据分析</x:v>
      </x:c>
      <x:c r="D487" s="10" t="str">
        <x:v>主播活跃汇总（每日）（平台管理员视角）</x:v>
      </x:c>
      <x:c r="E487" s="10" t="str">
        <x:v>功能需求</x:v>
      </x:c>
      <x:c r="F487" s="10" t="str">
        <x:v>P2</x:v>
      </x:c>
      <x:c r="G487" s="9" t="str">
        <x:v>验证主播活跃汇总（每日）开播场次按业务对象去重</x:v>
      </x:c>
      <x:c r="H487" s="9" t="str">
        <x:v>开播场次去重范围</x:v>
      </x:c>
      <x:c r="I487" s="9" t="str">
        <x:v>1. 执行角色为平台管理员
2. 当天甲成功开播两场，乙一场，丙失败未开播</x:v>
      </x:c>
      <x:c r="J487" s="9" t="str">
        <x:v>1. 进入主播活跃汇总（每日）
2. 查看准备范围的开播场次</x:v>
      </x:c>
      <x:c r="K487" s="9" t="str">
        <x:v>开播场次为3场</x:v>
      </x:c>
      <x:c r="L487" s="10" t="str"/>
      <x:c r="M487" s="10" t="str">
        <x:v>未测</x:v>
      </x:c>
      <x:c r="N487" s="10" t="str"/>
      <x:c r="O487" s="9" t="str">
        <x:v>1. 来源（当前证据）：liveshow-proto/MainBasis/统一需求文档.md；位置：行3264
2. 规则：BR-86d3ef5403140504
3. 未动态验证
4. 数据别名：甲、乙、丙用于区分本条测试对象；按前置条件准备并记录实际账号或记录 ID，不是固定业务名称。</x:v>
      </x:c>
    </x:row>
    <x:row r="488" ht="70" customHeight="1">
      <x:c r="A488" s="10" t="n">
        <x:v>487</x:v>
      </x:c>
      <x:c r="B488" s="10" t="str">
        <x:v>ADMIN-10-0027</x:v>
      </x:c>
      <x:c r="C488" s="10" t="str">
        <x:v>数据分析</x:v>
      </x:c>
      <x:c r="D488" s="10" t="str">
        <x:v>主播活跃汇总（每日）（平台管理员视角）</x:v>
      </x:c>
      <x:c r="E488" s="10" t="str">
        <x:v>逻辑校验</x:v>
      </x:c>
      <x:c r="F488" s="10" t="str">
        <x:v>P1</x:v>
      </x:c>
      <x:c r="G488" s="9" t="str">
        <x:v>验证开播率按当天有效主播数</x:v>
      </x:c>
      <x:c r="H488" s="9" t="str">
        <x:v>主播开播率</x:v>
      </x:c>
      <x:c r="I488" s="9" t="str">
        <x:v>1. 执行角色为平台管理员
2. 当日有效主播10人，其中4人成功开播</x:v>
      </x:c>
      <x:c r="J488" s="9" t="str">
        <x:v>1. 进入主播活跃汇总
2. 查询当天</x:v>
      </x:c>
      <x:c r="K488" s="9" t="str">
        <x:v>主播开播率按4/10×100计算=40%</x:v>
      </x:c>
      <x:c r="L488" s="10" t="str"/>
      <x:c r="M488" s="10" t="str">
        <x:v>未测</x:v>
      </x:c>
      <x:c r="N488" s="10" t="str"/>
      <x:c r="O488" s="9" t="str">
        <x:v>1. 来源（当前证据）：liveshow-proto/MainBasis/统一需求文档.md；位置：行3265
2. 规则：BR-069300de890810dc
3. 未动态验证</x:v>
      </x:c>
    </x:row>
    <x:row r="489" ht="70" customHeight="1">
      <x:c r="A489" s="10" t="n">
        <x:v>488</x:v>
      </x:c>
      <x:c r="B489" s="10" t="str">
        <x:v>ADMIN-10-0028</x:v>
      </x:c>
      <x:c r="C489" s="10" t="str">
        <x:v>数据分析</x:v>
      </x:c>
      <x:c r="D489" s="10" t="str">
        <x:v>主播活跃汇总（每日）（平台管理员视角）</x:v>
      </x:c>
      <x:c r="E489" s="10" t="str">
        <x:v>逻辑校验</x:v>
      </x:c>
      <x:c r="F489" s="10" t="str">
        <x:v>P1</x:v>
      </x:c>
      <x:c r="G489" s="9" t="str">
        <x:v>验证主播活跃汇总开播率分母为零</x:v>
      </x:c>
      <x:c r="H489" s="9" t="str">
        <x:v>零分母保护</x:v>
      </x:c>
      <x:c r="I489" s="9" t="str">
        <x:v>1. 执行角色为平台管理员
2. 主播活跃汇总当前统计周期没有对应付费、开播或观看对象；该指标分母为0</x:v>
      </x:c>
      <x:c r="J489" s="9" t="str">
        <x:v>1. 进入主播活跃汇总
2. 查看开播率</x:v>
      </x:c>
      <x:c r="K489" s="9" t="str">
        <x:v>开播率显示0</x:v>
      </x:c>
      <x:c r="L489" s="10" t="str"/>
      <x:c r="M489" s="10" t="str">
        <x:v>未测</x:v>
      </x:c>
      <x:c r="N489" s="10" t="str"/>
      <x:c r="O489" s="9" t="str">
        <x:v>1. 来源（当前证据）：liveshow-proto/MainBasis/统一需求文档.md；位置：行3265
2. 规则：BR-173c8867f747883f
3. 未动态验证</x:v>
      </x:c>
    </x:row>
    <x:row r="490" ht="115" customHeight="1">
      <x:c r="A490" s="10" t="n">
        <x:v>489</x:v>
      </x:c>
      <x:c r="B490" s="10" t="str">
        <x:v>ADMIN-10-0029</x:v>
      </x:c>
      <x:c r="C490" s="10" t="str">
        <x:v>数据分析</x:v>
      </x:c>
      <x:c r="D490" s="10" t="str">
        <x:v>主播活跃汇总（每日）（平台管理员视角）</x:v>
      </x:c>
      <x:c r="E490" s="10" t="str">
        <x:v>功能需求</x:v>
      </x:c>
      <x:c r="F490" s="10" t="str">
        <x:v>P2</x:v>
      </x:c>
      <x:c r="G490" s="9" t="str">
        <x:v>验证主播活跃汇总（每日）有效天达标人数按业务对象去重</x:v>
      </x:c>
      <x:c r="H490" s="9" t="str">
        <x:v>有效天达标人数去重范围</x:v>
      </x:c>
      <x:c r="I490" s="9" t="str">
        <x:v>1. 执行角色为平台管理员
2. 当天甲180分钟、乙179分钟、丙181分钟有效直播，均无跨日</x:v>
      </x:c>
      <x:c r="J490" s="9" t="str">
        <x:v>1. 进入主播活跃汇总（每日）
2. 查看准备范围的有效天达标人数</x:v>
      </x:c>
      <x:c r="K490" s="9" t="str">
        <x:v>有效天达标人数为2人</x:v>
      </x:c>
      <x:c r="L490" s="10" t="str"/>
      <x:c r="M490" s="10" t="str">
        <x:v>未测</x:v>
      </x:c>
      <x:c r="N490" s="10" t="str"/>
      <x:c r="O490" s="9" t="str">
        <x:v>1. 来源（当前证据）：liveshow-proto/MainBasis/统一需求文档.md；位置：行3266
2. 规则：BR-ccfbbd125d7b6bcb
3. 未动态验证
4. 数据别名：甲、乙、丙用于区分本条测试对象；按前置条件准备并记录实际账号或记录 ID，不是固定业务名称。</x:v>
      </x:c>
    </x:row>
    <x:row r="491" ht="115" customHeight="1">
      <x:c r="A491" s="10" t="n">
        <x:v>490</x:v>
      </x:c>
      <x:c r="B491" s="10" t="str">
        <x:v>ADMIN-10-0030</x:v>
      </x:c>
      <x:c r="C491" s="10" t="str">
        <x:v>数据分析</x:v>
      </x:c>
      <x:c r="D491" s="10" t="str">
        <x:v>主播活跃汇总（每日）（平台管理员视角）</x:v>
      </x:c>
      <x:c r="E491" s="10" t="str">
        <x:v>业务流程</x:v>
      </x:c>
      <x:c r="F491" s="10" t="str">
        <x:v>P1</x:v>
      </x:c>
      <x:c r="G491" s="9" t="str">
        <x:v>验证同场多次连麦只计一场</x:v>
      </x:c>
      <x:c r="H491" s="9" t="str">
        <x:v>连麦场次数去重</x:v>
      </x:c>
      <x:c r="I491" s="9" t="str">
        <x:v>1. 执行角色为平台管理员
2. 场次甲当天连麦两次；其他场次无连麦</x:v>
      </x:c>
      <x:c r="J491" s="9" t="str">
        <x:v>1. 进入主播活跃汇总
2. 查询当天</x:v>
      </x:c>
      <x:c r="K491" s="9" t="str">
        <x:v>甲对应连麦场次只计1场</x:v>
      </x:c>
      <x:c r="L491" s="10" t="str"/>
      <x:c r="M491" s="10" t="str">
        <x:v>未测</x:v>
      </x:c>
      <x:c r="N491" s="10" t="str"/>
      <x:c r="O491" s="9" t="str">
        <x:v>1. 来源（当前证据）：liveshow-proto/MainBasis/统一需求文档.md；位置：行3268
2. 规则：BR-029db53f5fbf9769
3. 未动态验证
4. 数据别名：甲、乙、丙用于区分本条测试对象；按前置条件准备并记录实际账号或记录 ID，不是固定业务名称。</x:v>
      </x:c>
    </x:row>
    <x:row r="492" ht="115" customHeight="1">
      <x:c r="A492" s="10" t="n">
        <x:v>491</x:v>
      </x:c>
      <x:c r="B492" s="10" t="str">
        <x:v>ADMIN-10-0031</x:v>
      </x:c>
      <x:c r="C492" s="10" t="str">
        <x:v>数据分析</x:v>
      </x:c>
      <x:c r="D492" s="10" t="str">
        <x:v>主播活跃汇总（每日）（平台管理员视角）</x:v>
      </x:c>
      <x:c r="E492" s="10" t="str">
        <x:v>功能需求</x:v>
      </x:c>
      <x:c r="F492" s="10" t="str">
        <x:v>P2</x:v>
      </x:c>
      <x:c r="G492" s="9" t="str">
        <x:v>验证主播活跃汇总（每日）违规主播按业务对象去重</x:v>
      </x:c>
      <x:c r="H492" s="9" t="str">
        <x:v>违规主播去重范围</x:v>
      </x:c>
      <x:c r="I492" s="9" t="str">
        <x:v>1. 执行角色为平台管理员
2. 当天主播甲两场各确认违规一次，乙一场确认违规，丙仅不成立举报</x:v>
      </x:c>
      <x:c r="J492" s="9" t="str">
        <x:v>1. 进入主播活跃汇总（每日）
2. 查看准备范围的违规主播</x:v>
      </x:c>
      <x:c r="K492" s="9" t="str">
        <x:v>违规主播为2人</x:v>
      </x:c>
      <x:c r="L492" s="10" t="str"/>
      <x:c r="M492" s="10" t="str">
        <x:v>未测</x:v>
      </x:c>
      <x:c r="N492" s="10" t="str"/>
      <x:c r="O492" s="9" t="str">
        <x:v>1. 来源（当前证据）：liveshow-proto/MainBasis/统一需求文档.md；位置：行3269
2. 规则：BR-62f692a6b92c0e35
3. 未动态验证
4. 数据别名：甲、乙、丙用于区分本条测试对象；按前置条件准备并记录实际账号或记录 ID，不是固定业务名称。</x:v>
      </x:c>
    </x:row>
    <x:row r="493" ht="115" customHeight="1">
      <x:c r="A493" s="10" t="n">
        <x:v>492</x:v>
      </x:c>
      <x:c r="B493" s="10" t="str">
        <x:v>ADMIN-10-0032</x:v>
      </x:c>
      <x:c r="C493" s="10" t="str">
        <x:v>数据分析</x:v>
      </x:c>
      <x:c r="D493" s="10" t="str">
        <x:v>主播活跃汇总（每日）（平台管理员视角）</x:v>
      </x:c>
      <x:c r="E493" s="10" t="str">
        <x:v>功能需求</x:v>
      </x:c>
      <x:c r="F493" s="10" t="str">
        <x:v>P2</x:v>
      </x:c>
      <x:c r="G493" s="9" t="str">
        <x:v>验证主播活跃汇总导出保留当前查询范围</x:v>
      </x:c>
      <x:c r="H493" s="9" t="str">
        <x:v>主播活跃汇总导出范围</x:v>
      </x:c>
      <x:c r="I493" s="9" t="str">
        <x:v>1. 执行角色为平台管理员
2. 有当前报表查询及导出权限；当前筛选返回记录甲乙，记录丙被当前筛选排除</x:v>
      </x:c>
      <x:c r="J493" s="9" t="str">
        <x:v>1. 进入主播活跃汇总
2. 点击导出
3. 打开本次导出文件</x:v>
      </x:c>
      <x:c r="K493" s="9" t="str">
        <x:v>导出数据集合为记录甲乙</x:v>
      </x:c>
      <x:c r="L493" s="10" t="str"/>
      <x:c r="M493" s="10" t="str">
        <x:v>未测</x:v>
      </x:c>
      <x:c r="N493" s="10" t="str"/>
      <x:c r="O493" s="9" t="str">
        <x:v>1. 来源（当前证据）：liveshow-proto/MainBasis/统一需求文档.md；位置：行3270
2. 规则：BR-54229e6b58d7ea19
3. 未动态验证
4. 数据别名：甲、乙、丙用于区分本条测试对象；按前置条件准备并记录实际账号或记录 ID，不是固定业务名称。</x:v>
      </x:c>
    </x:row>
    <x:row r="494" ht="115" customHeight="1">
      <x:c r="A494" s="10" t="n">
        <x:v>493</x:v>
      </x:c>
      <x:c r="B494" s="10" t="str">
        <x:v>ADMIN-10-0033</x:v>
      </x:c>
      <x:c r="C494" s="10" t="str">
        <x:v>数据分析</x:v>
      </x:c>
      <x:c r="D494" s="10" t="str">
        <x:v>直播间互动汇总（每日）（平台管理员视角）</x:v>
      </x:c>
      <x:c r="E494" s="10" t="str">
        <x:v>功能需求</x:v>
      </x:c>
      <x:c r="F494" s="10" t="str">
        <x:v>P2</x:v>
      </x:c>
      <x:c r="G494" s="9" t="str">
        <x:v>验证直播间互动汇总（每日）观众人数按业务对象去重</x:v>
      </x:c>
      <x:c r="H494" s="9" t="str">
        <x:v>观众人数去重范围</x:v>
      </x:c>
      <x:c r="I494" s="9" t="str">
        <x:v>1. 执行角色为平台管理员
2. 当天真实用户甲成功进入2次，乙进入1次，丙始终被准入拦截</x:v>
      </x:c>
      <x:c r="J494" s="9" t="str">
        <x:v>1. 进入直播间互动汇总（每日）
2. 查看准备范围的观众人数</x:v>
      </x:c>
      <x:c r="K494" s="9" t="str">
        <x:v>观众人数为2人</x:v>
      </x:c>
      <x:c r="L494" s="10" t="str"/>
      <x:c r="M494" s="10" t="str">
        <x:v>未测</x:v>
      </x:c>
      <x:c r="N494" s="10" t="str"/>
      <x:c r="O494" s="9" t="str">
        <x:v>1. 来源（当前证据）：liveshow-proto/MainBasis/统一需求文档.md；位置：行3275
2. 规则：BR-97476f3364dc480b
3. 未动态验证
4. 数据别名：甲、乙、丙用于区分本条测试对象；按前置条件准备并记录实际账号或记录 ID，不是固定业务名称。</x:v>
      </x:c>
    </x:row>
    <x:row r="495" ht="70" customHeight="1">
      <x:c r="A495" s="10" t="n">
        <x:v>494</x:v>
      </x:c>
      <x:c r="B495" s="10" t="str">
        <x:v>ADMIN-10-0034</x:v>
      </x:c>
      <x:c r="C495" s="10" t="str">
        <x:v>数据分析</x:v>
      </x:c>
      <x:c r="D495" s="10" t="str">
        <x:v>直播间互动汇总（每日）（平台管理员视角）</x:v>
      </x:c>
      <x:c r="E495" s="10" t="str">
        <x:v>逻辑校验</x:v>
      </x:c>
      <x:c r="F495" s="10" t="str">
        <x:v>P1</x:v>
      </x:c>
      <x:c r="G495" s="9" t="str">
        <x:v>验证观看秒数汇总后取整分钟</x:v>
      </x:c>
      <x:c r="H495" s="9" t="str">
        <x:v>观看时长分钟舍入</x:v>
      </x:c>
      <x:c r="I495" s="9" t="str">
        <x:v>1. 执行角色为平台管理员
2. 有效观看秒数合计91秒</x:v>
      </x:c>
      <x:c r="J495" s="9" t="str">
        <x:v>1. 进入直播间互动汇总
2. 查询当天</x:v>
      </x:c>
      <x:c r="K495" s="9" t="str">
        <x:v>观看时长分钟舍入按round(91/60)计算=2分钟</x:v>
      </x:c>
      <x:c r="L495" s="10" t="str"/>
      <x:c r="M495" s="10" t="str">
        <x:v>未测</x:v>
      </x:c>
      <x:c r="N495" s="10" t="str"/>
      <x:c r="O495" s="9" t="str">
        <x:v>1. 来源（当前证据）：liveshow-proto/MainBasis/统一需求文档.md；位置：行3276
2. 规则：BR-fda3bba6cda2a856
3. 未动态验证</x:v>
      </x:c>
    </x:row>
    <x:row r="496" ht="70" customHeight="1">
      <x:c r="A496" s="10" t="n">
        <x:v>495</x:v>
      </x:c>
      <x:c r="B496" s="10" t="str">
        <x:v>ADMIN-10-0035</x:v>
      </x:c>
      <x:c r="C496" s="10" t="str">
        <x:v>数据分析</x:v>
      </x:c>
      <x:c r="D496" s="10" t="str">
        <x:v>直播间互动汇总（每日）（平台管理员视角）</x:v>
      </x:c>
      <x:c r="E496" s="10" t="str">
        <x:v>逻辑校验</x:v>
      </x:c>
      <x:c r="F496" s="10" t="str">
        <x:v>P1</x:v>
      </x:c>
      <x:c r="G496" s="9" t="str">
        <x:v>验证人均观看按去重观众计算</x:v>
      </x:c>
      <x:c r="H496" s="9" t="str">
        <x:v>人均观看分钟</x:v>
      </x:c>
      <x:c r="I496" s="9" t="str">
        <x:v>1. 执行角色为平台管理员
2. 有效观看总秒数360，去重真实观众2人</x:v>
      </x:c>
      <x:c r="J496" s="9" t="str">
        <x:v>1. 进入直播间互动汇总
2. 查询当天</x:v>
      </x:c>
      <x:c r="K496" s="9" t="str">
        <x:v>人均观看分钟按round(360/2/60)计算=3分钟</x:v>
      </x:c>
      <x:c r="L496" s="10" t="str"/>
      <x:c r="M496" s="10" t="str">
        <x:v>未测</x:v>
      </x:c>
      <x:c r="N496" s="10" t="str"/>
      <x:c r="O496" s="9" t="str">
        <x:v>1. 来源（当前证据）：liveshow-proto/MainBasis/统一需求文档.md；位置：行3277
2. 规则：BR-33b5dde8ed5712a1
3. 未动态验证</x:v>
      </x:c>
    </x:row>
    <x:row r="497" ht="70" customHeight="1">
      <x:c r="A497" s="10" t="n">
        <x:v>496</x:v>
      </x:c>
      <x:c r="B497" s="10" t="str">
        <x:v>ADMIN-10-0036</x:v>
      </x:c>
      <x:c r="C497" s="10" t="str">
        <x:v>数据分析</x:v>
      </x:c>
      <x:c r="D497" s="10" t="str">
        <x:v>直播间互动汇总（每日）（平台管理员视角）</x:v>
      </x:c>
      <x:c r="E497" s="10" t="str">
        <x:v>逻辑校验</x:v>
      </x:c>
      <x:c r="F497" s="10" t="str">
        <x:v>P1</x:v>
      </x:c>
      <x:c r="G497" s="9" t="str">
        <x:v>验证直播间互动汇总人均观看时长分母为零</x:v>
      </x:c>
      <x:c r="H497" s="9" t="str">
        <x:v>零分母保护</x:v>
      </x:c>
      <x:c r="I497" s="9" t="str">
        <x:v>1. 执行角色为平台管理员
2. 直播间互动汇总当前统计周期没有对应付费、开播或观看对象；该指标分母为0</x:v>
      </x:c>
      <x:c r="J497" s="9" t="str">
        <x:v>1. 进入直播间互动汇总
2. 查看人均观看时长</x:v>
      </x:c>
      <x:c r="K497" s="9" t="str">
        <x:v>人均观看时长显示0</x:v>
      </x:c>
      <x:c r="L497" s="10" t="str"/>
      <x:c r="M497" s="10" t="str">
        <x:v>未测</x:v>
      </x:c>
      <x:c r="N497" s="10" t="str"/>
      <x:c r="O497" s="9" t="str">
        <x:v>1. 来源（当前证据）：liveshow-proto/MainBasis/统一需求文档.md；位置：行3277
2. 规则：BR-e1b7e2c8dfeb3650
3. 未动态验证</x:v>
      </x:c>
    </x:row>
    <x:row r="498" ht="70" customHeight="1">
      <x:c r="A498" s="10" t="n">
        <x:v>497</x:v>
      </x:c>
      <x:c r="B498" s="10" t="str">
        <x:v>ADMIN-10-0037</x:v>
      </x:c>
      <x:c r="C498" s="10" t="str">
        <x:v>数据分析</x:v>
      </x:c>
      <x:c r="D498" s="10" t="str">
        <x:v>直播间互动汇总（每日）（平台管理员视角）</x:v>
      </x:c>
      <x:c r="E498" s="10" t="str">
        <x:v>逻辑校验</x:v>
      </x:c>
      <x:c r="F498" s="10" t="str">
        <x:v>P1</x:v>
      </x:c>
      <x:c r="G498" s="9" t="str">
        <x:v>验证重复进入使访问次数大于人数</x:v>
      </x:c>
      <x:c r="H498" s="9" t="str">
        <x:v>直播间访问率</x:v>
      </x:c>
      <x:c r="I498" s="9" t="str">
        <x:v>1. 执行角色为平台管理员
2. 去重真实观众2人，总成功进入事件3次</x:v>
      </x:c>
      <x:c r="J498" s="9" t="str">
        <x:v>1. 进入直播间互动汇总
2. 查询当天</x:v>
      </x:c>
      <x:c r="K498" s="9" t="str">
        <x:v>直播间访问率按round(2/3×100,1)计算=66.7%</x:v>
      </x:c>
      <x:c r="L498" s="10" t="str"/>
      <x:c r="M498" s="10" t="str">
        <x:v>未测</x:v>
      </x:c>
      <x:c r="N498" s="10" t="str"/>
      <x:c r="O498" s="9" t="str">
        <x:v>1. 来源（当前证据）：liveshow-proto/MainBasis/统一需求文档.md；位置：行3278
2. 规则：BR-c3d33855354cf1a5
3. 未动态验证</x:v>
      </x:c>
    </x:row>
    <x:row r="499" ht="70" customHeight="1">
      <x:c r="A499" s="10" t="n">
        <x:v>498</x:v>
      </x:c>
      <x:c r="B499" s="10" t="str">
        <x:v>ADMIN-10-0038</x:v>
      </x:c>
      <x:c r="C499" s="10" t="str">
        <x:v>数据分析</x:v>
      </x:c>
      <x:c r="D499" s="10" t="str">
        <x:v>直播间互动汇总（每日）（平台管理员视角）</x:v>
      </x:c>
      <x:c r="E499" s="10" t="str">
        <x:v>逻辑校验</x:v>
      </x:c>
      <x:c r="F499" s="10" t="str">
        <x:v>P1</x:v>
      </x:c>
      <x:c r="G499" s="9" t="str">
        <x:v>验证直播间互动汇总直播间访问率分母为零</x:v>
      </x:c>
      <x:c r="H499" s="9" t="str">
        <x:v>零分母保护</x:v>
      </x:c>
      <x:c r="I499" s="9" t="str">
        <x:v>1. 执行角色为平台管理员
2. 直播间互动汇总当前统计周期没有对应付费、开播或观看对象；该指标分母为0</x:v>
      </x:c>
      <x:c r="J499" s="9" t="str">
        <x:v>1. 进入直播间互动汇总
2. 查看直播间访问率</x:v>
      </x:c>
      <x:c r="K499" s="9" t="str">
        <x:v>直播间访问率显示0</x:v>
      </x:c>
      <x:c r="L499" s="10" t="str"/>
      <x:c r="M499" s="10" t="str">
        <x:v>未测</x:v>
      </x:c>
      <x:c r="N499" s="10" t="str"/>
      <x:c r="O499" s="9" t="str">
        <x:v>1. 来源（当前证据）：liveshow-proto/MainBasis/统一需求文档.md；位置：行3278
2. 规则：BR-88c149ee5e3bfb7a
3. 未动态验证</x:v>
      </x:c>
    </x:row>
    <x:row r="500" ht="115" customHeight="1">
      <x:c r="A500" s="10" t="n">
        <x:v>499</x:v>
      </x:c>
      <x:c r="B500" s="10" t="str">
        <x:v>ADMIN-10-0039</x:v>
      </x:c>
      <x:c r="C500" s="10" t="str">
        <x:v>数据分析</x:v>
      </x:c>
      <x:c r="D500" s="10" t="str">
        <x:v>直播间互动汇总（每日）（平台管理员视角）</x:v>
      </x:c>
      <x:c r="E500" s="10" t="str">
        <x:v>功能需求</x:v>
      </x:c>
      <x:c r="F500" s="10" t="str">
        <x:v>P2</x:v>
      </x:c>
      <x:c r="G500" s="9" t="str">
        <x:v>验证直播间互动汇总导出保留当前查询范围</x:v>
      </x:c>
      <x:c r="H500" s="9" t="str">
        <x:v>直播间互动汇总导出范围</x:v>
      </x:c>
      <x:c r="I500" s="9" t="str">
        <x:v>1. 执行角色为平台管理员
2. 有当前报表查询及导出权限；当前筛选返回记录甲乙，记录丙被当前筛选排除</x:v>
      </x:c>
      <x:c r="J500" s="9" t="str">
        <x:v>1. 进入直播间互动汇总
2. 点击导出
3. 打开本次导出文件</x:v>
      </x:c>
      <x:c r="K500" s="9" t="str">
        <x:v>导出数据集合为记录甲乙</x:v>
      </x:c>
      <x:c r="L500" s="10" t="str"/>
      <x:c r="M500" s="10" t="str">
        <x:v>未测</x:v>
      </x:c>
      <x:c r="N500" s="10" t="str"/>
      <x:c r="O500" s="9" t="str">
        <x:v>1. 来源（当前证据）：liveshow-proto/MainBasis/统一需求文档.md；位置：行3279
2. 规则：BR-146608be8e53174a
3. 未动态验证
4. 数据别名：甲、乙、丙用于区分本条测试对象；按前置条件准备并记录实际账号或记录 ID，不是固定业务名称。</x:v>
      </x:c>
    </x:row>
    <x:row r="501" ht="70" customHeight="1">
      <x:c r="A501" s="10" t="n">
        <x:v>500</x:v>
      </x:c>
      <x:c r="B501" s="10" t="str">
        <x:v>ADMIN-10-0040</x:v>
      </x:c>
      <x:c r="C501" s="10" t="str">
        <x:v>数据分析</x:v>
      </x:c>
      <x:c r="D501" s="10" t="str">
        <x:v>直播记录明细报表（平台管理员视角）</x:v>
      </x:c>
      <x:c r="E501" s="10" t="str">
        <x:v>功能需求</x:v>
      </x:c>
      <x:c r="F501" s="10" t="str">
        <x:v>P2</x:v>
      </x:c>
      <x:c r="G501" s="9" t="str">
        <x:v>验证直播记录明细报表读取直播间ID</x:v>
      </x:c>
      <x:c r="H501" s="9" t="str">
        <x:v>直播间ID回显</x:v>
      </x:c>
      <x:c r="I501" s="9" t="str">
        <x:v>1. 执行角色为平台管理员
2. 所选主播固定直播间的直播间ID为“300001”</x:v>
      </x:c>
      <x:c r="J501" s="9" t="str">
        <x:v>1. 进入直播记录明细报表
2. 查看直播间ID</x:v>
      </x:c>
      <x:c r="K501" s="9" t="str">
        <x:v>直播间ID显示“300001”</x:v>
      </x:c>
      <x:c r="L501" s="10" t="str"/>
      <x:c r="M501" s="10" t="str">
        <x:v>未测</x:v>
      </x:c>
      <x:c r="N501" s="10" t="str"/>
      <x:c r="O501" s="9" t="str">
        <x:v>1. 来源（当前证据）：liveshow-proto/MainBasis/统一需求文档.md；位置：行3284
2. 规则：BR-503ecfbb42ba30a4
3. 未动态验证</x:v>
      </x:c>
    </x:row>
    <x:row r="502" ht="70" customHeight="1">
      <x:c r="A502" s="10" t="n">
        <x:v>501</x:v>
      </x:c>
      <x:c r="B502" s="10" t="str">
        <x:v>ADMIN-10-0041</x:v>
      </x:c>
      <x:c r="C502" s="10" t="str">
        <x:v>数据分析</x:v>
      </x:c>
      <x:c r="D502" s="10" t="str">
        <x:v>直播记录明细报表（平台管理员视角）</x:v>
      </x:c>
      <x:c r="E502" s="10" t="str">
        <x:v>功能需求</x:v>
      </x:c>
      <x:c r="F502" s="10" t="str">
        <x:v>P2</x:v>
      </x:c>
      <x:c r="G502" s="9" t="str">
        <x:v>验证直播记录明细报表读取房型</x:v>
      </x:c>
      <x:c r="H502" s="9" t="str">
        <x:v>房型回显</x:v>
      </x:c>
      <x:c r="I502" s="9" t="str">
        <x:v>1. 执行角色为平台管理员
2. 所选场次创建快照的房型为“门票”</x:v>
      </x:c>
      <x:c r="J502" s="9" t="str">
        <x:v>1. 进入直播记录明细报表
2. 查看房型</x:v>
      </x:c>
      <x:c r="K502" s="9" t="str">
        <x:v>房型显示“门票”</x:v>
      </x:c>
      <x:c r="L502" s="10" t="str"/>
      <x:c r="M502" s="10" t="str">
        <x:v>未测</x:v>
      </x:c>
      <x:c r="N502" s="10" t="str"/>
      <x:c r="O502" s="9" t="str">
        <x:v>1. 来源（当前证据）：liveshow-proto/MainBasis/统一需求文档.md；位置：行3285
2. 规则：BR-79474482599309f2
3. 未动态验证</x:v>
      </x:c>
    </x:row>
    <x:row r="503" ht="115" customHeight="1">
      <x:c r="A503" s="10" t="n">
        <x:v>502</x:v>
      </x:c>
      <x:c r="B503" s="10" t="str">
        <x:v>ADMIN-10-0042</x:v>
      </x:c>
      <x:c r="C503" s="10" t="str">
        <x:v>数据分析</x:v>
      </x:c>
      <x:c r="D503" s="10" t="str">
        <x:v>直播记录明细报表（平台管理员视角）</x:v>
      </x:c>
      <x:c r="E503" s="10" t="str">
        <x:v>业务流程</x:v>
      </x:c>
      <x:c r="F503" s="10" t="str">
        <x:v>P1</x:v>
      </x:c>
      <x:c r="G503" s="9" t="str">
        <x:v>验证是否达标按主播当日累计</x:v>
      </x:c>
      <x:c r="H503" s="9" t="str">
        <x:v>单场不足但全天达标</x:v>
      </x:c>
      <x:c r="I503" s="9" t="str">
        <x:v>1. 执行角色为平台管理员
2. 主播甲同一自然日两场分别2小时和1小时，均有效；无跨日</x:v>
      </x:c>
      <x:c r="J503" s="9" t="str">
        <x:v>1. 进入直播记录明细报表
2. 查询甲该日期</x:v>
      </x:c>
      <x:c r="K503" s="9" t="str">
        <x:v>甲这一天标记达标</x:v>
      </x:c>
      <x:c r="L503" s="10" t="str"/>
      <x:c r="M503" s="10" t="str">
        <x:v>未测</x:v>
      </x:c>
      <x:c r="N503" s="10" t="str"/>
      <x:c r="O503" s="9" t="str">
        <x:v>1. 来源（当前证据）：liveshow-proto/MainBasis/统一需求文档.md；位置：行3287
2. 规则：BR-6a9b75563e77eefd
3. 未动态验证
4. 数据别名：甲、乙、丙用于区分本条测试对象；按前置条件准备并记录实际账号或记录 ID，不是固定业务名称。</x:v>
      </x:c>
    </x:row>
    <x:row r="504" ht="115" customHeight="1">
      <x:c r="A504" s="10" t="n">
        <x:v>503</x:v>
      </x:c>
      <x:c r="B504" s="10" t="str">
        <x:v>ADMIN-10-0043</x:v>
      </x:c>
      <x:c r="C504" s="10" t="str">
        <x:v>数据分析</x:v>
      </x:c>
      <x:c r="D504" s="10" t="str">
        <x:v>直播记录明细报表（平台管理员视角）</x:v>
      </x:c>
      <x:c r="E504" s="10" t="str">
        <x:v>功能需求</x:v>
      </x:c>
      <x:c r="F504" s="10" t="str">
        <x:v>P2</x:v>
      </x:c>
      <x:c r="G504" s="9" t="str">
        <x:v>验证直播记录明细报表观众人数按业务对象去重</x:v>
      </x:c>
      <x:c r="H504" s="9" t="str">
        <x:v>观众人数去重范围</x:v>
      </x:c>
      <x:c r="I504" s="9" t="str">
        <x:v>1. 执行角色为平台管理员
2. 当前场次甲成功进入2次，乙1次，丙始终被拦截</x:v>
      </x:c>
      <x:c r="J504" s="9" t="str">
        <x:v>1. 进入直播记录明细报表
2. 查看准备范围的观众人数</x:v>
      </x:c>
      <x:c r="K504" s="9" t="str">
        <x:v>观众人数为2人</x:v>
      </x:c>
      <x:c r="L504" s="10" t="str"/>
      <x:c r="M504" s="10" t="str">
        <x:v>未测</x:v>
      </x:c>
      <x:c r="N504" s="10" t="str"/>
      <x:c r="O504" s="9" t="str">
        <x:v>1. 来源（当前证据）：liveshow-proto/MainBasis/统一需求文档.md；位置：行3288
2. 规则：BR-022dc1ed6bcd2104
3. 未动态验证
4. 数据别名：甲、乙、丙用于区分本条测试对象；按前置条件准备并记录实际账号或记录 ID，不是固定业务名称。</x:v>
      </x:c>
    </x:row>
    <x:row r="505" ht="145" customHeight="1">
      <x:c r="A505" s="10" t="n">
        <x:v>504</x:v>
      </x:c>
      <x:c r="B505" s="10" t="str">
        <x:v>ADMIN-10-0044</x:v>
      </x:c>
      <x:c r="C505" s="10" t="str">
        <x:v>数据分析</x:v>
      </x:c>
      <x:c r="D505" s="10" t="str">
        <x:v>直播记录明细报表（平台管理员视角）</x:v>
      </x:c>
      <x:c r="E505" s="10" t="str">
        <x:v>功能需求</x:v>
      </x:c>
      <x:c r="F505" s="10" t="str">
        <x:v>P2</x:v>
      </x:c>
      <x:c r="G505" s="9" t="str">
        <x:v>验证直播记录明细报表两个筛选条件共同生效</x:v>
      </x:c>
      <x:c r="H505" s="9" t="str">
        <x:v>直播记录明细报表查询交集</x:v>
      </x:c>
      <x:c r="I505" s="9" t="str">
        <x:v>1. 执行角色为平台管理员
2. 准备三条当前范围有效记录：记录甲同时满足开播日期=2026年9月1日条件与主播ID=本次准备的主播甲实际ID条件；记录乙仅满足开播日期=2026年9月1日；记录丙仅满足主播ID=本次准备的主播甲实际ID；选值采用本页可用配置</x:v>
      </x:c>
      <x:c r="J505" s="9" t="str">
        <x:v>1. 进入直播记录明细报表
2. 选择上述开播日期=2026年9月1日条件
3. 选择上述主播ID=本次准备的主播甲实际ID条件
4. 点击查询</x:v>
      </x:c>
      <x:c r="K505" s="9" t="str">
        <x:v>结果集合仅包含记录甲</x:v>
      </x:c>
      <x:c r="L505" s="10" t="str"/>
      <x:c r="M505" s="10" t="str">
        <x:v>未测</x:v>
      </x:c>
      <x:c r="N505" s="10" t="str"/>
      <x:c r="O505" s="9" t="str">
        <x:v>1. 来源（当前证据）：liveshow-proto/MainBasis/统一需求文档.md；位置：行3291
2. 规则：BR-0b5950ef22e0fa66
3. 未动态验证
4. 数据别名：甲、乙、丙用于区分本条测试对象；按前置条件准备并记录实际账号或记录 ID，不是固定业务名称。</x:v>
      </x:c>
    </x:row>
    <x:row r="506" ht="115" customHeight="1">
      <x:c r="A506" s="10" t="n">
        <x:v>505</x:v>
      </x:c>
      <x:c r="B506" s="10" t="str">
        <x:v>ADMIN-10-0045</x:v>
      </x:c>
      <x:c r="C506" s="10" t="str">
        <x:v>数据分析</x:v>
      </x:c>
      <x:c r="D506" s="10" t="str">
        <x:v>直播记录明细报表（平台管理员视角）</x:v>
      </x:c>
      <x:c r="E506" s="10" t="str">
        <x:v>功能需求</x:v>
      </x:c>
      <x:c r="F506" s="10" t="str">
        <x:v>P2</x:v>
      </x:c>
      <x:c r="G506" s="9" t="str">
        <x:v>验证直播记录明细报表没有同时满足条件的记录</x:v>
      </x:c>
      <x:c r="H506" s="9" t="str">
        <x:v>直播记录明细报表查询空集合</x:v>
      </x:c>
      <x:c r="I506" s="9" t="str">
        <x:v>1. 执行角色为平台管理员
2. 准备数据中没有记录同时满足开播日期=2026年9月1日和主播ID=本次准备的主播甲实际ID两个条件</x:v>
      </x:c>
      <x:c r="J506" s="9" t="str">
        <x:v>1. 进入直播记录明细报表
2. 选择开播日期=2026年9月1日
3. 选择主播ID=本次准备的主播甲实际ID
4. 点击查询</x:v>
      </x:c>
      <x:c r="K506" s="9" t="str">
        <x:v>结果集合为空</x:v>
      </x:c>
      <x:c r="L506" s="10" t="str"/>
      <x:c r="M506" s="10" t="str">
        <x:v>未测</x:v>
      </x:c>
      <x:c r="N506" s="10" t="str"/>
      <x:c r="O506" s="9" t="str">
        <x:v>1. 来源（当前证据）：liveshow-proto/MainBasis/统一需求文档.md；位置：行3291
2. 规则：BR-c36389052164df1f
3. 未动态验证
4. 数据别名：甲、乙、丙用于区分本条测试对象；按前置条件准备并记录实际账号或记录 ID，不是固定业务名称。</x:v>
      </x:c>
    </x:row>
    <x:row r="507" ht="115" customHeight="1">
      <x:c r="A507" s="10" t="n">
        <x:v>506</x:v>
      </x:c>
      <x:c r="B507" s="10" t="str">
        <x:v>ADMIN-10-0046</x:v>
      </x:c>
      <x:c r="C507" s="10" t="str">
        <x:v>数据分析</x:v>
      </x:c>
      <x:c r="D507" s="10" t="str">
        <x:v>直播记录明细报表（平台管理员视角）</x:v>
      </x:c>
      <x:c r="E507" s="10" t="str">
        <x:v>功能需求</x:v>
      </x:c>
      <x:c r="F507" s="10" t="str">
        <x:v>P2</x:v>
      </x:c>
      <x:c r="G507" s="9" t="str">
        <x:v>验证直播记录明细报表导出保留当前查询范围</x:v>
      </x:c>
      <x:c r="H507" s="9" t="str">
        <x:v>直播记录明细报表导出范围</x:v>
      </x:c>
      <x:c r="I507" s="9" t="str">
        <x:v>1. 执行角色为平台管理员
2. 有当前报表查询及导出权限；当前筛选返回记录甲乙，记录丙被当前筛选排除</x:v>
      </x:c>
      <x:c r="J507" s="9" t="str">
        <x:v>1. 进入直播记录明细报表
2. 点击导出
3. 打开本次导出文件</x:v>
      </x:c>
      <x:c r="K507" s="9" t="str">
        <x:v>导出数据集合为记录甲乙</x:v>
      </x:c>
      <x:c r="L507" s="10" t="str"/>
      <x:c r="M507" s="10" t="str">
        <x:v>未测</x:v>
      </x:c>
      <x:c r="N507" s="10" t="str"/>
      <x:c r="O507" s="9" t="str">
        <x:v>1. 来源（当前证据）：liveshow-proto/MainBasis/统一需求文档.md；位置：行3291
2. 规则：BR-ecc43254b5b7898a
3. 未动态验证
4. 数据别名：甲、乙、丙用于区分本条测试对象；按前置条件准备并记录实际账号或记录 ID，不是固定业务名称。</x:v>
      </x:c>
    </x:row>
    <x:row r="508" ht="70" customHeight="1">
      <x:c r="A508" s="10" t="n">
        <x:v>507</x:v>
      </x:c>
      <x:c r="B508" s="10" t="str">
        <x:v>ADMIN-10-0047</x:v>
      </x:c>
      <x:c r="C508" s="10" t="str">
        <x:v>数据分析</x:v>
      </x:c>
      <x:c r="D508" s="10" t="str">
        <x:v>充值消费汇总（每日）（平台管理员视角）</x:v>
      </x:c>
      <x:c r="E508" s="10" t="str">
        <x:v>逻辑校验</x:v>
      </x:c>
      <x:c r="F508" s="10" t="str">
        <x:v>P1</x:v>
      </x:c>
      <x:c r="G508" s="9" t="str">
        <x:v>验证充值客单价按人数不按单数</x:v>
      </x:c>
      <x:c r="H508" s="9" t="str">
        <x:v>充值客单价</x:v>
      </x:c>
      <x:c r="I508" s="9" t="str">
        <x:v>1. 执行角色为平台管理员
2. 2人成功充值3笔，合计9USD</x:v>
      </x:c>
      <x:c r="J508" s="9" t="str">
        <x:v>1. 进入充值消费汇总
2. 查询当天</x:v>
      </x:c>
      <x:c r="K508" s="9" t="str">
        <x:v>充值客单价按9/2计算=4.5USD</x:v>
      </x:c>
      <x:c r="L508" s="10" t="str"/>
      <x:c r="M508" s="10" t="str">
        <x:v>未测</x:v>
      </x:c>
      <x:c r="N508" s="10" t="str"/>
      <x:c r="O508" s="9" t="str">
        <x:v>1. 来源（当前证据）：liveshow-proto/MainBasis/统一需求文档.md；位置：行3297
2. 规则：BR-d50c30b23e2cd772
3. 未动态验证</x:v>
      </x:c>
    </x:row>
    <x:row r="509" ht="70" customHeight="1">
      <x:c r="A509" s="10" t="n">
        <x:v>508</x:v>
      </x:c>
      <x:c r="B509" s="10" t="str">
        <x:v>ADMIN-10-0048</x:v>
      </x:c>
      <x:c r="C509" s="10" t="str">
        <x:v>数据分析</x:v>
      </x:c>
      <x:c r="D509" s="10" t="str">
        <x:v>充值消费汇总（每日）（平台管理员视角）</x:v>
      </x:c>
      <x:c r="E509" s="10" t="str">
        <x:v>逻辑校验</x:v>
      </x:c>
      <x:c r="F509" s="10" t="str">
        <x:v>P1</x:v>
      </x:c>
      <x:c r="G509" s="9" t="str">
        <x:v>验证充值消费汇总客单价分母为零</x:v>
      </x:c>
      <x:c r="H509" s="9" t="str">
        <x:v>零分母保护</x:v>
      </x:c>
      <x:c r="I509" s="9" t="str">
        <x:v>1. 执行角色为平台管理员
2. 充值消费汇总当前统计周期没有对应付费、开播或观看对象；该指标分母为0</x:v>
      </x:c>
      <x:c r="J509" s="9" t="str">
        <x:v>1. 进入充值消费汇总
2. 查看客单价</x:v>
      </x:c>
      <x:c r="K509" s="9" t="str">
        <x:v>客单价显示0</x:v>
      </x:c>
      <x:c r="L509" s="10" t="str"/>
      <x:c r="M509" s="10" t="str">
        <x:v>未测</x:v>
      </x:c>
      <x:c r="N509" s="10" t="str"/>
      <x:c r="O509" s="9" t="str">
        <x:v>1. 来源（当前证据）：liveshow-proto/MainBasis/统一需求文档.md；位置：行3297
2. 规则：BR-c9164e21d3666f2a
3. 未动态验证</x:v>
      </x:c>
    </x:row>
    <x:row r="510" ht="70" customHeight="1">
      <x:c r="A510" s="10" t="n">
        <x:v>509</x:v>
      </x:c>
      <x:c r="B510" s="10" t="str">
        <x:v>ADMIN-10-0049</x:v>
      </x:c>
      <x:c r="C510" s="10" t="str">
        <x:v>数据分析</x:v>
      </x:c>
      <x:c r="D510" s="10" t="str">
        <x:v>充值消费汇总（每日）（平台管理员视角）</x:v>
      </x:c>
      <x:c r="E510" s="10" t="str">
        <x:v>逻辑校验</x:v>
      </x:c>
      <x:c r="F510" s="10" t="str">
        <x:v>P1</x:v>
      </x:c>
      <x:c r="G510" s="9" t="str">
        <x:v>验证充值消费汇总（每日）基础充值金币按当前对象求和</x:v>
      </x:c>
      <x:c r="H510" s="9" t="str">
        <x:v>基础充值金币计算范围</x:v>
      </x:c>
      <x:c r="I510" s="9" t="str">
        <x:v>1. 执行角色为平台管理员
2. 当前周期成功订单基础1000与2000金币，各赠送100金币；仅核对基础金币</x:v>
      </x:c>
      <x:c r="J510" s="9" t="str">
        <x:v>1. 进入充值消费汇总（每日）
2. 查看前置条件指定对象及范围的基础充值金币</x:v>
      </x:c>
      <x:c r="K510" s="9" t="str">
        <x:v>基础充值金币按1000+2000计算=3000金币</x:v>
      </x:c>
      <x:c r="L510" s="10" t="str"/>
      <x:c r="M510" s="10" t="str">
        <x:v>未测</x:v>
      </x:c>
      <x:c r="N510" s="10" t="str"/>
      <x:c r="O510" s="9" t="str">
        <x:v>1. 来源（当前证据）：liveshow-proto/MainBasis/统一需求文档.md；位置：行3298
2. 规则：BR-1840fd97ce78a755
3. 未动态验证</x:v>
      </x:c>
    </x:row>
    <x:row r="511" ht="70" customHeight="1">
      <x:c r="A511" s="10" t="n">
        <x:v>510</x:v>
      </x:c>
      <x:c r="B511" s="10" t="str">
        <x:v>ADMIN-10-0050</x:v>
      </x:c>
      <x:c r="C511" s="10" t="str">
        <x:v>数据分析</x:v>
      </x:c>
      <x:c r="D511" s="10" t="str">
        <x:v>充值消费汇总（每日）（平台管理员视角）</x:v>
      </x:c>
      <x:c r="E511" s="10" t="str">
        <x:v>逻辑校验</x:v>
      </x:c>
      <x:c r="F511" s="10" t="str">
        <x:v>P1</x:v>
      </x:c>
      <x:c r="G511" s="9" t="str">
        <x:v>验证充值消费汇总（每日）套餐赠送金币按当前对象求和</x:v>
      </x:c>
      <x:c r="H511" s="9" t="str">
        <x:v>套餐赠送金币计算范围</x:v>
      </x:c>
      <x:c r="I511" s="9" t="str">
        <x:v>1. 执行角色为平台管理员
2. 当前周期成功充值套餐分别赠送100与200金币；系统签到奖励50另计</x:v>
      </x:c>
      <x:c r="J511" s="9" t="str">
        <x:v>1. 进入充值消费汇总（每日）
2. 查看前置条件指定对象及范围的套餐赠送金币</x:v>
      </x:c>
      <x:c r="K511" s="9" t="str">
        <x:v>套餐赠送金币按100+200计算=300金币</x:v>
      </x:c>
      <x:c r="L511" s="10" t="str"/>
      <x:c r="M511" s="10" t="str">
        <x:v>未测</x:v>
      </x:c>
      <x:c r="N511" s="10" t="str"/>
      <x:c r="O511" s="9" t="str">
        <x:v>1. 来源（当前证据）：liveshow-proto/MainBasis/统一需求文档.md；位置：行3299
2. 规则：BR-b2a5d3a3c8ba547f
3. 未动态验证</x:v>
      </x:c>
    </x:row>
    <x:row r="512" ht="70" customHeight="1">
      <x:c r="A512" s="10" t="n">
        <x:v>511</x:v>
      </x:c>
      <x:c r="B512" s="10" t="str">
        <x:v>ADMIN-10-0051</x:v>
      </x:c>
      <x:c r="C512" s="10" t="str">
        <x:v>数据分析</x:v>
      </x:c>
      <x:c r="D512" s="10" t="str">
        <x:v>充值消费汇总（每日）（平台管理员视角）</x:v>
      </x:c>
      <x:c r="E512" s="10" t="str">
        <x:v>逻辑校验</x:v>
      </x:c>
      <x:c r="F512" s="10" t="str">
        <x:v>P1</x:v>
      </x:c>
      <x:c r="G512" s="9" t="str">
        <x:v>验证金币净增量包含全部赠送扣净消费</x:v>
      </x:c>
      <x:c r="H512" s="9" t="str">
        <x:v>金币净增量</x:v>
      </x:c>
      <x:c r="I512" s="9" t="str">
        <x:v>1. 执行角色为平台管理员
2. 基础充值1000，充值赠送100，系统奖励20，普通消费200，幸运投入100返奖50；退款单列</x:v>
      </x:c>
      <x:c r="J512" s="9" t="str">
        <x:v>1. 进入充值消费汇总
2. 查询当天</x:v>
      </x:c>
      <x:c r="K512" s="9" t="str">
        <x:v>金币净增量按1000+100+20-(200+100-50)计算=870金币</x:v>
      </x:c>
      <x:c r="L512" s="10" t="str"/>
      <x:c r="M512" s="10" t="str">
        <x:v>未测</x:v>
      </x:c>
      <x:c r="N512" s="10" t="str"/>
      <x:c r="O512" s="9" t="str">
        <x:v>1. 来源（当前证据）：liveshow-proto/MainBasis/统一需求文档.md；位置：行3301
2. 规则：BR-ada520c7d85ff102
3. 未动态验证</x:v>
      </x:c>
    </x:row>
    <x:row r="513" ht="70" customHeight="1">
      <x:c r="A513" s="10" t="n">
        <x:v>512</x:v>
      </x:c>
      <x:c r="B513" s="10" t="str">
        <x:v>ADMIN-10-0052</x:v>
      </x:c>
      <x:c r="C513" s="10" t="str">
        <x:v>数据分析</x:v>
      </x:c>
      <x:c r="D513" s="10" t="str">
        <x:v>充值消费汇总（每日）（平台管理员视角）</x:v>
      </x:c>
      <x:c r="E513" s="10" t="str">
        <x:v>业务流程</x:v>
      </x:c>
      <x:c r="F513" s="10" t="str">
        <x:v>P1</x:v>
      </x:c>
      <x:c r="G513" s="9" t="str">
        <x:v>验证退款扣币不并入消费金币</x:v>
      </x:c>
      <x:c r="H513" s="9" t="str">
        <x:v>退款资产分类</x:v>
      </x:c>
      <x:c r="I513" s="9" t="str">
        <x:v>1. 执行角色为平台管理员
2. 当天真实消费100金币，退款扣回500金币</x:v>
      </x:c>
      <x:c r="J513" s="9" t="str">
        <x:v>1. 进入充值消费汇总
2. 查询当天</x:v>
      </x:c>
      <x:c r="K513" s="9" t="str">
        <x:v>消费金币为100</x:v>
      </x:c>
      <x:c r="L513" s="10" t="str"/>
      <x:c r="M513" s="10" t="str">
        <x:v>未测</x:v>
      </x:c>
      <x:c r="N513" s="10" t="str"/>
      <x:c r="O513" s="9" t="str">
        <x:v>1. 来源（当前证据）：liveshow-proto/MainBasis/统一需求文档.md；位置：行3302
2. 规则：BR-bec857945e85e0b0
3. 未动态验证</x:v>
      </x:c>
    </x:row>
    <x:row r="514" ht="115" customHeight="1">
      <x:c r="A514" s="10" t="n">
        <x:v>513</x:v>
      </x:c>
      <x:c r="B514" s="10" t="str">
        <x:v>ADMIN-10-0053</x:v>
      </x:c>
      <x:c r="C514" s="10" t="str">
        <x:v>数据分析</x:v>
      </x:c>
      <x:c r="D514" s="10" t="str">
        <x:v>充值消费汇总（每日）（平台管理员视角）</x:v>
      </x:c>
      <x:c r="E514" s="10" t="str">
        <x:v>功能需求</x:v>
      </x:c>
      <x:c r="F514" s="10" t="str">
        <x:v>P2</x:v>
      </x:c>
      <x:c r="G514" s="9" t="str">
        <x:v>验证充值消费汇总导出保留当前查询范围</x:v>
      </x:c>
      <x:c r="H514" s="9" t="str">
        <x:v>充值消费汇总导出范围</x:v>
      </x:c>
      <x:c r="I514" s="9" t="str">
        <x:v>1. 执行角色为平台管理员
2. 有当前报表查询及导出权限；当前筛选返回记录甲乙，记录丙被当前筛选排除</x:v>
      </x:c>
      <x:c r="J514" s="9" t="str">
        <x:v>1. 进入充值消费汇总
2. 点击导出
3. 打开本次导出文件</x:v>
      </x:c>
      <x:c r="K514" s="9" t="str">
        <x:v>导出数据集合为记录甲乙</x:v>
      </x:c>
      <x:c r="L514" s="10" t="str"/>
      <x:c r="M514" s="10" t="str">
        <x:v>未测</x:v>
      </x:c>
      <x:c r="N514" s="10" t="str"/>
      <x:c r="O514" s="9" t="str">
        <x:v>1. 来源（当前证据）：liveshow-proto/MainBasis/统一需求文档.md；位置：行3303
2. 规则：BR-485a8305f0802bd7
3. 未动态验证
4. 数据别名：甲、乙、丙用于区分本条测试对象；按前置条件准备并记录实际账号或记录 ID，不是固定业务名称。</x:v>
      </x:c>
    </x:row>
    <x:row r="515" ht="70" customHeight="1">
      <x:c r="A515" s="10" t="n">
        <x:v>514</x:v>
      </x:c>
      <x:c r="B515" s="10" t="str">
        <x:v>ADMIN-10-0054</x:v>
      </x:c>
      <x:c r="C515" s="10" t="str">
        <x:v>数据分析</x:v>
      </x:c>
      <x:c r="D515" s="10" t="str">
        <x:v>充值用户分层汇总（每日）（平台管理员视角）</x:v>
      </x:c>
      <x:c r="E515" s="10" t="str">
        <x:v>逻辑校验</x:v>
      </x:c>
      <x:c r="F515" s="10" t="str">
        <x:v>P1</x:v>
      </x:c>
      <x:c r="G515" s="9" t="str">
        <x:v>验证新老充值金额组成总充值</x:v>
      </x:c>
      <x:c r="H515" s="9" t="str">
        <x:v>新老充值金额合计</x:v>
      </x:c>
      <x:c r="I515" s="9" t="str">
        <x:v>1. 执行角色为平台管理员
2. 新客成功充值3USD，老客成功充值7USD</x:v>
      </x:c>
      <x:c r="J515" s="9" t="str">
        <x:v>1. 进入充值用户分层汇总
2. 查询当天</x:v>
      </x:c>
      <x:c r="K515" s="9" t="str">
        <x:v>新老充值金额合计按3+7计算=10USD</x:v>
      </x:c>
      <x:c r="L515" s="10" t="str"/>
      <x:c r="M515" s="10" t="str">
        <x:v>未测</x:v>
      </x:c>
      <x:c r="N515" s="10" t="str"/>
      <x:c r="O515" s="9" t="str">
        <x:v>1. 来源（当前证据）：liveshow-proto/MainBasis/统一需求文档.md；位置：行3308
2. 规则：BR-e9bdcd2d9ff40ee0
3. 未动态验证</x:v>
      </x:c>
    </x:row>
    <x:row r="516" ht="70" customHeight="1">
      <x:c r="A516" s="10" t="n">
        <x:v>515</x:v>
      </x:c>
      <x:c r="B516" s="10" t="str">
        <x:v>ADMIN-10-0055</x:v>
      </x:c>
      <x:c r="C516" s="10" t="str">
        <x:v>数据分析</x:v>
      </x:c>
      <x:c r="D516" s="10" t="str">
        <x:v>充值用户分层汇总（每日）（平台管理员视角）</x:v>
      </x:c>
      <x:c r="E516" s="10" t="str">
        <x:v>逻辑校验</x:v>
      </x:c>
      <x:c r="F516" s="10" t="str">
        <x:v>P1</x:v>
      </x:c>
      <x:c r="G516" s="9" t="str">
        <x:v>验证新老充值人数构成总人数</x:v>
      </x:c>
      <x:c r="H516" s="9" t="str">
        <x:v>新老充值人数合计</x:v>
      </x:c>
      <x:c r="I516" s="9" t="str">
        <x:v>1. 执行角色为平台管理员
2. 新客充值2人，老客充值3人</x:v>
      </x:c>
      <x:c r="J516" s="9" t="str">
        <x:v>1. 进入充值用户分层汇总
2. 查询当天</x:v>
      </x:c>
      <x:c r="K516" s="9" t="str">
        <x:v>新老充值人数合计按2+3计算=5人</x:v>
      </x:c>
      <x:c r="L516" s="10" t="str"/>
      <x:c r="M516" s="10" t="str">
        <x:v>未测</x:v>
      </x:c>
      <x:c r="N516" s="10" t="str"/>
      <x:c r="O516" s="9" t="str">
        <x:v>1. 来源（当前证据）：liveshow-proto/MainBasis/统一需求文档.md；位置：行3309
2. 规则：BR-63a3eab146a02f84
3. 未动态验证</x:v>
      </x:c>
    </x:row>
    <x:row r="517" ht="70" customHeight="1">
      <x:c r="A517" s="10" t="n">
        <x:v>516</x:v>
      </x:c>
      <x:c r="B517" s="10" t="str">
        <x:v>ADMIN-10-0056</x:v>
      </x:c>
      <x:c r="C517" s="10" t="str">
        <x:v>数据分析</x:v>
      </x:c>
      <x:c r="D517" s="10" t="str">
        <x:v>充值用户分层汇总（每日）（平台管理员视角）</x:v>
      </x:c>
      <x:c r="E517" s="10" t="str">
        <x:v>逻辑校验</x:v>
      </x:c>
      <x:c r="F517" s="10" t="str">
        <x:v>P1</x:v>
      </x:c>
      <x:c r="G517" s="9" t="str">
        <x:v>验证充值用户分层汇总新用户ARPU分母为零</x:v>
      </x:c>
      <x:c r="H517" s="9" t="str">
        <x:v>零分母保护</x:v>
      </x:c>
      <x:c r="I517" s="9" t="str">
        <x:v>1. 执行角色为平台管理员
2. 充值用户分层汇总当前统计周期没有对应付费、开播或观看对象；该指标分母为0</x:v>
      </x:c>
      <x:c r="J517" s="9" t="str">
        <x:v>1. 进入充值用户分层汇总
2. 查看新用户ARPU</x:v>
      </x:c>
      <x:c r="K517" s="9" t="str">
        <x:v>新用户ARPU显示0</x:v>
      </x:c>
      <x:c r="L517" s="10" t="str"/>
      <x:c r="M517" s="10" t="str">
        <x:v>未测</x:v>
      </x:c>
      <x:c r="N517" s="10" t="str"/>
      <x:c r="O517" s="9" t="str">
        <x:v>1. 来源（当前证据）：liveshow-proto/MainBasis/统一需求文档.md；位置：行3311
2. 规则：BR-799ba2051eaf78c1
3. 未动态验证</x:v>
      </x:c>
    </x:row>
    <x:row r="518" ht="70" customHeight="1">
      <x:c r="A518" s="10" t="n">
        <x:v>517</x:v>
      </x:c>
      <x:c r="B518" s="10" t="str">
        <x:v>ADMIN-10-0057</x:v>
      </x:c>
      <x:c r="C518" s="10" t="str">
        <x:v>数据分析</x:v>
      </x:c>
      <x:c r="D518" s="10" t="str">
        <x:v>充值用户分层汇总（每日）（平台管理员视角）</x:v>
      </x:c>
      <x:c r="E518" s="10" t="str">
        <x:v>逻辑校验</x:v>
      </x:c>
      <x:c r="F518" s="10" t="str">
        <x:v>P1</x:v>
      </x:c>
      <x:c r="G518" s="9" t="str">
        <x:v>验证老用户ARPU独立计算</x:v>
      </x:c>
      <x:c r="H518" s="9" t="str">
        <x:v>老客充值ARPU</x:v>
      </x:c>
      <x:c r="I518" s="9" t="str">
        <x:v>1. 执行角色为平台管理员
2. 老客成功充值6USD，老客付费2人</x:v>
      </x:c>
      <x:c r="J518" s="9" t="str">
        <x:v>1. 进入充值用户分层汇总
2. 查询当天</x:v>
      </x:c>
      <x:c r="K518" s="9" t="str">
        <x:v>老客充值ARPU按6/2计算=3USD</x:v>
      </x:c>
      <x:c r="L518" s="10" t="str"/>
      <x:c r="M518" s="10" t="str">
        <x:v>未测</x:v>
      </x:c>
      <x:c r="N518" s="10" t="str"/>
      <x:c r="O518" s="9" t="str">
        <x:v>1. 来源（当前证据）：liveshow-proto/MainBasis/统一需求文档.md；位置：行3312
2. 规则：BR-6793d7ef4b7626d3
3. 未动态验证</x:v>
      </x:c>
    </x:row>
    <x:row r="519" ht="70" customHeight="1">
      <x:c r="A519" s="10" t="n">
        <x:v>518</x:v>
      </x:c>
      <x:c r="B519" s="10" t="str">
        <x:v>ADMIN-10-0058</x:v>
      </x:c>
      <x:c r="C519" s="10" t="str">
        <x:v>数据分析</x:v>
      </x:c>
      <x:c r="D519" s="10" t="str">
        <x:v>充值用户分层汇总（每日）（平台管理员视角）</x:v>
      </x:c>
      <x:c r="E519" s="10" t="str">
        <x:v>逻辑校验</x:v>
      </x:c>
      <x:c r="F519" s="10" t="str">
        <x:v>P1</x:v>
      </x:c>
      <x:c r="G519" s="9" t="str">
        <x:v>验证充值用户分层汇总老用户ARPU分母为零</x:v>
      </x:c>
      <x:c r="H519" s="9" t="str">
        <x:v>零分母保护</x:v>
      </x:c>
      <x:c r="I519" s="9" t="str">
        <x:v>1. 执行角色为平台管理员
2. 充值用户分层汇总当前统计周期没有对应付费、开播或观看对象；该指标分母为0</x:v>
      </x:c>
      <x:c r="J519" s="9" t="str">
        <x:v>1. 进入充值用户分层汇总
2. 查看老用户ARPU</x:v>
      </x:c>
      <x:c r="K519" s="9" t="str">
        <x:v>老用户ARPU显示0</x:v>
      </x:c>
      <x:c r="L519" s="10" t="str"/>
      <x:c r="M519" s="10" t="str">
        <x:v>未测</x:v>
      </x:c>
      <x:c r="N519" s="10" t="str"/>
      <x:c r="O519" s="9" t="str">
        <x:v>1. 来源（当前证据）：liveshow-proto/MainBasis/统一需求文档.md；位置：行3312
2. 规则：BR-44b4c53fa959a219
3. 未动态验证</x:v>
      </x:c>
    </x:row>
    <x:row r="520" ht="115" customHeight="1">
      <x:c r="A520" s="10" t="n">
        <x:v>519</x:v>
      </x:c>
      <x:c r="B520" s="10" t="str">
        <x:v>ADMIN-10-0059</x:v>
      </x:c>
      <x:c r="C520" s="10" t="str">
        <x:v>数据分析</x:v>
      </x:c>
      <x:c r="D520" s="10" t="str">
        <x:v>充值用户分层汇总（每日）（平台管理员视角）</x:v>
      </x:c>
      <x:c r="E520" s="10" t="str">
        <x:v>功能需求</x:v>
      </x:c>
      <x:c r="F520" s="10" t="str">
        <x:v>P2</x:v>
      </x:c>
      <x:c r="G520" s="9" t="str">
        <x:v>验证充值用户分层汇总导出保留当前查询范围</x:v>
      </x:c>
      <x:c r="H520" s="9" t="str">
        <x:v>充值用户分层汇总导出范围</x:v>
      </x:c>
      <x:c r="I520" s="9" t="str">
        <x:v>1. 执行角色为平台管理员
2. 有当前报表查询及导出权限；当前筛选返回记录甲乙，记录丙被当前筛选排除</x:v>
      </x:c>
      <x:c r="J520" s="9" t="str">
        <x:v>1. 进入充值用户分层汇总
2. 点击导出
3. 打开本次导出文件</x:v>
      </x:c>
      <x:c r="K520" s="9" t="str">
        <x:v>导出数据集合为记录甲乙</x:v>
      </x:c>
      <x:c r="L520" s="10" t="str"/>
      <x:c r="M520" s="10" t="str">
        <x:v>未测</x:v>
      </x:c>
      <x:c r="N520" s="10" t="str"/>
      <x:c r="O520" s="9" t="str">
        <x:v>1. 来源（当前证据）：liveshow-proto/MainBasis/统一需求文档.md；位置：行3313
2. 规则：BR-dc8e289f5b52b57d
3. 未动态验证
4. 数据别名：甲、乙、丙用于区分本条测试对象；按前置条件准备并记录实际账号或记录 ID，不是固定业务名称。</x:v>
      </x:c>
    </x:row>
    <x:row r="521" ht="70" customHeight="1">
      <x:c r="A521" s="10" t="n">
        <x:v>520</x:v>
      </x:c>
      <x:c r="B521" s="10" t="str">
        <x:v>ADMIN-10-0060</x:v>
      </x:c>
      <x:c r="C521" s="10" t="str">
        <x:v>数据分析</x:v>
      </x:c>
      <x:c r="D521" s="10" t="str">
        <x:v>月度收益支出汇总（平台管理员视角）</x:v>
      </x:c>
      <x:c r="E521" s="10" t="str">
        <x:v>逻辑校验</x:v>
      </x:c>
      <x:c r="F521" s="10" t="str">
        <x:v>P1</x:v>
      </x:c>
      <x:c r="G521" s="9" t="str">
        <x:v>验证月度收益支出汇总当月主播收益按当前对象求和</x:v>
      </x:c>
      <x:c r="H521" s="9" t="str">
        <x:v>当月主播收益计算范围</x:v>
      </x:c>
      <x:c r="I521" s="9" t="str">
        <x:v>1. 执行角色为平台管理员
2. 当前月普通赠礼主播收益100、定制200；无其他收益</x:v>
      </x:c>
      <x:c r="J521" s="9" t="str">
        <x:v>1. 进入月度收益支出汇总
2. 查看前置条件指定对象及范围的当月主播收益</x:v>
      </x:c>
      <x:c r="K521" s="9" t="str">
        <x:v>当月主播收益按100+200计算=300金币</x:v>
      </x:c>
      <x:c r="L521" s="10" t="str"/>
      <x:c r="M521" s="10" t="str">
        <x:v>未测</x:v>
      </x:c>
      <x:c r="N521" s="10" t="str"/>
      <x:c r="O521" s="9" t="str">
        <x:v>1. 来源（当前证据）：liveshow-proto/MainBasis/统一需求文档.md；位置：行3318
2. 规则：BR-d9f7b67fd3ebbccb
3. 未动态验证</x:v>
      </x:c>
    </x:row>
    <x:row r="522" ht="70" customHeight="1">
      <x:c r="A522" s="10" t="n">
        <x:v>521</x:v>
      </x:c>
      <x:c r="B522" s="10" t="str">
        <x:v>ADMIN-10-0061</x:v>
      </x:c>
      <x:c r="C522" s="10" t="str">
        <x:v>数据分析</x:v>
      </x:c>
      <x:c r="D522" s="10" t="str">
        <x:v>月度收益支出汇总（平台管理员视角）</x:v>
      </x:c>
      <x:c r="E522" s="10" t="str">
        <x:v>逻辑校验</x:v>
      </x:c>
      <x:c r="F522" s="10" t="str">
        <x:v>P1</x:v>
      </x:c>
      <x:c r="G522" s="9" t="str">
        <x:v>验证月度收益支出汇总累计充值按当前对象求和</x:v>
      </x:c>
      <x:c r="H522" s="9" t="str">
        <x:v>累计充值计算范围</x:v>
      </x:c>
      <x:c r="I522" s="9" t="str">
        <x:v>1. 执行角色为平台管理员
2. 当前月成功实付充值2USD、3USD；其他月份充值5USD排除</x:v>
      </x:c>
      <x:c r="J522" s="9" t="str">
        <x:v>1. 进入月度收益支出汇总
2. 查看前置条件指定对象及范围的累计充值</x:v>
      </x:c>
      <x:c r="K522" s="9" t="str">
        <x:v>累计充值按2+3计算=5USD</x:v>
      </x:c>
      <x:c r="L522" s="10" t="str"/>
      <x:c r="M522" s="10" t="str">
        <x:v>未测</x:v>
      </x:c>
      <x:c r="N522" s="10" t="str"/>
      <x:c r="O522" s="9" t="str">
        <x:v>1. 来源（当前证据）：liveshow-proto/MainBasis/统一需求文档.md；位置：行3319
2. 规则：BR-49f271e836859a0b
3. 未动态验证</x:v>
      </x:c>
    </x:row>
    <x:row r="523" ht="70" customHeight="1">
      <x:c r="A523" s="10" t="n">
        <x:v>522</x:v>
      </x:c>
      <x:c r="B523" s="10" t="str">
        <x:v>ADMIN-10-0062</x:v>
      </x:c>
      <x:c r="C523" s="10" t="str">
        <x:v>数据分析</x:v>
      </x:c>
      <x:c r="D523" s="10" t="str">
        <x:v>月度收益支出汇总（平台管理员视角）</x:v>
      </x:c>
      <x:c r="E523" s="10" t="str">
        <x:v>逻辑校验</x:v>
      </x:c>
      <x:c r="F523" s="10" t="str">
        <x:v>P1</x:v>
      </x:c>
      <x:c r="G523" s="9" t="str">
        <x:v>验证月度收益支出汇总累计退款按当前对象求和</x:v>
      </x:c>
      <x:c r="H523" s="9" t="str">
        <x:v>累计退款计算范围</x:v>
      </x:c>
      <x:c r="I523" s="9" t="str">
        <x:v>1. 执行角色为平台管理员
2. 当前月完成主动退款2USD、渠道退款3USD；其他月份退款5USD排除</x:v>
      </x:c>
      <x:c r="J523" s="9" t="str">
        <x:v>1. 进入月度收益支出汇总
2. 查看前置条件指定对象及范围的累计退款</x:v>
      </x:c>
      <x:c r="K523" s="9" t="str">
        <x:v>累计退款按2+3计算=5USD</x:v>
      </x:c>
      <x:c r="L523" s="10" t="str"/>
      <x:c r="M523" s="10" t="str">
        <x:v>未测</x:v>
      </x:c>
      <x:c r="N523" s="10" t="str"/>
      <x:c r="O523" s="9" t="str">
        <x:v>1. 来源（当前证据）：liveshow-proto/MainBasis/统一需求文档.md；位置：行3320
2. 规则：BR-473d7370142f38c6
3. 未动态验证</x:v>
      </x:c>
    </x:row>
    <x:row r="524" ht="70" customHeight="1">
      <x:c r="A524" s="10" t="n">
        <x:v>523</x:v>
      </x:c>
      <x:c r="B524" s="10" t="str">
        <x:v>ADMIN-10-0063</x:v>
      </x:c>
      <x:c r="C524" s="10" t="str">
        <x:v>数据分析</x:v>
      </x:c>
      <x:c r="D524" s="10" t="str">
        <x:v>月度收益支出汇总（平台管理员视角）</x:v>
      </x:c>
      <x:c r="E524" s="10" t="str">
        <x:v>业务流程</x:v>
      </x:c>
      <x:c r="F524" s="10" t="str">
        <x:v>P1</x:v>
      </x:c>
      <x:c r="G524" s="9" t="str">
        <x:v>验证月度汇总显示全部月份</x:v>
      </x:c>
      <x:c r="H524" s="9" t="str">
        <x:v>月度历史覆盖</x:v>
      </x:c>
      <x:c r="I524" s="9" t="str">
        <x:v>1. 执行角色为平台管理员
2. 系统有7月8月9月的汇总数据</x:v>
      </x:c>
      <x:c r="J524" s="9" t="str">
        <x:v>1. 进入月度收益支出汇总</x:v>
      </x:c>
      <x:c r="K524" s="9" t="str">
        <x:v>列表包含7月8月9月</x:v>
      </x:c>
      <x:c r="L524" s="10" t="str"/>
      <x:c r="M524" s="10" t="str">
        <x:v>未测</x:v>
      </x:c>
      <x:c r="N524" s="10" t="str"/>
      <x:c r="O524" s="9" t="str">
        <x:v>1. 来源（当前证据）：liveshow-proto/MainBasis/统一需求文档.md；位置：行3322
2. 规则：BR-3867fae5c9df5453
3. 未动态验证</x:v>
      </x:c>
    </x:row>
    <x:row r="525" ht="70" customHeight="1">
      <x:c r="A525" s="10" t="n">
        <x:v>524</x:v>
      </x:c>
      <x:c r="B525" s="10" t="str">
        <x:v>ADMIN-10-0064</x:v>
      </x:c>
      <x:c r="C525" s="10" t="str">
        <x:v>数据分析</x:v>
      </x:c>
      <x:c r="D525" s="10" t="str">
        <x:v>主播业绩分成报表（平台管理员视角）</x:v>
      </x:c>
      <x:c r="E525" s="10" t="str">
        <x:v>逻辑校验</x:v>
      </x:c>
      <x:c r="F525" s="10" t="str">
        <x:v>P1</x:v>
      </x:c>
      <x:c r="G525" s="9" t="str">
        <x:v>验证统计天数同时包含首尾日期</x:v>
      </x:c>
      <x:c r="H525" s="9" t="str">
        <x:v>主播统计日数</x:v>
      </x:c>
      <x:c r="I525" s="9" t="str">
        <x:v>1. 执行角色为平台管理员
2. 查询区间9月1日至9月3日</x:v>
      </x:c>
      <x:c r="J525" s="9" t="str">
        <x:v>1. 进入主播业绩分成报表
2. 填写该区间
3. 点击查询</x:v>
      </x:c>
      <x:c r="K525" s="9" t="str">
        <x:v>主播统计日数按3-1+1计算=3天</x:v>
      </x:c>
      <x:c r="L525" s="10" t="str"/>
      <x:c r="M525" s="10" t="str">
        <x:v>未测</x:v>
      </x:c>
      <x:c r="N525" s="10" t="str"/>
      <x:c r="O525" s="9" t="str">
        <x:v>1. 来源（当前证据）：liveshow-proto/MainBasis/统一需求文档.md；位置：行3327
2. 规则：BR-f188c449c7f57900
3. 未动态验证</x:v>
      </x:c>
    </x:row>
    <x:row r="526" ht="70" customHeight="1">
      <x:c r="A526" s="10" t="n">
        <x:v>525</x:v>
      </x:c>
      <x:c r="B526" s="10" t="str">
        <x:v>ADMIN-10-0065</x:v>
      </x:c>
      <x:c r="C526" s="10" t="str">
        <x:v>数据分析</x:v>
      </x:c>
      <x:c r="D526" s="10" t="str">
        <x:v>主播业绩分成报表（平台管理员视角）</x:v>
      </x:c>
      <x:c r="E526" s="10" t="str">
        <x:v>功能需求</x:v>
      </x:c>
      <x:c r="F526" s="10" t="str">
        <x:v>P2</x:v>
      </x:c>
      <x:c r="G526" s="9" t="str">
        <x:v>验证主播业绩分成报表达标天数按业务对象去重</x:v>
      </x:c>
      <x:c r="H526" s="9" t="str">
        <x:v>达标天数去重范围</x:v>
      </x:c>
      <x:c r="I526" s="9" t="str">
        <x:v>1. 执行角色为平台管理员
2. 当前主播三日累计有效时长分别180、179、181分钟，均无跨日</x:v>
      </x:c>
      <x:c r="J526" s="9" t="str">
        <x:v>1. 进入主播业绩分成报表
2. 查看准备范围的达标天数</x:v>
      </x:c>
      <x:c r="K526" s="9" t="str">
        <x:v>达标天数为2天</x:v>
      </x:c>
      <x:c r="L526" s="10" t="str"/>
      <x:c r="M526" s="10" t="str">
        <x:v>未测</x:v>
      </x:c>
      <x:c r="N526" s="10" t="str"/>
      <x:c r="O526" s="9" t="str">
        <x:v>1. 来源（当前证据）：liveshow-proto/MainBasis/统一需求文档.md；位置：行3328
2. 规则：BR-abe423c67117e266
3. 未动态验证</x:v>
      </x:c>
    </x:row>
    <x:row r="527" ht="115" customHeight="1">
      <x:c r="A527" s="10" t="n">
        <x:v>526</x:v>
      </x:c>
      <x:c r="B527" s="10" t="str">
        <x:v>ADMIN-10-0066</x:v>
      </x:c>
      <x:c r="C527" s="10" t="str">
        <x:v>数据分析</x:v>
      </x:c>
      <x:c r="D527" s="10" t="str">
        <x:v>主播业绩分成报表（平台管理员视角）</x:v>
      </x:c>
      <x:c r="E527" s="10" t="str">
        <x:v>逻辑校验</x:v>
      </x:c>
      <x:c r="F527" s="10" t="str">
        <x:v>P1</x:v>
      </x:c>
      <x:c r="G527" s="9" t="str">
        <x:v>验证主播业绩分成报表直播场次按当前对象求和</x:v>
      </x:c>
      <x:c r="H527" s="9" t="str">
        <x:v>直播场次计算范围</x:v>
      </x:c>
      <x:c r="I527" s="9" t="str">
        <x:v>1. 执行角色为平台管理员
2. 当前范围主播甲成功开播2场、乙3场；失败开播不形成场次</x:v>
      </x:c>
      <x:c r="J527" s="9" t="str">
        <x:v>1. 进入主播业绩分成报表
2. 查看前置条件指定对象及范围的直播场次</x:v>
      </x:c>
      <x:c r="K527" s="9" t="str">
        <x:v>直播场次按2+3计算=5场</x:v>
      </x:c>
      <x:c r="L527" s="10" t="str"/>
      <x:c r="M527" s="10" t="str">
        <x:v>未测</x:v>
      </x:c>
      <x:c r="N527" s="10" t="str"/>
      <x:c r="O527" s="9" t="str">
        <x:v>1. 来源（当前证据）：liveshow-proto/MainBasis/统一需求文档.md；位置：行3329
2. 规则：BR-1ffe0aa119c78094
3. 未动态验证
4. 数据别名：甲、乙、丙用于区分本条测试对象；按前置条件准备并记录实际账号或记录 ID，不是固定业务名称。</x:v>
      </x:c>
    </x:row>
    <x:row r="528" ht="70" customHeight="1">
      <x:c r="A528" s="10" t="n">
        <x:v>527</x:v>
      </x:c>
      <x:c r="B528" s="10" t="str">
        <x:v>ADMIN-10-0067</x:v>
      </x:c>
      <x:c r="C528" s="10" t="str">
        <x:v>数据分析</x:v>
      </x:c>
      <x:c r="D528" s="10" t="str">
        <x:v>主播业绩分成报表（平台管理员视角）</x:v>
      </x:c>
      <x:c r="E528" s="10" t="str">
        <x:v>逻辑校验</x:v>
      </x:c>
      <x:c r="F528" s="10" t="str">
        <x:v>P1</x:v>
      </x:c>
      <x:c r="G528" s="9" t="str">
        <x:v>验证主播收益汇总四种类型</x:v>
      </x:c>
      <x:c r="H528" s="9" t="str">
        <x:v>主播业绩总收益</x:v>
      </x:c>
      <x:c r="I528" s="9" t="str">
        <x:v>1. 执行角色为平台管理员
2. 普通100，定制200，幸运价值1000比例1%，门票300，另有虚拟500排除</x:v>
      </x:c>
      <x:c r="J528" s="9" t="str">
        <x:v>1. 进入主播业绩分成报表
2. 查询该主播和周期</x:v>
      </x:c>
      <x:c r="K528" s="9" t="str">
        <x:v>主播业绩总收益按100+200+1000×1%+300计算=610金币</x:v>
      </x:c>
      <x:c r="L528" s="10" t="str"/>
      <x:c r="M528" s="10" t="str">
        <x:v>未测</x:v>
      </x:c>
      <x:c r="N528" s="10" t="str"/>
      <x:c r="O528" s="9" t="str">
        <x:v>1. 来源（当前证据）：liveshow-proto/MainBasis/统一需求文档.md；位置：行3332
2. 规则：BR-f467f1c36944fb02
3. 未动态验证</x:v>
      </x:c>
    </x:row>
    <x:row r="529" ht="115" customHeight="1">
      <x:c r="A529" s="10" t="n">
        <x:v>528</x:v>
      </x:c>
      <x:c r="B529" s="10" t="str">
        <x:v>ADMIN-10-0068</x:v>
      </x:c>
      <x:c r="C529" s="10" t="str">
        <x:v>数据分析</x:v>
      </x:c>
      <x:c r="D529" s="10" t="str">
        <x:v>主播业绩分成报表（平台管理员视角）</x:v>
      </x:c>
      <x:c r="E529" s="10" t="str">
        <x:v>业务流程</x:v>
      </x:c>
      <x:c r="F529" s="10" t="str">
        <x:v>P1</x:v>
      </x:c>
      <x:c r="G529" s="9" t="str">
        <x:v>验证主播业绩报表不计算最终分成</x:v>
      </x:c>
      <x:c r="H529" s="9" t="str">
        <x:v>主播业绩与财务边界</x:v>
      </x:c>
      <x:c r="I529" s="9" t="str">
        <x:v>1. 执行角色为平台管理员
2. 主播甲存在业绩记录</x:v>
      </x:c>
      <x:c r="J529" s="9" t="str">
        <x:v>1. 进入主播业绩分成报表
2. 查询甲</x:v>
      </x:c>
      <x:c r="K529" s="9" t="str">
        <x:v>不提供最终分成比例计算或审批</x:v>
      </x:c>
      <x:c r="L529" s="10" t="str"/>
      <x:c r="M529" s="10" t="str">
        <x:v>未测</x:v>
      </x:c>
      <x:c r="N529" s="10" t="str"/>
      <x:c r="O529" s="9" t="str">
        <x:v>1. 来源（当前证据）：liveshow-proto/MainBasis/统一需求文档.md；位置：行3333
2. 规则：BR-146cc2c15fc538da
3. 未动态验证
4. 数据别名：甲、乙、丙用于区分本条测试对象；按前置条件准备并记录实际账号或记录 ID，不是固定业务名称。</x:v>
      </x:c>
    </x:row>
    <x:row r="530" ht="115" customHeight="1">
      <x:c r="A530" s="10" t="n">
        <x:v>529</x:v>
      </x:c>
      <x:c r="B530" s="10" t="str">
        <x:v>ADMIN-10-0069</x:v>
      </x:c>
      <x:c r="C530" s="10" t="str">
        <x:v>数据分析</x:v>
      </x:c>
      <x:c r="D530" s="10" t="str">
        <x:v>主播业绩分成报表（平台管理员视角）</x:v>
      </x:c>
      <x:c r="E530" s="10" t="str">
        <x:v>功能需求</x:v>
      </x:c>
      <x:c r="F530" s="10" t="str">
        <x:v>P2</x:v>
      </x:c>
      <x:c r="G530" s="9" t="str">
        <x:v>验证主播业绩分成报表导出保留当前查询范围</x:v>
      </x:c>
      <x:c r="H530" s="9" t="str">
        <x:v>主播业绩分成报表导出范围</x:v>
      </x:c>
      <x:c r="I530" s="9" t="str">
        <x:v>1. 执行角色为平台管理员
2. 有当前报表查询及导出权限；当前筛选返回记录甲乙，记录丙被当前筛选排除</x:v>
      </x:c>
      <x:c r="J530" s="9" t="str">
        <x:v>1. 进入主播业绩分成报表
2. 点击导出
3. 打开本次导出文件</x:v>
      </x:c>
      <x:c r="K530" s="9" t="str">
        <x:v>导出数据集合为记录甲乙</x:v>
      </x:c>
      <x:c r="L530" s="10" t="str"/>
      <x:c r="M530" s="10" t="str">
        <x:v>未测</x:v>
      </x:c>
      <x:c r="N530" s="10" t="str"/>
      <x:c r="O530" s="9" t="str">
        <x:v>1. 来源（当前证据）：liveshow-proto/MainBasis/统一需求文档.md；位置：行3334
2. 规则：BR-76eb8350f1eb8d18
3. 未动态验证
4. 数据别名：甲、乙、丙用于区分本条测试对象；按前置条件准备并记录实际账号或记录 ID，不是固定业务名称。</x:v>
      </x:c>
    </x:row>
    <x:row r="531" ht="115" customHeight="1">
      <x:c r="A531" s="10" t="n">
        <x:v>530</x:v>
      </x:c>
      <x:c r="B531" s="10" t="str">
        <x:v>ADMIN-10-0070</x:v>
      </x:c>
      <x:c r="C531" s="10" t="str">
        <x:v>数据分析</x:v>
      </x:c>
      <x:c r="D531" s="10" t="str">
        <x:v>主播业绩分成报表（平台管理员视角）</x:v>
      </x:c>
      <x:c r="E531" s="10" t="str">
        <x:v>功能需求</x:v>
      </x:c>
      <x:c r="F531" s="10" t="str">
        <x:v>P2</x:v>
      </x:c>
      <x:c r="G531" s="9" t="str">
        <x:v>验证主播业绩按公会聚合</x:v>
      </x:c>
      <x:c r="H531" s="9" t="str">
        <x:v>主播业绩聚合对象</x:v>
      </x:c>
      <x:c r="I531" s="9" t="str">
        <x:v>1. 执行角色为平台管理员
2. 当前报表按公会聚合；所选范围公会甲两个主播收益100和200，公会乙主播收益500</x:v>
      </x:c>
      <x:c r="J531" s="9" t="str">
        <x:v>1. 进入主播业绩分成报表
2. 点击查询</x:v>
      </x:c>
      <x:c r="K531" s="9" t="str">
        <x:v>公会甲收益为300金币</x:v>
      </x:c>
      <x:c r="L531" s="10" t="str"/>
      <x:c r="M531" s="10" t="str">
        <x:v>未测</x:v>
      </x:c>
      <x:c r="N531" s="10" t="str"/>
      <x:c r="O531" s="9" t="str">
        <x:v>1. 来源（当前证据）：liveshow-proto/MainBasis/统一需求文档.md；位置：行3334
2. 规则：BR-ef783c9593fe1c2e
3. 未动态验证
4. 数据别名：甲、乙、丙用于区分本条测试对象；按前置条件准备并记录实际账号或记录 ID，不是固定业务名称。</x:v>
      </x:c>
    </x:row>
    <x:row r="532" ht="70" customHeight="1">
      <x:c r="A532" s="10" t="n">
        <x:v>531</x:v>
      </x:c>
      <x:c r="B532" s="10" t="str">
        <x:v>ADMIN-10-0071</x:v>
      </x:c>
      <x:c r="C532" s="10" t="str">
        <x:v>数据分析</x:v>
      </x:c>
      <x:c r="D532" s="10" t="str">
        <x:v>主播礼物打赏明细报表（平台管理员视角）</x:v>
      </x:c>
      <x:c r="E532" s="10" t="str">
        <x:v>功能需求</x:v>
      </x:c>
      <x:c r="F532" s="10" t="str">
        <x:v>P2</x:v>
      </x:c>
      <x:c r="G532" s="9" t="str">
        <x:v>验证主播礼物打赏明细报表读取单价</x:v>
      </x:c>
      <x:c r="H532" s="9" t="str">
        <x:v>单价回显</x:v>
      </x:c>
      <x:c r="I532" s="9" t="str">
        <x:v>1. 执行角色为平台管理员
2. 该笔成功赠送的价格快照的单价为“100”</x:v>
      </x:c>
      <x:c r="J532" s="9" t="str">
        <x:v>1. 进入主播礼物打赏明细报表
2. 查看单价</x:v>
      </x:c>
      <x:c r="K532" s="9" t="str">
        <x:v>单价显示“100”</x:v>
      </x:c>
      <x:c r="L532" s="10" t="str"/>
      <x:c r="M532" s="10" t="str">
        <x:v>未测</x:v>
      </x:c>
      <x:c r="N532" s="10" t="str"/>
      <x:c r="O532" s="9" t="str">
        <x:v>1. 来源（当前证据）：liveshow-proto/MainBasis/统一需求文档.md；位置：行3339
2. 规则：BR-87191382e35ed22a
3. 未动态验证</x:v>
      </x:c>
    </x:row>
    <x:row r="533" ht="70" customHeight="1">
      <x:c r="A533" s="10" t="n">
        <x:v>532</x:v>
      </x:c>
      <x:c r="B533" s="10" t="str">
        <x:v>ADMIN-10-0072</x:v>
      </x:c>
      <x:c r="C533" s="10" t="str">
        <x:v>数据分析</x:v>
      </x:c>
      <x:c r="D533" s="10" t="str">
        <x:v>主播礼物打赏明细报表（平台管理员视角）</x:v>
      </x:c>
      <x:c r="E533" s="10" t="str">
        <x:v>逻辑校验</x:v>
      </x:c>
      <x:c r="F533" s="10" t="str">
        <x:v>P1</x:v>
      </x:c>
      <x:c r="G533" s="9" t="str">
        <x:v>验证幸运打赏明细按当时比例计算</x:v>
      </x:c>
      <x:c r="H533" s="9" t="str">
        <x:v>主播幸运打赏明细</x:v>
      </x:c>
      <x:c r="I533" s="9" t="str">
        <x:v>1. 执行角色为平台管理员
2. 礼物单价10，成功100份，赠送时比例2%，当前比例1%</x:v>
      </x:c>
      <x:c r="J533" s="9" t="str">
        <x:v>1. 进入主播礼物打赏明细报表
2. 查询该礼物</x:v>
      </x:c>
      <x:c r="K533" s="9" t="str">
        <x:v>主播幸运打赏明细按10×100×2%计算=20金币</x:v>
      </x:c>
      <x:c r="L533" s="10" t="str"/>
      <x:c r="M533" s="10" t="str">
        <x:v>未测</x:v>
      </x:c>
      <x:c r="N533" s="10" t="str"/>
      <x:c r="O533" s="9" t="str">
        <x:v>1. 来源（当前证据）：liveshow-proto/MainBasis/统一需求文档.md；位置：行3341
2. 规则：BR-a08c6d4daf506c44
3. 未动态验证</x:v>
      </x:c>
    </x:row>
    <x:row r="534" ht="115" customHeight="1">
      <x:c r="A534" s="10" t="n">
        <x:v>533</x:v>
      </x:c>
      <x:c r="B534" s="10" t="str">
        <x:v>ADMIN-10-0073</x:v>
      </x:c>
      <x:c r="C534" s="10" t="str">
        <x:v>数据分析</x:v>
      </x:c>
      <x:c r="D534" s="10" t="str">
        <x:v>主播礼物打赏明细报表（平台管理员视角）</x:v>
      </x:c>
      <x:c r="E534" s="10" t="str">
        <x:v>业务流程</x:v>
      </x:c>
      <x:c r="F534" s="10" t="str">
        <x:v>P1</x:v>
      </x:c>
      <x:c r="G534" s="9" t="str">
        <x:v>验证主播礼物打赏报表排除虚拟金币</x:v>
      </x:c>
      <x:c r="H534" s="9" t="str">
        <x:v>打赏报表真实收益范围</x:v>
      </x:c>
      <x:c r="I534" s="9" t="str">
        <x:v>1. 执行角色为平台管理员
2. 甲有真实普通礼物100和虚拟普通礼物500</x:v>
      </x:c>
      <x:c r="J534" s="9" t="str">
        <x:v>1. 进入主播礼物打赏明细报表
2. 查询甲</x:v>
      </x:c>
      <x:c r="K534" s="9" t="str">
        <x:v>报表不包含500虚拟金币记录</x:v>
      </x:c>
      <x:c r="L534" s="10" t="str"/>
      <x:c r="M534" s="10" t="str">
        <x:v>未测</x:v>
      </x:c>
      <x:c r="N534" s="10" t="str"/>
      <x:c r="O534" s="9" t="str">
        <x:v>1. 来源（当前证据）：liveshow-proto/MainBasis/统一需求文档.md；位置：行3342
2. 规则：BR-22a00c6e00cb09af
3. 未动态验证
4. 数据别名：甲、乙、丙用于区分本条测试对象；按前置条件准备并记录实际账号或记录 ID，不是固定业务名称。</x:v>
      </x:c>
    </x:row>
    <x:row r="535" ht="115" customHeight="1">
      <x:c r="A535" s="10" t="n">
        <x:v>534</x:v>
      </x:c>
      <x:c r="B535" s="10" t="str">
        <x:v>ADMIN-10-0074</x:v>
      </x:c>
      <x:c r="C535" s="10" t="str">
        <x:v>数据分析</x:v>
      </x:c>
      <x:c r="D535" s="10" t="str">
        <x:v>主播礼物打赏明细报表（平台管理员视角）</x:v>
      </x:c>
      <x:c r="E535" s="10" t="str">
        <x:v>功能需求</x:v>
      </x:c>
      <x:c r="F535" s="10" t="str">
        <x:v>P2</x:v>
      </x:c>
      <x:c r="G535" s="9" t="str">
        <x:v>验证主播礼物打赏明细报表导出保留当前查询范围</x:v>
      </x:c>
      <x:c r="H535" s="9" t="str">
        <x:v>主播礼物打赏明细报表导出范围</x:v>
      </x:c>
      <x:c r="I535" s="9" t="str">
        <x:v>1. 执行角色为平台管理员
2. 有当前报表查询及导出权限；当前筛选返回记录甲乙，记录丙被当前筛选排除</x:v>
      </x:c>
      <x:c r="J535" s="9" t="str">
        <x:v>1. 进入主播礼物打赏明细报表
2. 点击导出
3. 打开本次导出文件</x:v>
      </x:c>
      <x:c r="K535" s="9" t="str">
        <x:v>导出数据集合为记录甲乙</x:v>
      </x:c>
      <x:c r="L535" s="10" t="str"/>
      <x:c r="M535" s="10" t="str">
        <x:v>未测</x:v>
      </x:c>
      <x:c r="N535" s="10" t="str"/>
      <x:c r="O535" s="9" t="str">
        <x:v>1. 来源（当前证据）：liveshow-proto/MainBasis/统一需求文档.md；位置：行3343
2. 规则：BR-eb6e521cb7e85198
3. 未动态验证
4. 数据别名：甲、乙、丙用于区分本条测试对象；按前置条件准备并记录实际账号或记录 ID，不是固定业务名称。</x:v>
      </x:c>
    </x:row>
    <x:row r="536" ht="70" customHeight="1">
      <x:c r="A536" s="10" t="n">
        <x:v>535</x:v>
      </x:c>
      <x:c r="B536" s="10" t="str">
        <x:v>ADMIN-10-0075</x:v>
      </x:c>
      <x:c r="C536" s="10" t="str">
        <x:v>数据分析</x:v>
      </x:c>
      <x:c r="D536" s="10" t="str">
        <x:v>主播礼物打赏明细报表（平台管理员视角）</x:v>
      </x:c>
      <x:c r="E536" s="10" t="str">
        <x:v>功能需求</x:v>
      </x:c>
      <x:c r="F536" s="10" t="str">
        <x:v>P2</x:v>
      </x:c>
      <x:c r="G536" s="9" t="str">
        <x:v>验证主播打赏按礼物聚合</x:v>
      </x:c>
      <x:c r="H536" s="9" t="str">
        <x:v>主播礼物聚合对象</x:v>
      </x:c>
      <x:c r="I536" s="9" t="str">
        <x:v>1. 执行角色为平台管理员
2. 所选主播同一礼物两笔真实成功赠送3件和5件；另一礼物2件</x:v>
      </x:c>
      <x:c r="J536" s="9" t="str">
        <x:v>1. 进入主播礼物打赏明细报表
2. 点击查询</x:v>
      </x:c>
      <x:c r="K536" s="9" t="str">
        <x:v>前一礼物成功份数合计8份</x:v>
      </x:c>
      <x:c r="L536" s="10" t="str"/>
      <x:c r="M536" s="10" t="str">
        <x:v>未测</x:v>
      </x:c>
      <x:c r="N536" s="10" t="str"/>
      <x:c r="O536" s="9" t="str">
        <x:v>1. 来源（当前证据）：liveshow-proto/MainBasis/统一需求文档.md；位置：行3343
2. 规则：BR-11c57a576fdc6ccd
3. 未动态验证</x:v>
      </x:c>
    </x:row>
    <x:row r="537" ht="70" customHeight="1">
      <x:c r="A537" s="10" t="n">
        <x:v>536</x:v>
      </x:c>
      <x:c r="B537" s="10" t="str">
        <x:v>ADMIN-10-0076</x:v>
      </x:c>
      <x:c r="C537" s="10" t="str">
        <x:v>数据分析</x:v>
      </x:c>
      <x:c r="D537" s="10" t="str">
        <x:v>用户消费汇总报表（平台管理员视角）</x:v>
      </x:c>
      <x:c r="E537" s="10" t="str">
        <x:v>逻辑校验</x:v>
      </x:c>
      <x:c r="F537" s="10" t="str">
        <x:v>P1</x:v>
      </x:c>
      <x:c r="G537" s="9" t="str">
        <x:v>验证用户累计消费使用幸运净消耗</x:v>
      </x:c>
      <x:c r="H537" s="9" t="str">
        <x:v>用户总净消费</x:v>
      </x:c>
      <x:c r="I537" s="9" t="str">
        <x:v>1. 执行角色为平台管理员
2. 普通100，定制200，门票300，幸运扣减1000返奖500</x:v>
      </x:c>
      <x:c r="J537" s="9" t="str">
        <x:v>1. 进入用户消费汇总报表
2. 查询该用户</x:v>
      </x:c>
      <x:c r="K537" s="9" t="str">
        <x:v>用户总净消费按100+200+300+1000-500计算=1100金币</x:v>
      </x:c>
      <x:c r="L537" s="10" t="str"/>
      <x:c r="M537" s="10" t="str">
        <x:v>未测</x:v>
      </x:c>
      <x:c r="N537" s="10" t="str"/>
      <x:c r="O537" s="9" t="str">
        <x:v>1. 来源（当前证据）：liveshow-proto/MainBasis/统一需求文档.md；位置：行3350
2. 规则：BR-7e5c29af9e13dcd3
3. 未动态验证</x:v>
      </x:c>
    </x:row>
    <x:row r="538" ht="115" customHeight="1">
      <x:c r="A538" s="10" t="n">
        <x:v>537</x:v>
      </x:c>
      <x:c r="B538" s="10" t="str">
        <x:v>ADMIN-10-0077</x:v>
      </x:c>
      <x:c r="C538" s="10" t="str">
        <x:v>数据分析</x:v>
      </x:c>
      <x:c r="D538" s="10" t="str">
        <x:v>用户消费汇总报表（平台管理员视角）</x:v>
      </x:c>
      <x:c r="E538" s="10" t="str">
        <x:v>业务流程</x:v>
      </x:c>
      <x:c r="F538" s="10" t="str">
        <x:v>P1</x:v>
      </x:c>
      <x:c r="G538" s="9" t="str">
        <x:v>验证用户消费汇总不回滚已完消费</x:v>
      </x:c>
      <x:c r="H538" s="9" t="str">
        <x:v>消费汇总退款边界</x:v>
      </x:c>
      <x:c r="I538" s="9" t="str">
        <x:v>1. 执行角色为平台管理员
2. 甲成功消费100金币后原充值全额退款；无其他消费</x:v>
      </x:c>
      <x:c r="J538" s="9" t="str">
        <x:v>1. 进入用户消费汇总报表
2. 查询甲</x:v>
      </x:c>
      <x:c r="K538" s="9" t="str">
        <x:v>累计消费仍为100金币</x:v>
      </x:c>
      <x:c r="L538" s="10" t="str"/>
      <x:c r="M538" s="10" t="str">
        <x:v>未测</x:v>
      </x:c>
      <x:c r="N538" s="10" t="str"/>
      <x:c r="O538" s="9" t="str">
        <x:v>1. 来源（当前证据）：liveshow-proto/MainBasis/统一需求文档.md；位置：行3351
2. 规则：BR-19573bfd49ce183a
3. 未动态验证
4. 数据别名：甲、乙、丙用于区分本条测试对象；按前置条件准备并记录实际账号或记录 ID，不是固定业务名称。</x:v>
      </x:c>
    </x:row>
    <x:row r="539" ht="115" customHeight="1">
      <x:c r="A539" s="10" t="n">
        <x:v>538</x:v>
      </x:c>
      <x:c r="B539" s="10" t="str">
        <x:v>ADMIN-10-0078</x:v>
      </x:c>
      <x:c r="C539" s="10" t="str">
        <x:v>数据分析</x:v>
      </x:c>
      <x:c r="D539" s="10" t="str">
        <x:v>用户消费汇总报表（平台管理员视角）</x:v>
      </x:c>
      <x:c r="E539" s="10" t="str">
        <x:v>功能需求</x:v>
      </x:c>
      <x:c r="F539" s="10" t="str">
        <x:v>P2</x:v>
      </x:c>
      <x:c r="G539" s="9" t="str">
        <x:v>验证用户消费汇总报表导出保留当前查询范围</x:v>
      </x:c>
      <x:c r="H539" s="9" t="str">
        <x:v>用户消费汇总报表导出范围</x:v>
      </x:c>
      <x:c r="I539" s="9" t="str">
        <x:v>1. 执行角色为平台管理员
2. 有当前报表查询及导出权限；当前筛选返回记录甲乙，记录丙被当前筛选排除</x:v>
      </x:c>
      <x:c r="J539" s="9" t="str">
        <x:v>1. 进入用户消费汇总报表
2. 点击导出
3. 打开本次导出文件</x:v>
      </x:c>
      <x:c r="K539" s="9" t="str">
        <x:v>导出数据集合为记录甲乙</x:v>
      </x:c>
      <x:c r="L539" s="10" t="str"/>
      <x:c r="M539" s="10" t="str">
        <x:v>未测</x:v>
      </x:c>
      <x:c r="N539" s="10" t="str"/>
      <x:c r="O539" s="9" t="str">
        <x:v>1. 来源（当前证据）：liveshow-proto/MainBasis/统一需求文档.md；位置：行3352
2. 规则：BR-66ec8d2805a273c3
3. 未动态验证
4. 数据别名：甲、乙、丙用于区分本条测试对象；按前置条件准备并记录实际账号或记录 ID，不是固定业务名称。</x:v>
      </x:c>
    </x:row>
    <x:row r="540" ht="115" customHeight="1">
      <x:c r="A540" s="10" t="n">
        <x:v>539</x:v>
      </x:c>
      <x:c r="B540" s="10" t="str">
        <x:v>ADMIN-10-0079</x:v>
      </x:c>
      <x:c r="C540" s="10" t="str">
        <x:v>数据分析</x:v>
      </x:c>
      <x:c r="D540" s="10" t="str">
        <x:v>用户消费汇总报表（平台管理员视角）</x:v>
      </x:c>
      <x:c r="E540" s="10" t="str">
        <x:v>功能需求</x:v>
      </x:c>
      <x:c r="F540" s="10" t="str">
        <x:v>P2</x:v>
      </x:c>
      <x:c r="G540" s="9" t="str">
        <x:v>验证用户消费按日期和用户聚合</x:v>
      </x:c>
      <x:c r="H540" s="9" t="str">
        <x:v>消费聚合对象</x:v>
      </x:c>
      <x:c r="I540" s="9" t="str">
        <x:v>1. 执行角色为平台管理员
2. 用户甲9月1日两笔普通消费100和200，用户乙当日500，甲9月2日700</x:v>
      </x:c>
      <x:c r="J540" s="9" t="str">
        <x:v>1. 进入用户消费汇总报表
2. 点击查询</x:v>
      </x:c>
      <x:c r="K540" s="9" t="str">
        <x:v>用户甲9月1日累计消费300金币</x:v>
      </x:c>
      <x:c r="L540" s="10" t="str"/>
      <x:c r="M540" s="10" t="str">
        <x:v>未测</x:v>
      </x:c>
      <x:c r="N540" s="10" t="str"/>
      <x:c r="O540" s="9" t="str">
        <x:v>1. 来源（当前证据）：liveshow-proto/MainBasis/统一需求文档.md；位置：行3352
2. 规则：BR-5c2ce4ed3ec08650
3. 未动态验证
4. 数据别名：甲、乙、丙用于区分本条测试对象；按前置条件准备并记录实际账号或记录 ID，不是固定业务名称。</x:v>
      </x:c>
    </x:row>
    <x:row r="541" ht="70" customHeight="1">
      <x:c r="A541" s="10" t="n">
        <x:v>540</x:v>
      </x:c>
      <x:c r="B541" s="10" t="str">
        <x:v>ADMIN-10-0080</x:v>
      </x:c>
      <x:c r="C541" s="10" t="str">
        <x:v>数据分析</x:v>
      </x:c>
      <x:c r="D541" s="10" t="str">
        <x:v>礼物消费汇总报表（平台管理员视角）</x:v>
      </x:c>
      <x:c r="E541" s="10" t="str">
        <x:v>功能需求</x:v>
      </x:c>
      <x:c r="F541" s="10" t="str">
        <x:v>P2</x:v>
      </x:c>
      <x:c r="G541" s="9" t="str">
        <x:v>验证礼物消费汇总报表读取单价</x:v>
      </x:c>
      <x:c r="H541" s="9" t="str">
        <x:v>单价回显</x:v>
      </x:c>
      <x:c r="I541" s="9" t="str">
        <x:v>1. 执行角色为平台管理员
2. 该商品赠送时快照的单价为“100”</x:v>
      </x:c>
      <x:c r="J541" s="9" t="str">
        <x:v>1. 进入礼物消费汇总报表
2. 查看单价</x:v>
      </x:c>
      <x:c r="K541" s="9" t="str">
        <x:v>单价显示“100”</x:v>
      </x:c>
      <x:c r="L541" s="10" t="str"/>
      <x:c r="M541" s="10" t="str">
        <x:v>未测</x:v>
      </x:c>
      <x:c r="N541" s="10" t="str"/>
      <x:c r="O541" s="9" t="str">
        <x:v>1. 来源（当前证据）：liveshow-proto/MainBasis/统一需求文档.md；位置：行3357
2. 规则：BR-7222796360123909
3. 未动态验证</x:v>
      </x:c>
    </x:row>
    <x:row r="542" ht="70" customHeight="1">
      <x:c r="A542" s="10" t="n">
        <x:v>541</x:v>
      </x:c>
      <x:c r="B542" s="10" t="str">
        <x:v>ADMIN-10-0081</x:v>
      </x:c>
      <x:c r="C542" s="10" t="str">
        <x:v>数据分析</x:v>
      </x:c>
      <x:c r="D542" s="10" t="str">
        <x:v>礼物消费汇总报表（平台管理员视角）</x:v>
      </x:c>
      <x:c r="E542" s="10" t="str">
        <x:v>逻辑校验</x:v>
      </x:c>
      <x:c r="F542" s="10" t="str">
        <x:v>P1</x:v>
      </x:c>
      <x:c r="G542" s="9" t="str">
        <x:v>验证礼物消费汇总报表销量按当前对象求和</x:v>
      </x:c>
      <x:c r="H542" s="9" t="str">
        <x:v>销量计算范围</x:v>
      </x:c>
      <x:c r="I542" s="9" t="str">
        <x:v>1. 执行角色为平台管理员
2. 所选礼物当前范围两笔成功赠送3件、5件；失败赠送2件不计</x:v>
      </x:c>
      <x:c r="J542" s="9" t="str">
        <x:v>1. 进入礼物消费汇总报表
2. 查看前置条件指定对象及范围的销量</x:v>
      </x:c>
      <x:c r="K542" s="9" t="str">
        <x:v>销量按3+5计算=8件</x:v>
      </x:c>
      <x:c r="L542" s="10" t="str"/>
      <x:c r="M542" s="10" t="str">
        <x:v>未测</x:v>
      </x:c>
      <x:c r="N542" s="10" t="str"/>
      <x:c r="O542" s="9" t="str">
        <x:v>1. 来源（当前证据）：liveshow-proto/MainBasis/统一需求文档.md；位置：行3358
2. 规则：BR-0f1e223418a5f5be
3. 未动态验证</x:v>
      </x:c>
    </x:row>
    <x:row r="543" ht="70" customHeight="1">
      <x:c r="A543" s="10" t="n">
        <x:v>542</x:v>
      </x:c>
      <x:c r="B543" s="10" t="str">
        <x:v>ADMIN-10-0082</x:v>
      </x:c>
      <x:c r="C543" s="10" t="str">
        <x:v>数据分析</x:v>
      </x:c>
      <x:c r="D543" s="10" t="str">
        <x:v>礼物消费汇总报表（平台管理员视角）</x:v>
      </x:c>
      <x:c r="E543" s="10" t="str">
        <x:v>逻辑校验</x:v>
      </x:c>
      <x:c r="F543" s="10" t="str">
        <x:v>P1</x:v>
      </x:c>
      <x:c r="G543" s="9" t="str">
        <x:v>验证幸运销售额不减用户返奖</x:v>
      </x:c>
      <x:c r="H543" s="9" t="str">
        <x:v>幸运礼物销售价值</x:v>
      </x:c>
      <x:c r="I543" s="9" t="str">
        <x:v>1. 执行角色为平台管理员
2. 幸运礼物成交价100，成功销量3，返奖200</x:v>
      </x:c>
      <x:c r="J543" s="9" t="str">
        <x:v>1. 进入礼物消费汇总报表
2. 查询该幸运礼物</x:v>
      </x:c>
      <x:c r="K543" s="9" t="str">
        <x:v>幸运礼物销售价值按100×3计算=300金币</x:v>
      </x:c>
      <x:c r="L543" s="10" t="str"/>
      <x:c r="M543" s="10" t="str">
        <x:v>未测</x:v>
      </x:c>
      <x:c r="N543" s="10" t="str"/>
      <x:c r="O543" s="9" t="str">
        <x:v>1. 来源（当前证据）：liveshow-proto/MainBasis/统一需求文档.md；位置：行3359
2. 规则：BR-4c33e4d366952c0b
3. 未动态验证</x:v>
      </x:c>
    </x:row>
    <x:row r="544" ht="70" customHeight="1">
      <x:c r="A544" s="10" t="n">
        <x:v>543</x:v>
      </x:c>
      <x:c r="B544" s="10" t="str">
        <x:v>ADMIN-10-0083</x:v>
      </x:c>
      <x:c r="C544" s="10" t="str">
        <x:v>数据分析</x:v>
      </x:c>
      <x:c r="D544" s="10" t="str">
        <x:v>礼物消费汇总报表（平台管理员视角）</x:v>
      </x:c>
      <x:c r="E544" s="10" t="str">
        <x:v>业务流程</x:v>
      </x:c>
      <x:c r="F544" s="10" t="str">
        <x:v>P1</x:v>
      </x:c>
      <x:c r="G544" s="9" t="str">
        <x:v>验证礼物销量排除虚拟赠送</x:v>
      </x:c>
      <x:c r="H544" s="9" t="str">
        <x:v>礼物销量真实口径</x:v>
      </x:c>
      <x:c r="I544" s="9" t="str">
        <x:v>1. 执行角色为平台管理员
2. 玫瑰真实赠送2件，虚拟赠送3件</x:v>
      </x:c>
      <x:c r="J544" s="9" t="str">
        <x:v>1. 进入礼物消费汇总报表
2. 查询玫瑰</x:v>
      </x:c>
      <x:c r="K544" s="9" t="str">
        <x:v>销量为2</x:v>
      </x:c>
      <x:c r="L544" s="10" t="str"/>
      <x:c r="M544" s="10" t="str">
        <x:v>未测</x:v>
      </x:c>
      <x:c r="N544" s="10" t="str"/>
      <x:c r="O544" s="9" t="str">
        <x:v>1. 来源（当前证据）：liveshow-proto/MainBasis/统一需求文档.md；位置：行3360
2. 规则：BR-a3ccba14fd5f26c3
3. 未动态验证</x:v>
      </x:c>
    </x:row>
    <x:row r="545" ht="115" customHeight="1">
      <x:c r="A545" s="10" t="n">
        <x:v>544</x:v>
      </x:c>
      <x:c r="B545" s="10" t="str">
        <x:v>ADMIN-10-0084</x:v>
      </x:c>
      <x:c r="C545" s="10" t="str">
        <x:v>数据分析</x:v>
      </x:c>
      <x:c r="D545" s="10" t="str">
        <x:v>礼物消费汇总报表（平台管理员视角）</x:v>
      </x:c>
      <x:c r="E545" s="10" t="str">
        <x:v>功能需求</x:v>
      </x:c>
      <x:c r="F545" s="10" t="str">
        <x:v>P2</x:v>
      </x:c>
      <x:c r="G545" s="9" t="str">
        <x:v>验证礼物消费汇总报表导出保留当前查询范围</x:v>
      </x:c>
      <x:c r="H545" s="9" t="str">
        <x:v>礼物消费汇总报表导出范围</x:v>
      </x:c>
      <x:c r="I545" s="9" t="str">
        <x:v>1. 执行角色为平台管理员
2. 有当前报表查询及导出权限；当前筛选返回记录甲乙，记录丙被当前筛选排除</x:v>
      </x:c>
      <x:c r="J545" s="9" t="str">
        <x:v>1. 进入礼物消费汇总报表
2. 点击导出
3. 打开本次导出文件</x:v>
      </x:c>
      <x:c r="K545" s="9" t="str">
        <x:v>导出数据集合为记录甲乙</x:v>
      </x:c>
      <x:c r="L545" s="10" t="str"/>
      <x:c r="M545" s="10" t="str">
        <x:v>未测</x:v>
      </x:c>
      <x:c r="N545" s="10" t="str"/>
      <x:c r="O545" s="9" t="str">
        <x:v>1. 来源（当前证据）：liveshow-proto/MainBasis/统一需求文档.md；位置：行3361
2. 规则：BR-ec034803ceae6329
3. 未动态验证
4. 数据别名：甲、乙、丙用于区分本条测试对象；按前置条件准备并记录实际账号或记录 ID，不是固定业务名称。</x:v>
      </x:c>
    </x:row>
    <x:row r="546" ht="70" customHeight="1">
      <x:c r="A546" s="10" t="n">
        <x:v>545</x:v>
      </x:c>
      <x:c r="B546" s="10" t="str">
        <x:v>ADMIN-10-0085</x:v>
      </x:c>
      <x:c r="C546" s="10" t="str">
        <x:v>数据分析</x:v>
      </x:c>
      <x:c r="D546" s="10" t="str">
        <x:v>礼物消费汇总报表（平台管理员视角）</x:v>
      </x:c>
      <x:c r="E546" s="10" t="str">
        <x:v>功能需求</x:v>
      </x:c>
      <x:c r="F546" s="10" t="str">
        <x:v>P2</x:v>
      </x:c>
      <x:c r="G546" s="9" t="str">
        <x:v>验证礼物销售按礼物和类型聚合</x:v>
      </x:c>
      <x:c r="H546" s="9" t="str">
        <x:v>礼物销售聚合对象</x:v>
      </x:c>
      <x:c r="I546" s="9" t="str">
        <x:v>1. 执行角色为平台管理员
2. 同一普通礼物两笔成功赠送3件和5件，另一定制礼物2件</x:v>
      </x:c>
      <x:c r="J546" s="9" t="str">
        <x:v>1. 进入礼物消费汇总报表
2. 点击查询</x:v>
      </x:c>
      <x:c r="K546" s="9" t="str">
        <x:v>该普通礼物销量8件</x:v>
      </x:c>
      <x:c r="L546" s="10" t="str"/>
      <x:c r="M546" s="10" t="str">
        <x:v>未测</x:v>
      </x:c>
      <x:c r="N546" s="10" t="str"/>
      <x:c r="O546" s="9" t="str">
        <x:v>1. 来源（当前证据）：liveshow-proto/MainBasis/统一需求文档.md；位置：行3361
2. 规则：BR-91e1bbc492a2b0f5
3. 未动态验证</x:v>
      </x:c>
    </x:row>
    <x:row r="547" ht="70" customHeight="1">
      <x:c r="A547" s="10" t="n">
        <x:v>546</x:v>
      </x:c>
      <x:c r="B547" s="10" t="str">
        <x:v>ADMIN-10-0086</x:v>
      </x:c>
      <x:c r="C547" s="10" t="str">
        <x:v>数据分析</x:v>
      </x:c>
      <x:c r="D547" s="10" t="str">
        <x:v>消费订单明细（平台管理员视角）</x:v>
      </x:c>
      <x:c r="E547" s="10" t="str">
        <x:v>功能需求</x:v>
      </x:c>
      <x:c r="F547" s="10" t="str">
        <x:v>P2</x:v>
      </x:c>
      <x:c r="G547" s="9" t="str">
        <x:v>验证消费订单明细读取礼物单价</x:v>
      </x:c>
      <x:c r="H547" s="9" t="str">
        <x:v>礼物单价回显</x:v>
      </x:c>
      <x:c r="I547" s="9" t="str">
        <x:v>1. 执行角色为平台管理员
2. 所选消费发生时价格快照的礼物单价为“100”</x:v>
      </x:c>
      <x:c r="J547" s="9" t="str">
        <x:v>1. 进入消费订单明细
2. 查看礼物单价</x:v>
      </x:c>
      <x:c r="K547" s="9" t="str">
        <x:v>礼物单价显示“100”</x:v>
      </x:c>
      <x:c r="L547" s="10" t="str"/>
      <x:c r="M547" s="10" t="str">
        <x:v>未测</x:v>
      </x:c>
      <x:c r="N547" s="10" t="str"/>
      <x:c r="O547" s="9" t="str">
        <x:v>1. 来源（当前证据）：liveshow-proto/MainBasis/统一需求文档.md；位置：行3366
2. 规则：BR-89442f6b16eabdfb
3. 未动态验证</x:v>
      </x:c>
    </x:row>
    <x:row r="548" ht="70" customHeight="1">
      <x:c r="A548" s="10" t="n">
        <x:v>547</x:v>
      </x:c>
      <x:c r="B548" s="10" t="str">
        <x:v>ADMIN-10-0087</x:v>
      </x:c>
      <x:c r="C548" s="10" t="str">
        <x:v>数据分析</x:v>
      </x:c>
      <x:c r="D548" s="10" t="str">
        <x:v>消费订单明细（平台管理员视角）</x:v>
      </x:c>
      <x:c r="E548" s="10" t="str">
        <x:v>逻辑校验</x:v>
      </x:c>
      <x:c r="F548" s="10" t="str">
        <x:v>P1</x:v>
      </x:c>
      <x:c r="G548" s="9" t="str">
        <x:v>验证消费明细按订单快照计算扣减</x:v>
      </x:c>
      <x:c r="H548" s="9" t="str">
        <x:v>明细订单扣减</x:v>
      </x:c>
      <x:c r="I548" s="9" t="str">
        <x:v>1. 执行角色为平台管理员
2. 礼物成交价100，数量3，当前价格200不追溯</x:v>
      </x:c>
      <x:c r="J548" s="9" t="str">
        <x:v>1. 进入消费订单明细
2. 查询该订单</x:v>
      </x:c>
      <x:c r="K548" s="9" t="str">
        <x:v>明细订单扣减按100×3计算=300金币</x:v>
      </x:c>
      <x:c r="L548" s="10" t="str"/>
      <x:c r="M548" s="10" t="str">
        <x:v>未测</x:v>
      </x:c>
      <x:c r="N548" s="10" t="str"/>
      <x:c r="O548" s="9" t="str">
        <x:v>1. 来源（当前证据）：liveshow-proto/MainBasis/统一需求文档.md；位置：行3367
2. 规则：BR-97dc18c246896065
3. 未动态验证</x:v>
      </x:c>
    </x:row>
    <x:row r="549" ht="70" customHeight="1">
      <x:c r="A549" s="10" t="n">
        <x:v>548</x:v>
      </x:c>
      <x:c r="B549" s="10" t="str">
        <x:v>ADMIN-10-0088</x:v>
      </x:c>
      <x:c r="C549" s="10" t="str">
        <x:v>数据分析</x:v>
      </x:c>
      <x:c r="D549" s="10" t="str">
        <x:v>消费订单明细（平台管理员视角）</x:v>
      </x:c>
      <x:c r="E549" s="10" t="str">
        <x:v>功能需求</x:v>
      </x:c>
      <x:c r="F549" s="10" t="str">
        <x:v>P2</x:v>
      </x:c>
      <x:c r="G549" s="9" t="str">
        <x:v>验证消费订单明细读取场次ID</x:v>
      </x:c>
      <x:c r="H549" s="9" t="str">
        <x:v>场次ID回显</x:v>
      </x:c>
      <x:c r="I549" s="9" t="str">
        <x:v>1. 执行角色为平台管理员
2. 所选消费发生场次的场次ID为“400001”</x:v>
      </x:c>
      <x:c r="J549" s="9" t="str">
        <x:v>1. 进入消费订单明细
2. 查看场次ID</x:v>
      </x:c>
      <x:c r="K549" s="9" t="str">
        <x:v>场次ID显示“400001”</x:v>
      </x:c>
      <x:c r="L549" s="10" t="str"/>
      <x:c r="M549" s="10" t="str">
        <x:v>未测</x:v>
      </x:c>
      <x:c r="N549" s="10" t="str"/>
      <x:c r="O549" s="9" t="str">
        <x:v>1. 来源（当前证据）：liveshow-proto/MainBasis/统一需求文档.md；位置：行3369
2. 规则：BR-9343cbb7d5c3aeb0
3. 未动态验证</x:v>
      </x:c>
    </x:row>
    <x:row r="550" ht="115" customHeight="1">
      <x:c r="A550" s="10" t="n">
        <x:v>549</x:v>
      </x:c>
      <x:c r="B550" s="10" t="str">
        <x:v>ADMIN-10-0089</x:v>
      </x:c>
      <x:c r="C550" s="10" t="str">
        <x:v>数据分析</x:v>
      </x:c>
      <x:c r="D550" s="10" t="str">
        <x:v>消费订单明细（平台管理员视角）</x:v>
      </x:c>
      <x:c r="E550" s="10" t="str">
        <x:v>业务流程</x:v>
      </x:c>
      <x:c r="F550" s="10" t="str">
        <x:v>P1</x:v>
      </x:c>
      <x:c r="G550" s="9" t="str">
        <x:v>验证消费订单明细仅成功真实交易</x:v>
      </x:c>
      <x:c r="H550" s="9" t="str">
        <x:v>消费明细数据范围</x:v>
      </x:c>
      <x:c r="I550" s="9" t="str">
        <x:v>1. 执行角色为平台管理员
2. 成功真实甲、失败真实乙、成功虚拟丙同时存在</x:v>
      </x:c>
      <x:c r="J550" s="9" t="str">
        <x:v>1. 进入消费订单明细报表
2. 查询该时间段</x:v>
      </x:c>
      <x:c r="K550" s="9" t="str">
        <x:v>数据只包含甲</x:v>
      </x:c>
      <x:c r="L550" s="10" t="str"/>
      <x:c r="M550" s="10" t="str">
        <x:v>未测</x:v>
      </x:c>
      <x:c r="N550" s="10" t="str"/>
      <x:c r="O550" s="9" t="str">
        <x:v>1. 来源（当前证据）：liveshow-proto/MainBasis/统一需求文档.md；位置：行3370
2. 规则：BR-e9fad71154cc9aa2
3. 未动态验证
4. 数据别名：甲、乙、丙用于区分本条测试对象；按前置条件准备并记录实际账号或记录 ID，不是固定业务名称。</x:v>
      </x:c>
    </x:row>
    <x:row r="551" ht="115" customHeight="1">
      <x:c r="A551" s="10" t="n">
        <x:v>550</x:v>
      </x:c>
      <x:c r="B551" s="10" t="str">
        <x:v>ADMIN-10-0090</x:v>
      </x:c>
      <x:c r="C551" s="10" t="str">
        <x:v>数据分析</x:v>
      </x:c>
      <x:c r="D551" s="10" t="str">
        <x:v>消费订单明细（平台管理员视角）</x:v>
      </x:c>
      <x:c r="E551" s="10" t="str">
        <x:v>功能需求</x:v>
      </x:c>
      <x:c r="F551" s="10" t="str">
        <x:v>P2</x:v>
      </x:c>
      <x:c r="G551" s="9" t="str">
        <x:v>验证消费订单明细导出保留当前查询范围</x:v>
      </x:c>
      <x:c r="H551" s="9" t="str">
        <x:v>消费订单明细导出范围</x:v>
      </x:c>
      <x:c r="I551" s="9" t="str">
        <x:v>1. 执行角色为平台管理员
2. 有当前报表查询及导出权限；当前筛选返回记录甲乙，记录丙被当前筛选排除</x:v>
      </x:c>
      <x:c r="J551" s="9" t="str">
        <x:v>1. 进入消费订单明细
2. 点击导出
3. 打开本次导出文件</x:v>
      </x:c>
      <x:c r="K551" s="9" t="str">
        <x:v>导出数据集合为记录甲乙</x:v>
      </x:c>
      <x:c r="L551" s="10" t="str"/>
      <x:c r="M551" s="10" t="str">
        <x:v>未测</x:v>
      </x:c>
      <x:c r="N551" s="10" t="str"/>
      <x:c r="O551" s="9" t="str">
        <x:v>1. 来源（当前证据）：liveshow-proto/MainBasis/统一需求文档.md；位置：行3371
2. 规则：BR-d955858e052beadb
3. 未动态验证
4. 数据别名：甲、乙、丙用于区分本条测试对象；按前置条件准备并记录实际账号或记录 ID，不是固定业务名称。</x:v>
      </x:c>
    </x:row>
    <x:row r="552" ht="115" customHeight="1">
      <x:c r="A552" s="10" t="n">
        <x:v>551</x:v>
      </x:c>
      <x:c r="B552" s="10" t="str">
        <x:v>ADMIN-10-0091</x:v>
      </x:c>
      <x:c r="C552" s="10" t="str">
        <x:v>数据分析</x:v>
      </x:c>
      <x:c r="D552" s="10" t="str">
        <x:v>退款订单明细（平台管理员视角）</x:v>
      </x:c>
      <x:c r="E552" s="10" t="str">
        <x:v>功能需求</x:v>
      </x:c>
      <x:c r="F552" s="10" t="str">
        <x:v>P2</x:v>
      </x:c>
      <x:c r="G552" s="9" t="str">
        <x:v>验证退款订单明细读取退款用户</x:v>
      </x:c>
      <x:c r="H552" s="9" t="str">
        <x:v>退款用户回显</x:v>
      </x:c>
      <x:c r="I552" s="9" t="str">
        <x:v>1. 执行角色为平台管理员
2. 原充值订单所属账号的退款用户为“用户甲”</x:v>
      </x:c>
      <x:c r="J552" s="9" t="str">
        <x:v>1. 进入退款订单明细
2. 查看退款用户</x:v>
      </x:c>
      <x:c r="K552" s="9" t="str">
        <x:v>退款用户显示“用户甲”</x:v>
      </x:c>
      <x:c r="L552" s="10" t="str"/>
      <x:c r="M552" s="10" t="str">
        <x:v>未测</x:v>
      </x:c>
      <x:c r="N552" s="10" t="str"/>
      <x:c r="O552" s="9" t="str">
        <x:v>1. 来源（当前证据）：liveshow-proto/MainBasis/统一需求文档.md；位置：行3377
2. 规则：BR-64ba87c63676f579
3. 未动态验证
4. 数据别名：甲、乙、丙用于区分本条测试对象；按前置条件准备并记录实际账号或记录 ID，不是固定业务名称。</x:v>
      </x:c>
    </x:row>
    <x:row r="553" ht="70" customHeight="1">
      <x:c r="A553" s="10" t="n">
        <x:v>552</x:v>
      </x:c>
      <x:c r="B553" s="10" t="str">
        <x:v>ADMIN-10-0092</x:v>
      </x:c>
      <x:c r="C553" s="10" t="str">
        <x:v>数据分析</x:v>
      </x:c>
      <x:c r="D553" s="10" t="str">
        <x:v>退款订单明细（平台管理员视角）</x:v>
      </x:c>
      <x:c r="E553" s="10" t="str">
        <x:v>功能需求</x:v>
      </x:c>
      <x:c r="F553" s="10" t="str">
        <x:v>P2</x:v>
      </x:c>
      <x:c r="G553" s="9" t="str">
        <x:v>验证退款订单明细读取套餐</x:v>
      </x:c>
      <x:c r="H553" s="9" t="str">
        <x:v>套餐回显</x:v>
      </x:c>
      <x:c r="I553" s="9" t="str">
        <x:v>1. 执行角色为平台管理员
2. 原充值订单购买快照的套餐为“基础套餐”</x:v>
      </x:c>
      <x:c r="J553" s="9" t="str">
        <x:v>1. 进入退款订单明细
2. 查看套餐</x:v>
      </x:c>
      <x:c r="K553" s="9" t="str">
        <x:v>套餐显示“基础套餐”</x:v>
      </x:c>
      <x:c r="L553" s="10" t="str"/>
      <x:c r="M553" s="10" t="str">
        <x:v>未测</x:v>
      </x:c>
      <x:c r="N553" s="10" t="str"/>
      <x:c r="O553" s="9" t="str">
        <x:v>1. 来源（当前证据）：liveshow-proto/MainBasis/统一需求文档.md；位置：行3377
2. 规则：BR-c642c08c7ad99274
3. 未动态验证</x:v>
      </x:c>
    </x:row>
    <x:row r="554" ht="70" customHeight="1">
      <x:c r="A554" s="10" t="n">
        <x:v>553</x:v>
      </x:c>
      <x:c r="B554" s="10" t="str">
        <x:v>ADMIN-10-0093</x:v>
      </x:c>
      <x:c r="C554" s="10" t="str">
        <x:v>数据分析</x:v>
      </x:c>
      <x:c r="D554" s="10" t="str">
        <x:v>退款订单明细（平台管理员视角）</x:v>
      </x:c>
      <x:c r="E554" s="10" t="str">
        <x:v>逻辑校验</x:v>
      </x:c>
      <x:c r="F554" s="10" t="str">
        <x:v>P1</x:v>
      </x:c>
      <x:c r="G554" s="9" t="str">
        <x:v>验证退款订单明细退款金额按当前对象求和</x:v>
      </x:c>
      <x:c r="H554" s="9" t="str">
        <x:v>退款金额计算范围</x:v>
      </x:c>
      <x:c r="I554" s="9" t="str">
        <x:v>1. 执行角色为平台管理员
2. 当前已完成退款原订单实付1.99USD，为整单退款</x:v>
      </x:c>
      <x:c r="J554" s="9" t="str">
        <x:v>1. 进入退款订单明细
2. 查看前置条件指定对象及范围的退款金额</x:v>
      </x:c>
      <x:c r="K554" s="9" t="str">
        <x:v>退款金额按1.99计算=1.99USD</x:v>
      </x:c>
      <x:c r="L554" s="10" t="str"/>
      <x:c r="M554" s="10" t="str">
        <x:v>未测</x:v>
      </x:c>
      <x:c r="N554" s="10" t="str"/>
      <x:c r="O554" s="9" t="str">
        <x:v>1. 来源（当前证据）：liveshow-proto/MainBasis/统一需求文档.md；位置：行3378
2. 规则：BR-628729e2b750579a
3. 未动态验证</x:v>
      </x:c>
    </x:row>
    <x:row r="555" ht="115" customHeight="1">
      <x:c r="A555" s="10" t="n">
        <x:v>554</x:v>
      </x:c>
      <x:c r="B555" s="10" t="str">
        <x:v>ADMIN-10-0094</x:v>
      </x:c>
      <x:c r="C555" s="10" t="str">
        <x:v>数据分析</x:v>
      </x:c>
      <x:c r="D555" s="10" t="str">
        <x:v>退款订单明细（平台管理员视角）</x:v>
      </x:c>
      <x:c r="E555" s="10" t="str">
        <x:v>业务流程</x:v>
      </x:c>
      <x:c r="F555" s="10" t="str">
        <x:v>P1</x:v>
      </x:c>
      <x:c r="G555" s="9" t="str">
        <x:v>验证退款明细不包含礼物和门票</x:v>
      </x:c>
      <x:c r="H555" s="9" t="str">
        <x:v>退款报表对象范围</x:v>
      </x:c>
      <x:c r="I555" s="9" t="str">
        <x:v>1. 执行角色为平台管理员
2. 时间段内有充值退款甲和正常礼物门票消费</x:v>
      </x:c>
      <x:c r="J555" s="9" t="str">
        <x:v>1. 进入退款订单明细
2. 查询该时间段</x:v>
      </x:c>
      <x:c r="K555" s="9" t="str">
        <x:v>只包含充值退款甲</x:v>
      </x:c>
      <x:c r="L555" s="10" t="str"/>
      <x:c r="M555" s="10" t="str">
        <x:v>未测</x:v>
      </x:c>
      <x:c r="N555" s="10" t="str"/>
      <x:c r="O555" s="9" t="str">
        <x:v>1. 来源（当前证据）：liveshow-proto/MainBasis/统一需求文档.md；位置：行3379
2. 规则：BR-a09f43eddb52e6f2
3. 未动态验证
4. 数据别名：甲、乙、丙用于区分本条测试对象；按前置条件准备并记录实际账号或记录 ID，不是固定业务名称。</x:v>
      </x:c>
    </x:row>
    <x:row r="556" ht="130" customHeight="1">
      <x:c r="A556" s="10" t="n">
        <x:v>555</x:v>
      </x:c>
      <x:c r="B556" s="10" t="str">
        <x:v>ADMIN-10-0095</x:v>
      </x:c>
      <x:c r="C556" s="10" t="str">
        <x:v>数据分析</x:v>
      </x:c>
      <x:c r="D556" s="10" t="str">
        <x:v>退款订单明细（平台管理员视角）</x:v>
      </x:c>
      <x:c r="E556" s="10" t="str">
        <x:v>功能需求</x:v>
      </x:c>
      <x:c r="F556" s="10" t="str">
        <x:v>P2</x:v>
      </x:c>
      <x:c r="G556" s="9" t="str">
        <x:v>验证退款订单明细两个筛选条件共同生效</x:v>
      </x:c>
      <x:c r="H556" s="9" t="str">
        <x:v>退款订单明细查询交集</x:v>
      </x:c>
      <x:c r="I556" s="9" t="str">
        <x:v>1. 执行角色为平台管理员
2. 准备三条当前范围有效记录：记录甲同时满足时间=2026年9月1日条件与用户=测试用户甲条件；记录乙仅满足时间=2026年9月1日；记录丙仅满足用户=测试用户甲；选值采用本页可用配置</x:v>
      </x:c>
      <x:c r="J556" s="9" t="str">
        <x:v>1. 进入退款订单明细
2. 选择上述时间=2026年9月1日条件
3. 选择上述用户=测试用户甲条件
4. 点击查询</x:v>
      </x:c>
      <x:c r="K556" s="9" t="str">
        <x:v>结果集合仅包含记录甲</x:v>
      </x:c>
      <x:c r="L556" s="10" t="str"/>
      <x:c r="M556" s="10" t="str">
        <x:v>未测</x:v>
      </x:c>
      <x:c r="N556" s="10" t="str"/>
      <x:c r="O556" s="9" t="str">
        <x:v>1. 来源（当前证据）：liveshow-proto/MainBasis/统一需求文档.md；位置：行3380
2. 规则：BR-2e7b44eea27c3fd7
3. 未动态验证
4. 数据别名：甲、乙、丙用于区分本条测试对象；按前置条件准备并记录实际账号或记录 ID，不是固定业务名称。</x:v>
      </x:c>
    </x:row>
    <x:row r="557" ht="115" customHeight="1">
      <x:c r="A557" s="10" t="n">
        <x:v>556</x:v>
      </x:c>
      <x:c r="B557" s="10" t="str">
        <x:v>ADMIN-10-0096</x:v>
      </x:c>
      <x:c r="C557" s="10" t="str">
        <x:v>数据分析</x:v>
      </x:c>
      <x:c r="D557" s="10" t="str">
        <x:v>退款订单明细（平台管理员视角）</x:v>
      </x:c>
      <x:c r="E557" s="10" t="str">
        <x:v>功能需求</x:v>
      </x:c>
      <x:c r="F557" s="10" t="str">
        <x:v>P2</x:v>
      </x:c>
      <x:c r="G557" s="9" t="str">
        <x:v>验证退款订单明细没有同时满足条件的记录</x:v>
      </x:c>
      <x:c r="H557" s="9" t="str">
        <x:v>退款订单明细查询空集合</x:v>
      </x:c>
      <x:c r="I557" s="9" t="str">
        <x:v>1. 执行角色为平台管理员
2. 准备数据中没有记录同时满足时间=2026年9月1日和用户=测试用户甲两个条件</x:v>
      </x:c>
      <x:c r="J557" s="9" t="str">
        <x:v>1. 进入退款订单明细
2. 选择时间=2026年9月1日
3. 选择用户=测试用户甲
4. 点击查询</x:v>
      </x:c>
      <x:c r="K557" s="9" t="str">
        <x:v>结果集合为空</x:v>
      </x:c>
      <x:c r="L557" s="10" t="str"/>
      <x:c r="M557" s="10" t="str">
        <x:v>未测</x:v>
      </x:c>
      <x:c r="N557" s="10" t="str"/>
      <x:c r="O557" s="9" t="str">
        <x:v>1. 来源（当前证据）：liveshow-proto/MainBasis/统一需求文档.md；位置：行3380
2. 规则：BR-63542aeebadc9ee8
3. 未动态验证
4. 数据别名：甲、乙、丙用于区分本条测试对象；按前置条件准备并记录实际账号或记录 ID，不是固定业务名称。</x:v>
      </x:c>
    </x:row>
    <x:row r="558" ht="115" customHeight="1">
      <x:c r="A558" s="10" t="n">
        <x:v>557</x:v>
      </x:c>
      <x:c r="B558" s="10" t="str">
        <x:v>ADMIN-10-0097</x:v>
      </x:c>
      <x:c r="C558" s="10" t="str">
        <x:v>数据分析</x:v>
      </x:c>
      <x:c r="D558" s="10" t="str">
        <x:v>退款订单明细（平台管理员视角）</x:v>
      </x:c>
      <x:c r="E558" s="10" t="str">
        <x:v>功能需求</x:v>
      </x:c>
      <x:c r="F558" s="10" t="str">
        <x:v>P2</x:v>
      </x:c>
      <x:c r="G558" s="9" t="str">
        <x:v>验证退款订单明细导出保留当前查询范围</x:v>
      </x:c>
      <x:c r="H558" s="9" t="str">
        <x:v>退款订单明细导出范围</x:v>
      </x:c>
      <x:c r="I558" s="9" t="str">
        <x:v>1. 执行角色为平台管理员
2. 有当前报表查询及导出权限；当前筛选返回记录甲乙，记录丙被当前筛选排除</x:v>
      </x:c>
      <x:c r="J558" s="9" t="str">
        <x:v>1. 进入退款订单明细
2. 点击导出
3. 打开本次导出文件</x:v>
      </x:c>
      <x:c r="K558" s="9" t="str">
        <x:v>导出数据集合为记录甲乙</x:v>
      </x:c>
      <x:c r="L558" s="10" t="str"/>
      <x:c r="M558" s="10" t="str">
        <x:v>未测</x:v>
      </x:c>
      <x:c r="N558" s="10" t="str"/>
      <x:c r="O558" s="9" t="str">
        <x:v>1. 来源（当前证据）：liveshow-proto/MainBasis/统一需求文档.md；位置：行3380
2. 规则：BR-3b87bee8d691856c
3. 未动态验证
4. 数据别名：甲、乙、丙用于区分本条测试对象；按前置条件准备并记录实际账号或记录 ID，不是固定业务名称。</x:v>
      </x:c>
    </x:row>
    <x:row r="559" ht="115" customHeight="1">
      <x:c r="A559" s="10" t="n">
        <x:v>558</x:v>
      </x:c>
      <x:c r="B559" s="10" t="str">
        <x:v>ADMIN-10-0098</x:v>
      </x:c>
      <x:c r="C559" s="10" t="str">
        <x:v>数据分析</x:v>
      </x:c>
      <x:c r="D559" s="10" t="str">
        <x:v>充值订单明细（平台管理员视角）</x:v>
      </x:c>
      <x:c r="E559" s="10" t="str">
        <x:v>功能需求</x:v>
      </x:c>
      <x:c r="F559" s="10" t="str">
        <x:v>P2</x:v>
      </x:c>
      <x:c r="G559" s="9" t="str">
        <x:v>验证充值订单明细读取充值用户</x:v>
      </x:c>
      <x:c r="H559" s="9" t="str">
        <x:v>充值用户回显</x:v>
      </x:c>
      <x:c r="I559" s="9" t="str">
        <x:v>1. 执行角色为平台管理员
2. 所选支付成功充值的所属账号的充值用户为“用户甲”</x:v>
      </x:c>
      <x:c r="J559" s="9" t="str">
        <x:v>1. 进入充值订单明细
2. 查看充值用户</x:v>
      </x:c>
      <x:c r="K559" s="9" t="str">
        <x:v>充值用户显示“用户甲”</x:v>
      </x:c>
      <x:c r="L559" s="10" t="str"/>
      <x:c r="M559" s="10" t="str">
        <x:v>未测</x:v>
      </x:c>
      <x:c r="N559" s="10" t="str"/>
      <x:c r="O559" s="9" t="str">
        <x:v>1. 来源（当前证据）：liveshow-proto/MainBasis/统一需求文档.md；位置：行3386
2. 规则：BR-2bb550defc87a2ae
3. 未动态验证
4. 数据别名：甲、乙、丙用于区分本条测试对象；按前置条件准备并记录实际账号或记录 ID，不是固定业务名称。</x:v>
      </x:c>
    </x:row>
    <x:row r="560" ht="70" customHeight="1">
      <x:c r="A560" s="10" t="n">
        <x:v>559</x:v>
      </x:c>
      <x:c r="B560" s="10" t="str">
        <x:v>ADMIN-10-0099</x:v>
      </x:c>
      <x:c r="C560" s="10" t="str">
        <x:v>数据分析</x:v>
      </x:c>
      <x:c r="D560" s="10" t="str">
        <x:v>充值订单明细（平台管理员视角）</x:v>
      </x:c>
      <x:c r="E560" s="10" t="str">
        <x:v>功能需求</x:v>
      </x:c>
      <x:c r="F560" s="10" t="str">
        <x:v>P2</x:v>
      </x:c>
      <x:c r="G560" s="9" t="str">
        <x:v>验证充值订单明细读取套餐</x:v>
      </x:c>
      <x:c r="H560" s="9" t="str">
        <x:v>套餐回显</x:v>
      </x:c>
      <x:c r="I560" s="9" t="str">
        <x:v>1. 执行角色为平台管理员
2. 所选充值购买快照的套餐为“基础套餐”</x:v>
      </x:c>
      <x:c r="J560" s="9" t="str">
        <x:v>1. 进入充值订单明细
2. 查看套餐</x:v>
      </x:c>
      <x:c r="K560" s="9" t="str">
        <x:v>套餐显示“基础套餐”</x:v>
      </x:c>
      <x:c r="L560" s="10" t="str"/>
      <x:c r="M560" s="10" t="str">
        <x:v>未测</x:v>
      </x:c>
      <x:c r="N560" s="10" t="str"/>
      <x:c r="O560" s="9" t="str">
        <x:v>1. 来源（当前证据）：liveshow-proto/MainBasis/统一需求文档.md；位置：行3386
2. 规则：BR-86430a7ac375ae42
3. 未动态验证</x:v>
      </x:c>
    </x:row>
    <x:row r="561" ht="130" customHeight="1">
      <x:c r="A561" s="10" t="n">
        <x:v>560</x:v>
      </x:c>
      <x:c r="B561" s="10" t="str">
        <x:v>ADMIN-10-0100</x:v>
      </x:c>
      <x:c r="C561" s="10" t="str">
        <x:v>数据分析</x:v>
      </x:c>
      <x:c r="D561" s="10" t="str">
        <x:v>充值订单明细（平台管理员视角）</x:v>
      </x:c>
      <x:c r="E561" s="10" t="str">
        <x:v>功能需求</x:v>
      </x:c>
      <x:c r="F561" s="10" t="str">
        <x:v>P2</x:v>
      </x:c>
      <x:c r="G561" s="9" t="str">
        <x:v>验证充值订单明细读取支付渠道</x:v>
      </x:c>
      <x:c r="H561" s="9" t="str">
        <x:v>支付渠道回显</x:v>
      </x:c>
      <x:c r="I561" s="9" t="str">
        <x:v>1. 执行角色为平台管理员
2. 所选充值实际支付记录的支付渠道为“测试支付渠道”
3. 环境准备要求：支付测试渠道、测试账号及本条所需支付或退款回调当前未具备；执行前由技术提供并确认仅影响测试交易</x:v>
      </x:c>
      <x:c r="J561" s="9" t="str">
        <x:v>1. 进入充值订单明细
2. 查看支付渠道</x:v>
      </x:c>
      <x:c r="K561" s="9" t="str">
        <x:v>支付渠道显示“测试支付渠道”</x:v>
      </x:c>
      <x:c r="L561" s="10" t="str"/>
      <x:c r="M561" s="10" t="str">
        <x:v>未测</x:v>
      </x:c>
      <x:c r="N561" s="10" t="str"/>
      <x:c r="O561" s="9" t="str">
        <x:v>1. 来源（当前证据）：liveshow-proto/MainBasis/统一需求文档.md；位置：行3387
2. 规则：BR-d346029e993dba4c
3. 未动态验证</x:v>
      </x:c>
    </x:row>
    <x:row r="562" ht="70" customHeight="1">
      <x:c r="A562" s="10" t="n">
        <x:v>561</x:v>
      </x:c>
      <x:c r="B562" s="10" t="str">
        <x:v>ADMIN-10-0101</x:v>
      </x:c>
      <x:c r="C562" s="10" t="str">
        <x:v>数据分析</x:v>
      </x:c>
      <x:c r="D562" s="10" t="str">
        <x:v>充值订单明细（平台管理员视角）</x:v>
      </x:c>
      <x:c r="E562" s="10" t="str">
        <x:v>逻辑校验</x:v>
      </x:c>
      <x:c r="F562" s="10" t="str">
        <x:v>P1</x:v>
      </x:c>
      <x:c r="G562" s="9" t="str">
        <x:v>验证充值订单明细充值金额按当前对象求和</x:v>
      </x:c>
      <x:c r="H562" s="9" t="str">
        <x:v>充值金额计算范围</x:v>
      </x:c>
      <x:c r="I562" s="9" t="str">
        <x:v>1. 执行角色为平台管理员
2. 当前订单成功支付实付1.99USD，面额或赠币不作为USD金额</x:v>
      </x:c>
      <x:c r="J562" s="9" t="str">
        <x:v>1. 进入充值订单明细
2. 查看前置条件指定对象及范围的充值金额</x:v>
      </x:c>
      <x:c r="K562" s="9" t="str">
        <x:v>充值金额按1.99计算=1.99USD</x:v>
      </x:c>
      <x:c r="L562" s="10" t="str"/>
      <x:c r="M562" s="10" t="str">
        <x:v>未测</x:v>
      </x:c>
      <x:c r="N562" s="10" t="str"/>
      <x:c r="O562" s="9" t="str">
        <x:v>1. 来源（当前证据）：liveshow-proto/MainBasis/统一需求文档.md；位置：行3388
2. 规则：BR-54b4856acfdf132a
3. 未动态验证</x:v>
      </x:c>
    </x:row>
    <x:row r="563" ht="115" customHeight="1">
      <x:c r="A563" s="10" t="n">
        <x:v>562</x:v>
      </x:c>
      <x:c r="B563" s="10" t="str">
        <x:v>ADMIN-10-0102</x:v>
      </x:c>
      <x:c r="C563" s="10" t="str">
        <x:v>数据分析</x:v>
      </x:c>
      <x:c r="D563" s="10" t="str">
        <x:v>充值订单明细（平台管理员视角）</x:v>
      </x:c>
      <x:c r="E563" s="10" t="str">
        <x:v>业务流程</x:v>
      </x:c>
      <x:c r="F563" s="10" t="str">
        <x:v>P1</x:v>
      </x:c>
      <x:c r="G563" s="9" t="str">
        <x:v>验证充值退款在独立报表列示</x:v>
      </x:c>
      <x:c r="H563" s="9" t="str">
        <x:v>充值与退款报表分离</x:v>
      </x:c>
      <x:c r="I563" s="9" t="str">
        <x:v>1. 执行角色为平台管理员
2. 充值甲成功后已退款；乙支付失败</x:v>
      </x:c>
      <x:c r="J563" s="9" t="str">
        <x:v>1. 进入充值订单明细
2. 查询该时间段</x:v>
      </x:c>
      <x:c r="K563" s="9" t="str">
        <x:v>记录反映充值甲原支付成功快照</x:v>
      </x:c>
      <x:c r="L563" s="10" t="str"/>
      <x:c r="M563" s="10" t="str">
        <x:v>未测</x:v>
      </x:c>
      <x:c r="N563" s="10" t="str"/>
      <x:c r="O563" s="9" t="str">
        <x:v>1. 来源（当前证据）：liveshow-proto/MainBasis/统一需求文档.md；位置：行3389
2. 规则：BR-6df8057d8b11d71b
3. 未动态验证
4. 数据别名：甲、乙、丙用于区分本条测试对象；按前置条件准备并记录实际账号或记录 ID，不是固定业务名称。</x:v>
      </x:c>
    </x:row>
    <x:row r="564" ht="130" customHeight="1">
      <x:c r="A564" s="10" t="n">
        <x:v>563</x:v>
      </x:c>
      <x:c r="B564" s="10" t="str">
        <x:v>ADMIN-10-0103</x:v>
      </x:c>
      <x:c r="C564" s="10" t="str">
        <x:v>数据分析</x:v>
      </x:c>
      <x:c r="D564" s="10" t="str">
        <x:v>充值订单明细（平台管理员视角）</x:v>
      </x:c>
      <x:c r="E564" s="10" t="str">
        <x:v>功能需求</x:v>
      </x:c>
      <x:c r="F564" s="10" t="str">
        <x:v>P2</x:v>
      </x:c>
      <x:c r="G564" s="9" t="str">
        <x:v>验证充值订单明细两个筛选条件共同生效</x:v>
      </x:c>
      <x:c r="H564" s="9" t="str">
        <x:v>充值订单明细查询交集</x:v>
      </x:c>
      <x:c r="I564" s="9" t="str">
        <x:v>1. 执行角色为平台管理员
2. 准备三条当前范围有效记录：记录甲同时满足时间=2026年9月1日条件与用户=测试用户甲条件；记录乙仅满足时间=2026年9月1日；记录丙仅满足用户=测试用户甲；选值采用本页可用配置</x:v>
      </x:c>
      <x:c r="J564" s="9" t="str">
        <x:v>1. 进入充值订单明细
2. 选择上述时间=2026年9月1日条件
3. 选择上述用户=测试用户甲条件
4. 点击查询</x:v>
      </x:c>
      <x:c r="K564" s="9" t="str">
        <x:v>结果集合仅包含记录甲</x:v>
      </x:c>
      <x:c r="L564" s="10" t="str"/>
      <x:c r="M564" s="10" t="str">
        <x:v>未测</x:v>
      </x:c>
      <x:c r="N564" s="10" t="str"/>
      <x:c r="O564" s="9" t="str">
        <x:v>1. 来源（当前证据）：liveshow-proto/MainBasis/统一需求文档.md；位置：行3390
2. 规则：BR-33e8ea2f42a8c747
3. 未动态验证
4. 数据别名：甲、乙、丙用于区分本条测试对象；按前置条件准备并记录实际账号或记录 ID，不是固定业务名称。</x:v>
      </x:c>
    </x:row>
    <x:row r="565" ht="115" customHeight="1">
      <x:c r="A565" s="10" t="n">
        <x:v>564</x:v>
      </x:c>
      <x:c r="B565" s="10" t="str">
        <x:v>ADMIN-10-0104</x:v>
      </x:c>
      <x:c r="C565" s="10" t="str">
        <x:v>数据分析</x:v>
      </x:c>
      <x:c r="D565" s="10" t="str">
        <x:v>充值订单明细（平台管理员视角）</x:v>
      </x:c>
      <x:c r="E565" s="10" t="str">
        <x:v>功能需求</x:v>
      </x:c>
      <x:c r="F565" s="10" t="str">
        <x:v>P2</x:v>
      </x:c>
      <x:c r="G565" s="9" t="str">
        <x:v>验证充值订单明细没有同时满足条件的记录</x:v>
      </x:c>
      <x:c r="H565" s="9" t="str">
        <x:v>充值订单明细查询空集合</x:v>
      </x:c>
      <x:c r="I565" s="9" t="str">
        <x:v>1. 执行角色为平台管理员
2. 准备数据中没有记录同时满足时间=2026年9月1日和用户=测试用户甲两个条件</x:v>
      </x:c>
      <x:c r="J565" s="9" t="str">
        <x:v>1. 进入充值订单明细
2. 选择时间=2026年9月1日
3. 选择用户=测试用户甲
4. 点击查询</x:v>
      </x:c>
      <x:c r="K565" s="9" t="str">
        <x:v>结果集合为空</x:v>
      </x:c>
      <x:c r="L565" s="10" t="str"/>
      <x:c r="M565" s="10" t="str">
        <x:v>未测</x:v>
      </x:c>
      <x:c r="N565" s="10" t="str"/>
      <x:c r="O565" s="9" t="str">
        <x:v>1. 来源（当前证据）：liveshow-proto/MainBasis/统一需求文档.md；位置：行3390
2. 规则：BR-b3fbbb1d1b21cd5c
3. 未动态验证
4. 数据别名：甲、乙、丙用于区分本条测试对象；按前置条件准备并记录实际账号或记录 ID，不是固定业务名称。</x:v>
      </x:c>
    </x:row>
    <x:row r="566" ht="115" customHeight="1">
      <x:c r="A566" s="10" t="n">
        <x:v>565</x:v>
      </x:c>
      <x:c r="B566" s="10" t="str">
        <x:v>ADMIN-10-0105</x:v>
      </x:c>
      <x:c r="C566" s="10" t="str">
        <x:v>数据分析</x:v>
      </x:c>
      <x:c r="D566" s="10" t="str">
        <x:v>充值订单明细（平台管理员视角）</x:v>
      </x:c>
      <x:c r="E566" s="10" t="str">
        <x:v>功能需求</x:v>
      </x:c>
      <x:c r="F566" s="10" t="str">
        <x:v>P2</x:v>
      </x:c>
      <x:c r="G566" s="9" t="str">
        <x:v>验证充值订单明细导出保留当前查询范围</x:v>
      </x:c>
      <x:c r="H566" s="9" t="str">
        <x:v>充值订单明细导出范围</x:v>
      </x:c>
      <x:c r="I566" s="9" t="str">
        <x:v>1. 执行角色为平台管理员
2. 有当前报表查询及导出权限；当前筛选返回记录甲乙，记录丙被当前筛选排除</x:v>
      </x:c>
      <x:c r="J566" s="9" t="str">
        <x:v>1. 进入充值订单明细
2. 点击导出
3. 打开本次导出文件</x:v>
      </x:c>
      <x:c r="K566" s="9" t="str">
        <x:v>导出数据集合为记录甲乙</x:v>
      </x:c>
      <x:c r="L566" s="10" t="str"/>
      <x:c r="M566" s="10" t="str">
        <x:v>未测</x:v>
      </x:c>
      <x:c r="N566" s="10" t="str"/>
      <x:c r="O566" s="9" t="str">
        <x:v>1. 来源（当前证据）：liveshow-proto/MainBasis/统一需求文档.md；位置：行3390
2. 规则：BR-c54d903605555b87
3. 未动态验证
4. 数据别名：甲、乙、丙用于区分本条测试对象；按前置条件准备并记录实际账号或记录 ID，不是固定业务名称。</x:v>
      </x:c>
    </x:row>
    <x:row r="567" ht="115" customHeight="1">
      <x:c r="A567" s="10" t="n">
        <x:v>566</x:v>
      </x:c>
      <x:c r="B567" s="10" t="str">
        <x:v>ADMIN-11-0001</x:v>
      </x:c>
      <x:c r="C567" s="10" t="str">
        <x:v>运营账号</x:v>
      </x:c>
      <x:c r="D567" s="10" t="str">
        <x:v>账号列表（平台管理员视角）</x:v>
      </x:c>
      <x:c r="E567" s="10" t="str">
        <x:v>功能需求</x:v>
      </x:c>
      <x:c r="F567" s="10" t="str">
        <x:v>P2</x:v>
      </x:c>
      <x:c r="G567" s="9" t="str">
        <x:v>验证账号列表读取所属公会</x:v>
      </x:c>
      <x:c r="H567" s="9" t="str">
        <x:v>所属公会回显</x:v>
      </x:c>
      <x:c r="I567" s="9" t="str">
        <x:v>1. 执行角色为平台管理员
2. 所选运营账号所属公会的所属公会为“公会甲”</x:v>
      </x:c>
      <x:c r="J567" s="9" t="str">
        <x:v>1. 进入账号列表
2. 查看所属公会</x:v>
      </x:c>
      <x:c r="K567" s="9" t="str">
        <x:v>所属公会显示“公会甲”</x:v>
      </x:c>
      <x:c r="L567" s="10" t="str"/>
      <x:c r="M567" s="10" t="str">
        <x:v>未测</x:v>
      </x:c>
      <x:c r="N567" s="10" t="str"/>
      <x:c r="O567" s="9" t="str">
        <x:v>1. 来源（当前证据）：liveshow-proto/MainBasis/统一需求文档.md；位置：行3395
2. 规则：BR-6ecb69010555c4d8
3. 未动态验证
4. 数据别名：甲、乙、丙用于区分本条测试对象；按前置条件准备并记录实际账号或记录 ID，不是固定业务名称。</x:v>
      </x:c>
    </x:row>
    <x:row r="568" ht="70" customHeight="1">
      <x:c r="A568" s="10" t="n">
        <x:v>567</x:v>
      </x:c>
      <x:c r="B568" s="10" t="str">
        <x:v>ADMIN-11-0002</x:v>
      </x:c>
      <x:c r="C568" s="10" t="str">
        <x:v>运营账号</x:v>
      </x:c>
      <x:c r="D568" s="10" t="str">
        <x:v>账号列表（平台管理员视角）</x:v>
      </x:c>
      <x:c r="E568" s="10" t="str">
        <x:v>逻辑校验</x:v>
      </x:c>
      <x:c r="F568" s="10" t="str">
        <x:v>P1</x:v>
      </x:c>
      <x:c r="G568" s="9" t="str">
        <x:v>验证账号列表本月发放按当前对象求和</x:v>
      </x:c>
      <x:c r="H568" s="9" t="str">
        <x:v>本月发放计算范围</x:v>
      </x:c>
      <x:c r="I568" s="9" t="str">
        <x:v>1. 执行角色为平台管理员
2. 当前运营账号本月收到公会成功发放100、200金币；上月500不计</x:v>
      </x:c>
      <x:c r="J568" s="9" t="str">
        <x:v>1. 进入账号列表
2. 查看前置条件指定对象及范围的本月发放</x:v>
      </x:c>
      <x:c r="K568" s="9" t="str">
        <x:v>本月发放按100+200计算=300虚拟金币</x:v>
      </x:c>
      <x:c r="L568" s="10" t="str"/>
      <x:c r="M568" s="10" t="str">
        <x:v>未测</x:v>
      </x:c>
      <x:c r="N568" s="10" t="str"/>
      <x:c r="O568" s="9" t="str">
        <x:v>1. 来源（当前证据）：liveshow-proto/MainBasis/统一需求文档.md；位置：行3398
2. 规则：BR-ba4a91fc8676a27c
3. 未动态验证</x:v>
      </x:c>
    </x:row>
    <x:row r="569" ht="70" customHeight="1">
      <x:c r="A569" s="10" t="n">
        <x:v>568</x:v>
      </x:c>
      <x:c r="B569" s="10" t="str">
        <x:v>ADMIN-11-0003</x:v>
      </x:c>
      <x:c r="C569" s="10" t="str">
        <x:v>运营账号</x:v>
      </x:c>
      <x:c r="D569" s="10" t="str">
        <x:v>账号列表（平台管理员视角）</x:v>
      </x:c>
      <x:c r="E569" s="10" t="str">
        <x:v>功能需求</x:v>
      </x:c>
      <x:c r="F569" s="10" t="str">
        <x:v>P2</x:v>
      </x:c>
      <x:c r="G569" s="9" t="str">
        <x:v>验证账号列表读取状态</x:v>
      </x:c>
      <x:c r="H569" s="9" t="str">
        <x:v>状态回显</x:v>
      </x:c>
      <x:c r="I569" s="9" t="str">
        <x:v>1. 执行角色为平台管理员
2. 所选运营账号当前状态的状态为“停用”</x:v>
      </x:c>
      <x:c r="J569" s="9" t="str">
        <x:v>1. 进入账号列表
2. 查看状态</x:v>
      </x:c>
      <x:c r="K569" s="9" t="str">
        <x:v>状态显示“停用”</x:v>
      </x:c>
      <x:c r="L569" s="10" t="str"/>
      <x:c r="M569" s="10" t="str">
        <x:v>未测</x:v>
      </x:c>
      <x:c r="N569" s="10" t="str"/>
      <x:c r="O569" s="9" t="str">
        <x:v>1. 来源（当前证据）：liveshow-proto/MainBasis/统一需求文档.md；位置：行3399
2. 规则：BR-663e990069054efd
3. 未动态验证</x:v>
      </x:c>
    </x:row>
    <x:row r="570" ht="145" customHeight="1">
      <x:c r="A570" s="10" t="n">
        <x:v>569</x:v>
      </x:c>
      <x:c r="B570" s="10" t="str">
        <x:v>ADMIN-11-0004</x:v>
      </x:c>
      <x:c r="C570" s="10" t="str">
        <x:v>运营账号</x:v>
      </x:c>
      <x:c r="D570" s="10" t="str">
        <x:v>账号列表（平台管理员视角）</x:v>
      </x:c>
      <x:c r="E570" s="10" t="str">
        <x:v>业务流程</x:v>
      </x:c>
      <x:c r="F570" s="10" t="str">
        <x:v>P1</x:v>
      </x:c>
      <x:c r="G570" s="9" t="str">
        <x:v>验证公会禁用后后台同步状态</x:v>
      </x:c>
      <x:c r="H570" s="9" t="str">
        <x:v>运营停用后台投影</x:v>
      </x:c>
      <x:c r="I570" s="9" t="str">
        <x:v>1. 执行角色为平台管理员
2. 运营账号甲原启用，所属公会刚禁用甲</x:v>
      </x:c>
      <x:c r="J570" s="9" t="str">
        <x:v>1. 进入运营账号列表
2. 查询甲</x:v>
      </x:c>
      <x:c r="K570" s="9" t="str">
        <x:v>甲状态为禁用</x:v>
      </x:c>
      <x:c r="L570" s="10" t="str">
        <x:v>FLOW-OP-STOP</x:v>
      </x:c>
      <x:c r="M570" s="10" t="str">
        <x:v>未测</x:v>
      </x:c>
      <x:c r="N570" s="10" t="str"/>
      <x:c r="O570" s="9" t="str">
        <x:v>1. 来源（当前证据）：liveshow-proto/MainBasis/统一需求文档.md；位置：行3399
2. 规则：BR-c316b70c110b785e
3. 未动态验证
4. 状态转换：ST-OP-STOP；按同一业务对象的数据别名准备对应上下游记录
5. 数据别名：甲、乙、丙用于区分本条测试对象；按前置条件准备并记录实际账号或记录 ID，不是固定业务名称。</x:v>
      </x:c>
    </x:row>
    <x:row r="571" ht="70" customHeight="1">
      <x:c r="A571" s="10" t="n">
        <x:v>570</x:v>
      </x:c>
      <x:c r="B571" s="10" t="str">
        <x:v>ADMIN-11-0005</x:v>
      </x:c>
      <x:c r="C571" s="10" t="str">
        <x:v>运营账号</x:v>
      </x:c>
      <x:c r="D571" s="10" t="str">
        <x:v>账号列表（平台管理员视角）</x:v>
      </x:c>
      <x:c r="E571" s="10" t="str">
        <x:v>业务流程</x:v>
      </x:c>
      <x:c r="F571" s="10" t="str">
        <x:v>P1</x:v>
      </x:c>
      <x:c r="G571" s="9" t="str">
        <x:v>验证平台不可创建运营账号</x:v>
      </x:c>
      <x:c r="H571" s="9" t="str">
        <x:v>运营创建端边界</x:v>
      </x:c>
      <x:c r="I571" s="9" t="str">
        <x:v>1. 执行角色为平台管理员
2. 管理员有运营账号查看管理权限</x:v>
      </x:c>
      <x:c r="J571" s="9" t="str">
        <x:v>1. 进入运营账号列表</x:v>
      </x:c>
      <x:c r="K571" s="9" t="str">
        <x:v>不提供创建运营账号操作</x:v>
      </x:c>
      <x:c r="L571" s="10" t="str"/>
      <x:c r="M571" s="10" t="str">
        <x:v>未测</x:v>
      </x:c>
      <x:c r="N571" s="10" t="str"/>
      <x:c r="O571" s="9" t="str">
        <x:v>1. 来源（当前证据）：liveshow-proto/MainBasis/统一需求文档.md；位置：行3400
2. 规则：BR-c0c6e0c10dfb6fb5
3. 未动态验证</x:v>
      </x:c>
    </x:row>
    <x:row r="572" ht="85" customHeight="1">
      <x:c r="A572" s="10" t="n">
        <x:v>571</x:v>
      </x:c>
      <x:c r="B572" s="10" t="str">
        <x:v>ADMIN-11-0006</x:v>
      </x:c>
      <x:c r="C572" s="10" t="str">
        <x:v>运营账号</x:v>
      </x:c>
      <x:c r="D572" s="10" t="str">
        <x:v>账号列表（平台管理员视角）</x:v>
      </x:c>
      <x:c r="E572" s="10" t="str">
        <x:v>业务流程</x:v>
      </x:c>
      <x:c r="F572" s="10" t="str">
        <x:v>P1</x:v>
      </x:c>
      <x:c r="G572" s="9" t="str">
        <x:v>验证平台不可发放虚拟金币</x:v>
      </x:c>
      <x:c r="H572" s="9" t="str">
        <x:v>虚拟金币发放端边界</x:v>
      </x:c>
      <x:c r="I572" s="9" t="str">
        <x:v>1. 执行角色为平台管理员
2. 管理员有运营账号查看管理权限</x:v>
      </x:c>
      <x:c r="J572" s="9" t="str">
        <x:v>1. 进入运营账号列表
2. 打开账号甲</x:v>
      </x:c>
      <x:c r="K572" s="9" t="str">
        <x:v>不提供发放虚拟金币操作</x:v>
      </x:c>
      <x:c r="L572" s="10" t="str"/>
      <x:c r="M572" s="10" t="str">
        <x:v>未测</x:v>
      </x:c>
      <x:c r="N572" s="10" t="str"/>
      <x:c r="O572" s="9" t="str">
        <x:v>1. 来源（当前证据）：liveshow-proto/MainBasis/统一需求文档.md；位置：行3400、行3423
2. 规则：BR-b108409e284461e3
3. 未动态验证</x:v>
      </x:c>
    </x:row>
    <x:row r="573" ht="115" customHeight="1">
      <x:c r="A573" s="10" t="n">
        <x:v>572</x:v>
      </x:c>
      <x:c r="B573" s="10" t="str">
        <x:v>ADMIN-11-0007</x:v>
      </x:c>
      <x:c r="C573" s="10" t="str">
        <x:v>运营账号</x:v>
      </x:c>
      <x:c r="D573" s="10" t="str">
        <x:v>账号列表（平台管理员视角）</x:v>
      </x:c>
      <x:c r="E573" s="10" t="str">
        <x:v>功能需求</x:v>
      </x:c>
      <x:c r="F573" s="10" t="str">
        <x:v>P2</x:v>
      </x:c>
      <x:c r="G573" s="9" t="str">
        <x:v>验证运营后台打开目标账号详情</x:v>
      </x:c>
      <x:c r="H573" s="9" t="str">
        <x:v>后台运营账号导航</x:v>
      </x:c>
      <x:c r="I573" s="9" t="str">
        <x:v>1. 执行角色为平台管理员
2. 运营账号甲乙存在，所属公会不同</x:v>
      </x:c>
      <x:c r="J573" s="9" t="str">
        <x:v>1. 进入运营账号列表
2. 点击甲详情</x:v>
      </x:c>
      <x:c r="K573" s="9" t="str">
        <x:v>打开甲运营账号详情</x:v>
      </x:c>
      <x:c r="L573" s="10" t="str"/>
      <x:c r="M573" s="10" t="str">
        <x:v>未测</x:v>
      </x:c>
      <x:c r="N573" s="10" t="str"/>
      <x:c r="O573" s="9" t="str">
        <x:v>1. 来源（当前证据）：liveshow-proto/MainBasis/统一需求文档.md；位置：行3402
2. 规则：BR-d331b3c75a136ac5
3. 未动态验证
4. 数据别名：甲、乙、丙用于区分本条测试对象；按前置条件准备并记录实际账号或记录 ID，不是固定业务名称。</x:v>
      </x:c>
    </x:row>
    <x:row r="574" ht="70" customHeight="1">
      <x:c r="A574" s="10" t="n">
        <x:v>573</x:v>
      </x:c>
      <x:c r="B574" s="10" t="str">
        <x:v>ADMIN-11-0008</x:v>
      </x:c>
      <x:c r="C574" s="10" t="str">
        <x:v>运营账号</x:v>
      </x:c>
      <x:c r="D574" s="10" t="str">
        <x:v>运营账号主页（平台管理员视角）</x:v>
      </x:c>
      <x:c r="E574" s="10" t="str">
        <x:v>功能需求</x:v>
      </x:c>
      <x:c r="F574" s="10" t="str">
        <x:v>P2</x:v>
      </x:c>
      <x:c r="G574" s="9" t="str">
        <x:v>验证运营账号主页读取登录账号</x:v>
      </x:c>
      <x:c r="H574" s="9" t="str">
        <x:v>登录账号回显</x:v>
      </x:c>
      <x:c r="I574" s="9" t="str">
        <x:v>1. 执行角色为平台管理员
2. 所选运营账号公会维护资料的登录账号为“operation@example.com”</x:v>
      </x:c>
      <x:c r="J574" s="9" t="str">
        <x:v>1. 进入运营账号主页
2. 查看登录账号</x:v>
      </x:c>
      <x:c r="K574" s="9" t="str">
        <x:v>登录账号显示“operation@example.com”</x:v>
      </x:c>
      <x:c r="L574" s="10" t="str"/>
      <x:c r="M574" s="10" t="str">
        <x:v>未测</x:v>
      </x:c>
      <x:c r="N574" s="10" t="str"/>
      <x:c r="O574" s="9" t="str">
        <x:v>1. 来源（当前证据）：liveshow-proto/MainBasis/统一需求文档.md；位置：行3407
2. 规则：BR-25f3720060323d8a
3. 未动态验证</x:v>
      </x:c>
    </x:row>
    <x:row r="575" ht="115" customHeight="1">
      <x:c r="A575" s="10" t="n">
        <x:v>574</x:v>
      </x:c>
      <x:c r="B575" s="10" t="str">
        <x:v>ADMIN-11-0009</x:v>
      </x:c>
      <x:c r="C575" s="10" t="str">
        <x:v>运营账号</x:v>
      </x:c>
      <x:c r="D575" s="10" t="str">
        <x:v>运营账号主页（平台管理员视角）</x:v>
      </x:c>
      <x:c r="E575" s="10" t="str">
        <x:v>功能需求</x:v>
      </x:c>
      <x:c r="F575" s="10" t="str">
        <x:v>P2</x:v>
      </x:c>
      <x:c r="G575" s="9" t="str">
        <x:v>验证运营账号主页读取所属公会</x:v>
      </x:c>
      <x:c r="H575" s="9" t="str">
        <x:v>所属公会回显</x:v>
      </x:c>
      <x:c r="I575" s="9" t="str">
        <x:v>1. 执行角色为平台管理员
2. 所选运营账号关系的所属公会为“公会甲”</x:v>
      </x:c>
      <x:c r="J575" s="9" t="str">
        <x:v>1. 进入运营账号主页
2. 查看所属公会</x:v>
      </x:c>
      <x:c r="K575" s="9" t="str">
        <x:v>所属公会显示“公会甲”</x:v>
      </x:c>
      <x:c r="L575" s="10" t="str"/>
      <x:c r="M575" s="10" t="str">
        <x:v>未测</x:v>
      </x:c>
      <x:c r="N575" s="10" t="str"/>
      <x:c r="O575" s="9" t="str">
        <x:v>1. 来源（当前证据）：liveshow-proto/MainBasis/统一需求文档.md；位置：行3407
2. 规则：BR-0aec11e137b68cb5
3. 未动态验证
4. 数据别名：甲、乙、丙用于区分本条测试对象；按前置条件准备并记录实际账号或记录 ID，不是固定业务名称。</x:v>
      </x:c>
    </x:row>
    <x:row r="576" ht="70" customHeight="1">
      <x:c r="A576" s="10" t="n">
        <x:v>575</x:v>
      </x:c>
      <x:c r="B576" s="10" t="str">
        <x:v>ADMIN-11-0010</x:v>
      </x:c>
      <x:c r="C576" s="10" t="str">
        <x:v>运营账号</x:v>
      </x:c>
      <x:c r="D576" s="10" t="str">
        <x:v>运营账号主页（平台管理员视角）</x:v>
      </x:c>
      <x:c r="E576" s="10" t="str">
        <x:v>逻辑校验</x:v>
      </x:c>
      <x:c r="F576" s="10" t="str">
        <x:v>P1</x:v>
      </x:c>
      <x:c r="G576" s="9" t="str">
        <x:v>验证运营虚拟余额按发放减成功消费</x:v>
      </x:c>
      <x:c r="H576" s="9" t="str">
        <x:v>运营账号虚拟余额</x:v>
      </x:c>
      <x:c r="I576" s="9" t="str">
        <x:v>1. 执行角色为平台管理员
2. 成功发放1000虚拟金币，成功消费300，失败消费200不扣款</x:v>
      </x:c>
      <x:c r="J576" s="9" t="str">
        <x:v>1. 进入运营账号主页</x:v>
      </x:c>
      <x:c r="K576" s="9" t="str">
        <x:v>运营账号虚拟余额按1000-300计算=700金币</x:v>
      </x:c>
      <x:c r="L576" s="10" t="str"/>
      <x:c r="M576" s="10" t="str">
        <x:v>未测</x:v>
      </x:c>
      <x:c r="N576" s="10" t="str"/>
      <x:c r="O576" s="9" t="str">
        <x:v>1. 来源（当前证据）：liveshow-proto/MainBasis/统一需求文档.md；位置：行3408
2. 规则：BR-759744dc56e3d45d
3. 未动态验证</x:v>
      </x:c>
    </x:row>
    <x:row r="577" ht="115" customHeight="1">
      <x:c r="A577" s="10" t="n">
        <x:v>576</x:v>
      </x:c>
      <x:c r="B577" s="10" t="str">
        <x:v>ADMIN-11-0011</x:v>
      </x:c>
      <x:c r="C577" s="10" t="str">
        <x:v>运营账号</x:v>
      </x:c>
      <x:c r="D577" s="10" t="str">
        <x:v>运营账号主页（平台管理员视角）</x:v>
      </x:c>
      <x:c r="E577" s="10" t="str">
        <x:v>业务流程</x:v>
      </x:c>
      <x:c r="F577" s="10" t="str">
        <x:v>P1</x:v>
      </x:c>
      <x:c r="G577" s="9" t="str">
        <x:v>验证平台不可重置运营账号密码</x:v>
      </x:c>
      <x:c r="H577" s="9" t="str">
        <x:v>运营账号密码管理归属</x:v>
      </x:c>
      <x:c r="I577" s="9" t="str">
        <x:v>1. 执行角色为平台管理员
2. 运营账号甲属于公会乙</x:v>
      </x:c>
      <x:c r="J577" s="9" t="str">
        <x:v>1. 进入运营账号甲详情</x:v>
      </x:c>
      <x:c r="K577" s="9" t="str">
        <x:v>不提供平台可执行的重置密码操作</x:v>
      </x:c>
      <x:c r="L577" s="10" t="str"/>
      <x:c r="M577" s="10" t="str">
        <x:v>未测</x:v>
      </x:c>
      <x:c r="N577" s="10" t="str"/>
      <x:c r="O577" s="9" t="str">
        <x:v>1. 来源（当前证据）：liveshow-proto/MainBasis/统一需求文档.md；位置：行3413
2. 规则：BR-3cf06f86c5a7132a
3. 未动态验证
4. 数据别名：甲、乙、丙用于区分本条测试对象；按前置条件准备并记录实际账号或记录 ID，不是固定业务名称。</x:v>
      </x:c>
    </x:row>
    <x:row r="578" ht="115" customHeight="1">
      <x:c r="A578" s="10" t="n">
        <x:v>577</x:v>
      </x:c>
      <x:c r="B578" s="10" t="str">
        <x:v>ADMIN-11-0012</x:v>
      </x:c>
      <x:c r="C578" s="10" t="str">
        <x:v>运营账号</x:v>
      </x:c>
      <x:c r="D578" s="10" t="str">
        <x:v>运营账号主页（平台管理员视角）</x:v>
      </x:c>
      <x:c r="E578" s="10" t="str">
        <x:v>业务流程</x:v>
      </x:c>
      <x:c r="F578" s="10" t="str">
        <x:v>P1</x:v>
      </x:c>
      <x:c r="G578" s="9" t="str">
        <x:v>验证平台不可编辑运营资料</x:v>
      </x:c>
      <x:c r="H578" s="9" t="str">
        <x:v>运营资料管理归属</x:v>
      </x:c>
      <x:c r="I578" s="9" t="str">
        <x:v>1. 执行角色为平台管理员
2. 运营账号甲属于公会乙</x:v>
      </x:c>
      <x:c r="J578" s="9" t="str">
        <x:v>1. 进入运营账号甲详情</x:v>
      </x:c>
      <x:c r="K578" s="9" t="str">
        <x:v>不提供平台可执行的资料编辑操作</x:v>
      </x:c>
      <x:c r="L578" s="10" t="str"/>
      <x:c r="M578" s="10" t="str">
        <x:v>未测</x:v>
      </x:c>
      <x:c r="N578" s="10" t="str"/>
      <x:c r="O578" s="9" t="str">
        <x:v>1. 来源（当前证据）：liveshow-proto/MainBasis/统一需求文档.md；位置：行3413
2. 规则：BR-18c8d18cd5b3ac41
3. 未动态验证
4. 数据别名：甲、乙、丙用于区分本条测试对象；按前置条件准备并记录实际账号或记录 ID，不是固定业务名称。</x:v>
      </x:c>
    </x:row>
    <x:row r="579" ht="115" customHeight="1">
      <x:c r="A579" s="10" t="n">
        <x:v>578</x:v>
      </x:c>
      <x:c r="B579" s="10" t="str">
        <x:v>ADMIN-11-0013</x:v>
      </x:c>
      <x:c r="C579" s="10" t="str">
        <x:v>运营账号</x:v>
      </x:c>
      <x:c r="D579" s="10" t="str">
        <x:v>运营账号主页（平台管理员视角）</x:v>
      </x:c>
      <x:c r="E579" s="10" t="str">
        <x:v>业务流程</x:v>
      </x:c>
      <x:c r="F579" s="10" t="str">
        <x:v>P1</x:v>
      </x:c>
      <x:c r="G579" s="9" t="str">
        <x:v>验证平台锁定运营管理留下记录</x:v>
      </x:c>
      <x:c r="H579" s="9" t="str">
        <x:v>运营平台锁定审计</x:v>
      </x:c>
      <x:c r="I579" s="9" t="str">
        <x:v>1. 执行角色为平台管理员
2. 账号甲未锁定；管理员乙具备锁定权限</x:v>
      </x:c>
      <x:c r="J579" s="9" t="str">
        <x:v>1. 进入运营账号甲详情
2. 锁定公会管理
3. 点击确认
4. 查看操作记录</x:v>
      </x:c>
      <x:c r="K579" s="9" t="str">
        <x:v>本次锁定记录操作人为管理员乙</x:v>
      </x:c>
      <x:c r="L579" s="10" t="str"/>
      <x:c r="M579" s="10" t="str">
        <x:v>未测</x:v>
      </x:c>
      <x:c r="N579" s="10" t="str"/>
      <x:c r="O579" s="9" t="str">
        <x:v>1. 来源（当前证据）：liveshow-proto/MainBasis/统一需求文档.md；位置：行3414
2. 规则：BR-f6c9777d0ce1ad58
3. 未动态验证
4. 数据别名：甲、乙、丙用于区分本条测试对象；按前置条件准备并记录实际账号或记录 ID，不是固定业务名称。</x:v>
      </x:c>
    </x:row>
    <x:row r="580" ht="100" customHeight="1">
      <x:c r="A580" s="10" t="n">
        <x:v>579</x:v>
      </x:c>
      <x:c r="B580" s="10" t="str">
        <x:v>ADMIN-11-0014</x:v>
      </x:c>
      <x:c r="C580" s="10" t="str">
        <x:v>运营账号</x:v>
      </x:c>
      <x:c r="D580" s="10" t="str">
        <x:v>发放记录（平台管理员视角）</x:v>
      </x:c>
      <x:c r="E580" s="10" t="str">
        <x:v>逻辑校验</x:v>
      </x:c>
      <x:c r="F580" s="10" t="str">
        <x:v>P1</x:v>
      </x:c>
      <x:c r="G580" s="9" t="str">
        <x:v>验证虚拟发放记录保存发后余额</x:v>
      </x:c>
      <x:c r="H580" s="9" t="str">
        <x:v>虚拟发放后余额</x:v>
      </x:c>
      <x:c r="I580" s="9" t="str">
        <x:v>1. 执行角色为平台管理员
2. 原虚拟余额100，本次公会发放50成功</x:v>
      </x:c>
      <x:c r="J580" s="9" t="str">
        <x:v>1. 进入发放记录
2. 查看本笔记录</x:v>
      </x:c>
      <x:c r="K580" s="9" t="str">
        <x:v>虚拟发放后余额按100+50计算=150金币</x:v>
      </x:c>
      <x:c r="L580" s="10" t="str">
        <x:v>FLOW-VIRTUAL-ISSUE</x:v>
      </x:c>
      <x:c r="M580" s="10" t="str">
        <x:v>未测</x:v>
      </x:c>
      <x:c r="N580" s="10" t="str"/>
      <x:c r="O580" s="9" t="str">
        <x:v>1. 来源（当前证据）：liveshow-proto/MainBasis/统一需求文档.md；位置：行3420
2. 规则：BR-f63bfb60d8aabaca
3. 未动态验证
4. 状态转换：ST-VIRTUAL-ISSUE；按同一业务对象的数据别名准备对应上下游记录</x:v>
      </x:c>
    </x:row>
    <x:row r="581" ht="115" customHeight="1">
      <x:c r="A581" s="10" t="n">
        <x:v>580</x:v>
      </x:c>
      <x:c r="B581" s="10" t="str">
        <x:v>ADMIN-11-0015</x:v>
      </x:c>
      <x:c r="C581" s="10" t="str">
        <x:v>运营账号</x:v>
      </x:c>
      <x:c r="D581" s="10" t="str">
        <x:v>发放记录（平台管理员视角）</x:v>
      </x:c>
      <x:c r="E581" s="10" t="str">
        <x:v>业务流程</x:v>
      </x:c>
      <x:c r="F581" s="10" t="str">
        <x:v>P1</x:v>
      </x:c>
      <x:c r="G581" s="9" t="str">
        <x:v>验证虚拟发放操作人为实际公会账号</x:v>
      </x:c>
      <x:c r="H581" s="9" t="str">
        <x:v>虚拟发放执行人</x:v>
      </x:c>
      <x:c r="I581" s="9" t="str">
        <x:v>1. 执行角色为平台管理员
2. 公会长甲向运营乙成功发放100虚拟金币</x:v>
      </x:c>
      <x:c r="J581" s="9" t="str">
        <x:v>1. 进入发放记录
2. 查询该笔记录</x:v>
      </x:c>
      <x:c r="K581" s="9" t="str">
        <x:v>操作人显示公会长甲</x:v>
      </x:c>
      <x:c r="L581" s="10" t="str"/>
      <x:c r="M581" s="10" t="str">
        <x:v>未测</x:v>
      </x:c>
      <x:c r="N581" s="10" t="str"/>
      <x:c r="O581" s="9" t="str">
        <x:v>1. 来源（当前证据）：liveshow-proto/MainBasis/统一需求文档.md；位置：行3421
2. 规则：BR-4083920d308a61ab
3. 未动态验证
4. 数据别名：甲、乙、丙用于区分本条测试对象；按前置条件准备并记录实际账号或记录 ID，不是固定业务名称。</x:v>
      </x:c>
    </x:row>
    <x:row r="582" ht="115" customHeight="1">
      <x:c r="A582" s="10" t="n">
        <x:v>581</x:v>
      </x:c>
      <x:c r="B582" s="10" t="str">
        <x:v>ADMIN-11-0016</x:v>
      </x:c>
      <x:c r="C582" s="10" t="str">
        <x:v>运营账号</x:v>
      </x:c>
      <x:c r="D582" s="10" t="str">
        <x:v>发放记录（平台管理员视角）</x:v>
      </x:c>
      <x:c r="E582" s="10" t="str">
        <x:v>业务流程</x:v>
      </x:c>
      <x:c r="F582" s="10" t="str">
        <x:v>P1</x:v>
      </x:c>
      <x:c r="G582" s="9" t="str">
        <x:v>验证虚拟发放按成功时间计月份</x:v>
      </x:c>
      <x:c r="H582" s="9" t="str">
        <x:v>发放归属月份</x:v>
      </x:c>
      <x:c r="I582" s="9" t="str">
        <x:v>1. 执行角色为平台管理员
2. 发放甲8月31日成功，发放乙9月1日成功</x:v>
      </x:c>
      <x:c r="J582" s="9" t="str">
        <x:v>1. 进入发放记录
2. 选择9月
3. 点击查询</x:v>
      </x:c>
      <x:c r="K582" s="9" t="str">
        <x:v>查询不包含8月31日的甲</x:v>
      </x:c>
      <x:c r="L582" s="10" t="str"/>
      <x:c r="M582" s="10" t="str">
        <x:v>未测</x:v>
      </x:c>
      <x:c r="N582" s="10" t="str"/>
      <x:c r="O582" s="9" t="str">
        <x:v>1. 来源（当前证据）：liveshow-proto/MainBasis/统一需求文档.md；位置：行3422
2. 规则：BR-5af45b3763a83725
3. 未动态验证
4. 数据别名：甲、乙、丙用于区分本条测试对象；按前置条件准备并记录实际账号或记录 ID，不是固定业务名称。</x:v>
      </x:c>
    </x:row>
    <x:row r="583" ht="130" customHeight="1">
      <x:c r="A583" s="10" t="n">
        <x:v>582</x:v>
      </x:c>
      <x:c r="B583" s="10" t="str">
        <x:v>ADMIN-11-0017</x:v>
      </x:c>
      <x:c r="C583" s="10" t="str">
        <x:v>运营账号</x:v>
      </x:c>
      <x:c r="D583" s="10" t="str">
        <x:v>发放记录（平台管理员视角）</x:v>
      </x:c>
      <x:c r="E583" s="10" t="str">
        <x:v>功能需求</x:v>
      </x:c>
      <x:c r="F583" s="10" t="str">
        <x:v>P2</x:v>
      </x:c>
      <x:c r="G583" s="9" t="str">
        <x:v>验证发放记录两个筛选条件共同生效</x:v>
      </x:c>
      <x:c r="H583" s="9" t="str">
        <x:v>发放记录查询交集</x:v>
      </x:c>
      <x:c r="I583" s="9" t="str">
        <x:v>1. 执行角色为平台管理员
2. 准备三条当前范围有效记录：记录甲同时满足公会=测试公会甲条件与账号=该公会测试运营账号甲条件；记录乙仅满足公会=测试公会甲；记录丙仅满足账号=该公会测试运营账号甲；选值采用本页可用配置</x:v>
      </x:c>
      <x:c r="J583" s="9" t="str">
        <x:v>1. 进入发放记录
2. 选择上述公会=测试公会甲条件
3. 选择上述账号=该公会测试运营账号甲条件
4. 点击查询</x:v>
      </x:c>
      <x:c r="K583" s="9" t="str">
        <x:v>结果集合仅包含记录甲</x:v>
      </x:c>
      <x:c r="L583" s="10" t="str"/>
      <x:c r="M583" s="10" t="str">
        <x:v>未测</x:v>
      </x:c>
      <x:c r="N583" s="10" t="str"/>
      <x:c r="O583" s="9" t="str">
        <x:v>1. 来源（当前证据）：liveshow-proto/MainBasis/统一需求文档.md；位置：行3425
2. 规则：BR-e7fd6a00550337df
3. 未动态验证
4. 数据别名：甲、乙、丙用于区分本条测试对象；按前置条件准备并记录实际账号或记录 ID，不是固定业务名称。</x:v>
      </x:c>
    </x:row>
    <x:row r="584" ht="115" customHeight="1">
      <x:c r="A584" s="10" t="n">
        <x:v>583</x:v>
      </x:c>
      <x:c r="B584" s="10" t="str">
        <x:v>ADMIN-11-0018</x:v>
      </x:c>
      <x:c r="C584" s="10" t="str">
        <x:v>运营账号</x:v>
      </x:c>
      <x:c r="D584" s="10" t="str">
        <x:v>发放记录（平台管理员视角）</x:v>
      </x:c>
      <x:c r="E584" s="10" t="str">
        <x:v>功能需求</x:v>
      </x:c>
      <x:c r="F584" s="10" t="str">
        <x:v>P2</x:v>
      </x:c>
      <x:c r="G584" s="9" t="str">
        <x:v>验证发放记录没有同时满足条件的记录</x:v>
      </x:c>
      <x:c r="H584" s="9" t="str">
        <x:v>发放记录查询空集合</x:v>
      </x:c>
      <x:c r="I584" s="9" t="str">
        <x:v>1. 执行角色为平台管理员
2. 准备数据中没有记录同时满足公会=测试公会甲和账号=该公会测试运营账号甲两个条件</x:v>
      </x:c>
      <x:c r="J584" s="9" t="str">
        <x:v>1. 进入发放记录
2. 选择公会=测试公会甲
3. 选择账号=该公会测试运营账号甲
4. 点击查询</x:v>
      </x:c>
      <x:c r="K584" s="9" t="str">
        <x:v>结果集合为空</x:v>
      </x:c>
      <x:c r="L584" s="10" t="str"/>
      <x:c r="M584" s="10" t="str">
        <x:v>未测</x:v>
      </x:c>
      <x:c r="N584" s="10" t="str"/>
      <x:c r="O584" s="9" t="str">
        <x:v>1. 来源（当前证据）：liveshow-proto/MainBasis/统一需求文档.md；位置：行3425
2. 规则：BR-7060d38298a6d136
3. 未动态验证
4. 数据别名：甲、乙、丙用于区分本条测试对象；按前置条件准备并记录实际账号或记录 ID，不是固定业务名称。</x:v>
      </x:c>
    </x:row>
    <x:row r="585" ht="70" customHeight="1">
      <x:c r="A585" s="10" t="n">
        <x:v>584</x:v>
      </x:c>
      <x:c r="B585" s="10" t="str">
        <x:v>ADMIN-11-0019</x:v>
      </x:c>
      <x:c r="C585" s="10" t="str">
        <x:v>运营账号</x:v>
      </x:c>
      <x:c r="D585" s="10" t="str">
        <x:v>送礼记录（平台管理员视角）</x:v>
      </x:c>
      <x:c r="E585" s="10" t="str">
        <x:v>业务流程</x:v>
      </x:c>
      <x:c r="F585" s="10" t="str">
        <x:v>P1</x:v>
      </x:c>
      <x:c r="G585" s="9" t="str">
        <x:v>验证虚拟赠礼历史使用商品快照</x:v>
      </x:c>
      <x:c r="H585" s="9" t="str">
        <x:v>虚拟礼物历史名称</x:v>
      </x:c>
      <x:c r="I585" s="9" t="str">
        <x:v>1. 执行角色为平台管理员
2. 虚拟赠送时礼物名称玫瑰，后来改名红玫瑰</x:v>
      </x:c>
      <x:c r="J585" s="9" t="str">
        <x:v>1. 进入运营送礼记录
2. 打开该笔详情</x:v>
      </x:c>
      <x:c r="K585" s="9" t="str">
        <x:v>商品名称仍为玫瑰</x:v>
      </x:c>
      <x:c r="L585" s="10" t="str"/>
      <x:c r="M585" s="10" t="str">
        <x:v>未测</x:v>
      </x:c>
      <x:c r="N585" s="10" t="str"/>
      <x:c r="O585" s="9" t="str">
        <x:v>1. 来源（当前证据）：liveshow-proto/MainBasis/统一需求文档.md；位置：行3430
2. 规则：BR-b548461751166b9f
3. 未动态验证</x:v>
      </x:c>
    </x:row>
    <x:row r="586" ht="70" customHeight="1">
      <x:c r="A586" s="10" t="n">
        <x:v>585</x:v>
      </x:c>
      <x:c r="B586" s="10" t="str">
        <x:v>ADMIN-11-0020</x:v>
      </x:c>
      <x:c r="C586" s="10" t="str">
        <x:v>运营账号</x:v>
      </x:c>
      <x:c r="D586" s="10" t="str">
        <x:v>送礼记录（平台管理员视角）</x:v>
      </x:c>
      <x:c r="E586" s="10" t="str">
        <x:v>功能需求</x:v>
      </x:c>
      <x:c r="F586" s="10" t="str">
        <x:v>P2</x:v>
      </x:c>
      <x:c r="G586" s="9" t="str">
        <x:v>验证送礼记录读取礼物名称</x:v>
      </x:c>
      <x:c r="H586" s="9" t="str">
        <x:v>礼物名称回显</x:v>
      </x:c>
      <x:c r="I586" s="9" t="str">
        <x:v>1. 执行角色为平台管理员
2. 所选成功虚拟赠礼快照的礼物名称为“玫瑰”</x:v>
      </x:c>
      <x:c r="J586" s="9" t="str">
        <x:v>1. 进入送礼记录
2. 查看礼物名称</x:v>
      </x:c>
      <x:c r="K586" s="9" t="str">
        <x:v>礼物名称显示“玫瑰”</x:v>
      </x:c>
      <x:c r="L586" s="10" t="str"/>
      <x:c r="M586" s="10" t="str">
        <x:v>未测</x:v>
      </x:c>
      <x:c r="N586" s="10" t="str"/>
      <x:c r="O586" s="9" t="str">
        <x:v>1. 来源（当前证据）：liveshow-proto/MainBasis/统一需求文档.md；位置：行3430
2. 规则：BR-a16ace7a3aef7c77
3. 未动态验证</x:v>
      </x:c>
    </x:row>
    <x:row r="587" ht="70" customHeight="1">
      <x:c r="A587" s="10" t="n">
        <x:v>586</x:v>
      </x:c>
      <x:c r="B587" s="10" t="str">
        <x:v>ADMIN-11-0021</x:v>
      </x:c>
      <x:c r="C587" s="10" t="str">
        <x:v>运营账号</x:v>
      </x:c>
      <x:c r="D587" s="10" t="str">
        <x:v>送礼记录（平台管理员视角）</x:v>
      </x:c>
      <x:c r="E587" s="10" t="str">
        <x:v>逻辑校验</x:v>
      </x:c>
      <x:c r="F587" s="10" t="str">
        <x:v>P1</x:v>
      </x:c>
      <x:c r="G587" s="9" t="str">
        <x:v>验证虚拟送礼按单价份数扣款</x:v>
      </x:c>
      <x:c r="H587" s="9" t="str">
        <x:v>运营赠礼虚拟扣款</x:v>
      </x:c>
      <x:c r="I587" s="9" t="str">
        <x:v>1. 执行角色为平台管理员
2. 普通礼物成交价20，成功送出3个</x:v>
      </x:c>
      <x:c r="J587" s="9" t="str">
        <x:v>1. 进入运营送礼记录
2. 查看本笔</x:v>
      </x:c>
      <x:c r="K587" s="9" t="str">
        <x:v>运营赠礼虚拟扣款按20×3计算=60金币</x:v>
      </x:c>
      <x:c r="L587" s="10" t="str"/>
      <x:c r="M587" s="10" t="str">
        <x:v>未测</x:v>
      </x:c>
      <x:c r="N587" s="10" t="str"/>
      <x:c r="O587" s="9" t="str">
        <x:v>1. 来源（当前证据）：liveshow-proto/MainBasis/统一需求文档.md；位置：行3431
2. 规则：BR-7e190a0c09b7b9e7
3. 未动态验证</x:v>
      </x:c>
    </x:row>
    <x:row r="588" ht="130" customHeight="1">
      <x:c r="A588" s="10" t="n">
        <x:v>587</x:v>
      </x:c>
      <x:c r="B588" s="10" t="str">
        <x:v>ADMIN-11-0022</x:v>
      </x:c>
      <x:c r="C588" s="10" t="str">
        <x:v>运营账号</x:v>
      </x:c>
      <x:c r="D588" s="10" t="str">
        <x:v>送礼记录（平台管理员视角）</x:v>
      </x:c>
      <x:c r="E588" s="10" t="str">
        <x:v>功能需求</x:v>
      </x:c>
      <x:c r="F588" s="10" t="str">
        <x:v>P2</x:v>
      </x:c>
      <x:c r="G588" s="9" t="str">
        <x:v>验证运营送礼记录两个筛选条件共同生效</x:v>
      </x:c>
      <x:c r="H588" s="9" t="str">
        <x:v>运营送礼记录查询交集</x:v>
      </x:c>
      <x:c r="I588" s="9" t="str">
        <x:v>1. 执行角色为平台管理员
2. 准备三条当前范围有效记录：记录甲同时满足公会=测试公会甲条件与账号=该公会测试运营账号甲条件；记录乙仅满足公会=测试公会甲；记录丙仅满足账号=该公会测试运营账号甲；选值采用本页可用配置</x:v>
      </x:c>
      <x:c r="J588" s="9" t="str">
        <x:v>1. 进入运营送礼记录
2. 选择上述公会=测试公会甲条件
3. 选择上述账号=该公会测试运营账号甲条件
4. 点击查询</x:v>
      </x:c>
      <x:c r="K588" s="9" t="str">
        <x:v>结果集合仅包含记录甲</x:v>
      </x:c>
      <x:c r="L588" s="10" t="str"/>
      <x:c r="M588" s="10" t="str">
        <x:v>未测</x:v>
      </x:c>
      <x:c r="N588" s="10" t="str"/>
      <x:c r="O588" s="9" t="str">
        <x:v>1. 来源（当前证据）：liveshow-proto/MainBasis/统一需求文档.md；位置：行3435
2. 规则：BR-0d55c301cdad7e4d
3. 未动态验证
4. 数据别名：甲、乙、丙用于区分本条测试对象；按前置条件准备并记录实际账号或记录 ID，不是固定业务名称。</x:v>
      </x:c>
    </x:row>
    <x:row r="589" ht="115" customHeight="1">
      <x:c r="A589" s="10" t="n">
        <x:v>588</x:v>
      </x:c>
      <x:c r="B589" s="10" t="str">
        <x:v>ADMIN-11-0023</x:v>
      </x:c>
      <x:c r="C589" s="10" t="str">
        <x:v>运营账号</x:v>
      </x:c>
      <x:c r="D589" s="10" t="str">
        <x:v>送礼记录（平台管理员视角）</x:v>
      </x:c>
      <x:c r="E589" s="10" t="str">
        <x:v>功能需求</x:v>
      </x:c>
      <x:c r="F589" s="10" t="str">
        <x:v>P2</x:v>
      </x:c>
      <x:c r="G589" s="9" t="str">
        <x:v>验证运营送礼记录没有同时满足条件的记录</x:v>
      </x:c>
      <x:c r="H589" s="9" t="str">
        <x:v>运营送礼记录查询空集合</x:v>
      </x:c>
      <x:c r="I589" s="9" t="str">
        <x:v>1. 执行角色为平台管理员
2. 准备数据中没有记录同时满足公会=测试公会甲和账号=该公会测试运营账号甲两个条件</x:v>
      </x:c>
      <x:c r="J589" s="9" t="str">
        <x:v>1. 进入运营送礼记录
2. 选择公会=测试公会甲
3. 选择账号=该公会测试运营账号甲
4. 点击查询</x:v>
      </x:c>
      <x:c r="K589" s="9" t="str">
        <x:v>结果集合为空</x:v>
      </x:c>
      <x:c r="L589" s="10" t="str"/>
      <x:c r="M589" s="10" t="str">
        <x:v>未测</x:v>
      </x:c>
      <x:c r="N589" s="10" t="str"/>
      <x:c r="O589" s="9" t="str">
        <x:v>1. 来源（当前证据）：liveshow-proto/MainBasis/统一需求文档.md；位置：行3435
2. 规则：BR-410ead58b5b292ac
3. 未动态验证
4. 数据别名：甲、乙、丙用于区分本条测试对象；按前置条件准备并记录实际账号或记录 ID，不是固定业务名称。</x:v>
      </x:c>
    </x:row>
    <x:row r="590" ht="115" customHeight="1">
      <x:c r="A590" s="10" t="n">
        <x:v>589</x:v>
      </x:c>
      <x:c r="B590" s="10" t="str">
        <x:v>ADMIN-11-0024</x:v>
      </x:c>
      <x:c r="C590" s="10" t="str">
        <x:v>运营账号</x:v>
      </x:c>
      <x:c r="D590" s="10" t="str">
        <x:v>额度限制（平台管理员视角）</x:v>
      </x:c>
      <x:c r="E590" s="10" t="str">
        <x:v>逻辑校验</x:v>
      </x:c>
      <x:c r="F590" s="10" t="str">
        <x:v>P1</x:v>
      </x:c>
      <x:c r="G590" s="9" t="str">
        <x:v>验证额度限制本月累计已发放按当前对象求和</x:v>
      </x:c>
      <x:c r="H590" s="9" t="str">
        <x:v>本月累计已发放计算范围</x:v>
      </x:c>
      <x:c r="I590" s="9" t="str">
        <x:v>1. 执行角色为平台管理员
2. 本公会本月成功给甲发100、给乙发200；失败发放500不计</x:v>
      </x:c>
      <x:c r="J590" s="9" t="str">
        <x:v>1. 进入额度限制
2. 查看前置条件指定对象及范围的本月累计已发放</x:v>
      </x:c>
      <x:c r="K590" s="9" t="str">
        <x:v>本月累计已发放按100+200计算=300虚拟金币</x:v>
      </x:c>
      <x:c r="L590" s="10" t="str"/>
      <x:c r="M590" s="10" t="str">
        <x:v>未测</x:v>
      </x:c>
      <x:c r="N590" s="10" t="str"/>
      <x:c r="O590" s="9" t="str">
        <x:v>1. 来源（当前证据）：liveshow-proto/MainBasis/统一需求文档.md；位置：行3442
2. 规则：BR-fa8715a4150ad56a
3. 未动态验证
4. 数据别名：甲、乙、丙用于区分本条测试对象；按前置条件准备并记录实际账号或记录 ID，不是固定业务名称。</x:v>
      </x:c>
    </x:row>
    <x:row r="591" ht="115" customHeight="1">
      <x:c r="A591" s="10" t="n">
        <x:v>590</x:v>
      </x:c>
      <x:c r="B591" s="10" t="str">
        <x:v>ADMIN-11-0025</x:v>
      </x:c>
      <x:c r="C591" s="10" t="str">
        <x:v>运营账号</x:v>
      </x:c>
      <x:c r="D591" s="10" t="str">
        <x:v>额度限制（平台管理员视角）</x:v>
      </x:c>
      <x:c r="E591" s="10" t="str">
        <x:v>逻辑校验</x:v>
      </x:c>
      <x:c r="F591" s="10" t="str">
        <x:v>P1</x:v>
      </x:c>
      <x:c r="G591" s="9" t="str">
        <x:v>验证额度限制账户余额累计按当前对象求和</x:v>
      </x:c>
      <x:c r="H591" s="9" t="str">
        <x:v>账户余额累计计算范围</x:v>
      </x:c>
      <x:c r="I591" s="9" t="str">
        <x:v>1. 执行角色为平台管理员
2. 本公会仅运营甲乙，当前虚拟余额100、200；外公会余额500排除</x:v>
      </x:c>
      <x:c r="J591" s="9" t="str">
        <x:v>1. 进入额度限制
2. 查看前置条件指定对象及范围的账户余额累计</x:v>
      </x:c>
      <x:c r="K591" s="9" t="str">
        <x:v>账户余额累计按100+200计算=300虚拟金币</x:v>
      </x:c>
      <x:c r="L591" s="10" t="str"/>
      <x:c r="M591" s="10" t="str">
        <x:v>未测</x:v>
      </x:c>
      <x:c r="N591" s="10" t="str"/>
      <x:c r="O591" s="9" t="str">
        <x:v>1. 来源（当前证据）：liveshow-proto/MainBasis/统一需求文档.md；位置：行3443
2. 规则：BR-3f749cb9cd26aca1
3. 未动态验证
4. 数据别名：甲、乙、丙用于区分本条测试对象；按前置条件准备并记录实际账号或记录 ID，不是固定业务名称。</x:v>
      </x:c>
    </x:row>
    <x:row r="592" ht="70" customHeight="1">
      <x:c r="A592" s="10" t="n">
        <x:v>591</x:v>
      </x:c>
      <x:c r="B592" s="10" t="str">
        <x:v>ADMIN-11-0026</x:v>
      </x:c>
      <x:c r="C592" s="10" t="str">
        <x:v>运营账号</x:v>
      </x:c>
      <x:c r="D592" s="10" t="str">
        <x:v>额度限制（平台管理员视角）</x:v>
      </x:c>
      <x:c r="E592" s="10" t="str">
        <x:v>逻辑校验</x:v>
      </x:c>
      <x:c r="F592" s="10" t="str">
        <x:v>P1</x:v>
      </x:c>
      <x:c r="G592" s="9" t="str">
        <x:v>验证额度限制本月累计消费按当前对象求和</x:v>
      </x:c>
      <x:c r="H592" s="9" t="str">
        <x:v>本月累计消费计算范围</x:v>
      </x:c>
      <x:c r="I592" s="9" t="str">
        <x:v>1. 执行角色为平台管理员
2. 本公会运营账号本月成功虚拟消费100、200；失败消费500排除</x:v>
      </x:c>
      <x:c r="J592" s="9" t="str">
        <x:v>1. 进入额度限制
2. 查看前置条件指定对象及范围的本月累计消费</x:v>
      </x:c>
      <x:c r="K592" s="9" t="str">
        <x:v>本月累计消费按100+200计算=300虚拟金币</x:v>
      </x:c>
      <x:c r="L592" s="10" t="str"/>
      <x:c r="M592" s="10" t="str">
        <x:v>未测</x:v>
      </x:c>
      <x:c r="N592" s="10" t="str"/>
      <x:c r="O592" s="9" t="str">
        <x:v>1. 来源（当前证据）：liveshow-proto/MainBasis/统一需求文档.md；位置：行3444
2. 规则：BR-a9660077e65ff2db
3. 未动态验证</x:v>
      </x:c>
    </x:row>
    <x:row r="593" ht="70" customHeight="1">
      <x:c r="A593" s="10" t="n">
        <x:v>592</x:v>
      </x:c>
      <x:c r="B593" s="10" t="str">
        <x:v>ADMIN-11-0027</x:v>
      </x:c>
      <x:c r="C593" s="10" t="str">
        <x:v>运营账号</x:v>
      </x:c>
      <x:c r="D593" s="10" t="str">
        <x:v>额度限制（平台管理员视角）</x:v>
      </x:c>
      <x:c r="E593" s="10" t="str">
        <x:v>逻辑校验</x:v>
      </x:c>
      <x:c r="F593" s="10" t="str">
        <x:v>P1</x:v>
      </x:c>
      <x:c r="G593" s="9" t="str">
        <x:v>验证公会剩余额度按月已发计算</x:v>
      </x:c>
      <x:c r="H593" s="9" t="str">
        <x:v>运营公会剩余额度</x:v>
      </x:c>
      <x:c r="I593" s="9" t="str">
        <x:v>1. 执行角色为平台管理员
2. 公会月限额1000，本月成功发放600，已消费500不恢复额度</x:v>
      </x:c>
      <x:c r="J593" s="9" t="str">
        <x:v>1. 进入额度限制
2. 查询公会</x:v>
      </x:c>
      <x:c r="K593" s="9" t="str">
        <x:v>运营公会剩余额度按max(1000-600,0)计算=400金币</x:v>
      </x:c>
      <x:c r="L593" s="10" t="str"/>
      <x:c r="M593" s="10" t="str">
        <x:v>未测</x:v>
      </x:c>
      <x:c r="N593" s="10" t="str"/>
      <x:c r="O593" s="9" t="str">
        <x:v>1. 来源（当前证据）：liveshow-proto/MainBasis/统一需求文档.md；位置：行3445
2. 规则：BR-3d742ae261c558f8
3. 未动态验证</x:v>
      </x:c>
    </x:row>
    <x:row r="594" ht="115" customHeight="1">
      <x:c r="A594" s="10" t="n">
        <x:v>593</x:v>
      </x:c>
      <x:c r="B594" s="10" t="str">
        <x:v>ADMIN-11-0028</x:v>
      </x:c>
      <x:c r="C594" s="10" t="str">
        <x:v>运营账号</x:v>
      </x:c>
      <x:c r="D594" s="10" t="str">
        <x:v>额度限制（平台管理员视角）</x:v>
      </x:c>
      <x:c r="E594" s="10" t="str">
        <x:v>业务流程</x:v>
      </x:c>
      <x:c r="F594" s="10" t="str">
        <x:v>P1</x:v>
      </x:c>
      <x:c r="G594" s="9" t="str">
        <x:v>验证公会额度不得低于当月已发</x:v>
      </x:c>
      <x:c r="H594" s="9" t="str">
        <x:v>公会月上限下界</x:v>
      </x:c>
      <x:c r="I594" s="9" t="str">
        <x:v>1. 执行角色为平台管理员
2. 公会甲本月已成功发放600金币</x:v>
      </x:c>
      <x:c r="J594" s="9" t="str">
        <x:v>1. 进入额度限制
2. 填写公会月上限599
3. 点击保存</x:v>
      </x:c>
      <x:c r="K594" s="9" t="str">
        <x:v>不接受低于已发600的上限</x:v>
      </x:c>
      <x:c r="L594" s="10" t="str"/>
      <x:c r="M594" s="10" t="str">
        <x:v>未测</x:v>
      </x:c>
      <x:c r="N594" s="10" t="str"/>
      <x:c r="O594" s="9" t="str">
        <x:v>1. 来源（当前证据）：liveshow-proto/MainBasis/统一需求文档.md；位置：行3447
2. 规则：BR-4294a8ab796a8101
3. 未动态验证
4. 数据别名：甲、乙、丙用于区分本条测试对象；按前置条件准备并记录实际账号或记录 ID，不是固定业务名称。</x:v>
      </x:c>
    </x:row>
    <x:row r="595" ht="115" customHeight="1">
      <x:c r="A595" s="10" t="n">
        <x:v>594</x:v>
      </x:c>
      <x:c r="B595" s="10" t="str">
        <x:v>ADMIN-11-0029</x:v>
      </x:c>
      <x:c r="C595" s="10" t="str">
        <x:v>运营账号</x:v>
      </x:c>
      <x:c r="D595" s="10" t="str">
        <x:v>额度限制（平台管理员视角）</x:v>
      </x:c>
      <x:c r="E595" s="10" t="str">
        <x:v>业务流程</x:v>
      </x:c>
      <x:c r="F595" s="10" t="str">
        <x:v>P1</x:v>
      </x:c>
      <x:c r="G595" s="9" t="str">
        <x:v>验证单账号上限不得低于月内最高已发</x:v>
      </x:c>
      <x:c r="H595" s="9" t="str">
        <x:v>单账号月上限下界</x:v>
      </x:c>
      <x:c r="I595" s="9" t="str">
        <x:v>1. 执行角色为平台管理员
2. 公会甲账号乙当月已发300，为所有账号最高</x:v>
      </x:c>
      <x:c r="J595" s="9" t="str">
        <x:v>1. 进入额度限制
2. 填写单账号月上限299
3. 点击保存</x:v>
      </x:c>
      <x:c r="K595" s="9" t="str">
        <x:v>不接受低于最高已发300的上限</x:v>
      </x:c>
      <x:c r="L595" s="10" t="str"/>
      <x:c r="M595" s="10" t="str">
        <x:v>未测</x:v>
      </x:c>
      <x:c r="N595" s="10" t="str"/>
      <x:c r="O595" s="9" t="str">
        <x:v>1. 来源（当前证据）：liveshow-proto/MainBasis/统一需求文档.md；位置：行3447
2. 规则：BR-63983ee96c84b923
3. 未动态验证
4. 数据别名：甲、乙、丙用于区分本条测试对象；按前置条件准备并记录实际账号或记录 ID，不是固定业务名称。</x:v>
      </x:c>
    </x:row>
    <x:row r="596" ht="70" customHeight="1">
      <x:c r="A596" s="10" t="n">
        <x:v>595</x:v>
      </x:c>
      <x:c r="B596" s="10" t="str">
        <x:v>ADMIN-11-0030</x:v>
      </x:c>
      <x:c r="C596" s="10" t="str">
        <x:v>运营账号</x:v>
      </x:c>
      <x:c r="D596" s="10" t="str">
        <x:v>额度限制（平台管理员视角）</x:v>
      </x:c>
      <x:c r="E596" s="10" t="str">
        <x:v>业务流程</x:v>
      </x:c>
      <x:c r="F596" s="10" t="str">
        <x:v>P1</x:v>
      </x:c>
      <x:c r="G596" s="9" t="str">
        <x:v>验证单账号月上限不能超过公会</x:v>
      </x:c>
      <x:c r="H596" s="9" t="str">
        <x:v>两级额度关系</x:v>
      </x:c>
      <x:c r="I596" s="9" t="str">
        <x:v>1. 执行角色为平台管理员
2. 公会月上限1000</x:v>
      </x:c>
      <x:c r="J596" s="9" t="str">
        <x:v>1. 进入额度限制
2. 填写单账号月上限1001
3. 点击保存</x:v>
      </x:c>
      <x:c r="K596" s="9" t="str">
        <x:v>不接受超过公会总上限的单账号上限</x:v>
      </x:c>
      <x:c r="L596" s="10" t="str"/>
      <x:c r="M596" s="10" t="str">
        <x:v>未测</x:v>
      </x:c>
      <x:c r="N596" s="10" t="str"/>
      <x:c r="O596" s="9" t="str">
        <x:v>1. 来源（当前证据）：liveshow-proto/MainBasis/统一需求文档.md；位置：行3447
2. 规则：BR-b0cb98d42993e42e
3. 未动态验证</x:v>
      </x:c>
    </x:row>
    <x:row r="597" ht="70" customHeight="1">
      <x:c r="A597" s="10" t="n">
        <x:v>596</x:v>
      </x:c>
      <x:c r="B597" s="10" t="str">
        <x:v>ADMIN-11-0031</x:v>
      </x:c>
      <x:c r="C597" s="10" t="str">
        <x:v>运营账号</x:v>
      </x:c>
      <x:c r="D597" s="10" t="str">
        <x:v>额度限制（平台管理员视角）</x:v>
      </x:c>
      <x:c r="E597" s="10" t="str">
        <x:v>功能需求</x:v>
      </x:c>
      <x:c r="F597" s="10" t="str">
        <x:v>P2</x:v>
      </x:c>
      <x:c r="G597" s="9" t="str">
        <x:v>验证额度修改限制后续发放</x:v>
      </x:c>
      <x:c r="H597" s="9" t="str">
        <x:v>虚拟金币额度后续生效</x:v>
      </x:c>
      <x:c r="I597" s="9" t="str">
        <x:v>1. 执行角色为平台管理员
2. 公会本月已发50，原上限100，调整后上限80</x:v>
      </x:c>
      <x:c r="J597" s="9" t="str">
        <x:v>1. 进入额度配置
2. 保存公会月上限80</x:v>
      </x:c>
      <x:c r="K597" s="9" t="str">
        <x:v>该公会剩余可发额度为30虚拟金币</x:v>
      </x:c>
      <x:c r="L597" s="10" t="str"/>
      <x:c r="M597" s="10" t="str">
        <x:v>未测</x:v>
      </x:c>
      <x:c r="N597" s="10" t="str"/>
      <x:c r="O597" s="9" t="str">
        <x:v>1. 来源（当前证据）：liveshow-proto/MainBasis/统一需求文档.md；位置：行3448
2. 规则：BR-1746927841ca384e
3. 未动态验证</x:v>
      </x:c>
    </x:row>
    <x:row r="598" ht="70" customHeight="1">
      <x:c r="A598" s="10" t="n">
        <x:v>597</x:v>
      </x:c>
      <x:c r="B598" s="10" t="str">
        <x:v>ADMIN-12-0001</x:v>
      </x:c>
      <x:c r="C598" s="10" t="str">
        <x:v>系统配置</x:v>
      </x:c>
      <x:c r="D598" s="10" t="str">
        <x:v>后台账号（超级管理员视角）</x:v>
      </x:c>
      <x:c r="E598" s="10" t="str">
        <x:v>功能需求</x:v>
      </x:c>
      <x:c r="F598" s="10" t="str">
        <x:v>P2</x:v>
      </x:c>
      <x:c r="G598" s="9" t="str">
        <x:v>验证后台账号读取账号ID</x:v>
      </x:c>
      <x:c r="H598" s="9" t="str">
        <x:v>账号ID回显</x:v>
      </x:c>
      <x:c r="I598" s="9" t="str">
        <x:v>1. 执行角色为超级管理员
2. 所选后台账号实际标识的账号ID为“990001”</x:v>
      </x:c>
      <x:c r="J598" s="9" t="str">
        <x:v>1. 进入后台账号
2. 查看账号ID</x:v>
      </x:c>
      <x:c r="K598" s="9" t="str">
        <x:v>账号ID显示“990001”</x:v>
      </x:c>
      <x:c r="L598" s="10" t="str"/>
      <x:c r="M598" s="10" t="str">
        <x:v>未测</x:v>
      </x:c>
      <x:c r="N598" s="10" t="str"/>
      <x:c r="O598" s="9" t="str">
        <x:v>1. 来源（当前证据）：liveshow-proto/MainBasis/统一需求文档.md；位置：行3453
2. 规则：BR-ac08e12c816cb7de
3. 未动态验证</x:v>
      </x:c>
    </x:row>
    <x:row r="599" ht="70" customHeight="1">
      <x:c r="A599" s="10" t="n">
        <x:v>598</x:v>
      </x:c>
      <x:c r="B599" s="10" t="str">
        <x:v>ADMIN-12-0002</x:v>
      </x:c>
      <x:c r="C599" s="10" t="str">
        <x:v>系统配置</x:v>
      </x:c>
      <x:c r="D599" s="10" t="str">
        <x:v>后台账号（超级管理员视角）</x:v>
      </x:c>
      <x:c r="E599" s="10" t="str">
        <x:v>功能需求</x:v>
      </x:c>
      <x:c r="F599" s="10" t="str">
        <x:v>P2</x:v>
      </x:c>
      <x:c r="G599" s="9" t="str">
        <x:v>验证后台账号读取后台账号</x:v>
      </x:c>
      <x:c r="H599" s="9" t="str">
        <x:v>后台账号回显</x:v>
      </x:c>
      <x:c r="I599" s="9" t="str">
        <x:v>1. 执行角色为超级管理员
2. 所选后台账号登录名的后台账号为“qa-admin”</x:v>
      </x:c>
      <x:c r="J599" s="9" t="str">
        <x:v>1. 进入后台账号
2. 查看后台账号</x:v>
      </x:c>
      <x:c r="K599" s="9" t="str">
        <x:v>后台账号显示“qa-admin”</x:v>
      </x:c>
      <x:c r="L599" s="10" t="str"/>
      <x:c r="M599" s="10" t="str">
        <x:v>未测</x:v>
      </x:c>
      <x:c r="N599" s="10" t="str"/>
      <x:c r="O599" s="9" t="str">
        <x:v>1. 来源（当前证据）：liveshow-proto/MainBasis/统一需求文档.md；位置：行3454
2. 规则：BR-1af822b3ade1c313
3. 未动态验证</x:v>
      </x:c>
    </x:row>
    <x:row r="600" ht="115" customHeight="1">
      <x:c r="A600" s="10" t="n">
        <x:v>599</x:v>
      </x:c>
      <x:c r="B600" s="10" t="str">
        <x:v>ADMIN-12-0003</x:v>
      </x:c>
      <x:c r="C600" s="10" t="str">
        <x:v>系统配置</x:v>
      </x:c>
      <x:c r="D600" s="10" t="str">
        <x:v>后台账号（超级管理员视角）</x:v>
      </x:c>
      <x:c r="E600" s="10" t="str">
        <x:v>功能需求</x:v>
      </x:c>
      <x:c r="F600" s="10" t="str">
        <x:v>P2</x:v>
      </x:c>
      <x:c r="G600" s="9" t="str">
        <x:v>验证后台账号读取姓名</x:v>
      </x:c>
      <x:c r="H600" s="9" t="str">
        <x:v>姓名回显</x:v>
      </x:c>
      <x:c r="I600" s="9" t="str">
        <x:v>1. 执行角色为超级管理员
2. 所选后台账号资料的姓名为“管理员甲”</x:v>
      </x:c>
      <x:c r="J600" s="9" t="str">
        <x:v>1. 进入后台账号
2. 查看姓名</x:v>
      </x:c>
      <x:c r="K600" s="9" t="str">
        <x:v>姓名显示“管理员甲”</x:v>
      </x:c>
      <x:c r="L600" s="10" t="str"/>
      <x:c r="M600" s="10" t="str">
        <x:v>未测</x:v>
      </x:c>
      <x:c r="N600" s="10" t="str"/>
      <x:c r="O600" s="9" t="str">
        <x:v>1. 来源（当前证据）：liveshow-proto/MainBasis/统一需求文档.md；位置：行3455
2. 规则：BR-fdbc0c79ac03b257
3. 未动态验证
4. 数据别名：甲、乙、丙用于区分本条测试对象；按前置条件准备并记录实际账号或记录 ID，不是固定业务名称。</x:v>
      </x:c>
    </x:row>
    <x:row r="601" ht="70" customHeight="1">
      <x:c r="A601" s="10" t="n">
        <x:v>600</x:v>
      </x:c>
      <x:c r="B601" s="10" t="str">
        <x:v>ADMIN-12-0004</x:v>
      </x:c>
      <x:c r="C601" s="10" t="str">
        <x:v>系统配置</x:v>
      </x:c>
      <x:c r="D601" s="10" t="str">
        <x:v>后台账号（超级管理员视角）</x:v>
      </x:c>
      <x:c r="E601" s="10" t="str">
        <x:v>功能需求</x:v>
      </x:c>
      <x:c r="F601" s="10" t="str">
        <x:v>P2</x:v>
      </x:c>
      <x:c r="G601" s="9" t="str">
        <x:v>验证后台账号读取状态</x:v>
      </x:c>
      <x:c r="H601" s="9" t="str">
        <x:v>状态回显</x:v>
      </x:c>
      <x:c r="I601" s="9" t="str">
        <x:v>1. 执行角色为超级管理员
2. 所选后台账号当前状态的状态为“停用”</x:v>
      </x:c>
      <x:c r="J601" s="9" t="str">
        <x:v>1. 进入后台账号
2. 查看状态</x:v>
      </x:c>
      <x:c r="K601" s="9" t="str">
        <x:v>状态显示“停用”</x:v>
      </x:c>
      <x:c r="L601" s="10" t="str"/>
      <x:c r="M601" s="10" t="str">
        <x:v>未测</x:v>
      </x:c>
      <x:c r="N601" s="10" t="str"/>
      <x:c r="O601" s="9" t="str">
        <x:v>1. 来源（当前证据）：liveshow-proto/MainBasis/统一需求文档.md；位置：行3456
2. 规则：BR-bad2260017c7424c
3. 未动态验证</x:v>
      </x:c>
    </x:row>
    <x:row r="602" ht="70" customHeight="1">
      <x:c r="A602" s="10" t="n">
        <x:v>601</x:v>
      </x:c>
      <x:c r="B602" s="10" t="str">
        <x:v>ADMIN-12-0005</x:v>
      </x:c>
      <x:c r="C602" s="10" t="str">
        <x:v>系统配置</x:v>
      </x:c>
      <x:c r="D602" s="10" t="str">
        <x:v>后台账号（超级管理员视角）</x:v>
      </x:c>
      <x:c r="E602" s="10" t="str">
        <x:v>业务流程</x:v>
      </x:c>
      <x:c r="F602" s="10" t="str">
        <x:v>P1</x:v>
      </x:c>
      <x:c r="G602" s="9" t="str">
        <x:v>验证内置超级管理员不可停用</x:v>
      </x:c>
      <x:c r="H602" s="9" t="str">
        <x:v>内置账号保护</x:v>
      </x:c>
      <x:c r="I602" s="9" t="str">
        <x:v>1. 执行角色为超级管理员
2. 当前操作者为超级管理员；目标为系统内置超级管理员</x:v>
      </x:c>
      <x:c r="J602" s="9" t="str">
        <x:v>1. 进入后台账号
2. 打开内置账号</x:v>
      </x:c>
      <x:c r="K602" s="9" t="str">
        <x:v>不提供停用操作</x:v>
      </x:c>
      <x:c r="L602" s="10" t="str"/>
      <x:c r="M602" s="10" t="str">
        <x:v>未测</x:v>
      </x:c>
      <x:c r="N602" s="10" t="str"/>
      <x:c r="O602" s="9" t="str">
        <x:v>1. 来源（当前证据）：liveshow-proto/MainBasis/统一需求文档.md；位置：行3458
2. 规则：BR-d7b6dfef8c97be07
3. 未动态验证</x:v>
      </x:c>
    </x:row>
    <x:row r="603" ht="115" customHeight="1">
      <x:c r="A603" s="10" t="n">
        <x:v>602</x:v>
      </x:c>
      <x:c r="B603" s="10" t="str">
        <x:v>ADMIN-12-0006</x:v>
      </x:c>
      <x:c r="C603" s="10" t="str">
        <x:v>系统配置</x:v>
      </x:c>
      <x:c r="D603" s="10" t="str">
        <x:v>账号编辑（超级管理员视角）</x:v>
      </x:c>
      <x:c r="E603" s="10" t="str">
        <x:v>功能需求</x:v>
      </x:c>
      <x:c r="F603" s="10" t="str">
        <x:v>P2</x:v>
      </x:c>
      <x:c r="G603" s="9" t="str">
        <x:v>验证后台账号ID只读</x:v>
      </x:c>
      <x:c r="H603" s="9" t="str">
        <x:v>后台账号标识只读</x:v>
      </x:c>
      <x:c r="I603" s="9" t="str">
        <x:v>1. 执行角色为超级管理员
2. 账号甲已经保存</x:v>
      </x:c>
      <x:c r="J603" s="9" t="str">
        <x:v>1. 进入甲账号详情
2. 点击ID</x:v>
      </x:c>
      <x:c r="K603" s="9" t="str">
        <x:v>账号ID不可编辑</x:v>
      </x:c>
      <x:c r="L603" s="10" t="str"/>
      <x:c r="M603" s="10" t="str">
        <x:v>未测</x:v>
      </x:c>
      <x:c r="N603" s="10" t="str"/>
      <x:c r="O603" s="9" t="str">
        <x:v>1. 来源（当前证据）：liveshow-proto/MainBasis/统一需求文档.md；位置：行3464
2. 规则：BR-5df5555aa34f8fdd
3. 未动态验证
4. 数据别名：甲、乙、丙用于区分本条测试对象；按前置条件准备并记录实际账号或记录 ID，不是固定业务名称。</x:v>
      </x:c>
    </x:row>
    <x:row r="604" ht="70" customHeight="1">
      <x:c r="A604" s="10" t="n">
        <x:v>603</x:v>
      </x:c>
      <x:c r="B604" s="10" t="str">
        <x:v>ADMIN-12-0007</x:v>
      </x:c>
      <x:c r="C604" s="10" t="str">
        <x:v>系统配置</x:v>
      </x:c>
      <x:c r="D604" s="10" t="str">
        <x:v>账号编辑（超级管理员视角）</x:v>
      </x:c>
      <x:c r="E604" s="10" t="str">
        <x:v>业务流程</x:v>
      </x:c>
      <x:c r="F604" s="10" t="str">
        <x:v>P1</x:v>
      </x:c>
      <x:c r="G604" s="9" t="str">
        <x:v>验证后台登录名全局唯一</x:v>
      </x:c>
      <x:c r="H604" s="9" t="str">
        <x:v>后台账号重复校验</x:v>
      </x:c>
      <x:c r="I604" s="9" t="str">
        <x:v>1. 执行角色为超级管理员
2. 已存在登录名qa-admin；姓名和有效角色已填写</x:v>
      </x:c>
      <x:c r="J604" s="9" t="str">
        <x:v>1. 进入账号编辑
2. 填写登录名qa-admin
3. 点击保存</x:v>
      </x:c>
      <x:c r="K604" s="9" t="str">
        <x:v>不能保存重复登录名</x:v>
      </x:c>
      <x:c r="L604" s="10" t="str"/>
      <x:c r="M604" s="10" t="str">
        <x:v>未测</x:v>
      </x:c>
      <x:c r="N604" s="10" t="str"/>
      <x:c r="O604" s="9" t="str">
        <x:v>1. 来源（当前证据）：liveshow-proto/MainBasis/统一需求文档.md；位置：行3465
2. 规则：BR-c61decd6593b0f64
3. 未动态验证</x:v>
      </x:c>
    </x:row>
    <x:row r="605" ht="115" customHeight="1">
      <x:c r="A605" s="10" t="n">
        <x:v>604</x:v>
      </x:c>
      <x:c r="B605" s="10" t="str">
        <x:v>ADMIN-12-0008</x:v>
      </x:c>
      <x:c r="C605" s="10" t="str">
        <x:v>系统配置</x:v>
      </x:c>
      <x:c r="D605" s="10" t="str">
        <x:v>账号编辑（超级管理员视角）</x:v>
      </x:c>
      <x:c r="E605" s="10" t="str">
        <x:v>业务流程</x:v>
      </x:c>
      <x:c r="F605" s="10" t="str">
        <x:v>P1</x:v>
      </x:c>
      <x:c r="G605" s="9" t="str">
        <x:v>验证后台账号不能绑定停用角色</x:v>
      </x:c>
      <x:c r="H605" s="9" t="str">
        <x:v>账号角色资格</x:v>
      </x:c>
      <x:c r="I605" s="9" t="str">
        <x:v>1. 执行角色为超级管理员
2. 角色甲已停用</x:v>
      </x:c>
      <x:c r="J605" s="9" t="str">
        <x:v>1. 进入账号编辑
2. 打开所属角色</x:v>
      </x:c>
      <x:c r="K605" s="9" t="str">
        <x:v>甲不可被选为有效角色</x:v>
      </x:c>
      <x:c r="L605" s="10" t="str"/>
      <x:c r="M605" s="10" t="str">
        <x:v>未测</x:v>
      </x:c>
      <x:c r="N605" s="10" t="str"/>
      <x:c r="O605" s="9" t="str">
        <x:v>1. 来源（当前证据）：liveshow-proto/MainBasis/统一需求文档.md；位置：行3466
2. 规则：BR-f734442744c9e684
3. 未动态验证
4. 数据别名：甲、乙、丙用于区分本条测试对象；按前置条件准备并记录实际账号或记录 ID，不是固定业务名称。</x:v>
      </x:c>
    </x:row>
    <x:row r="606" ht="70" customHeight="1">
      <x:c r="A606" s="10" t="n">
        <x:v>605</x:v>
      </x:c>
      <x:c r="B606" s="10" t="str">
        <x:v>ADMIN-12-0009</x:v>
      </x:c>
      <x:c r="C606" s="10" t="str">
        <x:v>系统配置</x:v>
      </x:c>
      <x:c r="D606" s="10" t="str">
        <x:v>账号编辑（超级管理员视角）</x:v>
      </x:c>
      <x:c r="E606" s="10" t="str">
        <x:v>功能需求</x:v>
      </x:c>
      <x:c r="F606" s="10" t="str">
        <x:v>P2</x:v>
      </x:c>
      <x:c r="G606" s="9" t="str">
        <x:v>验证后台新账号初始密码必填</x:v>
      </x:c>
      <x:c r="H606" s="9" t="str">
        <x:v>后台账号密码必填</x:v>
      </x:c>
      <x:c r="I606" s="9" t="str">
        <x:v>1. 执行角色为超级管理员
2. 账号名唯一且角色有效，其他项合法</x:v>
      </x:c>
      <x:c r="J606" s="9" t="str">
        <x:v>1. 进入新建后台账号
2. 清空初始密码
3. 点击保存</x:v>
      </x:c>
      <x:c r="K606" s="9" t="str">
        <x:v>不能创建无初始密码账号</x:v>
      </x:c>
      <x:c r="L606" s="10" t="str"/>
      <x:c r="M606" s="10" t="str">
        <x:v>未测</x:v>
      </x:c>
      <x:c r="N606" s="10" t="str"/>
      <x:c r="O606" s="9" t="str">
        <x:v>1. 来源（当前证据）：liveshow-proto/MainBasis/统一需求文档.md；位置：行3467
2. 规则：BR-e7ed51fdf0352809
3. 未动态验证</x:v>
      </x:c>
    </x:row>
    <x:row r="607" ht="70" customHeight="1">
      <x:c r="A607" s="10" t="n">
        <x:v>606</x:v>
      </x:c>
      <x:c r="B607" s="10" t="str">
        <x:v>ADMIN-12-0010</x:v>
      </x:c>
      <x:c r="C607" s="10" t="str">
        <x:v>系统配置</x:v>
      </x:c>
      <x:c r="D607" s="10" t="str">
        <x:v>账号编辑（超级管理员视角）</x:v>
      </x:c>
      <x:c r="E607" s="10" t="str">
        <x:v>业务流程</x:v>
      </x:c>
      <x:c r="F607" s="10" t="str">
        <x:v>P1</x:v>
      </x:c>
      <x:c r="G607" s="9" t="str">
        <x:v>验证后台重置两次密码不一致</x:v>
      </x:c>
      <x:c r="H607" s="9" t="str">
        <x:v>重置密码一致性</x:v>
      </x:c>
      <x:c r="I607" s="9" t="str">
        <x:v>1. 执行角色为超级管理员
2. 两份测试密码各自符合当前已配置策略但内容不同</x:v>
      </x:c>
      <x:c r="J607" s="9" t="str">
        <x:v>1. 进入账号编辑
2. 输入新密码样本甲
3. 输入确认密码样本乙
4. 点击重置密码</x:v>
      </x:c>
      <x:c r="K607" s="9" t="str">
        <x:v>不替换原密码</x:v>
      </x:c>
      <x:c r="L607" s="10" t="str"/>
      <x:c r="M607" s="10" t="str">
        <x:v>未测</x:v>
      </x:c>
      <x:c r="N607" s="10" t="str"/>
      <x:c r="O607" s="9" t="str">
        <x:v>1. 来源（当前证据）：liveshow-proto/MainBasis/统一需求文档.md；位置：行3468
2. 规则：BR-291d99f591ab28f4
3. 未动态验证</x:v>
      </x:c>
    </x:row>
    <x:row r="608" ht="70" customHeight="1">
      <x:c r="A608" s="10" t="n">
        <x:v>607</x:v>
      </x:c>
      <x:c r="B608" s="10" t="str">
        <x:v>ADMIN-12-0011</x:v>
      </x:c>
      <x:c r="C608" s="10" t="str">
        <x:v>系统配置</x:v>
      </x:c>
      <x:c r="D608" s="10" t="str">
        <x:v>账号编辑（超级管理员视角）</x:v>
      </x:c>
      <x:c r="E608" s="10" t="str">
        <x:v>业务流程</x:v>
      </x:c>
      <x:c r="F608" s="10" t="str">
        <x:v>P1</x:v>
      </x:c>
      <x:c r="G608" s="9" t="str">
        <x:v>验证内置账号角色不可改</x:v>
      </x:c>
      <x:c r="H608" s="9" t="str">
        <x:v>超级管理员身份保护</x:v>
      </x:c>
      <x:c r="I608" s="9" t="str">
        <x:v>1. 执行角色为超级管理员
2. 系统内置超级管理员已存在</x:v>
      </x:c>
      <x:c r="J608" s="9" t="str">
        <x:v>1. 进入内置账号编辑
2. 点击所属角色</x:v>
      </x:c>
      <x:c r="K608" s="9" t="str">
        <x:v>角色不可修改</x:v>
      </x:c>
      <x:c r="L608" s="10" t="str"/>
      <x:c r="M608" s="10" t="str">
        <x:v>未测</x:v>
      </x:c>
      <x:c r="N608" s="10" t="str"/>
      <x:c r="O608" s="9" t="str">
        <x:v>1. 来源（当前证据）：liveshow-proto/MainBasis/统一需求文档.md；位置：行3470
2. 规则：BR-8ea48281bd5a1bef
3. 未动态验证</x:v>
      </x:c>
    </x:row>
    <x:row r="609" ht="115" customHeight="1">
      <x:c r="A609" s="10" t="n">
        <x:v>608</x:v>
      </x:c>
      <x:c r="B609" s="10" t="str">
        <x:v>ADMIN-12-0012</x:v>
      </x:c>
      <x:c r="C609" s="10" t="str">
        <x:v>系统配置</x:v>
      </x:c>
      <x:c r="D609" s="10" t="str">
        <x:v>账号编辑（超级管理员视角）</x:v>
      </x:c>
      <x:c r="E609" s="10" t="str">
        <x:v>功能需求</x:v>
      </x:c>
      <x:c r="F609" s="10" t="str">
        <x:v>P2</x:v>
      </x:c>
      <x:c r="G609" s="9" t="str">
        <x:v>验证后台重置密码两次输入不一致</x:v>
      </x:c>
      <x:c r="H609" s="9" t="str">
        <x:v>后台确认密码匹配</x:v>
      </x:c>
      <x:c r="I609" s="9" t="str">
        <x:v>1. 执行角色为超级管理员
2. 目标账号甲存在且有重置权限</x:v>
      </x:c>
      <x:c r="J609" s="9" t="str">
        <x:v>1. 进入甲账号详情
2. 点击重置密码
3. 输入NewAdmin8
4. 输入确认NewAdmin9
5. 点击保存</x:v>
      </x:c>
      <x:c r="K609" s="9" t="str">
        <x:v>不替换甲原密码</x:v>
      </x:c>
      <x:c r="L609" s="10" t="str"/>
      <x:c r="M609" s="10" t="str">
        <x:v>未测</x:v>
      </x:c>
      <x:c r="N609" s="10" t="str"/>
      <x:c r="O609" s="9" t="str">
        <x:v>1. 来源（当前证据）：liveshow-proto/MainBasis/统一需求文档.md；位置：行3471
2. 规则：BR-43473cf2e49ee7fb
3. 未动态验证
4. 数据别名：甲、乙、丙用于区分本条测试对象；按前置条件准备并记录实际账号或记录 ID，不是固定业务名称。</x:v>
      </x:c>
    </x:row>
    <x:row r="610" ht="70" customHeight="1">
      <x:c r="A610" s="10" t="n">
        <x:v>609</x:v>
      </x:c>
      <x:c r="B610" s="10" t="str">
        <x:v>ADMIN-12-0013</x:v>
      </x:c>
      <x:c r="C610" s="10" t="str">
        <x:v>系统配置</x:v>
      </x:c>
      <x:c r="D610" s="10" t="str">
        <x:v>角色管理（超级管理员视角）</x:v>
      </x:c>
      <x:c r="E610" s="10" t="str">
        <x:v>功能需求</x:v>
      </x:c>
      <x:c r="F610" s="10" t="str">
        <x:v>P2</x:v>
      </x:c>
      <x:c r="G610" s="9" t="str">
        <x:v>验证角色管理读取角色ID</x:v>
      </x:c>
      <x:c r="H610" s="9" t="str">
        <x:v>角色ID回显</x:v>
      </x:c>
      <x:c r="I610" s="9" t="str">
        <x:v>1. 执行角色为超级管理员
2. 所选后台角色实际标识的角色ID为“991001”</x:v>
      </x:c>
      <x:c r="J610" s="9" t="str">
        <x:v>1. 进入角色管理
2. 查看角色ID</x:v>
      </x:c>
      <x:c r="K610" s="9" t="str">
        <x:v>角色ID显示“991001”</x:v>
      </x:c>
      <x:c r="L610" s="10" t="str"/>
      <x:c r="M610" s="10" t="str">
        <x:v>未测</x:v>
      </x:c>
      <x:c r="N610" s="10" t="str"/>
      <x:c r="O610" s="9" t="str">
        <x:v>1. 来源（当前证据）：liveshow-proto/MainBasis/统一需求文档.md；位置：行3476
2. 规则：BR-77d93c1b75f73419
3. 未动态验证</x:v>
      </x:c>
    </x:row>
    <x:row r="611" ht="70" customHeight="1">
      <x:c r="A611" s="10" t="n">
        <x:v>610</x:v>
      </x:c>
      <x:c r="B611" s="10" t="str">
        <x:v>ADMIN-12-0014</x:v>
      </x:c>
      <x:c r="C611" s="10" t="str">
        <x:v>系统配置</x:v>
      </x:c>
      <x:c r="D611" s="10" t="str">
        <x:v>角色管理（超级管理员视角）</x:v>
      </x:c>
      <x:c r="E611" s="10" t="str">
        <x:v>功能需求</x:v>
      </x:c>
      <x:c r="F611" s="10" t="str">
        <x:v>P2</x:v>
      </x:c>
      <x:c r="G611" s="9" t="str">
        <x:v>验证角色管理读取角色名称</x:v>
      </x:c>
      <x:c r="H611" s="9" t="str">
        <x:v>角色名称回显</x:v>
      </x:c>
      <x:c r="I611" s="9" t="str">
        <x:v>1. 执行角色为超级管理员
2. 所选后台角色当前名称的角色名称为“审核员”</x:v>
      </x:c>
      <x:c r="J611" s="9" t="str">
        <x:v>1. 进入角色管理
2. 查看角色名称</x:v>
      </x:c>
      <x:c r="K611" s="9" t="str">
        <x:v>角色名称显示“审核员”</x:v>
      </x:c>
      <x:c r="L611" s="10" t="str"/>
      <x:c r="M611" s="10" t="str">
        <x:v>未测</x:v>
      </x:c>
      <x:c r="N611" s="10" t="str"/>
      <x:c r="O611" s="9" t="str">
        <x:v>1. 来源（当前证据）：liveshow-proto/MainBasis/统一需求文档.md；位置：行3477
2. 规则：BR-45d3c3a35fb83ccd
3. 未动态验证</x:v>
      </x:c>
    </x:row>
    <x:row r="612" ht="115" customHeight="1">
      <x:c r="A612" s="10" t="n">
        <x:v>611</x:v>
      </x:c>
      <x:c r="B612" s="10" t="str">
        <x:v>ADMIN-12-0015</x:v>
      </x:c>
      <x:c r="C612" s="10" t="str">
        <x:v>系统配置</x:v>
      </x:c>
      <x:c r="D612" s="10" t="str">
        <x:v>角色管理（超级管理员视角）</x:v>
      </x:c>
      <x:c r="E612" s="10" t="str">
        <x:v>功能需求</x:v>
      </x:c>
      <x:c r="F612" s="10" t="str">
        <x:v>P2</x:v>
      </x:c>
      <x:c r="G612" s="9" t="str">
        <x:v>验证角色关联账号去重计数</x:v>
      </x:c>
      <x:c r="H612" s="9" t="str">
        <x:v>角色关联数量</x:v>
      </x:c>
      <x:c r="I612" s="9" t="str">
        <x:v>1. 执行角色为超级管理员
2. 角色甲绑定账号乙丙两人，未绑定其他账号</x:v>
      </x:c>
      <x:c r="J612" s="9" t="str">
        <x:v>1. 进入角色列表
2. 查看甲</x:v>
      </x:c>
      <x:c r="K612" s="9" t="str">
        <x:v>关联账号数为2</x:v>
      </x:c>
      <x:c r="L612" s="10" t="str"/>
      <x:c r="M612" s="10" t="str">
        <x:v>未测</x:v>
      </x:c>
      <x:c r="N612" s="10" t="str"/>
      <x:c r="O612" s="9" t="str">
        <x:v>1. 来源（当前证据）：liveshow-proto/MainBasis/统一需求文档.md；位置：行3478
2. 规则：BR-dbfcd7ad5a2da43f
3. 未动态验证
4. 数据别名：甲、乙、丙用于区分本条测试对象；按前置条件准备并记录实际账号或记录 ID，不是固定业务名称。</x:v>
      </x:c>
    </x:row>
    <x:row r="613" ht="145" customHeight="1">
      <x:c r="A613" s="10" t="n">
        <x:v>612</x:v>
      </x:c>
      <x:c r="B613" s="10" t="str">
        <x:v>ADMIN-12-0016</x:v>
      </x:c>
      <x:c r="C613" s="10" t="str">
        <x:v>系统配置</x:v>
      </x:c>
      <x:c r="D613" s="10" t="str">
        <x:v>角色管理（超级管理员视角）</x:v>
      </x:c>
      <x:c r="E613" s="10" t="str">
        <x:v>业务流程</x:v>
      </x:c>
      <x:c r="F613" s="10" t="str">
        <x:v>P1</x:v>
      </x:c>
      <x:c r="G613" s="9" t="str">
        <x:v>验证停用角色关联权限立即失效</x:v>
      </x:c>
      <x:c r="H613" s="9" t="str">
        <x:v>角色停用授权回收</x:v>
      </x:c>
      <x:c r="I613" s="9" t="str">
        <x:v>1. 执行角色为超级管理员
2. 角色甲启用，绑定账号乙；乙原有用户查询权限</x:v>
      </x:c>
      <x:c r="J613" s="9" t="str">
        <x:v>1. 进入角色管理
2. 点击停用甲
3. 确认影响账号</x:v>
      </x:c>
      <x:c r="K613" s="9" t="str">
        <x:v>角色甲状态为停用</x:v>
      </x:c>
      <x:c r="L613" s="10" t="str">
        <x:v>FLOW-ROLE-DISABLE</x:v>
      </x:c>
      <x:c r="M613" s="10" t="str">
        <x:v>未测</x:v>
      </x:c>
      <x:c r="N613" s="10" t="str"/>
      <x:c r="O613" s="9" t="str">
        <x:v>1. 来源（当前证据）：liveshow-proto/MainBasis/统一需求文档.md；位置：行3479
2. 规则：BR-b1052b8355d1d0b5
3. 未动态验证
4. 状态转换：ST-ROLE-DISABLE；按同一业务对象的数据别名准备对应上下游记录
5. 数据别名：甲、乙、丙用于区分本条测试对象；按前置条件准备并记录实际账号或记录 ID，不是固定业务名称。</x:v>
      </x:c>
    </x:row>
    <x:row r="614" ht="85" customHeight="1">
      <x:c r="A614" s="10" t="n">
        <x:v>613</x:v>
      </x:c>
      <x:c r="B614" s="10" t="str">
        <x:v>ADMIN-12-0017</x:v>
      </x:c>
      <x:c r="C614" s="10" t="str">
        <x:v>系统配置</x:v>
      </x:c>
      <x:c r="D614" s="10" t="str">
        <x:v>角色管理（超级管理员视角）</x:v>
      </x:c>
      <x:c r="E614" s="10" t="str">
        <x:v>业务流程</x:v>
      </x:c>
      <x:c r="F614" s="10" t="str">
        <x:v>P1</x:v>
      </x:c>
      <x:c r="G614" s="9" t="str">
        <x:v>验证内置超级管理员角色不可改</x:v>
      </x:c>
      <x:c r="H614" s="9" t="str">
        <x:v>内置权限保护</x:v>
      </x:c>
      <x:c r="I614" s="9" t="str">
        <x:v>1. 执行角色为超级管理员
2. 内置超级管理员角色存在</x:v>
      </x:c>
      <x:c r="J614" s="9" t="str">
        <x:v>1. 进入角色编辑
2. 点击菜单权限</x:v>
      </x:c>
      <x:c r="K614" s="9" t="str">
        <x:v>内置角色权限不可修改</x:v>
      </x:c>
      <x:c r="L614" s="10" t="str"/>
      <x:c r="M614" s="10" t="str">
        <x:v>未测</x:v>
      </x:c>
      <x:c r="N614" s="10" t="str"/>
      <x:c r="O614" s="9" t="str">
        <x:v>1. 来源（当前证据）：liveshow-proto/MainBasis/统一需求文档.md；位置：行3480、行3491
2. 规则：BR-8899a4f8768a345d
3. 未动态验证</x:v>
      </x:c>
    </x:row>
    <x:row r="615" ht="115" customHeight="1">
      <x:c r="A615" s="10" t="n">
        <x:v>614</x:v>
      </x:c>
      <x:c r="B615" s="10" t="str">
        <x:v>ADMIN-12-0018</x:v>
      </x:c>
      <x:c r="C615" s="10" t="str">
        <x:v>系统配置</x:v>
      </x:c>
      <x:c r="D615" s="10" t="str">
        <x:v>角色编辑（超级管理员视角）</x:v>
      </x:c>
      <x:c r="E615" s="10" t="str">
        <x:v>功能需求</x:v>
      </x:c>
      <x:c r="F615" s="10" t="str">
        <x:v>P2</x:v>
      </x:c>
      <x:c r="G615" s="9" t="str">
        <x:v>验证后台角色ID只读</x:v>
      </x:c>
      <x:c r="H615" s="9" t="str">
        <x:v>角色标识只读</x:v>
      </x:c>
      <x:c r="I615" s="9" t="str">
        <x:v>1. 执行角色为超级管理员
2. 角色甲已创建</x:v>
      </x:c>
      <x:c r="J615" s="9" t="str">
        <x:v>1. 进入甲角色详情
2. 点击ID</x:v>
      </x:c>
      <x:c r="K615" s="9" t="str">
        <x:v>角色ID不可编辑</x:v>
      </x:c>
      <x:c r="L615" s="10" t="str"/>
      <x:c r="M615" s="10" t="str">
        <x:v>未测</x:v>
      </x:c>
      <x:c r="N615" s="10" t="str"/>
      <x:c r="O615" s="9" t="str">
        <x:v>1. 来源（当前证据）：liveshow-proto/MainBasis/统一需求文档.md；位置：行3486
2. 规则：BR-f56ea4322d337c69
3. 未动态验证
4. 数据别名：甲、乙、丙用于区分本条测试对象；按前置条件准备并记录实际账号或记录 ID，不是固定业务名称。</x:v>
      </x:c>
    </x:row>
    <x:row r="616" ht="70" customHeight="1">
      <x:c r="A616" s="10" t="n">
        <x:v>615</x:v>
      </x:c>
      <x:c r="B616" s="10" t="str">
        <x:v>ADMIN-12-0019</x:v>
      </x:c>
      <x:c r="C616" s="10" t="str">
        <x:v>系统配置</x:v>
      </x:c>
      <x:c r="D616" s="10" t="str">
        <x:v>角色编辑（超级管理员视角）</x:v>
      </x:c>
      <x:c r="E616" s="10" t="str">
        <x:v>业务流程</x:v>
      </x:c>
      <x:c r="F616" s="10" t="str">
        <x:v>P1</x:v>
      </x:c>
      <x:c r="G616" s="9" t="str">
        <x:v>验证角色名称不能重复</x:v>
      </x:c>
      <x:c r="H616" s="9" t="str">
        <x:v>后台角色名称唯一</x:v>
      </x:c>
      <x:c r="I616" s="9" t="str">
        <x:v>1. 执行角色为超级管理员
2. 已有角色审核员</x:v>
      </x:c>
      <x:c r="J616" s="9" t="str">
        <x:v>1. 进入新建角色
2. 填写名称审核员
3. 选择合法菜单权限
4. 点击保存</x:v>
      </x:c>
      <x:c r="K616" s="9" t="str">
        <x:v>不能创建同名角色</x:v>
      </x:c>
      <x:c r="L616" s="10" t="str"/>
      <x:c r="M616" s="10" t="str">
        <x:v>未测</x:v>
      </x:c>
      <x:c r="N616" s="10" t="str"/>
      <x:c r="O616" s="9" t="str">
        <x:v>1. 来源（当前证据）：liveshow-proto/MainBasis/统一需求文档.md；位置：行3487
2. 规则：BR-60ae7033a76eb876
3. 未动态验证</x:v>
      </x:c>
    </x:row>
    <x:row r="617" ht="70" customHeight="1">
      <x:c r="A617" s="10" t="n">
        <x:v>616</x:v>
      </x:c>
      <x:c r="B617" s="10" t="str">
        <x:v>ADMIN-12-0020</x:v>
      </x:c>
      <x:c r="C617" s="10" t="str">
        <x:v>系统配置</x:v>
      </x:c>
      <x:c r="D617" s="10" t="str">
        <x:v>角色编辑（超级管理员视角）</x:v>
      </x:c>
      <x:c r="E617" s="10" t="str">
        <x:v>功能需求</x:v>
      </x:c>
      <x:c r="F617" s="10" t="str">
        <x:v>P2</x:v>
      </x:c>
      <x:c r="G617" s="9" t="str">
        <x:v>验证角色编辑读取角色状态</x:v>
      </x:c>
      <x:c r="H617" s="9" t="str">
        <x:v>角色状态回显</x:v>
      </x:c>
      <x:c r="I617" s="9" t="str">
        <x:v>1. 执行角色为超级管理员
2. 所选角色当前配置的角色状态为“启用”</x:v>
      </x:c>
      <x:c r="J617" s="9" t="str">
        <x:v>1. 进入角色编辑
2. 查看角色状态</x:v>
      </x:c>
      <x:c r="K617" s="9" t="str">
        <x:v>角色状态显示“启用”</x:v>
      </x:c>
      <x:c r="L617" s="10" t="str"/>
      <x:c r="M617" s="10" t="str">
        <x:v>未测</x:v>
      </x:c>
      <x:c r="N617" s="10" t="str"/>
      <x:c r="O617" s="9" t="str">
        <x:v>1. 来源（当前证据）：liveshow-proto/MainBasis/统一需求文档.md；位置：行3488
2. 规则：BR-1d2b66bb9aca1f7f
3. 未动态验证</x:v>
      </x:c>
    </x:row>
    <x:row r="618" ht="115" customHeight="1">
      <x:c r="A618" s="10" t="n">
        <x:v>617</x:v>
      </x:c>
      <x:c r="B618" s="10" t="str">
        <x:v>ADMIN-12-0021</x:v>
      </x:c>
      <x:c r="C618" s="10" t="str">
        <x:v>系统配置</x:v>
      </x:c>
      <x:c r="D618" s="10" t="str">
        <x:v>角色编辑（超级管理员视角）</x:v>
      </x:c>
      <x:c r="E618" s="10" t="str">
        <x:v>逻辑校验</x:v>
      </x:c>
      <x:c r="F618" s="10" t="str">
        <x:v>P1</x:v>
      </x:c>
      <x:c r="G618" s="9" t="str">
        <x:v>验证权限已选数只数叶子</x:v>
      </x:c>
      <x:c r="H618" s="9" t="str">
        <x:v>后台菜单叶子计数</x:v>
      </x:c>
      <x:c r="I618" s="9" t="str">
        <x:v>1. 执行角色为超级管理员
2. 父菜单甲有2个叶子权限，另一独立叶子乙1个，均已勾选</x:v>
      </x:c>
      <x:c r="J618" s="9" t="str">
        <x:v>1. 进入角色编辑
2. 查看已选择数</x:v>
      </x:c>
      <x:c r="K618" s="9" t="str">
        <x:v>后台菜单叶子计数按2+1计算=3项</x:v>
      </x:c>
      <x:c r="L618" s="10" t="str"/>
      <x:c r="M618" s="10" t="str">
        <x:v>未测</x:v>
      </x:c>
      <x:c r="N618" s="10" t="str"/>
      <x:c r="O618" s="9" t="str">
        <x:v>1. 来源（当前证据）：liveshow-proto/MainBasis/统一需求文档.md；位置：行3489
2. 规则：BR-3efc6a6b433aab6d
3. 未动态验证
4. 数据别名：甲、乙、丙用于区分本条测试对象；按前置条件准备并记录实际账号或记录 ID，不是固定业务名称。</x:v>
      </x:c>
    </x:row>
    <x:row r="619" ht="70" customHeight="1">
      <x:c r="A619" s="10" t="n">
        <x:v>618</x:v>
      </x:c>
      <x:c r="B619" s="10" t="str">
        <x:v>ADMIN-12-0022</x:v>
      </x:c>
      <x:c r="C619" s="10" t="str">
        <x:v>系统配置</x:v>
      </x:c>
      <x:c r="D619" s="10" t="str">
        <x:v>角色编辑（超级管理员视角）</x:v>
      </x:c>
      <x:c r="E619" s="10" t="str">
        <x:v>业务流程</x:v>
      </x:c>
      <x:c r="F619" s="10" t="str">
        <x:v>P1</x:v>
      </x:c>
      <x:c r="G619" s="9" t="str">
        <x:v>验证勾选父菜单联动子权限</x:v>
      </x:c>
      <x:c r="H619" s="9" t="str">
        <x:v>权限树父选子</x:v>
      </x:c>
      <x:c r="I619" s="9" t="str">
        <x:v>1. 执行角色为超级管理员
2. 测试父菜单下有2个未选叶子权限</x:v>
      </x:c>
      <x:c r="J619" s="9" t="str">
        <x:v>1. 进入角色编辑
2. 勾选该父菜单</x:v>
      </x:c>
      <x:c r="K619" s="9" t="str">
        <x:v>其下2个叶子权限均选中</x:v>
      </x:c>
      <x:c r="L619" s="10" t="str"/>
      <x:c r="M619" s="10" t="str">
        <x:v>未测</x:v>
      </x:c>
      <x:c r="N619" s="10" t="str"/>
      <x:c r="O619" s="9" t="str">
        <x:v>1. 来源（当前证据）：liveshow-proto/MainBasis/统一需求文档.md；位置：行3490
2. 规则：BR-0027ea51e58931e1
3. 未动态验证</x:v>
      </x:c>
    </x:row>
    <x:row r="620" ht="70" customHeight="1">
      <x:c r="A620" s="10" t="n">
        <x:v>619</x:v>
      </x:c>
      <x:c r="B620" s="10" t="str">
        <x:v>ADMIN-12-0023</x:v>
      </x:c>
      <x:c r="C620" s="10" t="str">
        <x:v>系统配置</x:v>
      </x:c>
      <x:c r="D620" s="10" t="str">
        <x:v>角色编辑（超级管理员视角）</x:v>
      </x:c>
      <x:c r="E620" s="10" t="str">
        <x:v>业务流程</x:v>
      </x:c>
      <x:c r="F620" s="10" t="str">
        <x:v>P1</x:v>
      </x:c>
      <x:c r="G620" s="9" t="str">
        <x:v>验证取消全部子权限同步父级</x:v>
      </x:c>
      <x:c r="H620" s="9" t="str">
        <x:v>权限树子清父</x:v>
      </x:c>
      <x:c r="I620" s="9" t="str">
        <x:v>1. 执行角色为超级管理员
2. 父菜单下2个叶子权限均选中</x:v>
      </x:c>
      <x:c r="J620" s="9" t="str">
        <x:v>1. 进入角色编辑
2. 取消勾选两个叶子权限</x:v>
      </x:c>
      <x:c r="K620" s="9" t="str">
        <x:v>父菜单不再选中</x:v>
      </x:c>
      <x:c r="L620" s="10" t="str"/>
      <x:c r="M620" s="10" t="str">
        <x:v>未测</x:v>
      </x:c>
      <x:c r="N620" s="10" t="str"/>
      <x:c r="O620" s="9" t="str">
        <x:v>1. 来源（当前证据）：liveshow-proto/MainBasis/统一需求文档.md；位置：行3490
2. 规则：BR-709986970bd1c68d
3. 未动态验证</x:v>
      </x:c>
    </x:row>
    <x:row r="621" ht="70" customHeight="1">
      <x:c r="A621" s="10" t="n">
        <x:v>620</x:v>
      </x:c>
      <x:c r="B621" s="10" t="str">
        <x:v>ADMIN-12-0024</x:v>
      </x:c>
      <x:c r="C621" s="10" t="str">
        <x:v>系统配置</x:v>
      </x:c>
      <x:c r="D621" s="10" t="str">
        <x:v>角色编辑（超级管理员视角）</x:v>
      </x:c>
      <x:c r="E621" s="10" t="str">
        <x:v>业务流程</x:v>
      </x:c>
      <x:c r="F621" s="10" t="str">
        <x:v>P1</x:v>
      </x:c>
      <x:c r="G621" s="9" t="str">
        <x:v>验证全不选清空权限树</x:v>
      </x:c>
      <x:c r="H621" s="9" t="str">
        <x:v>权限树全清</x:v>
      </x:c>
      <x:c r="I621" s="9" t="str">
        <x:v>1. 执行角色为超级管理员
2. 当前角色已有多个菜单权限</x:v>
      </x:c>
      <x:c r="J621" s="9" t="str">
        <x:v>1. 进入角色编辑
2. 点击全不选</x:v>
      </x:c>
      <x:c r="K621" s="9" t="str">
        <x:v>全部菜单权限取消选中</x:v>
      </x:c>
      <x:c r="L621" s="10" t="str"/>
      <x:c r="M621" s="10" t="str">
        <x:v>未测</x:v>
      </x:c>
      <x:c r="N621" s="10" t="str"/>
      <x:c r="O621" s="9" t="str">
        <x:v>1. 来源（当前证据）：liveshow-proto/MainBasis/统一需求文档.md；位置：行3492
2. 规则：BR-e4a6eb06110b3092
3. 未动态验证</x:v>
      </x:c>
    </x:row>
  </x:sheetData>
  <x:dataValidations count="3">
    <x:dataValidation type="list" sqref="E2:E621">
      <x:formula1>"功能需求,业务流程,逻辑校验,异常用例"</x:formula1>
    </x:dataValidation>
    <x:dataValidation type="list" sqref="F2:F621">
      <x:formula1>"P0,P1,P2,P3"</x:formula1>
    </x:dataValidation>
    <x:dataValidation type="list" sqref="M2:M621">
      <x:formula1>"未测,通过,不通过,阻塞,不适用"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1036d0438d14911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2" customWidth="1"/>
    <x:col min="2" max="2" width="13" customWidth="1" hidden="1"/>
    <x:col min="3" max="3" width="13" customWidth="1" hidden="1"/>
    <x:col min="4" max="4" width="20" customWidth="1" hidden="1"/>
    <x:col min="5" max="5" width="11" customWidth="1" hidden="1"/>
    <x:col min="6" max="6" width="12" customWidth="1"/>
    <x:col min="7" max="7" width="28" customWidth="1"/>
    <x:col min="8" max="8" width="18" customWidth="1" hidden="1"/>
    <x:col min="9" max="9" width="34" customWidth="1"/>
    <x:col min="10" max="10" width="45" customWidth="1"/>
    <x:col min="11" max="11" width="36" customWidth="1" hidden="1"/>
    <x:col min="12" max="12" width="12" customWidth="1"/>
    <x:col min="13" max="13" width="24" customWidth="1"/>
    <x:col min="14" max="14" width="34" customWidth="1" hidden="1"/>
    <x:col min="15" max="15" width="30" customWidth="1" hidden="1"/>
    <x:col min="16" max="16" width="20" customWidth="1" hidden="1"/>
    <x:col min="17" max="17" width="30" customWidth="1" hidden="1"/>
    <x:col min="18" max="18" width="12" customWidth="1"/>
    <x:col min="19" max="19" width="21" customWidth="1" hidden="1"/>
    <x:col min="20" max="20" width="12" customWidth="1"/>
  </x:cols>
  <x:sheetData>
    <x:row r="1" ht="34" customHeight="1">
      <x:c r="A1" s="11" t="str">
        <x:v>问题编号</x:v>
      </x:c>
      <x:c r="B1" s="11" t="str">
        <x:v>需求组编号</x:v>
      </x:c>
      <x:c r="C1" s="11" t="str">
        <x:v>父问题编号</x:v>
      </x:c>
      <x:c r="D1" s="11" t="str">
        <x:v>追问触发条件</x:v>
      </x:c>
      <x:c r="E1" s="11" t="str">
        <x:v>阻塞等级</x:v>
      </x:c>
      <x:c r="F1" s="11" t="str">
        <x:v>功能模块</x:v>
      </x:c>
      <x:c r="G1" s="11" t="str">
        <x:v>具体场景</x:v>
      </x:c>
      <x:c r="H1" s="11" t="str">
        <x:v>问题分类</x:v>
      </x:c>
      <x:c r="I1" s="11" t="str">
        <x:v>待决策问题</x:v>
      </x:c>
      <x:c r="J1" s="11" t="str">
        <x:v>可选方案</x:v>
      </x:c>
      <x:c r="K1" s="11" t="str">
        <x:v>测试建议</x:v>
      </x:c>
      <x:c r="L1" s="11" t="str">
        <x:v>产品结论</x:v>
      </x:c>
      <x:c r="M1" s="11" t="str">
        <x:v>结论补充</x:v>
      </x:c>
      <x:c r="N1" s="11" t="str">
        <x:v>已知依据</x:v>
      </x:c>
      <x:c r="O1" s="11" t="str">
        <x:v>影响范围</x:v>
      </x:c>
      <x:c r="P1" s="11" t="str">
        <x:v>已有用例编号</x:v>
      </x:c>
      <x:c r="Q1" s="11" t="str">
        <x:v>确认后待补用例</x:v>
      </x:c>
      <x:c r="R1" s="11" t="str">
        <x:v>负责人</x:v>
      </x:c>
      <x:c r="S1" s="11" t="str">
        <x:v>期望确认时间</x:v>
      </x:c>
      <x:c r="T1" s="11" t="str">
        <x:v>确认状态</x:v>
      </x:c>
    </x:row>
    <x:row r="2" ht="145" customHeight="1">
      <x:c r="A2" s="10" t="str">
        <x:v>PENDING-badge-location</x:v>
      </x:c>
      <x:c r="B2" s="10" t="str">
        <x:v>PENDING-badge-location</x:v>
      </x:c>
      <x:c r="C2" s="10" t="str"/>
      <x:c r="D2" s="10" t="str"/>
      <x:c r="E2" s="10" t="str">
        <x:v>部分阻塞</x:v>
      </x:c>
      <x:c r="F2" s="10" t="str">
        <x:v>运营配置</x:v>
      </x:c>
      <x:c r="G2" s="9" t="str">
        <x:v>等级勋章展示位置</x:v>
      </x:c>
      <x:c r="H2" s="9" t="str">
        <x:v>计算与统计口径</x:v>
      </x:c>
      <x:c r="I2" s="9" t="str">
        <x:v>等级勋章展示位置：等级勋章在用户App的哪些位置展示？</x:v>
      </x:c>
      <x:c r="J2" s="9" t="str">
        <x:v>A. 仅个人主页等级区域
B. 个人主页及直播资料卡等级区域
C. 复用现有已佩戴勋章区域</x:v>
      </x:c>
      <x:c r="K2" s="9" t="str">
        <x:v>先确认本项规则，再补充各选项对应的正向、边界及变更影响场景；当前不采用任一选项作为确定结果。</x:v>
      </x:c>
      <x:c r="L2" s="12" t="str"/>
      <x:c r="M2" s="12" t="str"/>
      <x:c r="N2" s="10" t="str">
        <x:v>1. liveshow-proto/MainBasis/需求待确认清单.md 行14：- [PENDING-badge-location] 等级勋章展示位置：等级勋章在用户App的哪些位置展示？ 选项：A. 仅个人主页等级区域；B. 个人主页及直播资料卡等级区域；C. 复用现有已佩戴勋章区域。影响端：用户App、管理后台。依据：AN-f205606825f1。</x:v>
      </x:c>
      <x:c r="O2" s="9" t="str">
        <x:v>1. 用户App
2. 管理后台</x:v>
      </x:c>
      <x:c r="P2" s="9" t="str"/>
      <x:c r="Q2" s="9" t="str">
        <x:v>1. 等级勋章展示位置：按确认结论补齐相关分支</x:v>
      </x:c>
      <x:c r="R2" s="9" t="str">
        <x:v>产品</x:v>
      </x:c>
      <x:c r="S2" s="9" t="str"/>
      <x:c r="T2" s="9" t="str">
        <x:v>待确认</x:v>
      </x:c>
    </x:row>
    <x:row r="3" ht="130" customHeight="1">
      <x:c r="A3" s="10" t="str">
        <x:v>PENDING-badge-auto</x:v>
      </x:c>
      <x:c r="B3" s="10" t="str">
        <x:v>PENDING-badge-auto</x:v>
      </x:c>
      <x:c r="C3" s="10" t="str"/>
      <x:c r="D3" s="10" t="str"/>
      <x:c r="E3" s="10" t="str">
        <x:v>部分阻塞</x:v>
      </x:c>
      <x:c r="F3" s="10" t="str">
        <x:v>运营配置</x:v>
      </x:c>
      <x:c r="G3" s="9" t="str">
        <x:v>升级勋章自动替换</x:v>
      </x:c>
      <x:c r="H3" s="9" t="str">
        <x:v>计算与统计口径</x:v>
      </x:c>
      <x:c r="I3" s="9" t="str">
        <x:v>升级勋章自动替换：等级变化后是否自动替换该类型勋章？</x:v>
      </x:c>
      <x:c r="J3" s="9" t="str">
        <x:v>A. 立即自动替换
B. 获得新勋章后保留原佩戴状态</x:v>
      </x:c>
      <x:c r="K3" s="9" t="str">
        <x:v>先确认本项规则，再补充各选项对应的正向、边界及变更影响场景；当前不采用任一选项作为确定结果。</x:v>
      </x:c>
      <x:c r="L3" s="12" t="str"/>
      <x:c r="M3" s="12" t="str"/>
      <x:c r="N3" s="10" t="str">
        <x:v>1. liveshow-proto/MainBasis/需求待确认清单.md 行18：- [PENDING-badge-auto] 升级勋章自动替换：等级变化后是否自动替换该类型勋章？ 选项：A. 立即自动替换；B. 获得新勋章后保留原佩戴状态。影响端：用户App、管理后台。依据：AN-f205606825f1。</x:v>
      </x:c>
      <x:c r="O3" s="9" t="str">
        <x:v>1. 用户App
2. 管理后台</x:v>
      </x:c>
      <x:c r="P3" s="9" t="str"/>
      <x:c r="Q3" s="9" t="str">
        <x:v>1. 升级勋章自动替换：按确认结论补齐相关分支</x:v>
      </x:c>
      <x:c r="R3" s="9" t="str">
        <x:v>产品</x:v>
      </x:c>
      <x:c r="S3" s="9" t="str"/>
      <x:c r="T3" s="9" t="str">
        <x:v>待确认</x:v>
      </x:c>
    </x:row>
    <x:row r="4" ht="130" customHeight="1">
      <x:c r="A4" s="10" t="str">
        <x:v>PENDING-badge-wear</x:v>
      </x:c>
      <x:c r="B4" s="10" t="str">
        <x:v>PENDING-badge-wear</x:v>
      </x:c>
      <x:c r="C4" s="10" t="str"/>
      <x:c r="D4" s="10" t="str"/>
      <x:c r="E4" s="10" t="str">
        <x:v>部分阻塞</x:v>
      </x:c>
      <x:c r="F4" s="10" t="str">
        <x:v>运营配置</x:v>
      </x:c>
      <x:c r="G4" s="9" t="str">
        <x:v>等级勋章手动佩戴</x:v>
      </x:c>
      <x:c r="H4" s="9" t="str">
        <x:v>计算与统计口径</x:v>
      </x:c>
      <x:c r="I4" s="9" t="str">
        <x:v>等级勋章手动佩戴：等级勋章是否允许用户手动佩戴和卸下？</x:v>
      </x:c>
      <x:c r="J4" s="9" t="str">
        <x:v>A. 自动展示且不能手动操作
B. 可手动佩戴和卸下</x:v>
      </x:c>
      <x:c r="K4" s="9" t="str">
        <x:v>先确认本项规则，再补充各选项对应的正向、边界及变更影响场景；当前不采用任一选项作为确定结果。</x:v>
      </x:c>
      <x:c r="L4" s="12" t="str"/>
      <x:c r="M4" s="12" t="str"/>
      <x:c r="N4" s="10" t="str">
        <x:v>1. liveshow-proto/MainBasis/需求待确认清单.md 行22：- [PENDING-badge-wear] 等级勋章手动佩戴：等级勋章是否允许用户手动佩戴和卸下？ 选项：A. 自动展示且不能手动操作；B. 可手动佩戴和卸下。影响端：用户App、管理后台。依据：AN-f205606825f1。</x:v>
      </x:c>
      <x:c r="O4" s="9" t="str">
        <x:v>1. 用户App
2. 管理后台</x:v>
      </x:c>
      <x:c r="P4" s="9" t="str"/>
      <x:c r="Q4" s="9" t="str">
        <x:v>1. 等级勋章手动佩戴：按确认结论补齐相关分支</x:v>
      </x:c>
      <x:c r="R4" s="9" t="str">
        <x:v>产品</x:v>
      </x:c>
      <x:c r="S4" s="9" t="str"/>
      <x:c r="T4" s="9" t="str">
        <x:v>待确认</x:v>
      </x:c>
    </x:row>
    <x:row r="5" ht="175" customHeight="1">
      <x:c r="A5" s="10" t="str">
        <x:v>PENDING-reward-prop-conflict</x:v>
      </x:c>
      <x:c r="B5" s="10" t="str">
        <x:v>PENDING-reward-prop-conflict</x:v>
      </x:c>
      <x:c r="C5" s="10" t="str"/>
      <x:c r="D5" s="10" t="str"/>
      <x:c r="E5" s="10" t="str">
        <x:v>部分阻塞</x:v>
      </x:c>
      <x:c r="F5" s="10" t="str">
        <x:v>运营配置、礼物道具</x:v>
      </x:c>
      <x:c r="G5" s="9" t="str">
        <x:v>任务道具奖励冲突</x:v>
      </x:c>
      <x:c r="H5" s="9" t="str">
        <x:v>业务规则</x:v>
      </x:c>
      <x:c r="I5" s="9" t="str">
        <x:v>任务道具奖励冲突：任务配置及福利页说明仅奖励金币，但已领取视图仍写道具入背包；本期是否允许任务奖励道具？</x:v>
      </x:c>
      <x:c r="J5" s="9" t="str">
        <x:v>A. 本期只支持金币并修正领取视图
B. 增加道具奖励并补充后台配置规则</x:v>
      </x:c>
      <x:c r="K5" s="9" t="str">
        <x:v>先确认本项规则，再补充各选项对应的正向、边界及变更影响场景；当前不采用任一选项作为确定结果。</x:v>
      </x:c>
      <x:c r="L5" s="12" t="str"/>
      <x:c r="M5" s="12" t="str"/>
      <x:c r="N5" s="10" t="str">
        <x:v>1. liveshow-proto/MainBasis/需求待确认清单.md 行26：- [PENDING-reward-prop-conflict] 任务道具奖励冲突：任务配置及福利页说明仅奖励金币，但已领取视图仍写道具入背包；本期是否允许任务奖励道具？ 选项：A. 本期只支持金币并修正领取视图；B. 增加道具奖励并补充后台配置规则。影响端：用户App、管理后台。依据：AN-a7de732767b6。</x:v>
      </x:c>
      <x:c r="O5" s="9" t="str">
        <x:v>1. 用户App
2. 管理后台</x:v>
      </x:c>
      <x:c r="P5" s="9" t="str"/>
      <x:c r="Q5" s="9" t="str">
        <x:v>1. 任务道具奖励冲突：按确认结论补齐相关分支</x:v>
      </x:c>
      <x:c r="R5" s="9" t="str">
        <x:v>产品</x:v>
      </x:c>
      <x:c r="S5" s="9" t="str"/>
      <x:c r="T5" s="9" t="str">
        <x:v>待确认</x:v>
      </x:c>
    </x:row>
    <x:row r="6" ht="175" customHeight="1">
      <x:c r="A6" s="10" t="str">
        <x:v>PENDING-virtual-board</x:v>
      </x:c>
      <x:c r="B6" s="10" t="str">
        <x:v>PENDING-virtual-board</x:v>
      </x:c>
      <x:c r="C6" s="10" t="str"/>
      <x:c r="D6" s="10" t="str"/>
      <x:c r="E6" s="10" t="str">
        <x:v>部分阻塞</x:v>
      </x:c>
      <x:c r="F6" s="10" t="str">
        <x:v>运营账号、数据分析</x:v>
      </x:c>
      <x:c r="G6" s="9" t="str">
        <x:v>虚拟金币榜单范围</x:v>
      </x:c>
      <x:c r="H6" s="9" t="str">
        <x:v>业务规则</x:v>
      </x:c>
      <x:c r="I6" s="9" t="str">
        <x:v>虚拟金币榜单范围：系统概要允许虚拟赠礼计入榜单展示，具体适用于哪些榜单？</x:v>
      </x:c>
      <x:c r="J6" s="9" t="str">
        <x:v>A. 仅本场氛围榜
B. 本场榜及平台双榜
C. 由后台逐榜配置</x:v>
      </x:c>
      <x:c r="K6" s="9" t="str">
        <x:v>先确认本项规则，再补充各选项对应的正向、边界及变更影响场景；当前不采用任一选项作为确定结果。</x:v>
      </x:c>
      <x:c r="L6" s="12" t="str"/>
      <x:c r="M6" s="12" t="str"/>
      <x:c r="N6" s="10" t="str">
        <x:v>1. liveshow-proto/MainBasis/需求待确认清单.md 行30：- [PENDING-virtual-board] 虚拟金币榜单范围：系统概要允许虚拟赠礼计入榜单展示，具体适用于哪些榜单？ 选项：A. 仅本场氛围榜；B. 本场榜及平台双榜；C. 由后台逐榜配置。影响端：用户App、公会App、管理后台。依据：AN-58bdfd055651、AN-9076ce003939、AN-ba0acac09cff、AN-bbb10e3b591b、AN-7861fb19ad1a。</x:v>
      </x:c>
      <x:c r="O6" s="9" t="str">
        <x:v>1. 用户App
2. 公会App
3. 管理后台</x:v>
      </x:c>
      <x:c r="P6" s="9" t="str"/>
      <x:c r="Q6" s="9" t="str">
        <x:v>1. 虚拟金币榜单范围：按确认结论补齐相关分支</x:v>
      </x:c>
      <x:c r="R6" s="9" t="str">
        <x:v>产品</x:v>
      </x:c>
      <x:c r="S6" s="9" t="str"/>
      <x:c r="T6" s="9" t="str">
        <x:v>待确认</x:v>
      </x:c>
    </x:row>
    <x:row r="7" ht="160" customHeight="1">
      <x:c r="A7" s="10" t="str">
        <x:v>PENDING-operation-login-format</x:v>
      </x:c>
      <x:c r="B7" s="10" t="str">
        <x:v>PENDING-operation-login-format</x:v>
      </x:c>
      <x:c r="C7" s="10" t="str"/>
      <x:c r="D7" s="10" t="str"/>
      <x:c r="E7" s="10" t="str">
        <x:v>部分阻塞</x:v>
      </x:c>
      <x:c r="F7" s="10" t="str">
        <x:v>运营账号</x:v>
      </x:c>
      <x:c r="G7" s="9" t="str">
        <x:v>运营账号登录格式</x:v>
      </x:c>
      <x:c r="H7" s="9" t="str">
        <x:v>业务规则</x:v>
      </x:c>
      <x:c r="I7" s="9" t="str">
        <x:v>运营账号登录格式：运营账号必须是可接收验证码的邮箱，还是允许普通登录名？</x:v>
      </x:c>
      <x:c r="J7" s="9" t="str">
        <x:v>A. 必须为有效邮箱地址
B. 允许普通登录名并使用密码登录</x:v>
      </x:c>
      <x:c r="K7" s="9" t="str">
        <x:v>先确认本项规则，再补充各选项对应的正向、边界及变更影响场景；当前不采用任一选项作为确定结果。</x:v>
      </x:c>
      <x:c r="L7" s="12" t="str"/>
      <x:c r="M7" s="12" t="str"/>
      <x:c r="N7" s="10" t="str">
        <x:v>1. liveshow-proto/MainBasis/需求待确认清单.md 行70：- [PENDING-operation-login-format] 运营账号登录格式：运营账号必须是可接收验证码的邮箱，还是允许普通登录名？ 选项：A. 必须为有效邮箱地址；B. 允许普通登录名并使用密码登录。影响端：用户App、公会App、管理后台。依据：AN-ff08deec1174、AN-053fd74e2f42。</x:v>
      </x:c>
      <x:c r="O7" s="9" t="str">
        <x:v>1. 用户App
2. 公会App
3. 管理后台</x:v>
      </x:c>
      <x:c r="P7" s="9" t="str"/>
      <x:c r="Q7" s="9" t="str">
        <x:v>1. 运营账号登录格式：按确认结论补齐相关分支</x:v>
      </x:c>
      <x:c r="R7" s="9" t="str">
        <x:v>产品</x:v>
      </x:c>
      <x:c r="S7" s="9" t="str"/>
      <x:c r="T7" s="9" t="str">
        <x:v>待确认</x:v>
      </x:c>
    </x:row>
    <x:row r="8" ht="130" customHeight="1">
      <x:c r="A8" s="10" t="str">
        <x:v>PENDING-intimacy</x:v>
      </x:c>
      <x:c r="B8" s="10" t="str">
        <x:v>PENDING-intimacy</x:v>
      </x:c>
      <x:c r="C8" s="10" t="str"/>
      <x:c r="D8" s="10" t="str"/>
      <x:c r="E8" s="10" t="str">
        <x:v>部分阻塞</x:v>
      </x:c>
      <x:c r="F8" s="10" t="str">
        <x:v>运营配置</x:v>
      </x:c>
      <x:c r="G8" s="9" t="str">
        <x:v>亲密度计算</x:v>
      </x:c>
      <x:c r="H8" s="9" t="str">
        <x:v>计算与统计口径</x:v>
      </x:c>
      <x:c r="I8" s="9" t="str">
        <x:v>亲密度计算：亲密度由哪些行为累计，采用什么单位？</x:v>
      </x:c>
      <x:c r="J8" s="9" t="str">
        <x:v>A. 有效送礼金币累计
B. 按行为配置独立积分</x:v>
      </x:c>
      <x:c r="K8" s="9" t="str">
        <x:v>先确认本项规则，再补充各选项对应的正向、边界及变更影响场景；当前不采用任一选项作为确定结果。</x:v>
      </x:c>
      <x:c r="L8" s="12" t="str"/>
      <x:c r="M8" s="12" t="str"/>
      <x:c r="N8" s="10" t="str">
        <x:v>1. liveshow-proto/MainBasis/需求待确认清单.md 行74：- [PENDING-intimacy] 亲密度计算：亲密度由哪些行为累计，采用什么单位？ 选项：A. 有效送礼金币累计；B. 按行为配置独立积分。影响端：用户App、管理后台。依据：AN-88f3346c11fe、AN-73b3892baa6f。</x:v>
      </x:c>
      <x:c r="O8" s="9" t="str">
        <x:v>1. 用户App
2. 管理后台</x:v>
      </x:c>
      <x:c r="P8" s="9" t="str"/>
      <x:c r="Q8" s="9" t="str">
        <x:v>1. 亲密度计算：按确认结论补齐相关分支</x:v>
      </x:c>
      <x:c r="R8" s="9" t="str">
        <x:v>产品</x:v>
      </x:c>
      <x:c r="S8" s="9" t="str"/>
      <x:c r="T8" s="9" t="str">
        <x:v>待确认</x:v>
      </x:c>
    </x:row>
    <x:row r="9" ht="130" customHeight="1">
      <x:c r="A9" s="10" t="str">
        <x:v>PENDING-intimacy-decay</x:v>
      </x:c>
      <x:c r="B9" s="10" t="str">
        <x:v>PENDING-intimacy-decay</x:v>
      </x:c>
      <x:c r="C9" s="10" t="str"/>
      <x:c r="D9" s="10" t="str"/>
      <x:c r="E9" s="10" t="str">
        <x:v>部分阻塞</x:v>
      </x:c>
      <x:c r="F9" s="10" t="str">
        <x:v>运营配置</x:v>
      </x:c>
      <x:c r="G9" s="9" t="str">
        <x:v>亲密度衰减</x:v>
      </x:c>
      <x:c r="H9" s="9" t="str">
        <x:v>业务规则</x:v>
      </x:c>
      <x:c r="I9" s="9" t="str">
        <x:v>亲密度衰减：除退团清零外，是否按不活跃时间衰减亲密度？</x:v>
      </x:c>
      <x:c r="J9" s="9" t="str">
        <x:v>A. 不衰减
B. 按配置的不活跃周期衰减</x:v>
      </x:c>
      <x:c r="K9" s="9" t="str">
        <x:v>先确认本项规则，再补充各选项对应的正向、边界及变更影响场景；当前不采用任一选项作为确定结果。</x:v>
      </x:c>
      <x:c r="L9" s="12" t="str"/>
      <x:c r="M9" s="12" t="str"/>
      <x:c r="N9" s="10" t="str">
        <x:v>1. liveshow-proto/MainBasis/需求待确认清单.md 行78：- [PENDING-intimacy-decay] 亲密度衰减：除退团清零外，是否按不活跃时间衰减亲密度？ 选项：A. 不衰减；B. 按配置的不活跃周期衰减。影响端：用户App、管理后台。依据：AN-88f3346c11fe。</x:v>
      </x:c>
      <x:c r="O9" s="9" t="str">
        <x:v>1. 用户App
2. 管理后台</x:v>
      </x:c>
      <x:c r="P9" s="9" t="str"/>
      <x:c r="Q9" s="9" t="str">
        <x:v>1. 亲密度衰减：按确认结论补齐相关分支</x:v>
      </x:c>
      <x:c r="R9" s="9" t="str">
        <x:v>产品</x:v>
      </x:c>
      <x:c r="S9" s="9" t="str"/>
      <x:c r="T9" s="9" t="str">
        <x:v>待确认</x:v>
      </x:c>
    </x:row>
    <x:row r="10" ht="115" customHeight="1">
      <x:c r="A10" s="10" t="str">
        <x:v>PENDING-checkin-repair</x:v>
      </x:c>
      <x:c r="B10" s="10" t="str">
        <x:v>PENDING-checkin-repair</x:v>
      </x:c>
      <x:c r="C10" s="10" t="str"/>
      <x:c r="D10" s="10" t="str"/>
      <x:c r="E10" s="10" t="str">
        <x:v>部分阻塞</x:v>
      </x:c>
      <x:c r="F10" s="10" t="str">
        <x:v>运营配置</x:v>
      </x:c>
      <x:c r="G10" s="9" t="str">
        <x:v>补签</x:v>
      </x:c>
      <x:c r="H10" s="9" t="str">
        <x:v>业务规则</x:v>
      </x:c>
      <x:c r="I10" s="9" t="str">
        <x:v>补签：是否支持对漏签日期进行补签？</x:v>
      </x:c>
      <x:c r="J10" s="9" t="str">
        <x:v>A. 不支持补签
B. 支持按配置补签</x:v>
      </x:c>
      <x:c r="K10" s="9" t="str">
        <x:v>先确认本项规则，再补充各选项对应的正向、边界及变更影响场景；当前不采用任一选项作为确定结果。</x:v>
      </x:c>
      <x:c r="L10" s="12" t="str"/>
      <x:c r="M10" s="12" t="str"/>
      <x:c r="N10" s="10" t="str">
        <x:v>1. liveshow-proto/MainBasis/需求待确认清单.md 行90：- [PENDING-checkin-repair] 补签：是否支持对漏签日期进行补签？ 选项：A. 不支持补签；B. 支持按配置补签。影响端：用户App、管理后台。依据：AN-5ea05985e150。</x:v>
      </x:c>
      <x:c r="O10" s="9" t="str">
        <x:v>1. 用户App
2. 管理后台</x:v>
      </x:c>
      <x:c r="P10" s="9" t="str"/>
      <x:c r="Q10" s="9" t="str">
        <x:v>1. 补签：按确认结论补齐相关分支</x:v>
      </x:c>
      <x:c r="R10" s="9" t="str">
        <x:v>产品</x:v>
      </x:c>
      <x:c r="S10" s="9" t="str"/>
      <x:c r="T10" s="9" t="str">
        <x:v>待确认</x:v>
      </x:c>
    </x:row>
    <x:row r="11" ht="175" customHeight="1">
      <x:c r="A11" s="10" t="str">
        <x:v>PENDING-business-zone</x:v>
      </x:c>
      <x:c r="B11" s="10" t="str">
        <x:v>PENDING-business-zone</x:v>
      </x:c>
      <x:c r="C11" s="10" t="str"/>
      <x:c r="D11" s="10" t="str"/>
      <x:c r="E11" s="10" t="str">
        <x:v>部分阻塞</x:v>
      </x:c>
      <x:c r="F11" s="10" t="str">
        <x:v>数据分析、运营配置</x:v>
      </x:c>
      <x:c r="G11" s="9" t="str">
        <x:v>业务日和周界限</x:v>
      </x:c>
      <x:c r="H11" s="9" t="str">
        <x:v>计算与统计口径</x:v>
      </x:c>
      <x:c r="I11" s="9" t="str">
        <x:v>业务日和周界限：签到、任务、榜单、直播有效天和报表分别采用什么业务时区；任务周是否统一从周一开始？</x:v>
      </x:c>
      <x:c r="J11" s="9" t="str">
        <x:v>A. 全端统一指定业务时区且周一开始
B. 按业务分别指定时区和周起始日</x:v>
      </x:c>
      <x:c r="K11" s="9" t="str">
        <x:v>先确认本项规则，再补充各选项对应的正向、边界及变更影响场景；当前不采用任一选项作为确定结果。</x:v>
      </x:c>
      <x:c r="L11" s="12" t="str"/>
      <x:c r="M11" s="12" t="str"/>
      <x:c r="N11" s="10" t="str">
        <x:v>1. liveshow-proto/MainBasis/需求待确认清单.md 行94：- [PENDING-business-zone] 业务日和周界限：签到、任务、榜单、直播有效天和报表分别采用什么业务时区；任务周是否统一从周一开始？ 选项：A. 全端统一指定业务时区且周一开始；B. 按业务分别指定时区和周起始日。影响端：用户App、公会App、管理后台。依据：AN-6162c5b34166、AN-2d643ddb84e1。</x:v>
      </x:c>
      <x:c r="O11" s="9" t="str">
        <x:v>1. 用户App
2. 公会App
3. 管理后台</x:v>
      </x:c>
      <x:c r="P11" s="9" t="str"/>
      <x:c r="Q11" s="9" t="str">
        <x:v>1. 业务日和周界限：按确认结论补齐相关分支</x:v>
      </x:c>
      <x:c r="R11" s="9" t="str">
        <x:v>产品</x:v>
      </x:c>
      <x:c r="S11" s="9" t="str"/>
      <x:c r="T11" s="9" t="str">
        <x:v>待确认</x:v>
      </x:c>
    </x:row>
    <x:row r="12" ht="145" customHeight="1">
      <x:c r="A12" s="10" t="str">
        <x:v>PENDING-reward-disabled</x:v>
      </x:c>
      <x:c r="B12" s="10" t="str">
        <x:v>PENDING-reward-disabled</x:v>
      </x:c>
      <x:c r="C12" s="10" t="str"/>
      <x:c r="D12" s="10" t="str"/>
      <x:c r="E12" s="10" t="str">
        <x:v>部分阻塞</x:v>
      </x:c>
      <x:c r="F12" s="10" t="str">
        <x:v>运营配置</x:v>
      </x:c>
      <x:c r="G12" s="9" t="str">
        <x:v>任务关闭后的待领奖励</x:v>
      </x:c>
      <x:c r="H12" s="9" t="str">
        <x:v>业务规则</x:v>
      </x:c>
      <x:c r="I12" s="9" t="str">
        <x:v>任务关闭后的待领奖励：任务到期或停用时，当天已达成且未超过领取截止时间的奖励是否还能领取？</x:v>
      </x:c>
      <x:c r="J12" s="9" t="str">
        <x:v>A. 仍可在原截止时间前领取
B. 任务到期或停用立即失效</x:v>
      </x:c>
      <x:c r="K12" s="9" t="str">
        <x:v>先确认本项规则，再补充各选项对应的正向、边界及变更影响场景；当前不采用任一选项作为确定结果。</x:v>
      </x:c>
      <x:c r="L12" s="12" t="str"/>
      <x:c r="M12" s="12" t="str"/>
      <x:c r="N12" s="10" t="str">
        <x:v>1. liveshow-proto/MainBasis/需求待确认清单.md 行98：- [PENDING-reward-disabled] 任务关闭后的待领奖励：任务到期或停用时，当天已达成且未超过领取截止时间的奖励是否还能领取？ 选项：A. 仍可在原截止时间前领取；B. 任务到期或停用立即失效。影响端：用户App、管理后台。依据：AN-6162c5b34166。</x:v>
      </x:c>
      <x:c r="O12" s="9" t="str">
        <x:v>1. 用户App
2. 管理后台</x:v>
      </x:c>
      <x:c r="P12" s="9" t="str"/>
      <x:c r="Q12" s="9" t="str">
        <x:v>1. 任务关闭后的待领奖励：按确认结论补齐相关分支</x:v>
      </x:c>
      <x:c r="R12" s="9" t="str">
        <x:v>产品</x:v>
      </x:c>
      <x:c r="S12" s="9" t="str"/>
      <x:c r="T12" s="9" t="str">
        <x:v>待确认</x:v>
      </x:c>
    </x:row>
    <x:row r="13" ht="145" customHeight="1">
      <x:c r="A13" s="10" t="str">
        <x:v>PENDING-effective-duration</x:v>
      </x:c>
      <x:c r="B13" s="10" t="str">
        <x:v>PENDING-effective-duration</x:v>
      </x:c>
      <x:c r="C13" s="10" t="str"/>
      <x:c r="D13" s="10" t="str"/>
      <x:c r="E13" s="10" t="str">
        <x:v>部分阻塞</x:v>
      </x:c>
      <x:c r="F13" s="10" t="str">
        <x:v>数据分析</x:v>
      </x:c>
      <x:c r="G13" s="9" t="str">
        <x:v>有效时长排除条件</x:v>
      </x:c>
      <x:c r="H13" s="9" t="str">
        <x:v>计算与统计口径</x:v>
      </x:c>
      <x:c r="I13" s="9" t="str">
        <x:v>有效时长排除条件：断流、后台挂起和暂停期间哪些时长计入每日 3 小时门槛？</x:v>
      </x:c>
      <x:c r="J13" s="9" t="str">
        <x:v>A. 仅连续成功推流时长
B. 会话持续时长扣除配置的无效区间</x:v>
      </x:c>
      <x:c r="K13" s="9" t="str">
        <x:v>先确认本项规则，再补充各选项对应的正向、边界及变更影响场景；当前不采用任一选项作为确定结果。</x:v>
      </x:c>
      <x:c r="L13" s="12" t="str"/>
      <x:c r="M13" s="12" t="str"/>
      <x:c r="N13" s="10" t="str">
        <x:v>1. liveshow-proto/MainBasis/需求待确认清单.md 行102：- [PENDING-effective-duration] 有效时长排除条件：断流、后台挂起和暂停期间哪些时长计入每日 3 小时门槛？ 选项：A. 仅连续成功推流时长；B. 会话持续时长扣除配置的无效区间。影响端：用户App、公会App、管理后台。依据：AN-2d643ddb84e1。</x:v>
      </x:c>
      <x:c r="O13" s="9" t="str">
        <x:v>1. 用户App
2. 公会App
3. 管理后台</x:v>
      </x:c>
      <x:c r="P13" s="9" t="str"/>
      <x:c r="Q13" s="9" t="str">
        <x:v>1. 有效时长排除条件：按确认结论补齐相关分支</x:v>
      </x:c>
      <x:c r="R13" s="9" t="str">
        <x:v>产品</x:v>
      </x:c>
      <x:c r="S13" s="9" t="str"/>
      <x:c r="T13" s="9" t="str">
        <x:v>待确认</x:v>
      </x:c>
    </x:row>
    <x:row r="14" ht="145" customHeight="1">
      <x:c r="A14" s="10" t="str">
        <x:v>PENDING-cross-day-live</x:v>
      </x:c>
      <x:c r="B14" s="10" t="str">
        <x:v>PENDING-cross-day-live</x:v>
      </x:c>
      <x:c r="C14" s="10" t="str"/>
      <x:c r="D14" s="10" t="str"/>
      <x:c r="E14" s="10" t="str">
        <x:v>部分阻塞</x:v>
      </x:c>
      <x:c r="F14" s="10" t="str">
        <x:v>数据分析</x:v>
      </x:c>
      <x:c r="G14" s="9" t="str">
        <x:v>跨日直播时长分配</x:v>
      </x:c>
      <x:c r="H14" s="9" t="str">
        <x:v>计算与统计口径</x:v>
      </x:c>
      <x:c r="I14" s="9" t="str">
        <x:v>跨日直播时长分配：跨自然日的一场直播如何分配每天的有效时长及收益？</x:v>
      </x:c>
      <x:c r="J14" s="9" t="str">
        <x:v>A. 按事件发生时间切分到各日
B. 全部归入开播日</x:v>
      </x:c>
      <x:c r="K14" s="9" t="str">
        <x:v>先确认本项规则，再补充各选项对应的正向、边界及变更影响场景；当前不采用任一选项作为确定结果。</x:v>
      </x:c>
      <x:c r="L14" s="12" t="str"/>
      <x:c r="M14" s="12" t="str"/>
      <x:c r="N14" s="10" t="str">
        <x:v>1. liveshow-proto/MainBasis/需求待确认清单.md 行106：- [PENDING-cross-day-live] 跨日直播时长分配：跨自然日的一场直播如何分配每天的有效时长及收益？ 选项：A. 按事件发生时间切分到各日；B. 全部归入开播日。影响端：用户App、公会App、管理后台。依据：AN-2d643ddb84e1。</x:v>
      </x:c>
      <x:c r="O14" s="9" t="str">
        <x:v>1. 用户App
2. 公会App
3. 管理后台</x:v>
      </x:c>
      <x:c r="P14" s="9" t="str"/>
      <x:c r="Q14" s="9" t="str">
        <x:v>1. 跨日直播时长分配：按确认结论补齐相关分支</x:v>
      </x:c>
      <x:c r="R14" s="9" t="str">
        <x:v>产品</x:v>
      </x:c>
      <x:c r="S14" s="9" t="str"/>
      <x:c r="T14" s="9" t="str">
        <x:v>待确认</x:v>
      </x:c>
    </x:row>
    <x:row r="15" ht="145" customHeight="1">
      <x:c r="A15" s="10" t="str">
        <x:v>PENDING-metric-latency</x:v>
      </x:c>
      <x:c r="B15" s="10" t="str">
        <x:v>PENDING-metric-latency</x:v>
      </x:c>
      <x:c r="C15" s="10" t="str"/>
      <x:c r="D15" s="10" t="str"/>
      <x:c r="E15" s="10" t="str">
        <x:v>部分阻塞</x:v>
      </x:c>
      <x:c r="F15" s="10" t="str">
        <x:v>工作台、数据分析、运营配置</x:v>
      </x:c>
      <x:c r="G15" s="9" t="str">
        <x:v>指标刷新时效</x:v>
      </x:c>
      <x:c r="H15" s="9" t="str">
        <x:v>计算与统计口径</x:v>
      </x:c>
      <x:c r="I15" s="9" t="str">
        <x:v>指标刷新时效：直播、收益和等级变动后，各端指标最迟何时应更新？</x:v>
      </x:c>
      <x:c r="J15" s="9" t="str">
        <x:v>A. 实时更新并指定秒级上限
B. 按固定汇总周期更新</x:v>
      </x:c>
      <x:c r="K15" s="9" t="str">
        <x:v>先确认本项规则，再补充各选项对应的正向、边界及变更影响场景；当前不采用任一选项作为确定结果。</x:v>
      </x:c>
      <x:c r="L15" s="12" t="str"/>
      <x:c r="M15" s="12" t="str"/>
      <x:c r="N15" s="10" t="str">
        <x:v>1. liveshow-proto/MainBasis/需求待确认清单.md 行110：- [PENDING-metric-latency] 指标刷新时效：直播、收益和等级变动后，各端指标最迟何时应更新？ 选项：A. 实时更新并指定秒级上限；B. 按固定汇总周期更新。影响端：用户App、公会App、管理后台。依据：AN-2d643ddb84e1、AN-4c265a228f16。</x:v>
      </x:c>
      <x:c r="O15" s="9" t="str">
        <x:v>1. 用户App
2. 公会App
3. 管理后台</x:v>
      </x:c>
      <x:c r="P15" s="9" t="str"/>
      <x:c r="Q15" s="9" t="str">
        <x:v>1. 指标刷新时效：按确认结论补齐相关分支</x:v>
      </x:c>
      <x:c r="R15" s="9" t="str">
        <x:v>产品</x:v>
      </x:c>
      <x:c r="S15" s="9" t="str"/>
      <x:c r="T15" s="9" t="str">
        <x:v>待确认</x:v>
      </x:c>
    </x:row>
    <x:row r="16" ht="130" customHeight="1">
      <x:c r="A16" s="10" t="str">
        <x:v>PENDING-first-recharge</x:v>
      </x:c>
      <x:c r="B16" s="10" t="str">
        <x:v>PENDING-first-recharge</x:v>
      </x:c>
      <x:c r="C16" s="10" t="str"/>
      <x:c r="D16" s="10" t="str"/>
      <x:c r="E16" s="10" t="str">
        <x:v>部分阻塞</x:v>
      </x:c>
      <x:c r="F16" s="10" t="str">
        <x:v>运营配置、订单管理</x:v>
      </x:c>
      <x:c r="G16" s="9" t="str">
        <x:v>首充资格</x:v>
      </x:c>
      <x:c r="H16" s="9" t="str">
        <x:v>业务规则</x:v>
      </x:c>
      <x:c r="I16" s="9" t="str">
        <x:v>首充资格：首充资格按哪种充值成功记录判定？</x:v>
      </x:c>
      <x:c r="J16" s="9" t="str">
        <x:v>A. 账号首次任意渠道成功充值
B. 各活动分别以首次购买判定</x:v>
      </x:c>
      <x:c r="K16" s="9" t="str">
        <x:v>先确认本项规则，再补充各选项对应的正向、边界及变更影响场景；当前不采用任一选项作为确定结果。</x:v>
      </x:c>
      <x:c r="L16" s="12" t="str"/>
      <x:c r="M16" s="12" t="str"/>
      <x:c r="N16" s="10" t="str">
        <x:v>1. liveshow-proto/MainBasis/需求待确认清单.md 行114：- [PENDING-first-recharge] 首充资格：首充资格按哪种充值成功记录判定？ 选项：A. 账号首次任意渠道成功充值；B. 各活动分别以首次购买判定。影响端：用户App、管理后台。依据：AN-b13d526e82bf。</x:v>
      </x:c>
      <x:c r="O16" s="9" t="str">
        <x:v>1. 用户App
2. 管理后台</x:v>
      </x:c>
      <x:c r="P16" s="9" t="str"/>
      <x:c r="Q16" s="9" t="str">
        <x:v>1. 首充资格：按确认结论补齐相关分支</x:v>
      </x:c>
      <x:c r="R16" s="9" t="str">
        <x:v>产品</x:v>
      </x:c>
      <x:c r="S16" s="9" t="str"/>
      <x:c r="T16" s="9" t="str">
        <x:v>待确认</x:v>
      </x:c>
    </x:row>
    <x:row r="17" ht="145" customHeight="1">
      <x:c r="A17" s="10" t="str">
        <x:v>PENDING-recharge-expiry</x:v>
      </x:c>
      <x:c r="B17" s="10" t="str">
        <x:v>PENDING-recharge-expiry</x:v>
      </x:c>
      <x:c r="C17" s="10" t="str"/>
      <x:c r="D17" s="10" t="str"/>
      <x:c r="E17" s="10" t="str">
        <x:v>部分阻塞</x:v>
      </x:c>
      <x:c r="F17" s="10" t="str">
        <x:v>运营配置、订单管理</x:v>
      </x:c>
      <x:c r="G17" s="9" t="str">
        <x:v>支付中套餐过期</x:v>
      </x:c>
      <x:c r="H17" s="9" t="str">
        <x:v>业务规则</x:v>
      </x:c>
      <x:c r="I17" s="9" t="str">
        <x:v>支付中套餐过期：支付已经发起但尚未完成时套餐过期，订单能否按快照继续完成？</x:v>
      </x:c>
      <x:c r="J17" s="9" t="str">
        <x:v>A. 在原订单有效期内继续支付
B. 过期即取消未支付订单</x:v>
      </x:c>
      <x:c r="K17" s="9" t="str">
        <x:v>先确认本项规则，再补充各选项对应的正向、边界及变更影响场景；当前不采用任一选项作为确定结果。</x:v>
      </x:c>
      <x:c r="L17" s="12" t="str"/>
      <x:c r="M17" s="12" t="str"/>
      <x:c r="N17" s="10" t="str">
        <x:v>1. liveshow-proto/MainBasis/需求待确认清单.md 行122：- [PENDING-recharge-expiry] 支付中套餐过期：支付已经发起但尚未完成时套餐过期，订单能否按快照继续完成？ 选项：A. 在原订单有效期内继续支付；B. 过期即取消未支付订单。影响端：用户App、管理后台。依据：AN-b13d526e82bf。</x:v>
      </x:c>
      <x:c r="O17" s="9" t="str">
        <x:v>1. 用户App
2. 管理后台</x:v>
      </x:c>
      <x:c r="P17" s="9" t="str"/>
      <x:c r="Q17" s="9" t="str">
        <x:v>1. 支付中套餐过期：按确认结论补齐相关分支</x:v>
      </x:c>
      <x:c r="R17" s="9" t="str">
        <x:v>产品</x:v>
      </x:c>
      <x:c r="S17" s="9" t="str"/>
      <x:c r="T17" s="9" t="str">
        <x:v>待确认</x:v>
      </x:c>
    </x:row>
    <x:row r="18" ht="160" customHeight="1">
      <x:c r="A18" s="10" t="str">
        <x:v>PENDING-level-gift-scope</x:v>
      </x:c>
      <x:c r="B18" s="10" t="str">
        <x:v>PENDING-level-gift-scope</x:v>
      </x:c>
      <x:c r="C18" s="10" t="str"/>
      <x:c r="D18" s="10" t="str"/>
      <x:c r="E18" s="10" t="str">
        <x:v>部分阻塞</x:v>
      </x:c>
      <x:c r="F18" s="10" t="str">
        <x:v>运营配置</x:v>
      </x:c>
      <x:c r="G18" s="9" t="str">
        <x:v>等级贡献计入类型</x:v>
      </x:c>
      <x:c r="H18" s="9" t="str">
        <x:v>计算与统计口径</x:v>
      </x:c>
      <x:c r="I18" s="9" t="str">
        <x:v>等级贡献计入类型：财富等级和粉丝等级分别计入哪些礼物类型，幸运礼物按何种价值计入？</x:v>
      </x:c>
      <x:c r="J18" s="9" t="str">
        <x:v>A. 全部真实礼物按送出价值
B. 全部真实礼物按扣除返奖后的净消耗
C. 由等级类型分别配置</x:v>
      </x:c>
      <x:c r="K18" s="9" t="str">
        <x:v>先确认本项规则，再补充各选项对应的正向、边界及变更影响场景；当前不采用任一选项作为确定结果。</x:v>
      </x:c>
      <x:c r="L18" s="12" t="str"/>
      <x:c r="M18" s="12" t="str"/>
      <x:c r="N18" s="10" t="str">
        <x:v>1. liveshow-proto/MainBasis/需求待确认清单.md 行130：- [PENDING-level-gift-scope] 等级贡献计入类型：财富等级和粉丝等级分别计入哪些礼物类型，幸运礼物按何种价值计入？ 选项：A. 全部真实礼物按送出价值；B. 全部真实礼物按扣除返奖后的净消耗；C. 由等级类型分别配置。影响端：用户App、管理后台。依据：AN-3839cfde3299。</x:v>
      </x:c>
      <x:c r="O18" s="9" t="str">
        <x:v>1. 用户App
2. 管理后台</x:v>
      </x:c>
      <x:c r="P18" s="9" t="str"/>
      <x:c r="Q18" s="9" t="str">
        <x:v>1. 等级贡献计入类型：按确认结论补齐相关分支</x:v>
      </x:c>
      <x:c r="R18" s="9" t="str">
        <x:v>产品</x:v>
      </x:c>
      <x:c r="S18" s="9" t="str"/>
      <x:c r="T18" s="9" t="str">
        <x:v>待确认</x:v>
      </x:c>
    </x:row>
    <x:row r="19" ht="145" customHeight="1">
      <x:c r="A19" s="10" t="str">
        <x:v>PENDING-club-level-attribution</x:v>
      </x:c>
      <x:c r="B19" s="10" t="str">
        <x:v>PENDING-club-level-attribution</x:v>
      </x:c>
      <x:c r="C19" s="10" t="str"/>
      <x:c r="D19" s="10" t="str"/>
      <x:c r="E19" s="10" t="str">
        <x:v>部分阻塞</x:v>
      </x:c>
      <x:c r="F19" s="10" t="str">
        <x:v>运营配置</x:v>
      </x:c>
      <x:c r="G19" s="9" t="str">
        <x:v>粉丝团累计收礼归属</x:v>
      </x:c>
      <x:c r="H19" s="9" t="str">
        <x:v>计算与统计口径</x:v>
      </x:c>
      <x:c r="I19" s="9" t="str">
        <x:v>粉丝团累计收礼归属：粉丝团等级累计收礼是否只计有效团员在入团期间的赠礼？</x:v>
      </x:c>
      <x:c r="J19" s="9" t="str">
        <x:v>A. 只计有效团员在团期间赠礼
B. 计入该主播的全部有效收礼</x:v>
      </x:c>
      <x:c r="K19" s="9" t="str">
        <x:v>先确认本项规则，再补充各选项对应的正向、边界及变更影响场景；当前不采用任一选项作为确定结果。</x:v>
      </x:c>
      <x:c r="L19" s="12" t="str"/>
      <x:c r="M19" s="12" t="str"/>
      <x:c r="N19" s="10" t="str">
        <x:v>1. liveshow-proto/MainBasis/需求待确认清单.md 行134：- [PENDING-club-level-attribution] 粉丝团累计收礼归属：粉丝团等级累计收礼是否只计有效团员在入团期间的赠礼？ 选项：A. 只计有效团员在团期间赠礼；B. 计入该主播的全部有效收礼。影响端：用户App、管理后台。依据：AN-3839cfde3299。</x:v>
      </x:c>
      <x:c r="O19" s="9" t="str">
        <x:v>1. 用户App
2. 管理后台</x:v>
      </x:c>
      <x:c r="P19" s="9" t="str"/>
      <x:c r="Q19" s="9" t="str">
        <x:v>1. 粉丝团累计收礼归属：按确认结论补齐相关分支</x:v>
      </x:c>
      <x:c r="R19" s="9" t="str">
        <x:v>产品</x:v>
      </x:c>
      <x:c r="S19" s="9" t="str"/>
      <x:c r="T19" s="9" t="str">
        <x:v>待确认</x:v>
      </x:c>
    </x:row>
    <x:row r="20" ht="160" customHeight="1">
      <x:c r="A20" s="10" t="str">
        <x:v>PENDING-coin-precision</x:v>
      </x:c>
      <x:c r="B20" s="10" t="str">
        <x:v>PENDING-coin-precision</x:v>
      </x:c>
      <x:c r="C20" s="10" t="str"/>
      <x:c r="D20" s="10" t="str"/>
      <x:c r="E20" s="10" t="str">
        <x:v>部分阻塞</x:v>
      </x:c>
      <x:c r="F20" s="10" t="str">
        <x:v>礼物道具、订单管理、数据分析</x:v>
      </x:c>
      <x:c r="G20" s="9" t="str">
        <x:v>金币和收益精度</x:v>
      </x:c>
      <x:c r="H20" s="9" t="str">
        <x:v>计算与统计口径</x:v>
      </x:c>
      <x:c r="I20" s="9" t="str">
        <x:v>金币和收益精度：幸运礼物收益出现不足 1 金币的小数时如何存储、累计和展示？</x:v>
      </x:c>
      <x:c r="J20" s="9" t="str">
        <x:v>A. 每笔截断为整数
B. 保留小数累计后统一展示
C. 按明确精度四舍五入</x:v>
      </x:c>
      <x:c r="K20" s="9" t="str">
        <x:v>先确认本项规则，再补充各选项对应的正向、边界及变更影响场景；当前不采用任一选项作为确定结果。</x:v>
      </x:c>
      <x:c r="L20" s="12" t="str"/>
      <x:c r="M20" s="12" t="str"/>
      <x:c r="N20" s="10" t="str">
        <x:v>1. liveshow-proto/MainBasis/需求待确认清单.md 行138：- [PENDING-coin-precision] 金币和收益精度：幸运礼物收益出现不足 1 金币的小数时如何存储、累计和展示？ 选项：A. 每笔截断为整数；B. 保留小数累计后统一展示；C. 按明确精度四舍五入。影响端：用户App、公会App、管理后台。依据：AN-3839cfde3299。</x:v>
      </x:c>
      <x:c r="O20" s="9" t="str">
        <x:v>1. 用户App
2. 公会App
3. 管理后台</x:v>
      </x:c>
      <x:c r="P20" s="9" t="str"/>
      <x:c r="Q20" s="9" t="str">
        <x:v>1. 金币和收益精度：按确认结论补齐相关分支</x:v>
      </x:c>
      <x:c r="R20" s="9" t="str">
        <x:v>产品</x:v>
      </x:c>
      <x:c r="S20" s="9" t="str"/>
      <x:c r="T20" s="9" t="str">
        <x:v>待确认</x:v>
      </x:c>
    </x:row>
    <x:row r="21" ht="145" customHeight="1">
      <x:c r="A21" s="10" t="str">
        <x:v>PENDING-level-reversal</x:v>
      </x:c>
      <x:c r="B21" s="10" t="str">
        <x:v>PENDING-level-reversal</x:v>
      </x:c>
      <x:c r="C21" s="10" t="str"/>
      <x:c r="D21" s="10" t="str"/>
      <x:c r="E21" s="10" t="str">
        <x:v>部分阻塞</x:v>
      </x:c>
      <x:c r="F21" s="10" t="str">
        <x:v>运营配置</x:v>
      </x:c>
      <x:c r="G21" s="9" t="str">
        <x:v>等级冲正与降级</x:v>
      </x:c>
      <x:c r="H21" s="9" t="str">
        <x:v>计算与统计口径</x:v>
      </x:c>
      <x:c r="I21" s="9" t="str">
        <x:v>等级冲正与降级：充值退款、消费冲正或撤销分别是否回扣成长值，以及是否降级？</x:v>
      </x:c>
      <x:c r="J21" s="9" t="str">
        <x:v>A. 按被撤销的有效赠礼回扣并重算等级
B. 回扣成长值但保留已达等级</x:v>
      </x:c>
      <x:c r="K21" s="9" t="str">
        <x:v>先确认本项规则，再补充各选项对应的正向、边界及变更影响场景；当前不采用任一选项作为确定结果。</x:v>
      </x:c>
      <x:c r="L21" s="12" t="str"/>
      <x:c r="M21" s="12" t="str"/>
      <x:c r="N21" s="10" t="str">
        <x:v>1. liveshow-proto/MainBasis/需求待确认清单.md 行142：- [PENDING-level-reversal] 等级冲正与降级：充值退款、消费冲正或撤销分别是否回扣成长值，以及是否降级？ 选项：A. 按被撤销的有效赠礼回扣并重算等级；B. 回扣成长值但保留已达等级。影响端：用户App、管理后台。依据：AN-4c265a228f16。</x:v>
      </x:c>
      <x:c r="O21" s="9" t="str">
        <x:v>1. 用户App
2. 管理后台</x:v>
      </x:c>
      <x:c r="P21" s="9" t="str"/>
      <x:c r="Q21" s="9" t="str">
        <x:v>1. 等级冲正与降级：按确认结论补齐相关分支</x:v>
      </x:c>
      <x:c r="R21" s="9" t="str">
        <x:v>产品</x:v>
      </x:c>
      <x:c r="S21" s="9" t="str"/>
      <x:c r="T21" s="9" t="str">
        <x:v>待确认</x:v>
      </x:c>
    </x:row>
    <x:row r="22" ht="130" customHeight="1">
      <x:c r="A22" s="10" t="str">
        <x:v>PENDING-level-history</x:v>
      </x:c>
      <x:c r="B22" s="10" t="str">
        <x:v>PENDING-level-history</x:v>
      </x:c>
      <x:c r="C22" s="10" t="str"/>
      <x:c r="D22" s="10" t="str"/>
      <x:c r="E22" s="10" t="str">
        <x:v>部分阻塞</x:v>
      </x:c>
      <x:c r="F22" s="10" t="str">
        <x:v>用户管理、主播管理、运营配置</x:v>
      </x:c>
      <x:c r="G22" s="9" t="str">
        <x:v>历史等级快照</x:v>
      </x:c>
      <x:c r="H22" s="9" t="str">
        <x:v>计算与统计口径</x:v>
      </x:c>
      <x:c r="I22" s="9" t="str">
        <x:v>历史等级快照：调整等级阈值后历史记录展示原等级还是重算等级？</x:v>
      </x:c>
      <x:c r="J22" s="9" t="str">
        <x:v>A. 保留事件发生时等级
B. 显示当前重算等级</x:v>
      </x:c>
      <x:c r="K22" s="9" t="str">
        <x:v>先确认本项规则，再补充各选项对应的正向、边界及变更影响场景；当前不采用任一选项作为确定结果。</x:v>
      </x:c>
      <x:c r="L22" s="12" t="str"/>
      <x:c r="M22" s="12" t="str"/>
      <x:c r="N22" s="10" t="str">
        <x:v>1. liveshow-proto/MainBasis/需求待确认清单.md 行146：- [PENDING-level-history] 历史等级快照：调整等级阈值后历史记录展示原等级还是重算等级？ 选项：A. 保留事件发生时等级；B. 显示当前重算等级。影响端：用户App、公会App、管理后台。依据：AN-10e4cbde5c33。</x:v>
      </x:c>
      <x:c r="O22" s="9" t="str">
        <x:v>1. 用户App
2. 公会App
3. 管理后台</x:v>
      </x:c>
      <x:c r="P22" s="9" t="str"/>
      <x:c r="Q22" s="9" t="str">
        <x:v>1. 历史等级快照：按确认结论补齐相关分支</x:v>
      </x:c>
      <x:c r="R22" s="9" t="str">
        <x:v>产品</x:v>
      </x:c>
      <x:c r="S22" s="9" t="str"/>
      <x:c r="T22" s="9" t="str">
        <x:v>待确认</x:v>
      </x:c>
    </x:row>
    <x:row r="23" ht="145" customHeight="1">
      <x:c r="A23" s="10" t="str">
        <x:v>PENDING-badge-refresh</x:v>
      </x:c>
      <x:c r="B23" s="10" t="str">
        <x:v>PENDING-badge-refresh</x:v>
      </x:c>
      <x:c r="C23" s="10" t="str"/>
      <x:c r="D23" s="10" t="str"/>
      <x:c r="E23" s="10" t="str">
        <x:v>部分阻塞</x:v>
      </x:c>
      <x:c r="F23" s="10" t="str">
        <x:v>运营配置</x:v>
      </x:c>
      <x:c r="G23" s="9" t="str">
        <x:v>等级勋章图刷新</x:v>
      </x:c>
      <x:c r="H23" s="9" t="str">
        <x:v>计算与统计口径</x:v>
      </x:c>
      <x:c r="I23" s="9" t="str">
        <x:v>等级勋章图刷新：后台修改等级勋章图后，客户端何时刷新？</x:v>
      </x:c>
      <x:c r="J23" s="9" t="str">
        <x:v>A. 下一次加载资料时更新
B. 重新登录后更新
C. 按明确缓存有效期更新</x:v>
      </x:c>
      <x:c r="K23" s="9" t="str">
        <x:v>先确认本项规则，再补充各选项对应的正向、边界及变更影响场景；当前不采用任一选项作为确定结果。</x:v>
      </x:c>
      <x:c r="L23" s="12" t="str"/>
      <x:c r="M23" s="12" t="str"/>
      <x:c r="N23" s="10" t="str">
        <x:v>1. liveshow-proto/MainBasis/需求待确认清单.md 行150：- [PENDING-badge-refresh] 等级勋章图刷新：后台修改等级勋章图后，客户端何时刷新？ 选项：A. 下一次加载资料时更新；B. 重新登录后更新；C. 按明确缓存有效期更新。影响端：用户App、管理后台。依据：AN-10e4cbde5c33。</x:v>
      </x:c>
      <x:c r="O23" s="9" t="str">
        <x:v>1. 用户App
2. 管理后台</x:v>
      </x:c>
      <x:c r="P23" s="9" t="str"/>
      <x:c r="Q23" s="9" t="str">
        <x:v>1. 等级勋章图刷新：按确认结论补齐相关分支</x:v>
      </x:c>
      <x:c r="R23" s="9" t="str">
        <x:v>产品</x:v>
      </x:c>
      <x:c r="S23" s="9" t="str"/>
      <x:c r="T23" s="9" t="str">
        <x:v>待确认</x:v>
      </x:c>
    </x:row>
    <x:row r="24" ht="130" customHeight="1">
      <x:c r="A24" s="10" t="str">
        <x:v>PENDING-badge-fallback</x:v>
      </x:c>
      <x:c r="B24" s="10" t="str">
        <x:v>PENDING-badge-fallback</x:v>
      </x:c>
      <x:c r="C24" s="10" t="str"/>
      <x:c r="D24" s="10" t="str"/>
      <x:c r="E24" s="10" t="str">
        <x:v>部分阻塞</x:v>
      </x:c>
      <x:c r="F24" s="10" t="str">
        <x:v>运营配置</x:v>
      </x:c>
      <x:c r="G24" s="9" t="str">
        <x:v>等级勋章图片缺失</x:v>
      </x:c>
      <x:c r="H24" s="9" t="str">
        <x:v>计算与统计口径</x:v>
      </x:c>
      <x:c r="I24" s="9" t="str">
        <x:v>等级勋章图片缺失：等级勋章图无法加载时客户端显示什么？</x:v>
      </x:c>
      <x:c r="J24" s="9" t="str">
        <x:v>A. 显示默认等级图
B. 只显示等级文字</x:v>
      </x:c>
      <x:c r="K24" s="9" t="str">
        <x:v>先确认本项规则，再补充各选项对应的正向、边界及变更影响场景；当前不采用任一选项作为确定结果。</x:v>
      </x:c>
      <x:c r="L24" s="12" t="str"/>
      <x:c r="M24" s="12" t="str"/>
      <x:c r="N24" s="10" t="str">
        <x:v>1. liveshow-proto/MainBasis/需求待确认清单.md 行154：- [PENDING-badge-fallback] 等级勋章图片缺失：等级勋章图无法加载时客户端显示什么？ 选项：A. 显示默认等级图；B. 只显示等级文字。影响端：用户App、管理后台。依据：AN-d8d7a1c44fc2。</x:v>
      </x:c>
      <x:c r="O24" s="9" t="str">
        <x:v>1. 用户App
2. 管理后台</x:v>
      </x:c>
      <x:c r="P24" s="9" t="str"/>
      <x:c r="Q24" s="9" t="str">
        <x:v>1. 等级勋章图片缺失：按确认结论补齐相关分支</x:v>
      </x:c>
      <x:c r="R24" s="9" t="str">
        <x:v>产品</x:v>
      </x:c>
      <x:c r="S24" s="9" t="str"/>
      <x:c r="T24" s="9" t="str">
        <x:v>待确认</x:v>
      </x:c>
    </x:row>
    <x:row r="25" ht="145" customHeight="1">
      <x:c r="A25" s="10" t="str">
        <x:v>PENDING-group-report</x:v>
      </x:c>
      <x:c r="B25" s="10" t="str">
        <x:v>PENDING-group-report</x:v>
      </x:c>
      <x:c r="C25" s="10" t="str"/>
      <x:c r="D25" s="10" t="str"/>
      <x:c r="E25" s="10" t="str">
        <x:v>部分阻塞</x:v>
      </x:c>
      <x:c r="F25" s="10" t="str">
        <x:v>举报处理</x:v>
      </x:c>
      <x:c r="G25" s="9" t="str">
        <x:v>粉丝群举报对象</x:v>
      </x:c>
      <x:c r="H25" s="9" t="str">
        <x:v>业务规则</x:v>
      </x:c>
      <x:c r="I25" s="9" t="str">
        <x:v>粉丝群举报对象：群管理的举报针对群、群主还是具体消息？</x:v>
      </x:c>
      <x:c r="J25" s="9" t="str">
        <x:v>A. 举报群主账号
B. 举报指定消息及其发送者
C. 单独举报粉丝群</x:v>
      </x:c>
      <x:c r="K25" s="9" t="str">
        <x:v>先确认本项规则，再补充各选项对应的正向、边界及变更影响场景；当前不采用任一选项作为确定结果。</x:v>
      </x:c>
      <x:c r="L25" s="12" t="str"/>
      <x:c r="M25" s="12" t="str"/>
      <x:c r="N25" s="10" t="str">
        <x:v>1. liveshow-proto/MainBasis/需求待确认清单.md 行162：- [PENDING-group-report] 粉丝群举报对象：群管理的举报针对群、群主还是具体消息？ 选项：A. 举报群主账号；B. 举报指定消息及其发送者；C. 单独举报粉丝群。影响端：用户App、管理后台。依据：AN-3bc6aef15073。</x:v>
      </x:c>
      <x:c r="O25" s="9" t="str">
        <x:v>1. 用户App
2. 管理后台</x:v>
      </x:c>
      <x:c r="P25" s="9" t="str"/>
      <x:c r="Q25" s="9" t="str">
        <x:v>1. 粉丝群举报对象：按确认结论补齐相关分支</x:v>
      </x:c>
      <x:c r="R25" s="9" t="str">
        <x:v>产品</x:v>
      </x:c>
      <x:c r="S25" s="9" t="str"/>
      <x:c r="T25" s="9" t="str">
        <x:v>待确认</x:v>
      </x:c>
    </x:row>
    <x:row r="26" ht="130" customHeight="1">
      <x:c r="A26" s="10" t="str">
        <x:v>PENDING-level-save-atomic</x:v>
      </x:c>
      <x:c r="B26" s="10" t="str">
        <x:v>PENDING-level-save-atomic</x:v>
      </x:c>
      <x:c r="C26" s="10" t="str"/>
      <x:c r="D26" s="10" t="str"/>
      <x:c r="E26" s="10" t="str">
        <x:v>部分阻塞</x:v>
      </x:c>
      <x:c r="F26" s="10" t="str">
        <x:v>运营配置</x:v>
      </x:c>
      <x:c r="G26" s="9" t="str">
        <x:v>等级整组保存失败</x:v>
      </x:c>
      <x:c r="H26" s="9" t="str">
        <x:v>计算与统计口径</x:v>
      </x:c>
      <x:c r="I26" s="9" t="str">
        <x:v>等级整组保存失败：等级配置一组中部分行保存失败时，是否整体回滚？</x:v>
      </x:c>
      <x:c r="J26" s="9" t="str">
        <x:v>A. 全部成功或全部失败
B. 允许逐行保存并逐行反馈</x:v>
      </x:c>
      <x:c r="K26" s="9" t="str">
        <x:v>先确认本项规则，再补充各选项对应的正向、边界及变更影响场景；当前不采用任一选项作为确定结果。</x:v>
      </x:c>
      <x:c r="L26" s="12" t="str"/>
      <x:c r="M26" s="12" t="str"/>
      <x:c r="N26" s="10" t="str">
        <x:v>1. liveshow-proto/MainBasis/需求待确认清单.md 行166：- [PENDING-level-save-atomic] 等级整组保存失败：等级配置一组中部分行保存失败时，是否整体回滚？ 选项：A. 全部成功或全部失败；B. 允许逐行保存并逐行反馈。影响端：管理后台。依据：AN-e4e4872e0998。</x:v>
      </x:c>
      <x:c r="O26" s="9" t="str">
        <x:v>1. 管理后台</x:v>
      </x:c>
      <x:c r="P26" s="9" t="str"/>
      <x:c r="Q26" s="9" t="str">
        <x:v>1. 等级整组保存失败：按确认结论补齐相关分支</x:v>
      </x:c>
      <x:c r="R26" s="9" t="str">
        <x:v>产品</x:v>
      </x:c>
      <x:c r="S26" s="9" t="str"/>
      <x:c r="T26" s="9" t="str">
        <x:v>待确认</x:v>
      </x:c>
    </x:row>
    <x:row r="27" ht="130" customHeight="1">
      <x:c r="A27" s="10" t="str">
        <x:v>PENDING-level-concurrency</x:v>
      </x:c>
      <x:c r="B27" s="10" t="str">
        <x:v>PENDING-level-concurrency</x:v>
      </x:c>
      <x:c r="C27" s="10" t="str"/>
      <x:c r="D27" s="10" t="str"/>
      <x:c r="E27" s="10" t="str">
        <x:v>部分阻塞</x:v>
      </x:c>
      <x:c r="F27" s="10" t="str">
        <x:v>运营配置</x:v>
      </x:c>
      <x:c r="G27" s="9" t="str">
        <x:v>等级配置并发编辑</x:v>
      </x:c>
      <x:c r="H27" s="9" t="str">
        <x:v>计算与统计口径</x:v>
      </x:c>
      <x:c r="I27" s="9" t="str">
        <x:v>等级配置并发编辑：多位管理员同时修改同一类等级时如何防止覆盖？</x:v>
      </x:c>
      <x:c r="J27" s="9" t="str">
        <x:v>A. 版本冲突拒绝后提交者
B. 显示差异并要求重新确认</x:v>
      </x:c>
      <x:c r="K27" s="9" t="str">
        <x:v>先确认本项规则，再补充各选项对应的正向、边界及变更影响场景；当前不采用任一选项作为确定结果。</x:v>
      </x:c>
      <x:c r="L27" s="12" t="str"/>
      <x:c r="M27" s="12" t="str"/>
      <x:c r="N27" s="10" t="str">
        <x:v>1. liveshow-proto/MainBasis/需求待确认清单.md 行170：- [PENDING-level-concurrency] 等级配置并发编辑：多位管理员同时修改同一类等级时如何防止覆盖？ 选项：A. 版本冲突拒绝后提交者；B. 显示差异并要求重新确认。影响端：管理后台。依据：AN-e4e4872e0998。</x:v>
      </x:c>
      <x:c r="O27" s="9" t="str">
        <x:v>1. 管理后台</x:v>
      </x:c>
      <x:c r="P27" s="9" t="str"/>
      <x:c r="Q27" s="9" t="str">
        <x:v>1. 等级配置并发编辑：按确认结论补齐相关分支</x:v>
      </x:c>
      <x:c r="R27" s="9" t="str">
        <x:v>产品</x:v>
      </x:c>
      <x:c r="S27" s="9" t="str"/>
      <x:c r="T27" s="9" t="str">
        <x:v>待确认</x:v>
      </x:c>
    </x:row>
    <x:row r="28" ht="130" customHeight="1">
      <x:c r="A28" s="10" t="str">
        <x:v>PENDING-level-limit</x:v>
      </x:c>
      <x:c r="B28" s="10" t="str">
        <x:v>PENDING-level-limit</x:v>
      </x:c>
      <x:c r="C28" s="10" t="str"/>
      <x:c r="D28" s="10" t="str"/>
      <x:c r="E28" s="10" t="str">
        <x:v>部分阻塞</x:v>
      </x:c>
      <x:c r="F28" s="10" t="str">
        <x:v>运营配置</x:v>
      </x:c>
      <x:c r="G28" s="9" t="str">
        <x:v>等级阈值上限</x:v>
      </x:c>
      <x:c r="H28" s="9" t="str">
        <x:v>计算与统计口径</x:v>
      </x:c>
      <x:c r="I28" s="9" t="str">
        <x:v>等级阈值上限：等级阈值与累计成长值的最大允许数值是多少？</x:v>
      </x:c>
      <x:c r="J28" s="9" t="str">
        <x:v>A. 采用统一整数上限
B. 各等级类型分别设定上限</x:v>
      </x:c>
      <x:c r="K28" s="9" t="str">
        <x:v>先确认本项规则，再补充各选项对应的正向、边界及变更影响场景；当前不采用任一选项作为确定结果。</x:v>
      </x:c>
      <x:c r="L28" s="12" t="str"/>
      <x:c r="M28" s="12" t="str"/>
      <x:c r="N28" s="10" t="str">
        <x:v>1. liveshow-proto/MainBasis/需求待确认清单.md 行174：- [PENDING-level-limit] 等级阈值上限：等级阈值与累计成长值的最大允许数值是多少？ 选项：A. 采用统一整数上限；B. 各等级类型分别设定上限。影响端：管理后台。依据：AN-3839cfde3299。</x:v>
      </x:c>
      <x:c r="O28" s="9" t="str">
        <x:v>1. 管理后台</x:v>
      </x:c>
      <x:c r="P28" s="9" t="str"/>
      <x:c r="Q28" s="9" t="str">
        <x:v>1. 等级阈值上限：按确认结论补齐相关分支</x:v>
      </x:c>
      <x:c r="R28" s="9" t="str">
        <x:v>产品</x:v>
      </x:c>
      <x:c r="S28" s="9" t="str"/>
      <x:c r="T28" s="9" t="str">
        <x:v>待确认</x:v>
      </x:c>
    </x:row>
    <x:row r="29" ht="130" customHeight="1">
      <x:c r="A29" s="10" t="str">
        <x:v>PENDING-badge-upload</x:v>
      </x:c>
      <x:c r="B29" s="10" t="str">
        <x:v>PENDING-badge-upload</x:v>
      </x:c>
      <x:c r="C29" s="10" t="str"/>
      <x:c r="D29" s="10" t="str"/>
      <x:c r="E29" s="10" t="str">
        <x:v>部分阻塞</x:v>
      </x:c>
      <x:c r="F29" s="10" t="str">
        <x:v>运营配置</x:v>
      </x:c>
      <x:c r="G29" s="9" t="str">
        <x:v>等级勋章资源限制</x:v>
      </x:c>
      <x:c r="H29" s="9" t="str">
        <x:v>计算与统计口径</x:v>
      </x:c>
      <x:c r="I29" s="9" t="str">
        <x:v>等级勋章资源限制：等级勋章图允许哪些格式、文件大小和尺寸？</x:v>
      </x:c>
      <x:c r="J29" s="9" t="str">
        <x:v>A. 统一静态图片规范
B. 按各等级类型分别规定</x:v>
      </x:c>
      <x:c r="K29" s="9" t="str">
        <x:v>先确认本项规则，再补充各选项对应的正向、边界及变更影响场景；当前不采用任一选项作为确定结果。</x:v>
      </x:c>
      <x:c r="L29" s="12" t="str"/>
      <x:c r="M29" s="12" t="str"/>
      <x:c r="N29" s="10" t="str">
        <x:v>1. liveshow-proto/MainBasis/需求待确认清单.md 行178：- [PENDING-badge-upload] 等级勋章资源限制：等级勋章图允许哪些格式、文件大小和尺寸？ 选项：A. 统一静态图片规范；B. 按各等级类型分别规定。影响端：管理后台。依据：AN-d8d7a1c44fc2。</x:v>
      </x:c>
      <x:c r="O29" s="9" t="str">
        <x:v>1. 管理后台</x:v>
      </x:c>
      <x:c r="P29" s="9" t="str"/>
      <x:c r="Q29" s="9" t="str">
        <x:v>1. 等级勋章资源限制：按确认结论补齐相关分支</x:v>
      </x:c>
      <x:c r="R29" s="9" t="str">
        <x:v>产品</x:v>
      </x:c>
      <x:c r="S29" s="9" t="str"/>
      <x:c r="T29" s="9" t="str">
        <x:v>待确认</x:v>
      </x:c>
    </x:row>
  </x:sheetData>
  <x:dataValidations count="5">
    <x:dataValidation type="list" sqref="E2:E29">
      <x:formula1>"阻塞测试,部分阻塞,不阻塞"</x:formula1>
    </x:dataValidation>
    <x:dataValidation type="list" sqref="H2:H29">
      <x:formula1>"需求范围,业务规则,角色与权限,流程与状态,字段与数据校验,计算与统计口径,异常处理,跨端与跨模块一致性,配置和历史数据影响,交互与文案规则"</x:formula1>
    </x:dataValidation>
    <x:dataValidation type="list" sqref="L2:L29">
      <x:formula1>"A,B,C,D,其他"</x:formula1>
    </x:dataValidation>
    <x:dataValidation type="list" sqref="R2:R29">
      <x:formula1>"产品,交互,技术,多方确认"</x:formula1>
    </x:dataValidation>
    <x:dataValidation type="list" sqref="T2:T29">
      <x:formula1>"待前置结论,待确认,确认中,已确认,无需处理"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2e9319e98494c35"/>
  </x:tableParts>
</x:worksheet>
</file>