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665ddd77cf41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d7ac134f84eb47a7"/>
    <x:sheet xmlns:r="http://schemas.openxmlformats.org/officeDocument/2006/relationships" name="功能测试用例" sheetId="2" r:id="R3a3846943e5347eb"/>
    <x:sheet xmlns:r="http://schemas.openxmlformats.org/officeDocument/2006/relationships" name="需求待确认" sheetId="3" r:id="R046dd7074d154c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d9b85a6a1a4e09" /><Relationship Type="http://schemas.openxmlformats.org/officeDocument/2006/relationships/theme" Target="/xl/theme/theme1.xml" Id="Rc5a5ecb4f2144769" /><Relationship Type="http://schemas.openxmlformats.org/officeDocument/2006/relationships/sharedStrings" Target="/xl/sharedStrings.xml" Id="R948171505ebf44bf" /><Relationship Type="http://schemas.openxmlformats.org/officeDocument/2006/relationships/worksheet" Target="/xl/worksheets/sheet1.xml" Id="Rd7ac134f84eb47a7" /><Relationship Type="http://schemas.openxmlformats.org/officeDocument/2006/relationships/worksheet" Target="/xl/worksheets/sheet2.xml" Id="R3a3846943e5347eb" /><Relationship Type="http://schemas.openxmlformats.org/officeDocument/2006/relationships/worksheet" Target="/xl/worksheets/sheet3.xml" Id="R046dd7074d154c9e" /></Relationships>
</file>

<file path=xl/tables/table1.xml><?xml version="1.0" encoding="utf-8"?>
<x:table xmlns:x="http://schemas.openxmlformats.org/spreadsheetml/2006/main" id="1" name="LiveCasesTable" displayName="LiveCasesTable" ref="A1:O106" headerRowCount="1" totalsRowCount="0" totalsRowShown="0">
  <x:autoFilter ref="A1:O106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6" headerRowCount="1" totalsRowCount="0" totalsRowShown="0">
  <x:autoFilter ref="A1:T6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d19cbcfb654f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edd35cab85429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公会App-全部模块-260914-001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数量由“需求待确认”工作表实时汇总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COUNTA('需求待确认'!$A$2:$A$6)</x:f>
        <x:v>5</x:v>
      </x:c>
      <x:c r="C5" s="13"/>
      <x:c r="D5" s="20" t="str">
        <x:v>阻塞测试</x:v>
      </x:c>
      <x:c r="E5" s="22" t="n">
        <x:f>COUNTIFS('需求待确认'!$E$2:$E$6,"阻塞测试",'需求待确认'!$T$2:$T$6,"待确认")</x:f>
        <x:v>0</x:v>
      </x:c>
      <x:c r="F5" s="13"/>
      <x:c r="G5" s="20" t="str">
        <x:v>产品</x:v>
      </x:c>
      <x:c r="H5" s="22" t="n">
        <x:f>COUNTIFS('需求待确认'!$R$2:$R$6,"产品",'需求待确认'!$T$2:$T$6,"待确认")</x:f>
        <x:v>4</x:v>
      </x:c>
    </x:row>
    <x:row r="6">
      <x:c r="A6" s="20" t="str">
        <x:v>当前可回答</x:v>
      </x:c>
      <x:c r="B6" s="22" t="n">
        <x:f>COUNTIF('需求待确认'!$T$2:$T$6,"待确认")</x:f>
        <x:v>5</x:v>
      </x:c>
      <x:c r="C6" s="13"/>
      <x:c r="D6" s="20" t="str">
        <x:v>部分阻塞</x:v>
      </x:c>
      <x:c r="E6" s="22" t="n">
        <x:f>COUNTIFS('需求待确认'!$E$2:$E$6,"部分阻塞",'需求待确认'!$T$2:$T$6,"待确认")</x:f>
        <x:v>5</x:v>
      </x:c>
      <x:c r="F6" s="13"/>
      <x:c r="G6" s="20" t="str">
        <x:v>交互</x:v>
      </x:c>
      <x:c r="H6" s="22" t="n">
        <x:f>COUNTIFS('需求待确认'!$R$2:$R$6,"交互",'需求待确认'!$T$2:$T$6,"待确认")</x:f>
        <x:v>0</x:v>
      </x:c>
    </x:row>
    <x:row r="7">
      <x:c r="A7" s="20" t="str">
        <x:v>待前置结论</x:v>
      </x:c>
      <x:c r="B7" s="22" t="n">
        <x:f>COUNTIF('需求待确认'!$T$2:$T$6,"待前置结论")</x:f>
        <x:v>0</x:v>
      </x:c>
      <x:c r="C7" s="13"/>
      <x:c r="D7" s="20" t="str">
        <x:v>不阻塞</x:v>
      </x:c>
      <x:c r="E7" s="22" t="n">
        <x:f>COUNTIFS('需求待确认'!$E$2:$E$6,"不阻塞",'需求待确认'!$T$2:$T$6,"待确认")</x:f>
        <x:v>0</x:v>
      </x:c>
      <x:c r="F7" s="13"/>
      <x:c r="G7" s="20" t="str">
        <x:v>技术</x:v>
      </x:c>
      <x:c r="H7" s="22" t="n">
        <x:f>COUNTIFS('需求待确认'!$R$2:$R$6,"技术",'需求待确认'!$T$2:$T$6,"待确认")</x:f>
        <x:v>0</x:v>
      </x:c>
    </x:row>
    <x:row r="8">
      <x:c r="A8" s="20" t="str">
        <x:v>确认中</x:v>
      </x:c>
      <x:c r="B8" s="22" t="n">
        <x:f>COUNTIF('需求待确认'!$T$2:$T$6,"确认中")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COUNTIFS('需求待确认'!$R$2:$R$6,"多方确认",'需求待确认'!$T$2:$T$6,"待确认")</x:f>
        <x:v>1</x:v>
      </x:c>
    </x:row>
    <x:row r="9">
      <x:c r="A9" s="20" t="str">
        <x:v>已确认</x:v>
      </x:c>
      <x:c r="B9" s="22" t="n">
        <x:f>COUNTIF('需求待确认'!$T$2:$T$6,"已确认")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COUNTIF('需求待确认'!$T$2:$T$6,"无需处理")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85" customHeight="1">
      <x:c r="A2" s="10" t="n">
        <x:v>1</x:v>
      </x:c>
      <x:c r="B2" s="10" t="str">
        <x:v>GUILD-0001</x:v>
      </x:c>
      <x:c r="C2" s="10" t="str">
        <x:v>公会管理</x:v>
      </x:c>
      <x:c r="D2" s="10" t="str">
        <x:v>公会资料（公会长）</x:v>
      </x:c>
      <x:c r="E2" s="10" t="str">
        <x:v>逻辑校验</x:v>
      </x:c>
      <x:c r="F2" s="10" t="str">
        <x:v>P1</x:v>
      </x:c>
      <x:c r="G2" s="9" t="str">
        <x:v>验证公会名称长度为0时的校验</x:v>
      </x:c>
      <x:c r="H2" s="9" t="str">
        <x:v>公会名称越界拦截</x:v>
      </x:c>
      <x:c r="I2" s="9" t="str">
        <x:v>1. 公会长账号已登录，当前公会启用，具备本页管理权限
2. 除公会名称外的必填项已具备合法值</x:v>
      </x:c>
      <x:c r="J2" s="9" t="str">
        <x:v>1. 进入公会资料
2. 清空公会名称
3. 输入公会名称为0 个“测”字符
4. 点击保存</x:v>
      </x:c>
      <x:c r="K2" s="9" t="str">
        <x:v>公会名称不能保存超出下限的值</x:v>
      </x:c>
      <x:c r="L2" s="10" t="str"/>
      <x:c r="M2" s="10" t="str">
        <x:v>未测</x:v>
      </x:c>
      <x:c r="N2" s="10" t="str"/>
      <x:c r="O2" s="9" t="str">
        <x:v>1. 来源（当前证据）：liveshow-proto/MainBasis/统一需求文档.md；位置：guild-profile.html
2. 规则：BR-A009759419EC8F
3. 未动态验证</x:v>
      </x:c>
    </x:row>
    <x:row r="3" ht="85" customHeight="1">
      <x:c r="A3" s="10" t="n">
        <x:v>2</x:v>
      </x:c>
      <x:c r="B3" s="10" t="str">
        <x:v>GUILD-0002</x:v>
      </x:c>
      <x:c r="C3" s="10" t="str">
        <x:v>公会管理</x:v>
      </x:c>
      <x:c r="D3" s="10" t="str">
        <x:v>公会资料（公会长）</x:v>
      </x:c>
      <x:c r="E3" s="10" t="str">
        <x:v>逻辑校验</x:v>
      </x:c>
      <x:c r="F3" s="10" t="str">
        <x:v>P1</x:v>
      </x:c>
      <x:c r="G3" s="9" t="str">
        <x:v>验证公会名称长度为1时的校验</x:v>
      </x:c>
      <x:c r="H3" s="9" t="str">
        <x:v>公会名称合法边界</x:v>
      </x:c>
      <x:c r="I3" s="9" t="str">
        <x:v>1. 公会长账号已登录，当前公会启用，具备本页管理权限
2. 除公会名称外的必填项已具备合法值</x:v>
      </x:c>
      <x:c r="J3" s="9" t="str">
        <x:v>1. 进入公会资料
2. 清空公会名称
3. 输入公会名称为1 个“测”字符
4. 点击保存</x:v>
      </x:c>
      <x:c r="K3" s="9" t="str">
        <x:v>公会名称接受本次1 字符输入</x:v>
      </x:c>
      <x:c r="L3" s="10" t="str"/>
      <x:c r="M3" s="10" t="str">
        <x:v>未测</x:v>
      </x:c>
      <x:c r="N3" s="10" t="str"/>
      <x:c r="O3" s="9" t="str">
        <x:v>1. 来源（当前证据）：liveshow-proto/MainBasis/统一需求文档.md；位置：guild-profile.html
2. 规则：BR-EE3797CC00F3C5
3. 未动态验证</x:v>
      </x:c>
    </x:row>
    <x:row r="4" ht="85" customHeight="1">
      <x:c r="A4" s="10" t="n">
        <x:v>3</x:v>
      </x:c>
      <x:c r="B4" s="10" t="str">
        <x:v>GUILD-0003</x:v>
      </x:c>
      <x:c r="C4" s="10" t="str">
        <x:v>公会管理</x:v>
      </x:c>
      <x:c r="D4" s="10" t="str">
        <x:v>公会资料（公会长）</x:v>
      </x:c>
      <x:c r="E4" s="10" t="str">
        <x:v>逻辑校验</x:v>
      </x:c>
      <x:c r="F4" s="10" t="str">
        <x:v>P1</x:v>
      </x:c>
      <x:c r="G4" s="9" t="str">
        <x:v>验证公会名称长度为2时的校验</x:v>
      </x:c>
      <x:c r="H4" s="9" t="str">
        <x:v>公会名称合法边界</x:v>
      </x:c>
      <x:c r="I4" s="9" t="str">
        <x:v>1. 公会长账号已登录，当前公会启用，具备本页管理权限
2. 除公会名称外的必填项已具备合法值</x:v>
      </x:c>
      <x:c r="J4" s="9" t="str">
        <x:v>1. 进入公会资料
2. 清空公会名称
3. 输入公会名称为2 个“测”字符
4. 点击保存</x:v>
      </x:c>
      <x:c r="K4" s="9" t="str">
        <x:v>公会名称接受本次2 字符输入</x:v>
      </x:c>
      <x:c r="L4" s="10" t="str"/>
      <x:c r="M4" s="10" t="str">
        <x:v>未测</x:v>
      </x:c>
      <x:c r="N4" s="10" t="str"/>
      <x:c r="O4" s="9" t="str">
        <x:v>1. 来源（当前证据）：liveshow-proto/MainBasis/统一需求文档.md；位置：guild-profile.html
2. 规则：BR-86A1A3ADDF8E4A
3. 未动态验证</x:v>
      </x:c>
    </x:row>
    <x:row r="5" ht="85" customHeight="1">
      <x:c r="A5" s="10" t="n">
        <x:v>4</x:v>
      </x:c>
      <x:c r="B5" s="10" t="str">
        <x:v>GUILD-0004</x:v>
      </x:c>
      <x:c r="C5" s="10" t="str">
        <x:v>公会管理</x:v>
      </x:c>
      <x:c r="D5" s="10" t="str">
        <x:v>公会资料（公会长）</x:v>
      </x:c>
      <x:c r="E5" s="10" t="str">
        <x:v>逻辑校验</x:v>
      </x:c>
      <x:c r="F5" s="10" t="str">
        <x:v>P1</x:v>
      </x:c>
      <x:c r="G5" s="9" t="str">
        <x:v>验证公会名称长度为39时的校验</x:v>
      </x:c>
      <x:c r="H5" s="9" t="str">
        <x:v>公会名称合法边界</x:v>
      </x:c>
      <x:c r="I5" s="9" t="str">
        <x:v>1. 公会长账号已登录，当前公会启用，具备本页管理权限
2. 除公会名称外的必填项已具备合法值</x:v>
      </x:c>
      <x:c r="J5" s="9" t="str">
        <x:v>1. 进入公会资料
2. 清空公会名称
3. 输入公会名称为39 个“测”字符
4. 点击保存</x:v>
      </x:c>
      <x:c r="K5" s="9" t="str">
        <x:v>公会名称接受本次39 字符输入</x:v>
      </x:c>
      <x:c r="L5" s="10" t="str"/>
      <x:c r="M5" s="10" t="str">
        <x:v>未测</x:v>
      </x:c>
      <x:c r="N5" s="10" t="str"/>
      <x:c r="O5" s="9" t="str">
        <x:v>1. 来源（当前证据）：liveshow-proto/MainBasis/统一需求文档.md；位置：guild-profile.html
2. 规则：BR-2A75DE694B2210
3. 未动态验证</x:v>
      </x:c>
    </x:row>
    <x:row r="6" ht="85" customHeight="1">
      <x:c r="A6" s="10" t="n">
        <x:v>5</x:v>
      </x:c>
      <x:c r="B6" s="10" t="str">
        <x:v>GUILD-0005</x:v>
      </x:c>
      <x:c r="C6" s="10" t="str">
        <x:v>公会管理</x:v>
      </x:c>
      <x:c r="D6" s="10" t="str">
        <x:v>公会资料（公会长）</x:v>
      </x:c>
      <x:c r="E6" s="10" t="str">
        <x:v>逻辑校验</x:v>
      </x:c>
      <x:c r="F6" s="10" t="str">
        <x:v>P1</x:v>
      </x:c>
      <x:c r="G6" s="9" t="str">
        <x:v>验证公会名称长度为40时的校验</x:v>
      </x:c>
      <x:c r="H6" s="9" t="str">
        <x:v>公会名称合法边界</x:v>
      </x:c>
      <x:c r="I6" s="9" t="str">
        <x:v>1. 公会长账号已登录，当前公会启用，具备本页管理权限
2. 除公会名称外的必填项已具备合法值</x:v>
      </x:c>
      <x:c r="J6" s="9" t="str">
        <x:v>1. 进入公会资料
2. 清空公会名称
3. 输入公会名称为40 个“测”字符
4. 点击保存</x:v>
      </x:c>
      <x:c r="K6" s="9" t="str">
        <x:v>公会名称接受本次40 字符输入</x:v>
      </x:c>
      <x:c r="L6" s="10" t="str"/>
      <x:c r="M6" s="10" t="str">
        <x:v>未测</x:v>
      </x:c>
      <x:c r="N6" s="10" t="str"/>
      <x:c r="O6" s="9" t="str">
        <x:v>1. 来源（当前证据）：liveshow-proto/MainBasis/统一需求文档.md；位置：guild-profile.html
2. 规则：BR-81BCA973CD5606
3. 未动态验证</x:v>
      </x:c>
    </x:row>
    <x:row r="7" ht="85" customHeight="1">
      <x:c r="A7" s="10" t="n">
        <x:v>6</x:v>
      </x:c>
      <x:c r="B7" s="10" t="str">
        <x:v>GUILD-0006</x:v>
      </x:c>
      <x:c r="C7" s="10" t="str">
        <x:v>公会管理</x:v>
      </x:c>
      <x:c r="D7" s="10" t="str">
        <x:v>公会资料（公会长）</x:v>
      </x:c>
      <x:c r="E7" s="10" t="str">
        <x:v>逻辑校验</x:v>
      </x:c>
      <x:c r="F7" s="10" t="str">
        <x:v>P1</x:v>
      </x:c>
      <x:c r="G7" s="9" t="str">
        <x:v>验证公会名称长度为41时的校验</x:v>
      </x:c>
      <x:c r="H7" s="9" t="str">
        <x:v>公会名称越界拦截</x:v>
      </x:c>
      <x:c r="I7" s="9" t="str">
        <x:v>1. 公会长账号已登录，当前公会启用，具备本页管理权限
2. 除公会名称外的必填项已具备合法值</x:v>
      </x:c>
      <x:c r="J7" s="9" t="str">
        <x:v>1. 进入公会资料
2. 清空公会名称
3. 输入公会名称为41 个“测”字符
4. 点击保存</x:v>
      </x:c>
      <x:c r="K7" s="9" t="str">
        <x:v>公会名称不能保存超出上限的值</x:v>
      </x:c>
      <x:c r="L7" s="10" t="str"/>
      <x:c r="M7" s="10" t="str">
        <x:v>未测</x:v>
      </x:c>
      <x:c r="N7" s="10" t="str"/>
      <x:c r="O7" s="9" t="str">
        <x:v>1. 来源（当前证据）：liveshow-proto/MainBasis/统一需求文档.md；位置：guild-profile.html
2. 规则：BR-84049D3206294F
3. 未动态验证</x:v>
      </x:c>
    </x:row>
    <x:row r="8" ht="85" customHeight="1">
      <x:c r="A8" s="10" t="n">
        <x:v>7</x:v>
      </x:c>
      <x:c r="B8" s="10" t="str">
        <x:v>GUILD-0007</x:v>
      </x:c>
      <x:c r="C8" s="10" t="str">
        <x:v>公会管理</x:v>
      </x:c>
      <x:c r="D8" s="10" t="str">
        <x:v>公会资料（公会长）</x:v>
      </x:c>
      <x:c r="E8" s="10" t="str">
        <x:v>逻辑校验</x:v>
      </x:c>
      <x:c r="F8" s="10" t="str">
        <x:v>P1</x:v>
      </x:c>
      <x:c r="G8" s="9" t="str">
        <x:v>验证公会简介长度为199时的校验</x:v>
      </x:c>
      <x:c r="H8" s="9" t="str">
        <x:v>公会简介合法边界</x:v>
      </x:c>
      <x:c r="I8" s="9" t="str">
        <x:v>1. 公会长账号已登录，当前公会启用，具备本页管理权限
2. 除公会简介外的必填项已具备合法值</x:v>
      </x:c>
      <x:c r="J8" s="9" t="str">
        <x:v>1. 进入公会资料
2. 清空公会简介
3. 输入公会简介为199 个“测”字符
4. 点击保存</x:v>
      </x:c>
      <x:c r="K8" s="9" t="str">
        <x:v>公会简介接受本次199 字符输入</x:v>
      </x:c>
      <x:c r="L8" s="10" t="str"/>
      <x:c r="M8" s="10" t="str">
        <x:v>未测</x:v>
      </x:c>
      <x:c r="N8" s="10" t="str"/>
      <x:c r="O8" s="9" t="str">
        <x:v>1. 来源（当前证据）：liveshow-proto/MainBasis/统一需求文档.md；位置：guild-profile.html
2. 规则：BR-21BE09B6AB623F
3. 未动态验证</x:v>
      </x:c>
    </x:row>
    <x:row r="9" ht="85" customHeight="1">
      <x:c r="A9" s="10" t="n">
        <x:v>8</x:v>
      </x:c>
      <x:c r="B9" s="10" t="str">
        <x:v>GUILD-0008</x:v>
      </x:c>
      <x:c r="C9" s="10" t="str">
        <x:v>公会管理</x:v>
      </x:c>
      <x:c r="D9" s="10" t="str">
        <x:v>公会资料（公会长）</x:v>
      </x:c>
      <x:c r="E9" s="10" t="str">
        <x:v>逻辑校验</x:v>
      </x:c>
      <x:c r="F9" s="10" t="str">
        <x:v>P1</x:v>
      </x:c>
      <x:c r="G9" s="9" t="str">
        <x:v>验证公会简介长度为200时的校验</x:v>
      </x:c>
      <x:c r="H9" s="9" t="str">
        <x:v>公会简介合法边界</x:v>
      </x:c>
      <x:c r="I9" s="9" t="str">
        <x:v>1. 公会长账号已登录，当前公会启用，具备本页管理权限
2. 除公会简介外的必填项已具备合法值</x:v>
      </x:c>
      <x:c r="J9" s="9" t="str">
        <x:v>1. 进入公会资料
2. 清空公会简介
3. 输入公会简介为200 个“测”字符
4. 点击保存</x:v>
      </x:c>
      <x:c r="K9" s="9" t="str">
        <x:v>公会简介接受本次200 字符输入</x:v>
      </x:c>
      <x:c r="L9" s="10" t="str"/>
      <x:c r="M9" s="10" t="str">
        <x:v>未测</x:v>
      </x:c>
      <x:c r="N9" s="10" t="str"/>
      <x:c r="O9" s="9" t="str">
        <x:v>1. 来源（当前证据）：liveshow-proto/MainBasis/统一需求文档.md；位置：guild-profile.html
2. 规则：BR-17CB56DC5C1D1A
3. 未动态验证</x:v>
      </x:c>
    </x:row>
    <x:row r="10" ht="85" customHeight="1">
      <x:c r="A10" s="10" t="n">
        <x:v>9</x:v>
      </x:c>
      <x:c r="B10" s="10" t="str">
        <x:v>GUILD-0009</x:v>
      </x:c>
      <x:c r="C10" s="10" t="str">
        <x:v>公会管理</x:v>
      </x:c>
      <x:c r="D10" s="10" t="str">
        <x:v>公会资料（公会长）</x:v>
      </x:c>
      <x:c r="E10" s="10" t="str">
        <x:v>逻辑校验</x:v>
      </x:c>
      <x:c r="F10" s="10" t="str">
        <x:v>P1</x:v>
      </x:c>
      <x:c r="G10" s="9" t="str">
        <x:v>验证公会简介长度为201时的校验</x:v>
      </x:c>
      <x:c r="H10" s="9" t="str">
        <x:v>公会简介越界拦截</x:v>
      </x:c>
      <x:c r="I10" s="9" t="str">
        <x:v>1. 公会长账号已登录，当前公会启用，具备本页管理权限
2. 除公会简介外的必填项已具备合法值</x:v>
      </x:c>
      <x:c r="J10" s="9" t="str">
        <x:v>1. 进入公会资料
2. 清空公会简介
3. 输入公会简介为201 个“测”字符
4. 点击保存</x:v>
      </x:c>
      <x:c r="K10" s="9" t="str">
        <x:v>公会简介不能保存超出上限的值</x:v>
      </x:c>
      <x:c r="L10" s="10" t="str"/>
      <x:c r="M10" s="10" t="str">
        <x:v>未测</x:v>
      </x:c>
      <x:c r="N10" s="10" t="str"/>
      <x:c r="O10" s="9" t="str">
        <x:v>1. 来源（当前证据）：liveshow-proto/MainBasis/统一需求文档.md；位置：guild-profile.html
2. 规则：BR-1458D2053D64F4
3. 未动态验证</x:v>
      </x:c>
    </x:row>
    <x:row r="11" ht="85" customHeight="1">
      <x:c r="A11" s="10" t="n">
        <x:v>10</x:v>
      </x:c>
      <x:c r="B11" s="10" t="str">
        <x:v>GUILD-0010</x:v>
      </x:c>
      <x:c r="C11" s="10" t="str">
        <x:v>公会管理</x:v>
      </x:c>
      <x:c r="D11" s="10" t="str">
        <x:v>修改密码（公会长）</x:v>
      </x:c>
      <x:c r="E11" s="10" t="str">
        <x:v>功能需求</x:v>
      </x:c>
      <x:c r="F11" s="10" t="str">
        <x:v>P1</x:v>
      </x:c>
      <x:c r="G11" s="9" t="str">
        <x:v>验证当前密码错误不能修改</x:v>
      </x:c>
      <x:c r="H11" s="9" t="str">
        <x:v>旧密码核验</x:v>
      </x:c>
      <x:c r="I11" s="9" t="str">
        <x:v>1. 公会长账号已登录，当前公会启用，具备本页管理权限
2. 新密码与确认密码均为“River!2026”</x:v>
      </x:c>
      <x:c r="J11" s="9" t="str">
        <x:v>1. 进入修改密码页
2. 输入错误当前密码后点击保存</x:v>
      </x:c>
      <x:c r="K11" s="9" t="str">
        <x:v>密码修改被拒绝</x:v>
      </x:c>
      <x:c r="L11" s="10" t="str"/>
      <x:c r="M11" s="10" t="str">
        <x:v>未测</x:v>
      </x:c>
      <x:c r="N11" s="10" t="str"/>
      <x:c r="O11" s="9" t="str">
        <x:v>1. 来源（当前证据）：liveshow-proto/MainBasis/统一需求文档.md；位置：guild-password.html
2. 规则：BR-038547453E74F1
3. 未动态验证</x:v>
      </x:c>
    </x:row>
    <x:row r="12" ht="85" customHeight="1">
      <x:c r="A12" s="10" t="n">
        <x:v>11</x:v>
      </x:c>
      <x:c r="B12" s="10" t="str">
        <x:v>GUILD-0011</x:v>
      </x:c>
      <x:c r="C12" s="10" t="str">
        <x:v>公会管理</x:v>
      </x:c>
      <x:c r="D12" s="10" t="str">
        <x:v>修改密码（公会长）</x:v>
      </x:c>
      <x:c r="E12" s="10" t="str">
        <x:v>功能需求</x:v>
      </x:c>
      <x:c r="F12" s="10" t="str">
        <x:v>P1</x:v>
      </x:c>
      <x:c r="G12" s="9" t="str">
        <x:v>验证新旧密码相同不能修改</x:v>
      </x:c>
      <x:c r="H12" s="9" t="str">
        <x:v>密码重复限制</x:v>
      </x:c>
      <x:c r="I12" s="9" t="str">
        <x:v>1. 公会长账号已登录，当前公会启用，具备本页管理权限
2. 原密码为“River!2026”</x:v>
      </x:c>
      <x:c r="J12" s="9" t="str">
        <x:v>1. 进入修改密码页
2. 输入当前密码River!2026
3. 输入新密码River!2026
4. 输入确认密码River!2026
5. 点击保存</x:v>
      </x:c>
      <x:c r="K12" s="9" t="str">
        <x:v>提示新密码不能与原密码相同</x:v>
      </x:c>
      <x:c r="L12" s="10" t="str"/>
      <x:c r="M12" s="10" t="str">
        <x:v>未测</x:v>
      </x:c>
      <x:c r="N12" s="10" t="str"/>
      <x:c r="O12" s="9" t="str">
        <x:v>1. 来源（当前证据）：liveshow-proto/MainBasis/统一需求文档.md；位置：guild-password.html
2. 规则：BR-00E84F44516CAF
3. 未动态验证</x:v>
      </x:c>
    </x:row>
    <x:row r="13" ht="85" customHeight="1">
      <x:c r="A13" s="10" t="n">
        <x:v>12</x:v>
      </x:c>
      <x:c r="B13" s="10" t="str">
        <x:v>GUILD-0012</x:v>
      </x:c>
      <x:c r="C13" s="10" t="str">
        <x:v>公会管理</x:v>
      </x:c>
      <x:c r="D13" s="10" t="str">
        <x:v>修改密码（公会长）</x:v>
      </x:c>
      <x:c r="E13" s="10" t="str">
        <x:v>功能需求</x:v>
      </x:c>
      <x:c r="F13" s="10" t="str">
        <x:v>P1</x:v>
      </x:c>
      <x:c r="G13" s="9" t="str">
        <x:v>验证两次新密码不一致不能保存</x:v>
      </x:c>
      <x:c r="H13" s="9" t="str">
        <x:v>密码确认一致性</x:v>
      </x:c>
      <x:c r="I13" s="9" t="str">
        <x:v>1. 公会长账号已登录，当前公会启用，具备本页管理权限
2. 当前密码正确</x:v>
      </x:c>
      <x:c r="J13" s="9" t="str">
        <x:v>1. 进入修改密码页
2. 输入新密码River!2026
3. 输入确认密码Ocean!2026
4. 点击保存</x:v>
      </x:c>
      <x:c r="K13" s="9" t="str">
        <x:v>不能保存不一致的新密码</x:v>
      </x:c>
      <x:c r="L13" s="10" t="str"/>
      <x:c r="M13" s="10" t="str">
        <x:v>未测</x:v>
      </x:c>
      <x:c r="N13" s="10" t="str"/>
      <x:c r="O13" s="9" t="str">
        <x:v>1. 来源（当前证据）：liveshow-proto/MainBasis/统一需求文档.md；位置：guild-password.html
2. 规则：BR-2794415ED7E440
3. 未动态验证</x:v>
      </x:c>
    </x:row>
    <x:row r="14" ht="85" customHeight="1">
      <x:c r="A14" s="10" t="n">
        <x:v>13</x:v>
      </x:c>
      <x:c r="B14" s="10" t="str">
        <x:v>GUILD-0013</x:v>
      </x:c>
      <x:c r="C14" s="10" t="str">
        <x:v>公会管理</x:v>
      </x:c>
      <x:c r="D14" s="10" t="str">
        <x:v>修改密码（公会长）</x:v>
      </x:c>
      <x:c r="E14" s="10" t="str">
        <x:v>功能需求</x:v>
      </x:c>
      <x:c r="F14" s="10" t="str">
        <x:v>P1</x:v>
      </x:c>
      <x:c r="G14" s="9" t="str">
        <x:v>验证八位新密码可以保存</x:v>
      </x:c>
      <x:c r="H14" s="9" t="str">
        <x:v>密码最短合法值</x:v>
      </x:c>
      <x:c r="I14" s="9" t="str">
        <x:v>1. 公会长账号已登录，当前公会启用，具备本页管理权限
2. 当前密码已正确输入</x:v>
      </x:c>
      <x:c r="J14" s="9" t="str">
        <x:v>1. 进入修改密码页
2. 输入新密码River123
3. 输入确认密码River123
4. 点击保存</x:v>
      </x:c>
      <x:c r="K14" s="9" t="str">
        <x:v>返回设置页</x:v>
      </x:c>
      <x:c r="L14" s="10" t="str"/>
      <x:c r="M14" s="10" t="str">
        <x:v>未测</x:v>
      </x:c>
      <x:c r="N14" s="10" t="str"/>
      <x:c r="O14" s="9" t="str">
        <x:v>1. 来源（当前证据）：liveshow-proto/MainBasis/统一需求文档.md；位置：guild-password.html
2. 规则：BR-0BAA969D0DD9E9
3. 未动态验证</x:v>
      </x:c>
    </x:row>
    <x:row r="15" ht="85" customHeight="1">
      <x:c r="A15" s="10" t="n">
        <x:v>14</x:v>
      </x:c>
      <x:c r="B15" s="10" t="str">
        <x:v>GUILD-0014</x:v>
      </x:c>
      <x:c r="C15" s="10" t="str">
        <x:v>公会管理</x:v>
      </x:c>
      <x:c r="D15" s="10" t="str">
        <x:v>修改密码（公会长）</x:v>
      </x:c>
      <x:c r="E15" s="10" t="str">
        <x:v>功能需求</x:v>
      </x:c>
      <x:c r="F15" s="10" t="str">
        <x:v>P1</x:v>
      </x:c>
      <x:c r="G15" s="9" t="str">
        <x:v>验证七位新密码不能保存</x:v>
      </x:c>
      <x:c r="H15" s="9" t="str">
        <x:v>密码长度下界</x:v>
      </x:c>
      <x:c r="I15" s="9" t="str">
        <x:v>1. 公会长账号已登录，当前公会启用，具备本页管理权限
2. 当前密码已正确输入</x:v>
      </x:c>
      <x:c r="J15" s="9" t="str">
        <x:v>1. 进入修改密码页
2. 输入新密码River12
3. 输入确认密码River12
4. 点击保存</x:v>
      </x:c>
      <x:c r="K15" s="9" t="str">
        <x:v>不保存七位新密码</x:v>
      </x:c>
      <x:c r="L15" s="10" t="str"/>
      <x:c r="M15" s="10" t="str">
        <x:v>未测</x:v>
      </x:c>
      <x:c r="N15" s="10" t="str"/>
      <x:c r="O15" s="9" t="str">
        <x:v>1. 来源（当前证据）：liveshow-proto/MainBasis/统一需求文档.md；位置：guild-password.html
2. 规则：BR-12A6BE2E3E4F03
3. 未动态验证</x:v>
      </x:c>
    </x:row>
    <x:row r="16" ht="85" customHeight="1">
      <x:c r="A16" s="10" t="n">
        <x:v>15</x:v>
      </x:c>
      <x:c r="B16" s="10" t="str">
        <x:v>GUILD-0015</x:v>
      </x:c>
      <x:c r="C16" s="10" t="str">
        <x:v>公会首页</x:v>
      </x:c>
      <x:c r="D16" s="10" t="str">
        <x:v>首页（公会长）</x:v>
      </x:c>
      <x:c r="E16" s="10" t="str">
        <x:v>功能需求</x:v>
      </x:c>
      <x:c r="F16" s="10" t="str">
        <x:v>P1</x:v>
      </x:c>
      <x:c r="G16" s="9" t="str">
        <x:v>验证首页仅汇总当前公会</x:v>
      </x:c>
      <x:c r="H16" s="9" t="str">
        <x:v>首页数据范围</x:v>
      </x:c>
      <x:c r="I16" s="9" t="str">
        <x:v>1. 公会长账号已登录，当前公会启用，具备本页管理权限
2. 当前公会收益100，其他公会收益900</x:v>
      </x:c>
      <x:c r="J16" s="9" t="str">
        <x:v>1. 进入公会首页
2. 查看今日收益</x:v>
      </x:c>
      <x:c r="K16" s="9" t="str">
        <x:v>今日收益为100金币</x:v>
      </x:c>
      <x:c r="L16" s="10" t="str"/>
      <x:c r="M16" s="10" t="str">
        <x:v>未测</x:v>
      </x:c>
      <x:c r="N16" s="10" t="str"/>
      <x:c r="O16" s="9" t="str">
        <x:v>1. 来源（当前证据）：liveshow-proto/MainBasis/统一需求文档.md；位置：guild-home.html
2. 规则：BR-6F9DB63DAB7287
3. 未动态验证</x:v>
      </x:c>
    </x:row>
    <x:row r="17" ht="85" customHeight="1">
      <x:c r="A17" s="10" t="n">
        <x:v>16</x:v>
      </x:c>
      <x:c r="B17" s="10" t="str">
        <x:v>GUILD-0016</x:v>
      </x:c>
      <x:c r="C17" s="10" t="str">
        <x:v>公会首页</x:v>
      </x:c>
      <x:c r="D17" s="10" t="str">
        <x:v>首页（公会长）</x:v>
      </x:c>
      <x:c r="E17" s="10" t="str">
        <x:v>功能需求</x:v>
      </x:c>
      <x:c r="F17" s="10" t="str">
        <x:v>P1</x:v>
      </x:c>
      <x:c r="G17" s="9" t="str">
        <x:v>验证首页直播中按当前在播去重</x:v>
      </x:c>
      <x:c r="H17" s="9" t="str">
        <x:v>在播人数</x:v>
      </x:c>
      <x:c r="I17" s="9" t="str">
        <x:v>1. 公会长账号已登录，当前公会启用，具备本页管理权限
2. 甲当前直播，乙今日开播过但已结束</x:v>
      </x:c>
      <x:c r="J17" s="9" t="str">
        <x:v>1. 进入公会首页
2. 查看直播中</x:v>
      </x:c>
      <x:c r="K17" s="9" t="str">
        <x:v>直播中人数为1</x:v>
      </x:c>
      <x:c r="L17" s="10" t="str"/>
      <x:c r="M17" s="10" t="str">
        <x:v>未测</x:v>
      </x:c>
      <x:c r="N17" s="10" t="str"/>
      <x:c r="O17" s="9" t="str">
        <x:v>1. 来源（当前证据）：liveshow-proto/MainBasis/统一需求文档.md；位置：guild-home.html
2. 规则：BR-F6FB6DC5BF6FDE
3. 未动态验证</x:v>
      </x:c>
    </x:row>
    <x:row r="18" ht="85" customHeight="1">
      <x:c r="A18" s="10" t="n">
        <x:v>17</x:v>
      </x:c>
      <x:c r="B18" s="10" t="str">
        <x:v>GUILD-0017</x:v>
      </x:c>
      <x:c r="C18" s="10" t="str">
        <x:v>公会首页</x:v>
      </x:c>
      <x:c r="D18" s="10" t="str">
        <x:v>通知消息（公会长）</x:v>
      </x:c>
      <x:c r="E18" s="10" t="str">
        <x:v>功能需求</x:v>
      </x:c>
      <x:c r="F18" s="10" t="str">
        <x:v>P1</x:v>
      </x:c>
      <x:c r="G18" s="9" t="str">
        <x:v>验证通知按时间倒序</x:v>
      </x:c>
      <x:c r="H18" s="9" t="str">
        <x:v>通知时间顺序</x:v>
      </x:c>
      <x:c r="I18" s="9" t="str">
        <x:v>1. 公会长账号已登录，当前公会启用，具备本页管理权限
2. 当前公会同日10:00和11:00各有通知</x:v>
      </x:c>
      <x:c r="J18" s="9" t="str">
        <x:v>1. 进入通知消息
2. 查看列表</x:v>
      </x:c>
      <x:c r="K18" s="9" t="str">
        <x:v>11:00通知排在10:00通知之前</x:v>
      </x:c>
      <x:c r="L18" s="10" t="str"/>
      <x:c r="M18" s="10" t="str">
        <x:v>未测</x:v>
      </x:c>
      <x:c r="N18" s="10" t="str"/>
      <x:c r="O18" s="9" t="str">
        <x:v>1. 来源（当前证据）：liveshow-proto/MainBasis/统一需求文档.md；位置：guild-notifications.html
2. 规则：BR-527D4D1C587CB1
3. 未动态验证</x:v>
      </x:c>
    </x:row>
    <x:row r="19" ht="85" customHeight="1">
      <x:c r="A19" s="10" t="n">
        <x:v>18</x:v>
      </x:c>
      <x:c r="B19" s="10" t="str">
        <x:v>GUILD-0018</x:v>
      </x:c>
      <x:c r="C19" s="10" t="str">
        <x:v>公会首页</x:v>
      </x:c>
      <x:c r="D19" s="10" t="str">
        <x:v>通知消息（公会长）</x:v>
      </x:c>
      <x:c r="E19" s="10" t="str">
        <x:v>功能需求</x:v>
      </x:c>
      <x:c r="F19" s="10" t="str">
        <x:v>P1</x:v>
      </x:c>
      <x:c r="G19" s="9" t="str">
        <x:v>验证打开详情将通知标已读</x:v>
      </x:c>
      <x:c r="H19" s="9" t="str">
        <x:v>通知阅读状态</x:v>
      </x:c>
      <x:c r="I19" s="9" t="str">
        <x:v>1. 公会长账号已登录，当前公会启用，具备本页管理权限
2. 存在一条未读通知</x:v>
      </x:c>
      <x:c r="J19" s="9" t="str">
        <x:v>1. 进入通知消息
2. 点击该通知
3. 返回通知列表</x:v>
      </x:c>
      <x:c r="K19" s="9" t="str">
        <x:v>该通知已读</x:v>
      </x:c>
      <x:c r="L19" s="10" t="str"/>
      <x:c r="M19" s="10" t="str">
        <x:v>未测</x:v>
      </x:c>
      <x:c r="N19" s="10" t="str"/>
      <x:c r="O19" s="9" t="str">
        <x:v>1. 来源（当前证据）：liveshow-proto/MainBasis/统一需求文档.md；位置：guild-notifications.html
2. 规则：BR-3EC71E185B1404
3. 未动态验证</x:v>
      </x:c>
    </x:row>
    <x:row r="20" ht="85" customHeight="1">
      <x:c r="A20" s="10" t="n">
        <x:v>19</x:v>
      </x:c>
      <x:c r="B20" s="10" t="str">
        <x:v>GUILD-0019</x:v>
      </x:c>
      <x:c r="C20" s="10" t="str">
        <x:v>公会首页</x:v>
      </x:c>
      <x:c r="D20" s="10" t="str">
        <x:v>首页（公会长）</x:v>
      </x:c>
      <x:c r="E20" s="10" t="str">
        <x:v>功能需求</x:v>
      </x:c>
      <x:c r="F20" s="10" t="str">
        <x:v>P1</x:v>
      </x:c>
      <x:c r="G20" s="9" t="str">
        <x:v>验证今日概况导航到指定页面</x:v>
      </x:c>
      <x:c r="H20" s="9" t="str">
        <x:v>页面导航</x:v>
      </x:c>
      <x:c r="I20" s="9" t="str">
        <x:v>1. 公会长已登录且拥有首页访问权限</x:v>
      </x:c>
      <x:c r="J20" s="9" t="str">
        <x:v>1. 进入首页
2. 点击今日概况</x:v>
      </x:c>
      <x:c r="K20" s="9" t="str">
        <x:v>进入当日经营详情</x:v>
      </x:c>
      <x:c r="L20" s="10" t="str"/>
      <x:c r="M20" s="10" t="str">
        <x:v>未测</x:v>
      </x:c>
      <x:c r="N20" s="10" t="str"/>
      <x:c r="O20" s="9" t="str">
        <x:v>1. 来源（当前证据）：liveshow-proto/MainBasis/统一需求文档.md；位置：guild-home.html
2. 规则：BR-EE207E7550A8E4
3. 未动态验证</x:v>
      </x:c>
    </x:row>
    <x:row r="21" ht="85" customHeight="1">
      <x:c r="A21" s="10" t="n">
        <x:v>20</x:v>
      </x:c>
      <x:c r="B21" s="10" t="str">
        <x:v>GUILD-0020</x:v>
      </x:c>
      <x:c r="C21" s="10" t="str">
        <x:v>公会首页</x:v>
      </x:c>
      <x:c r="D21" s="10" t="str">
        <x:v>通知消息（公会长）</x:v>
      </x:c>
      <x:c r="E21" s="10" t="str">
        <x:v>功能需求</x:v>
      </x:c>
      <x:c r="F21" s="10" t="str">
        <x:v>P1</x:v>
      </x:c>
      <x:c r="G21" s="9" t="str">
        <x:v>验证通知导航到指定页面</x:v>
      </x:c>
      <x:c r="H21" s="9" t="str">
        <x:v>页面导航</x:v>
      </x:c>
      <x:c r="I21" s="9" t="str">
        <x:v>1. 公会长已登录且拥有通知消息访问权限
2. 本页存在可点击的目标记录；目标仍有效且属于当前账号可见范围</x:v>
      </x:c>
      <x:c r="J21" s="9" t="str">
        <x:v>1. 进入通知消息
2. 点击通知</x:v>
      </x:c>
      <x:c r="K21" s="9" t="str">
        <x:v>进入通知详情</x:v>
      </x:c>
      <x:c r="L21" s="10" t="str"/>
      <x:c r="M21" s="10" t="str">
        <x:v>未测</x:v>
      </x:c>
      <x:c r="N21" s="10" t="str"/>
      <x:c r="O21" s="9" t="str">
        <x:v>1. 来源（当前证据）：liveshow-proto/MainBasis/统一需求文档.md；位置：guild-notifications.html
2. 规则：BR-614C6BAD1F9F14
3. 未动态验证</x:v>
      </x:c>
    </x:row>
    <x:row r="22" ht="85" customHeight="1">
      <x:c r="A22" s="10" t="n">
        <x:v>21</x:v>
      </x:c>
      <x:c r="B22" s="10" t="str">
        <x:v>GUILD-0021</x:v>
      </x:c>
      <x:c r="C22" s="10" t="str">
        <x:v>公会首页</x:v>
      </x:c>
      <x:c r="D22" s="10" t="str">
        <x:v>通知详情（公会长）</x:v>
      </x:c>
      <x:c r="E22" s="10" t="str">
        <x:v>功能需求</x:v>
      </x:c>
      <x:c r="F22" s="10" t="str">
        <x:v>P1</x:v>
      </x:c>
      <x:c r="G22" s="9" t="str">
        <x:v>验证业务入口导航到指定页面</x:v>
      </x:c>
      <x:c r="H22" s="9" t="str">
        <x:v>页面导航</x:v>
      </x:c>
      <x:c r="I22" s="9" t="str">
        <x:v>1. 公会长已登录且拥有通知详情访问权限</x:v>
      </x:c>
      <x:c r="J22" s="9" t="str">
        <x:v>1. 进入通知详情
2. 点击业务入口</x:v>
      </x:c>
      <x:c r="K22" s="9" t="str">
        <x:v>进入对应记录</x:v>
      </x:c>
      <x:c r="L22" s="10" t="str"/>
      <x:c r="M22" s="10" t="str">
        <x:v>未测</x:v>
      </x:c>
      <x:c r="N22" s="10" t="str"/>
      <x:c r="O22" s="9" t="str">
        <x:v>1. 来源（当前证据）：liveshow-proto/MainBasis/统一需求文档.md；位置：guild-notification-detail.html
2. 规则：BR-21DEC73AD465D2
3. 未动态验证</x:v>
      </x:c>
    </x:row>
    <x:row r="23" ht="85" customHeight="1">
      <x:c r="A23" s="10" t="n">
        <x:v>22</x:v>
      </x:c>
      <x:c r="B23" s="10" t="str">
        <x:v>GUILD-0022</x:v>
      </x:c>
      <x:c r="C23" s="10" t="str">
        <x:v>公会账号</x:v>
      </x:c>
      <x:c r="D23" s="10" t="str">
        <x:v>公会登录（公会长）</x:v>
      </x:c>
      <x:c r="E23" s="10" t="str">
        <x:v>功能需求</x:v>
      </x:c>
      <x:c r="F23" s="10" t="str">
        <x:v>P1</x:v>
      </x:c>
      <x:c r="G23" s="9" t="str">
        <x:v>验证公会长登录后选择公会</x:v>
      </x:c>
      <x:c r="H23" s="9" t="str">
        <x:v>公会长登录</x:v>
      </x:c>
      <x:c r="I23" s="9" t="str">
        <x:v>1. 平台已创建启用公会长账号river、密码Pass789</x:v>
      </x:c>
      <x:c r="J23" s="9" t="str">
        <x:v>1. 打开公会App登录页
2. 输入river和Pass789
3. 点击登录</x:v>
      </x:c>
      <x:c r="K23" s="9" t="str">
        <x:v>进入选择公会页</x:v>
      </x:c>
      <x:c r="L23" s="10" t="str"/>
      <x:c r="M23" s="10" t="str">
        <x:v>未测</x:v>
      </x:c>
      <x:c r="N23" s="10" t="str"/>
      <x:c r="O23" s="9" t="str">
        <x:v>1. 来源（当前证据）：liveshow-proto/MainBasis/统一需求文档.md；位置：guild-login.html
2. 规则：BR-77CE5EEEA59B25
3. 未动态验证</x:v>
      </x:c>
    </x:row>
    <x:row r="24" ht="85" customHeight="1">
      <x:c r="A24" s="10" t="n">
        <x:v>23</x:v>
      </x:c>
      <x:c r="B24" s="10" t="str">
        <x:v>GUILD-0023</x:v>
      </x:c>
      <x:c r="C24" s="10" t="str">
        <x:v>公会账号</x:v>
      </x:c>
      <x:c r="D24" s="10" t="str">
        <x:v>公会登录（公会长）</x:v>
      </x:c>
      <x:c r="E24" s="10" t="str">
        <x:v>功能需求</x:v>
      </x:c>
      <x:c r="F24" s="10" t="str">
        <x:v>P1</x:v>
      </x:c>
      <x:c r="G24" s="9" t="str">
        <x:v>验证错误密码不能登录公会端</x:v>
      </x:c>
      <x:c r="H24" s="9" t="str">
        <x:v>登录密码错误</x:v>
      </x:c>
      <x:c r="I24" s="9" t="str">
        <x:v>1. 账号river启用，正确密码为Pass789</x:v>
      </x:c>
      <x:c r="J24" s="9" t="str">
        <x:v>1. 打开公会App登录页
2. 输入river和错误密码Pass000
3. 点击登录</x:v>
      </x:c>
      <x:c r="K24" s="9" t="str">
        <x:v>提示“账号或密码错误”</x:v>
      </x:c>
      <x:c r="L24" s="10" t="str"/>
      <x:c r="M24" s="10" t="str">
        <x:v>未测</x:v>
      </x:c>
      <x:c r="N24" s="10" t="str"/>
      <x:c r="O24" s="9" t="str">
        <x:v>1. 来源（当前证据）：liveshow-proto/MainBasis/统一需求文档.md；位置：guild-login.html
2. 规则：BR-4CF571102B2A1A
3. 未动态验证</x:v>
      </x:c>
    </x:row>
    <x:row r="25" ht="85" customHeight="1">
      <x:c r="A25" s="10" t="n">
        <x:v>24</x:v>
      </x:c>
      <x:c r="B25" s="10" t="str">
        <x:v>GUILD-0024</x:v>
      </x:c>
      <x:c r="C25" s="10" t="str">
        <x:v>公会账号</x:v>
      </x:c>
      <x:c r="D25" s="10" t="str">
        <x:v>公会登录（公会长）</x:v>
      </x:c>
      <x:c r="E25" s="10" t="str">
        <x:v>功能需求</x:v>
      </x:c>
      <x:c r="F25" s="10" t="str">
        <x:v>P1</x:v>
      </x:c>
      <x:c r="G25" s="9" t="str">
        <x:v>验证停用公会长不能登录</x:v>
      </x:c>
      <x:c r="H25" s="9" t="str">
        <x:v>登录账号状态</x:v>
      </x:c>
      <x:c r="I25" s="9" t="str">
        <x:v>1. 平台已停用公会长river</x:v>
      </x:c>
      <x:c r="J25" s="9" t="str">
        <x:v>1. 打开公会App登录页
2. 输入该账号及正确密码
3. 点击登录</x:v>
      </x:c>
      <x:c r="K25" s="9" t="str">
        <x:v>不能登录公会端</x:v>
      </x:c>
      <x:c r="L25" s="10" t="str"/>
      <x:c r="M25" s="10" t="str">
        <x:v>未测</x:v>
      </x:c>
      <x:c r="N25" s="10" t="str"/>
      <x:c r="O25" s="9" t="str">
        <x:v>1. 来源（当前证据）：liveshow-proto/MainBasis/统一需求文档.md；位置：guild-login.html
2. 规则：BR-E3BF53A80ACF01
3. 未动态验证</x:v>
      </x:c>
    </x:row>
    <x:row r="26" ht="85" customHeight="1">
      <x:c r="A26" s="10" t="n">
        <x:v>25</x:v>
      </x:c>
      <x:c r="B26" s="10" t="str">
        <x:v>GUILD-0025</x:v>
      </x:c>
      <x:c r="C26" s="10" t="str">
        <x:v>公会账号</x:v>
      </x:c>
      <x:c r="D26" s="10" t="str">
        <x:v>公会登录（公会长）</x:v>
      </x:c>
      <x:c r="E26" s="10" t="str">
        <x:v>功能需求</x:v>
      </x:c>
      <x:c r="F26" s="10" t="str">
        <x:v>P1</x:v>
      </x:c>
      <x:c r="G26" s="9" t="str">
        <x:v>验证运营账号不能登录公会端</x:v>
      </x:c>
      <x:c r="H26" s="9" t="str">
        <x:v>角色登录边界</x:v>
      </x:c>
      <x:c r="I26" s="9" t="str">
        <x:v>1. 运营账号riverop启用且密码正确</x:v>
      </x:c>
      <x:c r="J26" s="9" t="str">
        <x:v>1. 打开公会App登录页
2. 输入运营账号和密码
3. 点击登录</x:v>
      </x:c>
      <x:c r="K26" s="9" t="str">
        <x:v>不能登录公会端</x:v>
      </x:c>
      <x:c r="L26" s="10" t="str">
        <x:v>FLOW-3751662B</x:v>
      </x:c>
      <x:c r="M26" s="10" t="str">
        <x:v>未测</x:v>
      </x:c>
      <x:c r="N26" s="10" t="str"/>
      <x:c r="O26" s="9" t="str">
        <x:v>1. 来源（当前证据）：liveshow-proto/MainBasis/统一需求文档.md；位置：guild-login.html
2. 规则：BR-5B12D126E3A47A
3. 未动态验证</x:v>
      </x:c>
    </x:row>
    <x:row r="27" ht="85" customHeight="1">
      <x:c r="A27" s="10" t="n">
        <x:v>26</x:v>
      </x:c>
      <x:c r="B27" s="10" t="str">
        <x:v>GUILD-0026</x:v>
      </x:c>
      <x:c r="C27" s="10" t="str">
        <x:v>公会账号</x:v>
      </x:c>
      <x:c r="D27" s="10" t="str">
        <x:v>公会登录（公会长）</x:v>
      </x:c>
      <x:c r="E27" s="10" t="str">
        <x:v>功能需求</x:v>
      </x:c>
      <x:c r="F27" s="10" t="str">
        <x:v>P1</x:v>
      </x:c>
      <x:c r="G27" s="9" t="str">
        <x:v>验证公会登录账号必填</x:v>
      </x:c>
      <x:c r="H27" s="9" t="str">
        <x:v>账号空值</x:v>
      </x:c>
      <x:c r="I27" s="9" t="str">
        <x:v>1. 公会长可访问公会登录</x:v>
      </x:c>
      <x:c r="J27" s="9" t="str">
        <x:v>1. 打开公会App登录页
2. 清空公会账号
3. 输入密码Pass789
4. 点击登录</x:v>
      </x:c>
      <x:c r="K27" s="9" t="str">
        <x:v>不能完成登录</x:v>
      </x:c>
      <x:c r="L27" s="10" t="str"/>
      <x:c r="M27" s="10" t="str">
        <x:v>未测</x:v>
      </x:c>
      <x:c r="N27" s="10" t="str"/>
      <x:c r="O27" s="9" t="str">
        <x:v>1. 来源（当前证据）：liveshow-proto/MainBasis/统一需求文档.md；位置：guild-login.html
2. 规则：BR-D9B91996254C94
3. 未动态验证</x:v>
      </x:c>
    </x:row>
    <x:row r="28" ht="85" customHeight="1">
      <x:c r="A28" s="10" t="n">
        <x:v>27</x:v>
      </x:c>
      <x:c r="B28" s="10" t="str">
        <x:v>GUILD-0027</x:v>
      </x:c>
      <x:c r="C28" s="10" t="str">
        <x:v>公会账号</x:v>
      </x:c>
      <x:c r="D28" s="10" t="str">
        <x:v>公会登录（公会长）</x:v>
      </x:c>
      <x:c r="E28" s="10" t="str">
        <x:v>功能需求</x:v>
      </x:c>
      <x:c r="F28" s="10" t="str">
        <x:v>P1</x:v>
      </x:c>
      <x:c r="G28" s="9" t="str">
        <x:v>验证公会登录密码必填</x:v>
      </x:c>
      <x:c r="H28" s="9" t="str">
        <x:v>密码空值</x:v>
      </x:c>
      <x:c r="I28" s="9" t="str">
        <x:v>1. 公会长可访问公会登录</x:v>
      </x:c>
      <x:c r="J28" s="9" t="str">
        <x:v>1. 打开公会App登录页
2. 输入账号river
3. 清空密码
4. 点击登录</x:v>
      </x:c>
      <x:c r="K28" s="9" t="str">
        <x:v>不能完成登录</x:v>
      </x:c>
      <x:c r="L28" s="10" t="str"/>
      <x:c r="M28" s="10" t="str">
        <x:v>未测</x:v>
      </x:c>
      <x:c r="N28" s="10" t="str"/>
      <x:c r="O28" s="9" t="str">
        <x:v>1. 来源（当前证据）：liveshow-proto/MainBasis/统一需求文档.md；位置：guild-login.html
2. 规则：BR-72121AEF8FD34F
3. 未动态验证</x:v>
      </x:c>
    </x:row>
    <x:row r="29" ht="85" customHeight="1">
      <x:c r="A29" s="10" t="n">
        <x:v>28</x:v>
      </x:c>
      <x:c r="B29" s="10" t="str">
        <x:v>GUILD-0028</x:v>
      </x:c>
      <x:c r="C29" s="10" t="str">
        <x:v>公会账号</x:v>
      </x:c>
      <x:c r="D29" s="10" t="str">
        <x:v>选择公会（公会长）</x:v>
      </x:c>
      <x:c r="E29" s="10" t="str">
        <x:v>功能需求</x:v>
      </x:c>
      <x:c r="F29" s="10" t="str">
        <x:v>P1</x:v>
      </x:c>
      <x:c r="G29" s="9" t="str">
        <x:v>验证切换公会刷新数据范围</x:v>
      </x:c>
      <x:c r="H29" s="9" t="str">
        <x:v>公会数据隔离</x:v>
      </x:c>
      <x:c r="I29" s="9" t="str">
        <x:v>1. 公会长已登录，管理公会甲和乙
2. 当前为甲，甲有主播海风、乙有主播月光</x:v>
      </x:c>
      <x:c r="J29" s="9" t="str">
        <x:v>1. 进入选择公会
2. 选择乙
3. 进入主播列表</x:v>
      </x:c>
      <x:c r="K29" s="9" t="str">
        <x:v>列表只展示乙的主播月光，不包含甲的海风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来源（当前证据）：liveshow-proto/MainBasis/统一需求文档.md；位置：guild-switch.html、guild-member-list.html
2. 规则：BR-15BCE303CBEF18
3. 未动态验证</x:v>
      </x:c>
    </x:row>
    <x:row r="30" ht="85" customHeight="1">
      <x:c r="A30" s="10" t="n">
        <x:v>29</x:v>
      </x:c>
      <x:c r="B30" s="10" t="str">
        <x:v>GUILD-0029</x:v>
      </x:c>
      <x:c r="C30" s="10" t="str">
        <x:v>公会账号</x:v>
      </x:c>
      <x:c r="D30" s="10" t="str">
        <x:v>选择公会（公会长）</x:v>
      </x:c>
      <x:c r="E30" s="10" t="str">
        <x:v>功能需求</x:v>
      </x:c>
      <x:c r="F30" s="10" t="str">
        <x:v>P1</x:v>
      </x:c>
      <x:c r="G30" s="9" t="str">
        <x:v>验证已解散公会不可选择</x:v>
      </x:c>
      <x:c r="H30" s="9" t="str">
        <x:v>解散公会入口</x:v>
      </x:c>
      <x:c r="I30" s="9" t="str">
        <x:v>1. 公会长已登录，管理公会甲和乙
2. 公会甲已解散</x:v>
      </x:c>
      <x:c r="J30" s="9" t="str">
        <x:v>1. 进入选择公会
2. 查看公会列表</x:v>
      </x:c>
      <x:c r="K30" s="9" t="str">
        <x:v>不能选择公会甲</x:v>
      </x:c>
      <x:c r="L30" s="10" t="str"/>
      <x:c r="M30" s="10" t="str">
        <x:v>未测</x:v>
      </x:c>
      <x:c r="N30" s="10" t="str"/>
      <x:c r="O30" s="9" t="str">
        <x:v>1. 来源（当前证据）：liveshow-proto/MainBasis/统一需求文档.md；位置：guild-switch.html
2. 规则：BR-3D92E19C2DCF31
3. 未动态验证</x:v>
      </x:c>
    </x:row>
    <x:row r="31" ht="85" customHeight="1">
      <x:c r="A31" s="10" t="n">
        <x:v>30</x:v>
      </x:c>
      <x:c r="B31" s="10" t="str">
        <x:v>GUILD-0030</x:v>
      </x:c>
      <x:c r="C31" s="10" t="str">
        <x:v>审批管理</x:v>
      </x:c>
      <x:c r="D31" s="10" t="str">
        <x:v>入会申请详情（公会长）</x:v>
      </x:c>
      <x:c r="E31" s="10" t="str">
        <x:v>功能需求</x:v>
      </x:c>
      <x:c r="F31" s="10" t="str">
        <x:v>P0</x:v>
      </x:c>
      <x:c r="G31" s="9" t="str">
        <x:v>验证公会同意后进入平台终审</x:v>
      </x:c>
      <x:c r="H31" s="9" t="str">
        <x:v>公会初审通过</x:v>
      </x:c>
      <x:c r="I31" s="9" t="str">
        <x:v>1. 公会长账号已登录，当前公会启用，具备本页管理权限</x:v>
      </x:c>
      <x:c r="J31" s="9" t="str">
        <x:v>1. 进入入会审核
2. 选择用户海风的待公会审核申请
3. 点击同意并确认</x:v>
      </x:c>
      <x:c r="K31" s="9" t="str">
        <x:v>申请进度变为平台审核中</x:v>
      </x:c>
      <x:c r="L31" s="10" t="str">
        <x:v>FLOW-904D54D7</x:v>
      </x:c>
      <x:c r="M31" s="10" t="str">
        <x:v>未测</x:v>
      </x:c>
      <x:c r="N31" s="10" t="str"/>
      <x:c r="O31" s="9" t="str">
        <x:v>1. 来源（当前证据）：liveshow-proto/MainBasis/统一需求文档.md；位置：guild-join-review-detail.html
2. 规则：BR-8E6874A678128D
3. 未动态验证</x:v>
      </x:c>
    </x:row>
    <x:row r="32" ht="100" customHeight="1">
      <x:c r="A32" s="10" t="n">
        <x:v>31</x:v>
      </x:c>
      <x:c r="B32" s="10" t="str">
        <x:v>GUILD-0031</x:v>
      </x:c>
      <x:c r="C32" s="10" t="str">
        <x:v>审批管理</x:v>
      </x:c>
      <x:c r="D32" s="10" t="str">
        <x:v>入会申请详情（公会长）</x:v>
      </x:c>
      <x:c r="E32" s="10" t="str">
        <x:v>功能需求</x:v>
      </x:c>
      <x:c r="F32" s="10" t="str">
        <x:v>P1</x:v>
      </x:c>
      <x:c r="G32" s="9" t="str">
        <x:v>验证公会驳回申请结束当前流程</x:v>
      </x:c>
      <x:c r="H32" s="9" t="str">
        <x:v>公会初审驳回</x:v>
      </x:c>
      <x:c r="I32" s="9" t="str">
        <x:v>1. 公会长账号已登录，当前公会启用，具备本页管理权限</x:v>
      </x:c>
      <x:c r="J32" s="9" t="str">
        <x:v>1. 进入入会审核
2. 选择用户海风的待公会审核申请
3. 点击驳回
4. 填写理由“材料不清晰”
5. 点击确认</x:v>
      </x:c>
      <x:c r="K32" s="9" t="str">
        <x:v>该申请显示已驳回</x:v>
      </x:c>
      <x:c r="L32" s="10" t="str">
        <x:v>FLOW-904D54D7</x:v>
      </x:c>
      <x:c r="M32" s="10" t="str">
        <x:v>未测</x:v>
      </x:c>
      <x:c r="N32" s="10" t="str"/>
      <x:c r="O32" s="9" t="str">
        <x:v>1. 来源（当前证据）：liveshow-proto/MainBasis/统一需求文档.md；位置：guild-join-review-detail.html
2. 规则：BR-FA74E0FAA97D51
3. 未动态验证</x:v>
      </x:c>
    </x:row>
    <x:row r="33" ht="85" customHeight="1">
      <x:c r="A33" s="10" t="n">
        <x:v>32</x:v>
      </x:c>
      <x:c r="B33" s="10" t="str">
        <x:v>GUILD-0032</x:v>
      </x:c>
      <x:c r="C33" s="10" t="str">
        <x:v>审批管理</x:v>
      </x:c>
      <x:c r="D33" s="10" t="str">
        <x:v>入会申请详情（公会长）</x:v>
      </x:c>
      <x:c r="E33" s="10" t="str">
        <x:v>功能需求</x:v>
      </x:c>
      <x:c r="F33" s="10" t="str">
        <x:v>P1</x:v>
      </x:c>
      <x:c r="G33" s="9" t="str">
        <x:v>验证平台审核中公会不能重审</x:v>
      </x:c>
      <x:c r="H33" s="9" t="str">
        <x:v>初审终态保护</x:v>
      </x:c>
      <x:c r="I33" s="9" t="str">
        <x:v>1. 公会长账号已登录，当前公会启用，具备本页管理权限
2. 该申请已由公会通过并进入平台审核</x:v>
      </x:c>
      <x:c r="J33" s="9" t="str">
        <x:v>1. 进入入会审核
2. 选择用户海风的待公会审核申请
3. 查看审核操作</x:v>
      </x:c>
      <x:c r="K33" s="9" t="str">
        <x:v>不提供再次同意或驳回入口</x:v>
      </x:c>
      <x:c r="L33" s="10" t="str">
        <x:v>FLOW-904D54D7</x:v>
      </x:c>
      <x:c r="M33" s="10" t="str">
        <x:v>未测</x:v>
      </x:c>
      <x:c r="N33" s="10" t="str"/>
      <x:c r="O33" s="9" t="str">
        <x:v>1. 来源（当前证据）：liveshow-proto/MainBasis/统一需求文档.md；位置：guild-join-review-detail.html
2. 规则：BR-1674ED421979B8
3. 未动态验证</x:v>
      </x:c>
    </x:row>
    <x:row r="34" ht="85" customHeight="1">
      <x:c r="A34" s="10" t="n">
        <x:v>33</x:v>
      </x:c>
      <x:c r="B34" s="10" t="str">
        <x:v>GUILD-0033</x:v>
      </x:c>
      <x:c r="C34" s="10" t="str">
        <x:v>审批管理</x:v>
      </x:c>
      <x:c r="D34" s="10" t="str">
        <x:v>入会申请详情（公会长）</x:v>
      </x:c>
      <x:c r="E34" s="10" t="str">
        <x:v>功能需求</x:v>
      </x:c>
      <x:c r="F34" s="10" t="str">
        <x:v>P1</x:v>
      </x:c>
      <x:c r="G34" s="9" t="str">
        <x:v>验证平台终审通过后显示最终进度</x:v>
      </x:c>
      <x:c r="H34" s="9" t="str">
        <x:v>平台结果公会侧同步</x:v>
      </x:c>
      <x:c r="I34" s="9" t="str">
        <x:v>1. 公会长账号已登录，当前公会启用，具备本页管理权限
2. 平台已通过同一申请终审</x:v>
      </x:c>
      <x:c r="J34" s="9" t="str">
        <x:v>1. 进入入会审核
2. 选择用户海风的待公会审核申请
3. 查看审核进度</x:v>
      </x:c>
      <x:c r="K34" s="9" t="str">
        <x:v>成为主播节点显示已完成</x:v>
      </x:c>
      <x:c r="L34" s="10" t="str">
        <x:v>FLOW-904D54D7</x:v>
      </x:c>
      <x:c r="M34" s="10" t="str">
        <x:v>未测</x:v>
      </x:c>
      <x:c r="N34" s="10" t="str"/>
      <x:c r="O34" s="9" t="str">
        <x:v>1. 来源（当前证据）：liveshow-proto/MainBasis/统一需求文档.md；位置：guild-join-review-detail.html
2. 规则：BR-DEEE40B4F1C096
3. 未动态验证</x:v>
      </x:c>
    </x:row>
    <x:row r="35" ht="85" customHeight="1">
      <x:c r="A35" s="10" t="n">
        <x:v>34</x:v>
      </x:c>
      <x:c r="B35" s="10" t="str">
        <x:v>GUILD-0034</x:v>
      </x:c>
      <x:c r="C35" s="10" t="str">
        <x:v>审批管理</x:v>
      </x:c>
      <x:c r="D35" s="10" t="str">
        <x:v>入会申请详情（公会长）</x:v>
      </x:c>
      <x:c r="E35" s="10" t="str">
        <x:v>功能需求</x:v>
      </x:c>
      <x:c r="F35" s="10" t="str">
        <x:v>P1</x:v>
      </x:c>
      <x:c r="G35" s="9" t="str">
        <x:v>验证平台驳回后公会侧显示驳回</x:v>
      </x:c>
      <x:c r="H35" s="9" t="str">
        <x:v>平台驳回公会侧同步</x:v>
      </x:c>
      <x:c r="I35" s="9" t="str">
        <x:v>1. 公会长账号已登录，当前公会启用，具备本页管理权限
2. 平台已驳回同一申请终审</x:v>
      </x:c>
      <x:c r="J35" s="9" t="str">
        <x:v>1. 进入入会审核
2. 选择用户海风的待公会审核申请
3. 查看审核进度</x:v>
      </x:c>
      <x:c r="K35" s="9" t="str">
        <x:v>申请显示平台驳回</x:v>
      </x:c>
      <x:c r="L35" s="10" t="str">
        <x:v>FLOW-904D54D7</x:v>
      </x:c>
      <x:c r="M35" s="10" t="str">
        <x:v>未测</x:v>
      </x:c>
      <x:c r="N35" s="10" t="str"/>
      <x:c r="O35" s="9" t="str">
        <x:v>1. 来源（当前证据）：liveshow-proto/MainBasis/统一需求文档.md；位置：guild-join-review-detail.html
2. 规则：BR-15B86A1B572E0C
3. 未动态验证</x:v>
      </x:c>
    </x:row>
    <x:row r="36" ht="100" customHeight="1">
      <x:c r="A36" s="10" t="n">
        <x:v>35</x:v>
      </x:c>
      <x:c r="B36" s="10" t="str">
        <x:v>GUILD-0035</x:v>
      </x:c>
      <x:c r="C36" s="10" t="str">
        <x:v>审批管理</x:v>
      </x:c>
      <x:c r="D36" s="10" t="str">
        <x:v>入会申请详情（公会长）</x:v>
      </x:c>
      <x:c r="E36" s="10" t="str">
        <x:v>逻辑校验</x:v>
      </x:c>
      <x:c r="F36" s="10" t="str">
        <x:v>P1</x:v>
      </x:c>
      <x:c r="G36" s="9" t="str">
        <x:v>验证驳回理由长度为199时的校验</x:v>
      </x:c>
      <x:c r="H36" s="9" t="str">
        <x:v>驳回理由合法边界</x:v>
      </x:c>
      <x:c r="I36" s="9" t="str">
        <x:v>1. 公会长账号已登录，当前公会启用，具备本页管理权限
2. 除驳回理由外的必填项已具备合法值</x:v>
      </x:c>
      <x:c r="J36" s="9" t="str">
        <x:v>1. 进入待公会审核的申请详情
2. 点击驳回
3. 清空驳回理由
4. 输入驳回理由为199 个“测”字符
5. 点击确认驳回</x:v>
      </x:c>
      <x:c r="K36" s="9" t="str">
        <x:v>驳回理由接受本次199 字符输入</x:v>
      </x:c>
      <x:c r="L36" s="10" t="str">
        <x:v>FLOW-904D54D7</x:v>
      </x:c>
      <x:c r="M36" s="10" t="str">
        <x:v>未测</x:v>
      </x:c>
      <x:c r="N36" s="10" t="str"/>
      <x:c r="O36" s="9" t="str">
        <x:v>1. 来源（当前证据）：liveshow-proto/MainBasis/统一需求文档.md；位置：guild-join-review-detail.html
2. 规则：BR-1BF3E546666A87
3. 未动态验证</x:v>
      </x:c>
    </x:row>
    <x:row r="37" ht="100" customHeight="1">
      <x:c r="A37" s="10" t="n">
        <x:v>36</x:v>
      </x:c>
      <x:c r="B37" s="10" t="str">
        <x:v>GUILD-0036</x:v>
      </x:c>
      <x:c r="C37" s="10" t="str">
        <x:v>审批管理</x:v>
      </x:c>
      <x:c r="D37" s="10" t="str">
        <x:v>入会申请详情（公会长）</x:v>
      </x:c>
      <x:c r="E37" s="10" t="str">
        <x:v>逻辑校验</x:v>
      </x:c>
      <x:c r="F37" s="10" t="str">
        <x:v>P1</x:v>
      </x:c>
      <x:c r="G37" s="9" t="str">
        <x:v>验证驳回理由长度为200时的校验</x:v>
      </x:c>
      <x:c r="H37" s="9" t="str">
        <x:v>驳回理由合法边界</x:v>
      </x:c>
      <x:c r="I37" s="9" t="str">
        <x:v>1. 公会长账号已登录，当前公会启用，具备本页管理权限
2. 除驳回理由外的必填项已具备合法值</x:v>
      </x:c>
      <x:c r="J37" s="9" t="str">
        <x:v>1. 进入待公会审核的申请详情
2. 点击驳回
3. 清空驳回理由
4. 输入驳回理由为200 个“测”字符
5. 点击确认驳回</x:v>
      </x:c>
      <x:c r="K37" s="9" t="str">
        <x:v>驳回理由接受本次200 字符输入</x:v>
      </x:c>
      <x:c r="L37" s="10" t="str">
        <x:v>FLOW-904D54D7</x:v>
      </x:c>
      <x:c r="M37" s="10" t="str">
        <x:v>未测</x:v>
      </x:c>
      <x:c r="N37" s="10" t="str"/>
      <x:c r="O37" s="9" t="str">
        <x:v>1. 来源（当前证据）：liveshow-proto/MainBasis/统一需求文档.md；位置：guild-join-review-detail.html
2. 规则：BR-C4A3623222E064
3. 未动态验证</x:v>
      </x:c>
    </x:row>
    <x:row r="38" ht="100" customHeight="1">
      <x:c r="A38" s="10" t="n">
        <x:v>37</x:v>
      </x:c>
      <x:c r="B38" s="10" t="str">
        <x:v>GUILD-0037</x:v>
      </x:c>
      <x:c r="C38" s="10" t="str">
        <x:v>审批管理</x:v>
      </x:c>
      <x:c r="D38" s="10" t="str">
        <x:v>入会申请详情（公会长）</x:v>
      </x:c>
      <x:c r="E38" s="10" t="str">
        <x:v>逻辑校验</x:v>
      </x:c>
      <x:c r="F38" s="10" t="str">
        <x:v>P1</x:v>
      </x:c>
      <x:c r="G38" s="9" t="str">
        <x:v>验证驳回理由长度为201时的校验</x:v>
      </x:c>
      <x:c r="H38" s="9" t="str">
        <x:v>驳回理由越界拦截</x:v>
      </x:c>
      <x:c r="I38" s="9" t="str">
        <x:v>1. 公会长账号已登录，当前公会启用，具备本页管理权限
2. 除驳回理由外的必填项已具备合法值</x:v>
      </x:c>
      <x:c r="J38" s="9" t="str">
        <x:v>1. 进入待公会审核的申请详情
2. 点击驳回
3. 清空驳回理由
4. 输入驳回理由为201 个“测”字符
5. 点击确认驳回</x:v>
      </x:c>
      <x:c r="K38" s="9" t="str">
        <x:v>驳回理由不能保存超出上限的值</x:v>
      </x:c>
      <x:c r="L38" s="10" t="str">
        <x:v>FLOW-904D54D7</x:v>
      </x:c>
      <x:c r="M38" s="10" t="str">
        <x:v>未测</x:v>
      </x:c>
      <x:c r="N38" s="10" t="str"/>
      <x:c r="O38" s="9" t="str">
        <x:v>1. 来源（当前证据）：liveshow-proto/MainBasis/统一需求文档.md；位置：guild-join-review-detail.html
2. 规则：BR-90812A14860E54
3. 未动态验证</x:v>
      </x:c>
    </x:row>
    <x:row r="39" ht="85" customHeight="1">
      <x:c r="A39" s="10" t="n">
        <x:v>38</x:v>
      </x:c>
      <x:c r="B39" s="10" t="str">
        <x:v>GUILD-0038</x:v>
      </x:c>
      <x:c r="C39" s="10" t="str">
        <x:v>审批管理</x:v>
      </x:c>
      <x:c r="D39" s="10" t="str">
        <x:v>退会申请详情（公会长）</x:v>
      </x:c>
      <x:c r="E39" s="10" t="str">
        <x:v>功能需求</x:v>
      </x:c>
      <x:c r="F39" s="10" t="str">
        <x:v>P1</x:v>
      </x:c>
      <x:c r="G39" s="9" t="str">
        <x:v>验证退会审核同意解除成员关系</x:v>
      </x:c>
      <x:c r="H39" s="9" t="str">
        <x:v>退会审批通过</x:v>
      </x:c>
      <x:c r="I39" s="9" t="str">
        <x:v>1. 公会长账号已登录，当前公会启用，具备本页管理权限
2. 申请满足退会业务校验</x:v>
      </x:c>
      <x:c r="J39" s="9" t="str">
        <x:v>1. 进入退会审核
2. 选择主播海风的待审核申请
3. 点击同意并确认</x:v>
      </x:c>
      <x:c r="K39" s="9" t="str">
        <x:v>海风不再属于当前公会在会主播</x:v>
      </x:c>
      <x:c r="L39" s="10" t="str">
        <x:v>FLOW-EA7D49B9</x:v>
      </x:c>
      <x:c r="M39" s="10" t="str">
        <x:v>未测</x:v>
      </x:c>
      <x:c r="N39" s="10" t="str"/>
      <x:c r="O39" s="9" t="str">
        <x:v>1. 来源（当前证据）：liveshow-proto/MainBasis/统一需求文档.md；位置：guild-leave-review-detail.html
2. 规则：BR-BE9C4D618BFB0B
3. 未动态验证</x:v>
      </x:c>
    </x:row>
    <x:row r="40" ht="85" customHeight="1">
      <x:c r="A40" s="10" t="n">
        <x:v>39</x:v>
      </x:c>
      <x:c r="B40" s="10" t="str">
        <x:v>GUILD-0039</x:v>
      </x:c>
      <x:c r="C40" s="10" t="str">
        <x:v>审批管理</x:v>
      </x:c>
      <x:c r="D40" s="10" t="str">
        <x:v>退会申请详情（公会长）</x:v>
      </x:c>
      <x:c r="E40" s="10" t="str">
        <x:v>功能需求</x:v>
      </x:c>
      <x:c r="F40" s="10" t="str">
        <x:v>P1</x:v>
      </x:c>
      <x:c r="G40" s="9" t="str">
        <x:v>验证退会审核驳回保留主播</x:v>
      </x:c>
      <x:c r="H40" s="9" t="str">
        <x:v>退会审批驳回</x:v>
      </x:c>
      <x:c r="I40" s="9" t="str">
        <x:v>1. 公会长账号已登录，当前公会启用，具备本页管理权限</x:v>
      </x:c>
      <x:c r="J40" s="9" t="str">
        <x:v>1. 进入退会审核
2. 选择主播海风的待审核申请
3. 点击驳回并确认</x:v>
      </x:c>
      <x:c r="K40" s="9" t="str">
        <x:v>海风仍为当前公会在会主播</x:v>
      </x:c>
      <x:c r="L40" s="10" t="str">
        <x:v>FLOW-EA7D49B9</x:v>
      </x:c>
      <x:c r="M40" s="10" t="str">
        <x:v>未测</x:v>
      </x:c>
      <x:c r="N40" s="10" t="str"/>
      <x:c r="O40" s="9" t="str">
        <x:v>1. 来源（当前证据）：liveshow-proto/MainBasis/统一需求文档.md；位置：guild-leave-review-detail.html
2. 规则：BR-9B00B7B361D2CA
3. 未动态验证</x:v>
      </x:c>
    </x:row>
    <x:row r="41" ht="85" customHeight="1">
      <x:c r="A41" s="10" t="n">
        <x:v>40</x:v>
      </x:c>
      <x:c r="B41" s="10" t="str">
        <x:v>GUILD-0040</x:v>
      </x:c>
      <x:c r="C41" s="10" t="str">
        <x:v>审批管理</x:v>
      </x:c>
      <x:c r="D41" s="10" t="str">
        <x:v>退会申请详情（公会长）</x:v>
      </x:c>
      <x:c r="E41" s="10" t="str">
        <x:v>功能需求</x:v>
      </x:c>
      <x:c r="F41" s="10" t="str">
        <x:v>P1</x:v>
      </x:c>
      <x:c r="G41" s="9" t="str">
        <x:v>验证已处理退会申请只读</x:v>
      </x:c>
      <x:c r="H41" s="9" t="str">
        <x:v>退会审批终态</x:v>
      </x:c>
      <x:c r="I41" s="9" t="str">
        <x:v>1. 公会长账号已登录，当前公会启用，具备本页管理权限
2. 该申请已经通过</x:v>
      </x:c>
      <x:c r="J41" s="9" t="str">
        <x:v>1. 进入退会审核
2. 选择主播海风的待审核申请
3. 查看详情操作</x:v>
      </x:c>
      <x:c r="K41" s="9" t="str">
        <x:v>不提供再次审批入口</x:v>
      </x:c>
      <x:c r="L41" s="10" t="str">
        <x:v>FLOW-EA7D49B9</x:v>
      </x:c>
      <x:c r="M41" s="10" t="str">
        <x:v>未测</x:v>
      </x:c>
      <x:c r="N41" s="10" t="str"/>
      <x:c r="O41" s="9" t="str">
        <x:v>1. 来源（当前证据）：liveshow-proto/MainBasis/统一需求文档.md；位置：guild-leave-review-detail.html
2. 规则：BR-7D27F10DAD96D0
3. 未动态验证</x:v>
      </x:c>
    </x:row>
    <x:row r="42" ht="85" customHeight="1">
      <x:c r="A42" s="10" t="n">
        <x:v>41</x:v>
      </x:c>
      <x:c r="B42" s="10" t="str">
        <x:v>GUILD-0041</x:v>
      </x:c>
      <x:c r="C42" s="10" t="str">
        <x:v>审批管理</x:v>
      </x:c>
      <x:c r="D42" s="10" t="str">
        <x:v>入会申请（公会长）</x:v>
      </x:c>
      <x:c r="E42" s="10" t="str">
        <x:v>功能需求</x:v>
      </x:c>
      <x:c r="F42" s="10" t="str">
        <x:v>P1</x:v>
      </x:c>
      <x:c r="G42" s="9" t="str">
        <x:v>验证申请卡片导航到指定页面</x:v>
      </x:c>
      <x:c r="H42" s="9" t="str">
        <x:v>页面导航</x:v>
      </x:c>
      <x:c r="I42" s="9" t="str">
        <x:v>1. 公会长已登录且拥有入会申请访问权限</x:v>
      </x:c>
      <x:c r="J42" s="9" t="str">
        <x:v>1. 进入入会申请
2. 点击申请卡片</x:v>
      </x:c>
      <x:c r="K42" s="9" t="str">
        <x:v>进入申请详情</x:v>
      </x:c>
      <x:c r="L42" s="10" t="str">
        <x:v>FLOW-904D54D7</x:v>
      </x:c>
      <x:c r="M42" s="10" t="str">
        <x:v>未测</x:v>
      </x:c>
      <x:c r="N42" s="10" t="str"/>
      <x:c r="O42" s="9" t="str">
        <x:v>1. 来源（当前证据）：liveshow-proto/MainBasis/统一需求文档.md；位置：guild-join-review.html
2. 规则：BR-9CB888FED2C437
3. 未动态验证</x:v>
      </x:c>
    </x:row>
    <x:row r="43" ht="85" customHeight="1">
      <x:c r="A43" s="10" t="n">
        <x:v>42</x:v>
      </x:c>
      <x:c r="B43" s="10" t="str">
        <x:v>GUILD-0042</x:v>
      </x:c>
      <x:c r="C43" s="10" t="str">
        <x:v>审批管理</x:v>
      </x:c>
      <x:c r="D43" s="10" t="str">
        <x:v>退会申请（公会长）</x:v>
      </x:c>
      <x:c r="E43" s="10" t="str">
        <x:v>功能需求</x:v>
      </x:c>
      <x:c r="F43" s="10" t="str">
        <x:v>P1</x:v>
      </x:c>
      <x:c r="G43" s="9" t="str">
        <x:v>验证申请卡片导航到指定页面</x:v>
      </x:c>
      <x:c r="H43" s="9" t="str">
        <x:v>页面导航</x:v>
      </x:c>
      <x:c r="I43" s="9" t="str">
        <x:v>1. 公会长已登录且拥有退会申请访问权限</x:v>
      </x:c>
      <x:c r="J43" s="9" t="str">
        <x:v>1. 进入退会申请
2. 点击申请卡片</x:v>
      </x:c>
      <x:c r="K43" s="9" t="str">
        <x:v>进入申请详情</x:v>
      </x:c>
      <x:c r="L43" s="10" t="str">
        <x:v>FLOW-EA7D49B9</x:v>
      </x:c>
      <x:c r="M43" s="10" t="str">
        <x:v>未测</x:v>
      </x:c>
      <x:c r="N43" s="10" t="str"/>
      <x:c r="O43" s="9" t="str">
        <x:v>1. 来源（当前证据）：liveshow-proto/MainBasis/统一需求文档.md；位置：guild-leave-review.html
2. 规则：BR-82CEDE2B9EBA0D
3. 未动态验证</x:v>
      </x:c>
    </x:row>
    <x:row r="44" ht="100" customHeight="1">
      <x:c r="A44" s="10" t="n">
        <x:v>43</x:v>
      </x:c>
      <x:c r="B44" s="10" t="str">
        <x:v>GUILD-0043</x:v>
      </x:c>
      <x:c r="C44" s="10" t="str">
        <x:v>数据与收益</x:v>
      </x:c>
      <x:c r="D44" s="10" t="str">
        <x:v>主播分成记录（公会长）</x:v>
      </x:c>
      <x:c r="E44" s="10" t="str">
        <x:v>功能需求</x:v>
      </x:c>
      <x:c r="F44" s="10" t="str">
        <x:v>P1</x:v>
      </x:c>
      <x:c r="G44" s="9" t="str">
        <x:v>验证公会读取本会主播上传结果</x:v>
      </x:c>
      <x:c r="H44" s="9" t="str">
        <x:v>公会查看主播分成</x:v>
      </x:c>
      <x:c r="I44" s="9" t="str">
        <x:v>1. 公会长账号已登录，当前公会启用，具备本页管理权限
2. 财务已上传本会主播海风分成100 USD</x:v>
      </x:c>
      <x:c r="J44" s="9" t="str">
        <x:v>1. 进入主播分成记录
2. 选择主播海风并查询</x:v>
      </x:c>
      <x:c r="K44" s="9" t="str">
        <x:v>列表包含该笔100 USD分成记录</x:v>
      </x:c>
      <x:c r="L44" s="10" t="str">
        <x:v>FLOW-3263DF8E</x:v>
      </x:c>
      <x:c r="M44" s="10" t="str">
        <x:v>未测</x:v>
      </x:c>
      <x:c r="N44" s="10" t="str"/>
      <x:c r="O44" s="9" t="str">
        <x:v>1. 来源（当前证据）：liveshow-proto/MainBasis/统一需求文档.md；位置：guild-share-ledger.html、admin-settlement-record.html
2. 规则：BR-23E696F7DECA4A
3. 未动态验证</x:v>
      </x:c>
    </x:row>
    <x:row r="45" ht="85" customHeight="1">
      <x:c r="A45" s="10" t="n">
        <x:v>44</x:v>
      </x:c>
      <x:c r="B45" s="10" t="str">
        <x:v>GUILD-0044</x:v>
      </x:c>
      <x:c r="C45" s="10" t="str">
        <x:v>数据与收益</x:v>
      </x:c>
      <x:c r="D45" s="10" t="str">
        <x:v>公会分成记录（公会长）</x:v>
      </x:c>
      <x:c r="E45" s="10" t="str">
        <x:v>功能需求</x:v>
      </x:c>
      <x:c r="F45" s="10" t="str">
        <x:v>P1</x:v>
      </x:c>
      <x:c r="G45" s="9" t="str">
        <x:v>验证公会分成只展示当前公会</x:v>
      </x:c>
      <x:c r="H45" s="9" t="str">
        <x:v>公会分成隔离</x:v>
      </x:c>
      <x:c r="I45" s="9" t="str">
        <x:v>1. 公会长账号已登录，当前公会启用，具备本页管理权限
2. 财务上传本会100 USD，另一公会200 USD</x:v>
      </x:c>
      <x:c r="J45" s="9" t="str">
        <x:v>1. 进入公会分成
2. 查看分成列表</x:v>
      </x:c>
      <x:c r="K45" s="9" t="str">
        <x:v>列表只包含本会100 USD分成记录</x:v>
      </x:c>
      <x:c r="L45" s="10" t="str">
        <x:v>FLOW-3263DF8E</x:v>
      </x:c>
      <x:c r="M45" s="10" t="str">
        <x:v>未测</x:v>
      </x:c>
      <x:c r="N45" s="10" t="str"/>
      <x:c r="O45" s="9" t="str">
        <x:v>1. 来源（当前证据）：liveshow-proto/MainBasis/统一需求文档.md；位置：guild-share-income.html
2. 规则：BR-C8CB289266ED8B
3. 未动态验证</x:v>
      </x:c>
    </x:row>
    <x:row r="46" ht="85" customHeight="1">
      <x:c r="A46" s="10" t="n">
        <x:v>45</x:v>
      </x:c>
      <x:c r="B46" s="10" t="str">
        <x:v>GUILD-0045</x:v>
      </x:c>
      <x:c r="C46" s="10" t="str">
        <x:v>数据与收益</x:v>
      </x:c>
      <x:c r="D46" s="10" t="str">
        <x:v>公会分成记录（公会长）</x:v>
      </x:c>
      <x:c r="E46" s="10" t="str">
        <x:v>功能需求</x:v>
      </x:c>
      <x:c r="F46" s="10" t="str">
        <x:v>P1</x:v>
      </x:c>
      <x:c r="G46" s="9" t="str">
        <x:v>验证公会分成没有日期筛选</x:v>
      </x:c>
      <x:c r="H46" s="9" t="str">
        <x:v>公会分成查询入口</x:v>
      </x:c>
      <x:c r="I46" s="9" t="str">
        <x:v>1. 公会长账号已登录，当前公会启用，具备本页管理权限</x:v>
      </x:c>
      <x:c r="J46" s="9" t="str">
        <x:v>1. 进入公会分成
2. 查看查询区域</x:v>
      </x:c>
      <x:c r="K46" s="9" t="str">
        <x:v>不提供日期筛选</x:v>
      </x:c>
      <x:c r="L46" s="10" t="str">
        <x:v>FLOW-3263DF8E</x:v>
      </x:c>
      <x:c r="M46" s="10" t="str">
        <x:v>未测</x:v>
      </x:c>
      <x:c r="N46" s="10" t="str"/>
      <x:c r="O46" s="9" t="str">
        <x:v>1. 来源（当前证据）：liveshow-proto/MainBasis/统一需求文档.md；位置：guild-share-income.html
2. 规则：BR-B996F8CD8B07DA
3. 未动态验证</x:v>
      </x:c>
    </x:row>
    <x:row r="47" ht="85" customHeight="1">
      <x:c r="A47" s="10" t="n">
        <x:v>46</x:v>
      </x:c>
      <x:c r="B47" s="10" t="str">
        <x:v>GUILD-0046</x:v>
      </x:c>
      <x:c r="C47" s="10" t="str">
        <x:v>数据与收益</x:v>
      </x:c>
      <x:c r="D47" s="10" t="str">
        <x:v>主播数据（公会长）</x:v>
      </x:c>
      <x:c r="E47" s="10" t="str">
        <x:v>功能需求</x:v>
      </x:c>
      <x:c r="F47" s="10" t="str">
        <x:v>P1</x:v>
      </x:c>
      <x:c r="G47" s="9" t="str">
        <x:v>验证累计直播179分钟的有效天</x:v>
      </x:c>
      <x:c r="H47" s="9" t="str">
        <x:v>三小时有效天边界</x:v>
      </x:c>
      <x:c r="I47" s="9" t="str">
        <x:v>1. 公会长账号已登录，当前公会启用，具备本页管理权限
2. 主播该日全部有效直播时长合计179分钟</x:v>
      </x:c>
      <x:c r="J47" s="9" t="str">
        <x:v>1. 进入主播数据
2. 选择目标自然日
3. 查看有效天</x:v>
      </x:c>
      <x:c r="K47" s="9" t="str">
        <x:v>有效天为0</x:v>
      </x:c>
      <x:c r="L47" s="10" t="str"/>
      <x:c r="M47" s="10" t="str">
        <x:v>未测</x:v>
      </x:c>
      <x:c r="N47" s="10" t="str"/>
      <x:c r="O47" s="9" t="str">
        <x:v>1. 来源（当前证据）：liveshow-proto/MainBasis/统一需求文档.md；位置：guild-host-summary.html
2. 规则：BR-56EC0457D015F9
3. 未动态验证</x:v>
      </x:c>
    </x:row>
    <x:row r="48" ht="85" customHeight="1">
      <x:c r="A48" s="10" t="n">
        <x:v>47</x:v>
      </x:c>
      <x:c r="B48" s="10" t="str">
        <x:v>GUILD-0047</x:v>
      </x:c>
      <x:c r="C48" s="10" t="str">
        <x:v>数据与收益</x:v>
      </x:c>
      <x:c r="D48" s="10" t="str">
        <x:v>主播数据（公会长）</x:v>
      </x:c>
      <x:c r="E48" s="10" t="str">
        <x:v>功能需求</x:v>
      </x:c>
      <x:c r="F48" s="10" t="str">
        <x:v>P1</x:v>
      </x:c>
      <x:c r="G48" s="9" t="str">
        <x:v>验证累计直播180分钟的有效天</x:v>
      </x:c>
      <x:c r="H48" s="9" t="str">
        <x:v>三小时有效天边界</x:v>
      </x:c>
      <x:c r="I48" s="9" t="str">
        <x:v>1. 公会长账号已登录，当前公会启用，具备本页管理权限
2. 主播该日全部有效直播时长合计180分钟</x:v>
      </x:c>
      <x:c r="J48" s="9" t="str">
        <x:v>1. 进入主播数据
2. 选择目标自然日
3. 查看有效天</x:v>
      </x:c>
      <x:c r="K48" s="9" t="str">
        <x:v>有效天为1</x:v>
      </x:c>
      <x:c r="L48" s="10" t="str"/>
      <x:c r="M48" s="10" t="str">
        <x:v>未测</x:v>
      </x:c>
      <x:c r="N48" s="10" t="str"/>
      <x:c r="O48" s="9" t="str">
        <x:v>1. 来源（当前证据）：liveshow-proto/MainBasis/统一需求文档.md；位置：guild-host-summary.html
2. 规则：BR-A00D850F9A3FFB
3. 未动态验证</x:v>
      </x:c>
    </x:row>
    <x:row r="49" ht="85" customHeight="1">
      <x:c r="A49" s="10" t="n">
        <x:v>48</x:v>
      </x:c>
      <x:c r="B49" s="10" t="str">
        <x:v>GUILD-0048</x:v>
      </x:c>
      <x:c r="C49" s="10" t="str">
        <x:v>数据与收益</x:v>
      </x:c>
      <x:c r="D49" s="10" t="str">
        <x:v>主播数据（公会长）</x:v>
      </x:c>
      <x:c r="E49" s="10" t="str">
        <x:v>功能需求</x:v>
      </x:c>
      <x:c r="F49" s="10" t="str">
        <x:v>P1</x:v>
      </x:c>
      <x:c r="G49" s="9" t="str">
        <x:v>验证累计直播181分钟的有效天</x:v>
      </x:c>
      <x:c r="H49" s="9" t="str">
        <x:v>三小时有效天边界</x:v>
      </x:c>
      <x:c r="I49" s="9" t="str">
        <x:v>1. 公会长账号已登录，当前公会启用，具备本页管理权限
2. 主播该日全部有效直播时长合计181分钟</x:v>
      </x:c>
      <x:c r="J49" s="9" t="str">
        <x:v>1. 进入主播数据
2. 选择目标自然日
3. 查看有效天</x:v>
      </x:c>
      <x:c r="K49" s="9" t="str">
        <x:v>有效天为1</x:v>
      </x:c>
      <x:c r="L49" s="10" t="str"/>
      <x:c r="M49" s="10" t="str">
        <x:v>未测</x:v>
      </x:c>
      <x:c r="N49" s="10" t="str"/>
      <x:c r="O49" s="9" t="str">
        <x:v>1. 来源（当前证据）：liveshow-proto/MainBasis/统一需求文档.md；位置：guild-host-summary.html
2. 规则：BR-D42F4D0FF1B56B
3. 未动态验证</x:v>
      </x:c>
    </x:row>
    <x:row r="50" ht="85" customHeight="1">
      <x:c r="A50" s="10" t="n">
        <x:v>49</x:v>
      </x:c>
      <x:c r="B50" s="10" t="str">
        <x:v>GUILD-0049</x:v>
      </x:c>
      <x:c r="C50" s="10" t="str">
        <x:v>数据与收益</x:v>
      </x:c>
      <x:c r="D50" s="10" t="str">
        <x:v>主播数据（公会长）</x:v>
      </x:c>
      <x:c r="E50" s="10" t="str">
        <x:v>功能需求</x:v>
      </x:c>
      <x:c r="F50" s="10" t="str">
        <x:v>P1</x:v>
      </x:c>
      <x:c r="G50" s="9" t="str">
        <x:v>验证累计直播360分钟的有效天</x:v>
      </x:c>
      <x:c r="H50" s="9" t="str">
        <x:v>三小时有效天边界</x:v>
      </x:c>
      <x:c r="I50" s="9" t="str">
        <x:v>1. 公会长账号已登录，当前公会启用，具备本页管理权限
2. 主播该日全部有效直播时长合计360分钟</x:v>
      </x:c>
      <x:c r="J50" s="9" t="str">
        <x:v>1. 进入主播数据
2. 选择目标自然日
3. 查看有效天</x:v>
      </x:c>
      <x:c r="K50" s="9" t="str">
        <x:v>有效天为1</x:v>
      </x:c>
      <x:c r="L50" s="10" t="str"/>
      <x:c r="M50" s="10" t="str">
        <x:v>未测</x:v>
      </x:c>
      <x:c r="N50" s="10" t="str"/>
      <x:c r="O50" s="9" t="str">
        <x:v>1. 来源（当前证据）：liveshow-proto/MainBasis/统一需求文档.md；位置：guild-host-summary.html
2. 规则：BR-638A3F933F7C08
3. 未动态验证</x:v>
      </x:c>
    </x:row>
    <x:row r="51" ht="85" customHeight="1">
      <x:c r="A51" s="10" t="n">
        <x:v>50</x:v>
      </x:c>
      <x:c r="B51" s="10" t="str">
        <x:v>GUILD-0050</x:v>
      </x:c>
      <x:c r="C51" s="10" t="str">
        <x:v>数据与收益</x:v>
      </x:c>
      <x:c r="D51" s="10" t="str">
        <x:v>主播数据（公会长）</x:v>
      </x:c>
      <x:c r="E51" s="10" t="str">
        <x:v>功能需求</x:v>
      </x:c>
      <x:c r="F51" s="10" t="str">
        <x:v>P1</x:v>
      </x:c>
      <x:c r="G51" s="9" t="str">
        <x:v>验证多场累计计算有效天</x:v>
      </x:c>
      <x:c r="H51" s="9" t="str">
        <x:v>跨场累计</x:v>
      </x:c>
      <x:c r="I51" s="9" t="str">
        <x:v>1. 公会长账号已登录，当前公会启用，具备本页管理权限
2. 同一天两场有效直播分别100分钟和80分钟</x:v>
      </x:c>
      <x:c r="J51" s="9" t="str">
        <x:v>1. 进入主播数据
2. 选择目标自然日
3. 查看有效天</x:v>
      </x:c>
      <x:c r="K51" s="9" t="str">
        <x:v>有效天为1</x:v>
      </x:c>
      <x:c r="L51" s="10" t="str"/>
      <x:c r="M51" s="10" t="str">
        <x:v>未测</x:v>
      </x:c>
      <x:c r="N51" s="10" t="str"/>
      <x:c r="O51" s="9" t="str">
        <x:v>1. 来源（当前证据）：liveshow-proto/MainBasis/统一需求文档.md；位置：guild-host-summary.html
2. 规则：BR-161C9DD5B0B2CB
3. 未动态验证</x:v>
      </x:c>
    </x:row>
    <x:row r="52" ht="85" customHeight="1">
      <x:c r="A52" s="10" t="n">
        <x:v>51</x:v>
      </x:c>
      <x:c r="B52" s="10" t="str">
        <x:v>GUILD-0051</x:v>
      </x:c>
      <x:c r="C52" s="10" t="str">
        <x:v>数据与收益</x:v>
      </x:c>
      <x:c r="D52" s="10" t="str">
        <x:v>主播数据（公会长）</x:v>
      </x:c>
      <x:c r="E52" s="10" t="str">
        <x:v>逻辑校验</x:v>
      </x:c>
      <x:c r="F52" s="10" t="str">
        <x:v>P1</x:v>
      </x:c>
      <x:c r="G52" s="9" t="str">
        <x:v>验证新增粉丝取净变化</x:v>
      </x:c>
      <x:c r="H52" s="9" t="str">
        <x:v>粉丝净增</x:v>
      </x:c>
      <x:c r="I52" s="9" t="str">
        <x:v>1. 公会长账号已登录，当前公会启用，具备本页管理权限
2. 统计日新增关注20人、取消关注7人</x:v>
      </x:c>
      <x:c r="J52" s="9" t="str">
        <x:v>1. 进入主播数据
2. 选择目标自然日
3. 查看新增粉丝</x:v>
      </x:c>
      <x:c r="K52" s="9" t="str">
        <x:v>新增粉丝计算结果=20-7=13</x:v>
      </x:c>
      <x:c r="L52" s="10" t="str"/>
      <x:c r="M52" s="10" t="str">
        <x:v>未测</x:v>
      </x:c>
      <x:c r="N52" s="10" t="str"/>
      <x:c r="O52" s="9" t="str">
        <x:v>1. 来源（当前证据）：liveshow-proto/MainBasis/统一需求文档.md；位置：guild-host-summary.html
2. 规则：BR-A2D5CB0B8B51C2
3. 未动态验证</x:v>
      </x:c>
    </x:row>
    <x:row r="53" ht="85" customHeight="1">
      <x:c r="A53" s="10" t="n">
        <x:v>52</x:v>
      </x:c>
      <x:c r="B53" s="10" t="str">
        <x:v>GUILD-0052</x:v>
      </x:c>
      <x:c r="C53" s="10" t="str">
        <x:v>数据与收益</x:v>
      </x:c>
      <x:c r="D53" s="10" t="str">
        <x:v>主播数据（公会长）</x:v>
      </x:c>
      <x:c r="E53" s="10" t="str">
        <x:v>功能需求</x:v>
      </x:c>
      <x:c r="F53" s="10" t="str">
        <x:v>P1</x:v>
      </x:c>
      <x:c r="G53" s="9" t="str">
        <x:v>验证日数据下钻带入日期</x:v>
      </x:c>
      <x:c r="H53" s="9" t="str">
        <x:v>日期传递</x:v>
      </x:c>
      <x:c r="I53" s="9" t="str">
        <x:v>1. 公会长账号已登录，当前公会启用，具备本页管理权限
2. 当前查看9月10日</x:v>
      </x:c>
      <x:c r="J53" s="9" t="str">
        <x:v>1. 进入主播数据
2. 选择目标自然日
3. 点击该日数据行</x:v>
      </x:c>
      <x:c r="K53" s="9" t="str">
        <x:v>直播记录按9月10日筛选</x:v>
      </x:c>
      <x:c r="L53" s="10" t="str"/>
      <x:c r="M53" s="10" t="str">
        <x:v>未测</x:v>
      </x:c>
      <x:c r="N53" s="10" t="str"/>
      <x:c r="O53" s="9" t="str">
        <x:v>1. 来源（当前证据）：liveshow-proto/MainBasis/统一需求文档.md；位置：guild-host-summary.html
2. 规则：BR-97266E85A87AB8
3. 未动态验证</x:v>
      </x:c>
    </x:row>
    <x:row r="54" ht="85" customHeight="1">
      <x:c r="A54" s="10" t="n">
        <x:v>53</x:v>
      </x:c>
      <x:c r="B54" s="10" t="str">
        <x:v>GUILD-0053</x:v>
      </x:c>
      <x:c r="C54" s="10" t="str">
        <x:v>数据与收益</x:v>
      </x:c>
      <x:c r="D54" s="10" t="str">
        <x:v>直播记录（公会长）</x:v>
      </x:c>
      <x:c r="E54" s="10" t="str">
        <x:v>功能需求</x:v>
      </x:c>
      <x:c r="F54" s="10" t="str">
        <x:v>P1</x:v>
      </x:c>
      <x:c r="G54" s="9" t="str">
        <x:v>验证多场直播主播只计一人</x:v>
      </x:c>
      <x:c r="H54" s="9" t="str">
        <x:v>开播人数去重</x:v>
      </x:c>
      <x:c r="I54" s="9" t="str">
        <x:v>1. 公会长账号已登录，当前公会启用，具备本页管理权限
2. 甲完成2场、乙完成1场，范围内无其他直播</x:v>
      </x:c>
      <x:c r="J54" s="9" t="str">
        <x:v>1. 进入直播记录
2. 选择目标日期范围
3. 查看开播人数</x:v>
      </x:c>
      <x:c r="K54" s="9" t="str">
        <x:v>开播人数为2</x:v>
      </x:c>
      <x:c r="L54" s="10" t="str"/>
      <x:c r="M54" s="10" t="str">
        <x:v>未测</x:v>
      </x:c>
      <x:c r="N54" s="10" t="str"/>
      <x:c r="O54" s="9" t="str">
        <x:v>1. 来源（当前证据）：liveshow-proto/MainBasis/统一需求文档.md；位置：guild-host-data.html
2. 规则：BR-0D2941BC9F7155
3. 未动态验证</x:v>
      </x:c>
    </x:row>
    <x:row r="55" ht="85" customHeight="1">
      <x:c r="A55" s="10" t="n">
        <x:v>54</x:v>
      </x:c>
      <x:c r="B55" s="10" t="str">
        <x:v>GUILD-0054</x:v>
      </x:c>
      <x:c r="C55" s="10" t="str">
        <x:v>数据与收益</x:v>
      </x:c>
      <x:c r="D55" s="10" t="str">
        <x:v>直播记录（公会长）</x:v>
      </x:c>
      <x:c r="E55" s="10" t="str">
        <x:v>功能需求</x:v>
      </x:c>
      <x:c r="F55" s="10" t="str">
        <x:v>P1</x:v>
      </x:c>
      <x:c r="G55" s="9" t="str">
        <x:v>验证多场直播分别计场次</x:v>
      </x:c>
      <x:c r="H55" s="9" t="str">
        <x:v>直播场次数</x:v>
      </x:c>
      <x:c r="I55" s="9" t="str">
        <x:v>1. 公会长账号已登录，当前公会启用，具备本页管理权限
2. 甲完成2场、乙完成1场，范围内无其他直播</x:v>
      </x:c>
      <x:c r="J55" s="9" t="str">
        <x:v>1. 进入直播记录
2. 选择目标日期范围
3. 查看直播场次</x:v>
      </x:c>
      <x:c r="K55" s="9" t="str">
        <x:v>直播场次为3</x:v>
      </x:c>
      <x:c r="L55" s="10" t="str"/>
      <x:c r="M55" s="10" t="str">
        <x:v>未测</x:v>
      </x:c>
      <x:c r="N55" s="10" t="str"/>
      <x:c r="O55" s="9" t="str">
        <x:v>1. 来源（当前证据）：liveshow-proto/MainBasis/统一需求文档.md；位置：guild-host-data.html
2. 规则：BR-A393BAAAC1033A
3. 未动态验证</x:v>
      </x:c>
    </x:row>
    <x:row r="56" ht="85" customHeight="1">
      <x:c r="A56" s="10" t="n">
        <x:v>55</x:v>
      </x:c>
      <x:c r="B56" s="10" t="str">
        <x:v>GUILD-0055</x:v>
      </x:c>
      <x:c r="C56" s="10" t="str">
        <x:v>数据与收益</x:v>
      </x:c>
      <x:c r="D56" s="10" t="str">
        <x:v>直播记录（公会长）</x:v>
      </x:c>
      <x:c r="E56" s="10" t="str">
        <x:v>功能需求</x:v>
      </x:c>
      <x:c r="F56" s="10" t="str">
        <x:v>P1</x:v>
      </x:c>
      <x:c r="G56" s="9" t="str">
        <x:v>验证同一观众反复进入按一人</x:v>
      </x:c>
      <x:c r="H56" s="9" t="str">
        <x:v>观众人数去重</x:v>
      </x:c>
      <x:c r="I56" s="9" t="str">
        <x:v>1. 公会长账号已登录，当前公会启用，具备本页管理权限
2. 甲进入同一场3次、乙进入1次，无其他观众</x:v>
      </x:c>
      <x:c r="J56" s="9" t="str">
        <x:v>1. 进入直播记录
2. 选择目标日期范围
3. 查看该场观众人数</x:v>
      </x:c>
      <x:c r="K56" s="9" t="str">
        <x:v>观众人数为2</x:v>
      </x:c>
      <x:c r="L56" s="10" t="str"/>
      <x:c r="M56" s="10" t="str">
        <x:v>未测</x:v>
      </x:c>
      <x:c r="N56" s="10" t="str"/>
      <x:c r="O56" s="9" t="str">
        <x:v>1. 来源（当前证据）：liveshow-proto/MainBasis/统一需求文档.md；位置：guild-host-data.html
2. 规则：BR-8ABAAB7B485071
3. 未动态验证</x:v>
      </x:c>
    </x:row>
    <x:row r="57" ht="85" customHeight="1">
      <x:c r="A57" s="10" t="n">
        <x:v>56</x:v>
      </x:c>
      <x:c r="B57" s="10" t="str">
        <x:v>GUILD-0056</x:v>
      </x:c>
      <x:c r="C57" s="10" t="str">
        <x:v>数据与收益</x:v>
      </x:c>
      <x:c r="D57" s="10" t="str">
        <x:v>直播记录（公会长）</x:v>
      </x:c>
      <x:c r="E57" s="10" t="str">
        <x:v>逻辑校验</x:v>
      </x:c>
      <x:c r="F57" s="10" t="str">
        <x:v>P1</x:v>
      </x:c>
      <x:c r="G57" s="9" t="str">
        <x:v>验证收礼数量累计赠送件数</x:v>
      </x:c>
      <x:c r="H57" s="9" t="str">
        <x:v>礼物件数</x:v>
      </x:c>
      <x:c r="I57" s="9" t="str">
        <x:v>1. 公会长账号已登录，当前公会启用，具备本页管理权限
2. 本场有成功赠礼3件和10件各一单</x:v>
      </x:c>
      <x:c r="J57" s="9" t="str">
        <x:v>1. 进入直播记录
2. 选择目标日期范围
3. 查看收礼数量</x:v>
      </x:c>
      <x:c r="K57" s="9" t="str">
        <x:v>收礼数量计算结果=3+10=13</x:v>
      </x:c>
      <x:c r="L57" s="10" t="str">
        <x:v>FLOW-A1501E68</x:v>
      </x:c>
      <x:c r="M57" s="10" t="str">
        <x:v>未测</x:v>
      </x:c>
      <x:c r="N57" s="10" t="str"/>
      <x:c r="O57" s="9" t="str">
        <x:v>1. 来源（当前证据）：liveshow-proto/MainBasis/统一需求文档.md；位置：guild-host-data.html
2. 规则：BR-792AF13B86A19F
3. 未动态验证</x:v>
      </x:c>
    </x:row>
    <x:row r="58" ht="85" customHeight="1">
      <x:c r="A58" s="10" t="n">
        <x:v>57</x:v>
      </x:c>
      <x:c r="B58" s="10" t="str">
        <x:v>GUILD-0057</x:v>
      </x:c>
      <x:c r="C58" s="10" t="str">
        <x:v>数据与收益</x:v>
      </x:c>
      <x:c r="D58" s="10" t="str">
        <x:v>直播记录（公会长）</x:v>
      </x:c>
      <x:c r="E58" s="10" t="str">
        <x:v>功能需求</x:v>
      </x:c>
      <x:c r="F58" s="10" t="str">
        <x:v>P1</x:v>
      </x:c>
      <x:c r="G58" s="9" t="str">
        <x:v>验证结束场次保留收益记录</x:v>
      </x:c>
      <x:c r="H58" s="9" t="str">
        <x:v>场次结束数据</x:v>
      </x:c>
      <x:c r="I58" s="9" t="str">
        <x:v>1. 公会长账号已登录，当前公会启用，具备本页管理权限
2. 目标场次已结束且有成功真实赠礼收益</x:v>
      </x:c>
      <x:c r="J58" s="9" t="str">
        <x:v>1. 进入直播记录
2. 选择目标日期范围
3. 打开该场次详情</x:v>
      </x:c>
      <x:c r="K58" s="9" t="str">
        <x:v>仍可查看该场次收益</x:v>
      </x:c>
      <x:c r="L58" s="10" t="str"/>
      <x:c r="M58" s="10" t="str">
        <x:v>未测</x:v>
      </x:c>
      <x:c r="N58" s="10" t="str"/>
      <x:c r="O58" s="9" t="str">
        <x:v>1. 来源（当前证据）：liveshow-proto/MainBasis/统一需求文档.md；位置：guild-host-data.html
2. 规则：BR-90BCC239CB6D54
3. 未动态验证</x:v>
      </x:c>
    </x:row>
    <x:row r="59" ht="85" customHeight="1">
      <x:c r="A59" s="10" t="n">
        <x:v>58</x:v>
      </x:c>
      <x:c r="B59" s="10" t="str">
        <x:v>GUILD-0058</x:v>
      </x:c>
      <x:c r="C59" s="10" t="str">
        <x:v>数据与收益</x:v>
      </x:c>
      <x:c r="D59" s="10" t="str">
        <x:v>每日（公会长）</x:v>
      </x:c>
      <x:c r="E59" s="10" t="str">
        <x:v>功能需求</x:v>
      </x:c>
      <x:c r="F59" s="10" t="str">
        <x:v>P1</x:v>
      </x:c>
      <x:c r="G59" s="9" t="str">
        <x:v>验证今日直播中人数使用实时状态</x:v>
      </x:c>
      <x:c r="H59" s="9" t="str">
        <x:v>今日开播状态</x:v>
      </x:c>
      <x:c r="I59" s="9" t="str">
        <x:v>1. 公会长账号已登录，当前公会启用，具备本页管理权限
2. 今日甲乙均开播过，甲已结束、乙仍直播</x:v>
      </x:c>
      <x:c r="J59" s="9" t="str">
        <x:v>1. 进入公会业绩每日明细
2. 选择今日</x:v>
      </x:c>
      <x:c r="K59" s="9" t="str">
        <x:v>直播中人数为1</x:v>
      </x:c>
      <x:c r="L59" s="10" t="str"/>
      <x:c r="M59" s="10" t="str">
        <x:v>未测</x:v>
      </x:c>
      <x:c r="N59" s="10" t="str"/>
      <x:c r="O59" s="9" t="str">
        <x:v>1. 来源（当前证据）：liveshow-proto/MainBasis/统一需求文档.md；位置：guild-income-day-detail.html
2. 规则：BR-801400A70959A0
3. 未动态验证</x:v>
      </x:c>
    </x:row>
    <x:row r="60" ht="85" customHeight="1">
      <x:c r="A60" s="10" t="n">
        <x:v>59</x:v>
      </x:c>
      <x:c r="B60" s="10" t="str">
        <x:v>GUILD-0059</x:v>
      </x:c>
      <x:c r="C60" s="10" t="str">
        <x:v>数据与收益</x:v>
      </x:c>
      <x:c r="D60" s="10" t="str">
        <x:v>每日（公会长）</x:v>
      </x:c>
      <x:c r="E60" s="10" t="str">
        <x:v>功能需求</x:v>
      </x:c>
      <x:c r="F60" s="10" t="str">
        <x:v>P1</x:v>
      </x:c>
      <x:c r="G60" s="9" t="str">
        <x:v>验证历史日期直播中使用当日开播人数</x:v>
      </x:c>
      <x:c r="H60" s="9" t="str">
        <x:v>历史开播统计</x:v>
      </x:c>
      <x:c r="I60" s="9" t="str">
        <x:v>1. 公会长账号已登录，当前公会启用，具备本页管理权限
2. 昨日甲乙均开播过，当前均未开播</x:v>
      </x:c>
      <x:c r="J60" s="9" t="str">
        <x:v>1. 进入公会业绩每日明细
2. 选择昨日</x:v>
      </x:c>
      <x:c r="K60" s="9" t="str">
        <x:v>直播中人数为2</x:v>
      </x:c>
      <x:c r="L60" s="10" t="str"/>
      <x:c r="M60" s="10" t="str">
        <x:v>未测</x:v>
      </x:c>
      <x:c r="N60" s="10" t="str"/>
      <x:c r="O60" s="9" t="str">
        <x:v>1. 来源（当前证据）：liveshow-proto/MainBasis/统一需求文档.md；位置：guild-income-day-detail.html
2. 规则：BR-7E738C4187CCEF
3. 未动态验证</x:v>
      </x:c>
    </x:row>
    <x:row r="61" ht="85" customHeight="1">
      <x:c r="A61" s="10" t="n">
        <x:v>60</x:v>
      </x:c>
      <x:c r="B61" s="10" t="str">
        <x:v>GUILD-0060</x:v>
      </x:c>
      <x:c r="C61" s="10" t="str">
        <x:v>数据与收益</x:v>
      </x:c>
      <x:c r="D61" s="10" t="str">
        <x:v>违规记录（公会长）</x:v>
      </x:c>
      <x:c r="E61" s="10" t="str">
        <x:v>功能需求</x:v>
      </x:c>
      <x:c r="F61" s="10" t="str">
        <x:v>P1</x:v>
      </x:c>
      <x:c r="G61" s="9" t="str">
        <x:v>验证未有处置结果显示占位</x:v>
      </x:c>
      <x:c r="H61" s="9" t="str">
        <x:v>违规未处理</x:v>
      </x:c>
      <x:c r="I61" s="9" t="str">
        <x:v>1. 公会长账号已登录，当前公会启用，具备本页管理权限
2. 当前有未处理违规记录</x:v>
      </x:c>
      <x:c r="J61" s="9" t="str">
        <x:v>1. 进入违规记录
2. 查看该记录处理结果</x:v>
      </x:c>
      <x:c r="K61" s="9" t="str">
        <x:v>处理结果显示“-”</x:v>
      </x:c>
      <x:c r="L61" s="10" t="str"/>
      <x:c r="M61" s="10" t="str">
        <x:v>未测</x:v>
      </x:c>
      <x:c r="N61" s="10" t="str"/>
      <x:c r="O61" s="9" t="str">
        <x:v>1. 来源（当前证据）：liveshow-proto/MainBasis/统一需求文档.md；位置：guild-all-violations.html
2. 规则：BR-8BB1F5BAE304C6
3. 未动态验证</x:v>
      </x:c>
    </x:row>
    <x:row r="62" ht="85" customHeight="1">
      <x:c r="A62" s="10" t="n">
        <x:v>61</x:v>
      </x:c>
      <x:c r="B62" s="10" t="str">
        <x:v>GUILD-0061</x:v>
      </x:c>
      <x:c r="C62" s="10" t="str">
        <x:v>数据与收益</x:v>
      </x:c>
      <x:c r="D62" s="10" t="str">
        <x:v>违规记录（公会长）</x:v>
      </x:c>
      <x:c r="E62" s="10" t="str">
        <x:v>功能需求</x:v>
      </x:c>
      <x:c r="F62" s="10" t="str">
        <x:v>P1</x:v>
      </x:c>
      <x:c r="G62" s="9" t="str">
        <x:v>验证按违规类型切换范围</x:v>
      </x:c>
      <x:c r="H62" s="9" t="str">
        <x:v>违规范围筛选</x:v>
      </x:c>
      <x:c r="I62" s="9" t="str">
        <x:v>1. 公会长账号已登录，当前公会启用，具备本页管理权限
2. 本会有账号违规和直播间违规各一条</x:v>
      </x:c>
      <x:c r="J62" s="9" t="str">
        <x:v>1. 进入违规记录
2. 选择账号违规
3. 查询</x:v>
      </x:c>
      <x:c r="K62" s="9" t="str">
        <x:v>列表只包含账号违规</x:v>
      </x:c>
      <x:c r="L62" s="10" t="str"/>
      <x:c r="M62" s="10" t="str">
        <x:v>未测</x:v>
      </x:c>
      <x:c r="N62" s="10" t="str"/>
      <x:c r="O62" s="9" t="str">
        <x:v>1. 来源（当前证据）：liveshow-proto/MainBasis/统一需求文档.md；位置：guild-all-violations.html
2. 规则：BR-14E02065BA28DB
3. 未动态验证</x:v>
      </x:c>
    </x:row>
    <x:row r="63" ht="85" customHeight="1">
      <x:c r="A63" s="10" t="n">
        <x:v>62</x:v>
      </x:c>
      <x:c r="B63" s="10" t="str">
        <x:v>GUILD-0062</x:v>
      </x:c>
      <x:c r="C63" s="10" t="str">
        <x:v>数据与收益</x:v>
      </x:c>
      <x:c r="D63" s="10" t="str">
        <x:v>主播数据（公会长）</x:v>
      </x:c>
      <x:c r="E63" s="10" t="str">
        <x:v>功能需求</x:v>
      </x:c>
      <x:c r="F63" s="10" t="str">
        <x:v>P1</x:v>
      </x:c>
      <x:c r="G63" s="9" t="str">
        <x:v>验证主页入口导航到指定页面</x:v>
      </x:c>
      <x:c r="H63" s="9" t="str">
        <x:v>页面导航</x:v>
      </x:c>
      <x:c r="I63" s="9" t="str">
        <x:v>1. 公会长已登录且拥有主播数据访问权限</x:v>
      </x:c>
      <x:c r="J63" s="9" t="str">
        <x:v>1. 进入主播数据
2. 点击主页入口</x:v>
      </x:c>
      <x:c r="K63" s="9" t="str">
        <x:v>进入主播详情</x:v>
      </x:c>
      <x:c r="L63" s="10" t="str"/>
      <x:c r="M63" s="10" t="str">
        <x:v>未测</x:v>
      </x:c>
      <x:c r="N63" s="10" t="str"/>
      <x:c r="O63" s="9" t="str">
        <x:v>1. 来源（当前证据）：liveshow-proto/MainBasis/统一需求文档.md；位置：guild-host-summary.html
2. 规则：BR-4DDB5B67277792
3. 未动态验证</x:v>
      </x:c>
    </x:row>
    <x:row r="64" ht="85" customHeight="1">
      <x:c r="A64" s="10" t="n">
        <x:v>63</x:v>
      </x:c>
      <x:c r="B64" s="10" t="str">
        <x:v>GUILD-0063</x:v>
      </x:c>
      <x:c r="C64" s="10" t="str">
        <x:v>数据与收益</x:v>
      </x:c>
      <x:c r="D64" s="10" t="str">
        <x:v>直播记录（公会长）</x:v>
      </x:c>
      <x:c r="E64" s="10" t="str">
        <x:v>功能需求</x:v>
      </x:c>
      <x:c r="F64" s="10" t="str">
        <x:v>P1</x:v>
      </x:c>
      <x:c r="G64" s="9" t="str">
        <x:v>验证直播场次导航到指定页面</x:v>
      </x:c>
      <x:c r="H64" s="9" t="str">
        <x:v>页面导航</x:v>
      </x:c>
      <x:c r="I64" s="9" t="str">
        <x:v>1. 公会长已登录且拥有直播记录访问权限
2. 本页存在可点击的目标记录；目标仍有效且属于当前账号可见范围</x:v>
      </x:c>
      <x:c r="J64" s="9" t="str">
        <x:v>1. 进入直播记录
2. 点击直播场次</x:v>
      </x:c>
      <x:c r="K64" s="9" t="str">
        <x:v>进入「直播场次详情」，带入主播 ID、日期和场次 ID</x:v>
      </x:c>
      <x:c r="L64" s="10" t="str"/>
      <x:c r="M64" s="10" t="str">
        <x:v>未测</x:v>
      </x:c>
      <x:c r="N64" s="10" t="str"/>
      <x:c r="O64" s="9" t="str">
        <x:v>1. 来源（当前证据）：liveshow-proto/MainBasis/统一需求文档.md；位置：guild-host-data.html
2. 规则：BR-B6E5A84E362E1F
3. 未动态验证</x:v>
      </x:c>
    </x:row>
    <x:row r="65" ht="85" customHeight="1">
      <x:c r="A65" s="10" t="n">
        <x:v>64</x:v>
      </x:c>
      <x:c r="B65" s="10" t="str">
        <x:v>GUILD-0064</x:v>
      </x:c>
      <x:c r="C65" s="10" t="str">
        <x:v>数据与收益</x:v>
      </x:c>
      <x:c r="D65" s="10" t="str">
        <x:v>违规记录（公会长）</x:v>
      </x:c>
      <x:c r="E65" s="10" t="str">
        <x:v>功能需求</x:v>
      </x:c>
      <x:c r="F65" s="10" t="str">
        <x:v>P1</x:v>
      </x:c>
      <x:c r="G65" s="9" t="str">
        <x:v>验证主播导航到指定页面</x:v>
      </x:c>
      <x:c r="H65" s="9" t="str">
        <x:v>页面导航</x:v>
      </x:c>
      <x:c r="I65" s="9" t="str">
        <x:v>1. 公会长已登录且拥有违规记录访问权限
2. 本页存在可点击的目标记录；目标仍有效且属于当前账号可见范围</x:v>
      </x:c>
      <x:c r="J65" s="9" t="str">
        <x:v>1. 进入违规记录
2. 点击主播</x:v>
      </x:c>
      <x:c r="K65" s="9" t="str">
        <x:v>进入主播详情</x:v>
      </x:c>
      <x:c r="L65" s="10" t="str"/>
      <x:c r="M65" s="10" t="str">
        <x:v>未测</x:v>
      </x:c>
      <x:c r="N65" s="10" t="str"/>
      <x:c r="O65" s="9" t="str">
        <x:v>1. 来源（当前证据）：liveshow-proto/MainBasis/统一需求文档.md；位置：guild-all-violations.html
2. 规则：BR-60378CA6578E2F
3. 未动态验证</x:v>
      </x:c>
    </x:row>
    <x:row r="66" ht="85" customHeight="1">
      <x:c r="A66" s="10" t="n">
        <x:v>65</x:v>
      </x:c>
      <x:c r="B66" s="10" t="str">
        <x:v>GUILD-0065</x:v>
      </x:c>
      <x:c r="C66" s="10" t="str">
        <x:v>运营管理</x:v>
      </x:c>
      <x:c r="D66" s="10" t="str">
        <x:v>新建运营消息（公会长）</x:v>
      </x:c>
      <x:c r="E66" s="10" t="str">
        <x:v>逻辑校验</x:v>
      </x:c>
      <x:c r="F66" s="10" t="str">
        <x:v>P1</x:v>
      </x:c>
      <x:c r="G66" s="9" t="str">
        <x:v>验证消息内容长度为0时的校验</x:v>
      </x:c>
      <x:c r="H66" s="9" t="str">
        <x:v>消息内容越界拦截</x:v>
      </x:c>
      <x:c r="I66" s="9" t="str">
        <x:v>1. 公会长账号已登录，当前公会启用，具备本页管理权限
2. 除消息内容外的必填项已具备合法值</x:v>
      </x:c>
      <x:c r="J66" s="9" t="str">
        <x:v>1. 进入新建运营消息
2. 清空消息内容
3. 输入消息内容为0 个“测”字符
4. 点击发送</x:v>
      </x:c>
      <x:c r="K66" s="9" t="str">
        <x:v>消息内容不能保存超出下限的值</x:v>
      </x:c>
      <x:c r="L66" s="10" t="str"/>
      <x:c r="M66" s="10" t="str">
        <x:v>未测</x:v>
      </x:c>
      <x:c r="N66" s="10" t="str"/>
      <x:c r="O66" s="9" t="str">
        <x:v>1. 来源（当前证据）：liveshow-proto/MainBasis/统一需求文档.md；位置：guild-message-compose.html
2. 规则：BR-35D4A5332DCE6D
3. 未动态验证</x:v>
      </x:c>
    </x:row>
    <x:row r="67" ht="85" customHeight="1">
      <x:c r="A67" s="10" t="n">
        <x:v>66</x:v>
      </x:c>
      <x:c r="B67" s="10" t="str">
        <x:v>GUILD-0066</x:v>
      </x:c>
      <x:c r="C67" s="10" t="str">
        <x:v>运营管理</x:v>
      </x:c>
      <x:c r="D67" s="10" t="str">
        <x:v>新建运营消息（公会长）</x:v>
      </x:c>
      <x:c r="E67" s="10" t="str">
        <x:v>逻辑校验</x:v>
      </x:c>
      <x:c r="F67" s="10" t="str">
        <x:v>P1</x:v>
      </x:c>
      <x:c r="G67" s="9" t="str">
        <x:v>验证消息内容长度为1时的校验</x:v>
      </x:c>
      <x:c r="H67" s="9" t="str">
        <x:v>消息内容合法边界</x:v>
      </x:c>
      <x:c r="I67" s="9" t="str">
        <x:v>1. 公会长账号已登录，当前公会启用，具备本页管理权限
2. 除消息内容外的必填项已具备合法值</x:v>
      </x:c>
      <x:c r="J67" s="9" t="str">
        <x:v>1. 进入新建运营消息
2. 清空消息内容
3. 输入消息内容为1 个“测”字符
4. 点击发送</x:v>
      </x:c>
      <x:c r="K67" s="9" t="str">
        <x:v>消息内容接受本次1 字符输入</x:v>
      </x:c>
      <x:c r="L67" s="10" t="str"/>
      <x:c r="M67" s="10" t="str">
        <x:v>未测</x:v>
      </x:c>
      <x:c r="N67" s="10" t="str"/>
      <x:c r="O67" s="9" t="str">
        <x:v>1. 来源（当前证据）：liveshow-proto/MainBasis/统一需求文档.md；位置：guild-message-compose.html
2. 规则：BR-E00845E3153B15
3. 未动态验证</x:v>
      </x:c>
    </x:row>
    <x:row r="68" ht="85" customHeight="1">
      <x:c r="A68" s="10" t="n">
        <x:v>67</x:v>
      </x:c>
      <x:c r="B68" s="10" t="str">
        <x:v>GUILD-0067</x:v>
      </x:c>
      <x:c r="C68" s="10" t="str">
        <x:v>运营管理</x:v>
      </x:c>
      <x:c r="D68" s="10" t="str">
        <x:v>新建运营消息（公会长）</x:v>
      </x:c>
      <x:c r="E68" s="10" t="str">
        <x:v>逻辑校验</x:v>
      </x:c>
      <x:c r="F68" s="10" t="str">
        <x:v>P1</x:v>
      </x:c>
      <x:c r="G68" s="9" t="str">
        <x:v>验证消息内容长度为2时的校验</x:v>
      </x:c>
      <x:c r="H68" s="9" t="str">
        <x:v>消息内容合法边界</x:v>
      </x:c>
      <x:c r="I68" s="9" t="str">
        <x:v>1. 公会长账号已登录，当前公会启用，具备本页管理权限
2. 除消息内容外的必填项已具备合法值</x:v>
      </x:c>
      <x:c r="J68" s="9" t="str">
        <x:v>1. 进入新建运营消息
2. 清空消息内容
3. 输入消息内容为2 个“测”字符
4. 点击发送</x:v>
      </x:c>
      <x:c r="K68" s="9" t="str">
        <x:v>消息内容接受本次2 字符输入</x:v>
      </x:c>
      <x:c r="L68" s="10" t="str"/>
      <x:c r="M68" s="10" t="str">
        <x:v>未测</x:v>
      </x:c>
      <x:c r="N68" s="10" t="str"/>
      <x:c r="O68" s="9" t="str">
        <x:v>1. 来源（当前证据）：liveshow-proto/MainBasis/统一需求文档.md；位置：guild-message-compose.html
2. 规则：BR-EC74D674748D68
3. 未动态验证</x:v>
      </x:c>
    </x:row>
    <x:row r="69" ht="85" customHeight="1">
      <x:c r="A69" s="10" t="n">
        <x:v>68</x:v>
      </x:c>
      <x:c r="B69" s="10" t="str">
        <x:v>GUILD-0068</x:v>
      </x:c>
      <x:c r="C69" s="10" t="str">
        <x:v>运营管理</x:v>
      </x:c>
      <x:c r="D69" s="10" t="str">
        <x:v>新建运营消息（公会长）</x:v>
      </x:c>
      <x:c r="E69" s="10" t="str">
        <x:v>逻辑校验</x:v>
      </x:c>
      <x:c r="F69" s="10" t="str">
        <x:v>P1</x:v>
      </x:c>
      <x:c r="G69" s="9" t="str">
        <x:v>验证消息内容长度为499时的校验</x:v>
      </x:c>
      <x:c r="H69" s="9" t="str">
        <x:v>消息内容合法边界</x:v>
      </x:c>
      <x:c r="I69" s="9" t="str">
        <x:v>1. 公会长账号已登录，当前公会启用，具备本页管理权限
2. 除消息内容外的必填项已具备合法值</x:v>
      </x:c>
      <x:c r="J69" s="9" t="str">
        <x:v>1. 进入新建运营消息
2. 清空消息内容
3. 输入消息内容为499 个“测”字符
4. 点击发送</x:v>
      </x:c>
      <x:c r="K69" s="9" t="str">
        <x:v>消息内容接受本次499 字符输入</x:v>
      </x:c>
      <x:c r="L69" s="10" t="str"/>
      <x:c r="M69" s="10" t="str">
        <x:v>未测</x:v>
      </x:c>
      <x:c r="N69" s="10" t="str"/>
      <x:c r="O69" s="9" t="str">
        <x:v>1. 来源（当前证据）：liveshow-proto/MainBasis/统一需求文档.md；位置：guild-message-compose.html
2. 规则：BR-F45D8C5780188C
3. 未动态验证</x:v>
      </x:c>
    </x:row>
    <x:row r="70" ht="85" customHeight="1">
      <x:c r="A70" s="10" t="n">
        <x:v>69</x:v>
      </x:c>
      <x:c r="B70" s="10" t="str">
        <x:v>GUILD-0069</x:v>
      </x:c>
      <x:c r="C70" s="10" t="str">
        <x:v>运营管理</x:v>
      </x:c>
      <x:c r="D70" s="10" t="str">
        <x:v>新建运营消息（公会长）</x:v>
      </x:c>
      <x:c r="E70" s="10" t="str">
        <x:v>逻辑校验</x:v>
      </x:c>
      <x:c r="F70" s="10" t="str">
        <x:v>P1</x:v>
      </x:c>
      <x:c r="G70" s="9" t="str">
        <x:v>验证消息内容长度为500时的校验</x:v>
      </x:c>
      <x:c r="H70" s="9" t="str">
        <x:v>消息内容合法边界</x:v>
      </x:c>
      <x:c r="I70" s="9" t="str">
        <x:v>1. 公会长账号已登录，当前公会启用，具备本页管理权限
2. 除消息内容外的必填项已具备合法值</x:v>
      </x:c>
      <x:c r="J70" s="9" t="str">
        <x:v>1. 进入新建运营消息
2. 清空消息内容
3. 输入消息内容为500 个“测”字符
4. 点击发送</x:v>
      </x:c>
      <x:c r="K70" s="9" t="str">
        <x:v>消息内容接受本次500 字符输入</x:v>
      </x:c>
      <x:c r="L70" s="10" t="str"/>
      <x:c r="M70" s="10" t="str">
        <x:v>未测</x:v>
      </x:c>
      <x:c r="N70" s="10" t="str"/>
      <x:c r="O70" s="9" t="str">
        <x:v>1. 来源（当前证据）：liveshow-proto/MainBasis/统一需求文档.md；位置：guild-message-compose.html
2. 规则：BR-2FCA0160D05E63
3. 未动态验证</x:v>
      </x:c>
    </x:row>
    <x:row r="71" ht="85" customHeight="1">
      <x:c r="A71" s="10" t="n">
        <x:v>70</x:v>
      </x:c>
      <x:c r="B71" s="10" t="str">
        <x:v>GUILD-0070</x:v>
      </x:c>
      <x:c r="C71" s="10" t="str">
        <x:v>运营管理</x:v>
      </x:c>
      <x:c r="D71" s="10" t="str">
        <x:v>新建运营消息（公会长）</x:v>
      </x:c>
      <x:c r="E71" s="10" t="str">
        <x:v>逻辑校验</x:v>
      </x:c>
      <x:c r="F71" s="10" t="str">
        <x:v>P1</x:v>
      </x:c>
      <x:c r="G71" s="9" t="str">
        <x:v>验证消息内容长度为501时的校验</x:v>
      </x:c>
      <x:c r="H71" s="9" t="str">
        <x:v>消息内容越界拦截</x:v>
      </x:c>
      <x:c r="I71" s="9" t="str">
        <x:v>1. 公会长账号已登录，当前公会启用，具备本页管理权限
2. 除消息内容外的必填项已具备合法值</x:v>
      </x:c>
      <x:c r="J71" s="9" t="str">
        <x:v>1. 进入新建运营消息
2. 清空消息内容
3. 输入消息内容为501 个“测”字符
4. 点击发送</x:v>
      </x:c>
      <x:c r="K71" s="9" t="str">
        <x:v>消息内容不能保存超出上限的值</x:v>
      </x:c>
      <x:c r="L71" s="10" t="str"/>
      <x:c r="M71" s="10" t="str">
        <x:v>未测</x:v>
      </x:c>
      <x:c r="N71" s="10" t="str"/>
      <x:c r="O71" s="9" t="str">
        <x:v>1. 来源（当前证据）：liveshow-proto/MainBasis/统一需求文档.md；位置：guild-message-compose.html
2. 规则：BR-14E2F8BF34DB02
3. 未动态验证</x:v>
      </x:c>
    </x:row>
    <x:row r="72" ht="85" customHeight="1">
      <x:c r="A72" s="10" t="n">
        <x:v>71</x:v>
      </x:c>
      <x:c r="B72" s="10" t="str">
        <x:v>GUILD-0071</x:v>
      </x:c>
      <x:c r="C72" s="10" t="str">
        <x:v>运营管理</x:v>
      </x:c>
      <x:c r="D72" s="10" t="str">
        <x:v>新建运营消息（公会长）</x:v>
      </x:c>
      <x:c r="E72" s="10" t="str">
        <x:v>功能需求</x:v>
      </x:c>
      <x:c r="F72" s="10" t="str">
        <x:v>P1</x:v>
      </x:c>
      <x:c r="G72" s="9" t="str">
        <x:v>验证指定主播未选中不能发送</x:v>
      </x:c>
      <x:c r="H72" s="9" t="str">
        <x:v>消息接收者必选</x:v>
      </x:c>
      <x:c r="I72" s="9" t="str">
        <x:v>1. 公会长账号已登录，当前公会启用，具备本页管理权限
2. 消息内容已填写</x:v>
      </x:c>
      <x:c r="J72" s="9" t="str">
        <x:v>1. 进入新建运营消息页
2. 选择指定主播但不选择具体账号</x:v>
      </x:c>
      <x:c r="K72" s="9" t="str">
        <x:v>不能发送该运营消息</x:v>
      </x:c>
      <x:c r="L72" s="10" t="str"/>
      <x:c r="M72" s="10" t="str">
        <x:v>未测</x:v>
      </x:c>
      <x:c r="N72" s="10" t="str"/>
      <x:c r="O72" s="9" t="str">
        <x:v>1. 来源（当前证据）：liveshow-proto/MainBasis/统一需求文档.md；位置：guild-message-compose.html
2. 规则：BR-CA0A63CAD856EE
3. 未动态验证</x:v>
      </x:c>
    </x:row>
    <x:row r="73" ht="85" customHeight="1">
      <x:c r="A73" s="10" t="n">
        <x:v>72</x:v>
      </x:c>
      <x:c r="B73" s="10" t="str">
        <x:v>GUILD-0072</x:v>
      </x:c>
      <x:c r="C73" s="10" t="str">
        <x:v>运营管理</x:v>
      </x:c>
      <x:c r="D73" s="10" t="str">
        <x:v>新建运营消息（公会长）</x:v>
      </x:c>
      <x:c r="E73" s="10" t="str">
        <x:v>功能需求</x:v>
      </x:c>
      <x:c r="F73" s="10" t="str">
        <x:v>P1</x:v>
      </x:c>
      <x:c r="G73" s="9" t="str">
        <x:v>验证指定主播消息发送</x:v>
      </x:c>
      <x:c r="H73" s="9" t="str">
        <x:v>单主播运营消息</x:v>
      </x:c>
      <x:c r="I73" s="9" t="str">
        <x:v>1. 公会长账号已登录，当前公会启用，具备本页管理权限
2. 海风在本公会且账号可用</x:v>
      </x:c>
      <x:c r="J73" s="9" t="str">
        <x:v>1. 进入新建运营消息页
2. 选择指定主播海风
3. 输入消息内容“今晚按计划开播”
4. 点击发送并确认</x:v>
      </x:c>
      <x:c r="K73" s="9" t="str">
        <x:v>发送记录的对象为海风</x:v>
      </x:c>
      <x:c r="L73" s="10" t="str"/>
      <x:c r="M73" s="10" t="str">
        <x:v>未测</x:v>
      </x:c>
      <x:c r="N73" s="10" t="str"/>
      <x:c r="O73" s="9" t="str">
        <x:v>1. 来源（当前证据）：liveshow-proto/MainBasis/统一需求文档.md；位置：guild-message-compose.html
2. 规则：BR-22EED45C42977B
3. 未动态验证</x:v>
      </x:c>
    </x:row>
    <x:row r="74" ht="85" customHeight="1">
      <x:c r="A74" s="10" t="n">
        <x:v>73</x:v>
      </x:c>
      <x:c r="B74" s="10" t="str">
        <x:v>GUILD-0073</x:v>
      </x:c>
      <x:c r="C74" s="10" t="str">
        <x:v>运营管理</x:v>
      </x:c>
      <x:c r="D74" s="10" t="str">
        <x:v>新建运营消息（公会长）</x:v>
      </x:c>
      <x:c r="E74" s="10" t="str">
        <x:v>功能需求</x:v>
      </x:c>
      <x:c r="F74" s="10" t="str">
        <x:v>P1</x:v>
      </x:c>
      <x:c r="G74" s="9" t="str">
        <x:v>验证全体主播消息保留接收快照</x:v>
      </x:c>
      <x:c r="H74" s="9" t="str">
        <x:v>群发接收范围</x:v>
      </x:c>
      <x:c r="I74" s="9" t="str">
        <x:v>1. 公会长账号已登录，当前公会启用，具备本页管理权限
2. 发送时本会仅有海风、晨光两名在会主播</x:v>
      </x:c>
      <x:c r="J74" s="9" t="str">
        <x:v>1. 进入新建运营消息页
2. 选择全体主播
3. 输入消息内容“开播提醒”
4. 点击发送并确认</x:v>
      </x:c>
      <x:c r="K74" s="9" t="str">
        <x:v>发送记录的实际接收人数为 2</x:v>
      </x:c>
      <x:c r="L74" s="10" t="str"/>
      <x:c r="M74" s="10" t="str">
        <x:v>未测</x:v>
      </x:c>
      <x:c r="N74" s="10" t="str"/>
      <x:c r="O74" s="9" t="str">
        <x:v>1. 来源（当前证据）：liveshow-proto/MainBasis/统一需求文档.md；位置：guild-message-compose.html
2. 规则：BR-21246A8FEC46B4
3. 未动态验证</x:v>
      </x:c>
    </x:row>
    <x:row r="75" ht="85" customHeight="1">
      <x:c r="A75" s="10" t="n">
        <x:v>74</x:v>
      </x:c>
      <x:c r="B75" s="10" t="str">
        <x:v>GUILD-0074</x:v>
      </x:c>
      <x:c r="C75" s="10" t="str">
        <x:v>运营管理</x:v>
      </x:c>
      <x:c r="D75" s="10" t="str">
        <x:v>运营消息详情（公会长）</x:v>
      </x:c>
      <x:c r="E75" s="10" t="str">
        <x:v>功能需求</x:v>
      </x:c>
      <x:c r="F75" s="10" t="str">
        <x:v>P1</x:v>
      </x:c>
      <x:c r="G75" s="9" t="str">
        <x:v>验证已发送消息内容不可修改</x:v>
      </x:c>
      <x:c r="H75" s="9" t="str">
        <x:v>发送记录只读</x:v>
      </x:c>
      <x:c r="I75" s="9" t="str">
        <x:v>1. 公会长账号已登录，当前公会启用，具备本页管理权限
2. 所选消息已发送</x:v>
      </x:c>
      <x:c r="J75" s="9" t="str">
        <x:v>1. 进入已发送运营消息详情</x:v>
      </x:c>
      <x:c r="K75" s="9" t="str">
        <x:v>不提供修改或撤回入口</x:v>
      </x:c>
      <x:c r="L75" s="10" t="str"/>
      <x:c r="M75" s="10" t="str">
        <x:v>未测</x:v>
      </x:c>
      <x:c r="N75" s="10" t="str"/>
      <x:c r="O75" s="9" t="str">
        <x:v>1. 来源（当前证据）：liveshow-proto/MainBasis/统一需求文档.md；位置：guild-message-detail.html
2. 规则：BR-8480BE8FC4EC9C
3. 未动态验证</x:v>
      </x:c>
    </x:row>
    <x:row r="76" ht="85" customHeight="1">
      <x:c r="A76" s="10" t="n">
        <x:v>75</x:v>
      </x:c>
      <x:c r="B76" s="10" t="str">
        <x:v>GUILD-0075</x:v>
      </x:c>
      <x:c r="C76" s="10" t="str">
        <x:v>运营管理</x:v>
      </x:c>
      <x:c r="D76" s="10" t="str">
        <x:v>运营消息详情（公会长）</x:v>
      </x:c>
      <x:c r="E76" s="10" t="str">
        <x:v>功能需求</x:v>
      </x:c>
      <x:c r="F76" s="10" t="str">
        <x:v>P1</x:v>
      </x:c>
      <x:c r="G76" s="9" t="str">
        <x:v>验证主播退会不改发送快照</x:v>
      </x:c>
      <x:c r="H76" s="9" t="str">
        <x:v>运营消息历史范围</x:v>
      </x:c>
      <x:c r="I76" s="9" t="str">
        <x:v>1. 公会长账号已登录，当前公会启用，具备本页管理权限
2. 消息发送给海风后海风已退会</x:v>
      </x:c>
      <x:c r="J76" s="9" t="str">
        <x:v>1. 进入已发送运营消息详情
2. 查看发送对象</x:v>
      </x:c>
      <x:c r="K76" s="9" t="str">
        <x:v>原发送对象仍为海风</x:v>
      </x:c>
      <x:c r="L76" s="10" t="str"/>
      <x:c r="M76" s="10" t="str">
        <x:v>未测</x:v>
      </x:c>
      <x:c r="N76" s="10" t="str"/>
      <x:c r="O76" s="9" t="str">
        <x:v>1. 来源（当前证据）：liveshow-proto/MainBasis/统一需求文档.md；位置：guild-message-detail.html
2. 规则：BR-B02C43B799BD00
3. 未动态验证</x:v>
      </x:c>
    </x:row>
    <x:row r="77" ht="85" customHeight="1">
      <x:c r="A77" s="10" t="n">
        <x:v>76</x:v>
      </x:c>
      <x:c r="B77" s="10" t="str">
        <x:v>GUILD-0076</x:v>
      </x:c>
      <x:c r="C77" s="10" t="str">
        <x:v>运营管理</x:v>
      </x:c>
      <x:c r="D77" s="10" t="str">
        <x:v>创建运营账号（公会长）</x:v>
      </x:c>
      <x:c r="E77" s="10" t="str">
        <x:v>功能需求</x:v>
      </x:c>
      <x:c r="F77" s="10" t="str">
        <x:v>P1</x:v>
      </x:c>
      <x:c r="G77" s="9" t="str">
        <x:v>验证创建账号默认零初始发放</x:v>
      </x:c>
      <x:c r="H77" s="9" t="str">
        <x:v>初始发币默认</x:v>
      </x:c>
      <x:c r="I77" s="9" t="str">
        <x:v>1. 公会长账号已登录，当前公会启用，具备本页管理权限</x:v>
      </x:c>
      <x:c r="J77" s="9" t="str">
        <x:v>1. 进入运营账号
2. 点击创建运营账号</x:v>
      </x:c>
      <x:c r="K77" s="9" t="str">
        <x:v>发放金币默认为0</x:v>
      </x:c>
      <x:c r="L77" s="10" t="str">
        <x:v>FLOW-3751662B</x:v>
      </x:c>
      <x:c r="M77" s="10" t="str">
        <x:v>未测</x:v>
      </x:c>
      <x:c r="N77" s="10" t="str"/>
      <x:c r="O77" s="9" t="str">
        <x:v>1. 来源（当前证据）：liveshow-proto/MainBasis/统一需求文档.md；位置：guild-operation-account-compose.html
2. 规则：BR-F521F04607F689
3. 未动态验证</x:v>
      </x:c>
    </x:row>
    <x:row r="78" ht="85" customHeight="1">
      <x:c r="A78" s="10" t="n">
        <x:v>77</x:v>
      </x:c>
      <x:c r="B78" s="10" t="str">
        <x:v>GUILD-0077</x:v>
      </x:c>
      <x:c r="C78" s="10" t="str">
        <x:v>运营管理</x:v>
      </x:c>
      <x:c r="D78" s="10" t="str">
        <x:v>创建运营账号（公会长）</x:v>
      </x:c>
      <x:c r="E78" s="10" t="str">
        <x:v>功能需求</x:v>
      </x:c>
      <x:c r="F78" s="10" t="str">
        <x:v>P1</x:v>
      </x:c>
      <x:c r="G78" s="9" t="str">
        <x:v>验证运营账号全平台唯一</x:v>
      </x:c>
      <x:c r="H78" s="9" t="str">
        <x:v>运营登录名唯一</x:v>
      </x:c>
      <x:c r="I78" s="9" t="str">
        <x:v>1. 公会长账号已登录，当前公会启用，具备本页管理权限
2. 其他公会已经存在登录账号river2026，其他必填项合法</x:v>
      </x:c>
      <x:c r="J78" s="9" t="str">
        <x:v>1. 进入运营账号
2. 点击创建运营账号
3. 输入账号river2026
4. 点击创建</x:v>
      </x:c>
      <x:c r="K78" s="9" t="str">
        <x:v>不创建重复登录账号</x:v>
      </x:c>
      <x:c r="L78" s="10" t="str">
        <x:v>FLOW-3751662B</x:v>
      </x:c>
      <x:c r="M78" s="10" t="str">
        <x:v>未测</x:v>
      </x:c>
      <x:c r="N78" s="10" t="str"/>
      <x:c r="O78" s="9" t="str">
        <x:v>1. 来源（当前证据）：liveshow-proto/MainBasis/统一需求文档.md；位置：guild-operation-account-compose.html
2. 规则：BR-D5A24B62BA873D
3. 未动态验证</x:v>
      </x:c>
    </x:row>
    <x:row r="79" ht="85" customHeight="1">
      <x:c r="A79" s="10" t="n">
        <x:v>78</x:v>
      </x:c>
      <x:c r="B79" s="10" t="str">
        <x:v>GUILD-0078</x:v>
      </x:c>
      <x:c r="C79" s="10" t="str">
        <x:v>运营管理</x:v>
      </x:c>
      <x:c r="D79" s="10" t="str">
        <x:v>创建运营账号（公会长）</x:v>
      </x:c>
      <x:c r="E79" s="10" t="str">
        <x:v>逻辑校验</x:v>
      </x:c>
      <x:c r="F79" s="10" t="str">
        <x:v>P0</x:v>
      </x:c>
      <x:c r="G79" s="9" t="str">
        <x:v>验证本次可发上限取两种余额较小值</x:v>
      </x:c>
      <x:c r="H79" s="9" t="str">
        <x:v>发放额度交集</x:v>
      </x:c>
      <x:c r="I79" s="9" t="str">
        <x:v>1. 公会长账号已登录，当前公会启用，具备本页管理权限
2. 单账号本月剩余可得300，公会本月剩余可发200</x:v>
      </x:c>
      <x:c r="J79" s="9" t="str">
        <x:v>1. 进入运营账号
2. 点击创建运营账号
3. 查看发放金币上限</x:v>
      </x:c>
      <x:c r="K79" s="9" t="str">
        <x:v>本次可发上限计算结果=min(300,200)=200</x:v>
      </x:c>
      <x:c r="L79" s="10" t="str">
        <x:v>FLOW-3751662B</x:v>
      </x:c>
      <x:c r="M79" s="10" t="str">
        <x:v>未测</x:v>
      </x:c>
      <x:c r="N79" s="10" t="str"/>
      <x:c r="O79" s="9" t="str">
        <x:v>1. 来源（当前证据）：liveshow-proto/MainBasis/统一需求文档.md；位置：guild-operation-account-compose.html
2. 规则：BR-CABF4D1BC19FD4
3. 未动态验证</x:v>
      </x:c>
    </x:row>
    <x:row r="80" ht="85" customHeight="1">
      <x:c r="A80" s="10" t="n">
        <x:v>79</x:v>
      </x:c>
      <x:c r="B80" s="10" t="str">
        <x:v>GUILD-0079</x:v>
      </x:c>
      <x:c r="C80" s="10" t="str">
        <x:v>运营管理</x:v>
      </x:c>
      <x:c r="D80" s="10" t="str">
        <x:v>创建运营账号（公会长）</x:v>
      </x:c>
      <x:c r="E80" s="10" t="str">
        <x:v>功能需求</x:v>
      </x:c>
      <x:c r="F80" s="10" t="str">
        <x:v>P1</x:v>
      </x:c>
      <x:c r="G80" s="9" t="str">
        <x:v>验证额度不足阻止创建时超额发放</x:v>
      </x:c>
      <x:c r="H80" s="9" t="str">
        <x:v>初始发放越界</x:v>
      </x:c>
      <x:c r="I80" s="9" t="str">
        <x:v>1. 公会长账号已登录，当前公会启用，具备本页管理权限
2. 本次可发上限200，其他必填项合法</x:v>
      </x:c>
      <x:c r="J80" s="9" t="str">
        <x:v>1. 进入运营账号
2. 点击创建运营账号
3. 输入发放金币201
4. 点击创建</x:v>
      </x:c>
      <x:c r="K80" s="9" t="str">
        <x:v>不能发放201虚拟金币</x:v>
      </x:c>
      <x:c r="L80" s="10" t="str">
        <x:v>FLOW-3751662B</x:v>
      </x:c>
      <x:c r="M80" s="10" t="str">
        <x:v>未测</x:v>
      </x:c>
      <x:c r="N80" s="10" t="str"/>
      <x:c r="O80" s="9" t="str">
        <x:v>1. 来源（当前证据）：liveshow-proto/MainBasis/统一需求文档.md；位置：guild-operation-account-compose.html
2. 规则：BR-04CFEDC64DE6F3
3. 未动态验证</x:v>
      </x:c>
    </x:row>
    <x:row r="81" ht="85" customHeight="1">
      <x:c r="A81" s="10" t="n">
        <x:v>80</x:v>
      </x:c>
      <x:c r="B81" s="10" t="str">
        <x:v>GUILD-0080</x:v>
      </x:c>
      <x:c r="C81" s="10" t="str">
        <x:v>运营管理</x:v>
      </x:c>
      <x:c r="D81" s="10" t="str">
        <x:v>创建运营账号（公会长）</x:v>
      </x:c>
      <x:c r="E81" s="10" t="str">
        <x:v>功能需求</x:v>
      </x:c>
      <x:c r="F81" s="10" t="str">
        <x:v>P1</x:v>
      </x:c>
      <x:c r="G81" s="9" t="str">
        <x:v>验证创建独立运营账号</x:v>
      </x:c>
      <x:c r="H81" s="9" t="str">
        <x:v>运营账号创建</x:v>
      </x:c>
      <x:c r="I81" s="9" t="str">
        <x:v>1. 公会长账号已登录，当前公会启用，具备本页管理权限
2. 头像、唯一账号、名称、至少6位密码完整，初始发放为0</x:v>
      </x:c>
      <x:c r="J81" s="9" t="str">
        <x:v>1. 进入运营账号
2. 点击创建运营账号
3. 点击创建</x:v>
      </x:c>
      <x:c r="K81" s="9" t="str">
        <x:v>新增本公会独立运营账号</x:v>
      </x:c>
      <x:c r="L81" s="10" t="str">
        <x:v>FLOW-9DD46CA2</x:v>
      </x:c>
      <x:c r="M81" s="10" t="str">
        <x:v>未测</x:v>
      </x:c>
      <x:c r="N81" s="10" t="str"/>
      <x:c r="O81" s="9" t="str">
        <x:v>1. 来源（当前证据）：liveshow-proto/MainBasis/统一需求文档.md；位置：guild-operation-account-compose.html
2. 规则：BR-9D2E4DDAAF3BA8
3. 未动态验证</x:v>
      </x:c>
    </x:row>
    <x:row r="82" ht="85" customHeight="1">
      <x:c r="A82" s="10" t="n">
        <x:v>81</x:v>
      </x:c>
      <x:c r="B82" s="10" t="str">
        <x:v>GUILD-0081</x:v>
      </x:c>
      <x:c r="C82" s="10" t="str">
        <x:v>运营管理</x:v>
      </x:c>
      <x:c r="D82" s="10" t="str">
        <x:v>创建运营账号（公会长）</x:v>
      </x:c>
      <x:c r="E82" s="10" t="str">
        <x:v>逻辑校验</x:v>
      </x:c>
      <x:c r="F82" s="10" t="str">
        <x:v>P1</x:v>
      </x:c>
      <x:c r="G82" s="9" t="str">
        <x:v>验证名称长度为0时的校验</x:v>
      </x:c>
      <x:c r="H82" s="9" t="str">
        <x:v>名称越界拦截</x:v>
      </x:c>
      <x:c r="I82" s="9" t="str">
        <x:v>1. 公会长账号已登录，当前公会启用，具备本页管理权限
2. 除名称外的必填项已具备合法值</x:v>
      </x:c>
      <x:c r="J82" s="9" t="str">
        <x:v>1. 进入创建运营账号
2. 清空名称
3. 输入名称为0 个“测”字符
4. 点击创建</x:v>
      </x:c>
      <x:c r="K82" s="9" t="str">
        <x:v>名称不能保存超出下限的值</x:v>
      </x:c>
      <x:c r="L82" s="10" t="str">
        <x:v>FLOW-3751662B</x:v>
      </x:c>
      <x:c r="M82" s="10" t="str">
        <x:v>未测</x:v>
      </x:c>
      <x:c r="N82" s="10" t="str"/>
      <x:c r="O82" s="9" t="str">
        <x:v>1. 来源（当前证据）：liveshow-proto/MainBasis/统一需求文档.md；位置：guild-operation-account-compose.html
2. 规则：BR-FD1C73F5808930
3. 未动态验证</x:v>
      </x:c>
    </x:row>
    <x:row r="83" ht="85" customHeight="1">
      <x:c r="A83" s="10" t="n">
        <x:v>82</x:v>
      </x:c>
      <x:c r="B83" s="10" t="str">
        <x:v>GUILD-0082</x:v>
      </x:c>
      <x:c r="C83" s="10" t="str">
        <x:v>运营管理</x:v>
      </x:c>
      <x:c r="D83" s="10" t="str">
        <x:v>创建运营账号（公会长）</x:v>
      </x:c>
      <x:c r="E83" s="10" t="str">
        <x:v>逻辑校验</x:v>
      </x:c>
      <x:c r="F83" s="10" t="str">
        <x:v>P1</x:v>
      </x:c>
      <x:c r="G83" s="9" t="str">
        <x:v>验证名称长度为1时的校验</x:v>
      </x:c>
      <x:c r="H83" s="9" t="str">
        <x:v>名称合法边界</x:v>
      </x:c>
      <x:c r="I83" s="9" t="str">
        <x:v>1. 公会长账号已登录，当前公会启用，具备本页管理权限
2. 除名称外的必填项已具备合法值</x:v>
      </x:c>
      <x:c r="J83" s="9" t="str">
        <x:v>1. 进入创建运营账号
2. 清空名称
3. 输入名称为1 个“测”字符
4. 点击创建</x:v>
      </x:c>
      <x:c r="K83" s="9" t="str">
        <x:v>名称接受本次1 字符输入</x:v>
      </x:c>
      <x:c r="L83" s="10" t="str">
        <x:v>FLOW-3751662B</x:v>
      </x:c>
      <x:c r="M83" s="10" t="str">
        <x:v>未测</x:v>
      </x:c>
      <x:c r="N83" s="10" t="str"/>
      <x:c r="O83" s="9" t="str">
        <x:v>1. 来源（当前证据）：liveshow-proto/MainBasis/统一需求文档.md；位置：guild-operation-account-compose.html
2. 规则：BR-5F7766B34A4791
3. 未动态验证</x:v>
      </x:c>
    </x:row>
    <x:row r="84" ht="85" customHeight="1">
      <x:c r="A84" s="10" t="n">
        <x:v>83</x:v>
      </x:c>
      <x:c r="B84" s="10" t="str">
        <x:v>GUILD-0083</x:v>
      </x:c>
      <x:c r="C84" s="10" t="str">
        <x:v>运营管理</x:v>
      </x:c>
      <x:c r="D84" s="10" t="str">
        <x:v>创建运营账号（公会长）</x:v>
      </x:c>
      <x:c r="E84" s="10" t="str">
        <x:v>逻辑校验</x:v>
      </x:c>
      <x:c r="F84" s="10" t="str">
        <x:v>P1</x:v>
      </x:c>
      <x:c r="G84" s="9" t="str">
        <x:v>验证名称长度为2时的校验</x:v>
      </x:c>
      <x:c r="H84" s="9" t="str">
        <x:v>名称合法边界</x:v>
      </x:c>
      <x:c r="I84" s="9" t="str">
        <x:v>1. 公会长账号已登录，当前公会启用，具备本页管理权限
2. 除名称外的必填项已具备合法值</x:v>
      </x:c>
      <x:c r="J84" s="9" t="str">
        <x:v>1. 进入创建运营账号
2. 清空名称
3. 输入名称为2 个“测”字符
4. 点击创建</x:v>
      </x:c>
      <x:c r="K84" s="9" t="str">
        <x:v>名称接受本次2 字符输入</x:v>
      </x:c>
      <x:c r="L84" s="10" t="str">
        <x:v>FLOW-3751662B</x:v>
      </x:c>
      <x:c r="M84" s="10" t="str">
        <x:v>未测</x:v>
      </x:c>
      <x:c r="N84" s="10" t="str"/>
      <x:c r="O84" s="9" t="str">
        <x:v>1. 来源（当前证据）：liveshow-proto/MainBasis/统一需求文档.md；位置：guild-operation-account-compose.html
2. 规则：BR-5E81D658D66262
3. 未动态验证</x:v>
      </x:c>
    </x:row>
    <x:row r="85" ht="85" customHeight="1">
      <x:c r="A85" s="10" t="n">
        <x:v>84</x:v>
      </x:c>
      <x:c r="B85" s="10" t="str">
        <x:v>GUILD-0084</x:v>
      </x:c>
      <x:c r="C85" s="10" t="str">
        <x:v>运营管理</x:v>
      </x:c>
      <x:c r="D85" s="10" t="str">
        <x:v>创建运营账号（公会长）</x:v>
      </x:c>
      <x:c r="E85" s="10" t="str">
        <x:v>逻辑校验</x:v>
      </x:c>
      <x:c r="F85" s="10" t="str">
        <x:v>P1</x:v>
      </x:c>
      <x:c r="G85" s="9" t="str">
        <x:v>验证名称长度为29时的校验</x:v>
      </x:c>
      <x:c r="H85" s="9" t="str">
        <x:v>名称合法边界</x:v>
      </x:c>
      <x:c r="I85" s="9" t="str">
        <x:v>1. 公会长账号已登录，当前公会启用，具备本页管理权限
2. 除名称外的必填项已具备合法值</x:v>
      </x:c>
      <x:c r="J85" s="9" t="str">
        <x:v>1. 进入创建运营账号
2. 清空名称
3. 输入名称为29 个“测”字符
4. 点击创建</x:v>
      </x:c>
      <x:c r="K85" s="9" t="str">
        <x:v>名称接受本次29 字符输入</x:v>
      </x:c>
      <x:c r="L85" s="10" t="str">
        <x:v>FLOW-3751662B</x:v>
      </x:c>
      <x:c r="M85" s="10" t="str">
        <x:v>未测</x:v>
      </x:c>
      <x:c r="N85" s="10" t="str"/>
      <x:c r="O85" s="9" t="str">
        <x:v>1. 来源（当前证据）：liveshow-proto/MainBasis/统一需求文档.md；位置：guild-operation-account-compose.html
2. 规则：BR-8F8F074DCD01A7
3. 未动态验证</x:v>
      </x:c>
    </x:row>
    <x:row r="86" ht="85" customHeight="1">
      <x:c r="A86" s="10" t="n">
        <x:v>85</x:v>
      </x:c>
      <x:c r="B86" s="10" t="str">
        <x:v>GUILD-0085</x:v>
      </x:c>
      <x:c r="C86" s="10" t="str">
        <x:v>运营管理</x:v>
      </x:c>
      <x:c r="D86" s="10" t="str">
        <x:v>创建运营账号（公会长）</x:v>
      </x:c>
      <x:c r="E86" s="10" t="str">
        <x:v>逻辑校验</x:v>
      </x:c>
      <x:c r="F86" s="10" t="str">
        <x:v>P1</x:v>
      </x:c>
      <x:c r="G86" s="9" t="str">
        <x:v>验证名称长度为30时的校验</x:v>
      </x:c>
      <x:c r="H86" s="9" t="str">
        <x:v>名称合法边界</x:v>
      </x:c>
      <x:c r="I86" s="9" t="str">
        <x:v>1. 公会长账号已登录，当前公会启用，具备本页管理权限
2. 除名称外的必填项已具备合法值</x:v>
      </x:c>
      <x:c r="J86" s="9" t="str">
        <x:v>1. 进入创建运营账号
2. 清空名称
3. 输入名称为30 个“测”字符
4. 点击创建</x:v>
      </x:c>
      <x:c r="K86" s="9" t="str">
        <x:v>名称接受本次30 字符输入</x:v>
      </x:c>
      <x:c r="L86" s="10" t="str">
        <x:v>FLOW-3751662B</x:v>
      </x:c>
      <x:c r="M86" s="10" t="str">
        <x:v>未测</x:v>
      </x:c>
      <x:c r="N86" s="10" t="str"/>
      <x:c r="O86" s="9" t="str">
        <x:v>1. 来源（当前证据）：liveshow-proto/MainBasis/统一需求文档.md；位置：guild-operation-account-compose.html
2. 规则：BR-B76459305E1337
3. 未动态验证</x:v>
      </x:c>
    </x:row>
    <x:row r="87" ht="85" customHeight="1">
      <x:c r="A87" s="10" t="n">
        <x:v>86</x:v>
      </x:c>
      <x:c r="B87" s="10" t="str">
        <x:v>GUILD-0086</x:v>
      </x:c>
      <x:c r="C87" s="10" t="str">
        <x:v>运营管理</x:v>
      </x:c>
      <x:c r="D87" s="10" t="str">
        <x:v>创建运营账号（公会长）</x:v>
      </x:c>
      <x:c r="E87" s="10" t="str">
        <x:v>逻辑校验</x:v>
      </x:c>
      <x:c r="F87" s="10" t="str">
        <x:v>P1</x:v>
      </x:c>
      <x:c r="G87" s="9" t="str">
        <x:v>验证名称长度为31时的校验</x:v>
      </x:c>
      <x:c r="H87" s="9" t="str">
        <x:v>名称越界拦截</x:v>
      </x:c>
      <x:c r="I87" s="9" t="str">
        <x:v>1. 公会长账号已登录，当前公会启用，具备本页管理权限
2. 除名称外的必填项已具备合法值</x:v>
      </x:c>
      <x:c r="J87" s="9" t="str">
        <x:v>1. 进入创建运营账号
2. 清空名称
3. 输入名称为31 个“测”字符
4. 点击创建</x:v>
      </x:c>
      <x:c r="K87" s="9" t="str">
        <x:v>名称不能保存超出上限的值</x:v>
      </x:c>
      <x:c r="L87" s="10" t="str">
        <x:v>FLOW-3751662B</x:v>
      </x:c>
      <x:c r="M87" s="10" t="str">
        <x:v>未测</x:v>
      </x:c>
      <x:c r="N87" s="10" t="str"/>
      <x:c r="O87" s="9" t="str">
        <x:v>1. 来源（当前证据）：liveshow-proto/MainBasis/统一需求文档.md；位置：guild-operation-account-compose.html
2. 规则：BR-83C0F8F5A6348E
3. 未动态验证</x:v>
      </x:c>
    </x:row>
    <x:row r="88" ht="85" customHeight="1">
      <x:c r="A88" s="10" t="n">
        <x:v>87</x:v>
      </x:c>
      <x:c r="B88" s="10" t="str">
        <x:v>GUILD-0087</x:v>
      </x:c>
      <x:c r="C88" s="10" t="str">
        <x:v>运营管理</x:v>
      </x:c>
      <x:c r="D88" s="10" t="str">
        <x:v>运营账号主页（公会长）</x:v>
      </x:c>
      <x:c r="E88" s="10" t="str">
        <x:v>逻辑校验</x:v>
      </x:c>
      <x:c r="F88" s="10" t="str">
        <x:v>P0</x:v>
      </x:c>
      <x:c r="G88" s="9" t="str">
        <x:v>验证虚拟发放计入余额</x:v>
      </x:c>
      <x:c r="H88" s="9" t="str">
        <x:v>虚拟余额增加</x:v>
      </x:c>
      <x:c r="I88" s="9" t="str">
        <x:v>1. 公会长账号已登录，当前公会启用，具备本页管理权限
2. 账号原余额50，本次额度充足</x:v>
      </x:c>
      <x:c r="J88" s="9" t="str">
        <x:v>1. 进入本公会运营账号详情
2. 点击发放金币
3. 输入发放数量100
4. 点击确认</x:v>
      </x:c>
      <x:c r="K88" s="9" t="str">
        <x:v>虚拟余额计算结果=50+100=150</x:v>
      </x:c>
      <x:c r="L88" s="10" t="str">
        <x:v>FLOW-3751662B</x:v>
      </x:c>
      <x:c r="M88" s="10" t="str">
        <x:v>未测</x:v>
      </x:c>
      <x:c r="N88" s="10" t="str"/>
      <x:c r="O88" s="9" t="str">
        <x:v>1. 来源（当前证据）：liveshow-proto/MainBasis/统一需求文档.md；位置：guild-operation-account-detail.html
2. 规则：BR-CC3747D97008CE
3. 未动态验证</x:v>
      </x:c>
    </x:row>
    <x:row r="89" ht="85" customHeight="1">
      <x:c r="A89" s="10" t="n">
        <x:v>88</x:v>
      </x:c>
      <x:c r="B89" s="10" t="str">
        <x:v>GUILD-0088</x:v>
      </x:c>
      <x:c r="C89" s="10" t="str">
        <x:v>运营管理</x:v>
      </x:c>
      <x:c r="D89" s="10" t="str">
        <x:v>运营账号主页（公会长）</x:v>
      </x:c>
      <x:c r="E89" s="10" t="str">
        <x:v>功能需求</x:v>
      </x:c>
      <x:c r="F89" s="10" t="str">
        <x:v>P1</x:v>
      </x:c>
      <x:c r="G89" s="9" t="str">
        <x:v>验证平台锁定后公会不能发币</x:v>
      </x:c>
      <x:c r="H89" s="9" t="str">
        <x:v>平台锁定发币</x:v>
      </x:c>
      <x:c r="I89" s="9" t="str">
        <x:v>1. 公会长账号已登录，当前公会启用，具备本页管理权限
2. 平台已锁定本公会运营账号管理权限</x:v>
      </x:c>
      <x:c r="J89" s="9" t="str">
        <x:v>1. 进入本公会运营账号详情
2. 查看发放入口</x:v>
      </x:c>
      <x:c r="K89" s="9" t="str">
        <x:v>公会不能发放虚拟金币</x:v>
      </x:c>
      <x:c r="L89" s="10" t="str">
        <x:v>FLOW-3751662B</x:v>
      </x:c>
      <x:c r="M89" s="10" t="str">
        <x:v>未测</x:v>
      </x:c>
      <x:c r="N89" s="10" t="str"/>
      <x:c r="O89" s="9" t="str">
        <x:v>1. 来源（当前证据）：liveshow-proto/MainBasis/统一需求文档.md；位置：guild-operation-account-detail.html
2. 规则：BR-F613C8D49A847E
3. 未动态验证</x:v>
      </x:c>
    </x:row>
    <x:row r="90" ht="85" customHeight="1">
      <x:c r="A90" s="10" t="n">
        <x:v>89</x:v>
      </x:c>
      <x:c r="B90" s="10" t="str">
        <x:v>GUILD-0089</x:v>
      </x:c>
      <x:c r="C90" s="10" t="str">
        <x:v>运营管理</x:v>
      </x:c>
      <x:c r="D90" s="10" t="str">
        <x:v>运营账号主页（公会长）</x:v>
      </x:c>
      <x:c r="E90" s="10" t="str">
        <x:v>功能需求</x:v>
      </x:c>
      <x:c r="F90" s="10" t="str">
        <x:v>P1</x:v>
      </x:c>
      <x:c r="G90" s="9" t="str">
        <x:v>验证停用运营账号保留余额</x:v>
      </x:c>
      <x:c r="H90" s="9" t="str">
        <x:v>运营账号停用资产</x:v>
      </x:c>
      <x:c r="I90" s="9" t="str">
        <x:v>1. 公会长账号已登录，当前公会启用，具备本页管理权限
2. 运营账号余额为150</x:v>
      </x:c>
      <x:c r="J90" s="9" t="str">
        <x:v>1. 进入本公会运营账号详情
2. 禁用运营账号并确认</x:v>
      </x:c>
      <x:c r="K90" s="9" t="str">
        <x:v>虚拟金币余额仍为150</x:v>
      </x:c>
      <x:c r="L90" s="10" t="str">
        <x:v>FLOW-3751662B</x:v>
      </x:c>
      <x:c r="M90" s="10" t="str">
        <x:v>未测</x:v>
      </x:c>
      <x:c r="N90" s="10" t="str"/>
      <x:c r="O90" s="9" t="str">
        <x:v>1. 来源（当前证据）：liveshow-proto/MainBasis/统一需求文档.md；位置：guild-operation-account-detail.html
2. 规则：BR-174070F773231E
3. 未动态验证</x:v>
      </x:c>
    </x:row>
    <x:row r="91" ht="85" customHeight="1">
      <x:c r="A91" s="10" t="n">
        <x:v>90</x:v>
      </x:c>
      <x:c r="B91" s="10" t="str">
        <x:v>GUILD-0090</x:v>
      </x:c>
      <x:c r="C91" s="10" t="str">
        <x:v>运营管理</x:v>
      </x:c>
      <x:c r="D91" s="10" t="str">
        <x:v>送礼记录（公会长）</x:v>
      </x:c>
      <x:c r="E91" s="10" t="str">
        <x:v>功能需求</x:v>
      </x:c>
      <x:c r="F91" s="10" t="str">
        <x:v>P1</x:v>
      </x:c>
      <x:c r="G91" s="9" t="str">
        <x:v>验证送礼次数按订单条数</x:v>
      </x:c>
      <x:c r="H91" s="9" t="str">
        <x:v>送礼次数</x:v>
      </x:c>
      <x:c r="I91" s="9" t="str">
        <x:v>1. 公会长账号已登录，当前公会启用，具备本页管理权限
2. 筛选范围内成功订单2笔，数量分别10和20</x:v>
      </x:c>
      <x:c r="J91" s="9" t="str">
        <x:v>1. 进入运营账号送礼记录
2. 查看总送礼次数</x:v>
      </x:c>
      <x:c r="K91" s="9" t="str">
        <x:v>总送礼次数为2</x:v>
      </x:c>
      <x:c r="L91" s="10" t="str">
        <x:v>FLOW-3751662B</x:v>
      </x:c>
      <x:c r="M91" s="10" t="str">
        <x:v>未测</x:v>
      </x:c>
      <x:c r="N91" s="10" t="str"/>
      <x:c r="O91" s="9" t="str">
        <x:v>1. 来源（当前证据）：liveshow-proto/MainBasis/统一需求文档.md；位置：guild-operation-gift-records.html
2. 规则：BR-B5610CF526B67A
3. 未动态验证</x:v>
      </x:c>
    </x:row>
    <x:row r="92" ht="85" customHeight="1">
      <x:c r="A92" s="10" t="n">
        <x:v>91</x:v>
      </x:c>
      <x:c r="B92" s="10" t="str">
        <x:v>GUILD-0091</x:v>
      </x:c>
      <x:c r="C92" s="10" t="str">
        <x:v>运营管理</x:v>
      </x:c>
      <x:c r="D92" s="10" t="str">
        <x:v>送礼记录（公会长）</x:v>
      </x:c>
      <x:c r="E92" s="10" t="str">
        <x:v>逻辑校验</x:v>
      </x:c>
      <x:c r="F92" s="10" t="str">
        <x:v>P1</x:v>
      </x:c>
      <x:c r="G92" s="9" t="str">
        <x:v>验证虚拟消费按价值汇总</x:v>
      </x:c>
      <x:c r="H92" s="9" t="str">
        <x:v>虚拟赠礼对账</x:v>
      </x:c>
      <x:c r="I92" s="9" t="str">
        <x:v>1. 公会长账号已登录，当前公会启用，具备本页管理权限
2. 成功普通礼物单价10数量2，定制礼物单价20数量3</x:v>
      </x:c>
      <x:c r="J92" s="9" t="str">
        <x:v>1. 进入运营账号送礼记录
2. 查看总消费金币</x:v>
      </x:c>
      <x:c r="K92" s="9" t="str">
        <x:v>总消费计算结果=10×2+20×3=80</x:v>
      </x:c>
      <x:c r="L92" s="10" t="str">
        <x:v>FLOW-3751662B</x:v>
      </x:c>
      <x:c r="M92" s="10" t="str">
        <x:v>未测</x:v>
      </x:c>
      <x:c r="N92" s="10" t="str"/>
      <x:c r="O92" s="9" t="str">
        <x:v>1. 来源（当前证据）：liveshow-proto/MainBasis/统一需求文档.md；位置：guild-operation-gift-records.html
2. 规则：BR-BCC2035801C30D
3. 未动态验证</x:v>
      </x:c>
    </x:row>
    <x:row r="93" ht="85" customHeight="1">
      <x:c r="A93" s="10" t="n">
        <x:v>92</x:v>
      </x:c>
      <x:c r="B93" s="10" t="str">
        <x:v>GUILD-0092</x:v>
      </x:c>
      <x:c r="C93" s="10" t="str">
        <x:v>运营管理</x:v>
      </x:c>
      <x:c r="D93" s="10" t="str">
        <x:v>选择主播（公会长）</x:v>
      </x:c>
      <x:c r="E93" s="10" t="str">
        <x:v>功能需求</x:v>
      </x:c>
      <x:c r="F93" s="10" t="str">
        <x:v>P1</x:v>
      </x:c>
      <x:c r="G93" s="9" t="str">
        <x:v>验证未选主播不能完成</x:v>
      </x:c>
      <x:c r="H93" s="9" t="str">
        <x:v>收件人必选</x:v>
      </x:c>
      <x:c r="I93" s="9" t="str">
        <x:v>1. 公会长账号已登录，当前公会启用，具备本页管理权限
2. 未选任何主播</x:v>
      </x:c>
      <x:c r="J93" s="9" t="str">
        <x:v>1. 从新建运营消息进入选择主播
2. 点击完成</x:v>
      </x:c>
      <x:c r="K93" s="9" t="str">
        <x:v>提示选择主播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来源（当前证据）：liveshow-proto/MainBasis/统一需求文档.md；位置：guild-host-select.html
2. 规则：BR-B56EC0F7811C58
3. 未动态验证</x:v>
      </x:c>
    </x:row>
    <x:row r="94" ht="85" customHeight="1">
      <x:c r="A94" s="10" t="n">
        <x:v>93</x:v>
      </x:c>
      <x:c r="B94" s="10" t="str">
        <x:v>GUILD-0093</x:v>
      </x:c>
      <x:c r="C94" s="10" t="str">
        <x:v>运营管理</x:v>
      </x:c>
      <x:c r="D94" s="10" t="str">
        <x:v>选择主播（公会长）</x:v>
      </x:c>
      <x:c r="E94" s="10" t="str">
        <x:v>功能需求</x:v>
      </x:c>
      <x:c r="F94" s="10" t="str">
        <x:v>P1</x:v>
      </x:c>
      <x:c r="G94" s="9" t="str">
        <x:v>验证仅能回填一名主播</x:v>
      </x:c>
      <x:c r="H94" s="9" t="str">
        <x:v>收件人单选</x:v>
      </x:c>
      <x:c r="I94" s="9" t="str">
        <x:v>1. 公会长账号已登录，当前公会启用，具备本页管理权限
2. 本公会有海风和月光</x:v>
      </x:c>
      <x:c r="J94" s="9" t="str">
        <x:v>1. 从新建运营消息进入选择主播
2. 选择海风
3. 选择月光
4. 点击完成</x:v>
      </x:c>
      <x:c r="K94" s="9" t="str">
        <x:v>仅回填最后选择的月光</x:v>
      </x:c>
      <x:c r="L94" s="10" t="str"/>
      <x:c r="M94" s="10" t="str">
        <x:v>未测</x:v>
      </x:c>
      <x:c r="N94" s="10" t="str"/>
      <x:c r="O94" s="9" t="str">
        <x:v>1. 来源（当前证据）：liveshow-proto/MainBasis/统一需求文档.md；位置：guild-host-select.html
2. 规则：BR-079DBA1B13B014
3. 未动态验证</x:v>
      </x:c>
    </x:row>
    <x:row r="95" ht="85" customHeight="1">
      <x:c r="A95" s="10" t="n">
        <x:v>94</x:v>
      </x:c>
      <x:c r="B95" s="10" t="str">
        <x:v>GUILD-0094</x:v>
      </x:c>
      <x:c r="C95" s="10" t="str">
        <x:v>运营管理</x:v>
      </x:c>
      <x:c r="D95" s="10" t="str">
        <x:v>选择运营账号（公会长）</x:v>
      </x:c>
      <x:c r="E95" s="10" t="str">
        <x:v>功能需求</x:v>
      </x:c>
      <x:c r="F95" s="10" t="str">
        <x:v>P1</x:v>
      </x:c>
      <x:c r="G95" s="9" t="str">
        <x:v>验证搜索后全选包含未命中账号</x:v>
      </x:c>
      <x:c r="H95" s="9" t="str">
        <x:v>运营账号全选范围</x:v>
      </x:c>
      <x:c r="I95" s="9" t="str">
        <x:v>1. 公会长账号已登录，当前公会启用，具备本页管理权限
2. 当前公会有账号海风和月光</x:v>
      </x:c>
      <x:c r="J95" s="9" t="str">
        <x:v>1. 从运营送礼记录进入账号选择
2. 输入海风并点击搜索
3. 点击全选运营账号
4. 点击完成</x:v>
      </x:c>
      <x:c r="K95" s="9" t="str">
        <x:v>筛选账号包含海风和月光</x:v>
      </x:c>
      <x:c r="L95" s="10" t="str">
        <x:v>FLOW-3751662B</x:v>
      </x:c>
      <x:c r="M95" s="10" t="str">
        <x:v>未测</x:v>
      </x:c>
      <x:c r="N95" s="10" t="str"/>
      <x:c r="O95" s="9" t="str">
        <x:v>1. 来源（当前证据）：liveshow-proto/MainBasis/统一需求文档.md；位置：guild-operation-account-select.html
2. 规则：BR-51E812BD3049D5
3. 未动态验证</x:v>
      </x:c>
    </x:row>
    <x:row r="96" ht="85" customHeight="1">
      <x:c r="A96" s="10" t="n">
        <x:v>95</x:v>
      </x:c>
      <x:c r="B96" s="10" t="str">
        <x:v>GUILD-0095</x:v>
      </x:c>
      <x:c r="C96" s="10" t="str">
        <x:v>运营管理</x:v>
      </x:c>
      <x:c r="D96" s="10" t="str">
        <x:v>选择运营账号（公会长）</x:v>
      </x:c>
      <x:c r="E96" s="10" t="str">
        <x:v>功能需求</x:v>
      </x:c>
      <x:c r="F96" s="10" t="str">
        <x:v>P1</x:v>
      </x:c>
      <x:c r="G96" s="9" t="str">
        <x:v>验证选择账号保留原日期</x:v>
      </x:c>
      <x:c r="H96" s="9" t="str">
        <x:v>筛选条件传递</x:v>
      </x:c>
      <x:c r="I96" s="9" t="str">
        <x:v>1. 公会长账号已登录，当前公会启用，具备本页管理权限
2. 送礼记录原日期为9月10日</x:v>
      </x:c>
      <x:c r="J96" s="9" t="str">
        <x:v>1. 从运营送礼记录进入账号选择
2. 选择海风
3. 点击完成</x:v>
      </x:c>
      <x:c r="K96" s="9" t="str">
        <x:v>送礼记录日期仍为9月10日</x:v>
      </x:c>
      <x:c r="L96" s="10" t="str">
        <x:v>FLOW-3751662B</x:v>
      </x:c>
      <x:c r="M96" s="10" t="str">
        <x:v>未测</x:v>
      </x:c>
      <x:c r="N96" s="10" t="str"/>
      <x:c r="O96" s="9" t="str">
        <x:v>1. 来源（当前证据）：liveshow-proto/MainBasis/统一需求文档.md；位置：guild-operation-account-select.html
2. 规则：BR-23DB9C8358C00C
3. 未动态验证</x:v>
      </x:c>
    </x:row>
    <x:row r="97" ht="85" customHeight="1">
      <x:c r="A97" s="10" t="n">
        <x:v>96</x:v>
      </x:c>
      <x:c r="B97" s="10" t="str">
        <x:v>GUILD-0096</x:v>
      </x:c>
      <x:c r="C97" s="10" t="str">
        <x:v>运营管理</x:v>
      </x:c>
      <x:c r="D97" s="10" t="str">
        <x:v>运营消息（公会长）</x:v>
      </x:c>
      <x:c r="E97" s="10" t="str">
        <x:v>功能需求</x:v>
      </x:c>
      <x:c r="F97" s="10" t="str">
        <x:v>P1</x:v>
      </x:c>
      <x:c r="G97" s="9" t="str">
        <x:v>验证消息记录导航到指定页面</x:v>
      </x:c>
      <x:c r="H97" s="9" t="str">
        <x:v>页面导航</x:v>
      </x:c>
      <x:c r="I97" s="9" t="str">
        <x:v>1. 公会长已登录且拥有运营消息访问权限
2. 本页存在可点击的目标记录；目标仍有效且属于当前账号可见范围</x:v>
      </x:c>
      <x:c r="J97" s="9" t="str">
        <x:v>1. 进入运营消息
2. 点击消息记录</x:v>
      </x:c>
      <x:c r="K97" s="9" t="str">
        <x:v>进入消息详情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来源（当前证据）：liveshow-proto/MainBasis/统一需求文档.md；位置：guild-messages.html
2. 规则：BR-D939A6DC51A76E
3. 未动态验证</x:v>
      </x:c>
    </x:row>
    <x:row r="98" ht="85" customHeight="1">
      <x:c r="A98" s="10" t="n">
        <x:v>97</x:v>
      </x:c>
      <x:c r="B98" s="10" t="str">
        <x:v>GUILD-0097</x:v>
      </x:c>
      <x:c r="C98" s="10" t="str">
        <x:v>运营管理</x:v>
      </x:c>
      <x:c r="D98" s="10" t="str">
        <x:v>运营账号（公会长）</x:v>
      </x:c>
      <x:c r="E98" s="10" t="str">
        <x:v>功能需求</x:v>
      </x:c>
      <x:c r="F98" s="10" t="str">
        <x:v>P1</x:v>
      </x:c>
      <x:c r="G98" s="9" t="str">
        <x:v>验证账号导航到指定页面</x:v>
      </x:c>
      <x:c r="H98" s="9" t="str">
        <x:v>页面导航</x:v>
      </x:c>
      <x:c r="I98" s="9" t="str">
        <x:v>1. 公会长已登录且拥有运营账号访问权限</x:v>
      </x:c>
      <x:c r="J98" s="9" t="str">
        <x:v>1. 进入运营账号
2. 点击账号</x:v>
      </x:c>
      <x:c r="K98" s="9" t="str">
        <x:v>进入账号主页</x:v>
      </x:c>
      <x:c r="L98" s="10" t="str">
        <x:v>FLOW-3751662B</x:v>
      </x:c>
      <x:c r="M98" s="10" t="str">
        <x:v>未测</x:v>
      </x:c>
      <x:c r="N98" s="10" t="str"/>
      <x:c r="O98" s="9" t="str">
        <x:v>1. 来源（当前证据）：liveshow-proto/MainBasis/统一需求文档.md；位置：guild-operation-accounts.html
2. 规则：BR-399F454366F142
3. 未动态验证</x:v>
      </x:c>
    </x:row>
    <x:row r="99" ht="85" customHeight="1">
      <x:c r="A99" s="10" t="n">
        <x:v>98</x:v>
      </x:c>
      <x:c r="B99" s="10" t="str">
        <x:v>GUILD-0098</x:v>
      </x:c>
      <x:c r="C99" s="10" t="str">
        <x:v>运营管理</x:v>
      </x:c>
      <x:c r="D99" s="10" t="str">
        <x:v>送礼记录（公会长）</x:v>
      </x:c>
      <x:c r="E99" s="10" t="str">
        <x:v>功能需求</x:v>
      </x:c>
      <x:c r="F99" s="10" t="str">
        <x:v>P1</x:v>
      </x:c>
      <x:c r="G99" s="9" t="str">
        <x:v>验证记录导航到指定页面</x:v>
      </x:c>
      <x:c r="H99" s="9" t="str">
        <x:v>页面导航</x:v>
      </x:c>
      <x:c r="I99" s="9" t="str">
        <x:v>1. 公会长已登录且拥有送礼记录访问权限
2. 本页存在可点击的目标记录；目标仍有效且属于当前账号可见范围</x:v>
      </x:c>
      <x:c r="J99" s="9" t="str">
        <x:v>1. 进入送礼记录
2. 点击记录</x:v>
      </x:c>
      <x:c r="K99" s="9" t="str">
        <x:v>打开送礼详情</x:v>
      </x:c>
      <x:c r="L99" s="10" t="str">
        <x:v>FLOW-3751662B</x:v>
      </x:c>
      <x:c r="M99" s="10" t="str">
        <x:v>未测</x:v>
      </x:c>
      <x:c r="N99" s="10" t="str"/>
      <x:c r="O99" s="9" t="str">
        <x:v>1. 来源（当前证据）：liveshow-proto/MainBasis/统一需求文档.md；位置：guild-operation-gift-records.html
2. 规则：BR-C6E4738BFED6B5
3. 未动态验证</x:v>
      </x:c>
    </x:row>
    <x:row r="100" ht="85" customHeight="1">
      <x:c r="A100" s="10" t="n">
        <x:v>99</x:v>
      </x:c>
      <x:c r="B100" s="10" t="str">
        <x:v>GUILD-0099</x:v>
      </x:c>
      <x:c r="C100" s="10" t="str">
        <x:v>主播管理</x:v>
      </x:c>
      <x:c r="D100" s="10" t="str">
        <x:v>主播列表（公会长）</x:v>
      </x:c>
      <x:c r="E100" s="10" t="str">
        <x:v>功能需求</x:v>
      </x:c>
      <x:c r="F100" s="10" t="str">
        <x:v>P1</x:v>
      </x:c>
      <x:c r="G100" s="9" t="str">
        <x:v>验证公会仅查看本会主播</x:v>
      </x:c>
      <x:c r="H100" s="9" t="str">
        <x:v>组织数据隔离</x:v>
      </x:c>
      <x:c r="I100" s="9" t="str">
        <x:v>1. 公会长账号已登录，当前公会启用，具备本页管理权限
2. 本会主播海风，另一公会主播晨光，账号无跨公会权限</x:v>
      </x:c>
      <x:c r="J100" s="9" t="str">
        <x:v>1. 进入主播列表
2. 查询全部主播</x:v>
      </x:c>
      <x:c r="K100" s="9" t="str">
        <x:v>结果不包含另一公会主播晨光</x:v>
      </x:c>
      <x:c r="L100" s="10" t="str"/>
      <x:c r="M100" s="10" t="str">
        <x:v>未测</x:v>
      </x:c>
      <x:c r="N100" s="10" t="str"/>
      <x:c r="O100" s="9" t="str">
        <x:v>1. 来源（当前证据）：liveshow-proto/MainBasis/统一需求文档.md；位置：guild-member-list.html
2. 规则：BR-9D3700AD402098
3. 未动态验证</x:v>
      </x:c>
    </x:row>
    <x:row r="101" ht="85" customHeight="1">
      <x:c r="A101" s="10" t="n">
        <x:v>100</x:v>
      </x:c>
      <x:c r="B101" s="10" t="str">
        <x:v>GUILD-0100</x:v>
      </x:c>
      <x:c r="C101" s="10" t="str">
        <x:v>主播管理</x:v>
      </x:c>
      <x:c r="D101" s="10" t="str">
        <x:v>主播列表（公会长）</x:v>
      </x:c>
      <x:c r="E101" s="10" t="str">
        <x:v>功能需求</x:v>
      </x:c>
      <x:c r="F101" s="10" t="str">
        <x:v>P1</x:v>
      </x:c>
      <x:c r="G101" s="9" t="str">
        <x:v>验证退会主播保留历史标记</x:v>
      </x:c>
      <x:c r="H101" s="9" t="str">
        <x:v>离会历史保留</x:v>
      </x:c>
      <x:c r="I101" s="9" t="str">
        <x:v>1. 公会长账号已登录，当前公会启用，具备本页管理权限
2. 海风曾在本会直播且已退会</x:v>
      </x:c>
      <x:c r="J101" s="9" t="str">
        <x:v>1. 进入主播列表
2. 选择已退会筛选项</x:v>
      </x:c>
      <x:c r="K101" s="9" t="str">
        <x:v>海风显示【退会】</x:v>
      </x:c>
      <x:c r="L101" s="10" t="str"/>
      <x:c r="M101" s="10" t="str">
        <x:v>未测</x:v>
      </x:c>
      <x:c r="N101" s="10" t="str"/>
      <x:c r="O101" s="9" t="str">
        <x:v>1. 来源（当前证据）：liveshow-proto/MainBasis/统一需求文档.md；位置：guild-member-list.html
2. 规则：BR-85CA25620C949E
3. 未动态验证</x:v>
      </x:c>
    </x:row>
    <x:row r="102" ht="85" customHeight="1">
      <x:c r="A102" s="10" t="n">
        <x:v>101</x:v>
      </x:c>
      <x:c r="B102" s="10" t="str">
        <x:v>GUILD-0101</x:v>
      </x:c>
      <x:c r="C102" s="10" t="str">
        <x:v>主播管理</x:v>
      </x:c>
      <x:c r="D102" s="10" t="str">
        <x:v>主播主页（公会长）</x:v>
      </x:c>
      <x:c r="E102" s="10" t="str">
        <x:v>功能需求</x:v>
      </x:c>
      <x:c r="F102" s="10" t="str">
        <x:v>P1</x:v>
      </x:c>
      <x:c r="G102" s="9" t="str">
        <x:v>验证公会关闭主播直播权限</x:v>
      </x:c>
      <x:c r="H102" s="9" t="str">
        <x:v>公会关播控制</x:v>
      </x:c>
      <x:c r="I102" s="9" t="str">
        <x:v>1. 公会长账号已登录，当前公会启用，具备本页管理权限
2. 平台允许公会管理，海风正在直播</x:v>
      </x:c>
      <x:c r="J102" s="9" t="str">
        <x:v>1. 进入本会主播海风详情
2. 关闭直播权限并确认</x:v>
      </x:c>
      <x:c r="K102" s="9" t="str">
        <x:v>海风当前直播场次结束</x:v>
      </x:c>
      <x:c r="L102" s="10" t="str">
        <x:v>FLOW-29684C4A</x:v>
      </x:c>
      <x:c r="M102" s="10" t="str">
        <x:v>未测</x:v>
      </x:c>
      <x:c r="N102" s="10" t="str"/>
      <x:c r="O102" s="9" t="str">
        <x:v>1. 来源（当前证据）：liveshow-proto/MainBasis/统一需求文档.md；位置：guild-host-detail.html
2. 规则：BR-37AE46DE33F783
3. 未动态验证</x:v>
      </x:c>
    </x:row>
    <x:row r="103" ht="85" customHeight="1">
      <x:c r="A103" s="10" t="n">
        <x:v>102</x:v>
      </x:c>
      <x:c r="B103" s="10" t="str">
        <x:v>GUILD-0102</x:v>
      </x:c>
      <x:c r="C103" s="10" t="str">
        <x:v>主播管理</x:v>
      </x:c>
      <x:c r="D103" s="10" t="str">
        <x:v>主播主页（公会长）</x:v>
      </x:c>
      <x:c r="E103" s="10" t="str">
        <x:v>功能需求</x:v>
      </x:c>
      <x:c r="F103" s="10" t="str">
        <x:v>P1</x:v>
      </x:c>
      <x:c r="G103" s="9" t="str">
        <x:v>验证平台锁定后公会设置只读</x:v>
      </x:c>
      <x:c r="H103" s="9" t="str">
        <x:v>平台锁定优先</x:v>
      </x:c>
      <x:c r="I103" s="9" t="str">
        <x:v>1. 公会长账号已登录，当前公会启用，具备本页管理权限
2. 平台已锁定海风的公会管理权限</x:v>
      </x:c>
      <x:c r="J103" s="9" t="str">
        <x:v>1. 进入本会主播海风详情
2. 查看直播权限开关</x:v>
      </x:c>
      <x:c r="K103" s="9" t="str">
        <x:v>公会端不能修改直播权限</x:v>
      </x:c>
      <x:c r="L103" s="10" t="str"/>
      <x:c r="M103" s="10" t="str">
        <x:v>未测</x:v>
      </x:c>
      <x:c r="N103" s="10" t="str"/>
      <x:c r="O103" s="9" t="str">
        <x:v>1. 来源（当前证据）：liveshow-proto/MainBasis/统一需求文档.md；位置：guild-host-detail.html
2. 规则：BR-F8AE07CC89E66B
3. 未动态验证</x:v>
      </x:c>
    </x:row>
    <x:row r="104" ht="85" customHeight="1">
      <x:c r="A104" s="10" t="n">
        <x:v>103</x:v>
      </x:c>
      <x:c r="B104" s="10" t="str">
        <x:v>GUILD-0103</x:v>
      </x:c>
      <x:c r="C104" s="10" t="str">
        <x:v>主播管理</x:v>
      </x:c>
      <x:c r="D104" s="10" t="str">
        <x:v>主播列表（公会长）</x:v>
      </x:c>
      <x:c r="E104" s="10" t="str">
        <x:v>功能需求</x:v>
      </x:c>
      <x:c r="F104" s="10" t="str">
        <x:v>P1</x:v>
      </x:c>
      <x:c r="G104" s="9" t="str">
        <x:v>验证主播导航到指定页面</x:v>
      </x:c>
      <x:c r="H104" s="9" t="str">
        <x:v>页面导航</x:v>
      </x:c>
      <x:c r="I104" s="9" t="str">
        <x:v>1. 公会长已登录且拥有主播列表访问权限
2. 本页存在可点击的目标记录；目标仍有效且属于当前账号可见范围</x:v>
      </x:c>
      <x:c r="J104" s="9" t="str">
        <x:v>1. 进入主播列表
2. 点击主播</x:v>
      </x:c>
      <x:c r="K104" s="9" t="str">
        <x:v>进入主播详情</x:v>
      </x:c>
      <x:c r="L104" s="10" t="str"/>
      <x:c r="M104" s="10" t="str">
        <x:v>未测</x:v>
      </x:c>
      <x:c r="N104" s="10" t="str"/>
      <x:c r="O104" s="9" t="str">
        <x:v>1. 来源（当前证据）：liveshow-proto/MainBasis/统一需求文档.md；位置：guild-member-list.html
2. 规则：BR-8C1238810FFBBF
3. 未动态验证</x:v>
      </x:c>
    </x:row>
    <x:row r="105" ht="85" customHeight="1">
      <x:c r="A105" s="10" t="n">
        <x:v>104</x:v>
      </x:c>
      <x:c r="B105" s="10" t="str">
        <x:v>GUILD-0104</x:v>
      </x:c>
      <x:c r="C105" s="10" t="str">
        <x:v>主播管理</x:v>
      </x:c>
      <x:c r="D105" s="10" t="str">
        <x:v>主播业绩（公会长）</x:v>
      </x:c>
      <x:c r="E105" s="10" t="str">
        <x:v>功能需求</x:v>
      </x:c>
      <x:c r="F105" s="10" t="str">
        <x:v>P1</x:v>
      </x:c>
      <x:c r="G105" s="9" t="str">
        <x:v>验证主播行导航到指定页面</x:v>
      </x:c>
      <x:c r="H105" s="9" t="str">
        <x:v>页面导航</x:v>
      </x:c>
      <x:c r="I105" s="9" t="str">
        <x:v>1. 公会长已登录且拥有主播业绩访问权限
2. 本页存在可点击的目标记录；目标仍有效且属于当前账号可见范围</x:v>
      </x:c>
      <x:c r="J105" s="9" t="str">
        <x:v>1. 进入主播业绩
2. 点击主播行</x:v>
      </x:c>
      <x:c r="K105" s="9" t="str">
        <x:v>进入「主播数据」</x:v>
      </x:c>
      <x:c r="L105" s="10" t="str"/>
      <x:c r="M105" s="10" t="str">
        <x:v>未测</x:v>
      </x:c>
      <x:c r="N105" s="10" t="str"/>
      <x:c r="O105" s="9" t="str">
        <x:v>1. 来源（当前证据）：liveshow-proto/MainBasis/统一需求文档.md；位置：guild-host-list.html
2. 规则：BR-0A55B326D9AC98
3. 未动态验证</x:v>
      </x:c>
    </x:row>
    <x:row r="106" ht="85" customHeight="1">
      <x:c r="A106" s="10" t="n">
        <x:v>105</x:v>
      </x:c>
      <x:c r="B106" s="10" t="str">
        <x:v>GUILD-0105</x:v>
      </x:c>
      <x:c r="C106" s="10" t="str">
        <x:v>主播管理</x:v>
      </x:c>
      <x:c r="D106" s="10" t="str">
        <x:v>主播主页（公会长）</x:v>
      </x:c>
      <x:c r="E106" s="10" t="str">
        <x:v>功能需求</x:v>
      </x:c>
      <x:c r="F106" s="10" t="str">
        <x:v>P1</x:v>
      </x:c>
      <x:c r="G106" s="9" t="str">
        <x:v>验证业绩导航到指定页面</x:v>
      </x:c>
      <x:c r="H106" s="9" t="str">
        <x:v>页面导航</x:v>
      </x:c>
      <x:c r="I106" s="9" t="str">
        <x:v>1. 公会长已登录且拥有主播主页访问权限</x:v>
      </x:c>
      <x:c r="J106" s="9" t="str">
        <x:v>1. 进入主播主页
2. 点击业绩</x:v>
      </x:c>
      <x:c r="K106" s="9" t="str">
        <x:v>进入「主播数据」</x:v>
      </x:c>
      <x:c r="L106" s="10" t="str"/>
      <x:c r="M106" s="10" t="str">
        <x:v>未测</x:v>
      </x:c>
      <x:c r="N106" s="10" t="str"/>
      <x:c r="O106" s="9" t="str">
        <x:v>1. 来源（当前证据）：liveshow-proto/MainBasis/统一需求文档.md；位置：guild-host-detail.html
2. 规则：BR-DEA2A3A95373FB
3. 未动态验证</x:v>
      </x:c>
    </x:row>
  </x:sheetData>
  <x:dataValidations count="3">
    <x:dataValidation type="list" sqref="E2:E106">
      <x:formula1>"功能需求,业务流程,逻辑校验,异常用例"</x:formula1>
    </x:dataValidation>
    <x:dataValidation type="list" sqref="F2:F106">
      <x:formula1>"P0,P1,P2,P3"</x:formula1>
    </x:dataValidation>
    <x:dataValidation type="list" sqref="M2:M106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d19cbcfb654f3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20" hidden="0" customWidth="1"/>
    <x:col min="5" max="5" width="11" hidden="0" customWidth="1"/>
    <x:col min="6" max="6" width="12" hidden="0" customWidth="1"/>
    <x:col min="7" max="7" width="28" hidden="0" customWidth="1"/>
    <x:col min="8" max="8" width="18" hidden="0" customWidth="1"/>
    <x:col min="9" max="9" width="34" hidden="0" customWidth="1"/>
    <x:col min="10" max="10" width="45" hidden="0" customWidth="1"/>
    <x:col min="11" max="11" width="36" hidden="0" customWidth="1"/>
    <x:col min="12" max="12" width="12" hidden="0" customWidth="1"/>
    <x:col min="13" max="13" width="24" hidden="0" customWidth="1"/>
    <x:col min="14" max="14" width="34" hidden="0" customWidth="1"/>
    <x:col min="15" max="15" width="30" hidden="0" customWidth="1"/>
    <x:col min="16" max="16" width="20" hidden="0" customWidth="1"/>
    <x:col min="17" max="17" width="30" hidden="0" customWidth="1"/>
    <x:col min="18" max="18" width="12" hidden="0" customWidth="1"/>
    <x:col min="19" max="19" width="21" hidden="0" customWidth="1"/>
    <x:col min="20" max="20" width="12" hidden="0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85" customHeight="1">
      <x:c r="A2" s="10" t="str">
        <x:v>Q-003</x:v>
      </x:c>
      <x:c r="B2" s="10" t="str">
        <x:v>RQ-003</x:v>
      </x:c>
      <x:c r="C2" s="10" t="str"/>
      <x:c r="D2" s="10" t="str"/>
      <x:c r="E2" s="10" t="str">
        <x:v>部分阻塞</x:v>
      </x:c>
      <x:c r="F2" s="10" t="str">
        <x:v>运营配置</x:v>
      </x:c>
      <x:c r="G2" s="9" t="str">
        <x:v>消费或收礼后计算账号等级</x:v>
      </x:c>
      <x:c r="H2" s="9" t="str">
        <x:v>计算与统计口径</x:v>
      </x:c>
      <x:c r="I2" s="9" t="str">
        <x:v>财富等级的累计值按哪种口径？</x:v>
      </x:c>
      <x:c r="J2" s="9" t="str">
        <x:v>A. 仅累计真实金币成功送礼价值，不扣幸运返奖，不因充值退款回退
B. 仅累计真实金币送礼净消耗，扣幸运返奖，不因充值退款回退</x:v>
      </x:c>
      <x:c r="K2" s="9" t="str">
        <x:v>仅隔离“消费或收礼后计算账号等级”中由本问题决定的预期；确认后分别检查所选方案的正向和拒绝分支</x:v>
      </x:c>
      <x:c r="L2" s="12" t="str"/>
      <x:c r="M2" s="12" t="str"/>
      <x:c r="N2" s="10" t="str">
        <x:v>1. liveshow-proto/MainBasis/需求待确认清单.md / Q-003
2. 财富等级相关页面写有效消费、累计充值/消费、送礼贡献，等级配置明确计入范围待确认。</x:v>
      </x:c>
      <x:c r="O2" s="9" t="str">
        <x:v>1. 用户App、公会App、管理后台
2. 消费或收礼后计算账号等级</x:v>
      </x:c>
      <x:c r="P2" s="9" t="str"/>
      <x:c r="Q2" s="9" t="str">
        <x:v>1. 验证消费或收礼后计算账号等级按产品所选方案执行
2. 验证不满足所选方案条件时的拒绝或保留状态</x:v>
      </x:c>
      <x:c r="R2" s="9" t="str">
        <x:v>产品</x:v>
      </x:c>
      <x:c r="S2" s="9" t="str">
        <x:v>该规则进入功能测试前</x:v>
      </x:c>
      <x:c r="T2" s="9" t="str">
        <x:v>待确认</x:v>
      </x:c>
    </x:row>
    <x:row r="3" ht="85" customHeight="1">
      <x:c r="A3" s="10" t="str">
        <x:v>Q-008</x:v>
      </x:c>
      <x:c r="B3" s="10" t="str">
        <x:v>RQ-008</x:v>
      </x:c>
      <x:c r="C3" s="10" t="str"/>
      <x:c r="D3" s="10" t="str"/>
      <x:c r="E3" s="10" t="str">
        <x:v>部分阻塞</x:v>
      </x:c>
      <x:c r="F3" s="10" t="str">
        <x:v>数据与收益</x:v>
      </x:c>
      <x:c r="G3" s="9" t="str">
        <x:v>任务重置、月度额度和自然日报表跨日</x:v>
      </x:c>
      <x:c r="H3" s="9" t="str">
        <x:v>计算与统计口径</x:v>
      </x:c>
      <x:c r="I3" s="9" t="str">
        <x:v>统一业务日界线使用哪个时区？</x:v>
      </x:c>
      <x:c r="J3" s="9" t="str">
        <x:v>A. 统一 Asia/Jakarta（UTC+7）
B. 统一 Asia/Shanghai（UTC+8）</x:v>
      </x:c>
      <x:c r="K3" s="9" t="str">
        <x:v>仅隔离“任务重置、月度额度和自然日报表跨日”中由本问题决定的预期；确认后分别检查所选方案的正向和拒绝分支</x:v>
      </x:c>
      <x:c r="L3" s="12" t="str"/>
      <x:c r="M3" s="12" t="str"/>
      <x:c r="N3" s="10" t="str">
        <x:v>1. liveshow-proto/MainBasis/需求待确认清单.md / Q-008
2. 多处使用平台统一时区或自然日，未指定时区；榜单周一零点已明确。</x:v>
      </x:c>
      <x:c r="O3" s="9" t="str">
        <x:v>1. 用户App、公会App、管理后台
2. 任务重置、月度额度和自然日报表跨日</x:v>
      </x:c>
      <x:c r="P3" s="9" t="str"/>
      <x:c r="Q3" s="9" t="str">
        <x:v>1. 验证任务重置、月度额度和自然日报表跨日按产品所选方案执行
2. 验证不满足所选方案条件时的拒绝或保留状态</x:v>
      </x:c>
      <x:c r="R3" s="9" t="str">
        <x:v>多方确认</x:v>
      </x:c>
      <x:c r="S3" s="9" t="str">
        <x:v>该规则进入功能测试前</x:v>
      </x:c>
      <x:c r="T3" s="9" t="str">
        <x:v>待确认</x:v>
      </x:c>
    </x:row>
    <x:row r="4" ht="85" customHeight="1">
      <x:c r="A4" s="10" t="str">
        <x:v>Q-035</x:v>
      </x:c>
      <x:c r="B4" s="10" t="str">
        <x:v>RQ-035</x:v>
      </x:c>
      <x:c r="C4" s="10" t="str"/>
      <x:c r="D4" s="10" t="str"/>
      <x:c r="E4" s="10" t="str">
        <x:v>部分阻塞</x:v>
      </x:c>
      <x:c r="F4" s="10" t="str">
        <x:v>运营配置</x:v>
      </x:c>
      <x:c r="G4" s="9" t="str">
        <x:v>单次累计增长跨过两个等级门槛</x:v>
      </x:c>
      <x:c r="H4" s="9" t="str">
        <x:v>计算与统计口径</x:v>
      </x:c>
      <x:c r="I4" s="9" t="str">
        <x:v>单次累计增长跨档时如何升级？</x:v>
      </x:c>
      <x:c r="J4" s="9" t="str">
        <x:v>A. 本次直接升至已达到门槛中的最高等级
B. 每次有效增长事件最多升一级，尚未完成的跨级等下次有效事件继续判定</x:v>
      </x:c>
      <x:c r="K4" s="9" t="str">
        <x:v>仅隔离“单次累计增长跨过两个等级门槛”中由本问题决定的预期；确认后分别检查所选方案的正向和拒绝分支</x:v>
      </x:c>
      <x:c r="L4" s="12" t="str"/>
      <x:c r="M4" s="12" t="str"/>
      <x:c r="N4" s="10" t="str">
        <x:v>1. liveshow-proto/MainBasis/需求待确认清单.md / Q-035
2. 等级配置明确“等级判定待确认”，不能由财富累计口径一个问题代替。</x:v>
      </x:c>
      <x:c r="O4" s="9" t="str">
        <x:v>1. 用户App、公会App、管理后台
2. 单次累计增长跨过两个等级门槛</x:v>
      </x:c>
      <x:c r="P4" s="9" t="str"/>
      <x:c r="Q4" s="9" t="str">
        <x:v>1. 验证单次累计增长跨过两个等级门槛按产品所选方案执行
2. 验证不满足所选方案条件时的拒绝或保留状态</x:v>
      </x:c>
      <x:c r="R4" s="9" t="str">
        <x:v>产品</x:v>
      </x:c>
      <x:c r="S4" s="9" t="str">
        <x:v>该规则进入功能测试前</x:v>
      </x:c>
      <x:c r="T4" s="9" t="str">
        <x:v>待确认</x:v>
      </x:c>
    </x:row>
    <x:row r="5" ht="70" customHeight="1">
      <x:c r="A5" s="10" t="str">
        <x:v>Q-036</x:v>
      </x:c>
      <x:c r="B5" s="10" t="str">
        <x:v>RQ-036</x:v>
      </x:c>
      <x:c r="C5" s="10" t="str"/>
      <x:c r="D5" s="10" t="str"/>
      <x:c r="E5" s="10" t="str">
        <x:v>部分阻塞</x:v>
      </x:c>
      <x:c r="F5" s="10" t="str">
        <x:v>运营配置</x:v>
      </x:c>
      <x:c r="G5" s="9" t="str">
        <x:v>保存等级门槛后已有用户等级变化</x:v>
      </x:c>
      <x:c r="H5" s="9" t="str">
        <x:v>配置和历史数据影响</x:v>
      </x:c>
      <x:c r="I5" s="9" t="str">
        <x:v>修改门槛后是否重算已有等级？</x:v>
      </x:c>
      <x:c r="J5" s="9" t="str">
        <x:v>A. 保存生效后按当前累计值重算全部已有等级，允许升降级
B. 不立即重算；下一次符合计入范围的事件发生后按新门槛重算该账号等级，允许升降级</x:v>
      </x:c>
      <x:c r="K5" s="9" t="str">
        <x:v>仅隔离“保存等级门槛后已有用户等级变化”中由本问题决定的预期；确认后分别检查所选方案的正向和拒绝分支</x:v>
      </x:c>
      <x:c r="L5" s="12" t="str"/>
      <x:c r="M5" s="12" t="str"/>
      <x:c r="N5" s="10" t="str">
        <x:v>1. liveshow-proto/MainBasis/需求待确认清单.md / Q-036
2. 等级配置明确“配置修改对已有等级的影响待确认”。</x:v>
      </x:c>
      <x:c r="O5" s="9" t="str">
        <x:v>1. 用户App、公会App、管理后台
2. 保存等级门槛后已有用户等级变化</x:v>
      </x:c>
      <x:c r="P5" s="9" t="str"/>
      <x:c r="Q5" s="9" t="str">
        <x:v>1. 验证保存等级门槛后已有用户等级变化按产品所选方案执行
2. 验证不满足所选方案条件时的拒绝或保留状态</x:v>
      </x:c>
      <x:c r="R5" s="9" t="str">
        <x:v>产品</x:v>
      </x:c>
      <x:c r="S5" s="9" t="str">
        <x:v>该规则进入功能测试前</x:v>
      </x:c>
      <x:c r="T5" s="9" t="str">
        <x:v>待确认</x:v>
      </x:c>
    </x:row>
    <x:row r="6" ht="85" customHeight="1">
      <x:c r="A6" s="10" t="str">
        <x:v>Q-037</x:v>
      </x:c>
      <x:c r="B6" s="10" t="str">
        <x:v>RQ-037</x:v>
      </x:c>
      <x:c r="C6" s="10" t="str"/>
      <x:c r="D6" s="10" t="str"/>
      <x:c r="E6" s="10" t="str">
        <x:v>部分阻塞</x:v>
      </x:c>
      <x:c r="F6" s="10" t="str">
        <x:v>运营配置</x:v>
      </x:c>
      <x:c r="G6" s="9" t="str">
        <x:v>主播收礼后的等级累计</x:v>
      </x:c>
      <x:c r="H6" s="9" t="str">
        <x:v>计算与统计口径</x:v>
      </x:c>
      <x:c r="I6" s="9" t="str">
        <x:v>主播等级累计采用哪种指标？</x:v>
      </x:c>
      <x:c r="J6" s="9" t="str">
        <x:v>A. 按真实金币主播收益累计，幸运礼物按赠送时比例，不含虚拟金币
B. 按真实金币成功收礼原价累计，幸运礼物不扣返奖，不含虚拟金币</x:v>
      </x:c>
      <x:c r="K6" s="9" t="str">
        <x:v>仅隔离“主播收礼后的等级累计”中由本问题决定的预期；确认后分别检查所选方案的正向和拒绝分支</x:v>
      </x:c>
      <x:c r="L6" s="12" t="str"/>
      <x:c r="M6" s="12" t="str"/>
      <x:c r="N6" s="10" t="str">
        <x:v>1. liveshow-proto/MainBasis/需求待确认清单.md / Q-037
2. 主播等级字段写收益数值，但现有说明同时出现累计收到贡献，具体计入范围明确待确认。</x:v>
      </x:c>
      <x:c r="O6" s="9" t="str">
        <x:v>1. 用户App、公会App、管理后台
2. 主播收礼后的等级累计</x:v>
      </x:c>
      <x:c r="P6" s="9" t="str"/>
      <x:c r="Q6" s="9" t="str">
        <x:v>1. 验证主播收礼后的等级累计按产品所选方案执行
2. 验证不满足所选方案条件时的拒绝或保留状态</x:v>
      </x:c>
      <x:c r="R6" s="9" t="str">
        <x:v>产品</x:v>
      </x:c>
      <x:c r="S6" s="9" t="str">
        <x:v>该规则进入功能测试前</x:v>
      </x:c>
      <x:c r="T6" s="9" t="str">
        <x:v>待确认</x:v>
      </x:c>
    </x:row>
  </x:sheetData>
  <x:dataValidations count="5">
    <x:dataValidation type="list" sqref="E2:E6">
      <x:formula1>"阻塞测试,部分阻塞,不阻塞"</x:formula1>
    </x:dataValidation>
    <x:dataValidation type="list" sqref="H2:H6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6">
      <x:formula1>"A,B,C,D,其他"</x:formula1>
    </x:dataValidation>
    <x:dataValidation type="list" sqref="R2:R6">
      <x:formula1>"产品,交互,技术,多方确认"</x:formula1>
    </x:dataValidation>
    <x:dataValidation type="list" sqref="T2:T6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edd35cab854299"/>
  </x:tableParts>
</x:worksheet>
</file>