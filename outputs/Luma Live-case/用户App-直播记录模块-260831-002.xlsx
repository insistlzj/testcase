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56eeb83c8c454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功能测试用例" sheetId="1" r:id="R75c7193e830c46ed"/>
    <x:sheet xmlns:r="http://schemas.openxmlformats.org/officeDocument/2006/relationships" name="需求待确认" sheetId="2" r:id="R7a35e712acbc401e"/>
    <x:sheet xmlns:r="http://schemas.openxmlformats.org/officeDocument/2006/relationships" name="产品决策概览" sheetId="3" r:id="R905c57af03724f1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3">
    <x:font>
      <x:sz val="11"/>
      <x:name val="Carlito"/>
    </x:font>
    <x:font>
      <x:sz val="10"/>
      <x:color rgb="FF1F2937"/>
      <x:name val="Microsoft YaHei"/>
    </x:font>
    <x:font>
      <x:b/>
      <x:sz val="11"/>
      <x:color rgb="FFFFFFFF"/>
      <x:name val="Microsoft YaHei"/>
    </x:font>
    <x:font>
      <x:b/>
      <x:sz val="10"/>
      <x:color rgb="FF172033"/>
      <x:name val="Microsoft YaHei"/>
    </x:font>
    <x:font>
      <x:b/>
      <x:sz val="10"/>
      <x:color rgb="FF6B4F00"/>
      <x:name val="Microsoft YaHei"/>
    </x:font>
    <x:font>
      <x:b/>
      <x:sz val="10"/>
      <x:color rgb="FF24557A"/>
      <x:name val="Microsoft YaHei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b/>
      <x:sz val="10"/>
      <x:color rgb="FF1F3A52"/>
      <x:name val="Microsoft YaHei"/>
    </x:font>
    <x:font>
      <x:b/>
      <x:sz val="18"/>
      <x:color rgb="FF1F4E78"/>
      <x:name val="Microsoft YaHei"/>
    </x:font>
    <x:font>
      <x:b/>
      <x:sz val="10"/>
      <x:color rgb="FFFFFFFF"/>
      <x:name val="Microsoft YaHei"/>
    </x:font>
    <x:font>
      <x:b/>
      <x:sz val="11"/>
      <x:color rgb="FF1F4E78"/>
      <x:name val="Microsoft YaHei"/>
    </x:font>
    <x:font>
      <x:sz val="10"/>
      <x:color rgb="FF475569"/>
      <x:name val="Microsoft YaHei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4EA"/>
      </x:patternFill>
    </x:fill>
    <x:fill>
      <x:patternFill patternType="solid">
        <x:fgColor rgb="FFFFF4CC"/>
      </x:patternFill>
    </x:fill>
    <x:fill>
      <x:patternFill patternType="solid">
        <x:fgColor rgb="FFDDEBF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D6DEE8"/>
      </x:left>
      <x:right style="thin">
        <x:color rgb="FFD6DEE8"/>
      </x:right>
      <x:top style="thin">
        <x:color rgb="FFD6DEE8"/>
      </x:top>
      <x:bottom style="thin">
        <x:color rgb="FFD6DEE8"/>
      </x:bottom>
    </x:border>
    <x:border>
      <x:left style="thin">
        <x:color rgb="FF163A5A"/>
      </x:left>
      <x:right style="thin">
        <x:color rgb="FF163A5A"/>
      </x:right>
      <x:top style="thin">
        <x:color rgb="FF163A5A"/>
      </x:top>
      <x:bottom style="thin">
        <x:color rgb="FF163A5A"/>
      </x:bottom>
    </x:border>
    <x:border>
      <x:left style="thin">
        <x:color rgb="FFD6B656"/>
      </x:left>
      <x:right style="thin">
        <x:color rgb="FFD6B656"/>
      </x:right>
      <x:top style="thin">
        <x:color rgb="FFD6B656"/>
      </x:top>
      <x:bottom style="thin">
        <x:color rgb="FFD6B656"/>
      </x:bottom>
    </x:border>
    <x:border>
      <x:left style="thin">
        <x:color rgb="FFD6DEE8"/>
      </x:left>
      <x:right style="thin">
        <x:color rgb="FFD6DEE8"/>
      </x:right>
      <x:top style="medium">
        <x:color rgb="FF6B879F"/>
      </x:top>
      <x:bottom style="thin">
        <x:color rgb="FFD6DEE8"/>
      </x:bottom>
    </x:border>
    <x:border>
      <x:left style="thin">
        <x:color rgb="FFD6B656"/>
      </x:left>
      <x:right style="thin">
        <x:color rgb="FFD6B656"/>
      </x:right>
      <x:top style="medium">
        <x:color rgb="FF6B879F"/>
      </x:top>
      <x:bottom style="thin">
        <x:color rgb="FFD6DEE8"/>
      </x:bottom>
    </x:border>
    <x:border>
      <x:left style="thin">
        <x:color rgb="FFB8C7D5"/>
      </x:left>
      <x:right style="thin">
        <x:color rgb="FFB8C7D5"/>
      </x:right>
      <x:top style="thin">
        <x:color rgb="FFB8C7D5"/>
      </x:top>
      <x:bottom style="thin">
        <x:color rgb="FFB8C7D5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horizontal="center" wrapText="1"/>
    </x:xf>
    <x:xf numFmtId="0" fontId="1" fillId="0" borderId="1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left" vertical="center" wrapText="1"/>
    </x:xf>
    <x:xf numFmtId="0" fontId="1" fillId="0" borderId="4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horizontal="center" vertical="center" wrapText="1"/>
    </x:xf>
    <x:xf numFmtId="0" fontId="1" fillId="3" borderId="4" xfId="0" applyNumberFormat="1" applyFont="1" applyFill="1" applyBorder="1" applyAlignment="1">
      <x:alignment horizontal="center" vertical="center" wrapText="1"/>
    </x:xf>
    <x:xf numFmtId="0" fontId="4" fillId="4" borderId="5" xfId="0" applyNumberFormat="1" applyFont="1" applyFill="1" applyBorder="1" applyAlignment="1">
      <x:alignment horizontal="left" vertical="center" wrapText="1"/>
    </x:xf>
    <x:xf numFmtId="0" fontId="1" fillId="5" borderId="4" xfId="0" applyNumberFormat="1" applyFont="1" applyFill="1" applyBorder="1" applyAlignment="1">
      <x:alignment horizontal="center" vertical="center" wrapText="1"/>
    </x:xf>
    <x:xf numFmtId="0" fontId="1" fillId="6" borderId="1" xfId="0" applyNumberFormat="1" applyFont="1" applyFill="1" applyBorder="1" applyAlignment="1">
      <x:alignment horizontal="center" vertical="center" wrapText="1"/>
    </x:xf>
    <x:xf numFmtId="0" fontId="5" fillId="6" borderId="1" xfId="0" applyNumberFormat="1" applyFont="1" applyFill="1" applyBorder="1" applyAlignment="1">
      <x:alignment horizontal="center" vertical="center" wrapText="1"/>
    </x:xf>
    <x:xf numFmtId="0" fontId="0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left"/>
    </x:xf>
    <x:xf numFmtId="0" fontId="6" fillId="2" borderId="0" xfId="0" applyNumberFormat="1" applyFont="1" applyFill="1" applyBorder="1" applyAlignment="1">
      <x:alignment horizontal="left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horizontal="left"/>
    </x:xf>
    <x:xf numFmtId="0" fontId="7" fillId="6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6" xfId="0" applyNumberFormat="1" applyFont="1" applyFill="1" applyBorder="1"/>
    <x:xf numFmtId="0" fontId="8" fillId="5" borderId="6" xfId="0" applyNumberFormat="1" applyFont="1" applyFill="1" applyBorder="1" applyAlignment="1">
      <x:alignment horizontal="center"/>
    </x:xf>
    <x:xf numFmtId="0" fontId="8" fillId="5" borderId="6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6" xfId="0" applyNumberFormat="1" applyFont="1" applyFill="1" applyBorder="1"/>
    <x:xf numFmtId="0" fontId="9" fillId="7" borderId="6" xfId="0" applyNumberFormat="1" applyFont="1" applyFill="1" applyBorder="1" applyAlignment="1">
      <x:alignment horizontal="center"/>
    </x:xf>
    <x:xf numFmtId="0" fontId="9" fillId="7" borderId="6" xfId="0" applyNumberFormat="1" applyFont="1" applyFill="1" applyBorder="1" applyAlignment="1">
      <x:alignment horizontal="center" vertical="center"/>
    </x:xf>
    <x:xf numFmtId="0" fontId="10" fillId="2" borderId="0" xfId="0" applyNumberFormat="1" applyFont="1" applyFill="1" applyBorder="1"/>
    <x:xf numFmtId="0" fontId="10" fillId="2" borderId="2" xfId="0" applyNumberFormat="1" applyFont="1" applyFill="1" applyBorder="1"/>
    <x:xf numFmtId="0" fontId="10" fillId="2" borderId="2" xfId="0" applyNumberFormat="1" applyFont="1" applyFill="1" applyBorder="1" applyAlignment="1">
      <x:alignment horizontal="center"/>
    </x:xf>
    <x:xf numFmtId="0" fontId="10" fillId="2" borderId="2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 applyAlignment="1">
      <x:alignment horizontal="left" vertical="center" wrapText="1"/>
    </x:xf>
    <x:xf numFmtId="0" fontId="11" fillId="0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12" fillId="8" borderId="0" xfId="0" applyNumberFormat="1" applyFont="1" applyFill="1" applyBorder="1"/>
    <x:xf numFmtId="0" fontId="12" fillId="8" borderId="1" xfId="0" applyNumberFormat="1" applyFont="1" applyFill="1" applyBorder="1"/>
    <x:xf numFmtId="0" fontId="12" fillId="8" borderId="1" xfId="0" applyNumberFormat="1" applyFont="1" applyFill="1" applyBorder="1" applyAlignment="1">
      <x:alignment wrapText="1"/>
    </x:xf>
    <x:xf numFmtId="0" fontId="12" fillId="8" borderId="1" xfId="0" applyNumberFormat="1" applyFont="1" applyFill="1" applyBorder="1" applyAlignment="1">
      <x:alignment horizontal="left" wrapText="1"/>
    </x:xf>
    <x:xf numFmtId="0" fontId="12" fillId="8" borderId="1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  <x:dxfs count="8">
    <x:dxf>
      <x:font>
        <x:b/>
        <x:color rgb="FF9B1C1C"/>
      </x:font>
      <x:fill>
        <x:patternFill>
          <x:bgColor rgb="FFFDE8E8"/>
        </x:patternFill>
      </x:fill>
    </x:dxf>
    <x:dxf>
      <x:font>
        <x:b/>
        <x:color rgb="FF8A4B08"/>
      </x:font>
      <x:fill>
        <x:patternFill>
          <x:bgColor rgb="FFFFF4D6"/>
        </x:patternFill>
      </x:fill>
    </x:dxf>
    <x:dxf>
      <x:font>
        <x:b/>
        <x:color rgb="FF9B1C1C"/>
      </x:font>
      <x:fill>
        <x:patternFill>
          <x:bgColor rgb="FFFDE8E8"/>
        </x:patternFill>
      </x:fill>
    </x:dxf>
    <x:dxf>
      <x:font>
        <x:b/>
        <x:color rgb="FF8A4B08"/>
      </x:font>
      <x:fill>
        <x:patternFill>
          <x:bgColor rgb="FFFFF4D6"/>
        </x:patternFill>
      </x:fill>
    </x:dxf>
    <x:dxf>
      <x:font>
        <x:b/>
        <x:color rgb="FF166534"/>
      </x:font>
      <x:fill>
        <x:patternFill>
          <x:bgColor rgb="FFE7F5EC"/>
        </x:patternFill>
      </x:fill>
    </x:dxf>
    <x:dxf>
      <x:font>
        <x:b/>
        <x:color rgb="FF475569"/>
      </x:font>
      <x:fill>
        <x:patternFill>
          <x:bgColor rgb="FFEEF2F7"/>
        </x:patternFill>
      </x:fill>
    </x:dxf>
    <x:dxf>
      <x:font>
        <x:b/>
        <x:color rgb="FF1D4E89"/>
      </x:font>
      <x:fill>
        <x:patternFill>
          <x:bgColor rgb="FFE8F1FB"/>
        </x:patternFill>
      </x:fill>
    </x:dxf>
    <x:dxf>
      <x:font>
        <x:b/>
        <x:color rgb="FF166534"/>
      </x:font>
      <x:fill>
        <x:patternFill>
          <x:bgColor rgb="FFE7F5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a2ddb68f0b404c" /><Relationship Type="http://schemas.openxmlformats.org/officeDocument/2006/relationships/theme" Target="/xl/theme/theme1.xml" Id="Rbe21e12218d64260" /><Relationship Type="http://schemas.openxmlformats.org/officeDocument/2006/relationships/sharedStrings" Target="/xl/sharedStrings.xml" Id="Rcd68b9f8848144b4" /><Relationship Type="http://schemas.openxmlformats.org/officeDocument/2006/relationships/worksheet" Target="/xl/worksheets/sheet1.xml" Id="R75c7193e830c46ed" /><Relationship Type="http://schemas.openxmlformats.org/officeDocument/2006/relationships/worksheet" Target="/xl/worksheets/sheet2.xml" Id="R7a35e712acbc401e" /><Relationship Type="http://schemas.openxmlformats.org/officeDocument/2006/relationships/worksheet" Target="/xl/worksheets/sheet3.xml" Id="R905c57af03724f13" /></Relationships>
</file>

<file path=xl/tables/table1.xml><?xml version="1.0" encoding="utf-8"?>
<x:table xmlns:x="http://schemas.openxmlformats.org/spreadsheetml/2006/main" id="1" name="LiveRecordTestCases" displayName="LiveRecordTestCases" ref="A1:O55" headerRowCount="1" totalsRowCount="0" totalsRowShown="0">
  <x:autoFilter ref="A1:O55"/>
  <x:tableColumns count="15">
    <x:tableColumn id="1" name="序号"/>
    <x:tableColumn id="2" name="用例编号"/>
    <x:tableColumn id="3" name="功能模块"/>
    <x:tableColumn id="4" name="功能结构"/>
    <x:tableColumn id="5" name="用例类型"/>
    <x:tableColumn id="6" name="优先级"/>
    <x:tableColumn id="7" name="用例描述"/>
    <x:tableColumn id="8" name="验证用例子项"/>
    <x:tableColumn id="9" name="前置条件"/>
    <x:tableColumn id="10" name="操作步骤"/>
    <x:tableColumn id="11" name="预期结果"/>
    <x:tableColumn id="12" name="流程编号"/>
    <x:tableColumn id="13" name="测试结果"/>
    <x:tableColumn id="14" name="测试人员"/>
    <x:tableColumn id="15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iveRecordPendingRequirements" displayName="LiveRecordPendingRequirements" ref="A1:T13" headerRowCount="1" totalsRowCount="0" totalsRowShown="0">
  <x:autoFilter ref="A1:T13"/>
  <x:tableColumns count="20">
    <x:tableColumn id="1" name="问题编号"/>
    <x:tableColumn id="2" name="需求组编号"/>
    <x:tableColumn id="3" name="父问题编号"/>
    <x:tableColumn id="4" name="追问触发条件"/>
    <x:tableColumn id="5" name="阻塞等级"/>
    <x:tableColumn id="6" name="功能模块"/>
    <x:tableColumn id="7" name="具体场景"/>
    <x:tableColumn id="8" name="问题分类"/>
    <x:tableColumn id="9" name="待决策问题"/>
    <x:tableColumn id="10" name="可选方案"/>
    <x:tableColumn id="11" name="测试建议"/>
    <x:tableColumn id="12" name="产品结论"/>
    <x:tableColumn id="13" name="结论补充"/>
    <x:tableColumn id="14" name="已知依据"/>
    <x:tableColumn id="15" name="影响范围"/>
    <x:tableColumn id="16" name="已有用例编号"/>
    <x:tableColumn id="17" name="确认后待补用例"/>
    <x:tableColumn id="18" name="负责人"/>
    <x:tableColumn id="19" name="期望确认时间"/>
    <x:tableColumn id="20" name="确认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fd2035285d14fa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ec2e83d42314fd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15" hidden="0" customWidth="1"/>
    <x:col min="3" max="3" width="19" hidden="0" customWidth="1"/>
    <x:col min="4" max="4" width="24" hidden="0" customWidth="1"/>
    <x:col min="5" max="5" width="13" hidden="0" customWidth="1"/>
    <x:col min="6" max="6" width="9" hidden="0" customWidth="1"/>
    <x:col min="7" max="7" width="36" hidden="0" customWidth="1"/>
    <x:col min="8" max="8" width="27" hidden="0" customWidth="1"/>
    <x:col min="9" max="9" width="46" hidden="0" customWidth="1"/>
    <x:col min="10" max="10" width="46" hidden="0" customWidth="1"/>
    <x:col min="11" max="11" width="54" hidden="0" customWidth="1"/>
    <x:col min="12" max="12" width="18" hidden="0" customWidth="1"/>
    <x:col min="13" max="13" width="12" hidden="0" customWidth="1"/>
    <x:col min="14" max="14" width="14" hidden="0" customWidth="1"/>
    <x:col min="15" max="15" width="50" hidden="0" customWidth="1"/>
  </x:cols>
  <x:sheetData>
    <x:row r="1" ht="30" customHeight="1">
      <x:c r="A1" s="8" t="str">
        <x:v>序号</x:v>
      </x:c>
      <x:c r="B1" s="8" t="str">
        <x:v>用例编号</x:v>
      </x:c>
      <x:c r="C1" s="8" t="str">
        <x:v>功能模块</x:v>
      </x:c>
      <x:c r="D1" s="8" t="str">
        <x:v>功能结构</x:v>
      </x:c>
      <x:c r="E1" s="8" t="str">
        <x:v>用例类型</x:v>
      </x:c>
      <x:c r="F1" s="8" t="str">
        <x:v>优先级</x:v>
      </x:c>
      <x:c r="G1" s="8" t="str">
        <x:v>用例描述</x:v>
      </x:c>
      <x:c r="H1" s="8" t="str">
        <x:v>验证用例子项</x:v>
      </x:c>
      <x:c r="I1" s="8" t="str">
        <x:v>前置条件</x:v>
      </x:c>
      <x:c r="J1" s="8" t="str">
        <x:v>操作步骤</x:v>
      </x:c>
      <x:c r="K1" s="8" t="str">
        <x:v>预期结果</x:v>
      </x:c>
      <x:c r="L1" s="8" t="str">
        <x:v>流程编号</x:v>
      </x:c>
      <x:c r="M1" s="8" t="str">
        <x:v>测试结果</x:v>
      </x:c>
      <x:c r="N1" s="8" t="str">
        <x:v>测试人员</x:v>
      </x:c>
      <x:c r="O1" s="8" t="str">
        <x:v>备注</x:v>
      </x:c>
    </x:row>
    <x:row r="2" ht="79.5" customHeight="1">
      <x:c r="A2" s="5" t="n">
        <x:v>1</x:v>
      </x:c>
      <x:c r="B2" s="5" t="str">
        <x:v>LREC-001</x:v>
      </x:c>
      <x:c r="C2" s="5" t="str">
        <x:v>用户App-直播记录模块</x:v>
      </x:c>
      <x:c r="D2" s="5" t="str">
        <x:v>入口与导航</x:v>
      </x:c>
      <x:c r="E2" s="5" t="str">
        <x:v>业务流程</x:v>
      </x:c>
      <x:c r="F2" s="5" t="str">
        <x:v>P0</x:v>
      </x:c>
      <x:c r="G2" s="5" t="str">
        <x:v>验证从直播数据进入直播记录</x:v>
      </x:c>
      <x:c r="H2" s="5" t="str">
        <x:v>直播数据入口</x:v>
      </x:c>
      <x:c r="I2" s="5" t="str">
        <x:v>1. 主播账号已登录
2. 日数据列表存在一条历史记录</x:v>
      </x:c>
      <x:c r="J2" s="5" t="str">
        <x:v>1. 进入主播中心的直播数据页
2. 点击日数据列表中的历史记录</x:v>
      </x:c>
      <x:c r="K2" s="5" t="str">
        <x:v>页面进入标题为“直播记录”的页面</x:v>
      </x:c>
      <x:c r="L2" s="5" t="str"/>
      <x:c r="M2" s="5" t="str">
        <x:v>未测</x:v>
      </x:c>
      <x:c r="N2" s="5" t="str"/>
      <x:c r="O2" s="5" t="str">
        <x:v>1. 来源：prototype/pages/user/host/live-data.html；未连接真实后端动态验证
2. 来源：prototype/Luma Live-原型说明.md
3. 同步追溯：work/liveshow-user-live-records/prototype-context-sync-result.json；RSL-0003
4. 质量检查：按 RCL-0018 使用最小前置条件和单一业务分支</x:v>
      </x:c>
    </x:row>
    <x:row r="3" ht="67.5" customHeight="1">
      <x:c r="A3" s="5" t="n">
        <x:v>2</x:v>
      </x:c>
      <x:c r="B3" s="5" t="str">
        <x:v>LREC-002</x:v>
      </x:c>
      <x:c r="C3" s="5" t="str">
        <x:v>用户App-直播记录模块</x:v>
      </x:c>
      <x:c r="D3" s="5" t="str">
        <x:v>入口与导航</x:v>
      </x:c>
      <x:c r="E3" s="5" t="str">
        <x:v>功能需求</x:v>
      </x:c>
      <x:c r="F3" s="5" t="str">
        <x:v>P2</x:v>
      </x:c>
      <x:c r="G3" s="5" t="str">
        <x:v>验证从直播记录返回主播中心</x:v>
      </x:c>
      <x:c r="H3" s="5" t="str">
        <x:v>返回主播中心</x:v>
      </x:c>
      <x:c r="I3" s="5" t="str">
        <x:v>1. 主播已进入直播记录页</x:v>
      </x:c>
      <x:c r="J3" s="5" t="str">
        <x:v>1. 点击页面左上角返回按钮</x:v>
      </x:c>
      <x:c r="K3" s="5" t="str">
        <x:v>页面返回主播中心</x:v>
      </x:c>
      <x:c r="L3" s="5" t="str"/>
      <x:c r="M3" s="5" t="str">
        <x:v>未测</x:v>
      </x:c>
      <x:c r="N3" s="5" t="str"/>
      <x:c r="O3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4" ht="103.5" customHeight="1">
      <x:c r="A4" s="5" t="n">
        <x:v>3</x:v>
      </x:c>
      <x:c r="B4" s="5" t="str">
        <x:v>LREC-003</x:v>
      </x:c>
      <x:c r="C4" s="5" t="str">
        <x:v>用户App-直播记录模块</x:v>
      </x:c>
      <x:c r="D4" s="5" t="str">
        <x:v>默认记录</x:v>
      </x:c>
      <x:c r="E4" s="5" t="str">
        <x:v>逻辑校验</x:v>
      </x:c>
      <x:c r="F4" s="5" t="str">
        <x:v>P1</x:v>
      </x:c>
      <x:c r="G4" s="5" t="str">
        <x:v>验证默认近7天列表筛选</x:v>
      </x:c>
      <x:c r="H4" s="5" t="str">
        <x:v>默认近7天日期边界</x:v>
      </x:c>
      <x:c r="I4" s="5" t="str">
        <x:v>1. 测试当前日期为 2026-08-17
2. 2026-08-11 和 2026-08-17 各存在一场直播记录
3. 2026-08-10 存在一场直播记录
4. 除上述数据外无其他直播记录</x:v>
      </x:c>
      <x:c r="J4" s="5" t="str">
        <x:v>1. 进入直播记录页
2. 查看默认记录列表</x:v>
      </x:c>
      <x:c r="K4" s="5" t="str">
        <x:v>默认近 7 天记录列表仅包含 2026-08-11 和 2026-08-17 两场记录</x:v>
      </x:c>
      <x:c r="L4" s="5" t="str"/>
      <x:c r="M4" s="5" t="str">
        <x:v>未测</x:v>
      </x:c>
      <x:c r="N4" s="5" t="str"/>
      <x:c r="O4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
6. 规则追溯：RCL-0019；默认日期范围按原型批注“默认近 7 天”生成，静态示例“10/8/2026～17/8/2026”不作为边界规则</x:v>
      </x:c>
    </x:row>
    <x:row r="5" ht="115.5" customHeight="1">
      <x:c r="A5" s="5" t="n">
        <x:v>4</x:v>
      </x:c>
      <x:c r="B5" s="5" t="str">
        <x:v>LREC-004</x:v>
      </x:c>
      <x:c r="C5" s="5" t="str">
        <x:v>用户App-直播记录模块</x:v>
      </x:c>
      <x:c r="D5" s="5" t="str">
        <x:v>默认记录</x:v>
      </x:c>
      <x:c r="E5" s="5" t="str">
        <x:v>逻辑校验</x:v>
      </x:c>
      <x:c r="F5" s="5" t="str">
        <x:v>P1</x:v>
      </x:c>
      <x:c r="G5" s="5" t="str">
        <x:v>验证默认近7天收益汇总</x:v>
      </x:c>
      <x:c r="H5" s="5" t="str">
        <x:v>默认近7天收益汇总</x:v>
      </x:c>
      <x:c r="I5" s="5" t="str">
        <x:v>1. 收益定义为默认近 7 天内各场本场收益的整数之和
2. 2026-08-12、2026-08-15、2026-08-17 三场收益依次为 3,156、1,904、624
3. 2026-08-09 场次收益不计入默认近 7 天收益</x:v>
      </x:c>
      <x:c r="J5" s="5" t="str">
        <x:v>1. 进入直播记录页
2. 查看收益汇总</x:v>
      </x:c>
      <x:c r="K5" s="5" t="str">
        <x:v>收益 = 3,156 + 1,904 + 624 = 5,684</x:v>
      </x:c>
      <x:c r="L5" s="5" t="str"/>
      <x:c r="M5" s="5" t="str">
        <x:v>未测</x:v>
      </x:c>
      <x:c r="N5" s="5" t="str"/>
      <x:c r="O5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
7. 规则追溯：RCL-0019；默认日期范围按原型批注“默认近 7 天”生成，静态示例“10/8/2026～17/8/2026”不作为边界规则</x:v>
      </x:c>
    </x:row>
    <x:row r="6" ht="115.5" customHeight="1">
      <x:c r="A6" s="5" t="n">
        <x:v>5</x:v>
      </x:c>
      <x:c r="B6" s="5" t="str">
        <x:v>LREC-005</x:v>
      </x:c>
      <x:c r="C6" s="5" t="str">
        <x:v>用户App-直播记录模块</x:v>
      </x:c>
      <x:c r="D6" s="5" t="str">
        <x:v>默认记录</x:v>
      </x:c>
      <x:c r="E6" s="5" t="str">
        <x:v>逻辑校验</x:v>
      </x:c>
      <x:c r="F6" s="5" t="str">
        <x:v>P1</x:v>
      </x:c>
      <x:c r="G6" s="5" t="str">
        <x:v>验证默认近7天总时长汇总</x:v>
      </x:c>
      <x:c r="H6" s="5" t="str">
        <x:v>默认近7天总时长汇总</x:v>
      </x:c>
      <x:c r="I6" s="5" t="str">
        <x:v>1. 总时长定义为默认近 7 天内各场直播时长按分钟相加
2. 2026-08-12、2026-08-15、2026-08-17 三场时长依次为 2h18m、1h42m、56m
3. 2026-08-09 场次时长不计入默认近 7 天总时长</x:v>
      </x:c>
      <x:c r="J6" s="5" t="str">
        <x:v>1. 进入直播记录页
2. 查看总时长汇总</x:v>
      </x:c>
      <x:c r="K6" s="5" t="str">
        <x:v>总时长 = 138 分钟 + 102 分钟 + 56 分钟 = 296 分钟 = 4h56m</x:v>
      </x:c>
      <x:c r="L6" s="5" t="str"/>
      <x:c r="M6" s="5" t="str">
        <x:v>未测</x:v>
      </x:c>
      <x:c r="N6" s="5" t="str"/>
      <x:c r="O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
7. 规则追溯：RCL-0019；默认日期范围按原型批注“默认近 7 天”生成，静态示例“10/8/2026～17/8/2026”不作为边界规则</x:v>
      </x:c>
    </x:row>
    <x:row r="7" ht="115.5" customHeight="1">
      <x:c r="A7" s="5" t="n">
        <x:v>6</x:v>
      </x:c>
      <x:c r="B7" s="5" t="str">
        <x:v>LREC-006</x:v>
      </x:c>
      <x:c r="C7" s="5" t="str">
        <x:v>用户App-直播记录模块</x:v>
      </x:c>
      <x:c r="D7" s="5" t="str">
        <x:v>默认记录</x:v>
      </x:c>
      <x:c r="E7" s="5" t="str">
        <x:v>逻辑校验</x:v>
      </x:c>
      <x:c r="F7" s="5" t="str">
        <x:v>P1</x:v>
      </x:c>
      <x:c r="G7" s="5" t="str">
        <x:v>验证默认近7天直播场次汇总</x:v>
      </x:c>
      <x:c r="H7" s="5" t="str">
        <x:v>默认近7天场次汇总</x:v>
      </x:c>
      <x:c r="I7" s="5" t="str">
        <x:v>1. 直播场次定义为默认近 7 天内的直播记录数量
2. 2026-08-12、2026-08-15、2026-08-17 各存在一场直播记录
3. 2026-08-09 场次不计入默认近 7 天场次</x:v>
      </x:c>
      <x:c r="J7" s="5" t="str">
        <x:v>1. 进入直播记录页
2. 查看直播场次汇总</x:v>
      </x:c>
      <x:c r="K7" s="5" t="str">
        <x:v>直播场次 = 3</x:v>
      </x:c>
      <x:c r="L7" s="5" t="str"/>
      <x:c r="M7" s="5" t="str">
        <x:v>未测</x:v>
      </x:c>
      <x:c r="N7" s="5" t="str"/>
      <x:c r="O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
7. 规则追溯：RCL-0019；默认日期范围按原型批注“默认近 7 天”生成，静态示例“10/8/2026～17/8/2026”不作为边界规则</x:v>
      </x:c>
    </x:row>
    <x:row r="8" ht="91.5" customHeight="1">
      <x:c r="A8" s="5" t="n">
        <x:v>7</x:v>
      </x:c>
      <x:c r="B8" s="5" t="str">
        <x:v>LREC-007</x:v>
      </x:c>
      <x:c r="C8" s="5" t="str">
        <x:v>用户App-直播记录模块</x:v>
      </x:c>
      <x:c r="D8" s="5" t="str">
        <x:v>默认记录</x:v>
      </x:c>
      <x:c r="E8" s="5" t="str">
        <x:v>逻辑校验</x:v>
      </x:c>
      <x:c r="F8" s="5" t="str">
        <x:v>P1</x:v>
      </x:c>
      <x:c r="G8" s="5" t="str">
        <x:v>验证记录按开播时间倒序展示</x:v>
      </x:c>
      <x:c r="H8" s="5" t="str">
        <x:v>开播时间倒序</x:v>
      </x:c>
      <x:c r="I8" s="5" t="str">
        <x:v>1. 当前日期范围内存在开播时间依次为 2026-08-12 21:12、2026-08-15 19:38、2026-08-17 20:06 的三场记录</x:v>
      </x:c>
      <x:c r="J8" s="5" t="str">
        <x:v>1. 进入直播记录页
2. 查看记录排列顺序</x:v>
      </x:c>
      <x:c r="K8" s="5" t="str">
        <x:v>记录顺序从上到下为 2026-08-17 20:06、2026-08-15 19:38、2026-08-12 21:12</x:v>
      </x:c>
      <x:c r="L8" s="5" t="str"/>
      <x:c r="M8" s="5" t="str">
        <x:v>未测</x:v>
      </x:c>
      <x:c r="N8" s="5" t="str"/>
      <x:c r="O8" s="5" t="str">
        <x:v>1. 来源：context/01-用户主播App-项目需求清单.md（2026-08-31 按原型同步，RSL-0003）
2. 来源：prototype/Luma Live-原型说明.md
3. 来源：prototype/assets/mock.js 的 liveRecords 字段口径
4. 同步追溯：work/liveshow-user-live-records/prototype-context-sync-result.json；RSL-0003
5. 质量检查：按 RCL-0018 使用最小前置条件和单一业务分支</x:v>
      </x:c>
    </x:row>
    <x:row r="9" ht="103.5" customHeight="1">
      <x:c r="A9" s="5" t="n">
        <x:v>8</x:v>
      </x:c>
      <x:c r="B9" s="5" t="str">
        <x:v>LREC-008</x:v>
      </x:c>
      <x:c r="C9" s="5" t="str">
        <x:v>用户App-直播记录模块</x:v>
      </x:c>
      <x:c r="D9" s="5" t="str">
        <x:v>快捷日期筛选</x:v>
      </x:c>
      <x:c r="E9" s="5" t="str">
        <x:v>功能需求</x:v>
      </x:c>
      <x:c r="F9" s="5" t="str">
        <x:v>P1</x:v>
      </x:c>
      <x:c r="G9" s="5" t="str">
        <x:v>验证快捷日期菜单选项范围</x:v>
      </x:c>
      <x:c r="H9" s="5" t="str">
        <x:v>快捷日期选项</x:v>
      </x:c>
      <x:c r="I9" s="5" t="str">
        <x:v>1. 主播已进入直播记录页</x:v>
      </x:c>
      <x:c r="J9" s="5" t="str">
        <x:v>1. 点击右侧快捷日期按钮</x:v>
      </x:c>
      <x:c r="K9" s="5" t="str">
        <x:v>快捷日期菜单展示“本月”“本周”“上月”“自定义”四个选项</x:v>
      </x:c>
      <x:c r="L9" s="5" t="str"/>
      <x:c r="M9" s="5" t="str">
        <x:v>未测</x:v>
      </x:c>
      <x:c r="N9" s="5" t="str"/>
      <x:c r="O9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0" ht="67.5" customHeight="1">
      <x:c r="A10" s="5" t="n">
        <x:v>9</x:v>
      </x:c>
      <x:c r="B10" s="5" t="str">
        <x:v>LREC-009</x:v>
      </x:c>
      <x:c r="C10" s="5" t="str">
        <x:v>用户App-直播记录模块</x:v>
      </x:c>
      <x:c r="D10" s="5" t="str">
        <x:v>快捷日期筛选</x:v>
      </x:c>
      <x:c r="E10" s="5" t="str">
        <x:v>功能需求</x:v>
      </x:c>
      <x:c r="F10" s="5" t="str">
        <x:v>P2</x:v>
      </x:c>
      <x:c r="G10" s="5" t="str">
        <x:v>验证点击菜单外关闭快捷日期菜单</x:v>
      </x:c>
      <x:c r="H10" s="5" t="str">
        <x:v>快捷菜单外部关闭</x:v>
      </x:c>
      <x:c r="I10" s="5" t="str">
        <x:v>1. 快捷日期菜单已打开</x:v>
      </x:c>
      <x:c r="J10" s="5" t="str">
        <x:v>1. 点击筛选区域外的页面位置</x:v>
      </x:c>
      <x:c r="K10" s="5" t="str">
        <x:v>快捷日期菜单关闭</x:v>
      </x:c>
      <x:c r="L10" s="5" t="str"/>
      <x:c r="M10" s="5" t="str">
        <x:v>未测</x:v>
      </x:c>
      <x:c r="N10" s="5" t="str"/>
      <x:c r="O10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1" ht="103.5" customHeight="1">
      <x:c r="A11" s="5" t="n">
        <x:v>10</x:v>
      </x:c>
      <x:c r="B11" s="5" t="str">
        <x:v>LREC-010</x:v>
      </x:c>
      <x:c r="C11" s="5" t="str">
        <x:v>用户App-直播记录模块</x:v>
      </x:c>
      <x:c r="D11" s="5" t="str">
        <x:v>快捷日期筛选</x:v>
      </x:c>
      <x:c r="E11" s="5" t="str">
        <x:v>逻辑校验</x:v>
      </x:c>
      <x:c r="F11" s="5" t="str">
        <x:v>P1</x:v>
      </x:c>
      <x:c r="G11" s="5" t="str">
        <x:v>验证本月筛选记录范围</x:v>
      </x:c>
      <x:c r="H11" s="5" t="str">
        <x:v>本月记录范围</x:v>
      </x:c>
      <x:c r="I11" s="5" t="str">
        <x:v>1. 测试环境业务日期为 2026-08-17
2. 2026 年 8 月存在三场记录
3. 2026 年 7 月存在一场记录</x:v>
      </x:c>
      <x:c r="J11" s="5" t="str">
        <x:v>1. 打开快捷日期菜单
2. 选择“本月”
3. 查看记录列表</x:v>
      </x:c>
      <x:c r="K11" s="5" t="str">
        <x:v>记录列表结果集仅包含 2026 年 8 月的三场记录</x:v>
      </x:c>
      <x:c r="L11" s="5" t="str"/>
      <x:c r="M11" s="5" t="str">
        <x:v>未测</x:v>
      </x:c>
      <x:c r="N11" s="5" t="str"/>
      <x:c r="O1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2" ht="67.5" customHeight="1">
      <x:c r="A12" s="5" t="n">
        <x:v>11</x:v>
      </x:c>
      <x:c r="B12" s="5" t="str">
        <x:v>LREC-011</x:v>
      </x:c>
      <x:c r="C12" s="5" t="str">
        <x:v>用户App-直播记录模块</x:v>
      </x:c>
      <x:c r="D12" s="5" t="str">
        <x:v>快捷日期筛选</x:v>
      </x:c>
      <x:c r="E12" s="5" t="str">
        <x:v>功能需求</x:v>
      </x:c>
      <x:c r="F12" s="5" t="str">
        <x:v>P2</x:v>
      </x:c>
      <x:c r="G12" s="5" t="str">
        <x:v>验证选择本月后的快捷标签</x:v>
      </x:c>
      <x:c r="H12" s="5" t="str">
        <x:v>本月标签回显</x:v>
      </x:c>
      <x:c r="I12" s="5" t="str">
        <x:v>1. 主播已进入直播记录页</x:v>
      </x:c>
      <x:c r="J12" s="5" t="str">
        <x:v>1. 打开快捷日期菜单
2. 选择“本月”</x:v>
      </x:c>
      <x:c r="K12" s="5" t="str">
        <x:v>右侧快捷日期按钮回显“本月”</x:v>
      </x:c>
      <x:c r="L12" s="5" t="str"/>
      <x:c r="M12" s="5" t="str">
        <x:v>未测</x:v>
      </x:c>
      <x:c r="N12" s="5" t="str"/>
      <x:c r="O12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3" ht="103.5" customHeight="1">
      <x:c r="A13" s="5" t="n">
        <x:v>12</x:v>
      </x:c>
      <x:c r="B13" s="5" t="str">
        <x:v>LREC-012</x:v>
      </x:c>
      <x:c r="C13" s="5" t="str">
        <x:v>用户App-直播记录模块</x:v>
      </x:c>
      <x:c r="D13" s="5" t="str">
        <x:v>快捷日期筛选</x:v>
      </x:c>
      <x:c r="E13" s="5" t="str">
        <x:v>逻辑校验</x:v>
      </x:c>
      <x:c r="F13" s="5" t="str">
        <x:v>P1</x:v>
      </x:c>
      <x:c r="G13" s="5" t="str">
        <x:v>验证本周筛选记录范围</x:v>
      </x:c>
      <x:c r="H13" s="5" t="str">
        <x:v>本周记录范围</x:v>
      </x:c>
      <x:c r="I13" s="5" t="str">
        <x:v>1. 测试环境业务日期为 2026-08-17
2. 2026-08-17 至 2026-08-23 内存在一场记录
3. 2026-08-16 存在一场记录</x:v>
      </x:c>
      <x:c r="J13" s="5" t="str">
        <x:v>1. 打开快捷日期菜单
2. 选择“本周”
3. 查看记录列表</x:v>
      </x:c>
      <x:c r="K13" s="5" t="str">
        <x:v>记录列表结果集仅包含 2026-08-17 至 2026-08-23 内的一场记录</x:v>
      </x:c>
      <x:c r="L13" s="5" t="str"/>
      <x:c r="M13" s="5" t="str">
        <x:v>未测</x:v>
      </x:c>
      <x:c r="N13" s="5" t="str"/>
      <x:c r="O13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4" ht="67.5" customHeight="1">
      <x:c r="A14" s="5" t="n">
        <x:v>13</x:v>
      </x:c>
      <x:c r="B14" s="5" t="str">
        <x:v>LREC-013</x:v>
      </x:c>
      <x:c r="C14" s="5" t="str">
        <x:v>用户App-直播记录模块</x:v>
      </x:c>
      <x:c r="D14" s="5" t="str">
        <x:v>快捷日期筛选</x:v>
      </x:c>
      <x:c r="E14" s="5" t="str">
        <x:v>功能需求</x:v>
      </x:c>
      <x:c r="F14" s="5" t="str">
        <x:v>P2</x:v>
      </x:c>
      <x:c r="G14" s="5" t="str">
        <x:v>验证选择本周后的快捷标签</x:v>
      </x:c>
      <x:c r="H14" s="5" t="str">
        <x:v>本周标签回显</x:v>
      </x:c>
      <x:c r="I14" s="5" t="str">
        <x:v>1. 主播已进入直播记录页</x:v>
      </x:c>
      <x:c r="J14" s="5" t="str">
        <x:v>1. 打开快捷日期菜单
2. 选择“本周”</x:v>
      </x:c>
      <x:c r="K14" s="5" t="str">
        <x:v>右侧快捷日期按钮回显“本周”</x:v>
      </x:c>
      <x:c r="L14" s="5" t="str"/>
      <x:c r="M14" s="5" t="str">
        <x:v>未测</x:v>
      </x:c>
      <x:c r="N14" s="5" t="str"/>
      <x:c r="O14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5" ht="103.5" customHeight="1">
      <x:c r="A15" s="5" t="n">
        <x:v>14</x:v>
      </x:c>
      <x:c r="B15" s="5" t="str">
        <x:v>LREC-014</x:v>
      </x:c>
      <x:c r="C15" s="5" t="str">
        <x:v>用户App-直播记录模块</x:v>
      </x:c>
      <x:c r="D15" s="5" t="str">
        <x:v>快捷日期筛选</x:v>
      </x:c>
      <x:c r="E15" s="5" t="str">
        <x:v>逻辑校验</x:v>
      </x:c>
      <x:c r="F15" s="5" t="str">
        <x:v>P1</x:v>
      </x:c>
      <x:c r="G15" s="5" t="str">
        <x:v>验证上月筛选记录范围</x:v>
      </x:c>
      <x:c r="H15" s="5" t="str">
        <x:v>上月记录范围</x:v>
      </x:c>
      <x:c r="I15" s="5" t="str">
        <x:v>1. 测试环境业务日期为 2026-08-17
2. 2026 年 7 月存在 2026-07-05、2026-07-31 两场记录
3. 2026 年 8 月存在一场记录</x:v>
      </x:c>
      <x:c r="J15" s="5" t="str">
        <x:v>1. 打开快捷日期菜单
2. 选择“上月”
3. 查看记录列表</x:v>
      </x:c>
      <x:c r="K15" s="5" t="str">
        <x:v>记录列表结果集仅包含 2026-07-05、2026-07-31 两场记录</x:v>
      </x:c>
      <x:c r="L15" s="5" t="str"/>
      <x:c r="M15" s="5" t="str">
        <x:v>未测</x:v>
      </x:c>
      <x:c r="N15" s="5" t="str"/>
      <x:c r="O1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6" ht="67.5" customHeight="1">
      <x:c r="A16" s="5" t="n">
        <x:v>15</x:v>
      </x:c>
      <x:c r="B16" s="5" t="str">
        <x:v>LREC-015</x:v>
      </x:c>
      <x:c r="C16" s="5" t="str">
        <x:v>用户App-直播记录模块</x:v>
      </x:c>
      <x:c r="D16" s="5" t="str">
        <x:v>快捷日期筛选</x:v>
      </x:c>
      <x:c r="E16" s="5" t="str">
        <x:v>功能需求</x:v>
      </x:c>
      <x:c r="F16" s="5" t="str">
        <x:v>P2</x:v>
      </x:c>
      <x:c r="G16" s="5" t="str">
        <x:v>验证选择上月后的快捷标签</x:v>
      </x:c>
      <x:c r="H16" s="5" t="str">
        <x:v>上月标签回显</x:v>
      </x:c>
      <x:c r="I16" s="5" t="str">
        <x:v>1. 主播已进入直播记录页</x:v>
      </x:c>
      <x:c r="J16" s="5" t="str">
        <x:v>1. 打开快捷日期菜单
2. 选择“上月”</x:v>
      </x:c>
      <x:c r="K16" s="5" t="str">
        <x:v>右侧快捷日期按钮回显“上月”</x:v>
      </x:c>
      <x:c r="L16" s="5" t="str"/>
      <x:c r="M16" s="5" t="str">
        <x:v>未测</x:v>
      </x:c>
      <x:c r="N16" s="5" t="str"/>
      <x:c r="O16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17" ht="103.5" customHeight="1">
      <x:c r="A17" s="5" t="n">
        <x:v>16</x:v>
      </x:c>
      <x:c r="B17" s="5" t="str">
        <x:v>LREC-016</x:v>
      </x:c>
      <x:c r="C17" s="5" t="str">
        <x:v>用户App-直播记录模块</x:v>
      </x:c>
      <x:c r="D17" s="5" t="str">
        <x:v>快捷日期筛选</x:v>
      </x:c>
      <x:c r="E17" s="5" t="str">
        <x:v>功能需求</x:v>
      </x:c>
      <x:c r="F17" s="5" t="str">
        <x:v>P1</x:v>
      </x:c>
      <x:c r="G17" s="5" t="str">
        <x:v>验证自定义选项打开日期选择器</x:v>
      </x:c>
      <x:c r="H17" s="5" t="str">
        <x:v>自定义日期入口</x:v>
      </x:c>
      <x:c r="I17" s="5" t="str">
        <x:v>1. 主播已进入直播记录页</x:v>
      </x:c>
      <x:c r="J17" s="5" t="str">
        <x:v>1. 打开快捷日期菜单
2. 选择“自定义”</x:v>
      </x:c>
      <x:c r="K17" s="5" t="str">
        <x:v>页面打开标题为“选择日期”的日期选择器</x:v>
      </x:c>
      <x:c r="L17" s="5" t="str"/>
      <x:c r="M17" s="5" t="str">
        <x:v>未测</x:v>
      </x:c>
      <x:c r="N17" s="5" t="str"/>
      <x:c r="O17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8" ht="103.5" customHeight="1">
      <x:c r="A18" s="5" t="n">
        <x:v>17</x:v>
      </x:c>
      <x:c r="B18" s="5" t="str">
        <x:v>LREC-017</x:v>
      </x:c>
      <x:c r="C18" s="5" t="str">
        <x:v>用户App-直播记录模块</x:v>
      </x:c>
      <x:c r="D18" s="5" t="str">
        <x:v>自定义日期筛选</x:v>
      </x:c>
      <x:c r="E18" s="5" t="str">
        <x:v>功能需求</x:v>
      </x:c>
      <x:c r="F18" s="5" t="str">
        <x:v>P1</x:v>
      </x:c>
      <x:c r="G18" s="5" t="str">
        <x:v>验证日期按钮打开日期选择器</x:v>
      </x:c>
      <x:c r="H18" s="5" t="str">
        <x:v>日期按钮入口</x:v>
      </x:c>
      <x:c r="I18" s="5" t="str">
        <x:v>1. 主播已进入直播记录页</x:v>
      </x:c>
      <x:c r="J18" s="5" t="str">
        <x:v>1. 点击左侧日期范围按钮</x:v>
      </x:c>
      <x:c r="K18" s="5" t="str">
        <x:v>页面打开标题为“选择日期”的日期选择器</x:v>
      </x:c>
      <x:c r="L18" s="5" t="str"/>
      <x:c r="M18" s="5" t="str">
        <x:v>未测</x:v>
      </x:c>
      <x:c r="N18" s="5" t="str"/>
      <x:c r="O18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19" ht="67.5" customHeight="1">
      <x:c r="A19" s="5" t="n">
        <x:v>18</x:v>
      </x:c>
      <x:c r="B19" s="5" t="str">
        <x:v>LREC-018</x:v>
      </x:c>
      <x:c r="C19" s="5" t="str">
        <x:v>用户App-直播记录模块</x:v>
      </x:c>
      <x:c r="D19" s="5" t="str">
        <x:v>自定义日期筛选</x:v>
      </x:c>
      <x:c r="E19" s="5" t="str">
        <x:v>功能需求</x:v>
      </x:c>
      <x:c r="F19" s="5" t="str">
        <x:v>P2</x:v>
      </x:c>
      <x:c r="G19" s="5" t="str">
        <x:v>验证取消关闭日期选择器</x:v>
      </x:c>
      <x:c r="H19" s="5" t="str">
        <x:v>取消日期选择</x:v>
      </x:c>
      <x:c r="I19" s="5" t="str">
        <x:v>1. 日期选择器已打开</x:v>
      </x:c>
      <x:c r="J19" s="5" t="str">
        <x:v>1. 点击“取消”</x:v>
      </x:c>
      <x:c r="K19" s="5" t="str">
        <x:v>日期选择器关闭</x:v>
      </x:c>
      <x:c r="L19" s="5" t="str"/>
      <x:c r="M19" s="5" t="str">
        <x:v>未测</x:v>
      </x:c>
      <x:c r="N19" s="5" t="str"/>
      <x:c r="O19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0" ht="67.5" customHeight="1">
      <x:c r="A20" s="5" t="n">
        <x:v>19</x:v>
      </x:c>
      <x:c r="B20" s="5" t="str">
        <x:v>LREC-019</x:v>
      </x:c>
      <x:c r="C20" s="5" t="str">
        <x:v>用户App-直播记录模块</x:v>
      </x:c>
      <x:c r="D20" s="5" t="str">
        <x:v>自定义日期筛选</x:v>
      </x:c>
      <x:c r="E20" s="5" t="str">
        <x:v>逻辑校验</x:v>
      </x:c>
      <x:c r="F20" s="5" t="str">
        <x:v>P2</x:v>
      </x:c>
      <x:c r="G20" s="5" t="str">
        <x:v>验证取消后保留已应用日期</x:v>
      </x:c>
      <x:c r="H20" s="5" t="str">
        <x:v>取消保留日期</x:v>
      </x:c>
      <x:c r="I20" s="5" t="str">
        <x:v>1. 已应用日期范围为 12/8/2026 ~ 15/8/2026
2. 日期选择器已打开</x:v>
      </x:c>
      <x:c r="J20" s="5" t="str">
        <x:v>1. 在日历中选择 17/8/2026
2. 点击“取消”</x:v>
      </x:c>
      <x:c r="K20" s="5" t="str">
        <x:v>日期范围按钮仍显示 12/8/2026 ~ 15/8/2026</x:v>
      </x:c>
      <x:c r="L20" s="5" t="str"/>
      <x:c r="M20" s="5" t="str">
        <x:v>未测</x:v>
      </x:c>
      <x:c r="N20" s="5" t="str"/>
      <x:c r="O20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1" ht="67.5" customHeight="1">
      <x:c r="A21" s="5" t="n">
        <x:v>20</x:v>
      </x:c>
      <x:c r="B21" s="5" t="str">
        <x:v>LREC-020</x:v>
      </x:c>
      <x:c r="C21" s="5" t="str">
        <x:v>用户App-直播记录模块</x:v>
      </x:c>
      <x:c r="D21" s="5" t="str">
        <x:v>自定义日期筛选</x:v>
      </x:c>
      <x:c r="E21" s="5" t="str">
        <x:v>功能需求</x:v>
      </x:c>
      <x:c r="F21" s="5" t="str">
        <x:v>P3</x:v>
      </x:c>
      <x:c r="G21" s="5" t="str">
        <x:v>验证点击遮罩关闭日期选择器</x:v>
      </x:c>
      <x:c r="H21" s="5" t="str">
        <x:v>遮罩关闭日期选择</x:v>
      </x:c>
      <x:c r="I21" s="5" t="str">
        <x:v>1. 日期选择器已打开</x:v>
      </x:c>
      <x:c r="J21" s="5" t="str">
        <x:v>1. 点击日期选择器外的遮罩区域</x:v>
      </x:c>
      <x:c r="K21" s="5" t="str">
        <x:v>日期选择器关闭</x:v>
      </x:c>
      <x:c r="L21" s="5" t="str"/>
      <x:c r="M21" s="5" t="str">
        <x:v>未测</x:v>
      </x:c>
      <x:c r="N21" s="5" t="str"/>
      <x:c r="O21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2" ht="67.5" customHeight="1">
      <x:c r="A22" s="5" t="n">
        <x:v>21</x:v>
      </x:c>
      <x:c r="B22" s="5" t="str">
        <x:v>LREC-021</x:v>
      </x:c>
      <x:c r="C22" s="5" t="str">
        <x:v>用户App-直播记录模块</x:v>
      </x:c>
      <x:c r="D22" s="5" t="str">
        <x:v>自定义日期筛选</x:v>
      </x:c>
      <x:c r="E22" s="5" t="str">
        <x:v>功能需求</x:v>
      </x:c>
      <x:c r="F22" s="5" t="str">
        <x:v>P2</x:v>
      </x:c>
      <x:c r="G22" s="5" t="str">
        <x:v>验证日历切换到上个月</x:v>
      </x:c>
      <x:c r="H22" s="5" t="str">
        <x:v>上个月切换</x:v>
      </x:c>
      <x:c r="I22" s="5" t="str">
        <x:v>1. 日期选择器当前显示 2026 年 8 月</x:v>
      </x:c>
      <x:c r="J22" s="5" t="str">
        <x:v>1. 点击日历左侧月份切换按钮</x:v>
      </x:c>
      <x:c r="K22" s="5" t="str">
        <x:v>日历标题显示“2026年7月”</x:v>
      </x:c>
      <x:c r="L22" s="5" t="str"/>
      <x:c r="M22" s="5" t="str">
        <x:v>未测</x:v>
      </x:c>
      <x:c r="N22" s="5" t="str"/>
      <x:c r="O22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3" ht="67.5" customHeight="1">
      <x:c r="A23" s="5" t="n">
        <x:v>22</x:v>
      </x:c>
      <x:c r="B23" s="5" t="str">
        <x:v>LREC-022</x:v>
      </x:c>
      <x:c r="C23" s="5" t="str">
        <x:v>用户App-直播记录模块</x:v>
      </x:c>
      <x:c r="D23" s="5" t="str">
        <x:v>自定义日期筛选</x:v>
      </x:c>
      <x:c r="E23" s="5" t="str">
        <x:v>功能需求</x:v>
      </x:c>
      <x:c r="F23" s="5" t="str">
        <x:v>P2</x:v>
      </x:c>
      <x:c r="G23" s="5" t="str">
        <x:v>验证日历切换到下个月</x:v>
      </x:c>
      <x:c r="H23" s="5" t="str">
        <x:v>下个月切换</x:v>
      </x:c>
      <x:c r="I23" s="5" t="str">
        <x:v>1. 日期选择器当前显示 2026 年 8 月</x:v>
      </x:c>
      <x:c r="J23" s="5" t="str">
        <x:v>1. 点击日历右侧月份切换按钮</x:v>
      </x:c>
      <x:c r="K23" s="5" t="str">
        <x:v>日历标题显示“2026年9月”</x:v>
      </x:c>
      <x:c r="L23" s="5" t="str"/>
      <x:c r="M23" s="5" t="str">
        <x:v>未测</x:v>
      </x:c>
      <x:c r="N23" s="5" t="str"/>
      <x:c r="O23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24" ht="103.5" customHeight="1">
      <x:c r="A24" s="5" t="n">
        <x:v>23</x:v>
      </x:c>
      <x:c r="B24" s="5" t="str">
        <x:v>LREC-023</x:v>
      </x:c>
      <x:c r="C24" s="5" t="str">
        <x:v>用户App-直播记录模块</x:v>
      </x:c>
      <x:c r="D24" s="5" t="str">
        <x:v>自定义日期筛选</x:v>
      </x:c>
      <x:c r="E24" s="5" t="str">
        <x:v>逻辑校验</x:v>
      </x:c>
      <x:c r="F24" s="5" t="str">
        <x:v>P1</x:v>
      </x:c>
      <x:c r="G24" s="5" t="str">
        <x:v>验证确认单日后回显纯日期</x:v>
      </x:c>
      <x:c r="H24" s="5" t="str">
        <x:v>单日日期回显</x:v>
      </x:c>
      <x:c r="I24" s="5" t="str">
        <x:v>1. 日期选择器已打开</x:v>
      </x:c>
      <x:c r="J24" s="5" t="str">
        <x:v>1. 选择 15/8/2026
2. 点击“确定”</x:v>
      </x:c>
      <x:c r="K24" s="5" t="str">
        <x:v>日期范围按钮显示“15/8/2026”</x:v>
      </x:c>
      <x:c r="L24" s="5" t="str"/>
      <x:c r="M24" s="5" t="str">
        <x:v>未测</x:v>
      </x:c>
      <x:c r="N24" s="5" t="str"/>
      <x:c r="O24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25" ht="103.5" customHeight="1">
      <x:c r="A25" s="5" t="n">
        <x:v>24</x:v>
      </x:c>
      <x:c r="B25" s="5" t="str">
        <x:v>LREC-024</x:v>
      </x:c>
      <x:c r="C25" s="5" t="str">
        <x:v>用户App-直播记录模块</x:v>
      </x:c>
      <x:c r="D25" s="5" t="str">
        <x:v>自定义日期筛选</x:v>
      </x:c>
      <x:c r="E25" s="5" t="str">
        <x:v>逻辑校验</x:v>
      </x:c>
      <x:c r="F25" s="5" t="str">
        <x:v>P1</x:v>
      </x:c>
      <x:c r="G25" s="5" t="str">
        <x:v>验证单日筛选记录范围</x:v>
      </x:c>
      <x:c r="H25" s="5" t="str">
        <x:v>单日记录范围</x:v>
      </x:c>
      <x:c r="I25" s="5" t="str">
        <x:v>1. 2026-08-15 存在一场记录
2. 2026-08-12 存在一场记录</x:v>
      </x:c>
      <x:c r="J25" s="5" t="str">
        <x:v>1. 将自定义日期设置为 15/8/2026
2. 查看记录列表</x:v>
      </x:c>
      <x:c r="K25" s="5" t="str">
        <x:v>记录列表结果集仅包含 2026-08-15 的一场记录</x:v>
      </x:c>
      <x:c r="L25" s="5" t="str"/>
      <x:c r="M25" s="5" t="str">
        <x:v>未测</x:v>
      </x:c>
      <x:c r="N25" s="5" t="str"/>
      <x:c r="O25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26" ht="115.5" customHeight="1">
      <x:c r="A26" s="5" t="n">
        <x:v>25</x:v>
      </x:c>
      <x:c r="B26" s="5" t="str">
        <x:v>LREC-025</x:v>
      </x:c>
      <x:c r="C26" s="5" t="str">
        <x:v>用户App-直播记录模块</x:v>
      </x:c>
      <x:c r="D26" s="5" t="str">
        <x:v>自定义日期筛选</x:v>
      </x:c>
      <x:c r="E26" s="5" t="str">
        <x:v>逻辑校验</x:v>
      </x:c>
      <x:c r="F26" s="5" t="str">
        <x:v>P1</x:v>
      </x:c>
      <x:c r="G26" s="5" t="str">
        <x:v>验证单日筛选收益汇总</x:v>
      </x:c>
      <x:c r="H26" s="5" t="str">
        <x:v>单日收益汇总</x:v>
      </x:c>
      <x:c r="I26" s="5" t="str">
        <x:v>1. 收益定义为所选日期内各场本场收益的整数之和
2. 2026-08-15 仅有一场收益为 1,904 的记录</x:v>
      </x:c>
      <x:c r="J26" s="5" t="str">
        <x:v>1. 将自定义日期设置为 15/8/2026
2. 查看收益汇总</x:v>
      </x:c>
      <x:c r="K26" s="5" t="str">
        <x:v>收益 = 1,904</x:v>
      </x:c>
      <x:c r="L26" s="5" t="str"/>
      <x:c r="M26" s="5" t="str">
        <x:v>未测</x:v>
      </x:c>
      <x:c r="N26" s="5" t="str"/>
      <x:c r="O26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27" ht="115.5" customHeight="1">
      <x:c r="A27" s="5" t="n">
        <x:v>26</x:v>
      </x:c>
      <x:c r="B27" s="5" t="str">
        <x:v>LREC-026</x:v>
      </x:c>
      <x:c r="C27" s="5" t="str">
        <x:v>用户App-直播记录模块</x:v>
      </x:c>
      <x:c r="D27" s="5" t="str">
        <x:v>自定义日期筛选</x:v>
      </x:c>
      <x:c r="E27" s="5" t="str">
        <x:v>逻辑校验</x:v>
      </x:c>
      <x:c r="F27" s="5" t="str">
        <x:v>P1</x:v>
      </x:c>
      <x:c r="G27" s="5" t="str">
        <x:v>验证单日筛选总时长汇总</x:v>
      </x:c>
      <x:c r="H27" s="5" t="str">
        <x:v>单日总时长汇总</x:v>
      </x:c>
      <x:c r="I27" s="5" t="str">
        <x:v>1. 总时长定义为所选日期内各场直播时长按分钟相加
2. 2026-08-15 仅有一场时长为 1h42m 的记录</x:v>
      </x:c>
      <x:c r="J27" s="5" t="str">
        <x:v>1. 将自定义日期设置为 15/8/2026
2. 查看总时长汇总</x:v>
      </x:c>
      <x:c r="K27" s="5" t="str">
        <x:v>总时长 = 102 分钟 = 1h42m</x:v>
      </x:c>
      <x:c r="L27" s="5" t="str"/>
      <x:c r="M27" s="5" t="str">
        <x:v>未测</x:v>
      </x:c>
      <x:c r="N27" s="5" t="str"/>
      <x:c r="O27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28" ht="115.5" customHeight="1">
      <x:c r="A28" s="5" t="n">
        <x:v>27</x:v>
      </x:c>
      <x:c r="B28" s="5" t="str">
        <x:v>LREC-027</x:v>
      </x:c>
      <x:c r="C28" s="5" t="str">
        <x:v>用户App-直播记录模块</x:v>
      </x:c>
      <x:c r="D28" s="5" t="str">
        <x:v>自定义日期筛选</x:v>
      </x:c>
      <x:c r="E28" s="5" t="str">
        <x:v>逻辑校验</x:v>
      </x:c>
      <x:c r="F28" s="5" t="str">
        <x:v>P1</x:v>
      </x:c>
      <x:c r="G28" s="5" t="str">
        <x:v>验证单日筛选直播场次汇总</x:v>
      </x:c>
      <x:c r="H28" s="5" t="str">
        <x:v>单日场次汇总</x:v>
      </x:c>
      <x:c r="I28" s="5" t="str">
        <x:v>1. 直播场次定义为所选日期内的直播记录数量
2. 2026-08-15 仅有一场记录</x:v>
      </x:c>
      <x:c r="J28" s="5" t="str">
        <x:v>1. 将自定义日期设置为 15/8/2026
2. 查看直播场次汇总</x:v>
      </x:c>
      <x:c r="K28" s="5" t="str">
        <x:v>直播场次 = 1</x:v>
      </x:c>
      <x:c r="L28" s="5" t="str"/>
      <x:c r="M28" s="5" t="str">
        <x:v>未测</x:v>
      </x:c>
      <x:c r="N28" s="5" t="str"/>
      <x:c r="O28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29" ht="67.5" customHeight="1">
      <x:c r="A29" s="5" t="n">
        <x:v>28</x:v>
      </x:c>
      <x:c r="B29" s="5" t="str">
        <x:v>LREC-028</x:v>
      </x:c>
      <x:c r="C29" s="5" t="str">
        <x:v>用户App-直播记录模块</x:v>
      </x:c>
      <x:c r="D29" s="5" t="str">
        <x:v>自定义日期筛选</x:v>
      </x:c>
      <x:c r="E29" s="5" t="str">
        <x:v>逻辑校验</x:v>
      </x:c>
      <x:c r="F29" s="5" t="str">
        <x:v>P1</x:v>
      </x:c>
      <x:c r="G29" s="5" t="str">
        <x:v>验证反向选择日期后按先后顺序回显</x:v>
      </x:c>
      <x:c r="H29" s="5" t="str">
        <x:v>反向日期归一</x:v>
      </x:c>
      <x:c r="I29" s="5" t="str">
        <x:v>1. 日期选择器已打开</x:v>
      </x:c>
      <x:c r="J29" s="5" t="str">
        <x:v>1. 先选择 15/8/2026
2. 再选择 12/8/2026
3. 点击“确定”</x:v>
      </x:c>
      <x:c r="K29" s="5" t="str">
        <x:v>日期范围按钮显示“12/8/2026 ~ 15/8/2026”</x:v>
      </x:c>
      <x:c r="L29" s="5" t="str"/>
      <x:c r="M29" s="5" t="str">
        <x:v>未测</x:v>
      </x:c>
      <x:c r="N29" s="5" t="str"/>
      <x:c r="O29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30" ht="103.5" customHeight="1">
      <x:c r="A30" s="5" t="n">
        <x:v>29</x:v>
      </x:c>
      <x:c r="B30" s="5" t="str">
        <x:v>LREC-029</x:v>
      </x:c>
      <x:c r="C30" s="5" t="str">
        <x:v>用户App-直播记录模块</x:v>
      </x:c>
      <x:c r="D30" s="5" t="str">
        <x:v>自定义日期筛选</x:v>
      </x:c>
      <x:c r="E30" s="5" t="str">
        <x:v>逻辑校验</x:v>
      </x:c>
      <x:c r="F30" s="5" t="str">
        <x:v>P1</x:v>
      </x:c>
      <x:c r="G30" s="5" t="str">
        <x:v>验证连续日期范围包含起止日</x:v>
      </x:c>
      <x:c r="H30" s="5" t="str">
        <x:v>日期范围闭区间</x:v>
      </x:c>
      <x:c r="I30" s="5" t="str">
        <x:v>1. 2026-08-12 和 2026-08-15 各存在一场记录
2. 2026-08-17 存在一场记录</x:v>
      </x:c>
      <x:c r="J30" s="5" t="str">
        <x:v>1. 将自定义日期范围设置为 12/8/2026 ~ 15/8/2026
2. 查看记录列表</x:v>
      </x:c>
      <x:c r="K30" s="5" t="str">
        <x:v>记录列表结果集仅包含 2026-08-12、2026-08-15 两场记录</x:v>
      </x:c>
      <x:c r="L30" s="5" t="str"/>
      <x:c r="M30" s="5" t="str">
        <x:v>未测</x:v>
      </x:c>
      <x:c r="N30" s="5" t="str"/>
      <x:c r="O30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31" ht="115.5" customHeight="1">
      <x:c r="A31" s="5" t="n">
        <x:v>30</x:v>
      </x:c>
      <x:c r="B31" s="5" t="str">
        <x:v>LREC-030</x:v>
      </x:c>
      <x:c r="C31" s="5" t="str">
        <x:v>用户App-直播记录模块</x:v>
      </x:c>
      <x:c r="D31" s="5" t="str">
        <x:v>自定义日期筛选</x:v>
      </x:c>
      <x:c r="E31" s="5" t="str">
        <x:v>逻辑校验</x:v>
      </x:c>
      <x:c r="F31" s="5" t="str">
        <x:v>P1</x:v>
      </x:c>
      <x:c r="G31" s="5" t="str">
        <x:v>验证连续日期范围收益汇总</x:v>
      </x:c>
      <x:c r="H31" s="5" t="str">
        <x:v>日期范围收益汇总</x:v>
      </x:c>
      <x:c r="I31" s="5" t="str">
        <x:v>1. 收益定义为所选范围内各场本场收益的整数之和
2. 2026-08-12 收益为 624
3. 2026-08-15 收益为 1,904</x:v>
      </x:c>
      <x:c r="J31" s="5" t="str">
        <x:v>1. 将自定义日期范围设置为 12/8/2026 ~ 15/8/2026
2. 查看收益汇总</x:v>
      </x:c>
      <x:c r="K31" s="5" t="str">
        <x:v>收益 = 624 + 1,904 = 2,528</x:v>
      </x:c>
      <x:c r="L31" s="5" t="str"/>
      <x:c r="M31" s="5" t="str">
        <x:v>未测</x:v>
      </x:c>
      <x:c r="N31" s="5" t="str"/>
      <x:c r="O31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32" ht="115.5" customHeight="1">
      <x:c r="A32" s="5" t="n">
        <x:v>31</x:v>
      </x:c>
      <x:c r="B32" s="5" t="str">
        <x:v>LREC-031</x:v>
      </x:c>
      <x:c r="C32" s="5" t="str">
        <x:v>用户App-直播记录模块</x:v>
      </x:c>
      <x:c r="D32" s="5" t="str">
        <x:v>自定义日期筛选</x:v>
      </x:c>
      <x:c r="E32" s="5" t="str">
        <x:v>逻辑校验</x:v>
      </x:c>
      <x:c r="F32" s="5" t="str">
        <x:v>P1</x:v>
      </x:c>
      <x:c r="G32" s="5" t="str">
        <x:v>验证连续日期范围总时长汇总</x:v>
      </x:c>
      <x:c r="H32" s="5" t="str">
        <x:v>日期范围总时长汇总</x:v>
      </x:c>
      <x:c r="I32" s="5" t="str">
        <x:v>1. 总时长定义为所选范围内各场直播时长按分钟相加
2. 2026-08-12 时长为 56m
3. 2026-08-15 时长为 1h42m</x:v>
      </x:c>
      <x:c r="J32" s="5" t="str">
        <x:v>1. 将自定义日期范围设置为 12/8/2026 ~ 15/8/2026
2. 查看总时长汇总</x:v>
      </x:c>
      <x:c r="K32" s="5" t="str">
        <x:v>总时长 = 56 分钟 + 102 分钟 = 158 分钟 = 2h38m</x:v>
      </x:c>
      <x:c r="L32" s="5" t="str"/>
      <x:c r="M32" s="5" t="str">
        <x:v>未测</x:v>
      </x:c>
      <x:c r="N32" s="5" t="str"/>
      <x:c r="O32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33" ht="115.5" customHeight="1">
      <x:c r="A33" s="5" t="n">
        <x:v>32</x:v>
      </x:c>
      <x:c r="B33" s="5" t="str">
        <x:v>LREC-032</x:v>
      </x:c>
      <x:c r="C33" s="5" t="str">
        <x:v>用户App-直播记录模块</x:v>
      </x:c>
      <x:c r="D33" s="5" t="str">
        <x:v>自定义日期筛选</x:v>
      </x:c>
      <x:c r="E33" s="5" t="str">
        <x:v>逻辑校验</x:v>
      </x:c>
      <x:c r="F33" s="5" t="str">
        <x:v>P1</x:v>
      </x:c>
      <x:c r="G33" s="5" t="str">
        <x:v>验证连续日期范围直播场次汇总</x:v>
      </x:c>
      <x:c r="H33" s="5" t="str">
        <x:v>日期范围场次汇总</x:v>
      </x:c>
      <x:c r="I33" s="5" t="str">
        <x:v>1. 直播场次定义为所选范围内的直播记录数量
2. 2026-08-12 至 2026-08-15 内有 2 场记录</x:v>
      </x:c>
      <x:c r="J33" s="5" t="str">
        <x:v>1. 将自定义日期范围设置为 12/8/2026 ~ 15/8/2026
2. 查看直播场次汇总</x:v>
      </x:c>
      <x:c r="K33" s="5" t="str">
        <x:v>直播场次 = 2</x:v>
      </x:c>
      <x:c r="L33" s="5" t="str"/>
      <x:c r="M33" s="5" t="str">
        <x:v>未测</x:v>
      </x:c>
      <x:c r="N33" s="5" t="str"/>
      <x:c r="O33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34" ht="67.5" customHeight="1">
      <x:c r="A34" s="5" t="n">
        <x:v>33</x:v>
      </x:c>
      <x:c r="B34" s="5" t="str">
        <x:v>LREC-033</x:v>
      </x:c>
      <x:c r="C34" s="5" t="str">
        <x:v>用户App-直播记录模块</x:v>
      </x:c>
      <x:c r="D34" s="5" t="str">
        <x:v>自定义日期筛选</x:v>
      </x:c>
      <x:c r="E34" s="5" t="str">
        <x:v>逻辑校验</x:v>
      </x:c>
      <x:c r="F34" s="5" t="str">
        <x:v>P2</x:v>
      </x:c>
      <x:c r="G34" s="5" t="str">
        <x:v>验证连续选择同一天保持单日范围</x:v>
      </x:c>
      <x:c r="H34" s="5" t="str">
        <x:v>重复日期单日范围</x:v>
      </x:c>
      <x:c r="I34" s="5" t="str">
        <x:v>1. 日期选择器已打开</x:v>
      </x:c>
      <x:c r="J34" s="5" t="str">
        <x:v>1. 选择 15/8/2026
2. 再次选择 15/8/2026
3. 点击“确定”</x:v>
      </x:c>
      <x:c r="K34" s="5" t="str">
        <x:v>日期范围按钮显示“15/8/2026”</x:v>
      </x:c>
      <x:c r="L34" s="5" t="str"/>
      <x:c r="M34" s="5" t="str">
        <x:v>未测</x:v>
      </x:c>
      <x:c r="N34" s="5" t="str"/>
      <x:c r="O34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35" ht="67.5" customHeight="1">
      <x:c r="A35" s="5" t="n">
        <x:v>34</x:v>
      </x:c>
      <x:c r="B35" s="5" t="str">
        <x:v>LREC-034</x:v>
      </x:c>
      <x:c r="C35" s="5" t="str">
        <x:v>用户App-直播记录模块</x:v>
      </x:c>
      <x:c r="D35" s="5" t="str">
        <x:v>无记录日期</x:v>
      </x:c>
      <x:c r="E35" s="5" t="str">
        <x:v>功能需求</x:v>
      </x:c>
      <x:c r="F35" s="5" t="str">
        <x:v>P2</x:v>
      </x:c>
      <x:c r="G35" s="5" t="str">
        <x:v>验证无记录日期的列表结果</x:v>
      </x:c>
      <x:c r="H35" s="5" t="str">
        <x:v>无记录列表</x:v>
      </x:c>
      <x:c r="I35" s="5" t="str">
        <x:v>1. 2026-07-01 没有直播记录</x:v>
      </x:c>
      <x:c r="J35" s="5" t="str">
        <x:v>1. 将自定义日期设置为 1/7/2026
2. 查看记录列表</x:v>
      </x:c>
      <x:c r="K35" s="5" t="str">
        <x:v>记录列表不展示任何直播记录卡片</x:v>
      </x:c>
      <x:c r="L35" s="5" t="str"/>
      <x:c r="M35" s="5" t="str">
        <x:v>未测</x:v>
      </x:c>
      <x:c r="N35" s="5" t="str"/>
      <x:c r="O35" s="5" t="str">
        <x:v>1. 来源：prototype/pages/user/host/live-records.html 与当页交互脚本；未连接真实后端动态验证
2. 同步追溯：work/liveshow-user-live-records/prototype-context-sync-result.json；RSL-0003
3. 质量检查：按 RCL-0018 使用最小前置条件和单一业务分支</x:v>
      </x:c>
    </x:row>
    <x:row r="36" ht="79.5" customHeight="1">
      <x:c r="A36" s="5" t="n">
        <x:v>35</x:v>
      </x:c>
      <x:c r="B36" s="5" t="str">
        <x:v>LREC-035</x:v>
      </x:c>
      <x:c r="C36" s="5" t="str">
        <x:v>用户App-直播记录模块</x:v>
      </x:c>
      <x:c r="D36" s="5" t="str">
        <x:v>无记录日期</x:v>
      </x:c>
      <x:c r="E36" s="5" t="str">
        <x:v>逻辑校验</x:v>
      </x:c>
      <x:c r="F36" s="5" t="str">
        <x:v>P2</x:v>
      </x:c>
      <x:c r="G36" s="5" t="str">
        <x:v>验证无记录日期的收益汇总</x:v>
      </x:c>
      <x:c r="H36" s="5" t="str">
        <x:v>无记录收益</x:v>
      </x:c>
      <x:c r="I36" s="5" t="str">
        <x:v>1. 收益定义为所选日期内各场本场收益的整数之和
2. 2026-07-01 没有直播记录</x:v>
      </x:c>
      <x:c r="J36" s="5" t="str">
        <x:v>1. 将自定义日期设置为 1/7/2026
2. 查看收益汇总</x:v>
      </x:c>
      <x:c r="K36" s="5" t="str">
        <x:v>收益 = 0</x:v>
      </x:c>
      <x:c r="L36" s="5" t="str"/>
      <x:c r="M36" s="5" t="str">
        <x:v>未测</x:v>
      </x:c>
      <x:c r="N36" s="5" t="str"/>
      <x:c r="O36" s="5" t="str">
        <x:v>1. 来源：prototype/assets/annotations.js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37" ht="79.5" customHeight="1">
      <x:c r="A37" s="5" t="n">
        <x:v>36</x:v>
      </x:c>
      <x:c r="B37" s="5" t="str">
        <x:v>LREC-036</x:v>
      </x:c>
      <x:c r="C37" s="5" t="str">
        <x:v>用户App-直播记录模块</x:v>
      </x:c>
      <x:c r="D37" s="5" t="str">
        <x:v>无记录日期</x:v>
      </x:c>
      <x:c r="E37" s="5" t="str">
        <x:v>逻辑校验</x:v>
      </x:c>
      <x:c r="F37" s="5" t="str">
        <x:v>P2</x:v>
      </x:c>
      <x:c r="G37" s="5" t="str">
        <x:v>验证无记录日期的总时长汇总</x:v>
      </x:c>
      <x:c r="H37" s="5" t="str">
        <x:v>无记录总时长</x:v>
      </x:c>
      <x:c r="I37" s="5" t="str">
        <x:v>1. 总时长定义为所选日期内各场直播时长按分钟相加
2. 2026-07-01 没有直播记录</x:v>
      </x:c>
      <x:c r="J37" s="5" t="str">
        <x:v>1. 将自定义日期设置为 1/7/2026
2. 查看总时长汇总</x:v>
      </x:c>
      <x:c r="K37" s="5" t="str">
        <x:v>总时长 = 0 分钟 = 0h0m</x:v>
      </x:c>
      <x:c r="L37" s="5" t="str"/>
      <x:c r="M37" s="5" t="str">
        <x:v>未测</x:v>
      </x:c>
      <x:c r="N37" s="5" t="str"/>
      <x:c r="O37" s="5" t="str">
        <x:v>1. 来源：prototype/assets/annotations.js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38" ht="79.5" customHeight="1">
      <x:c r="A38" s="5" t="n">
        <x:v>37</x:v>
      </x:c>
      <x:c r="B38" s="5" t="str">
        <x:v>LREC-037</x:v>
      </x:c>
      <x:c r="C38" s="5" t="str">
        <x:v>用户App-直播记录模块</x:v>
      </x:c>
      <x:c r="D38" s="5" t="str">
        <x:v>无记录日期</x:v>
      </x:c>
      <x:c r="E38" s="5" t="str">
        <x:v>逻辑校验</x:v>
      </x:c>
      <x:c r="F38" s="5" t="str">
        <x:v>P2</x:v>
      </x:c>
      <x:c r="G38" s="5" t="str">
        <x:v>验证无记录日期的直播场次汇总</x:v>
      </x:c>
      <x:c r="H38" s="5" t="str">
        <x:v>无记录场次</x:v>
      </x:c>
      <x:c r="I38" s="5" t="str">
        <x:v>1. 直播场次定义为所选日期内的直播记录数量
2. 2026-07-01 没有直播记录</x:v>
      </x:c>
      <x:c r="J38" s="5" t="str">
        <x:v>1. 将自定义日期设置为 1/7/2026
2. 查看直播场次汇总</x:v>
      </x:c>
      <x:c r="K38" s="5" t="str">
        <x:v>直播场次 = 0</x:v>
      </x:c>
      <x:c r="L38" s="5" t="str"/>
      <x:c r="M38" s="5" t="str">
        <x:v>未测</x:v>
      </x:c>
      <x:c r="N38" s="5" t="str"/>
      <x:c r="O38" s="5" t="str">
        <x:v>1. 来源：prototype/assets/annotations.js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39" ht="115.5" customHeight="1">
      <x:c r="A39" s="5" t="n">
        <x:v>38</x:v>
      </x:c>
      <x:c r="B39" s="5" t="str">
        <x:v>LREC-038</x:v>
      </x:c>
      <x:c r="C39" s="5" t="str">
        <x:v>用户App-直播记录模块</x:v>
      </x:c>
      <x:c r="D39" s="5" t="str">
        <x:v>记录卡片</x:v>
      </x:c>
      <x:c r="E39" s="5" t="str">
        <x:v>功能需求</x:v>
      </x:c>
      <x:c r="F39" s="5" t="str">
        <x:v>P1</x:v>
      </x:c>
      <x:c r="G39" s="5" t="str">
        <x:v>验证记录卡片展示开播时标题</x:v>
      </x:c>
      <x:c r="H39" s="5" t="str">
        <x:v>历史标题展示</x:v>
      </x:c>
      <x:c r="I39" s="5" t="str">
        <x:v>1. 目标历史记录的开播时标题为“今晚唱到你睡着”</x:v>
      </x:c>
      <x:c r="J39" s="5" t="str">
        <x:v>1. 进入直播记录页
2. 查看目标记录标题</x:v>
      </x:c>
      <x:c r="K39" s="5" t="str">
        <x:v>目标记录标题显示“今晚唱到你睡着”</x:v>
      </x:c>
      <x:c r="L39" s="5" t="str"/>
      <x:c r="M39" s="5" t="str">
        <x:v>未测</x:v>
      </x:c>
      <x:c r="N39" s="5" t="str"/>
      <x:c r="O39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0" ht="115.5" customHeight="1">
      <x:c r="A40" s="5" t="n">
        <x:v>39</x:v>
      </x:c>
      <x:c r="B40" s="5" t="str">
        <x:v>LREC-039</x:v>
      </x:c>
      <x:c r="C40" s="5" t="str">
        <x:v>用户App-直播记录模块</x:v>
      </x:c>
      <x:c r="D40" s="5" t="str">
        <x:v>记录卡片</x:v>
      </x:c>
      <x:c r="E40" s="5" t="str">
        <x:v>功能需求</x:v>
      </x:c>
      <x:c r="F40" s="5" t="str">
        <x:v>P1</x:v>
      </x:c>
      <x:c r="G40" s="5" t="str">
        <x:v>验证记录卡片展示开播时封面</x:v>
      </x:c>
      <x:c r="H40" s="5" t="str">
        <x:v>历史封面展示</x:v>
      </x:c>
      <x:c r="I40" s="5" t="str">
        <x:v>1. 目标历史记录已保存开播时封面</x:v>
      </x:c>
      <x:c r="J40" s="5" t="str">
        <x:v>1. 进入直播记录页
2. 查看目标记录封面</x:v>
      </x:c>
      <x:c r="K40" s="5" t="str">
        <x:v>目标记录展示该场直播开播时保存的封面</x:v>
      </x:c>
      <x:c r="L40" s="5" t="str"/>
      <x:c r="M40" s="5" t="str">
        <x:v>未测</x:v>
      </x:c>
      <x:c r="N40" s="5" t="str"/>
      <x:c r="O40" s="5" t="str">
        <x:v>1. 来源：context/01-用户主播App-项目需求清单.md（2026-08-31 按原型同步，RSL-0003）
2. 来源：prototype/assets/annotations.js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1" ht="103.5" customHeight="1">
      <x:c r="A41" s="5" t="n">
        <x:v>40</x:v>
      </x:c>
      <x:c r="B41" s="5" t="str">
        <x:v>LREC-040</x:v>
      </x:c>
      <x:c r="C41" s="5" t="str">
        <x:v>用户App-直播记录模块</x:v>
      </x:c>
      <x:c r="D41" s="5" t="str">
        <x:v>记录卡片</x:v>
      </x:c>
      <x:c r="E41" s="5" t="str">
        <x:v>逻辑校验</x:v>
      </x:c>
      <x:c r="F41" s="5" t="str">
        <x:v>P1</x:v>
      </x:c>
      <x:c r="G41" s="5" t="str">
        <x:v>验证记录卡片的开播时间格式</x:v>
      </x:c>
      <x:c r="H41" s="5" t="str">
        <x:v>开播时间格式</x:v>
      </x:c>
      <x:c r="I41" s="5" t="str">
        <x:v>1. 目标历史记录的开播时间为 2026-08-17 20:06</x:v>
      </x:c>
      <x:c r="J41" s="5" t="str">
        <x:v>1. 进入直播记录页
2. 查看目标记录开播时间</x:v>
      </x:c>
      <x:c r="K41" s="5" t="str">
        <x:v>目标记录开播时间显示为“17/8/2026 20.06”</x:v>
      </x:c>
      <x:c r="L41" s="5" t="str"/>
      <x:c r="M41" s="5" t="str">
        <x:v>未测</x:v>
      </x:c>
      <x:c r="N41" s="5" t="str"/>
      <x:c r="O41" s="5" t="str">
        <x:v>1. 来源：context/01-用户主播App-项目需求清单.md（2026-08-31 按原型同步，RSL-0003）
2. 来源：prototype/assets/annotations.js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2" ht="103.5" customHeight="1">
      <x:c r="A42" s="5" t="n">
        <x:v>41</x:v>
      </x:c>
      <x:c r="B42" s="5" t="str">
        <x:v>LREC-041</x:v>
      </x:c>
      <x:c r="C42" s="5" t="str">
        <x:v>用户App-直播记录模块</x:v>
      </x:c>
      <x:c r="D42" s="5" t="str">
        <x:v>记录卡片</x:v>
      </x:c>
      <x:c r="E42" s="5" t="str">
        <x:v>功能需求</x:v>
      </x:c>
      <x:c r="F42" s="5" t="str">
        <x:v>P1</x:v>
      </x:c>
      <x:c r="G42" s="5" t="str">
        <x:v>验证记录卡片展示直播时长</x:v>
      </x:c>
      <x:c r="H42" s="5" t="str">
        <x:v>直播时长展示</x:v>
      </x:c>
      <x:c r="I42" s="5" t="str">
        <x:v>1. 目标历史记录的直播时长为 2h18m</x:v>
      </x:c>
      <x:c r="J42" s="5" t="str">
        <x:v>1. 进入直播记录页
2. 查看目标记录直播时长</x:v>
      </x:c>
      <x:c r="K42" s="5" t="str">
        <x:v>目标记录直播时长显示“2h18m”</x:v>
      </x:c>
      <x:c r="L42" s="5" t="str"/>
      <x:c r="M42" s="5" t="str">
        <x:v>未测</x:v>
      </x:c>
      <x:c r="N42" s="5" t="str"/>
      <x:c r="O42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3" ht="103.5" customHeight="1">
      <x:c r="A43" s="5" t="n">
        <x:v>42</x:v>
      </x:c>
      <x:c r="B43" s="5" t="str">
        <x:v>LREC-042</x:v>
      </x:c>
      <x:c r="C43" s="5" t="str">
        <x:v>用户App-直播记录模块</x:v>
      </x:c>
      <x:c r="D43" s="5" t="str">
        <x:v>记录卡片</x:v>
      </x:c>
      <x:c r="E43" s="5" t="str">
        <x:v>功能需求</x:v>
      </x:c>
      <x:c r="F43" s="5" t="str">
        <x:v>P1</x:v>
      </x:c>
      <x:c r="G43" s="5" t="str">
        <x:v>验证记录卡片展示本场收益</x:v>
      </x:c>
      <x:c r="H43" s="5" t="str">
        <x:v>本场收益展示</x:v>
      </x:c>
      <x:c r="I43" s="5" t="str">
        <x:v>1. 目标历史记录的本场收益为 3,156</x:v>
      </x:c>
      <x:c r="J43" s="5" t="str">
        <x:v>1. 进入直播记录页
2. 查看目标记录本场收益</x:v>
      </x:c>
      <x:c r="K43" s="5" t="str">
        <x:v>目标记录本场收益显示“+3.156”</x:v>
      </x:c>
      <x:c r="L43" s="5" t="str"/>
      <x:c r="M43" s="5" t="str">
        <x:v>未测</x:v>
      </x:c>
      <x:c r="N43" s="5" t="str"/>
      <x:c r="O43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4" ht="103.5" customHeight="1">
      <x:c r="A44" s="5" t="n">
        <x:v>43</x:v>
      </x:c>
      <x:c r="B44" s="5" t="str">
        <x:v>LREC-043</x:v>
      </x:c>
      <x:c r="C44" s="5" t="str">
        <x:v>用户App-直播记录模块</x:v>
      </x:c>
      <x:c r="D44" s="5" t="str">
        <x:v>记录卡片</x:v>
      </x:c>
      <x:c r="E44" s="5" t="str">
        <x:v>功能需求</x:v>
      </x:c>
      <x:c r="F44" s="5" t="str">
        <x:v>P1</x:v>
      </x:c>
      <x:c r="G44" s="5" t="str">
        <x:v>验证记录卡片展示观众人数</x:v>
      </x:c>
      <x:c r="H44" s="5" t="str">
        <x:v>观众人数展示</x:v>
      </x:c>
      <x:c r="I44" s="5" t="str">
        <x:v>1. 目标历史记录的观众人数为 1,286</x:v>
      </x:c>
      <x:c r="J44" s="5" t="str">
        <x:v>1. 进入直播记录页
2. 查看目标记录观众人数</x:v>
      </x:c>
      <x:c r="K44" s="5" t="str">
        <x:v>目标记录观众人数显示“1.286”</x:v>
      </x:c>
      <x:c r="L44" s="5" t="str"/>
      <x:c r="M44" s="5" t="str">
        <x:v>未测</x:v>
      </x:c>
      <x:c r="N44" s="5" t="str"/>
      <x:c r="O44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5" ht="103.5" customHeight="1">
      <x:c r="A45" s="5" t="n">
        <x:v>44</x:v>
      </x:c>
      <x:c r="B45" s="5" t="str">
        <x:v>LREC-044</x:v>
      </x:c>
      <x:c r="C45" s="5" t="str">
        <x:v>用户App-直播记录模块</x:v>
      </x:c>
      <x:c r="D45" s="5" t="str">
        <x:v>记录卡片</x:v>
      </x:c>
      <x:c r="E45" s="5" t="str">
        <x:v>功能需求</x:v>
      </x:c>
      <x:c r="F45" s="5" t="str">
        <x:v>P1</x:v>
      </x:c>
      <x:c r="G45" s="5" t="str">
        <x:v>验证记录卡片展示收礼数量</x:v>
      </x:c>
      <x:c r="H45" s="5" t="str">
        <x:v>收礼数量展示</x:v>
      </x:c>
      <x:c r="I45" s="5" t="str">
        <x:v>1. 目标历史记录的收礼数量为 4,820</x:v>
      </x:c>
      <x:c r="J45" s="5" t="str">
        <x:v>1. 进入直播记录页
2. 查看目标记录收礼数量</x:v>
      </x:c>
      <x:c r="K45" s="5" t="str">
        <x:v>目标记录收礼数量显示“4.820”</x:v>
      </x:c>
      <x:c r="L45" s="5" t="str"/>
      <x:c r="M45" s="5" t="str">
        <x:v>未测</x:v>
      </x:c>
      <x:c r="N45" s="5" t="str"/>
      <x:c r="O45" s="5" t="str">
        <x:v>1. 来源：context/01-用户主播App-项目需求清单.md（2026-08-31 按原型同步，RSL-0003）
2. 来源：prototype/assets/mock.js 的 liveRecords 字段口径
3. 来源：prototype/pages/user/host/live-records.html 与当页交互脚本；未连接真实后端动态验证
4. 同步追溯：work/liveshow-user-live-records/prototype-context-sync-result.json；RSL-0003
5. 质量检查：按 RCL-0018 使用最小前置条件和单一业务分支</x:v>
      </x:c>
    </x:row>
    <x:row r="46" ht="115.5" customHeight="1">
      <x:c r="A46" s="5" t="n">
        <x:v>45</x:v>
      </x:c>
      <x:c r="B46" s="5" t="str">
        <x:v>LREC-045</x:v>
      </x:c>
      <x:c r="C46" s="5" t="str">
        <x:v>用户App-直播记录模块</x:v>
      </x:c>
      <x:c r="D46" s="5" t="str">
        <x:v>记录卡片</x:v>
      </x:c>
      <x:c r="E46" s="5" t="str">
        <x:v>功能需求</x:v>
      </x:c>
      <x:c r="F46" s="5" t="str">
        <x:v>P1</x:v>
      </x:c>
      <x:c r="G46" s="5" t="str">
        <x:v>验证门票房记录展示房型标识</x:v>
      </x:c>
      <x:c r="H46" s="5" t="str">
        <x:v>门票房标识</x:v>
      </x:c>
      <x:c r="I46" s="5" t="str">
        <x:v>1. 目标历史记录的房间类型为门票房</x:v>
      </x:c>
      <x:c r="J46" s="5" t="str">
        <x:v>1. 进入直播记录页
2. 查看目标记录标题区域</x:v>
      </x:c>
      <x:c r="K46" s="5" t="str">
        <x:v>目标记录标题区域展示门票房标识</x:v>
      </x:c>
      <x:c r="L46" s="5" t="str"/>
      <x:c r="M46" s="5" t="str">
        <x:v>未测</x:v>
      </x:c>
      <x:c r="N46" s="5" t="str"/>
      <x:c r="O46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7" ht="115.5" customHeight="1">
      <x:c r="A47" s="5" t="n">
        <x:v>46</x:v>
      </x:c>
      <x:c r="B47" s="5" t="str">
        <x:v>LREC-046</x:v>
      </x:c>
      <x:c r="C47" s="5" t="str">
        <x:v>用户App-直播记录模块</x:v>
      </x:c>
      <x:c r="D47" s="5" t="str">
        <x:v>记录卡片</x:v>
      </x:c>
      <x:c r="E47" s="5" t="str">
        <x:v>功能需求</x:v>
      </x:c>
      <x:c r="F47" s="5" t="str">
        <x:v>P1</x:v>
      </x:c>
      <x:c r="G47" s="5" t="str">
        <x:v>验证密码房记录展示房型标识</x:v>
      </x:c>
      <x:c r="H47" s="5" t="str">
        <x:v>密码房标识</x:v>
      </x:c>
      <x:c r="I47" s="5" t="str">
        <x:v>1. 目标历史记录的房间类型为密码房</x:v>
      </x:c>
      <x:c r="J47" s="5" t="str">
        <x:v>1. 进入直播记录页
2. 查看目标记录标题区域</x:v>
      </x:c>
      <x:c r="K47" s="5" t="str">
        <x:v>目标记录标题区域展示密码房标识</x:v>
      </x:c>
      <x:c r="L47" s="5" t="str"/>
      <x:c r="M47" s="5" t="str">
        <x:v>未测</x:v>
      </x:c>
      <x:c r="N47" s="5" t="str"/>
      <x:c r="O47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8" ht="115.5" customHeight="1">
      <x:c r="A48" s="5" t="n">
        <x:v>47</x:v>
      </x:c>
      <x:c r="B48" s="5" t="str">
        <x:v>LREC-047</x:v>
      </x:c>
      <x:c r="C48" s="5" t="str">
        <x:v>用户App-直播记录模块</x:v>
      </x:c>
      <x:c r="D48" s="5" t="str">
        <x:v>记录卡片</x:v>
      </x:c>
      <x:c r="E48" s="5" t="str">
        <x:v>功能需求</x:v>
      </x:c>
      <x:c r="F48" s="5" t="str">
        <x:v>P2</x:v>
      </x:c>
      <x:c r="G48" s="5" t="str">
        <x:v>验证普通房记录不展示特殊房型标识</x:v>
      </x:c>
      <x:c r="H48" s="5" t="str">
        <x:v>普通房标识</x:v>
      </x:c>
      <x:c r="I48" s="5" t="str">
        <x:v>1. 目标历史记录的房间类型为普通房</x:v>
      </x:c>
      <x:c r="J48" s="5" t="str">
        <x:v>1. 进入直播记录页
2. 查看目标记录标题区域</x:v>
      </x:c>
      <x:c r="K48" s="5" t="str">
        <x:v>目标记录标题区域不展示门票房标识和密码房标识</x:v>
      </x:c>
      <x:c r="L48" s="5" t="str"/>
      <x:c r="M48" s="5" t="str">
        <x:v>未测</x:v>
      </x:c>
      <x:c r="N48" s="5" t="str"/>
      <x:c r="O48" s="5" t="str">
        <x:v>1. 来源：context/01-用户主播App-项目需求清单.md（2026-08-31 按原型同步，RSL-0003）
2. 来源：prototype/Luma Live-原型说明.md
3. 来源：prototype/assets/mock.js 的 liveRecords 字段口径
4. 来源：prototype/pages/user/host/live-records.html 与当页交互脚本；未连接真实后端动态验证
5. 同步追溯：work/liveshow-user-live-records/prototype-context-sync-result.json；RSL-0003
6. 质量检查：按 RCL-0018 使用最小前置条件和单一业务分支</x:v>
      </x:c>
    </x:row>
    <x:row r="49" ht="91.5" customHeight="1">
      <x:c r="A49" s="5" t="n">
        <x:v>48</x:v>
      </x:c>
      <x:c r="B49" s="5" t="str">
        <x:v>LREC-048</x:v>
      </x:c>
      <x:c r="C49" s="5" t="str">
        <x:v>用户App-直播记录模块</x:v>
      </x:c>
      <x:c r="D49" s="5" t="str">
        <x:v>记录卡片</x:v>
      </x:c>
      <x:c r="E49" s="5" t="str">
        <x:v>功能需求</x:v>
      </x:c>
      <x:c r="F49" s="5" t="str">
        <x:v>P2</x:v>
      </x:c>
      <x:c r="G49" s="5" t="str">
        <x:v>验证点击单场记录的操作反馈</x:v>
      </x:c>
      <x:c r="H49" s="5" t="str">
        <x:v>单场记录点击反馈</x:v>
      </x:c>
      <x:c r="I49" s="5" t="str">
        <x:v>1. 直播记录列表存在一场记录</x:v>
      </x:c>
      <x:c r="J49" s="5" t="str">
        <x:v>1. 点击该场直播记录卡片</x:v>
      </x:c>
      <x:c r="K49" s="5" t="str">
        <x:v>页面提示“查看本场直播数据”</x:v>
      </x:c>
      <x:c r="L49" s="5" t="str"/>
      <x:c r="M49" s="5" t="str">
        <x:v>未测</x:v>
      </x:c>
      <x:c r="N49" s="5" t="str"/>
      <x:c r="O49" s="5" t="str">
        <x:v>1. 来源：context/01-用户主播App-项目需求清单.md（2026-08-31 按原型同步，RSL-0003）
2. 来源：prototype/pages/user/host/live-records.html 与当页交互脚本；未连接真实后端动态验证
3. 同步追溯：work/liveshow-user-live-records/prototype-context-sync-result.json；RSL-0003
4. 质量检查：按 RCL-0018 使用最小前置条件和单一业务分支</x:v>
      </x:c>
    </x:row>
    <x:row r="50" ht="91.5" customHeight="1">
      <x:c r="A50" s="5" t="n">
        <x:v>49</x:v>
      </x:c>
      <x:c r="B50" s="5" t="str">
        <x:v>LREC-049</x:v>
      </x:c>
      <x:c r="C50" s="5" t="str">
        <x:v>用户App-直播记录模块</x:v>
      </x:c>
      <x:c r="D50" s="5" t="str">
        <x:v>记录生成</x:v>
      </x:c>
      <x:c r="E50" s="5" t="str">
        <x:v>业务流程</x:v>
      </x:c>
      <x:c r="F50" s="5" t="str">
        <x:v>P1</x:v>
      </x:c>
      <x:c r="G50" s="5" t="str">
        <x:v>验证结束直播后生成历史记录</x:v>
      </x:c>
      <x:c r="H50" s="5" t="str">
        <x:v>结束直播生成记录</x:v>
      </x:c>
      <x:c r="I50" s="5" t="str">
        <x:v>1. 主播存在一场进行中的直播
2. 本场直播标识为 LIVE-SESSION-001</x:v>
      </x:c>
      <x:c r="J50" s="5" t="str">
        <x:v>1. 主播确认结束 LIVE-SESSION-001
2. 进入直播记录页
3. 查询 LIVE-SESSION-001</x:v>
      </x:c>
      <x:c r="K50" s="5" t="str">
        <x:v>直播记录列表新增 LIVE-SESSION-001 对应的历史记录</x:v>
      </x:c>
      <x:c r="L50" s="5" t="str">
        <x:v>FLOW-LREC-001</x:v>
      </x:c>
      <x:c r="M50" s="5" t="str">
        <x:v>未测</x:v>
      </x:c>
      <x:c r="N50" s="5" t="str"/>
      <x:c r="O50" s="5" t="str">
        <x:v>1. 来源：context/01-用户主播App-角色与用例.md 的结束直播业务结果
2. 来源：context/01-用户主播App-角色与用例.md
3. 流程阶段：主播结束直播后在直播记录模块观察记录生成
4. 共同业务对象：直播场次 LIVE-SESSION-001
5. 同步追溯：work/liveshow-user-live-records/prototype-context-sync-result.json；RSL-0003
6. 质量检查：按 RCL-0018 使用最小前置条件和单一业务分支</x:v>
      </x:c>
    </x:row>
    <x:row r="51" ht="103.5" customHeight="1">
      <x:c r="A51" s="5" t="n">
        <x:v>50</x:v>
      </x:c>
      <x:c r="B51" s="5" t="str">
        <x:v>LREC-050</x:v>
      </x:c>
      <x:c r="C51" s="5" t="str">
        <x:v>用户App-直播记录模块</x:v>
      </x:c>
      <x:c r="D51" s="5" t="str">
        <x:v>记录生成</x:v>
      </x:c>
      <x:c r="E51" s="5" t="str">
        <x:v>业务流程</x:v>
      </x:c>
      <x:c r="F51" s="5" t="str">
        <x:v>P1</x:v>
      </x:c>
      <x:c r="G51" s="5" t="str">
        <x:v>验证新记录计入收益汇总</x:v>
      </x:c>
      <x:c r="H51" s="5" t="str">
        <x:v>新记录收益汇总</x:v>
      </x:c>
      <x:c r="I51" s="5" t="str">
        <x:v>1. 筛选范围原有三场收益为 3,156、1,904、624 的记录
2. 新结束场次 LIVE-SESSION-001 的本场收益为 100
3. LIVE-SESSION-001 的日期位于当前筛选范围内</x:v>
      </x:c>
      <x:c r="J51" s="5" t="str">
        <x:v>1. 结束 LIVE-SESSION-001
2. 进入直播记录页
3. 查看当前范围收益汇总</x:v>
      </x:c>
      <x:c r="K51" s="5" t="str">
        <x:v>收益 = 3,156 + 1,904 + 624 + 100 = 5,784</x:v>
      </x:c>
      <x:c r="L51" s="5" t="str">
        <x:v>FLOW-LREC-001</x:v>
      </x:c>
      <x:c r="M51" s="5" t="str">
        <x:v>未测</x:v>
      </x:c>
      <x:c r="N51" s="5" t="str"/>
      <x:c r="O51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流程阶段：结束直播后在直播记录模块观察收益汇总
4. 共同业务对象：直播场次 LIVE-SESSION-001
5. 同步追溯：work/liveshow-user-live-records/prototype-context-sync-result.json；RSL-0003
6. 质量检查：按 RCL-0018 使用最小前置条件和单一业务分支</x:v>
      </x:c>
    </x:row>
    <x:row r="52" ht="103.5" customHeight="1">
      <x:c r="A52" s="5" t="n">
        <x:v>51</x:v>
      </x:c>
      <x:c r="B52" s="5" t="str">
        <x:v>LREC-051</x:v>
      </x:c>
      <x:c r="C52" s="5" t="str">
        <x:v>用户App-直播记录模块</x:v>
      </x:c>
      <x:c r="D52" s="5" t="str">
        <x:v>记录生成</x:v>
      </x:c>
      <x:c r="E52" s="5" t="str">
        <x:v>业务流程</x:v>
      </x:c>
      <x:c r="F52" s="5" t="str">
        <x:v>P1</x:v>
      </x:c>
      <x:c r="G52" s="5" t="str">
        <x:v>验证新记录计入总时长汇总</x:v>
      </x:c>
      <x:c r="H52" s="5" t="str">
        <x:v>新记录总时长汇总</x:v>
      </x:c>
      <x:c r="I52" s="5" t="str">
        <x:v>1. 筛选范围原有三场时长为 2h18m、1h42m、56m 的记录
2. 新结束场次 LIVE-SESSION-001 的直播时长为 30m
3. LIVE-SESSION-001 的日期位于当前筛选范围内</x:v>
      </x:c>
      <x:c r="J52" s="5" t="str">
        <x:v>1. 结束 LIVE-SESSION-001
2. 进入直播记录页
3. 查看当前范围总时长汇总</x:v>
      </x:c>
      <x:c r="K52" s="5" t="str">
        <x:v>总时长 = 138 分钟 + 102 分钟 + 56 分钟 + 30 分钟 = 326 分钟 = 5h26m</x:v>
      </x:c>
      <x:c r="L52" s="5" t="str">
        <x:v>FLOW-LREC-001</x:v>
      </x:c>
      <x:c r="M52" s="5" t="str">
        <x:v>未测</x:v>
      </x:c>
      <x:c r="N52" s="5" t="str"/>
      <x:c r="O52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流程阶段：结束直播后在直播记录模块观察总时长汇总
4. 共同业务对象：直播场次 LIVE-SESSION-001
5. 同步追溯：work/liveshow-user-live-records/prototype-context-sync-result.json；RSL-0003
6. 质量检查：按 RCL-0018 使用最小前置条件和单一业务分支</x:v>
      </x:c>
    </x:row>
    <x:row r="53" ht="103.5" customHeight="1">
      <x:c r="A53" s="5" t="n">
        <x:v>52</x:v>
      </x:c>
      <x:c r="B53" s="5" t="str">
        <x:v>LREC-052</x:v>
      </x:c>
      <x:c r="C53" s="5" t="str">
        <x:v>用户App-直播记录模块</x:v>
      </x:c>
      <x:c r="D53" s="5" t="str">
        <x:v>记录生成</x:v>
      </x:c>
      <x:c r="E53" s="5" t="str">
        <x:v>业务流程</x:v>
      </x:c>
      <x:c r="F53" s="5" t="str">
        <x:v>P1</x:v>
      </x:c>
      <x:c r="G53" s="5" t="str">
        <x:v>验证新记录计入直播场次汇总</x:v>
      </x:c>
      <x:c r="H53" s="5" t="str">
        <x:v>新记录场次汇总</x:v>
      </x:c>
      <x:c r="I53" s="5" t="str">
        <x:v>1. 筛选范围原有 3 场直播记录
2. 新结束场次 LIVE-SESSION-001 的日期位于当前筛选范围内</x:v>
      </x:c>
      <x:c r="J53" s="5" t="str">
        <x:v>1. 结束 LIVE-SESSION-001
2. 进入直播记录页
3. 查看当前范围直播场次汇总</x:v>
      </x:c>
      <x:c r="K53" s="5" t="str">
        <x:v>直播场次 = 3 + 1 = 4</x:v>
      </x:c>
      <x:c r="L53" s="5" t="str">
        <x:v>FLOW-LREC-001</x:v>
      </x:c>
      <x:c r="M53" s="5" t="str">
        <x:v>未测</x:v>
      </x:c>
      <x:c r="N53" s="5" t="str"/>
      <x:c r="O53" s="5" t="str">
        <x:v>1. 来源：context/01-用户主播App-角色与用例.md 的结束直播业务结果
2. 来源：context/01-用户主播App-项目需求清单.md（2026-08-31 按原型同步，RSL-0003）
3. 流程阶段：结束直播后在直播记录模块观察场次汇总
4. 共同业务对象：直播场次 LIVE-SESSION-001
5. 同步追溯：work/liveshow-user-live-records/prototype-context-sync-result.json；RSL-0003
6. 质量检查：按 RCL-0018 使用最小前置条件和单一业务分支</x:v>
      </x:c>
    </x:row>
    <x:row r="54" ht="103.5" customHeight="1">
      <x:c r="A54" s="5" t="n">
        <x:v>53</x:v>
      </x:c>
      <x:c r="B54" s="5" t="str">
        <x:v>LREC-053</x:v>
      </x:c>
      <x:c r="C54" s="5" t="str">
        <x:v>用户App-直播记录模块</x:v>
      </x:c>
      <x:c r="D54" s="5" t="str">
        <x:v>历史快照</x:v>
      </x:c>
      <x:c r="E54" s="5" t="str">
        <x:v>业务流程</x:v>
      </x:c>
      <x:c r="F54" s="5" t="str">
        <x:v>P1</x:v>
      </x:c>
      <x:c r="G54" s="5" t="str">
        <x:v>验证历史标题不随当前开播设置变更</x:v>
      </x:c>
      <x:c r="H54" s="5" t="str">
        <x:v>历史标题快照保持</x:v>
      </x:c>
      <x:c r="I54" s="5" t="str">
        <x:v>1. 历史场次 LIVE-SESSION-002 的开播时标题为“深夜聊天局”
2. 主播当前开播设置标题已改为“周末唱歌局”</x:v>
      </x:c>
      <x:c r="J54" s="5" t="str">
        <x:v>1. 进入直播记录页
2. 查看 LIVE-SESSION-002 的标题</x:v>
      </x:c>
      <x:c r="K54" s="5" t="str">
        <x:v>LIVE-SESSION-002 的标题仍显示“深夜聊天局”</x:v>
      </x:c>
      <x:c r="L54" s="5" t="str">
        <x:v>FLOW-LREC-002</x:v>
      </x:c>
      <x:c r="M54" s="5" t="str">
        <x:v>未测</x:v>
      </x:c>
      <x:c r="N54" s="5" t="str"/>
      <x:c r="O54" s="5" t="str">
        <x:v>1. 来源：context/01-用户主播App-项目需求清单.md（2026-08-31 按原型同步，RSL-0003）
2. 来源：prototype/assets/annotations.js
3. 流程阶段：修改当前开播设置后观察历史标题
4. 共同业务对象：历史场次 LIVE-SESSION-002
5. 同步追溯：work/liveshow-user-live-records/prototype-context-sync-result.json；RSL-0003
6. 质量检查：按 RCL-0018 使用最小前置条件和单一业务分支</x:v>
      </x:c>
    </x:row>
    <x:row r="55" ht="103.5" customHeight="1">
      <x:c r="A55" s="5" t="n">
        <x:v>54</x:v>
      </x:c>
      <x:c r="B55" s="5" t="str">
        <x:v>LREC-054</x:v>
      </x:c>
      <x:c r="C55" s="5" t="str">
        <x:v>用户App-直播记录模块</x:v>
      </x:c>
      <x:c r="D55" s="5" t="str">
        <x:v>历史快照</x:v>
      </x:c>
      <x:c r="E55" s="5" t="str">
        <x:v>业务流程</x:v>
      </x:c>
      <x:c r="F55" s="5" t="str">
        <x:v>P1</x:v>
      </x:c>
      <x:c r="G55" s="5" t="str">
        <x:v>验证历史封面不随当前开播设置变更</x:v>
      </x:c>
      <x:c r="H55" s="5" t="str">
        <x:v>历史封面快照保持</x:v>
      </x:c>
      <x:c r="I55" s="5" t="str">
        <x:v>1. 历史场次 LIVE-SESSION-002 的开播时封面为封面 A
2. 主播当前开播设置封面已改为封面 B</x:v>
      </x:c>
      <x:c r="J55" s="5" t="str">
        <x:v>1. 进入直播记录页
2. 查看 LIVE-SESSION-002 的封面</x:v>
      </x:c>
      <x:c r="K55" s="5" t="str">
        <x:v>LIVE-SESSION-002 仍展示封面 A</x:v>
      </x:c>
      <x:c r="L55" s="5" t="str">
        <x:v>FLOW-LREC-002</x:v>
      </x:c>
      <x:c r="M55" s="5" t="str">
        <x:v>未测</x:v>
      </x:c>
      <x:c r="N55" s="5" t="str"/>
      <x:c r="O55" s="5" t="str">
        <x:v>1. 来源：context/01-用户主播App-项目需求清单.md（2026-08-31 按原型同步，RSL-0003）
2. 来源：prototype/assets/annotations.js
3. 流程阶段：修改当前开播设置后观察历史封面
4. 共同业务对象：历史场次 LIVE-SESSION-002
5. 同步追溯：work/liveshow-user-live-records/prototype-context-sync-result.json；RSL-0003
6. 质量检查：按 RCL-0018 使用最小前置条件和单一业务分支</x:v>
      </x:c>
    </x:row>
  </x:sheetData>
  <x:conditionalFormatting sqref="F2:F55">
    <x:cfRule type="containsText" dxfId="0" priority="1" operator="containsText" text="P0"/>
    <x:cfRule type="containsText" dxfId="1" priority="2" operator="containsText" text="P1"/>
  </x:conditionalFormatting>
  <x:dataValidations count="3">
    <x:dataValidation type="list" sqref="E2:E55">
      <x:formula1>"功能需求,业务流程,逻辑校验,异常用例"</x:formula1>
    </x:dataValidation>
    <x:dataValidation type="list" sqref="F2:F55">
      <x:formula1>"P0,P1,P2,P3"</x:formula1>
    </x:dataValidation>
    <x:dataValidation type="list" sqref="M2:M55">
      <x:formula1>"未测,通过,不通过,阻塞,不适用"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d2035285d14fa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6" hidden="0" customWidth="1"/>
    <x:col min="4" max="4" width="38" hidden="0" customWidth="1"/>
    <x:col min="5" max="5" width="14" hidden="0" customWidth="1"/>
    <x:col min="6" max="6" width="20" hidden="1" customWidth="1"/>
    <x:col min="7" max="7" width="36" hidden="0" customWidth="1"/>
    <x:col min="8" max="8" width="22" hidden="1" customWidth="1"/>
    <x:col min="9" max="9" width="46" hidden="0" customWidth="1"/>
    <x:col min="10" max="10" width="58" hidden="0" customWidth="1"/>
    <x:col min="11" max="11" width="50" hidden="0" customWidth="1"/>
    <x:col min="12" max="12" width="15" hidden="0" customWidth="1"/>
    <x:col min="13" max="13" width="34" hidden="0" customWidth="1"/>
    <x:col min="14" max="14" width="52" hidden="1" customWidth="1"/>
    <x:col min="15" max="15" width="40" hidden="1" customWidth="1"/>
    <x:col min="16" max="16" width="26" hidden="1" customWidth="1"/>
    <x:col min="17" max="17" width="40" hidden="1" customWidth="1"/>
    <x:col min="18" max="18" width="16" hidden="0" customWidth="1"/>
    <x:col min="19" max="19" width="20" hidden="0" customWidth="1"/>
    <x:col min="20" max="20" width="16" hidden="0" customWidth="1"/>
  </x:cols>
  <x:sheetData>
    <x:row r="1" ht="30" customHeight="1">
      <x:c r="A1" s="8" t="str">
        <x:v>问题编号</x:v>
      </x:c>
      <x:c r="B1" s="8" t="str">
        <x:v>需求组编号</x:v>
      </x:c>
      <x:c r="C1" s="8" t="str">
        <x:v>父问题编号</x:v>
      </x:c>
      <x:c r="D1" s="8" t="str">
        <x:v>追问触发条件</x:v>
      </x:c>
      <x:c r="E1" s="8" t="str">
        <x:v>阻塞等级</x:v>
      </x:c>
      <x:c r="F1" s="8" t="str">
        <x:v>功能模块</x:v>
      </x:c>
      <x:c r="G1" s="8" t="str">
        <x:v>具体场景</x:v>
      </x:c>
      <x:c r="H1" s="8" t="str">
        <x:v>问题分类</x:v>
      </x:c>
      <x:c r="I1" s="8" t="str">
        <x:v>待决策问题</x:v>
      </x:c>
      <x:c r="J1" s="8" t="str">
        <x:v>可选方案</x:v>
      </x:c>
      <x:c r="K1" s="8" t="str">
        <x:v>测试建议</x:v>
      </x:c>
      <x:c r="L1" s="8" t="str">
        <x:v>产品结论</x:v>
      </x:c>
      <x:c r="M1" s="8" t="str">
        <x:v>结论补充</x:v>
      </x:c>
      <x:c r="N1" s="8" t="str">
        <x:v>已知依据</x:v>
      </x:c>
      <x:c r="O1" s="8" t="str">
        <x:v>影响范围</x:v>
      </x:c>
      <x:c r="P1" s="8" t="str">
        <x:v>已有用例编号</x:v>
      </x:c>
      <x:c r="Q1" s="8" t="str">
        <x:v>确认后待补用例</x:v>
      </x:c>
      <x:c r="R1" s="8" t="str">
        <x:v>负责人</x:v>
      </x:c>
      <x:c r="S1" s="8" t="str">
        <x:v>期望确认时间</x:v>
      </x:c>
      <x:c r="T1" s="8" t="str">
        <x:v>确认状态</x:v>
      </x:c>
    </x:row>
    <x:row r="2" ht="43.5" customHeight="1">
      <x:c r="A2" s="15" t="str">
        <x:v>Q-001</x:v>
      </x:c>
      <x:c r="B2" s="19" t="str">
        <x:v>RQ-001</x:v>
      </x:c>
      <x:c r="C2" s="15" t="str"/>
      <x:c r="D2" s="15" t="str"/>
      <x:c r="E2" s="15" t="str">
        <x:v>部分阻塞</x:v>
      </x:c>
      <x:c r="F2" s="15" t="str">
        <x:v>用户App-直播记录模块</x:v>
      </x:c>
      <x:c r="G2" s="15" t="str">
        <x:v>主播在主播中心点击“直播记录”工具入口</x:v>
      </x:c>
      <x:c r="H2" s="15" t="str">
        <x:v>流程与状态</x:v>
      </x:c>
      <x:c r="I2" s="16" t="str">
        <x:v>主播中心的“直播记录”入口点击后应执行哪一种结果？</x:v>
      </x:c>
      <x:c r="J2" s="15" t="str">
        <x:v>A. 直接进入直播记录页
B. 先进入直播数据页，再由主播选择日数据进入直播记录页
C. 从主播中心移除直播记录入口</x:v>
      </x:c>
      <x:c r="K2" s="17" t="str">
        <x:v>建议 A；直播记录已作为主播中心独立页面登记，直接进入路径最短，也符合工具入口的用户预期。</x:v>
      </x:c>
      <x:c r="L2" s="18" t="str"/>
      <x:c r="M2" s="18" t="str"/>
      <x:c r="N2" s="15" t="str">
        <x:v>1. 主播中心展示“直播记录”工具入口
2. 当前按钮仅提示“进入直播记录”，没有页面跳转
3. 直播记录页已在页面树独立登记</x:v>
      </x:c>
      <x:c r="O2" s="15" t="str">
        <x:v>1. 用户 App 主播中心
2. 直播记录入口
3. 主播返回路径</x:v>
      </x:c>
      <x:c r="P2" s="15" t="str">
        <x:v>1. LREC-001
2. LREC-002</x:v>
      </x:c>
      <x:c r="Q2" s="15" t="str">
        <x:v>1. 主播中心直播记录入口</x:v>
      </x:c>
      <x:c r="R2" s="15" t="str">
        <x:v>产品</x:v>
      </x:c>
      <x:c r="S2" s="15" t="str">
        <x:v>进入直播记录功能测试前</x:v>
      </x:c>
      <x:c r="T2" s="15" t="str">
        <x:v>待确认</x:v>
      </x:c>
    </x:row>
    <x:row r="3" ht="55.5" customHeight="1">
      <x:c r="A3" s="15" t="str">
        <x:v>Q-002</x:v>
      </x:c>
      <x:c r="B3" s="19" t="str">
        <x:v>RQ-002</x:v>
      </x:c>
      <x:c r="C3" s="15" t="str"/>
      <x:c r="D3" s="15" t="str"/>
      <x:c r="E3" s="15" t="str">
        <x:v>部分阻塞</x:v>
      </x:c>
      <x:c r="F3" s="15" t="str">
        <x:v>用户App-直播记录模块</x:v>
      </x:c>
      <x:c r="G3" s="15" t="str">
        <x:v>主播首次进入直播记录页，系统计算默认近 7 天范围</x:v>
      </x:c>
      <x:c r="H3" s="15" t="str">
        <x:v>计算与统计口径</x:v>
      </x:c>
      <x:c r="I3" s="16" t="str">
        <x:v>默认“近 7 天”采用哪一种起止范围？</x:v>
      </x:c>
      <x:c r="J3" s="15" t="str">
        <x:v>A. 包含当天及前 6 个自然日，共 7 个自然日
B. 包含当天及前 7 个自然日，共 8 个自然日
C. 从进入页面时刻向前滚动 168 小时</x:v>
      </x:c>
      <x:c r="K3" s="17" t="str">
        <x:v>建议 A；自然日口径便于主播理解，列表和三项汇总也能使用同一日期边界。</x:v>
      </x:c>
      <x:c r="L3" s="18" t="str">
        <x:v>A</x:v>
      </x:c>
      <x:c r="M3" s="18" t="str">
        <x:v>按 RCL-0019，以原型批注“默认近 7 天”为准；采用当天及前 6 个自然日，共 7 个自然日。静态示例日期不作为默认边界规则。</x:v>
      </x:c>
      <x:c r="N3" s="15" t="str">
        <x:v>1. 原型批注明确写明默认近 7 天
2. 静态示例日期为 10/8/2026 至 17/8/2026
3. 用户确认原型默认数据与明确批注不一致时批注优先，规则记录为 RCL-0019</x:v>
      </x:c>
      <x:c r="O3" s="15" t="str">
        <x:v>1. 默认记录列表
2. 默认收益汇总
3. 默认总时长汇总
4. 默认直播场次汇总</x:v>
      </x:c>
      <x:c r="P3" s="15" t="str">
        <x:v>1. LREC-003 至 LREC-006</x:v>
      </x:c>
      <x:c r="Q3" s="15"/>
      <x:c r="R3" s="15" t="str">
        <x:v>产品</x:v>
      </x:c>
      <x:c r="S3" s="15" t="str">
        <x:v>已按 RCL-0019 处理</x:v>
      </x:c>
      <x:c r="T3" s="15" t="str">
        <x:v>已确认</x:v>
      </x:c>
    </x:row>
    <x:row r="4" ht="55.5" customHeight="1">
      <x:c r="A4" s="15" t="str">
        <x:v>Q-003</x:v>
      </x:c>
      <x:c r="B4" s="19" t="str">
        <x:v>RQ-003</x:v>
      </x:c>
      <x:c r="C4" s="15" t="str"/>
      <x:c r="D4" s="15" t="str"/>
      <x:c r="E4" s="15" t="str">
        <x:v>部分阻塞</x:v>
      </x:c>
      <x:c r="F4" s="15" t="str">
        <x:v>用户App-直播记录模块</x:v>
      </x:c>
      <x:c r="G4" s="15" t="str">
        <x:v>直播发生在日期切换边界，主播使用默认、快捷和自定义日期筛选</x:v>
      </x:c>
      <x:c r="H4" s="15" t="str">
        <x:v>计算与统计口径</x:v>
      </x:c>
      <x:c r="I4" s="16" t="str">
        <x:v>直播记录日期归属和筛选边界使用哪个时区？</x:v>
      </x:c>
      <x:c r="J4" s="15" t="str">
        <x:v>A. 使用主播账号所属时区
B. 使用主播设备系统时区
C. 固定使用 Asia/Jakarta 时区</x:v>
      </x:c>
      <x:c r="K4" s="17" t="str">
        <x:v>建议 A；与有效天按主播所属自然日计算的既有口径一致，可减少同一主播跨设备结果变化。</x:v>
      </x:c>
      <x:c r="L4" s="18" t="str"/>
      <x:c r="M4" s="18" t="str"/>
      <x:c r="N4" s="15" t="str">
        <x:v>1. 有效天使用主播所属自然日
2. 直播记录原型只比较日期字段
3. 直播记录批注未定义时区</x:v>
      </x:c>
      <x:c r="O4" s="15" t="str">
        <x:v>1. 默认日期范围
2. 本周、本月、上月筛选
3. 自定义日期筛选
4. 汇总指标</x:v>
      </x:c>
      <x:c r="P4" s="15" t="str">
        <x:v>1. LREC-003 至 LREC-037</x:v>
      </x:c>
      <x:c r="Q4" s="15" t="str">
        <x:v>1. 跨日开播和跨日结束的日期归属
2. 时区切换边界</x:v>
      </x:c>
      <x:c r="R4" s="15" t="str">
        <x:v>多方确认</x:v>
      </x:c>
      <x:c r="S4" s="15" t="str">
        <x:v>进入日期筛选测试前</x:v>
      </x:c>
      <x:c r="T4" s="15" t="str">
        <x:v>待确认</x:v>
      </x:c>
    </x:row>
    <x:row r="5" ht="43.5" customHeight="1">
      <x:c r="A5" s="15" t="str">
        <x:v>Q-004</x:v>
      </x:c>
      <x:c r="B5" s="19" t="str">
        <x:v>RQ-004</x:v>
      </x:c>
      <x:c r="C5" s="15" t="str"/>
      <x:c r="D5" s="15" t="str"/>
      <x:c r="E5" s="15" t="str">
        <x:v>部分阻塞</x:v>
      </x:c>
      <x:c r="F5" s="15" t="str">
        <x:v>用户App-直播记录模块</x:v>
      </x:c>
      <x:c r="G5" s="15" t="str">
        <x:v>一场直播存在用户重复进出和并发观看，记录卡片展示观众人数</x:v>
      </x:c>
      <x:c r="H5" s="15" t="str">
        <x:v>计算与统计口径</x:v>
      </x:c>
      <x:c r="I5" s="16" t="str">
        <x:v>单场记录的“观众人数”采用哪一种统计口径？</x:v>
      </x:c>
      <x:c r="J5" s="15" t="str">
        <x:v>A. 按用户 ID 去重后的观看人数
B. 直播期间的最高同时在线人数
C. 用户每次进入直播间均累计一次</x:v>
      </x:c>
      <x:c r="K5" s="17" t="str">
        <x:v>建议 A；字段名称为人数，按用户去重最符合人数语义，也便于与重复进房行为区分。</x:v>
      </x:c>
      <x:c r="L5" s="18" t="str"/>
      <x:c r="M5" s="18" t="str"/>
      <x:c r="N5" s="15" t="str">
        <x:v>1. 记录卡片展示观众人数
2. Mock 仅提供 viewers 数值
3. 原型未说明重复进入和并发统计方式</x:v>
      </x:c>
      <x:c r="O5" s="15" t="str">
        <x:v>1. 记录卡片观众人数
2. 单场直播数据
3. 主播数据对账</x:v>
      </x:c>
      <x:c r="P5" s="15" t="str">
        <x:v>1. LREC-043</x:v>
      </x:c>
      <x:c r="Q5" s="15" t="str">
        <x:v>1. 重复进入统计
2. 并发观看统计</x:v>
      </x:c>
      <x:c r="R5" s="15" t="str">
        <x:v>产品</x:v>
      </x:c>
      <x:c r="S5" s="15" t="str">
        <x:v>进入记录字段测试前</x:v>
      </x:c>
      <x:c r="T5" s="15" t="str">
        <x:v>待确认</x:v>
      </x:c>
    </x:row>
    <x:row r="6" ht="43.5" customHeight="1">
      <x:c r="A6" s="15" t="str">
        <x:v>Q-005</x:v>
      </x:c>
      <x:c r="B6" s="19" t="str">
        <x:v>RQ-005</x:v>
      </x:c>
      <x:c r="C6" s="15" t="str"/>
      <x:c r="D6" s="15" t="str"/>
      <x:c r="E6" s="15" t="str">
        <x:v>部分阻塞</x:v>
      </x:c>
      <x:c r="F6" s="15" t="str">
        <x:v>用户App-直播记录模块</x:v>
      </x:c>
      <x:c r="G6" s="15" t="str">
        <x:v>一场直播中同一用户批量赠送礼物，记录卡片展示收礼数量</x:v>
      </x:c>
      <x:c r="H6" s="15" t="str">
        <x:v>计算与统计口径</x:v>
      </x:c>
      <x:c r="I6" s="16" t="str">
        <x:v>单场记录的“收礼数量”采用哪一种统计口径？</x:v>
      </x:c>
      <x:c r="J6" s="15" t="str">
        <x:v>A. 累计所有礼物的商品件数
B. 累计用户执行赠送的操作次数
C. 统计本场收到的不同礼物种类数</x:v>
      </x:c>
      <x:c r="K6" s="17" t="str">
        <x:v>建议 A；“数量”按商品件数可以直接覆盖 x1、x10 等批量赠送，也便于收益对账。</x:v>
      </x:c>
      <x:c r="L6" s="18" t="str"/>
      <x:c r="M6" s="18" t="str"/>
      <x:c r="N6" s="15" t="str">
        <x:v>1. 记录卡片展示收礼数量
2. 直播送礼支持批量数量
3. Mock 仅提供 gifts 数值</x:v>
      </x:c>
      <x:c r="O6" s="15" t="str">
        <x:v>1. 记录卡片收礼数量
2. 直播送礼
3. 主播数据对账</x:v>
      </x:c>
      <x:c r="P6" s="15" t="str">
        <x:v>1. LREC-044</x:v>
      </x:c>
      <x:c r="Q6" s="15" t="str">
        <x:v>1. 批量赠礼数量统计
2. 多礼物类型统计</x:v>
      </x:c>
      <x:c r="R6" s="15" t="str">
        <x:v>产品</x:v>
      </x:c>
      <x:c r="S6" s="15" t="str">
        <x:v>进入记录字段测试前</x:v>
      </x:c>
      <x:c r="T6" s="15" t="str">
        <x:v>待确认</x:v>
      </x:c>
    </x:row>
    <x:row r="7" ht="55.5" customHeight="1">
      <x:c r="A7" s="15" t="str">
        <x:v>Q-006</x:v>
      </x:c>
      <x:c r="B7" s="19" t="str">
        <x:v>RQ-006</x:v>
      </x:c>
      <x:c r="C7" s="15" t="str"/>
      <x:c r="D7" s="15" t="str"/>
      <x:c r="E7" s="15" t="str">
        <x:v>部分阻塞</x:v>
      </x:c>
      <x:c r="F7" s="15" t="str">
        <x:v>用户App-直播记录模块</x:v>
      </x:c>
      <x:c r="G7" s="15" t="str">
        <x:v>主播结束直播后进入直播记录查询刚结束的场次</x:v>
      </x:c>
      <x:c r="H7" s="15" t="str">
        <x:v>跨端与跨模块一致性</x:v>
      </x:c>
      <x:c r="I7" s="16" t="str">
        <x:v>结束直播后，新场次记录最迟应在什么时候可以查询？</x:v>
      </x:c>
      <x:c r="J7" s="15" t="str">
        <x:v>A. 直播结束结果页出现时即可查询
B. 直播结束后 30 秒内可以查询
C. 直播结束后 5 分钟内可以查询
D. 该场结算完成后可以查询</x:v>
      </x:c>
      <x:c r="K7" s="17" t="str">
        <x:v>建议 A；主播结束后通常会立即查看本场数据，立即可查可以减少重复刷新和误判。</x:v>
      </x:c>
      <x:c r="L7" s="18" t="str"/>
      <x:c r="M7" s="18" t="str"/>
      <x:c r="N7" s="15" t="str">
        <x:v>1. 需求写明结束直播后生成本场记录、收益和数据
2. 原型未定义生成时效和刷新动作</x:v>
      </x:c>
      <x:c r="O7" s="15" t="str">
        <x:v>1. 结束直播
2. 直播记录生成
3. 收益、时长和场次汇总</x:v>
      </x:c>
      <x:c r="P7" s="15" t="str">
        <x:v>1. LREC-049 至 LREC-052</x:v>
      </x:c>
      <x:c r="Q7" s="15" t="str">
        <x:v>1. 记录生成时效边界
2. 超时后的页面结果</x:v>
      </x:c>
      <x:c r="R7" s="15" t="str">
        <x:v>多方确认</x:v>
      </x:c>
      <x:c r="S7" s="15" t="str">
        <x:v>进入跨模块流程测试前</x:v>
      </x:c>
      <x:c r="T7" s="15" t="str">
        <x:v>待确认</x:v>
      </x:c>
    </x:row>
    <x:row r="8" ht="43.5" customHeight="1">
      <x:c r="A8" s="15" t="str">
        <x:v>Q-007</x:v>
      </x:c>
      <x:c r="B8" s="19" t="str">
        <x:v>RQ-007</x:v>
      </x:c>
      <x:c r="C8" s="15" t="str"/>
      <x:c r="D8" s="15" t="str"/>
      <x:c r="E8" s="15" t="str">
        <x:v>部分阻塞</x:v>
      </x:c>
      <x:c r="F8" s="15" t="str">
        <x:v>用户App-直播记录模块</x:v>
      </x:c>
      <x:c r="G8" s="15" t="str">
        <x:v>主播点击直播记录列表中的单场记录卡片</x:v>
      </x:c>
      <x:c r="H8" s="15" t="str">
        <x:v>流程与状态</x:v>
      </x:c>
      <x:c r="I8" s="16" t="str">
        <x:v>点击单场直播记录后应进入哪一种查看方式？</x:v>
      </x:c>
      <x:c r="J8" s="15" t="str">
        <x:v>A. 进入独立的单场直播详情页
B. 在当前页打开单场数据抽屉
C. 仅提示“查看本场直播数据”，不展示更多内容</x:v>
      </x:c>
      <x:c r="K8" s="17" t="str">
        <x:v>建议 A；独立详情页更适合承载单场数据和后续扩展，也能形成明确返回路径。</x:v>
      </x:c>
      <x:c r="L8" s="18" t="str"/>
      <x:c r="M8" s="18" t="str"/>
      <x:c r="N8" s="15" t="str">
        <x:v>1. 记录卡片具有点击交互
2. 当前原型只提示“查看本场直播数据”
3. 原型没有单场详情页面</x:v>
      </x:c>
      <x:c r="O8" s="15" t="str">
        <x:v>1. 记录卡片点击
2. 单场数据查看
3. 详情返回路径</x:v>
      </x:c>
      <x:c r="P8" s="15" t="str">
        <x:v>1. LREC-048</x:v>
      </x:c>
      <x:c r="Q8" s="15" t="str">
        <x:v>1. 单场记录详情入口</x:v>
      </x:c>
      <x:c r="R8" s="15" t="str">
        <x:v>产品</x:v>
      </x:c>
      <x:c r="S8" s="15" t="str">
        <x:v>进入记录卡片交互测试前</x:v>
      </x:c>
      <x:c r="T8" s="15" t="str">
        <x:v>待确认</x:v>
      </x:c>
    </x:row>
    <x:row r="9" ht="43.5" hidden="1" customHeight="1">
      <x:c r="A9" s="20" t="str">
        <x:v>Q-007-01</x:v>
      </x:c>
      <x:c r="B9" s="20" t="str">
        <x:v>RQ-007</x:v>
      </x:c>
      <x:c r="C9" s="21" t="str">
        <x:v>Q-007</x:v>
      </x:c>
      <x:c r="D9" s="21" t="str">
        <x:v>Q-007 选择 A 或 B 后</x:v>
      </x:c>
      <x:c r="E9" s="5" t="str">
        <x:v>部分阻塞</x:v>
      </x:c>
      <x:c r="F9" s="5" t="str">
        <x:v>用户App-直播记录模块</x:v>
      </x:c>
      <x:c r="G9" s="5" t="str">
        <x:v>产品决定点击单场记录后展示详情页或数据抽屉</x:v>
      </x:c>
      <x:c r="H9" s="5" t="str">
        <x:v>需求范围</x:v>
      </x:c>
      <x:c r="I9" s="9" t="str">
        <x:v>单场详情首版展示哪一组数据？</x:v>
      </x:c>
      <x:c r="J9" s="5" t="str">
        <x:v>A. 仅展示记录卡片已有的标题、封面、开播时间、时长、收益、观众人数、收礼数量和房型
B. 在 A 的基础上增加新增粉丝人数和送礼人数
C. 展示结束直播页已有的开播时长、观众人数、新增粉丝和本场收益</x:v>
      </x:c>
      <x:c r="K9" s="10" t="str">
        <x:v>建议 A；完全复用当前已有字段，范围明确且不新增未定义统计口径。</x:v>
      </x:c>
      <x:c r="L9" s="14" t="str"/>
      <x:c r="M9" s="14" t="str"/>
      <x:c r="N9" s="5" t="str">
        <x:v>1. 记录卡片已有八类信息
2. 结束直播页存在另一组本场数据
3. 当前没有单场详情字段说明</x:v>
      </x:c>
      <x:c r="O9" s="5" t="str">
        <x:v>1. 单场直播详情页
2. 单场数据抽屉
3. 记录字段来源</x:v>
      </x:c>
      <x:c r="P9" s="5" t="str"/>
      <x:c r="Q9" s="5" t="str">
        <x:v>1. 单场详情字段展示
2. 单场详情数据一致性</x:v>
      </x:c>
      <x:c r="R9" s="5" t="str">
        <x:v>产品</x:v>
      </x:c>
      <x:c r="S9" s="5" t="str">
        <x:v>Q-007 确认后进入详情开发前</x:v>
      </x:c>
      <x:c r="T9" s="5" t="str">
        <x:v>待前置结论</x:v>
      </x:c>
    </x:row>
    <x:row r="10" ht="43.5" customHeight="1">
      <x:c r="A10" s="15" t="str">
        <x:v>Q-008</x:v>
      </x:c>
      <x:c r="B10" s="19" t="str">
        <x:v>RQ-008</x:v>
      </x:c>
      <x:c r="C10" s="15" t="str"/>
      <x:c r="D10" s="15" t="str"/>
      <x:c r="E10" s="15" t="str">
        <x:v>部分阻塞</x:v>
      </x:c>
      <x:c r="F10" s="15" t="str">
        <x:v>用户App-直播记录模块</x:v>
      </x:c>
      <x:c r="G10" s="15" t="str">
        <x:v>普通用户、直播权限关闭主播和曾经开播的账号访问直播记录页</x:v>
      </x:c>
      <x:c r="H10" s="15" t="str">
        <x:v>角色与权限</x:v>
      </x:c>
      <x:c r="I10" s="16" t="str">
        <x:v>哪些账号可以查看自己的历史直播记录？</x:v>
      </x:c>
      <x:c r="J10" s="15" t="str">
        <x:v>A. 仅当前具有直播权限的主播可以查看
B. 曾经产生直播记录的主播在权限关闭后仍可查看
C. 所有登录用户均可进入，未开播用户展示空记录</x:v>
      </x:c>
      <x:c r="K10" s="17" t="str">
        <x:v>建议 B；历史记录属于已发生业务数据，权限关闭后保留只读查询更利于主播核对。</x:v>
      </x:c>
      <x:c r="L10" s="18" t="str"/>
      <x:c r="M10" s="18" t="str"/>
      <x:c r="N10" s="15" t="str">
        <x:v>1. 直播记录位于主播中心
2. 主播中心仅对主播相关账号开放
3. 原型未展示权限关闭后的历史查询规则</x:v>
      </x:c>
      <x:c r="O10" s="15" t="str">
        <x:v>1. 主播中心权限
2. 直播记录访问
3. 历史数据可见范围</x:v>
      </x:c>
      <x:c r="P10" s="15" t="str"/>
      <x:c r="Q10" s="15" t="str">
        <x:v>1. 非主播访问
2. 直播权限关闭后访问
3. 历史主播访问</x:v>
      </x:c>
      <x:c r="R10" s="15" t="str">
        <x:v>产品</x:v>
      </x:c>
      <x:c r="S10" s="15" t="str">
        <x:v>进入权限测试前</x:v>
      </x:c>
      <x:c r="T10" s="15" t="str">
        <x:v>待确认</x:v>
      </x:c>
    </x:row>
    <x:row r="11" ht="43.5" customHeight="1">
      <x:c r="A11" s="15" t="str">
        <x:v>Q-011</x:v>
      </x:c>
      <x:c r="B11" s="19" t="str">
        <x:v>RQ-011</x:v>
      </x:c>
      <x:c r="C11" s="15" t="str"/>
      <x:c r="D11" s="15" t="str"/>
      <x:c r="E11" s="15" t="str">
        <x:v>部分阻塞</x:v>
      </x:c>
      <x:c r="F11" s="15" t="str">
        <x:v>用户App-直播记录模块</x:v>
      </x:c>
      <x:c r="G11" s="15" t="str">
        <x:v>直播因断网、App 崩溃或平台强制关闭而结束</x:v>
      </x:c>
      <x:c r="H11" s="15" t="str">
        <x:v>异常处理</x:v>
      </x:c>
      <x:c r="I11" s="16" t="str">
        <x:v>非主播手动结束的直播场次是否生成直播记录？</x:v>
      </x:c>
      <x:c r="J11" s="15" t="str">
        <x:v>A. 所有已经开始的直播场次均生成记录
B. 仅直播时长达到 1 分钟的场次生成记录
C. 仅主播手动结束的场次生成记录</x:v>
      </x:c>
      <x:c r="K11" s="17" t="str">
        <x:v>建议 A；保留全部已发生场次便于主播核对，也有利于异常追踪和数据对账。</x:v>
      </x:c>
      <x:c r="L11" s="18" t="str"/>
      <x:c r="M11" s="18" t="str"/>
      <x:c r="N11" s="15" t="str">
        <x:v>1. 需求只写明主播结束直播后生成记录
2. 原型没有异常结束和强制关闭后的记录规则</x:v>
      </x:c>
      <x:c r="O11" s="15" t="str">
        <x:v>1. 异常结束直播
2. 直播记录生成
3. 汇总指标</x:v>
      </x:c>
      <x:c r="P11" s="15" t="str">
        <x:v>1. LREC-049 至 LREC-052</x:v>
      </x:c>
      <x:c r="Q11" s="15" t="str">
        <x:v>1. 断网结束生成记录
2. App 崩溃后生成记录
3. 平台强制关闭后生成记录</x:v>
      </x:c>
      <x:c r="R11" s="15" t="str">
        <x:v>多方确认</x:v>
      </x:c>
      <x:c r="S11" s="15" t="str">
        <x:v>进入异常流程测试前</x:v>
      </x:c>
      <x:c r="T11" s="15" t="str">
        <x:v>待确认</x:v>
      </x:c>
    </x:row>
    <x:row r="12" ht="55.5" customHeight="1">
      <x:c r="A12" s="15" t="str">
        <x:v>Q-009</x:v>
      </x:c>
      <x:c r="B12" s="19" t="str">
        <x:v>RQ-009</x:v>
      </x:c>
      <x:c r="C12" s="15" t="str"/>
      <x:c r="D12" s="15" t="str"/>
      <x:c r="E12" s="15" t="str">
        <x:v>不阻塞</x:v>
      </x:c>
      <x:c r="F12" s="15" t="str">
        <x:v>用户App-直播记录模块</x:v>
      </x:c>
      <x:c r="G12" s="15" t="str">
        <x:v>主播在较长日期范围内拥有超过一屏的历史直播记录</x:v>
      </x:c>
      <x:c r="H12" s="15" t="str">
        <x:v>业务规则</x:v>
      </x:c>
      <x:c r="I12" s="16" t="str">
        <x:v>历史直播记录数量较多时使用哪一种加载方式？</x:v>
      </x:c>
      <x:c r="J12" s="15" t="str">
        <x:v>A. 每页 20 条，通过页码切换
B. 首次 20 条，上拉后每次再加载 20 条
C. 单次最多加载 1,000 条，超过后要求缩小日期范围</x:v>
      </x:c>
      <x:c r="K12" s="17" t="str">
        <x:v>建议 B；符合移动端连续浏览习惯，也能控制首次加载数据量。</x:v>
      </x:c>
      <x:c r="L12" s="18" t="str"/>
      <x:c r="M12" s="18" t="str"/>
      <x:c r="N12" s="15" t="str">
        <x:v>1. 当前原型一次渲染全部 Mock 记录
2. 原型没有分页、上拉加载和上限说明</x:v>
      </x:c>
      <x:c r="O12" s="15" t="str">
        <x:v>1. 直播记录列表
2. 日期范围筛选
3. 大量历史记录</x:v>
      </x:c>
      <x:c r="P12" s="15" t="str"/>
      <x:c r="Q12" s="15" t="str">
        <x:v>1. 首批加载
2. 后续加载
3. 重复记录去重
4. 加载结束状态</x:v>
      </x:c>
      <x:c r="R12" s="15" t="str">
        <x:v>产品</x:v>
      </x:c>
      <x:c r="S12" s="15" t="str">
        <x:v>版本验收前</x:v>
      </x:c>
      <x:c r="T12" s="15" t="str">
        <x:v>待确认</x:v>
      </x:c>
    </x:row>
    <x:row r="13" ht="55.5" customHeight="1">
      <x:c r="A13" s="15" t="str">
        <x:v>Q-010</x:v>
      </x:c>
      <x:c r="B13" s="19" t="str">
        <x:v>RQ-010</x:v>
      </x:c>
      <x:c r="C13" s="15" t="str"/>
      <x:c r="D13" s="15" t="str"/>
      <x:c r="E13" s="15" t="str">
        <x:v>不阻塞</x:v>
      </x:c>
      <x:c r="F13" s="15" t="str">
        <x:v>用户App-直播记录模块</x:v>
      </x:c>
      <x:c r="G13" s="15" t="str">
        <x:v>主播查询一年以上的历史直播记录</x:v>
      </x:c>
      <x:c r="H13" s="15" t="str">
        <x:v>配置和历史数据影响</x:v>
      </x:c>
      <x:c r="I13" s="16" t="str">
        <x:v>用户 App 中的直播记录保留多长时间？</x:v>
      </x:c>
      <x:c r="J13" s="15" t="str">
        <x:v>A. 永久保留并允许查询
B. 保留最近 1 年
C. 保留最近 2 年
D. 保留最近 3 年</x:v>
      </x:c>
      <x:c r="K13" s="17" t="str">
        <x:v>建议 B；覆盖常用年度核对范围，并限制移动端长期历史查询成本。</x:v>
      </x:c>
      <x:c r="L13" s="18" t="str"/>
      <x:c r="M13" s="18" t="str"/>
      <x:c r="N13" s="15" t="str">
        <x:v>1. 当前原型只提供日期筛选
2. 需求和原型均未定义保留期限</x:v>
      </x:c>
      <x:c r="O13" s="15" t="str">
        <x:v>1. 直播记录历史数据
2. 日期选择器可选范围
3. 过期记录查询</x:v>
      </x:c>
      <x:c r="P13" s="15" t="str"/>
      <x:c r="Q13" s="15" t="str">
        <x:v>1. 保留期限内记录
2. 保留期限边界
3. 过期记录处理</x:v>
      </x:c>
      <x:c r="R13" s="15" t="str">
        <x:v>产品</x:v>
      </x:c>
      <x:c r="S13" s="15" t="str">
        <x:v>版本验收前</x:v>
      </x:c>
      <x:c r="T13" s="15" t="str">
        <x:v>待确认</x:v>
      </x:c>
    </x:row>
  </x:sheetData>
  <x:conditionalFormatting sqref="E2:E13">
    <x:cfRule type="containsText" dxfId="2" priority="1" operator="containsText" text="阻塞测试"/>
    <x:cfRule type="containsText" dxfId="3" priority="2" operator="containsText" text="部分阻塞"/>
    <x:cfRule type="containsText" dxfId="4" priority="3" operator="containsText" text="不阻塞"/>
  </x:conditionalFormatting>
  <x:conditionalFormatting sqref="T2:T13">
    <x:cfRule type="containsText" dxfId="5" priority="4" operator="containsText" text="待前置结论"/>
    <x:cfRule type="containsText" dxfId="6" priority="5" operator="containsText" text="确认中"/>
    <x:cfRule type="containsText" dxfId="7" priority="6" operator="containsText" text="已确认"/>
  </x:conditionalFormatting>
  <x:dataValidations count="5">
    <x:dataValidation type="list" sqref="E2:E13">
      <x:formula1>"阻塞测试,部分阻塞,不阻塞"</x:formula1>
    </x:dataValidation>
    <x:dataValidation type="list" sqref="H2:H13">
      <x:formula1>"需求范围,业务规则,角色与权限,流程与状态,字段与数据校验,计算与统计口径,异常处理,跨端与跨模块一致性,配置和历史数据影响,交互与文案规则"</x:formula1>
    </x:dataValidation>
    <x:dataValidation type="list" sqref="L2:L13">
      <x:formula1>"A,B,C,D,其他"</x:formula1>
    </x:dataValidation>
    <x:dataValidation type="list" sqref="R2:R13">
      <x:formula1>"产品,交互,技术,多方确认"</x:formula1>
    </x:dataValidation>
    <x:dataValidation type="list" sqref="T2:T13">
      <x:formula1>"待前置结论,待确认,确认中,已确认,无需处理"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ec2e83d42314fd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1" hidden="0" customWidth="1"/>
    <x:col min="3" max="3" width="22" hidden="0" customWidth="1"/>
    <x:col min="4" max="4" width="11" hidden="0" customWidth="1"/>
    <x:col min="5" max="5" width="22" hidden="0" customWidth="1"/>
    <x:col min="6" max="6" width="11" hidden="0" customWidth="1"/>
    <x:col min="7" max="7" width="24" hidden="0" customWidth="1"/>
    <x:col min="8" max="8" width="11" hidden="0" customWidth="1"/>
  </x:cols>
  <x:sheetData>
    <x:row r="1" ht="39" customHeight="1">
      <x:c r="A1" s="25" t="str">
        <x:v>产品决策概览</x:v>
      </x:c>
      <x:c r="B1" s="25"/>
      <x:c r="C1" s="25"/>
      <x:c r="D1" s="25"/>
      <x:c r="E1" s="25"/>
      <x:c r="F1" s="25"/>
      <x:c r="G1" s="25"/>
      <x:c r="H1" s="25"/>
    </x:row>
    <x:row r="2" ht="25.5" customHeight="1">
      <x:c r="A2" s="29" t="str">
        <x:v>先处理主播中心入口，再在“需求待确认”中选择产品结论；子问题会在父问题结论明确后展开。</x:v>
      </x:c>
      <x:c r="B2" s="29"/>
      <x:c r="C2" s="29"/>
      <x:c r="D2" s="29"/>
      <x:c r="E2" s="29"/>
      <x:c r="F2" s="29"/>
      <x:c r="G2" s="29"/>
      <x:c r="H2" s="29"/>
    </x:row>
    <x:row r="4" ht="22.5" customHeight="1">
      <x:c r="A4" s="34" t="str">
        <x:v>问题总数</x:v>
      </x:c>
      <x:c r="B4" s="34" t="str"/>
      <x:c r="C4" s="34" t="str">
        <x:v>当前可回答</x:v>
      </x:c>
      <x:c r="D4" s="34" t="str"/>
      <x:c r="E4" s="34" t="str">
        <x:v>待前置结论</x:v>
      </x:c>
      <x:c r="F4" s="34" t="str"/>
      <x:c r="G4" s="34" t="str">
        <x:v>已确认</x:v>
      </x:c>
      <x:c r="H4" s="34" t="str"/>
    </x:row>
    <x:row r="5" ht="31.5" customHeight="1">
      <x:c r="A5" s="39" t="n">
        <x:f>COUNTA('需求待确认'!$A$2:$A$13)</x:f>
        <x:v>12</x:v>
      </x:c>
      <x:c r="B5" s="39" t="str"/>
      <x:c r="C5" s="39" t="n">
        <x:f>COUNTIF('需求待确认'!$T$2:$T$13,"待确认")</x:f>
        <x:v>10</x:v>
      </x:c>
      <x:c r="D5" s="39" t="str"/>
      <x:c r="E5" s="39" t="n">
        <x:f>COUNTIF('需求待确认'!$T$2:$T$13,"待前置结论")</x:f>
        <x:v>1</x:v>
      </x:c>
      <x:c r="F5" s="39" t="str"/>
      <x:c r="G5" s="39" t="n">
        <x:f>COUNTIF('需求待确认'!$T$2:$T$13,"已确认")</x:f>
        <x:v>1</x:v>
      </x:c>
      <x:c r="H5" s="39" t="str"/>
    </x:row>
    <x:row r="7" ht="24" customHeight="1">
      <x:c r="A7" s="43" t="str">
        <x:v>按状态</x:v>
      </x:c>
      <x:c r="B7" s="43" t="str">
        <x:v>数量</x:v>
      </x:c>
      <x:c r="C7" s="43" t="str">
        <x:v>按阻塞等级</x:v>
      </x:c>
      <x:c r="D7" s="43" t="str">
        <x:v>待确认</x:v>
      </x:c>
      <x:c r="E7" s="43" t="str">
        <x:v>按负责人</x:v>
      </x:c>
      <x:c r="F7" s="43" t="str">
        <x:v>待确认</x:v>
      </x:c>
      <x:c r="G7" s="43" t="str">
        <x:v>结构检查</x:v>
      </x:c>
      <x:c r="H7" s="43" t="str">
        <x:v>数量</x:v>
      </x:c>
    </x:row>
    <x:row r="8" ht="23.25" customHeight="1">
      <x:c r="A8" s="44" t="str">
        <x:v>待前置结论</x:v>
      </x:c>
      <x:c r="B8" s="45" t="n">
        <x:f>COUNTIF('需求待确认'!$T$2:$T$13,"待前置结论")</x:f>
        <x:v>1</x:v>
      </x:c>
      <x:c r="C8" s="44" t="str">
        <x:v>阻塞测试</x:v>
      </x:c>
      <x:c r="D8" s="45" t="n">
        <x:f>COUNTIFS('需求待确认'!$E$2:$E$13,"阻塞测试",'需求待确认'!$T$2:$T$13,"待确认")</x:f>
        <x:v>0</x:v>
      </x:c>
      <x:c r="E8" s="44" t="str">
        <x:v>产品</x:v>
      </x:c>
      <x:c r="F8" s="45" t="n">
        <x:f>COUNTIFS('需求待确认'!$R$2:$R$13,"产品",'需求待确认'!$T$2:$T$13,"待确认")</x:f>
        <x:v>7</x:v>
      </x:c>
      <x:c r="G8" s="44" t="str">
        <x:v>需求组</x:v>
      </x:c>
      <x:c r="H8" s="45" t="n">
        <x:v>11</x:v>
      </x:c>
    </x:row>
    <x:row r="9" ht="23.25" customHeight="1">
      <x:c r="A9" s="44" t="str">
        <x:v>待确认</x:v>
      </x:c>
      <x:c r="B9" s="45" t="n">
        <x:f>COUNTIF('需求待确认'!$T$2:$T$13,"待确认")</x:f>
        <x:v>10</x:v>
      </x:c>
      <x:c r="C9" s="44" t="str">
        <x:v>部分阻塞</x:v>
      </x:c>
      <x:c r="D9" s="45" t="n">
        <x:f>COUNTIFS('需求待确认'!$E$2:$E$13,"部分阻塞",'需求待确认'!$T$2:$T$13,"待确认")</x:f>
        <x:v>8</x:v>
      </x:c>
      <x:c r="E9" s="44" t="str">
        <x:v>交互</x:v>
      </x:c>
      <x:c r="F9" s="45" t="n">
        <x:f>COUNTIFS('需求待确认'!$R$2:$R$13,"交互",'需求待确认'!$T$2:$T$13,"待确认")</x:f>
        <x:v>0</x:v>
      </x:c>
      <x:c r="G9" s="44" t="str">
        <x:v>追问子问题</x:v>
      </x:c>
      <x:c r="H9" s="45" t="n">
        <x:f>COUNTA('需求待确认'!$A$2:$A$13)-COUNTBLANK('需求待确认'!$C$2:$C$13)</x:f>
        <x:v>1</x:v>
      </x:c>
    </x:row>
    <x:row r="10" ht="23.25" customHeight="1">
      <x:c r="A10" s="44" t="str">
        <x:v>确认中</x:v>
      </x:c>
      <x:c r="B10" s="45" t="n">
        <x:f>COUNTIF('需求待确认'!$T$2:$T$13,"确认中")</x:f>
        <x:v>0</x:v>
      </x:c>
      <x:c r="C10" s="44" t="str">
        <x:v>不阻塞</x:v>
      </x:c>
      <x:c r="D10" s="45" t="n">
        <x:f>COUNTIFS('需求待确认'!$E$2:$E$13,"不阻塞",'需求待确认'!$T$2:$T$13,"待确认")</x:f>
        <x:v>2</x:v>
      </x:c>
      <x:c r="E10" s="44" t="str">
        <x:v>技术</x:v>
      </x:c>
      <x:c r="F10" s="45" t="n">
        <x:f>COUNTIFS('需求待确认'!$R$2:$R$13,"技术",'需求待确认'!$T$2:$T$13,"待确认")</x:f>
        <x:v>0</x:v>
      </x:c>
      <x:c r="G10" s="44" t="str">
        <x:v>未填写产品结论</x:v>
      </x:c>
      <x:c r="H10" s="45" t="n">
        <x:f>COUNTBLANK('需求待确认'!$L$2:$L$13)</x:f>
        <x:v>11</x:v>
      </x:c>
    </x:row>
    <x:row r="11" ht="23.25" customHeight="1">
      <x:c r="A11" s="44" t="str">
        <x:v>已确认</x:v>
      </x:c>
      <x:c r="B11" s="45" t="n">
        <x:f>COUNTIF('需求待确认'!$T$2:$T$13,"已确认")</x:f>
        <x:v>1</x:v>
      </x:c>
      <x:c r="C11" s="5"/>
      <x:c r="D11" s="5"/>
      <x:c r="E11" s="44" t="str">
        <x:v>多方确认</x:v>
      </x:c>
      <x:c r="F11" s="45" t="n">
        <x:f>COUNTIFS('需求待确认'!$R$2:$R$13,"多方确认",'需求待确认'!$T$2:$T$13,"待确认")</x:f>
        <x:v>3</x:v>
      </x:c>
      <x:c r="G11" s="44" t="str">
        <x:v>选择其他但未补充</x:v>
      </x:c>
      <x:c r="H11" s="45" t="n">
        <x:f>COUNTIFS('需求待确认'!$L$2:$L$13,"其他",'需求待确认'!$M$2:$M$13,"")</x:f>
        <x:v>0</x:v>
      </x:c>
    </x:row>
    <x:row r="12" ht="23.25" customHeight="1">
      <x:c r="A12" s="44" t="str">
        <x:v>无需处理</x:v>
      </x:c>
      <x:c r="B12" s="45" t="n">
        <x:f>COUNTIF('需求待确认'!$T$2:$T$13,"无需处理")</x:f>
        <x:v>0</x:v>
      </x:c>
      <x:c r="C12" s="5"/>
      <x:c r="D12" s="5"/>
      <x:c r="E12" s="5"/>
      <x:c r="F12" s="5"/>
      <x:c r="G12" s="5"/>
      <x:c r="H12" s="5"/>
    </x:row>
    <x:row r="14" ht="25.5" customHeight="1">
      <x:c r="A14" s="51" t="str">
        <x:v>处理顺序：先确认主播中心入口；展开父问题左侧分级按钮后，再处理由单场记录查看方式触发的详情范围问题。</x:v>
      </x:c>
      <x:c r="B14" s="51"/>
      <x:c r="C14" s="51"/>
      <x:c r="D14" s="51"/>
      <x:c r="E14" s="51"/>
      <x:c r="F14" s="51"/>
      <x:c r="G14" s="51"/>
      <x:c r="H14" s="51"/>
    </x:row>
  </x:sheetData>
  <x:mergeCells>
    <x:mergeCell ref="A1:H1"/>
    <x:mergeCell ref="A2:H2"/>
    <x:mergeCell ref="A4:B4"/>
    <x:mergeCell ref="A5:B5"/>
    <x:mergeCell ref="C4:D4"/>
    <x:mergeCell ref="C5:D5"/>
    <x:mergeCell ref="E4:F4"/>
    <x:mergeCell ref="E5:F5"/>
    <x:mergeCell ref="G4:H4"/>
    <x:mergeCell ref="G5:H5"/>
    <x:mergeCell ref="A14:H14"/>
  </x:mergeCells>
  <x:pageMargins left="0.7" right="0.7" top="0.75" bottom="0.75" header="0.3" footer="0.3"/>
</x:worksheet>
</file>