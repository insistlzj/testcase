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ed72250e548472b" /></Relationships>
</file>

<file path=xl/workbook.xml><?xml version="1.0" encoding="utf-8"?>
<x:workbook xmlns:x="http://schemas.openxmlformats.org/spreadsheetml/2006/main">
  <x:sheets>
    <x:sheet xmlns:r="http://schemas.openxmlformats.org/officeDocument/2006/relationships" name="产品决策概览" sheetId="1" r:id="Re7d5d45947a84204"/>
    <x:sheet xmlns:r="http://schemas.openxmlformats.org/officeDocument/2006/relationships" name="功能测试用例" sheetId="2" r:id="R74ed7084be3844d5"/>
    <x:sheet xmlns:r="http://schemas.openxmlformats.org/officeDocument/2006/relationships" name="需求待确认" sheetId="3" r:id="R2d60b0fc7a34478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color rgb="FF111827"/>
      <x:name val="Arial"/>
    </x:font>
    <x:font>
      <x:b/>
      <x:sz val="10"/>
      <x:color rgb="FFFFFFFF"/>
      <x:name val="Arial"/>
    </x:font>
    <x:font>
      <x:sz val="11"/>
      <x:name val="Arial"/>
    </x:font>
    <x:font>
      <x:b/>
      <x:sz val="15"/>
      <x:color rgb="FF111827"/>
      <x:name val="Arial"/>
    </x:font>
    <x:font>
      <x:i/>
      <x:sz val="10"/>
      <x:color rgb="FF64748B"/>
      <x:name val="Arial"/>
    </x:font>
  </x:fonts>
  <x:fills count="4">
    <x:fill>
      <x:patternFill patternType="none"/>
    </x:fill>
    <x:fill>
      <x:patternFill patternType="gray125"/>
    </x:fill>
    <x:fill>
      <x:patternFill patternType="solid">
        <x:fgColor rgb="FF243447"/>
      </x:patternFill>
    </x:fill>
    <x:fill>
      <x:patternFill patternType="solid">
        <x:fgColor rgb="FFFFF4CC"/>
      </x:patternFill>
    </x:fill>
  </x:fills>
  <x:borders count="2">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1" xfId="0" applyNumberFormat="1" applyFont="1" applyFill="1" applyBorder="1" applyAlignment="1">
      <x:alignment horizontal="center" vertical="center" wrapText="1"/>
    </x:xf>
    <x:xf numFmtId="0" fontId="1" fillId="3" borderId="1" xfId="0" applyNumberFormat="1" applyFont="1" applyFill="1" applyBorder="1" applyAlignment="1">
      <x:alignment vertical="center" wrapText="1"/>
    </x:xf>
    <x:xf numFmtId="0" fontId="0"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3" fillId="0"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horizontal="center"/>
    </x:xf>
    <x:xf numFmtId="0" fontId="1"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0877f8aa12f4bb7" /><Relationship Type="http://schemas.openxmlformats.org/officeDocument/2006/relationships/theme" Target="/xl/theme/theme1.xml" Id="Ra81ca32c3f1646dd" /><Relationship Type="http://schemas.openxmlformats.org/officeDocument/2006/relationships/sharedStrings" Target="/xl/sharedStrings.xml" Id="R2d9a0e60dbd84872" /><Relationship Type="http://schemas.openxmlformats.org/officeDocument/2006/relationships/worksheet" Target="/xl/worksheets/sheet1.xml" Id="Re7d5d45947a84204" /><Relationship Type="http://schemas.openxmlformats.org/officeDocument/2006/relationships/worksheet" Target="/xl/worksheets/sheet2.xml" Id="R74ed7084be3844d5" /><Relationship Type="http://schemas.openxmlformats.org/officeDocument/2006/relationships/worksheet" Target="/xl/worksheets/sheet3.xml" Id="R2d60b0fc7a34478b" /></Relationships>
</file>

<file path=xl/tables/table1.xml><?xml version="1.0" encoding="utf-8"?>
<x:table xmlns:x="http://schemas.openxmlformats.org/spreadsheetml/2006/main" id="1" name="UserAllCases" displayName="UserAllCases" ref="A1:O1333" headerRowCount="1" totalsRowCount="0" totalsRowShown="0">
  <x:autoFilter ref="A1:O1333"/>
  <x:tableColumns count="15">
    <x:tableColumn id="1" name="序号"/>
    <x:tableColumn id="2" name="用例编号"/>
    <x:tableColumn id="3" name="功能模块"/>
    <x:tableColumn id="4" name="功能结构"/>
    <x:tableColumn id="5" name="用例类型"/>
    <x:tableColumn id="6" name="优先级"/>
    <x:tableColumn id="7" name="用例描述"/>
    <x:tableColumn id="8" name="验证用例子项"/>
    <x:tableColumn id="9" name="前置条件"/>
    <x:tableColumn id="10" name="操作步骤"/>
    <x:tableColumn id="11" name="预期结果"/>
    <x:tableColumn id="12" name="流程编号"/>
    <x:tableColumn id="13" name="测试结果"/>
    <x:tableColumn id="14" name="测试人员"/>
    <x:tableColumn id="15" name="备注"/>
  </x:tableColumns>
  <x:tableStyleInfo name="TableStyleMedium2" showFirstColumn="0" showLastColumn="0" showRowStripes="1" showColumnStripes="0"/>
</x:table>
</file>

<file path=xl/tables/table2.xml><?xml version="1.0" encoding="utf-8"?>
<x:table xmlns:x="http://schemas.openxmlformats.org/spreadsheetml/2006/main" id="2" name="UserAllPending" displayName="UserAllPending" ref="A1:T87" headerRowCount="1" totalsRowCount="0" totalsRowShown="0">
  <x:autoFilter ref="A1:T87"/>
  <x:tableColumns count="20">
    <x:tableColumn id="1" name="问题编号"/>
    <x:tableColumn id="2" name="需求组编号"/>
    <x:tableColumn id="3" name="父问题编号"/>
    <x:tableColumn id="4" name="追问触发条件"/>
    <x:tableColumn id="5" name="阻塞等级"/>
    <x:tableColumn id="6" name="功能模块"/>
    <x:tableColumn id="7" name="具体场景"/>
    <x:tableColumn id="8" name="问题分类"/>
    <x:tableColumn id="9" name="待决策问题"/>
    <x:tableColumn id="10" name="可选方案"/>
    <x:tableColumn id="11" name="测试建议"/>
    <x:tableColumn id="12" name="产品结论"/>
    <x:tableColumn id="13" name="结论补充"/>
    <x:tableColumn id="14" name="已知依据"/>
    <x:tableColumn id="15" name="影响范围"/>
    <x:tableColumn id="16" name="已有用例编号"/>
    <x:tableColumn id="17" name="确认后待补用例"/>
    <x:tableColumn id="18" name="负责人"/>
    <x:tableColumn id="19" name="期望确认时间"/>
    <x:tableColumn id="20" name="确认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d9cab0700dd4cce" /></Relationships>
</file>

<file path=xl/worksheets/_rels/sheet3.xml.rels>&#65279;<?xml version="1.0" encoding="utf-8"?><Relationships xmlns="http://schemas.openxmlformats.org/package/2006/relationships"><Relationship Type="http://schemas.openxmlformats.org/officeDocument/2006/relationships/table" Target="/xl/tables/table2.xml" Id="R11f8a4aa85794e4c"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2" hidden="0" customWidth="1"/>
    <x:col min="2" max="2" width="12" hidden="0" customWidth="1"/>
    <x:col min="3" max="3" width="4" hidden="0" customWidth="1"/>
    <x:col min="4" max="4" width="18" hidden="0" customWidth="1"/>
    <x:col min="5" max="5" width="14" hidden="0" customWidth="1"/>
    <x:col min="6" max="6" width="4" hidden="0" customWidth="1"/>
    <x:col min="7" max="7" width="18" hidden="0" customWidth="1"/>
    <x:col min="8" max="8" width="14" hidden="0" customWidth="1"/>
  </x:cols>
  <x:sheetData>
    <x:row r="1" ht="30" customHeight="1">
      <x:c r="A1" s="18" t="str">
        <x:v>用户App-全部模块 产品决策概览</x:v>
      </x:c>
      <x:c r="B1" s="17"/>
      <x:c r="C1" s="17"/>
      <x:c r="D1" s="17"/>
      <x:c r="E1" s="17"/>
      <x:c r="F1" s="17"/>
      <x:c r="G1" s="17"/>
      <x:c r="H1" s="17"/>
    </x:row>
    <x:row r="2">
      <x:c r="A2" s="19" t="str">
        <x:v>MainBasis 现有数据直接导出；未追加内容复核；用例均未测</x:v>
      </x:c>
      <x:c r="B2" s="17"/>
      <x:c r="C2" s="17"/>
      <x:c r="D2" s="17"/>
      <x:c r="E2" s="17"/>
      <x:c r="F2" s="17"/>
      <x:c r="G2" s="17"/>
      <x:c r="H2" s="17"/>
    </x:row>
    <x:row r="3">
      <x:c r="A3" s="17"/>
      <x:c r="B3" s="17"/>
      <x:c r="C3" s="17"/>
      <x:c r="D3" s="17"/>
      <x:c r="E3" s="17"/>
      <x:c r="F3" s="17"/>
      <x:c r="G3" s="17"/>
      <x:c r="H3" s="17"/>
    </x:row>
    <x:row r="4">
      <x:c r="A4" s="7" t="str">
        <x:v>状态</x:v>
      </x:c>
      <x:c r="B4" s="7" t="str">
        <x:v>数量</x:v>
      </x:c>
      <x:c r="C4" s="17"/>
      <x:c r="D4" s="7" t="str">
        <x:v>阻塞等级</x:v>
      </x:c>
      <x:c r="E4" s="7" t="str">
        <x:v>当前待确认</x:v>
      </x:c>
      <x:c r="F4" s="17"/>
      <x:c r="G4" s="7" t="str">
        <x:v>负责人</x:v>
      </x:c>
      <x:c r="H4" s="7" t="str">
        <x:v>当前待确认</x:v>
      </x:c>
    </x:row>
    <x:row r="5">
      <x:c r="A5" s="20" t="str">
        <x:v>问题总数</x:v>
      </x:c>
      <x:c r="B5" s="20" t="n">
        <x:f>COUNTA('需求待确认'!$A$2:$A$87)</x:f>
        <x:v>86</x:v>
      </x:c>
      <x:c r="C5" s="17"/>
      <x:c r="D5" s="20" t="str">
        <x:v>阻塞测试</x:v>
      </x:c>
      <x:c r="E5" s="20" t="n">
        <x:f>COUNTIFS('需求待确认'!$E$2:$E$87,"阻塞测试",'需求待确认'!$T$2:$T$87,"待确认")</x:f>
        <x:v>12</x:v>
      </x:c>
      <x:c r="F5" s="17"/>
      <x:c r="G5" s="20" t="str">
        <x:v>产品</x:v>
      </x:c>
      <x:c r="H5" s="20" t="n">
        <x:f>COUNTIFS('需求待确认'!$R$2:$R$87,"产品",'需求待确认'!$T$2:$T$87,"待确认")</x:f>
        <x:v>64</x:v>
      </x:c>
    </x:row>
    <x:row r="6">
      <x:c r="A6" s="20" t="str">
        <x:v>当前可回答</x:v>
      </x:c>
      <x:c r="B6" s="20" t="n">
        <x:f>COUNTIF('需求待确认'!$T$2:$T$87,"待确认")</x:f>
        <x:v>86</x:v>
      </x:c>
      <x:c r="C6" s="17"/>
      <x:c r="D6" s="20" t="str">
        <x:v>部分阻塞</x:v>
      </x:c>
      <x:c r="E6" s="20" t="n">
        <x:f>COUNTIFS('需求待确认'!$E$2:$E$87,"部分阻塞",'需求待确认'!$T$2:$T$87,"待确认")</x:f>
        <x:v>74</x:v>
      </x:c>
      <x:c r="F6" s="17"/>
      <x:c r="G6" s="20" t="str">
        <x:v>交互</x:v>
      </x:c>
      <x:c r="H6" s="20" t="n">
        <x:f>COUNTIFS('需求待确认'!$R$2:$R$87,"交互",'需求待确认'!$T$2:$T$87,"待确认")</x:f>
        <x:v>15</x:v>
      </x:c>
    </x:row>
    <x:row r="7">
      <x:c r="A7" s="20" t="str">
        <x:v>待前置结论</x:v>
      </x:c>
      <x:c r="B7" s="20" t="n">
        <x:f>COUNTIF('需求待确认'!$T$2:$T$87,"待前置结论")</x:f>
        <x:v>0</x:v>
      </x:c>
      <x:c r="C7" s="17"/>
      <x:c r="D7" s="20" t="str">
        <x:v>不阻塞</x:v>
      </x:c>
      <x:c r="E7" s="20" t="n">
        <x:f>COUNTIFS('需求待确认'!$E$2:$E$87,"不阻塞",'需求待确认'!$T$2:$T$87,"待确认")</x:f>
        <x:v>0</x:v>
      </x:c>
      <x:c r="F7" s="17"/>
      <x:c r="G7" s="20" t="str">
        <x:v>技术</x:v>
      </x:c>
      <x:c r="H7" s="20" t="n">
        <x:f>COUNTIFS('需求待确认'!$R$2:$R$87,"技术",'需求待确认'!$T$2:$T$87,"待确认")</x:f>
        <x:v>2</x:v>
      </x:c>
    </x:row>
    <x:row r="8">
      <x:c r="A8" s="20" t="str">
        <x:v>确认中</x:v>
      </x:c>
      <x:c r="B8" s="20" t="n">
        <x:f>COUNTIF('需求待确认'!$T$2:$T$87,"确认中")</x:f>
        <x:v>0</x:v>
      </x:c>
      <x:c r="C8" s="17"/>
      <x:c r="D8" s="17"/>
      <x:c r="E8" s="17"/>
      <x:c r="F8" s="17"/>
      <x:c r="G8" s="20" t="str">
        <x:v>多方确认</x:v>
      </x:c>
      <x:c r="H8" s="20" t="n">
        <x:f>COUNTIFS('需求待确认'!$R$2:$R$87,"多方确认",'需求待确认'!$T$2:$T$87,"待确认")</x:f>
        <x:v>5</x:v>
      </x:c>
    </x:row>
    <x:row r="9">
      <x:c r="A9" s="20" t="str">
        <x:v>已确认</x:v>
      </x:c>
      <x:c r="B9" s="20" t="n">
        <x:f>COUNTIF('需求待确认'!$T$2:$T$87,"已确认")</x:f>
        <x:v>0</x:v>
      </x:c>
      <x:c r="C9" s="17"/>
      <x:c r="D9" s="17"/>
      <x:c r="E9" s="17"/>
      <x:c r="F9" s="17"/>
      <x:c r="G9" s="17"/>
      <x:c r="H9" s="17"/>
    </x:row>
    <x:row r="10">
      <x:c r="A10" s="20" t="str">
        <x:v>无需处理</x:v>
      </x:c>
      <x:c r="B10" s="20" t="n">
        <x:f>COUNTIF('需求待确认'!$T$2:$T$87,"无需处理")</x:f>
        <x:v>0</x:v>
      </x:c>
      <x:c r="C10" s="17"/>
      <x:c r="D10" s="17"/>
      <x:c r="E10" s="17"/>
      <x:c r="F10" s="17"/>
      <x:c r="G10" s="17"/>
      <x:c r="H10" s="17"/>
    </x:row>
    <x:row r="12">
      <x:c r="A12" s="7" t="str">
        <x:v>用例总数</x:v>
      </x:c>
      <x:c r="B12" s="7" t="str">
        <x:v>通过</x:v>
      </x:c>
      <x:c r="C12" s="7" t="str">
        <x:v>不通过</x:v>
      </x:c>
      <x:c r="D12" s="7" t="str">
        <x:v>未测</x:v>
      </x:c>
    </x:row>
    <x:row r="13">
      <x:c r="A13" s="16" t="n">
        <x:f>COUNTA('功能测试用例'!$B$2:$B1333)</x:f>
        <x:v>1332</x:v>
      </x:c>
      <x:c r="B13" s="16" t="n">
        <x:f>COUNTIF('功能测试用例'!$M$2:$M1333,"通过")</x:f>
        <x:v>0</x:v>
      </x:c>
      <x:c r="C13" s="16" t="n">
        <x:f>COUNTIF('功能测试用例'!$M$2:$M1333,"不通过")</x:f>
        <x:v>0</x:v>
      </x:c>
      <x:c r="D13" s="16" t="n">
        <x:f>COUNTIF('功能测试用例'!$M$2:$M1333,"未测")</x:f>
        <x:v>1332</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hidden="0" customWidth="1"/>
    <x:col min="2" max="2" width="14" hidden="0" customWidth="1"/>
    <x:col min="3" max="3" width="13" hidden="0" customWidth="1"/>
    <x:col min="4" max="4" width="25" hidden="0" customWidth="1"/>
    <x:col min="5" max="5" width="12" hidden="0" customWidth="1"/>
    <x:col min="6" max="6" width="8" hidden="0" customWidth="1"/>
    <x:col min="7" max="7" width="29" hidden="0" customWidth="1"/>
    <x:col min="8" max="8" width="22" hidden="0" customWidth="1"/>
    <x:col min="9" max="9" width="31" hidden="0" customWidth="1"/>
    <x:col min="10" max="10" width="34" hidden="0" customWidth="1"/>
    <x:col min="11" max="11" width="39" hidden="0" customWidth="1"/>
    <x:col min="12" max="12" width="18" hidden="0" customWidth="1"/>
    <x:col min="13" max="13" width="10" hidden="0" customWidth="1"/>
    <x:col min="14" max="14" width="12" hidden="0" customWidth="1"/>
    <x:col min="15" max="15" width="43" hidden="0" customWidth="1"/>
  </x:cols>
  <x:sheetData>
    <x:row r="1" ht="34" customHeight="1">
      <x:c r="A1" s="7" t="str">
        <x:v>序号</x:v>
      </x:c>
      <x:c r="B1" s="7" t="str">
        <x:v>用例编号</x:v>
      </x:c>
      <x:c r="C1" s="7" t="str">
        <x:v>功能模块</x:v>
      </x:c>
      <x:c r="D1" s="7" t="str">
        <x:v>功能结构</x:v>
      </x:c>
      <x:c r="E1" s="7" t="str">
        <x:v>用例类型</x:v>
      </x:c>
      <x:c r="F1" s="7" t="str">
        <x:v>优先级</x:v>
      </x:c>
      <x:c r="G1" s="7" t="str">
        <x:v>用例描述</x:v>
      </x:c>
      <x:c r="H1" s="7" t="str">
        <x:v>验证用例子项</x:v>
      </x:c>
      <x:c r="I1" s="7" t="str">
        <x:v>前置条件</x:v>
      </x:c>
      <x:c r="J1" s="7" t="str">
        <x:v>操作步骤</x:v>
      </x:c>
      <x:c r="K1" s="7" t="str">
        <x:v>预期结果</x:v>
      </x:c>
      <x:c r="L1" s="7" t="str">
        <x:v>流程编号</x:v>
      </x:c>
      <x:c r="M1" s="7" t="str">
        <x:v>测试结果</x:v>
      </x:c>
      <x:c r="N1" s="7" t="str">
        <x:v>测试人员</x:v>
      </x:c>
      <x:c r="O1" s="7" t="str">
        <x:v>备注</x:v>
      </x:c>
    </x:row>
    <x:row r="2" ht="54" customHeight="1">
      <x:c r="A2" s="4" t="n">
        <x:v>1</x:v>
      </x:c>
      <x:c r="B2" s="4" t="str">
        <x:v>USER-0001</x:v>
      </x:c>
      <x:c r="C2" s="4" t="str">
        <x:v>M01 账号、登录、资料与设置</x:v>
      </x:c>
      <x:c r="D2" s="4" t="str">
        <x:v>我的（用户视角）</x:v>
      </x:c>
      <x:c r="E2" s="4" t="str">
        <x:v>功能需求</x:v>
      </x:c>
      <x:c r="F2" s="4" t="str">
        <x:v>P2</x:v>
      </x:c>
      <x:c r="G2" s="4" t="str">
        <x:v>验证用户资料回显</x:v>
      </x:c>
      <x:c r="H2" s="4" t="str">
        <x:v>用户资料回显</x:v>
      </x:c>
      <x:c r="I2" s="4" t="str">
        <x:v>1. 已登录用户账号
2. 所选对象存在，已记录该对象的用户资料值</x:v>
      </x:c>
      <x:c r="J2" s="4" t="str">
        <x:v>1. 进入「我的」页
2. 查看用户资料回显</x:v>
      </x:c>
      <x:c r="K2" s="4" t="str">
        <x:v>「用户资料」内容与所选对象的该项资料一致</x:v>
      </x:c>
      <x:c r="L2" s="4" t="str"/>
      <x:c r="M2" s="4" t="str">
        <x:v>未测</x:v>
      </x:c>
      <x:c r="N2" s="4" t="str"/>
      <x:c r="O2" s="4" t="str">
        <x:v>1. 来源：MainBasis/统一需求文档.md；U-profile-002
2. 场景：SC-a409194a0e781c</x:v>
      </x:c>
    </x:row>
    <x:row r="3" ht="96" customHeight="1">
      <x:c r="A3" s="4" t="n">
        <x:v>2</x:v>
      </x:c>
      <x:c r="B3" s="4" t="str">
        <x:v>USER-0002</x:v>
      </x:c>
      <x:c r="C3" s="4" t="str">
        <x:v>M01 账号、登录、资料与设置</x:v>
      </x:c>
      <x:c r="D3" s="4" t="str">
        <x:v>我的（用户视角）</x:v>
      </x:c>
      <x:c r="E3" s="4" t="str">
        <x:v>功能需求</x:v>
      </x:c>
      <x:c r="F3" s="4" t="str">
        <x:v>P2</x:v>
      </x:c>
      <x:c r="G3" s="4" t="str">
        <x:v>验证编辑资料入口</x:v>
      </x:c>
      <x:c r="H3" s="4" t="str">
        <x:v>编辑资料入口</x:v>
      </x:c>
      <x:c r="I3" s="4" t="str">
        <x:v>1. 已登录用户账号</x:v>
      </x:c>
      <x:c r="J3" s="4" t="str">
        <x:v>1. 进入「我的」页
2. 点击「编辑资料」</x:v>
      </x:c>
      <x:c r="K3" s="4" t="str">
        <x:v>页面进入「资料编辑」</x:v>
      </x:c>
      <x:c r="L3" s="4" t="str"/>
      <x:c r="M3" s="4" t="str">
        <x:v>未测</x:v>
      </x:c>
      <x:c r="N3" s="4" t="str"/>
      <x:c r="O3" s="4" t="str">
        <x:v>1. 来源：MainBasis/统一需求文档.md；U-profile-010、U-profile-011、U-profile-012、U-profile-013、U-profile-014、U-profile-015、U-profile-018、U-profile-019、U-profile-020
2. 场景：SC-fbc11b8795e475</x:v>
      </x:c>
    </x:row>
    <x:row r="4" ht="96" customHeight="1">
      <x:c r="A4" s="4" t="n">
        <x:v>3</x:v>
      </x:c>
      <x:c r="B4" s="4" t="str">
        <x:v>USER-0003</x:v>
      </x:c>
      <x:c r="C4" s="4" t="str">
        <x:v>M01 账号、登录、资料与设置</x:v>
      </x:c>
      <x:c r="D4" s="4" t="str">
        <x:v>我的（用户视角）</x:v>
      </x:c>
      <x:c r="E4" s="4" t="str">
        <x:v>功能需求</x:v>
      </x:c>
      <x:c r="F4" s="4" t="str">
        <x:v>P2</x:v>
      </x:c>
      <x:c r="G4" s="4" t="str">
        <x:v>验证设置入口</x:v>
      </x:c>
      <x:c r="H4" s="4" t="str">
        <x:v>设置入口</x:v>
      </x:c>
      <x:c r="I4" s="4" t="str">
        <x:v>1. 已登录用户账号</x:v>
      </x:c>
      <x:c r="J4" s="4" t="str">
        <x:v>1. 进入「我的」页
2. 点击「设置」</x:v>
      </x:c>
      <x:c r="K4" s="4" t="str">
        <x:v>页面进入「设置」</x:v>
      </x:c>
      <x:c r="L4" s="4" t="str"/>
      <x:c r="M4" s="4" t="str">
        <x:v>未测</x:v>
      </x:c>
      <x:c r="N4" s="4" t="str"/>
      <x:c r="O4" s="4" t="str">
        <x:v>1. 来源：MainBasis/统一需求文档.md；U-profile-010、U-profile-011、U-profile-012、U-profile-013、U-profile-014、U-profile-015、U-profile-018、U-profile-019、U-profile-020
2. 场景：SC-cc5cdfa0dc1bdc</x:v>
      </x:c>
    </x:row>
    <x:row r="5" ht="96" customHeight="1">
      <x:c r="A5" s="4" t="n">
        <x:v>4</x:v>
      </x:c>
      <x:c r="B5" s="4" t="str">
        <x:v>USER-0004</x:v>
      </x:c>
      <x:c r="C5" s="4" t="str">
        <x:v>M01 账号、登录、资料与设置</x:v>
      </x:c>
      <x:c r="D5" s="4" t="str">
        <x:v>我的（用户视角）</x:v>
      </x:c>
      <x:c r="E5" s="4" t="str">
        <x:v>功能需求</x:v>
      </x:c>
      <x:c r="F5" s="4" t="str">
        <x:v>P2</x:v>
      </x:c>
      <x:c r="G5" s="4" t="str">
        <x:v>验证充值入口</x:v>
      </x:c>
      <x:c r="H5" s="4" t="str">
        <x:v>充值入口</x:v>
      </x:c>
      <x:c r="I5" s="4" t="str">
        <x:v>1. 已登录用户账号</x:v>
      </x:c>
      <x:c r="J5" s="4" t="str">
        <x:v>1. 进入「我的」页
2. 点击「充值」</x:v>
      </x:c>
      <x:c r="K5" s="4" t="str">
        <x:v>页面进入「余额充值」</x:v>
      </x:c>
      <x:c r="L5" s="4" t="str"/>
      <x:c r="M5" s="4" t="str">
        <x:v>未测</x:v>
      </x:c>
      <x:c r="N5" s="4" t="str"/>
      <x:c r="O5" s="4" t="str">
        <x:v>1. 来源：MainBasis/统一需求文档.md；U-profile-010、U-profile-011、U-profile-012、U-profile-013、U-profile-014、U-profile-015、U-profile-018、U-profile-019、U-profile-020
2. 场景：SC-ca1c270864ec15</x:v>
      </x:c>
    </x:row>
    <x:row r="6" ht="96" customHeight="1">
      <x:c r="A6" s="4" t="n">
        <x:v>5</x:v>
      </x:c>
      <x:c r="B6" s="4" t="str">
        <x:v>USER-0005</x:v>
      </x:c>
      <x:c r="C6" s="4" t="str">
        <x:v>M01 账号、登录、资料与设置</x:v>
      </x:c>
      <x:c r="D6" s="4" t="str">
        <x:v>我的（用户视角）</x:v>
      </x:c>
      <x:c r="E6" s="4" t="str">
        <x:v>功能需求</x:v>
      </x:c>
      <x:c r="F6" s="4" t="str">
        <x:v>P2</x:v>
      </x:c>
      <x:c r="G6" s="4" t="str">
        <x:v>验证我的装扮入口</x:v>
      </x:c>
      <x:c r="H6" s="4" t="str">
        <x:v>我的装扮入口</x:v>
      </x:c>
      <x:c r="I6" s="4" t="str">
        <x:v>1. 已登录用户账号</x:v>
      </x:c>
      <x:c r="J6" s="4" t="str">
        <x:v>1. 进入「我的」页
2. 点击「我的装扮」</x:v>
      </x:c>
      <x:c r="K6" s="4" t="str">
        <x:v>页面进入「我的装扮」</x:v>
      </x:c>
      <x:c r="L6" s="4" t="str"/>
      <x:c r="M6" s="4" t="str">
        <x:v>未测</x:v>
      </x:c>
      <x:c r="N6" s="4" t="str"/>
      <x:c r="O6" s="4" t="str">
        <x:v>1. 来源：MainBasis/统一需求文档.md；U-profile-010、U-profile-011、U-profile-012、U-profile-013、U-profile-014、U-profile-015、U-profile-018、U-profile-019、U-profile-020
2. 场景：SC-ab3acd07986eba</x:v>
      </x:c>
    </x:row>
    <x:row r="7" ht="96" customHeight="1">
      <x:c r="A7" s="4" t="n">
        <x:v>6</x:v>
      </x:c>
      <x:c r="B7" s="4" t="str">
        <x:v>USER-0006</x:v>
      </x:c>
      <x:c r="C7" s="4" t="str">
        <x:v>M01 账号、登录、资料与设置</x:v>
      </x:c>
      <x:c r="D7" s="4" t="str">
        <x:v>我的（用户视角）</x:v>
      </x:c>
      <x:c r="E7" s="4" t="str">
        <x:v>功能需求</x:v>
      </x:c>
      <x:c r="F7" s="4" t="str">
        <x:v>P2</x:v>
      </x:c>
      <x:c r="G7" s="4" t="str">
        <x:v>验证粉丝团入口</x:v>
      </x:c>
      <x:c r="H7" s="4" t="str">
        <x:v>粉丝团入口</x:v>
      </x:c>
      <x:c r="I7" s="4" t="str">
        <x:v>1. 已登录用户账号</x:v>
      </x:c>
      <x:c r="J7" s="4" t="str">
        <x:v>1. 进入「我的」页
2. 点击「粉丝团」</x:v>
      </x:c>
      <x:c r="K7" s="4" t="str">
        <x:v>页面进入「我的粉丝团」</x:v>
      </x:c>
      <x:c r="L7" s="4" t="str"/>
      <x:c r="M7" s="4" t="str">
        <x:v>未测</x:v>
      </x:c>
      <x:c r="N7" s="4" t="str"/>
      <x:c r="O7" s="4" t="str">
        <x:v>1. 来源：MainBasis/统一需求文档.md；U-profile-010、U-profile-011、U-profile-012、U-profile-013、U-profile-014、U-profile-015、U-profile-018、U-profile-019、U-profile-020
2. 场景：SC-98e530052e49a7</x:v>
      </x:c>
    </x:row>
    <x:row r="8" ht="96" customHeight="1">
      <x:c r="A8" s="4" t="n">
        <x:v>7</x:v>
      </x:c>
      <x:c r="B8" s="4" t="str">
        <x:v>USER-0007</x:v>
      </x:c>
      <x:c r="C8" s="4" t="str">
        <x:v>M01 账号、登录、资料与设置</x:v>
      </x:c>
      <x:c r="D8" s="4" t="str">
        <x:v>我的（用户视角）</x:v>
      </x:c>
      <x:c r="E8" s="4" t="str">
        <x:v>功能需求</x:v>
      </x:c>
      <x:c r="F8" s="4" t="str">
        <x:v>P2</x:v>
      </x:c>
      <x:c r="G8" s="4" t="str">
        <x:v>验证邀请奖励入口</x:v>
      </x:c>
      <x:c r="H8" s="4" t="str">
        <x:v>邀请奖励入口</x:v>
      </x:c>
      <x:c r="I8" s="4" t="str">
        <x:v>1. 已登录用户账号</x:v>
      </x:c>
      <x:c r="J8" s="4" t="str">
        <x:v>1. 进入「我的」页
2. 点击「邀请奖励」</x:v>
      </x:c>
      <x:c r="K8" s="4" t="str">
        <x:v>页面进入「邀请好友」</x:v>
      </x:c>
      <x:c r="L8" s="4" t="str"/>
      <x:c r="M8" s="4" t="str">
        <x:v>未测</x:v>
      </x:c>
      <x:c r="N8" s="4" t="str"/>
      <x:c r="O8" s="4" t="str">
        <x:v>1. 来源：MainBasis/统一需求文档.md；U-profile-010、U-profile-011、U-profile-012、U-profile-013、U-profile-014、U-profile-015、U-profile-018、U-profile-019、U-profile-020
2. 场景：SC-6d6305cc5aa6a4</x:v>
      </x:c>
    </x:row>
    <x:row r="9" ht="96" customHeight="1">
      <x:c r="A9" s="4" t="n">
        <x:v>8</x:v>
      </x:c>
      <x:c r="B9" s="4" t="str">
        <x:v>USER-0008</x:v>
      </x:c>
      <x:c r="C9" s="4" t="str">
        <x:v>M01 账号、登录、资料与设置</x:v>
      </x:c>
      <x:c r="D9" s="4" t="str">
        <x:v>我的（用户视角）</x:v>
      </x:c>
      <x:c r="E9" s="4" t="str">
        <x:v>功能需求</x:v>
      </x:c>
      <x:c r="F9" s="4" t="str">
        <x:v>P2</x:v>
      </x:c>
      <x:c r="G9" s="4" t="str">
        <x:v>验证黑名单入口</x:v>
      </x:c>
      <x:c r="H9" s="4" t="str">
        <x:v>黑名单入口</x:v>
      </x:c>
      <x:c r="I9" s="4" t="str">
        <x:v>1. 已登录用户账号</x:v>
      </x:c>
      <x:c r="J9" s="4" t="str">
        <x:v>1. 进入「我的」页
2. 点击「黑名单」</x:v>
      </x:c>
      <x:c r="K9" s="4" t="str">
        <x:v>页面进入「黑名单管理」</x:v>
      </x:c>
      <x:c r="L9" s="4" t="str"/>
      <x:c r="M9" s="4" t="str">
        <x:v>未测</x:v>
      </x:c>
      <x:c r="N9" s="4" t="str"/>
      <x:c r="O9" s="4" t="str">
        <x:v>1. 来源：MainBasis/统一需求文档.md；U-profile-010、U-profile-011、U-profile-012、U-profile-013、U-profile-014、U-profile-015、U-profile-018、U-profile-019、U-profile-020
2. 场景：SC-5f7cc59188ac4c</x:v>
      </x:c>
    </x:row>
    <x:row r="10" ht="96" customHeight="1">
      <x:c r="A10" s="4" t="n">
        <x:v>9</x:v>
      </x:c>
      <x:c r="B10" s="4" t="str">
        <x:v>USER-0009</x:v>
      </x:c>
      <x:c r="C10" s="4" t="str">
        <x:v>M01 账号、登录、资料与设置</x:v>
      </x:c>
      <x:c r="D10" s="4" t="str">
        <x:v>我的（用户视角）</x:v>
      </x:c>
      <x:c r="E10" s="4" t="str">
        <x:v>功能需求</x:v>
      </x:c>
      <x:c r="F10" s="4" t="str">
        <x:v>P2</x:v>
      </x:c>
      <x:c r="G10" s="4" t="str">
        <x:v>验证联系客服入口</x:v>
      </x:c>
      <x:c r="H10" s="4" t="str">
        <x:v>联系客服入口</x:v>
      </x:c>
      <x:c r="I10" s="4" t="str">
        <x:v>1. 已登录用户账号</x:v>
      </x:c>
      <x:c r="J10" s="4" t="str">
        <x:v>1. 进入「我的」页
2. 点击「联系客服」</x:v>
      </x:c>
      <x:c r="K10" s="4" t="str">
        <x:v>页面进入「客服会话」</x:v>
      </x:c>
      <x:c r="L10" s="4" t="str"/>
      <x:c r="M10" s="4" t="str">
        <x:v>未测</x:v>
      </x:c>
      <x:c r="N10" s="4" t="str"/>
      <x:c r="O10" s="4" t="str">
        <x:v>1. 来源：MainBasis/统一需求文档.md；U-profile-010、U-profile-011、U-profile-012、U-profile-013、U-profile-014、U-profile-015、U-profile-018、U-profile-019、U-profile-020
2. 场景：SC-01e5e8d564d937</x:v>
      </x:c>
    </x:row>
    <x:row r="11" ht="96" customHeight="1">
      <x:c r="A11" s="4" t="n">
        <x:v>10</x:v>
      </x:c>
      <x:c r="B11" s="4" t="str">
        <x:v>USER-0010</x:v>
      </x:c>
      <x:c r="C11" s="4" t="str">
        <x:v>M01 账号、登录、资料与设置</x:v>
      </x:c>
      <x:c r="D11" s="4" t="str">
        <x:v>我的（用户视角）</x:v>
      </x:c>
      <x:c r="E11" s="4" t="str">
        <x:v>功能需求</x:v>
      </x:c>
      <x:c r="F11" s="4" t="str">
        <x:v>P2</x:v>
      </x:c>
      <x:c r="G11" s="4" t="str">
        <x:v>验证公会中心入口</x:v>
      </x:c>
      <x:c r="H11" s="4" t="str">
        <x:v>公会中心入口</x:v>
      </x:c>
      <x:c r="I11" s="4" t="str">
        <x:v>1. 已登录用户账号</x:v>
      </x:c>
      <x:c r="J11" s="4" t="str">
        <x:v>1. 进入「我的」页
2. 点击「公会中心」</x:v>
      </x:c>
      <x:c r="K11" s="4" t="str">
        <x:v>页面进入「公会中心」</x:v>
      </x:c>
      <x:c r="L11" s="4" t="str"/>
      <x:c r="M11" s="4" t="str">
        <x:v>未测</x:v>
      </x:c>
      <x:c r="N11" s="4" t="str"/>
      <x:c r="O11" s="4" t="str">
        <x:v>1. 来源：MainBasis/统一需求文档.md；U-profile-010、U-profile-011、U-profile-012、U-profile-013、U-profile-014、U-profile-015、U-profile-018、U-profile-019、U-profile-020
2. 场景：SC-9fdaf440e1196d</x:v>
      </x:c>
    </x:row>
    <x:row r="12" ht="54" customHeight="1">
      <x:c r="A12" s="4" t="n">
        <x:v>11</x:v>
      </x:c>
      <x:c r="B12" s="4" t="str">
        <x:v>USER-0011</x:v>
      </x:c>
      <x:c r="C12" s="4" t="str">
        <x:v>M01 账号、登录、资料与设置</x:v>
      </x:c>
      <x:c r="D12" s="4" t="str">
        <x:v>我的（用户视角）</x:v>
      </x:c>
      <x:c r="E12" s="4" t="str">
        <x:v>功能需求</x:v>
      </x:c>
      <x:c r="F12" s="4" t="str">
        <x:v>P1</x:v>
      </x:c>
      <x:c r="G12" s="4" t="str">
        <x:v>验证开始直播主播分流</x:v>
      </x:c>
      <x:c r="H12" s="4" t="str">
        <x:v>开始直播主播分流</x:v>
      </x:c>
      <x:c r="I12" s="4" t="str">
        <x:v>1. 已登录用户账号
2. 账号已有主播身份</x:v>
      </x:c>
      <x:c r="J12" s="4" t="str">
        <x:v>1. 进入「我的」页
2. 点击「开始直播」</x:v>
      </x:c>
      <x:c r="K12" s="4" t="str">
        <x:v>页面进入「主播中心」</x:v>
      </x:c>
      <x:c r="L12" s="4" t="str"/>
      <x:c r="M12" s="4" t="str">
        <x:v>未测</x:v>
      </x:c>
      <x:c r="N12" s="4" t="str"/>
      <x:c r="O12" s="4" t="str">
        <x:v>1. 来源：MainBasis/统一需求文档.md；U-profile-016、U-profile-017、U-profile-007
2. 场景：SC-9211e3238dc583</x:v>
      </x:c>
    </x:row>
    <x:row r="13" ht="54" customHeight="1">
      <x:c r="A13" s="4" t="n">
        <x:v>12</x:v>
      </x:c>
      <x:c r="B13" s="4" t="str">
        <x:v>USER-0012</x:v>
      </x:c>
      <x:c r="C13" s="4" t="str">
        <x:v>M01 账号、登录、资料与设置</x:v>
      </x:c>
      <x:c r="D13" s="4" t="str">
        <x:v>我的（用户视角）</x:v>
      </x:c>
      <x:c r="E13" s="4" t="str">
        <x:v>功能需求</x:v>
      </x:c>
      <x:c r="F13" s="4" t="str">
        <x:v>P1</x:v>
      </x:c>
      <x:c r="G13" s="4" t="str">
        <x:v>验证开始直播普通用户分流</x:v>
      </x:c>
      <x:c r="H13" s="4" t="str">
        <x:v>开始直播普通用户分流</x:v>
      </x:c>
      <x:c r="I13" s="4" t="str">
        <x:v>1. 已登录用户账号
2. 账号尚无主播身份</x:v>
      </x:c>
      <x:c r="J13" s="4" t="str">
        <x:v>1. 进入「我的」页
2. 点击「开始直播」</x:v>
      </x:c>
      <x:c r="K13" s="4" t="str">
        <x:v>页面进入「申请成为主播」</x:v>
      </x:c>
      <x:c r="L13" s="4" t="str"/>
      <x:c r="M13" s="4" t="str">
        <x:v>未测</x:v>
      </x:c>
      <x:c r="N13" s="4" t="str"/>
      <x:c r="O13" s="4" t="str">
        <x:v>1. 来源：MainBasis/统一需求文档.md；U-profile-016、U-profile-017、U-profile-007
2. 场景：SC-918193b7fe00ea</x:v>
      </x:c>
    </x:row>
    <x:row r="14" ht="54" customHeight="1">
      <x:c r="A14" s="4" t="n">
        <x:v>13</x:v>
      </x:c>
      <x:c r="B14" s="4" t="str">
        <x:v>USER-0013</x:v>
      </x:c>
      <x:c r="C14" s="4" t="str">
        <x:v>M01 账号、登录、资料与设置</x:v>
      </x:c>
      <x:c r="D14" s="4" t="str">
        <x:v>我的（用户视角）</x:v>
      </x:c>
      <x:c r="E14" s="4" t="str">
        <x:v>功能需求</x:v>
      </x:c>
      <x:c r="F14" s="4" t="str">
        <x:v>P1</x:v>
      </x:c>
      <x:c r="G14" s="4" t="str">
        <x:v>验证主播中心主播分流</x:v>
      </x:c>
      <x:c r="H14" s="4" t="str">
        <x:v>主播中心主播分流</x:v>
      </x:c>
      <x:c r="I14" s="4" t="str">
        <x:v>1. 已登录用户账号
2. 账号已有主播身份</x:v>
      </x:c>
      <x:c r="J14" s="4" t="str">
        <x:v>1. 进入「我的」页
2. 点击「主播中心」</x:v>
      </x:c>
      <x:c r="K14" s="4" t="str">
        <x:v>页面进入「主播中心」</x:v>
      </x:c>
      <x:c r="L14" s="4" t="str"/>
      <x:c r="M14" s="4" t="str">
        <x:v>未测</x:v>
      </x:c>
      <x:c r="N14" s="4" t="str"/>
      <x:c r="O14" s="4" t="str">
        <x:v>1. 来源：MainBasis/统一需求文档.md；U-profile-016、U-profile-017、U-profile-007
2. 场景：SC-2e4af2c5255690</x:v>
      </x:c>
    </x:row>
    <x:row r="15" ht="54" customHeight="1">
      <x:c r="A15" s="4" t="n">
        <x:v>14</x:v>
      </x:c>
      <x:c r="B15" s="4" t="str">
        <x:v>USER-0014</x:v>
      </x:c>
      <x:c r="C15" s="4" t="str">
        <x:v>M01 账号、登录、资料与设置</x:v>
      </x:c>
      <x:c r="D15" s="4" t="str">
        <x:v>我的（用户视角）</x:v>
      </x:c>
      <x:c r="E15" s="4" t="str">
        <x:v>功能需求</x:v>
      </x:c>
      <x:c r="F15" s="4" t="str">
        <x:v>P1</x:v>
      </x:c>
      <x:c r="G15" s="4" t="str">
        <x:v>验证主播中心普通用户分流</x:v>
      </x:c>
      <x:c r="H15" s="4" t="str">
        <x:v>主播中心普通用户分流</x:v>
      </x:c>
      <x:c r="I15" s="4" t="str">
        <x:v>1. 已登录用户账号
2. 账号尚无主播身份</x:v>
      </x:c>
      <x:c r="J15" s="4" t="str">
        <x:v>1. 进入「我的」页
2. 点击「主播中心」</x:v>
      </x:c>
      <x:c r="K15" s="4" t="str">
        <x:v>页面进入「申请成为主播」</x:v>
      </x:c>
      <x:c r="L15" s="4" t="str"/>
      <x:c r="M15" s="4" t="str">
        <x:v>未测</x:v>
      </x:c>
      <x:c r="N15" s="4" t="str"/>
      <x:c r="O15" s="4" t="str">
        <x:v>1. 来源：MainBasis/统一需求文档.md；U-profile-016、U-profile-017、U-profile-007
2. 场景：SC-5ef7b148d8fc21</x:v>
      </x:c>
    </x:row>
    <x:row r="16" ht="54" customHeight="1">
      <x:c r="A16" s="4" t="n">
        <x:v>15</x:v>
      </x:c>
      <x:c r="B16" s="4" t="str">
        <x:v>USER-0015</x:v>
      </x:c>
      <x:c r="C16" s="4" t="str">
        <x:v>M01 账号、登录、资料与设置</x:v>
      </x:c>
      <x:c r="D16" s="4" t="str">
        <x:v>我的（用户视角）</x:v>
      </x:c>
      <x:c r="E16" s="4" t="str">
        <x:v>功能需求</x:v>
      </x:c>
      <x:c r="F16" s="4" t="str">
        <x:v>P1</x:v>
      </x:c>
      <x:c r="G16" s="4" t="str">
        <x:v>验证好友数</x:v>
      </x:c>
      <x:c r="H16" s="4" t="str">
        <x:v>好友数</x:v>
      </x:c>
      <x:c r="I16" s="4" t="str">
        <x:v>1. 已登录用户账号
2. 仅存在2个双向有效好友</x:v>
      </x:c>
      <x:c r="J16" s="4" t="str">
        <x:v>1. 进入「我的」页
2. 查看好友数</x:v>
      </x:c>
      <x:c r="K16" s="4" t="str">
        <x:v>好友数 = 2</x:v>
      </x:c>
      <x:c r="L16" s="4" t="str"/>
      <x:c r="M16" s="4" t="str">
        <x:v>未测</x:v>
      </x:c>
      <x:c r="N16" s="4" t="str"/>
      <x:c r="O16" s="4" t="str">
        <x:v>1. 来源：MainBasis/统一需求文档.md；U-profile-004
2. 场景：SC-0fcfe28b83978d</x:v>
      </x:c>
    </x:row>
    <x:row r="17" ht="54" customHeight="1">
      <x:c r="A17" s="4" t="n">
        <x:v>16</x:v>
      </x:c>
      <x:c r="B17" s="4" t="str">
        <x:v>USER-0016</x:v>
      </x:c>
      <x:c r="C17" s="4" t="str">
        <x:v>M01 账号、登录、资料与设置</x:v>
      </x:c>
      <x:c r="D17" s="4" t="str">
        <x:v>我的（用户视角）</x:v>
      </x:c>
      <x:c r="E17" s="4" t="str">
        <x:v>功能需求</x:v>
      </x:c>
      <x:c r="F17" s="4" t="str">
        <x:v>P1</x:v>
      </x:c>
      <x:c r="G17" s="4" t="str">
        <x:v>验证关注数</x:v>
      </x:c>
      <x:c r="H17" s="4" t="str">
        <x:v>关注数</x:v>
      </x:c>
      <x:c r="I17" s="4" t="str">
        <x:v>1. 已登录用户账号
2. 仅存在3个当前仍关注的账号</x:v>
      </x:c>
      <x:c r="J17" s="4" t="str">
        <x:v>1. 进入「我的」页
2. 查看关注数</x:v>
      </x:c>
      <x:c r="K17" s="4" t="str">
        <x:v>关注数 = 3</x:v>
      </x:c>
      <x:c r="L17" s="4" t="str"/>
      <x:c r="M17" s="4" t="str">
        <x:v>未测</x:v>
      </x:c>
      <x:c r="N17" s="4" t="str"/>
      <x:c r="O17" s="4" t="str">
        <x:v>1. 来源：MainBasis/统一需求文档.md；U-profile-004
2. 场景：SC-d8ca7d7af1b961</x:v>
      </x:c>
    </x:row>
    <x:row r="18" ht="54" customHeight="1">
      <x:c r="A18" s="4" t="n">
        <x:v>17</x:v>
      </x:c>
      <x:c r="B18" s="4" t="str">
        <x:v>USER-0017</x:v>
      </x:c>
      <x:c r="C18" s="4" t="str">
        <x:v>M01 账号、登录、资料与设置</x:v>
      </x:c>
      <x:c r="D18" s="4" t="str">
        <x:v>我的（用户视角）</x:v>
      </x:c>
      <x:c r="E18" s="4" t="str">
        <x:v>功能需求</x:v>
      </x:c>
      <x:c r="F18" s="4" t="str">
        <x:v>P1</x:v>
      </x:c>
      <x:c r="G18" s="4" t="str">
        <x:v>验证粉丝数</x:v>
      </x:c>
      <x:c r="H18" s="4" t="str">
        <x:v>粉丝数</x:v>
      </x:c>
      <x:c r="I18" s="4" t="str">
        <x:v>1. 已登录用户账号
2. 仅存在4个当前仍关注我的账号</x:v>
      </x:c>
      <x:c r="J18" s="4" t="str">
        <x:v>1. 进入「我的」页
2. 查看粉丝数</x:v>
      </x:c>
      <x:c r="K18" s="4" t="str">
        <x:v>粉丝数 = 4</x:v>
      </x:c>
      <x:c r="L18" s="4" t="str"/>
      <x:c r="M18" s="4" t="str">
        <x:v>未测</x:v>
      </x:c>
      <x:c r="N18" s="4" t="str"/>
      <x:c r="O18" s="4" t="str">
        <x:v>1. 来源：MainBasis/统一需求文档.md；U-profile-004
2. 场景：SC-97245a0c41baa4</x:v>
      </x:c>
    </x:row>
    <x:row r="19" ht="54" customHeight="1">
      <x:c r="A19" s="4" t="n">
        <x:v>18</x:v>
      </x:c>
      <x:c r="B19" s="4" t="str">
        <x:v>USER-0018</x:v>
      </x:c>
      <x:c r="C19" s="4" t="str">
        <x:v>M01 账号、登录、资料与设置</x:v>
      </x:c>
      <x:c r="D19" s="4" t="str">
        <x:v>我的（用户视角）</x:v>
      </x:c>
      <x:c r="E19" s="4" t="str">
        <x:v>功能需求</x:v>
      </x:c>
      <x:c r="F19" s="4" t="str">
        <x:v>P1</x:v>
      </x:c>
      <x:c r="G19" s="4" t="str">
        <x:v>验证个人页勋章0枚</x:v>
      </x:c>
      <x:c r="H19" s="4" t="str">
        <x:v>个人页勋章0枚</x:v>
      </x:c>
      <x:c r="I19" s="4" t="str">
        <x:v>1. 已登录用户账号
2. 当前有0枚有效且已佩戴勋章</x:v>
      </x:c>
      <x:c r="J19" s="4" t="str">
        <x:v>1. 进入「我的」页
2. 查看个人页勋章0枚</x:v>
      </x:c>
      <x:c r="K19" s="4" t="str">
        <x:v>勋章区域隐藏</x:v>
      </x:c>
      <x:c r="L19" s="4" t="str"/>
      <x:c r="M19" s="4" t="str">
        <x:v>未测</x:v>
      </x:c>
      <x:c r="N19" s="4" t="str"/>
      <x:c r="O19" s="4" t="str">
        <x:v>1. 来源：MainBasis/统一需求文档.md；U-profile-003
2. 场景：SC-fc4781fef02571</x:v>
      </x:c>
    </x:row>
    <x:row r="20" ht="54" customHeight="1">
      <x:c r="A20" s="4" t="n">
        <x:v>19</x:v>
      </x:c>
      <x:c r="B20" s="4" t="str">
        <x:v>USER-0019</x:v>
      </x:c>
      <x:c r="C20" s="4" t="str">
        <x:v>M01 账号、登录、资料与设置</x:v>
      </x:c>
      <x:c r="D20" s="4" t="str">
        <x:v>我的（用户视角）</x:v>
      </x:c>
      <x:c r="E20" s="4" t="str">
        <x:v>功能需求</x:v>
      </x:c>
      <x:c r="F20" s="4" t="str">
        <x:v>P1</x:v>
      </x:c>
      <x:c r="G20" s="4" t="str">
        <x:v>验证个人页勋章1枚</x:v>
      </x:c>
      <x:c r="H20" s="4" t="str">
        <x:v>个人页勋章1枚</x:v>
      </x:c>
      <x:c r="I20" s="4" t="str">
        <x:v>1. 已登录用户账号
2. 当前有1枚有效且已佩戴勋章</x:v>
      </x:c>
      <x:c r="J20" s="4" t="str">
        <x:v>1. 进入「我的」页
2. 查看个人页勋章1枚</x:v>
      </x:c>
      <x:c r="K20" s="4" t="str">
        <x:v>昵称下方显示1枚勋章且不保留空位</x:v>
      </x:c>
      <x:c r="L20" s="4" t="str"/>
      <x:c r="M20" s="4" t="str">
        <x:v>未测</x:v>
      </x:c>
      <x:c r="N20" s="4" t="str"/>
      <x:c r="O20" s="4" t="str">
        <x:v>1. 来源：MainBasis/统一需求文档.md；U-profile-003
2. 场景：SC-d5f09189e1f346</x:v>
      </x:c>
    </x:row>
    <x:row r="21" ht="54" customHeight="1">
      <x:c r="A21" s="4" t="n">
        <x:v>20</x:v>
      </x:c>
      <x:c r="B21" s="4" t="str">
        <x:v>USER-0020</x:v>
      </x:c>
      <x:c r="C21" s="4" t="str">
        <x:v>M01 账号、登录、资料与设置</x:v>
      </x:c>
      <x:c r="D21" s="4" t="str">
        <x:v>我的（用户视角）</x:v>
      </x:c>
      <x:c r="E21" s="4" t="str">
        <x:v>功能需求</x:v>
      </x:c>
      <x:c r="F21" s="4" t="str">
        <x:v>P1</x:v>
      </x:c>
      <x:c r="G21" s="4" t="str">
        <x:v>验证个人页勋章5枚</x:v>
      </x:c>
      <x:c r="H21" s="4" t="str">
        <x:v>个人页勋章5枚</x:v>
      </x:c>
      <x:c r="I21" s="4" t="str">
        <x:v>1. 已登录用户账号
2. 当前有5枚有效且已佩戴勋章</x:v>
      </x:c>
      <x:c r="J21" s="4" t="str">
        <x:v>1. 进入「我的」页
2. 查看个人页勋章5枚</x:v>
      </x:c>
      <x:c r="K21" s="4" t="str">
        <x:v>昵称下方显示5枚勋章且不保留空位</x:v>
      </x:c>
      <x:c r="L21" s="4" t="str"/>
      <x:c r="M21" s="4" t="str">
        <x:v>未测</x:v>
      </x:c>
      <x:c r="N21" s="4" t="str"/>
      <x:c r="O21" s="4" t="str">
        <x:v>1. 来源：MainBasis/统一需求文档.md；U-profile-003
2. 场景：SC-c7bc6910ef56fc</x:v>
      </x:c>
    </x:row>
    <x:row r="22" ht="54" customHeight="1">
      <x:c r="A22" s="4" t="n">
        <x:v>21</x:v>
      </x:c>
      <x:c r="B22" s="4" t="str">
        <x:v>USER-0021</x:v>
      </x:c>
      <x:c r="C22" s="4" t="str">
        <x:v>M01 账号、登录、资料与设置</x:v>
      </x:c>
      <x:c r="D22" s="4" t="str">
        <x:v>我的（用户视角）</x:v>
      </x:c>
      <x:c r="E22" s="4" t="str">
        <x:v>功能需求</x:v>
      </x:c>
      <x:c r="F22" s="4" t="str">
        <x:v>P2</x:v>
      </x:c>
      <x:c r="G22" s="4" t="str">
        <x:v>验证好友数入口</x:v>
      </x:c>
      <x:c r="H22" s="4" t="str">
        <x:v>好友数入口</x:v>
      </x:c>
      <x:c r="I22" s="4" t="str">
        <x:v>1. 已登录用户账号</x:v>
      </x:c>
      <x:c r="J22" s="4" t="str">
        <x:v>1. 进入「我的」页
2. 点击「好友数」</x:v>
      </x:c>
      <x:c r="K22" s="4" t="str">
        <x:v>页面进入「好友列表」</x:v>
      </x:c>
      <x:c r="L22" s="4" t="str"/>
      <x:c r="M22" s="4" t="str">
        <x:v>未测</x:v>
      </x:c>
      <x:c r="N22" s="4" t="str"/>
      <x:c r="O22" s="4" t="str">
        <x:v>1. 来源：MainBasis/统一需求文档.md；U-profile-008
2. 场景：SC-7d050f21d264fb</x:v>
      </x:c>
    </x:row>
    <x:row r="23" ht="54" customHeight="1">
      <x:c r="A23" s="4" t="n">
        <x:v>22</x:v>
      </x:c>
      <x:c r="B23" s="4" t="str">
        <x:v>USER-0022</x:v>
      </x:c>
      <x:c r="C23" s="4" t="str">
        <x:v>M01 账号、登录、资料与设置</x:v>
      </x:c>
      <x:c r="D23" s="4" t="str">
        <x:v>我的（用户视角）</x:v>
      </x:c>
      <x:c r="E23" s="4" t="str">
        <x:v>功能需求</x:v>
      </x:c>
      <x:c r="F23" s="4" t="str">
        <x:v>P2</x:v>
      </x:c>
      <x:c r="G23" s="4" t="str">
        <x:v>验证粉丝数入口</x:v>
      </x:c>
      <x:c r="H23" s="4" t="str">
        <x:v>粉丝数入口</x:v>
      </x:c>
      <x:c r="I23" s="4" t="str">
        <x:v>1. 已登录用户账号</x:v>
      </x:c>
      <x:c r="J23" s="4" t="str">
        <x:v>1. 进入「我的」页
2. 点击「粉丝数」</x:v>
      </x:c>
      <x:c r="K23" s="4" t="str">
        <x:v>页面进入「粉丝列表」</x:v>
      </x:c>
      <x:c r="L23" s="4" t="str"/>
      <x:c r="M23" s="4" t="str">
        <x:v>未测</x:v>
      </x:c>
      <x:c r="N23" s="4" t="str"/>
      <x:c r="O23" s="4" t="str">
        <x:v>1. 来源：MainBasis/统一需求文档.md；U-profile-008
2. 场景：SC-f37c2ab7fd5ead</x:v>
      </x:c>
    </x:row>
    <x:row r="24" ht="54" customHeight="1">
      <x:c r="A24" s="4" t="n">
        <x:v>23</x:v>
      </x:c>
      <x:c r="B24" s="4" t="str">
        <x:v>USER-0023</x:v>
      </x:c>
      <x:c r="C24" s="4" t="str">
        <x:v>M01 账号、登录、资料与设置</x:v>
      </x:c>
      <x:c r="D24" s="4" t="str">
        <x:v>我的（用户视角）</x:v>
      </x:c>
      <x:c r="E24" s="4" t="str">
        <x:v>功能需求</x:v>
      </x:c>
      <x:c r="F24" s="4" t="str">
        <x:v>P2</x:v>
      </x:c>
      <x:c r="G24" s="4" t="str">
        <x:v>验证关注数入口</x:v>
      </x:c>
      <x:c r="H24" s="4" t="str">
        <x:v>关注数入口</x:v>
      </x:c>
      <x:c r="I24" s="4" t="str">
        <x:v>1. 已登录用户账号</x:v>
      </x:c>
      <x:c r="J24" s="4" t="str">
        <x:v>1. 进入「我的」页
2. 点击「关注数」</x:v>
      </x:c>
      <x:c r="K24" s="4" t="str">
        <x:v>页面进入「我的关注」</x:v>
      </x:c>
      <x:c r="L24" s="4" t="str"/>
      <x:c r="M24" s="4" t="str">
        <x:v>未测</x:v>
      </x:c>
      <x:c r="N24" s="4" t="str"/>
      <x:c r="O24" s="4" t="str">
        <x:v>1. 来源：MainBasis/统一需求文档.md；U-profile-008
2. 场景：SC-4fdf455260a891</x:v>
      </x:c>
    </x:row>
    <x:row r="25" ht="82" customHeight="1">
      <x:c r="A25" s="4" t="n">
        <x:v>24</x:v>
      </x:c>
      <x:c r="B25" s="4" t="str">
        <x:v>USER-0024</x:v>
      </x:c>
      <x:c r="C25" s="4" t="str">
        <x:v>M01 账号、登录、资料与设置</x:v>
      </x:c>
      <x:c r="D25" s="4" t="str">
        <x:v>我的（主播视角）</x:v>
      </x:c>
      <x:c r="E25" s="4" t="str">
        <x:v>功能需求</x:v>
      </x:c>
      <x:c r="F25" s="4" t="str">
        <x:v>P1</x:v>
      </x:c>
      <x:c r="G25" s="4" t="str">
        <x:v>验证退会通过影响主播身份</x:v>
      </x:c>
      <x:c r="H25" s="4" t="str">
        <x:v>退会通过影响主播身份</x:v>
      </x:c>
      <x:c r="I25" s="4" t="str">
        <x:v>1. 已登录主播账号
2. 目标主播有在播场次及粉丝团，收益已结清，公会已完成退会通过</x:v>
      </x:c>
      <x:c r="J25" s="4" t="str">
        <x:v>1. 进入「我的」页
2. 查看退会通过影响主播身份</x:v>
      </x:c>
      <x:c r="K25" s="4" t="str">
        <x:v>主播身份失效，主播中心入口进入申请成为主播页</x:v>
      </x:c>
      <x:c r="L25" s="4" t="str">
        <x:v>FLOW-289CDBD1</x:v>
      </x:c>
      <x:c r="M25" s="4" t="str">
        <x:v>未测</x:v>
      </x:c>
      <x:c r="N25" s="4" t="str"/>
      <x:c r="O25" s="4" t="str">
        <x:v>1. 来源：MainBasis/统一需求文档.md；U-guild-leave-application-006、U-guild-detail-015
2. 场景：SC-612681d62393e6
3. 状态转换：ST-D5B9B34DDEFD</x:v>
      </x:c>
    </x:row>
    <x:row r="26" ht="82" customHeight="1">
      <x:c r="A26" s="4" t="n">
        <x:v>25</x:v>
      </x:c>
      <x:c r="B26" s="4" t="str">
        <x:v>USER-0025</x:v>
      </x:c>
      <x:c r="C26" s="4" t="str">
        <x:v>M01 账号、登录、资料与设置</x:v>
      </x:c>
      <x:c r="D26" s="4" t="str">
        <x:v>我的（主播视角）</x:v>
      </x:c>
      <x:c r="E26" s="4" t="str">
        <x:v>功能需求</x:v>
      </x:c>
      <x:c r="F26" s="4" t="str">
        <x:v>P1</x:v>
      </x:c>
      <x:c r="G26" s="4" t="str">
        <x:v>验证公会移出影响主播身份</x:v>
      </x:c>
      <x:c r="H26" s="4" t="str">
        <x:v>公会移出影响主播身份</x:v>
      </x:c>
      <x:c r="I26" s="4" t="str">
        <x:v>1. 已登录主播账号
2. 目标主播有在播场次及粉丝团，收益已结清，公会已完成公会移出</x:v>
      </x:c>
      <x:c r="J26" s="4" t="str">
        <x:v>1. 进入「我的」页
2. 查看公会移出影响主播身份</x:v>
      </x:c>
      <x:c r="K26" s="4" t="str">
        <x:v>主播身份失效，主播中心入口进入申请成为主播页</x:v>
      </x:c>
      <x:c r="L26" s="4" t="str">
        <x:v>FLOW-EA7D49B9</x:v>
      </x:c>
      <x:c r="M26" s="4" t="str">
        <x:v>未测</x:v>
      </x:c>
      <x:c r="N26" s="4" t="str"/>
      <x:c r="O26" s="4" t="str">
        <x:v>1. 来源：MainBasis/统一需求文档.md；U-guild-leave-application-006、U-guild-detail-015
2. 场景：SC-a1dce898afe801
3. 状态转换：ST-6CB4EB33D1A6</x:v>
      </x:c>
    </x:row>
    <x:row r="27" ht="54" customHeight="1">
      <x:c r="A27" s="4" t="n">
        <x:v>26</x:v>
      </x:c>
      <x:c r="B27" s="4" t="str">
        <x:v>USER-0026</x:v>
      </x:c>
      <x:c r="C27" s="4" t="str">
        <x:v>M01 账号、登录、资料与设置</x:v>
      </x:c>
      <x:c r="D27" s="4" t="str">
        <x:v>我的（用户视角）</x:v>
      </x:c>
      <x:c r="E27" s="4" t="str">
        <x:v>功能需求</x:v>
      </x:c>
      <x:c r="F27" s="4" t="str">
        <x:v>P1</x:v>
      </x:c>
      <x:c r="G27" s="4" t="str">
        <x:v>验证用户与主播共用资产资料</x:v>
      </x:c>
      <x:c r="H27" s="4" t="str">
        <x:v>用户与主播共用资产资料</x:v>
      </x:c>
      <x:c r="I27" s="4" t="str">
        <x:v>1. 已登录用户账号
2. 同一账号已有主播身份，当前昵称甲、余额100、有一个好友</x:v>
      </x:c>
      <x:c r="J27" s="4" t="str">
        <x:v>1. 进入「我的」页
2. 查看用户与主播共用资产资料</x:v>
      </x:c>
      <x:c r="K27" s="4" t="str">
        <x:v>用户个人页与主播身份使用同一昵称、金币账户和好友关系</x:v>
      </x:c>
      <x:c r="L27" s="4" t="str"/>
      <x:c r="M27" s="4" t="str">
        <x:v>未测</x:v>
      </x:c>
      <x:c r="N27" s="4" t="str"/>
      <x:c r="O27" s="4" t="str">
        <x:v>1. 来源：MainBasis/统一需求文档.md；U-profile-006、D-SYS-042
2. 场景：SC-e8e232a197dc96</x:v>
      </x:c>
    </x:row>
    <x:row r="28" ht="54" customHeight="1">
      <x:c r="A28" s="4" t="n">
        <x:v>27</x:v>
      </x:c>
      <x:c r="B28" s="4" t="str">
        <x:v>USER-0027</x:v>
      </x:c>
      <x:c r="C28" s="4" t="str">
        <x:v>M01 账号、登录、资料与设置</x:v>
      </x:c>
      <x:c r="D28" s="4" t="str">
        <x:v>我的装扮（用户视角）</x:v>
      </x:c>
      <x:c r="E28" s="4" t="str">
        <x:v>功能需求</x:v>
      </x:c>
      <x:c r="F28" s="4" t="str">
        <x:v>P2</x:v>
      </x:c>
      <x:c r="G28" s="4" t="str">
        <x:v>验证当前头像、勋章回显</x:v>
      </x:c>
      <x:c r="H28" s="4" t="str">
        <x:v>当前头像、勋章回显</x:v>
      </x:c>
      <x:c r="I28" s="4" t="str">
        <x:v>1. 已登录用户账号
2. 所选对象存在，已记录该对象的当前头像 / 勋章值</x:v>
      </x:c>
      <x:c r="J28" s="4" t="str">
        <x:v>1. 进入「我的装扮」页
2. 查看当前头像、勋章回显</x:v>
      </x:c>
      <x:c r="K28" s="4" t="str">
        <x:v>「当前头像 / 勋章」内容与所选对象的该项资料一致</x:v>
      </x:c>
      <x:c r="L28" s="4" t="str"/>
      <x:c r="M28" s="4" t="str">
        <x:v>未测</x:v>
      </x:c>
      <x:c r="N28" s="4" t="str"/>
      <x:c r="O28" s="4" t="str">
        <x:v>1. 来源：MainBasis/统一需求文档.md；U-my-decoration-002
2. 场景：SC-bea39c4d5a903d</x:v>
      </x:c>
    </x:row>
    <x:row r="29" ht="54" customHeight="1">
      <x:c r="A29" s="4" t="n">
        <x:v>28</x:v>
      </x:c>
      <x:c r="B29" s="4" t="str">
        <x:v>USER-0028</x:v>
      </x:c>
      <x:c r="C29" s="4" t="str">
        <x:v>M01 账号、登录、资料与设置</x:v>
      </x:c>
      <x:c r="D29" s="4" t="str">
        <x:v>我的装扮（用户视角）</x:v>
      </x:c>
      <x:c r="E29" s="4" t="str">
        <x:v>功能需求</x:v>
      </x:c>
      <x:c r="F29" s="4" t="str">
        <x:v>P2</x:v>
      </x:c>
      <x:c r="G29" s="4" t="str">
        <x:v>验证装扮分类回显</x:v>
      </x:c>
      <x:c r="H29" s="4" t="str">
        <x:v>装扮分类回显</x:v>
      </x:c>
      <x:c r="I29" s="4" t="str">
        <x:v>1. 已登录用户账号
2. 所选对象存在，已记录该对象的装扮分类值</x:v>
      </x:c>
      <x:c r="J29" s="4" t="str">
        <x:v>1. 进入「我的装扮」页
2. 查看装扮分类回显</x:v>
      </x:c>
      <x:c r="K29" s="4" t="str">
        <x:v>「装扮分类」内容与所选对象的该项资料一致</x:v>
      </x:c>
      <x:c r="L29" s="4" t="str"/>
      <x:c r="M29" s="4" t="str">
        <x:v>未测</x:v>
      </x:c>
      <x:c r="N29" s="4" t="str"/>
      <x:c r="O29" s="4" t="str">
        <x:v>1. 来源：MainBasis/统一需求文档.md；U-my-decoration-003
2. 场景：SC-baf53453c0db9c</x:v>
      </x:c>
    </x:row>
    <x:row r="30" ht="54" customHeight="1">
      <x:c r="A30" s="4" t="n">
        <x:v>29</x:v>
      </x:c>
      <x:c r="B30" s="4" t="str">
        <x:v>USER-0029</x:v>
      </x:c>
      <x:c r="C30" s="4" t="str">
        <x:v>M01 账号、登录、资料与设置</x:v>
      </x:c>
      <x:c r="D30" s="4" t="str">
        <x:v>我的装扮（用户视角）</x:v>
      </x:c>
      <x:c r="E30" s="4" t="str">
        <x:v>功能需求</x:v>
      </x:c>
      <x:c r="F30" s="4" t="str">
        <x:v>P1</x:v>
      </x:c>
      <x:c r="G30" s="4" t="str">
        <x:v>验证装扮分类和账户归属</x:v>
      </x:c>
      <x:c r="H30" s="4" t="str">
        <x:v>装扮分类和账户归属</x:v>
      </x:c>
      <x:c r="I30" s="4" t="str">
        <x:v>1. 已登录用户账号
2. 当前账号和另一账号各持有装扮</x:v>
      </x:c>
      <x:c r="J30" s="4" t="str">
        <x:v>1. 进入「我的装扮」页
2. 查看装扮分类和账户归属</x:v>
      </x:c>
      <x:c r="K30" s="4" t="str">
        <x:v>只显示当前账号资产，分类顺序为头像框、聊天气泡、勋章</x:v>
      </x:c>
      <x:c r="L30" s="4" t="str"/>
      <x:c r="M30" s="4" t="str">
        <x:v>未测</x:v>
      </x:c>
      <x:c r="N30" s="4" t="str"/>
      <x:c r="O30" s="4" t="str">
        <x:v>1. 来源：MainBasis/统一需求文档.md；U-my-decoration-007
2. 场景：SC-bfef8c6dd4214a</x:v>
      </x:c>
    </x:row>
    <x:row r="31" ht="54" customHeight="1">
      <x:c r="A31" s="4" t="n">
        <x:v>30</x:v>
      </x:c>
      <x:c r="B31" s="4" t="str">
        <x:v>USER-0030</x:v>
      </x:c>
      <x:c r="C31" s="4" t="str">
        <x:v>M01 账号、登录、资料与设置</x:v>
      </x:c>
      <x:c r="D31" s="4" t="str">
        <x:v>我的装扮（用户视角）</x:v>
      </x:c>
      <x:c r="E31" s="4" t="str">
        <x:v>功能需求</x:v>
      </x:c>
      <x:c r="F31" s="4" t="str">
        <x:v>P1</x:v>
      </x:c>
      <x:c r="G31" s="4" t="str">
        <x:v>验证装扮类别包含有效及过期资产</x:v>
      </x:c>
      <x:c r="H31" s="4" t="str">
        <x:v>装扮类别包含有效及过期资产</x:v>
      </x:c>
      <x:c r="I31" s="4" t="str">
        <x:v>1. 已登录用户账号
2. 同类持有一个有效及一个过期道具</x:v>
      </x:c>
      <x:c r="J31" s="4" t="str">
        <x:v>1. 进入「我的装扮」页
2. 进入该装扮分类</x:v>
      </x:c>
      <x:c r="K31" s="4" t="str">
        <x:v>同时展示有效和已过期的持有道具</x:v>
      </x:c>
      <x:c r="L31" s="4" t="str"/>
      <x:c r="M31" s="4" t="str">
        <x:v>未测</x:v>
      </x:c>
      <x:c r="N31" s="4" t="str"/>
      <x:c r="O31" s="4" t="str">
        <x:v>1. 来源：MainBasis/统一需求文档.md；U-my-decoration-008
2. 场景：SC-6879fd2431eb62</x:v>
      </x:c>
    </x:row>
    <x:row r="32" ht="54" customHeight="1">
      <x:c r="A32" s="4" t="n">
        <x:v>31</x:v>
      </x:c>
      <x:c r="B32" s="4" t="str">
        <x:v>USER-0031</x:v>
      </x:c>
      <x:c r="C32" s="4" t="str">
        <x:v>M01 账号、登录、资料与设置</x:v>
      </x:c>
      <x:c r="D32" s="4" t="str">
        <x:v>我的装扮（用户视角）</x:v>
      </x:c>
      <x:c r="E32" s="4" t="str">
        <x:v>功能需求</x:v>
      </x:c>
      <x:c r="F32" s="4" t="str">
        <x:v>P1</x:v>
      </x:c>
      <x:c r="G32" s="4" t="str">
        <x:v>验证道具下架已持有仍可穿戴</x:v>
      </x:c>
      <x:c r="H32" s="4" t="str">
        <x:v>道具下架已持有仍可穿戴</x:v>
      </x:c>
      <x:c r="I32" s="4" t="str">
        <x:v>1. 已登录用户账号
2. 持有道具尚在有效期但配置已下架</x:v>
      </x:c>
      <x:c r="J32" s="4" t="str">
        <x:v>1. 进入「我的装扮」页
2. 查看道具下架已持有仍可穿戴</x:v>
      </x:c>
      <x:c r="K32" s="4" t="str">
        <x:v>该道具仍可穿戴使用</x:v>
      </x:c>
      <x:c r="L32" s="4" t="str"/>
      <x:c r="M32" s="4" t="str">
        <x:v>未测</x:v>
      </x:c>
      <x:c r="N32" s="4" t="str"/>
      <x:c r="O32" s="4" t="str">
        <x:v>1. 来源：MainBasis/统一需求文档.md；U-my-decoration-005
2. 场景：SC-56d6c25489ffeb</x:v>
      </x:c>
    </x:row>
    <x:row r="33" ht="54" customHeight="1">
      <x:c r="A33" s="4" t="n">
        <x:v>32</x:v>
      </x:c>
      <x:c r="B33" s="4" t="str">
        <x:v>USER-0032</x:v>
      </x:c>
      <x:c r="C33" s="4" t="str">
        <x:v>M01 账号、登录、资料与设置</x:v>
      </x:c>
      <x:c r="D33" s="4" t="str">
        <x:v>头像框（用户视角）</x:v>
      </x:c>
      <x:c r="E33" s="4" t="str">
        <x:v>功能需求</x:v>
      </x:c>
      <x:c r="F33" s="4" t="str">
        <x:v>P2</x:v>
      </x:c>
      <x:c r="G33" s="4" t="str">
        <x:v>验证头像框预览、名称回显</x:v>
      </x:c>
      <x:c r="H33" s="4" t="str">
        <x:v>头像框预览、名称回显</x:v>
      </x:c>
      <x:c r="I33" s="4" t="str">
        <x:v>1. 已登录用户账号
2. 所选对象存在，已记录该对象的头像框预览 / 名称值</x:v>
      </x:c>
      <x:c r="J33" s="4" t="str">
        <x:v>1. 进入「头像框」页
2. 查看头像框预览、名称回显</x:v>
      </x:c>
      <x:c r="K33" s="4" t="str">
        <x:v>「头像框预览 / 名称」内容与所选对象的该项资料一致</x:v>
      </x:c>
      <x:c r="L33" s="4" t="str"/>
      <x:c r="M33" s="4" t="str">
        <x:v>未测</x:v>
      </x:c>
      <x:c r="N33" s="4" t="str"/>
      <x:c r="O33" s="4" t="str">
        <x:v>1. 来源：MainBasis/统一需求文档.md；U-my-decoration-avatar-frame-002
2. 场景：SC-96372b2ffce79b</x:v>
      </x:c>
    </x:row>
    <x:row r="34" ht="82" customHeight="1">
      <x:c r="A34" s="4" t="n">
        <x:v>33</x:v>
      </x:c>
      <x:c r="B34" s="4" t="str">
        <x:v>USER-0033</x:v>
      </x:c>
      <x:c r="C34" s="4" t="str">
        <x:v>M01 账号、登录、资料与设置</x:v>
      </x:c>
      <x:c r="D34" s="4" t="str">
        <x:v>头像框（用户视角）</x:v>
      </x:c>
      <x:c r="E34" s="4" t="str">
        <x:v>功能需求</x:v>
      </x:c>
      <x:c r="F34" s="4" t="str">
        <x:v>P1</x:v>
      </x:c>
      <x:c r="G34" s="4" t="str">
        <x:v>验证头像框替换旧穿戴</x:v>
      </x:c>
      <x:c r="H34" s="4" t="str">
        <x:v>头像框替换旧穿戴</x:v>
      </x:c>
      <x:c r="I34" s="4" t="str">
        <x:v>1. 已登录用户账号
2. 当前已穿戴有效头像框甲，另持有有效乙</x:v>
      </x:c>
      <x:c r="J34" s="4" t="str">
        <x:v>1. 进入「头像框」页
2. 穿戴乙</x:v>
      </x:c>
      <x:c r="K34" s="4" t="str">
        <x:v>乙成为当前唯一穿戴头像框，甲被卸下</x:v>
      </x:c>
      <x:c r="L34" s="4" t="str"/>
      <x:c r="M34" s="4" t="str">
        <x:v>未测</x:v>
      </x:c>
      <x:c r="N34" s="4" t="str"/>
      <x:c r="O34" s="4" t="str">
        <x:v>1. 来源：MainBasis/统一需求文档.md；U-my-decoration-avatar-frame-004、U-my-decoration-006、U-my-decoration-avatar-frame-003、D-SYS-156
2. 场景：SC-6a8669c6287631</x:v>
      </x:c>
    </x:row>
    <x:row r="35" ht="54" customHeight="1">
      <x:c r="A35" s="4" t="n">
        <x:v>34</x:v>
      </x:c>
      <x:c r="B35" s="4" t="str">
        <x:v>USER-0034</x:v>
      </x:c>
      <x:c r="C35" s="4" t="str">
        <x:v>M01 账号、登录、资料与设置</x:v>
      </x:c>
      <x:c r="D35" s="4" t="str">
        <x:v>头像框（用户视角）</x:v>
      </x:c>
      <x:c r="E35" s="4" t="str">
        <x:v>功能需求</x:v>
      </x:c>
      <x:c r="F35" s="4" t="str">
        <x:v>P1</x:v>
      </x:c>
      <x:c r="G35" s="4" t="str">
        <x:v>验证头像框卸下</x:v>
      </x:c>
      <x:c r="H35" s="4" t="str">
        <x:v>头像框卸下</x:v>
      </x:c>
      <x:c r="I35" s="4" t="str">
        <x:v>1. 已登录用户账号
2. 当前头像框已佩戴</x:v>
      </x:c>
      <x:c r="J35" s="4" t="str">
        <x:v>1. 进入「头像框」页
2. 点击卸下</x:v>
      </x:c>
      <x:c r="K35" s="4" t="str">
        <x:v>头像框恢复默认样式</x:v>
      </x:c>
      <x:c r="L35" s="4" t="str"/>
      <x:c r="M35" s="4" t="str">
        <x:v>未测</x:v>
      </x:c>
      <x:c r="N35" s="4" t="str"/>
      <x:c r="O35" s="4" t="str">
        <x:v>1. 来源：MainBasis/统一需求文档.md；U-my-decoration-avatar-frame-006
2. 场景：SC-4d8a793ad56935</x:v>
      </x:c>
    </x:row>
    <x:row r="36" ht="82" customHeight="1">
      <x:c r="A36" s="4" t="n">
        <x:v>35</x:v>
      </x:c>
      <x:c r="B36" s="4" t="str">
        <x:v>USER-0035</x:v>
      </x:c>
      <x:c r="C36" s="4" t="str">
        <x:v>M01 账号、登录、资料与设置</x:v>
      </x:c>
      <x:c r="D36" s="4" t="str">
        <x:v>头像框（用户视角）</x:v>
      </x:c>
      <x:c r="E36" s="4" t="str">
        <x:v>功能需求</x:v>
      </x:c>
      <x:c r="F36" s="4" t="str">
        <x:v>P1</x:v>
      </x:c>
      <x:c r="G36" s="4" t="str">
        <x:v>验证头像框过期即时失效</x:v>
      </x:c>
      <x:c r="H36" s="4" t="str">
        <x:v>头像框过期即时失效</x:v>
      </x:c>
      <x:c r="I36" s="4" t="str">
        <x:v>1. 已登录用户账号
2. 当前已穿戴头像框刚过期</x:v>
      </x:c>
      <x:c r="J36" s="4" t="str">
        <x:v>1. 进入「头像框」页
2. 查看头像框过期即时失效</x:v>
      </x:c>
      <x:c r="K36" s="4" t="str">
        <x:v>该头像框停止展示</x:v>
      </x:c>
      <x:c r="L36" s="4" t="str"/>
      <x:c r="M36" s="4" t="str">
        <x:v>未测</x:v>
      </x:c>
      <x:c r="N36" s="4" t="str"/>
      <x:c r="O36" s="4" t="str">
        <x:v>1. 来源：MainBasis/统一需求文档.md；U-my-decoration-avatar-frame-004、U-my-decoration-006、U-my-decoration-avatar-frame-003、D-SYS-156
2. 场景：SC-6a73aaba44dbf0</x:v>
      </x:c>
    </x:row>
    <x:row r="37" ht="82" customHeight="1">
      <x:c r="A37" s="4" t="n">
        <x:v>36</x:v>
      </x:c>
      <x:c r="B37" s="4" t="str">
        <x:v>USER-0036</x:v>
      </x:c>
      <x:c r="C37" s="4" t="str">
        <x:v>M01 账号、登录、资料与设置</x:v>
      </x:c>
      <x:c r="D37" s="4" t="str">
        <x:v>头像框（用户视角）</x:v>
      </x:c>
      <x:c r="E37" s="4" t="str">
        <x:v>功能需求</x:v>
      </x:c>
      <x:c r="F37" s="4" t="str">
        <x:v>P1</x:v>
      </x:c>
      <x:c r="G37" s="4" t="str">
        <x:v>验证头像框被回收即时失效</x:v>
      </x:c>
      <x:c r="H37" s="4" t="str">
        <x:v>头像框被回收即时失效</x:v>
      </x:c>
      <x:c r="I37" s="4" t="str">
        <x:v>1. 已登录用户账号
2. 当前已穿戴头像框刚被回收</x:v>
      </x:c>
      <x:c r="J37" s="4" t="str">
        <x:v>1. 进入「头像框」页
2. 查看头像框被回收即时失效</x:v>
      </x:c>
      <x:c r="K37" s="4" t="str">
        <x:v>该头像框停止展示</x:v>
      </x:c>
      <x:c r="L37" s="4" t="str"/>
      <x:c r="M37" s="4" t="str">
        <x:v>未测</x:v>
      </x:c>
      <x:c r="N37" s="4" t="str"/>
      <x:c r="O37" s="4" t="str">
        <x:v>1. 来源：MainBasis/统一需求文档.md；U-my-decoration-avatar-frame-004、U-my-decoration-006、U-my-decoration-avatar-frame-003、D-SYS-156
2. 场景：SC-52afdcfc8d3b9d</x:v>
      </x:c>
    </x:row>
    <x:row r="38" ht="54" customHeight="1">
      <x:c r="A38" s="4" t="n">
        <x:v>37</x:v>
      </x:c>
      <x:c r="B38" s="4" t="str">
        <x:v>USER-0037</x:v>
      </x:c>
      <x:c r="C38" s="4" t="str">
        <x:v>M01 账号、登录、资料与设置</x:v>
      </x:c>
      <x:c r="D38" s="4" t="str">
        <x:v>头像框（用户视角）</x:v>
      </x:c>
      <x:c r="E38" s="4" t="str">
        <x:v>功能需求</x:v>
      </x:c>
      <x:c r="F38" s="4" t="str">
        <x:v>P1</x:v>
      </x:c>
      <x:c r="G38" s="4" t="str">
        <x:v>验证头像框失效保留记录</x:v>
      </x:c>
      <x:c r="H38" s="4" t="str">
        <x:v>头像框失效保留记录</x:v>
      </x:c>
      <x:c r="I38" s="4" t="str">
        <x:v>1. 已登录用户账号
2. 持有一个已失效头像框</x:v>
      </x:c>
      <x:c r="J38" s="4" t="str">
        <x:v>1. 进入「头像框」页
2. 查看头像框失效保留记录</x:v>
      </x:c>
      <x:c r="K38" s="4" t="str">
        <x:v>失效项保留，显示“失效”且不可点击佩戴</x:v>
      </x:c>
      <x:c r="L38" s="4" t="str"/>
      <x:c r="M38" s="4" t="str">
        <x:v>未测</x:v>
      </x:c>
      <x:c r="N38" s="4" t="str"/>
      <x:c r="O38" s="4" t="str">
        <x:v>1. 来源：MainBasis/统一需求文档.md；U-my-decoration-avatar-frame-006
2. 场景：SC-7df7819614c8e4</x:v>
      </x:c>
    </x:row>
    <x:row r="39" ht="54" customHeight="1">
      <x:c r="A39" s="4" t="n">
        <x:v>38</x:v>
      </x:c>
      <x:c r="B39" s="4" t="str">
        <x:v>USER-0038</x:v>
      </x:c>
      <x:c r="C39" s="4" t="str">
        <x:v>M01 账号、登录、资料与设置</x:v>
      </x:c>
      <x:c r="D39" s="4" t="str">
        <x:v>聊天气泡（用户视角）</x:v>
      </x:c>
      <x:c r="E39" s="4" t="str">
        <x:v>功能需求</x:v>
      </x:c>
      <x:c r="F39" s="4" t="str">
        <x:v>P2</x:v>
      </x:c>
      <x:c r="G39" s="4" t="str">
        <x:v>验证聊天气泡预览、名称回显</x:v>
      </x:c>
      <x:c r="H39" s="4" t="str">
        <x:v>聊天气泡预览、名称回显</x:v>
      </x:c>
      <x:c r="I39" s="4" t="str">
        <x:v>1. 已登录用户账号
2. 所选对象存在，已记录该对象的聊天气泡预览 / 名称值</x:v>
      </x:c>
      <x:c r="J39" s="4" t="str">
        <x:v>1. 进入「聊天气泡」页
2. 查看聊天气泡预览、名称回显</x:v>
      </x:c>
      <x:c r="K39" s="4" t="str">
        <x:v>「聊天气泡预览 / 名称」内容与所选对象的该项资料一致</x:v>
      </x:c>
      <x:c r="L39" s="4" t="str"/>
      <x:c r="M39" s="4" t="str">
        <x:v>未测</x:v>
      </x:c>
      <x:c r="N39" s="4" t="str"/>
      <x:c r="O39" s="4" t="str">
        <x:v>1. 来源：MainBasis/统一需求文档.md；U-my-decoration-chat-bubble-002
2. 场景：SC-092a28bb409878</x:v>
      </x:c>
    </x:row>
    <x:row r="40" ht="68" customHeight="1">
      <x:c r="A40" s="4" t="n">
        <x:v>39</x:v>
      </x:c>
      <x:c r="B40" s="4" t="str">
        <x:v>USER-0039</x:v>
      </x:c>
      <x:c r="C40" s="4" t="str">
        <x:v>M01 账号、登录、资料与设置</x:v>
      </x:c>
      <x:c r="D40" s="4" t="str">
        <x:v>聊天气泡（用户视角）</x:v>
      </x:c>
      <x:c r="E40" s="4" t="str">
        <x:v>功能需求</x:v>
      </x:c>
      <x:c r="F40" s="4" t="str">
        <x:v>P1</x:v>
      </x:c>
      <x:c r="G40" s="4" t="str">
        <x:v>验证聊天气泡替换旧穿戴</x:v>
      </x:c>
      <x:c r="H40" s="4" t="str">
        <x:v>聊天气泡替换旧穿戴</x:v>
      </x:c>
      <x:c r="I40" s="4" t="str">
        <x:v>1. 已登录用户账号
2. 当前已穿戴有效聊天气泡甲，另持有有效乙</x:v>
      </x:c>
      <x:c r="J40" s="4" t="str">
        <x:v>1. 进入「聊天气泡」页
2. 穿戴乙</x:v>
      </x:c>
      <x:c r="K40" s="4" t="str">
        <x:v>乙成为当前唯一穿戴聊天气泡，甲被卸下</x:v>
      </x:c>
      <x:c r="L40" s="4" t="str"/>
      <x:c r="M40" s="4" t="str">
        <x:v>未测</x:v>
      </x:c>
      <x:c r="N40" s="4" t="str"/>
      <x:c r="O40" s="4" t="str">
        <x:v>1. 来源：MainBasis/统一需求文档.md；U-my-decoration-chat-bubble-004、U-my-decoration-chat-bubble-003
2. 场景：SC-10f8028b28657d</x:v>
      </x:c>
    </x:row>
    <x:row r="41" ht="54" customHeight="1">
      <x:c r="A41" s="4" t="n">
        <x:v>40</x:v>
      </x:c>
      <x:c r="B41" s="4" t="str">
        <x:v>USER-0040</x:v>
      </x:c>
      <x:c r="C41" s="4" t="str">
        <x:v>M01 账号、登录、资料与设置</x:v>
      </x:c>
      <x:c r="D41" s="4" t="str">
        <x:v>聊天气泡（用户视角）</x:v>
      </x:c>
      <x:c r="E41" s="4" t="str">
        <x:v>功能需求</x:v>
      </x:c>
      <x:c r="F41" s="4" t="str">
        <x:v>P1</x:v>
      </x:c>
      <x:c r="G41" s="4" t="str">
        <x:v>验证聊天气泡卸下</x:v>
      </x:c>
      <x:c r="H41" s="4" t="str">
        <x:v>聊天气泡卸下</x:v>
      </x:c>
      <x:c r="I41" s="4" t="str">
        <x:v>1. 已登录用户账号
2. 当前聊天气泡已佩戴</x:v>
      </x:c>
      <x:c r="J41" s="4" t="str">
        <x:v>1. 进入「聊天气泡」页
2. 点击卸下</x:v>
      </x:c>
      <x:c r="K41" s="4" t="str">
        <x:v>聊天气泡恢复默认样式</x:v>
      </x:c>
      <x:c r="L41" s="4" t="str"/>
      <x:c r="M41" s="4" t="str">
        <x:v>未测</x:v>
      </x:c>
      <x:c r="N41" s="4" t="str"/>
      <x:c r="O41" s="4" t="str">
        <x:v>1. 来源：MainBasis/统一需求文档.md；U-my-decoration-chat-bubble-006
2. 场景：SC-886a9e7fd5707c</x:v>
      </x:c>
    </x:row>
    <x:row r="42" ht="68" customHeight="1">
      <x:c r="A42" s="4" t="n">
        <x:v>41</x:v>
      </x:c>
      <x:c r="B42" s="4" t="str">
        <x:v>USER-0041</x:v>
      </x:c>
      <x:c r="C42" s="4" t="str">
        <x:v>M01 账号、登录、资料与设置</x:v>
      </x:c>
      <x:c r="D42" s="4" t="str">
        <x:v>聊天气泡（用户视角）</x:v>
      </x:c>
      <x:c r="E42" s="4" t="str">
        <x:v>功能需求</x:v>
      </x:c>
      <x:c r="F42" s="4" t="str">
        <x:v>P1</x:v>
      </x:c>
      <x:c r="G42" s="4" t="str">
        <x:v>验证聊天气泡过期即时失效</x:v>
      </x:c>
      <x:c r="H42" s="4" t="str">
        <x:v>聊天气泡过期即时失效</x:v>
      </x:c>
      <x:c r="I42" s="4" t="str">
        <x:v>1. 已登录用户账号
2. 当前已穿戴聊天气泡刚过期</x:v>
      </x:c>
      <x:c r="J42" s="4" t="str">
        <x:v>1. 进入「聊天气泡」页
2. 查看聊天气泡过期即时失效</x:v>
      </x:c>
      <x:c r="K42" s="4" t="str">
        <x:v>该聊天气泡停止展示</x:v>
      </x:c>
      <x:c r="L42" s="4" t="str"/>
      <x:c r="M42" s="4" t="str">
        <x:v>未测</x:v>
      </x:c>
      <x:c r="N42" s="4" t="str"/>
      <x:c r="O42" s="4" t="str">
        <x:v>1. 来源：MainBasis/统一需求文档.md；U-my-decoration-chat-bubble-004、U-my-decoration-chat-bubble-003
2. 场景：SC-649752e152258b</x:v>
      </x:c>
    </x:row>
    <x:row r="43" ht="68" customHeight="1">
      <x:c r="A43" s="4" t="n">
        <x:v>42</x:v>
      </x:c>
      <x:c r="B43" s="4" t="str">
        <x:v>USER-0042</x:v>
      </x:c>
      <x:c r="C43" s="4" t="str">
        <x:v>M01 账号、登录、资料与设置</x:v>
      </x:c>
      <x:c r="D43" s="4" t="str">
        <x:v>聊天气泡（用户视角）</x:v>
      </x:c>
      <x:c r="E43" s="4" t="str">
        <x:v>功能需求</x:v>
      </x:c>
      <x:c r="F43" s="4" t="str">
        <x:v>P1</x:v>
      </x:c>
      <x:c r="G43" s="4" t="str">
        <x:v>验证聊天气泡被回收即时失效</x:v>
      </x:c>
      <x:c r="H43" s="4" t="str">
        <x:v>聊天气泡被回收即时失效</x:v>
      </x:c>
      <x:c r="I43" s="4" t="str">
        <x:v>1. 已登录用户账号
2. 当前已穿戴聊天气泡刚被回收</x:v>
      </x:c>
      <x:c r="J43" s="4" t="str">
        <x:v>1. 进入「聊天气泡」页
2. 查看聊天气泡被回收即时失效</x:v>
      </x:c>
      <x:c r="K43" s="4" t="str">
        <x:v>该聊天气泡停止展示</x:v>
      </x:c>
      <x:c r="L43" s="4" t="str"/>
      <x:c r="M43" s="4" t="str">
        <x:v>未测</x:v>
      </x:c>
      <x:c r="N43" s="4" t="str"/>
      <x:c r="O43" s="4" t="str">
        <x:v>1. 来源：MainBasis/统一需求文档.md；U-my-decoration-chat-bubble-004、U-my-decoration-chat-bubble-003
2. 场景：SC-0b176ee3db66b0</x:v>
      </x:c>
    </x:row>
    <x:row r="44" ht="54" customHeight="1">
      <x:c r="A44" s="4" t="n">
        <x:v>43</x:v>
      </x:c>
      <x:c r="B44" s="4" t="str">
        <x:v>USER-0043</x:v>
      </x:c>
      <x:c r="C44" s="4" t="str">
        <x:v>M01 账号、登录、资料与设置</x:v>
      </x:c>
      <x:c r="D44" s="4" t="str">
        <x:v>聊天气泡（用户视角）</x:v>
      </x:c>
      <x:c r="E44" s="4" t="str">
        <x:v>功能需求</x:v>
      </x:c>
      <x:c r="F44" s="4" t="str">
        <x:v>P1</x:v>
      </x:c>
      <x:c r="G44" s="4" t="str">
        <x:v>验证聊天气泡失效保留记录</x:v>
      </x:c>
      <x:c r="H44" s="4" t="str">
        <x:v>聊天气泡失效保留记录</x:v>
      </x:c>
      <x:c r="I44" s="4" t="str">
        <x:v>1. 已登录用户账号
2. 持有一个已失效聊天气泡</x:v>
      </x:c>
      <x:c r="J44" s="4" t="str">
        <x:v>1. 进入「聊天气泡」页
2. 查看聊天气泡失效保留记录</x:v>
      </x:c>
      <x:c r="K44" s="4" t="str">
        <x:v>失效项保留，显示“失效”且不可点击佩戴</x:v>
      </x:c>
      <x:c r="L44" s="4" t="str"/>
      <x:c r="M44" s="4" t="str">
        <x:v>未测</x:v>
      </x:c>
      <x:c r="N44" s="4" t="str"/>
      <x:c r="O44" s="4" t="str">
        <x:v>1. 来源：MainBasis/统一需求文档.md；U-my-decoration-chat-bubble-006
2. 场景：SC-9ac09609e7997a</x:v>
      </x:c>
    </x:row>
    <x:row r="45" ht="54" customHeight="1">
      <x:c r="A45" s="4" t="n">
        <x:v>44</x:v>
      </x:c>
      <x:c r="B45" s="4" t="str">
        <x:v>USER-0044</x:v>
      </x:c>
      <x:c r="C45" s="4" t="str">
        <x:v>M01 账号、登录、资料与设置</x:v>
      </x:c>
      <x:c r="D45" s="4" t="str">
        <x:v>聊天气泡（用户视角）</x:v>
      </x:c>
      <x:c r="E45" s="4" t="str">
        <x:v>功能需求</x:v>
      </x:c>
      <x:c r="F45" s="4" t="str">
        <x:v>P1</x:v>
      </x:c>
      <x:c r="G45" s="4" t="str">
        <x:v>验证气泡变更不追溯旧消息</x:v>
      </x:c>
      <x:c r="H45" s="4" t="str">
        <x:v>气泡变更不追溯旧消息</x:v>
      </x:c>
      <x:c r="I45" s="4" t="str">
        <x:v>1. 已登录用户账号
2. 旧气泡已发送一条消息，另持有新的有效气泡</x:v>
      </x:c>
      <x:c r="J45" s="4" t="str">
        <x:v>1. 进入「聊天气泡」页
2. 佩戴新气泡
3. 发送一条新消息</x:v>
      </x:c>
      <x:c r="K45" s="4" t="str">
        <x:v>新消息使用新气泡，旧消息仍保留旧样式</x:v>
      </x:c>
      <x:c r="L45" s="4" t="str"/>
      <x:c r="M45" s="4" t="str">
        <x:v>未测</x:v>
      </x:c>
      <x:c r="N45" s="4" t="str"/>
      <x:c r="O45" s="4" t="str">
        <x:v>1. 来源：MainBasis/统一需求文档.md；U-my-decoration-chat-bubble-006
2. 场景：SC-a9c1b81d8a5f95</x:v>
      </x:c>
    </x:row>
    <x:row r="46" ht="54" customHeight="1">
      <x:c r="A46" s="4" t="n">
        <x:v>45</x:v>
      </x:c>
      <x:c r="B46" s="4" t="str">
        <x:v>USER-0045</x:v>
      </x:c>
      <x:c r="C46" s="4" t="str">
        <x:v>M01 账号、登录、资料与设置</x:v>
      </x:c>
      <x:c r="D46" s="4" t="str">
        <x:v>勋章（用户视角）</x:v>
      </x:c>
      <x:c r="E46" s="4" t="str">
        <x:v>功能需求</x:v>
      </x:c>
      <x:c r="F46" s="4" t="str">
        <x:v>P2</x:v>
      </x:c>
      <x:c r="G46" s="4" t="str">
        <x:v>验证勋章图标、名称回显</x:v>
      </x:c>
      <x:c r="H46" s="4" t="str">
        <x:v>勋章图标、名称回显</x:v>
      </x:c>
      <x:c r="I46" s="4" t="str">
        <x:v>1. 已登录用户账号
2. 所选对象存在，已记录该对象的勋章图标 / 名称值</x:v>
      </x:c>
      <x:c r="J46" s="4" t="str">
        <x:v>1. 进入「勋章」页
2. 查看勋章图标、名称回显</x:v>
      </x:c>
      <x:c r="K46" s="4" t="str">
        <x:v>「勋章图标 / 名称」内容与所选对象的该项资料一致</x:v>
      </x:c>
      <x:c r="L46" s="4" t="str"/>
      <x:c r="M46" s="4" t="str">
        <x:v>未测</x:v>
      </x:c>
      <x:c r="N46" s="4" t="str"/>
      <x:c r="O46" s="4" t="str">
        <x:v>1. 来源：MainBasis/统一需求文档.md；U-my-decoration-medal-002
2. 场景：SC-3c35acbc63b908</x:v>
      </x:c>
    </x:row>
    <x:row r="47" ht="54" customHeight="1">
      <x:c r="A47" s="4" t="n">
        <x:v>46</x:v>
      </x:c>
      <x:c r="B47" s="4" t="str">
        <x:v>USER-0046</x:v>
      </x:c>
      <x:c r="C47" s="4" t="str">
        <x:v>M01 账号、登录、资料与设置</x:v>
      </x:c>
      <x:c r="D47" s="4" t="str">
        <x:v>勋章（用户视角）</x:v>
      </x:c>
      <x:c r="E47" s="4" t="str">
        <x:v>功能需求</x:v>
      </x:c>
      <x:c r="F47" s="4" t="str">
        <x:v>P2</x:v>
      </x:c>
      <x:c r="G47" s="4" t="str">
        <x:v>验证佩戴状态回显</x:v>
      </x:c>
      <x:c r="H47" s="4" t="str">
        <x:v>佩戴状态回显</x:v>
      </x:c>
      <x:c r="I47" s="4" t="str">
        <x:v>1. 已登录用户账号
2. 所选对象存在，已记录该对象的佩戴状态值</x:v>
      </x:c>
      <x:c r="J47" s="4" t="str">
        <x:v>1. 进入「勋章」页
2. 查看佩戴状态回显</x:v>
      </x:c>
      <x:c r="K47" s="4" t="str">
        <x:v>「佩戴状态」内容与所选对象的该项资料一致</x:v>
      </x:c>
      <x:c r="L47" s="4" t="str"/>
      <x:c r="M47" s="4" t="str">
        <x:v>未测</x:v>
      </x:c>
      <x:c r="N47" s="4" t="str"/>
      <x:c r="O47" s="4" t="str">
        <x:v>1. 来源：MainBasis/统一需求文档.md；U-my-decoration-medal-003
2. 场景：SC-e3be42c42332d7</x:v>
      </x:c>
    </x:row>
    <x:row r="48" ht="54" customHeight="1">
      <x:c r="A48" s="4" t="n">
        <x:v>47</x:v>
      </x:c>
      <x:c r="B48" s="4" t="str">
        <x:v>USER-0047</x:v>
      </x:c>
      <x:c r="C48" s="4" t="str">
        <x:v>M01 账号、登录、资料与设置</x:v>
      </x:c>
      <x:c r="D48" s="4" t="str">
        <x:v>勋章（用户视角）</x:v>
      </x:c>
      <x:c r="E48" s="4" t="str">
        <x:v>功能需求</x:v>
      </x:c>
      <x:c r="F48" s="4" t="str">
        <x:v>P1</x:v>
      </x:c>
      <x:c r="G48" s="4" t="str">
        <x:v>验证勋章已戴4枚</x:v>
      </x:c>
      <x:c r="H48" s="4" t="str">
        <x:v>勋章已戴4枚</x:v>
      </x:c>
      <x:c r="I48" s="4" t="str">
        <x:v>1. 已登录用户账号
2. 当前佩戴4枚，另持有一枚有效勋章</x:v>
      </x:c>
      <x:c r="J48" s="4" t="str">
        <x:v>1. 进入「勋章」页
2. 佩戴另一个勋章</x:v>
      </x:c>
      <x:c r="K48" s="4" t="str">
        <x:v>佩戴数变为5</x:v>
      </x:c>
      <x:c r="L48" s="4" t="str"/>
      <x:c r="M48" s="4" t="str">
        <x:v>未测</x:v>
      </x:c>
      <x:c r="N48" s="4" t="str"/>
      <x:c r="O48" s="4" t="str">
        <x:v>1. 来源：MainBasis/统一需求文档.md；U-my-decoration-medal-007
2. 场景：SC-c94e5216276aba</x:v>
      </x:c>
    </x:row>
    <x:row r="49" ht="54" customHeight="1">
      <x:c r="A49" s="4" t="n">
        <x:v>48</x:v>
      </x:c>
      <x:c r="B49" s="4" t="str">
        <x:v>USER-0048</x:v>
      </x:c>
      <x:c r="C49" s="4" t="str">
        <x:v>M01 账号、登录、资料与设置</x:v>
      </x:c>
      <x:c r="D49" s="4" t="str">
        <x:v>勋章（用户视角）</x:v>
      </x:c>
      <x:c r="E49" s="4" t="str">
        <x:v>功能需求</x:v>
      </x:c>
      <x:c r="F49" s="4" t="str">
        <x:v>P1</x:v>
      </x:c>
      <x:c r="G49" s="4" t="str">
        <x:v>验证勋章已戴5枚</x:v>
      </x:c>
      <x:c r="H49" s="4" t="str">
        <x:v>勋章已戴5枚</x:v>
      </x:c>
      <x:c r="I49" s="4" t="str">
        <x:v>1. 已登录用户账号
2. 当前佩戴5枚，另持有一枚有效勋章</x:v>
      </x:c>
      <x:c r="J49" s="4" t="str">
        <x:v>1. 进入「勋章」页
2. 佩戴另一个勋章</x:v>
      </x:c>
      <x:c r="K49" s="4" t="str">
        <x:v>不能新增第6枚，须先卸下一枚</x:v>
      </x:c>
      <x:c r="L49" s="4" t="str"/>
      <x:c r="M49" s="4" t="str">
        <x:v>未测</x:v>
      </x:c>
      <x:c r="N49" s="4" t="str"/>
      <x:c r="O49" s="4" t="str">
        <x:v>1. 来源：MainBasis/统一需求文档.md；U-my-decoration-medal-007
2. 场景：SC-63967460f121e8</x:v>
      </x:c>
    </x:row>
    <x:row r="50" ht="54" customHeight="1">
      <x:c r="A50" s="4" t="n">
        <x:v>49</x:v>
      </x:c>
      <x:c r="B50" s="4" t="str">
        <x:v>USER-0049</x:v>
      </x:c>
      <x:c r="C50" s="4" t="str">
        <x:v>M01 账号、登录、资料与设置</x:v>
      </x:c>
      <x:c r="D50" s="4" t="str">
        <x:v>勋章（用户视角）</x:v>
      </x:c>
      <x:c r="E50" s="4" t="str">
        <x:v>功能需求</x:v>
      </x:c>
      <x:c r="F50" s="4" t="str">
        <x:v>P1</x:v>
      </x:c>
      <x:c r="G50" s="4" t="str">
        <x:v>验证勋章佩戴数量上限分母</x:v>
      </x:c>
      <x:c r="H50" s="4" t="str">
        <x:v>勋章佩戴数量上限分母</x:v>
      </x:c>
      <x:c r="I50" s="4" t="str">
        <x:v>1. 已登录用户账号
2. 当前已佩戴3枚</x:v>
      </x:c>
      <x:c r="J50" s="4" t="str">
        <x:v>1. 进入「勋章」页
2. 查看勋章佩戴数量上限分母</x:v>
      </x:c>
      <x:c r="K50" s="4" t="str">
        <x:v>显示3 / 5</x:v>
      </x:c>
      <x:c r="L50" s="4" t="str"/>
      <x:c r="M50" s="4" t="str">
        <x:v>未测</x:v>
      </x:c>
      <x:c r="N50" s="4" t="str"/>
      <x:c r="O50" s="4" t="str">
        <x:v>1. 来源：MainBasis/统一需求文档.md；U-my-decoration-medal-004
2. 场景：SC-ad874ebd915e2d</x:v>
      </x:c>
    </x:row>
    <x:row r="51" ht="54" customHeight="1">
      <x:c r="A51" s="4" t="n">
        <x:v>50</x:v>
      </x:c>
      <x:c r="B51" s="4" t="str">
        <x:v>USER-0050</x:v>
      </x:c>
      <x:c r="C51" s="4" t="str">
        <x:v>M01 账号、登录、资料与设置</x:v>
      </x:c>
      <x:c r="D51" s="4" t="str">
        <x:v>勋章（用户视角）</x:v>
      </x:c>
      <x:c r="E51" s="4" t="str">
        <x:v>功能需求</x:v>
      </x:c>
      <x:c r="F51" s="4" t="str">
        <x:v>P1</x:v>
      </x:c>
      <x:c r="G51" s="4" t="str">
        <x:v>验证团籍失效卸下勋章</x:v>
      </x:c>
      <x:c r="H51" s="4" t="str">
        <x:v>团籍失效卸下勋章</x:v>
      </x:c>
      <x:c r="I51" s="4" t="str">
        <x:v>1. 已登录用户账号
2. 当前佩戴该团身份勋章，团籍刚失效</x:v>
      </x:c>
      <x:c r="J51" s="4" t="str">
        <x:v>1. 进入「勋章」页
2. 查看团籍失效卸下勋章</x:v>
      </x:c>
      <x:c r="K51" s="4" t="str">
        <x:v>对应粉丝团身份勋章立即卸下</x:v>
      </x:c>
      <x:c r="L51" s="4" t="str"/>
      <x:c r="M51" s="4" t="str">
        <x:v>未测</x:v>
      </x:c>
      <x:c r="N51" s="4" t="str"/>
      <x:c r="O51" s="4" t="str">
        <x:v>1. 来源：MainBasis/统一需求文档.md；U-my-decoration-medal-005
2. 场景：SC-1dc599411bae3f</x:v>
      </x:c>
    </x:row>
    <x:row r="52" ht="68" customHeight="1">
      <x:c r="A52" s="4" t="n">
        <x:v>51</x:v>
      </x:c>
      <x:c r="B52" s="4" t="str">
        <x:v>USER-0051</x:v>
      </x:c>
      <x:c r="C52" s="4" t="str">
        <x:v>M01 账号、登录、资料与设置</x:v>
      </x:c>
      <x:c r="D52" s="4" t="str">
        <x:v>勋章（用户视角）</x:v>
      </x:c>
      <x:c r="E52" s="4" t="str">
        <x:v>功能需求</x:v>
      </x:c>
      <x:c r="F52" s="4" t="str">
        <x:v>P1</x:v>
      </x:c>
      <x:c r="G52" s="4" t="str">
        <x:v>验证佩戴勋章跨入口同步</x:v>
      </x:c>
      <x:c r="H52" s="4" t="str">
        <x:v>佩戴勋章跨入口同步</x:v>
      </x:c>
      <x:c r="I52" s="4" t="str">
        <x:v>1. 已登录用户账号
2. 持有一枚有效勋章，当前未佩戴</x:v>
      </x:c>
      <x:c r="J52" s="4" t="str">
        <x:v>1. 进入「勋章」页
2. 点击佩戴
3. 进入个人主页
4. 打开个人资料卡</x:v>
      </x:c>
      <x:c r="K52" s="4" t="str">
        <x:v>同一枚勋章在个人主页和资料卡身份区展示</x:v>
      </x:c>
      <x:c r="L52" s="4" t="str"/>
      <x:c r="M52" s="4" t="str">
        <x:v>未测</x:v>
      </x:c>
      <x:c r="N52" s="4" t="str"/>
      <x:c r="O52" s="4" t="str">
        <x:v>1. 来源：MainBasis/统一需求文档.md；U-my-decoration-medal-008
2. 场景：SC-7864b8050ed06e</x:v>
      </x:c>
    </x:row>
    <x:row r="53" ht="68" customHeight="1">
      <x:c r="A53" s="4" t="n">
        <x:v>52</x:v>
      </x:c>
      <x:c r="B53" s="4" t="str">
        <x:v>USER-0052</x:v>
      </x:c>
      <x:c r="C53" s="4" t="str">
        <x:v>M01 账号、登录、资料与设置</x:v>
      </x:c>
      <x:c r="D53" s="4" t="str">
        <x:v>登录与注册（待登录用户视角）</x:v>
      </x:c>
      <x:c r="E53" s="4" t="str">
        <x:v>功能需求</x:v>
      </x:c>
      <x:c r="F53" s="4" t="str">
        <x:v>P2</x:v>
      </x:c>
      <x:c r="G53" s="4" t="str">
        <x:v>验证手机号回显</x:v>
      </x:c>
      <x:c r="H53" s="4" t="str">
        <x:v>手机号回显</x:v>
      </x:c>
      <x:c r="I53" s="4" t="str">
        <x:v>1. 执行者为待登录用户，尚未建立登录会话
2. 所选对象存在，已记录该对象的手机号值</x:v>
      </x:c>
      <x:c r="J53" s="4" t="str">
        <x:v>1. 进入「登录与注册」页
2. 查看手机号回显</x:v>
      </x:c>
      <x:c r="K53" s="4" t="str">
        <x:v>「手机号」内容与所选对象的该项资料一致</x:v>
      </x:c>
      <x:c r="L53" s="4" t="str"/>
      <x:c r="M53" s="4" t="str">
        <x:v>未测</x:v>
      </x:c>
      <x:c r="N53" s="4" t="str"/>
      <x:c r="O53" s="4" t="str">
        <x:v>1. 来源：MainBasis/统一需求文档.md；U-auth-login-register-006
2. 场景：SC-4272e37679bbf0</x:v>
      </x:c>
    </x:row>
    <x:row r="54" ht="68" customHeight="1">
      <x:c r="A54" s="4" t="n">
        <x:v>53</x:v>
      </x:c>
      <x:c r="B54" s="4" t="str">
        <x:v>USER-0053</x:v>
      </x:c>
      <x:c r="C54" s="4" t="str">
        <x:v>M01 账号、登录、资料与设置</x:v>
      </x:c>
      <x:c r="D54" s="4" t="str">
        <x:v>登录与注册（待登录用户视角）</x:v>
      </x:c>
      <x:c r="E54" s="4" t="str">
        <x:v>功能需求</x:v>
      </x:c>
      <x:c r="F54" s="4" t="str">
        <x:v>P2</x:v>
      </x:c>
      <x:c r="G54" s="4" t="str">
        <x:v>验证邮箱回显</x:v>
      </x:c>
      <x:c r="H54" s="4" t="str">
        <x:v>邮箱回显</x:v>
      </x:c>
      <x:c r="I54" s="4" t="str">
        <x:v>1. 执行者为待登录用户，尚未建立登录会话
2. 所选对象存在，已记录该对象的邮箱值</x:v>
      </x:c>
      <x:c r="J54" s="4" t="str">
        <x:v>1. 进入「登录与注册」页
2. 查看邮箱回显</x:v>
      </x:c>
      <x:c r="K54" s="4" t="str">
        <x:v>「邮箱」内容与所选对象的该项资料一致</x:v>
      </x:c>
      <x:c r="L54" s="4" t="str"/>
      <x:c r="M54" s="4" t="str">
        <x:v>未测</x:v>
      </x:c>
      <x:c r="N54" s="4" t="str"/>
      <x:c r="O54" s="4" t="str">
        <x:v>1. 来源：MainBasis/统一需求文档.md；U-auth-login-register-007
2. 场景：SC-d3010ac6d723f3</x:v>
      </x:c>
    </x:row>
    <x:row r="55" ht="68" customHeight="1">
      <x:c r="A55" s="4" t="n">
        <x:v>54</x:v>
      </x:c>
      <x:c r="B55" s="4" t="str">
        <x:v>USER-0054</x:v>
      </x:c>
      <x:c r="C55" s="4" t="str">
        <x:v>M01 账号、登录、资料与设置</x:v>
      </x:c>
      <x:c r="D55" s="4" t="str">
        <x:v>登录与注册（待登录用户视角）</x:v>
      </x:c>
      <x:c r="E55" s="4" t="str">
        <x:v>功能需求</x:v>
      </x:c>
      <x:c r="F55" s="4" t="str">
        <x:v>P2</x:v>
      </x:c>
      <x:c r="G55" s="4" t="str">
        <x:v>验证游客进入回显</x:v>
      </x:c>
      <x:c r="H55" s="4" t="str">
        <x:v>游客进入回显</x:v>
      </x:c>
      <x:c r="I55" s="4" t="str">
        <x:v>1. 执行者为待登录用户，尚未建立登录会话
2. 所选对象存在，已记录该对象的游客进入值</x:v>
      </x:c>
      <x:c r="J55" s="4" t="str">
        <x:v>1. 进入「登录与注册」页
2. 查看游客进入回显</x:v>
      </x:c>
      <x:c r="K55" s="4" t="str">
        <x:v>「游客进入」内容与所选对象的该项资料一致</x:v>
      </x:c>
      <x:c r="L55" s="4" t="str"/>
      <x:c r="M55" s="4" t="str">
        <x:v>未测</x:v>
      </x:c>
      <x:c r="N55" s="4" t="str"/>
      <x:c r="O55" s="4" t="str">
        <x:v>1. 来源：MainBasis/统一需求文档.md；U-auth-login-register-008
2. 场景：SC-4f393e4261a5a9</x:v>
      </x:c>
    </x:row>
    <x:row r="56" ht="68" customHeight="1">
      <x:c r="A56" s="4" t="n">
        <x:v>55</x:v>
      </x:c>
      <x:c r="B56" s="4" t="str">
        <x:v>USER-0055</x:v>
      </x:c>
      <x:c r="C56" s="4" t="str">
        <x:v>M01 账号、登录、资料与设置</x:v>
      </x:c>
      <x:c r="D56" s="4" t="str">
        <x:v>登录与注册（待登录用户视角）</x:v>
      </x:c>
      <x:c r="E56" s="4" t="str">
        <x:v>功能需求</x:v>
      </x:c>
      <x:c r="F56" s="4" t="str">
        <x:v>P2</x:v>
      </x:c>
      <x:c r="G56" s="4" t="str">
        <x:v>验证协议确认回显</x:v>
      </x:c>
      <x:c r="H56" s="4" t="str">
        <x:v>协议确认回显</x:v>
      </x:c>
      <x:c r="I56" s="4" t="str">
        <x:v>1. 执行者为待登录用户，尚未建立登录会话
2. 所选对象存在，已记录该对象的协议确认值</x:v>
      </x:c>
      <x:c r="J56" s="4" t="str">
        <x:v>1. 进入「登录与注册」页
2. 查看协议确认回显</x:v>
      </x:c>
      <x:c r="K56" s="4" t="str">
        <x:v>「协议确认」内容与所选对象的该项资料一致</x:v>
      </x:c>
      <x:c r="L56" s="4" t="str"/>
      <x:c r="M56" s="4" t="str">
        <x:v>未测</x:v>
      </x:c>
      <x:c r="N56" s="4" t="str"/>
      <x:c r="O56" s="4" t="str">
        <x:v>1. 来源：MainBasis/统一需求文档.md；U-auth-login-register-009
2. 场景：SC-766fbe8679bb3c</x:v>
      </x:c>
    </x:row>
    <x:row r="57" ht="68" customHeight="1">
      <x:c r="A57" s="4" t="n">
        <x:v>56</x:v>
      </x:c>
      <x:c r="B57" s="4" t="str">
        <x:v>USER-0056</x:v>
      </x:c>
      <x:c r="C57" s="4" t="str">
        <x:v>M01 账号、登录、资料与设置</x:v>
      </x:c>
      <x:c r="D57" s="4" t="str">
        <x:v>登录与注册（待登录用户视角）</x:v>
      </x:c>
      <x:c r="E57" s="4" t="str">
        <x:v>异常用例</x:v>
      </x:c>
      <x:c r="F57" s="4" t="str">
        <x:v>P1</x:v>
      </x:c>
      <x:c r="G57" s="4" t="str">
        <x:v>验证Google未同意协议拦截</x:v>
      </x:c>
      <x:c r="H57" s="4" t="str">
        <x:v>Google未同意协议拦截</x:v>
      </x:c>
      <x:c r="I57" s="4" t="str">
        <x:v>1. 执行者为待登录用户，尚未建立登录会话
2. 未勾选用户协议和隐私政策</x:v>
      </x:c>
      <x:c r="J57" s="4" t="str">
        <x:v>1. 进入「登录与注册」页
2. 点击「Google」</x:v>
      </x:c>
      <x:c r="K57" s="4" t="str">
        <x:v>提示先同意《用户协议》和《隐私政策》</x:v>
      </x:c>
      <x:c r="L57" s="4" t="str"/>
      <x:c r="M57" s="4" t="str">
        <x:v>未测</x:v>
      </x:c>
      <x:c r="N57" s="4" t="str"/>
      <x:c r="O57" s="4" t="str">
        <x:v>1. 来源：MainBasis/统一需求文档.md；U-auth-login-register-002、U-auth-login-register-009、U-auth-login-register-017
2. 场景：SC-323c8bf9d1196a</x:v>
      </x:c>
    </x:row>
    <x:row r="58" ht="68" customHeight="1">
      <x:c r="A58" s="4" t="n">
        <x:v>57</x:v>
      </x:c>
      <x:c r="B58" s="4" t="str">
        <x:v>USER-0057</x:v>
      </x:c>
      <x:c r="C58" s="4" t="str">
        <x:v>M01 账号、登录、资料与设置</x:v>
      </x:c>
      <x:c r="D58" s="4" t="str">
        <x:v>登录与注册（待登录用户视角）</x:v>
      </x:c>
      <x:c r="E58" s="4" t="str">
        <x:v>功能需求</x:v>
      </x:c>
      <x:c r="F58" s="4" t="str">
        <x:v>P0</x:v>
      </x:c>
      <x:c r="G58" s="4" t="str">
        <x:v>验证Google授权入口</x:v>
      </x:c>
      <x:c r="H58" s="4" t="str">
        <x:v>Google授权入口</x:v>
      </x:c>
      <x:c r="I58" s="4" t="str">
        <x:v>1. 执行者为待登录用户，尚未建立登录会话
2. 已勾选当前版本协议</x:v>
      </x:c>
      <x:c r="J58" s="4" t="str">
        <x:v>1. 进入「登录与注册」页
2. 点击「Google」</x:v>
      </x:c>
      <x:c r="K58" s="4" t="str">
        <x:v>唤起Google授权</x:v>
      </x:c>
      <x:c r="L58" s="4" t="str"/>
      <x:c r="M58" s="4" t="str">
        <x:v>未测</x:v>
      </x:c>
      <x:c r="N58" s="4" t="str"/>
      <x:c r="O58" s="4" t="str">
        <x:v>1. 来源：MainBasis/统一需求文档.md；U-auth-login-register-002、U-auth-login-register-010、U-auth-login-register-018
2. 场景：SC-c70b3b3957b3a5</x:v>
      </x:c>
    </x:row>
    <x:row r="59" ht="82" customHeight="1">
      <x:c r="A59" s="4" t="n">
        <x:v>58</x:v>
      </x:c>
      <x:c r="B59" s="4" t="str">
        <x:v>USER-0058</x:v>
      </x:c>
      <x:c r="C59" s="4" t="str">
        <x:v>M01 账号、登录、资料与设置</x:v>
      </x:c>
      <x:c r="D59" s="4" t="str">
        <x:v>登录与注册（待登录用户视角）</x:v>
      </x:c>
      <x:c r="E59" s="4" t="str">
        <x:v>功能需求</x:v>
      </x:c>
      <x:c r="F59" s="4" t="str">
        <x:v>P1</x:v>
      </x:c>
      <x:c r="G59" s="4" t="str">
        <x:v>验证Google新账号分流</x:v>
      </x:c>
      <x:c r="H59" s="4" t="str">
        <x:v>Google新账号分流</x:v>
      </x:c>
      <x:c r="I59" s="4" t="str">
        <x:v>1. 执行者为待登录用户，尚未建立登录会话
2. 已勾选当前版本协议
3. Google账号标识未关联 Luma Live 账号</x:v>
      </x:c>
      <x:c r="J59" s="4" t="str">
        <x:v>1. 进入「登录与注册」页
2. 点击「Google」
3. 完成Google授权</x:v>
      </x:c>
      <x:c r="K59" s="4" t="str">
        <x:v>页面进入资料补全</x:v>
      </x:c>
      <x:c r="L59" s="4" t="str"/>
      <x:c r="M59" s="4" t="str">
        <x:v>未测</x:v>
      </x:c>
      <x:c r="N59" s="4" t="str"/>
      <x:c r="O59" s="4" t="str">
        <x:v>1. 来源：MainBasis/统一需求文档.md；U-auth-login-register-002、U-auth-login-register-011
2. 场景：SC-fd083a64393611</x:v>
      </x:c>
    </x:row>
    <x:row r="60" ht="82" customHeight="1">
      <x:c r="A60" s="4" t="n">
        <x:v>59</x:v>
      </x:c>
      <x:c r="B60" s="4" t="str">
        <x:v>USER-0059</x:v>
      </x:c>
      <x:c r="C60" s="4" t="str">
        <x:v>M01 账号、登录、资料与设置</x:v>
      </x:c>
      <x:c r="D60" s="4" t="str">
        <x:v>登录与注册（待登录用户视角）</x:v>
      </x:c>
      <x:c r="E60" s="4" t="str">
        <x:v>功能需求</x:v>
      </x:c>
      <x:c r="F60" s="4" t="str">
        <x:v>P1</x:v>
      </x:c>
      <x:c r="G60" s="4" t="str">
        <x:v>验证Google已有账号分流</x:v>
      </x:c>
      <x:c r="H60" s="4" t="str">
        <x:v>Google已有账号分流</x:v>
      </x:c>
      <x:c r="I60" s="4" t="str">
        <x:v>1. 执行者为待登录用户，尚未建立登录会话
2. 已勾选当前版本协议
3. Google账号标识已关联 Luma Live 账号</x:v>
      </x:c>
      <x:c r="J60" s="4" t="str">
        <x:v>1. 进入「登录与注册」页
2. 点击「Google」
3. 完成Google授权</x:v>
      </x:c>
      <x:c r="K60" s="4" t="str">
        <x:v>页面进入首页</x:v>
      </x:c>
      <x:c r="L60" s="4" t="str"/>
      <x:c r="M60" s="4" t="str">
        <x:v>未测</x:v>
      </x:c>
      <x:c r="N60" s="4" t="str"/>
      <x:c r="O60" s="4" t="str">
        <x:v>1. 来源：MainBasis/统一需求文档.md；U-auth-login-register-002、U-auth-login-register-011
2. 场景：SC-ba8cbe0216b05d</x:v>
      </x:c>
    </x:row>
    <x:row r="61" ht="82" customHeight="1">
      <x:c r="A61" s="4" t="n">
        <x:v>60</x:v>
      </x:c>
      <x:c r="B61" s="4" t="str">
        <x:v>USER-0060</x:v>
      </x:c>
      <x:c r="C61" s="4" t="str">
        <x:v>M01 账号、登录、资料与设置</x:v>
      </x:c>
      <x:c r="D61" s="4" t="str">
        <x:v>登录与注册（待登录用户视角）</x:v>
      </x:c>
      <x:c r="E61" s="4" t="str">
        <x:v>异常用例</x:v>
      </x:c>
      <x:c r="F61" s="4" t="str">
        <x:v>P1</x:v>
      </x:c>
      <x:c r="G61" s="4" t="str">
        <x:v>验证Google用户取消授权提示</x:v>
      </x:c>
      <x:c r="H61" s="4" t="str">
        <x:v>Google用户取消授权提示</x:v>
      </x:c>
      <x:c r="I61" s="4" t="str">
        <x:v>1. 执行者为待登录用户，尚未建立登录会话
2. 已勾选当前版本协议
3. Google授权流程可返回用户取消授权</x:v>
      </x:c>
      <x:c r="J61" s="4" t="str">
        <x:v>1. 进入「登录与注册」页
2. 点击「Google」
3. 在授权流程触发用户取消授权</x:v>
      </x:c>
      <x:c r="K61" s="4" t="str">
        <x:v>提示“已取消授权”</x:v>
      </x:c>
      <x:c r="L61" s="4" t="str"/>
      <x:c r="M61" s="4" t="str">
        <x:v>未测</x:v>
      </x:c>
      <x:c r="N61" s="4" t="str"/>
      <x:c r="O61" s="4" t="str">
        <x:v>1. 来源：MainBasis/统一需求文档.md；U-auth-login-register-002、U-auth-login-register-012、U-auth-login-register-019
2. 场景：SC-ebca7802cd04b1</x:v>
      </x:c>
    </x:row>
    <x:row r="62" ht="82" customHeight="1">
      <x:c r="A62" s="4" t="n">
        <x:v>61</x:v>
      </x:c>
      <x:c r="B62" s="4" t="str">
        <x:v>USER-0061</x:v>
      </x:c>
      <x:c r="C62" s="4" t="str">
        <x:v>M01 账号、登录、资料与设置</x:v>
      </x:c>
      <x:c r="D62" s="4" t="str">
        <x:v>登录与注册（待登录用户视角）</x:v>
      </x:c>
      <x:c r="E62" s="4" t="str">
        <x:v>异常用例</x:v>
      </x:c>
      <x:c r="F62" s="4" t="str">
        <x:v>P1</x:v>
      </x:c>
      <x:c r="G62" s="4" t="str">
        <x:v>验证Google授权失败提示</x:v>
      </x:c>
      <x:c r="H62" s="4" t="str">
        <x:v>Google授权失败提示</x:v>
      </x:c>
      <x:c r="I62" s="4" t="str">
        <x:v>1. 执行者为待登录用户，尚未建立登录会话
2. 已勾选当前版本协议
3. Google授权流程可返回授权失败</x:v>
      </x:c>
      <x:c r="J62" s="4" t="str">
        <x:v>1. 进入「登录与注册」页
2. 点击「Google」
3. 在授权流程触发授权失败</x:v>
      </x:c>
      <x:c r="K62" s="4" t="str">
        <x:v>提示“登录失败，请重试”</x:v>
      </x:c>
      <x:c r="L62" s="4" t="str"/>
      <x:c r="M62" s="4" t="str">
        <x:v>未测</x:v>
      </x:c>
      <x:c r="N62" s="4" t="str"/>
      <x:c r="O62" s="4" t="str">
        <x:v>1. 来源：MainBasis/统一需求文档.md；U-auth-login-register-002、U-auth-login-register-012、U-auth-login-register-019
2. 场景：SC-6c750ff0f2e9c2</x:v>
      </x:c>
    </x:row>
    <x:row r="63" ht="68" customHeight="1">
      <x:c r="A63" s="4" t="n">
        <x:v>62</x:v>
      </x:c>
      <x:c r="B63" s="4" t="str">
        <x:v>USER-0062</x:v>
      </x:c>
      <x:c r="C63" s="4" t="str">
        <x:v>M01 账号、登录、资料与设置</x:v>
      </x:c>
      <x:c r="D63" s="4" t="str">
        <x:v>登录与注册（待登录用户视角）</x:v>
      </x:c>
      <x:c r="E63" s="4" t="str">
        <x:v>异常用例</x:v>
      </x:c>
      <x:c r="F63" s="4" t="str">
        <x:v>P1</x:v>
      </x:c>
      <x:c r="G63" s="4" t="str">
        <x:v>验证Facebook未同意协议拦截</x:v>
      </x:c>
      <x:c r="H63" s="4" t="str">
        <x:v>Facebook未同意协议拦截</x:v>
      </x:c>
      <x:c r="I63" s="4" t="str">
        <x:v>1. 执行者为待登录用户，尚未建立登录会话
2. 未勾选用户协议和隐私政策</x:v>
      </x:c>
      <x:c r="J63" s="4" t="str">
        <x:v>1. 进入「登录与注册」页
2. 点击「Facebook」</x:v>
      </x:c>
      <x:c r="K63" s="4" t="str">
        <x:v>提示先同意《用户协议》和《隐私政策》</x:v>
      </x:c>
      <x:c r="L63" s="4" t="str"/>
      <x:c r="M63" s="4" t="str">
        <x:v>未测</x:v>
      </x:c>
      <x:c r="N63" s="4" t="str"/>
      <x:c r="O63" s="4" t="str">
        <x:v>1. 来源：MainBasis/统一需求文档.md；U-auth-login-register-003、U-auth-login-register-009、U-auth-login-register-017
2. 场景：SC-fd8d8cbfdb2318</x:v>
      </x:c>
    </x:row>
    <x:row r="64" ht="68" customHeight="1">
      <x:c r="A64" s="4" t="n">
        <x:v>63</x:v>
      </x:c>
      <x:c r="B64" s="4" t="str">
        <x:v>USER-0063</x:v>
      </x:c>
      <x:c r="C64" s="4" t="str">
        <x:v>M01 账号、登录、资料与设置</x:v>
      </x:c>
      <x:c r="D64" s="4" t="str">
        <x:v>登录与注册（待登录用户视角）</x:v>
      </x:c>
      <x:c r="E64" s="4" t="str">
        <x:v>功能需求</x:v>
      </x:c>
      <x:c r="F64" s="4" t="str">
        <x:v>P0</x:v>
      </x:c>
      <x:c r="G64" s="4" t="str">
        <x:v>验证Facebook授权入口</x:v>
      </x:c>
      <x:c r="H64" s="4" t="str">
        <x:v>Facebook授权入口</x:v>
      </x:c>
      <x:c r="I64" s="4" t="str">
        <x:v>1. 执行者为待登录用户，尚未建立登录会话
2. 已勾选当前版本协议</x:v>
      </x:c>
      <x:c r="J64" s="4" t="str">
        <x:v>1. 进入「登录与注册」页
2. 点击「Facebook」</x:v>
      </x:c>
      <x:c r="K64" s="4" t="str">
        <x:v>唤起Facebook授权</x:v>
      </x:c>
      <x:c r="L64" s="4" t="str"/>
      <x:c r="M64" s="4" t="str">
        <x:v>未测</x:v>
      </x:c>
      <x:c r="N64" s="4" t="str"/>
      <x:c r="O64" s="4" t="str">
        <x:v>1. 来源：MainBasis/统一需求文档.md；U-auth-login-register-003、U-auth-login-register-010、U-auth-login-register-018
2. 场景：SC-51c2b125a67fe0</x:v>
      </x:c>
    </x:row>
    <x:row r="65" ht="82" customHeight="1">
      <x:c r="A65" s="4" t="n">
        <x:v>64</x:v>
      </x:c>
      <x:c r="B65" s="4" t="str">
        <x:v>USER-0064</x:v>
      </x:c>
      <x:c r="C65" s="4" t="str">
        <x:v>M01 账号、登录、资料与设置</x:v>
      </x:c>
      <x:c r="D65" s="4" t="str">
        <x:v>登录与注册（待登录用户视角）</x:v>
      </x:c>
      <x:c r="E65" s="4" t="str">
        <x:v>功能需求</x:v>
      </x:c>
      <x:c r="F65" s="4" t="str">
        <x:v>P1</x:v>
      </x:c>
      <x:c r="G65" s="4" t="str">
        <x:v>验证Facebook新账号分流</x:v>
      </x:c>
      <x:c r="H65" s="4" t="str">
        <x:v>Facebook新账号分流</x:v>
      </x:c>
      <x:c r="I65" s="4" t="str">
        <x:v>1. 执行者为待登录用户，尚未建立登录会话
2. 已勾选当前版本协议
3. Facebook账号标识未关联 Luma Live 账号</x:v>
      </x:c>
      <x:c r="J65" s="4" t="str">
        <x:v>1. 进入「登录与注册」页
2. 点击「Facebook」
3. 完成Facebook授权</x:v>
      </x:c>
      <x:c r="K65" s="4" t="str">
        <x:v>页面进入资料补全</x:v>
      </x:c>
      <x:c r="L65" s="4" t="str"/>
      <x:c r="M65" s="4" t="str">
        <x:v>未测</x:v>
      </x:c>
      <x:c r="N65" s="4" t="str"/>
      <x:c r="O65" s="4" t="str">
        <x:v>1. 来源：MainBasis/统一需求文档.md；U-auth-login-register-003、U-auth-login-register-011
2. 场景：SC-5dd4dbf9c97b79</x:v>
      </x:c>
    </x:row>
    <x:row r="66" ht="82" customHeight="1">
      <x:c r="A66" s="4" t="n">
        <x:v>65</x:v>
      </x:c>
      <x:c r="B66" s="4" t="str">
        <x:v>USER-0065</x:v>
      </x:c>
      <x:c r="C66" s="4" t="str">
        <x:v>M01 账号、登录、资料与设置</x:v>
      </x:c>
      <x:c r="D66" s="4" t="str">
        <x:v>登录与注册（待登录用户视角）</x:v>
      </x:c>
      <x:c r="E66" s="4" t="str">
        <x:v>功能需求</x:v>
      </x:c>
      <x:c r="F66" s="4" t="str">
        <x:v>P1</x:v>
      </x:c>
      <x:c r="G66" s="4" t="str">
        <x:v>验证Facebook已有账号分流</x:v>
      </x:c>
      <x:c r="H66" s="4" t="str">
        <x:v>Facebook已有账号分流</x:v>
      </x:c>
      <x:c r="I66" s="4" t="str">
        <x:v>1. 执行者为待登录用户，尚未建立登录会话
2. 已勾选当前版本协议
3. Facebook账号标识已关联 Luma Live 账号</x:v>
      </x:c>
      <x:c r="J66" s="4" t="str">
        <x:v>1. 进入「登录与注册」页
2. 点击「Facebook」
3. 完成Facebook授权</x:v>
      </x:c>
      <x:c r="K66" s="4" t="str">
        <x:v>页面进入首页</x:v>
      </x:c>
      <x:c r="L66" s="4" t="str"/>
      <x:c r="M66" s="4" t="str">
        <x:v>未测</x:v>
      </x:c>
      <x:c r="N66" s="4" t="str"/>
      <x:c r="O66" s="4" t="str">
        <x:v>1. 来源：MainBasis/统一需求文档.md；U-auth-login-register-003、U-auth-login-register-011
2. 场景：SC-0e31dc09c8a3d6</x:v>
      </x:c>
    </x:row>
    <x:row r="67" ht="82" customHeight="1">
      <x:c r="A67" s="4" t="n">
        <x:v>66</x:v>
      </x:c>
      <x:c r="B67" s="4" t="str">
        <x:v>USER-0066</x:v>
      </x:c>
      <x:c r="C67" s="4" t="str">
        <x:v>M01 账号、登录、资料与设置</x:v>
      </x:c>
      <x:c r="D67" s="4" t="str">
        <x:v>登录与注册（待登录用户视角）</x:v>
      </x:c>
      <x:c r="E67" s="4" t="str">
        <x:v>异常用例</x:v>
      </x:c>
      <x:c r="F67" s="4" t="str">
        <x:v>P1</x:v>
      </x:c>
      <x:c r="G67" s="4" t="str">
        <x:v>验证Facebook用户取消授权提示</x:v>
      </x:c>
      <x:c r="H67" s="4" t="str">
        <x:v>Facebook用户取消授权提示</x:v>
      </x:c>
      <x:c r="I67" s="4" t="str">
        <x:v>1. 执行者为待登录用户，尚未建立登录会话
2. 已勾选当前版本协议
3. Facebook授权流程可返回用户取消授权</x:v>
      </x:c>
      <x:c r="J67" s="4" t="str">
        <x:v>1. 进入「登录与注册」页
2. 点击「Facebook」
3. 在授权流程触发用户取消授权</x:v>
      </x:c>
      <x:c r="K67" s="4" t="str">
        <x:v>提示“已取消授权”</x:v>
      </x:c>
      <x:c r="L67" s="4" t="str"/>
      <x:c r="M67" s="4" t="str">
        <x:v>未测</x:v>
      </x:c>
      <x:c r="N67" s="4" t="str"/>
      <x:c r="O67" s="4" t="str">
        <x:v>1. 来源：MainBasis/统一需求文档.md；U-auth-login-register-003、U-auth-login-register-012、U-auth-login-register-019
2. 场景：SC-46de024ad17e17</x:v>
      </x:c>
    </x:row>
    <x:row r="68" ht="82" customHeight="1">
      <x:c r="A68" s="4" t="n">
        <x:v>67</x:v>
      </x:c>
      <x:c r="B68" s="4" t="str">
        <x:v>USER-0067</x:v>
      </x:c>
      <x:c r="C68" s="4" t="str">
        <x:v>M01 账号、登录、资料与设置</x:v>
      </x:c>
      <x:c r="D68" s="4" t="str">
        <x:v>登录与注册（待登录用户视角）</x:v>
      </x:c>
      <x:c r="E68" s="4" t="str">
        <x:v>异常用例</x:v>
      </x:c>
      <x:c r="F68" s="4" t="str">
        <x:v>P1</x:v>
      </x:c>
      <x:c r="G68" s="4" t="str">
        <x:v>验证Facebook授权失败提示</x:v>
      </x:c>
      <x:c r="H68" s="4" t="str">
        <x:v>Facebook授权失败提示</x:v>
      </x:c>
      <x:c r="I68" s="4" t="str">
        <x:v>1. 执行者为待登录用户，尚未建立登录会话
2. 已勾选当前版本协议
3. Facebook授权流程可返回授权失败</x:v>
      </x:c>
      <x:c r="J68" s="4" t="str">
        <x:v>1. 进入「登录与注册」页
2. 点击「Facebook」
3. 在授权流程触发授权失败</x:v>
      </x:c>
      <x:c r="K68" s="4" t="str">
        <x:v>提示“登录失败，请重试”</x:v>
      </x:c>
      <x:c r="L68" s="4" t="str"/>
      <x:c r="M68" s="4" t="str">
        <x:v>未测</x:v>
      </x:c>
      <x:c r="N68" s="4" t="str"/>
      <x:c r="O68" s="4" t="str">
        <x:v>1. 来源：MainBasis/统一需求文档.md；U-auth-login-register-003、U-auth-login-register-012、U-auth-login-register-019
2. 场景：SC-31d5fad52fedd1</x:v>
      </x:c>
    </x:row>
    <x:row r="69" ht="68" customHeight="1">
      <x:c r="A69" s="4" t="n">
        <x:v>68</x:v>
      </x:c>
      <x:c r="B69" s="4" t="str">
        <x:v>USER-0068</x:v>
      </x:c>
      <x:c r="C69" s="4" t="str">
        <x:v>M01 账号、登录、资料与设置</x:v>
      </x:c>
      <x:c r="D69" s="4" t="str">
        <x:v>登录与注册（待登录用户视角）</x:v>
      </x:c>
      <x:c r="E69" s="4" t="str">
        <x:v>异常用例</x:v>
      </x:c>
      <x:c r="F69" s="4" t="str">
        <x:v>P1</x:v>
      </x:c>
      <x:c r="G69" s="4" t="str">
        <x:v>验证Apple ID未同意协议拦截</x:v>
      </x:c>
      <x:c r="H69" s="4" t="str">
        <x:v>Apple ID未同意协议拦截</x:v>
      </x:c>
      <x:c r="I69" s="4" t="str">
        <x:v>1. 执行者为待登录用户，尚未建立登录会话
2. 设备为 iOS
3. 未勾选用户协议和隐私政策</x:v>
      </x:c>
      <x:c r="J69" s="4" t="str">
        <x:v>1. 进入「登录与注册」页
2. 点击「Apple ID」</x:v>
      </x:c>
      <x:c r="K69" s="4" t="str">
        <x:v>提示先同意《用户协议》和《隐私政策》</x:v>
      </x:c>
      <x:c r="L69" s="4" t="str"/>
      <x:c r="M69" s="4" t="str">
        <x:v>未测</x:v>
      </x:c>
      <x:c r="N69" s="4" t="str"/>
      <x:c r="O69" s="4" t="str">
        <x:v>1. 来源：MainBasis/统一需求文档.md；U-auth-login-register-004、U-auth-login-register-009、U-auth-login-register-017
2. 场景：SC-394d2a0b82c185</x:v>
      </x:c>
    </x:row>
    <x:row r="70" ht="68" customHeight="1">
      <x:c r="A70" s="4" t="n">
        <x:v>69</x:v>
      </x:c>
      <x:c r="B70" s="4" t="str">
        <x:v>USER-0069</x:v>
      </x:c>
      <x:c r="C70" s="4" t="str">
        <x:v>M01 账号、登录、资料与设置</x:v>
      </x:c>
      <x:c r="D70" s="4" t="str">
        <x:v>登录与注册（待登录用户视角）</x:v>
      </x:c>
      <x:c r="E70" s="4" t="str">
        <x:v>功能需求</x:v>
      </x:c>
      <x:c r="F70" s="4" t="str">
        <x:v>P0</x:v>
      </x:c>
      <x:c r="G70" s="4" t="str">
        <x:v>验证Apple ID授权入口</x:v>
      </x:c>
      <x:c r="H70" s="4" t="str">
        <x:v>Apple ID授权入口</x:v>
      </x:c>
      <x:c r="I70" s="4" t="str">
        <x:v>1. 执行者为待登录用户，尚未建立登录会话
2. 设备为 iOS
3. 已勾选当前版本协议</x:v>
      </x:c>
      <x:c r="J70" s="4" t="str">
        <x:v>1. 进入「登录与注册」页
2. 点击「Apple ID」</x:v>
      </x:c>
      <x:c r="K70" s="4" t="str">
        <x:v>唤起Apple授权</x:v>
      </x:c>
      <x:c r="L70" s="4" t="str"/>
      <x:c r="M70" s="4" t="str">
        <x:v>未测</x:v>
      </x:c>
      <x:c r="N70" s="4" t="str"/>
      <x:c r="O70" s="4" t="str">
        <x:v>1. 来源：MainBasis/统一需求文档.md；U-auth-login-register-004、U-auth-login-register-010、U-auth-login-register-018
2. 场景：SC-923613c474fce6</x:v>
      </x:c>
    </x:row>
    <x:row r="71" ht="96" customHeight="1">
      <x:c r="A71" s="4" t="n">
        <x:v>70</x:v>
      </x:c>
      <x:c r="B71" s="4" t="str">
        <x:v>USER-0070</x:v>
      </x:c>
      <x:c r="C71" s="4" t="str">
        <x:v>M01 账号、登录、资料与设置</x:v>
      </x:c>
      <x:c r="D71" s="4" t="str">
        <x:v>登录与注册（待登录用户视角）</x:v>
      </x:c>
      <x:c r="E71" s="4" t="str">
        <x:v>功能需求</x:v>
      </x:c>
      <x:c r="F71" s="4" t="str">
        <x:v>P1</x:v>
      </x:c>
      <x:c r="G71" s="4" t="str">
        <x:v>验证Apple ID新账号分流</x:v>
      </x:c>
      <x:c r="H71" s="4" t="str">
        <x:v>Apple ID新账号分流</x:v>
      </x:c>
      <x:c r="I71" s="4" t="str">
        <x:v>1. 执行者为待登录用户，尚未建立登录会话
2. 设备为 iOS
3. 已勾选当前版本协议
4. Apple账号标识未关联 Luma Live 账号</x:v>
      </x:c>
      <x:c r="J71" s="4" t="str">
        <x:v>1. 进入「登录与注册」页
2. 点击「Apple ID」
3. 完成Apple授权</x:v>
      </x:c>
      <x:c r="K71" s="4" t="str">
        <x:v>页面进入资料补全</x:v>
      </x:c>
      <x:c r="L71" s="4" t="str"/>
      <x:c r="M71" s="4" t="str">
        <x:v>未测</x:v>
      </x:c>
      <x:c r="N71" s="4" t="str"/>
      <x:c r="O71" s="4" t="str">
        <x:v>1. 来源：MainBasis/统一需求文档.md；U-auth-login-register-004、U-auth-login-register-011
2. 场景：SC-47e5d53641c182</x:v>
      </x:c>
    </x:row>
    <x:row r="72" ht="96" customHeight="1">
      <x:c r="A72" s="4" t="n">
        <x:v>71</x:v>
      </x:c>
      <x:c r="B72" s="4" t="str">
        <x:v>USER-0071</x:v>
      </x:c>
      <x:c r="C72" s="4" t="str">
        <x:v>M01 账号、登录、资料与设置</x:v>
      </x:c>
      <x:c r="D72" s="4" t="str">
        <x:v>登录与注册（待登录用户视角）</x:v>
      </x:c>
      <x:c r="E72" s="4" t="str">
        <x:v>功能需求</x:v>
      </x:c>
      <x:c r="F72" s="4" t="str">
        <x:v>P1</x:v>
      </x:c>
      <x:c r="G72" s="4" t="str">
        <x:v>验证Apple ID已有账号分流</x:v>
      </x:c>
      <x:c r="H72" s="4" t="str">
        <x:v>Apple ID已有账号分流</x:v>
      </x:c>
      <x:c r="I72" s="4" t="str">
        <x:v>1. 执行者为待登录用户，尚未建立登录会话
2. 设备为 iOS
3. 已勾选当前版本协议
4. Apple账号标识已关联 Luma Live 账号</x:v>
      </x:c>
      <x:c r="J72" s="4" t="str">
        <x:v>1. 进入「登录与注册」页
2. 点击「Apple ID」
3. 完成Apple授权</x:v>
      </x:c>
      <x:c r="K72" s="4" t="str">
        <x:v>页面进入首页</x:v>
      </x:c>
      <x:c r="L72" s="4" t="str"/>
      <x:c r="M72" s="4" t="str">
        <x:v>未测</x:v>
      </x:c>
      <x:c r="N72" s="4" t="str"/>
      <x:c r="O72" s="4" t="str">
        <x:v>1. 来源：MainBasis/统一需求文档.md；U-auth-login-register-004、U-auth-login-register-011
2. 场景：SC-c9ea4eadf9c056</x:v>
      </x:c>
    </x:row>
    <x:row r="73" ht="96" customHeight="1">
      <x:c r="A73" s="4" t="n">
        <x:v>72</x:v>
      </x:c>
      <x:c r="B73" s="4" t="str">
        <x:v>USER-0072</x:v>
      </x:c>
      <x:c r="C73" s="4" t="str">
        <x:v>M01 账号、登录、资料与设置</x:v>
      </x:c>
      <x:c r="D73" s="4" t="str">
        <x:v>登录与注册（待登录用户视角）</x:v>
      </x:c>
      <x:c r="E73" s="4" t="str">
        <x:v>异常用例</x:v>
      </x:c>
      <x:c r="F73" s="4" t="str">
        <x:v>P1</x:v>
      </x:c>
      <x:c r="G73" s="4" t="str">
        <x:v>验证Apple ID用户取消授权提示</x:v>
      </x:c>
      <x:c r="H73" s="4" t="str">
        <x:v>Apple ID用户取消授权提示</x:v>
      </x:c>
      <x:c r="I73" s="4" t="str">
        <x:v>1. 执行者为待登录用户，尚未建立登录会话
2. 设备为 iOS
3. 已勾选当前版本协议
4. Apple授权流程可返回用户取消授权</x:v>
      </x:c>
      <x:c r="J73" s="4" t="str">
        <x:v>1. 进入「登录与注册」页
2. 点击「Apple ID」
3. 在授权流程触发用户取消授权</x:v>
      </x:c>
      <x:c r="K73" s="4" t="str">
        <x:v>提示“已取消授权”</x:v>
      </x:c>
      <x:c r="L73" s="4" t="str"/>
      <x:c r="M73" s="4" t="str">
        <x:v>未测</x:v>
      </x:c>
      <x:c r="N73" s="4" t="str"/>
      <x:c r="O73" s="4" t="str">
        <x:v>1. 来源：MainBasis/统一需求文档.md；U-auth-login-register-004、U-auth-login-register-012、U-auth-login-register-019
2. 场景：SC-1639f8889cef12</x:v>
      </x:c>
    </x:row>
    <x:row r="74" ht="96" customHeight="1">
      <x:c r="A74" s="4" t="n">
        <x:v>73</x:v>
      </x:c>
      <x:c r="B74" s="4" t="str">
        <x:v>USER-0073</x:v>
      </x:c>
      <x:c r="C74" s="4" t="str">
        <x:v>M01 账号、登录、资料与设置</x:v>
      </x:c>
      <x:c r="D74" s="4" t="str">
        <x:v>登录与注册（待登录用户视角）</x:v>
      </x:c>
      <x:c r="E74" s="4" t="str">
        <x:v>异常用例</x:v>
      </x:c>
      <x:c r="F74" s="4" t="str">
        <x:v>P1</x:v>
      </x:c>
      <x:c r="G74" s="4" t="str">
        <x:v>验证Apple ID授权失败提示</x:v>
      </x:c>
      <x:c r="H74" s="4" t="str">
        <x:v>Apple ID授权失败提示</x:v>
      </x:c>
      <x:c r="I74" s="4" t="str">
        <x:v>1. 执行者为待登录用户，尚未建立登录会话
2. 设备为 iOS
3. 已勾选当前版本协议
4. Apple授权流程可返回授权失败</x:v>
      </x:c>
      <x:c r="J74" s="4" t="str">
        <x:v>1. 进入「登录与注册」页
2. 点击「Apple ID」
3. 在授权流程触发授权失败</x:v>
      </x:c>
      <x:c r="K74" s="4" t="str">
        <x:v>提示“登录失败，请重试”</x:v>
      </x:c>
      <x:c r="L74" s="4" t="str"/>
      <x:c r="M74" s="4" t="str">
        <x:v>未测</x:v>
      </x:c>
      <x:c r="N74" s="4" t="str"/>
      <x:c r="O74" s="4" t="str">
        <x:v>1. 来源：MainBasis/统一需求文档.md；U-auth-login-register-004、U-auth-login-register-012、U-auth-login-register-019
2. 场景：SC-110948f1d648a1</x:v>
      </x:c>
    </x:row>
    <x:row r="75" ht="68" customHeight="1">
      <x:c r="A75" s="4" t="n">
        <x:v>74</x:v>
      </x:c>
      <x:c r="B75" s="4" t="str">
        <x:v>USER-0074</x:v>
      </x:c>
      <x:c r="C75" s="4" t="str">
        <x:v>M01 账号、登录、资料与设置</x:v>
      </x:c>
      <x:c r="D75" s="4" t="str">
        <x:v>登录与注册（待登录用户视角）</x:v>
      </x:c>
      <x:c r="E75" s="4" t="str">
        <x:v>异常用例</x:v>
      </x:c>
      <x:c r="F75" s="4" t="str">
        <x:v>P1</x:v>
      </x:c>
      <x:c r="G75" s="4" t="str">
        <x:v>验证TikTok未同意协议拦截</x:v>
      </x:c>
      <x:c r="H75" s="4" t="str">
        <x:v>TikTok未同意协议拦截</x:v>
      </x:c>
      <x:c r="I75" s="4" t="str">
        <x:v>1. 执行者为待登录用户，尚未建立登录会话
2. 未勾选用户协议和隐私政策</x:v>
      </x:c>
      <x:c r="J75" s="4" t="str">
        <x:v>1. 进入「登录与注册」页
2. 点击「TikTok」</x:v>
      </x:c>
      <x:c r="K75" s="4" t="str">
        <x:v>提示先同意《用户协议》和《隐私政策》</x:v>
      </x:c>
      <x:c r="L75" s="4" t="str"/>
      <x:c r="M75" s="4" t="str">
        <x:v>未测</x:v>
      </x:c>
      <x:c r="N75" s="4" t="str"/>
      <x:c r="O75" s="4" t="str">
        <x:v>1. 来源：MainBasis/统一需求文档.md；U-auth-login-register-005、U-auth-login-register-009、U-auth-login-register-017
2. 场景：SC-37e83f28d8e4a7</x:v>
      </x:c>
    </x:row>
    <x:row r="76" ht="68" customHeight="1">
      <x:c r="A76" s="4" t="n">
        <x:v>75</x:v>
      </x:c>
      <x:c r="B76" s="4" t="str">
        <x:v>USER-0075</x:v>
      </x:c>
      <x:c r="C76" s="4" t="str">
        <x:v>M01 账号、登录、资料与设置</x:v>
      </x:c>
      <x:c r="D76" s="4" t="str">
        <x:v>登录与注册（待登录用户视角）</x:v>
      </x:c>
      <x:c r="E76" s="4" t="str">
        <x:v>功能需求</x:v>
      </x:c>
      <x:c r="F76" s="4" t="str">
        <x:v>P0</x:v>
      </x:c>
      <x:c r="G76" s="4" t="str">
        <x:v>验证TikTok授权入口</x:v>
      </x:c>
      <x:c r="H76" s="4" t="str">
        <x:v>TikTok授权入口</x:v>
      </x:c>
      <x:c r="I76" s="4" t="str">
        <x:v>1. 执行者为待登录用户，尚未建立登录会话
2. 已勾选当前版本协议</x:v>
      </x:c>
      <x:c r="J76" s="4" t="str">
        <x:v>1. 进入「登录与注册」页
2. 点击「TikTok」</x:v>
      </x:c>
      <x:c r="K76" s="4" t="str">
        <x:v>唤起TikTok授权</x:v>
      </x:c>
      <x:c r="L76" s="4" t="str"/>
      <x:c r="M76" s="4" t="str">
        <x:v>未测</x:v>
      </x:c>
      <x:c r="N76" s="4" t="str"/>
      <x:c r="O76" s="4" t="str">
        <x:v>1. 来源：MainBasis/统一需求文档.md；U-auth-login-register-005、U-auth-login-register-010、U-auth-login-register-018
2. 场景：SC-23131732bf6afa</x:v>
      </x:c>
    </x:row>
    <x:row r="77" ht="82" customHeight="1">
      <x:c r="A77" s="4" t="n">
        <x:v>76</x:v>
      </x:c>
      <x:c r="B77" s="4" t="str">
        <x:v>USER-0076</x:v>
      </x:c>
      <x:c r="C77" s="4" t="str">
        <x:v>M01 账号、登录、资料与设置</x:v>
      </x:c>
      <x:c r="D77" s="4" t="str">
        <x:v>登录与注册（待登录用户视角）</x:v>
      </x:c>
      <x:c r="E77" s="4" t="str">
        <x:v>功能需求</x:v>
      </x:c>
      <x:c r="F77" s="4" t="str">
        <x:v>P1</x:v>
      </x:c>
      <x:c r="G77" s="4" t="str">
        <x:v>验证TikTok新账号分流</x:v>
      </x:c>
      <x:c r="H77" s="4" t="str">
        <x:v>TikTok新账号分流</x:v>
      </x:c>
      <x:c r="I77" s="4" t="str">
        <x:v>1. 执行者为待登录用户，尚未建立登录会话
2. 已勾选当前版本协议
3. TikTok账号标识未关联 Luma Live 账号</x:v>
      </x:c>
      <x:c r="J77" s="4" t="str">
        <x:v>1. 进入「登录与注册」页
2. 点击「TikTok」
3. 完成TikTok授权</x:v>
      </x:c>
      <x:c r="K77" s="4" t="str">
        <x:v>页面进入资料补全</x:v>
      </x:c>
      <x:c r="L77" s="4" t="str"/>
      <x:c r="M77" s="4" t="str">
        <x:v>未测</x:v>
      </x:c>
      <x:c r="N77" s="4" t="str"/>
      <x:c r="O77" s="4" t="str">
        <x:v>1. 来源：MainBasis/统一需求文档.md；U-auth-login-register-005、U-auth-login-register-011
2. 场景：SC-45740983d80d4c</x:v>
      </x:c>
    </x:row>
    <x:row r="78" ht="82" customHeight="1">
      <x:c r="A78" s="4" t="n">
        <x:v>77</x:v>
      </x:c>
      <x:c r="B78" s="4" t="str">
        <x:v>USER-0077</x:v>
      </x:c>
      <x:c r="C78" s="4" t="str">
        <x:v>M01 账号、登录、资料与设置</x:v>
      </x:c>
      <x:c r="D78" s="4" t="str">
        <x:v>登录与注册（待登录用户视角）</x:v>
      </x:c>
      <x:c r="E78" s="4" t="str">
        <x:v>功能需求</x:v>
      </x:c>
      <x:c r="F78" s="4" t="str">
        <x:v>P1</x:v>
      </x:c>
      <x:c r="G78" s="4" t="str">
        <x:v>验证TikTok已有账号分流</x:v>
      </x:c>
      <x:c r="H78" s="4" t="str">
        <x:v>TikTok已有账号分流</x:v>
      </x:c>
      <x:c r="I78" s="4" t="str">
        <x:v>1. 执行者为待登录用户，尚未建立登录会话
2. 已勾选当前版本协议
3. TikTok账号标识已关联 Luma Live 账号</x:v>
      </x:c>
      <x:c r="J78" s="4" t="str">
        <x:v>1. 进入「登录与注册」页
2. 点击「TikTok」
3. 完成TikTok授权</x:v>
      </x:c>
      <x:c r="K78" s="4" t="str">
        <x:v>页面进入首页</x:v>
      </x:c>
      <x:c r="L78" s="4" t="str"/>
      <x:c r="M78" s="4" t="str">
        <x:v>未测</x:v>
      </x:c>
      <x:c r="N78" s="4" t="str"/>
      <x:c r="O78" s="4" t="str">
        <x:v>1. 来源：MainBasis/统一需求文档.md；U-auth-login-register-005、U-auth-login-register-011
2. 场景：SC-754cd73526a1d5</x:v>
      </x:c>
    </x:row>
    <x:row r="79" ht="82" customHeight="1">
      <x:c r="A79" s="4" t="n">
        <x:v>78</x:v>
      </x:c>
      <x:c r="B79" s="4" t="str">
        <x:v>USER-0078</x:v>
      </x:c>
      <x:c r="C79" s="4" t="str">
        <x:v>M01 账号、登录、资料与设置</x:v>
      </x:c>
      <x:c r="D79" s="4" t="str">
        <x:v>登录与注册（待登录用户视角）</x:v>
      </x:c>
      <x:c r="E79" s="4" t="str">
        <x:v>异常用例</x:v>
      </x:c>
      <x:c r="F79" s="4" t="str">
        <x:v>P1</x:v>
      </x:c>
      <x:c r="G79" s="4" t="str">
        <x:v>验证TikTok用户取消授权提示</x:v>
      </x:c>
      <x:c r="H79" s="4" t="str">
        <x:v>TikTok用户取消授权提示</x:v>
      </x:c>
      <x:c r="I79" s="4" t="str">
        <x:v>1. 执行者为待登录用户，尚未建立登录会话
2. 已勾选当前版本协议
3. TikTok授权流程可返回用户取消授权</x:v>
      </x:c>
      <x:c r="J79" s="4" t="str">
        <x:v>1. 进入「登录与注册」页
2. 点击「TikTok」
3. 在授权流程触发用户取消授权</x:v>
      </x:c>
      <x:c r="K79" s="4" t="str">
        <x:v>提示“已取消授权”</x:v>
      </x:c>
      <x:c r="L79" s="4" t="str"/>
      <x:c r="M79" s="4" t="str">
        <x:v>未测</x:v>
      </x:c>
      <x:c r="N79" s="4" t="str"/>
      <x:c r="O79" s="4" t="str">
        <x:v>1. 来源：MainBasis/统一需求文档.md；U-auth-login-register-005、U-auth-login-register-012、U-auth-login-register-019
2. 场景：SC-013800d6e05c17</x:v>
      </x:c>
    </x:row>
    <x:row r="80" ht="82" customHeight="1">
      <x:c r="A80" s="4" t="n">
        <x:v>79</x:v>
      </x:c>
      <x:c r="B80" s="4" t="str">
        <x:v>USER-0079</x:v>
      </x:c>
      <x:c r="C80" s="4" t="str">
        <x:v>M01 账号、登录、资料与设置</x:v>
      </x:c>
      <x:c r="D80" s="4" t="str">
        <x:v>登录与注册（待登录用户视角）</x:v>
      </x:c>
      <x:c r="E80" s="4" t="str">
        <x:v>异常用例</x:v>
      </x:c>
      <x:c r="F80" s="4" t="str">
        <x:v>P1</x:v>
      </x:c>
      <x:c r="G80" s="4" t="str">
        <x:v>验证TikTok授权失败提示</x:v>
      </x:c>
      <x:c r="H80" s="4" t="str">
        <x:v>TikTok授权失败提示</x:v>
      </x:c>
      <x:c r="I80" s="4" t="str">
        <x:v>1. 执行者为待登录用户，尚未建立登录会话
2. 已勾选当前版本协议
3. TikTok授权流程可返回授权失败</x:v>
      </x:c>
      <x:c r="J80" s="4" t="str">
        <x:v>1. 进入「登录与注册」页
2. 点击「TikTok」
3. 在授权流程触发授权失败</x:v>
      </x:c>
      <x:c r="K80" s="4" t="str">
        <x:v>提示“登录失败，请重试”</x:v>
      </x:c>
      <x:c r="L80" s="4" t="str"/>
      <x:c r="M80" s="4" t="str">
        <x:v>未测</x:v>
      </x:c>
      <x:c r="N80" s="4" t="str"/>
      <x:c r="O80" s="4" t="str">
        <x:v>1. 来源：MainBasis/统一需求文档.md；U-auth-login-register-005、U-auth-login-register-012、U-auth-login-register-019
2. 场景：SC-df09ea96cf4db5</x:v>
      </x:c>
    </x:row>
    <x:row r="81" ht="68" customHeight="1">
      <x:c r="A81" s="4" t="n">
        <x:v>80</x:v>
      </x:c>
      <x:c r="B81" s="4" t="str">
        <x:v>USER-0080</x:v>
      </x:c>
      <x:c r="C81" s="4" t="str">
        <x:v>M01 账号、登录、资料与设置</x:v>
      </x:c>
      <x:c r="D81" s="4" t="str">
        <x:v>登录与注册（待登录用户视角）</x:v>
      </x:c>
      <x:c r="E81" s="4" t="str">
        <x:v>功能需求</x:v>
      </x:c>
      <x:c r="F81" s="4" t="str">
        <x:v>P1</x:v>
      </x:c>
      <x:c r="G81" s="4" t="str">
        <x:v>验证Android 登录方式</x:v>
      </x:c>
      <x:c r="H81" s="4" t="str">
        <x:v>Android 登录方式</x:v>
      </x:c>
      <x:c r="I81" s="4" t="str">
        <x:v>1. 执行者为待登录用户，尚未建立登录会话
2. 设备为 Android</x:v>
      </x:c>
      <x:c r="J81" s="4" t="str">
        <x:v>1. 进入「登录与注册」页
2. 查看Android 登录方式</x:v>
      </x:c>
      <x:c r="K81" s="4" t="str">
        <x:v>登录方式中不展示 Apple ID</x:v>
      </x:c>
      <x:c r="L81" s="4" t="str"/>
      <x:c r="M81" s="4" t="str">
        <x:v>未测</x:v>
      </x:c>
      <x:c r="N81" s="4" t="str"/>
      <x:c r="O81" s="4" t="str">
        <x:v>1. 来源：MainBasis/统一需求文档.md；U-auth-login-register-004、U-auth-login-register-015
2. 场景：SC-cab494f707864b</x:v>
      </x:c>
    </x:row>
    <x:row r="82" ht="82" customHeight="1">
      <x:c r="A82" s="4" t="n">
        <x:v>81</x:v>
      </x:c>
      <x:c r="B82" s="4" t="str">
        <x:v>USER-0081</x:v>
      </x:c>
      <x:c r="C82" s="4" t="str">
        <x:v>M01 账号、登录、资料与设置</x:v>
      </x:c>
      <x:c r="D82" s="4" t="str">
        <x:v>登录与注册（待登录用户视角）</x:v>
      </x:c>
      <x:c r="E82" s="4" t="str">
        <x:v>功能需求</x:v>
      </x:c>
      <x:c r="F82" s="4" t="str">
        <x:v>P0</x:v>
      </x:c>
      <x:c r="G82" s="4" t="str">
        <x:v>验证新账号自动建档</x:v>
      </x:c>
      <x:c r="H82" s="4" t="str">
        <x:v>新账号自动建档</x:v>
      </x:c>
      <x:c r="I82" s="4" t="str">
        <x:v>1. 执行者为待登录用户，尚未建立登录会话
2. 第三方账号从未关联 Luma Live
3. 已同意当前版本协议</x:v>
      </x:c>
      <x:c r="J82" s="4" t="str">
        <x:v>1. 进入「登录与注册」页
2. 点击「Google」
3. 完成首次授权</x:v>
      </x:c>
      <x:c r="K82" s="4" t="str">
        <x:v>新账号获得系统生成的用户 ID</x:v>
      </x:c>
      <x:c r="L82" s="4" t="str"/>
      <x:c r="M82" s="4" t="str">
        <x:v>未测</x:v>
      </x:c>
      <x:c r="N82" s="4" t="str"/>
      <x:c r="O82" s="4" t="str">
        <x:v>1. 来源：MainBasis/统一需求文档.md；U-auth-login-register-011
2. 场景：SC-dcac0b198e5a8e</x:v>
      </x:c>
    </x:row>
    <x:row r="83" ht="68" customHeight="1">
      <x:c r="A83" s="4" t="n">
        <x:v>82</x:v>
      </x:c>
      <x:c r="B83" s="4" t="str">
        <x:v>USER-0082</x:v>
      </x:c>
      <x:c r="C83" s="4" t="str">
        <x:v>M01 账号、登录、资料与设置</x:v>
      </x:c>
      <x:c r="D83" s="4" t="str">
        <x:v>登录与注册（待登录用户视角）</x:v>
      </x:c>
      <x:c r="E83" s="4" t="str">
        <x:v>异常用例</x:v>
      </x:c>
      <x:c r="F83" s="4" t="str">
        <x:v>P1</x:v>
      </x:c>
      <x:c r="G83" s="4" t="str">
        <x:v>验证无有效标识不建立会话</x:v>
      </x:c>
      <x:c r="H83" s="4" t="str">
        <x:v>无有效标识不建立会话</x:v>
      </x:c>
      <x:c r="I83" s="4" t="str">
        <x:v>1. 执行者为待登录用户，尚未建立登录会话
2. 第三方授权返回空账号标识
3. 已同意当前版本协议</x:v>
      </x:c>
      <x:c r="J83" s="4" t="str">
        <x:v>1. 进入「登录与注册」页
2. 点击「Google」
3. 完成授权回调</x:v>
      </x:c>
      <x:c r="K83" s="4" t="str">
        <x:v>账号仍处于未登录状态</x:v>
      </x:c>
      <x:c r="L83" s="4" t="str"/>
      <x:c r="M83" s="4" t="str">
        <x:v>未测</x:v>
      </x:c>
      <x:c r="N83" s="4" t="str"/>
      <x:c r="O83" s="4" t="str">
        <x:v>1. 来源：MainBasis/统一需求文档.md；U-auth-login-register-012
2. 场景：SC-0a033ca7747499</x:v>
      </x:c>
    </x:row>
    <x:row r="84" ht="82" customHeight="1">
      <x:c r="A84" s="4" t="n">
        <x:v>83</x:v>
      </x:c>
      <x:c r="B84" s="4" t="str">
        <x:v>USER-0083</x:v>
      </x:c>
      <x:c r="C84" s="4" t="str">
        <x:v>M01 账号、登录、资料与设置</x:v>
      </x:c>
      <x:c r="D84" s="4" t="str">
        <x:v>登录与注册（待登录用户视角）</x:v>
      </x:c>
      <x:c r="E84" s="4" t="str">
        <x:v>异常用例</x:v>
      </x:c>
      <x:c r="F84" s="4" t="str">
        <x:v>P1</x:v>
      </x:c>
      <x:c r="G84" s="4" t="str">
        <x:v>验证封禁账号登录拦截</x:v>
      </x:c>
      <x:c r="H84" s="4" t="str">
        <x:v>封禁账号登录拦截</x:v>
      </x:c>
      <x:c r="I84" s="4" t="str">
        <x:v>1. 执行者为待登录用户，尚未建立登录会话
2. 已有账号被平台封禁
3. 已同意协议且 Google 凭证有效</x:v>
      </x:c>
      <x:c r="J84" s="4" t="str">
        <x:v>1. 进入「登录与注册」页
2. 点击「Google」
3. 完成授权</x:v>
      </x:c>
      <x:c r="K84" s="4" t="str">
        <x:v>提示“账号已被封禁”</x:v>
      </x:c>
      <x:c r="L84" s="4" t="str"/>
      <x:c r="M84" s="4" t="str">
        <x:v>未测</x:v>
      </x:c>
      <x:c r="N84" s="4" t="str"/>
      <x:c r="O84" s="4" t="str">
        <x:v>1. 来源：MainBasis/统一需求文档.md；U-auth-login-register-013、U-auth-login-register-020、D-SYS-046
2. 场景：SC-a1358451285a21</x:v>
      </x:c>
    </x:row>
    <x:row r="85" ht="54" customHeight="1">
      <x:c r="A85" s="4" t="n">
        <x:v>84</x:v>
      </x:c>
      <x:c r="B85" s="4" t="str">
        <x:v>USER-0084</x:v>
      </x:c>
      <x:c r="C85" s="4" t="str">
        <x:v>M01 账号、登录、资料与设置</x:v>
      </x:c>
      <x:c r="D85" s="4" t="str">
        <x:v>登录与注册（待登录用户视角）</x:v>
      </x:c>
      <x:c r="E85" s="4" t="str">
        <x:v>功能需求</x:v>
      </x:c>
      <x:c r="F85" s="4" t="str">
        <x:v>P2</x:v>
      </x:c>
      <x:c r="G85" s="4" t="str">
        <x:v>验证手机号登录入口</x:v>
      </x:c>
      <x:c r="H85" s="4" t="str">
        <x:v>手机号登录入口</x:v>
      </x:c>
      <x:c r="I85" s="4" t="str">
        <x:v>1. 执行者为待登录用户，尚未建立登录会话</x:v>
      </x:c>
      <x:c r="J85" s="4" t="str">
        <x:v>1. 进入「登录与注册」页
2. 点击「手机号登录」</x:v>
      </x:c>
      <x:c r="K85" s="4" t="str">
        <x:v>页面进入「手机号登录」</x:v>
      </x:c>
      <x:c r="L85" s="4" t="str"/>
      <x:c r="M85" s="4" t="str">
        <x:v>未测</x:v>
      </x:c>
      <x:c r="N85" s="4" t="str"/>
      <x:c r="O85" s="4" t="str">
        <x:v>1. 来源：MainBasis/统一需求文档.md；U-auth-login-register-022
2. 场景：SC-7a392cb34068a4</x:v>
      </x:c>
    </x:row>
    <x:row r="86" ht="54" customHeight="1">
      <x:c r="A86" s="4" t="n">
        <x:v>85</x:v>
      </x:c>
      <x:c r="B86" s="4" t="str">
        <x:v>USER-0085</x:v>
      </x:c>
      <x:c r="C86" s="4" t="str">
        <x:v>M01 账号、登录、资料与设置</x:v>
      </x:c>
      <x:c r="D86" s="4" t="str">
        <x:v>登录与注册（待登录用户视角）</x:v>
      </x:c>
      <x:c r="E86" s="4" t="str">
        <x:v>功能需求</x:v>
      </x:c>
      <x:c r="F86" s="4" t="str">
        <x:v>P2</x:v>
      </x:c>
      <x:c r="G86" s="4" t="str">
        <x:v>验证邮箱入口</x:v>
      </x:c>
      <x:c r="H86" s="4" t="str">
        <x:v>邮箱入口</x:v>
      </x:c>
      <x:c r="I86" s="4" t="str">
        <x:v>1. 执行者为待登录用户，尚未建立登录会话</x:v>
      </x:c>
      <x:c r="J86" s="4" t="str">
        <x:v>1. 进入「登录与注册」页
2. 点击「邮箱」</x:v>
      </x:c>
      <x:c r="K86" s="4" t="str">
        <x:v>页面进入「邮箱登录」</x:v>
      </x:c>
      <x:c r="L86" s="4" t="str"/>
      <x:c r="M86" s="4" t="str">
        <x:v>未测</x:v>
      </x:c>
      <x:c r="N86" s="4" t="str"/>
      <x:c r="O86" s="4" t="str">
        <x:v>1. 来源：MainBasis/统一需求文档.md；U-auth-login-register-023
2. 场景：SC-6c6d0d7c17e0fc</x:v>
      </x:c>
    </x:row>
    <x:row r="87" ht="68" customHeight="1">
      <x:c r="A87" s="4" t="n">
        <x:v>86</x:v>
      </x:c>
      <x:c r="B87" s="4" t="str">
        <x:v>USER-0086</x:v>
      </x:c>
      <x:c r="C87" s="4" t="str">
        <x:v>M01 账号、登录、资料与设置</x:v>
      </x:c>
      <x:c r="D87" s="4" t="str">
        <x:v>登录与注册（待登录用户视角）</x:v>
      </x:c>
      <x:c r="E87" s="4" t="str">
        <x:v>功能需求</x:v>
      </x:c>
      <x:c r="F87" s="4" t="str">
        <x:v>P1</x:v>
      </x:c>
      <x:c r="G87" s="4" t="str">
        <x:v>验证游客进入无需协议</x:v>
      </x:c>
      <x:c r="H87" s="4" t="str">
        <x:v>游客进入无需协议</x:v>
      </x:c>
      <x:c r="I87" s="4" t="str">
        <x:v>1. 执行者为待登录用户，尚未建立登录会话
2. 未勾选协议</x:v>
      </x:c>
      <x:c r="J87" s="4" t="str">
        <x:v>1. 进入「登录与注册」页
2. 点击「游客进入」</x:v>
      </x:c>
      <x:c r="K87" s="4" t="str">
        <x:v>以游客身份进入首页</x:v>
      </x:c>
      <x:c r="L87" s="4" t="str"/>
      <x:c r="M87" s="4" t="str">
        <x:v>未测</x:v>
      </x:c>
      <x:c r="N87" s="4" t="str"/>
      <x:c r="O87" s="4" t="str">
        <x:v>1. 来源：MainBasis/统一需求文档.md；U-auth-login-register-008、U-auth-login-register-024
2. 场景：SC-66904361eed6b1</x:v>
      </x:c>
    </x:row>
    <x:row r="88" ht="54" customHeight="1">
      <x:c r="A88" s="4" t="n">
        <x:v>87</x:v>
      </x:c>
      <x:c r="B88" s="4" t="str">
        <x:v>USER-0087</x:v>
      </x:c>
      <x:c r="C88" s="4" t="str">
        <x:v>M01 账号、登录、资料与设置</x:v>
      </x:c>
      <x:c r="D88" s="4" t="str">
        <x:v>登录与注册（游客视角）</x:v>
      </x:c>
      <x:c r="E88" s="4" t="str">
        <x:v>功能需求</x:v>
      </x:c>
      <x:c r="F88" s="4" t="str">
        <x:v>P1</x:v>
      </x:c>
      <x:c r="G88" s="4" t="str">
        <x:v>验证游客浏览首页</x:v>
      </x:c>
      <x:c r="H88" s="4" t="str">
        <x:v>游客浏览首页</x:v>
      </x:c>
      <x:c r="I88" s="4" t="str">
        <x:v>1. 执行者为未登录游客
2. 当前为游客</x:v>
      </x:c>
      <x:c r="J88" s="4" t="str">
        <x:v>1. 进入「登录与注册」页
2. 打开「首页」</x:v>
      </x:c>
      <x:c r="K88" s="4" t="str">
        <x:v>展示「首页」内容</x:v>
      </x:c>
      <x:c r="L88" s="4" t="str"/>
      <x:c r="M88" s="4" t="str">
        <x:v>未测</x:v>
      </x:c>
      <x:c r="N88" s="4" t="str"/>
      <x:c r="O88" s="4" t="str">
        <x:v>1. 来源：MainBasis/统一需求文档.md；U-auth-login-register-016、U-live-plaza-008
2. 场景：SC-0f8bf88769d0a3</x:v>
      </x:c>
    </x:row>
    <x:row r="89" ht="54" customHeight="1">
      <x:c r="A89" s="4" t="n">
        <x:v>88</x:v>
      </x:c>
      <x:c r="B89" s="4" t="str">
        <x:v>USER-0088</x:v>
      </x:c>
      <x:c r="C89" s="4" t="str">
        <x:v>M01 账号、登录、资料与设置</x:v>
      </x:c>
      <x:c r="D89" s="4" t="str">
        <x:v>登录与注册（游客视角）</x:v>
      </x:c>
      <x:c r="E89" s="4" t="str">
        <x:v>功能需求</x:v>
      </x:c>
      <x:c r="F89" s="4" t="str">
        <x:v>P1</x:v>
      </x:c>
      <x:c r="G89" s="4" t="str">
        <x:v>验证游客浏览主播榜</x:v>
      </x:c>
      <x:c r="H89" s="4" t="str">
        <x:v>游客浏览主播榜</x:v>
      </x:c>
      <x:c r="I89" s="4" t="str">
        <x:v>1. 执行者为未登录游客
2. 当前为游客</x:v>
      </x:c>
      <x:c r="J89" s="4" t="str">
        <x:v>1. 进入「登录与注册」页
2. 打开「主播榜」</x:v>
      </x:c>
      <x:c r="K89" s="4" t="str">
        <x:v>展示「主播榜」内容</x:v>
      </x:c>
      <x:c r="L89" s="4" t="str"/>
      <x:c r="M89" s="4" t="str">
        <x:v>未测</x:v>
      </x:c>
      <x:c r="N89" s="4" t="str"/>
      <x:c r="O89" s="4" t="str">
        <x:v>1. 来源：MainBasis/统一需求文档.md；U-auth-login-register-016、U-live-plaza-008
2. 场景：SC-5130dc6d623adb</x:v>
      </x:c>
    </x:row>
    <x:row r="90" ht="54" customHeight="1">
      <x:c r="A90" s="4" t="n">
        <x:v>89</x:v>
      </x:c>
      <x:c r="B90" s="4" t="str">
        <x:v>USER-0089</x:v>
      </x:c>
      <x:c r="C90" s="4" t="str">
        <x:v>M01 账号、登录、资料与设置</x:v>
      </x:c>
      <x:c r="D90" s="4" t="str">
        <x:v>登录与注册（游客视角）</x:v>
      </x:c>
      <x:c r="E90" s="4" t="str">
        <x:v>功能需求</x:v>
      </x:c>
      <x:c r="F90" s="4" t="str">
        <x:v>P1</x:v>
      </x:c>
      <x:c r="G90" s="4" t="str">
        <x:v>验证游客浏览贡献榜</x:v>
      </x:c>
      <x:c r="H90" s="4" t="str">
        <x:v>游客浏览贡献榜</x:v>
      </x:c>
      <x:c r="I90" s="4" t="str">
        <x:v>1. 执行者为未登录游客
2. 当前为游客</x:v>
      </x:c>
      <x:c r="J90" s="4" t="str">
        <x:v>1. 进入「登录与注册」页
2. 打开「贡献榜」</x:v>
      </x:c>
      <x:c r="K90" s="4" t="str">
        <x:v>展示「贡献榜」内容</x:v>
      </x:c>
      <x:c r="L90" s="4" t="str"/>
      <x:c r="M90" s="4" t="str">
        <x:v>未测</x:v>
      </x:c>
      <x:c r="N90" s="4" t="str"/>
      <x:c r="O90" s="4" t="str">
        <x:v>1. 来源：MainBasis/统一需求文档.md；U-auth-login-register-016、U-live-plaza-008
2. 场景：SC-2c4b15a687084f</x:v>
      </x:c>
    </x:row>
    <x:row r="91" ht="54" customHeight="1">
      <x:c r="A91" s="4" t="n">
        <x:v>90</x:v>
      </x:c>
      <x:c r="B91" s="4" t="str">
        <x:v>USER-0090</x:v>
      </x:c>
      <x:c r="C91" s="4" t="str">
        <x:v>M01 账号、登录、资料与设置</x:v>
      </x:c>
      <x:c r="D91" s="4" t="str">
        <x:v>登录与注册（游客视角）</x:v>
      </x:c>
      <x:c r="E91" s="4" t="str">
        <x:v>功能需求</x:v>
      </x:c>
      <x:c r="F91" s="4" t="str">
        <x:v>P1</x:v>
      </x:c>
      <x:c r="G91" s="4" t="str">
        <x:v>验证游客浏览福利页</x:v>
      </x:c>
      <x:c r="H91" s="4" t="str">
        <x:v>游客浏览福利页</x:v>
      </x:c>
      <x:c r="I91" s="4" t="str">
        <x:v>1. 执行者为未登录游客
2. 当前为游客</x:v>
      </x:c>
      <x:c r="J91" s="4" t="str">
        <x:v>1. 进入「登录与注册」页
2. 打开「福利页」</x:v>
      </x:c>
      <x:c r="K91" s="4" t="str">
        <x:v>展示「福利页」内容</x:v>
      </x:c>
      <x:c r="L91" s="4" t="str"/>
      <x:c r="M91" s="4" t="str">
        <x:v>未测</x:v>
      </x:c>
      <x:c r="N91" s="4" t="str"/>
      <x:c r="O91" s="4" t="str">
        <x:v>1. 来源：MainBasis/统一需求文档.md；U-auth-login-register-016、U-live-plaza-008
2. 场景：SC-4e029aa6fd6209</x:v>
      </x:c>
    </x:row>
    <x:row r="92" ht="54" customHeight="1">
      <x:c r="A92" s="4" t="n">
        <x:v>91</x:v>
      </x:c>
      <x:c r="B92" s="4" t="str">
        <x:v>USER-0091</x:v>
      </x:c>
      <x:c r="C92" s="4" t="str">
        <x:v>M01 账号、登录、资料与设置</x:v>
      </x:c>
      <x:c r="D92" s="4" t="str">
        <x:v>登录与注册（游客视角）</x:v>
      </x:c>
      <x:c r="E92" s="4" t="str">
        <x:v>功能需求</x:v>
      </x:c>
      <x:c r="F92" s="4" t="str">
        <x:v>P1</x:v>
      </x:c>
      <x:c r="G92" s="4" t="str">
        <x:v>验证游客浏览邀请好友页</x:v>
      </x:c>
      <x:c r="H92" s="4" t="str">
        <x:v>游客浏览邀请好友页</x:v>
      </x:c>
      <x:c r="I92" s="4" t="str">
        <x:v>1. 执行者为未登录游客
2. 当前为游客</x:v>
      </x:c>
      <x:c r="J92" s="4" t="str">
        <x:v>1. 进入「登录与注册」页
2. 打开「邀请好友页」</x:v>
      </x:c>
      <x:c r="K92" s="4" t="str">
        <x:v>展示「邀请好友页」内容</x:v>
      </x:c>
      <x:c r="L92" s="4" t="str"/>
      <x:c r="M92" s="4" t="str">
        <x:v>未测</x:v>
      </x:c>
      <x:c r="N92" s="4" t="str"/>
      <x:c r="O92" s="4" t="str">
        <x:v>1. 来源：MainBasis/统一需求文档.md；U-auth-login-register-016、U-live-plaza-008
2. 场景：SC-085ae279f77623</x:v>
      </x:c>
    </x:row>
    <x:row r="93" ht="68" customHeight="1">
      <x:c r="A93" s="4" t="n">
        <x:v>92</x:v>
      </x:c>
      <x:c r="B93" s="4" t="str">
        <x:v>USER-0092</x:v>
      </x:c>
      <x:c r="C93" s="4" t="str">
        <x:v>M01 账号、登录、资料与设置</x:v>
      </x:c>
      <x:c r="D93" s="4" t="str">
        <x:v>登录与注册（待登录用户视角）</x:v>
      </x:c>
      <x:c r="E93" s="4" t="str">
        <x:v>功能需求</x:v>
      </x:c>
      <x:c r="F93" s="4" t="str">
        <x:v>P1</x:v>
      </x:c>
      <x:c r="G93" s="4" t="str">
        <x:v>验证Google 授权成功命中注销冷静期</x:v>
      </x:c>
      <x:c r="H93" s="4" t="str">
        <x:v>Google 授权成功命中注销冷静期</x:v>
      </x:c>
      <x:c r="I93" s="4" t="str">
        <x:v>1. 执行者为待登录用户，尚未建立登录会话
2. 账号提交注销后尚未满七日</x:v>
      </x:c>
      <x:c r="J93" s="4" t="str">
        <x:v>1. 进入「登录与注册」页
2. 点击「Google」并完成授权</x:v>
      </x:c>
      <x:c r="K93" s="4" t="str">
        <x:v>展示注销冷静期弹窗</x:v>
      </x:c>
      <x:c r="L93" s="4" t="str"/>
      <x:c r="M93" s="4" t="str">
        <x:v>未测</x:v>
      </x:c>
      <x:c r="N93" s="4" t="str"/>
      <x:c r="O93" s="4" t="str">
        <x:v>1. 来源：MainBasis/统一需求文档.md；U-auth-login-register-014、U-auth-login-register-021
2. 场景：SC-f894da3dae2076</x:v>
      </x:c>
    </x:row>
    <x:row r="94" ht="68" customHeight="1">
      <x:c r="A94" s="4" t="n">
        <x:v>93</x:v>
      </x:c>
      <x:c r="B94" s="4" t="str">
        <x:v>USER-0093</x:v>
      </x:c>
      <x:c r="C94" s="4" t="str">
        <x:v>M01 账号、登录、资料与设置</x:v>
      </x:c>
      <x:c r="D94" s="4" t="str">
        <x:v>注销冷静期（待登录用户视角）</x:v>
      </x:c>
      <x:c r="E94" s="4" t="str">
        <x:v>功能需求</x:v>
      </x:c>
      <x:c r="F94" s="4" t="str">
        <x:v>P2</x:v>
      </x:c>
      <x:c r="G94" s="4" t="str">
        <x:v>验证可取消截止时间回显</x:v>
      </x:c>
      <x:c r="H94" s="4" t="str">
        <x:v>可取消截止时间回显</x:v>
      </x:c>
      <x:c r="I94" s="4" t="str">
        <x:v>1. 执行者为待登录用户，尚未建立登录会话
2. 所选对象存在，已记录该对象的可取消截止时间值</x:v>
      </x:c>
      <x:c r="J94" s="4" t="str">
        <x:v>1. 进入「登录与注册」页
2. 打开「注销冷静期」视图
3. 查看可取消截止时间回显</x:v>
      </x:c>
      <x:c r="K94" s="4" t="str">
        <x:v>「可取消截止时间」内容与所选对象的该项资料一致</x:v>
      </x:c>
      <x:c r="L94" s="4" t="str"/>
      <x:c r="M94" s="4" t="str">
        <x:v>未测</x:v>
      </x:c>
      <x:c r="N94" s="4" t="str"/>
      <x:c r="O94" s="4" t="str">
        <x:v>1. 来源：MainBasis/统一需求文档.md；U-views_auth-login-register_deletion-cooling-002
2. 场景：SC-03026a6bc97e65</x:v>
      </x:c>
    </x:row>
    <x:row r="95" ht="68" customHeight="1">
      <x:c r="A95" s="4" t="n">
        <x:v>94</x:v>
      </x:c>
      <x:c r="B95" s="4" t="str">
        <x:v>USER-0094</x:v>
      </x:c>
      <x:c r="C95" s="4" t="str">
        <x:v>M01 账号、登录、资料与设置</x:v>
      </x:c>
      <x:c r="D95" s="4" t="str">
        <x:v>注销冷静期（待登录用户视角）</x:v>
      </x:c>
      <x:c r="E95" s="4" t="str">
        <x:v>功能需求</x:v>
      </x:c>
      <x:c r="F95" s="4" t="str">
        <x:v>P2</x:v>
      </x:c>
      <x:c r="G95" s="4" t="str">
        <x:v>验证操作回显</x:v>
      </x:c>
      <x:c r="H95" s="4" t="str">
        <x:v>操作回显</x:v>
      </x:c>
      <x:c r="I95" s="4" t="str">
        <x:v>1. 执行者为待登录用户，尚未建立登录会话
2. 所选对象存在，已记录该对象的操作值</x:v>
      </x:c>
      <x:c r="J95" s="4" t="str">
        <x:v>1. 进入「登录与注册」页
2. 打开「注销冷静期」视图
3. 查看操作回显</x:v>
      </x:c>
      <x:c r="K95" s="4" t="str">
        <x:v>「操作」内容与所选对象的该项资料一致</x:v>
      </x:c>
      <x:c r="L95" s="4" t="str"/>
      <x:c r="M95" s="4" t="str">
        <x:v>未测</x:v>
      </x:c>
      <x:c r="N95" s="4" t="str"/>
      <x:c r="O95" s="4" t="str">
        <x:v>1. 来源：MainBasis/统一需求文档.md；U-views_auth-login-register_deletion-cooling-003
2. 场景：SC-2ce6e9860b5184</x:v>
      </x:c>
    </x:row>
    <x:row r="96" ht="68" customHeight="1">
      <x:c r="A96" s="4" t="n">
        <x:v>95</x:v>
      </x:c>
      <x:c r="B96" s="4" t="str">
        <x:v>USER-0095</x:v>
      </x:c>
      <x:c r="C96" s="4" t="str">
        <x:v>M01 账号、登录、资料与设置</x:v>
      </x:c>
      <x:c r="D96" s="4" t="str">
        <x:v>注销冷静期（待登录用户视角）</x:v>
      </x:c>
      <x:c r="E96" s="4" t="str">
        <x:v>功能需求</x:v>
      </x:c>
      <x:c r="F96" s="4" t="str">
        <x:v>P1</x:v>
      </x:c>
      <x:c r="G96" s="4" t="str">
        <x:v>验证可取消截止时间</x:v>
      </x:c>
      <x:c r="H96" s="4" t="str">
        <x:v>可取消截止时间</x:v>
      </x:c>
      <x:c r="I96" s="4" t="str">
        <x:v>1. 执行者为待登录用户，尚未建立登录会话
2. 注销申请提交于9月1日12:30，当前仍在冷静期</x:v>
      </x:c>
      <x:c r="J96" s="4" t="str">
        <x:v>1. 进入「登录与注册」页
2. 打开「注销冷静期」视图
3. 查看可取消截止时间</x:v>
      </x:c>
      <x:c r="K96" s="4" t="str">
        <x:v>可取消截止时间显示09/08 12:30</x:v>
      </x:c>
      <x:c r="L96" s="4" t="str"/>
      <x:c r="M96" s="4" t="str">
        <x:v>未测</x:v>
      </x:c>
      <x:c r="N96" s="4" t="str"/>
      <x:c r="O96" s="4" t="str">
        <x:v>1. 来源：MainBasis/统一需求文档.md；U-views_auth-login-register_deletion-cooling-002
2. 场景：SC-81c7f0ac30d9dc</x:v>
      </x:c>
    </x:row>
    <x:row r="97" ht="68" customHeight="1">
      <x:c r="A97" s="4" t="n">
        <x:v>96</x:v>
      </x:c>
      <x:c r="B97" s="4" t="str">
        <x:v>USER-0096</x:v>
      </x:c>
      <x:c r="C97" s="4" t="str">
        <x:v>M01 账号、登录、资料与设置</x:v>
      </x:c>
      <x:c r="D97" s="4" t="str">
        <x:v>注销冷静期（待登录用户视角）</x:v>
      </x:c>
      <x:c r="E97" s="4" t="str">
        <x:v>功能需求</x:v>
      </x:c>
      <x:c r="F97" s="4" t="str">
        <x:v>P1</x:v>
      </x:c>
      <x:c r="G97" s="4" t="str">
        <x:v>验证暂不取消处理冷静期</x:v>
      </x:c>
      <x:c r="H97" s="4" t="str">
        <x:v>暂不取消处理冷静期</x:v>
      </x:c>
      <x:c r="I97" s="4" t="str">
        <x:v>1. 执行者为待登录用户，尚未建立登录会话
2. 账号仍处于七日冷静期</x:v>
      </x:c>
      <x:c r="J97" s="4" t="str">
        <x:v>1. 进入「登录与注册」页
2. 打开「注销冷静期」视图
3. 点击「暂不取消」</x:v>
      </x:c>
      <x:c r="K97" s="4" t="str">
        <x:v>弹窗关闭后停留登录与注册页</x:v>
      </x:c>
      <x:c r="L97" s="4" t="str"/>
      <x:c r="M97" s="4" t="str">
        <x:v>未测</x:v>
      </x:c>
      <x:c r="N97" s="4" t="str"/>
      <x:c r="O97" s="4" t="str">
        <x:v>1. 来源：MainBasis/统一需求文档.md；U-views_auth-login-register_deletion-cooling-007、U-settings-023
2. 场景：SC-bd2f55af9d4c3a</x:v>
      </x:c>
    </x:row>
    <x:row r="98" ht="68" customHeight="1">
      <x:c r="A98" s="4" t="n">
        <x:v>97</x:v>
      </x:c>
      <x:c r="B98" s="4" t="str">
        <x:v>USER-0097</x:v>
      </x:c>
      <x:c r="C98" s="4" t="str">
        <x:v>M01 账号、登录、资料与设置</x:v>
      </x:c>
      <x:c r="D98" s="4" t="str">
        <x:v>注销冷静期（待登录用户视角）</x:v>
      </x:c>
      <x:c r="E98" s="4" t="str">
        <x:v>功能需求</x:v>
      </x:c>
      <x:c r="F98" s="4" t="str">
        <x:v>P1</x:v>
      </x:c>
      <x:c r="G98" s="4" t="str">
        <x:v>验证取消注销处理冷静期</x:v>
      </x:c>
      <x:c r="H98" s="4" t="str">
        <x:v>取消注销处理冷静期</x:v>
      </x:c>
      <x:c r="I98" s="4" t="str">
        <x:v>1. 执行者为待登录用户，尚未建立登录会话
2. 账号仍处于七日冷静期</x:v>
      </x:c>
      <x:c r="J98" s="4" t="str">
        <x:v>1. 进入「登录与注册」页
2. 打开「注销冷静期」视图
3. 点击「取消注销」</x:v>
      </x:c>
      <x:c r="K98" s="4" t="str">
        <x:v>页面进入首页</x:v>
      </x:c>
      <x:c r="L98" s="4" t="str"/>
      <x:c r="M98" s="4" t="str">
        <x:v>未测</x:v>
      </x:c>
      <x:c r="N98" s="4" t="str"/>
      <x:c r="O98" s="4" t="str">
        <x:v>1. 来源：MainBasis/统一需求文档.md；U-views_auth-login-register_deletion-cooling-007、U-settings-023
2. 场景：SC-967be915c8fbe0</x:v>
      </x:c>
    </x:row>
    <x:row r="99" ht="82" customHeight="1">
      <x:c r="A99" s="4" t="n">
        <x:v>98</x:v>
      </x:c>
      <x:c r="B99" s="4" t="str">
        <x:v>USER-0098</x:v>
      </x:c>
      <x:c r="C99" s="4" t="str">
        <x:v>M01 账号、登录、资料与设置</x:v>
      </x:c>
      <x:c r="D99" s="4" t="str">
        <x:v>注销冷静期（待登录用户视角）</x:v>
      </x:c>
      <x:c r="E99" s="4" t="str">
        <x:v>功能需求</x:v>
      </x:c>
      <x:c r="F99" s="4" t="str">
        <x:v>P1</x:v>
      </x:c>
      <x:c r="G99" s="4" t="str">
        <x:v>验证取消注销后保留账号资料</x:v>
      </x:c>
      <x:c r="H99" s="4" t="str">
        <x:v>取消注销后保留账号资料</x:v>
      </x:c>
      <x:c r="I99" s="4" t="str">
        <x:v>1. 执行者为待登录用户，尚未建立登录会话
2. 注销申请前已记录账号资料
3. 账号处于七日冷静期</x:v>
      </x:c>
      <x:c r="J99" s="4" t="str">
        <x:v>1. 进入「登录与注册」页
2. 打开「注销冷静期」视图
3. 点击「取消注销」
4. 查看原有账号资料</x:v>
      </x:c>
      <x:c r="K99" s="4" t="str">
        <x:v>账号资料与提交注销前一致</x:v>
      </x:c>
      <x:c r="L99" s="4" t="str"/>
      <x:c r="M99" s="4" t="str">
        <x:v>未测</x:v>
      </x:c>
      <x:c r="N99" s="4" t="str"/>
      <x:c r="O99" s="4" t="str">
        <x:v>1. 来源：MainBasis/统一需求文档.md；U-views_auth-login-register_deletion-cooling-004、U-views_auth-login-register_deletion-cooling-006、U-settings-013
2. 场景：SC-3addeb497c38be</x:v>
      </x:c>
    </x:row>
    <x:row r="100" ht="82" customHeight="1">
      <x:c r="A100" s="4" t="n">
        <x:v>99</x:v>
      </x:c>
      <x:c r="B100" s="4" t="str">
        <x:v>USER-0099</x:v>
      </x:c>
      <x:c r="C100" s="4" t="str">
        <x:v>M01 账号、登录、资料与设置</x:v>
      </x:c>
      <x:c r="D100" s="4" t="str">
        <x:v>注销冷静期（待登录用户视角）</x:v>
      </x:c>
      <x:c r="E100" s="4" t="str">
        <x:v>功能需求</x:v>
      </x:c>
      <x:c r="F100" s="4" t="str">
        <x:v>P1</x:v>
      </x:c>
      <x:c r="G100" s="4" t="str">
        <x:v>验证取消注销后保留金币资产</x:v>
      </x:c>
      <x:c r="H100" s="4" t="str">
        <x:v>取消注销后保留金币资产</x:v>
      </x:c>
      <x:c r="I100" s="4" t="str">
        <x:v>1. 执行者为待登录用户，尚未建立登录会话
2. 注销申请前已记录金币资产
3. 账号处于七日冷静期</x:v>
      </x:c>
      <x:c r="J100" s="4" t="str">
        <x:v>1. 进入「登录与注册」页
2. 打开「注销冷静期」视图
3. 点击「取消注销」
4. 查看原有金币资产</x:v>
      </x:c>
      <x:c r="K100" s="4" t="str">
        <x:v>金币资产与提交注销前一致</x:v>
      </x:c>
      <x:c r="L100" s="4" t="str"/>
      <x:c r="M100" s="4" t="str">
        <x:v>未测</x:v>
      </x:c>
      <x:c r="N100" s="4" t="str"/>
      <x:c r="O100" s="4" t="str">
        <x:v>1. 来源：MainBasis/统一需求文档.md；U-views_auth-login-register_deletion-cooling-004、U-views_auth-login-register_deletion-cooling-006、U-settings-013
2. 场景：SC-872e2346fcd5f6</x:v>
      </x:c>
    </x:row>
    <x:row r="101" ht="82" customHeight="1">
      <x:c r="A101" s="4" t="n">
        <x:v>100</x:v>
      </x:c>
      <x:c r="B101" s="4" t="str">
        <x:v>USER-0100</x:v>
      </x:c>
      <x:c r="C101" s="4" t="str">
        <x:v>M01 账号、登录、资料与设置</x:v>
      </x:c>
      <x:c r="D101" s="4" t="str">
        <x:v>注销冷静期（待登录用户视角）</x:v>
      </x:c>
      <x:c r="E101" s="4" t="str">
        <x:v>功能需求</x:v>
      </x:c>
      <x:c r="F101" s="4" t="str">
        <x:v>P1</x:v>
      </x:c>
      <x:c r="G101" s="4" t="str">
        <x:v>验证取消注销后保留关注关系</x:v>
      </x:c>
      <x:c r="H101" s="4" t="str">
        <x:v>取消注销后保留关注关系</x:v>
      </x:c>
      <x:c r="I101" s="4" t="str">
        <x:v>1. 执行者为待登录用户，尚未建立登录会话
2. 注销申请前已记录关注关系
3. 账号处于七日冷静期</x:v>
      </x:c>
      <x:c r="J101" s="4" t="str">
        <x:v>1. 进入「登录与注册」页
2. 打开「注销冷静期」视图
3. 点击「取消注销」
4. 查看原有关注关系</x:v>
      </x:c>
      <x:c r="K101" s="4" t="str">
        <x:v>关注关系与提交注销前一致</x:v>
      </x:c>
      <x:c r="L101" s="4" t="str"/>
      <x:c r="M101" s="4" t="str">
        <x:v>未测</x:v>
      </x:c>
      <x:c r="N101" s="4" t="str"/>
      <x:c r="O101" s="4" t="str">
        <x:v>1. 来源：MainBasis/统一需求文档.md；U-views_auth-login-register_deletion-cooling-004、U-views_auth-login-register_deletion-cooling-006、U-settings-013
2. 场景：SC-042213fcf08afe</x:v>
      </x:c>
    </x:row>
    <x:row r="102" ht="82" customHeight="1">
      <x:c r="A102" s="4" t="n">
        <x:v>101</x:v>
      </x:c>
      <x:c r="B102" s="4" t="str">
        <x:v>USER-0101</x:v>
      </x:c>
      <x:c r="C102" s="4" t="str">
        <x:v>M01 账号、登录、资料与设置</x:v>
      </x:c>
      <x:c r="D102" s="4" t="str">
        <x:v>注销冷静期（待登录用户视角）</x:v>
      </x:c>
      <x:c r="E102" s="4" t="str">
        <x:v>功能需求</x:v>
      </x:c>
      <x:c r="F102" s="4" t="str">
        <x:v>P1</x:v>
      </x:c>
      <x:c r="G102" s="4" t="str">
        <x:v>验证取消注销后保留好友关系</x:v>
      </x:c>
      <x:c r="H102" s="4" t="str">
        <x:v>取消注销后保留好友关系</x:v>
      </x:c>
      <x:c r="I102" s="4" t="str">
        <x:v>1. 执行者为待登录用户，尚未建立登录会话
2. 注销申请前已记录好友关系
3. 账号处于七日冷静期</x:v>
      </x:c>
      <x:c r="J102" s="4" t="str">
        <x:v>1. 进入「登录与注册」页
2. 打开「注销冷静期」视图
3. 点击「取消注销」
4. 查看原有好友关系</x:v>
      </x:c>
      <x:c r="K102" s="4" t="str">
        <x:v>好友关系与提交注销前一致</x:v>
      </x:c>
      <x:c r="L102" s="4" t="str"/>
      <x:c r="M102" s="4" t="str">
        <x:v>未测</x:v>
      </x:c>
      <x:c r="N102" s="4" t="str"/>
      <x:c r="O102" s="4" t="str">
        <x:v>1. 来源：MainBasis/统一需求文档.md；U-views_auth-login-register_deletion-cooling-004、U-views_auth-login-register_deletion-cooling-006、U-settings-013
2. 场景：SC-4eb6dd1e0ac780</x:v>
      </x:c>
    </x:row>
    <x:row r="103" ht="82" customHeight="1">
      <x:c r="A103" s="4" t="n">
        <x:v>102</x:v>
      </x:c>
      <x:c r="B103" s="4" t="str">
        <x:v>USER-0102</x:v>
      </x:c>
      <x:c r="C103" s="4" t="str">
        <x:v>M01 账号、登录、资料与设置</x:v>
      </x:c>
      <x:c r="D103" s="4" t="str">
        <x:v>注销冷静期（待登录用户视角）</x:v>
      </x:c>
      <x:c r="E103" s="4" t="str">
        <x:v>功能需求</x:v>
      </x:c>
      <x:c r="F103" s="4" t="str">
        <x:v>P1</x:v>
      </x:c>
      <x:c r="G103" s="4" t="str">
        <x:v>验证取消注销后保留聊天记录</x:v>
      </x:c>
      <x:c r="H103" s="4" t="str">
        <x:v>取消注销后保留聊天记录</x:v>
      </x:c>
      <x:c r="I103" s="4" t="str">
        <x:v>1. 执行者为待登录用户，尚未建立登录会话
2. 注销申请前已记录聊天记录
3. 账号处于七日冷静期</x:v>
      </x:c>
      <x:c r="J103" s="4" t="str">
        <x:v>1. 进入「登录与注册」页
2. 打开「注销冷静期」视图
3. 点击「取消注销」
4. 查看原有聊天记录</x:v>
      </x:c>
      <x:c r="K103" s="4" t="str">
        <x:v>聊天记录与提交注销前一致</x:v>
      </x:c>
      <x:c r="L103" s="4" t="str"/>
      <x:c r="M103" s="4" t="str">
        <x:v>未测</x:v>
      </x:c>
      <x:c r="N103" s="4" t="str"/>
      <x:c r="O103" s="4" t="str">
        <x:v>1. 来源：MainBasis/统一需求文档.md；U-views_auth-login-register_deletion-cooling-004、U-views_auth-login-register_deletion-cooling-006、U-settings-013
2. 场景：SC-2b2bf4445250f1</x:v>
      </x:c>
    </x:row>
    <x:row r="104" ht="82" customHeight="1">
      <x:c r="A104" s="4" t="n">
        <x:v>103</x:v>
      </x:c>
      <x:c r="B104" s="4" t="str">
        <x:v>USER-0103</x:v>
      </x:c>
      <x:c r="C104" s="4" t="str">
        <x:v>M01 账号、登录、资料与设置</x:v>
      </x:c>
      <x:c r="D104" s="4" t="str">
        <x:v>注销冷静期（待登录用户视角）</x:v>
      </x:c>
      <x:c r="E104" s="4" t="str">
        <x:v>功能需求</x:v>
      </x:c>
      <x:c r="F104" s="4" t="str">
        <x:v>P1</x:v>
      </x:c>
      <x:c r="G104" s="4" t="str">
        <x:v>验证取消注销后保留创建的粉丝团</x:v>
      </x:c>
      <x:c r="H104" s="4" t="str">
        <x:v>取消注销后保留创建的粉丝团</x:v>
      </x:c>
      <x:c r="I104" s="4" t="str">
        <x:v>1. 执行者为待登录用户，尚未建立登录会话
2. 注销申请前已记录创建的粉丝团
3. 账号处于七日冷静期</x:v>
      </x:c>
      <x:c r="J104" s="4" t="str">
        <x:v>1. 进入「登录与注册」页
2. 打开「注销冷静期」视图
3. 点击「取消注销」
4. 查看原有创建的粉丝团</x:v>
      </x:c>
      <x:c r="K104" s="4" t="str">
        <x:v>创建的粉丝团与提交注销前一致</x:v>
      </x:c>
      <x:c r="L104" s="4" t="str"/>
      <x:c r="M104" s="4" t="str">
        <x:v>未测</x:v>
      </x:c>
      <x:c r="N104" s="4" t="str"/>
      <x:c r="O104" s="4" t="str">
        <x:v>1. 来源：MainBasis/统一需求文档.md；U-views_auth-login-register_deletion-cooling-004、U-views_auth-login-register_deletion-cooling-006、U-settings-013
2. 场景：SC-7c5b0211561705</x:v>
      </x:c>
    </x:row>
    <x:row r="105" ht="54" customHeight="1">
      <x:c r="A105" s="4" t="n">
        <x:v>104</x:v>
      </x:c>
      <x:c r="B105" s="4" t="str">
        <x:v>USER-0104</x:v>
      </x:c>
      <x:c r="C105" s="4" t="str">
        <x:v>M01 账号、登录、资料与设置</x:v>
      </x:c>
      <x:c r="D105" s="4" t="str">
        <x:v>资料补全（待登录用户视角）</x:v>
      </x:c>
      <x:c r="E105" s="4" t="str">
        <x:v>异常用例</x:v>
      </x:c>
      <x:c r="F105" s="4" t="str">
        <x:v>P1</x:v>
      </x:c>
      <x:c r="G105" s="4" t="str">
        <x:v>验证昵称0字符限制</x:v>
      </x:c>
      <x:c r="H105" s="4" t="str">
        <x:v>昵称0字符限制</x:v>
      </x:c>
      <x:c r="I105" s="4" t="str">
        <x:v>1. 执行者为待登录用户，尚未建立登录会话
2. 其他必填字段为合法值</x:v>
      </x:c>
      <x:c r="J105" s="4" t="str">
        <x:v>1. 进入「资料补全」页
2. 清空「昵称」
3. 点击「保存」</x:v>
      </x:c>
      <x:c r="K105" s="4" t="str">
        <x:v>昵称未通过校验，无法保存</x:v>
      </x:c>
      <x:c r="L105" s="4" t="str"/>
      <x:c r="M105" s="4" t="str">
        <x:v>未测</x:v>
      </x:c>
      <x:c r="N105" s="4" t="str"/>
      <x:c r="O105" s="4" t="str">
        <x:v>1. 来源：MainBasis/统一需求文档.md；U-auth-profile-completion-003
2. 场景：SC-805f304f90418f</x:v>
      </x:c>
    </x:row>
    <x:row r="106" ht="54" customHeight="1">
      <x:c r="A106" s="4" t="n">
        <x:v>105</x:v>
      </x:c>
      <x:c r="B106" s="4" t="str">
        <x:v>USER-0105</x:v>
      </x:c>
      <x:c r="C106" s="4" t="str">
        <x:v>M01 账号、登录、资料与设置</x:v>
      </x:c>
      <x:c r="D106" s="4" t="str">
        <x:v>资料补全（待登录用户视角）</x:v>
      </x:c>
      <x:c r="E106" s="4" t="str">
        <x:v>逻辑校验</x:v>
      </x:c>
      <x:c r="F106" s="4" t="str">
        <x:v>P1</x:v>
      </x:c>
      <x:c r="G106" s="4" t="str">
        <x:v>验证昵称1字符可填写</x:v>
      </x:c>
      <x:c r="H106" s="4" t="str">
        <x:v>昵称1字符可填写</x:v>
      </x:c>
      <x:c r="I106" s="4" t="str">
        <x:v>1. 执行者为待登录用户，尚未建立登录会话
2. 其他必填字段为合法值</x:v>
      </x:c>
      <x:c r="J106" s="4" t="str">
        <x:v>1. 进入「资料补全」页
2. 在「昵称」输入1个「测」字符
3. 点击「保存」</x:v>
      </x:c>
      <x:c r="K106" s="4" t="str">
        <x:v>「昵称」保留1个字符</x:v>
      </x:c>
      <x:c r="L106" s="4" t="str"/>
      <x:c r="M106" s="4" t="str">
        <x:v>未测</x:v>
      </x:c>
      <x:c r="N106" s="4" t="str"/>
      <x:c r="O106" s="4" t="str">
        <x:v>1. 来源：MainBasis/统一需求文档.md；U-auth-profile-completion-003
2. 场景：SC-2d277b2aeededa</x:v>
      </x:c>
    </x:row>
    <x:row r="107" ht="54" customHeight="1">
      <x:c r="A107" s="4" t="n">
        <x:v>106</x:v>
      </x:c>
      <x:c r="B107" s="4" t="str">
        <x:v>USER-0106</x:v>
      </x:c>
      <x:c r="C107" s="4" t="str">
        <x:v>M01 账号、登录、资料与设置</x:v>
      </x:c>
      <x:c r="D107" s="4" t="str">
        <x:v>资料补全（待登录用户视角）</x:v>
      </x:c>
      <x:c r="E107" s="4" t="str">
        <x:v>逻辑校验</x:v>
      </x:c>
      <x:c r="F107" s="4" t="str">
        <x:v>P1</x:v>
      </x:c>
      <x:c r="G107" s="4" t="str">
        <x:v>验证昵称19字符可填写</x:v>
      </x:c>
      <x:c r="H107" s="4" t="str">
        <x:v>昵称19字符可填写</x:v>
      </x:c>
      <x:c r="I107" s="4" t="str">
        <x:v>1. 执行者为待登录用户，尚未建立登录会话
2. 其他必填字段为合法值</x:v>
      </x:c>
      <x:c r="J107" s="4" t="str">
        <x:v>1. 进入「资料补全」页
2. 在「昵称」输入19个「测」字符
3. 点击「保存」</x:v>
      </x:c>
      <x:c r="K107" s="4" t="str">
        <x:v>「昵称」保留19个字符</x:v>
      </x:c>
      <x:c r="L107" s="4" t="str"/>
      <x:c r="M107" s="4" t="str">
        <x:v>未测</x:v>
      </x:c>
      <x:c r="N107" s="4" t="str"/>
      <x:c r="O107" s="4" t="str">
        <x:v>1. 来源：MainBasis/统一需求文档.md；U-auth-profile-completion-003
2. 场景：SC-f800e38e3a03a7</x:v>
      </x:c>
    </x:row>
    <x:row r="108" ht="54" customHeight="1">
      <x:c r="A108" s="4" t="n">
        <x:v>107</x:v>
      </x:c>
      <x:c r="B108" s="4" t="str">
        <x:v>USER-0107</x:v>
      </x:c>
      <x:c r="C108" s="4" t="str">
        <x:v>M01 账号、登录、资料与设置</x:v>
      </x:c>
      <x:c r="D108" s="4" t="str">
        <x:v>资料补全（待登录用户视角）</x:v>
      </x:c>
      <x:c r="E108" s="4" t="str">
        <x:v>逻辑校验</x:v>
      </x:c>
      <x:c r="F108" s="4" t="str">
        <x:v>P1</x:v>
      </x:c>
      <x:c r="G108" s="4" t="str">
        <x:v>验证昵称20字符可填写</x:v>
      </x:c>
      <x:c r="H108" s="4" t="str">
        <x:v>昵称20字符可填写</x:v>
      </x:c>
      <x:c r="I108" s="4" t="str">
        <x:v>1. 执行者为待登录用户，尚未建立登录会话
2. 其他必填字段为合法值</x:v>
      </x:c>
      <x:c r="J108" s="4" t="str">
        <x:v>1. 进入「资料补全」页
2. 在「昵称」输入20个「测」字符
3. 点击「保存」</x:v>
      </x:c>
      <x:c r="K108" s="4" t="str">
        <x:v>「昵称」保留20个字符</x:v>
      </x:c>
      <x:c r="L108" s="4" t="str"/>
      <x:c r="M108" s="4" t="str">
        <x:v>未测</x:v>
      </x:c>
      <x:c r="N108" s="4" t="str"/>
      <x:c r="O108" s="4" t="str">
        <x:v>1. 来源：MainBasis/统一需求文档.md；U-auth-profile-completion-003
2. 场景：SC-9955dcb5dda2e5</x:v>
      </x:c>
    </x:row>
    <x:row r="109" ht="54" customHeight="1">
      <x:c r="A109" s="4" t="n">
        <x:v>108</x:v>
      </x:c>
      <x:c r="B109" s="4" t="str">
        <x:v>USER-0108</x:v>
      </x:c>
      <x:c r="C109" s="4" t="str">
        <x:v>M01 账号、登录、资料与设置</x:v>
      </x:c>
      <x:c r="D109" s="4" t="str">
        <x:v>资料补全（待登录用户视角）</x:v>
      </x:c>
      <x:c r="E109" s="4" t="str">
        <x:v>异常用例</x:v>
      </x:c>
      <x:c r="F109" s="4" t="str">
        <x:v>P1</x:v>
      </x:c>
      <x:c r="G109" s="4" t="str">
        <x:v>验证昵称21字符限制</x:v>
      </x:c>
      <x:c r="H109" s="4" t="str">
        <x:v>昵称21字符限制</x:v>
      </x:c>
      <x:c r="I109" s="4" t="str">
        <x:v>1. 执行者为待登录用户，尚未建立登录会话
2. 其他必填字段为合法值</x:v>
      </x:c>
      <x:c r="J109" s="4" t="str">
        <x:v>1. 进入「资料补全」页
2. 在「昵称」输入21个「测」字符
3. 点击「保存」</x:v>
      </x:c>
      <x:c r="K109" s="4" t="str">
        <x:v>昵称未通过校验，无法保存</x:v>
      </x:c>
      <x:c r="L109" s="4" t="str"/>
      <x:c r="M109" s="4" t="str">
        <x:v>未测</x:v>
      </x:c>
      <x:c r="N109" s="4" t="str"/>
      <x:c r="O109" s="4" t="str">
        <x:v>1. 来源：MainBasis/统一需求文档.md；U-auth-profile-completion-003
2. 场景：SC-296ff0b8197092</x:v>
      </x:c>
    </x:row>
    <x:row r="110" ht="68" customHeight="1">
      <x:c r="A110" s="4" t="n">
        <x:v>109</x:v>
      </x:c>
      <x:c r="B110" s="4" t="str">
        <x:v>USER-0109</x:v>
      </x:c>
      <x:c r="C110" s="4" t="str">
        <x:v>M01 账号、登录、资料与设置</x:v>
      </x:c>
      <x:c r="D110" s="4" t="str">
        <x:v>资料补全（待登录用户视角）</x:v>
      </x:c>
      <x:c r="E110" s="4" t="str">
        <x:v>功能需求</x:v>
      </x:c>
      <x:c r="F110" s="4" t="str">
        <x:v>P1</x:v>
      </x:c>
      <x:c r="G110" s="4" t="str">
        <x:v>验证跳过资料补全保留默认资料</x:v>
      </x:c>
      <x:c r="H110" s="4" t="str">
        <x:v>跳过资料补全保留默认资料</x:v>
      </x:c>
      <x:c r="I110" s="4" t="str">
        <x:v>1. 执行者为待登录用户，尚未建立登录会话
2. 账号为首次授权的新账号</x:v>
      </x:c>
      <x:c r="J110" s="4" t="str">
        <x:v>1. 进入「资料补全」页
2. 点击「跳过」
3. 进入「我的」页</x:v>
      </x:c>
      <x:c r="K110" s="4" t="str">
        <x:v>头像和昵称仍为系统默认资料</x:v>
      </x:c>
      <x:c r="L110" s="4" t="str"/>
      <x:c r="M110" s="4" t="str">
        <x:v>未测</x:v>
      </x:c>
      <x:c r="N110" s="4" t="str"/>
      <x:c r="O110" s="4" t="str">
        <x:v>1. 来源：MainBasis/统一需求文档.md；U-auth-profile-completion-002、U-auth-profile-completion-006
2. 场景：SC-14b248b105fdca</x:v>
      </x:c>
    </x:row>
    <x:row r="111" ht="68" customHeight="1">
      <x:c r="A111" s="4" t="n">
        <x:v>110</x:v>
      </x:c>
      <x:c r="B111" s="4" t="str">
        <x:v>USER-0110</x:v>
      </x:c>
      <x:c r="C111" s="4" t="str">
        <x:v>M01 账号、登录、资料与设置</x:v>
      </x:c>
      <x:c r="D111" s="4" t="str">
        <x:v>手机号登录（待登录用户视角）</x:v>
      </x:c>
      <x:c r="E111" s="4" t="str">
        <x:v>功能需求</x:v>
      </x:c>
      <x:c r="F111" s="4" t="str">
        <x:v>P2</x:v>
      </x:c>
      <x:c r="G111" s="4" t="str">
        <x:v>验证手机号回显</x:v>
      </x:c>
      <x:c r="H111" s="4" t="str">
        <x:v>手机号回显</x:v>
      </x:c>
      <x:c r="I111" s="4" t="str">
        <x:v>1. 执行者为待登录用户，尚未建立登录会话
2. 所选对象存在，已记录该对象的手机号值</x:v>
      </x:c>
      <x:c r="J111" s="4" t="str">
        <x:v>1. 进入「手机号登录」页
2. 查看手机号回显</x:v>
      </x:c>
      <x:c r="K111" s="4" t="str">
        <x:v>「手机号」内容与所选对象的该项资料一致</x:v>
      </x:c>
      <x:c r="L111" s="4" t="str"/>
      <x:c r="M111" s="4" t="str">
        <x:v>未测</x:v>
      </x:c>
      <x:c r="N111" s="4" t="str"/>
      <x:c r="O111" s="4" t="str">
        <x:v>1. 来源：MainBasis/统一需求文档.md；U-auth-phone-login-003
2. 场景：SC-50e07034ccabed</x:v>
      </x:c>
    </x:row>
    <x:row r="112" ht="82" customHeight="1">
      <x:c r="A112" s="4" t="n">
        <x:v>111</x:v>
      </x:c>
      <x:c r="B112" s="4" t="str">
        <x:v>USER-0111</x:v>
      </x:c>
      <x:c r="C112" s="4" t="str">
        <x:v>M01 账号、登录、资料与设置</x:v>
      </x:c>
      <x:c r="D112" s="4" t="str">
        <x:v>手机号登录（待登录用户视角）</x:v>
      </x:c>
      <x:c r="E112" s="4" t="str">
        <x:v>功能需求</x:v>
      </x:c>
      <x:c r="F112" s="4" t="str">
        <x:v>P1</x:v>
      </x:c>
      <x:c r="G112" s="4" t="str">
        <x:v>验证手机号凭证验证成功命中注销冷静期</x:v>
      </x:c>
      <x:c r="H112" s="4" t="str">
        <x:v>手机号凭证验证成功命中注销冷静期</x:v>
      </x:c>
      <x:c r="I112" s="4" t="str">
        <x:v>1. 执行者为待登录用户，尚未建立登录会话
2. 账号提交注销后尚未满七日</x:v>
      </x:c>
      <x:c r="J112" s="4" t="str">
        <x:v>1. 进入「手机号登录」页
2. 填写有效手机号和验证码，勾选协议后点击继续</x:v>
      </x:c>
      <x:c r="K112" s="4" t="str">
        <x:v>展示注销冷静期弹窗</x:v>
      </x:c>
      <x:c r="L112" s="4" t="str"/>
      <x:c r="M112" s="4" t="str">
        <x:v>未测</x:v>
      </x:c>
      <x:c r="N112" s="4" t="str"/>
      <x:c r="O112" s="4" t="str">
        <x:v>1. 来源：MainBasis/统一需求文档.md；U-auth-login-register-014、U-auth-login-register-021、U-auth-phone-login-008、U-auth-phone-login-013
2. 场景：SC-9b76fb484644e3</x:v>
      </x:c>
    </x:row>
    <x:row r="113" ht="54" customHeight="1">
      <x:c r="A113" s="4" t="n">
        <x:v>112</x:v>
      </x:c>
      <x:c r="B113" s="4" t="str">
        <x:v>USER-0112</x:v>
      </x:c>
      <x:c r="C113" s="4" t="str">
        <x:v>M01 账号、登录、资料与设置</x:v>
      </x:c>
      <x:c r="D113" s="4" t="str">
        <x:v>手机号登录（待登录用户视角）</x:v>
      </x:c>
      <x:c r="E113" s="4" t="str">
        <x:v>功能需求</x:v>
      </x:c>
      <x:c r="F113" s="4" t="str">
        <x:v>P1</x:v>
      </x:c>
      <x:c r="G113" s="4" t="str">
        <x:v>验证手机号默认登录方式</x:v>
      </x:c>
      <x:c r="H113" s="4" t="str">
        <x:v>手机号默认登录方式</x:v>
      </x:c>
      <x:c r="I113" s="4" t="str">
        <x:v>1. 执行者为待登录用户，尚未建立登录会话</x:v>
      </x:c>
      <x:c r="J113" s="4" t="str">
        <x:v>1. 进入「手机号登录」页
2. 查看手机号默认登录方式</x:v>
      </x:c>
      <x:c r="K113" s="4" t="str">
        <x:v>默认显示短信验证码登录表单</x:v>
      </x:c>
      <x:c r="L113" s="4" t="str"/>
      <x:c r="M113" s="4" t="str">
        <x:v>未测</x:v>
      </x:c>
      <x:c r="N113" s="4" t="str"/>
      <x:c r="O113" s="4" t="str">
        <x:v>1. 来源：MainBasis/统一需求文档.md；U-auth-phone-login-006
2. 场景：SC-61078fabf58a92</x:v>
      </x:c>
    </x:row>
    <x:row r="114" ht="54" customHeight="1">
      <x:c r="A114" s="4" t="n">
        <x:v>113</x:v>
      </x:c>
      <x:c r="B114" s="4" t="str">
        <x:v>USER-0113</x:v>
      </x:c>
      <x:c r="C114" s="4" t="str">
        <x:v>M01 账号、登录、资料与设置</x:v>
      </x:c>
      <x:c r="D114" s="4" t="str">
        <x:v>手机号登录（待登录用户视角）</x:v>
      </x:c>
      <x:c r="E114" s="4" t="str">
        <x:v>功能需求</x:v>
      </x:c>
      <x:c r="F114" s="4" t="str">
        <x:v>P1</x:v>
      </x:c>
      <x:c r="G114" s="4" t="str">
        <x:v>验证手机号切换密码登录</x:v>
      </x:c>
      <x:c r="H114" s="4" t="str">
        <x:v>手机号切换密码登录</x:v>
      </x:c>
      <x:c r="I114" s="4" t="str">
        <x:v>1. 执行者为待登录用户，尚未建立登录会话</x:v>
      </x:c>
      <x:c r="J114" s="4" t="str">
        <x:v>1. 进入「手机号登录」页
2. 点击「使用密码登录」</x:v>
      </x:c>
      <x:c r="K114" s="4" t="str">
        <x:v>显示密码输入字段</x:v>
      </x:c>
      <x:c r="L114" s="4" t="str"/>
      <x:c r="M114" s="4" t="str">
        <x:v>未测</x:v>
      </x:c>
      <x:c r="N114" s="4" t="str"/>
      <x:c r="O114" s="4" t="str">
        <x:v>1. 来源：MainBasis/统一需求文档.md；U-auth-phone-login-012
2. 场景：SC-f49550b271ec9d</x:v>
      </x:c>
    </x:row>
    <x:row r="115" ht="54" customHeight="1">
      <x:c r="A115" s="4" t="n">
        <x:v>114</x:v>
      </x:c>
      <x:c r="B115" s="4" t="str">
        <x:v>USER-0114</x:v>
      </x:c>
      <x:c r="C115" s="4" t="str">
        <x:v>M01 账号、登录、资料与设置</x:v>
      </x:c>
      <x:c r="D115" s="4" t="str">
        <x:v>手机号登录（待登录用户视角）</x:v>
      </x:c>
      <x:c r="E115" s="4" t="str">
        <x:v>功能需求</x:v>
      </x:c>
      <x:c r="F115" s="4" t="str">
        <x:v>P1</x:v>
      </x:c>
      <x:c r="G115" s="4" t="str">
        <x:v>验证手机号切换验证码登录</x:v>
      </x:c>
      <x:c r="H115" s="4" t="str">
        <x:v>手机号切换验证码登录</x:v>
      </x:c>
      <x:c r="I115" s="4" t="str">
        <x:v>1. 执行者为待登录用户，尚未建立登录会话</x:v>
      </x:c>
      <x:c r="J115" s="4" t="str">
        <x:v>1. 进入「手机号登录」页
2. 点击「使用短信验证码登录」</x:v>
      </x:c>
      <x:c r="K115" s="4" t="str">
        <x:v>显示验证码输入字段</x:v>
      </x:c>
      <x:c r="L115" s="4" t="str"/>
      <x:c r="M115" s="4" t="str">
        <x:v>未测</x:v>
      </x:c>
      <x:c r="N115" s="4" t="str"/>
      <x:c r="O115" s="4" t="str">
        <x:v>1. 来源：MainBasis/统一需求文档.md；U-auth-phone-login-012
2. 场景：SC-7f368860e5da04</x:v>
      </x:c>
    </x:row>
    <x:row r="116" ht="82" customHeight="1">
      <x:c r="A116" s="4" t="n">
        <x:v>115</x:v>
      </x:c>
      <x:c r="B116" s="4" t="str">
        <x:v>USER-0115</x:v>
      </x:c>
      <x:c r="C116" s="4" t="str">
        <x:v>M01 账号、登录、资料与设置</x:v>
      </x:c>
      <x:c r="D116" s="4" t="str">
        <x:v>手机号登录（待登录用户视角）</x:v>
      </x:c>
      <x:c r="E116" s="4" t="str">
        <x:v>功能需求</x:v>
      </x:c>
      <x:c r="F116" s="4" t="str">
        <x:v>P0</x:v>
      </x:c>
      <x:c r="G116" s="4" t="str">
        <x:v>验证手机号密码登录成功</x:v>
      </x:c>
      <x:c r="H116" s="4" t="str">
        <x:v>手机号密码登录成功</x:v>
      </x:c>
      <x:c r="I116" s="4" t="str">
        <x:v>1. 执行者为待登录用户，尚未建立登录会话
2. 已注册且未封禁的账号具备有效手机号和密码</x:v>
      </x:c>
      <x:c r="J116" s="4" t="str">
        <x:v>1. 进入「手机号登录」页
2. 选择密码登录
3. 填写账号手机号和有效密码
4. 勾选协议
5. 点击「继续」</x:v>
      </x:c>
      <x:c r="K116" s="4" t="str">
        <x:v>页面进入首页</x:v>
      </x:c>
      <x:c r="L116" s="4" t="str"/>
      <x:c r="M116" s="4" t="str">
        <x:v>未测</x:v>
      </x:c>
      <x:c r="N116" s="4" t="str"/>
      <x:c r="O116" s="4" t="str">
        <x:v>1. 来源：MainBasis/统一需求文档.md；U-auth-phone-login-010、D-SYS-045
2. 场景：SC-7b9a79dfc436c5</x:v>
      </x:c>
    </x:row>
    <x:row r="117" ht="82" customHeight="1">
      <x:c r="A117" s="4" t="n">
        <x:v>116</x:v>
      </x:c>
      <x:c r="B117" s="4" t="str">
        <x:v>USER-0116</x:v>
      </x:c>
      <x:c r="C117" s="4" t="str">
        <x:v>M01 账号、登录、资料与设置</x:v>
      </x:c>
      <x:c r="D117" s="4" t="str">
        <x:v>手机号登录（待登录用户视角）</x:v>
      </x:c>
      <x:c r="E117" s="4" t="str">
        <x:v>功能需求</x:v>
      </x:c>
      <x:c r="F117" s="4" t="str">
        <x:v>P0</x:v>
      </x:c>
      <x:c r="G117" s="4" t="str">
        <x:v>验证手机号验证码登录成功</x:v>
      </x:c>
      <x:c r="H117" s="4" t="str">
        <x:v>手机号验证码登录成功</x:v>
      </x:c>
      <x:c r="I117" s="4" t="str">
        <x:v>1. 执行者为待登录用户，尚未建立登录会话
2. 已注册且未封禁的账号具备有效手机号和验证码</x:v>
      </x:c>
      <x:c r="J117" s="4" t="str">
        <x:v>1. 进入「手机号登录」页
2. 选择验证码登录
3. 填写账号手机号和有效验证码
4. 勾选协议
5. 点击「继续」</x:v>
      </x:c>
      <x:c r="K117" s="4" t="str">
        <x:v>页面进入首页</x:v>
      </x:c>
      <x:c r="L117" s="4" t="str"/>
      <x:c r="M117" s="4" t="str">
        <x:v>未测</x:v>
      </x:c>
      <x:c r="N117" s="4" t="str"/>
      <x:c r="O117" s="4" t="str">
        <x:v>1. 来源：MainBasis/统一需求文档.md；U-auth-phone-login-010、D-SYS-045
2. 场景：SC-3c21946d5dedc2</x:v>
      </x:c>
    </x:row>
    <x:row r="118" ht="54" customHeight="1">
      <x:c r="A118" s="4" t="n">
        <x:v>117</x:v>
      </x:c>
      <x:c r="B118" s="4" t="str">
        <x:v>USER-0117</x:v>
      </x:c>
      <x:c r="C118" s="4" t="str">
        <x:v>M01 账号、登录、资料与设置</x:v>
      </x:c>
      <x:c r="D118" s="4" t="str">
        <x:v>手机号登录（待登录用户视角）</x:v>
      </x:c>
      <x:c r="E118" s="4" t="str">
        <x:v>异常用例</x:v>
      </x:c>
      <x:c r="F118" s="4" t="str">
        <x:v>P1</x:v>
      </x:c>
      <x:c r="G118" s="4" t="str">
        <x:v>验证手机号登录缺少手机号</x:v>
      </x:c>
      <x:c r="H118" s="4" t="str">
        <x:v>手机号登录缺少手机号</x:v>
      </x:c>
      <x:c r="I118" s="4" t="str">
        <x:v>1. 执行者为待登录用户，尚未建立登录会话
2. 其余登录条件已满足</x:v>
      </x:c>
      <x:c r="J118" s="4" t="str">
        <x:v>1. 进入「手机号登录」页
2. 清空「手机号」</x:v>
      </x:c>
      <x:c r="K118" s="4" t="str">
        <x:v>继续按钮不可用</x:v>
      </x:c>
      <x:c r="L118" s="4" t="str"/>
      <x:c r="M118" s="4" t="str">
        <x:v>未测</x:v>
      </x:c>
      <x:c r="N118" s="4" t="str"/>
      <x:c r="O118" s="4" t="str">
        <x:v>1. 来源：MainBasis/统一需求文档.md；U-auth-phone-login-010、D-SYS-045
2. 场景：SC-7f7410827ae857</x:v>
      </x:c>
    </x:row>
    <x:row r="119" ht="54" customHeight="1">
      <x:c r="A119" s="4" t="n">
        <x:v>118</x:v>
      </x:c>
      <x:c r="B119" s="4" t="str">
        <x:v>USER-0118</x:v>
      </x:c>
      <x:c r="C119" s="4" t="str">
        <x:v>M01 账号、登录、资料与设置</x:v>
      </x:c>
      <x:c r="D119" s="4" t="str">
        <x:v>手机号登录（待登录用户视角）</x:v>
      </x:c>
      <x:c r="E119" s="4" t="str">
        <x:v>异常用例</x:v>
      </x:c>
      <x:c r="F119" s="4" t="str">
        <x:v>P1</x:v>
      </x:c>
      <x:c r="G119" s="4" t="str">
        <x:v>验证手机号登录缺少协议</x:v>
      </x:c>
      <x:c r="H119" s="4" t="str">
        <x:v>手机号登录缺少协议</x:v>
      </x:c>
      <x:c r="I119" s="4" t="str">
        <x:v>1. 执行者为待登录用户，尚未建立登录会话
2. 其余登录条件已满足</x:v>
      </x:c>
      <x:c r="J119" s="4" t="str">
        <x:v>1. 进入「手机号登录」页
2. 取消勾选协议</x:v>
      </x:c>
      <x:c r="K119" s="4" t="str">
        <x:v>继续按钮不可用</x:v>
      </x:c>
      <x:c r="L119" s="4" t="str"/>
      <x:c r="M119" s="4" t="str">
        <x:v>未测</x:v>
      </x:c>
      <x:c r="N119" s="4" t="str"/>
      <x:c r="O119" s="4" t="str">
        <x:v>1. 来源：MainBasis/统一需求文档.md；U-auth-phone-login-010、D-SYS-045
2. 场景：SC-7e98a12d268dbd</x:v>
      </x:c>
    </x:row>
    <x:row r="120" ht="54" customHeight="1">
      <x:c r="A120" s="4" t="n">
        <x:v>119</x:v>
      </x:c>
      <x:c r="B120" s="4" t="str">
        <x:v>USER-0119</x:v>
      </x:c>
      <x:c r="C120" s="4" t="str">
        <x:v>M01 账号、登录、资料与设置</x:v>
      </x:c>
      <x:c r="D120" s="4" t="str">
        <x:v>手机号登录（待登录用户视角）</x:v>
      </x:c>
      <x:c r="E120" s="4" t="str">
        <x:v>异常用例</x:v>
      </x:c>
      <x:c r="F120" s="4" t="str">
        <x:v>P1</x:v>
      </x:c>
      <x:c r="G120" s="4" t="str">
        <x:v>验证密码缺失限制</x:v>
      </x:c>
      <x:c r="H120" s="4" t="str">
        <x:v>密码缺失限制</x:v>
      </x:c>
      <x:c r="I120" s="4" t="str">
        <x:v>1. 执行者为待登录用户，尚未建立登录会话
2. 其他必填字段为合法值</x:v>
      </x:c>
      <x:c r="J120" s="4" t="str">
        <x:v>1. 进入「手机号登录」页
2. 清空「密码」
3. 点击「继续」</x:v>
      </x:c>
      <x:c r="K120" s="4" t="str">
        <x:v>密码未填写，无法继续</x:v>
      </x:c>
      <x:c r="L120" s="4" t="str"/>
      <x:c r="M120" s="4" t="str">
        <x:v>未测</x:v>
      </x:c>
      <x:c r="N120" s="4" t="str"/>
      <x:c r="O120" s="4" t="str">
        <x:v>1. 来源：MainBasis/统一需求文档.md；U-auth-phone-login-005
2. 场景：SC-a10cd8f78fa3db</x:v>
      </x:c>
    </x:row>
    <x:row r="121" ht="54" customHeight="1">
      <x:c r="A121" s="4" t="n">
        <x:v>120</x:v>
      </x:c>
      <x:c r="B121" s="4" t="str">
        <x:v>USER-0120</x:v>
      </x:c>
      <x:c r="C121" s="4" t="str">
        <x:v>M01 账号、登录、资料与设置</x:v>
      </x:c>
      <x:c r="D121" s="4" t="str">
        <x:v>手机号登录（待登录用户视角）</x:v>
      </x:c>
      <x:c r="E121" s="4" t="str">
        <x:v>逻辑校验</x:v>
      </x:c>
      <x:c r="F121" s="4" t="str">
        <x:v>P1</x:v>
      </x:c>
      <x:c r="G121" s="4" t="str">
        <x:v>验证手机号验证码0位</x:v>
      </x:c>
      <x:c r="H121" s="4" t="str">
        <x:v>手机号验证码0位</x:v>
      </x:c>
      <x:c r="I121" s="4" t="str">
        <x:v>1. 执行者为待登录用户，尚未建立登录会话
2. 已注册手机号可接收验证码</x:v>
      </x:c>
      <x:c r="J121" s="4" t="str">
        <x:v>1. 进入「手机号登录」页
2. 清空验证码输入框
3. 查看继续按钮可用状态</x:v>
      </x:c>
      <x:c r="K121" s="4" t="str">
        <x:v>未形成6位验证码时不能继续登录；超过长度的输入不得作为7位验证码提交</x:v>
      </x:c>
      <x:c r="L121" s="4" t="str"/>
      <x:c r="M121" s="4" t="str">
        <x:v>未测</x:v>
      </x:c>
      <x:c r="N121" s="4" t="str"/>
      <x:c r="O121" s="4" t="str">
        <x:v>1. 来源：MainBasis/统一需求文档.md；U-auth-phone-login-004
2. 场景：SC-83585c39681ce6</x:v>
      </x:c>
    </x:row>
    <x:row r="122" ht="54" customHeight="1">
      <x:c r="A122" s="4" t="n">
        <x:v>121</x:v>
      </x:c>
      <x:c r="B122" s="4" t="str">
        <x:v>USER-0121</x:v>
      </x:c>
      <x:c r="C122" s="4" t="str">
        <x:v>M01 账号、登录、资料与设置</x:v>
      </x:c>
      <x:c r="D122" s="4" t="str">
        <x:v>手机号登录（待登录用户视角）</x:v>
      </x:c>
      <x:c r="E122" s="4" t="str">
        <x:v>逻辑校验</x:v>
      </x:c>
      <x:c r="F122" s="4" t="str">
        <x:v>P1</x:v>
      </x:c>
      <x:c r="G122" s="4" t="str">
        <x:v>验证手机号验证码5位</x:v>
      </x:c>
      <x:c r="H122" s="4" t="str">
        <x:v>手机号验证码5位</x:v>
      </x:c>
      <x:c r="I122" s="4" t="str">
        <x:v>1. 执行者为待登录用户，尚未建立登录会话
2. 已注册手机号可接收验证码</x:v>
      </x:c>
      <x:c r="J122" s="4" t="str">
        <x:v>1. 进入「手机号登录」页
2. 在验证码输入框输入5位数字
3. 查看继续按钮可用状态</x:v>
      </x:c>
      <x:c r="K122" s="4" t="str">
        <x:v>未形成6位验证码时不能继续登录；超过长度的输入不得作为7位验证码提交</x:v>
      </x:c>
      <x:c r="L122" s="4" t="str"/>
      <x:c r="M122" s="4" t="str">
        <x:v>未测</x:v>
      </x:c>
      <x:c r="N122" s="4" t="str"/>
      <x:c r="O122" s="4" t="str">
        <x:v>1. 来源：MainBasis/统一需求文档.md；U-auth-phone-login-004
2. 场景：SC-82e9904fdb97e0</x:v>
      </x:c>
    </x:row>
    <x:row r="123" ht="54" customHeight="1">
      <x:c r="A123" s="4" t="n">
        <x:v>122</x:v>
      </x:c>
      <x:c r="B123" s="4" t="str">
        <x:v>USER-0122</x:v>
      </x:c>
      <x:c r="C123" s="4" t="str">
        <x:v>M01 账号、登录、资料与设置</x:v>
      </x:c>
      <x:c r="D123" s="4" t="str">
        <x:v>手机号登录（待登录用户视角）</x:v>
      </x:c>
      <x:c r="E123" s="4" t="str">
        <x:v>逻辑校验</x:v>
      </x:c>
      <x:c r="F123" s="4" t="str">
        <x:v>P1</x:v>
      </x:c>
      <x:c r="G123" s="4" t="str">
        <x:v>验证手机号验证码6位</x:v>
      </x:c>
      <x:c r="H123" s="4" t="str">
        <x:v>手机号验证码6位</x:v>
      </x:c>
      <x:c r="I123" s="4" t="str">
        <x:v>1. 执行者为待登录用户，尚未建立登录会话
2. 已注册手机号可接收验证码</x:v>
      </x:c>
      <x:c r="J123" s="4" t="str">
        <x:v>1. 进入「手机号登录」页
2. 在验证码输入框输入6位数字</x:v>
      </x:c>
      <x:c r="K123" s="4" t="str">
        <x:v>验证码字段接受6位数字</x:v>
      </x:c>
      <x:c r="L123" s="4" t="str"/>
      <x:c r="M123" s="4" t="str">
        <x:v>未测</x:v>
      </x:c>
      <x:c r="N123" s="4" t="str"/>
      <x:c r="O123" s="4" t="str">
        <x:v>1. 来源：MainBasis/统一需求文档.md；U-auth-phone-login-004
2. 场景：SC-56712c275fafa9</x:v>
      </x:c>
    </x:row>
    <x:row r="124" ht="54" customHeight="1">
      <x:c r="A124" s="4" t="n">
        <x:v>123</x:v>
      </x:c>
      <x:c r="B124" s="4" t="str">
        <x:v>USER-0123</x:v>
      </x:c>
      <x:c r="C124" s="4" t="str">
        <x:v>M01 账号、登录、资料与设置</x:v>
      </x:c>
      <x:c r="D124" s="4" t="str">
        <x:v>手机号登录（待登录用户视角）</x:v>
      </x:c>
      <x:c r="E124" s="4" t="str">
        <x:v>逻辑校验</x:v>
      </x:c>
      <x:c r="F124" s="4" t="str">
        <x:v>P1</x:v>
      </x:c>
      <x:c r="G124" s="4" t="str">
        <x:v>验证手机号验证码7位</x:v>
      </x:c>
      <x:c r="H124" s="4" t="str">
        <x:v>手机号验证码7位</x:v>
      </x:c>
      <x:c r="I124" s="4" t="str">
        <x:v>1. 执行者为待登录用户，尚未建立登录会话
2. 已注册手机号可接收验证码</x:v>
      </x:c>
      <x:c r="J124" s="4" t="str">
        <x:v>1. 进入「手机号登录」页
2. 在验证码输入框输入7位数字
3. 查看继续按钮可用状态</x:v>
      </x:c>
      <x:c r="K124" s="4" t="str">
        <x:v>未形成6位验证码时不能继续登录；超过长度的输入不得作为7位验证码提交</x:v>
      </x:c>
      <x:c r="L124" s="4" t="str"/>
      <x:c r="M124" s="4" t="str">
        <x:v>未测</x:v>
      </x:c>
      <x:c r="N124" s="4" t="str"/>
      <x:c r="O124" s="4" t="str">
        <x:v>1. 来源：MainBasis/统一需求文档.md；U-auth-phone-login-004
2. 场景：SC-e1d285c762080f</x:v>
      </x:c>
    </x:row>
    <x:row r="125" ht="54" customHeight="1">
      <x:c r="A125" s="4" t="n">
        <x:v>124</x:v>
      </x:c>
      <x:c r="B125" s="4" t="str">
        <x:v>USER-0124</x:v>
      </x:c>
      <x:c r="C125" s="4" t="str">
        <x:v>M01 账号、登录、资料与设置</x:v>
      </x:c>
      <x:c r="D125" s="4" t="str">
        <x:v>手机号登录（待登录用户视角）</x:v>
      </x:c>
      <x:c r="E125" s="4" t="str">
        <x:v>异常用例</x:v>
      </x:c>
      <x:c r="F125" s="4" t="str">
        <x:v>P1</x:v>
      </x:c>
      <x:c r="G125" s="4" t="str">
        <x:v>验证手机号验证码非数字</x:v>
      </x:c>
      <x:c r="H125" s="4" t="str">
        <x:v>手机号验证码非数字</x:v>
      </x:c>
      <x:c r="I125" s="4" t="str">
        <x:v>1. 执行者为待登录用户，尚未建立登录会话
2. 已注册手机号可接收验证码</x:v>
      </x:c>
      <x:c r="J125" s="4" t="str">
        <x:v>1. 进入「手机号登录」页
2. 在验证码输入框输入「12345a」</x:v>
      </x:c>
      <x:c r="K125" s="4" t="str">
        <x:v>验证码不接受非数字输入</x:v>
      </x:c>
      <x:c r="L125" s="4" t="str"/>
      <x:c r="M125" s="4" t="str">
        <x:v>未测</x:v>
      </x:c>
      <x:c r="N125" s="4" t="str"/>
      <x:c r="O125" s="4" t="str">
        <x:v>1. 来源：MainBasis/统一需求文档.md；U-auth-phone-login-004
2. 场景：SC-4e9293315c6e1c</x:v>
      </x:c>
    </x:row>
    <x:row r="126" ht="82" customHeight="1">
      <x:c r="A126" s="4" t="n">
        <x:v>125</x:v>
      </x:c>
      <x:c r="B126" s="4" t="str">
        <x:v>USER-0125</x:v>
      </x:c>
      <x:c r="C126" s="4" t="str">
        <x:v>M01 账号、登录、资料与设置</x:v>
      </x:c>
      <x:c r="D126" s="4" t="str">
        <x:v>手机号登录（待登录用户视角）</x:v>
      </x:c>
      <x:c r="E126" s="4" t="str">
        <x:v>逻辑校验</x:v>
      </x:c>
      <x:c r="F126" s="4" t="str">
        <x:v>P1</x:v>
      </x:c>
      <x:c r="G126" s="4" t="str">
        <x:v>验证手机号验证码299秒有效期</x:v>
      </x:c>
      <x:c r="H126" s="4" t="str">
        <x:v>手机号验证码299秒有效期</x:v>
      </x:c>
      <x:c r="I126" s="4" t="str">
        <x:v>1. 执行者为待登录用户，尚未建立登录会话
2. 已获取正确验证码
3. 验证码从生成时起已过去299秒</x:v>
      </x:c>
      <x:c r="J126" s="4" t="str">
        <x:v>1. 进入「手机号登录」页
2. 输入该验证码
3. 勾选协议
4. 点击「继续」</x:v>
      </x:c>
      <x:c r="K126" s="4" t="str">
        <x:v>使用该验证码登录后进入首页</x:v>
      </x:c>
      <x:c r="L126" s="4" t="str"/>
      <x:c r="M126" s="4" t="str">
        <x:v>未测</x:v>
      </x:c>
      <x:c r="N126" s="4" t="str"/>
      <x:c r="O126" s="4" t="str">
        <x:v>1. 来源：MainBasis/统一需求文档.md；U-auth-phone-login-004
2. 场景：SC-40600e4dee797b</x:v>
      </x:c>
    </x:row>
    <x:row r="127" ht="82" customHeight="1">
      <x:c r="A127" s="4" t="n">
        <x:v>126</x:v>
      </x:c>
      <x:c r="B127" s="4" t="str">
        <x:v>USER-0126</x:v>
      </x:c>
      <x:c r="C127" s="4" t="str">
        <x:v>M01 账号、登录、资料与设置</x:v>
      </x:c>
      <x:c r="D127" s="4" t="str">
        <x:v>手机号登录（待登录用户视角）</x:v>
      </x:c>
      <x:c r="E127" s="4" t="str">
        <x:v>逻辑校验</x:v>
      </x:c>
      <x:c r="F127" s="4" t="str">
        <x:v>P1</x:v>
      </x:c>
      <x:c r="G127" s="4" t="str">
        <x:v>验证手机号验证码300秒有效期</x:v>
      </x:c>
      <x:c r="H127" s="4" t="str">
        <x:v>手机号验证码300秒有效期</x:v>
      </x:c>
      <x:c r="I127" s="4" t="str">
        <x:v>1. 执行者为待登录用户，尚未建立登录会话
2. 已获取正确验证码
3. 验证码从生成时起已过去300秒</x:v>
      </x:c>
      <x:c r="J127" s="4" t="str">
        <x:v>1. 进入「手机号登录」页
2. 输入该验证码
3. 勾选协议
4. 点击「继续」</x:v>
      </x:c>
      <x:c r="K127" s="4" t="str">
        <x:v>该验证码已过期，不能用于登录</x:v>
      </x:c>
      <x:c r="L127" s="4" t="str"/>
      <x:c r="M127" s="4" t="str">
        <x:v>未测</x:v>
      </x:c>
      <x:c r="N127" s="4" t="str"/>
      <x:c r="O127" s="4" t="str">
        <x:v>1. 来源：MainBasis/统一需求文档.md；U-auth-phone-login-004
2. 场景：SC-851884a4d0a789</x:v>
      </x:c>
    </x:row>
    <x:row r="128" ht="82" customHeight="1">
      <x:c r="A128" s="4" t="n">
        <x:v>127</x:v>
      </x:c>
      <x:c r="B128" s="4" t="str">
        <x:v>USER-0127</x:v>
      </x:c>
      <x:c r="C128" s="4" t="str">
        <x:v>M01 账号、登录、资料与设置</x:v>
      </x:c>
      <x:c r="D128" s="4" t="str">
        <x:v>手机号登录（待登录用户视角）</x:v>
      </x:c>
      <x:c r="E128" s="4" t="str">
        <x:v>逻辑校验</x:v>
      </x:c>
      <x:c r="F128" s="4" t="str">
        <x:v>P1</x:v>
      </x:c>
      <x:c r="G128" s="4" t="str">
        <x:v>验证手机号验证码301秒有效期</x:v>
      </x:c>
      <x:c r="H128" s="4" t="str">
        <x:v>手机号验证码301秒有效期</x:v>
      </x:c>
      <x:c r="I128" s="4" t="str">
        <x:v>1. 执行者为待登录用户，尚未建立登录会话
2. 已获取正确验证码
3. 验证码从生成时起已过去301秒</x:v>
      </x:c>
      <x:c r="J128" s="4" t="str">
        <x:v>1. 进入「手机号登录」页
2. 输入该验证码
3. 勾选协议
4. 点击「继续」</x:v>
      </x:c>
      <x:c r="K128" s="4" t="str">
        <x:v>该验证码已过期，不能用于登录</x:v>
      </x:c>
      <x:c r="L128" s="4" t="str"/>
      <x:c r="M128" s="4" t="str">
        <x:v>未测</x:v>
      </x:c>
      <x:c r="N128" s="4" t="str"/>
      <x:c r="O128" s="4" t="str">
        <x:v>1. 来源：MainBasis/统一需求文档.md；U-auth-phone-login-004
2. 场景：SC-4af98f2c7a9955</x:v>
      </x:c>
    </x:row>
    <x:row r="129" ht="82" customHeight="1">
      <x:c r="A129" s="4" t="n">
        <x:v>128</x:v>
      </x:c>
      <x:c r="B129" s="4" t="str">
        <x:v>USER-0128</x:v>
      </x:c>
      <x:c r="C129" s="4" t="str">
        <x:v>M01 账号、登录、资料与设置</x:v>
      </x:c>
      <x:c r="D129" s="4" t="str">
        <x:v>手机号登录（待登录用户视角）</x:v>
      </x:c>
      <x:c r="E129" s="4" t="str">
        <x:v>逻辑校验</x:v>
      </x:c>
      <x:c r="F129" s="4" t="str">
        <x:v>P1</x:v>
      </x:c>
      <x:c r="G129" s="4" t="str">
        <x:v>验证手机号验证码连续4次错误</x:v>
      </x:c>
      <x:c r="H129" s="4" t="str">
        <x:v>手机号验证码连续4次错误</x:v>
      </x:c>
      <x:c r="I129" s="4" t="str">
        <x:v>1. 执行者为待登录用户，尚未建立登录会话
2. 同一验证码尚在5分钟有效期内
3. 已连续提交错误验证码4次</x:v>
      </x:c>
      <x:c r="J129" s="4" t="str">
        <x:v>1. 进入「手机号登录」页
2. 输入该次发放的正确验证码
3. 勾选协议
4. 点击「继续」</x:v>
      </x:c>
      <x:c r="K129" s="4" t="str">
        <x:v>使用该验证码登录后进入首页</x:v>
      </x:c>
      <x:c r="L129" s="4" t="str"/>
      <x:c r="M129" s="4" t="str">
        <x:v>未测</x:v>
      </x:c>
      <x:c r="N129" s="4" t="str"/>
      <x:c r="O129" s="4" t="str">
        <x:v>1. 来源：MainBasis/统一需求文档.md；U-auth-phone-login-004
2. 场景：SC-00e9c96ab893de</x:v>
      </x:c>
    </x:row>
    <x:row r="130" ht="82" customHeight="1">
      <x:c r="A130" s="4" t="n">
        <x:v>129</x:v>
      </x:c>
      <x:c r="B130" s="4" t="str">
        <x:v>USER-0129</x:v>
      </x:c>
      <x:c r="C130" s="4" t="str">
        <x:v>M01 账号、登录、资料与设置</x:v>
      </x:c>
      <x:c r="D130" s="4" t="str">
        <x:v>手机号登录（待登录用户视角）</x:v>
      </x:c>
      <x:c r="E130" s="4" t="str">
        <x:v>逻辑校验</x:v>
      </x:c>
      <x:c r="F130" s="4" t="str">
        <x:v>P1</x:v>
      </x:c>
      <x:c r="G130" s="4" t="str">
        <x:v>验证手机号验证码连续5次错误</x:v>
      </x:c>
      <x:c r="H130" s="4" t="str">
        <x:v>手机号验证码连续5次错误</x:v>
      </x:c>
      <x:c r="I130" s="4" t="str">
        <x:v>1. 执行者为待登录用户，尚未建立登录会话
2. 同一验证码尚在5分钟有效期内
3. 已连续提交错误验证码5次</x:v>
      </x:c>
      <x:c r="J130" s="4" t="str">
        <x:v>1. 进入「手机号登录」页
2. 输入该次发放的正确验证码
3. 勾选协议
4. 点击「继续」</x:v>
      </x:c>
      <x:c r="K130" s="4" t="str">
        <x:v>当前验证码已失效，不能用于登录</x:v>
      </x:c>
      <x:c r="L130" s="4" t="str"/>
      <x:c r="M130" s="4" t="str">
        <x:v>未测</x:v>
      </x:c>
      <x:c r="N130" s="4" t="str"/>
      <x:c r="O130" s="4" t="str">
        <x:v>1. 来源：MainBasis/统一需求文档.md；U-auth-phone-login-004
2. 场景：SC-738571ea02680f</x:v>
      </x:c>
    </x:row>
    <x:row r="131" ht="68" customHeight="1">
      <x:c r="A131" s="4" t="n">
        <x:v>130</x:v>
      </x:c>
      <x:c r="B131" s="4" t="str">
        <x:v>USER-0130</x:v>
      </x:c>
      <x:c r="C131" s="4" t="str">
        <x:v>M01 账号、登录、资料与设置</x:v>
      </x:c>
      <x:c r="D131" s="4" t="str">
        <x:v>手机号登录（待登录用户视角）</x:v>
      </x:c>
      <x:c r="E131" s="4" t="str">
        <x:v>逻辑校验</x:v>
      </x:c>
      <x:c r="F131" s="4" t="str">
        <x:v>P1</x:v>
      </x:c>
      <x:c r="G131" s="4" t="str">
        <x:v>验证手机号验证码重发0秒</x:v>
      </x:c>
      <x:c r="H131" s="4" t="str">
        <x:v>手机号验证码重发0秒</x:v>
      </x:c>
      <x:c r="I131" s="4" t="str">
        <x:v>1. 执行者为待登录用户，尚未建立登录会话
2. 有效手机号已成功发送验证码
3. 距发送已过去0秒</x:v>
      </x:c>
      <x:c r="J131" s="4" t="str">
        <x:v>1. 进入「手机号登录」页
2. 查看「获取验证码」按钮</x:v>
      </x:c>
      <x:c r="K131" s="4" t="str">
        <x:v>获取验证码按钮不可用</x:v>
      </x:c>
      <x:c r="L131" s="4" t="str"/>
      <x:c r="M131" s="4" t="str">
        <x:v>未测</x:v>
      </x:c>
      <x:c r="N131" s="4" t="str"/>
      <x:c r="O131" s="4" t="str">
        <x:v>1. 来源：MainBasis/统一需求文档.md；U-auth-phone-login-009
2. 场景：SC-84b17badd66d56</x:v>
      </x:c>
    </x:row>
    <x:row r="132" ht="68" customHeight="1">
      <x:c r="A132" s="4" t="n">
        <x:v>131</x:v>
      </x:c>
      <x:c r="B132" s="4" t="str">
        <x:v>USER-0131</x:v>
      </x:c>
      <x:c r="C132" s="4" t="str">
        <x:v>M01 账号、登录、资料与设置</x:v>
      </x:c>
      <x:c r="D132" s="4" t="str">
        <x:v>手机号登录（待登录用户视角）</x:v>
      </x:c>
      <x:c r="E132" s="4" t="str">
        <x:v>逻辑校验</x:v>
      </x:c>
      <x:c r="F132" s="4" t="str">
        <x:v>P1</x:v>
      </x:c>
      <x:c r="G132" s="4" t="str">
        <x:v>验证手机号验证码重发59秒</x:v>
      </x:c>
      <x:c r="H132" s="4" t="str">
        <x:v>手机号验证码重发59秒</x:v>
      </x:c>
      <x:c r="I132" s="4" t="str">
        <x:v>1. 执行者为待登录用户，尚未建立登录会话
2. 有效手机号已成功发送验证码
3. 距发送已过去59秒</x:v>
      </x:c>
      <x:c r="J132" s="4" t="str">
        <x:v>1. 进入「手机号登录」页
2. 查看「获取验证码」按钮</x:v>
      </x:c>
      <x:c r="K132" s="4" t="str">
        <x:v>获取验证码按钮不可用</x:v>
      </x:c>
      <x:c r="L132" s="4" t="str"/>
      <x:c r="M132" s="4" t="str">
        <x:v>未测</x:v>
      </x:c>
      <x:c r="N132" s="4" t="str"/>
      <x:c r="O132" s="4" t="str">
        <x:v>1. 来源：MainBasis/统一需求文档.md；U-auth-phone-login-009
2. 场景：SC-f07e6f2855b5f1</x:v>
      </x:c>
    </x:row>
    <x:row r="133" ht="68" customHeight="1">
      <x:c r="A133" s="4" t="n">
        <x:v>132</x:v>
      </x:c>
      <x:c r="B133" s="4" t="str">
        <x:v>USER-0132</x:v>
      </x:c>
      <x:c r="C133" s="4" t="str">
        <x:v>M01 账号、登录、资料与设置</x:v>
      </x:c>
      <x:c r="D133" s="4" t="str">
        <x:v>手机号登录（待登录用户视角）</x:v>
      </x:c>
      <x:c r="E133" s="4" t="str">
        <x:v>逻辑校验</x:v>
      </x:c>
      <x:c r="F133" s="4" t="str">
        <x:v>P1</x:v>
      </x:c>
      <x:c r="G133" s="4" t="str">
        <x:v>验证手机号验证码重发60秒</x:v>
      </x:c>
      <x:c r="H133" s="4" t="str">
        <x:v>手机号验证码重发60秒</x:v>
      </x:c>
      <x:c r="I133" s="4" t="str">
        <x:v>1. 执行者为待登录用户，尚未建立登录会话
2. 有效手机号已成功发送验证码
3. 距发送已过去60秒</x:v>
      </x:c>
      <x:c r="J133" s="4" t="str">
        <x:v>1. 进入「手机号登录」页
2. 查看「获取验证码」按钮</x:v>
      </x:c>
      <x:c r="K133" s="4" t="str">
        <x:v>获取验证码按钮可再次使用</x:v>
      </x:c>
      <x:c r="L133" s="4" t="str"/>
      <x:c r="M133" s="4" t="str">
        <x:v>未测</x:v>
      </x:c>
      <x:c r="N133" s="4" t="str"/>
      <x:c r="O133" s="4" t="str">
        <x:v>1. 来源：MainBasis/统一需求文档.md；U-auth-phone-login-009
2. 场景：SC-2693ede3998842</x:v>
      </x:c>
    </x:row>
    <x:row r="134" ht="54" customHeight="1">
      <x:c r="A134" s="4" t="n">
        <x:v>133</x:v>
      </x:c>
      <x:c r="B134" s="4" t="str">
        <x:v>USER-0133</x:v>
      </x:c>
      <x:c r="C134" s="4" t="str">
        <x:v>M01 账号、登录、资料与设置</x:v>
      </x:c>
      <x:c r="D134" s="4" t="str">
        <x:v>手机号登录（待登录用户视角）</x:v>
      </x:c>
      <x:c r="E134" s="4" t="str">
        <x:v>逻辑校验</x:v>
      </x:c>
      <x:c r="F134" s="4" t="str">
        <x:v>P1</x:v>
      </x:c>
      <x:c r="G134" s="4" t="str">
        <x:v>验证手机号7位范围</x:v>
      </x:c>
      <x:c r="H134" s="4" t="str">
        <x:v>手机号7位范围</x:v>
      </x:c>
      <x:c r="I134" s="4" t="str">
        <x:v>1. 执行者为待登录用户，尚未建立登录会话</x:v>
      </x:c>
      <x:c r="J134" s="4" t="str">
        <x:v>1. 进入「手机号登录」页
2. 在手机号输入框输入7位数字
3. 查看获取验证码按钮</x:v>
      </x:c>
      <x:c r="K134" s="4" t="str">
        <x:v>7位手机号不能通过长度校验并用于获取验证码</x:v>
      </x:c>
      <x:c r="L134" s="4" t="str"/>
      <x:c r="M134" s="4" t="str">
        <x:v>未测</x:v>
      </x:c>
      <x:c r="N134" s="4" t="str"/>
      <x:c r="O134" s="4" t="str">
        <x:v>1. 来源：MainBasis/统一需求文档.md；U-auth-phone-login-003
2. 场景：SC-20ec463a56875c</x:v>
      </x:c>
    </x:row>
    <x:row r="135" ht="54" customHeight="1">
      <x:c r="A135" s="4" t="n">
        <x:v>134</x:v>
      </x:c>
      <x:c r="B135" s="4" t="str">
        <x:v>USER-0134</x:v>
      </x:c>
      <x:c r="C135" s="4" t="str">
        <x:v>M01 账号、登录、资料与设置</x:v>
      </x:c>
      <x:c r="D135" s="4" t="str">
        <x:v>手机号登录（待登录用户视角）</x:v>
      </x:c>
      <x:c r="E135" s="4" t="str">
        <x:v>逻辑校验</x:v>
      </x:c>
      <x:c r="F135" s="4" t="str">
        <x:v>P1</x:v>
      </x:c>
      <x:c r="G135" s="4" t="str">
        <x:v>验证手机号8位范围</x:v>
      </x:c>
      <x:c r="H135" s="4" t="str">
        <x:v>手机号8位范围</x:v>
      </x:c>
      <x:c r="I135" s="4" t="str">
        <x:v>1. 执行者为待登录用户，尚未建立登录会话</x:v>
      </x:c>
      <x:c r="J135" s="4" t="str">
        <x:v>1. 进入「手机号登录」页
2. 在手机号输入框输入8位数字
3. 查看获取验证码按钮</x:v>
      </x:c>
      <x:c r="K135" s="4" t="str">
        <x:v>获取验证码不因手机号长度8位而被阻止</x:v>
      </x:c>
      <x:c r="L135" s="4" t="str"/>
      <x:c r="M135" s="4" t="str">
        <x:v>未测</x:v>
      </x:c>
      <x:c r="N135" s="4" t="str"/>
      <x:c r="O135" s="4" t="str">
        <x:v>1. 来源：MainBasis/统一需求文档.md；U-auth-phone-login-003
2. 场景：SC-b27fdf49becae1</x:v>
      </x:c>
    </x:row>
    <x:row r="136" ht="54" customHeight="1">
      <x:c r="A136" s="4" t="n">
        <x:v>135</x:v>
      </x:c>
      <x:c r="B136" s="4" t="str">
        <x:v>USER-0135</x:v>
      </x:c>
      <x:c r="C136" s="4" t="str">
        <x:v>M01 账号、登录、资料与设置</x:v>
      </x:c>
      <x:c r="D136" s="4" t="str">
        <x:v>手机号登录（待登录用户视角）</x:v>
      </x:c>
      <x:c r="E136" s="4" t="str">
        <x:v>逻辑校验</x:v>
      </x:c>
      <x:c r="F136" s="4" t="str">
        <x:v>P1</x:v>
      </x:c>
      <x:c r="G136" s="4" t="str">
        <x:v>验证手机号15位范围</x:v>
      </x:c>
      <x:c r="H136" s="4" t="str">
        <x:v>手机号15位范围</x:v>
      </x:c>
      <x:c r="I136" s="4" t="str">
        <x:v>1. 执行者为待登录用户，尚未建立登录会话</x:v>
      </x:c>
      <x:c r="J136" s="4" t="str">
        <x:v>1. 进入「手机号登录」页
2. 在手机号输入框输入15位数字
3. 查看获取验证码按钮</x:v>
      </x:c>
      <x:c r="K136" s="4" t="str">
        <x:v>获取验证码不因手机号长度15位而被阻止</x:v>
      </x:c>
      <x:c r="L136" s="4" t="str"/>
      <x:c r="M136" s="4" t="str">
        <x:v>未测</x:v>
      </x:c>
      <x:c r="N136" s="4" t="str"/>
      <x:c r="O136" s="4" t="str">
        <x:v>1. 来源：MainBasis/统一需求文档.md；U-auth-phone-login-003
2. 场景：SC-856d3b10c30e2e</x:v>
      </x:c>
    </x:row>
    <x:row r="137" ht="54" customHeight="1">
      <x:c r="A137" s="4" t="n">
        <x:v>136</x:v>
      </x:c>
      <x:c r="B137" s="4" t="str">
        <x:v>USER-0136</x:v>
      </x:c>
      <x:c r="C137" s="4" t="str">
        <x:v>M01 账号、登录、资料与设置</x:v>
      </x:c>
      <x:c r="D137" s="4" t="str">
        <x:v>手机号登录（待登录用户视角）</x:v>
      </x:c>
      <x:c r="E137" s="4" t="str">
        <x:v>逻辑校验</x:v>
      </x:c>
      <x:c r="F137" s="4" t="str">
        <x:v>P1</x:v>
      </x:c>
      <x:c r="G137" s="4" t="str">
        <x:v>验证手机号16位范围</x:v>
      </x:c>
      <x:c r="H137" s="4" t="str">
        <x:v>手机号16位范围</x:v>
      </x:c>
      <x:c r="I137" s="4" t="str">
        <x:v>1. 执行者为待登录用户，尚未建立登录会话</x:v>
      </x:c>
      <x:c r="J137" s="4" t="str">
        <x:v>1. 进入「手机号登录」页
2. 在手机号输入框输入16位数字
3. 查看获取验证码按钮</x:v>
      </x:c>
      <x:c r="K137" s="4" t="str">
        <x:v>16位手机号不能通过长度校验并用于获取验证码</x:v>
      </x:c>
      <x:c r="L137" s="4" t="str"/>
      <x:c r="M137" s="4" t="str">
        <x:v>未测</x:v>
      </x:c>
      <x:c r="N137" s="4" t="str"/>
      <x:c r="O137" s="4" t="str">
        <x:v>1. 来源：MainBasis/统一需求文档.md；U-auth-phone-login-003
2. 场景：SC-d9e31b2338c1e8</x:v>
      </x:c>
    </x:row>
    <x:row r="138" ht="54" customHeight="1">
      <x:c r="A138" s="4" t="n">
        <x:v>137</x:v>
      </x:c>
      <x:c r="B138" s="4" t="str">
        <x:v>USER-0137</x:v>
      </x:c>
      <x:c r="C138" s="4" t="str">
        <x:v>M01 账号、登录、资料与设置</x:v>
      </x:c>
      <x:c r="D138" s="4" t="str">
        <x:v>手机号登录（待登录用户视角）</x:v>
      </x:c>
      <x:c r="E138" s="4" t="str">
        <x:v>异常用例</x:v>
      </x:c>
      <x:c r="F138" s="4" t="str">
        <x:v>P1</x:v>
      </x:c>
      <x:c r="G138" s="4" t="str">
        <x:v>验证手机号非数字限制</x:v>
      </x:c>
      <x:c r="H138" s="4" t="str">
        <x:v>手机号非数字限制</x:v>
      </x:c>
      <x:c r="I138" s="4" t="str">
        <x:v>1. 执行者为待登录用户，尚未建立登录会话</x:v>
      </x:c>
      <x:c r="J138" s="4" t="str">
        <x:v>1. 进入「手机号登录」页
2. 在手机号输入框输入「1234567a」</x:v>
      </x:c>
      <x:c r="K138" s="4" t="str">
        <x:v>手机号字段不接受非数字输入</x:v>
      </x:c>
      <x:c r="L138" s="4" t="str"/>
      <x:c r="M138" s="4" t="str">
        <x:v>未测</x:v>
      </x:c>
      <x:c r="N138" s="4" t="str"/>
      <x:c r="O138" s="4" t="str">
        <x:v>1. 来源：MainBasis/统一需求文档.md；U-auth-phone-login-003
2. 场景：SC-d86168451976db</x:v>
      </x:c>
    </x:row>
    <x:row r="139" ht="68" customHeight="1">
      <x:c r="A139" s="4" t="n">
        <x:v>138</x:v>
      </x:c>
      <x:c r="B139" s="4" t="str">
        <x:v>USER-0138</x:v>
      </x:c>
      <x:c r="C139" s="4" t="str">
        <x:v>M01 账号、登录、资料与设置</x:v>
      </x:c>
      <x:c r="D139" s="4" t="str">
        <x:v>手机号登录（待登录用户视角）</x:v>
      </x:c>
      <x:c r="E139" s="4" t="str">
        <x:v>功能需求</x:v>
      </x:c>
      <x:c r="F139" s="4" t="str">
        <x:v>P1</x:v>
      </x:c>
      <x:c r="G139" s="4" t="str">
        <x:v>验证选择区号保留表单</x:v>
      </x:c>
      <x:c r="H139" s="4" t="str">
        <x:v>选择区号保留表单</x:v>
      </x:c>
      <x:c r="I139" s="4" t="str">
        <x:v>1. 执行者为待登录用户，尚未建立登录会话
2. 手机号已输入8位数字
3. 当前为密码登录且已勾选协议</x:v>
      </x:c>
      <x:c r="J139" s="4" t="str">
        <x:v>1. 进入「手机号登录」页
2. 点击区号
3. 选择印度尼西亚 +62</x:v>
      </x:c>
      <x:c r="K139" s="4" t="str">
        <x:v>返回后手机号、密码登录方式和协议勾选状态保留</x:v>
      </x:c>
      <x:c r="L139" s="4" t="str"/>
      <x:c r="M139" s="4" t="str">
        <x:v>未测</x:v>
      </x:c>
      <x:c r="N139" s="4" t="str"/>
      <x:c r="O139" s="4" t="str">
        <x:v>1. 来源：MainBasis/统一需求文档.md；U-auth-phone-login-007、U-auth-phone-login-011、U-auth-country-select-010
2. 场景：SC-c6cd167c0f0b53</x:v>
      </x:c>
    </x:row>
    <x:row r="140" ht="68" customHeight="1">
      <x:c r="A140" s="4" t="n">
        <x:v>139</x:v>
      </x:c>
      <x:c r="B140" s="4" t="str">
        <x:v>USER-0139</x:v>
      </x:c>
      <x:c r="C140" s="4" t="str">
        <x:v>M01 账号、登录、资料与设置</x:v>
      </x:c>
      <x:c r="D140" s="4" t="str">
        <x:v>选择国家/地区（待登录用户视角）</x:v>
      </x:c>
      <x:c r="E140" s="4" t="str">
        <x:v>功能需求</x:v>
      </x:c>
      <x:c r="F140" s="4" t="str">
        <x:v>P1</x:v>
      </x:c>
      <x:c r="G140" s="4" t="str">
        <x:v>验证无法识别地区默认区号</x:v>
      </x:c>
      <x:c r="H140" s="4" t="str">
        <x:v>无法识别地区默认区号</x:v>
      </x:c>
      <x:c r="I140" s="4" t="str">
        <x:v>1. 执行者为待登录用户，尚未建立登录会话
2. 无法识别地区</x:v>
      </x:c>
      <x:c r="J140" s="4" t="str">
        <x:v>1. 进入「选择国家/地区」页
2. 查看无法识别地区默认区号</x:v>
      </x:c>
      <x:c r="K140" s="4" t="str">
        <x:v>当前选中区号为印度尼西亚 +62</x:v>
      </x:c>
      <x:c r="L140" s="4" t="str"/>
      <x:c r="M140" s="4" t="str">
        <x:v>未测</x:v>
      </x:c>
      <x:c r="N140" s="4" t="str"/>
      <x:c r="O140" s="4" t="str">
        <x:v>1. 来源：MainBasis/统一需求文档.md；U-auth-phone-login-002、U-auth-country-select-004
2. 场景：SC-2fe616a431d739</x:v>
      </x:c>
    </x:row>
    <x:row r="141" ht="68" customHeight="1">
      <x:c r="A141" s="4" t="n">
        <x:v>140</x:v>
      </x:c>
      <x:c r="B141" s="4" t="str">
        <x:v>USER-0140</x:v>
      </x:c>
      <x:c r="C141" s="4" t="str">
        <x:v>M01 账号、登录、资料与设置</x:v>
      </x:c>
      <x:c r="D141" s="4" t="str">
        <x:v>选择国家/地区（待登录用户视角）</x:v>
      </x:c>
      <x:c r="E141" s="4" t="str">
        <x:v>功能需求</x:v>
      </x:c>
      <x:c r="F141" s="4" t="str">
        <x:v>P1</x:v>
      </x:c>
      <x:c r="G141" s="4" t="str">
        <x:v>验证设备地区为中国大陆默认区号</x:v>
      </x:c>
      <x:c r="H141" s="4" t="str">
        <x:v>设备地区为中国大陆默认区号</x:v>
      </x:c>
      <x:c r="I141" s="4" t="str">
        <x:v>1. 执行者为待登录用户，尚未建立登录会话
2. 设备地区为中国大陆</x:v>
      </x:c>
      <x:c r="J141" s="4" t="str">
        <x:v>1. 进入「选择国家/地区」页
2. 查看设备地区为中国大陆默认区号</x:v>
      </x:c>
      <x:c r="K141" s="4" t="str">
        <x:v>当前选中区号为印度尼西亚 +62</x:v>
      </x:c>
      <x:c r="L141" s="4" t="str"/>
      <x:c r="M141" s="4" t="str">
        <x:v>未测</x:v>
      </x:c>
      <x:c r="N141" s="4" t="str"/>
      <x:c r="O141" s="4" t="str">
        <x:v>1. 来源：MainBasis/统一需求文档.md；U-auth-phone-login-002、U-auth-country-select-004
2. 场景：SC-fa689244b86a4d</x:v>
      </x:c>
    </x:row>
    <x:row r="142" ht="68" customHeight="1">
      <x:c r="A142" s="4" t="n">
        <x:v>141</x:v>
      </x:c>
      <x:c r="B142" s="4" t="str">
        <x:v>USER-0141</x:v>
      </x:c>
      <x:c r="C142" s="4" t="str">
        <x:v>M01 账号、登录、资料与设置</x:v>
      </x:c>
      <x:c r="D142" s="4" t="str">
        <x:v>选择国家/地区（待登录用户视角）</x:v>
      </x:c>
      <x:c r="E142" s="4" t="str">
        <x:v>功能需求</x:v>
      </x:c>
      <x:c r="F142" s="4" t="str">
        <x:v>P1</x:v>
      </x:c>
      <x:c r="G142" s="4" t="str">
        <x:v>验证中国大陆区号排除</x:v>
      </x:c>
      <x:c r="H142" s="4" t="str">
        <x:v>中国大陆区号排除</x:v>
      </x:c>
      <x:c r="I142" s="4" t="str">
        <x:v>1. 执行者为待登录用户，尚未建立登录会话</x:v>
      </x:c>
      <x:c r="J142" s="4" t="str">
        <x:v>1. 进入「选择国家/地区」页
2. 查看中国大陆区号排除</x:v>
      </x:c>
      <x:c r="K142" s="4" t="str">
        <x:v>可选列表不包含中国大陆 +86</x:v>
      </x:c>
      <x:c r="L142" s="4" t="str"/>
      <x:c r="M142" s="4" t="str">
        <x:v>未测</x:v>
      </x:c>
      <x:c r="N142" s="4" t="str"/>
      <x:c r="O142" s="4" t="str">
        <x:v>1. 来源：MainBasis/统一需求文档.md；U-auth-phone-login-002、U-auth-country-select-003、U-auth-country-select-005
2. 场景：SC-42c5b89280d98f</x:v>
      </x:c>
    </x:row>
    <x:row r="143" ht="54" customHeight="1">
      <x:c r="A143" s="4" t="n">
        <x:v>142</x:v>
      </x:c>
      <x:c r="B143" s="4" t="str">
        <x:v>USER-0142</x:v>
      </x:c>
      <x:c r="C143" s="4" t="str">
        <x:v>M01 账号、登录、资料与设置</x:v>
      </x:c>
      <x:c r="D143" s="4" t="str">
        <x:v>选择国家/地区（待登录用户视角）</x:v>
      </x:c>
      <x:c r="E143" s="4" t="str">
        <x:v>功能需求</x:v>
      </x:c>
      <x:c r="F143" s="4" t="str">
        <x:v>P1</x:v>
      </x:c>
      <x:c r="G143" s="4" t="str">
        <x:v>验证地区列表结构</x:v>
      </x:c>
      <x:c r="H143" s="4" t="str">
        <x:v>地区列表结构</x:v>
      </x:c>
      <x:c r="I143" s="4" t="str">
        <x:v>1. 执行者为待登录用户，尚未建立登录会话</x:v>
      </x:c>
      <x:c r="J143" s="4" t="str">
        <x:v>1. 进入「选择国家/地区」页
2. 查看地区列表结构</x:v>
      </x:c>
      <x:c r="K143" s="4" t="str">
        <x:v>全部地区统一展示国旗、地区名称和区号，无常用地区分组</x:v>
      </x:c>
      <x:c r="L143" s="4" t="str"/>
      <x:c r="M143" s="4" t="str">
        <x:v>未测</x:v>
      </x:c>
      <x:c r="N143" s="4" t="str"/>
      <x:c r="O143" s="4" t="str">
        <x:v>1. 来源：MainBasis/统一需求文档.md；U-auth-country-select-003
2. 场景：SC-05b45cda18fe50</x:v>
      </x:c>
    </x:row>
    <x:row r="144" ht="68" customHeight="1">
      <x:c r="A144" s="4" t="n">
        <x:v>143</x:v>
      </x:c>
      <x:c r="B144" s="4" t="str">
        <x:v>USER-0143</x:v>
      </x:c>
      <x:c r="C144" s="4" t="str">
        <x:v>M01 账号、登录、资料与设置</x:v>
      </x:c>
      <x:c r="D144" s="4" t="str">
        <x:v>选择国家/地区（待登录用户视角）</x:v>
      </x:c>
      <x:c r="E144" s="4" t="str">
        <x:v>功能需求</x:v>
      </x:c>
      <x:c r="F144" s="4" t="str">
        <x:v>P1</x:v>
      </x:c>
      <x:c r="G144" s="4" t="str">
        <x:v>验证地区搜索印度尼西亚</x:v>
      </x:c>
      <x:c r="H144" s="4" t="str">
        <x:v>地区搜索印度尼西亚</x:v>
      </x:c>
      <x:c r="I144" s="4" t="str">
        <x:v>1. 执行者为待登录用户，尚未建立登录会话</x:v>
      </x:c>
      <x:c r="J144" s="4" t="str">
        <x:v>1. 进入「选择国家/地区」页
2. 输入搜索词「印度尼西亚」</x:v>
      </x:c>
      <x:c r="K144" s="4" t="str">
        <x:v>结果仅显示印度尼西亚 +62</x:v>
      </x:c>
      <x:c r="L144" s="4" t="str"/>
      <x:c r="M144" s="4" t="str">
        <x:v>未测</x:v>
      </x:c>
      <x:c r="N144" s="4" t="str"/>
      <x:c r="O144" s="4" t="str">
        <x:v>1. 来源：MainBasis/统一需求文档.md；U-auth-country-select-002、U-auth-country-select-007、U-auth-country-select-009
2. 场景：SC-3a5ee164c6769b</x:v>
      </x:c>
    </x:row>
    <x:row r="145" ht="68" customHeight="1">
      <x:c r="A145" s="4" t="n">
        <x:v>144</x:v>
      </x:c>
      <x:c r="B145" s="4" t="str">
        <x:v>USER-0144</x:v>
      </x:c>
      <x:c r="C145" s="4" t="str">
        <x:v>M01 账号、登录、资料与设置</x:v>
      </x:c>
      <x:c r="D145" s="4" t="str">
        <x:v>选择国家/地区（待登录用户视角）</x:v>
      </x:c>
      <x:c r="E145" s="4" t="str">
        <x:v>功能需求</x:v>
      </x:c>
      <x:c r="F145" s="4" t="str">
        <x:v>P1</x:v>
      </x:c>
      <x:c r="G145" s="4" t="str">
        <x:v>验证地区搜索+62</x:v>
      </x:c>
      <x:c r="H145" s="4" t="str">
        <x:v>地区搜索+62</x:v>
      </x:c>
      <x:c r="I145" s="4" t="str">
        <x:v>1. 执行者为待登录用户，尚未建立登录会话</x:v>
      </x:c>
      <x:c r="J145" s="4" t="str">
        <x:v>1. 进入「选择国家/地区」页
2. 输入搜索词「+62」</x:v>
      </x:c>
      <x:c r="K145" s="4" t="str">
        <x:v>结果仅显示印度尼西亚 +62</x:v>
      </x:c>
      <x:c r="L145" s="4" t="str"/>
      <x:c r="M145" s="4" t="str">
        <x:v>未测</x:v>
      </x:c>
      <x:c r="N145" s="4" t="str"/>
      <x:c r="O145" s="4" t="str">
        <x:v>1. 来源：MainBasis/统一需求文档.md；U-auth-country-select-002、U-auth-country-select-007、U-auth-country-select-009
2. 场景：SC-978cfc5e1b1c30</x:v>
      </x:c>
    </x:row>
    <x:row r="146" ht="68" customHeight="1">
      <x:c r="A146" s="4" t="n">
        <x:v>145</x:v>
      </x:c>
      <x:c r="B146" s="4" t="str">
        <x:v>USER-0145</x:v>
      </x:c>
      <x:c r="C146" s="4" t="str">
        <x:v>M01 账号、登录、资料与设置</x:v>
      </x:c>
      <x:c r="D146" s="4" t="str">
        <x:v>选择国家/地区（待登录用户视角）</x:v>
      </x:c>
      <x:c r="E146" s="4" t="str">
        <x:v>功能需求</x:v>
      </x:c>
      <x:c r="F146" s="4" t="str">
        <x:v>P1</x:v>
      </x:c>
      <x:c r="G146" s="4" t="str">
        <x:v>验证地区搜索不存在的地区名称</x:v>
      </x:c>
      <x:c r="H146" s="4" t="str">
        <x:v>地区搜索不存在的地区名称</x:v>
      </x:c>
      <x:c r="I146" s="4" t="str">
        <x:v>1. 执行者为待登录用户，尚未建立登录会话</x:v>
      </x:c>
      <x:c r="J146" s="4" t="str">
        <x:v>1. 进入「选择国家/地区」页
2. 输入搜索词「不存在的地区名称」</x:v>
      </x:c>
      <x:c r="K146" s="4" t="str">
        <x:v>显示无结果空状态</x:v>
      </x:c>
      <x:c r="L146" s="4" t="str"/>
      <x:c r="M146" s="4" t="str">
        <x:v>未测</x:v>
      </x:c>
      <x:c r="N146" s="4" t="str"/>
      <x:c r="O146" s="4" t="str">
        <x:v>1. 来源：MainBasis/统一需求文档.md；U-auth-country-select-002、U-auth-country-select-007、U-auth-country-select-009
2. 场景：SC-8a4b302d79c2d1</x:v>
      </x:c>
    </x:row>
    <x:row r="147" ht="54" customHeight="1">
      <x:c r="A147" s="4" t="n">
        <x:v>146</x:v>
      </x:c>
      <x:c r="B147" s="4" t="str">
        <x:v>USER-0146</x:v>
      </x:c>
      <x:c r="C147" s="4" t="str">
        <x:v>M01 账号、登录、资料与设置</x:v>
      </x:c>
      <x:c r="D147" s="4" t="str">
        <x:v>选择国家/地区（待登录用户视角）</x:v>
      </x:c>
      <x:c r="E147" s="4" t="str">
        <x:v>功能需求</x:v>
      </x:c>
      <x:c r="F147" s="4" t="str">
        <x:v>P1</x:v>
      </x:c>
      <x:c r="G147" s="4" t="str">
        <x:v>验证清空地区搜索</x:v>
      </x:c>
      <x:c r="H147" s="4" t="str">
        <x:v>清空地区搜索</x:v>
      </x:c>
      <x:c r="I147" s="4" t="str">
        <x:v>1. 执行者为待登录用户，尚未建立登录会话</x:v>
      </x:c>
      <x:c r="J147" s="4" t="str">
        <x:v>1. 进入「选择国家/地区」页
2. 输入「+62」
3. 清空搜索框</x:v>
      </x:c>
      <x:c r="K147" s="4" t="str">
        <x:v>恢复全部业务支持地区列表</x:v>
      </x:c>
      <x:c r="L147" s="4" t="str"/>
      <x:c r="M147" s="4" t="str">
        <x:v>未测</x:v>
      </x:c>
      <x:c r="N147" s="4" t="str"/>
      <x:c r="O147" s="4" t="str">
        <x:v>1. 来源：MainBasis/统一需求文档.md；U-auth-country-select-009
2. 场景：SC-a01db953a5bbf7</x:v>
      </x:c>
    </x:row>
    <x:row r="148" ht="54" customHeight="1">
      <x:c r="A148" s="4" t="n">
        <x:v>147</x:v>
      </x:c>
      <x:c r="B148" s="4" t="str">
        <x:v>USER-0147</x:v>
      </x:c>
      <x:c r="C148" s="4" t="str">
        <x:v>M01 账号、登录、资料与设置</x:v>
      </x:c>
      <x:c r="D148" s="4" t="str">
        <x:v>选择国家/地区（待登录用户视角）</x:v>
      </x:c>
      <x:c r="E148" s="4" t="str">
        <x:v>功能需求</x:v>
      </x:c>
      <x:c r="F148" s="4" t="str">
        <x:v>P1</x:v>
      </x:c>
      <x:c r="G148" s="4" t="str">
        <x:v>验证返回不修改区号</x:v>
      </x:c>
      <x:c r="H148" s="4" t="str">
        <x:v>返回不修改区号</x:v>
      </x:c>
      <x:c r="I148" s="4" t="str">
        <x:v>1. 执行者为待登录用户，尚未建立登录会话
2. 原区号为 +62</x:v>
      </x:c>
      <x:c r="J148" s="4" t="str">
        <x:v>1. 进入「选择国家/地区」页
2. 点击返回</x:v>
      </x:c>
      <x:c r="K148" s="4" t="str">
        <x:v>手机号登录页仍使用 +62</x:v>
      </x:c>
      <x:c r="L148" s="4" t="str"/>
      <x:c r="M148" s="4" t="str">
        <x:v>未测</x:v>
      </x:c>
      <x:c r="N148" s="4" t="str"/>
      <x:c r="O148" s="4" t="str">
        <x:v>1. 来源：MainBasis/统一需求文档.md；U-auth-country-select-011
2. 场景：SC-bcf4212b91cf85</x:v>
      </x:c>
    </x:row>
    <x:row r="149" ht="54" customHeight="1">
      <x:c r="A149" s="4" t="n">
        <x:v>148</x:v>
      </x:c>
      <x:c r="B149" s="4" t="str">
        <x:v>USER-0148</x:v>
      </x:c>
      <x:c r="C149" s="4" t="str">
        <x:v>M01 账号、登录、资料与设置</x:v>
      </x:c>
      <x:c r="D149" s="4" t="str">
        <x:v>选择国家/地区（待登录用户视角）</x:v>
      </x:c>
      <x:c r="E149" s="4" t="str">
        <x:v>功能需求</x:v>
      </x:c>
      <x:c r="F149" s="4" t="str">
        <x:v>P1</x:v>
      </x:c>
      <x:c r="G149" s="4" t="str">
        <x:v>验证更换区号不改资料地区</x:v>
      </x:c>
      <x:c r="H149" s="4" t="str">
        <x:v>更换区号不改资料地区</x:v>
      </x:c>
      <x:c r="I149" s="4" t="str">
        <x:v>1. 执行者为待登录用户，尚未建立登录会话
2. 账号资料地区已填写</x:v>
      </x:c>
      <x:c r="J149" s="4" t="str">
        <x:v>1. 进入「选择国家/地区」页
2. 选择另一个支持的区号
3. 完成登录后查看资料地区</x:v>
      </x:c>
      <x:c r="K149" s="4" t="str">
        <x:v>账号资料地区保持更换区号前的值</x:v>
      </x:c>
      <x:c r="L149" s="4" t="str"/>
      <x:c r="M149" s="4" t="str">
        <x:v>未测</x:v>
      </x:c>
      <x:c r="N149" s="4" t="str"/>
      <x:c r="O149" s="4" t="str">
        <x:v>1. 来源：MainBasis/统一需求文档.md；U-auth-country-select-006
2. 场景：SC-7192228524f068</x:v>
      </x:c>
    </x:row>
    <x:row r="150" ht="68" customHeight="1">
      <x:c r="A150" s="4" t="n">
        <x:v>149</x:v>
      </x:c>
      <x:c r="B150" s="4" t="str">
        <x:v>USER-0149</x:v>
      </x:c>
      <x:c r="C150" s="4" t="str">
        <x:v>M01 账号、登录、资料与设置</x:v>
      </x:c>
      <x:c r="D150" s="4" t="str">
        <x:v>邮箱登录（待登录用户视角）</x:v>
      </x:c>
      <x:c r="E150" s="4" t="str">
        <x:v>功能需求</x:v>
      </x:c>
      <x:c r="F150" s="4" t="str">
        <x:v>P2</x:v>
      </x:c>
      <x:c r="G150" s="4" t="str">
        <x:v>验证邮箱回显</x:v>
      </x:c>
      <x:c r="H150" s="4" t="str">
        <x:v>邮箱回显</x:v>
      </x:c>
      <x:c r="I150" s="4" t="str">
        <x:v>1. 执行者为待登录用户，尚未建立登录会话
2. 所选对象存在，已记录该对象的邮箱值</x:v>
      </x:c>
      <x:c r="J150" s="4" t="str">
        <x:v>1. 进入「邮箱登录」页
2. 查看邮箱回显</x:v>
      </x:c>
      <x:c r="K150" s="4" t="str">
        <x:v>「邮箱」内容与所选对象的该项资料一致</x:v>
      </x:c>
      <x:c r="L150" s="4" t="str"/>
      <x:c r="M150" s="4" t="str">
        <x:v>未测</x:v>
      </x:c>
      <x:c r="N150" s="4" t="str"/>
      <x:c r="O150" s="4" t="str">
        <x:v>1. 来源：MainBasis/统一需求文档.md；U-auth-email-login-002
2. 场景：SC-56118152e48f33</x:v>
      </x:c>
    </x:row>
    <x:row r="151" ht="82" customHeight="1">
      <x:c r="A151" s="4" t="n">
        <x:v>150</x:v>
      </x:c>
      <x:c r="B151" s="4" t="str">
        <x:v>USER-0150</x:v>
      </x:c>
      <x:c r="C151" s="4" t="str">
        <x:v>M01 账号、登录、资料与设置</x:v>
      </x:c>
      <x:c r="D151" s="4" t="str">
        <x:v>邮箱登录（待登录用户视角）</x:v>
      </x:c>
      <x:c r="E151" s="4" t="str">
        <x:v>功能需求</x:v>
      </x:c>
      <x:c r="F151" s="4" t="str">
        <x:v>P1</x:v>
      </x:c>
      <x:c r="G151" s="4" t="str">
        <x:v>验证邮箱凭证验证成功命中注销冷静期</x:v>
      </x:c>
      <x:c r="H151" s="4" t="str">
        <x:v>邮箱凭证验证成功命中注销冷静期</x:v>
      </x:c>
      <x:c r="I151" s="4" t="str">
        <x:v>1. 执行者为待登录用户，尚未建立登录会话
2. 账号提交注销后尚未满七日</x:v>
      </x:c>
      <x:c r="J151" s="4" t="str">
        <x:v>1. 进入「邮箱登录」页
2. 填写有效邮箱和验证码，勾选协议后点击继续</x:v>
      </x:c>
      <x:c r="K151" s="4" t="str">
        <x:v>展示注销冷静期弹窗</x:v>
      </x:c>
      <x:c r="L151" s="4" t="str"/>
      <x:c r="M151" s="4" t="str">
        <x:v>未测</x:v>
      </x:c>
      <x:c r="N151" s="4" t="str"/>
      <x:c r="O151" s="4" t="str">
        <x:v>1. 来源：MainBasis/统一需求文档.md；U-auth-login-register-014、U-auth-login-register-021、U-auth-email-login-006、U-auth-email-login-010
2. 场景：SC-951b0c4ebf34a1</x:v>
      </x:c>
    </x:row>
    <x:row r="152" ht="54" customHeight="1">
      <x:c r="A152" s="4" t="n">
        <x:v>151</x:v>
      </x:c>
      <x:c r="B152" s="4" t="str">
        <x:v>USER-0151</x:v>
      </x:c>
      <x:c r="C152" s="4" t="str">
        <x:v>M01 账号、登录、资料与设置</x:v>
      </x:c>
      <x:c r="D152" s="4" t="str">
        <x:v>邮箱登录（待登录用户视角）</x:v>
      </x:c>
      <x:c r="E152" s="4" t="str">
        <x:v>功能需求</x:v>
      </x:c>
      <x:c r="F152" s="4" t="str">
        <x:v>P1</x:v>
      </x:c>
      <x:c r="G152" s="4" t="str">
        <x:v>验证邮箱默认登录方式</x:v>
      </x:c>
      <x:c r="H152" s="4" t="str">
        <x:v>邮箱默认登录方式</x:v>
      </x:c>
      <x:c r="I152" s="4" t="str">
        <x:v>1. 执行者为待登录用户，尚未建立登录会话</x:v>
      </x:c>
      <x:c r="J152" s="4" t="str">
        <x:v>1. 进入「邮箱登录」页
2. 查看邮箱默认登录方式</x:v>
      </x:c>
      <x:c r="K152" s="4" t="str">
        <x:v>默认显示邮箱验证码登录表单</x:v>
      </x:c>
      <x:c r="L152" s="4" t="str"/>
      <x:c r="M152" s="4" t="str">
        <x:v>未测</x:v>
      </x:c>
      <x:c r="N152" s="4" t="str"/>
      <x:c r="O152" s="4" t="str">
        <x:v>1. 来源：MainBasis/统一需求文档.md；U-auth-email-login-005
2. 场景：SC-783e747f940232</x:v>
      </x:c>
    </x:row>
    <x:row r="153" ht="54" customHeight="1">
      <x:c r="A153" s="4" t="n">
        <x:v>152</x:v>
      </x:c>
      <x:c r="B153" s="4" t="str">
        <x:v>USER-0152</x:v>
      </x:c>
      <x:c r="C153" s="4" t="str">
        <x:v>M01 账号、登录、资料与设置</x:v>
      </x:c>
      <x:c r="D153" s="4" t="str">
        <x:v>邮箱登录（待登录用户视角）</x:v>
      </x:c>
      <x:c r="E153" s="4" t="str">
        <x:v>功能需求</x:v>
      </x:c>
      <x:c r="F153" s="4" t="str">
        <x:v>P1</x:v>
      </x:c>
      <x:c r="G153" s="4" t="str">
        <x:v>验证邮箱切换密码登录</x:v>
      </x:c>
      <x:c r="H153" s="4" t="str">
        <x:v>邮箱切换密码登录</x:v>
      </x:c>
      <x:c r="I153" s="4" t="str">
        <x:v>1. 执行者为待登录用户，尚未建立登录会话</x:v>
      </x:c>
      <x:c r="J153" s="4" t="str">
        <x:v>1. 进入「邮箱登录」页
2. 点击「使用密码登录」</x:v>
      </x:c>
      <x:c r="K153" s="4" t="str">
        <x:v>显示密码输入字段</x:v>
      </x:c>
      <x:c r="L153" s="4" t="str"/>
      <x:c r="M153" s="4" t="str">
        <x:v>未测</x:v>
      </x:c>
      <x:c r="N153" s="4" t="str"/>
      <x:c r="O153" s="4" t="str">
        <x:v>1. 来源：MainBasis/统一需求文档.md；U-auth-email-login-009
2. 场景：SC-f2355c06c53e6d</x:v>
      </x:c>
    </x:row>
    <x:row r="154" ht="54" customHeight="1">
      <x:c r="A154" s="4" t="n">
        <x:v>153</x:v>
      </x:c>
      <x:c r="B154" s="4" t="str">
        <x:v>USER-0153</x:v>
      </x:c>
      <x:c r="C154" s="4" t="str">
        <x:v>M01 账号、登录、资料与设置</x:v>
      </x:c>
      <x:c r="D154" s="4" t="str">
        <x:v>邮箱登录（待登录用户视角）</x:v>
      </x:c>
      <x:c r="E154" s="4" t="str">
        <x:v>功能需求</x:v>
      </x:c>
      <x:c r="F154" s="4" t="str">
        <x:v>P1</x:v>
      </x:c>
      <x:c r="G154" s="4" t="str">
        <x:v>验证邮箱切换验证码登录</x:v>
      </x:c>
      <x:c r="H154" s="4" t="str">
        <x:v>邮箱切换验证码登录</x:v>
      </x:c>
      <x:c r="I154" s="4" t="str">
        <x:v>1. 执行者为待登录用户，尚未建立登录会话</x:v>
      </x:c>
      <x:c r="J154" s="4" t="str">
        <x:v>1. 进入「邮箱登录」页
2. 点击「使用邮箱验证码登录」</x:v>
      </x:c>
      <x:c r="K154" s="4" t="str">
        <x:v>显示验证码输入字段</x:v>
      </x:c>
      <x:c r="L154" s="4" t="str"/>
      <x:c r="M154" s="4" t="str">
        <x:v>未测</x:v>
      </x:c>
      <x:c r="N154" s="4" t="str"/>
      <x:c r="O154" s="4" t="str">
        <x:v>1. 来源：MainBasis/统一需求文档.md；U-auth-email-login-009
2. 场景：SC-b4478000dea5b3</x:v>
      </x:c>
    </x:row>
    <x:row r="155" ht="82" customHeight="1">
      <x:c r="A155" s="4" t="n">
        <x:v>154</x:v>
      </x:c>
      <x:c r="B155" s="4" t="str">
        <x:v>USER-0154</x:v>
      </x:c>
      <x:c r="C155" s="4" t="str">
        <x:v>M01 账号、登录、资料与设置</x:v>
      </x:c>
      <x:c r="D155" s="4" t="str">
        <x:v>邮箱登录（待登录用户视角）</x:v>
      </x:c>
      <x:c r="E155" s="4" t="str">
        <x:v>功能需求</x:v>
      </x:c>
      <x:c r="F155" s="4" t="str">
        <x:v>P0</x:v>
      </x:c>
      <x:c r="G155" s="4" t="str">
        <x:v>验证邮箱密码登录成功</x:v>
      </x:c>
      <x:c r="H155" s="4" t="str">
        <x:v>邮箱密码登录成功</x:v>
      </x:c>
      <x:c r="I155" s="4" t="str">
        <x:v>1. 执行者为待登录用户，尚未建立登录会话
2. 已注册且未封禁的账号具备有效邮箱和密码</x:v>
      </x:c>
      <x:c r="J155" s="4" t="str">
        <x:v>1. 进入「邮箱登录」页
2. 选择密码登录
3. 填写账号邮箱和有效密码
4. 勾选协议
5. 点击「继续」</x:v>
      </x:c>
      <x:c r="K155" s="4" t="str">
        <x:v>页面进入首页</x:v>
      </x:c>
      <x:c r="L155" s="4" t="str"/>
      <x:c r="M155" s="4" t="str">
        <x:v>未测</x:v>
      </x:c>
      <x:c r="N155" s="4" t="str"/>
      <x:c r="O155" s="4" t="str">
        <x:v>1. 来源：MainBasis/统一需求文档.md；U-auth-email-login-008
2. 场景：SC-2846114e04725c</x:v>
      </x:c>
    </x:row>
    <x:row r="156" ht="82" customHeight="1">
      <x:c r="A156" s="4" t="n">
        <x:v>155</x:v>
      </x:c>
      <x:c r="B156" s="4" t="str">
        <x:v>USER-0155</x:v>
      </x:c>
      <x:c r="C156" s="4" t="str">
        <x:v>M01 账号、登录、资料与设置</x:v>
      </x:c>
      <x:c r="D156" s="4" t="str">
        <x:v>邮箱登录（待登录用户视角）</x:v>
      </x:c>
      <x:c r="E156" s="4" t="str">
        <x:v>功能需求</x:v>
      </x:c>
      <x:c r="F156" s="4" t="str">
        <x:v>P0</x:v>
      </x:c>
      <x:c r="G156" s="4" t="str">
        <x:v>验证邮箱验证码登录成功</x:v>
      </x:c>
      <x:c r="H156" s="4" t="str">
        <x:v>邮箱验证码登录成功</x:v>
      </x:c>
      <x:c r="I156" s="4" t="str">
        <x:v>1. 执行者为待登录用户，尚未建立登录会话
2. 已注册且未封禁的账号具备有效邮箱和验证码</x:v>
      </x:c>
      <x:c r="J156" s="4" t="str">
        <x:v>1. 进入「邮箱登录」页
2. 选择验证码登录
3. 填写账号邮箱和有效验证码
4. 勾选协议
5. 点击「继续」</x:v>
      </x:c>
      <x:c r="K156" s="4" t="str">
        <x:v>页面进入首页</x:v>
      </x:c>
      <x:c r="L156" s="4" t="str"/>
      <x:c r="M156" s="4" t="str">
        <x:v>未测</x:v>
      </x:c>
      <x:c r="N156" s="4" t="str"/>
      <x:c r="O156" s="4" t="str">
        <x:v>1. 来源：MainBasis/统一需求文档.md；U-auth-email-login-008
2. 场景：SC-10f8d724c780eb</x:v>
      </x:c>
    </x:row>
    <x:row r="157" ht="54" customHeight="1">
      <x:c r="A157" s="4" t="n">
        <x:v>156</x:v>
      </x:c>
      <x:c r="B157" s="4" t="str">
        <x:v>USER-0156</x:v>
      </x:c>
      <x:c r="C157" s="4" t="str">
        <x:v>M01 账号、登录、资料与设置</x:v>
      </x:c>
      <x:c r="D157" s="4" t="str">
        <x:v>邮箱登录（待登录用户视角）</x:v>
      </x:c>
      <x:c r="E157" s="4" t="str">
        <x:v>异常用例</x:v>
      </x:c>
      <x:c r="F157" s="4" t="str">
        <x:v>P1</x:v>
      </x:c>
      <x:c r="G157" s="4" t="str">
        <x:v>验证邮箱登录缺少邮箱</x:v>
      </x:c>
      <x:c r="H157" s="4" t="str">
        <x:v>邮箱登录缺少邮箱</x:v>
      </x:c>
      <x:c r="I157" s="4" t="str">
        <x:v>1. 执行者为待登录用户，尚未建立登录会话
2. 其余登录条件已满足</x:v>
      </x:c>
      <x:c r="J157" s="4" t="str">
        <x:v>1. 进入「邮箱登录」页
2. 清空「邮箱」</x:v>
      </x:c>
      <x:c r="K157" s="4" t="str">
        <x:v>继续按钮不可用</x:v>
      </x:c>
      <x:c r="L157" s="4" t="str"/>
      <x:c r="M157" s="4" t="str">
        <x:v>未测</x:v>
      </x:c>
      <x:c r="N157" s="4" t="str"/>
      <x:c r="O157" s="4" t="str">
        <x:v>1. 来源：MainBasis/统一需求文档.md；U-auth-email-login-008
2. 场景：SC-48aba4bc899fb8</x:v>
      </x:c>
    </x:row>
    <x:row r="158" ht="54" customHeight="1">
      <x:c r="A158" s="4" t="n">
        <x:v>157</x:v>
      </x:c>
      <x:c r="B158" s="4" t="str">
        <x:v>USER-0157</x:v>
      </x:c>
      <x:c r="C158" s="4" t="str">
        <x:v>M01 账号、登录、资料与设置</x:v>
      </x:c>
      <x:c r="D158" s="4" t="str">
        <x:v>邮箱登录（待登录用户视角）</x:v>
      </x:c>
      <x:c r="E158" s="4" t="str">
        <x:v>异常用例</x:v>
      </x:c>
      <x:c r="F158" s="4" t="str">
        <x:v>P1</x:v>
      </x:c>
      <x:c r="G158" s="4" t="str">
        <x:v>验证邮箱登录缺少协议</x:v>
      </x:c>
      <x:c r="H158" s="4" t="str">
        <x:v>邮箱登录缺少协议</x:v>
      </x:c>
      <x:c r="I158" s="4" t="str">
        <x:v>1. 执行者为待登录用户，尚未建立登录会话
2. 其余登录条件已满足</x:v>
      </x:c>
      <x:c r="J158" s="4" t="str">
        <x:v>1. 进入「邮箱登录」页
2. 取消勾选协议</x:v>
      </x:c>
      <x:c r="K158" s="4" t="str">
        <x:v>继续按钮不可用</x:v>
      </x:c>
      <x:c r="L158" s="4" t="str"/>
      <x:c r="M158" s="4" t="str">
        <x:v>未测</x:v>
      </x:c>
      <x:c r="N158" s="4" t="str"/>
      <x:c r="O158" s="4" t="str">
        <x:v>1. 来源：MainBasis/统一需求文档.md；U-auth-email-login-008
2. 场景：SC-0df196a95ac2d8</x:v>
      </x:c>
    </x:row>
    <x:row r="159" ht="54" customHeight="1">
      <x:c r="A159" s="4" t="n">
        <x:v>158</x:v>
      </x:c>
      <x:c r="B159" s="4" t="str">
        <x:v>USER-0158</x:v>
      </x:c>
      <x:c r="C159" s="4" t="str">
        <x:v>M01 账号、登录、资料与设置</x:v>
      </x:c>
      <x:c r="D159" s="4" t="str">
        <x:v>邮箱登录（待登录用户视角）</x:v>
      </x:c>
      <x:c r="E159" s="4" t="str">
        <x:v>异常用例</x:v>
      </x:c>
      <x:c r="F159" s="4" t="str">
        <x:v>P1</x:v>
      </x:c>
      <x:c r="G159" s="4" t="str">
        <x:v>验证密码缺失限制</x:v>
      </x:c>
      <x:c r="H159" s="4" t="str">
        <x:v>密码缺失限制</x:v>
      </x:c>
      <x:c r="I159" s="4" t="str">
        <x:v>1. 执行者为待登录用户，尚未建立登录会话
2. 其他必填字段为合法值</x:v>
      </x:c>
      <x:c r="J159" s="4" t="str">
        <x:v>1. 进入「邮箱登录」页
2. 清空「密码」
3. 点击「继续」</x:v>
      </x:c>
      <x:c r="K159" s="4" t="str">
        <x:v>密码未填写，无法继续</x:v>
      </x:c>
      <x:c r="L159" s="4" t="str"/>
      <x:c r="M159" s="4" t="str">
        <x:v>未测</x:v>
      </x:c>
      <x:c r="N159" s="4" t="str"/>
      <x:c r="O159" s="4" t="str">
        <x:v>1. 来源：MainBasis/统一需求文档.md；U-auth-email-login-004
2. 场景：SC-5a25744dba9160</x:v>
      </x:c>
    </x:row>
    <x:row r="160" ht="54" customHeight="1">
      <x:c r="A160" s="4" t="n">
        <x:v>159</x:v>
      </x:c>
      <x:c r="B160" s="4" t="str">
        <x:v>USER-0159</x:v>
      </x:c>
      <x:c r="C160" s="4" t="str">
        <x:v>M01 账号、登录、资料与设置</x:v>
      </x:c>
      <x:c r="D160" s="4" t="str">
        <x:v>邮箱登录（待登录用户视角）</x:v>
      </x:c>
      <x:c r="E160" s="4" t="str">
        <x:v>逻辑校验</x:v>
      </x:c>
      <x:c r="F160" s="4" t="str">
        <x:v>P1</x:v>
      </x:c>
      <x:c r="G160" s="4" t="str">
        <x:v>验证邮箱验证码0位</x:v>
      </x:c>
      <x:c r="H160" s="4" t="str">
        <x:v>邮箱验证码0位</x:v>
      </x:c>
      <x:c r="I160" s="4" t="str">
        <x:v>1. 执行者为待登录用户，尚未建立登录会话
2. 已注册邮箱可接收验证码</x:v>
      </x:c>
      <x:c r="J160" s="4" t="str">
        <x:v>1. 进入「邮箱登录」页
2. 清空验证码输入框
3. 查看继续按钮可用状态</x:v>
      </x:c>
      <x:c r="K160" s="4" t="str">
        <x:v>未形成6位验证码时不能继续登录；超过长度的输入不得作为7位验证码提交</x:v>
      </x:c>
      <x:c r="L160" s="4" t="str"/>
      <x:c r="M160" s="4" t="str">
        <x:v>未测</x:v>
      </x:c>
      <x:c r="N160" s="4" t="str"/>
      <x:c r="O160" s="4" t="str">
        <x:v>1. 来源：MainBasis/统一需求文档.md；U-auth-email-login-003
2. 场景：SC-25d913f67ff265</x:v>
      </x:c>
    </x:row>
    <x:row r="161" ht="54" customHeight="1">
      <x:c r="A161" s="4" t="n">
        <x:v>160</x:v>
      </x:c>
      <x:c r="B161" s="4" t="str">
        <x:v>USER-0160</x:v>
      </x:c>
      <x:c r="C161" s="4" t="str">
        <x:v>M01 账号、登录、资料与设置</x:v>
      </x:c>
      <x:c r="D161" s="4" t="str">
        <x:v>邮箱登录（待登录用户视角）</x:v>
      </x:c>
      <x:c r="E161" s="4" t="str">
        <x:v>逻辑校验</x:v>
      </x:c>
      <x:c r="F161" s="4" t="str">
        <x:v>P1</x:v>
      </x:c>
      <x:c r="G161" s="4" t="str">
        <x:v>验证邮箱验证码5位</x:v>
      </x:c>
      <x:c r="H161" s="4" t="str">
        <x:v>邮箱验证码5位</x:v>
      </x:c>
      <x:c r="I161" s="4" t="str">
        <x:v>1. 执行者为待登录用户，尚未建立登录会话
2. 已注册邮箱可接收验证码</x:v>
      </x:c>
      <x:c r="J161" s="4" t="str">
        <x:v>1. 进入「邮箱登录」页
2. 在验证码输入框输入5位数字
3. 查看继续按钮可用状态</x:v>
      </x:c>
      <x:c r="K161" s="4" t="str">
        <x:v>未形成6位验证码时不能继续登录；超过长度的输入不得作为7位验证码提交</x:v>
      </x:c>
      <x:c r="L161" s="4" t="str"/>
      <x:c r="M161" s="4" t="str">
        <x:v>未测</x:v>
      </x:c>
      <x:c r="N161" s="4" t="str"/>
      <x:c r="O161" s="4" t="str">
        <x:v>1. 来源：MainBasis/统一需求文档.md；U-auth-email-login-003
2. 场景：SC-defae58bde5d93</x:v>
      </x:c>
    </x:row>
    <x:row r="162" ht="54" customHeight="1">
      <x:c r="A162" s="4" t="n">
        <x:v>161</x:v>
      </x:c>
      <x:c r="B162" s="4" t="str">
        <x:v>USER-0161</x:v>
      </x:c>
      <x:c r="C162" s="4" t="str">
        <x:v>M01 账号、登录、资料与设置</x:v>
      </x:c>
      <x:c r="D162" s="4" t="str">
        <x:v>邮箱登录（待登录用户视角）</x:v>
      </x:c>
      <x:c r="E162" s="4" t="str">
        <x:v>逻辑校验</x:v>
      </x:c>
      <x:c r="F162" s="4" t="str">
        <x:v>P1</x:v>
      </x:c>
      <x:c r="G162" s="4" t="str">
        <x:v>验证邮箱验证码6位</x:v>
      </x:c>
      <x:c r="H162" s="4" t="str">
        <x:v>邮箱验证码6位</x:v>
      </x:c>
      <x:c r="I162" s="4" t="str">
        <x:v>1. 执行者为待登录用户，尚未建立登录会话
2. 已注册邮箱可接收验证码</x:v>
      </x:c>
      <x:c r="J162" s="4" t="str">
        <x:v>1. 进入「邮箱登录」页
2. 在验证码输入框输入6位数字</x:v>
      </x:c>
      <x:c r="K162" s="4" t="str">
        <x:v>验证码字段接受6位数字</x:v>
      </x:c>
      <x:c r="L162" s="4" t="str"/>
      <x:c r="M162" s="4" t="str">
        <x:v>未测</x:v>
      </x:c>
      <x:c r="N162" s="4" t="str"/>
      <x:c r="O162" s="4" t="str">
        <x:v>1. 来源：MainBasis/统一需求文档.md；U-auth-email-login-003
2. 场景：SC-b67b3706d7b2da</x:v>
      </x:c>
    </x:row>
    <x:row r="163" ht="54" customHeight="1">
      <x:c r="A163" s="4" t="n">
        <x:v>162</x:v>
      </x:c>
      <x:c r="B163" s="4" t="str">
        <x:v>USER-0162</x:v>
      </x:c>
      <x:c r="C163" s="4" t="str">
        <x:v>M01 账号、登录、资料与设置</x:v>
      </x:c>
      <x:c r="D163" s="4" t="str">
        <x:v>邮箱登录（待登录用户视角）</x:v>
      </x:c>
      <x:c r="E163" s="4" t="str">
        <x:v>逻辑校验</x:v>
      </x:c>
      <x:c r="F163" s="4" t="str">
        <x:v>P1</x:v>
      </x:c>
      <x:c r="G163" s="4" t="str">
        <x:v>验证邮箱验证码7位</x:v>
      </x:c>
      <x:c r="H163" s="4" t="str">
        <x:v>邮箱验证码7位</x:v>
      </x:c>
      <x:c r="I163" s="4" t="str">
        <x:v>1. 执行者为待登录用户，尚未建立登录会话
2. 已注册邮箱可接收验证码</x:v>
      </x:c>
      <x:c r="J163" s="4" t="str">
        <x:v>1. 进入「邮箱登录」页
2. 在验证码输入框输入7位数字
3. 查看继续按钮可用状态</x:v>
      </x:c>
      <x:c r="K163" s="4" t="str">
        <x:v>未形成6位验证码时不能继续登录；超过长度的输入不得作为7位验证码提交</x:v>
      </x:c>
      <x:c r="L163" s="4" t="str"/>
      <x:c r="M163" s="4" t="str">
        <x:v>未测</x:v>
      </x:c>
      <x:c r="N163" s="4" t="str"/>
      <x:c r="O163" s="4" t="str">
        <x:v>1. 来源：MainBasis/统一需求文档.md；U-auth-email-login-003
2. 场景：SC-3e857c69bd41cd</x:v>
      </x:c>
    </x:row>
    <x:row r="164" ht="54" customHeight="1">
      <x:c r="A164" s="4" t="n">
        <x:v>163</x:v>
      </x:c>
      <x:c r="B164" s="4" t="str">
        <x:v>USER-0163</x:v>
      </x:c>
      <x:c r="C164" s="4" t="str">
        <x:v>M01 账号、登录、资料与设置</x:v>
      </x:c>
      <x:c r="D164" s="4" t="str">
        <x:v>邮箱登录（待登录用户视角）</x:v>
      </x:c>
      <x:c r="E164" s="4" t="str">
        <x:v>异常用例</x:v>
      </x:c>
      <x:c r="F164" s="4" t="str">
        <x:v>P1</x:v>
      </x:c>
      <x:c r="G164" s="4" t="str">
        <x:v>验证邮箱验证码非数字</x:v>
      </x:c>
      <x:c r="H164" s="4" t="str">
        <x:v>邮箱验证码非数字</x:v>
      </x:c>
      <x:c r="I164" s="4" t="str">
        <x:v>1. 执行者为待登录用户，尚未建立登录会话
2. 已注册邮箱可接收验证码</x:v>
      </x:c>
      <x:c r="J164" s="4" t="str">
        <x:v>1. 进入「邮箱登录」页
2. 在验证码输入框输入「12345a」</x:v>
      </x:c>
      <x:c r="K164" s="4" t="str">
        <x:v>验证码不接受非数字输入</x:v>
      </x:c>
      <x:c r="L164" s="4" t="str"/>
      <x:c r="M164" s="4" t="str">
        <x:v>未测</x:v>
      </x:c>
      <x:c r="N164" s="4" t="str"/>
      <x:c r="O164" s="4" t="str">
        <x:v>1. 来源：MainBasis/统一需求文档.md；U-auth-email-login-003
2. 场景：SC-7feb1e674a3209</x:v>
      </x:c>
    </x:row>
    <x:row r="165" ht="82" customHeight="1">
      <x:c r="A165" s="4" t="n">
        <x:v>164</x:v>
      </x:c>
      <x:c r="B165" s="4" t="str">
        <x:v>USER-0164</x:v>
      </x:c>
      <x:c r="C165" s="4" t="str">
        <x:v>M01 账号、登录、资料与设置</x:v>
      </x:c>
      <x:c r="D165" s="4" t="str">
        <x:v>邮箱登录（待登录用户视角）</x:v>
      </x:c>
      <x:c r="E165" s="4" t="str">
        <x:v>逻辑校验</x:v>
      </x:c>
      <x:c r="F165" s="4" t="str">
        <x:v>P1</x:v>
      </x:c>
      <x:c r="G165" s="4" t="str">
        <x:v>验证邮箱验证码299秒有效期</x:v>
      </x:c>
      <x:c r="H165" s="4" t="str">
        <x:v>邮箱验证码299秒有效期</x:v>
      </x:c>
      <x:c r="I165" s="4" t="str">
        <x:v>1. 执行者为待登录用户，尚未建立登录会话
2. 已获取正确验证码
3. 验证码从生成时起已过去299秒</x:v>
      </x:c>
      <x:c r="J165" s="4" t="str">
        <x:v>1. 进入「邮箱登录」页
2. 输入该验证码
3. 勾选协议
4. 点击「继续」</x:v>
      </x:c>
      <x:c r="K165" s="4" t="str">
        <x:v>使用该验证码登录后进入首页</x:v>
      </x:c>
      <x:c r="L165" s="4" t="str"/>
      <x:c r="M165" s="4" t="str">
        <x:v>未测</x:v>
      </x:c>
      <x:c r="N165" s="4" t="str"/>
      <x:c r="O165" s="4" t="str">
        <x:v>1. 来源：MainBasis/统一需求文档.md；U-auth-email-login-003
2. 场景：SC-5392766a2f359e</x:v>
      </x:c>
    </x:row>
    <x:row r="166" ht="82" customHeight="1">
      <x:c r="A166" s="4" t="n">
        <x:v>165</x:v>
      </x:c>
      <x:c r="B166" s="4" t="str">
        <x:v>USER-0165</x:v>
      </x:c>
      <x:c r="C166" s="4" t="str">
        <x:v>M01 账号、登录、资料与设置</x:v>
      </x:c>
      <x:c r="D166" s="4" t="str">
        <x:v>邮箱登录（待登录用户视角）</x:v>
      </x:c>
      <x:c r="E166" s="4" t="str">
        <x:v>逻辑校验</x:v>
      </x:c>
      <x:c r="F166" s="4" t="str">
        <x:v>P1</x:v>
      </x:c>
      <x:c r="G166" s="4" t="str">
        <x:v>验证邮箱验证码300秒有效期</x:v>
      </x:c>
      <x:c r="H166" s="4" t="str">
        <x:v>邮箱验证码300秒有效期</x:v>
      </x:c>
      <x:c r="I166" s="4" t="str">
        <x:v>1. 执行者为待登录用户，尚未建立登录会话
2. 已获取正确验证码
3. 验证码从生成时起已过去300秒</x:v>
      </x:c>
      <x:c r="J166" s="4" t="str">
        <x:v>1. 进入「邮箱登录」页
2. 输入该验证码
3. 勾选协议
4. 点击「继续」</x:v>
      </x:c>
      <x:c r="K166" s="4" t="str">
        <x:v>该验证码已过期，不能用于登录</x:v>
      </x:c>
      <x:c r="L166" s="4" t="str"/>
      <x:c r="M166" s="4" t="str">
        <x:v>未测</x:v>
      </x:c>
      <x:c r="N166" s="4" t="str"/>
      <x:c r="O166" s="4" t="str">
        <x:v>1. 来源：MainBasis/统一需求文档.md；U-auth-email-login-003
2. 场景：SC-0ccf6b57474f01</x:v>
      </x:c>
    </x:row>
    <x:row r="167" ht="82" customHeight="1">
      <x:c r="A167" s="4" t="n">
        <x:v>166</x:v>
      </x:c>
      <x:c r="B167" s="4" t="str">
        <x:v>USER-0166</x:v>
      </x:c>
      <x:c r="C167" s="4" t="str">
        <x:v>M01 账号、登录、资料与设置</x:v>
      </x:c>
      <x:c r="D167" s="4" t="str">
        <x:v>邮箱登录（待登录用户视角）</x:v>
      </x:c>
      <x:c r="E167" s="4" t="str">
        <x:v>逻辑校验</x:v>
      </x:c>
      <x:c r="F167" s="4" t="str">
        <x:v>P1</x:v>
      </x:c>
      <x:c r="G167" s="4" t="str">
        <x:v>验证邮箱验证码301秒有效期</x:v>
      </x:c>
      <x:c r="H167" s="4" t="str">
        <x:v>邮箱验证码301秒有效期</x:v>
      </x:c>
      <x:c r="I167" s="4" t="str">
        <x:v>1. 执行者为待登录用户，尚未建立登录会话
2. 已获取正确验证码
3. 验证码从生成时起已过去301秒</x:v>
      </x:c>
      <x:c r="J167" s="4" t="str">
        <x:v>1. 进入「邮箱登录」页
2. 输入该验证码
3. 勾选协议
4. 点击「继续」</x:v>
      </x:c>
      <x:c r="K167" s="4" t="str">
        <x:v>该验证码已过期，不能用于登录</x:v>
      </x:c>
      <x:c r="L167" s="4" t="str"/>
      <x:c r="M167" s="4" t="str">
        <x:v>未测</x:v>
      </x:c>
      <x:c r="N167" s="4" t="str"/>
      <x:c r="O167" s="4" t="str">
        <x:v>1. 来源：MainBasis/统一需求文档.md；U-auth-email-login-003
2. 场景：SC-5e5b4ee2c24079</x:v>
      </x:c>
    </x:row>
    <x:row r="168" ht="82" customHeight="1">
      <x:c r="A168" s="4" t="n">
        <x:v>167</x:v>
      </x:c>
      <x:c r="B168" s="4" t="str">
        <x:v>USER-0167</x:v>
      </x:c>
      <x:c r="C168" s="4" t="str">
        <x:v>M01 账号、登录、资料与设置</x:v>
      </x:c>
      <x:c r="D168" s="4" t="str">
        <x:v>邮箱登录（待登录用户视角）</x:v>
      </x:c>
      <x:c r="E168" s="4" t="str">
        <x:v>逻辑校验</x:v>
      </x:c>
      <x:c r="F168" s="4" t="str">
        <x:v>P1</x:v>
      </x:c>
      <x:c r="G168" s="4" t="str">
        <x:v>验证邮箱验证码连续4次错误</x:v>
      </x:c>
      <x:c r="H168" s="4" t="str">
        <x:v>邮箱验证码连续4次错误</x:v>
      </x:c>
      <x:c r="I168" s="4" t="str">
        <x:v>1. 执行者为待登录用户，尚未建立登录会话
2. 同一验证码尚在5分钟有效期内
3. 已连续提交错误验证码4次</x:v>
      </x:c>
      <x:c r="J168" s="4" t="str">
        <x:v>1. 进入「邮箱登录」页
2. 输入该次发放的正确验证码
3. 勾选协议
4. 点击「继续」</x:v>
      </x:c>
      <x:c r="K168" s="4" t="str">
        <x:v>使用该验证码登录后进入首页</x:v>
      </x:c>
      <x:c r="L168" s="4" t="str"/>
      <x:c r="M168" s="4" t="str">
        <x:v>未测</x:v>
      </x:c>
      <x:c r="N168" s="4" t="str"/>
      <x:c r="O168" s="4" t="str">
        <x:v>1. 来源：MainBasis/统一需求文档.md；U-auth-email-login-003
2. 场景：SC-c8206729f7eabe</x:v>
      </x:c>
    </x:row>
    <x:row r="169" ht="82" customHeight="1">
      <x:c r="A169" s="4" t="n">
        <x:v>168</x:v>
      </x:c>
      <x:c r="B169" s="4" t="str">
        <x:v>USER-0168</x:v>
      </x:c>
      <x:c r="C169" s="4" t="str">
        <x:v>M01 账号、登录、资料与设置</x:v>
      </x:c>
      <x:c r="D169" s="4" t="str">
        <x:v>邮箱登录（待登录用户视角）</x:v>
      </x:c>
      <x:c r="E169" s="4" t="str">
        <x:v>逻辑校验</x:v>
      </x:c>
      <x:c r="F169" s="4" t="str">
        <x:v>P1</x:v>
      </x:c>
      <x:c r="G169" s="4" t="str">
        <x:v>验证邮箱验证码连续5次错误</x:v>
      </x:c>
      <x:c r="H169" s="4" t="str">
        <x:v>邮箱验证码连续5次错误</x:v>
      </x:c>
      <x:c r="I169" s="4" t="str">
        <x:v>1. 执行者为待登录用户，尚未建立登录会话
2. 同一验证码尚在5分钟有效期内
3. 已连续提交错误验证码5次</x:v>
      </x:c>
      <x:c r="J169" s="4" t="str">
        <x:v>1. 进入「邮箱登录」页
2. 输入该次发放的正确验证码
3. 勾选协议
4. 点击「继续」</x:v>
      </x:c>
      <x:c r="K169" s="4" t="str">
        <x:v>当前验证码已失效，不能用于登录</x:v>
      </x:c>
      <x:c r="L169" s="4" t="str"/>
      <x:c r="M169" s="4" t="str">
        <x:v>未测</x:v>
      </x:c>
      <x:c r="N169" s="4" t="str"/>
      <x:c r="O169" s="4" t="str">
        <x:v>1. 来源：MainBasis/统一需求文档.md；U-auth-email-login-003
2. 场景：SC-435de49605b2f0</x:v>
      </x:c>
    </x:row>
    <x:row r="170" ht="68" customHeight="1">
      <x:c r="A170" s="4" t="n">
        <x:v>169</x:v>
      </x:c>
      <x:c r="B170" s="4" t="str">
        <x:v>USER-0169</x:v>
      </x:c>
      <x:c r="C170" s="4" t="str">
        <x:v>M01 账号、登录、资料与设置</x:v>
      </x:c>
      <x:c r="D170" s="4" t="str">
        <x:v>邮箱登录（待登录用户视角）</x:v>
      </x:c>
      <x:c r="E170" s="4" t="str">
        <x:v>逻辑校验</x:v>
      </x:c>
      <x:c r="F170" s="4" t="str">
        <x:v>P1</x:v>
      </x:c>
      <x:c r="G170" s="4" t="str">
        <x:v>验证邮箱验证码重发0秒</x:v>
      </x:c>
      <x:c r="H170" s="4" t="str">
        <x:v>邮箱验证码重发0秒</x:v>
      </x:c>
      <x:c r="I170" s="4" t="str">
        <x:v>1. 执行者为待登录用户，尚未建立登录会话
2. 有效邮箱已成功发送验证码
3. 距发送已过去0秒</x:v>
      </x:c>
      <x:c r="J170" s="4" t="str">
        <x:v>1. 进入「邮箱登录」页
2. 查看「获取验证码」按钮</x:v>
      </x:c>
      <x:c r="K170" s="4" t="str">
        <x:v>获取验证码按钮不可用</x:v>
      </x:c>
      <x:c r="L170" s="4" t="str"/>
      <x:c r="M170" s="4" t="str">
        <x:v>未测</x:v>
      </x:c>
      <x:c r="N170" s="4" t="str"/>
      <x:c r="O170" s="4" t="str">
        <x:v>1. 来源：MainBasis/统一需求文档.md；U-auth-email-login-007
2. 场景：SC-5c2955237ec3e1</x:v>
      </x:c>
    </x:row>
    <x:row r="171" ht="68" customHeight="1">
      <x:c r="A171" s="4" t="n">
        <x:v>170</x:v>
      </x:c>
      <x:c r="B171" s="4" t="str">
        <x:v>USER-0170</x:v>
      </x:c>
      <x:c r="C171" s="4" t="str">
        <x:v>M01 账号、登录、资料与设置</x:v>
      </x:c>
      <x:c r="D171" s="4" t="str">
        <x:v>邮箱登录（待登录用户视角）</x:v>
      </x:c>
      <x:c r="E171" s="4" t="str">
        <x:v>逻辑校验</x:v>
      </x:c>
      <x:c r="F171" s="4" t="str">
        <x:v>P1</x:v>
      </x:c>
      <x:c r="G171" s="4" t="str">
        <x:v>验证邮箱验证码重发59秒</x:v>
      </x:c>
      <x:c r="H171" s="4" t="str">
        <x:v>邮箱验证码重发59秒</x:v>
      </x:c>
      <x:c r="I171" s="4" t="str">
        <x:v>1. 执行者为待登录用户，尚未建立登录会话
2. 有效邮箱已成功发送验证码
3. 距发送已过去59秒</x:v>
      </x:c>
      <x:c r="J171" s="4" t="str">
        <x:v>1. 进入「邮箱登录」页
2. 查看「获取验证码」按钮</x:v>
      </x:c>
      <x:c r="K171" s="4" t="str">
        <x:v>获取验证码按钮不可用</x:v>
      </x:c>
      <x:c r="L171" s="4" t="str"/>
      <x:c r="M171" s="4" t="str">
        <x:v>未测</x:v>
      </x:c>
      <x:c r="N171" s="4" t="str"/>
      <x:c r="O171" s="4" t="str">
        <x:v>1. 来源：MainBasis/统一需求文档.md；U-auth-email-login-007
2. 场景：SC-dac8c6fb26946c</x:v>
      </x:c>
    </x:row>
    <x:row r="172" ht="68" customHeight="1">
      <x:c r="A172" s="4" t="n">
        <x:v>171</x:v>
      </x:c>
      <x:c r="B172" s="4" t="str">
        <x:v>USER-0171</x:v>
      </x:c>
      <x:c r="C172" s="4" t="str">
        <x:v>M01 账号、登录、资料与设置</x:v>
      </x:c>
      <x:c r="D172" s="4" t="str">
        <x:v>邮箱登录（待登录用户视角）</x:v>
      </x:c>
      <x:c r="E172" s="4" t="str">
        <x:v>逻辑校验</x:v>
      </x:c>
      <x:c r="F172" s="4" t="str">
        <x:v>P1</x:v>
      </x:c>
      <x:c r="G172" s="4" t="str">
        <x:v>验证邮箱验证码重发60秒</x:v>
      </x:c>
      <x:c r="H172" s="4" t="str">
        <x:v>邮箱验证码重发60秒</x:v>
      </x:c>
      <x:c r="I172" s="4" t="str">
        <x:v>1. 执行者为待登录用户，尚未建立登录会话
2. 有效邮箱已成功发送验证码
3. 距发送已过去60秒</x:v>
      </x:c>
      <x:c r="J172" s="4" t="str">
        <x:v>1. 进入「邮箱登录」页
2. 查看「获取验证码」按钮</x:v>
      </x:c>
      <x:c r="K172" s="4" t="str">
        <x:v>获取验证码按钮可再次使用</x:v>
      </x:c>
      <x:c r="L172" s="4" t="str"/>
      <x:c r="M172" s="4" t="str">
        <x:v>未测</x:v>
      </x:c>
      <x:c r="N172" s="4" t="str"/>
      <x:c r="O172" s="4" t="str">
        <x:v>1. 来源：MainBasis/统一需求文档.md；U-auth-email-login-007
2. 场景：SC-fb4012ded8b9e8</x:v>
      </x:c>
    </x:row>
    <x:row r="173" ht="54" customHeight="1">
      <x:c r="A173" s="4" t="n">
        <x:v>172</x:v>
      </x:c>
      <x:c r="B173" s="4" t="str">
        <x:v>USER-0172</x:v>
      </x:c>
      <x:c r="C173" s="4" t="str">
        <x:v>M01 账号、登录、资料与设置</x:v>
      </x:c>
      <x:c r="D173" s="4" t="str">
        <x:v>邮箱登录（待登录用户视角）</x:v>
      </x:c>
      <x:c r="E173" s="4" t="str">
        <x:v>逻辑校验</x:v>
      </x:c>
      <x:c r="F173" s="4" t="str">
        <x:v>P1</x:v>
      </x:c>
      <x:c r="G173" s="4" t="str">
        <x:v>验证邮箱格式test@example.com</x:v>
      </x:c>
      <x:c r="H173" s="4" t="str">
        <x:v>邮箱格式test@example.com</x:v>
      </x:c>
      <x:c r="I173" s="4" t="str">
        <x:v>1. 执行者为待登录用户，尚未建立登录会话</x:v>
      </x:c>
      <x:c r="J173" s="4" t="str">
        <x:v>1. 进入「邮箱登录」页
2. 输入邮箱「test@example.com」</x:v>
      </x:c>
      <x:c r="K173" s="4" t="str">
        <x:v>该邮箱可用于获取验证码</x:v>
      </x:c>
      <x:c r="L173" s="4" t="str"/>
      <x:c r="M173" s="4" t="str">
        <x:v>未测</x:v>
      </x:c>
      <x:c r="N173" s="4" t="str"/>
      <x:c r="O173" s="4" t="str">
        <x:v>1. 来源：MainBasis/统一需求文档.md；U-auth-email-login-002
2. 场景：SC-4e09cabd40bc57</x:v>
      </x:c>
    </x:row>
    <x:row r="174" ht="54" customHeight="1">
      <x:c r="A174" s="4" t="n">
        <x:v>173</x:v>
      </x:c>
      <x:c r="B174" s="4" t="str">
        <x:v>USER-0173</x:v>
      </x:c>
      <x:c r="C174" s="4" t="str">
        <x:v>M01 账号、登录、资料与设置</x:v>
      </x:c>
      <x:c r="D174" s="4" t="str">
        <x:v>邮箱登录（待登录用户视角）</x:v>
      </x:c>
      <x:c r="E174" s="4" t="str">
        <x:v>逻辑校验</x:v>
      </x:c>
      <x:c r="F174" s="4" t="str">
        <x:v>P1</x:v>
      </x:c>
      <x:c r="G174" s="4" t="str">
        <x:v>验证邮箱格式testexample.com</x:v>
      </x:c>
      <x:c r="H174" s="4" t="str">
        <x:v>邮箱格式testexample.com</x:v>
      </x:c>
      <x:c r="I174" s="4" t="str">
        <x:v>1. 执行者为待登录用户，尚未建立登录会话</x:v>
      </x:c>
      <x:c r="J174" s="4" t="str">
        <x:v>1. 进入「邮箱登录」页
2. 输入邮箱「testexample.com」</x:v>
      </x:c>
      <x:c r="K174" s="4" t="str">
        <x:v>该邮箱格式无效，不能获取验证码</x:v>
      </x:c>
      <x:c r="L174" s="4" t="str"/>
      <x:c r="M174" s="4" t="str">
        <x:v>未测</x:v>
      </x:c>
      <x:c r="N174" s="4" t="str"/>
      <x:c r="O174" s="4" t="str">
        <x:v>1. 来源：MainBasis/统一需求文档.md；U-auth-email-login-002
2. 场景：SC-f89460592559d5</x:v>
      </x:c>
    </x:row>
    <x:row r="175" ht="54" customHeight="1">
      <x:c r="A175" s="4" t="n">
        <x:v>174</x:v>
      </x:c>
      <x:c r="B175" s="4" t="str">
        <x:v>USER-0174</x:v>
      </x:c>
      <x:c r="C175" s="4" t="str">
        <x:v>M01 账号、登录、资料与设置</x:v>
      </x:c>
      <x:c r="D175" s="4" t="str">
        <x:v>邮箱登录（待登录用户视角）</x:v>
      </x:c>
      <x:c r="E175" s="4" t="str">
        <x:v>逻辑校验</x:v>
      </x:c>
      <x:c r="F175" s="4" t="str">
        <x:v>P1</x:v>
      </x:c>
      <x:c r="G175" s="4" t="str">
        <x:v>验证邮箱格式test@</x:v>
      </x:c>
      <x:c r="H175" s="4" t="str">
        <x:v>邮箱格式test@</x:v>
      </x:c>
      <x:c r="I175" s="4" t="str">
        <x:v>1. 执行者为待登录用户，尚未建立登录会话</x:v>
      </x:c>
      <x:c r="J175" s="4" t="str">
        <x:v>1. 进入「邮箱登录」页
2. 输入邮箱「test@」</x:v>
      </x:c>
      <x:c r="K175" s="4" t="str">
        <x:v>该邮箱格式无效，不能获取验证码</x:v>
      </x:c>
      <x:c r="L175" s="4" t="str"/>
      <x:c r="M175" s="4" t="str">
        <x:v>未测</x:v>
      </x:c>
      <x:c r="N175" s="4" t="str"/>
      <x:c r="O175" s="4" t="str">
        <x:v>1. 来源：MainBasis/统一需求文档.md；U-auth-email-login-002
2. 场景：SC-a7b33c41e4ec7f</x:v>
      </x:c>
    </x:row>
    <x:row r="176" ht="54" customHeight="1">
      <x:c r="A176" s="4" t="n">
        <x:v>175</x:v>
      </x:c>
      <x:c r="B176" s="4" t="str">
        <x:v>USER-0175</x:v>
      </x:c>
      <x:c r="C176" s="4" t="str">
        <x:v>M01 账号、登录、资料与设置</x:v>
      </x:c>
      <x:c r="D176" s="4" t="str">
        <x:v>邮箱登录（待登录用户视角）</x:v>
      </x:c>
      <x:c r="E176" s="4" t="str">
        <x:v>逻辑校验</x:v>
      </x:c>
      <x:c r="F176" s="4" t="str">
        <x:v>P1</x:v>
      </x:c>
      <x:c r="G176" s="4" t="str">
        <x:v>验证邮箱格式@example.com</x:v>
      </x:c>
      <x:c r="H176" s="4" t="str">
        <x:v>邮箱格式@example.com</x:v>
      </x:c>
      <x:c r="I176" s="4" t="str">
        <x:v>1. 执行者为待登录用户，尚未建立登录会话</x:v>
      </x:c>
      <x:c r="J176" s="4" t="str">
        <x:v>1. 进入「邮箱登录」页
2. 输入邮箱「@example.com」</x:v>
      </x:c>
      <x:c r="K176" s="4" t="str">
        <x:v>该邮箱格式无效，不能获取验证码</x:v>
      </x:c>
      <x:c r="L176" s="4" t="str"/>
      <x:c r="M176" s="4" t="str">
        <x:v>未测</x:v>
      </x:c>
      <x:c r="N176" s="4" t="str"/>
      <x:c r="O176" s="4" t="str">
        <x:v>1. 来源：MainBasis/统一需求文档.md；U-auth-email-login-002
2. 场景：SC-5c90e61763724c</x:v>
      </x:c>
    </x:row>
    <x:row r="177" ht="54" customHeight="1">
      <x:c r="A177" s="4" t="n">
        <x:v>176</x:v>
      </x:c>
      <x:c r="B177" s="4" t="str">
        <x:v>USER-0176</x:v>
      </x:c>
      <x:c r="C177" s="4" t="str">
        <x:v>M01 账号、登录、资料与设置</x:v>
      </x:c>
      <x:c r="D177" s="4" t="str">
        <x:v>资料编辑（用户视角）</x:v>
      </x:c>
      <x:c r="E177" s="4" t="str">
        <x:v>功能需求</x:v>
      </x:c>
      <x:c r="F177" s="4" t="str">
        <x:v>P2</x:v>
      </x:c>
      <x:c r="G177" s="4" t="str">
        <x:v>验证性别回显</x:v>
      </x:c>
      <x:c r="H177" s="4" t="str">
        <x:v>性别回显</x:v>
      </x:c>
      <x:c r="I177" s="4" t="str">
        <x:v>1. 已登录用户账号
2. 所选对象存在，已记录该对象的性别值</x:v>
      </x:c>
      <x:c r="J177" s="4" t="str">
        <x:v>1. 进入「资料编辑」页
2. 查看性别回显</x:v>
      </x:c>
      <x:c r="K177" s="4" t="str">
        <x:v>「性别」内容与所选对象的该项资料一致</x:v>
      </x:c>
      <x:c r="L177" s="4" t="str"/>
      <x:c r="M177" s="4" t="str">
        <x:v>未测</x:v>
      </x:c>
      <x:c r="N177" s="4" t="str"/>
      <x:c r="O177" s="4" t="str">
        <x:v>1. 来源：MainBasis/统一需求文档.md；U-profile-edit-007
2. 场景：SC-a42ca002f311fa</x:v>
      </x:c>
    </x:row>
    <x:row r="178" ht="54" customHeight="1">
      <x:c r="A178" s="4" t="n">
        <x:v>177</x:v>
      </x:c>
      <x:c r="B178" s="4" t="str">
        <x:v>USER-0177</x:v>
      </x:c>
      <x:c r="C178" s="4" t="str">
        <x:v>M01 账号、登录、资料与设置</x:v>
      </x:c>
      <x:c r="D178" s="4" t="str">
        <x:v>资料编辑（用户视角）</x:v>
      </x:c>
      <x:c r="E178" s="4" t="str">
        <x:v>功能需求</x:v>
      </x:c>
      <x:c r="F178" s="4" t="str">
        <x:v>P1</x:v>
      </x:c>
      <x:c r="G178" s="4" t="str">
        <x:v>验证用户 ID 只读</x:v>
      </x:c>
      <x:c r="H178" s="4" t="str">
        <x:v>用户 ID 只读</x:v>
      </x:c>
      <x:c r="I178" s="4" t="str">
        <x:v>1. 已登录用户账号
2. 当前账号已创建</x:v>
      </x:c>
      <x:c r="J178" s="4" t="str">
        <x:v>1. 进入「资料编辑」页
2. 查看用户 ID 只读</x:v>
      </x:c>
      <x:c r="K178" s="4" t="str">
        <x:v>用户 ID 不提供编辑能力</x:v>
      </x:c>
      <x:c r="L178" s="4" t="str"/>
      <x:c r="M178" s="4" t="str">
        <x:v>未测</x:v>
      </x:c>
      <x:c r="N178" s="4" t="str"/>
      <x:c r="O178" s="4" t="str">
        <x:v>1. 来源：MainBasis/统一需求文档.md；U-profile-edit-002
2. 场景：SC-a8be8c8e6904de</x:v>
      </x:c>
    </x:row>
    <x:row r="179" ht="54" customHeight="1">
      <x:c r="A179" s="4" t="n">
        <x:v>178</x:v>
      </x:c>
      <x:c r="B179" s="4" t="str">
        <x:v>USER-0178</x:v>
      </x:c>
      <x:c r="C179" s="4" t="str">
        <x:v>M01 账号、登录、资料与设置</x:v>
      </x:c>
      <x:c r="D179" s="4" t="str">
        <x:v>资料编辑（用户视角）</x:v>
      </x:c>
      <x:c r="E179" s="4" t="str">
        <x:v>异常用例</x:v>
      </x:c>
      <x:c r="F179" s="4" t="str">
        <x:v>P1</x:v>
      </x:c>
      <x:c r="G179" s="4" t="str">
        <x:v>验证昵称0字符限制</x:v>
      </x:c>
      <x:c r="H179" s="4" t="str">
        <x:v>昵称0字符限制</x:v>
      </x:c>
      <x:c r="I179" s="4" t="str">
        <x:v>1. 已登录用户账号
2. 其他必填字段为合法值</x:v>
      </x:c>
      <x:c r="J179" s="4" t="str">
        <x:v>1. 进入「资料编辑」页
2. 清空「昵称」</x:v>
      </x:c>
      <x:c r="K179" s="4" t="str">
        <x:v>昵称未通过校验，无法保存</x:v>
      </x:c>
      <x:c r="L179" s="4" t="str"/>
      <x:c r="M179" s="4" t="str">
        <x:v>未测</x:v>
      </x:c>
      <x:c r="N179" s="4" t="str"/>
      <x:c r="O179" s="4" t="str">
        <x:v>1. 来源：MainBasis/统一需求文档.md；U-profile-edit-005、U-profile-edit-011
2. 场景：SC-0ca06791ab1935</x:v>
      </x:c>
    </x:row>
    <x:row r="180" ht="54" customHeight="1">
      <x:c r="A180" s="4" t="n">
        <x:v>179</x:v>
      </x:c>
      <x:c r="B180" s="4" t="str">
        <x:v>USER-0179</x:v>
      </x:c>
      <x:c r="C180" s="4" t="str">
        <x:v>M01 账号、登录、资料与设置</x:v>
      </x:c>
      <x:c r="D180" s="4" t="str">
        <x:v>资料编辑（用户视角）</x:v>
      </x:c>
      <x:c r="E180" s="4" t="str">
        <x:v>逻辑校验</x:v>
      </x:c>
      <x:c r="F180" s="4" t="str">
        <x:v>P1</x:v>
      </x:c>
      <x:c r="G180" s="4" t="str">
        <x:v>验证昵称1字符可填写</x:v>
      </x:c>
      <x:c r="H180" s="4" t="str">
        <x:v>昵称1字符可填写</x:v>
      </x:c>
      <x:c r="I180" s="4" t="str">
        <x:v>1. 已登录用户账号
2. 其他必填字段为合法值</x:v>
      </x:c>
      <x:c r="J180" s="4" t="str">
        <x:v>1. 进入「资料编辑」页
2. 在「昵称」输入1个「测」字符</x:v>
      </x:c>
      <x:c r="K180" s="4" t="str">
        <x:v>「昵称」保留1个字符</x:v>
      </x:c>
      <x:c r="L180" s="4" t="str"/>
      <x:c r="M180" s="4" t="str">
        <x:v>未测</x:v>
      </x:c>
      <x:c r="N180" s="4" t="str"/>
      <x:c r="O180" s="4" t="str">
        <x:v>1. 来源：MainBasis/统一需求文档.md；U-profile-edit-005、U-profile-edit-011
2. 场景：SC-74c297524aadfa</x:v>
      </x:c>
    </x:row>
    <x:row r="181" ht="54" customHeight="1">
      <x:c r="A181" s="4" t="n">
        <x:v>180</x:v>
      </x:c>
      <x:c r="B181" s="4" t="str">
        <x:v>USER-0180</x:v>
      </x:c>
      <x:c r="C181" s="4" t="str">
        <x:v>M01 账号、登录、资料与设置</x:v>
      </x:c>
      <x:c r="D181" s="4" t="str">
        <x:v>资料编辑（用户视角）</x:v>
      </x:c>
      <x:c r="E181" s="4" t="str">
        <x:v>逻辑校验</x:v>
      </x:c>
      <x:c r="F181" s="4" t="str">
        <x:v>P1</x:v>
      </x:c>
      <x:c r="G181" s="4" t="str">
        <x:v>验证昵称19字符可填写</x:v>
      </x:c>
      <x:c r="H181" s="4" t="str">
        <x:v>昵称19字符可填写</x:v>
      </x:c>
      <x:c r="I181" s="4" t="str">
        <x:v>1. 已登录用户账号
2. 其他必填字段为合法值</x:v>
      </x:c>
      <x:c r="J181" s="4" t="str">
        <x:v>1. 进入「资料编辑」页
2. 在「昵称」输入19个「测」字符</x:v>
      </x:c>
      <x:c r="K181" s="4" t="str">
        <x:v>「昵称」保留19个字符</x:v>
      </x:c>
      <x:c r="L181" s="4" t="str"/>
      <x:c r="M181" s="4" t="str">
        <x:v>未测</x:v>
      </x:c>
      <x:c r="N181" s="4" t="str"/>
      <x:c r="O181" s="4" t="str">
        <x:v>1. 来源：MainBasis/统一需求文档.md；U-profile-edit-005、U-profile-edit-011
2. 场景：SC-fabe6a1faf1803</x:v>
      </x:c>
    </x:row>
    <x:row r="182" ht="54" customHeight="1">
      <x:c r="A182" s="4" t="n">
        <x:v>181</x:v>
      </x:c>
      <x:c r="B182" s="4" t="str">
        <x:v>USER-0181</x:v>
      </x:c>
      <x:c r="C182" s="4" t="str">
        <x:v>M01 账号、登录、资料与设置</x:v>
      </x:c>
      <x:c r="D182" s="4" t="str">
        <x:v>资料编辑（用户视角）</x:v>
      </x:c>
      <x:c r="E182" s="4" t="str">
        <x:v>逻辑校验</x:v>
      </x:c>
      <x:c r="F182" s="4" t="str">
        <x:v>P1</x:v>
      </x:c>
      <x:c r="G182" s="4" t="str">
        <x:v>验证昵称20字符可填写</x:v>
      </x:c>
      <x:c r="H182" s="4" t="str">
        <x:v>昵称20字符可填写</x:v>
      </x:c>
      <x:c r="I182" s="4" t="str">
        <x:v>1. 已登录用户账号
2. 其他必填字段为合法值</x:v>
      </x:c>
      <x:c r="J182" s="4" t="str">
        <x:v>1. 进入「资料编辑」页
2. 在「昵称」输入20个「测」字符</x:v>
      </x:c>
      <x:c r="K182" s="4" t="str">
        <x:v>「昵称」保留20个字符</x:v>
      </x:c>
      <x:c r="L182" s="4" t="str"/>
      <x:c r="M182" s="4" t="str">
        <x:v>未测</x:v>
      </x:c>
      <x:c r="N182" s="4" t="str"/>
      <x:c r="O182" s="4" t="str">
        <x:v>1. 来源：MainBasis/统一需求文档.md；U-profile-edit-005、U-profile-edit-011
2. 场景：SC-9304f42f540af8</x:v>
      </x:c>
    </x:row>
    <x:row r="183" ht="54" customHeight="1">
      <x:c r="A183" s="4" t="n">
        <x:v>182</x:v>
      </x:c>
      <x:c r="B183" s="4" t="str">
        <x:v>USER-0182</x:v>
      </x:c>
      <x:c r="C183" s="4" t="str">
        <x:v>M01 账号、登录、资料与设置</x:v>
      </x:c>
      <x:c r="D183" s="4" t="str">
        <x:v>资料编辑（用户视角）</x:v>
      </x:c>
      <x:c r="E183" s="4" t="str">
        <x:v>异常用例</x:v>
      </x:c>
      <x:c r="F183" s="4" t="str">
        <x:v>P1</x:v>
      </x:c>
      <x:c r="G183" s="4" t="str">
        <x:v>验证昵称21字符限制</x:v>
      </x:c>
      <x:c r="H183" s="4" t="str">
        <x:v>昵称21字符限制</x:v>
      </x:c>
      <x:c r="I183" s="4" t="str">
        <x:v>1. 已登录用户账号
2. 其他必填字段为合法值</x:v>
      </x:c>
      <x:c r="J183" s="4" t="str">
        <x:v>1. 进入「资料编辑」页
2. 在「昵称」输入21个「测」字符</x:v>
      </x:c>
      <x:c r="K183" s="4" t="str">
        <x:v>「昵称」最多保留20个字符</x:v>
      </x:c>
      <x:c r="L183" s="4" t="str"/>
      <x:c r="M183" s="4" t="str">
        <x:v>未测</x:v>
      </x:c>
      <x:c r="N183" s="4" t="str"/>
      <x:c r="O183" s="4" t="str">
        <x:v>1. 来源：MainBasis/统一需求文档.md；U-profile-edit-005、U-profile-edit-011
2. 场景：SC-76c4f3b68c2838</x:v>
      </x:c>
    </x:row>
    <x:row r="184" ht="54" customHeight="1">
      <x:c r="A184" s="4" t="n">
        <x:v>183</x:v>
      </x:c>
      <x:c r="B184" s="4" t="str">
        <x:v>USER-0183</x:v>
      </x:c>
      <x:c r="C184" s="4" t="str">
        <x:v>M01 账号、登录、资料与设置</x:v>
      </x:c>
      <x:c r="D184" s="4" t="str">
        <x:v>资料编辑（用户视角）</x:v>
      </x:c>
      <x:c r="E184" s="4" t="str">
        <x:v>逻辑校验</x:v>
      </x:c>
      <x:c r="F184" s="4" t="str">
        <x:v>P1</x:v>
      </x:c>
      <x:c r="G184" s="4" t="str">
        <x:v>验证签名0字符可填写</x:v>
      </x:c>
      <x:c r="H184" s="4" t="str">
        <x:v>签名0字符可填写</x:v>
      </x:c>
      <x:c r="I184" s="4" t="str">
        <x:v>1. 已登录用户账号
2. 其他必填字段为合法值</x:v>
      </x:c>
      <x:c r="J184" s="4" t="str">
        <x:v>1. 进入「资料编辑」页
2. 清空「签名」</x:v>
      </x:c>
      <x:c r="K184" s="4" t="str">
        <x:v>「签名」保留0个字符</x:v>
      </x:c>
      <x:c r="L184" s="4" t="str"/>
      <x:c r="M184" s="4" t="str">
        <x:v>未测</x:v>
      </x:c>
      <x:c r="N184" s="4" t="str"/>
      <x:c r="O184" s="4" t="str">
        <x:v>1. 来源：MainBasis/统一需求文档.md；U-profile-edit-006
2. 场景：SC-65787ca08b902d</x:v>
      </x:c>
    </x:row>
    <x:row r="185" ht="54" customHeight="1">
      <x:c r="A185" s="4" t="n">
        <x:v>184</x:v>
      </x:c>
      <x:c r="B185" s="4" t="str">
        <x:v>USER-0184</x:v>
      </x:c>
      <x:c r="C185" s="4" t="str">
        <x:v>M01 账号、登录、资料与设置</x:v>
      </x:c>
      <x:c r="D185" s="4" t="str">
        <x:v>资料编辑（用户视角）</x:v>
      </x:c>
      <x:c r="E185" s="4" t="str">
        <x:v>逻辑校验</x:v>
      </x:c>
      <x:c r="F185" s="4" t="str">
        <x:v>P1</x:v>
      </x:c>
      <x:c r="G185" s="4" t="str">
        <x:v>验证签名1字符可填写</x:v>
      </x:c>
      <x:c r="H185" s="4" t="str">
        <x:v>签名1字符可填写</x:v>
      </x:c>
      <x:c r="I185" s="4" t="str">
        <x:v>1. 已登录用户账号
2. 其他必填字段为合法值</x:v>
      </x:c>
      <x:c r="J185" s="4" t="str">
        <x:v>1. 进入「资料编辑」页
2. 在「签名」输入1个「测」字符</x:v>
      </x:c>
      <x:c r="K185" s="4" t="str">
        <x:v>「签名」保留1个字符</x:v>
      </x:c>
      <x:c r="L185" s="4" t="str"/>
      <x:c r="M185" s="4" t="str">
        <x:v>未测</x:v>
      </x:c>
      <x:c r="N185" s="4" t="str"/>
      <x:c r="O185" s="4" t="str">
        <x:v>1. 来源：MainBasis/统一需求文档.md；U-profile-edit-006
2. 场景：SC-5cd2d736e7fa72</x:v>
      </x:c>
    </x:row>
    <x:row r="186" ht="54" customHeight="1">
      <x:c r="A186" s="4" t="n">
        <x:v>185</x:v>
      </x:c>
      <x:c r="B186" s="4" t="str">
        <x:v>USER-0185</x:v>
      </x:c>
      <x:c r="C186" s="4" t="str">
        <x:v>M01 账号、登录、资料与设置</x:v>
      </x:c>
      <x:c r="D186" s="4" t="str">
        <x:v>资料编辑（用户视角）</x:v>
      </x:c>
      <x:c r="E186" s="4" t="str">
        <x:v>逻辑校验</x:v>
      </x:c>
      <x:c r="F186" s="4" t="str">
        <x:v>P1</x:v>
      </x:c>
      <x:c r="G186" s="4" t="str">
        <x:v>验证签名79字符可填写</x:v>
      </x:c>
      <x:c r="H186" s="4" t="str">
        <x:v>签名79字符可填写</x:v>
      </x:c>
      <x:c r="I186" s="4" t="str">
        <x:v>1. 已登录用户账号
2. 其他必填字段为合法值</x:v>
      </x:c>
      <x:c r="J186" s="4" t="str">
        <x:v>1. 进入「资料编辑」页
2. 在「签名」输入79个「测」字符</x:v>
      </x:c>
      <x:c r="K186" s="4" t="str">
        <x:v>「签名」保留79个字符</x:v>
      </x:c>
      <x:c r="L186" s="4" t="str"/>
      <x:c r="M186" s="4" t="str">
        <x:v>未测</x:v>
      </x:c>
      <x:c r="N186" s="4" t="str"/>
      <x:c r="O186" s="4" t="str">
        <x:v>1. 来源：MainBasis/统一需求文档.md；U-profile-edit-006
2. 场景：SC-5a1cd45d5e0284</x:v>
      </x:c>
    </x:row>
    <x:row r="187" ht="54" customHeight="1">
      <x:c r="A187" s="4" t="n">
        <x:v>186</x:v>
      </x:c>
      <x:c r="B187" s="4" t="str">
        <x:v>USER-0186</x:v>
      </x:c>
      <x:c r="C187" s="4" t="str">
        <x:v>M01 账号、登录、资料与设置</x:v>
      </x:c>
      <x:c r="D187" s="4" t="str">
        <x:v>资料编辑（用户视角）</x:v>
      </x:c>
      <x:c r="E187" s="4" t="str">
        <x:v>逻辑校验</x:v>
      </x:c>
      <x:c r="F187" s="4" t="str">
        <x:v>P1</x:v>
      </x:c>
      <x:c r="G187" s="4" t="str">
        <x:v>验证签名80字符可填写</x:v>
      </x:c>
      <x:c r="H187" s="4" t="str">
        <x:v>签名80字符可填写</x:v>
      </x:c>
      <x:c r="I187" s="4" t="str">
        <x:v>1. 已登录用户账号
2. 其他必填字段为合法值</x:v>
      </x:c>
      <x:c r="J187" s="4" t="str">
        <x:v>1. 进入「资料编辑」页
2. 在「签名」输入80个「测」字符</x:v>
      </x:c>
      <x:c r="K187" s="4" t="str">
        <x:v>「签名」保留80个字符</x:v>
      </x:c>
      <x:c r="L187" s="4" t="str"/>
      <x:c r="M187" s="4" t="str">
        <x:v>未测</x:v>
      </x:c>
      <x:c r="N187" s="4" t="str"/>
      <x:c r="O187" s="4" t="str">
        <x:v>1. 来源：MainBasis/统一需求文档.md；U-profile-edit-006
2. 场景：SC-fb5831b068d5fc</x:v>
      </x:c>
    </x:row>
    <x:row r="188" ht="54" customHeight="1">
      <x:c r="A188" s="4" t="n">
        <x:v>187</x:v>
      </x:c>
      <x:c r="B188" s="4" t="str">
        <x:v>USER-0187</x:v>
      </x:c>
      <x:c r="C188" s="4" t="str">
        <x:v>M01 账号、登录、资料与设置</x:v>
      </x:c>
      <x:c r="D188" s="4" t="str">
        <x:v>资料编辑（用户视角）</x:v>
      </x:c>
      <x:c r="E188" s="4" t="str">
        <x:v>异常用例</x:v>
      </x:c>
      <x:c r="F188" s="4" t="str">
        <x:v>P1</x:v>
      </x:c>
      <x:c r="G188" s="4" t="str">
        <x:v>验证签名81字符限制</x:v>
      </x:c>
      <x:c r="H188" s="4" t="str">
        <x:v>签名81字符限制</x:v>
      </x:c>
      <x:c r="I188" s="4" t="str">
        <x:v>1. 已登录用户账号
2. 其他必填字段为合法值</x:v>
      </x:c>
      <x:c r="J188" s="4" t="str">
        <x:v>1. 进入「资料编辑」页
2. 在「签名」输入81个「测」字符</x:v>
      </x:c>
      <x:c r="K188" s="4" t="str">
        <x:v>「签名」最多保留80个字符</x:v>
      </x:c>
      <x:c r="L188" s="4" t="str"/>
      <x:c r="M188" s="4" t="str">
        <x:v>未测</x:v>
      </x:c>
      <x:c r="N188" s="4" t="str"/>
      <x:c r="O188" s="4" t="str">
        <x:v>1. 来源：MainBasis/统一需求文档.md；U-profile-edit-006
2. 场景：SC-67d688e7e8e34f</x:v>
      </x:c>
    </x:row>
    <x:row r="189" ht="54" customHeight="1">
      <x:c r="A189" s="4" t="n">
        <x:v>188</x:v>
      </x:c>
      <x:c r="B189" s="4" t="str">
        <x:v>USER-0188</x:v>
      </x:c>
      <x:c r="C189" s="4" t="str">
        <x:v>M01 账号、登录、资料与设置</x:v>
      </x:c>
      <x:c r="D189" s="4" t="str">
        <x:v>资料编辑（用户视角）</x:v>
      </x:c>
      <x:c r="E189" s="4" t="str">
        <x:v>逻辑校验</x:v>
      </x:c>
      <x:c r="F189" s="4" t="str">
        <x:v>P1</x:v>
      </x:c>
      <x:c r="G189" s="4" t="str">
        <x:v>验证地区0字符可填写</x:v>
      </x:c>
      <x:c r="H189" s="4" t="str">
        <x:v>地区0字符可填写</x:v>
      </x:c>
      <x:c r="I189" s="4" t="str">
        <x:v>1. 已登录用户账号
2. 其他必填字段为合法值</x:v>
      </x:c>
      <x:c r="J189" s="4" t="str">
        <x:v>1. 进入「资料编辑」页
2. 清空「地区」</x:v>
      </x:c>
      <x:c r="K189" s="4" t="str">
        <x:v>「地区」保留0个字符</x:v>
      </x:c>
      <x:c r="L189" s="4" t="str"/>
      <x:c r="M189" s="4" t="str">
        <x:v>未测</x:v>
      </x:c>
      <x:c r="N189" s="4" t="str"/>
      <x:c r="O189" s="4" t="str">
        <x:v>1. 来源：MainBasis/统一需求文档.md；U-profile-edit-008
2. 场景：SC-00625264ca1162</x:v>
      </x:c>
    </x:row>
    <x:row r="190" ht="54" customHeight="1">
      <x:c r="A190" s="4" t="n">
        <x:v>189</x:v>
      </x:c>
      <x:c r="B190" s="4" t="str">
        <x:v>USER-0189</x:v>
      </x:c>
      <x:c r="C190" s="4" t="str">
        <x:v>M01 账号、登录、资料与设置</x:v>
      </x:c>
      <x:c r="D190" s="4" t="str">
        <x:v>资料编辑（用户视角）</x:v>
      </x:c>
      <x:c r="E190" s="4" t="str">
        <x:v>逻辑校验</x:v>
      </x:c>
      <x:c r="F190" s="4" t="str">
        <x:v>P1</x:v>
      </x:c>
      <x:c r="G190" s="4" t="str">
        <x:v>验证地区1字符可填写</x:v>
      </x:c>
      <x:c r="H190" s="4" t="str">
        <x:v>地区1字符可填写</x:v>
      </x:c>
      <x:c r="I190" s="4" t="str">
        <x:v>1. 已登录用户账号
2. 其他必填字段为合法值</x:v>
      </x:c>
      <x:c r="J190" s="4" t="str">
        <x:v>1. 进入「资料编辑」页
2. 在「地区」输入1个「测」字符</x:v>
      </x:c>
      <x:c r="K190" s="4" t="str">
        <x:v>「地区」保留1个字符</x:v>
      </x:c>
      <x:c r="L190" s="4" t="str"/>
      <x:c r="M190" s="4" t="str">
        <x:v>未测</x:v>
      </x:c>
      <x:c r="N190" s="4" t="str"/>
      <x:c r="O190" s="4" t="str">
        <x:v>1. 来源：MainBasis/统一需求文档.md；U-profile-edit-008
2. 场景：SC-9722ddf2e43092</x:v>
      </x:c>
    </x:row>
    <x:row r="191" ht="54" customHeight="1">
      <x:c r="A191" s="4" t="n">
        <x:v>190</x:v>
      </x:c>
      <x:c r="B191" s="4" t="str">
        <x:v>USER-0190</x:v>
      </x:c>
      <x:c r="C191" s="4" t="str">
        <x:v>M01 账号、登录、资料与设置</x:v>
      </x:c>
      <x:c r="D191" s="4" t="str">
        <x:v>资料编辑（用户视角）</x:v>
      </x:c>
      <x:c r="E191" s="4" t="str">
        <x:v>逻辑校验</x:v>
      </x:c>
      <x:c r="F191" s="4" t="str">
        <x:v>P1</x:v>
      </x:c>
      <x:c r="G191" s="4" t="str">
        <x:v>验证地区29字符可填写</x:v>
      </x:c>
      <x:c r="H191" s="4" t="str">
        <x:v>地区29字符可填写</x:v>
      </x:c>
      <x:c r="I191" s="4" t="str">
        <x:v>1. 已登录用户账号
2. 其他必填字段为合法值</x:v>
      </x:c>
      <x:c r="J191" s="4" t="str">
        <x:v>1. 进入「资料编辑」页
2. 在「地区」输入29个「测」字符</x:v>
      </x:c>
      <x:c r="K191" s="4" t="str">
        <x:v>「地区」保留29个字符</x:v>
      </x:c>
      <x:c r="L191" s="4" t="str"/>
      <x:c r="M191" s="4" t="str">
        <x:v>未测</x:v>
      </x:c>
      <x:c r="N191" s="4" t="str"/>
      <x:c r="O191" s="4" t="str">
        <x:v>1. 来源：MainBasis/统一需求文档.md；U-profile-edit-008
2. 场景：SC-28776e786a88fc</x:v>
      </x:c>
    </x:row>
    <x:row r="192" ht="54" customHeight="1">
      <x:c r="A192" s="4" t="n">
        <x:v>191</x:v>
      </x:c>
      <x:c r="B192" s="4" t="str">
        <x:v>USER-0191</x:v>
      </x:c>
      <x:c r="C192" s="4" t="str">
        <x:v>M01 账号、登录、资料与设置</x:v>
      </x:c>
      <x:c r="D192" s="4" t="str">
        <x:v>资料编辑（用户视角）</x:v>
      </x:c>
      <x:c r="E192" s="4" t="str">
        <x:v>逻辑校验</x:v>
      </x:c>
      <x:c r="F192" s="4" t="str">
        <x:v>P1</x:v>
      </x:c>
      <x:c r="G192" s="4" t="str">
        <x:v>验证地区30字符可填写</x:v>
      </x:c>
      <x:c r="H192" s="4" t="str">
        <x:v>地区30字符可填写</x:v>
      </x:c>
      <x:c r="I192" s="4" t="str">
        <x:v>1. 已登录用户账号
2. 其他必填字段为合法值</x:v>
      </x:c>
      <x:c r="J192" s="4" t="str">
        <x:v>1. 进入「资料编辑」页
2. 在「地区」输入30个「测」字符</x:v>
      </x:c>
      <x:c r="K192" s="4" t="str">
        <x:v>「地区」保留30个字符</x:v>
      </x:c>
      <x:c r="L192" s="4" t="str"/>
      <x:c r="M192" s="4" t="str">
        <x:v>未测</x:v>
      </x:c>
      <x:c r="N192" s="4" t="str"/>
      <x:c r="O192" s="4" t="str">
        <x:v>1. 来源：MainBasis/统一需求文档.md；U-profile-edit-008
2. 场景：SC-b220bcd6c6f250</x:v>
      </x:c>
    </x:row>
    <x:row r="193" ht="54" customHeight="1">
      <x:c r="A193" s="4" t="n">
        <x:v>192</x:v>
      </x:c>
      <x:c r="B193" s="4" t="str">
        <x:v>USER-0192</x:v>
      </x:c>
      <x:c r="C193" s="4" t="str">
        <x:v>M01 账号、登录、资料与设置</x:v>
      </x:c>
      <x:c r="D193" s="4" t="str">
        <x:v>资料编辑（用户视角）</x:v>
      </x:c>
      <x:c r="E193" s="4" t="str">
        <x:v>异常用例</x:v>
      </x:c>
      <x:c r="F193" s="4" t="str">
        <x:v>P1</x:v>
      </x:c>
      <x:c r="G193" s="4" t="str">
        <x:v>验证地区31字符限制</x:v>
      </x:c>
      <x:c r="H193" s="4" t="str">
        <x:v>地区31字符限制</x:v>
      </x:c>
      <x:c r="I193" s="4" t="str">
        <x:v>1. 已登录用户账号
2. 其他必填字段为合法值</x:v>
      </x:c>
      <x:c r="J193" s="4" t="str">
        <x:v>1. 进入「资料编辑」页
2. 在「地区」输入31个「测」字符</x:v>
      </x:c>
      <x:c r="K193" s="4" t="str">
        <x:v>「地区」最多保留30个字符</x:v>
      </x:c>
      <x:c r="L193" s="4" t="str"/>
      <x:c r="M193" s="4" t="str">
        <x:v>未测</x:v>
      </x:c>
      <x:c r="N193" s="4" t="str"/>
      <x:c r="O193" s="4" t="str">
        <x:v>1. 来源：MainBasis/统一需求文档.md；U-profile-edit-008
2. 场景：SC-09d22beb5d42ed</x:v>
      </x:c>
    </x:row>
    <x:row r="194" ht="54" customHeight="1">
      <x:c r="A194" s="4" t="n">
        <x:v>193</x:v>
      </x:c>
      <x:c r="B194" s="4" t="str">
        <x:v>USER-0193</x:v>
      </x:c>
      <x:c r="C194" s="4" t="str">
        <x:v>M01 账号、登录、资料与设置</x:v>
      </x:c>
      <x:c r="D194" s="4" t="str">
        <x:v>资料编辑（用户视角）</x:v>
      </x:c>
      <x:c r="E194" s="4" t="str">
        <x:v>异常用例</x:v>
      </x:c>
      <x:c r="F194" s="4" t="str">
        <x:v>P1</x:v>
      </x:c>
      <x:c r="G194" s="4" t="str">
        <x:v>验证背景图不接受非图片</x:v>
      </x:c>
      <x:c r="H194" s="4" t="str">
        <x:v>背景图不接受非图片</x:v>
      </x:c>
      <x:c r="I194" s="4" t="str">
        <x:v>1. 已登录用户账号</x:v>
      </x:c>
      <x:c r="J194" s="4" t="str">
        <x:v>1. 进入「资料编辑」页
2. 上传文本文件作为背景图</x:v>
      </x:c>
      <x:c r="K194" s="4" t="str">
        <x:v>背景图不接受该文件</x:v>
      </x:c>
      <x:c r="L194" s="4" t="str"/>
      <x:c r="M194" s="4" t="str">
        <x:v>未测</x:v>
      </x:c>
      <x:c r="N194" s="4" t="str"/>
      <x:c r="O194" s="4" t="str">
        <x:v>1. 来源：MainBasis/统一需求文档.md；U-profile-edit-003
2. 场景：SC-7f110d5976f63c</x:v>
      </x:c>
    </x:row>
    <x:row r="195" ht="54" customHeight="1">
      <x:c r="A195" s="4" t="n">
        <x:v>194</x:v>
      </x:c>
      <x:c r="B195" s="4" t="str">
        <x:v>USER-0194</x:v>
      </x:c>
      <x:c r="C195" s="4" t="str">
        <x:v>M01 账号、登录、资料与设置</x:v>
      </x:c>
      <x:c r="D195" s="4" t="str">
        <x:v>资料编辑（用户视角）</x:v>
      </x:c>
      <x:c r="E195" s="4" t="str">
        <x:v>功能需求</x:v>
      </x:c>
      <x:c r="F195" s="4" t="str">
        <x:v>P1</x:v>
      </x:c>
      <x:c r="G195" s="4" t="str">
        <x:v>验证背景图为可选项</x:v>
      </x:c>
      <x:c r="H195" s="4" t="str">
        <x:v>背景图为可选项</x:v>
      </x:c>
      <x:c r="I195" s="4" t="str">
        <x:v>1. 已登录用户账号
2. 其他必填资料为合法值</x:v>
      </x:c>
      <x:c r="J195" s="4" t="str">
        <x:v>1. 进入「资料编辑」页
2. 保留背景图未修改
3. 点击保存</x:v>
      </x:c>
      <x:c r="K195" s="4" t="str">
        <x:v>资料保存不因未修改该图片而被阻止</x:v>
      </x:c>
      <x:c r="L195" s="4" t="str"/>
      <x:c r="M195" s="4" t="str">
        <x:v>未测</x:v>
      </x:c>
      <x:c r="N195" s="4" t="str"/>
      <x:c r="O195" s="4" t="str">
        <x:v>1. 来源：MainBasis/统一需求文档.md；U-profile-edit-003
2. 场景：SC-d440b172f9cdf6</x:v>
      </x:c>
    </x:row>
    <x:row r="196" ht="54" customHeight="1">
      <x:c r="A196" s="4" t="n">
        <x:v>195</x:v>
      </x:c>
      <x:c r="B196" s="4" t="str">
        <x:v>USER-0195</x:v>
      </x:c>
      <x:c r="C196" s="4" t="str">
        <x:v>M01 账号、登录、资料与设置</x:v>
      </x:c>
      <x:c r="D196" s="4" t="str">
        <x:v>资料编辑（用户视角）</x:v>
      </x:c>
      <x:c r="E196" s="4" t="str">
        <x:v>异常用例</x:v>
      </x:c>
      <x:c r="F196" s="4" t="str">
        <x:v>P1</x:v>
      </x:c>
      <x:c r="G196" s="4" t="str">
        <x:v>验证头像不接受非图片</x:v>
      </x:c>
      <x:c r="H196" s="4" t="str">
        <x:v>头像不接受非图片</x:v>
      </x:c>
      <x:c r="I196" s="4" t="str">
        <x:v>1. 已登录用户账号</x:v>
      </x:c>
      <x:c r="J196" s="4" t="str">
        <x:v>1. 进入「资料编辑」页
2. 上传文本文件作为头像</x:v>
      </x:c>
      <x:c r="K196" s="4" t="str">
        <x:v>头像不接受该文件</x:v>
      </x:c>
      <x:c r="L196" s="4" t="str"/>
      <x:c r="M196" s="4" t="str">
        <x:v>未测</x:v>
      </x:c>
      <x:c r="N196" s="4" t="str"/>
      <x:c r="O196" s="4" t="str">
        <x:v>1. 来源：MainBasis/统一需求文档.md；U-profile-edit-004
2. 场景：SC-a6ecea89f59f85</x:v>
      </x:c>
    </x:row>
    <x:row r="197" ht="54" customHeight="1">
      <x:c r="A197" s="4" t="n">
        <x:v>196</x:v>
      </x:c>
      <x:c r="B197" s="4" t="str">
        <x:v>USER-0196</x:v>
      </x:c>
      <x:c r="C197" s="4" t="str">
        <x:v>M01 账号、登录、资料与设置</x:v>
      </x:c>
      <x:c r="D197" s="4" t="str">
        <x:v>资料编辑（用户视角）</x:v>
      </x:c>
      <x:c r="E197" s="4" t="str">
        <x:v>功能需求</x:v>
      </x:c>
      <x:c r="F197" s="4" t="str">
        <x:v>P1</x:v>
      </x:c>
      <x:c r="G197" s="4" t="str">
        <x:v>验证头像为可选项</x:v>
      </x:c>
      <x:c r="H197" s="4" t="str">
        <x:v>头像为可选项</x:v>
      </x:c>
      <x:c r="I197" s="4" t="str">
        <x:v>1. 已登录用户账号
2. 其他必填资料为合法值</x:v>
      </x:c>
      <x:c r="J197" s="4" t="str">
        <x:v>1. 进入「资料编辑」页
2. 保留头像未修改
3. 点击保存</x:v>
      </x:c>
      <x:c r="K197" s="4" t="str">
        <x:v>资料保存不因未修改该图片而被阻止</x:v>
      </x:c>
      <x:c r="L197" s="4" t="str"/>
      <x:c r="M197" s="4" t="str">
        <x:v>未测</x:v>
      </x:c>
      <x:c r="N197" s="4" t="str"/>
      <x:c r="O197" s="4" t="str">
        <x:v>1. 来源：MainBasis/统一需求文档.md；U-profile-edit-004
2. 场景：SC-f0f1369479f8fe</x:v>
      </x:c>
    </x:row>
    <x:row r="198" ht="54" customHeight="1">
      <x:c r="A198" s="4" t="n">
        <x:v>197</x:v>
      </x:c>
      <x:c r="B198" s="4" t="str">
        <x:v>USER-0197</x:v>
      </x:c>
      <x:c r="C198" s="4" t="str">
        <x:v>M01 账号、登录、资料与设置</x:v>
      </x:c>
      <x:c r="D198" s="4" t="str">
        <x:v>资料编辑（用户视角）</x:v>
      </x:c>
      <x:c r="E198" s="4" t="str">
        <x:v>功能需求</x:v>
      </x:c>
      <x:c r="F198" s="4" t="str">
        <x:v>P1</x:v>
      </x:c>
      <x:c r="G198" s="4" t="str">
        <x:v>验证性别选择男</x:v>
      </x:c>
      <x:c r="H198" s="4" t="str">
        <x:v>性别选择男</x:v>
      </x:c>
      <x:c r="I198" s="4" t="str">
        <x:v>1. 已登录用户账号</x:v>
      </x:c>
      <x:c r="J198" s="4" t="str">
        <x:v>1. 进入「资料编辑」页
2. 选择性别「男」
3. 点击保存</x:v>
      </x:c>
      <x:c r="K198" s="4" t="str">
        <x:v>性别回显「男」</x:v>
      </x:c>
      <x:c r="L198" s="4" t="str"/>
      <x:c r="M198" s="4" t="str">
        <x:v>未测</x:v>
      </x:c>
      <x:c r="N198" s="4" t="str"/>
      <x:c r="O198" s="4" t="str">
        <x:v>1. 来源：MainBasis/统一需求文档.md；U-profile-edit-007
2. 场景：SC-6347c4f3c13b49</x:v>
      </x:c>
    </x:row>
    <x:row r="199" ht="54" customHeight="1">
      <x:c r="A199" s="4" t="n">
        <x:v>198</x:v>
      </x:c>
      <x:c r="B199" s="4" t="str">
        <x:v>USER-0198</x:v>
      </x:c>
      <x:c r="C199" s="4" t="str">
        <x:v>M01 账号、登录、资料与设置</x:v>
      </x:c>
      <x:c r="D199" s="4" t="str">
        <x:v>资料编辑（用户视角）</x:v>
      </x:c>
      <x:c r="E199" s="4" t="str">
        <x:v>功能需求</x:v>
      </x:c>
      <x:c r="F199" s="4" t="str">
        <x:v>P1</x:v>
      </x:c>
      <x:c r="G199" s="4" t="str">
        <x:v>验证性别选择女</x:v>
      </x:c>
      <x:c r="H199" s="4" t="str">
        <x:v>性别选择女</x:v>
      </x:c>
      <x:c r="I199" s="4" t="str">
        <x:v>1. 已登录用户账号</x:v>
      </x:c>
      <x:c r="J199" s="4" t="str">
        <x:v>1. 进入「资料编辑」页
2. 选择性别「女」
3. 点击保存</x:v>
      </x:c>
      <x:c r="K199" s="4" t="str">
        <x:v>性别回显「女」</x:v>
      </x:c>
      <x:c r="L199" s="4" t="str"/>
      <x:c r="M199" s="4" t="str">
        <x:v>未测</x:v>
      </x:c>
      <x:c r="N199" s="4" t="str"/>
      <x:c r="O199" s="4" t="str">
        <x:v>1. 来源：MainBasis/统一需求文档.md；U-profile-edit-007
2. 场景：SC-90ec89462479ae</x:v>
      </x:c>
    </x:row>
    <x:row r="200" ht="54" customHeight="1">
      <x:c r="A200" s="4" t="n">
        <x:v>199</x:v>
      </x:c>
      <x:c r="B200" s="4" t="str">
        <x:v>USER-0199</x:v>
      </x:c>
      <x:c r="C200" s="4" t="str">
        <x:v>M01 账号、登录、资料与设置</x:v>
      </x:c>
      <x:c r="D200" s="4" t="str">
        <x:v>资料编辑（用户视角）</x:v>
      </x:c>
      <x:c r="E200" s="4" t="str">
        <x:v>功能需求</x:v>
      </x:c>
      <x:c r="F200" s="4" t="str">
        <x:v>P1</x:v>
      </x:c>
      <x:c r="G200" s="4" t="str">
        <x:v>验证性别选择不公开</x:v>
      </x:c>
      <x:c r="H200" s="4" t="str">
        <x:v>性别选择不公开</x:v>
      </x:c>
      <x:c r="I200" s="4" t="str">
        <x:v>1. 已登录用户账号</x:v>
      </x:c>
      <x:c r="J200" s="4" t="str">
        <x:v>1. 进入「资料编辑」页
2. 选择性别「不公开」
3. 点击保存</x:v>
      </x:c>
      <x:c r="K200" s="4" t="str">
        <x:v>性别回显「不公开」</x:v>
      </x:c>
      <x:c r="L200" s="4" t="str"/>
      <x:c r="M200" s="4" t="str">
        <x:v>未测</x:v>
      </x:c>
      <x:c r="N200" s="4" t="str"/>
      <x:c r="O200" s="4" t="str">
        <x:v>1. 来源：MainBasis/统一需求文档.md；U-profile-edit-007
2. 场景：SC-bea278f2ffcd1d</x:v>
      </x:c>
    </x:row>
    <x:row r="201" ht="54" customHeight="1">
      <x:c r="A201" s="4" t="n">
        <x:v>200</x:v>
      </x:c>
      <x:c r="B201" s="4" t="str">
        <x:v>USER-0200</x:v>
      </x:c>
      <x:c r="C201" s="4" t="str">
        <x:v>M01 账号、登录、资料与设置</x:v>
      </x:c>
      <x:c r="D201" s="4" t="str">
        <x:v>资料编辑（用户视角）</x:v>
      </x:c>
      <x:c r="E201" s="4" t="str">
        <x:v>逻辑校验</x:v>
      </x:c>
      <x:c r="F201" s="4" t="str">
        <x:v>P1</x:v>
      </x:c>
      <x:c r="G201" s="4" t="str">
        <x:v>验证生日早于今天</x:v>
      </x:c>
      <x:c r="H201" s="4" t="str">
        <x:v>生日早于今天</x:v>
      </x:c>
      <x:c r="I201" s="4" t="str">
        <x:v>1. 已登录用户账号</x:v>
      </x:c>
      <x:c r="J201" s="4" t="str">
        <x:v>1. 进入「资料编辑」页
2. 选择昨天作为生日
3. 点击保存</x:v>
      </x:c>
      <x:c r="K201" s="4" t="str">
        <x:v>生日保存为所选日期</x:v>
      </x:c>
      <x:c r="L201" s="4" t="str"/>
      <x:c r="M201" s="4" t="str">
        <x:v>未测</x:v>
      </x:c>
      <x:c r="N201" s="4" t="str"/>
      <x:c r="O201" s="4" t="str">
        <x:v>1. 来源：MainBasis/统一需求文档.md；U-profile-edit-009
2. 场景：SC-36492cc2bb209d</x:v>
      </x:c>
    </x:row>
    <x:row r="202" ht="54" customHeight="1">
      <x:c r="A202" s="4" t="n">
        <x:v>201</x:v>
      </x:c>
      <x:c r="B202" s="4" t="str">
        <x:v>USER-0201</x:v>
      </x:c>
      <x:c r="C202" s="4" t="str">
        <x:v>M01 账号、登录、资料与设置</x:v>
      </x:c>
      <x:c r="D202" s="4" t="str">
        <x:v>资料编辑（用户视角）</x:v>
      </x:c>
      <x:c r="E202" s="4" t="str">
        <x:v>逻辑校验</x:v>
      </x:c>
      <x:c r="F202" s="4" t="str">
        <x:v>P1</x:v>
      </x:c>
      <x:c r="G202" s="4" t="str">
        <x:v>验证生日等于今天</x:v>
      </x:c>
      <x:c r="H202" s="4" t="str">
        <x:v>生日等于今天</x:v>
      </x:c>
      <x:c r="I202" s="4" t="str">
        <x:v>1. 已登录用户账号</x:v>
      </x:c>
      <x:c r="J202" s="4" t="str">
        <x:v>1. 进入「资料编辑」页
2. 选择今天作为生日
3. 点击保存</x:v>
      </x:c>
      <x:c r="K202" s="4" t="str">
        <x:v>生日保存为所选日期</x:v>
      </x:c>
      <x:c r="L202" s="4" t="str"/>
      <x:c r="M202" s="4" t="str">
        <x:v>未测</x:v>
      </x:c>
      <x:c r="N202" s="4" t="str"/>
      <x:c r="O202" s="4" t="str">
        <x:v>1. 来源：MainBasis/统一需求文档.md；U-profile-edit-009
2. 场景：SC-2cc4a53264ea13</x:v>
      </x:c>
    </x:row>
    <x:row r="203" ht="54" customHeight="1">
      <x:c r="A203" s="4" t="n">
        <x:v>202</x:v>
      </x:c>
      <x:c r="B203" s="4" t="str">
        <x:v>USER-0202</x:v>
      </x:c>
      <x:c r="C203" s="4" t="str">
        <x:v>M01 账号、登录、资料与设置</x:v>
      </x:c>
      <x:c r="D203" s="4" t="str">
        <x:v>资料编辑（用户视角）</x:v>
      </x:c>
      <x:c r="E203" s="4" t="str">
        <x:v>逻辑校验</x:v>
      </x:c>
      <x:c r="F203" s="4" t="str">
        <x:v>P1</x:v>
      </x:c>
      <x:c r="G203" s="4" t="str">
        <x:v>验证生日晚于今天</x:v>
      </x:c>
      <x:c r="H203" s="4" t="str">
        <x:v>生日晚于今天</x:v>
      </x:c>
      <x:c r="I203" s="4" t="str">
        <x:v>1. 已登录用户账号</x:v>
      </x:c>
      <x:c r="J203" s="4" t="str">
        <x:v>1. 进入「资料编辑」页
2. 选择明天作为生日
3. 点击保存</x:v>
      </x:c>
      <x:c r="K203" s="4" t="str">
        <x:v>未来日期不能作为生日保存</x:v>
      </x:c>
      <x:c r="L203" s="4" t="str"/>
      <x:c r="M203" s="4" t="str">
        <x:v>未测</x:v>
      </x:c>
      <x:c r="N203" s="4" t="str"/>
      <x:c r="O203" s="4" t="str">
        <x:v>1. 来源：MainBasis/统一需求文档.md；U-profile-edit-009
2. 场景：SC-e0bfd0ac1581b5</x:v>
      </x:c>
    </x:row>
    <x:row r="204" ht="54" customHeight="1">
      <x:c r="A204" s="4" t="n">
        <x:v>203</x:v>
      </x:c>
      <x:c r="B204" s="4" t="str">
        <x:v>USER-0203</x:v>
      </x:c>
      <x:c r="C204" s="4" t="str">
        <x:v>M01 账号、登录、资料与设置</x:v>
      </x:c>
      <x:c r="D204" s="4" t="str">
        <x:v>资料编辑（用户视角）</x:v>
      </x:c>
      <x:c r="E204" s="4" t="str">
        <x:v>功能需求</x:v>
      </x:c>
      <x:c r="F204" s="4" t="str">
        <x:v>P1</x:v>
      </x:c>
      <x:c r="G204" s="4" t="str">
        <x:v>验证头像修改进入检测</x:v>
      </x:c>
      <x:c r="H204" s="4" t="str">
        <x:v>头像修改进入检测</x:v>
      </x:c>
      <x:c r="I204" s="4" t="str">
        <x:v>1. 已登录用户账号</x:v>
      </x:c>
      <x:c r="J204" s="4" t="str">
        <x:v>1. 进入「资料编辑」页
2. 选择一张可读取图片
3. 点击保存</x:v>
      </x:c>
      <x:c r="K204" s="4" t="str">
        <x:v>资料合规检测期间显示 loading</x:v>
      </x:c>
      <x:c r="L204" s="4" t="str"/>
      <x:c r="M204" s="4" t="str">
        <x:v>未测</x:v>
      </x:c>
      <x:c r="N204" s="4" t="str"/>
      <x:c r="O204" s="4" t="str">
        <x:v>1. 来源：MainBasis/统一需求文档.md；U-profile-edit-012
2. 场景：SC-830e53e3ad33c7</x:v>
      </x:c>
    </x:row>
    <x:row r="205" ht="68" customHeight="1">
      <x:c r="A205" s="4" t="n">
        <x:v>204</x:v>
      </x:c>
      <x:c r="B205" s="4" t="str">
        <x:v>USER-0204</x:v>
      </x:c>
      <x:c r="C205" s="4" t="str">
        <x:v>M01 账号、登录、资料与设置</x:v>
      </x:c>
      <x:c r="D205" s="4" t="str">
        <x:v>资料编辑（用户视角）</x:v>
      </x:c>
      <x:c r="E205" s="4" t="str">
        <x:v>业务流程</x:v>
      </x:c>
      <x:c r="F205" s="4" t="str">
        <x:v>P1</x:v>
      </x:c>
      <x:c r="G205" s="4" t="str">
        <x:v>验证头像检测通过</x:v>
      </x:c>
      <x:c r="H205" s="4" t="str">
        <x:v>头像检测通过</x:v>
      </x:c>
      <x:c r="I205" s="4" t="str">
        <x:v>1. 已登录用户账号
2. 测试环境可使本次合规检测返回通过</x:v>
      </x:c>
      <x:c r="J205" s="4" t="str">
        <x:v>1. 进入「资料编辑」页
2. 选择一张可读取图片
3. 点击保存</x:v>
      </x:c>
      <x:c r="K205" s="4" t="str">
        <x:v>头像保存为本次修改值</x:v>
      </x:c>
      <x:c r="L205" s="4" t="str"/>
      <x:c r="M205" s="4" t="str">
        <x:v>未测</x:v>
      </x:c>
      <x:c r="N205" s="4" t="str"/>
      <x:c r="O205" s="4" t="str">
        <x:v>1. 来源：MainBasis/统一需求文档.md；U-profile-edit-010、U-profile-edit-013、D-SYS-044
2. 场景：SC-689a8ca05e148e</x:v>
      </x:c>
    </x:row>
    <x:row r="206" ht="68" customHeight="1">
      <x:c r="A206" s="4" t="n">
        <x:v>205</x:v>
      </x:c>
      <x:c r="B206" s="4" t="str">
        <x:v>USER-0205</x:v>
      </x:c>
      <x:c r="C206" s="4" t="str">
        <x:v>M01 账号、登录、资料与设置</x:v>
      </x:c>
      <x:c r="D206" s="4" t="str">
        <x:v>资料编辑（用户视角）</x:v>
      </x:c>
      <x:c r="E206" s="4" t="str">
        <x:v>异常用例</x:v>
      </x:c>
      <x:c r="F206" s="4" t="str">
        <x:v>P1</x:v>
      </x:c>
      <x:c r="G206" s="4" t="str">
        <x:v>验证头像检测不通过</x:v>
      </x:c>
      <x:c r="H206" s="4" t="str">
        <x:v>头像检测不通过</x:v>
      </x:c>
      <x:c r="I206" s="4" t="str">
        <x:v>1. 已登录用户账号
2. 测试环境可使本次合规检测返回不通过</x:v>
      </x:c>
      <x:c r="J206" s="4" t="str">
        <x:v>1. 进入「资料编辑」页
2. 选择一张可读取图片
3. 点击保存</x:v>
      </x:c>
      <x:c r="K206" s="4" t="str">
        <x:v>提示“头像或昵称不合规”</x:v>
      </x:c>
      <x:c r="L206" s="4" t="str"/>
      <x:c r="M206" s="4" t="str">
        <x:v>未测</x:v>
      </x:c>
      <x:c r="N206" s="4" t="str"/>
      <x:c r="O206" s="4" t="str">
        <x:v>1. 来源：MainBasis/统一需求文档.md；U-profile-edit-010、U-profile-edit-013、D-SYS-044
2. 场景：SC-d66e8464da3a56</x:v>
      </x:c>
    </x:row>
    <x:row r="207" ht="68" customHeight="1">
      <x:c r="A207" s="4" t="n">
        <x:v>206</x:v>
      </x:c>
      <x:c r="B207" s="4" t="str">
        <x:v>USER-0206</x:v>
      </x:c>
      <x:c r="C207" s="4" t="str">
        <x:v>M01 账号、登录、资料与设置</x:v>
      </x:c>
      <x:c r="D207" s="4" t="str">
        <x:v>资料编辑（用户视角）</x:v>
      </x:c>
      <x:c r="E207" s="4" t="str">
        <x:v>异常用例</x:v>
      </x:c>
      <x:c r="F207" s="4" t="str">
        <x:v>P1</x:v>
      </x:c>
      <x:c r="G207" s="4" t="str">
        <x:v>验证头像检测网络异常</x:v>
      </x:c>
      <x:c r="H207" s="4" t="str">
        <x:v>头像检测网络异常</x:v>
      </x:c>
      <x:c r="I207" s="4" t="str">
        <x:v>1. 已登录用户账号
2. 测试环境可使本次合规检测返回网络异常</x:v>
      </x:c>
      <x:c r="J207" s="4" t="str">
        <x:v>1. 进入「资料编辑」页
2. 选择一张可读取图片
3. 点击保存</x:v>
      </x:c>
      <x:c r="K207" s="4" t="str">
        <x:v>提示“网络异常，请重试”</x:v>
      </x:c>
      <x:c r="L207" s="4" t="str"/>
      <x:c r="M207" s="4" t="str">
        <x:v>未测</x:v>
      </x:c>
      <x:c r="N207" s="4" t="str"/>
      <x:c r="O207" s="4" t="str">
        <x:v>1. 来源：MainBasis/统一需求文档.md；U-profile-edit-010、U-profile-edit-013、D-SYS-044
2. 场景：SC-76485ddef5d503</x:v>
      </x:c>
    </x:row>
    <x:row r="208" ht="54" customHeight="1">
      <x:c r="A208" s="4" t="n">
        <x:v>207</x:v>
      </x:c>
      <x:c r="B208" s="4" t="str">
        <x:v>USER-0207</x:v>
      </x:c>
      <x:c r="C208" s="4" t="str">
        <x:v>M01 账号、登录、资料与设置</x:v>
      </x:c>
      <x:c r="D208" s="4" t="str">
        <x:v>资料编辑（用户视角）</x:v>
      </x:c>
      <x:c r="E208" s="4" t="str">
        <x:v>异常用例</x:v>
      </x:c>
      <x:c r="F208" s="4" t="str">
        <x:v>P1</x:v>
      </x:c>
      <x:c r="G208" s="4" t="str">
        <x:v>验证头像检测不通过保留输入</x:v>
      </x:c>
      <x:c r="H208" s="4" t="str">
        <x:v>头像检测不通过保留输入</x:v>
      </x:c>
      <x:c r="I208" s="4" t="str">
        <x:v>1. 已登录用户账号
2. 测试环境可使本次合规检测返回不通过</x:v>
      </x:c>
      <x:c r="J208" s="4" t="str">
        <x:v>1. 进入「资料编辑」页
2. 选择一张可读取图片
3. 点击保存</x:v>
      </x:c>
      <x:c r="K208" s="4" t="str">
        <x:v>编辑区域仍保留本次头像输入</x:v>
      </x:c>
      <x:c r="L208" s="4" t="str"/>
      <x:c r="M208" s="4" t="str">
        <x:v>未测</x:v>
      </x:c>
      <x:c r="N208" s="4" t="str"/>
      <x:c r="O208" s="4" t="str">
        <x:v>1. 来源：MainBasis/统一需求文档.md；U-profile-edit-010
2. 场景：SC-6076dd202d8c18</x:v>
      </x:c>
    </x:row>
    <x:row r="209" ht="54" customHeight="1">
      <x:c r="A209" s="4" t="n">
        <x:v>208</x:v>
      </x:c>
      <x:c r="B209" s="4" t="str">
        <x:v>USER-0208</x:v>
      </x:c>
      <x:c r="C209" s="4" t="str">
        <x:v>M01 账号、登录、资料与设置</x:v>
      </x:c>
      <x:c r="D209" s="4" t="str">
        <x:v>资料编辑（用户视角）</x:v>
      </x:c>
      <x:c r="E209" s="4" t="str">
        <x:v>异常用例</x:v>
      </x:c>
      <x:c r="F209" s="4" t="str">
        <x:v>P1</x:v>
      </x:c>
      <x:c r="G209" s="4" t="str">
        <x:v>验证头像检测网络异常保留输入</x:v>
      </x:c>
      <x:c r="H209" s="4" t="str">
        <x:v>头像检测网络异常保留输入</x:v>
      </x:c>
      <x:c r="I209" s="4" t="str">
        <x:v>1. 已登录用户账号
2. 测试环境可使本次合规检测返回网络异常</x:v>
      </x:c>
      <x:c r="J209" s="4" t="str">
        <x:v>1. 进入「资料编辑」页
2. 选择一张可读取图片
3. 点击保存</x:v>
      </x:c>
      <x:c r="K209" s="4" t="str">
        <x:v>编辑区域仍保留本次头像输入</x:v>
      </x:c>
      <x:c r="L209" s="4" t="str"/>
      <x:c r="M209" s="4" t="str">
        <x:v>未测</x:v>
      </x:c>
      <x:c r="N209" s="4" t="str"/>
      <x:c r="O209" s="4" t="str">
        <x:v>1. 来源：MainBasis/统一需求文档.md；U-profile-edit-010
2. 场景：SC-0ca9f9689bb88d</x:v>
      </x:c>
    </x:row>
    <x:row r="210" ht="54" customHeight="1">
      <x:c r="A210" s="4" t="n">
        <x:v>209</x:v>
      </x:c>
      <x:c r="B210" s="4" t="str">
        <x:v>USER-0209</x:v>
      </x:c>
      <x:c r="C210" s="4" t="str">
        <x:v>M01 账号、登录、资料与设置</x:v>
      </x:c>
      <x:c r="D210" s="4" t="str">
        <x:v>资料编辑（用户视角）</x:v>
      </x:c>
      <x:c r="E210" s="4" t="str">
        <x:v>功能需求</x:v>
      </x:c>
      <x:c r="F210" s="4" t="str">
        <x:v>P1</x:v>
      </x:c>
      <x:c r="G210" s="4" t="str">
        <x:v>验证昵称修改进入检测</x:v>
      </x:c>
      <x:c r="H210" s="4" t="str">
        <x:v>昵称修改进入检测</x:v>
      </x:c>
      <x:c r="I210" s="4" t="str">
        <x:v>1. 已登录用户账号</x:v>
      </x:c>
      <x:c r="J210" s="4" t="str">
        <x:v>1. 进入「资料编辑」页
2. 填写一个合法新昵称
3. 点击保存</x:v>
      </x:c>
      <x:c r="K210" s="4" t="str">
        <x:v>资料合规检测期间显示 loading</x:v>
      </x:c>
      <x:c r="L210" s="4" t="str"/>
      <x:c r="M210" s="4" t="str">
        <x:v>未测</x:v>
      </x:c>
      <x:c r="N210" s="4" t="str"/>
      <x:c r="O210" s="4" t="str">
        <x:v>1. 来源：MainBasis/统一需求文档.md；U-profile-edit-012
2. 场景：SC-ac5e90600ea441</x:v>
      </x:c>
    </x:row>
    <x:row r="211" ht="68" customHeight="1">
      <x:c r="A211" s="4" t="n">
        <x:v>210</x:v>
      </x:c>
      <x:c r="B211" s="4" t="str">
        <x:v>USER-0210</x:v>
      </x:c>
      <x:c r="C211" s="4" t="str">
        <x:v>M01 账号、登录、资料与设置</x:v>
      </x:c>
      <x:c r="D211" s="4" t="str">
        <x:v>资料编辑（用户视角）</x:v>
      </x:c>
      <x:c r="E211" s="4" t="str">
        <x:v>业务流程</x:v>
      </x:c>
      <x:c r="F211" s="4" t="str">
        <x:v>P1</x:v>
      </x:c>
      <x:c r="G211" s="4" t="str">
        <x:v>验证昵称检测通过</x:v>
      </x:c>
      <x:c r="H211" s="4" t="str">
        <x:v>昵称检测通过</x:v>
      </x:c>
      <x:c r="I211" s="4" t="str">
        <x:v>1. 已登录用户账号
2. 测试环境可使本次合规检测返回通过</x:v>
      </x:c>
      <x:c r="J211" s="4" t="str">
        <x:v>1. 进入「资料编辑」页
2. 填写一个合法新昵称
3. 点击保存</x:v>
      </x:c>
      <x:c r="K211" s="4" t="str">
        <x:v>昵称保存为本次修改值</x:v>
      </x:c>
      <x:c r="L211" s="4" t="str"/>
      <x:c r="M211" s="4" t="str">
        <x:v>未测</x:v>
      </x:c>
      <x:c r="N211" s="4" t="str"/>
      <x:c r="O211" s="4" t="str">
        <x:v>1. 来源：MainBasis/统一需求文档.md；U-profile-edit-010、U-profile-edit-013、D-SYS-044
2. 场景：SC-fd411b3933f601</x:v>
      </x:c>
    </x:row>
    <x:row r="212" ht="68" customHeight="1">
      <x:c r="A212" s="4" t="n">
        <x:v>211</x:v>
      </x:c>
      <x:c r="B212" s="4" t="str">
        <x:v>USER-0211</x:v>
      </x:c>
      <x:c r="C212" s="4" t="str">
        <x:v>M01 账号、登录、资料与设置</x:v>
      </x:c>
      <x:c r="D212" s="4" t="str">
        <x:v>资料编辑（用户视角）</x:v>
      </x:c>
      <x:c r="E212" s="4" t="str">
        <x:v>异常用例</x:v>
      </x:c>
      <x:c r="F212" s="4" t="str">
        <x:v>P1</x:v>
      </x:c>
      <x:c r="G212" s="4" t="str">
        <x:v>验证昵称检测不通过</x:v>
      </x:c>
      <x:c r="H212" s="4" t="str">
        <x:v>昵称检测不通过</x:v>
      </x:c>
      <x:c r="I212" s="4" t="str">
        <x:v>1. 已登录用户账号
2. 测试环境可使本次合规检测返回不通过</x:v>
      </x:c>
      <x:c r="J212" s="4" t="str">
        <x:v>1. 进入「资料编辑」页
2. 填写一个合法新昵称
3. 点击保存</x:v>
      </x:c>
      <x:c r="K212" s="4" t="str">
        <x:v>提示“头像或昵称不合规”</x:v>
      </x:c>
      <x:c r="L212" s="4" t="str"/>
      <x:c r="M212" s="4" t="str">
        <x:v>未测</x:v>
      </x:c>
      <x:c r="N212" s="4" t="str"/>
      <x:c r="O212" s="4" t="str">
        <x:v>1. 来源：MainBasis/统一需求文档.md；U-profile-edit-010、U-profile-edit-013、D-SYS-044
2. 场景：SC-f2874061832840</x:v>
      </x:c>
    </x:row>
    <x:row r="213" ht="68" customHeight="1">
      <x:c r="A213" s="4" t="n">
        <x:v>212</x:v>
      </x:c>
      <x:c r="B213" s="4" t="str">
        <x:v>USER-0212</x:v>
      </x:c>
      <x:c r="C213" s="4" t="str">
        <x:v>M01 账号、登录、资料与设置</x:v>
      </x:c>
      <x:c r="D213" s="4" t="str">
        <x:v>资料编辑（用户视角）</x:v>
      </x:c>
      <x:c r="E213" s="4" t="str">
        <x:v>异常用例</x:v>
      </x:c>
      <x:c r="F213" s="4" t="str">
        <x:v>P1</x:v>
      </x:c>
      <x:c r="G213" s="4" t="str">
        <x:v>验证昵称检测网络异常</x:v>
      </x:c>
      <x:c r="H213" s="4" t="str">
        <x:v>昵称检测网络异常</x:v>
      </x:c>
      <x:c r="I213" s="4" t="str">
        <x:v>1. 已登录用户账号
2. 测试环境可使本次合规检测返回网络异常</x:v>
      </x:c>
      <x:c r="J213" s="4" t="str">
        <x:v>1. 进入「资料编辑」页
2. 填写一个合法新昵称
3. 点击保存</x:v>
      </x:c>
      <x:c r="K213" s="4" t="str">
        <x:v>提示“网络异常，请重试”</x:v>
      </x:c>
      <x:c r="L213" s="4" t="str"/>
      <x:c r="M213" s="4" t="str">
        <x:v>未测</x:v>
      </x:c>
      <x:c r="N213" s="4" t="str"/>
      <x:c r="O213" s="4" t="str">
        <x:v>1. 来源：MainBasis/统一需求文档.md；U-profile-edit-010、U-profile-edit-013、D-SYS-044
2. 场景：SC-19989779b6ad90</x:v>
      </x:c>
    </x:row>
    <x:row r="214" ht="54" customHeight="1">
      <x:c r="A214" s="4" t="n">
        <x:v>213</x:v>
      </x:c>
      <x:c r="B214" s="4" t="str">
        <x:v>USER-0213</x:v>
      </x:c>
      <x:c r="C214" s="4" t="str">
        <x:v>M01 账号、登录、资料与设置</x:v>
      </x:c>
      <x:c r="D214" s="4" t="str">
        <x:v>资料编辑（用户视角）</x:v>
      </x:c>
      <x:c r="E214" s="4" t="str">
        <x:v>异常用例</x:v>
      </x:c>
      <x:c r="F214" s="4" t="str">
        <x:v>P1</x:v>
      </x:c>
      <x:c r="G214" s="4" t="str">
        <x:v>验证昵称检测不通过保留输入</x:v>
      </x:c>
      <x:c r="H214" s="4" t="str">
        <x:v>昵称检测不通过保留输入</x:v>
      </x:c>
      <x:c r="I214" s="4" t="str">
        <x:v>1. 已登录用户账号
2. 测试环境可使本次合规检测返回不通过</x:v>
      </x:c>
      <x:c r="J214" s="4" t="str">
        <x:v>1. 进入「资料编辑」页
2. 填写一个合法新昵称
3. 点击保存</x:v>
      </x:c>
      <x:c r="K214" s="4" t="str">
        <x:v>编辑区域仍保留本次昵称输入</x:v>
      </x:c>
      <x:c r="L214" s="4" t="str"/>
      <x:c r="M214" s="4" t="str">
        <x:v>未测</x:v>
      </x:c>
      <x:c r="N214" s="4" t="str"/>
      <x:c r="O214" s="4" t="str">
        <x:v>1. 来源：MainBasis/统一需求文档.md；U-profile-edit-010
2. 场景：SC-d50b3983a9d767</x:v>
      </x:c>
    </x:row>
    <x:row r="215" ht="54" customHeight="1">
      <x:c r="A215" s="4" t="n">
        <x:v>214</x:v>
      </x:c>
      <x:c r="B215" s="4" t="str">
        <x:v>USER-0214</x:v>
      </x:c>
      <x:c r="C215" s="4" t="str">
        <x:v>M01 账号、登录、资料与设置</x:v>
      </x:c>
      <x:c r="D215" s="4" t="str">
        <x:v>资料编辑（用户视角）</x:v>
      </x:c>
      <x:c r="E215" s="4" t="str">
        <x:v>异常用例</x:v>
      </x:c>
      <x:c r="F215" s="4" t="str">
        <x:v>P1</x:v>
      </x:c>
      <x:c r="G215" s="4" t="str">
        <x:v>验证昵称检测网络异常保留输入</x:v>
      </x:c>
      <x:c r="H215" s="4" t="str">
        <x:v>昵称检测网络异常保留输入</x:v>
      </x:c>
      <x:c r="I215" s="4" t="str">
        <x:v>1. 已登录用户账号
2. 测试环境可使本次合规检测返回网络异常</x:v>
      </x:c>
      <x:c r="J215" s="4" t="str">
        <x:v>1. 进入「资料编辑」页
2. 填写一个合法新昵称
3. 点击保存</x:v>
      </x:c>
      <x:c r="K215" s="4" t="str">
        <x:v>编辑区域仍保留本次昵称输入</x:v>
      </x:c>
      <x:c r="L215" s="4" t="str"/>
      <x:c r="M215" s="4" t="str">
        <x:v>未测</x:v>
      </x:c>
      <x:c r="N215" s="4" t="str"/>
      <x:c r="O215" s="4" t="str">
        <x:v>1. 来源：MainBasis/统一需求文档.md；U-profile-edit-010
2. 场景：SC-e001335336e27d</x:v>
      </x:c>
    </x:row>
    <x:row r="216" ht="54" customHeight="1">
      <x:c r="A216" s="4" t="n">
        <x:v>215</x:v>
      </x:c>
      <x:c r="B216" s="4" t="str">
        <x:v>USER-0215</x:v>
      </x:c>
      <x:c r="C216" s="4" t="str">
        <x:v>M01 账号、登录、资料与设置</x:v>
      </x:c>
      <x:c r="D216" s="4" t="str">
        <x:v>设置（用户视角）</x:v>
      </x:c>
      <x:c r="E216" s="4" t="str">
        <x:v>功能需求</x:v>
      </x:c>
      <x:c r="F216" s="4" t="str">
        <x:v>P2</x:v>
      </x:c>
      <x:c r="G216" s="4" t="str">
        <x:v>验证账号回显</x:v>
      </x:c>
      <x:c r="H216" s="4" t="str">
        <x:v>账号回显</x:v>
      </x:c>
      <x:c r="I216" s="4" t="str">
        <x:v>1. 已登录用户账号
2. 所选对象存在，已记录该对象的账号值</x:v>
      </x:c>
      <x:c r="J216" s="4" t="str">
        <x:v>1. 进入「设置」页
2. 查看账号回显</x:v>
      </x:c>
      <x:c r="K216" s="4" t="str">
        <x:v>「账号」内容与所选对象的该项资料一致</x:v>
      </x:c>
      <x:c r="L216" s="4" t="str"/>
      <x:c r="M216" s="4" t="str">
        <x:v>未测</x:v>
      </x:c>
      <x:c r="N216" s="4" t="str"/>
      <x:c r="O216" s="4" t="str">
        <x:v>1. 来源：MainBasis/统一需求文档.md；U-settings-002
2. 场景：SC-cba690b6c631dd</x:v>
      </x:c>
    </x:row>
    <x:row r="217" ht="54" customHeight="1">
      <x:c r="A217" s="4" t="n">
        <x:v>216</x:v>
      </x:c>
      <x:c r="B217" s="4" t="str">
        <x:v>USER-0216</x:v>
      </x:c>
      <x:c r="C217" s="4" t="str">
        <x:v>M01 账号、登录、资料与设置</x:v>
      </x:c>
      <x:c r="D217" s="4" t="str">
        <x:v>设置（用户视角）</x:v>
      </x:c>
      <x:c r="E217" s="4" t="str">
        <x:v>功能需求</x:v>
      </x:c>
      <x:c r="F217" s="4" t="str">
        <x:v>P2</x:v>
      </x:c>
      <x:c r="G217" s="4" t="str">
        <x:v>验证系统通知回显</x:v>
      </x:c>
      <x:c r="H217" s="4" t="str">
        <x:v>系统通知回显</x:v>
      </x:c>
      <x:c r="I217" s="4" t="str">
        <x:v>1. 已登录用户账号
2. 所选对象存在，已记录该对象的系统通知值</x:v>
      </x:c>
      <x:c r="J217" s="4" t="str">
        <x:v>1. 进入「设置」页
2. 查看系统通知回显</x:v>
      </x:c>
      <x:c r="K217" s="4" t="str">
        <x:v>「系统通知」内容与所选对象的该项资料一致</x:v>
      </x:c>
      <x:c r="L217" s="4" t="str"/>
      <x:c r="M217" s="4" t="str">
        <x:v>未测</x:v>
      </x:c>
      <x:c r="N217" s="4" t="str"/>
      <x:c r="O217" s="4" t="str">
        <x:v>1. 来源：MainBasis/统一需求文档.md；U-settings-003
2. 场景：SC-bf05344932d70c</x:v>
      </x:c>
    </x:row>
    <x:row r="218" ht="54" customHeight="1">
      <x:c r="A218" s="4" t="n">
        <x:v>217</x:v>
      </x:c>
      <x:c r="B218" s="4" t="str">
        <x:v>USER-0217</x:v>
      </x:c>
      <x:c r="C218" s="4" t="str">
        <x:v>M01 账号、登录、资料与设置</x:v>
      </x:c>
      <x:c r="D218" s="4" t="str">
        <x:v>设置（用户视角）</x:v>
      </x:c>
      <x:c r="E218" s="4" t="str">
        <x:v>功能需求</x:v>
      </x:c>
      <x:c r="F218" s="4" t="str">
        <x:v>P2</x:v>
      </x:c>
      <x:c r="G218" s="4" t="str">
        <x:v>验证开播提醒、互动通知回显</x:v>
      </x:c>
      <x:c r="H218" s="4" t="str">
        <x:v>开播提醒、互动通知回显</x:v>
      </x:c>
      <x:c r="I218" s="4" t="str">
        <x:v>1. 已登录用户账号
2. 所选对象存在，已记录该对象的开播提醒、互动通知值</x:v>
      </x:c>
      <x:c r="J218" s="4" t="str">
        <x:v>1. 进入「设置」页
2. 查看开播提醒、互动通知回显</x:v>
      </x:c>
      <x:c r="K218" s="4" t="str">
        <x:v>「开播提醒、互动通知」内容与所选对象的该项资料一致</x:v>
      </x:c>
      <x:c r="L218" s="4" t="str"/>
      <x:c r="M218" s="4" t="str">
        <x:v>未测</x:v>
      </x:c>
      <x:c r="N218" s="4" t="str"/>
      <x:c r="O218" s="4" t="str">
        <x:v>1. 来源：MainBasis/统一需求文档.md；U-settings-004
2. 场景：SC-678196d968af0b</x:v>
      </x:c>
    </x:row>
    <x:row r="219" ht="54" customHeight="1">
      <x:c r="A219" s="4" t="n">
        <x:v>218</x:v>
      </x:c>
      <x:c r="B219" s="4" t="str">
        <x:v>USER-0218</x:v>
      </x:c>
      <x:c r="C219" s="4" t="str">
        <x:v>M01 账号、登录、资料与设置</x:v>
      </x:c>
      <x:c r="D219" s="4" t="str">
        <x:v>设置（用户视角）</x:v>
      </x:c>
      <x:c r="E219" s="4" t="str">
        <x:v>功能需求</x:v>
      </x:c>
      <x:c r="F219" s="4" t="str">
        <x:v>P2</x:v>
      </x:c>
      <x:c r="G219" s="4" t="str">
        <x:v>验证协议入口回显</x:v>
      </x:c>
      <x:c r="H219" s="4" t="str">
        <x:v>协议入口回显</x:v>
      </x:c>
      <x:c r="I219" s="4" t="str">
        <x:v>1. 已登录用户账号
2. 所选对象存在，已记录该对象的协议入口值</x:v>
      </x:c>
      <x:c r="J219" s="4" t="str">
        <x:v>1. 进入「设置」页
2. 查看协议入口回显</x:v>
      </x:c>
      <x:c r="K219" s="4" t="str">
        <x:v>「协议入口」内容与所选对象的该项资料一致</x:v>
      </x:c>
      <x:c r="L219" s="4" t="str"/>
      <x:c r="M219" s="4" t="str">
        <x:v>未测</x:v>
      </x:c>
      <x:c r="N219" s="4" t="str"/>
      <x:c r="O219" s="4" t="str">
        <x:v>1. 来源：MainBasis/统一需求文档.md；U-settings-006
2. 场景：SC-c1ae70de012c03</x:v>
      </x:c>
    </x:row>
    <x:row r="220" ht="54" customHeight="1">
      <x:c r="A220" s="4" t="n">
        <x:v>219</x:v>
      </x:c>
      <x:c r="B220" s="4" t="str">
        <x:v>USER-0219</x:v>
      </x:c>
      <x:c r="C220" s="4" t="str">
        <x:v>M01 账号、登录、资料与设置</x:v>
      </x:c>
      <x:c r="D220" s="4" t="str">
        <x:v>设置（用户视角）</x:v>
      </x:c>
      <x:c r="E220" s="4" t="str">
        <x:v>功能需求</x:v>
      </x:c>
      <x:c r="F220" s="4" t="str">
        <x:v>P1</x:v>
      </x:c>
      <x:c r="G220" s="4" t="str">
        <x:v>验证用户端切换中文</x:v>
      </x:c>
      <x:c r="H220" s="4" t="str">
        <x:v>用户端切换中文</x:v>
      </x:c>
      <x:c r="I220" s="4" t="str">
        <x:v>1. 已登录用户账号</x:v>
      </x:c>
      <x:c r="J220" s="4" t="str">
        <x:v>1. 进入「设置」页
2. 点击语言
3. 选择「中文」</x:v>
      </x:c>
      <x:c r="K220" s="4" t="str">
        <x:v>当前界面使用中文</x:v>
      </x:c>
      <x:c r="L220" s="4" t="str"/>
      <x:c r="M220" s="4" t="str">
        <x:v>未测</x:v>
      </x:c>
      <x:c r="N220" s="4" t="str"/>
      <x:c r="O220" s="4" t="str">
        <x:v>1. 来源：MainBasis/统一需求文档.md；U-settings-005、U-settings-015、D-SYS-005
2. 场景：SC-796ffa3d5fabf0</x:v>
      </x:c>
    </x:row>
    <x:row r="221" ht="54" customHeight="1">
      <x:c r="A221" s="4" t="n">
        <x:v>220</x:v>
      </x:c>
      <x:c r="B221" s="4" t="str">
        <x:v>USER-0220</x:v>
      </x:c>
      <x:c r="C221" s="4" t="str">
        <x:v>M01 账号、登录、资料与设置</x:v>
      </x:c>
      <x:c r="D221" s="4" t="str">
        <x:v>设置（用户视角）</x:v>
      </x:c>
      <x:c r="E221" s="4" t="str">
        <x:v>功能需求</x:v>
      </x:c>
      <x:c r="F221" s="4" t="str">
        <x:v>P1</x:v>
      </x:c>
      <x:c r="G221" s="4" t="str">
        <x:v>验证用户端切换English</x:v>
      </x:c>
      <x:c r="H221" s="4" t="str">
        <x:v>用户端切换English</x:v>
      </x:c>
      <x:c r="I221" s="4" t="str">
        <x:v>1. 已登录用户账号</x:v>
      </x:c>
      <x:c r="J221" s="4" t="str">
        <x:v>1. 进入「设置」页
2. 点击语言
3. 选择「English」</x:v>
      </x:c>
      <x:c r="K221" s="4" t="str">
        <x:v>当前界面使用English</x:v>
      </x:c>
      <x:c r="L221" s="4" t="str"/>
      <x:c r="M221" s="4" t="str">
        <x:v>未测</x:v>
      </x:c>
      <x:c r="N221" s="4" t="str"/>
      <x:c r="O221" s="4" t="str">
        <x:v>1. 来源：MainBasis/统一需求文档.md；U-settings-005、U-settings-015、D-SYS-005
2. 场景：SC-e66e54084bbb16</x:v>
      </x:c>
    </x:row>
    <x:row r="222" ht="54" customHeight="1">
      <x:c r="A222" s="4" t="n">
        <x:v>221</x:v>
      </x:c>
      <x:c r="B222" s="4" t="str">
        <x:v>USER-0221</x:v>
      </x:c>
      <x:c r="C222" s="4" t="str">
        <x:v>M01 账号、登录、资料与设置</x:v>
      </x:c>
      <x:c r="D222" s="4" t="str">
        <x:v>设置（用户视角）</x:v>
      </x:c>
      <x:c r="E222" s="4" t="str">
        <x:v>功能需求</x:v>
      </x:c>
      <x:c r="F222" s="4" t="str">
        <x:v>P1</x:v>
      </x:c>
      <x:c r="G222" s="4" t="str">
        <x:v>验证用户端切换Bahasa Indonesia</x:v>
      </x:c>
      <x:c r="H222" s="4" t="str">
        <x:v>用户端切换Bahasa Indonesia</x:v>
      </x:c>
      <x:c r="I222" s="4" t="str">
        <x:v>1. 已登录用户账号</x:v>
      </x:c>
      <x:c r="J222" s="4" t="str">
        <x:v>1. 进入「设置」页
2. 点击语言
3. 选择「Bahasa Indonesia」</x:v>
      </x:c>
      <x:c r="K222" s="4" t="str">
        <x:v>当前界面使用Bahasa Indonesia</x:v>
      </x:c>
      <x:c r="L222" s="4" t="str"/>
      <x:c r="M222" s="4" t="str">
        <x:v>未测</x:v>
      </x:c>
      <x:c r="N222" s="4" t="str"/>
      <x:c r="O222" s="4" t="str">
        <x:v>1. 来源：MainBasis/统一需求文档.md；U-settings-005、U-settings-015、D-SYS-005
2. 场景：SC-6915b62497cc0e</x:v>
      </x:c>
    </x:row>
    <x:row r="223" ht="54" customHeight="1">
      <x:c r="A223" s="4" t="n">
        <x:v>222</x:v>
      </x:c>
      <x:c r="B223" s="4" t="str">
        <x:v>USER-0222</x:v>
      </x:c>
      <x:c r="C223" s="4" t="str">
        <x:v>M01 账号、登录、资料与设置</x:v>
      </x:c>
      <x:c r="D223" s="4" t="str">
        <x:v>设置（用户视角）</x:v>
      </x:c>
      <x:c r="E223" s="4" t="str">
        <x:v>功能需求</x:v>
      </x:c>
      <x:c r="F223" s="4" t="str">
        <x:v>P1</x:v>
      </x:c>
      <x:c r="G223" s="4" t="str">
        <x:v>验证用户端切换Bahasa Melayu</x:v>
      </x:c>
      <x:c r="H223" s="4" t="str">
        <x:v>用户端切换Bahasa Melayu</x:v>
      </x:c>
      <x:c r="I223" s="4" t="str">
        <x:v>1. 已登录用户账号</x:v>
      </x:c>
      <x:c r="J223" s="4" t="str">
        <x:v>1. 进入「设置」页
2. 点击语言
3. 选择「Bahasa Melayu」</x:v>
      </x:c>
      <x:c r="K223" s="4" t="str">
        <x:v>当前界面使用Bahasa Melayu</x:v>
      </x:c>
      <x:c r="L223" s="4" t="str"/>
      <x:c r="M223" s="4" t="str">
        <x:v>未测</x:v>
      </x:c>
      <x:c r="N223" s="4" t="str"/>
      <x:c r="O223" s="4" t="str">
        <x:v>1. 来源：MainBasis/统一需求文档.md；U-settings-005、U-settings-015、D-SYS-005
2. 场景：SC-69b872c9a406f4</x:v>
      </x:c>
    </x:row>
    <x:row r="224" ht="54" customHeight="1">
      <x:c r="A224" s="4" t="n">
        <x:v>223</x:v>
      </x:c>
      <x:c r="B224" s="4" t="str">
        <x:v>USER-0223</x:v>
      </x:c>
      <x:c r="C224" s="4" t="str">
        <x:v>M01 账号、登录、资料与设置</x:v>
      </x:c>
      <x:c r="D224" s="4" t="str">
        <x:v>设置（用户视角）</x:v>
      </x:c>
      <x:c r="E224" s="4" t="str">
        <x:v>功能需求</x:v>
      </x:c>
      <x:c r="F224" s="4" t="str">
        <x:v>P1</x:v>
      </x:c>
      <x:c r="G224" s="4" t="str">
        <x:v>验证用户端默认语言</x:v>
      </x:c>
      <x:c r="H224" s="4" t="str">
        <x:v>用户端默认语言</x:v>
      </x:c>
      <x:c r="I224" s="4" t="str">
        <x:v>1. 已登录用户账号
2. 账号尚未修改语言设置</x:v>
      </x:c>
      <x:c r="J224" s="4" t="str">
        <x:v>1. 进入「设置」页
2. 查看用户端默认语言</x:v>
      </x:c>
      <x:c r="K224" s="4" t="str">
        <x:v>当前语言为 Bahasa Indonesia</x:v>
      </x:c>
      <x:c r="L224" s="4" t="str"/>
      <x:c r="M224" s="4" t="str">
        <x:v>未测</x:v>
      </x:c>
      <x:c r="N224" s="4" t="str"/>
      <x:c r="O224" s="4" t="str">
        <x:v>1. 来源：MainBasis/统一需求文档.md；U-settings-005
2. 场景：SC-7f1529e6fed262</x:v>
      </x:c>
    </x:row>
    <x:row r="225" ht="54" customHeight="1">
      <x:c r="A225" s="4" t="n">
        <x:v>224</x:v>
      </x:c>
      <x:c r="B225" s="4" t="str">
        <x:v>USER-0224</x:v>
      </x:c>
      <x:c r="C225" s="4" t="str">
        <x:v>M01 账号、登录、资料与设置</x:v>
      </x:c>
      <x:c r="D225" s="4" t="str">
        <x:v>设置（用户视角）</x:v>
      </x:c>
      <x:c r="E225" s="4" t="str">
        <x:v>功能需求</x:v>
      </x:c>
      <x:c r="F225" s="4" t="str">
        <x:v>P1</x:v>
      </x:c>
      <x:c r="G225" s="4" t="str">
        <x:v>验证退出登录二次确认取消</x:v>
      </x:c>
      <x:c r="H225" s="4" t="str">
        <x:v>退出登录二次确认取消</x:v>
      </x:c>
      <x:c r="I225" s="4" t="str">
        <x:v>1. 已登录用户账号</x:v>
      </x:c>
      <x:c r="J225" s="4" t="str">
        <x:v>1. 进入「设置」页
2. 点击退出登录
3. 点击取消</x:v>
      </x:c>
      <x:c r="K225" s="4" t="str">
        <x:v>当前账号仍保持登录</x:v>
      </x:c>
      <x:c r="L225" s="4" t="str"/>
      <x:c r="M225" s="4" t="str">
        <x:v>未测</x:v>
      </x:c>
      <x:c r="N225" s="4" t="str"/>
      <x:c r="O225" s="4" t="str">
        <x:v>1. 来源：MainBasis/统一需求文档.md；U-settings-009、U-settings-024
2. 场景：SC-404a2e4d8a094e</x:v>
      </x:c>
    </x:row>
    <x:row r="226" ht="54" customHeight="1">
      <x:c r="A226" s="4" t="n">
        <x:v>225</x:v>
      </x:c>
      <x:c r="B226" s="4" t="str">
        <x:v>USER-0225</x:v>
      </x:c>
      <x:c r="C226" s="4" t="str">
        <x:v>M01 账号、登录、资料与设置</x:v>
      </x:c>
      <x:c r="D226" s="4" t="str">
        <x:v>设置（用户视角）</x:v>
      </x:c>
      <x:c r="E226" s="4" t="str">
        <x:v>功能需求</x:v>
      </x:c>
      <x:c r="F226" s="4" t="str">
        <x:v>P1</x:v>
      </x:c>
      <x:c r="G226" s="4" t="str">
        <x:v>验证退出登录确认</x:v>
      </x:c>
      <x:c r="H226" s="4" t="str">
        <x:v>退出登录确认</x:v>
      </x:c>
      <x:c r="I226" s="4" t="str">
        <x:v>1. 已登录用户账号</x:v>
      </x:c>
      <x:c r="J226" s="4" t="str">
        <x:v>1. 进入「设置」页
2. 点击退出登录
3. 点击确认</x:v>
      </x:c>
      <x:c r="K226" s="4" t="str">
        <x:v>页面返回登录与注册页</x:v>
      </x:c>
      <x:c r="L226" s="4" t="str"/>
      <x:c r="M226" s="4" t="str">
        <x:v>未测</x:v>
      </x:c>
      <x:c r="N226" s="4" t="str"/>
      <x:c r="O226" s="4" t="str">
        <x:v>1. 来源：MainBasis/统一需求文档.md；U-settings-009、U-settings-024
2. 场景：SC-437f9bd8951e02</x:v>
      </x:c>
    </x:row>
    <x:row r="227" ht="54" customHeight="1">
      <x:c r="A227" s="4" t="n">
        <x:v>226</x:v>
      </x:c>
      <x:c r="B227" s="4" t="str">
        <x:v>USER-0226</x:v>
      </x:c>
      <x:c r="C227" s="4" t="str">
        <x:v>M01 账号、登录、资料与设置</x:v>
      </x:c>
      <x:c r="D227" s="4" t="str">
        <x:v>设置（用户视角）</x:v>
      </x:c>
      <x:c r="E227" s="4" t="str">
        <x:v>功能需求</x:v>
      </x:c>
      <x:c r="F227" s="4" t="str">
        <x:v>P1</x:v>
      </x:c>
      <x:c r="G227" s="4" t="str">
        <x:v>验证系统通知未开启</x:v>
      </x:c>
      <x:c r="H227" s="4" t="str">
        <x:v>系统通知未开启</x:v>
      </x:c>
      <x:c r="I227" s="4" t="str">
        <x:v>1. 已登录用户账号
2. 当前设备系统通知权限为未开启</x:v>
      </x:c>
      <x:c r="J227" s="4" t="str">
        <x:v>1. 进入「设置」页
2. 查看系统通知未开启</x:v>
      </x:c>
      <x:c r="K227" s="4" t="str">
        <x:v>系统通知显示未开启</x:v>
      </x:c>
      <x:c r="L227" s="4" t="str"/>
      <x:c r="M227" s="4" t="str">
        <x:v>未测</x:v>
      </x:c>
      <x:c r="N227" s="4" t="str"/>
      <x:c r="O227" s="4" t="str">
        <x:v>1. 来源：MainBasis/统一需求文档.md；U-settings-003
2. 场景：SC-a898f19c2803bd</x:v>
      </x:c>
    </x:row>
    <x:row r="228" ht="54" customHeight="1">
      <x:c r="A228" s="4" t="n">
        <x:v>227</x:v>
      </x:c>
      <x:c r="B228" s="4" t="str">
        <x:v>USER-0227</x:v>
      </x:c>
      <x:c r="C228" s="4" t="str">
        <x:v>M01 账号、登录、资料与设置</x:v>
      </x:c>
      <x:c r="D228" s="4" t="str">
        <x:v>设置（用户视角）</x:v>
      </x:c>
      <x:c r="E228" s="4" t="str">
        <x:v>功能需求</x:v>
      </x:c>
      <x:c r="F228" s="4" t="str">
        <x:v>P1</x:v>
      </x:c>
      <x:c r="G228" s="4" t="str">
        <x:v>验证系统通知已拒绝</x:v>
      </x:c>
      <x:c r="H228" s="4" t="str">
        <x:v>系统通知已拒绝</x:v>
      </x:c>
      <x:c r="I228" s="4" t="str">
        <x:v>1. 已登录用户账号
2. 当前设备系统通知权限为已拒绝</x:v>
      </x:c>
      <x:c r="J228" s="4" t="str">
        <x:v>1. 进入「设置」页
2. 查看系统通知已拒绝</x:v>
      </x:c>
      <x:c r="K228" s="4" t="str">
        <x:v>系统通知显示已拒绝</x:v>
      </x:c>
      <x:c r="L228" s="4" t="str"/>
      <x:c r="M228" s="4" t="str">
        <x:v>未测</x:v>
      </x:c>
      <x:c r="N228" s="4" t="str"/>
      <x:c r="O228" s="4" t="str">
        <x:v>1. 来源：MainBasis/统一需求文档.md；U-settings-003
2. 场景：SC-a5536394060066</x:v>
      </x:c>
    </x:row>
    <x:row r="229" ht="54" customHeight="1">
      <x:c r="A229" s="4" t="n">
        <x:v>228</x:v>
      </x:c>
      <x:c r="B229" s="4" t="str">
        <x:v>USER-0228</x:v>
      </x:c>
      <x:c r="C229" s="4" t="str">
        <x:v>M01 账号、登录、资料与设置</x:v>
      </x:c>
      <x:c r="D229" s="4" t="str">
        <x:v>设置（用户视角）</x:v>
      </x:c>
      <x:c r="E229" s="4" t="str">
        <x:v>功能需求</x:v>
      </x:c>
      <x:c r="F229" s="4" t="str">
        <x:v>P1</x:v>
      </x:c>
      <x:c r="G229" s="4" t="str">
        <x:v>验证系统通知已开启</x:v>
      </x:c>
      <x:c r="H229" s="4" t="str">
        <x:v>系统通知已开启</x:v>
      </x:c>
      <x:c r="I229" s="4" t="str">
        <x:v>1. 已登录用户账号
2. 当前设备系统通知权限为已开启</x:v>
      </x:c>
      <x:c r="J229" s="4" t="str">
        <x:v>1. 进入「设置」页
2. 查看系统通知已开启</x:v>
      </x:c>
      <x:c r="K229" s="4" t="str">
        <x:v>系统通知显示已开启</x:v>
      </x:c>
      <x:c r="L229" s="4" t="str"/>
      <x:c r="M229" s="4" t="str">
        <x:v>未测</x:v>
      </x:c>
      <x:c r="N229" s="4" t="str"/>
      <x:c r="O229" s="4" t="str">
        <x:v>1. 来源：MainBasis/统一需求文档.md；U-settings-003
2. 场景：SC-87f63580e88802</x:v>
      </x:c>
    </x:row>
    <x:row r="230" ht="54" customHeight="1">
      <x:c r="A230" s="4" t="n">
        <x:v>229</x:v>
      </x:c>
      <x:c r="B230" s="4" t="str">
        <x:v>USER-0229</x:v>
      </x:c>
      <x:c r="C230" s="4" t="str">
        <x:v>M01 账号、登录、资料与设置</x:v>
      </x:c>
      <x:c r="D230" s="4" t="str">
        <x:v>设置（用户视角）</x:v>
      </x:c>
      <x:c r="E230" s="4" t="str">
        <x:v>功能需求</x:v>
      </x:c>
      <x:c r="F230" s="4" t="str">
        <x:v>P1</x:v>
      </x:c>
      <x:c r="G230" s="4" t="str">
        <x:v>验证开播提醒独立开关</x:v>
      </x:c>
      <x:c r="H230" s="4" t="str">
        <x:v>开播提醒独立开关</x:v>
      </x:c>
      <x:c r="I230" s="4" t="str">
        <x:v>1. 已登录用户账号
2. 当前已授予系统通知权限</x:v>
      </x:c>
      <x:c r="J230" s="4" t="str">
        <x:v>1. 进入「设置」页
2. 关闭「开播提醒」</x:v>
      </x:c>
      <x:c r="K230" s="4" t="str">
        <x:v>仅开播提醒分类偏好关闭</x:v>
      </x:c>
      <x:c r="L230" s="4" t="str"/>
      <x:c r="M230" s="4" t="str">
        <x:v>未测</x:v>
      </x:c>
      <x:c r="N230" s="4" t="str"/>
      <x:c r="O230" s="4" t="str">
        <x:v>1. 来源：MainBasis/统一需求文档.md；U-settings-004、U-settings-011
2. 场景：SC-72738d37988002</x:v>
      </x:c>
    </x:row>
    <x:row r="231" ht="54" customHeight="1">
      <x:c r="A231" s="4" t="n">
        <x:v>230</x:v>
      </x:c>
      <x:c r="B231" s="4" t="str">
        <x:v>USER-0230</x:v>
      </x:c>
      <x:c r="C231" s="4" t="str">
        <x:v>M01 账号、登录、资料与设置</x:v>
      </x:c>
      <x:c r="D231" s="4" t="str">
        <x:v>设置（用户视角）</x:v>
      </x:c>
      <x:c r="E231" s="4" t="str">
        <x:v>功能需求</x:v>
      </x:c>
      <x:c r="F231" s="4" t="str">
        <x:v>P1</x:v>
      </x:c>
      <x:c r="G231" s="4" t="str">
        <x:v>验证互动通知独立开关</x:v>
      </x:c>
      <x:c r="H231" s="4" t="str">
        <x:v>互动通知独立开关</x:v>
      </x:c>
      <x:c r="I231" s="4" t="str">
        <x:v>1. 已登录用户账号
2. 当前已授予系统通知权限</x:v>
      </x:c>
      <x:c r="J231" s="4" t="str">
        <x:v>1. 进入「设置」页
2. 关闭「互动通知」</x:v>
      </x:c>
      <x:c r="K231" s="4" t="str">
        <x:v>仅互动通知分类偏好关闭</x:v>
      </x:c>
      <x:c r="L231" s="4" t="str"/>
      <x:c r="M231" s="4" t="str">
        <x:v>未测</x:v>
      </x:c>
      <x:c r="N231" s="4" t="str"/>
      <x:c r="O231" s="4" t="str">
        <x:v>1. 来源：MainBasis/统一需求文档.md；U-settings-004、U-settings-011
2. 场景：SC-81a9492ee92461</x:v>
      </x:c>
    </x:row>
    <x:row r="232" ht="68" customHeight="1">
      <x:c r="A232" s="4" t="n">
        <x:v>231</x:v>
      </x:c>
      <x:c r="B232" s="4" t="str">
        <x:v>USER-0231</x:v>
      </x:c>
      <x:c r="C232" s="4" t="str">
        <x:v>M01 账号、登录、资料与设置</x:v>
      </x:c>
      <x:c r="D232" s="4" t="str">
        <x:v>设置（用户视角）</x:v>
      </x:c>
      <x:c r="E232" s="4" t="str">
        <x:v>功能需求</x:v>
      </x:c>
      <x:c r="F232" s="4" t="str">
        <x:v>P1</x:v>
      </x:c>
      <x:c r="G232" s="4" t="str">
        <x:v>验证拒绝系统推送保留站内通知</x:v>
      </x:c>
      <x:c r="H232" s="4" t="str">
        <x:v>拒绝系统推送保留站内通知</x:v>
      </x:c>
      <x:c r="I232" s="4" t="str">
        <x:v>1. 已登录用户账号
2. 设备未授权系统通知
3. 平台已向当前账号发送一条系统通知</x:v>
      </x:c>
      <x:c r="J232" s="4" t="str">
        <x:v>1. 进入「设置」页
2. 进入消息中心
3. 打开系统通知</x:v>
      </x:c>
      <x:c r="K232" s="4" t="str">
        <x:v>站内仍可查看该系统通知</x:v>
      </x:c>
      <x:c r="L232" s="4" t="str"/>
      <x:c r="M232" s="4" t="str">
        <x:v>未测</x:v>
      </x:c>
      <x:c r="N232" s="4" t="str"/>
      <x:c r="O232" s="4" t="str">
        <x:v>1. 来源：MainBasis/统一需求文档.md；U-settings-010、U-views_settings_notification-default-003
2. 场景：SC-7f895489dafb82</x:v>
      </x:c>
    </x:row>
    <x:row r="233" ht="54" customHeight="1">
      <x:c r="A233" s="4" t="n">
        <x:v>232</x:v>
      </x:c>
      <x:c r="B233" s="4" t="str">
        <x:v>USER-0232</x:v>
      </x:c>
      <x:c r="C233" s="4" t="str">
        <x:v>M01 账号、登录、资料与设置</x:v>
      </x:c>
      <x:c r="D233" s="4" t="str">
        <x:v>设置（用户视角）</x:v>
      </x:c>
      <x:c r="E233" s="4" t="str">
        <x:v>功能需求</x:v>
      </x:c>
      <x:c r="F233" s="4" t="str">
        <x:v>P2</x:v>
      </x:c>
      <x:c r="G233" s="4" t="str">
        <x:v>验证用户协议入口</x:v>
      </x:c>
      <x:c r="H233" s="4" t="str">
        <x:v>用户协议入口</x:v>
      </x:c>
      <x:c r="I233" s="4" t="str">
        <x:v>1. 已登录用户账号</x:v>
      </x:c>
      <x:c r="J233" s="4" t="str">
        <x:v>1. 进入「设置」页
2. 点击「用户协议」</x:v>
      </x:c>
      <x:c r="K233" s="4" t="str">
        <x:v>页面进入「当前有效版本用户协议」</x:v>
      </x:c>
      <x:c r="L233" s="4" t="str"/>
      <x:c r="M233" s="4" t="str">
        <x:v>未测</x:v>
      </x:c>
      <x:c r="N233" s="4" t="str"/>
      <x:c r="O233" s="4" t="str">
        <x:v>1. 来源：MainBasis/统一需求文档.md；U-settings-006
2. 场景：SC-db61387485ac48</x:v>
      </x:c>
    </x:row>
    <x:row r="234" ht="54" customHeight="1">
      <x:c r="A234" s="4" t="n">
        <x:v>233</x:v>
      </x:c>
      <x:c r="B234" s="4" t="str">
        <x:v>USER-0233</x:v>
      </x:c>
      <x:c r="C234" s="4" t="str">
        <x:v>M01 账号、登录、资料与设置</x:v>
      </x:c>
      <x:c r="D234" s="4" t="str">
        <x:v>设置（用户视角）</x:v>
      </x:c>
      <x:c r="E234" s="4" t="str">
        <x:v>功能需求</x:v>
      </x:c>
      <x:c r="F234" s="4" t="str">
        <x:v>P2</x:v>
      </x:c>
      <x:c r="G234" s="4" t="str">
        <x:v>验证隐私政策入口</x:v>
      </x:c>
      <x:c r="H234" s="4" t="str">
        <x:v>隐私政策入口</x:v>
      </x:c>
      <x:c r="I234" s="4" t="str">
        <x:v>1. 已登录用户账号</x:v>
      </x:c>
      <x:c r="J234" s="4" t="str">
        <x:v>1. 进入「设置」页
2. 点击「隐私政策」</x:v>
      </x:c>
      <x:c r="K234" s="4" t="str">
        <x:v>页面进入「当前有效版本隐私政策」</x:v>
      </x:c>
      <x:c r="L234" s="4" t="str"/>
      <x:c r="M234" s="4" t="str">
        <x:v>未测</x:v>
      </x:c>
      <x:c r="N234" s="4" t="str"/>
      <x:c r="O234" s="4" t="str">
        <x:v>1. 来源：MainBasis/统一需求文档.md；U-settings-006
2. 场景：SC-ef1a9f54e8008e</x:v>
      </x:c>
    </x:row>
    <x:row r="235" ht="82" customHeight="1">
      <x:c r="A235" s="4" t="n">
        <x:v>234</x:v>
      </x:c>
      <x:c r="B235" s="4" t="str">
        <x:v>USER-0234</x:v>
      </x:c>
      <x:c r="C235" s="4" t="str">
        <x:v>M01 账号、登录、资料与设置</x:v>
      </x:c>
      <x:c r="D235" s="4" t="str">
        <x:v>设置（用户视角）</x:v>
      </x:c>
      <x:c r="E235" s="4" t="str">
        <x:v>功能需求</x:v>
      </x:c>
      <x:c r="F235" s="4" t="str">
        <x:v>P1</x:v>
      </x:c>
      <x:c r="G235" s="4" t="str">
        <x:v>验证通知已拒绝选择暂不开启</x:v>
      </x:c>
      <x:c r="H235" s="4" t="str">
        <x:v>通知已拒绝选择暂不开启</x:v>
      </x:c>
      <x:c r="I235" s="4" t="str">
        <x:v>1. 已登录用户账号
2. 当前设备系统通知权限已拒绝</x:v>
      </x:c>
      <x:c r="J235" s="4" t="str">
        <x:v>1. 进入「设置」页
2. 点击系统通知
3. 点击「暂不开启」</x:v>
      </x:c>
      <x:c r="K235" s="4" t="str">
        <x:v>前往系统设置提示关闭</x:v>
      </x:c>
      <x:c r="L235" s="4" t="str"/>
      <x:c r="M235" s="4" t="str">
        <x:v>未测</x:v>
      </x:c>
      <x:c r="N235" s="4" t="str"/>
      <x:c r="O235" s="4" t="str">
        <x:v>1. 来源：MainBasis/统一需求文档.md；U-settings-017、U-views_settings_notification-denied-005、U-views_settings_notification-denied-003
2. 场景：SC-7c4959c25021b7</x:v>
      </x:c>
    </x:row>
    <x:row r="236" ht="82" customHeight="1">
      <x:c r="A236" s="4" t="n">
        <x:v>235</x:v>
      </x:c>
      <x:c r="B236" s="4" t="str">
        <x:v>USER-0235</x:v>
      </x:c>
      <x:c r="C236" s="4" t="str">
        <x:v>M01 账号、登录、资料与设置</x:v>
      </x:c>
      <x:c r="D236" s="4" t="str">
        <x:v>设置（用户视角）</x:v>
      </x:c>
      <x:c r="E236" s="4" t="str">
        <x:v>功能需求</x:v>
      </x:c>
      <x:c r="F236" s="4" t="str">
        <x:v>P1</x:v>
      </x:c>
      <x:c r="G236" s="4" t="str">
        <x:v>验证通知已拒绝选择前往设置</x:v>
      </x:c>
      <x:c r="H236" s="4" t="str">
        <x:v>通知已拒绝选择前往设置</x:v>
      </x:c>
      <x:c r="I236" s="4" t="str">
        <x:v>1. 已登录用户账号
2. 当前设备系统通知权限已拒绝</x:v>
      </x:c>
      <x:c r="J236" s="4" t="str">
        <x:v>1. 进入「设置」页
2. 点击系统通知
3. 点击「前往设置」</x:v>
      </x:c>
      <x:c r="K236" s="4" t="str">
        <x:v>打开手机系统设置</x:v>
      </x:c>
      <x:c r="L236" s="4" t="str"/>
      <x:c r="M236" s="4" t="str">
        <x:v>未测</x:v>
      </x:c>
      <x:c r="N236" s="4" t="str"/>
      <x:c r="O236" s="4" t="str">
        <x:v>1. 来源：MainBasis/统一需求文档.md；U-settings-017、U-views_settings_notification-denied-005、U-views_settings_notification-denied-003
2. 场景：SC-c9a9126940c25f</x:v>
      </x:c>
    </x:row>
    <x:row r="237" ht="54" customHeight="1">
      <x:c r="A237" s="4" t="n">
        <x:v>236</x:v>
      </x:c>
      <x:c r="B237" s="4" t="str">
        <x:v>USER-0236</x:v>
      </x:c>
      <x:c r="C237" s="4" t="str">
        <x:v>M01 账号、登录、资料与设置</x:v>
      </x:c>
      <x:c r="D237" s="4" t="str">
        <x:v>设置（用户视角）</x:v>
      </x:c>
      <x:c r="E237" s="4" t="str">
        <x:v>功能需求</x:v>
      </x:c>
      <x:c r="F237" s="4" t="str">
        <x:v>P1</x:v>
      </x:c>
      <x:c r="G237" s="4" t="str">
        <x:v>验证注销余额99按钮</x:v>
      </x:c>
      <x:c r="H237" s="4" t="str">
        <x:v>注销余额99按钮</x:v>
      </x:c>
      <x:c r="I237" s="4" t="str">
        <x:v>1. 已登录用户账号
2. 当前金币余额为99</x:v>
      </x:c>
      <x:c r="J237" s="4" t="str">
        <x:v>1. 进入设置页
2. 点击注销账号</x:v>
      </x:c>
      <x:c r="K237" s="4" t="str">
        <x:v>注销确认弹窗提供“确认注销、取消”</x:v>
      </x:c>
      <x:c r="L237" s="4" t="str"/>
      <x:c r="M237" s="4" t="str">
        <x:v>未测</x:v>
      </x:c>
      <x:c r="N237" s="4" t="str"/>
      <x:c r="O237" s="4" t="str">
        <x:v>1. 来源：MainBasis/统一需求文档.md；U-settings-021
2. 场景：SC-312c8f5edf2f65</x:v>
      </x:c>
    </x:row>
    <x:row r="238" ht="54" customHeight="1">
      <x:c r="A238" s="4" t="n">
        <x:v>237</x:v>
      </x:c>
      <x:c r="B238" s="4" t="str">
        <x:v>USER-0237</x:v>
      </x:c>
      <x:c r="C238" s="4" t="str">
        <x:v>M01 账号、登录、资料与设置</x:v>
      </x:c>
      <x:c r="D238" s="4" t="str">
        <x:v>设置（用户视角）</x:v>
      </x:c>
      <x:c r="E238" s="4" t="str">
        <x:v>功能需求</x:v>
      </x:c>
      <x:c r="F238" s="4" t="str">
        <x:v>P1</x:v>
      </x:c>
      <x:c r="G238" s="4" t="str">
        <x:v>验证注销余额100按钮</x:v>
      </x:c>
      <x:c r="H238" s="4" t="str">
        <x:v>注销余额100按钮</x:v>
      </x:c>
      <x:c r="I238" s="4" t="str">
        <x:v>1. 已登录用户账号
2. 当前金币余额为100</x:v>
      </x:c>
      <x:c r="J238" s="4" t="str">
        <x:v>1. 进入设置页
2. 点击注销账号</x:v>
      </x:c>
      <x:c r="K238" s="4" t="str">
        <x:v>注销提示弹窗提供“查看余额、取消”</x:v>
      </x:c>
      <x:c r="L238" s="4" t="str"/>
      <x:c r="M238" s="4" t="str">
        <x:v>未测</x:v>
      </x:c>
      <x:c r="N238" s="4" t="str"/>
      <x:c r="O238" s="4" t="str">
        <x:v>1. 来源：MainBasis/统一需求文档.md；U-settings-020
2. 场景：SC-c2e313ad6314d3</x:v>
      </x:c>
    </x:row>
    <x:row r="239" ht="54" customHeight="1">
      <x:c r="A239" s="4" t="n">
        <x:v>238</x:v>
      </x:c>
      <x:c r="B239" s="4" t="str">
        <x:v>USER-0238</x:v>
      </x:c>
      <x:c r="C239" s="4" t="str">
        <x:v>M01 账号、登录、资料与设置</x:v>
      </x:c>
      <x:c r="D239" s="4" t="str">
        <x:v>设置（用户视角）</x:v>
      </x:c>
      <x:c r="E239" s="4" t="str">
        <x:v>功能需求</x:v>
      </x:c>
      <x:c r="F239" s="4" t="str">
        <x:v>P1</x:v>
      </x:c>
      <x:c r="G239" s="4" t="str">
        <x:v>验证注销倒计时取消</x:v>
      </x:c>
      <x:c r="H239" s="4" t="str">
        <x:v>注销倒计时取消</x:v>
      </x:c>
      <x:c r="I239" s="4" t="str">
        <x:v>1. 已登录用户账号
2. 当前金币余额99，已展示可确认注销弹窗</x:v>
      </x:c>
      <x:c r="J239" s="4" t="str">
        <x:v>1. 进入「设置」页
2. 点击确认注销
3. 在10秒倒计时结束前点击取消</x:v>
      </x:c>
      <x:c r="K239" s="4" t="str">
        <x:v>本次注销申请未提交</x:v>
      </x:c>
      <x:c r="L239" s="4" t="str"/>
      <x:c r="M239" s="4" t="str">
        <x:v>未测</x:v>
      </x:c>
      <x:c r="N239" s="4" t="str"/>
      <x:c r="O239" s="4" t="str">
        <x:v>1. 来源：MainBasis/统一需求文档.md；U-settings-021、U-settings-022
2. 场景：SC-bf2e6a2e096459</x:v>
      </x:c>
    </x:row>
    <x:row r="240" ht="54" customHeight="1">
      <x:c r="A240" s="4" t="n">
        <x:v>239</x:v>
      </x:c>
      <x:c r="B240" s="4" t="str">
        <x:v>USER-0239</x:v>
      </x:c>
      <x:c r="C240" s="4" t="str">
        <x:v>M01 账号、登录、资料与设置</x:v>
      </x:c>
      <x:c r="D240" s="4" t="str">
        <x:v>设置（用户视角）</x:v>
      </x:c>
      <x:c r="E240" s="4" t="str">
        <x:v>功能需求</x:v>
      </x:c>
      <x:c r="F240" s="4" t="str">
        <x:v>P1</x:v>
      </x:c>
      <x:c r="G240" s="4" t="str">
        <x:v>验证注销倒计时完成</x:v>
      </x:c>
      <x:c r="H240" s="4" t="str">
        <x:v>注销倒计时完成</x:v>
      </x:c>
      <x:c r="I240" s="4" t="str">
        <x:v>1. 已登录用户账号
2. 当前金币余额99，已展示可确认注销弹窗</x:v>
      </x:c>
      <x:c r="J240" s="4" t="str">
        <x:v>1. 进入「设置」页
2. 点击确认注销
3. 等待10秒倒计时结束</x:v>
      </x:c>
      <x:c r="K240" s="4" t="str">
        <x:v>退出到登录与注册页</x:v>
      </x:c>
      <x:c r="L240" s="4" t="str"/>
      <x:c r="M240" s="4" t="str">
        <x:v>未测</x:v>
      </x:c>
      <x:c r="N240" s="4" t="str"/>
      <x:c r="O240" s="4" t="str">
        <x:v>1. 来源：MainBasis/统一需求文档.md；U-settings-021、U-settings-022
2. 场景：SC-97c341632b6611</x:v>
      </x:c>
    </x:row>
    <x:row r="241" ht="54" customHeight="1">
      <x:c r="A241" s="4" t="n">
        <x:v>240</x:v>
      </x:c>
      <x:c r="B241" s="4" t="str">
        <x:v>USER-0240</x:v>
      </x:c>
      <x:c r="C241" s="4" t="str">
        <x:v>M01 账号、登录、资料与设置</x:v>
      </x:c>
      <x:c r="D241" s="4" t="str">
        <x:v>系统通知-从未申请（用户视角）</x:v>
      </x:c>
      <x:c r="E241" s="4" t="str">
        <x:v>功能需求</x:v>
      </x:c>
      <x:c r="F241" s="4" t="str">
        <x:v>P2</x:v>
      </x:c>
      <x:c r="G241" s="4" t="str">
        <x:v>验证系统通知回显</x:v>
      </x:c>
      <x:c r="H241" s="4" t="str">
        <x:v>系统通知回显</x:v>
      </x:c>
      <x:c r="I241" s="4" t="str">
        <x:v>1. 已登录用户账号
2. 所选对象存在，已记录该对象的系统通知值</x:v>
      </x:c>
      <x:c r="J241" s="4" t="str">
        <x:v>1. 进入「设置」页
2. 打开「系统通知-从未申请」视图
3. 查看系统通知回显</x:v>
      </x:c>
      <x:c r="K241" s="4" t="str">
        <x:v>「系统通知」内容与所选对象的该项资料一致</x:v>
      </x:c>
      <x:c r="L241" s="4" t="str"/>
      <x:c r="M241" s="4" t="str">
        <x:v>未测</x:v>
      </x:c>
      <x:c r="N241" s="4" t="str"/>
      <x:c r="O241" s="4" t="str">
        <x:v>1. 来源：MainBasis/统一需求文档.md；U-views_settings_notification-default-002
2. 场景：SC-04bdd053417c68</x:v>
      </x:c>
    </x:row>
    <x:row r="242" ht="54" customHeight="1">
      <x:c r="A242" s="4" t="n">
        <x:v>241</x:v>
      </x:c>
      <x:c r="B242" s="4" t="str">
        <x:v>USER-0241</x:v>
      </x:c>
      <x:c r="C242" s="4" t="str">
        <x:v>M01 账号、登录、资料与设置</x:v>
      </x:c>
      <x:c r="D242" s="4" t="str">
        <x:v>系统通知-已拒绝（用户视角）</x:v>
      </x:c>
      <x:c r="E242" s="4" t="str">
        <x:v>功能需求</x:v>
      </x:c>
      <x:c r="F242" s="4" t="str">
        <x:v>P2</x:v>
      </x:c>
      <x:c r="G242" s="4" t="str">
        <x:v>验证系统通知回显</x:v>
      </x:c>
      <x:c r="H242" s="4" t="str">
        <x:v>系统通知回显</x:v>
      </x:c>
      <x:c r="I242" s="4" t="str">
        <x:v>1. 已登录用户账号
2. 所选对象存在，已记录该对象的系统通知值</x:v>
      </x:c>
      <x:c r="J242" s="4" t="str">
        <x:v>1. 进入「设置」页
2. 打开「系统通知-已拒绝」视图
3. 查看系统通知回显</x:v>
      </x:c>
      <x:c r="K242" s="4" t="str">
        <x:v>「系统通知」内容与所选对象的该项资料一致</x:v>
      </x:c>
      <x:c r="L242" s="4" t="str"/>
      <x:c r="M242" s="4" t="str">
        <x:v>未测</x:v>
      </x:c>
      <x:c r="N242" s="4" t="str"/>
      <x:c r="O242" s="4" t="str">
        <x:v>1. 来源：MainBasis/统一需求文档.md；U-views_settings_notification-denied-002
2. 场景：SC-e6c197bae8e436</x:v>
      </x:c>
    </x:row>
    <x:row r="243" ht="54" customHeight="1">
      <x:c r="A243" s="4" t="n">
        <x:v>242</x:v>
      </x:c>
      <x:c r="B243" s="4" t="str">
        <x:v>USER-0242</x:v>
      </x:c>
      <x:c r="C243" s="4" t="str">
        <x:v>M01 账号、登录、资料与设置</x:v>
      </x:c>
      <x:c r="D243" s="4" t="str">
        <x:v>系统通知-已拒绝（用户视角）</x:v>
      </x:c>
      <x:c r="E243" s="4" t="str">
        <x:v>功能需求</x:v>
      </x:c>
      <x:c r="F243" s="4" t="str">
        <x:v>P1</x:v>
      </x:c>
      <x:c r="G243" s="4" t="str">
        <x:v>验证分类偏好不能代替系统授权</x:v>
      </x:c>
      <x:c r="H243" s="4" t="str">
        <x:v>分类偏好不能代替系统授权</x:v>
      </x:c>
      <x:c r="I243" s="4" t="str">
        <x:v>1. 已登录用户账号
2. 系统通知已拒绝，App分类偏好开启</x:v>
      </x:c>
      <x:c r="J243" s="4" t="str">
        <x:v>1. 进入「设置」页
2. 打开「系统通知-已拒绝」视图
3. 查看分类偏好不能代替系统授权</x:v>
      </x:c>
      <x:c r="K243" s="4" t="str">
        <x:v>系统通知仍为已拒绝</x:v>
      </x:c>
      <x:c r="L243" s="4" t="str"/>
      <x:c r="M243" s="4" t="str">
        <x:v>未测</x:v>
      </x:c>
      <x:c r="N243" s="4" t="str"/>
      <x:c r="O243" s="4" t="str">
        <x:v>1. 来源：MainBasis/统一需求文档.md；U-views_settings_notification-denied-004
2. 场景：SC-6f846ca75d29e7</x:v>
      </x:c>
    </x:row>
    <x:row r="244" ht="54" customHeight="1">
      <x:c r="A244" s="4" t="n">
        <x:v>243</x:v>
      </x:c>
      <x:c r="B244" s="4" t="str">
        <x:v>USER-0243</x:v>
      </x:c>
      <x:c r="C244" s="4" t="str">
        <x:v>M01 账号、登录、资料与设置</x:v>
      </x:c>
      <x:c r="D244" s="4" t="str">
        <x:v>系统通知-已授权（用户视角）</x:v>
      </x:c>
      <x:c r="E244" s="4" t="str">
        <x:v>功能需求</x:v>
      </x:c>
      <x:c r="F244" s="4" t="str">
        <x:v>P2</x:v>
      </x:c>
      <x:c r="G244" s="4" t="str">
        <x:v>验证系统通知回显</x:v>
      </x:c>
      <x:c r="H244" s="4" t="str">
        <x:v>系统通知回显</x:v>
      </x:c>
      <x:c r="I244" s="4" t="str">
        <x:v>1. 已登录用户账号
2. 所选对象存在，已记录该对象的系统通知值</x:v>
      </x:c>
      <x:c r="J244" s="4" t="str">
        <x:v>1. 进入「设置」页
2. 打开「系统通知-已授权」视图
3. 查看系统通知回显</x:v>
      </x:c>
      <x:c r="K244" s="4" t="str">
        <x:v>「系统通知」内容与所选对象的该项资料一致</x:v>
      </x:c>
      <x:c r="L244" s="4" t="str"/>
      <x:c r="M244" s="4" t="str">
        <x:v>未测</x:v>
      </x:c>
      <x:c r="N244" s="4" t="str"/>
      <x:c r="O244" s="4" t="str">
        <x:v>1. 来源：MainBasis/统一需求文档.md；U-views_settings_notification-granted-002
2. 场景：SC-e04409369ecbcf</x:v>
      </x:c>
    </x:row>
    <x:row r="245" ht="54" customHeight="1">
      <x:c r="A245" s="4" t="n">
        <x:v>244</x:v>
      </x:c>
      <x:c r="B245" s="4" t="str">
        <x:v>USER-0244</x:v>
      </x:c>
      <x:c r="C245" s="4" t="str">
        <x:v>M01 账号、登录、资料与设置</x:v>
      </x:c>
      <x:c r="D245" s="4" t="str">
        <x:v>系统通知-已授权（用户视角）</x:v>
      </x:c>
      <x:c r="E245" s="4" t="str">
        <x:v>功能需求</x:v>
      </x:c>
      <x:c r="F245" s="4" t="str">
        <x:v>P2</x:v>
      </x:c>
      <x:c r="G245" s="4" t="str">
        <x:v>验证开播提醒、互动通知回显</x:v>
      </x:c>
      <x:c r="H245" s="4" t="str">
        <x:v>开播提醒、互动通知回显</x:v>
      </x:c>
      <x:c r="I245" s="4" t="str">
        <x:v>1. 已登录用户账号
2. 所选对象存在，已记录该对象的开播提醒 / 互动通知值</x:v>
      </x:c>
      <x:c r="J245" s="4" t="str">
        <x:v>1. 进入「设置」页
2. 打开「系统通知-已授权」视图
3. 查看开播提醒、互动通知回显</x:v>
      </x:c>
      <x:c r="K245" s="4" t="str">
        <x:v>「开播提醒 / 互动通知」内容与所选对象的该项资料一致</x:v>
      </x:c>
      <x:c r="L245" s="4" t="str"/>
      <x:c r="M245" s="4" t="str">
        <x:v>未测</x:v>
      </x:c>
      <x:c r="N245" s="4" t="str"/>
      <x:c r="O245" s="4" t="str">
        <x:v>1. 来源：MainBasis/统一需求文档.md；U-views_settings_notification-granted-003
2. 场景：SC-2060fa63d7ae38</x:v>
      </x:c>
    </x:row>
    <x:row r="246" ht="54" customHeight="1">
      <x:c r="A246" s="4" t="n">
        <x:v>245</x:v>
      </x:c>
      <x:c r="B246" s="4" t="str">
        <x:v>USER-0245</x:v>
      </x:c>
      <x:c r="C246" s="4" t="str">
        <x:v>M01 账号、登录、资料与设置</x:v>
      </x:c>
      <x:c r="D246" s="4" t="str">
        <x:v>系统通知-已授权（用户视角）</x:v>
      </x:c>
      <x:c r="E246" s="4" t="str">
        <x:v>功能需求</x:v>
      </x:c>
      <x:c r="F246" s="4" t="str">
        <x:v>P1</x:v>
      </x:c>
      <x:c r="G246" s="4" t="str">
        <x:v>验证已授权通知提示</x:v>
      </x:c>
      <x:c r="H246" s="4" t="str">
        <x:v>已授权通知提示</x:v>
      </x:c>
      <x:c r="I246" s="4" t="str">
        <x:v>1. 已登录用户账号
2. 当前设备已授予通知权限</x:v>
      </x:c>
      <x:c r="J246" s="4" t="str">
        <x:v>1. 进入「设置」页
2. 打开「系统通知-已授权」视图
3. 点击系统通知</x:v>
      </x:c>
      <x:c r="K246" s="4" t="str">
        <x:v>提示“系统通知已开启”</x:v>
      </x:c>
      <x:c r="L246" s="4" t="str"/>
      <x:c r="M246" s="4" t="str">
        <x:v>未测</x:v>
      </x:c>
      <x:c r="N246" s="4" t="str"/>
      <x:c r="O246" s="4" t="str">
        <x:v>1. 来源：MainBasis/统一需求文档.md；U-views_settings_notification-granted-005
2. 场景：SC-e2c6c79fc7e63b</x:v>
      </x:c>
    </x:row>
    <x:row r="247" ht="54" customHeight="1">
      <x:c r="A247" s="4" t="n">
        <x:v>246</x:v>
      </x:c>
      <x:c r="B247" s="4" t="str">
        <x:v>USER-0246</x:v>
      </x:c>
      <x:c r="C247" s="4" t="str">
        <x:v>M01 账号、登录、资料与设置</x:v>
      </x:c>
      <x:c r="D247" s="4" t="str">
        <x:v>系统通知-已授权（用户视角）</x:v>
      </x:c>
      <x:c r="E247" s="4" t="str">
        <x:v>功能需求</x:v>
      </x:c>
      <x:c r="F247" s="4" t="str">
        <x:v>P1</x:v>
      </x:c>
      <x:c r="G247" s="4" t="str">
        <x:v>验证系统授权后仍尊重分类关闭</x:v>
      </x:c>
      <x:c r="H247" s="4" t="str">
        <x:v>系统授权后仍尊重分类关闭</x:v>
      </x:c>
      <x:c r="I247" s="4" t="str">
        <x:v>1. 已登录用户账号
2. 系统通知已开启，开播提醒偏好关闭</x:v>
      </x:c>
      <x:c r="J247" s="4" t="str">
        <x:v>1. 进入「设置」页
2. 打开「系统通知-已授权」视图
3. 查看系统授权后仍尊重分类关闭</x:v>
      </x:c>
      <x:c r="K247" s="4" t="str">
        <x:v>该账号不接收开播提醒分类推送</x:v>
      </x:c>
      <x:c r="L247" s="4" t="str"/>
      <x:c r="M247" s="4" t="str">
        <x:v>未测</x:v>
      </x:c>
      <x:c r="N247" s="4" t="str"/>
      <x:c r="O247" s="4" t="str">
        <x:v>1. 来源：MainBasis/统一需求文档.md；U-views_settings_notification-granted-004
2. 场景：SC-3aaae314e45c5d</x:v>
      </x:c>
    </x:row>
    <x:row r="248" ht="54" customHeight="1">
      <x:c r="A248" s="4" t="n">
        <x:v>247</x:v>
      </x:c>
      <x:c r="B248" s="4" t="str">
        <x:v>USER-0247</x:v>
      </x:c>
      <x:c r="C248" s="4" t="str">
        <x:v>M02 发现、搜索、主页与平台榜单</x:v>
      </x:c>
      <x:c r="D248" s="4" t="str">
        <x:v>首页（用户视角）</x:v>
      </x:c>
      <x:c r="E248" s="4" t="str">
        <x:v>功能需求</x:v>
      </x:c>
      <x:c r="F248" s="4" t="str">
        <x:v>P2</x:v>
      </x:c>
      <x:c r="G248" s="4" t="str">
        <x:v>验证关注主播回显</x:v>
      </x:c>
      <x:c r="H248" s="4" t="str">
        <x:v>关注主播回显</x:v>
      </x:c>
      <x:c r="I248" s="4" t="str">
        <x:v>1. 已登录用户账号
2. 所选对象存在，已记录该对象的关注主播值</x:v>
      </x:c>
      <x:c r="J248" s="4" t="str">
        <x:v>1. 进入「首页」页
2. 查看关注主播回显</x:v>
      </x:c>
      <x:c r="K248" s="4" t="str">
        <x:v>「关注主播」内容与所选对象的该项资料一致</x:v>
      </x:c>
      <x:c r="L248" s="4" t="str"/>
      <x:c r="M248" s="4" t="str">
        <x:v>未测</x:v>
      </x:c>
      <x:c r="N248" s="4" t="str"/>
      <x:c r="O248" s="4" t="str">
        <x:v>1. 来源：MainBasis/统一需求文档.md；U-live-plaza-004
2. 场景：SC-aadf44bf13bdb2</x:v>
      </x:c>
    </x:row>
    <x:row r="249" ht="68" customHeight="1">
      <x:c r="A249" s="4" t="n">
        <x:v>248</x:v>
      </x:c>
      <x:c r="B249" s="4" t="str">
        <x:v>USER-0248</x:v>
      </x:c>
      <x:c r="C249" s="4" t="str">
        <x:v>M02 发现、搜索、主页与平台榜单</x:v>
      </x:c>
      <x:c r="D249" s="4" t="str">
        <x:v>首页（游客视角）</x:v>
      </x:c>
      <x:c r="E249" s="4" t="str">
        <x:v>功能需求</x:v>
      </x:c>
      <x:c r="F249" s="4" t="str">
        <x:v>P1</x:v>
      </x:c>
      <x:c r="G249" s="4" t="str">
        <x:v>验证游客点击直播间转登录</x:v>
      </x:c>
      <x:c r="H249" s="4" t="str">
        <x:v>游客点击直播间转登录</x:v>
      </x:c>
      <x:c r="I249" s="4" t="str">
        <x:v>1. 执行者为未登录游客
2. 当前为游客</x:v>
      </x:c>
      <x:c r="J249" s="4" t="str">
        <x:v>1. 进入「首页」页
2. 在首页点击「直播间」</x:v>
      </x:c>
      <x:c r="K249" s="4" t="str">
        <x:v>页面进入登录与注册页</x:v>
      </x:c>
      <x:c r="L249" s="4" t="str"/>
      <x:c r="M249" s="4" t="str">
        <x:v>未测</x:v>
      </x:c>
      <x:c r="N249" s="4" t="str"/>
      <x:c r="O249" s="4" t="str">
        <x:v>1. 来源：MainBasis/统一需求文档.md；U-auth-login-register-016、U-live-plaza-009、U-live-plaza-008
2. 场景：SC-3da33d0bf580d1</x:v>
      </x:c>
    </x:row>
    <x:row r="250" ht="68" customHeight="1">
      <x:c r="A250" s="4" t="n">
        <x:v>249</x:v>
      </x:c>
      <x:c r="B250" s="4" t="str">
        <x:v>USER-0249</x:v>
      </x:c>
      <x:c r="C250" s="4" t="str">
        <x:v>M02 发现、搜索、主页与平台榜单</x:v>
      </x:c>
      <x:c r="D250" s="4" t="str">
        <x:v>首页（游客视角）</x:v>
      </x:c>
      <x:c r="E250" s="4" t="str">
        <x:v>功能需求</x:v>
      </x:c>
      <x:c r="F250" s="4" t="str">
        <x:v>P1</x:v>
      </x:c>
      <x:c r="G250" s="4" t="str">
        <x:v>验证游客点击搜索转登录</x:v>
      </x:c>
      <x:c r="H250" s="4" t="str">
        <x:v>游客点击搜索转登录</x:v>
      </x:c>
      <x:c r="I250" s="4" t="str">
        <x:v>1. 执行者为未登录游客
2. 当前为游客</x:v>
      </x:c>
      <x:c r="J250" s="4" t="str">
        <x:v>1. 进入「首页」页
2. 在首页点击「搜索」</x:v>
      </x:c>
      <x:c r="K250" s="4" t="str">
        <x:v>页面进入登录与注册页</x:v>
      </x:c>
      <x:c r="L250" s="4" t="str"/>
      <x:c r="M250" s="4" t="str">
        <x:v>未测</x:v>
      </x:c>
      <x:c r="N250" s="4" t="str"/>
      <x:c r="O250" s="4" t="str">
        <x:v>1. 来源：MainBasis/统一需求文档.md；U-auth-login-register-016、U-live-plaza-009、U-live-plaza-008
2. 场景：SC-2f710c985d4885</x:v>
      </x:c>
    </x:row>
    <x:row r="251" ht="68" customHeight="1">
      <x:c r="A251" s="4" t="n">
        <x:v>250</x:v>
      </x:c>
      <x:c r="B251" s="4" t="str">
        <x:v>USER-0250</x:v>
      </x:c>
      <x:c r="C251" s="4" t="str">
        <x:v>M02 发现、搜索、主页与平台榜单</x:v>
      </x:c>
      <x:c r="D251" s="4" t="str">
        <x:v>首页（游客视角）</x:v>
      </x:c>
      <x:c r="E251" s="4" t="str">
        <x:v>功能需求</x:v>
      </x:c>
      <x:c r="F251" s="4" t="str">
        <x:v>P1</x:v>
      </x:c>
      <x:c r="G251" s="4" t="str">
        <x:v>验证游客点击消息转登录</x:v>
      </x:c>
      <x:c r="H251" s="4" t="str">
        <x:v>游客点击消息转登录</x:v>
      </x:c>
      <x:c r="I251" s="4" t="str">
        <x:v>1. 执行者为未登录游客
2. 当前为游客</x:v>
      </x:c>
      <x:c r="J251" s="4" t="str">
        <x:v>1. 进入「首页」页
2. 在首页点击「消息」</x:v>
      </x:c>
      <x:c r="K251" s="4" t="str">
        <x:v>页面进入登录与注册页</x:v>
      </x:c>
      <x:c r="L251" s="4" t="str"/>
      <x:c r="M251" s="4" t="str">
        <x:v>未测</x:v>
      </x:c>
      <x:c r="N251" s="4" t="str"/>
      <x:c r="O251" s="4" t="str">
        <x:v>1. 来源：MainBasis/统一需求文档.md；U-auth-login-register-016、U-live-plaza-009、U-live-plaza-008
2. 场景：SC-d6e13f9934b275</x:v>
      </x:c>
    </x:row>
    <x:row r="252" ht="68" customHeight="1">
      <x:c r="A252" s="4" t="n">
        <x:v>251</x:v>
      </x:c>
      <x:c r="B252" s="4" t="str">
        <x:v>USER-0251</x:v>
      </x:c>
      <x:c r="C252" s="4" t="str">
        <x:v>M02 发现、搜索、主页与平台榜单</x:v>
      </x:c>
      <x:c r="D252" s="4" t="str">
        <x:v>首页（游客视角）</x:v>
      </x:c>
      <x:c r="E252" s="4" t="str">
        <x:v>功能需求</x:v>
      </x:c>
      <x:c r="F252" s="4" t="str">
        <x:v>P1</x:v>
      </x:c>
      <x:c r="G252" s="4" t="str">
        <x:v>验证游客点击我的转登录</x:v>
      </x:c>
      <x:c r="H252" s="4" t="str">
        <x:v>游客点击我的转登录</x:v>
      </x:c>
      <x:c r="I252" s="4" t="str">
        <x:v>1. 执行者为未登录游客
2. 当前为游客</x:v>
      </x:c>
      <x:c r="J252" s="4" t="str">
        <x:v>1. 进入「首页」页
2. 在首页点击「我的」</x:v>
      </x:c>
      <x:c r="K252" s="4" t="str">
        <x:v>页面进入登录与注册页</x:v>
      </x:c>
      <x:c r="L252" s="4" t="str"/>
      <x:c r="M252" s="4" t="str">
        <x:v>未测</x:v>
      </x:c>
      <x:c r="N252" s="4" t="str"/>
      <x:c r="O252" s="4" t="str">
        <x:v>1. 来源：MainBasis/统一需求文档.md；U-auth-login-register-016、U-live-plaza-009、U-live-plaza-008
2. 场景：SC-1cbb9ade008ac6</x:v>
      </x:c>
    </x:row>
    <x:row r="253" ht="54" customHeight="1">
      <x:c r="A253" s="4" t="n">
        <x:v>252</x:v>
      </x:c>
      <x:c r="B253" s="4" t="str">
        <x:v>USER-0252</x:v>
      </x:c>
      <x:c r="C253" s="4" t="str">
        <x:v>M02 发现、搜索、主页与平台榜单</x:v>
      </x:c>
      <x:c r="D253" s="4" t="str">
        <x:v>首页（用户视角）</x:v>
      </x:c>
      <x:c r="E253" s="4" t="str">
        <x:v>功能需求</x:v>
      </x:c>
      <x:c r="F253" s="4" t="str">
        <x:v>P1</x:v>
      </x:c>
      <x:c r="G253" s="4" t="str">
        <x:v>验证普通房准入提示</x:v>
      </x:c>
      <x:c r="H253" s="4" t="str">
        <x:v>普通房准入提示</x:v>
      </x:c>
      <x:c r="I253" s="4" t="str">
        <x:v>1. 已登录用户账号
2. 存在正在直播的普通房</x:v>
      </x:c>
      <x:c r="J253" s="4" t="str">
        <x:v>1. 进入「首页」页
2. 查看普通房准入提示</x:v>
      </x:c>
      <x:c r="K253" s="4" t="str">
        <x:v>该卡片显示无准入标识</x:v>
      </x:c>
      <x:c r="L253" s="4" t="str"/>
      <x:c r="M253" s="4" t="str">
        <x:v>未测</x:v>
      </x:c>
      <x:c r="N253" s="4" t="str"/>
      <x:c r="O253" s="4" t="str">
        <x:v>1. 来源：MainBasis/统一需求文档.md；U-live-plaza-003
2. 场景：SC-8ae04c9e600bcc</x:v>
      </x:c>
    </x:row>
    <x:row r="254" ht="54" customHeight="1">
      <x:c r="A254" s="4" t="n">
        <x:v>253</x:v>
      </x:c>
      <x:c r="B254" s="4" t="str">
        <x:v>USER-0253</x:v>
      </x:c>
      <x:c r="C254" s="4" t="str">
        <x:v>M02 发现、搜索、主页与平台榜单</x:v>
      </x:c>
      <x:c r="D254" s="4" t="str">
        <x:v>首页（用户视角）</x:v>
      </x:c>
      <x:c r="E254" s="4" t="str">
        <x:v>功能需求</x:v>
      </x:c>
      <x:c r="F254" s="4" t="str">
        <x:v>P1</x:v>
      </x:c>
      <x:c r="G254" s="4" t="str">
        <x:v>验证门票房准入提示</x:v>
      </x:c>
      <x:c r="H254" s="4" t="str">
        <x:v>门票房准入提示</x:v>
      </x:c>
      <x:c r="I254" s="4" t="str">
        <x:v>1. 已登录用户账号
2. 存在正在直播的门票房</x:v>
      </x:c>
      <x:c r="J254" s="4" t="str">
        <x:v>1. 进入「首页」页
2. 查看门票房准入提示</x:v>
      </x:c>
      <x:c r="K254" s="4" t="str">
        <x:v>该卡片显示金币价格</x:v>
      </x:c>
      <x:c r="L254" s="4" t="str"/>
      <x:c r="M254" s="4" t="str">
        <x:v>未测</x:v>
      </x:c>
      <x:c r="N254" s="4" t="str"/>
      <x:c r="O254" s="4" t="str">
        <x:v>1. 来源：MainBasis/统一需求文档.md；U-live-plaza-003
2. 场景：SC-ed8c20085ec890</x:v>
      </x:c>
    </x:row>
    <x:row r="255" ht="54" customHeight="1">
      <x:c r="A255" s="4" t="n">
        <x:v>254</x:v>
      </x:c>
      <x:c r="B255" s="4" t="str">
        <x:v>USER-0254</x:v>
      </x:c>
      <x:c r="C255" s="4" t="str">
        <x:v>M02 发现、搜索、主页与平台榜单</x:v>
      </x:c>
      <x:c r="D255" s="4" t="str">
        <x:v>首页（用户视角）</x:v>
      </x:c>
      <x:c r="E255" s="4" t="str">
        <x:v>功能需求</x:v>
      </x:c>
      <x:c r="F255" s="4" t="str">
        <x:v>P1</x:v>
      </x:c>
      <x:c r="G255" s="4" t="str">
        <x:v>验证密码房准入提示</x:v>
      </x:c>
      <x:c r="H255" s="4" t="str">
        <x:v>密码房准入提示</x:v>
      </x:c>
      <x:c r="I255" s="4" t="str">
        <x:v>1. 已登录用户账号
2. 存在正在直播的密码房</x:v>
      </x:c>
      <x:c r="J255" s="4" t="str">
        <x:v>1. 进入「首页」页
2. 查看密码房准入提示</x:v>
      </x:c>
      <x:c r="K255" s="4" t="str">
        <x:v>该卡片显示密码准入提示</x:v>
      </x:c>
      <x:c r="L255" s="4" t="str"/>
      <x:c r="M255" s="4" t="str">
        <x:v>未测</x:v>
      </x:c>
      <x:c r="N255" s="4" t="str"/>
      <x:c r="O255" s="4" t="str">
        <x:v>1. 来源：MainBasis/统一需求文档.md；U-live-plaza-003
2. 场景：SC-f30abf644b935e</x:v>
      </x:c>
    </x:row>
    <x:row r="256" ht="54" customHeight="1">
      <x:c r="A256" s="4" t="n">
        <x:v>255</x:v>
      </x:c>
      <x:c r="B256" s="4" t="str">
        <x:v>USER-0255</x:v>
      </x:c>
      <x:c r="C256" s="4" t="str">
        <x:v>M02 发现、搜索、主页与平台榜单</x:v>
      </x:c>
      <x:c r="D256" s="4" t="str">
        <x:v>首页（用户视角）</x:v>
      </x:c>
      <x:c r="E256" s="4" t="str">
        <x:v>功能需求</x:v>
      </x:c>
      <x:c r="F256" s="4" t="str">
        <x:v>P1</x:v>
      </x:c>
      <x:c r="G256" s="4" t="str">
        <x:v>验证本场访问次数0</x:v>
      </x:c>
      <x:c r="H256" s="4" t="str">
        <x:v>本场访问次数0</x:v>
      </x:c>
      <x:c r="I256" s="4" t="str">
        <x:v>1. 已登录用户账号
2. 当前场次从0开始
3. 同一用户成功进入本场0次</x:v>
      </x:c>
      <x:c r="J256" s="4" t="str">
        <x:v>1. 进入「首页」页
2. 查看本场访问次数0</x:v>
      </x:c>
      <x:c r="K256" s="4" t="str">
        <x:v>卡片本场访问次数 = 0</x:v>
      </x:c>
      <x:c r="L256" s="4" t="str"/>
      <x:c r="M256" s="4" t="str">
        <x:v>未测</x:v>
      </x:c>
      <x:c r="N256" s="4" t="str"/>
      <x:c r="O256" s="4" t="str">
        <x:v>1. 来源：MainBasis/统一需求文档.md；U-live-plaza-002
2. 场景：SC-ef534f6d2387c8</x:v>
      </x:c>
    </x:row>
    <x:row r="257" ht="54" customHeight="1">
      <x:c r="A257" s="4" t="n">
        <x:v>256</x:v>
      </x:c>
      <x:c r="B257" s="4" t="str">
        <x:v>USER-0256</x:v>
      </x:c>
      <x:c r="C257" s="4" t="str">
        <x:v>M02 发现、搜索、主页与平台榜单</x:v>
      </x:c>
      <x:c r="D257" s="4" t="str">
        <x:v>首页（用户视角）</x:v>
      </x:c>
      <x:c r="E257" s="4" t="str">
        <x:v>功能需求</x:v>
      </x:c>
      <x:c r="F257" s="4" t="str">
        <x:v>P1</x:v>
      </x:c>
      <x:c r="G257" s="4" t="str">
        <x:v>验证本场访问次数1</x:v>
      </x:c>
      <x:c r="H257" s="4" t="str">
        <x:v>本场访问次数1</x:v>
      </x:c>
      <x:c r="I257" s="4" t="str">
        <x:v>1. 已登录用户账号
2. 当前场次从0开始
3. 同一用户成功进入本场1次</x:v>
      </x:c>
      <x:c r="J257" s="4" t="str">
        <x:v>1. 进入「首页」页
2. 查看本场访问次数1</x:v>
      </x:c>
      <x:c r="K257" s="4" t="str">
        <x:v>卡片本场访问次数 = 1</x:v>
      </x:c>
      <x:c r="L257" s="4" t="str"/>
      <x:c r="M257" s="4" t="str">
        <x:v>未测</x:v>
      </x:c>
      <x:c r="N257" s="4" t="str"/>
      <x:c r="O257" s="4" t="str">
        <x:v>1. 来源：MainBasis/统一需求文档.md；U-live-plaza-002
2. 场景：SC-4ea4221e476f0d</x:v>
      </x:c>
    </x:row>
    <x:row r="258" ht="54" customHeight="1">
      <x:c r="A258" s="4" t="n">
        <x:v>257</x:v>
      </x:c>
      <x:c r="B258" s="4" t="str">
        <x:v>USER-0257</x:v>
      </x:c>
      <x:c r="C258" s="4" t="str">
        <x:v>M02 发现、搜索、主页与平台榜单</x:v>
      </x:c>
      <x:c r="D258" s="4" t="str">
        <x:v>首页（用户视角）</x:v>
      </x:c>
      <x:c r="E258" s="4" t="str">
        <x:v>功能需求</x:v>
      </x:c>
      <x:c r="F258" s="4" t="str">
        <x:v>P1</x:v>
      </x:c>
      <x:c r="G258" s="4" t="str">
        <x:v>验证本场访问次数2</x:v>
      </x:c>
      <x:c r="H258" s="4" t="str">
        <x:v>本场访问次数2</x:v>
      </x:c>
      <x:c r="I258" s="4" t="str">
        <x:v>1. 已登录用户账号
2. 当前场次从0开始
3. 同一用户成功进入本场2次</x:v>
      </x:c>
      <x:c r="J258" s="4" t="str">
        <x:v>1. 进入「首页」页
2. 查看本场访问次数2</x:v>
      </x:c>
      <x:c r="K258" s="4" t="str">
        <x:v>卡片本场访问次数 = 2</x:v>
      </x:c>
      <x:c r="L258" s="4" t="str"/>
      <x:c r="M258" s="4" t="str">
        <x:v>未测</x:v>
      </x:c>
      <x:c r="N258" s="4" t="str"/>
      <x:c r="O258" s="4" t="str">
        <x:v>1. 来源：MainBasis/统一需求文档.md；U-live-plaza-002
2. 场景：SC-176d46efe95065</x:v>
      </x:c>
    </x:row>
    <x:row r="259" ht="68" customHeight="1">
      <x:c r="A259" s="4" t="n">
        <x:v>258</x:v>
      </x:c>
      <x:c r="B259" s="4" t="str">
        <x:v>USER-0258</x:v>
      </x:c>
      <x:c r="C259" s="4" t="str">
        <x:v>M02 发现、搜索、主页与平台榜单</x:v>
      </x:c>
      <x:c r="D259" s="4" t="str">
        <x:v>首页（用户视角）</x:v>
      </x:c>
      <x:c r="E259" s="4" t="str">
        <x:v>功能需求</x:v>
      </x:c>
      <x:c r="F259" s="4" t="str">
        <x:v>P1</x:v>
      </x:c>
      <x:c r="G259" s="4" t="str">
        <x:v>验证列表曝光不计访问</x:v>
      </x:c>
      <x:c r="H259" s="4" t="str">
        <x:v>列表曝光不计访问</x:v>
      </x:c>
      <x:c r="I259" s="4" t="str">
        <x:v>1. 已登录用户账号
2. 当前本场访问次数5
3. 之后仅发生一次列表曝光且未进入直播间</x:v>
      </x:c>
      <x:c r="J259" s="4" t="str">
        <x:v>1. 进入「首页」页
2. 查看列表曝光不计访问</x:v>
      </x:c>
      <x:c r="K259" s="4" t="str">
        <x:v>本场访问次数仍为5</x:v>
      </x:c>
      <x:c r="L259" s="4" t="str"/>
      <x:c r="M259" s="4" t="str">
        <x:v>未测</x:v>
      </x:c>
      <x:c r="N259" s="4" t="str"/>
      <x:c r="O259" s="4" t="str">
        <x:v>1. 来源：MainBasis/统一需求文档.md；U-live-plaza-002
2. 场景：SC-c92a18b3f42398</x:v>
      </x:c>
    </x:row>
    <x:row r="260" ht="68" customHeight="1">
      <x:c r="A260" s="4" t="n">
        <x:v>259</x:v>
      </x:c>
      <x:c r="B260" s="4" t="str">
        <x:v>USER-0259</x:v>
      </x:c>
      <x:c r="C260" s="4" t="str">
        <x:v>M02 发现、搜索、主页与平台榜单</x:v>
      </x:c>
      <x:c r="D260" s="4" t="str">
        <x:v>首页（用户视角）</x:v>
      </x:c>
      <x:c r="E260" s="4" t="str">
        <x:v>功能需求</x:v>
      </x:c>
      <x:c r="F260" s="4" t="str">
        <x:v>P1</x:v>
      </x:c>
      <x:c r="G260" s="4" t="str">
        <x:v>验证密码校验失败不计访问</x:v>
      </x:c>
      <x:c r="H260" s="4" t="str">
        <x:v>密码校验失败不计访问</x:v>
      </x:c>
      <x:c r="I260" s="4" t="str">
        <x:v>1. 已登录用户账号
2. 当前本场访问次数5
3. 之后仅发生一次密码校验失败且未进入直播间</x:v>
      </x:c>
      <x:c r="J260" s="4" t="str">
        <x:v>1. 进入「首页」页
2. 查看密码校验失败不计访问</x:v>
      </x:c>
      <x:c r="K260" s="4" t="str">
        <x:v>本场访问次数仍为5</x:v>
      </x:c>
      <x:c r="L260" s="4" t="str"/>
      <x:c r="M260" s="4" t="str">
        <x:v>未测</x:v>
      </x:c>
      <x:c r="N260" s="4" t="str"/>
      <x:c r="O260" s="4" t="str">
        <x:v>1. 来源：MainBasis/统一需求文档.md；U-live-plaza-002
2. 场景：SC-a2b3ba91e7afd8</x:v>
      </x:c>
    </x:row>
    <x:row r="261" ht="68" customHeight="1">
      <x:c r="A261" s="4" t="n">
        <x:v>260</x:v>
      </x:c>
      <x:c r="B261" s="4" t="str">
        <x:v>USER-0260</x:v>
      </x:c>
      <x:c r="C261" s="4" t="str">
        <x:v>M02 发现、搜索、主页与平台榜单</x:v>
      </x:c>
      <x:c r="D261" s="4" t="str">
        <x:v>首页（用户视角）</x:v>
      </x:c>
      <x:c r="E261" s="4" t="str">
        <x:v>功能需求</x:v>
      </x:c>
      <x:c r="F261" s="4" t="str">
        <x:v>P1</x:v>
      </x:c>
      <x:c r="G261" s="4" t="str">
        <x:v>验证购票失败不计访问</x:v>
      </x:c>
      <x:c r="H261" s="4" t="str">
        <x:v>购票失败不计访问</x:v>
      </x:c>
      <x:c r="I261" s="4" t="str">
        <x:v>1. 已登录用户账号
2. 当前本场访问次数5
3. 之后仅发生一次购票失败且未进入直播间</x:v>
      </x:c>
      <x:c r="J261" s="4" t="str">
        <x:v>1. 进入「首页」页
2. 查看购票失败不计访问</x:v>
      </x:c>
      <x:c r="K261" s="4" t="str">
        <x:v>本场访问次数仍为5</x:v>
      </x:c>
      <x:c r="L261" s="4" t="str"/>
      <x:c r="M261" s="4" t="str">
        <x:v>未测</x:v>
      </x:c>
      <x:c r="N261" s="4" t="str"/>
      <x:c r="O261" s="4" t="str">
        <x:v>1. 来源：MainBasis/统一需求文档.md；U-live-plaza-002
2. 场景：SC-b57416c6dd13bc</x:v>
      </x:c>
    </x:row>
    <x:row r="262" ht="54" customHeight="1">
      <x:c r="A262" s="4" t="n">
        <x:v>261</x:v>
      </x:c>
      <x:c r="B262" s="4" t="str">
        <x:v>USER-0261</x:v>
      </x:c>
      <x:c r="C262" s="4" t="str">
        <x:v>M02 发现、搜索、主页与平台榜单</x:v>
      </x:c>
      <x:c r="D262" s="4" t="str">
        <x:v>首页（用户视角）</x:v>
      </x:c>
      <x:c r="E262" s="4" t="str">
        <x:v>功能需求</x:v>
      </x:c>
      <x:c r="F262" s="4" t="str">
        <x:v>P1</x:v>
      </x:c>
      <x:c r="G262" s="4" t="str">
        <x:v>验证关注区已关注直播中</x:v>
      </x:c>
      <x:c r="H262" s="4" t="str">
        <x:v>关注区已关注直播中</x:v>
      </x:c>
      <x:c r="I262" s="4" t="str">
        <x:v>1. 已登录用户账号
2. 目标主播已被当前账号关注，当前直播中</x:v>
      </x:c>
      <x:c r="J262" s="4" t="str">
        <x:v>1. 进入「首页」页
2. 查看关注区已关注直播中</x:v>
      </x:c>
      <x:c r="K262" s="4" t="str">
        <x:v>关注区显示该主播</x:v>
      </x:c>
      <x:c r="L262" s="4" t="str"/>
      <x:c r="M262" s="4" t="str">
        <x:v>未测</x:v>
      </x:c>
      <x:c r="N262" s="4" t="str"/>
      <x:c r="O262" s="4" t="str">
        <x:v>1. 来源：MainBasis/统一需求文档.md；U-live-plaza-004、U-live-plaza-011
2. 场景：SC-5bc743c12693b4</x:v>
      </x:c>
    </x:row>
    <x:row r="263" ht="54" customHeight="1">
      <x:c r="A263" s="4" t="n">
        <x:v>262</x:v>
      </x:c>
      <x:c r="B263" s="4" t="str">
        <x:v>USER-0262</x:v>
      </x:c>
      <x:c r="C263" s="4" t="str">
        <x:v>M02 发现、搜索、主页与平台榜单</x:v>
      </x:c>
      <x:c r="D263" s="4" t="str">
        <x:v>首页（用户视角）</x:v>
      </x:c>
      <x:c r="E263" s="4" t="str">
        <x:v>功能需求</x:v>
      </x:c>
      <x:c r="F263" s="4" t="str">
        <x:v>P1</x:v>
      </x:c>
      <x:c r="G263" s="4" t="str">
        <x:v>验证关注区已关注未开播</x:v>
      </x:c>
      <x:c r="H263" s="4" t="str">
        <x:v>关注区已关注未开播</x:v>
      </x:c>
      <x:c r="I263" s="4" t="str">
        <x:v>1. 已登录用户账号
2. 目标主播已被当前账号关注，当前未开播</x:v>
      </x:c>
      <x:c r="J263" s="4" t="str">
        <x:v>1. 进入「首页」页
2. 查看关注区已关注未开播</x:v>
      </x:c>
      <x:c r="K263" s="4" t="str">
        <x:v>关注区不显示该主播</x:v>
      </x:c>
      <x:c r="L263" s="4" t="str"/>
      <x:c r="M263" s="4" t="str">
        <x:v>未测</x:v>
      </x:c>
      <x:c r="N263" s="4" t="str"/>
      <x:c r="O263" s="4" t="str">
        <x:v>1. 来源：MainBasis/统一需求文档.md；U-live-plaza-004、U-live-plaza-011
2. 场景：SC-fb62b8fc3ad18f</x:v>
      </x:c>
    </x:row>
    <x:row r="264" ht="54" customHeight="1">
      <x:c r="A264" s="4" t="n">
        <x:v>263</x:v>
      </x:c>
      <x:c r="B264" s="4" t="str">
        <x:v>USER-0263</x:v>
      </x:c>
      <x:c r="C264" s="4" t="str">
        <x:v>M02 发现、搜索、主页与平台榜单</x:v>
      </x:c>
      <x:c r="D264" s="4" t="str">
        <x:v>首页（用户视角）</x:v>
      </x:c>
      <x:c r="E264" s="4" t="str">
        <x:v>功能需求</x:v>
      </x:c>
      <x:c r="F264" s="4" t="str">
        <x:v>P1</x:v>
      </x:c>
      <x:c r="G264" s="4" t="str">
        <x:v>验证关注区未关注直播中</x:v>
      </x:c>
      <x:c r="H264" s="4" t="str">
        <x:v>关注区未关注直播中</x:v>
      </x:c>
      <x:c r="I264" s="4" t="str">
        <x:v>1. 已登录用户账号
2. 目标主播未被当前账号关注，当前直播中</x:v>
      </x:c>
      <x:c r="J264" s="4" t="str">
        <x:v>1. 进入「首页」页
2. 查看关注区未关注直播中</x:v>
      </x:c>
      <x:c r="K264" s="4" t="str">
        <x:v>关注区不显示该主播</x:v>
      </x:c>
      <x:c r="L264" s="4" t="str"/>
      <x:c r="M264" s="4" t="str">
        <x:v>未测</x:v>
      </x:c>
      <x:c r="N264" s="4" t="str"/>
      <x:c r="O264" s="4" t="str">
        <x:v>1. 来源：MainBasis/统一需求文档.md；U-live-plaza-004、U-live-plaza-011
2. 场景：SC-abb77f3a8a201f</x:v>
      </x:c>
    </x:row>
    <x:row r="265" ht="54" customHeight="1">
      <x:c r="A265" s="4" t="n">
        <x:v>264</x:v>
      </x:c>
      <x:c r="B265" s="4" t="str">
        <x:v>USER-0264</x:v>
      </x:c>
      <x:c r="C265" s="4" t="str">
        <x:v>M02 发现、搜索、主页与平台榜单</x:v>
      </x:c>
      <x:c r="D265" s="4" t="str">
        <x:v>首页（用户视角）</x:v>
      </x:c>
      <x:c r="E265" s="4" t="str">
        <x:v>功能需求</x:v>
      </x:c>
      <x:c r="F265" s="4" t="str">
        <x:v>P1</x:v>
      </x:c>
      <x:c r="G265" s="4" t="str">
        <x:v>验证关注区无数据隐藏</x:v>
      </x:c>
      <x:c r="H265" s="4" t="str">
        <x:v>关注区无数据隐藏</x:v>
      </x:c>
      <x:c r="I265" s="4" t="str">
        <x:v>1. 已登录用户账号
2. 没有任何已关注且正在直播的主播</x:v>
      </x:c>
      <x:c r="J265" s="4" t="str">
        <x:v>1. 进入「首页」页
2. 查看关注区无数据隐藏</x:v>
      </x:c>
      <x:c r="K265" s="4" t="str">
        <x:v>关注区隐藏</x:v>
      </x:c>
      <x:c r="L265" s="4" t="str"/>
      <x:c r="M265" s="4" t="str">
        <x:v>未测</x:v>
      </x:c>
      <x:c r="N265" s="4" t="str"/>
      <x:c r="O265" s="4" t="str">
        <x:v>1. 来源：MainBasis/统一需求文档.md；U-live-plaza-011
2. 场景：SC-1b263c7d223384</x:v>
      </x:c>
    </x:row>
    <x:row r="266" ht="54" customHeight="1">
      <x:c r="A266" s="4" t="n">
        <x:v>265</x:v>
      </x:c>
      <x:c r="B266" s="4" t="str">
        <x:v>USER-0265</x:v>
      </x:c>
      <x:c r="C266" s="4" t="str">
        <x:v>M02 发现、搜索、主页与平台榜单</x:v>
      </x:c>
      <x:c r="D266" s="4" t="str">
        <x:v>首页（用户视角）</x:v>
      </x:c>
      <x:c r="E266" s="4" t="str">
        <x:v>功能需求</x:v>
      </x:c>
      <x:c r="F266" s="4" t="str">
        <x:v>P2</x:v>
      </x:c>
      <x:c r="G266" s="4" t="str">
        <x:v>验证搜索入口</x:v>
      </x:c>
      <x:c r="H266" s="4" t="str">
        <x:v>搜索入口</x:v>
      </x:c>
      <x:c r="I266" s="4" t="str">
        <x:v>1. 已登录用户账号</x:v>
      </x:c>
      <x:c r="J266" s="4" t="str">
        <x:v>1. 进入「首页」页
2. 点击「搜索」</x:v>
      </x:c>
      <x:c r="K266" s="4" t="str">
        <x:v>页面进入「搜索」</x:v>
      </x:c>
      <x:c r="L266" s="4" t="str"/>
      <x:c r="M266" s="4" t="str">
        <x:v>未测</x:v>
      </x:c>
      <x:c r="N266" s="4" t="str"/>
      <x:c r="O266" s="4" t="str">
        <x:v>1. 来源：MainBasis/统一需求文档.md；U-live-plaza-015
2. 场景：SC-3d524e95a6d989</x:v>
      </x:c>
    </x:row>
    <x:row r="267" ht="54" customHeight="1">
      <x:c r="A267" s="4" t="n">
        <x:v>266</x:v>
      </x:c>
      <x:c r="B267" s="4" t="str">
        <x:v>USER-0266</x:v>
      </x:c>
      <x:c r="C267" s="4" t="str">
        <x:v>M02 发现、搜索、主页与平台榜单</x:v>
      </x:c>
      <x:c r="D267" s="4" t="str">
        <x:v>首页（用户视角）</x:v>
      </x:c>
      <x:c r="E267" s="4" t="str">
        <x:v>功能需求</x:v>
      </x:c>
      <x:c r="F267" s="4" t="str">
        <x:v>P1</x:v>
      </x:c>
      <x:c r="G267" s="4" t="str">
        <x:v>验证直播列表切换热门</x:v>
      </x:c>
      <x:c r="H267" s="4" t="str">
        <x:v>直播列表切换热门</x:v>
      </x:c>
      <x:c r="I267" s="4" t="str">
        <x:v>1. 已登录用户账号</x:v>
      </x:c>
      <x:c r="J267" s="4" t="str">
        <x:v>1. 进入「首页」页
2. 点击「热门」</x:v>
      </x:c>
      <x:c r="K267" s="4" t="str">
        <x:v>当前直播列表刷新为热门结果</x:v>
      </x:c>
      <x:c r="L267" s="4" t="str"/>
      <x:c r="M267" s="4" t="str">
        <x:v>未测</x:v>
      </x:c>
      <x:c r="N267" s="4" t="str"/>
      <x:c r="O267" s="4" t="str">
        <x:v>1. 来源：MainBasis/统一需求文档.md；U-live-plaza-016
2. 场景：SC-45127eaa8e9e94</x:v>
      </x:c>
    </x:row>
    <x:row r="268" ht="54" customHeight="1">
      <x:c r="A268" s="4" t="n">
        <x:v>267</x:v>
      </x:c>
      <x:c r="B268" s="4" t="str">
        <x:v>USER-0267</x:v>
      </x:c>
      <x:c r="C268" s="4" t="str">
        <x:v>M02 发现、搜索、主页与平台榜单</x:v>
      </x:c>
      <x:c r="D268" s="4" t="str">
        <x:v>首页（用户视角）</x:v>
      </x:c>
      <x:c r="E268" s="4" t="str">
        <x:v>功能需求</x:v>
      </x:c>
      <x:c r="F268" s="4" t="str">
        <x:v>P1</x:v>
      </x:c>
      <x:c r="G268" s="4" t="str">
        <x:v>验证直播列表切换新人</x:v>
      </x:c>
      <x:c r="H268" s="4" t="str">
        <x:v>直播列表切换新人</x:v>
      </x:c>
      <x:c r="I268" s="4" t="str">
        <x:v>1. 已登录用户账号</x:v>
      </x:c>
      <x:c r="J268" s="4" t="str">
        <x:v>1. 进入「首页」页
2. 点击「新人」</x:v>
      </x:c>
      <x:c r="K268" s="4" t="str">
        <x:v>当前直播列表刷新为新人结果</x:v>
      </x:c>
      <x:c r="L268" s="4" t="str"/>
      <x:c r="M268" s="4" t="str">
        <x:v>未测</x:v>
      </x:c>
      <x:c r="N268" s="4" t="str"/>
      <x:c r="O268" s="4" t="str">
        <x:v>1. 来源：MainBasis/统一需求文档.md；U-live-plaza-016
2. 场景：SC-f9409fb67c0539</x:v>
      </x:c>
    </x:row>
    <x:row r="269" ht="54" customHeight="1">
      <x:c r="A269" s="4" t="n">
        <x:v>268</x:v>
      </x:c>
      <x:c r="B269" s="4" t="str">
        <x:v>USER-0268</x:v>
      </x:c>
      <x:c r="C269" s="4" t="str">
        <x:v>M02 发现、搜索、主页与平台榜单</x:v>
      </x:c>
      <x:c r="D269" s="4" t="str">
        <x:v>首页（用户视角）</x:v>
      </x:c>
      <x:c r="E269" s="4" t="str">
        <x:v>功能需求</x:v>
      </x:c>
      <x:c r="F269" s="4" t="str">
        <x:v>P1</x:v>
      </x:c>
      <x:c r="G269" s="4" t="str">
        <x:v>验证直播分类过滤</x:v>
      </x:c>
      <x:c r="H269" s="4" t="str">
        <x:v>直播分类过滤</x:v>
      </x:c>
      <x:c r="I269" s="4" t="str">
        <x:v>1. 已登录用户账号
2. 后台存在两个已启用分类，各有正在直播的主播</x:v>
      </x:c>
      <x:c r="J269" s="4" t="str">
        <x:v>1. 进入「首页」页
2. 选择其中一个分类</x:v>
      </x:c>
      <x:c r="K269" s="4" t="str">
        <x:v>当前列表仅显示该分类直播</x:v>
      </x:c>
      <x:c r="L269" s="4" t="str"/>
      <x:c r="M269" s="4" t="str">
        <x:v>未测</x:v>
      </x:c>
      <x:c r="N269" s="4" t="str"/>
      <x:c r="O269" s="4" t="str">
        <x:v>1. 来源：MainBasis/统一需求文档.md；U-live-plaza-016
2. 场景：SC-31c243156d0572</x:v>
      </x:c>
    </x:row>
    <x:row r="270" ht="68" customHeight="1">
      <x:c r="A270" s="4" t="n">
        <x:v>269</x:v>
      </x:c>
      <x:c r="B270" s="4" t="str">
        <x:v>USER-0269</x:v>
      </x:c>
      <x:c r="C270" s="4" t="str">
        <x:v>M02 发现、搜索、主页与平台榜单</x:v>
      </x:c>
      <x:c r="D270" s="4" t="str">
        <x:v>首页（用户视角）</x:v>
      </x:c>
      <x:c r="E270" s="4" t="str">
        <x:v>功能需求</x:v>
      </x:c>
      <x:c r="F270" s="4" t="str">
        <x:v>P1</x:v>
      </x:c>
      <x:c r="G270" s="4" t="str">
        <x:v>验证首次通知选择开启通知后不再弹出</x:v>
      </x:c>
      <x:c r="H270" s="4" t="str">
        <x:v>首次通知选择开启通知后不再弹出</x:v>
      </x:c>
      <x:c r="I270" s="4" t="str">
        <x:v>1. 已登录用户账号
2. 账号首次登录进入首页</x:v>
      </x:c>
      <x:c r="J270" s="4" t="str">
        <x:v>1. 进入「首页」页
2. 点击「开启通知」
3. 退出账号
4. 重新登录并进入首页</x:v>
      </x:c>
      <x:c r="K270" s="4" t="str">
        <x:v>不再展示首次通知说明</x:v>
      </x:c>
      <x:c r="L270" s="4" t="str"/>
      <x:c r="M270" s="4" t="str">
        <x:v>未测</x:v>
      </x:c>
      <x:c r="N270" s="4" t="str"/>
      <x:c r="O270" s="4" t="str">
        <x:v>1. 来源：MainBasis/统一需求文档.md；U-live-plaza-014、U-views_live-plaza_notification-intro-005、U-live-plaza-006
2. 场景：SC-f1706e4a430408</x:v>
      </x:c>
    </x:row>
    <x:row r="271" ht="68" customHeight="1">
      <x:c r="A271" s="4" t="n">
        <x:v>270</x:v>
      </x:c>
      <x:c r="B271" s="4" t="str">
        <x:v>USER-0270</x:v>
      </x:c>
      <x:c r="C271" s="4" t="str">
        <x:v>M02 发现、搜索、主页与平台榜单</x:v>
      </x:c>
      <x:c r="D271" s="4" t="str">
        <x:v>首页（用户视角）</x:v>
      </x:c>
      <x:c r="E271" s="4" t="str">
        <x:v>功能需求</x:v>
      </x:c>
      <x:c r="F271" s="4" t="str">
        <x:v>P1</x:v>
      </x:c>
      <x:c r="G271" s="4" t="str">
        <x:v>验证首次通知选择暂不开启后不再弹出</x:v>
      </x:c>
      <x:c r="H271" s="4" t="str">
        <x:v>首次通知选择暂不开启后不再弹出</x:v>
      </x:c>
      <x:c r="I271" s="4" t="str">
        <x:v>1. 已登录用户账号
2. 账号首次登录进入首页</x:v>
      </x:c>
      <x:c r="J271" s="4" t="str">
        <x:v>1. 进入「首页」页
2. 点击「暂不开启」
3. 退出账号
4. 重新登录并进入首页</x:v>
      </x:c>
      <x:c r="K271" s="4" t="str">
        <x:v>不再展示首次通知说明</x:v>
      </x:c>
      <x:c r="L271" s="4" t="str"/>
      <x:c r="M271" s="4" t="str">
        <x:v>未测</x:v>
      </x:c>
      <x:c r="N271" s="4" t="str"/>
      <x:c r="O271" s="4" t="str">
        <x:v>1. 来源：MainBasis/统一需求文档.md；U-live-plaza-014、U-views_live-plaza_notification-intro-005、U-live-plaza-006
2. 场景：SC-fe752ec47b2d3c</x:v>
      </x:c>
    </x:row>
    <x:row r="272" ht="68" customHeight="1">
      <x:c r="A272" s="4" t="n">
        <x:v>271</x:v>
      </x:c>
      <x:c r="B272" s="4" t="str">
        <x:v>USER-0271</x:v>
      </x:c>
      <x:c r="C272" s="4" t="str">
        <x:v>M02 发现、搜索、主页与平台榜单</x:v>
      </x:c>
      <x:c r="D272" s="4" t="str">
        <x:v>首页（用户视角）</x:v>
      </x:c>
      <x:c r="E272" s="4" t="str">
        <x:v>功能需求</x:v>
      </x:c>
      <x:c r="F272" s="4" t="str">
        <x:v>P1</x:v>
      </x:c>
      <x:c r="G272" s="4" t="str">
        <x:v>验证密码房广场名单内可见</x:v>
      </x:c>
      <x:c r="H272" s="4" t="str">
        <x:v>密码房广场名单内可见</x:v>
      </x:c>
      <x:c r="I272" s="4" t="str">
        <x:v>1. 已登录用户账号
2. 主播同时开启广场展示和粉丝授权
3. 当前用户在可见名单</x:v>
      </x:c>
      <x:c r="J272" s="4" t="str">
        <x:v>1. 进入「首页」页
2. 查看密码房广场名单内可见</x:v>
      </x:c>
      <x:c r="K272" s="4" t="str">
        <x:v>首页显示该直播间</x:v>
      </x:c>
      <x:c r="L272" s="4" t="str"/>
      <x:c r="M272" s="4" t="str">
        <x:v>未测</x:v>
      </x:c>
      <x:c r="N272" s="4" t="str"/>
      <x:c r="O272" s="4" t="str">
        <x:v>1. 来源：MainBasis/统一需求文档.md；U-start-live-settings-014、U-views_start-live-settings_room-password-007
2. 场景：SC-6b129c8d65ab14</x:v>
      </x:c>
    </x:row>
    <x:row r="273" ht="68" customHeight="1">
      <x:c r="A273" s="4" t="n">
        <x:v>272</x:v>
      </x:c>
      <x:c r="B273" s="4" t="str">
        <x:v>USER-0272</x:v>
      </x:c>
      <x:c r="C273" s="4" t="str">
        <x:v>M02 发现、搜索、主页与平台榜单</x:v>
      </x:c>
      <x:c r="D273" s="4" t="str">
        <x:v>首页（用户视角）</x:v>
      </x:c>
      <x:c r="E273" s="4" t="str">
        <x:v>功能需求</x:v>
      </x:c>
      <x:c r="F273" s="4" t="str">
        <x:v>P1</x:v>
      </x:c>
      <x:c r="G273" s="4" t="str">
        <x:v>验证密码房广场名单外可见</x:v>
      </x:c>
      <x:c r="H273" s="4" t="str">
        <x:v>密码房广场名单外可见</x:v>
      </x:c>
      <x:c r="I273" s="4" t="str">
        <x:v>1. 已登录用户账号
2. 主播同时开启广场展示和粉丝授权
3. 当前用户不在可见名单</x:v>
      </x:c>
      <x:c r="J273" s="4" t="str">
        <x:v>1. 进入「首页」页
2. 查看密码房广场名单外可见</x:v>
      </x:c>
      <x:c r="K273" s="4" t="str">
        <x:v>首页不显示该直播间</x:v>
      </x:c>
      <x:c r="L273" s="4" t="str"/>
      <x:c r="M273" s="4" t="str">
        <x:v>未测</x:v>
      </x:c>
      <x:c r="N273" s="4" t="str"/>
      <x:c r="O273" s="4" t="str">
        <x:v>1. 来源：MainBasis/统一需求文档.md；U-start-live-settings-014、U-views_start-live-settings_room-password-007
2. 场景：SC-138d28943c2b0d</x:v>
      </x:c>
    </x:row>
    <x:row r="274" ht="54" customHeight="1">
      <x:c r="A274" s="4" t="n">
        <x:v>273</x:v>
      </x:c>
      <x:c r="B274" s="4" t="str">
        <x:v>USER-0273</x:v>
      </x:c>
      <x:c r="C274" s="4" t="str">
        <x:v>M02 发现、搜索、主页与平台榜单</x:v>
      </x:c>
      <x:c r="D274" s="4" t="str">
        <x:v>首页（用户视角）</x:v>
      </x:c>
      <x:c r="E274" s="4" t="str">
        <x:v>功能需求</x:v>
      </x:c>
      <x:c r="F274" s="4" t="str">
        <x:v>P1</x:v>
      </x:c>
      <x:c r="G274" s="4" t="str">
        <x:v>验证首页Banner配置</x:v>
      </x:c>
      <x:c r="H274" s="4" t="str">
        <x:v>首页Banner配置</x:v>
      </x:c>
      <x:c r="I274" s="4" t="str">
        <x:v>1. 已登录用户账号
2. 平台已配置两项启用且在有效期的素材，顺序乙、甲</x:v>
      </x:c>
      <x:c r="J274" s="4" t="str">
        <x:v>1. 进入「首页」页
2. 查看首页Banner配置</x:v>
      </x:c>
      <x:c r="K274" s="4" t="str">
        <x:v>首页Banner按乙、甲轮播，内容与对应素材一致</x:v>
      </x:c>
      <x:c r="L274" s="4" t="str"/>
      <x:c r="M274" s="4" t="str">
        <x:v>未测</x:v>
      </x:c>
      <x:c r="N274" s="4" t="str"/>
      <x:c r="O274" s="4" t="str">
        <x:v>1. 来源：MainBasis/统一需求文档.md；U-live-plaza-005
2. 场景：SC-9ecd89ef1ab13d</x:v>
      </x:c>
    </x:row>
    <x:row r="275" ht="54" customHeight="1">
      <x:c r="A275" s="4" t="n">
        <x:v>274</x:v>
      </x:c>
      <x:c r="B275" s="4" t="str">
        <x:v>USER-0274</x:v>
      </x:c>
      <x:c r="C275" s="4" t="str">
        <x:v>M02 发现、搜索、主页与平台榜单</x:v>
      </x:c>
      <x:c r="D275" s="4" t="str">
        <x:v>首页（用户视角）</x:v>
      </x:c>
      <x:c r="E275" s="4" t="str">
        <x:v>功能需求</x:v>
      </x:c>
      <x:c r="F275" s="4" t="str">
        <x:v>P1</x:v>
      </x:c>
      <x:c r="G275" s="4" t="str">
        <x:v>验证首页分类配置</x:v>
      </x:c>
      <x:c r="H275" s="4" t="str">
        <x:v>首页分类配置</x:v>
      </x:c>
      <x:c r="I275" s="4" t="str">
        <x:v>1. 已登录用户账号
2. 后台启用分类甲、乙，关闭丙</x:v>
      </x:c>
      <x:c r="J275" s="4" t="str">
        <x:v>1. 进入「首页」页
2. 查看首页分类配置</x:v>
      </x:c>
      <x:c r="K275" s="4" t="str">
        <x:v>首页分类只提供甲、乙</x:v>
      </x:c>
      <x:c r="L275" s="4" t="str"/>
      <x:c r="M275" s="4" t="str">
        <x:v>未测</x:v>
      </x:c>
      <x:c r="N275" s="4" t="str"/>
      <x:c r="O275" s="4" t="str">
        <x:v>1. 来源：MainBasis/统一需求文档.md；U-live-plaza-010
2. 场景：SC-a106ed806a1442</x:v>
      </x:c>
    </x:row>
    <x:row r="276" ht="54" customHeight="1">
      <x:c r="A276" s="4" t="n">
        <x:v>275</x:v>
      </x:c>
      <x:c r="B276" s="4" t="str">
        <x:v>USER-0275</x:v>
      </x:c>
      <x:c r="C276" s="4" t="str">
        <x:v>M02 发现、搜索、主页与平台榜单</x:v>
      </x:c>
      <x:c r="D276" s="4" t="str">
        <x:v>首页（用户视角）</x:v>
      </x:c>
      <x:c r="E276" s="4" t="str">
        <x:v>功能需求</x:v>
      </x:c>
      <x:c r="F276" s="4" t="str">
        <x:v>P1</x:v>
      </x:c>
      <x:c r="G276" s="4" t="str">
        <x:v>验证关闭广场展示后首页隐藏</x:v>
      </x:c>
      <x:c r="H276" s="4" t="str">
        <x:v>关闭广场展示后首页隐藏</x:v>
      </x:c>
      <x:c r="I276" s="4" t="str">
        <x:v>1. 已登录用户账号
2. 主播以关闭广场展示配置开启密码房，当前账号具备观看身份</x:v>
      </x:c>
      <x:c r="J276" s="4" t="str">
        <x:v>1. 进入「首页」页
2. 查看关闭广场展示后首页隐藏</x:v>
      </x:c>
      <x:c r="K276" s="4" t="str">
        <x:v>直播广场不显示该场密码房</x:v>
      </x:c>
      <x:c r="L276" s="4" t="str"/>
      <x:c r="M276" s="4" t="str">
        <x:v>未测</x:v>
      </x:c>
      <x:c r="N276" s="4" t="str"/>
      <x:c r="O276" s="4" t="str">
        <x:v>1. 来源：MainBasis/统一需求文档.md；U-views_start-live-settings_room-password-003
2. 场景：SC-a83f9094b9b5d3</x:v>
      </x:c>
    </x:row>
    <x:row r="277" ht="54" customHeight="1">
      <x:c r="A277" s="4" t="n">
        <x:v>276</x:v>
      </x:c>
      <x:c r="B277" s="4" t="str">
        <x:v>USER-0276</x:v>
      </x:c>
      <x:c r="C277" s="4" t="str">
        <x:v>M02 发现、搜索、主页与平台榜单</x:v>
      </x:c>
      <x:c r="D277" s="4" t="str">
        <x:v>首次登录通知说明（用户视角）</x:v>
      </x:c>
      <x:c r="E277" s="4" t="str">
        <x:v>功能需求</x:v>
      </x:c>
      <x:c r="F277" s="4" t="str">
        <x:v>P2</x:v>
      </x:c>
      <x:c r="G277" s="4" t="str">
        <x:v>验证标题回显</x:v>
      </x:c>
      <x:c r="H277" s="4" t="str">
        <x:v>标题回显</x:v>
      </x:c>
      <x:c r="I277" s="4" t="str">
        <x:v>1. 已登录用户账号
2. 所选对象存在，已记录该对象的标题值</x:v>
      </x:c>
      <x:c r="J277" s="4" t="str">
        <x:v>1. 进入「首页」页
2. 打开「首次登录通知说明」视图
3. 查看标题回显</x:v>
      </x:c>
      <x:c r="K277" s="4" t="str">
        <x:v>「标题」内容与所选对象的该项资料一致</x:v>
      </x:c>
      <x:c r="L277" s="4" t="str"/>
      <x:c r="M277" s="4" t="str">
        <x:v>未测</x:v>
      </x:c>
      <x:c r="N277" s="4" t="str"/>
      <x:c r="O277" s="4" t="str">
        <x:v>1. 来源：MainBasis/统一需求文档.md；U-views_live-plaza_notification-intro-002
2. 场景：SC-cac132d6cf3105</x:v>
      </x:c>
    </x:row>
    <x:row r="278" ht="54" customHeight="1">
      <x:c r="A278" s="4" t="n">
        <x:v>277</x:v>
      </x:c>
      <x:c r="B278" s="4" t="str">
        <x:v>USER-0277</x:v>
      </x:c>
      <x:c r="C278" s="4" t="str">
        <x:v>M02 发现、搜索、主页与平台榜单</x:v>
      </x:c>
      <x:c r="D278" s="4" t="str">
        <x:v>首次登录通知说明（用户视角）</x:v>
      </x:c>
      <x:c r="E278" s="4" t="str">
        <x:v>功能需求</x:v>
      </x:c>
      <x:c r="F278" s="4" t="str">
        <x:v>P2</x:v>
      </x:c>
      <x:c r="G278" s="4" t="str">
        <x:v>验证正文回显</x:v>
      </x:c>
      <x:c r="H278" s="4" t="str">
        <x:v>正文回显</x:v>
      </x:c>
      <x:c r="I278" s="4" t="str">
        <x:v>1. 已登录用户账号
2. 所选对象存在，已记录该对象的正文值</x:v>
      </x:c>
      <x:c r="J278" s="4" t="str">
        <x:v>1. 进入「首页」页
2. 打开「首次登录通知说明」视图
3. 查看正文回显</x:v>
      </x:c>
      <x:c r="K278" s="4" t="str">
        <x:v>「正文」内容与所选对象的该项资料一致</x:v>
      </x:c>
      <x:c r="L278" s="4" t="str"/>
      <x:c r="M278" s="4" t="str">
        <x:v>未测</x:v>
      </x:c>
      <x:c r="N278" s="4" t="str"/>
      <x:c r="O278" s="4" t="str">
        <x:v>1. 来源：MainBasis/统一需求文档.md；U-views_live-plaza_notification-intro-003
2. 场景：SC-754b085d68e596</x:v>
      </x:c>
    </x:row>
    <x:row r="279" ht="54" customHeight="1">
      <x:c r="A279" s="4" t="n">
        <x:v>278</x:v>
      </x:c>
      <x:c r="B279" s="4" t="str">
        <x:v>USER-0278</x:v>
      </x:c>
      <x:c r="C279" s="4" t="str">
        <x:v>M02 发现、搜索、主页与平台榜单</x:v>
      </x:c>
      <x:c r="D279" s="4" t="str">
        <x:v>首次登录通知说明（用户视角）</x:v>
      </x:c>
      <x:c r="E279" s="4" t="str">
        <x:v>功能需求</x:v>
      </x:c>
      <x:c r="F279" s="4" t="str">
        <x:v>P2</x:v>
      </x:c>
      <x:c r="G279" s="4" t="str">
        <x:v>验证按钮回显</x:v>
      </x:c>
      <x:c r="H279" s="4" t="str">
        <x:v>按钮回显</x:v>
      </x:c>
      <x:c r="I279" s="4" t="str">
        <x:v>1. 已登录用户账号
2. 所选对象存在，已记录该对象的按钮值</x:v>
      </x:c>
      <x:c r="J279" s="4" t="str">
        <x:v>1. 进入「首页」页
2. 打开「首次登录通知说明」视图
3. 查看按钮回显</x:v>
      </x:c>
      <x:c r="K279" s="4" t="str">
        <x:v>「按钮」内容与所选对象的该项资料一致</x:v>
      </x:c>
      <x:c r="L279" s="4" t="str"/>
      <x:c r="M279" s="4" t="str">
        <x:v>未测</x:v>
      </x:c>
      <x:c r="N279" s="4" t="str"/>
      <x:c r="O279" s="4" t="str">
        <x:v>1. 来源：MainBasis/统一需求文档.md；U-views_live-plaza_notification-intro-004
2. 场景：SC-ad4749654d849b</x:v>
      </x:c>
    </x:row>
    <x:row r="280" ht="68" customHeight="1">
      <x:c r="A280" s="4" t="n">
        <x:v>279</x:v>
      </x:c>
      <x:c r="B280" s="4" t="str">
        <x:v>USER-0279</x:v>
      </x:c>
      <x:c r="C280" s="4" t="str">
        <x:v>M02 发现、搜索、主页与平台榜单</x:v>
      </x:c>
      <x:c r="D280" s="4" t="str">
        <x:v>首次登录通知说明（用户视角）</x:v>
      </x:c>
      <x:c r="E280" s="4" t="str">
        <x:v>功能需求</x:v>
      </x:c>
      <x:c r="F280" s="4" t="str">
        <x:v>P1</x:v>
      </x:c>
      <x:c r="G280" s="4" t="str">
        <x:v>验证首次首页展示通知说明</x:v>
      </x:c>
      <x:c r="H280" s="4" t="str">
        <x:v>首次首页展示通知说明</x:v>
      </x:c>
      <x:c r="I280" s="4" t="str">
        <x:v>1. 已登录用户账号
2. 账号首次登录进入首页</x:v>
      </x:c>
      <x:c r="J280" s="4" t="str">
        <x:v>1. 进入「首页」页
2. 打开「首次登录通知说明」视图
3. 查看首次首页展示通知说明</x:v>
      </x:c>
      <x:c r="K280" s="4" t="str">
        <x:v>展示“开启通知”说明弹窗</x:v>
      </x:c>
      <x:c r="L280" s="4" t="str"/>
      <x:c r="M280" s="4" t="str">
        <x:v>未测</x:v>
      </x:c>
      <x:c r="N280" s="4" t="str"/>
      <x:c r="O280" s="4" t="str">
        <x:v>1. 来源：MainBasis/统一需求文档.md；U-views_live-plaza_notification-intro-005、U-live-plaza-006
2. 场景：SC-78df96590337fd</x:v>
      </x:c>
    </x:row>
    <x:row r="281" ht="54" customHeight="1">
      <x:c r="A281" s="4" t="n">
        <x:v>280</x:v>
      </x:c>
      <x:c r="B281" s="4" t="str">
        <x:v>USER-0280</x:v>
      </x:c>
      <x:c r="C281" s="4" t="str">
        <x:v>M02 发现、搜索、主页与平台榜单</x:v>
      </x:c>
      <x:c r="D281" s="4" t="str">
        <x:v>系统通知授权弹窗（用户视角）</x:v>
      </x:c>
      <x:c r="E281" s="4" t="str">
        <x:v>功能需求</x:v>
      </x:c>
      <x:c r="F281" s="4" t="str">
        <x:v>P2</x:v>
      </x:c>
      <x:c r="G281" s="4" t="str">
        <x:v>验证标题回显</x:v>
      </x:c>
      <x:c r="H281" s="4" t="str">
        <x:v>标题回显</x:v>
      </x:c>
      <x:c r="I281" s="4" t="str">
        <x:v>1. 已登录用户账号
2. 所选对象存在，已记录该对象的标题值</x:v>
      </x:c>
      <x:c r="J281" s="4" t="str">
        <x:v>1. 进入「首页」页
2. 打开「系统通知授权弹窗」视图
3. 查看标题回显</x:v>
      </x:c>
      <x:c r="K281" s="4" t="str">
        <x:v>「标题」内容与所选对象的该项资料一致</x:v>
      </x:c>
      <x:c r="L281" s="4" t="str"/>
      <x:c r="M281" s="4" t="str">
        <x:v>未测</x:v>
      </x:c>
      <x:c r="N281" s="4" t="str"/>
      <x:c r="O281" s="4" t="str">
        <x:v>1. 来源：MainBasis/统一需求文档.md；U-views_live-plaza_notification-permission-002
2. 场景：SC-d1af6d533da804</x:v>
      </x:c>
    </x:row>
    <x:row r="282" ht="54" customHeight="1">
      <x:c r="A282" s="4" t="n">
        <x:v>281</x:v>
      </x:c>
      <x:c r="B282" s="4" t="str">
        <x:v>USER-0281</x:v>
      </x:c>
      <x:c r="C282" s="4" t="str">
        <x:v>M02 发现、搜索、主页与平台榜单</x:v>
      </x:c>
      <x:c r="D282" s="4" t="str">
        <x:v>系统通知授权弹窗（用户视角）</x:v>
      </x:c>
      <x:c r="E282" s="4" t="str">
        <x:v>功能需求</x:v>
      </x:c>
      <x:c r="F282" s="4" t="str">
        <x:v>P2</x:v>
      </x:c>
      <x:c r="G282" s="4" t="str">
        <x:v>验证正文回显</x:v>
      </x:c>
      <x:c r="H282" s="4" t="str">
        <x:v>正文回显</x:v>
      </x:c>
      <x:c r="I282" s="4" t="str">
        <x:v>1. 已登录用户账号
2. 所选对象存在，已记录该对象的正文值</x:v>
      </x:c>
      <x:c r="J282" s="4" t="str">
        <x:v>1. 进入「首页」页
2. 打开「系统通知授权弹窗」视图
3. 查看正文回显</x:v>
      </x:c>
      <x:c r="K282" s="4" t="str">
        <x:v>「正文」内容与所选对象的该项资料一致</x:v>
      </x:c>
      <x:c r="L282" s="4" t="str"/>
      <x:c r="M282" s="4" t="str">
        <x:v>未测</x:v>
      </x:c>
      <x:c r="N282" s="4" t="str"/>
      <x:c r="O282" s="4" t="str">
        <x:v>1. 来源：MainBasis/统一需求文档.md；U-views_live-plaza_notification-permission-003
2. 场景：SC-3453ec03bbbd1d</x:v>
      </x:c>
    </x:row>
    <x:row r="283" ht="54" customHeight="1">
      <x:c r="A283" s="4" t="n">
        <x:v>282</x:v>
      </x:c>
      <x:c r="B283" s="4" t="str">
        <x:v>USER-0282</x:v>
      </x:c>
      <x:c r="C283" s="4" t="str">
        <x:v>M02 发现、搜索、主页与平台榜单</x:v>
      </x:c>
      <x:c r="D283" s="4" t="str">
        <x:v>系统通知授权弹窗（用户视角）</x:v>
      </x:c>
      <x:c r="E283" s="4" t="str">
        <x:v>功能需求</x:v>
      </x:c>
      <x:c r="F283" s="4" t="str">
        <x:v>P2</x:v>
      </x:c>
      <x:c r="G283" s="4" t="str">
        <x:v>验证按钮回显</x:v>
      </x:c>
      <x:c r="H283" s="4" t="str">
        <x:v>按钮回显</x:v>
      </x:c>
      <x:c r="I283" s="4" t="str">
        <x:v>1. 已登录用户账号
2. 所选对象存在，已记录该对象的按钮值</x:v>
      </x:c>
      <x:c r="J283" s="4" t="str">
        <x:v>1. 进入「首页」页
2. 打开「系统通知授权弹窗」视图
3. 查看按钮回显</x:v>
      </x:c>
      <x:c r="K283" s="4" t="str">
        <x:v>「按钮」内容与所选对象的该项资料一致</x:v>
      </x:c>
      <x:c r="L283" s="4" t="str"/>
      <x:c r="M283" s="4" t="str">
        <x:v>未测</x:v>
      </x:c>
      <x:c r="N283" s="4" t="str"/>
      <x:c r="O283" s="4" t="str">
        <x:v>1. 来源：MainBasis/统一需求文档.md；U-views_live-plaza_notification-permission-004
2. 场景：SC-cc07ad1a80c5cd</x:v>
      </x:c>
    </x:row>
    <x:row r="284" ht="68" customHeight="1">
      <x:c r="A284" s="4" t="n">
        <x:v>283</x:v>
      </x:c>
      <x:c r="B284" s="4" t="str">
        <x:v>USER-0283</x:v>
      </x:c>
      <x:c r="C284" s="4" t="str">
        <x:v>M02 发现、搜索、主页与平台榜单</x:v>
      </x:c>
      <x:c r="D284" s="4" t="str">
        <x:v>系统通知授权弹窗（用户视角）</x:v>
      </x:c>
      <x:c r="E284" s="4" t="str">
        <x:v>功能需求</x:v>
      </x:c>
      <x:c r="F284" s="4" t="str">
        <x:v>P1</x:v>
      </x:c>
      <x:c r="G284" s="4" t="str">
        <x:v>验证拒绝设备推送仍接收站内通知</x:v>
      </x:c>
      <x:c r="H284" s="4" t="str">
        <x:v>拒绝设备推送仍接收站内通知</x:v>
      </x:c>
      <x:c r="I284" s="4" t="str">
        <x:v>1. 已登录用户账号
2. 当前设备已拒绝系统通知
3. 账号收到平台发出的站内系统通知</x:v>
      </x:c>
      <x:c r="J284" s="4" t="str">
        <x:v>1. 进入「首页」页
2. 打开「系统通知授权弹窗」视图
3. 查看拒绝设备推送仍接收站内通知</x:v>
      </x:c>
      <x:c r="K284" s="4" t="str">
        <x:v>站内通知列表包含该条通知</x:v>
      </x:c>
      <x:c r="L284" s="4" t="str"/>
      <x:c r="M284" s="4" t="str">
        <x:v>未测</x:v>
      </x:c>
      <x:c r="N284" s="4" t="str"/>
      <x:c r="O284" s="4" t="str">
        <x:v>1. 来源：MainBasis/统一需求文档.md；U-views_live-plaza_notification-permission-005
2. 场景：SC-bb9ecf6d556ad3</x:v>
      </x:c>
    </x:row>
    <x:row r="285" ht="54" customHeight="1">
      <x:c r="A285" s="4" t="n">
        <x:v>284</x:v>
      </x:c>
      <x:c r="B285" s="4" t="str">
        <x:v>USER-0284</x:v>
      </x:c>
      <x:c r="C285" s="4" t="str">
        <x:v>M02 发现、搜索、主页与平台榜单</x:v>
      </x:c>
      <x:c r="D285" s="4" t="str">
        <x:v>主播榜（用户视角）</x:v>
      </x:c>
      <x:c r="E285" s="4" t="str">
        <x:v>功能需求</x:v>
      </x:c>
      <x:c r="F285" s="4" t="str">
        <x:v>P2</x:v>
      </x:c>
      <x:c r="G285" s="4" t="str">
        <x:v>验证周期回显</x:v>
      </x:c>
      <x:c r="H285" s="4" t="str">
        <x:v>周期回显</x:v>
      </x:c>
      <x:c r="I285" s="4" t="str">
        <x:v>1. 已登录用户账号
2. 所选对象存在，已记录该对象的周期值</x:v>
      </x:c>
      <x:c r="J285" s="4" t="str">
        <x:v>1. 进入「主播榜」页
2. 查看周期回显</x:v>
      </x:c>
      <x:c r="K285" s="4" t="str">
        <x:v>「周期」内容与所选对象的该项资料一致</x:v>
      </x:c>
      <x:c r="L285" s="4" t="str"/>
      <x:c r="M285" s="4" t="str">
        <x:v>未测</x:v>
      </x:c>
      <x:c r="N285" s="4" t="str"/>
      <x:c r="O285" s="4" t="str">
        <x:v>1. 来源：MainBasis/统一需求文档.md；U-host-ranking-002
2. 场景：SC-8d56d26baa2580</x:v>
      </x:c>
    </x:row>
    <x:row r="286" ht="54" customHeight="1">
      <x:c r="A286" s="4" t="n">
        <x:v>285</x:v>
      </x:c>
      <x:c r="B286" s="4" t="str">
        <x:v>USER-0285</x:v>
      </x:c>
      <x:c r="C286" s="4" t="str">
        <x:v>M02 发现、搜索、主页与平台榜单</x:v>
      </x:c>
      <x:c r="D286" s="4" t="str">
        <x:v>主播榜（用户视角）</x:v>
      </x:c>
      <x:c r="E286" s="4" t="str">
        <x:v>功能需求</x:v>
      </x:c>
      <x:c r="F286" s="4" t="str">
        <x:v>P2</x:v>
      </x:c>
      <x:c r="G286" s="4" t="str">
        <x:v>验证主播回显</x:v>
      </x:c>
      <x:c r="H286" s="4" t="str">
        <x:v>主播回显</x:v>
      </x:c>
      <x:c r="I286" s="4" t="str">
        <x:v>1. 已登录用户账号
2. 所选对象存在，已记录该对象的主播值</x:v>
      </x:c>
      <x:c r="J286" s="4" t="str">
        <x:v>1. 进入「主播榜」页
2. 查看主播回显</x:v>
      </x:c>
      <x:c r="K286" s="4" t="str">
        <x:v>「主播」内容与所选对象的该项资料一致</x:v>
      </x:c>
      <x:c r="L286" s="4" t="str"/>
      <x:c r="M286" s="4" t="str">
        <x:v>未测</x:v>
      </x:c>
      <x:c r="N286" s="4" t="str"/>
      <x:c r="O286" s="4" t="str">
        <x:v>1. 来源：MainBasis/统一需求文档.md；U-host-ranking-005
2. 场景：SC-032d9d2750cb92</x:v>
      </x:c>
    </x:row>
    <x:row r="287" ht="54" customHeight="1">
      <x:c r="A287" s="4" t="n">
        <x:v>286</x:v>
      </x:c>
      <x:c r="B287" s="4" t="str">
        <x:v>USER-0286</x:v>
      </x:c>
      <x:c r="C287" s="4" t="str">
        <x:v>M02 发现、搜索、主页与平台榜单</x:v>
      </x:c>
      <x:c r="D287" s="4" t="str">
        <x:v>主播榜（用户视角）</x:v>
      </x:c>
      <x:c r="E287" s="4" t="str">
        <x:v>功能需求</x:v>
      </x:c>
      <x:c r="F287" s="4" t="str">
        <x:v>P1</x:v>
      </x:c>
      <x:c r="G287" s="4" t="str">
        <x:v>验证主播榜切换当日</x:v>
      </x:c>
      <x:c r="H287" s="4" t="str">
        <x:v>主播榜切换当日</x:v>
      </x:c>
      <x:c r="I287" s="4" t="str">
        <x:v>1. 已登录用户账号
2. 三个周期有不同的有效赠礼记录</x:v>
      </x:c>
      <x:c r="J287" s="4" t="str">
        <x:v>1. 进入「主播榜」页
2. 切换至「当日」</x:v>
      </x:c>
      <x:c r="K287" s="4" t="str">
        <x:v>前三名、列表和收礼值均使用当日记录</x:v>
      </x:c>
      <x:c r="L287" s="4" t="str"/>
      <x:c r="M287" s="4" t="str">
        <x:v>未测</x:v>
      </x:c>
      <x:c r="N287" s="4" t="str"/>
      <x:c r="O287" s="4" t="str">
        <x:v>1. 来源：MainBasis/统一需求文档.md；U-host-ranking-011
2. 场景：SC-c765a1611cd576</x:v>
      </x:c>
    </x:row>
    <x:row r="288" ht="54" customHeight="1">
      <x:c r="A288" s="4" t="n">
        <x:v>287</x:v>
      </x:c>
      <x:c r="B288" s="4" t="str">
        <x:v>USER-0287</x:v>
      </x:c>
      <x:c r="C288" s="4" t="str">
        <x:v>M02 发现、搜索、主页与平台榜单</x:v>
      </x:c>
      <x:c r="D288" s="4" t="str">
        <x:v>主播榜（用户视角）</x:v>
      </x:c>
      <x:c r="E288" s="4" t="str">
        <x:v>功能需求</x:v>
      </x:c>
      <x:c r="F288" s="4" t="str">
        <x:v>P1</x:v>
      </x:c>
      <x:c r="G288" s="4" t="str">
        <x:v>验证主播榜切换本周</x:v>
      </x:c>
      <x:c r="H288" s="4" t="str">
        <x:v>主播榜切换本周</x:v>
      </x:c>
      <x:c r="I288" s="4" t="str">
        <x:v>1. 已登录用户账号
2. 三个周期有不同的有效赠礼记录</x:v>
      </x:c>
      <x:c r="J288" s="4" t="str">
        <x:v>1. 进入「主播榜」页
2. 切换至「本周」</x:v>
      </x:c>
      <x:c r="K288" s="4" t="str">
        <x:v>前三名、列表和收礼值均使用本周记录</x:v>
      </x:c>
      <x:c r="L288" s="4" t="str"/>
      <x:c r="M288" s="4" t="str">
        <x:v>未测</x:v>
      </x:c>
      <x:c r="N288" s="4" t="str"/>
      <x:c r="O288" s="4" t="str">
        <x:v>1. 来源：MainBasis/统一需求文档.md；U-host-ranking-011
2. 场景：SC-35b935d964e369</x:v>
      </x:c>
    </x:row>
    <x:row r="289" ht="54" customHeight="1">
      <x:c r="A289" s="4" t="n">
        <x:v>288</x:v>
      </x:c>
      <x:c r="B289" s="4" t="str">
        <x:v>USER-0288</x:v>
      </x:c>
      <x:c r="C289" s="4" t="str">
        <x:v>M02 发现、搜索、主页与平台榜单</x:v>
      </x:c>
      <x:c r="D289" s="4" t="str">
        <x:v>主播榜（用户视角）</x:v>
      </x:c>
      <x:c r="E289" s="4" t="str">
        <x:v>功能需求</x:v>
      </x:c>
      <x:c r="F289" s="4" t="str">
        <x:v>P1</x:v>
      </x:c>
      <x:c r="G289" s="4" t="str">
        <x:v>验证主播榜切换本月</x:v>
      </x:c>
      <x:c r="H289" s="4" t="str">
        <x:v>主播榜切换本月</x:v>
      </x:c>
      <x:c r="I289" s="4" t="str">
        <x:v>1. 已登录用户账号
2. 三个周期有不同的有效赠礼记录</x:v>
      </x:c>
      <x:c r="J289" s="4" t="str">
        <x:v>1. 进入「主播榜」页
2. 切换至「本月」</x:v>
      </x:c>
      <x:c r="K289" s="4" t="str">
        <x:v>前三名、列表和收礼值均使用本月记录</x:v>
      </x:c>
      <x:c r="L289" s="4" t="str"/>
      <x:c r="M289" s="4" t="str">
        <x:v>未测</x:v>
      </x:c>
      <x:c r="N289" s="4" t="str"/>
      <x:c r="O289" s="4" t="str">
        <x:v>1. 来源：MainBasis/统一需求文档.md；U-host-ranking-011
2. 场景：SC-47c625f328f9fa</x:v>
      </x:c>
    </x:row>
    <x:row r="290" ht="54" customHeight="1">
      <x:c r="A290" s="4" t="n">
        <x:v>289</x:v>
      </x:c>
      <x:c r="B290" s="4" t="str">
        <x:v>USER-0289</x:v>
      </x:c>
      <x:c r="C290" s="4" t="str">
        <x:v>M02 发现、搜索、主页与平台榜单</x:v>
      </x:c>
      <x:c r="D290" s="4" t="str">
        <x:v>主播榜（用户视角）</x:v>
      </x:c>
      <x:c r="E290" s="4" t="str">
        <x:v>功能需求</x:v>
      </x:c>
      <x:c r="F290" s="4" t="str">
        <x:v>P1</x:v>
      </x:c>
      <x:c r="G290" s="4" t="str">
        <x:v>验证主播榜0人上限</x:v>
      </x:c>
      <x:c r="H290" s="4" t="str">
        <x:v>主播榜0人上限</x:v>
      </x:c>
      <x:c r="I290" s="4" t="str">
        <x:v>1. 已登录用户账号
2. 所选周期共有0个符合条件账号</x:v>
      </x:c>
      <x:c r="J290" s="4" t="str">
        <x:v>1. 进入「主播榜」页
2. 查看主播榜0人上限</x:v>
      </x:c>
      <x:c r="K290" s="4" t="str">
        <x:v>榜单展示0个账号</x:v>
      </x:c>
      <x:c r="L290" s="4" t="str"/>
      <x:c r="M290" s="4" t="str">
        <x:v>未测</x:v>
      </x:c>
      <x:c r="N290" s="4" t="str"/>
      <x:c r="O290" s="4" t="str">
        <x:v>1. 来源：MainBasis/统一需求文档.md；U-host-ranking-004、U-host-ranking-010
2. 场景：SC-0e506e2fad27b2</x:v>
      </x:c>
    </x:row>
    <x:row r="291" ht="54" customHeight="1">
      <x:c r="A291" s="4" t="n">
        <x:v>290</x:v>
      </x:c>
      <x:c r="B291" s="4" t="str">
        <x:v>USER-0290</x:v>
      </x:c>
      <x:c r="C291" s="4" t="str">
        <x:v>M02 发现、搜索、主页与平台榜单</x:v>
      </x:c>
      <x:c r="D291" s="4" t="str">
        <x:v>主播榜（用户视角）</x:v>
      </x:c>
      <x:c r="E291" s="4" t="str">
        <x:v>功能需求</x:v>
      </x:c>
      <x:c r="F291" s="4" t="str">
        <x:v>P1</x:v>
      </x:c>
      <x:c r="G291" s="4" t="str">
        <x:v>验证主播榜1人上限</x:v>
      </x:c>
      <x:c r="H291" s="4" t="str">
        <x:v>主播榜1人上限</x:v>
      </x:c>
      <x:c r="I291" s="4" t="str">
        <x:v>1. 已登录用户账号
2. 所选周期共有1个符合条件账号</x:v>
      </x:c>
      <x:c r="J291" s="4" t="str">
        <x:v>1. 进入「主播榜」页
2. 查看主播榜1人上限</x:v>
      </x:c>
      <x:c r="K291" s="4" t="str">
        <x:v>榜单展示1个账号</x:v>
      </x:c>
      <x:c r="L291" s="4" t="str"/>
      <x:c r="M291" s="4" t="str">
        <x:v>未测</x:v>
      </x:c>
      <x:c r="N291" s="4" t="str"/>
      <x:c r="O291" s="4" t="str">
        <x:v>1. 来源：MainBasis/统一需求文档.md；U-host-ranking-004、U-host-ranking-010
2. 场景：SC-6b8d67d831c164</x:v>
      </x:c>
    </x:row>
    <x:row r="292" ht="54" customHeight="1">
      <x:c r="A292" s="4" t="n">
        <x:v>291</x:v>
      </x:c>
      <x:c r="B292" s="4" t="str">
        <x:v>USER-0291</x:v>
      </x:c>
      <x:c r="C292" s="4" t="str">
        <x:v>M02 发现、搜索、主页与平台榜单</x:v>
      </x:c>
      <x:c r="D292" s="4" t="str">
        <x:v>主播榜（用户视角）</x:v>
      </x:c>
      <x:c r="E292" s="4" t="str">
        <x:v>功能需求</x:v>
      </x:c>
      <x:c r="F292" s="4" t="str">
        <x:v>P1</x:v>
      </x:c>
      <x:c r="G292" s="4" t="str">
        <x:v>验证主播榜29人上限</x:v>
      </x:c>
      <x:c r="H292" s="4" t="str">
        <x:v>主播榜29人上限</x:v>
      </x:c>
      <x:c r="I292" s="4" t="str">
        <x:v>1. 已登录用户账号
2. 所选周期共有29个符合条件账号</x:v>
      </x:c>
      <x:c r="J292" s="4" t="str">
        <x:v>1. 进入「主播榜」页
2. 查看主播榜29人上限</x:v>
      </x:c>
      <x:c r="K292" s="4" t="str">
        <x:v>榜单展示29个账号</x:v>
      </x:c>
      <x:c r="L292" s="4" t="str"/>
      <x:c r="M292" s="4" t="str">
        <x:v>未测</x:v>
      </x:c>
      <x:c r="N292" s="4" t="str"/>
      <x:c r="O292" s="4" t="str">
        <x:v>1. 来源：MainBasis/统一需求文档.md；U-host-ranking-004、U-host-ranking-010
2. 场景：SC-3811b261fba232</x:v>
      </x:c>
    </x:row>
    <x:row r="293" ht="54" customHeight="1">
      <x:c r="A293" s="4" t="n">
        <x:v>292</x:v>
      </x:c>
      <x:c r="B293" s="4" t="str">
        <x:v>USER-0292</x:v>
      </x:c>
      <x:c r="C293" s="4" t="str">
        <x:v>M02 发现、搜索、主页与平台榜单</x:v>
      </x:c>
      <x:c r="D293" s="4" t="str">
        <x:v>主播榜（用户视角）</x:v>
      </x:c>
      <x:c r="E293" s="4" t="str">
        <x:v>功能需求</x:v>
      </x:c>
      <x:c r="F293" s="4" t="str">
        <x:v>P1</x:v>
      </x:c>
      <x:c r="G293" s="4" t="str">
        <x:v>验证主播榜30人上限</x:v>
      </x:c>
      <x:c r="H293" s="4" t="str">
        <x:v>主播榜30人上限</x:v>
      </x:c>
      <x:c r="I293" s="4" t="str">
        <x:v>1. 已登录用户账号
2. 所选周期共有30个符合条件账号</x:v>
      </x:c>
      <x:c r="J293" s="4" t="str">
        <x:v>1. 进入「主播榜」页
2. 查看主播榜30人上限</x:v>
      </x:c>
      <x:c r="K293" s="4" t="str">
        <x:v>榜单展示30个账号</x:v>
      </x:c>
      <x:c r="L293" s="4" t="str"/>
      <x:c r="M293" s="4" t="str">
        <x:v>未测</x:v>
      </x:c>
      <x:c r="N293" s="4" t="str"/>
      <x:c r="O293" s="4" t="str">
        <x:v>1. 来源：MainBasis/统一需求文档.md；U-host-ranking-004、U-host-ranking-010
2. 场景：SC-d306adbec4bc40</x:v>
      </x:c>
    </x:row>
    <x:row r="294" ht="54" customHeight="1">
      <x:c r="A294" s="4" t="n">
        <x:v>293</x:v>
      </x:c>
      <x:c r="B294" s="4" t="str">
        <x:v>USER-0293</x:v>
      </x:c>
      <x:c r="C294" s="4" t="str">
        <x:v>M02 发现、搜索、主页与平台榜单</x:v>
      </x:c>
      <x:c r="D294" s="4" t="str">
        <x:v>主播榜（用户视角）</x:v>
      </x:c>
      <x:c r="E294" s="4" t="str">
        <x:v>功能需求</x:v>
      </x:c>
      <x:c r="F294" s="4" t="str">
        <x:v>P1</x:v>
      </x:c>
      <x:c r="G294" s="4" t="str">
        <x:v>验证主播榜31人上限</x:v>
      </x:c>
      <x:c r="H294" s="4" t="str">
        <x:v>主播榜31人上限</x:v>
      </x:c>
      <x:c r="I294" s="4" t="str">
        <x:v>1. 已登录用户账号
2. 所选周期共有31个符合条件账号</x:v>
      </x:c>
      <x:c r="J294" s="4" t="str">
        <x:v>1. 进入「主播榜」页
2. 查看主播榜31人上限</x:v>
      </x:c>
      <x:c r="K294" s="4" t="str">
        <x:v>榜单展示30个账号</x:v>
      </x:c>
      <x:c r="L294" s="4" t="str"/>
      <x:c r="M294" s="4" t="str">
        <x:v>未测</x:v>
      </x:c>
      <x:c r="N294" s="4" t="str"/>
      <x:c r="O294" s="4" t="str">
        <x:v>1. 来源：MainBasis/统一需求文档.md；U-host-ranking-004、U-host-ranking-010
2. 场景：SC-f553adf9549704</x:v>
      </x:c>
    </x:row>
    <x:row r="295" ht="54" customHeight="1">
      <x:c r="A295" s="4" t="n">
        <x:v>294</x:v>
      </x:c>
      <x:c r="B295" s="4" t="str">
        <x:v>USER-0294</x:v>
      </x:c>
      <x:c r="C295" s="4" t="str">
        <x:v>M02 发现、搜索、主页与平台榜单</x:v>
      </x:c>
      <x:c r="D295" s="4" t="str">
        <x:v>主播榜（用户视角）</x:v>
      </x:c>
      <x:c r="E295" s="4" t="str">
        <x:v>功能需求</x:v>
      </x:c>
      <x:c r="F295" s="4" t="str">
        <x:v>P1</x:v>
      </x:c>
      <x:c r="G295" s="4" t="str">
        <x:v>验证主播榜按收礼值决胜</x:v>
      </x:c>
      <x:c r="H295" s="4" t="str">
        <x:v>主播榜按收礼值决胜</x:v>
      </x:c>
      <x:c r="I295" s="4" t="str">
        <x:v>1. 已登录用户账号
2. 两账号前0项排序值相同
3. 当前排序项分别为10和20</x:v>
      </x:c>
      <x:c r="J295" s="4" t="str">
        <x:v>1. 进入「主播榜」页
2. 查看主播榜按收礼值决胜</x:v>
      </x:c>
      <x:c r="K295" s="4" t="str">
        <x:v>20对应账号排在另一账号前</x:v>
      </x:c>
      <x:c r="L295" s="4" t="str"/>
      <x:c r="M295" s="4" t="str">
        <x:v>未测</x:v>
      </x:c>
      <x:c r="N295" s="4" t="str"/>
      <x:c r="O295" s="4" t="str">
        <x:v>1. 来源：MainBasis/统一需求文档.md；U-host-ranking-003
2. 场景：SC-1489cc54144e21</x:v>
      </x:c>
    </x:row>
    <x:row r="296" ht="54" customHeight="1">
      <x:c r="A296" s="4" t="n">
        <x:v>295</x:v>
      </x:c>
      <x:c r="B296" s="4" t="str">
        <x:v>USER-0295</x:v>
      </x:c>
      <x:c r="C296" s="4" t="str">
        <x:v>M02 发现、搜索、主页与平台榜单</x:v>
      </x:c>
      <x:c r="D296" s="4" t="str">
        <x:v>主播榜（用户视角）</x:v>
      </x:c>
      <x:c r="E296" s="4" t="str">
        <x:v>功能需求</x:v>
      </x:c>
      <x:c r="F296" s="4" t="str">
        <x:v>P1</x:v>
      </x:c>
      <x:c r="G296" s="4" t="str">
        <x:v>验证主播榜按主播等级决胜</x:v>
      </x:c>
      <x:c r="H296" s="4" t="str">
        <x:v>主播榜按主播等级决胜</x:v>
      </x:c>
      <x:c r="I296" s="4" t="str">
        <x:v>1. 已登录用户账号
2. 两账号前1项排序值相同
3. 当前排序项分别为10和20</x:v>
      </x:c>
      <x:c r="J296" s="4" t="str">
        <x:v>1. 进入「主播榜」页
2. 查看主播榜按主播等级决胜</x:v>
      </x:c>
      <x:c r="K296" s="4" t="str">
        <x:v>20对应账号排在另一账号前</x:v>
      </x:c>
      <x:c r="L296" s="4" t="str"/>
      <x:c r="M296" s="4" t="str">
        <x:v>未测</x:v>
      </x:c>
      <x:c r="N296" s="4" t="str"/>
      <x:c r="O296" s="4" t="str">
        <x:v>1. 来源：MainBasis/统一需求文档.md；U-host-ranking-003
2. 场景：SC-d49be5142c5d0a</x:v>
      </x:c>
    </x:row>
    <x:row r="297" ht="54" customHeight="1">
      <x:c r="A297" s="4" t="n">
        <x:v>296</x:v>
      </x:c>
      <x:c r="B297" s="4" t="str">
        <x:v>USER-0296</x:v>
      </x:c>
      <x:c r="C297" s="4" t="str">
        <x:v>M02 发现、搜索、主页与平台榜单</x:v>
      </x:c>
      <x:c r="D297" s="4" t="str">
        <x:v>主播榜（用户视角）</x:v>
      </x:c>
      <x:c r="E297" s="4" t="str">
        <x:v>功能需求</x:v>
      </x:c>
      <x:c r="F297" s="4" t="str">
        <x:v>P1</x:v>
      </x:c>
      <x:c r="G297" s="4" t="str">
        <x:v>验证主播榜按财富等级决胜</x:v>
      </x:c>
      <x:c r="H297" s="4" t="str">
        <x:v>主播榜按财富等级决胜</x:v>
      </x:c>
      <x:c r="I297" s="4" t="str">
        <x:v>1. 已登录用户账号
2. 两账号前2项排序值相同
3. 当前排序项分别为10和20</x:v>
      </x:c>
      <x:c r="J297" s="4" t="str">
        <x:v>1. 进入「主播榜」页
2. 查看主播榜按财富等级决胜</x:v>
      </x:c>
      <x:c r="K297" s="4" t="str">
        <x:v>20对应账号排在另一账号前</x:v>
      </x:c>
      <x:c r="L297" s="4" t="str"/>
      <x:c r="M297" s="4" t="str">
        <x:v>未测</x:v>
      </x:c>
      <x:c r="N297" s="4" t="str"/>
      <x:c r="O297" s="4" t="str">
        <x:v>1. 来源：MainBasis/统一需求文档.md；U-host-ranking-003
2. 场景：SC-7159cc1031da9b</x:v>
      </x:c>
    </x:row>
    <x:row r="298" ht="54" customHeight="1">
      <x:c r="A298" s="4" t="n">
        <x:v>297</x:v>
      </x:c>
      <x:c r="B298" s="4" t="str">
        <x:v>USER-0297</x:v>
      </x:c>
      <x:c r="C298" s="4" t="str">
        <x:v>M02 发现、搜索、主页与平台榜单</x:v>
      </x:c>
      <x:c r="D298" s="4" t="str">
        <x:v>主播榜（用户视角）</x:v>
      </x:c>
      <x:c r="E298" s="4" t="str">
        <x:v>功能需求</x:v>
      </x:c>
      <x:c r="F298" s="4" t="str">
        <x:v>P1</x:v>
      </x:c>
      <x:c r="G298" s="4" t="str">
        <x:v>验证主播榜按ID数字部分决胜</x:v>
      </x:c>
      <x:c r="H298" s="4" t="str">
        <x:v>主播榜按ID数字部分决胜</x:v>
      </x:c>
      <x:c r="I298" s="4" t="str">
        <x:v>1. 已登录用户账号
2. 两账号前3项排序值相同
3. ID数字部分分别为10和20</x:v>
      </x:c>
      <x:c r="J298" s="4" t="str">
        <x:v>1. 进入「主播榜」页
2. 查看主播榜按ID数字部分决胜</x:v>
      </x:c>
      <x:c r="K298" s="4" t="str">
        <x:v>10对应账号排在另一账号前</x:v>
      </x:c>
      <x:c r="L298" s="4" t="str"/>
      <x:c r="M298" s="4" t="str">
        <x:v>未测</x:v>
      </x:c>
      <x:c r="N298" s="4" t="str"/>
      <x:c r="O298" s="4" t="str">
        <x:v>1. 来源：MainBasis/统一需求文档.md；U-host-ranking-003
2. 场景：SC-23680687a07b7f</x:v>
      </x:c>
    </x:row>
    <x:row r="299" ht="54" customHeight="1">
      <x:c r="A299" s="4" t="n">
        <x:v>298</x:v>
      </x:c>
      <x:c r="B299" s="4" t="str">
        <x:v>USER-0298</x:v>
      </x:c>
      <x:c r="C299" s="4" t="str">
        <x:v>M02 发现、搜索、主页与平台榜单</x:v>
      </x:c>
      <x:c r="D299" s="4" t="str">
        <x:v>主播榜（用户视角）</x:v>
      </x:c>
      <x:c r="E299" s="4" t="str">
        <x:v>功能需求</x:v>
      </x:c>
      <x:c r="F299" s="4" t="str">
        <x:v>P1</x:v>
      </x:c>
      <x:c r="G299" s="4" t="str">
        <x:v>验证主播榜连续排名无并列</x:v>
      </x:c>
      <x:c r="H299" s="4" t="str">
        <x:v>主播榜连续排名无并列</x:v>
      </x:c>
      <x:c r="I299" s="4" t="str">
        <x:v>1. 已登录用户账号
2. 至少3个账号当前价值相等，但ID不同</x:v>
      </x:c>
      <x:c r="J299" s="4" t="str">
        <x:v>1. 进入「主播榜」页
2. 查看主播榜连续排名无并列</x:v>
      </x:c>
      <x:c r="K299" s="4" t="str">
        <x:v>排序后的名次依次为1、2、3</x:v>
      </x:c>
      <x:c r="L299" s="4" t="str"/>
      <x:c r="M299" s="4" t="str">
        <x:v>未测</x:v>
      </x:c>
      <x:c r="N299" s="4" t="str"/>
      <x:c r="O299" s="4" t="str">
        <x:v>1. 来源：MainBasis/统一需求文档.md；U-host-ranking-003
2. 场景：SC-511fe9a5d8bfbb</x:v>
      </x:c>
    </x:row>
    <x:row r="300" ht="68" customHeight="1">
      <x:c r="A300" s="4" t="n">
        <x:v>299</x:v>
      </x:c>
      <x:c r="B300" s="4" t="str">
        <x:v>USER-0299</x:v>
      </x:c>
      <x:c r="C300" s="4" t="str">
        <x:v>M02 发现、搜索、主页与平台榜单</x:v>
      </x:c>
      <x:c r="D300" s="4" t="str">
        <x:v>主播榜（用户视角）</x:v>
      </x:c>
      <x:c r="E300" s="4" t="str">
        <x:v>功能需求</x:v>
      </x:c>
      <x:c r="F300" s="4" t="str">
        <x:v>P1</x:v>
      </x:c>
      <x:c r="G300" s="4" t="str">
        <x:v>验证主播榜第30名同值裁决</x:v>
      </x:c>
      <x:c r="H300" s="4" t="str">
        <x:v>主播榜第30名同值裁决</x:v>
      </x:c>
      <x:c r="I300" s="4" t="str">
        <x:v>1. 已登录用户账号
2. 共31个有效账号
3. 第30和31候选价值相同，后续排序键能区分</x:v>
      </x:c>
      <x:c r="J300" s="4" t="str">
        <x:v>1. 进入「主播榜」页
2. 查看主播榜第30名同值裁决</x:v>
      </x:c>
      <x:c r="K300" s="4" t="str">
        <x:v>仅后续排序更靠前的账号占第30名</x:v>
      </x:c>
      <x:c r="L300" s="4" t="str"/>
      <x:c r="M300" s="4" t="str">
        <x:v>未测</x:v>
      </x:c>
      <x:c r="N300" s="4" t="str"/>
      <x:c r="O300" s="4" t="str">
        <x:v>1. 来源：MainBasis/统一需求文档.md；U-host-ranking-004
2. 场景：SC-a2ebdd4a6aede4</x:v>
      </x:c>
    </x:row>
    <x:row r="301" ht="54" customHeight="1">
      <x:c r="A301" s="4" t="n">
        <x:v>300</x:v>
      </x:c>
      <x:c r="B301" s="4" t="str">
        <x:v>USER-0300</x:v>
      </x:c>
      <x:c r="C301" s="4" t="str">
        <x:v>M02 发现、搜索、主页与平台榜单</x:v>
      </x:c>
      <x:c r="D301" s="4" t="str">
        <x:v>主播榜（用户视角）</x:v>
      </x:c>
      <x:c r="E301" s="4" t="str">
        <x:v>逻辑校验</x:v>
      </x:c>
      <x:c r="F301" s="4" t="str">
        <x:v>P1</x:v>
      </x:c>
      <x:c r="G301" s="4" t="str">
        <x:v>验证主播榜礼物金额计算</x:v>
      </x:c>
      <x:c r="H301" s="4" t="str">
        <x:v>主播榜礼物金额计算</x:v>
      </x:c>
      <x:c r="I301" s="4" t="str">
        <x:v>1. 已登录用户账号
2. 所选周期该账号成功赠礼记录仅为单价10数量2、单价30数量3</x:v>
      </x:c>
      <x:c r="J301" s="4" t="str">
        <x:v>1. 进入「主播榜」页
2. 查看主播榜礼物金额计算</x:v>
      </x:c>
      <x:c r="K301" s="4" t="str">
        <x:v>本周期收礼值 = 10 × 2 + 30 × 3 = 110</x:v>
      </x:c>
      <x:c r="L301" s="4" t="str"/>
      <x:c r="M301" s="4" t="str">
        <x:v>未测</x:v>
      </x:c>
      <x:c r="N301" s="4" t="str"/>
      <x:c r="O301" s="4" t="str">
        <x:v>1. 来源：MainBasis/统一需求文档.md；U-host-ranking-006
2. 场景：SC-4185e66c17c87b</x:v>
      </x:c>
    </x:row>
    <x:row r="302" ht="54" customHeight="1">
      <x:c r="A302" s="4" t="n">
        <x:v>301</x:v>
      </x:c>
      <x:c r="B302" s="4" t="str">
        <x:v>USER-0301</x:v>
      </x:c>
      <x:c r="C302" s="4" t="str">
        <x:v>M02 发现、搜索、主页与平台榜单</x:v>
      </x:c>
      <x:c r="D302" s="4" t="str">
        <x:v>主播榜（用户视角）</x:v>
      </x:c>
      <x:c r="E302" s="4" t="str">
        <x:v>逻辑校验</x:v>
      </x:c>
      <x:c r="F302" s="4" t="str">
        <x:v>P1</x:v>
      </x:c>
      <x:c r="G302" s="4" t="str">
        <x:v>验证主播榜幸运礼物返奖不冲减</x:v>
      </x:c>
      <x:c r="H302" s="4" t="str">
        <x:v>主播榜幸运礼物返奖不冲减</x:v>
      </x:c>
      <x:c r="I302" s="4" t="str">
        <x:v>1. 已登录用户账号
2. 本周期仅一笔幸运礼物，单价10数量10，返奖50金币</x:v>
      </x:c>
      <x:c r="J302" s="4" t="str">
        <x:v>1. 进入「主播榜」页
2. 查看主播榜幸运礼物返奖不冲减</x:v>
      </x:c>
      <x:c r="K302" s="4" t="str">
        <x:v>收礼值 = 10 × 10 = 100</x:v>
      </x:c>
      <x:c r="L302" s="4" t="str"/>
      <x:c r="M302" s="4" t="str">
        <x:v>未测</x:v>
      </x:c>
      <x:c r="N302" s="4" t="str"/>
      <x:c r="O302" s="4" t="str">
        <x:v>1. 来源：MainBasis/统一需求文档.md；U-host-ranking-006
2. 场景：SC-027a50122c5d0e</x:v>
      </x:c>
    </x:row>
    <x:row r="303" ht="54" customHeight="1">
      <x:c r="A303" s="4" t="n">
        <x:v>302</x:v>
      </x:c>
      <x:c r="B303" s="4" t="str">
        <x:v>USER-0302</x:v>
      </x:c>
      <x:c r="C303" s="4" t="str">
        <x:v>M02 发现、搜索、主页与平台榜单</x:v>
      </x:c>
      <x:c r="D303" s="4" t="str">
        <x:v>主播榜（用户视角）</x:v>
      </x:c>
      <x:c r="E303" s="4" t="str">
        <x:v>逻辑校验</x:v>
      </x:c>
      <x:c r="F303" s="4" t="str">
        <x:v>P1</x:v>
      </x:c>
      <x:c r="G303" s="4" t="str">
        <x:v>验证主播榜计入虚拟赠礼</x:v>
      </x:c>
      <x:c r="H303" s="4" t="str">
        <x:v>主播榜计入虚拟赠礼</x:v>
      </x:c>
      <x:c r="I303" s="4" t="str">
        <x:v>1. 已登录用户账号
2. 本周期仅成功送出价值20的虚拟金币礼物</x:v>
      </x:c>
      <x:c r="J303" s="4" t="str">
        <x:v>1. 进入「主播榜」页
2. 查看主播榜计入虚拟赠礼</x:v>
      </x:c>
      <x:c r="K303" s="4" t="str">
        <x:v>收礼值 = 20</x:v>
      </x:c>
      <x:c r="L303" s="4" t="str"/>
      <x:c r="M303" s="4" t="str">
        <x:v>未测</x:v>
      </x:c>
      <x:c r="N303" s="4" t="str"/>
      <x:c r="O303" s="4" t="str">
        <x:v>1. 来源：MainBasis/统一需求文档.md；U-host-ranking-006
2. 场景：SC-6c5149297e68fd</x:v>
      </x:c>
    </x:row>
    <x:row r="304" ht="54" customHeight="1">
      <x:c r="A304" s="4" t="n">
        <x:v>303</x:v>
      </x:c>
      <x:c r="B304" s="4" t="str">
        <x:v>USER-0303</x:v>
      </x:c>
      <x:c r="C304" s="4" t="str">
        <x:v>M02 发现、搜索、主页与平台榜单</x:v>
      </x:c>
      <x:c r="D304" s="4" t="str">
        <x:v>主播榜（用户视角）</x:v>
      </x:c>
      <x:c r="E304" s="4" t="str">
        <x:v>功能需求</x:v>
      </x:c>
      <x:c r="F304" s="4" t="str">
        <x:v>P1</x:v>
      </x:c>
      <x:c r="G304" s="4" t="str">
        <x:v>验证主播榜头像已登录入口</x:v>
      </x:c>
      <x:c r="H304" s="4" t="str">
        <x:v>主播榜头像已登录入口</x:v>
      </x:c>
      <x:c r="I304" s="4" t="str">
        <x:v>1. 已登录用户账号
2. 当前账号已登录</x:v>
      </x:c>
      <x:c r="J304" s="4" t="str">
        <x:v>1. 进入「主播榜」页
2. 点击榜单主播头像</x:v>
      </x:c>
      <x:c r="K304" s="4" t="str">
        <x:v>进入该主播主页</x:v>
      </x:c>
      <x:c r="L304" s="4" t="str"/>
      <x:c r="M304" s="4" t="str">
        <x:v>未测</x:v>
      </x:c>
      <x:c r="N304" s="4" t="str"/>
      <x:c r="O304" s="4" t="str">
        <x:v>1. 来源：MainBasis/统一需求文档.md；U-host-ranking-012
2. 场景：SC-7ea65b14131918</x:v>
      </x:c>
    </x:row>
    <x:row r="305" ht="54" customHeight="1">
      <x:c r="A305" s="4" t="n">
        <x:v>304</x:v>
      </x:c>
      <x:c r="B305" s="4" t="str">
        <x:v>USER-0304</x:v>
      </x:c>
      <x:c r="C305" s="4" t="str">
        <x:v>M02 发现、搜索、主页与平台榜单</x:v>
      </x:c>
      <x:c r="D305" s="4" t="str">
        <x:v>主播榜（游客视角）</x:v>
      </x:c>
      <x:c r="E305" s="4" t="str">
        <x:v>功能需求</x:v>
      </x:c>
      <x:c r="F305" s="4" t="str">
        <x:v>P1</x:v>
      </x:c>
      <x:c r="G305" s="4" t="str">
        <x:v>验证主播榜头像游客入口</x:v>
      </x:c>
      <x:c r="H305" s="4" t="str">
        <x:v>主播榜头像游客入口</x:v>
      </x:c>
      <x:c r="I305" s="4" t="str">
        <x:v>1. 执行者为未登录游客
2. 当前为游客</x:v>
      </x:c>
      <x:c r="J305" s="4" t="str">
        <x:v>1. 进入「主播榜」页
2. 点击榜单主播头像</x:v>
      </x:c>
      <x:c r="K305" s="4" t="str">
        <x:v>进入登录页</x:v>
      </x:c>
      <x:c r="L305" s="4" t="str"/>
      <x:c r="M305" s="4" t="str">
        <x:v>未测</x:v>
      </x:c>
      <x:c r="N305" s="4" t="str"/>
      <x:c r="O305" s="4" t="str">
        <x:v>1. 来源：MainBasis/统一需求文档.md；U-host-ranking-012
2. 场景：SC-55912f7327fed8</x:v>
      </x:c>
    </x:row>
    <x:row r="306" ht="54" customHeight="1">
      <x:c r="A306" s="4" t="n">
        <x:v>305</x:v>
      </x:c>
      <x:c r="B306" s="4" t="str">
        <x:v>USER-0305</x:v>
      </x:c>
      <x:c r="C306" s="4" t="str">
        <x:v>M02 发现、搜索、主页与平台榜单</x:v>
      </x:c>
      <x:c r="D306" s="4" t="str">
        <x:v>主播榜（用户视角）</x:v>
      </x:c>
      <x:c r="E306" s="4" t="str">
        <x:v>功能需求</x:v>
      </x:c>
      <x:c r="F306" s="4" t="str">
        <x:v>P1</x:v>
      </x:c>
      <x:c r="G306" s="4" t="str">
        <x:v>验证缺失等级按0级排序</x:v>
      </x:c>
      <x:c r="H306" s="4" t="str">
        <x:v>缺失等级按0级排序</x:v>
      </x:c>
      <x:c r="I306" s="4" t="str">
        <x:v>1. 已登录用户账号
2. 收礼值相同的两名主播，一人主播等级缺失，一人为1级</x:v>
      </x:c>
      <x:c r="J306" s="4" t="str">
        <x:v>1. 进入「主播榜」页
2. 查看缺失等级按0级排序</x:v>
      </x:c>
      <x:c r="K306" s="4" t="str">
        <x:v>1级主播排在等级缺失主播前</x:v>
      </x:c>
      <x:c r="L306" s="4" t="str"/>
      <x:c r="M306" s="4" t="str">
        <x:v>未测</x:v>
      </x:c>
      <x:c r="N306" s="4" t="str"/>
      <x:c r="O306" s="4" t="str">
        <x:v>1. 来源：MainBasis/统一需求文档.md；U-host-ranking-007
2. 场景：SC-ac7efe0a097d92</x:v>
      </x:c>
    </x:row>
    <x:row r="307" ht="54" customHeight="1">
      <x:c r="A307" s="4" t="n">
        <x:v>306</x:v>
      </x:c>
      <x:c r="B307" s="4" t="str">
        <x:v>USER-0306</x:v>
      </x:c>
      <x:c r="C307" s="4" t="str">
        <x:v>M02 发现、搜索、主页与平台榜单</x:v>
      </x:c>
      <x:c r="D307" s="4" t="str">
        <x:v>主播榜（用户视角）</x:v>
      </x:c>
      <x:c r="E307" s="4" t="str">
        <x:v>功能需求</x:v>
      </x:c>
      <x:c r="F307" s="4" t="str">
        <x:v>P1</x:v>
      </x:c>
      <x:c r="G307" s="4" t="str">
        <x:v>验证缺失财富等级按0级排序</x:v>
      </x:c>
      <x:c r="H307" s="4" t="str">
        <x:v>缺失财富等级按0级排序</x:v>
      </x:c>
      <x:c r="I307" s="4" t="str">
        <x:v>1. 已登录用户账号
2. 收礼值和主播等级相同，一人财富等级缺失，一人为1级</x:v>
      </x:c>
      <x:c r="J307" s="4" t="str">
        <x:v>1. 进入「主播榜」页
2. 查看缺失财富等级按0级排序</x:v>
      </x:c>
      <x:c r="K307" s="4" t="str">
        <x:v>财富1级主播排在财富等级缺失主播前</x:v>
      </x:c>
      <x:c r="L307" s="4" t="str"/>
      <x:c r="M307" s="4" t="str">
        <x:v>未测</x:v>
      </x:c>
      <x:c r="N307" s="4" t="str"/>
      <x:c r="O307" s="4" t="str">
        <x:v>1. 来源：MainBasis/统一需求文档.md；U-host-ranking-007
2. 场景：SC-99777a2e9d0a6f</x:v>
      </x:c>
    </x:row>
    <x:row r="308" ht="54" customHeight="1">
      <x:c r="A308" s="4" t="n">
        <x:v>307</x:v>
      </x:c>
      <x:c r="B308" s="4" t="str">
        <x:v>USER-0307</x:v>
      </x:c>
      <x:c r="C308" s="4" t="str">
        <x:v>M02 发现、搜索、主页与平台榜单</x:v>
      </x:c>
      <x:c r="D308" s="4" t="str">
        <x:v>主播榜（用户视角）</x:v>
      </x:c>
      <x:c r="E308" s="4" t="str">
        <x:v>功能需求</x:v>
      </x:c>
      <x:c r="F308" s="4" t="str">
        <x:v>P1</x:v>
      </x:c>
      <x:c r="G308" s="4" t="str">
        <x:v>验证主播榜按收礼对象汇总</x:v>
      </x:c>
      <x:c r="H308" s="4" t="str">
        <x:v>主播榜按收礼对象汇总</x:v>
      </x:c>
      <x:c r="I308" s="4" t="str">
        <x:v>1. 已登录用户账号
2. 用户甲向主播一送10、主播二送20，用户乙向主播一送30</x:v>
      </x:c>
      <x:c r="J308" s="4" t="str">
        <x:v>1. 进入「主播榜」页
2. 查看主播榜按收礼对象汇总</x:v>
      </x:c>
      <x:c r="K308" s="4" t="str">
        <x:v>主播一收礼40，主播二20</x:v>
      </x:c>
      <x:c r="L308" s="4" t="str"/>
      <x:c r="M308" s="4" t="str">
        <x:v>未测</x:v>
      </x:c>
      <x:c r="N308" s="4" t="str"/>
      <x:c r="O308" s="4" t="str">
        <x:v>1. 来源：MainBasis/统一需求文档.md；U-host-ranking-008
2. 场景：SC-d277daa5054546</x:v>
      </x:c>
    </x:row>
    <x:row r="309" ht="54" customHeight="1">
      <x:c r="A309" s="4" t="n">
        <x:v>308</x:v>
      </x:c>
      <x:c r="B309" s="4" t="str">
        <x:v>USER-0308</x:v>
      </x:c>
      <x:c r="C309" s="4" t="str">
        <x:v>M02 发现、搜索、主页与平台榜单</x:v>
      </x:c>
      <x:c r="D309" s="4" t="str">
        <x:v>贡献榜（平台）（用户视角）</x:v>
      </x:c>
      <x:c r="E309" s="4" t="str">
        <x:v>功能需求</x:v>
      </x:c>
      <x:c r="F309" s="4" t="str">
        <x:v>P2</x:v>
      </x:c>
      <x:c r="G309" s="4" t="str">
        <x:v>验证周期回显</x:v>
      </x:c>
      <x:c r="H309" s="4" t="str">
        <x:v>周期回显</x:v>
      </x:c>
      <x:c r="I309" s="4" t="str">
        <x:v>1. 已登录用户账号
2. 所选对象存在，已记录该对象的周期值</x:v>
      </x:c>
      <x:c r="J309" s="4" t="str">
        <x:v>1. 进入「贡献榜（平台）」页
2. 查看周期回显</x:v>
      </x:c>
      <x:c r="K309" s="4" t="str">
        <x:v>「周期」内容与所选对象的该项资料一致</x:v>
      </x:c>
      <x:c r="L309" s="4" t="str"/>
      <x:c r="M309" s="4" t="str">
        <x:v>未测</x:v>
      </x:c>
      <x:c r="N309" s="4" t="str"/>
      <x:c r="O309" s="4" t="str">
        <x:v>1. 来源：MainBasis/统一需求文档.md；U-contribution-ranking-002
2. 场景：SC-7df3f382133000</x:v>
      </x:c>
    </x:row>
    <x:row r="310" ht="54" customHeight="1">
      <x:c r="A310" s="4" t="n">
        <x:v>309</x:v>
      </x:c>
      <x:c r="B310" s="4" t="str">
        <x:v>USER-0309</x:v>
      </x:c>
      <x:c r="C310" s="4" t="str">
        <x:v>M02 发现、搜索、主页与平台榜单</x:v>
      </x:c>
      <x:c r="D310" s="4" t="str">
        <x:v>贡献榜（平台）（用户视角）</x:v>
      </x:c>
      <x:c r="E310" s="4" t="str">
        <x:v>功能需求</x:v>
      </x:c>
      <x:c r="F310" s="4" t="str">
        <x:v>P2</x:v>
      </x:c>
      <x:c r="G310" s="4" t="str">
        <x:v>验证用户回显</x:v>
      </x:c>
      <x:c r="H310" s="4" t="str">
        <x:v>用户回显</x:v>
      </x:c>
      <x:c r="I310" s="4" t="str">
        <x:v>1. 已登录用户账号
2. 所选对象存在，已记录该对象的用户值</x:v>
      </x:c>
      <x:c r="J310" s="4" t="str">
        <x:v>1. 进入「贡献榜（平台）」页
2. 查看用户回显</x:v>
      </x:c>
      <x:c r="K310" s="4" t="str">
        <x:v>「用户」内容与所选对象的该项资料一致</x:v>
      </x:c>
      <x:c r="L310" s="4" t="str"/>
      <x:c r="M310" s="4" t="str">
        <x:v>未测</x:v>
      </x:c>
      <x:c r="N310" s="4" t="str"/>
      <x:c r="O310" s="4" t="str">
        <x:v>1. 来源：MainBasis/统一需求文档.md；U-contribution-ranking-005
2. 场景：SC-d77dd1413a1d10</x:v>
      </x:c>
    </x:row>
    <x:row r="311" ht="54" customHeight="1">
      <x:c r="A311" s="4" t="n">
        <x:v>310</x:v>
      </x:c>
      <x:c r="B311" s="4" t="str">
        <x:v>USER-0310</x:v>
      </x:c>
      <x:c r="C311" s="4" t="str">
        <x:v>M02 发现、搜索、主页与平台榜单</x:v>
      </x:c>
      <x:c r="D311" s="4" t="str">
        <x:v>贡献榜（平台）（用户视角）</x:v>
      </x:c>
      <x:c r="E311" s="4" t="str">
        <x:v>功能需求</x:v>
      </x:c>
      <x:c r="F311" s="4" t="str">
        <x:v>P1</x:v>
      </x:c>
      <x:c r="G311" s="4" t="str">
        <x:v>验证用户榜切换当日</x:v>
      </x:c>
      <x:c r="H311" s="4" t="str">
        <x:v>用户榜切换当日</x:v>
      </x:c>
      <x:c r="I311" s="4" t="str">
        <x:v>1. 已登录用户账号
2. 三个周期有不同的有效赠礼记录</x:v>
      </x:c>
      <x:c r="J311" s="4" t="str">
        <x:v>1. 进入「贡献榜（平台）」页
2. 切换至「当日」</x:v>
      </x:c>
      <x:c r="K311" s="4" t="str">
        <x:v>前三名、列表和贡献值均使用当日记录</x:v>
      </x:c>
      <x:c r="L311" s="4" t="str"/>
      <x:c r="M311" s="4" t="str">
        <x:v>未测</x:v>
      </x:c>
      <x:c r="N311" s="4" t="str"/>
      <x:c r="O311" s="4" t="str">
        <x:v>1. 来源：MainBasis/统一需求文档.md；U-contribution-ranking-011
2. 场景：SC-0d1679d10019b8</x:v>
      </x:c>
    </x:row>
    <x:row r="312" ht="54" customHeight="1">
      <x:c r="A312" s="4" t="n">
        <x:v>311</x:v>
      </x:c>
      <x:c r="B312" s="4" t="str">
        <x:v>USER-0311</x:v>
      </x:c>
      <x:c r="C312" s="4" t="str">
        <x:v>M02 发现、搜索、主页与平台榜单</x:v>
      </x:c>
      <x:c r="D312" s="4" t="str">
        <x:v>贡献榜（平台）（用户视角）</x:v>
      </x:c>
      <x:c r="E312" s="4" t="str">
        <x:v>功能需求</x:v>
      </x:c>
      <x:c r="F312" s="4" t="str">
        <x:v>P1</x:v>
      </x:c>
      <x:c r="G312" s="4" t="str">
        <x:v>验证用户榜切换本周</x:v>
      </x:c>
      <x:c r="H312" s="4" t="str">
        <x:v>用户榜切换本周</x:v>
      </x:c>
      <x:c r="I312" s="4" t="str">
        <x:v>1. 已登录用户账号
2. 三个周期有不同的有效赠礼记录</x:v>
      </x:c>
      <x:c r="J312" s="4" t="str">
        <x:v>1. 进入「贡献榜（平台）」页
2. 切换至「本周」</x:v>
      </x:c>
      <x:c r="K312" s="4" t="str">
        <x:v>前三名、列表和贡献值均使用本周记录</x:v>
      </x:c>
      <x:c r="L312" s="4" t="str"/>
      <x:c r="M312" s="4" t="str">
        <x:v>未测</x:v>
      </x:c>
      <x:c r="N312" s="4" t="str"/>
      <x:c r="O312" s="4" t="str">
        <x:v>1. 来源：MainBasis/统一需求文档.md；U-contribution-ranking-011
2. 场景：SC-f1b3ee65b6413d</x:v>
      </x:c>
    </x:row>
    <x:row r="313" ht="54" customHeight="1">
      <x:c r="A313" s="4" t="n">
        <x:v>312</x:v>
      </x:c>
      <x:c r="B313" s="4" t="str">
        <x:v>USER-0312</x:v>
      </x:c>
      <x:c r="C313" s="4" t="str">
        <x:v>M02 发现、搜索、主页与平台榜单</x:v>
      </x:c>
      <x:c r="D313" s="4" t="str">
        <x:v>贡献榜（平台）（用户视角）</x:v>
      </x:c>
      <x:c r="E313" s="4" t="str">
        <x:v>功能需求</x:v>
      </x:c>
      <x:c r="F313" s="4" t="str">
        <x:v>P1</x:v>
      </x:c>
      <x:c r="G313" s="4" t="str">
        <x:v>验证用户榜切换本月</x:v>
      </x:c>
      <x:c r="H313" s="4" t="str">
        <x:v>用户榜切换本月</x:v>
      </x:c>
      <x:c r="I313" s="4" t="str">
        <x:v>1. 已登录用户账号
2. 三个周期有不同的有效赠礼记录</x:v>
      </x:c>
      <x:c r="J313" s="4" t="str">
        <x:v>1. 进入「贡献榜（平台）」页
2. 切换至「本月」</x:v>
      </x:c>
      <x:c r="K313" s="4" t="str">
        <x:v>前三名、列表和贡献值均使用本月记录</x:v>
      </x:c>
      <x:c r="L313" s="4" t="str"/>
      <x:c r="M313" s="4" t="str">
        <x:v>未测</x:v>
      </x:c>
      <x:c r="N313" s="4" t="str"/>
      <x:c r="O313" s="4" t="str">
        <x:v>1. 来源：MainBasis/统一需求文档.md；U-contribution-ranking-011
2. 场景：SC-2e7b80be2532c3</x:v>
      </x:c>
    </x:row>
    <x:row r="314" ht="68" customHeight="1">
      <x:c r="A314" s="4" t="n">
        <x:v>313</x:v>
      </x:c>
      <x:c r="B314" s="4" t="str">
        <x:v>USER-0313</x:v>
      </x:c>
      <x:c r="C314" s="4" t="str">
        <x:v>M02 发现、搜索、主页与平台榜单</x:v>
      </x:c>
      <x:c r="D314" s="4" t="str">
        <x:v>贡献榜（平台）（用户视角）</x:v>
      </x:c>
      <x:c r="E314" s="4" t="str">
        <x:v>功能需求</x:v>
      </x:c>
      <x:c r="F314" s="4" t="str">
        <x:v>P1</x:v>
      </x:c>
      <x:c r="G314" s="4" t="str">
        <x:v>验证用户榜0人上限</x:v>
      </x:c>
      <x:c r="H314" s="4" t="str">
        <x:v>用户榜0人上限</x:v>
      </x:c>
      <x:c r="I314" s="4" t="str">
        <x:v>1. 已登录用户账号
2. 所选周期共有0个符合条件账号</x:v>
      </x:c>
      <x:c r="J314" s="4" t="str">
        <x:v>1. 进入「贡献榜（平台）」页
2. 查看用户榜0人上限</x:v>
      </x:c>
      <x:c r="K314" s="4" t="str">
        <x:v>榜单展示0个账号</x:v>
      </x:c>
      <x:c r="L314" s="4" t="str"/>
      <x:c r="M314" s="4" t="str">
        <x:v>未测</x:v>
      </x:c>
      <x:c r="N314" s="4" t="str"/>
      <x:c r="O314" s="4" t="str">
        <x:v>1. 来源：MainBasis/统一需求文档.md；U-contribution-ranking-004、U-contribution-ranking-010
2. 场景：SC-797fc0a357ad51</x:v>
      </x:c>
    </x:row>
    <x:row r="315" ht="68" customHeight="1">
      <x:c r="A315" s="4" t="n">
        <x:v>314</x:v>
      </x:c>
      <x:c r="B315" s="4" t="str">
        <x:v>USER-0314</x:v>
      </x:c>
      <x:c r="C315" s="4" t="str">
        <x:v>M02 发现、搜索、主页与平台榜单</x:v>
      </x:c>
      <x:c r="D315" s="4" t="str">
        <x:v>贡献榜（平台）（用户视角）</x:v>
      </x:c>
      <x:c r="E315" s="4" t="str">
        <x:v>功能需求</x:v>
      </x:c>
      <x:c r="F315" s="4" t="str">
        <x:v>P1</x:v>
      </x:c>
      <x:c r="G315" s="4" t="str">
        <x:v>验证用户榜1人上限</x:v>
      </x:c>
      <x:c r="H315" s="4" t="str">
        <x:v>用户榜1人上限</x:v>
      </x:c>
      <x:c r="I315" s="4" t="str">
        <x:v>1. 已登录用户账号
2. 所选周期共有1个符合条件账号</x:v>
      </x:c>
      <x:c r="J315" s="4" t="str">
        <x:v>1. 进入「贡献榜（平台）」页
2. 查看用户榜1人上限</x:v>
      </x:c>
      <x:c r="K315" s="4" t="str">
        <x:v>榜单展示1个账号</x:v>
      </x:c>
      <x:c r="L315" s="4" t="str"/>
      <x:c r="M315" s="4" t="str">
        <x:v>未测</x:v>
      </x:c>
      <x:c r="N315" s="4" t="str"/>
      <x:c r="O315" s="4" t="str">
        <x:v>1. 来源：MainBasis/统一需求文档.md；U-contribution-ranking-004、U-contribution-ranking-010
2. 场景：SC-7c8e1cb5c40fc6</x:v>
      </x:c>
    </x:row>
    <x:row r="316" ht="68" customHeight="1">
      <x:c r="A316" s="4" t="n">
        <x:v>315</x:v>
      </x:c>
      <x:c r="B316" s="4" t="str">
        <x:v>USER-0315</x:v>
      </x:c>
      <x:c r="C316" s="4" t="str">
        <x:v>M02 发现、搜索、主页与平台榜单</x:v>
      </x:c>
      <x:c r="D316" s="4" t="str">
        <x:v>贡献榜（平台）（用户视角）</x:v>
      </x:c>
      <x:c r="E316" s="4" t="str">
        <x:v>功能需求</x:v>
      </x:c>
      <x:c r="F316" s="4" t="str">
        <x:v>P1</x:v>
      </x:c>
      <x:c r="G316" s="4" t="str">
        <x:v>验证用户榜29人上限</x:v>
      </x:c>
      <x:c r="H316" s="4" t="str">
        <x:v>用户榜29人上限</x:v>
      </x:c>
      <x:c r="I316" s="4" t="str">
        <x:v>1. 已登录用户账号
2. 所选周期共有29个符合条件账号</x:v>
      </x:c>
      <x:c r="J316" s="4" t="str">
        <x:v>1. 进入「贡献榜（平台）」页
2. 查看用户榜29人上限</x:v>
      </x:c>
      <x:c r="K316" s="4" t="str">
        <x:v>榜单展示29个账号</x:v>
      </x:c>
      <x:c r="L316" s="4" t="str"/>
      <x:c r="M316" s="4" t="str">
        <x:v>未测</x:v>
      </x:c>
      <x:c r="N316" s="4" t="str"/>
      <x:c r="O316" s="4" t="str">
        <x:v>1. 来源：MainBasis/统一需求文档.md；U-contribution-ranking-004、U-contribution-ranking-010
2. 场景：SC-9c7459b8763479</x:v>
      </x:c>
    </x:row>
    <x:row r="317" ht="68" customHeight="1">
      <x:c r="A317" s="4" t="n">
        <x:v>316</x:v>
      </x:c>
      <x:c r="B317" s="4" t="str">
        <x:v>USER-0316</x:v>
      </x:c>
      <x:c r="C317" s="4" t="str">
        <x:v>M02 发现、搜索、主页与平台榜单</x:v>
      </x:c>
      <x:c r="D317" s="4" t="str">
        <x:v>贡献榜（平台）（用户视角）</x:v>
      </x:c>
      <x:c r="E317" s="4" t="str">
        <x:v>功能需求</x:v>
      </x:c>
      <x:c r="F317" s="4" t="str">
        <x:v>P1</x:v>
      </x:c>
      <x:c r="G317" s="4" t="str">
        <x:v>验证用户榜30人上限</x:v>
      </x:c>
      <x:c r="H317" s="4" t="str">
        <x:v>用户榜30人上限</x:v>
      </x:c>
      <x:c r="I317" s="4" t="str">
        <x:v>1. 已登录用户账号
2. 所选周期共有30个符合条件账号</x:v>
      </x:c>
      <x:c r="J317" s="4" t="str">
        <x:v>1. 进入「贡献榜（平台）」页
2. 查看用户榜30人上限</x:v>
      </x:c>
      <x:c r="K317" s="4" t="str">
        <x:v>榜单展示30个账号</x:v>
      </x:c>
      <x:c r="L317" s="4" t="str"/>
      <x:c r="M317" s="4" t="str">
        <x:v>未测</x:v>
      </x:c>
      <x:c r="N317" s="4" t="str"/>
      <x:c r="O317" s="4" t="str">
        <x:v>1. 来源：MainBasis/统一需求文档.md；U-contribution-ranking-004、U-contribution-ranking-010
2. 场景：SC-70fcd25a5f0eb5</x:v>
      </x:c>
    </x:row>
    <x:row r="318" ht="68" customHeight="1">
      <x:c r="A318" s="4" t="n">
        <x:v>317</x:v>
      </x:c>
      <x:c r="B318" s="4" t="str">
        <x:v>USER-0317</x:v>
      </x:c>
      <x:c r="C318" s="4" t="str">
        <x:v>M02 发现、搜索、主页与平台榜单</x:v>
      </x:c>
      <x:c r="D318" s="4" t="str">
        <x:v>贡献榜（平台）（用户视角）</x:v>
      </x:c>
      <x:c r="E318" s="4" t="str">
        <x:v>功能需求</x:v>
      </x:c>
      <x:c r="F318" s="4" t="str">
        <x:v>P1</x:v>
      </x:c>
      <x:c r="G318" s="4" t="str">
        <x:v>验证用户榜31人上限</x:v>
      </x:c>
      <x:c r="H318" s="4" t="str">
        <x:v>用户榜31人上限</x:v>
      </x:c>
      <x:c r="I318" s="4" t="str">
        <x:v>1. 已登录用户账号
2. 所选周期共有31个符合条件账号</x:v>
      </x:c>
      <x:c r="J318" s="4" t="str">
        <x:v>1. 进入「贡献榜（平台）」页
2. 查看用户榜31人上限</x:v>
      </x:c>
      <x:c r="K318" s="4" t="str">
        <x:v>榜单展示30个账号</x:v>
      </x:c>
      <x:c r="L318" s="4" t="str"/>
      <x:c r="M318" s="4" t="str">
        <x:v>未测</x:v>
      </x:c>
      <x:c r="N318" s="4" t="str"/>
      <x:c r="O318" s="4" t="str">
        <x:v>1. 来源：MainBasis/统一需求文档.md；U-contribution-ranking-004、U-contribution-ranking-010
2. 场景：SC-788507821c9c43</x:v>
      </x:c>
    </x:row>
    <x:row r="319" ht="54" customHeight="1">
      <x:c r="A319" s="4" t="n">
        <x:v>318</x:v>
      </x:c>
      <x:c r="B319" s="4" t="str">
        <x:v>USER-0318</x:v>
      </x:c>
      <x:c r="C319" s="4" t="str">
        <x:v>M02 发现、搜索、主页与平台榜单</x:v>
      </x:c>
      <x:c r="D319" s="4" t="str">
        <x:v>贡献榜（平台）（用户视角）</x:v>
      </x:c>
      <x:c r="E319" s="4" t="str">
        <x:v>功能需求</x:v>
      </x:c>
      <x:c r="F319" s="4" t="str">
        <x:v>P1</x:v>
      </x:c>
      <x:c r="G319" s="4" t="str">
        <x:v>验证用户榜按贡献值决胜</x:v>
      </x:c>
      <x:c r="H319" s="4" t="str">
        <x:v>用户榜按贡献值决胜</x:v>
      </x:c>
      <x:c r="I319" s="4" t="str">
        <x:v>1. 已登录用户账号
2. 两账号前0项排序值相同
3. 当前排序项分别为10和20</x:v>
      </x:c>
      <x:c r="J319" s="4" t="str">
        <x:v>1. 进入「贡献榜（平台）」页
2. 查看用户榜按贡献值决胜</x:v>
      </x:c>
      <x:c r="K319" s="4" t="str">
        <x:v>20对应账号排在另一账号前</x:v>
      </x:c>
      <x:c r="L319" s="4" t="str"/>
      <x:c r="M319" s="4" t="str">
        <x:v>未测</x:v>
      </x:c>
      <x:c r="N319" s="4" t="str"/>
      <x:c r="O319" s="4" t="str">
        <x:v>1. 来源：MainBasis/统一需求文档.md；U-contribution-ranking-003
2. 场景：SC-dad9b0b46f5cab</x:v>
      </x:c>
    </x:row>
    <x:row r="320" ht="54" customHeight="1">
      <x:c r="A320" s="4" t="n">
        <x:v>319</x:v>
      </x:c>
      <x:c r="B320" s="4" t="str">
        <x:v>USER-0319</x:v>
      </x:c>
      <x:c r="C320" s="4" t="str">
        <x:v>M02 发现、搜索、主页与平台榜单</x:v>
      </x:c>
      <x:c r="D320" s="4" t="str">
        <x:v>贡献榜（平台）（用户视角）</x:v>
      </x:c>
      <x:c r="E320" s="4" t="str">
        <x:v>功能需求</x:v>
      </x:c>
      <x:c r="F320" s="4" t="str">
        <x:v>P1</x:v>
      </x:c>
      <x:c r="G320" s="4" t="str">
        <x:v>验证用户榜按财富等级决胜</x:v>
      </x:c>
      <x:c r="H320" s="4" t="str">
        <x:v>用户榜按财富等级决胜</x:v>
      </x:c>
      <x:c r="I320" s="4" t="str">
        <x:v>1. 已登录用户账号
2. 两账号前1项排序值相同
3. 当前排序项分别为10和20</x:v>
      </x:c>
      <x:c r="J320" s="4" t="str">
        <x:v>1. 进入「贡献榜（平台）」页
2. 查看用户榜按财富等级决胜</x:v>
      </x:c>
      <x:c r="K320" s="4" t="str">
        <x:v>20对应账号排在另一账号前</x:v>
      </x:c>
      <x:c r="L320" s="4" t="str"/>
      <x:c r="M320" s="4" t="str">
        <x:v>未测</x:v>
      </x:c>
      <x:c r="N320" s="4" t="str"/>
      <x:c r="O320" s="4" t="str">
        <x:v>1. 来源：MainBasis/统一需求文档.md；U-contribution-ranking-003
2. 场景：SC-809e591e7071a8</x:v>
      </x:c>
    </x:row>
    <x:row r="321" ht="54" customHeight="1">
      <x:c r="A321" s="4" t="n">
        <x:v>320</x:v>
      </x:c>
      <x:c r="B321" s="4" t="str">
        <x:v>USER-0320</x:v>
      </x:c>
      <x:c r="C321" s="4" t="str">
        <x:v>M02 发现、搜索、主页与平台榜单</x:v>
      </x:c>
      <x:c r="D321" s="4" t="str">
        <x:v>贡献榜（平台）（用户视角）</x:v>
      </x:c>
      <x:c r="E321" s="4" t="str">
        <x:v>功能需求</x:v>
      </x:c>
      <x:c r="F321" s="4" t="str">
        <x:v>P1</x:v>
      </x:c>
      <x:c r="G321" s="4" t="str">
        <x:v>验证用户榜按ID数字部分决胜</x:v>
      </x:c>
      <x:c r="H321" s="4" t="str">
        <x:v>用户榜按ID数字部分决胜</x:v>
      </x:c>
      <x:c r="I321" s="4" t="str">
        <x:v>1. 已登录用户账号
2. 两账号前2项排序值相同
3. ID数字部分分别为10和20</x:v>
      </x:c>
      <x:c r="J321" s="4" t="str">
        <x:v>1. 进入「贡献榜（平台）」页
2. 查看用户榜按ID数字部分决胜</x:v>
      </x:c>
      <x:c r="K321" s="4" t="str">
        <x:v>10对应账号排在另一账号前</x:v>
      </x:c>
      <x:c r="L321" s="4" t="str"/>
      <x:c r="M321" s="4" t="str">
        <x:v>未测</x:v>
      </x:c>
      <x:c r="N321" s="4" t="str"/>
      <x:c r="O321" s="4" t="str">
        <x:v>1. 来源：MainBasis/统一需求文档.md；U-contribution-ranking-003
2. 场景：SC-385b8b43a4fd3e</x:v>
      </x:c>
    </x:row>
    <x:row r="322" ht="54" customHeight="1">
      <x:c r="A322" s="4" t="n">
        <x:v>321</x:v>
      </x:c>
      <x:c r="B322" s="4" t="str">
        <x:v>USER-0321</x:v>
      </x:c>
      <x:c r="C322" s="4" t="str">
        <x:v>M02 发现、搜索、主页与平台榜单</x:v>
      </x:c>
      <x:c r="D322" s="4" t="str">
        <x:v>贡献榜（平台）（用户视角）</x:v>
      </x:c>
      <x:c r="E322" s="4" t="str">
        <x:v>功能需求</x:v>
      </x:c>
      <x:c r="F322" s="4" t="str">
        <x:v>P1</x:v>
      </x:c>
      <x:c r="G322" s="4" t="str">
        <x:v>验证用户榜连续排名无并列</x:v>
      </x:c>
      <x:c r="H322" s="4" t="str">
        <x:v>用户榜连续排名无并列</x:v>
      </x:c>
      <x:c r="I322" s="4" t="str">
        <x:v>1. 已登录用户账号
2. 至少3个账号当前价值相等，但ID不同</x:v>
      </x:c>
      <x:c r="J322" s="4" t="str">
        <x:v>1. 进入「贡献榜（平台）」页
2. 查看用户榜连续排名无并列</x:v>
      </x:c>
      <x:c r="K322" s="4" t="str">
        <x:v>排序后的名次依次为1、2、3</x:v>
      </x:c>
      <x:c r="L322" s="4" t="str"/>
      <x:c r="M322" s="4" t="str">
        <x:v>未测</x:v>
      </x:c>
      <x:c r="N322" s="4" t="str"/>
      <x:c r="O322" s="4" t="str">
        <x:v>1. 来源：MainBasis/统一需求文档.md；U-contribution-ranking-003
2. 场景：SC-07fffa366662e4</x:v>
      </x:c>
    </x:row>
    <x:row r="323" ht="68" customHeight="1">
      <x:c r="A323" s="4" t="n">
        <x:v>322</x:v>
      </x:c>
      <x:c r="B323" s="4" t="str">
        <x:v>USER-0322</x:v>
      </x:c>
      <x:c r="C323" s="4" t="str">
        <x:v>M02 发现、搜索、主页与平台榜单</x:v>
      </x:c>
      <x:c r="D323" s="4" t="str">
        <x:v>贡献榜（平台）（用户视角）</x:v>
      </x:c>
      <x:c r="E323" s="4" t="str">
        <x:v>功能需求</x:v>
      </x:c>
      <x:c r="F323" s="4" t="str">
        <x:v>P1</x:v>
      </x:c>
      <x:c r="G323" s="4" t="str">
        <x:v>验证用户榜第30名同值裁决</x:v>
      </x:c>
      <x:c r="H323" s="4" t="str">
        <x:v>用户榜第30名同值裁决</x:v>
      </x:c>
      <x:c r="I323" s="4" t="str">
        <x:v>1. 已登录用户账号
2. 共31个有效账号
3. 第30和31候选价值相同，后续排序键能区分</x:v>
      </x:c>
      <x:c r="J323" s="4" t="str">
        <x:v>1. 进入「贡献榜（平台）」页
2. 查看用户榜第30名同值裁决</x:v>
      </x:c>
      <x:c r="K323" s="4" t="str">
        <x:v>仅后续排序更靠前的账号占第30名</x:v>
      </x:c>
      <x:c r="L323" s="4" t="str"/>
      <x:c r="M323" s="4" t="str">
        <x:v>未测</x:v>
      </x:c>
      <x:c r="N323" s="4" t="str"/>
      <x:c r="O323" s="4" t="str">
        <x:v>1. 来源：MainBasis/统一需求文档.md；U-contribution-ranking-004
2. 场景：SC-e2c89e722dd921</x:v>
      </x:c>
    </x:row>
    <x:row r="324" ht="54" customHeight="1">
      <x:c r="A324" s="4" t="n">
        <x:v>323</x:v>
      </x:c>
      <x:c r="B324" s="4" t="str">
        <x:v>USER-0323</x:v>
      </x:c>
      <x:c r="C324" s="4" t="str">
        <x:v>M02 发现、搜索、主页与平台榜单</x:v>
      </x:c>
      <x:c r="D324" s="4" t="str">
        <x:v>贡献榜（平台）（用户视角）</x:v>
      </x:c>
      <x:c r="E324" s="4" t="str">
        <x:v>逻辑校验</x:v>
      </x:c>
      <x:c r="F324" s="4" t="str">
        <x:v>P1</x:v>
      </x:c>
      <x:c r="G324" s="4" t="str">
        <x:v>验证用户榜礼物金额计算</x:v>
      </x:c>
      <x:c r="H324" s="4" t="str">
        <x:v>用户榜礼物金额计算</x:v>
      </x:c>
      <x:c r="I324" s="4" t="str">
        <x:v>1. 已登录用户账号
2. 所选周期该账号成功赠礼记录仅为单价10数量2、单价30数量3</x:v>
      </x:c>
      <x:c r="J324" s="4" t="str">
        <x:v>1. 进入「贡献榜（平台）」页
2. 查看用户榜礼物金额计算</x:v>
      </x:c>
      <x:c r="K324" s="4" t="str">
        <x:v>本周期贡献值 = 10 × 2 + 30 × 3 = 110</x:v>
      </x:c>
      <x:c r="L324" s="4" t="str"/>
      <x:c r="M324" s="4" t="str">
        <x:v>未测</x:v>
      </x:c>
      <x:c r="N324" s="4" t="str"/>
      <x:c r="O324" s="4" t="str">
        <x:v>1. 来源：MainBasis/统一需求文档.md；U-contribution-ranking-006
2. 场景：SC-c026acd7845b3a</x:v>
      </x:c>
    </x:row>
    <x:row r="325" ht="54" customHeight="1">
      <x:c r="A325" s="4" t="n">
        <x:v>324</x:v>
      </x:c>
      <x:c r="B325" s="4" t="str">
        <x:v>USER-0324</x:v>
      </x:c>
      <x:c r="C325" s="4" t="str">
        <x:v>M02 发现、搜索、主页与平台榜单</x:v>
      </x:c>
      <x:c r="D325" s="4" t="str">
        <x:v>贡献榜（平台）（用户视角）</x:v>
      </x:c>
      <x:c r="E325" s="4" t="str">
        <x:v>逻辑校验</x:v>
      </x:c>
      <x:c r="F325" s="4" t="str">
        <x:v>P1</x:v>
      </x:c>
      <x:c r="G325" s="4" t="str">
        <x:v>验证用户榜幸运礼物返奖不冲减</x:v>
      </x:c>
      <x:c r="H325" s="4" t="str">
        <x:v>用户榜幸运礼物返奖不冲减</x:v>
      </x:c>
      <x:c r="I325" s="4" t="str">
        <x:v>1. 已登录用户账号
2. 本周期仅一笔幸运礼物，单价10数量10，返奖50金币</x:v>
      </x:c>
      <x:c r="J325" s="4" t="str">
        <x:v>1. 进入「贡献榜（平台）」页
2. 查看用户榜幸运礼物返奖不冲减</x:v>
      </x:c>
      <x:c r="K325" s="4" t="str">
        <x:v>贡献值 = 10 × 10 = 100</x:v>
      </x:c>
      <x:c r="L325" s="4" t="str"/>
      <x:c r="M325" s="4" t="str">
        <x:v>未测</x:v>
      </x:c>
      <x:c r="N325" s="4" t="str"/>
      <x:c r="O325" s="4" t="str">
        <x:v>1. 来源：MainBasis/统一需求文档.md；U-contribution-ranking-006
2. 场景：SC-2e7fdd3d105977</x:v>
      </x:c>
    </x:row>
    <x:row r="326" ht="54" customHeight="1">
      <x:c r="A326" s="4" t="n">
        <x:v>325</x:v>
      </x:c>
      <x:c r="B326" s="4" t="str">
        <x:v>USER-0325</x:v>
      </x:c>
      <x:c r="C326" s="4" t="str">
        <x:v>M02 发现、搜索、主页与平台榜单</x:v>
      </x:c>
      <x:c r="D326" s="4" t="str">
        <x:v>贡献榜（平台）（用户视角）</x:v>
      </x:c>
      <x:c r="E326" s="4" t="str">
        <x:v>逻辑校验</x:v>
      </x:c>
      <x:c r="F326" s="4" t="str">
        <x:v>P1</x:v>
      </x:c>
      <x:c r="G326" s="4" t="str">
        <x:v>验证用户榜计入虚拟赠礼</x:v>
      </x:c>
      <x:c r="H326" s="4" t="str">
        <x:v>用户榜计入虚拟赠礼</x:v>
      </x:c>
      <x:c r="I326" s="4" t="str">
        <x:v>1. 已登录用户账号
2. 本周期仅成功送出价值20的虚拟金币礼物</x:v>
      </x:c>
      <x:c r="J326" s="4" t="str">
        <x:v>1. 进入「贡献榜（平台）」页
2. 查看用户榜计入虚拟赠礼</x:v>
      </x:c>
      <x:c r="K326" s="4" t="str">
        <x:v>贡献值 = 20</x:v>
      </x:c>
      <x:c r="L326" s="4" t="str"/>
      <x:c r="M326" s="4" t="str">
        <x:v>未测</x:v>
      </x:c>
      <x:c r="N326" s="4" t="str"/>
      <x:c r="O326" s="4" t="str">
        <x:v>1. 来源：MainBasis/统一需求文档.md；U-contribution-ranking-006
2. 场景：SC-2c2c134f371d4b</x:v>
      </x:c>
    </x:row>
    <x:row r="327" ht="54" customHeight="1">
      <x:c r="A327" s="4" t="n">
        <x:v>326</x:v>
      </x:c>
      <x:c r="B327" s="4" t="str">
        <x:v>USER-0326</x:v>
      </x:c>
      <x:c r="C327" s="4" t="str">
        <x:v>M02 发现、搜索、主页与平台榜单</x:v>
      </x:c>
      <x:c r="D327" s="4" t="str">
        <x:v>贡献榜（平台）（用户视角）</x:v>
      </x:c>
      <x:c r="E327" s="4" t="str">
        <x:v>功能需求</x:v>
      </x:c>
      <x:c r="F327" s="4" t="str">
        <x:v>P1</x:v>
      </x:c>
      <x:c r="G327" s="4" t="str">
        <x:v>验证用户榜头像已登录入口</x:v>
      </x:c>
      <x:c r="H327" s="4" t="str">
        <x:v>用户榜头像已登录入口</x:v>
      </x:c>
      <x:c r="I327" s="4" t="str">
        <x:v>1. 已登录用户账号
2. 当前账号已登录</x:v>
      </x:c>
      <x:c r="J327" s="4" t="str">
        <x:v>1. 进入「贡献榜（平台）」页
2. 点击榜单用户头像</x:v>
      </x:c>
      <x:c r="K327" s="4" t="str">
        <x:v>进入该用户主页</x:v>
      </x:c>
      <x:c r="L327" s="4" t="str"/>
      <x:c r="M327" s="4" t="str">
        <x:v>未测</x:v>
      </x:c>
      <x:c r="N327" s="4" t="str"/>
      <x:c r="O327" s="4" t="str">
        <x:v>1. 来源：MainBasis/统一需求文档.md；U-contribution-ranking-012
2. 场景：SC-ff1361e1b7a1f0</x:v>
      </x:c>
    </x:row>
    <x:row r="328" ht="54" customHeight="1">
      <x:c r="A328" s="4" t="n">
        <x:v>327</x:v>
      </x:c>
      <x:c r="B328" s="4" t="str">
        <x:v>USER-0327</x:v>
      </x:c>
      <x:c r="C328" s="4" t="str">
        <x:v>M02 发现、搜索、主页与平台榜单</x:v>
      </x:c>
      <x:c r="D328" s="4" t="str">
        <x:v>贡献榜（平台）（游客视角）</x:v>
      </x:c>
      <x:c r="E328" s="4" t="str">
        <x:v>功能需求</x:v>
      </x:c>
      <x:c r="F328" s="4" t="str">
        <x:v>P1</x:v>
      </x:c>
      <x:c r="G328" s="4" t="str">
        <x:v>验证用户榜头像游客入口</x:v>
      </x:c>
      <x:c r="H328" s="4" t="str">
        <x:v>用户榜头像游客入口</x:v>
      </x:c>
      <x:c r="I328" s="4" t="str">
        <x:v>1. 执行者为未登录游客
2. 当前为游客</x:v>
      </x:c>
      <x:c r="J328" s="4" t="str">
        <x:v>1. 进入「贡献榜（平台）」页
2. 点击榜单用户头像</x:v>
      </x:c>
      <x:c r="K328" s="4" t="str">
        <x:v>进入登录页</x:v>
      </x:c>
      <x:c r="L328" s="4" t="str"/>
      <x:c r="M328" s="4" t="str">
        <x:v>未测</x:v>
      </x:c>
      <x:c r="N328" s="4" t="str"/>
      <x:c r="O328" s="4" t="str">
        <x:v>1. 来源：MainBasis/统一需求文档.md；U-contribution-ranking-012
2. 场景：SC-07f7e7521bdb05</x:v>
      </x:c>
    </x:row>
    <x:row r="329" ht="54" customHeight="1">
      <x:c r="A329" s="4" t="n">
        <x:v>328</x:v>
      </x:c>
      <x:c r="B329" s="4" t="str">
        <x:v>USER-0328</x:v>
      </x:c>
      <x:c r="C329" s="4" t="str">
        <x:v>M02 发现、搜索、主页与平台榜单</x:v>
      </x:c>
      <x:c r="D329" s="4" t="str">
        <x:v>贡献榜（平台）（用户视角）</x:v>
      </x:c>
      <x:c r="E329" s="4" t="str">
        <x:v>功能需求</x:v>
      </x:c>
      <x:c r="F329" s="4" t="str">
        <x:v>P1</x:v>
      </x:c>
      <x:c r="G329" s="4" t="str">
        <x:v>验证贡献榜最低财富等级</x:v>
      </x:c>
      <x:c r="H329" s="4" t="str">
        <x:v>贡献榜最低财富等级</x:v>
      </x:c>
      <x:c r="I329" s="4" t="str">
        <x:v>1. 已登录用户账号
2. 榜单账号尚未达到更高财富等级门槛</x:v>
      </x:c>
      <x:c r="J329" s="4" t="str">
        <x:v>1. 进入「贡献榜（平台）」页
2. 查看贡献榜最低财富等级</x:v>
      </x:c>
      <x:c r="K329" s="4" t="str">
        <x:v>该账号财富等级为1级</x:v>
      </x:c>
      <x:c r="L329" s="4" t="str"/>
      <x:c r="M329" s="4" t="str">
        <x:v>未测</x:v>
      </x:c>
      <x:c r="N329" s="4" t="str"/>
      <x:c r="O329" s="4" t="str">
        <x:v>1. 来源：MainBasis/统一需求文档.md；U-contribution-ranking-007
2. 场景：SC-703a277cdf13d0</x:v>
      </x:c>
    </x:row>
    <x:row r="330" ht="54" customHeight="1">
      <x:c r="A330" s="4" t="n">
        <x:v>329</x:v>
      </x:c>
      <x:c r="B330" s="4" t="str">
        <x:v>USER-0329</x:v>
      </x:c>
      <x:c r="C330" s="4" t="str">
        <x:v>M02 发现、搜索、主页与平台榜单</x:v>
      </x:c>
      <x:c r="D330" s="4" t="str">
        <x:v>贡献榜（平台）（用户视角）</x:v>
      </x:c>
      <x:c r="E330" s="4" t="str">
        <x:v>功能需求</x:v>
      </x:c>
      <x:c r="F330" s="4" t="str">
        <x:v>P1</x:v>
      </x:c>
      <x:c r="G330" s="4" t="str">
        <x:v>验证贡献榜按送礼对象汇总</x:v>
      </x:c>
      <x:c r="H330" s="4" t="str">
        <x:v>贡献榜按送礼对象汇总</x:v>
      </x:c>
      <x:c r="I330" s="4" t="str">
        <x:v>1. 已登录用户账号
2. 用户甲向两个主播送10和20，用户乙送30</x:v>
      </x:c>
      <x:c r="J330" s="4" t="str">
        <x:v>1. 进入「贡献榜（平台）」页
2. 查看贡献榜按送礼对象汇总</x:v>
      </x:c>
      <x:c r="K330" s="4" t="str">
        <x:v>甲贡献30，乙贡献30</x:v>
      </x:c>
      <x:c r="L330" s="4" t="str"/>
      <x:c r="M330" s="4" t="str">
        <x:v>未测</x:v>
      </x:c>
      <x:c r="N330" s="4" t="str"/>
      <x:c r="O330" s="4" t="str">
        <x:v>1. 来源：MainBasis/统一需求文档.md；U-contribution-ranking-008
2. 场景：SC-31bf4ce8b6d8b5</x:v>
      </x:c>
    </x:row>
    <x:row r="331" ht="54" customHeight="1">
      <x:c r="A331" s="4" t="n">
        <x:v>330</x:v>
      </x:c>
      <x:c r="B331" s="4" t="str">
        <x:v>USER-0330</x:v>
      </x:c>
      <x:c r="C331" s="4" t="str">
        <x:v>M02 发现、搜索、主页与平台榜单</x:v>
      </x:c>
      <x:c r="D331" s="4" t="str">
        <x:v>搜索（用户视角）</x:v>
      </x:c>
      <x:c r="E331" s="4" t="str">
        <x:v>异常用例</x:v>
      </x:c>
      <x:c r="F331" s="4" t="str">
        <x:v>P1</x:v>
      </x:c>
      <x:c r="G331" s="4" t="str">
        <x:v>验证搜索空白0字符</x:v>
      </x:c>
      <x:c r="H331" s="4" t="str">
        <x:v>搜索空白0字符</x:v>
      </x:c>
      <x:c r="I331" s="4" t="str">
        <x:v>1. 已登录用户账号</x:v>
      </x:c>
      <x:c r="J331" s="4" t="str">
        <x:v>1. 进入「搜索」页
2. 清空搜索框
3. 提交搜索</x:v>
      </x:c>
      <x:c r="K331" s="4" t="str">
        <x:v>提示输入且保留搜索页</x:v>
      </x:c>
      <x:c r="L331" s="4" t="str"/>
      <x:c r="M331" s="4" t="str">
        <x:v>未测</x:v>
      </x:c>
      <x:c r="N331" s="4" t="str"/>
      <x:c r="O331" s="4" t="str">
        <x:v>1. 来源：MainBasis/统一需求文档.md；U-search-002、U-search-008
2. 场景：SC-b183a0de9ed7be</x:v>
      </x:c>
    </x:row>
    <x:row r="332" ht="54" customHeight="1">
      <x:c r="A332" s="4" t="n">
        <x:v>331</x:v>
      </x:c>
      <x:c r="B332" s="4" t="str">
        <x:v>USER-0331</x:v>
      </x:c>
      <x:c r="C332" s="4" t="str">
        <x:v>M02 发现、搜索、主页与平台榜单</x:v>
      </x:c>
      <x:c r="D332" s="4" t="str">
        <x:v>搜索（用户视角）</x:v>
      </x:c>
      <x:c r="E332" s="4" t="str">
        <x:v>异常用例</x:v>
      </x:c>
      <x:c r="F332" s="4" t="str">
        <x:v>P1</x:v>
      </x:c>
      <x:c r="G332" s="4" t="str">
        <x:v>验证搜索空白3字符</x:v>
      </x:c>
      <x:c r="H332" s="4" t="str">
        <x:v>搜索空白3字符</x:v>
      </x:c>
      <x:c r="I332" s="4" t="str">
        <x:v>1. 已登录用户账号</x:v>
      </x:c>
      <x:c r="J332" s="4" t="str">
        <x:v>1. 进入「搜索」页
2. 输入3个空格
3. 提交搜索</x:v>
      </x:c>
      <x:c r="K332" s="4" t="str">
        <x:v>提示输入且保留搜索页</x:v>
      </x:c>
      <x:c r="L332" s="4" t="str"/>
      <x:c r="M332" s="4" t="str">
        <x:v>未测</x:v>
      </x:c>
      <x:c r="N332" s="4" t="str"/>
      <x:c r="O332" s="4" t="str">
        <x:v>1. 来源：MainBasis/统一需求文档.md；U-search-002、U-search-008
2. 场景：SC-41eb92b3db96a1</x:v>
      </x:c>
    </x:row>
    <x:row r="333" ht="54" customHeight="1">
      <x:c r="A333" s="4" t="n">
        <x:v>332</x:v>
      </x:c>
      <x:c r="B333" s="4" t="str">
        <x:v>USER-0332</x:v>
      </x:c>
      <x:c r="C333" s="4" t="str">
        <x:v>M02 发现、搜索、主页与平台榜单</x:v>
      </x:c>
      <x:c r="D333" s="4" t="str">
        <x:v>搜索（用户视角）</x:v>
      </x:c>
      <x:c r="E333" s="4" t="str">
        <x:v>功能需求</x:v>
      </x:c>
      <x:c r="F333" s="4" t="str">
        <x:v>P1</x:v>
      </x:c>
      <x:c r="G333" s="4" t="str">
        <x:v>验证按昵称搜索</x:v>
      </x:c>
      <x:c r="H333" s="4" t="str">
        <x:v>按昵称搜索</x:v>
      </x:c>
      <x:c r="I333" s="4" t="str">
        <x:v>1. 已登录用户账号
2. 存在昵称为「海岛主播」的账号</x:v>
      </x:c>
      <x:c r="J333" s="4" t="str">
        <x:v>1. 进入「搜索」页
2. 输入「海岛主播」
3. 提交搜索</x:v>
      </x:c>
      <x:c r="K333" s="4" t="str">
        <x:v>进入搜索结果页，关键词为海岛主播</x:v>
      </x:c>
      <x:c r="L333" s="4" t="str"/>
      <x:c r="M333" s="4" t="str">
        <x:v>未测</x:v>
      </x:c>
      <x:c r="N333" s="4" t="str"/>
      <x:c r="O333" s="4" t="str">
        <x:v>1. 来源：MainBasis/统一需求文档.md；U-search-002、U-search-009
2. 场景：SC-a3acd09db6fcbc</x:v>
      </x:c>
    </x:row>
    <x:row r="334" ht="54" customHeight="1">
      <x:c r="A334" s="4" t="n">
        <x:v>333</x:v>
      </x:c>
      <x:c r="B334" s="4" t="str">
        <x:v>USER-0333</x:v>
      </x:c>
      <x:c r="C334" s="4" t="str">
        <x:v>M02 发现、搜索、主页与平台榜单</x:v>
      </x:c>
      <x:c r="D334" s="4" t="str">
        <x:v>搜索（用户视角）</x:v>
      </x:c>
      <x:c r="E334" s="4" t="str">
        <x:v>功能需求</x:v>
      </x:c>
      <x:c r="F334" s="4" t="str">
        <x:v>P1</x:v>
      </x:c>
      <x:c r="G334" s="4" t="str">
        <x:v>验证按用户 ID搜索</x:v>
      </x:c>
      <x:c r="H334" s="4" t="str">
        <x:v>按用户 ID搜索</x:v>
      </x:c>
      <x:c r="I334" s="4" t="str">
        <x:v>1. 已登录用户账号
2. 存在用户 ID为「10001」的账号</x:v>
      </x:c>
      <x:c r="J334" s="4" t="str">
        <x:v>1. 进入「搜索」页
2. 输入「10001」
3. 提交搜索</x:v>
      </x:c>
      <x:c r="K334" s="4" t="str">
        <x:v>进入搜索结果页，关键词为10001</x:v>
      </x:c>
      <x:c r="L334" s="4" t="str"/>
      <x:c r="M334" s="4" t="str">
        <x:v>未测</x:v>
      </x:c>
      <x:c r="N334" s="4" t="str"/>
      <x:c r="O334" s="4" t="str">
        <x:v>1. 来源：MainBasis/统一需求文档.md；U-search-002、U-search-009
2. 场景：SC-b7d50a0d1d86c7</x:v>
      </x:c>
    </x:row>
    <x:row r="335" ht="54" customHeight="1">
      <x:c r="A335" s="4" t="n">
        <x:v>334</x:v>
      </x:c>
      <x:c r="B335" s="4" t="str">
        <x:v>USER-0334</x:v>
      </x:c>
      <x:c r="C335" s="4" t="str">
        <x:v>M02 发现、搜索、主页与平台榜单</x:v>
      </x:c>
      <x:c r="D335" s="4" t="str">
        <x:v>搜索（用户视角）</x:v>
      </x:c>
      <x:c r="E335" s="4" t="str">
        <x:v>功能需求</x:v>
      </x:c>
      <x:c r="F335" s="4" t="str">
        <x:v>P1</x:v>
      </x:c>
      <x:c r="G335" s="4" t="str">
        <x:v>验证按房间号搜索</x:v>
      </x:c>
      <x:c r="H335" s="4" t="str">
        <x:v>按房间号搜索</x:v>
      </x:c>
      <x:c r="I335" s="4" t="str">
        <x:v>1. 已登录用户账号
2. 存在房间号为「80001」的账号</x:v>
      </x:c>
      <x:c r="J335" s="4" t="str">
        <x:v>1. 进入「搜索」页
2. 输入「80001」
3. 提交搜索</x:v>
      </x:c>
      <x:c r="K335" s="4" t="str">
        <x:v>进入搜索结果页，关键词为80001</x:v>
      </x:c>
      <x:c r="L335" s="4" t="str"/>
      <x:c r="M335" s="4" t="str">
        <x:v>未测</x:v>
      </x:c>
      <x:c r="N335" s="4" t="str"/>
      <x:c r="O335" s="4" t="str">
        <x:v>1. 来源：MainBasis/统一需求文档.md；U-search-002、U-search-009
2. 场景：SC-f4299d64fdf034</x:v>
      </x:c>
    </x:row>
    <x:row r="336" ht="54" customHeight="1">
      <x:c r="A336" s="4" t="n">
        <x:v>335</x:v>
      </x:c>
      <x:c r="B336" s="4" t="str">
        <x:v>USER-0335</x:v>
      </x:c>
      <x:c r="C336" s="4" t="str">
        <x:v>M02 发现、搜索、主页与平台榜单</x:v>
      </x:c>
      <x:c r="D336" s="4" t="str">
        <x:v>搜索（用户视角）</x:v>
      </x:c>
      <x:c r="E336" s="4" t="str">
        <x:v>功能需求</x:v>
      </x:c>
      <x:c r="F336" s="4" t="str">
        <x:v>P1</x:v>
      </x:c>
      <x:c r="G336" s="4" t="str">
        <x:v>验证搜索去除首尾空格</x:v>
      </x:c>
      <x:c r="H336" s="4" t="str">
        <x:v>搜索去除首尾空格</x:v>
      </x:c>
      <x:c r="I336" s="4" t="str">
        <x:v>1. 已登录用户账号</x:v>
      </x:c>
      <x:c r="J336" s="4" t="str">
        <x:v>1. 进入「搜索」页
2. 输入「  海岛主播  」
3. 提交搜索</x:v>
      </x:c>
      <x:c r="K336" s="4" t="str">
        <x:v>搜索结果页关键词为「海岛主播」</x:v>
      </x:c>
      <x:c r="L336" s="4" t="str"/>
      <x:c r="M336" s="4" t="str">
        <x:v>未测</x:v>
      </x:c>
      <x:c r="N336" s="4" t="str"/>
      <x:c r="O336" s="4" t="str">
        <x:v>1. 来源：MainBasis/统一需求文档.md；U-search-002、U-search-results-002
2. 场景：SC-47a94079c02f6b</x:v>
      </x:c>
    </x:row>
    <x:row r="337" ht="54" customHeight="1">
      <x:c r="A337" s="4" t="n">
        <x:v>336</x:v>
      </x:c>
      <x:c r="B337" s="4" t="str">
        <x:v>USER-0336</x:v>
      </x:c>
      <x:c r="C337" s="4" t="str">
        <x:v>M02 发现、搜索、主页与平台榜单</x:v>
      </x:c>
      <x:c r="D337" s="4" t="str">
        <x:v>搜索（用户视角）</x:v>
      </x:c>
      <x:c r="E337" s="4" t="str">
        <x:v>功能需求</x:v>
      </x:c>
      <x:c r="F337" s="4" t="str">
        <x:v>P1</x:v>
      </x:c>
      <x:c r="G337" s="4" t="str">
        <x:v>验证进入搜索自动聚焦</x:v>
      </x:c>
      <x:c r="H337" s="4" t="str">
        <x:v>进入搜索自动聚焦</x:v>
      </x:c>
      <x:c r="I337" s="4" t="str">
        <x:v>1. 已登录用户账号</x:v>
      </x:c>
      <x:c r="J337" s="4" t="str">
        <x:v>1. 进入「搜索」页
2. 查看进入搜索自动聚焦</x:v>
      </x:c>
      <x:c r="K337" s="4" t="str">
        <x:v>搜索框获得输入焦点</x:v>
      </x:c>
      <x:c r="L337" s="4" t="str"/>
      <x:c r="M337" s="4" t="str">
        <x:v>未测</x:v>
      </x:c>
      <x:c r="N337" s="4" t="str"/>
      <x:c r="O337" s="4" t="str">
        <x:v>1. 来源：MainBasis/统一需求文档.md；U-search-007
2. 场景：SC-8d3ce10201e3a7</x:v>
      </x:c>
    </x:row>
    <x:row r="338" ht="54" customHeight="1">
      <x:c r="A338" s="4" t="n">
        <x:v>337</x:v>
      </x:c>
      <x:c r="B338" s="4" t="str">
        <x:v>USER-0337</x:v>
      </x:c>
      <x:c r="C338" s="4" t="str">
        <x:v>M02 发现、搜索、主页与平台榜单</x:v>
      </x:c>
      <x:c r="D338" s="4" t="str">
        <x:v>搜索（用户视角）</x:v>
      </x:c>
      <x:c r="E338" s="4" t="str">
        <x:v>功能需求</x:v>
      </x:c>
      <x:c r="F338" s="4" t="str">
        <x:v>P1</x:v>
      </x:c>
      <x:c r="G338" s="4" t="str">
        <x:v>验证不展示热门搜索词</x:v>
      </x:c>
      <x:c r="H338" s="4" t="str">
        <x:v>不展示热门搜索词</x:v>
      </x:c>
      <x:c r="I338" s="4" t="str">
        <x:v>1. 已登录用户账号</x:v>
      </x:c>
      <x:c r="J338" s="4" t="str">
        <x:v>1. 进入「搜索」页
2. 查看不展示热门搜索词</x:v>
      </x:c>
      <x:c r="K338" s="4" t="str">
        <x:v>页面没有热门搜索词列表</x:v>
      </x:c>
      <x:c r="L338" s="4" t="str"/>
      <x:c r="M338" s="4" t="str">
        <x:v>未测</x:v>
      </x:c>
      <x:c r="N338" s="4" t="str"/>
      <x:c r="O338" s="4" t="str">
        <x:v>1. 来源：MainBasis/统一需求文档.md；U-search-003
2. 场景：SC-8dc56ecc005272</x:v>
      </x:c>
    </x:row>
    <x:row r="339" ht="54" customHeight="1">
      <x:c r="A339" s="4" t="n">
        <x:v>338</x:v>
      </x:c>
      <x:c r="B339" s="4" t="str">
        <x:v>USER-0338</x:v>
      </x:c>
      <x:c r="C339" s="4" t="str">
        <x:v>M02 发现、搜索、主页与平台榜单</x:v>
      </x:c>
      <x:c r="D339" s="4" t="str">
        <x:v>搜索（用户视角）</x:v>
      </x:c>
      <x:c r="E339" s="4" t="str">
        <x:v>功能需求</x:v>
      </x:c>
      <x:c r="F339" s="4" t="str">
        <x:v>P1</x:v>
      </x:c>
      <x:c r="G339" s="4" t="str">
        <x:v>验证历史已有9条新增</x:v>
      </x:c>
      <x:c r="H339" s="4" t="str">
        <x:v>历史已有9条新增</x:v>
      </x:c>
      <x:c r="I339" s="4" t="str">
        <x:v>1. 已登录用户账号
2. 已有9个不同历史词，已记录最近使用顺序</x:v>
      </x:c>
      <x:c r="J339" s="4" t="str">
        <x:v>1. 进入「搜索」页
2. 搜索一个新的昵称
3. 返回搜索页</x:v>
      </x:c>
      <x:c r="K339" s="4" t="str">
        <x:v>历史保留10条，新词位于首位</x:v>
      </x:c>
      <x:c r="L339" s="4" t="str"/>
      <x:c r="M339" s="4" t="str">
        <x:v>未测</x:v>
      </x:c>
      <x:c r="N339" s="4" t="str"/>
      <x:c r="O339" s="4" t="str">
        <x:v>1. 来源：MainBasis/统一需求文档.md；U-search-005、U-search-006
2. 场景：SC-f37ab7363395df</x:v>
      </x:c>
    </x:row>
    <x:row r="340" ht="54" customHeight="1">
      <x:c r="A340" s="4" t="n">
        <x:v>339</x:v>
      </x:c>
      <x:c r="B340" s="4" t="str">
        <x:v>USER-0339</x:v>
      </x:c>
      <x:c r="C340" s="4" t="str">
        <x:v>M02 发现、搜索、主页与平台榜单</x:v>
      </x:c>
      <x:c r="D340" s="4" t="str">
        <x:v>搜索（用户视角）</x:v>
      </x:c>
      <x:c r="E340" s="4" t="str">
        <x:v>功能需求</x:v>
      </x:c>
      <x:c r="F340" s="4" t="str">
        <x:v>P1</x:v>
      </x:c>
      <x:c r="G340" s="4" t="str">
        <x:v>验证历史已有10条新增</x:v>
      </x:c>
      <x:c r="H340" s="4" t="str">
        <x:v>历史已有10条新增</x:v>
      </x:c>
      <x:c r="I340" s="4" t="str">
        <x:v>1. 已登录用户账号
2. 已有10个不同历史词，已记录最近使用顺序</x:v>
      </x:c>
      <x:c r="J340" s="4" t="str">
        <x:v>1. 进入「搜索」页
2. 搜索一个新的昵称
3. 返回搜索页</x:v>
      </x:c>
      <x:c r="K340" s="4" t="str">
        <x:v>历史仍为10条，最早一条被移除</x:v>
      </x:c>
      <x:c r="L340" s="4" t="str"/>
      <x:c r="M340" s="4" t="str">
        <x:v>未测</x:v>
      </x:c>
      <x:c r="N340" s="4" t="str"/>
      <x:c r="O340" s="4" t="str">
        <x:v>1. 来源：MainBasis/统一需求文档.md；U-search-005、U-search-006
2. 场景：SC-ecc6af94966ae6</x:v>
      </x:c>
    </x:row>
    <x:row r="341" ht="54" customHeight="1">
      <x:c r="A341" s="4" t="n">
        <x:v>340</x:v>
      </x:c>
      <x:c r="B341" s="4" t="str">
        <x:v>USER-0340</x:v>
      </x:c>
      <x:c r="C341" s="4" t="str">
        <x:v>M02 发现、搜索、主页与平台榜单</x:v>
      </x:c>
      <x:c r="D341" s="4" t="str">
        <x:v>搜索（用户视角）</x:v>
      </x:c>
      <x:c r="E341" s="4" t="str">
        <x:v>功能需求</x:v>
      </x:c>
      <x:c r="F341" s="4" t="str">
        <x:v>P1</x:v>
      </x:c>
      <x:c r="G341" s="4" t="str">
        <x:v>验证重复搜索移到首位</x:v>
      </x:c>
      <x:c r="H341" s="4" t="str">
        <x:v>重复搜索移到首位</x:v>
      </x:c>
      <x:c r="I341" s="4" t="str">
        <x:v>1. 已登录用户账号
2. 有3个历史词，目标词当前在最后</x:v>
      </x:c>
      <x:c r="J341" s="4" t="str">
        <x:v>1. 进入「搜索」页
2. 点击最后一条历史词
3. 返回搜索页</x:v>
      </x:c>
      <x:c r="K341" s="4" t="str">
        <x:v>目标词移到第一位，历史总数仍为3</x:v>
      </x:c>
      <x:c r="L341" s="4" t="str"/>
      <x:c r="M341" s="4" t="str">
        <x:v>未测</x:v>
      </x:c>
      <x:c r="N341" s="4" t="str"/>
      <x:c r="O341" s="4" t="str">
        <x:v>1. 来源：MainBasis/统一需求文档.md；U-search-003、U-search-005、U-search-006
2. 场景：SC-1745333cc3e616</x:v>
      </x:c>
    </x:row>
    <x:row r="342" ht="54" customHeight="1">
      <x:c r="A342" s="4" t="n">
        <x:v>341</x:v>
      </x:c>
      <x:c r="B342" s="4" t="str">
        <x:v>USER-0341</x:v>
      </x:c>
      <x:c r="C342" s="4" t="str">
        <x:v>M02 发现、搜索、主页与平台榜单</x:v>
      </x:c>
      <x:c r="D342" s="4" t="str">
        <x:v>搜索（用户视角）</x:v>
      </x:c>
      <x:c r="E342" s="4" t="str">
        <x:v>功能需求</x:v>
      </x:c>
      <x:c r="F342" s="4" t="str">
        <x:v>P1</x:v>
      </x:c>
      <x:c r="G342" s="4" t="str">
        <x:v>验证删除单条搜索历史</x:v>
      </x:c>
      <x:c r="H342" s="4" t="str">
        <x:v>删除单条搜索历史</x:v>
      </x:c>
      <x:c r="I342" s="4" t="str">
        <x:v>1. 已登录用户账号
2. 存在3条搜索历史</x:v>
      </x:c>
      <x:c r="J342" s="4" t="str">
        <x:v>1. 进入「搜索」页
2. 点击中间历史词右侧删除</x:v>
      </x:c>
      <x:c r="K342" s="4" t="str">
        <x:v>仅该词被移除，其余2条保留</x:v>
      </x:c>
      <x:c r="L342" s="4" t="str"/>
      <x:c r="M342" s="4" t="str">
        <x:v>未测</x:v>
      </x:c>
      <x:c r="N342" s="4" t="str"/>
      <x:c r="O342" s="4" t="str">
        <x:v>1. 来源：MainBasis/统一需求文档.md；U-search-010
2. 场景：SC-c5ec0a005552bb</x:v>
      </x:c>
    </x:row>
    <x:row r="343" ht="54" customHeight="1">
      <x:c r="A343" s="4" t="n">
        <x:v>342</x:v>
      </x:c>
      <x:c r="B343" s="4" t="str">
        <x:v>USER-0342</x:v>
      </x:c>
      <x:c r="C343" s="4" t="str">
        <x:v>M02 发现、搜索、主页与平台榜单</x:v>
      </x:c>
      <x:c r="D343" s="4" t="str">
        <x:v>搜索（用户视角）</x:v>
      </x:c>
      <x:c r="E343" s="4" t="str">
        <x:v>功能需求</x:v>
      </x:c>
      <x:c r="F343" s="4" t="str">
        <x:v>P1</x:v>
      </x:c>
      <x:c r="G343" s="4" t="str">
        <x:v>验证清空全部搜索历史</x:v>
      </x:c>
      <x:c r="H343" s="4" t="str">
        <x:v>清空全部搜索历史</x:v>
      </x:c>
      <x:c r="I343" s="4" t="str">
        <x:v>1. 已登录用户账号
2. 存在3条搜索历史</x:v>
      </x:c>
      <x:c r="J343" s="4" t="str">
        <x:v>1. 进入「搜索」页
2. 点击清空全部</x:v>
      </x:c>
      <x:c r="K343" s="4" t="str">
        <x:v>搜索历史变为空状态</x:v>
      </x:c>
      <x:c r="L343" s="4" t="str"/>
      <x:c r="M343" s="4" t="str">
        <x:v>未测</x:v>
      </x:c>
      <x:c r="N343" s="4" t="str"/>
      <x:c r="O343" s="4" t="str">
        <x:v>1. 来源：MainBasis/统一需求文档.md；U-search-010
2. 场景：SC-95a2caf0185394</x:v>
      </x:c>
    </x:row>
    <x:row r="344" ht="68" customHeight="1">
      <x:c r="A344" s="4" t="n">
        <x:v>343</x:v>
      </x:c>
      <x:c r="B344" s="4" t="str">
        <x:v>USER-0343</x:v>
      </x:c>
      <x:c r="C344" s="4" t="str">
        <x:v>M02 发现、搜索、主页与平台榜单</x:v>
      </x:c>
      <x:c r="D344" s="4" t="str">
        <x:v>搜索（用户视角）</x:v>
      </x:c>
      <x:c r="E344" s="4" t="str">
        <x:v>功能需求</x:v>
      </x:c>
      <x:c r="F344" s="4" t="str">
        <x:v>P1</x:v>
      </x:c>
      <x:c r="G344" s="4" t="str">
        <x:v>验证搜索历史不跨设备</x:v>
      </x:c>
      <x:c r="H344" s="4" t="str">
        <x:v>搜索历史不跨设备</x:v>
      </x:c>
      <x:c r="I344" s="4" t="str">
        <x:v>1. 已登录用户账号
2. 同一账号在设备一搜索过一个新词，设备二从未搜索该词
3. 当前使用设备二</x:v>
      </x:c>
      <x:c r="J344" s="4" t="str">
        <x:v>1. 进入「搜索」页
2. 查看搜索历史不跨设备</x:v>
      </x:c>
      <x:c r="K344" s="4" t="str">
        <x:v>设备二历史中没有该词</x:v>
      </x:c>
      <x:c r="L344" s="4" t="str"/>
      <x:c r="M344" s="4" t="str">
        <x:v>未测</x:v>
      </x:c>
      <x:c r="N344" s="4" t="str"/>
      <x:c r="O344" s="4" t="str">
        <x:v>1. 来源：MainBasis/统一需求文档.md；U-search-004
2. 场景：SC-253e90f0692870</x:v>
      </x:c>
    </x:row>
    <x:row r="345" ht="54" customHeight="1">
      <x:c r="A345" s="4" t="n">
        <x:v>344</x:v>
      </x:c>
      <x:c r="B345" s="4" t="str">
        <x:v>USER-0344</x:v>
      </x:c>
      <x:c r="C345" s="4" t="str">
        <x:v>M02 发现、搜索、主页与平台榜单</x:v>
      </x:c>
      <x:c r="D345" s="4" t="str">
        <x:v>搜索结果（用户视角）</x:v>
      </x:c>
      <x:c r="E345" s="4" t="str">
        <x:v>功能需求</x:v>
      </x:c>
      <x:c r="F345" s="4" t="str">
        <x:v>P2</x:v>
      </x:c>
      <x:c r="G345" s="4" t="str">
        <x:v>验证用户头像、昵称回显</x:v>
      </x:c>
      <x:c r="H345" s="4" t="str">
        <x:v>用户头像、昵称回显</x:v>
      </x:c>
      <x:c r="I345" s="4" t="str">
        <x:v>1. 已登录用户账号
2. 所选对象存在，已记录该对象的用户头像、昵称值</x:v>
      </x:c>
      <x:c r="J345" s="4" t="str">
        <x:v>1. 进入「搜索结果」页
2. 查看用户头像、昵称回显</x:v>
      </x:c>
      <x:c r="K345" s="4" t="str">
        <x:v>「用户头像、昵称」内容与所选对象的该项资料一致</x:v>
      </x:c>
      <x:c r="L345" s="4" t="str"/>
      <x:c r="M345" s="4" t="str">
        <x:v>未测</x:v>
      </x:c>
      <x:c r="N345" s="4" t="str"/>
      <x:c r="O345" s="4" t="str">
        <x:v>1. 来源：MainBasis/统一需求文档.md；U-search-results-003
2. 场景：SC-f5c896f80b2bfb</x:v>
      </x:c>
    </x:row>
    <x:row r="346" ht="54" customHeight="1">
      <x:c r="A346" s="4" t="n">
        <x:v>345</x:v>
      </x:c>
      <x:c r="B346" s="4" t="str">
        <x:v>USER-0345</x:v>
      </x:c>
      <x:c r="C346" s="4" t="str">
        <x:v>M02 发现、搜索、主页与平台榜单</x:v>
      </x:c>
      <x:c r="D346" s="4" t="str">
        <x:v>搜索结果（用户视角）</x:v>
      </x:c>
      <x:c r="E346" s="4" t="str">
        <x:v>功能需求</x:v>
      </x:c>
      <x:c r="F346" s="4" t="str">
        <x:v>P1</x:v>
      </x:c>
      <x:c r="G346" s="4" t="str">
        <x:v>验证主播直播中结果信息</x:v>
      </x:c>
      <x:c r="H346" s="4" t="str">
        <x:v>主播直播中结果信息</x:v>
      </x:c>
      <x:c r="I346" s="4" t="str">
        <x:v>1. 已登录用户账号
2. 当前关键词仅匹配一个主播，其正在直播</x:v>
      </x:c>
      <x:c r="J346" s="4" t="str">
        <x:v>1. 进入「搜索结果」页
2. 查看主播直播中结果信息</x:v>
      </x:c>
      <x:c r="K346" s="4" t="str">
        <x:v>显示房间号，显示直播中标记</x:v>
      </x:c>
      <x:c r="L346" s="4" t="str"/>
      <x:c r="M346" s="4" t="str">
        <x:v>未测</x:v>
      </x:c>
      <x:c r="N346" s="4" t="str"/>
      <x:c r="O346" s="4" t="str">
        <x:v>1. 来源：MainBasis/统一需求文档.md；U-search-results-004、U-search-results-006
2. 场景：SC-164eeee578fbf3</x:v>
      </x:c>
    </x:row>
    <x:row r="347" ht="54" customHeight="1">
      <x:c r="A347" s="4" t="n">
        <x:v>346</x:v>
      </x:c>
      <x:c r="B347" s="4" t="str">
        <x:v>USER-0346</x:v>
      </x:c>
      <x:c r="C347" s="4" t="str">
        <x:v>M02 发现、搜索、主页与平台榜单</x:v>
      </x:c>
      <x:c r="D347" s="4" t="str">
        <x:v>搜索结果（用户视角）</x:v>
      </x:c>
      <x:c r="E347" s="4" t="str">
        <x:v>功能需求</x:v>
      </x:c>
      <x:c r="F347" s="4" t="str">
        <x:v>P1</x:v>
      </x:c>
      <x:c r="G347" s="4" t="str">
        <x:v>验证主播直播中搜索跳转</x:v>
      </x:c>
      <x:c r="H347" s="4" t="str">
        <x:v>主播直播中搜索跳转</x:v>
      </x:c>
      <x:c r="I347" s="4" t="str">
        <x:v>1. 已登录用户账号
2. 存在匹配的主播，正在普通房直播</x:v>
      </x:c>
      <x:c r="J347" s="4" t="str">
        <x:v>1. 进入「搜索结果」页
2. 点击该搜索结果</x:v>
      </x:c>
      <x:c r="K347" s="4" t="str">
        <x:v>进入该账号直播间</x:v>
      </x:c>
      <x:c r="L347" s="4" t="str"/>
      <x:c r="M347" s="4" t="str">
        <x:v>未测</x:v>
      </x:c>
      <x:c r="N347" s="4" t="str"/>
      <x:c r="O347" s="4" t="str">
        <x:v>1. 来源：MainBasis/统一需求文档.md；U-search-results-008
2. 场景：SC-54868edd4590c0</x:v>
      </x:c>
    </x:row>
    <x:row r="348" ht="54" customHeight="1">
      <x:c r="A348" s="4" t="n">
        <x:v>347</x:v>
      </x:c>
      <x:c r="B348" s="4" t="str">
        <x:v>USER-0347</x:v>
      </x:c>
      <x:c r="C348" s="4" t="str">
        <x:v>M02 发现、搜索、主页与平台榜单</x:v>
      </x:c>
      <x:c r="D348" s="4" t="str">
        <x:v>搜索结果（用户视角）</x:v>
      </x:c>
      <x:c r="E348" s="4" t="str">
        <x:v>功能需求</x:v>
      </x:c>
      <x:c r="F348" s="4" t="str">
        <x:v>P1</x:v>
      </x:c>
      <x:c r="G348" s="4" t="str">
        <x:v>验证主播未开播结果信息</x:v>
      </x:c>
      <x:c r="H348" s="4" t="str">
        <x:v>主播未开播结果信息</x:v>
      </x:c>
      <x:c r="I348" s="4" t="str">
        <x:v>1. 已登录用户账号
2. 当前关键词仅匹配一个主播，其没有直播</x:v>
      </x:c>
      <x:c r="J348" s="4" t="str">
        <x:v>1. 进入「搜索结果」页
2. 查看主播未开播结果信息</x:v>
      </x:c>
      <x:c r="K348" s="4" t="str">
        <x:v>显示房间号，不显示直播中标记</x:v>
      </x:c>
      <x:c r="L348" s="4" t="str"/>
      <x:c r="M348" s="4" t="str">
        <x:v>未测</x:v>
      </x:c>
      <x:c r="N348" s="4" t="str"/>
      <x:c r="O348" s="4" t="str">
        <x:v>1. 来源：MainBasis/统一需求文档.md；U-search-results-004、U-search-results-006
2. 场景：SC-95d201a72fe623</x:v>
      </x:c>
    </x:row>
    <x:row r="349" ht="54" customHeight="1">
      <x:c r="A349" s="4" t="n">
        <x:v>348</x:v>
      </x:c>
      <x:c r="B349" s="4" t="str">
        <x:v>USER-0348</x:v>
      </x:c>
      <x:c r="C349" s="4" t="str">
        <x:v>M02 发现、搜索、主页与平台榜单</x:v>
      </x:c>
      <x:c r="D349" s="4" t="str">
        <x:v>搜索结果（用户视角）</x:v>
      </x:c>
      <x:c r="E349" s="4" t="str">
        <x:v>功能需求</x:v>
      </x:c>
      <x:c r="F349" s="4" t="str">
        <x:v>P1</x:v>
      </x:c>
      <x:c r="G349" s="4" t="str">
        <x:v>验证主播未开播搜索跳转</x:v>
      </x:c>
      <x:c r="H349" s="4" t="str">
        <x:v>主播未开播搜索跳转</x:v>
      </x:c>
      <x:c r="I349" s="4" t="str">
        <x:v>1. 已登录用户账号
2. 存在匹配的主播，当前未开播</x:v>
      </x:c>
      <x:c r="J349" s="4" t="str">
        <x:v>1. 进入「搜索结果」页
2. 点击该搜索结果</x:v>
      </x:c>
      <x:c r="K349" s="4" t="str">
        <x:v>进入该账号主播主页</x:v>
      </x:c>
      <x:c r="L349" s="4" t="str"/>
      <x:c r="M349" s="4" t="str">
        <x:v>未测</x:v>
      </x:c>
      <x:c r="N349" s="4" t="str"/>
      <x:c r="O349" s="4" t="str">
        <x:v>1. 来源：MainBasis/统一需求文档.md；U-search-results-009
2. 场景：SC-8ff11c9c62843f</x:v>
      </x:c>
    </x:row>
    <x:row r="350" ht="54" customHeight="1">
      <x:c r="A350" s="4" t="n">
        <x:v>349</x:v>
      </x:c>
      <x:c r="B350" s="4" t="str">
        <x:v>USER-0349</x:v>
      </x:c>
      <x:c r="C350" s="4" t="str">
        <x:v>M02 发现、搜索、主页与平台榜单</x:v>
      </x:c>
      <x:c r="D350" s="4" t="str">
        <x:v>搜索结果（用户视角）</x:v>
      </x:c>
      <x:c r="E350" s="4" t="str">
        <x:v>功能需求</x:v>
      </x:c>
      <x:c r="F350" s="4" t="str">
        <x:v>P1</x:v>
      </x:c>
      <x:c r="G350" s="4" t="str">
        <x:v>验证普通用户未开播结果信息</x:v>
      </x:c>
      <x:c r="H350" s="4" t="str">
        <x:v>普通用户未开播结果信息</x:v>
      </x:c>
      <x:c r="I350" s="4" t="str">
        <x:v>1. 已登录用户账号
2. 当前关键词仅匹配一个普通用户，其没有直播</x:v>
      </x:c>
      <x:c r="J350" s="4" t="str">
        <x:v>1. 进入「搜索结果」页
2. 查看普通用户未开播结果信息</x:v>
      </x:c>
      <x:c r="K350" s="4" t="str">
        <x:v>不显示房间号，不显示直播中标记</x:v>
      </x:c>
      <x:c r="L350" s="4" t="str"/>
      <x:c r="M350" s="4" t="str">
        <x:v>未测</x:v>
      </x:c>
      <x:c r="N350" s="4" t="str"/>
      <x:c r="O350" s="4" t="str">
        <x:v>1. 来源：MainBasis/统一需求文档.md；U-search-results-004、U-search-results-006
2. 场景：SC-919b1332ea9c5d</x:v>
      </x:c>
    </x:row>
    <x:row r="351" ht="54" customHeight="1">
      <x:c r="A351" s="4" t="n">
        <x:v>350</x:v>
      </x:c>
      <x:c r="B351" s="4" t="str">
        <x:v>USER-0350</x:v>
      </x:c>
      <x:c r="C351" s="4" t="str">
        <x:v>M02 发现、搜索、主页与平台榜单</x:v>
      </x:c>
      <x:c r="D351" s="4" t="str">
        <x:v>搜索结果（用户视角）</x:v>
      </x:c>
      <x:c r="E351" s="4" t="str">
        <x:v>功能需求</x:v>
      </x:c>
      <x:c r="F351" s="4" t="str">
        <x:v>P1</x:v>
      </x:c>
      <x:c r="G351" s="4" t="str">
        <x:v>验证普通用户未开播搜索跳转</x:v>
      </x:c>
      <x:c r="H351" s="4" t="str">
        <x:v>普通用户未开播搜索跳转</x:v>
      </x:c>
      <x:c r="I351" s="4" t="str">
        <x:v>1. 已登录用户账号
2. 存在匹配的普通用户，当前未开播</x:v>
      </x:c>
      <x:c r="J351" s="4" t="str">
        <x:v>1. 进入「搜索结果」页
2. 点击该搜索结果</x:v>
      </x:c>
      <x:c r="K351" s="4" t="str">
        <x:v>进入该账号用户主页</x:v>
      </x:c>
      <x:c r="L351" s="4" t="str"/>
      <x:c r="M351" s="4" t="str">
        <x:v>未测</x:v>
      </x:c>
      <x:c r="N351" s="4" t="str"/>
      <x:c r="O351" s="4" t="str">
        <x:v>1. 来源：MainBasis/统一需求文档.md；U-search-results-009
2. 场景：SC-42d0684fbf7164</x:v>
      </x:c>
    </x:row>
    <x:row r="352" ht="54" customHeight="1">
      <x:c r="A352" s="4" t="n">
        <x:v>351</x:v>
      </x:c>
      <x:c r="B352" s="4" t="str">
        <x:v>USER-0351</x:v>
      </x:c>
      <x:c r="C352" s="4" t="str">
        <x:v>M02 发现、搜索、主页与平台榜单</x:v>
      </x:c>
      <x:c r="D352" s="4" t="str">
        <x:v>搜索结果（用户视角）</x:v>
      </x:c>
      <x:c r="E352" s="4" t="str">
        <x:v>功能需求</x:v>
      </x:c>
      <x:c r="F352" s="4" t="str">
        <x:v>P1</x:v>
      </x:c>
      <x:c r="G352" s="4" t="str">
        <x:v>验证修改关键词重新搜索</x:v>
      </x:c>
      <x:c r="H352" s="4" t="str">
        <x:v>修改关键词重新搜索</x:v>
      </x:c>
      <x:c r="I352" s="4" t="str">
        <x:v>1. 已登录用户账号
2. 原关键词存在匹配账号
3. 新关键词不存在匹配账号</x:v>
      </x:c>
      <x:c r="J352" s="4" t="str">
        <x:v>1. 进入「搜索结果」页
2. 修改为新关键词
3. 提交搜索</x:v>
      </x:c>
      <x:c r="K352" s="4" t="str">
        <x:v>搜索框保留新词且结果为空状态</x:v>
      </x:c>
      <x:c r="L352" s="4" t="str"/>
      <x:c r="M352" s="4" t="str">
        <x:v>未测</x:v>
      </x:c>
      <x:c r="N352" s="4" t="str"/>
      <x:c r="O352" s="4" t="str">
        <x:v>1. 来源：MainBasis/统一需求文档.md；U-search-results-010、U-search-results-005
2. 场景：SC-2fba07a5afeef7</x:v>
      </x:c>
    </x:row>
    <x:row r="353" ht="54" customHeight="1">
      <x:c r="A353" s="4" t="n">
        <x:v>352</x:v>
      </x:c>
      <x:c r="B353" s="4" t="str">
        <x:v>USER-0352</x:v>
      </x:c>
      <x:c r="C353" s="4" t="str">
        <x:v>M02 发现、搜索、主页与平台榜单</x:v>
      </x:c>
      <x:c r="D353" s="4" t="str">
        <x:v>搜索结果（用户视角）</x:v>
      </x:c>
      <x:c r="E353" s="4" t="str">
        <x:v>功能需求</x:v>
      </x:c>
      <x:c r="F353" s="4" t="str">
        <x:v>P1</x:v>
      </x:c>
      <x:c r="G353" s="4" t="str">
        <x:v>验证一个账号一条结果</x:v>
      </x:c>
      <x:c r="H353" s="4" t="str">
        <x:v>一个账号一条结果</x:v>
      </x:c>
      <x:c r="I353" s="4" t="str">
        <x:v>1. 已登录用户账号
2. 同一账号昵称和ID均匹配当前关键词</x:v>
      </x:c>
      <x:c r="J353" s="4" t="str">
        <x:v>1. 进入「搜索结果」页
2. 查看一个账号一条结果</x:v>
      </x:c>
      <x:c r="K353" s="4" t="str">
        <x:v>该账号仅出现一条结果</x:v>
      </x:c>
      <x:c r="L353" s="4" t="str"/>
      <x:c r="M353" s="4" t="str">
        <x:v>未测</x:v>
      </x:c>
      <x:c r="N353" s="4" t="str"/>
      <x:c r="O353" s="4" t="str">
        <x:v>1. 来源：MainBasis/统一需求文档.md；U-search-results-006
2. 场景：SC-195bf6e8218b22</x:v>
      </x:c>
    </x:row>
    <x:row r="354" ht="54" customHeight="1">
      <x:c r="A354" s="4" t="n">
        <x:v>353</x:v>
      </x:c>
      <x:c r="B354" s="4" t="str">
        <x:v>USER-0353</x:v>
      </x:c>
      <x:c r="C354" s="4" t="str">
        <x:v>M02 发现、搜索、主页与平台榜单</x:v>
      </x:c>
      <x:c r="D354" s="4" t="str">
        <x:v>用户主页（用户视角）</x:v>
      </x:c>
      <x:c r="E354" s="4" t="str">
        <x:v>功能需求</x:v>
      </x:c>
      <x:c r="F354" s="4" t="str">
        <x:v>P2</x:v>
      </x:c>
      <x:c r="G354" s="4" t="str">
        <x:v>验证用户资料回显</x:v>
      </x:c>
      <x:c r="H354" s="4" t="str">
        <x:v>用户资料回显</x:v>
      </x:c>
      <x:c r="I354" s="4" t="str">
        <x:v>1. 已登录用户账号
2. 所选对象存在，已记录该对象的用户资料值</x:v>
      </x:c>
      <x:c r="J354" s="4" t="str">
        <x:v>1. 进入「用户主页」页
2. 查看用户资料回显</x:v>
      </x:c>
      <x:c r="K354" s="4" t="str">
        <x:v>「用户资料」内容与所选对象的该项资料一致</x:v>
      </x:c>
      <x:c r="L354" s="4" t="str"/>
      <x:c r="M354" s="4" t="str">
        <x:v>未测</x:v>
      </x:c>
      <x:c r="N354" s="4" t="str"/>
      <x:c r="O354" s="4" t="str">
        <x:v>1. 来源：MainBasis/统一需求文档.md；U-user-home-002
2. 场景：SC-8a23efeab7ed6f</x:v>
      </x:c>
    </x:row>
    <x:row r="355" ht="54" customHeight="1">
      <x:c r="A355" s="4" t="n">
        <x:v>354</x:v>
      </x:c>
      <x:c r="B355" s="4" t="str">
        <x:v>USER-0354</x:v>
      </x:c>
      <x:c r="C355" s="4" t="str">
        <x:v>M02 发现、搜索、主页与平台榜单</x:v>
      </x:c>
      <x:c r="D355" s="4" t="str">
        <x:v>用户主页（用户视角）</x:v>
      </x:c>
      <x:c r="E355" s="4" t="str">
        <x:v>功能需求</x:v>
      </x:c>
      <x:c r="F355" s="4" t="str">
        <x:v>P2</x:v>
      </x:c>
      <x:c r="G355" s="4" t="str">
        <x:v>验证关系状态回显</x:v>
      </x:c>
      <x:c r="H355" s="4" t="str">
        <x:v>关系状态回显</x:v>
      </x:c>
      <x:c r="I355" s="4" t="str">
        <x:v>1. 已登录用户账号
2. 所选对象存在，已记录该对象的关系状态值</x:v>
      </x:c>
      <x:c r="J355" s="4" t="str">
        <x:v>1. 进入「用户主页」页
2. 查看关系状态回显</x:v>
      </x:c>
      <x:c r="K355" s="4" t="str">
        <x:v>「关系状态」内容与所选对象的该项资料一致</x:v>
      </x:c>
      <x:c r="L355" s="4" t="str"/>
      <x:c r="M355" s="4" t="str">
        <x:v>未测</x:v>
      </x:c>
      <x:c r="N355" s="4" t="str"/>
      <x:c r="O355" s="4" t="str">
        <x:v>1. 来源：MainBasis/统一需求文档.md；U-user-home-005
2. 场景：SC-0d874859cc8dc8</x:v>
      </x:c>
    </x:row>
    <x:row r="356" ht="54" customHeight="1">
      <x:c r="A356" s="4" t="n">
        <x:v>355</x:v>
      </x:c>
      <x:c r="B356" s="4" t="str">
        <x:v>USER-0355</x:v>
      </x:c>
      <x:c r="C356" s="4" t="str">
        <x:v>M02 发现、搜索、主页与平台榜单</x:v>
      </x:c>
      <x:c r="D356" s="4" t="str">
        <x:v>用户主页（用户视角）</x:v>
      </x:c>
      <x:c r="E356" s="4" t="str">
        <x:v>功能需求</x:v>
      </x:c>
      <x:c r="F356" s="4" t="str">
        <x:v>P1</x:v>
      </x:c>
      <x:c r="G356" s="4" t="str">
        <x:v>验证用户主页取消关注</x:v>
      </x:c>
      <x:c r="H356" s="4" t="str">
        <x:v>用户主页取消关注</x:v>
      </x:c>
      <x:c r="I356" s="4" t="str">
        <x:v>1. 已登录用户账号
2. 当前已关注该对象，已记录其粉丝数</x:v>
      </x:c>
      <x:c r="J356" s="4" t="str">
        <x:v>1. 进入「用户主页」页
2. 点击「取消关注」</x:v>
      </x:c>
      <x:c r="K356" s="4" t="str">
        <x:v>该对象粉丝数减1</x:v>
      </x:c>
      <x:c r="L356" s="4" t="str"/>
      <x:c r="M356" s="4" t="str">
        <x:v>未测</x:v>
      </x:c>
      <x:c r="N356" s="4" t="str"/>
      <x:c r="O356" s="4" t="str">
        <x:v>1. 来源：MainBasis/统一需求文档.md；U-user-home-010
2. 场景：SC-40d9408ad69405</x:v>
      </x:c>
    </x:row>
    <x:row r="357" ht="54" customHeight="1">
      <x:c r="A357" s="4" t="n">
        <x:v>356</x:v>
      </x:c>
      <x:c r="B357" s="4" t="str">
        <x:v>USER-0356</x:v>
      </x:c>
      <x:c r="C357" s="4" t="str">
        <x:v>M02 发现、搜索、主页与平台榜单</x:v>
      </x:c>
      <x:c r="D357" s="4" t="str">
        <x:v>用户主页（用户视角）</x:v>
      </x:c>
      <x:c r="E357" s="4" t="str">
        <x:v>功能需求</x:v>
      </x:c>
      <x:c r="F357" s="4" t="str">
        <x:v>P1</x:v>
      </x:c>
      <x:c r="G357" s="4" t="str">
        <x:v>验证用户主页关注</x:v>
      </x:c>
      <x:c r="H357" s="4" t="str">
        <x:v>用户主页关注</x:v>
      </x:c>
      <x:c r="I357" s="4" t="str">
        <x:v>1. 已登录用户账号
2. 当前未关注该对象，已记录其粉丝数</x:v>
      </x:c>
      <x:c r="J357" s="4" t="str">
        <x:v>1. 进入「用户主页」页
2. 点击「关注」</x:v>
      </x:c>
      <x:c r="K357" s="4" t="str">
        <x:v>该对象粉丝数加1</x:v>
      </x:c>
      <x:c r="L357" s="4" t="str"/>
      <x:c r="M357" s="4" t="str">
        <x:v>未测</x:v>
      </x:c>
      <x:c r="N357" s="4" t="str"/>
      <x:c r="O357" s="4" t="str">
        <x:v>1. 来源：MainBasis/统一需求文档.md；U-user-home-010
2. 场景：SC-756e981221b727</x:v>
      </x:c>
    </x:row>
    <x:row r="358" ht="54" customHeight="1">
      <x:c r="A358" s="4" t="n">
        <x:v>357</x:v>
      </x:c>
      <x:c r="B358" s="4" t="str">
        <x:v>USER-0357</x:v>
      </x:c>
      <x:c r="C358" s="4" t="str">
        <x:v>M02 发现、搜索、主页与平台榜单</x:v>
      </x:c>
      <x:c r="D358" s="4" t="str">
        <x:v>用户主页（用户视角）</x:v>
      </x:c>
      <x:c r="E358" s="4" t="str">
        <x:v>功能需求</x:v>
      </x:c>
      <x:c r="F358" s="4" t="str">
        <x:v>P1</x:v>
      </x:c>
      <x:c r="G358" s="4" t="str">
        <x:v>验证用户粉丝与关注分别统计</x:v>
      </x:c>
      <x:c r="H358" s="4" t="str">
        <x:v>用户粉丝与关注分别统计</x:v>
      </x:c>
      <x:c r="I358" s="4" t="str">
        <x:v>1. 已登录用户账号
2. 该对象有3个当前粉丝并关注5个账号</x:v>
      </x:c>
      <x:c r="J358" s="4" t="str">
        <x:v>1. 进入「用户主页」页
2. 查看用户粉丝与关注分别统计</x:v>
      </x:c>
      <x:c r="K358" s="4" t="str">
        <x:v>粉丝数为3，关注数为5</x:v>
      </x:c>
      <x:c r="L358" s="4" t="str"/>
      <x:c r="M358" s="4" t="str">
        <x:v>未测</x:v>
      </x:c>
      <x:c r="N358" s="4" t="str"/>
      <x:c r="O358" s="4" t="str">
        <x:v>1. 来源：MainBasis/统一需求文档.md；U-user-home-003、U-user-home-006
2. 场景：SC-8e5b4665688f87</x:v>
      </x:c>
    </x:row>
    <x:row r="359" ht="54" customHeight="1">
      <x:c r="A359" s="4" t="n">
        <x:v>358</x:v>
      </x:c>
      <x:c r="B359" s="4" t="str">
        <x:v>USER-0358</x:v>
      </x:c>
      <x:c r="C359" s="4" t="str">
        <x:v>M02 发现、搜索、主页与平台榜单</x:v>
      </x:c>
      <x:c r="D359" s="4" t="str">
        <x:v>用户主页（用户视角）</x:v>
      </x:c>
      <x:c r="E359" s="4" t="str">
        <x:v>逻辑校验</x:v>
      </x:c>
      <x:c r="F359" s="4" t="str">
        <x:v>P1</x:v>
      </x:c>
      <x:c r="G359" s="4" t="str">
        <x:v>验证累计送出只计成功礼物</x:v>
      </x:c>
      <x:c r="H359" s="4" t="str">
        <x:v>累计送出只计成功礼物</x:v>
      </x:c>
      <x:c r="I359" s="4" t="str">
        <x:v>1. 已登录用户账号
2. 该账号成功赠送单价10数量2的礼物，另有价值30的失败赠礼</x:v>
      </x:c>
      <x:c r="J359" s="4" t="str">
        <x:v>1. 进入「用户主页」页
2. 查看累计送出只计成功礼物</x:v>
      </x:c>
      <x:c r="K359" s="4" t="str">
        <x:v>累计送出礼物价值 = 10 × 2 = 20</x:v>
      </x:c>
      <x:c r="L359" s="4" t="str"/>
      <x:c r="M359" s="4" t="str">
        <x:v>未测</x:v>
      </x:c>
      <x:c r="N359" s="4" t="str"/>
      <x:c r="O359" s="4" t="str">
        <x:v>1. 来源：MainBasis/统一需求文档.md；U-user-home-004、U-user-home-006
2. 场景：SC-9f15a27e269de6</x:v>
      </x:c>
    </x:row>
    <x:row r="360" ht="54" customHeight="1">
      <x:c r="A360" s="4" t="n">
        <x:v>359</x:v>
      </x:c>
      <x:c r="B360" s="4" t="str">
        <x:v>USER-0359</x:v>
      </x:c>
      <x:c r="C360" s="4" t="str">
        <x:v>M02 发现、搜索、主页与平台榜单</x:v>
      </x:c>
      <x:c r="D360" s="4" t="str">
        <x:v>用户主页（用户视角）</x:v>
      </x:c>
      <x:c r="E360" s="4" t="str">
        <x:v>功能需求</x:v>
      </x:c>
      <x:c r="F360" s="4" t="str">
        <x:v>P1</x:v>
      </x:c>
      <x:c r="G360" s="4" t="str">
        <x:v>验证关注不更改好友</x:v>
      </x:c>
      <x:c r="H360" s="4" t="str">
        <x:v>关注不更改好友</x:v>
      </x:c>
      <x:c r="I360" s="4" t="str">
        <x:v>1. 已登录用户账号
2. 尚未关注且非好友</x:v>
      </x:c>
      <x:c r="J360" s="4" t="str">
        <x:v>1. 进入「用户主页」页
2. 点击「关注」</x:v>
      </x:c>
      <x:c r="K360" s="4" t="str">
        <x:v>好友关系保持未建立</x:v>
      </x:c>
      <x:c r="L360" s="4" t="str"/>
      <x:c r="M360" s="4" t="str">
        <x:v>未测</x:v>
      </x:c>
      <x:c r="N360" s="4" t="str"/>
      <x:c r="O360" s="4" t="str">
        <x:v>1. 来源：MainBasis/统一需求文档.md；U-user-home-007、U-friend-list-008
2. 场景：SC-ce6f4232b29d66</x:v>
      </x:c>
    </x:row>
    <x:row r="361" ht="54" customHeight="1">
      <x:c r="A361" s="4" t="n">
        <x:v>360</x:v>
      </x:c>
      <x:c r="B361" s="4" t="str">
        <x:v>USER-0360</x:v>
      </x:c>
      <x:c r="C361" s="4" t="str">
        <x:v>M02 发现、搜索、主页与平台榜单</x:v>
      </x:c>
      <x:c r="D361" s="4" t="str">
        <x:v>用户主页（用户视角）</x:v>
      </x:c>
      <x:c r="E361" s="4" t="str">
        <x:v>功能需求</x:v>
      </x:c>
      <x:c r="F361" s="4" t="str">
        <x:v>P1</x:v>
      </x:c>
      <x:c r="G361" s="4" t="str">
        <x:v>验证取消关注不更改好友</x:v>
      </x:c>
      <x:c r="H361" s="4" t="str">
        <x:v>取消关注不更改好友</x:v>
      </x:c>
      <x:c r="I361" s="4" t="str">
        <x:v>1. 已登录用户账号
2. 已关注且为好友</x:v>
      </x:c>
      <x:c r="J361" s="4" t="str">
        <x:v>1. 进入「用户主页」页
2. 点击「取消关注」</x:v>
      </x:c>
      <x:c r="K361" s="4" t="str">
        <x:v>好友关系保持已建立</x:v>
      </x:c>
      <x:c r="L361" s="4" t="str"/>
      <x:c r="M361" s="4" t="str">
        <x:v>未测</x:v>
      </x:c>
      <x:c r="N361" s="4" t="str"/>
      <x:c r="O361" s="4" t="str">
        <x:v>1. 来源：MainBasis/统一需求文档.md；U-user-home-007、U-friend-list-008
2. 场景：SC-ce08b866250476</x:v>
      </x:c>
    </x:row>
    <x:row r="362" ht="82" customHeight="1">
      <x:c r="A362" s="4" t="n">
        <x:v>361</x:v>
      </x:c>
      <x:c r="B362" s="4" t="str">
        <x:v>USER-0361</x:v>
      </x:c>
      <x:c r="C362" s="4" t="str">
        <x:v>M02 发现、搜索、主页与平台榜单</x:v>
      </x:c>
      <x:c r="D362" s="4" t="str">
        <x:v>用户主页（用户视角）</x:v>
      </x:c>
      <x:c r="E362" s="4" t="str">
        <x:v>功能需求</x:v>
      </x:c>
      <x:c r="F362" s="4" t="str">
        <x:v>P1</x:v>
      </x:c>
      <x:c r="G362" s="4" t="str">
        <x:v>验证删除好友确认</x:v>
      </x:c>
      <x:c r="H362" s="4" t="str">
        <x:v>删除好友确认</x:v>
      </x:c>
      <x:c r="I362" s="4" t="str">
        <x:v>1. 已登录用户账号
2. 与对象互为好友，已关注且有聊天记录</x:v>
      </x:c>
      <x:c r="J362" s="4" t="str">
        <x:v>1. 进入「用户主页」页
2. 点击删除好友
3. 点击确认</x:v>
      </x:c>
      <x:c r="K362" s="4" t="str">
        <x:v>该对象好友状态变为未建立</x:v>
      </x:c>
      <x:c r="L362" s="4" t="str"/>
      <x:c r="M362" s="4" t="str">
        <x:v>未测</x:v>
      </x:c>
      <x:c r="N362" s="4" t="str"/>
      <x:c r="O362" s="4" t="str">
        <x:v>1. 来源：MainBasis/统一需求文档.md；U-user-home-011、U-views_user-home_friend-005、U-views_user-home_friend-007、U-direct-message-006、D-SYS-096
2. 场景：SC-f1ce2930408b46</x:v>
      </x:c>
    </x:row>
    <x:row r="363" ht="82" customHeight="1">
      <x:c r="A363" s="4" t="n">
        <x:v>362</x:v>
      </x:c>
      <x:c r="B363" s="4" t="str">
        <x:v>USER-0362</x:v>
      </x:c>
      <x:c r="C363" s="4" t="str">
        <x:v>M02 发现、搜索、主页与平台榜单</x:v>
      </x:c>
      <x:c r="D363" s="4" t="str">
        <x:v>用户主页（用户视角）</x:v>
      </x:c>
      <x:c r="E363" s="4" t="str">
        <x:v>功能需求</x:v>
      </x:c>
      <x:c r="F363" s="4" t="str">
        <x:v>P1</x:v>
      </x:c>
      <x:c r="G363" s="4" t="str">
        <x:v>验证删除好友取消</x:v>
      </x:c>
      <x:c r="H363" s="4" t="str">
        <x:v>删除好友取消</x:v>
      </x:c>
      <x:c r="I363" s="4" t="str">
        <x:v>1. 已登录用户账号
2. 与对象互为好友，已关注且有聊天记录</x:v>
      </x:c>
      <x:c r="J363" s="4" t="str">
        <x:v>1. 进入「用户主页」页
2. 点击删除好友
3. 点击取消</x:v>
      </x:c>
      <x:c r="K363" s="4" t="str">
        <x:v>好友关系保留</x:v>
      </x:c>
      <x:c r="L363" s="4" t="str"/>
      <x:c r="M363" s="4" t="str">
        <x:v>未测</x:v>
      </x:c>
      <x:c r="N363" s="4" t="str"/>
      <x:c r="O363" s="4" t="str">
        <x:v>1. 来源：MainBasis/统一需求文档.md；U-user-home-011、U-views_user-home_friend-005、U-views_user-home_friend-007、U-direct-message-006、D-SYS-096
2. 场景：SC-499edbfca38a42</x:v>
      </x:c>
    </x:row>
    <x:row r="364" ht="54" customHeight="1">
      <x:c r="A364" s="4" t="n">
        <x:v>363</x:v>
      </x:c>
      <x:c r="B364" s="4" t="str">
        <x:v>USER-0363</x:v>
      </x:c>
      <x:c r="C364" s="4" t="str">
        <x:v>M02 发现、搜索、主页与平台榜单</x:v>
      </x:c>
      <x:c r="D364" s="4" t="str">
        <x:v>用户主页（用户视角）</x:v>
      </x:c>
      <x:c r="E364" s="4" t="str">
        <x:v>功能需求</x:v>
      </x:c>
      <x:c r="F364" s="4" t="str">
        <x:v>P1</x:v>
      </x:c>
      <x:c r="G364" s="4" t="str">
        <x:v>验证关注增加本人关注数</x:v>
      </x:c>
      <x:c r="H364" s="4" t="str">
        <x:v>关注增加本人关注数</x:v>
      </x:c>
      <x:c r="I364" s="4" t="str">
        <x:v>1. 已登录用户账号
2. 我原关注数1、对方原粉丝数2，双方未拉黑</x:v>
      </x:c>
      <x:c r="J364" s="4" t="str">
        <x:v>1. 进入「用户主页」页
2. 点击关注
3. 返回我的个人页</x:v>
      </x:c>
      <x:c r="K364" s="4" t="str">
        <x:v>我的关注数变为2</x:v>
      </x:c>
      <x:c r="L364" s="4" t="str"/>
      <x:c r="M364" s="4" t="str">
        <x:v>未测</x:v>
      </x:c>
      <x:c r="N364" s="4" t="str"/>
      <x:c r="O364" s="4" t="str">
        <x:v>1. 来源：MainBasis/统一需求文档.md；D-SYS-094、U-user-home-010
2. 场景：SC-61623d46b0c426</x:v>
      </x:c>
    </x:row>
    <x:row r="365" ht="54" customHeight="1">
      <x:c r="A365" s="4" t="n">
        <x:v>364</x:v>
      </x:c>
      <x:c r="B365" s="4" t="str">
        <x:v>USER-0364</x:v>
      </x:c>
      <x:c r="C365" s="4" t="str">
        <x:v>M02 发现、搜索、主页与平台榜单</x:v>
      </x:c>
      <x:c r="D365" s="4" t="str">
        <x:v>好友（用户视角）</x:v>
      </x:c>
      <x:c r="E365" s="4" t="str">
        <x:v>功能需求</x:v>
      </x:c>
      <x:c r="F365" s="4" t="str">
        <x:v>P2</x:v>
      </x:c>
      <x:c r="G365" s="4" t="str">
        <x:v>验证账号资料、社交数据回显</x:v>
      </x:c>
      <x:c r="H365" s="4" t="str">
        <x:v>账号资料、社交数据回显</x:v>
      </x:c>
      <x:c r="I365" s="4" t="str">
        <x:v>1. 已登录用户账号
2. 所选对象存在，已记录该对象的账号资料 / 社交数据值</x:v>
      </x:c>
      <x:c r="J365" s="4" t="str">
        <x:v>1. 进入「用户主页」页
2. 打开「好友」视图
3. 查看账号资料、社交数据回显</x:v>
      </x:c>
      <x:c r="K365" s="4" t="str">
        <x:v>「账号资料 / 社交数据」内容与所选对象的该项资料一致</x:v>
      </x:c>
      <x:c r="L365" s="4" t="str"/>
      <x:c r="M365" s="4" t="str">
        <x:v>未测</x:v>
      </x:c>
      <x:c r="N365" s="4" t="str"/>
      <x:c r="O365" s="4" t="str">
        <x:v>1. 来源：MainBasis/统一需求文档.md；U-views_user-home_friend-002
2. 场景：SC-7144b738a741c2</x:v>
      </x:c>
    </x:row>
    <x:row r="366" ht="54" customHeight="1">
      <x:c r="A366" s="4" t="n">
        <x:v>365</x:v>
      </x:c>
      <x:c r="B366" s="4" t="str">
        <x:v>USER-0365</x:v>
      </x:c>
      <x:c r="C366" s="4" t="str">
        <x:v>M02 发现、搜索、主页与平台榜单</x:v>
      </x:c>
      <x:c r="D366" s="4" t="str">
        <x:v>好友（用户视角）</x:v>
      </x:c>
      <x:c r="E366" s="4" t="str">
        <x:v>功能需求</x:v>
      </x:c>
      <x:c r="F366" s="4" t="str">
        <x:v>P2</x:v>
      </x:c>
      <x:c r="G366" s="4" t="str">
        <x:v>验证好友状态回显</x:v>
      </x:c>
      <x:c r="H366" s="4" t="str">
        <x:v>好友状态回显</x:v>
      </x:c>
      <x:c r="I366" s="4" t="str">
        <x:v>1. 已登录用户账号
2. 所选对象存在，已记录该对象的好友状态值</x:v>
      </x:c>
      <x:c r="J366" s="4" t="str">
        <x:v>1. 进入「用户主页」页
2. 打开「好友」视图
3. 查看好友状态回显</x:v>
      </x:c>
      <x:c r="K366" s="4" t="str">
        <x:v>「好友状态」内容与所选对象的该项资料一致</x:v>
      </x:c>
      <x:c r="L366" s="4" t="str"/>
      <x:c r="M366" s="4" t="str">
        <x:v>未测</x:v>
      </x:c>
      <x:c r="N366" s="4" t="str"/>
      <x:c r="O366" s="4" t="str">
        <x:v>1. 来源：MainBasis/统一需求文档.md；U-views_user-home_friend-003
2. 场景：SC-2b18a5a8fff28b</x:v>
      </x:c>
    </x:row>
    <x:row r="367" ht="82" customHeight="1">
      <x:c r="A367" s="4" t="n">
        <x:v>366</x:v>
      </x:c>
      <x:c r="B367" s="4" t="str">
        <x:v>USER-0366</x:v>
      </x:c>
      <x:c r="C367" s="4" t="str">
        <x:v>M02 发现、搜索、主页与平台榜单</x:v>
      </x:c>
      <x:c r="D367" s="4" t="str">
        <x:v>好友（用户视角）</x:v>
      </x:c>
      <x:c r="E367" s="4" t="str">
        <x:v>功能需求</x:v>
      </x:c>
      <x:c r="F367" s="4" t="str">
        <x:v>P1</x:v>
      </x:c>
      <x:c r="G367" s="4" t="str">
        <x:v>验证删除好友后的关注关系</x:v>
      </x:c>
      <x:c r="H367" s="4" t="str">
        <x:v>删除好友后的关注关系</x:v>
      </x:c>
      <x:c r="I367" s="4" t="str">
        <x:v>1. 已登录用户账号
2. 与对象互为好友且已关注，有聊天记录</x:v>
      </x:c>
      <x:c r="J367" s="4" t="str">
        <x:v>1. 进入「用户主页」页
2. 打开「好友」视图
3. 点击删除好友
4. 确认删除
5. 查看主页关注状态</x:v>
      </x:c>
      <x:c r="K367" s="4" t="str">
        <x:v>仍显示已关注</x:v>
      </x:c>
      <x:c r="L367" s="4" t="str"/>
      <x:c r="M367" s="4" t="str">
        <x:v>未测</x:v>
      </x:c>
      <x:c r="N367" s="4" t="str"/>
      <x:c r="O367" s="4" t="str">
        <x:v>1. 来源：MainBasis/统一需求文档.md；U-views_user-home_friend-005、U-views_user-home_friend-007、U-direct-message-006、D-SYS-096
2. 场景：SC-be302c96ae7b00</x:v>
      </x:c>
    </x:row>
    <x:row r="368" ht="82" customHeight="1">
      <x:c r="A368" s="4" t="n">
        <x:v>367</x:v>
      </x:c>
      <x:c r="B368" s="4" t="str">
        <x:v>USER-0367</x:v>
      </x:c>
      <x:c r="C368" s="4" t="str">
        <x:v>M02 发现、搜索、主页与平台榜单</x:v>
      </x:c>
      <x:c r="D368" s="4" t="str">
        <x:v>好友（用户视角）</x:v>
      </x:c>
      <x:c r="E368" s="4" t="str">
        <x:v>功能需求</x:v>
      </x:c>
      <x:c r="F368" s="4" t="str">
        <x:v>P1</x:v>
      </x:c>
      <x:c r="G368" s="4" t="str">
        <x:v>验证删除好友后的聊天记录</x:v>
      </x:c>
      <x:c r="H368" s="4" t="str">
        <x:v>删除好友后的聊天记录</x:v>
      </x:c>
      <x:c r="I368" s="4" t="str">
        <x:v>1. 已登录用户账号
2. 与对象互为好友且已关注，有聊天记录</x:v>
      </x:c>
      <x:c r="J368" s="4" t="str">
        <x:v>1. 进入「用户主页」页
2. 打开「好友」视图
3. 点击删除好友
4. 确认删除
5. 进入与该对象的私信</x:v>
      </x:c>
      <x:c r="K368" s="4" t="str">
        <x:v>会话内原聊天记录已清空</x:v>
      </x:c>
      <x:c r="L368" s="4" t="str"/>
      <x:c r="M368" s="4" t="str">
        <x:v>未测</x:v>
      </x:c>
      <x:c r="N368" s="4" t="str"/>
      <x:c r="O368" s="4" t="str">
        <x:v>1. 来源：MainBasis/统一需求文档.md；U-views_user-home_friend-005、U-views_user-home_friend-007、U-direct-message-006、D-SYS-096
2. 场景：SC-c4d298516b9588</x:v>
      </x:c>
    </x:row>
    <x:row r="369" ht="54" customHeight="1">
      <x:c r="A369" s="4" t="n">
        <x:v>368</x:v>
      </x:c>
      <x:c r="B369" s="4" t="str">
        <x:v>USER-0368</x:v>
      </x:c>
      <x:c r="C369" s="4" t="str">
        <x:v>M02 发现、搜索、主页与平台榜单</x:v>
      </x:c>
      <x:c r="D369" s="4" t="str">
        <x:v>拉黑（用户视角）</x:v>
      </x:c>
      <x:c r="E369" s="4" t="str">
        <x:v>功能需求</x:v>
      </x:c>
      <x:c r="F369" s="4" t="str">
        <x:v>P2</x:v>
      </x:c>
      <x:c r="G369" s="4" t="str">
        <x:v>验证账号资料回显</x:v>
      </x:c>
      <x:c r="H369" s="4" t="str">
        <x:v>账号资料回显</x:v>
      </x:c>
      <x:c r="I369" s="4" t="str">
        <x:v>1. 已登录用户账号
2. 所选对象存在，已记录该对象的账号资料值</x:v>
      </x:c>
      <x:c r="J369" s="4" t="str">
        <x:v>1. 进入「用户主页」页
2. 打开「拉黑」视图
3. 查看账号资料回显</x:v>
      </x:c>
      <x:c r="K369" s="4" t="str">
        <x:v>「账号资料」内容与所选对象的该项资料一致</x:v>
      </x:c>
      <x:c r="L369" s="4" t="str"/>
      <x:c r="M369" s="4" t="str">
        <x:v>未测</x:v>
      </x:c>
      <x:c r="N369" s="4" t="str"/>
      <x:c r="O369" s="4" t="str">
        <x:v>1. 来源：MainBasis/统一需求文档.md；U-views_user-home_blocked-002
2. 场景：SC-80b33a9c6488a6</x:v>
      </x:c>
    </x:row>
    <x:row r="370" ht="54" customHeight="1">
      <x:c r="A370" s="4" t="n">
        <x:v>369</x:v>
      </x:c>
      <x:c r="B370" s="4" t="str">
        <x:v>USER-0369</x:v>
      </x:c>
      <x:c r="C370" s="4" t="str">
        <x:v>M02 发现、搜索、主页与平台榜单</x:v>
      </x:c>
      <x:c r="D370" s="4" t="str">
        <x:v>拉黑（用户视角）</x:v>
      </x:c>
      <x:c r="E370" s="4" t="str">
        <x:v>功能需求</x:v>
      </x:c>
      <x:c r="F370" s="4" t="str">
        <x:v>P2</x:v>
      </x:c>
      <x:c r="G370" s="4" t="str">
        <x:v>验证拉黑状态资料对应</x:v>
      </x:c>
      <x:c r="H370" s="4" t="str">
        <x:v>拉黑状态资料对应</x:v>
      </x:c>
      <x:c r="I370" s="4" t="str">
        <x:v>1. 已登录用户账号
2. 已选中一条已存在记录，已记录其拉黑状态原始值</x:v>
      </x:c>
      <x:c r="J370" s="4" t="str">
        <x:v>1. 进入「用户主页」页
2. 打开「拉黑」视图
3. 查看拉黑状态资料对应</x:v>
      </x:c>
      <x:c r="K370" s="4" t="str">
        <x:v>页面拉黑状态与所选记录一致：当前账号已拉黑该对象，隐藏关注、好友和私信操作</x:v>
      </x:c>
      <x:c r="L370" s="4" t="str"/>
      <x:c r="M370" s="4" t="str">
        <x:v>未测</x:v>
      </x:c>
      <x:c r="N370" s="4" t="str"/>
      <x:c r="O370" s="4" t="str">
        <x:v>1. 来源：MainBasis/统一需求文档.md；U-views_user-home_blocked-003
2. 场景：SC-fca12dbd702033</x:v>
      </x:c>
    </x:row>
    <x:row r="371" ht="54" customHeight="1">
      <x:c r="A371" s="4" t="n">
        <x:v>370</x:v>
      </x:c>
      <x:c r="B371" s="4" t="str">
        <x:v>USER-0370</x:v>
      </x:c>
      <x:c r="C371" s="4" t="str">
        <x:v>M02 发现、搜索、主页与平台榜单</x:v>
      </x:c>
      <x:c r="D371" s="4" t="str">
        <x:v>拉黑（用户视角）</x:v>
      </x:c>
      <x:c r="E371" s="4" t="str">
        <x:v>功能需求</x:v>
      </x:c>
      <x:c r="F371" s="4" t="str">
        <x:v>P1</x:v>
      </x:c>
      <x:c r="G371" s="4" t="str">
        <x:v>验证拉黑主页隐藏社交操作</x:v>
      </x:c>
      <x:c r="H371" s="4" t="str">
        <x:v>拉黑主页隐藏社交操作</x:v>
      </x:c>
      <x:c r="I371" s="4" t="str">
        <x:v>1. 已登录用户账号
2. 当前已拉黑所查看账号</x:v>
      </x:c>
      <x:c r="J371" s="4" t="str">
        <x:v>1. 进入「用户主页」页
2. 打开「拉黑」视图
3. 查看拉黑主页隐藏社交操作</x:v>
      </x:c>
      <x:c r="K371" s="4" t="str">
        <x:v>隐藏关注、好友和私信操作</x:v>
      </x:c>
      <x:c r="L371" s="4" t="str"/>
      <x:c r="M371" s="4" t="str">
        <x:v>未测</x:v>
      </x:c>
      <x:c r="N371" s="4" t="str"/>
      <x:c r="O371" s="4" t="str">
        <x:v>1. 来源：MainBasis/统一需求文档.md；U-views_user-home_blocked-007
2. 场景：SC-f361c751683a57</x:v>
      </x:c>
    </x:row>
    <x:row r="372" ht="54" customHeight="1">
      <x:c r="A372" s="4" t="n">
        <x:v>371</x:v>
      </x:c>
      <x:c r="B372" s="4" t="str">
        <x:v>USER-0371</x:v>
      </x:c>
      <x:c r="C372" s="4" t="str">
        <x:v>M02 发现、搜索、主页与平台榜单</x:v>
      </x:c>
      <x:c r="D372" s="4" t="str">
        <x:v>拉黑确认（用户视角）</x:v>
      </x:c>
      <x:c r="E372" s="4" t="str">
        <x:v>功能需求</x:v>
      </x:c>
      <x:c r="F372" s="4" t="str">
        <x:v>P2</x:v>
      </x:c>
      <x:c r="G372" s="4" t="str">
        <x:v>验证确认对象回显</x:v>
      </x:c>
      <x:c r="H372" s="4" t="str">
        <x:v>确认对象回显</x:v>
      </x:c>
      <x:c r="I372" s="4" t="str">
        <x:v>1. 已登录用户账号
2. 所选对象存在，已记录该对象的确认对象值</x:v>
      </x:c>
      <x:c r="J372" s="4" t="str">
        <x:v>1. 进入「用户主页」页
2. 打开「拉黑确认」视图
3. 查看确认对象回显</x:v>
      </x:c>
      <x:c r="K372" s="4" t="str">
        <x:v>「确认对象」内容与所选对象的该项资料一致</x:v>
      </x:c>
      <x:c r="L372" s="4" t="str"/>
      <x:c r="M372" s="4" t="str">
        <x:v>未测</x:v>
      </x:c>
      <x:c r="N372" s="4" t="str"/>
      <x:c r="O372" s="4" t="str">
        <x:v>1. 来源：MainBasis/统一需求文档.md；U-views_user-home_block-confirm-002
2. 场景：SC-f4d38da80b8e05</x:v>
      </x:c>
    </x:row>
    <x:row r="373" ht="54" customHeight="1">
      <x:c r="A373" s="4" t="n">
        <x:v>372</x:v>
      </x:c>
      <x:c r="B373" s="4" t="str">
        <x:v>USER-0372</x:v>
      </x:c>
      <x:c r="C373" s="4" t="str">
        <x:v>M02 发现、搜索、主页与平台榜单</x:v>
      </x:c>
      <x:c r="D373" s="4" t="str">
        <x:v>拉黑确认（用户视角）</x:v>
      </x:c>
      <x:c r="E373" s="4" t="str">
        <x:v>功能需求</x:v>
      </x:c>
      <x:c r="F373" s="4" t="str">
        <x:v>P2</x:v>
      </x:c>
      <x:c r="G373" s="4" t="str">
        <x:v>验证后果说明回显</x:v>
      </x:c>
      <x:c r="H373" s="4" t="str">
        <x:v>后果说明回显</x:v>
      </x:c>
      <x:c r="I373" s="4" t="str">
        <x:v>1. 已登录用户账号
2. 所选对象存在，已记录该对象的后果说明值</x:v>
      </x:c>
      <x:c r="J373" s="4" t="str">
        <x:v>1. 进入「用户主页」页
2. 打开「拉黑确认」视图
3. 查看后果说明回显</x:v>
      </x:c>
      <x:c r="K373" s="4" t="str">
        <x:v>「后果说明」内容与所选对象的该项资料一致</x:v>
      </x:c>
      <x:c r="L373" s="4" t="str"/>
      <x:c r="M373" s="4" t="str">
        <x:v>未测</x:v>
      </x:c>
      <x:c r="N373" s="4" t="str"/>
      <x:c r="O373" s="4" t="str">
        <x:v>1. 来源：MainBasis/统一需求文档.md；U-views_user-home_block-confirm-003
2. 场景：SC-ddbe86883cea97</x:v>
      </x:c>
    </x:row>
    <x:row r="374" ht="82" customHeight="1">
      <x:c r="A374" s="4" t="n">
        <x:v>373</x:v>
      </x:c>
      <x:c r="B374" s="4" t="str">
        <x:v>USER-0373</x:v>
      </x:c>
      <x:c r="C374" s="4" t="str">
        <x:v>M02 发现、搜索、主页与平台榜单</x:v>
      </x:c>
      <x:c r="D374" s="4" t="str">
        <x:v>拉黑确认（用户视角）</x:v>
      </x:c>
      <x:c r="E374" s="4" t="str">
        <x:v>功能需求</x:v>
      </x:c>
      <x:c r="F374" s="4" t="str">
        <x:v>P1</x:v>
      </x:c>
      <x:c r="G374" s="4" t="str">
        <x:v>验证用户主页拉黑取消</x:v>
      </x:c>
      <x:c r="H374" s="4" t="str">
        <x:v>用户主页拉黑取消</x:v>
      </x:c>
      <x:c r="I374" s="4" t="str">
        <x:v>1. 已登录用户账号
2. 与当前对象已有好友及关注关系</x:v>
      </x:c>
      <x:c r="J374" s="4" t="str">
        <x:v>1. 进入「用户主页」页
2. 打开「拉黑确认」视图
3. 点击「取消」</x:v>
      </x:c>
      <x:c r="K374" s="4" t="str">
        <x:v>好友和关注关系保持原值</x:v>
      </x:c>
      <x:c r="L374" s="4" t="str">
        <x:v>FLOW-EEC990CE</x:v>
      </x:c>
      <x:c r="M374" s="4" t="str">
        <x:v>未测</x:v>
      </x:c>
      <x:c r="N374" s="4" t="str"/>
      <x:c r="O374" s="4" t="str">
        <x:v>1. 来源：MainBasis/统一需求文档.md；U-views_user-home_block-confirm-005、U-user-home-012
2. 场景：SC-5001668d8fb4e4
3. 状态转换：ST-433E3B969C50</x:v>
      </x:c>
    </x:row>
    <x:row r="375" ht="82" customHeight="1">
      <x:c r="A375" s="4" t="n">
        <x:v>374</x:v>
      </x:c>
      <x:c r="B375" s="4" t="str">
        <x:v>USER-0374</x:v>
      </x:c>
      <x:c r="C375" s="4" t="str">
        <x:v>M02 发现、搜索、主页与平台榜单</x:v>
      </x:c>
      <x:c r="D375" s="4" t="str">
        <x:v>拉黑确认（用户视角）</x:v>
      </x:c>
      <x:c r="E375" s="4" t="str">
        <x:v>功能需求</x:v>
      </x:c>
      <x:c r="F375" s="4" t="str">
        <x:v>P1</x:v>
      </x:c>
      <x:c r="G375" s="4" t="str">
        <x:v>验证用户主页拉黑关闭</x:v>
      </x:c>
      <x:c r="H375" s="4" t="str">
        <x:v>用户主页拉黑关闭</x:v>
      </x:c>
      <x:c r="I375" s="4" t="str">
        <x:v>1. 已登录用户账号
2. 与当前对象已有好友及关注关系</x:v>
      </x:c>
      <x:c r="J375" s="4" t="str">
        <x:v>1. 进入「用户主页」页
2. 打开「拉黑确认」视图
3. 点击「关闭」</x:v>
      </x:c>
      <x:c r="K375" s="4" t="str">
        <x:v>好友和关注关系保持原值</x:v>
      </x:c>
      <x:c r="L375" s="4" t="str">
        <x:v>FLOW-EEC990CE</x:v>
      </x:c>
      <x:c r="M375" s="4" t="str">
        <x:v>未测</x:v>
      </x:c>
      <x:c r="N375" s="4" t="str"/>
      <x:c r="O375" s="4" t="str">
        <x:v>1. 来源：MainBasis/统一需求文档.md；U-views_user-home_block-confirm-005、U-user-home-012
2. 场景：SC-6509dadc850e95
3. 状态转换：ST-433E3B969C50</x:v>
      </x:c>
    </x:row>
    <x:row r="376" ht="82" customHeight="1">
      <x:c r="A376" s="4" t="n">
        <x:v>375</x:v>
      </x:c>
      <x:c r="B376" s="4" t="str">
        <x:v>USER-0375</x:v>
      </x:c>
      <x:c r="C376" s="4" t="str">
        <x:v>M02 发现、搜索、主页与平台榜单</x:v>
      </x:c>
      <x:c r="D376" s="4" t="str">
        <x:v>拉黑确认（用户视角）</x:v>
      </x:c>
      <x:c r="E376" s="4" t="str">
        <x:v>功能需求</x:v>
      </x:c>
      <x:c r="F376" s="4" t="str">
        <x:v>P1</x:v>
      </x:c>
      <x:c r="G376" s="4" t="str">
        <x:v>验证用户主页拉黑确认拉黑</x:v>
      </x:c>
      <x:c r="H376" s="4" t="str">
        <x:v>用户主页拉黑确认拉黑</x:v>
      </x:c>
      <x:c r="I376" s="4" t="str">
        <x:v>1. 已登录用户账号
2. 与当前对象已有好友及关注关系</x:v>
      </x:c>
      <x:c r="J376" s="4" t="str">
        <x:v>1. 进入「用户主页」页
2. 打开「拉黑确认」视图
3. 点击「确认拉黑」</x:v>
      </x:c>
      <x:c r="K376" s="4" t="str">
        <x:v>主页显示拉黑状态</x:v>
      </x:c>
      <x:c r="L376" s="4" t="str">
        <x:v>FLOW-EEC990CE</x:v>
      </x:c>
      <x:c r="M376" s="4" t="str">
        <x:v>未测</x:v>
      </x:c>
      <x:c r="N376" s="4" t="str"/>
      <x:c r="O376" s="4" t="str">
        <x:v>1. 来源：MainBasis/统一需求文档.md；U-views_user-home_block-confirm-005、U-user-home-012
2. 场景：SC-370821c90f50de
3. 状态转换：ST-433E3B969C50</x:v>
      </x:c>
    </x:row>
    <x:row r="377" ht="54" customHeight="1">
      <x:c r="A377" s="4" t="n">
        <x:v>376</x:v>
      </x:c>
      <x:c r="B377" s="4" t="str">
        <x:v>USER-0376</x:v>
      </x:c>
      <x:c r="C377" s="4" t="str">
        <x:v>M02 发现、搜索、主页与平台榜单</x:v>
      </x:c>
      <x:c r="D377" s="4" t="str">
        <x:v>主播主页（用户视角）</x:v>
      </x:c>
      <x:c r="E377" s="4" t="str">
        <x:v>功能需求</x:v>
      </x:c>
      <x:c r="F377" s="4" t="str">
        <x:v>P2</x:v>
      </x:c>
      <x:c r="G377" s="4" t="str">
        <x:v>验证主播资料回显</x:v>
      </x:c>
      <x:c r="H377" s="4" t="str">
        <x:v>主播资料回显</x:v>
      </x:c>
      <x:c r="I377" s="4" t="str">
        <x:v>1. 已登录用户账号
2. 所选对象存在，已记录该对象的主播资料值</x:v>
      </x:c>
      <x:c r="J377" s="4" t="str">
        <x:v>1. 进入「主播主页」页
2. 查看主播资料回显</x:v>
      </x:c>
      <x:c r="K377" s="4" t="str">
        <x:v>「主播资料」内容与所选对象的该项资料一致</x:v>
      </x:c>
      <x:c r="L377" s="4" t="str"/>
      <x:c r="M377" s="4" t="str">
        <x:v>未测</x:v>
      </x:c>
      <x:c r="N377" s="4" t="str"/>
      <x:c r="O377" s="4" t="str">
        <x:v>1. 来源：MainBasis/统一需求文档.md；U-host-home-002
2. 场景：SC-4b0e107333c20f</x:v>
      </x:c>
    </x:row>
    <x:row r="378" ht="54" customHeight="1">
      <x:c r="A378" s="4" t="n">
        <x:v>377</x:v>
      </x:c>
      <x:c r="B378" s="4" t="str">
        <x:v>USER-0377</x:v>
      </x:c>
      <x:c r="C378" s="4" t="str">
        <x:v>M02 发现、搜索、主页与平台榜单</x:v>
      </x:c>
      <x:c r="D378" s="4" t="str">
        <x:v>主播主页（用户视角）</x:v>
      </x:c>
      <x:c r="E378" s="4" t="str">
        <x:v>功能需求</x:v>
      </x:c>
      <x:c r="F378" s="4" t="str">
        <x:v>P2</x:v>
      </x:c>
      <x:c r="G378" s="4" t="str">
        <x:v>验证粉丝团回显</x:v>
      </x:c>
      <x:c r="H378" s="4" t="str">
        <x:v>粉丝团回显</x:v>
      </x:c>
      <x:c r="I378" s="4" t="str">
        <x:v>1. 已登录用户账号
2. 所选对象存在，已记录该对象的粉丝团值</x:v>
      </x:c>
      <x:c r="J378" s="4" t="str">
        <x:v>1. 进入「主播主页」页
2. 查看粉丝团回显</x:v>
      </x:c>
      <x:c r="K378" s="4" t="str">
        <x:v>「粉丝团」内容与所选对象的该项资料一致</x:v>
      </x:c>
      <x:c r="L378" s="4" t="str"/>
      <x:c r="M378" s="4" t="str">
        <x:v>未测</x:v>
      </x:c>
      <x:c r="N378" s="4" t="str"/>
      <x:c r="O378" s="4" t="str">
        <x:v>1. 来源：MainBasis/统一需求文档.md；U-host-home-005
2. 场景：SC-55bcc111cf2c3f</x:v>
      </x:c>
    </x:row>
    <x:row r="379" ht="54" customHeight="1">
      <x:c r="A379" s="4" t="n">
        <x:v>378</x:v>
      </x:c>
      <x:c r="B379" s="4" t="str">
        <x:v>USER-0378</x:v>
      </x:c>
      <x:c r="C379" s="4" t="str">
        <x:v>M02 发现、搜索、主页与平台榜单</x:v>
      </x:c>
      <x:c r="D379" s="4" t="str">
        <x:v>主播主页（用户视角）</x:v>
      </x:c>
      <x:c r="E379" s="4" t="str">
        <x:v>功能需求</x:v>
      </x:c>
      <x:c r="F379" s="4" t="str">
        <x:v>P2</x:v>
      </x:c>
      <x:c r="G379" s="4" t="str">
        <x:v>验证关系状态回显</x:v>
      </x:c>
      <x:c r="H379" s="4" t="str">
        <x:v>关系状态回显</x:v>
      </x:c>
      <x:c r="I379" s="4" t="str">
        <x:v>1. 已登录用户账号
2. 所选对象存在，已记录该对象的关系状态值</x:v>
      </x:c>
      <x:c r="J379" s="4" t="str">
        <x:v>1. 进入「主播主页」页
2. 查看关系状态回显</x:v>
      </x:c>
      <x:c r="K379" s="4" t="str">
        <x:v>「关系状态」内容与所选对象的该项资料一致</x:v>
      </x:c>
      <x:c r="L379" s="4" t="str"/>
      <x:c r="M379" s="4" t="str">
        <x:v>未测</x:v>
      </x:c>
      <x:c r="N379" s="4" t="str"/>
      <x:c r="O379" s="4" t="str">
        <x:v>1. 来源：MainBasis/统一需求文档.md；U-host-home-006
2. 场景：SC-fef09b6da71e09</x:v>
      </x:c>
    </x:row>
    <x:row r="380" ht="54" customHeight="1">
      <x:c r="A380" s="4" t="n">
        <x:v>379</x:v>
      </x:c>
      <x:c r="B380" s="4" t="str">
        <x:v>USER-0379</x:v>
      </x:c>
      <x:c r="C380" s="4" t="str">
        <x:v>M02 发现、搜索、主页与平台榜单</x:v>
      </x:c>
      <x:c r="D380" s="4" t="str">
        <x:v>主播主页（用户视角）</x:v>
      </x:c>
      <x:c r="E380" s="4" t="str">
        <x:v>功能需求</x:v>
      </x:c>
      <x:c r="F380" s="4" t="str">
        <x:v>P1</x:v>
      </x:c>
      <x:c r="G380" s="4" t="str">
        <x:v>验证主播主页取消关注</x:v>
      </x:c>
      <x:c r="H380" s="4" t="str">
        <x:v>主播主页取消关注</x:v>
      </x:c>
      <x:c r="I380" s="4" t="str">
        <x:v>1. 已登录用户账号
2. 当前已关注该对象，已记录其粉丝数</x:v>
      </x:c>
      <x:c r="J380" s="4" t="str">
        <x:v>1. 进入「主播主页」页
2. 点击「取消关注」</x:v>
      </x:c>
      <x:c r="K380" s="4" t="str">
        <x:v>该对象粉丝数减1</x:v>
      </x:c>
      <x:c r="L380" s="4" t="str"/>
      <x:c r="M380" s="4" t="str">
        <x:v>未测</x:v>
      </x:c>
      <x:c r="N380" s="4" t="str"/>
      <x:c r="O380" s="4" t="str">
        <x:v>1. 来源：MainBasis/统一需求文档.md；U-user-home-010
2. 场景：SC-4cecf8702954e8</x:v>
      </x:c>
    </x:row>
    <x:row r="381" ht="54" customHeight="1">
      <x:c r="A381" s="4" t="n">
        <x:v>380</x:v>
      </x:c>
      <x:c r="B381" s="4" t="str">
        <x:v>USER-0380</x:v>
      </x:c>
      <x:c r="C381" s="4" t="str">
        <x:v>M02 发现、搜索、主页与平台榜单</x:v>
      </x:c>
      <x:c r="D381" s="4" t="str">
        <x:v>主播主页（用户视角）</x:v>
      </x:c>
      <x:c r="E381" s="4" t="str">
        <x:v>功能需求</x:v>
      </x:c>
      <x:c r="F381" s="4" t="str">
        <x:v>P1</x:v>
      </x:c>
      <x:c r="G381" s="4" t="str">
        <x:v>验证主播主页关注</x:v>
      </x:c>
      <x:c r="H381" s="4" t="str">
        <x:v>主播主页关注</x:v>
      </x:c>
      <x:c r="I381" s="4" t="str">
        <x:v>1. 已登录用户账号
2. 当前未关注该对象，已记录其粉丝数</x:v>
      </x:c>
      <x:c r="J381" s="4" t="str">
        <x:v>1. 进入「主播主页」页
2. 点击「关注」</x:v>
      </x:c>
      <x:c r="K381" s="4" t="str">
        <x:v>该对象粉丝数加1</x:v>
      </x:c>
      <x:c r="L381" s="4" t="str"/>
      <x:c r="M381" s="4" t="str">
        <x:v>未测</x:v>
      </x:c>
      <x:c r="N381" s="4" t="str"/>
      <x:c r="O381" s="4" t="str">
        <x:v>1. 来源：MainBasis/统一需求文档.md；U-user-home-010
2. 场景：SC-6f842b8d128e5b</x:v>
      </x:c>
    </x:row>
    <x:row r="382" ht="54" customHeight="1">
      <x:c r="A382" s="4" t="n">
        <x:v>381</x:v>
      </x:c>
      <x:c r="B382" s="4" t="str">
        <x:v>USER-0381</x:v>
      </x:c>
      <x:c r="C382" s="4" t="str">
        <x:v>M02 发现、搜索、主页与平台榜单</x:v>
      </x:c>
      <x:c r="D382" s="4" t="str">
        <x:v>主播主页（用户视角）</x:v>
      </x:c>
      <x:c r="E382" s="4" t="str">
        <x:v>功能需求</x:v>
      </x:c>
      <x:c r="F382" s="4" t="str">
        <x:v>P1</x:v>
      </x:c>
      <x:c r="G382" s="4" t="str">
        <x:v>验证主播粉丝与关注分别统计</x:v>
      </x:c>
      <x:c r="H382" s="4" t="str">
        <x:v>主播粉丝与关注分别统计</x:v>
      </x:c>
      <x:c r="I382" s="4" t="str">
        <x:v>1. 已登录用户账号
2. 该对象有3个当前粉丝并关注5个账号</x:v>
      </x:c>
      <x:c r="J382" s="4" t="str">
        <x:v>1. 进入「主播主页」页
2. 查看主播粉丝与关注分别统计</x:v>
      </x:c>
      <x:c r="K382" s="4" t="str">
        <x:v>粉丝数为3，关注数为5</x:v>
      </x:c>
      <x:c r="L382" s="4" t="str"/>
      <x:c r="M382" s="4" t="str">
        <x:v>未测</x:v>
      </x:c>
      <x:c r="N382" s="4" t="str"/>
      <x:c r="O382" s="4" t="str">
        <x:v>1. 来源：MainBasis/统一需求文档.md；U-host-home-003
2. 场景：SC-20351d2a645b73</x:v>
      </x:c>
    </x:row>
    <x:row r="383" ht="54" customHeight="1">
      <x:c r="A383" s="4" t="n">
        <x:v>382</x:v>
      </x:c>
      <x:c r="B383" s="4" t="str">
        <x:v>USER-0382</x:v>
      </x:c>
      <x:c r="C383" s="4" t="str">
        <x:v>M02 发现、搜索、主页与平台榜单</x:v>
      </x:c>
      <x:c r="D383" s="4" t="str">
        <x:v>主播主页（用户视角）</x:v>
      </x:c>
      <x:c r="E383" s="4" t="str">
        <x:v>功能需求</x:v>
      </x:c>
      <x:c r="F383" s="4" t="str">
        <x:v>P1</x:v>
      </x:c>
      <x:c r="G383" s="4" t="str">
        <x:v>验证财富等级与主播等级独立</x:v>
      </x:c>
      <x:c r="H383" s="4" t="str">
        <x:v>财富等级与主播等级独立</x:v>
      </x:c>
      <x:c r="I383" s="4" t="str">
        <x:v>1. 已登录用户账号
2. 该主播当前收礼值达到主播3级，消费值仅达到财富2级</x:v>
      </x:c>
      <x:c r="J383" s="4" t="str">
        <x:v>1. 进入「主播主页」页
2. 查看财富等级与主播等级独立</x:v>
      </x:c>
      <x:c r="K383" s="4" t="str">
        <x:v>主播等级为3，财富等级为2</x:v>
      </x:c>
      <x:c r="L383" s="4" t="str"/>
      <x:c r="M383" s="4" t="str">
        <x:v>未测</x:v>
      </x:c>
      <x:c r="N383" s="4" t="str"/>
      <x:c r="O383" s="4" t="str">
        <x:v>1. 来源：MainBasis/统一需求文档.md；U-host-home-007、U-host-center-008
2. 场景：SC-0d61bcb15b1323</x:v>
      </x:c>
    </x:row>
    <x:row r="384" ht="54" customHeight="1">
      <x:c r="A384" s="4" t="n">
        <x:v>383</x:v>
      </x:c>
      <x:c r="B384" s="4" t="str">
        <x:v>USER-0383</x:v>
      </x:c>
      <x:c r="C384" s="4" t="str">
        <x:v>M02 发现、搜索、主页与平台榜单</x:v>
      </x:c>
      <x:c r="D384" s="4" t="str">
        <x:v>主播主页（用户视角）</x:v>
      </x:c>
      <x:c r="E384" s="4" t="str">
        <x:v>功能需求</x:v>
      </x:c>
      <x:c r="F384" s="4" t="str">
        <x:v>P1</x:v>
      </x:c>
      <x:c r="G384" s="4" t="str">
        <x:v>验证主播主页直播中入口</x:v>
      </x:c>
      <x:c r="H384" s="4" t="str">
        <x:v>主播主页直播中入口</x:v>
      </x:c>
      <x:c r="I384" s="4" t="str">
        <x:v>1. 已登录用户账号
2. 主播当前有有效直播场次</x:v>
      </x:c>
      <x:c r="J384" s="4" t="str">
        <x:v>1. 进入「主播主页」页
2. 查看主播主页直播中入口</x:v>
      </x:c>
      <x:c r="K384" s="4" t="str">
        <x:v>提供当前直播场次入口</x:v>
      </x:c>
      <x:c r="L384" s="4" t="str"/>
      <x:c r="M384" s="4" t="str">
        <x:v>未测</x:v>
      </x:c>
      <x:c r="N384" s="4" t="str"/>
      <x:c r="O384" s="4" t="str">
        <x:v>1. 来源：MainBasis/统一需求文档.md；U-host-home-008
2. 场景：SC-40e0ad25783c88</x:v>
      </x:c>
    </x:row>
    <x:row r="385" ht="54" customHeight="1">
      <x:c r="A385" s="4" t="n">
        <x:v>384</x:v>
      </x:c>
      <x:c r="B385" s="4" t="str">
        <x:v>USER-0384</x:v>
      </x:c>
      <x:c r="C385" s="4" t="str">
        <x:v>M02 发现、搜索、主页与平台榜单</x:v>
      </x:c>
      <x:c r="D385" s="4" t="str">
        <x:v>主播主页（用户视角）</x:v>
      </x:c>
      <x:c r="E385" s="4" t="str">
        <x:v>功能需求</x:v>
      </x:c>
      <x:c r="F385" s="4" t="str">
        <x:v>P1</x:v>
      </x:c>
      <x:c r="G385" s="4" t="str">
        <x:v>验证主播主页未开播入口</x:v>
      </x:c>
      <x:c r="H385" s="4" t="str">
        <x:v>主播主页未开播入口</x:v>
      </x:c>
      <x:c r="I385" s="4" t="str">
        <x:v>1. 已登录用户账号
2. 主播当前没有有效直播场次</x:v>
      </x:c>
      <x:c r="J385" s="4" t="str">
        <x:v>1. 进入「主播主页」页
2. 查看主播主页未开播入口</x:v>
      </x:c>
      <x:c r="K385" s="4" t="str">
        <x:v>不提供当前直播场次入口</x:v>
      </x:c>
      <x:c r="L385" s="4" t="str"/>
      <x:c r="M385" s="4" t="str">
        <x:v>未测</x:v>
      </x:c>
      <x:c r="N385" s="4" t="str"/>
      <x:c r="O385" s="4" t="str">
        <x:v>1. 来源：MainBasis/统一需求文档.md；U-host-home-008
2. 场景：SC-fccccb0b3856b1</x:v>
      </x:c>
    </x:row>
    <x:row r="386" ht="54" customHeight="1">
      <x:c r="A386" s="4" t="n">
        <x:v>385</x:v>
      </x:c>
      <x:c r="B386" s="4" t="str">
        <x:v>USER-0385</x:v>
      </x:c>
      <x:c r="C386" s="4" t="str">
        <x:v>M02 发现、搜索、主页与平台榜单</x:v>
      </x:c>
      <x:c r="D386" s="4" t="str">
        <x:v>主播主页（用户视角）</x:v>
      </x:c>
      <x:c r="E386" s="4" t="str">
        <x:v>功能需求</x:v>
      </x:c>
      <x:c r="F386" s="4" t="str">
        <x:v>P1</x:v>
      </x:c>
      <x:c r="G386" s="4" t="str">
        <x:v>验证粉丝团已加入跳转</x:v>
      </x:c>
      <x:c r="H386" s="4" t="str">
        <x:v>粉丝团已加入跳转</x:v>
      </x:c>
      <x:c r="I386" s="4" t="str">
        <x:v>1. 已登录用户账号
2. 当前具有该主播有效团籍</x:v>
      </x:c>
      <x:c r="J386" s="4" t="str">
        <x:v>1. 进入「主播主页」页
2. 点击粉丝团</x:v>
      </x:c>
      <x:c r="K386" s="4" t="str">
        <x:v>进入贡献榜</x:v>
      </x:c>
      <x:c r="L386" s="4" t="str"/>
      <x:c r="M386" s="4" t="str">
        <x:v>未测</x:v>
      </x:c>
      <x:c r="N386" s="4" t="str"/>
      <x:c r="O386" s="4" t="str">
        <x:v>1. 来源：MainBasis/统一需求文档.md；U-host-home-012
2. 场景：SC-3dcb1695cfded8</x:v>
      </x:c>
    </x:row>
    <x:row r="387" ht="54" customHeight="1">
      <x:c r="A387" s="4" t="n">
        <x:v>386</x:v>
      </x:c>
      <x:c r="B387" s="4" t="str">
        <x:v>USER-0386</x:v>
      </x:c>
      <x:c r="C387" s="4" t="str">
        <x:v>M02 发现、搜索、主页与平台榜单</x:v>
      </x:c>
      <x:c r="D387" s="4" t="str">
        <x:v>主播主页（用户视角）</x:v>
      </x:c>
      <x:c r="E387" s="4" t="str">
        <x:v>功能需求</x:v>
      </x:c>
      <x:c r="F387" s="4" t="str">
        <x:v>P1</x:v>
      </x:c>
      <x:c r="G387" s="4" t="str">
        <x:v>验证粉丝团未加入跳转</x:v>
      </x:c>
      <x:c r="H387" s="4" t="str">
        <x:v>粉丝团未加入跳转</x:v>
      </x:c>
      <x:c r="I387" s="4" t="str">
        <x:v>1. 已登录用户账号
2. 当前不具有该主播有效团籍</x:v>
      </x:c>
      <x:c r="J387" s="4" t="str">
        <x:v>1. 进入「主播主页」页
2. 点击粉丝团</x:v>
      </x:c>
      <x:c r="K387" s="4" t="str">
        <x:v>进入加入粉丝团视图</x:v>
      </x:c>
      <x:c r="L387" s="4" t="str"/>
      <x:c r="M387" s="4" t="str">
        <x:v>未测</x:v>
      </x:c>
      <x:c r="N387" s="4" t="str"/>
      <x:c r="O387" s="4" t="str">
        <x:v>1. 来源：MainBasis/统一需求文档.md；U-host-home-012
2. 场景：SC-c6a5bd654a0c17</x:v>
      </x:c>
    </x:row>
    <x:row r="388" ht="54" customHeight="1">
      <x:c r="A388" s="4" t="n">
        <x:v>387</x:v>
      </x:c>
      <x:c r="B388" s="4" t="str">
        <x:v>USER-0387</x:v>
      </x:c>
      <x:c r="C388" s="4" t="str">
        <x:v>M02 发现、搜索、主页与平台榜单</x:v>
      </x:c>
      <x:c r="D388" s="4" t="str">
        <x:v>主播主页（用户视角）</x:v>
      </x:c>
      <x:c r="E388" s="4" t="str">
        <x:v>功能需求</x:v>
      </x:c>
      <x:c r="F388" s="4" t="str">
        <x:v>P1</x:v>
      </x:c>
      <x:c r="G388" s="4" t="str">
        <x:v>验证主播主页数据隔离</x:v>
      </x:c>
      <x:c r="H388" s="4" t="str">
        <x:v>主播主页数据隔离</x:v>
      </x:c>
      <x:c r="I388" s="4" t="str">
        <x:v>1. 已登录用户账号
2. 平台存在两名主播，其统计数据不同</x:v>
      </x:c>
      <x:c r="J388" s="4" t="str">
        <x:v>1. 进入「主播主页」页
2. 查看主播主页数据隔离</x:v>
      </x:c>
      <x:c r="K388" s="4" t="str">
        <x:v>页面仅展示当前所选主播的数据</x:v>
      </x:c>
      <x:c r="L388" s="4" t="str"/>
      <x:c r="M388" s="4" t="str">
        <x:v>未测</x:v>
      </x:c>
      <x:c r="N388" s="4" t="str"/>
      <x:c r="O388" s="4" t="str">
        <x:v>1. 来源：MainBasis/统一需求文档.md；U-host-home-011
2. 场景：SC-4dc1d91a7500b6</x:v>
      </x:c>
    </x:row>
    <x:row r="389" ht="54" customHeight="1">
      <x:c r="A389" s="4" t="n">
        <x:v>388</x:v>
      </x:c>
      <x:c r="B389" s="4" t="str">
        <x:v>USER-0388</x:v>
      </x:c>
      <x:c r="C389" s="4" t="str">
        <x:v>M02 发现、搜索、主页与平台榜单</x:v>
      </x:c>
      <x:c r="D389" s="4" t="str">
        <x:v>主播主页（用户视角）</x:v>
      </x:c>
      <x:c r="E389" s="4" t="str">
        <x:v>功能需求</x:v>
      </x:c>
      <x:c r="F389" s="4" t="str">
        <x:v>P1</x:v>
      </x:c>
      <x:c r="G389" s="4" t="str">
        <x:v>验证礼物展馆种类与数量</x:v>
      </x:c>
      <x:c r="H389" s="4" t="str">
        <x:v>礼物展馆种类与数量</x:v>
      </x:c>
      <x:c r="I389" s="4" t="str">
        <x:v>1. 已登录用户账号
2. 主播成功收到礼物甲2个、乙3个</x:v>
      </x:c>
      <x:c r="J389" s="4" t="str">
        <x:v>1. 进入「主播主页」页
2. 查看礼物展馆种类与数量</x:v>
      </x:c>
      <x:c r="K389" s="4" t="str">
        <x:v>收到种类2种，历史数量5个</x:v>
      </x:c>
      <x:c r="L389" s="4" t="str"/>
      <x:c r="M389" s="4" t="str">
        <x:v>未测</x:v>
      </x:c>
      <x:c r="N389" s="4" t="str"/>
      <x:c r="O389" s="4" t="str">
        <x:v>1. 来源：MainBasis/统一需求文档.md；U-host-home-004
2. 场景：SC-2d4cad994a5be1</x:v>
      </x:c>
    </x:row>
    <x:row r="390" ht="54" customHeight="1">
      <x:c r="A390" s="4" t="n">
        <x:v>389</x:v>
      </x:c>
      <x:c r="B390" s="4" t="str">
        <x:v>USER-0389</x:v>
      </x:c>
      <x:c r="C390" s="4" t="str">
        <x:v>M02 发现、搜索、主页与平台榜单</x:v>
      </x:c>
      <x:c r="D390" s="4" t="str">
        <x:v>拉黑确认（用户视角）</x:v>
      </x:c>
      <x:c r="E390" s="4" t="str">
        <x:v>功能需求</x:v>
      </x:c>
      <x:c r="F390" s="4" t="str">
        <x:v>P2</x:v>
      </x:c>
      <x:c r="G390" s="4" t="str">
        <x:v>验证确认对象回显</x:v>
      </x:c>
      <x:c r="H390" s="4" t="str">
        <x:v>确认对象回显</x:v>
      </x:c>
      <x:c r="I390" s="4" t="str">
        <x:v>1. 已登录用户账号
2. 所选对象存在，已记录该对象的确认对象值</x:v>
      </x:c>
      <x:c r="J390" s="4" t="str">
        <x:v>1. 进入「主播主页」页
2. 打开「拉黑确认」视图
3. 查看确认对象回显</x:v>
      </x:c>
      <x:c r="K390" s="4" t="str">
        <x:v>「确认对象」内容与所选对象的该项资料一致</x:v>
      </x:c>
      <x:c r="L390" s="4" t="str"/>
      <x:c r="M390" s="4" t="str">
        <x:v>未测</x:v>
      </x:c>
      <x:c r="N390" s="4" t="str"/>
      <x:c r="O390" s="4" t="str">
        <x:v>1. 来源：MainBasis/统一需求文档.md；U-views_host-home_block-confirm-002
2. 场景：SC-391ae2220c783c</x:v>
      </x:c>
    </x:row>
    <x:row r="391" ht="54" customHeight="1">
      <x:c r="A391" s="4" t="n">
        <x:v>390</x:v>
      </x:c>
      <x:c r="B391" s="4" t="str">
        <x:v>USER-0390</x:v>
      </x:c>
      <x:c r="C391" s="4" t="str">
        <x:v>M02 发现、搜索、主页与平台榜单</x:v>
      </x:c>
      <x:c r="D391" s="4" t="str">
        <x:v>拉黑确认（用户视角）</x:v>
      </x:c>
      <x:c r="E391" s="4" t="str">
        <x:v>功能需求</x:v>
      </x:c>
      <x:c r="F391" s="4" t="str">
        <x:v>P2</x:v>
      </x:c>
      <x:c r="G391" s="4" t="str">
        <x:v>验证后果说明回显</x:v>
      </x:c>
      <x:c r="H391" s="4" t="str">
        <x:v>后果说明回显</x:v>
      </x:c>
      <x:c r="I391" s="4" t="str">
        <x:v>1. 已登录用户账号
2. 所选对象存在，已记录该对象的后果说明值</x:v>
      </x:c>
      <x:c r="J391" s="4" t="str">
        <x:v>1. 进入「主播主页」页
2. 打开「拉黑确认」视图
3. 查看后果说明回显</x:v>
      </x:c>
      <x:c r="K391" s="4" t="str">
        <x:v>「后果说明」内容与所选对象的该项资料一致</x:v>
      </x:c>
      <x:c r="L391" s="4" t="str"/>
      <x:c r="M391" s="4" t="str">
        <x:v>未测</x:v>
      </x:c>
      <x:c r="N391" s="4" t="str"/>
      <x:c r="O391" s="4" t="str">
        <x:v>1. 来源：MainBasis/统一需求文档.md；U-views_host-home_block-confirm-003
2. 场景：SC-da905200f76837</x:v>
      </x:c>
    </x:row>
    <x:row r="392" ht="82" customHeight="1">
      <x:c r="A392" s="4" t="n">
        <x:v>391</x:v>
      </x:c>
      <x:c r="B392" s="4" t="str">
        <x:v>USER-0391</x:v>
      </x:c>
      <x:c r="C392" s="4" t="str">
        <x:v>M02 发现、搜索、主页与平台榜单</x:v>
      </x:c>
      <x:c r="D392" s="4" t="str">
        <x:v>拉黑确认（用户视角）</x:v>
      </x:c>
      <x:c r="E392" s="4" t="str">
        <x:v>功能需求</x:v>
      </x:c>
      <x:c r="F392" s="4" t="str">
        <x:v>P1</x:v>
      </x:c>
      <x:c r="G392" s="4" t="str">
        <x:v>验证主播主页拉黑取消</x:v>
      </x:c>
      <x:c r="H392" s="4" t="str">
        <x:v>主播主页拉黑取消</x:v>
      </x:c>
      <x:c r="I392" s="4" t="str">
        <x:v>1. 已登录用户账号
2. 与当前对象已有好友及关注关系</x:v>
      </x:c>
      <x:c r="J392" s="4" t="str">
        <x:v>1. 进入「主播主页」页
2. 打开「拉黑确认」视图
3. 点击「取消」</x:v>
      </x:c>
      <x:c r="K392" s="4" t="str">
        <x:v>好友和关注关系保持原值</x:v>
      </x:c>
      <x:c r="L392" s="4" t="str">
        <x:v>FLOW-EEC990CE</x:v>
      </x:c>
      <x:c r="M392" s="4" t="str">
        <x:v>未测</x:v>
      </x:c>
      <x:c r="N392" s="4" t="str"/>
      <x:c r="O392" s="4" t="str">
        <x:v>1. 来源：MainBasis/统一需求文档.md；U-views_host-home_block-confirm-005、U-host-home-014
2. 场景：SC-0e55c553983a0b
3. 状态转换：ST-433E3B969C50</x:v>
      </x:c>
    </x:row>
    <x:row r="393" ht="82" customHeight="1">
      <x:c r="A393" s="4" t="n">
        <x:v>392</x:v>
      </x:c>
      <x:c r="B393" s="4" t="str">
        <x:v>USER-0392</x:v>
      </x:c>
      <x:c r="C393" s="4" t="str">
        <x:v>M02 发现、搜索、主页与平台榜单</x:v>
      </x:c>
      <x:c r="D393" s="4" t="str">
        <x:v>拉黑确认（用户视角）</x:v>
      </x:c>
      <x:c r="E393" s="4" t="str">
        <x:v>功能需求</x:v>
      </x:c>
      <x:c r="F393" s="4" t="str">
        <x:v>P1</x:v>
      </x:c>
      <x:c r="G393" s="4" t="str">
        <x:v>验证主播主页拉黑关闭</x:v>
      </x:c>
      <x:c r="H393" s="4" t="str">
        <x:v>主播主页拉黑关闭</x:v>
      </x:c>
      <x:c r="I393" s="4" t="str">
        <x:v>1. 已登录用户账号
2. 与当前对象已有好友及关注关系</x:v>
      </x:c>
      <x:c r="J393" s="4" t="str">
        <x:v>1. 进入「主播主页」页
2. 打开「拉黑确认」视图
3. 点击「关闭」</x:v>
      </x:c>
      <x:c r="K393" s="4" t="str">
        <x:v>好友和关注关系保持原值</x:v>
      </x:c>
      <x:c r="L393" s="4" t="str">
        <x:v>FLOW-EEC990CE</x:v>
      </x:c>
      <x:c r="M393" s="4" t="str">
        <x:v>未测</x:v>
      </x:c>
      <x:c r="N393" s="4" t="str"/>
      <x:c r="O393" s="4" t="str">
        <x:v>1. 来源：MainBasis/统一需求文档.md；U-views_host-home_block-confirm-005、U-host-home-014
2. 场景：SC-863cc37ba8afc4
3. 状态转换：ST-433E3B969C50</x:v>
      </x:c>
    </x:row>
    <x:row r="394" ht="82" customHeight="1">
      <x:c r="A394" s="4" t="n">
        <x:v>393</x:v>
      </x:c>
      <x:c r="B394" s="4" t="str">
        <x:v>USER-0393</x:v>
      </x:c>
      <x:c r="C394" s="4" t="str">
        <x:v>M02 发现、搜索、主页与平台榜单</x:v>
      </x:c>
      <x:c r="D394" s="4" t="str">
        <x:v>拉黑确认（用户视角）</x:v>
      </x:c>
      <x:c r="E394" s="4" t="str">
        <x:v>功能需求</x:v>
      </x:c>
      <x:c r="F394" s="4" t="str">
        <x:v>P1</x:v>
      </x:c>
      <x:c r="G394" s="4" t="str">
        <x:v>验证主播主页拉黑确认拉黑</x:v>
      </x:c>
      <x:c r="H394" s="4" t="str">
        <x:v>主播主页拉黑确认拉黑</x:v>
      </x:c>
      <x:c r="I394" s="4" t="str">
        <x:v>1. 已登录用户账号
2. 与当前对象已有好友及关注关系</x:v>
      </x:c>
      <x:c r="J394" s="4" t="str">
        <x:v>1. 进入「主播主页」页
2. 打开「拉黑确认」视图
3. 点击「确认拉黑」</x:v>
      </x:c>
      <x:c r="K394" s="4" t="str">
        <x:v>主页显示拉黑状态</x:v>
      </x:c>
      <x:c r="L394" s="4" t="str">
        <x:v>FLOW-EEC990CE</x:v>
      </x:c>
      <x:c r="M394" s="4" t="str">
        <x:v>未测</x:v>
      </x:c>
      <x:c r="N394" s="4" t="str"/>
      <x:c r="O394" s="4" t="str">
        <x:v>1. 来源：MainBasis/统一需求文档.md；U-views_host-home_block-confirm-005、U-host-home-014
2. 场景：SC-e5245d8dfcf814
3. 状态转换：ST-433E3B969C50</x:v>
      </x:c>
    </x:row>
    <x:row r="395" ht="54" customHeight="1">
      <x:c r="A395" s="4" t="n">
        <x:v>394</x:v>
      </x:c>
      <x:c r="B395" s="4" t="str">
        <x:v>USER-0394</x:v>
      </x:c>
      <x:c r="C395" s="4" t="str">
        <x:v>M02 发现、搜索、主页与平台榜单</x:v>
      </x:c>
      <x:c r="D395" s="4" t="str">
        <x:v>主播礼物展馆（用户视角）</x:v>
      </x:c>
      <x:c r="E395" s="4" t="str">
        <x:v>功能需求</x:v>
      </x:c>
      <x:c r="F395" s="4" t="str">
        <x:v>P2</x:v>
      </x:c>
      <x:c r="G395" s="4" t="str">
        <x:v>验证礼物图标、名称回显</x:v>
      </x:c>
      <x:c r="H395" s="4" t="str">
        <x:v>礼物图标、名称回显</x:v>
      </x:c>
      <x:c r="I395" s="4" t="str">
        <x:v>1. 已登录用户账号
2. 所选对象存在，已记录该对象的礼物图标 / 名称值</x:v>
      </x:c>
      <x:c r="J395" s="4" t="str">
        <x:v>1. 进入「主播礼物展馆」页
2. 查看礼物图标、名称回显</x:v>
      </x:c>
      <x:c r="K395" s="4" t="str">
        <x:v>「礼物图标 / 名称」内容与所选对象的该项资料一致</x:v>
      </x:c>
      <x:c r="L395" s="4" t="str"/>
      <x:c r="M395" s="4" t="str">
        <x:v>未测</x:v>
      </x:c>
      <x:c r="N395" s="4" t="str"/>
      <x:c r="O395" s="4" t="str">
        <x:v>1. 来源：MainBasis/统一需求文档.md；U-host-gift-gallery-003
2. 场景：SC-6ce6ee816ea9f0</x:v>
      </x:c>
    </x:row>
    <x:row r="396" ht="68" customHeight="1">
      <x:c r="A396" s="4" t="n">
        <x:v>395</x:v>
      </x:c>
      <x:c r="B396" s="4" t="str">
        <x:v>USER-0395</x:v>
      </x:c>
      <x:c r="C396" s="4" t="str">
        <x:v>M02 发现、搜索、主页与平台榜单</x:v>
      </x:c>
      <x:c r="D396" s="4" t="str">
        <x:v>主播礼物展馆（用户视角）</x:v>
      </x:c>
      <x:c r="E396" s="4" t="str">
        <x:v>功能需求</x:v>
      </x:c>
      <x:c r="F396" s="4" t="str">
        <x:v>P1</x:v>
      </x:c>
      <x:c r="G396" s="4" t="str">
        <x:v>验证展馆成功礼物计数</x:v>
      </x:c>
      <x:c r="H396" s="4" t="str">
        <x:v>展馆成功礼物计数</x:v>
      </x:c>
      <x:c r="I396" s="4" t="str">
        <x:v>1. 已登录用户账号
2. 该主播该礼物原数量为2，本次另有数量3的成功记录</x:v>
      </x:c>
      <x:c r="J396" s="4" t="str">
        <x:v>1. 进入「主播礼物展馆」页
2. 查看展馆成功礼物计数</x:v>
      </x:c>
      <x:c r="K396" s="4" t="str">
        <x:v>该礼物数量为5</x:v>
      </x:c>
      <x:c r="L396" s="4" t="str"/>
      <x:c r="M396" s="4" t="str">
        <x:v>未测</x:v>
      </x:c>
      <x:c r="N396" s="4" t="str"/>
      <x:c r="O396" s="4" t="str">
        <x:v>1. 来源：MainBasis/统一需求文档.md；U-host-gift-gallery-005、U-host-gift-gallery-007
2. 场景：SC-9260148a7ebb59</x:v>
      </x:c>
    </x:row>
    <x:row r="397" ht="68" customHeight="1">
      <x:c r="A397" s="4" t="n">
        <x:v>396</x:v>
      </x:c>
      <x:c r="B397" s="4" t="str">
        <x:v>USER-0396</x:v>
      </x:c>
      <x:c r="C397" s="4" t="str">
        <x:v>M02 发现、搜索、主页与平台榜单</x:v>
      </x:c>
      <x:c r="D397" s="4" t="str">
        <x:v>主播礼物展馆（用户视角）</x:v>
      </x:c>
      <x:c r="E397" s="4" t="str">
        <x:v>功能需求</x:v>
      </x:c>
      <x:c r="F397" s="4" t="str">
        <x:v>P1</x:v>
      </x:c>
      <x:c r="G397" s="4" t="str">
        <x:v>验证展馆失败礼物计数</x:v>
      </x:c>
      <x:c r="H397" s="4" t="str">
        <x:v>展馆失败礼物计数</x:v>
      </x:c>
      <x:c r="I397" s="4" t="str">
        <x:v>1. 已登录用户账号
2. 该主播该礼物原数量为2，本次另有数量3的失败记录</x:v>
      </x:c>
      <x:c r="J397" s="4" t="str">
        <x:v>1. 进入「主播礼物展馆」页
2. 查看展馆失败礼物计数</x:v>
      </x:c>
      <x:c r="K397" s="4" t="str">
        <x:v>该礼物数量为2</x:v>
      </x:c>
      <x:c r="L397" s="4" t="str"/>
      <x:c r="M397" s="4" t="str">
        <x:v>未测</x:v>
      </x:c>
      <x:c r="N397" s="4" t="str"/>
      <x:c r="O397" s="4" t="str">
        <x:v>1. 来源：MainBasis/统一需求文档.md；U-host-gift-gallery-005、U-host-gift-gallery-007
2. 场景：SC-18d5e1326c16f1</x:v>
      </x:c>
    </x:row>
    <x:row r="398" ht="68" customHeight="1">
      <x:c r="A398" s="4" t="n">
        <x:v>397</x:v>
      </x:c>
      <x:c r="B398" s="4" t="str">
        <x:v>USER-0397</x:v>
      </x:c>
      <x:c r="C398" s="4" t="str">
        <x:v>M02 发现、搜索、主页与平台榜单</x:v>
      </x:c>
      <x:c r="D398" s="4" t="str">
        <x:v>主播礼物展馆（用户视角）</x:v>
      </x:c>
      <x:c r="E398" s="4" t="str">
        <x:v>功能需求</x:v>
      </x:c>
      <x:c r="F398" s="4" t="str">
        <x:v>P1</x:v>
      </x:c>
      <x:c r="G398" s="4" t="str">
        <x:v>验证展馆撤销礼物计数</x:v>
      </x:c>
      <x:c r="H398" s="4" t="str">
        <x:v>展馆撤销礼物计数</x:v>
      </x:c>
      <x:c r="I398" s="4" t="str">
        <x:v>1. 已登录用户账号
2. 该主播该礼物原数量为2，本次另有数量3的撤销记录</x:v>
      </x:c>
      <x:c r="J398" s="4" t="str">
        <x:v>1. 进入「主播礼物展馆」页
2. 查看展馆撤销礼物计数</x:v>
      </x:c>
      <x:c r="K398" s="4" t="str">
        <x:v>该礼物数量为2</x:v>
      </x:c>
      <x:c r="L398" s="4" t="str"/>
      <x:c r="M398" s="4" t="str">
        <x:v>未测</x:v>
      </x:c>
      <x:c r="N398" s="4" t="str"/>
      <x:c r="O398" s="4" t="str">
        <x:v>1. 来源：MainBasis/统一需求文档.md；U-host-gift-gallery-005、U-host-gift-gallery-007
2. 场景：SC-927633356be87f</x:v>
      </x:c>
    </x:row>
    <x:row r="399" ht="54" customHeight="1">
      <x:c r="A399" s="4" t="n">
        <x:v>398</x:v>
      </x:c>
      <x:c r="B399" s="4" t="str">
        <x:v>USER-0398</x:v>
      </x:c>
      <x:c r="C399" s="4" t="str">
        <x:v>M02 发现、搜索、主页与平台榜单</x:v>
      </x:c>
      <x:c r="D399" s="4" t="str">
        <x:v>主播礼物展馆（用户视角）</x:v>
      </x:c>
      <x:c r="E399" s="4" t="str">
        <x:v>逻辑校验</x:v>
      </x:c>
      <x:c r="F399" s="4" t="str">
        <x:v>P1</x:v>
      </x:c>
      <x:c r="G399" s="4" t="str">
        <x:v>验证累计礼物件数</x:v>
      </x:c>
      <x:c r="H399" s="4" t="str">
        <x:v>累计礼物件数</x:v>
      </x:c>
      <x:c r="I399" s="4" t="str">
        <x:v>1. 已登录用户账号
2. 该主播仅收到两种礼物，数量分别2和3</x:v>
      </x:c>
      <x:c r="J399" s="4" t="str">
        <x:v>1. 进入「主播礼物展馆」页
2. 查看累计礼物件数</x:v>
      </x:c>
      <x:c r="K399" s="4" t="str">
        <x:v>累计收到 = 2 + 3 = 5</x:v>
      </x:c>
      <x:c r="L399" s="4" t="str"/>
      <x:c r="M399" s="4" t="str">
        <x:v>未测</x:v>
      </x:c>
      <x:c r="N399" s="4" t="str"/>
      <x:c r="O399" s="4" t="str">
        <x:v>1. 来源：MainBasis/统一需求文档.md；U-host-gift-gallery-002
2. 场景：SC-928ff74b82072c</x:v>
      </x:c>
    </x:row>
    <x:row r="400" ht="68" customHeight="1">
      <x:c r="A400" s="4" t="n">
        <x:v>399</x:v>
      </x:c>
      <x:c r="B400" s="4" t="str">
        <x:v>USER-0399</x:v>
      </x:c>
      <x:c r="C400" s="4" t="str">
        <x:v>M02 发现、搜索、主页与平台榜单</x:v>
      </x:c>
      <x:c r="D400" s="4" t="str">
        <x:v>主播礼物展馆（用户视角）</x:v>
      </x:c>
      <x:c r="E400" s="4" t="str">
        <x:v>功能需求</x:v>
      </x:c>
      <x:c r="F400" s="4" t="str">
        <x:v>P1</x:v>
      </x:c>
      <x:c r="G400" s="4" t="str">
        <x:v>验证未收到礼物仍展示</x:v>
      </x:c>
      <x:c r="H400" s="4" t="str">
        <x:v>未收到礼物仍展示</x:v>
      </x:c>
      <x:c r="I400" s="4" t="str">
        <x:v>1. 已登录用户账号
2. 平台目录存在该主播从未收到的礼物</x:v>
      </x:c>
      <x:c r="J400" s="4" t="str">
        <x:v>1. 进入「主播礼物展馆」页
2. 查看未收到礼物仍展示</x:v>
      </x:c>
      <x:c r="K400" s="4" t="str">
        <x:v>该礼物展示“未收到”</x:v>
      </x:c>
      <x:c r="L400" s="4" t="str"/>
      <x:c r="M400" s="4" t="str">
        <x:v>未测</x:v>
      </x:c>
      <x:c r="N400" s="4" t="str"/>
      <x:c r="O400" s="4" t="str">
        <x:v>1. 来源：MainBasis/统一需求文档.md；U-host-gift-gallery-004、U-host-gift-gallery-008
2. 场景：SC-10d3c85a905877</x:v>
      </x:c>
    </x:row>
    <x:row r="401" ht="54" customHeight="1">
      <x:c r="A401" s="4" t="n">
        <x:v>400</x:v>
      </x:c>
      <x:c r="B401" s="4" t="str">
        <x:v>USER-0400</x:v>
      </x:c>
      <x:c r="C401" s="4" t="str">
        <x:v>M02 发现、搜索、主页与平台榜单</x:v>
      </x:c>
      <x:c r="D401" s="4" t="str">
        <x:v>主播礼物展馆（用户视角）</x:v>
      </x:c>
      <x:c r="E401" s="4" t="str">
        <x:v>功能需求</x:v>
      </x:c>
      <x:c r="F401" s="4" t="str">
        <x:v>P1</x:v>
      </x:c>
      <x:c r="G401" s="4" t="str">
        <x:v>验证下架礼物保留历史</x:v>
      </x:c>
      <x:c r="H401" s="4" t="str">
        <x:v>下架礼物保留历史</x:v>
      </x:c>
      <x:c r="I401" s="4" t="str">
        <x:v>1. 已登录用户账号
2. 主播过去成功收到该礼物2个，平台随后下架该礼物</x:v>
      </x:c>
      <x:c r="J401" s="4" t="str">
        <x:v>1. 进入「主播礼物展馆」页
2. 查看下架礼物保留历史</x:v>
      </x:c>
      <x:c r="K401" s="4" t="str">
        <x:v>展馆仍保留该礼物且收到数量为2</x:v>
      </x:c>
      <x:c r="L401" s="4" t="str"/>
      <x:c r="M401" s="4" t="str">
        <x:v>未测</x:v>
      </x:c>
      <x:c r="N401" s="4" t="str"/>
      <x:c r="O401" s="4" t="str">
        <x:v>1. 来源：MainBasis/统一需求文档.md；U-host-gift-gallery-006
2. 场景：SC-4d32d55a43b5e0</x:v>
      </x:c>
    </x:row>
    <x:row r="402" ht="54" customHeight="1">
      <x:c r="A402" s="4" t="n">
        <x:v>401</x:v>
      </x:c>
      <x:c r="B402" s="4" t="str">
        <x:v>USER-0401</x:v>
      </x:c>
      <x:c r="C402" s="4" t="str">
        <x:v>M02 发现、搜索、主页与平台榜单</x:v>
      </x:c>
      <x:c r="D402" s="4" t="str">
        <x:v>主播礼物展馆（用户视角）</x:v>
      </x:c>
      <x:c r="E402" s="4" t="str">
        <x:v>功能需求</x:v>
      </x:c>
      <x:c r="F402" s="4" t="str">
        <x:v>P1</x:v>
      </x:c>
      <x:c r="G402" s="4" t="str">
        <x:v>验证展馆按配置顺序</x:v>
      </x:c>
      <x:c r="H402" s="4" t="str">
        <x:v>展馆按配置顺序</x:v>
      </x:c>
      <x:c r="I402" s="4" t="str">
        <x:v>1. 已登录用户账号
2. 目录配置顺序与该主播收到数量排序不同</x:v>
      </x:c>
      <x:c r="J402" s="4" t="str">
        <x:v>1. 进入「主播礼物展馆」页
2. 查看展馆按配置顺序</x:v>
      </x:c>
      <x:c r="K402" s="4" t="str">
        <x:v>展馆顺序与礼物目录配置一致</x:v>
      </x:c>
      <x:c r="L402" s="4" t="str"/>
      <x:c r="M402" s="4" t="str">
        <x:v>未测</x:v>
      </x:c>
      <x:c r="N402" s="4" t="str"/>
      <x:c r="O402" s="4" t="str">
        <x:v>1. 来源：MainBasis/统一需求文档.md；U-host-gift-gallery-009
2. 场景：SC-3a45c91da7bb7d</x:v>
      </x:c>
    </x:row>
    <x:row r="403" ht="54" customHeight="1">
      <x:c r="A403" s="4" t="n">
        <x:v>402</x:v>
      </x:c>
      <x:c r="B403" s="4" t="str">
        <x:v>USER-0402</x:v>
      </x:c>
      <x:c r="C403" s="4" t="str">
        <x:v>M02 发现、搜索、主页与平台榜单</x:v>
      </x:c>
      <x:c r="D403" s="4" t="str">
        <x:v>主播礼物展馆（用户视角）</x:v>
      </x:c>
      <x:c r="E403" s="4" t="str">
        <x:v>功能需求</x:v>
      </x:c>
      <x:c r="F403" s="4" t="str">
        <x:v>P2</x:v>
      </x:c>
      <x:c r="G403" s="4" t="str">
        <x:v>验证返回入口</x:v>
      </x:c>
      <x:c r="H403" s="4" t="str">
        <x:v>返回入口</x:v>
      </x:c>
      <x:c r="I403" s="4" t="str">
        <x:v>1. 已登录用户账号</x:v>
      </x:c>
      <x:c r="J403" s="4" t="str">
        <x:v>1. 进入「主播礼物展馆」页
2. 点击「返回」</x:v>
      </x:c>
      <x:c r="K403" s="4" t="str">
        <x:v>页面进入「对应主播主页」</x:v>
      </x:c>
      <x:c r="L403" s="4" t="str"/>
      <x:c r="M403" s="4" t="str">
        <x:v>未测</x:v>
      </x:c>
      <x:c r="N403" s="4" t="str"/>
      <x:c r="O403" s="4" t="str">
        <x:v>1. 来源：MainBasis/统一需求文档.md；U-host-gift-gallery-010
2. 场景：SC-71a531ede38f20</x:v>
      </x:c>
    </x:row>
    <x:row r="404" ht="54" customHeight="1">
      <x:c r="A404" s="4" t="n">
        <x:v>403</x:v>
      </x:c>
      <x:c r="B404" s="4" t="str">
        <x:v>USER-0403</x:v>
      </x:c>
      <x:c r="C404" s="4" t="str">
        <x:v>M03 社交、私信、群聊与通知</x:v>
      </x:c>
      <x:c r="D404" s="4" t="str">
        <x:v>消息（用户视角）</x:v>
      </x:c>
      <x:c r="E404" s="4" t="str">
        <x:v>功能需求</x:v>
      </x:c>
      <x:c r="F404" s="4" t="str">
        <x:v>P2</x:v>
      </x:c>
      <x:c r="G404" s="4" t="str">
        <x:v>验证会话回显</x:v>
      </x:c>
      <x:c r="H404" s="4" t="str">
        <x:v>会话回显</x:v>
      </x:c>
      <x:c r="I404" s="4" t="str">
        <x:v>1. 已登录用户账号
2. 所选对象存在，已记录该对象的会话值</x:v>
      </x:c>
      <x:c r="J404" s="4" t="str">
        <x:v>1. 进入「消息」页
2. 查看会话回显</x:v>
      </x:c>
      <x:c r="K404" s="4" t="str">
        <x:v>「会话」内容与所选对象的该项资料一致</x:v>
      </x:c>
      <x:c r="L404" s="4" t="str"/>
      <x:c r="M404" s="4" t="str">
        <x:v>未测</x:v>
      </x:c>
      <x:c r="N404" s="4" t="str"/>
      <x:c r="O404" s="4" t="str">
        <x:v>1. 来源：MainBasis/统一需求文档.md；U-message-center-002
2. 场景：SC-0615106262dba1</x:v>
      </x:c>
    </x:row>
    <x:row r="405" ht="54" customHeight="1">
      <x:c r="A405" s="4" t="n">
        <x:v>404</x:v>
      </x:c>
      <x:c r="B405" s="4" t="str">
        <x:v>USER-0404</x:v>
      </x:c>
      <x:c r="C405" s="4" t="str">
        <x:v>M03 社交、私信、群聊与通知</x:v>
      </x:c>
      <x:c r="D405" s="4" t="str">
        <x:v>消息（用户视角）</x:v>
      </x:c>
      <x:c r="E405" s="4" t="str">
        <x:v>功能需求</x:v>
      </x:c>
      <x:c r="F405" s="4" t="str">
        <x:v>P2</x:v>
      </x:c>
      <x:c r="G405" s="4" t="str">
        <x:v>验证消息分类回显</x:v>
      </x:c>
      <x:c r="H405" s="4" t="str">
        <x:v>消息分类回显</x:v>
      </x:c>
      <x:c r="I405" s="4" t="str">
        <x:v>1. 已登录用户账号
2. 所选对象存在，已记录该对象的消息分类值</x:v>
      </x:c>
      <x:c r="J405" s="4" t="str">
        <x:v>1. 进入「消息」页
2. 查看消息分类回显</x:v>
      </x:c>
      <x:c r="K405" s="4" t="str">
        <x:v>「消息分类」内容与所选对象的该项资料一致</x:v>
      </x:c>
      <x:c r="L405" s="4" t="str"/>
      <x:c r="M405" s="4" t="str">
        <x:v>未测</x:v>
      </x:c>
      <x:c r="N405" s="4" t="str"/>
      <x:c r="O405" s="4" t="str">
        <x:v>1. 来源：MainBasis/统一需求文档.md；U-message-center-004
2. 场景：SC-02be8fbf597571</x:v>
      </x:c>
    </x:row>
    <x:row r="406" ht="54" customHeight="1">
      <x:c r="A406" s="4" t="n">
        <x:v>405</x:v>
      </x:c>
      <x:c r="B406" s="4" t="str">
        <x:v>USER-0405</x:v>
      </x:c>
      <x:c r="C406" s="4" t="str">
        <x:v>M03 社交、私信、群聊与通知</x:v>
      </x:c>
      <x:c r="D406" s="4" t="str">
        <x:v>消息（用户视角）</x:v>
      </x:c>
      <x:c r="E406" s="4" t="str">
        <x:v>功能需求</x:v>
      </x:c>
      <x:c r="F406" s="4" t="str">
        <x:v>P1</x:v>
      </x:c>
      <x:c r="G406" s="4" t="str">
        <x:v>验证私信与粉丝群会话主排序</x:v>
      </x:c>
      <x:c r="H406" s="4" t="str">
        <x:v>私信与粉丝群会话主排序</x:v>
      </x:c>
      <x:c r="I406" s="4" t="str">
        <x:v>1. 已登录用户账号
2. 有3条当前账号可见记录，时间依次为10:00、10:01、10:02</x:v>
      </x:c>
      <x:c r="J406" s="4" t="str">
        <x:v>1. 进入「消息」页
2. 查看私信与粉丝群会话主排序</x:v>
      </x:c>
      <x:c r="K406" s="4" t="str">
        <x:v>私信与粉丝群会话按最后消息时间倒序排列</x:v>
      </x:c>
      <x:c r="L406" s="4" t="str"/>
      <x:c r="M406" s="4" t="str">
        <x:v>未测</x:v>
      </x:c>
      <x:c r="N406" s="4" t="str"/>
      <x:c r="O406" s="4" t="str">
        <x:v>1. 来源：MainBasis/统一需求文档.md；U-message-center-003、U-message-center-009
2. 场景：SC-17e4faf0cc6488</x:v>
      </x:c>
    </x:row>
    <x:row r="407" ht="54" customHeight="1">
      <x:c r="A407" s="4" t="n">
        <x:v>406</x:v>
      </x:c>
      <x:c r="B407" s="4" t="str">
        <x:v>USER-0406</x:v>
      </x:c>
      <x:c r="C407" s="4" t="str">
        <x:v>M03 社交、私信、群聊与通知</x:v>
      </x:c>
      <x:c r="D407" s="4" t="str">
        <x:v>消息（用户视角）</x:v>
      </x:c>
      <x:c r="E407" s="4" t="str">
        <x:v>功能需求</x:v>
      </x:c>
      <x:c r="F407" s="4" t="str">
        <x:v>P1</x:v>
      </x:c>
      <x:c r="G407" s="4" t="str">
        <x:v>验证私信与粉丝群会话同时间排序</x:v>
      </x:c>
      <x:c r="H407" s="4" t="str">
        <x:v>私信与粉丝群会话同时间排序</x:v>
      </x:c>
      <x:c r="I407" s="4" t="str">
        <x:v>1. 已登录用户账号
2. 有2条时间相同且ID数字分别为10、20的可见记录</x:v>
      </x:c>
      <x:c r="J407" s="4" t="str">
        <x:v>1. 进入「消息」页
2. 查看私信与粉丝群会话同时间排序</x:v>
      </x:c>
      <x:c r="K407" s="4" t="str">
        <x:v>ID 20排在另一条前</x:v>
      </x:c>
      <x:c r="L407" s="4" t="str"/>
      <x:c r="M407" s="4" t="str">
        <x:v>未测</x:v>
      </x:c>
      <x:c r="N407" s="4" t="str"/>
      <x:c r="O407" s="4" t="str">
        <x:v>1. 来源：MainBasis/统一需求文档.md；U-message-center-003、U-message-center-009
2. 场景：SC-e34065717ee2d7</x:v>
      </x:c>
    </x:row>
    <x:row r="408" ht="54" customHeight="1">
      <x:c r="A408" s="4" t="n">
        <x:v>407</x:v>
      </x:c>
      <x:c r="B408" s="4" t="str">
        <x:v>USER-0407</x:v>
      </x:c>
      <x:c r="C408" s="4" t="str">
        <x:v>M03 社交、私信、群聊与通知</x:v>
      </x:c>
      <x:c r="D408" s="4" t="str">
        <x:v>消息（用户视角）</x:v>
      </x:c>
      <x:c r="E408" s="4" t="str">
        <x:v>功能需求</x:v>
      </x:c>
      <x:c r="F408" s="4" t="str">
        <x:v>P1</x:v>
      </x:c>
      <x:c r="G408" s="4" t="str">
        <x:v>验证系统和互动通知固定置顶</x:v>
      </x:c>
      <x:c r="H408" s="4" t="str">
        <x:v>系统和互动通知固定置顶</x:v>
      </x:c>
      <x:c r="I408" s="4" t="str">
        <x:v>1. 已登录用户账号
2. 普通会话最后更新时间晚于两类通知</x:v>
      </x:c>
      <x:c r="J408" s="4" t="str">
        <x:v>1. 进入「消息」页
2. 查看系统和互动通知固定置顶</x:v>
      </x:c>
      <x:c r="K408" s="4" t="str">
        <x:v>系统通知和互动通知仍排在所有普通会话之前</x:v>
      </x:c>
      <x:c r="L408" s="4" t="str"/>
      <x:c r="M408" s="4" t="str">
        <x:v>未测</x:v>
      </x:c>
      <x:c r="N408" s="4" t="str"/>
      <x:c r="O408" s="4" t="str">
        <x:v>1. 来源：MainBasis/统一需求文档.md；U-message-center-005
2. 场景：SC-f1e021be27d813</x:v>
      </x:c>
    </x:row>
    <x:row r="409" ht="54" customHeight="1">
      <x:c r="A409" s="4" t="n">
        <x:v>408</x:v>
      </x:c>
      <x:c r="B409" s="4" t="str">
        <x:v>USER-0408</x:v>
      </x:c>
      <x:c r="C409" s="4" t="str">
        <x:v>M03 社交、私信、群聊与通知</x:v>
      </x:c>
      <x:c r="D409" s="4" t="str">
        <x:v>消息（用户视角）</x:v>
      </x:c>
      <x:c r="E409" s="4" t="str">
        <x:v>功能需求</x:v>
      </x:c>
      <x:c r="F409" s="4" t="str">
        <x:v>P1</x:v>
      </x:c>
      <x:c r="G409" s="4" t="str">
        <x:v>验证进入会话清除未读</x:v>
      </x:c>
      <x:c r="H409" s="4" t="str">
        <x:v>进入会话清除未读</x:v>
      </x:c>
      <x:c r="I409" s="4" t="str">
        <x:v>1. 已登录用户账号
2. 目标会话未读数3，另一个会话未读数2</x:v>
      </x:c>
      <x:c r="J409" s="4" t="str">
        <x:v>1. 进入「消息」页
2. 进入目标会话
3. 返回消息中心</x:v>
      </x:c>
      <x:c r="K409" s="4" t="str">
        <x:v>目标会话未读清零，另一个会话仍为2</x:v>
      </x:c>
      <x:c r="L409" s="4" t="str"/>
      <x:c r="M409" s="4" t="str">
        <x:v>未测</x:v>
      </x:c>
      <x:c r="N409" s="4" t="str"/>
      <x:c r="O409" s="4" t="str">
        <x:v>1. 来源：MainBasis/统一需求文档.md；U-message-center-010
2. 场景：SC-d21dc36d74cb00</x:v>
      </x:c>
    </x:row>
    <x:row r="410" ht="68" customHeight="1">
      <x:c r="A410" s="4" t="n">
        <x:v>409</x:v>
      </x:c>
      <x:c r="B410" s="4" t="str">
        <x:v>USER-0409</x:v>
      </x:c>
      <x:c r="C410" s="4" t="str">
        <x:v>M03 社交、私信、群聊与通知</x:v>
      </x:c>
      <x:c r="D410" s="4" t="str">
        <x:v>消息（用户视角）</x:v>
      </x:c>
      <x:c r="E410" s="4" t="str">
        <x:v>功能需求</x:v>
      </x:c>
      <x:c r="F410" s="4" t="str">
        <x:v>P1</x:v>
      </x:c>
      <x:c r="G410" s="4" t="str">
        <x:v>验证收到消息更新摘要与排序</x:v>
      </x:c>
      <x:c r="H410" s="4" t="str">
        <x:v>收到消息更新摘要与排序</x:v>
      </x:c>
      <x:c r="I410" s="4" t="str">
        <x:v>1. 已登录用户账号
2. 未进入目标会话
3. 对方刚发送一条比其他会话更新的文本消息</x:v>
      </x:c>
      <x:c r="J410" s="4" t="str">
        <x:v>1. 进入「消息」页
2. 查看收到消息更新摘要与排序</x:v>
      </x:c>
      <x:c r="K410" s="4" t="str">
        <x:v>目标会话摘要显示新文本和时间，并排到普通会话首位</x:v>
      </x:c>
      <x:c r="L410" s="4" t="str"/>
      <x:c r="M410" s="4" t="str">
        <x:v>未测</x:v>
      </x:c>
      <x:c r="N410" s="4" t="str"/>
      <x:c r="O410" s="4" t="str">
        <x:v>1. 来源：MainBasis/统一需求文档.md；U-message-center-010
2. 场景：SC-fb33bc81e355ff</x:v>
      </x:c>
    </x:row>
    <x:row r="411" ht="68" customHeight="1">
      <x:c r="A411" s="4" t="n">
        <x:v>410</x:v>
      </x:c>
      <x:c r="B411" s="4" t="str">
        <x:v>USER-0410</x:v>
      </x:c>
      <x:c r="C411" s="4" t="str">
        <x:v>M03 社交、私信、群聊与通知</x:v>
      </x:c>
      <x:c r="D411" s="4" t="str">
        <x:v>消息（用户视角）</x:v>
      </x:c>
      <x:c r="E411" s="4" t="str">
        <x:v>功能需求</x:v>
      </x:c>
      <x:c r="F411" s="4" t="str">
        <x:v>P1</x:v>
      </x:c>
      <x:c r="G411" s="4" t="str">
        <x:v>验证收到消息累计未读</x:v>
      </x:c>
      <x:c r="H411" s="4" t="str">
        <x:v>收到消息累计未读</x:v>
      </x:c>
      <x:c r="I411" s="4" t="str">
        <x:v>1. 已登录用户账号
2. 目标会话原未读数2
3. 未进入该会话时又收到1条新消息</x:v>
      </x:c>
      <x:c r="J411" s="4" t="str">
        <x:v>1. 进入「消息」页
2. 查看收到消息累计未读</x:v>
      </x:c>
      <x:c r="K411" s="4" t="str">
        <x:v>该会话未读数为3</x:v>
      </x:c>
      <x:c r="L411" s="4" t="str"/>
      <x:c r="M411" s="4" t="str">
        <x:v>未测</x:v>
      </x:c>
      <x:c r="N411" s="4" t="str"/>
      <x:c r="O411" s="4" t="str">
        <x:v>1. 来源：MainBasis/统一需求文档.md；U-message-center-010
2. 场景：SC-274554f9ed56fb</x:v>
      </x:c>
    </x:row>
    <x:row r="412" ht="82" customHeight="1">
      <x:c r="A412" s="4" t="n">
        <x:v>411</x:v>
      </x:c>
      <x:c r="B412" s="4" t="str">
        <x:v>USER-0411</x:v>
      </x:c>
      <x:c r="C412" s="4" t="str">
        <x:v>M03 社交、私信、群聊与通知</x:v>
      </x:c>
      <x:c r="D412" s="4" t="str">
        <x:v>消息（粉丝团成员视角）</x:v>
      </x:c>
      <x:c r="E412" s="4" t="str">
        <x:v>功能需求</x:v>
      </x:c>
      <x:c r="F412" s="4" t="str">
        <x:v>P1</x:v>
      </x:c>
      <x:c r="G412" s="4" t="str">
        <x:v>验证退会通过影响群聊权限</x:v>
      </x:c>
      <x:c r="H412" s="4" t="str">
        <x:v>退会通过影响群聊权限</x:v>
      </x:c>
      <x:c r="I412" s="4" t="str">
        <x:v>1. 已登录粉丝团成员账号
2. 目标主播有在播场次及粉丝团，收益已结清，公会已完成退会通过</x:v>
      </x:c>
      <x:c r="J412" s="4" t="str">
        <x:v>1. 进入「消息」页
2. 查看退会通过影响群聊权限</x:v>
      </x:c>
      <x:c r="K412" s="4" t="str">
        <x:v>原粉丝群会话入口移除</x:v>
      </x:c>
      <x:c r="L412" s="4" t="str">
        <x:v>FLOW-289CDBD1</x:v>
      </x:c>
      <x:c r="M412" s="4" t="str">
        <x:v>未测</x:v>
      </x:c>
      <x:c r="N412" s="4" t="str"/>
      <x:c r="O412" s="4" t="str">
        <x:v>1. 来源：MainBasis/统一需求文档.md；U-guild-leave-application-006、U-guild-detail-015
2. 场景：SC-4848fbea242a62
3. 状态转换：ST-D5B9B34DDEFD</x:v>
      </x:c>
    </x:row>
    <x:row r="413" ht="82" customHeight="1">
      <x:c r="A413" s="4" t="n">
        <x:v>412</x:v>
      </x:c>
      <x:c r="B413" s="4" t="str">
        <x:v>USER-0412</x:v>
      </x:c>
      <x:c r="C413" s="4" t="str">
        <x:v>M03 社交、私信、群聊与通知</x:v>
      </x:c>
      <x:c r="D413" s="4" t="str">
        <x:v>消息（粉丝团成员视角）</x:v>
      </x:c>
      <x:c r="E413" s="4" t="str">
        <x:v>功能需求</x:v>
      </x:c>
      <x:c r="F413" s="4" t="str">
        <x:v>P1</x:v>
      </x:c>
      <x:c r="G413" s="4" t="str">
        <x:v>验证公会移出影响群聊权限</x:v>
      </x:c>
      <x:c r="H413" s="4" t="str">
        <x:v>公会移出影响群聊权限</x:v>
      </x:c>
      <x:c r="I413" s="4" t="str">
        <x:v>1. 已登录粉丝团成员账号
2. 目标主播有在播场次及粉丝团，收益已结清，公会已完成公会移出</x:v>
      </x:c>
      <x:c r="J413" s="4" t="str">
        <x:v>1. 进入「消息」页
2. 查看公会移出影响群聊权限</x:v>
      </x:c>
      <x:c r="K413" s="4" t="str">
        <x:v>原粉丝群会话入口移除</x:v>
      </x:c>
      <x:c r="L413" s="4" t="str">
        <x:v>FLOW-EA7D49B9</x:v>
      </x:c>
      <x:c r="M413" s="4" t="str">
        <x:v>未测</x:v>
      </x:c>
      <x:c r="N413" s="4" t="str"/>
      <x:c r="O413" s="4" t="str">
        <x:v>1. 来源：MainBasis/统一需求文档.md；U-guild-leave-application-006、U-guild-detail-015
2. 场景：SC-8f8b1b54689fc2
3. 状态转换：ST-6CB4EB33D1A6</x:v>
      </x:c>
    </x:row>
    <x:row r="414" ht="54" customHeight="1">
      <x:c r="A414" s="4" t="n">
        <x:v>413</x:v>
      </x:c>
      <x:c r="B414" s="4" t="str">
        <x:v>USER-0413</x:v>
      </x:c>
      <x:c r="C414" s="4" t="str">
        <x:v>M03 社交、私信、群聊与通知</x:v>
      </x:c>
      <x:c r="D414" s="4" t="str">
        <x:v>消息（用户视角）</x:v>
      </x:c>
      <x:c r="E414" s="4" t="str">
        <x:v>功能需求</x:v>
      </x:c>
      <x:c r="F414" s="4" t="str">
        <x:v>P1</x:v>
      </x:c>
      <x:c r="G414" s="4" t="str">
        <x:v>验证消息会话账号隔离</x:v>
      </x:c>
      <x:c r="H414" s="4" t="str">
        <x:v>消息会话账号隔离</x:v>
      </x:c>
      <x:c r="I414" s="4" t="str">
        <x:v>1. 已登录用户账号
2. 当前账号有一条私信、一条有效粉丝群，另一账号有独立私信</x:v>
      </x:c>
      <x:c r="J414" s="4" t="str">
        <x:v>1. 进入「消息」页
2. 查看消息会话账号隔离</x:v>
      </x:c>
      <x:c r="K414" s="4" t="str">
        <x:v>只显示当前账号的两条会话及独立系统/互动通知入口</x:v>
      </x:c>
      <x:c r="L414" s="4" t="str"/>
      <x:c r="M414" s="4" t="str">
        <x:v>未测</x:v>
      </x:c>
      <x:c r="N414" s="4" t="str"/>
      <x:c r="O414" s="4" t="str">
        <x:v>1. 来源：MainBasis/统一需求文档.md；U-message-center-008
2. 场景：SC-675f9eaf8a8dcd</x:v>
      </x:c>
    </x:row>
    <x:row r="415" ht="54" customHeight="1">
      <x:c r="A415" s="4" t="n">
        <x:v>414</x:v>
      </x:c>
      <x:c r="B415" s="4" t="str">
        <x:v>USER-0414</x:v>
      </x:c>
      <x:c r="C415" s="4" t="str">
        <x:v>M03 社交、私信、群聊与通知</x:v>
      </x:c>
      <x:c r="D415" s="4" t="str">
        <x:v>粉丝团群聊（用户视角）</x:v>
      </x:c>
      <x:c r="E415" s="4" t="str">
        <x:v>功能需求</x:v>
      </x:c>
      <x:c r="F415" s="4" t="str">
        <x:v>P2</x:v>
      </x:c>
      <x:c r="G415" s="4" t="str">
        <x:v>验证会话回显</x:v>
      </x:c>
      <x:c r="H415" s="4" t="str">
        <x:v>会话回显</x:v>
      </x:c>
      <x:c r="I415" s="4" t="str">
        <x:v>1. 已登录用户账号
2. 所选对象存在，已记录该对象的会话值</x:v>
      </x:c>
      <x:c r="J415" s="4" t="str">
        <x:v>1. 进入「消息」页
2. 打开「粉丝团群聊」视图
3. 查看会话回显</x:v>
      </x:c>
      <x:c r="K415" s="4" t="str">
        <x:v>「会话」内容与所选对象的该项资料一致</x:v>
      </x:c>
      <x:c r="L415" s="4" t="str"/>
      <x:c r="M415" s="4" t="str">
        <x:v>未测</x:v>
      </x:c>
      <x:c r="N415" s="4" t="str"/>
      <x:c r="O415" s="4" t="str">
        <x:v>1. 来源：MainBasis/统一需求文档.md；U-views_message-center_fan-group-002
2. 场景：SC-9c9694820ff238</x:v>
      </x:c>
    </x:row>
    <x:row r="416" ht="82" customHeight="1">
      <x:c r="A416" s="4" t="n">
        <x:v>415</x:v>
      </x:c>
      <x:c r="B416" s="4" t="str">
        <x:v>USER-0415</x:v>
      </x:c>
      <x:c r="C416" s="4" t="str">
        <x:v>M03 社交、私信、群聊与通知</x:v>
      </x:c>
      <x:c r="D416" s="4" t="str">
        <x:v>粉丝团群聊（用户视角）</x:v>
      </x:c>
      <x:c r="E416" s="4" t="str">
        <x:v>功能需求</x:v>
      </x:c>
      <x:c r="F416" s="4" t="str">
        <x:v>P1</x:v>
      </x:c>
      <x:c r="G416" s="4" t="str">
        <x:v>验证主动退出移除粉丝群入口</x:v>
      </x:c>
      <x:c r="H416" s="4" t="str">
        <x:v>主动退出移除粉丝群入口</x:v>
      </x:c>
      <x:c r="I416" s="4" t="str">
        <x:v>1. 已登录用户账号
2. 当前账号原具有团籍，随后已主动退出</x:v>
      </x:c>
      <x:c r="J416" s="4" t="str">
        <x:v>1. 进入「消息」页
2. 打开「粉丝团群聊」视图
3. 查看主动退出移除粉丝群入口</x:v>
      </x:c>
      <x:c r="K416" s="4" t="str">
        <x:v>消息列表不再包含该粉丝群会话</x:v>
      </x:c>
      <x:c r="L416" s="4" t="str"/>
      <x:c r="M416" s="4" t="str">
        <x:v>未测</x:v>
      </x:c>
      <x:c r="N416" s="4" t="str"/>
      <x:c r="O416" s="4" t="str">
        <x:v>1. 来源：MainBasis/统一需求文档.md；U-views_message-center_fan-group-006、U-message-center-007、U-views_message-center_fan-group-004
2. 场景：SC-47beea524aecc2</x:v>
      </x:c>
    </x:row>
    <x:row r="417" ht="82" customHeight="1">
      <x:c r="A417" s="4" t="n">
        <x:v>416</x:v>
      </x:c>
      <x:c r="B417" s="4" t="str">
        <x:v>USER-0416</x:v>
      </x:c>
      <x:c r="C417" s="4" t="str">
        <x:v>M03 社交、私信、群聊与通知</x:v>
      </x:c>
      <x:c r="D417" s="4" t="str">
        <x:v>粉丝团群聊（用户视角）</x:v>
      </x:c>
      <x:c r="E417" s="4" t="str">
        <x:v>功能需求</x:v>
      </x:c>
      <x:c r="F417" s="4" t="str">
        <x:v>P1</x:v>
      </x:c>
      <x:c r="G417" s="4" t="str">
        <x:v>验证被主播移出移除粉丝群入口</x:v>
      </x:c>
      <x:c r="H417" s="4" t="str">
        <x:v>被主播移出移除粉丝群入口</x:v>
      </x:c>
      <x:c r="I417" s="4" t="str">
        <x:v>1. 已登录用户账号
2. 当前账号原具有团籍，随后已被主播移出</x:v>
      </x:c>
      <x:c r="J417" s="4" t="str">
        <x:v>1. 进入「消息」页
2. 打开「粉丝团群聊」视图
3. 查看被主播移出移除粉丝群入口</x:v>
      </x:c>
      <x:c r="K417" s="4" t="str">
        <x:v>消息列表不再包含该粉丝群会话</x:v>
      </x:c>
      <x:c r="L417" s="4" t="str"/>
      <x:c r="M417" s="4" t="str">
        <x:v>未测</x:v>
      </x:c>
      <x:c r="N417" s="4" t="str"/>
      <x:c r="O417" s="4" t="str">
        <x:v>1. 来源：MainBasis/统一需求文档.md；U-views_message-center_fan-group-006、U-message-center-007、U-views_message-center_fan-group-004
2. 场景：SC-3ac3136bd4c165</x:v>
      </x:c>
    </x:row>
    <x:row r="418" ht="82" customHeight="1">
      <x:c r="A418" s="4" t="n">
        <x:v>417</x:v>
      </x:c>
      <x:c r="B418" s="4" t="str">
        <x:v>USER-0417</x:v>
      </x:c>
      <x:c r="C418" s="4" t="str">
        <x:v>M03 社交、私信、群聊与通知</x:v>
      </x:c>
      <x:c r="D418" s="4" t="str">
        <x:v>粉丝团群聊（用户视角）</x:v>
      </x:c>
      <x:c r="E418" s="4" t="str">
        <x:v>功能需求</x:v>
      </x:c>
      <x:c r="F418" s="4" t="str">
        <x:v>P1</x:v>
      </x:c>
      <x:c r="G418" s="4" t="str">
        <x:v>验证拉黑主播移除粉丝群入口</x:v>
      </x:c>
      <x:c r="H418" s="4" t="str">
        <x:v>拉黑主播移除粉丝群入口</x:v>
      </x:c>
      <x:c r="I418" s="4" t="str">
        <x:v>1. 已登录用户账号
2. 当前账号原具有团籍，随后已拉黑主播</x:v>
      </x:c>
      <x:c r="J418" s="4" t="str">
        <x:v>1. 进入「消息」页
2. 打开「粉丝团群聊」视图
3. 查看拉黑主播移除粉丝群入口</x:v>
      </x:c>
      <x:c r="K418" s="4" t="str">
        <x:v>消息列表不再包含该粉丝群会话</x:v>
      </x:c>
      <x:c r="L418" s="4" t="str"/>
      <x:c r="M418" s="4" t="str">
        <x:v>未测</x:v>
      </x:c>
      <x:c r="N418" s="4" t="str"/>
      <x:c r="O418" s="4" t="str">
        <x:v>1. 来源：MainBasis/统一需求文档.md；U-views_message-center_fan-group-006、U-message-center-007、U-views_message-center_fan-group-004
2. 场景：SC-4ee60e68060583</x:v>
      </x:c>
    </x:row>
    <x:row r="419" ht="68" customHeight="1">
      <x:c r="A419" s="4" t="n">
        <x:v>418</x:v>
      </x:c>
      <x:c r="B419" s="4" t="str">
        <x:v>USER-0418</x:v>
      </x:c>
      <x:c r="C419" s="4" t="str">
        <x:v>M03 社交、私信、群聊与通知</x:v>
      </x:c>
      <x:c r="D419" s="4" t="str">
        <x:v>粉丝团群聊（用户视角）</x:v>
      </x:c>
      <x:c r="E419" s="4" t="str">
        <x:v>功能需求</x:v>
      </x:c>
      <x:c r="F419" s="4" t="str">
        <x:v>P1</x:v>
      </x:c>
      <x:c r="G419" s="4" t="str">
        <x:v>验证粉丝群只含有效团籍</x:v>
      </x:c>
      <x:c r="H419" s="4" t="str">
        <x:v>粉丝群只含有效团籍</x:v>
      </x:c>
      <x:c r="I419" s="4" t="str">
        <x:v>1. 已登录用户账号
2. 账号有一个有效团籍和一个已失效团籍</x:v>
      </x:c>
      <x:c r="J419" s="4" t="str">
        <x:v>1. 进入「消息」页
2. 打开「粉丝团群聊」视图
3. 查看粉丝群只含有效团籍</x:v>
      </x:c>
      <x:c r="K419" s="4" t="str">
        <x:v>粉丝群会话列表仅显示有效团籍对应会话</x:v>
      </x:c>
      <x:c r="L419" s="4" t="str"/>
      <x:c r="M419" s="4" t="str">
        <x:v>未测</x:v>
      </x:c>
      <x:c r="N419" s="4" t="str"/>
      <x:c r="O419" s="4" t="str">
        <x:v>1. 来源：MainBasis/统一需求文档.md；U-views_message-center_fan-group-005、U-views_message-center_fan-group-003
2. 场景：SC-b9ceb190ae0641</x:v>
      </x:c>
    </x:row>
    <x:row r="420" ht="54" customHeight="1">
      <x:c r="A420" s="4" t="n">
        <x:v>419</x:v>
      </x:c>
      <x:c r="B420" s="4" t="str">
        <x:v>USER-0419</x:v>
      </x:c>
      <x:c r="C420" s="4" t="str">
        <x:v>M03 社交、私信、群聊与通知</x:v>
      </x:c>
      <x:c r="D420" s="4" t="str">
        <x:v>系统通知（用户视角）</x:v>
      </x:c>
      <x:c r="E420" s="4" t="str">
        <x:v>功能需求</x:v>
      </x:c>
      <x:c r="F420" s="4" t="str">
        <x:v>P2</x:v>
      </x:c>
      <x:c r="G420" s="4" t="str">
        <x:v>验证通知类型回显</x:v>
      </x:c>
      <x:c r="H420" s="4" t="str">
        <x:v>通知类型回显</x:v>
      </x:c>
      <x:c r="I420" s="4" t="str">
        <x:v>1. 已登录用户账号
2. 所选对象存在，已记录该对象的通知类型值</x:v>
      </x:c>
      <x:c r="J420" s="4" t="str">
        <x:v>1. 进入「系统通知」页
2. 查看通知类型回显</x:v>
      </x:c>
      <x:c r="K420" s="4" t="str">
        <x:v>「通知类型」内容与所选对象的该项资料一致</x:v>
      </x:c>
      <x:c r="L420" s="4" t="str"/>
      <x:c r="M420" s="4" t="str">
        <x:v>未测</x:v>
      </x:c>
      <x:c r="N420" s="4" t="str"/>
      <x:c r="O420" s="4" t="str">
        <x:v>1. 来源：MainBasis/统一需求文档.md；U-system-notifications-002
2. 场景：SC-8f385b6b274f61</x:v>
      </x:c>
    </x:row>
    <x:row r="421" ht="54" customHeight="1">
      <x:c r="A421" s="4" t="n">
        <x:v>420</x:v>
      </x:c>
      <x:c r="B421" s="4" t="str">
        <x:v>USER-0420</x:v>
      </x:c>
      <x:c r="C421" s="4" t="str">
        <x:v>M03 社交、私信、群聊与通知</x:v>
      </x:c>
      <x:c r="D421" s="4" t="str">
        <x:v>系统通知（用户视角）</x:v>
      </x:c>
      <x:c r="E421" s="4" t="str">
        <x:v>功能需求</x:v>
      </x:c>
      <x:c r="F421" s="4" t="str">
        <x:v>P2</x:v>
      </x:c>
      <x:c r="G421" s="4" t="str">
        <x:v>验证已读状态回显</x:v>
      </x:c>
      <x:c r="H421" s="4" t="str">
        <x:v>已读状态回显</x:v>
      </x:c>
      <x:c r="I421" s="4" t="str">
        <x:v>1. 已登录用户账号
2. 所选对象存在，已记录该对象的已读状态值</x:v>
      </x:c>
      <x:c r="J421" s="4" t="str">
        <x:v>1. 进入「系统通知」页
2. 查看已读状态回显</x:v>
      </x:c>
      <x:c r="K421" s="4" t="str">
        <x:v>「已读状态」内容与所选对象的该项资料一致</x:v>
      </x:c>
      <x:c r="L421" s="4" t="str"/>
      <x:c r="M421" s="4" t="str">
        <x:v>未测</x:v>
      </x:c>
      <x:c r="N421" s="4" t="str"/>
      <x:c r="O421" s="4" t="str">
        <x:v>1. 来源：MainBasis/统一需求文档.md；U-system-notifications-004
2. 场景：SC-1e04ae9209f114</x:v>
      </x:c>
    </x:row>
    <x:row r="422" ht="68" customHeight="1">
      <x:c r="A422" s="4" t="n">
        <x:v>421</x:v>
      </x:c>
      <x:c r="B422" s="4" t="str">
        <x:v>USER-0421</x:v>
      </x:c>
      <x:c r="C422" s="4" t="str">
        <x:v>M03 社交、私信、群聊与通知</x:v>
      </x:c>
      <x:c r="D422" s="4" t="str">
        <x:v>系统通知（用户视角）</x:v>
      </x:c>
      <x:c r="E422" s="4" t="str">
        <x:v>功能需求</x:v>
      </x:c>
      <x:c r="F422" s="4" t="str">
        <x:v>P1</x:v>
      </x:c>
      <x:c r="G422" s="4" t="str">
        <x:v>验证系统通知主排序</x:v>
      </x:c>
      <x:c r="H422" s="4" t="str">
        <x:v>系统通知主排序</x:v>
      </x:c>
      <x:c r="I422" s="4" t="str">
        <x:v>1. 已登录用户账号
2. 有3条当前账号可见记录，时间依次为10:00、10:01、10:02</x:v>
      </x:c>
      <x:c r="J422" s="4" t="str">
        <x:v>1. 进入「系统通知」页
2. 查看系统通知主排序</x:v>
      </x:c>
      <x:c r="K422" s="4" t="str">
        <x:v>系统通知按生成时间倒序排列</x:v>
      </x:c>
      <x:c r="L422" s="4" t="str"/>
      <x:c r="M422" s="4" t="str">
        <x:v>未测</x:v>
      </x:c>
      <x:c r="N422" s="4" t="str"/>
      <x:c r="O422" s="4" t="str">
        <x:v>1. 来源：MainBasis/统一需求文档.md；U-system-notifications-007、U-system-notifications-003
2. 场景：SC-aabcd075bffb5d</x:v>
      </x:c>
    </x:row>
    <x:row r="423" ht="68" customHeight="1">
      <x:c r="A423" s="4" t="n">
        <x:v>422</x:v>
      </x:c>
      <x:c r="B423" s="4" t="str">
        <x:v>USER-0422</x:v>
      </x:c>
      <x:c r="C423" s="4" t="str">
        <x:v>M03 社交、私信、群聊与通知</x:v>
      </x:c>
      <x:c r="D423" s="4" t="str">
        <x:v>系统通知（用户视角）</x:v>
      </x:c>
      <x:c r="E423" s="4" t="str">
        <x:v>功能需求</x:v>
      </x:c>
      <x:c r="F423" s="4" t="str">
        <x:v>P1</x:v>
      </x:c>
      <x:c r="G423" s="4" t="str">
        <x:v>验证系统通知同时间排序</x:v>
      </x:c>
      <x:c r="H423" s="4" t="str">
        <x:v>系统通知同时间排序</x:v>
      </x:c>
      <x:c r="I423" s="4" t="str">
        <x:v>1. 已登录用户账号
2. 有2条时间相同且ID数字分别为10、20的可见记录</x:v>
      </x:c>
      <x:c r="J423" s="4" t="str">
        <x:v>1. 进入「系统通知」页
2. 查看系统通知同时间排序</x:v>
      </x:c>
      <x:c r="K423" s="4" t="str">
        <x:v>ID 20排在另一条前</x:v>
      </x:c>
      <x:c r="L423" s="4" t="str"/>
      <x:c r="M423" s="4" t="str">
        <x:v>未测</x:v>
      </x:c>
      <x:c r="N423" s="4" t="str"/>
      <x:c r="O423" s="4" t="str">
        <x:v>1. 来源：MainBasis/统一需求文档.md；U-system-notifications-007、U-system-notifications-003
2. 场景：SC-8ea5af66aff7e3</x:v>
      </x:c>
    </x:row>
    <x:row r="424" ht="54" customHeight="1">
      <x:c r="A424" s="4" t="n">
        <x:v>423</x:v>
      </x:c>
      <x:c r="B424" s="4" t="str">
        <x:v>USER-0423</x:v>
      </x:c>
      <x:c r="C424" s="4" t="str">
        <x:v>M03 社交、私信、群聊与通知</x:v>
      </x:c>
      <x:c r="D424" s="4" t="str">
        <x:v>系统通知（用户视角）</x:v>
      </x:c>
      <x:c r="E424" s="4" t="str">
        <x:v>功能需求</x:v>
      </x:c>
      <x:c r="F424" s="4" t="str">
        <x:v>P1</x:v>
      </x:c>
      <x:c r="G424" s="4" t="str">
        <x:v>验证系统通知只读</x:v>
      </x:c>
      <x:c r="H424" s="4" t="str">
        <x:v>系统通知只读</x:v>
      </x:c>
      <x:c r="I424" s="4" t="str">
        <x:v>1. 已登录用户账号
2. 有一条主播权限变更通知</x:v>
      </x:c>
      <x:c r="J424" s="4" t="str">
        <x:v>1. 进入「系统通知」页
2. 查看系统通知只读</x:v>
      </x:c>
      <x:c r="K424" s="4" t="str">
        <x:v>通知不提供跳转、回复或业务处理操作</x:v>
      </x:c>
      <x:c r="L424" s="4" t="str"/>
      <x:c r="M424" s="4" t="str">
        <x:v>未测</x:v>
      </x:c>
      <x:c r="N424" s="4" t="str"/>
      <x:c r="O424" s="4" t="str">
        <x:v>1. 来源：MainBasis/统一需求文档.md；U-system-notifications-005
2. 场景：SC-e89481c48df0bf</x:v>
      </x:c>
    </x:row>
    <x:row r="425" ht="54" customHeight="1">
      <x:c r="A425" s="4" t="n">
        <x:v>424</x:v>
      </x:c>
      <x:c r="B425" s="4" t="str">
        <x:v>USER-0424</x:v>
      </x:c>
      <x:c r="C425" s="4" t="str">
        <x:v>M03 社交、私信、群聊与通知</x:v>
      </x:c>
      <x:c r="D425" s="4" t="str">
        <x:v>系统通知（用户视角）</x:v>
      </x:c>
      <x:c r="E425" s="4" t="str">
        <x:v>功能需求</x:v>
      </x:c>
      <x:c r="F425" s="4" t="str">
        <x:v>P1</x:v>
      </x:c>
      <x:c r="G425" s="4" t="str">
        <x:v>验证系统通知按收件账号隔离</x:v>
      </x:c>
      <x:c r="H425" s="4" t="str">
        <x:v>系统通知按收件账号隔离</x:v>
      </x:c>
      <x:c r="I425" s="4" t="str">
        <x:v>1. 已登录用户账号
2. 存在只发送给另一账号的通知</x:v>
      </x:c>
      <x:c r="J425" s="4" t="str">
        <x:v>1. 进入「系统通知」页
2. 查看系统通知按收件账号隔离</x:v>
      </x:c>
      <x:c r="K425" s="4" t="str">
        <x:v>列表不显示另一账号的通知</x:v>
      </x:c>
      <x:c r="L425" s="4" t="str"/>
      <x:c r="M425" s="4" t="str">
        <x:v>未测</x:v>
      </x:c>
      <x:c r="N425" s="4" t="str"/>
      <x:c r="O425" s="4" t="str">
        <x:v>1. 来源：MainBasis/统一需求文档.md；U-system-notifications-006
2. 场景：SC-4080a0185f3268</x:v>
      </x:c>
    </x:row>
    <x:row r="426" ht="54" customHeight="1">
      <x:c r="A426" s="4" t="n">
        <x:v>425</x:v>
      </x:c>
      <x:c r="B426" s="4" t="str">
        <x:v>USER-0425</x:v>
      </x:c>
      <x:c r="C426" s="4" t="str">
        <x:v>M03 社交、私信、群聊与通知</x:v>
      </x:c>
      <x:c r="D426" s="4" t="str">
        <x:v>系统通知（用户视角）</x:v>
      </x:c>
      <x:c r="E426" s="4" t="str">
        <x:v>功能需求</x:v>
      </x:c>
      <x:c r="F426" s="4" t="str">
        <x:v>P1</x:v>
      </x:c>
      <x:c r="G426" s="4" t="str">
        <x:v>验证查看系统通知标记已读</x:v>
      </x:c>
      <x:c r="H426" s="4" t="str">
        <x:v>查看系统通知标记已读</x:v>
      </x:c>
      <x:c r="I426" s="4" t="str">
        <x:v>1. 已登录用户账号
2. 有一条未读系统通知</x:v>
      </x:c>
      <x:c r="J426" s="4" t="str">
        <x:v>1. 进入「系统通知」页
2. 查看该条通知
3. 返回消息中心</x:v>
      </x:c>
      <x:c r="K426" s="4" t="str">
        <x:v>该通知标记为已读</x:v>
      </x:c>
      <x:c r="L426" s="4" t="str"/>
      <x:c r="M426" s="4" t="str">
        <x:v>未测</x:v>
      </x:c>
      <x:c r="N426" s="4" t="str"/>
      <x:c r="O426" s="4" t="str">
        <x:v>1. 来源：MainBasis/统一需求文档.md；U-system-notifications-004
2. 场景：SC-8d124c02e7ea79</x:v>
      </x:c>
    </x:row>
    <x:row r="427" ht="68" customHeight="1">
      <x:c r="A427" s="4" t="n">
        <x:v>426</x:v>
      </x:c>
      <x:c r="B427" s="4" t="str">
        <x:v>USER-0426</x:v>
      </x:c>
      <x:c r="C427" s="4" t="str">
        <x:v>M03 社交、私信、群聊与通知</x:v>
      </x:c>
      <x:c r="D427" s="4" t="str">
        <x:v>系统通知（用户视角）</x:v>
      </x:c>
      <x:c r="E427" s="4" t="str">
        <x:v>功能需求</x:v>
      </x:c>
      <x:c r="F427" s="4" t="str">
        <x:v>P1</x:v>
      </x:c>
      <x:c r="G427" s="4" t="str">
        <x:v>验证关注主播开播提醒</x:v>
      </x:c>
      <x:c r="H427" s="4" t="str">
        <x:v>关注主播开播提醒</x:v>
      </x:c>
      <x:c r="I427" s="4" t="str">
        <x:v>1. 已登录用户账号
2. 已关注目标主播，系统通知权限与开播提醒偏好均开启
3. 目标主播开始新场次</x:v>
      </x:c>
      <x:c r="J427" s="4" t="str">
        <x:v>1. 进入「系统通知」页
2. 查看关注主播开播提醒</x:v>
      </x:c>
      <x:c r="K427" s="4" t="str">
        <x:v>收到该主播开播提醒</x:v>
      </x:c>
      <x:c r="L427" s="4" t="str"/>
      <x:c r="M427" s="4" t="str">
        <x:v>未测</x:v>
      </x:c>
      <x:c r="N427" s="4" t="str"/>
      <x:c r="O427" s="4" t="str">
        <x:v>1. 来源：MainBasis/统一需求文档.md；D-SYS-094、U-system-notifications-002
2. 场景：SC-1c0df2bf120f8f</x:v>
      </x:c>
    </x:row>
    <x:row r="428" ht="54" customHeight="1">
      <x:c r="A428" s="4" t="n">
        <x:v>427</x:v>
      </x:c>
      <x:c r="B428" s="4" t="str">
        <x:v>USER-0427</x:v>
      </x:c>
      <x:c r="C428" s="4" t="str">
        <x:v>M03 社交、私信、群聊与通知</x:v>
      </x:c>
      <x:c r="D428" s="4" t="str">
        <x:v>系统通知（用户视角）</x:v>
      </x:c>
      <x:c r="E428" s="4" t="str">
        <x:v>功能需求</x:v>
      </x:c>
      <x:c r="F428" s="4" t="str">
        <x:v>P1</x:v>
      </x:c>
      <x:c r="G428" s="4" t="str">
        <x:v>验证直播不处置通知举报人</x:v>
      </x:c>
      <x:c r="H428" s="4" t="str">
        <x:v>直播不处置通知举报人</x:v>
      </x:c>
      <x:c r="I428" s="4" t="str">
        <x:v>1. 已登录用户账号
2. 我提交的举报已由后台按直播不处置处理</x:v>
      </x:c>
      <x:c r="J428" s="4" t="str">
        <x:v>1. 进入「系统通知」页
2. 查看直播不处置通知举报人</x:v>
      </x:c>
      <x:c r="K428" s="4" t="str">
        <x:v>收到通知“举报内容暂无可处置违规，感谢您的反馈”</x:v>
      </x:c>
      <x:c r="L428" s="4" t="str"/>
      <x:c r="M428" s="4" t="str">
        <x:v>未测</x:v>
      </x:c>
      <x:c r="N428" s="4" t="str"/>
      <x:c r="O428" s="4" t="str">
        <x:v>1. 来源：MainBasis/统一需求文档.md；D-SYS-115、U-system-notifications-002
2. 场景：SC-10a05a14904f6c</x:v>
      </x:c>
    </x:row>
    <x:row r="429" ht="68" customHeight="1">
      <x:c r="A429" s="4" t="n">
        <x:v>428</x:v>
      </x:c>
      <x:c r="B429" s="4" t="str">
        <x:v>USER-0428</x:v>
      </x:c>
      <x:c r="C429" s="4" t="str">
        <x:v>M03 社交、私信、群聊与通知</x:v>
      </x:c>
      <x:c r="D429" s="4" t="str">
        <x:v>系统通知（用户视角）</x:v>
      </x:c>
      <x:c r="E429" s="4" t="str">
        <x:v>功能需求</x:v>
      </x:c>
      <x:c r="F429" s="4" t="str">
        <x:v>P1</x:v>
      </x:c>
      <x:c r="G429" s="4" t="str">
        <x:v>验证直播警告通知举报人</x:v>
      </x:c>
      <x:c r="H429" s="4" t="str">
        <x:v>直播警告通知举报人</x:v>
      </x:c>
      <x:c r="I429" s="4" t="str">
        <x:v>1. 已登录用户账号
2. 我提交的举报已由后台按直播警告处理</x:v>
      </x:c>
      <x:c r="J429" s="4" t="str">
        <x:v>1. 进入「系统通知」页
2. 查看直播警告通知举报人</x:v>
      </x:c>
      <x:c r="K429" s="4" t="str">
        <x:v>收到通知“举报成立，平台已依规处理”</x:v>
      </x:c>
      <x:c r="L429" s="4" t="str"/>
      <x:c r="M429" s="4" t="str">
        <x:v>未测</x:v>
      </x:c>
      <x:c r="N429" s="4" t="str"/>
      <x:c r="O429" s="4" t="str">
        <x:v>1. 来源：MainBasis/统一需求文档.md；D-SYS-116、U-system-notifications-002、A-admin-report-detail-006
2. 场景：SC-d315dd604b3155</x:v>
      </x:c>
    </x:row>
    <x:row r="430" ht="54" customHeight="1">
      <x:c r="A430" s="4" t="n">
        <x:v>429</x:v>
      </x:c>
      <x:c r="B430" s="4" t="str">
        <x:v>USER-0429</x:v>
      </x:c>
      <x:c r="C430" s="4" t="str">
        <x:v>M03 社交、私信、群聊与通知</x:v>
      </x:c>
      <x:c r="D430" s="4" t="str">
        <x:v>系统通知（用户视角）</x:v>
      </x:c>
      <x:c r="E430" s="4" t="str">
        <x:v>功能需求</x:v>
      </x:c>
      <x:c r="F430" s="4" t="str">
        <x:v>P1</x:v>
      </x:c>
      <x:c r="G430" s="4" t="str">
        <x:v>验证直播关播通知举报人</x:v>
      </x:c>
      <x:c r="H430" s="4" t="str">
        <x:v>直播关播通知举报人</x:v>
      </x:c>
      <x:c r="I430" s="4" t="str">
        <x:v>1. 已登录用户账号
2. 我提交的举报已由后台按直播关播处理</x:v>
      </x:c>
      <x:c r="J430" s="4" t="str">
        <x:v>1. 进入「系统通知」页
2. 查看直播关播通知举报人</x:v>
      </x:c>
      <x:c r="K430" s="4" t="str">
        <x:v>收到通知“举报成立，平台已依规处理”</x:v>
      </x:c>
      <x:c r="L430" s="4" t="str"/>
      <x:c r="M430" s="4" t="str">
        <x:v>未测</x:v>
      </x:c>
      <x:c r="N430" s="4" t="str"/>
      <x:c r="O430" s="4" t="str">
        <x:v>1. 来源：MainBasis/统一需求文档.md；D-SYS-117、U-system-notifications-002
2. 场景：SC-bf00fe604b46b7</x:v>
      </x:c>
    </x:row>
    <x:row r="431" ht="54" customHeight="1">
      <x:c r="A431" s="4" t="n">
        <x:v>430</x:v>
      </x:c>
      <x:c r="B431" s="4" t="str">
        <x:v>USER-0430</x:v>
      </x:c>
      <x:c r="C431" s="4" t="str">
        <x:v>M03 社交、私信、群聊与通知</x:v>
      </x:c>
      <x:c r="D431" s="4" t="str">
        <x:v>系统通知（用户视角）</x:v>
      </x:c>
      <x:c r="E431" s="4" t="str">
        <x:v>功能需求</x:v>
      </x:c>
      <x:c r="F431" s="4" t="str">
        <x:v>P1</x:v>
      </x:c>
      <x:c r="G431" s="4" t="str">
        <x:v>验证关闭直播权限通知举报人</x:v>
      </x:c>
      <x:c r="H431" s="4" t="str">
        <x:v>关闭直播权限通知举报人</x:v>
      </x:c>
      <x:c r="I431" s="4" t="str">
        <x:v>1. 已登录用户账号
2. 我提交的举报已由后台按关闭直播权限处理</x:v>
      </x:c>
      <x:c r="J431" s="4" t="str">
        <x:v>1. 进入「系统通知」页
2. 查看关闭直播权限通知举报人</x:v>
      </x:c>
      <x:c r="K431" s="4" t="str">
        <x:v>收到通知“举报成立，平台已依规处理”</x:v>
      </x:c>
      <x:c r="L431" s="4" t="str"/>
      <x:c r="M431" s="4" t="str">
        <x:v>未测</x:v>
      </x:c>
      <x:c r="N431" s="4" t="str"/>
      <x:c r="O431" s="4" t="str">
        <x:v>1. 来源：MainBasis/统一需求文档.md；D-SYS-118、U-system-notifications-002
2. 场景：SC-93359d8bff056e</x:v>
      </x:c>
    </x:row>
    <x:row r="432" ht="54" customHeight="1">
      <x:c r="A432" s="4" t="n">
        <x:v>431</x:v>
      </x:c>
      <x:c r="B432" s="4" t="str">
        <x:v>USER-0431</x:v>
      </x:c>
      <x:c r="C432" s="4" t="str">
        <x:v>M03 社交、私信、群聊与通知</x:v>
      </x:c>
      <x:c r="D432" s="4" t="str">
        <x:v>系统通知（用户视角）</x:v>
      </x:c>
      <x:c r="E432" s="4" t="str">
        <x:v>功能需求</x:v>
      </x:c>
      <x:c r="F432" s="4" t="str">
        <x:v>P1</x:v>
      </x:c>
      <x:c r="G432" s="4" t="str">
        <x:v>验证账号不处置通知举报人</x:v>
      </x:c>
      <x:c r="H432" s="4" t="str">
        <x:v>账号不处置通知举报人</x:v>
      </x:c>
      <x:c r="I432" s="4" t="str">
        <x:v>1. 已登录用户账号
2. 我提交的举报已由后台按账号不处置处理</x:v>
      </x:c>
      <x:c r="J432" s="4" t="str">
        <x:v>1. 进入「系统通知」页
2. 查看账号不处置通知举报人</x:v>
      </x:c>
      <x:c r="K432" s="4" t="str">
        <x:v>收到通知“举报账号暂无可处置的违规，感谢您的反馈”</x:v>
      </x:c>
      <x:c r="L432" s="4" t="str"/>
      <x:c r="M432" s="4" t="str">
        <x:v>未测</x:v>
      </x:c>
      <x:c r="N432" s="4" t="str"/>
      <x:c r="O432" s="4" t="str">
        <x:v>1. 来源：MainBasis/统一需求文档.md；D-SYS-121、U-system-notifications-002
2. 场景：SC-70e347078760ec</x:v>
      </x:c>
    </x:row>
    <x:row r="433" ht="54" customHeight="1">
      <x:c r="A433" s="4" t="n">
        <x:v>432</x:v>
      </x:c>
      <x:c r="B433" s="4" t="str">
        <x:v>USER-0432</x:v>
      </x:c>
      <x:c r="C433" s="4" t="str">
        <x:v>M03 社交、私信、群聊与通知</x:v>
      </x:c>
      <x:c r="D433" s="4" t="str">
        <x:v>系统通知（用户视角）</x:v>
      </x:c>
      <x:c r="E433" s="4" t="str">
        <x:v>功能需求</x:v>
      </x:c>
      <x:c r="F433" s="4" t="str">
        <x:v>P1</x:v>
      </x:c>
      <x:c r="G433" s="4" t="str">
        <x:v>验证账号封禁通知举报人</x:v>
      </x:c>
      <x:c r="H433" s="4" t="str">
        <x:v>账号封禁通知举报人</x:v>
      </x:c>
      <x:c r="I433" s="4" t="str">
        <x:v>1. 已登录用户账号
2. 我提交的举报已由后台按账号封禁处理</x:v>
      </x:c>
      <x:c r="J433" s="4" t="str">
        <x:v>1. 进入「系统通知」页
2. 查看账号封禁通知举报人</x:v>
      </x:c>
      <x:c r="K433" s="4" t="str">
        <x:v>收到通知“举报成立，平台已依规处理”</x:v>
      </x:c>
      <x:c r="L433" s="4" t="str"/>
      <x:c r="M433" s="4" t="str">
        <x:v>未测</x:v>
      </x:c>
      <x:c r="N433" s="4" t="str"/>
      <x:c r="O433" s="4" t="str">
        <x:v>1. 来源：MainBasis/统一需求文档.md；D-SYS-122、U-system-notifications-002
2. 场景：SC-58a5565a3696c3</x:v>
      </x:c>
    </x:row>
    <x:row r="434" ht="54" customHeight="1">
      <x:c r="A434" s="4" t="n">
        <x:v>433</x:v>
      </x:c>
      <x:c r="B434" s="4" t="str">
        <x:v>USER-0433</x:v>
      </x:c>
      <x:c r="C434" s="4" t="str">
        <x:v>M03 社交、私信、群聊与通知</x:v>
      </x:c>
      <x:c r="D434" s="4" t="str">
        <x:v>我的关注（用户视角）</x:v>
      </x:c>
      <x:c r="E434" s="4" t="str">
        <x:v>功能需求</x:v>
      </x:c>
      <x:c r="F434" s="4" t="str">
        <x:v>P2</x:v>
      </x:c>
      <x:c r="G434" s="4" t="str">
        <x:v>验证关注账号回显</x:v>
      </x:c>
      <x:c r="H434" s="4" t="str">
        <x:v>关注账号回显</x:v>
      </x:c>
      <x:c r="I434" s="4" t="str">
        <x:v>1. 已登录用户账号
2. 所选对象存在，已记录该对象的关注账号值</x:v>
      </x:c>
      <x:c r="J434" s="4" t="str">
        <x:v>1. 进入「我的关注」页
2. 查看关注账号回显</x:v>
      </x:c>
      <x:c r="K434" s="4" t="str">
        <x:v>「关注账号」内容与所选对象的该项资料一致</x:v>
      </x:c>
      <x:c r="L434" s="4" t="str"/>
      <x:c r="M434" s="4" t="str">
        <x:v>未测</x:v>
      </x:c>
      <x:c r="N434" s="4" t="str"/>
      <x:c r="O434" s="4" t="str">
        <x:v>1. 来源：MainBasis/统一需求文档.md；U-my-following-002
2. 场景：SC-6b1c7cfebd1cd2</x:v>
      </x:c>
    </x:row>
    <x:row r="435" ht="54" customHeight="1">
      <x:c r="A435" s="4" t="n">
        <x:v>434</x:v>
      </x:c>
      <x:c r="B435" s="4" t="str">
        <x:v>USER-0434</x:v>
      </x:c>
      <x:c r="C435" s="4" t="str">
        <x:v>M03 社交、私信、群聊与通知</x:v>
      </x:c>
      <x:c r="D435" s="4" t="str">
        <x:v>我的关注（用户视角）</x:v>
      </x:c>
      <x:c r="E435" s="4" t="str">
        <x:v>功能需求</x:v>
      </x:c>
      <x:c r="F435" s="4" t="str">
        <x:v>P2</x:v>
      </x:c>
      <x:c r="G435" s="4" t="str">
        <x:v>验证开播状态回显</x:v>
      </x:c>
      <x:c r="H435" s="4" t="str">
        <x:v>开播状态回显</x:v>
      </x:c>
      <x:c r="I435" s="4" t="str">
        <x:v>1. 已登录用户账号
2. 所选对象存在，已记录该对象的开播状态值</x:v>
      </x:c>
      <x:c r="J435" s="4" t="str">
        <x:v>1. 进入「我的关注」页
2. 查看开播状态回显</x:v>
      </x:c>
      <x:c r="K435" s="4" t="str">
        <x:v>「开播状态」内容与所选对象的该项资料一致</x:v>
      </x:c>
      <x:c r="L435" s="4" t="str"/>
      <x:c r="M435" s="4" t="str">
        <x:v>未测</x:v>
      </x:c>
      <x:c r="N435" s="4" t="str"/>
      <x:c r="O435" s="4" t="str">
        <x:v>1. 来源：MainBasis/统一需求文档.md；U-my-following-003
2. 场景：SC-ef7cfaac40622c</x:v>
      </x:c>
    </x:row>
    <x:row r="436" ht="54" customHeight="1">
      <x:c r="A436" s="4" t="n">
        <x:v>435</x:v>
      </x:c>
      <x:c r="B436" s="4" t="str">
        <x:v>USER-0435</x:v>
      </x:c>
      <x:c r="C436" s="4" t="str">
        <x:v>M03 社交、私信、群聊与通知</x:v>
      </x:c>
      <x:c r="D436" s="4" t="str">
        <x:v>我的关注（用户视角）</x:v>
      </x:c>
      <x:c r="E436" s="4" t="str">
        <x:v>功能需求</x:v>
      </x:c>
      <x:c r="F436" s="4" t="str">
        <x:v>P1</x:v>
      </x:c>
      <x:c r="G436" s="4" t="str">
        <x:v>验证关注列表时间倒序</x:v>
      </x:c>
      <x:c r="H436" s="4" t="str">
        <x:v>关注列表时间倒序</x:v>
      </x:c>
      <x:c r="I436" s="4" t="str">
        <x:v>1. 已登录用户账号
2. 三个账号关注时间各不相同</x:v>
      </x:c>
      <x:c r="J436" s="4" t="str">
        <x:v>1. 进入「我的关注」页
2. 查看关注列表时间倒序</x:v>
      </x:c>
      <x:c r="K436" s="4" t="str">
        <x:v>最新关注账号位于列表首位</x:v>
      </x:c>
      <x:c r="L436" s="4" t="str"/>
      <x:c r="M436" s="4" t="str">
        <x:v>未测</x:v>
      </x:c>
      <x:c r="N436" s="4" t="str"/>
      <x:c r="O436" s="4" t="str">
        <x:v>1. 来源：MainBasis/统一需求文档.md；U-my-following-005
2. 场景：SC-7d58d051e12868</x:v>
      </x:c>
    </x:row>
    <x:row r="437" ht="54" customHeight="1">
      <x:c r="A437" s="4" t="n">
        <x:v>436</x:v>
      </x:c>
      <x:c r="B437" s="4" t="str">
        <x:v>USER-0436</x:v>
      </x:c>
      <x:c r="C437" s="4" t="str">
        <x:v>M03 社交、私信、群聊与通知</x:v>
      </x:c>
      <x:c r="D437" s="4" t="str">
        <x:v>我的关注（用户视角）</x:v>
      </x:c>
      <x:c r="E437" s="4" t="str">
        <x:v>功能需求</x:v>
      </x:c>
      <x:c r="F437" s="4" t="str">
        <x:v>P1</x:v>
      </x:c>
      <x:c r="G437" s="4" t="str">
        <x:v>验证关注列表为空</x:v>
      </x:c>
      <x:c r="H437" s="4" t="str">
        <x:v>关注列表为空</x:v>
      </x:c>
      <x:c r="I437" s="4" t="str">
        <x:v>1. 已登录用户账号
2. 当前未关注任何账号</x:v>
      </x:c>
      <x:c r="J437" s="4" t="str">
        <x:v>1. 进入「我的关注」页
2. 查看关注列表为空</x:v>
      </x:c>
      <x:c r="K437" s="4" t="str">
        <x:v>显示关注列表空状态</x:v>
      </x:c>
      <x:c r="L437" s="4" t="str"/>
      <x:c r="M437" s="4" t="str">
        <x:v>未测</x:v>
      </x:c>
      <x:c r="N437" s="4" t="str"/>
      <x:c r="O437" s="4" t="str">
        <x:v>1. 来源：MainBasis/统一需求文档.md；U-my-following-006
2. 场景：SC-2b7c8e2e513c6f</x:v>
      </x:c>
    </x:row>
    <x:row r="438" ht="54" customHeight="1">
      <x:c r="A438" s="4" t="n">
        <x:v>437</x:v>
      </x:c>
      <x:c r="B438" s="4" t="str">
        <x:v>USER-0437</x:v>
      </x:c>
      <x:c r="C438" s="4" t="str">
        <x:v>M03 社交、私信、群聊与通知</x:v>
      </x:c>
      <x:c r="D438" s="4" t="str">
        <x:v>我的关注（用户视角）</x:v>
      </x:c>
      <x:c r="E438" s="4" t="str">
        <x:v>功能需求</x:v>
      </x:c>
      <x:c r="F438" s="4" t="str">
        <x:v>P1</x:v>
      </x:c>
      <x:c r="G438" s="4" t="str">
        <x:v>验证取消关注移出关注列表</x:v>
      </x:c>
      <x:c r="H438" s="4" t="str">
        <x:v>取消关注移出关注列表</x:v>
      </x:c>
      <x:c r="I438" s="4" t="str">
        <x:v>1. 已登录用户账号
2. 目标账号原本已关注，随后已取消关注</x:v>
      </x:c>
      <x:c r="J438" s="4" t="str">
        <x:v>1. 进入「我的关注」页
2. 查看取消关注移出关注列表</x:v>
      </x:c>
      <x:c r="K438" s="4" t="str">
        <x:v>关注列表不包含该账号</x:v>
      </x:c>
      <x:c r="L438" s="4" t="str"/>
      <x:c r="M438" s="4" t="str">
        <x:v>未测</x:v>
      </x:c>
      <x:c r="N438" s="4" t="str"/>
      <x:c r="O438" s="4" t="str">
        <x:v>1. 来源：MainBasis/统一需求文档.md；U-my-following-004
2. 场景：SC-550cf16a3d081c</x:v>
      </x:c>
    </x:row>
    <x:row r="439" ht="54" customHeight="1">
      <x:c r="A439" s="4" t="n">
        <x:v>438</x:v>
      </x:c>
      <x:c r="B439" s="4" t="str">
        <x:v>USER-0438</x:v>
      </x:c>
      <x:c r="C439" s="4" t="str">
        <x:v>M03 社交、私信、群聊与通知</x:v>
      </x:c>
      <x:c r="D439" s="4" t="str">
        <x:v>我的关注（用户视角）</x:v>
      </x:c>
      <x:c r="E439" s="4" t="str">
        <x:v>功能需求</x:v>
      </x:c>
      <x:c r="F439" s="4" t="str">
        <x:v>P1</x:v>
      </x:c>
      <x:c r="G439" s="4" t="str">
        <x:v>验证拉黑移出关注列表</x:v>
      </x:c>
      <x:c r="H439" s="4" t="str">
        <x:v>拉黑移出关注列表</x:v>
      </x:c>
      <x:c r="I439" s="4" t="str">
        <x:v>1. 已登录用户账号
2. 目标账号原本已关注，随后已拉黑</x:v>
      </x:c>
      <x:c r="J439" s="4" t="str">
        <x:v>1. 进入「我的关注」页
2. 查看拉黑移出关注列表</x:v>
      </x:c>
      <x:c r="K439" s="4" t="str">
        <x:v>关注列表不包含该账号</x:v>
      </x:c>
      <x:c r="L439" s="4" t="str"/>
      <x:c r="M439" s="4" t="str">
        <x:v>未测</x:v>
      </x:c>
      <x:c r="N439" s="4" t="str"/>
      <x:c r="O439" s="4" t="str">
        <x:v>1. 来源：MainBasis/统一需求文档.md；U-my-following-004
2. 场景：SC-e3b810dc87aefd</x:v>
      </x:c>
    </x:row>
    <x:row r="440" ht="54" customHeight="1">
      <x:c r="A440" s="4" t="n">
        <x:v>439</x:v>
      </x:c>
      <x:c r="B440" s="4" t="str">
        <x:v>USER-0439</x:v>
      </x:c>
      <x:c r="C440" s="4" t="str">
        <x:v>M03 社交、私信、群聊与通知</x:v>
      </x:c>
      <x:c r="D440" s="4" t="str">
        <x:v>我的关注（用户视角）</x:v>
      </x:c>
      <x:c r="E440" s="4" t="str">
        <x:v>功能需求</x:v>
      </x:c>
      <x:c r="F440" s="4" t="str">
        <x:v>P2</x:v>
      </x:c>
      <x:c r="G440" s="4" t="str">
        <x:v>验证主播头像入口</x:v>
      </x:c>
      <x:c r="H440" s="4" t="str">
        <x:v>主播头像入口</x:v>
      </x:c>
      <x:c r="I440" s="4" t="str">
        <x:v>1. 已登录用户账号
2. 目标账号具备主播身份</x:v>
      </x:c>
      <x:c r="J440" s="4" t="str">
        <x:v>1. 进入「我的关注」页
2. 点击「主播头像」</x:v>
      </x:c>
      <x:c r="K440" s="4" t="str">
        <x:v>页面进入「主播主页」</x:v>
      </x:c>
      <x:c r="L440" s="4" t="str"/>
      <x:c r="M440" s="4" t="str">
        <x:v>未测</x:v>
      </x:c>
      <x:c r="N440" s="4" t="str"/>
      <x:c r="O440" s="4" t="str">
        <x:v>1. 来源：MainBasis/统一需求文档.md；U-my-following-006
2. 场景：SC-652de03d1503ee</x:v>
      </x:c>
    </x:row>
    <x:row r="441" ht="54" customHeight="1">
      <x:c r="A441" s="4" t="n">
        <x:v>440</x:v>
      </x:c>
      <x:c r="B441" s="4" t="str">
        <x:v>USER-0440</x:v>
      </x:c>
      <x:c r="C441" s="4" t="str">
        <x:v>M03 社交、私信、群聊与通知</x:v>
      </x:c>
      <x:c r="D441" s="4" t="str">
        <x:v>我的关注（用户视角）</x:v>
      </x:c>
      <x:c r="E441" s="4" t="str">
        <x:v>功能需求</x:v>
      </x:c>
      <x:c r="F441" s="4" t="str">
        <x:v>P2</x:v>
      </x:c>
      <x:c r="G441" s="4" t="str">
        <x:v>验证用户头像入口</x:v>
      </x:c>
      <x:c r="H441" s="4" t="str">
        <x:v>用户头像入口</x:v>
      </x:c>
      <x:c r="I441" s="4" t="str">
        <x:v>1. 已登录用户账号
2. 目标账号不具备主播身份</x:v>
      </x:c>
      <x:c r="J441" s="4" t="str">
        <x:v>1. 进入「我的关注」页
2. 点击「用户头像」</x:v>
      </x:c>
      <x:c r="K441" s="4" t="str">
        <x:v>页面进入「用户主页」</x:v>
      </x:c>
      <x:c r="L441" s="4" t="str"/>
      <x:c r="M441" s="4" t="str">
        <x:v>未测</x:v>
      </x:c>
      <x:c r="N441" s="4" t="str"/>
      <x:c r="O441" s="4" t="str">
        <x:v>1. 来源：MainBasis/统一需求文档.md；U-my-following-006
2. 场景：SC-10588dde159054</x:v>
      </x:c>
    </x:row>
    <x:row r="442" ht="54" customHeight="1">
      <x:c r="A442" s="4" t="n">
        <x:v>441</x:v>
      </x:c>
      <x:c r="B442" s="4" t="str">
        <x:v>USER-0441</x:v>
      </x:c>
      <x:c r="C442" s="4" t="str">
        <x:v>M03 社交、私信、群聊与通知</x:v>
      </x:c>
      <x:c r="D442" s="4" t="str">
        <x:v>我的关注（用户视角）</x:v>
      </x:c>
      <x:c r="E442" s="4" t="str">
        <x:v>功能需求</x:v>
      </x:c>
      <x:c r="F442" s="4" t="str">
        <x:v>P1</x:v>
      </x:c>
      <x:c r="G442" s="4" t="str">
        <x:v>验证关注主播进入普通房</x:v>
      </x:c>
      <x:c r="H442" s="4" t="str">
        <x:v>关注主播进入普通房</x:v>
      </x:c>
      <x:c r="I442" s="4" t="str">
        <x:v>1. 已登录用户账号
2. 关注主播正在普通房直播</x:v>
      </x:c>
      <x:c r="J442" s="4" t="str">
        <x:v>1. 进入「我的关注」页
2. 点击正在开播的关注主播</x:v>
      </x:c>
      <x:c r="K442" s="4" t="str">
        <x:v>进入该主播当前直播间</x:v>
      </x:c>
      <x:c r="L442" s="4" t="str"/>
      <x:c r="M442" s="4" t="str">
        <x:v>未测</x:v>
      </x:c>
      <x:c r="N442" s="4" t="str"/>
      <x:c r="O442" s="4" t="str">
        <x:v>1. 来源：MainBasis/统一需求文档.md；U-my-following-006
2. 场景：SC-d950eafba546ed</x:v>
      </x:c>
    </x:row>
    <x:row r="443" ht="54" customHeight="1">
      <x:c r="A443" s="4" t="n">
        <x:v>442</x:v>
      </x:c>
      <x:c r="B443" s="4" t="str">
        <x:v>USER-0442</x:v>
      </x:c>
      <x:c r="C443" s="4" t="str">
        <x:v>M03 社交、私信、群聊与通知</x:v>
      </x:c>
      <x:c r="D443" s="4" t="str">
        <x:v>好友列表（用户视角）</x:v>
      </x:c>
      <x:c r="E443" s="4" t="str">
        <x:v>功能需求</x:v>
      </x:c>
      <x:c r="F443" s="4" t="str">
        <x:v>P2</x:v>
      </x:c>
      <x:c r="G443" s="4" t="str">
        <x:v>验证好友头像、昵称回显</x:v>
      </x:c>
      <x:c r="H443" s="4" t="str">
        <x:v>好友头像、昵称回显</x:v>
      </x:c>
      <x:c r="I443" s="4" t="str">
        <x:v>1. 已登录用户账号
2. 所选对象存在，已记录该对象的好友头像 / 昵称值</x:v>
      </x:c>
      <x:c r="J443" s="4" t="str">
        <x:v>1. 进入「好友列表」页
2. 查看好友头像、昵称回显</x:v>
      </x:c>
      <x:c r="K443" s="4" t="str">
        <x:v>「好友头像 / 昵称」内容与所选对象的该项资料一致</x:v>
      </x:c>
      <x:c r="L443" s="4" t="str"/>
      <x:c r="M443" s="4" t="str">
        <x:v>未测</x:v>
      </x:c>
      <x:c r="N443" s="4" t="str"/>
      <x:c r="O443" s="4" t="str">
        <x:v>1. 来源：MainBasis/统一需求文档.md；U-friend-list-003
2. 场景：SC-0e6cf8f35ed919</x:v>
      </x:c>
    </x:row>
    <x:row r="444" ht="54" customHeight="1">
      <x:c r="A444" s="4" t="n">
        <x:v>443</x:v>
      </x:c>
      <x:c r="B444" s="4" t="str">
        <x:v>USER-0443</x:v>
      </x:c>
      <x:c r="C444" s="4" t="str">
        <x:v>M03 社交、私信、群聊与通知</x:v>
      </x:c>
      <x:c r="D444" s="4" t="str">
        <x:v>好友列表（用户视角）</x:v>
      </x:c>
      <x:c r="E444" s="4" t="str">
        <x:v>功能需求</x:v>
      </x:c>
      <x:c r="F444" s="4" t="str">
        <x:v>P2</x:v>
      </x:c>
      <x:c r="G444" s="4" t="str">
        <x:v>验证等级回显</x:v>
      </x:c>
      <x:c r="H444" s="4" t="str">
        <x:v>等级回显</x:v>
      </x:c>
      <x:c r="I444" s="4" t="str">
        <x:v>1. 已登录用户账号
2. 所选对象存在，已记录该对象的等级值</x:v>
      </x:c>
      <x:c r="J444" s="4" t="str">
        <x:v>1. 进入「好友列表」页
2. 查看等级回显</x:v>
      </x:c>
      <x:c r="K444" s="4" t="str">
        <x:v>「等级」内容与所选对象的该项资料一致</x:v>
      </x:c>
      <x:c r="L444" s="4" t="str"/>
      <x:c r="M444" s="4" t="str">
        <x:v>未测</x:v>
      </x:c>
      <x:c r="N444" s="4" t="str"/>
      <x:c r="O444" s="4" t="str">
        <x:v>1. 来源：MainBasis/统一需求文档.md；U-friend-list-004
2. 场景：SC-64aceb3cb51bdf</x:v>
      </x:c>
    </x:row>
    <x:row r="445" ht="54" customHeight="1">
      <x:c r="A445" s="4" t="n">
        <x:v>444</x:v>
      </x:c>
      <x:c r="B445" s="4" t="str">
        <x:v>USER-0444</x:v>
      </x:c>
      <x:c r="C445" s="4" t="str">
        <x:v>M03 社交、私信、群聊与通知</x:v>
      </x:c>
      <x:c r="D445" s="4" t="str">
        <x:v>好友列表（用户视角）</x:v>
      </x:c>
      <x:c r="E445" s="4" t="str">
        <x:v>功能需求</x:v>
      </x:c>
      <x:c r="F445" s="4" t="str">
        <x:v>P2</x:v>
      </x:c>
      <x:c r="G445" s="4" t="str">
        <x:v>验证勋章回显</x:v>
      </x:c>
      <x:c r="H445" s="4" t="str">
        <x:v>勋章回显</x:v>
      </x:c>
      <x:c r="I445" s="4" t="str">
        <x:v>1. 已登录用户账号
2. 所选对象存在，已记录该对象的勋章值</x:v>
      </x:c>
      <x:c r="J445" s="4" t="str">
        <x:v>1. 进入「好友列表」页
2. 查看勋章回显</x:v>
      </x:c>
      <x:c r="K445" s="4" t="str">
        <x:v>「勋章」内容与所选对象的该项资料一致</x:v>
      </x:c>
      <x:c r="L445" s="4" t="str"/>
      <x:c r="M445" s="4" t="str">
        <x:v>未测</x:v>
      </x:c>
      <x:c r="N445" s="4" t="str"/>
      <x:c r="O445" s="4" t="str">
        <x:v>1. 来源：MainBasis/统一需求文档.md；U-friend-list-005
2. 场景：SC-46af2a49ad0011</x:v>
      </x:c>
    </x:row>
    <x:row r="446" ht="54" customHeight="1">
      <x:c r="A446" s="4" t="n">
        <x:v>445</x:v>
      </x:c>
      <x:c r="B446" s="4" t="str">
        <x:v>USER-0445</x:v>
      </x:c>
      <x:c r="C446" s="4" t="str">
        <x:v>M03 社交、私信、群聊与通知</x:v>
      </x:c>
      <x:c r="D446" s="4" t="str">
        <x:v>好友列表（用户视角）</x:v>
      </x:c>
      <x:c r="E446" s="4" t="str">
        <x:v>功能需求</x:v>
      </x:c>
      <x:c r="F446" s="4" t="str">
        <x:v>P1</x:v>
      </x:c>
      <x:c r="G446" s="4" t="str">
        <x:v>验证好友昵称筛选海岛</x:v>
      </x:c>
      <x:c r="H446" s="4" t="str">
        <x:v>好友昵称筛选海岛</x:v>
      </x:c>
      <x:c r="I446" s="4" t="str">
        <x:v>1. 已登录用户账号
2. 存在昵称含海岛及不含海岛的好友</x:v>
      </x:c>
      <x:c r="J446" s="4" t="str">
        <x:v>1. 进入「好友列表」页
2. 输入「海岛」</x:v>
      </x:c>
      <x:c r="K446" s="4" t="str">
        <x:v>仅显示昵称匹配的当前好友</x:v>
      </x:c>
      <x:c r="L446" s="4" t="str"/>
      <x:c r="M446" s="4" t="str">
        <x:v>未测</x:v>
      </x:c>
      <x:c r="N446" s="4" t="str"/>
      <x:c r="O446" s="4" t="str">
        <x:v>1. 来源：MainBasis/统一需求文档.md；U-friend-list-002、U-friend-list-011
2. 场景：SC-4fa806b8a3e50c</x:v>
      </x:c>
    </x:row>
    <x:row r="447" ht="54" customHeight="1">
      <x:c r="A447" s="4" t="n">
        <x:v>446</x:v>
      </x:c>
      <x:c r="B447" s="4" t="str">
        <x:v>USER-0446</x:v>
      </x:c>
      <x:c r="C447" s="4" t="str">
        <x:v>M03 社交、私信、群聊与通知</x:v>
      </x:c>
      <x:c r="D447" s="4" t="str">
        <x:v>好友列表（用户视角）</x:v>
      </x:c>
      <x:c r="E447" s="4" t="str">
        <x:v>功能需求</x:v>
      </x:c>
      <x:c r="F447" s="4" t="str">
        <x:v>P1</x:v>
      </x:c>
      <x:c r="G447" s="4" t="str">
        <x:v>验证好友昵称筛选清空</x:v>
      </x:c>
      <x:c r="H447" s="4" t="str">
        <x:v>好友昵称筛选清空</x:v>
      </x:c>
      <x:c r="I447" s="4" t="str">
        <x:v>1. 已登录用户账号
2. 存在昵称含海岛及不含海岛的好友</x:v>
      </x:c>
      <x:c r="J447" s="4" t="str">
        <x:v>1. 进入「好友列表」页
2. 清空搜索关键词</x:v>
      </x:c>
      <x:c r="K447" s="4" t="str">
        <x:v>显示全部当前好友</x:v>
      </x:c>
      <x:c r="L447" s="4" t="str"/>
      <x:c r="M447" s="4" t="str">
        <x:v>未测</x:v>
      </x:c>
      <x:c r="N447" s="4" t="str"/>
      <x:c r="O447" s="4" t="str">
        <x:v>1. 来源：MainBasis/统一需求文档.md；U-friend-list-002、U-friend-list-011
2. 场景：SC-b65de43fb76ea2</x:v>
      </x:c>
    </x:row>
    <x:row r="448" ht="54" customHeight="1">
      <x:c r="A448" s="4" t="n">
        <x:v>447</x:v>
      </x:c>
      <x:c r="B448" s="4" t="str">
        <x:v>USER-0447</x:v>
      </x:c>
      <x:c r="C448" s="4" t="str">
        <x:v>M03 社交、私信、群聊与通知</x:v>
      </x:c>
      <x:c r="D448" s="4" t="str">
        <x:v>好友列表（用户视角）</x:v>
      </x:c>
      <x:c r="E448" s="4" t="str">
        <x:v>功能需求</x:v>
      </x:c>
      <x:c r="F448" s="4" t="str">
        <x:v>P1</x:v>
      </x:c>
      <x:c r="G448" s="4" t="str">
        <x:v>验证好友昵称筛选不存在的昵称</x:v>
      </x:c>
      <x:c r="H448" s="4" t="str">
        <x:v>好友昵称筛选不存在的昵称</x:v>
      </x:c>
      <x:c r="I448" s="4" t="str">
        <x:v>1. 已登录用户账号
2. 存在昵称含海岛及不含海岛的好友</x:v>
      </x:c>
      <x:c r="J448" s="4" t="str">
        <x:v>1. 进入「好友列表」页
2. 输入「不存在的昵称」</x:v>
      </x:c>
      <x:c r="K448" s="4" t="str">
        <x:v>列表显示空状态</x:v>
      </x:c>
      <x:c r="L448" s="4" t="str"/>
      <x:c r="M448" s="4" t="str">
        <x:v>未测</x:v>
      </x:c>
      <x:c r="N448" s="4" t="str"/>
      <x:c r="O448" s="4" t="str">
        <x:v>1. 来源：MainBasis/统一需求文档.md；U-friend-list-002、U-friend-list-011
2. 场景：SC-a7b0c31a0ed870</x:v>
      </x:c>
    </x:row>
    <x:row r="449" ht="54" customHeight="1">
      <x:c r="A449" s="4" t="n">
        <x:v>448</x:v>
      </x:c>
      <x:c r="B449" s="4" t="str">
        <x:v>USER-0448</x:v>
      </x:c>
      <x:c r="C449" s="4" t="str">
        <x:v>M03 社交、私信、群聊与通知</x:v>
      </x:c>
      <x:c r="D449" s="4" t="str">
        <x:v>好友列表（用户视角）</x:v>
      </x:c>
      <x:c r="E449" s="4" t="str">
        <x:v>功能需求</x:v>
      </x:c>
      <x:c r="F449" s="4" t="str">
        <x:v>P1</x:v>
      </x:c>
      <x:c r="G449" s="4" t="str">
        <x:v>验证好友主播主页入口</x:v>
      </x:c>
      <x:c r="H449" s="4" t="str">
        <x:v>好友主播主页入口</x:v>
      </x:c>
      <x:c r="I449" s="4" t="str">
        <x:v>1. 已登录用户账号
2. 目标好友有主播身份</x:v>
      </x:c>
      <x:c r="J449" s="4" t="str">
        <x:v>1. 进入「好友列表」页
2. 点击目标好友整行</x:v>
      </x:c>
      <x:c r="K449" s="4" t="str">
        <x:v>进入主播主页</x:v>
      </x:c>
      <x:c r="L449" s="4" t="str"/>
      <x:c r="M449" s="4" t="str">
        <x:v>未测</x:v>
      </x:c>
      <x:c r="N449" s="4" t="str"/>
      <x:c r="O449" s="4" t="str">
        <x:v>1. 来源：MainBasis/统一需求文档.md；U-friend-list-012
2. 场景：SC-abf3e3fdb7cc22</x:v>
      </x:c>
    </x:row>
    <x:row r="450" ht="54" customHeight="1">
      <x:c r="A450" s="4" t="n">
        <x:v>449</x:v>
      </x:c>
      <x:c r="B450" s="4" t="str">
        <x:v>USER-0449</x:v>
      </x:c>
      <x:c r="C450" s="4" t="str">
        <x:v>M03 社交、私信、群聊与通知</x:v>
      </x:c>
      <x:c r="D450" s="4" t="str">
        <x:v>好友列表（用户视角）</x:v>
      </x:c>
      <x:c r="E450" s="4" t="str">
        <x:v>功能需求</x:v>
      </x:c>
      <x:c r="F450" s="4" t="str">
        <x:v>P1</x:v>
      </x:c>
      <x:c r="G450" s="4" t="str">
        <x:v>验证好友普通用户主页入口</x:v>
      </x:c>
      <x:c r="H450" s="4" t="str">
        <x:v>好友普通用户主页入口</x:v>
      </x:c>
      <x:c r="I450" s="4" t="str">
        <x:v>1. 已登录用户账号
2. 目标好友没有主播身份</x:v>
      </x:c>
      <x:c r="J450" s="4" t="str">
        <x:v>1. 进入「好友列表」页
2. 点击目标好友整行</x:v>
      </x:c>
      <x:c r="K450" s="4" t="str">
        <x:v>进入用户主页</x:v>
      </x:c>
      <x:c r="L450" s="4" t="str"/>
      <x:c r="M450" s="4" t="str">
        <x:v>未测</x:v>
      </x:c>
      <x:c r="N450" s="4" t="str"/>
      <x:c r="O450" s="4" t="str">
        <x:v>1. 来源：MainBasis/统一需求文档.md；U-friend-list-012
2. 场景：SC-630bc9d0ffda10</x:v>
      </x:c>
    </x:row>
    <x:row r="451" ht="54" customHeight="1">
      <x:c r="A451" s="4" t="n">
        <x:v>450</x:v>
      </x:c>
      <x:c r="B451" s="4" t="str">
        <x:v>USER-0450</x:v>
      </x:c>
      <x:c r="C451" s="4" t="str">
        <x:v>M03 社交、私信、群聊与通知</x:v>
      </x:c>
      <x:c r="D451" s="4" t="str">
        <x:v>好友列表（用户视角）</x:v>
      </x:c>
      <x:c r="E451" s="4" t="str">
        <x:v>功能需求</x:v>
      </x:c>
      <x:c r="F451" s="4" t="str">
        <x:v>P1</x:v>
      </x:c>
      <x:c r="G451" s="4" t="str">
        <x:v>验证好友行头像可点击</x:v>
      </x:c>
      <x:c r="H451" s="4" t="str">
        <x:v>好友行头像可点击</x:v>
      </x:c>
      <x:c r="I451" s="4" t="str">
        <x:v>1. 已登录用户账号
2. 该好友没有主播身份</x:v>
      </x:c>
      <x:c r="J451" s="4" t="str">
        <x:v>1. 进入「好友列表」页
2. 点击好友行的头像</x:v>
      </x:c>
      <x:c r="K451" s="4" t="str">
        <x:v>进入该好友用户主页</x:v>
      </x:c>
      <x:c r="L451" s="4" t="str"/>
      <x:c r="M451" s="4" t="str">
        <x:v>未测</x:v>
      </x:c>
      <x:c r="N451" s="4" t="str"/>
      <x:c r="O451" s="4" t="str">
        <x:v>1. 来源：MainBasis/统一需求文档.md；U-friend-list-012
2. 场景：SC-27531158a8c4dd</x:v>
      </x:c>
    </x:row>
    <x:row r="452" ht="54" customHeight="1">
      <x:c r="A452" s="4" t="n">
        <x:v>451</x:v>
      </x:c>
      <x:c r="B452" s="4" t="str">
        <x:v>USER-0451</x:v>
      </x:c>
      <x:c r="C452" s="4" t="str">
        <x:v>M03 社交、私信、群聊与通知</x:v>
      </x:c>
      <x:c r="D452" s="4" t="str">
        <x:v>好友列表（用户视角）</x:v>
      </x:c>
      <x:c r="E452" s="4" t="str">
        <x:v>功能需求</x:v>
      </x:c>
      <x:c r="F452" s="4" t="str">
        <x:v>P1</x:v>
      </x:c>
      <x:c r="G452" s="4" t="str">
        <x:v>验证好友行昵称可点击</x:v>
      </x:c>
      <x:c r="H452" s="4" t="str">
        <x:v>好友行昵称可点击</x:v>
      </x:c>
      <x:c r="I452" s="4" t="str">
        <x:v>1. 已登录用户账号
2. 该好友没有主播身份</x:v>
      </x:c>
      <x:c r="J452" s="4" t="str">
        <x:v>1. 进入「好友列表」页
2. 点击好友行的昵称</x:v>
      </x:c>
      <x:c r="K452" s="4" t="str">
        <x:v>进入该好友用户主页</x:v>
      </x:c>
      <x:c r="L452" s="4" t="str"/>
      <x:c r="M452" s="4" t="str">
        <x:v>未测</x:v>
      </x:c>
      <x:c r="N452" s="4" t="str"/>
      <x:c r="O452" s="4" t="str">
        <x:v>1. 来源：MainBasis/统一需求文档.md；U-friend-list-012
2. 场景：SC-f1d5095e014d3a</x:v>
      </x:c>
    </x:row>
    <x:row r="453" ht="54" customHeight="1">
      <x:c r="A453" s="4" t="n">
        <x:v>452</x:v>
      </x:c>
      <x:c r="B453" s="4" t="str">
        <x:v>USER-0452</x:v>
      </x:c>
      <x:c r="C453" s="4" t="str">
        <x:v>M03 社交、私信、群聊与通知</x:v>
      </x:c>
      <x:c r="D453" s="4" t="str">
        <x:v>好友列表（用户视角）</x:v>
      </x:c>
      <x:c r="E453" s="4" t="str">
        <x:v>功能需求</x:v>
      </x:c>
      <x:c r="F453" s="4" t="str">
        <x:v>P1</x:v>
      </x:c>
      <x:c r="G453" s="4" t="str">
        <x:v>验证好友行等级可点击</x:v>
      </x:c>
      <x:c r="H453" s="4" t="str">
        <x:v>好友行等级可点击</x:v>
      </x:c>
      <x:c r="I453" s="4" t="str">
        <x:v>1. 已登录用户账号
2. 该好友没有主播身份</x:v>
      </x:c>
      <x:c r="J453" s="4" t="str">
        <x:v>1. 进入「好友列表」页
2. 点击好友行的等级</x:v>
      </x:c>
      <x:c r="K453" s="4" t="str">
        <x:v>进入该好友用户主页</x:v>
      </x:c>
      <x:c r="L453" s="4" t="str"/>
      <x:c r="M453" s="4" t="str">
        <x:v>未测</x:v>
      </x:c>
      <x:c r="N453" s="4" t="str"/>
      <x:c r="O453" s="4" t="str">
        <x:v>1. 来源：MainBasis/统一需求文档.md；U-friend-list-012
2. 场景：SC-3bf04458647c05</x:v>
      </x:c>
    </x:row>
    <x:row r="454" ht="54" customHeight="1">
      <x:c r="A454" s="4" t="n">
        <x:v>453</x:v>
      </x:c>
      <x:c r="B454" s="4" t="str">
        <x:v>USER-0453</x:v>
      </x:c>
      <x:c r="C454" s="4" t="str">
        <x:v>M03 社交、私信、群聊与通知</x:v>
      </x:c>
      <x:c r="D454" s="4" t="str">
        <x:v>好友列表（用户视角）</x:v>
      </x:c>
      <x:c r="E454" s="4" t="str">
        <x:v>功能需求</x:v>
      </x:c>
      <x:c r="F454" s="4" t="str">
        <x:v>P1</x:v>
      </x:c>
      <x:c r="G454" s="4" t="str">
        <x:v>验证好友行勋章可点击</x:v>
      </x:c>
      <x:c r="H454" s="4" t="str">
        <x:v>好友行勋章可点击</x:v>
      </x:c>
      <x:c r="I454" s="4" t="str">
        <x:v>1. 已登录用户账号
2. 该好友没有主播身份</x:v>
      </x:c>
      <x:c r="J454" s="4" t="str">
        <x:v>1. 进入「好友列表」页
2. 点击好友行的勋章</x:v>
      </x:c>
      <x:c r="K454" s="4" t="str">
        <x:v>进入该好友用户主页</x:v>
      </x:c>
      <x:c r="L454" s="4" t="str"/>
      <x:c r="M454" s="4" t="str">
        <x:v>未测</x:v>
      </x:c>
      <x:c r="N454" s="4" t="str"/>
      <x:c r="O454" s="4" t="str">
        <x:v>1. 来源：MainBasis/统一需求文档.md；U-friend-list-012
2. 场景：SC-bd60b7ce30043f</x:v>
      </x:c>
    </x:row>
    <x:row r="455" ht="54" customHeight="1">
      <x:c r="A455" s="4" t="n">
        <x:v>454</x:v>
      </x:c>
      <x:c r="B455" s="4" t="str">
        <x:v>USER-0454</x:v>
      </x:c>
      <x:c r="C455" s="4" t="str">
        <x:v>M03 社交、私信、群聊与通知</x:v>
      </x:c>
      <x:c r="D455" s="4" t="str">
        <x:v>好友列表（用户视角）</x:v>
      </x:c>
      <x:c r="E455" s="4" t="str">
        <x:v>功能需求</x:v>
      </x:c>
      <x:c r="F455" s="4" t="str">
        <x:v>P1</x:v>
      </x:c>
      <x:c r="G455" s="4" t="str">
        <x:v>验证好友行行内空白可点击</x:v>
      </x:c>
      <x:c r="H455" s="4" t="str">
        <x:v>好友行行内空白可点击</x:v>
      </x:c>
      <x:c r="I455" s="4" t="str">
        <x:v>1. 已登录用户账号
2. 该好友没有主播身份</x:v>
      </x:c>
      <x:c r="J455" s="4" t="str">
        <x:v>1. 进入「好友列表」页
2. 点击好友行的行内空白</x:v>
      </x:c>
      <x:c r="K455" s="4" t="str">
        <x:v>进入该好友用户主页</x:v>
      </x:c>
      <x:c r="L455" s="4" t="str"/>
      <x:c r="M455" s="4" t="str">
        <x:v>未测</x:v>
      </x:c>
      <x:c r="N455" s="4" t="str"/>
      <x:c r="O455" s="4" t="str">
        <x:v>1. 来源：MainBasis/统一需求文档.md；U-friend-list-012
2. 场景：SC-8a9bc4773a7c80</x:v>
      </x:c>
    </x:row>
    <x:row r="456" ht="54" customHeight="1">
      <x:c r="A456" s="4" t="n">
        <x:v>455</x:v>
      </x:c>
      <x:c r="B456" s="4" t="str">
        <x:v>USER-0455</x:v>
      </x:c>
      <x:c r="C456" s="4" t="str">
        <x:v>M03 社交、私信、群聊与通知</x:v>
      </x:c>
      <x:c r="D456" s="4" t="str">
        <x:v>好友列表（用户视角）</x:v>
      </x:c>
      <x:c r="E456" s="4" t="str">
        <x:v>功能需求</x:v>
      </x:c>
      <x:c r="F456" s="4" t="str">
        <x:v>P2</x:v>
      </x:c>
      <x:c r="G456" s="4" t="str">
        <x:v>验证返回入口</x:v>
      </x:c>
      <x:c r="H456" s="4" t="str">
        <x:v>返回入口</x:v>
      </x:c>
      <x:c r="I456" s="4" t="str">
        <x:v>1. 已登录用户账号</x:v>
      </x:c>
      <x:c r="J456" s="4" t="str">
        <x:v>1. 进入「好友列表」页
2. 点击「返回」</x:v>
      </x:c>
      <x:c r="K456" s="4" t="str">
        <x:v>页面进入「消息中心」</x:v>
      </x:c>
      <x:c r="L456" s="4" t="str"/>
      <x:c r="M456" s="4" t="str">
        <x:v>未测</x:v>
      </x:c>
      <x:c r="N456" s="4" t="str"/>
      <x:c r="O456" s="4" t="str">
        <x:v>1. 来源：MainBasis/统一需求文档.md；U-friend-list-013
2. 场景：SC-28fe5b07e23b7c</x:v>
      </x:c>
    </x:row>
    <x:row r="457" ht="54" customHeight="1">
      <x:c r="A457" s="4" t="n">
        <x:v>456</x:v>
      </x:c>
      <x:c r="B457" s="4" t="str">
        <x:v>USER-0456</x:v>
      </x:c>
      <x:c r="C457" s="4" t="str">
        <x:v>M03 社交、私信、群聊与通知</x:v>
      </x:c>
      <x:c r="D457" s="4" t="str">
        <x:v>好友列表（用户视角）</x:v>
      </x:c>
      <x:c r="E457" s="4" t="str">
        <x:v>功能需求</x:v>
      </x:c>
      <x:c r="F457" s="4" t="str">
        <x:v>P1</x:v>
      </x:c>
      <x:c r="G457" s="4" t="str">
        <x:v>验证好友搜索不包含非好友</x:v>
      </x:c>
      <x:c r="H457" s="4" t="str">
        <x:v>好友搜索不包含非好友</x:v>
      </x:c>
      <x:c r="I457" s="4" t="str">
        <x:v>1. 已登录用户账号
2. 目标昵称仅属于一个非好友账号</x:v>
      </x:c>
      <x:c r="J457" s="4" t="str">
        <x:v>1. 进入「好友列表」页
2. 查看好友搜索不包含非好友</x:v>
      </x:c>
      <x:c r="K457" s="4" t="str">
        <x:v>搜索该昵称不能返回该非好友</x:v>
      </x:c>
      <x:c r="L457" s="4" t="str"/>
      <x:c r="M457" s="4" t="str">
        <x:v>未测</x:v>
      </x:c>
      <x:c r="N457" s="4" t="str"/>
      <x:c r="O457" s="4" t="str">
        <x:v>1. 来源：MainBasis/统一需求文档.md；U-friend-list-009
2. 场景：SC-7dfd986efca92e</x:v>
      </x:c>
    </x:row>
    <x:row r="458" ht="54" customHeight="1">
      <x:c r="A458" s="4" t="n">
        <x:v>457</x:v>
      </x:c>
      <x:c r="B458" s="4" t="str">
        <x:v>USER-0457</x:v>
      </x:c>
      <x:c r="C458" s="4" t="str">
        <x:v>M03 社交、私信、群聊与通知</x:v>
      </x:c>
      <x:c r="D458" s="4" t="str">
        <x:v>粉丝列表（用户视角）</x:v>
      </x:c>
      <x:c r="E458" s="4" t="str">
        <x:v>功能需求</x:v>
      </x:c>
      <x:c r="F458" s="4" t="str">
        <x:v>P2</x:v>
      </x:c>
      <x:c r="G458" s="4" t="str">
        <x:v>验证粉丝头像、昵称回显</x:v>
      </x:c>
      <x:c r="H458" s="4" t="str">
        <x:v>粉丝头像、昵称回显</x:v>
      </x:c>
      <x:c r="I458" s="4" t="str">
        <x:v>1. 已登录用户账号
2. 所选对象存在，已记录该对象的粉丝头像 / 昵称值</x:v>
      </x:c>
      <x:c r="J458" s="4" t="str">
        <x:v>1. 进入「粉丝列表」页
2. 查看粉丝头像、昵称回显</x:v>
      </x:c>
      <x:c r="K458" s="4" t="str">
        <x:v>「粉丝头像 / 昵称」内容与所选对象的该项资料一致</x:v>
      </x:c>
      <x:c r="L458" s="4" t="str"/>
      <x:c r="M458" s="4" t="str">
        <x:v>未测</x:v>
      </x:c>
      <x:c r="N458" s="4" t="str"/>
      <x:c r="O458" s="4" t="str">
        <x:v>1. 来源：MainBasis/统一需求文档.md；U-follower-list-003
2. 场景：SC-e16df41d534cb4</x:v>
      </x:c>
    </x:row>
    <x:row r="459" ht="54" customHeight="1">
      <x:c r="A459" s="4" t="n">
        <x:v>458</x:v>
      </x:c>
      <x:c r="B459" s="4" t="str">
        <x:v>USER-0458</x:v>
      </x:c>
      <x:c r="C459" s="4" t="str">
        <x:v>M03 社交、私信、群聊与通知</x:v>
      </x:c>
      <x:c r="D459" s="4" t="str">
        <x:v>粉丝列表（用户视角）</x:v>
      </x:c>
      <x:c r="E459" s="4" t="str">
        <x:v>功能需求</x:v>
      </x:c>
      <x:c r="F459" s="4" t="str">
        <x:v>P2</x:v>
      </x:c>
      <x:c r="G459" s="4" t="str">
        <x:v>验证等级回显</x:v>
      </x:c>
      <x:c r="H459" s="4" t="str">
        <x:v>等级回显</x:v>
      </x:c>
      <x:c r="I459" s="4" t="str">
        <x:v>1. 已登录用户账号
2. 所选对象存在，已记录该对象的等级值</x:v>
      </x:c>
      <x:c r="J459" s="4" t="str">
        <x:v>1. 进入「粉丝列表」页
2. 查看等级回显</x:v>
      </x:c>
      <x:c r="K459" s="4" t="str">
        <x:v>「等级」内容与所选对象的该项资料一致</x:v>
      </x:c>
      <x:c r="L459" s="4" t="str"/>
      <x:c r="M459" s="4" t="str">
        <x:v>未测</x:v>
      </x:c>
      <x:c r="N459" s="4" t="str"/>
      <x:c r="O459" s="4" t="str">
        <x:v>1. 来源：MainBasis/统一需求文档.md；U-follower-list-004
2. 场景：SC-c6ada8bc3cc4b6</x:v>
      </x:c>
    </x:row>
    <x:row r="460" ht="54" customHeight="1">
      <x:c r="A460" s="4" t="n">
        <x:v>459</x:v>
      </x:c>
      <x:c r="B460" s="4" t="str">
        <x:v>USER-0459</x:v>
      </x:c>
      <x:c r="C460" s="4" t="str">
        <x:v>M03 社交、私信、群聊与通知</x:v>
      </x:c>
      <x:c r="D460" s="4" t="str">
        <x:v>粉丝列表（用户视角）</x:v>
      </x:c>
      <x:c r="E460" s="4" t="str">
        <x:v>功能需求</x:v>
      </x:c>
      <x:c r="F460" s="4" t="str">
        <x:v>P2</x:v>
      </x:c>
      <x:c r="G460" s="4" t="str">
        <x:v>验证勋章回显</x:v>
      </x:c>
      <x:c r="H460" s="4" t="str">
        <x:v>勋章回显</x:v>
      </x:c>
      <x:c r="I460" s="4" t="str">
        <x:v>1. 已登录用户账号
2. 所选对象存在，已记录该对象的勋章值</x:v>
      </x:c>
      <x:c r="J460" s="4" t="str">
        <x:v>1. 进入「粉丝列表」页
2. 查看勋章回显</x:v>
      </x:c>
      <x:c r="K460" s="4" t="str">
        <x:v>「勋章」内容与所选对象的该项资料一致</x:v>
      </x:c>
      <x:c r="L460" s="4" t="str"/>
      <x:c r="M460" s="4" t="str">
        <x:v>未测</x:v>
      </x:c>
      <x:c r="N460" s="4" t="str"/>
      <x:c r="O460" s="4" t="str">
        <x:v>1. 来源：MainBasis/统一需求文档.md；U-follower-list-005
2. 场景：SC-6538220aba3635</x:v>
      </x:c>
    </x:row>
    <x:row r="461" ht="54" customHeight="1">
      <x:c r="A461" s="4" t="n">
        <x:v>460</x:v>
      </x:c>
      <x:c r="B461" s="4" t="str">
        <x:v>USER-0460</x:v>
      </x:c>
      <x:c r="C461" s="4" t="str">
        <x:v>M03 社交、私信、群聊与通知</x:v>
      </x:c>
      <x:c r="D461" s="4" t="str">
        <x:v>粉丝列表（用户视角）</x:v>
      </x:c>
      <x:c r="E461" s="4" t="str">
        <x:v>功能需求</x:v>
      </x:c>
      <x:c r="F461" s="4" t="str">
        <x:v>P1</x:v>
      </x:c>
      <x:c r="G461" s="4" t="str">
        <x:v>验证粉丝昵称筛选海岛</x:v>
      </x:c>
      <x:c r="H461" s="4" t="str">
        <x:v>粉丝昵称筛选海岛</x:v>
      </x:c>
      <x:c r="I461" s="4" t="str">
        <x:v>1. 已登录用户账号
2. 存在昵称含海岛及不含海岛的粉丝</x:v>
      </x:c>
      <x:c r="J461" s="4" t="str">
        <x:v>1. 进入「粉丝列表」页
2. 输入「海岛」</x:v>
      </x:c>
      <x:c r="K461" s="4" t="str">
        <x:v>仅显示昵称匹配的当前粉丝</x:v>
      </x:c>
      <x:c r="L461" s="4" t="str"/>
      <x:c r="M461" s="4" t="str">
        <x:v>未测</x:v>
      </x:c>
      <x:c r="N461" s="4" t="str"/>
      <x:c r="O461" s="4" t="str">
        <x:v>1. 来源：MainBasis/统一需求文档.md；U-follower-list-002
2. 场景：SC-fd5431c624ffac</x:v>
      </x:c>
    </x:row>
    <x:row r="462" ht="54" customHeight="1">
      <x:c r="A462" s="4" t="n">
        <x:v>461</x:v>
      </x:c>
      <x:c r="B462" s="4" t="str">
        <x:v>USER-0461</x:v>
      </x:c>
      <x:c r="C462" s="4" t="str">
        <x:v>M03 社交、私信、群聊与通知</x:v>
      </x:c>
      <x:c r="D462" s="4" t="str">
        <x:v>粉丝列表（用户视角）</x:v>
      </x:c>
      <x:c r="E462" s="4" t="str">
        <x:v>功能需求</x:v>
      </x:c>
      <x:c r="F462" s="4" t="str">
        <x:v>P1</x:v>
      </x:c>
      <x:c r="G462" s="4" t="str">
        <x:v>验证粉丝昵称筛选清空</x:v>
      </x:c>
      <x:c r="H462" s="4" t="str">
        <x:v>粉丝昵称筛选清空</x:v>
      </x:c>
      <x:c r="I462" s="4" t="str">
        <x:v>1. 已登录用户账号
2. 存在昵称含海岛及不含海岛的粉丝</x:v>
      </x:c>
      <x:c r="J462" s="4" t="str">
        <x:v>1. 进入「粉丝列表」页
2. 清空搜索关键词</x:v>
      </x:c>
      <x:c r="K462" s="4" t="str">
        <x:v>显示全部当前粉丝</x:v>
      </x:c>
      <x:c r="L462" s="4" t="str"/>
      <x:c r="M462" s="4" t="str">
        <x:v>未测</x:v>
      </x:c>
      <x:c r="N462" s="4" t="str"/>
      <x:c r="O462" s="4" t="str">
        <x:v>1. 来源：MainBasis/统一需求文档.md；U-follower-list-002
2. 场景：SC-d52f7ba88ae187</x:v>
      </x:c>
    </x:row>
    <x:row r="463" ht="54" customHeight="1">
      <x:c r="A463" s="4" t="n">
        <x:v>462</x:v>
      </x:c>
      <x:c r="B463" s="4" t="str">
        <x:v>USER-0462</x:v>
      </x:c>
      <x:c r="C463" s="4" t="str">
        <x:v>M03 社交、私信、群聊与通知</x:v>
      </x:c>
      <x:c r="D463" s="4" t="str">
        <x:v>粉丝列表（用户视角）</x:v>
      </x:c>
      <x:c r="E463" s="4" t="str">
        <x:v>功能需求</x:v>
      </x:c>
      <x:c r="F463" s="4" t="str">
        <x:v>P1</x:v>
      </x:c>
      <x:c r="G463" s="4" t="str">
        <x:v>验证粉丝昵称筛选不存在的昵称</x:v>
      </x:c>
      <x:c r="H463" s="4" t="str">
        <x:v>粉丝昵称筛选不存在的昵称</x:v>
      </x:c>
      <x:c r="I463" s="4" t="str">
        <x:v>1. 已登录用户账号
2. 存在昵称含海岛及不含海岛的粉丝</x:v>
      </x:c>
      <x:c r="J463" s="4" t="str">
        <x:v>1. 进入「粉丝列表」页
2. 输入「不存在的昵称」</x:v>
      </x:c>
      <x:c r="K463" s="4" t="str">
        <x:v>列表显示空状态</x:v>
      </x:c>
      <x:c r="L463" s="4" t="str"/>
      <x:c r="M463" s="4" t="str">
        <x:v>未测</x:v>
      </x:c>
      <x:c r="N463" s="4" t="str"/>
      <x:c r="O463" s="4" t="str">
        <x:v>1. 来源：MainBasis/统一需求文档.md；U-follower-list-002
2. 场景：SC-db59962f8988ba</x:v>
      </x:c>
    </x:row>
    <x:row r="464" ht="54" customHeight="1">
      <x:c r="A464" s="4" t="n">
        <x:v>463</x:v>
      </x:c>
      <x:c r="B464" s="4" t="str">
        <x:v>USER-0463</x:v>
      </x:c>
      <x:c r="C464" s="4" t="str">
        <x:v>M03 社交、私信、群聊与通知</x:v>
      </x:c>
      <x:c r="D464" s="4" t="str">
        <x:v>粉丝列表（用户视角）</x:v>
      </x:c>
      <x:c r="E464" s="4" t="str">
        <x:v>功能需求</x:v>
      </x:c>
      <x:c r="F464" s="4" t="str">
        <x:v>P1</x:v>
      </x:c>
      <x:c r="G464" s="4" t="str">
        <x:v>验证粉丝主播主页入口</x:v>
      </x:c>
      <x:c r="H464" s="4" t="str">
        <x:v>粉丝主播主页入口</x:v>
      </x:c>
      <x:c r="I464" s="4" t="str">
        <x:v>1. 已登录用户账号
2. 目标粉丝有主播身份</x:v>
      </x:c>
      <x:c r="J464" s="4" t="str">
        <x:v>1. 进入「粉丝列表」页
2. 点击目标粉丝头像</x:v>
      </x:c>
      <x:c r="K464" s="4" t="str">
        <x:v>进入主播主页</x:v>
      </x:c>
      <x:c r="L464" s="4" t="str"/>
      <x:c r="M464" s="4" t="str">
        <x:v>未测</x:v>
      </x:c>
      <x:c r="N464" s="4" t="str"/>
      <x:c r="O464" s="4" t="str">
        <x:v>1. 来源：MainBasis/统一需求文档.md；U-follower-list-008
2. 场景：SC-2b7c703ecc2230</x:v>
      </x:c>
    </x:row>
    <x:row r="465" ht="54" customHeight="1">
      <x:c r="A465" s="4" t="n">
        <x:v>464</x:v>
      </x:c>
      <x:c r="B465" s="4" t="str">
        <x:v>USER-0464</x:v>
      </x:c>
      <x:c r="C465" s="4" t="str">
        <x:v>M03 社交、私信、群聊与通知</x:v>
      </x:c>
      <x:c r="D465" s="4" t="str">
        <x:v>粉丝列表（用户视角）</x:v>
      </x:c>
      <x:c r="E465" s="4" t="str">
        <x:v>功能需求</x:v>
      </x:c>
      <x:c r="F465" s="4" t="str">
        <x:v>P1</x:v>
      </x:c>
      <x:c r="G465" s="4" t="str">
        <x:v>验证粉丝普通用户主页入口</x:v>
      </x:c>
      <x:c r="H465" s="4" t="str">
        <x:v>粉丝普通用户主页入口</x:v>
      </x:c>
      <x:c r="I465" s="4" t="str">
        <x:v>1. 已登录用户账号
2. 目标粉丝没有主播身份</x:v>
      </x:c>
      <x:c r="J465" s="4" t="str">
        <x:v>1. 进入「粉丝列表」页
2. 点击目标粉丝头像</x:v>
      </x:c>
      <x:c r="K465" s="4" t="str">
        <x:v>进入用户主页</x:v>
      </x:c>
      <x:c r="L465" s="4" t="str"/>
      <x:c r="M465" s="4" t="str">
        <x:v>未测</x:v>
      </x:c>
      <x:c r="N465" s="4" t="str"/>
      <x:c r="O465" s="4" t="str">
        <x:v>1. 来源：MainBasis/统一需求文档.md；U-follower-list-008
2. 场景：SC-d5d465098d1f0d</x:v>
      </x:c>
    </x:row>
    <x:row r="466" ht="54" customHeight="1">
      <x:c r="A466" s="4" t="n">
        <x:v>465</x:v>
      </x:c>
      <x:c r="B466" s="4" t="str">
        <x:v>USER-0465</x:v>
      </x:c>
      <x:c r="C466" s="4" t="str">
        <x:v>M03 社交、私信、群聊与通知</x:v>
      </x:c>
      <x:c r="D466" s="4" t="str">
        <x:v>粉丝列表（用户视角）</x:v>
      </x:c>
      <x:c r="E466" s="4" t="str">
        <x:v>功能需求</x:v>
      </x:c>
      <x:c r="F466" s="4" t="str">
        <x:v>P2</x:v>
      </x:c>
      <x:c r="G466" s="4" t="str">
        <x:v>验证返回入口</x:v>
      </x:c>
      <x:c r="H466" s="4" t="str">
        <x:v>返回入口</x:v>
      </x:c>
      <x:c r="I466" s="4" t="str">
        <x:v>1. 已登录用户账号</x:v>
      </x:c>
      <x:c r="J466" s="4" t="str">
        <x:v>1. 进入「粉丝列表」页
2. 点击「返回」</x:v>
      </x:c>
      <x:c r="K466" s="4" t="str">
        <x:v>页面进入「个人主页」</x:v>
      </x:c>
      <x:c r="L466" s="4" t="str"/>
      <x:c r="M466" s="4" t="str">
        <x:v>未测</x:v>
      </x:c>
      <x:c r="N466" s="4" t="str"/>
      <x:c r="O466" s="4" t="str">
        <x:v>1. 来源：MainBasis/统一需求文档.md；U-follower-list-008
2. 场景：SC-b46706389bc1d8</x:v>
      </x:c>
    </x:row>
    <x:row r="467" ht="54" customHeight="1">
      <x:c r="A467" s="4" t="n">
        <x:v>466</x:v>
      </x:c>
      <x:c r="B467" s="4" t="str">
        <x:v>USER-0466</x:v>
      </x:c>
      <x:c r="C467" s="4" t="str">
        <x:v>M03 社交、私信、群聊与通知</x:v>
      </x:c>
      <x:c r="D467" s="4" t="str">
        <x:v>互动通知（用户视角）</x:v>
      </x:c>
      <x:c r="E467" s="4" t="str">
        <x:v>功能需求</x:v>
      </x:c>
      <x:c r="F467" s="4" t="str">
        <x:v>P2</x:v>
      </x:c>
      <x:c r="G467" s="4" t="str">
        <x:v>验证通知类型回显</x:v>
      </x:c>
      <x:c r="H467" s="4" t="str">
        <x:v>通知类型回显</x:v>
      </x:c>
      <x:c r="I467" s="4" t="str">
        <x:v>1. 已登录用户账号
2. 所选对象存在，已记录该对象的通知类型值</x:v>
      </x:c>
      <x:c r="J467" s="4" t="str">
        <x:v>1. 进入「互动通知」页
2. 查看通知类型回显</x:v>
      </x:c>
      <x:c r="K467" s="4" t="str">
        <x:v>「通知类型」内容与所选对象的该项资料一致</x:v>
      </x:c>
      <x:c r="L467" s="4" t="str"/>
      <x:c r="M467" s="4" t="str">
        <x:v>未测</x:v>
      </x:c>
      <x:c r="N467" s="4" t="str"/>
      <x:c r="O467" s="4" t="str">
        <x:v>1. 来源：MainBasis/统一需求文档.md；U-interaction-notifications-002
2. 场景：SC-34e3858da3b8c6</x:v>
      </x:c>
    </x:row>
    <x:row r="468" ht="68" customHeight="1">
      <x:c r="A468" s="4" t="n">
        <x:v>467</x:v>
      </x:c>
      <x:c r="B468" s="4" t="str">
        <x:v>USER-0467</x:v>
      </x:c>
      <x:c r="C468" s="4" t="str">
        <x:v>M03 社交、私信、群聊与通知</x:v>
      </x:c>
      <x:c r="D468" s="4" t="str">
        <x:v>互动通知（用户视角）</x:v>
      </x:c>
      <x:c r="E468" s="4" t="str">
        <x:v>功能需求</x:v>
      </x:c>
      <x:c r="F468" s="4" t="str">
        <x:v>P1</x:v>
      </x:c>
      <x:c r="G468" s="4" t="str">
        <x:v>验证互动通知主排序</x:v>
      </x:c>
      <x:c r="H468" s="4" t="str">
        <x:v>互动通知主排序</x:v>
      </x:c>
      <x:c r="I468" s="4" t="str">
        <x:v>1. 已登录用户账号
2. 有3条当前账号可见记录，时间依次为10:00、10:01、10:02</x:v>
      </x:c>
      <x:c r="J468" s="4" t="str">
        <x:v>1. 进入「互动通知」页
2. 查看互动通知主排序</x:v>
      </x:c>
      <x:c r="K468" s="4" t="str">
        <x:v>互动通知按发生时间倒序排列</x:v>
      </x:c>
      <x:c r="L468" s="4" t="str"/>
      <x:c r="M468" s="4" t="str">
        <x:v>未测</x:v>
      </x:c>
      <x:c r="N468" s="4" t="str"/>
      <x:c r="O468" s="4" t="str">
        <x:v>1. 来源：MainBasis/统一需求文档.md；U-interaction-notifications-008、U-interaction-notifications-004
2. 场景：SC-dc012a11995294</x:v>
      </x:c>
    </x:row>
    <x:row r="469" ht="68" customHeight="1">
      <x:c r="A469" s="4" t="n">
        <x:v>468</x:v>
      </x:c>
      <x:c r="B469" s="4" t="str">
        <x:v>USER-0468</x:v>
      </x:c>
      <x:c r="C469" s="4" t="str">
        <x:v>M03 社交、私信、群聊与通知</x:v>
      </x:c>
      <x:c r="D469" s="4" t="str">
        <x:v>互动通知（用户视角）</x:v>
      </x:c>
      <x:c r="E469" s="4" t="str">
        <x:v>功能需求</x:v>
      </x:c>
      <x:c r="F469" s="4" t="str">
        <x:v>P1</x:v>
      </x:c>
      <x:c r="G469" s="4" t="str">
        <x:v>验证互动通知同时间排序</x:v>
      </x:c>
      <x:c r="H469" s="4" t="str">
        <x:v>互动通知同时间排序</x:v>
      </x:c>
      <x:c r="I469" s="4" t="str">
        <x:v>1. 已登录用户账号
2. 有2条时间相同且ID数字分别为10、20的可见记录</x:v>
      </x:c>
      <x:c r="J469" s="4" t="str">
        <x:v>1. 进入「互动通知」页
2. 查看互动通知同时间排序</x:v>
      </x:c>
      <x:c r="K469" s="4" t="str">
        <x:v>ID 20排在另一条前</x:v>
      </x:c>
      <x:c r="L469" s="4" t="str"/>
      <x:c r="M469" s="4" t="str">
        <x:v>未测</x:v>
      </x:c>
      <x:c r="N469" s="4" t="str"/>
      <x:c r="O469" s="4" t="str">
        <x:v>1. 来源：MainBasis/统一需求文档.md；U-interaction-notifications-008、U-interaction-notifications-004
2. 场景：SC-05859ec2c79a26</x:v>
      </x:c>
    </x:row>
    <x:row r="470" ht="82" customHeight="1">
      <x:c r="A470" s="4" t="n">
        <x:v>469</x:v>
      </x:c>
      <x:c r="B470" s="4" t="str">
        <x:v>USER-0469</x:v>
      </x:c>
      <x:c r="C470" s="4" t="str">
        <x:v>M03 社交、私信、群聊与通知</x:v>
      </x:c>
      <x:c r="D470" s="4" t="str">
        <x:v>互动通知（用户视角）</x:v>
      </x:c>
      <x:c r="E470" s="4" t="str">
        <x:v>功能需求</x:v>
      </x:c>
      <x:c r="F470" s="4" t="str">
        <x:v>P1</x:v>
      </x:c>
      <x:c r="G470" s="4" t="str">
        <x:v>验证好友申请同意</x:v>
      </x:c>
      <x:c r="H470" s="4" t="str">
        <x:v>好友申请同意</x:v>
      </x:c>
      <x:c r="I470" s="4" t="str">
        <x:v>1. 已登录用户账号
2. 收到一条有效待处理好友申请</x:v>
      </x:c>
      <x:c r="J470" s="4" t="str">
        <x:v>1. 进入「互动通知」页
2. 点击「同意」</x:v>
      </x:c>
      <x:c r="K470" s="4" t="str">
        <x:v>与申请方建立双向好友关系</x:v>
      </x:c>
      <x:c r="L470" s="4" t="str">
        <x:v>FLOW-74D9AD48</x:v>
      </x:c>
      <x:c r="M470" s="4" t="str">
        <x:v>未测</x:v>
      </x:c>
      <x:c r="N470" s="4" t="str"/>
      <x:c r="O470" s="4" t="str">
        <x:v>1. 来源：MainBasis/统一需求文档.md；U-interaction-notifications-006、U-friend-list-006、D-SYS-095
2. 场景：SC-f48719d832150f
3. 状态转换：ST-4CBA1F27FFEA</x:v>
      </x:c>
    </x:row>
    <x:row r="471" ht="54" customHeight="1">
      <x:c r="A471" s="4" t="n">
        <x:v>470</x:v>
      </x:c>
      <x:c r="B471" s="4" t="str">
        <x:v>USER-0470</x:v>
      </x:c>
      <x:c r="C471" s="4" t="str">
        <x:v>M03 社交、私信、群聊与通知</x:v>
      </x:c>
      <x:c r="D471" s="4" t="str">
        <x:v>互动通知（用户视角）</x:v>
      </x:c>
      <x:c r="E471" s="4" t="str">
        <x:v>功能需求</x:v>
      </x:c>
      <x:c r="F471" s="4" t="str">
        <x:v>P1</x:v>
      </x:c>
      <x:c r="G471" s="4" t="str">
        <x:v>验证好友申请同意禁止重复处理</x:v>
      </x:c>
      <x:c r="H471" s="4" t="str">
        <x:v>好友申请同意禁止重复处理</x:v>
      </x:c>
      <x:c r="I471" s="4" t="str">
        <x:v>1. 已登录用户账号
2. 收到有效待处理好友申请</x:v>
      </x:c>
      <x:c r="J471" s="4" t="str">
        <x:v>1. 进入「互动通知」页
2. 点击「同意」</x:v>
      </x:c>
      <x:c r="K471" s="4" t="str">
        <x:v>该通知显示已同意且不再提供处理按钮</x:v>
      </x:c>
      <x:c r="L471" s="4" t="str"/>
      <x:c r="M471" s="4" t="str">
        <x:v>未测</x:v>
      </x:c>
      <x:c r="N471" s="4" t="str"/>
      <x:c r="O471" s="4" t="str">
        <x:v>1. 来源：MainBasis/统一需求文档.md；U-interaction-notifications-009
2. 场景：SC-52d6896eccb64f</x:v>
      </x:c>
    </x:row>
    <x:row r="472" ht="82" customHeight="1">
      <x:c r="A472" s="4" t="n">
        <x:v>471</x:v>
      </x:c>
      <x:c r="B472" s="4" t="str">
        <x:v>USER-0471</x:v>
      </x:c>
      <x:c r="C472" s="4" t="str">
        <x:v>M03 社交、私信、群聊与通知</x:v>
      </x:c>
      <x:c r="D472" s="4" t="str">
        <x:v>互动通知（用户视角）</x:v>
      </x:c>
      <x:c r="E472" s="4" t="str">
        <x:v>功能需求</x:v>
      </x:c>
      <x:c r="F472" s="4" t="str">
        <x:v>P1</x:v>
      </x:c>
      <x:c r="G472" s="4" t="str">
        <x:v>验证好友申请拒绝</x:v>
      </x:c>
      <x:c r="H472" s="4" t="str">
        <x:v>好友申请拒绝</x:v>
      </x:c>
      <x:c r="I472" s="4" t="str">
        <x:v>1. 已登录用户账号
2. 收到一条有效待处理好友申请</x:v>
      </x:c>
      <x:c r="J472" s="4" t="str">
        <x:v>1. 进入「互动通知」页
2. 点击「拒绝」</x:v>
      </x:c>
      <x:c r="K472" s="4" t="str">
        <x:v>与申请方保持非好友关系</x:v>
      </x:c>
      <x:c r="L472" s="4" t="str">
        <x:v>FLOW-74D9AD48</x:v>
      </x:c>
      <x:c r="M472" s="4" t="str">
        <x:v>未测</x:v>
      </x:c>
      <x:c r="N472" s="4" t="str"/>
      <x:c r="O472" s="4" t="str">
        <x:v>1. 来源：MainBasis/统一需求文档.md；U-interaction-notifications-006、U-friend-list-006、D-SYS-095
2. 场景：SC-abd17588e2bb02
3. 状态转换：ST-40C116E0638A</x:v>
      </x:c>
    </x:row>
    <x:row r="473" ht="54" customHeight="1">
      <x:c r="A473" s="4" t="n">
        <x:v>472</x:v>
      </x:c>
      <x:c r="B473" s="4" t="str">
        <x:v>USER-0472</x:v>
      </x:c>
      <x:c r="C473" s="4" t="str">
        <x:v>M03 社交、私信、群聊与通知</x:v>
      </x:c>
      <x:c r="D473" s="4" t="str">
        <x:v>互动通知（用户视角）</x:v>
      </x:c>
      <x:c r="E473" s="4" t="str">
        <x:v>功能需求</x:v>
      </x:c>
      <x:c r="F473" s="4" t="str">
        <x:v>P1</x:v>
      </x:c>
      <x:c r="G473" s="4" t="str">
        <x:v>验证好友申请拒绝禁止重复处理</x:v>
      </x:c>
      <x:c r="H473" s="4" t="str">
        <x:v>好友申请拒绝禁止重复处理</x:v>
      </x:c>
      <x:c r="I473" s="4" t="str">
        <x:v>1. 已登录用户账号
2. 收到有效待处理好友申请</x:v>
      </x:c>
      <x:c r="J473" s="4" t="str">
        <x:v>1. 进入「互动通知」页
2. 点击「拒绝」</x:v>
      </x:c>
      <x:c r="K473" s="4" t="str">
        <x:v>该通知显示已拒绝且不再提供处理按钮</x:v>
      </x:c>
      <x:c r="L473" s="4" t="str"/>
      <x:c r="M473" s="4" t="str">
        <x:v>未测</x:v>
      </x:c>
      <x:c r="N473" s="4" t="str"/>
      <x:c r="O473" s="4" t="str">
        <x:v>1. 来源：MainBasis/统一需求文档.md；U-interaction-notifications-009
2. 场景：SC-afe8582ff7d83a</x:v>
      </x:c>
    </x:row>
    <x:row r="474" ht="54" customHeight="1">
      <x:c r="A474" s="4" t="n">
        <x:v>473</x:v>
      </x:c>
      <x:c r="B474" s="4" t="str">
        <x:v>USER-0473</x:v>
      </x:c>
      <x:c r="C474" s="4" t="str">
        <x:v>M03 社交、私信、群聊与通知</x:v>
      </x:c>
      <x:c r="D474" s="4" t="str">
        <x:v>互动通知（用户视角）</x:v>
      </x:c>
      <x:c r="E474" s="4" t="str">
        <x:v>异常用例</x:v>
      </x:c>
      <x:c r="F474" s="4" t="str">
        <x:v>P1</x:v>
      </x:c>
      <x:c r="G474" s="4" t="str">
        <x:v>验证待处理好友申请重复提交</x:v>
      </x:c>
      <x:c r="H474" s="4" t="str">
        <x:v>待处理好友申请重复提交</x:v>
      </x:c>
      <x:c r="I474" s="4" t="str">
        <x:v>1. 已登录用户账号
2. 双方已有一条待处理好友申请</x:v>
      </x:c>
      <x:c r="J474" s="4" t="str">
        <x:v>1. 进入「互动通知」页
2. 再次向对方发起好友申请</x:v>
      </x:c>
      <x:c r="K474" s="4" t="str">
        <x:v>不产生第二条待处理申请</x:v>
      </x:c>
      <x:c r="L474" s="4" t="str"/>
      <x:c r="M474" s="4" t="str">
        <x:v>未测</x:v>
      </x:c>
      <x:c r="N474" s="4" t="str"/>
      <x:c r="O474" s="4" t="str">
        <x:v>1. 来源：MainBasis/统一需求文档.md；U-interaction-notifications-005
2. 场景：SC-2c403f7e3a5170</x:v>
      </x:c>
    </x:row>
    <x:row r="475" ht="54" customHeight="1">
      <x:c r="A475" s="4" t="n">
        <x:v>474</x:v>
      </x:c>
      <x:c r="B475" s="4" t="str">
        <x:v>USER-0474</x:v>
      </x:c>
      <x:c r="C475" s="4" t="str">
        <x:v>M03 社交、私信、群聊与通知</x:v>
      </x:c>
      <x:c r="D475" s="4" t="str">
        <x:v>互动通知（用户视角）</x:v>
      </x:c>
      <x:c r="E475" s="4" t="str">
        <x:v>功能需求</x:v>
      </x:c>
      <x:c r="F475" s="4" t="str">
        <x:v>P1</x:v>
      </x:c>
      <x:c r="G475" s="4" t="str">
        <x:v>验证失效好友申请只读</x:v>
      </x:c>
      <x:c r="H475" s="4" t="str">
        <x:v>失效好友申请只读</x:v>
      </x:c>
      <x:c r="I475" s="4" t="str">
        <x:v>1. 已登录用户账号
2. 申请双方任一方已拉黑另一方</x:v>
      </x:c>
      <x:c r="J475" s="4" t="str">
        <x:v>1. 进入「互动通知」页
2. 查看失效好友申请只读</x:v>
      </x:c>
      <x:c r="K475" s="4" t="str">
        <x:v>申请显示已失效且无同意、拒绝按钮</x:v>
      </x:c>
      <x:c r="L475" s="4" t="str"/>
      <x:c r="M475" s="4" t="str">
        <x:v>未测</x:v>
      </x:c>
      <x:c r="N475" s="4" t="str"/>
      <x:c r="O475" s="4" t="str">
        <x:v>1. 来源：MainBasis/统一需求文档.md；U-interaction-notifications-010
2. 场景：SC-846aa28fc2f999</x:v>
      </x:c>
    </x:row>
    <x:row r="476" ht="54" customHeight="1">
      <x:c r="A476" s="4" t="n">
        <x:v>475</x:v>
      </x:c>
      <x:c r="B476" s="4" t="str">
        <x:v>USER-0475</x:v>
      </x:c>
      <x:c r="C476" s="4" t="str">
        <x:v>M03 社交、私信、群聊与通知</x:v>
      </x:c>
      <x:c r="D476" s="4" t="str">
        <x:v>互动通知（用户视角）</x:v>
      </x:c>
      <x:c r="E476" s="4" t="str">
        <x:v>功能需求</x:v>
      </x:c>
      <x:c r="F476" s="4" t="str">
        <x:v>P2</x:v>
      </x:c>
      <x:c r="G476" s="4" t="str">
        <x:v>验证处理状态资料对应</x:v>
      </x:c>
      <x:c r="H476" s="4" t="str">
        <x:v>处理状态资料对应</x:v>
      </x:c>
      <x:c r="I476" s="4" t="str">
        <x:v>1. 已登录用户账号
2. 已选中一条已存在记录，已记录其处理状态原始值</x:v>
      </x:c>
      <x:c r="J476" s="4" t="str">
        <x:v>1. 进入「互动通知」页
2. 查看处理状态资料对应</x:v>
      </x:c>
      <x:c r="K476" s="4" t="str">
        <x:v>页面处理状态与所选记录一致：好友申请可为待处理、已同意、已拒绝或已失效</x:v>
      </x:c>
      <x:c r="L476" s="4" t="str"/>
      <x:c r="M476" s="4" t="str">
        <x:v>未测</x:v>
      </x:c>
      <x:c r="N476" s="4" t="str"/>
      <x:c r="O476" s="4" t="str">
        <x:v>1. 来源：MainBasis/统一需求文档.md；U-interaction-notifications-003
2. 场景：SC-8648d4fb79ddc0</x:v>
      </x:c>
    </x:row>
    <x:row r="477" ht="54" customHeight="1">
      <x:c r="A477" s="4" t="n">
        <x:v>476</x:v>
      </x:c>
      <x:c r="B477" s="4" t="str">
        <x:v>USER-0476</x:v>
      </x:c>
      <x:c r="C477" s="4" t="str">
        <x:v>M03 社交、私信、群聊与通知</x:v>
      </x:c>
      <x:c r="D477" s="4" t="str">
        <x:v>互动通知（用户视角）</x:v>
      </x:c>
      <x:c r="E477" s="4" t="str">
        <x:v>功能需求</x:v>
      </x:c>
      <x:c r="F477" s="4" t="str">
        <x:v>P1</x:v>
      </x:c>
      <x:c r="G477" s="4" t="str">
        <x:v>验证互动通知账号隔离</x:v>
      </x:c>
      <x:c r="H477" s="4" t="str">
        <x:v>互动通知账号隔离</x:v>
      </x:c>
      <x:c r="I477" s="4" t="str">
        <x:v>1. 已登录用户账号
2. 分别存在与当前账号和仅与另一账号相关的通知</x:v>
      </x:c>
      <x:c r="J477" s="4" t="str">
        <x:v>1. 进入「互动通知」页
2. 查看互动通知账号隔离</x:v>
      </x:c>
      <x:c r="K477" s="4" t="str">
        <x:v>仅展示与当前账号有关的通知</x:v>
      </x:c>
      <x:c r="L477" s="4" t="str"/>
      <x:c r="M477" s="4" t="str">
        <x:v>未测</x:v>
      </x:c>
      <x:c r="N477" s="4" t="str"/>
      <x:c r="O477" s="4" t="str">
        <x:v>1. 来源：MainBasis/统一需求文档.md；U-interaction-notifications-007
2. 场景：SC-0f8ce892bbfc76</x:v>
      </x:c>
    </x:row>
    <x:row r="478" ht="54" customHeight="1">
      <x:c r="A478" s="4" t="n">
        <x:v>477</x:v>
      </x:c>
      <x:c r="B478" s="4" t="str">
        <x:v>USER-0477</x:v>
      </x:c>
      <x:c r="C478" s="4" t="str">
        <x:v>M03 社交、私信、群聊与通知</x:v>
      </x:c>
      <x:c r="D478" s="4" t="str">
        <x:v>1 对 1 私信（用户视角）</x:v>
      </x:c>
      <x:c r="E478" s="4" t="str">
        <x:v>功能需求</x:v>
      </x:c>
      <x:c r="F478" s="4" t="str">
        <x:v>P2</x:v>
      </x:c>
      <x:c r="G478" s="4" t="str">
        <x:v>验证已读状态回显</x:v>
      </x:c>
      <x:c r="H478" s="4" t="str">
        <x:v>已读状态回显</x:v>
      </x:c>
      <x:c r="I478" s="4" t="str">
        <x:v>1. 已登录用户账号
2. 所选对象存在，已记录该对象的已读状态值</x:v>
      </x:c>
      <x:c r="J478" s="4" t="str">
        <x:v>1. 进入「1 对 1 私信」页
2. 查看已读状态回显</x:v>
      </x:c>
      <x:c r="K478" s="4" t="str">
        <x:v>「已读状态」内容与所选对象的该项资料一致</x:v>
      </x:c>
      <x:c r="L478" s="4" t="str"/>
      <x:c r="M478" s="4" t="str">
        <x:v>未测</x:v>
      </x:c>
      <x:c r="N478" s="4" t="str"/>
      <x:c r="O478" s="4" t="str">
        <x:v>1. 来源：MainBasis/统一需求文档.md；U-direct-message-003
2. 场景：SC-3dd7bd9ba17bbb</x:v>
      </x:c>
    </x:row>
    <x:row r="479" ht="54" customHeight="1">
      <x:c r="A479" s="4" t="n">
        <x:v>478</x:v>
      </x:c>
      <x:c r="B479" s="4" t="str">
        <x:v>USER-0478</x:v>
      </x:c>
      <x:c r="C479" s="4" t="str">
        <x:v>M03 社交、私信、群聊与通知</x:v>
      </x:c>
      <x:c r="D479" s="4" t="str">
        <x:v>1 对 1 私信（用户视角）</x:v>
      </x:c>
      <x:c r="E479" s="4" t="str">
        <x:v>功能需求</x:v>
      </x:c>
      <x:c r="F479" s="4" t="str">
        <x:v>P1</x:v>
      </x:c>
      <x:c r="G479" s="4" t="str">
        <x:v>验证私信消息主排序</x:v>
      </x:c>
      <x:c r="H479" s="4" t="str">
        <x:v>私信消息主排序</x:v>
      </x:c>
      <x:c r="I479" s="4" t="str">
        <x:v>1. 已登录用户账号
2. 有3条当前账号可见记录，时间依次为10:00、10:01、10:02</x:v>
      </x:c>
      <x:c r="J479" s="4" t="str">
        <x:v>1. 进入「1 对 1 私信」页
2. 查看私信消息主排序</x:v>
      </x:c>
      <x:c r="K479" s="4" t="str">
        <x:v>私信消息按服务端发送时间正序排列</x:v>
      </x:c>
      <x:c r="L479" s="4" t="str"/>
      <x:c r="M479" s="4" t="str">
        <x:v>未测</x:v>
      </x:c>
      <x:c r="N479" s="4" t="str"/>
      <x:c r="O479" s="4" t="str">
        <x:v>1. 来源：MainBasis/统一需求文档.md；U-direct-message-009
2. 场景：SC-ce7a363b2e1d8e</x:v>
      </x:c>
    </x:row>
    <x:row r="480" ht="54" customHeight="1">
      <x:c r="A480" s="4" t="n">
        <x:v>479</x:v>
      </x:c>
      <x:c r="B480" s="4" t="str">
        <x:v>USER-0479</x:v>
      </x:c>
      <x:c r="C480" s="4" t="str">
        <x:v>M03 社交、私信、群聊与通知</x:v>
      </x:c>
      <x:c r="D480" s="4" t="str">
        <x:v>1 对 1 私信（用户视角）</x:v>
      </x:c>
      <x:c r="E480" s="4" t="str">
        <x:v>功能需求</x:v>
      </x:c>
      <x:c r="F480" s="4" t="str">
        <x:v>P1</x:v>
      </x:c>
      <x:c r="G480" s="4" t="str">
        <x:v>验证私信消息同时间排序</x:v>
      </x:c>
      <x:c r="H480" s="4" t="str">
        <x:v>私信消息同时间排序</x:v>
      </x:c>
      <x:c r="I480" s="4" t="str">
        <x:v>1. 已登录用户账号
2. 有2条时间相同且ID数字分别为10、20的可见记录</x:v>
      </x:c>
      <x:c r="J480" s="4" t="str">
        <x:v>1. 进入「1 对 1 私信」页
2. 查看私信消息同时间排序</x:v>
      </x:c>
      <x:c r="K480" s="4" t="str">
        <x:v>ID 10排在另一条前</x:v>
      </x:c>
      <x:c r="L480" s="4" t="str"/>
      <x:c r="M480" s="4" t="str">
        <x:v>未测</x:v>
      </x:c>
      <x:c r="N480" s="4" t="str"/>
      <x:c r="O480" s="4" t="str">
        <x:v>1. 来源：MainBasis/统一需求文档.md；U-direct-message-009
2. 场景：SC-47cf26b496534e</x:v>
      </x:c>
    </x:row>
    <x:row r="481" ht="54" customHeight="1">
      <x:c r="A481" s="4" t="n">
        <x:v>480</x:v>
      </x:c>
      <x:c r="B481" s="4" t="str">
        <x:v>USER-0480</x:v>
      </x:c>
      <x:c r="C481" s="4" t="str">
        <x:v>M03 社交、私信、群聊与通知</x:v>
      </x:c>
      <x:c r="D481" s="4" t="str">
        <x:v>1 对 1 私信（用户视角）</x:v>
      </x:c>
      <x:c r="E481" s="4" t="str">
        <x:v>功能需求</x:v>
      </x:c>
      <x:c r="F481" s="4" t="str">
        <x:v>P1</x:v>
      </x:c>
      <x:c r="G481" s="4" t="str">
        <x:v>验证好友发送文字</x:v>
      </x:c>
      <x:c r="H481" s="4" t="str">
        <x:v>好友发送文字</x:v>
      </x:c>
      <x:c r="I481" s="4" t="str">
        <x:v>1. 已登录用户账号
2. 双方互为好友且未拉黑</x:v>
      </x:c>
      <x:c r="J481" s="4" t="str">
        <x:v>1. 进入「1 对 1 私信」页
2. 发送一条文字消息</x:v>
      </x:c>
      <x:c r="K481" s="4" t="str">
        <x:v>该文字消息写入当前会话</x:v>
      </x:c>
      <x:c r="L481" s="4" t="str"/>
      <x:c r="M481" s="4" t="str">
        <x:v>未测</x:v>
      </x:c>
      <x:c r="N481" s="4" t="str"/>
      <x:c r="O481" s="4" t="str">
        <x:v>1. 来源：MainBasis/统一需求文档.md；U-direct-message-002
2. 场景：SC-f26119e133439d</x:v>
      </x:c>
    </x:row>
    <x:row r="482" ht="54" customHeight="1">
      <x:c r="A482" s="4" t="n">
        <x:v>481</x:v>
      </x:c>
      <x:c r="B482" s="4" t="str">
        <x:v>USER-0481</x:v>
      </x:c>
      <x:c r="C482" s="4" t="str">
        <x:v>M03 社交、私信、群聊与通知</x:v>
      </x:c>
      <x:c r="D482" s="4" t="str">
        <x:v>1 对 1 私信（用户视角）</x:v>
      </x:c>
      <x:c r="E482" s="4" t="str">
        <x:v>功能需求</x:v>
      </x:c>
      <x:c r="F482" s="4" t="str">
        <x:v>P1</x:v>
      </x:c>
      <x:c r="G482" s="4" t="str">
        <x:v>验证好友发送图片</x:v>
      </x:c>
      <x:c r="H482" s="4" t="str">
        <x:v>好友发送图片</x:v>
      </x:c>
      <x:c r="I482" s="4" t="str">
        <x:v>1. 已登录用户账号
2. 双方互为好友且未拉黑</x:v>
      </x:c>
      <x:c r="J482" s="4" t="str">
        <x:v>1. 进入「1 对 1 私信」页
2. 发送一条图片消息</x:v>
      </x:c>
      <x:c r="K482" s="4" t="str">
        <x:v>该图片消息写入当前会话</x:v>
      </x:c>
      <x:c r="L482" s="4" t="str"/>
      <x:c r="M482" s="4" t="str">
        <x:v>未测</x:v>
      </x:c>
      <x:c r="N482" s="4" t="str"/>
      <x:c r="O482" s="4" t="str">
        <x:v>1. 来源：MainBasis/统一需求文档.md；U-direct-message-002
2. 场景：SC-2ee96e430428b0</x:v>
      </x:c>
    </x:row>
    <x:row r="483" ht="54" customHeight="1">
      <x:c r="A483" s="4" t="n">
        <x:v>482</x:v>
      </x:c>
      <x:c r="B483" s="4" t="str">
        <x:v>USER-0482</x:v>
      </x:c>
      <x:c r="C483" s="4" t="str">
        <x:v>M03 社交、私信、群聊与通知</x:v>
      </x:c>
      <x:c r="D483" s="4" t="str">
        <x:v>1 对 1 私信（用户视角）</x:v>
      </x:c>
      <x:c r="E483" s="4" t="str">
        <x:v>功能需求</x:v>
      </x:c>
      <x:c r="F483" s="4" t="str">
        <x:v>P1</x:v>
      </x:c>
      <x:c r="G483" s="4" t="str">
        <x:v>验证好友发送语音</x:v>
      </x:c>
      <x:c r="H483" s="4" t="str">
        <x:v>好友发送语音</x:v>
      </x:c>
      <x:c r="I483" s="4" t="str">
        <x:v>1. 已登录用户账号
2. 双方互为好友且未拉黑</x:v>
      </x:c>
      <x:c r="J483" s="4" t="str">
        <x:v>1. 进入「1 对 1 私信」页
2. 发送一条语音消息</x:v>
      </x:c>
      <x:c r="K483" s="4" t="str">
        <x:v>该语音消息写入当前会话</x:v>
      </x:c>
      <x:c r="L483" s="4" t="str"/>
      <x:c r="M483" s="4" t="str">
        <x:v>未测</x:v>
      </x:c>
      <x:c r="N483" s="4" t="str"/>
      <x:c r="O483" s="4" t="str">
        <x:v>1. 来源：MainBasis/统一需求文档.md；U-direct-message-002
2. 场景：SC-4dd613ea40fcd9</x:v>
      </x:c>
    </x:row>
    <x:row r="484" ht="96" customHeight="1">
      <x:c r="A484" s="4" t="n">
        <x:v>483</x:v>
      </x:c>
      <x:c r="B484" s="4" t="str">
        <x:v>USER-0483</x:v>
      </x:c>
      <x:c r="C484" s="4" t="str">
        <x:v>M03 社交、私信、群聊与通知</x:v>
      </x:c>
      <x:c r="D484" s="4" t="str">
        <x:v>1 对 1 私信（用户视角）</x:v>
      </x:c>
      <x:c r="E484" s="4" t="str">
        <x:v>功能需求</x:v>
      </x:c>
      <x:c r="F484" s="4" t="str">
        <x:v>P1</x:v>
      </x:c>
      <x:c r="G484" s="4" t="str">
        <x:v>验证非好友已发2条</x:v>
      </x:c>
      <x:c r="H484" s="4" t="str">
        <x:v>非好友已发2条</x:v>
      </x:c>
      <x:c r="I484" s="4" t="str">
        <x:v>1. 已登录用户账号
2. 双方非好友且未拉黑，当前账号已成功发出2条文本</x:v>
      </x:c>
      <x:c r="J484" s="4" t="str">
        <x:v>1. 进入「1 对 1 私信」页
2. 再发送一条文本消息</x:v>
      </x:c>
      <x:c r="K484" s="4" t="str">
        <x:v>第三条文本成功写入会话</x:v>
      </x:c>
      <x:c r="L484" s="4" t="str"/>
      <x:c r="M484" s="4" t="str">
        <x:v>未测</x:v>
      </x:c>
      <x:c r="N484" s="4" t="str"/>
      <x:c r="O484" s="4" t="str">
        <x:v>1. 来源：MainBasis/统一需求文档.md；U-direct-message-004、U-direct-message-010、U-message-center-006、U-views_user-home_friend-004、U-host-home-013、D-SYS-098、U-views_live-room_profile-viewer-003
2. 场景：SC-a694e547a082cc</x:v>
      </x:c>
    </x:row>
    <x:row r="485" ht="96" customHeight="1">
      <x:c r="A485" s="4" t="n">
        <x:v>484</x:v>
      </x:c>
      <x:c r="B485" s="4" t="str">
        <x:v>USER-0484</x:v>
      </x:c>
      <x:c r="C485" s="4" t="str">
        <x:v>M03 社交、私信、群聊与通知</x:v>
      </x:c>
      <x:c r="D485" s="4" t="str">
        <x:v>1 对 1 私信（用户视角）</x:v>
      </x:c>
      <x:c r="E485" s="4" t="str">
        <x:v>功能需求</x:v>
      </x:c>
      <x:c r="F485" s="4" t="str">
        <x:v>P1</x:v>
      </x:c>
      <x:c r="G485" s="4" t="str">
        <x:v>验证非好友已发3条</x:v>
      </x:c>
      <x:c r="H485" s="4" t="str">
        <x:v>非好友已发3条</x:v>
      </x:c>
      <x:c r="I485" s="4" t="str">
        <x:v>1. 已登录用户账号
2. 双方非好友且未拉黑，当前账号已成功发出3条文本</x:v>
      </x:c>
      <x:c r="J485" s="4" t="str">
        <x:v>1. 进入「1 对 1 私信」页
2. 再发送一条文本消息</x:v>
      </x:c>
      <x:c r="K485" s="4" t="str">
        <x:v>不生成第四条消息，提示“非好友最多发送三条”</x:v>
      </x:c>
      <x:c r="L485" s="4" t="str"/>
      <x:c r="M485" s="4" t="str">
        <x:v>未测</x:v>
      </x:c>
      <x:c r="N485" s="4" t="str"/>
      <x:c r="O485" s="4" t="str">
        <x:v>1. 来源：MainBasis/统一需求文档.md；U-direct-message-004、U-direct-message-010、U-message-center-006、U-views_user-home_friend-004、U-host-home-013、D-SYS-098、U-views_live-room_profile-viewer-003
2. 场景：SC-b5242354f186a9</x:v>
      </x:c>
    </x:row>
    <x:row r="486" ht="96" customHeight="1">
      <x:c r="A486" s="4" t="n">
        <x:v>485</x:v>
      </x:c>
      <x:c r="B486" s="4" t="str">
        <x:v>USER-0485</x:v>
      </x:c>
      <x:c r="C486" s="4" t="str">
        <x:v>M03 社交、私信、群聊与通知</x:v>
      </x:c>
      <x:c r="D486" s="4" t="str">
        <x:v>1 对 1 私信（用户视角）</x:v>
      </x:c>
      <x:c r="E486" s="4" t="str">
        <x:v>功能需求</x:v>
      </x:c>
      <x:c r="F486" s="4" t="str">
        <x:v>P1</x:v>
      </x:c>
      <x:c r="G486" s="4" t="str">
        <x:v>验证双方非好友配额独立</x:v>
      </x:c>
      <x:c r="H486" s="4" t="str">
        <x:v>双方非好友配额独立</x:v>
      </x:c>
      <x:c r="I486" s="4" t="str">
        <x:v>1. 已登录用户账号
2. 对方已向我成功发送3条文本，我尚未向对方发送消息</x:v>
      </x:c>
      <x:c r="J486" s="4" t="str">
        <x:v>1. 进入「1 对 1 私信」页
2. 发送一条文本消息</x:v>
      </x:c>
      <x:c r="K486" s="4" t="str">
        <x:v>本方向第一条文本成功发送</x:v>
      </x:c>
      <x:c r="L486" s="4" t="str"/>
      <x:c r="M486" s="4" t="str">
        <x:v>未测</x:v>
      </x:c>
      <x:c r="N486" s="4" t="str"/>
      <x:c r="O486" s="4" t="str">
        <x:v>1. 来源：MainBasis/统一需求文档.md；U-direct-message-004、U-message-center-006、U-views_user-home_friend-004、U-host-home-013、D-SYS-098、U-views_live-room_profile-viewer-003
2. 场景：SC-dd0044bc80ae77</x:v>
      </x:c>
    </x:row>
    <x:row r="487" ht="96" customHeight="1">
      <x:c r="A487" s="4" t="n">
        <x:v>486</x:v>
      </x:c>
      <x:c r="B487" s="4" t="str">
        <x:v>USER-0486</x:v>
      </x:c>
      <x:c r="C487" s="4" t="str">
        <x:v>M03 社交、私信、群聊与通知</x:v>
      </x:c>
      <x:c r="D487" s="4" t="str">
        <x:v>1 对 1 私信（用户视角）</x:v>
      </x:c>
      <x:c r="E487" s="4" t="str">
        <x:v>功能需求</x:v>
      </x:c>
      <x:c r="F487" s="4" t="str">
        <x:v>P1</x:v>
      </x:c>
      <x:c r="G487" s="4" t="str">
        <x:v>验证好友不受三条限制</x:v>
      </x:c>
      <x:c r="H487" s="4" t="str">
        <x:v>好友不受三条限制</x:v>
      </x:c>
      <x:c r="I487" s="4" t="str">
        <x:v>1. 已登录用户账号
2. 双方互为好友且当前已发送3条文本</x:v>
      </x:c>
      <x:c r="J487" s="4" t="str">
        <x:v>1. 进入「1 对 1 私信」页
2. 再发送一条文本消息</x:v>
      </x:c>
      <x:c r="K487" s="4" t="str">
        <x:v>第四条文本成功发送</x:v>
      </x:c>
      <x:c r="L487" s="4" t="str"/>
      <x:c r="M487" s="4" t="str">
        <x:v>未测</x:v>
      </x:c>
      <x:c r="N487" s="4" t="str"/>
      <x:c r="O487" s="4" t="str">
        <x:v>1. 来源：MainBasis/统一需求文档.md；U-direct-message-004、U-message-center-006、U-views_user-home_friend-004、U-host-home-013、D-SYS-098、U-views_live-room_profile-viewer-003
2. 场景：SC-5a901258395a56</x:v>
      </x:c>
    </x:row>
    <x:row r="488" ht="54" customHeight="1">
      <x:c r="A488" s="4" t="n">
        <x:v>487</x:v>
      </x:c>
      <x:c r="B488" s="4" t="str">
        <x:v>USER-0487</x:v>
      </x:c>
      <x:c r="C488" s="4" t="str">
        <x:v>M03 社交、私信、群聊与通知</x:v>
      </x:c>
      <x:c r="D488" s="4" t="str">
        <x:v>1 对 1 私信（用户视角）</x:v>
      </x:c>
      <x:c r="E488" s="4" t="str">
        <x:v>异常用例</x:v>
      </x:c>
      <x:c r="F488" s="4" t="str">
        <x:v>P1</x:v>
      </x:c>
      <x:c r="G488" s="4" t="str">
        <x:v>验证被拉黑发送文本拒收</x:v>
      </x:c>
      <x:c r="H488" s="4" t="str">
        <x:v>被拉黑发送文本拒收</x:v>
      </x:c>
      <x:c r="I488" s="4" t="str">
        <x:v>1. 已登录用户账号
2. 当前会话对象已拉黑我</x:v>
      </x:c>
      <x:c r="J488" s="4" t="str">
        <x:v>1. 进入「1 对 1 私信」页
2. 发送一条文本消息</x:v>
      </x:c>
      <x:c r="K488" s="4" t="str">
        <x:v>该消息显示“❕”和“消息发送失败，对方拒收”</x:v>
      </x:c>
      <x:c r="L488" s="4" t="str"/>
      <x:c r="M488" s="4" t="str">
        <x:v>未测</x:v>
      </x:c>
      <x:c r="N488" s="4" t="str"/>
      <x:c r="O488" s="4" t="str">
        <x:v>1. 来源：MainBasis/统一需求文档.md；U-direct-message-005、U-direct-message-007
2. 场景：SC-4f353084999f13</x:v>
      </x:c>
    </x:row>
    <x:row r="489" ht="54" customHeight="1">
      <x:c r="A489" s="4" t="n">
        <x:v>488</x:v>
      </x:c>
      <x:c r="B489" s="4" t="str">
        <x:v>USER-0488</x:v>
      </x:c>
      <x:c r="C489" s="4" t="str">
        <x:v>M03 社交、私信、群聊与通知</x:v>
      </x:c>
      <x:c r="D489" s="4" t="str">
        <x:v>1 对 1 私信（用户视角）</x:v>
      </x:c>
      <x:c r="E489" s="4" t="str">
        <x:v>异常用例</x:v>
      </x:c>
      <x:c r="F489" s="4" t="str">
        <x:v>P1</x:v>
      </x:c>
      <x:c r="G489" s="4" t="str">
        <x:v>验证被拉黑发送语音拒收</x:v>
      </x:c>
      <x:c r="H489" s="4" t="str">
        <x:v>被拉黑发送语音拒收</x:v>
      </x:c>
      <x:c r="I489" s="4" t="str">
        <x:v>1. 已登录用户账号
2. 当前会话对象已拉黑我</x:v>
      </x:c>
      <x:c r="J489" s="4" t="str">
        <x:v>1. 进入「1 对 1 私信」页
2. 发送一条语音消息</x:v>
      </x:c>
      <x:c r="K489" s="4" t="str">
        <x:v>该消息显示“❕”和“消息发送失败，对方拒收”</x:v>
      </x:c>
      <x:c r="L489" s="4" t="str"/>
      <x:c r="M489" s="4" t="str">
        <x:v>未测</x:v>
      </x:c>
      <x:c r="N489" s="4" t="str"/>
      <x:c r="O489" s="4" t="str">
        <x:v>1. 来源：MainBasis/统一需求文档.md；U-direct-message-005、U-direct-message-007
2. 场景：SC-4856bd8613f6c6</x:v>
      </x:c>
    </x:row>
    <x:row r="490" ht="54" customHeight="1">
      <x:c r="A490" s="4" t="n">
        <x:v>489</x:v>
      </x:c>
      <x:c r="B490" s="4" t="str">
        <x:v>USER-0489</x:v>
      </x:c>
      <x:c r="C490" s="4" t="str">
        <x:v>M03 社交、私信、群聊与通知</x:v>
      </x:c>
      <x:c r="D490" s="4" t="str">
        <x:v>1 对 1 私信（用户视角）</x:v>
      </x:c>
      <x:c r="E490" s="4" t="str">
        <x:v>异常用例</x:v>
      </x:c>
      <x:c r="F490" s="4" t="str">
        <x:v>P1</x:v>
      </x:c>
      <x:c r="G490" s="4" t="str">
        <x:v>验证被拉黑发送图片拒收</x:v>
      </x:c>
      <x:c r="H490" s="4" t="str">
        <x:v>被拉黑发送图片拒收</x:v>
      </x:c>
      <x:c r="I490" s="4" t="str">
        <x:v>1. 已登录用户账号
2. 当前会话对象已拉黑我</x:v>
      </x:c>
      <x:c r="J490" s="4" t="str">
        <x:v>1. 进入「1 对 1 私信」页
2. 发送一条图片消息</x:v>
      </x:c>
      <x:c r="K490" s="4" t="str">
        <x:v>该消息显示“❕”和“消息发送失败，对方拒收”</x:v>
      </x:c>
      <x:c r="L490" s="4" t="str"/>
      <x:c r="M490" s="4" t="str">
        <x:v>未测</x:v>
      </x:c>
      <x:c r="N490" s="4" t="str"/>
      <x:c r="O490" s="4" t="str">
        <x:v>1. 来源：MainBasis/统一需求文档.md；U-direct-message-005、U-direct-message-007
2. 场景：SC-446afd9778cb86</x:v>
      </x:c>
    </x:row>
    <x:row r="491" ht="54" customHeight="1">
      <x:c r="A491" s="4" t="n">
        <x:v>490</x:v>
      </x:c>
      <x:c r="B491" s="4" t="str">
        <x:v>USER-0490</x:v>
      </x:c>
      <x:c r="C491" s="4" t="str">
        <x:v>M03 社交、私信、群聊与通知</x:v>
      </x:c>
      <x:c r="D491" s="4" t="str">
        <x:v>1 对 1 私信（用户视角）</x:v>
      </x:c>
      <x:c r="E491" s="4" t="str">
        <x:v>异常用例</x:v>
      </x:c>
      <x:c r="F491" s="4" t="str">
        <x:v>P1</x:v>
      </x:c>
      <x:c r="G491" s="4" t="str">
        <x:v>验证消息发送失败保留内容</x:v>
      </x:c>
      <x:c r="H491" s="4" t="str">
        <x:v>消息发送失败保留内容</x:v>
      </x:c>
      <x:c r="I491" s="4" t="str">
        <x:v>1. 已登录用户账号
2. 本次发送遇到可恢复网络故障</x:v>
      </x:c>
      <x:c r="J491" s="4" t="str">
        <x:v>1. 进入「1 对 1 私信」页
2. 发送一条文本消息</x:v>
      </x:c>
      <x:c r="K491" s="4" t="str">
        <x:v>消息显示失败图标且保留原文本</x:v>
      </x:c>
      <x:c r="L491" s="4" t="str"/>
      <x:c r="M491" s="4" t="str">
        <x:v>未测</x:v>
      </x:c>
      <x:c r="N491" s="4" t="str"/>
      <x:c r="O491" s="4" t="str">
        <x:v>1. 来源：MainBasis/统一需求文档.md；U-direct-message-010
2. 场景：SC-38aeceb1589f12</x:v>
      </x:c>
    </x:row>
    <x:row r="492" ht="68" customHeight="1">
      <x:c r="A492" s="4" t="n">
        <x:v>491</x:v>
      </x:c>
      <x:c r="B492" s="4" t="str">
        <x:v>USER-0491</x:v>
      </x:c>
      <x:c r="C492" s="4" t="str">
        <x:v>M03 社交、私信、群聊与通知</x:v>
      </x:c>
      <x:c r="D492" s="4" t="str">
        <x:v>1 对 1 私信（用户视角）</x:v>
      </x:c>
      <x:c r="E492" s="4" t="str">
        <x:v>功能需求</x:v>
      </x:c>
      <x:c r="F492" s="4" t="str">
        <x:v>P1</x:v>
      </x:c>
      <x:c r="G492" s="4" t="str">
        <x:v>验证失败消息恢复网络重试</x:v>
      </x:c>
      <x:c r="H492" s="4" t="str">
        <x:v>失败消息恢复网络重试</x:v>
      </x:c>
      <x:c r="I492" s="4" t="str">
        <x:v>1. 已登录用户账号
2. 一条文本消息发送失败，内容仍保留
3. 网络已恢复且双方互为好友</x:v>
      </x:c>
      <x:c r="J492" s="4" t="str">
        <x:v>1. 进入「1 对 1 私信」页
2. 点击该消息失败图标重试</x:v>
      </x:c>
      <x:c r="K492" s="4" t="str">
        <x:v>原文本重新发送成功</x:v>
      </x:c>
      <x:c r="L492" s="4" t="str"/>
      <x:c r="M492" s="4" t="str">
        <x:v>未测</x:v>
      </x:c>
      <x:c r="N492" s="4" t="str"/>
      <x:c r="O492" s="4" t="str">
        <x:v>1. 来源：MainBasis/统一需求文档.md；U-direct-message-010
2. 场景：SC-ac14df47326b76</x:v>
      </x:c>
    </x:row>
    <x:row r="493" ht="54" customHeight="1">
      <x:c r="A493" s="4" t="n">
        <x:v>492</x:v>
      </x:c>
      <x:c r="B493" s="4" t="str">
        <x:v>USER-0492</x:v>
      </x:c>
      <x:c r="C493" s="4" t="str">
        <x:v>M03 社交、私信、群聊与通知</x:v>
      </x:c>
      <x:c r="D493" s="4" t="str">
        <x:v>1 对 1 私信（用户视角）</x:v>
      </x:c>
      <x:c r="E493" s="4" t="str">
        <x:v>功能需求</x:v>
      </x:c>
      <x:c r="F493" s="4" t="str">
        <x:v>P1</x:v>
      </x:c>
      <x:c r="G493" s="4" t="str">
        <x:v>验证对方查看后更新已读</x:v>
      </x:c>
      <x:c r="H493" s="4" t="str">
        <x:v>对方查看后更新已读</x:v>
      </x:c>
      <x:c r="I493" s="4" t="str">
        <x:v>1. 已登录用户账号
2. 我发送的消息原为未读
3. 对方已进入此会话</x:v>
      </x:c>
      <x:c r="J493" s="4" t="str">
        <x:v>1. 进入「1 对 1 私信」页
2. 查看对方查看后更新已读</x:v>
      </x:c>
      <x:c r="K493" s="4" t="str">
        <x:v>该消息更新为已读</x:v>
      </x:c>
      <x:c r="L493" s="4" t="str"/>
      <x:c r="M493" s="4" t="str">
        <x:v>未测</x:v>
      </x:c>
      <x:c r="N493" s="4" t="str"/>
      <x:c r="O493" s="4" t="str">
        <x:v>1. 来源：MainBasis/统一需求文档.md；U-direct-message-003
2. 场景：SC-dec95436b0ccfc</x:v>
      </x:c>
    </x:row>
    <x:row r="494" ht="54" customHeight="1">
      <x:c r="A494" s="4" t="n">
        <x:v>493</x:v>
      </x:c>
      <x:c r="B494" s="4" t="str">
        <x:v>USER-0493</x:v>
      </x:c>
      <x:c r="C494" s="4" t="str">
        <x:v>M03 社交、私信、群聊与通知</x:v>
      </x:c>
      <x:c r="D494" s="4" t="str">
        <x:v>1 对 1 私信（用户视角）</x:v>
      </x:c>
      <x:c r="E494" s="4" t="str">
        <x:v>功能需求</x:v>
      </x:c>
      <x:c r="F494" s="4" t="str">
        <x:v>P1</x:v>
      </x:c>
      <x:c r="G494" s="4" t="str">
        <x:v>验证私信会话对象隔离</x:v>
      </x:c>
      <x:c r="H494" s="4" t="str">
        <x:v>私信会话对象隔离</x:v>
      </x:c>
      <x:c r="I494" s="4" t="str">
        <x:v>1. 已登录用户账号
2. 我分别与甲、乙有独立聊天记录，当前打开甲</x:v>
      </x:c>
      <x:c r="J494" s="4" t="str">
        <x:v>1. 进入「1 对 1 私信」页
2. 查看私信会话对象隔离</x:v>
      </x:c>
      <x:c r="K494" s="4" t="str">
        <x:v>只显示我与甲的记录</x:v>
      </x:c>
      <x:c r="L494" s="4" t="str"/>
      <x:c r="M494" s="4" t="str">
        <x:v>未测</x:v>
      </x:c>
      <x:c r="N494" s="4" t="str"/>
      <x:c r="O494" s="4" t="str">
        <x:v>1. 来源：MainBasis/统一需求文档.md；U-direct-message-008
2. 场景：SC-168a9593b24777</x:v>
      </x:c>
    </x:row>
    <x:row r="495" ht="54" customHeight="1">
      <x:c r="A495" s="4" t="n">
        <x:v>494</x:v>
      </x:c>
      <x:c r="B495" s="4" t="str">
        <x:v>USER-0494</x:v>
      </x:c>
      <x:c r="C495" s="4" t="str">
        <x:v>M03 社交、私信、群聊与通知</x:v>
      </x:c>
      <x:c r="D495" s="4" t="str">
        <x:v>粉丝团群聊（粉丝团成员视角）</x:v>
      </x:c>
      <x:c r="E495" s="4" t="str">
        <x:v>功能需求</x:v>
      </x:c>
      <x:c r="F495" s="4" t="str">
        <x:v>P2</x:v>
      </x:c>
      <x:c r="G495" s="4" t="str">
        <x:v>验证群消息回显</x:v>
      </x:c>
      <x:c r="H495" s="4" t="str">
        <x:v>群消息回显</x:v>
      </x:c>
      <x:c r="I495" s="4" t="str">
        <x:v>1. 已登录粉丝团成员账号
2. 所选对象存在，已记录该对象的群消息值</x:v>
      </x:c>
      <x:c r="J495" s="4" t="str">
        <x:v>1. 进入「粉丝团群聊」页
2. 查看群消息回显</x:v>
      </x:c>
      <x:c r="K495" s="4" t="str">
        <x:v>「群消息」内容与所选对象的该项资料一致</x:v>
      </x:c>
      <x:c r="L495" s="4" t="str"/>
      <x:c r="M495" s="4" t="str">
        <x:v>未测</x:v>
      </x:c>
      <x:c r="N495" s="4" t="str"/>
      <x:c r="O495" s="4" t="str">
        <x:v>1. 来源：MainBasis/统一需求文档.md；U-fan-group-chat-002
2. 场景：SC-320fde2b3531b3</x:v>
      </x:c>
    </x:row>
    <x:row r="496" ht="54" customHeight="1">
      <x:c r="A496" s="4" t="n">
        <x:v>495</x:v>
      </x:c>
      <x:c r="B496" s="4" t="str">
        <x:v>USER-0495</x:v>
      </x:c>
      <x:c r="C496" s="4" t="str">
        <x:v>M03 社交、私信、群聊与通知</x:v>
      </x:c>
      <x:c r="D496" s="4" t="str">
        <x:v>粉丝团群聊（粉丝团成员视角）</x:v>
      </x:c>
      <x:c r="E496" s="4" t="str">
        <x:v>功能需求</x:v>
      </x:c>
      <x:c r="F496" s="4" t="str">
        <x:v>P2</x:v>
      </x:c>
      <x:c r="G496" s="4" t="str">
        <x:v>验证直播卡片回显</x:v>
      </x:c>
      <x:c r="H496" s="4" t="str">
        <x:v>直播卡片回显</x:v>
      </x:c>
      <x:c r="I496" s="4" t="str">
        <x:v>1. 已登录粉丝团成员账号
2. 所选对象存在，已记录该对象的直播卡片值</x:v>
      </x:c>
      <x:c r="J496" s="4" t="str">
        <x:v>1. 进入「粉丝团群聊」页
2. 查看直播卡片回显</x:v>
      </x:c>
      <x:c r="K496" s="4" t="str">
        <x:v>「直播卡片」内容与所选对象的该项资料一致</x:v>
      </x:c>
      <x:c r="L496" s="4" t="str"/>
      <x:c r="M496" s="4" t="str">
        <x:v>未测</x:v>
      </x:c>
      <x:c r="N496" s="4" t="str"/>
      <x:c r="O496" s="4" t="str">
        <x:v>1. 来源：MainBasis/统一需求文档.md；U-fan-group-chat-003
2. 场景：SC-bdc70a5d3efa44</x:v>
      </x:c>
    </x:row>
    <x:row r="497" ht="54" customHeight="1">
      <x:c r="A497" s="4" t="n">
        <x:v>496</x:v>
      </x:c>
      <x:c r="B497" s="4" t="str">
        <x:v>USER-0496</x:v>
      </x:c>
      <x:c r="C497" s="4" t="str">
        <x:v>M03 社交、私信、群聊与通知</x:v>
      </x:c>
      <x:c r="D497" s="4" t="str">
        <x:v>粉丝团群聊（粉丝团成员视角）</x:v>
      </x:c>
      <x:c r="E497" s="4" t="str">
        <x:v>功能需求</x:v>
      </x:c>
      <x:c r="F497" s="4" t="str">
        <x:v>P2</x:v>
      </x:c>
      <x:c r="G497" s="4" t="str">
        <x:v>验证发言状态回显</x:v>
      </x:c>
      <x:c r="H497" s="4" t="str">
        <x:v>发言状态回显</x:v>
      </x:c>
      <x:c r="I497" s="4" t="str">
        <x:v>1. 已登录粉丝团成员账号
2. 所选对象存在，已记录该对象的发言状态值</x:v>
      </x:c>
      <x:c r="J497" s="4" t="str">
        <x:v>1. 进入「粉丝团群聊」页
2. 查看发言状态回显</x:v>
      </x:c>
      <x:c r="K497" s="4" t="str">
        <x:v>「发言状态」内容与所选对象的该项资料一致</x:v>
      </x:c>
      <x:c r="L497" s="4" t="str"/>
      <x:c r="M497" s="4" t="str">
        <x:v>未测</x:v>
      </x:c>
      <x:c r="N497" s="4" t="str"/>
      <x:c r="O497" s="4" t="str">
        <x:v>1. 来源：MainBasis/统一需求文档.md；U-fan-group-chat-004
2. 场景：SC-4b41814ad6af28</x:v>
      </x:c>
    </x:row>
    <x:row r="498" ht="54" customHeight="1">
      <x:c r="A498" s="4" t="n">
        <x:v>497</x:v>
      </x:c>
      <x:c r="B498" s="4" t="str">
        <x:v>USER-0497</x:v>
      </x:c>
      <x:c r="C498" s="4" t="str">
        <x:v>M03 社交、私信、群聊与通知</x:v>
      </x:c>
      <x:c r="D498" s="4" t="str">
        <x:v>粉丝团群聊（粉丝团成员视角）</x:v>
      </x:c>
      <x:c r="E498" s="4" t="str">
        <x:v>功能需求</x:v>
      </x:c>
      <x:c r="F498" s="4" t="str">
        <x:v>P1</x:v>
      </x:c>
      <x:c r="G498" s="4" t="str">
        <x:v>验证主动退出失去历史群消息权限</x:v>
      </x:c>
      <x:c r="H498" s="4" t="str">
        <x:v>主动退出失去历史群消息权限</x:v>
      </x:c>
      <x:c r="I498" s="4" t="str">
        <x:v>1. 已登录粉丝团成员账号
2. 当前账号原具有团籍，随后已主动退出</x:v>
      </x:c>
      <x:c r="J498" s="4" t="str">
        <x:v>1. 进入「粉丝团群聊」页
2. 查看主动退出失去历史群消息权限</x:v>
      </x:c>
      <x:c r="K498" s="4" t="str">
        <x:v>该粉丝群历史消息不再开放</x:v>
      </x:c>
      <x:c r="L498" s="4" t="str"/>
      <x:c r="M498" s="4" t="str">
        <x:v>未测</x:v>
      </x:c>
      <x:c r="N498" s="4" t="str"/>
      <x:c r="O498" s="4" t="str">
        <x:v>1. 来源：MainBasis/统一需求文档.md；U-fan-group-chat-006、U-fan-group-chat-005
2. 场景：SC-1c260074e09a35</x:v>
      </x:c>
    </x:row>
    <x:row r="499" ht="54" customHeight="1">
      <x:c r="A499" s="4" t="n">
        <x:v>498</x:v>
      </x:c>
      <x:c r="B499" s="4" t="str">
        <x:v>USER-0498</x:v>
      </x:c>
      <x:c r="C499" s="4" t="str">
        <x:v>M03 社交、私信、群聊与通知</x:v>
      </x:c>
      <x:c r="D499" s="4" t="str">
        <x:v>粉丝团群聊（粉丝团成员视角）</x:v>
      </x:c>
      <x:c r="E499" s="4" t="str">
        <x:v>功能需求</x:v>
      </x:c>
      <x:c r="F499" s="4" t="str">
        <x:v>P1</x:v>
      </x:c>
      <x:c r="G499" s="4" t="str">
        <x:v>验证被主播移出失去历史群消息权限</x:v>
      </x:c>
      <x:c r="H499" s="4" t="str">
        <x:v>被主播移出失去历史群消息权限</x:v>
      </x:c>
      <x:c r="I499" s="4" t="str">
        <x:v>1. 已登录粉丝团成员账号
2. 当前账号原具有团籍，随后已被主播移出</x:v>
      </x:c>
      <x:c r="J499" s="4" t="str">
        <x:v>1. 进入「粉丝团群聊」页
2. 查看被主播移出失去历史群消息权限</x:v>
      </x:c>
      <x:c r="K499" s="4" t="str">
        <x:v>该粉丝群历史消息不再开放</x:v>
      </x:c>
      <x:c r="L499" s="4" t="str"/>
      <x:c r="M499" s="4" t="str">
        <x:v>未测</x:v>
      </x:c>
      <x:c r="N499" s="4" t="str"/>
      <x:c r="O499" s="4" t="str">
        <x:v>1. 来源：MainBasis/统一需求文档.md；U-fan-group-chat-006、U-fan-group-chat-005
2. 场景：SC-ab74dd5f84e387</x:v>
      </x:c>
    </x:row>
    <x:row r="500" ht="54" customHeight="1">
      <x:c r="A500" s="4" t="n">
        <x:v>499</x:v>
      </x:c>
      <x:c r="B500" s="4" t="str">
        <x:v>USER-0499</x:v>
      </x:c>
      <x:c r="C500" s="4" t="str">
        <x:v>M03 社交、私信、群聊与通知</x:v>
      </x:c>
      <x:c r="D500" s="4" t="str">
        <x:v>粉丝团群聊（粉丝团成员视角）</x:v>
      </x:c>
      <x:c r="E500" s="4" t="str">
        <x:v>功能需求</x:v>
      </x:c>
      <x:c r="F500" s="4" t="str">
        <x:v>P1</x:v>
      </x:c>
      <x:c r="G500" s="4" t="str">
        <x:v>验证拉黑主播失去历史群消息权限</x:v>
      </x:c>
      <x:c r="H500" s="4" t="str">
        <x:v>拉黑主播失去历史群消息权限</x:v>
      </x:c>
      <x:c r="I500" s="4" t="str">
        <x:v>1. 已登录粉丝团成员账号
2. 当前账号原具有团籍，随后已拉黑主播</x:v>
      </x:c>
      <x:c r="J500" s="4" t="str">
        <x:v>1. 进入「粉丝团群聊」页
2. 查看拉黑主播失去历史群消息权限</x:v>
      </x:c>
      <x:c r="K500" s="4" t="str">
        <x:v>该粉丝群历史消息不再开放</x:v>
      </x:c>
      <x:c r="L500" s="4" t="str"/>
      <x:c r="M500" s="4" t="str">
        <x:v>未测</x:v>
      </x:c>
      <x:c r="N500" s="4" t="str"/>
      <x:c r="O500" s="4" t="str">
        <x:v>1. 来源：MainBasis/统一需求文档.md；U-fan-group-chat-006、U-fan-group-chat-005
2. 场景：SC-f783fe360bf00d</x:v>
      </x:c>
    </x:row>
    <x:row r="501" ht="54" customHeight="1">
      <x:c r="A501" s="4" t="n">
        <x:v>500</x:v>
      </x:c>
      <x:c r="B501" s="4" t="str">
        <x:v>USER-0500</x:v>
      </x:c>
      <x:c r="C501" s="4" t="str">
        <x:v>M03 社交、私信、群聊与通知</x:v>
      </x:c>
      <x:c r="D501" s="4" t="str">
        <x:v>粉丝团群聊（粉丝团成员视角）</x:v>
      </x:c>
      <x:c r="E501" s="4" t="str">
        <x:v>功能需求</x:v>
      </x:c>
      <x:c r="F501" s="4" t="str">
        <x:v>P1</x:v>
      </x:c>
      <x:c r="G501" s="4" t="str">
        <x:v>验证群消息时间正序</x:v>
      </x:c>
      <x:c r="H501" s="4" t="str">
        <x:v>群消息时间正序</x:v>
      </x:c>
      <x:c r="I501" s="4" t="str">
        <x:v>1. 已登录粉丝团成员账号
2. 当前群有三条发送时间不同的消息</x:v>
      </x:c>
      <x:c r="J501" s="4" t="str">
        <x:v>1. 进入「粉丝团群聊」页
2. 查看群消息时间正序</x:v>
      </x:c>
      <x:c r="K501" s="4" t="str">
        <x:v>群消息按发送时间从早到晚排列</x:v>
      </x:c>
      <x:c r="L501" s="4" t="str"/>
      <x:c r="M501" s="4" t="str">
        <x:v>未测</x:v>
      </x:c>
      <x:c r="N501" s="4" t="str"/>
      <x:c r="O501" s="4" t="str">
        <x:v>1. 来源：MainBasis/统一需求文档.md；U-fan-group-chat-009
2. 场景：SC-6b41ed15e332b9</x:v>
      </x:c>
    </x:row>
    <x:row r="502" ht="54" customHeight="1">
      <x:c r="A502" s="4" t="n">
        <x:v>501</x:v>
      </x:c>
      <x:c r="B502" s="4" t="str">
        <x:v>USER-0501</x:v>
      </x:c>
      <x:c r="C502" s="4" t="str">
        <x:v>M03 社交、私信、群聊与通知</x:v>
      </x:c>
      <x:c r="D502" s="4" t="str">
        <x:v>粉丝团群聊（粉丝团成员视角）</x:v>
      </x:c>
      <x:c r="E502" s="4" t="str">
        <x:v>功能需求</x:v>
      </x:c>
      <x:c r="F502" s="4" t="str">
        <x:v>P1</x:v>
      </x:c>
      <x:c r="G502" s="4" t="str">
        <x:v>验证群内发送更新摘要</x:v>
      </x:c>
      <x:c r="H502" s="4" t="str">
        <x:v>群内发送更新摘要</x:v>
      </x:c>
      <x:c r="I502" s="4" t="str">
        <x:v>1. 已登录粉丝团成员账号
2. 当前团籍有效且未被禁言</x:v>
      </x:c>
      <x:c r="J502" s="4" t="str">
        <x:v>1. 进入「粉丝团群聊」页
2. 发送一条文本群消息
3. 返回消息中心</x:v>
      </x:c>
      <x:c r="K502" s="4" t="str">
        <x:v>该粉丝群会话摘要显示新发送文本</x:v>
      </x:c>
      <x:c r="L502" s="4" t="str"/>
      <x:c r="M502" s="4" t="str">
        <x:v>未测</x:v>
      </x:c>
      <x:c r="N502" s="4" t="str"/>
      <x:c r="O502" s="4" t="str">
        <x:v>1. 来源：MainBasis/统一需求文档.md；U-fan-group-chat-010
2. 场景：SC-fc97237c6f6cd4</x:v>
      </x:c>
    </x:row>
    <x:row r="503" ht="54" customHeight="1">
      <x:c r="A503" s="4" t="n">
        <x:v>502</x:v>
      </x:c>
      <x:c r="B503" s="4" t="str">
        <x:v>USER-0502</x:v>
      </x:c>
      <x:c r="C503" s="4" t="str">
        <x:v>M03 社交、私信、群聊与通知</x:v>
      </x:c>
      <x:c r="D503" s="4" t="str">
        <x:v>粉丝团群聊（粉丝团成员视角）</x:v>
      </x:c>
      <x:c r="E503" s="4" t="str">
        <x:v>异常用例</x:v>
      </x:c>
      <x:c r="F503" s="4" t="str">
        <x:v>P1</x:v>
      </x:c>
      <x:c r="G503" s="4" t="str">
        <x:v>验证群内禁言点击语音</x:v>
      </x:c>
      <x:c r="H503" s="4" t="str">
        <x:v>群内禁言点击语音</x:v>
      </x:c>
      <x:c r="I503" s="4" t="str">
        <x:v>1. 已登录粉丝团成员账号
2. 当前账号被该群禁言</x:v>
      </x:c>
      <x:c r="J503" s="4" t="str">
        <x:v>1. 进入「粉丝团群聊」页
2. 点击「语音」</x:v>
      </x:c>
      <x:c r="K503" s="4" t="str">
        <x:v>提示“当前被禁言”，不打开对应功能</x:v>
      </x:c>
      <x:c r="L503" s="4" t="str"/>
      <x:c r="M503" s="4" t="str">
        <x:v>未测</x:v>
      </x:c>
      <x:c r="N503" s="4" t="str"/>
      <x:c r="O503" s="4" t="str">
        <x:v>1. 来源：MainBasis/统一需求文档.md；U-fan-group-chat-010
2. 场景：SC-7c84cbdb16be4c</x:v>
      </x:c>
    </x:row>
    <x:row r="504" ht="54" customHeight="1">
      <x:c r="A504" s="4" t="n">
        <x:v>503</x:v>
      </x:c>
      <x:c r="B504" s="4" t="str">
        <x:v>USER-0503</x:v>
      </x:c>
      <x:c r="C504" s="4" t="str">
        <x:v>M03 社交、私信、群聊与通知</x:v>
      </x:c>
      <x:c r="D504" s="4" t="str">
        <x:v>粉丝团群聊（粉丝团成员视角）</x:v>
      </x:c>
      <x:c r="E504" s="4" t="str">
        <x:v>异常用例</x:v>
      </x:c>
      <x:c r="F504" s="4" t="str">
        <x:v>P1</x:v>
      </x:c>
      <x:c r="G504" s="4" t="str">
        <x:v>验证群内禁言点击图片</x:v>
      </x:c>
      <x:c r="H504" s="4" t="str">
        <x:v>群内禁言点击图片</x:v>
      </x:c>
      <x:c r="I504" s="4" t="str">
        <x:v>1. 已登录粉丝团成员账号
2. 当前账号被该群禁言</x:v>
      </x:c>
      <x:c r="J504" s="4" t="str">
        <x:v>1. 进入「粉丝团群聊」页
2. 点击「图片」</x:v>
      </x:c>
      <x:c r="K504" s="4" t="str">
        <x:v>提示“当前被禁言”，不打开对应功能</x:v>
      </x:c>
      <x:c r="L504" s="4" t="str"/>
      <x:c r="M504" s="4" t="str">
        <x:v>未测</x:v>
      </x:c>
      <x:c r="N504" s="4" t="str"/>
      <x:c r="O504" s="4" t="str">
        <x:v>1. 来源：MainBasis/统一需求文档.md；U-fan-group-chat-010
2. 场景：SC-251a73c6808794</x:v>
      </x:c>
    </x:row>
    <x:row r="505" ht="54" customHeight="1">
      <x:c r="A505" s="4" t="n">
        <x:v>504</x:v>
      </x:c>
      <x:c r="B505" s="4" t="str">
        <x:v>USER-0504</x:v>
      </x:c>
      <x:c r="C505" s="4" t="str">
        <x:v>M03 社交、私信、群聊与通知</x:v>
      </x:c>
      <x:c r="D505" s="4" t="str">
        <x:v>粉丝团群聊（粉丝团成员视角）</x:v>
      </x:c>
      <x:c r="E505" s="4" t="str">
        <x:v>异常用例</x:v>
      </x:c>
      <x:c r="F505" s="4" t="str">
        <x:v>P1</x:v>
      </x:c>
      <x:c r="G505" s="4" t="str">
        <x:v>验证群内禁言点击表情</x:v>
      </x:c>
      <x:c r="H505" s="4" t="str">
        <x:v>群内禁言点击表情</x:v>
      </x:c>
      <x:c r="I505" s="4" t="str">
        <x:v>1. 已登录粉丝团成员账号
2. 当前账号被该群禁言</x:v>
      </x:c>
      <x:c r="J505" s="4" t="str">
        <x:v>1. 进入「粉丝团群聊」页
2. 点击「表情」</x:v>
      </x:c>
      <x:c r="K505" s="4" t="str">
        <x:v>提示“当前被禁言”，不打开对应功能</x:v>
      </x:c>
      <x:c r="L505" s="4" t="str"/>
      <x:c r="M505" s="4" t="str">
        <x:v>未测</x:v>
      </x:c>
      <x:c r="N505" s="4" t="str"/>
      <x:c r="O505" s="4" t="str">
        <x:v>1. 来源：MainBasis/统一需求文档.md；U-fan-group-chat-010
2. 场景：SC-42290a16bcc67e</x:v>
      </x:c>
    </x:row>
    <x:row r="506" ht="54" customHeight="1">
      <x:c r="A506" s="4" t="n">
        <x:v>505</x:v>
      </x:c>
      <x:c r="B506" s="4" t="str">
        <x:v>USER-0505</x:v>
      </x:c>
      <x:c r="C506" s="4" t="str">
        <x:v>M03 社交、私信、群聊与通知</x:v>
      </x:c>
      <x:c r="D506" s="4" t="str">
        <x:v>粉丝团群聊（粉丝团成员视角）</x:v>
      </x:c>
      <x:c r="E506" s="4" t="str">
        <x:v>功能需求</x:v>
      </x:c>
      <x:c r="F506" s="4" t="str">
        <x:v>P1</x:v>
      </x:c>
      <x:c r="G506" s="4" t="str">
        <x:v>验证群内禁言输入限制</x:v>
      </x:c>
      <x:c r="H506" s="4" t="str">
        <x:v>群内禁言输入限制</x:v>
      </x:c>
      <x:c r="I506" s="4" t="str">
        <x:v>1. 已登录粉丝团成员账号
2. 当前账号被该群禁言</x:v>
      </x:c>
      <x:c r="J506" s="4" t="str">
        <x:v>1. 进入「粉丝团群聊」页
2. 查看群内禁言输入限制</x:v>
      </x:c>
      <x:c r="K506" s="4" t="str">
        <x:v>输入框显示“当前被禁言”且不可输入或发送</x:v>
      </x:c>
      <x:c r="L506" s="4" t="str"/>
      <x:c r="M506" s="4" t="str">
        <x:v>未测</x:v>
      </x:c>
      <x:c r="N506" s="4" t="str"/>
      <x:c r="O506" s="4" t="str">
        <x:v>1. 来源：MainBasis/统一需求文档.md；U-fan-group-chat-010
2. 场景：SC-6c53a36b623a60</x:v>
      </x:c>
    </x:row>
    <x:row r="507" ht="54" customHeight="1">
      <x:c r="A507" s="4" t="n">
        <x:v>506</x:v>
      </x:c>
      <x:c r="B507" s="4" t="str">
        <x:v>USER-0506</x:v>
      </x:c>
      <x:c r="C507" s="4" t="str">
        <x:v>M03 社交、私信、群聊与通知</x:v>
      </x:c>
      <x:c r="D507" s="4" t="str">
        <x:v>粉丝团群聊（粉丝团成员视角）</x:v>
      </x:c>
      <x:c r="E507" s="4" t="str">
        <x:v>功能需求</x:v>
      </x:c>
      <x:c r="F507" s="4" t="str">
        <x:v>P1</x:v>
      </x:c>
      <x:c r="G507" s="4" t="str">
        <x:v>验证直播卡片场次结束</x:v>
      </x:c>
      <x:c r="H507" s="4" t="str">
        <x:v>直播卡片场次结束</x:v>
      </x:c>
      <x:c r="I507" s="4" t="str">
        <x:v>1. 已登录粉丝团成员账号
2. 卡片绑定场次已结束，主播又开启另一新场次</x:v>
      </x:c>
      <x:c r="J507" s="4" t="str">
        <x:v>1. 进入「粉丝团群聊」页
2. 点击该直播卡片</x:v>
      </x:c>
      <x:c r="K507" s="4" t="str">
        <x:v>提示直播已结束，不进入后续新场次</x:v>
      </x:c>
      <x:c r="L507" s="4" t="str"/>
      <x:c r="M507" s="4" t="str">
        <x:v>未测</x:v>
      </x:c>
      <x:c r="N507" s="4" t="str"/>
      <x:c r="O507" s="4" t="str">
        <x:v>1. 来源：MainBasis/统一需求文档.md；U-fan-group-chat-007、U-fan-group-chat-010
2. 场景：SC-e2d3cf5fe7af5d</x:v>
      </x:c>
    </x:row>
    <x:row r="508" ht="54" customHeight="1">
      <x:c r="A508" s="4" t="n">
        <x:v>507</x:v>
      </x:c>
      <x:c r="B508" s="4" t="str">
        <x:v>USER-0507</x:v>
      </x:c>
      <x:c r="C508" s="4" t="str">
        <x:v>M03 社交、私信、群聊与通知</x:v>
      </x:c>
      <x:c r="D508" s="4" t="str">
        <x:v>粉丝团群聊（粉丝团成员视角）</x:v>
      </x:c>
      <x:c r="E508" s="4" t="str">
        <x:v>功能需求</x:v>
      </x:c>
      <x:c r="F508" s="4" t="str">
        <x:v>P1</x:v>
      </x:c>
      <x:c r="G508" s="4" t="str">
        <x:v>验证直播卡片场次进行中</x:v>
      </x:c>
      <x:c r="H508" s="4" t="str">
        <x:v>直播卡片场次进行中</x:v>
      </x:c>
      <x:c r="I508" s="4" t="str">
        <x:v>1. 已登录粉丝团成员账号
2. 卡片绑定场次仍在普通房直播</x:v>
      </x:c>
      <x:c r="J508" s="4" t="str">
        <x:v>1. 进入「粉丝团群聊」页
2. 点击该直播卡片</x:v>
      </x:c>
      <x:c r="K508" s="4" t="str">
        <x:v>进入卡片绑定的当前场次</x:v>
      </x:c>
      <x:c r="L508" s="4" t="str"/>
      <x:c r="M508" s="4" t="str">
        <x:v>未测</x:v>
      </x:c>
      <x:c r="N508" s="4" t="str"/>
      <x:c r="O508" s="4" t="str">
        <x:v>1. 来源：MainBasis/统一需求文档.md；U-fan-group-chat-007、U-fan-group-chat-010
2. 场景：SC-8318a7b2e881c1</x:v>
      </x:c>
    </x:row>
    <x:row r="509" ht="54" customHeight="1">
      <x:c r="A509" s="4" t="n">
        <x:v>508</x:v>
      </x:c>
      <x:c r="B509" s="4" t="str">
        <x:v>USER-0508</x:v>
      </x:c>
      <x:c r="C509" s="4" t="str">
        <x:v>M03 社交、私信、群聊与通知</x:v>
      </x:c>
      <x:c r="D509" s="4" t="str">
        <x:v>粉丝团群聊（粉丝团成员视角）</x:v>
      </x:c>
      <x:c r="E509" s="4" t="str">
        <x:v>功能需求</x:v>
      </x:c>
      <x:c r="F509" s="4" t="str">
        <x:v>P1</x:v>
      </x:c>
      <x:c r="G509" s="4" t="str">
        <x:v>验证粉丝群消息范围</x:v>
      </x:c>
      <x:c r="H509" s="4" t="str">
        <x:v>粉丝群消息范围</x:v>
      </x:c>
      <x:c r="I509" s="4" t="str">
        <x:v>1. 已登录粉丝团成员账号
2. 我具有两个粉丝团团籍，当前打开团甲</x:v>
      </x:c>
      <x:c r="J509" s="4" t="str">
        <x:v>1. 进入「粉丝团群聊」页
2. 查看粉丝群消息范围</x:v>
      </x:c>
      <x:c r="K509" s="4" t="str">
        <x:v>只显示团甲中有权查看的消息</x:v>
      </x:c>
      <x:c r="L509" s="4" t="str"/>
      <x:c r="M509" s="4" t="str">
        <x:v>未测</x:v>
      </x:c>
      <x:c r="N509" s="4" t="str"/>
      <x:c r="O509" s="4" t="str">
        <x:v>1. 来源：MainBasis/统一需求文档.md；U-fan-group-chat-008
2. 场景：SC-ea96218360e5c2</x:v>
      </x:c>
    </x:row>
    <x:row r="510" ht="54" customHeight="1">
      <x:c r="A510" s="4" t="n">
        <x:v>509</x:v>
      </x:c>
      <x:c r="B510" s="4" t="str">
        <x:v>USER-0509</x:v>
      </x:c>
      <x:c r="C510" s="4" t="str">
        <x:v>M03 社交、私信、群聊与通知</x:v>
      </x:c>
      <x:c r="D510" s="4" t="str">
        <x:v>群管理（成员）（粉丝团成员视角）</x:v>
      </x:c>
      <x:c r="E510" s="4" t="str">
        <x:v>功能需求</x:v>
      </x:c>
      <x:c r="F510" s="4" t="str">
        <x:v>P2</x:v>
      </x:c>
      <x:c r="G510" s="4" t="str">
        <x:v>验证群公告回显</x:v>
      </x:c>
      <x:c r="H510" s="4" t="str">
        <x:v>群公告回显</x:v>
      </x:c>
      <x:c r="I510" s="4" t="str">
        <x:v>1. 已登录粉丝团成员账号
2. 所选对象存在，已记录该对象的群公告值</x:v>
      </x:c>
      <x:c r="J510" s="4" t="str">
        <x:v>1. 进入「群管理（成员）」页
2. 查看群公告回显</x:v>
      </x:c>
      <x:c r="K510" s="4" t="str">
        <x:v>「群公告」内容与所选对象的该项资料一致</x:v>
      </x:c>
      <x:c r="L510" s="4" t="str"/>
      <x:c r="M510" s="4" t="str">
        <x:v>未测</x:v>
      </x:c>
      <x:c r="N510" s="4" t="str"/>
      <x:c r="O510" s="4" t="str">
        <x:v>1. 来源：MainBasis/统一需求文档.md；U-group-manage-member-002
2. 场景：SC-bbcdea68002a68</x:v>
      </x:c>
    </x:row>
    <x:row r="511" ht="68" customHeight="1">
      <x:c r="A511" s="4" t="n">
        <x:v>510</x:v>
      </x:c>
      <x:c r="B511" s="4" t="str">
        <x:v>USER-0510</x:v>
      </x:c>
      <x:c r="C511" s="4" t="str">
        <x:v>M03 社交、私信、群聊与通知</x:v>
      </x:c>
      <x:c r="D511" s="4" t="str">
        <x:v>群管理（成员）（粉丝团成员视角）</x:v>
      </x:c>
      <x:c r="E511" s="4" t="str">
        <x:v>功能需求</x:v>
      </x:c>
      <x:c r="F511" s="4" t="str">
        <x:v>P1</x:v>
      </x:c>
      <x:c r="G511" s="4" t="str">
        <x:v>验证成员免打扰仍接收消息</x:v>
      </x:c>
      <x:c r="H511" s="4" t="str">
        <x:v>成员免打扰仍接收消息</x:v>
      </x:c>
      <x:c r="I511" s="4" t="str">
        <x:v>1. 已登录粉丝团成员账号
2. 当前通知开启且会话可接收消息</x:v>
      </x:c>
      <x:c r="J511" s="4" t="str">
        <x:v>1. 进入「群管理（成员）」页
2. 开启消息免打扰
3. 返回聊天页
4. 查看对方新发送的一条消息</x:v>
      </x:c>
      <x:c r="K511" s="4" t="str">
        <x:v>新消息仍可在当前会话中查看</x:v>
      </x:c>
      <x:c r="L511" s="4" t="str"/>
      <x:c r="M511" s="4" t="str">
        <x:v>未测</x:v>
      </x:c>
      <x:c r="N511" s="4" t="str"/>
      <x:c r="O511" s="4" t="str">
        <x:v>1. 来源：MainBasis/统一需求文档.md；U-group-manage-member-007、U-group-manage-member-003
2. 场景：SC-991e6c92bf2801</x:v>
      </x:c>
    </x:row>
    <x:row r="512" ht="68" customHeight="1">
      <x:c r="A512" s="4" t="n">
        <x:v>511</x:v>
      </x:c>
      <x:c r="B512" s="4" t="str">
        <x:v>USER-0511</x:v>
      </x:c>
      <x:c r="C512" s="4" t="str">
        <x:v>M03 社交、私信、群聊与通知</x:v>
      </x:c>
      <x:c r="D512" s="4" t="str">
        <x:v>群管理（成员）（粉丝团成员视角）</x:v>
      </x:c>
      <x:c r="E512" s="4" t="str">
        <x:v>功能需求</x:v>
      </x:c>
      <x:c r="F512" s="4" t="str">
        <x:v>P1</x:v>
      </x:c>
      <x:c r="G512" s="4" t="str">
        <x:v>验证成员免打扰关闭通知</x:v>
      </x:c>
      <x:c r="H512" s="4" t="str">
        <x:v>成员免打扰关闭通知</x:v>
      </x:c>
      <x:c r="I512" s="4" t="str">
        <x:v>1. 已登录粉丝团成员账号
2. 当前通知开启</x:v>
      </x:c>
      <x:c r="J512" s="4" t="str">
        <x:v>1. 进入「群管理（成员）」页
2. 开启消息免打扰</x:v>
      </x:c>
      <x:c r="K512" s="4" t="str">
        <x:v>仅当前账号的此会话消息通知被关闭</x:v>
      </x:c>
      <x:c r="L512" s="4" t="str"/>
      <x:c r="M512" s="4" t="str">
        <x:v>未测</x:v>
      </x:c>
      <x:c r="N512" s="4" t="str"/>
      <x:c r="O512" s="4" t="str">
        <x:v>1. 来源：MainBasis/统一需求文档.md；U-group-manage-member-007、U-group-manage-member-003
2. 场景：SC-5e3de6c14ecad6</x:v>
      </x:c>
    </x:row>
    <x:row r="513" ht="54" customHeight="1">
      <x:c r="A513" s="4" t="n">
        <x:v>512</x:v>
      </x:c>
      <x:c r="B513" s="4" t="str">
        <x:v>USER-0512</x:v>
      </x:c>
      <x:c r="C513" s="4" t="str">
        <x:v>M03 社交、私信、群聊与通知</x:v>
      </x:c>
      <x:c r="D513" s="4" t="str">
        <x:v>群管理（成员）（粉丝团成员视角）</x:v>
      </x:c>
      <x:c r="E513" s="4" t="str">
        <x:v>功能需求</x:v>
      </x:c>
      <x:c r="F513" s="4" t="str">
        <x:v>P1</x:v>
      </x:c>
      <x:c r="G513" s="4" t="str">
        <x:v>验证普通成员没有成员管理权</x:v>
      </x:c>
      <x:c r="H513" s="4" t="str">
        <x:v>普通成员没有成员管理权</x:v>
      </x:c>
      <x:c r="I513" s="4" t="str">
        <x:v>1. 已登录粉丝团成员账号
2. 当前为普通有效团籍成员</x:v>
      </x:c>
      <x:c r="J513" s="4" t="str">
        <x:v>1. 进入「群管理（成员）」页
2. 查看普通成员没有成员管理权</x:v>
      </x:c>
      <x:c r="K513" s="4" t="str">
        <x:v>群管理不提供成员管理操作</x:v>
      </x:c>
      <x:c r="L513" s="4" t="str"/>
      <x:c r="M513" s="4" t="str">
        <x:v>未测</x:v>
      </x:c>
      <x:c r="N513" s="4" t="str"/>
      <x:c r="O513" s="4" t="str">
        <x:v>1. 来源：MainBasis/统一需求文档.md；U-group-manage-member-004
2. 场景：SC-f488c21c03bb75</x:v>
      </x:c>
    </x:row>
    <x:row r="514" ht="82" customHeight="1">
      <x:c r="A514" s="4" t="n">
        <x:v>513</x:v>
      </x:c>
      <x:c r="B514" s="4" t="str">
        <x:v>USER-0513</x:v>
      </x:c>
      <x:c r="C514" s="4" t="str">
        <x:v>M03 社交、私信、群聊与通知</x:v>
      </x:c>
      <x:c r="D514" s="4" t="str">
        <x:v>群管理（成员）（粉丝团成员视角）</x:v>
      </x:c>
      <x:c r="E514" s="4" t="str">
        <x:v>功能需求</x:v>
      </x:c>
      <x:c r="F514" s="4" t="str">
        <x:v>P1</x:v>
      </x:c>
      <x:c r="G514" s="4" t="str">
        <x:v>验证退出粉丝团确认</x:v>
      </x:c>
      <x:c r="H514" s="4" t="str">
        <x:v>退出粉丝团确认</x:v>
      </x:c>
      <x:c r="I514" s="4" t="str">
        <x:v>1. 已登录粉丝团成员账号
2. 当前具有有效团籍</x:v>
      </x:c>
      <x:c r="J514" s="4" t="str">
        <x:v>1. 进入「群管理（成员）」页
2. 点击退出粉丝团
3. 点击确认</x:v>
      </x:c>
      <x:c r="K514" s="4" t="str">
        <x:v>离开群聊并进入消息中心</x:v>
      </x:c>
      <x:c r="L514" s="4" t="str">
        <x:v>FLOW-FD3B32C9</x:v>
      </x:c>
      <x:c r="M514" s="4" t="str">
        <x:v>未测</x:v>
      </x:c>
      <x:c r="N514" s="4" t="str"/>
      <x:c r="O514" s="4" t="str">
        <x:v>1. 来源：MainBasis/统一需求文档.md；U-group-manage-member-007、U-group-manage-member-003
2. 场景：SC-9a5a647f90546a
3. 状态转换：ST-EBD33D8C4612</x:v>
      </x:c>
    </x:row>
    <x:row r="515" ht="82" customHeight="1">
      <x:c r="A515" s="4" t="n">
        <x:v>514</x:v>
      </x:c>
      <x:c r="B515" s="4" t="str">
        <x:v>USER-0514</x:v>
      </x:c>
      <x:c r="C515" s="4" t="str">
        <x:v>M03 社交、私信、群聊与通知</x:v>
      </x:c>
      <x:c r="D515" s="4" t="str">
        <x:v>群管理（成员）（粉丝团成员视角）</x:v>
      </x:c>
      <x:c r="E515" s="4" t="str">
        <x:v>功能需求</x:v>
      </x:c>
      <x:c r="F515" s="4" t="str">
        <x:v>P1</x:v>
      </x:c>
      <x:c r="G515" s="4" t="str">
        <x:v>验证退出粉丝团取消</x:v>
      </x:c>
      <x:c r="H515" s="4" t="str">
        <x:v>退出粉丝团取消</x:v>
      </x:c>
      <x:c r="I515" s="4" t="str">
        <x:v>1. 已登录粉丝团成员账号
2. 当前具有有效团籍</x:v>
      </x:c>
      <x:c r="J515" s="4" t="str">
        <x:v>1. 进入「群管理（成员）」页
2. 点击退出粉丝团
3. 点击取消</x:v>
      </x:c>
      <x:c r="K515" s="4" t="str">
        <x:v>保留当前团籍和群管理页</x:v>
      </x:c>
      <x:c r="L515" s="4" t="str">
        <x:v>FLOW-FD3B32C9</x:v>
      </x:c>
      <x:c r="M515" s="4" t="str">
        <x:v>未测</x:v>
      </x:c>
      <x:c r="N515" s="4" t="str"/>
      <x:c r="O515" s="4" t="str">
        <x:v>1. 来源：MainBasis/统一需求文档.md；U-group-manage-member-007、U-group-manage-member-003
2. 场景：SC-d7d5712a3dee7f
3. 状态转换：ST-EBD33D8C4612</x:v>
      </x:c>
    </x:row>
    <x:row r="516" ht="68" customHeight="1">
      <x:c r="A516" s="4" t="n">
        <x:v>515</x:v>
      </x:c>
      <x:c r="B516" s="4" t="str">
        <x:v>USER-0515</x:v>
      </x:c>
      <x:c r="C516" s="4" t="str">
        <x:v>M03 社交、私信、群聊与通知</x:v>
      </x:c>
      <x:c r="D516" s="4" t="str">
        <x:v>群管理（群主）（主播视角）</x:v>
      </x:c>
      <x:c r="E516" s="4" t="str">
        <x:v>功能需求</x:v>
      </x:c>
      <x:c r="F516" s="4" t="str">
        <x:v>P1</x:v>
      </x:c>
      <x:c r="G516" s="4" t="str">
        <x:v>验证群主免打扰仍接收消息</x:v>
      </x:c>
      <x:c r="H516" s="4" t="str">
        <x:v>群主免打扰仍接收消息</x:v>
      </x:c>
      <x:c r="I516" s="4" t="str">
        <x:v>1. 已登录主播账号
2. 当前通知开启且会话可接收消息</x:v>
      </x:c>
      <x:c r="J516" s="4" t="str">
        <x:v>1. 进入「群管理（群主）」页
2. 开启消息免打扰
3. 返回聊天页
4. 查看对方新发送的一条消息</x:v>
      </x:c>
      <x:c r="K516" s="4" t="str">
        <x:v>新消息仍可在当前会话中查看</x:v>
      </x:c>
      <x:c r="L516" s="4" t="str"/>
      <x:c r="M516" s="4" t="str">
        <x:v>未测</x:v>
      </x:c>
      <x:c r="N516" s="4" t="str"/>
      <x:c r="O516" s="4" t="str">
        <x:v>1. 来源：MainBasis/统一需求文档.md；U-group-manage-owner-005、U-group-manage-owner-003、U-group-manage-owner-007
2. 场景：SC-84ce1f5df1b9aa</x:v>
      </x:c>
    </x:row>
    <x:row r="517" ht="68" customHeight="1">
      <x:c r="A517" s="4" t="n">
        <x:v>516</x:v>
      </x:c>
      <x:c r="B517" s="4" t="str">
        <x:v>USER-0516</x:v>
      </x:c>
      <x:c r="C517" s="4" t="str">
        <x:v>M03 社交、私信、群聊与通知</x:v>
      </x:c>
      <x:c r="D517" s="4" t="str">
        <x:v>群管理（群主）（主播视角）</x:v>
      </x:c>
      <x:c r="E517" s="4" t="str">
        <x:v>功能需求</x:v>
      </x:c>
      <x:c r="F517" s="4" t="str">
        <x:v>P1</x:v>
      </x:c>
      <x:c r="G517" s="4" t="str">
        <x:v>验证群主免打扰关闭通知</x:v>
      </x:c>
      <x:c r="H517" s="4" t="str">
        <x:v>群主免打扰关闭通知</x:v>
      </x:c>
      <x:c r="I517" s="4" t="str">
        <x:v>1. 已登录主播账号
2. 当前通知开启</x:v>
      </x:c>
      <x:c r="J517" s="4" t="str">
        <x:v>1. 进入「群管理（群主）」页
2. 开启消息免打扰</x:v>
      </x:c>
      <x:c r="K517" s="4" t="str">
        <x:v>仅当前账号的此会话消息通知被关闭</x:v>
      </x:c>
      <x:c r="L517" s="4" t="str"/>
      <x:c r="M517" s="4" t="str">
        <x:v>未测</x:v>
      </x:c>
      <x:c r="N517" s="4" t="str"/>
      <x:c r="O517" s="4" t="str">
        <x:v>1. 来源：MainBasis/统一需求文档.md；U-group-manage-owner-005、U-group-manage-owner-003、U-group-manage-owner-007
2. 场景：SC-a8a1cc5ca6ebac</x:v>
      </x:c>
    </x:row>
    <x:row r="518" ht="68" customHeight="1">
      <x:c r="A518" s="4" t="n">
        <x:v>517</x:v>
      </x:c>
      <x:c r="B518" s="4" t="str">
        <x:v>USER-0517</x:v>
      </x:c>
      <x:c r="C518" s="4" t="str">
        <x:v>M03 社交、私信、群聊与通知</x:v>
      </x:c>
      <x:c r="D518" s="4" t="str">
        <x:v>群管理（群主）（主播视角）</x:v>
      </x:c>
      <x:c r="E518" s="4" t="str">
        <x:v>异常用例</x:v>
      </x:c>
      <x:c r="F518" s="4" t="str">
        <x:v>P1</x:v>
      </x:c>
      <x:c r="G518" s="4" t="str">
        <x:v>验证群公告0字符限制</x:v>
      </x:c>
      <x:c r="H518" s="4" t="str">
        <x:v>群公告0字符限制</x:v>
      </x:c>
      <x:c r="I518" s="4" t="str">
        <x:v>1. 已登录主播账号
2. 其他必填字段为合法值</x:v>
      </x:c>
      <x:c r="J518" s="4" t="str">
        <x:v>1. 进入「群管理（群主）」页
2. 清空「群公告」</x:v>
      </x:c>
      <x:c r="K518" s="4" t="str">
        <x:v>群公告未通过校验，无法保存</x:v>
      </x:c>
      <x:c r="L518" s="4" t="str"/>
      <x:c r="M518" s="4" t="str">
        <x:v>未测</x:v>
      </x:c>
      <x:c r="N518" s="4" t="str"/>
      <x:c r="O518" s="4" t="str">
        <x:v>1. 来源：MainBasis/统一需求文档.md；U-group-manage-owner-006、U-group-manage-owner-002
2. 场景：SC-335cd8550980a3</x:v>
      </x:c>
    </x:row>
    <x:row r="519" ht="68" customHeight="1">
      <x:c r="A519" s="4" t="n">
        <x:v>518</x:v>
      </x:c>
      <x:c r="B519" s="4" t="str">
        <x:v>USER-0518</x:v>
      </x:c>
      <x:c r="C519" s="4" t="str">
        <x:v>M03 社交、私信、群聊与通知</x:v>
      </x:c>
      <x:c r="D519" s="4" t="str">
        <x:v>群管理（群主）（主播视角）</x:v>
      </x:c>
      <x:c r="E519" s="4" t="str">
        <x:v>逻辑校验</x:v>
      </x:c>
      <x:c r="F519" s="4" t="str">
        <x:v>P1</x:v>
      </x:c>
      <x:c r="G519" s="4" t="str">
        <x:v>验证群公告1字符可填写</x:v>
      </x:c>
      <x:c r="H519" s="4" t="str">
        <x:v>群公告1字符可填写</x:v>
      </x:c>
      <x:c r="I519" s="4" t="str">
        <x:v>1. 已登录主播账号
2. 其他必填字段为合法值</x:v>
      </x:c>
      <x:c r="J519" s="4" t="str">
        <x:v>1. 进入「群管理（群主）」页
2. 在「群公告」输入1个「测」字符</x:v>
      </x:c>
      <x:c r="K519" s="4" t="str">
        <x:v>「群公告」保留1个字符</x:v>
      </x:c>
      <x:c r="L519" s="4" t="str"/>
      <x:c r="M519" s="4" t="str">
        <x:v>未测</x:v>
      </x:c>
      <x:c r="N519" s="4" t="str"/>
      <x:c r="O519" s="4" t="str">
        <x:v>1. 来源：MainBasis/统一需求文档.md；U-group-manage-owner-006、U-group-manage-owner-002
2. 场景：SC-d1054aac60a977</x:v>
      </x:c>
    </x:row>
    <x:row r="520" ht="68" customHeight="1">
      <x:c r="A520" s="4" t="n">
        <x:v>519</x:v>
      </x:c>
      <x:c r="B520" s="4" t="str">
        <x:v>USER-0519</x:v>
      </x:c>
      <x:c r="C520" s="4" t="str">
        <x:v>M03 社交、私信、群聊与通知</x:v>
      </x:c>
      <x:c r="D520" s="4" t="str">
        <x:v>群管理（群主）（主播视角）</x:v>
      </x:c>
      <x:c r="E520" s="4" t="str">
        <x:v>逻辑校验</x:v>
      </x:c>
      <x:c r="F520" s="4" t="str">
        <x:v>P1</x:v>
      </x:c>
      <x:c r="G520" s="4" t="str">
        <x:v>验证群公告199字符可填写</x:v>
      </x:c>
      <x:c r="H520" s="4" t="str">
        <x:v>群公告199字符可填写</x:v>
      </x:c>
      <x:c r="I520" s="4" t="str">
        <x:v>1. 已登录主播账号
2. 其他必填字段为合法值</x:v>
      </x:c>
      <x:c r="J520" s="4" t="str">
        <x:v>1. 进入「群管理（群主）」页
2. 在「群公告」输入199个「测」字符</x:v>
      </x:c>
      <x:c r="K520" s="4" t="str">
        <x:v>「群公告」保留199个字符</x:v>
      </x:c>
      <x:c r="L520" s="4" t="str"/>
      <x:c r="M520" s="4" t="str">
        <x:v>未测</x:v>
      </x:c>
      <x:c r="N520" s="4" t="str"/>
      <x:c r="O520" s="4" t="str">
        <x:v>1. 来源：MainBasis/统一需求文档.md；U-group-manage-owner-006、U-group-manage-owner-002
2. 场景：SC-559849dc8e3a30</x:v>
      </x:c>
    </x:row>
    <x:row r="521" ht="68" customHeight="1">
      <x:c r="A521" s="4" t="n">
        <x:v>520</x:v>
      </x:c>
      <x:c r="B521" s="4" t="str">
        <x:v>USER-0520</x:v>
      </x:c>
      <x:c r="C521" s="4" t="str">
        <x:v>M03 社交、私信、群聊与通知</x:v>
      </x:c>
      <x:c r="D521" s="4" t="str">
        <x:v>群管理（群主）（主播视角）</x:v>
      </x:c>
      <x:c r="E521" s="4" t="str">
        <x:v>逻辑校验</x:v>
      </x:c>
      <x:c r="F521" s="4" t="str">
        <x:v>P1</x:v>
      </x:c>
      <x:c r="G521" s="4" t="str">
        <x:v>验证群公告200字符可填写</x:v>
      </x:c>
      <x:c r="H521" s="4" t="str">
        <x:v>群公告200字符可填写</x:v>
      </x:c>
      <x:c r="I521" s="4" t="str">
        <x:v>1. 已登录主播账号
2. 其他必填字段为合法值</x:v>
      </x:c>
      <x:c r="J521" s="4" t="str">
        <x:v>1. 进入「群管理（群主）」页
2. 在「群公告」输入200个「测」字符</x:v>
      </x:c>
      <x:c r="K521" s="4" t="str">
        <x:v>「群公告」保留200个字符</x:v>
      </x:c>
      <x:c r="L521" s="4" t="str"/>
      <x:c r="M521" s="4" t="str">
        <x:v>未测</x:v>
      </x:c>
      <x:c r="N521" s="4" t="str"/>
      <x:c r="O521" s="4" t="str">
        <x:v>1. 来源：MainBasis/统一需求文档.md；U-group-manage-owner-006、U-group-manage-owner-002
2. 场景：SC-bcf6e648d427ab</x:v>
      </x:c>
    </x:row>
    <x:row r="522" ht="68" customHeight="1">
      <x:c r="A522" s="4" t="n">
        <x:v>521</x:v>
      </x:c>
      <x:c r="B522" s="4" t="str">
        <x:v>USER-0521</x:v>
      </x:c>
      <x:c r="C522" s="4" t="str">
        <x:v>M03 社交、私信、群聊与通知</x:v>
      </x:c>
      <x:c r="D522" s="4" t="str">
        <x:v>群管理（群主）（主播视角）</x:v>
      </x:c>
      <x:c r="E522" s="4" t="str">
        <x:v>异常用例</x:v>
      </x:c>
      <x:c r="F522" s="4" t="str">
        <x:v>P1</x:v>
      </x:c>
      <x:c r="G522" s="4" t="str">
        <x:v>验证群公告201字符限制</x:v>
      </x:c>
      <x:c r="H522" s="4" t="str">
        <x:v>群公告201字符限制</x:v>
      </x:c>
      <x:c r="I522" s="4" t="str">
        <x:v>1. 已登录主播账号
2. 其他必填字段为合法值</x:v>
      </x:c>
      <x:c r="J522" s="4" t="str">
        <x:v>1. 进入「群管理（群主）」页
2. 在「群公告」输入201个「测」字符</x:v>
      </x:c>
      <x:c r="K522" s="4" t="str">
        <x:v>「群公告」最多保留200个字符</x:v>
      </x:c>
      <x:c r="L522" s="4" t="str"/>
      <x:c r="M522" s="4" t="str">
        <x:v>未测</x:v>
      </x:c>
      <x:c r="N522" s="4" t="str"/>
      <x:c r="O522" s="4" t="str">
        <x:v>1. 来源：MainBasis/统一需求文档.md；U-group-manage-owner-006、U-group-manage-owner-002
2. 场景：SC-fe80f4a638c8ee</x:v>
      </x:c>
    </x:row>
    <x:row r="523" ht="68" customHeight="1">
      <x:c r="A523" s="4" t="n">
        <x:v>522</x:v>
      </x:c>
      <x:c r="B523" s="4" t="str">
        <x:v>USER-0522</x:v>
      </x:c>
      <x:c r="C523" s="4" t="str">
        <x:v>M03 社交、私信、群聊与通知</x:v>
      </x:c>
      <x:c r="D523" s="4" t="str">
        <x:v>群管理（群主）（主播视角）</x:v>
      </x:c>
      <x:c r="E523" s="4" t="str">
        <x:v>异常用例</x:v>
      </x:c>
      <x:c r="F523" s="4" t="str">
        <x:v>P1</x:v>
      </x:c>
      <x:c r="G523" s="4" t="str">
        <x:v>验证群公告仅空格限制</x:v>
      </x:c>
      <x:c r="H523" s="4" t="str">
        <x:v>群公告仅空格限制</x:v>
      </x:c>
      <x:c r="I523" s="4" t="str">
        <x:v>1. 已登录主播账号
2. 其他必填字段为合法值</x:v>
      </x:c>
      <x:c r="J523" s="4" t="str">
        <x:v>1. 进入「群管理（群主）」页
2. 在「群公告」输入3个空格
3. 点击「保存」</x:v>
      </x:c>
      <x:c r="K523" s="4" t="str">
        <x:v>群公告去除首尾空格后为空，无法保存</x:v>
      </x:c>
      <x:c r="L523" s="4" t="str"/>
      <x:c r="M523" s="4" t="str">
        <x:v>未测</x:v>
      </x:c>
      <x:c r="N523" s="4" t="str"/>
      <x:c r="O523" s="4" t="str">
        <x:v>1. 来源：MainBasis/统一需求文档.md；U-group-manage-owner-006、U-group-manage-owner-002
2. 场景：SC-dfe44990691fdf</x:v>
      </x:c>
    </x:row>
    <x:row r="524" ht="68" customHeight="1">
      <x:c r="A524" s="4" t="n">
        <x:v>523</x:v>
      </x:c>
      <x:c r="B524" s="4" t="str">
        <x:v>USER-0523</x:v>
      </x:c>
      <x:c r="C524" s="4" t="str">
        <x:v>M03 社交、私信、群聊与通知</x:v>
      </x:c>
      <x:c r="D524" s="4" t="str">
        <x:v>群管理（群主）（主播视角）</x:v>
      </x:c>
      <x:c r="E524" s="4" t="str">
        <x:v>功能需求</x:v>
      </x:c>
      <x:c r="F524" s="4" t="str">
        <x:v>P1</x:v>
      </x:c>
      <x:c r="G524" s="4" t="str">
        <x:v>验证编辑公告回填与换行</x:v>
      </x:c>
      <x:c r="H524" s="4" t="str">
        <x:v>编辑公告回填与换行</x:v>
      </x:c>
      <x:c r="I524" s="4" t="str">
        <x:v>1. 已登录主播账号
2. 当前公告为“原公告”</x:v>
      </x:c>
      <x:c r="J524" s="4" t="str">
        <x:v>1. 进入「群管理（群主）」页
2. 点击编辑公告
3. 在原公告后换行输入“新内容”</x:v>
      </x:c>
      <x:c r="K524" s="4" t="str">
        <x:v>编辑框保留原公告与换行后的新内容，并显示字符计数</x:v>
      </x:c>
      <x:c r="L524" s="4" t="str"/>
      <x:c r="M524" s="4" t="str">
        <x:v>未测</x:v>
      </x:c>
      <x:c r="N524" s="4" t="str"/>
      <x:c r="O524" s="4" t="str">
        <x:v>1. 来源：MainBasis/统一需求文档.md；U-group-manage-owner-006、U-group-manage-owner-002
2. 场景：SC-15a16c332020fc</x:v>
      </x:c>
    </x:row>
    <x:row r="525" ht="68" customHeight="1">
      <x:c r="A525" s="4" t="n">
        <x:v>524</x:v>
      </x:c>
      <x:c r="B525" s="4" t="str">
        <x:v>USER-0524</x:v>
      </x:c>
      <x:c r="C525" s="4" t="str">
        <x:v>M03 社交、私信、群聊与通知</x:v>
      </x:c>
      <x:c r="D525" s="4" t="str">
        <x:v>群管理（群主）（主播视角）</x:v>
      </x:c>
      <x:c r="E525" s="4" t="str">
        <x:v>功能需求</x:v>
      </x:c>
      <x:c r="F525" s="4" t="str">
        <x:v>P1</x:v>
      </x:c>
      <x:c r="G525" s="4" t="str">
        <x:v>验证公告编辑保存</x:v>
      </x:c>
      <x:c r="H525" s="4" t="str">
        <x:v>公告编辑保存</x:v>
      </x:c>
      <x:c r="I525" s="4" t="str">
        <x:v>1. 已登录主播账号
2. 原公告为“原公告”</x:v>
      </x:c>
      <x:c r="J525" s="4" t="str">
        <x:v>1. 进入「群管理（群主）」页
2. 点击编辑公告
3. 修改为“新公告”
4. 点击保存</x:v>
      </x:c>
      <x:c r="K525" s="4" t="str">
        <x:v>弹窗关闭，公告显示“新公告”</x:v>
      </x:c>
      <x:c r="L525" s="4" t="str"/>
      <x:c r="M525" s="4" t="str">
        <x:v>未测</x:v>
      </x:c>
      <x:c r="N525" s="4" t="str"/>
      <x:c r="O525" s="4" t="str">
        <x:v>1. 来源：MainBasis/统一需求文档.md；U-group-manage-owner-006、U-group-manage-owner-002
2. 场景：SC-00fa3d77250b8e</x:v>
      </x:c>
    </x:row>
    <x:row r="526" ht="68" customHeight="1">
      <x:c r="A526" s="4" t="n">
        <x:v>525</x:v>
      </x:c>
      <x:c r="B526" s="4" t="str">
        <x:v>USER-0525</x:v>
      </x:c>
      <x:c r="C526" s="4" t="str">
        <x:v>M03 社交、私信、群聊与通知</x:v>
      </x:c>
      <x:c r="D526" s="4" t="str">
        <x:v>群管理（群主）（主播视角）</x:v>
      </x:c>
      <x:c r="E526" s="4" t="str">
        <x:v>功能需求</x:v>
      </x:c>
      <x:c r="F526" s="4" t="str">
        <x:v>P1</x:v>
      </x:c>
      <x:c r="G526" s="4" t="str">
        <x:v>验证公告编辑取消</x:v>
      </x:c>
      <x:c r="H526" s="4" t="str">
        <x:v>公告编辑取消</x:v>
      </x:c>
      <x:c r="I526" s="4" t="str">
        <x:v>1. 已登录主播账号
2. 原公告为“原公告”</x:v>
      </x:c>
      <x:c r="J526" s="4" t="str">
        <x:v>1. 进入「群管理（群主）」页
2. 点击编辑公告
3. 修改为“新公告”
4. 点击取消</x:v>
      </x:c>
      <x:c r="K526" s="4" t="str">
        <x:v>公告仍显示“原公告”</x:v>
      </x:c>
      <x:c r="L526" s="4" t="str"/>
      <x:c r="M526" s="4" t="str">
        <x:v>未测</x:v>
      </x:c>
      <x:c r="N526" s="4" t="str"/>
      <x:c r="O526" s="4" t="str">
        <x:v>1. 来源：MainBasis/统一需求文档.md；U-group-manage-owner-006、U-group-manage-owner-002
2. 场景：SC-680bc435f632fe</x:v>
      </x:c>
    </x:row>
    <x:row r="527" ht="68" customHeight="1">
      <x:c r="A527" s="4" t="n">
        <x:v>526</x:v>
      </x:c>
      <x:c r="B527" s="4" t="str">
        <x:v>USER-0526</x:v>
      </x:c>
      <x:c r="C527" s="4" t="str">
        <x:v>M03 社交、私信、群聊与通知</x:v>
      </x:c>
      <x:c r="D527" s="4" t="str">
        <x:v>群管理（群主）（主播视角）</x:v>
      </x:c>
      <x:c r="E527" s="4" t="str">
        <x:v>功能需求</x:v>
      </x:c>
      <x:c r="F527" s="4" t="str">
        <x:v>P1</x:v>
      </x:c>
      <x:c r="G527" s="4" t="str">
        <x:v>验证公告编辑关闭</x:v>
      </x:c>
      <x:c r="H527" s="4" t="str">
        <x:v>公告编辑关闭</x:v>
      </x:c>
      <x:c r="I527" s="4" t="str">
        <x:v>1. 已登录主播账号
2. 原公告为“原公告”</x:v>
      </x:c>
      <x:c r="J527" s="4" t="str">
        <x:v>1. 进入「群管理（群主）」页
2. 点击编辑公告
3. 修改为“新公告”
4. 点击关闭</x:v>
      </x:c>
      <x:c r="K527" s="4" t="str">
        <x:v>公告仍显示“原公告”</x:v>
      </x:c>
      <x:c r="L527" s="4" t="str"/>
      <x:c r="M527" s="4" t="str">
        <x:v>未测</x:v>
      </x:c>
      <x:c r="N527" s="4" t="str"/>
      <x:c r="O527" s="4" t="str">
        <x:v>1. 来源：MainBasis/统一需求文档.md；U-group-manage-owner-006、U-group-manage-owner-002
2. 场景：SC-33c271656e2934</x:v>
      </x:c>
    </x:row>
    <x:row r="528" ht="54" customHeight="1">
      <x:c r="A528" s="4" t="n">
        <x:v>527</x:v>
      </x:c>
      <x:c r="B528" s="4" t="str">
        <x:v>USER-0527</x:v>
      </x:c>
      <x:c r="C528" s="4" t="str">
        <x:v>M03 社交、私信、群聊与通知</x:v>
      </x:c>
      <x:c r="D528" s="4" t="str">
        <x:v>群管理（群主）（主播视角）</x:v>
      </x:c>
      <x:c r="E528" s="4" t="str">
        <x:v>功能需求</x:v>
      </x:c>
      <x:c r="F528" s="4" t="str">
        <x:v>P2</x:v>
      </x:c>
      <x:c r="G528" s="4" t="str">
        <x:v>验证群成员管理入口</x:v>
      </x:c>
      <x:c r="H528" s="4" t="str">
        <x:v>群成员管理入口</x:v>
      </x:c>
      <x:c r="I528" s="4" t="str">
        <x:v>1. 已登录主播账号</x:v>
      </x:c>
      <x:c r="J528" s="4" t="str">
        <x:v>1. 进入「群管理（群主）」页
2. 点击「群成员管理」</x:v>
      </x:c>
      <x:c r="K528" s="4" t="str">
        <x:v>页面进入「粉丝团成员」</x:v>
      </x:c>
      <x:c r="L528" s="4" t="str"/>
      <x:c r="M528" s="4" t="str">
        <x:v>未测</x:v>
      </x:c>
      <x:c r="N528" s="4" t="str"/>
      <x:c r="O528" s="4" t="str">
        <x:v>1. 来源：MainBasis/统一需求文档.md；U-group-manage-owner-008
2. 场景：SC-7049b0365e37d0</x:v>
      </x:c>
    </x:row>
    <x:row r="529" ht="54" customHeight="1">
      <x:c r="A529" s="4" t="n">
        <x:v>528</x:v>
      </x:c>
      <x:c r="B529" s="4" t="str">
        <x:v>USER-0528</x:v>
      </x:c>
      <x:c r="C529" s="4" t="str">
        <x:v>M03 社交、私信、群聊与通知</x:v>
      </x:c>
      <x:c r="D529" s="4" t="str">
        <x:v>群管理（群主）（主播视角）</x:v>
      </x:c>
      <x:c r="E529" s="4" t="str">
        <x:v>功能需求</x:v>
      </x:c>
      <x:c r="F529" s="4" t="str">
        <x:v>P2</x:v>
      </x:c>
      <x:c r="G529" s="4" t="str">
        <x:v>验证返回入口</x:v>
      </x:c>
      <x:c r="H529" s="4" t="str">
        <x:v>返回入口</x:v>
      </x:c>
      <x:c r="I529" s="4" t="str">
        <x:v>1. 已登录主播账号</x:v>
      </x:c>
      <x:c r="J529" s="4" t="str">
        <x:v>1. 进入「群管理（群主）」页
2. 点击「返回」</x:v>
      </x:c>
      <x:c r="K529" s="4" t="str">
        <x:v>页面进入「粉丝群聊天」</x:v>
      </x:c>
      <x:c r="L529" s="4" t="str"/>
      <x:c r="M529" s="4" t="str">
        <x:v>未测</x:v>
      </x:c>
      <x:c r="N529" s="4" t="str"/>
      <x:c r="O529" s="4" t="str">
        <x:v>1. 来源：MainBasis/统一需求文档.md；U-group-manage-owner-009
2. 场景：SC-9fdd1f4d90faa3</x:v>
      </x:c>
    </x:row>
    <x:row r="530" ht="54" customHeight="1">
      <x:c r="A530" s="4" t="n">
        <x:v>529</x:v>
      </x:c>
      <x:c r="B530" s="4" t="str">
        <x:v>USER-0529</x:v>
      </x:c>
      <x:c r="C530" s="4" t="str">
        <x:v>M03 社交、私信、群聊与通知</x:v>
      </x:c>
      <x:c r="D530" s="4" t="str">
        <x:v>群管理（群主）（主播视角）</x:v>
      </x:c>
      <x:c r="E530" s="4" t="str">
        <x:v>功能需求</x:v>
      </x:c>
      <x:c r="F530" s="4" t="str">
        <x:v>P1</x:v>
      </x:c>
      <x:c r="G530" s="4" t="str">
        <x:v>验证群主只能编辑自己公告</x:v>
      </x:c>
      <x:c r="H530" s="4" t="str">
        <x:v>群主只能编辑自己公告</x:v>
      </x:c>
      <x:c r="I530" s="4" t="str">
        <x:v>1. 已登录主播账号
2. 当前主播拥有团甲，团乙属于其他主播</x:v>
      </x:c>
      <x:c r="J530" s="4" t="str">
        <x:v>1. 进入「群管理（群主）」页
2. 查看群主只能编辑自己公告</x:v>
      </x:c>
      <x:c r="K530" s="4" t="str">
        <x:v>仅可编辑团甲公告和进入团甲成员管理</x:v>
      </x:c>
      <x:c r="L530" s="4" t="str"/>
      <x:c r="M530" s="4" t="str">
        <x:v>未测</x:v>
      </x:c>
      <x:c r="N530" s="4" t="str"/>
      <x:c r="O530" s="4" t="str">
        <x:v>1. 来源：MainBasis/统一需求文档.md；U-group-manage-owner-004
2. 场景：SC-de41b3aa8a82eb</x:v>
      </x:c>
    </x:row>
    <x:row r="531" ht="54" customHeight="1">
      <x:c r="A531" s="4" t="n">
        <x:v>530</x:v>
      </x:c>
      <x:c r="B531" s="4" t="str">
        <x:v>USER-0530</x:v>
      </x:c>
      <x:c r="C531" s="4" t="str">
        <x:v>M03 社交、私信、群聊与通知</x:v>
      </x:c>
      <x:c r="D531" s="4" t="str">
        <x:v>单聊设置（用户视角）</x:v>
      </x:c>
      <x:c r="E531" s="4" t="str">
        <x:v>功能需求</x:v>
      </x:c>
      <x:c r="F531" s="4" t="str">
        <x:v>P2</x:v>
      </x:c>
      <x:c r="G531" s="4" t="str">
        <x:v>验证聊天对象回显</x:v>
      </x:c>
      <x:c r="H531" s="4" t="str">
        <x:v>聊天对象回显</x:v>
      </x:c>
      <x:c r="I531" s="4" t="str">
        <x:v>1. 已登录用户账号
2. 所选对象存在，已记录该对象的聊天对象值</x:v>
      </x:c>
      <x:c r="J531" s="4" t="str">
        <x:v>1. 进入「单聊设置」页
2. 查看聊天对象回显</x:v>
      </x:c>
      <x:c r="K531" s="4" t="str">
        <x:v>「聊天对象」内容与所选对象的该项资料一致</x:v>
      </x:c>
      <x:c r="L531" s="4" t="str"/>
      <x:c r="M531" s="4" t="str">
        <x:v>未测</x:v>
      </x:c>
      <x:c r="N531" s="4" t="str"/>
      <x:c r="O531" s="4" t="str">
        <x:v>1. 来源：MainBasis/统一需求文档.md；U-chat-settings-002
2. 场景：SC-d96a7952a3ba0e</x:v>
      </x:c>
    </x:row>
    <x:row r="532" ht="68" customHeight="1">
      <x:c r="A532" s="4" t="n">
        <x:v>531</x:v>
      </x:c>
      <x:c r="B532" s="4" t="str">
        <x:v>USER-0531</x:v>
      </x:c>
      <x:c r="C532" s="4" t="str">
        <x:v>M03 社交、私信、群聊与通知</x:v>
      </x:c>
      <x:c r="D532" s="4" t="str">
        <x:v>单聊设置（用户视角）</x:v>
      </x:c>
      <x:c r="E532" s="4" t="str">
        <x:v>功能需求</x:v>
      </x:c>
      <x:c r="F532" s="4" t="str">
        <x:v>P1</x:v>
      </x:c>
      <x:c r="G532" s="4" t="str">
        <x:v>验证单聊免打扰仍接收消息</x:v>
      </x:c>
      <x:c r="H532" s="4" t="str">
        <x:v>单聊免打扰仍接收消息</x:v>
      </x:c>
      <x:c r="I532" s="4" t="str">
        <x:v>1. 已登录用户账号
2. 当前通知开启且会话可接收消息</x:v>
      </x:c>
      <x:c r="J532" s="4" t="str">
        <x:v>1. 进入「单聊设置」页
2. 开启消息免打扰
3. 返回聊天页
4. 查看对方新发送的一条消息</x:v>
      </x:c>
      <x:c r="K532" s="4" t="str">
        <x:v>新消息仍可在当前会话中查看</x:v>
      </x:c>
      <x:c r="L532" s="4" t="str"/>
      <x:c r="M532" s="4" t="str">
        <x:v>未测</x:v>
      </x:c>
      <x:c r="N532" s="4" t="str"/>
      <x:c r="O532" s="4" t="str">
        <x:v>1. 来源：MainBasis/统一需求文档.md；U-chat-settings-004、U-chat-settings-003
2. 场景：SC-aa87e7b0bf1351</x:v>
      </x:c>
    </x:row>
    <x:row r="533" ht="54" customHeight="1">
      <x:c r="A533" s="4" t="n">
        <x:v>532</x:v>
      </x:c>
      <x:c r="B533" s="4" t="str">
        <x:v>USER-0532</x:v>
      </x:c>
      <x:c r="C533" s="4" t="str">
        <x:v>M03 社交、私信、群聊与通知</x:v>
      </x:c>
      <x:c r="D533" s="4" t="str">
        <x:v>单聊设置（用户视角）</x:v>
      </x:c>
      <x:c r="E533" s="4" t="str">
        <x:v>功能需求</x:v>
      </x:c>
      <x:c r="F533" s="4" t="str">
        <x:v>P1</x:v>
      </x:c>
      <x:c r="G533" s="4" t="str">
        <x:v>验证单聊免打扰关闭通知</x:v>
      </x:c>
      <x:c r="H533" s="4" t="str">
        <x:v>单聊免打扰关闭通知</x:v>
      </x:c>
      <x:c r="I533" s="4" t="str">
        <x:v>1. 已登录用户账号
2. 当前通知开启</x:v>
      </x:c>
      <x:c r="J533" s="4" t="str">
        <x:v>1. 进入「单聊设置」页
2. 开启消息免打扰</x:v>
      </x:c>
      <x:c r="K533" s="4" t="str">
        <x:v>仅当前账号的此会话消息通知被关闭</x:v>
      </x:c>
      <x:c r="L533" s="4" t="str"/>
      <x:c r="M533" s="4" t="str">
        <x:v>未测</x:v>
      </x:c>
      <x:c r="N533" s="4" t="str"/>
      <x:c r="O533" s="4" t="str">
        <x:v>1. 来源：MainBasis/统一需求文档.md；U-chat-settings-004、U-chat-settings-003
2. 场景：SC-b0f41ff098d4db</x:v>
      </x:c>
    </x:row>
    <x:row r="534" ht="54" customHeight="1">
      <x:c r="A534" s="4" t="n">
        <x:v>533</x:v>
      </x:c>
      <x:c r="B534" s="4" t="str">
        <x:v>USER-0533</x:v>
      </x:c>
      <x:c r="C534" s="4" t="str">
        <x:v>M03 社交、私信、群聊与通知</x:v>
      </x:c>
      <x:c r="D534" s="4" t="str">
        <x:v>单聊设置（用户视角）</x:v>
      </x:c>
      <x:c r="E534" s="4" t="str">
        <x:v>功能需求</x:v>
      </x:c>
      <x:c r="F534" s="4" t="str">
        <x:v>P2</x:v>
      </x:c>
      <x:c r="G534" s="4" t="str">
        <x:v>验证确认后执行并删除当前会话，取消不改变关系。举报入口</x:v>
      </x:c>
      <x:c r="H534" s="4" t="str">
        <x:v>确认后执行并删除当前会话，取消不改变关系。举报入口</x:v>
      </x:c>
      <x:c r="I534" s="4" t="str">
        <x:v>1. 已登录用户账号</x:v>
      </x:c>
      <x:c r="J534" s="4" t="str">
        <x:v>1. 进入「单聊设置」页
2. 点击「确认后执行并删除当前会话，取消不改变关系。举报」</x:v>
      </x:c>
      <x:c r="K534" s="4" t="str">
        <x:v>页面进入「当前账号的举报流程」</x:v>
      </x:c>
      <x:c r="L534" s="4" t="str"/>
      <x:c r="M534" s="4" t="str">
        <x:v>未测</x:v>
      </x:c>
      <x:c r="N534" s="4" t="str"/>
      <x:c r="O534" s="4" t="str">
        <x:v>1. 来源：MainBasis/统一需求文档.md；U-chat-settings-007
2. 场景：SC-19589fdb9430f7</x:v>
      </x:c>
    </x:row>
    <x:row r="535" ht="54" customHeight="1">
      <x:c r="A535" s="4" t="n">
        <x:v>534</x:v>
      </x:c>
      <x:c r="B535" s="4" t="str">
        <x:v>USER-0534</x:v>
      </x:c>
      <x:c r="C535" s="4" t="str">
        <x:v>M03 社交、私信、群聊与通知</x:v>
      </x:c>
      <x:c r="D535" s="4" t="str">
        <x:v>拉黑确认（用户视角）</x:v>
      </x:c>
      <x:c r="E535" s="4" t="str">
        <x:v>功能需求</x:v>
      </x:c>
      <x:c r="F535" s="4" t="str">
        <x:v>P2</x:v>
      </x:c>
      <x:c r="G535" s="4" t="str">
        <x:v>验证确认对象回显</x:v>
      </x:c>
      <x:c r="H535" s="4" t="str">
        <x:v>确认对象回显</x:v>
      </x:c>
      <x:c r="I535" s="4" t="str">
        <x:v>1. 已登录用户账号
2. 所选对象存在，已记录该对象的确认对象值</x:v>
      </x:c>
      <x:c r="J535" s="4" t="str">
        <x:v>1. 进入「单聊设置」页
2. 打开「拉黑确认」视图
3. 查看确认对象回显</x:v>
      </x:c>
      <x:c r="K535" s="4" t="str">
        <x:v>「确认对象」内容与所选对象的该项资料一致</x:v>
      </x:c>
      <x:c r="L535" s="4" t="str"/>
      <x:c r="M535" s="4" t="str">
        <x:v>未测</x:v>
      </x:c>
      <x:c r="N535" s="4" t="str"/>
      <x:c r="O535" s="4" t="str">
        <x:v>1. 来源：MainBasis/统一需求文档.md；U-views_chat-settings_block-confirm-002
2. 场景：SC-d2f7a7867c65f3</x:v>
      </x:c>
    </x:row>
    <x:row r="536" ht="54" customHeight="1">
      <x:c r="A536" s="4" t="n">
        <x:v>535</x:v>
      </x:c>
      <x:c r="B536" s="4" t="str">
        <x:v>USER-0535</x:v>
      </x:c>
      <x:c r="C536" s="4" t="str">
        <x:v>M03 社交、私信、群聊与通知</x:v>
      </x:c>
      <x:c r="D536" s="4" t="str">
        <x:v>拉黑确认（用户视角）</x:v>
      </x:c>
      <x:c r="E536" s="4" t="str">
        <x:v>功能需求</x:v>
      </x:c>
      <x:c r="F536" s="4" t="str">
        <x:v>P2</x:v>
      </x:c>
      <x:c r="G536" s="4" t="str">
        <x:v>验证后果说明回显</x:v>
      </x:c>
      <x:c r="H536" s="4" t="str">
        <x:v>后果说明回显</x:v>
      </x:c>
      <x:c r="I536" s="4" t="str">
        <x:v>1. 已登录用户账号
2. 所选对象存在，已记录该对象的后果说明值</x:v>
      </x:c>
      <x:c r="J536" s="4" t="str">
        <x:v>1. 进入「单聊设置」页
2. 打开「拉黑确认」视图
3. 查看后果说明回显</x:v>
      </x:c>
      <x:c r="K536" s="4" t="str">
        <x:v>「后果说明」内容与所选对象的该项资料一致</x:v>
      </x:c>
      <x:c r="L536" s="4" t="str"/>
      <x:c r="M536" s="4" t="str">
        <x:v>未测</x:v>
      </x:c>
      <x:c r="N536" s="4" t="str"/>
      <x:c r="O536" s="4" t="str">
        <x:v>1. 来源：MainBasis/统一需求文档.md；U-views_chat-settings_block-confirm-003
2. 场景：SC-9d1572326fc4f8</x:v>
      </x:c>
    </x:row>
    <x:row r="537" ht="54" customHeight="1">
      <x:c r="A537" s="4" t="n">
        <x:v>536</x:v>
      </x:c>
      <x:c r="B537" s="4" t="str">
        <x:v>USER-0536</x:v>
      </x:c>
      <x:c r="C537" s="4" t="str">
        <x:v>M03 社交、私信、群聊与通知</x:v>
      </x:c>
      <x:c r="D537" s="4" t="str">
        <x:v>拉黑确认（用户视角）</x:v>
      </x:c>
      <x:c r="E537" s="4" t="str">
        <x:v>功能需求</x:v>
      </x:c>
      <x:c r="F537" s="4" t="str">
        <x:v>P1</x:v>
      </x:c>
      <x:c r="G537" s="4" t="str">
        <x:v>验证单聊拉黑确认拉黑</x:v>
      </x:c>
      <x:c r="H537" s="4" t="str">
        <x:v>单聊拉黑确认拉黑</x:v>
      </x:c>
      <x:c r="I537" s="4" t="str">
        <x:v>1. 已登录用户账号
2. 当前单聊对象未被拉黑且有聊天记录</x:v>
      </x:c>
      <x:c r="J537" s="4" t="str">
        <x:v>1. 进入「单聊设置」页
2. 打开「拉黑确认」视图
3. 点击确认拉黑</x:v>
      </x:c>
      <x:c r="K537" s="4" t="str">
        <x:v>退出当前会话</x:v>
      </x:c>
      <x:c r="L537" s="4" t="str"/>
      <x:c r="M537" s="4" t="str">
        <x:v>未测</x:v>
      </x:c>
      <x:c r="N537" s="4" t="str"/>
      <x:c r="O537" s="4" t="str">
        <x:v>1. 来源：MainBasis/统一需求文档.md；U-views_chat-settings_block-confirm-005
2. 场景：SC-fac0b47a8284f3</x:v>
      </x:c>
    </x:row>
    <x:row r="538" ht="54" customHeight="1">
      <x:c r="A538" s="4" t="n">
        <x:v>537</x:v>
      </x:c>
      <x:c r="B538" s="4" t="str">
        <x:v>USER-0537</x:v>
      </x:c>
      <x:c r="C538" s="4" t="str">
        <x:v>M03 社交、私信、群聊与通知</x:v>
      </x:c>
      <x:c r="D538" s="4" t="str">
        <x:v>拉黑确认（用户视角）</x:v>
      </x:c>
      <x:c r="E538" s="4" t="str">
        <x:v>功能需求</x:v>
      </x:c>
      <x:c r="F538" s="4" t="str">
        <x:v>P1</x:v>
      </x:c>
      <x:c r="G538" s="4" t="str">
        <x:v>验证单聊拉黑取消</x:v>
      </x:c>
      <x:c r="H538" s="4" t="str">
        <x:v>单聊拉黑取消</x:v>
      </x:c>
      <x:c r="I538" s="4" t="str">
        <x:v>1. 已登录用户账号
2. 当前单聊对象未被拉黑且有聊天记录</x:v>
      </x:c>
      <x:c r="J538" s="4" t="str">
        <x:v>1. 进入「单聊设置」页
2. 打开「拉黑确认」视图
3. 点击取消</x:v>
      </x:c>
      <x:c r="K538" s="4" t="str">
        <x:v>原关系和聊天记录保持不变</x:v>
      </x:c>
      <x:c r="L538" s="4" t="str"/>
      <x:c r="M538" s="4" t="str">
        <x:v>未测</x:v>
      </x:c>
      <x:c r="N538" s="4" t="str"/>
      <x:c r="O538" s="4" t="str">
        <x:v>1. 来源：MainBasis/统一需求文档.md；U-views_chat-settings_block-confirm-005
2. 场景：SC-b512b6e357f197</x:v>
      </x:c>
    </x:row>
    <x:row r="539" ht="54" customHeight="1">
      <x:c r="A539" s="4" t="n">
        <x:v>538</x:v>
      </x:c>
      <x:c r="B539" s="4" t="str">
        <x:v>USER-0538</x:v>
      </x:c>
      <x:c r="C539" s="4" t="str">
        <x:v>M03 社交、私信、群聊与通知</x:v>
      </x:c>
      <x:c r="D539" s="4" t="str">
        <x:v>拉黑确认（用户视角）</x:v>
      </x:c>
      <x:c r="E539" s="4" t="str">
        <x:v>功能需求</x:v>
      </x:c>
      <x:c r="F539" s="4" t="str">
        <x:v>P1</x:v>
      </x:c>
      <x:c r="G539" s="4" t="str">
        <x:v>验证单聊拉黑关闭</x:v>
      </x:c>
      <x:c r="H539" s="4" t="str">
        <x:v>单聊拉黑关闭</x:v>
      </x:c>
      <x:c r="I539" s="4" t="str">
        <x:v>1. 已登录用户账号
2. 当前单聊对象未被拉黑且有聊天记录</x:v>
      </x:c>
      <x:c r="J539" s="4" t="str">
        <x:v>1. 进入「单聊设置」页
2. 打开「拉黑确认」视图
3. 点击关闭</x:v>
      </x:c>
      <x:c r="K539" s="4" t="str">
        <x:v>原关系和聊天记录保持不变</x:v>
      </x:c>
      <x:c r="L539" s="4" t="str"/>
      <x:c r="M539" s="4" t="str">
        <x:v>未测</x:v>
      </x:c>
      <x:c r="N539" s="4" t="str"/>
      <x:c r="O539" s="4" t="str">
        <x:v>1. 来源：MainBasis/统一需求文档.md；U-views_chat-settings_block-confirm-005
2. 场景：SC-5dd10b1ae05dbf</x:v>
      </x:c>
    </x:row>
    <x:row r="540" ht="54" customHeight="1">
      <x:c r="A540" s="4" t="n">
        <x:v>539</x:v>
      </x:c>
      <x:c r="B540" s="4" t="str">
        <x:v>USER-0539</x:v>
      </x:c>
      <x:c r="C540" s="4" t="str">
        <x:v>M03 社交、私信、群聊与通知</x:v>
      </x:c>
      <x:c r="D540" s="4" t="str">
        <x:v>黑名单管理（用户视角）</x:v>
      </x:c>
      <x:c r="E540" s="4" t="str">
        <x:v>功能需求</x:v>
      </x:c>
      <x:c r="F540" s="4" t="str">
        <x:v>P2</x:v>
      </x:c>
      <x:c r="G540" s="4" t="str">
        <x:v>验证黑名单用户回显</x:v>
      </x:c>
      <x:c r="H540" s="4" t="str">
        <x:v>黑名单用户回显</x:v>
      </x:c>
      <x:c r="I540" s="4" t="str">
        <x:v>1. 已登录用户账号
2. 所选对象存在，已记录该对象的黑名单用户值</x:v>
      </x:c>
      <x:c r="J540" s="4" t="str">
        <x:v>1. 进入「黑名单管理」页
2. 查看黑名单用户回显</x:v>
      </x:c>
      <x:c r="K540" s="4" t="str">
        <x:v>「黑名单用户」内容与所选对象的该项资料一致</x:v>
      </x:c>
      <x:c r="L540" s="4" t="str"/>
      <x:c r="M540" s="4" t="str">
        <x:v>未测</x:v>
      </x:c>
      <x:c r="N540" s="4" t="str"/>
      <x:c r="O540" s="4" t="str">
        <x:v>1. 来源：MainBasis/统一需求文档.md；U-blacklist-management-002
2. 场景：SC-1bf5d7248cfd70</x:v>
      </x:c>
    </x:row>
    <x:row r="541" ht="208" customHeight="1">
      <x:c r="A541" s="4" t="n">
        <x:v>540</x:v>
      </x:c>
      <x:c r="B541" s="4" t="str">
        <x:v>USER-0540</x:v>
      </x:c>
      <x:c r="C541" s="4" t="str">
        <x:v>M03 社交、私信、群聊与通知</x:v>
      </x:c>
      <x:c r="D541" s="4" t="str">
        <x:v>黑名单管理（用户视角）</x:v>
      </x:c>
      <x:c r="E541" s="4" t="str">
        <x:v>功能需求</x:v>
      </x:c>
      <x:c r="F541" s="4" t="str">
        <x:v>P1</x:v>
      </x:c>
      <x:c r="G541" s="4" t="str">
        <x:v>验证拉黑清理关注关系</x:v>
      </x:c>
      <x:c r="H541" s="4" t="str">
        <x:v>拉黑清理关注关系</x:v>
      </x:c>
      <x:c r="I541" s="4" t="str">
        <x:v>1. 已登录用户账号
2. 双方已存在关注关系</x:v>
      </x:c>
      <x:c r="J541" s="4" t="str">
        <x:v>1. 进入对方用户主页
2. 点击拉黑
3. 确认拉黑
4. 打开我的关注</x:v>
      </x:c>
      <x:c r="K541" s="4" t="str">
        <x:v>双方关注关系解除</x:v>
      </x:c>
      <x:c r="L541" s="4" t="str">
        <x:v>FLOW-EEC990CE</x:v>
      </x:c>
      <x:c r="M541" s="4" t="str">
        <x:v>未测</x:v>
      </x:c>
      <x:c r="N541" s="4" t="str"/>
      <x:c r="O541" s="4" t="str">
        <x:v>1. 来源：MainBasis/统一需求文档.md；U-blacklist-management-004、U-blacklist-management-005、U-blacklist-management-013、U-user-home-008、U-views_user-home_friend-006、U-views_user-home_blocked-005、U-views_user-home_block-confirm-004、U-host-home-009、U-views_host-home_block-confirm-004、U-friend-list-007、U-chat-settings-006、U-views_chat-settings_block-confirm-004、D-SYS-093、U-views_live-room_profile-viewer-004、U-views_live-room_host-profile-004
2. 场景：SC-251a32afcccdb0
3. 状态转换：ST-433E3B969C50</x:v>
      </x:c>
    </x:row>
    <x:row r="542" ht="208" customHeight="1">
      <x:c r="A542" s="4" t="n">
        <x:v>541</x:v>
      </x:c>
      <x:c r="B542" s="4" t="str">
        <x:v>USER-0541</x:v>
      </x:c>
      <x:c r="C542" s="4" t="str">
        <x:v>M03 社交、私信、群聊与通知</x:v>
      </x:c>
      <x:c r="D542" s="4" t="str">
        <x:v>黑名单管理（用户视角）</x:v>
      </x:c>
      <x:c r="E542" s="4" t="str">
        <x:v>功能需求</x:v>
      </x:c>
      <x:c r="F542" s="4" t="str">
        <x:v>P1</x:v>
      </x:c>
      <x:c r="G542" s="4" t="str">
        <x:v>验证拉黑清理好友关系</x:v>
      </x:c>
      <x:c r="H542" s="4" t="str">
        <x:v>拉黑清理好友关系</x:v>
      </x:c>
      <x:c r="I542" s="4" t="str">
        <x:v>1. 已登录用户账号
2. 双方已存在好友关系</x:v>
      </x:c>
      <x:c r="J542" s="4" t="str">
        <x:v>1. 进入对方用户主页
2. 点击拉黑
3. 确认拉黑
4. 打开好友列表</x:v>
      </x:c>
      <x:c r="K542" s="4" t="str">
        <x:v>双方不再互为好友</x:v>
      </x:c>
      <x:c r="L542" s="4" t="str">
        <x:v>FLOW-EEC990CE</x:v>
      </x:c>
      <x:c r="M542" s="4" t="str">
        <x:v>未测</x:v>
      </x:c>
      <x:c r="N542" s="4" t="str"/>
      <x:c r="O542" s="4" t="str">
        <x:v>1. 来源：MainBasis/统一需求文档.md；U-blacklist-management-004、U-blacklist-management-005、U-blacklist-management-013、U-user-home-008、U-views_user-home_friend-006、U-views_user-home_blocked-005、U-views_user-home_block-confirm-004、U-host-home-009、U-views_host-home_block-confirm-004、U-friend-list-007、U-chat-settings-006、U-views_chat-settings_block-confirm-004、D-SYS-093、U-views_live-room_profile-viewer-004、U-views_live-room_host-profile-004
2. 场景：SC-4222211b586db9
3. 状态转换：ST-433E3B969C50</x:v>
      </x:c>
    </x:row>
    <x:row r="543" ht="208" customHeight="1">
      <x:c r="A543" s="4" t="n">
        <x:v>542</x:v>
      </x:c>
      <x:c r="B543" s="4" t="str">
        <x:v>USER-0542</x:v>
      </x:c>
      <x:c r="C543" s="4" t="str">
        <x:v>M03 社交、私信、群聊与通知</x:v>
      </x:c>
      <x:c r="D543" s="4" t="str">
        <x:v>黑名单管理（用户视角）</x:v>
      </x:c>
      <x:c r="E543" s="4" t="str">
        <x:v>功能需求</x:v>
      </x:c>
      <x:c r="F543" s="4" t="str">
        <x:v>P1</x:v>
      </x:c>
      <x:c r="G543" s="4" t="str">
        <x:v>验证拉黑清理好友申请</x:v>
      </x:c>
      <x:c r="H543" s="4" t="str">
        <x:v>拉黑清理好友申请</x:v>
      </x:c>
      <x:c r="I543" s="4" t="str">
        <x:v>1. 已登录用户账号
2. 双方已存在好友申请</x:v>
      </x:c>
      <x:c r="J543" s="4" t="str">
        <x:v>1. 进入对方用户主页
2. 点击拉黑
3. 确认拉黑
4. 打开互动通知</x:v>
      </x:c>
      <x:c r="K543" s="4" t="str">
        <x:v>待处理好友申请已失效</x:v>
      </x:c>
      <x:c r="L543" s="4" t="str">
        <x:v>FLOW-EEC990CE</x:v>
      </x:c>
      <x:c r="M543" s="4" t="str">
        <x:v>未测</x:v>
      </x:c>
      <x:c r="N543" s="4" t="str"/>
      <x:c r="O543" s="4" t="str">
        <x:v>1. 来源：MainBasis/统一需求文档.md；U-blacklist-management-004、U-blacklist-management-005、U-blacklist-management-013、U-user-home-008、U-views_user-home_friend-006、U-views_user-home_blocked-005、U-views_user-home_block-confirm-004、U-host-home-009、U-views_host-home_block-confirm-004、U-friend-list-007、U-chat-settings-006、U-views_chat-settings_block-confirm-004、D-SYS-093、U-views_live-room_profile-viewer-004、U-views_live-room_host-profile-004
2. 场景：SC-67c578399ea15b
3. 状态转换：ST-433E3B969C50</x:v>
      </x:c>
    </x:row>
    <x:row r="544" ht="208" customHeight="1">
      <x:c r="A544" s="4" t="n">
        <x:v>543</x:v>
      </x:c>
      <x:c r="B544" s="4" t="str">
        <x:v>USER-0543</x:v>
      </x:c>
      <x:c r="C544" s="4" t="str">
        <x:v>M03 社交、私信、群聊与通知</x:v>
      </x:c>
      <x:c r="D544" s="4" t="str">
        <x:v>黑名单管理（用户视角）</x:v>
      </x:c>
      <x:c r="E544" s="4" t="str">
        <x:v>功能需求</x:v>
      </x:c>
      <x:c r="F544" s="4" t="str">
        <x:v>P1</x:v>
      </x:c>
      <x:c r="G544" s="4" t="str">
        <x:v>验证拉黑清理粉丝团团籍</x:v>
      </x:c>
      <x:c r="H544" s="4" t="str">
        <x:v>拉黑清理粉丝团团籍</x:v>
      </x:c>
      <x:c r="I544" s="4" t="str">
        <x:v>1. 已登录用户账号
2. 双方已存在粉丝团团籍</x:v>
      </x:c>
      <x:c r="J544" s="4" t="str">
        <x:v>1. 进入对方用户主页
2. 点击拉黑
3. 确认拉黑
4. 打开我的粉丝团</x:v>
      </x:c>
      <x:c r="K544" s="4" t="str">
        <x:v>双方加入对方的团籍解除</x:v>
      </x:c>
      <x:c r="L544" s="4" t="str">
        <x:v>FLOW-EEC990CE</x:v>
      </x:c>
      <x:c r="M544" s="4" t="str">
        <x:v>未测</x:v>
      </x:c>
      <x:c r="N544" s="4" t="str"/>
      <x:c r="O544" s="4" t="str">
        <x:v>1. 来源：MainBasis/统一需求文档.md；U-blacklist-management-004、U-blacklist-management-005、U-blacklist-management-013、U-user-home-008、U-views_user-home_friend-006、U-views_user-home_blocked-005、U-views_user-home_block-confirm-004、U-host-home-009、U-views_host-home_block-confirm-004、U-friend-list-007、U-chat-settings-006、U-views_chat-settings_block-confirm-004、D-SYS-093、U-views_live-room_profile-viewer-004、U-views_live-room_host-profile-004
2. 场景：SC-d4c6576956d123
3. 状态转换：ST-433E3B969C50</x:v>
      </x:c>
    </x:row>
    <x:row r="545" ht="208" customHeight="1">
      <x:c r="A545" s="4" t="n">
        <x:v>544</x:v>
      </x:c>
      <x:c r="B545" s="4" t="str">
        <x:v>USER-0544</x:v>
      </x:c>
      <x:c r="C545" s="4" t="str">
        <x:v>M03 社交、私信、群聊与通知</x:v>
      </x:c>
      <x:c r="D545" s="4" t="str">
        <x:v>黑名单管理（用户视角）</x:v>
      </x:c>
      <x:c r="E545" s="4" t="str">
        <x:v>功能需求</x:v>
      </x:c>
      <x:c r="F545" s="4" t="str">
        <x:v>P1</x:v>
      </x:c>
      <x:c r="G545" s="4" t="str">
        <x:v>验证拉黑清理房管关系</x:v>
      </x:c>
      <x:c r="H545" s="4" t="str">
        <x:v>拉黑清理房管关系</x:v>
      </x:c>
      <x:c r="I545" s="4" t="str">
        <x:v>1. 已登录用户账号
2. 双方已存在房管关系</x:v>
      </x:c>
      <x:c r="J545" s="4" t="str">
        <x:v>1. 进入对方用户主页
2. 点击拉黑
3. 确认拉黑
4. 打开房管列表</x:v>
      </x:c>
      <x:c r="K545" s="4" t="str">
        <x:v>双方既有房管关系解除</x:v>
      </x:c>
      <x:c r="L545" s="4" t="str">
        <x:v>FLOW-EEC990CE</x:v>
      </x:c>
      <x:c r="M545" s="4" t="str">
        <x:v>未测</x:v>
      </x:c>
      <x:c r="N545" s="4" t="str"/>
      <x:c r="O545" s="4" t="str">
        <x:v>1. 来源：MainBasis/统一需求文档.md；U-blacklist-management-004、U-blacklist-management-005、U-blacklist-management-013、U-user-home-008、U-views_user-home_friend-006、U-views_user-home_blocked-005、U-views_user-home_block-confirm-004、U-host-home-009、U-views_host-home_block-confirm-004、U-friend-list-007、U-chat-settings-006、U-views_chat-settings_block-confirm-004、D-SYS-093、U-views_live-room_profile-viewer-004、U-views_live-room_host-profile-004
2. 场景：SC-2f5a940e2bb8ec
3. 状态转换：ST-433E3B969C50</x:v>
      </x:c>
    </x:row>
    <x:row r="546" ht="208" customHeight="1">
      <x:c r="A546" s="4" t="n">
        <x:v>545</x:v>
      </x:c>
      <x:c r="B546" s="4" t="str">
        <x:v>USER-0545</x:v>
      </x:c>
      <x:c r="C546" s="4" t="str">
        <x:v>M03 社交、私信、群聊与通知</x:v>
      </x:c>
      <x:c r="D546" s="4" t="str">
        <x:v>黑名单管理（用户视角）</x:v>
      </x:c>
      <x:c r="E546" s="4" t="str">
        <x:v>功能需求</x:v>
      </x:c>
      <x:c r="F546" s="4" t="str">
        <x:v>P1</x:v>
      </x:c>
      <x:c r="G546" s="4" t="str">
        <x:v>验证拉黑清理私信会话</x:v>
      </x:c>
      <x:c r="H546" s="4" t="str">
        <x:v>拉黑清理私信会话</x:v>
      </x:c>
      <x:c r="I546" s="4" t="str">
        <x:v>1. 已登录用户账号
2. 双方已存在私信会话</x:v>
      </x:c>
      <x:c r="J546" s="4" t="str">
        <x:v>1. 进入对方用户主页
2. 点击拉黑
3. 确认拉黑
4. 打开消息中心</x:v>
      </x:c>
      <x:c r="K546" s="4" t="str">
        <x:v>双方私信会话被移除</x:v>
      </x:c>
      <x:c r="L546" s="4" t="str">
        <x:v>FLOW-EEC990CE</x:v>
      </x:c>
      <x:c r="M546" s="4" t="str">
        <x:v>未测</x:v>
      </x:c>
      <x:c r="N546" s="4" t="str"/>
      <x:c r="O546" s="4" t="str">
        <x:v>1. 来源：MainBasis/统一需求文档.md；U-blacklist-management-004、U-blacklist-management-005、U-blacklist-management-013、U-user-home-008、U-views_user-home_friend-006、U-views_user-home_blocked-005、U-views_user-home_block-confirm-004、U-host-home-009、U-views_host-home_block-confirm-004、U-friend-list-007、U-chat-settings-006、U-views_chat-settings_block-confirm-004、D-SYS-093、U-views_live-room_profile-viewer-004、U-views_live-room_host-profile-004
2. 场景：SC-cd987e26b4a1fc
3. 状态转换：ST-433E3B969C50</x:v>
      </x:c>
    </x:row>
    <x:row r="547" ht="208" customHeight="1">
      <x:c r="A547" s="4" t="n">
        <x:v>546</x:v>
      </x:c>
      <x:c r="B547" s="4" t="str">
        <x:v>USER-0546</x:v>
      </x:c>
      <x:c r="C547" s="4" t="str">
        <x:v>M03 社交、私信、群聊与通知</x:v>
      </x:c>
      <x:c r="D547" s="4" t="str">
        <x:v>黑名单管理（用户视角）</x:v>
      </x:c>
      <x:c r="E547" s="4" t="str">
        <x:v>功能需求</x:v>
      </x:c>
      <x:c r="F547" s="4" t="str">
        <x:v>P1</x:v>
      </x:c>
      <x:c r="G547" s="4" t="str">
        <x:v>验证拉黑清理聊天记录</x:v>
      </x:c>
      <x:c r="H547" s="4" t="str">
        <x:v>拉黑清理聊天记录</x:v>
      </x:c>
      <x:c r="I547" s="4" t="str">
        <x:v>1. 已登录用户账号
2. 双方已存在聊天记录</x:v>
      </x:c>
      <x:c r="J547" s="4" t="str">
        <x:v>1. 进入对方用户主页
2. 点击拉黑
3. 确认拉黑
4. 打开该对象会话</x:v>
      </x:c>
      <x:c r="K547" s="4" t="str">
        <x:v>双方聊天记录被清空</x:v>
      </x:c>
      <x:c r="L547" s="4" t="str">
        <x:v>FLOW-EEC990CE</x:v>
      </x:c>
      <x:c r="M547" s="4" t="str">
        <x:v>未测</x:v>
      </x:c>
      <x:c r="N547" s="4" t="str"/>
      <x:c r="O547" s="4" t="str">
        <x:v>1. 来源：MainBasis/统一需求文档.md；U-blacklist-management-004、U-blacklist-management-005、U-blacklist-management-013、U-user-home-008、U-views_user-home_friend-006、U-views_user-home_blocked-005、U-views_user-home_block-confirm-004、U-host-home-009、U-views_host-home_block-confirm-004、U-friend-list-007、U-chat-settings-006、U-views_chat-settings_block-confirm-004、D-SYS-093、U-views_live-room_profile-viewer-004、U-views_live-room_host-profile-004
2. 场景：SC-ab1a19c3f5949b
3. 状态转换：ST-433E3B969C50</x:v>
      </x:c>
    </x:row>
    <x:row r="548" ht="54" customHeight="1">
      <x:c r="A548" s="4" t="n">
        <x:v>547</x:v>
      </x:c>
      <x:c r="B548" s="4" t="str">
        <x:v>USER-0547</x:v>
      </x:c>
      <x:c r="C548" s="4" t="str">
        <x:v>M03 社交、私信、群聊与通知</x:v>
      </x:c>
      <x:c r="D548" s="4" t="str">
        <x:v>黑名单管理（用户视角）</x:v>
      </x:c>
      <x:c r="E548" s="4" t="str">
        <x:v>功能需求</x:v>
      </x:c>
      <x:c r="F548" s="4" t="str">
        <x:v>P1</x:v>
      </x:c>
      <x:c r="G548" s="4" t="str">
        <x:v>验证黑名单只显示主动拉黑</x:v>
      </x:c>
      <x:c r="H548" s="4" t="str">
        <x:v>黑名单只显示主动拉黑</x:v>
      </x:c>
      <x:c r="I548" s="4" t="str">
        <x:v>1. 已登录用户账号
2. 我拉黑账号甲，账号乙仅拉黑我</x:v>
      </x:c>
      <x:c r="J548" s="4" t="str">
        <x:v>1. 进入「黑名单管理」页
2. 查看黑名单只显示主动拉黑</x:v>
      </x:c>
      <x:c r="K548" s="4" t="str">
        <x:v>黑名单包含甲且不包含乙</x:v>
      </x:c>
      <x:c r="L548" s="4" t="str"/>
      <x:c r="M548" s="4" t="str">
        <x:v>未测</x:v>
      </x:c>
      <x:c r="N548" s="4" t="str"/>
      <x:c r="O548" s="4" t="str">
        <x:v>1. 来源：MainBasis/统一需求文档.md；U-blacklist-management-011
2. 场景：SC-0a16bcf0bfc544</x:v>
      </x:c>
    </x:row>
    <x:row r="549" ht="54" customHeight="1">
      <x:c r="A549" s="4" t="n">
        <x:v>548</x:v>
      </x:c>
      <x:c r="B549" s="4" t="str">
        <x:v>USER-0548</x:v>
      </x:c>
      <x:c r="C549" s="4" t="str">
        <x:v>M03 社交、私信、群聊与通知</x:v>
      </x:c>
      <x:c r="D549" s="4" t="str">
        <x:v>黑名单管理（用户视角）</x:v>
      </x:c>
      <x:c r="E549" s="4" t="str">
        <x:v>功能需求</x:v>
      </x:c>
      <x:c r="F549" s="4" t="str">
        <x:v>P1</x:v>
      </x:c>
      <x:c r="G549" s="4" t="str">
        <x:v>验证黑名单按操作时间倒序</x:v>
      </x:c>
      <x:c r="H549" s="4" t="str">
        <x:v>黑名单按操作时间倒序</x:v>
      </x:c>
      <x:c r="I549" s="4" t="str">
        <x:v>1. 已登录用户账号
2. 先拉黑甲、后拉黑乙</x:v>
      </x:c>
      <x:c r="J549" s="4" t="str">
        <x:v>1. 进入「黑名单管理」页
2. 查看黑名单按操作时间倒序</x:v>
      </x:c>
      <x:c r="K549" s="4" t="str">
        <x:v>乙位于甲之前</x:v>
      </x:c>
      <x:c r="L549" s="4" t="str"/>
      <x:c r="M549" s="4" t="str">
        <x:v>未测</x:v>
      </x:c>
      <x:c r="N549" s="4" t="str"/>
      <x:c r="O549" s="4" t="str">
        <x:v>1. 来源：MainBasis/统一需求文档.md；U-blacklist-management-012
2. 场景：SC-b3d21b76504151</x:v>
      </x:c>
    </x:row>
    <x:row r="550" ht="68" customHeight="1">
      <x:c r="A550" s="4" t="n">
        <x:v>549</x:v>
      </x:c>
      <x:c r="B550" s="4" t="str">
        <x:v>USER-0549</x:v>
      </x:c>
      <x:c r="C550" s="4" t="str">
        <x:v>M03 社交、私信、群聊与通知</x:v>
      </x:c>
      <x:c r="D550" s="4" t="str">
        <x:v>黑名单管理（用户视角）</x:v>
      </x:c>
      <x:c r="E550" s="4" t="str">
        <x:v>功能需求</x:v>
      </x:c>
      <x:c r="F550" s="4" t="str">
        <x:v>P1</x:v>
      </x:c>
      <x:c r="G550" s="4" t="str">
        <x:v>验证取消拉黑确认</x:v>
      </x:c>
      <x:c r="H550" s="4" t="str">
        <x:v>取消拉黑确认</x:v>
      </x:c>
      <x:c r="I550" s="4" t="str">
        <x:v>1. 已登录用户账号
2. 黑名单中存在目标账号</x:v>
      </x:c>
      <x:c r="J550" s="4" t="str">
        <x:v>1. 进入「黑名单管理」页
2. 点击该账号取消拉黑
3. 点击确认</x:v>
      </x:c>
      <x:c r="K550" s="4" t="str">
        <x:v>该账号从黑名单移除</x:v>
      </x:c>
      <x:c r="L550" s="4" t="str">
        <x:v>FLOW-EEC990CE</x:v>
      </x:c>
      <x:c r="M550" s="4" t="str">
        <x:v>未测</x:v>
      </x:c>
      <x:c r="N550" s="4" t="str"/>
      <x:c r="O550" s="4" t="str">
        <x:v>1. 来源：MainBasis/统一需求文档.md；U-blacklist-management-014
2. 场景：SC-611dbe8f2ad312
3. 状态转换：ST-D92C7C5B0EBE</x:v>
      </x:c>
    </x:row>
    <x:row r="551" ht="68" customHeight="1">
      <x:c r="A551" s="4" t="n">
        <x:v>550</x:v>
      </x:c>
      <x:c r="B551" s="4" t="str">
        <x:v>USER-0550</x:v>
      </x:c>
      <x:c r="C551" s="4" t="str">
        <x:v>M03 社交、私信、群聊与通知</x:v>
      </x:c>
      <x:c r="D551" s="4" t="str">
        <x:v>黑名单管理（用户视角）</x:v>
      </x:c>
      <x:c r="E551" s="4" t="str">
        <x:v>功能需求</x:v>
      </x:c>
      <x:c r="F551" s="4" t="str">
        <x:v>P1</x:v>
      </x:c>
      <x:c r="G551" s="4" t="str">
        <x:v>验证取消拉黑取消</x:v>
      </x:c>
      <x:c r="H551" s="4" t="str">
        <x:v>取消拉黑取消</x:v>
      </x:c>
      <x:c r="I551" s="4" t="str">
        <x:v>1. 已登录用户账号
2. 黑名单中存在目标账号</x:v>
      </x:c>
      <x:c r="J551" s="4" t="str">
        <x:v>1. 进入「黑名单管理」页
2. 点击该账号取消拉黑
3. 点击取消</x:v>
      </x:c>
      <x:c r="K551" s="4" t="str">
        <x:v>该账号仍在黑名单</x:v>
      </x:c>
      <x:c r="L551" s="4" t="str">
        <x:v>FLOW-EEC990CE</x:v>
      </x:c>
      <x:c r="M551" s="4" t="str">
        <x:v>未测</x:v>
      </x:c>
      <x:c r="N551" s="4" t="str"/>
      <x:c r="O551" s="4" t="str">
        <x:v>1. 来源：MainBasis/统一需求文档.md；U-blacklist-management-014
2. 场景：SC-c8d386e0e28b3a
3. 状态转换：ST-D92C7C5B0EBE</x:v>
      </x:c>
    </x:row>
    <x:row r="552" ht="54" customHeight="1">
      <x:c r="A552" s="4" t="n">
        <x:v>551</x:v>
      </x:c>
      <x:c r="B552" s="4" t="str">
        <x:v>USER-0551</x:v>
      </x:c>
      <x:c r="C552" s="4" t="str">
        <x:v>M03 社交、私信、群聊与通知</x:v>
      </x:c>
      <x:c r="D552" s="4" t="str">
        <x:v>黑名单管理（用户视角）</x:v>
      </x:c>
      <x:c r="E552" s="4" t="str">
        <x:v>异常用例</x:v>
      </x:c>
      <x:c r="F552" s="4" t="str">
        <x:v>P1</x:v>
      </x:c>
      <x:c r="G552" s="4" t="str">
        <x:v>验证取消拉黑请求失败</x:v>
      </x:c>
      <x:c r="H552" s="4" t="str">
        <x:v>取消拉黑请求失败</x:v>
      </x:c>
      <x:c r="I552" s="4" t="str">
        <x:v>1. 已登录用户账号
2. 目标账号已被拉黑
3. 本次取消请求返回失败</x:v>
      </x:c>
      <x:c r="J552" s="4" t="str">
        <x:v>1. 进入「黑名单管理」页
2. 点击取消拉黑
3. 确认</x:v>
      </x:c>
      <x:c r="K552" s="4" t="str">
        <x:v>提示“请求失败”，目标仍在黑名单</x:v>
      </x:c>
      <x:c r="L552" s="4" t="str"/>
      <x:c r="M552" s="4" t="str">
        <x:v>未测</x:v>
      </x:c>
      <x:c r="N552" s="4" t="str"/>
      <x:c r="O552" s="4" t="str">
        <x:v>1. 来源：MainBasis/统一需求文档.md；U-blacklist-management-014
2. 场景：SC-d91a9d4632dd69</x:v>
      </x:c>
    </x:row>
    <x:row r="553" ht="54" customHeight="1">
      <x:c r="A553" s="4" t="n">
        <x:v>552</x:v>
      </x:c>
      <x:c r="B553" s="4" t="str">
        <x:v>USER-0552</x:v>
      </x:c>
      <x:c r="C553" s="4" t="str">
        <x:v>M03 社交、私信、群聊与通知</x:v>
      </x:c>
      <x:c r="D553" s="4" t="str">
        <x:v>黑名单管理（用户视角）</x:v>
      </x:c>
      <x:c r="E553" s="4" t="str">
        <x:v>功能需求</x:v>
      </x:c>
      <x:c r="F553" s="4" t="str">
        <x:v>P1</x:v>
      </x:c>
      <x:c r="G553" s="4" t="str">
        <x:v>验证双方各自拉黑独立解除</x:v>
      </x:c>
      <x:c r="H553" s="4" t="str">
        <x:v>双方各自拉黑独立解除</x:v>
      </x:c>
      <x:c r="I553" s="4" t="str">
        <x:v>1. 已登录用户账号
2. 双方分别存在主动拉黑记录</x:v>
      </x:c>
      <x:c r="J553" s="4" t="str">
        <x:v>1. 进入「黑名单管理」页
2. 取消我对对方的拉黑
3. 搜索对方账号</x:v>
      </x:c>
      <x:c r="K553" s="4" t="str">
        <x:v>由于对方拉黑仍生效，搜索不能返回对方</x:v>
      </x:c>
      <x:c r="L553" s="4" t="str"/>
      <x:c r="M553" s="4" t="str">
        <x:v>未测</x:v>
      </x:c>
      <x:c r="N553" s="4" t="str"/>
      <x:c r="O553" s="4" t="str">
        <x:v>1. 来源：MainBasis/统一需求文档.md；U-blacklist-management-003
2. 场景：SC-d53847d9614c20</x:v>
      </x:c>
    </x:row>
    <x:row r="554" ht="68" customHeight="1">
      <x:c r="A554" s="4" t="n">
        <x:v>553</x:v>
      </x:c>
      <x:c r="B554" s="4" t="str">
        <x:v>USER-0553</x:v>
      </x:c>
      <x:c r="C554" s="4" t="str">
        <x:v>M03 社交、私信、群聊与通知</x:v>
      </x:c>
      <x:c r="D554" s="4" t="str">
        <x:v>黑名单管理（用户视角）</x:v>
      </x:c>
      <x:c r="E554" s="4" t="str">
        <x:v>功能需求</x:v>
      </x:c>
      <x:c r="F554" s="4" t="str">
        <x:v>P1</x:v>
      </x:c>
      <x:c r="G554" s="4" t="str">
        <x:v>验证取消拉黑不恢复关注</x:v>
      </x:c>
      <x:c r="H554" s="4" t="str">
        <x:v>取消拉黑不恢复关注</x:v>
      </x:c>
      <x:c r="I554" s="4" t="str">
        <x:v>1. 已登录用户账号
2. 双方拉黑前存在关注，后经拉黑清理，现已取消该拉黑</x:v>
      </x:c>
      <x:c r="J554" s="4" t="str">
        <x:v>1. 进入「黑名单管理」页
2. 查看取消拉黑不恢复关注</x:v>
      </x:c>
      <x:c r="K554" s="4" t="str">
        <x:v>原关注未恢复</x:v>
      </x:c>
      <x:c r="L554" s="4" t="str"/>
      <x:c r="M554" s="4" t="str">
        <x:v>未测</x:v>
      </x:c>
      <x:c r="N554" s="4" t="str"/>
      <x:c r="O554" s="4" t="str">
        <x:v>1. 来源：MainBasis/统一需求文档.md；U-blacklist-management-009、U-views_user-home_blocked-006
2. 场景：SC-0d8c543852e9f0</x:v>
      </x:c>
    </x:row>
    <x:row r="555" ht="68" customHeight="1">
      <x:c r="A555" s="4" t="n">
        <x:v>554</x:v>
      </x:c>
      <x:c r="B555" s="4" t="str">
        <x:v>USER-0554</x:v>
      </x:c>
      <x:c r="C555" s="4" t="str">
        <x:v>M03 社交、私信、群聊与通知</x:v>
      </x:c>
      <x:c r="D555" s="4" t="str">
        <x:v>黑名单管理（用户视角）</x:v>
      </x:c>
      <x:c r="E555" s="4" t="str">
        <x:v>功能需求</x:v>
      </x:c>
      <x:c r="F555" s="4" t="str">
        <x:v>P1</x:v>
      </x:c>
      <x:c r="G555" s="4" t="str">
        <x:v>验证取消拉黑不恢复好友</x:v>
      </x:c>
      <x:c r="H555" s="4" t="str">
        <x:v>取消拉黑不恢复好友</x:v>
      </x:c>
      <x:c r="I555" s="4" t="str">
        <x:v>1. 已登录用户账号
2. 双方拉黑前存在好友，后经拉黑清理，现已取消该拉黑</x:v>
      </x:c>
      <x:c r="J555" s="4" t="str">
        <x:v>1. 进入「黑名单管理」页
2. 查看取消拉黑不恢复好友</x:v>
      </x:c>
      <x:c r="K555" s="4" t="str">
        <x:v>原好友未恢复</x:v>
      </x:c>
      <x:c r="L555" s="4" t="str"/>
      <x:c r="M555" s="4" t="str">
        <x:v>未测</x:v>
      </x:c>
      <x:c r="N555" s="4" t="str"/>
      <x:c r="O555" s="4" t="str">
        <x:v>1. 来源：MainBasis/统一需求文档.md；U-blacklist-management-009、U-views_user-home_blocked-006
2. 场景：SC-fd5ebee203fec6</x:v>
      </x:c>
    </x:row>
    <x:row r="556" ht="68" customHeight="1">
      <x:c r="A556" s="4" t="n">
        <x:v>555</x:v>
      </x:c>
      <x:c r="B556" s="4" t="str">
        <x:v>USER-0555</x:v>
      </x:c>
      <x:c r="C556" s="4" t="str">
        <x:v>M03 社交、私信、群聊与通知</x:v>
      </x:c>
      <x:c r="D556" s="4" t="str">
        <x:v>黑名单管理（用户视角）</x:v>
      </x:c>
      <x:c r="E556" s="4" t="str">
        <x:v>功能需求</x:v>
      </x:c>
      <x:c r="F556" s="4" t="str">
        <x:v>P1</x:v>
      </x:c>
      <x:c r="G556" s="4" t="str">
        <x:v>验证取消拉黑不恢复好友申请</x:v>
      </x:c>
      <x:c r="H556" s="4" t="str">
        <x:v>取消拉黑不恢复好友申请</x:v>
      </x:c>
      <x:c r="I556" s="4" t="str">
        <x:v>1. 已登录用户账号
2. 双方拉黑前存在好友申请，后经拉黑清理，现已取消该拉黑</x:v>
      </x:c>
      <x:c r="J556" s="4" t="str">
        <x:v>1. 进入「黑名单管理」页
2. 查看取消拉黑不恢复好友申请</x:v>
      </x:c>
      <x:c r="K556" s="4" t="str">
        <x:v>原好友申请未恢复</x:v>
      </x:c>
      <x:c r="L556" s="4" t="str"/>
      <x:c r="M556" s="4" t="str">
        <x:v>未测</x:v>
      </x:c>
      <x:c r="N556" s="4" t="str"/>
      <x:c r="O556" s="4" t="str">
        <x:v>1. 来源：MainBasis/统一需求文档.md；U-blacklist-management-009、U-views_user-home_blocked-006
2. 场景：SC-03fabd612ff7d9</x:v>
      </x:c>
    </x:row>
    <x:row r="557" ht="68" customHeight="1">
      <x:c r="A557" s="4" t="n">
        <x:v>556</x:v>
      </x:c>
      <x:c r="B557" s="4" t="str">
        <x:v>USER-0556</x:v>
      </x:c>
      <x:c r="C557" s="4" t="str">
        <x:v>M03 社交、私信、群聊与通知</x:v>
      </x:c>
      <x:c r="D557" s="4" t="str">
        <x:v>黑名单管理（用户视角）</x:v>
      </x:c>
      <x:c r="E557" s="4" t="str">
        <x:v>功能需求</x:v>
      </x:c>
      <x:c r="F557" s="4" t="str">
        <x:v>P1</x:v>
      </x:c>
      <x:c r="G557" s="4" t="str">
        <x:v>验证取消拉黑不恢复粉丝团</x:v>
      </x:c>
      <x:c r="H557" s="4" t="str">
        <x:v>取消拉黑不恢复粉丝团</x:v>
      </x:c>
      <x:c r="I557" s="4" t="str">
        <x:v>1. 已登录用户账号
2. 双方拉黑前存在粉丝团，后经拉黑清理，现已取消该拉黑</x:v>
      </x:c>
      <x:c r="J557" s="4" t="str">
        <x:v>1. 进入「黑名单管理」页
2. 查看取消拉黑不恢复粉丝团</x:v>
      </x:c>
      <x:c r="K557" s="4" t="str">
        <x:v>原粉丝团未恢复</x:v>
      </x:c>
      <x:c r="L557" s="4" t="str"/>
      <x:c r="M557" s="4" t="str">
        <x:v>未测</x:v>
      </x:c>
      <x:c r="N557" s="4" t="str"/>
      <x:c r="O557" s="4" t="str">
        <x:v>1. 来源：MainBasis/统一需求文档.md；U-blacklist-management-009、U-views_user-home_blocked-006
2. 场景：SC-ef9a2f97095fe5</x:v>
      </x:c>
    </x:row>
    <x:row r="558" ht="68" customHeight="1">
      <x:c r="A558" s="4" t="n">
        <x:v>557</x:v>
      </x:c>
      <x:c r="B558" s="4" t="str">
        <x:v>USER-0557</x:v>
      </x:c>
      <x:c r="C558" s="4" t="str">
        <x:v>M03 社交、私信、群聊与通知</x:v>
      </x:c>
      <x:c r="D558" s="4" t="str">
        <x:v>黑名单管理（用户视角）</x:v>
      </x:c>
      <x:c r="E558" s="4" t="str">
        <x:v>功能需求</x:v>
      </x:c>
      <x:c r="F558" s="4" t="str">
        <x:v>P1</x:v>
      </x:c>
      <x:c r="G558" s="4" t="str">
        <x:v>验证取消拉黑不恢复房管</x:v>
      </x:c>
      <x:c r="H558" s="4" t="str">
        <x:v>取消拉黑不恢复房管</x:v>
      </x:c>
      <x:c r="I558" s="4" t="str">
        <x:v>1. 已登录用户账号
2. 双方拉黑前存在房管，后经拉黑清理，现已取消该拉黑</x:v>
      </x:c>
      <x:c r="J558" s="4" t="str">
        <x:v>1. 进入「黑名单管理」页
2. 查看取消拉黑不恢复房管</x:v>
      </x:c>
      <x:c r="K558" s="4" t="str">
        <x:v>原房管未恢复</x:v>
      </x:c>
      <x:c r="L558" s="4" t="str"/>
      <x:c r="M558" s="4" t="str">
        <x:v>未测</x:v>
      </x:c>
      <x:c r="N558" s="4" t="str"/>
      <x:c r="O558" s="4" t="str">
        <x:v>1. 来源：MainBasis/统一需求文档.md；U-blacklist-management-009、U-views_user-home_blocked-006
2. 场景：SC-ca365936e052b1</x:v>
      </x:c>
    </x:row>
    <x:row r="559" ht="68" customHeight="1">
      <x:c r="A559" s="4" t="n">
        <x:v>558</x:v>
      </x:c>
      <x:c r="B559" s="4" t="str">
        <x:v>USER-0558</x:v>
      </x:c>
      <x:c r="C559" s="4" t="str">
        <x:v>M03 社交、私信、群聊与通知</x:v>
      </x:c>
      <x:c r="D559" s="4" t="str">
        <x:v>黑名单管理（用户视角）</x:v>
      </x:c>
      <x:c r="E559" s="4" t="str">
        <x:v>功能需求</x:v>
      </x:c>
      <x:c r="F559" s="4" t="str">
        <x:v>P1</x:v>
      </x:c>
      <x:c r="G559" s="4" t="str">
        <x:v>验证取消拉黑不恢复会话</x:v>
      </x:c>
      <x:c r="H559" s="4" t="str">
        <x:v>取消拉黑不恢复会话</x:v>
      </x:c>
      <x:c r="I559" s="4" t="str">
        <x:v>1. 已登录用户账号
2. 双方拉黑前存在会话，后经拉黑清理，现已取消该拉黑</x:v>
      </x:c>
      <x:c r="J559" s="4" t="str">
        <x:v>1. 进入「黑名单管理」页
2. 查看取消拉黑不恢复会话</x:v>
      </x:c>
      <x:c r="K559" s="4" t="str">
        <x:v>原会话未恢复</x:v>
      </x:c>
      <x:c r="L559" s="4" t="str"/>
      <x:c r="M559" s="4" t="str">
        <x:v>未测</x:v>
      </x:c>
      <x:c r="N559" s="4" t="str"/>
      <x:c r="O559" s="4" t="str">
        <x:v>1. 来源：MainBasis/统一需求文档.md；U-blacklist-management-009、U-views_user-home_blocked-006
2. 场景：SC-0313ebff735c95</x:v>
      </x:c>
    </x:row>
    <x:row r="560" ht="68" customHeight="1">
      <x:c r="A560" s="4" t="n">
        <x:v>559</x:v>
      </x:c>
      <x:c r="B560" s="4" t="str">
        <x:v>USER-0559</x:v>
      </x:c>
      <x:c r="C560" s="4" t="str">
        <x:v>M03 社交、私信、群聊与通知</x:v>
      </x:c>
      <x:c r="D560" s="4" t="str">
        <x:v>黑名单管理（用户视角）</x:v>
      </x:c>
      <x:c r="E560" s="4" t="str">
        <x:v>功能需求</x:v>
      </x:c>
      <x:c r="F560" s="4" t="str">
        <x:v>P1</x:v>
      </x:c>
      <x:c r="G560" s="4" t="str">
        <x:v>验证取消拉黑不恢复聊天记录</x:v>
      </x:c>
      <x:c r="H560" s="4" t="str">
        <x:v>取消拉黑不恢复聊天记录</x:v>
      </x:c>
      <x:c r="I560" s="4" t="str">
        <x:v>1. 已登录用户账号
2. 双方拉黑前存在聊天记录，后经拉黑清理，现已取消该拉黑</x:v>
      </x:c>
      <x:c r="J560" s="4" t="str">
        <x:v>1. 进入「黑名单管理」页
2. 查看取消拉黑不恢复聊天记录</x:v>
      </x:c>
      <x:c r="K560" s="4" t="str">
        <x:v>原聊天记录未恢复</x:v>
      </x:c>
      <x:c r="L560" s="4" t="str"/>
      <x:c r="M560" s="4" t="str">
        <x:v>未测</x:v>
      </x:c>
      <x:c r="N560" s="4" t="str"/>
      <x:c r="O560" s="4" t="str">
        <x:v>1. 来源：MainBasis/统一需求文档.md；U-blacklist-management-009、U-views_user-home_blocked-006
2. 场景：SC-bfb2324a9163ff</x:v>
      </x:c>
    </x:row>
    <x:row r="561" ht="54" customHeight="1">
      <x:c r="A561" s="4" t="n">
        <x:v>560</x:v>
      </x:c>
      <x:c r="B561" s="4" t="str">
        <x:v>USER-0560</x:v>
      </x:c>
      <x:c r="C561" s="4" t="str">
        <x:v>M03 社交、私信、群聊与通知</x:v>
      </x:c>
      <x:c r="D561" s="4" t="str">
        <x:v>黑名单管理（用户视角）</x:v>
      </x:c>
      <x:c r="E561" s="4" t="str">
        <x:v>功能需求</x:v>
      </x:c>
      <x:c r="F561" s="4" t="str">
        <x:v>P1</x:v>
      </x:c>
      <x:c r="G561" s="4" t="str">
        <x:v>验证拉黑后首页不显示对方房间</x:v>
      </x:c>
      <x:c r="H561" s="4" t="str">
        <x:v>拉黑后首页不显示对方房间</x:v>
      </x:c>
      <x:c r="I561" s="4" t="str">
        <x:v>1. 已登录用户账号
2. 对方正在直播且双方存在拉黑关系</x:v>
      </x:c>
      <x:c r="J561" s="4" t="str">
        <x:v>1. 进入「黑名单管理」页
2. 查看拉黑后首页不显示对方房间</x:v>
      </x:c>
      <x:c r="K561" s="4" t="str">
        <x:v>首页不展示对方直播间卡片</x:v>
      </x:c>
      <x:c r="L561" s="4" t="str"/>
      <x:c r="M561" s="4" t="str">
        <x:v>未测</x:v>
      </x:c>
      <x:c r="N561" s="4" t="str"/>
      <x:c r="O561" s="4" t="str">
        <x:v>1. 来源：MainBasis/统一需求文档.md；U-blacklist-management-006
2. 场景：SC-3cf90742444c99</x:v>
      </x:c>
    </x:row>
    <x:row r="562" ht="54" customHeight="1">
      <x:c r="A562" s="4" t="n">
        <x:v>561</x:v>
      </x:c>
      <x:c r="B562" s="4" t="str">
        <x:v>USER-0561</x:v>
      </x:c>
      <x:c r="C562" s="4" t="str">
        <x:v>M03 社交、私信、群聊与通知</x:v>
      </x:c>
      <x:c r="D562" s="4" t="str">
        <x:v>黑名单管理（用户视角）</x:v>
      </x:c>
      <x:c r="E562" s="4" t="str">
        <x:v>功能需求</x:v>
      </x:c>
      <x:c r="F562" s="4" t="str">
        <x:v>P1</x:v>
      </x:c>
      <x:c r="G562" s="4" t="str">
        <x:v>验证拉黑后分类不显示对方房间</x:v>
      </x:c>
      <x:c r="H562" s="4" t="str">
        <x:v>拉黑后分类不显示对方房间</x:v>
      </x:c>
      <x:c r="I562" s="4" t="str">
        <x:v>1. 已登录用户账号
2. 对方正在直播且双方存在拉黑关系</x:v>
      </x:c>
      <x:c r="J562" s="4" t="str">
        <x:v>1. 进入「黑名单管理」页
2. 查看拉黑后分类不显示对方房间</x:v>
      </x:c>
      <x:c r="K562" s="4" t="str">
        <x:v>分类不展示对方直播间卡片</x:v>
      </x:c>
      <x:c r="L562" s="4" t="str"/>
      <x:c r="M562" s="4" t="str">
        <x:v>未测</x:v>
      </x:c>
      <x:c r="N562" s="4" t="str"/>
      <x:c r="O562" s="4" t="str">
        <x:v>1. 来源：MainBasis/统一需求文档.md；U-blacklist-management-006
2. 场景：SC-265144df8f311c</x:v>
      </x:c>
    </x:row>
    <x:row r="563" ht="54" customHeight="1">
      <x:c r="A563" s="4" t="n">
        <x:v>562</x:v>
      </x:c>
      <x:c r="B563" s="4" t="str">
        <x:v>USER-0562</x:v>
      </x:c>
      <x:c r="C563" s="4" t="str">
        <x:v>M03 社交、私信、群聊与通知</x:v>
      </x:c>
      <x:c r="D563" s="4" t="str">
        <x:v>黑名单管理（用户视角）</x:v>
      </x:c>
      <x:c r="E563" s="4" t="str">
        <x:v>功能需求</x:v>
      </x:c>
      <x:c r="F563" s="4" t="str">
        <x:v>P1</x:v>
      </x:c>
      <x:c r="G563" s="4" t="str">
        <x:v>验证拉黑后搜索不显示对方房间</x:v>
      </x:c>
      <x:c r="H563" s="4" t="str">
        <x:v>拉黑后搜索不显示对方房间</x:v>
      </x:c>
      <x:c r="I563" s="4" t="str">
        <x:v>1. 已登录用户账号
2. 对方正在直播且双方存在拉黑关系</x:v>
      </x:c>
      <x:c r="J563" s="4" t="str">
        <x:v>1. 进入「黑名单管理」页
2. 查看拉黑后搜索不显示对方房间</x:v>
      </x:c>
      <x:c r="K563" s="4" t="str">
        <x:v>搜索不展示对方直播间卡片</x:v>
      </x:c>
      <x:c r="L563" s="4" t="str"/>
      <x:c r="M563" s="4" t="str">
        <x:v>未测</x:v>
      </x:c>
      <x:c r="N563" s="4" t="str"/>
      <x:c r="O563" s="4" t="str">
        <x:v>1. 来源：MainBasis/统一需求文档.md；U-blacklist-management-006
2. 场景：SC-1cd7555df6d163</x:v>
      </x:c>
    </x:row>
    <x:row r="564" ht="54" customHeight="1">
      <x:c r="A564" s="4" t="n">
        <x:v>563</x:v>
      </x:c>
      <x:c r="B564" s="4" t="str">
        <x:v>USER-0563</x:v>
      </x:c>
      <x:c r="C564" s="4" t="str">
        <x:v>M03 社交、私信、群聊与通知</x:v>
      </x:c>
      <x:c r="D564" s="4" t="str">
        <x:v>黑名单管理（用户视角）</x:v>
      </x:c>
      <x:c r="E564" s="4" t="str">
        <x:v>功能需求</x:v>
      </x:c>
      <x:c r="F564" s="4" t="str">
        <x:v>P1</x:v>
      </x:c>
      <x:c r="G564" s="4" t="str">
        <x:v>验证拉黑后推荐不显示对方房间</x:v>
      </x:c>
      <x:c r="H564" s="4" t="str">
        <x:v>拉黑后推荐不显示对方房间</x:v>
      </x:c>
      <x:c r="I564" s="4" t="str">
        <x:v>1. 已登录用户账号
2. 对方正在直播且双方存在拉黑关系</x:v>
      </x:c>
      <x:c r="J564" s="4" t="str">
        <x:v>1. 进入「黑名单管理」页
2. 查看拉黑后推荐不显示对方房间</x:v>
      </x:c>
      <x:c r="K564" s="4" t="str">
        <x:v>推荐不展示对方直播间卡片</x:v>
      </x:c>
      <x:c r="L564" s="4" t="str"/>
      <x:c r="M564" s="4" t="str">
        <x:v>未测</x:v>
      </x:c>
      <x:c r="N564" s="4" t="str"/>
      <x:c r="O564" s="4" t="str">
        <x:v>1. 来源：MainBasis/统一需求文档.md；U-blacklist-management-006
2. 场景：SC-2c432c0963f010</x:v>
      </x:c>
    </x:row>
    <x:row r="565" ht="54" customHeight="1">
      <x:c r="A565" s="4" t="n">
        <x:v>564</x:v>
      </x:c>
      <x:c r="B565" s="4" t="str">
        <x:v>USER-0564</x:v>
      </x:c>
      <x:c r="C565" s="4" t="str">
        <x:v>M03 社交、私信、群聊与通知</x:v>
      </x:c>
      <x:c r="D565" s="4" t="str">
        <x:v>黑名单管理（用户视角）</x:v>
      </x:c>
      <x:c r="E565" s="4" t="str">
        <x:v>异常用例</x:v>
      </x:c>
      <x:c r="F565" s="4" t="str">
        <x:v>P1</x:v>
      </x:c>
      <x:c r="G565" s="4" t="str">
        <x:v>验证第三方房间限制查看对方主页</x:v>
      </x:c>
      <x:c r="H565" s="4" t="str">
        <x:v>第三方房间限制查看对方主页</x:v>
      </x:c>
      <x:c r="I565" s="4" t="str">
        <x:v>1. 已登录用户账号
2. 双方存在拉黑关系且同时处于第三方直播间</x:v>
      </x:c>
      <x:c r="J565" s="4" t="str">
        <x:v>1. 进入「黑名单管理」页
2. 尝试查看对方主页</x:v>
      </x:c>
      <x:c r="K565" s="4" t="str">
        <x:v>不能查看对方主页</x:v>
      </x:c>
      <x:c r="L565" s="4" t="str"/>
      <x:c r="M565" s="4" t="str">
        <x:v>未测</x:v>
      </x:c>
      <x:c r="N565" s="4" t="str"/>
      <x:c r="O565" s="4" t="str">
        <x:v>1. 来源：MainBasis/统一需求文档.md；U-blacklist-management-008
2. 场景：SC-e7cc44d6ffb24d</x:v>
      </x:c>
    </x:row>
    <x:row r="566" ht="54" customHeight="1">
      <x:c r="A566" s="4" t="n">
        <x:v>565</x:v>
      </x:c>
      <x:c r="B566" s="4" t="str">
        <x:v>USER-0565</x:v>
      </x:c>
      <x:c r="C566" s="4" t="str">
        <x:v>M03 社交、私信、群聊与通知</x:v>
      </x:c>
      <x:c r="D566" s="4" t="str">
        <x:v>黑名单管理（用户视角）</x:v>
      </x:c>
      <x:c r="E566" s="4" t="str">
        <x:v>异常用例</x:v>
      </x:c>
      <x:c r="F566" s="4" t="str">
        <x:v>P1</x:v>
      </x:c>
      <x:c r="G566" s="4" t="str">
        <x:v>验证第三方房间限制@对方</x:v>
      </x:c>
      <x:c r="H566" s="4" t="str">
        <x:v>第三方房间限制@对方</x:v>
      </x:c>
      <x:c r="I566" s="4" t="str">
        <x:v>1. 已登录用户账号
2. 双方存在拉黑关系且同时处于第三方直播间</x:v>
      </x:c>
      <x:c r="J566" s="4" t="str">
        <x:v>1. 进入「黑名单管理」页
2. 尝试@对方</x:v>
      </x:c>
      <x:c r="K566" s="4" t="str">
        <x:v>不能@对方</x:v>
      </x:c>
      <x:c r="L566" s="4" t="str"/>
      <x:c r="M566" s="4" t="str">
        <x:v>未测</x:v>
      </x:c>
      <x:c r="N566" s="4" t="str"/>
      <x:c r="O566" s="4" t="str">
        <x:v>1. 来源：MainBasis/统一需求文档.md；U-blacklist-management-008
2. 场景：SC-fb78d5a490c6a4</x:v>
      </x:c>
    </x:row>
    <x:row r="567" ht="54" customHeight="1">
      <x:c r="A567" s="4" t="n">
        <x:v>566</x:v>
      </x:c>
      <x:c r="B567" s="4" t="str">
        <x:v>USER-0566</x:v>
      </x:c>
      <x:c r="C567" s="4" t="str">
        <x:v>M03 社交、私信、群聊与通知</x:v>
      </x:c>
      <x:c r="D567" s="4" t="str">
        <x:v>黑名单管理（用户视角）</x:v>
      </x:c>
      <x:c r="E567" s="4" t="str">
        <x:v>异常用例</x:v>
      </x:c>
      <x:c r="F567" s="4" t="str">
        <x:v>P1</x:v>
      </x:c>
      <x:c r="G567" s="4" t="str">
        <x:v>验证第三方粉丝团限制主页</x:v>
      </x:c>
      <x:c r="H567" s="4" t="str">
        <x:v>第三方粉丝团限制主页</x:v>
      </x:c>
      <x:c r="I567" s="4" t="str">
        <x:v>1. 已登录用户账号
2. 双方存在拉黑关系且同在第三方粉丝团</x:v>
      </x:c>
      <x:c r="J567" s="4" t="str">
        <x:v>1. 进入「黑名单管理」页
2. 点击对方头像</x:v>
      </x:c>
      <x:c r="K567" s="4" t="str">
        <x:v>不能进入对方主页</x:v>
      </x:c>
      <x:c r="L567" s="4" t="str"/>
      <x:c r="M567" s="4" t="str">
        <x:v>未测</x:v>
      </x:c>
      <x:c r="N567" s="4" t="str"/>
      <x:c r="O567" s="4" t="str">
        <x:v>1. 来源：MainBasis/统一需求文档.md；U-blacklist-management-008
2. 场景：SC-8f9eb221e454ff</x:v>
      </x:c>
    </x:row>
    <x:row r="568" ht="54" customHeight="1">
      <x:c r="A568" s="4" t="n">
        <x:v>567</x:v>
      </x:c>
      <x:c r="B568" s="4" t="str">
        <x:v>USER-0567</x:v>
      </x:c>
      <x:c r="C568" s="4" t="str">
        <x:v>M04 粉丝团、房管与成长等级</x:v>
      </x:c>
      <x:c r="D568" s="4" t="str">
        <x:v>我的粉丝团（用户视角）</x:v>
      </x:c>
      <x:c r="E568" s="4" t="str">
        <x:v>功能需求</x:v>
      </x:c>
      <x:c r="F568" s="4" t="str">
        <x:v>P2</x:v>
      </x:c>
      <x:c r="G568" s="4" t="str">
        <x:v>验证粉丝团名称回显</x:v>
      </x:c>
      <x:c r="H568" s="4" t="str">
        <x:v>粉丝团名称回显</x:v>
      </x:c>
      <x:c r="I568" s="4" t="str">
        <x:v>1. 已登录用户账号
2. 所选对象存在，已记录该对象的粉丝团名称值</x:v>
      </x:c>
      <x:c r="J568" s="4" t="str">
        <x:v>1. 进入「我的粉丝团」页
2. 查看粉丝团名称回显</x:v>
      </x:c>
      <x:c r="K568" s="4" t="str">
        <x:v>「粉丝团名称」内容与所选对象的该项资料一致</x:v>
      </x:c>
      <x:c r="L568" s="4" t="str"/>
      <x:c r="M568" s="4" t="str">
        <x:v>未测</x:v>
      </x:c>
      <x:c r="N568" s="4" t="str"/>
      <x:c r="O568" s="4" t="str">
        <x:v>1. 来源：MainBasis/统一需求文档.md；U-my-fan-clubs-003
2. 场景：SC-34b0065cc93327</x:v>
      </x:c>
    </x:row>
    <x:row r="569" ht="54" customHeight="1">
      <x:c r="A569" s="4" t="n">
        <x:v>568</x:v>
      </x:c>
      <x:c r="B569" s="4" t="str">
        <x:v>USER-0568</x:v>
      </x:c>
      <x:c r="C569" s="4" t="str">
        <x:v>M04 粉丝团、房管与成长等级</x:v>
      </x:c>
      <x:c r="D569" s="4" t="str">
        <x:v>我的粉丝团（用户视角）</x:v>
      </x:c>
      <x:c r="E569" s="4" t="str">
        <x:v>功能需求</x:v>
      </x:c>
      <x:c r="F569" s="4" t="str">
        <x:v>P1</x:v>
      </x:c>
      <x:c r="G569" s="4" t="str">
        <x:v>验证粉丝团卡片直播标记显示</x:v>
      </x:c>
      <x:c r="H569" s="4" t="str">
        <x:v>粉丝团卡片直播标记显示</x:v>
      </x:c>
      <x:c r="I569" s="4" t="str">
        <x:v>1. 已登录用户账号
2. 所属主播当前正在直播</x:v>
      </x:c>
      <x:c r="J569" s="4" t="str">
        <x:v>1. 进入「我的粉丝团」页
2. 查看粉丝团卡片直播标记显示</x:v>
      </x:c>
      <x:c r="K569" s="4" t="str">
        <x:v>显示直播标记</x:v>
      </x:c>
      <x:c r="L569" s="4" t="str"/>
      <x:c r="M569" s="4" t="str">
        <x:v>未测</x:v>
      </x:c>
      <x:c r="N569" s="4" t="str"/>
      <x:c r="O569" s="4" t="str">
        <x:v>1. 来源：MainBasis/统一需求文档.md；U-my-fan-clubs-006
2. 场景：SC-a3a5cc0e7b7387</x:v>
      </x:c>
    </x:row>
    <x:row r="570" ht="54" customHeight="1">
      <x:c r="A570" s="4" t="n">
        <x:v>569</x:v>
      </x:c>
      <x:c r="B570" s="4" t="str">
        <x:v>USER-0569</x:v>
      </x:c>
      <x:c r="C570" s="4" t="str">
        <x:v>M04 粉丝团、房管与成长等级</x:v>
      </x:c>
      <x:c r="D570" s="4" t="str">
        <x:v>我的粉丝团（用户视角）</x:v>
      </x:c>
      <x:c r="E570" s="4" t="str">
        <x:v>功能需求</x:v>
      </x:c>
      <x:c r="F570" s="4" t="str">
        <x:v>P1</x:v>
      </x:c>
      <x:c r="G570" s="4" t="str">
        <x:v>验证粉丝团卡片直播标记隐藏</x:v>
      </x:c>
      <x:c r="H570" s="4" t="str">
        <x:v>粉丝团卡片直播标记隐藏</x:v>
      </x:c>
      <x:c r="I570" s="4" t="str">
        <x:v>1. 已登录用户账号
2. 所属主播当前没有直播</x:v>
      </x:c>
      <x:c r="J570" s="4" t="str">
        <x:v>1. 进入「我的粉丝团」页
2. 查看粉丝团卡片直播标记隐藏</x:v>
      </x:c>
      <x:c r="K570" s="4" t="str">
        <x:v>隐藏直播标记</x:v>
      </x:c>
      <x:c r="L570" s="4" t="str"/>
      <x:c r="M570" s="4" t="str">
        <x:v>未测</x:v>
      </x:c>
      <x:c r="N570" s="4" t="str"/>
      <x:c r="O570" s="4" t="str">
        <x:v>1. 来源：MainBasis/统一需求文档.md；U-my-fan-clubs-006
2. 场景：SC-71f8ade1bb4173</x:v>
      </x:c>
    </x:row>
    <x:row r="571" ht="54" customHeight="1">
      <x:c r="A571" s="4" t="n">
        <x:v>570</x:v>
      </x:c>
      <x:c r="B571" s="4" t="str">
        <x:v>USER-0570</x:v>
      </x:c>
      <x:c r="C571" s="4" t="str">
        <x:v>M04 粉丝团、房管与成长等级</x:v>
      </x:c>
      <x:c r="D571" s="4" t="str">
        <x:v>我的粉丝团（用户视角）</x:v>
      </x:c>
      <x:c r="E571" s="4" t="str">
        <x:v>功能需求</x:v>
      </x:c>
      <x:c r="F571" s="4" t="str">
        <x:v>P1</x:v>
      </x:c>
      <x:c r="G571" s="4" t="str">
        <x:v>验证粉丝团主播头像不跳转</x:v>
      </x:c>
      <x:c r="H571" s="4" t="str">
        <x:v>粉丝团主播头像不跳转</x:v>
      </x:c>
      <x:c r="I571" s="4" t="str">
        <x:v>1. 已登录用户账号
2. 当前有有效团籍</x:v>
      </x:c>
      <x:c r="J571" s="4" t="str">
        <x:v>1. 进入「我的粉丝团」页
2. 点击卡片上的主播头像</x:v>
      </x:c>
      <x:c r="K571" s="4" t="str">
        <x:v>仍停留我的粉丝团页</x:v>
      </x:c>
      <x:c r="L571" s="4" t="str"/>
      <x:c r="M571" s="4" t="str">
        <x:v>未测</x:v>
      </x:c>
      <x:c r="N571" s="4" t="str"/>
      <x:c r="O571" s="4" t="str">
        <x:v>1. 来源：MainBasis/统一需求文档.md；U-my-fan-clubs-002
2. 场景：SC-927297136f95bb</x:v>
      </x:c>
    </x:row>
    <x:row r="572" ht="54" customHeight="1">
      <x:c r="A572" s="4" t="n">
        <x:v>571</x:v>
      </x:c>
      <x:c r="B572" s="4" t="str">
        <x:v>USER-0571</x:v>
      </x:c>
      <x:c r="C572" s="4" t="str">
        <x:v>M04 粉丝团、房管与成长等级</x:v>
      </x:c>
      <x:c r="D572" s="4" t="str">
        <x:v>我的粉丝团（用户视角）</x:v>
      </x:c>
      <x:c r="E572" s="4" t="str">
        <x:v>功能需求</x:v>
      </x:c>
      <x:c r="F572" s="4" t="str">
        <x:v>P1</x:v>
      </x:c>
      <x:c r="G572" s="4" t="str">
        <x:v>验证重新入团更新加入日期</x:v>
      </x:c>
      <x:c r="H572" s="4" t="str">
        <x:v>重新入团更新加入日期</x:v>
      </x:c>
      <x:c r="I572" s="4" t="str">
        <x:v>1. 已登录用户账号
2. 上次入团为9月1日并已退出，本次于9月5日重新加入</x:v>
      </x:c>
      <x:c r="J572" s="4" t="str">
        <x:v>1. 进入「我的粉丝团」页
2. 查看重新入团更新加入日期</x:v>
      </x:c>
      <x:c r="K572" s="4" t="str">
        <x:v>加入日期显示9月5日</x:v>
      </x:c>
      <x:c r="L572" s="4" t="str"/>
      <x:c r="M572" s="4" t="str">
        <x:v>未测</x:v>
      </x:c>
      <x:c r="N572" s="4" t="str"/>
      <x:c r="O572" s="4" t="str">
        <x:v>1. 来源：MainBasis/统一需求文档.md；U-my-fan-clubs-005
2. 场景：SC-0b6774968cf4a4</x:v>
      </x:c>
    </x:row>
    <x:row r="573" ht="54" customHeight="1">
      <x:c r="A573" s="4" t="n">
        <x:v>572</x:v>
      </x:c>
      <x:c r="B573" s="4" t="str">
        <x:v>USER-0572</x:v>
      </x:c>
      <x:c r="C573" s="4" t="str">
        <x:v>M04 粉丝团、房管与成长等级</x:v>
      </x:c>
      <x:c r="D573" s="4" t="str">
        <x:v>我的粉丝团（用户视角）</x:v>
      </x:c>
      <x:c r="E573" s="4" t="str">
        <x:v>功能需求</x:v>
      </x:c>
      <x:c r="F573" s="4" t="str">
        <x:v>P1</x:v>
      </x:c>
      <x:c r="G573" s="4" t="str">
        <x:v>验证粉丝团按本次入团倒序</x:v>
      </x:c>
      <x:c r="H573" s="4" t="str">
        <x:v>粉丝团按本次入团倒序</x:v>
      </x:c>
      <x:c r="I573" s="4" t="str">
        <x:v>1. 已登录用户账号
2. 两个有效团籍分别在9月1日和9月5日加入</x:v>
      </x:c>
      <x:c r="J573" s="4" t="str">
        <x:v>1. 进入「我的粉丝团」页
2. 查看粉丝团按本次入团倒序</x:v>
      </x:c>
      <x:c r="K573" s="4" t="str">
        <x:v>9月5日加入的粉丝团在前</x:v>
      </x:c>
      <x:c r="L573" s="4" t="str"/>
      <x:c r="M573" s="4" t="str">
        <x:v>未测</x:v>
      </x:c>
      <x:c r="N573" s="4" t="str"/>
      <x:c r="O573" s="4" t="str">
        <x:v>1. 来源：MainBasis/统一需求文档.md；U-my-fan-clubs-017
2. 场景：SC-3659ebcb1d1db5</x:v>
      </x:c>
    </x:row>
    <x:row r="574" ht="54" customHeight="1">
      <x:c r="A574" s="4" t="n">
        <x:v>573</x:v>
      </x:c>
      <x:c r="B574" s="4" t="str">
        <x:v>USER-0573</x:v>
      </x:c>
      <x:c r="C574" s="4" t="str">
        <x:v>M04 粉丝团、房管与成长等级</x:v>
      </x:c>
      <x:c r="D574" s="4" t="str">
        <x:v>我的粉丝团（用户视角）</x:v>
      </x:c>
      <x:c r="E574" s="4" t="str">
        <x:v>功能需求</x:v>
      </x:c>
      <x:c r="F574" s="4" t="str">
        <x:v>P1</x:v>
      </x:c>
      <x:c r="G574" s="4" t="str">
        <x:v>验证退出移除团卡片</x:v>
      </x:c>
      <x:c r="H574" s="4" t="str">
        <x:v>退出移除团卡片</x:v>
      </x:c>
      <x:c r="I574" s="4" t="str">
        <x:v>1. 已登录用户账号
2. 原有有效团籍，随后发生退出</x:v>
      </x:c>
      <x:c r="J574" s="4" t="str">
        <x:v>1. 进入「我的粉丝团」页
2. 查看退出移除团卡片</x:v>
      </x:c>
      <x:c r="K574" s="4" t="str">
        <x:v>对应粉丝团卡片已移除</x:v>
      </x:c>
      <x:c r="L574" s="4" t="str"/>
      <x:c r="M574" s="4" t="str">
        <x:v>未测</x:v>
      </x:c>
      <x:c r="N574" s="4" t="str"/>
      <x:c r="O574" s="4" t="str">
        <x:v>1. 来源：MainBasis/统一需求文档.md；U-my-fan-clubs-013
2. 场景：SC-ab7179d0dd3f8a</x:v>
      </x:c>
    </x:row>
    <x:row r="575" ht="54" customHeight="1">
      <x:c r="A575" s="4" t="n">
        <x:v>574</x:v>
      </x:c>
      <x:c r="B575" s="4" t="str">
        <x:v>USER-0574</x:v>
      </x:c>
      <x:c r="C575" s="4" t="str">
        <x:v>M04 粉丝团、房管与成长等级</x:v>
      </x:c>
      <x:c r="D575" s="4" t="str">
        <x:v>我的粉丝团（用户视角）</x:v>
      </x:c>
      <x:c r="E575" s="4" t="str">
        <x:v>功能需求</x:v>
      </x:c>
      <x:c r="F575" s="4" t="str">
        <x:v>P1</x:v>
      </x:c>
      <x:c r="G575" s="4" t="str">
        <x:v>验证被移出移除团卡片</x:v>
      </x:c>
      <x:c r="H575" s="4" t="str">
        <x:v>被移出移除团卡片</x:v>
      </x:c>
      <x:c r="I575" s="4" t="str">
        <x:v>1. 已登录用户账号
2. 原有有效团籍，随后发生被移出</x:v>
      </x:c>
      <x:c r="J575" s="4" t="str">
        <x:v>1. 进入「我的粉丝团」页
2. 查看被移出移除团卡片</x:v>
      </x:c>
      <x:c r="K575" s="4" t="str">
        <x:v>对应粉丝团卡片已移除</x:v>
      </x:c>
      <x:c r="L575" s="4" t="str"/>
      <x:c r="M575" s="4" t="str">
        <x:v>未测</x:v>
      </x:c>
      <x:c r="N575" s="4" t="str"/>
      <x:c r="O575" s="4" t="str">
        <x:v>1. 来源：MainBasis/统一需求文档.md；U-my-fan-clubs-013
2. 场景：SC-f39c455bac3c9d</x:v>
      </x:c>
    </x:row>
    <x:row r="576" ht="54" customHeight="1">
      <x:c r="A576" s="4" t="n">
        <x:v>575</x:v>
      </x:c>
      <x:c r="B576" s="4" t="str">
        <x:v>USER-0575</x:v>
      </x:c>
      <x:c r="C576" s="4" t="str">
        <x:v>M04 粉丝团、房管与成长等级</x:v>
      </x:c>
      <x:c r="D576" s="4" t="str">
        <x:v>我的粉丝团（用户视角）</x:v>
      </x:c>
      <x:c r="E576" s="4" t="str">
        <x:v>功能需求</x:v>
      </x:c>
      <x:c r="F576" s="4" t="str">
        <x:v>P1</x:v>
      </x:c>
      <x:c r="G576" s="4" t="str">
        <x:v>验证粉丝团解散移除团卡片</x:v>
      </x:c>
      <x:c r="H576" s="4" t="str">
        <x:v>粉丝团解散移除团卡片</x:v>
      </x:c>
      <x:c r="I576" s="4" t="str">
        <x:v>1. 已登录用户账号
2. 原有有效团籍，随后发生粉丝团解散</x:v>
      </x:c>
      <x:c r="J576" s="4" t="str">
        <x:v>1. 进入「我的粉丝团」页
2. 查看粉丝团解散移除团卡片</x:v>
      </x:c>
      <x:c r="K576" s="4" t="str">
        <x:v>对应粉丝团卡片已移除</x:v>
      </x:c>
      <x:c r="L576" s="4" t="str"/>
      <x:c r="M576" s="4" t="str">
        <x:v>未测</x:v>
      </x:c>
      <x:c r="N576" s="4" t="str"/>
      <x:c r="O576" s="4" t="str">
        <x:v>1. 来源：MainBasis/统一需求文档.md；U-my-fan-clubs-013
2. 场景：SC-568c9d874570ed</x:v>
      </x:c>
    </x:row>
    <x:row r="577" ht="96" customHeight="1">
      <x:c r="A577" s="4" t="n">
        <x:v>576</x:v>
      </x:c>
      <x:c r="B577" s="4" t="str">
        <x:v>USER-0576</x:v>
      </x:c>
      <x:c r="C577" s="4" t="str">
        <x:v>M04 粉丝团、房管与成长等级</x:v>
      </x:c>
      <x:c r="D577" s="4" t="str">
        <x:v>我的粉丝团（用户视角）</x:v>
      </x:c>
      <x:c r="E577" s="4" t="str">
        <x:v>功能需求</x:v>
      </x:c>
      <x:c r="F577" s="4" t="str">
        <x:v>P1</x:v>
      </x:c>
      <x:c r="G577" s="4" t="str">
        <x:v>验证主动退出后的关注关系</x:v>
      </x:c>
      <x:c r="H577" s="4" t="str">
        <x:v>主动退出后的关注关系</x:v>
      </x:c>
      <x:c r="I577" s="4" t="str">
        <x:v>1. 已登录用户账号
2. 该团原粉丝等级3级、亲密度10且已关注主播，随后主动退出</x:v>
      </x:c>
      <x:c r="J577" s="4" t="str">
        <x:v>1. 进入「我的粉丝团」页
2. 查看主动退出后的关注关系</x:v>
      </x:c>
      <x:c r="K577" s="4" t="str">
        <x:v>仍关注该主播</x:v>
      </x:c>
      <x:c r="L577" s="4" t="str"/>
      <x:c r="M577" s="4" t="str">
        <x:v>未测</x:v>
      </x:c>
      <x:c r="N577" s="4" t="str"/>
      <x:c r="O577" s="4" t="str">
        <x:v>1. 来源：MainBasis/统一需求文档.md；U-my-fan-clubs-014、U-host-home-010、U-group-manage-member-006、U-fan-club-006、A-admin-level-config-008、D-SYS-103、U-views_live-room_fan-club-joined-005
2. 场景：SC-169a41f8b4bf46</x:v>
      </x:c>
    </x:row>
    <x:row r="578" ht="96" customHeight="1">
      <x:c r="A578" s="4" t="n">
        <x:v>577</x:v>
      </x:c>
      <x:c r="B578" s="4" t="str">
        <x:v>USER-0577</x:v>
      </x:c>
      <x:c r="C578" s="4" t="str">
        <x:v>M04 粉丝团、房管与成长等级</x:v>
      </x:c>
      <x:c r="D578" s="4" t="str">
        <x:v>我的粉丝团（用户视角）</x:v>
      </x:c>
      <x:c r="E578" s="4" t="str">
        <x:v>功能需求</x:v>
      </x:c>
      <x:c r="F578" s="4" t="str">
        <x:v>P1</x:v>
      </x:c>
      <x:c r="G578" s="4" t="str">
        <x:v>验证主动退出后的粉丝等级</x:v>
      </x:c>
      <x:c r="H578" s="4" t="str">
        <x:v>主动退出后的粉丝等级</x:v>
      </x:c>
      <x:c r="I578" s="4" t="str">
        <x:v>1. 已登录用户账号
2. 该团原粉丝等级3级、亲密度10且已关注主播，随后主动退出</x:v>
      </x:c>
      <x:c r="J578" s="4" t="str">
        <x:v>1. 进入「我的粉丝团」页
2. 查看主动退出后的粉丝等级</x:v>
      </x:c>
      <x:c r="K578" s="4" t="str">
        <x:v>粉丝等级清零</x:v>
      </x:c>
      <x:c r="L578" s="4" t="str"/>
      <x:c r="M578" s="4" t="str">
        <x:v>未测</x:v>
      </x:c>
      <x:c r="N578" s="4" t="str"/>
      <x:c r="O578" s="4" t="str">
        <x:v>1. 来源：MainBasis/统一需求文档.md；U-my-fan-clubs-014、U-host-home-010、U-group-manage-member-006、U-fan-club-006、A-admin-level-config-008、D-SYS-103、U-views_live-room_fan-club-joined-005
2. 场景：SC-cc78abe97c182c</x:v>
      </x:c>
    </x:row>
    <x:row r="579" ht="96" customHeight="1">
      <x:c r="A579" s="4" t="n">
        <x:v>578</x:v>
      </x:c>
      <x:c r="B579" s="4" t="str">
        <x:v>USER-0578</x:v>
      </x:c>
      <x:c r="C579" s="4" t="str">
        <x:v>M04 粉丝团、房管与成长等级</x:v>
      </x:c>
      <x:c r="D579" s="4" t="str">
        <x:v>我的粉丝团（用户视角）</x:v>
      </x:c>
      <x:c r="E579" s="4" t="str">
        <x:v>功能需求</x:v>
      </x:c>
      <x:c r="F579" s="4" t="str">
        <x:v>P1</x:v>
      </x:c>
      <x:c r="G579" s="4" t="str">
        <x:v>验证主动退出后的亲密度</x:v>
      </x:c>
      <x:c r="H579" s="4" t="str">
        <x:v>主动退出后的亲密度</x:v>
      </x:c>
      <x:c r="I579" s="4" t="str">
        <x:v>1. 已登录用户账号
2. 该团原粉丝等级3级、亲密度10且已关注主播，随后主动退出</x:v>
      </x:c>
      <x:c r="J579" s="4" t="str">
        <x:v>1. 进入「我的粉丝团」页
2. 查看主动退出后的亲密度</x:v>
      </x:c>
      <x:c r="K579" s="4" t="str">
        <x:v>亲密度清零</x:v>
      </x:c>
      <x:c r="L579" s="4" t="str"/>
      <x:c r="M579" s="4" t="str">
        <x:v>未测</x:v>
      </x:c>
      <x:c r="N579" s="4" t="str"/>
      <x:c r="O579" s="4" t="str">
        <x:v>1. 来源：MainBasis/统一需求文档.md；U-my-fan-clubs-014、U-host-home-010、U-group-manage-member-006、U-fan-club-006、A-admin-level-config-008、D-SYS-103、U-views_live-room_fan-club-joined-005
2. 场景：SC-9f4442aa3559b4</x:v>
      </x:c>
    </x:row>
    <x:row r="580" ht="96" customHeight="1">
      <x:c r="A580" s="4" t="n">
        <x:v>579</x:v>
      </x:c>
      <x:c r="B580" s="4" t="str">
        <x:v>USER-0579</x:v>
      </x:c>
      <x:c r="C580" s="4" t="str">
        <x:v>M04 粉丝团、房管与成长等级</x:v>
      </x:c>
      <x:c r="D580" s="4" t="str">
        <x:v>我的粉丝团（用户视角）</x:v>
      </x:c>
      <x:c r="E580" s="4" t="str">
        <x:v>功能需求</x:v>
      </x:c>
      <x:c r="F580" s="4" t="str">
        <x:v>P1</x:v>
      </x:c>
      <x:c r="G580" s="4" t="str">
        <x:v>验证被主播移出后的关注关系</x:v>
      </x:c>
      <x:c r="H580" s="4" t="str">
        <x:v>被主播移出后的关注关系</x:v>
      </x:c>
      <x:c r="I580" s="4" t="str">
        <x:v>1. 已登录用户账号
2. 该团原粉丝等级3级、亲密度10且已关注主播，随后被主播移出</x:v>
      </x:c>
      <x:c r="J580" s="4" t="str">
        <x:v>1. 进入「我的粉丝团」页
2. 查看被主播移出后的关注关系</x:v>
      </x:c>
      <x:c r="K580" s="4" t="str">
        <x:v>仍关注该主播</x:v>
      </x:c>
      <x:c r="L580" s="4" t="str"/>
      <x:c r="M580" s="4" t="str">
        <x:v>未测</x:v>
      </x:c>
      <x:c r="N580" s="4" t="str"/>
      <x:c r="O580" s="4" t="str">
        <x:v>1. 来源：MainBasis/统一需求文档.md；U-my-fan-clubs-014、U-host-home-010、U-group-manage-member-006、U-fan-club-006、A-admin-level-config-008、D-SYS-103、U-views_live-room_fan-club-joined-005
2. 场景：SC-692e2e50e6ef67</x:v>
      </x:c>
    </x:row>
    <x:row r="581" ht="96" customHeight="1">
      <x:c r="A581" s="4" t="n">
        <x:v>580</x:v>
      </x:c>
      <x:c r="B581" s="4" t="str">
        <x:v>USER-0580</x:v>
      </x:c>
      <x:c r="C581" s="4" t="str">
        <x:v>M04 粉丝团、房管与成长等级</x:v>
      </x:c>
      <x:c r="D581" s="4" t="str">
        <x:v>我的粉丝团（用户视角）</x:v>
      </x:c>
      <x:c r="E581" s="4" t="str">
        <x:v>功能需求</x:v>
      </x:c>
      <x:c r="F581" s="4" t="str">
        <x:v>P1</x:v>
      </x:c>
      <x:c r="G581" s="4" t="str">
        <x:v>验证被主播移出后的粉丝等级</x:v>
      </x:c>
      <x:c r="H581" s="4" t="str">
        <x:v>被主播移出后的粉丝等级</x:v>
      </x:c>
      <x:c r="I581" s="4" t="str">
        <x:v>1. 已登录用户账号
2. 该团原粉丝等级3级、亲密度10且已关注主播，随后被主播移出</x:v>
      </x:c>
      <x:c r="J581" s="4" t="str">
        <x:v>1. 进入「我的粉丝团」页
2. 查看被主播移出后的粉丝等级</x:v>
      </x:c>
      <x:c r="K581" s="4" t="str">
        <x:v>粉丝等级清零</x:v>
      </x:c>
      <x:c r="L581" s="4" t="str"/>
      <x:c r="M581" s="4" t="str">
        <x:v>未测</x:v>
      </x:c>
      <x:c r="N581" s="4" t="str"/>
      <x:c r="O581" s="4" t="str">
        <x:v>1. 来源：MainBasis/统一需求文档.md；U-my-fan-clubs-014、U-host-home-010、U-group-manage-member-006、U-fan-club-006、A-admin-level-config-008、D-SYS-103、U-views_live-room_fan-club-joined-005
2. 场景：SC-ad6a9c2e113811</x:v>
      </x:c>
    </x:row>
    <x:row r="582" ht="96" customHeight="1">
      <x:c r="A582" s="4" t="n">
        <x:v>581</x:v>
      </x:c>
      <x:c r="B582" s="4" t="str">
        <x:v>USER-0581</x:v>
      </x:c>
      <x:c r="C582" s="4" t="str">
        <x:v>M04 粉丝团、房管与成长等级</x:v>
      </x:c>
      <x:c r="D582" s="4" t="str">
        <x:v>我的粉丝团（用户视角）</x:v>
      </x:c>
      <x:c r="E582" s="4" t="str">
        <x:v>功能需求</x:v>
      </x:c>
      <x:c r="F582" s="4" t="str">
        <x:v>P1</x:v>
      </x:c>
      <x:c r="G582" s="4" t="str">
        <x:v>验证被主播移出后的亲密度</x:v>
      </x:c>
      <x:c r="H582" s="4" t="str">
        <x:v>被主播移出后的亲密度</x:v>
      </x:c>
      <x:c r="I582" s="4" t="str">
        <x:v>1. 已登录用户账号
2. 该团原粉丝等级3级、亲密度10且已关注主播，随后被主播移出</x:v>
      </x:c>
      <x:c r="J582" s="4" t="str">
        <x:v>1. 进入「我的粉丝团」页
2. 查看被主播移出后的亲密度</x:v>
      </x:c>
      <x:c r="K582" s="4" t="str">
        <x:v>亲密度清零</x:v>
      </x:c>
      <x:c r="L582" s="4" t="str"/>
      <x:c r="M582" s="4" t="str">
        <x:v>未测</x:v>
      </x:c>
      <x:c r="N582" s="4" t="str"/>
      <x:c r="O582" s="4" t="str">
        <x:v>1. 来源：MainBasis/统一需求文档.md；U-my-fan-clubs-014、U-host-home-010、U-group-manage-member-006、U-fan-club-006、A-admin-level-config-008、D-SYS-103、U-views_live-room_fan-club-joined-005
2. 场景：SC-01bee348fb884e</x:v>
      </x:c>
    </x:row>
    <x:row r="583" ht="54" customHeight="1">
      <x:c r="A583" s="4" t="n">
        <x:v>582</x:v>
      </x:c>
      <x:c r="B583" s="4" t="str">
        <x:v>USER-0582</x:v>
      </x:c>
      <x:c r="C583" s="4" t="str">
        <x:v>M04 粉丝团、房管与成长等级</x:v>
      </x:c>
      <x:c r="D583" s="4" t="str">
        <x:v>我的粉丝团（用户视角）</x:v>
      </x:c>
      <x:c r="E583" s="4" t="str">
        <x:v>功能需求</x:v>
      </x:c>
      <x:c r="F583" s="4" t="str">
        <x:v>P1</x:v>
      </x:c>
      <x:c r="G583" s="4" t="str">
        <x:v>验证粉丝团等级使用团累计值</x:v>
      </x:c>
      <x:c r="H583" s="4" t="str">
        <x:v>粉丝团等级使用团累计值</x:v>
      </x:c>
      <x:c r="I583" s="4" t="str">
        <x:v>1. 已登录用户账号
2. 团累计收礼达团等级3级，当前成员个人贡献仅达粉丝1级</x:v>
      </x:c>
      <x:c r="J583" s="4" t="str">
        <x:v>1. 进入「我的粉丝团」页
2. 查看粉丝团等级使用团累计值</x:v>
      </x:c>
      <x:c r="K583" s="4" t="str">
        <x:v>卡片团等级显示3级</x:v>
      </x:c>
      <x:c r="L583" s="4" t="str"/>
      <x:c r="M583" s="4" t="str">
        <x:v>未测</x:v>
      </x:c>
      <x:c r="N583" s="4" t="str"/>
      <x:c r="O583" s="4" t="str">
        <x:v>1. 来源：MainBasis/统一需求文档.md；U-my-fan-clubs-004
2. 场景：SC-29eca3db08553d</x:v>
      </x:c>
    </x:row>
    <x:row r="584" ht="54" customHeight="1">
      <x:c r="A584" s="4" t="n">
        <x:v>583</x:v>
      </x:c>
      <x:c r="B584" s="4" t="str">
        <x:v>USER-0583</x:v>
      </x:c>
      <x:c r="C584" s="4" t="str">
        <x:v>M04 粉丝团、房管与成长等级</x:v>
      </x:c>
      <x:c r="D584" s="4" t="str">
        <x:v>我的粉丝团（用户视角）</x:v>
      </x:c>
      <x:c r="E584" s="4" t="str">
        <x:v>功能需求</x:v>
      </x:c>
      <x:c r="F584" s="4" t="str">
        <x:v>P1</x:v>
      </x:c>
      <x:c r="G584" s="4" t="str">
        <x:v>验证个人粉丝等级按主播分别计算</x:v>
      </x:c>
      <x:c r="H584" s="4" t="str">
        <x:v>个人粉丝等级按主播分别计算</x:v>
      </x:c>
      <x:c r="I584" s="4" t="str">
        <x:v>1. 已登录用户账号
2. 对主播甲贡献达粉丝2级，对主播乙达粉丝3级</x:v>
      </x:c>
      <x:c r="J584" s="4" t="str">
        <x:v>1. 进入「我的粉丝团」页
2. 查看个人粉丝等级按主播分别计算</x:v>
      </x:c>
      <x:c r="K584" s="4" t="str">
        <x:v>甲卡片粉丝等级2级，乙卡片粉丝等级3级</x:v>
      </x:c>
      <x:c r="L584" s="4" t="str"/>
      <x:c r="M584" s="4" t="str">
        <x:v>未测</x:v>
      </x:c>
      <x:c r="N584" s="4" t="str"/>
      <x:c r="O584" s="4" t="str">
        <x:v>1. 来源：MainBasis/统一需求文档.md；U-my-fan-clubs-008
2. 场景：SC-b114348327f4e3</x:v>
      </x:c>
    </x:row>
    <x:row r="585" ht="82" customHeight="1">
      <x:c r="A585" s="4" t="n">
        <x:v>584</x:v>
      </x:c>
      <x:c r="B585" s="4" t="str">
        <x:v>USER-0584</x:v>
      </x:c>
      <x:c r="C585" s="4" t="str">
        <x:v>M04 粉丝团、房管与成长等级</x:v>
      </x:c>
      <x:c r="D585" s="4" t="str">
        <x:v>我的粉丝团（粉丝团成员视角）</x:v>
      </x:c>
      <x:c r="E585" s="4" t="str">
        <x:v>功能需求</x:v>
      </x:c>
      <x:c r="F585" s="4" t="str">
        <x:v>P1</x:v>
      </x:c>
      <x:c r="G585" s="4" t="str">
        <x:v>验证退会通过影响成员团籍</x:v>
      </x:c>
      <x:c r="H585" s="4" t="str">
        <x:v>退会通过影响成员团籍</x:v>
      </x:c>
      <x:c r="I585" s="4" t="str">
        <x:v>1. 已登录粉丝团成员账号
2. 目标主播有在播场次及粉丝团，收益已结清，公会已完成退会通过</x:v>
      </x:c>
      <x:c r="J585" s="4" t="str">
        <x:v>1. 进入「我的粉丝团」页
2. 查看退会通过影响成员团籍</x:v>
      </x:c>
      <x:c r="K585" s="4" t="str">
        <x:v>原团卡片消失</x:v>
      </x:c>
      <x:c r="L585" s="4" t="str">
        <x:v>FLOW-289CDBD1</x:v>
      </x:c>
      <x:c r="M585" s="4" t="str">
        <x:v>未测</x:v>
      </x:c>
      <x:c r="N585" s="4" t="str"/>
      <x:c r="O585" s="4" t="str">
        <x:v>1. 来源：MainBasis/统一需求文档.md；U-guild-leave-application-006、U-guild-detail-015
2. 场景：SC-57a4f563f10782
3. 状态转换：ST-D5B9B34DDEFD</x:v>
      </x:c>
    </x:row>
    <x:row r="586" ht="82" customHeight="1">
      <x:c r="A586" s="4" t="n">
        <x:v>585</x:v>
      </x:c>
      <x:c r="B586" s="4" t="str">
        <x:v>USER-0585</x:v>
      </x:c>
      <x:c r="C586" s="4" t="str">
        <x:v>M04 粉丝团、房管与成长等级</x:v>
      </x:c>
      <x:c r="D586" s="4" t="str">
        <x:v>我的粉丝团（粉丝团成员视角）</x:v>
      </x:c>
      <x:c r="E586" s="4" t="str">
        <x:v>功能需求</x:v>
      </x:c>
      <x:c r="F586" s="4" t="str">
        <x:v>P1</x:v>
      </x:c>
      <x:c r="G586" s="4" t="str">
        <x:v>验证公会移出影响成员团籍</x:v>
      </x:c>
      <x:c r="H586" s="4" t="str">
        <x:v>公会移出影响成员团籍</x:v>
      </x:c>
      <x:c r="I586" s="4" t="str">
        <x:v>1. 已登录粉丝团成员账号
2. 目标主播有在播场次及粉丝团，收益已结清，公会已完成公会移出</x:v>
      </x:c>
      <x:c r="J586" s="4" t="str">
        <x:v>1. 进入「我的粉丝团」页
2. 查看公会移出影响成员团籍</x:v>
      </x:c>
      <x:c r="K586" s="4" t="str">
        <x:v>原团卡片消失</x:v>
      </x:c>
      <x:c r="L586" s="4" t="str">
        <x:v>FLOW-EA7D49B9</x:v>
      </x:c>
      <x:c r="M586" s="4" t="str">
        <x:v>未测</x:v>
      </x:c>
      <x:c r="N586" s="4" t="str"/>
      <x:c r="O586" s="4" t="str">
        <x:v>1. 来源：MainBasis/统一需求文档.md；U-guild-leave-application-006、U-guild-detail-015
2. 场景：SC-e9ecdc08c2e02a
3. 状态转换：ST-6CB4EB33D1A6</x:v>
      </x:c>
    </x:row>
    <x:row r="587" ht="54" customHeight="1">
      <x:c r="A587" s="4" t="n">
        <x:v>586</x:v>
      </x:c>
      <x:c r="B587" s="4" t="str">
        <x:v>USER-0586</x:v>
      </x:c>
      <x:c r="C587" s="4" t="str">
        <x:v>M04 粉丝团、房管与成长等级</x:v>
      </x:c>
      <x:c r="D587" s="4" t="str">
        <x:v>我的粉丝团（用户视角）</x:v>
      </x:c>
      <x:c r="E587" s="4" t="str">
        <x:v>功能需求</x:v>
      </x:c>
      <x:c r="F587" s="4" t="str">
        <x:v>P1</x:v>
      </x:c>
      <x:c r="G587" s="4" t="str">
        <x:v>验证粉丝团群聊入口</x:v>
      </x:c>
      <x:c r="H587" s="4" t="str">
        <x:v>粉丝团群聊入口</x:v>
      </x:c>
      <x:c r="I587" s="4" t="str">
        <x:v>1. 已登录用户账号
2. 当前账号有有效团籍</x:v>
      </x:c>
      <x:c r="J587" s="4" t="str">
        <x:v>1. 进入「我的粉丝团」页
2. 点击卡片群聊</x:v>
      </x:c>
      <x:c r="K587" s="4" t="str">
        <x:v>进入该团粉丝群</x:v>
      </x:c>
      <x:c r="L587" s="4" t="str"/>
      <x:c r="M587" s="4" t="str">
        <x:v>未测</x:v>
      </x:c>
      <x:c r="N587" s="4" t="str"/>
      <x:c r="O587" s="4" t="str">
        <x:v>1. 来源：MainBasis/统一需求文档.md；U-my-fan-clubs-007
2. 场景：SC-13cc97b49658c9</x:v>
      </x:c>
    </x:row>
    <x:row r="588" ht="54" customHeight="1">
      <x:c r="A588" s="4" t="n">
        <x:v>587</x:v>
      </x:c>
      <x:c r="B588" s="4" t="str">
        <x:v>USER-0587</x:v>
      </x:c>
      <x:c r="C588" s="4" t="str">
        <x:v>M04 粉丝团、房管与成长等级</x:v>
      </x:c>
      <x:c r="D588" s="4" t="str">
        <x:v>贡献榜（用户视角）</x:v>
      </x:c>
      <x:c r="E588" s="4" t="str">
        <x:v>功能需求</x:v>
      </x:c>
      <x:c r="F588" s="4" t="str">
        <x:v>P1</x:v>
      </x:c>
      <x:c r="G588" s="4" t="str">
        <x:v>验证粉丝贡献榜贡献值裁决</x:v>
      </x:c>
      <x:c r="H588" s="4" t="str">
        <x:v>粉丝贡献榜贡献值裁决</x:v>
      </x:c>
      <x:c r="I588" s="4" t="str">
        <x:v>1. 已登录用户账号
2. 两用户前0个排序键一致，贡献值分别为10和20</x:v>
      </x:c>
      <x:c r="J588" s="4" t="str">
        <x:v>1. 进入「贡献榜」页
2. 查看粉丝贡献榜贡献值裁决</x:v>
      </x:c>
      <x:c r="K588" s="4" t="str">
        <x:v>20对应用户排在另一用户前</x:v>
      </x:c>
      <x:c r="L588" s="4" t="str"/>
      <x:c r="M588" s="4" t="str">
        <x:v>未测</x:v>
      </x:c>
      <x:c r="N588" s="4" t="str"/>
      <x:c r="O588" s="4" t="str">
        <x:v>1. 来源：MainBasis/统一需求文档.md；U-fan-contribution-ranking-004
2. 场景：SC-b12a97043a20a4</x:v>
      </x:c>
    </x:row>
    <x:row r="589" ht="54" customHeight="1">
      <x:c r="A589" s="4" t="n">
        <x:v>588</x:v>
      </x:c>
      <x:c r="B589" s="4" t="str">
        <x:v>USER-0588</x:v>
      </x:c>
      <x:c r="C589" s="4" t="str">
        <x:v>M04 粉丝团、房管与成长等级</x:v>
      </x:c>
      <x:c r="D589" s="4" t="str">
        <x:v>贡献榜（用户视角）</x:v>
      </x:c>
      <x:c r="E589" s="4" t="str">
        <x:v>功能需求</x:v>
      </x:c>
      <x:c r="F589" s="4" t="str">
        <x:v>P1</x:v>
      </x:c>
      <x:c r="G589" s="4" t="str">
        <x:v>验证粉丝贡献榜当前团粉丝等级裁决</x:v>
      </x:c>
      <x:c r="H589" s="4" t="str">
        <x:v>粉丝贡献榜当前团粉丝等级裁决</x:v>
      </x:c>
      <x:c r="I589" s="4" t="str">
        <x:v>1. 已登录用户账号
2. 两用户前1个排序键一致，当前团粉丝等级分别为10和20</x:v>
      </x:c>
      <x:c r="J589" s="4" t="str">
        <x:v>1. 进入「贡献榜」页
2. 查看粉丝贡献榜当前团粉丝等级裁决</x:v>
      </x:c>
      <x:c r="K589" s="4" t="str">
        <x:v>20对应用户排在另一用户前</x:v>
      </x:c>
      <x:c r="L589" s="4" t="str"/>
      <x:c r="M589" s="4" t="str">
        <x:v>未测</x:v>
      </x:c>
      <x:c r="N589" s="4" t="str"/>
      <x:c r="O589" s="4" t="str">
        <x:v>1. 来源：MainBasis/统一需求文档.md；U-fan-contribution-ranking-004
2. 场景：SC-49d51f65a561bd</x:v>
      </x:c>
    </x:row>
    <x:row r="590" ht="54" customHeight="1">
      <x:c r="A590" s="4" t="n">
        <x:v>589</x:v>
      </x:c>
      <x:c r="B590" s="4" t="str">
        <x:v>USER-0589</x:v>
      </x:c>
      <x:c r="C590" s="4" t="str">
        <x:v>M04 粉丝团、房管与成长等级</x:v>
      </x:c>
      <x:c r="D590" s="4" t="str">
        <x:v>贡献榜（用户视角）</x:v>
      </x:c>
      <x:c r="E590" s="4" t="str">
        <x:v>功能需求</x:v>
      </x:c>
      <x:c r="F590" s="4" t="str">
        <x:v>P1</x:v>
      </x:c>
      <x:c r="G590" s="4" t="str">
        <x:v>验证粉丝贡献榜财富等级裁决</x:v>
      </x:c>
      <x:c r="H590" s="4" t="str">
        <x:v>粉丝贡献榜财富等级裁决</x:v>
      </x:c>
      <x:c r="I590" s="4" t="str">
        <x:v>1. 已登录用户账号
2. 两用户前2个排序键一致，财富等级分别为10和20</x:v>
      </x:c>
      <x:c r="J590" s="4" t="str">
        <x:v>1. 进入「贡献榜」页
2. 查看粉丝贡献榜财富等级裁决</x:v>
      </x:c>
      <x:c r="K590" s="4" t="str">
        <x:v>20对应用户排在另一用户前</x:v>
      </x:c>
      <x:c r="L590" s="4" t="str"/>
      <x:c r="M590" s="4" t="str">
        <x:v>未测</x:v>
      </x:c>
      <x:c r="N590" s="4" t="str"/>
      <x:c r="O590" s="4" t="str">
        <x:v>1. 来源：MainBasis/统一需求文档.md；U-fan-contribution-ranking-004
2. 场景：SC-44021fe3291036</x:v>
      </x:c>
    </x:row>
    <x:row r="591" ht="54" customHeight="1">
      <x:c r="A591" s="4" t="n">
        <x:v>590</x:v>
      </x:c>
      <x:c r="B591" s="4" t="str">
        <x:v>USER-0590</x:v>
      </x:c>
      <x:c r="C591" s="4" t="str">
        <x:v>M04 粉丝团、房管与成长等级</x:v>
      </x:c>
      <x:c r="D591" s="4" t="str">
        <x:v>贡献榜（用户视角）</x:v>
      </x:c>
      <x:c r="E591" s="4" t="str">
        <x:v>功能需求</x:v>
      </x:c>
      <x:c r="F591" s="4" t="str">
        <x:v>P1</x:v>
      </x:c>
      <x:c r="G591" s="4" t="str">
        <x:v>验证粉丝贡献榜用户ID数字部分裁决</x:v>
      </x:c>
      <x:c r="H591" s="4" t="str">
        <x:v>粉丝贡献榜用户ID数字部分裁决</x:v>
      </x:c>
      <x:c r="I591" s="4" t="str">
        <x:v>1. 已登录用户账号
2. 两用户前3个排序键一致，用户ID数字部分分别为10和20</x:v>
      </x:c>
      <x:c r="J591" s="4" t="str">
        <x:v>1. 进入「贡献榜」页
2. 查看粉丝贡献榜用户ID数字部分裁决</x:v>
      </x:c>
      <x:c r="K591" s="4" t="str">
        <x:v>10对应用户排在另一用户前</x:v>
      </x:c>
      <x:c r="L591" s="4" t="str"/>
      <x:c r="M591" s="4" t="str">
        <x:v>未测</x:v>
      </x:c>
      <x:c r="N591" s="4" t="str"/>
      <x:c r="O591" s="4" t="str">
        <x:v>1. 来源：MainBasis/统一需求文档.md；U-fan-contribution-ranking-004
2. 场景：SC-9022bdae569695</x:v>
      </x:c>
    </x:row>
    <x:row r="592" ht="54" customHeight="1">
      <x:c r="A592" s="4" t="n">
        <x:v>591</x:v>
      </x:c>
      <x:c r="B592" s="4" t="str">
        <x:v>USER-0591</x:v>
      </x:c>
      <x:c r="C592" s="4" t="str">
        <x:v>M04 粉丝团、房管与成长等级</x:v>
      </x:c>
      <x:c r="D592" s="4" t="str">
        <x:v>贡献榜（用户视角）</x:v>
      </x:c>
      <x:c r="E592" s="4" t="str">
        <x:v>功能需求</x:v>
      </x:c>
      <x:c r="F592" s="4" t="str">
        <x:v>P1</x:v>
      </x:c>
      <x:c r="G592" s="4" t="str">
        <x:v>验证粉丝贡献榜0人上限</x:v>
      </x:c>
      <x:c r="H592" s="4" t="str">
        <x:v>粉丝贡献榜0人上限</x:v>
      </x:c>
      <x:c r="I592" s="4" t="str">
        <x:v>1. 已登录用户账号
2. 本期已确定贡献数据中有0个排名用户</x:v>
      </x:c>
      <x:c r="J592" s="4" t="str">
        <x:v>1. 进入「贡献榜」页
2. 查看粉丝贡献榜0人上限</x:v>
      </x:c>
      <x:c r="K592" s="4" t="str">
        <x:v>展示0条排名</x:v>
      </x:c>
      <x:c r="L592" s="4" t="str"/>
      <x:c r="M592" s="4" t="str">
        <x:v>未测</x:v>
      </x:c>
      <x:c r="N592" s="4" t="str"/>
      <x:c r="O592" s="4" t="str">
        <x:v>1. 来源：MainBasis/统一需求文档.md；U-fan-contribution-ranking-005
2. 场景：SC-854fad8b52e0fc</x:v>
      </x:c>
    </x:row>
    <x:row r="593" ht="54" customHeight="1">
      <x:c r="A593" s="4" t="n">
        <x:v>592</x:v>
      </x:c>
      <x:c r="B593" s="4" t="str">
        <x:v>USER-0592</x:v>
      </x:c>
      <x:c r="C593" s="4" t="str">
        <x:v>M04 粉丝团、房管与成长等级</x:v>
      </x:c>
      <x:c r="D593" s="4" t="str">
        <x:v>贡献榜（用户视角）</x:v>
      </x:c>
      <x:c r="E593" s="4" t="str">
        <x:v>功能需求</x:v>
      </x:c>
      <x:c r="F593" s="4" t="str">
        <x:v>P1</x:v>
      </x:c>
      <x:c r="G593" s="4" t="str">
        <x:v>验证粉丝贡献榜1人上限</x:v>
      </x:c>
      <x:c r="H593" s="4" t="str">
        <x:v>粉丝贡献榜1人上限</x:v>
      </x:c>
      <x:c r="I593" s="4" t="str">
        <x:v>1. 已登录用户账号
2. 本期已确定贡献数据中有1个排名用户</x:v>
      </x:c>
      <x:c r="J593" s="4" t="str">
        <x:v>1. 进入「贡献榜」页
2. 查看粉丝贡献榜1人上限</x:v>
      </x:c>
      <x:c r="K593" s="4" t="str">
        <x:v>展示1条排名</x:v>
      </x:c>
      <x:c r="L593" s="4" t="str"/>
      <x:c r="M593" s="4" t="str">
        <x:v>未测</x:v>
      </x:c>
      <x:c r="N593" s="4" t="str"/>
      <x:c r="O593" s="4" t="str">
        <x:v>1. 来源：MainBasis/统一需求文档.md；U-fan-contribution-ranking-005
2. 场景：SC-b9d0d7d301e62d</x:v>
      </x:c>
    </x:row>
    <x:row r="594" ht="54" customHeight="1">
      <x:c r="A594" s="4" t="n">
        <x:v>593</x:v>
      </x:c>
      <x:c r="B594" s="4" t="str">
        <x:v>USER-0593</x:v>
      </x:c>
      <x:c r="C594" s="4" t="str">
        <x:v>M04 粉丝团、房管与成长等级</x:v>
      </x:c>
      <x:c r="D594" s="4" t="str">
        <x:v>贡献榜（用户视角）</x:v>
      </x:c>
      <x:c r="E594" s="4" t="str">
        <x:v>功能需求</x:v>
      </x:c>
      <x:c r="F594" s="4" t="str">
        <x:v>P1</x:v>
      </x:c>
      <x:c r="G594" s="4" t="str">
        <x:v>验证粉丝贡献榜98人上限</x:v>
      </x:c>
      <x:c r="H594" s="4" t="str">
        <x:v>粉丝贡献榜98人上限</x:v>
      </x:c>
      <x:c r="I594" s="4" t="str">
        <x:v>1. 已登录用户账号
2. 本期已确定贡献数据中有98个排名用户</x:v>
      </x:c>
      <x:c r="J594" s="4" t="str">
        <x:v>1. 进入「贡献榜」页
2. 查看粉丝贡献榜98人上限</x:v>
      </x:c>
      <x:c r="K594" s="4" t="str">
        <x:v>展示98条排名</x:v>
      </x:c>
      <x:c r="L594" s="4" t="str"/>
      <x:c r="M594" s="4" t="str">
        <x:v>未测</x:v>
      </x:c>
      <x:c r="N594" s="4" t="str"/>
      <x:c r="O594" s="4" t="str">
        <x:v>1. 来源：MainBasis/统一需求文档.md；U-fan-contribution-ranking-005
2. 场景：SC-62c46d7b6686f0</x:v>
      </x:c>
    </x:row>
    <x:row r="595" ht="54" customHeight="1">
      <x:c r="A595" s="4" t="n">
        <x:v>594</x:v>
      </x:c>
      <x:c r="B595" s="4" t="str">
        <x:v>USER-0594</x:v>
      </x:c>
      <x:c r="C595" s="4" t="str">
        <x:v>M04 粉丝团、房管与成长等级</x:v>
      </x:c>
      <x:c r="D595" s="4" t="str">
        <x:v>贡献榜（用户视角）</x:v>
      </x:c>
      <x:c r="E595" s="4" t="str">
        <x:v>功能需求</x:v>
      </x:c>
      <x:c r="F595" s="4" t="str">
        <x:v>P1</x:v>
      </x:c>
      <x:c r="G595" s="4" t="str">
        <x:v>验证粉丝贡献榜99人上限</x:v>
      </x:c>
      <x:c r="H595" s="4" t="str">
        <x:v>粉丝贡献榜99人上限</x:v>
      </x:c>
      <x:c r="I595" s="4" t="str">
        <x:v>1. 已登录用户账号
2. 本期已确定贡献数据中有99个排名用户</x:v>
      </x:c>
      <x:c r="J595" s="4" t="str">
        <x:v>1. 进入「贡献榜」页
2. 查看粉丝贡献榜99人上限</x:v>
      </x:c>
      <x:c r="K595" s="4" t="str">
        <x:v>展示99条排名</x:v>
      </x:c>
      <x:c r="L595" s="4" t="str"/>
      <x:c r="M595" s="4" t="str">
        <x:v>未测</x:v>
      </x:c>
      <x:c r="N595" s="4" t="str"/>
      <x:c r="O595" s="4" t="str">
        <x:v>1. 来源：MainBasis/统一需求文档.md；U-fan-contribution-ranking-005
2. 场景：SC-7d3be819e25038</x:v>
      </x:c>
    </x:row>
    <x:row r="596" ht="54" customHeight="1">
      <x:c r="A596" s="4" t="n">
        <x:v>595</x:v>
      </x:c>
      <x:c r="B596" s="4" t="str">
        <x:v>USER-0595</x:v>
      </x:c>
      <x:c r="C596" s="4" t="str">
        <x:v>M04 粉丝团、房管与成长等级</x:v>
      </x:c>
      <x:c r="D596" s="4" t="str">
        <x:v>贡献榜（用户视角）</x:v>
      </x:c>
      <x:c r="E596" s="4" t="str">
        <x:v>功能需求</x:v>
      </x:c>
      <x:c r="F596" s="4" t="str">
        <x:v>P1</x:v>
      </x:c>
      <x:c r="G596" s="4" t="str">
        <x:v>验证粉丝贡献榜100人上限</x:v>
      </x:c>
      <x:c r="H596" s="4" t="str">
        <x:v>粉丝贡献榜100人上限</x:v>
      </x:c>
      <x:c r="I596" s="4" t="str">
        <x:v>1. 已登录用户账号
2. 本期已确定贡献数据中有100个排名用户</x:v>
      </x:c>
      <x:c r="J596" s="4" t="str">
        <x:v>1. 进入「贡献榜」页
2. 查看粉丝贡献榜100人上限</x:v>
      </x:c>
      <x:c r="K596" s="4" t="str">
        <x:v>展示99条排名</x:v>
      </x:c>
      <x:c r="L596" s="4" t="str"/>
      <x:c r="M596" s="4" t="str">
        <x:v>未测</x:v>
      </x:c>
      <x:c r="N596" s="4" t="str"/>
      <x:c r="O596" s="4" t="str">
        <x:v>1. 来源：MainBasis/统一需求文档.md；U-fan-contribution-ranking-005
2. 场景：SC-f1e451a87350cb</x:v>
      </x:c>
    </x:row>
    <x:row r="597" ht="54" customHeight="1">
      <x:c r="A597" s="4" t="n">
        <x:v>596</x:v>
      </x:c>
      <x:c r="B597" s="4" t="str">
        <x:v>USER-0596</x:v>
      </x:c>
      <x:c r="C597" s="4" t="str">
        <x:v>M04 粉丝团、房管与成长等级</x:v>
      </x:c>
      <x:c r="D597" s="4" t="str">
        <x:v>贡献榜（用户视角）</x:v>
      </x:c>
      <x:c r="E597" s="4" t="str">
        <x:v>功能需求</x:v>
      </x:c>
      <x:c r="F597" s="4" t="str">
        <x:v>P1</x:v>
      </x:c>
      <x:c r="G597" s="4" t="str">
        <x:v>验证粉丝贡献榜99名同值</x:v>
      </x:c>
      <x:c r="H597" s="4" t="str">
        <x:v>粉丝贡献榜99名同值</x:v>
      </x:c>
      <x:c r="I597" s="4" t="str">
        <x:v>1. 已登录用户账号
2. 第99及100名候选贡献相同，粉丝等级分别3和2</x:v>
      </x:c>
      <x:c r="J597" s="4" t="str">
        <x:v>1. 进入「贡献榜」页
2. 查看粉丝贡献榜99名同值</x:v>
      </x:c>
      <x:c r="K597" s="4" t="str">
        <x:v>粉丝3级候选占第99名，另一个不进入榜单</x:v>
      </x:c>
      <x:c r="L597" s="4" t="str"/>
      <x:c r="M597" s="4" t="str">
        <x:v>未测</x:v>
      </x:c>
      <x:c r="N597" s="4" t="str"/>
      <x:c r="O597" s="4" t="str">
        <x:v>1. 来源：MainBasis/统一需求文档.md；U-fan-contribution-ranking-005
2. 场景：SC-26afd99f4cd71b</x:v>
      </x:c>
    </x:row>
    <x:row r="598" ht="54" customHeight="1">
      <x:c r="A598" s="4" t="n">
        <x:v>597</x:v>
      </x:c>
      <x:c r="B598" s="4" t="str">
        <x:v>USER-0597</x:v>
      </x:c>
      <x:c r="C598" s="4" t="str">
        <x:v>M04 粉丝团、房管与成长等级</x:v>
      </x:c>
      <x:c r="D598" s="4" t="str">
        <x:v>贡献榜（用户视角）</x:v>
      </x:c>
      <x:c r="E598" s="4" t="str">
        <x:v>功能需求</x:v>
      </x:c>
      <x:c r="F598" s="4" t="str">
        <x:v>P1</x:v>
      </x:c>
      <x:c r="G598" s="4" t="str">
        <x:v>验证粉丝贡献榜粉丝等级最低档</x:v>
      </x:c>
      <x:c r="H598" s="4" t="str">
        <x:v>粉丝贡献榜粉丝等级最低档</x:v>
      </x:c>
      <x:c r="I598" s="4" t="str">
        <x:v>1. 已登录用户账号
2. 用户尚未达更高等级门槛</x:v>
      </x:c>
      <x:c r="J598" s="4" t="str">
        <x:v>1. 进入「贡献榜」页
2. 查看粉丝贡献榜粉丝等级最低档</x:v>
      </x:c>
      <x:c r="K598" s="4" t="str">
        <x:v>粉丝等级显示1级</x:v>
      </x:c>
      <x:c r="L598" s="4" t="str"/>
      <x:c r="M598" s="4" t="str">
        <x:v>未测</x:v>
      </x:c>
      <x:c r="N598" s="4" t="str"/>
      <x:c r="O598" s="4" t="str">
        <x:v>1. 来源：MainBasis/统一需求文档.md；U-fan-contribution-ranking-007
2. 场景：SC-a97f202e815527</x:v>
      </x:c>
    </x:row>
    <x:row r="599" ht="54" customHeight="1">
      <x:c r="A599" s="4" t="n">
        <x:v>598</x:v>
      </x:c>
      <x:c r="B599" s="4" t="str">
        <x:v>USER-0598</x:v>
      </x:c>
      <x:c r="C599" s="4" t="str">
        <x:v>M04 粉丝团、房管与成长等级</x:v>
      </x:c>
      <x:c r="D599" s="4" t="str">
        <x:v>贡献榜（用户视角）</x:v>
      </x:c>
      <x:c r="E599" s="4" t="str">
        <x:v>功能需求</x:v>
      </x:c>
      <x:c r="F599" s="4" t="str">
        <x:v>P1</x:v>
      </x:c>
      <x:c r="G599" s="4" t="str">
        <x:v>验证粉丝贡献榜财富等级最低档</x:v>
      </x:c>
      <x:c r="H599" s="4" t="str">
        <x:v>粉丝贡献榜财富等级最低档</x:v>
      </x:c>
      <x:c r="I599" s="4" t="str">
        <x:v>1. 已登录用户账号
2. 用户尚未达更高等级门槛</x:v>
      </x:c>
      <x:c r="J599" s="4" t="str">
        <x:v>1. 进入「贡献榜」页
2. 查看粉丝贡献榜财富等级最低档</x:v>
      </x:c>
      <x:c r="K599" s="4" t="str">
        <x:v>财富等级显示1级</x:v>
      </x:c>
      <x:c r="L599" s="4" t="str"/>
      <x:c r="M599" s="4" t="str">
        <x:v>未测</x:v>
      </x:c>
      <x:c r="N599" s="4" t="str"/>
      <x:c r="O599" s="4" t="str">
        <x:v>1. 来源：MainBasis/统一需求文档.md；U-fan-contribution-ranking-007
2. 场景：SC-a59c49debb55c4</x:v>
      </x:c>
    </x:row>
    <x:row r="600" ht="54" customHeight="1">
      <x:c r="A600" s="4" t="n">
        <x:v>599</x:v>
      </x:c>
      <x:c r="B600" s="4" t="str">
        <x:v>USER-0599</x:v>
      </x:c>
      <x:c r="C600" s="4" t="str">
        <x:v>M04 粉丝团、房管与成长等级</x:v>
      </x:c>
      <x:c r="D600" s="4" t="str">
        <x:v>贡献榜（用户视角）</x:v>
      </x:c>
      <x:c r="E600" s="4" t="str">
        <x:v>功能需求</x:v>
      </x:c>
      <x:c r="F600" s="4" t="str">
        <x:v>P1</x:v>
      </x:c>
      <x:c r="G600" s="4" t="str">
        <x:v>验证粉丝贡献榜切换本周</x:v>
      </x:c>
      <x:c r="H600" s="4" t="str">
        <x:v>粉丝贡献榜切换本周</x:v>
      </x:c>
      <x:c r="I600" s="4" t="str">
        <x:v>1. 已登录用户账号
2. 各周期已确定的有效统计结果不同</x:v>
      </x:c>
      <x:c r="J600" s="4" t="str">
        <x:v>1. 进入「贡献榜」页
2. 选择本周</x:v>
      </x:c>
      <x:c r="K600" s="4" t="str">
        <x:v>前三名、榜单及我的排名刷新为本周结果</x:v>
      </x:c>
      <x:c r="L600" s="4" t="str"/>
      <x:c r="M600" s="4" t="str">
        <x:v>未测</x:v>
      </x:c>
      <x:c r="N600" s="4" t="str"/>
      <x:c r="O600" s="4" t="str">
        <x:v>1. 来源：MainBasis/统一需求文档.md；U-fan-contribution-ranking-010
2. 场景：SC-2a6900e40bdba7</x:v>
      </x:c>
    </x:row>
    <x:row r="601" ht="54" customHeight="1">
      <x:c r="A601" s="4" t="n">
        <x:v>600</x:v>
      </x:c>
      <x:c r="B601" s="4" t="str">
        <x:v>USER-0600</x:v>
      </x:c>
      <x:c r="C601" s="4" t="str">
        <x:v>M04 粉丝团、房管与成长等级</x:v>
      </x:c>
      <x:c r="D601" s="4" t="str">
        <x:v>贡献榜（用户视角）</x:v>
      </x:c>
      <x:c r="E601" s="4" t="str">
        <x:v>功能需求</x:v>
      </x:c>
      <x:c r="F601" s="4" t="str">
        <x:v>P1</x:v>
      </x:c>
      <x:c r="G601" s="4" t="str">
        <x:v>验证粉丝贡献榜切换本月</x:v>
      </x:c>
      <x:c r="H601" s="4" t="str">
        <x:v>粉丝贡献榜切换本月</x:v>
      </x:c>
      <x:c r="I601" s="4" t="str">
        <x:v>1. 已登录用户账号
2. 各周期已确定的有效统计结果不同</x:v>
      </x:c>
      <x:c r="J601" s="4" t="str">
        <x:v>1. 进入「贡献榜」页
2. 选择本月</x:v>
      </x:c>
      <x:c r="K601" s="4" t="str">
        <x:v>前三名、榜单及我的排名刷新为本月结果</x:v>
      </x:c>
      <x:c r="L601" s="4" t="str"/>
      <x:c r="M601" s="4" t="str">
        <x:v>未测</x:v>
      </x:c>
      <x:c r="N601" s="4" t="str"/>
      <x:c r="O601" s="4" t="str">
        <x:v>1. 来源：MainBasis/统一需求文档.md；U-fan-contribution-ranking-010
2. 场景：SC-7809ca5378b736</x:v>
      </x:c>
    </x:row>
    <x:row r="602" ht="54" customHeight="1">
      <x:c r="A602" s="4" t="n">
        <x:v>601</x:v>
      </x:c>
      <x:c r="B602" s="4" t="str">
        <x:v>USER-0601</x:v>
      </x:c>
      <x:c r="C602" s="4" t="str">
        <x:v>M04 粉丝团、房管与成长等级</x:v>
      </x:c>
      <x:c r="D602" s="4" t="str">
        <x:v>贡献榜（用户视角）</x:v>
      </x:c>
      <x:c r="E602" s="4" t="str">
        <x:v>功能需求</x:v>
      </x:c>
      <x:c r="F602" s="4" t="str">
        <x:v>P1</x:v>
      </x:c>
      <x:c r="G602" s="4" t="str">
        <x:v>验证粉丝贡献榜切换累计</x:v>
      </x:c>
      <x:c r="H602" s="4" t="str">
        <x:v>粉丝贡献榜切换累计</x:v>
      </x:c>
      <x:c r="I602" s="4" t="str">
        <x:v>1. 已登录用户账号
2. 各周期已确定的有效统计结果不同</x:v>
      </x:c>
      <x:c r="J602" s="4" t="str">
        <x:v>1. 进入「贡献榜」页
2. 选择累计</x:v>
      </x:c>
      <x:c r="K602" s="4" t="str">
        <x:v>前三名、榜单及我的排名刷新为累计结果</x:v>
      </x:c>
      <x:c r="L602" s="4" t="str"/>
      <x:c r="M602" s="4" t="str">
        <x:v>未测</x:v>
      </x:c>
      <x:c r="N602" s="4" t="str"/>
      <x:c r="O602" s="4" t="str">
        <x:v>1. 来源：MainBasis/统一需求文档.md；U-fan-contribution-ranking-010
2. 场景：SC-cb30d090d2337d</x:v>
      </x:c>
    </x:row>
    <x:row r="603" ht="54" customHeight="1">
      <x:c r="A603" s="4" t="n">
        <x:v>602</x:v>
      </x:c>
      <x:c r="B603" s="4" t="str">
        <x:v>USER-0602</x:v>
      </x:c>
      <x:c r="C603" s="4" t="str">
        <x:v>M04 粉丝团、房管与成长等级</x:v>
      </x:c>
      <x:c r="D603" s="4" t="str">
        <x:v>贡献榜（用户视角）</x:v>
      </x:c>
      <x:c r="E603" s="4" t="str">
        <x:v>功能需求</x:v>
      </x:c>
      <x:c r="F603" s="4" t="str">
        <x:v>P1</x:v>
      </x:c>
      <x:c r="G603" s="4" t="str">
        <x:v>验证已注销榜单账号只读</x:v>
      </x:c>
      <x:c r="H603" s="4" t="str">
        <x:v>已注销榜单账号只读</x:v>
      </x:c>
      <x:c r="I603" s="4" t="str">
        <x:v>1. 已登录用户账号
2. 榜单有贡献100的已注销账号</x:v>
      </x:c>
      <x:c r="J603" s="4" t="str">
        <x:v>1. 进入「贡献榜」页
2. 查看已注销榜单账号只读</x:v>
      </x:c>
      <x:c r="K603" s="4" t="str">
        <x:v>贡献100保留，名称为“账号已注销”，不能打开主页</x:v>
      </x:c>
      <x:c r="L603" s="4" t="str"/>
      <x:c r="M603" s="4" t="str">
        <x:v>未测</x:v>
      </x:c>
      <x:c r="N603" s="4" t="str"/>
      <x:c r="O603" s="4" t="str">
        <x:v>1. 来源：MainBasis/统一需求文档.md；U-fan-contribution-ranking-009
2. 场景：SC-b4ff8ad665d94f</x:v>
      </x:c>
    </x:row>
    <x:row r="604" ht="54" customHeight="1">
      <x:c r="A604" s="4" t="n">
        <x:v>603</x:v>
      </x:c>
      <x:c r="B604" s="4" t="str">
        <x:v>USER-0603</x:v>
      </x:c>
      <x:c r="C604" s="4" t="str">
        <x:v>M04 粉丝团、房管与成长等级</x:v>
      </x:c>
      <x:c r="D604" s="4" t="str">
        <x:v>房管管理（主播视角）</x:v>
      </x:c>
      <x:c r="E604" s="4" t="str">
        <x:v>功能需求</x:v>
      </x:c>
      <x:c r="F604" s="4" t="str">
        <x:v>P2</x:v>
      </x:c>
      <x:c r="G604" s="4" t="str">
        <x:v>验证房管回显</x:v>
      </x:c>
      <x:c r="H604" s="4" t="str">
        <x:v>房管回显</x:v>
      </x:c>
      <x:c r="I604" s="4" t="str">
        <x:v>1. 已登录主播账号
2. 所选对象存在，已记录该对象的房管值</x:v>
      </x:c>
      <x:c r="J604" s="4" t="str">
        <x:v>1. 进入「房管管理」页
2. 查看房管回显</x:v>
      </x:c>
      <x:c r="K604" s="4" t="str">
        <x:v>「房管」内容与所选对象的该项资料一致</x:v>
      </x:c>
      <x:c r="L604" s="4" t="str"/>
      <x:c r="M604" s="4" t="str">
        <x:v>未测</x:v>
      </x:c>
      <x:c r="N604" s="4" t="str"/>
      <x:c r="O604" s="4" t="str">
        <x:v>1. 来源：MainBasis/统一需求文档.md；U-moderator-management-002
2. 场景：SC-6b3c198cc4c7d9</x:v>
      </x:c>
    </x:row>
    <x:row r="605" ht="82" customHeight="1">
      <x:c r="A605" s="4" t="n">
        <x:v>604</x:v>
      </x:c>
      <x:c r="B605" s="4" t="str">
        <x:v>USER-0604</x:v>
      </x:c>
      <x:c r="C605" s="4" t="str">
        <x:v>M04 粉丝团、房管与成长等级</x:v>
      </x:c>
      <x:c r="D605" s="4" t="str">
        <x:v>房管管理（主播视角）</x:v>
      </x:c>
      <x:c r="E605" s="4" t="str">
        <x:v>功能需求</x:v>
      </x:c>
      <x:c r="F605" s="4" t="str">
        <x:v>P1</x:v>
      </x:c>
      <x:c r="G605" s="4" t="str">
        <x:v>验证房管已有0人添加</x:v>
      </x:c>
      <x:c r="H605" s="4" t="str">
        <x:v>房管已有0人添加</x:v>
      </x:c>
      <x:c r="I605" s="4" t="str">
        <x:v>1. 已登录主播账号
2. 当前有0名长期授权房管，目标用户未被拉黑且非房管</x:v>
      </x:c>
      <x:c r="J605" s="4" t="str">
        <x:v>1. 进入「房管管理」页
2. 点击添加房管
3. 按目标用户ID搜索
4. 确认添加该用户</x:v>
      </x:c>
      <x:c r="K605" s="4" t="str">
        <x:v>房管列表新增该用户，人数为1</x:v>
      </x:c>
      <x:c r="L605" s="4" t="str"/>
      <x:c r="M605" s="4" t="str">
        <x:v>未测</x:v>
      </x:c>
      <x:c r="N605" s="4" t="str"/>
      <x:c r="O605" s="4" t="str">
        <x:v>1. 来源：MainBasis/统一需求文档.md；U-moderator-management-003、U-moderator-management-009、U-views_live-room_audience-managers-003、D-SYS-101、U-live-room-host-007
2. 场景：SC-f8eec7add54cfe</x:v>
      </x:c>
    </x:row>
    <x:row r="606" ht="82" customHeight="1">
      <x:c r="A606" s="4" t="n">
        <x:v>605</x:v>
      </x:c>
      <x:c r="B606" s="4" t="str">
        <x:v>USER-0605</x:v>
      </x:c>
      <x:c r="C606" s="4" t="str">
        <x:v>M04 粉丝团、房管与成长等级</x:v>
      </x:c>
      <x:c r="D606" s="4" t="str">
        <x:v>房管管理（主播视角）</x:v>
      </x:c>
      <x:c r="E606" s="4" t="str">
        <x:v>功能需求</x:v>
      </x:c>
      <x:c r="F606" s="4" t="str">
        <x:v>P1</x:v>
      </x:c>
      <x:c r="G606" s="4" t="str">
        <x:v>验证房管已有2人添加</x:v>
      </x:c>
      <x:c r="H606" s="4" t="str">
        <x:v>房管已有2人添加</x:v>
      </x:c>
      <x:c r="I606" s="4" t="str">
        <x:v>1. 已登录主播账号
2. 当前有2名长期授权房管，目标用户未被拉黑且非房管</x:v>
      </x:c>
      <x:c r="J606" s="4" t="str">
        <x:v>1. 进入「房管管理」页
2. 点击添加房管
3. 按目标用户ID搜索
4. 确认添加该用户</x:v>
      </x:c>
      <x:c r="K606" s="4" t="str">
        <x:v>房管列表新增该用户，人数为3</x:v>
      </x:c>
      <x:c r="L606" s="4" t="str"/>
      <x:c r="M606" s="4" t="str">
        <x:v>未测</x:v>
      </x:c>
      <x:c r="N606" s="4" t="str"/>
      <x:c r="O606" s="4" t="str">
        <x:v>1. 来源：MainBasis/统一需求文档.md；U-moderator-management-003、U-moderator-management-009、U-views_live-room_audience-managers-003、D-SYS-101、U-live-room-host-007
2. 场景：SC-92f512aff94f6d</x:v>
      </x:c>
    </x:row>
    <x:row r="607" ht="82" customHeight="1">
      <x:c r="A607" s="4" t="n">
        <x:v>606</x:v>
      </x:c>
      <x:c r="B607" s="4" t="str">
        <x:v>USER-0606</x:v>
      </x:c>
      <x:c r="C607" s="4" t="str">
        <x:v>M04 粉丝团、房管与成长等级</x:v>
      </x:c>
      <x:c r="D607" s="4" t="str">
        <x:v>房管管理（主播视角）</x:v>
      </x:c>
      <x:c r="E607" s="4" t="str">
        <x:v>功能需求</x:v>
      </x:c>
      <x:c r="F607" s="4" t="str">
        <x:v>P1</x:v>
      </x:c>
      <x:c r="G607" s="4" t="str">
        <x:v>验证房管已有3人添加</x:v>
      </x:c>
      <x:c r="H607" s="4" t="str">
        <x:v>房管已有3人添加</x:v>
      </x:c>
      <x:c r="I607" s="4" t="str">
        <x:v>1. 已登录主播账号
2. 当前有3名长期授权房管，目标用户未被拉黑且非房管</x:v>
      </x:c>
      <x:c r="J607" s="4" t="str">
        <x:v>1. 进入「房管管理」页
2. 点击添加房管</x:v>
      </x:c>
      <x:c r="K607" s="4" t="str">
        <x:v>提示“已达3人上限”，房管仍为3人</x:v>
      </x:c>
      <x:c r="L607" s="4" t="str"/>
      <x:c r="M607" s="4" t="str">
        <x:v>未测</x:v>
      </x:c>
      <x:c r="N607" s="4" t="str"/>
      <x:c r="O607" s="4" t="str">
        <x:v>1. 来源：MainBasis/统一需求文档.md；U-moderator-management-003、U-moderator-management-009、U-views_live-room_audience-managers-003、D-SYS-101、U-live-room-host-007
2. 场景：SC-d8e299bac60210</x:v>
      </x:c>
    </x:row>
    <x:row r="608" ht="68" customHeight="1">
      <x:c r="A608" s="4" t="n">
        <x:v>607</x:v>
      </x:c>
      <x:c r="B608" s="4" t="str">
        <x:v>USER-0607</x:v>
      </x:c>
      <x:c r="C608" s="4" t="str">
        <x:v>M04 粉丝团、房管与成长等级</x:v>
      </x:c>
      <x:c r="D608" s="4" t="str">
        <x:v>房管管理（主播视角）</x:v>
      </x:c>
      <x:c r="E608" s="4" t="str">
        <x:v>功能需求</x:v>
      </x:c>
      <x:c r="F608" s="4" t="str">
        <x:v>P1</x:v>
      </x:c>
      <x:c r="G608" s="4" t="str">
        <x:v>验证房管搜索排除在直播间黑名单</x:v>
      </x:c>
      <x:c r="H608" s="4" t="str">
        <x:v>房管搜索排除在直播间黑名单</x:v>
      </x:c>
      <x:c r="I608" s="4" t="str">
        <x:v>1. 已登录主播账号
2. 目标用户在直播间黑名单</x:v>
      </x:c>
      <x:c r="J608" s="4" t="str">
        <x:v>1. 进入「房管管理」页
2. 点击添加房管
3. 搜索该用户ID</x:v>
      </x:c>
      <x:c r="K608" s="4" t="str">
        <x:v>搜索结果不包含该用户</x:v>
      </x:c>
      <x:c r="L608" s="4" t="str"/>
      <x:c r="M608" s="4" t="str">
        <x:v>未测</x:v>
      </x:c>
      <x:c r="N608" s="4" t="str"/>
      <x:c r="O608" s="4" t="str">
        <x:v>1. 来源：MainBasis/统一需求文档.md；U-moderator-management-004、U-moderator-management-009
2. 场景：SC-1349bf49e562c1</x:v>
      </x:c>
    </x:row>
    <x:row r="609" ht="68" customHeight="1">
      <x:c r="A609" s="4" t="n">
        <x:v>608</x:v>
      </x:c>
      <x:c r="B609" s="4" t="str">
        <x:v>USER-0608</x:v>
      </x:c>
      <x:c r="C609" s="4" t="str">
        <x:v>M04 粉丝团、房管与成长等级</x:v>
      </x:c>
      <x:c r="D609" s="4" t="str">
        <x:v>房管管理（主播视角）</x:v>
      </x:c>
      <x:c r="E609" s="4" t="str">
        <x:v>功能需求</x:v>
      </x:c>
      <x:c r="F609" s="4" t="str">
        <x:v>P1</x:v>
      </x:c>
      <x:c r="G609" s="4" t="str">
        <x:v>验证房管搜索排除双方有账号拉黑</x:v>
      </x:c>
      <x:c r="H609" s="4" t="str">
        <x:v>房管搜索排除双方有账号拉黑</x:v>
      </x:c>
      <x:c r="I609" s="4" t="str">
        <x:v>1. 已登录主播账号
2. 目标用户双方有账号拉黑</x:v>
      </x:c>
      <x:c r="J609" s="4" t="str">
        <x:v>1. 进入「房管管理」页
2. 点击添加房管
3. 搜索该用户ID</x:v>
      </x:c>
      <x:c r="K609" s="4" t="str">
        <x:v>搜索结果不包含该用户</x:v>
      </x:c>
      <x:c r="L609" s="4" t="str"/>
      <x:c r="M609" s="4" t="str">
        <x:v>未测</x:v>
      </x:c>
      <x:c r="N609" s="4" t="str"/>
      <x:c r="O609" s="4" t="str">
        <x:v>1. 来源：MainBasis/统一需求文档.md；U-moderator-management-004、U-moderator-management-009
2. 场景：SC-93d1a24a5b10ec</x:v>
      </x:c>
    </x:row>
    <x:row r="610" ht="68" customHeight="1">
      <x:c r="A610" s="4" t="n">
        <x:v>609</x:v>
      </x:c>
      <x:c r="B610" s="4" t="str">
        <x:v>USER-0609</x:v>
      </x:c>
      <x:c r="C610" s="4" t="str">
        <x:v>M04 粉丝团、房管与成长等级</x:v>
      </x:c>
      <x:c r="D610" s="4" t="str">
        <x:v>房管管理（主播视角）</x:v>
      </x:c>
      <x:c r="E610" s="4" t="str">
        <x:v>功能需求</x:v>
      </x:c>
      <x:c r="F610" s="4" t="str">
        <x:v>P1</x:v>
      </x:c>
      <x:c r="G610" s="4" t="str">
        <x:v>验证房管搜索排除已经是房管</x:v>
      </x:c>
      <x:c r="H610" s="4" t="str">
        <x:v>房管搜索排除已经是房管</x:v>
      </x:c>
      <x:c r="I610" s="4" t="str">
        <x:v>1. 已登录主播账号
2. 目标用户已经是房管</x:v>
      </x:c>
      <x:c r="J610" s="4" t="str">
        <x:v>1. 进入「房管管理」页
2. 点击添加房管
3. 搜索该用户ID</x:v>
      </x:c>
      <x:c r="K610" s="4" t="str">
        <x:v>搜索结果不包含该用户</x:v>
      </x:c>
      <x:c r="L610" s="4" t="str"/>
      <x:c r="M610" s="4" t="str">
        <x:v>未测</x:v>
      </x:c>
      <x:c r="N610" s="4" t="str"/>
      <x:c r="O610" s="4" t="str">
        <x:v>1. 来源：MainBasis/统一需求文档.md；U-moderator-management-004、U-moderator-management-009
2. 场景：SC-43bb48a71727e1</x:v>
      </x:c>
    </x:row>
    <x:row r="611" ht="54" customHeight="1">
      <x:c r="A611" s="4" t="n">
        <x:v>610</x:v>
      </x:c>
      <x:c r="B611" s="4" t="str">
        <x:v>USER-0610</x:v>
      </x:c>
      <x:c r="C611" s="4" t="str">
        <x:v>M04 粉丝团、房管与成长等级</x:v>
      </x:c>
      <x:c r="D611" s="4" t="str">
        <x:v>房管管理（主播视角）</x:v>
      </x:c>
      <x:c r="E611" s="4" t="str">
        <x:v>功能需求</x:v>
      </x:c>
      <x:c r="F611" s="4" t="str">
        <x:v>P1</x:v>
      </x:c>
      <x:c r="G611" s="4" t="str">
        <x:v>验证取消房管确认</x:v>
      </x:c>
      <x:c r="H611" s="4" t="str">
        <x:v>取消房管确认</x:v>
      </x:c>
      <x:c r="I611" s="4" t="str">
        <x:v>1. 已登录主播账号
2. 已有该用户房管授权</x:v>
      </x:c>
      <x:c r="J611" s="4" t="str">
        <x:v>1. 进入「房管管理」页
2. 点击取消房管
3. 点击确认</x:v>
      </x:c>
      <x:c r="K611" s="4" t="str">
        <x:v>该用户立即移出房管列表</x:v>
      </x:c>
      <x:c r="L611" s="4" t="str"/>
      <x:c r="M611" s="4" t="str">
        <x:v>未测</x:v>
      </x:c>
      <x:c r="N611" s="4" t="str"/>
      <x:c r="O611" s="4" t="str">
        <x:v>1. 来源：MainBasis/统一需求文档.md；U-moderator-management-009
2. 场景：SC-5e12926c5205b7</x:v>
      </x:c>
    </x:row>
    <x:row r="612" ht="54" customHeight="1">
      <x:c r="A612" s="4" t="n">
        <x:v>611</x:v>
      </x:c>
      <x:c r="B612" s="4" t="str">
        <x:v>USER-0611</x:v>
      </x:c>
      <x:c r="C612" s="4" t="str">
        <x:v>M04 粉丝团、房管与成长等级</x:v>
      </x:c>
      <x:c r="D612" s="4" t="str">
        <x:v>房管管理（主播视角）</x:v>
      </x:c>
      <x:c r="E612" s="4" t="str">
        <x:v>功能需求</x:v>
      </x:c>
      <x:c r="F612" s="4" t="str">
        <x:v>P1</x:v>
      </x:c>
      <x:c r="G612" s="4" t="str">
        <x:v>验证取消房管取消</x:v>
      </x:c>
      <x:c r="H612" s="4" t="str">
        <x:v>取消房管取消</x:v>
      </x:c>
      <x:c r="I612" s="4" t="str">
        <x:v>1. 已登录主播账号
2. 已有该用户房管授权</x:v>
      </x:c>
      <x:c r="J612" s="4" t="str">
        <x:v>1. 进入「房管管理」页
2. 点击取消房管
3. 点击取消</x:v>
      </x:c>
      <x:c r="K612" s="4" t="str">
        <x:v>该用户仍为房管</x:v>
      </x:c>
      <x:c r="L612" s="4" t="str"/>
      <x:c r="M612" s="4" t="str">
        <x:v>未测</x:v>
      </x:c>
      <x:c r="N612" s="4" t="str"/>
      <x:c r="O612" s="4" t="str">
        <x:v>1. 来源：MainBasis/统一需求文档.md；U-moderator-management-009
2. 场景：SC-41224147eec87f</x:v>
      </x:c>
    </x:row>
    <x:row r="613" ht="68" customHeight="1">
      <x:c r="A613" s="4" t="n">
        <x:v>612</x:v>
      </x:c>
      <x:c r="B613" s="4" t="str">
        <x:v>USER-0612</x:v>
      </x:c>
      <x:c r="C613" s="4" t="str">
        <x:v>M04 粉丝团、房管与成长等级</x:v>
      </x:c>
      <x:c r="D613" s="4" t="str">
        <x:v>房管管理（主播视角）</x:v>
      </x:c>
      <x:c r="E613" s="4" t="str">
        <x:v>功能需求</x:v>
      </x:c>
      <x:c r="F613" s="4" t="str">
        <x:v>P1</x:v>
      </x:c>
      <x:c r="G613" s="4" t="str">
        <x:v>验证结束场次保留长期房管</x:v>
      </x:c>
      <x:c r="H613" s="4" t="str">
        <x:v>结束场次保留长期房管</x:v>
      </x:c>
      <x:c r="I613" s="4" t="str">
        <x:v>1. 已登录主播账号
2. 该用户已授权房管，主播随后结束本场直播</x:v>
      </x:c>
      <x:c r="J613" s="4" t="str">
        <x:v>1. 进入「房管管理」页
2. 查看结束场次保留长期房管</x:v>
      </x:c>
      <x:c r="K613" s="4" t="str">
        <x:v>该用户房管授权仍有效</x:v>
      </x:c>
      <x:c r="L613" s="4" t="str"/>
      <x:c r="M613" s="4" t="str">
        <x:v>未测</x:v>
      </x:c>
      <x:c r="N613" s="4" t="str"/>
      <x:c r="O613" s="4" t="str">
        <x:v>1. 来源：MainBasis/统一需求文档.md；U-moderator-management-006、U-views_live-room-host_profile-host-007
2. 场景：SC-f14154655df234</x:v>
      </x:c>
    </x:row>
    <x:row r="614" ht="68" customHeight="1">
      <x:c r="A614" s="4" t="n">
        <x:v>613</x:v>
      </x:c>
      <x:c r="B614" s="4" t="str">
        <x:v>USER-0613</x:v>
      </x:c>
      <x:c r="C614" s="4" t="str">
        <x:v>M04 粉丝团、房管与成长等级</x:v>
      </x:c>
      <x:c r="D614" s="4" t="str">
        <x:v>房管管理（主播视角）</x:v>
      </x:c>
      <x:c r="E614" s="4" t="str">
        <x:v>功能需求</x:v>
      </x:c>
      <x:c r="F614" s="4" t="str">
        <x:v>P1</x:v>
      </x:c>
      <x:c r="G614" s="4" t="str">
        <x:v>验证取消拉黑不恢复房管</x:v>
      </x:c>
      <x:c r="H614" s="4" t="str">
        <x:v>取消拉黑不恢复房管</x:v>
      </x:c>
      <x:c r="I614" s="4" t="str">
        <x:v>1. 已登录主播账号
2. 房管因双方拉黑自动解除，现已取消拉黑</x:v>
      </x:c>
      <x:c r="J614" s="4" t="str">
        <x:v>1. 进入「房管管理」页
2. 查看取消拉黑不恢复房管</x:v>
      </x:c>
      <x:c r="K614" s="4" t="str">
        <x:v>该用户仍不在房管列表</x:v>
      </x:c>
      <x:c r="L614" s="4" t="str"/>
      <x:c r="M614" s="4" t="str">
        <x:v>未测</x:v>
      </x:c>
      <x:c r="N614" s="4" t="str"/>
      <x:c r="O614" s="4" t="str">
        <x:v>1. 来源：MainBasis/统一需求文档.md；U-moderator-management-005、U-views_live-room_audience-managers-004
2. 场景：SC-55edd61fb60a51</x:v>
      </x:c>
    </x:row>
    <x:row r="615" ht="54" customHeight="1">
      <x:c r="A615" s="4" t="n">
        <x:v>614</x:v>
      </x:c>
      <x:c r="B615" s="4" t="str">
        <x:v>USER-0614</x:v>
      </x:c>
      <x:c r="C615" s="4" t="str">
        <x:v>M04 粉丝团、房管与成长等级</x:v>
      </x:c>
      <x:c r="D615" s="4" t="str">
        <x:v>粉丝列表（主播视角）</x:v>
      </x:c>
      <x:c r="E615" s="4" t="str">
        <x:v>功能需求</x:v>
      </x:c>
      <x:c r="F615" s="4" t="str">
        <x:v>P2</x:v>
      </x:c>
      <x:c r="G615" s="4" t="str">
        <x:v>验证粉丝回显</x:v>
      </x:c>
      <x:c r="H615" s="4" t="str">
        <x:v>粉丝回显</x:v>
      </x:c>
      <x:c r="I615" s="4" t="str">
        <x:v>1. 已登录主播账号
2. 所选对象存在，已记录该对象的粉丝值</x:v>
      </x:c>
      <x:c r="J615" s="4" t="str">
        <x:v>1. 进入「粉丝列表」页
2. 查看粉丝回显</x:v>
      </x:c>
      <x:c r="K615" s="4" t="str">
        <x:v>「粉丝」内容与所选对象的该项资料一致</x:v>
      </x:c>
      <x:c r="L615" s="4" t="str"/>
      <x:c r="M615" s="4" t="str">
        <x:v>未测</x:v>
      </x:c>
      <x:c r="N615" s="4" t="str"/>
      <x:c r="O615" s="4" t="str">
        <x:v>1. 来源：MainBasis/统一需求文档.md；U-fan-list-002
2. 场景：SC-8dae32bf4ffc49</x:v>
      </x:c>
    </x:row>
    <x:row r="616" ht="68" customHeight="1">
      <x:c r="A616" s="4" t="n">
        <x:v>615</x:v>
      </x:c>
      <x:c r="B616" s="4" t="str">
        <x:v>USER-0615</x:v>
      </x:c>
      <x:c r="C616" s="4" t="str">
        <x:v>M04 粉丝团、房管与成长等级</x:v>
      </x:c>
      <x:c r="D616" s="4" t="str">
        <x:v>粉丝列表（主播视角）</x:v>
      </x:c>
      <x:c r="E616" s="4" t="str">
        <x:v>功能需求</x:v>
      </x:c>
      <x:c r="F616" s="4" t="str">
        <x:v>P1</x:v>
      </x:c>
      <x:c r="G616" s="4" t="str">
        <x:v>验证主播粉丝列表新增关注</x:v>
      </x:c>
      <x:c r="H616" s="4" t="str">
        <x:v>主播粉丝列表新增关注</x:v>
      </x:c>
      <x:c r="I616" s="4" t="str">
        <x:v>1. 已登录主播账号
2. 目标账号原始关系与该动作相符
3. 目标账号刚完成新增关注</x:v>
      </x:c>
      <x:c r="J616" s="4" t="str">
        <x:v>1. 进入「粉丝列表」页
2. 查看主播粉丝列表新增关注</x:v>
      </x:c>
      <x:c r="K616" s="4" t="str">
        <x:v>粉丝列表包含该账号</x:v>
      </x:c>
      <x:c r="L616" s="4" t="str"/>
      <x:c r="M616" s="4" t="str">
        <x:v>未测</x:v>
      </x:c>
      <x:c r="N616" s="4" t="str"/>
      <x:c r="O616" s="4" t="str">
        <x:v>1. 来源：MainBasis/统一需求文档.md；U-fan-list-005、U-fan-list-007、U-follower-list-006
2. 场景：SC-51f6693bb10a0b</x:v>
      </x:c>
    </x:row>
    <x:row r="617" ht="68" customHeight="1">
      <x:c r="A617" s="4" t="n">
        <x:v>616</x:v>
      </x:c>
      <x:c r="B617" s="4" t="str">
        <x:v>USER-0616</x:v>
      </x:c>
      <x:c r="C617" s="4" t="str">
        <x:v>M04 粉丝团、房管与成长等级</x:v>
      </x:c>
      <x:c r="D617" s="4" t="str">
        <x:v>粉丝列表（主播视角）</x:v>
      </x:c>
      <x:c r="E617" s="4" t="str">
        <x:v>功能需求</x:v>
      </x:c>
      <x:c r="F617" s="4" t="str">
        <x:v>P1</x:v>
      </x:c>
      <x:c r="G617" s="4" t="str">
        <x:v>验证主播粉丝列表取消关注</x:v>
      </x:c>
      <x:c r="H617" s="4" t="str">
        <x:v>主播粉丝列表取消关注</x:v>
      </x:c>
      <x:c r="I617" s="4" t="str">
        <x:v>1. 已登录主播账号
2. 目标账号原始关系与该动作相符
3. 目标账号刚完成取消关注</x:v>
      </x:c>
      <x:c r="J617" s="4" t="str">
        <x:v>1. 进入「粉丝列表」页
2. 查看主播粉丝列表取消关注</x:v>
      </x:c>
      <x:c r="K617" s="4" t="str">
        <x:v>粉丝列表不包含该账号</x:v>
      </x:c>
      <x:c r="L617" s="4" t="str"/>
      <x:c r="M617" s="4" t="str">
        <x:v>未测</x:v>
      </x:c>
      <x:c r="N617" s="4" t="str"/>
      <x:c r="O617" s="4" t="str">
        <x:v>1. 来源：MainBasis/统一需求文档.md；U-fan-list-005、U-fan-list-007、U-follower-list-006
2. 场景：SC-77457b1907c3e6</x:v>
      </x:c>
    </x:row>
    <x:row r="618" ht="68" customHeight="1">
      <x:c r="A618" s="4" t="n">
        <x:v>617</x:v>
      </x:c>
      <x:c r="B618" s="4" t="str">
        <x:v>USER-0617</x:v>
      </x:c>
      <x:c r="C618" s="4" t="str">
        <x:v>M04 粉丝团、房管与成长等级</x:v>
      </x:c>
      <x:c r="D618" s="4" t="str">
        <x:v>粉丝列表（主播视角）</x:v>
      </x:c>
      <x:c r="E618" s="4" t="str">
        <x:v>功能需求</x:v>
      </x:c>
      <x:c r="F618" s="4" t="str">
        <x:v>P1</x:v>
      </x:c>
      <x:c r="G618" s="4" t="str">
        <x:v>验证主播粉丝列表拉黑主播</x:v>
      </x:c>
      <x:c r="H618" s="4" t="str">
        <x:v>主播粉丝列表拉黑主播</x:v>
      </x:c>
      <x:c r="I618" s="4" t="str">
        <x:v>1. 已登录主播账号
2. 目标账号原始关系与该动作相符
3. 目标账号刚完成拉黑主播</x:v>
      </x:c>
      <x:c r="J618" s="4" t="str">
        <x:v>1. 进入「粉丝列表」页
2. 查看主播粉丝列表拉黑主播</x:v>
      </x:c>
      <x:c r="K618" s="4" t="str">
        <x:v>粉丝列表不包含该账号</x:v>
      </x:c>
      <x:c r="L618" s="4" t="str"/>
      <x:c r="M618" s="4" t="str">
        <x:v>未测</x:v>
      </x:c>
      <x:c r="N618" s="4" t="str"/>
      <x:c r="O618" s="4" t="str">
        <x:v>1. 来源：MainBasis/统一需求文档.md；U-fan-list-005、U-fan-list-007、U-follower-list-006
2. 场景：SC-4cae04b523d9f4</x:v>
      </x:c>
    </x:row>
    <x:row r="619" ht="54" customHeight="1">
      <x:c r="A619" s="4" t="n">
        <x:v>618</x:v>
      </x:c>
      <x:c r="B619" s="4" t="str">
        <x:v>USER-0618</x:v>
      </x:c>
      <x:c r="C619" s="4" t="str">
        <x:v>M04 粉丝团、房管与成长等级</x:v>
      </x:c>
      <x:c r="D619" s="4" t="str">
        <x:v>粉丝列表（主播视角）</x:v>
      </x:c>
      <x:c r="E619" s="4" t="str">
        <x:v>功能需求</x:v>
      </x:c>
      <x:c r="F619" s="4" t="str">
        <x:v>P1</x:v>
      </x:c>
      <x:c r="G619" s="4" t="str">
        <x:v>验证粉丝装扮过期移除</x:v>
      </x:c>
      <x:c r="H619" s="4" t="str">
        <x:v>粉丝装扮过期移除</x:v>
      </x:c>
      <x:c r="I619" s="4" t="str">
        <x:v>1. 已登录主播账号
2. 目标粉丝展示的代表性装扮刚过期</x:v>
      </x:c>
      <x:c r="J619" s="4" t="str">
        <x:v>1. 进入「粉丝列表」页
2. 查看粉丝装扮过期移除</x:v>
      </x:c>
      <x:c r="K619" s="4" t="str">
        <x:v>该装扮不再展示</x:v>
      </x:c>
      <x:c r="L619" s="4" t="str"/>
      <x:c r="M619" s="4" t="str">
        <x:v>未测</x:v>
      </x:c>
      <x:c r="N619" s="4" t="str"/>
      <x:c r="O619" s="4" t="str">
        <x:v>1. 来源：MainBasis/统一需求文档.md；U-fan-list-004
2. 场景：SC-0367804e5ad2a4</x:v>
      </x:c>
    </x:row>
    <x:row r="620" ht="54" customHeight="1">
      <x:c r="A620" s="4" t="n">
        <x:v>619</x:v>
      </x:c>
      <x:c r="B620" s="4" t="str">
        <x:v>USER-0619</x:v>
      </x:c>
      <x:c r="C620" s="4" t="str">
        <x:v>M04 粉丝团、房管与成长等级</x:v>
      </x:c>
      <x:c r="D620" s="4" t="str">
        <x:v>粉丝列表（主播视角）</x:v>
      </x:c>
      <x:c r="E620" s="4" t="str">
        <x:v>功能需求</x:v>
      </x:c>
      <x:c r="F620" s="4" t="str">
        <x:v>P2</x:v>
      </x:c>
      <x:c r="G620" s="4" t="str">
        <x:v>验证用户头像入口</x:v>
      </x:c>
      <x:c r="H620" s="4" t="str">
        <x:v>用户头像入口</x:v>
      </x:c>
      <x:c r="I620" s="4" t="str">
        <x:v>1. 已登录主播账号</x:v>
      </x:c>
      <x:c r="J620" s="4" t="str">
        <x:v>1. 进入「粉丝列表」页
2. 点击「用户头像」</x:v>
      </x:c>
      <x:c r="K620" s="4" t="str">
        <x:v>页面进入「对应用户主页」</x:v>
      </x:c>
      <x:c r="L620" s="4" t="str"/>
      <x:c r="M620" s="4" t="str">
        <x:v>未测</x:v>
      </x:c>
      <x:c r="N620" s="4" t="str"/>
      <x:c r="O620" s="4" t="str">
        <x:v>1. 来源：MainBasis/统一需求文档.md；U-fan-list-007
2. 场景：SC-e2d8c45da20173</x:v>
      </x:c>
    </x:row>
    <x:row r="621" ht="54" customHeight="1">
      <x:c r="A621" s="4" t="n">
        <x:v>620</x:v>
      </x:c>
      <x:c r="B621" s="4" t="str">
        <x:v>USER-0620</x:v>
      </x:c>
      <x:c r="C621" s="4" t="str">
        <x:v>M04 粉丝团、房管与成长等级</x:v>
      </x:c>
      <x:c r="D621" s="4" t="str">
        <x:v>粉丝团（主播视角）</x:v>
      </x:c>
      <x:c r="E621" s="4" t="str">
        <x:v>功能需求</x:v>
      </x:c>
      <x:c r="F621" s="4" t="str">
        <x:v>P2</x:v>
      </x:c>
      <x:c r="G621" s="4" t="str">
        <x:v>验证成员回显</x:v>
      </x:c>
      <x:c r="H621" s="4" t="str">
        <x:v>成员回显</x:v>
      </x:c>
      <x:c r="I621" s="4" t="str">
        <x:v>1. 已登录主播账号
2. 所选对象存在，已记录该对象的成员值</x:v>
      </x:c>
      <x:c r="J621" s="4" t="str">
        <x:v>1. 进入「粉丝团」页
2. 查看成员回显</x:v>
      </x:c>
      <x:c r="K621" s="4" t="str">
        <x:v>「成员」内容与所选对象的该项资料一致</x:v>
      </x:c>
      <x:c r="L621" s="4" t="str"/>
      <x:c r="M621" s="4" t="str">
        <x:v>未测</x:v>
      </x:c>
      <x:c r="N621" s="4" t="str"/>
      <x:c r="O621" s="4" t="str">
        <x:v>1. 来源：MainBasis/统一需求文档.md；U-fan-club-002
2. 场景：SC-b34dc75a92d8f2</x:v>
      </x:c>
    </x:row>
    <x:row r="622" ht="68" customHeight="1">
      <x:c r="A622" s="4" t="n">
        <x:v>621</x:v>
      </x:c>
      <x:c r="B622" s="4" t="str">
        <x:v>USER-0621</x:v>
      </x:c>
      <x:c r="C622" s="4" t="str">
        <x:v>M04 粉丝团、房管与成长等级</x:v>
      </x:c>
      <x:c r="D622" s="4" t="str">
        <x:v>粉丝团（主播视角）</x:v>
      </x:c>
      <x:c r="E622" s="4" t="str">
        <x:v>功能需求</x:v>
      </x:c>
      <x:c r="F622" s="4" t="str">
        <x:v>P1</x:v>
      </x:c>
      <x:c r="G622" s="4" t="str">
        <x:v>验证移除粉丝成员确认</x:v>
      </x:c>
      <x:c r="H622" s="4" t="str">
        <x:v>移除粉丝成员确认</x:v>
      </x:c>
      <x:c r="I622" s="4" t="str">
        <x:v>1. 已登录主播账号
2. 本团有2名有效成员</x:v>
      </x:c>
      <x:c r="J622" s="4" t="str">
        <x:v>1. 进入「粉丝团」页
2. 左滑目标成员
3. 点击移除
4. 点击确认</x:v>
      </x:c>
      <x:c r="K622" s="4" t="str">
        <x:v>目标成员移出，本团成员数为1</x:v>
      </x:c>
      <x:c r="L622" s="4" t="str">
        <x:v>FLOW-FD3B32C9</x:v>
      </x:c>
      <x:c r="M622" s="4" t="str">
        <x:v>未测</x:v>
      </x:c>
      <x:c r="N622" s="4" t="str"/>
      <x:c r="O622" s="4" t="str">
        <x:v>1. 来源：MainBasis/统一需求文档.md；U-fan-club-010
2. 场景：SC-b1013922006be1
3. 状态转换：ST-D1693E7B9FB6</x:v>
      </x:c>
    </x:row>
    <x:row r="623" ht="68" customHeight="1">
      <x:c r="A623" s="4" t="n">
        <x:v>622</x:v>
      </x:c>
      <x:c r="B623" s="4" t="str">
        <x:v>USER-0622</x:v>
      </x:c>
      <x:c r="C623" s="4" t="str">
        <x:v>M04 粉丝团、房管与成长等级</x:v>
      </x:c>
      <x:c r="D623" s="4" t="str">
        <x:v>粉丝团（主播视角）</x:v>
      </x:c>
      <x:c r="E623" s="4" t="str">
        <x:v>功能需求</x:v>
      </x:c>
      <x:c r="F623" s="4" t="str">
        <x:v>P1</x:v>
      </x:c>
      <x:c r="G623" s="4" t="str">
        <x:v>验证移除粉丝成员取消</x:v>
      </x:c>
      <x:c r="H623" s="4" t="str">
        <x:v>移除粉丝成员取消</x:v>
      </x:c>
      <x:c r="I623" s="4" t="str">
        <x:v>1. 已登录主播账号
2. 本团有2名有效成员</x:v>
      </x:c>
      <x:c r="J623" s="4" t="str">
        <x:v>1. 进入「粉丝团」页
2. 左滑目标成员
3. 点击移除
4. 点击取消</x:v>
      </x:c>
      <x:c r="K623" s="4" t="str">
        <x:v>目标成员仍在团，本团成员数为2</x:v>
      </x:c>
      <x:c r="L623" s="4" t="str">
        <x:v>FLOW-FD3B32C9</x:v>
      </x:c>
      <x:c r="M623" s="4" t="str">
        <x:v>未测</x:v>
      </x:c>
      <x:c r="N623" s="4" t="str"/>
      <x:c r="O623" s="4" t="str">
        <x:v>1. 来源：MainBasis/统一需求文档.md；U-fan-club-010
2. 场景：SC-4bdda6878ebc9c
3. 状态转换：ST-D1693E7B9FB6</x:v>
      </x:c>
    </x:row>
    <x:row r="624" ht="54" customHeight="1">
      <x:c r="A624" s="4" t="n">
        <x:v>623</x:v>
      </x:c>
      <x:c r="B624" s="4" t="str">
        <x:v>USER-0623</x:v>
      </x:c>
      <x:c r="C624" s="4" t="str">
        <x:v>M04 粉丝团、房管与成长等级</x:v>
      </x:c>
      <x:c r="D624" s="4" t="str">
        <x:v>粉丝团（主播视角）</x:v>
      </x:c>
      <x:c r="E624" s="4" t="str">
        <x:v>功能需求</x:v>
      </x:c>
      <x:c r="F624" s="4" t="str">
        <x:v>P2</x:v>
      </x:c>
      <x:c r="G624" s="4" t="str">
        <x:v>验证粉丝团设置入口</x:v>
      </x:c>
      <x:c r="H624" s="4" t="str">
        <x:v>粉丝团设置入口</x:v>
      </x:c>
      <x:c r="I624" s="4" t="str">
        <x:v>1. 已登录主播账号</x:v>
      </x:c>
      <x:c r="J624" s="4" t="str">
        <x:v>1. 进入「粉丝团」页
2. 点击「粉丝团设置」</x:v>
      </x:c>
      <x:c r="K624" s="4" t="str">
        <x:v>页面进入「粉丝团设置」</x:v>
      </x:c>
      <x:c r="L624" s="4" t="str"/>
      <x:c r="M624" s="4" t="str">
        <x:v>未测</x:v>
      </x:c>
      <x:c r="N624" s="4" t="str"/>
      <x:c r="O624" s="4" t="str">
        <x:v>1. 来源：MainBasis/统一需求文档.md；U-fan-club-011
2. 场景：SC-c66fe37389974a</x:v>
      </x:c>
    </x:row>
    <x:row r="625" ht="82" customHeight="1">
      <x:c r="A625" s="4" t="n">
        <x:v>624</x:v>
      </x:c>
      <x:c r="B625" s="4" t="str">
        <x:v>USER-0624</x:v>
      </x:c>
      <x:c r="C625" s="4" t="str">
        <x:v>M04 粉丝团、房管与成长等级</x:v>
      </x:c>
      <x:c r="D625" s="4" t="str">
        <x:v>粉丝团（主播视角）</x:v>
      </x:c>
      <x:c r="E625" s="4" t="str">
        <x:v>功能需求</x:v>
      </x:c>
      <x:c r="F625" s="4" t="str">
        <x:v>P1</x:v>
      </x:c>
      <x:c r="G625" s="4" t="str">
        <x:v>验证退会通过影响粉丝团</x:v>
      </x:c>
      <x:c r="H625" s="4" t="str">
        <x:v>退会通过影响粉丝团</x:v>
      </x:c>
      <x:c r="I625" s="4" t="str">
        <x:v>1. 已登录主播账号
2. 目标主播有在播场次及粉丝团，收益已结清，公会已完成退会通过</x:v>
      </x:c>
      <x:c r="J625" s="4" t="str">
        <x:v>1. 进入「粉丝团」页
2. 查看退会通过影响粉丝团</x:v>
      </x:c>
      <x:c r="K625" s="4" t="str">
        <x:v>原粉丝团解散</x:v>
      </x:c>
      <x:c r="L625" s="4" t="str">
        <x:v>FLOW-289CDBD1</x:v>
      </x:c>
      <x:c r="M625" s="4" t="str">
        <x:v>未测</x:v>
      </x:c>
      <x:c r="N625" s="4" t="str"/>
      <x:c r="O625" s="4" t="str">
        <x:v>1. 来源：MainBasis/统一需求文档.md；U-guild-leave-application-006、U-guild-detail-015
2. 场景：SC-012bbeec25b41a
3. 状态转换：ST-D5B9B34DDEFD</x:v>
      </x:c>
    </x:row>
    <x:row r="626" ht="82" customHeight="1">
      <x:c r="A626" s="4" t="n">
        <x:v>625</x:v>
      </x:c>
      <x:c r="B626" s="4" t="str">
        <x:v>USER-0625</x:v>
      </x:c>
      <x:c r="C626" s="4" t="str">
        <x:v>M04 粉丝团、房管与成长等级</x:v>
      </x:c>
      <x:c r="D626" s="4" t="str">
        <x:v>粉丝团（主播视角）</x:v>
      </x:c>
      <x:c r="E626" s="4" t="str">
        <x:v>功能需求</x:v>
      </x:c>
      <x:c r="F626" s="4" t="str">
        <x:v>P1</x:v>
      </x:c>
      <x:c r="G626" s="4" t="str">
        <x:v>验证公会移出影响粉丝团</x:v>
      </x:c>
      <x:c r="H626" s="4" t="str">
        <x:v>公会移出影响粉丝团</x:v>
      </x:c>
      <x:c r="I626" s="4" t="str">
        <x:v>1. 已登录主播账号
2. 目标主播有在播场次及粉丝团，收益已结清，公会已完成公会移出</x:v>
      </x:c>
      <x:c r="J626" s="4" t="str">
        <x:v>1. 进入「粉丝团」页
2. 查看公会移出影响粉丝团</x:v>
      </x:c>
      <x:c r="K626" s="4" t="str">
        <x:v>原粉丝团解散</x:v>
      </x:c>
      <x:c r="L626" s="4" t="str">
        <x:v>FLOW-EA7D49B9</x:v>
      </x:c>
      <x:c r="M626" s="4" t="str">
        <x:v>未测</x:v>
      </x:c>
      <x:c r="N626" s="4" t="str"/>
      <x:c r="O626" s="4" t="str">
        <x:v>1. 来源：MainBasis/统一需求文档.md；U-guild-leave-application-006、U-guild-detail-015
2. 场景：SC-1ceedadf496264
3. 状态转换：ST-6CB4EB33D1A6</x:v>
      </x:c>
    </x:row>
    <x:row r="627" ht="54" customHeight="1">
      <x:c r="A627" s="4" t="n">
        <x:v>626</x:v>
      </x:c>
      <x:c r="B627" s="4" t="str">
        <x:v>USER-0626</x:v>
      </x:c>
      <x:c r="C627" s="4" t="str">
        <x:v>M04 粉丝团、房管与成长等级</x:v>
      </x:c>
      <x:c r="D627" s="4" t="str">
        <x:v>粉丝团（主播视角）</x:v>
      </x:c>
      <x:c r="E627" s="4" t="str">
        <x:v>功能需求</x:v>
      </x:c>
      <x:c r="F627" s="4" t="str">
        <x:v>P1</x:v>
      </x:c>
      <x:c r="G627" s="4" t="str">
        <x:v>验证团设置加入条件回显</x:v>
      </x:c>
      <x:c r="H627" s="4" t="str">
        <x:v>团设置加入条件回显</x:v>
      </x:c>
      <x:c r="I627" s="4" t="str">
        <x:v>1. 已登录主播账号
2. 当前配置需要关注、累计贡献100</x:v>
      </x:c>
      <x:c r="J627" s="4" t="str">
        <x:v>1. 进入「粉丝团」页
2. 查看团设置加入条件回显</x:v>
      </x:c>
      <x:c r="K627" s="4" t="str">
        <x:v>加入条件展示需要关注及100贡献门槛</x:v>
      </x:c>
      <x:c r="L627" s="4" t="str"/>
      <x:c r="M627" s="4" t="str">
        <x:v>未测</x:v>
      </x:c>
      <x:c r="N627" s="4" t="str"/>
      <x:c r="O627" s="4" t="str">
        <x:v>1. 来源：MainBasis/统一需求文档.md；U-fan-club-004
2. 场景：SC-e106d7ea8ecbe7</x:v>
      </x:c>
    </x:row>
    <x:row r="628" ht="54" customHeight="1">
      <x:c r="A628" s="4" t="n">
        <x:v>627</x:v>
      </x:c>
      <x:c r="B628" s="4" t="str">
        <x:v>USER-0627</x:v>
      </x:c>
      <x:c r="C628" s="4" t="str">
        <x:v>M04 粉丝团、房管与成长等级</x:v>
      </x:c>
      <x:c r="D628" s="4" t="str">
        <x:v>粉丝团（主播视角）</x:v>
      </x:c>
      <x:c r="E628" s="4" t="str">
        <x:v>功能需求</x:v>
      </x:c>
      <x:c r="F628" s="4" t="str">
        <x:v>P1</x:v>
      </x:c>
      <x:c r="G628" s="4" t="str">
        <x:v>验证粉丝成员仅有效团籍</x:v>
      </x:c>
      <x:c r="H628" s="4" t="str">
        <x:v>粉丝成员仅有效团籍</x:v>
      </x:c>
      <x:c r="I628" s="4" t="str">
        <x:v>1. 已登录主播账号
2. 当前团2名有效成员、1名已退团成员，另一团另有成员</x:v>
      </x:c>
      <x:c r="J628" s="4" t="str">
        <x:v>1. 进入「粉丝团」页
2. 查看粉丝成员仅有效团籍</x:v>
      </x:c>
      <x:c r="K628" s="4" t="str">
        <x:v>仅显示当前团2名有效成员</x:v>
      </x:c>
      <x:c r="L628" s="4" t="str"/>
      <x:c r="M628" s="4" t="str">
        <x:v>未测</x:v>
      </x:c>
      <x:c r="N628" s="4" t="str"/>
      <x:c r="O628" s="4" t="str">
        <x:v>1. 来源：MainBasis/统一需求文档.md；U-fan-club-007
2. 场景：SC-9ed692d28dd79a</x:v>
      </x:c>
    </x:row>
    <x:row r="629" ht="54" customHeight="1">
      <x:c r="A629" s="4" t="n">
        <x:v>628</x:v>
      </x:c>
      <x:c r="B629" s="4" t="str">
        <x:v>USER-0628</x:v>
      </x:c>
      <x:c r="C629" s="4" t="str">
        <x:v>M04 粉丝团、房管与成长等级</x:v>
      </x:c>
      <x:c r="D629" s="4" t="str">
        <x:v>粉丝团（主播视角）</x:v>
      </x:c>
      <x:c r="E629" s="4" t="str">
        <x:v>功能需求</x:v>
      </x:c>
      <x:c r="F629" s="4" t="str">
        <x:v>P1</x:v>
      </x:c>
      <x:c r="G629" s="4" t="str">
        <x:v>验证选择累计最多成员视角</x:v>
      </x:c>
      <x:c r="H629" s="4" t="str">
        <x:v>选择累计最多成员视角</x:v>
      </x:c>
      <x:c r="I629" s="4" t="str">
        <x:v>1. 已登录主播账号
2. 当前主播粉丝团存在两名有效成员</x:v>
      </x:c>
      <x:c r="J629" s="4" t="str">
        <x:v>1. 进入「粉丝团」页
2. 点击「累计最多」</x:v>
      </x:c>
      <x:c r="K629" s="4" t="str">
        <x:v>当前选中「累计最多」，列表仍为本团有效成员</x:v>
      </x:c>
      <x:c r="L629" s="4" t="str"/>
      <x:c r="M629" s="4" t="str">
        <x:v>未测</x:v>
      </x:c>
      <x:c r="N629" s="4" t="str"/>
      <x:c r="O629" s="4" t="str">
        <x:v>1. 来源：MainBasis/统一需求文档.md；U-fan-club-009
2. 场景：SC-8cc17912557389</x:v>
      </x:c>
    </x:row>
    <x:row r="630" ht="54" customHeight="1">
      <x:c r="A630" s="4" t="n">
        <x:v>629</x:v>
      </x:c>
      <x:c r="B630" s="4" t="str">
        <x:v>USER-0629</x:v>
      </x:c>
      <x:c r="C630" s="4" t="str">
        <x:v>M04 粉丝团、房管与成长等级</x:v>
      </x:c>
      <x:c r="D630" s="4" t="str">
        <x:v>粉丝团（主播视角）</x:v>
      </x:c>
      <x:c r="E630" s="4" t="str">
        <x:v>功能需求</x:v>
      </x:c>
      <x:c r="F630" s="4" t="str">
        <x:v>P1</x:v>
      </x:c>
      <x:c r="G630" s="4" t="str">
        <x:v>验证选择本月最多成员视角</x:v>
      </x:c>
      <x:c r="H630" s="4" t="str">
        <x:v>选择本月最多成员视角</x:v>
      </x:c>
      <x:c r="I630" s="4" t="str">
        <x:v>1. 已登录主播账号
2. 当前主播粉丝团存在两名有效成员</x:v>
      </x:c>
      <x:c r="J630" s="4" t="str">
        <x:v>1. 进入「粉丝团」页
2. 点击「本月最多」</x:v>
      </x:c>
      <x:c r="K630" s="4" t="str">
        <x:v>当前选中「本月最多」，列表仍为本团有效成员</x:v>
      </x:c>
      <x:c r="L630" s="4" t="str"/>
      <x:c r="M630" s="4" t="str">
        <x:v>未测</x:v>
      </x:c>
      <x:c r="N630" s="4" t="str"/>
      <x:c r="O630" s="4" t="str">
        <x:v>1. 来源：MainBasis/统一需求文档.md；U-fan-club-009
2. 场景：SC-ea2d7e57467eaf</x:v>
      </x:c>
    </x:row>
    <x:row r="631" ht="54" customHeight="1">
      <x:c r="A631" s="4" t="n">
        <x:v>630</x:v>
      </x:c>
      <x:c r="B631" s="4" t="str">
        <x:v>USER-0630</x:v>
      </x:c>
      <x:c r="C631" s="4" t="str">
        <x:v>M04 粉丝团、房管与成长等级</x:v>
      </x:c>
      <x:c r="D631" s="4" t="str">
        <x:v>粉丝团（主播视角）</x:v>
      </x:c>
      <x:c r="E631" s="4" t="str">
        <x:v>功能需求</x:v>
      </x:c>
      <x:c r="F631" s="4" t="str">
        <x:v>P1</x:v>
      </x:c>
      <x:c r="G631" s="4" t="str">
        <x:v>验证选择最新加入成员视角</x:v>
      </x:c>
      <x:c r="H631" s="4" t="str">
        <x:v>选择最新加入成员视角</x:v>
      </x:c>
      <x:c r="I631" s="4" t="str">
        <x:v>1. 已登录主播账号
2. 当前主播粉丝团存在两名有效成员</x:v>
      </x:c>
      <x:c r="J631" s="4" t="str">
        <x:v>1. 进入「粉丝团」页
2. 点击「最新加入」</x:v>
      </x:c>
      <x:c r="K631" s="4" t="str">
        <x:v>当前选中「最新加入」，列表仍为本团有效成员</x:v>
      </x:c>
      <x:c r="L631" s="4" t="str"/>
      <x:c r="M631" s="4" t="str">
        <x:v>未测</x:v>
      </x:c>
      <x:c r="N631" s="4" t="str"/>
      <x:c r="O631" s="4" t="str">
        <x:v>1. 来源：MainBasis/统一需求文档.md；U-fan-club-009
2. 场景：SC-d3a6f04455ee62</x:v>
      </x:c>
    </x:row>
    <x:row r="632" ht="54" customHeight="1">
      <x:c r="A632" s="4" t="n">
        <x:v>631</x:v>
      </x:c>
      <x:c r="B632" s="4" t="str">
        <x:v>USER-0631</x:v>
      </x:c>
      <x:c r="C632" s="4" t="str">
        <x:v>M04 粉丝团、房管与成长等级</x:v>
      </x:c>
      <x:c r="D632" s="4" t="str">
        <x:v>单人禁言确认（主播视角）</x:v>
      </x:c>
      <x:c r="E632" s="4" t="str">
        <x:v>功能需求</x:v>
      </x:c>
      <x:c r="F632" s="4" t="str">
        <x:v>P2</x:v>
      </x:c>
      <x:c r="G632" s="4" t="str">
        <x:v>验证确认对象回显</x:v>
      </x:c>
      <x:c r="H632" s="4" t="str">
        <x:v>确认对象回显</x:v>
      </x:c>
      <x:c r="I632" s="4" t="str">
        <x:v>1. 已登录主播账号
2. 所选对象存在，已记录该对象的确认对象值</x:v>
      </x:c>
      <x:c r="J632" s="4" t="str">
        <x:v>1. 进入「粉丝团」页
2. 打开「单人禁言确认」视图
3. 查看确认对象回显</x:v>
      </x:c>
      <x:c r="K632" s="4" t="str">
        <x:v>「确认对象」内容与所选对象的该项资料一致</x:v>
      </x:c>
      <x:c r="L632" s="4" t="str"/>
      <x:c r="M632" s="4" t="str">
        <x:v>未测</x:v>
      </x:c>
      <x:c r="N632" s="4" t="str"/>
      <x:c r="O632" s="4" t="str">
        <x:v>1. 来源：MainBasis/统一需求文档.md；U-views_fan-club_member-mute-confirm-002
2. 场景：SC-b98cc6b1f4df4c</x:v>
      </x:c>
    </x:row>
    <x:row r="633" ht="54" customHeight="1">
      <x:c r="A633" s="4" t="n">
        <x:v>632</x:v>
      </x:c>
      <x:c r="B633" s="4" t="str">
        <x:v>USER-0632</x:v>
      </x:c>
      <x:c r="C633" s="4" t="str">
        <x:v>M04 粉丝团、房管与成长等级</x:v>
      </x:c>
      <x:c r="D633" s="4" t="str">
        <x:v>单人禁言确认（主播视角）</x:v>
      </x:c>
      <x:c r="E633" s="4" t="str">
        <x:v>功能需求</x:v>
      </x:c>
      <x:c r="F633" s="4" t="str">
        <x:v>P2</x:v>
      </x:c>
      <x:c r="G633" s="4" t="str">
        <x:v>验证操作回显</x:v>
      </x:c>
      <x:c r="H633" s="4" t="str">
        <x:v>操作回显</x:v>
      </x:c>
      <x:c r="I633" s="4" t="str">
        <x:v>1. 已登录主播账号
2. 所选对象存在，已记录该对象的操作值</x:v>
      </x:c>
      <x:c r="J633" s="4" t="str">
        <x:v>1. 进入「粉丝团」页
2. 打开「单人禁言确认」视图
3. 查看操作回显</x:v>
      </x:c>
      <x:c r="K633" s="4" t="str">
        <x:v>「操作」内容与所选对象的该项资料一致</x:v>
      </x:c>
      <x:c r="L633" s="4" t="str"/>
      <x:c r="M633" s="4" t="str">
        <x:v>未测</x:v>
      </x:c>
      <x:c r="N633" s="4" t="str"/>
      <x:c r="O633" s="4" t="str">
        <x:v>1. 来源：MainBasis/统一需求文档.md；U-views_fan-club_member-mute-confirm-003
2. 场景：SC-cf427723c5ebf4</x:v>
      </x:c>
    </x:row>
    <x:row r="634" ht="54" customHeight="1">
      <x:c r="A634" s="4" t="n">
        <x:v>633</x:v>
      </x:c>
      <x:c r="B634" s="4" t="str">
        <x:v>USER-0633</x:v>
      </x:c>
      <x:c r="C634" s="4" t="str">
        <x:v>M04 粉丝团、房管与成长等级</x:v>
      </x:c>
      <x:c r="D634" s="4" t="str">
        <x:v>单人禁言确认（主播视角）</x:v>
      </x:c>
      <x:c r="E634" s="4" t="str">
        <x:v>功能需求</x:v>
      </x:c>
      <x:c r="F634" s="4" t="str">
        <x:v>P1</x:v>
      </x:c>
      <x:c r="G634" s="4" t="str">
        <x:v>验证粉丝群单人禁言成功</x:v>
      </x:c>
      <x:c r="H634" s="4" t="str">
        <x:v>粉丝群单人禁言成功</x:v>
      </x:c>
      <x:c r="I634" s="4" t="str">
        <x:v>1. 已登录主播账号
2. 目标成员原可在群内发言</x:v>
      </x:c>
      <x:c r="J634" s="4" t="str">
        <x:v>1. 进入「粉丝团」页
2. 打开「单人禁言确认」视图
3. 点击确认禁言</x:v>
      </x:c>
      <x:c r="K634" s="4" t="str">
        <x:v>该成员在当前粉丝群被禁言并提示成功</x:v>
      </x:c>
      <x:c r="L634" s="4" t="str"/>
      <x:c r="M634" s="4" t="str">
        <x:v>未测</x:v>
      </x:c>
      <x:c r="N634" s="4" t="str"/>
      <x:c r="O634" s="4" t="str">
        <x:v>1. 来源：MainBasis/统一需求文档.md；U-views_fan-club_member-mute-confirm-005
2. 场景：SC-58c1ed656db48e</x:v>
      </x:c>
    </x:row>
    <x:row r="635" ht="54" customHeight="1">
      <x:c r="A635" s="4" t="n">
        <x:v>634</x:v>
      </x:c>
      <x:c r="B635" s="4" t="str">
        <x:v>USER-0634</x:v>
      </x:c>
      <x:c r="C635" s="4" t="str">
        <x:v>M04 粉丝团、房管与成长等级</x:v>
      </x:c>
      <x:c r="D635" s="4" t="str">
        <x:v>单人禁言确认（主播视角）</x:v>
      </x:c>
      <x:c r="E635" s="4" t="str">
        <x:v>功能需求</x:v>
      </x:c>
      <x:c r="F635" s="4" t="str">
        <x:v>P1</x:v>
      </x:c>
      <x:c r="G635" s="4" t="str">
        <x:v>验证粉丝群单人禁言取消</x:v>
      </x:c>
      <x:c r="H635" s="4" t="str">
        <x:v>粉丝群单人禁言取消</x:v>
      </x:c>
      <x:c r="I635" s="4" t="str">
        <x:v>1. 已登录主播账号
2. 目标成员原可在群内发言</x:v>
      </x:c>
      <x:c r="J635" s="4" t="str">
        <x:v>1. 进入「粉丝团」页
2. 打开「单人禁言确认」视图
3. 点击取消</x:v>
      </x:c>
      <x:c r="K635" s="4" t="str">
        <x:v>该成员仍可在当前粉丝群发言</x:v>
      </x:c>
      <x:c r="L635" s="4" t="str"/>
      <x:c r="M635" s="4" t="str">
        <x:v>未测</x:v>
      </x:c>
      <x:c r="N635" s="4" t="str"/>
      <x:c r="O635" s="4" t="str">
        <x:v>1. 来源：MainBasis/统一需求文档.md；U-views_fan-club_member-mute-confirm-005
2. 场景：SC-a9ff59e15aa7d7</x:v>
      </x:c>
    </x:row>
    <x:row r="636" ht="54" customHeight="1">
      <x:c r="A636" s="4" t="n">
        <x:v>635</x:v>
      </x:c>
      <x:c r="B636" s="4" t="str">
        <x:v>USER-0635</x:v>
      </x:c>
      <x:c r="C636" s="4" t="str">
        <x:v>M04 粉丝团、房管与成长等级</x:v>
      </x:c>
      <x:c r="D636" s="4" t="str">
        <x:v>单人禁言确认（主播视角）</x:v>
      </x:c>
      <x:c r="E636" s="4" t="str">
        <x:v>功能需求</x:v>
      </x:c>
      <x:c r="F636" s="4" t="str">
        <x:v>P1</x:v>
      </x:c>
      <x:c r="G636" s="4" t="str">
        <x:v>验证粉丝群单人禁言请求失败</x:v>
      </x:c>
      <x:c r="H636" s="4" t="str">
        <x:v>粉丝群单人禁言请求失败</x:v>
      </x:c>
      <x:c r="I636" s="4" t="str">
        <x:v>1. 已登录主播账号
2. 目标成员原可在群内发言
3. 禁言请求返回失败</x:v>
      </x:c>
      <x:c r="J636" s="4" t="str">
        <x:v>1. 进入「粉丝团」页
2. 打开「单人禁言确认」视图
3. 点击确认禁言</x:v>
      </x:c>
      <x:c r="K636" s="4" t="str">
        <x:v>该成员仍可在当前粉丝群发言</x:v>
      </x:c>
      <x:c r="L636" s="4" t="str"/>
      <x:c r="M636" s="4" t="str">
        <x:v>未测</x:v>
      </x:c>
      <x:c r="N636" s="4" t="str"/>
      <x:c r="O636" s="4" t="str">
        <x:v>1. 来源：MainBasis/统一需求文档.md；U-views_fan-club_member-mute-confirm-005
2. 场景：SC-513a1d7ee02bf7</x:v>
      </x:c>
    </x:row>
    <x:row r="637" ht="54" customHeight="1">
      <x:c r="A637" s="4" t="n">
        <x:v>636</x:v>
      </x:c>
      <x:c r="B637" s="4" t="str">
        <x:v>USER-0636</x:v>
      </x:c>
      <x:c r="C637" s="4" t="str">
        <x:v>M04 粉丝团、房管与成长等级</x:v>
      </x:c>
      <x:c r="D637" s="4" t="str">
        <x:v>单人禁言确认（主播视角）</x:v>
      </x:c>
      <x:c r="E637" s="4" t="str">
        <x:v>功能需求</x:v>
      </x:c>
      <x:c r="F637" s="4" t="str">
        <x:v>P1</x:v>
      </x:c>
      <x:c r="G637" s="4" t="str">
        <x:v>验证粉丝群禁言不改团籍</x:v>
      </x:c>
      <x:c r="H637" s="4" t="str">
        <x:v>粉丝群禁言不改团籍</x:v>
      </x:c>
      <x:c r="I637" s="4" t="str">
        <x:v>1. 已登录主播账号
2. 目标成员已在当前粉丝群被单独禁言</x:v>
      </x:c>
      <x:c r="J637" s="4" t="str">
        <x:v>1. 进入「粉丝团」页
2. 打开「单人禁言确认」视图
3. 查看粉丝群禁言不改团籍</x:v>
      </x:c>
      <x:c r="K637" s="4" t="str">
        <x:v>原团籍保持不变</x:v>
      </x:c>
      <x:c r="L637" s="4" t="str"/>
      <x:c r="M637" s="4" t="str">
        <x:v>未测</x:v>
      </x:c>
      <x:c r="N637" s="4" t="str"/>
      <x:c r="O637" s="4" t="str">
        <x:v>1. 来源：MainBasis/统一需求文档.md；U-views_fan-club_member-mute-confirm-004
2. 场景：SC-1b91ef15744b2e</x:v>
      </x:c>
    </x:row>
    <x:row r="638" ht="54" customHeight="1">
      <x:c r="A638" s="4" t="n">
        <x:v>637</x:v>
      </x:c>
      <x:c r="B638" s="4" t="str">
        <x:v>USER-0637</x:v>
      </x:c>
      <x:c r="C638" s="4" t="str">
        <x:v>M04 粉丝团、房管与成长等级</x:v>
      </x:c>
      <x:c r="D638" s="4" t="str">
        <x:v>单人禁言确认（主播视角）</x:v>
      </x:c>
      <x:c r="E638" s="4" t="str">
        <x:v>功能需求</x:v>
      </x:c>
      <x:c r="F638" s="4" t="str">
        <x:v>P1</x:v>
      </x:c>
      <x:c r="G638" s="4" t="str">
        <x:v>验证粉丝群禁言不改关注</x:v>
      </x:c>
      <x:c r="H638" s="4" t="str">
        <x:v>粉丝群禁言不改关注</x:v>
      </x:c>
      <x:c r="I638" s="4" t="str">
        <x:v>1. 已登录主播账号
2. 目标成员已在当前粉丝群被单独禁言</x:v>
      </x:c>
      <x:c r="J638" s="4" t="str">
        <x:v>1. 进入「粉丝团」页
2. 打开「单人禁言确认」视图
3. 查看粉丝群禁言不改关注</x:v>
      </x:c>
      <x:c r="K638" s="4" t="str">
        <x:v>原关注保持不变</x:v>
      </x:c>
      <x:c r="L638" s="4" t="str"/>
      <x:c r="M638" s="4" t="str">
        <x:v>未测</x:v>
      </x:c>
      <x:c r="N638" s="4" t="str"/>
      <x:c r="O638" s="4" t="str">
        <x:v>1. 来源：MainBasis/统一需求文档.md；U-views_fan-club_member-mute-confirm-004
2. 场景：SC-3671019832f854</x:v>
      </x:c>
    </x:row>
    <x:row r="639" ht="68" customHeight="1">
      <x:c r="A639" s="4" t="n">
        <x:v>638</x:v>
      </x:c>
      <x:c r="B639" s="4" t="str">
        <x:v>USER-0638</x:v>
      </x:c>
      <x:c r="C639" s="4" t="str">
        <x:v>M04 粉丝团、房管与成长等级</x:v>
      </x:c>
      <x:c r="D639" s="4" t="str">
        <x:v>单人禁言确认（主播视角）</x:v>
      </x:c>
      <x:c r="E639" s="4" t="str">
        <x:v>功能需求</x:v>
      </x:c>
      <x:c r="F639" s="4" t="str">
        <x:v>P1</x:v>
      </x:c>
      <x:c r="G639" s="4" t="str">
        <x:v>验证粉丝群禁言不改直播间发言权限</x:v>
      </x:c>
      <x:c r="H639" s="4" t="str">
        <x:v>粉丝群禁言不改直播间发言权限</x:v>
      </x:c>
      <x:c r="I639" s="4" t="str">
        <x:v>1. 已登录主播账号
2. 目标成员已在当前粉丝群被单独禁言</x:v>
      </x:c>
      <x:c r="J639" s="4" t="str">
        <x:v>1. 进入「粉丝团」页
2. 打开「单人禁言确认」视图
3. 查看粉丝群禁言不改直播间发言权限</x:v>
      </x:c>
      <x:c r="K639" s="4" t="str">
        <x:v>原直播间发言权限保持不变</x:v>
      </x:c>
      <x:c r="L639" s="4" t="str"/>
      <x:c r="M639" s="4" t="str">
        <x:v>未测</x:v>
      </x:c>
      <x:c r="N639" s="4" t="str"/>
      <x:c r="O639" s="4" t="str">
        <x:v>1. 来源：MainBasis/统一需求文档.md；U-views_fan-club_member-mute-confirm-004
2. 场景：SC-18fd713dc42490</x:v>
      </x:c>
    </x:row>
    <x:row r="640" ht="54" customHeight="1">
      <x:c r="A640" s="4" t="n">
        <x:v>639</x:v>
      </x:c>
      <x:c r="B640" s="4" t="str">
        <x:v>USER-0639</x:v>
      </x:c>
      <x:c r="C640" s="4" t="str">
        <x:v>M04 粉丝团、房管与成长等级</x:v>
      </x:c>
      <x:c r="D640" s="4" t="str">
        <x:v>粉丝团设置（主播视角）</x:v>
      </x:c>
      <x:c r="E640" s="4" t="str">
        <x:v>功能需求</x:v>
      </x:c>
      <x:c r="F640" s="4" t="str">
        <x:v>P2</x:v>
      </x:c>
      <x:c r="G640" s="4" t="str">
        <x:v>验证需要关注回显</x:v>
      </x:c>
      <x:c r="H640" s="4" t="str">
        <x:v>需要关注回显</x:v>
      </x:c>
      <x:c r="I640" s="4" t="str">
        <x:v>1. 已登录主播账号
2. 所选对象存在，已记录该对象的需要关注值</x:v>
      </x:c>
      <x:c r="J640" s="4" t="str">
        <x:v>1. 进入「粉丝团设置」页
2. 查看需要关注回显</x:v>
      </x:c>
      <x:c r="K640" s="4" t="str">
        <x:v>「需要关注」内容与所选对象的该项资料一致</x:v>
      </x:c>
      <x:c r="L640" s="4" t="str"/>
      <x:c r="M640" s="4" t="str">
        <x:v>未测</x:v>
      </x:c>
      <x:c r="N640" s="4" t="str"/>
      <x:c r="O640" s="4" t="str">
        <x:v>1. 来源：MainBasis/统一需求文档.md；U-fan-club-settings-003
2. 场景：SC-2571cd658d534c</x:v>
      </x:c>
    </x:row>
    <x:row r="641" ht="54" customHeight="1">
      <x:c r="A641" s="4" t="n">
        <x:v>640</x:v>
      </x:c>
      <x:c r="B641" s="4" t="str">
        <x:v>USER-0640</x:v>
      </x:c>
      <x:c r="C641" s="4" t="str">
        <x:v>M04 粉丝团、房管与成长等级</x:v>
      </x:c>
      <x:c r="D641" s="4" t="str">
        <x:v>粉丝团设置（主播视角）</x:v>
      </x:c>
      <x:c r="E641" s="4" t="str">
        <x:v>异常用例</x:v>
      </x:c>
      <x:c r="F641" s="4" t="str">
        <x:v>P1</x:v>
      </x:c>
      <x:c r="G641" s="4" t="str">
        <x:v>验证粉丝团名称0字符限制</x:v>
      </x:c>
      <x:c r="H641" s="4" t="str">
        <x:v>粉丝团名称0字符限制</x:v>
      </x:c>
      <x:c r="I641" s="4" t="str">
        <x:v>1. 已登录主播账号
2. 其他必填字段为合法值</x:v>
      </x:c>
      <x:c r="J641" s="4" t="str">
        <x:v>1. 进入「粉丝团设置」页
2. 清空「粉丝团名称」
3. 点击「保存」</x:v>
      </x:c>
      <x:c r="K641" s="4" t="str">
        <x:v>粉丝团名称未通过校验，无法保存</x:v>
      </x:c>
      <x:c r="L641" s="4" t="str"/>
      <x:c r="M641" s="4" t="str">
        <x:v>未测</x:v>
      </x:c>
      <x:c r="N641" s="4" t="str"/>
      <x:c r="O641" s="4" t="str">
        <x:v>1. 来源：MainBasis/统一需求文档.md；U-fan-club-settings-002
2. 场景：SC-c84a5c3641b2a6</x:v>
      </x:c>
    </x:row>
    <x:row r="642" ht="68" customHeight="1">
      <x:c r="A642" s="4" t="n">
        <x:v>641</x:v>
      </x:c>
      <x:c r="B642" s="4" t="str">
        <x:v>USER-0641</x:v>
      </x:c>
      <x:c r="C642" s="4" t="str">
        <x:v>M04 粉丝团、房管与成长等级</x:v>
      </x:c>
      <x:c r="D642" s="4" t="str">
        <x:v>粉丝团设置（主播视角）</x:v>
      </x:c>
      <x:c r="E642" s="4" t="str">
        <x:v>逻辑校验</x:v>
      </x:c>
      <x:c r="F642" s="4" t="str">
        <x:v>P1</x:v>
      </x:c>
      <x:c r="G642" s="4" t="str">
        <x:v>验证粉丝团名称1字符可填写</x:v>
      </x:c>
      <x:c r="H642" s="4" t="str">
        <x:v>粉丝团名称1字符可填写</x:v>
      </x:c>
      <x:c r="I642" s="4" t="str">
        <x:v>1. 已登录主播账号
2. 其他必填字段为合法值</x:v>
      </x:c>
      <x:c r="J642" s="4" t="str">
        <x:v>1. 进入「粉丝团设置」页
2. 在「粉丝团名称」输入1个「测」字符
3. 点击「保存」</x:v>
      </x:c>
      <x:c r="K642" s="4" t="str">
        <x:v>「粉丝团名称」保留1个字符</x:v>
      </x:c>
      <x:c r="L642" s="4" t="str"/>
      <x:c r="M642" s="4" t="str">
        <x:v>未测</x:v>
      </x:c>
      <x:c r="N642" s="4" t="str"/>
      <x:c r="O642" s="4" t="str">
        <x:v>1. 来源：MainBasis/统一需求文档.md；U-fan-club-settings-002
2. 场景：SC-85b0eeda6e9001</x:v>
      </x:c>
    </x:row>
    <x:row r="643" ht="68" customHeight="1">
      <x:c r="A643" s="4" t="n">
        <x:v>642</x:v>
      </x:c>
      <x:c r="B643" s="4" t="str">
        <x:v>USER-0642</x:v>
      </x:c>
      <x:c r="C643" s="4" t="str">
        <x:v>M04 粉丝团、房管与成长等级</x:v>
      </x:c>
      <x:c r="D643" s="4" t="str">
        <x:v>粉丝团设置（主播视角）</x:v>
      </x:c>
      <x:c r="E643" s="4" t="str">
        <x:v>逻辑校验</x:v>
      </x:c>
      <x:c r="F643" s="4" t="str">
        <x:v>P1</x:v>
      </x:c>
      <x:c r="G643" s="4" t="str">
        <x:v>验证粉丝团名称19字符可填写</x:v>
      </x:c>
      <x:c r="H643" s="4" t="str">
        <x:v>粉丝团名称19字符可填写</x:v>
      </x:c>
      <x:c r="I643" s="4" t="str">
        <x:v>1. 已登录主播账号
2. 其他必填字段为合法值</x:v>
      </x:c>
      <x:c r="J643" s="4" t="str">
        <x:v>1. 进入「粉丝团设置」页
2. 在「粉丝团名称」输入19个「测」字符
3. 点击「保存」</x:v>
      </x:c>
      <x:c r="K643" s="4" t="str">
        <x:v>「粉丝团名称」保留19个字符</x:v>
      </x:c>
      <x:c r="L643" s="4" t="str"/>
      <x:c r="M643" s="4" t="str">
        <x:v>未测</x:v>
      </x:c>
      <x:c r="N643" s="4" t="str"/>
      <x:c r="O643" s="4" t="str">
        <x:v>1. 来源：MainBasis/统一需求文档.md；U-fan-club-settings-002
2. 场景：SC-83d6167aaff13f</x:v>
      </x:c>
    </x:row>
    <x:row r="644" ht="68" customHeight="1">
      <x:c r="A644" s="4" t="n">
        <x:v>643</x:v>
      </x:c>
      <x:c r="B644" s="4" t="str">
        <x:v>USER-0643</x:v>
      </x:c>
      <x:c r="C644" s="4" t="str">
        <x:v>M04 粉丝团、房管与成长等级</x:v>
      </x:c>
      <x:c r="D644" s="4" t="str">
        <x:v>粉丝团设置（主播视角）</x:v>
      </x:c>
      <x:c r="E644" s="4" t="str">
        <x:v>逻辑校验</x:v>
      </x:c>
      <x:c r="F644" s="4" t="str">
        <x:v>P1</x:v>
      </x:c>
      <x:c r="G644" s="4" t="str">
        <x:v>验证粉丝团名称20字符可填写</x:v>
      </x:c>
      <x:c r="H644" s="4" t="str">
        <x:v>粉丝团名称20字符可填写</x:v>
      </x:c>
      <x:c r="I644" s="4" t="str">
        <x:v>1. 已登录主播账号
2. 其他必填字段为合法值</x:v>
      </x:c>
      <x:c r="J644" s="4" t="str">
        <x:v>1. 进入「粉丝团设置」页
2. 在「粉丝团名称」输入20个「测」字符
3. 点击「保存」</x:v>
      </x:c>
      <x:c r="K644" s="4" t="str">
        <x:v>「粉丝团名称」保留20个字符</x:v>
      </x:c>
      <x:c r="L644" s="4" t="str"/>
      <x:c r="M644" s="4" t="str">
        <x:v>未测</x:v>
      </x:c>
      <x:c r="N644" s="4" t="str"/>
      <x:c r="O644" s="4" t="str">
        <x:v>1. 来源：MainBasis/统一需求文档.md；U-fan-club-settings-002
2. 场景：SC-8081911fe087f2</x:v>
      </x:c>
    </x:row>
    <x:row r="645" ht="68" customHeight="1">
      <x:c r="A645" s="4" t="n">
        <x:v>644</x:v>
      </x:c>
      <x:c r="B645" s="4" t="str">
        <x:v>USER-0644</x:v>
      </x:c>
      <x:c r="C645" s="4" t="str">
        <x:v>M04 粉丝团、房管与成长等级</x:v>
      </x:c>
      <x:c r="D645" s="4" t="str">
        <x:v>粉丝团设置（主播视角）</x:v>
      </x:c>
      <x:c r="E645" s="4" t="str">
        <x:v>异常用例</x:v>
      </x:c>
      <x:c r="F645" s="4" t="str">
        <x:v>P1</x:v>
      </x:c>
      <x:c r="G645" s="4" t="str">
        <x:v>验证粉丝团名称21字符限制</x:v>
      </x:c>
      <x:c r="H645" s="4" t="str">
        <x:v>粉丝团名称21字符限制</x:v>
      </x:c>
      <x:c r="I645" s="4" t="str">
        <x:v>1. 已登录主播账号
2. 其他必填字段为合法值</x:v>
      </x:c>
      <x:c r="J645" s="4" t="str">
        <x:v>1. 进入「粉丝团设置」页
2. 在「粉丝团名称」输入21个「测」字符
3. 点击「保存」</x:v>
      </x:c>
      <x:c r="K645" s="4" t="str">
        <x:v>粉丝团名称未通过校验，无法保存</x:v>
      </x:c>
      <x:c r="L645" s="4" t="str"/>
      <x:c r="M645" s="4" t="str">
        <x:v>未测</x:v>
      </x:c>
      <x:c r="N645" s="4" t="str"/>
      <x:c r="O645" s="4" t="str">
        <x:v>1. 来源：MainBasis/统一需求文档.md；U-fan-club-settings-002
2. 场景：SC-3192d28c3f5d0e</x:v>
      </x:c>
    </x:row>
    <x:row r="646" ht="68" customHeight="1">
      <x:c r="A646" s="4" t="n">
        <x:v>645</x:v>
      </x:c>
      <x:c r="B646" s="4" t="str">
        <x:v>USER-0645</x:v>
      </x:c>
      <x:c r="C646" s="4" t="str">
        <x:v>M04 粉丝团、房管与成长等级</x:v>
      </x:c>
      <x:c r="D646" s="4" t="str">
        <x:v>粉丝团设置（主播视角）</x:v>
      </x:c>
      <x:c r="E646" s="4" t="str">
        <x:v>逻辑校验</x:v>
      </x:c>
      <x:c r="F646" s="4" t="str">
        <x:v>P1</x:v>
      </x:c>
      <x:c r="G646" s="4" t="str">
        <x:v>验证入团门槛空值</x:v>
      </x:c>
      <x:c r="H646" s="4" t="str">
        <x:v>入团门槛空值</x:v>
      </x:c>
      <x:c r="I646" s="4" t="str">
        <x:v>1. 已登录主播账号
2. 粉丝团名称合法</x:v>
      </x:c>
      <x:c r="J646" s="4" t="str">
        <x:v>1. 进入「粉丝团设置」页
2. 清空累计贡献</x:v>
      </x:c>
      <x:c r="K646" s="4" t="str">
        <x:v>保存按钮不可用</x:v>
      </x:c>
      <x:c r="L646" s="4" t="str"/>
      <x:c r="M646" s="4" t="str">
        <x:v>未测</x:v>
      </x:c>
      <x:c r="N646" s="4" t="str"/>
      <x:c r="O646" s="4" t="str">
        <x:v>1. 来源：MainBasis/统一需求文档.md；U-fan-club-settings-004、U-fan-club-settings-007
2. 场景：SC-f80180875a1108</x:v>
      </x:c>
    </x:row>
    <x:row r="647" ht="68" customHeight="1">
      <x:c r="A647" s="4" t="n">
        <x:v>646</x:v>
      </x:c>
      <x:c r="B647" s="4" t="str">
        <x:v>USER-0646</x:v>
      </x:c>
      <x:c r="C647" s="4" t="str">
        <x:v>M04 粉丝团、房管与成长等级</x:v>
      </x:c>
      <x:c r="D647" s="4" t="str">
        <x:v>粉丝团设置（主播视角）</x:v>
      </x:c>
      <x:c r="E647" s="4" t="str">
        <x:v>逻辑校验</x:v>
      </x:c>
      <x:c r="F647" s="4" t="str">
        <x:v>P1</x:v>
      </x:c>
      <x:c r="G647" s="4" t="str">
        <x:v>验证入团门槛-1</x:v>
      </x:c>
      <x:c r="H647" s="4" t="str">
        <x:v>入团门槛-1</x:v>
      </x:c>
      <x:c r="I647" s="4" t="str">
        <x:v>1. 已登录主播账号
2. 粉丝团名称合法</x:v>
      </x:c>
      <x:c r="J647" s="4" t="str">
        <x:v>1. 进入「粉丝团设置」页
2. 填写累计贡献-1</x:v>
      </x:c>
      <x:c r="K647" s="4" t="str">
        <x:v>保存按钮不可用</x:v>
      </x:c>
      <x:c r="L647" s="4" t="str"/>
      <x:c r="M647" s="4" t="str">
        <x:v>未测</x:v>
      </x:c>
      <x:c r="N647" s="4" t="str"/>
      <x:c r="O647" s="4" t="str">
        <x:v>1. 来源：MainBasis/统一需求文档.md；U-fan-club-settings-004、U-fan-club-settings-007
2. 场景：SC-86b305d70cebbd</x:v>
      </x:c>
    </x:row>
    <x:row r="648" ht="68" customHeight="1">
      <x:c r="A648" s="4" t="n">
        <x:v>647</x:v>
      </x:c>
      <x:c r="B648" s="4" t="str">
        <x:v>USER-0647</x:v>
      </x:c>
      <x:c r="C648" s="4" t="str">
        <x:v>M04 粉丝团、房管与成长等级</x:v>
      </x:c>
      <x:c r="D648" s="4" t="str">
        <x:v>粉丝团设置（主播视角）</x:v>
      </x:c>
      <x:c r="E648" s="4" t="str">
        <x:v>逻辑校验</x:v>
      </x:c>
      <x:c r="F648" s="4" t="str">
        <x:v>P1</x:v>
      </x:c>
      <x:c r="G648" s="4" t="str">
        <x:v>验证入团门槛0</x:v>
      </x:c>
      <x:c r="H648" s="4" t="str">
        <x:v>入团门槛0</x:v>
      </x:c>
      <x:c r="I648" s="4" t="str">
        <x:v>1. 已登录主播账号
2. 粉丝团名称合法</x:v>
      </x:c>
      <x:c r="J648" s="4" t="str">
        <x:v>1. 进入「粉丝团设置」页
2. 填写累计贡献0</x:v>
      </x:c>
      <x:c r="K648" s="4" t="str">
        <x:v>保存按钮可用</x:v>
      </x:c>
      <x:c r="L648" s="4" t="str"/>
      <x:c r="M648" s="4" t="str">
        <x:v>未测</x:v>
      </x:c>
      <x:c r="N648" s="4" t="str"/>
      <x:c r="O648" s="4" t="str">
        <x:v>1. 来源：MainBasis/统一需求文档.md；U-fan-club-settings-004、U-fan-club-settings-007
2. 场景：SC-e54a6121ab22c4</x:v>
      </x:c>
    </x:row>
    <x:row r="649" ht="68" customHeight="1">
      <x:c r="A649" s="4" t="n">
        <x:v>648</x:v>
      </x:c>
      <x:c r="B649" s="4" t="str">
        <x:v>USER-0648</x:v>
      </x:c>
      <x:c r="C649" s="4" t="str">
        <x:v>M04 粉丝团、房管与成长等级</x:v>
      </x:c>
      <x:c r="D649" s="4" t="str">
        <x:v>粉丝团设置（主播视角）</x:v>
      </x:c>
      <x:c r="E649" s="4" t="str">
        <x:v>逻辑校验</x:v>
      </x:c>
      <x:c r="F649" s="4" t="str">
        <x:v>P1</x:v>
      </x:c>
      <x:c r="G649" s="4" t="str">
        <x:v>验证入团门槛1</x:v>
      </x:c>
      <x:c r="H649" s="4" t="str">
        <x:v>入团门槛1</x:v>
      </x:c>
      <x:c r="I649" s="4" t="str">
        <x:v>1. 已登录主播账号
2. 粉丝团名称合法</x:v>
      </x:c>
      <x:c r="J649" s="4" t="str">
        <x:v>1. 进入「粉丝团设置」页
2. 填写累计贡献1</x:v>
      </x:c>
      <x:c r="K649" s="4" t="str">
        <x:v>保存按钮可用</x:v>
      </x:c>
      <x:c r="L649" s="4" t="str"/>
      <x:c r="M649" s="4" t="str">
        <x:v>未测</x:v>
      </x:c>
      <x:c r="N649" s="4" t="str"/>
      <x:c r="O649" s="4" t="str">
        <x:v>1. 来源：MainBasis/统一需求文档.md；U-fan-club-settings-004、U-fan-club-settings-007
2. 场景：SC-f9ac34110c8cb9</x:v>
      </x:c>
    </x:row>
    <x:row r="650" ht="68" customHeight="1">
      <x:c r="A650" s="4" t="n">
        <x:v>649</x:v>
      </x:c>
      <x:c r="B650" s="4" t="str">
        <x:v>USER-0649</x:v>
      </x:c>
      <x:c r="C650" s="4" t="str">
        <x:v>M04 粉丝团、房管与成长等级</x:v>
      </x:c>
      <x:c r="D650" s="4" t="str">
        <x:v>粉丝团设置（主播视角）</x:v>
      </x:c>
      <x:c r="E650" s="4" t="str">
        <x:v>逻辑校验</x:v>
      </x:c>
      <x:c r="F650" s="4" t="str">
        <x:v>P1</x:v>
      </x:c>
      <x:c r="G650" s="4" t="str">
        <x:v>验证入团门槛1.5</x:v>
      </x:c>
      <x:c r="H650" s="4" t="str">
        <x:v>入团门槛1.5</x:v>
      </x:c>
      <x:c r="I650" s="4" t="str">
        <x:v>1. 已登录主播账号
2. 粉丝团名称合法</x:v>
      </x:c>
      <x:c r="J650" s="4" t="str">
        <x:v>1. 进入「粉丝团设置」页
2. 填写累计贡献1.5</x:v>
      </x:c>
      <x:c r="K650" s="4" t="str">
        <x:v>保存按钮不可用</x:v>
      </x:c>
      <x:c r="L650" s="4" t="str"/>
      <x:c r="M650" s="4" t="str">
        <x:v>未测</x:v>
      </x:c>
      <x:c r="N650" s="4" t="str"/>
      <x:c r="O650" s="4" t="str">
        <x:v>1. 来源：MainBasis/统一需求文档.md；U-fan-club-settings-004、U-fan-club-settings-007
2. 场景：SC-dfef3c05702032</x:v>
      </x:c>
    </x:row>
    <x:row r="651" ht="54" customHeight="1">
      <x:c r="A651" s="4" t="n">
        <x:v>650</x:v>
      </x:c>
      <x:c r="B651" s="4" t="str">
        <x:v>USER-0650</x:v>
      </x:c>
      <x:c r="C651" s="4" t="str">
        <x:v>M04 粉丝团、房管与成长等级</x:v>
      </x:c>
      <x:c r="D651" s="4" t="str">
        <x:v>粉丝团设置（主播视角）</x:v>
      </x:c>
      <x:c r="E651" s="4" t="str">
        <x:v>功能需求</x:v>
      </x:c>
      <x:c r="F651" s="4" t="str">
        <x:v>P1</x:v>
      </x:c>
      <x:c r="G651" s="4" t="str">
        <x:v>验证提高门槛保留既有成员</x:v>
      </x:c>
      <x:c r="H651" s="4" t="str">
        <x:v>提高门槛保留既有成员</x:v>
      </x:c>
      <x:c r="I651" s="4" t="str">
        <x:v>1. 已登录主播账号
2. 当前团成员贡献50，原门槛0</x:v>
      </x:c>
      <x:c r="J651" s="4" t="str">
        <x:v>1. 进入「粉丝团设置」页
2. 将累计贡献门槛改为100
3. 保存</x:v>
      </x:c>
      <x:c r="K651" s="4" t="str">
        <x:v>贡献50的既有成员不被移除</x:v>
      </x:c>
      <x:c r="L651" s="4" t="str"/>
      <x:c r="M651" s="4" t="str">
        <x:v>未测</x:v>
      </x:c>
      <x:c r="N651" s="4" t="str"/>
      <x:c r="O651" s="4" t="str">
        <x:v>1. 来源：MainBasis/统一需求文档.md；U-fan-club-settings-005
2. 场景：SC-5bd2abb409092c</x:v>
      </x:c>
    </x:row>
    <x:row r="652" ht="68" customHeight="1">
      <x:c r="A652" s="4" t="n">
        <x:v>651</x:v>
      </x:c>
      <x:c r="B652" s="4" t="str">
        <x:v>USER-0651</x:v>
      </x:c>
      <x:c r="C652" s="4" t="str">
        <x:v>M04 粉丝团、房管与成长等级</x:v>
      </x:c>
      <x:c r="D652" s="4" t="str">
        <x:v>粉丝团设置（主播视角）</x:v>
      </x:c>
      <x:c r="E652" s="4" t="str">
        <x:v>功能需求</x:v>
      </x:c>
      <x:c r="F652" s="4" t="str">
        <x:v>P1</x:v>
      </x:c>
      <x:c r="G652" s="4" t="str">
        <x:v>验证保存新的入团条件</x:v>
      </x:c>
      <x:c r="H652" s="4" t="str">
        <x:v>保存新的入团条件</x:v>
      </x:c>
      <x:c r="I652" s="4" t="str">
        <x:v>1. 已登录主播账号
2. 当前为该团所属主播</x:v>
      </x:c>
      <x:c r="J652" s="4" t="str">
        <x:v>1. 进入「粉丝团设置」页
2. 将需要关注开启、累计贡献设为100
3. 点击保存</x:v>
      </x:c>
      <x:c r="K652" s="4" t="str">
        <x:v>当前团加入条件变为已关注且累计贡献至少100</x:v>
      </x:c>
      <x:c r="L652" s="4" t="str"/>
      <x:c r="M652" s="4" t="str">
        <x:v>未测</x:v>
      </x:c>
      <x:c r="N652" s="4" t="str"/>
      <x:c r="O652" s="4" t="str">
        <x:v>1. 来源：MainBasis/统一需求文档.md；U-fan-club-settings-008
2. 场景：SC-3cb9cd72a61e54</x:v>
      </x:c>
    </x:row>
    <x:row r="653" ht="54" customHeight="1">
      <x:c r="A653" s="4" t="n">
        <x:v>652</x:v>
      </x:c>
      <x:c r="B653" s="4" t="str">
        <x:v>USER-0652</x:v>
      </x:c>
      <x:c r="C653" s="4" t="str">
        <x:v>M04 粉丝团、房管与成长等级</x:v>
      </x:c>
      <x:c r="D653" s="4" t="str">
        <x:v>粉丝团设置（主播视角）</x:v>
      </x:c>
      <x:c r="E653" s="4" t="str">
        <x:v>功能需求</x:v>
      </x:c>
      <x:c r="F653" s="4" t="str">
        <x:v>P1</x:v>
      </x:c>
      <x:c r="G653" s="4" t="str">
        <x:v>验证粉丝团设置范围</x:v>
      </x:c>
      <x:c r="H653" s="4" t="str">
        <x:v>粉丝团设置范围</x:v>
      </x:c>
      <x:c r="I653" s="4" t="str">
        <x:v>1. 已登录主播账号
2. 当前主播仅拥有团甲</x:v>
      </x:c>
      <x:c r="J653" s="4" t="str">
        <x:v>1. 进入「粉丝团设置」页
2. 查看粉丝团设置范围</x:v>
      </x:c>
      <x:c r="K653" s="4" t="str">
        <x:v>设置对象为团甲，不包含团乙设置</x:v>
      </x:c>
      <x:c r="L653" s="4" t="str"/>
      <x:c r="M653" s="4" t="str">
        <x:v>未测</x:v>
      </x:c>
      <x:c r="N653" s="4" t="str"/>
      <x:c r="O653" s="4" t="str">
        <x:v>1. 来源：MainBasis/统一需求文档.md；U-fan-club-settings-006
2. 场景：SC-5e7a50eb0d045d</x:v>
      </x:c>
    </x:row>
    <x:row r="654" ht="54" customHeight="1">
      <x:c r="A654" s="4" t="n">
        <x:v>653</x:v>
      </x:c>
      <x:c r="B654" s="4" t="str">
        <x:v>USER-0653</x:v>
      </x:c>
      <x:c r="C654" s="4" t="str">
        <x:v>M05 公会申请、认证、组织与权限</x:v>
      </x:c>
      <x:c r="D654" s="4" t="str">
        <x:v>公会中心（用户视角）</x:v>
      </x:c>
      <x:c r="E654" s="4" t="str">
        <x:v>功能需求</x:v>
      </x:c>
      <x:c r="F654" s="4" t="str">
        <x:v>P1</x:v>
      </x:c>
      <x:c r="G654" s="4" t="str">
        <x:v>验证公会按名称实时输入搜索</x:v>
      </x:c>
      <x:c r="H654" s="4" t="str">
        <x:v>公会按名称实时输入搜索</x:v>
      </x:c>
      <x:c r="I654" s="4" t="str">
        <x:v>1. 已登录用户账号
2. 可展示公会有名称包含海岛及不包含海岛的记录</x:v>
      </x:c>
      <x:c r="J654" s="4" t="str">
        <x:v>1. 进入「公会中心」页
2. 输入「海岛」</x:v>
      </x:c>
      <x:c r="K654" s="4" t="str">
        <x:v>仅显示名称模糊匹配的可展示公会</x:v>
      </x:c>
      <x:c r="L654" s="4" t="str"/>
      <x:c r="M654" s="4" t="str">
        <x:v>未测</x:v>
      </x:c>
      <x:c r="N654" s="4" t="str"/>
      <x:c r="O654" s="4" t="str">
        <x:v>1. 来源：MainBasis/统一需求文档.md；U-guild-management-002、U-guild-management-011
2. 场景：SC-06026308d5ed23</x:v>
      </x:c>
    </x:row>
    <x:row r="655" ht="54" customHeight="1">
      <x:c r="A655" s="4" t="n">
        <x:v>654</x:v>
      </x:c>
      <x:c r="B655" s="4" t="str">
        <x:v>USER-0654</x:v>
      </x:c>
      <x:c r="C655" s="4" t="str">
        <x:v>M05 公会申请、认证、组织与权限</x:v>
      </x:c>
      <x:c r="D655" s="4" t="str">
        <x:v>公会中心（用户视角）</x:v>
      </x:c>
      <x:c r="E655" s="4" t="str">
        <x:v>功能需求</x:v>
      </x:c>
      <x:c r="F655" s="4" t="str">
        <x:v>P1</x:v>
      </x:c>
      <x:c r="G655" s="4" t="str">
        <x:v>验证公会按名称点击搜索搜索</x:v>
      </x:c>
      <x:c r="H655" s="4" t="str">
        <x:v>公会按名称点击搜索搜索</x:v>
      </x:c>
      <x:c r="I655" s="4" t="str">
        <x:v>1. 已登录用户账号
2. 可展示公会有名称包含海岛及不包含海岛的记录</x:v>
      </x:c>
      <x:c r="J655" s="4" t="str">
        <x:v>1. 进入「公会中心」页
2. 输入「海岛」
3. 点击搜索</x:v>
      </x:c>
      <x:c r="K655" s="4" t="str">
        <x:v>仅显示名称模糊匹配的可展示公会</x:v>
      </x:c>
      <x:c r="L655" s="4" t="str"/>
      <x:c r="M655" s="4" t="str">
        <x:v>未测</x:v>
      </x:c>
      <x:c r="N655" s="4" t="str"/>
      <x:c r="O655" s="4" t="str">
        <x:v>1. 来源：MainBasis/统一需求文档.md；U-guild-management-002、U-guild-management-011
2. 场景：SC-2f45b0c5a7bd9e</x:v>
      </x:c>
    </x:row>
    <x:row r="656" ht="54" customHeight="1">
      <x:c r="A656" s="4" t="n">
        <x:v>655</x:v>
      </x:c>
      <x:c r="B656" s="4" t="str">
        <x:v>USER-0655</x:v>
      </x:c>
      <x:c r="C656" s="4" t="str">
        <x:v>M05 公会申请、认证、组织与权限</x:v>
      </x:c>
      <x:c r="D656" s="4" t="str">
        <x:v>公会中心（用户视角）</x:v>
      </x:c>
      <x:c r="E656" s="4" t="str">
        <x:v>功能需求</x:v>
      </x:c>
      <x:c r="F656" s="4" t="str">
        <x:v>P1</x:v>
      </x:c>
      <x:c r="G656" s="4" t="str">
        <x:v>验证公会按名称按Enter搜索</x:v>
      </x:c>
      <x:c r="H656" s="4" t="str">
        <x:v>公会按名称按Enter搜索</x:v>
      </x:c>
      <x:c r="I656" s="4" t="str">
        <x:v>1. 已登录用户账号
2. 可展示公会有名称包含海岛及不包含海岛的记录</x:v>
      </x:c>
      <x:c r="J656" s="4" t="str">
        <x:v>1. 进入「公会中心」页
2. 输入「海岛」
3. 按Enter</x:v>
      </x:c>
      <x:c r="K656" s="4" t="str">
        <x:v>仅显示名称模糊匹配的可展示公会</x:v>
      </x:c>
      <x:c r="L656" s="4" t="str"/>
      <x:c r="M656" s="4" t="str">
        <x:v>未测</x:v>
      </x:c>
      <x:c r="N656" s="4" t="str"/>
      <x:c r="O656" s="4" t="str">
        <x:v>1. 来源：MainBasis/统一需求文档.md；U-guild-management-002、U-guild-management-011
2. 场景：SC-aec54c8209940f</x:v>
      </x:c>
    </x:row>
    <x:row r="657" ht="54" customHeight="1">
      <x:c r="A657" s="4" t="n">
        <x:v>656</x:v>
      </x:c>
      <x:c r="B657" s="4" t="str">
        <x:v>USER-0656</x:v>
      </x:c>
      <x:c r="C657" s="4" t="str">
        <x:v>M05 公会申请、认证、组织与权限</x:v>
      </x:c>
      <x:c r="D657" s="4" t="str">
        <x:v>公会中心（用户视角）</x:v>
      </x:c>
      <x:c r="E657" s="4" t="str">
        <x:v>功能需求</x:v>
      </x:c>
      <x:c r="F657" s="4" t="str">
        <x:v>P1</x:v>
      </x:c>
      <x:c r="G657" s="4" t="str">
        <x:v>验证公会按ID实时输入搜索</x:v>
      </x:c>
      <x:c r="H657" s="4" t="str">
        <x:v>公会按ID实时输入搜索</x:v>
      </x:c>
      <x:c r="I657" s="4" t="str">
        <x:v>1. 已登录用户账号
2. 可展示公会有ID包含100及不包含100的记录</x:v>
      </x:c>
      <x:c r="J657" s="4" t="str">
        <x:v>1. 进入「公会中心」页
2. 输入「100」</x:v>
      </x:c>
      <x:c r="K657" s="4" t="str">
        <x:v>仅显示ID模糊匹配的可展示公会</x:v>
      </x:c>
      <x:c r="L657" s="4" t="str"/>
      <x:c r="M657" s="4" t="str">
        <x:v>未测</x:v>
      </x:c>
      <x:c r="N657" s="4" t="str"/>
      <x:c r="O657" s="4" t="str">
        <x:v>1. 来源：MainBasis/统一需求文档.md；U-guild-management-002、U-guild-management-011
2. 场景：SC-2aa5ad9c920344</x:v>
      </x:c>
    </x:row>
    <x:row r="658" ht="54" customHeight="1">
      <x:c r="A658" s="4" t="n">
        <x:v>657</x:v>
      </x:c>
      <x:c r="B658" s="4" t="str">
        <x:v>USER-0657</x:v>
      </x:c>
      <x:c r="C658" s="4" t="str">
        <x:v>M05 公会申请、认证、组织与权限</x:v>
      </x:c>
      <x:c r="D658" s="4" t="str">
        <x:v>公会中心（用户视角）</x:v>
      </x:c>
      <x:c r="E658" s="4" t="str">
        <x:v>功能需求</x:v>
      </x:c>
      <x:c r="F658" s="4" t="str">
        <x:v>P1</x:v>
      </x:c>
      <x:c r="G658" s="4" t="str">
        <x:v>验证公会按ID点击搜索搜索</x:v>
      </x:c>
      <x:c r="H658" s="4" t="str">
        <x:v>公会按ID点击搜索搜索</x:v>
      </x:c>
      <x:c r="I658" s="4" t="str">
        <x:v>1. 已登录用户账号
2. 可展示公会有ID包含100及不包含100的记录</x:v>
      </x:c>
      <x:c r="J658" s="4" t="str">
        <x:v>1. 进入「公会中心」页
2. 输入「100」
3. 点击搜索</x:v>
      </x:c>
      <x:c r="K658" s="4" t="str">
        <x:v>仅显示ID模糊匹配的可展示公会</x:v>
      </x:c>
      <x:c r="L658" s="4" t="str"/>
      <x:c r="M658" s="4" t="str">
        <x:v>未测</x:v>
      </x:c>
      <x:c r="N658" s="4" t="str"/>
      <x:c r="O658" s="4" t="str">
        <x:v>1. 来源：MainBasis/统一需求文档.md；U-guild-management-002、U-guild-management-011
2. 场景：SC-74d63e0e612933</x:v>
      </x:c>
    </x:row>
    <x:row r="659" ht="54" customHeight="1">
      <x:c r="A659" s="4" t="n">
        <x:v>658</x:v>
      </x:c>
      <x:c r="B659" s="4" t="str">
        <x:v>USER-0658</x:v>
      </x:c>
      <x:c r="C659" s="4" t="str">
        <x:v>M05 公会申请、认证、组织与权限</x:v>
      </x:c>
      <x:c r="D659" s="4" t="str">
        <x:v>公会中心（用户视角）</x:v>
      </x:c>
      <x:c r="E659" s="4" t="str">
        <x:v>功能需求</x:v>
      </x:c>
      <x:c r="F659" s="4" t="str">
        <x:v>P1</x:v>
      </x:c>
      <x:c r="G659" s="4" t="str">
        <x:v>验证公会按ID按Enter搜索</x:v>
      </x:c>
      <x:c r="H659" s="4" t="str">
        <x:v>公会按ID按Enter搜索</x:v>
      </x:c>
      <x:c r="I659" s="4" t="str">
        <x:v>1. 已登录用户账号
2. 可展示公会有ID包含100及不包含100的记录</x:v>
      </x:c>
      <x:c r="J659" s="4" t="str">
        <x:v>1. 进入「公会中心」页
2. 输入「100」
3. 按Enter</x:v>
      </x:c>
      <x:c r="K659" s="4" t="str">
        <x:v>仅显示ID模糊匹配的可展示公会</x:v>
      </x:c>
      <x:c r="L659" s="4" t="str"/>
      <x:c r="M659" s="4" t="str">
        <x:v>未测</x:v>
      </x:c>
      <x:c r="N659" s="4" t="str"/>
      <x:c r="O659" s="4" t="str">
        <x:v>1. 来源：MainBasis/统一需求文档.md；U-guild-management-002、U-guild-management-011
2. 场景：SC-0f289fdaa42e35</x:v>
      </x:c>
    </x:row>
    <x:row r="660" ht="54" customHeight="1">
      <x:c r="A660" s="4" t="n">
        <x:v>659</x:v>
      </x:c>
      <x:c r="B660" s="4" t="str">
        <x:v>USER-0659</x:v>
      </x:c>
      <x:c r="C660" s="4" t="str">
        <x:v>M05 公会申请、认证、组织与权限</x:v>
      </x:c>
      <x:c r="D660" s="4" t="str">
        <x:v>公会中心（用户视角）</x:v>
      </x:c>
      <x:c r="E660" s="4" t="str">
        <x:v>功能需求</x:v>
      </x:c>
      <x:c r="F660" s="4" t="str">
        <x:v>P1</x:v>
      </x:c>
      <x:c r="G660" s="4" t="str">
        <x:v>验证清空公会筛选</x:v>
      </x:c>
      <x:c r="H660" s="4" t="str">
        <x:v>清空公会筛选</x:v>
      </x:c>
      <x:c r="I660" s="4" t="str">
        <x:v>1. 已登录用户账号
2. 当前存在搜索关键词</x:v>
      </x:c>
      <x:c r="J660" s="4" t="str">
        <x:v>1. 进入「公会中心」页
2. 清空搜索框</x:v>
      </x:c>
      <x:c r="K660" s="4" t="str">
        <x:v>展示全部本页配置范围内公会，包含已加入或申请中的公会</x:v>
      </x:c>
      <x:c r="L660" s="4" t="str"/>
      <x:c r="M660" s="4" t="str">
        <x:v>未测</x:v>
      </x:c>
      <x:c r="N660" s="4" t="str"/>
      <x:c r="O660" s="4" t="str">
        <x:v>1. 来源：MainBasis/统一需求文档.md；U-guild-management-009
2. 场景：SC-f6e70797513800</x:v>
      </x:c>
    </x:row>
    <x:row r="661" ht="54" customHeight="1">
      <x:c r="A661" s="4" t="n">
        <x:v>660</x:v>
      </x:c>
      <x:c r="B661" s="4" t="str">
        <x:v>USER-0660</x:v>
      </x:c>
      <x:c r="C661" s="4" t="str">
        <x:v>M05 公会申请、认证、组织与权限</x:v>
      </x:c>
      <x:c r="D661" s="4" t="str">
        <x:v>公会中心（用户视角）</x:v>
      </x:c>
      <x:c r="E661" s="4" t="str">
        <x:v>功能需求</x:v>
      </x:c>
      <x:c r="F661" s="4" t="str">
        <x:v>P1</x:v>
      </x:c>
      <x:c r="G661" s="4" t="str">
        <x:v>验证公会搜索无匹配</x:v>
      </x:c>
      <x:c r="H661" s="4" t="str">
        <x:v>公会搜索无匹配</x:v>
      </x:c>
      <x:c r="I661" s="4" t="str">
        <x:v>1. 已登录用户账号</x:v>
      </x:c>
      <x:c r="J661" s="4" t="str">
        <x:v>1. 进入「公会中心」页
2. 输入一个不存在的公会名称</x:v>
      </x:c>
      <x:c r="K661" s="4" t="str">
        <x:v>列表显示空状态</x:v>
      </x:c>
      <x:c r="L661" s="4" t="str"/>
      <x:c r="M661" s="4" t="str">
        <x:v>未测</x:v>
      </x:c>
      <x:c r="N661" s="4" t="str"/>
      <x:c r="O661" s="4" t="str">
        <x:v>1. 来源：MainBasis/统一需求文档.md；U-guild-management-011
2. 场景：SC-3833c4c334432e</x:v>
      </x:c>
    </x:row>
    <x:row r="662" ht="54" customHeight="1">
      <x:c r="A662" s="4" t="n">
        <x:v>661</x:v>
      </x:c>
      <x:c r="B662" s="4" t="str">
        <x:v>USER-0661</x:v>
      </x:c>
      <x:c r="C662" s="4" t="str">
        <x:v>M05 公会申请、认证、组织与权限</x:v>
      </x:c>
      <x:c r="D662" s="4" t="str">
        <x:v>公会中心（用户视角）</x:v>
      </x:c>
      <x:c r="E662" s="4" t="str">
        <x:v>功能需求</x:v>
      </x:c>
      <x:c r="F662" s="4" t="str">
        <x:v>P1</x:v>
      </x:c>
      <x:c r="G662" s="4" t="str">
        <x:v>验证停用公会不展示不可搜索</x:v>
      </x:c>
      <x:c r="H662" s="4" t="str">
        <x:v>停用公会不展示不可搜索</x:v>
      </x:c>
      <x:c r="I662" s="4" t="str">
        <x:v>1. 已登录用户账号
2. 目标公会被平台停用</x:v>
      </x:c>
      <x:c r="J662" s="4" t="str">
        <x:v>1. 进入「公会中心」页
2. 查看停用公会不展示不可搜索</x:v>
      </x:c>
      <x:c r="K662" s="4" t="str">
        <x:v>公会列表和搜索结果均不包含目标公会</x:v>
      </x:c>
      <x:c r="L662" s="4" t="str"/>
      <x:c r="M662" s="4" t="str">
        <x:v>未测</x:v>
      </x:c>
      <x:c r="N662" s="4" t="str"/>
      <x:c r="O662" s="4" t="str">
        <x:v>1. 来源：MainBasis/统一需求文档.md；U-guild-management-007
2. 场景：SC-33df73b70c8750</x:v>
      </x:c>
    </x:row>
    <x:row r="663" ht="54" customHeight="1">
      <x:c r="A663" s="4" t="n">
        <x:v>662</x:v>
      </x:c>
      <x:c r="B663" s="4" t="str">
        <x:v>USER-0662</x:v>
      </x:c>
      <x:c r="C663" s="4" t="str">
        <x:v>M05 公会申请、认证、组织与权限</x:v>
      </x:c>
      <x:c r="D663" s="4" t="str">
        <x:v>公会中心（用户视角）</x:v>
      </x:c>
      <x:c r="E663" s="4" t="str">
        <x:v>功能需求</x:v>
      </x:c>
      <x:c r="F663" s="4" t="str">
        <x:v>P1</x:v>
      </x:c>
      <x:c r="G663" s="4" t="str">
        <x:v>验证公会搜索保留后台顺序</x:v>
      </x:c>
      <x:c r="H663" s="4" t="str">
        <x:v>公会搜索保留后台顺序</x:v>
      </x:c>
      <x:c r="I663" s="4" t="str">
        <x:v>1. 已登录用户账号
2. 后台配置顺序为公会甲、乙、丙，搜索同时匹配甲与丙</x:v>
      </x:c>
      <x:c r="J663" s="4" t="str">
        <x:v>1. 进入「公会中心」页
2. 查看公会搜索保留后台顺序</x:v>
      </x:c>
      <x:c r="K663" s="4" t="str">
        <x:v>结果按甲、丙排列</x:v>
      </x:c>
      <x:c r="L663" s="4" t="str"/>
      <x:c r="M663" s="4" t="str">
        <x:v>未测</x:v>
      </x:c>
      <x:c r="N663" s="4" t="str"/>
      <x:c r="O663" s="4" t="str">
        <x:v>1. 来源：MainBasis/统一需求文档.md；U-guild-management-008
2. 场景：SC-75c78ae3cfd28d</x:v>
      </x:c>
    </x:row>
    <x:row r="664" ht="54" customHeight="1">
      <x:c r="A664" s="4" t="n">
        <x:v>663</x:v>
      </x:c>
      <x:c r="B664" s="4" t="str">
        <x:v>USER-0663</x:v>
      </x:c>
      <x:c r="C664" s="4" t="str">
        <x:v>M05 公会申请、认证、组织与权限</x:v>
      </x:c>
      <x:c r="D664" s="4" t="str">
        <x:v>公会中心（用户视角）</x:v>
      </x:c>
      <x:c r="E664" s="4" t="str">
        <x:v>功能需求</x:v>
      </x:c>
      <x:c r="F664" s="4" t="str">
        <x:v>P1</x:v>
      </x:c>
      <x:c r="G664" s="4" t="str">
        <x:v>验证已加入公会禁止再次申请</x:v>
      </x:c>
      <x:c r="H664" s="4" t="str">
        <x:v>已加入公会禁止再次申请</x:v>
      </x:c>
      <x:c r="I664" s="4" t="str">
        <x:v>1. 已登录用户账号
2. 已加入公会</x:v>
      </x:c>
      <x:c r="J664" s="4" t="str">
        <x:v>1. 进入「公会中心」页
2. 查看已加入公会禁止再次申请</x:v>
      </x:c>
      <x:c r="K664" s="4" t="str">
        <x:v>其他公会申请按钮置灰且不可点击</x:v>
      </x:c>
      <x:c r="L664" s="4" t="str"/>
      <x:c r="M664" s="4" t="str">
        <x:v>未测</x:v>
      </x:c>
      <x:c r="N664" s="4" t="str"/>
      <x:c r="O664" s="4" t="str">
        <x:v>1. 来源：MainBasis/统一需求文档.md；U-guild-management-010、U-guild-management-013
2. 场景：SC-d1023c524d7044</x:v>
      </x:c>
    </x:row>
    <x:row r="665" ht="54" customHeight="1">
      <x:c r="A665" s="4" t="n">
        <x:v>664</x:v>
      </x:c>
      <x:c r="B665" s="4" t="str">
        <x:v>USER-0664</x:v>
      </x:c>
      <x:c r="C665" s="4" t="str">
        <x:v>M05 公会申请、认证、组织与权限</x:v>
      </x:c>
      <x:c r="D665" s="4" t="str">
        <x:v>公会中心（用户视角）</x:v>
      </x:c>
      <x:c r="E665" s="4" t="str">
        <x:v>功能需求</x:v>
      </x:c>
      <x:c r="F665" s="4" t="str">
        <x:v>P1</x:v>
      </x:c>
      <x:c r="G665" s="4" t="str">
        <x:v>验证有处理中入会申请禁止再次申请</x:v>
      </x:c>
      <x:c r="H665" s="4" t="str">
        <x:v>有处理中入会申请禁止再次申请</x:v>
      </x:c>
      <x:c r="I665" s="4" t="str">
        <x:v>1. 已登录用户账号
2. 有处理中入会申请</x:v>
      </x:c>
      <x:c r="J665" s="4" t="str">
        <x:v>1. 进入「公会中心」页
2. 查看有处理中入会申请禁止再次申请</x:v>
      </x:c>
      <x:c r="K665" s="4" t="str">
        <x:v>其他公会申请按钮置灰且不可点击</x:v>
      </x:c>
      <x:c r="L665" s="4" t="str"/>
      <x:c r="M665" s="4" t="str">
        <x:v>未测</x:v>
      </x:c>
      <x:c r="N665" s="4" t="str"/>
      <x:c r="O665" s="4" t="str">
        <x:v>1. 来源：MainBasis/统一需求文档.md；U-guild-management-010、U-guild-management-013
2. 场景：SC-3c763b2f79b60e</x:v>
      </x:c>
    </x:row>
    <x:row r="666" ht="54" customHeight="1">
      <x:c r="A666" s="4" t="n">
        <x:v>665</x:v>
      </x:c>
      <x:c r="B666" s="4" t="str">
        <x:v>USER-0665</x:v>
      </x:c>
      <x:c r="C666" s="4" t="str">
        <x:v>M05 公会申请、认证、组织与权限</x:v>
      </x:c>
      <x:c r="D666" s="4" t="str">
        <x:v>公会中心（用户视角）</x:v>
      </x:c>
      <x:c r="E666" s="4" t="str">
        <x:v>功能需求</x:v>
      </x:c>
      <x:c r="F666" s="4" t="str">
        <x:v>P2</x:v>
      </x:c>
      <x:c r="G666" s="4" t="str">
        <x:v>验证申请入口</x:v>
      </x:c>
      <x:c r="H666" s="4" t="str">
        <x:v>申请入口</x:v>
      </x:c>
      <x:c r="I666" s="4" t="str">
        <x:v>1. 已登录用户账号
2. 账号无公会关系或处理中申请</x:v>
      </x:c>
      <x:c r="J666" s="4" t="str">
        <x:v>1. 进入「公会中心」页
2. 点击「申请」</x:v>
      </x:c>
      <x:c r="K666" s="4" t="str">
        <x:v>页面进入「填写申请单」</x:v>
      </x:c>
      <x:c r="L666" s="4" t="str"/>
      <x:c r="M666" s="4" t="str">
        <x:v>未测</x:v>
      </x:c>
      <x:c r="N666" s="4" t="str"/>
      <x:c r="O666" s="4" t="str">
        <x:v>1. 来源：MainBasis/统一需求文档.md；U-guild-management-012
2. 场景：SC-3e01b7793318ba</x:v>
      </x:c>
    </x:row>
    <x:row r="667" ht="54" customHeight="1">
      <x:c r="A667" s="4" t="n">
        <x:v>666</x:v>
      </x:c>
      <x:c r="B667" s="4" t="str">
        <x:v>USER-0666</x:v>
      </x:c>
      <x:c r="C667" s="4" t="str">
        <x:v>M05 公会申请、认证、组织与权限</x:v>
      </x:c>
      <x:c r="D667" s="4" t="str">
        <x:v>公会中心（用户视角）</x:v>
      </x:c>
      <x:c r="E667" s="4" t="str">
        <x:v>功能需求</x:v>
      </x:c>
      <x:c r="F667" s="4" t="str">
        <x:v>P2</x:v>
      </x:c>
      <x:c r="G667" s="4" t="str">
        <x:v>验证我的入口</x:v>
      </x:c>
      <x:c r="H667" s="4" t="str">
        <x:v>我的入口</x:v>
      </x:c>
      <x:c r="I667" s="4" t="str">
        <x:v>1. 已登录用户账号</x:v>
      </x:c>
      <x:c r="J667" s="4" t="str">
        <x:v>1. 进入「公会中心」页
2. 点击「我的」</x:v>
      </x:c>
      <x:c r="K667" s="4" t="str">
        <x:v>页面进入「我的公会」</x:v>
      </x:c>
      <x:c r="L667" s="4" t="str"/>
      <x:c r="M667" s="4" t="str">
        <x:v>未测</x:v>
      </x:c>
      <x:c r="N667" s="4" t="str"/>
      <x:c r="O667" s="4" t="str">
        <x:v>1. 来源：MainBasis/统一需求文档.md；U-guild-management-012
2. 场景：SC-36e8ff71dc5781</x:v>
      </x:c>
    </x:row>
    <x:row r="668" ht="54" customHeight="1">
      <x:c r="A668" s="4" t="n">
        <x:v>667</x:v>
      </x:c>
      <x:c r="B668" s="4" t="str">
        <x:v>USER-0667</x:v>
      </x:c>
      <x:c r="C668" s="4" t="str">
        <x:v>M05 公会申请、认证、组织与权限</x:v>
      </x:c>
      <x:c r="D668" s="4" t="str">
        <x:v>公会中心（用户视角）</x:v>
      </x:c>
      <x:c r="E668" s="4" t="str">
        <x:v>功能需求</x:v>
      </x:c>
      <x:c r="F668" s="4" t="str">
        <x:v>P2</x:v>
      </x:c>
      <x:c r="G668" s="4" t="str">
        <x:v>验证申请状态申请回显</x:v>
      </x:c>
      <x:c r="H668" s="4" t="str">
        <x:v>申请状态申请回显</x:v>
      </x:c>
      <x:c r="I668" s="4" t="str">
        <x:v>1. 已登录用户账号
2. 所选记录申请状态为申请</x:v>
      </x:c>
      <x:c r="J668" s="4" t="str">
        <x:v>1. 进入「公会中心」页
2. 查看申请状态申请回显</x:v>
      </x:c>
      <x:c r="K668" s="4" t="str">
        <x:v>申请状态显示申请</x:v>
      </x:c>
      <x:c r="L668" s="4" t="str"/>
      <x:c r="M668" s="4" t="str">
        <x:v>未测</x:v>
      </x:c>
      <x:c r="N668" s="4" t="str"/>
      <x:c r="O668" s="4" t="str">
        <x:v>1. 来源：MainBasis/统一需求文档.md；U-guild-management-006
2. 场景：SC-f4ef97fb478efb</x:v>
      </x:c>
    </x:row>
    <x:row r="669" ht="54" customHeight="1">
      <x:c r="A669" s="4" t="n">
        <x:v>668</x:v>
      </x:c>
      <x:c r="B669" s="4" t="str">
        <x:v>USER-0668</x:v>
      </x:c>
      <x:c r="C669" s="4" t="str">
        <x:v>M05 公会申请、认证、组织与权限</x:v>
      </x:c>
      <x:c r="D669" s="4" t="str">
        <x:v>公会中心（用户视角）</x:v>
      </x:c>
      <x:c r="E669" s="4" t="str">
        <x:v>功能需求</x:v>
      </x:c>
      <x:c r="F669" s="4" t="str">
        <x:v>P2</x:v>
      </x:c>
      <x:c r="G669" s="4" t="str">
        <x:v>验证申请状态申请中或已入会回显</x:v>
      </x:c>
      <x:c r="H669" s="4" t="str">
        <x:v>申请状态申请中或已入会回显</x:v>
      </x:c>
      <x:c r="I669" s="4" t="str">
        <x:v>1. 已登录用户账号
2. 所选记录申请状态为申请中或已入会</x:v>
      </x:c>
      <x:c r="J669" s="4" t="str">
        <x:v>1. 进入「公会中心」页
2. 查看申请状态申请中或已入会回显</x:v>
      </x:c>
      <x:c r="K669" s="4" t="str">
        <x:v>申请状态显示申请中或已入会</x:v>
      </x:c>
      <x:c r="L669" s="4" t="str"/>
      <x:c r="M669" s="4" t="str">
        <x:v>未测</x:v>
      </x:c>
      <x:c r="N669" s="4" t="str"/>
      <x:c r="O669" s="4" t="str">
        <x:v>1. 来源：MainBasis/统一需求文档.md；U-guild-management-006
2. 场景：SC-30027de1948ccf</x:v>
      </x:c>
    </x:row>
    <x:row r="670" ht="54" customHeight="1">
      <x:c r="A670" s="4" t="n">
        <x:v>669</x:v>
      </x:c>
      <x:c r="B670" s="4" t="str">
        <x:v>USER-0669</x:v>
      </x:c>
      <x:c r="C670" s="4" t="str">
        <x:v>M05 公会申请、认证、组织与权限</x:v>
      </x:c>
      <x:c r="D670" s="4" t="str">
        <x:v>公会中心（用户视角）</x:v>
      </x:c>
      <x:c r="E670" s="4" t="str">
        <x:v>功能需求</x:v>
      </x:c>
      <x:c r="F670" s="4" t="str">
        <x:v>P1</x:v>
      </x:c>
      <x:c r="G670" s="4" t="str">
        <x:v>验证当前公会身份</x:v>
      </x:c>
      <x:c r="H670" s="4" t="str">
        <x:v>当前公会身份</x:v>
      </x:c>
      <x:c r="I670" s="4" t="str">
        <x:v>1. 已登录用户账号
2. 当前账号已加入公会甲，已记录甲的头像、名称和ID</x:v>
      </x:c>
      <x:c r="J670" s="4" t="str">
        <x:v>1. 进入「公会中心」页
2. 查看当前公会身份</x:v>
      </x:c>
      <x:c r="K670" s="4" t="str">
        <x:v>公会身份卡展示甲的头像、名称和ID</x:v>
      </x:c>
      <x:c r="L670" s="4" t="str"/>
      <x:c r="M670" s="4" t="str">
        <x:v>未测</x:v>
      </x:c>
      <x:c r="N670" s="4" t="str"/>
      <x:c r="O670" s="4" t="str">
        <x:v>1. 来源：MainBasis/统一需求文档.md；U-guild-management-003
2. 场景：SC-35ab7191cac70b</x:v>
      </x:c>
    </x:row>
    <x:row r="671" ht="54" customHeight="1">
      <x:c r="A671" s="4" t="n">
        <x:v>670</x:v>
      </x:c>
      <x:c r="B671" s="4" t="str">
        <x:v>USER-0670</x:v>
      </x:c>
      <x:c r="C671" s="4" t="str">
        <x:v>M05 公会申请、认证、组织与权限</x:v>
      </x:c>
      <x:c r="D671" s="4" t="str">
        <x:v>公会中心（用户视角）</x:v>
      </x:c>
      <x:c r="E671" s="4" t="str">
        <x:v>功能需求</x:v>
      </x:c>
      <x:c r="F671" s="4" t="str">
        <x:v>P1</x:v>
      </x:c>
      <x:c r="G671" s="4" t="str">
        <x:v>验证公会简介内容</x:v>
      </x:c>
      <x:c r="H671" s="4" t="str">
        <x:v>公会简介内容</x:v>
      </x:c>
      <x:c r="I671" s="4" t="str">
        <x:v>1. 已登录用户账号
2. 公会甲简介为「欢迎加入」，当前账号已加入甲</x:v>
      </x:c>
      <x:c r="J671" s="4" t="str">
        <x:v>1. 进入「公会中心」页
2. 查看公会简介内容</x:v>
      </x:c>
      <x:c r="K671" s="4" t="str">
        <x:v>简介显示「欢迎加入」</x:v>
      </x:c>
      <x:c r="L671" s="4" t="str"/>
      <x:c r="M671" s="4" t="str">
        <x:v>未测</x:v>
      </x:c>
      <x:c r="N671" s="4" t="str"/>
      <x:c r="O671" s="4" t="str">
        <x:v>1. 来源：MainBasis/统一需求文档.md；U-guild-management-004
2. 场景：SC-dc77bf7caa16c5</x:v>
      </x:c>
    </x:row>
    <x:row r="672" ht="54" customHeight="1">
      <x:c r="A672" s="4" t="n">
        <x:v>671</x:v>
      </x:c>
      <x:c r="B672" s="4" t="str">
        <x:v>USER-0671</x:v>
      </x:c>
      <x:c r="C672" s="4" t="str">
        <x:v>M05 公会申请、认证、组织与权限</x:v>
      </x:c>
      <x:c r="D672" s="4" t="str">
        <x:v>公会中心（用户视角）</x:v>
      </x:c>
      <x:c r="E672" s="4" t="str">
        <x:v>功能需求</x:v>
      </x:c>
      <x:c r="F672" s="4" t="str">
        <x:v>P1</x:v>
      </x:c>
      <x:c r="G672" s="4" t="str">
        <x:v>验证公会主播人数</x:v>
      </x:c>
      <x:c r="H672" s="4" t="str">
        <x:v>公会主播人数</x:v>
      </x:c>
      <x:c r="I672" s="4" t="str">
        <x:v>1. 已登录用户账号
2. 当前公会恰有3名在会主播</x:v>
      </x:c>
      <x:c r="J672" s="4" t="str">
        <x:v>1. 进入「公会中心」页
2. 查看公会主播人数</x:v>
      </x:c>
      <x:c r="K672" s="4" t="str">
        <x:v>主播人数显示3</x:v>
      </x:c>
      <x:c r="L672" s="4" t="str"/>
      <x:c r="M672" s="4" t="str">
        <x:v>未测</x:v>
      </x:c>
      <x:c r="N672" s="4" t="str"/>
      <x:c r="O672" s="4" t="str">
        <x:v>1. 来源：MainBasis/统一需求文档.md；U-guild-management-005
2. 场景：SC-989c9e704254f4</x:v>
      </x:c>
    </x:row>
    <x:row r="673" ht="54" customHeight="1">
      <x:c r="A673" s="4" t="n">
        <x:v>672</x:v>
      </x:c>
      <x:c r="B673" s="4" t="str">
        <x:v>USER-0672</x:v>
      </x:c>
      <x:c r="C673" s="4" t="str">
        <x:v>M05 公会申请、认证、组织与权限</x:v>
      </x:c>
      <x:c r="D673" s="4" t="str">
        <x:v>填写申请单（用户视角）</x:v>
      </x:c>
      <x:c r="E673" s="4" t="str">
        <x:v>功能需求</x:v>
      </x:c>
      <x:c r="F673" s="4" t="str">
        <x:v>P2</x:v>
      </x:c>
      <x:c r="G673" s="4" t="str">
        <x:v>验证申请公会回显</x:v>
      </x:c>
      <x:c r="H673" s="4" t="str">
        <x:v>申请公会回显</x:v>
      </x:c>
      <x:c r="I673" s="4" t="str">
        <x:v>1. 已登录用户账号
2. 所选对象存在，已记录该对象的申请公会值</x:v>
      </x:c>
      <x:c r="J673" s="4" t="str">
        <x:v>1. 进入「填写申请单」页
2. 查看申请公会回显</x:v>
      </x:c>
      <x:c r="K673" s="4" t="str">
        <x:v>「申请公会」内容与所选对象的该项资料一致</x:v>
      </x:c>
      <x:c r="L673" s="4" t="str"/>
      <x:c r="M673" s="4" t="str">
        <x:v>未测</x:v>
      </x:c>
      <x:c r="N673" s="4" t="str"/>
      <x:c r="O673" s="4" t="str">
        <x:v>1. 来源：MainBasis/统一需求文档.md；U-guild-application-form-002
2. 场景：SC-1916b2ab2477b3</x:v>
      </x:c>
    </x:row>
    <x:row r="674" ht="54" customHeight="1">
      <x:c r="A674" s="4" t="n">
        <x:v>673</x:v>
      </x:c>
      <x:c r="B674" s="4" t="str">
        <x:v>USER-0673</x:v>
      </x:c>
      <x:c r="C674" s="4" t="str">
        <x:v>M05 公会申请、认证、组织与权限</x:v>
      </x:c>
      <x:c r="D674" s="4" t="str">
        <x:v>填写申请单（用户视角）</x:v>
      </x:c>
      <x:c r="E674" s="4" t="str">
        <x:v>功能需求</x:v>
      </x:c>
      <x:c r="F674" s="4" t="str">
        <x:v>P1</x:v>
      </x:c>
      <x:c r="G674" s="4" t="str">
        <x:v>验证申请公会来源一致</x:v>
      </x:c>
      <x:c r="H674" s="4" t="str">
        <x:v>申请公会来源一致</x:v>
      </x:c>
      <x:c r="I674" s="4" t="str">
        <x:v>1. 已登录用户账号
2. 从公会选择页选中公会甲</x:v>
      </x:c>
      <x:c r="J674" s="4" t="str">
        <x:v>1. 进入「填写申请单」页
2. 查看申请公会来源一致</x:v>
      </x:c>
      <x:c r="K674" s="4" t="str">
        <x:v>申请公会显示公会甲</x:v>
      </x:c>
      <x:c r="L674" s="4" t="str"/>
      <x:c r="M674" s="4" t="str">
        <x:v>未测</x:v>
      </x:c>
      <x:c r="N674" s="4" t="str"/>
      <x:c r="O674" s="4" t="str">
        <x:v>1. 来源：MainBasis/统一需求文档.md；U-guild-application-form-002
2. 场景：SC-bdb7c65e3563ad</x:v>
      </x:c>
    </x:row>
    <x:row r="675" ht="54" customHeight="1">
      <x:c r="A675" s="4" t="n">
        <x:v>674</x:v>
      </x:c>
      <x:c r="B675" s="4" t="str">
        <x:v>USER-0674</x:v>
      </x:c>
      <x:c r="C675" s="4" t="str">
        <x:v>M05 公会申请、认证、组织与权限</x:v>
      </x:c>
      <x:c r="D675" s="4" t="str">
        <x:v>填写申请单（用户视角）</x:v>
      </x:c>
      <x:c r="E675" s="4" t="str">
        <x:v>异常用例</x:v>
      </x:c>
      <x:c r="F675" s="4" t="str">
        <x:v>P1</x:v>
      </x:c>
      <x:c r="G675" s="4" t="str">
        <x:v>验证入会申请缺少姓名</x:v>
      </x:c>
      <x:c r="H675" s="4" t="str">
        <x:v>入会申请缺少姓名</x:v>
      </x:c>
      <x:c r="I675" s="4" t="str">
        <x:v>1. 已登录用户账号
2. 其余必填材料齐全</x:v>
      </x:c>
      <x:c r="J675" s="4" t="str">
        <x:v>1. 进入「填写申请单」页
2. 保持姓名未填写或未上传</x:v>
      </x:c>
      <x:c r="K675" s="4" t="str">
        <x:v>提交按钮不可用</x:v>
      </x:c>
      <x:c r="L675" s="4" t="str"/>
      <x:c r="M675" s="4" t="str">
        <x:v>未测</x:v>
      </x:c>
      <x:c r="N675" s="4" t="str"/>
      <x:c r="O675" s="4" t="str">
        <x:v>1. 来源：MainBasis/统一需求文档.md；U-guild-application-form-012
2. 场景：SC-d44b17f28e648d</x:v>
      </x:c>
    </x:row>
    <x:row r="676" ht="54" customHeight="1">
      <x:c r="A676" s="4" t="n">
        <x:v>675</x:v>
      </x:c>
      <x:c r="B676" s="4" t="str">
        <x:v>USER-0675</x:v>
      </x:c>
      <x:c r="C676" s="4" t="str">
        <x:v>M05 公会申请、认证、组织与权限</x:v>
      </x:c>
      <x:c r="D676" s="4" t="str">
        <x:v>填写申请单（用户视角）</x:v>
      </x:c>
      <x:c r="E676" s="4" t="str">
        <x:v>异常用例</x:v>
      </x:c>
      <x:c r="F676" s="4" t="str">
        <x:v>P1</x:v>
      </x:c>
      <x:c r="G676" s="4" t="str">
        <x:v>验证入会申请缺少电话</x:v>
      </x:c>
      <x:c r="H676" s="4" t="str">
        <x:v>入会申请缺少电话</x:v>
      </x:c>
      <x:c r="I676" s="4" t="str">
        <x:v>1. 已登录用户账号
2. 其余必填材料齐全</x:v>
      </x:c>
      <x:c r="J676" s="4" t="str">
        <x:v>1. 进入「填写申请单」页
2. 保持电话未填写或未上传</x:v>
      </x:c>
      <x:c r="K676" s="4" t="str">
        <x:v>提交按钮不可用</x:v>
      </x:c>
      <x:c r="L676" s="4" t="str"/>
      <x:c r="M676" s="4" t="str">
        <x:v>未测</x:v>
      </x:c>
      <x:c r="N676" s="4" t="str"/>
      <x:c r="O676" s="4" t="str">
        <x:v>1. 来源：MainBasis/统一需求文档.md；U-guild-application-form-012
2. 场景：SC-be31c4c77cbbfc</x:v>
      </x:c>
    </x:row>
    <x:row r="677" ht="54" customHeight="1">
      <x:c r="A677" s="4" t="n">
        <x:v>676</x:v>
      </x:c>
      <x:c r="B677" s="4" t="str">
        <x:v>USER-0676</x:v>
      </x:c>
      <x:c r="C677" s="4" t="str">
        <x:v>M05 公会申请、认证、组织与权限</x:v>
      </x:c>
      <x:c r="D677" s="4" t="str">
        <x:v>填写申请单（用户视角）</x:v>
      </x:c>
      <x:c r="E677" s="4" t="str">
        <x:v>异常用例</x:v>
      </x:c>
      <x:c r="F677" s="4" t="str">
        <x:v>P1</x:v>
      </x:c>
      <x:c r="G677" s="4" t="str">
        <x:v>验证入会申请缺少本人照片</x:v>
      </x:c>
      <x:c r="H677" s="4" t="str">
        <x:v>入会申请缺少本人照片</x:v>
      </x:c>
      <x:c r="I677" s="4" t="str">
        <x:v>1. 已登录用户账号
2. 其余必填材料齐全</x:v>
      </x:c>
      <x:c r="J677" s="4" t="str">
        <x:v>1. 进入「填写申请单」页
2. 保持本人照片未填写或未上传</x:v>
      </x:c>
      <x:c r="K677" s="4" t="str">
        <x:v>提交按钮不可用</x:v>
      </x:c>
      <x:c r="L677" s="4" t="str"/>
      <x:c r="M677" s="4" t="str">
        <x:v>未测</x:v>
      </x:c>
      <x:c r="N677" s="4" t="str"/>
      <x:c r="O677" s="4" t="str">
        <x:v>1. 来源：MainBasis/统一需求文档.md；U-guild-application-form-012
2. 场景：SC-0702c35c62bd52</x:v>
      </x:c>
    </x:row>
    <x:row r="678" ht="54" customHeight="1">
      <x:c r="A678" s="4" t="n">
        <x:v>677</x:v>
      </x:c>
      <x:c r="B678" s="4" t="str">
        <x:v>USER-0677</x:v>
      </x:c>
      <x:c r="C678" s="4" t="str">
        <x:v>M05 公会申请、认证、组织与权限</x:v>
      </x:c>
      <x:c r="D678" s="4" t="str">
        <x:v>填写申请单（用户视角）</x:v>
      </x:c>
      <x:c r="E678" s="4" t="str">
        <x:v>异常用例</x:v>
      </x:c>
      <x:c r="F678" s="4" t="str">
        <x:v>P1</x:v>
      </x:c>
      <x:c r="G678" s="4" t="str">
        <x:v>验证入会申请缺少证件正面</x:v>
      </x:c>
      <x:c r="H678" s="4" t="str">
        <x:v>入会申请缺少证件正面</x:v>
      </x:c>
      <x:c r="I678" s="4" t="str">
        <x:v>1. 已登录用户账号
2. 其余必填材料齐全</x:v>
      </x:c>
      <x:c r="J678" s="4" t="str">
        <x:v>1. 进入「填写申请单」页
2. 保持证件正面未填写或未上传</x:v>
      </x:c>
      <x:c r="K678" s="4" t="str">
        <x:v>提交按钮不可用</x:v>
      </x:c>
      <x:c r="L678" s="4" t="str"/>
      <x:c r="M678" s="4" t="str">
        <x:v>未测</x:v>
      </x:c>
      <x:c r="N678" s="4" t="str"/>
      <x:c r="O678" s="4" t="str">
        <x:v>1. 来源：MainBasis/统一需求文档.md；U-guild-application-form-012
2. 场景：SC-a8fe851b4c567e</x:v>
      </x:c>
    </x:row>
    <x:row r="679" ht="54" customHeight="1">
      <x:c r="A679" s="4" t="n">
        <x:v>678</x:v>
      </x:c>
      <x:c r="B679" s="4" t="str">
        <x:v>USER-0678</x:v>
      </x:c>
      <x:c r="C679" s="4" t="str">
        <x:v>M05 公会申请、认证、组织与权限</x:v>
      </x:c>
      <x:c r="D679" s="4" t="str">
        <x:v>填写申请单（用户视角）</x:v>
      </x:c>
      <x:c r="E679" s="4" t="str">
        <x:v>异常用例</x:v>
      </x:c>
      <x:c r="F679" s="4" t="str">
        <x:v>P1</x:v>
      </x:c>
      <x:c r="G679" s="4" t="str">
        <x:v>验证入会申请缺少证件反面</x:v>
      </x:c>
      <x:c r="H679" s="4" t="str">
        <x:v>入会申请缺少证件反面</x:v>
      </x:c>
      <x:c r="I679" s="4" t="str">
        <x:v>1. 已登录用户账号
2. 其余必填材料齐全</x:v>
      </x:c>
      <x:c r="J679" s="4" t="str">
        <x:v>1. 进入「填写申请单」页
2. 保持证件反面未填写或未上传</x:v>
      </x:c>
      <x:c r="K679" s="4" t="str">
        <x:v>提交按钮不可用</x:v>
      </x:c>
      <x:c r="L679" s="4" t="str"/>
      <x:c r="M679" s="4" t="str">
        <x:v>未测</x:v>
      </x:c>
      <x:c r="N679" s="4" t="str"/>
      <x:c r="O679" s="4" t="str">
        <x:v>1. 来源：MainBasis/统一需求文档.md；U-guild-application-form-012
2. 场景：SC-b7ec8831e03220</x:v>
      </x:c>
    </x:row>
    <x:row r="680" ht="54" customHeight="1">
      <x:c r="A680" s="4" t="n">
        <x:v>679</x:v>
      </x:c>
      <x:c r="B680" s="4" t="str">
        <x:v>USER-0679</x:v>
      </x:c>
      <x:c r="C680" s="4" t="str">
        <x:v>M05 公会申请、认证、组织与权限</x:v>
      </x:c>
      <x:c r="D680" s="4" t="str">
        <x:v>填写申请单（用户视角）</x:v>
      </x:c>
      <x:c r="E680" s="4" t="str">
        <x:v>异常用例</x:v>
      </x:c>
      <x:c r="F680" s="4" t="str">
        <x:v>P1</x:v>
      </x:c>
      <x:c r="G680" s="4" t="str">
        <x:v>验证入会姓名仅空格</x:v>
      </x:c>
      <x:c r="H680" s="4" t="str">
        <x:v>入会姓名仅空格</x:v>
      </x:c>
      <x:c r="I680" s="4" t="str">
        <x:v>1. 已登录用户账号
2. 其余资料齐全</x:v>
      </x:c>
      <x:c r="J680" s="4" t="str">
        <x:v>1. 进入「填写申请单」页
2. 姓名输入3个空格</x:v>
      </x:c>
      <x:c r="K680" s="4" t="str">
        <x:v>提交按钮不可用</x:v>
      </x:c>
      <x:c r="L680" s="4" t="str"/>
      <x:c r="M680" s="4" t="str">
        <x:v>未测</x:v>
      </x:c>
      <x:c r="N680" s="4" t="str"/>
      <x:c r="O680" s="4" t="str">
        <x:v>1. 来源：MainBasis/统一需求文档.md；U-guild-application-form-003
2. 场景：SC-bcc306b06530ef</x:v>
      </x:c>
    </x:row>
    <x:row r="681" ht="54" customHeight="1">
      <x:c r="A681" s="4" t="n">
        <x:v>680</x:v>
      </x:c>
      <x:c r="B681" s="4" t="str">
        <x:v>USER-0680</x:v>
      </x:c>
      <x:c r="C681" s="4" t="str">
        <x:v>M05 公会申请、认证、组织与权限</x:v>
      </x:c>
      <x:c r="D681" s="4" t="str">
        <x:v>填写申请单（用户视角）</x:v>
      </x:c>
      <x:c r="E681" s="4" t="str">
        <x:v>功能需求</x:v>
      </x:c>
      <x:c r="F681" s="4" t="str">
        <x:v>P1</x:v>
      </x:c>
      <x:c r="G681" s="4" t="str">
        <x:v>验证默认KTP证件</x:v>
      </x:c>
      <x:c r="H681" s="4" t="str">
        <x:v>默认KTP证件</x:v>
      </x:c>
      <x:c r="I681" s="4" t="str">
        <x:v>1. 已登录用户账号</x:v>
      </x:c>
      <x:c r="J681" s="4" t="str">
        <x:v>1. 进入「填写申请单」页
2. 查看默认KTP证件</x:v>
      </x:c>
      <x:c r="K681" s="4" t="str">
        <x:v>默认选中KTP，证件类型不可同时选择KTP和SIM</x:v>
      </x:c>
      <x:c r="L681" s="4" t="str"/>
      <x:c r="M681" s="4" t="str">
        <x:v>未测</x:v>
      </x:c>
      <x:c r="N681" s="4" t="str"/>
      <x:c r="O681" s="4" t="str">
        <x:v>1. 来源：MainBasis/统一需求文档.md；U-guild-application-form-006
2. 场景：SC-91d35380ecb8d6</x:v>
      </x:c>
    </x:row>
    <x:row r="682" ht="68" customHeight="1">
      <x:c r="A682" s="4" t="n">
        <x:v>681</x:v>
      </x:c>
      <x:c r="B682" s="4" t="str">
        <x:v>USER-0681</x:v>
      </x:c>
      <x:c r="C682" s="4" t="str">
        <x:v>M05 公会申请、认证、组织与权限</x:v>
      </x:c>
      <x:c r="D682" s="4" t="str">
        <x:v>填写申请单（用户视角）</x:v>
      </x:c>
      <x:c r="E682" s="4" t="str">
        <x:v>功能需求</x:v>
      </x:c>
      <x:c r="F682" s="4" t="str">
        <x:v>P1</x:v>
      </x:c>
      <x:c r="G682" s="4" t="str">
        <x:v>验证切换至KTP清空旧证件</x:v>
      </x:c>
      <x:c r="H682" s="4" t="str">
        <x:v>切换至KTP清空旧证件</x:v>
      </x:c>
      <x:c r="I682" s="4" t="str">
        <x:v>1. 已登录用户账号
2. 当前选中另一证件类型，正反面照片已上传</x:v>
      </x:c>
      <x:c r="J682" s="4" t="str">
        <x:v>1. 进入「填写申请单」页
2. 选择KTP</x:v>
      </x:c>
      <x:c r="K682" s="4" t="str">
        <x:v>证件正反面照片均清空，需重新上传</x:v>
      </x:c>
      <x:c r="L682" s="4" t="str"/>
      <x:c r="M682" s="4" t="str">
        <x:v>未测</x:v>
      </x:c>
      <x:c r="N682" s="4" t="str"/>
      <x:c r="O682" s="4" t="str">
        <x:v>1. 来源：MainBasis/统一需求文档.md；U-guild-application-form-006、U-guild-application-form-012
2. 场景：SC-120c08232e0c2a</x:v>
      </x:c>
    </x:row>
    <x:row r="683" ht="68" customHeight="1">
      <x:c r="A683" s="4" t="n">
        <x:v>682</x:v>
      </x:c>
      <x:c r="B683" s="4" t="str">
        <x:v>USER-0682</x:v>
      </x:c>
      <x:c r="C683" s="4" t="str">
        <x:v>M05 公会申请、认证、组织与权限</x:v>
      </x:c>
      <x:c r="D683" s="4" t="str">
        <x:v>填写申请单（用户视角）</x:v>
      </x:c>
      <x:c r="E683" s="4" t="str">
        <x:v>功能需求</x:v>
      </x:c>
      <x:c r="F683" s="4" t="str">
        <x:v>P1</x:v>
      </x:c>
      <x:c r="G683" s="4" t="str">
        <x:v>验证切换至SIM清空旧证件</x:v>
      </x:c>
      <x:c r="H683" s="4" t="str">
        <x:v>切换至SIM清空旧证件</x:v>
      </x:c>
      <x:c r="I683" s="4" t="str">
        <x:v>1. 已登录用户账号
2. 当前选中另一证件类型，正反面照片已上传</x:v>
      </x:c>
      <x:c r="J683" s="4" t="str">
        <x:v>1. 进入「填写申请单」页
2. 选择SIM</x:v>
      </x:c>
      <x:c r="K683" s="4" t="str">
        <x:v>证件正反面照片均清空，需重新上传</x:v>
      </x:c>
      <x:c r="L683" s="4" t="str"/>
      <x:c r="M683" s="4" t="str">
        <x:v>未测</x:v>
      </x:c>
      <x:c r="N683" s="4" t="str"/>
      <x:c r="O683" s="4" t="str">
        <x:v>1. 来源：MainBasis/统一需求文档.md；U-guild-application-form-006、U-guild-application-form-012
2. 场景：SC-2e70df8d19a89f</x:v>
      </x:c>
    </x:row>
    <x:row r="684" ht="68" customHeight="1">
      <x:c r="A684" s="4" t="n">
        <x:v>683</x:v>
      </x:c>
      <x:c r="B684" s="4" t="str">
        <x:v>USER-0683</x:v>
      </x:c>
      <x:c r="C684" s="4" t="str">
        <x:v>M05 公会申请、认证、组织与权限</x:v>
      </x:c>
      <x:c r="D684" s="4" t="str">
        <x:v>填写申请单（用户视角）</x:v>
      </x:c>
      <x:c r="E684" s="4" t="str">
        <x:v>异常用例</x:v>
      </x:c>
      <x:c r="F684" s="4" t="str">
        <x:v>P1</x:v>
      </x:c>
      <x:c r="G684" s="4" t="str">
        <x:v>验证本人照片拒绝非图片</x:v>
      </x:c>
      <x:c r="H684" s="4" t="str">
        <x:v>本人照片拒绝非图片</x:v>
      </x:c>
      <x:c r="I684" s="4" t="str">
        <x:v>1. 已登录用户账号</x:v>
      </x:c>
      <x:c r="J684" s="4" t="str">
        <x:v>1. 进入「填写申请单」页
2. 为本人照片选择文本文件</x:v>
      </x:c>
      <x:c r="K684" s="4" t="str">
        <x:v>本人照片不能使用该非图片文件</x:v>
      </x:c>
      <x:c r="L684" s="4" t="str"/>
      <x:c r="M684" s="4" t="str">
        <x:v>未测</x:v>
      </x:c>
      <x:c r="N684" s="4" t="str"/>
      <x:c r="O684" s="4" t="str">
        <x:v>1. 来源：MainBasis/统一需求文档.md；U-guild-application-form-005、U-guild-application-form-007
2. 场景：SC-7cc1c63c25b1cd</x:v>
      </x:c>
    </x:row>
    <x:row r="685" ht="68" customHeight="1">
      <x:c r="A685" s="4" t="n">
        <x:v>684</x:v>
      </x:c>
      <x:c r="B685" s="4" t="str">
        <x:v>USER-0684</x:v>
      </x:c>
      <x:c r="C685" s="4" t="str">
        <x:v>M05 公会申请、认证、组织与权限</x:v>
      </x:c>
      <x:c r="D685" s="4" t="str">
        <x:v>填写申请单（用户视角）</x:v>
      </x:c>
      <x:c r="E685" s="4" t="str">
        <x:v>异常用例</x:v>
      </x:c>
      <x:c r="F685" s="4" t="str">
        <x:v>P1</x:v>
      </x:c>
      <x:c r="G685" s="4" t="str">
        <x:v>验证证件正面拒绝非图片</x:v>
      </x:c>
      <x:c r="H685" s="4" t="str">
        <x:v>证件正面拒绝非图片</x:v>
      </x:c>
      <x:c r="I685" s="4" t="str">
        <x:v>1. 已登录用户账号</x:v>
      </x:c>
      <x:c r="J685" s="4" t="str">
        <x:v>1. 进入「填写申请单」页
2. 为证件正面选择文本文件</x:v>
      </x:c>
      <x:c r="K685" s="4" t="str">
        <x:v>证件正面不能使用该非图片文件</x:v>
      </x:c>
      <x:c r="L685" s="4" t="str"/>
      <x:c r="M685" s="4" t="str">
        <x:v>未测</x:v>
      </x:c>
      <x:c r="N685" s="4" t="str"/>
      <x:c r="O685" s="4" t="str">
        <x:v>1. 来源：MainBasis/统一需求文档.md；U-guild-application-form-005、U-guild-application-form-007
2. 场景：SC-bd524cfbcd3a00</x:v>
      </x:c>
    </x:row>
    <x:row r="686" ht="68" customHeight="1">
      <x:c r="A686" s="4" t="n">
        <x:v>685</x:v>
      </x:c>
      <x:c r="B686" s="4" t="str">
        <x:v>USER-0685</x:v>
      </x:c>
      <x:c r="C686" s="4" t="str">
        <x:v>M05 公会申请、认证、组织与权限</x:v>
      </x:c>
      <x:c r="D686" s="4" t="str">
        <x:v>填写申请单（用户视角）</x:v>
      </x:c>
      <x:c r="E686" s="4" t="str">
        <x:v>异常用例</x:v>
      </x:c>
      <x:c r="F686" s="4" t="str">
        <x:v>P1</x:v>
      </x:c>
      <x:c r="G686" s="4" t="str">
        <x:v>验证证件反面拒绝非图片</x:v>
      </x:c>
      <x:c r="H686" s="4" t="str">
        <x:v>证件反面拒绝非图片</x:v>
      </x:c>
      <x:c r="I686" s="4" t="str">
        <x:v>1. 已登录用户账号</x:v>
      </x:c>
      <x:c r="J686" s="4" t="str">
        <x:v>1. 进入「填写申请单」页
2. 为证件反面选择文本文件</x:v>
      </x:c>
      <x:c r="K686" s="4" t="str">
        <x:v>证件反面不能使用该非图片文件</x:v>
      </x:c>
      <x:c r="L686" s="4" t="str"/>
      <x:c r="M686" s="4" t="str">
        <x:v>未测</x:v>
      </x:c>
      <x:c r="N686" s="4" t="str"/>
      <x:c r="O686" s="4" t="str">
        <x:v>1. 来源：MainBasis/统一需求文档.md；U-guild-application-form-005、U-guild-application-form-007
2. 场景：SC-32def5012b0334</x:v>
      </x:c>
    </x:row>
    <x:row r="687" ht="96" customHeight="1">
      <x:c r="A687" s="4" t="n">
        <x:v>686</x:v>
      </x:c>
      <x:c r="B687" s="4" t="str">
        <x:v>USER-0686</x:v>
      </x:c>
      <x:c r="C687" s="4" t="str">
        <x:v>M05 公会申请、认证、组织与权限</x:v>
      </x:c>
      <x:c r="D687" s="4" t="str">
        <x:v>填写申请单（用户视角）</x:v>
      </x:c>
      <x:c r="E687" s="4" t="str">
        <x:v>功能需求</x:v>
      </x:c>
      <x:c r="F687" s="4" t="str">
        <x:v>P1</x:v>
      </x:c>
      <x:c r="G687" s="4" t="str">
        <x:v>验证首次提交入会申请</x:v>
      </x:c>
      <x:c r="H687" s="4" t="str">
        <x:v>首次提交入会申请</x:v>
      </x:c>
      <x:c r="I687" s="4" t="str">
        <x:v>1. 已登录用户账号
2. 未加入公会且没有处理中申请
3. 姓名、+62电话、本人照片和所选证件正反面材料齐全</x:v>
      </x:c>
      <x:c r="J687" s="4" t="str">
        <x:v>1. 进入「填写申请单」页
2. 点击提交</x:v>
      </x:c>
      <x:c r="K687" s="4" t="str">
        <x:v>生成一笔处理中申请并进入所选公会详情</x:v>
      </x:c>
      <x:c r="L687" s="4" t="str">
        <x:v>FLOW-B8276CAE</x:v>
      </x:c>
      <x:c r="M687" s="4" t="str">
        <x:v>未测</x:v>
      </x:c>
      <x:c r="N687" s="4" t="str"/>
      <x:c r="O687" s="4" t="str">
        <x:v>1. 来源：MainBasis/统一需求文档.md；U-guild-application-form-009、U-guild-application-form-013、U-guild-application-form-004、G-guild-join-review-004、D-SYS-047
2. 场景：SC-81bd22a4a13f47
3. 状态转换：ST-DD3F68EE18AB</x:v>
      </x:c>
    </x:row>
    <x:row r="688" ht="54" customHeight="1">
      <x:c r="A688" s="4" t="n">
        <x:v>687</x:v>
      </x:c>
      <x:c r="B688" s="4" t="str">
        <x:v>USER-0687</x:v>
      </x:c>
      <x:c r="C688" s="4" t="str">
        <x:v>M05 公会申请、认证、组织与权限</x:v>
      </x:c>
      <x:c r="D688" s="4" t="str">
        <x:v>填写申请单（用户视角）</x:v>
      </x:c>
      <x:c r="E688" s="4" t="str">
        <x:v>功能需求</x:v>
      </x:c>
      <x:c r="F688" s="4" t="str">
        <x:v>P2</x:v>
      </x:c>
      <x:c r="G688" s="4" t="str">
        <x:v>验证更换公会入口</x:v>
      </x:c>
      <x:c r="H688" s="4" t="str">
        <x:v>更换公会入口</x:v>
      </x:c>
      <x:c r="I688" s="4" t="str">
        <x:v>1. 已登录用户账号</x:v>
      </x:c>
      <x:c r="J688" s="4" t="str">
        <x:v>1. 进入「填写申请单」页
2. 点击「更换公会」</x:v>
      </x:c>
      <x:c r="K688" s="4" t="str">
        <x:v>页面进入「公会选择」</x:v>
      </x:c>
      <x:c r="L688" s="4" t="str"/>
      <x:c r="M688" s="4" t="str">
        <x:v>未测</x:v>
      </x:c>
      <x:c r="N688" s="4" t="str"/>
      <x:c r="O688" s="4" t="str">
        <x:v>1. 来源：MainBasis/统一需求文档.md；U-guild-application-form-014
2. 场景：SC-2d9160cbce03a4</x:v>
      </x:c>
    </x:row>
    <x:row r="689" ht="54" customHeight="1">
      <x:c r="A689" s="4" t="n">
        <x:v>688</x:v>
      </x:c>
      <x:c r="B689" s="4" t="str">
        <x:v>USER-0688</x:v>
      </x:c>
      <x:c r="C689" s="4" t="str">
        <x:v>M05 公会申请、认证、组织与权限</x:v>
      </x:c>
      <x:c r="D689" s="4" t="str">
        <x:v>填写申请单（用户视角）</x:v>
      </x:c>
      <x:c r="E689" s="4" t="str">
        <x:v>功能需求</x:v>
      </x:c>
      <x:c r="F689" s="4" t="str">
        <x:v>P1</x:v>
      </x:c>
      <x:c r="G689" s="4" t="str">
        <x:v>验证入会申请资料归属</x:v>
      </x:c>
      <x:c r="H689" s="4" t="str">
        <x:v>入会申请资料归属</x:v>
      </x:c>
      <x:c r="I689" s="4" t="str">
        <x:v>1. 已登录用户账号
2. 当前账号为用户甲，选择公会乙</x:v>
      </x:c>
      <x:c r="J689" s="4" t="str">
        <x:v>1. 进入「填写申请单」页
2. 查看入会申请资料归属</x:v>
      </x:c>
      <x:c r="K689" s="4" t="str">
        <x:v>申请对象为公会乙，提交资料属于当前用户甲</x:v>
      </x:c>
      <x:c r="L689" s="4" t="str"/>
      <x:c r="M689" s="4" t="str">
        <x:v>未测</x:v>
      </x:c>
      <x:c r="N689" s="4" t="str"/>
      <x:c r="O689" s="4" t="str">
        <x:v>1. 来源：MainBasis/统一需求文档.md；U-guild-application-form-008
2. 场景：SC-35b6354dcdf40c</x:v>
      </x:c>
    </x:row>
    <x:row r="690" ht="54" customHeight="1">
      <x:c r="A690" s="4" t="n">
        <x:v>689</x:v>
      </x:c>
      <x:c r="B690" s="4" t="str">
        <x:v>USER-0689</x:v>
      </x:c>
      <x:c r="C690" s="4" t="str">
        <x:v>M05 公会申请、认证、组织与权限</x:v>
      </x:c>
      <x:c r="D690" s="4" t="str">
        <x:v>我的公会（用户视角）</x:v>
      </x:c>
      <x:c r="E690" s="4" t="str">
        <x:v>功能需求</x:v>
      </x:c>
      <x:c r="F690" s="4" t="str">
        <x:v>P2</x:v>
      </x:c>
      <x:c r="G690" s="4" t="str">
        <x:v>验证公会头像回显</x:v>
      </x:c>
      <x:c r="H690" s="4" t="str">
        <x:v>公会头像回显</x:v>
      </x:c>
      <x:c r="I690" s="4" t="str">
        <x:v>1. 已登录用户账号
2. 所选对象存在，已记录该对象的公会头像值</x:v>
      </x:c>
      <x:c r="J690" s="4" t="str">
        <x:v>1. 进入「我的公会」页
2. 查看公会头像回显</x:v>
      </x:c>
      <x:c r="K690" s="4" t="str">
        <x:v>「公会头像」内容与所选对象的该项资料一致</x:v>
      </x:c>
      <x:c r="L690" s="4" t="str"/>
      <x:c r="M690" s="4" t="str">
        <x:v>未测</x:v>
      </x:c>
      <x:c r="N690" s="4" t="str"/>
      <x:c r="O690" s="4" t="str">
        <x:v>1. 来源：MainBasis/统一需求文档.md；U-guild-application-records-002
2. 场景：SC-c3b8d560c87cb4</x:v>
      </x:c>
    </x:row>
    <x:row r="691" ht="54" customHeight="1">
      <x:c r="A691" s="4" t="n">
        <x:v>690</x:v>
      </x:c>
      <x:c r="B691" s="4" t="str">
        <x:v>USER-0690</x:v>
      </x:c>
      <x:c r="C691" s="4" t="str">
        <x:v>M05 公会申请、认证、组织与权限</x:v>
      </x:c>
      <x:c r="D691" s="4" t="str">
        <x:v>我的公会（用户视角）</x:v>
      </x:c>
      <x:c r="E691" s="4" t="str">
        <x:v>功能需求</x:v>
      </x:c>
      <x:c r="F691" s="4" t="str">
        <x:v>P2</x:v>
      </x:c>
      <x:c r="G691" s="4" t="str">
        <x:v>验证公会名称回显</x:v>
      </x:c>
      <x:c r="H691" s="4" t="str">
        <x:v>公会名称回显</x:v>
      </x:c>
      <x:c r="I691" s="4" t="str">
        <x:v>1. 已登录用户账号
2. 所选对象存在，已记录该对象的公会名称值</x:v>
      </x:c>
      <x:c r="J691" s="4" t="str">
        <x:v>1. 进入「我的公会」页
2. 查看公会名称回显</x:v>
      </x:c>
      <x:c r="K691" s="4" t="str">
        <x:v>「公会名称」内容与所选对象的该项资料一致</x:v>
      </x:c>
      <x:c r="L691" s="4" t="str"/>
      <x:c r="M691" s="4" t="str">
        <x:v>未测</x:v>
      </x:c>
      <x:c r="N691" s="4" t="str"/>
      <x:c r="O691" s="4" t="str">
        <x:v>1. 来源：MainBasis/统一需求文档.md；U-guild-application-records-003
2. 场景：SC-72151d623cfe1a</x:v>
      </x:c>
    </x:row>
    <x:row r="692" ht="54" customHeight="1">
      <x:c r="A692" s="4" t="n">
        <x:v>691</x:v>
      </x:c>
      <x:c r="B692" s="4" t="str">
        <x:v>USER-0691</x:v>
      </x:c>
      <x:c r="C692" s="4" t="str">
        <x:v>M05 公会申请、认证、组织与权限</x:v>
      </x:c>
      <x:c r="D692" s="4" t="str">
        <x:v>我的公会（用户视角）</x:v>
      </x:c>
      <x:c r="E692" s="4" t="str">
        <x:v>功能需求</x:v>
      </x:c>
      <x:c r="F692" s="4" t="str">
        <x:v>P2</x:v>
      </x:c>
      <x:c r="G692" s="4" t="str">
        <x:v>验证关系状态回显</x:v>
      </x:c>
      <x:c r="H692" s="4" t="str">
        <x:v>关系状态回显</x:v>
      </x:c>
      <x:c r="I692" s="4" t="str">
        <x:v>1. 已登录用户账号
2. 所选对象存在，已记录该对象的关系状态值</x:v>
      </x:c>
      <x:c r="J692" s="4" t="str">
        <x:v>1. 进入「我的公会」页
2. 查看关系状态回显</x:v>
      </x:c>
      <x:c r="K692" s="4" t="str">
        <x:v>「关系状态」内容与所选对象的该项资料一致</x:v>
      </x:c>
      <x:c r="L692" s="4" t="str"/>
      <x:c r="M692" s="4" t="str">
        <x:v>未测</x:v>
      </x:c>
      <x:c r="N692" s="4" t="str"/>
      <x:c r="O692" s="4" t="str">
        <x:v>1. 来源：MainBasis/统一需求文档.md；U-guild-application-records-005
2. 场景：SC-76c5e7ca839fed</x:v>
      </x:c>
    </x:row>
    <x:row r="693" ht="54" customHeight="1">
      <x:c r="A693" s="4" t="n">
        <x:v>692</x:v>
      </x:c>
      <x:c r="B693" s="4" t="str">
        <x:v>USER-0692</x:v>
      </x:c>
      <x:c r="C693" s="4" t="str">
        <x:v>M05 公会申请、认证、组织与权限</x:v>
      </x:c>
      <x:c r="D693" s="4" t="str">
        <x:v>我的公会（用户视角）</x:v>
      </x:c>
      <x:c r="E693" s="4" t="str">
        <x:v>功能需求</x:v>
      </x:c>
      <x:c r="F693" s="4" t="str">
        <x:v>P1</x:v>
      </x:c>
      <x:c r="G693" s="4" t="str">
        <x:v>验证我的公会保留历史</x:v>
      </x:c>
      <x:c r="H693" s="4" t="str">
        <x:v>我的公会保留历史</x:v>
      </x:c>
      <x:c r="I693" s="4" t="str">
        <x:v>1. 已登录用户账号
2. 当前账号有申请中、已加入、被驳回、已退出公会各一个</x:v>
      </x:c>
      <x:c r="J693" s="4" t="str">
        <x:v>1. 进入「我的公会」页
2. 查看我的公会保留历史</x:v>
      </x:c>
      <x:c r="K693" s="4" t="str">
        <x:v>四类公会均保留，未申请过的公会不显示</x:v>
      </x:c>
      <x:c r="L693" s="4" t="str"/>
      <x:c r="M693" s="4" t="str">
        <x:v>未测</x:v>
      </x:c>
      <x:c r="N693" s="4" t="str"/>
      <x:c r="O693" s="4" t="str">
        <x:v>1. 来源：MainBasis/统一需求文档.md；U-guild-application-records-006
2. 场景：SC-b701d6da672cd7</x:v>
      </x:c>
    </x:row>
    <x:row r="694" ht="54" customHeight="1">
      <x:c r="A694" s="4" t="n">
        <x:v>693</x:v>
      </x:c>
      <x:c r="B694" s="4" t="str">
        <x:v>USER-0693</x:v>
      </x:c>
      <x:c r="C694" s="4" t="str">
        <x:v>M05 公会申请、认证、组织与权限</x:v>
      </x:c>
      <x:c r="D694" s="4" t="str">
        <x:v>我的公会（用户视角）</x:v>
      </x:c>
      <x:c r="E694" s="4" t="str">
        <x:v>功能需求</x:v>
      </x:c>
      <x:c r="F694" s="4" t="str">
        <x:v>P1</x:v>
      </x:c>
      <x:c r="G694" s="4" t="str">
        <x:v>验证同公会多次申请一张卡片</x:v>
      </x:c>
      <x:c r="H694" s="4" t="str">
        <x:v>同公会多次申请一张卡片</x:v>
      </x:c>
      <x:c r="I694" s="4" t="str">
        <x:v>1. 已登录用户账号
2. 当前账号对同公会曾两次入会和一次退会</x:v>
      </x:c>
      <x:c r="J694" s="4" t="str">
        <x:v>1. 进入「我的公会」页
2. 查看同公会多次申请一张卡片</x:v>
      </x:c>
      <x:c r="K694" s="4" t="str">
        <x:v>该公会仅显示一张卡片</x:v>
      </x:c>
      <x:c r="L694" s="4" t="str"/>
      <x:c r="M694" s="4" t="str">
        <x:v>未测</x:v>
      </x:c>
      <x:c r="N694" s="4" t="str"/>
      <x:c r="O694" s="4" t="str">
        <x:v>1. 来源：MainBasis/统一需求文档.md；U-guild-application-records-007
2. 场景：SC-268f16e2ee9cde</x:v>
      </x:c>
    </x:row>
    <x:row r="695" ht="54" customHeight="1">
      <x:c r="A695" s="4" t="n">
        <x:v>694</x:v>
      </x:c>
      <x:c r="B695" s="4" t="str">
        <x:v>USER-0694</x:v>
      </x:c>
      <x:c r="C695" s="4" t="str">
        <x:v>M05 公会申请、认证、组织与权限</x:v>
      </x:c>
      <x:c r="D695" s="4" t="str">
        <x:v>我的公会（用户视角）</x:v>
      </x:c>
      <x:c r="E695" s="4" t="str">
        <x:v>功能需求</x:v>
      </x:c>
      <x:c r="F695" s="4" t="str">
        <x:v>P1</x:v>
      </x:c>
      <x:c r="G695" s="4" t="str">
        <x:v>验证我的公会最近申请倒序</x:v>
      </x:c>
      <x:c r="H695" s="4" t="str">
        <x:v>我的公会最近申请倒序</x:v>
      </x:c>
      <x:c r="I695" s="4" t="str">
        <x:v>1. 已登录用户账号
2. 公会甲最新入会申请早于公会乙最新退会申请</x:v>
      </x:c>
      <x:c r="J695" s="4" t="str">
        <x:v>1. 进入「我的公会」页
2. 查看我的公会最近申请倒序</x:v>
      </x:c>
      <x:c r="K695" s="4" t="str">
        <x:v>公会乙排在公会甲之前</x:v>
      </x:c>
      <x:c r="L695" s="4" t="str"/>
      <x:c r="M695" s="4" t="str">
        <x:v>未测</x:v>
      </x:c>
      <x:c r="N695" s="4" t="str"/>
      <x:c r="O695" s="4" t="str">
        <x:v>1. 来源：MainBasis/统一需求文档.md；U-guild-application-records-008
2. 场景：SC-ae5967ae5ed541</x:v>
      </x:c>
    </x:row>
    <x:row r="696" ht="54" customHeight="1">
      <x:c r="A696" s="4" t="n">
        <x:v>695</x:v>
      </x:c>
      <x:c r="B696" s="4" t="str">
        <x:v>USER-0695</x:v>
      </x:c>
      <x:c r="C696" s="4" t="str">
        <x:v>M05 公会申请、认证、组织与权限</x:v>
      </x:c>
      <x:c r="D696" s="4" t="str">
        <x:v>我的公会（用户视角）</x:v>
      </x:c>
      <x:c r="E696" s="4" t="str">
        <x:v>功能需求</x:v>
      </x:c>
      <x:c r="F696" s="4" t="str">
        <x:v>P1</x:v>
      </x:c>
      <x:c r="G696" s="4" t="str">
        <x:v>验证退会被驳回卡片关系</x:v>
      </x:c>
      <x:c r="H696" s="4" t="str">
        <x:v>退会被驳回卡片关系</x:v>
      </x:c>
      <x:c r="I696" s="4" t="str">
        <x:v>1. 已登录用户账号
2. 该公会最新退会申请被驳回</x:v>
      </x:c>
      <x:c r="J696" s="4" t="str">
        <x:v>1. 进入「我的公会」页
2. 查看退会被驳回卡片关系</x:v>
      </x:c>
      <x:c r="K696" s="4" t="str">
        <x:v>卡片仍显示已加入，驳回详情在时间轴查看</x:v>
      </x:c>
      <x:c r="L696" s="4" t="str"/>
      <x:c r="M696" s="4" t="str">
        <x:v>未测</x:v>
      </x:c>
      <x:c r="N696" s="4" t="str"/>
      <x:c r="O696" s="4" t="str">
        <x:v>1. 来源：MainBasis/统一需求文档.md；U-guild-application-records-009
2. 场景：SC-5ff8ce79c4ae43</x:v>
      </x:c>
    </x:row>
    <x:row r="697" ht="54" customHeight="1">
      <x:c r="A697" s="4" t="n">
        <x:v>696</x:v>
      </x:c>
      <x:c r="B697" s="4" t="str">
        <x:v>USER-0696</x:v>
      </x:c>
      <x:c r="C697" s="4" t="str">
        <x:v>M05 公会申请、认证、组织与权限</x:v>
      </x:c>
      <x:c r="D697" s="4" t="str">
        <x:v>我的公会（用户视角）</x:v>
      </x:c>
      <x:c r="E697" s="4" t="str">
        <x:v>功能需求</x:v>
      </x:c>
      <x:c r="F697" s="4" t="str">
        <x:v>P1</x:v>
      </x:c>
      <x:c r="G697" s="4" t="str">
        <x:v>验证公会卡片对应详情</x:v>
      </x:c>
      <x:c r="H697" s="4" t="str">
        <x:v>公会卡片对应详情</x:v>
      </x:c>
      <x:c r="I697" s="4" t="str">
        <x:v>1. 已登录用户账号
2. 账号对公会甲有历史申请</x:v>
      </x:c>
      <x:c r="J697" s="4" t="str">
        <x:v>1. 进入「我的公会」页
2. 点击公会甲卡片</x:v>
      </x:c>
      <x:c r="K697" s="4" t="str">
        <x:v>进入甲公会详情并显示我与甲的关系和申请时间轴</x:v>
      </x:c>
      <x:c r="L697" s="4" t="str"/>
      <x:c r="M697" s="4" t="str">
        <x:v>未测</x:v>
      </x:c>
      <x:c r="N697" s="4" t="str"/>
      <x:c r="O697" s="4" t="str">
        <x:v>1. 来源：MainBasis/统一需求文档.md；U-guild-application-records-010
2. 场景：SC-bd9b7d1399dde2</x:v>
      </x:c>
    </x:row>
    <x:row r="698" ht="54" customHeight="1">
      <x:c r="A698" s="4" t="n">
        <x:v>697</x:v>
      </x:c>
      <x:c r="B698" s="4" t="str">
        <x:v>USER-0697</x:v>
      </x:c>
      <x:c r="C698" s="4" t="str">
        <x:v>M05 公会申请、认证、组织与权限</x:v>
      </x:c>
      <x:c r="D698" s="4" t="str">
        <x:v>我的公会（用户视角）</x:v>
      </x:c>
      <x:c r="E698" s="4" t="str">
        <x:v>功能需求</x:v>
      </x:c>
      <x:c r="F698" s="4" t="str">
        <x:v>P1</x:v>
      </x:c>
      <x:c r="G698" s="4" t="str">
        <x:v>验证申请记录公会标识</x:v>
      </x:c>
      <x:c r="H698" s="4" t="str">
        <x:v>申请记录公会标识</x:v>
      </x:c>
      <x:c r="I698" s="4" t="str">
        <x:v>1. 已登录用户账号
2. 当前账号向公会甲申请，已记录甲的ID</x:v>
      </x:c>
      <x:c r="J698" s="4" t="str">
        <x:v>1. 进入「我的公会」页
2. 查看申请记录公会标识</x:v>
      </x:c>
      <x:c r="K698" s="4" t="str">
        <x:v>该申请卡片的公会ID为甲的ID</x:v>
      </x:c>
      <x:c r="L698" s="4" t="str"/>
      <x:c r="M698" s="4" t="str">
        <x:v>未测</x:v>
      </x:c>
      <x:c r="N698" s="4" t="str"/>
      <x:c r="O698" s="4" t="str">
        <x:v>1. 来源：MainBasis/统一需求文档.md；U-guild-application-records-004
2. 场景：SC-2967bdfb441ba1</x:v>
      </x:c>
    </x:row>
    <x:row r="699" ht="54" customHeight="1">
      <x:c r="A699" s="4" t="n">
        <x:v>698</x:v>
      </x:c>
      <x:c r="B699" s="4" t="str">
        <x:v>USER-0698</x:v>
      </x:c>
      <x:c r="C699" s="4" t="str">
        <x:v>M05 公会申请、认证、组织与权限</x:v>
      </x:c>
      <x:c r="D699" s="4" t="str">
        <x:v>公会详情（用户视角）</x:v>
      </x:c>
      <x:c r="E699" s="4" t="str">
        <x:v>功能需求</x:v>
      </x:c>
      <x:c r="F699" s="4" t="str">
        <x:v>P2</x:v>
      </x:c>
      <x:c r="G699" s="4" t="str">
        <x:v>验证公会头像、名称、ID回显</x:v>
      </x:c>
      <x:c r="H699" s="4" t="str">
        <x:v>公会头像、名称、ID回显</x:v>
      </x:c>
      <x:c r="I699" s="4" t="str">
        <x:v>1. 已登录用户账号
2. 所选对象存在，已记录该对象的公会头像 / 名称 / ID值</x:v>
      </x:c>
      <x:c r="J699" s="4" t="str">
        <x:v>1. 进入「公会详情」页
2. 查看公会头像、名称、ID回显</x:v>
      </x:c>
      <x:c r="K699" s="4" t="str">
        <x:v>「公会头像 / 名称 / ID」内容与所选对象的该项资料一致</x:v>
      </x:c>
      <x:c r="L699" s="4" t="str"/>
      <x:c r="M699" s="4" t="str">
        <x:v>未测</x:v>
      </x:c>
      <x:c r="N699" s="4" t="str"/>
      <x:c r="O699" s="4" t="str">
        <x:v>1. 来源：MainBasis/统一需求文档.md；U-guild-detail-002
2. 场景：SC-eb2dfbdca719ae</x:v>
      </x:c>
    </x:row>
    <x:row r="700" ht="54" customHeight="1">
      <x:c r="A700" s="4" t="n">
        <x:v>699</x:v>
      </x:c>
      <x:c r="B700" s="4" t="str">
        <x:v>USER-0699</x:v>
      </x:c>
      <x:c r="C700" s="4" t="str">
        <x:v>M05 公会申请、认证、组织与权限</x:v>
      </x:c>
      <x:c r="D700" s="4" t="str">
        <x:v>公会详情（用户视角）</x:v>
      </x:c>
      <x:c r="E700" s="4" t="str">
        <x:v>功能需求</x:v>
      </x:c>
      <x:c r="F700" s="4" t="str">
        <x:v>P2</x:v>
      </x:c>
      <x:c r="G700" s="4" t="str">
        <x:v>验证关系状态回显</x:v>
      </x:c>
      <x:c r="H700" s="4" t="str">
        <x:v>关系状态回显</x:v>
      </x:c>
      <x:c r="I700" s="4" t="str">
        <x:v>1. 已登录用户账号
2. 所选对象存在，已记录该对象的关系状态值</x:v>
      </x:c>
      <x:c r="J700" s="4" t="str">
        <x:v>1. 进入「公会详情」页
2. 查看关系状态回显</x:v>
      </x:c>
      <x:c r="K700" s="4" t="str">
        <x:v>「关系状态」内容与所选对象的该项资料一致</x:v>
      </x:c>
      <x:c r="L700" s="4" t="str"/>
      <x:c r="M700" s="4" t="str">
        <x:v>未测</x:v>
      </x:c>
      <x:c r="N700" s="4" t="str"/>
      <x:c r="O700" s="4" t="str">
        <x:v>1. 来源：MainBasis/统一需求文档.md；U-guild-detail-003
2. 场景：SC-8d7ffd8892febc</x:v>
      </x:c>
    </x:row>
    <x:row r="701" ht="54" customHeight="1">
      <x:c r="A701" s="4" t="n">
        <x:v>700</x:v>
      </x:c>
      <x:c r="B701" s="4" t="str">
        <x:v>USER-0700</x:v>
      </x:c>
      <x:c r="C701" s="4" t="str">
        <x:v>M05 公会申请、认证、组织与权限</x:v>
      </x:c>
      <x:c r="D701" s="4" t="str">
        <x:v>公会详情（用户视角）</x:v>
      </x:c>
      <x:c r="E701" s="4" t="str">
        <x:v>功能需求</x:v>
      </x:c>
      <x:c r="F701" s="4" t="str">
        <x:v>P2</x:v>
      </x:c>
      <x:c r="G701" s="4" t="str">
        <x:v>验证申请类型、状态回显</x:v>
      </x:c>
      <x:c r="H701" s="4" t="str">
        <x:v>申请类型、状态回显</x:v>
      </x:c>
      <x:c r="I701" s="4" t="str">
        <x:v>1. 已登录用户账号
2. 所选对象存在，已记录该对象的申请类型 / 状态值</x:v>
      </x:c>
      <x:c r="J701" s="4" t="str">
        <x:v>1. 进入「公会详情」页
2. 查看申请类型、状态回显</x:v>
      </x:c>
      <x:c r="K701" s="4" t="str">
        <x:v>「申请类型 / 状态」内容与所选对象的该项资料一致</x:v>
      </x:c>
      <x:c r="L701" s="4" t="str"/>
      <x:c r="M701" s="4" t="str">
        <x:v>未测</x:v>
      </x:c>
      <x:c r="N701" s="4" t="str"/>
      <x:c r="O701" s="4" t="str">
        <x:v>1. 来源：MainBasis/统一需求文档.md；U-guild-detail-004
2. 场景：SC-e668bb5c573568</x:v>
      </x:c>
    </x:row>
    <x:row r="702" ht="54" customHeight="1">
      <x:c r="A702" s="4" t="n">
        <x:v>701</x:v>
      </x:c>
      <x:c r="B702" s="4" t="str">
        <x:v>USER-0701</x:v>
      </x:c>
      <x:c r="C702" s="4" t="str">
        <x:v>M05 公会申请、认证、组织与权限</x:v>
      </x:c>
      <x:c r="D702" s="4" t="str">
        <x:v>公会详情（用户视角）</x:v>
      </x:c>
      <x:c r="E702" s="4" t="str">
        <x:v>功能需求</x:v>
      </x:c>
      <x:c r="F702" s="4" t="str">
        <x:v>P2</x:v>
      </x:c>
      <x:c r="G702" s="4" t="str">
        <x:v>验证处理时间回显</x:v>
      </x:c>
      <x:c r="H702" s="4" t="str">
        <x:v>处理时间回显</x:v>
      </x:c>
      <x:c r="I702" s="4" t="str">
        <x:v>1. 已登录用户账号
2. 所选对象存在，已记录该对象的处理时间值</x:v>
      </x:c>
      <x:c r="J702" s="4" t="str">
        <x:v>1. 进入「公会详情」页
2. 查看处理时间回显</x:v>
      </x:c>
      <x:c r="K702" s="4" t="str">
        <x:v>「处理时间」内容与所选对象的该项资料一致</x:v>
      </x:c>
      <x:c r="L702" s="4" t="str"/>
      <x:c r="M702" s="4" t="str">
        <x:v>未测</x:v>
      </x:c>
      <x:c r="N702" s="4" t="str"/>
      <x:c r="O702" s="4" t="str">
        <x:v>1. 来源：MainBasis/统一需求文档.md；U-guild-detail-006
2. 场景：SC-3e751a6059f8c0</x:v>
      </x:c>
    </x:row>
    <x:row r="703" ht="54" customHeight="1">
      <x:c r="A703" s="4" t="n">
        <x:v>702</x:v>
      </x:c>
      <x:c r="B703" s="4" t="str">
        <x:v>USER-0702</x:v>
      </x:c>
      <x:c r="C703" s="4" t="str">
        <x:v>M05 公会申请、认证、组织与权限</x:v>
      </x:c>
      <x:c r="D703" s="4" t="str">
        <x:v>公会详情（用户视角）</x:v>
      </x:c>
      <x:c r="E703" s="4" t="str">
        <x:v>功能需求</x:v>
      </x:c>
      <x:c r="F703" s="4" t="str">
        <x:v>P2</x:v>
      </x:c>
      <x:c r="G703" s="4" t="str">
        <x:v>验证驳回回显</x:v>
      </x:c>
      <x:c r="H703" s="4" t="str">
        <x:v>驳回回显</x:v>
      </x:c>
      <x:c r="I703" s="4" t="str">
        <x:v>1. 已登录用户账号
2. 所选对象存在，已记录该对象的驳回值</x:v>
      </x:c>
      <x:c r="J703" s="4" t="str">
        <x:v>1. 进入「公会详情」页
2. 查看驳回回显</x:v>
      </x:c>
      <x:c r="K703" s="4" t="str">
        <x:v>「驳回」内容与所选对象的该项资料一致</x:v>
      </x:c>
      <x:c r="L703" s="4" t="str"/>
      <x:c r="M703" s="4" t="str">
        <x:v>未测</x:v>
      </x:c>
      <x:c r="N703" s="4" t="str"/>
      <x:c r="O703" s="4" t="str">
        <x:v>1. 来源：MainBasis/统一需求文档.md；U-guild-detail-008
2. 场景：SC-06440580bbaf28</x:v>
      </x:c>
    </x:row>
    <x:row r="704" ht="54" customHeight="1">
      <x:c r="A704" s="4" t="n">
        <x:v>703</x:v>
      </x:c>
      <x:c r="B704" s="4" t="str">
        <x:v>USER-0703</x:v>
      </x:c>
      <x:c r="C704" s="4" t="str">
        <x:v>M05 公会申请、认证、组织与权限</x:v>
      </x:c>
      <x:c r="D704" s="4" t="str">
        <x:v>公会详情（用户视角）</x:v>
      </x:c>
      <x:c r="E704" s="4" t="str">
        <x:v>功能需求</x:v>
      </x:c>
      <x:c r="F704" s="4" t="str">
        <x:v>P2</x:v>
      </x:c>
      <x:c r="G704" s="4" t="str">
        <x:v>验证本人照片回显</x:v>
      </x:c>
      <x:c r="H704" s="4" t="str">
        <x:v>本人照片回显</x:v>
      </x:c>
      <x:c r="I704" s="4" t="str">
        <x:v>1. 已登录用户账号
2. 所选对象存在，已记录该对象的本人照片值</x:v>
      </x:c>
      <x:c r="J704" s="4" t="str">
        <x:v>1. 进入「公会详情」页
2. 查看本人照片回显</x:v>
      </x:c>
      <x:c r="K704" s="4" t="str">
        <x:v>「本人照片」内容与所选对象的该项资料一致</x:v>
      </x:c>
      <x:c r="L704" s="4" t="str"/>
      <x:c r="M704" s="4" t="str">
        <x:v>未测</x:v>
      </x:c>
      <x:c r="N704" s="4" t="str"/>
      <x:c r="O704" s="4" t="str">
        <x:v>1. 来源：MainBasis/统一需求文档.md；U-guild-detail-010
2. 场景：SC-ef29bae78f21b4</x:v>
      </x:c>
    </x:row>
    <x:row r="705" ht="54" customHeight="1">
      <x:c r="A705" s="4" t="n">
        <x:v>704</x:v>
      </x:c>
      <x:c r="B705" s="4" t="str">
        <x:v>USER-0704</x:v>
      </x:c>
      <x:c r="C705" s="4" t="str">
        <x:v>M05 公会申请、认证、组织与权限</x:v>
      </x:c>
      <x:c r="D705" s="4" t="str">
        <x:v>公会详情（用户视角）</x:v>
      </x:c>
      <x:c r="E705" s="4" t="str">
        <x:v>功能需求</x:v>
      </x:c>
      <x:c r="F705" s="4" t="str">
        <x:v>P1</x:v>
      </x:c>
      <x:c r="G705" s="4" t="str">
        <x:v>验证已加入且无退会申请退出入口</x:v>
      </x:c>
      <x:c r="H705" s="4" t="str">
        <x:v>已加入且无退会申请退出入口</x:v>
      </x:c>
      <x:c r="I705" s="4" t="str">
        <x:v>1. 已登录用户账号
2. 当前关系为已加入且无退会申请</x:v>
      </x:c>
      <x:c r="J705" s="4" t="str">
        <x:v>1. 进入「公会详情」页
2. 查看已加入且无退会申请退出入口</x:v>
      </x:c>
      <x:c r="K705" s="4" t="str">
        <x:v>显示申请退出入口</x:v>
      </x:c>
      <x:c r="L705" s="4" t="str"/>
      <x:c r="M705" s="4" t="str">
        <x:v>未测</x:v>
      </x:c>
      <x:c r="N705" s="4" t="str"/>
      <x:c r="O705" s="4" t="str">
        <x:v>1. 来源：MainBasis/统一需求文档.md；U-guild-detail-018
2. 场景：SC-492716ef8e8e1c</x:v>
      </x:c>
    </x:row>
    <x:row r="706" ht="54" customHeight="1">
      <x:c r="A706" s="4" t="n">
        <x:v>705</x:v>
      </x:c>
      <x:c r="B706" s="4" t="str">
        <x:v>USER-0705</x:v>
      </x:c>
      <x:c r="C706" s="4" t="str">
        <x:v>M05 公会申请、认证、组织与权限</x:v>
      </x:c>
      <x:c r="D706" s="4" t="str">
        <x:v>公会详情（用户视角）</x:v>
      </x:c>
      <x:c r="E706" s="4" t="str">
        <x:v>功能需求</x:v>
      </x:c>
      <x:c r="F706" s="4" t="str">
        <x:v>P1</x:v>
      </x:c>
      <x:c r="G706" s="4" t="str">
        <x:v>验证退会申请中退出入口</x:v>
      </x:c>
      <x:c r="H706" s="4" t="str">
        <x:v>退会申请中退出入口</x:v>
      </x:c>
      <x:c r="I706" s="4" t="str">
        <x:v>1. 已登录用户账号
2. 当前关系为退会申请中</x:v>
      </x:c>
      <x:c r="J706" s="4" t="str">
        <x:v>1. 进入「公会详情」页
2. 查看退会申请中退出入口</x:v>
      </x:c>
      <x:c r="K706" s="4" t="str">
        <x:v>不显示申请退出入口</x:v>
      </x:c>
      <x:c r="L706" s="4" t="str"/>
      <x:c r="M706" s="4" t="str">
        <x:v>未测</x:v>
      </x:c>
      <x:c r="N706" s="4" t="str"/>
      <x:c r="O706" s="4" t="str">
        <x:v>1. 来源：MainBasis/统一需求文档.md；U-guild-detail-018
2. 场景：SC-69a4fb041925e9</x:v>
      </x:c>
    </x:row>
    <x:row r="707" ht="54" customHeight="1">
      <x:c r="A707" s="4" t="n">
        <x:v>706</x:v>
      </x:c>
      <x:c r="B707" s="4" t="str">
        <x:v>USER-0706</x:v>
      </x:c>
      <x:c r="C707" s="4" t="str">
        <x:v>M05 公会申请、认证、组织与权限</x:v>
      </x:c>
      <x:c r="D707" s="4" t="str">
        <x:v>公会详情（用户视角）</x:v>
      </x:c>
      <x:c r="E707" s="4" t="str">
        <x:v>功能需求</x:v>
      </x:c>
      <x:c r="F707" s="4" t="str">
        <x:v>P1</x:v>
      </x:c>
      <x:c r="G707" s="4" t="str">
        <x:v>验证入会申请中退出入口</x:v>
      </x:c>
      <x:c r="H707" s="4" t="str">
        <x:v>入会申请中退出入口</x:v>
      </x:c>
      <x:c r="I707" s="4" t="str">
        <x:v>1. 已登录用户账号
2. 当前关系为入会申请中</x:v>
      </x:c>
      <x:c r="J707" s="4" t="str">
        <x:v>1. 进入「公会详情」页
2. 查看入会申请中退出入口</x:v>
      </x:c>
      <x:c r="K707" s="4" t="str">
        <x:v>不显示申请退出入口</x:v>
      </x:c>
      <x:c r="L707" s="4" t="str"/>
      <x:c r="M707" s="4" t="str">
        <x:v>未测</x:v>
      </x:c>
      <x:c r="N707" s="4" t="str"/>
      <x:c r="O707" s="4" t="str">
        <x:v>1. 来源：MainBasis/统一需求文档.md；U-guild-detail-018
2. 场景：SC-9c57c07b618619</x:v>
      </x:c>
    </x:row>
    <x:row r="708" ht="54" customHeight="1">
      <x:c r="A708" s="4" t="n">
        <x:v>707</x:v>
      </x:c>
      <x:c r="B708" s="4" t="str">
        <x:v>USER-0707</x:v>
      </x:c>
      <x:c r="C708" s="4" t="str">
        <x:v>M05 公会申请、认证、组织与权限</x:v>
      </x:c>
      <x:c r="D708" s="4" t="str">
        <x:v>公会详情（用户视角）</x:v>
      </x:c>
      <x:c r="E708" s="4" t="str">
        <x:v>功能需求</x:v>
      </x:c>
      <x:c r="F708" s="4" t="str">
        <x:v>P1</x:v>
      </x:c>
      <x:c r="G708" s="4" t="str">
        <x:v>验证入会已驳回退出入口</x:v>
      </x:c>
      <x:c r="H708" s="4" t="str">
        <x:v>入会已驳回退出入口</x:v>
      </x:c>
      <x:c r="I708" s="4" t="str">
        <x:v>1. 已登录用户账号
2. 当前关系为入会已驳回</x:v>
      </x:c>
      <x:c r="J708" s="4" t="str">
        <x:v>1. 进入「公会详情」页
2. 查看入会已驳回退出入口</x:v>
      </x:c>
      <x:c r="K708" s="4" t="str">
        <x:v>不显示申请退出入口</x:v>
      </x:c>
      <x:c r="L708" s="4" t="str"/>
      <x:c r="M708" s="4" t="str">
        <x:v>未测</x:v>
      </x:c>
      <x:c r="N708" s="4" t="str"/>
      <x:c r="O708" s="4" t="str">
        <x:v>1. 来源：MainBasis/统一需求文档.md；U-guild-detail-018
2. 场景：SC-d8c92ce2bbe8d1</x:v>
      </x:c>
    </x:row>
    <x:row r="709" ht="54" customHeight="1">
      <x:c r="A709" s="4" t="n">
        <x:v>708</x:v>
      </x:c>
      <x:c r="B709" s="4" t="str">
        <x:v>USER-0708</x:v>
      </x:c>
      <x:c r="C709" s="4" t="str">
        <x:v>M05 公会申请、认证、组织与权限</x:v>
      </x:c>
      <x:c r="D709" s="4" t="str">
        <x:v>公会详情（用户视角）</x:v>
      </x:c>
      <x:c r="E709" s="4" t="str">
        <x:v>功能需求</x:v>
      </x:c>
      <x:c r="F709" s="4" t="str">
        <x:v>P1</x:v>
      </x:c>
      <x:c r="G709" s="4" t="str">
        <x:v>验证已退出退出入口</x:v>
      </x:c>
      <x:c r="H709" s="4" t="str">
        <x:v>已退出退出入口</x:v>
      </x:c>
      <x:c r="I709" s="4" t="str">
        <x:v>1. 已登录用户账号
2. 当前关系为已退出</x:v>
      </x:c>
      <x:c r="J709" s="4" t="str">
        <x:v>1. 进入「公会详情」页
2. 查看已退出退出入口</x:v>
      </x:c>
      <x:c r="K709" s="4" t="str">
        <x:v>不显示申请退出入口</x:v>
      </x:c>
      <x:c r="L709" s="4" t="str"/>
      <x:c r="M709" s="4" t="str">
        <x:v>未测</x:v>
      </x:c>
      <x:c r="N709" s="4" t="str"/>
      <x:c r="O709" s="4" t="str">
        <x:v>1. 来源：MainBasis/统一需求文档.md；U-guild-detail-018
2. 场景：SC-2c5ff3da020c3e</x:v>
      </x:c>
    </x:row>
    <x:row r="710" ht="54" customHeight="1">
      <x:c r="A710" s="4" t="n">
        <x:v>709</x:v>
      </x:c>
      <x:c r="B710" s="4" t="str">
        <x:v>USER-0709</x:v>
      </x:c>
      <x:c r="C710" s="4" t="str">
        <x:v>M05 公会申请、认证、组织与权限</x:v>
      </x:c>
      <x:c r="D710" s="4" t="str">
        <x:v>公会详情（用户视角）</x:v>
      </x:c>
      <x:c r="E710" s="4" t="str">
        <x:v>功能需求</x:v>
      </x:c>
      <x:c r="F710" s="4" t="str">
        <x:v>P1</x:v>
      </x:c>
      <x:c r="G710" s="4" t="str">
        <x:v>验证退会申请中关系状态</x:v>
      </x:c>
      <x:c r="H710" s="4" t="str">
        <x:v>退会申请中关系状态</x:v>
      </x:c>
      <x:c r="I710" s="4" t="str">
        <x:v>1. 已登录用户账号
2. 当前最新退出申请为退会申请中</x:v>
      </x:c>
      <x:c r="J710" s="4" t="str">
        <x:v>1. 进入「公会详情」页
2. 查看退会申请中关系状态</x:v>
      </x:c>
      <x:c r="K710" s="4" t="str">
        <x:v>公会关系显示已加入</x:v>
      </x:c>
      <x:c r="L710" s="4" t="str"/>
      <x:c r="M710" s="4" t="str">
        <x:v>未测</x:v>
      </x:c>
      <x:c r="N710" s="4" t="str"/>
      <x:c r="O710" s="4" t="str">
        <x:v>1. 来源：MainBasis/统一需求文档.md；U-guild-detail-016
2. 场景：SC-0fce676f58fc90</x:v>
      </x:c>
    </x:row>
    <x:row r="711" ht="54" customHeight="1">
      <x:c r="A711" s="4" t="n">
        <x:v>710</x:v>
      </x:c>
      <x:c r="B711" s="4" t="str">
        <x:v>USER-0710</x:v>
      </x:c>
      <x:c r="C711" s="4" t="str">
        <x:v>M05 公会申请、认证、组织与权限</x:v>
      </x:c>
      <x:c r="D711" s="4" t="str">
        <x:v>公会详情（用户视角）</x:v>
      </x:c>
      <x:c r="E711" s="4" t="str">
        <x:v>功能需求</x:v>
      </x:c>
      <x:c r="F711" s="4" t="str">
        <x:v>P1</x:v>
      </x:c>
      <x:c r="G711" s="4" t="str">
        <x:v>验证退会已驳回关系状态</x:v>
      </x:c>
      <x:c r="H711" s="4" t="str">
        <x:v>退会已驳回关系状态</x:v>
      </x:c>
      <x:c r="I711" s="4" t="str">
        <x:v>1. 已登录用户账号
2. 当前最新退出申请为退会已驳回</x:v>
      </x:c>
      <x:c r="J711" s="4" t="str">
        <x:v>1. 进入「公会详情」页
2. 查看退会已驳回关系状态</x:v>
      </x:c>
      <x:c r="K711" s="4" t="str">
        <x:v>公会关系显示已加入</x:v>
      </x:c>
      <x:c r="L711" s="4" t="str"/>
      <x:c r="M711" s="4" t="str">
        <x:v>未测</x:v>
      </x:c>
      <x:c r="N711" s="4" t="str"/>
      <x:c r="O711" s="4" t="str">
        <x:v>1. 来源：MainBasis/统一需求文档.md；U-guild-detail-016
2. 场景：SC-fb0b1a03744a6d</x:v>
      </x:c>
    </x:row>
    <x:row r="712" ht="54" customHeight="1">
      <x:c r="A712" s="4" t="n">
        <x:v>711</x:v>
      </x:c>
      <x:c r="B712" s="4" t="str">
        <x:v>USER-0711</x:v>
      </x:c>
      <x:c r="C712" s="4" t="str">
        <x:v>M05 公会申请、认证、组织与权限</x:v>
      </x:c>
      <x:c r="D712" s="4" t="str">
        <x:v>公会详情（用户视角）</x:v>
      </x:c>
      <x:c r="E712" s="4" t="str">
        <x:v>功能需求</x:v>
      </x:c>
      <x:c r="F712" s="4" t="str">
        <x:v>P1</x:v>
      </x:c>
      <x:c r="G712" s="4" t="str">
        <x:v>验证退会已通过关系状态</x:v>
      </x:c>
      <x:c r="H712" s="4" t="str">
        <x:v>退会已通过关系状态</x:v>
      </x:c>
      <x:c r="I712" s="4" t="str">
        <x:v>1. 已登录用户账号
2. 当前最新退出申请为退会已通过</x:v>
      </x:c>
      <x:c r="J712" s="4" t="str">
        <x:v>1. 进入「公会详情」页
2. 查看退会已通过关系状态</x:v>
      </x:c>
      <x:c r="K712" s="4" t="str">
        <x:v>公会关系显示已退出</x:v>
      </x:c>
      <x:c r="L712" s="4" t="str"/>
      <x:c r="M712" s="4" t="str">
        <x:v>未测</x:v>
      </x:c>
      <x:c r="N712" s="4" t="str"/>
      <x:c r="O712" s="4" t="str">
        <x:v>1. 来源：MainBasis/统一需求文档.md；U-guild-detail-016
2. 场景：SC-7da92c96758bc9</x:v>
      </x:c>
    </x:row>
    <x:row r="713" ht="82" customHeight="1">
      <x:c r="A713" s="4" t="n">
        <x:v>712</x:v>
      </x:c>
      <x:c r="B713" s="4" t="str">
        <x:v>USER-0712</x:v>
      </x:c>
      <x:c r="C713" s="4" t="str">
        <x:v>M05 公会申请、认证、组织与权限</x:v>
      </x:c>
      <x:c r="D713" s="4" t="str">
        <x:v>公会详情（用户视角）</x:v>
      </x:c>
      <x:c r="E713" s="4" t="str">
        <x:v>功能需求</x:v>
      </x:c>
      <x:c r="F713" s="4" t="str">
        <x:v>P1</x:v>
      </x:c>
      <x:c r="G713" s="4" t="str">
        <x:v>验证入会申请中保留申请快照</x:v>
      </x:c>
      <x:c r="H713" s="4" t="str">
        <x:v>入会申请中保留申请快照</x:v>
      </x:c>
      <x:c r="I713" s="4" t="str">
        <x:v>1. 已登录用户账号
2. 公会关系/申请当前为入会申请中
3. 申请时姓名为甲，个人资料后来改名为乙</x:v>
      </x:c>
      <x:c r="J713" s="4" t="str">
        <x:v>1. 进入「公会详情」页
2. 查看入会申请中保留申请快照</x:v>
      </x:c>
      <x:c r="K713" s="4" t="str">
        <x:v>展开的申请资料仍显示姓名甲且只读</x:v>
      </x:c>
      <x:c r="L713" s="4" t="str"/>
      <x:c r="M713" s="4" t="str">
        <x:v>未测</x:v>
      </x:c>
      <x:c r="N713" s="4" t="str"/>
      <x:c r="O713" s="4" t="str">
        <x:v>1. 来源：MainBasis/统一需求文档.md；U-guild-detail-017、U-guild-detail-009、U-guild-detail-011
2. 场景：SC-3dc8a73679a842</x:v>
      </x:c>
    </x:row>
    <x:row r="714" ht="68" customHeight="1">
      <x:c r="A714" s="4" t="n">
        <x:v>713</x:v>
      </x:c>
      <x:c r="B714" s="4" t="str">
        <x:v>USER-0713</x:v>
      </x:c>
      <x:c r="C714" s="4" t="str">
        <x:v>M05 公会申请、认证、组织与权限</x:v>
      </x:c>
      <x:c r="D714" s="4" t="str">
        <x:v>公会详情（用户视角）</x:v>
      </x:c>
      <x:c r="E714" s="4" t="str">
        <x:v>功能需求</x:v>
      </x:c>
      <x:c r="F714" s="4" t="str">
        <x:v>P1</x:v>
      </x:c>
      <x:c r="G714" s="4" t="str">
        <x:v>验证已加入保留申请快照</x:v>
      </x:c>
      <x:c r="H714" s="4" t="str">
        <x:v>已加入保留申请快照</x:v>
      </x:c>
      <x:c r="I714" s="4" t="str">
        <x:v>1. 已登录用户账号
2. 公会关系/申请当前为已加入
3. 申请时姓名为甲，个人资料后来改名为乙</x:v>
      </x:c>
      <x:c r="J714" s="4" t="str">
        <x:v>1. 进入「公会详情」页
2. 查看已加入保留申请快照</x:v>
      </x:c>
      <x:c r="K714" s="4" t="str">
        <x:v>展开的申请资料仍显示姓名甲且只读</x:v>
      </x:c>
      <x:c r="L714" s="4" t="str"/>
      <x:c r="M714" s="4" t="str">
        <x:v>未测</x:v>
      </x:c>
      <x:c r="N714" s="4" t="str"/>
      <x:c r="O714" s="4" t="str">
        <x:v>1. 来源：MainBasis/统一需求文档.md；U-guild-detail-017、U-guild-detail-009、U-guild-detail-011
2. 场景：SC-1df04ad41050c2</x:v>
      </x:c>
    </x:row>
    <x:row r="715" ht="82" customHeight="1">
      <x:c r="A715" s="4" t="n">
        <x:v>714</x:v>
      </x:c>
      <x:c r="B715" s="4" t="str">
        <x:v>USER-0714</x:v>
      </x:c>
      <x:c r="C715" s="4" t="str">
        <x:v>M05 公会申请、认证、组织与权限</x:v>
      </x:c>
      <x:c r="D715" s="4" t="str">
        <x:v>公会详情（用户视角）</x:v>
      </x:c>
      <x:c r="E715" s="4" t="str">
        <x:v>功能需求</x:v>
      </x:c>
      <x:c r="F715" s="4" t="str">
        <x:v>P1</x:v>
      </x:c>
      <x:c r="G715" s="4" t="str">
        <x:v>验证入会已驳回保留申请快照</x:v>
      </x:c>
      <x:c r="H715" s="4" t="str">
        <x:v>入会已驳回保留申请快照</x:v>
      </x:c>
      <x:c r="I715" s="4" t="str">
        <x:v>1. 已登录用户账号
2. 公会关系/申请当前为入会已驳回
3. 申请时姓名为甲，个人资料后来改名为乙</x:v>
      </x:c>
      <x:c r="J715" s="4" t="str">
        <x:v>1. 进入「公会详情」页
2. 查看入会已驳回保留申请快照</x:v>
      </x:c>
      <x:c r="K715" s="4" t="str">
        <x:v>展开的申请资料仍显示姓名甲且只读</x:v>
      </x:c>
      <x:c r="L715" s="4" t="str"/>
      <x:c r="M715" s="4" t="str">
        <x:v>未测</x:v>
      </x:c>
      <x:c r="N715" s="4" t="str"/>
      <x:c r="O715" s="4" t="str">
        <x:v>1. 来源：MainBasis/统一需求文档.md；U-guild-detail-017、U-guild-detail-009、U-guild-detail-011
2. 场景：SC-a643e4cd741c69</x:v>
      </x:c>
    </x:row>
    <x:row r="716" ht="82" customHeight="1">
      <x:c r="A716" s="4" t="n">
        <x:v>715</x:v>
      </x:c>
      <x:c r="B716" s="4" t="str">
        <x:v>USER-0715</x:v>
      </x:c>
      <x:c r="C716" s="4" t="str">
        <x:v>M05 公会申请、认证、组织与权限</x:v>
      </x:c>
      <x:c r="D716" s="4" t="str">
        <x:v>公会详情（用户视角）</x:v>
      </x:c>
      <x:c r="E716" s="4" t="str">
        <x:v>功能需求</x:v>
      </x:c>
      <x:c r="F716" s="4" t="str">
        <x:v>P1</x:v>
      </x:c>
      <x:c r="G716" s="4" t="str">
        <x:v>验证退会申请中保留申请快照</x:v>
      </x:c>
      <x:c r="H716" s="4" t="str">
        <x:v>退会申请中保留申请快照</x:v>
      </x:c>
      <x:c r="I716" s="4" t="str">
        <x:v>1. 已登录用户账号
2. 公会关系/申请当前为退会申请中
3. 申请时姓名为甲，个人资料后来改名为乙</x:v>
      </x:c>
      <x:c r="J716" s="4" t="str">
        <x:v>1. 进入「公会详情」页
2. 查看退会申请中保留申请快照</x:v>
      </x:c>
      <x:c r="K716" s="4" t="str">
        <x:v>展开的申请资料仍显示姓名甲且只读</x:v>
      </x:c>
      <x:c r="L716" s="4" t="str"/>
      <x:c r="M716" s="4" t="str">
        <x:v>未测</x:v>
      </x:c>
      <x:c r="N716" s="4" t="str"/>
      <x:c r="O716" s="4" t="str">
        <x:v>1. 来源：MainBasis/统一需求文档.md；U-guild-detail-017、U-guild-detail-009、U-guild-detail-011
2. 场景：SC-a58b0dd8e163ee</x:v>
      </x:c>
    </x:row>
    <x:row r="717" ht="82" customHeight="1">
      <x:c r="A717" s="4" t="n">
        <x:v>716</x:v>
      </x:c>
      <x:c r="B717" s="4" t="str">
        <x:v>USER-0716</x:v>
      </x:c>
      <x:c r="C717" s="4" t="str">
        <x:v>M05 公会申请、认证、组织与权限</x:v>
      </x:c>
      <x:c r="D717" s="4" t="str">
        <x:v>公会详情（用户视角）</x:v>
      </x:c>
      <x:c r="E717" s="4" t="str">
        <x:v>功能需求</x:v>
      </x:c>
      <x:c r="F717" s="4" t="str">
        <x:v>P1</x:v>
      </x:c>
      <x:c r="G717" s="4" t="str">
        <x:v>验证退会已驳回保留申请快照</x:v>
      </x:c>
      <x:c r="H717" s="4" t="str">
        <x:v>退会已驳回保留申请快照</x:v>
      </x:c>
      <x:c r="I717" s="4" t="str">
        <x:v>1. 已登录用户账号
2. 公会关系/申请当前为退会已驳回
3. 申请时姓名为甲，个人资料后来改名为乙</x:v>
      </x:c>
      <x:c r="J717" s="4" t="str">
        <x:v>1. 进入「公会详情」页
2. 查看退会已驳回保留申请快照</x:v>
      </x:c>
      <x:c r="K717" s="4" t="str">
        <x:v>展开的申请资料仍显示姓名甲且只读</x:v>
      </x:c>
      <x:c r="L717" s="4" t="str"/>
      <x:c r="M717" s="4" t="str">
        <x:v>未测</x:v>
      </x:c>
      <x:c r="N717" s="4" t="str"/>
      <x:c r="O717" s="4" t="str">
        <x:v>1. 来源：MainBasis/统一需求文档.md；U-guild-detail-017、U-guild-detail-009、U-guild-detail-011
2. 场景：SC-c841a85a2bd30b</x:v>
      </x:c>
    </x:row>
    <x:row r="718" ht="68" customHeight="1">
      <x:c r="A718" s="4" t="n">
        <x:v>717</x:v>
      </x:c>
      <x:c r="B718" s="4" t="str">
        <x:v>USER-0717</x:v>
      </x:c>
      <x:c r="C718" s="4" t="str">
        <x:v>M05 公会申请、认证、组织与权限</x:v>
      </x:c>
      <x:c r="D718" s="4" t="str">
        <x:v>公会详情（用户视角）</x:v>
      </x:c>
      <x:c r="E718" s="4" t="str">
        <x:v>功能需求</x:v>
      </x:c>
      <x:c r="F718" s="4" t="str">
        <x:v>P1</x:v>
      </x:c>
      <x:c r="G718" s="4" t="str">
        <x:v>验证已退出保留申请快照</x:v>
      </x:c>
      <x:c r="H718" s="4" t="str">
        <x:v>已退出保留申请快照</x:v>
      </x:c>
      <x:c r="I718" s="4" t="str">
        <x:v>1. 已登录用户账号
2. 公会关系/申请当前为已退出
3. 申请时姓名为甲，个人资料后来改名为乙</x:v>
      </x:c>
      <x:c r="J718" s="4" t="str">
        <x:v>1. 进入「公会详情」页
2. 查看已退出保留申请快照</x:v>
      </x:c>
      <x:c r="K718" s="4" t="str">
        <x:v>展开的申请资料仍显示姓名甲且只读</x:v>
      </x:c>
      <x:c r="L718" s="4" t="str"/>
      <x:c r="M718" s="4" t="str">
        <x:v>未测</x:v>
      </x:c>
      <x:c r="N718" s="4" t="str"/>
      <x:c r="O718" s="4" t="str">
        <x:v>1. 来源：MainBasis/统一需求文档.md；U-guild-detail-017、U-guild-detail-009、U-guild-detail-011
2. 场景：SC-b4604a1c0bb87e</x:v>
      </x:c>
    </x:row>
    <x:row r="719" ht="54" customHeight="1">
      <x:c r="A719" s="4" t="n">
        <x:v>718</x:v>
      </x:c>
      <x:c r="B719" s="4" t="str">
        <x:v>USER-0718</x:v>
      </x:c>
      <x:c r="C719" s="4" t="str">
        <x:v>M05 公会申请、认证、组织与权限</x:v>
      </x:c>
      <x:c r="D719" s="4" t="str">
        <x:v>公会详情（用户视角）</x:v>
      </x:c>
      <x:c r="E719" s="4" t="str">
        <x:v>功能需求</x:v>
      </x:c>
      <x:c r="F719" s="4" t="str">
        <x:v>P1</x:v>
      </x:c>
      <x:c r="G719" s="4" t="str">
        <x:v>验证申请时间轴倒序</x:v>
      </x:c>
      <x:c r="H719" s="4" t="str">
        <x:v>申请时间轴倒序</x:v>
      </x:c>
      <x:c r="I719" s="4" t="str">
        <x:v>1. 已登录用户账号
2. 同公会有两次入会和一次退出申请，提交时间不同</x:v>
      </x:c>
      <x:c r="J719" s="4" t="str">
        <x:v>1. 进入「公会详情」页
2. 查看申请时间轴倒序</x:v>
      </x:c>
      <x:c r="K719" s="4" t="str">
        <x:v>三笔申请按提交时间从新到旧排列</x:v>
      </x:c>
      <x:c r="L719" s="4" t="str"/>
      <x:c r="M719" s="4" t="str">
        <x:v>未测</x:v>
      </x:c>
      <x:c r="N719" s="4" t="str"/>
      <x:c r="O719" s="4" t="str">
        <x:v>1. 来源：MainBasis/统一需求文档.md；U-guild-detail-013
2. 场景：SC-c651389223bc1f</x:v>
      </x:c>
    </x:row>
    <x:row r="720" ht="54" customHeight="1">
      <x:c r="A720" s="4" t="n">
        <x:v>719</x:v>
      </x:c>
      <x:c r="B720" s="4" t="str">
        <x:v>USER-0719</x:v>
      </x:c>
      <x:c r="C720" s="4" t="str">
        <x:v>M05 公会申请、认证、组织与权限</x:v>
      </x:c>
      <x:c r="D720" s="4" t="str">
        <x:v>公会详情（用户视角）</x:v>
      </x:c>
      <x:c r="E720" s="4" t="str">
        <x:v>功能需求</x:v>
      </x:c>
      <x:c r="F720" s="4" t="str">
        <x:v>P1</x:v>
      </x:c>
      <x:c r="G720" s="4" t="str">
        <x:v>验证处理时间有值</x:v>
      </x:c>
      <x:c r="H720" s="4" t="str">
        <x:v>处理时间有值</x:v>
      </x:c>
      <x:c r="I720" s="4" t="str">
        <x:v>1. 已登录用户账号
2. 当前申请已处理且处理时间有内容</x:v>
      </x:c>
      <x:c r="J720" s="4" t="str">
        <x:v>1. 进入「公会详情」页
2. 查看处理时间有值</x:v>
      </x:c>
      <x:c r="K720" s="4" t="str">
        <x:v>显示处理时间</x:v>
      </x:c>
      <x:c r="L720" s="4" t="str"/>
      <x:c r="M720" s="4" t="str">
        <x:v>未测</x:v>
      </x:c>
      <x:c r="N720" s="4" t="str"/>
      <x:c r="O720" s="4" t="str">
        <x:v>1. 来源：MainBasis/统一需求文档.md；U-guild-detail-006
2. 场景：SC-6a996b441bd54a</x:v>
      </x:c>
    </x:row>
    <x:row r="721" ht="54" customHeight="1">
      <x:c r="A721" s="4" t="n">
        <x:v>720</x:v>
      </x:c>
      <x:c r="B721" s="4" t="str">
        <x:v>USER-0720</x:v>
      </x:c>
      <x:c r="C721" s="4" t="str">
        <x:v>M05 公会申请、认证、组织与权限</x:v>
      </x:c>
      <x:c r="D721" s="4" t="str">
        <x:v>公会详情（用户视角）</x:v>
      </x:c>
      <x:c r="E721" s="4" t="str">
        <x:v>功能需求</x:v>
      </x:c>
      <x:c r="F721" s="4" t="str">
        <x:v>P1</x:v>
      </x:c>
      <x:c r="G721" s="4" t="str">
        <x:v>验证处理时间无值</x:v>
      </x:c>
      <x:c r="H721" s="4" t="str">
        <x:v>处理时间无值</x:v>
      </x:c>
      <x:c r="I721" s="4" t="str">
        <x:v>1. 已登录用户账号
2. 当前申请已处理且处理时间无内容</x:v>
      </x:c>
      <x:c r="J721" s="4" t="str">
        <x:v>1. 进入「公会详情」页
2. 查看处理时间无值</x:v>
      </x:c>
      <x:c r="K721" s="4" t="str">
        <x:v>隐藏处理时间</x:v>
      </x:c>
      <x:c r="L721" s="4" t="str"/>
      <x:c r="M721" s="4" t="str">
        <x:v>未测</x:v>
      </x:c>
      <x:c r="N721" s="4" t="str"/>
      <x:c r="O721" s="4" t="str">
        <x:v>1. 来源：MainBasis/统一需求文档.md；U-guild-detail-006
2. 场景：SC-12e927df582cd8</x:v>
      </x:c>
    </x:row>
    <x:row r="722" ht="54" customHeight="1">
      <x:c r="A722" s="4" t="n">
        <x:v>721</x:v>
      </x:c>
      <x:c r="B722" s="4" t="str">
        <x:v>USER-0721</x:v>
      </x:c>
      <x:c r="C722" s="4" t="str">
        <x:v>M05 公会申请、认证、组织与权限</x:v>
      </x:c>
      <x:c r="D722" s="4" t="str">
        <x:v>公会详情（用户视角）</x:v>
      </x:c>
      <x:c r="E722" s="4" t="str">
        <x:v>功能需求</x:v>
      </x:c>
      <x:c r="F722" s="4" t="str">
        <x:v>P1</x:v>
      </x:c>
      <x:c r="G722" s="4" t="str">
        <x:v>验证申请原因有值</x:v>
      </x:c>
      <x:c r="H722" s="4" t="str">
        <x:v>申请原因有值</x:v>
      </x:c>
      <x:c r="I722" s="4" t="str">
        <x:v>1. 已登录用户账号
2. 当前申请且申请原因有内容</x:v>
      </x:c>
      <x:c r="J722" s="4" t="str">
        <x:v>1. 进入「公会详情」页
2. 查看申请原因有值</x:v>
      </x:c>
      <x:c r="K722" s="4" t="str">
        <x:v>显示申请原因</x:v>
      </x:c>
      <x:c r="L722" s="4" t="str"/>
      <x:c r="M722" s="4" t="str">
        <x:v>未测</x:v>
      </x:c>
      <x:c r="N722" s="4" t="str"/>
      <x:c r="O722" s="4" t="str">
        <x:v>1. 来源：MainBasis/统一需求文档.md；U-guild-detail-007
2. 场景：SC-03e638df12f0cc</x:v>
      </x:c>
    </x:row>
    <x:row r="723" ht="54" customHeight="1">
      <x:c r="A723" s="4" t="n">
        <x:v>722</x:v>
      </x:c>
      <x:c r="B723" s="4" t="str">
        <x:v>USER-0722</x:v>
      </x:c>
      <x:c r="C723" s="4" t="str">
        <x:v>M05 公会申请、认证、组织与权限</x:v>
      </x:c>
      <x:c r="D723" s="4" t="str">
        <x:v>公会详情（用户视角）</x:v>
      </x:c>
      <x:c r="E723" s="4" t="str">
        <x:v>功能需求</x:v>
      </x:c>
      <x:c r="F723" s="4" t="str">
        <x:v>P1</x:v>
      </x:c>
      <x:c r="G723" s="4" t="str">
        <x:v>验证申请原因无值</x:v>
      </x:c>
      <x:c r="H723" s="4" t="str">
        <x:v>申请原因无值</x:v>
      </x:c>
      <x:c r="I723" s="4" t="str">
        <x:v>1. 已登录用户账号
2. 当前申请且申请原因无内容</x:v>
      </x:c>
      <x:c r="J723" s="4" t="str">
        <x:v>1. 进入「公会详情」页
2. 查看申请原因无值</x:v>
      </x:c>
      <x:c r="K723" s="4" t="str">
        <x:v>隐藏申请原因</x:v>
      </x:c>
      <x:c r="L723" s="4" t="str"/>
      <x:c r="M723" s="4" t="str">
        <x:v>未测</x:v>
      </x:c>
      <x:c r="N723" s="4" t="str"/>
      <x:c r="O723" s="4" t="str">
        <x:v>1. 来源：MainBasis/统一需求文档.md；U-guild-detail-007
2. 场景：SC-e0b5dd4fd4a20c</x:v>
      </x:c>
    </x:row>
    <x:row r="724" ht="54" customHeight="1">
      <x:c r="A724" s="4" t="n">
        <x:v>723</x:v>
      </x:c>
      <x:c r="B724" s="4" t="str">
        <x:v>USER-0723</x:v>
      </x:c>
      <x:c r="C724" s="4" t="str">
        <x:v>M05 公会申请、认证、组织与权限</x:v>
      </x:c>
      <x:c r="D724" s="4" t="str">
        <x:v>公会详情（用户视角）</x:v>
      </x:c>
      <x:c r="E724" s="4" t="str">
        <x:v>功能需求</x:v>
      </x:c>
      <x:c r="F724" s="4" t="str">
        <x:v>P1</x:v>
      </x:c>
      <x:c r="G724" s="4" t="str">
        <x:v>验证驳回原因有值</x:v>
      </x:c>
      <x:c r="H724" s="4" t="str">
        <x:v>驳回原因有值</x:v>
      </x:c>
      <x:c r="I724" s="4" t="str">
        <x:v>1. 已登录用户账号
2. 当前申请已驳回且驳回原因有内容</x:v>
      </x:c>
      <x:c r="J724" s="4" t="str">
        <x:v>1. 进入「公会详情」页
2. 查看驳回原因有值</x:v>
      </x:c>
      <x:c r="K724" s="4" t="str">
        <x:v>显示驳回原因</x:v>
      </x:c>
      <x:c r="L724" s="4" t="str"/>
      <x:c r="M724" s="4" t="str">
        <x:v>未测</x:v>
      </x:c>
      <x:c r="N724" s="4" t="str"/>
      <x:c r="O724" s="4" t="str">
        <x:v>1. 来源：MainBasis/统一需求文档.md；U-guild-detail-008
2. 场景：SC-75da1cf72be648</x:v>
      </x:c>
    </x:row>
    <x:row r="725" ht="54" customHeight="1">
      <x:c r="A725" s="4" t="n">
        <x:v>724</x:v>
      </x:c>
      <x:c r="B725" s="4" t="str">
        <x:v>USER-0724</x:v>
      </x:c>
      <x:c r="C725" s="4" t="str">
        <x:v>M05 公会申请、认证、组织与权限</x:v>
      </x:c>
      <x:c r="D725" s="4" t="str">
        <x:v>公会详情（用户视角）</x:v>
      </x:c>
      <x:c r="E725" s="4" t="str">
        <x:v>功能需求</x:v>
      </x:c>
      <x:c r="F725" s="4" t="str">
        <x:v>P1</x:v>
      </x:c>
      <x:c r="G725" s="4" t="str">
        <x:v>验证驳回原因无值</x:v>
      </x:c>
      <x:c r="H725" s="4" t="str">
        <x:v>驳回原因无值</x:v>
      </x:c>
      <x:c r="I725" s="4" t="str">
        <x:v>1. 已登录用户账号
2. 当前申请已驳回且驳回原因无内容</x:v>
      </x:c>
      <x:c r="J725" s="4" t="str">
        <x:v>1. 进入「公会详情」页
2. 查看驳回原因无值</x:v>
      </x:c>
      <x:c r="K725" s="4" t="str">
        <x:v>隐藏驳回原因</x:v>
      </x:c>
      <x:c r="L725" s="4" t="str"/>
      <x:c r="M725" s="4" t="str">
        <x:v>未测</x:v>
      </x:c>
      <x:c r="N725" s="4" t="str"/>
      <x:c r="O725" s="4" t="str">
        <x:v>1. 来源：MainBasis/统一需求文档.md；U-guild-detail-008
2. 场景：SC-993a8fbf4ba155</x:v>
      </x:c>
    </x:row>
    <x:row r="726" ht="54" customHeight="1">
      <x:c r="A726" s="4" t="n">
        <x:v>725</x:v>
      </x:c>
      <x:c r="B726" s="4" t="str">
        <x:v>USER-0725</x:v>
      </x:c>
      <x:c r="C726" s="4" t="str">
        <x:v>M05 公会申请、认证、组织与权限</x:v>
      </x:c>
      <x:c r="D726" s="4" t="str">
        <x:v>公会详情（用户视角）</x:v>
      </x:c>
      <x:c r="E726" s="4" t="str">
        <x:v>功能需求</x:v>
      </x:c>
      <x:c r="F726" s="4" t="str">
        <x:v>P1</x:v>
      </x:c>
      <x:c r="G726" s="4" t="str">
        <x:v>验证申请材料独立展开收起</x:v>
      </x:c>
      <x:c r="H726" s="4" t="str">
        <x:v>申请材料独立展开收起</x:v>
      </x:c>
      <x:c r="I726" s="4" t="str">
        <x:v>1. 已登录用户账号
2. 当前公会有两张加入申请单且默认均收起</x:v>
      </x:c>
      <x:c r="J726" s="4" t="str">
        <x:v>1. 进入「公会详情」页
2. 展开第一张申请资料</x:v>
      </x:c>
      <x:c r="K726" s="4" t="str">
        <x:v>仅第一张展开，第二张仍收起</x:v>
      </x:c>
      <x:c r="L726" s="4" t="str"/>
      <x:c r="M726" s="4" t="str">
        <x:v>未测</x:v>
      </x:c>
      <x:c r="N726" s="4" t="str"/>
      <x:c r="O726" s="4" t="str">
        <x:v>1. 来源：MainBasis/统一需求文档.md；U-guild-detail-020
2. 场景：SC-07f765f5b9cdaa</x:v>
      </x:c>
    </x:row>
    <x:row r="727" ht="54" customHeight="1">
      <x:c r="A727" s="4" t="n">
        <x:v>726</x:v>
      </x:c>
      <x:c r="B727" s="4" t="str">
        <x:v>USER-0726</x:v>
      </x:c>
      <x:c r="C727" s="4" t="str">
        <x:v>M05 公会申请、认证、组织与权限</x:v>
      </x:c>
      <x:c r="D727" s="4" t="str">
        <x:v>公会详情（用户视角）</x:v>
      </x:c>
      <x:c r="E727" s="4" t="str">
        <x:v>功能需求</x:v>
      </x:c>
      <x:c r="F727" s="4" t="str">
        <x:v>P1</x:v>
      </x:c>
      <x:c r="G727" s="4" t="str">
        <x:v>验证再次点击收起资料</x:v>
      </x:c>
      <x:c r="H727" s="4" t="str">
        <x:v>再次点击收起资料</x:v>
      </x:c>
      <x:c r="I727" s="4" t="str">
        <x:v>1. 已登录用户账号
2. 一张申请资料已展开</x:v>
      </x:c>
      <x:c r="J727" s="4" t="str">
        <x:v>1. 进入「公会详情」页
2. 再次点击该单申请资料</x:v>
      </x:c>
      <x:c r="K727" s="4" t="str">
        <x:v>该单资料收起</x:v>
      </x:c>
      <x:c r="L727" s="4" t="str"/>
      <x:c r="M727" s="4" t="str">
        <x:v>未测</x:v>
      </x:c>
      <x:c r="N727" s="4" t="str"/>
      <x:c r="O727" s="4" t="str">
        <x:v>1. 来源：MainBasis/统一需求文档.md；U-guild-detail-020
2. 场景：SC-e4b5e6f4a02b02</x:v>
      </x:c>
    </x:row>
    <x:row r="728" ht="54" customHeight="1">
      <x:c r="A728" s="4" t="n">
        <x:v>727</x:v>
      </x:c>
      <x:c r="B728" s="4" t="str">
        <x:v>USER-0727</x:v>
      </x:c>
      <x:c r="C728" s="4" t="str">
        <x:v>M05 公会申请、认证、组织与权限</x:v>
      </x:c>
      <x:c r="D728" s="4" t="str">
        <x:v>公会详情（用户视角）</x:v>
      </x:c>
      <x:c r="E728" s="4" t="str">
        <x:v>功能需求</x:v>
      </x:c>
      <x:c r="F728" s="4" t="str">
        <x:v>P2</x:v>
      </x:c>
      <x:c r="G728" s="4" t="str">
        <x:v>验证返回入口</x:v>
      </x:c>
      <x:c r="H728" s="4" t="str">
        <x:v>返回入口</x:v>
      </x:c>
      <x:c r="I728" s="4" t="str">
        <x:v>1. 已登录用户账号</x:v>
      </x:c>
      <x:c r="J728" s="4" t="str">
        <x:v>1. 进入「公会详情」页
2. 点击「返回」</x:v>
      </x:c>
      <x:c r="K728" s="4" t="str">
        <x:v>页面进入「我的公会」</x:v>
      </x:c>
      <x:c r="L728" s="4" t="str"/>
      <x:c r="M728" s="4" t="str">
        <x:v>未测</x:v>
      </x:c>
      <x:c r="N728" s="4" t="str"/>
      <x:c r="O728" s="4" t="str">
        <x:v>1. 来源：MainBasis/统一需求文档.md；U-guild-detail-019
2. 场景：SC-bfbd8575e0e5e1</x:v>
      </x:c>
    </x:row>
    <x:row r="729" ht="54" customHeight="1">
      <x:c r="A729" s="4" t="n">
        <x:v>728</x:v>
      </x:c>
      <x:c r="B729" s="4" t="str">
        <x:v>USER-0728</x:v>
      </x:c>
      <x:c r="C729" s="4" t="str">
        <x:v>M05 公会申请、认证、组织与权限</x:v>
      </x:c>
      <x:c r="D729" s="4" t="str">
        <x:v>公会详情（用户视角）</x:v>
      </x:c>
      <x:c r="E729" s="4" t="str">
        <x:v>功能需求</x:v>
      </x:c>
      <x:c r="F729" s="4" t="str">
        <x:v>P2</x:v>
      </x:c>
      <x:c r="G729" s="4" t="str">
        <x:v>验证提交时间资料对应</x:v>
      </x:c>
      <x:c r="H729" s="4" t="str">
        <x:v>提交时间资料对应</x:v>
      </x:c>
      <x:c r="I729" s="4" t="str">
        <x:v>1. 已登录用户账号
2. 已选中一条已存在记录，已记录其提交时间原始值</x:v>
      </x:c>
      <x:c r="J729" s="4" t="str">
        <x:v>1. 进入「公会详情」页
2. 查看提交时间资料对应</x:v>
      </x:c>
      <x:c r="K729" s="4" t="str">
        <x:v>页面提交时间与所选记录一致：展示对应申请的提交时间，用于时间轴排序</x:v>
      </x:c>
      <x:c r="L729" s="4" t="str"/>
      <x:c r="M729" s="4" t="str">
        <x:v>未测</x:v>
      </x:c>
      <x:c r="N729" s="4" t="str"/>
      <x:c r="O729" s="4" t="str">
        <x:v>1. 来源：MainBasis/统一需求文档.md；U-guild-detail-005
2. 场景：SC-459795915c4c95</x:v>
      </x:c>
    </x:row>
    <x:row r="730" ht="54" customHeight="1">
      <x:c r="A730" s="4" t="n">
        <x:v>729</x:v>
      </x:c>
      <x:c r="B730" s="4" t="str">
        <x:v>USER-0729</x:v>
      </x:c>
      <x:c r="C730" s="4" t="str">
        <x:v>M05 公会申请、认证、组织与权限</x:v>
      </x:c>
      <x:c r="D730" s="4" t="str">
        <x:v>公会详情（用户视角）</x:v>
      </x:c>
      <x:c r="E730" s="4" t="str">
        <x:v>功能需求</x:v>
      </x:c>
      <x:c r="F730" s="4" t="str">
        <x:v>P1</x:v>
      </x:c>
      <x:c r="G730" s="4" t="str">
        <x:v>验证公会详情申请范围</x:v>
      </x:c>
      <x:c r="H730" s="4" t="str">
        <x:v>公会详情申请范围</x:v>
      </x:c>
      <x:c r="I730" s="4" t="str">
        <x:v>1. 已登录用户账号
2. 当前账号对甲公会有三笔申请，另有乙公会申请</x:v>
      </x:c>
      <x:c r="J730" s="4" t="str">
        <x:v>1. 进入「公会详情」页
2. 查看公会详情申请范围</x:v>
      </x:c>
      <x:c r="K730" s="4" t="str">
        <x:v>当前甲公会详情仅包含我对甲的三笔申请</x:v>
      </x:c>
      <x:c r="L730" s="4" t="str"/>
      <x:c r="M730" s="4" t="str">
        <x:v>未测</x:v>
      </x:c>
      <x:c r="N730" s="4" t="str"/>
      <x:c r="O730" s="4" t="str">
        <x:v>1. 来源：MainBasis/统一需求文档.md；U-guild-detail-012
2. 场景：SC-aee67cbfdc333e</x:v>
      </x:c>
    </x:row>
    <x:row r="731" ht="68" customHeight="1">
      <x:c r="A731" s="4" t="n">
        <x:v>730</x:v>
      </x:c>
      <x:c r="B731" s="4" t="str">
        <x:v>USER-0730</x:v>
      </x:c>
      <x:c r="C731" s="4" t="str">
        <x:v>M05 公会申请、认证、组织与权限</x:v>
      </x:c>
      <x:c r="D731" s="4" t="str">
        <x:v>申请退出公会（用户视角）</x:v>
      </x:c>
      <x:c r="E731" s="4" t="str">
        <x:v>功能需求</x:v>
      </x:c>
      <x:c r="F731" s="4" t="str">
        <x:v>P1</x:v>
      </x:c>
      <x:c r="G731" s="4" t="str">
        <x:v>验证退会原因空白0</x:v>
      </x:c>
      <x:c r="H731" s="4" t="str">
        <x:v>退会原因空白0</x:v>
      </x:c>
      <x:c r="I731" s="4" t="str">
        <x:v>1. 已登录用户账号
2. 当前已在会且无处理中退会申请</x:v>
      </x:c>
      <x:c r="J731" s="4" t="str">
        <x:v>1. 进入「申请退出公会」页
2. 清空原因</x:v>
      </x:c>
      <x:c r="K731" s="4" t="str">
        <x:v>提交按钮不可用</x:v>
      </x:c>
      <x:c r="L731" s="4" t="str"/>
      <x:c r="M731" s="4" t="str">
        <x:v>未测</x:v>
      </x:c>
      <x:c r="N731" s="4" t="str"/>
      <x:c r="O731" s="4" t="str">
        <x:v>1. 来源：MainBasis/统一需求文档.md；U-guild-leave-application-003、U-guild-leave-application-008
2. 场景：SC-7db2cff15f4497</x:v>
      </x:c>
    </x:row>
    <x:row r="732" ht="68" customHeight="1">
      <x:c r="A732" s="4" t="n">
        <x:v>731</x:v>
      </x:c>
      <x:c r="B732" s="4" t="str">
        <x:v>USER-0731</x:v>
      </x:c>
      <x:c r="C732" s="4" t="str">
        <x:v>M05 公会申请、认证、组织与权限</x:v>
      </x:c>
      <x:c r="D732" s="4" t="str">
        <x:v>申请退出公会（用户视角）</x:v>
      </x:c>
      <x:c r="E732" s="4" t="str">
        <x:v>功能需求</x:v>
      </x:c>
      <x:c r="F732" s="4" t="str">
        <x:v>P1</x:v>
      </x:c>
      <x:c r="G732" s="4" t="str">
        <x:v>验证退会原因空白3</x:v>
      </x:c>
      <x:c r="H732" s="4" t="str">
        <x:v>退会原因空白3</x:v>
      </x:c>
      <x:c r="I732" s="4" t="str">
        <x:v>1. 已登录用户账号
2. 当前已在会且无处理中退会申请</x:v>
      </x:c>
      <x:c r="J732" s="4" t="str">
        <x:v>1. 进入「申请退出公会」页
2. 填写原因「   」</x:v>
      </x:c>
      <x:c r="K732" s="4" t="str">
        <x:v>提交按钮不可用</x:v>
      </x:c>
      <x:c r="L732" s="4" t="str"/>
      <x:c r="M732" s="4" t="str">
        <x:v>未测</x:v>
      </x:c>
      <x:c r="N732" s="4" t="str"/>
      <x:c r="O732" s="4" t="str">
        <x:v>1. 来源：MainBasis/统一需求文档.md；U-guild-leave-application-003、U-guild-leave-application-008
2. 场景：SC-684338451165ed</x:v>
      </x:c>
    </x:row>
    <x:row r="733" ht="68" customHeight="1">
      <x:c r="A733" s="4" t="n">
        <x:v>732</x:v>
      </x:c>
      <x:c r="B733" s="4" t="str">
        <x:v>USER-0732</x:v>
      </x:c>
      <x:c r="C733" s="4" t="str">
        <x:v>M05 公会申请、认证、组织与权限</x:v>
      </x:c>
      <x:c r="D733" s="4" t="str">
        <x:v>申请退出公会（用户视角）</x:v>
      </x:c>
      <x:c r="E733" s="4" t="str">
        <x:v>功能需求</x:v>
      </x:c>
      <x:c r="F733" s="4" t="str">
        <x:v>P1</x:v>
      </x:c>
      <x:c r="G733" s="4" t="str">
        <x:v>验证退会原因有效</x:v>
      </x:c>
      <x:c r="H733" s="4" t="str">
        <x:v>退会原因有效</x:v>
      </x:c>
      <x:c r="I733" s="4" t="str">
        <x:v>1. 已登录用户账号
2. 当前已在会且无处理中退会申请</x:v>
      </x:c>
      <x:c r="J733" s="4" t="str">
        <x:v>1. 进入「申请退出公会」页
2. 填写原因「个人原因」</x:v>
      </x:c>
      <x:c r="K733" s="4" t="str">
        <x:v>提交按钮可用</x:v>
      </x:c>
      <x:c r="L733" s="4" t="str"/>
      <x:c r="M733" s="4" t="str">
        <x:v>未测</x:v>
      </x:c>
      <x:c r="N733" s="4" t="str"/>
      <x:c r="O733" s="4" t="str">
        <x:v>1. 来源：MainBasis/统一需求文档.md；U-guild-leave-application-003、U-guild-leave-application-008
2. 场景：SC-8d1e45157c09f3</x:v>
      </x:c>
    </x:row>
    <x:row r="734" ht="68" customHeight="1">
      <x:c r="A734" s="4" t="n">
        <x:v>733</x:v>
      </x:c>
      <x:c r="B734" s="4" t="str">
        <x:v>USER-0733</x:v>
      </x:c>
      <x:c r="C734" s="4" t="str">
        <x:v>M05 公会申请、认证、组织与权限</x:v>
      </x:c>
      <x:c r="D734" s="4" t="str">
        <x:v>申请退出公会（用户视角）</x:v>
      </x:c>
      <x:c r="E734" s="4" t="str">
        <x:v>功能需求</x:v>
      </x:c>
      <x:c r="F734" s="4" t="str">
        <x:v>P1</x:v>
      </x:c>
      <x:c r="G734" s="4" t="str">
        <x:v>验证提交退会申请</x:v>
      </x:c>
      <x:c r="H734" s="4" t="str">
        <x:v>提交退会申请</x:v>
      </x:c>
      <x:c r="I734" s="4" t="str">
        <x:v>1. 已登录用户账号
2. 当前已在会、收益已结清且无处理中退会申请</x:v>
      </x:c>
      <x:c r="J734" s="4" t="str">
        <x:v>1. 进入「申请退出公会」页
2. 填写“个人原因”
3. 点击提交</x:v>
      </x:c>
      <x:c r="K734" s="4" t="str">
        <x:v>生成一笔处理中退会申请</x:v>
      </x:c>
      <x:c r="L734" s="4" t="str">
        <x:v>FLOW-289CDBD1</x:v>
      </x:c>
      <x:c r="M734" s="4" t="str">
        <x:v>未测</x:v>
      </x:c>
      <x:c r="N734" s="4" t="str"/>
      <x:c r="O734" s="4" t="str">
        <x:v>1. 来源：MainBasis/统一需求文档.md；U-guild-leave-application-008
2. 场景：SC-d34164435ad2fb
3. 状态转换：ST-677B2B597F20</x:v>
      </x:c>
    </x:row>
    <x:row r="735" ht="54" customHeight="1">
      <x:c r="A735" s="4" t="n">
        <x:v>734</x:v>
      </x:c>
      <x:c r="B735" s="4" t="str">
        <x:v>USER-0734</x:v>
      </x:c>
      <x:c r="C735" s="4" t="str">
        <x:v>M05 公会申请、认证、组织与权限</x:v>
      </x:c>
      <x:c r="D735" s="4" t="str">
        <x:v>申请退出公会（用户视角）</x:v>
      </x:c>
      <x:c r="E735" s="4" t="str">
        <x:v>功能需求</x:v>
      </x:c>
      <x:c r="F735" s="4" t="str">
        <x:v>P1</x:v>
      </x:c>
      <x:c r="G735" s="4" t="str">
        <x:v>验证退会被驳回可重新申请</x:v>
      </x:c>
      <x:c r="H735" s="4" t="str">
        <x:v>退会被驳回可重新申请</x:v>
      </x:c>
      <x:c r="I735" s="4" t="str">
        <x:v>1. 已登录用户账号
2. 此前退会已驳回，当前仍有公会和主播身份</x:v>
      </x:c>
      <x:c r="J735" s="4" t="str">
        <x:v>1. 进入「申请退出公会」页
2. 填写新的退会原因
3. 点击提交</x:v>
      </x:c>
      <x:c r="K735" s="4" t="str">
        <x:v>生成新的一笔处理中退会申请</x:v>
      </x:c>
      <x:c r="L735" s="4" t="str"/>
      <x:c r="M735" s="4" t="str">
        <x:v>未测</x:v>
      </x:c>
      <x:c r="N735" s="4" t="str"/>
      <x:c r="O735" s="4" t="str">
        <x:v>1. 来源：MainBasis/统一需求文档.md；U-guild-leave-application-005
2. 场景：SC-448f9d125c28e9</x:v>
      </x:c>
    </x:row>
    <x:row r="736" ht="54" customHeight="1">
      <x:c r="A736" s="4" t="n">
        <x:v>735</x:v>
      </x:c>
      <x:c r="B736" s="4" t="str">
        <x:v>USER-0735</x:v>
      </x:c>
      <x:c r="C736" s="4" t="str">
        <x:v>M05 公会申请、认证、组织与权限</x:v>
      </x:c>
      <x:c r="D736" s="4" t="str">
        <x:v>申请退出公会（用户视角）</x:v>
      </x:c>
      <x:c r="E736" s="4" t="str">
        <x:v>功能需求</x:v>
      </x:c>
      <x:c r="F736" s="4" t="str">
        <x:v>P2</x:v>
      </x:c>
      <x:c r="G736" s="4" t="str">
        <x:v>验证当前公会资料对应</x:v>
      </x:c>
      <x:c r="H736" s="4" t="str">
        <x:v>当前公会资料对应</x:v>
      </x:c>
      <x:c r="I736" s="4" t="str">
        <x:v>1. 已登录用户账号
2. 已选中一条已存在记录，已记录其当前公会原始值</x:v>
      </x:c>
      <x:c r="J736" s="4" t="str">
        <x:v>1. 进入「申请退出公会」页
2. 查看当前公会资料对应</x:v>
      </x:c>
      <x:c r="K736" s="4" t="str">
        <x:v>页面当前公会与所选记录一致：来源于当前有效公会关系，只读</x:v>
      </x:c>
      <x:c r="L736" s="4" t="str"/>
      <x:c r="M736" s="4" t="str">
        <x:v>未测</x:v>
      </x:c>
      <x:c r="N736" s="4" t="str"/>
      <x:c r="O736" s="4" t="str">
        <x:v>1. 来源：MainBasis/统一需求文档.md；U-guild-leave-application-002
2. 场景：SC-4f4032cb1b4515</x:v>
      </x:c>
    </x:row>
    <x:row r="737" ht="54" customHeight="1">
      <x:c r="A737" s="4" t="n">
        <x:v>736</x:v>
      </x:c>
      <x:c r="B737" s="4" t="str">
        <x:v>USER-0736</x:v>
      </x:c>
      <x:c r="C737" s="4" t="str">
        <x:v>M05 公会申请、认证、组织与权限</x:v>
      </x:c>
      <x:c r="D737" s="4" t="str">
        <x:v>申请退出公会（用户视角）</x:v>
      </x:c>
      <x:c r="E737" s="4" t="str">
        <x:v>功能需求</x:v>
      </x:c>
      <x:c r="F737" s="4" t="str">
        <x:v>P1</x:v>
      </x:c>
      <x:c r="G737" s="4" t="str">
        <x:v>验证退会重复提交限制</x:v>
      </x:c>
      <x:c r="H737" s="4" t="str">
        <x:v>退会重复提交限制</x:v>
      </x:c>
      <x:c r="I737" s="4" t="str">
        <x:v>1. 已登录用户账号
2. 同一账号已有一笔处理中退会申请</x:v>
      </x:c>
      <x:c r="J737" s="4" t="str">
        <x:v>1. 进入「申请退出公会」页
2. 再次尝试提交退会申请</x:v>
      </x:c>
      <x:c r="K737" s="4" t="str">
        <x:v>不生成第二笔处理中申请</x:v>
      </x:c>
      <x:c r="L737" s="4" t="str"/>
      <x:c r="M737" s="4" t="str">
        <x:v>未测</x:v>
      </x:c>
      <x:c r="N737" s="4" t="str"/>
      <x:c r="O737" s="4" t="str">
        <x:v>1. 来源：MainBasis/统一需求文档.md；U-guild-leave-application-004
2. 场景：SC-93d0386d35ba0b</x:v>
      </x:c>
    </x:row>
    <x:row r="738" ht="54" customHeight="1">
      <x:c r="A738" s="4" t="n">
        <x:v>737</x:v>
      </x:c>
      <x:c r="B738" s="4" t="str">
        <x:v>USER-0737</x:v>
      </x:c>
      <x:c r="C738" s="4" t="str">
        <x:v>M05 公会申请、认证、组织与权限</x:v>
      </x:c>
      <x:c r="D738" s="4" t="str">
        <x:v>申请退出公会（用户视角）</x:v>
      </x:c>
      <x:c r="E738" s="4" t="str">
        <x:v>功能需求</x:v>
      </x:c>
      <x:c r="F738" s="4" t="str">
        <x:v>P1</x:v>
      </x:c>
      <x:c r="G738" s="4" t="str">
        <x:v>验证不能为无关系公会退会</x:v>
      </x:c>
      <x:c r="H738" s="4" t="str">
        <x:v>不能为无关系公会退会</x:v>
      </x:c>
      <x:c r="I738" s="4" t="str">
        <x:v>1. 已登录用户账号
2. 当前仅属于公会甲</x:v>
      </x:c>
      <x:c r="J738" s="4" t="str">
        <x:v>1. 进入「申请退出公会」页
2. 尝试为公会乙提交退出</x:v>
      </x:c>
      <x:c r="K738" s="4" t="str">
        <x:v>不生成乙公会退出申请</x:v>
      </x:c>
      <x:c r="L738" s="4" t="str"/>
      <x:c r="M738" s="4" t="str">
        <x:v>未测</x:v>
      </x:c>
      <x:c r="N738" s="4" t="str"/>
      <x:c r="O738" s="4" t="str">
        <x:v>1. 来源：MainBasis/统一需求文档.md；U-guild-leave-application-007
2. 场景：SC-d1103bbbfefef2</x:v>
      </x:c>
    </x:row>
    <x:row r="739" ht="54" customHeight="1">
      <x:c r="A739" s="4" t="n">
        <x:v>738</x:v>
      </x:c>
      <x:c r="B739" s="4" t="str">
        <x:v>USER-0738</x:v>
      </x:c>
      <x:c r="C739" s="4" t="str">
        <x:v>M05 公会申请、认证、组织与权限</x:v>
      </x:c>
      <x:c r="D739" s="4" t="str">
        <x:v>公会通知（主播视角）</x:v>
      </x:c>
      <x:c r="E739" s="4" t="str">
        <x:v>功能需求</x:v>
      </x:c>
      <x:c r="F739" s="4" t="str">
        <x:v>P2</x:v>
      </x:c>
      <x:c r="G739" s="4" t="str">
        <x:v>验证通知标题回显</x:v>
      </x:c>
      <x:c r="H739" s="4" t="str">
        <x:v>通知标题回显</x:v>
      </x:c>
      <x:c r="I739" s="4" t="str">
        <x:v>1. 已登录主播账号
2. 所选对象存在，已记录该对象的通知标题值</x:v>
      </x:c>
      <x:c r="J739" s="4" t="str">
        <x:v>1. 进入「公会通知」页
2. 查看通知标题回显</x:v>
      </x:c>
      <x:c r="K739" s="4" t="str">
        <x:v>「通知标题」内容与所选对象的该项资料一致</x:v>
      </x:c>
      <x:c r="L739" s="4" t="str"/>
      <x:c r="M739" s="4" t="str">
        <x:v>未测</x:v>
      </x:c>
      <x:c r="N739" s="4" t="str"/>
      <x:c r="O739" s="4" t="str">
        <x:v>1. 来源：MainBasis/统一需求文档.md；U-host-guild-notifications-002
2. 场景：SC-0c99a84df07a82</x:v>
      </x:c>
    </x:row>
    <x:row r="740" ht="54" customHeight="1">
      <x:c r="A740" s="4" t="n">
        <x:v>739</x:v>
      </x:c>
      <x:c r="B740" s="4" t="str">
        <x:v>USER-0739</x:v>
      </x:c>
      <x:c r="C740" s="4" t="str">
        <x:v>M05 公会申请、认证、组织与权限</x:v>
      </x:c>
      <x:c r="D740" s="4" t="str">
        <x:v>公会通知（主播视角）</x:v>
      </x:c>
      <x:c r="E740" s="4" t="str">
        <x:v>功能需求</x:v>
      </x:c>
      <x:c r="F740" s="4" t="str">
        <x:v>P2</x:v>
      </x:c>
      <x:c r="G740" s="4" t="str">
        <x:v>验证未读标记回显</x:v>
      </x:c>
      <x:c r="H740" s="4" t="str">
        <x:v>未读标记回显</x:v>
      </x:c>
      <x:c r="I740" s="4" t="str">
        <x:v>1. 已登录主播账号
2. 所选对象存在，已记录该对象的未读标记值</x:v>
      </x:c>
      <x:c r="J740" s="4" t="str">
        <x:v>1. 进入「公会通知」页
2. 查看未读标记回显</x:v>
      </x:c>
      <x:c r="K740" s="4" t="str">
        <x:v>「未读标记」内容与所选对象的该项资料一致</x:v>
      </x:c>
      <x:c r="L740" s="4" t="str"/>
      <x:c r="M740" s="4" t="str">
        <x:v>未测</x:v>
      </x:c>
      <x:c r="N740" s="4" t="str"/>
      <x:c r="O740" s="4" t="str">
        <x:v>1. 来源：MainBasis/统一需求文档.md；U-host-guild-notifications-004
2. 场景：SC-fcb7abcc5ab6a4</x:v>
      </x:c>
    </x:row>
    <x:row r="741" ht="54" customHeight="1">
      <x:c r="A741" s="4" t="n">
        <x:v>740</x:v>
      </x:c>
      <x:c r="B741" s="4" t="str">
        <x:v>USER-0740</x:v>
      </x:c>
      <x:c r="C741" s="4" t="str">
        <x:v>M05 公会申请、认证、组织与权限</x:v>
      </x:c>
      <x:c r="D741" s="4" t="str">
        <x:v>公会通知（主播视角）</x:v>
      </x:c>
      <x:c r="E741" s="4" t="str">
        <x:v>功能需求</x:v>
      </x:c>
      <x:c r="F741" s="4" t="str">
        <x:v>P1</x:v>
      </x:c>
      <x:c r="G741" s="4" t="str">
        <x:v>验证主播接收纯文字通知</x:v>
      </x:c>
      <x:c r="H741" s="4" t="str">
        <x:v>主播接收纯文字通知</x:v>
      </x:c>
      <x:c r="I741" s="4" t="str">
        <x:v>1. 已登录主播账号
2. 当前公会向主播发出有效纯文字通知</x:v>
      </x:c>
      <x:c r="J741" s="4" t="str">
        <x:v>1. 进入「公会通知」页
2. 查看主播接收纯文字通知</x:v>
      </x:c>
      <x:c r="K741" s="4" t="str">
        <x:v>通知卡片展示该纯文字内容</x:v>
      </x:c>
      <x:c r="L741" s="4" t="str"/>
      <x:c r="M741" s="4" t="str">
        <x:v>未测</x:v>
      </x:c>
      <x:c r="N741" s="4" t="str"/>
      <x:c r="O741" s="4" t="str">
        <x:v>1. 来源：MainBasis/统一需求文档.md；U-host-guild-notifications-003
2. 场景：SC-383639a0332ce2</x:v>
      </x:c>
    </x:row>
    <x:row r="742" ht="54" customHeight="1">
      <x:c r="A742" s="4" t="n">
        <x:v>741</x:v>
      </x:c>
      <x:c r="B742" s="4" t="str">
        <x:v>USER-0741</x:v>
      </x:c>
      <x:c r="C742" s="4" t="str">
        <x:v>M05 公会申请、认证、组织与权限</x:v>
      </x:c>
      <x:c r="D742" s="4" t="str">
        <x:v>公会通知（主播视角）</x:v>
      </x:c>
      <x:c r="E742" s="4" t="str">
        <x:v>功能需求</x:v>
      </x:c>
      <x:c r="F742" s="4" t="str">
        <x:v>P1</x:v>
      </x:c>
      <x:c r="G742" s="4" t="str">
        <x:v>验证主播接收图片加文字通知</x:v>
      </x:c>
      <x:c r="H742" s="4" t="str">
        <x:v>主播接收图片加文字通知</x:v>
      </x:c>
      <x:c r="I742" s="4" t="str">
        <x:v>1. 已登录主播账号
2. 当前公会向主播发出有效图片加文字通知</x:v>
      </x:c>
      <x:c r="J742" s="4" t="str">
        <x:v>1. 进入「公会通知」页
2. 查看主播接收图片加文字通知</x:v>
      </x:c>
      <x:c r="K742" s="4" t="str">
        <x:v>通知卡片展示该图片加文字内容</x:v>
      </x:c>
      <x:c r="L742" s="4" t="str"/>
      <x:c r="M742" s="4" t="str">
        <x:v>未测</x:v>
      </x:c>
      <x:c r="N742" s="4" t="str"/>
      <x:c r="O742" s="4" t="str">
        <x:v>1. 来源：MainBasis/统一需求文档.md；U-host-guild-notifications-003
2. 场景：SC-4ee3916e97d703</x:v>
      </x:c>
    </x:row>
    <x:row r="743" ht="54" customHeight="1">
      <x:c r="A743" s="4" t="n">
        <x:v>742</x:v>
      </x:c>
      <x:c r="B743" s="4" t="str">
        <x:v>USER-0742</x:v>
      </x:c>
      <x:c r="C743" s="4" t="str">
        <x:v>M05 公会申请、认证、组织与权限</x:v>
      </x:c>
      <x:c r="D743" s="4" t="str">
        <x:v>公会通知（主播视角）</x:v>
      </x:c>
      <x:c r="E743" s="4" t="str">
        <x:v>功能需求</x:v>
      </x:c>
      <x:c r="F743" s="4" t="str">
        <x:v>P1</x:v>
      </x:c>
      <x:c r="G743" s="4" t="str">
        <x:v>验证展开通知不跳详情</x:v>
      </x:c>
      <x:c r="H743" s="4" t="str">
        <x:v>展开通知不跳详情</x:v>
      </x:c>
      <x:c r="I743" s="4" t="str">
        <x:v>1. 已登录主播账号
2. 当前公会有长内容通知</x:v>
      </x:c>
      <x:c r="J743" s="4" t="str">
        <x:v>1. 进入「公会通知」页
2. 展开长内容</x:v>
      </x:c>
      <x:c r="K743" s="4" t="str">
        <x:v>正文在当前通知卡片内展开，页面仍为公会通知</x:v>
      </x:c>
      <x:c r="L743" s="4" t="str"/>
      <x:c r="M743" s="4" t="str">
        <x:v>未测</x:v>
      </x:c>
      <x:c r="N743" s="4" t="str"/>
      <x:c r="O743" s="4" t="str">
        <x:v>1. 来源：MainBasis/统一需求文档.md；U-host-guild-notifications-007
2. 场景：SC-4d3a85b5be3143</x:v>
      </x:c>
    </x:row>
    <x:row r="744" ht="54" customHeight="1">
      <x:c r="A744" s="4" t="n">
        <x:v>743</x:v>
      </x:c>
      <x:c r="B744" s="4" t="str">
        <x:v>USER-0743</x:v>
      </x:c>
      <x:c r="C744" s="4" t="str">
        <x:v>M05 公会申请、认证、组织与权限</x:v>
      </x:c>
      <x:c r="D744" s="4" t="str">
        <x:v>公会通知（主播视角）</x:v>
      </x:c>
      <x:c r="E744" s="4" t="str">
        <x:v>功能需求</x:v>
      </x:c>
      <x:c r="F744" s="4" t="str">
        <x:v>P1</x:v>
      </x:c>
      <x:c r="G744" s="4" t="str">
        <x:v>验证收起通知长内容</x:v>
      </x:c>
      <x:c r="H744" s="4" t="str">
        <x:v>收起通知长内容</x:v>
      </x:c>
      <x:c r="I744" s="4" t="str">
        <x:v>1. 已登录主播账号
2. 长内容已展开</x:v>
      </x:c>
      <x:c r="J744" s="4" t="str">
        <x:v>1. 进入「公会通知」页
2. 点击收起</x:v>
      </x:c>
      <x:c r="K744" s="4" t="str">
        <x:v>正文恢复卡片收起状态</x:v>
      </x:c>
      <x:c r="L744" s="4" t="str"/>
      <x:c r="M744" s="4" t="str">
        <x:v>未测</x:v>
      </x:c>
      <x:c r="N744" s="4" t="str"/>
      <x:c r="O744" s="4" t="str">
        <x:v>1. 来源：MainBasis/统一需求文档.md；U-host-guild-notifications-007
2. 场景：SC-66835bb2092ba5</x:v>
      </x:c>
    </x:row>
    <x:row r="745" ht="54" customHeight="1">
      <x:c r="A745" s="4" t="n">
        <x:v>744</x:v>
      </x:c>
      <x:c r="B745" s="4" t="str">
        <x:v>USER-0744</x:v>
      </x:c>
      <x:c r="C745" s="4" t="str">
        <x:v>M05 公会申请、认证、组织与权限</x:v>
      </x:c>
      <x:c r="D745" s="4" t="str">
        <x:v>公会通知（主播视角）</x:v>
      </x:c>
      <x:c r="E745" s="4" t="str">
        <x:v>功能需求</x:v>
      </x:c>
      <x:c r="F745" s="4" t="str">
        <x:v>P1</x:v>
      </x:c>
      <x:c r="G745" s="4" t="str">
        <x:v>验证退会后不接收新公会通知</x:v>
      </x:c>
      <x:c r="H745" s="4" t="str">
        <x:v>退会后不接收新公会通知</x:v>
      </x:c>
      <x:c r="I745" s="4" t="str">
        <x:v>1. 已登录主播账号
2. 主播已退会，原公会随后发出一条新通知</x:v>
      </x:c>
      <x:c r="J745" s="4" t="str">
        <x:v>1. 进入「公会通知」页
2. 查看退会后不接收新公会通知</x:v>
      </x:c>
      <x:c r="K745" s="4" t="str">
        <x:v>列表没有退会后发出的这条通知</x:v>
      </x:c>
      <x:c r="L745" s="4" t="str"/>
      <x:c r="M745" s="4" t="str">
        <x:v>未测</x:v>
      </x:c>
      <x:c r="N745" s="4" t="str"/>
      <x:c r="O745" s="4" t="str">
        <x:v>1. 来源：MainBasis/统一需求文档.md；U-host-guild-notifications-005
2. 场景：SC-9c8a5ed4a35811</x:v>
      </x:c>
    </x:row>
    <x:row r="746" ht="54" customHeight="1">
      <x:c r="A746" s="4" t="n">
        <x:v>745</x:v>
      </x:c>
      <x:c r="B746" s="4" t="str">
        <x:v>USER-0745</x:v>
      </x:c>
      <x:c r="C746" s="4" t="str">
        <x:v>M05 公会申请、认证、组织与权限</x:v>
      </x:c>
      <x:c r="D746" s="4" t="str">
        <x:v>申请成为主播（主播视角）</x:v>
      </x:c>
      <x:c r="E746" s="4" t="str">
        <x:v>功能需求</x:v>
      </x:c>
      <x:c r="F746" s="4" t="str">
        <x:v>P2</x:v>
      </x:c>
      <x:c r="G746" s="4" t="str">
        <x:v>验证banner 图回显</x:v>
      </x:c>
      <x:c r="H746" s="4" t="str">
        <x:v>banner 图回显</x:v>
      </x:c>
      <x:c r="I746" s="4" t="str">
        <x:v>1. 已登录主播账号
2. 所选对象存在，已记录该对象的banner 图值</x:v>
      </x:c>
      <x:c r="J746" s="4" t="str">
        <x:v>1. 进入「申请成为主播」页
2. 查看banner 图回显</x:v>
      </x:c>
      <x:c r="K746" s="4" t="str">
        <x:v>「banner 图」内容与所选对象的该项资料一致</x:v>
      </x:c>
      <x:c r="L746" s="4" t="str"/>
      <x:c r="M746" s="4" t="str">
        <x:v>未测</x:v>
      </x:c>
      <x:c r="N746" s="4" t="str"/>
      <x:c r="O746" s="4" t="str">
        <x:v>1. 来源：MainBasis/统一需求文档.md；U-host-center-pending-002
2. 场景：SC-71fe1d1bf5ca30</x:v>
      </x:c>
    </x:row>
    <x:row r="747" ht="54" customHeight="1">
      <x:c r="A747" s="4" t="n">
        <x:v>746</x:v>
      </x:c>
      <x:c r="B747" s="4" t="str">
        <x:v>USER-0746</x:v>
      </x:c>
      <x:c r="C747" s="4" t="str">
        <x:v>M05 公会申请、认证、组织与权限</x:v>
      </x:c>
      <x:c r="D747" s="4" t="str">
        <x:v>申请成为主播（主播视角）</x:v>
      </x:c>
      <x:c r="E747" s="4" t="str">
        <x:v>功能需求</x:v>
      </x:c>
      <x:c r="F747" s="4" t="str">
        <x:v>P2</x:v>
      </x:c>
      <x:c r="G747" s="4" t="str">
        <x:v>验证步骤状态、操作回显</x:v>
      </x:c>
      <x:c r="H747" s="4" t="str">
        <x:v>步骤状态、操作回显</x:v>
      </x:c>
      <x:c r="I747" s="4" t="str">
        <x:v>1. 已登录主播账号
2. 所选对象存在，已记录该对象的步骤状态 / 操作值</x:v>
      </x:c>
      <x:c r="J747" s="4" t="str">
        <x:v>1. 进入「申请成为主播」页
2. 查看步骤状态、操作回显</x:v>
      </x:c>
      <x:c r="K747" s="4" t="str">
        <x:v>「步骤状态 / 操作」内容与所选对象的该项资料一致</x:v>
      </x:c>
      <x:c r="L747" s="4" t="str"/>
      <x:c r="M747" s="4" t="str">
        <x:v>未测</x:v>
      </x:c>
      <x:c r="N747" s="4" t="str"/>
      <x:c r="O747" s="4" t="str">
        <x:v>1. 来源：MainBasis/统一需求文档.md；U-host-center-pending-005
2. 场景：SC-4551b5748f6897</x:v>
      </x:c>
    </x:row>
    <x:row r="748" ht="68" customHeight="1">
      <x:c r="A748" s="4" t="n">
        <x:v>747</x:v>
      </x:c>
      <x:c r="B748" s="4" t="str">
        <x:v>USER-0747</x:v>
      </x:c>
      <x:c r="C748" s="4" t="str">
        <x:v>M05 公会申请、认证、组织与权限</x:v>
      </x:c>
      <x:c r="D748" s="4" t="str">
        <x:v>申请成为主播（主播视角）</x:v>
      </x:c>
      <x:c r="E748" s="4" t="str">
        <x:v>功能需求</x:v>
      </x:c>
      <x:c r="F748" s="4" t="str">
        <x:v>P1</x:v>
      </x:c>
      <x:c r="G748" s="4" t="str">
        <x:v>验证主播认证年龄17</x:v>
      </x:c>
      <x:c r="H748" s="4" t="str">
        <x:v>主播认证年龄17</x:v>
      </x:c>
      <x:c r="I748" s="4" t="str">
        <x:v>1. 已登录主播账号
2. 处于可提交认证资料阶段，必填材料齐全
3. 认证年龄为17周岁</x:v>
      </x:c>
      <x:c r="J748" s="4" t="str">
        <x:v>1. 进入「申请成为主播」页
2. 打开认证资料弹窗
3. 提交资料</x:v>
      </x:c>
      <x:c r="K748" s="4" t="str">
        <x:v>不能提交认证申请</x:v>
      </x:c>
      <x:c r="L748" s="4" t="str"/>
      <x:c r="M748" s="4" t="str">
        <x:v>未测</x:v>
      </x:c>
      <x:c r="N748" s="4" t="str"/>
      <x:c r="O748" s="4" t="str">
        <x:v>1. 来源：MainBasis/统一需求文档.md；U-host-center-pending-014
2. 场景：SC-9a0fb7bb994846</x:v>
      </x:c>
    </x:row>
    <x:row r="749" ht="68" customHeight="1">
      <x:c r="A749" s="4" t="n">
        <x:v>748</x:v>
      </x:c>
      <x:c r="B749" s="4" t="str">
        <x:v>USER-0748</x:v>
      </x:c>
      <x:c r="C749" s="4" t="str">
        <x:v>M05 公会申请、认证、组织与权限</x:v>
      </x:c>
      <x:c r="D749" s="4" t="str">
        <x:v>申请成为主播（主播视角）</x:v>
      </x:c>
      <x:c r="E749" s="4" t="str">
        <x:v>功能需求</x:v>
      </x:c>
      <x:c r="F749" s="4" t="str">
        <x:v>P1</x:v>
      </x:c>
      <x:c r="G749" s="4" t="str">
        <x:v>验证主播认证年龄18</x:v>
      </x:c>
      <x:c r="H749" s="4" t="str">
        <x:v>主播认证年龄18</x:v>
      </x:c>
      <x:c r="I749" s="4" t="str">
        <x:v>1. 已登录主播账号
2. 处于可提交认证资料阶段，必填材料齐全
3. 认证年龄为18周岁</x:v>
      </x:c>
      <x:c r="J749" s="4" t="str">
        <x:v>1. 进入「申请成为主播」页
2. 打开认证资料弹窗
3. 提交资料</x:v>
      </x:c>
      <x:c r="K749" s="4" t="str">
        <x:v>提交成功关闭弹窗，进入直播权限审核中</x:v>
      </x:c>
      <x:c r="L749" s="4" t="str"/>
      <x:c r="M749" s="4" t="str">
        <x:v>未测</x:v>
      </x:c>
      <x:c r="N749" s="4" t="str"/>
      <x:c r="O749" s="4" t="str">
        <x:v>1. 来源：MainBasis/统一需求文档.md；U-host-center-pending-014
2. 场景：SC-7c520def24287f</x:v>
      </x:c>
    </x:row>
    <x:row r="750" ht="68" customHeight="1">
      <x:c r="A750" s="4" t="n">
        <x:v>749</x:v>
      </x:c>
      <x:c r="B750" s="4" t="str">
        <x:v>USER-0749</x:v>
      </x:c>
      <x:c r="C750" s="4" t="str">
        <x:v>M05 公会申请、认证、组织与权限</x:v>
      </x:c>
      <x:c r="D750" s="4" t="str">
        <x:v>申请成为主播（主播视角）</x:v>
      </x:c>
      <x:c r="E750" s="4" t="str">
        <x:v>功能需求</x:v>
      </x:c>
      <x:c r="F750" s="4" t="str">
        <x:v>P1</x:v>
      </x:c>
      <x:c r="G750" s="4" t="str">
        <x:v>验证主播认证年龄19</x:v>
      </x:c>
      <x:c r="H750" s="4" t="str">
        <x:v>主播认证年龄19</x:v>
      </x:c>
      <x:c r="I750" s="4" t="str">
        <x:v>1. 已登录主播账号
2. 处于可提交认证资料阶段，必填材料齐全
3. 认证年龄为19周岁</x:v>
      </x:c>
      <x:c r="J750" s="4" t="str">
        <x:v>1. 进入「申请成为主播」页
2. 打开认证资料弹窗
3. 提交资料</x:v>
      </x:c>
      <x:c r="K750" s="4" t="str">
        <x:v>提交成功关闭弹窗，进入直播权限审核中</x:v>
      </x:c>
      <x:c r="L750" s="4" t="str"/>
      <x:c r="M750" s="4" t="str">
        <x:v>未测</x:v>
      </x:c>
      <x:c r="N750" s="4" t="str"/>
      <x:c r="O750" s="4" t="str">
        <x:v>1. 来源：MainBasis/统一需求文档.md；U-host-center-pending-014
2. 场景：SC-49ef1905936e82</x:v>
      </x:c>
    </x:row>
    <x:row r="751" ht="54" customHeight="1">
      <x:c r="A751" s="4" t="n">
        <x:v>750</x:v>
      </x:c>
      <x:c r="B751" s="4" t="str">
        <x:v>USER-0750</x:v>
      </x:c>
      <x:c r="C751" s="4" t="str">
        <x:v>M05 公会申请、认证、组织与权限</x:v>
      </x:c>
      <x:c r="D751" s="4" t="str">
        <x:v>申请成为主播（主播视角）</x:v>
      </x:c>
      <x:c r="E751" s="4" t="str">
        <x:v>功能需求</x:v>
      </x:c>
      <x:c r="F751" s="4" t="str">
        <x:v>P1</x:v>
      </x:c>
      <x:c r="G751" s="4" t="str">
        <x:v>验证直播权限审核中禁重提</x:v>
      </x:c>
      <x:c r="H751" s="4" t="str">
        <x:v>直播权限审核中禁重提</x:v>
      </x:c>
      <x:c r="I751" s="4" t="str">
        <x:v>1. 已登录主播账号
2. 当前申请直播权限审核中</x:v>
      </x:c>
      <x:c r="J751" s="4" t="str">
        <x:v>1. 进入「申请成为主播」页
2. 查看直播权限审核中禁重提</x:v>
      </x:c>
      <x:c r="K751" s="4" t="str">
        <x:v>公会显示已同意，权限显示申请中，不可重复提交或开播</x:v>
      </x:c>
      <x:c r="L751" s="4" t="str"/>
      <x:c r="M751" s="4" t="str">
        <x:v>未测</x:v>
      </x:c>
      <x:c r="N751" s="4" t="str"/>
      <x:c r="O751" s="4" t="str">
        <x:v>1. 来源：MainBasis/统一需求文档.md；U-host-center-pending-010
2. 场景：SC-0a05ac40cbf698</x:v>
      </x:c>
    </x:row>
    <x:row r="752" ht="54" customHeight="1">
      <x:c r="A752" s="4" t="n">
        <x:v>751</x:v>
      </x:c>
      <x:c r="B752" s="4" t="str">
        <x:v>USER-0751</x:v>
      </x:c>
      <x:c r="C752" s="4" t="str">
        <x:v>M05 公会申请、认证、组织与权限</x:v>
      </x:c>
      <x:c r="D752" s="4" t="str">
        <x:v>申请成为主播（主播视角）</x:v>
      </x:c>
      <x:c r="E752" s="4" t="str">
        <x:v>功能需求</x:v>
      </x:c>
      <x:c r="F752" s="4" t="str">
        <x:v>P1</x:v>
      </x:c>
      <x:c r="G752" s="4" t="str">
        <x:v>验证公会驳回暂不能申请直播权限</x:v>
      </x:c>
      <x:c r="H752" s="4" t="str">
        <x:v>公会驳回暂不能申请直播权限</x:v>
      </x:c>
      <x:c r="I752" s="4" t="str">
        <x:v>1. 已登录主播账号
2. 当前公会申请被驳回</x:v>
      </x:c>
      <x:c r="J752" s="4" t="str">
        <x:v>1. 进入「申请成为主播」页
2. 查看公会驳回暂不能申请直播权限</x:v>
      </x:c>
      <x:c r="K752" s="4" t="str">
        <x:v>允许重新选公会，但不能申请直播权限</x:v>
      </x:c>
      <x:c r="L752" s="4" t="str"/>
      <x:c r="M752" s="4" t="str">
        <x:v>未测</x:v>
      </x:c>
      <x:c r="N752" s="4" t="str"/>
      <x:c r="O752" s="4" t="str">
        <x:v>1. 来源：MainBasis/统一需求文档.md；U-host-center-pending-009
2. 场景：SC-86e905f6a0c393</x:v>
      </x:c>
    </x:row>
    <x:row r="753" ht="54" customHeight="1">
      <x:c r="A753" s="4" t="n">
        <x:v>752</x:v>
      </x:c>
      <x:c r="B753" s="4" t="str">
        <x:v>USER-0752</x:v>
      </x:c>
      <x:c r="C753" s="4" t="str">
        <x:v>M05 公会申请、认证、组织与权限</x:v>
      </x:c>
      <x:c r="D753" s="4" t="str">
        <x:v>申请成为主播（主播视角）</x:v>
      </x:c>
      <x:c r="E753" s="4" t="str">
        <x:v>功能需求</x:v>
      </x:c>
      <x:c r="F753" s="4" t="str">
        <x:v>P1</x:v>
      </x:c>
      <x:c r="G753" s="4" t="str">
        <x:v>验证驳回页面后续提示</x:v>
      </x:c>
      <x:c r="H753" s="4" t="str">
        <x:v>驳回页面后续提示</x:v>
      </x:c>
      <x:c r="I753" s="4" t="str">
        <x:v>1. 已登录主播账号
2. 当前申请被公会驳回</x:v>
      </x:c>
      <x:c r="J753" s="4" t="str">
        <x:v>1. 进入「申请成为主播」页
2. 查看驳回页面后续提示</x:v>
      </x:c>
      <x:c r="K753" s="4" t="str">
        <x:v>页面提示重新申请</x:v>
      </x:c>
      <x:c r="L753" s="4" t="str"/>
      <x:c r="M753" s="4" t="str">
        <x:v>未测</x:v>
      </x:c>
      <x:c r="N753" s="4" t="str"/>
      <x:c r="O753" s="4" t="str">
        <x:v>1. 来源：MainBasis/统一需求文档.md；U-host-center-pending-006
2. 场景：SC-2ba0237ce6aed0</x:v>
      </x:c>
    </x:row>
    <x:row r="754" ht="54" customHeight="1">
      <x:c r="A754" s="4" t="n">
        <x:v>753</x:v>
      </x:c>
      <x:c r="B754" s="4" t="str">
        <x:v>USER-0753</x:v>
      </x:c>
      <x:c r="C754" s="4" t="str">
        <x:v>M05 公会申请、认证、组织与权限</x:v>
      </x:c>
      <x:c r="D754" s="4" t="str">
        <x:v>申请成为主播（主播视角）</x:v>
      </x:c>
      <x:c r="E754" s="4" t="str">
        <x:v>功能需求</x:v>
      </x:c>
      <x:c r="F754" s="4" t="str">
        <x:v>P1</x:v>
      </x:c>
      <x:c r="G754" s="4" t="str">
        <x:v>验证认证通过进入主播中心</x:v>
      </x:c>
      <x:c r="H754" s="4" t="str">
        <x:v>认证通过进入主播中心</x:v>
      </x:c>
      <x:c r="I754" s="4" t="str">
        <x:v>1. 已登录主播账号
2. 当前账号直播权限申请已通过</x:v>
      </x:c>
      <x:c r="J754" s="4" t="str">
        <x:v>1. 进入「申请成为主播」页
2. 查看认证通过进入主播中心</x:v>
      </x:c>
      <x:c r="K754" s="4" t="str">
        <x:v>主播入口进入主播中心</x:v>
      </x:c>
      <x:c r="L754" s="4" t="str"/>
      <x:c r="M754" s="4" t="str">
        <x:v>未测</x:v>
      </x:c>
      <x:c r="N754" s="4" t="str"/>
      <x:c r="O754" s="4" t="str">
        <x:v>1. 来源：MainBasis/统一需求文档.md；U-host-center-pending-012
2. 场景：SC-6c1fbe1a455cb7</x:v>
      </x:c>
    </x:row>
    <x:row r="755" ht="68" customHeight="1">
      <x:c r="A755" s="4" t="n">
        <x:v>754</x:v>
      </x:c>
      <x:c r="B755" s="4" t="str">
        <x:v>USER-0754</x:v>
      </x:c>
      <x:c r="C755" s="4" t="str">
        <x:v>M06 开播、房型、观看、连麦与房内管理</x:v>
      </x:c>
      <x:c r="D755" s="4" t="str">
        <x:v>直播间-观众（用户视角）</x:v>
      </x:c>
      <x:c r="E755" s="4" t="str">
        <x:v>功能需求</x:v>
      </x:c>
      <x:c r="F755" s="4" t="str">
        <x:v>P2</x:v>
      </x:c>
      <x:c r="G755" s="4" t="str">
        <x:v>验证主播回显</x:v>
      </x:c>
      <x:c r="H755" s="4" t="str">
        <x:v>主播回显</x:v>
      </x:c>
      <x:c r="I755" s="4" t="str">
        <x:v>1. 已登录用户账号
2. 所选对象存在，已记录该对象的主播值</x:v>
      </x:c>
      <x:c r="J755" s="4" t="str">
        <x:v>1. 进入「直播间-观众」页
2. 查看主播回显</x:v>
      </x:c>
      <x:c r="K755" s="4" t="str">
        <x:v>「主播」内容与所选对象的该项资料一致</x:v>
      </x:c>
      <x:c r="L755" s="4" t="str"/>
      <x:c r="M755" s="4" t="str">
        <x:v>未测</x:v>
      </x:c>
      <x:c r="N755" s="4" t="str"/>
      <x:c r="O755" s="4" t="str">
        <x:v>1. 来源：MainBasis/统一需求文档.md；U-live-room-002
2. 场景：SC-8e3b21c505d607</x:v>
      </x:c>
    </x:row>
    <x:row r="756" ht="68" customHeight="1">
      <x:c r="A756" s="4" t="n">
        <x:v>755</x:v>
      </x:c>
      <x:c r="B756" s="4" t="str">
        <x:v>USER-0755</x:v>
      </x:c>
      <x:c r="C756" s="4" t="str">
        <x:v>M06 开播、房型、观看、连麦与房内管理</x:v>
      </x:c>
      <x:c r="D756" s="4" t="str">
        <x:v>直播间-观众（用户视角）</x:v>
      </x:c>
      <x:c r="E756" s="4" t="str">
        <x:v>功能需求</x:v>
      </x:c>
      <x:c r="F756" s="4" t="str">
        <x:v>P2</x:v>
      </x:c>
      <x:c r="G756" s="4" t="str">
        <x:v>验证在线人数回显</x:v>
      </x:c>
      <x:c r="H756" s="4" t="str">
        <x:v>在线人数回显</x:v>
      </x:c>
      <x:c r="I756" s="4" t="str">
        <x:v>1. 已登录用户账号
2. 所选对象存在，已记录该对象的在线人数值</x:v>
      </x:c>
      <x:c r="J756" s="4" t="str">
        <x:v>1. 进入「直播间-观众」页
2. 查看在线人数回显</x:v>
      </x:c>
      <x:c r="K756" s="4" t="str">
        <x:v>「在线人数」内容与所选对象的该项资料一致</x:v>
      </x:c>
      <x:c r="L756" s="4" t="str"/>
      <x:c r="M756" s="4" t="str">
        <x:v>未测</x:v>
      </x:c>
      <x:c r="N756" s="4" t="str"/>
      <x:c r="O756" s="4" t="str">
        <x:v>1. 来源：MainBasis/统一需求文档.md；U-live-room-003
2. 场景：SC-daa004cc36be7d</x:v>
      </x:c>
    </x:row>
    <x:row r="757" ht="152" customHeight="1">
      <x:c r="A757" s="4" t="n">
        <x:v>756</x:v>
      </x:c>
      <x:c r="B757" s="4" t="str">
        <x:v>USER-0756</x:v>
      </x:c>
      <x:c r="C757" s="4" t="str">
        <x:v>M06 开播、房型、观看、连麦与房内管理</x:v>
      </x:c>
      <x:c r="D757" s="4" t="str">
        <x:v>直播间-观众（用户视角）</x:v>
      </x:c>
      <x:c r="E757" s="4" t="str">
        <x:v>异常用例</x:v>
      </x:c>
      <x:c r="F757" s="4" t="str">
        <x:v>P0</x:v>
      </x:c>
      <x:c r="G757" s="4" t="str">
        <x:v>验证普通房优先拦截账号封禁</x:v>
      </x:c>
      <x:c r="H757" s="4" t="str">
        <x:v>普通房优先拦截账号封禁</x:v>
      </x:c>
      <x:c r="I757" s="4" t="str">
        <x:v>1. 已登录用户账号
2. 目标为直播中的普通房，当前账号账号封禁
3. 房间无准入收费</x:v>
      </x:c>
      <x:c r="J757" s="4" t="str">
        <x:v>1. 进入「直播间-观众」页
2. 打开目标直播场次入口</x:v>
      </x:c>
      <x:c r="K757" s="4" t="str">
        <x:v>不能进入或观看该场直播</x:v>
      </x:c>
      <x:c r="L757" s="4" t="str"/>
      <x:c r="M757" s="4" t="str">
        <x:v>未测</x:v>
      </x:c>
      <x:c r="N757" s="4" t="str"/>
      <x:c r="O757" s="4" t="str">
        <x:v>1. 来源：MainBasis/统一需求文档.md；U-live-room-006、U-views_live-room_password-room-restricted-002、U-views_live-room_ticket-room-restricted-005、U-views_live-room_blocked-room-restricted-002、U-live-room-host-password-004、U-views_start-live-settings_room-password-008、U-views_user-home_blocked-004、U-chat-settings-005、D-SYS-079
2. 场景：SC-2773c325c77be4</x:v>
      </x:c>
    </x:row>
    <x:row r="758" ht="152" customHeight="1">
      <x:c r="A758" s="4" t="n">
        <x:v>757</x:v>
      </x:c>
      <x:c r="B758" s="4" t="str">
        <x:v>USER-0757</x:v>
      </x:c>
      <x:c r="C758" s="4" t="str">
        <x:v>M06 开播、房型、观看、连麦与房内管理</x:v>
      </x:c>
      <x:c r="D758" s="4" t="str">
        <x:v>直播间-观众（用户视角）</x:v>
      </x:c>
      <x:c r="E758" s="4" t="str">
        <x:v>异常用例</x:v>
      </x:c>
      <x:c r="F758" s="4" t="str">
        <x:v>P0</x:v>
      </x:c>
      <x:c r="G758" s="4" t="str">
        <x:v>验证普通房优先拦截双方账号拉黑</x:v>
      </x:c>
      <x:c r="H758" s="4" t="str">
        <x:v>普通房优先拦截双方账号拉黑</x:v>
      </x:c>
      <x:c r="I758" s="4" t="str">
        <x:v>1. 已登录用户账号
2. 目标为直播中的普通房，当前账号双方账号拉黑
3. 房间无准入收费</x:v>
      </x:c>
      <x:c r="J758" s="4" t="str">
        <x:v>1. 进入「直播间-观众」页
2. 打开目标直播场次入口</x:v>
      </x:c>
      <x:c r="K758" s="4" t="str">
        <x:v>不能进入或观看该场直播</x:v>
      </x:c>
      <x:c r="L758" s="4" t="str"/>
      <x:c r="M758" s="4" t="str">
        <x:v>未测</x:v>
      </x:c>
      <x:c r="N758" s="4" t="str"/>
      <x:c r="O758" s="4" t="str">
        <x:v>1. 来源：MainBasis/统一需求文档.md；U-live-room-006、U-views_live-room_password-room-restricted-002、U-views_live-room_ticket-room-restricted-005、U-views_live-room_blocked-room-restricted-002、U-live-room-host-password-004、U-views_start-live-settings_room-password-008、U-views_user-home_blocked-004、U-chat-settings-005、D-SYS-079
2. 场景：SC-b67e23f41b5134</x:v>
      </x:c>
    </x:row>
    <x:row r="759" ht="152" customHeight="1">
      <x:c r="A759" s="4" t="n">
        <x:v>758</x:v>
      </x:c>
      <x:c r="B759" s="4" t="str">
        <x:v>USER-0758</x:v>
      </x:c>
      <x:c r="C759" s="4" t="str">
        <x:v>M06 开播、房型、观看、连麦与房内管理</x:v>
      </x:c>
      <x:c r="D759" s="4" t="str">
        <x:v>直播间-观众（用户视角）</x:v>
      </x:c>
      <x:c r="E759" s="4" t="str">
        <x:v>异常用例</x:v>
      </x:c>
      <x:c r="F759" s="4" t="str">
        <x:v>P0</x:v>
      </x:c>
      <x:c r="G759" s="4" t="str">
        <x:v>验证普通房优先拦截本场被踢出</x:v>
      </x:c>
      <x:c r="H759" s="4" t="str">
        <x:v>普通房优先拦截本场被踢出</x:v>
      </x:c>
      <x:c r="I759" s="4" t="str">
        <x:v>1. 已登录用户账号
2. 目标为直播中的普通房，当前账号本场被踢出
3. 房间无准入收费</x:v>
      </x:c>
      <x:c r="J759" s="4" t="str">
        <x:v>1. 进入「直播间-观众」页
2. 打开目标直播场次入口</x:v>
      </x:c>
      <x:c r="K759" s="4" t="str">
        <x:v>不能进入或观看该场直播</x:v>
      </x:c>
      <x:c r="L759" s="4" t="str"/>
      <x:c r="M759" s="4" t="str">
        <x:v>未测</x:v>
      </x:c>
      <x:c r="N759" s="4" t="str"/>
      <x:c r="O759" s="4" t="str">
        <x:v>1. 来源：MainBasis/统一需求文档.md；U-live-room-006、U-views_live-room_password-room-restricted-002、U-views_live-room_ticket-room-restricted-005、U-views_live-room_blocked-room-restricted-002、U-live-room-host-password-004、U-views_start-live-settings_room-password-008、U-views_user-home_blocked-004、U-chat-settings-005、D-SYS-079
2. 场景：SC-b96786e13e8f61</x:v>
      </x:c>
    </x:row>
    <x:row r="760" ht="152" customHeight="1">
      <x:c r="A760" s="4" t="n">
        <x:v>759</x:v>
      </x:c>
      <x:c r="B760" s="4" t="str">
        <x:v>USER-0759</x:v>
      </x:c>
      <x:c r="C760" s="4" t="str">
        <x:v>M06 开播、房型、观看、连麦与房内管理</x:v>
      </x:c>
      <x:c r="D760" s="4" t="str">
        <x:v>直播间-观众（用户视角）</x:v>
      </x:c>
      <x:c r="E760" s="4" t="str">
        <x:v>异常用例</x:v>
      </x:c>
      <x:c r="F760" s="4" t="str">
        <x:v>P0</x:v>
      </x:c>
      <x:c r="G760" s="4" t="str">
        <x:v>验证门票房优先拦截账号封禁</x:v>
      </x:c>
      <x:c r="H760" s="4" t="str">
        <x:v>门票房优先拦截账号封禁</x:v>
      </x:c>
      <x:c r="I760" s="4" t="str">
        <x:v>1. 已登录用户账号
2. 目标为直播中的门票房，当前账号账号封禁
3. 已购买本场门票</x:v>
      </x:c>
      <x:c r="J760" s="4" t="str">
        <x:v>1. 进入「直播间-观众」页
2. 打开目标直播场次入口</x:v>
      </x:c>
      <x:c r="K760" s="4" t="str">
        <x:v>不能进入或观看该场直播</x:v>
      </x:c>
      <x:c r="L760" s="4" t="str"/>
      <x:c r="M760" s="4" t="str">
        <x:v>未测</x:v>
      </x:c>
      <x:c r="N760" s="4" t="str"/>
      <x:c r="O760" s="4" t="str">
        <x:v>1. 来源：MainBasis/统一需求文档.md；U-live-room-006、U-views_live-room_password-room-restricted-002、U-views_live-room_ticket-room-restricted-005、U-views_live-room_blocked-room-restricted-002、U-live-room-host-password-004、U-views_start-live-settings_room-password-008、U-views_user-home_blocked-004、U-chat-settings-005、D-SYS-079
2. 场景：SC-b50753df2ebcef</x:v>
      </x:c>
    </x:row>
    <x:row r="761" ht="152" customHeight="1">
      <x:c r="A761" s="4" t="n">
        <x:v>760</x:v>
      </x:c>
      <x:c r="B761" s="4" t="str">
        <x:v>USER-0760</x:v>
      </x:c>
      <x:c r="C761" s="4" t="str">
        <x:v>M06 开播、房型、观看、连麦与房内管理</x:v>
      </x:c>
      <x:c r="D761" s="4" t="str">
        <x:v>直播间-观众（用户视角）</x:v>
      </x:c>
      <x:c r="E761" s="4" t="str">
        <x:v>异常用例</x:v>
      </x:c>
      <x:c r="F761" s="4" t="str">
        <x:v>P0</x:v>
      </x:c>
      <x:c r="G761" s="4" t="str">
        <x:v>验证门票房优先拦截双方账号拉黑</x:v>
      </x:c>
      <x:c r="H761" s="4" t="str">
        <x:v>门票房优先拦截双方账号拉黑</x:v>
      </x:c>
      <x:c r="I761" s="4" t="str">
        <x:v>1. 已登录用户账号
2. 目标为直播中的门票房，当前账号双方账号拉黑
3. 已购买本场门票</x:v>
      </x:c>
      <x:c r="J761" s="4" t="str">
        <x:v>1. 进入「直播间-观众」页
2. 打开目标直播场次入口</x:v>
      </x:c>
      <x:c r="K761" s="4" t="str">
        <x:v>不能进入或观看该场直播</x:v>
      </x:c>
      <x:c r="L761" s="4" t="str"/>
      <x:c r="M761" s="4" t="str">
        <x:v>未测</x:v>
      </x:c>
      <x:c r="N761" s="4" t="str"/>
      <x:c r="O761" s="4" t="str">
        <x:v>1. 来源：MainBasis/统一需求文档.md；U-live-room-006、U-views_live-room_password-room-restricted-002、U-views_live-room_ticket-room-restricted-005、U-views_live-room_blocked-room-restricted-002、U-live-room-host-password-004、U-views_start-live-settings_room-password-008、U-views_user-home_blocked-004、U-chat-settings-005、D-SYS-079
2. 场景：SC-a8f8d1c0375017</x:v>
      </x:c>
    </x:row>
    <x:row r="762" ht="152" customHeight="1">
      <x:c r="A762" s="4" t="n">
        <x:v>761</x:v>
      </x:c>
      <x:c r="B762" s="4" t="str">
        <x:v>USER-0761</x:v>
      </x:c>
      <x:c r="C762" s="4" t="str">
        <x:v>M06 开播、房型、观看、连麦与房内管理</x:v>
      </x:c>
      <x:c r="D762" s="4" t="str">
        <x:v>直播间-观众（用户视角）</x:v>
      </x:c>
      <x:c r="E762" s="4" t="str">
        <x:v>异常用例</x:v>
      </x:c>
      <x:c r="F762" s="4" t="str">
        <x:v>P0</x:v>
      </x:c>
      <x:c r="G762" s="4" t="str">
        <x:v>验证门票房优先拦截本场被踢出</x:v>
      </x:c>
      <x:c r="H762" s="4" t="str">
        <x:v>门票房优先拦截本场被踢出</x:v>
      </x:c>
      <x:c r="I762" s="4" t="str">
        <x:v>1. 已登录用户账号
2. 目标为直播中的门票房，当前账号本场被踢出
3. 已购买本场门票</x:v>
      </x:c>
      <x:c r="J762" s="4" t="str">
        <x:v>1. 进入「直播间-观众」页
2. 打开目标直播场次入口</x:v>
      </x:c>
      <x:c r="K762" s="4" t="str">
        <x:v>不能进入或观看该场直播</x:v>
      </x:c>
      <x:c r="L762" s="4" t="str"/>
      <x:c r="M762" s="4" t="str">
        <x:v>未测</x:v>
      </x:c>
      <x:c r="N762" s="4" t="str"/>
      <x:c r="O762" s="4" t="str">
        <x:v>1. 来源：MainBasis/统一需求文档.md；U-live-room-006、U-views_live-room_password-room-restricted-002、U-views_live-room_ticket-room-restricted-005、U-views_live-room_blocked-room-restricted-002、U-live-room-host-password-004、U-views_start-live-settings_room-password-008、U-views_user-home_blocked-004、U-chat-settings-005、D-SYS-079
2. 场景：SC-e31e7a8ef24312</x:v>
      </x:c>
    </x:row>
    <x:row r="763" ht="152" customHeight="1">
      <x:c r="A763" s="4" t="n">
        <x:v>762</x:v>
      </x:c>
      <x:c r="B763" s="4" t="str">
        <x:v>USER-0762</x:v>
      </x:c>
      <x:c r="C763" s="4" t="str">
        <x:v>M06 开播、房型、观看、连麦与房内管理</x:v>
      </x:c>
      <x:c r="D763" s="4" t="str">
        <x:v>直播间-观众（用户视角）</x:v>
      </x:c>
      <x:c r="E763" s="4" t="str">
        <x:v>异常用例</x:v>
      </x:c>
      <x:c r="F763" s="4" t="str">
        <x:v>P0</x:v>
      </x:c>
      <x:c r="G763" s="4" t="str">
        <x:v>验证密码房优先拦截账号封禁</x:v>
      </x:c>
      <x:c r="H763" s="4" t="str">
        <x:v>密码房优先拦截账号封禁</x:v>
      </x:c>
      <x:c r="I763" s="4" t="str">
        <x:v>1. 已登录用户账号
2. 目标为直播中的密码房，当前账号账号封禁
3. 已知正确密码</x:v>
      </x:c>
      <x:c r="J763" s="4" t="str">
        <x:v>1. 进入「直播间-观众」页
2. 打开目标直播场次入口</x:v>
      </x:c>
      <x:c r="K763" s="4" t="str">
        <x:v>不能进入或观看该场直播</x:v>
      </x:c>
      <x:c r="L763" s="4" t="str"/>
      <x:c r="M763" s="4" t="str">
        <x:v>未测</x:v>
      </x:c>
      <x:c r="N763" s="4" t="str"/>
      <x:c r="O763" s="4" t="str">
        <x:v>1. 来源：MainBasis/统一需求文档.md；U-live-room-006、U-views_live-room_password-room-restricted-002、U-views_live-room_ticket-room-restricted-005、U-views_live-room_blocked-room-restricted-002、U-live-room-host-password-004、U-views_start-live-settings_room-password-008、U-views_user-home_blocked-004、U-chat-settings-005、D-SYS-079
2. 场景：SC-fee01d07efab75</x:v>
      </x:c>
    </x:row>
    <x:row r="764" ht="152" customHeight="1">
      <x:c r="A764" s="4" t="n">
        <x:v>763</x:v>
      </x:c>
      <x:c r="B764" s="4" t="str">
        <x:v>USER-0763</x:v>
      </x:c>
      <x:c r="C764" s="4" t="str">
        <x:v>M06 开播、房型、观看、连麦与房内管理</x:v>
      </x:c>
      <x:c r="D764" s="4" t="str">
        <x:v>直播间-观众（用户视角）</x:v>
      </x:c>
      <x:c r="E764" s="4" t="str">
        <x:v>异常用例</x:v>
      </x:c>
      <x:c r="F764" s="4" t="str">
        <x:v>P0</x:v>
      </x:c>
      <x:c r="G764" s="4" t="str">
        <x:v>验证密码房优先拦截双方账号拉黑</x:v>
      </x:c>
      <x:c r="H764" s="4" t="str">
        <x:v>密码房优先拦截双方账号拉黑</x:v>
      </x:c>
      <x:c r="I764" s="4" t="str">
        <x:v>1. 已登录用户账号
2. 目标为直播中的密码房，当前账号双方账号拉黑
3. 已知正确密码</x:v>
      </x:c>
      <x:c r="J764" s="4" t="str">
        <x:v>1. 进入「直播间-观众」页
2. 打开目标直播场次入口</x:v>
      </x:c>
      <x:c r="K764" s="4" t="str">
        <x:v>不能进入或观看该场直播</x:v>
      </x:c>
      <x:c r="L764" s="4" t="str"/>
      <x:c r="M764" s="4" t="str">
        <x:v>未测</x:v>
      </x:c>
      <x:c r="N764" s="4" t="str"/>
      <x:c r="O764" s="4" t="str">
        <x:v>1. 来源：MainBasis/统一需求文档.md；U-live-room-006、U-views_live-room_password-room-restricted-002、U-views_live-room_ticket-room-restricted-005、U-views_live-room_blocked-room-restricted-002、U-live-room-host-password-004、U-views_start-live-settings_room-password-008、U-views_user-home_blocked-004、U-chat-settings-005、D-SYS-079
2. 场景：SC-e574ecdc38b705</x:v>
      </x:c>
    </x:row>
    <x:row r="765" ht="152" customHeight="1">
      <x:c r="A765" s="4" t="n">
        <x:v>764</x:v>
      </x:c>
      <x:c r="B765" s="4" t="str">
        <x:v>USER-0764</x:v>
      </x:c>
      <x:c r="C765" s="4" t="str">
        <x:v>M06 开播、房型、观看、连麦与房内管理</x:v>
      </x:c>
      <x:c r="D765" s="4" t="str">
        <x:v>直播间-观众（用户视角）</x:v>
      </x:c>
      <x:c r="E765" s="4" t="str">
        <x:v>异常用例</x:v>
      </x:c>
      <x:c r="F765" s="4" t="str">
        <x:v>P0</x:v>
      </x:c>
      <x:c r="G765" s="4" t="str">
        <x:v>验证密码房优先拦截本场被踢出</x:v>
      </x:c>
      <x:c r="H765" s="4" t="str">
        <x:v>密码房优先拦截本场被踢出</x:v>
      </x:c>
      <x:c r="I765" s="4" t="str">
        <x:v>1. 已登录用户账号
2. 目标为直播中的密码房，当前账号本场被踢出
3. 已知正确密码</x:v>
      </x:c>
      <x:c r="J765" s="4" t="str">
        <x:v>1. 进入「直播间-观众」页
2. 打开目标直播场次入口</x:v>
      </x:c>
      <x:c r="K765" s="4" t="str">
        <x:v>不能进入或观看该场直播</x:v>
      </x:c>
      <x:c r="L765" s="4" t="str"/>
      <x:c r="M765" s="4" t="str">
        <x:v>未测</x:v>
      </x:c>
      <x:c r="N765" s="4" t="str"/>
      <x:c r="O765" s="4" t="str">
        <x:v>1. 来源：MainBasis/统一需求文档.md；U-live-room-006、U-views_live-room_password-room-restricted-002、U-views_live-room_ticket-room-restricted-005、U-views_live-room_blocked-room-restricted-002、U-live-room-host-password-004、U-views_start-live-settings_room-password-008、U-views_user-home_blocked-004、U-chat-settings-005、D-SYS-079
2. 场景：SC-ffcc9af1f95c53</x:v>
      </x:c>
    </x:row>
    <x:row r="766" ht="68" customHeight="1">
      <x:c r="A766" s="4" t="n">
        <x:v>765</x:v>
      </x:c>
      <x:c r="B766" s="4" t="str">
        <x:v>USER-0765</x:v>
      </x:c>
      <x:c r="C766" s="4" t="str">
        <x:v>M06 开播、房型、观看、连麦与房内管理</x:v>
      </x:c>
      <x:c r="D766" s="4" t="str">
        <x:v>直播间-观众（用户视角）</x:v>
      </x:c>
      <x:c r="E766" s="4" t="str">
        <x:v>功能需求</x:v>
      </x:c>
      <x:c r="F766" s="4" t="str">
        <x:v>P1</x:v>
      </x:c>
      <x:c r="G766" s="4" t="str">
        <x:v>验证普通房直接观看</x:v>
      </x:c>
      <x:c r="H766" s="4" t="str">
        <x:v>普通房直接观看</x:v>
      </x:c>
      <x:c r="I766" s="4" t="str">
        <x:v>1. 已登录用户账号
2. 账号可用、无拉黑且未被本场踢出，目标普通房直播中</x:v>
      </x:c>
      <x:c r="J766" s="4" t="str">
        <x:v>1. 进入「直播间-观众」页
2. 打开目标普通房</x:v>
      </x:c>
      <x:c r="K766" s="4" t="str">
        <x:v>直接展示直播内容，无准入弹窗</x:v>
      </x:c>
      <x:c r="L766" s="4" t="str"/>
      <x:c r="M766" s="4" t="str">
        <x:v>未测</x:v>
      </x:c>
      <x:c r="N766" s="4" t="str"/>
      <x:c r="O766" s="4" t="str">
        <x:v>1. 来源：MainBasis/统一需求文档.md；U-live-room-012、U-views_start-live-settings_room-normal-003、D-SYS-075
2. 场景：SC-26da556b919a5c</x:v>
      </x:c>
    </x:row>
    <x:row r="767" ht="68" customHeight="1">
      <x:c r="A767" s="4" t="n">
        <x:v>766</x:v>
      </x:c>
      <x:c r="B767" s="4" t="str">
        <x:v>USER-0766</x:v>
      </x:c>
      <x:c r="C767" s="4" t="str">
        <x:v>M06 开播、房型、观看、连麦与房内管理</x:v>
      </x:c>
      <x:c r="D767" s="4" t="str">
        <x:v>直播间-观众（用户视角）</x:v>
      </x:c>
      <x:c r="E767" s="4" t="str">
        <x:v>功能需求</x:v>
      </x:c>
      <x:c r="F767" s="4" t="str">
        <x:v>P1</x:v>
      </x:c>
      <x:c r="G767" s="4" t="str">
        <x:v>验证门票房未验证遮挡直播</x:v>
      </x:c>
      <x:c r="H767" s="4" t="str">
        <x:v>门票房未验证遮挡直播</x:v>
      </x:c>
      <x:c r="I767" s="4" t="str">
        <x:v>1. 已登录用户账号
2. 尚未购买本场门票</x:v>
      </x:c>
      <x:c r="J767" s="4" t="str">
        <x:v>1. 进入「直播间-观众」页
2. 查看门票房未验证遮挡直播</x:v>
      </x:c>
      <x:c r="K767" s="4" t="str">
        <x:v>直播内容完全被遮挡，中央显示购票弹窗</x:v>
      </x:c>
      <x:c r="L767" s="4" t="str"/>
      <x:c r="M767" s="4" t="str">
        <x:v>未测</x:v>
      </x:c>
      <x:c r="N767" s="4" t="str"/>
      <x:c r="O767" s="4" t="str">
        <x:v>1. 来源：MainBasis/统一需求文档.md；U-live-room-013
2. 场景：SC-c560577e7df0f9</x:v>
      </x:c>
    </x:row>
    <x:row r="768" ht="68" customHeight="1">
      <x:c r="A768" s="4" t="n">
        <x:v>767</x:v>
      </x:c>
      <x:c r="B768" s="4" t="str">
        <x:v>USER-0767</x:v>
      </x:c>
      <x:c r="C768" s="4" t="str">
        <x:v>M06 开播、房型、观看、连麦与房内管理</x:v>
      </x:c>
      <x:c r="D768" s="4" t="str">
        <x:v>直播间-观众（用户视角）</x:v>
      </x:c>
      <x:c r="E768" s="4" t="str">
        <x:v>功能需求</x:v>
      </x:c>
      <x:c r="F768" s="4" t="str">
        <x:v>P1</x:v>
      </x:c>
      <x:c r="G768" s="4" t="str">
        <x:v>验证密码房未验证遮挡直播</x:v>
      </x:c>
      <x:c r="H768" s="4" t="str">
        <x:v>密码房未验证遮挡直播</x:v>
      </x:c>
      <x:c r="I768" s="4" t="str">
        <x:v>1. 已登录用户账号
2. 尚未通过本场密码验证</x:v>
      </x:c>
      <x:c r="J768" s="4" t="str">
        <x:v>1. 进入「直播间-观众」页
2. 查看密码房未验证遮挡直播</x:v>
      </x:c>
      <x:c r="K768" s="4" t="str">
        <x:v>直播内容完全被遮挡，中央显示密码弹窗</x:v>
      </x:c>
      <x:c r="L768" s="4" t="str"/>
      <x:c r="M768" s="4" t="str">
        <x:v>未测</x:v>
      </x:c>
      <x:c r="N768" s="4" t="str"/>
      <x:c r="O768" s="4" t="str">
        <x:v>1. 来源：MainBasis/统一需求文档.md；U-live-room-013
2. 场景：SC-d90e2ba22e92f7</x:v>
      </x:c>
    </x:row>
    <x:row r="769" ht="110" customHeight="1">
      <x:c r="A769" s="4" t="n">
        <x:v>768</x:v>
      </x:c>
      <x:c r="B769" s="4" t="str">
        <x:v>USER-0768</x:v>
      </x:c>
      <x:c r="C769" s="4" t="str">
        <x:v>M06 开播、房型、观看、连麦与房内管理</x:v>
      </x:c>
      <x:c r="D769" s="4" t="str">
        <x:v>直播间-观众（用户视角）</x:v>
      </x:c>
      <x:c r="E769" s="4" t="str">
        <x:v>功能需求</x:v>
      </x:c>
      <x:c r="F769" s="4" t="str">
        <x:v>P1</x:v>
      </x:c>
      <x:c r="G769" s="4" t="str">
        <x:v>验证禁言下一场恢复</x:v>
      </x:c>
      <x:c r="H769" s="4" t="str">
        <x:v>禁言下一场恢复</x:v>
      </x:c>
      <x:c r="I769" s="4" t="str">
        <x:v>1. 已登录用户账号
2. 目标用户上一场被禁言，当前主播已开始新普通房场次，无账号拉黑</x:v>
      </x:c>
      <x:c r="J769" s="4" t="str">
        <x:v>1. 进入「直播间-观众」页
2. 查看禁言下一场恢复</x:v>
      </x:c>
      <x:c r="K769" s="4" t="str">
        <x:v>新场次可发公屏评论</x:v>
      </x:c>
      <x:c r="L769" s="4" t="str"/>
      <x:c r="M769" s="4" t="str">
        <x:v>未测</x:v>
      </x:c>
      <x:c r="N769" s="4" t="str"/>
      <x:c r="O769" s="4" t="str">
        <x:v>1. 来源：MainBasis/统一需求文档.md；U-live-room-010、U-views_live-room_comment-muted-003、U-views_live-room_profile-moderator-004、U-live-room-host-008、U-views_live-room-host_muted-users-005、D-SYS-099、U-views_live-room_audience-online-006
2. 场景：SC-3f825c7bc59272</x:v>
      </x:c>
    </x:row>
    <x:row r="770" ht="110" customHeight="1">
      <x:c r="A770" s="4" t="n">
        <x:v>769</x:v>
      </x:c>
      <x:c r="B770" s="4" t="str">
        <x:v>USER-0769</x:v>
      </x:c>
      <x:c r="C770" s="4" t="str">
        <x:v>M06 开播、房型、观看、连麦与房内管理</x:v>
      </x:c>
      <x:c r="D770" s="4" t="str">
        <x:v>直播间-观众（用户视角）</x:v>
      </x:c>
      <x:c r="E770" s="4" t="str">
        <x:v>功能需求</x:v>
      </x:c>
      <x:c r="F770" s="4" t="str">
        <x:v>P1</x:v>
      </x:c>
      <x:c r="G770" s="4" t="str">
        <x:v>验证踢出下一场恢复</x:v>
      </x:c>
      <x:c r="H770" s="4" t="str">
        <x:v>踢出下一场恢复</x:v>
      </x:c>
      <x:c r="I770" s="4" t="str">
        <x:v>1. 已登录用户账号
2. 目标用户上一场被踢出，当前主播已开始新普通房场次，无账号拉黑</x:v>
      </x:c>
      <x:c r="J770" s="4" t="str">
        <x:v>1. 进入「直播间-观众」页
2. 查看踢出下一场恢复</x:v>
      </x:c>
      <x:c r="K770" s="4" t="str">
        <x:v>新场次可以进入</x:v>
      </x:c>
      <x:c r="L770" s="4" t="str"/>
      <x:c r="M770" s="4" t="str">
        <x:v>未测</x:v>
      </x:c>
      <x:c r="N770" s="4" t="str"/>
      <x:c r="O770" s="4" t="str">
        <x:v>1. 来源：MainBasis/统一需求文档.md；U-live-room-010、U-views_live-room_comment-muted-003、U-views_live-room_profile-moderator-004、U-live-room-host-008、U-views_live-room-host_muted-users-005、D-SYS-099、U-views_live-room_audience-online-006
2. 场景：SC-e7195a815d6467</x:v>
      </x:c>
    </x:row>
    <x:row r="771" ht="68" customHeight="1">
      <x:c r="A771" s="4" t="n">
        <x:v>770</x:v>
      </x:c>
      <x:c r="B771" s="4" t="str">
        <x:v>USER-0770</x:v>
      </x:c>
      <x:c r="C771" s="4" t="str">
        <x:v>M06 开播、房型、观看、连麦与房内管理</x:v>
      </x:c>
      <x:c r="D771" s="4" t="str">
        <x:v>直播间-观众（运营账号视角）</x:v>
      </x:c>
      <x:c r="E771" s="4" t="str">
        <x:v>功能需求</x:v>
      </x:c>
      <x:c r="F771" s="4" t="str">
        <x:v>P1</x:v>
      </x:c>
      <x:c r="G771" s="4" t="str">
        <x:v>验证运营号免票进入</x:v>
      </x:c>
      <x:c r="H771" s="4" t="str">
        <x:v>运营号免票进入</x:v>
      </x:c>
      <x:c r="I771" s="4" t="str">
        <x:v>1. 已登录运营账号账号
2. 当前为启用运营账号，无账号封禁
3. 目标门票房直播中</x:v>
      </x:c>
      <x:c r="J771" s="4" t="str">
        <x:v>1. 进入「直播间-观众」页
2. 打开该场次入口</x:v>
      </x:c>
      <x:c r="K771" s="4" t="str">
        <x:v>不要求门票或密码即可观看</x:v>
      </x:c>
      <x:c r="L771" s="4" t="str"/>
      <x:c r="M771" s="4" t="str">
        <x:v>未测</x:v>
      </x:c>
      <x:c r="N771" s="4" t="str"/>
      <x:c r="O771" s="4" t="str">
        <x:v>1. 来源：MainBasis/统一需求文档.md；D-SYS-176、A-admin-operation-account-detail-007
2. 场景：SC-628da541e03a5f</x:v>
      </x:c>
    </x:row>
    <x:row r="772" ht="68" customHeight="1">
      <x:c r="A772" s="4" t="n">
        <x:v>771</x:v>
      </x:c>
      <x:c r="B772" s="4" t="str">
        <x:v>USER-0771</x:v>
      </x:c>
      <x:c r="C772" s="4" t="str">
        <x:v>M06 开播、房型、观看、连麦与房内管理</x:v>
      </x:c>
      <x:c r="D772" s="4" t="str">
        <x:v>直播间-观众（运营账号视角）</x:v>
      </x:c>
      <x:c r="E772" s="4" t="str">
        <x:v>功能需求</x:v>
      </x:c>
      <x:c r="F772" s="4" t="str">
        <x:v>P1</x:v>
      </x:c>
      <x:c r="G772" s="4" t="str">
        <x:v>验证运营号免密码进入</x:v>
      </x:c>
      <x:c r="H772" s="4" t="str">
        <x:v>运营号免密码进入</x:v>
      </x:c>
      <x:c r="I772" s="4" t="str">
        <x:v>1. 已登录运营账号账号
2. 当前为启用运营账号，无账号封禁
3. 目标密码房直播中</x:v>
      </x:c>
      <x:c r="J772" s="4" t="str">
        <x:v>1. 进入「直播间-观众」页
2. 打开该场次入口</x:v>
      </x:c>
      <x:c r="K772" s="4" t="str">
        <x:v>不要求门票或密码即可观看</x:v>
      </x:c>
      <x:c r="L772" s="4" t="str"/>
      <x:c r="M772" s="4" t="str">
        <x:v>未测</x:v>
      </x:c>
      <x:c r="N772" s="4" t="str"/>
      <x:c r="O772" s="4" t="str">
        <x:v>1. 来源：MainBasis/统一需求文档.md；D-SYS-176、A-admin-operation-account-detail-007
2. 场景：SC-fa30f996f0706c</x:v>
      </x:c>
    </x:row>
    <x:row r="773" ht="68" customHeight="1">
      <x:c r="A773" s="4" t="n">
        <x:v>772</x:v>
      </x:c>
      <x:c r="B773" s="4" t="str">
        <x:v>USER-0772</x:v>
      </x:c>
      <x:c r="C773" s="4" t="str">
        <x:v>M06 开播、房型、观看、连麦与房内管理</x:v>
      </x:c>
      <x:c r="D773" s="4" t="str">
        <x:v>直播间-观众（运营账号视角）</x:v>
      </x:c>
      <x:c r="E773" s="4" t="str">
        <x:v>功能需求</x:v>
      </x:c>
      <x:c r="F773" s="4" t="str">
        <x:v>P1</x:v>
      </x:c>
      <x:c r="G773" s="4" t="str">
        <x:v>验证运营账号公屏发言</x:v>
      </x:c>
      <x:c r="H773" s="4" t="str">
        <x:v>运营账号公屏发言</x:v>
      </x:c>
      <x:c r="I773" s="4" t="str">
        <x:v>1. 已登录运营账号账号
2. 启用运营账号已在直播间且未被禁言</x:v>
      </x:c>
      <x:c r="J773" s="4" t="str">
        <x:v>1. 进入「直播间-观众」页
2. 发送文本“欢迎”</x:v>
      </x:c>
      <x:c r="K773" s="4" t="str">
        <x:v>该文本显示在本场公屏</x:v>
      </x:c>
      <x:c r="L773" s="4" t="str"/>
      <x:c r="M773" s="4" t="str">
        <x:v>未测</x:v>
      </x:c>
      <x:c r="N773" s="4" t="str"/>
      <x:c r="O773" s="4" t="str">
        <x:v>1. 来源：MainBasis/统一需求文档.md；D-SYS-175、A-admin-operation-accounts-008
2. 场景：SC-c6d82d387f44d5</x:v>
      </x:c>
    </x:row>
    <x:row r="774" ht="82" customHeight="1">
      <x:c r="A774" s="4" t="n">
        <x:v>773</x:v>
      </x:c>
      <x:c r="B774" s="4" t="str">
        <x:v>USER-0773</x:v>
      </x:c>
      <x:c r="C774" s="4" t="str">
        <x:v>M06 开播、房型、观看、连麦与房内管理</x:v>
      </x:c>
      <x:c r="D774" s="4" t="str">
        <x:v>直播间-观众（用户视角）</x:v>
      </x:c>
      <x:c r="E774" s="4" t="str">
        <x:v>功能需求</x:v>
      </x:c>
      <x:c r="F774" s="4" t="str">
        <x:v>P1</x:v>
      </x:c>
      <x:c r="G774" s="4" t="str">
        <x:v>验证观众本场贡献价值</x:v>
      </x:c>
      <x:c r="H774" s="4" t="str">
        <x:v>观众本场贡献价值</x:v>
      </x:c>
      <x:c r="I774" s="4" t="str">
        <x:v>1. 已登录用户账号
2. 本场成功普通礼物100、幸运礼物100返奖90、虚拟礼物50</x:v>
      </x:c>
      <x:c r="J774" s="4" t="str">
        <x:v>1. 进入「直播间-观众」页
2. 查看观众本场贡献价值</x:v>
      </x:c>
      <x:c r="K774" s="4" t="str">
        <x:v>本场贡献250，不减幸运返奖</x:v>
      </x:c>
      <x:c r="L774" s="4" t="str"/>
      <x:c r="M774" s="4" t="str">
        <x:v>未测</x:v>
      </x:c>
      <x:c r="N774" s="4" t="str"/>
      <x:c r="O774" s="4" t="str">
        <x:v>1. 来源：MainBasis/统一需求文档.md；U-live-room-004、U-live-room-host-003、U-views_live-room_contribution-rank-003、U-views_live-room-host_contribution-rank-008
2. 场景：SC-30a1033c2d5f93</x:v>
      </x:c>
    </x:row>
    <x:row r="775" ht="68" customHeight="1">
      <x:c r="A775" s="4" t="n">
        <x:v>774</x:v>
      </x:c>
      <x:c r="B775" s="4" t="str">
        <x:v>USER-0774</x:v>
      </x:c>
      <x:c r="C775" s="4" t="str">
        <x:v>M06 开播、房型、观看、连麦与房内管理</x:v>
      </x:c>
      <x:c r="D775" s="4" t="str">
        <x:v>直播间-观众（用户视角）</x:v>
      </x:c>
      <x:c r="E775" s="4" t="str">
        <x:v>功能需求</x:v>
      </x:c>
      <x:c r="F775" s="4" t="str">
        <x:v>P1</x:v>
      </x:c>
      <x:c r="G775" s="4" t="str">
        <x:v>验证公屏按服务端时间排列</x:v>
      </x:c>
      <x:c r="H775" s="4" t="str">
        <x:v>公屏按服务端时间排列</x:v>
      </x:c>
      <x:c r="I775" s="4" t="str">
        <x:v>1. 已登录用户账号
2. 系统、评论、进房和礼物消息服务端时间各不同</x:v>
      </x:c>
      <x:c r="J775" s="4" t="str">
        <x:v>1. 进入「直播间-观众」页
2. 查看公屏按服务端时间排列</x:v>
      </x:c>
      <x:c r="K775" s="4" t="str">
        <x:v>公屏按服务端时间显示对应消息</x:v>
      </x:c>
      <x:c r="L775" s="4" t="str"/>
      <x:c r="M775" s="4" t="str">
        <x:v>未测</x:v>
      </x:c>
      <x:c r="N775" s="4" t="str"/>
      <x:c r="O775" s="4" t="str">
        <x:v>1. 来源：MainBasis/统一需求文档.md；U-live-room-005
2. 场景：SC-180423de20f23b</x:v>
      </x:c>
    </x:row>
    <x:row r="776" ht="68" customHeight="1">
      <x:c r="A776" s="4" t="n">
        <x:v>775</x:v>
      </x:c>
      <x:c r="B776" s="4" t="str">
        <x:v>USER-0775</x:v>
      </x:c>
      <x:c r="C776" s="4" t="str">
        <x:v>M06 开播、房型、观看、连麦与房内管理</x:v>
      </x:c>
      <x:c r="D776" s="4" t="str">
        <x:v>礼物（用户视角）</x:v>
      </x:c>
      <x:c r="E776" s="4" t="str">
        <x:v>功能需求</x:v>
      </x:c>
      <x:c r="F776" s="4" t="str">
        <x:v>P2</x:v>
      </x:c>
      <x:c r="G776" s="4" t="str">
        <x:v>验证礼物回显</x:v>
      </x:c>
      <x:c r="H776" s="4" t="str">
        <x:v>礼物回显</x:v>
      </x:c>
      <x:c r="I776" s="4" t="str">
        <x:v>1. 已登录用户账号
2. 所选对象存在，已记录该对象的礼物值</x:v>
      </x:c>
      <x:c r="J776" s="4" t="str">
        <x:v>1. 进入「直播间-观众」页
2. 打开「礼物」视图
3. 查看礼物回显</x:v>
      </x:c>
      <x:c r="K776" s="4" t="str">
        <x:v>「礼物」内容与所选对象的该项资料一致</x:v>
      </x:c>
      <x:c r="L776" s="4" t="str"/>
      <x:c r="M776" s="4" t="str">
        <x:v>未测</x:v>
      </x:c>
      <x:c r="N776" s="4" t="str"/>
      <x:c r="O776" s="4" t="str">
        <x:v>1. 来源：MainBasis/统一需求文档.md；U-views_live-room_gift-001
2. 场景：SC-98e460adc27d9f</x:v>
      </x:c>
    </x:row>
    <x:row r="777" ht="68" customHeight="1">
      <x:c r="A777" s="4" t="n">
        <x:v>776</x:v>
      </x:c>
      <x:c r="B777" s="4" t="str">
        <x:v>USER-0776</x:v>
      </x:c>
      <x:c r="C777" s="4" t="str">
        <x:v>M06 开播、房型、观看、连麦与房内管理</x:v>
      </x:c>
      <x:c r="D777" s="4" t="str">
        <x:v>礼物（用户视角）</x:v>
      </x:c>
      <x:c r="E777" s="4" t="str">
        <x:v>异常用例</x:v>
      </x:c>
      <x:c r="F777" s="4" t="str">
        <x:v>P1</x:v>
      </x:c>
      <x:c r="G777" s="4" t="str">
        <x:v>验证礼物下架不可送</x:v>
      </x:c>
      <x:c r="H777" s="4" t="str">
        <x:v>礼物下架不可送</x:v>
      </x:c>
      <x:c r="I777" s="4" t="str">
        <x:v>1. 已登录用户账号
2. 所选礼物已下架</x:v>
      </x:c>
      <x:c r="J777" s="4" t="str">
        <x:v>1. 进入「直播间-观众」页
2. 打开「礼物」视图
3. 选择该礼物
4. 尝试赠送</x:v>
      </x:c>
      <x:c r="K777" s="4" t="str">
        <x:v>不能产生新的赠礼记录</x:v>
      </x:c>
      <x:c r="L777" s="4" t="str"/>
      <x:c r="M777" s="4" t="str">
        <x:v>未测</x:v>
      </x:c>
      <x:c r="N777" s="4" t="str"/>
      <x:c r="O777" s="4" t="str">
        <x:v>1. 来源：MainBasis/统一需求文档.md；U-views_live-room_gift-004、D-SYS-132
2. 场景：SC-e78b94af4d82d0</x:v>
      </x:c>
    </x:row>
    <x:row r="778" ht="68" customHeight="1">
      <x:c r="A778" s="4" t="n">
        <x:v>777</x:v>
      </x:c>
      <x:c r="B778" s="4" t="str">
        <x:v>USER-0777</x:v>
      </x:c>
      <x:c r="C778" s="4" t="str">
        <x:v>M06 开播、房型、观看、连麦与房内管理</x:v>
      </x:c>
      <x:c r="D778" s="4" t="str">
        <x:v>礼物（用户视角）</x:v>
      </x:c>
      <x:c r="E778" s="4" t="str">
        <x:v>异常用例</x:v>
      </x:c>
      <x:c r="F778" s="4" t="str">
        <x:v>P1</x:v>
      </x:c>
      <x:c r="G778" s="4" t="str">
        <x:v>验证礼物过期不可送</x:v>
      </x:c>
      <x:c r="H778" s="4" t="str">
        <x:v>礼物过期不可送</x:v>
      </x:c>
      <x:c r="I778" s="4" t="str">
        <x:v>1. 已登录用户账号
2. 所选礼物已过期</x:v>
      </x:c>
      <x:c r="J778" s="4" t="str">
        <x:v>1. 进入「直播间-观众」页
2. 打开「礼物」视图
3. 选择该礼物
4. 尝试赠送</x:v>
      </x:c>
      <x:c r="K778" s="4" t="str">
        <x:v>不能产生新的赠礼记录</x:v>
      </x:c>
      <x:c r="L778" s="4" t="str"/>
      <x:c r="M778" s="4" t="str">
        <x:v>未测</x:v>
      </x:c>
      <x:c r="N778" s="4" t="str"/>
      <x:c r="O778" s="4" t="str">
        <x:v>1. 来源：MainBasis/统一需求文档.md；U-views_live-room_gift-004、D-SYS-132
2. 场景：SC-6a769f9809054c</x:v>
      </x:c>
    </x:row>
    <x:row r="779" ht="68" customHeight="1">
      <x:c r="A779" s="4" t="n">
        <x:v>778</x:v>
      </x:c>
      <x:c r="B779" s="4" t="str">
        <x:v>USER-0778</x:v>
      </x:c>
      <x:c r="C779" s="4" t="str">
        <x:v>M06 开播、房型、观看、连麦与房内管理</x:v>
      </x:c>
      <x:c r="D779" s="4" t="str">
        <x:v>礼物（用户视角）</x:v>
      </x:c>
      <x:c r="E779" s="4" t="str">
        <x:v>逻辑校验</x:v>
      </x:c>
      <x:c r="F779" s="4" t="str">
        <x:v>P1</x:v>
      </x:c>
      <x:c r="G779" s="4" t="str">
        <x:v>验证礼物单价数量金额</x:v>
      </x:c>
      <x:c r="H779" s="4" t="str">
        <x:v>礼物单价数量金额</x:v>
      </x:c>
      <x:c r="I779" s="4" t="str">
        <x:v>1. 已登录用户账号
2. 上架普通礼物单价10</x:v>
      </x:c>
      <x:c r="J779" s="4" t="str">
        <x:v>1. 进入「直播间-观众」页
2. 打开「礼物」视图
3. 选择该礼物
4. 选择数量10</x:v>
      </x:c>
      <x:c r="K779" s="4" t="str">
        <x:v>显示本次需要100金币</x:v>
      </x:c>
      <x:c r="L779" s="4" t="str"/>
      <x:c r="M779" s="4" t="str">
        <x:v>未测</x:v>
      </x:c>
      <x:c r="N779" s="4" t="str"/>
      <x:c r="O779" s="4" t="str">
        <x:v>1. 来源：MainBasis/统一需求文档.md；U-views_live-room_gift-009
2. 场景：SC-c08b8b41906c96</x:v>
      </x:c>
    </x:row>
    <x:row r="780" ht="82" customHeight="1">
      <x:c r="A780" s="4" t="n">
        <x:v>779</x:v>
      </x:c>
      <x:c r="B780" s="4" t="str">
        <x:v>USER-0779</x:v>
      </x:c>
      <x:c r="C780" s="4" t="str">
        <x:v>M06 开播、房型、观看、连麦与房内管理</x:v>
      </x:c>
      <x:c r="D780" s="4" t="str">
        <x:v>礼物（用户视角）</x:v>
      </x:c>
      <x:c r="E780" s="4" t="str">
        <x:v>功能需求</x:v>
      </x:c>
      <x:c r="F780" s="4" t="str">
        <x:v>P0</x:v>
      </x:c>
      <x:c r="G780" s="4" t="str">
        <x:v>验证普通礼物100余额99</x:v>
      </x:c>
      <x:c r="H780" s="4" t="str">
        <x:v>普通礼物100余额99</x:v>
      </x:c>
      <x:c r="I780" s="4" t="str">
        <x:v>1. 已登录用户账号
2. 上架普通礼物单价10数量10
3. 账号真实余额99</x:v>
      </x:c>
      <x:c r="J780" s="4" t="str">
        <x:v>1. 进入「直播间-观众」页
2. 打开「礼物」视图
3. 点击赠送</x:v>
      </x:c>
      <x:c r="K780" s="4" t="str">
        <x:v>不扣款并打开充值视图</x:v>
      </x:c>
      <x:c r="L780" s="4" t="str">
        <x:v>FLOW-3674B837</x:v>
      </x:c>
      <x:c r="M780" s="4" t="str">
        <x:v>未测</x:v>
      </x:c>
      <x:c r="N780" s="4" t="str"/>
      <x:c r="O780" s="4" t="str">
        <x:v>1. 来源：MainBasis/统一需求文档.md；U-views_live-room_gift-010、U-views_live-room_gift-011、D-SYS-126
2. 场景：SC-3bd38d675d1121
3. 状态转换：ST-75DDB98DDEAA</x:v>
      </x:c>
    </x:row>
    <x:row r="781" ht="82" customHeight="1">
      <x:c r="A781" s="4" t="n">
        <x:v>780</x:v>
      </x:c>
      <x:c r="B781" s="4" t="str">
        <x:v>USER-0780</x:v>
      </x:c>
      <x:c r="C781" s="4" t="str">
        <x:v>M06 开播、房型、观看、连麦与房内管理</x:v>
      </x:c>
      <x:c r="D781" s="4" t="str">
        <x:v>礼物（用户视角）</x:v>
      </x:c>
      <x:c r="E781" s="4" t="str">
        <x:v>功能需求</x:v>
      </x:c>
      <x:c r="F781" s="4" t="str">
        <x:v>P0</x:v>
      </x:c>
      <x:c r="G781" s="4" t="str">
        <x:v>验证普通礼物100余额100</x:v>
      </x:c>
      <x:c r="H781" s="4" t="str">
        <x:v>普通礼物100余额100</x:v>
      </x:c>
      <x:c r="I781" s="4" t="str">
        <x:v>1. 已登录用户账号
2. 上架普通礼物单价10数量10
3. 账号真实余额100</x:v>
      </x:c>
      <x:c r="J781" s="4" t="str">
        <x:v>1. 进入「直播间-观众」页
2. 打开「礼物」视图
3. 点击赠送</x:v>
      </x:c>
      <x:c r="K781" s="4" t="str">
        <x:v>成功赠送后余额为0</x:v>
      </x:c>
      <x:c r="L781" s="4" t="str">
        <x:v>FLOW-3674B837</x:v>
      </x:c>
      <x:c r="M781" s="4" t="str">
        <x:v>未测</x:v>
      </x:c>
      <x:c r="N781" s="4" t="str"/>
      <x:c r="O781" s="4" t="str">
        <x:v>1. 来源：MainBasis/统一需求文档.md；U-views_live-room_gift-010、U-views_live-room_gift-011、D-SYS-126
2. 场景：SC-5288e26e3d1460
3. 状态转换：ST-75DDB98DDEAA</x:v>
      </x:c>
    </x:row>
    <x:row r="782" ht="82" customHeight="1">
      <x:c r="A782" s="4" t="n">
        <x:v>781</x:v>
      </x:c>
      <x:c r="B782" s="4" t="str">
        <x:v>USER-0781</x:v>
      </x:c>
      <x:c r="C782" s="4" t="str">
        <x:v>M06 开播、房型、观看、连麦与房内管理</x:v>
      </x:c>
      <x:c r="D782" s="4" t="str">
        <x:v>礼物（用户视角）</x:v>
      </x:c>
      <x:c r="E782" s="4" t="str">
        <x:v>功能需求</x:v>
      </x:c>
      <x:c r="F782" s="4" t="str">
        <x:v>P0</x:v>
      </x:c>
      <x:c r="G782" s="4" t="str">
        <x:v>验证普通礼物100余额101</x:v>
      </x:c>
      <x:c r="H782" s="4" t="str">
        <x:v>普通礼物100余额101</x:v>
      </x:c>
      <x:c r="I782" s="4" t="str">
        <x:v>1. 已登录用户账号
2. 上架普通礼物单价10数量10
3. 账号真实余额101</x:v>
      </x:c>
      <x:c r="J782" s="4" t="str">
        <x:v>1. 进入「直播间-观众」页
2. 打开「礼物」视图
3. 点击赠送</x:v>
      </x:c>
      <x:c r="K782" s="4" t="str">
        <x:v>成功赠送后余额为1</x:v>
      </x:c>
      <x:c r="L782" s="4" t="str">
        <x:v>FLOW-3674B837</x:v>
      </x:c>
      <x:c r="M782" s="4" t="str">
        <x:v>未测</x:v>
      </x:c>
      <x:c r="N782" s="4" t="str"/>
      <x:c r="O782" s="4" t="str">
        <x:v>1. 来源：MainBasis/统一需求文档.md；U-views_live-room_gift-010、U-views_live-room_gift-011、D-SYS-126
2. 场景：SC-095fb2870d4e04
3. 状态转换：ST-75DDB98DDEAA</x:v>
      </x:c>
    </x:row>
    <x:row r="783" ht="68" customHeight="1">
      <x:c r="A783" s="4" t="n">
        <x:v>782</x:v>
      </x:c>
      <x:c r="B783" s="4" t="str">
        <x:v>USER-0782</x:v>
      </x:c>
      <x:c r="C783" s="4" t="str">
        <x:v>M06 开播、房型、观看、连麦与房内管理</x:v>
      </x:c>
      <x:c r="D783" s="4" t="str">
        <x:v>礼物（用户视角）</x:v>
      </x:c>
      <x:c r="E783" s="4" t="str">
        <x:v>异常用例</x:v>
      </x:c>
      <x:c r="F783" s="4" t="str">
        <x:v>P1</x:v>
      </x:c>
      <x:c r="G783" s="4" t="str">
        <x:v>验证赠礼请求失败不扣款</x:v>
      </x:c>
      <x:c r="H783" s="4" t="str">
        <x:v>赠礼请求失败不扣款</x:v>
      </x:c>
      <x:c r="I783" s="4" t="str">
        <x:v>1. 已登录用户账号
2. 原余额100，普通礼物费用10
3. 本次赠礼请求失败</x:v>
      </x:c>
      <x:c r="J783" s="4" t="str">
        <x:v>1. 进入「直播间-观众」页
2. 打开「礼物」视图
3. 点击赠送</x:v>
      </x:c>
      <x:c r="K783" s="4" t="str">
        <x:v>余额仍为100</x:v>
      </x:c>
      <x:c r="L783" s="4" t="str"/>
      <x:c r="M783" s="4" t="str">
        <x:v>未测</x:v>
      </x:c>
      <x:c r="N783" s="4" t="str"/>
      <x:c r="O783" s="4" t="str">
        <x:v>1. 来源：MainBasis/统一需求文档.md；U-views_live-room_gift-008、U-order-expense-detail-007、A-admin-consumption-order-008
2. 场景：SC-8d34e837e75f23</x:v>
      </x:c>
    </x:row>
    <x:row r="784" ht="68" customHeight="1">
      <x:c r="A784" s="4" t="n">
        <x:v>783</x:v>
      </x:c>
      <x:c r="B784" s="4" t="str">
        <x:v>USER-0783</x:v>
      </x:c>
      <x:c r="C784" s="4" t="str">
        <x:v>M06 开播、房型、观看、连麦与房内管理</x:v>
      </x:c>
      <x:c r="D784" s="4" t="str">
        <x:v>礼物（用户视角）</x:v>
      </x:c>
      <x:c r="E784" s="4" t="str">
        <x:v>逻辑校验</x:v>
      </x:c>
      <x:c r="F784" s="4" t="str">
        <x:v>P1</x:v>
      </x:c>
      <x:c r="G784" s="4" t="str">
        <x:v>验证幸运赠礼用户净消耗</x:v>
      </x:c>
      <x:c r="H784" s="4" t="str">
        <x:v>幸运赠礼用户净消耗</x:v>
      </x:c>
      <x:c r="I784" s="4" t="str">
        <x:v>1. 已登录用户账号
2. 成功送出幸运礼物100金币，返奖30金币</x:v>
      </x:c>
      <x:c r="J784" s="4" t="str">
        <x:v>1. 进入「直播间-观众」页
2. 打开「礼物」视图
3. 查看幸运赠礼用户净消耗</x:v>
      </x:c>
      <x:c r="K784" s="4" t="str">
        <x:v>该笔实际消耗 = 100 - 30 = 70金币</x:v>
      </x:c>
      <x:c r="L784" s="4" t="str"/>
      <x:c r="M784" s="4" t="str">
        <x:v>未测</x:v>
      </x:c>
      <x:c r="N784" s="4" t="str"/>
      <x:c r="O784" s="4" t="str">
        <x:v>1. 来源：MainBasis/统一需求文档.md；U-views_live-room_gift-005、A-admin-lucky-gift-detail-008、D-SYS-136、D-SYS-130
2. 场景：SC-d7bf455a3b27a6</x:v>
      </x:c>
    </x:row>
    <x:row r="785" ht="96" customHeight="1">
      <x:c r="A785" s="4" t="n">
        <x:v>784</x:v>
      </x:c>
      <x:c r="B785" s="4" t="str">
        <x:v>USER-0784</x:v>
      </x:c>
      <x:c r="C785" s="4" t="str">
        <x:v>M06 开播、房型、观看、连麦与房内管理</x:v>
      </x:c>
      <x:c r="D785" s="4" t="str">
        <x:v>礼物（运营账号视角）</x:v>
      </x:c>
      <x:c r="E785" s="4" t="str">
        <x:v>功能需求</x:v>
      </x:c>
      <x:c r="F785" s="4" t="str">
        <x:v>P1</x:v>
      </x:c>
      <x:c r="G785" s="4" t="str">
        <x:v>验证运营号送普通礼物</x:v>
      </x:c>
      <x:c r="H785" s="4" t="str">
        <x:v>运营号送普通礼物</x:v>
      </x:c>
      <x:c r="I785" s="4" t="str">
        <x:v>1. 已登录运营账号账号
2. 当前为启用运营账号，虚拟余额100
3. 目标上架普通礼物费用10</x:v>
      </x:c>
      <x:c r="J785" s="4" t="str">
        <x:v>1. 进入「直播间-观众」页
2. 打开「礼物」视图
3. 选择礼物
4. 赠送</x:v>
      </x:c>
      <x:c r="K785" s="4" t="str">
        <x:v>虚拟余额扣减为90</x:v>
      </x:c>
      <x:c r="L785" s="4" t="str"/>
      <x:c r="M785" s="4" t="str">
        <x:v>未测</x:v>
      </x:c>
      <x:c r="N785" s="4" t="str"/>
      <x:c r="O785" s="4" t="str">
        <x:v>1. 来源：MainBasis/统一需求文档.md；U-views_live-room_gift-006、G-guild-operation-accounts-007、G-guild-operation-gift-records-005、A-admin-operation-issue-records-008、A-admin-operation-gift-records-006
2. 场景：SC-4a0fa2666180c6</x:v>
      </x:c>
    </x:row>
    <x:row r="786" ht="96" customHeight="1">
      <x:c r="A786" s="4" t="n">
        <x:v>785</x:v>
      </x:c>
      <x:c r="B786" s="4" t="str">
        <x:v>USER-0785</x:v>
      </x:c>
      <x:c r="C786" s="4" t="str">
        <x:v>M06 开播、房型、观看、连麦与房内管理</x:v>
      </x:c>
      <x:c r="D786" s="4" t="str">
        <x:v>礼物（运营账号视角）</x:v>
      </x:c>
      <x:c r="E786" s="4" t="str">
        <x:v>功能需求</x:v>
      </x:c>
      <x:c r="F786" s="4" t="str">
        <x:v>P1</x:v>
      </x:c>
      <x:c r="G786" s="4" t="str">
        <x:v>验证运营号送定制礼物</x:v>
      </x:c>
      <x:c r="H786" s="4" t="str">
        <x:v>运营号送定制礼物</x:v>
      </x:c>
      <x:c r="I786" s="4" t="str">
        <x:v>1. 已登录运营账号账号
2. 当前为启用运营账号，虚拟余额100
3. 目标上架定制礼物费用10</x:v>
      </x:c>
      <x:c r="J786" s="4" t="str">
        <x:v>1. 进入「直播间-观众」页
2. 打开「礼物」视图
3. 选择礼物
4. 赠送</x:v>
      </x:c>
      <x:c r="K786" s="4" t="str">
        <x:v>虚拟余额扣减为90</x:v>
      </x:c>
      <x:c r="L786" s="4" t="str"/>
      <x:c r="M786" s="4" t="str">
        <x:v>未测</x:v>
      </x:c>
      <x:c r="N786" s="4" t="str"/>
      <x:c r="O786" s="4" t="str">
        <x:v>1. 来源：MainBasis/统一需求文档.md；U-views_live-room_gift-006、G-guild-operation-accounts-007、G-guild-operation-gift-records-005、A-admin-operation-issue-records-008、A-admin-operation-gift-records-006
2. 场景：SC-c5d0f94cb17bd8</x:v>
      </x:c>
    </x:row>
    <x:row r="787" ht="96" customHeight="1">
      <x:c r="A787" s="4" t="n">
        <x:v>786</x:v>
      </x:c>
      <x:c r="B787" s="4" t="str">
        <x:v>USER-0786</x:v>
      </x:c>
      <x:c r="C787" s="4" t="str">
        <x:v>M06 开播、房型、观看、连麦与房内管理</x:v>
      </x:c>
      <x:c r="D787" s="4" t="str">
        <x:v>礼物（运营账号视角）</x:v>
      </x:c>
      <x:c r="E787" s="4" t="str">
        <x:v>异常用例</x:v>
      </x:c>
      <x:c r="F787" s="4" t="str">
        <x:v>P1</x:v>
      </x:c>
      <x:c r="G787" s="4" t="str">
        <x:v>验证运营号不能送幸运礼物</x:v>
      </x:c>
      <x:c r="H787" s="4" t="str">
        <x:v>运营号不能送幸运礼物</x:v>
      </x:c>
      <x:c r="I787" s="4" t="str">
        <x:v>1. 已登录运营账号账号
2. 当前为启用运营账号且虚拟余额充足</x:v>
      </x:c>
      <x:c r="J787" s="4" t="str">
        <x:v>1. 进入「直播间-观众」页
2. 打开「礼物」视图
3. 尝试选择幸运礼物并赠送</x:v>
      </x:c>
      <x:c r="K787" s="4" t="str">
        <x:v>不能送出幸运礼物</x:v>
      </x:c>
      <x:c r="L787" s="4" t="str"/>
      <x:c r="M787" s="4" t="str">
        <x:v>未测</x:v>
      </x:c>
      <x:c r="N787" s="4" t="str"/>
      <x:c r="O787" s="4" t="str">
        <x:v>1. 来源：MainBasis/统一需求文档.md；U-views_live-room_gift-006、G-guild-operation-accounts-007、G-guild-operation-gift-records-005、A-admin-operation-issue-records-008、A-admin-operation-gift-records-006
2. 场景：SC-2449d942c238a0</x:v>
      </x:c>
    </x:row>
    <x:row r="788" ht="68" customHeight="1">
      <x:c r="A788" s="4" t="n">
        <x:v>787</x:v>
      </x:c>
      <x:c r="B788" s="4" t="str">
        <x:v>USER-0787</x:v>
      </x:c>
      <x:c r="C788" s="4" t="str">
        <x:v>M06 开播、房型、观看、连麦与房内管理</x:v>
      </x:c>
      <x:c r="D788" s="4" t="str">
        <x:v>礼物（运营账号视角）</x:v>
      </x:c>
      <x:c r="E788" s="4" t="str">
        <x:v>异常用例</x:v>
      </x:c>
      <x:c r="F788" s="4" t="str">
        <x:v>P1</x:v>
      </x:c>
      <x:c r="G788" s="4" t="str">
        <x:v>验证运营虚拟余额不足</x:v>
      </x:c>
      <x:c r="H788" s="4" t="str">
        <x:v>运营虚拟余额不足</x:v>
      </x:c>
      <x:c r="I788" s="4" t="str">
        <x:v>1. 已登录运营账号账号
2. 当前为运营账号，虚拟余额9，普通礼物费用10</x:v>
      </x:c>
      <x:c r="J788" s="4" t="str">
        <x:v>1. 进入「直播间-观众」页
2. 打开「礼物」视图
3. 点击赠送</x:v>
      </x:c>
      <x:c r="K788" s="4" t="str">
        <x:v>不扣款，无充值入口并提示联系公会发放</x:v>
      </x:c>
      <x:c r="L788" s="4" t="str"/>
      <x:c r="M788" s="4" t="str">
        <x:v>未测</x:v>
      </x:c>
      <x:c r="N788" s="4" t="str"/>
      <x:c r="O788" s="4" t="str">
        <x:v>1. 来源：MainBasis/统一需求文档.md；U-views_live-room_gift-011
2. 场景：SC-a4bc7383fd3a82</x:v>
      </x:c>
    </x:row>
    <x:row r="789" ht="68" customHeight="1">
      <x:c r="A789" s="4" t="n">
        <x:v>788</x:v>
      </x:c>
      <x:c r="B789" s="4" t="str">
        <x:v>USER-0788</x:v>
      </x:c>
      <x:c r="C789" s="4" t="str">
        <x:v>M06 开播、房型、观看、连麦与房内管理</x:v>
      </x:c>
      <x:c r="D789" s="4" t="str">
        <x:v>礼物（用户视角）</x:v>
      </x:c>
      <x:c r="E789" s="4" t="str">
        <x:v>功能需求</x:v>
      </x:c>
      <x:c r="F789" s="4" t="str">
        <x:v>P1</x:v>
      </x:c>
      <x:c r="G789" s="4" t="str">
        <x:v>验证连续赠送逐个记录</x:v>
      </x:c>
      <x:c r="H789" s="4" t="str">
        <x:v>连续赠送逐个记录</x:v>
      </x:c>
      <x:c r="I789" s="4" t="str">
        <x:v>1. 已登录用户账号
2. 普通礼物单价10，余额100</x:v>
      </x:c>
      <x:c r="J789" s="4" t="str">
        <x:v>1. 进入「直播间-观众」页
2. 打开「礼物」视图
3. 连续赠送3个该礼物</x:v>
      </x:c>
      <x:c r="K789" s="4" t="str">
        <x:v>共扣30金币且逐个记录结果</x:v>
      </x:c>
      <x:c r="L789" s="4" t="str"/>
      <x:c r="M789" s="4" t="str">
        <x:v>未测</x:v>
      </x:c>
      <x:c r="N789" s="4" t="str"/>
      <x:c r="O789" s="4" t="str">
        <x:v>1. 来源：MainBasis/统一需求文档.md；D-SYS-133、U-views_live-room_gift-010
2. 场景：SC-d48b627ad69736</x:v>
      </x:c>
    </x:row>
    <x:row r="790" ht="68" customHeight="1">
      <x:c r="A790" s="4" t="n">
        <x:v>789</x:v>
      </x:c>
      <x:c r="B790" s="4" t="str">
        <x:v>USER-0789</x:v>
      </x:c>
      <x:c r="C790" s="4" t="str">
        <x:v>M06 开播、房型、观看、连麦与房内管理</x:v>
      </x:c>
      <x:c r="D790" s="4" t="str">
        <x:v>礼物（用户视角）</x:v>
      </x:c>
      <x:c r="E790" s="4" t="str">
        <x:v>功能需求</x:v>
      </x:c>
      <x:c r="F790" s="4" t="str">
        <x:v>P1</x:v>
      </x:c>
      <x:c r="G790" s="4" t="str">
        <x:v>验证真实金币余额</x:v>
      </x:c>
      <x:c r="H790" s="4" t="str">
        <x:v>真实金币余额</x:v>
      </x:c>
      <x:c r="I790" s="4" t="str">
        <x:v>1. 已登录用户账号
2. 普通用户真实金币余额为100</x:v>
      </x:c>
      <x:c r="J790" s="4" t="str">
        <x:v>1. 进入「直播间-观众」页
2. 打开「礼物」视图
3. 查看真实金币余额</x:v>
      </x:c>
      <x:c r="K790" s="4" t="str">
        <x:v>礼物面板金币余额显示100</x:v>
      </x:c>
      <x:c r="L790" s="4" t="str"/>
      <x:c r="M790" s="4" t="str">
        <x:v>未测</x:v>
      </x:c>
      <x:c r="N790" s="4" t="str"/>
      <x:c r="O790" s="4" t="str">
        <x:v>1. 来源：MainBasis/统一需求文档.md；U-views_live-room_gift-003
2. 场景：SC-3dd7702b12a50d</x:v>
      </x:c>
    </x:row>
    <x:row r="791" ht="68" customHeight="1">
      <x:c r="A791" s="4" t="n">
        <x:v>790</x:v>
      </x:c>
      <x:c r="B791" s="4" t="str">
        <x:v>USER-0790</x:v>
      </x:c>
      <x:c r="C791" s="4" t="str">
        <x:v>M06 开播、房型、观看、连麦与房内管理</x:v>
      </x:c>
      <x:c r="D791" s="4" t="str">
        <x:v>礼物（运营账号视角）</x:v>
      </x:c>
      <x:c r="E791" s="4" t="str">
        <x:v>功能需求</x:v>
      </x:c>
      <x:c r="F791" s="4" t="str">
        <x:v>P1</x:v>
      </x:c>
      <x:c r="G791" s="4" t="str">
        <x:v>验证运营账户虚拟金币余额</x:v>
      </x:c>
      <x:c r="H791" s="4" t="str">
        <x:v>运营账户虚拟金币余额</x:v>
      </x:c>
      <x:c r="I791" s="4" t="str">
        <x:v>1. 已登录运营账号账号
2. 运营账号所属公会发放后虚拟余额为100，真实余额为0</x:v>
      </x:c>
      <x:c r="J791" s="4" t="str">
        <x:v>1. 进入「直播间-观众」页
2. 打开「礼物」视图
3. 查看运营账户虚拟金币余额</x:v>
      </x:c>
      <x:c r="K791" s="4" t="str">
        <x:v>礼物面板金币余额显示100</x:v>
      </x:c>
      <x:c r="L791" s="4" t="str"/>
      <x:c r="M791" s="4" t="str">
        <x:v>未测</x:v>
      </x:c>
      <x:c r="N791" s="4" t="str"/>
      <x:c r="O791" s="4" t="str">
        <x:v>1. 来源：MainBasis/统一需求文档.md；U-views_live-room_gift-003
2. 场景：SC-449a5e7d1ec68c</x:v>
      </x:c>
    </x:row>
    <x:row r="792" ht="68" customHeight="1">
      <x:c r="A792" s="4" t="n">
        <x:v>791</x:v>
      </x:c>
      <x:c r="B792" s="4" t="str">
        <x:v>USER-0791</x:v>
      </x:c>
      <x:c r="C792" s="4" t="str">
        <x:v>M06 开播、房型、观看、连麦与房内管理</x:v>
      </x:c>
      <x:c r="D792" s="4" t="str">
        <x:v>充值（用户视角）</x:v>
      </x:c>
      <x:c r="E792" s="4" t="str">
        <x:v>功能需求</x:v>
      </x:c>
      <x:c r="F792" s="4" t="str">
        <x:v>P1</x:v>
      </x:c>
      <x:c r="G792" s="4" t="str">
        <x:v>验证房内快捷充值失败</x:v>
      </x:c>
      <x:c r="H792" s="4" t="str">
        <x:v>房内快捷充值失败</x:v>
      </x:c>
      <x:c r="I792" s="4" t="str">
        <x:v>1. 已登录用户账号
2. 支付本次结果为失败，支付前余额100</x:v>
      </x:c>
      <x:c r="J792" s="4" t="str">
        <x:v>1. 进入「直播间-观众」页
2. 打开「充值」视图
3. 查看房内快捷充值失败</x:v>
      </x:c>
      <x:c r="K792" s="4" t="str">
        <x:v>金币余额仍为100</x:v>
      </x:c>
      <x:c r="L792" s="4" t="str"/>
      <x:c r="M792" s="4" t="str">
        <x:v>未测</x:v>
      </x:c>
      <x:c r="N792" s="4" t="str"/>
      <x:c r="O792" s="4" t="str">
        <x:v>1. 来源：MainBasis/统一需求文档.md；U-views_live-room_gift-recharge-003
2. 场景：SC-e2774f85cba48f</x:v>
      </x:c>
    </x:row>
    <x:row r="793" ht="68" customHeight="1">
      <x:c r="A793" s="4" t="n">
        <x:v>792</x:v>
      </x:c>
      <x:c r="B793" s="4" t="str">
        <x:v>USER-0792</x:v>
      </x:c>
      <x:c r="C793" s="4" t="str">
        <x:v>M06 开播、房型、观看、连麦与房内管理</x:v>
      </x:c>
      <x:c r="D793" s="4" t="str">
        <x:v>充值（用户视角）</x:v>
      </x:c>
      <x:c r="E793" s="4" t="str">
        <x:v>功能需求</x:v>
      </x:c>
      <x:c r="F793" s="4" t="str">
        <x:v>P1</x:v>
      </x:c>
      <x:c r="G793" s="4" t="str">
        <x:v>验证房内快捷充值取消</x:v>
      </x:c>
      <x:c r="H793" s="4" t="str">
        <x:v>房内快捷充值取消</x:v>
      </x:c>
      <x:c r="I793" s="4" t="str">
        <x:v>1. 已登录用户账号
2. 支付本次结果为取消，支付前余额100</x:v>
      </x:c>
      <x:c r="J793" s="4" t="str">
        <x:v>1. 进入「直播间-观众」页
2. 打开「充值」视图
3. 查看房内快捷充值取消</x:v>
      </x:c>
      <x:c r="K793" s="4" t="str">
        <x:v>金币余额仍为100</x:v>
      </x:c>
      <x:c r="L793" s="4" t="str"/>
      <x:c r="M793" s="4" t="str">
        <x:v>未测</x:v>
      </x:c>
      <x:c r="N793" s="4" t="str"/>
      <x:c r="O793" s="4" t="str">
        <x:v>1. 来源：MainBasis/统一需求文档.md；U-views_live-room_gift-recharge-003
2. 场景：SC-01dbb419a742a3</x:v>
      </x:c>
    </x:row>
    <x:row r="794" ht="68" customHeight="1">
      <x:c r="A794" s="4" t="n">
        <x:v>793</x:v>
      </x:c>
      <x:c r="B794" s="4" t="str">
        <x:v>USER-0793</x:v>
      </x:c>
      <x:c r="C794" s="4" t="str">
        <x:v>M06 开播、房型、观看、连麦与房内管理</x:v>
      </x:c>
      <x:c r="D794" s="4" t="str">
        <x:v>充值（用户视角）</x:v>
      </x:c>
      <x:c r="E794" s="4" t="str">
        <x:v>功能需求</x:v>
      </x:c>
      <x:c r="F794" s="4" t="str">
        <x:v>P1</x:v>
      </x:c>
      <x:c r="G794" s="4" t="str">
        <x:v>验证房内快捷充值超时</x:v>
      </x:c>
      <x:c r="H794" s="4" t="str">
        <x:v>房内快捷充值超时</x:v>
      </x:c>
      <x:c r="I794" s="4" t="str">
        <x:v>1. 已登录用户账号
2. 支付本次结果为超时，支付前余额100</x:v>
      </x:c>
      <x:c r="J794" s="4" t="str">
        <x:v>1. 进入「直播间-观众」页
2. 打开「充值」视图
3. 查看房内快捷充值超时</x:v>
      </x:c>
      <x:c r="K794" s="4" t="str">
        <x:v>金币余额仍为100</x:v>
      </x:c>
      <x:c r="L794" s="4" t="str"/>
      <x:c r="M794" s="4" t="str">
        <x:v>未测</x:v>
      </x:c>
      <x:c r="N794" s="4" t="str"/>
      <x:c r="O794" s="4" t="str">
        <x:v>1. 来源：MainBasis/统一需求文档.md；U-views_live-room_gift-recharge-003
2. 场景：SC-333fb0d9e9a9f0</x:v>
      </x:c>
    </x:row>
    <x:row r="795" ht="68" customHeight="1">
      <x:c r="A795" s="4" t="n">
        <x:v>794</x:v>
      </x:c>
      <x:c r="B795" s="4" t="str">
        <x:v>USER-0794</x:v>
      </x:c>
      <x:c r="C795" s="4" t="str">
        <x:v>M06 开播、房型、观看、连麦与房内管理</x:v>
      </x:c>
      <x:c r="D795" s="4" t="str">
        <x:v>充值（用户视角）</x:v>
      </x:c>
      <x:c r="E795" s="4" t="str">
        <x:v>功能需求</x:v>
      </x:c>
      <x:c r="F795" s="4" t="str">
        <x:v>P1</x:v>
      </x:c>
      <x:c r="G795" s="4" t="str">
        <x:v>验证快捷充值成功不自动送礼</x:v>
      </x:c>
      <x:c r="H795" s="4" t="str">
        <x:v>快捷充值成功不自动送礼</x:v>
      </x:c>
      <x:c r="I795" s="4" t="str">
        <x:v>1. 已登录用户账号
2. 已选单价10数量10的礼物但余额不足
3. 有当前端可用充值套餐</x:v>
      </x:c>
      <x:c r="J795" s="4" t="str">
        <x:v>1. 进入「直播间-观众」页
2. 打开「充值」视图
3. 完成该套餐支付</x:v>
      </x:c>
      <x:c r="K795" s="4" t="str">
        <x:v>返回礼物视图，余额增加但原礼物尚未赠送</x:v>
      </x:c>
      <x:c r="L795" s="4" t="str"/>
      <x:c r="M795" s="4" t="str">
        <x:v>未测</x:v>
      </x:c>
      <x:c r="N795" s="4" t="str"/>
      <x:c r="O795" s="4" t="str">
        <x:v>1. 来源：MainBasis/统一需求文档.md；U-views_live-room_gift-recharge-005
2. 场景：SC-36b0413df0ebc3</x:v>
      </x:c>
    </x:row>
    <x:row r="796" ht="68" customHeight="1">
      <x:c r="A796" s="4" t="n">
        <x:v>795</x:v>
      </x:c>
      <x:c r="B796" s="4" t="str">
        <x:v>USER-0795</x:v>
      </x:c>
      <x:c r="C796" s="4" t="str">
        <x:v>M06 开播、房型、观看、连麦与房内管理</x:v>
      </x:c>
      <x:c r="D796" s="4" t="str">
        <x:v>充值（用户视角）</x:v>
      </x:c>
      <x:c r="E796" s="4" t="str">
        <x:v>功能需求</x:v>
      </x:c>
      <x:c r="F796" s="4" t="str">
        <x:v>P1</x:v>
      </x:c>
      <x:c r="G796" s="4" t="str">
        <x:v>验证快捷充值关闭保留选择</x:v>
      </x:c>
      <x:c r="H796" s="4" t="str">
        <x:v>快捷充值关闭保留选择</x:v>
      </x:c>
      <x:c r="I796" s="4" t="str">
        <x:v>1. 已登录用户账号
2. 原礼物及数量已选择</x:v>
      </x:c>
      <x:c r="J796" s="4" t="str">
        <x:v>1. 进入「直播间-观众」页
2. 打开「充值」视图
3. 点击关闭</x:v>
      </x:c>
      <x:c r="K796" s="4" t="str">
        <x:v>返回礼物视图，原礼物及数量保留</x:v>
      </x:c>
      <x:c r="L796" s="4" t="str"/>
      <x:c r="M796" s="4" t="str">
        <x:v>未测</x:v>
      </x:c>
      <x:c r="N796" s="4" t="str"/>
      <x:c r="O796" s="4" t="str">
        <x:v>1. 来源：MainBasis/统一需求文档.md；U-views_live-room_gift-recharge-006
2. 场景：SC-4b91e2a449d441</x:v>
      </x:c>
    </x:row>
    <x:row r="797" ht="68" customHeight="1">
      <x:c r="A797" s="4" t="n">
        <x:v>796</x:v>
      </x:c>
      <x:c r="B797" s="4" t="str">
        <x:v>USER-0796</x:v>
      </x:c>
      <x:c r="C797" s="4" t="str">
        <x:v>M06 开播、房型、观看、连麦与房内管理</x:v>
      </x:c>
      <x:c r="D797" s="4" t="str">
        <x:v>充值（用户视角）</x:v>
      </x:c>
      <x:c r="E797" s="4" t="str">
        <x:v>功能需求</x:v>
      </x:c>
      <x:c r="F797" s="4" t="str">
        <x:v>P1</x:v>
      </x:c>
      <x:c r="G797" s="4" t="str">
        <x:v>验证快捷充值支付失败保留选择</x:v>
      </x:c>
      <x:c r="H797" s="4" t="str">
        <x:v>快捷充值支付失败保留选择</x:v>
      </x:c>
      <x:c r="I797" s="4" t="str">
        <x:v>1. 已登录用户账号
2. 原礼物及数量已选择</x:v>
      </x:c>
      <x:c r="J797" s="4" t="str">
        <x:v>1. 进入「直播间-观众」页
2. 打开「充值」视图
3. 发起支付并使本次支付失败</x:v>
      </x:c>
      <x:c r="K797" s="4" t="str">
        <x:v>返回礼物视图，原礼物及数量保留</x:v>
      </x:c>
      <x:c r="L797" s="4" t="str"/>
      <x:c r="M797" s="4" t="str">
        <x:v>未测</x:v>
      </x:c>
      <x:c r="N797" s="4" t="str"/>
      <x:c r="O797" s="4" t="str">
        <x:v>1. 来源：MainBasis/统一需求文档.md；U-views_live-room_gift-recharge-006
2. 场景：SC-86a4639e412758</x:v>
      </x:c>
    </x:row>
    <x:row r="798" ht="68" customHeight="1">
      <x:c r="A798" s="4" t="n">
        <x:v>797</x:v>
      </x:c>
      <x:c r="B798" s="4" t="str">
        <x:v>USER-0797</x:v>
      </x:c>
      <x:c r="C798" s="4" t="str">
        <x:v>M06 开播、房型、观看、连麦与房内管理</x:v>
      </x:c>
      <x:c r="D798" s="4" t="str">
        <x:v>粉丝团-未加入（用户视角）</x:v>
      </x:c>
      <x:c r="E798" s="4" t="str">
        <x:v>功能需求</x:v>
      </x:c>
      <x:c r="F798" s="4" t="str">
        <x:v>P2</x:v>
      </x:c>
      <x:c r="G798" s="4" t="str">
        <x:v>验证粉丝团回显</x:v>
      </x:c>
      <x:c r="H798" s="4" t="str">
        <x:v>粉丝团回显</x:v>
      </x:c>
      <x:c r="I798" s="4" t="str">
        <x:v>1. 已登录用户账号
2. 所选对象存在，已记录该对象的粉丝团值</x:v>
      </x:c>
      <x:c r="J798" s="4" t="str">
        <x:v>1. 进入「直播间-观众」页
2. 打开「粉丝团-未加入」视图
3. 查看粉丝团回显</x:v>
      </x:c>
      <x:c r="K798" s="4" t="str">
        <x:v>「粉丝团」内容与所选对象的该项资料一致</x:v>
      </x:c>
      <x:c r="L798" s="4" t="str"/>
      <x:c r="M798" s="4" t="str">
        <x:v>未测</x:v>
      </x:c>
      <x:c r="N798" s="4" t="str"/>
      <x:c r="O798" s="4" t="str">
        <x:v>1. 来源：MainBasis/统一需求文档.md；U-views_live-room_fan-club-not-joined-001
2. 场景：SC-4e94f89eba9806</x:v>
      </x:c>
    </x:row>
    <x:row r="799" ht="68" customHeight="1">
      <x:c r="A799" s="4" t="n">
        <x:v>798</x:v>
      </x:c>
      <x:c r="B799" s="4" t="str">
        <x:v>USER-0798</x:v>
      </x:c>
      <x:c r="C799" s="4" t="str">
        <x:v>M06 开播、房型、观看、连麦与房内管理</x:v>
      </x:c>
      <x:c r="D799" s="4" t="str">
        <x:v>粉丝团-未加入（用户视角）</x:v>
      </x:c>
      <x:c r="E799" s="4" t="str">
        <x:v>功能需求</x:v>
      </x:c>
      <x:c r="F799" s="4" t="str">
        <x:v>P2</x:v>
      </x:c>
      <x:c r="G799" s="4" t="str">
        <x:v>验证权益回显</x:v>
      </x:c>
      <x:c r="H799" s="4" t="str">
        <x:v>权益回显</x:v>
      </x:c>
      <x:c r="I799" s="4" t="str">
        <x:v>1. 已登录用户账号
2. 所选对象存在，已记录该对象的权益值</x:v>
      </x:c>
      <x:c r="J799" s="4" t="str">
        <x:v>1. 进入「直播间-观众」页
2. 打开「粉丝团-未加入」视图
3. 查看权益回显</x:v>
      </x:c>
      <x:c r="K799" s="4" t="str">
        <x:v>「权益」内容与所选对象的该项资料一致</x:v>
      </x:c>
      <x:c r="L799" s="4" t="str"/>
      <x:c r="M799" s="4" t="str">
        <x:v>未测</x:v>
      </x:c>
      <x:c r="N799" s="4" t="str"/>
      <x:c r="O799" s="4" t="str">
        <x:v>1. 来源：MainBasis/统一需求文档.md；U-views_live-room_fan-club-not-joined-003
2. 场景：SC-af41ca63f13873</x:v>
      </x:c>
    </x:row>
    <x:row r="800" ht="82" customHeight="1">
      <x:c r="A800" s="4" t="n">
        <x:v>799</x:v>
      </x:c>
      <x:c r="B800" s="4" t="str">
        <x:v>USER-0799</x:v>
      </x:c>
      <x:c r="C800" s="4" t="str">
        <x:v>M06 开播、房型、观看、连麦与房内管理</x:v>
      </x:c>
      <x:c r="D800" s="4" t="str">
        <x:v>粉丝团-未加入（用户视角）</x:v>
      </x:c>
      <x:c r="E800" s="4" t="str">
        <x:v>功能需求</x:v>
      </x:c>
      <x:c r="F800" s="4" t="str">
        <x:v>P1</x:v>
      </x:c>
      <x:c r="G800" s="4" t="str">
        <x:v>验证粉丝团499人加入</x:v>
      </x:c>
      <x:c r="H800" s="4" t="str">
        <x:v>粉丝团499人加入</x:v>
      </x:c>
      <x:c r="I800" s="4" t="str">
        <x:v>1. 已登录用户账号
2. 用户满足全部加入条件且无拉黑
3. 粉丝团当前499人</x:v>
      </x:c>
      <x:c r="J800" s="4" t="str">
        <x:v>1. 进入「直播间-观众」页
2. 打开「粉丝团-未加入」视图
3. 点击加入粉丝团</x:v>
      </x:c>
      <x:c r="K800" s="4" t="str">
        <x:v>加入成功，成员数为500</x:v>
      </x:c>
      <x:c r="L800" s="4" t="str">
        <x:v>FLOW-FD3B32C9</x:v>
      </x:c>
      <x:c r="M800" s="4" t="str">
        <x:v>未测</x:v>
      </x:c>
      <x:c r="N800" s="4" t="str"/>
      <x:c r="O800" s="4" t="str">
        <x:v>1. 来源：MainBasis/统一需求文档.md；U-views_live-room_fan-club-not-joined-005、U-fan-club-003、U-fan-club-005
2. 场景：SC-69957ee9e746c3
3. 状态转换：ST-CFCAA1E75EDF</x:v>
      </x:c>
    </x:row>
    <x:row r="801" ht="82" customHeight="1">
      <x:c r="A801" s="4" t="n">
        <x:v>800</x:v>
      </x:c>
      <x:c r="B801" s="4" t="str">
        <x:v>USER-0800</x:v>
      </x:c>
      <x:c r="C801" s="4" t="str">
        <x:v>M06 开播、房型、观看、连麦与房内管理</x:v>
      </x:c>
      <x:c r="D801" s="4" t="str">
        <x:v>粉丝团-未加入（用户视角）</x:v>
      </x:c>
      <x:c r="E801" s="4" t="str">
        <x:v>功能需求</x:v>
      </x:c>
      <x:c r="F801" s="4" t="str">
        <x:v>P1</x:v>
      </x:c>
      <x:c r="G801" s="4" t="str">
        <x:v>验证粉丝团500人加入</x:v>
      </x:c>
      <x:c r="H801" s="4" t="str">
        <x:v>粉丝团500人加入</x:v>
      </x:c>
      <x:c r="I801" s="4" t="str">
        <x:v>1. 已登录用户账号
2. 用户满足全部加入条件且无拉黑
3. 粉丝团当前500人</x:v>
      </x:c>
      <x:c r="J801" s="4" t="str">
        <x:v>1. 进入「直播间-观众」页
2. 打开「粉丝团-未加入」视图
3. 点击加入粉丝团</x:v>
      </x:c>
      <x:c r="K801" s="4" t="str">
        <x:v>拒绝加入，成员数仍为500</x:v>
      </x:c>
      <x:c r="L801" s="4" t="str">
        <x:v>FLOW-FD3B32C9</x:v>
      </x:c>
      <x:c r="M801" s="4" t="str">
        <x:v>未测</x:v>
      </x:c>
      <x:c r="N801" s="4" t="str"/>
      <x:c r="O801" s="4" t="str">
        <x:v>1. 来源：MainBasis/统一需求文档.md；U-views_live-room_fan-club-not-joined-005、U-fan-club-003、U-fan-club-005
2. 场景：SC-644ee0fe408a91
3. 状态转换：ST-CFCAA1E75EDF</x:v>
      </x:c>
    </x:row>
    <x:row r="802" ht="68" customHeight="1">
      <x:c r="A802" s="4" t="n">
        <x:v>801</x:v>
      </x:c>
      <x:c r="B802" s="4" t="str">
        <x:v>USER-0801</x:v>
      </x:c>
      <x:c r="C802" s="4" t="str">
        <x:v>M06 开播、房型、观看、连麦与房内管理</x:v>
      </x:c>
      <x:c r="D802" s="4" t="str">
        <x:v>粉丝团-未加入（用户视角）</x:v>
      </x:c>
      <x:c r="E802" s="4" t="str">
        <x:v>异常用例</x:v>
      </x:c>
      <x:c r="F802" s="4" t="str">
        <x:v>P1</x:v>
      </x:c>
      <x:c r="G802" s="4" t="str">
        <x:v>验证加入粉丝团未关注且要求关注</x:v>
      </x:c>
      <x:c r="H802" s="4" t="str">
        <x:v>加入粉丝团未关注且要求关注</x:v>
      </x:c>
      <x:c r="I802" s="4" t="str">
        <x:v>1. 已登录用户账号
2. 未关注且要求关注
3. 其余加入条件均满足</x:v>
      </x:c>
      <x:c r="J802" s="4" t="str">
        <x:v>1. 进入「直播间-观众」页
2. 打开「粉丝团-未加入」视图
3. 点击加入</x:v>
      </x:c>
      <x:c r="K802" s="4" t="str">
        <x:v>未加入，提示“未满足进群条件”</x:v>
      </x:c>
      <x:c r="L802" s="4" t="str"/>
      <x:c r="M802" s="4" t="str">
        <x:v>未测</x:v>
      </x:c>
      <x:c r="N802" s="4" t="str"/>
      <x:c r="O802" s="4" t="str">
        <x:v>1. 来源：MainBasis/统一需求文档.md；U-views_live-room_fan-club-not-joined-004、U-views_live-room_fan-club-not-joined-007
2. 场景：SC-7ee1b7c585f95b</x:v>
      </x:c>
    </x:row>
    <x:row r="803" ht="68" customHeight="1">
      <x:c r="A803" s="4" t="n">
        <x:v>802</x:v>
      </x:c>
      <x:c r="B803" s="4" t="str">
        <x:v>USER-0802</x:v>
      </x:c>
      <x:c r="C803" s="4" t="str">
        <x:v>M06 开播、房型、观看、连麦与房内管理</x:v>
      </x:c>
      <x:c r="D803" s="4" t="str">
        <x:v>粉丝团-未加入（用户视角）</x:v>
      </x:c>
      <x:c r="E803" s="4" t="str">
        <x:v>异常用例</x:v>
      </x:c>
      <x:c r="F803" s="4" t="str">
        <x:v>P1</x:v>
      </x:c>
      <x:c r="G803" s="4" t="str">
        <x:v>验证加入粉丝团贡献99未达100门槛</x:v>
      </x:c>
      <x:c r="H803" s="4" t="str">
        <x:v>加入粉丝团贡献99未达100门槛</x:v>
      </x:c>
      <x:c r="I803" s="4" t="str">
        <x:v>1. 已登录用户账号
2. 贡献99未达100门槛
3. 其余加入条件均满足</x:v>
      </x:c>
      <x:c r="J803" s="4" t="str">
        <x:v>1. 进入「直播间-观众」页
2. 打开「粉丝团-未加入」视图
3. 点击加入</x:v>
      </x:c>
      <x:c r="K803" s="4" t="str">
        <x:v>未加入，提示“未满足进群条件”</x:v>
      </x:c>
      <x:c r="L803" s="4" t="str"/>
      <x:c r="M803" s="4" t="str">
        <x:v>未测</x:v>
      </x:c>
      <x:c r="N803" s="4" t="str"/>
      <x:c r="O803" s="4" t="str">
        <x:v>1. 来源：MainBasis/统一需求文档.md；U-views_live-room_fan-club-not-joined-004、U-views_live-room_fan-club-not-joined-007
2. 场景：SC-8584ea75543304</x:v>
      </x:c>
    </x:row>
    <x:row r="804" ht="68" customHeight="1">
      <x:c r="A804" s="4" t="n">
        <x:v>803</x:v>
      </x:c>
      <x:c r="B804" s="4" t="str">
        <x:v>USER-0803</x:v>
      </x:c>
      <x:c r="C804" s="4" t="str">
        <x:v>M06 开播、房型、观看、连麦与房内管理</x:v>
      </x:c>
      <x:c r="D804" s="4" t="str">
        <x:v>粉丝团-未加入（用户视角）</x:v>
      </x:c>
      <x:c r="E804" s="4" t="str">
        <x:v>异常用例</x:v>
      </x:c>
      <x:c r="F804" s="4" t="str">
        <x:v>P1</x:v>
      </x:c>
      <x:c r="G804" s="4" t="str">
        <x:v>验证加入粉丝团双方存在拉黑关系</x:v>
      </x:c>
      <x:c r="H804" s="4" t="str">
        <x:v>加入粉丝团双方存在拉黑关系</x:v>
      </x:c>
      <x:c r="I804" s="4" t="str">
        <x:v>1. 已登录用户账号
2. 双方存在拉黑关系
3. 其余加入条件均满足</x:v>
      </x:c>
      <x:c r="J804" s="4" t="str">
        <x:v>1. 进入「直播间-观众」页
2. 打开「粉丝团-未加入」视图
3. 点击加入</x:v>
      </x:c>
      <x:c r="K804" s="4" t="str">
        <x:v>未加入，提示“未满足进群条件”</x:v>
      </x:c>
      <x:c r="L804" s="4" t="str"/>
      <x:c r="M804" s="4" t="str">
        <x:v>未测</x:v>
      </x:c>
      <x:c r="N804" s="4" t="str"/>
      <x:c r="O804" s="4" t="str">
        <x:v>1. 来源：MainBasis/统一需求文档.md；U-views_live-room_fan-club-not-joined-004、U-views_live-room_fan-club-not-joined-007
2. 场景：SC-c93bd014a83c73</x:v>
      </x:c>
    </x:row>
    <x:row r="805" ht="68" customHeight="1">
      <x:c r="A805" s="4" t="n">
        <x:v>804</x:v>
      </x:c>
      <x:c r="B805" s="4" t="str">
        <x:v>USER-0804</x:v>
      </x:c>
      <x:c r="C805" s="4" t="str">
        <x:v>M06 开播、房型、观看、连麦与房内管理</x:v>
      </x:c>
      <x:c r="D805" s="4" t="str">
        <x:v>粉丝团-未加入（用户视角）</x:v>
      </x:c>
      <x:c r="E805" s="4" t="str">
        <x:v>功能需求</x:v>
      </x:c>
      <x:c r="F805" s="4" t="str">
        <x:v>P1</x:v>
      </x:c>
      <x:c r="G805" s="4" t="str">
        <x:v>验证贡献门槛100实际100</x:v>
      </x:c>
      <x:c r="H805" s="4" t="str">
        <x:v>贡献门槛100实际100</x:v>
      </x:c>
      <x:c r="I805" s="4" t="str">
        <x:v>1. 已登录用户账号
2. 当前已关注、无拉黑且团人数不足500
3. 累计有效贡献100，要求100</x:v>
      </x:c>
      <x:c r="J805" s="4" t="str">
        <x:v>1. 进入「直播间-观众」页
2. 打开「粉丝团-未加入」视图
3. 点击加入</x:v>
      </x:c>
      <x:c r="K805" s="4" t="str">
        <x:v>获得团籍和群籍</x:v>
      </x:c>
      <x:c r="L805" s="4" t="str">
        <x:v>FLOW-FD3B32C9</x:v>
      </x:c>
      <x:c r="M805" s="4" t="str">
        <x:v>未测</x:v>
      </x:c>
      <x:c r="N805" s="4" t="str"/>
      <x:c r="O805" s="4" t="str">
        <x:v>1. 来源：MainBasis/统一需求文档.md；U-views_live-room_fan-club-not-joined-004
2. 场景：SC-4991fffb52f683
3. 状态转换：ST-CFCAA1E75EDF</x:v>
      </x:c>
    </x:row>
    <x:row r="806" ht="68" customHeight="1">
      <x:c r="A806" s="4" t="n">
        <x:v>805</x:v>
      </x:c>
      <x:c r="B806" s="4" t="str">
        <x:v>USER-0805</x:v>
      </x:c>
      <x:c r="C806" s="4" t="str">
        <x:v>M06 开播、房型、观看、连麦与房内管理</x:v>
      </x:c>
      <x:c r="D806" s="4" t="str">
        <x:v>粉丝团-未加入（用户视角）</x:v>
      </x:c>
      <x:c r="E806" s="4" t="str">
        <x:v>功能需求</x:v>
      </x:c>
      <x:c r="F806" s="4" t="str">
        <x:v>P1</x:v>
      </x:c>
      <x:c r="G806" s="4" t="str">
        <x:v>验证贡献门槛100实际101</x:v>
      </x:c>
      <x:c r="H806" s="4" t="str">
        <x:v>贡献门槛100实际101</x:v>
      </x:c>
      <x:c r="I806" s="4" t="str">
        <x:v>1. 已登录用户账号
2. 当前已关注、无拉黑且团人数不足500
3. 累计有效贡献101，要求100</x:v>
      </x:c>
      <x:c r="J806" s="4" t="str">
        <x:v>1. 进入「直播间-观众」页
2. 打开「粉丝团-未加入」视图
3. 点击加入</x:v>
      </x:c>
      <x:c r="K806" s="4" t="str">
        <x:v>获得团籍和群籍</x:v>
      </x:c>
      <x:c r="L806" s="4" t="str">
        <x:v>FLOW-FD3B32C9</x:v>
      </x:c>
      <x:c r="M806" s="4" t="str">
        <x:v>未测</x:v>
      </x:c>
      <x:c r="N806" s="4" t="str"/>
      <x:c r="O806" s="4" t="str">
        <x:v>1. 来源：MainBasis/统一需求文档.md；U-views_live-room_fan-club-not-joined-004
2. 场景：SC-6a84cc9c4a8d3f
3. 状态转换：ST-CFCAA1E75EDF</x:v>
      </x:c>
    </x:row>
    <x:row r="807" ht="68" customHeight="1">
      <x:c r="A807" s="4" t="n">
        <x:v>806</x:v>
      </x:c>
      <x:c r="B807" s="4" t="str">
        <x:v>USER-0806</x:v>
      </x:c>
      <x:c r="C807" s="4" t="str">
        <x:v>M06 开播、房型、观看、连麦与房内管理</x:v>
      </x:c>
      <x:c r="D807" s="4" t="str">
        <x:v>粉丝团-未加入（用户视角）</x:v>
      </x:c>
      <x:c r="E807" s="4" t="str">
        <x:v>异常用例</x:v>
      </x:c>
      <x:c r="F807" s="4" t="str">
        <x:v>P1</x:v>
      </x:c>
      <x:c r="G807" s="4" t="str">
        <x:v>验证入团请求失败</x:v>
      </x:c>
      <x:c r="H807" s="4" t="str">
        <x:v>入团请求失败</x:v>
      </x:c>
      <x:c r="I807" s="4" t="str">
        <x:v>1. 已登录用户账号
2. 用户满足条件但本次加入请求失败</x:v>
      </x:c>
      <x:c r="J807" s="4" t="str">
        <x:v>1. 进入「直播间-观众」页
2. 打开「粉丝团-未加入」视图
3. 点击加入</x:v>
      </x:c>
      <x:c r="K807" s="4" t="str">
        <x:v>不加入并提示“未满足进群条件”</x:v>
      </x:c>
      <x:c r="L807" s="4" t="str"/>
      <x:c r="M807" s="4" t="str">
        <x:v>未测</x:v>
      </x:c>
      <x:c r="N807" s="4" t="str"/>
      <x:c r="O807" s="4" t="str">
        <x:v>1. 来源：MainBasis/统一需求文档.md；U-views_live-room_fan-club-not-joined-007
2. 场景：SC-8ad47e7c96d762</x:v>
      </x:c>
    </x:row>
    <x:row r="808" ht="68" customHeight="1">
      <x:c r="A808" s="4" t="n">
        <x:v>807</x:v>
      </x:c>
      <x:c r="B808" s="4" t="str">
        <x:v>USER-0807</x:v>
      </x:c>
      <x:c r="C808" s="4" t="str">
        <x:v>M06 开播、房型、观看、连麦与房内管理</x:v>
      </x:c>
      <x:c r="D808" s="4" t="str">
        <x:v>粉丝团-未加入（用户视角）</x:v>
      </x:c>
      <x:c r="E808" s="4" t="str">
        <x:v>功能需求</x:v>
      </x:c>
      <x:c r="F808" s="4" t="str">
        <x:v>P1</x:v>
      </x:c>
      <x:c r="G808" s="4" t="str">
        <x:v>验证入团后开放群入口</x:v>
      </x:c>
      <x:c r="H808" s="4" t="str">
        <x:v>入团后开放群入口</x:v>
      </x:c>
      <x:c r="I808" s="4" t="str">
        <x:v>1. 已登录用户账号
2. 用户满足全部条件且团未满500人</x:v>
      </x:c>
      <x:c r="J808" s="4" t="str">
        <x:v>1. 进入「直播间-观众」页
2. 打开「粉丝团-未加入」视图
3. 点击加入</x:v>
      </x:c>
      <x:c r="K808" s="4" t="str">
        <x:v>切换已加入视图并显示粉丝群入口</x:v>
      </x:c>
      <x:c r="L808" s="4" t="str"/>
      <x:c r="M808" s="4" t="str">
        <x:v>未测</x:v>
      </x:c>
      <x:c r="N808" s="4" t="str"/>
      <x:c r="O808" s="4" t="str">
        <x:v>1. 来源：MainBasis/统一需求文档.md；U-views_live-room_fan-club-not-joined-008、U-views_live-room_fan-club-not-joined-006
2. 场景：SC-9806cab851c7a4</x:v>
      </x:c>
    </x:row>
    <x:row r="809" ht="68" customHeight="1">
      <x:c r="A809" s="4" t="n">
        <x:v>808</x:v>
      </x:c>
      <x:c r="B809" s="4" t="str">
        <x:v>USER-0808</x:v>
      </x:c>
      <x:c r="C809" s="4" t="str">
        <x:v>M06 开播、房型、观看、连麦与房内管理</x:v>
      </x:c>
      <x:c r="D809" s="4" t="str">
        <x:v>粉丝团-未加入（用户视角）</x:v>
      </x:c>
      <x:c r="E809" s="4" t="str">
        <x:v>功能需求</x:v>
      </x:c>
      <x:c r="F809" s="4" t="str">
        <x:v>P1</x:v>
      </x:c>
      <x:c r="G809" s="4" t="str">
        <x:v>验证未入团条件回显</x:v>
      </x:c>
      <x:c r="H809" s="4" t="str">
        <x:v>未入团条件回显</x:v>
      </x:c>
      <x:c r="I809" s="4" t="str">
        <x:v>1. 已登录用户账号
2. 主播设置已关注且贡献100</x:v>
      </x:c>
      <x:c r="J809" s="4" t="str">
        <x:v>1. 进入「直播间-观众」页
2. 打开「粉丝团-未加入」视图
3. 查看未入团条件回显</x:v>
      </x:c>
      <x:c r="K809" s="4" t="str">
        <x:v>页面显示这两项加入条件</x:v>
      </x:c>
      <x:c r="L809" s="4" t="str"/>
      <x:c r="M809" s="4" t="str">
        <x:v>未测</x:v>
      </x:c>
      <x:c r="N809" s="4" t="str"/>
      <x:c r="O809" s="4" t="str">
        <x:v>1. 来源：MainBasis/统一需求文档.md；U-views_live-room_fan-club-not-joined-002
2. 场景：SC-3b6e56e1d0b814</x:v>
      </x:c>
    </x:row>
    <x:row r="810" ht="68" customHeight="1">
      <x:c r="A810" s="4" t="n">
        <x:v>809</x:v>
      </x:c>
      <x:c r="B810" s="4" t="str">
        <x:v>USER-0809</x:v>
      </x:c>
      <x:c r="C810" s="4" t="str">
        <x:v>M06 开播、房型、观看、连麦与房内管理</x:v>
      </x:c>
      <x:c r="D810" s="4" t="str">
        <x:v>粉丝团-已加入（用户视角）</x:v>
      </x:c>
      <x:c r="E810" s="4" t="str">
        <x:v>功能需求</x:v>
      </x:c>
      <x:c r="F810" s="4" t="str">
        <x:v>P2</x:v>
      </x:c>
      <x:c r="G810" s="4" t="str">
        <x:v>验证粉丝等级回显</x:v>
      </x:c>
      <x:c r="H810" s="4" t="str">
        <x:v>粉丝等级回显</x:v>
      </x:c>
      <x:c r="I810" s="4" t="str">
        <x:v>1. 已登录用户账号
2. 所选对象存在，已记录该对象的粉丝等级值</x:v>
      </x:c>
      <x:c r="J810" s="4" t="str">
        <x:v>1. 进入「直播间-观众」页
2. 打开「粉丝团-已加入」视图
3. 查看粉丝等级回显</x:v>
      </x:c>
      <x:c r="K810" s="4" t="str">
        <x:v>「粉丝等级」内容与所选对象的该项资料一致</x:v>
      </x:c>
      <x:c r="L810" s="4" t="str"/>
      <x:c r="M810" s="4" t="str">
        <x:v>未测</x:v>
      </x:c>
      <x:c r="N810" s="4" t="str"/>
      <x:c r="O810" s="4" t="str">
        <x:v>1. 来源：MainBasis/统一需求文档.md；U-views_live-room_fan-club-joined-001
2. 场景：SC-4aa2a4a8624eb1</x:v>
      </x:c>
    </x:row>
    <x:row r="811" ht="68" customHeight="1">
      <x:c r="A811" s="4" t="n">
        <x:v>810</x:v>
      </x:c>
      <x:c r="B811" s="4" t="str">
        <x:v>USER-0810</x:v>
      </x:c>
      <x:c r="C811" s="4" t="str">
        <x:v>M06 开播、房型、观看、连麦与房内管理</x:v>
      </x:c>
      <x:c r="D811" s="4" t="str">
        <x:v>粉丝团-已加入（用户视角）</x:v>
      </x:c>
      <x:c r="E811" s="4" t="str">
        <x:v>功能需求</x:v>
      </x:c>
      <x:c r="F811" s="4" t="str">
        <x:v>P2</x:v>
      </x:c>
      <x:c r="G811" s="4" t="str">
        <x:v>验证亲密度回显</x:v>
      </x:c>
      <x:c r="H811" s="4" t="str">
        <x:v>亲密度回显</x:v>
      </x:c>
      <x:c r="I811" s="4" t="str">
        <x:v>1. 已登录用户账号
2. 所选对象存在，已记录该对象的亲密度值</x:v>
      </x:c>
      <x:c r="J811" s="4" t="str">
        <x:v>1. 进入「直播间-观众」页
2. 打开「粉丝团-已加入」视图
3. 查看亲密度回显</x:v>
      </x:c>
      <x:c r="K811" s="4" t="str">
        <x:v>「亲密度」内容与所选对象的该项资料一致</x:v>
      </x:c>
      <x:c r="L811" s="4" t="str"/>
      <x:c r="M811" s="4" t="str">
        <x:v>未测</x:v>
      </x:c>
      <x:c r="N811" s="4" t="str"/>
      <x:c r="O811" s="4" t="str">
        <x:v>1. 来源：MainBasis/统一需求文档.md；U-views_live-room_fan-club-joined-002
2. 场景：SC-b3efd345505437</x:v>
      </x:c>
    </x:row>
    <x:row r="812" ht="68" customHeight="1">
      <x:c r="A812" s="4" t="n">
        <x:v>811</x:v>
      </x:c>
      <x:c r="B812" s="4" t="str">
        <x:v>USER-0811</x:v>
      </x:c>
      <x:c r="C812" s="4" t="str">
        <x:v>M06 开播、房型、观看、连麦与房内管理</x:v>
      </x:c>
      <x:c r="D812" s="4" t="str">
        <x:v>粉丝团-已加入（用户视角）</x:v>
      </x:c>
      <x:c r="E812" s="4" t="str">
        <x:v>功能需求</x:v>
      </x:c>
      <x:c r="F812" s="4" t="str">
        <x:v>P2</x:v>
      </x:c>
      <x:c r="G812" s="4" t="str">
        <x:v>验证团籍状态回显</x:v>
      </x:c>
      <x:c r="H812" s="4" t="str">
        <x:v>团籍状态回显</x:v>
      </x:c>
      <x:c r="I812" s="4" t="str">
        <x:v>1. 已登录用户账号
2. 所选对象存在，已记录该对象的团籍状态值</x:v>
      </x:c>
      <x:c r="J812" s="4" t="str">
        <x:v>1. 进入「直播间-观众」页
2. 打开「粉丝团-已加入」视图
3. 查看团籍状态回显</x:v>
      </x:c>
      <x:c r="K812" s="4" t="str">
        <x:v>「团籍状态」内容与所选对象的该项资料一致</x:v>
      </x:c>
      <x:c r="L812" s="4" t="str"/>
      <x:c r="M812" s="4" t="str">
        <x:v>未测</x:v>
      </x:c>
      <x:c r="N812" s="4" t="str"/>
      <x:c r="O812" s="4" t="str">
        <x:v>1. 来源：MainBasis/统一需求文档.md；U-views_live-room_fan-club-joined-003
2. 场景：SC-00dfdd9ce7cf09</x:v>
      </x:c>
    </x:row>
    <x:row r="813" ht="68" customHeight="1">
      <x:c r="A813" s="4" t="n">
        <x:v>812</x:v>
      </x:c>
      <x:c r="B813" s="4" t="str">
        <x:v>USER-0812</x:v>
      </x:c>
      <x:c r="C813" s="4" t="str">
        <x:v>M06 开播、房型、观看、连麦与房内管理</x:v>
      </x:c>
      <x:c r="D813" s="4" t="str">
        <x:v>粉丝团-已加入（用户视角）</x:v>
      </x:c>
      <x:c r="E813" s="4" t="str">
        <x:v>功能需求</x:v>
      </x:c>
      <x:c r="F813" s="4" t="str">
        <x:v>P1</x:v>
      </x:c>
      <x:c r="G813" s="4" t="str">
        <x:v>验证重新入团不恢复历史等级</x:v>
      </x:c>
      <x:c r="H813" s="4" t="str">
        <x:v>重新入团不恢复历史等级</x:v>
      </x:c>
      <x:c r="I813" s="4" t="str">
        <x:v>1. 已登录用户账号
2. 退出前粉丝等级3级、亲密度100，现重新入团</x:v>
      </x:c>
      <x:c r="J813" s="4" t="str">
        <x:v>1. 进入「直播间-观众」页
2. 打开「粉丝团-已加入」视图
3. 查看重新入团不恢复历史等级</x:v>
      </x:c>
      <x:c r="K813" s="4" t="str">
        <x:v>粉丝等级与亲密度从0开始，不恢复退出前数值</x:v>
      </x:c>
      <x:c r="L813" s="4" t="str"/>
      <x:c r="M813" s="4" t="str">
        <x:v>未测</x:v>
      </x:c>
      <x:c r="N813" s="4" t="str"/>
      <x:c r="O813" s="4" t="str">
        <x:v>1. 来源：MainBasis/统一需求文档.md；U-views_live-room_fan-club-joined-006
2. 场景：SC-2f369e8db2bc0c</x:v>
      </x:c>
    </x:row>
    <x:row r="814" ht="68" customHeight="1">
      <x:c r="A814" s="4" t="n">
        <x:v>813</x:v>
      </x:c>
      <x:c r="B814" s="4" t="str">
        <x:v>USER-0813</x:v>
      </x:c>
      <x:c r="C814" s="4" t="str">
        <x:v>M06 开播、房型、观看、连麦与房内管理</x:v>
      </x:c>
      <x:c r="D814" s="4" t="str">
        <x:v>粉丝团-已加入（用户视角）</x:v>
      </x:c>
      <x:c r="E814" s="4" t="str">
        <x:v>功能需求</x:v>
      </x:c>
      <x:c r="F814" s="4" t="str">
        <x:v>P2</x:v>
      </x:c>
      <x:c r="G814" s="4" t="str">
        <x:v>验证查看贡献入口</x:v>
      </x:c>
      <x:c r="H814" s="4" t="str">
        <x:v>查看贡献入口</x:v>
      </x:c>
      <x:c r="I814" s="4" t="str">
        <x:v>1. 已登录用户账号</x:v>
      </x:c>
      <x:c r="J814" s="4" t="str">
        <x:v>1. 进入「直播间-观众」页
2. 打开「粉丝团-已加入」视图
3. 点击「查看贡献」</x:v>
      </x:c>
      <x:c r="K814" s="4" t="str">
        <x:v>页面进入「当前主播贡献榜」</x:v>
      </x:c>
      <x:c r="L814" s="4" t="str"/>
      <x:c r="M814" s="4" t="str">
        <x:v>未测</x:v>
      </x:c>
      <x:c r="N814" s="4" t="str"/>
      <x:c r="O814" s="4" t="str">
        <x:v>1. 来源：MainBasis/统一需求文档.md；U-views_live-room_fan-club-joined-007
2. 场景：SC-ba79d4ff81c618</x:v>
      </x:c>
    </x:row>
    <x:row r="815" ht="68" customHeight="1">
      <x:c r="A815" s="4" t="n">
        <x:v>814</x:v>
      </x:c>
      <x:c r="B815" s="4" t="str">
        <x:v>USER-0814</x:v>
      </x:c>
      <x:c r="C815" s="4" t="str">
        <x:v>M06 开播、房型、观看、连麦与房内管理</x:v>
      </x:c>
      <x:c r="D815" s="4" t="str">
        <x:v>粉丝团-已加入（用户视角）</x:v>
      </x:c>
      <x:c r="E815" s="4" t="str">
        <x:v>功能需求</x:v>
      </x:c>
      <x:c r="F815" s="4" t="str">
        <x:v>P1</x:v>
      </x:c>
      <x:c r="G815" s="4" t="str">
        <x:v>验证有效团籍身份入口</x:v>
      </x:c>
      <x:c r="H815" s="4" t="str">
        <x:v>有效团籍身份入口</x:v>
      </x:c>
      <x:c r="I815" s="4" t="str">
        <x:v>1. 已登录用户账号
2. 当前在本团有效粉丝等级2，有对应灯牌</x:v>
      </x:c>
      <x:c r="J815" s="4" t="str">
        <x:v>1. 进入「直播间-观众」页
2. 打开「粉丝团-已加入」视图
3. 查看有效团籍身份入口</x:v>
      </x:c>
      <x:c r="K815" s="4" t="str">
        <x:v>展示等级2与灯牌并可进入该粉丝群</x:v>
      </x:c>
      <x:c r="L815" s="4" t="str"/>
      <x:c r="M815" s="4" t="str">
        <x:v>未测</x:v>
      </x:c>
      <x:c r="N815" s="4" t="str"/>
      <x:c r="O815" s="4" t="str">
        <x:v>1. 来源：MainBasis/统一需求文档.md；U-views_live-room_fan-club-joined-004
2. 场景：SC-3eceaed1893c69</x:v>
      </x:c>
    </x:row>
    <x:row r="816" ht="68" customHeight="1">
      <x:c r="A816" s="4" t="n">
        <x:v>815</x:v>
      </x:c>
      <x:c r="B816" s="4" t="str">
        <x:v>USER-0815</x:v>
      </x:c>
      <x:c r="C816" s="4" t="str">
        <x:v>M06 开播、房型、观看、连麦与房内管理</x:v>
      </x:c>
      <x:c r="D816" s="4" t="str">
        <x:v>被禁言（用户视角）</x:v>
      </x:c>
      <x:c r="E816" s="4" t="str">
        <x:v>功能需求</x:v>
      </x:c>
      <x:c r="F816" s="4" t="str">
        <x:v>P1</x:v>
      </x:c>
      <x:c r="G816" s="4" t="str">
        <x:v>验证本场禁言不影响观看</x:v>
      </x:c>
      <x:c r="H816" s="4" t="str">
        <x:v>本场禁言不影响观看</x:v>
      </x:c>
      <x:c r="I816" s="4" t="str">
        <x:v>1. 已登录用户账号
2. 当前场次被禁言，未被拉黑，余额充足且对方为好友</x:v>
      </x:c>
      <x:c r="J816" s="4" t="str">
        <x:v>1. 进入「直播间-观众」页
2. 打开「被禁言」视图
3. 查看直播画面</x:v>
      </x:c>
      <x:c r="K816" s="4" t="str">
        <x:v>观看仍可完成</x:v>
      </x:c>
      <x:c r="L816" s="4" t="str"/>
      <x:c r="M816" s="4" t="str">
        <x:v>未测</x:v>
      </x:c>
      <x:c r="N816" s="4" t="str"/>
      <x:c r="O816" s="4" t="str">
        <x:v>1. 来源：MainBasis/统一需求文档.md；U-views_live-room_comment-muted-001、U-views_live-room_profile-moderator-mute-001
2. 场景：SC-1633ac9e2e755f</x:v>
      </x:c>
    </x:row>
    <x:row r="817" ht="68" customHeight="1">
      <x:c r="A817" s="4" t="n">
        <x:v>816</x:v>
      </x:c>
      <x:c r="B817" s="4" t="str">
        <x:v>USER-0816</x:v>
      </x:c>
      <x:c r="C817" s="4" t="str">
        <x:v>M06 开播、房型、观看、连麦与房内管理</x:v>
      </x:c>
      <x:c r="D817" s="4" t="str">
        <x:v>被禁言（用户视角）</x:v>
      </x:c>
      <x:c r="E817" s="4" t="str">
        <x:v>功能需求</x:v>
      </x:c>
      <x:c r="F817" s="4" t="str">
        <x:v>P1</x:v>
      </x:c>
      <x:c r="G817" s="4" t="str">
        <x:v>验证本场禁言不影响送礼</x:v>
      </x:c>
      <x:c r="H817" s="4" t="str">
        <x:v>本场禁言不影响送礼</x:v>
      </x:c>
      <x:c r="I817" s="4" t="str">
        <x:v>1. 已登录用户账号
2. 当前场次被禁言，未被拉黑，余额充足且对方为好友</x:v>
      </x:c>
      <x:c r="J817" s="4" t="str">
        <x:v>1. 进入「直播间-观众」页
2. 打开「被禁言」视图
3. 选择一件普通礼物并赠送</x:v>
      </x:c>
      <x:c r="K817" s="4" t="str">
        <x:v>送礼仍可完成</x:v>
      </x:c>
      <x:c r="L817" s="4" t="str"/>
      <x:c r="M817" s="4" t="str">
        <x:v>未测</x:v>
      </x:c>
      <x:c r="N817" s="4" t="str"/>
      <x:c r="O817" s="4" t="str">
        <x:v>1. 来源：MainBasis/统一需求文档.md；U-views_live-room_comment-muted-001、U-views_live-room_profile-moderator-mute-001
2. 场景：SC-1c9ad25992fad0</x:v>
      </x:c>
    </x:row>
    <x:row r="818" ht="68" customHeight="1">
      <x:c r="A818" s="4" t="n">
        <x:v>817</x:v>
      </x:c>
      <x:c r="B818" s="4" t="str">
        <x:v>USER-0817</x:v>
      </x:c>
      <x:c r="C818" s="4" t="str">
        <x:v>M06 开播、房型、观看、连麦与房内管理</x:v>
      </x:c>
      <x:c r="D818" s="4" t="str">
        <x:v>被禁言（用户视角）</x:v>
      </x:c>
      <x:c r="E818" s="4" t="str">
        <x:v>功能需求</x:v>
      </x:c>
      <x:c r="F818" s="4" t="str">
        <x:v>P1</x:v>
      </x:c>
      <x:c r="G818" s="4" t="str">
        <x:v>验证本场禁言不影响私信</x:v>
      </x:c>
      <x:c r="H818" s="4" t="str">
        <x:v>本场禁言不影响私信</x:v>
      </x:c>
      <x:c r="I818" s="4" t="str">
        <x:v>1. 已登录用户账号
2. 当前场次被禁言，未被拉黑，余额充足且对方为好友</x:v>
      </x:c>
      <x:c r="J818" s="4" t="str">
        <x:v>1. 进入「直播间-观众」页
2. 打开「被禁言」视图
3. 给好友发送一条私信</x:v>
      </x:c>
      <x:c r="K818" s="4" t="str">
        <x:v>私信仍可完成</x:v>
      </x:c>
      <x:c r="L818" s="4" t="str"/>
      <x:c r="M818" s="4" t="str">
        <x:v>未测</x:v>
      </x:c>
      <x:c r="N818" s="4" t="str"/>
      <x:c r="O818" s="4" t="str">
        <x:v>1. 来源：MainBasis/统一需求文档.md；U-views_live-room_comment-muted-001、U-views_live-room_profile-moderator-mute-001
2. 场景：SC-1d4d2332c895f2</x:v>
      </x:c>
    </x:row>
    <x:row r="819" ht="68" customHeight="1">
      <x:c r="A819" s="4" t="n">
        <x:v>818</x:v>
      </x:c>
      <x:c r="B819" s="4" t="str">
        <x:v>USER-0818</x:v>
      </x:c>
      <x:c r="C819" s="4" t="str">
        <x:v>M06 开播、房型、观看、连麦与房内管理</x:v>
      </x:c>
      <x:c r="D819" s="4" t="str">
        <x:v>被禁言（用户视角）</x:v>
      </x:c>
      <x:c r="E819" s="4" t="str">
        <x:v>异常用例</x:v>
      </x:c>
      <x:c r="F819" s="4" t="str">
        <x:v>P1</x:v>
      </x:c>
      <x:c r="G819" s="4" t="str">
        <x:v>验证被禁言不能写入公屏</x:v>
      </x:c>
      <x:c r="H819" s="4" t="str">
        <x:v>被禁言不能写入公屏</x:v>
      </x:c>
      <x:c r="I819" s="4" t="str">
        <x:v>1. 已登录用户账号
2. 当前处于本场禁言状态</x:v>
      </x:c>
      <x:c r="J819" s="4" t="str">
        <x:v>1. 进入「直播间-观众」页
2. 打开「被禁言」视图
3. 尝试提交评论</x:v>
      </x:c>
      <x:c r="K819" s="4" t="str">
        <x:v>不生成公屏消息</x:v>
      </x:c>
      <x:c r="L819" s="4" t="str"/>
      <x:c r="M819" s="4" t="str">
        <x:v>未测</x:v>
      </x:c>
      <x:c r="N819" s="4" t="str"/>
      <x:c r="O819" s="4" t="str">
        <x:v>1. 来源：MainBasis/统一需求文档.md；U-views_live-room_comment-muted-004
2. 场景：SC-5251f87ea1265f</x:v>
      </x:c>
    </x:row>
    <x:row r="820" ht="82" customHeight="1">
      <x:c r="A820" s="4" t="n">
        <x:v>819</x:v>
      </x:c>
      <x:c r="B820" s="4" t="str">
        <x:v>USER-0819</x:v>
      </x:c>
      <x:c r="C820" s="4" t="str">
        <x:v>M06 开播、房型、观看、连麦与房内管理</x:v>
      </x:c>
      <x:c r="D820" s="4" t="str">
        <x:v>密码房-访问受限（用户视角）</x:v>
      </x:c>
      <x:c r="E820" s="4" t="str">
        <x:v>异常用例</x:v>
      </x:c>
      <x:c r="F820" s="4" t="str">
        <x:v>P1</x:v>
      </x:c>
      <x:c r="G820" s="4" t="str">
        <x:v>验证观众密码空值</x:v>
      </x:c>
      <x:c r="H820" s="4" t="str">
        <x:v>观众密码空值</x:v>
      </x:c>
      <x:c r="I820" s="4" t="str">
        <x:v>1. 已登录用户账号
2. 账号准入条件满足</x:v>
      </x:c>
      <x:c r="J820" s="4" t="str">
        <x:v>1. 进入「直播间-观众」页
2. 打开「密码房-访问受限」视图
3. 填写密码「」
4. 确认</x:v>
      </x:c>
      <x:c r="K820" s="4" t="str">
        <x:v>保留输入并提示“密码必须是4-12个数字”</x:v>
      </x:c>
      <x:c r="L820" s="4" t="str"/>
      <x:c r="M820" s="4" t="str">
        <x:v>未测</x:v>
      </x:c>
      <x:c r="N820" s="4" t="str"/>
      <x:c r="O820" s="4" t="str">
        <x:v>1. 来源：MainBasis/统一需求文档.md；U-views_live-room_password-room-restricted-003、U-views_live-room_password-room-restricted-001、U-live-plaza-013、D-SYS-077
2. 场景：SC-b8f5b57c7449e4</x:v>
      </x:c>
    </x:row>
    <x:row r="821" ht="82" customHeight="1">
      <x:c r="A821" s="4" t="n">
        <x:v>820</x:v>
      </x:c>
      <x:c r="B821" s="4" t="str">
        <x:v>USER-0820</x:v>
      </x:c>
      <x:c r="C821" s="4" t="str">
        <x:v>M06 开播、房型、观看、连麦与房内管理</x:v>
      </x:c>
      <x:c r="D821" s="4" t="str">
        <x:v>密码房-访问受限（用户视角）</x:v>
      </x:c>
      <x:c r="E821" s="4" t="str">
        <x:v>异常用例</x:v>
      </x:c>
      <x:c r="F821" s="4" t="str">
        <x:v>P1</x:v>
      </x:c>
      <x:c r="G821" s="4" t="str">
        <x:v>验证观众密码123</x:v>
      </x:c>
      <x:c r="H821" s="4" t="str">
        <x:v>观众密码123</x:v>
      </x:c>
      <x:c r="I821" s="4" t="str">
        <x:v>1. 已登录用户账号
2. 账号准入条件满足</x:v>
      </x:c>
      <x:c r="J821" s="4" t="str">
        <x:v>1. 进入「直播间-观众」页
2. 打开「密码房-访问受限」视图
3. 填写密码「123」
4. 确认</x:v>
      </x:c>
      <x:c r="K821" s="4" t="str">
        <x:v>保留输入并提示“密码必须是4-12个数字”</x:v>
      </x:c>
      <x:c r="L821" s="4" t="str"/>
      <x:c r="M821" s="4" t="str">
        <x:v>未测</x:v>
      </x:c>
      <x:c r="N821" s="4" t="str"/>
      <x:c r="O821" s="4" t="str">
        <x:v>1. 来源：MainBasis/统一需求文档.md；U-views_live-room_password-room-restricted-003、U-views_live-room_password-room-restricted-001、U-live-plaza-013、D-SYS-077
2. 场景：SC-9cd2b4aee8dc8a</x:v>
      </x:c>
    </x:row>
    <x:row r="822" ht="82" customHeight="1">
      <x:c r="A822" s="4" t="n">
        <x:v>821</x:v>
      </x:c>
      <x:c r="B822" s="4" t="str">
        <x:v>USER-0821</x:v>
      </x:c>
      <x:c r="C822" s="4" t="str">
        <x:v>M06 开播、房型、观看、连麦与房内管理</x:v>
      </x:c>
      <x:c r="D822" s="4" t="str">
        <x:v>密码房-访问受限（用户视角）</x:v>
      </x:c>
      <x:c r="E822" s="4" t="str">
        <x:v>业务流程</x:v>
      </x:c>
      <x:c r="F822" s="4" t="str">
        <x:v>P1</x:v>
      </x:c>
      <x:c r="G822" s="4" t="str">
        <x:v>验证观众密码1234</x:v>
      </x:c>
      <x:c r="H822" s="4" t="str">
        <x:v>观众密码1234</x:v>
      </x:c>
      <x:c r="I822" s="4" t="str">
        <x:v>1. 已登录用户账号
2. 账号准入条件满足
3. 本场密码为1234</x:v>
      </x:c>
      <x:c r="J822" s="4" t="str">
        <x:v>1. 进入「直播间-观众」页
2. 打开「密码房-访问受限」视图
3. 填写密码「1234」
4. 确认</x:v>
      </x:c>
      <x:c r="K822" s="4" t="str">
        <x:v>移除遮挡并进入直播间</x:v>
      </x:c>
      <x:c r="L822" s="4" t="str"/>
      <x:c r="M822" s="4" t="str">
        <x:v>未测</x:v>
      </x:c>
      <x:c r="N822" s="4" t="str"/>
      <x:c r="O822" s="4" t="str">
        <x:v>1. 来源：MainBasis/统一需求文档.md；U-views_live-room_password-room-restricted-003、U-views_live-room_password-room-restricted-001、U-live-plaza-013、D-SYS-077
2. 场景：SC-1a3cef495a2ee9</x:v>
      </x:c>
    </x:row>
    <x:row r="823" ht="82" customHeight="1">
      <x:c r="A823" s="4" t="n">
        <x:v>822</x:v>
      </x:c>
      <x:c r="B823" s="4" t="str">
        <x:v>USER-0822</x:v>
      </x:c>
      <x:c r="C823" s="4" t="str">
        <x:v>M06 开播、房型、观看、连麦与房内管理</x:v>
      </x:c>
      <x:c r="D823" s="4" t="str">
        <x:v>密码房-访问受限（用户视角）</x:v>
      </x:c>
      <x:c r="E823" s="4" t="str">
        <x:v>业务流程</x:v>
      </x:c>
      <x:c r="F823" s="4" t="str">
        <x:v>P1</x:v>
      </x:c>
      <x:c r="G823" s="4" t="str">
        <x:v>验证观众密码12345678901</x:v>
      </x:c>
      <x:c r="H823" s="4" t="str">
        <x:v>观众密码12345678901</x:v>
      </x:c>
      <x:c r="I823" s="4" t="str">
        <x:v>1. 已登录用户账号
2. 账号准入条件满足
3. 本场密码为12345678901</x:v>
      </x:c>
      <x:c r="J823" s="4" t="str">
        <x:v>1. 进入「直播间-观众」页
2. 打开「密码房-访问受限」视图
3. 填写密码「12345678901」
4. 确认</x:v>
      </x:c>
      <x:c r="K823" s="4" t="str">
        <x:v>移除遮挡并进入直播间</x:v>
      </x:c>
      <x:c r="L823" s="4" t="str"/>
      <x:c r="M823" s="4" t="str">
        <x:v>未测</x:v>
      </x:c>
      <x:c r="N823" s="4" t="str"/>
      <x:c r="O823" s="4" t="str">
        <x:v>1. 来源：MainBasis/统一需求文档.md；U-views_live-room_password-room-restricted-003、U-views_live-room_password-room-restricted-001、U-live-plaza-013、D-SYS-077
2. 场景：SC-04b04abdd0d8dc</x:v>
      </x:c>
    </x:row>
    <x:row r="824" ht="82" customHeight="1">
      <x:c r="A824" s="4" t="n">
        <x:v>823</x:v>
      </x:c>
      <x:c r="B824" s="4" t="str">
        <x:v>USER-0823</x:v>
      </x:c>
      <x:c r="C824" s="4" t="str">
        <x:v>M06 开播、房型、观看、连麦与房内管理</x:v>
      </x:c>
      <x:c r="D824" s="4" t="str">
        <x:v>密码房-访问受限（用户视角）</x:v>
      </x:c>
      <x:c r="E824" s="4" t="str">
        <x:v>业务流程</x:v>
      </x:c>
      <x:c r="F824" s="4" t="str">
        <x:v>P1</x:v>
      </x:c>
      <x:c r="G824" s="4" t="str">
        <x:v>验证观众密码123456789012</x:v>
      </x:c>
      <x:c r="H824" s="4" t="str">
        <x:v>观众密码123456789012</x:v>
      </x:c>
      <x:c r="I824" s="4" t="str">
        <x:v>1. 已登录用户账号
2. 账号准入条件满足
3. 本场密码为123456789012</x:v>
      </x:c>
      <x:c r="J824" s="4" t="str">
        <x:v>1. 进入「直播间-观众」页
2. 打开「密码房-访问受限」视图
3. 填写密码「123456789012」
4. 确认</x:v>
      </x:c>
      <x:c r="K824" s="4" t="str">
        <x:v>移除遮挡并进入直播间</x:v>
      </x:c>
      <x:c r="L824" s="4" t="str"/>
      <x:c r="M824" s="4" t="str">
        <x:v>未测</x:v>
      </x:c>
      <x:c r="N824" s="4" t="str"/>
      <x:c r="O824" s="4" t="str">
        <x:v>1. 来源：MainBasis/统一需求文档.md；U-views_live-room_password-room-restricted-003、U-views_live-room_password-room-restricted-001、U-live-plaza-013、D-SYS-077
2. 场景：SC-935bd953fb5e9f</x:v>
      </x:c>
    </x:row>
    <x:row r="825" ht="82" customHeight="1">
      <x:c r="A825" s="4" t="n">
        <x:v>824</x:v>
      </x:c>
      <x:c r="B825" s="4" t="str">
        <x:v>USER-0824</x:v>
      </x:c>
      <x:c r="C825" s="4" t="str">
        <x:v>M06 开播、房型、观看、连麦与房内管理</x:v>
      </x:c>
      <x:c r="D825" s="4" t="str">
        <x:v>密码房-访问受限（用户视角）</x:v>
      </x:c>
      <x:c r="E825" s="4" t="str">
        <x:v>异常用例</x:v>
      </x:c>
      <x:c r="F825" s="4" t="str">
        <x:v>P1</x:v>
      </x:c>
      <x:c r="G825" s="4" t="str">
        <x:v>验证观众密码1234567890123</x:v>
      </x:c>
      <x:c r="H825" s="4" t="str">
        <x:v>观众密码1234567890123</x:v>
      </x:c>
      <x:c r="I825" s="4" t="str">
        <x:v>1. 已登录用户账号
2. 账号准入条件满足</x:v>
      </x:c>
      <x:c r="J825" s="4" t="str">
        <x:v>1. 进入「直播间-观众」页
2. 打开「密码房-访问受限」视图
3. 填写密码「1234567890123」
4. 确认</x:v>
      </x:c>
      <x:c r="K825" s="4" t="str">
        <x:v>保留输入并提示“密码必须是4-12个数字”</x:v>
      </x:c>
      <x:c r="L825" s="4" t="str"/>
      <x:c r="M825" s="4" t="str">
        <x:v>未测</x:v>
      </x:c>
      <x:c r="N825" s="4" t="str"/>
      <x:c r="O825" s="4" t="str">
        <x:v>1. 来源：MainBasis/统一需求文档.md；U-views_live-room_password-room-restricted-003、U-views_live-room_password-room-restricted-001、U-live-plaza-013、D-SYS-077
2. 场景：SC-e3c2fa2a70cb6e</x:v>
      </x:c>
    </x:row>
    <x:row r="826" ht="82" customHeight="1">
      <x:c r="A826" s="4" t="n">
        <x:v>825</x:v>
      </x:c>
      <x:c r="B826" s="4" t="str">
        <x:v>USER-0825</x:v>
      </x:c>
      <x:c r="C826" s="4" t="str">
        <x:v>M06 开播、房型、观看、连麦与房内管理</x:v>
      </x:c>
      <x:c r="D826" s="4" t="str">
        <x:v>密码房-访问受限（用户视角）</x:v>
      </x:c>
      <x:c r="E826" s="4" t="str">
        <x:v>异常用例</x:v>
      </x:c>
      <x:c r="F826" s="4" t="str">
        <x:v>P1</x:v>
      </x:c>
      <x:c r="G826" s="4" t="str">
        <x:v>验证观众密码12a4</x:v>
      </x:c>
      <x:c r="H826" s="4" t="str">
        <x:v>观众密码12a4</x:v>
      </x:c>
      <x:c r="I826" s="4" t="str">
        <x:v>1. 已登录用户账号
2. 账号准入条件满足</x:v>
      </x:c>
      <x:c r="J826" s="4" t="str">
        <x:v>1. 进入「直播间-观众」页
2. 打开「密码房-访问受限」视图
3. 填写密码「12a4」
4. 确认</x:v>
      </x:c>
      <x:c r="K826" s="4" t="str">
        <x:v>保留输入并提示“密码必须是4-12个数字”</x:v>
      </x:c>
      <x:c r="L826" s="4" t="str"/>
      <x:c r="M826" s="4" t="str">
        <x:v>未测</x:v>
      </x:c>
      <x:c r="N826" s="4" t="str"/>
      <x:c r="O826" s="4" t="str">
        <x:v>1. 来源：MainBasis/统一需求文档.md；U-views_live-room_password-room-restricted-003、U-views_live-room_password-room-restricted-001、U-live-plaza-013、D-SYS-077
2. 场景：SC-0a81da489acf38</x:v>
      </x:c>
    </x:row>
    <x:row r="827" ht="82" customHeight="1">
      <x:c r="A827" s="4" t="n">
        <x:v>826</x:v>
      </x:c>
      <x:c r="B827" s="4" t="str">
        <x:v>USER-0826</x:v>
      </x:c>
      <x:c r="C827" s="4" t="str">
        <x:v>M06 开播、房型、观看、连麦与房内管理</x:v>
      </x:c>
      <x:c r="D827" s="4" t="str">
        <x:v>密码房-访问受限（用户视角）</x:v>
      </x:c>
      <x:c r="E827" s="4" t="str">
        <x:v>异常用例</x:v>
      </x:c>
      <x:c r="F827" s="4" t="str">
        <x:v>P1</x:v>
      </x:c>
      <x:c r="G827" s="4" t="str">
        <x:v>验证观众密码错误后重试</x:v>
      </x:c>
      <x:c r="H827" s="4" t="str">
        <x:v>观众密码错误后重试</x:v>
      </x:c>
      <x:c r="I827" s="4" t="str">
        <x:v>1. 已登录用户账号
2. 本场密码5678</x:v>
      </x:c>
      <x:c r="J827" s="4" t="str">
        <x:v>1. 进入「直播间-观众」页
2. 打开「密码房-访问受限」视图
3. 输入1234并确认</x:v>
      </x:c>
      <x:c r="K827" s="4" t="str">
        <x:v>保留输入并提示“密码错误，请重新输入”</x:v>
      </x:c>
      <x:c r="L827" s="4" t="str"/>
      <x:c r="M827" s="4" t="str">
        <x:v>未测</x:v>
      </x:c>
      <x:c r="N827" s="4" t="str"/>
      <x:c r="O827" s="4" t="str">
        <x:v>1. 来源：MainBasis/统一需求文档.md；U-views_live-room_password-room-restricted-003、U-views_live-room_password-room-restricted-001、U-live-plaza-013、D-SYS-077
2. 场景：SC-b322b6ba089b1f</x:v>
      </x:c>
    </x:row>
    <x:row r="828" ht="82" customHeight="1">
      <x:c r="A828" s="4" t="n">
        <x:v>827</x:v>
      </x:c>
      <x:c r="B828" s="4" t="str">
        <x:v>USER-0827</x:v>
      </x:c>
      <x:c r="C828" s="4" t="str">
        <x:v>M06 开播、房型、观看、连麦与房内管理</x:v>
      </x:c>
      <x:c r="D828" s="4" t="str">
        <x:v>密码房-访问受限（用户视角）</x:v>
      </x:c>
      <x:c r="E828" s="4" t="str">
        <x:v>功能需求</x:v>
      </x:c>
      <x:c r="F828" s="4" t="str">
        <x:v>P1</x:v>
      </x:c>
      <x:c r="G828" s="4" t="str">
        <x:v>验证观众纠正密码恢复</x:v>
      </x:c>
      <x:c r="H828" s="4" t="str">
        <x:v>观众纠正密码恢复</x:v>
      </x:c>
      <x:c r="I828" s="4" t="str">
        <x:v>1. 已登录用户账号
2. 之前输入1234校验失败，本场密码5678</x:v>
      </x:c>
      <x:c r="J828" s="4" t="str">
        <x:v>1. 进入「直播间-观众」页
2. 打开「密码房-访问受限」视图
3. 改为5678
4. 确认</x:v>
      </x:c>
      <x:c r="K828" s="4" t="str">
        <x:v>进入本场直播间</x:v>
      </x:c>
      <x:c r="L828" s="4" t="str"/>
      <x:c r="M828" s="4" t="str">
        <x:v>未测</x:v>
      </x:c>
      <x:c r="N828" s="4" t="str"/>
      <x:c r="O828" s="4" t="str">
        <x:v>1. 来源：MainBasis/统一需求文档.md；U-views_live-room_password-room-restricted-003、U-views_live-room_password-room-restricted-001、U-live-plaza-013、D-SYS-077
2. 场景：SC-ac032cbc372cdd</x:v>
      </x:c>
    </x:row>
    <x:row r="829" ht="82" customHeight="1">
      <x:c r="A829" s="4" t="n">
        <x:v>828</x:v>
      </x:c>
      <x:c r="B829" s="4" t="str">
        <x:v>USER-0828</x:v>
      </x:c>
      <x:c r="C829" s="4" t="str">
        <x:v>M06 开播、房型、观看、连麦与房内管理</x:v>
      </x:c>
      <x:c r="D829" s="4" t="str">
        <x:v>密码房-访问受限（用户视角）</x:v>
      </x:c>
      <x:c r="E829" s="4" t="str">
        <x:v>功能需求</x:v>
      </x:c>
      <x:c r="F829" s="4" t="str">
        <x:v>P2</x:v>
      </x:c>
      <x:c r="G829" s="4" t="str">
        <x:v>验证关闭入口</x:v>
      </x:c>
      <x:c r="H829" s="4" t="str">
        <x:v>关闭入口</x:v>
      </x:c>
      <x:c r="I829" s="4" t="str">
        <x:v>1. 已登录用户账号</x:v>
      </x:c>
      <x:c r="J829" s="4" t="str">
        <x:v>1. 进入「直播间-观众」页
2. 打开「密码房-访问受限」视图
3. 点击「关闭」</x:v>
      </x:c>
      <x:c r="K829" s="4" t="str">
        <x:v>页面进入「来源页」</x:v>
      </x:c>
      <x:c r="L829" s="4" t="str"/>
      <x:c r="M829" s="4" t="str">
        <x:v>未测</x:v>
      </x:c>
      <x:c r="N829" s="4" t="str"/>
      <x:c r="O829" s="4" t="str">
        <x:v>1. 来源：MainBasis/统一需求文档.md；U-views_live-room_password-room-restricted-003、U-views_live-room_password-room-restricted-001、U-live-plaza-013、D-SYS-077
2. 场景：SC-64983bc0a1cca1</x:v>
      </x:c>
    </x:row>
    <x:row r="830" ht="82" customHeight="1">
      <x:c r="A830" s="4" t="n">
        <x:v>829</x:v>
      </x:c>
      <x:c r="B830" s="4" t="str">
        <x:v>USER-0829</x:v>
      </x:c>
      <x:c r="C830" s="4" t="str">
        <x:v>M06 开播、房型、观看、连麦与房内管理</x:v>
      </x:c>
      <x:c r="D830" s="4" t="str">
        <x:v>门票房-访问受限（用户视角）</x:v>
      </x:c>
      <x:c r="E830" s="4" t="str">
        <x:v>功能需求</x:v>
      </x:c>
      <x:c r="F830" s="4" t="str">
        <x:v>P0</x:v>
      </x:c>
      <x:c r="G830" s="4" t="str">
        <x:v>验证门票50余额49</x:v>
      </x:c>
      <x:c r="H830" s="4" t="str">
        <x:v>门票50余额49</x:v>
      </x:c>
      <x:c r="I830" s="4" t="str">
        <x:v>1. 已登录用户账号
2. 当前本场票价50且没有门票
3. 真实金币余额49</x:v>
      </x:c>
      <x:c r="J830" s="4" t="str">
        <x:v>1. 进入「直播间-观众」页
2. 打开「门票房-访问受限」视图
3. 确认购买</x:v>
      </x:c>
      <x:c r="K830" s="4" t="str">
        <x:v>不扣款并打开充值入口</x:v>
      </x:c>
      <x:c r="L830" s="4" t="str">
        <x:v>FLOW-253CEACF</x:v>
      </x:c>
      <x:c r="M830" s="4" t="str">
        <x:v>未测</x:v>
      </x:c>
      <x:c r="N830" s="4" t="str"/>
      <x:c r="O830" s="4" t="str">
        <x:v>1. 来源：MainBasis/统一需求文档.md；U-views_live-room_ticket-room-restricted-006、D-SYS-131
2. 场景：SC-763be8443b372c
3. 状态转换：ST-4536576E9EE1</x:v>
      </x:c>
    </x:row>
    <x:row r="831" ht="82" customHeight="1">
      <x:c r="A831" s="4" t="n">
        <x:v>830</x:v>
      </x:c>
      <x:c r="B831" s="4" t="str">
        <x:v>USER-0830</x:v>
      </x:c>
      <x:c r="C831" s="4" t="str">
        <x:v>M06 开播、房型、观看、连麦与房内管理</x:v>
      </x:c>
      <x:c r="D831" s="4" t="str">
        <x:v>门票房-访问受限（用户视角）</x:v>
      </x:c>
      <x:c r="E831" s="4" t="str">
        <x:v>功能需求</x:v>
      </x:c>
      <x:c r="F831" s="4" t="str">
        <x:v>P0</x:v>
      </x:c>
      <x:c r="G831" s="4" t="str">
        <x:v>验证门票50余额50</x:v>
      </x:c>
      <x:c r="H831" s="4" t="str">
        <x:v>门票50余额50</x:v>
      </x:c>
      <x:c r="I831" s="4" t="str">
        <x:v>1. 已登录用户账号
2. 当前本场票价50且没有门票
3. 真实金币余额50</x:v>
      </x:c>
      <x:c r="J831" s="4" t="str">
        <x:v>1. 进入「直播间-观众」页
2. 打开「门票房-访问受限」视图
3. 确认购买</x:v>
      </x:c>
      <x:c r="K831" s="4" t="str">
        <x:v>购票成功后余额为0，直播遮挡移除</x:v>
      </x:c>
      <x:c r="L831" s="4" t="str">
        <x:v>FLOW-253CEACF</x:v>
      </x:c>
      <x:c r="M831" s="4" t="str">
        <x:v>未测</x:v>
      </x:c>
      <x:c r="N831" s="4" t="str"/>
      <x:c r="O831" s="4" t="str">
        <x:v>1. 来源：MainBasis/统一需求文档.md；U-views_live-room_ticket-room-restricted-006、D-SYS-131
2. 场景：SC-d75e4ea5f82fdb
3. 状态转换：ST-4536576E9EE1</x:v>
      </x:c>
    </x:row>
    <x:row r="832" ht="82" customHeight="1">
      <x:c r="A832" s="4" t="n">
        <x:v>831</x:v>
      </x:c>
      <x:c r="B832" s="4" t="str">
        <x:v>USER-0831</x:v>
      </x:c>
      <x:c r="C832" s="4" t="str">
        <x:v>M06 开播、房型、观看、连麦与房内管理</x:v>
      </x:c>
      <x:c r="D832" s="4" t="str">
        <x:v>门票房-访问受限（用户视角）</x:v>
      </x:c>
      <x:c r="E832" s="4" t="str">
        <x:v>功能需求</x:v>
      </x:c>
      <x:c r="F832" s="4" t="str">
        <x:v>P0</x:v>
      </x:c>
      <x:c r="G832" s="4" t="str">
        <x:v>验证门票50余额51</x:v>
      </x:c>
      <x:c r="H832" s="4" t="str">
        <x:v>门票50余额51</x:v>
      </x:c>
      <x:c r="I832" s="4" t="str">
        <x:v>1. 已登录用户账号
2. 当前本场票价50且没有门票
3. 真实金币余额51</x:v>
      </x:c>
      <x:c r="J832" s="4" t="str">
        <x:v>1. 进入「直播间-观众」页
2. 打开「门票房-访问受限」视图
3. 确认购买</x:v>
      </x:c>
      <x:c r="K832" s="4" t="str">
        <x:v>购票成功后余额为1，直播遮挡移除</x:v>
      </x:c>
      <x:c r="L832" s="4" t="str">
        <x:v>FLOW-253CEACF</x:v>
      </x:c>
      <x:c r="M832" s="4" t="str">
        <x:v>未测</x:v>
      </x:c>
      <x:c r="N832" s="4" t="str"/>
      <x:c r="O832" s="4" t="str">
        <x:v>1. 来源：MainBasis/统一需求文档.md；U-views_live-room_ticket-room-restricted-006、D-SYS-131
2. 场景：SC-a36cd56b150e41
3. 状态转换：ST-4536576E9EE1</x:v>
      </x:c>
    </x:row>
    <x:row r="833" ht="82" customHeight="1">
      <x:c r="A833" s="4" t="n">
        <x:v>832</x:v>
      </x:c>
      <x:c r="B833" s="4" t="str">
        <x:v>USER-0832</x:v>
      </x:c>
      <x:c r="C833" s="4" t="str">
        <x:v>M06 开播、房型、观看、连麦与房内管理</x:v>
      </x:c>
      <x:c r="D833" s="4" t="str">
        <x:v>门票房-访问受限（用户视角）</x:v>
      </x:c>
      <x:c r="E833" s="4" t="str">
        <x:v>功能需求</x:v>
      </x:c>
      <x:c r="F833" s="4" t="str">
        <x:v>P1</x:v>
      </x:c>
      <x:c r="G833" s="4" t="str">
        <x:v>验证同场重复入场不重复扣票</x:v>
      </x:c>
      <x:c r="H833" s="4" t="str">
        <x:v>同场重复入场不重复扣票</x:v>
      </x:c>
      <x:c r="I833" s="4" t="str">
        <x:v>1. 已登录用户账号
2. 已支付50购买本场门票，当前余额100，未被踢出</x:v>
      </x:c>
      <x:c r="J833" s="4" t="str">
        <x:v>1. 进入「直播间-观众」页
2. 打开「门票房-访问受限」视图
3. 退出直播间
4. 重新进入同一场次</x:v>
      </x:c>
      <x:c r="K833" s="4" t="str">
        <x:v>直接观看且金币余额仍为100</x:v>
      </x:c>
      <x:c r="L833" s="4" t="str">
        <x:v>FLOW-253CEACF</x:v>
      </x:c>
      <x:c r="M833" s="4" t="str">
        <x:v>未测</x:v>
      </x:c>
      <x:c r="N833" s="4" t="str"/>
      <x:c r="O833" s="4" t="str">
        <x:v>1. 来源：MainBasis/统一需求文档.md；U-views_live-room_ticket-room-restricted-003、U-live-room-009
2. 场景：SC-69512fd80089e5
3. 状态转换：ST-4536576E9EE1</x:v>
      </x:c>
    </x:row>
    <x:row r="834" ht="96" customHeight="1">
      <x:c r="A834" s="4" t="n">
        <x:v>833</x:v>
      </x:c>
      <x:c r="B834" s="4" t="str">
        <x:v>USER-0833</x:v>
      </x:c>
      <x:c r="C834" s="4" t="str">
        <x:v>M06 开播、房型、观看、连麦与房内管理</x:v>
      </x:c>
      <x:c r="D834" s="4" t="str">
        <x:v>门票房-访问受限（用户视角）</x:v>
      </x:c>
      <x:c r="E834" s="4" t="str">
        <x:v>功能需求</x:v>
      </x:c>
      <x:c r="F834" s="4" t="str">
        <x:v>P1</x:v>
      </x:c>
      <x:c r="G834" s="4" t="str">
        <x:v>验证场次结束票失效不退款</x:v>
      </x:c>
      <x:c r="H834" s="4" t="str">
        <x:v>场次结束票失效不退款</x:v>
      </x:c>
      <x:c r="I834" s="4" t="str">
        <x:v>1. 已登录用户账号
2. 此前成功购票50，购票后余额100
3. 场次结束</x:v>
      </x:c>
      <x:c r="J834" s="4" t="str">
        <x:v>1. 进入「直播间-观众」页
2. 打开「门票房-访问受限」视图
3. 查看场次结束票失效不退款</x:v>
      </x:c>
      <x:c r="K834" s="4" t="str">
        <x:v>该场门票失效且余额仍为100</x:v>
      </x:c>
      <x:c r="L834" s="4" t="str"/>
      <x:c r="M834" s="4" t="str">
        <x:v>未测</x:v>
      </x:c>
      <x:c r="N834" s="4" t="str"/>
      <x:c r="O834" s="4" t="str">
        <x:v>1. 来源：MainBasis/统一需求文档.md；U-views_live-room_ticket-room-restricted-004、U-views_live-room_profile-moderator-remove-001、U-live-plaza-012、U-order-expense-detail-009、D-SYS-076、D-SYS-100
2. 场景：SC-15c7a00c6b0b2e</x:v>
      </x:c>
    </x:row>
    <x:row r="835" ht="96" customHeight="1">
      <x:c r="A835" s="4" t="n">
        <x:v>834</x:v>
      </x:c>
      <x:c r="B835" s="4" t="str">
        <x:v>USER-0834</x:v>
      </x:c>
      <x:c r="C835" s="4" t="str">
        <x:v>M06 开播、房型、观看、连麦与房内管理</x:v>
      </x:c>
      <x:c r="D835" s="4" t="str">
        <x:v>门票房-访问受限（用户视角）</x:v>
      </x:c>
      <x:c r="E835" s="4" t="str">
        <x:v>功能需求</x:v>
      </x:c>
      <x:c r="F835" s="4" t="str">
        <x:v>P1</x:v>
      </x:c>
      <x:c r="G835" s="4" t="str">
        <x:v>验证本场被踢出票失效不退款</x:v>
      </x:c>
      <x:c r="H835" s="4" t="str">
        <x:v>本场被踢出票失效不退款</x:v>
      </x:c>
      <x:c r="I835" s="4" t="str">
        <x:v>1. 已登录用户账号
2. 此前成功购票50，购票后余额100
3. 本场被踢出</x:v>
      </x:c>
      <x:c r="J835" s="4" t="str">
        <x:v>1. 进入「直播间-观众」页
2. 打开「门票房-访问受限」视图
3. 查看本场被踢出票失效不退款</x:v>
      </x:c>
      <x:c r="K835" s="4" t="str">
        <x:v>该场门票失效且余额仍为100</x:v>
      </x:c>
      <x:c r="L835" s="4" t="str"/>
      <x:c r="M835" s="4" t="str">
        <x:v>未测</x:v>
      </x:c>
      <x:c r="N835" s="4" t="str"/>
      <x:c r="O835" s="4" t="str">
        <x:v>1. 来源：MainBasis/统一需求文档.md；U-views_live-room_ticket-room-restricted-004、U-views_live-room_profile-moderator-remove-001、U-live-plaza-012、U-order-expense-detail-009、D-SYS-076、D-SYS-100
2. 场景：SC-80f7bbdcb413dd</x:v>
      </x:c>
    </x:row>
    <x:row r="836" ht="68" customHeight="1">
      <x:c r="A836" s="4" t="n">
        <x:v>835</x:v>
      </x:c>
      <x:c r="B836" s="4" t="str">
        <x:v>USER-0835</x:v>
      </x:c>
      <x:c r="C836" s="4" t="str">
        <x:v>M06 开播、房型、观看、连麦与房内管理</x:v>
      </x:c>
      <x:c r="D836" s="4" t="str">
        <x:v>门票房-访问受限（用户视角）</x:v>
      </x:c>
      <x:c r="E836" s="4" t="str">
        <x:v>功能需求</x:v>
      </x:c>
      <x:c r="F836" s="4" t="str">
        <x:v>P2</x:v>
      </x:c>
      <x:c r="G836" s="4" t="str">
        <x:v>验证取消入口</x:v>
      </x:c>
      <x:c r="H836" s="4" t="str">
        <x:v>取消入口</x:v>
      </x:c>
      <x:c r="I836" s="4" t="str">
        <x:v>1. 已登录用户账号</x:v>
      </x:c>
      <x:c r="J836" s="4" t="str">
        <x:v>1. 进入「直播间-观众」页
2. 打开「门票房-访问受限」视图
3. 点击「取消」</x:v>
      </x:c>
      <x:c r="K836" s="4" t="str">
        <x:v>页面进入「来源页」</x:v>
      </x:c>
      <x:c r="L836" s="4" t="str"/>
      <x:c r="M836" s="4" t="str">
        <x:v>未测</x:v>
      </x:c>
      <x:c r="N836" s="4" t="str"/>
      <x:c r="O836" s="4" t="str">
        <x:v>1. 来源：MainBasis/统一需求文档.md；U-views_live-room_ticket-room-restricted-006、D-SYS-131
2. 场景：SC-51804228762d54</x:v>
      </x:c>
    </x:row>
    <x:row r="837" ht="68" customHeight="1">
      <x:c r="A837" s="4" t="n">
        <x:v>836</x:v>
      </x:c>
      <x:c r="B837" s="4" t="str">
        <x:v>USER-0836</x:v>
      </x:c>
      <x:c r="C837" s="4" t="str">
        <x:v>M06 开播、房型、观看、连麦与房内管理</x:v>
      </x:c>
      <x:c r="D837" s="4" t="str">
        <x:v>门票房-访问受限（用户视角）</x:v>
      </x:c>
      <x:c r="E837" s="4" t="str">
        <x:v>功能需求</x:v>
      </x:c>
      <x:c r="F837" s="4" t="str">
        <x:v>P1</x:v>
      </x:c>
      <x:c r="G837" s="4" t="str">
        <x:v>验证本场门票价格快照</x:v>
      </x:c>
      <x:c r="H837" s="4" t="str">
        <x:v>本场门票价格快照</x:v>
      </x:c>
      <x:c r="I837" s="4" t="str">
        <x:v>1. 已登录用户账号
2. 主播开播时选择50金币档位</x:v>
      </x:c>
      <x:c r="J837" s="4" t="str">
        <x:v>1. 进入「直播间-观众」页
2. 打开「门票房-访问受限」视图
3. 查看本场门票价格快照</x:v>
      </x:c>
      <x:c r="K837" s="4" t="str">
        <x:v>购票弹窗显示50金币</x:v>
      </x:c>
      <x:c r="L837" s="4" t="str"/>
      <x:c r="M837" s="4" t="str">
        <x:v>未测</x:v>
      </x:c>
      <x:c r="N837" s="4" t="str"/>
      <x:c r="O837" s="4" t="str">
        <x:v>1. 来源：MainBasis/统一需求文档.md；U-views_live-room_ticket-room-restricted-001
2. 场景：SC-6480d3902ba0b3</x:v>
      </x:c>
    </x:row>
    <x:row r="838" ht="68" customHeight="1">
      <x:c r="A838" s="4" t="n">
        <x:v>837</x:v>
      </x:c>
      <x:c r="B838" s="4" t="str">
        <x:v>USER-0837</x:v>
      </x:c>
      <x:c r="C838" s="4" t="str">
        <x:v>M06 开播、房型、观看、连麦与房内管理</x:v>
      </x:c>
      <x:c r="D838" s="4" t="str">
        <x:v>门票房-访问受限（用户视角）</x:v>
      </x:c>
      <x:c r="E838" s="4" t="str">
        <x:v>功能需求</x:v>
      </x:c>
      <x:c r="F838" s="4" t="str">
        <x:v>P1</x:v>
      </x:c>
      <x:c r="G838" s="4" t="str">
        <x:v>验证购票余额使用实时值</x:v>
      </x:c>
      <x:c r="H838" s="4" t="str">
        <x:v>购票余额使用实时值</x:v>
      </x:c>
      <x:c r="I838" s="4" t="str">
        <x:v>1. 已登录用户账号
2. 用户刚充值后真实余额从10变为100</x:v>
      </x:c>
      <x:c r="J838" s="4" t="str">
        <x:v>1. 进入「直播间-观众」页
2. 打开「门票房-访问受限」视图
3. 查看购票余额使用实时值</x:v>
      </x:c>
      <x:c r="K838" s="4" t="str">
        <x:v>购票视图余额显示100</x:v>
      </x:c>
      <x:c r="L838" s="4" t="str"/>
      <x:c r="M838" s="4" t="str">
        <x:v>未测</x:v>
      </x:c>
      <x:c r="N838" s="4" t="str"/>
      <x:c r="O838" s="4" t="str">
        <x:v>1. 来源：MainBasis/统一需求文档.md；U-views_live-room_ticket-room-restricted-002
2. 场景：SC-76cb4c9e0f1348</x:v>
      </x:c>
    </x:row>
    <x:row r="839" ht="68" customHeight="1">
      <x:c r="A839" s="4" t="n">
        <x:v>838</x:v>
      </x:c>
      <x:c r="B839" s="4" t="str">
        <x:v>USER-0838</x:v>
      </x:c>
      <x:c r="C839" s="4" t="str">
        <x:v>M06 开播、房型、观看、连麦与房内管理</x:v>
      </x:c>
      <x:c r="D839" s="4" t="str">
        <x:v>被拉黑或踢出-访问受限（用户视角）</x:v>
      </x:c>
      <x:c r="E839" s="4" t="str">
        <x:v>功能需求</x:v>
      </x:c>
      <x:c r="F839" s="4" t="str">
        <x:v>P1</x:v>
      </x:c>
      <x:c r="G839" s="4" t="str">
        <x:v>验证准入拦截返回来源页</x:v>
      </x:c>
      <x:c r="H839" s="4" t="str">
        <x:v>准入拦截返回来源页</x:v>
      </x:c>
      <x:c r="I839" s="4" t="str">
        <x:v>1. 已登录用户账号
2. 当前被本场踢出，从主播主页进入</x:v>
      </x:c>
      <x:c r="J839" s="4" t="str">
        <x:v>1. 进入「直播间-观众」页
2. 打开「被拉黑或踢出-访问受限」视图
3. 点击返回</x:v>
      </x:c>
      <x:c r="K839" s="4" t="str">
        <x:v>进入主播主页</x:v>
      </x:c>
      <x:c r="L839" s="4" t="str"/>
      <x:c r="M839" s="4" t="str">
        <x:v>未测</x:v>
      </x:c>
      <x:c r="N839" s="4" t="str"/>
      <x:c r="O839" s="4" t="str">
        <x:v>1. 来源：MainBasis/统一需求文档.md；U-views_live-room_blocked-room-restricted-003、U-live-room-014
2. 场景：SC-3cd25a19f2ef92</x:v>
      </x:c>
    </x:row>
    <x:row r="840" ht="68" customHeight="1">
      <x:c r="A840" s="4" t="n">
        <x:v>839</x:v>
      </x:c>
      <x:c r="B840" s="4" t="str">
        <x:v>USER-0839</x:v>
      </x:c>
      <x:c r="C840" s="4" t="str">
        <x:v>M06 开播、房型、观看、连麦与房内管理</x:v>
      </x:c>
      <x:c r="D840" s="4" t="str">
        <x:v>被拉黑或踢出-访问受限（用户视角）</x:v>
      </x:c>
      <x:c r="E840" s="4" t="str">
        <x:v>功能需求</x:v>
      </x:c>
      <x:c r="F840" s="4" t="str">
        <x:v>P1</x:v>
      </x:c>
      <x:c r="G840" s="4" t="str">
        <x:v>验证准入拦截返回首页</x:v>
      </x:c>
      <x:c r="H840" s="4" t="str">
        <x:v>准入拦截返回首页</x:v>
      </x:c>
      <x:c r="I840" s="4" t="str">
        <x:v>1. 已登录用户账号
2. 当前被本场踢出，没有来源页</x:v>
      </x:c>
      <x:c r="J840" s="4" t="str">
        <x:v>1. 进入「直播间-观众」页
2. 打开「被拉黑或踢出-访问受限」视图
3. 点击返回</x:v>
      </x:c>
      <x:c r="K840" s="4" t="str">
        <x:v>进入首页</x:v>
      </x:c>
      <x:c r="L840" s="4" t="str"/>
      <x:c r="M840" s="4" t="str">
        <x:v>未测</x:v>
      </x:c>
      <x:c r="N840" s="4" t="str"/>
      <x:c r="O840" s="4" t="str">
        <x:v>1. 来源：MainBasis/统一需求文档.md；U-views_live-room_blocked-room-restricted-003、U-live-room-014
2. 场景：SC-dc936052452dc0</x:v>
      </x:c>
    </x:row>
    <x:row r="841" ht="82" customHeight="1">
      <x:c r="A841" s="4" t="n">
        <x:v>840</x:v>
      </x:c>
      <x:c r="B841" s="4" t="str">
        <x:v>USER-0840</x:v>
      </x:c>
      <x:c r="C841" s="4" t="str">
        <x:v>M06 开播、房型、观看、连麦与房内管理</x:v>
      </x:c>
      <x:c r="D841" s="4" t="str">
        <x:v>巡房身份-正常进入（巡房人员视角）</x:v>
      </x:c>
      <x:c r="E841" s="4" t="str">
        <x:v>功能需求</x:v>
      </x:c>
      <x:c r="F841" s="4" t="str">
        <x:v>P1</x:v>
      </x:c>
      <x:c r="G841" s="4" t="str">
        <x:v>验证有效巡房绕过主播拉黑</x:v>
      </x:c>
      <x:c r="H841" s="4" t="str">
        <x:v>有效巡房绕过主播拉黑</x:v>
      </x:c>
      <x:c r="I841" s="4" t="str">
        <x:v>1. 已登录巡房人员账号
2. 账号未被平台封禁且有有效巡房任务
3. 目标场次存在主播拉黑限制</x:v>
      </x:c>
      <x:c r="J841" s="4" t="str">
        <x:v>1. 进入「直播间-观众」页
2. 打开「巡房身份-正常进入」视图
3. 从有效巡房任务进入目标场次</x:v>
      </x:c>
      <x:c r="K841" s="4" t="str">
        <x:v>直播内容可见且显示“巡房中”</x:v>
      </x:c>
      <x:c r="L841" s="4" t="str"/>
      <x:c r="M841" s="4" t="str">
        <x:v>未测</x:v>
      </x:c>
      <x:c r="N841" s="4" t="str"/>
      <x:c r="O841" s="4" t="str">
        <x:v>1. 来源：MainBasis/统一需求文档.md；U-views_live-room_patrol-room-allowed-002、U-live-room-007、U-blacklist-management-010、A-admin-inspection-schedule-006
2. 场景：SC-226411527353a9</x:v>
      </x:c>
    </x:row>
    <x:row r="842" ht="82" customHeight="1">
      <x:c r="A842" s="4" t="n">
        <x:v>841</x:v>
      </x:c>
      <x:c r="B842" s="4" t="str">
        <x:v>USER-0841</x:v>
      </x:c>
      <x:c r="C842" s="4" t="str">
        <x:v>M06 开播、房型、观看、连麦与房内管理</x:v>
      </x:c>
      <x:c r="D842" s="4" t="str">
        <x:v>巡房身份-正常进入（巡房人员视角）</x:v>
      </x:c>
      <x:c r="E842" s="4" t="str">
        <x:v>功能需求</x:v>
      </x:c>
      <x:c r="F842" s="4" t="str">
        <x:v>P1</x:v>
      </x:c>
      <x:c r="G842" s="4" t="str">
        <x:v>验证有效巡房绕过本场踢出</x:v>
      </x:c>
      <x:c r="H842" s="4" t="str">
        <x:v>有效巡房绕过本场踢出</x:v>
      </x:c>
      <x:c r="I842" s="4" t="str">
        <x:v>1. 已登录巡房人员账号
2. 账号未被平台封禁且有有效巡房任务
3. 目标场次存在本场踢出限制</x:v>
      </x:c>
      <x:c r="J842" s="4" t="str">
        <x:v>1. 进入「直播间-观众」页
2. 打开「巡房身份-正常进入」视图
3. 从有效巡房任务进入目标场次</x:v>
      </x:c>
      <x:c r="K842" s="4" t="str">
        <x:v>直播内容可见且显示“巡房中”</x:v>
      </x:c>
      <x:c r="L842" s="4" t="str"/>
      <x:c r="M842" s="4" t="str">
        <x:v>未测</x:v>
      </x:c>
      <x:c r="N842" s="4" t="str"/>
      <x:c r="O842" s="4" t="str">
        <x:v>1. 来源：MainBasis/统一需求文档.md；U-views_live-room_patrol-room-allowed-002、U-live-room-007、U-blacklist-management-010、A-admin-inspection-schedule-006
2. 场景：SC-f27da4accb800c</x:v>
      </x:c>
    </x:row>
    <x:row r="843" ht="82" customHeight="1">
      <x:c r="A843" s="4" t="n">
        <x:v>842</x:v>
      </x:c>
      <x:c r="B843" s="4" t="str">
        <x:v>USER-0842</x:v>
      </x:c>
      <x:c r="C843" s="4" t="str">
        <x:v>M06 开播、房型、观看、连麦与房内管理</x:v>
      </x:c>
      <x:c r="D843" s="4" t="str">
        <x:v>巡房身份-正常进入（巡房人员视角）</x:v>
      </x:c>
      <x:c r="E843" s="4" t="str">
        <x:v>功能需求</x:v>
      </x:c>
      <x:c r="F843" s="4" t="str">
        <x:v>P1</x:v>
      </x:c>
      <x:c r="G843" s="4" t="str">
        <x:v>验证有效巡房绕过房间密码</x:v>
      </x:c>
      <x:c r="H843" s="4" t="str">
        <x:v>有效巡房绕过房间密码</x:v>
      </x:c>
      <x:c r="I843" s="4" t="str">
        <x:v>1. 已登录巡房人员账号
2. 账号未被平台封禁且有有效巡房任务
3. 目标场次存在房间密码限制</x:v>
      </x:c>
      <x:c r="J843" s="4" t="str">
        <x:v>1. 进入「直播间-观众」页
2. 打开「巡房身份-正常进入」视图
3. 从有效巡房任务进入目标场次</x:v>
      </x:c>
      <x:c r="K843" s="4" t="str">
        <x:v>直播内容可见且显示“巡房中”</x:v>
      </x:c>
      <x:c r="L843" s="4" t="str"/>
      <x:c r="M843" s="4" t="str">
        <x:v>未测</x:v>
      </x:c>
      <x:c r="N843" s="4" t="str"/>
      <x:c r="O843" s="4" t="str">
        <x:v>1. 来源：MainBasis/统一需求文档.md；U-views_live-room_patrol-room-allowed-002、U-live-room-007、U-blacklist-management-010、A-admin-inspection-schedule-006
2. 场景：SC-38c8b7ca1b8aa3</x:v>
      </x:c>
    </x:row>
    <x:row r="844" ht="82" customHeight="1">
      <x:c r="A844" s="4" t="n">
        <x:v>843</x:v>
      </x:c>
      <x:c r="B844" s="4" t="str">
        <x:v>USER-0843</x:v>
      </x:c>
      <x:c r="C844" s="4" t="str">
        <x:v>M06 开播、房型、观看、连麦与房内管理</x:v>
      </x:c>
      <x:c r="D844" s="4" t="str">
        <x:v>巡房身份-正常进入（巡房人员视角）</x:v>
      </x:c>
      <x:c r="E844" s="4" t="str">
        <x:v>功能需求</x:v>
      </x:c>
      <x:c r="F844" s="4" t="str">
        <x:v>P1</x:v>
      </x:c>
      <x:c r="G844" s="4" t="str">
        <x:v>验证有效巡房绕过门票</x:v>
      </x:c>
      <x:c r="H844" s="4" t="str">
        <x:v>有效巡房绕过门票</x:v>
      </x:c>
      <x:c r="I844" s="4" t="str">
        <x:v>1. 已登录巡房人员账号
2. 账号未被平台封禁且有有效巡房任务
3. 目标场次存在门票限制</x:v>
      </x:c>
      <x:c r="J844" s="4" t="str">
        <x:v>1. 进入「直播间-观众」页
2. 打开「巡房身份-正常进入」视图
3. 从有效巡房任务进入目标场次</x:v>
      </x:c>
      <x:c r="K844" s="4" t="str">
        <x:v>直播内容可见且显示“巡房中”</x:v>
      </x:c>
      <x:c r="L844" s="4" t="str"/>
      <x:c r="M844" s="4" t="str">
        <x:v>未测</x:v>
      </x:c>
      <x:c r="N844" s="4" t="str"/>
      <x:c r="O844" s="4" t="str">
        <x:v>1. 来源：MainBasis/统一需求文档.md；U-views_live-room_patrol-room-allowed-002、U-live-room-007、U-blacklist-management-010、A-admin-inspection-schedule-006
2. 场景：SC-766f044a4f483f</x:v>
      </x:c>
    </x:row>
    <x:row r="845" ht="96" customHeight="1">
      <x:c r="A845" s="4" t="n">
        <x:v>844</x:v>
      </x:c>
      <x:c r="B845" s="4" t="str">
        <x:v>USER-0844</x:v>
      </x:c>
      <x:c r="C845" s="4" t="str">
        <x:v>M06 开播、房型、观看、连麦与房内管理</x:v>
      </x:c>
      <x:c r="D845" s="4" t="str">
        <x:v>巡房身份-正常进入（巡房人员视角）</x:v>
      </x:c>
      <x:c r="E845" s="4" t="str">
        <x:v>异常用例</x:v>
      </x:c>
      <x:c r="F845" s="4" t="str">
        <x:v>P1</x:v>
      </x:c>
      <x:c r="G845" s="4" t="str">
        <x:v>验证巡房平台封禁拦截</x:v>
      </x:c>
      <x:c r="H845" s="4" t="str">
        <x:v>巡房平台封禁拦截</x:v>
      </x:c>
      <x:c r="I845" s="4" t="str">
        <x:v>1. 已登录巡房人员账号
2. 平台封禁</x:v>
      </x:c>
      <x:c r="J845" s="4" t="str">
        <x:v>1. 进入「直播间-观众」页
2. 打开「巡房身份-正常进入」视图
3. 从巡房任务打开场次</x:v>
      </x:c>
      <x:c r="K845" s="4" t="str">
        <x:v>不能进入直播间</x:v>
      </x:c>
      <x:c r="L845" s="4" t="str"/>
      <x:c r="M845" s="4" t="str">
        <x:v>未测</x:v>
      </x:c>
      <x:c r="N845" s="4" t="str"/>
      <x:c r="O845" s="4" t="str">
        <x:v>1. 来源：MainBasis/统一需求文档.md；U-views_live-room_patrol-room-allowed-004、U-live-room-008、A-admin-inspection-schedule-008、A-admin-inspection-schedule-detail-005
2. 场景：SC-e2b495472e512b</x:v>
      </x:c>
    </x:row>
    <x:row r="846" ht="96" customHeight="1">
      <x:c r="A846" s="4" t="n">
        <x:v>845</x:v>
      </x:c>
      <x:c r="B846" s="4" t="str">
        <x:v>USER-0845</x:v>
      </x:c>
      <x:c r="C846" s="4" t="str">
        <x:v>M06 开播、房型、观看、连麦与房内管理</x:v>
      </x:c>
      <x:c r="D846" s="4" t="str">
        <x:v>巡房身份-正常进入（巡房人员视角）</x:v>
      </x:c>
      <x:c r="E846" s="4" t="str">
        <x:v>异常用例</x:v>
      </x:c>
      <x:c r="F846" s="4" t="str">
        <x:v>P1</x:v>
      </x:c>
      <x:c r="G846" s="4" t="str">
        <x:v>验证巡房巡房权限失效拦截</x:v>
      </x:c>
      <x:c r="H846" s="4" t="str">
        <x:v>巡房巡房权限失效拦截</x:v>
      </x:c>
      <x:c r="I846" s="4" t="str">
        <x:v>1. 已登录巡房人员账号
2. 巡房权限失效</x:v>
      </x:c>
      <x:c r="J846" s="4" t="str">
        <x:v>1. 进入「直播间-观众」页
2. 打开「巡房身份-正常进入」视图
3. 从巡房任务打开场次</x:v>
      </x:c>
      <x:c r="K846" s="4" t="str">
        <x:v>不能进入直播间</x:v>
      </x:c>
      <x:c r="L846" s="4" t="str"/>
      <x:c r="M846" s="4" t="str">
        <x:v>未测</x:v>
      </x:c>
      <x:c r="N846" s="4" t="str"/>
      <x:c r="O846" s="4" t="str">
        <x:v>1. 来源：MainBasis/统一需求文档.md；U-views_live-room_patrol-room-allowed-004、U-live-room-008、A-admin-inspection-schedule-008、A-admin-inspection-schedule-detail-005
2. 场景：SC-34f529c337a076</x:v>
      </x:c>
    </x:row>
    <x:row r="847" ht="82" customHeight="1">
      <x:c r="A847" s="4" t="n">
        <x:v>846</x:v>
      </x:c>
      <x:c r="B847" s="4" t="str">
        <x:v>USER-0846</x:v>
      </x:c>
      <x:c r="C847" s="4" t="str">
        <x:v>M06 开播、房型、观看、连麦与房内管理</x:v>
      </x:c>
      <x:c r="D847" s="4" t="str">
        <x:v>巡房身份-正常进入（巡房人员视角）</x:v>
      </x:c>
      <x:c r="E847" s="4" t="str">
        <x:v>功能需求</x:v>
      </x:c>
      <x:c r="F847" s="4" t="str">
        <x:v>P1</x:v>
      </x:c>
      <x:c r="G847" s="4" t="str">
        <x:v>验证巡房不购买门票</x:v>
      </x:c>
      <x:c r="H847" s="4" t="str">
        <x:v>巡房不购买门票</x:v>
      </x:c>
      <x:c r="I847" s="4" t="str">
        <x:v>1. 已登录巡房人员账号
2. 有效巡房人员从任务进入收费房
3. 进入前未持有本场门票，金币余额已记录</x:v>
      </x:c>
      <x:c r="J847" s="4" t="str">
        <x:v>1. 进入「直播间-观众」页
2. 打开「巡房身份-正常进入」视图
3. 查看巡房不购买门票</x:v>
      </x:c>
      <x:c r="K847" s="4" t="str">
        <x:v>巡房不改变原门票状态和金币余额</x:v>
      </x:c>
      <x:c r="L847" s="4" t="str"/>
      <x:c r="M847" s="4" t="str">
        <x:v>未测</x:v>
      </x:c>
      <x:c r="N847" s="4" t="str"/>
      <x:c r="O847" s="4" t="str">
        <x:v>1. 来源：MainBasis/统一需求文档.md；U-views_live-room_patrol-room-allowed-002、U-live-room-007、U-blacklist-management-010、A-admin-inspection-schedule-006
2. 场景：SC-975b16a9466a94</x:v>
      </x:c>
    </x:row>
    <x:row r="848" ht="68" customHeight="1">
      <x:c r="A848" s="4" t="n">
        <x:v>847</x:v>
      </x:c>
      <x:c r="B848" s="4" t="str">
        <x:v>USER-0847</x:v>
      </x:c>
      <x:c r="C848" s="4" t="str">
        <x:v>M06 开播、房型、观看、连麦与房内管理</x:v>
      </x:c>
      <x:c r="D848" s="4" t="str">
        <x:v>在线观众-观众列表（用户视角）</x:v>
      </x:c>
      <x:c r="E848" s="4" t="str">
        <x:v>功能需求</x:v>
      </x:c>
      <x:c r="F848" s="4" t="str">
        <x:v>P2</x:v>
      </x:c>
      <x:c r="G848" s="4" t="str">
        <x:v>验证用户回显</x:v>
      </x:c>
      <x:c r="H848" s="4" t="str">
        <x:v>用户回显</x:v>
      </x:c>
      <x:c r="I848" s="4" t="str">
        <x:v>1. 已登录用户账号
2. 所选对象存在，已记录该对象的用户值</x:v>
      </x:c>
      <x:c r="J848" s="4" t="str">
        <x:v>1. 进入「直播间-观众」页
2. 打开「在线观众-观众列表」视图
3. 查看用户回显</x:v>
      </x:c>
      <x:c r="K848" s="4" t="str">
        <x:v>「用户」内容与所选对象的该项资料一致</x:v>
      </x:c>
      <x:c r="L848" s="4" t="str"/>
      <x:c r="M848" s="4" t="str">
        <x:v>未测</x:v>
      </x:c>
      <x:c r="N848" s="4" t="str"/>
      <x:c r="O848" s="4" t="str">
        <x:v>1. 来源：MainBasis/统一需求文档.md；U-views_live-room_audience-online-001
2. 场景：SC-155a0128847f44</x:v>
      </x:c>
    </x:row>
    <x:row r="849" ht="68" customHeight="1">
      <x:c r="A849" s="4" t="n">
        <x:v>848</x:v>
      </x:c>
      <x:c r="B849" s="4" t="str">
        <x:v>USER-0848</x:v>
      </x:c>
      <x:c r="C849" s="4" t="str">
        <x:v>M06 开播、房型、观看、连麦与房内管理</x:v>
      </x:c>
      <x:c r="D849" s="4" t="str">
        <x:v>在线观众-观众列表（用户视角）</x:v>
      </x:c>
      <x:c r="E849" s="4" t="str">
        <x:v>功能需求</x:v>
      </x:c>
      <x:c r="F849" s="4" t="str">
        <x:v>P2</x:v>
      </x:c>
      <x:c r="G849" s="4" t="str">
        <x:v>验证房管状态回显</x:v>
      </x:c>
      <x:c r="H849" s="4" t="str">
        <x:v>房管状态回显</x:v>
      </x:c>
      <x:c r="I849" s="4" t="str">
        <x:v>1. 已登录用户账号
2. 所选对象存在，已记录该对象的房管状态值</x:v>
      </x:c>
      <x:c r="J849" s="4" t="str">
        <x:v>1. 进入「直播间-观众」页
2. 打开「在线观众-观众列表」视图
3. 查看房管状态回显</x:v>
      </x:c>
      <x:c r="K849" s="4" t="str">
        <x:v>「房管状态」内容与所选对象的该项资料一致</x:v>
      </x:c>
      <x:c r="L849" s="4" t="str"/>
      <x:c r="M849" s="4" t="str">
        <x:v>未测</x:v>
      </x:c>
      <x:c r="N849" s="4" t="str"/>
      <x:c r="O849" s="4" t="str">
        <x:v>1. 来源：MainBasis/统一需求文档.md；U-views_live-room_audience-online-003
2. 场景：SC-23490cd9321a83</x:v>
      </x:c>
    </x:row>
    <x:row r="850" ht="68" customHeight="1">
      <x:c r="A850" s="4" t="n">
        <x:v>849</x:v>
      </x:c>
      <x:c r="B850" s="4" t="str">
        <x:v>USER-0849</x:v>
      </x:c>
      <x:c r="C850" s="4" t="str">
        <x:v>M06 开播、房型、观看、连麦与房内管理</x:v>
      </x:c>
      <x:c r="D850" s="4" t="str">
        <x:v>在线观众-观众列表（用户视角）</x:v>
      </x:c>
      <x:c r="E850" s="4" t="str">
        <x:v>功能需求</x:v>
      </x:c>
      <x:c r="F850" s="4" t="str">
        <x:v>P1</x:v>
      </x:c>
      <x:c r="G850" s="4" t="str">
        <x:v>验证观众在线列表进入更新</x:v>
      </x:c>
      <x:c r="H850" s="4" t="str">
        <x:v>观众在线列表进入更新</x:v>
      </x:c>
      <x:c r="I850" s="4" t="str">
        <x:v>1. 已登录用户账号
2. 普通目标用户刚进入当前场次</x:v>
      </x:c>
      <x:c r="J850" s="4" t="str">
        <x:v>1. 进入「直播间-观众」页
2. 打开「在线观众-观众列表」视图
3. 查看观众在线列表进入更新</x:v>
      </x:c>
      <x:c r="K850" s="4" t="str">
        <x:v>在线观众列表包含该用户</x:v>
      </x:c>
      <x:c r="L850" s="4" t="str"/>
      <x:c r="M850" s="4" t="str">
        <x:v>未测</x:v>
      </x:c>
      <x:c r="N850" s="4" t="str"/>
      <x:c r="O850" s="4" t="str">
        <x:v>1. 来源：MainBasis/统一需求文档.md；U-views_live-room_audience-online-004、U-views_live-room-host_audience-viewers-009
2. 场景：SC-a3dc6352f3a662</x:v>
      </x:c>
    </x:row>
    <x:row r="851" ht="68" customHeight="1">
      <x:c r="A851" s="4" t="n">
        <x:v>850</x:v>
      </x:c>
      <x:c r="B851" s="4" t="str">
        <x:v>USER-0850</x:v>
      </x:c>
      <x:c r="C851" s="4" t="str">
        <x:v>M06 开播、房型、观看、连麦与房内管理</x:v>
      </x:c>
      <x:c r="D851" s="4" t="str">
        <x:v>在线观众-观众列表（用户视角）</x:v>
      </x:c>
      <x:c r="E851" s="4" t="str">
        <x:v>功能需求</x:v>
      </x:c>
      <x:c r="F851" s="4" t="str">
        <x:v>P1</x:v>
      </x:c>
      <x:c r="G851" s="4" t="str">
        <x:v>验证观众在线列表离开更新</x:v>
      </x:c>
      <x:c r="H851" s="4" t="str">
        <x:v>观众在线列表离开更新</x:v>
      </x:c>
      <x:c r="I851" s="4" t="str">
        <x:v>1. 已登录用户账号
2. 普通目标用户刚离开当前场次</x:v>
      </x:c>
      <x:c r="J851" s="4" t="str">
        <x:v>1. 进入「直播间-观众」页
2. 打开「在线观众-观众列表」视图
3. 查看观众在线列表离开更新</x:v>
      </x:c>
      <x:c r="K851" s="4" t="str">
        <x:v>在线观众列表不包含该用户</x:v>
      </x:c>
      <x:c r="L851" s="4" t="str"/>
      <x:c r="M851" s="4" t="str">
        <x:v>未测</x:v>
      </x:c>
      <x:c r="N851" s="4" t="str"/>
      <x:c r="O851" s="4" t="str">
        <x:v>1. 来源：MainBasis/统一需求文档.md；U-views_live-room_audience-online-004、U-views_live-room-host_audience-viewers-009
2. 场景：SC-176c0bde82b942</x:v>
      </x:c>
    </x:row>
    <x:row r="852" ht="68" customHeight="1">
      <x:c r="A852" s="4" t="n">
        <x:v>851</x:v>
      </x:c>
      <x:c r="B852" s="4" t="str">
        <x:v>USER-0851</x:v>
      </x:c>
      <x:c r="C852" s="4" t="str">
        <x:v>M06 开播、房型、观看、连麦与房内管理</x:v>
      </x:c>
      <x:c r="D852" s="4" t="str">
        <x:v>在线观众-观众列表（用户视角）</x:v>
      </x:c>
      <x:c r="E852" s="4" t="str">
        <x:v>功能需求</x:v>
      </x:c>
      <x:c r="F852" s="4" t="str">
        <x:v>P1</x:v>
      </x:c>
      <x:c r="G852" s="4" t="str">
        <x:v>验证观众在线列表踢出更新</x:v>
      </x:c>
      <x:c r="H852" s="4" t="str">
        <x:v>观众在线列表踢出更新</x:v>
      </x:c>
      <x:c r="I852" s="4" t="str">
        <x:v>1. 已登录用户账号
2. 普通目标用户刚踢出当前场次</x:v>
      </x:c>
      <x:c r="J852" s="4" t="str">
        <x:v>1. 进入「直播间-观众」页
2. 打开「在线观众-观众列表」视图
3. 查看观众在线列表踢出更新</x:v>
      </x:c>
      <x:c r="K852" s="4" t="str">
        <x:v>在线观众列表不包含该用户</x:v>
      </x:c>
      <x:c r="L852" s="4" t="str"/>
      <x:c r="M852" s="4" t="str">
        <x:v>未测</x:v>
      </x:c>
      <x:c r="N852" s="4" t="str"/>
      <x:c r="O852" s="4" t="str">
        <x:v>1. 来源：MainBasis/统一需求文档.md；U-views_live-room_audience-online-004、U-views_live-room-host_audience-viewers-009
2. 场景：SC-fbd0acbbc00851</x:v>
      </x:c>
    </x:row>
    <x:row r="853" ht="68" customHeight="1">
      <x:c r="A853" s="4" t="n">
        <x:v>852</x:v>
      </x:c>
      <x:c r="B853" s="4" t="str">
        <x:v>USER-0852</x:v>
      </x:c>
      <x:c r="C853" s="4" t="str">
        <x:v>M06 开播、房型、观看、连麦与房内管理</x:v>
      </x:c>
      <x:c r="D853" s="4" t="str">
        <x:v>在线观众-观众列表（用户视角）</x:v>
      </x:c>
      <x:c r="E853" s="4" t="str">
        <x:v>功能需求</x:v>
      </x:c>
      <x:c r="F853" s="4" t="str">
        <x:v>P1</x:v>
      </x:c>
      <x:c r="G853" s="4" t="str">
        <x:v>验证观众资料卡对象</x:v>
      </x:c>
      <x:c r="H853" s="4" t="str">
        <x:v>观众资料卡对象</x:v>
      </x:c>
      <x:c r="I853" s="4" t="str">
        <x:v>1. 已登录用户账号
2. 本场在线用户甲与乙均可见</x:v>
      </x:c>
      <x:c r="J853" s="4" t="str">
        <x:v>1. 进入「直播间-观众」页
2. 打开「在线观众-观众列表」视图
3. 点击在线用户甲</x:v>
      </x:c>
      <x:c r="K853" s="4" t="str">
        <x:v>资料卡展示甲的资料</x:v>
      </x:c>
      <x:c r="L853" s="4" t="str"/>
      <x:c r="M853" s="4" t="str">
        <x:v>未测</x:v>
      </x:c>
      <x:c r="N853" s="4" t="str"/>
      <x:c r="O853" s="4" t="str">
        <x:v>1. 来源：MainBasis/统一需求文档.md；U-views_live-room_audience-online-007
2. 场景：SC-05cb6ea8ff6f34</x:v>
      </x:c>
    </x:row>
    <x:row r="854" ht="68" customHeight="1">
      <x:c r="A854" s="4" t="n">
        <x:v>853</x:v>
      </x:c>
      <x:c r="B854" s="4" t="str">
        <x:v>USER-0853</x:v>
      </x:c>
      <x:c r="C854" s="4" t="str">
        <x:v>M06 开播、房型、观看、连麦与房内管理</x:v>
      </x:c>
      <x:c r="D854" s="4" t="str">
        <x:v>在线观众-观众列表（用户视角）</x:v>
      </x:c>
      <x:c r="E854" s="4" t="str">
        <x:v>功能需求</x:v>
      </x:c>
      <x:c r="F854" s="4" t="str">
        <x:v>P1</x:v>
      </x:c>
      <x:c r="G854" s="4" t="str">
        <x:v>验证房管名单归属</x:v>
      </x:c>
      <x:c r="H854" s="4" t="str">
        <x:v>房管名单归属</x:v>
      </x:c>
      <x:c r="I854" s="4" t="str">
        <x:v>1. 已登录用户账号
2. 当前主播授权房管甲，另一主播授权房管乙</x:v>
      </x:c>
      <x:c r="J854" s="4" t="str">
        <x:v>1. 进入「直播间-观众」页
2. 打开「在线观众-观众列表」视图
3. 切换至「房管」</x:v>
      </x:c>
      <x:c r="K854" s="4" t="str">
        <x:v>房管名单显示甲，不包含乙</x:v>
      </x:c>
      <x:c r="L854" s="4" t="str"/>
      <x:c r="M854" s="4" t="str">
        <x:v>未测</x:v>
      </x:c>
      <x:c r="N854" s="4" t="str"/>
      <x:c r="O854" s="4" t="str">
        <x:v>1. 来源：MainBasis/统一需求文档.md；U-views_live-room_audience-online-007
2. 场景：SC-7403ca4606c1cf</x:v>
      </x:c>
    </x:row>
    <x:row r="855" ht="68" customHeight="1">
      <x:c r="A855" s="4" t="n">
        <x:v>854</x:v>
      </x:c>
      <x:c r="B855" s="4" t="str">
        <x:v>USER-0854</x:v>
      </x:c>
      <x:c r="C855" s="4" t="str">
        <x:v>M06 开播、房型、观看、连麦与房内管理</x:v>
      </x:c>
      <x:c r="D855" s="4" t="str">
        <x:v>在线观众-房管列表（用户视角）</x:v>
      </x:c>
      <x:c r="E855" s="4" t="str">
        <x:v>功能需求</x:v>
      </x:c>
      <x:c r="F855" s="4" t="str">
        <x:v>P2</x:v>
      </x:c>
      <x:c r="G855" s="4" t="str">
        <x:v>验证房管回显</x:v>
      </x:c>
      <x:c r="H855" s="4" t="str">
        <x:v>房管回显</x:v>
      </x:c>
      <x:c r="I855" s="4" t="str">
        <x:v>1. 已登录用户账号
2. 所选对象存在，已记录该对象的房管值</x:v>
      </x:c>
      <x:c r="J855" s="4" t="str">
        <x:v>1. 进入「直播间-观众」页
2. 打开「在线观众-房管列表」视图
3. 查看房管回显</x:v>
      </x:c>
      <x:c r="K855" s="4" t="str">
        <x:v>「房管」内容与所选对象的该项资料一致</x:v>
      </x:c>
      <x:c r="L855" s="4" t="str"/>
      <x:c r="M855" s="4" t="str">
        <x:v>未测</x:v>
      </x:c>
      <x:c r="N855" s="4" t="str"/>
      <x:c r="O855" s="4" t="str">
        <x:v>1. 来源：MainBasis/统一需求文档.md；U-views_live-room_audience-managers-001
2. 场景：SC-a6c23d77537c62</x:v>
      </x:c>
    </x:row>
    <x:row r="856" ht="68" customHeight="1">
      <x:c r="A856" s="4" t="n">
        <x:v>855</x:v>
      </x:c>
      <x:c r="B856" s="4" t="str">
        <x:v>USER-0855</x:v>
      </x:c>
      <x:c r="C856" s="4" t="str">
        <x:v>M06 开播、房型、观看、连麦与房内管理</x:v>
      </x:c>
      <x:c r="D856" s="4" t="str">
        <x:v>在线观众-房管列表（用户视角）</x:v>
      </x:c>
      <x:c r="E856" s="4" t="str">
        <x:v>功能需求</x:v>
      </x:c>
      <x:c r="F856" s="4" t="str">
        <x:v>P2</x:v>
      </x:c>
      <x:c r="G856" s="4" t="str">
        <x:v>验证授权状态回显</x:v>
      </x:c>
      <x:c r="H856" s="4" t="str">
        <x:v>授权状态回显</x:v>
      </x:c>
      <x:c r="I856" s="4" t="str">
        <x:v>1. 已登录用户账号
2. 所选对象存在，已记录该对象的授权状态值</x:v>
      </x:c>
      <x:c r="J856" s="4" t="str">
        <x:v>1. 进入「直播间-观众」页
2. 打开「在线观众-房管列表」视图
3. 查看授权状态回显</x:v>
      </x:c>
      <x:c r="K856" s="4" t="str">
        <x:v>「授权状态」内容与所选对象的该项资料一致</x:v>
      </x:c>
      <x:c r="L856" s="4" t="str"/>
      <x:c r="M856" s="4" t="str">
        <x:v>未测</x:v>
      </x:c>
      <x:c r="N856" s="4" t="str"/>
      <x:c r="O856" s="4" t="str">
        <x:v>1. 来源：MainBasis/统一需求文档.md；U-views_live-room_audience-managers-002
2. 场景：SC-34fa3cdcd9c60d</x:v>
      </x:c>
    </x:row>
    <x:row r="857" ht="68" customHeight="1">
      <x:c r="A857" s="4" t="n">
        <x:v>856</x:v>
      </x:c>
      <x:c r="B857" s="4" t="str">
        <x:v>USER-0856</x:v>
      </x:c>
      <x:c r="C857" s="4" t="str">
        <x:v>M06 开播、房型、观看、连麦与房内管理</x:v>
      </x:c>
      <x:c r="D857" s="4" t="str">
        <x:v>在线观众-房管列表（用户视角）</x:v>
      </x:c>
      <x:c r="E857" s="4" t="str">
        <x:v>功能需求</x:v>
      </x:c>
      <x:c r="F857" s="4" t="str">
        <x:v>P1</x:v>
      </x:c>
      <x:c r="G857" s="4" t="str">
        <x:v>验证普通观众房管列表只读</x:v>
      </x:c>
      <x:c r="H857" s="4" t="str">
        <x:v>普通观众房管列表只读</x:v>
      </x:c>
      <x:c r="I857" s="4" t="str">
        <x:v>1. 已登录用户账号
2. 以普通观众查看房管列表</x:v>
      </x:c>
      <x:c r="J857" s="4" t="str">
        <x:v>1. 进入「直播间-观众」页
2. 打开「在线观众-房管列表」视图
3. 查看普通观众房管列表只读</x:v>
      </x:c>
      <x:c r="K857" s="4" t="str">
        <x:v>不显示授权或取消房管操作</x:v>
      </x:c>
      <x:c r="L857" s="4" t="str"/>
      <x:c r="M857" s="4" t="str">
        <x:v>未测</x:v>
      </x:c>
      <x:c r="N857" s="4" t="str"/>
      <x:c r="O857" s="4" t="str">
        <x:v>1. 来源：MainBasis/统一需求文档.md；U-views_live-room_audience-managers-007
2. 场景：SC-264675c000e8fd</x:v>
      </x:c>
    </x:row>
    <x:row r="858" ht="68" customHeight="1">
      <x:c r="A858" s="4" t="n">
        <x:v>857</x:v>
      </x:c>
      <x:c r="B858" s="4" t="str">
        <x:v>USER-0857</x:v>
      </x:c>
      <x:c r="C858" s="4" t="str">
        <x:v>M06 开播、房型、观看、连麦与房内管理</x:v>
      </x:c>
      <x:c r="D858" s="4" t="str">
        <x:v>在线观众-房管列表（用户视角）</x:v>
      </x:c>
      <x:c r="E858" s="4" t="str">
        <x:v>功能需求</x:v>
      </x:c>
      <x:c r="F858" s="4" t="str">
        <x:v>P1</x:v>
      </x:c>
      <x:c r="G858" s="4" t="str">
        <x:v>验证取消房管仍为普通观众</x:v>
      </x:c>
      <x:c r="H858" s="4" t="str">
        <x:v>取消房管仍为普通观众</x:v>
      </x:c>
      <x:c r="I858" s="4" t="str">
        <x:v>1. 已登录用户账号
2. 用户在线，主播刚取消其房管授权</x:v>
      </x:c>
      <x:c r="J858" s="4" t="str">
        <x:v>1. 进入「直播间-观众」页
2. 打开「在线观众-房管列表」视图
3. 查看取消房管仍为普通观众</x:v>
      </x:c>
      <x:c r="K858" s="4" t="str">
        <x:v>用户失去管理操作但仍留在直播间</x:v>
      </x:c>
      <x:c r="L858" s="4" t="str"/>
      <x:c r="M858" s="4" t="str">
        <x:v>未测</x:v>
      </x:c>
      <x:c r="N858" s="4" t="str"/>
      <x:c r="O858" s="4" t="str">
        <x:v>1. 来源：MainBasis/统一需求文档.md；U-views_live-room_audience-managers-006、U-views_live-room-host_audience-viewers-013
2. 场景：SC-417d2db2128cfe</x:v>
      </x:c>
    </x:row>
    <x:row r="859" ht="68" customHeight="1">
      <x:c r="A859" s="4" t="n">
        <x:v>858</x:v>
      </x:c>
      <x:c r="B859" s="4" t="str">
        <x:v>USER-0858</x:v>
      </x:c>
      <x:c r="C859" s="4" t="str">
        <x:v>M06 开播、房型、观看、连麦与房内管理</x:v>
      </x:c>
      <x:c r="D859" s="4" t="str">
        <x:v>用户资料卡-普通观众（用户视角）</x:v>
      </x:c>
      <x:c r="E859" s="4" t="str">
        <x:v>功能需求</x:v>
      </x:c>
      <x:c r="F859" s="4" t="str">
        <x:v>P2</x:v>
      </x:c>
      <x:c r="G859" s="4" t="str">
        <x:v>验证用户资料回显</x:v>
      </x:c>
      <x:c r="H859" s="4" t="str">
        <x:v>用户资料回显</x:v>
      </x:c>
      <x:c r="I859" s="4" t="str">
        <x:v>1. 已登录用户账号
2. 所选对象存在，已记录该对象的用户资料值</x:v>
      </x:c>
      <x:c r="J859" s="4" t="str">
        <x:v>1. 进入「直播间-观众」页
2. 打开「用户资料卡-普通观众」视图
3. 查看用户资料回显</x:v>
      </x:c>
      <x:c r="K859" s="4" t="str">
        <x:v>「用户资料」内容与所选对象的该项资料一致</x:v>
      </x:c>
      <x:c r="L859" s="4" t="str"/>
      <x:c r="M859" s="4" t="str">
        <x:v>未测</x:v>
      </x:c>
      <x:c r="N859" s="4" t="str"/>
      <x:c r="O859" s="4" t="str">
        <x:v>1. 来源：MainBasis/统一需求文档.md；U-views_live-room_profile-viewer-001
2. 场景：SC-d17f6e34667bca</x:v>
      </x:c>
    </x:row>
    <x:row r="860" ht="68" customHeight="1">
      <x:c r="A860" s="4" t="n">
        <x:v>859</x:v>
      </x:c>
      <x:c r="B860" s="4" t="str">
        <x:v>USER-0859</x:v>
      </x:c>
      <x:c r="C860" s="4" t="str">
        <x:v>M06 开播、房型、观看、连麦与房内管理</x:v>
      </x:c>
      <x:c r="D860" s="4" t="str">
        <x:v>用户资料卡-普通观众（用户视角）</x:v>
      </x:c>
      <x:c r="E860" s="4" t="str">
        <x:v>功能需求</x:v>
      </x:c>
      <x:c r="F860" s="4" t="str">
        <x:v>P2</x:v>
      </x:c>
      <x:c r="G860" s="4" t="str">
        <x:v>验证关系状态回显</x:v>
      </x:c>
      <x:c r="H860" s="4" t="str">
        <x:v>关系状态回显</x:v>
      </x:c>
      <x:c r="I860" s="4" t="str">
        <x:v>1. 已登录用户账号
2. 所选对象存在，已记录该对象的关系状态值</x:v>
      </x:c>
      <x:c r="J860" s="4" t="str">
        <x:v>1. 进入「直播间-观众」页
2. 打开「用户资料卡-普通观众」视图
3. 查看关系状态回显</x:v>
      </x:c>
      <x:c r="K860" s="4" t="str">
        <x:v>「关系状态」内容与所选对象的该项资料一致</x:v>
      </x:c>
      <x:c r="L860" s="4" t="str"/>
      <x:c r="M860" s="4" t="str">
        <x:v>未测</x:v>
      </x:c>
      <x:c r="N860" s="4" t="str"/>
      <x:c r="O860" s="4" t="str">
        <x:v>1. 来源：MainBasis/统一需求文档.md；U-views_live-room_profile-viewer-002
2. 场景：SC-1b0778145090b2</x:v>
      </x:c>
    </x:row>
    <x:row r="861" ht="68" customHeight="1">
      <x:c r="A861" s="4" t="n">
        <x:v>860</x:v>
      </x:c>
      <x:c r="B861" s="4" t="str">
        <x:v>USER-0860</x:v>
      </x:c>
      <x:c r="C861" s="4" t="str">
        <x:v>M06 开播、房型、观看、连麦与房内管理</x:v>
      </x:c>
      <x:c r="D861" s="4" t="str">
        <x:v>用户资料卡-普通观众（用户视角）</x:v>
      </x:c>
      <x:c r="E861" s="4" t="str">
        <x:v>功能需求</x:v>
      </x:c>
      <x:c r="F861" s="4" t="str">
        <x:v>P2</x:v>
      </x:c>
      <x:c r="G861" s="4" t="str">
        <x:v>验证举报入口</x:v>
      </x:c>
      <x:c r="H861" s="4" t="str">
        <x:v>举报入口</x:v>
      </x:c>
      <x:c r="I861" s="4" t="str">
        <x:v>1. 已登录用户账号</x:v>
      </x:c>
      <x:c r="J861" s="4" t="str">
        <x:v>1. 进入「直播间-观众」页
2. 打开「用户资料卡-普通观众」视图
3. 点击「举报」</x:v>
      </x:c>
      <x:c r="K861" s="4" t="str">
        <x:v>页面进入「账号举报流程」</x:v>
      </x:c>
      <x:c r="L861" s="4" t="str"/>
      <x:c r="M861" s="4" t="str">
        <x:v>未测</x:v>
      </x:c>
      <x:c r="N861" s="4" t="str"/>
      <x:c r="O861" s="4" t="str">
        <x:v>1. 来源：MainBasis/统一需求文档.md；U-views_live-room_profile-viewer-005
2. 场景：SC-ebe0db67a2b0d3</x:v>
      </x:c>
    </x:row>
    <x:row r="862" ht="68" customHeight="1">
      <x:c r="A862" s="4" t="n">
        <x:v>861</x:v>
      </x:c>
      <x:c r="B862" s="4" t="str">
        <x:v>USER-0861</x:v>
      </x:c>
      <x:c r="C862" s="4" t="str">
        <x:v>M06 开播、房型、观看、连麦与房内管理</x:v>
      </x:c>
      <x:c r="D862" s="4" t="str">
        <x:v>用户资料卡-普通观众（用户视角）</x:v>
      </x:c>
      <x:c r="E862" s="4" t="str">
        <x:v>功能需求</x:v>
      </x:c>
      <x:c r="F862" s="4" t="str">
        <x:v>P2</x:v>
      </x:c>
      <x:c r="G862" s="4" t="str">
        <x:v>验证主页入口</x:v>
      </x:c>
      <x:c r="H862" s="4" t="str">
        <x:v>主页入口</x:v>
      </x:c>
      <x:c r="I862" s="4" t="str">
        <x:v>1. 已登录用户账号</x:v>
      </x:c>
      <x:c r="J862" s="4" t="str">
        <x:v>1. 进入「直播间-观众」页
2. 打开「用户资料卡-普通观众」视图
3. 点击「主页」</x:v>
      </x:c>
      <x:c r="K862" s="4" t="str">
        <x:v>页面进入「该用户主页」</x:v>
      </x:c>
      <x:c r="L862" s="4" t="str"/>
      <x:c r="M862" s="4" t="str">
        <x:v>未测</x:v>
      </x:c>
      <x:c r="N862" s="4" t="str"/>
      <x:c r="O862" s="4" t="str">
        <x:v>1. 来源：MainBasis/统一需求文档.md；U-views_live-room_profile-viewer-005
2. 场景：SC-c64c297b67ba87</x:v>
      </x:c>
    </x:row>
    <x:row r="863" ht="124" customHeight="1">
      <x:c r="A863" s="4" t="n">
        <x:v>862</x:v>
      </x:c>
      <x:c r="B863" s="4" t="str">
        <x:v>USER-0862</x:v>
      </x:c>
      <x:c r="C863" s="4" t="str">
        <x:v>M06 开播、房型、观看、连麦与房内管理</x:v>
      </x:c>
      <x:c r="D863" s="4" t="str">
        <x:v>用户资料卡-房管（房管视角）</x:v>
      </x:c>
      <x:c r="E863" s="4" t="str">
        <x:v>功能需求</x:v>
      </x:c>
      <x:c r="F863" s="4" t="str">
        <x:v>P1</x:v>
      </x:c>
      <x:c r="G863" s="4" t="str">
        <x:v>验证房管不能踢出巡房人员</x:v>
      </x:c>
      <x:c r="H863" s="4" t="str">
        <x:v>房管不能踢出巡房人员</x:v>
      </x:c>
      <x:c r="I863" s="4" t="str">
        <x:v>1. 已登录房管账号
2. 目标用户当前处于有效巡房会话</x:v>
      </x:c>
      <x:c r="J863" s="4" t="str">
        <x:v>1. 进入「直播间-观众」页
2. 打开「用户资料卡-房管」视图
3. 查看房管不能踢出巡房人员</x:v>
      </x:c>
      <x:c r="K863" s="4" t="str">
        <x:v>目标资料卡隐藏拉黑与踢出操作</x:v>
      </x:c>
      <x:c r="L863" s="4" t="str"/>
      <x:c r="M863" s="4" t="str">
        <x:v>未测</x:v>
      </x:c>
      <x:c r="N863" s="4" t="str"/>
      <x:c r="O863" s="4" t="str">
        <x:v>1. 来源：MainBasis/统一需求文档.md；U-views_live-room_patrol-room-allowed-005、U-live-room-015、U-views_live-room_patrol-room-allowed-003、U-views_live-room_profile-moderator-003、U-views_live-room-host_profile-host-008、A-admin-inspection-schedule-007
2. 场景：SC-ad8dae6dca4a03</x:v>
      </x:c>
    </x:row>
    <x:row r="864" ht="68" customHeight="1">
      <x:c r="A864" s="4" t="n">
        <x:v>863</x:v>
      </x:c>
      <x:c r="B864" s="4" t="str">
        <x:v>USER-0863</x:v>
      </x:c>
      <x:c r="C864" s="4" t="str">
        <x:v>M06 开播、房型、观看、连麦与房内管理</x:v>
      </x:c>
      <x:c r="D864" s="4" t="str">
        <x:v>用户资料卡-房管（房管视角）</x:v>
      </x:c>
      <x:c r="E864" s="4" t="str">
        <x:v>功能需求</x:v>
      </x:c>
      <x:c r="F864" s="4" t="str">
        <x:v>P1</x:v>
      </x:c>
      <x:c r="G864" s="4" t="str">
        <x:v>验证房管不能处置主播</x:v>
      </x:c>
      <x:c r="H864" s="4" t="str">
        <x:v>房管不能处置主播</x:v>
      </x:c>
      <x:c r="I864" s="4" t="str">
        <x:v>1. 已登录房管账号
2. 当前查看本房主播资料</x:v>
      </x:c>
      <x:c r="J864" s="4" t="str">
        <x:v>1. 进入「直播间-观众」页
2. 打开「用户资料卡-房管」视图
3. 查看房管不能处置主播</x:v>
      </x:c>
      <x:c r="K864" s="4" t="str">
        <x:v>不提供对主播的禁言和踢出操作</x:v>
      </x:c>
      <x:c r="L864" s="4" t="str"/>
      <x:c r="M864" s="4" t="str">
        <x:v>未测</x:v>
      </x:c>
      <x:c r="N864" s="4" t="str"/>
      <x:c r="O864" s="4" t="str">
        <x:v>1. 来源：MainBasis/统一需求文档.md；U-views_live-room_profile-moderator-002
2. 场景：SC-7632af6242b04e</x:v>
      </x:c>
    </x:row>
    <x:row r="865" ht="124" customHeight="1">
      <x:c r="A865" s="4" t="n">
        <x:v>864</x:v>
      </x:c>
      <x:c r="B865" s="4" t="str">
        <x:v>USER-0864</x:v>
      </x:c>
      <x:c r="C865" s="4" t="str">
        <x:v>M06 开播、房型、观看、连麦与房内管理</x:v>
      </x:c>
      <x:c r="D865" s="4" t="str">
        <x:v>禁言确认（房管视角）</x:v>
      </x:c>
      <x:c r="E865" s="4" t="str">
        <x:v>功能需求</x:v>
      </x:c>
      <x:c r="F865" s="4" t="str">
        <x:v>P1</x:v>
      </x:c>
      <x:c r="G865" s="4" t="str">
        <x:v>验证房管禁言确认</x:v>
      </x:c>
      <x:c r="H865" s="4" t="str">
        <x:v>房管禁言确认</x:v>
      </x:c>
      <x:c r="I865" s="4" t="str">
        <x:v>1. 已登录房管账号
2. 目标为当前场次普通在线观众，非巡房人员</x:v>
      </x:c>
      <x:c r="J865" s="4" t="str">
        <x:v>1. 进入「直播间-观众」页
2. 打开「禁言确认」视图
3. 点击确认</x:v>
      </x:c>
      <x:c r="K865" s="4" t="str">
        <x:v>目标被写入本场禁言状态</x:v>
      </x:c>
      <x:c r="L865" s="4" t="str">
        <x:v>FLOW-6D44B008</x:v>
      </x:c>
      <x:c r="M865" s="4" t="str">
        <x:v>未测</x:v>
      </x:c>
      <x:c r="N865" s="4" t="str"/>
      <x:c r="O865" s="4" t="str">
        <x:v>1. 来源：MainBasis/统一需求文档.md；U-views_live-room_profile-moderator-mute-002、U-views_live-room_profile-moderator-001、U-views_live-room_profile-moderator-005、U-moderator-management-007、U-views_live-room_audience-managers-005
2. 场景：SC-4b2fec25dcab87
3. 状态转换：ST-542AE28D2BBD</x:v>
      </x:c>
    </x:row>
    <x:row r="866" ht="124" customHeight="1">
      <x:c r="A866" s="4" t="n">
        <x:v>865</x:v>
      </x:c>
      <x:c r="B866" s="4" t="str">
        <x:v>USER-0865</x:v>
      </x:c>
      <x:c r="C866" s="4" t="str">
        <x:v>M06 开播、房型、观看、连麦与房内管理</x:v>
      </x:c>
      <x:c r="D866" s="4" t="str">
        <x:v>禁言确认（房管视角）</x:v>
      </x:c>
      <x:c r="E866" s="4" t="str">
        <x:v>功能需求</x:v>
      </x:c>
      <x:c r="F866" s="4" t="str">
        <x:v>P1</x:v>
      </x:c>
      <x:c r="G866" s="4" t="str">
        <x:v>验证房管禁言取消</x:v>
      </x:c>
      <x:c r="H866" s="4" t="str">
        <x:v>房管禁言取消</x:v>
      </x:c>
      <x:c r="I866" s="4" t="str">
        <x:v>1. 已登录房管账号
2. 目标为当前场次普通在线观众，非巡房人员</x:v>
      </x:c>
      <x:c r="J866" s="4" t="str">
        <x:v>1. 进入「直播间-观众」页
2. 打开「禁言确认」视图
3. 点击取消</x:v>
      </x:c>
      <x:c r="K866" s="4" t="str">
        <x:v>目标当前状态保持不变</x:v>
      </x:c>
      <x:c r="L866" s="4" t="str">
        <x:v>FLOW-6D44B008</x:v>
      </x:c>
      <x:c r="M866" s="4" t="str">
        <x:v>未测</x:v>
      </x:c>
      <x:c r="N866" s="4" t="str"/>
      <x:c r="O866" s="4" t="str">
        <x:v>1. 来源：MainBasis/统一需求文档.md；U-views_live-room_profile-moderator-mute-002、U-views_live-room_profile-moderator-001、U-views_live-room_profile-moderator-005、U-moderator-management-007、U-views_live-room_audience-managers-005
2. 场景：SC-161f1e8cf1556e
3. 状态转换：ST-542AE28D2BBD</x:v>
      </x:c>
    </x:row>
    <x:row r="867" ht="124" customHeight="1">
      <x:c r="A867" s="4" t="n">
        <x:v>866</x:v>
      </x:c>
      <x:c r="B867" s="4" t="str">
        <x:v>USER-0866</x:v>
      </x:c>
      <x:c r="C867" s="4" t="str">
        <x:v>M06 开播、房型、观看、连麦与房内管理</x:v>
      </x:c>
      <x:c r="D867" s="4" t="str">
        <x:v>禁言确认（房管视角）</x:v>
      </x:c>
      <x:c r="E867" s="4" t="str">
        <x:v>功能需求</x:v>
      </x:c>
      <x:c r="F867" s="4" t="str">
        <x:v>P1</x:v>
      </x:c>
      <x:c r="G867" s="4" t="str">
        <x:v>验证房管禁言关闭</x:v>
      </x:c>
      <x:c r="H867" s="4" t="str">
        <x:v>房管禁言关闭</x:v>
      </x:c>
      <x:c r="I867" s="4" t="str">
        <x:v>1. 已登录房管账号
2. 目标为当前场次普通在线观众，非巡房人员</x:v>
      </x:c>
      <x:c r="J867" s="4" t="str">
        <x:v>1. 进入「直播间-观众」页
2. 打开「禁言确认」视图
3. 点击关闭</x:v>
      </x:c>
      <x:c r="K867" s="4" t="str">
        <x:v>目标当前状态保持不变</x:v>
      </x:c>
      <x:c r="L867" s="4" t="str">
        <x:v>FLOW-6D44B008</x:v>
      </x:c>
      <x:c r="M867" s="4" t="str">
        <x:v>未测</x:v>
      </x:c>
      <x:c r="N867" s="4" t="str"/>
      <x:c r="O867" s="4" t="str">
        <x:v>1. 来源：MainBasis/统一需求文档.md；U-views_live-room_profile-moderator-mute-002、U-views_live-room_profile-moderator-001、U-views_live-room_profile-moderator-005、U-moderator-management-007、U-views_live-room_audience-managers-005
2. 场景：SC-8659669a699411
3. 状态转换：ST-542AE28D2BBD</x:v>
      </x:c>
    </x:row>
    <x:row r="868" ht="82" customHeight="1">
      <x:c r="A868" s="4" t="n">
        <x:v>867</x:v>
      </x:c>
      <x:c r="B868" s="4" t="str">
        <x:v>USER-0867</x:v>
      </x:c>
      <x:c r="C868" s="4" t="str">
        <x:v>M06 开播、房型、观看、连麦与房内管理</x:v>
      </x:c>
      <x:c r="D868" s="4" t="str">
        <x:v>踢出确认（房管视角）</x:v>
      </x:c>
      <x:c r="E868" s="4" t="str">
        <x:v>功能需求</x:v>
      </x:c>
      <x:c r="F868" s="4" t="str">
        <x:v>P1</x:v>
      </x:c>
      <x:c r="G868" s="4" t="str">
        <x:v>验证房管踢出确认</x:v>
      </x:c>
      <x:c r="H868" s="4" t="str">
        <x:v>房管踢出确认</x:v>
      </x:c>
      <x:c r="I868" s="4" t="str">
        <x:v>1. 已登录房管账号
2. 目标为当前场次普通在线观众，非巡房人员</x:v>
      </x:c>
      <x:c r="J868" s="4" t="str">
        <x:v>1. 进入「直播间-观众」页
2. 打开「踢出确认」视图
3. 点击确认</x:v>
      </x:c>
      <x:c r="K868" s="4" t="str">
        <x:v>目标立即退出并从本场在线列表移除</x:v>
      </x:c>
      <x:c r="L868" s="4" t="str">
        <x:v>FLOW-2EF3ECFF</x:v>
      </x:c>
      <x:c r="M868" s="4" t="str">
        <x:v>未测</x:v>
      </x:c>
      <x:c r="N868" s="4" t="str"/>
      <x:c r="O868" s="4" t="str">
        <x:v>1. 来源：MainBasis/统一需求文档.md；U-views_live-room_profile-moderator-remove-002、U-views_live-room_audience-online-005
2. 场景：SC-b225e5ed4582b8
3. 状态转换：ST-7E91CEB5ED4D</x:v>
      </x:c>
    </x:row>
    <x:row r="869" ht="82" customHeight="1">
      <x:c r="A869" s="4" t="n">
        <x:v>868</x:v>
      </x:c>
      <x:c r="B869" s="4" t="str">
        <x:v>USER-0868</x:v>
      </x:c>
      <x:c r="C869" s="4" t="str">
        <x:v>M06 开播、房型、观看、连麦与房内管理</x:v>
      </x:c>
      <x:c r="D869" s="4" t="str">
        <x:v>踢出确认（房管视角）</x:v>
      </x:c>
      <x:c r="E869" s="4" t="str">
        <x:v>功能需求</x:v>
      </x:c>
      <x:c r="F869" s="4" t="str">
        <x:v>P1</x:v>
      </x:c>
      <x:c r="G869" s="4" t="str">
        <x:v>验证房管踢出取消</x:v>
      </x:c>
      <x:c r="H869" s="4" t="str">
        <x:v>房管踢出取消</x:v>
      </x:c>
      <x:c r="I869" s="4" t="str">
        <x:v>1. 已登录房管账号
2. 目标为当前场次普通在线观众，非巡房人员</x:v>
      </x:c>
      <x:c r="J869" s="4" t="str">
        <x:v>1. 进入「直播间-观众」页
2. 打开「踢出确认」视图
3. 点击取消</x:v>
      </x:c>
      <x:c r="K869" s="4" t="str">
        <x:v>目标当前状态保持不变</x:v>
      </x:c>
      <x:c r="L869" s="4" t="str">
        <x:v>FLOW-2EF3ECFF</x:v>
      </x:c>
      <x:c r="M869" s="4" t="str">
        <x:v>未测</x:v>
      </x:c>
      <x:c r="N869" s="4" t="str"/>
      <x:c r="O869" s="4" t="str">
        <x:v>1. 来源：MainBasis/统一需求文档.md；U-views_live-room_profile-moderator-remove-002、U-views_live-room_audience-online-005
2. 场景：SC-3bd2b807dcb8bd
3. 状态转换：ST-7E91CEB5ED4D</x:v>
      </x:c>
    </x:row>
    <x:row r="870" ht="82" customHeight="1">
      <x:c r="A870" s="4" t="n">
        <x:v>869</x:v>
      </x:c>
      <x:c r="B870" s="4" t="str">
        <x:v>USER-0869</x:v>
      </x:c>
      <x:c r="C870" s="4" t="str">
        <x:v>M06 开播、房型、观看、连麦与房内管理</x:v>
      </x:c>
      <x:c r="D870" s="4" t="str">
        <x:v>踢出确认（房管视角）</x:v>
      </x:c>
      <x:c r="E870" s="4" t="str">
        <x:v>功能需求</x:v>
      </x:c>
      <x:c r="F870" s="4" t="str">
        <x:v>P1</x:v>
      </x:c>
      <x:c r="G870" s="4" t="str">
        <x:v>验证房管踢出关闭</x:v>
      </x:c>
      <x:c r="H870" s="4" t="str">
        <x:v>房管踢出关闭</x:v>
      </x:c>
      <x:c r="I870" s="4" t="str">
        <x:v>1. 已登录房管账号
2. 目标为当前场次普通在线观众，非巡房人员</x:v>
      </x:c>
      <x:c r="J870" s="4" t="str">
        <x:v>1. 进入「直播间-观众」页
2. 打开「踢出确认」视图
3. 点击关闭</x:v>
      </x:c>
      <x:c r="K870" s="4" t="str">
        <x:v>目标当前状态保持不变</x:v>
      </x:c>
      <x:c r="L870" s="4" t="str">
        <x:v>FLOW-2EF3ECFF</x:v>
      </x:c>
      <x:c r="M870" s="4" t="str">
        <x:v>未测</x:v>
      </x:c>
      <x:c r="N870" s="4" t="str"/>
      <x:c r="O870" s="4" t="str">
        <x:v>1. 来源：MainBasis/统一需求文档.md；U-views_live-room_profile-moderator-remove-002、U-views_live-room_audience-online-005
2. 场景：SC-219ac6bb6e3b1e
3. 状态转换：ST-7E91CEB5ED4D</x:v>
      </x:c>
    </x:row>
    <x:row r="871" ht="68" customHeight="1">
      <x:c r="A871" s="4" t="n">
        <x:v>870</x:v>
      </x:c>
      <x:c r="B871" s="4" t="str">
        <x:v>USER-0870</x:v>
      </x:c>
      <x:c r="C871" s="4" t="str">
        <x:v>M06 开播、房型、观看、连麦与房内管理</x:v>
      </x:c>
      <x:c r="D871" s="4" t="str">
        <x:v>本场贡献-贡献榜（用户视角）</x:v>
      </x:c>
      <x:c r="E871" s="4" t="str">
        <x:v>功能需求</x:v>
      </x:c>
      <x:c r="F871" s="4" t="str">
        <x:v>P1</x:v>
      </x:c>
      <x:c r="G871" s="4" t="str">
        <x:v>验证观众本场榜98人</x:v>
      </x:c>
      <x:c r="H871" s="4" t="str">
        <x:v>观众本场榜98人</x:v>
      </x:c>
      <x:c r="I871" s="4" t="str">
        <x:v>1. 已登录用户账号
2. 本场有98个产生有效贡献账号</x:v>
      </x:c>
      <x:c r="J871" s="4" t="str">
        <x:v>1. 进入「直播间-观众」页
2. 打开「本场贡献-贡献榜」视图
3. 查看观众本场榜98人</x:v>
      </x:c>
      <x:c r="K871" s="4" t="str">
        <x:v>展示98名</x:v>
      </x:c>
      <x:c r="L871" s="4" t="str"/>
      <x:c r="M871" s="4" t="str">
        <x:v>未测</x:v>
      </x:c>
      <x:c r="N871" s="4" t="str"/>
      <x:c r="O871" s="4" t="str">
        <x:v>1. 来源：MainBasis/统一需求文档.md；U-views_live-room_contribution-rank-001
2. 场景：SC-1efcf73f23820b</x:v>
      </x:c>
    </x:row>
    <x:row r="872" ht="68" customHeight="1">
      <x:c r="A872" s="4" t="n">
        <x:v>871</x:v>
      </x:c>
      <x:c r="B872" s="4" t="str">
        <x:v>USER-0871</x:v>
      </x:c>
      <x:c r="C872" s="4" t="str">
        <x:v>M06 开播、房型、观看、连麦与房内管理</x:v>
      </x:c>
      <x:c r="D872" s="4" t="str">
        <x:v>本场贡献-贡献榜（用户视角）</x:v>
      </x:c>
      <x:c r="E872" s="4" t="str">
        <x:v>功能需求</x:v>
      </x:c>
      <x:c r="F872" s="4" t="str">
        <x:v>P1</x:v>
      </x:c>
      <x:c r="G872" s="4" t="str">
        <x:v>验证观众本场榜99人</x:v>
      </x:c>
      <x:c r="H872" s="4" t="str">
        <x:v>观众本场榜99人</x:v>
      </x:c>
      <x:c r="I872" s="4" t="str">
        <x:v>1. 已登录用户账号
2. 本场有99个产生有效贡献账号</x:v>
      </x:c>
      <x:c r="J872" s="4" t="str">
        <x:v>1. 进入「直播间-观众」页
2. 打开「本场贡献-贡献榜」视图
3. 查看观众本场榜99人</x:v>
      </x:c>
      <x:c r="K872" s="4" t="str">
        <x:v>展示99名</x:v>
      </x:c>
      <x:c r="L872" s="4" t="str"/>
      <x:c r="M872" s="4" t="str">
        <x:v>未测</x:v>
      </x:c>
      <x:c r="N872" s="4" t="str"/>
      <x:c r="O872" s="4" t="str">
        <x:v>1. 来源：MainBasis/统一需求文档.md；U-views_live-room_contribution-rank-001
2. 场景：SC-baa4ce28c4efba</x:v>
      </x:c>
    </x:row>
    <x:row r="873" ht="68" customHeight="1">
      <x:c r="A873" s="4" t="n">
        <x:v>872</x:v>
      </x:c>
      <x:c r="B873" s="4" t="str">
        <x:v>USER-0872</x:v>
      </x:c>
      <x:c r="C873" s="4" t="str">
        <x:v>M06 开播、房型、观看、连麦与房内管理</x:v>
      </x:c>
      <x:c r="D873" s="4" t="str">
        <x:v>本场贡献-贡献榜（用户视角）</x:v>
      </x:c>
      <x:c r="E873" s="4" t="str">
        <x:v>功能需求</x:v>
      </x:c>
      <x:c r="F873" s="4" t="str">
        <x:v>P1</x:v>
      </x:c>
      <x:c r="G873" s="4" t="str">
        <x:v>验证观众本场榜100人</x:v>
      </x:c>
      <x:c r="H873" s="4" t="str">
        <x:v>观众本场榜100人</x:v>
      </x:c>
      <x:c r="I873" s="4" t="str">
        <x:v>1. 已登录用户账号
2. 本场有100个产生有效贡献账号</x:v>
      </x:c>
      <x:c r="J873" s="4" t="str">
        <x:v>1. 进入「直播间-观众」页
2. 打开「本场贡献-贡献榜」视图
3. 查看观众本场榜100人</x:v>
      </x:c>
      <x:c r="K873" s="4" t="str">
        <x:v>展示99名</x:v>
      </x:c>
      <x:c r="L873" s="4" t="str"/>
      <x:c r="M873" s="4" t="str">
        <x:v>未测</x:v>
      </x:c>
      <x:c r="N873" s="4" t="str"/>
      <x:c r="O873" s="4" t="str">
        <x:v>1. 来源：MainBasis/统一需求文档.md；U-views_live-room_contribution-rank-001
2. 场景：SC-90ea27707fba94</x:v>
      </x:c>
    </x:row>
    <x:row r="874" ht="68" customHeight="1">
      <x:c r="A874" s="4" t="n">
        <x:v>873</x:v>
      </x:c>
      <x:c r="B874" s="4" t="str">
        <x:v>USER-0873</x:v>
      </x:c>
      <x:c r="C874" s="4" t="str">
        <x:v>M06 开播、房型、观看、连麦与房内管理</x:v>
      </x:c>
      <x:c r="D874" s="4" t="str">
        <x:v>本场贡献-贡献榜（用户视角）</x:v>
      </x:c>
      <x:c r="E874" s="4" t="str">
        <x:v>功能需求</x:v>
      </x:c>
      <x:c r="F874" s="4" t="str">
        <x:v>P1</x:v>
      </x:c>
      <x:c r="G874" s="4" t="str">
        <x:v>验证观众本场榜贡献值排序</x:v>
      </x:c>
      <x:c r="H874" s="4" t="str">
        <x:v>观众本场榜贡献值排序</x:v>
      </x:c>
      <x:c r="I874" s="4" t="str">
        <x:v>1. 已登录用户账号
2. 两个用户前0项相同，贡献值分别10和20</x:v>
      </x:c>
      <x:c r="J874" s="4" t="str">
        <x:v>1. 进入「直播间-观众」页
2. 打开「本场贡献-贡献榜」视图
3. 查看观众本场榜贡献值排序</x:v>
      </x:c>
      <x:c r="K874" s="4" t="str">
        <x:v>20对应用户排在前面</x:v>
      </x:c>
      <x:c r="L874" s="4" t="str"/>
      <x:c r="M874" s="4" t="str">
        <x:v>未测</x:v>
      </x:c>
      <x:c r="N874" s="4" t="str"/>
      <x:c r="O874" s="4" t="str">
        <x:v>1. 来源：MainBasis/统一需求文档.md；U-views_live-room_contribution-rank-002
2. 场景：SC-77f7cb07b69803</x:v>
      </x:c>
    </x:row>
    <x:row r="875" ht="68" customHeight="1">
      <x:c r="A875" s="4" t="n">
        <x:v>874</x:v>
      </x:c>
      <x:c r="B875" s="4" t="str">
        <x:v>USER-0874</x:v>
      </x:c>
      <x:c r="C875" s="4" t="str">
        <x:v>M06 开播、房型、观看、连麦与房内管理</x:v>
      </x:c>
      <x:c r="D875" s="4" t="str">
        <x:v>本场贡献-贡献榜（用户视角）</x:v>
      </x:c>
      <x:c r="E875" s="4" t="str">
        <x:v>功能需求</x:v>
      </x:c>
      <x:c r="F875" s="4" t="str">
        <x:v>P1</x:v>
      </x:c>
      <x:c r="G875" s="4" t="str">
        <x:v>验证观众本场榜粉丝等级排序</x:v>
      </x:c>
      <x:c r="H875" s="4" t="str">
        <x:v>观众本场榜粉丝等级排序</x:v>
      </x:c>
      <x:c r="I875" s="4" t="str">
        <x:v>1. 已登录用户账号
2. 两个用户前1项相同，粉丝等级分别10和20</x:v>
      </x:c>
      <x:c r="J875" s="4" t="str">
        <x:v>1. 进入「直播间-观众」页
2. 打开「本场贡献-贡献榜」视图
3. 查看观众本场榜粉丝等级排序</x:v>
      </x:c>
      <x:c r="K875" s="4" t="str">
        <x:v>20对应用户排在前面</x:v>
      </x:c>
      <x:c r="L875" s="4" t="str"/>
      <x:c r="M875" s="4" t="str">
        <x:v>未测</x:v>
      </x:c>
      <x:c r="N875" s="4" t="str"/>
      <x:c r="O875" s="4" t="str">
        <x:v>1. 来源：MainBasis/统一需求文档.md；U-views_live-room_contribution-rank-002
2. 场景：SC-c4beb3b76727e7</x:v>
      </x:c>
    </x:row>
    <x:row r="876" ht="68" customHeight="1">
      <x:c r="A876" s="4" t="n">
        <x:v>875</x:v>
      </x:c>
      <x:c r="B876" s="4" t="str">
        <x:v>USER-0875</x:v>
      </x:c>
      <x:c r="C876" s="4" t="str">
        <x:v>M06 开播、房型、观看、连麦与房内管理</x:v>
      </x:c>
      <x:c r="D876" s="4" t="str">
        <x:v>本场贡献-贡献榜（用户视角）</x:v>
      </x:c>
      <x:c r="E876" s="4" t="str">
        <x:v>功能需求</x:v>
      </x:c>
      <x:c r="F876" s="4" t="str">
        <x:v>P1</x:v>
      </x:c>
      <x:c r="G876" s="4" t="str">
        <x:v>验证观众本场榜财富等级排序</x:v>
      </x:c>
      <x:c r="H876" s="4" t="str">
        <x:v>观众本场榜财富等级排序</x:v>
      </x:c>
      <x:c r="I876" s="4" t="str">
        <x:v>1. 已登录用户账号
2. 两个用户前2项相同，财富等级分别10和20</x:v>
      </x:c>
      <x:c r="J876" s="4" t="str">
        <x:v>1. 进入「直播间-观众」页
2. 打开「本场贡献-贡献榜」视图
3. 查看观众本场榜财富等级排序</x:v>
      </x:c>
      <x:c r="K876" s="4" t="str">
        <x:v>20对应用户排在前面</x:v>
      </x:c>
      <x:c r="L876" s="4" t="str"/>
      <x:c r="M876" s="4" t="str">
        <x:v>未测</x:v>
      </x:c>
      <x:c r="N876" s="4" t="str"/>
      <x:c r="O876" s="4" t="str">
        <x:v>1. 来源：MainBasis/统一需求文档.md；U-views_live-room_contribution-rank-002
2. 场景：SC-bc9ca5da00740d</x:v>
      </x:c>
    </x:row>
    <x:row r="877" ht="68" customHeight="1">
      <x:c r="A877" s="4" t="n">
        <x:v>876</x:v>
      </x:c>
      <x:c r="B877" s="4" t="str">
        <x:v>USER-0876</x:v>
      </x:c>
      <x:c r="C877" s="4" t="str">
        <x:v>M06 开播、房型、观看、连麦与房内管理</x:v>
      </x:c>
      <x:c r="D877" s="4" t="str">
        <x:v>本场贡献-贡献榜（用户视角）</x:v>
      </x:c>
      <x:c r="E877" s="4" t="str">
        <x:v>功能需求</x:v>
      </x:c>
      <x:c r="F877" s="4" t="str">
        <x:v>P1</x:v>
      </x:c>
      <x:c r="G877" s="4" t="str">
        <x:v>验证观众本场榜用户ID排序</x:v>
      </x:c>
      <x:c r="H877" s="4" t="str">
        <x:v>观众本场榜用户ID排序</x:v>
      </x:c>
      <x:c r="I877" s="4" t="str">
        <x:v>1. 已登录用户账号
2. 两个用户前3项相同，用户ID分别10和20</x:v>
      </x:c>
      <x:c r="J877" s="4" t="str">
        <x:v>1. 进入「直播间-观众」页
2. 打开「本场贡献-贡献榜」视图
3. 查看观众本场榜用户ID排序</x:v>
      </x:c>
      <x:c r="K877" s="4" t="str">
        <x:v>10对应用户排在前面</x:v>
      </x:c>
      <x:c r="L877" s="4" t="str"/>
      <x:c r="M877" s="4" t="str">
        <x:v>未测</x:v>
      </x:c>
      <x:c r="N877" s="4" t="str"/>
      <x:c r="O877" s="4" t="str">
        <x:v>1. 来源：MainBasis/统一需求文档.md；U-views_live-room_contribution-rank-002
2. 场景：SC-58de2a444442c8</x:v>
      </x:c>
    </x:row>
    <x:row r="878" ht="68" customHeight="1">
      <x:c r="A878" s="4" t="n">
        <x:v>877</x:v>
      </x:c>
      <x:c r="B878" s="4" t="str">
        <x:v>USER-0877</x:v>
      </x:c>
      <x:c r="C878" s="4" t="str">
        <x:v>M06 开播、房型、观看、连麦与房内管理</x:v>
      </x:c>
      <x:c r="D878" s="4" t="str">
        <x:v>本场贡献-贡献榜（用户视角）</x:v>
      </x:c>
      <x:c r="E878" s="4" t="str">
        <x:v>功能需求</x:v>
      </x:c>
      <x:c r="F878" s="4" t="str">
        <x:v>P1</x:v>
      </x:c>
      <x:c r="G878" s="4" t="str">
        <x:v>验证观众本场榜缺等级按0</x:v>
      </x:c>
      <x:c r="H878" s="4" t="str">
        <x:v>观众本场榜缺等级按0</x:v>
      </x:c>
      <x:c r="I878" s="4" t="str">
        <x:v>1. 已登录用户账号
2. 贡献相等，一人粉丝等级缺失、一人为1级</x:v>
      </x:c>
      <x:c r="J878" s="4" t="str">
        <x:v>1. 进入「直播间-观众」页
2. 打开「本场贡献-贡献榜」视图
3. 查看观众本场榜缺等级按0</x:v>
      </x:c>
      <x:c r="K878" s="4" t="str">
        <x:v>粉丝1级用户排在粉丝等级缺失用户前</x:v>
      </x:c>
      <x:c r="L878" s="4" t="str"/>
      <x:c r="M878" s="4" t="str">
        <x:v>未测</x:v>
      </x:c>
      <x:c r="N878" s="4" t="str"/>
      <x:c r="O878" s="4" t="str">
        <x:v>1. 来源：MainBasis/统一需求文档.md；U-views_live-room_contribution-rank-005
2. 场景：SC-ae55924133f57f</x:v>
      </x:c>
    </x:row>
    <x:row r="879" ht="68" customHeight="1">
      <x:c r="A879" s="4" t="n">
        <x:v>878</x:v>
      </x:c>
      <x:c r="B879" s="4" t="str">
        <x:v>USER-0878</x:v>
      </x:c>
      <x:c r="C879" s="4" t="str">
        <x:v>M06 开播、房型、观看、连麦与房内管理</x:v>
      </x:c>
      <x:c r="D879" s="4" t="str">
        <x:v>本场贡献-贡献榜（用户视角）</x:v>
      </x:c>
      <x:c r="E879" s="4" t="str">
        <x:v>功能需求</x:v>
      </x:c>
      <x:c r="F879" s="4" t="str">
        <x:v>P1</x:v>
      </x:c>
      <x:c r="G879" s="4" t="str">
        <x:v>验证我的排名上榜</x:v>
      </x:c>
      <x:c r="H879" s="4" t="str">
        <x:v>我的排名上榜</x:v>
      </x:c>
      <x:c r="I879" s="4" t="str">
        <x:v>1. 已登录用户账号
2. 我在本场排名第10</x:v>
      </x:c>
      <x:c r="J879" s="4" t="str">
        <x:v>1. 进入「直播间-观众」页
2. 打开「本场贡献-贡献榜」视图
3. 查看我的排名上榜</x:v>
      </x:c>
      <x:c r="K879" s="4" t="str">
        <x:v>榜单底部我的排名显示10</x:v>
      </x:c>
      <x:c r="L879" s="4" t="str"/>
      <x:c r="M879" s="4" t="str">
        <x:v>未测</x:v>
      </x:c>
      <x:c r="N879" s="4" t="str"/>
      <x:c r="O879" s="4" t="str">
        <x:v>1. 来源：MainBasis/统一需求文档.md；U-views_live-room_contribution-rank-004
2. 场景：SC-3f12b894c3ee61</x:v>
      </x:c>
    </x:row>
    <x:row r="880" ht="68" customHeight="1">
      <x:c r="A880" s="4" t="n">
        <x:v>879</x:v>
      </x:c>
      <x:c r="B880" s="4" t="str">
        <x:v>USER-0879</x:v>
      </x:c>
      <x:c r="C880" s="4" t="str">
        <x:v>M06 开播、房型、观看、连麦与房内管理</x:v>
      </x:c>
      <x:c r="D880" s="4" t="str">
        <x:v>本场贡献-贡献榜（用户视角）</x:v>
      </x:c>
      <x:c r="E880" s="4" t="str">
        <x:v>功能需求</x:v>
      </x:c>
      <x:c r="F880" s="4" t="str">
        <x:v>P1</x:v>
      </x:c>
      <x:c r="G880" s="4" t="str">
        <x:v>验证我的排名未上榜</x:v>
      </x:c>
      <x:c r="H880" s="4" t="str">
        <x:v>我的排名未上榜</x:v>
      </x:c>
      <x:c r="I880" s="4" t="str">
        <x:v>1. 已登录用户账号
2. 我未进入本场前99名</x:v>
      </x:c>
      <x:c r="J880" s="4" t="str">
        <x:v>1. 进入「直播间-观众」页
2. 打开「本场贡献-贡献榜」视图
3. 查看我的排名未上榜</x:v>
      </x:c>
      <x:c r="K880" s="4" t="str">
        <x:v>榜单底部我的排名显示“-”</x:v>
      </x:c>
      <x:c r="L880" s="4" t="str"/>
      <x:c r="M880" s="4" t="str">
        <x:v>未测</x:v>
      </x:c>
      <x:c r="N880" s="4" t="str"/>
      <x:c r="O880" s="4" t="str">
        <x:v>1. 来源：MainBasis/统一需求文档.md；U-views_live-room_contribution-rank-004
2. 场景：SC-f1f38744d5c075</x:v>
      </x:c>
    </x:row>
    <x:row r="881" ht="68" customHeight="1">
      <x:c r="A881" s="4" t="n">
        <x:v>880</x:v>
      </x:c>
      <x:c r="B881" s="4" t="str">
        <x:v>USER-0880</x:v>
      </x:c>
      <x:c r="C881" s="4" t="str">
        <x:v>M06 开播、房型、观看、连麦与房内管理</x:v>
      </x:c>
      <x:c r="D881" s="4" t="str">
        <x:v>本场贡献-贡献榜（用户视角）</x:v>
      </x:c>
      <x:c r="E881" s="4" t="str">
        <x:v>功能需求</x:v>
      </x:c>
      <x:c r="F881" s="4" t="str">
        <x:v>P2</x:v>
      </x:c>
      <x:c r="G881" s="4" t="str">
        <x:v>验证用户入口</x:v>
      </x:c>
      <x:c r="H881" s="4" t="str">
        <x:v>用户入口</x:v>
      </x:c>
      <x:c r="I881" s="4" t="str">
        <x:v>1. 已登录用户账号</x:v>
      </x:c>
      <x:c r="J881" s="4" t="str">
        <x:v>1. 进入「直播间-观众」页
2. 打开「本场贡献-贡献榜」视图
3. 点击「用户」</x:v>
      </x:c>
      <x:c r="K881" s="4" t="str">
        <x:v>页面进入「用户资料卡」</x:v>
      </x:c>
      <x:c r="L881" s="4" t="str"/>
      <x:c r="M881" s="4" t="str">
        <x:v>未测</x:v>
      </x:c>
      <x:c r="N881" s="4" t="str"/>
      <x:c r="O881" s="4" t="str">
        <x:v>1. 来源：MainBasis/统一需求文档.md；U-views_live-room_contribution-rank-009
2. 场景：SC-38e15d4b8f3c5b</x:v>
      </x:c>
    </x:row>
    <x:row r="882" ht="68" customHeight="1">
      <x:c r="A882" s="4" t="n">
        <x:v>881</x:v>
      </x:c>
      <x:c r="B882" s="4" t="str">
        <x:v>USER-0881</x:v>
      </x:c>
      <x:c r="C882" s="4" t="str">
        <x:v>M06 开播、房型、观看、连麦与房内管理</x:v>
      </x:c>
      <x:c r="D882" s="4" t="str">
        <x:v>本场贡献-贡献榜（用户视角）</x:v>
      </x:c>
      <x:c r="E882" s="4" t="str">
        <x:v>功能需求</x:v>
      </x:c>
      <x:c r="F882" s="4" t="str">
        <x:v>P1</x:v>
      </x:c>
      <x:c r="G882" s="4" t="str">
        <x:v>验证排名滚动仍可查看本人</x:v>
      </x:c>
      <x:c r="H882" s="4" t="str">
        <x:v>排名滚动仍可查看本人</x:v>
      </x:c>
      <x:c r="I882" s="4" t="str">
        <x:v>1. 已登录用户账号
2. 本场贡献榜超过一屏且我已上榜</x:v>
      </x:c>
      <x:c r="J882" s="4" t="str">
        <x:v>1. 进入「直播间-观众」页
2. 打开「本场贡献-贡献榜」视图
3. 滚动榜单到底部</x:v>
      </x:c>
      <x:c r="K882" s="4" t="str">
        <x:v>我的排名始终固定在底部</x:v>
      </x:c>
      <x:c r="L882" s="4" t="str"/>
      <x:c r="M882" s="4" t="str">
        <x:v>未测</x:v>
      </x:c>
      <x:c r="N882" s="4" t="str"/>
      <x:c r="O882" s="4" t="str">
        <x:v>1. 来源：MainBasis/统一需求文档.md；U-views_live-room_contribution-rank-008
2. 场景：SC-ad2e0532bf28e6</x:v>
      </x:c>
    </x:row>
    <x:row r="883" ht="68" customHeight="1">
      <x:c r="A883" s="4" t="n">
        <x:v>882</x:v>
      </x:c>
      <x:c r="B883" s="4" t="str">
        <x:v>USER-0882</x:v>
      </x:c>
      <x:c r="C883" s="4" t="str">
        <x:v>M06 开播、房型、观看、连麦与房内管理</x:v>
      </x:c>
      <x:c r="D883" s="4" t="str">
        <x:v>本场贡献-贡献榜（用户视角）</x:v>
      </x:c>
      <x:c r="E883" s="4" t="str">
        <x:v>功能需求</x:v>
      </x:c>
      <x:c r="F883" s="4" t="str">
        <x:v>P1</x:v>
      </x:c>
      <x:c r="G883" s="4" t="str">
        <x:v>验证已注销榜单账号只读</x:v>
      </x:c>
      <x:c r="H883" s="4" t="str">
        <x:v>已注销榜单账号只读</x:v>
      </x:c>
      <x:c r="I883" s="4" t="str">
        <x:v>1. 已登录用户账号
2. 榜单有贡献100的已注销账号</x:v>
      </x:c>
      <x:c r="J883" s="4" t="str">
        <x:v>1. 进入「直播间-观众」页
2. 打开「本场贡献-贡献榜」视图
3. 查看已注销榜单账号只读</x:v>
      </x:c>
      <x:c r="K883" s="4" t="str">
        <x:v>贡献100保留，名称为“账号已注销”，不能打开主页</x:v>
      </x:c>
      <x:c r="L883" s="4" t="str"/>
      <x:c r="M883" s="4" t="str">
        <x:v>未测</x:v>
      </x:c>
      <x:c r="N883" s="4" t="str"/>
      <x:c r="O883" s="4" t="str">
        <x:v>1. 来源：MainBasis/统一需求文档.md；U-views_live-room_contribution-rank-007
2. 场景：SC-b730f8a7bf8e63</x:v>
      </x:c>
    </x:row>
    <x:row r="884" ht="68" customHeight="1">
      <x:c r="A884" s="4" t="n">
        <x:v>883</x:v>
      </x:c>
      <x:c r="B884" s="4" t="str">
        <x:v>USER-0883</x:v>
      </x:c>
      <x:c r="C884" s="4" t="str">
        <x:v>M06 开播、房型、观看、连麦与房内管理</x:v>
      </x:c>
      <x:c r="D884" s="4" t="str">
        <x:v>本场贡献-收到礼物（用户视角）</x:v>
      </x:c>
      <x:c r="E884" s="4" t="str">
        <x:v>功能需求</x:v>
      </x:c>
      <x:c r="F884" s="4" t="str">
        <x:v>P2</x:v>
      </x:c>
      <x:c r="G884" s="4" t="str">
        <x:v>验证赠送用户回显</x:v>
      </x:c>
      <x:c r="H884" s="4" t="str">
        <x:v>赠送用户回显</x:v>
      </x:c>
      <x:c r="I884" s="4" t="str">
        <x:v>1. 已登录用户账号
2. 所选对象存在，已记录该对象的赠送用户值</x:v>
      </x:c>
      <x:c r="J884" s="4" t="str">
        <x:v>1. 进入「直播间-观众」页
2. 打开「本场贡献-收到礼物」视图
3. 查看赠送用户回显</x:v>
      </x:c>
      <x:c r="K884" s="4" t="str">
        <x:v>「赠送用户」内容与所选对象的该项资料一致</x:v>
      </x:c>
      <x:c r="L884" s="4" t="str"/>
      <x:c r="M884" s="4" t="str">
        <x:v>未测</x:v>
      </x:c>
      <x:c r="N884" s="4" t="str"/>
      <x:c r="O884" s="4" t="str">
        <x:v>1. 来源：MainBasis/统一需求文档.md；U-views_live-room_contribution-gifts-002
2. 场景：SC-f79c75ce5da5c8</x:v>
      </x:c>
    </x:row>
    <x:row r="885" ht="68" customHeight="1">
      <x:c r="A885" s="4" t="n">
        <x:v>884</x:v>
      </x:c>
      <x:c r="B885" s="4" t="str">
        <x:v>USER-0884</x:v>
      </x:c>
      <x:c r="C885" s="4" t="str">
        <x:v>M06 开播、房型、观看、连麦与房内管理</x:v>
      </x:c>
      <x:c r="D885" s="4" t="str">
        <x:v>本场贡献-收到礼物（用户视角）</x:v>
      </x:c>
      <x:c r="E885" s="4" t="str">
        <x:v>逻辑校验</x:v>
      </x:c>
      <x:c r="F885" s="4" t="str">
        <x:v>P1</x:v>
      </x:c>
      <x:c r="G885" s="4" t="str">
        <x:v>验证单价与数量乘积</x:v>
      </x:c>
      <x:c r="H885" s="4" t="str">
        <x:v>单价与数量乘积</x:v>
      </x:c>
      <x:c r="I885" s="4" t="str">
        <x:v>1. 已登录用户账号
2. 本笔记录单价10、数量3</x:v>
      </x:c>
      <x:c r="J885" s="4" t="str">
        <x:v>1. 进入「直播间-观众」页
2. 打开「本场贡献-收到礼物」视图
3. 查看单价与数量乘积</x:v>
      </x:c>
      <x:c r="K885" s="4" t="str">
        <x:v>金额 = 10 × 3 = 30金币</x:v>
      </x:c>
      <x:c r="L885" s="4" t="str"/>
      <x:c r="M885" s="4" t="str">
        <x:v>未测</x:v>
      </x:c>
      <x:c r="N885" s="4" t="str"/>
      <x:c r="O885" s="4" t="str">
        <x:v>1. 来源：MainBasis/统一需求文档.md；U-views_live-room_contribution-gifts-003
2. 场景：SC-67639d97db5094</x:v>
      </x:c>
    </x:row>
    <x:row r="886" ht="68" customHeight="1">
      <x:c r="A886" s="4" t="n">
        <x:v>885</x:v>
      </x:c>
      <x:c r="B886" s="4" t="str">
        <x:v>USER-0885</x:v>
      </x:c>
      <x:c r="C886" s="4" t="str">
        <x:v>M06 开播、房型、观看、连麦与房内管理</x:v>
      </x:c>
      <x:c r="D886" s="4" t="str">
        <x:v>本场贡献-收到礼物（用户视角）</x:v>
      </x:c>
      <x:c r="E886" s="4" t="str">
        <x:v>功能需求</x:v>
      </x:c>
      <x:c r="F886" s="4" t="str">
        <x:v>P2</x:v>
      </x:c>
      <x:c r="G886" s="4" t="str">
        <x:v>验证赠送用户入口</x:v>
      </x:c>
      <x:c r="H886" s="4" t="str">
        <x:v>赠送用户入口</x:v>
      </x:c>
      <x:c r="I886" s="4" t="str">
        <x:v>1. 已登录用户账号</x:v>
      </x:c>
      <x:c r="J886" s="4" t="str">
        <x:v>1. 进入「直播间-观众」页
2. 打开「本场贡献-收到礼物」视图
3. 点击「赠送用户」</x:v>
      </x:c>
      <x:c r="K886" s="4" t="str">
        <x:v>页面进入「用户资料卡」</x:v>
      </x:c>
      <x:c r="L886" s="4" t="str"/>
      <x:c r="M886" s="4" t="str">
        <x:v>未测</x:v>
      </x:c>
      <x:c r="N886" s="4" t="str"/>
      <x:c r="O886" s="4" t="str">
        <x:v>1. 来源：MainBasis/统一需求文档.md；U-views_live-room_contribution-gifts-005
2. 场景：SC-39e592f192c190</x:v>
      </x:c>
    </x:row>
    <x:row r="887" ht="68" customHeight="1">
      <x:c r="A887" s="4" t="n">
        <x:v>886</x:v>
      </x:c>
      <x:c r="B887" s="4" t="str">
        <x:v>USER-0886</x:v>
      </x:c>
      <x:c r="C887" s="4" t="str">
        <x:v>M06 开播、房型、观看、连麦与房内管理</x:v>
      </x:c>
      <x:c r="D887" s="4" t="str">
        <x:v>本场贡献-收到礼物（用户视角）</x:v>
      </x:c>
      <x:c r="E887" s="4" t="str">
        <x:v>功能需求</x:v>
      </x:c>
      <x:c r="F887" s="4" t="str">
        <x:v>P1</x:v>
      </x:c>
      <x:c r="G887" s="4" t="str">
        <x:v>验证收到礼物只计成功记录</x:v>
      </x:c>
      <x:c r="H887" s="4" t="str">
        <x:v>收到礼物只计成功记录</x:v>
      </x:c>
      <x:c r="I887" s="4" t="str">
        <x:v>1. 已登录用户账号
2. 本场同礼物成功2件、失败3件、撤销1件</x:v>
      </x:c>
      <x:c r="J887" s="4" t="str">
        <x:v>1. 进入「直播间-观众」页
2. 打开「本场贡献-收到礼物」视图
3. 查看收到礼物只计成功记录</x:v>
      </x:c>
      <x:c r="K887" s="4" t="str">
        <x:v>该礼物仅展示成功2件</x:v>
      </x:c>
      <x:c r="L887" s="4" t="str"/>
      <x:c r="M887" s="4" t="str">
        <x:v>未测</x:v>
      </x:c>
      <x:c r="N887" s="4" t="str"/>
      <x:c r="O887" s="4" t="str">
        <x:v>1. 来源：MainBasis/统一需求文档.md；U-views_live-room_contribution-gifts-004
2. 场景：SC-e993384c8c16e4</x:v>
      </x:c>
    </x:row>
    <x:row r="888" ht="68" customHeight="1">
      <x:c r="A888" s="4" t="n">
        <x:v>887</x:v>
      </x:c>
      <x:c r="B888" s="4" t="str">
        <x:v>USER-0887</x:v>
      </x:c>
      <x:c r="C888" s="4" t="str">
        <x:v>M06 开播、房型、观看、连麦与房内管理</x:v>
      </x:c>
      <x:c r="D888" s="4" t="str">
        <x:v>本场贡献-收到礼物（用户视角）</x:v>
      </x:c>
      <x:c r="E888" s="4" t="str">
        <x:v>功能需求</x:v>
      </x:c>
      <x:c r="F888" s="4" t="str">
        <x:v>P1</x:v>
      </x:c>
      <x:c r="G888" s="4" t="str">
        <x:v>验证本场礼物数量</x:v>
      </x:c>
      <x:c r="H888" s="4" t="str">
        <x:v>本场礼物数量</x:v>
      </x:c>
      <x:c r="I888" s="4" t="str">
        <x:v>1. 已登录用户账号
2. 本场收到玫瑰3个，上一场收到2个</x:v>
      </x:c>
      <x:c r="J888" s="4" t="str">
        <x:v>1. 进入「直播间-观众」页
2. 打开「本场贡献-收到礼物」视图
3. 查看本场礼物数量</x:v>
      </x:c>
      <x:c r="K888" s="4" t="str">
        <x:v>玫瑰显示名称、对应图标及本场数量3</x:v>
      </x:c>
      <x:c r="L888" s="4" t="str"/>
      <x:c r="M888" s="4" t="str">
        <x:v>未测</x:v>
      </x:c>
      <x:c r="N888" s="4" t="str"/>
      <x:c r="O888" s="4" t="str">
        <x:v>1. 来源：MainBasis/统一需求文档.md；U-views_live-room_contribution-gifts-001
2. 场景：SC-48ae9598cfb463</x:v>
      </x:c>
    </x:row>
    <x:row r="889" ht="68" customHeight="1">
      <x:c r="A889" s="4" t="n">
        <x:v>888</x:v>
      </x:c>
      <x:c r="B889" s="4" t="str">
        <x:v>USER-0888</x:v>
      </x:c>
      <x:c r="C889" s="4" t="str">
        <x:v>M06 开播、房型、观看、连麦与房内管理</x:v>
      </x:c>
      <x:c r="D889" s="4" t="str">
        <x:v>更多功能（用户）（用户视角）</x:v>
      </x:c>
      <x:c r="E889" s="4" t="str">
        <x:v>功能需求</x:v>
      </x:c>
      <x:c r="F889" s="4" t="str">
        <x:v>P1</x:v>
      </x:c>
      <x:c r="G889" s="4" t="str">
        <x:v>验证观众转发入口</x:v>
      </x:c>
      <x:c r="H889" s="4" t="str">
        <x:v>观众转发入口</x:v>
      </x:c>
      <x:c r="I889" s="4" t="str">
        <x:v>1. 已登录用户账号
2. 当前观看一场仍在直播的普通房</x:v>
      </x:c>
      <x:c r="J889" s="4" t="str">
        <x:v>1. 进入「直播间-观众」页
2. 打开「更多功能（用户）」视图
3. 选择「转发」</x:v>
      </x:c>
      <x:c r="K889" s="4" t="str">
        <x:v>系统分享面板打开</x:v>
      </x:c>
      <x:c r="L889" s="4" t="str"/>
      <x:c r="M889" s="4" t="str">
        <x:v>未测</x:v>
      </x:c>
      <x:c r="N889" s="4" t="str"/>
      <x:c r="O889" s="4" t="str">
        <x:v>1. 来源：MainBasis/统一需求文档.md；U-views_live-room_more-actions-004
2. 场景：SC-ac7cc5b6a50a4b</x:v>
      </x:c>
    </x:row>
    <x:row r="890" ht="68" customHeight="1">
      <x:c r="A890" s="4" t="n">
        <x:v>889</x:v>
      </x:c>
      <x:c r="B890" s="4" t="str">
        <x:v>USER-0889</x:v>
      </x:c>
      <x:c r="C890" s="4" t="str">
        <x:v>M06 开播、房型、观看、连麦与房内管理</x:v>
      </x:c>
      <x:c r="D890" s="4" t="str">
        <x:v>更多功能（用户）（用户视角）</x:v>
      </x:c>
      <x:c r="E890" s="4" t="str">
        <x:v>功能需求</x:v>
      </x:c>
      <x:c r="F890" s="4" t="str">
        <x:v>P2</x:v>
      </x:c>
      <x:c r="G890" s="4" t="str">
        <x:v>验证举报入口</x:v>
      </x:c>
      <x:c r="H890" s="4" t="str">
        <x:v>举报入口</x:v>
      </x:c>
      <x:c r="I890" s="4" t="str">
        <x:v>1. 已登录用户账号</x:v>
      </x:c>
      <x:c r="J890" s="4" t="str">
        <x:v>1. 进入「直播间-观众」页
2. 打开「更多功能（用户）」视图
3. 点击「举报」</x:v>
      </x:c>
      <x:c r="K890" s="4" t="str">
        <x:v>页面进入「直播举报」</x:v>
      </x:c>
      <x:c r="L890" s="4" t="str"/>
      <x:c r="M890" s="4" t="str">
        <x:v>未测</x:v>
      </x:c>
      <x:c r="N890" s="4" t="str"/>
      <x:c r="O890" s="4" t="str">
        <x:v>1. 来源：MainBasis/统一需求文档.md；U-views_live-room_more-actions-004
2. 场景：SC-97836127713aa6</x:v>
      </x:c>
    </x:row>
    <x:row r="891" ht="68" customHeight="1">
      <x:c r="A891" s="4" t="n">
        <x:v>890</x:v>
      </x:c>
      <x:c r="B891" s="4" t="str">
        <x:v>USER-0890</x:v>
      </x:c>
      <x:c r="C891" s="4" t="str">
        <x:v>M06 开播、房型、观看、连麦与房内管理</x:v>
      </x:c>
      <x:c r="D891" s="4" t="str">
        <x:v>更多功能（用户）（用户视角）</x:v>
      </x:c>
      <x:c r="E891" s="4" t="str">
        <x:v>功能需求</x:v>
      </x:c>
      <x:c r="F891" s="4" t="str">
        <x:v>P1</x:v>
      </x:c>
      <x:c r="G891" s="4" t="str">
        <x:v>验证关闭观众更多菜单</x:v>
      </x:c>
      <x:c r="H891" s="4" t="str">
        <x:v>关闭观众更多菜单</x:v>
      </x:c>
      <x:c r="I891" s="4" t="str">
        <x:v>1. 已登录用户账号
2. 更多菜单已展开</x:v>
      </x:c>
      <x:c r="J891" s="4" t="str">
        <x:v>1. 进入「直播间-观众」页
2. 打开「更多功能（用户）」视图
3. 点击菜单外遮罩</x:v>
      </x:c>
      <x:c r="K891" s="4" t="str">
        <x:v>更多菜单关闭</x:v>
      </x:c>
      <x:c r="L891" s="4" t="str"/>
      <x:c r="M891" s="4" t="str">
        <x:v>未测</x:v>
      </x:c>
      <x:c r="N891" s="4" t="str"/>
      <x:c r="O891" s="4" t="str">
        <x:v>1. 来源：MainBasis/统一需求文档.md；U-views_live-room_more-actions-004
2. 场景：SC-06e09894b00d84</x:v>
      </x:c>
    </x:row>
    <x:row r="892" ht="68" customHeight="1">
      <x:c r="A892" s="4" t="n">
        <x:v>891</x:v>
      </x:c>
      <x:c r="B892" s="4" t="str">
        <x:v>USER-0891</x:v>
      </x:c>
      <x:c r="C892" s="4" t="str">
        <x:v>M06 开播、房型、观看、连麦与房内管理</x:v>
      </x:c>
      <x:c r="D892" s="4" t="str">
        <x:v>主播资料卡（用户视角）</x:v>
      </x:c>
      <x:c r="E892" s="4" t="str">
        <x:v>功能需求</x:v>
      </x:c>
      <x:c r="F892" s="4" t="str">
        <x:v>P2</x:v>
      </x:c>
      <x:c r="G892" s="4" t="str">
        <x:v>验证主播资料回显</x:v>
      </x:c>
      <x:c r="H892" s="4" t="str">
        <x:v>主播资料回显</x:v>
      </x:c>
      <x:c r="I892" s="4" t="str">
        <x:v>1. 已登录用户账号
2. 所选对象存在，已记录该对象的主播资料值</x:v>
      </x:c>
      <x:c r="J892" s="4" t="str">
        <x:v>1. 进入「直播间-观众」页
2. 打开「主播资料卡」视图
3. 查看主播资料回显</x:v>
      </x:c>
      <x:c r="K892" s="4" t="str">
        <x:v>「主播资料」内容与所选对象的该项资料一致</x:v>
      </x:c>
      <x:c r="L892" s="4" t="str"/>
      <x:c r="M892" s="4" t="str">
        <x:v>未测</x:v>
      </x:c>
      <x:c r="N892" s="4" t="str"/>
      <x:c r="O892" s="4" t="str">
        <x:v>1. 来源：MainBasis/统一需求文档.md；U-views_live-room_host-profile-001
2. 场景：SC-c7438f1892b480</x:v>
      </x:c>
    </x:row>
    <x:row r="893" ht="68" customHeight="1">
      <x:c r="A893" s="4" t="n">
        <x:v>892</x:v>
      </x:c>
      <x:c r="B893" s="4" t="str">
        <x:v>USER-0892</x:v>
      </x:c>
      <x:c r="C893" s="4" t="str">
        <x:v>M06 开播、房型、观看、连麦与房内管理</x:v>
      </x:c>
      <x:c r="D893" s="4" t="str">
        <x:v>主播资料卡（用户视角）</x:v>
      </x:c>
      <x:c r="E893" s="4" t="str">
        <x:v>功能需求</x:v>
      </x:c>
      <x:c r="F893" s="4" t="str">
        <x:v>P2</x:v>
      </x:c>
      <x:c r="G893" s="4" t="str">
        <x:v>验证关系状态回显</x:v>
      </x:c>
      <x:c r="H893" s="4" t="str">
        <x:v>关系状态回显</x:v>
      </x:c>
      <x:c r="I893" s="4" t="str">
        <x:v>1. 已登录用户账号
2. 所选对象存在，已记录该对象的关系状态值</x:v>
      </x:c>
      <x:c r="J893" s="4" t="str">
        <x:v>1. 进入「直播间-观众」页
2. 打开「主播资料卡」视图
3. 查看关系状态回显</x:v>
      </x:c>
      <x:c r="K893" s="4" t="str">
        <x:v>「关系状态」内容与所选对象的该项资料一致</x:v>
      </x:c>
      <x:c r="L893" s="4" t="str"/>
      <x:c r="M893" s="4" t="str">
        <x:v>未测</x:v>
      </x:c>
      <x:c r="N893" s="4" t="str"/>
      <x:c r="O893" s="4" t="str">
        <x:v>1. 来源：MainBasis/统一需求文档.md；U-views_live-room_host-profile-003
2. 场景：SC-098cc8a584f4bc</x:v>
      </x:c>
    </x:row>
    <x:row r="894" ht="68" customHeight="1">
      <x:c r="A894" s="4" t="n">
        <x:v>893</x:v>
      </x:c>
      <x:c r="B894" s="4" t="str">
        <x:v>USER-0893</x:v>
      </x:c>
      <x:c r="C894" s="4" t="str">
        <x:v>M06 开播、房型、观看、连麦与房内管理</x:v>
      </x:c>
      <x:c r="D894" s="4" t="str">
        <x:v>主播资料卡（用户视角）</x:v>
      </x:c>
      <x:c r="E894" s="4" t="str">
        <x:v>功能需求</x:v>
      </x:c>
      <x:c r="F894" s="4" t="str">
        <x:v>P1</x:v>
      </x:c>
      <x:c r="G894" s="4" t="str">
        <x:v>验证主播资料卡关播状态</x:v>
      </x:c>
      <x:c r="H894" s="4" t="str">
        <x:v>主播资料卡关播状态</x:v>
      </x:c>
      <x:c r="I894" s="4" t="str">
        <x:v>1. 已登录用户账号
2. 该主播当前场次刚结束</x:v>
      </x:c>
      <x:c r="J894" s="4" t="str">
        <x:v>1. 进入「直播间-观众」页
2. 打开「主播资料卡」视图
3. 查看主播资料卡关播状态</x:v>
      </x:c>
      <x:c r="K894" s="4" t="str">
        <x:v>直播状态更新为未开播</x:v>
      </x:c>
      <x:c r="L894" s="4" t="str"/>
      <x:c r="M894" s="4" t="str">
        <x:v>未测</x:v>
      </x:c>
      <x:c r="N894" s="4" t="str"/>
      <x:c r="O894" s="4" t="str">
        <x:v>1. 来源：MainBasis/统一需求文档.md；U-views_live-room_host-profile-002
2. 场景：SC-654696a642e441</x:v>
      </x:c>
    </x:row>
    <x:row r="895" ht="68" customHeight="1">
      <x:c r="A895" s="4" t="n">
        <x:v>894</x:v>
      </x:c>
      <x:c r="B895" s="4" t="str">
        <x:v>USER-0894</x:v>
      </x:c>
      <x:c r="C895" s="4" t="str">
        <x:v>M06 开播、房型、观看、连麦与房内管理</x:v>
      </x:c>
      <x:c r="D895" s="4" t="str">
        <x:v>主播资料卡（用户视角）</x:v>
      </x:c>
      <x:c r="E895" s="4" t="str">
        <x:v>功能需求</x:v>
      </x:c>
      <x:c r="F895" s="4" t="str">
        <x:v>P1</x:v>
      </x:c>
      <x:c r="G895" s="4" t="str">
        <x:v>验证主播资料卡进入主页</x:v>
      </x:c>
      <x:c r="H895" s="4" t="str">
        <x:v>主播资料卡进入主页</x:v>
      </x:c>
      <x:c r="I895" s="4" t="str">
        <x:v>1. 已登录用户账号
2. 当前主播资料卡已展开</x:v>
      </x:c>
      <x:c r="J895" s="4" t="str">
        <x:v>1. 进入「直播间-观众」页
2. 打开「主播资料卡」视图
3. 点击「进入主页」</x:v>
      </x:c>
      <x:c r="K895" s="4" t="str">
        <x:v>进入当前主播的用户主页</x:v>
      </x:c>
      <x:c r="L895" s="4" t="str"/>
      <x:c r="M895" s="4" t="str">
        <x:v>未测</x:v>
      </x:c>
      <x:c r="N895" s="4" t="str"/>
      <x:c r="O895" s="4" t="str">
        <x:v>1. 来源：MainBasis/统一需求文档.md；U-views_live-room_host-profile-005
2. 场景：SC-0c98162db72b7d</x:v>
      </x:c>
    </x:row>
    <x:row r="896" ht="68" customHeight="1">
      <x:c r="A896" s="4" t="n">
        <x:v>895</x:v>
      </x:c>
      <x:c r="B896" s="4" t="str">
        <x:v>USER-0895</x:v>
      </x:c>
      <x:c r="C896" s="4" t="str">
        <x:v>M06 开播、房型、观看、连麦与房内管理</x:v>
      </x:c>
      <x:c r="D896" s="4" t="str">
        <x:v>主播资料卡（用户视角）</x:v>
      </x:c>
      <x:c r="E896" s="4" t="str">
        <x:v>功能需求</x:v>
      </x:c>
      <x:c r="F896" s="4" t="str">
        <x:v>P1</x:v>
      </x:c>
      <x:c r="G896" s="4" t="str">
        <x:v>验证主播资料卡关注</x:v>
      </x:c>
      <x:c r="H896" s="4" t="str">
        <x:v>主播资料卡关注</x:v>
      </x:c>
      <x:c r="I896" s="4" t="str">
        <x:v>1. 已登录用户账号
2. 我尚未关注当前主播</x:v>
      </x:c>
      <x:c r="J896" s="4" t="str">
        <x:v>1. 进入「直播间-观众」页
2. 打开「主播资料卡」视图
3. 点击「关注」</x:v>
      </x:c>
      <x:c r="K896" s="4" t="str">
        <x:v>当前主播资料卡的关注状态变为已关注</x:v>
      </x:c>
      <x:c r="L896" s="4" t="str"/>
      <x:c r="M896" s="4" t="str">
        <x:v>未测</x:v>
      </x:c>
      <x:c r="N896" s="4" t="str"/>
      <x:c r="O896" s="4" t="str">
        <x:v>1. 来源：MainBasis/统一需求文档.md；U-views_live-room_host-profile-005
2. 场景：SC-24f06043b57d77</x:v>
      </x:c>
    </x:row>
    <x:row r="897" ht="68" customHeight="1">
      <x:c r="A897" s="4" t="n">
        <x:v>896</x:v>
      </x:c>
      <x:c r="B897" s="4" t="str">
        <x:v>USER-0896</x:v>
      </x:c>
      <x:c r="C897" s="4" t="str">
        <x:v>M06 开播、房型、观看、连麦与房内管理</x:v>
      </x:c>
      <x:c r="D897" s="4" t="str">
        <x:v>主播资料卡（用户视角）</x:v>
      </x:c>
      <x:c r="E897" s="4" t="str">
        <x:v>功能需求</x:v>
      </x:c>
      <x:c r="F897" s="4" t="str">
        <x:v>P1</x:v>
      </x:c>
      <x:c r="G897" s="4" t="str">
        <x:v>验证主播资料卡申请好友</x:v>
      </x:c>
      <x:c r="H897" s="4" t="str">
        <x:v>主播资料卡申请好友</x:v>
      </x:c>
      <x:c r="I897" s="4" t="str">
        <x:v>1. 已登录用户账号
2. 当前主播不是我的好友且没有待处理申请</x:v>
      </x:c>
      <x:c r="J897" s="4" t="str">
        <x:v>1. 进入「直播间-观众」页
2. 打开「主播资料卡」视图
3. 点击「申请好友」</x:v>
      </x:c>
      <x:c r="K897" s="4" t="str">
        <x:v>对当前主播的好友申请显示已发送</x:v>
      </x:c>
      <x:c r="L897" s="4" t="str"/>
      <x:c r="M897" s="4" t="str">
        <x:v>未测</x:v>
      </x:c>
      <x:c r="N897" s="4" t="str"/>
      <x:c r="O897" s="4" t="str">
        <x:v>1. 来源：MainBasis/统一需求文档.md；U-views_live-room_host-profile-005
2. 场景：SC-2bbb0f1dedcf84</x:v>
      </x:c>
    </x:row>
    <x:row r="898" ht="68" customHeight="1">
      <x:c r="A898" s="4" t="n">
        <x:v>897</x:v>
      </x:c>
      <x:c r="B898" s="4" t="str">
        <x:v>USER-0897</x:v>
      </x:c>
      <x:c r="C898" s="4" t="str">
        <x:v>M06 开播、房型、观看、连麦与房内管理</x:v>
      </x:c>
      <x:c r="D898" s="4" t="str">
        <x:v>主播资料卡（用户视角）</x:v>
      </x:c>
      <x:c r="E898" s="4" t="str">
        <x:v>功能需求</x:v>
      </x:c>
      <x:c r="F898" s="4" t="str">
        <x:v>P1</x:v>
      </x:c>
      <x:c r="G898" s="4" t="str">
        <x:v>验证主播资料卡私信</x:v>
      </x:c>
      <x:c r="H898" s="4" t="str">
        <x:v>主播资料卡私信</x:v>
      </x:c>
      <x:c r="I898" s="4" t="str">
        <x:v>1. 已登录用户账号
2. 我和当前主播互为好友且未互相拉黑</x:v>
      </x:c>
      <x:c r="J898" s="4" t="str">
        <x:v>1. 进入「直播间-观众」页
2. 打开「主播资料卡」视图
3. 点击「私信」</x:v>
      </x:c>
      <x:c r="K898" s="4" t="str">
        <x:v>进入与当前主播的私信会话</x:v>
      </x:c>
      <x:c r="L898" s="4" t="str"/>
      <x:c r="M898" s="4" t="str">
        <x:v>未测</x:v>
      </x:c>
      <x:c r="N898" s="4" t="str"/>
      <x:c r="O898" s="4" t="str">
        <x:v>1. 来源：MainBasis/统一需求文档.md；U-views_live-room_host-profile-005
2. 场景：SC-1b2158543f550b</x:v>
      </x:c>
    </x:row>
    <x:row r="899" ht="68" customHeight="1">
      <x:c r="A899" s="4" t="n">
        <x:v>898</x:v>
      </x:c>
      <x:c r="B899" s="4" t="str">
        <x:v>USER-0898</x:v>
      </x:c>
      <x:c r="C899" s="4" t="str">
        <x:v>M06 开播、房型、观看、连麦与房内管理</x:v>
      </x:c>
      <x:c r="D899" s="4" t="str">
        <x:v>主播资料卡（用户视角）</x:v>
      </x:c>
      <x:c r="E899" s="4" t="str">
        <x:v>功能需求</x:v>
      </x:c>
      <x:c r="F899" s="4" t="str">
        <x:v>P1</x:v>
      </x:c>
      <x:c r="G899" s="4" t="str">
        <x:v>验证主播资料卡举报</x:v>
      </x:c>
      <x:c r="H899" s="4" t="str">
        <x:v>主播资料卡举报</x:v>
      </x:c>
      <x:c r="I899" s="4" t="str">
        <x:v>1. 已登录用户账号
2. 当前主播资料卡已展开</x:v>
      </x:c>
      <x:c r="J899" s="4" t="str">
        <x:v>1. 进入「直播间-观众」页
2. 打开「主播资料卡」视图
3. 点击「举报」</x:v>
      </x:c>
      <x:c r="K899" s="4" t="str">
        <x:v>进入以当前主播为被举报对象的举报页</x:v>
      </x:c>
      <x:c r="L899" s="4" t="str"/>
      <x:c r="M899" s="4" t="str">
        <x:v>未测</x:v>
      </x:c>
      <x:c r="N899" s="4" t="str"/>
      <x:c r="O899" s="4" t="str">
        <x:v>1. 来源：MainBasis/统一需求文档.md；U-views_live-room_host-profile-005
2. 场景：SC-f8f580c8e42e6a</x:v>
      </x:c>
    </x:row>
    <x:row r="900" ht="68" customHeight="1">
      <x:c r="A900" s="4" t="n">
        <x:v>899</x:v>
      </x:c>
      <x:c r="B900" s="4" t="str">
        <x:v>USER-0899</x:v>
      </x:c>
      <x:c r="C900" s="4" t="str">
        <x:v>M06 开播、房型、观看、连麦与房内管理</x:v>
      </x:c>
      <x:c r="D900" s="4" t="str">
        <x:v>举报直播间（用户视角）</x:v>
      </x:c>
      <x:c r="E900" s="4" t="str">
        <x:v>逻辑校验</x:v>
      </x:c>
      <x:c r="F900" s="4" t="str">
        <x:v>P1</x:v>
      </x:c>
      <x:c r="G900" s="4" t="str">
        <x:v>验证补充说明0字符可填写</x:v>
      </x:c>
      <x:c r="H900" s="4" t="str">
        <x:v>补充说明0字符可填写</x:v>
      </x:c>
      <x:c r="I900" s="4" t="str">
        <x:v>1. 已登录用户账号
2. 其他必填字段为合法值</x:v>
      </x:c>
      <x:c r="J900" s="4" t="str">
        <x:v>1. 进入「举报直播间」页
2. 清空「补充说明」
3. 点击「保存」</x:v>
      </x:c>
      <x:c r="K900" s="4" t="str">
        <x:v>「补充说明」保留0个字符</x:v>
      </x:c>
      <x:c r="L900" s="4" t="str"/>
      <x:c r="M900" s="4" t="str">
        <x:v>未测</x:v>
      </x:c>
      <x:c r="N900" s="4" t="str"/>
      <x:c r="O900" s="4" t="str">
        <x:v>1. 来源：MainBasis/统一需求文档.md；U-live-room-report-002
2. 场景：SC-e2f80098e10b9f</x:v>
      </x:c>
    </x:row>
    <x:row r="901" ht="68" customHeight="1">
      <x:c r="A901" s="4" t="n">
        <x:v>900</x:v>
      </x:c>
      <x:c r="B901" s="4" t="str">
        <x:v>USER-0900</x:v>
      </x:c>
      <x:c r="C901" s="4" t="str">
        <x:v>M06 开播、房型、观看、连麦与房内管理</x:v>
      </x:c>
      <x:c r="D901" s="4" t="str">
        <x:v>举报直播间（用户视角）</x:v>
      </x:c>
      <x:c r="E901" s="4" t="str">
        <x:v>逻辑校验</x:v>
      </x:c>
      <x:c r="F901" s="4" t="str">
        <x:v>P1</x:v>
      </x:c>
      <x:c r="G901" s="4" t="str">
        <x:v>验证补充说明1字符可填写</x:v>
      </x:c>
      <x:c r="H901" s="4" t="str">
        <x:v>补充说明1字符可填写</x:v>
      </x:c>
      <x:c r="I901" s="4" t="str">
        <x:v>1. 已登录用户账号
2. 其他必填字段为合法值</x:v>
      </x:c>
      <x:c r="J901" s="4" t="str">
        <x:v>1. 进入「举报直播间」页
2. 在「补充说明」输入1个「测」字符
3. 点击「保存」</x:v>
      </x:c>
      <x:c r="K901" s="4" t="str">
        <x:v>「补充说明」保留1个字符</x:v>
      </x:c>
      <x:c r="L901" s="4" t="str"/>
      <x:c r="M901" s="4" t="str">
        <x:v>未测</x:v>
      </x:c>
      <x:c r="N901" s="4" t="str"/>
      <x:c r="O901" s="4" t="str">
        <x:v>1. 来源：MainBasis/统一需求文档.md；U-live-room-report-002
2. 场景：SC-5b63ee3e3afed2</x:v>
      </x:c>
    </x:row>
    <x:row r="902" ht="68" customHeight="1">
      <x:c r="A902" s="4" t="n">
        <x:v>901</x:v>
      </x:c>
      <x:c r="B902" s="4" t="str">
        <x:v>USER-0901</x:v>
      </x:c>
      <x:c r="C902" s="4" t="str">
        <x:v>M06 开播、房型、观看、连麦与房内管理</x:v>
      </x:c>
      <x:c r="D902" s="4" t="str">
        <x:v>举报直播间（用户视角）</x:v>
      </x:c>
      <x:c r="E902" s="4" t="str">
        <x:v>逻辑校验</x:v>
      </x:c>
      <x:c r="F902" s="4" t="str">
        <x:v>P1</x:v>
      </x:c>
      <x:c r="G902" s="4" t="str">
        <x:v>验证补充说明199字符可填写</x:v>
      </x:c>
      <x:c r="H902" s="4" t="str">
        <x:v>补充说明199字符可填写</x:v>
      </x:c>
      <x:c r="I902" s="4" t="str">
        <x:v>1. 已登录用户账号
2. 其他必填字段为合法值</x:v>
      </x:c>
      <x:c r="J902" s="4" t="str">
        <x:v>1. 进入「举报直播间」页
2. 在「补充说明」输入199个「测」字符
3. 点击「保存」</x:v>
      </x:c>
      <x:c r="K902" s="4" t="str">
        <x:v>「补充说明」保留199个字符</x:v>
      </x:c>
      <x:c r="L902" s="4" t="str"/>
      <x:c r="M902" s="4" t="str">
        <x:v>未测</x:v>
      </x:c>
      <x:c r="N902" s="4" t="str"/>
      <x:c r="O902" s="4" t="str">
        <x:v>1. 来源：MainBasis/统一需求文档.md；U-live-room-report-002
2. 场景：SC-8b43a462905ee4</x:v>
      </x:c>
    </x:row>
    <x:row r="903" ht="68" customHeight="1">
      <x:c r="A903" s="4" t="n">
        <x:v>902</x:v>
      </x:c>
      <x:c r="B903" s="4" t="str">
        <x:v>USER-0902</x:v>
      </x:c>
      <x:c r="C903" s="4" t="str">
        <x:v>M06 开播、房型、观看、连麦与房内管理</x:v>
      </x:c>
      <x:c r="D903" s="4" t="str">
        <x:v>举报直播间（用户视角）</x:v>
      </x:c>
      <x:c r="E903" s="4" t="str">
        <x:v>逻辑校验</x:v>
      </x:c>
      <x:c r="F903" s="4" t="str">
        <x:v>P1</x:v>
      </x:c>
      <x:c r="G903" s="4" t="str">
        <x:v>验证补充说明200字符可填写</x:v>
      </x:c>
      <x:c r="H903" s="4" t="str">
        <x:v>补充说明200字符可填写</x:v>
      </x:c>
      <x:c r="I903" s="4" t="str">
        <x:v>1. 已登录用户账号
2. 其他必填字段为合法值</x:v>
      </x:c>
      <x:c r="J903" s="4" t="str">
        <x:v>1. 进入「举报直播间」页
2. 在「补充说明」输入200个「测」字符
3. 点击「保存」</x:v>
      </x:c>
      <x:c r="K903" s="4" t="str">
        <x:v>「补充说明」保留200个字符</x:v>
      </x:c>
      <x:c r="L903" s="4" t="str"/>
      <x:c r="M903" s="4" t="str">
        <x:v>未测</x:v>
      </x:c>
      <x:c r="N903" s="4" t="str"/>
      <x:c r="O903" s="4" t="str">
        <x:v>1. 来源：MainBasis/统一需求文档.md；U-live-room-report-002
2. 场景：SC-a9bd1d5fc063e0</x:v>
      </x:c>
    </x:row>
    <x:row r="904" ht="68" customHeight="1">
      <x:c r="A904" s="4" t="n">
        <x:v>903</x:v>
      </x:c>
      <x:c r="B904" s="4" t="str">
        <x:v>USER-0903</x:v>
      </x:c>
      <x:c r="C904" s="4" t="str">
        <x:v>M06 开播、房型、观看、连麦与房内管理</x:v>
      </x:c>
      <x:c r="D904" s="4" t="str">
        <x:v>举报直播间（用户视角）</x:v>
      </x:c>
      <x:c r="E904" s="4" t="str">
        <x:v>异常用例</x:v>
      </x:c>
      <x:c r="F904" s="4" t="str">
        <x:v>P1</x:v>
      </x:c>
      <x:c r="G904" s="4" t="str">
        <x:v>验证补充说明201字符限制</x:v>
      </x:c>
      <x:c r="H904" s="4" t="str">
        <x:v>补充说明201字符限制</x:v>
      </x:c>
      <x:c r="I904" s="4" t="str">
        <x:v>1. 已登录用户账号
2. 其他必填字段为合法值</x:v>
      </x:c>
      <x:c r="J904" s="4" t="str">
        <x:v>1. 进入「举报直播间」页
2. 在「补充说明」输入201个「测」字符
3. 点击「保存」</x:v>
      </x:c>
      <x:c r="K904" s="4" t="str">
        <x:v>补充说明未通过校验，无法保存</x:v>
      </x:c>
      <x:c r="L904" s="4" t="str"/>
      <x:c r="M904" s="4" t="str">
        <x:v>未测</x:v>
      </x:c>
      <x:c r="N904" s="4" t="str"/>
      <x:c r="O904" s="4" t="str">
        <x:v>1. 来源：MainBasis/统一需求文档.md；U-live-room-report-002
2. 场景：SC-3516fe9d575e3b</x:v>
      </x:c>
    </x:row>
    <x:row r="905" ht="68" customHeight="1">
      <x:c r="A905" s="4" t="n">
        <x:v>904</x:v>
      </x:c>
      <x:c r="B905" s="4" t="str">
        <x:v>USER-0904</x:v>
      </x:c>
      <x:c r="C905" s="4" t="str">
        <x:v>M06 开播、房型、观看、连麦与房内管理</x:v>
      </x:c>
      <x:c r="D905" s="4" t="str">
        <x:v>举报直播间（用户视角）</x:v>
      </x:c>
      <x:c r="E905" s="4" t="str">
        <x:v>功能需求</x:v>
      </x:c>
      <x:c r="F905" s="4" t="str">
        <x:v>P1</x:v>
      </x:c>
      <x:c r="G905" s="4" t="str">
        <x:v>验证直播举报未选原因</x:v>
      </x:c>
      <x:c r="H905" s="4" t="str">
        <x:v>直播举报未选原因</x:v>
      </x:c>
      <x:c r="I905" s="4" t="str">
        <x:v>1. 已登录用户账号
2. 未选择举报原因</x:v>
      </x:c>
      <x:c r="J905" s="4" t="str">
        <x:v>1. 进入「举报直播间」页
2. 查看直播举报未选原因</x:v>
      </x:c>
      <x:c r="K905" s="4" t="str">
        <x:v>提交按钮不可用</x:v>
      </x:c>
      <x:c r="L905" s="4" t="str"/>
      <x:c r="M905" s="4" t="str">
        <x:v>未测</x:v>
      </x:c>
      <x:c r="N905" s="4" t="str"/>
      <x:c r="O905" s="4" t="str">
        <x:v>1. 来源：MainBasis/统一需求文档.md；U-live-room-report-005、U-live-room-report-001
2. 场景：SC-536e02e121d410</x:v>
      </x:c>
    </x:row>
    <x:row r="906" ht="110" customHeight="1">
      <x:c r="A906" s="4" t="n">
        <x:v>905</x:v>
      </x:c>
      <x:c r="B906" s="4" t="str">
        <x:v>USER-0905</x:v>
      </x:c>
      <x:c r="C906" s="4" t="str">
        <x:v>M06 开播、房型、观看、连麦与房内管理</x:v>
      </x:c>
      <x:c r="D906" s="4" t="str">
        <x:v>举报直播间（用户视角）</x:v>
      </x:c>
      <x:c r="E906" s="4" t="str">
        <x:v>功能需求</x:v>
      </x:c>
      <x:c r="F906" s="4" t="str">
        <x:v>P1</x:v>
      </x:c>
      <x:c r="G906" s="4" t="str">
        <x:v>验证直播举报色情低俗</x:v>
      </x:c>
      <x:c r="H906" s="4" t="str">
        <x:v>直播举报色情低俗</x:v>
      </x:c>
      <x:c r="I906" s="4" t="str">
        <x:v>1. 已登录用户账号
2. 目标账号有效且目标直播场次仍在播</x:v>
      </x:c>
      <x:c r="J906" s="4" t="str">
        <x:v>1. 进入「举报直播间」页
2. 选择原因色情低俗
3. 点击提交</x:v>
      </x:c>
      <x:c r="K906" s="4" t="str">
        <x:v>生成当前场次举报工单并返回直播间</x:v>
      </x:c>
      <x:c r="L906" s="4" t="str">
        <x:v>FLOW-C83DBB68</x:v>
      </x:c>
      <x:c r="M906" s="4" t="str">
        <x:v>未测</x:v>
      </x:c>
      <x:c r="N906" s="4" t="str"/>
      <x:c r="O906" s="4" t="str">
        <x:v>1. 来源：MainBasis/统一需求文档.md；U-live-room-report-006、U-live-room-016、U-views_live-room_more-actions-002、U-live-room-report-004、D-SYS-097、D-SYS-113、D-SYS-114
2. 场景：SC-20d2caf937c257
3. 状态转换：ST-D442A7FDE8CB</x:v>
      </x:c>
    </x:row>
    <x:row r="907" ht="110" customHeight="1">
      <x:c r="A907" s="4" t="n">
        <x:v>906</x:v>
      </x:c>
      <x:c r="B907" s="4" t="str">
        <x:v>USER-0906</x:v>
      </x:c>
      <x:c r="C907" s="4" t="str">
        <x:v>M06 开播、房型、观看、连麦与房内管理</x:v>
      </x:c>
      <x:c r="D907" s="4" t="str">
        <x:v>举报直播间（用户视角）</x:v>
      </x:c>
      <x:c r="E907" s="4" t="str">
        <x:v>功能需求</x:v>
      </x:c>
      <x:c r="F907" s="4" t="str">
        <x:v>P1</x:v>
      </x:c>
      <x:c r="G907" s="4" t="str">
        <x:v>验证直播举报涉及宗教政治</x:v>
      </x:c>
      <x:c r="H907" s="4" t="str">
        <x:v>直播举报涉及宗教政治</x:v>
      </x:c>
      <x:c r="I907" s="4" t="str">
        <x:v>1. 已登录用户账号
2. 目标账号有效且目标直播场次仍在播</x:v>
      </x:c>
      <x:c r="J907" s="4" t="str">
        <x:v>1. 进入「举报直播间」页
2. 选择原因涉及宗教政治
3. 点击提交</x:v>
      </x:c>
      <x:c r="K907" s="4" t="str">
        <x:v>生成当前场次举报工单并返回直播间</x:v>
      </x:c>
      <x:c r="L907" s="4" t="str">
        <x:v>FLOW-C83DBB68</x:v>
      </x:c>
      <x:c r="M907" s="4" t="str">
        <x:v>未测</x:v>
      </x:c>
      <x:c r="N907" s="4" t="str"/>
      <x:c r="O907" s="4" t="str">
        <x:v>1. 来源：MainBasis/统一需求文档.md；U-live-room-report-006、U-live-room-016、U-views_live-room_more-actions-002、U-live-room-report-004、D-SYS-097、D-SYS-113、D-SYS-114
2. 场景：SC-aa380ece969286
3. 状态转换：ST-D442A7FDE8CB</x:v>
      </x:c>
    </x:row>
    <x:row r="908" ht="110" customHeight="1">
      <x:c r="A908" s="4" t="n">
        <x:v>907</x:v>
      </x:c>
      <x:c r="B908" s="4" t="str">
        <x:v>USER-0907</x:v>
      </x:c>
      <x:c r="C908" s="4" t="str">
        <x:v>M06 开播、房型、观看、连麦与房内管理</x:v>
      </x:c>
      <x:c r="D908" s="4" t="str">
        <x:v>举报直播间（用户视角）</x:v>
      </x:c>
      <x:c r="E908" s="4" t="str">
        <x:v>功能需求</x:v>
      </x:c>
      <x:c r="F908" s="4" t="str">
        <x:v>P1</x:v>
      </x:c>
      <x:c r="G908" s="4" t="str">
        <x:v>验证直播举报暴恐血腥</x:v>
      </x:c>
      <x:c r="H908" s="4" t="str">
        <x:v>直播举报暴恐血腥</x:v>
      </x:c>
      <x:c r="I908" s="4" t="str">
        <x:v>1. 已登录用户账号
2. 目标账号有效且目标直播场次仍在播</x:v>
      </x:c>
      <x:c r="J908" s="4" t="str">
        <x:v>1. 进入「举报直播间」页
2. 选择原因暴恐血腥
3. 点击提交</x:v>
      </x:c>
      <x:c r="K908" s="4" t="str">
        <x:v>生成当前场次举报工单并返回直播间</x:v>
      </x:c>
      <x:c r="L908" s="4" t="str">
        <x:v>FLOW-C83DBB68</x:v>
      </x:c>
      <x:c r="M908" s="4" t="str">
        <x:v>未测</x:v>
      </x:c>
      <x:c r="N908" s="4" t="str"/>
      <x:c r="O908" s="4" t="str">
        <x:v>1. 来源：MainBasis/统一需求文档.md；U-live-room-report-006、U-live-room-016、U-views_live-room_more-actions-002、U-live-room-report-004、D-SYS-097、D-SYS-113、D-SYS-114
2. 场景：SC-552341f0ec1658
3. 状态转换：ST-D442A7FDE8CB</x:v>
      </x:c>
    </x:row>
    <x:row r="909" ht="110" customHeight="1">
      <x:c r="A909" s="4" t="n">
        <x:v>908</x:v>
      </x:c>
      <x:c r="B909" s="4" t="str">
        <x:v>USER-0908</x:v>
      </x:c>
      <x:c r="C909" s="4" t="str">
        <x:v>M06 开播、房型、观看、连麦与房内管理</x:v>
      </x:c>
      <x:c r="D909" s="4" t="str">
        <x:v>举报直播间（用户视角）</x:v>
      </x:c>
      <x:c r="E909" s="4" t="str">
        <x:v>功能需求</x:v>
      </x:c>
      <x:c r="F909" s="4" t="str">
        <x:v>P1</x:v>
      </x:c>
      <x:c r="G909" s="4" t="str">
        <x:v>验证直播举报未成年人有害</x:v>
      </x:c>
      <x:c r="H909" s="4" t="str">
        <x:v>直播举报未成年人有害</x:v>
      </x:c>
      <x:c r="I909" s="4" t="str">
        <x:v>1. 已登录用户账号
2. 目标账号有效且目标直播场次仍在播</x:v>
      </x:c>
      <x:c r="J909" s="4" t="str">
        <x:v>1. 进入「举报直播间」页
2. 选择原因未成年人有害
3. 点击提交</x:v>
      </x:c>
      <x:c r="K909" s="4" t="str">
        <x:v>生成当前场次举报工单并返回直播间</x:v>
      </x:c>
      <x:c r="L909" s="4" t="str">
        <x:v>FLOW-C83DBB68</x:v>
      </x:c>
      <x:c r="M909" s="4" t="str">
        <x:v>未测</x:v>
      </x:c>
      <x:c r="N909" s="4" t="str"/>
      <x:c r="O909" s="4" t="str">
        <x:v>1. 来源：MainBasis/统一需求文档.md；U-live-room-report-006、U-live-room-016、U-views_live-room_more-actions-002、U-live-room-report-004、D-SYS-097、D-SYS-113、D-SYS-114
2. 场景：SC-77c4964da8dde5
3. 状态转换：ST-D442A7FDE8CB</x:v>
      </x:c>
    </x:row>
    <x:row r="910" ht="110" customHeight="1">
      <x:c r="A910" s="4" t="n">
        <x:v>909</x:v>
      </x:c>
      <x:c r="B910" s="4" t="str">
        <x:v>USER-0909</x:v>
      </x:c>
      <x:c r="C910" s="4" t="str">
        <x:v>M06 开播、房型、观看、连麦与房内管理</x:v>
      </x:c>
      <x:c r="D910" s="4" t="str">
        <x:v>举报直播间（用户视角）</x:v>
      </x:c>
      <x:c r="E910" s="4" t="str">
        <x:v>功能需求</x:v>
      </x:c>
      <x:c r="F910" s="4" t="str">
        <x:v>P1</x:v>
      </x:c>
      <x:c r="G910" s="4" t="str">
        <x:v>验证直播举报其他</x:v>
      </x:c>
      <x:c r="H910" s="4" t="str">
        <x:v>直播举报其他</x:v>
      </x:c>
      <x:c r="I910" s="4" t="str">
        <x:v>1. 已登录用户账号
2. 目标账号有效且目标直播场次仍在播</x:v>
      </x:c>
      <x:c r="J910" s="4" t="str">
        <x:v>1. 进入「举报直播间」页
2. 选择原因其他
3. 点击提交</x:v>
      </x:c>
      <x:c r="K910" s="4" t="str">
        <x:v>生成当前场次举报工单并返回直播间</x:v>
      </x:c>
      <x:c r="L910" s="4" t="str">
        <x:v>FLOW-C83DBB68</x:v>
      </x:c>
      <x:c r="M910" s="4" t="str">
        <x:v>未测</x:v>
      </x:c>
      <x:c r="N910" s="4" t="str"/>
      <x:c r="O910" s="4" t="str">
        <x:v>1. 来源：MainBasis/统一需求文档.md；U-live-room-report-006、U-live-room-016、U-views_live-room_more-actions-002、U-live-room-report-004、D-SYS-097、D-SYS-113、D-SYS-114
2. 场景：SC-66495f245fe932
3. 状态转换：ST-D442A7FDE8CB</x:v>
      </x:c>
    </x:row>
    <x:row r="911" ht="68" customHeight="1">
      <x:c r="A911" s="4" t="n">
        <x:v>910</x:v>
      </x:c>
      <x:c r="B911" s="4" t="str">
        <x:v>USER-0910</x:v>
      </x:c>
      <x:c r="C911" s="4" t="str">
        <x:v>M06 开播、房型、观看、连麦与房内管理</x:v>
      </x:c>
      <x:c r="D911" s="4" t="str">
        <x:v>举报用户（用户视角）</x:v>
      </x:c>
      <x:c r="E911" s="4" t="str">
        <x:v>逻辑校验</x:v>
      </x:c>
      <x:c r="F911" s="4" t="str">
        <x:v>P1</x:v>
      </x:c>
      <x:c r="G911" s="4" t="str">
        <x:v>验证补充说明0字符可填写</x:v>
      </x:c>
      <x:c r="H911" s="4" t="str">
        <x:v>补充说明0字符可填写</x:v>
      </x:c>
      <x:c r="I911" s="4" t="str">
        <x:v>1. 已登录用户账号
2. 其他必填字段为合法值</x:v>
      </x:c>
      <x:c r="J911" s="4" t="str">
        <x:v>1. 进入「举报用户」页
2. 清空「补充说明」
3. 点击「保存」</x:v>
      </x:c>
      <x:c r="K911" s="4" t="str">
        <x:v>「补充说明」保留0个字符</x:v>
      </x:c>
      <x:c r="L911" s="4" t="str"/>
      <x:c r="M911" s="4" t="str">
        <x:v>未测</x:v>
      </x:c>
      <x:c r="N911" s="4" t="str"/>
      <x:c r="O911" s="4" t="str">
        <x:v>1. 来源：MainBasis/统一需求文档.md；U-live-room-user-report-002
2. 场景：SC-edee2298fd4944</x:v>
      </x:c>
    </x:row>
    <x:row r="912" ht="68" customHeight="1">
      <x:c r="A912" s="4" t="n">
        <x:v>911</x:v>
      </x:c>
      <x:c r="B912" s="4" t="str">
        <x:v>USER-0911</x:v>
      </x:c>
      <x:c r="C912" s="4" t="str">
        <x:v>M06 开播、房型、观看、连麦与房内管理</x:v>
      </x:c>
      <x:c r="D912" s="4" t="str">
        <x:v>举报用户（用户视角）</x:v>
      </x:c>
      <x:c r="E912" s="4" t="str">
        <x:v>逻辑校验</x:v>
      </x:c>
      <x:c r="F912" s="4" t="str">
        <x:v>P1</x:v>
      </x:c>
      <x:c r="G912" s="4" t="str">
        <x:v>验证补充说明1字符可填写</x:v>
      </x:c>
      <x:c r="H912" s="4" t="str">
        <x:v>补充说明1字符可填写</x:v>
      </x:c>
      <x:c r="I912" s="4" t="str">
        <x:v>1. 已登录用户账号
2. 其他必填字段为合法值</x:v>
      </x:c>
      <x:c r="J912" s="4" t="str">
        <x:v>1. 进入「举报用户」页
2. 在「补充说明」输入1个「测」字符
3. 点击「保存」</x:v>
      </x:c>
      <x:c r="K912" s="4" t="str">
        <x:v>「补充说明」保留1个字符</x:v>
      </x:c>
      <x:c r="L912" s="4" t="str"/>
      <x:c r="M912" s="4" t="str">
        <x:v>未测</x:v>
      </x:c>
      <x:c r="N912" s="4" t="str"/>
      <x:c r="O912" s="4" t="str">
        <x:v>1. 来源：MainBasis/统一需求文档.md；U-live-room-user-report-002
2. 场景：SC-2341f8445b697a</x:v>
      </x:c>
    </x:row>
    <x:row r="913" ht="68" customHeight="1">
      <x:c r="A913" s="4" t="n">
        <x:v>912</x:v>
      </x:c>
      <x:c r="B913" s="4" t="str">
        <x:v>USER-0912</x:v>
      </x:c>
      <x:c r="C913" s="4" t="str">
        <x:v>M06 开播、房型、观看、连麦与房内管理</x:v>
      </x:c>
      <x:c r="D913" s="4" t="str">
        <x:v>举报用户（用户视角）</x:v>
      </x:c>
      <x:c r="E913" s="4" t="str">
        <x:v>逻辑校验</x:v>
      </x:c>
      <x:c r="F913" s="4" t="str">
        <x:v>P1</x:v>
      </x:c>
      <x:c r="G913" s="4" t="str">
        <x:v>验证补充说明199字符可填写</x:v>
      </x:c>
      <x:c r="H913" s="4" t="str">
        <x:v>补充说明199字符可填写</x:v>
      </x:c>
      <x:c r="I913" s="4" t="str">
        <x:v>1. 已登录用户账号
2. 其他必填字段为合法值</x:v>
      </x:c>
      <x:c r="J913" s="4" t="str">
        <x:v>1. 进入「举报用户」页
2. 在「补充说明」输入199个「测」字符
3. 点击「保存」</x:v>
      </x:c>
      <x:c r="K913" s="4" t="str">
        <x:v>「补充说明」保留199个字符</x:v>
      </x:c>
      <x:c r="L913" s="4" t="str"/>
      <x:c r="M913" s="4" t="str">
        <x:v>未测</x:v>
      </x:c>
      <x:c r="N913" s="4" t="str"/>
      <x:c r="O913" s="4" t="str">
        <x:v>1. 来源：MainBasis/统一需求文档.md；U-live-room-user-report-002
2. 场景：SC-5119aa77778fa3</x:v>
      </x:c>
    </x:row>
    <x:row r="914" ht="68" customHeight="1">
      <x:c r="A914" s="4" t="n">
        <x:v>913</x:v>
      </x:c>
      <x:c r="B914" s="4" t="str">
        <x:v>USER-0913</x:v>
      </x:c>
      <x:c r="C914" s="4" t="str">
        <x:v>M06 开播、房型、观看、连麦与房内管理</x:v>
      </x:c>
      <x:c r="D914" s="4" t="str">
        <x:v>举报用户（用户视角）</x:v>
      </x:c>
      <x:c r="E914" s="4" t="str">
        <x:v>逻辑校验</x:v>
      </x:c>
      <x:c r="F914" s="4" t="str">
        <x:v>P1</x:v>
      </x:c>
      <x:c r="G914" s="4" t="str">
        <x:v>验证补充说明200字符可填写</x:v>
      </x:c>
      <x:c r="H914" s="4" t="str">
        <x:v>补充说明200字符可填写</x:v>
      </x:c>
      <x:c r="I914" s="4" t="str">
        <x:v>1. 已登录用户账号
2. 其他必填字段为合法值</x:v>
      </x:c>
      <x:c r="J914" s="4" t="str">
        <x:v>1. 进入「举报用户」页
2. 在「补充说明」输入200个「测」字符
3. 点击「保存」</x:v>
      </x:c>
      <x:c r="K914" s="4" t="str">
        <x:v>「补充说明」保留200个字符</x:v>
      </x:c>
      <x:c r="L914" s="4" t="str"/>
      <x:c r="M914" s="4" t="str">
        <x:v>未测</x:v>
      </x:c>
      <x:c r="N914" s="4" t="str"/>
      <x:c r="O914" s="4" t="str">
        <x:v>1. 来源：MainBasis/统一需求文档.md；U-live-room-user-report-002
2. 场景：SC-b16bdf8944374a</x:v>
      </x:c>
    </x:row>
    <x:row r="915" ht="68" customHeight="1">
      <x:c r="A915" s="4" t="n">
        <x:v>914</x:v>
      </x:c>
      <x:c r="B915" s="4" t="str">
        <x:v>USER-0914</x:v>
      </x:c>
      <x:c r="C915" s="4" t="str">
        <x:v>M06 开播、房型、观看、连麦与房内管理</x:v>
      </x:c>
      <x:c r="D915" s="4" t="str">
        <x:v>举报用户（用户视角）</x:v>
      </x:c>
      <x:c r="E915" s="4" t="str">
        <x:v>异常用例</x:v>
      </x:c>
      <x:c r="F915" s="4" t="str">
        <x:v>P1</x:v>
      </x:c>
      <x:c r="G915" s="4" t="str">
        <x:v>验证补充说明201字符限制</x:v>
      </x:c>
      <x:c r="H915" s="4" t="str">
        <x:v>补充说明201字符限制</x:v>
      </x:c>
      <x:c r="I915" s="4" t="str">
        <x:v>1. 已登录用户账号
2. 其他必填字段为合法值</x:v>
      </x:c>
      <x:c r="J915" s="4" t="str">
        <x:v>1. 进入「举报用户」页
2. 在「补充说明」输入201个「测」字符
3. 点击「保存」</x:v>
      </x:c>
      <x:c r="K915" s="4" t="str">
        <x:v>补充说明未通过校验，无法保存</x:v>
      </x:c>
      <x:c r="L915" s="4" t="str"/>
      <x:c r="M915" s="4" t="str">
        <x:v>未测</x:v>
      </x:c>
      <x:c r="N915" s="4" t="str"/>
      <x:c r="O915" s="4" t="str">
        <x:v>1. 来源：MainBasis/统一需求文档.md；U-live-room-user-report-002
2. 场景：SC-6e25aed6172fba</x:v>
      </x:c>
    </x:row>
    <x:row r="916" ht="68" customHeight="1">
      <x:c r="A916" s="4" t="n">
        <x:v>915</x:v>
      </x:c>
      <x:c r="B916" s="4" t="str">
        <x:v>USER-0915</x:v>
      </x:c>
      <x:c r="C916" s="4" t="str">
        <x:v>M06 开播、房型、观看、连麦与房内管理</x:v>
      </x:c>
      <x:c r="D916" s="4" t="str">
        <x:v>举报用户（用户视角）</x:v>
      </x:c>
      <x:c r="E916" s="4" t="str">
        <x:v>功能需求</x:v>
      </x:c>
      <x:c r="F916" s="4" t="str">
        <x:v>P1</x:v>
      </x:c>
      <x:c r="G916" s="4" t="str">
        <x:v>验证用户举报未选原因</x:v>
      </x:c>
      <x:c r="H916" s="4" t="str">
        <x:v>用户举报未选原因</x:v>
      </x:c>
      <x:c r="I916" s="4" t="str">
        <x:v>1. 已登录用户账号
2. 未选择举报原因</x:v>
      </x:c>
      <x:c r="J916" s="4" t="str">
        <x:v>1. 进入「举报用户」页
2. 查看用户举报未选原因</x:v>
      </x:c>
      <x:c r="K916" s="4" t="str">
        <x:v>提交按钮不可用</x:v>
      </x:c>
      <x:c r="L916" s="4" t="str"/>
      <x:c r="M916" s="4" t="str">
        <x:v>未测</x:v>
      </x:c>
      <x:c r="N916" s="4" t="str"/>
      <x:c r="O916" s="4" t="str">
        <x:v>1. 来源：MainBasis/统一需求文档.md；U-live-room-user-report-004、U-live-room-user-report-001
2. 场景：SC-1872d4ae2d7a58</x:v>
      </x:c>
    </x:row>
    <x:row r="917" ht="68" customHeight="1">
      <x:c r="A917" s="4" t="n">
        <x:v>916</x:v>
      </x:c>
      <x:c r="B917" s="4" t="str">
        <x:v>USER-0916</x:v>
      </x:c>
      <x:c r="C917" s="4" t="str">
        <x:v>M06 开播、房型、观看、连麦与房内管理</x:v>
      </x:c>
      <x:c r="D917" s="4" t="str">
        <x:v>举报用户（用户视角）</x:v>
      </x:c>
      <x:c r="E917" s="4" t="str">
        <x:v>功能需求</x:v>
      </x:c>
      <x:c r="F917" s="4" t="str">
        <x:v>P1</x:v>
      </x:c>
      <x:c r="G917" s="4" t="str">
        <x:v>验证用户举报色情低俗</x:v>
      </x:c>
      <x:c r="H917" s="4" t="str">
        <x:v>用户举报色情低俗</x:v>
      </x:c>
      <x:c r="I917" s="4" t="str">
        <x:v>1. 已登录用户账号
2. 目标账号有效且目标直播场次仍在播</x:v>
      </x:c>
      <x:c r="J917" s="4" t="str">
        <x:v>1. 进入「举报用户」页
2. 选择原因色情低俗
3. 点击提交</x:v>
      </x:c>
      <x:c r="K917" s="4" t="str">
        <x:v>生成目标账号举报工单并返回来源页</x:v>
      </x:c>
      <x:c r="L917" s="4" t="str"/>
      <x:c r="M917" s="4" t="str">
        <x:v>未测</x:v>
      </x:c>
      <x:c r="N917" s="4" t="str"/>
      <x:c r="O917" s="4" t="str">
        <x:v>1. 来源：MainBasis/统一需求文档.md；U-live-room-user-report-005、U-live-room-user-report-003
2. 场景：SC-36e3f3f370ae6b</x:v>
      </x:c>
    </x:row>
    <x:row r="918" ht="68" customHeight="1">
      <x:c r="A918" s="4" t="n">
        <x:v>917</x:v>
      </x:c>
      <x:c r="B918" s="4" t="str">
        <x:v>USER-0917</x:v>
      </x:c>
      <x:c r="C918" s="4" t="str">
        <x:v>M06 开播、房型、观看、连麦与房内管理</x:v>
      </x:c>
      <x:c r="D918" s="4" t="str">
        <x:v>举报用户（用户视角）</x:v>
      </x:c>
      <x:c r="E918" s="4" t="str">
        <x:v>功能需求</x:v>
      </x:c>
      <x:c r="F918" s="4" t="str">
        <x:v>P1</x:v>
      </x:c>
      <x:c r="G918" s="4" t="str">
        <x:v>验证用户举报涉及宗教政治</x:v>
      </x:c>
      <x:c r="H918" s="4" t="str">
        <x:v>用户举报涉及宗教政治</x:v>
      </x:c>
      <x:c r="I918" s="4" t="str">
        <x:v>1. 已登录用户账号
2. 目标账号有效且目标直播场次仍在播</x:v>
      </x:c>
      <x:c r="J918" s="4" t="str">
        <x:v>1. 进入「举报用户」页
2. 选择原因涉及宗教政治
3. 点击提交</x:v>
      </x:c>
      <x:c r="K918" s="4" t="str">
        <x:v>生成目标账号举报工单并返回来源页</x:v>
      </x:c>
      <x:c r="L918" s="4" t="str"/>
      <x:c r="M918" s="4" t="str">
        <x:v>未测</x:v>
      </x:c>
      <x:c r="N918" s="4" t="str"/>
      <x:c r="O918" s="4" t="str">
        <x:v>1. 来源：MainBasis/统一需求文档.md；U-live-room-user-report-005、U-live-room-user-report-003
2. 场景：SC-211be9ebb24b6e</x:v>
      </x:c>
    </x:row>
    <x:row r="919" ht="68" customHeight="1">
      <x:c r="A919" s="4" t="n">
        <x:v>918</x:v>
      </x:c>
      <x:c r="B919" s="4" t="str">
        <x:v>USER-0918</x:v>
      </x:c>
      <x:c r="C919" s="4" t="str">
        <x:v>M06 开播、房型、观看、连麦与房内管理</x:v>
      </x:c>
      <x:c r="D919" s="4" t="str">
        <x:v>举报用户（用户视角）</x:v>
      </x:c>
      <x:c r="E919" s="4" t="str">
        <x:v>功能需求</x:v>
      </x:c>
      <x:c r="F919" s="4" t="str">
        <x:v>P1</x:v>
      </x:c>
      <x:c r="G919" s="4" t="str">
        <x:v>验证用户举报暴恐血腥</x:v>
      </x:c>
      <x:c r="H919" s="4" t="str">
        <x:v>用户举报暴恐血腥</x:v>
      </x:c>
      <x:c r="I919" s="4" t="str">
        <x:v>1. 已登录用户账号
2. 目标账号有效且目标直播场次仍在播</x:v>
      </x:c>
      <x:c r="J919" s="4" t="str">
        <x:v>1. 进入「举报用户」页
2. 选择原因暴恐血腥
3. 点击提交</x:v>
      </x:c>
      <x:c r="K919" s="4" t="str">
        <x:v>生成目标账号举报工单并返回来源页</x:v>
      </x:c>
      <x:c r="L919" s="4" t="str"/>
      <x:c r="M919" s="4" t="str">
        <x:v>未测</x:v>
      </x:c>
      <x:c r="N919" s="4" t="str"/>
      <x:c r="O919" s="4" t="str">
        <x:v>1. 来源：MainBasis/统一需求文档.md；U-live-room-user-report-005、U-live-room-user-report-003
2. 场景：SC-99753b3d0f94bf</x:v>
      </x:c>
    </x:row>
    <x:row r="920" ht="68" customHeight="1">
      <x:c r="A920" s="4" t="n">
        <x:v>919</x:v>
      </x:c>
      <x:c r="B920" s="4" t="str">
        <x:v>USER-0919</x:v>
      </x:c>
      <x:c r="C920" s="4" t="str">
        <x:v>M06 开播、房型、观看、连麦与房内管理</x:v>
      </x:c>
      <x:c r="D920" s="4" t="str">
        <x:v>举报用户（用户视角）</x:v>
      </x:c>
      <x:c r="E920" s="4" t="str">
        <x:v>功能需求</x:v>
      </x:c>
      <x:c r="F920" s="4" t="str">
        <x:v>P1</x:v>
      </x:c>
      <x:c r="G920" s="4" t="str">
        <x:v>验证用户举报未成年人有害</x:v>
      </x:c>
      <x:c r="H920" s="4" t="str">
        <x:v>用户举报未成年人有害</x:v>
      </x:c>
      <x:c r="I920" s="4" t="str">
        <x:v>1. 已登录用户账号
2. 目标账号有效且目标直播场次仍在播</x:v>
      </x:c>
      <x:c r="J920" s="4" t="str">
        <x:v>1. 进入「举报用户」页
2. 选择原因未成年人有害
3. 点击提交</x:v>
      </x:c>
      <x:c r="K920" s="4" t="str">
        <x:v>生成目标账号举报工单并返回来源页</x:v>
      </x:c>
      <x:c r="L920" s="4" t="str"/>
      <x:c r="M920" s="4" t="str">
        <x:v>未测</x:v>
      </x:c>
      <x:c r="N920" s="4" t="str"/>
      <x:c r="O920" s="4" t="str">
        <x:v>1. 来源：MainBasis/统一需求文档.md；U-live-room-user-report-005、U-live-room-user-report-003
2. 场景：SC-1af0addbcb102e</x:v>
      </x:c>
    </x:row>
    <x:row r="921" ht="68" customHeight="1">
      <x:c r="A921" s="4" t="n">
        <x:v>920</x:v>
      </x:c>
      <x:c r="B921" s="4" t="str">
        <x:v>USER-0920</x:v>
      </x:c>
      <x:c r="C921" s="4" t="str">
        <x:v>M06 开播、房型、观看、连麦与房内管理</x:v>
      </x:c>
      <x:c r="D921" s="4" t="str">
        <x:v>举报用户（用户视角）</x:v>
      </x:c>
      <x:c r="E921" s="4" t="str">
        <x:v>功能需求</x:v>
      </x:c>
      <x:c r="F921" s="4" t="str">
        <x:v>P1</x:v>
      </x:c>
      <x:c r="G921" s="4" t="str">
        <x:v>验证用户举报其他</x:v>
      </x:c>
      <x:c r="H921" s="4" t="str">
        <x:v>用户举报其他</x:v>
      </x:c>
      <x:c r="I921" s="4" t="str">
        <x:v>1. 已登录用户账号
2. 目标账号有效且目标直播场次仍在播</x:v>
      </x:c>
      <x:c r="J921" s="4" t="str">
        <x:v>1. 进入「举报用户」页
2. 选择原因其他
3. 点击提交</x:v>
      </x:c>
      <x:c r="K921" s="4" t="str">
        <x:v>生成目标账号举报工单并返回来源页</x:v>
      </x:c>
      <x:c r="L921" s="4" t="str"/>
      <x:c r="M921" s="4" t="str">
        <x:v>未测</x:v>
      </x:c>
      <x:c r="N921" s="4" t="str"/>
      <x:c r="O921" s="4" t="str">
        <x:v>1. 来源：MainBasis/统一需求文档.md；U-live-room-user-report-005、U-live-room-user-report-003
2. 场景：SC-6ae56f5faa48ca</x:v>
      </x:c>
    </x:row>
    <x:row r="922" ht="68" customHeight="1">
      <x:c r="A922" s="4" t="n">
        <x:v>921</x:v>
      </x:c>
      <x:c r="B922" s="4" t="str">
        <x:v>USER-0921</x:v>
      </x:c>
      <x:c r="C922" s="4" t="str">
        <x:v>M06 开播、房型、观看、连麦与房内管理</x:v>
      </x:c>
      <x:c r="D922" s="4" t="str">
        <x:v>直播间-主播（主播视角）</x:v>
      </x:c>
      <x:c r="E922" s="4" t="str">
        <x:v>功能需求</x:v>
      </x:c>
      <x:c r="F922" s="4" t="str">
        <x:v>P2</x:v>
      </x:c>
      <x:c r="G922" s="4" t="str">
        <x:v>验证在线人数回显</x:v>
      </x:c>
      <x:c r="H922" s="4" t="str">
        <x:v>在线人数回显</x:v>
      </x:c>
      <x:c r="I922" s="4" t="str">
        <x:v>1. 已登录主播账号
2. 所选对象存在，已记录该对象的在线人数值</x:v>
      </x:c>
      <x:c r="J922" s="4" t="str">
        <x:v>1. 进入「直播间-主播」页
2. 查看在线人数回显</x:v>
      </x:c>
      <x:c r="K922" s="4" t="str">
        <x:v>「在线人数」内容与所选对象的该项资料一致</x:v>
      </x:c>
      <x:c r="L922" s="4" t="str"/>
      <x:c r="M922" s="4" t="str">
        <x:v>未测</x:v>
      </x:c>
      <x:c r="N922" s="4" t="str"/>
      <x:c r="O922" s="4" t="str">
        <x:v>1. 来源：MainBasis/统一需求文档.md；U-live-room-host-002
2. 场景：SC-df0c78aaaadd2c</x:v>
      </x:c>
    </x:row>
    <x:row r="923" ht="82" customHeight="1">
      <x:c r="A923" s="4" t="n">
        <x:v>922</x:v>
      </x:c>
      <x:c r="B923" s="4" t="str">
        <x:v>USER-0922</x:v>
      </x:c>
      <x:c r="C923" s="4" t="str">
        <x:v>M06 开播、房型、观看、连麦与房内管理</x:v>
      </x:c>
      <x:c r="D923" s="4" t="str">
        <x:v>直播间-主播（主播视角）</x:v>
      </x:c>
      <x:c r="E923" s="4" t="str">
        <x:v>功能需求</x:v>
      </x:c>
      <x:c r="F923" s="4" t="str">
        <x:v>P1</x:v>
      </x:c>
      <x:c r="G923" s="4" t="str">
        <x:v>验证退会通过影响当前直播</x:v>
      </x:c>
      <x:c r="H923" s="4" t="str">
        <x:v>退会通过影响当前直播</x:v>
      </x:c>
      <x:c r="I923" s="4" t="str">
        <x:v>1. 已登录主播账号
2. 目标主播有在播场次及粉丝团，收益已结清，公会已完成退会通过</x:v>
      </x:c>
      <x:c r="J923" s="4" t="str">
        <x:v>1. 进入「直播间-主播」页
2. 查看退会通过影响当前直播</x:v>
      </x:c>
      <x:c r="K923" s="4" t="str">
        <x:v>当前场次立即结束</x:v>
      </x:c>
      <x:c r="L923" s="4" t="str">
        <x:v>FLOW-289CDBD1</x:v>
      </x:c>
      <x:c r="M923" s="4" t="str">
        <x:v>未测</x:v>
      </x:c>
      <x:c r="N923" s="4" t="str"/>
      <x:c r="O923" s="4" t="str">
        <x:v>1. 来源：MainBasis/统一需求文档.md；U-guild-leave-application-006、U-guild-detail-015
2. 场景：SC-5175cfc522975b
3. 状态转换：ST-D5B9B34DDEFD</x:v>
      </x:c>
    </x:row>
    <x:row r="924" ht="82" customHeight="1">
      <x:c r="A924" s="4" t="n">
        <x:v>923</x:v>
      </x:c>
      <x:c r="B924" s="4" t="str">
        <x:v>USER-0923</x:v>
      </x:c>
      <x:c r="C924" s="4" t="str">
        <x:v>M06 开播、房型、观看、连麦与房内管理</x:v>
      </x:c>
      <x:c r="D924" s="4" t="str">
        <x:v>直播间-主播（主播视角）</x:v>
      </x:c>
      <x:c r="E924" s="4" t="str">
        <x:v>功能需求</x:v>
      </x:c>
      <x:c r="F924" s="4" t="str">
        <x:v>P1</x:v>
      </x:c>
      <x:c r="G924" s="4" t="str">
        <x:v>验证公会移出影响当前直播</x:v>
      </x:c>
      <x:c r="H924" s="4" t="str">
        <x:v>公会移出影响当前直播</x:v>
      </x:c>
      <x:c r="I924" s="4" t="str">
        <x:v>1. 已登录主播账号
2. 目标主播有在播场次及粉丝团，收益已结清，公会已完成公会移出</x:v>
      </x:c>
      <x:c r="J924" s="4" t="str">
        <x:v>1. 进入「直播间-主播」页
2. 查看公会移出影响当前直播</x:v>
      </x:c>
      <x:c r="K924" s="4" t="str">
        <x:v>当前场次立即结束</x:v>
      </x:c>
      <x:c r="L924" s="4" t="str">
        <x:v>FLOW-EA7D49B9</x:v>
      </x:c>
      <x:c r="M924" s="4" t="str">
        <x:v>未测</x:v>
      </x:c>
      <x:c r="N924" s="4" t="str"/>
      <x:c r="O924" s="4" t="str">
        <x:v>1. 来源：MainBasis/统一需求文档.md；U-guild-leave-application-006、U-guild-detail-015
2. 场景：SC-e13aa357de630d
3. 状态转换：ST-6CB4EB33D1A6</x:v>
      </x:c>
    </x:row>
    <x:row r="925" ht="68" customHeight="1">
      <x:c r="A925" s="4" t="n">
        <x:v>924</x:v>
      </x:c>
      <x:c r="B925" s="4" t="str">
        <x:v>USER-0924</x:v>
      </x:c>
      <x:c r="C925" s="4" t="str">
        <x:v>M06 开播、房型、观看、连麦与房内管理</x:v>
      </x:c>
      <x:c r="D925" s="4" t="str">
        <x:v>直播间-主播（主播视角）</x:v>
      </x:c>
      <x:c r="E925" s="4" t="str">
        <x:v>功能需求</x:v>
      </x:c>
      <x:c r="F925" s="4" t="str">
        <x:v>P1</x:v>
      </x:c>
      <x:c r="G925" s="4" t="str">
        <x:v>验证主播禁言确认</x:v>
      </x:c>
      <x:c r="H925" s="4" t="str">
        <x:v>主播禁言确认</x:v>
      </x:c>
      <x:c r="I925" s="4" t="str">
        <x:v>1. 已登录主播账号
2. 目标为当前场次普通在线观众，非巡房人员</x:v>
      </x:c>
      <x:c r="J925" s="4" t="str">
        <x:v>1. 进入「直播间-主播」页
2. 选择目标观众并点击禁言
3. 点击确认</x:v>
      </x:c>
      <x:c r="K925" s="4" t="str">
        <x:v>目标被写入本场禁言状态</x:v>
      </x:c>
      <x:c r="L925" s="4" t="str">
        <x:v>FLOW-6D44B008</x:v>
      </x:c>
      <x:c r="M925" s="4" t="str">
        <x:v>未测</x:v>
      </x:c>
      <x:c r="N925" s="4" t="str"/>
      <x:c r="O925" s="4" t="str">
        <x:v>1. 来源：MainBasis/统一需求文档.md；U-live-room-host-011
2. 场景：SC-8bef48558511ab
3. 状态转换：ST-542AE28D2BBD</x:v>
      </x:c>
    </x:row>
    <x:row r="926" ht="68" customHeight="1">
      <x:c r="A926" s="4" t="n">
        <x:v>925</x:v>
      </x:c>
      <x:c r="B926" s="4" t="str">
        <x:v>USER-0925</x:v>
      </x:c>
      <x:c r="C926" s="4" t="str">
        <x:v>M06 开播、房型、观看、连麦与房内管理</x:v>
      </x:c>
      <x:c r="D926" s="4" t="str">
        <x:v>直播间-主播（主播视角）</x:v>
      </x:c>
      <x:c r="E926" s="4" t="str">
        <x:v>功能需求</x:v>
      </x:c>
      <x:c r="F926" s="4" t="str">
        <x:v>P1</x:v>
      </x:c>
      <x:c r="G926" s="4" t="str">
        <x:v>验证主播禁言取消</x:v>
      </x:c>
      <x:c r="H926" s="4" t="str">
        <x:v>主播禁言取消</x:v>
      </x:c>
      <x:c r="I926" s="4" t="str">
        <x:v>1. 已登录主播账号
2. 目标为当前场次普通在线观众，非巡房人员</x:v>
      </x:c>
      <x:c r="J926" s="4" t="str">
        <x:v>1. 进入「直播间-主播」页
2. 选择目标观众并点击禁言
3. 点击取消</x:v>
      </x:c>
      <x:c r="K926" s="4" t="str">
        <x:v>目标当前状态保持不变</x:v>
      </x:c>
      <x:c r="L926" s="4" t="str">
        <x:v>FLOW-6D44B008</x:v>
      </x:c>
      <x:c r="M926" s="4" t="str">
        <x:v>未测</x:v>
      </x:c>
      <x:c r="N926" s="4" t="str"/>
      <x:c r="O926" s="4" t="str">
        <x:v>1. 来源：MainBasis/统一需求文档.md；U-live-room-host-011
2. 场景：SC-5983bc6a9d81d2
3. 状态转换：ST-542AE28D2BBD</x:v>
      </x:c>
    </x:row>
    <x:row r="927" ht="68" customHeight="1">
      <x:c r="A927" s="4" t="n">
        <x:v>926</x:v>
      </x:c>
      <x:c r="B927" s="4" t="str">
        <x:v>USER-0926</x:v>
      </x:c>
      <x:c r="C927" s="4" t="str">
        <x:v>M06 开播、房型、观看、连麦与房内管理</x:v>
      </x:c>
      <x:c r="D927" s="4" t="str">
        <x:v>直播间-主播（主播视角）</x:v>
      </x:c>
      <x:c r="E927" s="4" t="str">
        <x:v>功能需求</x:v>
      </x:c>
      <x:c r="F927" s="4" t="str">
        <x:v>P1</x:v>
      </x:c>
      <x:c r="G927" s="4" t="str">
        <x:v>验证主播禁言关闭</x:v>
      </x:c>
      <x:c r="H927" s="4" t="str">
        <x:v>主播禁言关闭</x:v>
      </x:c>
      <x:c r="I927" s="4" t="str">
        <x:v>1. 已登录主播账号
2. 目标为当前场次普通在线观众，非巡房人员</x:v>
      </x:c>
      <x:c r="J927" s="4" t="str">
        <x:v>1. 进入「直播间-主播」页
2. 选择目标观众并点击禁言
3. 点击关闭</x:v>
      </x:c>
      <x:c r="K927" s="4" t="str">
        <x:v>目标当前状态保持不变</x:v>
      </x:c>
      <x:c r="L927" s="4" t="str">
        <x:v>FLOW-6D44B008</x:v>
      </x:c>
      <x:c r="M927" s="4" t="str">
        <x:v>未测</x:v>
      </x:c>
      <x:c r="N927" s="4" t="str"/>
      <x:c r="O927" s="4" t="str">
        <x:v>1. 来源：MainBasis/统一需求文档.md；U-live-room-host-011
2. 场景：SC-2b8ec68014b280
3. 状态转换：ST-542AE28D2BBD</x:v>
      </x:c>
    </x:row>
    <x:row r="928" ht="68" customHeight="1">
      <x:c r="A928" s="4" t="n">
        <x:v>927</x:v>
      </x:c>
      <x:c r="B928" s="4" t="str">
        <x:v>USER-0927</x:v>
      </x:c>
      <x:c r="C928" s="4" t="str">
        <x:v>M06 开播、房型、观看、连麦与房内管理</x:v>
      </x:c>
      <x:c r="D928" s="4" t="str">
        <x:v>直播间-主播（主播视角）</x:v>
      </x:c>
      <x:c r="E928" s="4" t="str">
        <x:v>功能需求</x:v>
      </x:c>
      <x:c r="F928" s="4" t="str">
        <x:v>P1</x:v>
      </x:c>
      <x:c r="G928" s="4" t="str">
        <x:v>验证主播踢出确认</x:v>
      </x:c>
      <x:c r="H928" s="4" t="str">
        <x:v>主播踢出确认</x:v>
      </x:c>
      <x:c r="I928" s="4" t="str">
        <x:v>1. 已登录主播账号
2. 目标为当前场次普通在线观众，非巡房人员</x:v>
      </x:c>
      <x:c r="J928" s="4" t="str">
        <x:v>1. 进入「直播间-主播」页
2. 选择目标观众并点击踢出
3. 点击确认</x:v>
      </x:c>
      <x:c r="K928" s="4" t="str">
        <x:v>目标立即退出并从本场在线列表移除</x:v>
      </x:c>
      <x:c r="L928" s="4" t="str">
        <x:v>FLOW-2EF3ECFF</x:v>
      </x:c>
      <x:c r="M928" s="4" t="str">
        <x:v>未测</x:v>
      </x:c>
      <x:c r="N928" s="4" t="str"/>
      <x:c r="O928" s="4" t="str">
        <x:v>1. 来源：MainBasis/统一需求文档.md；U-live-room-host-011
2. 场景：SC-b8199ed6379f07
3. 状态转换：ST-7E91CEB5ED4D</x:v>
      </x:c>
    </x:row>
    <x:row r="929" ht="68" customHeight="1">
      <x:c r="A929" s="4" t="n">
        <x:v>928</x:v>
      </x:c>
      <x:c r="B929" s="4" t="str">
        <x:v>USER-0928</x:v>
      </x:c>
      <x:c r="C929" s="4" t="str">
        <x:v>M06 开播、房型、观看、连麦与房内管理</x:v>
      </x:c>
      <x:c r="D929" s="4" t="str">
        <x:v>直播间-主播（主播视角）</x:v>
      </x:c>
      <x:c r="E929" s="4" t="str">
        <x:v>功能需求</x:v>
      </x:c>
      <x:c r="F929" s="4" t="str">
        <x:v>P1</x:v>
      </x:c>
      <x:c r="G929" s="4" t="str">
        <x:v>验证主播踢出取消</x:v>
      </x:c>
      <x:c r="H929" s="4" t="str">
        <x:v>主播踢出取消</x:v>
      </x:c>
      <x:c r="I929" s="4" t="str">
        <x:v>1. 已登录主播账号
2. 目标为当前场次普通在线观众，非巡房人员</x:v>
      </x:c>
      <x:c r="J929" s="4" t="str">
        <x:v>1. 进入「直播间-主播」页
2. 选择目标观众并点击踢出
3. 点击取消</x:v>
      </x:c>
      <x:c r="K929" s="4" t="str">
        <x:v>目标当前状态保持不变</x:v>
      </x:c>
      <x:c r="L929" s="4" t="str">
        <x:v>FLOW-2EF3ECFF</x:v>
      </x:c>
      <x:c r="M929" s="4" t="str">
        <x:v>未测</x:v>
      </x:c>
      <x:c r="N929" s="4" t="str"/>
      <x:c r="O929" s="4" t="str">
        <x:v>1. 来源：MainBasis/统一需求文档.md；U-live-room-host-011
2. 场景：SC-dd7d135b279654
3. 状态转换：ST-7E91CEB5ED4D</x:v>
      </x:c>
    </x:row>
    <x:row r="930" ht="68" customHeight="1">
      <x:c r="A930" s="4" t="n">
        <x:v>929</x:v>
      </x:c>
      <x:c r="B930" s="4" t="str">
        <x:v>USER-0929</x:v>
      </x:c>
      <x:c r="C930" s="4" t="str">
        <x:v>M06 开播、房型、观看、连麦与房内管理</x:v>
      </x:c>
      <x:c r="D930" s="4" t="str">
        <x:v>直播间-主播（主播视角）</x:v>
      </x:c>
      <x:c r="E930" s="4" t="str">
        <x:v>功能需求</x:v>
      </x:c>
      <x:c r="F930" s="4" t="str">
        <x:v>P1</x:v>
      </x:c>
      <x:c r="G930" s="4" t="str">
        <x:v>验证主播踢出关闭</x:v>
      </x:c>
      <x:c r="H930" s="4" t="str">
        <x:v>主播踢出关闭</x:v>
      </x:c>
      <x:c r="I930" s="4" t="str">
        <x:v>1. 已登录主播账号
2. 目标为当前场次普通在线观众，非巡房人员</x:v>
      </x:c>
      <x:c r="J930" s="4" t="str">
        <x:v>1. 进入「直播间-主播」页
2. 选择目标观众并点击踢出
3. 点击关闭</x:v>
      </x:c>
      <x:c r="K930" s="4" t="str">
        <x:v>目标当前状态保持不变</x:v>
      </x:c>
      <x:c r="L930" s="4" t="str">
        <x:v>FLOW-2EF3ECFF</x:v>
      </x:c>
      <x:c r="M930" s="4" t="str">
        <x:v>未测</x:v>
      </x:c>
      <x:c r="N930" s="4" t="str"/>
      <x:c r="O930" s="4" t="str">
        <x:v>1. 来源：MainBasis/统一需求文档.md；U-live-room-host-011
2. 场景：SC-3d999c04850290
3. 状态转换：ST-7E91CEB5ED4D</x:v>
      </x:c>
    </x:row>
    <x:row r="931" ht="68" customHeight="1">
      <x:c r="A931" s="4" t="n">
        <x:v>930</x:v>
      </x:c>
      <x:c r="B931" s="4" t="str">
        <x:v>USER-0930</x:v>
      </x:c>
      <x:c r="C931" s="4" t="str">
        <x:v>M06 开播、房型、观看、连麦与房内管理</x:v>
      </x:c>
      <x:c r="D931" s="4" t="str">
        <x:v>直播间-主播（主播视角）</x:v>
      </x:c>
      <x:c r="E931" s="4" t="str">
        <x:v>功能需求</x:v>
      </x:c>
      <x:c r="F931" s="4" t="str">
        <x:v>P1</x:v>
      </x:c>
      <x:c r="G931" s="4" t="str">
        <x:v>验证屏蔽仅选中单条评论</x:v>
      </x:c>
      <x:c r="H931" s="4" t="str">
        <x:v>屏蔽仅选中单条评论</x:v>
      </x:c>
      <x:c r="I931" s="4" t="str">
        <x:v>1. 已登录主播账号
2. 公屏有同一用户两条评论</x:v>
      </x:c>
      <x:c r="J931" s="4" t="str">
        <x:v>1. 进入「直播间-主播」页
2. 选择其中一条评论
3. 点击屏蔽评论</x:v>
      </x:c>
      <x:c r="K931" s="4" t="str">
        <x:v>仅选中的评论从当前公屏移除，另一条保留</x:v>
      </x:c>
      <x:c r="L931" s="4" t="str"/>
      <x:c r="M931" s="4" t="str">
        <x:v>未测</x:v>
      </x:c>
      <x:c r="N931" s="4" t="str"/>
      <x:c r="O931" s="4" t="str">
        <x:v>1. 来源：MainBasis/统一需求文档.md；U-live-room-host-012、U-live-room-host-005
2. 场景：SC-79019d3d269ea4</x:v>
      </x:c>
    </x:row>
    <x:row r="932" ht="82" customHeight="1">
      <x:c r="A932" s="4" t="n">
        <x:v>931</x:v>
      </x:c>
      <x:c r="B932" s="4" t="str">
        <x:v>USER-0931</x:v>
      </x:c>
      <x:c r="C932" s="4" t="str">
        <x:v>M06 开播、房型、观看、连麦与房内管理</x:v>
      </x:c>
      <x:c r="D932" s="4" t="str">
        <x:v>直播间-主播（主播视角）</x:v>
      </x:c>
      <x:c r="E932" s="4" t="str">
        <x:v>功能需求</x:v>
      </x:c>
      <x:c r="F932" s="4" t="str">
        <x:v>P1</x:v>
      </x:c>
      <x:c r="G932" s="4" t="str">
        <x:v>验证场次唯一房间长期不变</x:v>
      </x:c>
      <x:c r="H932" s="4" t="str">
        <x:v>场次唯一房间长期不变</x:v>
      </x:c>
      <x:c r="I932" s="4" t="str">
        <x:v>1. 已登录主播账号
2. 同一主播先后成功开播两场</x:v>
      </x:c>
      <x:c r="J932" s="4" t="str">
        <x:v>1. 进入「直播间-主播」页
2. 查看场次唯一房间长期不变</x:v>
      </x:c>
      <x:c r="K932" s="4" t="str">
        <x:v>两场场次ID不同，主播房间ID相同</x:v>
      </x:c>
      <x:c r="L932" s="4" t="str"/>
      <x:c r="M932" s="4" t="str">
        <x:v>未测</x:v>
      </x:c>
      <x:c r="N932" s="4" t="str"/>
      <x:c r="O932" s="4" t="str">
        <x:v>1. 来源：MainBasis/统一需求文档.md；D-SYS-072、U-live-room-host-001、A-admin-live-management-002、A-admin-host-live-record-report-002
2. 场景：SC-31787642582423</x:v>
      </x:c>
    </x:row>
    <x:row r="933" ht="68" customHeight="1">
      <x:c r="A933" s="4" t="n">
        <x:v>932</x:v>
      </x:c>
      <x:c r="B933" s="4" t="str">
        <x:v>USER-0932</x:v>
      </x:c>
      <x:c r="C933" s="4" t="str">
        <x:v>M06 开播、房型、观看、连麦与房内管理</x:v>
      </x:c>
      <x:c r="D933" s="4" t="str">
        <x:v>直播间-主播（主播视角）</x:v>
      </x:c>
      <x:c r="E933" s="4" t="str">
        <x:v>功能需求</x:v>
      </x:c>
      <x:c r="F933" s="4" t="str">
        <x:v>P1</x:v>
      </x:c>
      <x:c r="G933" s="4" t="str">
        <x:v>验证警告通知主播</x:v>
      </x:c>
      <x:c r="H933" s="4" t="str">
        <x:v>警告通知主播</x:v>
      </x:c>
      <x:c r="I933" s="4" t="str">
        <x:v>1. 已登录主播账号
2. 当前主播刚被平台警告</x:v>
      </x:c>
      <x:c r="J933" s="4" t="str">
        <x:v>1. 进入「直播间-主播」页
2. 查看警告通知主播</x:v>
      </x:c>
      <x:c r="K933" s="4" t="str">
        <x:v>收到“直播间存在违规，请及时调整”提示</x:v>
      </x:c>
      <x:c r="L933" s="4" t="str"/>
      <x:c r="M933" s="4" t="str">
        <x:v>未测</x:v>
      </x:c>
      <x:c r="N933" s="4" t="str"/>
      <x:c r="O933" s="4" t="str">
        <x:v>1. 来源：MainBasis/统一需求文档.md；D-SYS-116、U-live-room-host-006、A-admin-report-detail-006
2. 场景：SC-0f8908d58208dd</x:v>
      </x:c>
    </x:row>
    <x:row r="934" ht="68" customHeight="1">
      <x:c r="A934" s="4" t="n">
        <x:v>933</x:v>
      </x:c>
      <x:c r="B934" s="4" t="str">
        <x:v>USER-0933</x:v>
      </x:c>
      <x:c r="C934" s="4" t="str">
        <x:v>M06 开播、房型、观看、连麦与房内管理</x:v>
      </x:c>
      <x:c r="D934" s="4" t="str">
        <x:v>直播间-主播（主播视角）</x:v>
      </x:c>
      <x:c r="E934" s="4" t="str">
        <x:v>功能需求</x:v>
      </x:c>
      <x:c r="F934" s="4" t="str">
        <x:v>P1</x:v>
      </x:c>
      <x:c r="G934" s="4" t="str">
        <x:v>验证关播通知主播</x:v>
      </x:c>
      <x:c r="H934" s="4" t="str">
        <x:v>关播通知主播</x:v>
      </x:c>
      <x:c r="I934" s="4" t="str">
        <x:v>1. 已登录主播账号
2. 当前主播刚被平台关播</x:v>
      </x:c>
      <x:c r="J934" s="4" t="str">
        <x:v>1. 进入「直播间-主播」页
2. 查看关播通知主播</x:v>
      </x:c>
      <x:c r="K934" s="4" t="str">
        <x:v>收到“直播间存在违规，平台已关闭直播间”提示</x:v>
      </x:c>
      <x:c r="L934" s="4" t="str"/>
      <x:c r="M934" s="4" t="str">
        <x:v>未测</x:v>
      </x:c>
      <x:c r="N934" s="4" t="str"/>
      <x:c r="O934" s="4" t="str">
        <x:v>1. 来源：MainBasis/统一需求文档.md；D-SYS-117、U-live-room-host-006
2. 场景：SC-b485702cc26691</x:v>
      </x:c>
    </x:row>
    <x:row r="935" ht="68" customHeight="1">
      <x:c r="A935" s="4" t="n">
        <x:v>934</x:v>
      </x:c>
      <x:c r="B935" s="4" t="str">
        <x:v>USER-0934</x:v>
      </x:c>
      <x:c r="C935" s="4" t="str">
        <x:v>M06 开播、房型、观看、连麦与房内管理</x:v>
      </x:c>
      <x:c r="D935" s="4" t="str">
        <x:v>直播间-主播（主播视角）</x:v>
      </x:c>
      <x:c r="E935" s="4" t="str">
        <x:v>功能需求</x:v>
      </x:c>
      <x:c r="F935" s="4" t="str">
        <x:v>P1</x:v>
      </x:c>
      <x:c r="G935" s="4" t="str">
        <x:v>验证关闭直播权限通知主播</x:v>
      </x:c>
      <x:c r="H935" s="4" t="str">
        <x:v>关闭直播权限通知主播</x:v>
      </x:c>
      <x:c r="I935" s="4" t="str">
        <x:v>1. 已登录主播账号
2. 当前主播刚被平台关闭直播权限</x:v>
      </x:c>
      <x:c r="J935" s="4" t="str">
        <x:v>1. 进入「直播间-主播」页
2. 查看关闭直播权限通知主播</x:v>
      </x:c>
      <x:c r="K935" s="4" t="str">
        <x:v>收到“直播间严重违规，平台已关闭直播间，并关闭直播权限”提示</x:v>
      </x:c>
      <x:c r="L935" s="4" t="str"/>
      <x:c r="M935" s="4" t="str">
        <x:v>未测</x:v>
      </x:c>
      <x:c r="N935" s="4" t="str"/>
      <x:c r="O935" s="4" t="str">
        <x:v>1. 来源：MainBasis/统一需求文档.md；D-SYS-118、U-live-room-host-006
2. 场景：SC-139899f3d3dbd0</x:v>
      </x:c>
    </x:row>
    <x:row r="936" ht="68" customHeight="1">
      <x:c r="A936" s="4" t="n">
        <x:v>935</x:v>
      </x:c>
      <x:c r="B936" s="4" t="str">
        <x:v>USER-0935</x:v>
      </x:c>
      <x:c r="C936" s="4" t="str">
        <x:v>M06 开播、房型、观看、连麦与房内管理</x:v>
      </x:c>
      <x:c r="D936" s="4" t="str">
        <x:v>直播间-主播（主播视角）</x:v>
      </x:c>
      <x:c r="E936" s="4" t="str">
        <x:v>功能需求</x:v>
      </x:c>
      <x:c r="F936" s="4" t="str">
        <x:v>P1</x:v>
      </x:c>
      <x:c r="G936" s="4" t="str">
        <x:v>验证待处理邀请只计有效</x:v>
      </x:c>
      <x:c r="H936" s="4" t="str">
        <x:v>待处理邀请只计有效</x:v>
      </x:c>
      <x:c r="I936" s="4" t="str">
        <x:v>1. 已登录主播账号
2. 当前收到2条有效与1条失效邀请</x:v>
      </x:c>
      <x:c r="J936" s="4" t="str">
        <x:v>1. 进入「直播间-主播」页
2. 查看待处理邀请只计有效</x:v>
      </x:c>
      <x:c r="K936" s="4" t="str">
        <x:v>待处理数量为2</x:v>
      </x:c>
      <x:c r="L936" s="4" t="str"/>
      <x:c r="M936" s="4" t="str">
        <x:v>未测</x:v>
      </x:c>
      <x:c r="N936" s="4" t="str"/>
      <x:c r="O936" s="4" t="str">
        <x:v>1. 来源：MainBasis/统一需求文档.md；U-live-room-host-004
2. 场景：SC-f005751ab3f419</x:v>
      </x:c>
    </x:row>
    <x:row r="937" ht="68" customHeight="1">
      <x:c r="A937" s="4" t="n">
        <x:v>936</x:v>
      </x:c>
      <x:c r="B937" s="4" t="str">
        <x:v>USER-0936</x:v>
      </x:c>
      <x:c r="C937" s="4" t="str">
        <x:v>M06 开播、房型、观看、连麦与房内管理</x:v>
      </x:c>
      <x:c r="D937" s="4" t="str">
        <x:v>直播间-主播（主播视角）</x:v>
      </x:c>
      <x:c r="E937" s="4" t="str">
        <x:v>功能需求</x:v>
      </x:c>
      <x:c r="F937" s="4" t="str">
        <x:v>P1</x:v>
      </x:c>
      <x:c r="G937" s="4" t="str">
        <x:v>验证主播拉黑在线用户</x:v>
      </x:c>
      <x:c r="H937" s="4" t="str">
        <x:v>主播拉黑在线用户</x:v>
      </x:c>
      <x:c r="I937" s="4" t="str">
        <x:v>1. 已登录主播账号
2. 主播在播且目标用户在线</x:v>
      </x:c>
      <x:c r="J937" s="4" t="str">
        <x:v>1. 进入「直播间-主播」页
2. 打开目标用户资料卡
3. 拉黑该用户并确认</x:v>
      </x:c>
      <x:c r="K937" s="4" t="str">
        <x:v>目标立即退出该主播直播间</x:v>
      </x:c>
      <x:c r="L937" s="4" t="str"/>
      <x:c r="M937" s="4" t="str">
        <x:v>未测</x:v>
      </x:c>
      <x:c r="N937" s="4" t="str"/>
      <x:c r="O937" s="4" t="str">
        <x:v>1. 来源：MainBasis/统一需求文档.md；U-blacklist-management-007
2. 场景：SC-52fdd1a78f77e8</x:v>
      </x:c>
    </x:row>
    <x:row r="938" ht="68" customHeight="1">
      <x:c r="A938" s="4" t="n">
        <x:v>937</x:v>
      </x:c>
      <x:c r="B938" s="4" t="str">
        <x:v>USER-0937</x:v>
      </x:c>
      <x:c r="C938" s="4" t="str">
        <x:v>M06 开播、房型、观看、连麦与房内管理</x:v>
      </x:c>
      <x:c r="D938" s="4" t="str">
        <x:v>本场贡献-贡献榜（主播视角）</x:v>
      </x:c>
      <x:c r="E938" s="4" t="str">
        <x:v>功能需求</x:v>
      </x:c>
      <x:c r="F938" s="4" t="str">
        <x:v>P2</x:v>
      </x:c>
      <x:c r="G938" s="4" t="str">
        <x:v>验证统计范围回显</x:v>
      </x:c>
      <x:c r="H938" s="4" t="str">
        <x:v>统计范围回显</x:v>
      </x:c>
      <x:c r="I938" s="4" t="str">
        <x:v>1. 已登录主播账号
2. 所选对象存在，已记录该对象的统计范围值</x:v>
      </x:c>
      <x:c r="J938" s="4" t="str">
        <x:v>1. 进入「直播间-主播」页
2. 打开「本场贡献-贡献榜」视图
3. 查看统计范围回显</x:v>
      </x:c>
      <x:c r="K938" s="4" t="str">
        <x:v>「统计范围」内容与所选对象的该项资料一致</x:v>
      </x:c>
      <x:c r="L938" s="4" t="str"/>
      <x:c r="M938" s="4" t="str">
        <x:v>未测</x:v>
      </x:c>
      <x:c r="N938" s="4" t="str"/>
      <x:c r="O938" s="4" t="str">
        <x:v>1. 来源：MainBasis/统一需求文档.md；U-views_live-room-host_contribution-rank-001
2. 场景：SC-bd246454da76af</x:v>
      </x:c>
    </x:row>
    <x:row r="939" ht="68" customHeight="1">
      <x:c r="A939" s="4" t="n">
        <x:v>938</x:v>
      </x:c>
      <x:c r="B939" s="4" t="str">
        <x:v>USER-0938</x:v>
      </x:c>
      <x:c r="C939" s="4" t="str">
        <x:v>M06 开播、房型、观看、连麦与房内管理</x:v>
      </x:c>
      <x:c r="D939" s="4" t="str">
        <x:v>本场贡献-贡献榜（主播视角）</x:v>
      </x:c>
      <x:c r="E939" s="4" t="str">
        <x:v>功能需求</x:v>
      </x:c>
      <x:c r="F939" s="4" t="str">
        <x:v>P2</x:v>
      </x:c>
      <x:c r="G939" s="4" t="str">
        <x:v>验证禁言状态回显</x:v>
      </x:c>
      <x:c r="H939" s="4" t="str">
        <x:v>禁言状态回显</x:v>
      </x:c>
      <x:c r="I939" s="4" t="str">
        <x:v>1. 已登录主播账号
2. 所选对象存在，已记录该对象的禁言状态值</x:v>
      </x:c>
      <x:c r="J939" s="4" t="str">
        <x:v>1. 进入「直播间-主播」页
2. 打开「本场贡献-贡献榜」视图
3. 查看禁言状态回显</x:v>
      </x:c>
      <x:c r="K939" s="4" t="str">
        <x:v>「禁言状态」内容与所选对象的该项资料一致</x:v>
      </x:c>
      <x:c r="L939" s="4" t="str"/>
      <x:c r="M939" s="4" t="str">
        <x:v>未测</x:v>
      </x:c>
      <x:c r="N939" s="4" t="str"/>
      <x:c r="O939" s="4" t="str">
        <x:v>1. 来源：MainBasis/统一需求文档.md；U-views_live-room-host_contribution-rank-005
2. 场景：SC-81be7e8bce3354</x:v>
      </x:c>
    </x:row>
    <x:row r="940" ht="68" customHeight="1">
      <x:c r="A940" s="4" t="n">
        <x:v>939</x:v>
      </x:c>
      <x:c r="B940" s="4" t="str">
        <x:v>USER-0939</x:v>
      </x:c>
      <x:c r="C940" s="4" t="str">
        <x:v>M06 开播、房型、观看、连麦与房内管理</x:v>
      </x:c>
      <x:c r="D940" s="4" t="str">
        <x:v>本场贡献-贡献榜（主播视角）</x:v>
      </x:c>
      <x:c r="E940" s="4" t="str">
        <x:v>功能需求</x:v>
      </x:c>
      <x:c r="F940" s="4" t="str">
        <x:v>P1</x:v>
      </x:c>
      <x:c r="G940" s="4" t="str">
        <x:v>验证主播本场榜98人</x:v>
      </x:c>
      <x:c r="H940" s="4" t="str">
        <x:v>主播本场榜98人</x:v>
      </x:c>
      <x:c r="I940" s="4" t="str">
        <x:v>1. 已登录主播账号
2. 本场有98个产生有效贡献账号</x:v>
      </x:c>
      <x:c r="J940" s="4" t="str">
        <x:v>1. 进入「直播间-主播」页
2. 打开「本场贡献-贡献榜」视图
3. 查看主播本场榜98人</x:v>
      </x:c>
      <x:c r="K940" s="4" t="str">
        <x:v>展示98名</x:v>
      </x:c>
      <x:c r="L940" s="4" t="str"/>
      <x:c r="M940" s="4" t="str">
        <x:v>未测</x:v>
      </x:c>
      <x:c r="N940" s="4" t="str"/>
      <x:c r="O940" s="4" t="str">
        <x:v>1. 来源：MainBasis/统一需求文档.md；U-views_live-room-host_contribution-rank-002
2. 场景：SC-faed23f111e401</x:v>
      </x:c>
    </x:row>
    <x:row r="941" ht="68" customHeight="1">
      <x:c r="A941" s="4" t="n">
        <x:v>940</x:v>
      </x:c>
      <x:c r="B941" s="4" t="str">
        <x:v>USER-0940</x:v>
      </x:c>
      <x:c r="C941" s="4" t="str">
        <x:v>M06 开播、房型、观看、连麦与房内管理</x:v>
      </x:c>
      <x:c r="D941" s="4" t="str">
        <x:v>本场贡献-贡献榜（主播视角）</x:v>
      </x:c>
      <x:c r="E941" s="4" t="str">
        <x:v>功能需求</x:v>
      </x:c>
      <x:c r="F941" s="4" t="str">
        <x:v>P1</x:v>
      </x:c>
      <x:c r="G941" s="4" t="str">
        <x:v>验证主播本场榜99人</x:v>
      </x:c>
      <x:c r="H941" s="4" t="str">
        <x:v>主播本场榜99人</x:v>
      </x:c>
      <x:c r="I941" s="4" t="str">
        <x:v>1. 已登录主播账号
2. 本场有99个产生有效贡献账号</x:v>
      </x:c>
      <x:c r="J941" s="4" t="str">
        <x:v>1. 进入「直播间-主播」页
2. 打开「本场贡献-贡献榜」视图
3. 查看主播本场榜99人</x:v>
      </x:c>
      <x:c r="K941" s="4" t="str">
        <x:v>展示99名</x:v>
      </x:c>
      <x:c r="L941" s="4" t="str"/>
      <x:c r="M941" s="4" t="str">
        <x:v>未测</x:v>
      </x:c>
      <x:c r="N941" s="4" t="str"/>
      <x:c r="O941" s="4" t="str">
        <x:v>1. 来源：MainBasis/统一需求文档.md；U-views_live-room-host_contribution-rank-002
2. 场景：SC-ac174919006609</x:v>
      </x:c>
    </x:row>
    <x:row r="942" ht="68" customHeight="1">
      <x:c r="A942" s="4" t="n">
        <x:v>941</x:v>
      </x:c>
      <x:c r="B942" s="4" t="str">
        <x:v>USER-0941</x:v>
      </x:c>
      <x:c r="C942" s="4" t="str">
        <x:v>M06 开播、房型、观看、连麦与房内管理</x:v>
      </x:c>
      <x:c r="D942" s="4" t="str">
        <x:v>本场贡献-贡献榜（主播视角）</x:v>
      </x:c>
      <x:c r="E942" s="4" t="str">
        <x:v>功能需求</x:v>
      </x:c>
      <x:c r="F942" s="4" t="str">
        <x:v>P1</x:v>
      </x:c>
      <x:c r="G942" s="4" t="str">
        <x:v>验证主播本场榜100人</x:v>
      </x:c>
      <x:c r="H942" s="4" t="str">
        <x:v>主播本场榜100人</x:v>
      </x:c>
      <x:c r="I942" s="4" t="str">
        <x:v>1. 已登录主播账号
2. 本场有100个产生有效贡献账号</x:v>
      </x:c>
      <x:c r="J942" s="4" t="str">
        <x:v>1. 进入「直播间-主播」页
2. 打开「本场贡献-贡献榜」视图
3. 查看主播本场榜100人</x:v>
      </x:c>
      <x:c r="K942" s="4" t="str">
        <x:v>展示99名</x:v>
      </x:c>
      <x:c r="L942" s="4" t="str"/>
      <x:c r="M942" s="4" t="str">
        <x:v>未测</x:v>
      </x:c>
      <x:c r="N942" s="4" t="str"/>
      <x:c r="O942" s="4" t="str">
        <x:v>1. 来源：MainBasis/统一需求文档.md；U-views_live-room-host_contribution-rank-002
2. 场景：SC-a1ec55812dae1d</x:v>
      </x:c>
    </x:row>
    <x:row r="943" ht="68" customHeight="1">
      <x:c r="A943" s="4" t="n">
        <x:v>942</x:v>
      </x:c>
      <x:c r="B943" s="4" t="str">
        <x:v>USER-0942</x:v>
      </x:c>
      <x:c r="C943" s="4" t="str">
        <x:v>M06 开播、房型、观看、连麦与房内管理</x:v>
      </x:c>
      <x:c r="D943" s="4" t="str">
        <x:v>本场贡献-贡献榜（主播视角）</x:v>
      </x:c>
      <x:c r="E943" s="4" t="str">
        <x:v>功能需求</x:v>
      </x:c>
      <x:c r="F943" s="4" t="str">
        <x:v>P1</x:v>
      </x:c>
      <x:c r="G943" s="4" t="str">
        <x:v>验证主播本场榜贡献值排序</x:v>
      </x:c>
      <x:c r="H943" s="4" t="str">
        <x:v>主播本场榜贡献值排序</x:v>
      </x:c>
      <x:c r="I943" s="4" t="str">
        <x:v>1. 已登录主播账号
2. 两个用户前0项相同，贡献值分别10和20</x:v>
      </x:c>
      <x:c r="J943" s="4" t="str">
        <x:v>1. 进入「直播间-主播」页
2. 打开「本场贡献-贡献榜」视图
3. 查看主播本场榜贡献值排序</x:v>
      </x:c>
      <x:c r="K943" s="4" t="str">
        <x:v>20对应用户排在前面</x:v>
      </x:c>
      <x:c r="L943" s="4" t="str"/>
      <x:c r="M943" s="4" t="str">
        <x:v>未测</x:v>
      </x:c>
      <x:c r="N943" s="4" t="str"/>
      <x:c r="O943" s="4" t="str">
        <x:v>1. 来源：MainBasis/统一需求文档.md；U-views_live-room-host_contribution-rank-003
2. 场景：SC-da13d5dc6fd73c</x:v>
      </x:c>
    </x:row>
    <x:row r="944" ht="68" customHeight="1">
      <x:c r="A944" s="4" t="n">
        <x:v>943</x:v>
      </x:c>
      <x:c r="B944" s="4" t="str">
        <x:v>USER-0943</x:v>
      </x:c>
      <x:c r="C944" s="4" t="str">
        <x:v>M06 开播、房型、观看、连麦与房内管理</x:v>
      </x:c>
      <x:c r="D944" s="4" t="str">
        <x:v>本场贡献-贡献榜（主播视角）</x:v>
      </x:c>
      <x:c r="E944" s="4" t="str">
        <x:v>功能需求</x:v>
      </x:c>
      <x:c r="F944" s="4" t="str">
        <x:v>P1</x:v>
      </x:c>
      <x:c r="G944" s="4" t="str">
        <x:v>验证主播本场榜粉丝等级排序</x:v>
      </x:c>
      <x:c r="H944" s="4" t="str">
        <x:v>主播本场榜粉丝等级排序</x:v>
      </x:c>
      <x:c r="I944" s="4" t="str">
        <x:v>1. 已登录主播账号
2. 两个用户前1项相同，粉丝等级分别10和20</x:v>
      </x:c>
      <x:c r="J944" s="4" t="str">
        <x:v>1. 进入「直播间-主播」页
2. 打开「本场贡献-贡献榜」视图
3. 查看主播本场榜粉丝等级排序</x:v>
      </x:c>
      <x:c r="K944" s="4" t="str">
        <x:v>20对应用户排在前面</x:v>
      </x:c>
      <x:c r="L944" s="4" t="str"/>
      <x:c r="M944" s="4" t="str">
        <x:v>未测</x:v>
      </x:c>
      <x:c r="N944" s="4" t="str"/>
      <x:c r="O944" s="4" t="str">
        <x:v>1. 来源：MainBasis/统一需求文档.md；U-views_live-room-host_contribution-rank-003
2. 场景：SC-ec01a4820de077</x:v>
      </x:c>
    </x:row>
    <x:row r="945" ht="68" customHeight="1">
      <x:c r="A945" s="4" t="n">
        <x:v>944</x:v>
      </x:c>
      <x:c r="B945" s="4" t="str">
        <x:v>USER-0944</x:v>
      </x:c>
      <x:c r="C945" s="4" t="str">
        <x:v>M06 开播、房型、观看、连麦与房内管理</x:v>
      </x:c>
      <x:c r="D945" s="4" t="str">
        <x:v>本场贡献-贡献榜（主播视角）</x:v>
      </x:c>
      <x:c r="E945" s="4" t="str">
        <x:v>功能需求</x:v>
      </x:c>
      <x:c r="F945" s="4" t="str">
        <x:v>P1</x:v>
      </x:c>
      <x:c r="G945" s="4" t="str">
        <x:v>验证主播本场榜财富等级排序</x:v>
      </x:c>
      <x:c r="H945" s="4" t="str">
        <x:v>主播本场榜财富等级排序</x:v>
      </x:c>
      <x:c r="I945" s="4" t="str">
        <x:v>1. 已登录主播账号
2. 两个用户前2项相同，财富等级分别10和20</x:v>
      </x:c>
      <x:c r="J945" s="4" t="str">
        <x:v>1. 进入「直播间-主播」页
2. 打开「本场贡献-贡献榜」视图
3. 查看主播本场榜财富等级排序</x:v>
      </x:c>
      <x:c r="K945" s="4" t="str">
        <x:v>20对应用户排在前面</x:v>
      </x:c>
      <x:c r="L945" s="4" t="str"/>
      <x:c r="M945" s="4" t="str">
        <x:v>未测</x:v>
      </x:c>
      <x:c r="N945" s="4" t="str"/>
      <x:c r="O945" s="4" t="str">
        <x:v>1. 来源：MainBasis/统一需求文档.md；U-views_live-room-host_contribution-rank-003
2. 场景：SC-b7e38ac16ffcb2</x:v>
      </x:c>
    </x:row>
    <x:row r="946" ht="68" customHeight="1">
      <x:c r="A946" s="4" t="n">
        <x:v>945</x:v>
      </x:c>
      <x:c r="B946" s="4" t="str">
        <x:v>USER-0945</x:v>
      </x:c>
      <x:c r="C946" s="4" t="str">
        <x:v>M06 开播、房型、观看、连麦与房内管理</x:v>
      </x:c>
      <x:c r="D946" s="4" t="str">
        <x:v>本场贡献-贡献榜（主播视角）</x:v>
      </x:c>
      <x:c r="E946" s="4" t="str">
        <x:v>功能需求</x:v>
      </x:c>
      <x:c r="F946" s="4" t="str">
        <x:v>P1</x:v>
      </x:c>
      <x:c r="G946" s="4" t="str">
        <x:v>验证主播本场榜用户ID排序</x:v>
      </x:c>
      <x:c r="H946" s="4" t="str">
        <x:v>主播本场榜用户ID排序</x:v>
      </x:c>
      <x:c r="I946" s="4" t="str">
        <x:v>1. 已登录主播账号
2. 两个用户前3项相同，用户ID分别10和20</x:v>
      </x:c>
      <x:c r="J946" s="4" t="str">
        <x:v>1. 进入「直播间-主播」页
2. 打开「本场贡献-贡献榜」视图
3. 查看主播本场榜用户ID排序</x:v>
      </x:c>
      <x:c r="K946" s="4" t="str">
        <x:v>10对应用户排在前面</x:v>
      </x:c>
      <x:c r="L946" s="4" t="str"/>
      <x:c r="M946" s="4" t="str">
        <x:v>未测</x:v>
      </x:c>
      <x:c r="N946" s="4" t="str"/>
      <x:c r="O946" s="4" t="str">
        <x:v>1. 来源：MainBasis/统一需求文档.md；U-views_live-room-host_contribution-rank-003
2. 场景：SC-54393e58729850</x:v>
      </x:c>
    </x:row>
    <x:row r="947" ht="68" customHeight="1">
      <x:c r="A947" s="4" t="n">
        <x:v>946</x:v>
      </x:c>
      <x:c r="B947" s="4" t="str">
        <x:v>USER-0946</x:v>
      </x:c>
      <x:c r="C947" s="4" t="str">
        <x:v>M06 开播、房型、观看、连麦与房内管理</x:v>
      </x:c>
      <x:c r="D947" s="4" t="str">
        <x:v>本场贡献-贡献榜（主播视角）</x:v>
      </x:c>
      <x:c r="E947" s="4" t="str">
        <x:v>功能需求</x:v>
      </x:c>
      <x:c r="F947" s="4" t="str">
        <x:v>P1</x:v>
      </x:c>
      <x:c r="G947" s="4" t="str">
        <x:v>验证主播本场榜缺等级按0</x:v>
      </x:c>
      <x:c r="H947" s="4" t="str">
        <x:v>主播本场榜缺等级按0</x:v>
      </x:c>
      <x:c r="I947" s="4" t="str">
        <x:v>1. 已登录主播账号
2. 贡献相等，一人粉丝等级缺失、一人为1级</x:v>
      </x:c>
      <x:c r="J947" s="4" t="str">
        <x:v>1. 进入「直播间-主播」页
2. 打开「本场贡献-贡献榜」视图
3. 查看主播本场榜缺等级按0</x:v>
      </x:c>
      <x:c r="K947" s="4" t="str">
        <x:v>粉丝1级用户排在粉丝等级缺失用户前</x:v>
      </x:c>
      <x:c r="L947" s="4" t="str"/>
      <x:c r="M947" s="4" t="str">
        <x:v>未测</x:v>
      </x:c>
      <x:c r="N947" s="4" t="str"/>
      <x:c r="O947" s="4" t="str">
        <x:v>1. 来源：MainBasis/统一需求文档.md；U-views_live-room-host_contribution-rank-007
2. 场景：SC-fc6bc3e6fc1973</x:v>
      </x:c>
    </x:row>
    <x:row r="948" ht="68" customHeight="1">
      <x:c r="A948" s="4" t="n">
        <x:v>947</x:v>
      </x:c>
      <x:c r="B948" s="4" t="str">
        <x:v>USER-0947</x:v>
      </x:c>
      <x:c r="C948" s="4" t="str">
        <x:v>M06 开播、房型、观看、连麦与房内管理</x:v>
      </x:c>
      <x:c r="D948" s="4" t="str">
        <x:v>本场贡献-贡献榜（主播视角）</x:v>
      </x:c>
      <x:c r="E948" s="4" t="str">
        <x:v>功能需求</x:v>
      </x:c>
      <x:c r="F948" s="4" t="str">
        <x:v>P1</x:v>
      </x:c>
      <x:c r="G948" s="4" t="str">
        <x:v>验证离线保留本场贡献榜</x:v>
      </x:c>
      <x:c r="H948" s="4" t="str">
        <x:v>离线保留本场贡献榜</x:v>
      </x:c>
      <x:c r="I948" s="4" t="str">
        <x:v>1. 已登录主播账号
2. 用户本场送礼100后已离线</x:v>
      </x:c>
      <x:c r="J948" s="4" t="str">
        <x:v>1. 进入「直播间-主播」页
2. 打开「本场贡献-贡献榜」视图
3. 查看离线保留本场贡献榜</x:v>
      </x:c>
      <x:c r="K948" s="4" t="str">
        <x:v>其本场贡献100及排名仍在贡献榜中</x:v>
      </x:c>
      <x:c r="L948" s="4" t="str"/>
      <x:c r="M948" s="4" t="str">
        <x:v>未测</x:v>
      </x:c>
      <x:c r="N948" s="4" t="str"/>
      <x:c r="O948" s="4" t="str">
        <x:v>1. 来源：MainBasis/统一需求文档.md；U-views_live-room-host_contribution-rank-006
2. 场景：SC-42f6e47701ee9c</x:v>
      </x:c>
    </x:row>
    <x:row r="949" ht="68" customHeight="1">
      <x:c r="A949" s="4" t="n">
        <x:v>948</x:v>
      </x:c>
      <x:c r="B949" s="4" t="str">
        <x:v>USER-0948</x:v>
      </x:c>
      <x:c r="C949" s="4" t="str">
        <x:v>M06 开播、房型、观看、连麦与房内管理</x:v>
      </x:c>
      <x:c r="D949" s="4" t="str">
        <x:v>本场贡献-贡献榜（主播视角）</x:v>
      </x:c>
      <x:c r="E949" s="4" t="str">
        <x:v>功能需求</x:v>
      </x:c>
      <x:c r="F949" s="4" t="str">
        <x:v>P2</x:v>
      </x:c>
      <x:c r="G949" s="4" t="str">
        <x:v>验证用户入口</x:v>
      </x:c>
      <x:c r="H949" s="4" t="str">
        <x:v>用户入口</x:v>
      </x:c>
      <x:c r="I949" s="4" t="str">
        <x:v>1. 已登录主播账号</x:v>
      </x:c>
      <x:c r="J949" s="4" t="str">
        <x:v>1. 进入「直播间-主播」页
2. 打开「本场贡献-贡献榜」视图
3. 点击「用户」</x:v>
      </x:c>
      <x:c r="K949" s="4" t="str">
        <x:v>页面进入「主播权限资料卡」</x:v>
      </x:c>
      <x:c r="L949" s="4" t="str"/>
      <x:c r="M949" s="4" t="str">
        <x:v>未测</x:v>
      </x:c>
      <x:c r="N949" s="4" t="str"/>
      <x:c r="O949" s="4" t="str">
        <x:v>1. 来源：MainBasis/统一需求文档.md；U-views_live-room-host_contribution-rank-011
2. 场景：SC-476afc81b07810</x:v>
      </x:c>
    </x:row>
    <x:row r="950" ht="68" customHeight="1">
      <x:c r="A950" s="4" t="n">
        <x:v>949</x:v>
      </x:c>
      <x:c r="B950" s="4" t="str">
        <x:v>USER-0949</x:v>
      </x:c>
      <x:c r="C950" s="4" t="str">
        <x:v>M06 开播、房型、观看、连麦与房内管理</x:v>
      </x:c>
      <x:c r="D950" s="4" t="str">
        <x:v>本场贡献-贡献榜（主播视角）</x:v>
      </x:c>
      <x:c r="E950" s="4" t="str">
        <x:v>功能需求</x:v>
      </x:c>
      <x:c r="F950" s="4" t="str">
        <x:v>P2</x:v>
      </x:c>
      <x:c r="G950" s="4" t="str">
        <x:v>验证私信入口</x:v>
      </x:c>
      <x:c r="H950" s="4" t="str">
        <x:v>私信入口</x:v>
      </x:c>
      <x:c r="I950" s="4" t="str">
        <x:v>1. 已登录主播账号</x:v>
      </x:c>
      <x:c r="J950" s="4" t="str">
        <x:v>1. 进入「直播间-主播」页
2. 打开「本场贡献-贡献榜」视图
3. 点击「私信」</x:v>
      </x:c>
      <x:c r="K950" s="4" t="str">
        <x:v>页面进入「与该用户的单聊」</x:v>
      </x:c>
      <x:c r="L950" s="4" t="str"/>
      <x:c r="M950" s="4" t="str">
        <x:v>未测</x:v>
      </x:c>
      <x:c r="N950" s="4" t="str"/>
      <x:c r="O950" s="4" t="str">
        <x:v>1. 来源：MainBasis/统一需求文档.md；U-views_live-room-host_contribution-rank-011
2. 场景：SC-a1e225f6ed711b</x:v>
      </x:c>
    </x:row>
    <x:row r="951" ht="68" customHeight="1">
      <x:c r="A951" s="4" t="n">
        <x:v>950</x:v>
      </x:c>
      <x:c r="B951" s="4" t="str">
        <x:v>USER-0950</x:v>
      </x:c>
      <x:c r="C951" s="4" t="str">
        <x:v>M06 开播、房型、观看、连麦与房内管理</x:v>
      </x:c>
      <x:c r="D951" s="4" t="str">
        <x:v>本场贡献-贡献榜（主播视角）</x:v>
      </x:c>
      <x:c r="E951" s="4" t="str">
        <x:v>功能需求</x:v>
      </x:c>
      <x:c r="F951" s="4" t="str">
        <x:v>P1</x:v>
      </x:c>
      <x:c r="G951" s="4" t="str">
        <x:v>验证已注销榜单账号只读</x:v>
      </x:c>
      <x:c r="H951" s="4" t="str">
        <x:v>已注销榜单账号只读</x:v>
      </x:c>
      <x:c r="I951" s="4" t="str">
        <x:v>1. 已登录主播账号
2. 榜单有贡献100的已注销账号</x:v>
      </x:c>
      <x:c r="J951" s="4" t="str">
        <x:v>1. 进入「直播间-主播」页
2. 打开「本场贡献-贡献榜」视图
3. 查看已注销榜单账号只读</x:v>
      </x:c>
      <x:c r="K951" s="4" t="str">
        <x:v>贡献100保留，名称为“账号已注销”，不能打开主页</x:v>
      </x:c>
      <x:c r="L951" s="4" t="str"/>
      <x:c r="M951" s="4" t="str">
        <x:v>未测</x:v>
      </x:c>
      <x:c r="N951" s="4" t="str"/>
      <x:c r="O951" s="4" t="str">
        <x:v>1. 来源：MainBasis/统一需求文档.md；U-views_live-room-host_contribution-rank-010
2. 场景：SC-16ccb2479ea680</x:v>
      </x:c>
    </x:row>
    <x:row r="952" ht="68" customHeight="1">
      <x:c r="A952" s="4" t="n">
        <x:v>951</x:v>
      </x:c>
      <x:c r="B952" s="4" t="str">
        <x:v>USER-0951</x:v>
      </x:c>
      <x:c r="C952" s="4" t="str">
        <x:v>M06 开播、房型、观看、连麦与房内管理</x:v>
      </x:c>
      <x:c r="D952" s="4" t="str">
        <x:v>本场贡献-贡献榜（主播视角）</x:v>
      </x:c>
      <x:c r="E952" s="4" t="str">
        <x:v>功能需求</x:v>
      </x:c>
      <x:c r="F952" s="4" t="str">
        <x:v>P1</x:v>
      </x:c>
      <x:c r="G952" s="4" t="str">
        <x:v>验证财富等级存在时展示</x:v>
      </x:c>
      <x:c r="H952" s="4" t="str">
        <x:v>财富等级存在时展示</x:v>
      </x:c>
      <x:c r="I952" s="4" t="str">
        <x:v>1. 已登录主播账号
2. 当前榜单用户具有财富等级对应身份</x:v>
      </x:c>
      <x:c r="J952" s="4" t="str">
        <x:v>1. 进入「直播间-主播」页
2. 打开「本场贡献-贡献榜」视图
3. 查看财富等级存在时展示</x:v>
      </x:c>
      <x:c r="K952" s="4" t="str">
        <x:v>展示该用户财富等级</x:v>
      </x:c>
      <x:c r="L952" s="4" t="str"/>
      <x:c r="M952" s="4" t="str">
        <x:v>未测</x:v>
      </x:c>
      <x:c r="N952" s="4" t="str"/>
      <x:c r="O952" s="4" t="str">
        <x:v>1. 来源：MainBasis/统一需求文档.md；U-views_live-room-host_contribution-rank-004
2. 场景：SC-4dbaaaa66af14a</x:v>
      </x:c>
    </x:row>
    <x:row r="953" ht="68" customHeight="1">
      <x:c r="A953" s="4" t="n">
        <x:v>952</x:v>
      </x:c>
      <x:c r="B953" s="4" t="str">
        <x:v>USER-0952</x:v>
      </x:c>
      <x:c r="C953" s="4" t="str">
        <x:v>M06 开播、房型、观看、连麦与房内管理</x:v>
      </x:c>
      <x:c r="D953" s="4" t="str">
        <x:v>本场贡献-贡献榜（主播视角）</x:v>
      </x:c>
      <x:c r="E953" s="4" t="str">
        <x:v>功能需求</x:v>
      </x:c>
      <x:c r="F953" s="4" t="str">
        <x:v>P1</x:v>
      </x:c>
      <x:c r="G953" s="4" t="str">
        <x:v>验证财富等级缺失时展示</x:v>
      </x:c>
      <x:c r="H953" s="4" t="str">
        <x:v>财富等级缺失时展示</x:v>
      </x:c>
      <x:c r="I953" s="4" t="str">
        <x:v>1. 已登录主播账号
2. 当前榜单用户不具有财富等级对应身份</x:v>
      </x:c>
      <x:c r="J953" s="4" t="str">
        <x:v>1. 进入「直播间-主播」页
2. 打开「本场贡献-贡献榜」视图
3. 查看财富等级缺失时展示</x:v>
      </x:c>
      <x:c r="K953" s="4" t="str">
        <x:v>不展示该用户财富等级</x:v>
      </x:c>
      <x:c r="L953" s="4" t="str"/>
      <x:c r="M953" s="4" t="str">
        <x:v>未测</x:v>
      </x:c>
      <x:c r="N953" s="4" t="str"/>
      <x:c r="O953" s="4" t="str">
        <x:v>1. 来源：MainBasis/统一需求文档.md；U-views_live-room-host_contribution-rank-004
2. 场景：SC-53b2eb965f9a2e</x:v>
      </x:c>
    </x:row>
    <x:row r="954" ht="68" customHeight="1">
      <x:c r="A954" s="4" t="n">
        <x:v>953</x:v>
      </x:c>
      <x:c r="B954" s="4" t="str">
        <x:v>USER-0953</x:v>
      </x:c>
      <x:c r="C954" s="4" t="str">
        <x:v>M06 开播、房型、观看、连麦与房内管理</x:v>
      </x:c>
      <x:c r="D954" s="4" t="str">
        <x:v>本场贡献-贡献榜（主播视角）</x:v>
      </x:c>
      <x:c r="E954" s="4" t="str">
        <x:v>功能需求</x:v>
      </x:c>
      <x:c r="F954" s="4" t="str">
        <x:v>P1</x:v>
      </x:c>
      <x:c r="G954" s="4" t="str">
        <x:v>验证粉丝等级存在时展示</x:v>
      </x:c>
      <x:c r="H954" s="4" t="str">
        <x:v>粉丝等级存在时展示</x:v>
      </x:c>
      <x:c r="I954" s="4" t="str">
        <x:v>1. 已登录主播账号
2. 当前榜单用户具有粉丝等级对应身份</x:v>
      </x:c>
      <x:c r="J954" s="4" t="str">
        <x:v>1. 进入「直播间-主播」页
2. 打开「本场贡献-贡献榜」视图
3. 查看粉丝等级存在时展示</x:v>
      </x:c>
      <x:c r="K954" s="4" t="str">
        <x:v>展示该用户粉丝等级</x:v>
      </x:c>
      <x:c r="L954" s="4" t="str"/>
      <x:c r="M954" s="4" t="str">
        <x:v>未测</x:v>
      </x:c>
      <x:c r="N954" s="4" t="str"/>
      <x:c r="O954" s="4" t="str">
        <x:v>1. 来源：MainBasis/统一需求文档.md；U-views_live-room-host_contribution-rank-004
2. 场景：SC-7f86d68e4c2632</x:v>
      </x:c>
    </x:row>
    <x:row r="955" ht="68" customHeight="1">
      <x:c r="A955" s="4" t="n">
        <x:v>954</x:v>
      </x:c>
      <x:c r="B955" s="4" t="str">
        <x:v>USER-0954</x:v>
      </x:c>
      <x:c r="C955" s="4" t="str">
        <x:v>M06 开播、房型、观看、连麦与房内管理</x:v>
      </x:c>
      <x:c r="D955" s="4" t="str">
        <x:v>本场贡献-贡献榜（主播视角）</x:v>
      </x:c>
      <x:c r="E955" s="4" t="str">
        <x:v>功能需求</x:v>
      </x:c>
      <x:c r="F955" s="4" t="str">
        <x:v>P1</x:v>
      </x:c>
      <x:c r="G955" s="4" t="str">
        <x:v>验证粉丝等级缺失时展示</x:v>
      </x:c>
      <x:c r="H955" s="4" t="str">
        <x:v>粉丝等级缺失时展示</x:v>
      </x:c>
      <x:c r="I955" s="4" t="str">
        <x:v>1. 已登录主播账号
2. 当前榜单用户不具有粉丝等级对应身份</x:v>
      </x:c>
      <x:c r="J955" s="4" t="str">
        <x:v>1. 进入「直播间-主播」页
2. 打开「本场贡献-贡献榜」视图
3. 查看粉丝等级缺失时展示</x:v>
      </x:c>
      <x:c r="K955" s="4" t="str">
        <x:v>不展示该用户粉丝等级</x:v>
      </x:c>
      <x:c r="L955" s="4" t="str"/>
      <x:c r="M955" s="4" t="str">
        <x:v>未测</x:v>
      </x:c>
      <x:c r="N955" s="4" t="str"/>
      <x:c r="O955" s="4" t="str">
        <x:v>1. 来源：MainBasis/统一需求文档.md；U-views_live-room-host_contribution-rank-004
2. 场景：SC-7ce0549eae1392</x:v>
      </x:c>
    </x:row>
    <x:row r="956" ht="68" customHeight="1">
      <x:c r="A956" s="4" t="n">
        <x:v>955</x:v>
      </x:c>
      <x:c r="B956" s="4" t="str">
        <x:v>USER-0955</x:v>
      </x:c>
      <x:c r="C956" s="4" t="str">
        <x:v>M06 开播、房型、观看、连麦与房内管理</x:v>
      </x:c>
      <x:c r="D956" s="4" t="str">
        <x:v>本场贡献-贡献榜（主播视角）</x:v>
      </x:c>
      <x:c r="E956" s="4" t="str">
        <x:v>功能需求</x:v>
      </x:c>
      <x:c r="F956" s="4" t="str">
        <x:v>P1</x:v>
      </x:c>
      <x:c r="G956" s="4" t="str">
        <x:v>验证灯牌存在时展示</x:v>
      </x:c>
      <x:c r="H956" s="4" t="str">
        <x:v>灯牌存在时展示</x:v>
      </x:c>
      <x:c r="I956" s="4" t="str">
        <x:v>1. 已登录主播账号
2. 当前榜单用户具有灯牌对应身份</x:v>
      </x:c>
      <x:c r="J956" s="4" t="str">
        <x:v>1. 进入「直播间-主播」页
2. 打开「本场贡献-贡献榜」视图
3. 查看灯牌存在时展示</x:v>
      </x:c>
      <x:c r="K956" s="4" t="str">
        <x:v>展示该用户灯牌</x:v>
      </x:c>
      <x:c r="L956" s="4" t="str"/>
      <x:c r="M956" s="4" t="str">
        <x:v>未测</x:v>
      </x:c>
      <x:c r="N956" s="4" t="str"/>
      <x:c r="O956" s="4" t="str">
        <x:v>1. 来源：MainBasis/统一需求文档.md；U-views_live-room-host_contribution-rank-004
2. 场景：SC-b69507c4477ac9</x:v>
      </x:c>
    </x:row>
    <x:row r="957" ht="68" customHeight="1">
      <x:c r="A957" s="4" t="n">
        <x:v>956</x:v>
      </x:c>
      <x:c r="B957" s="4" t="str">
        <x:v>USER-0956</x:v>
      </x:c>
      <x:c r="C957" s="4" t="str">
        <x:v>M06 开播、房型、观看、连麦与房内管理</x:v>
      </x:c>
      <x:c r="D957" s="4" t="str">
        <x:v>本场贡献-贡献榜（主播视角）</x:v>
      </x:c>
      <x:c r="E957" s="4" t="str">
        <x:v>功能需求</x:v>
      </x:c>
      <x:c r="F957" s="4" t="str">
        <x:v>P1</x:v>
      </x:c>
      <x:c r="G957" s="4" t="str">
        <x:v>验证灯牌缺失时展示</x:v>
      </x:c>
      <x:c r="H957" s="4" t="str">
        <x:v>灯牌缺失时展示</x:v>
      </x:c>
      <x:c r="I957" s="4" t="str">
        <x:v>1. 已登录主播账号
2. 当前榜单用户不具有灯牌对应身份</x:v>
      </x:c>
      <x:c r="J957" s="4" t="str">
        <x:v>1. 进入「直播间-主播」页
2. 打开「本场贡献-贡献榜」视图
3. 查看灯牌缺失时展示</x:v>
      </x:c>
      <x:c r="K957" s="4" t="str">
        <x:v>不展示该用户灯牌</x:v>
      </x:c>
      <x:c r="L957" s="4" t="str"/>
      <x:c r="M957" s="4" t="str">
        <x:v>未测</x:v>
      </x:c>
      <x:c r="N957" s="4" t="str"/>
      <x:c r="O957" s="4" t="str">
        <x:v>1. 来源：MainBasis/统一需求文档.md；U-views_live-room-host_contribution-rank-004
2. 场景：SC-6e96461cffa237</x:v>
      </x:c>
    </x:row>
    <x:row r="958" ht="68" customHeight="1">
      <x:c r="A958" s="4" t="n">
        <x:v>957</x:v>
      </x:c>
      <x:c r="B958" s="4" t="str">
        <x:v>USER-0957</x:v>
      </x:c>
      <x:c r="C958" s="4" t="str">
        <x:v>M06 开播、房型、观看、连麦与房内管理</x:v>
      </x:c>
      <x:c r="D958" s="4" t="str">
        <x:v>本场贡献-贡献榜（主播视角）</x:v>
      </x:c>
      <x:c r="E958" s="4" t="str">
        <x:v>功能需求</x:v>
      </x:c>
      <x:c r="F958" s="4" t="str">
        <x:v>P1</x:v>
      </x:c>
      <x:c r="G958" s="4" t="str">
        <x:v>验证亲密度存在时展示</x:v>
      </x:c>
      <x:c r="H958" s="4" t="str">
        <x:v>亲密度存在时展示</x:v>
      </x:c>
      <x:c r="I958" s="4" t="str">
        <x:v>1. 已登录主播账号
2. 当前榜单用户具有亲密度对应身份</x:v>
      </x:c>
      <x:c r="J958" s="4" t="str">
        <x:v>1. 进入「直播间-主播」页
2. 打开「本场贡献-贡献榜」视图
3. 查看亲密度存在时展示</x:v>
      </x:c>
      <x:c r="K958" s="4" t="str">
        <x:v>展示该用户亲密度</x:v>
      </x:c>
      <x:c r="L958" s="4" t="str"/>
      <x:c r="M958" s="4" t="str">
        <x:v>未测</x:v>
      </x:c>
      <x:c r="N958" s="4" t="str"/>
      <x:c r="O958" s="4" t="str">
        <x:v>1. 来源：MainBasis/统一需求文档.md；U-views_live-room-host_contribution-rank-004
2. 场景：SC-e5c0457590906d</x:v>
      </x:c>
    </x:row>
    <x:row r="959" ht="68" customHeight="1">
      <x:c r="A959" s="4" t="n">
        <x:v>958</x:v>
      </x:c>
      <x:c r="B959" s="4" t="str">
        <x:v>USER-0958</x:v>
      </x:c>
      <x:c r="C959" s="4" t="str">
        <x:v>M06 开播、房型、观看、连麦与房内管理</x:v>
      </x:c>
      <x:c r="D959" s="4" t="str">
        <x:v>本场贡献-贡献榜（主播视角）</x:v>
      </x:c>
      <x:c r="E959" s="4" t="str">
        <x:v>功能需求</x:v>
      </x:c>
      <x:c r="F959" s="4" t="str">
        <x:v>P1</x:v>
      </x:c>
      <x:c r="G959" s="4" t="str">
        <x:v>验证亲密度缺失时展示</x:v>
      </x:c>
      <x:c r="H959" s="4" t="str">
        <x:v>亲密度缺失时展示</x:v>
      </x:c>
      <x:c r="I959" s="4" t="str">
        <x:v>1. 已登录主播账号
2. 当前榜单用户不具有亲密度对应身份</x:v>
      </x:c>
      <x:c r="J959" s="4" t="str">
        <x:v>1. 进入「直播间-主播」页
2. 打开「本场贡献-贡献榜」视图
3. 查看亲密度缺失时展示</x:v>
      </x:c>
      <x:c r="K959" s="4" t="str">
        <x:v>不展示该用户亲密度</x:v>
      </x:c>
      <x:c r="L959" s="4" t="str"/>
      <x:c r="M959" s="4" t="str">
        <x:v>未测</x:v>
      </x:c>
      <x:c r="N959" s="4" t="str"/>
      <x:c r="O959" s="4" t="str">
        <x:v>1. 来源：MainBasis/统一需求文档.md；U-views_live-room-host_contribution-rank-004
2. 场景：SC-696066f6036188</x:v>
      </x:c>
    </x:row>
    <x:row r="960" ht="68" customHeight="1">
      <x:c r="A960" s="4" t="n">
        <x:v>959</x:v>
      </x:c>
      <x:c r="B960" s="4" t="str">
        <x:v>USER-0959</x:v>
      </x:c>
      <x:c r="C960" s="4" t="str">
        <x:v>M06 开播、房型、观看、连麦与房内管理</x:v>
      </x:c>
      <x:c r="D960" s="4" t="str">
        <x:v>在线观众-观众列表（主播视角）</x:v>
      </x:c>
      <x:c r="E960" s="4" t="str">
        <x:v>功能需求</x:v>
      </x:c>
      <x:c r="F960" s="4" t="str">
        <x:v>P2</x:v>
      </x:c>
      <x:c r="G960" s="4" t="str">
        <x:v>验证禁言状态回显</x:v>
      </x:c>
      <x:c r="H960" s="4" t="str">
        <x:v>禁言状态回显</x:v>
      </x:c>
      <x:c r="I960" s="4" t="str">
        <x:v>1. 已登录主播账号
2. 所选对象存在，已记录该对象的禁言状态值</x:v>
      </x:c>
      <x:c r="J960" s="4" t="str">
        <x:v>1. 进入「直播间-主播」页
2. 打开「在线观众-观众列表」视图
3. 查看禁言状态回显</x:v>
      </x:c>
      <x:c r="K960" s="4" t="str">
        <x:v>「禁言状态」内容与所选对象的该项资料一致</x:v>
      </x:c>
      <x:c r="L960" s="4" t="str"/>
      <x:c r="M960" s="4" t="str">
        <x:v>未测</x:v>
      </x:c>
      <x:c r="N960" s="4" t="str"/>
      <x:c r="O960" s="4" t="str">
        <x:v>1. 来源：MainBasis/统一需求文档.md；U-views_live-room-host_audience-viewers-007
2. 场景：SC-8bc8983f885b63</x:v>
      </x:c>
    </x:row>
    <x:row r="961" ht="82" customHeight="1">
      <x:c r="A961" s="4" t="n">
        <x:v>960</x:v>
      </x:c>
      <x:c r="B961" s="4" t="str">
        <x:v>USER-0960</x:v>
      </x:c>
      <x:c r="C961" s="4" t="str">
        <x:v>M06 开播、房型、观看、连麦与房内管理</x:v>
      </x:c>
      <x:c r="D961" s="4" t="str">
        <x:v>在线观众-观众列表（主播视角）</x:v>
      </x:c>
      <x:c r="E961" s="4" t="str">
        <x:v>功能需求</x:v>
      </x:c>
      <x:c r="F961" s="4" t="str">
        <x:v>P1</x:v>
      </x:c>
      <x:c r="G961" s="4" t="str">
        <x:v>验证离线移出在线列表</x:v>
      </x:c>
      <x:c r="H961" s="4" t="str">
        <x:v>离线移出在线列表</x:v>
      </x:c>
      <x:c r="I961" s="4" t="str">
        <x:v>1. 已登录主播账号
2. 用户本场送礼100后已离线</x:v>
      </x:c>
      <x:c r="J961" s="4" t="str">
        <x:v>1. 进入「直播间-主播」页
2. 打开「在线观众-观众列表」视图
3. 查看离线移出在线列表</x:v>
      </x:c>
      <x:c r="K961" s="4" t="str">
        <x:v>在线列表不显示该用户</x:v>
      </x:c>
      <x:c r="L961" s="4" t="str"/>
      <x:c r="M961" s="4" t="str">
        <x:v>未测</x:v>
      </x:c>
      <x:c r="N961" s="4" t="str"/>
      <x:c r="O961" s="4" t="str">
        <x:v>1. 来源：MainBasis/统一需求文档.md；U-views_live-room-host_audience-viewers-008、U-views_live-room-host_audience-viewers-006
2. 场景：SC-d697894f9bcde1</x:v>
      </x:c>
    </x:row>
    <x:row r="962" ht="68" customHeight="1">
      <x:c r="A962" s="4" t="n">
        <x:v>961</x:v>
      </x:c>
      <x:c r="B962" s="4" t="str">
        <x:v>USER-0961</x:v>
      </x:c>
      <x:c r="C962" s="4" t="str">
        <x:v>M06 开播、房型、观看、连麦与房内管理</x:v>
      </x:c>
      <x:c r="D962" s="4" t="str">
        <x:v>在线观众-观众列表（主播视角）</x:v>
      </x:c>
      <x:c r="E962" s="4" t="str">
        <x:v>功能需求</x:v>
      </x:c>
      <x:c r="F962" s="4" t="str">
        <x:v>P1</x:v>
      </x:c>
      <x:c r="G962" s="4" t="str">
        <x:v>验证在线按贡献比较贡献值</x:v>
      </x:c>
      <x:c r="H962" s="4" t="str">
        <x:v>在线按贡献比较贡献值</x:v>
      </x:c>
      <x:c r="I962" s="4" t="str">
        <x:v>1. 已登录主播账号
2. 两位在线用户前0项排序值相同，贡献值分别10和20</x:v>
      </x:c>
      <x:c r="J962" s="4" t="str">
        <x:v>1. 进入「直播间-主播」页
2. 打开「在线观众-观众列表」视图
3. 选择按贡献</x:v>
      </x:c>
      <x:c r="K962" s="4" t="str">
        <x:v>20对应用户在前</x:v>
      </x:c>
      <x:c r="L962" s="4" t="str"/>
      <x:c r="M962" s="4" t="str">
        <x:v>未测</x:v>
      </x:c>
      <x:c r="N962" s="4" t="str"/>
      <x:c r="O962" s="4" t="str">
        <x:v>1. 来源：MainBasis/统一需求文档.md；U-views_live-room-host_audience-viewers-010
2. 场景：SC-fc7237a07df751</x:v>
      </x:c>
    </x:row>
    <x:row r="963" ht="68" customHeight="1">
      <x:c r="A963" s="4" t="n">
        <x:v>962</x:v>
      </x:c>
      <x:c r="B963" s="4" t="str">
        <x:v>USER-0962</x:v>
      </x:c>
      <x:c r="C963" s="4" t="str">
        <x:v>M06 开播、房型、观看、连麦与房内管理</x:v>
      </x:c>
      <x:c r="D963" s="4" t="str">
        <x:v>在线观众-观众列表（主播视角）</x:v>
      </x:c>
      <x:c r="E963" s="4" t="str">
        <x:v>功能需求</x:v>
      </x:c>
      <x:c r="F963" s="4" t="str">
        <x:v>P1</x:v>
      </x:c>
      <x:c r="G963" s="4" t="str">
        <x:v>验证在线按贡献比较粉丝等级</x:v>
      </x:c>
      <x:c r="H963" s="4" t="str">
        <x:v>在线按贡献比较粉丝等级</x:v>
      </x:c>
      <x:c r="I963" s="4" t="str">
        <x:v>1. 已登录主播账号
2. 两位在线用户前1项排序值相同，粉丝等级分别10和20</x:v>
      </x:c>
      <x:c r="J963" s="4" t="str">
        <x:v>1. 进入「直播间-主播」页
2. 打开「在线观众-观众列表」视图
3. 选择按贡献</x:v>
      </x:c>
      <x:c r="K963" s="4" t="str">
        <x:v>20对应用户在前</x:v>
      </x:c>
      <x:c r="L963" s="4" t="str"/>
      <x:c r="M963" s="4" t="str">
        <x:v>未测</x:v>
      </x:c>
      <x:c r="N963" s="4" t="str"/>
      <x:c r="O963" s="4" t="str">
        <x:v>1. 来源：MainBasis/统一需求文档.md；U-views_live-room-host_audience-viewers-010
2. 场景：SC-e26882f3bc3ff8</x:v>
      </x:c>
    </x:row>
    <x:row r="964" ht="68" customHeight="1">
      <x:c r="A964" s="4" t="n">
        <x:v>963</x:v>
      </x:c>
      <x:c r="B964" s="4" t="str">
        <x:v>USER-0963</x:v>
      </x:c>
      <x:c r="C964" s="4" t="str">
        <x:v>M06 开播、房型、观看、连麦与房内管理</x:v>
      </x:c>
      <x:c r="D964" s="4" t="str">
        <x:v>在线观众-观众列表（主播视角）</x:v>
      </x:c>
      <x:c r="E964" s="4" t="str">
        <x:v>功能需求</x:v>
      </x:c>
      <x:c r="F964" s="4" t="str">
        <x:v>P1</x:v>
      </x:c>
      <x:c r="G964" s="4" t="str">
        <x:v>验证在线按贡献比较财富等级</x:v>
      </x:c>
      <x:c r="H964" s="4" t="str">
        <x:v>在线按贡献比较财富等级</x:v>
      </x:c>
      <x:c r="I964" s="4" t="str">
        <x:v>1. 已登录主播账号
2. 两位在线用户前2项排序值相同，财富等级分别10和20</x:v>
      </x:c>
      <x:c r="J964" s="4" t="str">
        <x:v>1. 进入「直播间-主播」页
2. 打开「在线观众-观众列表」视图
3. 选择按贡献</x:v>
      </x:c>
      <x:c r="K964" s="4" t="str">
        <x:v>20对应用户在前</x:v>
      </x:c>
      <x:c r="L964" s="4" t="str"/>
      <x:c r="M964" s="4" t="str">
        <x:v>未测</x:v>
      </x:c>
      <x:c r="N964" s="4" t="str"/>
      <x:c r="O964" s="4" t="str">
        <x:v>1. 来源：MainBasis/统一需求文档.md；U-views_live-room-host_audience-viewers-010
2. 场景：SC-fbaae85a738db8</x:v>
      </x:c>
    </x:row>
    <x:row r="965" ht="68" customHeight="1">
      <x:c r="A965" s="4" t="n">
        <x:v>964</x:v>
      </x:c>
      <x:c r="B965" s="4" t="str">
        <x:v>USER-0964</x:v>
      </x:c>
      <x:c r="C965" s="4" t="str">
        <x:v>M06 开播、房型、观看、连麦与房内管理</x:v>
      </x:c>
      <x:c r="D965" s="4" t="str">
        <x:v>在线观众-观众列表（主播视角）</x:v>
      </x:c>
      <x:c r="E965" s="4" t="str">
        <x:v>功能需求</x:v>
      </x:c>
      <x:c r="F965" s="4" t="str">
        <x:v>P1</x:v>
      </x:c>
      <x:c r="G965" s="4" t="str">
        <x:v>验证在线按贡献比较用户ID</x:v>
      </x:c>
      <x:c r="H965" s="4" t="str">
        <x:v>在线按贡献比较用户ID</x:v>
      </x:c>
      <x:c r="I965" s="4" t="str">
        <x:v>1. 已登录主播账号
2. 两位在线用户前3项排序值相同，用户ID分别10和20</x:v>
      </x:c>
      <x:c r="J965" s="4" t="str">
        <x:v>1. 进入「直播间-主播」页
2. 打开「在线观众-观众列表」视图
3. 选择按贡献</x:v>
      </x:c>
      <x:c r="K965" s="4" t="str">
        <x:v>10对应用户在前</x:v>
      </x:c>
      <x:c r="L965" s="4" t="str"/>
      <x:c r="M965" s="4" t="str">
        <x:v>未测</x:v>
      </x:c>
      <x:c r="N965" s="4" t="str"/>
      <x:c r="O965" s="4" t="str">
        <x:v>1. 来源：MainBasis/统一需求文档.md；U-views_live-room-host_audience-viewers-010
2. 场景：SC-f80fcb25fb372d</x:v>
      </x:c>
    </x:row>
    <x:row r="966" ht="68" customHeight="1">
      <x:c r="A966" s="4" t="n">
        <x:v>965</x:v>
      </x:c>
      <x:c r="B966" s="4" t="str">
        <x:v>USER-0965</x:v>
      </x:c>
      <x:c r="C966" s="4" t="str">
        <x:v>M06 开播、房型、观看、连麦与房内管理</x:v>
      </x:c>
      <x:c r="D966" s="4" t="str">
        <x:v>在线观众-观众列表（主播视角）</x:v>
      </x:c>
      <x:c r="E966" s="4" t="str">
        <x:v>功能需求</x:v>
      </x:c>
      <x:c r="F966" s="4" t="str">
        <x:v>P1</x:v>
      </x:c>
      <x:c r="G966" s="4" t="str">
        <x:v>验证在线按停留时长比较累计在线时长</x:v>
      </x:c>
      <x:c r="H966" s="4" t="str">
        <x:v>在线按停留时长比较累计在线时长</x:v>
      </x:c>
      <x:c r="I966" s="4" t="str">
        <x:v>1. 已登录主播账号
2. 两位在线用户前0项排序值相同，累计在线时长分别10和20</x:v>
      </x:c>
      <x:c r="J966" s="4" t="str">
        <x:v>1. 进入「直播间-主播」页
2. 打开「在线观众-观众列表」视图
3. 选择按停留时长</x:v>
      </x:c>
      <x:c r="K966" s="4" t="str">
        <x:v>20对应用户在前</x:v>
      </x:c>
      <x:c r="L966" s="4" t="str"/>
      <x:c r="M966" s="4" t="str">
        <x:v>未测</x:v>
      </x:c>
      <x:c r="N966" s="4" t="str"/>
      <x:c r="O966" s="4" t="str">
        <x:v>1. 来源：MainBasis/统一需求文档.md；U-views_live-room-host_audience-viewers-011
2. 场景：SC-60a896b159b8ba</x:v>
      </x:c>
    </x:row>
    <x:row r="967" ht="68" customHeight="1">
      <x:c r="A967" s="4" t="n">
        <x:v>966</x:v>
      </x:c>
      <x:c r="B967" s="4" t="str">
        <x:v>USER-0966</x:v>
      </x:c>
      <x:c r="C967" s="4" t="str">
        <x:v>M06 开播、房型、观看、连麦与房内管理</x:v>
      </x:c>
      <x:c r="D967" s="4" t="str">
        <x:v>在线观众-观众列表（主播视角）</x:v>
      </x:c>
      <x:c r="E967" s="4" t="str">
        <x:v>功能需求</x:v>
      </x:c>
      <x:c r="F967" s="4" t="str">
        <x:v>P1</x:v>
      </x:c>
      <x:c r="G967" s="4" t="str">
        <x:v>验证在线按停留时长比较贡献值</x:v>
      </x:c>
      <x:c r="H967" s="4" t="str">
        <x:v>在线按停留时长比较贡献值</x:v>
      </x:c>
      <x:c r="I967" s="4" t="str">
        <x:v>1. 已登录主播账号
2. 两位在线用户前1项排序值相同，贡献值分别10和20</x:v>
      </x:c>
      <x:c r="J967" s="4" t="str">
        <x:v>1. 进入「直播间-主播」页
2. 打开「在线观众-观众列表」视图
3. 选择按停留时长</x:v>
      </x:c>
      <x:c r="K967" s="4" t="str">
        <x:v>20对应用户在前</x:v>
      </x:c>
      <x:c r="L967" s="4" t="str"/>
      <x:c r="M967" s="4" t="str">
        <x:v>未测</x:v>
      </x:c>
      <x:c r="N967" s="4" t="str"/>
      <x:c r="O967" s="4" t="str">
        <x:v>1. 来源：MainBasis/统一需求文档.md；U-views_live-room-host_audience-viewers-011
2. 场景：SC-e1e30f755d10aa</x:v>
      </x:c>
    </x:row>
    <x:row r="968" ht="68" customHeight="1">
      <x:c r="A968" s="4" t="n">
        <x:v>967</x:v>
      </x:c>
      <x:c r="B968" s="4" t="str">
        <x:v>USER-0967</x:v>
      </x:c>
      <x:c r="C968" s="4" t="str">
        <x:v>M06 开播、房型、观看、连麦与房内管理</x:v>
      </x:c>
      <x:c r="D968" s="4" t="str">
        <x:v>在线观众-观众列表（主播视角）</x:v>
      </x:c>
      <x:c r="E968" s="4" t="str">
        <x:v>功能需求</x:v>
      </x:c>
      <x:c r="F968" s="4" t="str">
        <x:v>P1</x:v>
      </x:c>
      <x:c r="G968" s="4" t="str">
        <x:v>验证在线按停留时长比较粉丝等级</x:v>
      </x:c>
      <x:c r="H968" s="4" t="str">
        <x:v>在线按停留时长比较粉丝等级</x:v>
      </x:c>
      <x:c r="I968" s="4" t="str">
        <x:v>1. 已登录主播账号
2. 两位在线用户前2项排序值相同，粉丝等级分别10和20</x:v>
      </x:c>
      <x:c r="J968" s="4" t="str">
        <x:v>1. 进入「直播间-主播」页
2. 打开「在线观众-观众列表」视图
3. 选择按停留时长</x:v>
      </x:c>
      <x:c r="K968" s="4" t="str">
        <x:v>20对应用户在前</x:v>
      </x:c>
      <x:c r="L968" s="4" t="str"/>
      <x:c r="M968" s="4" t="str">
        <x:v>未测</x:v>
      </x:c>
      <x:c r="N968" s="4" t="str"/>
      <x:c r="O968" s="4" t="str">
        <x:v>1. 来源：MainBasis/统一需求文档.md；U-views_live-room-host_audience-viewers-011
2. 场景：SC-3c0b663789f98d</x:v>
      </x:c>
    </x:row>
    <x:row r="969" ht="68" customHeight="1">
      <x:c r="A969" s="4" t="n">
        <x:v>968</x:v>
      </x:c>
      <x:c r="B969" s="4" t="str">
        <x:v>USER-0968</x:v>
      </x:c>
      <x:c r="C969" s="4" t="str">
        <x:v>M06 开播、房型、观看、连麦与房内管理</x:v>
      </x:c>
      <x:c r="D969" s="4" t="str">
        <x:v>在线观众-观众列表（主播视角）</x:v>
      </x:c>
      <x:c r="E969" s="4" t="str">
        <x:v>功能需求</x:v>
      </x:c>
      <x:c r="F969" s="4" t="str">
        <x:v>P1</x:v>
      </x:c>
      <x:c r="G969" s="4" t="str">
        <x:v>验证在线按停留时长比较财富等级</x:v>
      </x:c>
      <x:c r="H969" s="4" t="str">
        <x:v>在线按停留时长比较财富等级</x:v>
      </x:c>
      <x:c r="I969" s="4" t="str">
        <x:v>1. 已登录主播账号
2. 两位在线用户前3项排序值相同，财富等级分别10和20</x:v>
      </x:c>
      <x:c r="J969" s="4" t="str">
        <x:v>1. 进入「直播间-主播」页
2. 打开「在线观众-观众列表」视图
3. 选择按停留时长</x:v>
      </x:c>
      <x:c r="K969" s="4" t="str">
        <x:v>20对应用户在前</x:v>
      </x:c>
      <x:c r="L969" s="4" t="str"/>
      <x:c r="M969" s="4" t="str">
        <x:v>未测</x:v>
      </x:c>
      <x:c r="N969" s="4" t="str"/>
      <x:c r="O969" s="4" t="str">
        <x:v>1. 来源：MainBasis/统一需求文档.md；U-views_live-room-host_audience-viewers-011
2. 场景：SC-560f62021d93a5</x:v>
      </x:c>
    </x:row>
    <x:row r="970" ht="68" customHeight="1">
      <x:c r="A970" s="4" t="n">
        <x:v>969</x:v>
      </x:c>
      <x:c r="B970" s="4" t="str">
        <x:v>USER-0969</x:v>
      </x:c>
      <x:c r="C970" s="4" t="str">
        <x:v>M06 开播、房型、观看、连麦与房内管理</x:v>
      </x:c>
      <x:c r="D970" s="4" t="str">
        <x:v>在线观众-观众列表（主播视角）</x:v>
      </x:c>
      <x:c r="E970" s="4" t="str">
        <x:v>功能需求</x:v>
      </x:c>
      <x:c r="F970" s="4" t="str">
        <x:v>P1</x:v>
      </x:c>
      <x:c r="G970" s="4" t="str">
        <x:v>验证在线按停留时长比较用户ID</x:v>
      </x:c>
      <x:c r="H970" s="4" t="str">
        <x:v>在线按停留时长比较用户ID</x:v>
      </x:c>
      <x:c r="I970" s="4" t="str">
        <x:v>1. 已登录主播账号
2. 两位在线用户前4项排序值相同，用户ID分别10和20</x:v>
      </x:c>
      <x:c r="J970" s="4" t="str">
        <x:v>1. 进入「直播间-主播」页
2. 打开「在线观众-观众列表」视图
3. 选择按停留时长</x:v>
      </x:c>
      <x:c r="K970" s="4" t="str">
        <x:v>10对应用户在前</x:v>
      </x:c>
      <x:c r="L970" s="4" t="str"/>
      <x:c r="M970" s="4" t="str">
        <x:v>未测</x:v>
      </x:c>
      <x:c r="N970" s="4" t="str"/>
      <x:c r="O970" s="4" t="str">
        <x:v>1. 来源：MainBasis/统一需求文档.md；U-views_live-room-host_audience-viewers-011
2. 场景：SC-c36743d12949e5</x:v>
      </x:c>
    </x:row>
    <x:row r="971" ht="68" customHeight="1">
      <x:c r="A971" s="4" t="n">
        <x:v>970</x:v>
      </x:c>
      <x:c r="B971" s="4" t="str">
        <x:v>USER-0970</x:v>
      </x:c>
      <x:c r="C971" s="4" t="str">
        <x:v>M06 开播、房型、观看、连麦与房内管理</x:v>
      </x:c>
      <x:c r="D971" s="4" t="str">
        <x:v>在线观众-观众列表（主播视角）</x:v>
      </x:c>
      <x:c r="E971" s="4" t="str">
        <x:v>功能需求</x:v>
      </x:c>
      <x:c r="F971" s="4" t="str">
        <x:v>P1</x:v>
      </x:c>
      <x:c r="G971" s="4" t="str">
        <x:v>验证有效团籍身份展示</x:v>
      </x:c>
      <x:c r="H971" s="4" t="str">
        <x:v>有效团籍身份展示</x:v>
      </x:c>
      <x:c r="I971" s="4" t="str">
        <x:v>1. 已登录主播账号
2. 用户具有当前主播有效团籍</x:v>
      </x:c>
      <x:c r="J971" s="4" t="str">
        <x:v>1. 进入「直播间-主播」页
2. 打开「在线观众-观众列表」视图
3. 查看有效团籍身份展示</x:v>
      </x:c>
      <x:c r="K971" s="4" t="str">
        <x:v>显示灯牌、粉丝等级和亲密度</x:v>
      </x:c>
      <x:c r="L971" s="4" t="str"/>
      <x:c r="M971" s="4" t="str">
        <x:v>未测</x:v>
      </x:c>
      <x:c r="N971" s="4" t="str"/>
      <x:c r="O971" s="4" t="str">
        <x:v>1. 来源：MainBasis/统一需求文档.md；U-views_live-room-host_audience-viewers-004
2. 场景：SC-1cfe9e42e4cc09</x:v>
      </x:c>
    </x:row>
    <x:row r="972" ht="68" customHeight="1">
      <x:c r="A972" s="4" t="n">
        <x:v>971</x:v>
      </x:c>
      <x:c r="B972" s="4" t="str">
        <x:v>USER-0971</x:v>
      </x:c>
      <x:c r="C972" s="4" t="str">
        <x:v>M06 开播、房型、观看、连麦与房内管理</x:v>
      </x:c>
      <x:c r="D972" s="4" t="str">
        <x:v>在线观众-观众列表（主播视角）</x:v>
      </x:c>
      <x:c r="E972" s="4" t="str">
        <x:v>功能需求</x:v>
      </x:c>
      <x:c r="F972" s="4" t="str">
        <x:v>P1</x:v>
      </x:c>
      <x:c r="G972" s="4" t="str">
        <x:v>验证无效团籍身份展示</x:v>
      </x:c>
      <x:c r="H972" s="4" t="str">
        <x:v>无效团籍身份展示</x:v>
      </x:c>
      <x:c r="I972" s="4" t="str">
        <x:v>1. 已登录主播账号
2. 用户没有当前主播有效团籍</x:v>
      </x:c>
      <x:c r="J972" s="4" t="str">
        <x:v>1. 进入「直播间-主播」页
2. 打开「在线观众-观众列表」视图
3. 查看无效团籍身份展示</x:v>
      </x:c>
      <x:c r="K972" s="4" t="str">
        <x:v>不显示灯牌、粉丝等级和亲密度</x:v>
      </x:c>
      <x:c r="L972" s="4" t="str"/>
      <x:c r="M972" s="4" t="str">
        <x:v>未测</x:v>
      </x:c>
      <x:c r="N972" s="4" t="str"/>
      <x:c r="O972" s="4" t="str">
        <x:v>1. 来源：MainBasis/统一需求文档.md；U-views_live-room-host_audience-viewers-004
2. 场景：SC-3caf83472e799c</x:v>
      </x:c>
    </x:row>
    <x:row r="973" ht="68" customHeight="1">
      <x:c r="A973" s="4" t="n">
        <x:v>972</x:v>
      </x:c>
      <x:c r="B973" s="4" t="str">
        <x:v>USER-0972</x:v>
      </x:c>
      <x:c r="C973" s="4" t="str">
        <x:v>M06 开播、房型、观看、连麦与房内管理</x:v>
      </x:c>
      <x:c r="D973" s="4" t="str">
        <x:v>在线观众-观众列表（主播视角）</x:v>
      </x:c>
      <x:c r="E973" s="4" t="str">
        <x:v>功能需求</x:v>
      </x:c>
      <x:c r="F973" s="4" t="str">
        <x:v>P2</x:v>
      </x:c>
      <x:c r="G973" s="4" t="str">
        <x:v>验证私信入口</x:v>
      </x:c>
      <x:c r="H973" s="4" t="str">
        <x:v>私信入口</x:v>
      </x:c>
      <x:c r="I973" s="4" t="str">
        <x:v>1. 已登录主播账号</x:v>
      </x:c>
      <x:c r="J973" s="4" t="str">
        <x:v>1. 进入「直播间-主播」页
2. 打开「在线观众-观众列表」视图
3. 点击「私信」</x:v>
      </x:c>
      <x:c r="K973" s="4" t="str">
        <x:v>页面进入「与该用户的单聊」</x:v>
      </x:c>
      <x:c r="L973" s="4" t="str"/>
      <x:c r="M973" s="4" t="str">
        <x:v>未测</x:v>
      </x:c>
      <x:c r="N973" s="4" t="str"/>
      <x:c r="O973" s="4" t="str">
        <x:v>1. 来源：MainBasis/统一需求文档.md；U-views_live-room-host_audience-viewers-016
2. 场景：SC-c8170fee69d6d8</x:v>
      </x:c>
    </x:row>
    <x:row r="974" ht="68" customHeight="1">
      <x:c r="A974" s="4" t="n">
        <x:v>973</x:v>
      </x:c>
      <x:c r="B974" s="4" t="str">
        <x:v>USER-0973</x:v>
      </x:c>
      <x:c r="C974" s="4" t="str">
        <x:v>M06 开播、房型、观看、连麦与房内管理</x:v>
      </x:c>
      <x:c r="D974" s="4" t="str">
        <x:v>在线观众-观众列表（主播视角）</x:v>
      </x:c>
      <x:c r="E974" s="4" t="str">
        <x:v>功能需求</x:v>
      </x:c>
      <x:c r="F974" s="4" t="str">
        <x:v>P2</x:v>
      </x:c>
      <x:c r="G974" s="4" t="str">
        <x:v>验证用户入口</x:v>
      </x:c>
      <x:c r="H974" s="4" t="str">
        <x:v>用户入口</x:v>
      </x:c>
      <x:c r="I974" s="4" t="str">
        <x:v>1. 已登录主播账号</x:v>
      </x:c>
      <x:c r="J974" s="4" t="str">
        <x:v>1. 进入「直播间-主播」页
2. 打开「在线观众-观众列表」视图
3. 点击「用户」</x:v>
      </x:c>
      <x:c r="K974" s="4" t="str">
        <x:v>页面进入「主播权限资料卡」</x:v>
      </x:c>
      <x:c r="L974" s="4" t="str"/>
      <x:c r="M974" s="4" t="str">
        <x:v>未测</x:v>
      </x:c>
      <x:c r="N974" s="4" t="str"/>
      <x:c r="O974" s="4" t="str">
        <x:v>1. 来源：MainBasis/统一需求文档.md；U-views_live-room-host_audience-viewers-017
2. 场景：SC-4883fe5eea06ad</x:v>
      </x:c>
    </x:row>
    <x:row r="975" ht="68" customHeight="1">
      <x:c r="A975" s="4" t="n">
        <x:v>974</x:v>
      </x:c>
      <x:c r="B975" s="4" t="str">
        <x:v>USER-0974</x:v>
      </x:c>
      <x:c r="C975" s="4" t="str">
        <x:v>M06 开播、房型、观看、连麦与房内管理</x:v>
      </x:c>
      <x:c r="D975" s="4" t="str">
        <x:v>在线观众-观众列表（主播视角）</x:v>
      </x:c>
      <x:c r="E975" s="4" t="str">
        <x:v>功能需求</x:v>
      </x:c>
      <x:c r="F975" s="4" t="str">
        <x:v>P1</x:v>
      </x:c>
      <x:c r="G975" s="4" t="str">
        <x:v>验证财富等级缺失隐藏</x:v>
      </x:c>
      <x:c r="H975" s="4" t="str">
        <x:v>财富等级缺失隐藏</x:v>
      </x:c>
      <x:c r="I975" s="4" t="str">
        <x:v>1. 已登录主播账号
2. 当前在线观众财富等级无数据</x:v>
      </x:c>
      <x:c r="J975" s="4" t="str">
        <x:v>1. 进入「直播间-主播」页
2. 打开「在线观众-观众列表」视图
3. 查看财富等级缺失隐藏</x:v>
      </x:c>
      <x:c r="K975" s="4" t="str">
        <x:v>不显示该观众财富等级</x:v>
      </x:c>
      <x:c r="L975" s="4" t="str"/>
      <x:c r="M975" s="4" t="str">
        <x:v>未测</x:v>
      </x:c>
      <x:c r="N975" s="4" t="str"/>
      <x:c r="O975" s="4" t="str">
        <x:v>1. 来源：MainBasis/统一需求文档.md；U-views_live-room-host_audience-viewers-003
2. 场景：SC-dc2bdc1d06f2f0</x:v>
      </x:c>
    </x:row>
    <x:row r="976" ht="68" customHeight="1">
      <x:c r="A976" s="4" t="n">
        <x:v>975</x:v>
      </x:c>
      <x:c r="B976" s="4" t="str">
        <x:v>USER-0975</x:v>
      </x:c>
      <x:c r="C976" s="4" t="str">
        <x:v>M06 开播、房型、观看、连麦与房内管理</x:v>
      </x:c>
      <x:c r="D976" s="4" t="str">
        <x:v>在线观众-观众列表（主播视角）</x:v>
      </x:c>
      <x:c r="E976" s="4" t="str">
        <x:v>功能需求</x:v>
      </x:c>
      <x:c r="F976" s="4" t="str">
        <x:v>P1</x:v>
      </x:c>
      <x:c r="G976" s="4" t="str">
        <x:v>验证停留时长累计重进</x:v>
      </x:c>
      <x:c r="H976" s="4" t="str">
        <x:v>停留时长累计重进</x:v>
      </x:c>
      <x:c r="I976" s="4" t="str">
        <x:v>1. 已登录主播账号
2. 用户本场先在线10分钟，离开后又在线5分钟</x:v>
      </x:c>
      <x:c r="J976" s="4" t="str">
        <x:v>1. 进入「直播间-主播」页
2. 打开「在线观众-观众列表」视图
3. 查看停留时长累计重进</x:v>
      </x:c>
      <x:c r="K976" s="4" t="str">
        <x:v>本场累计停留15分钟</x:v>
      </x:c>
      <x:c r="L976" s="4" t="str"/>
      <x:c r="M976" s="4" t="str">
        <x:v>未测</x:v>
      </x:c>
      <x:c r="N976" s="4" t="str"/>
      <x:c r="O976" s="4" t="str">
        <x:v>1. 来源：MainBasis/统一需求文档.md；U-views_live-room-host_audience-viewers-005
2. 场景：SC-a63d502baa6047</x:v>
      </x:c>
    </x:row>
    <x:row r="977" ht="68" customHeight="1">
      <x:c r="A977" s="4" t="n">
        <x:v>976</x:v>
      </x:c>
      <x:c r="B977" s="4" t="str">
        <x:v>USER-0976</x:v>
      </x:c>
      <x:c r="C977" s="4" t="str">
        <x:v>M06 开播、房型、观看、连麦与房内管理</x:v>
      </x:c>
      <x:c r="D977" s="4" t="str">
        <x:v>在线观众-观众列表（主播视角）</x:v>
      </x:c>
      <x:c r="E977" s="4" t="str">
        <x:v>功能需求</x:v>
      </x:c>
      <x:c r="F977" s="4" t="str">
        <x:v>P1</x:v>
      </x:c>
      <x:c r="G977" s="4" t="str">
        <x:v>验证切换排序不改变处置</x:v>
      </x:c>
      <x:c r="H977" s="4" t="str">
        <x:v>切换排序不改变处置</x:v>
      </x:c>
      <x:c r="I977" s="4" t="str">
        <x:v>1. 已登录主播账号
2. 用户原为房管且本场禁言，已切换排序模式</x:v>
      </x:c>
      <x:c r="J977" s="4" t="str">
        <x:v>1. 进入「直播间-主播」页
2. 打开「在线观众-观众列表」视图
3. 查看切换排序不改变处置</x:v>
      </x:c>
      <x:c r="K977" s="4" t="str">
        <x:v>其身份、权限和禁言状态不变</x:v>
      </x:c>
      <x:c r="L977" s="4" t="str"/>
      <x:c r="M977" s="4" t="str">
        <x:v>未测</x:v>
      </x:c>
      <x:c r="N977" s="4" t="str"/>
      <x:c r="O977" s="4" t="str">
        <x:v>1. 来源：MainBasis/统一需求文档.md；U-views_live-room-host_audience-viewers-012
2. 场景：SC-7d04a3618f7a27</x:v>
      </x:c>
    </x:row>
    <x:row r="978" ht="68" customHeight="1">
      <x:c r="A978" s="4" t="n">
        <x:v>977</x:v>
      </x:c>
      <x:c r="B978" s="4" t="str">
        <x:v>USER-0977</x:v>
      </x:c>
      <x:c r="C978" s="4" t="str">
        <x:v>M06 开播、房型、观看、连麦与房内管理</x:v>
      </x:c>
      <x:c r="D978" s="4" t="str">
        <x:v>在线观众-观众列表（主播视角）</x:v>
      </x:c>
      <x:c r="E978" s="4" t="str">
        <x:v>功能需求</x:v>
      </x:c>
      <x:c r="F978" s="4" t="str">
        <x:v>P1</x:v>
      </x:c>
      <x:c r="G978" s="4" t="str">
        <x:v>验证观众与贡献视图切换</x:v>
      </x:c>
      <x:c r="H978" s="4" t="str">
        <x:v>观众与贡献视图切换</x:v>
      </x:c>
      <x:c r="I978" s="4" t="str">
        <x:v>1. 已登录主播账号
2. 主播当前普通房在播</x:v>
      </x:c>
      <x:c r="J978" s="4" t="str">
        <x:v>1. 进入「直播间-主播」页
2. 打开「在线观众-观众列表」视图
3. 切换贡献TOP10
4. 切换观众</x:v>
      </x:c>
      <x:c r="K978" s="4" t="str">
        <x:v>在同一弹层切回当前在线观众列表</x:v>
      </x:c>
      <x:c r="L978" s="4" t="str"/>
      <x:c r="M978" s="4" t="str">
        <x:v>未测</x:v>
      </x:c>
      <x:c r="N978" s="4" t="str"/>
      <x:c r="O978" s="4" t="str">
        <x:v>1. 来源：MainBasis/统一需求文档.md；U-views_live-room-host_audience-viewers-014
2. 场景：SC-5c50773f5a9e81</x:v>
      </x:c>
    </x:row>
    <x:row r="979" ht="68" customHeight="1">
      <x:c r="A979" s="4" t="n">
        <x:v>978</x:v>
      </x:c>
      <x:c r="B979" s="4" t="str">
        <x:v>USER-0978</x:v>
      </x:c>
      <x:c r="C979" s="4" t="str">
        <x:v>M06 开播、房型、观看、连麦与房内管理</x:v>
      </x:c>
      <x:c r="D979" s="4" t="str">
        <x:v>在线观众-观众列表（主播视角）</x:v>
      </x:c>
      <x:c r="E979" s="4" t="str">
        <x:v>功能需求</x:v>
      </x:c>
      <x:c r="F979" s="4" t="str">
        <x:v>P1</x:v>
      </x:c>
      <x:c r="G979" s="4" t="str">
        <x:v>验证排序重排不关弹层</x:v>
      </x:c>
      <x:c r="H979" s="4" t="str">
        <x:v>排序重排不关弹层</x:v>
      </x:c>
      <x:c r="I979" s="4" t="str">
        <x:v>1. 已登录主播账号
2. 观众贡献顺序与停留顺序不同</x:v>
      </x:c>
      <x:c r="J979" s="4" t="str">
        <x:v>1. 进入「直播间-主播」页
2. 打开「在线观众-观众列表」视图
3. 切换按停留时长</x:v>
      </x:c>
      <x:c r="K979" s="4" t="str">
        <x:v>弹层保持打开，列表按停留时长规则重排</x:v>
      </x:c>
      <x:c r="L979" s="4" t="str"/>
      <x:c r="M979" s="4" t="str">
        <x:v>未测</x:v>
      </x:c>
      <x:c r="N979" s="4" t="str"/>
      <x:c r="O979" s="4" t="str">
        <x:v>1. 来源：MainBasis/统一需求文档.md；U-views_live-room-host_audience-viewers-015
2. 场景：SC-6882017d312377</x:v>
      </x:c>
    </x:row>
    <x:row r="980" ht="68" customHeight="1">
      <x:c r="A980" s="4" t="n">
        <x:v>979</x:v>
      </x:c>
      <x:c r="B980" s="4" t="str">
        <x:v>USER-0979</x:v>
      </x:c>
      <x:c r="C980" s="4" t="str">
        <x:v>M06 开播、房型、观看、连麦与房内管理</x:v>
      </x:c>
      <x:c r="D980" s="4" t="str">
        <x:v>在线观众-观众列表（主播视角）</x:v>
      </x:c>
      <x:c r="E980" s="4" t="str">
        <x:v>功能需求</x:v>
      </x:c>
      <x:c r="F980" s="4" t="str">
        <x:v>P1</x:v>
      </x:c>
      <x:c r="G980" s="4" t="str">
        <x:v>验证在线名单排除已离开观众</x:v>
      </x:c>
      <x:c r="H980" s="4" t="str">
        <x:v>在线名单排除已离开观众</x:v>
      </x:c>
      <x:c r="I980" s="4" t="str">
        <x:v>1. 已登录主播账号
2. 本场甲仍在线，乙已经离开</x:v>
      </x:c>
      <x:c r="J980" s="4" t="str">
        <x:v>1. 进入「直播间-主播」页
2. 打开「在线观众-观众列表」视图
3. 查看在线名单排除已离开观众</x:v>
      </x:c>
      <x:c r="K980" s="4" t="str">
        <x:v>在线观众列表只包含甲的头像和昵称</x:v>
      </x:c>
      <x:c r="L980" s="4" t="str"/>
      <x:c r="M980" s="4" t="str">
        <x:v>未测</x:v>
      </x:c>
      <x:c r="N980" s="4" t="str"/>
      <x:c r="O980" s="4" t="str">
        <x:v>1. 来源：MainBasis/统一需求文档.md；U-views_live-room-host_audience-viewers-002
2. 场景：SC-4bd027305dba04</x:v>
      </x:c>
    </x:row>
    <x:row r="981" ht="68" customHeight="1">
      <x:c r="A981" s="4" t="n">
        <x:v>980</x:v>
      </x:c>
      <x:c r="B981" s="4" t="str">
        <x:v>USER-0980</x:v>
      </x:c>
      <x:c r="C981" s="4" t="str">
        <x:v>M06 开播、房型、观看、连麦与房内管理</x:v>
      </x:c>
      <x:c r="D981" s="4" t="str">
        <x:v>禁用用户（主播视角）</x:v>
      </x:c>
      <x:c r="E981" s="4" t="str">
        <x:v>功能需求</x:v>
      </x:c>
      <x:c r="F981" s="4" t="str">
        <x:v>P2</x:v>
      </x:c>
      <x:c r="G981" s="4" t="str">
        <x:v>验证用户回显</x:v>
      </x:c>
      <x:c r="H981" s="4" t="str">
        <x:v>用户回显</x:v>
      </x:c>
      <x:c r="I981" s="4" t="str">
        <x:v>1. 已登录主播账号
2. 所选对象存在，已记录该对象的用户值</x:v>
      </x:c>
      <x:c r="J981" s="4" t="str">
        <x:v>1. 进入「直播间-主播」页
2. 打开「禁用用户」视图
3. 查看用户回显</x:v>
      </x:c>
      <x:c r="K981" s="4" t="str">
        <x:v>「用户」内容与所选对象的该项资料一致</x:v>
      </x:c>
      <x:c r="L981" s="4" t="str"/>
      <x:c r="M981" s="4" t="str">
        <x:v>未测</x:v>
      </x:c>
      <x:c r="N981" s="4" t="str"/>
      <x:c r="O981" s="4" t="str">
        <x:v>1. 来源：MainBasis/统一需求文档.md；U-views_live-room-host_muted-users-001
2. 场景：SC-bd26591340e30a</x:v>
      </x:c>
    </x:row>
    <x:row r="982" ht="68" customHeight="1">
      <x:c r="A982" s="4" t="n">
        <x:v>981</x:v>
      </x:c>
      <x:c r="B982" s="4" t="str">
        <x:v>USER-0981</x:v>
      </x:c>
      <x:c r="C982" s="4" t="str">
        <x:v>M06 开播、房型、观看、连麦与房内管理</x:v>
      </x:c>
      <x:c r="D982" s="4" t="str">
        <x:v>禁用用户（主播视角）</x:v>
      </x:c>
      <x:c r="E982" s="4" t="str">
        <x:v>功能需求</x:v>
      </x:c>
      <x:c r="F982" s="4" t="str">
        <x:v>P2</x:v>
      </x:c>
      <x:c r="G982" s="4" t="str">
        <x:v>验证操作人回显</x:v>
      </x:c>
      <x:c r="H982" s="4" t="str">
        <x:v>操作人回显</x:v>
      </x:c>
      <x:c r="I982" s="4" t="str">
        <x:v>1. 已登录主播账号
2. 所选对象存在，已记录该对象的操作人值</x:v>
      </x:c>
      <x:c r="J982" s="4" t="str">
        <x:v>1. 进入「直播间-主播」页
2. 打开「禁用用户」视图
3. 查看操作人回显</x:v>
      </x:c>
      <x:c r="K982" s="4" t="str">
        <x:v>「操作人」内容与所选对象的该项资料一致</x:v>
      </x:c>
      <x:c r="L982" s="4" t="str"/>
      <x:c r="M982" s="4" t="str">
        <x:v>未测</x:v>
      </x:c>
      <x:c r="N982" s="4" t="str"/>
      <x:c r="O982" s="4" t="str">
        <x:v>1. 来源：MainBasis/统一需求文档.md；U-views_live-room-host_muted-users-002
2. 场景：SC-27af6fd487de0f</x:v>
      </x:c>
    </x:row>
    <x:row r="983" ht="68" customHeight="1">
      <x:c r="A983" s="4" t="n">
        <x:v>982</x:v>
      </x:c>
      <x:c r="B983" s="4" t="str">
        <x:v>USER-0982</x:v>
      </x:c>
      <x:c r="C983" s="4" t="str">
        <x:v>M06 开播、房型、观看、连麦与房内管理</x:v>
      </x:c>
      <x:c r="D983" s="4" t="str">
        <x:v>禁用用户（主播视角）</x:v>
      </x:c>
      <x:c r="E983" s="4" t="str">
        <x:v>功能需求</x:v>
      </x:c>
      <x:c r="F983" s="4" t="str">
        <x:v>P2</x:v>
      </x:c>
      <x:c r="G983" s="4" t="str">
        <x:v>验证禁言状态回显</x:v>
      </x:c>
      <x:c r="H983" s="4" t="str">
        <x:v>禁言状态回显</x:v>
      </x:c>
      <x:c r="I983" s="4" t="str">
        <x:v>1. 已登录主播账号
2. 所选对象存在，已记录该对象的禁言状态值</x:v>
      </x:c>
      <x:c r="J983" s="4" t="str">
        <x:v>1. 进入「直播间-主播」页
2. 打开「禁用用户」视图
3. 查看禁言状态回显</x:v>
      </x:c>
      <x:c r="K983" s="4" t="str">
        <x:v>「禁言状态」内容与所选对象的该项资料一致</x:v>
      </x:c>
      <x:c r="L983" s="4" t="str"/>
      <x:c r="M983" s="4" t="str">
        <x:v>未测</x:v>
      </x:c>
      <x:c r="N983" s="4" t="str"/>
      <x:c r="O983" s="4" t="str">
        <x:v>1. 来源：MainBasis/统一需求文档.md；U-views_live-room-host_muted-users-003
2. 场景：SC-d91df412bb9459</x:v>
      </x:c>
    </x:row>
    <x:row r="984" ht="68" customHeight="1">
      <x:c r="A984" s="4" t="n">
        <x:v>983</x:v>
      </x:c>
      <x:c r="B984" s="4" t="str">
        <x:v>USER-0983</x:v>
      </x:c>
      <x:c r="C984" s="4" t="str">
        <x:v>M06 开播、房型、观看、连麦与房内管理</x:v>
      </x:c>
      <x:c r="D984" s="4" t="str">
        <x:v>禁用用户（主播视角）</x:v>
      </x:c>
      <x:c r="E984" s="4" t="str">
        <x:v>功能需求</x:v>
      </x:c>
      <x:c r="F984" s="4" t="str">
        <x:v>P1</x:v>
      </x:c>
      <x:c r="G984" s="4" t="str">
        <x:v>验证离开重进保留本场禁言</x:v>
      </x:c>
      <x:c r="H984" s="4" t="str">
        <x:v>离开重进保留本场禁言</x:v>
      </x:c>
      <x:c r="I984" s="4" t="str">
        <x:v>1. 已登录主播账号
2. 用户本场被禁言后退出并重进同一场次</x:v>
      </x:c>
      <x:c r="J984" s="4" t="str">
        <x:v>1. 进入「直播间-主播」页
2. 打开「禁用用户」视图
3. 查看离开重进保留本场禁言</x:v>
      </x:c>
      <x:c r="K984" s="4" t="str">
        <x:v>该用户仍在本场禁言列表</x:v>
      </x:c>
      <x:c r="L984" s="4" t="str"/>
      <x:c r="M984" s="4" t="str">
        <x:v>未测</x:v>
      </x:c>
      <x:c r="N984" s="4" t="str"/>
      <x:c r="O984" s="4" t="str">
        <x:v>1. 来源：MainBasis/统一需求文档.md；U-views_live-room-host_muted-users-006
2. 场景：SC-65bfe15c6ea1c0</x:v>
      </x:c>
    </x:row>
    <x:row r="985" ht="68" customHeight="1">
      <x:c r="A985" s="4" t="n">
        <x:v>984</x:v>
      </x:c>
      <x:c r="B985" s="4" t="str">
        <x:v>USER-0984</x:v>
      </x:c>
      <x:c r="C985" s="4" t="str">
        <x:v>M06 开播、房型、观看、连麦与房内管理</x:v>
      </x:c>
      <x:c r="D985" s="4" t="str">
        <x:v>禁用用户（主播视角）</x:v>
      </x:c>
      <x:c r="E985" s="4" t="str">
        <x:v>功能需求</x:v>
      </x:c>
      <x:c r="F985" s="4" t="str">
        <x:v>P1</x:v>
      </x:c>
      <x:c r="G985" s="4" t="str">
        <x:v>验证禁言列表仅当前有效</x:v>
      </x:c>
      <x:c r="H985" s="4" t="str">
        <x:v>禁言列表仅当前有效</x:v>
      </x:c>
      <x:c r="I985" s="4" t="str">
        <x:v>1. 已登录主播账号
2. 本场用户甲仍禁言，乙已恢复，丙仅上场被禁言</x:v>
      </x:c>
      <x:c r="J985" s="4" t="str">
        <x:v>1. 进入「直播间-主播」页
2. 打开「禁用用户」视图
3. 查看禁言列表仅当前有效</x:v>
      </x:c>
      <x:c r="K985" s="4" t="str">
        <x:v>禁言列表仅有甲</x:v>
      </x:c>
      <x:c r="L985" s="4" t="str"/>
      <x:c r="M985" s="4" t="str">
        <x:v>未测</x:v>
      </x:c>
      <x:c r="N985" s="4" t="str"/>
      <x:c r="O985" s="4" t="str">
        <x:v>1. 来源：MainBasis/统一需求文档.md；U-views_live-room-host_muted-users-004、U-views_live-room-host_more-actions-002
2. 场景：SC-8e05555b6cc5fd</x:v>
      </x:c>
    </x:row>
    <x:row r="986" ht="96" customHeight="1">
      <x:c r="A986" s="4" t="n">
        <x:v>985</x:v>
      </x:c>
      <x:c r="B986" s="4" t="str">
        <x:v>USER-0985</x:v>
      </x:c>
      <x:c r="C986" s="4" t="str">
        <x:v>M06 开播、房型、观看、连麦与房内管理</x:v>
      </x:c>
      <x:c r="D986" s="4" t="str">
        <x:v>恢复发言确认（主播视角）</x:v>
      </x:c>
      <x:c r="E986" s="4" t="str">
        <x:v>功能需求</x:v>
      </x:c>
      <x:c r="F986" s="4" t="str">
        <x:v>P1</x:v>
      </x:c>
      <x:c r="G986" s="4" t="str">
        <x:v>验证恢复发言确认</x:v>
      </x:c>
      <x:c r="H986" s="4" t="str">
        <x:v>恢复发言确认</x:v>
      </x:c>
      <x:c r="I986" s="4" t="str">
        <x:v>1. 已登录主播账号
2. 目标仍被本场禁言</x:v>
      </x:c>
      <x:c r="J986" s="4" t="str">
        <x:v>1. 进入「直播间-主播」页
2. 打开「恢复发言确认」视图
3. 点击确认</x:v>
      </x:c>
      <x:c r="K986" s="4" t="str">
        <x:v>目标移出禁言列表并恢复本场发言</x:v>
      </x:c>
      <x:c r="L986" s="4" t="str">
        <x:v>FLOW-6D44B008</x:v>
      </x:c>
      <x:c r="M986" s="4" t="str">
        <x:v>未测</x:v>
      </x:c>
      <x:c r="N986" s="4" t="str"/>
      <x:c r="O986" s="4" t="str">
        <x:v>1. 来源：MainBasis/统一需求文档.md；U-views_live-room-host_restore-speaking-confirm-002、U-views_live-room-host_muted-users-007、U-views_live-room_comment-muted-002
2. 场景：SC-ccddb5c5e14e42
3. 状态转换：ST-2B6858F451FD</x:v>
      </x:c>
    </x:row>
    <x:row r="987" ht="96" customHeight="1">
      <x:c r="A987" s="4" t="n">
        <x:v>986</x:v>
      </x:c>
      <x:c r="B987" s="4" t="str">
        <x:v>USER-0986</x:v>
      </x:c>
      <x:c r="C987" s="4" t="str">
        <x:v>M06 开播、房型、观看、连麦与房内管理</x:v>
      </x:c>
      <x:c r="D987" s="4" t="str">
        <x:v>恢复发言确认（主播视角）</x:v>
      </x:c>
      <x:c r="E987" s="4" t="str">
        <x:v>功能需求</x:v>
      </x:c>
      <x:c r="F987" s="4" t="str">
        <x:v>P1</x:v>
      </x:c>
      <x:c r="G987" s="4" t="str">
        <x:v>验证恢复发言取消</x:v>
      </x:c>
      <x:c r="H987" s="4" t="str">
        <x:v>恢复发言取消</x:v>
      </x:c>
      <x:c r="I987" s="4" t="str">
        <x:v>1. 已登录主播账号
2. 目标仍被本场禁言</x:v>
      </x:c>
      <x:c r="J987" s="4" t="str">
        <x:v>1. 进入「直播间-主播」页
2. 打开「恢复发言确认」视图
3. 点击取消</x:v>
      </x:c>
      <x:c r="K987" s="4" t="str">
        <x:v>保留禁言状态</x:v>
      </x:c>
      <x:c r="L987" s="4" t="str">
        <x:v>FLOW-6D44B008</x:v>
      </x:c>
      <x:c r="M987" s="4" t="str">
        <x:v>未测</x:v>
      </x:c>
      <x:c r="N987" s="4" t="str"/>
      <x:c r="O987" s="4" t="str">
        <x:v>1. 来源：MainBasis/统一需求文档.md；U-views_live-room-host_restore-speaking-confirm-002、U-views_live-room-host_muted-users-007、U-views_live-room_comment-muted-002
2. 场景：SC-2883e01044e2d2
3. 状态转换：ST-2B6858F451FD</x:v>
      </x:c>
    </x:row>
    <x:row r="988" ht="96" customHeight="1">
      <x:c r="A988" s="4" t="n">
        <x:v>987</x:v>
      </x:c>
      <x:c r="B988" s="4" t="str">
        <x:v>USER-0987</x:v>
      </x:c>
      <x:c r="C988" s="4" t="str">
        <x:v>M06 开播、房型、观看、连麦与房内管理</x:v>
      </x:c>
      <x:c r="D988" s="4" t="str">
        <x:v>恢复发言确认（主播视角）</x:v>
      </x:c>
      <x:c r="E988" s="4" t="str">
        <x:v>功能需求</x:v>
      </x:c>
      <x:c r="F988" s="4" t="str">
        <x:v>P1</x:v>
      </x:c>
      <x:c r="G988" s="4" t="str">
        <x:v>验证恢复发言关闭</x:v>
      </x:c>
      <x:c r="H988" s="4" t="str">
        <x:v>恢复发言关闭</x:v>
      </x:c>
      <x:c r="I988" s="4" t="str">
        <x:v>1. 已登录主播账号
2. 目标仍被本场禁言</x:v>
      </x:c>
      <x:c r="J988" s="4" t="str">
        <x:v>1. 进入「直播间-主播」页
2. 打开「恢复发言确认」视图
3. 点击关闭</x:v>
      </x:c>
      <x:c r="K988" s="4" t="str">
        <x:v>保留禁言状态</x:v>
      </x:c>
      <x:c r="L988" s="4" t="str">
        <x:v>FLOW-6D44B008</x:v>
      </x:c>
      <x:c r="M988" s="4" t="str">
        <x:v>未测</x:v>
      </x:c>
      <x:c r="N988" s="4" t="str"/>
      <x:c r="O988" s="4" t="str">
        <x:v>1. 来源：MainBasis/统一需求文档.md；U-views_live-room-host_restore-speaking-confirm-002、U-views_live-room-host_muted-users-007、U-views_live-room_comment-muted-002
2. 场景：SC-4ac8d7080e6408
3. 状态转换：ST-2B6858F451FD</x:v>
      </x:c>
    </x:row>
    <x:row r="989" ht="96" customHeight="1">
      <x:c r="A989" s="4" t="n">
        <x:v>988</x:v>
      </x:c>
      <x:c r="B989" s="4" t="str">
        <x:v>USER-0988</x:v>
      </x:c>
      <x:c r="C989" s="4" t="str">
        <x:v>M06 开播、房型、观看、连麦与房内管理</x:v>
      </x:c>
      <x:c r="D989" s="4" t="str">
        <x:v>恢复发言确认（主播视角）</x:v>
      </x:c>
      <x:c r="E989" s="4" t="str">
        <x:v>功能需求</x:v>
      </x:c>
      <x:c r="F989" s="4" t="str">
        <x:v>P1</x:v>
      </x:c>
      <x:c r="G989" s="4" t="str">
        <x:v>验证恢复发言请求失败</x:v>
      </x:c>
      <x:c r="H989" s="4" t="str">
        <x:v>恢复发言请求失败</x:v>
      </x:c>
      <x:c r="I989" s="4" t="str">
        <x:v>1. 已登录主播账号
2. 目标仍被本场禁言
3. 本次恢复请求失败</x:v>
      </x:c>
      <x:c r="J989" s="4" t="str">
        <x:v>1. 进入「直播间-主播」页
2. 打开「恢复发言确认」视图
3. 点击确认</x:v>
      </x:c>
      <x:c r="K989" s="4" t="str">
        <x:v>保留禁言并提示“请求失败”</x:v>
      </x:c>
      <x:c r="L989" s="4" t="str">
        <x:v>FLOW-6D44B008</x:v>
      </x:c>
      <x:c r="M989" s="4" t="str">
        <x:v>未测</x:v>
      </x:c>
      <x:c r="N989" s="4" t="str"/>
      <x:c r="O989" s="4" t="str">
        <x:v>1. 来源：MainBasis/统一需求文档.md；U-views_live-room-host_restore-speaking-confirm-002、U-views_live-room-host_muted-users-007、U-views_live-room_comment-muted-002
2. 场景：SC-02446f3ee14773
3. 状态转换：ST-2B6858F451FD</x:v>
      </x:c>
    </x:row>
    <x:row r="990" ht="68" customHeight="1">
      <x:c r="A990" s="4" t="n">
        <x:v>989</x:v>
      </x:c>
      <x:c r="B990" s="4" t="str">
        <x:v>USER-0989</x:v>
      </x:c>
      <x:c r="C990" s="4" t="str">
        <x:v>M06 开播、房型、观看、连麦与房内管理</x:v>
      </x:c>
      <x:c r="D990" s="4" t="str">
        <x:v>恢复发言确认（主播视角）</x:v>
      </x:c>
      <x:c r="E990" s="4" t="str">
        <x:v>功能需求</x:v>
      </x:c>
      <x:c r="F990" s="4" t="str">
        <x:v>P1</x:v>
      </x:c>
      <x:c r="G990" s="4" t="str">
        <x:v>验证恢复发言避免重复用户已恢复</x:v>
      </x:c>
      <x:c r="H990" s="4" t="str">
        <x:v>恢复发言避免重复用户已恢复</x:v>
      </x:c>
      <x:c r="I990" s="4" t="str">
        <x:v>1. 已登录主播账号
2. 用户已恢复</x:v>
      </x:c>
      <x:c r="J990" s="4" t="str">
        <x:v>1. 进入「直播间-主播」页
2. 打开「恢复发言确认」视图
3. 再次确认恢复发言</x:v>
      </x:c>
      <x:c r="K990" s="4" t="str">
        <x:v>不重复执行恢复处理</x:v>
      </x:c>
      <x:c r="L990" s="4" t="str"/>
      <x:c r="M990" s="4" t="str">
        <x:v>未测</x:v>
      </x:c>
      <x:c r="N990" s="4" t="str"/>
      <x:c r="O990" s="4" t="str">
        <x:v>1. 来源：MainBasis/统一需求文档.md；U-views_live-room-host_restore-speaking-confirm-001
2. 场景：SC-a5df2d4faba971</x:v>
      </x:c>
    </x:row>
    <x:row r="991" ht="68" customHeight="1">
      <x:c r="A991" s="4" t="n">
        <x:v>990</x:v>
      </x:c>
      <x:c r="B991" s="4" t="str">
        <x:v>USER-0990</x:v>
      </x:c>
      <x:c r="C991" s="4" t="str">
        <x:v>M06 开播、房型、观看、连麦与房内管理</x:v>
      </x:c>
      <x:c r="D991" s="4" t="str">
        <x:v>恢复发言确认（主播视角）</x:v>
      </x:c>
      <x:c r="E991" s="4" t="str">
        <x:v>功能需求</x:v>
      </x:c>
      <x:c r="F991" s="4" t="str">
        <x:v>P1</x:v>
      </x:c>
      <x:c r="G991" s="4" t="str">
        <x:v>验证恢复发言避免重复本场已结束</x:v>
      </x:c>
      <x:c r="H991" s="4" t="str">
        <x:v>恢复发言避免重复本场已结束</x:v>
      </x:c>
      <x:c r="I991" s="4" t="str">
        <x:v>1. 已登录主播账号
2. 本场已结束</x:v>
      </x:c>
      <x:c r="J991" s="4" t="str">
        <x:v>1. 进入「直播间-主播」页
2. 打开「恢复发言确认」视图
3. 再次确认恢复发言</x:v>
      </x:c>
      <x:c r="K991" s="4" t="str">
        <x:v>不重复执行恢复处理</x:v>
      </x:c>
      <x:c r="L991" s="4" t="str"/>
      <x:c r="M991" s="4" t="str">
        <x:v>未测</x:v>
      </x:c>
      <x:c r="N991" s="4" t="str"/>
      <x:c r="O991" s="4" t="str">
        <x:v>1. 来源：MainBasis/统一需求文档.md；U-views_live-room-host_restore-speaking-confirm-001
2. 场景：SC-28261e22ad3a70</x:v>
      </x:c>
    </x:row>
    <x:row r="992" ht="68" customHeight="1">
      <x:c r="A992" s="4" t="n">
        <x:v>991</x:v>
      </x:c>
      <x:c r="B992" s="4" t="str">
        <x:v>USER-0991</x:v>
      </x:c>
      <x:c r="C992" s="4" t="str">
        <x:v>M06 开播、房型、观看、连麦与房内管理</x:v>
      </x:c>
      <x:c r="D992" s="4" t="str">
        <x:v>观众资料卡-主播（主播视角）</x:v>
      </x:c>
      <x:c r="E992" s="4" t="str">
        <x:v>功能需求</x:v>
      </x:c>
      <x:c r="F992" s="4" t="str">
        <x:v>P2</x:v>
      </x:c>
      <x:c r="G992" s="4" t="str">
        <x:v>验证用户资料回显</x:v>
      </x:c>
      <x:c r="H992" s="4" t="str">
        <x:v>用户资料回显</x:v>
      </x:c>
      <x:c r="I992" s="4" t="str">
        <x:v>1. 已登录主播账号
2. 所选对象存在，已记录该对象的用户资料值</x:v>
      </x:c>
      <x:c r="J992" s="4" t="str">
        <x:v>1. 进入「直播间-主播」页
2. 打开「观众资料卡-主播」视图
3. 查看用户资料回显</x:v>
      </x:c>
      <x:c r="K992" s="4" t="str">
        <x:v>「用户资料」内容与所选对象的该项资料一致</x:v>
      </x:c>
      <x:c r="L992" s="4" t="str"/>
      <x:c r="M992" s="4" t="str">
        <x:v>未测</x:v>
      </x:c>
      <x:c r="N992" s="4" t="str"/>
      <x:c r="O992" s="4" t="str">
        <x:v>1. 来源：MainBasis/统一需求文档.md；U-views_live-room-host_profile-host-001
2. 场景：SC-d01622e2806762</x:v>
      </x:c>
    </x:row>
    <x:row r="993" ht="68" customHeight="1">
      <x:c r="A993" s="4" t="n">
        <x:v>992</x:v>
      </x:c>
      <x:c r="B993" s="4" t="str">
        <x:v>USER-0992</x:v>
      </x:c>
      <x:c r="C993" s="4" t="str">
        <x:v>M06 开播、房型、观看、连麦与房内管理</x:v>
      </x:c>
      <x:c r="D993" s="4" t="str">
        <x:v>观众资料卡-主播（主播视角）</x:v>
      </x:c>
      <x:c r="E993" s="4" t="str">
        <x:v>功能需求</x:v>
      </x:c>
      <x:c r="F993" s="4" t="str">
        <x:v>P2</x:v>
      </x:c>
      <x:c r="G993" s="4" t="str">
        <x:v>验证房管状态回显</x:v>
      </x:c>
      <x:c r="H993" s="4" t="str">
        <x:v>房管状态回显</x:v>
      </x:c>
      <x:c r="I993" s="4" t="str">
        <x:v>1. 已登录主播账号
2. 所选对象存在，已记录该对象的房管状态值</x:v>
      </x:c>
      <x:c r="J993" s="4" t="str">
        <x:v>1. 进入「直播间-主播」页
2. 打开「观众资料卡-主播」视图
3. 查看房管状态回显</x:v>
      </x:c>
      <x:c r="K993" s="4" t="str">
        <x:v>「房管状态」内容与所选对象的该项资料一致</x:v>
      </x:c>
      <x:c r="L993" s="4" t="str"/>
      <x:c r="M993" s="4" t="str">
        <x:v>未测</x:v>
      </x:c>
      <x:c r="N993" s="4" t="str"/>
      <x:c r="O993" s="4" t="str">
        <x:v>1. 来源：MainBasis/统一需求文档.md；U-views_live-room-host_profile-host-002
2. 场景：SC-b5f06d3773a1bd</x:v>
      </x:c>
    </x:row>
    <x:row r="994" ht="68" customHeight="1">
      <x:c r="A994" s="4" t="n">
        <x:v>993</x:v>
      </x:c>
      <x:c r="B994" s="4" t="str">
        <x:v>USER-0993</x:v>
      </x:c>
      <x:c r="C994" s="4" t="str">
        <x:v>M06 开播、房型、观看、连麦与房内管理</x:v>
      </x:c>
      <x:c r="D994" s="4" t="str">
        <x:v>观众资料卡-主播（主播视角）</x:v>
      </x:c>
      <x:c r="E994" s="4" t="str">
        <x:v>功能需求</x:v>
      </x:c>
      <x:c r="F994" s="4" t="str">
        <x:v>P2</x:v>
      </x:c>
      <x:c r="G994" s="4" t="str">
        <x:v>验证本场状态回显</x:v>
      </x:c>
      <x:c r="H994" s="4" t="str">
        <x:v>本场状态回显</x:v>
      </x:c>
      <x:c r="I994" s="4" t="str">
        <x:v>1. 已登录主播账号
2. 所选对象存在，已记录该对象的本场状态值</x:v>
      </x:c>
      <x:c r="J994" s="4" t="str">
        <x:v>1. 进入「直播间-主播」页
2. 打开「观众资料卡-主播」视图
3. 查看本场状态回显</x:v>
      </x:c>
      <x:c r="K994" s="4" t="str">
        <x:v>「本场状态」内容与所选对象的该项资料一致</x:v>
      </x:c>
      <x:c r="L994" s="4" t="str"/>
      <x:c r="M994" s="4" t="str">
        <x:v>未测</x:v>
      </x:c>
      <x:c r="N994" s="4" t="str"/>
      <x:c r="O994" s="4" t="str">
        <x:v>1. 来源：MainBasis/统一需求文档.md；U-views_live-room-host_profile-host-003
2. 场景：SC-b018e46f17a86e</x:v>
      </x:c>
    </x:row>
    <x:row r="995" ht="124" customHeight="1">
      <x:c r="A995" s="4" t="n">
        <x:v>994</x:v>
      </x:c>
      <x:c r="B995" s="4" t="str">
        <x:v>USER-0994</x:v>
      </x:c>
      <x:c r="C995" s="4" t="str">
        <x:v>M06 开播、房型、观看、连麦与房内管理</x:v>
      </x:c>
      <x:c r="D995" s="4" t="str">
        <x:v>观众资料卡-主播（主播视角）</x:v>
      </x:c>
      <x:c r="E995" s="4" t="str">
        <x:v>功能需求</x:v>
      </x:c>
      <x:c r="F995" s="4" t="str">
        <x:v>P1</x:v>
      </x:c>
      <x:c r="G995" s="4" t="str">
        <x:v>验证主播不能踢出巡房人员</x:v>
      </x:c>
      <x:c r="H995" s="4" t="str">
        <x:v>主播不能踢出巡房人员</x:v>
      </x:c>
      <x:c r="I995" s="4" t="str">
        <x:v>1. 已登录主播账号
2. 目标用户当前处于有效巡房会话</x:v>
      </x:c>
      <x:c r="J995" s="4" t="str">
        <x:v>1. 进入「直播间-主播」页
2. 打开「观众资料卡-主播」视图
3. 查看主播不能踢出巡房人员</x:v>
      </x:c>
      <x:c r="K995" s="4" t="str">
        <x:v>目标资料卡隐藏拉黑与踢出操作</x:v>
      </x:c>
      <x:c r="L995" s="4" t="str"/>
      <x:c r="M995" s="4" t="str">
        <x:v>未测</x:v>
      </x:c>
      <x:c r="N995" s="4" t="str"/>
      <x:c r="O995" s="4" t="str">
        <x:v>1. 来源：MainBasis/统一需求文档.md；U-views_live-room_patrol-room-allowed-005、U-live-room-015、U-views_live-room_patrol-room-allowed-003、U-views_live-room_profile-moderator-003、U-views_live-room-host_profile-host-008、A-admin-inspection-schedule-007
2. 场景：SC-c3a26620dadf2e</x:v>
      </x:c>
    </x:row>
    <x:row r="996" ht="68" customHeight="1">
      <x:c r="A996" s="4" t="n">
        <x:v>995</x:v>
      </x:c>
      <x:c r="B996" s="4" t="str">
        <x:v>USER-0995</x:v>
      </x:c>
      <x:c r="C996" s="4" t="str">
        <x:v>M06 开播、房型、观看、连麦与房内管理</x:v>
      </x:c>
      <x:c r="D996" s="4" t="str">
        <x:v>观众资料卡-主播（主播视角）</x:v>
      </x:c>
      <x:c r="E996" s="4" t="str">
        <x:v>功能需求</x:v>
      </x:c>
      <x:c r="F996" s="4" t="str">
        <x:v>P1</x:v>
      </x:c>
      <x:c r="G996" s="4" t="str">
        <x:v>验证踢出用户不能设房管</x:v>
      </x:c>
      <x:c r="H996" s="4" t="str">
        <x:v>踢出用户不能设房管</x:v>
      </x:c>
      <x:c r="I996" s="4" t="str">
        <x:v>1. 已登录主播账号
2. 目标用户已被本场踢出</x:v>
      </x:c>
      <x:c r="J996" s="4" t="str">
        <x:v>1. 进入「直播间-主播」页
2. 打开「观众资料卡-主播」视图
3. 尝试设置该用户房管</x:v>
      </x:c>
      <x:c r="K996" s="4" t="str">
        <x:v>不新增房管授权</x:v>
      </x:c>
      <x:c r="L996" s="4" t="str"/>
      <x:c r="M996" s="4" t="str">
        <x:v>未测</x:v>
      </x:c>
      <x:c r="N996" s="4" t="str"/>
      <x:c r="O996" s="4" t="str">
        <x:v>1. 来源：MainBasis/统一需求文档.md；U-views_live-room-host_profile-host-006
2. 场景：SC-679ca06486fd38</x:v>
      </x:c>
    </x:row>
    <x:row r="997" ht="68" customHeight="1">
      <x:c r="A997" s="4" t="n">
        <x:v>996</x:v>
      </x:c>
      <x:c r="B997" s="4" t="str">
        <x:v>USER-0996</x:v>
      </x:c>
      <x:c r="C997" s="4" t="str">
        <x:v>M06 开播、房型、观看、连麦与房内管理</x:v>
      </x:c>
      <x:c r="D997" s="4" t="str">
        <x:v>快捷答谢（主播视角）</x:v>
      </x:c>
      <x:c r="E997" s="4" t="str">
        <x:v>功能需求</x:v>
      </x:c>
      <x:c r="F997" s="4" t="str">
        <x:v>P2</x:v>
      </x:c>
      <x:c r="G997" s="4" t="str">
        <x:v>验证答谢对象回显</x:v>
      </x:c>
      <x:c r="H997" s="4" t="str">
        <x:v>答谢对象回显</x:v>
      </x:c>
      <x:c r="I997" s="4" t="str">
        <x:v>1. 已登录主播账号
2. 所选对象存在，已记录该对象的答谢对象值</x:v>
      </x:c>
      <x:c r="J997" s="4" t="str">
        <x:v>1. 进入「直播间-主播」页
2. 打开「快捷答谢」视图
3. 查看答谢对象回显</x:v>
      </x:c>
      <x:c r="K997" s="4" t="str">
        <x:v>「答谢对象」内容与所选对象的该项资料一致</x:v>
      </x:c>
      <x:c r="L997" s="4" t="str"/>
      <x:c r="M997" s="4" t="str">
        <x:v>未测</x:v>
      </x:c>
      <x:c r="N997" s="4" t="str"/>
      <x:c r="O997" s="4" t="str">
        <x:v>1. 来源：MainBasis/统一需求文档.md；U-views_live-room-host_thank-message-001
2. 场景：SC-6bb6350aff6b73</x:v>
      </x:c>
    </x:row>
    <x:row r="998" ht="68" customHeight="1">
      <x:c r="A998" s="4" t="n">
        <x:v>997</x:v>
      </x:c>
      <x:c r="B998" s="4" t="str">
        <x:v>USER-0997</x:v>
      </x:c>
      <x:c r="C998" s="4" t="str">
        <x:v>M06 开播、房型、观看、连麦与房内管理</x:v>
      </x:c>
      <x:c r="D998" s="4" t="str">
        <x:v>快捷答谢（主播视角）</x:v>
      </x:c>
      <x:c r="E998" s="4" t="str">
        <x:v>功能需求</x:v>
      </x:c>
      <x:c r="F998" s="4" t="str">
        <x:v>P2</x:v>
      </x:c>
      <x:c r="G998" s="4" t="str">
        <x:v>验证答谢语回显</x:v>
      </x:c>
      <x:c r="H998" s="4" t="str">
        <x:v>答谢语回显</x:v>
      </x:c>
      <x:c r="I998" s="4" t="str">
        <x:v>1. 已登录主播账号
2. 所选对象存在，已记录该对象的答谢语值</x:v>
      </x:c>
      <x:c r="J998" s="4" t="str">
        <x:v>1. 进入「直播间-主播」页
2. 打开「快捷答谢」视图
3. 查看答谢语回显</x:v>
      </x:c>
      <x:c r="K998" s="4" t="str">
        <x:v>「答谢语」内容与所选对象的该项资料一致</x:v>
      </x:c>
      <x:c r="L998" s="4" t="str"/>
      <x:c r="M998" s="4" t="str">
        <x:v>未测</x:v>
      </x:c>
      <x:c r="N998" s="4" t="str"/>
      <x:c r="O998" s="4" t="str">
        <x:v>1. 来源：MainBasis/统一需求文档.md；U-views_live-room-host_thank-message-002
2. 场景：SC-d1fad7ae7db0cf</x:v>
      </x:c>
    </x:row>
    <x:row r="999" ht="68" customHeight="1">
      <x:c r="A999" s="4" t="n">
        <x:v>998</x:v>
      </x:c>
      <x:c r="B999" s="4" t="str">
        <x:v>USER-0998</x:v>
      </x:c>
      <x:c r="C999" s="4" t="str">
        <x:v>M06 开播、房型、观看、连麦与房内管理</x:v>
      </x:c>
      <x:c r="D999" s="4" t="str">
        <x:v>快捷答谢（主播视角）</x:v>
      </x:c>
      <x:c r="E999" s="4" t="str">
        <x:v>功能需求</x:v>
      </x:c>
      <x:c r="F999" s="4" t="str">
        <x:v>P1</x:v>
      </x:c>
      <x:c r="G999" s="4" t="str">
        <x:v>验证快捷答谢只预填</x:v>
      </x:c>
      <x:c r="H999" s="4" t="str">
        <x:v>快捷答谢只预填</x:v>
      </x:c>
      <x:c r="I999" s="4" t="str">
        <x:v>1. 已登录主播账号
2. 当前资料卡用户昵称为海岛</x:v>
      </x:c>
      <x:c r="J999" s="4" t="str">
        <x:v>1. 进入「直播间-主播」页
2. 打开「快捷答谢」视图
3. 点击答谢</x:v>
      </x:c>
      <x:c r="K999" s="4" t="str">
        <x:v>资料卡关闭，输入框预填“@海岛 谢谢你送的礼物！”并聚焦</x:v>
      </x:c>
      <x:c r="L999" s="4" t="str"/>
      <x:c r="M999" s="4" t="str">
        <x:v>未测</x:v>
      </x:c>
      <x:c r="N999" s="4" t="str"/>
      <x:c r="O999" s="4" t="str">
        <x:v>1. 来源：MainBasis/统一需求文档.md；U-views_live-room-host_thank-message-004
2. 场景：SC-cd5fa8eb582f6d</x:v>
      </x:c>
    </x:row>
    <x:row r="1000" ht="96" customHeight="1">
      <x:c r="A1000" s="4" t="n">
        <x:v>999</x:v>
      </x:c>
      <x:c r="B1000" s="4" t="str">
        <x:v>USER-0999</x:v>
      </x:c>
      <x:c r="C1000" s="4" t="str">
        <x:v>M06 开播、房型、观看、连麦与房内管理</x:v>
      </x:c>
      <x:c r="D1000" s="4" t="str">
        <x:v>快捷答谢（主播视角）</x:v>
      </x:c>
      <x:c r="E1000" s="4" t="str">
        <x:v>功能需求</x:v>
      </x:c>
      <x:c r="F1000" s="4" t="str">
        <x:v>P1</x:v>
      </x:c>
      <x:c r="G1000" s="4" t="str">
        <x:v>验证快捷答谢不自动发消息赠礼</x:v>
      </x:c>
      <x:c r="H1000" s="4" t="str">
        <x:v>快捷答谢不自动发消息赠礼</x:v>
      </x:c>
      <x:c r="I1000" s="4" t="str">
        <x:v>1. 已登录主播账号
2. 当前资料卡可执行答谢</x:v>
      </x:c>
      <x:c r="J1000" s="4" t="str">
        <x:v>1. 进入「直播间-主播」页
2. 打开「快捷答谢」视图
3. 点击答谢</x:v>
      </x:c>
      <x:c r="K1000" s="4" t="str">
        <x:v>尚未生成公屏消息或礼物记录</x:v>
      </x:c>
      <x:c r="L1000" s="4" t="str"/>
      <x:c r="M1000" s="4" t="str">
        <x:v>未测</x:v>
      </x:c>
      <x:c r="N1000" s="4" t="str"/>
      <x:c r="O1000" s="4" t="str">
        <x:v>1. 来源：MainBasis/统一需求文档.md；U-views_live-room-host_thank-message-003、U-views_live-room-host_profile-host-005、U-views_live-room-host_profile-host-004、U-views_live-room-host_profile-host-009
2. 场景：SC-10710541011ec1</x:v>
      </x:c>
    </x:row>
    <x:row r="1001" ht="68" customHeight="1">
      <x:c r="A1001" s="4" t="n">
        <x:v>1000</x:v>
      </x:c>
      <x:c r="B1001" s="4" t="str">
        <x:v>USER-1000</x:v>
      </x:c>
      <x:c r="C1001" s="4" t="str">
        <x:v>M06 开播、房型、观看、连麦与房内管理</x:v>
      </x:c>
      <x:c r="D1001" s="4" t="str">
        <x:v>快捷答谢（主播视角）</x:v>
      </x:c>
      <x:c r="E1001" s="4" t="str">
        <x:v>功能需求</x:v>
      </x:c>
      <x:c r="F1001" s="4" t="str">
        <x:v>P1</x:v>
      </x:c>
      <x:c r="G1001" s="4" t="str">
        <x:v>验证修改答谢后手动发送</x:v>
      </x:c>
      <x:c r="H1001" s="4" t="str">
        <x:v>修改答谢后手动发送</x:v>
      </x:c>
      <x:c r="I1001" s="4" t="str">
        <x:v>1. 已登录主播账号
2. 输入框已预填答谢</x:v>
      </x:c>
      <x:c r="J1001" s="4" t="str">
        <x:v>1. 进入「直播间-主播」页
2. 打开「快捷答谢」视图
3. 将文案改为“@海岛 感谢支持”
4. 点击发送</x:v>
      </x:c>
      <x:c r="K1001" s="4" t="str">
        <x:v>公屏写入修改后的答谢文本</x:v>
      </x:c>
      <x:c r="L1001" s="4" t="str"/>
      <x:c r="M1001" s="4" t="str">
        <x:v>未测</x:v>
      </x:c>
      <x:c r="N1001" s="4" t="str"/>
      <x:c r="O1001" s="4" t="str">
        <x:v>1. 来源：MainBasis/统一需求文档.md；U-views_live-room-host_thank-message-004
2. 场景：SC-b2b5a3883c610e</x:v>
      </x:c>
    </x:row>
    <x:row r="1002" ht="68" customHeight="1">
      <x:c r="A1002" s="4" t="n">
        <x:v>1001</x:v>
      </x:c>
      <x:c r="B1002" s="4" t="str">
        <x:v>USER-1001</x:v>
      </x:c>
      <x:c r="C1002" s="4" t="str">
        <x:v>M06 开播、房型、观看、连麦与房内管理</x:v>
      </x:c>
      <x:c r="D1002" s="4" t="str">
        <x:v>重点观众（主播视角）</x:v>
      </x:c>
      <x:c r="E1002" s="4" t="str">
        <x:v>功能需求</x:v>
      </x:c>
      <x:c r="F1002" s="4" t="str">
        <x:v>P2</x:v>
      </x:c>
      <x:c r="G1002" s="4" t="str">
        <x:v>验证用户信息回显</x:v>
      </x:c>
      <x:c r="H1002" s="4" t="str">
        <x:v>用户信息回显</x:v>
      </x:c>
      <x:c r="I1002" s="4" t="str">
        <x:v>1. 已登录主播账号
2. 所选对象存在，已记录该对象的用户信息值</x:v>
      </x:c>
      <x:c r="J1002" s="4" t="str">
        <x:v>1. 进入「直播间-主播」页
2. 打开「重点观众」视图
3. 查看用户信息回显</x:v>
      </x:c>
      <x:c r="K1002" s="4" t="str">
        <x:v>「用户信息」内容与所选对象的该项资料一致</x:v>
      </x:c>
      <x:c r="L1002" s="4" t="str"/>
      <x:c r="M1002" s="4" t="str">
        <x:v>未测</x:v>
      </x:c>
      <x:c r="N1002" s="4" t="str"/>
      <x:c r="O1002" s="4" t="str">
        <x:v>1. 来源：MainBasis/统一需求文档.md；U-views_live-room-host_focus-viewers-002
2. 场景：SC-ffcf1bd5b9a935</x:v>
      </x:c>
    </x:row>
    <x:row r="1003" ht="68" customHeight="1">
      <x:c r="A1003" s="4" t="n">
        <x:v>1002</x:v>
      </x:c>
      <x:c r="B1003" s="4" t="str">
        <x:v>USER-1002</x:v>
      </x:c>
      <x:c r="C1003" s="4" t="str">
        <x:v>M06 开播、房型、观看、连麦与房内管理</x:v>
      </x:c>
      <x:c r="D1003" s="4" t="str">
        <x:v>重点观众（主播视角）</x:v>
      </x:c>
      <x:c r="E1003" s="4" t="str">
        <x:v>功能需求</x:v>
      </x:c>
      <x:c r="F1003" s="4" t="str">
        <x:v>P1</x:v>
      </x:c>
      <x:c r="G1003" s="4" t="str">
        <x:v>验证重点标签可同时命中</x:v>
      </x:c>
      <x:c r="H1003" s="4" t="str">
        <x:v>重点标签可同时命中</x:v>
      </x:c>
      <x:c r="I1003" s="4" t="str">
        <x:v>1. 已登录主播账号
2. 某在线用户本场新关注且贡献最高，未入粉丝团</x:v>
      </x:c>
      <x:c r="J1003" s="4" t="str">
        <x:v>1. 进入「直播间-主播」页
2. 打开「重点观众」视图
3. 查看重点标签可同时命中</x:v>
      </x:c>
      <x:c r="K1003" s="4" t="str">
        <x:v>该用户同时显示新粉丝、贡献最高、未加入粉丝团标签</x:v>
      </x:c>
      <x:c r="L1003" s="4" t="str"/>
      <x:c r="M1003" s="4" t="str">
        <x:v>未测</x:v>
      </x:c>
      <x:c r="N1003" s="4" t="str"/>
      <x:c r="O1003" s="4" t="str">
        <x:v>1. 来源：MainBasis/统一需求文档.md；U-views_live-room-host_focus-viewers-001、U-views_live-room-host_focus-viewers-003
2. 场景：SC-b15f6c6be25f89</x:v>
      </x:c>
    </x:row>
    <x:row r="1004" ht="68" customHeight="1">
      <x:c r="A1004" s="4" t="n">
        <x:v>1003</x:v>
      </x:c>
      <x:c r="B1004" s="4" t="str">
        <x:v>USER-1003</x:v>
      </x:c>
      <x:c r="C1004" s="4" t="str">
        <x:v>M06 开播、房型、观看、连麦与房内管理</x:v>
      </x:c>
      <x:c r="D1004" s="4" t="str">
        <x:v>重点观众（主播视角）</x:v>
      </x:c>
      <x:c r="E1004" s="4" t="str">
        <x:v>功能需求</x:v>
      </x:c>
      <x:c r="F1004" s="4" t="str">
        <x:v>P1</x:v>
      </x:c>
      <x:c r="G1004" s="4" t="str">
        <x:v>验证重点用户离线移除</x:v>
      </x:c>
      <x:c r="H1004" s="4" t="str">
        <x:v>重点用户离线移除</x:v>
      </x:c>
      <x:c r="I1004" s="4" t="str">
        <x:v>1. 已登录主播账号
2. 原重点用户刚离线</x:v>
      </x:c>
      <x:c r="J1004" s="4" t="str">
        <x:v>1. 进入「直播间-主播」页
2. 打开「重点观众」视图
3. 查看重点用户离线移除</x:v>
      </x:c>
      <x:c r="K1004" s="4" t="str">
        <x:v>重点观众列表不再包含该用户</x:v>
      </x:c>
      <x:c r="L1004" s="4" t="str"/>
      <x:c r="M1004" s="4" t="str">
        <x:v>未测</x:v>
      </x:c>
      <x:c r="N1004" s="4" t="str"/>
      <x:c r="O1004" s="4" t="str">
        <x:v>1. 来源：MainBasis/统一需求文档.md；U-views_live-room-host_focus-viewers-004
2. 场景：SC-e00caf084b66f9</x:v>
      </x:c>
    </x:row>
    <x:row r="1005" ht="68" customHeight="1">
      <x:c r="A1005" s="4" t="n">
        <x:v>1004</x:v>
      </x:c>
      <x:c r="B1005" s="4" t="str">
        <x:v>USER-1004</x:v>
      </x:c>
      <x:c r="C1005" s="4" t="str">
        <x:v>M06 开播、房型、观看、连麦与房内管理</x:v>
      </x:c>
      <x:c r="D1005" s="4" t="str">
        <x:v>重点观众（主播视角）</x:v>
      </x:c>
      <x:c r="E1005" s="4" t="str">
        <x:v>功能需求</x:v>
      </x:c>
      <x:c r="F1005" s="4" t="str">
        <x:v>P2</x:v>
      </x:c>
      <x:c r="G1005" s="4" t="str">
        <x:v>验证用户入口</x:v>
      </x:c>
      <x:c r="H1005" s="4" t="str">
        <x:v>用户入口</x:v>
      </x:c>
      <x:c r="I1005" s="4" t="str">
        <x:v>1. 已登录主播账号</x:v>
      </x:c>
      <x:c r="J1005" s="4" t="str">
        <x:v>1. 进入「直播间-主播」页
2. 打开「重点观众」视图
3. 点击「用户」</x:v>
      </x:c>
      <x:c r="K1005" s="4" t="str">
        <x:v>页面进入「主播权限资料卡」</x:v>
      </x:c>
      <x:c r="L1005" s="4" t="str"/>
      <x:c r="M1005" s="4" t="str">
        <x:v>未测</x:v>
      </x:c>
      <x:c r="N1005" s="4" t="str"/>
      <x:c r="O1005" s="4" t="str">
        <x:v>1. 来源：MainBasis/统一需求文档.md；U-views_live-room-host_focus-viewers-005
2. 场景：SC-bd29d836277336</x:v>
      </x:c>
    </x:row>
    <x:row r="1006" ht="68" customHeight="1">
      <x:c r="A1006" s="4" t="n">
        <x:v>1005</x:v>
      </x:c>
      <x:c r="B1006" s="4" t="str">
        <x:v>USER-1005</x:v>
      </x:c>
      <x:c r="C1006" s="4" t="str">
        <x:v>M06 开播、房型、观看、连麦与房内管理</x:v>
      </x:c>
      <x:c r="D1006" s="4" t="str">
        <x:v>连麦主播（主播视角）</x:v>
      </x:c>
      <x:c r="E1006" s="4" t="str">
        <x:v>功能需求</x:v>
      </x:c>
      <x:c r="F1006" s="4" t="str">
        <x:v>P2</x:v>
      </x:c>
      <x:c r="G1006" s="4" t="str">
        <x:v>验证主播回显</x:v>
      </x:c>
      <x:c r="H1006" s="4" t="str">
        <x:v>主播回显</x:v>
      </x:c>
      <x:c r="I1006" s="4" t="str">
        <x:v>1. 已登录主播账号
2. 所选对象存在，已记录该对象的主播值</x:v>
      </x:c>
      <x:c r="J1006" s="4" t="str">
        <x:v>1. 进入「直播间-主播」页
2. 打开「连麦主播」视图
3. 查看主播回显</x:v>
      </x:c>
      <x:c r="K1006" s="4" t="str">
        <x:v>「主播」内容与所选对象的该项资料一致</x:v>
      </x:c>
      <x:c r="L1006" s="4" t="str"/>
      <x:c r="M1006" s="4" t="str">
        <x:v>未测</x:v>
      </x:c>
      <x:c r="N1006" s="4" t="str"/>
      <x:c r="O1006" s="4" t="str">
        <x:v>1. 来源：MainBasis/统一需求文档.md；U-views_live-room-host_cohost-hosts-001
2. 场景：SC-61bd465920a519</x:v>
      </x:c>
    </x:row>
    <x:row r="1007" ht="68" customHeight="1">
      <x:c r="A1007" s="4" t="n">
        <x:v>1006</x:v>
      </x:c>
      <x:c r="B1007" s="4" t="str">
        <x:v>USER-1006</x:v>
      </x:c>
      <x:c r="C1007" s="4" t="str">
        <x:v>M06 开播、房型、观看、连麦与房内管理</x:v>
      </x:c>
      <x:c r="D1007" s="4" t="str">
        <x:v>连麦主播（主播视角）</x:v>
      </x:c>
      <x:c r="E1007" s="4" t="str">
        <x:v>功能需求</x:v>
      </x:c>
      <x:c r="F1007" s="4" t="str">
        <x:v>P1</x:v>
      </x:c>
      <x:c r="G1007" s="4" t="str">
        <x:v>验证发送单笔连麦邀请</x:v>
      </x:c>
      <x:c r="H1007" s="4" t="str">
        <x:v>发送单笔连麦邀请</x:v>
      </x:c>
      <x:c r="I1007" s="4" t="str">
        <x:v>1. 已登录主播账号
2. 双方普通房在播、均未连麦、无拉黑
3. 发起方没有待处理邀请</x:v>
      </x:c>
      <x:c r="J1007" s="4" t="str">
        <x:v>1. 进入「直播间-主播」页
2. 打开「连麦主播」视图
3. 搜索对方主播ID
4. 点击邀请</x:v>
      </x:c>
      <x:c r="K1007" s="4" t="str">
        <x:v>标记邀请中并禁止重复发送</x:v>
      </x:c>
      <x:c r="L1007" s="4" t="str">
        <x:v>FLOW-4A7D12A7</x:v>
      </x:c>
      <x:c r="M1007" s="4" t="str">
        <x:v>未测</x:v>
      </x:c>
      <x:c r="N1007" s="4" t="str"/>
      <x:c r="O1007" s="4" t="str">
        <x:v>1. 来源：MainBasis/统一需求文档.md；U-views_live-room-host_cohost-hosts-007
2. 场景：SC-143d519f75a87a
3. 状态转换：ST-38CAF85828ED</x:v>
      </x:c>
    </x:row>
    <x:row r="1008" ht="68" customHeight="1">
      <x:c r="A1008" s="4" t="n">
        <x:v>1007</x:v>
      </x:c>
      <x:c r="B1008" s="4" t="str">
        <x:v>USER-1007</x:v>
      </x:c>
      <x:c r="C1008" s="4" t="str">
        <x:v>M06 开播、房型、观看、连麦与房内管理</x:v>
      </x:c>
      <x:c r="D1008" s="4" t="str">
        <x:v>连麦主播（主播视角）</x:v>
      </x:c>
      <x:c r="E1008" s="4" t="str">
        <x:v>异常用例</x:v>
      </x:c>
      <x:c r="F1008" s="4" t="str">
        <x:v>P1</x:v>
      </x:c>
      <x:c r="G1008" s="4" t="str">
        <x:v>验证连麦邀请请求失败</x:v>
      </x:c>
      <x:c r="H1008" s="4" t="str">
        <x:v>连麦邀请请求失败</x:v>
      </x:c>
      <x:c r="I1008" s="4" t="str">
        <x:v>1. 已登录主播账号
2. 双方条件满足但请求失败</x:v>
      </x:c>
      <x:c r="J1008" s="4" t="str">
        <x:v>1. 进入「直播间-主播」页
2. 打开「连麦主播」视图
3. 邀请目标主播</x:v>
      </x:c>
      <x:c r="K1008" s="4" t="str">
        <x:v>不生成邀请并提示“请求失败”</x:v>
      </x:c>
      <x:c r="L1008" s="4" t="str"/>
      <x:c r="M1008" s="4" t="str">
        <x:v>未测</x:v>
      </x:c>
      <x:c r="N1008" s="4" t="str"/>
      <x:c r="O1008" s="4" t="str">
        <x:v>1. 来源：MainBasis/统一需求文档.md；U-views_live-room-host_cohost-hosts-007
2. 场景：SC-5e11b0c252c0be</x:v>
      </x:c>
    </x:row>
    <x:row r="1009" ht="68" customHeight="1">
      <x:c r="A1009" s="4" t="n">
        <x:v>1008</x:v>
      </x:c>
      <x:c r="B1009" s="4" t="str">
        <x:v>USER-1008</x:v>
      </x:c>
      <x:c r="C1009" s="4" t="str">
        <x:v>M06 开播、房型、观看、连麦与房内管理</x:v>
      </x:c>
      <x:c r="D1009" s="4" t="str">
        <x:v>连麦主播（主播视角）</x:v>
      </x:c>
      <x:c r="E1009" s="4" t="str">
        <x:v>功能需求</x:v>
      </x:c>
      <x:c r="F1009" s="4" t="str">
        <x:v>P1</x:v>
      </x:c>
      <x:c r="G1009" s="4" t="str">
        <x:v>验证接收方可收多个邀请</x:v>
      </x:c>
      <x:c r="H1009" s="4" t="str">
        <x:v>接收方可收多个邀请</x:v>
      </x:c>
      <x:c r="I1009" s="4" t="str">
        <x:v>1. 已登录主播账号
2. 两个符合条件主播各向当前主播发出一个有效邀请</x:v>
      </x:c>
      <x:c r="J1009" s="4" t="str">
        <x:v>1. 进入「直播间-主播」页
2. 打开「连麦主播」视图
3. 查看接收方可收多个邀请</x:v>
      </x:c>
      <x:c r="K1009" s="4" t="str">
        <x:v>当前主播有2个待处理邀请</x:v>
      </x:c>
      <x:c r="L1009" s="4" t="str"/>
      <x:c r="M1009" s="4" t="str">
        <x:v>未测</x:v>
      </x:c>
      <x:c r="N1009" s="4" t="str"/>
      <x:c r="O1009" s="4" t="str">
        <x:v>1. 来源：MainBasis/统一需求文档.md；U-views_live-room-host_cohost-hosts-005、D-SYS-107
2. 场景：SC-3b517907b999a3</x:v>
      </x:c>
    </x:row>
    <x:row r="1010" ht="82" customHeight="1">
      <x:c r="A1010" s="4" t="n">
        <x:v>1009</x:v>
      </x:c>
      <x:c r="B1010" s="4" t="str">
        <x:v>USER-1009</x:v>
      </x:c>
      <x:c r="C1010" s="4" t="str">
        <x:v>M06 开播、房型、观看、连麦与房内管理</x:v>
      </x:c>
      <x:c r="D1010" s="4" t="str">
        <x:v>连麦主播（主播视角）</x:v>
      </x:c>
      <x:c r="E1010" s="4" t="str">
        <x:v>功能需求</x:v>
      </x:c>
      <x:c r="F1010" s="4" t="str">
        <x:v>P1</x:v>
      </x:c>
      <x:c r="G1010" s="4" t="str">
        <x:v>验证发起方取消连麦邀请</x:v>
      </x:c>
      <x:c r="H1010" s="4" t="str">
        <x:v>发起方取消连麦邀请</x:v>
      </x:c>
      <x:c r="I1010" s="4" t="str">
        <x:v>1. 已登录主播账号
2. 当前有自己发出的有效待处理邀请</x:v>
      </x:c>
      <x:c r="J1010" s="4" t="str">
        <x:v>1. 进入「直播间-主播」页
2. 打开「连麦主播」视图
3. 取消该邀请</x:v>
      </x:c>
      <x:c r="K1010" s="4" t="str">
        <x:v>该邀请失效</x:v>
      </x:c>
      <x:c r="L1010" s="4" t="str">
        <x:v>FLOW-4A7D12A7</x:v>
      </x:c>
      <x:c r="M1010" s="4" t="str">
        <x:v>未测</x:v>
      </x:c>
      <x:c r="N1010" s="4" t="str"/>
      <x:c r="O1010" s="4" t="str">
        <x:v>1. 来源：MainBasis/统一需求文档.md；D-SYS-108、U-views_live-room-host_cohost-hosts-002
2. 场景：SC-5945fd354d6ecc
3. 状态转换：ST-EC80ABC71789</x:v>
      </x:c>
    </x:row>
    <x:row r="1011" ht="68" customHeight="1">
      <x:c r="A1011" s="4" t="n">
        <x:v>1010</x:v>
      </x:c>
      <x:c r="B1011" s="4" t="str">
        <x:v>USER-1010</x:v>
      </x:c>
      <x:c r="C1011" s="4" t="str">
        <x:v>M06 开播、房型、观看、连麦与房内管理</x:v>
      </x:c>
      <x:c r="D1011" s="4" t="str">
        <x:v>连麦主播-搜索结果（主播视角）</x:v>
      </x:c>
      <x:c r="E1011" s="4" t="str">
        <x:v>功能需求</x:v>
      </x:c>
      <x:c r="F1011" s="4" t="str">
        <x:v>P2</x:v>
      </x:c>
      <x:c r="G1011" s="4" t="str">
        <x:v>验证搜索结果回显</x:v>
      </x:c>
      <x:c r="H1011" s="4" t="str">
        <x:v>搜索结果回显</x:v>
      </x:c>
      <x:c r="I1011" s="4" t="str">
        <x:v>1. 已登录主播账号
2. 所选对象存在，已记录该对象的搜索结果值</x:v>
      </x:c>
      <x:c r="J1011" s="4" t="str">
        <x:v>1. 进入「直播间-主播」页
2. 打开「连麦主播-搜索结果」视图
3. 查看搜索结果回显</x:v>
      </x:c>
      <x:c r="K1011" s="4" t="str">
        <x:v>「搜索结果」内容与所选对象的该项资料一致</x:v>
      </x:c>
      <x:c r="L1011" s="4" t="str"/>
      <x:c r="M1011" s="4" t="str">
        <x:v>未测</x:v>
      </x:c>
      <x:c r="N1011" s="4" t="str"/>
      <x:c r="O1011" s="4" t="str">
        <x:v>1. 来源：MainBasis/统一需求文档.md；U-views_live-room-host_cohost-hosts-search-result-002
2. 场景：SC-fb0f36fc66d61c</x:v>
      </x:c>
    </x:row>
    <x:row r="1012" ht="82" customHeight="1">
      <x:c r="A1012" s="4" t="n">
        <x:v>1011</x:v>
      </x:c>
      <x:c r="B1012" s="4" t="str">
        <x:v>USER-1011</x:v>
      </x:c>
      <x:c r="C1012" s="4" t="str">
        <x:v>M06 开播、房型、观看、连麦与房内管理</x:v>
      </x:c>
      <x:c r="D1012" s="4" t="str">
        <x:v>连麦主播-搜索结果（主播视角）</x:v>
      </x:c>
      <x:c r="E1012" s="4" t="str">
        <x:v>功能需求</x:v>
      </x:c>
      <x:c r="F1012" s="4" t="str">
        <x:v>P1</x:v>
      </x:c>
      <x:c r="G1012" s="4" t="str">
        <x:v>验证连麦搜索排除目标未开播</x:v>
      </x:c>
      <x:c r="H1012" s="4" t="str">
        <x:v>连麦搜索排除目标未开播</x:v>
      </x:c>
      <x:c r="I1012" s="4" t="str">
        <x:v>1. 已登录主播账号
2. 发起方普通房在播且未连麦
3. 目标未开播</x:v>
      </x:c>
      <x:c r="J1012" s="4" t="str">
        <x:v>1. 进入「直播间-主播」页
2. 打开「连麦主播-搜索结果」视图
3. 搜索目标主播ID</x:v>
      </x:c>
      <x:c r="K1012" s="4" t="str">
        <x:v>搜索结果不包含该主播</x:v>
      </x:c>
      <x:c r="L1012" s="4" t="str"/>
      <x:c r="M1012" s="4" t="str">
        <x:v>未测</x:v>
      </x:c>
      <x:c r="N1012" s="4" t="str"/>
      <x:c r="O1012" s="4" t="str">
        <x:v>1. 来源：MainBasis/统一需求文档.md；U-views_live-room-host_cohost-hosts-search-result-003、U-views_live-room-host_cohost-hosts-004、D-SYS-105
2. 场景：SC-5ff4bb7fff67b1</x:v>
      </x:c>
    </x:row>
    <x:row r="1013" ht="82" customHeight="1">
      <x:c r="A1013" s="4" t="n">
        <x:v>1012</x:v>
      </x:c>
      <x:c r="B1013" s="4" t="str">
        <x:v>USER-1012</x:v>
      </x:c>
      <x:c r="C1013" s="4" t="str">
        <x:v>M06 开播、房型、观看、连麦与房内管理</x:v>
      </x:c>
      <x:c r="D1013" s="4" t="str">
        <x:v>连麦主播-搜索结果（主播视角）</x:v>
      </x:c>
      <x:c r="E1013" s="4" t="str">
        <x:v>功能需求</x:v>
      </x:c>
      <x:c r="F1013" s="4" t="str">
        <x:v>P1</x:v>
      </x:c>
      <x:c r="G1013" s="4" t="str">
        <x:v>验证连麦搜索排除目标门票房</x:v>
      </x:c>
      <x:c r="H1013" s="4" t="str">
        <x:v>连麦搜索排除目标门票房</x:v>
      </x:c>
      <x:c r="I1013" s="4" t="str">
        <x:v>1. 已登录主播账号
2. 发起方普通房在播且未连麦
3. 目标门票房</x:v>
      </x:c>
      <x:c r="J1013" s="4" t="str">
        <x:v>1. 进入「直播间-主播」页
2. 打开「连麦主播-搜索结果」视图
3. 搜索目标主播ID</x:v>
      </x:c>
      <x:c r="K1013" s="4" t="str">
        <x:v>搜索结果不包含该主播</x:v>
      </x:c>
      <x:c r="L1013" s="4" t="str"/>
      <x:c r="M1013" s="4" t="str">
        <x:v>未测</x:v>
      </x:c>
      <x:c r="N1013" s="4" t="str"/>
      <x:c r="O1013" s="4" t="str">
        <x:v>1. 来源：MainBasis/统一需求文档.md；U-views_live-room-host_cohost-hosts-search-result-003、U-views_live-room-host_cohost-hosts-004、D-SYS-105
2. 场景：SC-b809ce2db1ecb6</x:v>
      </x:c>
    </x:row>
    <x:row r="1014" ht="82" customHeight="1">
      <x:c r="A1014" s="4" t="n">
        <x:v>1013</x:v>
      </x:c>
      <x:c r="B1014" s="4" t="str">
        <x:v>USER-1013</x:v>
      </x:c>
      <x:c r="C1014" s="4" t="str">
        <x:v>M06 开播、房型、观看、连麦与房内管理</x:v>
      </x:c>
      <x:c r="D1014" s="4" t="str">
        <x:v>连麦主播-搜索结果（主播视角）</x:v>
      </x:c>
      <x:c r="E1014" s="4" t="str">
        <x:v>功能需求</x:v>
      </x:c>
      <x:c r="F1014" s="4" t="str">
        <x:v>P1</x:v>
      </x:c>
      <x:c r="G1014" s="4" t="str">
        <x:v>验证连麦搜索排除目标密码房</x:v>
      </x:c>
      <x:c r="H1014" s="4" t="str">
        <x:v>连麦搜索排除目标密码房</x:v>
      </x:c>
      <x:c r="I1014" s="4" t="str">
        <x:v>1. 已登录主播账号
2. 发起方普通房在播且未连麦
3. 目标密码房</x:v>
      </x:c>
      <x:c r="J1014" s="4" t="str">
        <x:v>1. 进入「直播间-主播」页
2. 打开「连麦主播-搜索结果」视图
3. 搜索目标主播ID</x:v>
      </x:c>
      <x:c r="K1014" s="4" t="str">
        <x:v>搜索结果不包含该主播</x:v>
      </x:c>
      <x:c r="L1014" s="4" t="str"/>
      <x:c r="M1014" s="4" t="str">
        <x:v>未测</x:v>
      </x:c>
      <x:c r="N1014" s="4" t="str"/>
      <x:c r="O1014" s="4" t="str">
        <x:v>1. 来源：MainBasis/统一需求文档.md；U-views_live-room-host_cohost-hosts-search-result-003、U-views_live-room-host_cohost-hosts-004、D-SYS-105
2. 场景：SC-90ea9d72ae661f</x:v>
      </x:c>
    </x:row>
    <x:row r="1015" ht="82" customHeight="1">
      <x:c r="A1015" s="4" t="n">
        <x:v>1014</x:v>
      </x:c>
      <x:c r="B1015" s="4" t="str">
        <x:v>USER-1014</x:v>
      </x:c>
      <x:c r="C1015" s="4" t="str">
        <x:v>M06 开播、房型、观看、连麦与房内管理</x:v>
      </x:c>
      <x:c r="D1015" s="4" t="str">
        <x:v>连麦主播-搜索结果（主播视角）</x:v>
      </x:c>
      <x:c r="E1015" s="4" t="str">
        <x:v>功能需求</x:v>
      </x:c>
      <x:c r="F1015" s="4" t="str">
        <x:v>P1</x:v>
      </x:c>
      <x:c r="G1015" s="4" t="str">
        <x:v>验证连麦搜索排除目标已在连麦</x:v>
      </x:c>
      <x:c r="H1015" s="4" t="str">
        <x:v>连麦搜索排除目标已在连麦</x:v>
      </x:c>
      <x:c r="I1015" s="4" t="str">
        <x:v>1. 已登录主播账号
2. 发起方普通房在播且未连麦
3. 目标已在连麦</x:v>
      </x:c>
      <x:c r="J1015" s="4" t="str">
        <x:v>1. 进入「直播间-主播」页
2. 打开「连麦主播-搜索结果」视图
3. 搜索目标主播ID</x:v>
      </x:c>
      <x:c r="K1015" s="4" t="str">
        <x:v>搜索结果不包含该主播</x:v>
      </x:c>
      <x:c r="L1015" s="4" t="str"/>
      <x:c r="M1015" s="4" t="str">
        <x:v>未测</x:v>
      </x:c>
      <x:c r="N1015" s="4" t="str"/>
      <x:c r="O1015" s="4" t="str">
        <x:v>1. 来源：MainBasis/统一需求文档.md；U-views_live-room-host_cohost-hosts-search-result-003、U-views_live-room-host_cohost-hosts-004、D-SYS-105
2. 场景：SC-93314737d1ac4b</x:v>
      </x:c>
    </x:row>
    <x:row r="1016" ht="82" customHeight="1">
      <x:c r="A1016" s="4" t="n">
        <x:v>1015</x:v>
      </x:c>
      <x:c r="B1016" s="4" t="str">
        <x:v>USER-1015</x:v>
      </x:c>
      <x:c r="C1016" s="4" t="str">
        <x:v>M06 开播、房型、观看、连麦与房内管理</x:v>
      </x:c>
      <x:c r="D1016" s="4" t="str">
        <x:v>连麦主播-搜索结果（主播视角）</x:v>
      </x:c>
      <x:c r="E1016" s="4" t="str">
        <x:v>功能需求</x:v>
      </x:c>
      <x:c r="F1016" s="4" t="str">
        <x:v>P1</x:v>
      </x:c>
      <x:c r="G1016" s="4" t="str">
        <x:v>验证连麦搜索排除双方有拉黑</x:v>
      </x:c>
      <x:c r="H1016" s="4" t="str">
        <x:v>连麦搜索排除双方有拉黑</x:v>
      </x:c>
      <x:c r="I1016" s="4" t="str">
        <x:v>1. 已登录主播账号
2. 发起方普通房在播且未连麦
3. 双方有拉黑</x:v>
      </x:c>
      <x:c r="J1016" s="4" t="str">
        <x:v>1. 进入「直播间-主播」页
2. 打开「连麦主播-搜索结果」视图
3. 搜索目标主播ID</x:v>
      </x:c>
      <x:c r="K1016" s="4" t="str">
        <x:v>搜索结果不包含该主播</x:v>
      </x:c>
      <x:c r="L1016" s="4" t="str"/>
      <x:c r="M1016" s="4" t="str">
        <x:v>未测</x:v>
      </x:c>
      <x:c r="N1016" s="4" t="str"/>
      <x:c r="O1016" s="4" t="str">
        <x:v>1. 来源：MainBasis/统一需求文档.md；U-views_live-room-host_cohost-hosts-search-result-003、U-views_live-room-host_cohost-hosts-004、D-SYS-105
2. 场景：SC-c56894c779c300</x:v>
      </x:c>
    </x:row>
    <x:row r="1017" ht="68" customHeight="1">
      <x:c r="A1017" s="4" t="n">
        <x:v>1016</x:v>
      </x:c>
      <x:c r="B1017" s="4" t="str">
        <x:v>USER-1016</x:v>
      </x:c>
      <x:c r="C1017" s="4" t="str">
        <x:v>M06 开播、房型、观看、连麦与房内管理</x:v>
      </x:c>
      <x:c r="D1017" s="4" t="str">
        <x:v>连麦主播-搜索结果（主播视角）</x:v>
      </x:c>
      <x:c r="E1017" s="4" t="str">
        <x:v>功能需求</x:v>
      </x:c>
      <x:c r="F1017" s="4" t="str">
        <x:v>P1</x:v>
      </x:c>
      <x:c r="G1017" s="4" t="str">
        <x:v>验证连麦搜索空白0</x:v>
      </x:c>
      <x:c r="H1017" s="4" t="str">
        <x:v>连麦搜索空白0</x:v>
      </x:c>
      <x:c r="I1017" s="4" t="str">
        <x:v>1. 已登录主播账号</x:v>
      </x:c>
      <x:c r="J1017" s="4" t="str">
        <x:v>1. 进入「直播间-主播」页
2. 打开「连麦主播-搜索结果」视图
3. 输入「」</x:v>
      </x:c>
      <x:c r="K1017" s="4" t="str">
        <x:v>返回未搜索状态</x:v>
      </x:c>
      <x:c r="L1017" s="4" t="str"/>
      <x:c r="M1017" s="4" t="str">
        <x:v>未测</x:v>
      </x:c>
      <x:c r="N1017" s="4" t="str"/>
      <x:c r="O1017" s="4" t="str">
        <x:v>1. 来源：MainBasis/统一需求文档.md；U-views_live-room-host_cohost-hosts-search-result-004
2. 场景：SC-d533974338359c</x:v>
      </x:c>
    </x:row>
    <x:row r="1018" ht="68" customHeight="1">
      <x:c r="A1018" s="4" t="n">
        <x:v>1017</x:v>
      </x:c>
      <x:c r="B1018" s="4" t="str">
        <x:v>USER-1017</x:v>
      </x:c>
      <x:c r="C1018" s="4" t="str">
        <x:v>M06 开播、房型、观看、连麦与房内管理</x:v>
      </x:c>
      <x:c r="D1018" s="4" t="str">
        <x:v>连麦主播-搜索结果（主播视角）</x:v>
      </x:c>
      <x:c r="E1018" s="4" t="str">
        <x:v>功能需求</x:v>
      </x:c>
      <x:c r="F1018" s="4" t="str">
        <x:v>P1</x:v>
      </x:c>
      <x:c r="G1018" s="4" t="str">
        <x:v>验证连麦搜索空白3</x:v>
      </x:c>
      <x:c r="H1018" s="4" t="str">
        <x:v>连麦搜索空白3</x:v>
      </x:c>
      <x:c r="I1018" s="4" t="str">
        <x:v>1. 已登录主播账号</x:v>
      </x:c>
      <x:c r="J1018" s="4" t="str">
        <x:v>1. 进入「直播间-主播」页
2. 打开「连麦主播-搜索结果」视图
3. 输入「   」</x:v>
      </x:c>
      <x:c r="K1018" s="4" t="str">
        <x:v>返回未搜索状态</x:v>
      </x:c>
      <x:c r="L1018" s="4" t="str"/>
      <x:c r="M1018" s="4" t="str">
        <x:v>未测</x:v>
      </x:c>
      <x:c r="N1018" s="4" t="str"/>
      <x:c r="O1018" s="4" t="str">
        <x:v>1. 来源：MainBasis/统一需求文档.md；U-views_live-room-host_cohost-hosts-search-result-004
2. 场景：SC-4d363d5c553d48</x:v>
      </x:c>
    </x:row>
    <x:row r="1019" ht="68" customHeight="1">
      <x:c r="A1019" s="4" t="n">
        <x:v>1018</x:v>
      </x:c>
      <x:c r="B1019" s="4" t="str">
        <x:v>USER-1018</x:v>
      </x:c>
      <x:c r="C1019" s="4" t="str">
        <x:v>M06 开播、房型、观看、连麦与房内管理</x:v>
      </x:c>
      <x:c r="D1019" s="4" t="str">
        <x:v>连麦主播-搜索结果（主播视角）</x:v>
      </x:c>
      <x:c r="E1019" s="4" t="str">
        <x:v>功能需求</x:v>
      </x:c>
      <x:c r="F1019" s="4" t="str">
        <x:v>P1</x:v>
      </x:c>
      <x:c r="G1019" s="4" t="str">
        <x:v>验证连麦搜索无结果</x:v>
      </x:c>
      <x:c r="H1019" s="4" t="str">
        <x:v>连麦搜索无结果</x:v>
      </x:c>
      <x:c r="I1019" s="4" t="str">
        <x:v>1. 已登录主播账号</x:v>
      </x:c>
      <x:c r="J1019" s="4" t="str">
        <x:v>1. 进入「直播间-主播」页
2. 打开「连麦主播-搜索结果」视图
3. 搜索不存在的主播ID</x:v>
      </x:c>
      <x:c r="K1019" s="4" t="str">
        <x:v>提示“查询结果为空或主播未在普通房直播”</x:v>
      </x:c>
      <x:c r="L1019" s="4" t="str"/>
      <x:c r="M1019" s="4" t="str">
        <x:v>未测</x:v>
      </x:c>
      <x:c r="N1019" s="4" t="str"/>
      <x:c r="O1019" s="4" t="str">
        <x:v>1. 来源：MainBasis/统一需求文档.md；U-views_live-room-host_cohost-hosts-search-result-004
2. 场景：SC-3e10b186873180</x:v>
      </x:c>
    </x:row>
    <x:row r="1020" ht="68" customHeight="1">
      <x:c r="A1020" s="4" t="n">
        <x:v>1019</x:v>
      </x:c>
      <x:c r="B1020" s="4" t="str">
        <x:v>USER-1019</x:v>
      </x:c>
      <x:c r="C1020" s="4" t="str">
        <x:v>M06 开播、房型、观看、连麦与房内管理</x:v>
      </x:c>
      <x:c r="D1020" s="4" t="str">
        <x:v>连麦主播-搜索结果（主播视角）</x:v>
      </x:c>
      <x:c r="E1020" s="4" t="str">
        <x:v>异常用例</x:v>
      </x:c>
      <x:c r="F1020" s="4" t="str">
        <x:v>P1</x:v>
      </x:c>
      <x:c r="G1020" s="4" t="str">
        <x:v>验证已有邀请不能再发</x:v>
      </x:c>
      <x:c r="H1020" s="4" t="str">
        <x:v>已有邀请不能再发</x:v>
      </x:c>
      <x:c r="I1020" s="4" t="str">
        <x:v>1. 已登录主播账号
2. 发起方已有一条待处理邀请，另有符合条件主播</x:v>
      </x:c>
      <x:c r="J1020" s="4" t="str">
        <x:v>1. 进入「直播间-主播」页
2. 打开「连麦主播-搜索结果」视图
3. 点击另一主播搜索结果</x:v>
      </x:c>
      <x:c r="K1020" s="4" t="str">
        <x:v>提示“已有发出请求，请先取消”</x:v>
      </x:c>
      <x:c r="L1020" s="4" t="str"/>
      <x:c r="M1020" s="4" t="str">
        <x:v>未测</x:v>
      </x:c>
      <x:c r="N1020" s="4" t="str"/>
      <x:c r="O1020" s="4" t="str">
        <x:v>1. 来源：MainBasis/统一需求文档.md；U-views_live-room-host_cohost-hosts-search-result-004
2. 场景：SC-fc6c458ca61bf8</x:v>
      </x:c>
    </x:row>
    <x:row r="1021" ht="68" customHeight="1">
      <x:c r="A1021" s="4" t="n">
        <x:v>1020</x:v>
      </x:c>
      <x:c r="B1021" s="4" t="str">
        <x:v>USER-1020</x:v>
      </x:c>
      <x:c r="C1021" s="4" t="str">
        <x:v>M06 开播、房型、观看、连麦与房内管理</x:v>
      </x:c>
      <x:c r="D1021" s="4" t="str">
        <x:v>连麦主播-搜索结果（主播视角）</x:v>
      </x:c>
      <x:c r="E1021" s="4" t="str">
        <x:v>功能需求</x:v>
      </x:c>
      <x:c r="F1021" s="4" t="str">
        <x:v>P1</x:v>
      </x:c>
      <x:c r="G1021" s="4" t="str">
        <x:v>验证连麦搜索去空格</x:v>
      </x:c>
      <x:c r="H1021" s="4" t="str">
        <x:v>连麦搜索去空格</x:v>
      </x:c>
      <x:c r="I1021" s="4" t="str">
        <x:v>1. 已登录主播账号
2. 已知一名符合条件主播昵称海岛</x:v>
      </x:c>
      <x:c r="J1021" s="4" t="str">
        <x:v>1. 进入「直播间-主播」页
2. 打开「连麦主播-搜索结果」视图
3. 输入“  海岛  ”并搜索</x:v>
      </x:c>
      <x:c r="K1021" s="4" t="str">
        <x:v>按海岛匹配符合条件的主播</x:v>
      </x:c>
      <x:c r="L1021" s="4" t="str"/>
      <x:c r="M1021" s="4" t="str">
        <x:v>未测</x:v>
      </x:c>
      <x:c r="N1021" s="4" t="str"/>
      <x:c r="O1021" s="4" t="str">
        <x:v>1. 来源：MainBasis/统一需求文档.md；U-views_live-room-host_cohost-hosts-search-result-001
2. 场景：SC-6ddf49e4d59168</x:v>
      </x:c>
    </x:row>
    <x:row r="1022" ht="68" customHeight="1">
      <x:c r="A1022" s="4" t="n">
        <x:v>1021</x:v>
      </x:c>
      <x:c r="B1022" s="4" t="str">
        <x:v>USER-1021</x:v>
      </x:c>
      <x:c r="C1022" s="4" t="str">
        <x:v>M06 开播、房型、观看、连麦与房内管理</x:v>
      </x:c>
      <x:c r="D1022" s="4" t="str">
        <x:v>收到连麦邀请（主播视角）</x:v>
      </x:c>
      <x:c r="E1022" s="4" t="str">
        <x:v>功能需求</x:v>
      </x:c>
      <x:c r="F1022" s="4" t="str">
        <x:v>P2</x:v>
      </x:c>
      <x:c r="G1022" s="4" t="str">
        <x:v>验证邀请主播回显</x:v>
      </x:c>
      <x:c r="H1022" s="4" t="str">
        <x:v>邀请主播回显</x:v>
      </x:c>
      <x:c r="I1022" s="4" t="str">
        <x:v>1. 已登录主播账号
2. 所选对象存在，已记录该对象的邀请主播值</x:v>
      </x:c>
      <x:c r="J1022" s="4" t="str">
        <x:v>1. 进入「直播间-主播」页
2. 打开「收到连麦邀请」视图
3. 查看邀请主播回显</x:v>
      </x:c>
      <x:c r="K1022" s="4" t="str">
        <x:v>「邀请主播」内容与所选对象的该项资料一致</x:v>
      </x:c>
      <x:c r="L1022" s="4" t="str"/>
      <x:c r="M1022" s="4" t="str">
        <x:v>未测</x:v>
      </x:c>
      <x:c r="N1022" s="4" t="str"/>
      <x:c r="O1022" s="4" t="str">
        <x:v>1. 来源：MainBasis/统一需求文档.md；U-views_live-room-host_cohost-invite-notice-001
2. 场景：SC-03c27c20f05490</x:v>
      </x:c>
    </x:row>
    <x:row r="1023" ht="68" customHeight="1">
      <x:c r="A1023" s="4" t="n">
        <x:v>1022</x:v>
      </x:c>
      <x:c r="B1023" s="4" t="str">
        <x:v>USER-1022</x:v>
      </x:c>
      <x:c r="C1023" s="4" t="str">
        <x:v>M06 开播、房型、观看、连麦与房内管理</x:v>
      </x:c>
      <x:c r="D1023" s="4" t="str">
        <x:v>收到连麦邀请（主播视角）</x:v>
      </x:c>
      <x:c r="E1023" s="4" t="str">
        <x:v>功能需求</x:v>
      </x:c>
      <x:c r="F1023" s="4" t="str">
        <x:v>P2</x:v>
      </x:c>
      <x:c r="G1023" s="4" t="str">
        <x:v>验证有效状态回显</x:v>
      </x:c>
      <x:c r="H1023" s="4" t="str">
        <x:v>有效状态回显</x:v>
      </x:c>
      <x:c r="I1023" s="4" t="str">
        <x:v>1. 已登录主播账号
2. 所选对象存在，已记录该对象的有效状态值</x:v>
      </x:c>
      <x:c r="J1023" s="4" t="str">
        <x:v>1. 进入「直播间-主播」页
2. 打开「收到连麦邀请」视图
3. 查看有效状态回显</x:v>
      </x:c>
      <x:c r="K1023" s="4" t="str">
        <x:v>「有效状态」内容与所选对象的该项资料一致</x:v>
      </x:c>
      <x:c r="L1023" s="4" t="str"/>
      <x:c r="M1023" s="4" t="str">
        <x:v>未测</x:v>
      </x:c>
      <x:c r="N1023" s="4" t="str"/>
      <x:c r="O1023" s="4" t="str">
        <x:v>1. 来源：MainBasis/统一需求文档.md；U-views_live-room-host_cohost-invite-notice-002
2. 场景：SC-2ed0a70f68fbc5</x:v>
      </x:c>
    </x:row>
    <x:row r="1024" ht="68" customHeight="1">
      <x:c r="A1024" s="4" t="n">
        <x:v>1023</x:v>
      </x:c>
      <x:c r="B1024" s="4" t="str">
        <x:v>USER-1023</x:v>
      </x:c>
      <x:c r="C1024" s="4" t="str">
        <x:v>M06 开播、房型、观看、连麦与房内管理</x:v>
      </x:c>
      <x:c r="D1024" s="4" t="str">
        <x:v>收到连麦邀请（主播视角）</x:v>
      </x:c>
      <x:c r="E1024" s="4" t="str">
        <x:v>功能需求</x:v>
      </x:c>
      <x:c r="F1024" s="4" t="str">
        <x:v>P1</x:v>
      </x:c>
      <x:c r="G1024" s="4" t="str">
        <x:v>验证连麦提示3秒</x:v>
      </x:c>
      <x:c r="H1024" s="4" t="str">
        <x:v>连麦提示3秒</x:v>
      </x:c>
      <x:c r="I1024" s="4" t="str">
        <x:v>1. 已登录主播账号
2. 当前邀请提示展示后已经3秒，期间无新增邀请</x:v>
      </x:c>
      <x:c r="J1024" s="4" t="str">
        <x:v>1. 进入「直播间-主播」页
2. 打开「收到连麦邀请」视图
3. 查看连麦提示3秒</x:v>
      </x:c>
      <x:c r="K1024" s="4" t="str">
        <x:v>提示仍显示</x:v>
      </x:c>
      <x:c r="L1024" s="4" t="str"/>
      <x:c r="M1024" s="4" t="str">
        <x:v>未测</x:v>
      </x:c>
      <x:c r="N1024" s="4" t="str"/>
      <x:c r="O1024" s="4" t="str">
        <x:v>1. 来源：MainBasis/统一需求文档.md；U-views_live-room-host_cohost-invite-notice-004、U-live-room-host-010
2. 场景：SC-cf604d2382ab79</x:v>
      </x:c>
    </x:row>
    <x:row r="1025" ht="68" customHeight="1">
      <x:c r="A1025" s="4" t="n">
        <x:v>1024</x:v>
      </x:c>
      <x:c r="B1025" s="4" t="str">
        <x:v>USER-1024</x:v>
      </x:c>
      <x:c r="C1025" s="4" t="str">
        <x:v>M06 开播、房型、观看、连麦与房内管理</x:v>
      </x:c>
      <x:c r="D1025" s="4" t="str">
        <x:v>收到连麦邀请（主播视角）</x:v>
      </x:c>
      <x:c r="E1025" s="4" t="str">
        <x:v>功能需求</x:v>
      </x:c>
      <x:c r="F1025" s="4" t="str">
        <x:v>P1</x:v>
      </x:c>
      <x:c r="G1025" s="4" t="str">
        <x:v>验证连麦提示4秒</x:v>
      </x:c>
      <x:c r="H1025" s="4" t="str">
        <x:v>连麦提示4秒</x:v>
      </x:c>
      <x:c r="I1025" s="4" t="str">
        <x:v>1. 已登录主播账号
2. 当前邀请提示展示后已经4秒，期间无新增邀请</x:v>
      </x:c>
      <x:c r="J1025" s="4" t="str">
        <x:v>1. 进入「直播间-主播」页
2. 打开「收到连麦邀请」视图
3. 查看连麦提示4秒</x:v>
      </x:c>
      <x:c r="K1025" s="4" t="str">
        <x:v>该临时提示已关闭</x:v>
      </x:c>
      <x:c r="L1025" s="4" t="str"/>
      <x:c r="M1025" s="4" t="str">
        <x:v>未测</x:v>
      </x:c>
      <x:c r="N1025" s="4" t="str"/>
      <x:c r="O1025" s="4" t="str">
        <x:v>1. 来源：MainBasis/统一需求文档.md；U-views_live-room-host_cohost-invite-notice-004、U-live-room-host-010
2. 场景：SC-873c2fe3253cd8</x:v>
      </x:c>
    </x:row>
    <x:row r="1026" ht="68" customHeight="1">
      <x:c r="A1026" s="4" t="n">
        <x:v>1025</x:v>
      </x:c>
      <x:c r="B1026" s="4" t="str">
        <x:v>USER-1025</x:v>
      </x:c>
      <x:c r="C1026" s="4" t="str">
        <x:v>M06 开播、房型、观看、连麦与房内管理</x:v>
      </x:c>
      <x:c r="D1026" s="4" t="str">
        <x:v>收到连麦邀请（主播视角）</x:v>
      </x:c>
      <x:c r="E1026" s="4" t="str">
        <x:v>功能需求</x:v>
      </x:c>
      <x:c r="F1026" s="4" t="str">
        <x:v>P1</x:v>
      </x:c>
      <x:c r="G1026" s="4" t="str">
        <x:v>验证连麦提示5秒</x:v>
      </x:c>
      <x:c r="H1026" s="4" t="str">
        <x:v>连麦提示5秒</x:v>
      </x:c>
      <x:c r="I1026" s="4" t="str">
        <x:v>1. 已登录主播账号
2. 当前邀请提示展示后已经5秒，期间无新增邀请</x:v>
      </x:c>
      <x:c r="J1026" s="4" t="str">
        <x:v>1. 进入「直播间-主播」页
2. 打开「收到连麦邀请」视图
3. 查看连麦提示5秒</x:v>
      </x:c>
      <x:c r="K1026" s="4" t="str">
        <x:v>该临时提示已关闭</x:v>
      </x:c>
      <x:c r="L1026" s="4" t="str"/>
      <x:c r="M1026" s="4" t="str">
        <x:v>未测</x:v>
      </x:c>
      <x:c r="N1026" s="4" t="str"/>
      <x:c r="O1026" s="4" t="str">
        <x:v>1. 来源：MainBasis/统一需求文档.md；U-views_live-room-host_cohost-invite-notice-004、U-live-room-host-010
2. 场景：SC-7dc7e7b947ef8c</x:v>
      </x:c>
    </x:row>
    <x:row r="1027" ht="68" customHeight="1">
      <x:c r="A1027" s="4" t="n">
        <x:v>1026</x:v>
      </x:c>
      <x:c r="B1027" s="4" t="str">
        <x:v>USER-1026</x:v>
      </x:c>
      <x:c r="C1027" s="4" t="str">
        <x:v>M06 开播、房型、观看、连麦与房内管理</x:v>
      </x:c>
      <x:c r="D1027" s="4" t="str">
        <x:v>收到连麦邀请（主播视角）</x:v>
      </x:c>
      <x:c r="E1027" s="4" t="str">
        <x:v>功能需求</x:v>
      </x:c>
      <x:c r="F1027" s="4" t="str">
        <x:v>P1</x:v>
      </x:c>
      <x:c r="G1027" s="4" t="str">
        <x:v>验证新邀请不叠加提示</x:v>
      </x:c>
      <x:c r="H1027" s="4" t="str">
        <x:v>新邀请不叠加提示</x:v>
      </x:c>
      <x:c r="I1027" s="4" t="str">
        <x:v>1. 已登录主播账号
2. 当前提示展示中又收到一个新邀请</x:v>
      </x:c>
      <x:c r="J1027" s="4" t="str">
        <x:v>1. 进入「直播间-主播」页
2. 打开「收到连麦邀请」视图
3. 查看新邀请不叠加提示</x:v>
      </x:c>
      <x:c r="K1027" s="4" t="str">
        <x:v>更新当前提示及数量，不额外叠加提示</x:v>
      </x:c>
      <x:c r="L1027" s="4" t="str"/>
      <x:c r="M1027" s="4" t="str">
        <x:v>未测</x:v>
      </x:c>
      <x:c r="N1027" s="4" t="str"/>
      <x:c r="O1027" s="4" t="str">
        <x:v>1. 来源：MainBasis/统一需求文档.md；U-views_live-room-host_cohost-invite-notice-004、U-live-room-host-010
2. 场景：SC-7d099a6d540b4b</x:v>
      </x:c>
    </x:row>
    <x:row r="1028" ht="82" customHeight="1">
      <x:c r="A1028" s="4" t="n">
        <x:v>1027</x:v>
      </x:c>
      <x:c r="B1028" s="4" t="str">
        <x:v>USER-1027</x:v>
      </x:c>
      <x:c r="C1028" s="4" t="str">
        <x:v>M06 开播、房型、观看、连麦与房内管理</x:v>
      </x:c>
      <x:c r="D1028" s="4" t="str">
        <x:v>收到连麦邀请（主播视角）</x:v>
      </x:c>
      <x:c r="E1028" s="4" t="str">
        <x:v>功能需求</x:v>
      </x:c>
      <x:c r="F1028" s="4" t="str">
        <x:v>P1</x:v>
      </x:c>
      <x:c r="G1028" s="4" t="str">
        <x:v>验证接受单笔有效邀请</x:v>
      </x:c>
      <x:c r="H1028" s="4" t="str">
        <x:v>接受单笔有效邀请</x:v>
      </x:c>
      <x:c r="I1028" s="4" t="str">
        <x:v>1. 已登录主播账号
2. 当前仅有一笔邀请，双方仍满足全部连麦条件</x:v>
      </x:c>
      <x:c r="J1028" s="4" t="str">
        <x:v>1. 进入「直播间-主播」页
2. 打开「收到连麦邀请」视图
3. 点击接受</x:v>
      </x:c>
      <x:c r="K1028" s="4" t="str">
        <x:v>建立双方连麦</x:v>
      </x:c>
      <x:c r="L1028" s="4" t="str">
        <x:v>FLOW-4A7D12A7</x:v>
      </x:c>
      <x:c r="M1028" s="4" t="str">
        <x:v>未测</x:v>
      </x:c>
      <x:c r="N1028" s="4" t="str"/>
      <x:c r="O1028" s="4" t="str">
        <x:v>1. 来源：MainBasis/统一需求文档.md；U-views_live-room-host_cohost-invite-notice-006、D-SYS-109
2. 场景：SC-0808713322ecc7
3. 状态转换：ST-A1609BC95F1F</x:v>
      </x:c>
    </x:row>
    <x:row r="1029" ht="82" customHeight="1">
      <x:c r="A1029" s="4" t="n">
        <x:v>1028</x:v>
      </x:c>
      <x:c r="B1029" s="4" t="str">
        <x:v>USER-1028</x:v>
      </x:c>
      <x:c r="C1029" s="4" t="str">
        <x:v>M06 开播、房型、观看、连麦与房内管理</x:v>
      </x:c>
      <x:c r="D1029" s="4" t="str">
        <x:v>收到连麦邀请（主播视角）</x:v>
      </x:c>
      <x:c r="E1029" s="4" t="str">
        <x:v>功能需求</x:v>
      </x:c>
      <x:c r="F1029" s="4" t="str">
        <x:v>P1</x:v>
      </x:c>
      <x:c r="G1029" s="4" t="str">
        <x:v>验证拒绝单笔有效邀请</x:v>
      </x:c>
      <x:c r="H1029" s="4" t="str">
        <x:v>拒绝单笔有效邀请</x:v>
      </x:c>
      <x:c r="I1029" s="4" t="str">
        <x:v>1. 已登录主播账号
2. 当前仅有一笔邀请，双方仍满足全部连麦条件</x:v>
      </x:c>
      <x:c r="J1029" s="4" t="str">
        <x:v>1. 进入「直播间-主播」页
2. 打开「收到连麦邀请」视图
3. 点击拒绝</x:v>
      </x:c>
      <x:c r="K1029" s="4" t="str">
        <x:v>该邀请关闭并更新待处理数量</x:v>
      </x:c>
      <x:c r="L1029" s="4" t="str">
        <x:v>FLOW-4A7D12A7</x:v>
      </x:c>
      <x:c r="M1029" s="4" t="str">
        <x:v>未测</x:v>
      </x:c>
      <x:c r="N1029" s="4" t="str"/>
      <x:c r="O1029" s="4" t="str">
        <x:v>1. 来源：MainBasis/统一需求文档.md；U-views_live-room-host_cohost-invite-notice-006、D-SYS-109
2. 场景：SC-d898a4e562f866
3. 状态转换：ST-0241D71A01FF</x:v>
      </x:c>
    </x:row>
    <x:row r="1030" ht="68" customHeight="1">
      <x:c r="A1030" s="4" t="n">
        <x:v>1029</x:v>
      </x:c>
      <x:c r="B1030" s="4" t="str">
        <x:v>USER-1029</x:v>
      </x:c>
      <x:c r="C1030" s="4" t="str">
        <x:v>M06 开播、房型、观看、连麦与房内管理</x:v>
      </x:c>
      <x:c r="D1030" s="4" t="str">
        <x:v>收到连麦邀请（主播视角）</x:v>
      </x:c>
      <x:c r="E1030" s="4" t="str">
        <x:v>异常用例</x:v>
      </x:c>
      <x:c r="F1030" s="4" t="str">
        <x:v>P1</x:v>
      </x:c>
      <x:c r="G1030" s="4" t="str">
        <x:v>验证接受前复核一方停止直播</x:v>
      </x:c>
      <x:c r="H1030" s="4" t="str">
        <x:v>接受前复核一方停止直播</x:v>
      </x:c>
      <x:c r="I1030" s="4" t="str">
        <x:v>1. 已登录主播账号
2. 邀请原有效
3. 点击接受前发生一方停止直播</x:v>
      </x:c>
      <x:c r="J1030" s="4" t="str">
        <x:v>1. 进入「直播间-主播」页
2. 打开「收到连麦邀请」视图
3. 点击接受</x:v>
      </x:c>
      <x:c r="K1030" s="4" t="str">
        <x:v>不建立连麦</x:v>
      </x:c>
      <x:c r="L1030" s="4" t="str"/>
      <x:c r="M1030" s="4" t="str">
        <x:v>未测</x:v>
      </x:c>
      <x:c r="N1030" s="4" t="str"/>
      <x:c r="O1030" s="4" t="str">
        <x:v>1. 来源：MainBasis/统一需求文档.md；U-views_live-room-host_cohost-invite-notice-006、D-SYS-109
2. 场景：SC-36a9747529632d</x:v>
      </x:c>
    </x:row>
    <x:row r="1031" ht="68" customHeight="1">
      <x:c r="A1031" s="4" t="n">
        <x:v>1030</x:v>
      </x:c>
      <x:c r="B1031" s="4" t="str">
        <x:v>USER-1030</x:v>
      </x:c>
      <x:c r="C1031" s="4" t="str">
        <x:v>M06 开播、房型、观看、连麦与房内管理</x:v>
      </x:c>
      <x:c r="D1031" s="4" t="str">
        <x:v>收到连麦邀请（主播视角）</x:v>
      </x:c>
      <x:c r="E1031" s="4" t="str">
        <x:v>异常用例</x:v>
      </x:c>
      <x:c r="F1031" s="4" t="str">
        <x:v>P1</x:v>
      </x:c>
      <x:c r="G1031" s="4" t="str">
        <x:v>验证接受前复核一方被拉黑</x:v>
      </x:c>
      <x:c r="H1031" s="4" t="str">
        <x:v>接受前复核一方被拉黑</x:v>
      </x:c>
      <x:c r="I1031" s="4" t="str">
        <x:v>1. 已登录主播账号
2. 邀请原有效
3. 点击接受前发生一方被拉黑</x:v>
      </x:c>
      <x:c r="J1031" s="4" t="str">
        <x:v>1. 进入「直播间-主播」页
2. 打开「收到连麦邀请」视图
3. 点击接受</x:v>
      </x:c>
      <x:c r="K1031" s="4" t="str">
        <x:v>不建立连麦</x:v>
      </x:c>
      <x:c r="L1031" s="4" t="str"/>
      <x:c r="M1031" s="4" t="str">
        <x:v>未测</x:v>
      </x:c>
      <x:c r="N1031" s="4" t="str"/>
      <x:c r="O1031" s="4" t="str">
        <x:v>1. 来源：MainBasis/统一需求文档.md；U-views_live-room-host_cohost-invite-notice-006、D-SYS-109
2. 场景：SC-477bc22e0b6744</x:v>
      </x:c>
    </x:row>
    <x:row r="1032" ht="68" customHeight="1">
      <x:c r="A1032" s="4" t="n">
        <x:v>1031</x:v>
      </x:c>
      <x:c r="B1032" s="4" t="str">
        <x:v>USER-1031</x:v>
      </x:c>
      <x:c r="C1032" s="4" t="str">
        <x:v>M06 开播、房型、观看、连麦与房内管理</x:v>
      </x:c>
      <x:c r="D1032" s="4" t="str">
        <x:v>收到连麦邀请（主播视角）</x:v>
      </x:c>
      <x:c r="E1032" s="4" t="str">
        <x:v>功能需求</x:v>
      </x:c>
      <x:c r="F1032" s="4" t="str">
        <x:v>P1</x:v>
      </x:c>
      <x:c r="G1032" s="4" t="str">
        <x:v>验证一方关播使邀请失效</x:v>
      </x:c>
      <x:c r="H1032" s="4" t="str">
        <x:v>一方关播使邀请失效</x:v>
      </x:c>
      <x:c r="I1032" s="4" t="str">
        <x:v>1. 已登录主播账号
2. 主播发出一条待处理邀请后已关播</x:v>
      </x:c>
      <x:c r="J1032" s="4" t="str">
        <x:v>1. 进入「直播间-主播」页
2. 打开「收到连麦邀请」视图
3. 查看一方关播使邀请失效</x:v>
      </x:c>
      <x:c r="K1032" s="4" t="str">
        <x:v>对方的该邀请立即失效并移除</x:v>
      </x:c>
      <x:c r="L1032" s="4" t="str"/>
      <x:c r="M1032" s="4" t="str">
        <x:v>未测</x:v>
      </x:c>
      <x:c r="N1032" s="4" t="str"/>
      <x:c r="O1032" s="4" t="str">
        <x:v>1. 来源：MainBasis/统一需求文档.md；D-SYS-106、U-live-room-host-009、U-views_live-room-host_cohost-invite-notice-003
2. 场景：SC-c574f15ce0e8ee</x:v>
      </x:c>
    </x:row>
    <x:row r="1033" ht="68" customHeight="1">
      <x:c r="A1033" s="4" t="n">
        <x:v>1032</x:v>
      </x:c>
      <x:c r="B1033" s="4" t="str">
        <x:v>USER-1032</x:v>
      </x:c>
      <x:c r="C1033" s="4" t="str">
        <x:v>M06 开播、房型、观看、连麦与房内管理</x:v>
      </x:c>
      <x:c r="D1033" s="4" t="str">
        <x:v>选择分享对象（主播视角）</x:v>
      </x:c>
      <x:c r="E1033" s="4" t="str">
        <x:v>功能需求</x:v>
      </x:c>
      <x:c r="F1033" s="4" t="str">
        <x:v>P2</x:v>
      </x:c>
      <x:c r="G1033" s="4" t="str">
        <x:v>验证分享内容回显</x:v>
      </x:c>
      <x:c r="H1033" s="4" t="str">
        <x:v>分享内容回显</x:v>
      </x:c>
      <x:c r="I1033" s="4" t="str">
        <x:v>1. 已登录主播账号
2. 所选对象存在，已记录该对象的分享内容值</x:v>
      </x:c>
      <x:c r="J1033" s="4" t="str">
        <x:v>1. 进入「直播间-主播」页
2. 打开「选择分享对象」视图
3. 查看分享内容回显</x:v>
      </x:c>
      <x:c r="K1033" s="4" t="str">
        <x:v>「分享内容」内容与所选对象的该项资料一致</x:v>
      </x:c>
      <x:c r="L1033" s="4" t="str"/>
      <x:c r="M1033" s="4" t="str">
        <x:v>未测</x:v>
      </x:c>
      <x:c r="N1033" s="4" t="str"/>
      <x:c r="O1033" s="4" t="str">
        <x:v>1. 来源：MainBasis/统一需求文档.md；U-views_live-room-host_share-recipient-002
2. 场景：SC-2273cb968234b8</x:v>
      </x:c>
    </x:row>
    <x:row r="1034" ht="68" customHeight="1">
      <x:c r="A1034" s="4" t="n">
        <x:v>1033</x:v>
      </x:c>
      <x:c r="B1034" s="4" t="str">
        <x:v>USER-1033</x:v>
      </x:c>
      <x:c r="C1034" s="4" t="str">
        <x:v>M06 开播、房型、观看、连麦与房内管理</x:v>
      </x:c>
      <x:c r="D1034" s="4" t="str">
        <x:v>选择分享对象（主播视角）</x:v>
      </x:c>
      <x:c r="E1034" s="4" t="str">
        <x:v>功能需求</x:v>
      </x:c>
      <x:c r="F1034" s="4" t="str">
        <x:v>P1</x:v>
      </x:c>
      <x:c r="G1034" s="4" t="str">
        <x:v>验证分享场次确认</x:v>
      </x:c>
      <x:c r="H1034" s="4" t="str">
        <x:v>分享场次确认</x:v>
      </x:c>
      <x:c r="I1034" s="4" t="str">
        <x:v>1. 已登录主播账号
2. 已选有权限的好友或粉丝群</x:v>
      </x:c>
      <x:c r="J1034" s="4" t="str">
        <x:v>1. 进入「直播间-主播」页
2. 打开「选择分享对象」视图
3. 点击确认</x:v>
      </x:c>
      <x:c r="K1034" s="4" t="str">
        <x:v>发送当前场次卡片并提示成功</x:v>
      </x:c>
      <x:c r="L1034" s="4" t="str"/>
      <x:c r="M1034" s="4" t="str">
        <x:v>未测</x:v>
      </x:c>
      <x:c r="N1034" s="4" t="str"/>
      <x:c r="O1034" s="4" t="str">
        <x:v>1. 来源：MainBasis/统一需求文档.md；U-views_live-room-host_share-recipient-004
2. 场景：SC-9f280f5c29afa7</x:v>
      </x:c>
    </x:row>
    <x:row r="1035" ht="68" customHeight="1">
      <x:c r="A1035" s="4" t="n">
        <x:v>1034</x:v>
      </x:c>
      <x:c r="B1035" s="4" t="str">
        <x:v>USER-1034</x:v>
      </x:c>
      <x:c r="C1035" s="4" t="str">
        <x:v>M06 开播、房型、观看、连麦与房内管理</x:v>
      </x:c>
      <x:c r="D1035" s="4" t="str">
        <x:v>选择分享对象（主播视角）</x:v>
      </x:c>
      <x:c r="E1035" s="4" t="str">
        <x:v>功能需求</x:v>
      </x:c>
      <x:c r="F1035" s="4" t="str">
        <x:v>P1</x:v>
      </x:c>
      <x:c r="G1035" s="4" t="str">
        <x:v>验证分享场次取消</x:v>
      </x:c>
      <x:c r="H1035" s="4" t="str">
        <x:v>分享场次取消</x:v>
      </x:c>
      <x:c r="I1035" s="4" t="str">
        <x:v>1. 已登录主播账号
2. 已选有权限的好友或粉丝群</x:v>
      </x:c>
      <x:c r="J1035" s="4" t="str">
        <x:v>1. 进入「直播间-主播」页
2. 打开「选择分享对象」视图
3. 点击取消</x:v>
      </x:c>
      <x:c r="K1035" s="4" t="str">
        <x:v>不生成分享消息</x:v>
      </x:c>
      <x:c r="L1035" s="4" t="str"/>
      <x:c r="M1035" s="4" t="str">
        <x:v>未测</x:v>
      </x:c>
      <x:c r="N1035" s="4" t="str"/>
      <x:c r="O1035" s="4" t="str">
        <x:v>1. 来源：MainBasis/统一需求文档.md；U-views_live-room-host_share-recipient-004
2. 场景：SC-565e82bdbd7349</x:v>
      </x:c>
    </x:row>
    <x:row r="1036" ht="68" customHeight="1">
      <x:c r="A1036" s="4" t="n">
        <x:v>1035</x:v>
      </x:c>
      <x:c r="B1036" s="4" t="str">
        <x:v>USER-1035</x:v>
      </x:c>
      <x:c r="C1036" s="4" t="str">
        <x:v>M06 开播、房型、观看、连麦与房内管理</x:v>
      </x:c>
      <x:c r="D1036" s="4" t="str">
        <x:v>选择分享对象（主播视角）</x:v>
      </x:c>
      <x:c r="E1036" s="4" t="str">
        <x:v>功能需求</x:v>
      </x:c>
      <x:c r="F1036" s="4" t="str">
        <x:v>P1</x:v>
      </x:c>
      <x:c r="G1036" s="4" t="str">
        <x:v>验证分享场次关闭</x:v>
      </x:c>
      <x:c r="H1036" s="4" t="str">
        <x:v>分享场次关闭</x:v>
      </x:c>
      <x:c r="I1036" s="4" t="str">
        <x:v>1. 已登录主播账号
2. 已选有权限的好友或粉丝群</x:v>
      </x:c>
      <x:c r="J1036" s="4" t="str">
        <x:v>1. 进入「直播间-主播」页
2. 打开「选择分享对象」视图
3. 点击关闭</x:v>
      </x:c>
      <x:c r="K1036" s="4" t="str">
        <x:v>不生成分享消息</x:v>
      </x:c>
      <x:c r="L1036" s="4" t="str"/>
      <x:c r="M1036" s="4" t="str">
        <x:v>未测</x:v>
      </x:c>
      <x:c r="N1036" s="4" t="str"/>
      <x:c r="O1036" s="4" t="str">
        <x:v>1. 来源：MainBasis/统一需求文档.md；U-views_live-room-host_share-recipient-004
2. 场景：SC-b3413b9c659114</x:v>
      </x:c>
    </x:row>
    <x:row r="1037" ht="68" customHeight="1">
      <x:c r="A1037" s="4" t="n">
        <x:v>1036</x:v>
      </x:c>
      <x:c r="B1037" s="4" t="str">
        <x:v>USER-1036</x:v>
      </x:c>
      <x:c r="C1037" s="4" t="str">
        <x:v>M06 开播、房型、观看、连麦与房内管理</x:v>
      </x:c>
      <x:c r="D1037" s="4" t="str">
        <x:v>选择分享对象（主播视角）</x:v>
      </x:c>
      <x:c r="E1037" s="4" t="str">
        <x:v>功能需求</x:v>
      </x:c>
      <x:c r="F1037" s="4" t="str">
        <x:v>P1</x:v>
      </x:c>
      <x:c r="G1037" s="4" t="str">
        <x:v>验证分享场次发送失败</x:v>
      </x:c>
      <x:c r="H1037" s="4" t="str">
        <x:v>分享场次发送失败</x:v>
      </x:c>
      <x:c r="I1037" s="4" t="str">
        <x:v>1. 已登录主播账号
2. 已选有权限的好友或粉丝群
3. 本次分享请求失败</x:v>
      </x:c>
      <x:c r="J1037" s="4" t="str">
        <x:v>1. 进入「直播间-主播」页
2. 打开「选择分享对象」视图
3. 点击确认</x:v>
      </x:c>
      <x:c r="K1037" s="4" t="str">
        <x:v>不生成消息并提示“发送失败”</x:v>
      </x:c>
      <x:c r="L1037" s="4" t="str"/>
      <x:c r="M1037" s="4" t="str">
        <x:v>未测</x:v>
      </x:c>
      <x:c r="N1037" s="4" t="str"/>
      <x:c r="O1037" s="4" t="str">
        <x:v>1. 来源：MainBasis/统一需求文档.md；U-views_live-room-host_share-recipient-004
2. 场景：SC-9e0cbbc0fce9d2</x:v>
      </x:c>
    </x:row>
    <x:row r="1038" ht="68" customHeight="1">
      <x:c r="A1038" s="4" t="n">
        <x:v>1037</x:v>
      </x:c>
      <x:c r="B1038" s="4" t="str">
        <x:v>USER-1037</x:v>
      </x:c>
      <x:c r="C1038" s="4" t="str">
        <x:v>M06 开播、房型、观看、连麦与房内管理</x:v>
      </x:c>
      <x:c r="D1038" s="4" t="str">
        <x:v>选择分享对象（用户视角）</x:v>
      </x:c>
      <x:c r="E1038" s="4" t="str">
        <x:v>功能需求</x:v>
      </x:c>
      <x:c r="F1038" s="4" t="str">
        <x:v>P1</x:v>
      </x:c>
      <x:c r="G1038" s="4" t="str">
        <x:v>验证分享不绕过密码</x:v>
      </x:c>
      <x:c r="H1038" s="4" t="str">
        <x:v>分享不绕过密码</x:v>
      </x:c>
      <x:c r="I1038" s="4" t="str">
        <x:v>1. 已登录用户账号
2. 已收到分享的当前直播场次卡片
3. 接收人存在密码准入限制</x:v>
      </x:c>
      <x:c r="J1038" s="4" t="str">
        <x:v>1. 进入「直播间-主播」页
2. 打开「选择分享对象」视图
3. 打开收到的场次卡片</x:v>
      </x:c>
      <x:c r="K1038" s="4" t="str">
        <x:v>仍按密码规则校验，不能由分享直接绕过</x:v>
      </x:c>
      <x:c r="L1038" s="4" t="str"/>
      <x:c r="M1038" s="4" t="str">
        <x:v>未测</x:v>
      </x:c>
      <x:c r="N1038" s="4" t="str"/>
      <x:c r="O1038" s="4" t="str">
        <x:v>1. 来源：MainBasis/统一需求文档.md；U-views_live-room-host_share-recipient-003、U-views_live-room_more-actions-001
2. 场景：SC-10d0a3bc2b4891</x:v>
      </x:c>
    </x:row>
    <x:row r="1039" ht="68" customHeight="1">
      <x:c r="A1039" s="4" t="n">
        <x:v>1038</x:v>
      </x:c>
      <x:c r="B1039" s="4" t="str">
        <x:v>USER-1038</x:v>
      </x:c>
      <x:c r="C1039" s="4" t="str">
        <x:v>M06 开播、房型、观看、连麦与房内管理</x:v>
      </x:c>
      <x:c r="D1039" s="4" t="str">
        <x:v>选择分享对象（用户视角）</x:v>
      </x:c>
      <x:c r="E1039" s="4" t="str">
        <x:v>功能需求</x:v>
      </x:c>
      <x:c r="F1039" s="4" t="str">
        <x:v>P1</x:v>
      </x:c>
      <x:c r="G1039" s="4" t="str">
        <x:v>验证分享不绕过门票</x:v>
      </x:c>
      <x:c r="H1039" s="4" t="str">
        <x:v>分享不绕过门票</x:v>
      </x:c>
      <x:c r="I1039" s="4" t="str">
        <x:v>1. 已登录用户账号
2. 已收到分享的当前直播场次卡片
3. 接收人存在门票准入限制</x:v>
      </x:c>
      <x:c r="J1039" s="4" t="str">
        <x:v>1. 进入「直播间-主播」页
2. 打开「选择分享对象」视图
3. 打开收到的场次卡片</x:v>
      </x:c>
      <x:c r="K1039" s="4" t="str">
        <x:v>仍按门票规则校验，不能由分享直接绕过</x:v>
      </x:c>
      <x:c r="L1039" s="4" t="str"/>
      <x:c r="M1039" s="4" t="str">
        <x:v>未测</x:v>
      </x:c>
      <x:c r="N1039" s="4" t="str"/>
      <x:c r="O1039" s="4" t="str">
        <x:v>1. 来源：MainBasis/统一需求文档.md；U-views_live-room-host_share-recipient-003、U-views_live-room_more-actions-001
2. 场景：SC-0b979199cd37b5</x:v>
      </x:c>
    </x:row>
    <x:row r="1040" ht="68" customHeight="1">
      <x:c r="A1040" s="4" t="n">
        <x:v>1039</x:v>
      </x:c>
      <x:c r="B1040" s="4" t="str">
        <x:v>USER-1039</x:v>
      </x:c>
      <x:c r="C1040" s="4" t="str">
        <x:v>M06 开播、房型、观看、连麦与房内管理</x:v>
      </x:c>
      <x:c r="D1040" s="4" t="str">
        <x:v>选择分享对象（用户视角）</x:v>
      </x:c>
      <x:c r="E1040" s="4" t="str">
        <x:v>功能需求</x:v>
      </x:c>
      <x:c r="F1040" s="4" t="str">
        <x:v>P1</x:v>
      </x:c>
      <x:c r="G1040" s="4" t="str">
        <x:v>验证分享不绕过拉黑</x:v>
      </x:c>
      <x:c r="H1040" s="4" t="str">
        <x:v>分享不绕过拉黑</x:v>
      </x:c>
      <x:c r="I1040" s="4" t="str">
        <x:v>1. 已登录用户账号
2. 已收到分享的当前直播场次卡片
3. 接收人存在拉黑准入限制</x:v>
      </x:c>
      <x:c r="J1040" s="4" t="str">
        <x:v>1. 进入「直播间-主播」页
2. 打开「选择分享对象」视图
3. 打开收到的场次卡片</x:v>
      </x:c>
      <x:c r="K1040" s="4" t="str">
        <x:v>仍按拉黑规则校验，不能由分享直接绕过</x:v>
      </x:c>
      <x:c r="L1040" s="4" t="str"/>
      <x:c r="M1040" s="4" t="str">
        <x:v>未测</x:v>
      </x:c>
      <x:c r="N1040" s="4" t="str"/>
      <x:c r="O1040" s="4" t="str">
        <x:v>1. 来源：MainBasis/统一需求文档.md；U-views_live-room-host_share-recipient-003、U-views_live-room_more-actions-001
2. 场景：SC-93a97d63755b81</x:v>
      </x:c>
    </x:row>
    <x:row r="1041" ht="68" customHeight="1">
      <x:c r="A1041" s="4" t="n">
        <x:v>1040</x:v>
      </x:c>
      <x:c r="B1041" s="4" t="str">
        <x:v>USER-1040</x:v>
      </x:c>
      <x:c r="C1041" s="4" t="str">
        <x:v>M06 开播、房型、观看、连麦与房内管理</x:v>
      </x:c>
      <x:c r="D1041" s="4" t="str">
        <x:v>选择分享对象（用户视角）</x:v>
      </x:c>
      <x:c r="E1041" s="4" t="str">
        <x:v>功能需求</x:v>
      </x:c>
      <x:c r="F1041" s="4" t="str">
        <x:v>P1</x:v>
      </x:c>
      <x:c r="G1041" s="4" t="str">
        <x:v>验证分享不绕过封禁</x:v>
      </x:c>
      <x:c r="H1041" s="4" t="str">
        <x:v>分享不绕过封禁</x:v>
      </x:c>
      <x:c r="I1041" s="4" t="str">
        <x:v>1. 已登录用户账号
2. 已收到分享的当前直播场次卡片
3. 接收人存在封禁准入限制</x:v>
      </x:c>
      <x:c r="J1041" s="4" t="str">
        <x:v>1. 进入「直播间-主播」页
2. 打开「选择分享对象」视图
3. 打开收到的场次卡片</x:v>
      </x:c>
      <x:c r="K1041" s="4" t="str">
        <x:v>仍按封禁规则校验，不能由分享直接绕过</x:v>
      </x:c>
      <x:c r="L1041" s="4" t="str"/>
      <x:c r="M1041" s="4" t="str">
        <x:v>未测</x:v>
      </x:c>
      <x:c r="N1041" s="4" t="str"/>
      <x:c r="O1041" s="4" t="str">
        <x:v>1. 来源：MainBasis/统一需求文档.md；U-views_live-room-host_share-recipient-003、U-views_live-room_more-actions-001
2. 场景：SC-1693411585234e</x:v>
      </x:c>
    </x:row>
    <x:row r="1042" ht="68" customHeight="1">
      <x:c r="A1042" s="4" t="n">
        <x:v>1041</x:v>
      </x:c>
      <x:c r="B1042" s="4" t="str">
        <x:v>USER-1041</x:v>
      </x:c>
      <x:c r="C1042" s="4" t="str">
        <x:v>M06 开播、房型、观看、连麦与房内管理</x:v>
      </x:c>
      <x:c r="D1042" s="4" t="str">
        <x:v>选择分享对象（用户视角）</x:v>
      </x:c>
      <x:c r="E1042" s="4" t="str">
        <x:v>功能需求</x:v>
      </x:c>
      <x:c r="F1042" s="4" t="str">
        <x:v>P1</x:v>
      </x:c>
      <x:c r="G1042" s="4" t="str">
        <x:v>验证分享不绕过本场踢出</x:v>
      </x:c>
      <x:c r="H1042" s="4" t="str">
        <x:v>分享不绕过本场踢出</x:v>
      </x:c>
      <x:c r="I1042" s="4" t="str">
        <x:v>1. 已登录用户账号
2. 已收到分享的当前直播场次卡片
3. 接收人存在本场踢出准入限制</x:v>
      </x:c>
      <x:c r="J1042" s="4" t="str">
        <x:v>1. 进入「直播间-主播」页
2. 打开「选择分享对象」视图
3. 打开收到的场次卡片</x:v>
      </x:c>
      <x:c r="K1042" s="4" t="str">
        <x:v>仍按本场踢出规则校验，不能由分享直接绕过</x:v>
      </x:c>
      <x:c r="L1042" s="4" t="str"/>
      <x:c r="M1042" s="4" t="str">
        <x:v>未测</x:v>
      </x:c>
      <x:c r="N1042" s="4" t="str"/>
      <x:c r="O1042" s="4" t="str">
        <x:v>1. 来源：MainBasis/统一需求文档.md；U-views_live-room-host_share-recipient-003、U-views_live-room_more-actions-001
2. 场景：SC-b97d6d14c9cdef</x:v>
      </x:c>
    </x:row>
    <x:row r="1043" ht="68" customHeight="1">
      <x:c r="A1043" s="4" t="n">
        <x:v>1042</x:v>
      </x:c>
      <x:c r="B1043" s="4" t="str">
        <x:v>USER-1042</x:v>
      </x:c>
      <x:c r="C1043" s="4" t="str">
        <x:v>M06 开播、房型、观看、连麦与房内管理</x:v>
      </x:c>
      <x:c r="D1043" s="4" t="str">
        <x:v>选择分享对象（主播视角）</x:v>
      </x:c>
      <x:c r="E1043" s="4" t="str">
        <x:v>功能需求</x:v>
      </x:c>
      <x:c r="F1043" s="4" t="str">
        <x:v>P1</x:v>
      </x:c>
      <x:c r="G1043" s="4" t="str">
        <x:v>验证可选分享接收者</x:v>
      </x:c>
      <x:c r="H1043" s="4" t="str">
        <x:v>可选分享接收者</x:v>
      </x:c>
      <x:c r="I1043" s="4" t="str">
        <x:v>1. 已登录主播账号
2. 当前主播有好友甲、自己的粉丝群乙，陌生用户丙与主播无好友关系</x:v>
      </x:c>
      <x:c r="J1043" s="4" t="str">
        <x:v>1. 进入「直播间-主播」页
2. 打开「选择分享对象」视图
3. 查看可选分享接收者</x:v>
      </x:c>
      <x:c r="K1043" s="4" t="str">
        <x:v>接收者提供甲和乙，不提供丙</x:v>
      </x:c>
      <x:c r="L1043" s="4" t="str"/>
      <x:c r="M1043" s="4" t="str">
        <x:v>未测</x:v>
      </x:c>
      <x:c r="N1043" s="4" t="str"/>
      <x:c r="O1043" s="4" t="str">
        <x:v>1. 来源：MainBasis/统一需求文档.md；U-views_live-room-host_share-recipient-001
2. 场景：SC-1189db74adb213</x:v>
      </x:c>
    </x:row>
    <x:row r="1044" ht="68" customHeight="1">
      <x:c r="A1044" s="4" t="n">
        <x:v>1043</x:v>
      </x:c>
      <x:c r="B1044" s="4" t="str">
        <x:v>USER-1043</x:v>
      </x:c>
      <x:c r="C1044" s="4" t="str">
        <x:v>M06 开播、房型、观看、连麦与房内管理</x:v>
      </x:c>
      <x:c r="D1044" s="4" t="str">
        <x:v>更多功能（主播视角）</x:v>
      </x:c>
      <x:c r="E1044" s="4" t="str">
        <x:v>功能需求</x:v>
      </x:c>
      <x:c r="F1044" s="4" t="str">
        <x:v>P2</x:v>
      </x:c>
      <x:c r="G1044" s="4" t="str">
        <x:v>验证转发入口</x:v>
      </x:c>
      <x:c r="H1044" s="4" t="str">
        <x:v>转发入口</x:v>
      </x:c>
      <x:c r="I1044" s="4" t="str">
        <x:v>1. 已登录主播账号</x:v>
      </x:c>
      <x:c r="J1044" s="4" t="str">
        <x:v>1. 进入「直播间-主播」页
2. 打开「更多功能」视图
3. 点击「转发」</x:v>
      </x:c>
      <x:c r="K1044" s="4" t="str">
        <x:v>页面进入「接收对象视图」</x:v>
      </x:c>
      <x:c r="L1044" s="4" t="str"/>
      <x:c r="M1044" s="4" t="str">
        <x:v>未测</x:v>
      </x:c>
      <x:c r="N1044" s="4" t="str"/>
      <x:c r="O1044" s="4" t="str">
        <x:v>1. 来源：MainBasis/统一需求文档.md；U-views_live-room-host_more-actions-005
2. 场景：SC-c588c507030610</x:v>
      </x:c>
    </x:row>
    <x:row r="1045" ht="68" customHeight="1">
      <x:c r="A1045" s="4" t="n">
        <x:v>1044</x:v>
      </x:c>
      <x:c r="B1045" s="4" t="str">
        <x:v>USER-1044</x:v>
      </x:c>
      <x:c r="C1045" s="4" t="str">
        <x:v>M06 开播、房型、观看、连麦与房内管理</x:v>
      </x:c>
      <x:c r="D1045" s="4" t="str">
        <x:v>更多功能（主播视角）</x:v>
      </x:c>
      <x:c r="E1045" s="4" t="str">
        <x:v>功能需求</x:v>
      </x:c>
      <x:c r="F1045" s="4" t="str">
        <x:v>P1</x:v>
      </x:c>
      <x:c r="G1045" s="4" t="str">
        <x:v>验证密码修改入口按房型</x:v>
      </x:c>
      <x:c r="H1045" s="4" t="str">
        <x:v>密码修改入口按房型</x:v>
      </x:c>
      <x:c r="I1045" s="4" t="str">
        <x:v>1. 已登录主播账号
2. 当前直播为普通房或门票房</x:v>
      </x:c>
      <x:c r="J1045" s="4" t="str">
        <x:v>1. 进入「直播间-主播」页
2. 打开「更多功能」视图
3. 查看密码修改入口按房型</x:v>
      </x:c>
      <x:c r="K1045" s="4" t="str">
        <x:v>房间密码入口不可用</x:v>
      </x:c>
      <x:c r="L1045" s="4" t="str"/>
      <x:c r="M1045" s="4" t="str">
        <x:v>未测</x:v>
      </x:c>
      <x:c r="N1045" s="4" t="str"/>
      <x:c r="O1045" s="4" t="str">
        <x:v>1. 来源：MainBasis/统一需求文档.md；U-views_live-room-host_more-actions-003
2. 场景：SC-2b3c9d825cba5f</x:v>
      </x:c>
    </x:row>
    <x:row r="1046" ht="68" customHeight="1">
      <x:c r="A1046" s="4" t="n">
        <x:v>1045</x:v>
      </x:c>
      <x:c r="B1046" s="4" t="str">
        <x:v>USER-1045</x:v>
      </x:c>
      <x:c r="C1046" s="4" t="str">
        <x:v>M06 开播、房型、观看、连麦与房内管理</x:v>
      </x:c>
      <x:c r="D1046" s="4" t="str">
        <x:v>更多功能（主播视角）</x:v>
      </x:c>
      <x:c r="E1046" s="4" t="str">
        <x:v>功能需求</x:v>
      </x:c>
      <x:c r="F1046" s="4" t="str">
        <x:v>P1</x:v>
      </x:c>
      <x:c r="G1046" s="4" t="str">
        <x:v>验证直播美颜画面范围</x:v>
      </x:c>
      <x:c r="H1046" s="4" t="str">
        <x:v>直播美颜画面范围</x:v>
      </x:c>
      <x:c r="I1046" s="4" t="str">
        <x:v>1. 已登录主播账号
2. 当前主播正在直播，美颜设置可用</x:v>
      </x:c>
      <x:c r="J1046" s="4" t="str">
        <x:v>1. 进入「直播间-主播」页
2. 打开「更多功能」视图
3. 查看直播美颜画面范围</x:v>
      </x:c>
      <x:c r="K1046" s="4" t="str">
        <x:v>美颜设置的作用对象为当前主播画面</x:v>
      </x:c>
      <x:c r="L1046" s="4" t="str"/>
      <x:c r="M1046" s="4" t="str">
        <x:v>未测</x:v>
      </x:c>
      <x:c r="N1046" s="4" t="str"/>
      <x:c r="O1046" s="4" t="str">
        <x:v>1. 来源：MainBasis/统一需求文档.md；U-views_live-room-host_more-actions-001
2. 场景：SC-a5b3542f268eb8</x:v>
      </x:c>
    </x:row>
    <x:row r="1047" ht="68" customHeight="1">
      <x:c r="A1047" s="4" t="n">
        <x:v>1046</x:v>
      </x:c>
      <x:c r="B1047" s="4" t="str">
        <x:v>USER-1046</x:v>
      </x:c>
      <x:c r="C1047" s="4" t="str">
        <x:v>M06 开播、房型、观看、连麦与房内管理</x:v>
      </x:c>
      <x:c r="D1047" s="4" t="str">
        <x:v>结束直播确认（主播视角）</x:v>
      </x:c>
      <x:c r="E1047" s="4" t="str">
        <x:v>功能需求</x:v>
      </x:c>
      <x:c r="F1047" s="4" t="str">
        <x:v>P1</x:v>
      </x:c>
      <x:c r="G1047" s="4" t="str">
        <x:v>验证结束直播确认</x:v>
      </x:c>
      <x:c r="H1047" s="4" t="str">
        <x:v>结束直播确认</x:v>
      </x:c>
      <x:c r="I1047" s="4" t="str">
        <x:v>1. 已登录主播账号
2. 主播当前场次直播中</x:v>
      </x:c>
      <x:c r="J1047" s="4" t="str">
        <x:v>1. 进入「直播间-主播」页
2. 打开「结束直播确认」视图
3. 点击确认</x:v>
      </x:c>
      <x:c r="K1047" s="4" t="str">
        <x:v>本场结束并进入主播结束页</x:v>
      </x:c>
      <x:c r="L1047" s="4" t="str">
        <x:v>FLOW-3316A78D</x:v>
      </x:c>
      <x:c r="M1047" s="4" t="str">
        <x:v>未测</x:v>
      </x:c>
      <x:c r="N1047" s="4" t="str"/>
      <x:c r="O1047" s="4" t="str">
        <x:v>1. 来源：MainBasis/统一需求文档.md；U-views_live-room-host_end-confirm-002
2. 场景：SC-5b0e26f647e4b5
3. 状态转换：ST-2AD30B73A584</x:v>
      </x:c>
    </x:row>
    <x:row r="1048" ht="68" customHeight="1">
      <x:c r="A1048" s="4" t="n">
        <x:v>1047</x:v>
      </x:c>
      <x:c r="B1048" s="4" t="str">
        <x:v>USER-1047</x:v>
      </x:c>
      <x:c r="C1048" s="4" t="str">
        <x:v>M06 开播、房型、观看、连麦与房内管理</x:v>
      </x:c>
      <x:c r="D1048" s="4" t="str">
        <x:v>结束直播确认（主播视角）</x:v>
      </x:c>
      <x:c r="E1048" s="4" t="str">
        <x:v>功能需求</x:v>
      </x:c>
      <x:c r="F1048" s="4" t="str">
        <x:v>P1</x:v>
      </x:c>
      <x:c r="G1048" s="4" t="str">
        <x:v>验证结束直播取消</x:v>
      </x:c>
      <x:c r="H1048" s="4" t="str">
        <x:v>结束直播取消</x:v>
      </x:c>
      <x:c r="I1048" s="4" t="str">
        <x:v>1. 已登录主播账号
2. 主播当前场次直播中</x:v>
      </x:c>
      <x:c r="J1048" s="4" t="str">
        <x:v>1. 进入「直播间-主播」页
2. 打开「结束直播确认」视图
3. 点击取消</x:v>
      </x:c>
      <x:c r="K1048" s="4" t="str">
        <x:v>返回直播间继续直播</x:v>
      </x:c>
      <x:c r="L1048" s="4" t="str">
        <x:v>FLOW-3316A78D</x:v>
      </x:c>
      <x:c r="M1048" s="4" t="str">
        <x:v>未测</x:v>
      </x:c>
      <x:c r="N1048" s="4" t="str"/>
      <x:c r="O1048" s="4" t="str">
        <x:v>1. 来源：MainBasis/统一需求文档.md；U-views_live-room-host_end-confirm-002
2. 场景：SC-fac7c72123df9f
3. 状态转换：ST-2AD30B73A584</x:v>
      </x:c>
    </x:row>
    <x:row r="1049" ht="68" customHeight="1">
      <x:c r="A1049" s="4" t="n">
        <x:v>1048</x:v>
      </x:c>
      <x:c r="B1049" s="4" t="str">
        <x:v>USER-1048</x:v>
      </x:c>
      <x:c r="C1049" s="4" t="str">
        <x:v>M06 开播、房型、观看、连麦与房内管理</x:v>
      </x:c>
      <x:c r="D1049" s="4" t="str">
        <x:v>结束直播确认（主播视角）</x:v>
      </x:c>
      <x:c r="E1049" s="4" t="str">
        <x:v>功能需求</x:v>
      </x:c>
      <x:c r="F1049" s="4" t="str">
        <x:v>P1</x:v>
      </x:c>
      <x:c r="G1049" s="4" t="str">
        <x:v>验证结束直播关闭</x:v>
      </x:c>
      <x:c r="H1049" s="4" t="str">
        <x:v>结束直播关闭</x:v>
      </x:c>
      <x:c r="I1049" s="4" t="str">
        <x:v>1. 已登录主播账号
2. 主播当前场次直播中</x:v>
      </x:c>
      <x:c r="J1049" s="4" t="str">
        <x:v>1. 进入「直播间-主播」页
2. 打开「结束直播确认」视图
3. 点击关闭</x:v>
      </x:c>
      <x:c r="K1049" s="4" t="str">
        <x:v>返回直播间继续直播</x:v>
      </x:c>
      <x:c r="L1049" s="4" t="str">
        <x:v>FLOW-3316A78D</x:v>
      </x:c>
      <x:c r="M1049" s="4" t="str">
        <x:v>未测</x:v>
      </x:c>
      <x:c r="N1049" s="4" t="str"/>
      <x:c r="O1049" s="4" t="str">
        <x:v>1. 来源：MainBasis/统一需求文档.md；U-views_live-room-host_end-confirm-002
2. 场景：SC-739d4bad14281e
3. 状态转换：ST-2AD30B73A584</x:v>
      </x:c>
    </x:row>
    <x:row r="1050" ht="68" customHeight="1">
      <x:c r="A1050" s="4" t="n">
        <x:v>1049</x:v>
      </x:c>
      <x:c r="B1050" s="4" t="str">
        <x:v>USER-1049</x:v>
      </x:c>
      <x:c r="C1050" s="4" t="str">
        <x:v>M06 开播、房型、观看、连麦与房内管理</x:v>
      </x:c>
      <x:c r="D1050" s="4" t="str">
        <x:v>结束直播确认（主播视角）</x:v>
      </x:c>
      <x:c r="E1050" s="4" t="str">
        <x:v>功能需求</x:v>
      </x:c>
      <x:c r="F1050" s="4" t="str">
        <x:v>P1</x:v>
      </x:c>
      <x:c r="G1050" s="4" t="str">
        <x:v>验证重复结束只处理一次</x:v>
      </x:c>
      <x:c r="H1050" s="4" t="str">
        <x:v>重复结束只处理一次</x:v>
      </x:c>
      <x:c r="I1050" s="4" t="str">
        <x:v>1. 已登录主播账号
2. 同一直播场次仍在播</x:v>
      </x:c>
      <x:c r="J1050" s="4" t="str">
        <x:v>1. 进入「直播间-主播」页
2. 打开「结束直播确认」视图
3. 连续两次确认结束直播</x:v>
      </x:c>
      <x:c r="K1050" s="4" t="str">
        <x:v>该场次只产生一次结束处理</x:v>
      </x:c>
      <x:c r="L1050" s="4" t="str"/>
      <x:c r="M1050" s="4" t="str">
        <x:v>未测</x:v>
      </x:c>
      <x:c r="N1050" s="4" t="str"/>
      <x:c r="O1050" s="4" t="str">
        <x:v>1. 来源：MainBasis/统一需求文档.md；U-views_live-room-host_end-confirm-002
2. 场景：SC-1020ff4e0013c3</x:v>
      </x:c>
    </x:row>
    <x:row r="1051" ht="68" customHeight="1">
      <x:c r="A1051" s="4" t="n">
        <x:v>1050</x:v>
      </x:c>
      <x:c r="B1051" s="4" t="str">
        <x:v>USER-1050</x:v>
      </x:c>
      <x:c r="C1051" s="4" t="str">
        <x:v>M06 开播、房型、观看、连麦与房内管理</x:v>
      </x:c>
      <x:c r="D1051" s="4" t="str">
        <x:v>结束直播确认（主播视角）</x:v>
      </x:c>
      <x:c r="E1051" s="4" t="str">
        <x:v>功能需求</x:v>
      </x:c>
      <x:c r="F1051" s="4" t="str">
        <x:v>P1</x:v>
      </x:c>
      <x:c r="G1051" s="4" t="str">
        <x:v>验证结束场次使连麦失效</x:v>
      </x:c>
      <x:c r="H1051" s="4" t="str">
        <x:v>结束场次使连麦失效</x:v>
      </x:c>
      <x:c r="I1051" s="4" t="str">
        <x:v>1. 已登录主播账号
2. 当前场次存在连麦状态，主播已结束该场次</x:v>
      </x:c>
      <x:c r="J1051" s="4" t="str">
        <x:v>1. 进入「直播间-主播」页
2. 打开「结束直播确认」视图
3. 查看结束场次使连麦失效</x:v>
      </x:c>
      <x:c r="K1051" s="4" t="str">
        <x:v>该场次连麦状态失效</x:v>
      </x:c>
      <x:c r="L1051" s="4" t="str"/>
      <x:c r="M1051" s="4" t="str">
        <x:v>未测</x:v>
      </x:c>
      <x:c r="N1051" s="4" t="str"/>
      <x:c r="O1051" s="4" t="str">
        <x:v>1. 来源：MainBasis/统一需求文档.md；U-views_live-room-host_end-confirm-001、U-live-end-viewer-002
2. 场景：SC-405c8f8ef54c20</x:v>
      </x:c>
    </x:row>
    <x:row r="1052" ht="68" customHeight="1">
      <x:c r="A1052" s="4" t="n">
        <x:v>1051</x:v>
      </x:c>
      <x:c r="B1052" s="4" t="str">
        <x:v>USER-1051</x:v>
      </x:c>
      <x:c r="C1052" s="4" t="str">
        <x:v>M06 开播、房型、观看、连麦与房内管理</x:v>
      </x:c>
      <x:c r="D1052" s="4" t="str">
        <x:v>结束直播确认（主播视角）</x:v>
      </x:c>
      <x:c r="E1052" s="4" t="str">
        <x:v>功能需求</x:v>
      </x:c>
      <x:c r="F1052" s="4" t="str">
        <x:v>P1</x:v>
      </x:c>
      <x:c r="G1052" s="4" t="str">
        <x:v>验证结束场次使待处理邀请失效</x:v>
      </x:c>
      <x:c r="H1052" s="4" t="str">
        <x:v>结束场次使待处理邀请失效</x:v>
      </x:c>
      <x:c r="I1052" s="4" t="str">
        <x:v>1. 已登录主播账号
2. 当前场次存在待处理邀请状态，主播已结束该场次</x:v>
      </x:c>
      <x:c r="J1052" s="4" t="str">
        <x:v>1. 进入「直播间-主播」页
2. 打开「结束直播确认」视图
3. 查看结束场次使待处理邀请失效</x:v>
      </x:c>
      <x:c r="K1052" s="4" t="str">
        <x:v>该场次待处理邀请状态失效</x:v>
      </x:c>
      <x:c r="L1052" s="4" t="str"/>
      <x:c r="M1052" s="4" t="str">
        <x:v>未测</x:v>
      </x:c>
      <x:c r="N1052" s="4" t="str"/>
      <x:c r="O1052" s="4" t="str">
        <x:v>1. 来源：MainBasis/统一需求文档.md；U-views_live-room-host_end-confirm-001、U-live-end-viewer-002
2. 场景：SC-ea66928e2e0d53</x:v>
      </x:c>
    </x:row>
    <x:row r="1053" ht="68" customHeight="1">
      <x:c r="A1053" s="4" t="n">
        <x:v>1052</x:v>
      </x:c>
      <x:c r="B1053" s="4" t="str">
        <x:v>USER-1052</x:v>
      </x:c>
      <x:c r="C1053" s="4" t="str">
        <x:v>M06 开播、房型、观看、连麦与房内管理</x:v>
      </x:c>
      <x:c r="D1053" s="4" t="str">
        <x:v>结束直播确认（主播视角）</x:v>
      </x:c>
      <x:c r="E1053" s="4" t="str">
        <x:v>功能需求</x:v>
      </x:c>
      <x:c r="F1053" s="4" t="str">
        <x:v>P1</x:v>
      </x:c>
      <x:c r="G1053" s="4" t="str">
        <x:v>验证结束场次使门票失效</x:v>
      </x:c>
      <x:c r="H1053" s="4" t="str">
        <x:v>结束场次使门票失效</x:v>
      </x:c>
      <x:c r="I1053" s="4" t="str">
        <x:v>1. 已登录主播账号
2. 当前场次存在门票状态，主播已结束该场次</x:v>
      </x:c>
      <x:c r="J1053" s="4" t="str">
        <x:v>1. 进入「直播间-主播」页
2. 打开「结束直播确认」视图
3. 查看结束场次使门票失效</x:v>
      </x:c>
      <x:c r="K1053" s="4" t="str">
        <x:v>该场次门票状态失效</x:v>
      </x:c>
      <x:c r="L1053" s="4" t="str"/>
      <x:c r="M1053" s="4" t="str">
        <x:v>未测</x:v>
      </x:c>
      <x:c r="N1053" s="4" t="str"/>
      <x:c r="O1053" s="4" t="str">
        <x:v>1. 来源：MainBasis/统一需求文档.md；U-views_live-room-host_end-confirm-001、U-live-end-viewer-002
2. 场景：SC-95a8618f03df6f</x:v>
      </x:c>
    </x:row>
    <x:row r="1054" ht="68" customHeight="1">
      <x:c r="A1054" s="4" t="n">
        <x:v>1053</x:v>
      </x:c>
      <x:c r="B1054" s="4" t="str">
        <x:v>USER-1053</x:v>
      </x:c>
      <x:c r="C1054" s="4" t="str">
        <x:v>M06 开播、房型、观看、连麦与房内管理</x:v>
      </x:c>
      <x:c r="D1054" s="4" t="str">
        <x:v>结束直播确认（主播视角）</x:v>
      </x:c>
      <x:c r="E1054" s="4" t="str">
        <x:v>功能需求</x:v>
      </x:c>
      <x:c r="F1054" s="4" t="str">
        <x:v>P1</x:v>
      </x:c>
      <x:c r="G1054" s="4" t="str">
        <x:v>验证结束场次使禁言失效</x:v>
      </x:c>
      <x:c r="H1054" s="4" t="str">
        <x:v>结束场次使禁言失效</x:v>
      </x:c>
      <x:c r="I1054" s="4" t="str">
        <x:v>1. 已登录主播账号
2. 当前场次存在禁言状态，主播已结束该场次</x:v>
      </x:c>
      <x:c r="J1054" s="4" t="str">
        <x:v>1. 进入「直播间-主播」页
2. 打开「结束直播确认」视图
3. 查看结束场次使禁言失效</x:v>
      </x:c>
      <x:c r="K1054" s="4" t="str">
        <x:v>该场次禁言状态失效</x:v>
      </x:c>
      <x:c r="L1054" s="4" t="str"/>
      <x:c r="M1054" s="4" t="str">
        <x:v>未测</x:v>
      </x:c>
      <x:c r="N1054" s="4" t="str"/>
      <x:c r="O1054" s="4" t="str">
        <x:v>1. 来源：MainBasis/统一需求文档.md；U-views_live-room-host_end-confirm-001、U-live-end-viewer-002
2. 场景：SC-93732106e8638f</x:v>
      </x:c>
    </x:row>
    <x:row r="1055" ht="68" customHeight="1">
      <x:c r="A1055" s="4" t="n">
        <x:v>1054</x:v>
      </x:c>
      <x:c r="B1055" s="4" t="str">
        <x:v>USER-1054</x:v>
      </x:c>
      <x:c r="C1055" s="4" t="str">
        <x:v>M06 开播、房型、观看、连麦与房内管理</x:v>
      </x:c>
      <x:c r="D1055" s="4" t="str">
        <x:v>结束直播确认（主播视角）</x:v>
      </x:c>
      <x:c r="E1055" s="4" t="str">
        <x:v>功能需求</x:v>
      </x:c>
      <x:c r="F1055" s="4" t="str">
        <x:v>P1</x:v>
      </x:c>
      <x:c r="G1055" s="4" t="str">
        <x:v>验证结束场次使踢出失效</x:v>
      </x:c>
      <x:c r="H1055" s="4" t="str">
        <x:v>结束场次使踢出失效</x:v>
      </x:c>
      <x:c r="I1055" s="4" t="str">
        <x:v>1. 已登录主播账号
2. 当前场次存在踢出状态，主播已结束该场次</x:v>
      </x:c>
      <x:c r="J1055" s="4" t="str">
        <x:v>1. 进入「直播间-主播」页
2. 打开「结束直播确认」视图
3. 查看结束场次使踢出失效</x:v>
      </x:c>
      <x:c r="K1055" s="4" t="str">
        <x:v>该场次踢出状态失效</x:v>
      </x:c>
      <x:c r="L1055" s="4" t="str"/>
      <x:c r="M1055" s="4" t="str">
        <x:v>未测</x:v>
      </x:c>
      <x:c r="N1055" s="4" t="str"/>
      <x:c r="O1055" s="4" t="str">
        <x:v>1. 来源：MainBasis/统一需求文档.md；U-views_live-room-host_end-confirm-001、U-live-end-viewer-002
2. 场景：SC-9f3a8b64f1173d</x:v>
      </x:c>
    </x:row>
    <x:row r="1056" ht="96" customHeight="1">
      <x:c r="A1056" s="4" t="n">
        <x:v>1055</x:v>
      </x:c>
      <x:c r="B1056" s="4" t="str">
        <x:v>USER-1055</x:v>
      </x:c>
      <x:c r="C1056" s="4" t="str">
        <x:v>M06 开播、房型、观看、连麦与房内管理</x:v>
      </x:c>
      <x:c r="D1056" s="4" t="str">
        <x:v>直播间-主播-密码房（用户视角）</x:v>
      </x:c>
      <x:c r="E1056" s="4" t="str">
        <x:v>功能需求</x:v>
      </x:c>
      <x:c r="F1056" s="4" t="str">
        <x:v>P1</x:v>
      </x:c>
      <x:c r="G1056" s="4" t="str">
        <x:v>验证改密不踢在线观众</x:v>
      </x:c>
      <x:c r="H1056" s="4" t="str">
        <x:v>改密不踢在线观众</x:v>
      </x:c>
      <x:c r="I1056" s="4" t="str">
        <x:v>1. 已登录用户账号
2. 观众已用5678进入，主播已将本场密码改为1234</x:v>
      </x:c>
      <x:c r="J1056" s="4" t="str">
        <x:v>1. 进入「直播间-主播-密码房」页
2. 查看改密不踢在线观众</x:v>
      </x:c>
      <x:c r="K1056" s="4" t="str">
        <x:v>已在线观众继续观看</x:v>
      </x:c>
      <x:c r="L1056" s="4" t="str"/>
      <x:c r="M1056" s="4" t="str">
        <x:v>未测</x:v>
      </x:c>
      <x:c r="N1056" s="4" t="str"/>
      <x:c r="O1056" s="4" t="str">
        <x:v>1. 来源：MainBasis/统一需求文档.md；U-live-room-host-password-006、U-views_live-room-host-password_more-actions-003、U-views_live-room-host-password_room-password-002
2. 场景：SC-212d4bc3faa69a</x:v>
      </x:c>
    </x:row>
    <x:row r="1057" ht="96" customHeight="1">
      <x:c r="A1057" s="4" t="n">
        <x:v>1056</x:v>
      </x:c>
      <x:c r="B1057" s="4" t="str">
        <x:v>USER-1056</x:v>
      </x:c>
      <x:c r="C1057" s="4" t="str">
        <x:v>M06 开播、房型、观看、连麦与房内管理</x:v>
      </x:c>
      <x:c r="D1057" s="4" t="str">
        <x:v>直播间-主播-密码房（用户视角）</x:v>
      </x:c>
      <x:c r="E1057" s="4" t="str">
        <x:v>功能需求</x:v>
      </x:c>
      <x:c r="F1057" s="4" t="str">
        <x:v>P1</x:v>
      </x:c>
      <x:c r="G1057" s="4" t="str">
        <x:v>验证改密后再次进入用新密码</x:v>
      </x:c>
      <x:c r="H1057" s="4" t="str">
        <x:v>改密后再次进入用新密码</x:v>
      </x:c>
      <x:c r="I1057" s="4" t="str">
        <x:v>1. 已登录用户账号
2. 观众用旧密码进入后退出，主播已改密码1234</x:v>
      </x:c>
      <x:c r="J1057" s="4" t="str">
        <x:v>1. 进入「直播间-主播-密码房」页
2. 重新进入本场
3. 输入旧密码5678
4. 确认</x:v>
      </x:c>
      <x:c r="K1057" s="4" t="str">
        <x:v>旧密码无法进入</x:v>
      </x:c>
      <x:c r="L1057" s="4" t="str"/>
      <x:c r="M1057" s="4" t="str">
        <x:v>未测</x:v>
      </x:c>
      <x:c r="N1057" s="4" t="str"/>
      <x:c r="O1057" s="4" t="str">
        <x:v>1. 来源：MainBasis/统一需求文档.md；U-live-room-host-password-006、U-views_live-room-host-password_more-actions-003、U-views_live-room-host-password_room-password-002
2. 场景：SC-29c43a2fe0f5be</x:v>
      </x:c>
    </x:row>
    <x:row r="1058" ht="82" customHeight="1">
      <x:c r="A1058" s="4" t="n">
        <x:v>1057</x:v>
      </x:c>
      <x:c r="B1058" s="4" t="str">
        <x:v>USER-1057</x:v>
      </x:c>
      <x:c r="C1058" s="4" t="str">
        <x:v>M06 开播、房型、观看、连麦与房内管理</x:v>
      </x:c>
      <x:c r="D1058" s="4" t="str">
        <x:v>直播间-主播-密码房（主播视角）</x:v>
      </x:c>
      <x:c r="E1058" s="4" t="str">
        <x:v>功能需求</x:v>
      </x:c>
      <x:c r="F1058" s="4" t="str">
        <x:v>P1</x:v>
      </x:c>
      <x:c r="G1058" s="4" t="str">
        <x:v>验证密码房无连麦</x:v>
      </x:c>
      <x:c r="H1058" s="4" t="str">
        <x:v>密码房无连麦</x:v>
      </x:c>
      <x:c r="I1058" s="4" t="str">
        <x:v>1. 已登录主播账号
2. 当前为密码房</x:v>
      </x:c>
      <x:c r="J1058" s="4" t="str">
        <x:v>1. 进入「直播间-主播-密码房」页
2. 查看密码房无连麦</x:v>
      </x:c>
      <x:c r="K1058" s="4" t="str">
        <x:v>不提供连麦能力</x:v>
      </x:c>
      <x:c r="L1058" s="4" t="str"/>
      <x:c r="M1058" s="4" t="str">
        <x:v>未测</x:v>
      </x:c>
      <x:c r="N1058" s="4" t="str"/>
      <x:c r="O1058" s="4" t="str">
        <x:v>1. 来源：MainBasis/统一需求文档.md；U-live-room-host-password-005、U-views_live-room-host-password_more-actions-001、D-SYS-090
2. 场景：SC-652a435d17ac71</x:v>
      </x:c>
    </x:row>
    <x:row r="1059" ht="68" customHeight="1">
      <x:c r="A1059" s="4" t="n">
        <x:v>1058</x:v>
      </x:c>
      <x:c r="B1059" s="4" t="str">
        <x:v>USER-1058</x:v>
      </x:c>
      <x:c r="C1059" s="4" t="str">
        <x:v>M06 开播、房型、观看、连麦与房内管理</x:v>
      </x:c>
      <x:c r="D1059" s="4" t="str">
        <x:v>直播间-主播-密码房（主播视角）</x:v>
      </x:c>
      <x:c r="E1059" s="4" t="str">
        <x:v>功能需求</x:v>
      </x:c>
      <x:c r="F1059" s="4" t="str">
        <x:v>P1</x:v>
      </x:c>
      <x:c r="G1059" s="4" t="str">
        <x:v>验证房型贡献榜比较贡献值</x:v>
      </x:c>
      <x:c r="H1059" s="4" t="str">
        <x:v>房型贡献榜比较贡献值</x:v>
      </x:c>
      <x:c r="I1059" s="4" t="str">
        <x:v>1. 已登录主播账号
2. 其他更高优先级相同，贡献值分别10和20</x:v>
      </x:c>
      <x:c r="J1059" s="4" t="str">
        <x:v>1. 进入「直播间-主播-密码房」页
2. 查看房型贡献榜比较贡献值</x:v>
      </x:c>
      <x:c r="K1059" s="4" t="str">
        <x:v>20对应用户在前</x:v>
      </x:c>
      <x:c r="L1059" s="4" t="str"/>
      <x:c r="M1059" s="4" t="str">
        <x:v>未测</x:v>
      </x:c>
      <x:c r="N1059" s="4" t="str"/>
      <x:c r="O1059" s="4" t="str">
        <x:v>1. 来源：MainBasis/统一需求文档.md；U-live-room-host-password-002
2. 场景：SC-1be2e5d2b870fc</x:v>
      </x:c>
    </x:row>
    <x:row r="1060" ht="68" customHeight="1">
      <x:c r="A1060" s="4" t="n">
        <x:v>1059</x:v>
      </x:c>
      <x:c r="B1060" s="4" t="str">
        <x:v>USER-1059</x:v>
      </x:c>
      <x:c r="C1060" s="4" t="str">
        <x:v>M06 开播、房型、观看、连麦与房内管理</x:v>
      </x:c>
      <x:c r="D1060" s="4" t="str">
        <x:v>直播间-主播-密码房（主播视角）</x:v>
      </x:c>
      <x:c r="E1060" s="4" t="str">
        <x:v>功能需求</x:v>
      </x:c>
      <x:c r="F1060" s="4" t="str">
        <x:v>P1</x:v>
      </x:c>
      <x:c r="G1060" s="4" t="str">
        <x:v>验证房型贡献榜比较粉丝等级</x:v>
      </x:c>
      <x:c r="H1060" s="4" t="str">
        <x:v>房型贡献榜比较粉丝等级</x:v>
      </x:c>
      <x:c r="I1060" s="4" t="str">
        <x:v>1. 已登录主播账号
2. 其他更高优先级相同，粉丝等级分别10和20</x:v>
      </x:c>
      <x:c r="J1060" s="4" t="str">
        <x:v>1. 进入「直播间-主播-密码房」页
2. 查看房型贡献榜比较粉丝等级</x:v>
      </x:c>
      <x:c r="K1060" s="4" t="str">
        <x:v>20对应用户在前</x:v>
      </x:c>
      <x:c r="L1060" s="4" t="str"/>
      <x:c r="M1060" s="4" t="str">
        <x:v>未测</x:v>
      </x:c>
      <x:c r="N1060" s="4" t="str"/>
      <x:c r="O1060" s="4" t="str">
        <x:v>1. 来源：MainBasis/统一需求文档.md；U-live-room-host-password-002
2. 场景：SC-0961504a63d027</x:v>
      </x:c>
    </x:row>
    <x:row r="1061" ht="68" customHeight="1">
      <x:c r="A1061" s="4" t="n">
        <x:v>1060</x:v>
      </x:c>
      <x:c r="B1061" s="4" t="str">
        <x:v>USER-1060</x:v>
      </x:c>
      <x:c r="C1061" s="4" t="str">
        <x:v>M06 开播、房型、观看、连麦与房内管理</x:v>
      </x:c>
      <x:c r="D1061" s="4" t="str">
        <x:v>直播间-主播-密码房（主播视角）</x:v>
      </x:c>
      <x:c r="E1061" s="4" t="str">
        <x:v>功能需求</x:v>
      </x:c>
      <x:c r="F1061" s="4" t="str">
        <x:v>P1</x:v>
      </x:c>
      <x:c r="G1061" s="4" t="str">
        <x:v>验证房型贡献榜比较财富等级</x:v>
      </x:c>
      <x:c r="H1061" s="4" t="str">
        <x:v>房型贡献榜比较财富等级</x:v>
      </x:c>
      <x:c r="I1061" s="4" t="str">
        <x:v>1. 已登录主播账号
2. 其他更高优先级相同，财富等级分别10和20</x:v>
      </x:c>
      <x:c r="J1061" s="4" t="str">
        <x:v>1. 进入「直播间-主播-密码房」页
2. 查看房型贡献榜比较财富等级</x:v>
      </x:c>
      <x:c r="K1061" s="4" t="str">
        <x:v>20对应用户在前</x:v>
      </x:c>
      <x:c r="L1061" s="4" t="str"/>
      <x:c r="M1061" s="4" t="str">
        <x:v>未测</x:v>
      </x:c>
      <x:c r="N1061" s="4" t="str"/>
      <x:c r="O1061" s="4" t="str">
        <x:v>1. 来源：MainBasis/统一需求文档.md；U-live-room-host-password-002
2. 场景：SC-d9a1b38314ea8f</x:v>
      </x:c>
    </x:row>
    <x:row r="1062" ht="68" customHeight="1">
      <x:c r="A1062" s="4" t="n">
        <x:v>1061</x:v>
      </x:c>
      <x:c r="B1062" s="4" t="str">
        <x:v>USER-1061</x:v>
      </x:c>
      <x:c r="C1062" s="4" t="str">
        <x:v>M06 开播、房型、观看、连麦与房内管理</x:v>
      </x:c>
      <x:c r="D1062" s="4" t="str">
        <x:v>直播间-主播-密码房（主播视角）</x:v>
      </x:c>
      <x:c r="E1062" s="4" t="str">
        <x:v>功能需求</x:v>
      </x:c>
      <x:c r="F1062" s="4" t="str">
        <x:v>P1</x:v>
      </x:c>
      <x:c r="G1062" s="4" t="str">
        <x:v>验证房型贡献榜比较用户ID</x:v>
      </x:c>
      <x:c r="H1062" s="4" t="str">
        <x:v>房型贡献榜比较用户ID</x:v>
      </x:c>
      <x:c r="I1062" s="4" t="str">
        <x:v>1. 已登录主播账号
2. 其他更高优先级相同，用户ID分别10和20</x:v>
      </x:c>
      <x:c r="J1062" s="4" t="str">
        <x:v>1. 进入「直播间-主播-密码房」页
2. 查看房型贡献榜比较用户ID</x:v>
      </x:c>
      <x:c r="K1062" s="4" t="str">
        <x:v>10对应用户在前</x:v>
      </x:c>
      <x:c r="L1062" s="4" t="str"/>
      <x:c r="M1062" s="4" t="str">
        <x:v>未测</x:v>
      </x:c>
      <x:c r="N1062" s="4" t="str"/>
      <x:c r="O1062" s="4" t="str">
        <x:v>1. 来源：MainBasis/统一需求文档.md；U-live-room-host-password-002
2. 场景：SC-823851ca23ba82</x:v>
      </x:c>
    </x:row>
    <x:row r="1063" ht="68" customHeight="1">
      <x:c r="A1063" s="4" t="n">
        <x:v>1062</x:v>
      </x:c>
      <x:c r="B1063" s="4" t="str">
        <x:v>USER-1062</x:v>
      </x:c>
      <x:c r="C1063" s="4" t="str">
        <x:v>M06 开播、房型、观看、连麦与房内管理</x:v>
      </x:c>
      <x:c r="D1063" s="4" t="str">
        <x:v>直播间-主播-密码房（主播视角）</x:v>
      </x:c>
      <x:c r="E1063" s="4" t="str">
        <x:v>功能需求</x:v>
      </x:c>
      <x:c r="F1063" s="4" t="str">
        <x:v>P1</x:v>
      </x:c>
      <x:c r="G1063" s="4" t="str">
        <x:v>验证房型贡献榜99名上限</x:v>
      </x:c>
      <x:c r="H1063" s="4" t="str">
        <x:v>房型贡献榜99名上限</x:v>
      </x:c>
      <x:c r="I1063" s="4" t="str">
        <x:v>1. 已登录主播账号
2. 有100名有效贡献用户</x:v>
      </x:c>
      <x:c r="J1063" s="4" t="str">
        <x:v>1. 进入「直播间-主播-密码房」页
2. 查看房型贡献榜99名上限</x:v>
      </x:c>
      <x:c r="K1063" s="4" t="str">
        <x:v>按完整排序显示前99名，无并列名次</x:v>
      </x:c>
      <x:c r="L1063" s="4" t="str"/>
      <x:c r="M1063" s="4" t="str">
        <x:v>未测</x:v>
      </x:c>
      <x:c r="N1063" s="4" t="str"/>
      <x:c r="O1063" s="4" t="str">
        <x:v>1. 来源：MainBasis/统一需求文档.md；U-live-room-host-password-002
2. 场景：SC-e9227d15855c1e</x:v>
      </x:c>
    </x:row>
    <x:row r="1064" ht="68" customHeight="1">
      <x:c r="A1064" s="4" t="n">
        <x:v>1063</x:v>
      </x:c>
      <x:c r="B1064" s="4" t="str">
        <x:v>USER-1063</x:v>
      </x:c>
      <x:c r="C1064" s="4" t="str">
        <x:v>M06 开播、房型、观看、连麦与房内管理</x:v>
      </x:c>
      <x:c r="D1064" s="4" t="str">
        <x:v>直播间-主播-密码房（主播视角）</x:v>
      </x:c>
      <x:c r="E1064" s="4" t="str">
        <x:v>功能需求</x:v>
      </x:c>
      <x:c r="F1064" s="4" t="str">
        <x:v>P1</x:v>
      </x:c>
      <x:c r="G1064" s="4" t="str">
        <x:v>验证房型在线按贡献排序</x:v>
      </x:c>
      <x:c r="H1064" s="4" t="str">
        <x:v>房型在线按贡献排序</x:v>
      </x:c>
      <x:c r="I1064" s="4" t="str">
        <x:v>1. 已登录主播账号
2. 两人其他高优先项相同，贡献分别10和20</x:v>
      </x:c>
      <x:c r="J1064" s="4" t="str">
        <x:v>1. 进入「直播间-主播-密码房」页
2. 选择按贡献</x:v>
      </x:c>
      <x:c r="K1064" s="4" t="str">
        <x:v>20对应用户在前</x:v>
      </x:c>
      <x:c r="L1064" s="4" t="str"/>
      <x:c r="M1064" s="4" t="str">
        <x:v>未测</x:v>
      </x:c>
      <x:c r="N1064" s="4" t="str"/>
      <x:c r="O1064" s="4" t="str">
        <x:v>1. 来源：MainBasis/统一需求文档.md；U-live-room-host-password-003
2. 场景：SC-e3c6d98666e9c4</x:v>
      </x:c>
    </x:row>
    <x:row r="1065" ht="68" customHeight="1">
      <x:c r="A1065" s="4" t="n">
        <x:v>1064</x:v>
      </x:c>
      <x:c r="B1065" s="4" t="str">
        <x:v>USER-1064</x:v>
      </x:c>
      <x:c r="C1065" s="4" t="str">
        <x:v>M06 开播、房型、观看、连麦与房内管理</x:v>
      </x:c>
      <x:c r="D1065" s="4" t="str">
        <x:v>直播间-主播-密码房（主播视角）</x:v>
      </x:c>
      <x:c r="E1065" s="4" t="str">
        <x:v>功能需求</x:v>
      </x:c>
      <x:c r="F1065" s="4" t="str">
        <x:v>P1</x:v>
      </x:c>
      <x:c r="G1065" s="4" t="str">
        <x:v>验证房型在线按停留时长排序</x:v>
      </x:c>
      <x:c r="H1065" s="4" t="str">
        <x:v>房型在线按停留时长排序</x:v>
      </x:c>
      <x:c r="I1065" s="4" t="str">
        <x:v>1. 已登录主播账号
2. 两人其他高优先项相同，累计在线时长分别10和20</x:v>
      </x:c>
      <x:c r="J1065" s="4" t="str">
        <x:v>1. 进入「直播间-主播-密码房」页
2. 选择按停留时长</x:v>
      </x:c>
      <x:c r="K1065" s="4" t="str">
        <x:v>20对应用户在前</x:v>
      </x:c>
      <x:c r="L1065" s="4" t="str"/>
      <x:c r="M1065" s="4" t="str">
        <x:v>未测</x:v>
      </x:c>
      <x:c r="N1065" s="4" t="str"/>
      <x:c r="O1065" s="4" t="str">
        <x:v>1. 来源：MainBasis/统一需求文档.md；U-live-room-host-password-003
2. 场景：SC-75227f84053177</x:v>
      </x:c>
    </x:row>
    <x:row r="1066" ht="138" customHeight="1">
      <x:c r="A1066" s="4" t="n">
        <x:v>1065</x:v>
      </x:c>
      <x:c r="B1066" s="4" t="str">
        <x:v>USER-1065</x:v>
      </x:c>
      <x:c r="C1066" s="4" t="str">
        <x:v>M06 开播、房型、观看、连麦与房内管理</x:v>
      </x:c>
      <x:c r="D1066" s="4" t="str">
        <x:v>房间密码（主播视角）</x:v>
      </x:c>
      <x:c r="E1066" s="4" t="str">
        <x:v>异常用例</x:v>
      </x:c>
      <x:c r="F1066" s="4" t="str">
        <x:v>P1</x:v>
      </x:c>
      <x:c r="G1066" s="4" t="str">
        <x:v>验证场内改密空值</x:v>
      </x:c>
      <x:c r="H1066" s="4" t="str">
        <x:v>场内改密空值</x:v>
      </x:c>
      <x:c r="I1066" s="4" t="str">
        <x:v>1. 已登录主播账号
2. 本场密码原为5678</x:v>
      </x:c>
      <x:c r="J1066" s="4" t="str">
        <x:v>1. 进入「直播间-主播-密码房」页
2. 打开「房间密码」视图
3. 填写密码「」
4. 确认</x:v>
      </x:c>
      <x:c r="K1066" s="4" t="str">
        <x:v>不保存，保留输入并提示“密码必须是4-12个数字”</x:v>
      </x:c>
      <x:c r="L1066" s="4" t="str"/>
      <x:c r="M1066" s="4" t="str">
        <x:v>未测</x:v>
      </x:c>
      <x:c r="N1066" s="4" t="str"/>
      <x:c r="O1066" s="4" t="str">
        <x:v>1. 来源：MainBasis/统一需求文档.md；U-views_live-room-host-password_room-password-003、U-live-room-host-password-001、U-views_live-room-host-password_room-password-001、U-live-room-host-password-008、U-views_live-room-host-password_more-actions-002、U-views_live-room-host-password_more-actions-004
2. 场景：SC-59b0a4c3d9fe2d</x:v>
      </x:c>
    </x:row>
    <x:row r="1067" ht="138" customHeight="1">
      <x:c r="A1067" s="4" t="n">
        <x:v>1066</x:v>
      </x:c>
      <x:c r="B1067" s="4" t="str">
        <x:v>USER-1066</x:v>
      </x:c>
      <x:c r="C1067" s="4" t="str">
        <x:v>M06 开播、房型、观看、连麦与房内管理</x:v>
      </x:c>
      <x:c r="D1067" s="4" t="str">
        <x:v>房间密码（主播视角）</x:v>
      </x:c>
      <x:c r="E1067" s="4" t="str">
        <x:v>异常用例</x:v>
      </x:c>
      <x:c r="F1067" s="4" t="str">
        <x:v>P1</x:v>
      </x:c>
      <x:c r="G1067" s="4" t="str">
        <x:v>验证场内改密123</x:v>
      </x:c>
      <x:c r="H1067" s="4" t="str">
        <x:v>场内改密123</x:v>
      </x:c>
      <x:c r="I1067" s="4" t="str">
        <x:v>1. 已登录主播账号
2. 本场密码原为5678</x:v>
      </x:c>
      <x:c r="J1067" s="4" t="str">
        <x:v>1. 进入「直播间-主播-密码房」页
2. 打开「房间密码」视图
3. 填写密码「123」
4. 确认</x:v>
      </x:c>
      <x:c r="K1067" s="4" t="str">
        <x:v>不保存，保留输入并提示“密码必须是4-12个数字”</x:v>
      </x:c>
      <x:c r="L1067" s="4" t="str"/>
      <x:c r="M1067" s="4" t="str">
        <x:v>未测</x:v>
      </x:c>
      <x:c r="N1067" s="4" t="str"/>
      <x:c r="O1067" s="4" t="str">
        <x:v>1. 来源：MainBasis/统一需求文档.md；U-views_live-room-host-password_room-password-003、U-live-room-host-password-001、U-views_live-room-host-password_room-password-001、U-live-room-host-password-008、U-views_live-room-host-password_more-actions-002、U-views_live-room-host-password_more-actions-004
2. 场景：SC-fc33ddaaf9ac0d</x:v>
      </x:c>
    </x:row>
    <x:row r="1068" ht="138" customHeight="1">
      <x:c r="A1068" s="4" t="n">
        <x:v>1067</x:v>
      </x:c>
      <x:c r="B1068" s="4" t="str">
        <x:v>USER-1067</x:v>
      </x:c>
      <x:c r="C1068" s="4" t="str">
        <x:v>M06 开播、房型、观看、连麦与房内管理</x:v>
      </x:c>
      <x:c r="D1068" s="4" t="str">
        <x:v>房间密码（主播视角）</x:v>
      </x:c>
      <x:c r="E1068" s="4" t="str">
        <x:v>业务流程</x:v>
      </x:c>
      <x:c r="F1068" s="4" t="str">
        <x:v>P1</x:v>
      </x:c>
      <x:c r="G1068" s="4" t="str">
        <x:v>验证场内改密1234</x:v>
      </x:c>
      <x:c r="H1068" s="4" t="str">
        <x:v>场内改密1234</x:v>
      </x:c>
      <x:c r="I1068" s="4" t="str">
        <x:v>1. 已登录主播账号
2. 本场密码原为5678</x:v>
      </x:c>
      <x:c r="J1068" s="4" t="str">
        <x:v>1. 进入「直播间-主播-密码房」页
2. 打开「房间密码」视图
3. 填写密码「1234」
4. 确认</x:v>
      </x:c>
      <x:c r="K1068" s="4" t="str">
        <x:v>保存本场密码配置并关闭视图</x:v>
      </x:c>
      <x:c r="L1068" s="4" t="str"/>
      <x:c r="M1068" s="4" t="str">
        <x:v>未测</x:v>
      </x:c>
      <x:c r="N1068" s="4" t="str"/>
      <x:c r="O1068" s="4" t="str">
        <x:v>1. 来源：MainBasis/统一需求文档.md；U-views_live-room-host-password_room-password-003、U-live-room-host-password-001、U-views_live-room-host-password_room-password-001、U-live-room-host-password-008、U-views_live-room-host-password_more-actions-002、U-views_live-room-host-password_more-actions-004
2. 场景：SC-fae8e7a119b11f</x:v>
      </x:c>
    </x:row>
    <x:row r="1069" ht="138" customHeight="1">
      <x:c r="A1069" s="4" t="n">
        <x:v>1068</x:v>
      </x:c>
      <x:c r="B1069" s="4" t="str">
        <x:v>USER-1068</x:v>
      </x:c>
      <x:c r="C1069" s="4" t="str">
        <x:v>M06 开播、房型、观看、连麦与房内管理</x:v>
      </x:c>
      <x:c r="D1069" s="4" t="str">
        <x:v>房间密码（主播视角）</x:v>
      </x:c>
      <x:c r="E1069" s="4" t="str">
        <x:v>业务流程</x:v>
      </x:c>
      <x:c r="F1069" s="4" t="str">
        <x:v>P1</x:v>
      </x:c>
      <x:c r="G1069" s="4" t="str">
        <x:v>验证场内改密12345678901</x:v>
      </x:c>
      <x:c r="H1069" s="4" t="str">
        <x:v>场内改密12345678901</x:v>
      </x:c>
      <x:c r="I1069" s="4" t="str">
        <x:v>1. 已登录主播账号
2. 本场密码原为5678</x:v>
      </x:c>
      <x:c r="J1069" s="4" t="str">
        <x:v>1. 进入「直播间-主播-密码房」页
2. 打开「房间密码」视图
3. 填写密码「12345678901」
4. 确认</x:v>
      </x:c>
      <x:c r="K1069" s="4" t="str">
        <x:v>保存本场密码配置并关闭视图</x:v>
      </x:c>
      <x:c r="L1069" s="4" t="str"/>
      <x:c r="M1069" s="4" t="str">
        <x:v>未测</x:v>
      </x:c>
      <x:c r="N1069" s="4" t="str"/>
      <x:c r="O1069" s="4" t="str">
        <x:v>1. 来源：MainBasis/统一需求文档.md；U-views_live-room-host-password_room-password-003、U-live-room-host-password-001、U-views_live-room-host-password_room-password-001、U-live-room-host-password-008、U-views_live-room-host-password_more-actions-002、U-views_live-room-host-password_more-actions-004
2. 场景：SC-cfdbcec90dd893</x:v>
      </x:c>
    </x:row>
    <x:row r="1070" ht="138" customHeight="1">
      <x:c r="A1070" s="4" t="n">
        <x:v>1069</x:v>
      </x:c>
      <x:c r="B1070" s="4" t="str">
        <x:v>USER-1069</x:v>
      </x:c>
      <x:c r="C1070" s="4" t="str">
        <x:v>M06 开播、房型、观看、连麦与房内管理</x:v>
      </x:c>
      <x:c r="D1070" s="4" t="str">
        <x:v>房间密码（主播视角）</x:v>
      </x:c>
      <x:c r="E1070" s="4" t="str">
        <x:v>业务流程</x:v>
      </x:c>
      <x:c r="F1070" s="4" t="str">
        <x:v>P1</x:v>
      </x:c>
      <x:c r="G1070" s="4" t="str">
        <x:v>验证场内改密123456789012</x:v>
      </x:c>
      <x:c r="H1070" s="4" t="str">
        <x:v>场内改密123456789012</x:v>
      </x:c>
      <x:c r="I1070" s="4" t="str">
        <x:v>1. 已登录主播账号
2. 本场密码原为5678</x:v>
      </x:c>
      <x:c r="J1070" s="4" t="str">
        <x:v>1. 进入「直播间-主播-密码房」页
2. 打开「房间密码」视图
3. 填写密码「123456789012」
4. 确认</x:v>
      </x:c>
      <x:c r="K1070" s="4" t="str">
        <x:v>保存本场密码配置并关闭视图</x:v>
      </x:c>
      <x:c r="L1070" s="4" t="str"/>
      <x:c r="M1070" s="4" t="str">
        <x:v>未测</x:v>
      </x:c>
      <x:c r="N1070" s="4" t="str"/>
      <x:c r="O1070" s="4" t="str">
        <x:v>1. 来源：MainBasis/统一需求文档.md；U-views_live-room-host-password_room-password-003、U-live-room-host-password-001、U-views_live-room-host-password_room-password-001、U-live-room-host-password-008、U-views_live-room-host-password_more-actions-002、U-views_live-room-host-password_more-actions-004
2. 场景：SC-4d3c986a38f3cf</x:v>
      </x:c>
    </x:row>
    <x:row r="1071" ht="138" customHeight="1">
      <x:c r="A1071" s="4" t="n">
        <x:v>1070</x:v>
      </x:c>
      <x:c r="B1071" s="4" t="str">
        <x:v>USER-1070</x:v>
      </x:c>
      <x:c r="C1071" s="4" t="str">
        <x:v>M06 开播、房型、观看、连麦与房内管理</x:v>
      </x:c>
      <x:c r="D1071" s="4" t="str">
        <x:v>房间密码（主播视角）</x:v>
      </x:c>
      <x:c r="E1071" s="4" t="str">
        <x:v>异常用例</x:v>
      </x:c>
      <x:c r="F1071" s="4" t="str">
        <x:v>P1</x:v>
      </x:c>
      <x:c r="G1071" s="4" t="str">
        <x:v>验证场内改密1234567890123</x:v>
      </x:c>
      <x:c r="H1071" s="4" t="str">
        <x:v>场内改密1234567890123</x:v>
      </x:c>
      <x:c r="I1071" s="4" t="str">
        <x:v>1. 已登录主播账号
2. 本场密码原为5678</x:v>
      </x:c>
      <x:c r="J1071" s="4" t="str">
        <x:v>1. 进入「直播间-主播-密码房」页
2. 打开「房间密码」视图
3. 填写密码「1234567890123」
4. 确认</x:v>
      </x:c>
      <x:c r="K1071" s="4" t="str">
        <x:v>不保存，保留输入并提示“密码必须是4-12个数字”</x:v>
      </x:c>
      <x:c r="L1071" s="4" t="str"/>
      <x:c r="M1071" s="4" t="str">
        <x:v>未测</x:v>
      </x:c>
      <x:c r="N1071" s="4" t="str"/>
      <x:c r="O1071" s="4" t="str">
        <x:v>1. 来源：MainBasis/统一需求文档.md；U-views_live-room-host-password_room-password-003、U-live-room-host-password-001、U-views_live-room-host-password_room-password-001、U-live-room-host-password-008、U-views_live-room-host-password_more-actions-002、U-views_live-room-host-password_more-actions-004
2. 场景：SC-1a8832c20be37c</x:v>
      </x:c>
    </x:row>
    <x:row r="1072" ht="138" customHeight="1">
      <x:c r="A1072" s="4" t="n">
        <x:v>1071</x:v>
      </x:c>
      <x:c r="B1072" s="4" t="str">
        <x:v>USER-1071</x:v>
      </x:c>
      <x:c r="C1072" s="4" t="str">
        <x:v>M06 开播、房型、观看、连麦与房内管理</x:v>
      </x:c>
      <x:c r="D1072" s="4" t="str">
        <x:v>房间密码（主播视角）</x:v>
      </x:c>
      <x:c r="E1072" s="4" t="str">
        <x:v>异常用例</x:v>
      </x:c>
      <x:c r="F1072" s="4" t="str">
        <x:v>P1</x:v>
      </x:c>
      <x:c r="G1072" s="4" t="str">
        <x:v>验证场内改密12a4</x:v>
      </x:c>
      <x:c r="H1072" s="4" t="str">
        <x:v>场内改密12a4</x:v>
      </x:c>
      <x:c r="I1072" s="4" t="str">
        <x:v>1. 已登录主播账号
2. 本场密码原为5678</x:v>
      </x:c>
      <x:c r="J1072" s="4" t="str">
        <x:v>1. 进入「直播间-主播-密码房」页
2. 打开「房间密码」视图
3. 填写密码「12a4」
4. 确认</x:v>
      </x:c>
      <x:c r="K1072" s="4" t="str">
        <x:v>不保存，保留输入并提示“密码必须是4-12个数字”</x:v>
      </x:c>
      <x:c r="L1072" s="4" t="str"/>
      <x:c r="M1072" s="4" t="str">
        <x:v>未测</x:v>
      </x:c>
      <x:c r="N1072" s="4" t="str"/>
      <x:c r="O1072" s="4" t="str">
        <x:v>1. 来源：MainBasis/统一需求文档.md；U-views_live-room-host-password_room-password-003、U-live-room-host-password-001、U-views_live-room-host-password_room-password-001、U-live-room-host-password-008、U-views_live-room-host-password_more-actions-002、U-views_live-room-host-password_more-actions-004
2. 场景：SC-312fbb25ff4344</x:v>
      </x:c>
    </x:row>
    <x:row r="1073" ht="138" customHeight="1">
      <x:c r="A1073" s="4" t="n">
        <x:v>1072</x:v>
      </x:c>
      <x:c r="B1073" s="4" t="str">
        <x:v>USER-1072</x:v>
      </x:c>
      <x:c r="C1073" s="4" t="str">
        <x:v>M06 开播、房型、观看、连麦与房内管理</x:v>
      </x:c>
      <x:c r="D1073" s="4" t="str">
        <x:v>房间密码（主播视角）</x:v>
      </x:c>
      <x:c r="E1073" s="4" t="str">
        <x:v>功能需求</x:v>
      </x:c>
      <x:c r="F1073" s="4" t="str">
        <x:v>P1</x:v>
      </x:c>
      <x:c r="G1073" s="4" t="str">
        <x:v>验证修改密码取消保留原值</x:v>
      </x:c>
      <x:c r="H1073" s="4" t="str">
        <x:v>修改密码取消保留原值</x:v>
      </x:c>
      <x:c r="I1073" s="4" t="str">
        <x:v>1. 已登录主播账号
2. 本场原密码5678</x:v>
      </x:c>
      <x:c r="J1073" s="4" t="str">
        <x:v>1. 进入「直播间-主播-密码房」页
2. 打开「房间密码」视图
3. 改填1234
4. 取消</x:v>
      </x:c>
      <x:c r="K1073" s="4" t="str">
        <x:v>本场密码仍为5678</x:v>
      </x:c>
      <x:c r="L1073" s="4" t="str"/>
      <x:c r="M1073" s="4" t="str">
        <x:v>未测</x:v>
      </x:c>
      <x:c r="N1073" s="4" t="str"/>
      <x:c r="O1073" s="4" t="str">
        <x:v>1. 来源：MainBasis/统一需求文档.md；U-views_live-room-host-password_room-password-003、U-live-room-host-password-001、U-views_live-room-host-password_room-password-001、U-live-room-host-password-008、U-views_live-room-host-password_more-actions-002、U-views_live-room-host-password_more-actions-004
2. 场景：SC-d50f0ab133d537</x:v>
      </x:c>
    </x:row>
    <x:row r="1074" ht="68" customHeight="1">
      <x:c r="A1074" s="4" t="n">
        <x:v>1073</x:v>
      </x:c>
      <x:c r="B1074" s="4" t="str">
        <x:v>USER-1073</x:v>
      </x:c>
      <x:c r="C1074" s="4" t="str">
        <x:v>M06 开播、房型、观看、连麦与房内管理</x:v>
      </x:c>
      <x:c r="D1074" s="4" t="str">
        <x:v>直播间-连麦中-主播（主播视角）</x:v>
      </x:c>
      <x:c r="E1074" s="4" t="str">
        <x:v>功能需求</x:v>
      </x:c>
      <x:c r="F1074" s="4" t="str">
        <x:v>P2</x:v>
      </x:c>
      <x:c r="G1074" s="4" t="str">
        <x:v>验证连麦主播回显</x:v>
      </x:c>
      <x:c r="H1074" s="4" t="str">
        <x:v>连麦主播回显</x:v>
      </x:c>
      <x:c r="I1074" s="4" t="str">
        <x:v>1. 已登录主播账号
2. 所选对象存在，已记录该对象的连麦主播值</x:v>
      </x:c>
      <x:c r="J1074" s="4" t="str">
        <x:v>1. 进入「直播间-连麦中-主播」页
2. 查看连麦主播回显</x:v>
      </x:c>
      <x:c r="K1074" s="4" t="str">
        <x:v>「连麦主播」内容与所选对象的该项资料一致</x:v>
      </x:c>
      <x:c r="L1074" s="4" t="str"/>
      <x:c r="M1074" s="4" t="str">
        <x:v>未测</x:v>
      </x:c>
      <x:c r="N1074" s="4" t="str"/>
      <x:c r="O1074" s="4" t="str">
        <x:v>1. 来源：MainBasis/统一需求文档.md；U-live-room-cohost-active-001
2. 场景：SC-9df422ee570dad</x:v>
      </x:c>
    </x:row>
    <x:row r="1075" ht="68" customHeight="1">
      <x:c r="A1075" s="4" t="n">
        <x:v>1074</x:v>
      </x:c>
      <x:c r="B1075" s="4" t="str">
        <x:v>USER-1074</x:v>
      </x:c>
      <x:c r="C1075" s="4" t="str">
        <x:v>M06 开播、房型、观看、连麦与房内管理</x:v>
      </x:c>
      <x:c r="D1075" s="4" t="str">
        <x:v>直播间-连麦中-主播（主播视角）</x:v>
      </x:c>
      <x:c r="E1075" s="4" t="str">
        <x:v>功能需求</x:v>
      </x:c>
      <x:c r="F1075" s="4" t="str">
        <x:v>P2</x:v>
      </x:c>
      <x:c r="G1075" s="4" t="str">
        <x:v>验证连麦状态回显</x:v>
      </x:c>
      <x:c r="H1075" s="4" t="str">
        <x:v>连麦状态回显</x:v>
      </x:c>
      <x:c r="I1075" s="4" t="str">
        <x:v>1. 已登录主播账号
2. 所选对象存在，已记录该对象的连麦状态值</x:v>
      </x:c>
      <x:c r="J1075" s="4" t="str">
        <x:v>1. 进入「直播间-连麦中-主播」页
2. 查看连麦状态回显</x:v>
      </x:c>
      <x:c r="K1075" s="4" t="str">
        <x:v>「连麦状态」内容与所选对象的该项资料一致</x:v>
      </x:c>
      <x:c r="L1075" s="4" t="str"/>
      <x:c r="M1075" s="4" t="str">
        <x:v>未测</x:v>
      </x:c>
      <x:c r="N1075" s="4" t="str"/>
      <x:c r="O1075" s="4" t="str">
        <x:v>1. 来源：MainBasis/统一需求文档.md；U-live-room-cohost-active-002
2. 场景：SC-32ad3e85946b4a</x:v>
      </x:c>
    </x:row>
    <x:row r="1076" ht="68" customHeight="1">
      <x:c r="A1076" s="4" t="n">
        <x:v>1075</x:v>
      </x:c>
      <x:c r="B1076" s="4" t="str">
        <x:v>USER-1075</x:v>
      </x:c>
      <x:c r="C1076" s="4" t="str">
        <x:v>M06 开播、房型、观看、连麦与房内管理</x:v>
      </x:c>
      <x:c r="D1076" s="4" t="str">
        <x:v>直播间-连麦中-主播（主播视角）</x:v>
      </x:c>
      <x:c r="E1076" s="4" t="str">
        <x:v>功能需求</x:v>
      </x:c>
      <x:c r="F1076" s="4" t="str">
        <x:v>P1</x:v>
      </x:c>
      <x:c r="G1076" s="4" t="str">
        <x:v>验证连麦账务分别累计</x:v>
      </x:c>
      <x:c r="H1076" s="4" t="str">
        <x:v>连麦账务分别累计</x:v>
      </x:c>
      <x:c r="I1076" s="4" t="str">
        <x:v>1. 已登录主播账号
2. 双方当前场次各有独立赠礼，价值分别100和200</x:v>
      </x:c>
      <x:c r="J1076" s="4" t="str">
        <x:v>1. 进入「直播间-连麦中-主播」页
2. 查看连麦账务分别累计</x:v>
      </x:c>
      <x:c r="K1076" s="4" t="str">
        <x:v>两场贡献、消息和观众分别累计，不合并为300</x:v>
      </x:c>
      <x:c r="L1076" s="4" t="str"/>
      <x:c r="M1076" s="4" t="str">
        <x:v>未测</x:v>
      </x:c>
      <x:c r="N1076" s="4" t="str"/>
      <x:c r="O1076" s="4" t="str">
        <x:v>1. 来源：MainBasis/统一需求文档.md；U-live-room-cohost-active-003
2. 场景：SC-6edec96d9eea2d</x:v>
      </x:c>
    </x:row>
    <x:row r="1077" ht="68" customHeight="1">
      <x:c r="A1077" s="4" t="n">
        <x:v>1076</x:v>
      </x:c>
      <x:c r="B1077" s="4" t="str">
        <x:v>USER-1076</x:v>
      </x:c>
      <x:c r="C1077" s="4" t="str">
        <x:v>M06 开播、房型、观看、连麦与房内管理</x:v>
      </x:c>
      <x:c r="D1077" s="4" t="str">
        <x:v>直播间-连麦中-主播（主播视角）</x:v>
      </x:c>
      <x:c r="E1077" s="4" t="str">
        <x:v>功能需求</x:v>
      </x:c>
      <x:c r="F1077" s="4" t="str">
        <x:v>P1</x:v>
      </x:c>
      <x:c r="G1077" s="4" t="str">
        <x:v>验证对方结束我方继续直播</x:v>
      </x:c>
      <x:c r="H1077" s="4" t="str">
        <x:v>对方结束我方继续直播</x:v>
      </x:c>
      <x:c r="I1077" s="4" t="str">
        <x:v>1. 已登录主播账号
2. 双方原在连麦，对方已结束其直播</x:v>
      </x:c>
      <x:c r="J1077" s="4" t="str">
        <x:v>1. 进入「直播间-连麦中-主播」页
2. 查看对方结束我方继续直播</x:v>
      </x:c>
      <x:c r="K1077" s="4" t="str">
        <x:v>连麦结束，我方场次继续</x:v>
      </x:c>
      <x:c r="L1077" s="4" t="str"/>
      <x:c r="M1077" s="4" t="str">
        <x:v>未测</x:v>
      </x:c>
      <x:c r="N1077" s="4" t="str"/>
      <x:c r="O1077" s="4" t="str">
        <x:v>1. 来源：MainBasis/统一需求文档.md；U-live-room-cohost-active-007
2. 场景：SC-0addf37f5146d6</x:v>
      </x:c>
    </x:row>
    <x:row r="1078" ht="96" customHeight="1">
      <x:c r="A1078" s="4" t="n">
        <x:v>1077</x:v>
      </x:c>
      <x:c r="B1078" s="4" t="str">
        <x:v>USER-1077</x:v>
      </x:c>
      <x:c r="C1078" s="4" t="str">
        <x:v>M06 开播、房型、观看、连麦与房内管理</x:v>
      </x:c>
      <x:c r="D1078" s="4" t="str">
        <x:v>直播间-连麦中-主播（主播视角）</x:v>
      </x:c>
      <x:c r="E1078" s="4" t="str">
        <x:v>功能需求</x:v>
      </x:c>
      <x:c r="F1078" s="4" t="str">
        <x:v>P1</x:v>
      </x:c>
      <x:c r="G1078" s="4" t="str">
        <x:v>验证连麦人数与角色限制</x:v>
      </x:c>
      <x:c r="H1078" s="4" t="str">
        <x:v>连麦人数与角色限制</x:v>
      </x:c>
      <x:c r="I1078" s="4" t="str">
        <x:v>1. 已登录主播账号
2. 当前两位主播连麦中</x:v>
      </x:c>
      <x:c r="J1078" s="4" t="str">
        <x:v>1. 进入「直播间-连麦中-主播」页
2. 查看连麦人数与角色限制</x:v>
      </x:c>
      <x:c r="K1078" s="4" t="str">
        <x:v>不提供第三位主播或观众上麦入口</x:v>
      </x:c>
      <x:c r="L1078" s="4" t="str"/>
      <x:c r="M1078" s="4" t="str">
        <x:v>未测</x:v>
      </x:c>
      <x:c r="N1078" s="4" t="str"/>
      <x:c r="O1078" s="4" t="str">
        <x:v>1. 来源：MainBasis/统一需求文档.md；D-SYS-091、U-live-room-cohost-active-006、U-start-live-settings-011、U-views_start-live-settings_room-normal-004、U-views_live-room-host_cohost-hosts-003
2. 场景：SC-19735cb5aa05af</x:v>
      </x:c>
    </x:row>
    <x:row r="1079" ht="68" customHeight="1">
      <x:c r="A1079" s="4" t="n">
        <x:v>1078</x:v>
      </x:c>
      <x:c r="B1079" s="4" t="str">
        <x:v>USER-1078</x:v>
      </x:c>
      <x:c r="C1079" s="4" t="str">
        <x:v>M06 开播、房型、观看、连麦与房内管理</x:v>
      </x:c>
      <x:c r="D1079" s="4" t="str">
        <x:v>直播间-连麦中-主播（主播视角）</x:v>
      </x:c>
      <x:c r="E1079" s="4" t="str">
        <x:v>功能需求</x:v>
      </x:c>
      <x:c r="F1079" s="4" t="str">
        <x:v>P1</x:v>
      </x:c>
      <x:c r="G1079" s="4" t="str">
        <x:v>验证连麦中不能接受其他邀请</x:v>
      </x:c>
      <x:c r="H1079" s="4" t="str">
        <x:v>连麦中不能接受其他邀请</x:v>
      </x:c>
      <x:c r="I1079" s="4" t="str">
        <x:v>1. 已登录主播账号
2. 已经建立连麦</x:v>
      </x:c>
      <x:c r="J1079" s="4" t="str">
        <x:v>1. 进入「直播间-连麦中-主播」页
2. 查看连麦中不能接受其他邀请</x:v>
      </x:c>
      <x:c r="K1079" s="4" t="str">
        <x:v>不能再次接受其他主播邀请</x:v>
      </x:c>
      <x:c r="L1079" s="4" t="str"/>
      <x:c r="M1079" s="4" t="str">
        <x:v>未测</x:v>
      </x:c>
      <x:c r="N1079" s="4" t="str"/>
      <x:c r="O1079" s="4" t="str">
        <x:v>1. 来源：MainBasis/统一需求文档.md；D-SYS-111、U-views_live-room-cohost-active_more-actions-002
2. 场景：SC-bbfaa53e642174</x:v>
      </x:c>
    </x:row>
    <x:row r="1080" ht="68" customHeight="1">
      <x:c r="A1080" s="4" t="n">
        <x:v>1079</x:v>
      </x:c>
      <x:c r="B1080" s="4" t="str">
        <x:v>USER-1079</x:v>
      </x:c>
      <x:c r="C1080" s="4" t="str">
        <x:v>M06 开播、房型、观看、连麦与房内管理</x:v>
      </x:c>
      <x:c r="D1080" s="4" t="str">
        <x:v>直播间-连麦中-主播（主播视角）</x:v>
      </x:c>
      <x:c r="E1080" s="4" t="str">
        <x:v>功能需求</x:v>
      </x:c>
      <x:c r="F1080" s="4" t="str">
        <x:v>P1</x:v>
      </x:c>
      <x:c r="G1080" s="4" t="str">
        <x:v>验证房型贡献榜比较贡献值</x:v>
      </x:c>
      <x:c r="H1080" s="4" t="str">
        <x:v>房型贡献榜比较贡献值</x:v>
      </x:c>
      <x:c r="I1080" s="4" t="str">
        <x:v>1. 已登录主播账号
2. 其他更高优先级相同，贡献值分别10和20</x:v>
      </x:c>
      <x:c r="J1080" s="4" t="str">
        <x:v>1. 进入「直播间-连麦中-主播」页
2. 查看房型贡献榜比较贡献值</x:v>
      </x:c>
      <x:c r="K1080" s="4" t="str">
        <x:v>20对应用户在前</x:v>
      </x:c>
      <x:c r="L1080" s="4" t="str"/>
      <x:c r="M1080" s="4" t="str">
        <x:v>未测</x:v>
      </x:c>
      <x:c r="N1080" s="4" t="str"/>
      <x:c r="O1080" s="4" t="str">
        <x:v>1. 来源：MainBasis/统一需求文档.md；U-live-room-cohost-active-004
2. 场景：SC-af15d6d31afa92</x:v>
      </x:c>
    </x:row>
    <x:row r="1081" ht="68" customHeight="1">
      <x:c r="A1081" s="4" t="n">
        <x:v>1080</x:v>
      </x:c>
      <x:c r="B1081" s="4" t="str">
        <x:v>USER-1080</x:v>
      </x:c>
      <x:c r="C1081" s="4" t="str">
        <x:v>M06 开播、房型、观看、连麦与房内管理</x:v>
      </x:c>
      <x:c r="D1081" s="4" t="str">
        <x:v>直播间-连麦中-主播（主播视角）</x:v>
      </x:c>
      <x:c r="E1081" s="4" t="str">
        <x:v>功能需求</x:v>
      </x:c>
      <x:c r="F1081" s="4" t="str">
        <x:v>P1</x:v>
      </x:c>
      <x:c r="G1081" s="4" t="str">
        <x:v>验证房型贡献榜比较粉丝等级</x:v>
      </x:c>
      <x:c r="H1081" s="4" t="str">
        <x:v>房型贡献榜比较粉丝等级</x:v>
      </x:c>
      <x:c r="I1081" s="4" t="str">
        <x:v>1. 已登录主播账号
2. 其他更高优先级相同，粉丝等级分别10和20</x:v>
      </x:c>
      <x:c r="J1081" s="4" t="str">
        <x:v>1. 进入「直播间-连麦中-主播」页
2. 查看房型贡献榜比较粉丝等级</x:v>
      </x:c>
      <x:c r="K1081" s="4" t="str">
        <x:v>20对应用户在前</x:v>
      </x:c>
      <x:c r="L1081" s="4" t="str"/>
      <x:c r="M1081" s="4" t="str">
        <x:v>未测</x:v>
      </x:c>
      <x:c r="N1081" s="4" t="str"/>
      <x:c r="O1081" s="4" t="str">
        <x:v>1. 来源：MainBasis/统一需求文档.md；U-live-room-cohost-active-004
2. 场景：SC-4fd35b830c1b90</x:v>
      </x:c>
    </x:row>
    <x:row r="1082" ht="68" customHeight="1">
      <x:c r="A1082" s="4" t="n">
        <x:v>1081</x:v>
      </x:c>
      <x:c r="B1082" s="4" t="str">
        <x:v>USER-1081</x:v>
      </x:c>
      <x:c r="C1082" s="4" t="str">
        <x:v>M06 开播、房型、观看、连麦与房内管理</x:v>
      </x:c>
      <x:c r="D1082" s="4" t="str">
        <x:v>直播间-连麦中-主播（主播视角）</x:v>
      </x:c>
      <x:c r="E1082" s="4" t="str">
        <x:v>功能需求</x:v>
      </x:c>
      <x:c r="F1082" s="4" t="str">
        <x:v>P1</x:v>
      </x:c>
      <x:c r="G1082" s="4" t="str">
        <x:v>验证房型贡献榜比较财富等级</x:v>
      </x:c>
      <x:c r="H1082" s="4" t="str">
        <x:v>房型贡献榜比较财富等级</x:v>
      </x:c>
      <x:c r="I1082" s="4" t="str">
        <x:v>1. 已登录主播账号
2. 其他更高优先级相同，财富等级分别10和20</x:v>
      </x:c>
      <x:c r="J1082" s="4" t="str">
        <x:v>1. 进入「直播间-连麦中-主播」页
2. 查看房型贡献榜比较财富等级</x:v>
      </x:c>
      <x:c r="K1082" s="4" t="str">
        <x:v>20对应用户在前</x:v>
      </x:c>
      <x:c r="L1082" s="4" t="str"/>
      <x:c r="M1082" s="4" t="str">
        <x:v>未测</x:v>
      </x:c>
      <x:c r="N1082" s="4" t="str"/>
      <x:c r="O1082" s="4" t="str">
        <x:v>1. 来源：MainBasis/统一需求文档.md；U-live-room-cohost-active-004
2. 场景：SC-83f07806013a9b</x:v>
      </x:c>
    </x:row>
    <x:row r="1083" ht="68" customHeight="1">
      <x:c r="A1083" s="4" t="n">
        <x:v>1082</x:v>
      </x:c>
      <x:c r="B1083" s="4" t="str">
        <x:v>USER-1082</x:v>
      </x:c>
      <x:c r="C1083" s="4" t="str">
        <x:v>M06 开播、房型、观看、连麦与房内管理</x:v>
      </x:c>
      <x:c r="D1083" s="4" t="str">
        <x:v>直播间-连麦中-主播（主播视角）</x:v>
      </x:c>
      <x:c r="E1083" s="4" t="str">
        <x:v>功能需求</x:v>
      </x:c>
      <x:c r="F1083" s="4" t="str">
        <x:v>P1</x:v>
      </x:c>
      <x:c r="G1083" s="4" t="str">
        <x:v>验证房型贡献榜比较用户ID</x:v>
      </x:c>
      <x:c r="H1083" s="4" t="str">
        <x:v>房型贡献榜比较用户ID</x:v>
      </x:c>
      <x:c r="I1083" s="4" t="str">
        <x:v>1. 已登录主播账号
2. 其他更高优先级相同，用户ID分别10和20</x:v>
      </x:c>
      <x:c r="J1083" s="4" t="str">
        <x:v>1. 进入「直播间-连麦中-主播」页
2. 查看房型贡献榜比较用户ID</x:v>
      </x:c>
      <x:c r="K1083" s="4" t="str">
        <x:v>10对应用户在前</x:v>
      </x:c>
      <x:c r="L1083" s="4" t="str"/>
      <x:c r="M1083" s="4" t="str">
        <x:v>未测</x:v>
      </x:c>
      <x:c r="N1083" s="4" t="str"/>
      <x:c r="O1083" s="4" t="str">
        <x:v>1. 来源：MainBasis/统一需求文档.md；U-live-room-cohost-active-004
2. 场景：SC-d89455ced97aba</x:v>
      </x:c>
    </x:row>
    <x:row r="1084" ht="68" customHeight="1">
      <x:c r="A1084" s="4" t="n">
        <x:v>1083</x:v>
      </x:c>
      <x:c r="B1084" s="4" t="str">
        <x:v>USER-1083</x:v>
      </x:c>
      <x:c r="C1084" s="4" t="str">
        <x:v>M06 开播、房型、观看、连麦与房内管理</x:v>
      </x:c>
      <x:c r="D1084" s="4" t="str">
        <x:v>直播间-连麦中-主播（主播视角）</x:v>
      </x:c>
      <x:c r="E1084" s="4" t="str">
        <x:v>功能需求</x:v>
      </x:c>
      <x:c r="F1084" s="4" t="str">
        <x:v>P1</x:v>
      </x:c>
      <x:c r="G1084" s="4" t="str">
        <x:v>验证房型贡献榜99名上限</x:v>
      </x:c>
      <x:c r="H1084" s="4" t="str">
        <x:v>房型贡献榜99名上限</x:v>
      </x:c>
      <x:c r="I1084" s="4" t="str">
        <x:v>1. 已登录主播账号
2. 有100名有效贡献用户</x:v>
      </x:c>
      <x:c r="J1084" s="4" t="str">
        <x:v>1. 进入「直播间-连麦中-主播」页
2. 查看房型贡献榜99名上限</x:v>
      </x:c>
      <x:c r="K1084" s="4" t="str">
        <x:v>按完整排序显示前99名，无并列名次</x:v>
      </x:c>
      <x:c r="L1084" s="4" t="str"/>
      <x:c r="M1084" s="4" t="str">
        <x:v>未测</x:v>
      </x:c>
      <x:c r="N1084" s="4" t="str"/>
      <x:c r="O1084" s="4" t="str">
        <x:v>1. 来源：MainBasis/统一需求文档.md；U-live-room-cohost-active-004
2. 场景：SC-de010b2263438c</x:v>
      </x:c>
    </x:row>
    <x:row r="1085" ht="68" customHeight="1">
      <x:c r="A1085" s="4" t="n">
        <x:v>1084</x:v>
      </x:c>
      <x:c r="B1085" s="4" t="str">
        <x:v>USER-1084</x:v>
      </x:c>
      <x:c r="C1085" s="4" t="str">
        <x:v>M06 开播、房型、观看、连麦与房内管理</x:v>
      </x:c>
      <x:c r="D1085" s="4" t="str">
        <x:v>直播间-连麦中-主播（主播视角）</x:v>
      </x:c>
      <x:c r="E1085" s="4" t="str">
        <x:v>功能需求</x:v>
      </x:c>
      <x:c r="F1085" s="4" t="str">
        <x:v>P1</x:v>
      </x:c>
      <x:c r="G1085" s="4" t="str">
        <x:v>验证房型在线按贡献排序</x:v>
      </x:c>
      <x:c r="H1085" s="4" t="str">
        <x:v>房型在线按贡献排序</x:v>
      </x:c>
      <x:c r="I1085" s="4" t="str">
        <x:v>1. 已登录主播账号
2. 两人其他高优先项相同，贡献分别10和20</x:v>
      </x:c>
      <x:c r="J1085" s="4" t="str">
        <x:v>1. 进入「直播间-连麦中-主播」页
2. 选择按贡献</x:v>
      </x:c>
      <x:c r="K1085" s="4" t="str">
        <x:v>20对应用户在前</x:v>
      </x:c>
      <x:c r="L1085" s="4" t="str"/>
      <x:c r="M1085" s="4" t="str">
        <x:v>未测</x:v>
      </x:c>
      <x:c r="N1085" s="4" t="str"/>
      <x:c r="O1085" s="4" t="str">
        <x:v>1. 来源：MainBasis/统一需求文档.md；U-live-room-cohost-active-005
2. 场景：SC-4566e78c74ec13</x:v>
      </x:c>
    </x:row>
    <x:row r="1086" ht="68" customHeight="1">
      <x:c r="A1086" s="4" t="n">
        <x:v>1085</x:v>
      </x:c>
      <x:c r="B1086" s="4" t="str">
        <x:v>USER-1085</x:v>
      </x:c>
      <x:c r="C1086" s="4" t="str">
        <x:v>M06 开播、房型、观看、连麦与房内管理</x:v>
      </x:c>
      <x:c r="D1086" s="4" t="str">
        <x:v>直播间-连麦中-主播（主播视角）</x:v>
      </x:c>
      <x:c r="E1086" s="4" t="str">
        <x:v>功能需求</x:v>
      </x:c>
      <x:c r="F1086" s="4" t="str">
        <x:v>P1</x:v>
      </x:c>
      <x:c r="G1086" s="4" t="str">
        <x:v>验证房型在线按停留时长排序</x:v>
      </x:c>
      <x:c r="H1086" s="4" t="str">
        <x:v>房型在线按停留时长排序</x:v>
      </x:c>
      <x:c r="I1086" s="4" t="str">
        <x:v>1. 已登录主播账号
2. 两人其他高优先项相同，累计在线时长分别10和20</x:v>
      </x:c>
      <x:c r="J1086" s="4" t="str">
        <x:v>1. 进入「直播间-连麦中-主播」页
2. 选择按停留时长</x:v>
      </x:c>
      <x:c r="K1086" s="4" t="str">
        <x:v>20对应用户在前</x:v>
      </x:c>
      <x:c r="L1086" s="4" t="str"/>
      <x:c r="M1086" s="4" t="str">
        <x:v>未测</x:v>
      </x:c>
      <x:c r="N1086" s="4" t="str"/>
      <x:c r="O1086" s="4" t="str">
        <x:v>1. 来源：MainBasis/统一需求文档.md；U-live-room-cohost-active-005
2. 场景：SC-65cdf580a9db6e</x:v>
      </x:c>
    </x:row>
    <x:row r="1087" ht="96" customHeight="1">
      <x:c r="A1087" s="4" t="n">
        <x:v>1086</x:v>
      </x:c>
      <x:c r="B1087" s="4" t="str">
        <x:v>USER-1086</x:v>
      </x:c>
      <x:c r="C1087" s="4" t="str">
        <x:v>M06 开播、房型、观看、连麦与房内管理</x:v>
      </x:c>
      <x:c r="D1087" s="4" t="str">
        <x:v>更多功能（主播视角）</x:v>
      </x:c>
      <x:c r="E1087" s="4" t="str">
        <x:v>异常用例</x:v>
      </x:c>
      <x:c r="F1087" s="4" t="str">
        <x:v>P1</x:v>
      </x:c>
      <x:c r="G1087" s="4" t="str">
        <x:v>验证连麦中限制切换门票房</x:v>
      </x:c>
      <x:c r="H1087" s="4" t="str">
        <x:v>连麦中限制切换门票房</x:v>
      </x:c>
      <x:c r="I1087" s="4" t="str">
        <x:v>1. 已登录主播账号
2. 当前双方连麦中</x:v>
      </x:c>
      <x:c r="J1087" s="4" t="str">
        <x:v>1. 进入「直播间-连麦中-主播」页
2. 打开「更多功能」视图
3. 尝试切换门票房</x:v>
      </x:c>
      <x:c r="K1087" s="4" t="str">
        <x:v>不执行并提示先退出连麦</x:v>
      </x:c>
      <x:c r="L1087" s="4" t="str"/>
      <x:c r="M1087" s="4" t="str">
        <x:v>未测</x:v>
      </x:c>
      <x:c r="N1087" s="4" t="str"/>
      <x:c r="O1087" s="4" t="str">
        <x:v>1. 来源：MainBasis/统一需求文档.md；U-views_live-room-cohost-active_more-actions-003、U-views_live-room-cohost-active_more-actions-002、U-views_live-room-cohost-active_more-actions-001
2. 场景：SC-bbbe5a7c6f3a4c</x:v>
      </x:c>
    </x:row>
    <x:row r="1088" ht="96" customHeight="1">
      <x:c r="A1088" s="4" t="n">
        <x:v>1087</x:v>
      </x:c>
      <x:c r="B1088" s="4" t="str">
        <x:v>USER-1087</x:v>
      </x:c>
      <x:c r="C1088" s="4" t="str">
        <x:v>M06 开播、房型、观看、连麦与房内管理</x:v>
      </x:c>
      <x:c r="D1088" s="4" t="str">
        <x:v>更多功能（主播视角）</x:v>
      </x:c>
      <x:c r="E1088" s="4" t="str">
        <x:v>异常用例</x:v>
      </x:c>
      <x:c r="F1088" s="4" t="str">
        <x:v>P1</x:v>
      </x:c>
      <x:c r="G1088" s="4" t="str">
        <x:v>验证连麦中限制切换密码房</x:v>
      </x:c>
      <x:c r="H1088" s="4" t="str">
        <x:v>连麦中限制切换密码房</x:v>
      </x:c>
      <x:c r="I1088" s="4" t="str">
        <x:v>1. 已登录主播账号
2. 当前双方连麦中</x:v>
      </x:c>
      <x:c r="J1088" s="4" t="str">
        <x:v>1. 进入「直播间-连麦中-主播」页
2. 打开「更多功能」视图
3. 尝试切换密码房</x:v>
      </x:c>
      <x:c r="K1088" s="4" t="str">
        <x:v>不执行并提示先退出连麦</x:v>
      </x:c>
      <x:c r="L1088" s="4" t="str"/>
      <x:c r="M1088" s="4" t="str">
        <x:v>未测</x:v>
      </x:c>
      <x:c r="N1088" s="4" t="str"/>
      <x:c r="O1088" s="4" t="str">
        <x:v>1. 来源：MainBasis/统一需求文档.md；U-views_live-room-cohost-active_more-actions-003、U-views_live-room-cohost-active_more-actions-002、U-views_live-room-cohost-active_more-actions-001
2. 场景：SC-509b86afbe7346</x:v>
      </x:c>
    </x:row>
    <x:row r="1089" ht="96" customHeight="1">
      <x:c r="A1089" s="4" t="n">
        <x:v>1088</x:v>
      </x:c>
      <x:c r="B1089" s="4" t="str">
        <x:v>USER-1088</x:v>
      </x:c>
      <x:c r="C1089" s="4" t="str">
        <x:v>M06 开播、房型、观看、连麦与房内管理</x:v>
      </x:c>
      <x:c r="D1089" s="4" t="str">
        <x:v>更多功能（主播视角）</x:v>
      </x:c>
      <x:c r="E1089" s="4" t="str">
        <x:v>异常用例</x:v>
      </x:c>
      <x:c r="F1089" s="4" t="str">
        <x:v>P1</x:v>
      </x:c>
      <x:c r="G1089" s="4" t="str">
        <x:v>验证连麦中限制再次发起连麦</x:v>
      </x:c>
      <x:c r="H1089" s="4" t="str">
        <x:v>连麦中限制再次发起连麦</x:v>
      </x:c>
      <x:c r="I1089" s="4" t="str">
        <x:v>1. 已登录主播账号
2. 当前双方连麦中</x:v>
      </x:c>
      <x:c r="J1089" s="4" t="str">
        <x:v>1. 进入「直播间-连麦中-主播」页
2. 打开「更多功能」视图
3. 尝试再次发起连麦</x:v>
      </x:c>
      <x:c r="K1089" s="4" t="str">
        <x:v>不执行并提示先退出连麦</x:v>
      </x:c>
      <x:c r="L1089" s="4" t="str"/>
      <x:c r="M1089" s="4" t="str">
        <x:v>未测</x:v>
      </x:c>
      <x:c r="N1089" s="4" t="str"/>
      <x:c r="O1089" s="4" t="str">
        <x:v>1. 来源：MainBasis/统一需求文档.md；U-views_live-room-cohost-active_more-actions-003、U-views_live-room-cohost-active_more-actions-002、U-views_live-room-cohost-active_more-actions-001
2. 场景：SC-67d1e0186a547f</x:v>
      </x:c>
    </x:row>
    <x:row r="1090" ht="96" customHeight="1">
      <x:c r="A1090" s="4" t="n">
        <x:v>1089</x:v>
      </x:c>
      <x:c r="B1090" s="4" t="str">
        <x:v>USER-1089</x:v>
      </x:c>
      <x:c r="C1090" s="4" t="str">
        <x:v>M06 开播、房型、观看、连麦与房内管理</x:v>
      </x:c>
      <x:c r="D1090" s="4" t="str">
        <x:v>更多功能（主播视角）</x:v>
      </x:c>
      <x:c r="E1090" s="4" t="str">
        <x:v>功能需求</x:v>
      </x:c>
      <x:c r="F1090" s="4" t="str">
        <x:v>P1</x:v>
      </x:c>
      <x:c r="G1090" s="4" t="str">
        <x:v>验证连麦中打开观众管理</x:v>
      </x:c>
      <x:c r="H1090" s="4" t="str">
        <x:v>连麦中打开观众管理</x:v>
      </x:c>
      <x:c r="I1090" s="4" t="str">
        <x:v>1. 已登录主播账号
2. 当前双方连麦中</x:v>
      </x:c>
      <x:c r="J1090" s="4" t="str">
        <x:v>1. 进入「直播间-连麦中-主播」页
2. 打开「更多功能」视图
3. 选择观众管理</x:v>
      </x:c>
      <x:c r="K1090" s="4" t="str">
        <x:v>打开观众管理视图且连麦继续</x:v>
      </x:c>
      <x:c r="L1090" s="4" t="str"/>
      <x:c r="M1090" s="4" t="str">
        <x:v>未测</x:v>
      </x:c>
      <x:c r="N1090" s="4" t="str"/>
      <x:c r="O1090" s="4" t="str">
        <x:v>1. 来源：MainBasis/统一需求文档.md；U-views_live-room-cohost-active_more-actions-003、U-views_live-room-cohost-active_more-actions-002、U-views_live-room-cohost-active_more-actions-001
2. 场景：SC-545da9a238d8ee</x:v>
      </x:c>
    </x:row>
    <x:row r="1091" ht="96" customHeight="1">
      <x:c r="A1091" s="4" t="n">
        <x:v>1090</x:v>
      </x:c>
      <x:c r="B1091" s="4" t="str">
        <x:v>USER-1090</x:v>
      </x:c>
      <x:c r="C1091" s="4" t="str">
        <x:v>M06 开播、房型、观看、连麦与房内管理</x:v>
      </x:c>
      <x:c r="D1091" s="4" t="str">
        <x:v>更多功能（主播视角）</x:v>
      </x:c>
      <x:c r="E1091" s="4" t="str">
        <x:v>功能需求</x:v>
      </x:c>
      <x:c r="F1091" s="4" t="str">
        <x:v>P1</x:v>
      </x:c>
      <x:c r="G1091" s="4" t="str">
        <x:v>验证连麦中打开转发</x:v>
      </x:c>
      <x:c r="H1091" s="4" t="str">
        <x:v>连麦中打开转发</x:v>
      </x:c>
      <x:c r="I1091" s="4" t="str">
        <x:v>1. 已登录主播账号
2. 当前双方连麦中</x:v>
      </x:c>
      <x:c r="J1091" s="4" t="str">
        <x:v>1. 进入「直播间-连麦中-主播」页
2. 打开「更多功能」视图
3. 选择转发</x:v>
      </x:c>
      <x:c r="K1091" s="4" t="str">
        <x:v>打开转发视图且连麦继续</x:v>
      </x:c>
      <x:c r="L1091" s="4" t="str"/>
      <x:c r="M1091" s="4" t="str">
        <x:v>未测</x:v>
      </x:c>
      <x:c r="N1091" s="4" t="str"/>
      <x:c r="O1091" s="4" t="str">
        <x:v>1. 来源：MainBasis/统一需求文档.md；U-views_live-room-cohost-active_more-actions-003、U-views_live-room-cohost-active_more-actions-002、U-views_live-room-cohost-active_more-actions-001
2. 场景：SC-09a3a8d694c32e</x:v>
      </x:c>
    </x:row>
    <x:row r="1092" ht="110" customHeight="1">
      <x:c r="A1092" s="4" t="n">
        <x:v>1091</x:v>
      </x:c>
      <x:c r="B1092" s="4" t="str">
        <x:v>USER-1091</x:v>
      </x:c>
      <x:c r="C1092" s="4" t="str">
        <x:v>M06 开播、房型、观看、连麦与房内管理</x:v>
      </x:c>
      <x:c r="D1092" s="4" t="str">
        <x:v>退出连麦确认（主播视角）</x:v>
      </x:c>
      <x:c r="E1092" s="4" t="str">
        <x:v>功能需求</x:v>
      </x:c>
      <x:c r="F1092" s="4" t="str">
        <x:v>P1</x:v>
      </x:c>
      <x:c r="G1092" s="4" t="str">
        <x:v>验证退出连麦确认</x:v>
      </x:c>
      <x:c r="H1092" s="4" t="str">
        <x:v>退出连麦确认</x:v>
      </x:c>
      <x:c r="I1092" s="4" t="str">
        <x:v>1. 已登录主播账号
2. 当前双方连麦中</x:v>
      </x:c>
      <x:c r="J1092" s="4" t="str">
        <x:v>1. 进入「直播间-连麦中-主播」页
2. 打开「退出连麦确认」视图
3. 点击确认</x:v>
      </x:c>
      <x:c r="K1092" s="4" t="str">
        <x:v>双方恢复各自单人直播</x:v>
      </x:c>
      <x:c r="L1092" s="4" t="str">
        <x:v>FLOW-A380690A</x:v>
      </x:c>
      <x:c r="M1092" s="4" t="str">
        <x:v>未测</x:v>
      </x:c>
      <x:c r="N1092" s="4" t="str"/>
      <x:c r="O1092" s="4" t="str">
        <x:v>1. 来源：MainBasis/统一需求文档.md；U-views_live-room-cohost-active_cohost-exit-confirm-002、U-live-room-cohost-active-009、U-views_live-room-cohost-active_cohost-exit-confirm-001、D-SYS-092、D-SYS-112
2. 场景：SC-8be0991bea7832
3. 状态转换：ST-940C6D073588</x:v>
      </x:c>
    </x:row>
    <x:row r="1093" ht="110" customHeight="1">
      <x:c r="A1093" s="4" t="n">
        <x:v>1092</x:v>
      </x:c>
      <x:c r="B1093" s="4" t="str">
        <x:v>USER-1092</x:v>
      </x:c>
      <x:c r="C1093" s="4" t="str">
        <x:v>M06 开播、房型、观看、连麦与房内管理</x:v>
      </x:c>
      <x:c r="D1093" s="4" t="str">
        <x:v>退出连麦确认（主播视角）</x:v>
      </x:c>
      <x:c r="E1093" s="4" t="str">
        <x:v>功能需求</x:v>
      </x:c>
      <x:c r="F1093" s="4" t="str">
        <x:v>P1</x:v>
      </x:c>
      <x:c r="G1093" s="4" t="str">
        <x:v>验证退出连麦取消</x:v>
      </x:c>
      <x:c r="H1093" s="4" t="str">
        <x:v>退出连麦取消</x:v>
      </x:c>
      <x:c r="I1093" s="4" t="str">
        <x:v>1. 已登录主播账号
2. 当前双方连麦中</x:v>
      </x:c>
      <x:c r="J1093" s="4" t="str">
        <x:v>1. 进入「直播间-连麦中-主播」页
2. 打开「退出连麦确认」视图
3. 点击取消</x:v>
      </x:c>
      <x:c r="K1093" s="4" t="str">
        <x:v>保持连麦</x:v>
      </x:c>
      <x:c r="L1093" s="4" t="str">
        <x:v>FLOW-A380690A</x:v>
      </x:c>
      <x:c r="M1093" s="4" t="str">
        <x:v>未测</x:v>
      </x:c>
      <x:c r="N1093" s="4" t="str"/>
      <x:c r="O1093" s="4" t="str">
        <x:v>1. 来源：MainBasis/统一需求文档.md；U-views_live-room-cohost-active_cohost-exit-confirm-002、U-live-room-cohost-active-009、U-views_live-room-cohost-active_cohost-exit-confirm-001、D-SYS-092、D-SYS-112
2. 场景：SC-ebe68d361cb08e
3. 状态转换：ST-940C6D073588</x:v>
      </x:c>
    </x:row>
    <x:row r="1094" ht="110" customHeight="1">
      <x:c r="A1094" s="4" t="n">
        <x:v>1093</x:v>
      </x:c>
      <x:c r="B1094" s="4" t="str">
        <x:v>USER-1093</x:v>
      </x:c>
      <x:c r="C1094" s="4" t="str">
        <x:v>M06 开播、房型、观看、连麦与房内管理</x:v>
      </x:c>
      <x:c r="D1094" s="4" t="str">
        <x:v>退出连麦确认（主播视角）</x:v>
      </x:c>
      <x:c r="E1094" s="4" t="str">
        <x:v>功能需求</x:v>
      </x:c>
      <x:c r="F1094" s="4" t="str">
        <x:v>P1</x:v>
      </x:c>
      <x:c r="G1094" s="4" t="str">
        <x:v>验证退出连麦关闭</x:v>
      </x:c>
      <x:c r="H1094" s="4" t="str">
        <x:v>退出连麦关闭</x:v>
      </x:c>
      <x:c r="I1094" s="4" t="str">
        <x:v>1. 已登录主播账号
2. 当前双方连麦中</x:v>
      </x:c>
      <x:c r="J1094" s="4" t="str">
        <x:v>1. 进入「直播间-连麦中-主播」页
2. 打开「退出连麦确认」视图
3. 点击关闭</x:v>
      </x:c>
      <x:c r="K1094" s="4" t="str">
        <x:v>保持连麦</x:v>
      </x:c>
      <x:c r="L1094" s="4" t="str">
        <x:v>FLOW-A380690A</x:v>
      </x:c>
      <x:c r="M1094" s="4" t="str">
        <x:v>未测</x:v>
      </x:c>
      <x:c r="N1094" s="4" t="str"/>
      <x:c r="O1094" s="4" t="str">
        <x:v>1. 来源：MainBasis/统一需求文档.md；U-views_live-room-cohost-active_cohost-exit-confirm-002、U-live-room-cohost-active-009、U-views_live-room-cohost-active_cohost-exit-confirm-001、D-SYS-092、D-SYS-112
2. 场景：SC-588831af72b111
3. 状态转换：ST-940C6D073588</x:v>
      </x:c>
    </x:row>
    <x:row r="1095" ht="110" customHeight="1">
      <x:c r="A1095" s="4" t="n">
        <x:v>1094</x:v>
      </x:c>
      <x:c r="B1095" s="4" t="str">
        <x:v>USER-1094</x:v>
      </x:c>
      <x:c r="C1095" s="4" t="str">
        <x:v>M06 开播、房型、观看、连麦与房内管理</x:v>
      </x:c>
      <x:c r="D1095" s="4" t="str">
        <x:v>退出连麦确认（主播视角）</x:v>
      </x:c>
      <x:c r="E1095" s="4" t="str">
        <x:v>功能需求</x:v>
      </x:c>
      <x:c r="F1095" s="4" t="str">
        <x:v>P1</x:v>
      </x:c>
      <x:c r="G1095" s="4" t="str">
        <x:v>验证退出连麦请求失败</x:v>
      </x:c>
      <x:c r="H1095" s="4" t="str">
        <x:v>退出连麦请求失败</x:v>
      </x:c>
      <x:c r="I1095" s="4" t="str">
        <x:v>1. 已登录主播账号
2. 当前双方连麦中
3. 退出请求失败</x:v>
      </x:c>
      <x:c r="J1095" s="4" t="str">
        <x:v>1. 进入「直播间-连麦中-主播」页
2. 打开「退出连麦确认」视图
3. 点击确认</x:v>
      </x:c>
      <x:c r="K1095" s="4" t="str">
        <x:v>保持连麦并提示“退出失败”</x:v>
      </x:c>
      <x:c r="L1095" s="4" t="str">
        <x:v>FLOW-A380690A</x:v>
      </x:c>
      <x:c r="M1095" s="4" t="str">
        <x:v>未测</x:v>
      </x:c>
      <x:c r="N1095" s="4" t="str"/>
      <x:c r="O1095" s="4" t="str">
        <x:v>1. 来源：MainBasis/统一需求文档.md；U-views_live-room-cohost-active_cohost-exit-confirm-002、U-live-room-cohost-active-009、U-views_live-room-cohost-active_cohost-exit-confirm-001、D-SYS-092、D-SYS-112
2. 场景：SC-6abb951c4fa0ec
3. 状态转换：ST-940C6D073588</x:v>
      </x:c>
    </x:row>
    <x:row r="1096" ht="68" customHeight="1">
      <x:c r="A1096" s="4" t="n">
        <x:v>1095</x:v>
      </x:c>
      <x:c r="B1096" s="4" t="str">
        <x:v>USER-1095</x:v>
      </x:c>
      <x:c r="C1096" s="4" t="str">
        <x:v>M06 开播、房型、观看、连麦与房内管理</x:v>
      </x:c>
      <x:c r="D1096" s="4" t="str">
        <x:v>直播结束页（观众）（用户视角）</x:v>
      </x:c>
      <x:c r="E1096" s="4" t="str">
        <x:v>功能需求</x:v>
      </x:c>
      <x:c r="F1096" s="4" t="str">
        <x:v>P1</x:v>
      </x:c>
      <x:c r="G1096" s="4" t="str">
        <x:v>验证结束场次不能观看</x:v>
      </x:c>
      <x:c r="H1096" s="4" t="str">
        <x:v>结束场次不能观看</x:v>
      </x:c>
      <x:c r="I1096" s="4" t="str">
        <x:v>1. 已登录用户账号
2. 当前场次已结束</x:v>
      </x:c>
      <x:c r="J1096" s="4" t="str">
        <x:v>1. 进入「直播结束页（观众）」页
2. 查看结束场次不能观看</x:v>
      </x:c>
      <x:c r="K1096" s="4" t="str">
        <x:v>不能继续观看当前场次</x:v>
      </x:c>
      <x:c r="L1096" s="4" t="str"/>
      <x:c r="M1096" s="4" t="str">
        <x:v>未测</x:v>
      </x:c>
      <x:c r="N1096" s="4" t="str"/>
      <x:c r="O1096" s="4" t="str">
        <x:v>1. 来源：MainBasis/统一需求文档.md；U-live-end-viewer-001
2. 场景：SC-0fa544adc87ffb</x:v>
      </x:c>
    </x:row>
    <x:row r="1097" ht="68" customHeight="1">
      <x:c r="A1097" s="4" t="n">
        <x:v>1096</x:v>
      </x:c>
      <x:c r="B1097" s="4" t="str">
        <x:v>USER-1096</x:v>
      </x:c>
      <x:c r="C1097" s="4" t="str">
        <x:v>M06 开播、房型、观看、连麦与房内管理</x:v>
      </x:c>
      <x:c r="D1097" s="4" t="str">
        <x:v>直播结束页（观众）（用户视角）</x:v>
      </x:c>
      <x:c r="E1097" s="4" t="str">
        <x:v>功能需求</x:v>
      </x:c>
      <x:c r="F1097" s="4" t="str">
        <x:v>P1</x:v>
      </x:c>
      <x:c r="G1097" s="4" t="str">
        <x:v>验证结束场次不能评论</x:v>
      </x:c>
      <x:c r="H1097" s="4" t="str">
        <x:v>结束场次不能评论</x:v>
      </x:c>
      <x:c r="I1097" s="4" t="str">
        <x:v>1. 已登录用户账号
2. 当前场次已结束</x:v>
      </x:c>
      <x:c r="J1097" s="4" t="str">
        <x:v>1. 进入「直播结束页（观众）」页
2. 查看结束场次不能评论</x:v>
      </x:c>
      <x:c r="K1097" s="4" t="str">
        <x:v>不能继续评论当前场次</x:v>
      </x:c>
      <x:c r="L1097" s="4" t="str"/>
      <x:c r="M1097" s="4" t="str">
        <x:v>未测</x:v>
      </x:c>
      <x:c r="N1097" s="4" t="str"/>
      <x:c r="O1097" s="4" t="str">
        <x:v>1. 来源：MainBasis/统一需求文档.md；U-live-end-viewer-001
2. 场景：SC-7481c9d4979aee</x:v>
      </x:c>
    </x:row>
    <x:row r="1098" ht="68" customHeight="1">
      <x:c r="A1098" s="4" t="n">
        <x:v>1097</x:v>
      </x:c>
      <x:c r="B1098" s="4" t="str">
        <x:v>USER-1097</x:v>
      </x:c>
      <x:c r="C1098" s="4" t="str">
        <x:v>M06 开播、房型、观看、连麦与房内管理</x:v>
      </x:c>
      <x:c r="D1098" s="4" t="str">
        <x:v>直播结束页（观众）（用户视角）</x:v>
      </x:c>
      <x:c r="E1098" s="4" t="str">
        <x:v>功能需求</x:v>
      </x:c>
      <x:c r="F1098" s="4" t="str">
        <x:v>P1</x:v>
      </x:c>
      <x:c r="G1098" s="4" t="str">
        <x:v>验证结束场次不能送礼</x:v>
      </x:c>
      <x:c r="H1098" s="4" t="str">
        <x:v>结束场次不能送礼</x:v>
      </x:c>
      <x:c r="I1098" s="4" t="str">
        <x:v>1. 已登录用户账号
2. 当前场次已结束</x:v>
      </x:c>
      <x:c r="J1098" s="4" t="str">
        <x:v>1. 进入「直播结束页（观众）」页
2. 查看结束场次不能送礼</x:v>
      </x:c>
      <x:c r="K1098" s="4" t="str">
        <x:v>不能继续送礼当前场次</x:v>
      </x:c>
      <x:c r="L1098" s="4" t="str"/>
      <x:c r="M1098" s="4" t="str">
        <x:v>未测</x:v>
      </x:c>
      <x:c r="N1098" s="4" t="str"/>
      <x:c r="O1098" s="4" t="str">
        <x:v>1. 来源：MainBasis/统一需求文档.md；U-live-end-viewer-001
2. 场景：SC-d0cc7fbd0f1998</x:v>
      </x:c>
    </x:row>
    <x:row r="1099" ht="68" customHeight="1">
      <x:c r="A1099" s="4" t="n">
        <x:v>1098</x:v>
      </x:c>
      <x:c r="B1099" s="4" t="str">
        <x:v>USER-1098</x:v>
      </x:c>
      <x:c r="C1099" s="4" t="str">
        <x:v>M06 开播、房型、观看、连麦与房内管理</x:v>
      </x:c>
      <x:c r="D1099" s="4" t="str">
        <x:v>直播结束页（观众）（用户视角）</x:v>
      </x:c>
      <x:c r="E1099" s="4" t="str">
        <x:v>功能需求</x:v>
      </x:c>
      <x:c r="F1099" s="4" t="str">
        <x:v>P2</x:v>
      </x:c>
      <x:c r="G1099" s="4" t="str">
        <x:v>验证返回首页入口</x:v>
      </x:c>
      <x:c r="H1099" s="4" t="str">
        <x:v>返回首页入口</x:v>
      </x:c>
      <x:c r="I1099" s="4" t="str">
        <x:v>1. 已登录用户账号</x:v>
      </x:c>
      <x:c r="J1099" s="4" t="str">
        <x:v>1. 进入「直播结束页（观众）」页
2. 点击「返回首页」</x:v>
      </x:c>
      <x:c r="K1099" s="4" t="str">
        <x:v>页面进入「首页」</x:v>
      </x:c>
      <x:c r="L1099" s="4" t="str"/>
      <x:c r="M1099" s="4" t="str">
        <x:v>未测</x:v>
      </x:c>
      <x:c r="N1099" s="4" t="str"/>
      <x:c r="O1099" s="4" t="str">
        <x:v>1. 来源：MainBasis/统一需求文档.md；U-live-end-viewer-004、U-live-end-viewer-003
2. 场景：SC-531d890d73fb23</x:v>
      </x:c>
    </x:row>
    <x:row r="1100" ht="68" customHeight="1">
      <x:c r="A1100" s="4" t="n">
        <x:v>1099</x:v>
      </x:c>
      <x:c r="B1100" s="4" t="str">
        <x:v>USER-1099</x:v>
      </x:c>
      <x:c r="C1100" s="4" t="str">
        <x:v>M06 开播、房型、观看、连麦与房内管理</x:v>
      </x:c>
      <x:c r="D1100" s="4" t="str">
        <x:v>直播结束页（观众）（用户视角）</x:v>
      </x:c>
      <x:c r="E1100" s="4" t="str">
        <x:v>功能需求</x:v>
      </x:c>
      <x:c r="F1100" s="4" t="str">
        <x:v>P1</x:v>
      </x:c>
      <x:c r="G1100" s="4" t="str">
        <x:v>验证再次打开旧场次不跳新场</x:v>
      </x:c>
      <x:c r="H1100" s="4" t="str">
        <x:v>再次打开旧场次不跳新场</x:v>
      </x:c>
      <x:c r="I1100" s="4" t="str">
        <x:v>1. 已登录用户账号
2. 旧场次已结束，主播已开启新场次</x:v>
      </x:c>
      <x:c r="J1100" s="4" t="str">
        <x:v>1. 进入「直播结束页（观众）」页
2. 打开旧场次入口</x:v>
      </x:c>
      <x:c r="K1100" s="4" t="str">
        <x:v>仍显示旧场次结束状态</x:v>
      </x:c>
      <x:c r="L1100" s="4" t="str"/>
      <x:c r="M1100" s="4" t="str">
        <x:v>未测</x:v>
      </x:c>
      <x:c r="N1100" s="4" t="str"/>
      <x:c r="O1100" s="4" t="str">
        <x:v>1. 来源：MainBasis/统一需求文档.md；U-live-end-viewer-004、U-live-end-viewer-003
2. 场景：SC-81f0e4edfbe8d9</x:v>
      </x:c>
    </x:row>
    <x:row r="1101" ht="68" customHeight="1">
      <x:c r="A1101" s="4" t="n">
        <x:v>1100</x:v>
      </x:c>
      <x:c r="B1101" s="4" t="str">
        <x:v>USER-1100</x:v>
      </x:c>
      <x:c r="C1101" s="4" t="str">
        <x:v>M06 开播、房型、观看、连麦与房内管理</x:v>
      </x:c>
      <x:c r="D1101" s="4" t="str">
        <x:v>直播结束页（主播）（主播视角）</x:v>
      </x:c>
      <x:c r="E1101" s="4" t="str">
        <x:v>功能需求</x:v>
      </x:c>
      <x:c r="F1101" s="4" t="str">
        <x:v>P2</x:v>
      </x:c>
      <x:c r="G1101" s="4" t="str">
        <x:v>验证直播时长回显</x:v>
      </x:c>
      <x:c r="H1101" s="4" t="str">
        <x:v>直播时长回显</x:v>
      </x:c>
      <x:c r="I1101" s="4" t="str">
        <x:v>1. 已登录主播账号
2. 所选对象存在，已记录该对象的直播时长值</x:v>
      </x:c>
      <x:c r="J1101" s="4" t="str">
        <x:v>1. 进入「直播结束页（主播）」页
2. 查看直播时长回显</x:v>
      </x:c>
      <x:c r="K1101" s="4" t="str">
        <x:v>「直播时长」内容与所选对象的该项资料一致</x:v>
      </x:c>
      <x:c r="L1101" s="4" t="str"/>
      <x:c r="M1101" s="4" t="str">
        <x:v>未测</x:v>
      </x:c>
      <x:c r="N1101" s="4" t="str"/>
      <x:c r="O1101" s="4" t="str">
        <x:v>1. 来源：MainBasis/统一需求文档.md；U-live-end-host-001
2. 场景：SC-e8ddb03dd5746b</x:v>
      </x:c>
    </x:row>
    <x:row r="1102" ht="82" customHeight="1">
      <x:c r="A1102" s="4" t="n">
        <x:v>1101</x:v>
      </x:c>
      <x:c r="B1102" s="4" t="str">
        <x:v>USER-1101</x:v>
      </x:c>
      <x:c r="C1102" s="4" t="str">
        <x:v>M06 开播、房型、观看、连麦与房内管理</x:v>
      </x:c>
      <x:c r="D1102" s="4" t="str">
        <x:v>直播结束页（主播）（主播视角）</x:v>
      </x:c>
      <x:c r="E1102" s="4" t="str">
        <x:v>功能需求</x:v>
      </x:c>
      <x:c r="F1102" s="4" t="str">
        <x:v>P1</x:v>
      </x:c>
      <x:c r="G1102" s="4" t="str">
        <x:v>验证结束场次保留历史消息</x:v>
      </x:c>
      <x:c r="H1102" s="4" t="str">
        <x:v>结束场次保留历史消息</x:v>
      </x:c>
      <x:c r="I1102" s="4" t="str">
        <x:v>1. 已登录主播账号
2. 本场已结束且此前存在历史消息</x:v>
      </x:c>
      <x:c r="J1102" s="4" t="str">
        <x:v>1. 进入「直播结束页（主播）」页
2. 查看结束场次保留历史消息</x:v>
      </x:c>
      <x:c r="K1102" s="4" t="str">
        <x:v>历史消息保留</x:v>
      </x:c>
      <x:c r="L1102" s="4" t="str"/>
      <x:c r="M1102" s="4" t="str">
        <x:v>未测</x:v>
      </x:c>
      <x:c r="N1102" s="4" t="str"/>
      <x:c r="O1102" s="4" t="str">
        <x:v>1. 来源：MainBasis/统一需求文档.md；U-live-end-host-004、D-SYS-074、G-guild-host-data-007、A-admin-host-detail-004、A-admin-host-live-record-report-008
2. 场景：SC-b2c40593c81288</x:v>
      </x:c>
    </x:row>
    <x:row r="1103" ht="82" customHeight="1">
      <x:c r="A1103" s="4" t="n">
        <x:v>1102</x:v>
      </x:c>
      <x:c r="B1103" s="4" t="str">
        <x:v>USER-1102</x:v>
      </x:c>
      <x:c r="C1103" s="4" t="str">
        <x:v>M06 开播、房型、观看、连麦与房内管理</x:v>
      </x:c>
      <x:c r="D1103" s="4" t="str">
        <x:v>直播结束页（主播）（主播视角）</x:v>
      </x:c>
      <x:c r="E1103" s="4" t="str">
        <x:v>功能需求</x:v>
      </x:c>
      <x:c r="F1103" s="4" t="str">
        <x:v>P1</x:v>
      </x:c>
      <x:c r="G1103" s="4" t="str">
        <x:v>验证结束场次保留消费记录</x:v>
      </x:c>
      <x:c r="H1103" s="4" t="str">
        <x:v>结束场次保留消费记录</x:v>
      </x:c>
      <x:c r="I1103" s="4" t="str">
        <x:v>1. 已登录主播账号
2. 本场已结束且此前存在消费记录</x:v>
      </x:c>
      <x:c r="J1103" s="4" t="str">
        <x:v>1. 进入「直播结束页（主播）」页
2. 查看结束场次保留消费记录</x:v>
      </x:c>
      <x:c r="K1103" s="4" t="str">
        <x:v>消费记录保留</x:v>
      </x:c>
      <x:c r="L1103" s="4" t="str"/>
      <x:c r="M1103" s="4" t="str">
        <x:v>未测</x:v>
      </x:c>
      <x:c r="N1103" s="4" t="str"/>
      <x:c r="O1103" s="4" t="str">
        <x:v>1. 来源：MainBasis/统一需求文档.md；U-live-end-host-004、D-SYS-074、G-guild-host-data-007、A-admin-host-detail-004、A-admin-host-live-record-report-008
2. 场景：SC-47bd30c42e4dfb</x:v>
      </x:c>
    </x:row>
    <x:row r="1104" ht="82" customHeight="1">
      <x:c r="A1104" s="4" t="n">
        <x:v>1103</x:v>
      </x:c>
      <x:c r="B1104" s="4" t="str">
        <x:v>USER-1103</x:v>
      </x:c>
      <x:c r="C1104" s="4" t="str">
        <x:v>M06 开播、房型、观看、连麦与房内管理</x:v>
      </x:c>
      <x:c r="D1104" s="4" t="str">
        <x:v>直播结束页（主播）（主播视角）</x:v>
      </x:c>
      <x:c r="E1104" s="4" t="str">
        <x:v>功能需求</x:v>
      </x:c>
      <x:c r="F1104" s="4" t="str">
        <x:v>P1</x:v>
      </x:c>
      <x:c r="G1104" s="4" t="str">
        <x:v>验证结束场次保留处置记录</x:v>
      </x:c>
      <x:c r="H1104" s="4" t="str">
        <x:v>结束场次保留处置记录</x:v>
      </x:c>
      <x:c r="I1104" s="4" t="str">
        <x:v>1. 已登录主播账号
2. 本场已结束且此前存在处置记录</x:v>
      </x:c>
      <x:c r="J1104" s="4" t="str">
        <x:v>1. 进入「直播结束页（主播）」页
2. 查看结束场次保留处置记录</x:v>
      </x:c>
      <x:c r="K1104" s="4" t="str">
        <x:v>处置记录保留</x:v>
      </x:c>
      <x:c r="L1104" s="4" t="str"/>
      <x:c r="M1104" s="4" t="str">
        <x:v>未测</x:v>
      </x:c>
      <x:c r="N1104" s="4" t="str"/>
      <x:c r="O1104" s="4" t="str">
        <x:v>1. 来源：MainBasis/统一需求文档.md；U-live-end-host-004、D-SYS-074、G-guild-host-data-007、A-admin-host-detail-004、A-admin-host-live-record-report-008
2. 场景：SC-cce7ff219906d3</x:v>
      </x:c>
    </x:row>
    <x:row r="1105" ht="82" customHeight="1">
      <x:c r="A1105" s="4" t="n">
        <x:v>1104</x:v>
      </x:c>
      <x:c r="B1105" s="4" t="str">
        <x:v>USER-1104</x:v>
      </x:c>
      <x:c r="C1105" s="4" t="str">
        <x:v>M06 开播、房型、观看、连麦与房内管理</x:v>
      </x:c>
      <x:c r="D1105" s="4" t="str">
        <x:v>直播结束页（主播）（主播视角）</x:v>
      </x:c>
      <x:c r="E1105" s="4" t="str">
        <x:v>功能需求</x:v>
      </x:c>
      <x:c r="F1105" s="4" t="str">
        <x:v>P1</x:v>
      </x:c>
      <x:c r="G1105" s="4" t="str">
        <x:v>验证结束场次保留收益记录</x:v>
      </x:c>
      <x:c r="H1105" s="4" t="str">
        <x:v>结束场次保留收益记录</x:v>
      </x:c>
      <x:c r="I1105" s="4" t="str">
        <x:v>1. 已登录主播账号
2. 本场已结束且此前存在收益记录</x:v>
      </x:c>
      <x:c r="J1105" s="4" t="str">
        <x:v>1. 进入「直播结束页（主播）」页
2. 查看结束场次保留收益记录</x:v>
      </x:c>
      <x:c r="K1105" s="4" t="str">
        <x:v>收益记录保留</x:v>
      </x:c>
      <x:c r="L1105" s="4" t="str"/>
      <x:c r="M1105" s="4" t="str">
        <x:v>未测</x:v>
      </x:c>
      <x:c r="N1105" s="4" t="str"/>
      <x:c r="O1105" s="4" t="str">
        <x:v>1. 来源：MainBasis/统一需求文档.md；U-live-end-host-004、D-SYS-074、G-guild-host-data-007、A-admin-host-detail-004、A-admin-host-live-record-report-008
2. 场景：SC-e82c7648c0d76a</x:v>
      </x:c>
    </x:row>
    <x:row r="1106" ht="68" customHeight="1">
      <x:c r="A1106" s="4" t="n">
        <x:v>1105</x:v>
      </x:c>
      <x:c r="B1106" s="4" t="str">
        <x:v>USER-1105</x:v>
      </x:c>
      <x:c r="C1106" s="4" t="str">
        <x:v>M06 开播、房型、观看、连麦与房内管理</x:v>
      </x:c>
      <x:c r="D1106" s="4" t="str">
        <x:v>直播结束页（主播）（主播视角）</x:v>
      </x:c>
      <x:c r="E1106" s="4" t="str">
        <x:v>功能需求</x:v>
      </x:c>
      <x:c r="F1106" s="4" t="str">
        <x:v>P2</x:v>
      </x:c>
      <x:c r="G1106" s="4" t="str">
        <x:v>验证查看直播数据入口</x:v>
      </x:c>
      <x:c r="H1106" s="4" t="str">
        <x:v>查看直播数据入口</x:v>
      </x:c>
      <x:c r="I1106" s="4" t="str">
        <x:v>1. 已登录主播账号</x:v>
      </x:c>
      <x:c r="J1106" s="4" t="str">
        <x:v>1. 进入「直播结束页（主播）」页
2. 点击「查看直播数据」</x:v>
      </x:c>
      <x:c r="K1106" s="4" t="str">
        <x:v>页面进入「当前场次直播数据」</x:v>
      </x:c>
      <x:c r="L1106" s="4" t="str"/>
      <x:c r="M1106" s="4" t="str">
        <x:v>未测</x:v>
      </x:c>
      <x:c r="N1106" s="4" t="str"/>
      <x:c r="O1106" s="4" t="str">
        <x:v>1. 来源：MainBasis/统一需求文档.md；U-live-end-host-005
2. 场景：SC-81ac29d6514d43</x:v>
      </x:c>
    </x:row>
    <x:row r="1107" ht="68" customHeight="1">
      <x:c r="A1107" s="4" t="n">
        <x:v>1106</x:v>
      </x:c>
      <x:c r="B1107" s="4" t="str">
        <x:v>USER-1106</x:v>
      </x:c>
      <x:c r="C1107" s="4" t="str">
        <x:v>M06 开播、房型、观看、连麦与房内管理</x:v>
      </x:c>
      <x:c r="D1107" s="4" t="str">
        <x:v>直播结束页（主播）（主播视角）</x:v>
      </x:c>
      <x:c r="E1107" s="4" t="str">
        <x:v>功能需求</x:v>
      </x:c>
      <x:c r="F1107" s="4" t="str">
        <x:v>P2</x:v>
      </x:c>
      <x:c r="G1107" s="4" t="str">
        <x:v>验证返回主播中心入口</x:v>
      </x:c>
      <x:c r="H1107" s="4" t="str">
        <x:v>返回主播中心入口</x:v>
      </x:c>
      <x:c r="I1107" s="4" t="str">
        <x:v>1. 已登录主播账号</x:v>
      </x:c>
      <x:c r="J1107" s="4" t="str">
        <x:v>1. 进入「直播结束页（主播）」页
2. 点击「返回主播中心」</x:v>
      </x:c>
      <x:c r="K1107" s="4" t="str">
        <x:v>页面进入「主播中心」</x:v>
      </x:c>
      <x:c r="L1107" s="4" t="str"/>
      <x:c r="M1107" s="4" t="str">
        <x:v>未测</x:v>
      </x:c>
      <x:c r="N1107" s="4" t="str"/>
      <x:c r="O1107" s="4" t="str">
        <x:v>1. 来源：MainBasis/统一需求文档.md；U-live-end-host-005
2. 场景：SC-0a2b14a24ca6fe</x:v>
      </x:c>
    </x:row>
    <x:row r="1108" ht="82" customHeight="1">
      <x:c r="A1108" s="4" t="n">
        <x:v>1107</x:v>
      </x:c>
      <x:c r="B1108" s="4" t="str">
        <x:v>USER-1107</x:v>
      </x:c>
      <x:c r="C1108" s="4" t="str">
        <x:v>M06 开播、房型、观看、连麦与房内管理</x:v>
      </x:c>
      <x:c r="D1108" s="4" t="str">
        <x:v>直播结束页（主播）（主播视角）</x:v>
      </x:c>
      <x:c r="E1108" s="4" t="str">
        <x:v>逻辑校验</x:v>
      </x:c>
      <x:c r="F1108" s="4" t="str">
        <x:v>P1</x:v>
      </x:c>
      <x:c r="G1108" s="4" t="str">
        <x:v>验证本场收益区分幸运赠礼</x:v>
      </x:c>
      <x:c r="H1108" s="4" t="str">
        <x:v>本场收益区分幸运赠礼</x:v>
      </x:c>
      <x:c r="I1108" s="4" t="str">
        <x:v>1. 已登录主播账号
2. 范围内普通礼物100、定制礼物200、幸运礼物1000且赠送时比例1%，返奖900
3. 另有门票50</x:v>
      </x:c>
      <x:c r="J1108" s="4" t="str">
        <x:v>1. 进入「直播结束页（主播）」页
2. 查看本场收益区分幸运赠礼</x:v>
      </x:c>
      <x:c r="K1108" s="4" t="str">
        <x:v>本场收益 = 100 + 200 + 1000 × 1% + 50 = 360金币</x:v>
      </x:c>
      <x:c r="L1108" s="4" t="str"/>
      <x:c r="M1108" s="4" t="str">
        <x:v>未测</x:v>
      </x:c>
      <x:c r="N1108" s="4" t="str"/>
      <x:c r="O1108" s="4" t="str">
        <x:v>1. 来源：MainBasis/统一需求文档.md；U-live-end-host-003
2. 场景：SC-f18a933d15f511</x:v>
      </x:c>
    </x:row>
    <x:row r="1109" ht="68" customHeight="1">
      <x:c r="A1109" s="4" t="n">
        <x:v>1108</x:v>
      </x:c>
      <x:c r="B1109" s="4" t="str">
        <x:v>USER-1108</x:v>
      </x:c>
      <x:c r="C1109" s="4" t="str">
        <x:v>M06 开播、房型、观看、连麦与房内管理</x:v>
      </x:c>
      <x:c r="D1109" s="4" t="str">
        <x:v>直播结束页（主播）（主播视角）</x:v>
      </x:c>
      <x:c r="E1109" s="4" t="str">
        <x:v>逻辑校验</x:v>
      </x:c>
      <x:c r="F1109" s="4" t="str">
        <x:v>P1</x:v>
      </x:c>
      <x:c r="G1109" s="4" t="str">
        <x:v>验证本场收益排除虚拟和失败</x:v>
      </x:c>
      <x:c r="H1109" s="4" t="str">
        <x:v>本场收益排除虚拟和失败</x:v>
      </x:c>
      <x:c r="I1109" s="4" t="str">
        <x:v>1. 已登录主播账号
2. 范围内真实成功普通礼物100，另有虚拟礼物100、失败礼物50</x:v>
      </x:c>
      <x:c r="J1109" s="4" t="str">
        <x:v>1. 进入「直播结束页（主播）」页
2. 查看本场收益排除虚拟和失败</x:v>
      </x:c>
      <x:c r="K1109" s="4" t="str">
        <x:v>本场收益 = 100金币</x:v>
      </x:c>
      <x:c r="L1109" s="4" t="str"/>
      <x:c r="M1109" s="4" t="str">
        <x:v>未测</x:v>
      </x:c>
      <x:c r="N1109" s="4" t="str"/>
      <x:c r="O1109" s="4" t="str">
        <x:v>1. 来源：MainBasis/统一需求文档.md；U-live-end-host-003
2. 场景：SC-4801e24223a73d</x:v>
      </x:c>
    </x:row>
    <x:row r="1110" ht="68" customHeight="1">
      <x:c r="A1110" s="4" t="n">
        <x:v>1109</x:v>
      </x:c>
      <x:c r="B1110" s="4" t="str">
        <x:v>USER-1109</x:v>
      </x:c>
      <x:c r="C1110" s="4" t="str">
        <x:v>M06 开播、房型、观看、连麦与房内管理</x:v>
      </x:c>
      <x:c r="D1110" s="4" t="str">
        <x:v>主播中心（主播视角）</x:v>
      </x:c>
      <x:c r="E1110" s="4" t="str">
        <x:v>功能需求</x:v>
      </x:c>
      <x:c r="F1110" s="4" t="str">
        <x:v>P2</x:v>
      </x:c>
      <x:c r="G1110" s="4" t="str">
        <x:v>验证主播等级回显</x:v>
      </x:c>
      <x:c r="H1110" s="4" t="str">
        <x:v>主播等级回显</x:v>
      </x:c>
      <x:c r="I1110" s="4" t="str">
        <x:v>1. 已登录主播账号
2. 所选对象存在，已记录该对象的主播等级值</x:v>
      </x:c>
      <x:c r="J1110" s="4" t="str">
        <x:v>1. 进入「主播中心」页
2. 查看主播等级回显</x:v>
      </x:c>
      <x:c r="K1110" s="4" t="str">
        <x:v>「主播等级」内容与所选对象的该项资料一致</x:v>
      </x:c>
      <x:c r="L1110" s="4" t="str"/>
      <x:c r="M1110" s="4" t="str">
        <x:v>未测</x:v>
      </x:c>
      <x:c r="N1110" s="4" t="str"/>
      <x:c r="O1110" s="4" t="str">
        <x:v>1. 来源：MainBasis/统一需求文档.md；U-host-center-002
2. 场景：SC-535e88f7615791</x:v>
      </x:c>
    </x:row>
    <x:row r="1111" ht="68" customHeight="1">
      <x:c r="A1111" s="4" t="n">
        <x:v>1110</x:v>
      </x:c>
      <x:c r="B1111" s="4" t="str">
        <x:v>USER-1110</x:v>
      </x:c>
      <x:c r="C1111" s="4" t="str">
        <x:v>M06 开播、房型、观看、连麦与房内管理</x:v>
      </x:c>
      <x:c r="D1111" s="4" t="str">
        <x:v>主播中心（主播视角）</x:v>
      </x:c>
      <x:c r="E1111" s="4" t="str">
        <x:v>功能需求</x:v>
      </x:c>
      <x:c r="F1111" s="4" t="str">
        <x:v>P2</x:v>
      </x:c>
      <x:c r="G1111" s="4" t="str">
        <x:v>验证直播权限回显</x:v>
      </x:c>
      <x:c r="H1111" s="4" t="str">
        <x:v>直播权限回显</x:v>
      </x:c>
      <x:c r="I1111" s="4" t="str">
        <x:v>1. 已登录主播账号
2. 所选对象存在，已记录该对象的直播权限值</x:v>
      </x:c>
      <x:c r="J1111" s="4" t="str">
        <x:v>1. 进入「主播中心」页
2. 查看直播权限回显</x:v>
      </x:c>
      <x:c r="K1111" s="4" t="str">
        <x:v>「直播权限」内容与所选对象的该项资料一致</x:v>
      </x:c>
      <x:c r="L1111" s="4" t="str"/>
      <x:c r="M1111" s="4" t="str">
        <x:v>未测</x:v>
      </x:c>
      <x:c r="N1111" s="4" t="str"/>
      <x:c r="O1111" s="4" t="str">
        <x:v>1. 来源：MainBasis/统一需求文档.md；U-host-center-006
2. 场景：SC-cf4fb3426a2f87</x:v>
      </x:c>
    </x:row>
    <x:row r="1112" ht="68" customHeight="1">
      <x:c r="A1112" s="4" t="n">
        <x:v>1111</x:v>
      </x:c>
      <x:c r="B1112" s="4" t="str">
        <x:v>USER-1111</x:v>
      </x:c>
      <x:c r="C1112" s="4" t="str">
        <x:v>M06 开播、房型、观看、连麦与房内管理</x:v>
      </x:c>
      <x:c r="D1112" s="4" t="str">
        <x:v>主播中心（主播视角）</x:v>
      </x:c>
      <x:c r="E1112" s="4" t="str">
        <x:v>功能需求</x:v>
      </x:c>
      <x:c r="F1112" s="4" t="str">
        <x:v>P1</x:v>
      </x:c>
      <x:c r="G1112" s="4" t="str">
        <x:v>验证开播再次校验账号不可用</x:v>
      </x:c>
      <x:c r="H1112" s="4" t="str">
        <x:v>开播再次校验账号不可用</x:v>
      </x:c>
      <x:c r="I1112" s="4" t="str">
        <x:v>1. 已登录主播账号
2. 仅账号不可用，其他开播条件满足</x:v>
      </x:c>
      <x:c r="J1112" s="4" t="str">
        <x:v>1. 进入「主播中心」页
2. 点击开始直播</x:v>
      </x:c>
      <x:c r="K1112" s="4" t="str">
        <x:v>停留主播中心并提示“暂无开播权限”</x:v>
      </x:c>
      <x:c r="L1112" s="4" t="str"/>
      <x:c r="M1112" s="4" t="str">
        <x:v>未测</x:v>
      </x:c>
      <x:c r="N1112" s="4" t="str"/>
      <x:c r="O1112" s="4" t="str">
        <x:v>1. 来源：MainBasis/统一需求文档.md；U-host-center-011、U-host-center-007
2. 场景：SC-cc3733004f8880</x:v>
      </x:c>
    </x:row>
    <x:row r="1113" ht="68" customHeight="1">
      <x:c r="A1113" s="4" t="n">
        <x:v>1112</x:v>
      </x:c>
      <x:c r="B1113" s="4" t="str">
        <x:v>USER-1112</x:v>
      </x:c>
      <x:c r="C1113" s="4" t="str">
        <x:v>M06 开播、房型、观看、连麦与房内管理</x:v>
      </x:c>
      <x:c r="D1113" s="4" t="str">
        <x:v>主播中心（主播视角）</x:v>
      </x:c>
      <x:c r="E1113" s="4" t="str">
        <x:v>功能需求</x:v>
      </x:c>
      <x:c r="F1113" s="4" t="str">
        <x:v>P1</x:v>
      </x:c>
      <x:c r="G1113" s="4" t="str">
        <x:v>验证开播再次校验公会无效</x:v>
      </x:c>
      <x:c r="H1113" s="4" t="str">
        <x:v>开播再次校验公会无效</x:v>
      </x:c>
      <x:c r="I1113" s="4" t="str">
        <x:v>1. 已登录主播账号
2. 仅公会无效，其他开播条件满足</x:v>
      </x:c>
      <x:c r="J1113" s="4" t="str">
        <x:v>1. 进入「主播中心」页
2. 点击开始直播</x:v>
      </x:c>
      <x:c r="K1113" s="4" t="str">
        <x:v>停留主播中心并提示“暂无开播权限”</x:v>
      </x:c>
      <x:c r="L1113" s="4" t="str"/>
      <x:c r="M1113" s="4" t="str">
        <x:v>未测</x:v>
      </x:c>
      <x:c r="N1113" s="4" t="str"/>
      <x:c r="O1113" s="4" t="str">
        <x:v>1. 来源：MainBasis/统一需求文档.md；U-host-center-011、U-host-center-007
2. 场景：SC-8e383533865235</x:v>
      </x:c>
    </x:row>
    <x:row r="1114" ht="68" customHeight="1">
      <x:c r="A1114" s="4" t="n">
        <x:v>1113</x:v>
      </x:c>
      <x:c r="B1114" s="4" t="str">
        <x:v>USER-1113</x:v>
      </x:c>
      <x:c r="C1114" s="4" t="str">
        <x:v>M06 开播、房型、观看、连麦与房内管理</x:v>
      </x:c>
      <x:c r="D1114" s="4" t="str">
        <x:v>主播中心（主播视角）</x:v>
      </x:c>
      <x:c r="E1114" s="4" t="str">
        <x:v>功能需求</x:v>
      </x:c>
      <x:c r="F1114" s="4" t="str">
        <x:v>P1</x:v>
      </x:c>
      <x:c r="G1114" s="4" t="str">
        <x:v>验证开播再次校验认证未通过</x:v>
      </x:c>
      <x:c r="H1114" s="4" t="str">
        <x:v>开播再次校验认证未通过</x:v>
      </x:c>
      <x:c r="I1114" s="4" t="str">
        <x:v>1. 已登录主播账号
2. 仅认证未通过，其他开播条件满足</x:v>
      </x:c>
      <x:c r="J1114" s="4" t="str">
        <x:v>1. 进入「主播中心」页
2. 点击开始直播</x:v>
      </x:c>
      <x:c r="K1114" s="4" t="str">
        <x:v>停留主播中心并提示“暂无开播权限”</x:v>
      </x:c>
      <x:c r="L1114" s="4" t="str"/>
      <x:c r="M1114" s="4" t="str">
        <x:v>未测</x:v>
      </x:c>
      <x:c r="N1114" s="4" t="str"/>
      <x:c r="O1114" s="4" t="str">
        <x:v>1. 来源：MainBasis/统一需求文档.md；U-host-center-011、U-host-center-007
2. 场景：SC-1f923767af84ab</x:v>
      </x:c>
    </x:row>
    <x:row r="1115" ht="68" customHeight="1">
      <x:c r="A1115" s="4" t="n">
        <x:v>1114</x:v>
      </x:c>
      <x:c r="B1115" s="4" t="str">
        <x:v>USER-1114</x:v>
      </x:c>
      <x:c r="C1115" s="4" t="str">
        <x:v>M06 开播、房型、观看、连麦与房内管理</x:v>
      </x:c>
      <x:c r="D1115" s="4" t="str">
        <x:v>主播中心（主播视角）</x:v>
      </x:c>
      <x:c r="E1115" s="4" t="str">
        <x:v>功能需求</x:v>
      </x:c>
      <x:c r="F1115" s="4" t="str">
        <x:v>P1</x:v>
      </x:c>
      <x:c r="G1115" s="4" t="str">
        <x:v>验证开播再次校验平台权限关闭</x:v>
      </x:c>
      <x:c r="H1115" s="4" t="str">
        <x:v>开播再次校验平台权限关闭</x:v>
      </x:c>
      <x:c r="I1115" s="4" t="str">
        <x:v>1. 已登录主播账号
2. 仅平台权限关闭，其他开播条件满足</x:v>
      </x:c>
      <x:c r="J1115" s="4" t="str">
        <x:v>1. 进入「主播中心」页
2. 点击开始直播</x:v>
      </x:c>
      <x:c r="K1115" s="4" t="str">
        <x:v>停留主播中心并提示“暂无开播权限”</x:v>
      </x:c>
      <x:c r="L1115" s="4" t="str"/>
      <x:c r="M1115" s="4" t="str">
        <x:v>未测</x:v>
      </x:c>
      <x:c r="N1115" s="4" t="str"/>
      <x:c r="O1115" s="4" t="str">
        <x:v>1. 来源：MainBasis/统一需求文档.md；U-host-center-011、U-host-center-007
2. 场景：SC-5227554393417e</x:v>
      </x:c>
    </x:row>
    <x:row r="1116" ht="68" customHeight="1">
      <x:c r="A1116" s="4" t="n">
        <x:v>1115</x:v>
      </x:c>
      <x:c r="B1116" s="4" t="str">
        <x:v>USER-1115</x:v>
      </x:c>
      <x:c r="C1116" s="4" t="str">
        <x:v>M06 开播、房型、观看、连麦与房内管理</x:v>
      </x:c>
      <x:c r="D1116" s="4" t="str">
        <x:v>主播中心（主播视角）</x:v>
      </x:c>
      <x:c r="E1116" s="4" t="str">
        <x:v>功能需求</x:v>
      </x:c>
      <x:c r="F1116" s="4" t="str">
        <x:v>P1</x:v>
      </x:c>
      <x:c r="G1116" s="4" t="str">
        <x:v>验证开播再次校验公会权限关闭</x:v>
      </x:c>
      <x:c r="H1116" s="4" t="str">
        <x:v>开播再次校验公会权限关闭</x:v>
      </x:c>
      <x:c r="I1116" s="4" t="str">
        <x:v>1. 已登录主播账号
2. 仅公会权限关闭，其他开播条件满足</x:v>
      </x:c>
      <x:c r="J1116" s="4" t="str">
        <x:v>1. 进入「主播中心」页
2. 点击开始直播</x:v>
      </x:c>
      <x:c r="K1116" s="4" t="str">
        <x:v>停留主播中心并提示“暂无开播权限”</x:v>
      </x:c>
      <x:c r="L1116" s="4" t="str"/>
      <x:c r="M1116" s="4" t="str">
        <x:v>未测</x:v>
      </x:c>
      <x:c r="N1116" s="4" t="str"/>
      <x:c r="O1116" s="4" t="str">
        <x:v>1. 来源：MainBasis/统一需求文档.md；U-host-center-011、U-host-center-007
2. 场景：SC-1434600f05a115</x:v>
      </x:c>
    </x:row>
    <x:row r="1117" ht="82" customHeight="1">
      <x:c r="A1117" s="4" t="n">
        <x:v>1116</x:v>
      </x:c>
      <x:c r="B1117" s="4" t="str">
        <x:v>USER-1116</x:v>
      </x:c>
      <x:c r="C1117" s="4" t="str">
        <x:v>M06 开播、房型、观看、连麦与房内管理</x:v>
      </x:c>
      <x:c r="D1117" s="4" t="str">
        <x:v>主播中心（主播视角）</x:v>
      </x:c>
      <x:c r="E1117" s="4" t="str">
        <x:v>逻辑校验</x:v>
      </x:c>
      <x:c r="F1117" s="4" t="str">
        <x:v>P1</x:v>
      </x:c>
      <x:c r="G1117" s="4" t="str">
        <x:v>验证主播中心有效天10799秒</x:v>
      </x:c>
      <x:c r="H1117" s="4" t="str">
        <x:v>主播中心有效天10799秒</x:v>
      </x:c>
      <x:c r="I1117" s="4" t="str">
        <x:v>1. 已登录主播账号
2. 当前范围仅一名主播、同一个已确定自然日
3. 该日累计有效直播时长10799秒</x:v>
      </x:c>
      <x:c r="J1117" s="4" t="str">
        <x:v>1. 进入「主播中心」页
2. 查看主播中心有效天10799秒</x:v>
      </x:c>
      <x:c r="K1117" s="4" t="str">
        <x:v>主播中心有效天 = 0</x:v>
      </x:c>
      <x:c r="L1117" s="4" t="str"/>
      <x:c r="M1117" s="4" t="str">
        <x:v>未测</x:v>
      </x:c>
      <x:c r="N1117" s="4" t="str"/>
      <x:c r="O1117" s="4" t="str">
        <x:v>1. 来源：MainBasis/统一需求文档.md；U-host-center-009、U-host-center-004
2. 场景：SC-fd101407c56def</x:v>
      </x:c>
    </x:row>
    <x:row r="1118" ht="82" customHeight="1">
      <x:c r="A1118" s="4" t="n">
        <x:v>1117</x:v>
      </x:c>
      <x:c r="B1118" s="4" t="str">
        <x:v>USER-1117</x:v>
      </x:c>
      <x:c r="C1118" s="4" t="str">
        <x:v>M06 开播、房型、观看、连麦与房内管理</x:v>
      </x:c>
      <x:c r="D1118" s="4" t="str">
        <x:v>主播中心（主播视角）</x:v>
      </x:c>
      <x:c r="E1118" s="4" t="str">
        <x:v>逻辑校验</x:v>
      </x:c>
      <x:c r="F1118" s="4" t="str">
        <x:v>P1</x:v>
      </x:c>
      <x:c r="G1118" s="4" t="str">
        <x:v>验证主播中心有效天10800秒</x:v>
      </x:c>
      <x:c r="H1118" s="4" t="str">
        <x:v>主播中心有效天10800秒</x:v>
      </x:c>
      <x:c r="I1118" s="4" t="str">
        <x:v>1. 已登录主播账号
2. 当前范围仅一名主播、同一个已确定自然日
3. 该日累计有效直播时长10800秒</x:v>
      </x:c>
      <x:c r="J1118" s="4" t="str">
        <x:v>1. 进入「主播中心」页
2. 查看主播中心有效天10800秒</x:v>
      </x:c>
      <x:c r="K1118" s="4" t="str">
        <x:v>主播中心有效天 = 1</x:v>
      </x:c>
      <x:c r="L1118" s="4" t="str"/>
      <x:c r="M1118" s="4" t="str">
        <x:v>未测</x:v>
      </x:c>
      <x:c r="N1118" s="4" t="str"/>
      <x:c r="O1118" s="4" t="str">
        <x:v>1. 来源：MainBasis/统一需求文档.md；U-host-center-009、U-host-center-004
2. 场景：SC-608c4d2d4595ef</x:v>
      </x:c>
    </x:row>
    <x:row r="1119" ht="82" customHeight="1">
      <x:c r="A1119" s="4" t="n">
        <x:v>1118</x:v>
      </x:c>
      <x:c r="B1119" s="4" t="str">
        <x:v>USER-1118</x:v>
      </x:c>
      <x:c r="C1119" s="4" t="str">
        <x:v>M06 开播、房型、观看、连麦与房内管理</x:v>
      </x:c>
      <x:c r="D1119" s="4" t="str">
        <x:v>主播中心（主播视角）</x:v>
      </x:c>
      <x:c r="E1119" s="4" t="str">
        <x:v>逻辑校验</x:v>
      </x:c>
      <x:c r="F1119" s="4" t="str">
        <x:v>P1</x:v>
      </x:c>
      <x:c r="G1119" s="4" t="str">
        <x:v>验证主播中心有效天10801秒</x:v>
      </x:c>
      <x:c r="H1119" s="4" t="str">
        <x:v>主播中心有效天10801秒</x:v>
      </x:c>
      <x:c r="I1119" s="4" t="str">
        <x:v>1. 已登录主播账号
2. 当前范围仅一名主播、同一个已确定自然日
3. 该日累计有效直播时长10801秒</x:v>
      </x:c>
      <x:c r="J1119" s="4" t="str">
        <x:v>1. 进入「主播中心」页
2. 查看主播中心有效天10801秒</x:v>
      </x:c>
      <x:c r="K1119" s="4" t="str">
        <x:v>主播中心有效天 = 1</x:v>
      </x:c>
      <x:c r="L1119" s="4" t="str"/>
      <x:c r="M1119" s="4" t="str">
        <x:v>未测</x:v>
      </x:c>
      <x:c r="N1119" s="4" t="str"/>
      <x:c r="O1119" s="4" t="str">
        <x:v>1. 来源：MainBasis/统一需求文档.md；U-host-center-009、U-host-center-004
2. 场景：SC-2df84232c1810f</x:v>
      </x:c>
    </x:row>
    <x:row r="1120" ht="82" customHeight="1">
      <x:c r="A1120" s="4" t="n">
        <x:v>1119</x:v>
      </x:c>
      <x:c r="B1120" s="4" t="str">
        <x:v>USER-1119</x:v>
      </x:c>
      <x:c r="C1120" s="4" t="str">
        <x:v>M06 开播、房型、观看、连麦与房内管理</x:v>
      </x:c>
      <x:c r="D1120" s="4" t="str">
        <x:v>主播中心（主播视角）</x:v>
      </x:c>
      <x:c r="E1120" s="4" t="str">
        <x:v>逻辑校验</x:v>
      </x:c>
      <x:c r="F1120" s="4" t="str">
        <x:v>P1</x:v>
      </x:c>
      <x:c r="G1120" s="4" t="str">
        <x:v>验证主播中心有效天21600秒</x:v>
      </x:c>
      <x:c r="H1120" s="4" t="str">
        <x:v>主播中心有效天21600秒</x:v>
      </x:c>
      <x:c r="I1120" s="4" t="str">
        <x:v>1. 已登录主播账号
2. 当前范围仅一名主播、同一个已确定自然日
3. 该日累计有效直播时长21600秒</x:v>
      </x:c>
      <x:c r="J1120" s="4" t="str">
        <x:v>1. 进入「主播中心」页
2. 查看主播中心有效天21600秒</x:v>
      </x:c>
      <x:c r="K1120" s="4" t="str">
        <x:v>主播中心有效天 = 1</x:v>
      </x:c>
      <x:c r="L1120" s="4" t="str"/>
      <x:c r="M1120" s="4" t="str">
        <x:v>未测</x:v>
      </x:c>
      <x:c r="N1120" s="4" t="str"/>
      <x:c r="O1120" s="4" t="str">
        <x:v>1. 来源：MainBasis/统一需求文档.md；U-host-center-009、U-host-center-004
2. 场景：SC-24e3eea50fae3e</x:v>
      </x:c>
    </x:row>
    <x:row r="1121" ht="82" customHeight="1">
      <x:c r="A1121" s="4" t="n">
        <x:v>1120</x:v>
      </x:c>
      <x:c r="B1121" s="4" t="str">
        <x:v>USER-1120</x:v>
      </x:c>
      <x:c r="C1121" s="4" t="str">
        <x:v>M06 开播、房型、观看、连麦与房内管理</x:v>
      </x:c>
      <x:c r="D1121" s="4" t="str">
        <x:v>主播中心（主播视角）</x:v>
      </x:c>
      <x:c r="E1121" s="4" t="str">
        <x:v>逻辑校验</x:v>
      </x:c>
      <x:c r="F1121" s="4" t="str">
        <x:v>P1</x:v>
      </x:c>
      <x:c r="G1121" s="4" t="str">
        <x:v>验证本月收益区分幸运赠礼</x:v>
      </x:c>
      <x:c r="H1121" s="4" t="str">
        <x:v>本月收益区分幸运赠礼</x:v>
      </x:c>
      <x:c r="I1121" s="4" t="str">
        <x:v>1. 已登录主播账号
2. 范围内普通礼物100、定制礼物200、幸运礼物1000且赠送时比例1%，返奖900
3. 另有门票50</x:v>
      </x:c>
      <x:c r="J1121" s="4" t="str">
        <x:v>1. 进入「主播中心」页
2. 查看本月收益区分幸运赠礼</x:v>
      </x:c>
      <x:c r="K1121" s="4" t="str">
        <x:v>本月收益 = 100 + 200 + 1000 × 1% + 50 = 360金币</x:v>
      </x:c>
      <x:c r="L1121" s="4" t="str"/>
      <x:c r="M1121" s="4" t="str">
        <x:v>未测</x:v>
      </x:c>
      <x:c r="N1121" s="4" t="str"/>
      <x:c r="O1121" s="4" t="str">
        <x:v>1. 来源：MainBasis/统一需求文档.md；U-host-center-003
2. 场景：SC-c1b088e2e5b4db</x:v>
      </x:c>
    </x:row>
    <x:row r="1122" ht="68" customHeight="1">
      <x:c r="A1122" s="4" t="n">
        <x:v>1121</x:v>
      </x:c>
      <x:c r="B1122" s="4" t="str">
        <x:v>USER-1121</x:v>
      </x:c>
      <x:c r="C1122" s="4" t="str">
        <x:v>M06 开播、房型、观看、连麦与房内管理</x:v>
      </x:c>
      <x:c r="D1122" s="4" t="str">
        <x:v>主播中心（主播视角）</x:v>
      </x:c>
      <x:c r="E1122" s="4" t="str">
        <x:v>逻辑校验</x:v>
      </x:c>
      <x:c r="F1122" s="4" t="str">
        <x:v>P1</x:v>
      </x:c>
      <x:c r="G1122" s="4" t="str">
        <x:v>验证本月收益排除虚拟和失败</x:v>
      </x:c>
      <x:c r="H1122" s="4" t="str">
        <x:v>本月收益排除虚拟和失败</x:v>
      </x:c>
      <x:c r="I1122" s="4" t="str">
        <x:v>1. 已登录主播账号
2. 范围内真实成功普通礼物100，另有虚拟礼物100、失败礼物50</x:v>
      </x:c>
      <x:c r="J1122" s="4" t="str">
        <x:v>1. 进入「主播中心」页
2. 查看本月收益排除虚拟和失败</x:v>
      </x:c>
      <x:c r="K1122" s="4" t="str">
        <x:v>本月收益 = 100金币</x:v>
      </x:c>
      <x:c r="L1122" s="4" t="str"/>
      <x:c r="M1122" s="4" t="str">
        <x:v>未测</x:v>
      </x:c>
      <x:c r="N1122" s="4" t="str"/>
      <x:c r="O1122" s="4" t="str">
        <x:v>1. 来源：MainBasis/统一需求文档.md；U-host-center-003
2. 场景：SC-2696ef22a28ad3</x:v>
      </x:c>
    </x:row>
    <x:row r="1123" ht="68" customHeight="1">
      <x:c r="A1123" s="4" t="n">
        <x:v>1122</x:v>
      </x:c>
      <x:c r="B1123" s="4" t="str">
        <x:v>USER-1122</x:v>
      </x:c>
      <x:c r="C1123" s="4" t="str">
        <x:v>M06 开播、房型、观看、连麦与房内管理</x:v>
      </x:c>
      <x:c r="D1123" s="4" t="str">
        <x:v>主播中心（主播视角）</x:v>
      </x:c>
      <x:c r="E1123" s="4" t="str">
        <x:v>功能需求</x:v>
      </x:c>
      <x:c r="F1123" s="4" t="str">
        <x:v>P1</x:v>
      </x:c>
      <x:c r="G1123" s="4" t="str">
        <x:v>验证主播中心统计归属</x:v>
      </x:c>
      <x:c r="H1123" s="4" t="str">
        <x:v>主播中心统计归属</x:v>
      </x:c>
      <x:c r="I1123" s="4" t="str">
        <x:v>1. 已登录主播账号
2. 平台有两名主播且收益不同，当前为主播甲</x:v>
      </x:c>
      <x:c r="J1123" s="4" t="str">
        <x:v>1. 进入「主播中心」页
2. 查看主播中心统计归属</x:v>
      </x:c>
      <x:c r="K1123" s="4" t="str">
        <x:v>资料、收益与指标只使用主播甲数据</x:v>
      </x:c>
      <x:c r="L1123" s="4" t="str"/>
      <x:c r="M1123" s="4" t="str">
        <x:v>未测</x:v>
      </x:c>
      <x:c r="N1123" s="4" t="str"/>
      <x:c r="O1123" s="4" t="str">
        <x:v>1. 来源：MainBasis/统一需求文档.md；U-host-center-010
2. 场景：SC-ace9f678489e00</x:v>
      </x:c>
    </x:row>
    <x:row r="1124" ht="68" customHeight="1">
      <x:c r="A1124" s="4" t="n">
        <x:v>1123</x:v>
      </x:c>
      <x:c r="B1124" s="4" t="str">
        <x:v>USER-1123</x:v>
      </x:c>
      <x:c r="C1124" s="4" t="str">
        <x:v>M06 开播、房型、观看、连麦与房内管理</x:v>
      </x:c>
      <x:c r="D1124" s="4" t="str">
        <x:v>开播设置（主播视角）</x:v>
      </x:c>
      <x:c r="E1124" s="4" t="str">
        <x:v>逻辑校验</x:v>
      </x:c>
      <x:c r="F1124" s="4" t="str">
        <x:v>P1</x:v>
      </x:c>
      <x:c r="G1124" s="4" t="str">
        <x:v>验证直播主题0字符可填写</x:v>
      </x:c>
      <x:c r="H1124" s="4" t="str">
        <x:v>直播主题0字符可填写</x:v>
      </x:c>
      <x:c r="I1124" s="4" t="str">
        <x:v>1. 已登录主播账号
2. 其他必填字段为合法值</x:v>
      </x:c>
      <x:c r="J1124" s="4" t="str">
        <x:v>1. 进入「开播设置」页
2. 清空「直播主题」
3. 点击「保存」</x:v>
      </x:c>
      <x:c r="K1124" s="4" t="str">
        <x:v>「直播主题」保留0个字符</x:v>
      </x:c>
      <x:c r="L1124" s="4" t="str"/>
      <x:c r="M1124" s="4" t="str">
        <x:v>未测</x:v>
      </x:c>
      <x:c r="N1124" s="4" t="str"/>
      <x:c r="O1124" s="4" t="str">
        <x:v>1. 来源：MainBasis/统一需求文档.md；U-start-live-settings-003
2. 场景：SC-dd5bc052cc3baa</x:v>
      </x:c>
    </x:row>
    <x:row r="1125" ht="68" customHeight="1">
      <x:c r="A1125" s="4" t="n">
        <x:v>1124</x:v>
      </x:c>
      <x:c r="B1125" s="4" t="str">
        <x:v>USER-1124</x:v>
      </x:c>
      <x:c r="C1125" s="4" t="str">
        <x:v>M06 开播、房型、观看、连麦与房内管理</x:v>
      </x:c>
      <x:c r="D1125" s="4" t="str">
        <x:v>开播设置（主播视角）</x:v>
      </x:c>
      <x:c r="E1125" s="4" t="str">
        <x:v>逻辑校验</x:v>
      </x:c>
      <x:c r="F1125" s="4" t="str">
        <x:v>P1</x:v>
      </x:c>
      <x:c r="G1125" s="4" t="str">
        <x:v>验证直播主题1字符可填写</x:v>
      </x:c>
      <x:c r="H1125" s="4" t="str">
        <x:v>直播主题1字符可填写</x:v>
      </x:c>
      <x:c r="I1125" s="4" t="str">
        <x:v>1. 已登录主播账号
2. 其他必填字段为合法值</x:v>
      </x:c>
      <x:c r="J1125" s="4" t="str">
        <x:v>1. 进入「开播设置」页
2. 在「直播主题」输入1个「测」字符
3. 点击「保存」</x:v>
      </x:c>
      <x:c r="K1125" s="4" t="str">
        <x:v>「直播主题」保留1个字符</x:v>
      </x:c>
      <x:c r="L1125" s="4" t="str"/>
      <x:c r="M1125" s="4" t="str">
        <x:v>未测</x:v>
      </x:c>
      <x:c r="N1125" s="4" t="str"/>
      <x:c r="O1125" s="4" t="str">
        <x:v>1. 来源：MainBasis/统一需求文档.md；U-start-live-settings-003
2. 场景：SC-ac0ba6b1e4bf13</x:v>
      </x:c>
    </x:row>
    <x:row r="1126" ht="68" customHeight="1">
      <x:c r="A1126" s="4" t="n">
        <x:v>1125</x:v>
      </x:c>
      <x:c r="B1126" s="4" t="str">
        <x:v>USER-1125</x:v>
      </x:c>
      <x:c r="C1126" s="4" t="str">
        <x:v>M06 开播、房型、观看、连麦与房内管理</x:v>
      </x:c>
      <x:c r="D1126" s="4" t="str">
        <x:v>开播设置（主播视角）</x:v>
      </x:c>
      <x:c r="E1126" s="4" t="str">
        <x:v>逻辑校验</x:v>
      </x:c>
      <x:c r="F1126" s="4" t="str">
        <x:v>P1</x:v>
      </x:c>
      <x:c r="G1126" s="4" t="str">
        <x:v>验证直播主题39字符可填写</x:v>
      </x:c>
      <x:c r="H1126" s="4" t="str">
        <x:v>直播主题39字符可填写</x:v>
      </x:c>
      <x:c r="I1126" s="4" t="str">
        <x:v>1. 已登录主播账号
2. 其他必填字段为合法值</x:v>
      </x:c>
      <x:c r="J1126" s="4" t="str">
        <x:v>1. 进入「开播设置」页
2. 在「直播主题」输入39个「测」字符
3. 点击「保存」</x:v>
      </x:c>
      <x:c r="K1126" s="4" t="str">
        <x:v>「直播主题」保留39个字符</x:v>
      </x:c>
      <x:c r="L1126" s="4" t="str"/>
      <x:c r="M1126" s="4" t="str">
        <x:v>未测</x:v>
      </x:c>
      <x:c r="N1126" s="4" t="str"/>
      <x:c r="O1126" s="4" t="str">
        <x:v>1. 来源：MainBasis/统一需求文档.md；U-start-live-settings-003
2. 场景：SC-0f33a88d6e1687</x:v>
      </x:c>
    </x:row>
    <x:row r="1127" ht="68" customHeight="1">
      <x:c r="A1127" s="4" t="n">
        <x:v>1126</x:v>
      </x:c>
      <x:c r="B1127" s="4" t="str">
        <x:v>USER-1126</x:v>
      </x:c>
      <x:c r="C1127" s="4" t="str">
        <x:v>M06 开播、房型、观看、连麦与房内管理</x:v>
      </x:c>
      <x:c r="D1127" s="4" t="str">
        <x:v>开播设置（主播视角）</x:v>
      </x:c>
      <x:c r="E1127" s="4" t="str">
        <x:v>逻辑校验</x:v>
      </x:c>
      <x:c r="F1127" s="4" t="str">
        <x:v>P1</x:v>
      </x:c>
      <x:c r="G1127" s="4" t="str">
        <x:v>验证直播主题40字符可填写</x:v>
      </x:c>
      <x:c r="H1127" s="4" t="str">
        <x:v>直播主题40字符可填写</x:v>
      </x:c>
      <x:c r="I1127" s="4" t="str">
        <x:v>1. 已登录主播账号
2. 其他必填字段为合法值</x:v>
      </x:c>
      <x:c r="J1127" s="4" t="str">
        <x:v>1. 进入「开播设置」页
2. 在「直播主题」输入40个「测」字符
3. 点击「保存」</x:v>
      </x:c>
      <x:c r="K1127" s="4" t="str">
        <x:v>「直播主题」保留40个字符</x:v>
      </x:c>
      <x:c r="L1127" s="4" t="str"/>
      <x:c r="M1127" s="4" t="str">
        <x:v>未测</x:v>
      </x:c>
      <x:c r="N1127" s="4" t="str"/>
      <x:c r="O1127" s="4" t="str">
        <x:v>1. 来源：MainBasis/统一需求文档.md；U-start-live-settings-003
2. 场景：SC-3986e38cf63533</x:v>
      </x:c>
    </x:row>
    <x:row r="1128" ht="68" customHeight="1">
      <x:c r="A1128" s="4" t="n">
        <x:v>1127</x:v>
      </x:c>
      <x:c r="B1128" s="4" t="str">
        <x:v>USER-1127</x:v>
      </x:c>
      <x:c r="C1128" s="4" t="str">
        <x:v>M06 开播、房型、观看、连麦与房内管理</x:v>
      </x:c>
      <x:c r="D1128" s="4" t="str">
        <x:v>开播设置（主播视角）</x:v>
      </x:c>
      <x:c r="E1128" s="4" t="str">
        <x:v>异常用例</x:v>
      </x:c>
      <x:c r="F1128" s="4" t="str">
        <x:v>P1</x:v>
      </x:c>
      <x:c r="G1128" s="4" t="str">
        <x:v>验证直播主题41字符限制</x:v>
      </x:c>
      <x:c r="H1128" s="4" t="str">
        <x:v>直播主题41字符限制</x:v>
      </x:c>
      <x:c r="I1128" s="4" t="str">
        <x:v>1. 已登录主播账号
2. 其他必填字段为合法值</x:v>
      </x:c>
      <x:c r="J1128" s="4" t="str">
        <x:v>1. 进入「开播设置」页
2. 在「直播主题」输入41个「测」字符
3. 点击「保存」</x:v>
      </x:c>
      <x:c r="K1128" s="4" t="str">
        <x:v>直播主题未通过校验，无法保存</x:v>
      </x:c>
      <x:c r="L1128" s="4" t="str"/>
      <x:c r="M1128" s="4" t="str">
        <x:v>未测</x:v>
      </x:c>
      <x:c r="N1128" s="4" t="str"/>
      <x:c r="O1128" s="4" t="str">
        <x:v>1. 来源：MainBasis/统一需求文档.md；U-start-live-settings-003
2. 场景：SC-d876f35a8a21b6</x:v>
      </x:c>
    </x:row>
    <x:row r="1129" ht="68" customHeight="1">
      <x:c r="A1129" s="4" t="n">
        <x:v>1128</x:v>
      </x:c>
      <x:c r="B1129" s="4" t="str">
        <x:v>USER-1128</x:v>
      </x:c>
      <x:c r="C1129" s="4" t="str">
        <x:v>M06 开播、房型、观看、连麦与房内管理</x:v>
      </x:c>
      <x:c r="D1129" s="4" t="str">
        <x:v>开播设置（主播视角）</x:v>
      </x:c>
      <x:c r="E1129" s="4" t="str">
        <x:v>功能需求</x:v>
      </x:c>
      <x:c r="F1129" s="4" t="str">
        <x:v>P1</x:v>
      </x:c>
      <x:c r="G1129" s="4" t="str">
        <x:v>验证开播未选分类</x:v>
      </x:c>
      <x:c r="H1129" s="4" t="str">
        <x:v>开播未选分类</x:v>
      </x:c>
      <x:c r="I1129" s="4" t="str">
        <x:v>1. 已登录主播账号
2. 该必选分类未选择，其他字段合法</x:v>
      </x:c>
      <x:c r="J1129" s="4" t="str">
        <x:v>1. 进入「开播设置」页
2. 查看开播未选分类</x:v>
      </x:c>
      <x:c r="K1129" s="4" t="str">
        <x:v>不能开始直播</x:v>
      </x:c>
      <x:c r="L1129" s="4" t="str"/>
      <x:c r="M1129" s="4" t="str">
        <x:v>未测</x:v>
      </x:c>
      <x:c r="N1129" s="4" t="str"/>
      <x:c r="O1129" s="4" t="str">
        <x:v>1. 来源：MainBasis/统一需求文档.md；U-start-live-settings-004
2. 场景：SC-0ba3b8ec94ee3b</x:v>
      </x:c>
    </x:row>
    <x:row r="1130" ht="68" customHeight="1">
      <x:c r="A1130" s="4" t="n">
        <x:v>1129</x:v>
      </x:c>
      <x:c r="B1130" s="4" t="str">
        <x:v>USER-1129</x:v>
      </x:c>
      <x:c r="C1130" s="4" t="str">
        <x:v>M06 开播、房型、观看、连麦与房内管理</x:v>
      </x:c>
      <x:c r="D1130" s="4" t="str">
        <x:v>开播设置（主播视角）</x:v>
      </x:c>
      <x:c r="E1130" s="4" t="str">
        <x:v>功能需求</x:v>
      </x:c>
      <x:c r="F1130" s="4" t="str">
        <x:v>P1</x:v>
      </x:c>
      <x:c r="G1130" s="4" t="str">
        <x:v>验证开播未选房型</x:v>
      </x:c>
      <x:c r="H1130" s="4" t="str">
        <x:v>开播未选房型</x:v>
      </x:c>
      <x:c r="I1130" s="4" t="str">
        <x:v>1. 已登录主播账号
2. 该必选房型未选择，其他字段合法</x:v>
      </x:c>
      <x:c r="J1130" s="4" t="str">
        <x:v>1. 进入「开播设置」页
2. 查看开播未选房型</x:v>
      </x:c>
      <x:c r="K1130" s="4" t="str">
        <x:v>不能开始直播</x:v>
      </x:c>
      <x:c r="L1130" s="4" t="str"/>
      <x:c r="M1130" s="4" t="str">
        <x:v>未测</x:v>
      </x:c>
      <x:c r="N1130" s="4" t="str"/>
      <x:c r="O1130" s="4" t="str">
        <x:v>1. 来源：MainBasis/统一需求文档.md；U-start-live-settings-005
2. 场景：SC-6b8b04806b91c9</x:v>
      </x:c>
    </x:row>
    <x:row r="1131" ht="82" customHeight="1">
      <x:c r="A1131" s="4" t="n">
        <x:v>1130</x:v>
      </x:c>
      <x:c r="B1131" s="4" t="str">
        <x:v>USER-1130</x:v>
      </x:c>
      <x:c r="C1131" s="4" t="str">
        <x:v>M06 开播、房型、观看、连麦与房内管理</x:v>
      </x:c>
      <x:c r="D1131" s="4" t="str">
        <x:v>开播设置（主播视角）</x:v>
      </x:c>
      <x:c r="E1131" s="4" t="str">
        <x:v>功能需求</x:v>
      </x:c>
      <x:c r="F1131" s="4" t="str">
        <x:v>P1</x:v>
      </x:c>
      <x:c r="G1131" s="4" t="str">
        <x:v>验证普通房成功开播</x:v>
      </x:c>
      <x:c r="H1131" s="4" t="str">
        <x:v>普通房成功开播</x:v>
      </x:c>
      <x:c r="I1131" s="4" t="str">
        <x:v>1. 已登录主播账号
2. 五项开播条件满足，相机与麦克风已授权
3. 选择普通房且该房型字段已填合法值</x:v>
      </x:c>
      <x:c r="J1131" s="4" t="str">
        <x:v>1. 进入「开播设置」页
2. 点击开始直播</x:v>
      </x:c>
      <x:c r="K1131" s="4" t="str">
        <x:v>创建新的普通房场次并进入主播直播间</x:v>
      </x:c>
      <x:c r="L1131" s="4" t="str">
        <x:v>FLOW-3316A78D</x:v>
      </x:c>
      <x:c r="M1131" s="4" t="str">
        <x:v>未测</x:v>
      </x:c>
      <x:c r="N1131" s="4" t="str"/>
      <x:c r="O1131" s="4" t="str">
        <x:v>1. 来源：MainBasis/统一需求文档.md；U-start-live-settings-010、U-start-live-settings-018、U-live-room-001
2. 场景：SC-29408f4b0853de
3. 状态转换：ST-110A98BB4BBE</x:v>
      </x:c>
    </x:row>
    <x:row r="1132" ht="82" customHeight="1">
      <x:c r="A1132" s="4" t="n">
        <x:v>1131</x:v>
      </x:c>
      <x:c r="B1132" s="4" t="str">
        <x:v>USER-1131</x:v>
      </x:c>
      <x:c r="C1132" s="4" t="str">
        <x:v>M06 开播、房型、观看、连麦与房内管理</x:v>
      </x:c>
      <x:c r="D1132" s="4" t="str">
        <x:v>开播设置（主播视角）</x:v>
      </x:c>
      <x:c r="E1132" s="4" t="str">
        <x:v>功能需求</x:v>
      </x:c>
      <x:c r="F1132" s="4" t="str">
        <x:v>P1</x:v>
      </x:c>
      <x:c r="G1132" s="4" t="str">
        <x:v>验证门票房成功开播</x:v>
      </x:c>
      <x:c r="H1132" s="4" t="str">
        <x:v>门票房成功开播</x:v>
      </x:c>
      <x:c r="I1132" s="4" t="str">
        <x:v>1. 已登录主播账号
2. 五项开播条件满足，相机与麦克风已授权
3. 选择门票房且该房型字段已填合法值</x:v>
      </x:c>
      <x:c r="J1132" s="4" t="str">
        <x:v>1. 进入「开播设置」页
2. 点击开始直播</x:v>
      </x:c>
      <x:c r="K1132" s="4" t="str">
        <x:v>创建新的门票房场次并进入主播直播间</x:v>
      </x:c>
      <x:c r="L1132" s="4" t="str">
        <x:v>FLOW-3316A78D</x:v>
      </x:c>
      <x:c r="M1132" s="4" t="str">
        <x:v>未测</x:v>
      </x:c>
      <x:c r="N1132" s="4" t="str"/>
      <x:c r="O1132" s="4" t="str">
        <x:v>1. 来源：MainBasis/统一需求文档.md；U-start-live-settings-010、U-start-live-settings-018、U-live-room-001
2. 场景：SC-7d6f2f312c5875
3. 状态转换：ST-110A98BB4BBE</x:v>
      </x:c>
    </x:row>
    <x:row r="1133" ht="82" customHeight="1">
      <x:c r="A1133" s="4" t="n">
        <x:v>1132</x:v>
      </x:c>
      <x:c r="B1133" s="4" t="str">
        <x:v>USER-1132</x:v>
      </x:c>
      <x:c r="C1133" s="4" t="str">
        <x:v>M06 开播、房型、观看、连麦与房内管理</x:v>
      </x:c>
      <x:c r="D1133" s="4" t="str">
        <x:v>开播设置（主播视角）</x:v>
      </x:c>
      <x:c r="E1133" s="4" t="str">
        <x:v>功能需求</x:v>
      </x:c>
      <x:c r="F1133" s="4" t="str">
        <x:v>P1</x:v>
      </x:c>
      <x:c r="G1133" s="4" t="str">
        <x:v>验证密码房成功开播</x:v>
      </x:c>
      <x:c r="H1133" s="4" t="str">
        <x:v>密码房成功开播</x:v>
      </x:c>
      <x:c r="I1133" s="4" t="str">
        <x:v>1. 已登录主播账号
2. 五项开播条件满足，相机与麦克风已授权
3. 选择密码房且该房型字段已填合法值</x:v>
      </x:c>
      <x:c r="J1133" s="4" t="str">
        <x:v>1. 进入「开播设置」页
2. 点击开始直播</x:v>
      </x:c>
      <x:c r="K1133" s="4" t="str">
        <x:v>创建新的密码房场次并进入主播直播间</x:v>
      </x:c>
      <x:c r="L1133" s="4" t="str">
        <x:v>FLOW-3316A78D</x:v>
      </x:c>
      <x:c r="M1133" s="4" t="str">
        <x:v>未测</x:v>
      </x:c>
      <x:c r="N1133" s="4" t="str"/>
      <x:c r="O1133" s="4" t="str">
        <x:v>1. 来源：MainBasis/统一需求文档.md；U-start-live-settings-010、U-start-live-settings-018、U-live-room-001
2. 场景：SC-10e91af6809dfa
3. 状态转换：ST-110A98BB4BBE</x:v>
      </x:c>
    </x:row>
    <x:row r="1134" ht="68" customHeight="1">
      <x:c r="A1134" s="4" t="n">
        <x:v>1133</x:v>
      </x:c>
      <x:c r="B1134" s="4" t="str">
        <x:v>USER-1133</x:v>
      </x:c>
      <x:c r="C1134" s="4" t="str">
        <x:v>M06 开播、房型、观看、连麦与房内管理</x:v>
      </x:c>
      <x:c r="D1134" s="4" t="str">
        <x:v>开播设置（主播视角）</x:v>
      </x:c>
      <x:c r="E1134" s="4" t="str">
        <x:v>功能需求</x:v>
      </x:c>
      <x:c r="F1134" s="4" t="str">
        <x:v>P1</x:v>
      </x:c>
      <x:c r="G1134" s="4" t="str">
        <x:v>验证首次开播申请相机</x:v>
      </x:c>
      <x:c r="H1134" s="4" t="str">
        <x:v>首次开播申请相机</x:v>
      </x:c>
      <x:c r="I1134" s="4" t="str">
        <x:v>1. 已登录主播账号
2. 开播字段与业务条件满足
3. 相机从未申请权限，另一项已授权</x:v>
      </x:c>
      <x:c r="J1134" s="4" t="str">
        <x:v>1. 进入「开播设置」页
2. 点击开始直播</x:v>
      </x:c>
      <x:c r="K1134" s="4" t="str">
        <x:v>直接调用系统相机权限弹窗</x:v>
      </x:c>
      <x:c r="L1134" s="4" t="str"/>
      <x:c r="M1134" s="4" t="str">
        <x:v>未测</x:v>
      </x:c>
      <x:c r="N1134" s="4" t="str"/>
      <x:c r="O1134" s="4" t="str">
        <x:v>1. 来源：MainBasis/统一需求文档.md；U-start-live-settings-012
2. 场景：SC-0fc4acda40dc8e</x:v>
      </x:c>
    </x:row>
    <x:row r="1135" ht="68" customHeight="1">
      <x:c r="A1135" s="4" t="n">
        <x:v>1134</x:v>
      </x:c>
      <x:c r="B1135" s="4" t="str">
        <x:v>USER-1134</x:v>
      </x:c>
      <x:c r="C1135" s="4" t="str">
        <x:v>M06 开播、房型、观看、连麦与房内管理</x:v>
      </x:c>
      <x:c r="D1135" s="4" t="str">
        <x:v>开播设置（主播视角）</x:v>
      </x:c>
      <x:c r="E1135" s="4" t="str">
        <x:v>功能需求</x:v>
      </x:c>
      <x:c r="F1135" s="4" t="str">
        <x:v>P1</x:v>
      </x:c>
      <x:c r="G1135" s="4" t="str">
        <x:v>验证相机拒绝开播</x:v>
      </x:c>
      <x:c r="H1135" s="4" t="str">
        <x:v>相机拒绝开播</x:v>
      </x:c>
      <x:c r="I1135" s="4" t="str">
        <x:v>1. 已登录主播账号
2. 开播业务条件和字段满足
3. 相机权限被拒绝</x:v>
      </x:c>
      <x:c r="J1135" s="4" t="str">
        <x:v>1. 进入「开播设置」页
2. 点击开始直播</x:v>
      </x:c>
      <x:c r="K1135" s="4" t="str">
        <x:v>停留开播设置，提示“权限未开启，请前往系统设置”，提供取消、前往设置</x:v>
      </x:c>
      <x:c r="L1135" s="4" t="str"/>
      <x:c r="M1135" s="4" t="str">
        <x:v>未测</x:v>
      </x:c>
      <x:c r="N1135" s="4" t="str"/>
      <x:c r="O1135" s="4" t="str">
        <x:v>1. 来源：MainBasis/统一需求文档.md；U-start-live-settings-019
2. 场景：SC-765ef232e3f112</x:v>
      </x:c>
    </x:row>
    <x:row r="1136" ht="68" customHeight="1">
      <x:c r="A1136" s="4" t="n">
        <x:v>1135</x:v>
      </x:c>
      <x:c r="B1136" s="4" t="str">
        <x:v>USER-1135</x:v>
      </x:c>
      <x:c r="C1136" s="4" t="str">
        <x:v>M06 开播、房型、观看、连麦与房内管理</x:v>
      </x:c>
      <x:c r="D1136" s="4" t="str">
        <x:v>开播设置（主播视角）</x:v>
      </x:c>
      <x:c r="E1136" s="4" t="str">
        <x:v>功能需求</x:v>
      </x:c>
      <x:c r="F1136" s="4" t="str">
        <x:v>P1</x:v>
      </x:c>
      <x:c r="G1136" s="4" t="str">
        <x:v>验证首次开播申请麦克风</x:v>
      </x:c>
      <x:c r="H1136" s="4" t="str">
        <x:v>首次开播申请麦克风</x:v>
      </x:c>
      <x:c r="I1136" s="4" t="str">
        <x:v>1. 已登录主播账号
2. 开播字段与业务条件满足
3. 麦克风从未申请权限，另一项已授权</x:v>
      </x:c>
      <x:c r="J1136" s="4" t="str">
        <x:v>1. 进入「开播设置」页
2. 点击开始直播</x:v>
      </x:c>
      <x:c r="K1136" s="4" t="str">
        <x:v>直接调用系统麦克风权限弹窗</x:v>
      </x:c>
      <x:c r="L1136" s="4" t="str"/>
      <x:c r="M1136" s="4" t="str">
        <x:v>未测</x:v>
      </x:c>
      <x:c r="N1136" s="4" t="str"/>
      <x:c r="O1136" s="4" t="str">
        <x:v>1. 来源：MainBasis/统一需求文档.md；U-start-live-settings-012
2. 场景：SC-f21b74c2a58d30</x:v>
      </x:c>
    </x:row>
    <x:row r="1137" ht="68" customHeight="1">
      <x:c r="A1137" s="4" t="n">
        <x:v>1136</x:v>
      </x:c>
      <x:c r="B1137" s="4" t="str">
        <x:v>USER-1136</x:v>
      </x:c>
      <x:c r="C1137" s="4" t="str">
        <x:v>M06 开播、房型、观看、连麦与房内管理</x:v>
      </x:c>
      <x:c r="D1137" s="4" t="str">
        <x:v>开播设置（主播视角）</x:v>
      </x:c>
      <x:c r="E1137" s="4" t="str">
        <x:v>功能需求</x:v>
      </x:c>
      <x:c r="F1137" s="4" t="str">
        <x:v>P1</x:v>
      </x:c>
      <x:c r="G1137" s="4" t="str">
        <x:v>验证麦克风拒绝开播</x:v>
      </x:c>
      <x:c r="H1137" s="4" t="str">
        <x:v>麦克风拒绝开播</x:v>
      </x:c>
      <x:c r="I1137" s="4" t="str">
        <x:v>1. 已登录主播账号
2. 开播业务条件和字段满足
3. 麦克风权限被拒绝</x:v>
      </x:c>
      <x:c r="J1137" s="4" t="str">
        <x:v>1. 进入「开播设置」页
2. 点击开始直播</x:v>
      </x:c>
      <x:c r="K1137" s="4" t="str">
        <x:v>停留开播设置，提示“权限未开启，请前往系统设置”，提供取消、前往设置</x:v>
      </x:c>
      <x:c r="L1137" s="4" t="str"/>
      <x:c r="M1137" s="4" t="str">
        <x:v>未测</x:v>
      </x:c>
      <x:c r="N1137" s="4" t="str"/>
      <x:c r="O1137" s="4" t="str">
        <x:v>1. 来源：MainBasis/统一需求文档.md；U-start-live-settings-019
2. 场景：SC-58722a2d87bd52</x:v>
      </x:c>
    </x:row>
    <x:row r="1138" ht="68" customHeight="1">
      <x:c r="A1138" s="4" t="n">
        <x:v>1137</x:v>
      </x:c>
      <x:c r="B1138" s="4" t="str">
        <x:v>USER-1137</x:v>
      </x:c>
      <x:c r="C1138" s="4" t="str">
        <x:v>M06 开播、房型、观看、连麦与房内管理</x:v>
      </x:c>
      <x:c r="D1138" s="4" t="str">
        <x:v>开播设置（主播视角）</x:v>
      </x:c>
      <x:c r="E1138" s="4" t="str">
        <x:v>功能需求</x:v>
      </x:c>
      <x:c r="F1138" s="4" t="str">
        <x:v>P1</x:v>
      </x:c>
      <x:c r="G1138" s="4" t="str">
        <x:v>验证开播权限提示取消</x:v>
      </x:c>
      <x:c r="H1138" s="4" t="str">
        <x:v>开播权限提示取消</x:v>
      </x:c>
      <x:c r="I1138" s="4" t="str">
        <x:v>1. 已登录主播账号
2. 开播权限被拒绝提示已展示</x:v>
      </x:c>
      <x:c r="J1138" s="4" t="str">
        <x:v>1. 进入「开播设置」页
2. 点击取消</x:v>
      </x:c>
      <x:c r="K1138" s="4" t="str">
        <x:v>仍停留开播设置</x:v>
      </x:c>
      <x:c r="L1138" s="4" t="str"/>
      <x:c r="M1138" s="4" t="str">
        <x:v>未测</x:v>
      </x:c>
      <x:c r="N1138" s="4" t="str"/>
      <x:c r="O1138" s="4" t="str">
        <x:v>1. 来源：MainBasis/统一需求文档.md；U-start-live-settings-019
2. 场景：SC-3948c0d7e1463e</x:v>
      </x:c>
    </x:row>
    <x:row r="1139" ht="68" customHeight="1">
      <x:c r="A1139" s="4" t="n">
        <x:v>1138</x:v>
      </x:c>
      <x:c r="B1139" s="4" t="str">
        <x:v>USER-1138</x:v>
      </x:c>
      <x:c r="C1139" s="4" t="str">
        <x:v>M06 开播、房型、观看、连麦与房内管理</x:v>
      </x:c>
      <x:c r="D1139" s="4" t="str">
        <x:v>开播设置（主播视角）</x:v>
      </x:c>
      <x:c r="E1139" s="4" t="str">
        <x:v>功能需求</x:v>
      </x:c>
      <x:c r="F1139" s="4" t="str">
        <x:v>P1</x:v>
      </x:c>
      <x:c r="G1139" s="4" t="str">
        <x:v>验证开播权限提示前往设置</x:v>
      </x:c>
      <x:c r="H1139" s="4" t="str">
        <x:v>开播权限提示前往设置</x:v>
      </x:c>
      <x:c r="I1139" s="4" t="str">
        <x:v>1. 已登录主播账号
2. 开播权限被拒绝提示已展示</x:v>
      </x:c>
      <x:c r="J1139" s="4" t="str">
        <x:v>1. 进入「开播设置」页
2. 点击前往设置</x:v>
      </x:c>
      <x:c r="K1139" s="4" t="str">
        <x:v>打开手机系统设置</x:v>
      </x:c>
      <x:c r="L1139" s="4" t="str"/>
      <x:c r="M1139" s="4" t="str">
        <x:v>未测</x:v>
      </x:c>
      <x:c r="N1139" s="4" t="str"/>
      <x:c r="O1139" s="4" t="str">
        <x:v>1. 来源：MainBasis/统一需求文档.md；U-start-live-settings-019
2. 场景：SC-59bba23639af4d</x:v>
      </x:c>
    </x:row>
    <x:row r="1140" ht="68" customHeight="1">
      <x:c r="A1140" s="4" t="n">
        <x:v>1139</x:v>
      </x:c>
      <x:c r="B1140" s="4" t="str">
        <x:v>USER-1139</x:v>
      </x:c>
      <x:c r="C1140" s="4" t="str">
        <x:v>M06 开播、房型、观看、连麦与房内管理</x:v>
      </x:c>
      <x:c r="D1140" s="4" t="str">
        <x:v>开播设置（主播视角）</x:v>
      </x:c>
      <x:c r="E1140" s="4" t="str">
        <x:v>功能需求</x:v>
      </x:c>
      <x:c r="F1140" s="4" t="str">
        <x:v>P1</x:v>
      </x:c>
      <x:c r="G1140" s="4" t="str">
        <x:v>验证取消选封面保留原图</x:v>
      </x:c>
      <x:c r="H1140" s="4" t="str">
        <x:v>取消选封面保留原图</x:v>
      </x:c>
      <x:c r="I1140" s="4" t="str">
        <x:v>1. 已登录主播账号
2. 本次开播已选择封面</x:v>
      </x:c>
      <x:c r="J1140" s="4" t="str">
        <x:v>1. 进入「开播设置」页
2. 点击修改封面
3. 取消系统照片选择</x:v>
      </x:c>
      <x:c r="K1140" s="4" t="str">
        <x:v>原封面保留</x:v>
      </x:c>
      <x:c r="L1140" s="4" t="str"/>
      <x:c r="M1140" s="4" t="str">
        <x:v>未测</x:v>
      </x:c>
      <x:c r="N1140" s="4" t="str"/>
      <x:c r="O1140" s="4" t="str">
        <x:v>1. 来源：MainBasis/统一需求文档.md；U-start-live-settings-020
2. 场景：SC-e5212cd088b6bd</x:v>
      </x:c>
    </x:row>
    <x:row r="1141" ht="68" customHeight="1">
      <x:c r="A1141" s="4" t="n">
        <x:v>1140</x:v>
      </x:c>
      <x:c r="B1141" s="4" t="str">
        <x:v>USER-1140</x:v>
      </x:c>
      <x:c r="C1141" s="4" t="str">
        <x:v>M06 开播、房型、观看、连麦与房内管理</x:v>
      </x:c>
      <x:c r="D1141" s="4" t="str">
        <x:v>开播设置（主播视角）</x:v>
      </x:c>
      <x:c r="E1141" s="4" t="str">
        <x:v>功能需求</x:v>
      </x:c>
      <x:c r="F1141" s="4" t="str">
        <x:v>P1</x:v>
      </x:c>
      <x:c r="G1141" s="4" t="str">
        <x:v>验证选封面仅读选中照片</x:v>
      </x:c>
      <x:c r="H1141" s="4" t="str">
        <x:v>选封面仅读选中照片</x:v>
      </x:c>
      <x:c r="I1141" s="4" t="str">
        <x:v>1. 已登录主播账号</x:v>
      </x:c>
      <x:c r="J1141" s="4" t="str">
        <x:v>1. 进入「开播设置」页
2. 点击修改封面
3. 在系统选择器选择一张图片</x:v>
      </x:c>
      <x:c r="K1141" s="4" t="str">
        <x:v>仅使用所选图片，不申请完整相册权限</x:v>
      </x:c>
      <x:c r="L1141" s="4" t="str"/>
      <x:c r="M1141" s="4" t="str">
        <x:v>未测</x:v>
      </x:c>
      <x:c r="N1141" s="4" t="str"/>
      <x:c r="O1141" s="4" t="str">
        <x:v>1. 来源：MainBasis/统一需求文档.md；U-start-live-settings-013
2. 场景：SC-7950ed8e939681</x:v>
      </x:c>
    </x:row>
    <x:row r="1142" ht="68" customHeight="1">
      <x:c r="A1142" s="4" t="n">
        <x:v>1141</x:v>
      </x:c>
      <x:c r="B1142" s="4" t="str">
        <x:v>USER-1141</x:v>
      </x:c>
      <x:c r="C1142" s="4" t="str">
        <x:v>M06 开播、房型、观看、连麦与房内管理</x:v>
      </x:c>
      <x:c r="D1142" s="4" t="str">
        <x:v>开播设置（主播视角）</x:v>
      </x:c>
      <x:c r="E1142" s="4" t="str">
        <x:v>功能需求</x:v>
      </x:c>
      <x:c r="F1142" s="4" t="str">
        <x:v>P1</x:v>
      </x:c>
      <x:c r="G1142" s="4" t="str">
        <x:v>验证门票档位未选择</x:v>
      </x:c>
      <x:c r="H1142" s="4" t="str">
        <x:v>门票档位未选择</x:v>
      </x:c>
      <x:c r="I1142" s="4" t="str">
        <x:v>1. 已登录主播账号
2. 当前选择门票房
3. 价格未选择</x:v>
      </x:c>
      <x:c r="J1142" s="4" t="str">
        <x:v>1. 进入「开播设置」页
2. 确认房型</x:v>
      </x:c>
      <x:c r="K1142" s="4" t="str">
        <x:v>不保存并提示“请选择有效的门票价格”</x:v>
      </x:c>
      <x:c r="L1142" s="4" t="str"/>
      <x:c r="M1142" s="4" t="str">
        <x:v>未测</x:v>
      </x:c>
      <x:c r="N1142" s="4" t="str"/>
      <x:c r="O1142" s="4" t="str">
        <x:v>1. 来源：MainBasis/统一需求文档.md；U-start-live-settings-016、U-views_start-live-settings_room-ticket-006
2. 场景：SC-a8ef2612f55237</x:v>
      </x:c>
    </x:row>
    <x:row r="1143" ht="68" customHeight="1">
      <x:c r="A1143" s="4" t="n">
        <x:v>1142</x:v>
      </x:c>
      <x:c r="B1143" s="4" t="str">
        <x:v>USER-1142</x:v>
      </x:c>
      <x:c r="C1143" s="4" t="str">
        <x:v>M06 开播、房型、观看、连麦与房内管理</x:v>
      </x:c>
      <x:c r="D1143" s="4" t="str">
        <x:v>开播设置（主播视角）</x:v>
      </x:c>
      <x:c r="E1143" s="4" t="str">
        <x:v>功能需求</x:v>
      </x:c>
      <x:c r="F1143" s="4" t="str">
        <x:v>P1</x:v>
      </x:c>
      <x:c r="G1143" s="4" t="str">
        <x:v>验证门票档位已停用</x:v>
      </x:c>
      <x:c r="H1143" s="4" t="str">
        <x:v>门票档位已停用</x:v>
      </x:c>
      <x:c r="I1143" s="4" t="str">
        <x:v>1. 已登录主播账号
2. 当前选择门票房
3. 价格已停用</x:v>
      </x:c>
      <x:c r="J1143" s="4" t="str">
        <x:v>1. 进入「开播设置」页
2. 确认房型</x:v>
      </x:c>
      <x:c r="K1143" s="4" t="str">
        <x:v>不保存并提示“请选择有效的门票价格”</x:v>
      </x:c>
      <x:c r="L1143" s="4" t="str"/>
      <x:c r="M1143" s="4" t="str">
        <x:v>未测</x:v>
      </x:c>
      <x:c r="N1143" s="4" t="str"/>
      <x:c r="O1143" s="4" t="str">
        <x:v>1. 来源：MainBasis/统一需求文档.md；U-start-live-settings-016、U-views_start-live-settings_room-ticket-006
2. 场景：SC-2faca3f546edc4</x:v>
      </x:c>
    </x:row>
    <x:row r="1144" ht="68" customHeight="1">
      <x:c r="A1144" s="4" t="n">
        <x:v>1143</x:v>
      </x:c>
      <x:c r="B1144" s="4" t="str">
        <x:v>USER-1143</x:v>
      </x:c>
      <x:c r="C1144" s="4" t="str">
        <x:v>M06 开播、房型、观看、连麦与房内管理</x:v>
      </x:c>
      <x:c r="D1144" s="4" t="str">
        <x:v>开播设置（主播视角）</x:v>
      </x:c>
      <x:c r="E1144" s="4" t="str">
        <x:v>功能需求</x:v>
      </x:c>
      <x:c r="F1144" s="4" t="str">
        <x:v>P1</x:v>
      </x:c>
      <x:c r="G1144" s="4" t="str">
        <x:v>验证门票档位有效档位</x:v>
      </x:c>
      <x:c r="H1144" s="4" t="str">
        <x:v>门票档位有效档位</x:v>
      </x:c>
      <x:c r="I1144" s="4" t="str">
        <x:v>1. 已登录主播账号
2. 当前选择门票房
3. 价格有效档位</x:v>
      </x:c>
      <x:c r="J1144" s="4" t="str">
        <x:v>1. 进入「开播设置」页
2. 确认房型</x:v>
      </x:c>
      <x:c r="K1144" s="4" t="str">
        <x:v>门票房与选中价格回填</x:v>
      </x:c>
      <x:c r="L1144" s="4" t="str"/>
      <x:c r="M1144" s="4" t="str">
        <x:v>未测</x:v>
      </x:c>
      <x:c r="N1144" s="4" t="str"/>
      <x:c r="O1144" s="4" t="str">
        <x:v>1. 来源：MainBasis/统一需求文档.md；U-start-live-settings-016、U-views_start-live-settings_room-ticket-006
2. 场景：SC-cef6bdda20726b</x:v>
      </x:c>
    </x:row>
    <x:row r="1145" ht="96" customHeight="1">
      <x:c r="A1145" s="4" t="n">
        <x:v>1144</x:v>
      </x:c>
      <x:c r="B1145" s="4" t="str">
        <x:v>USER-1144</x:v>
      </x:c>
      <x:c r="C1145" s="4" t="str">
        <x:v>M06 开播、房型、观看、连麦与房内管理</x:v>
      </x:c>
      <x:c r="D1145" s="4" t="str">
        <x:v>开播设置（主播视角）</x:v>
      </x:c>
      <x:c r="E1145" s="4" t="str">
        <x:v>功能需求</x:v>
      </x:c>
      <x:c r="F1145" s="4" t="str">
        <x:v>P1</x:v>
      </x:c>
      <x:c r="G1145" s="4" t="str">
        <x:v>验证可见粉丝0人头像上限</x:v>
      </x:c>
      <x:c r="H1145" s="4" t="str">
        <x:v>可见粉丝0人头像上限</x:v>
      </x:c>
      <x:c r="I1145" s="4" t="str">
        <x:v>1. 已登录主播账号
2. 已开启粉丝授权
3. 已选择0名有效粉丝</x:v>
      </x:c>
      <x:c r="J1145" s="4" t="str">
        <x:v>1. 进入「开播设置」页
2. 查看可见粉丝0人头像上限</x:v>
      </x:c>
      <x:c r="K1145" s="4" t="str">
        <x:v>已选人数为0，头像最多0个，编辑图标在末尾</x:v>
      </x:c>
      <x:c r="L1145" s="4" t="str"/>
      <x:c r="M1145" s="4" t="str">
        <x:v>未测</x:v>
      </x:c>
      <x:c r="N1145" s="4" t="str"/>
      <x:c r="O1145" s="4" t="str">
        <x:v>1. 来源：MainBasis/统一需求文档.md；U-start-live-settings-021、U-start-live-settings-008、U-views_start-live-settings_room-password-004、U-views_start-live-settings_room-password-011
2. 场景：SC-f5e7bcdc273f16</x:v>
      </x:c>
    </x:row>
    <x:row r="1146" ht="96" customHeight="1">
      <x:c r="A1146" s="4" t="n">
        <x:v>1145</x:v>
      </x:c>
      <x:c r="B1146" s="4" t="str">
        <x:v>USER-1145</x:v>
      </x:c>
      <x:c r="C1146" s="4" t="str">
        <x:v>M06 开播、房型、观看、连麦与房内管理</x:v>
      </x:c>
      <x:c r="D1146" s="4" t="str">
        <x:v>开播设置（主播视角）</x:v>
      </x:c>
      <x:c r="E1146" s="4" t="str">
        <x:v>功能需求</x:v>
      </x:c>
      <x:c r="F1146" s="4" t="str">
        <x:v>P1</x:v>
      </x:c>
      <x:c r="G1146" s="4" t="str">
        <x:v>验证可见粉丝1人头像上限</x:v>
      </x:c>
      <x:c r="H1146" s="4" t="str">
        <x:v>可见粉丝1人头像上限</x:v>
      </x:c>
      <x:c r="I1146" s="4" t="str">
        <x:v>1. 已登录主播账号
2. 已开启粉丝授权
3. 已选择1名有效粉丝</x:v>
      </x:c>
      <x:c r="J1146" s="4" t="str">
        <x:v>1. 进入「开播设置」页
2. 查看可见粉丝1人头像上限</x:v>
      </x:c>
      <x:c r="K1146" s="4" t="str">
        <x:v>已选人数为1，头像最多1个，编辑图标在末尾</x:v>
      </x:c>
      <x:c r="L1146" s="4" t="str"/>
      <x:c r="M1146" s="4" t="str">
        <x:v>未测</x:v>
      </x:c>
      <x:c r="N1146" s="4" t="str"/>
      <x:c r="O1146" s="4" t="str">
        <x:v>1. 来源：MainBasis/统一需求文档.md；U-start-live-settings-021、U-start-live-settings-008、U-views_start-live-settings_room-password-004、U-views_start-live-settings_room-password-011
2. 场景：SC-a02fde4b5f4f92</x:v>
      </x:c>
    </x:row>
    <x:row r="1147" ht="96" customHeight="1">
      <x:c r="A1147" s="4" t="n">
        <x:v>1146</x:v>
      </x:c>
      <x:c r="B1147" s="4" t="str">
        <x:v>USER-1146</x:v>
      </x:c>
      <x:c r="C1147" s="4" t="str">
        <x:v>M06 开播、房型、观看、连麦与房内管理</x:v>
      </x:c>
      <x:c r="D1147" s="4" t="str">
        <x:v>开播设置（主播视角）</x:v>
      </x:c>
      <x:c r="E1147" s="4" t="str">
        <x:v>功能需求</x:v>
      </x:c>
      <x:c r="F1147" s="4" t="str">
        <x:v>P1</x:v>
      </x:c>
      <x:c r="G1147" s="4" t="str">
        <x:v>验证可见粉丝5人头像上限</x:v>
      </x:c>
      <x:c r="H1147" s="4" t="str">
        <x:v>可见粉丝5人头像上限</x:v>
      </x:c>
      <x:c r="I1147" s="4" t="str">
        <x:v>1. 已登录主播账号
2. 已开启粉丝授权
3. 已选择5名有效粉丝</x:v>
      </x:c>
      <x:c r="J1147" s="4" t="str">
        <x:v>1. 进入「开播设置」页
2. 查看可见粉丝5人头像上限</x:v>
      </x:c>
      <x:c r="K1147" s="4" t="str">
        <x:v>已选人数为5，头像最多5个，编辑图标在末尾</x:v>
      </x:c>
      <x:c r="L1147" s="4" t="str"/>
      <x:c r="M1147" s="4" t="str">
        <x:v>未测</x:v>
      </x:c>
      <x:c r="N1147" s="4" t="str"/>
      <x:c r="O1147" s="4" t="str">
        <x:v>1. 来源：MainBasis/统一需求文档.md；U-start-live-settings-021、U-start-live-settings-008、U-views_start-live-settings_room-password-004、U-views_start-live-settings_room-password-011
2. 场景：SC-51073ec33b4cce</x:v>
      </x:c>
    </x:row>
    <x:row r="1148" ht="96" customHeight="1">
      <x:c r="A1148" s="4" t="n">
        <x:v>1147</x:v>
      </x:c>
      <x:c r="B1148" s="4" t="str">
        <x:v>USER-1147</x:v>
      </x:c>
      <x:c r="C1148" s="4" t="str">
        <x:v>M06 开播、房型、观看、连麦与房内管理</x:v>
      </x:c>
      <x:c r="D1148" s="4" t="str">
        <x:v>开播设置（主播视角）</x:v>
      </x:c>
      <x:c r="E1148" s="4" t="str">
        <x:v>功能需求</x:v>
      </x:c>
      <x:c r="F1148" s="4" t="str">
        <x:v>P1</x:v>
      </x:c>
      <x:c r="G1148" s="4" t="str">
        <x:v>验证可见粉丝6人头像上限</x:v>
      </x:c>
      <x:c r="H1148" s="4" t="str">
        <x:v>可见粉丝6人头像上限</x:v>
      </x:c>
      <x:c r="I1148" s="4" t="str">
        <x:v>1. 已登录主播账号
2. 已开启粉丝授权
3. 已选择6名有效粉丝</x:v>
      </x:c>
      <x:c r="J1148" s="4" t="str">
        <x:v>1. 进入「开播设置」页
2. 查看可见粉丝6人头像上限</x:v>
      </x:c>
      <x:c r="K1148" s="4" t="str">
        <x:v>已选人数为6，头像最多5个并显示“...”，编辑图标在末尾</x:v>
      </x:c>
      <x:c r="L1148" s="4" t="str"/>
      <x:c r="M1148" s="4" t="str">
        <x:v>未测</x:v>
      </x:c>
      <x:c r="N1148" s="4" t="str"/>
      <x:c r="O1148" s="4" t="str">
        <x:v>1. 来源：MainBasis/统一需求文档.md；U-start-live-settings-021、U-start-live-settings-008、U-views_start-live-settings_room-password-004、U-views_start-live-settings_room-password-011
2. 场景：SC-986872558c4096</x:v>
      </x:c>
    </x:row>
    <x:row r="1149" ht="82" customHeight="1">
      <x:c r="A1149" s="4" t="n">
        <x:v>1148</x:v>
      </x:c>
      <x:c r="B1149" s="4" t="str">
        <x:v>USER-1148</x:v>
      </x:c>
      <x:c r="C1149" s="4" t="str">
        <x:v>M06 开播、房型、观看、连麦与房内管理</x:v>
      </x:c>
      <x:c r="D1149" s="4" t="str">
        <x:v>开播设置（主播视角）</x:v>
      </x:c>
      <x:c r="E1149" s="4" t="str">
        <x:v>功能需求</x:v>
      </x:c>
      <x:c r="F1149" s="4" t="str">
        <x:v>P1</x:v>
      </x:c>
      <x:c r="G1149" s="4" t="str">
        <x:v>验证关闭授权保留历史名单</x:v>
      </x:c>
      <x:c r="H1149" s="4" t="str">
        <x:v>关闭授权保留历史名单</x:v>
      </x:c>
      <x:c r="I1149" s="4" t="str">
        <x:v>1. 已登录主播账号
2. 已有保存的2名有效粉丝</x:v>
      </x:c>
      <x:c r="J1149" s="4" t="str">
        <x:v>1. 进入「开播设置」页
2. 关闭粉丝授权
3. 再次开启</x:v>
      </x:c>
      <x:c r="K1149" s="4" t="str">
        <x:v>加载原2名有效粉丝</x:v>
      </x:c>
      <x:c r="L1149" s="4" t="str"/>
      <x:c r="M1149" s="4" t="str">
        <x:v>未测</x:v>
      </x:c>
      <x:c r="N1149" s="4" t="str"/>
      <x:c r="O1149" s="4" t="str">
        <x:v>1. 来源：MainBasis/统一需求文档.md；U-start-live-settings-015、U-views_start-live-settings_room-password-009、U-views_start-live-settings_room-password-006
2. 场景：SC-381d4da0a43085</x:v>
      </x:c>
    </x:row>
    <x:row r="1150" ht="68" customHeight="1">
      <x:c r="A1150" s="4" t="n">
        <x:v>1149</x:v>
      </x:c>
      <x:c r="B1150" s="4" t="str">
        <x:v>USER-1149</x:v>
      </x:c>
      <x:c r="C1150" s="4" t="str">
        <x:v>M06 开播、房型、观看、连麦与房内管理</x:v>
      </x:c>
      <x:c r="D1150" s="4" t="str">
        <x:v>开播设置（主播视角）</x:v>
      </x:c>
      <x:c r="E1150" s="4" t="str">
        <x:v>功能需求</x:v>
      </x:c>
      <x:c r="F1150" s="4" t="str">
        <x:v>P1</x:v>
      </x:c>
      <x:c r="G1150" s="4" t="str">
        <x:v>验证门票档位平铺单选</x:v>
      </x:c>
      <x:c r="H1150" s="4" t="str">
        <x:v>门票档位平铺单选</x:v>
      </x:c>
      <x:c r="I1150" s="4" t="str">
        <x:v>1. 已登录主播账号
2. 后台有3个启用与1个停用票价档位，排序已记录</x:v>
      </x:c>
      <x:c r="J1150" s="4" t="str">
        <x:v>1. 进入「开播设置」页
2. 查看门票档位平铺单选</x:v>
      </x:c>
      <x:c r="K1150" s="4" t="str">
        <x:v>平铺3个启用档位且只能单选</x:v>
      </x:c>
      <x:c r="L1150" s="4" t="str"/>
      <x:c r="M1150" s="4" t="str">
        <x:v>未测</x:v>
      </x:c>
      <x:c r="N1150" s="4" t="str"/>
      <x:c r="O1150" s="4" t="str">
        <x:v>1. 来源：MainBasis/统一需求文档.md；U-start-live-settings-006、U-views_start-live-settings_room-ticket-002
2. 场景：SC-91ecfdc726c264</x:v>
      </x:c>
    </x:row>
    <x:row r="1151" ht="68" customHeight="1">
      <x:c r="A1151" s="4" t="n">
        <x:v>1150</x:v>
      </x:c>
      <x:c r="B1151" s="4" t="str">
        <x:v>USER-1150</x:v>
      </x:c>
      <x:c r="C1151" s="4" t="str">
        <x:v>M06 开播、房型、观看、连麦与房内管理</x:v>
      </x:c>
      <x:c r="D1151" s="4" t="str">
        <x:v>开播设置（主播视角）</x:v>
      </x:c>
      <x:c r="E1151" s="4" t="str">
        <x:v>功能需求</x:v>
      </x:c>
      <x:c r="F1151" s="4" t="str">
        <x:v>P1</x:v>
      </x:c>
      <x:c r="G1151" s="4" t="str">
        <x:v>验证封面可选且本场归属</x:v>
      </x:c>
      <x:c r="H1151" s="4" t="str">
        <x:v>封面可选且本场归属</x:v>
      </x:c>
      <x:c r="I1151" s="4" t="str">
        <x:v>1. 已登录主播账号
2. 本次未选择封面，其他开播字段合法</x:v>
      </x:c>
      <x:c r="J1151" s="4" t="str">
        <x:v>1. 进入「开播设置」页
2. 查看封面可选且本场归属</x:v>
      </x:c>
      <x:c r="K1151" s="4" t="str">
        <x:v>不因未填封面而阻止开播</x:v>
      </x:c>
      <x:c r="L1151" s="4" t="str"/>
      <x:c r="M1151" s="4" t="str">
        <x:v>未测</x:v>
      </x:c>
      <x:c r="N1151" s="4" t="str"/>
      <x:c r="O1151" s="4" t="str">
        <x:v>1. 来源：MainBasis/统一需求文档.md；U-start-live-settings-002
2. 场景：SC-569828d7ea30f0</x:v>
      </x:c>
    </x:row>
    <x:row r="1152" ht="68" customHeight="1">
      <x:c r="A1152" s="4" t="n">
        <x:v>1151</x:v>
      </x:c>
      <x:c r="B1152" s="4" t="str">
        <x:v>USER-1151</x:v>
      </x:c>
      <x:c r="C1152" s="4" t="str">
        <x:v>M06 开播、房型、观看、连麦与房内管理</x:v>
      </x:c>
      <x:c r="D1152" s="4" t="str">
        <x:v>选类型（主播视角）</x:v>
      </x:c>
      <x:c r="E1152" s="4" t="str">
        <x:v>功能需求</x:v>
      </x:c>
      <x:c r="F1152" s="4" t="str">
        <x:v>P1</x:v>
      </x:c>
      <x:c r="G1152" s="4" t="str">
        <x:v>验证分类只含启用并按配置顺序</x:v>
      </x:c>
      <x:c r="H1152" s="4" t="str">
        <x:v>分类只含启用并按配置顺序</x:v>
      </x:c>
      <x:c r="I1152" s="4" t="str">
        <x:v>1. 已登录主播账号
2. 存在已启用及已下架分类，启用分类顺序已配置</x:v>
      </x:c>
      <x:c r="J1152" s="4" t="str">
        <x:v>1. 进入「开播设置」页
2. 打开「选类型」视图
3. 查看分类只含启用并按配置顺序</x:v>
      </x:c>
      <x:c r="K1152" s="4" t="str">
        <x:v>仅显示启用分类并沿用后台顺序</x:v>
      </x:c>
      <x:c r="L1152" s="4" t="str"/>
      <x:c r="M1152" s="4" t="str">
        <x:v>未测</x:v>
      </x:c>
      <x:c r="N1152" s="4" t="str"/>
      <x:c r="O1152" s="4" t="str">
        <x:v>1. 来源：MainBasis/统一需求文档.md；U-views_start-live-settings_category-004、U-views_start-live-settings_category-002
2. 场景：SC-8795e33fdee67b</x:v>
      </x:c>
    </x:row>
    <x:row r="1153" ht="68" customHeight="1">
      <x:c r="A1153" s="4" t="n">
        <x:v>1152</x:v>
      </x:c>
      <x:c r="B1153" s="4" t="str">
        <x:v>USER-1152</x:v>
      </x:c>
      <x:c r="C1153" s="4" t="str">
        <x:v>M06 开播、房型、观看、连麦与房内管理</x:v>
      </x:c>
      <x:c r="D1153" s="4" t="str">
        <x:v>选类型（主播视角）</x:v>
      </x:c>
      <x:c r="E1153" s="4" t="str">
        <x:v>功能需求</x:v>
      </x:c>
      <x:c r="F1153" s="4" t="str">
        <x:v>P1</x:v>
      </x:c>
      <x:c r="G1153" s="4" t="str">
        <x:v>验证直播分类选择</x:v>
      </x:c>
      <x:c r="H1153" s="4" t="str">
        <x:v>直播分类选择</x:v>
      </x:c>
      <x:c r="I1153" s="4" t="str">
        <x:v>1. 已登录主播账号
2. 原分类为唱歌</x:v>
      </x:c>
      <x:c r="J1153" s="4" t="str">
        <x:v>1. 进入「开播设置」页
2. 打开「选类型」视图
3. 选择另一个已启用分类</x:v>
      </x:c>
      <x:c r="K1153" s="4" t="str">
        <x:v>回填选中分类并关闭视图</x:v>
      </x:c>
      <x:c r="L1153" s="4" t="str"/>
      <x:c r="M1153" s="4" t="str">
        <x:v>未测</x:v>
      </x:c>
      <x:c r="N1153" s="4" t="str"/>
      <x:c r="O1153" s="4" t="str">
        <x:v>1. 来源：MainBasis/统一需求文档.md；U-views_start-live-settings_category-005
2. 场景：SC-a4ebd29423dc92</x:v>
      </x:c>
    </x:row>
    <x:row r="1154" ht="68" customHeight="1">
      <x:c r="A1154" s="4" t="n">
        <x:v>1153</x:v>
      </x:c>
      <x:c r="B1154" s="4" t="str">
        <x:v>USER-1153</x:v>
      </x:c>
      <x:c r="C1154" s="4" t="str">
        <x:v>M06 开播、房型、观看、连麦与房内管理</x:v>
      </x:c>
      <x:c r="D1154" s="4" t="str">
        <x:v>选类型（主播视角）</x:v>
      </x:c>
      <x:c r="E1154" s="4" t="str">
        <x:v>功能需求</x:v>
      </x:c>
      <x:c r="F1154" s="4" t="str">
        <x:v>P1</x:v>
      </x:c>
      <x:c r="G1154" s="4" t="str">
        <x:v>验证直播分类关闭未选</x:v>
      </x:c>
      <x:c r="H1154" s="4" t="str">
        <x:v>直播分类关闭未选</x:v>
      </x:c>
      <x:c r="I1154" s="4" t="str">
        <x:v>1. 已登录主播账号
2. 原分类为唱歌</x:v>
      </x:c>
      <x:c r="J1154" s="4" t="str">
        <x:v>1. 进入「开播设置」页
2. 打开「选类型」视图
3. 关闭视图</x:v>
      </x:c>
      <x:c r="K1154" s="4" t="str">
        <x:v>仍使用原分类唱歌</x:v>
      </x:c>
      <x:c r="L1154" s="4" t="str"/>
      <x:c r="M1154" s="4" t="str">
        <x:v>未测</x:v>
      </x:c>
      <x:c r="N1154" s="4" t="str"/>
      <x:c r="O1154" s="4" t="str">
        <x:v>1. 来源：MainBasis/统一需求文档.md；U-views_start-live-settings_category-005
2. 场景：SC-112274be89a1e6</x:v>
      </x:c>
    </x:row>
    <x:row r="1155" ht="82" customHeight="1">
      <x:c r="A1155" s="4" t="n">
        <x:v>1154</x:v>
      </x:c>
      <x:c r="B1155" s="4" t="str">
        <x:v>USER-1154</x:v>
      </x:c>
      <x:c r="C1155" s="4" t="str">
        <x:v>M06 开播、房型、观看、连麦与房内管理</x:v>
      </x:c>
      <x:c r="D1155" s="4" t="str">
        <x:v>房型（普通）（主播视角）</x:v>
      </x:c>
      <x:c r="E1155" s="4" t="str">
        <x:v>功能需求</x:v>
      </x:c>
      <x:c r="F1155" s="4" t="str">
        <x:v>P1</x:v>
      </x:c>
      <x:c r="G1155" s="4" t="str">
        <x:v>验证切普通房取消受限字段校验</x:v>
      </x:c>
      <x:c r="H1155" s="4" t="str">
        <x:v>切普通房取消受限字段校验</x:v>
      </x:c>
      <x:c r="I1155" s="4" t="str">
        <x:v>1. 已登录主播账号
2. 原门票房尚未选票价</x:v>
      </x:c>
      <x:c r="J1155" s="4" t="str">
        <x:v>1. 进入「开播设置」页
2. 打开「房型（普通）」视图
3. 选择普通房
4. 确认</x:v>
      </x:c>
      <x:c r="K1155" s="4" t="str">
        <x:v>无需门票或密码即可回填普通房</x:v>
      </x:c>
      <x:c r="L1155" s="4" t="str"/>
      <x:c r="M1155" s="4" t="str">
        <x:v>未测</x:v>
      </x:c>
      <x:c r="N1155" s="4" t="str"/>
      <x:c r="O1155" s="4" t="str">
        <x:v>1. 来源：MainBasis/统一需求文档.md；U-views_start-live-settings_room-normal-006、U-views_start-live-settings_room-normal-002
2. 场景：SC-25a6121df3e8fd</x:v>
      </x:c>
    </x:row>
    <x:row r="1156" ht="68" customHeight="1">
      <x:c r="A1156" s="4" t="n">
        <x:v>1155</x:v>
      </x:c>
      <x:c r="B1156" s="4" t="str">
        <x:v>USER-1155</x:v>
      </x:c>
      <x:c r="C1156" s="4" t="str">
        <x:v>M06 开播、房型、观看、连麦与房内管理</x:v>
      </x:c>
      <x:c r="D1156" s="4" t="str">
        <x:v>房型（门票房）（主播视角）</x:v>
      </x:c>
      <x:c r="E1156" s="4" t="str">
        <x:v>功能需求</x:v>
      </x:c>
      <x:c r="F1156" s="4" t="str">
        <x:v>P1</x:v>
      </x:c>
      <x:c r="G1156" s="4" t="str">
        <x:v>验证门票房平台关闭不可选</x:v>
      </x:c>
      <x:c r="H1156" s="4" t="str">
        <x:v>门票房平台关闭不可选</x:v>
      </x:c>
      <x:c r="I1156" s="4" t="str">
        <x:v>1. 已登录主播账号
2. 平台门票房功能已关闭</x:v>
      </x:c>
      <x:c r="J1156" s="4" t="str">
        <x:v>1. 进入「开播设置」页
2. 打开「房型（门票房）」视图
3. 查看门票房平台关闭不可选</x:v>
      </x:c>
      <x:c r="K1156" s="4" t="str">
        <x:v>不能选择门票房</x:v>
      </x:c>
      <x:c r="L1156" s="4" t="str"/>
      <x:c r="M1156" s="4" t="str">
        <x:v>未测</x:v>
      </x:c>
      <x:c r="N1156" s="4" t="str"/>
      <x:c r="O1156" s="4" t="str">
        <x:v>1. 来源：MainBasis/统一需求文档.md；U-views_start-live-settings_room-ticket-003
2. 场景：SC-58dbd13cf4f718</x:v>
      </x:c>
    </x:row>
    <x:row r="1157" ht="68" customHeight="1">
      <x:c r="A1157" s="4" t="n">
        <x:v>1156</x:v>
      </x:c>
      <x:c r="B1157" s="4" t="str">
        <x:v>USER-1156</x:v>
      </x:c>
      <x:c r="C1157" s="4" t="str">
        <x:v>M06 开播、房型、观看、连麦与房内管理</x:v>
      </x:c>
      <x:c r="D1157" s="4" t="str">
        <x:v>房型（门票房）（主播视角）</x:v>
      </x:c>
      <x:c r="E1157" s="4" t="str">
        <x:v>功能需求</x:v>
      </x:c>
      <x:c r="F1157" s="4" t="str">
        <x:v>P1</x:v>
      </x:c>
      <x:c r="G1157" s="4" t="str">
        <x:v>验证门票房无连麦</x:v>
      </x:c>
      <x:c r="H1157" s="4" t="str">
        <x:v>门票房无连麦</x:v>
      </x:c>
      <x:c r="I1157" s="4" t="str">
        <x:v>1. 已登录主播账号
2. 当前为门票房</x:v>
      </x:c>
      <x:c r="J1157" s="4" t="str">
        <x:v>1. 进入「开播设置」页
2. 打开「房型（门票房）」视图
3. 查看门票房无连麦</x:v>
      </x:c>
      <x:c r="K1157" s="4" t="str">
        <x:v>不提供连麦能力</x:v>
      </x:c>
      <x:c r="L1157" s="4" t="str"/>
      <x:c r="M1157" s="4" t="str">
        <x:v>未测</x:v>
      </x:c>
      <x:c r="N1157" s="4" t="str"/>
      <x:c r="O1157" s="4" t="str">
        <x:v>1. 来源：MainBasis/统一需求文档.md；U-views_start-live-settings_room-ticket-005
2. 场景：SC-7580f4fa01a586</x:v>
      </x:c>
    </x:row>
    <x:row r="1158" ht="68" customHeight="1">
      <x:c r="A1158" s="4" t="n">
        <x:v>1157</x:v>
      </x:c>
      <x:c r="B1158" s="4" t="str">
        <x:v>USER-1157</x:v>
      </x:c>
      <x:c r="C1158" s="4" t="str">
        <x:v>M06 开播、房型、观看、连麦与房内管理</x:v>
      </x:c>
      <x:c r="D1158" s="4" t="str">
        <x:v>房型（门票房）（主播视角）</x:v>
      </x:c>
      <x:c r="E1158" s="4" t="str">
        <x:v>功能需求</x:v>
      </x:c>
      <x:c r="F1158" s="4" t="str">
        <x:v>P1</x:v>
      </x:c>
      <x:c r="G1158" s="4" t="str">
        <x:v>验证后台改价不影响本场</x:v>
      </x:c>
      <x:c r="H1158" s="4" t="str">
        <x:v>后台改价不影响本场</x:v>
      </x:c>
      <x:c r="I1158" s="4" t="str">
        <x:v>1. 已登录主播账号
2. 本场开播票价50，后台档位之后改为100</x:v>
      </x:c>
      <x:c r="J1158" s="4" t="str">
        <x:v>1. 进入「开播设置」页
2. 打开「房型（门票房）」视图
3. 查看后台改价不影响本场</x:v>
      </x:c>
      <x:c r="K1158" s="4" t="str">
        <x:v>当前场次票价仍为50</x:v>
      </x:c>
      <x:c r="L1158" s="4" t="str"/>
      <x:c r="M1158" s="4" t="str">
        <x:v>未测</x:v>
      </x:c>
      <x:c r="N1158" s="4" t="str"/>
      <x:c r="O1158" s="4" t="str">
        <x:v>1. 来源：MainBasis/统一需求文档.md；U-views_start-live-settings_room-ticket-004、A-admin-ticket-price-level-006
2. 场景：SC-6e950a01ec0579</x:v>
      </x:c>
    </x:row>
    <x:row r="1159" ht="82" customHeight="1">
      <x:c r="A1159" s="4" t="n">
        <x:v>1158</x:v>
      </x:c>
      <x:c r="B1159" s="4" t="str">
        <x:v>USER-1158</x:v>
      </x:c>
      <x:c r="C1159" s="4" t="str">
        <x:v>M06 开播、房型、观看、连麦与房内管理</x:v>
      </x:c>
      <x:c r="D1159" s="4" t="str">
        <x:v>房型（密码房）（主播视角）</x:v>
      </x:c>
      <x:c r="E1159" s="4" t="str">
        <x:v>异常用例</x:v>
      </x:c>
      <x:c r="F1159" s="4" t="str">
        <x:v>P1</x:v>
      </x:c>
      <x:c r="G1159" s="4" t="str">
        <x:v>验证开播密码空值</x:v>
      </x:c>
      <x:c r="H1159" s="4" t="str">
        <x:v>开播密码空值</x:v>
      </x:c>
      <x:c r="I1159" s="4" t="str">
        <x:v>1. 已登录主播账号
2. 其他开播字段合法</x:v>
      </x:c>
      <x:c r="J1159" s="4" t="str">
        <x:v>1. 进入「开播设置」页
2. 打开「房型（密码房）」视图
3. 填写密码「」
4. 确认</x:v>
      </x:c>
      <x:c r="K1159" s="4" t="str">
        <x:v>不保存，保留输入并提示“密码必须是4-12个数字”</x:v>
      </x:c>
      <x:c r="L1159" s="4" t="str"/>
      <x:c r="M1159" s="4" t="str">
        <x:v>未测</x:v>
      </x:c>
      <x:c r="N1159" s="4" t="str"/>
      <x:c r="O1159" s="4" t="str">
        <x:v>1. 来源：MainBasis/统一需求文档.md；U-views_start-live-settings_room-password-010、U-start-live-settings-007、U-views_start-live-settings_room-password-002
2. 场景：SC-c6dfb4431ab639</x:v>
      </x:c>
    </x:row>
    <x:row r="1160" ht="82" customHeight="1">
      <x:c r="A1160" s="4" t="n">
        <x:v>1159</x:v>
      </x:c>
      <x:c r="B1160" s="4" t="str">
        <x:v>USER-1159</x:v>
      </x:c>
      <x:c r="C1160" s="4" t="str">
        <x:v>M06 开播、房型、观看、连麦与房内管理</x:v>
      </x:c>
      <x:c r="D1160" s="4" t="str">
        <x:v>房型（密码房）（主播视角）</x:v>
      </x:c>
      <x:c r="E1160" s="4" t="str">
        <x:v>异常用例</x:v>
      </x:c>
      <x:c r="F1160" s="4" t="str">
        <x:v>P1</x:v>
      </x:c>
      <x:c r="G1160" s="4" t="str">
        <x:v>验证开播密码123</x:v>
      </x:c>
      <x:c r="H1160" s="4" t="str">
        <x:v>开播密码123</x:v>
      </x:c>
      <x:c r="I1160" s="4" t="str">
        <x:v>1. 已登录主播账号
2. 其他开播字段合法</x:v>
      </x:c>
      <x:c r="J1160" s="4" t="str">
        <x:v>1. 进入「开播设置」页
2. 打开「房型（密码房）」视图
3. 填写密码「123」
4. 确认</x:v>
      </x:c>
      <x:c r="K1160" s="4" t="str">
        <x:v>不保存，保留输入并提示“密码必须是4-12个数字”</x:v>
      </x:c>
      <x:c r="L1160" s="4" t="str"/>
      <x:c r="M1160" s="4" t="str">
        <x:v>未测</x:v>
      </x:c>
      <x:c r="N1160" s="4" t="str"/>
      <x:c r="O1160" s="4" t="str">
        <x:v>1. 来源：MainBasis/统一需求文档.md；U-views_start-live-settings_room-password-010、U-start-live-settings-007、U-views_start-live-settings_room-password-002
2. 场景：SC-7f39c62bf24a04</x:v>
      </x:c>
    </x:row>
    <x:row r="1161" ht="82" customHeight="1">
      <x:c r="A1161" s="4" t="n">
        <x:v>1160</x:v>
      </x:c>
      <x:c r="B1161" s="4" t="str">
        <x:v>USER-1160</x:v>
      </x:c>
      <x:c r="C1161" s="4" t="str">
        <x:v>M06 开播、房型、观看、连麦与房内管理</x:v>
      </x:c>
      <x:c r="D1161" s="4" t="str">
        <x:v>房型（密码房）（主播视角）</x:v>
      </x:c>
      <x:c r="E1161" s="4" t="str">
        <x:v>业务流程</x:v>
      </x:c>
      <x:c r="F1161" s="4" t="str">
        <x:v>P1</x:v>
      </x:c>
      <x:c r="G1161" s="4" t="str">
        <x:v>验证开播密码1234</x:v>
      </x:c>
      <x:c r="H1161" s="4" t="str">
        <x:v>开播密码1234</x:v>
      </x:c>
      <x:c r="I1161" s="4" t="str">
        <x:v>1. 已登录主播账号
2. 其他开播字段合法</x:v>
      </x:c>
      <x:c r="J1161" s="4" t="str">
        <x:v>1. 进入「开播设置」页
2. 打开「房型（密码房）」视图
3. 填写密码「1234」
4. 确认</x:v>
      </x:c>
      <x:c r="K1161" s="4" t="str">
        <x:v>保存本场密码配置并关闭视图</x:v>
      </x:c>
      <x:c r="L1161" s="4" t="str"/>
      <x:c r="M1161" s="4" t="str">
        <x:v>未测</x:v>
      </x:c>
      <x:c r="N1161" s="4" t="str"/>
      <x:c r="O1161" s="4" t="str">
        <x:v>1. 来源：MainBasis/统一需求文档.md；U-views_start-live-settings_room-password-010、U-start-live-settings-007、U-views_start-live-settings_room-password-002
2. 场景：SC-423b41d004931b</x:v>
      </x:c>
    </x:row>
    <x:row r="1162" ht="82" customHeight="1">
      <x:c r="A1162" s="4" t="n">
        <x:v>1161</x:v>
      </x:c>
      <x:c r="B1162" s="4" t="str">
        <x:v>USER-1161</x:v>
      </x:c>
      <x:c r="C1162" s="4" t="str">
        <x:v>M06 开播、房型、观看、连麦与房内管理</x:v>
      </x:c>
      <x:c r="D1162" s="4" t="str">
        <x:v>房型（密码房）（主播视角）</x:v>
      </x:c>
      <x:c r="E1162" s="4" t="str">
        <x:v>业务流程</x:v>
      </x:c>
      <x:c r="F1162" s="4" t="str">
        <x:v>P1</x:v>
      </x:c>
      <x:c r="G1162" s="4" t="str">
        <x:v>验证开播密码12345678901</x:v>
      </x:c>
      <x:c r="H1162" s="4" t="str">
        <x:v>开播密码12345678901</x:v>
      </x:c>
      <x:c r="I1162" s="4" t="str">
        <x:v>1. 已登录主播账号
2. 其他开播字段合法</x:v>
      </x:c>
      <x:c r="J1162" s="4" t="str">
        <x:v>1. 进入「开播设置」页
2. 打开「房型（密码房）」视图
3. 填写密码「12345678901」
4. 确认</x:v>
      </x:c>
      <x:c r="K1162" s="4" t="str">
        <x:v>保存本场密码配置并关闭视图</x:v>
      </x:c>
      <x:c r="L1162" s="4" t="str"/>
      <x:c r="M1162" s="4" t="str">
        <x:v>未测</x:v>
      </x:c>
      <x:c r="N1162" s="4" t="str"/>
      <x:c r="O1162" s="4" t="str">
        <x:v>1. 来源：MainBasis/统一需求文档.md；U-views_start-live-settings_room-password-010、U-start-live-settings-007、U-views_start-live-settings_room-password-002
2. 场景：SC-038c87dc521783</x:v>
      </x:c>
    </x:row>
    <x:row r="1163" ht="82" customHeight="1">
      <x:c r="A1163" s="4" t="n">
        <x:v>1162</x:v>
      </x:c>
      <x:c r="B1163" s="4" t="str">
        <x:v>USER-1162</x:v>
      </x:c>
      <x:c r="C1163" s="4" t="str">
        <x:v>M06 开播、房型、观看、连麦与房内管理</x:v>
      </x:c>
      <x:c r="D1163" s="4" t="str">
        <x:v>房型（密码房）（主播视角）</x:v>
      </x:c>
      <x:c r="E1163" s="4" t="str">
        <x:v>业务流程</x:v>
      </x:c>
      <x:c r="F1163" s="4" t="str">
        <x:v>P1</x:v>
      </x:c>
      <x:c r="G1163" s="4" t="str">
        <x:v>验证开播密码123456789012</x:v>
      </x:c>
      <x:c r="H1163" s="4" t="str">
        <x:v>开播密码123456789012</x:v>
      </x:c>
      <x:c r="I1163" s="4" t="str">
        <x:v>1. 已登录主播账号
2. 其他开播字段合法</x:v>
      </x:c>
      <x:c r="J1163" s="4" t="str">
        <x:v>1. 进入「开播设置」页
2. 打开「房型（密码房）」视图
3. 填写密码「123456789012」
4. 确认</x:v>
      </x:c>
      <x:c r="K1163" s="4" t="str">
        <x:v>保存本场密码配置并关闭视图</x:v>
      </x:c>
      <x:c r="L1163" s="4" t="str"/>
      <x:c r="M1163" s="4" t="str">
        <x:v>未测</x:v>
      </x:c>
      <x:c r="N1163" s="4" t="str"/>
      <x:c r="O1163" s="4" t="str">
        <x:v>1. 来源：MainBasis/统一需求文档.md；U-views_start-live-settings_room-password-010、U-start-live-settings-007、U-views_start-live-settings_room-password-002
2. 场景：SC-15eb2472f4ae08</x:v>
      </x:c>
    </x:row>
    <x:row r="1164" ht="82" customHeight="1">
      <x:c r="A1164" s="4" t="n">
        <x:v>1163</x:v>
      </x:c>
      <x:c r="B1164" s="4" t="str">
        <x:v>USER-1163</x:v>
      </x:c>
      <x:c r="C1164" s="4" t="str">
        <x:v>M06 开播、房型、观看、连麦与房内管理</x:v>
      </x:c>
      <x:c r="D1164" s="4" t="str">
        <x:v>房型（密码房）（主播视角）</x:v>
      </x:c>
      <x:c r="E1164" s="4" t="str">
        <x:v>异常用例</x:v>
      </x:c>
      <x:c r="F1164" s="4" t="str">
        <x:v>P1</x:v>
      </x:c>
      <x:c r="G1164" s="4" t="str">
        <x:v>验证开播密码1234567890123</x:v>
      </x:c>
      <x:c r="H1164" s="4" t="str">
        <x:v>开播密码1234567890123</x:v>
      </x:c>
      <x:c r="I1164" s="4" t="str">
        <x:v>1. 已登录主播账号
2. 其他开播字段合法</x:v>
      </x:c>
      <x:c r="J1164" s="4" t="str">
        <x:v>1. 进入「开播设置」页
2. 打开「房型（密码房）」视图
3. 填写密码「1234567890123」
4. 确认</x:v>
      </x:c>
      <x:c r="K1164" s="4" t="str">
        <x:v>不保存，保留输入并提示“密码必须是4-12个数字”</x:v>
      </x:c>
      <x:c r="L1164" s="4" t="str"/>
      <x:c r="M1164" s="4" t="str">
        <x:v>未测</x:v>
      </x:c>
      <x:c r="N1164" s="4" t="str"/>
      <x:c r="O1164" s="4" t="str">
        <x:v>1. 来源：MainBasis/统一需求文档.md；U-views_start-live-settings_room-password-010、U-start-live-settings-007、U-views_start-live-settings_room-password-002
2. 场景：SC-a0372c61d490e5</x:v>
      </x:c>
    </x:row>
    <x:row r="1165" ht="82" customHeight="1">
      <x:c r="A1165" s="4" t="n">
        <x:v>1164</x:v>
      </x:c>
      <x:c r="B1165" s="4" t="str">
        <x:v>USER-1164</x:v>
      </x:c>
      <x:c r="C1165" s="4" t="str">
        <x:v>M06 开播、房型、观看、连麦与房内管理</x:v>
      </x:c>
      <x:c r="D1165" s="4" t="str">
        <x:v>房型（密码房）（主播视角）</x:v>
      </x:c>
      <x:c r="E1165" s="4" t="str">
        <x:v>异常用例</x:v>
      </x:c>
      <x:c r="F1165" s="4" t="str">
        <x:v>P1</x:v>
      </x:c>
      <x:c r="G1165" s="4" t="str">
        <x:v>验证开播密码12a4</x:v>
      </x:c>
      <x:c r="H1165" s="4" t="str">
        <x:v>开播密码12a4</x:v>
      </x:c>
      <x:c r="I1165" s="4" t="str">
        <x:v>1. 已登录主播账号
2. 其他开播字段合法</x:v>
      </x:c>
      <x:c r="J1165" s="4" t="str">
        <x:v>1. 进入「开播设置」页
2. 打开「房型（密码房）」视图
3. 填写密码「12a4」
4. 确认</x:v>
      </x:c>
      <x:c r="K1165" s="4" t="str">
        <x:v>不保存，保留输入并提示“密码必须是4-12个数字”</x:v>
      </x:c>
      <x:c r="L1165" s="4" t="str"/>
      <x:c r="M1165" s="4" t="str">
        <x:v>未测</x:v>
      </x:c>
      <x:c r="N1165" s="4" t="str"/>
      <x:c r="O1165" s="4" t="str">
        <x:v>1. 来源：MainBasis/统一需求文档.md；U-views_start-live-settings_room-password-010、U-start-live-settings-007、U-views_start-live-settings_room-password-002
2. 场景：SC-d54b1793fd434c</x:v>
      </x:c>
    </x:row>
    <x:row r="1166" ht="68" customHeight="1">
      <x:c r="A1166" s="4" t="n">
        <x:v>1165</x:v>
      </x:c>
      <x:c r="B1166" s="4" t="str">
        <x:v>USER-1165</x:v>
      </x:c>
      <x:c r="C1166" s="4" t="str">
        <x:v>M06 开播、房型、观看、连麦与房内管理</x:v>
      </x:c>
      <x:c r="D1166" s="4" t="str">
        <x:v>房型（密码房）（主播视角）</x:v>
      </x:c>
      <x:c r="E1166" s="4" t="str">
        <x:v>功能需求</x:v>
      </x:c>
      <x:c r="F1166" s="4" t="str">
        <x:v>P1</x:v>
      </x:c>
      <x:c r="G1166" s="4" t="str">
        <x:v>验证密码房平台关闭不可选</x:v>
      </x:c>
      <x:c r="H1166" s="4" t="str">
        <x:v>密码房平台关闭不可选</x:v>
      </x:c>
      <x:c r="I1166" s="4" t="str">
        <x:v>1. 已登录主播账号
2. 平台密码房功能已关闭</x:v>
      </x:c>
      <x:c r="J1166" s="4" t="str">
        <x:v>1. 进入「开播设置」页
2. 打开「房型（密码房）」视图
3. 查看密码房平台关闭不可选</x:v>
      </x:c>
      <x:c r="K1166" s="4" t="str">
        <x:v>不能选择密码房</x:v>
      </x:c>
      <x:c r="L1166" s="4" t="str"/>
      <x:c r="M1166" s="4" t="str">
        <x:v>未测</x:v>
      </x:c>
      <x:c r="N1166" s="4" t="str"/>
      <x:c r="O1166" s="4" t="str">
        <x:v>1. 来源：MainBasis/统一需求文档.md；U-views_start-live-settings_room-password-005
2. 场景：SC-ce9b5dba97d299</x:v>
      </x:c>
    </x:row>
    <x:row r="1167" ht="68" customHeight="1">
      <x:c r="A1167" s="4" t="n">
        <x:v>1166</x:v>
      </x:c>
      <x:c r="B1167" s="4" t="str">
        <x:v>USER-1166</x:v>
      </x:c>
      <x:c r="C1167" s="4" t="str">
        <x:v>M06 开播、房型、观看、连麦与房内管理</x:v>
      </x:c>
      <x:c r="D1167" s="4" t="str">
        <x:v>美颜设置（主播视角）</x:v>
      </x:c>
      <x:c r="E1167" s="4" t="str">
        <x:v>功能需求</x:v>
      </x:c>
      <x:c r="F1167" s="4" t="str">
        <x:v>P2</x:v>
      </x:c>
      <x:c r="G1167" s="4" t="str">
        <x:v>验证模式回显</x:v>
      </x:c>
      <x:c r="H1167" s="4" t="str">
        <x:v>模式回显</x:v>
      </x:c>
      <x:c r="I1167" s="4" t="str">
        <x:v>1. 已登录主播账号
2. 所选对象存在，已记录该对象的模式值</x:v>
      </x:c>
      <x:c r="J1167" s="4" t="str">
        <x:v>1. 进入「开播设置」页
2. 打开「美颜设置」视图
3. 查看模式回显</x:v>
      </x:c>
      <x:c r="K1167" s="4" t="str">
        <x:v>「模式」内容与所选对象的该项资料一致</x:v>
      </x:c>
      <x:c r="L1167" s="4" t="str"/>
      <x:c r="M1167" s="4" t="str">
        <x:v>未测</x:v>
      </x:c>
      <x:c r="N1167" s="4" t="str"/>
      <x:c r="O1167" s="4" t="str">
        <x:v>1. 来源：MainBasis/统一需求文档.md；U-views_start-live-settings_beauty-002
2. 场景：SC-c5f1bf18735c0b</x:v>
      </x:c>
    </x:row>
    <x:row r="1168" ht="68" customHeight="1">
      <x:c r="A1168" s="4" t="n">
        <x:v>1167</x:v>
      </x:c>
      <x:c r="B1168" s="4" t="str">
        <x:v>USER-1167</x:v>
      </x:c>
      <x:c r="C1168" s="4" t="str">
        <x:v>M06 开播、房型、观看、连麦与房内管理</x:v>
      </x:c>
      <x:c r="D1168" s="4" t="str">
        <x:v>美颜设置（主播视角）</x:v>
      </x:c>
      <x:c r="E1168" s="4" t="str">
        <x:v>功能需求</x:v>
      </x:c>
      <x:c r="F1168" s="4" t="str">
        <x:v>P1</x:v>
      </x:c>
      <x:c r="G1168" s="4" t="str">
        <x:v>验证美颜强度0</x:v>
      </x:c>
      <x:c r="H1168" s="4" t="str">
        <x:v>美颜强度0</x:v>
      </x:c>
      <x:c r="I1168" s="4" t="str">
        <x:v>1. 已登录主播账号</x:v>
      </x:c>
      <x:c r="J1168" s="4" t="str">
        <x:v>1. 进入「开播设置」页
2. 打开「美颜设置」视图
3. 选择美颜项目并把强度调到0</x:v>
      </x:c>
      <x:c r="K1168" s="4" t="str">
        <x:v>当前项目强度显示0</x:v>
      </x:c>
      <x:c r="L1168" s="4" t="str"/>
      <x:c r="M1168" s="4" t="str">
        <x:v>未测</x:v>
      </x:c>
      <x:c r="N1168" s="4" t="str"/>
      <x:c r="O1168" s="4" t="str">
        <x:v>1. 来源：MainBasis/统一需求文档.md；U-views_start-live-settings_beauty-004
2. 场景：SC-4af66e92b75f9f</x:v>
      </x:c>
    </x:row>
    <x:row r="1169" ht="68" customHeight="1">
      <x:c r="A1169" s="4" t="n">
        <x:v>1168</x:v>
      </x:c>
      <x:c r="B1169" s="4" t="str">
        <x:v>USER-1168</x:v>
      </x:c>
      <x:c r="C1169" s="4" t="str">
        <x:v>M06 开播、房型、观看、连麦与房内管理</x:v>
      </x:c>
      <x:c r="D1169" s="4" t="str">
        <x:v>美颜设置（主播视角）</x:v>
      </x:c>
      <x:c r="E1169" s="4" t="str">
        <x:v>功能需求</x:v>
      </x:c>
      <x:c r="F1169" s="4" t="str">
        <x:v>P1</x:v>
      </x:c>
      <x:c r="G1169" s="4" t="str">
        <x:v>验证美颜强度1</x:v>
      </x:c>
      <x:c r="H1169" s="4" t="str">
        <x:v>美颜强度1</x:v>
      </x:c>
      <x:c r="I1169" s="4" t="str">
        <x:v>1. 已登录主播账号</x:v>
      </x:c>
      <x:c r="J1169" s="4" t="str">
        <x:v>1. 进入「开播设置」页
2. 打开「美颜设置」视图
3. 选择美颜项目并把强度调到1</x:v>
      </x:c>
      <x:c r="K1169" s="4" t="str">
        <x:v>当前项目强度显示1</x:v>
      </x:c>
      <x:c r="L1169" s="4" t="str"/>
      <x:c r="M1169" s="4" t="str">
        <x:v>未测</x:v>
      </x:c>
      <x:c r="N1169" s="4" t="str"/>
      <x:c r="O1169" s="4" t="str">
        <x:v>1. 来源：MainBasis/统一需求文档.md；U-views_start-live-settings_beauty-004
2. 场景：SC-7e38e39a23dee6</x:v>
      </x:c>
    </x:row>
    <x:row r="1170" ht="68" customHeight="1">
      <x:c r="A1170" s="4" t="n">
        <x:v>1169</x:v>
      </x:c>
      <x:c r="B1170" s="4" t="str">
        <x:v>USER-1169</x:v>
      </x:c>
      <x:c r="C1170" s="4" t="str">
        <x:v>M06 开播、房型、观看、连麦与房内管理</x:v>
      </x:c>
      <x:c r="D1170" s="4" t="str">
        <x:v>美颜设置（主播视角）</x:v>
      </x:c>
      <x:c r="E1170" s="4" t="str">
        <x:v>功能需求</x:v>
      </x:c>
      <x:c r="F1170" s="4" t="str">
        <x:v>P1</x:v>
      </x:c>
      <x:c r="G1170" s="4" t="str">
        <x:v>验证美颜强度50</x:v>
      </x:c>
      <x:c r="H1170" s="4" t="str">
        <x:v>美颜强度50</x:v>
      </x:c>
      <x:c r="I1170" s="4" t="str">
        <x:v>1. 已登录主播账号</x:v>
      </x:c>
      <x:c r="J1170" s="4" t="str">
        <x:v>1. 进入「开播设置」页
2. 打开「美颜设置」视图
3. 选择美颜项目并把强度调到50</x:v>
      </x:c>
      <x:c r="K1170" s="4" t="str">
        <x:v>当前项目强度显示50</x:v>
      </x:c>
      <x:c r="L1170" s="4" t="str"/>
      <x:c r="M1170" s="4" t="str">
        <x:v>未测</x:v>
      </x:c>
      <x:c r="N1170" s="4" t="str"/>
      <x:c r="O1170" s="4" t="str">
        <x:v>1. 来源：MainBasis/统一需求文档.md；U-views_start-live-settings_beauty-004
2. 场景：SC-59ca1e26528939</x:v>
      </x:c>
    </x:row>
    <x:row r="1171" ht="68" customHeight="1">
      <x:c r="A1171" s="4" t="n">
        <x:v>1170</x:v>
      </x:c>
      <x:c r="B1171" s="4" t="str">
        <x:v>USER-1170</x:v>
      </x:c>
      <x:c r="C1171" s="4" t="str">
        <x:v>M06 开播、房型、观看、连麦与房内管理</x:v>
      </x:c>
      <x:c r="D1171" s="4" t="str">
        <x:v>美颜设置（主播视角）</x:v>
      </x:c>
      <x:c r="E1171" s="4" t="str">
        <x:v>功能需求</x:v>
      </x:c>
      <x:c r="F1171" s="4" t="str">
        <x:v>P1</x:v>
      </x:c>
      <x:c r="G1171" s="4" t="str">
        <x:v>验证美颜强度99</x:v>
      </x:c>
      <x:c r="H1171" s="4" t="str">
        <x:v>美颜强度99</x:v>
      </x:c>
      <x:c r="I1171" s="4" t="str">
        <x:v>1. 已登录主播账号</x:v>
      </x:c>
      <x:c r="J1171" s="4" t="str">
        <x:v>1. 进入「开播设置」页
2. 打开「美颜设置」视图
3. 选择美颜项目并把强度调到99</x:v>
      </x:c>
      <x:c r="K1171" s="4" t="str">
        <x:v>当前项目强度显示99</x:v>
      </x:c>
      <x:c r="L1171" s="4" t="str"/>
      <x:c r="M1171" s="4" t="str">
        <x:v>未测</x:v>
      </x:c>
      <x:c r="N1171" s="4" t="str"/>
      <x:c r="O1171" s="4" t="str">
        <x:v>1. 来源：MainBasis/统一需求文档.md；U-views_start-live-settings_beauty-004
2. 场景：SC-d3baafaa704f68</x:v>
      </x:c>
    </x:row>
    <x:row r="1172" ht="68" customHeight="1">
      <x:c r="A1172" s="4" t="n">
        <x:v>1171</x:v>
      </x:c>
      <x:c r="B1172" s="4" t="str">
        <x:v>USER-1171</x:v>
      </x:c>
      <x:c r="C1172" s="4" t="str">
        <x:v>M06 开播、房型、观看、连麦与房内管理</x:v>
      </x:c>
      <x:c r="D1172" s="4" t="str">
        <x:v>美颜设置（主播视角）</x:v>
      </x:c>
      <x:c r="E1172" s="4" t="str">
        <x:v>功能需求</x:v>
      </x:c>
      <x:c r="F1172" s="4" t="str">
        <x:v>P1</x:v>
      </x:c>
      <x:c r="G1172" s="4" t="str">
        <x:v>验证美颜强度100</x:v>
      </x:c>
      <x:c r="H1172" s="4" t="str">
        <x:v>美颜强度100</x:v>
      </x:c>
      <x:c r="I1172" s="4" t="str">
        <x:v>1. 已登录主播账号</x:v>
      </x:c>
      <x:c r="J1172" s="4" t="str">
        <x:v>1. 进入「开播设置」页
2. 打开「美颜设置」视图
3. 选择美颜项目并把强度调到100</x:v>
      </x:c>
      <x:c r="K1172" s="4" t="str">
        <x:v>当前项目强度显示100</x:v>
      </x:c>
      <x:c r="L1172" s="4" t="str"/>
      <x:c r="M1172" s="4" t="str">
        <x:v>未测</x:v>
      </x:c>
      <x:c r="N1172" s="4" t="str"/>
      <x:c r="O1172" s="4" t="str">
        <x:v>1. 来源：MainBasis/统一需求文档.md；U-views_start-live-settings_beauty-004
2. 场景：SC-2c8d9175732690</x:v>
      </x:c>
    </x:row>
    <x:row r="1173" ht="68" customHeight="1">
      <x:c r="A1173" s="4" t="n">
        <x:v>1172</x:v>
      </x:c>
      <x:c r="B1173" s="4" t="str">
        <x:v>USER-1172</x:v>
      </x:c>
      <x:c r="C1173" s="4" t="str">
        <x:v>M06 开播、房型、观看、连麦与房内管理</x:v>
      </x:c>
      <x:c r="D1173" s="4" t="str">
        <x:v>美颜设置（主播视角）</x:v>
      </x:c>
      <x:c r="E1173" s="4" t="str">
        <x:v>功能需求</x:v>
      </x:c>
      <x:c r="F1173" s="4" t="str">
        <x:v>P1</x:v>
      </x:c>
      <x:c r="G1173" s="4" t="str">
        <x:v>验证恢复默认美颜</x:v>
      </x:c>
      <x:c r="H1173" s="4" t="str">
        <x:v>恢复默认美颜</x:v>
      </x:c>
      <x:c r="I1173" s="4" t="str">
        <x:v>1. 已登录主播账号
2. 多个美颜和美型参数已修改</x:v>
      </x:c>
      <x:c r="J1173" s="4" t="str">
        <x:v>1. 进入「开播设置」页
2. 打开「美颜设置」视图
3. 点击恢复默认</x:v>
      </x:c>
      <x:c r="K1173" s="4" t="str">
        <x:v>清除当前选中项且全部参数为50</x:v>
      </x:c>
      <x:c r="L1173" s="4" t="str"/>
      <x:c r="M1173" s="4" t="str">
        <x:v>未测</x:v>
      </x:c>
      <x:c r="N1173" s="4" t="str"/>
      <x:c r="O1173" s="4" t="str">
        <x:v>1. 来源：MainBasis/统一需求文档.md；U-views_start-live-settings_beauty-006、U-start-live-settings-017
2. 场景：SC-a0aca0ea8c5e67</x:v>
      </x:c>
    </x:row>
    <x:row r="1174" ht="68" customHeight="1">
      <x:c r="A1174" s="4" t="n">
        <x:v>1173</x:v>
      </x:c>
      <x:c r="B1174" s="4" t="str">
        <x:v>USER-1173</x:v>
      </x:c>
      <x:c r="C1174" s="4" t="str">
        <x:v>M06 开播、房型、观看、连麦与房内管理</x:v>
      </x:c>
      <x:c r="D1174" s="4" t="str">
        <x:v>美颜设置（主播视角）</x:v>
      </x:c>
      <x:c r="E1174" s="4" t="str">
        <x:v>功能需求</x:v>
      </x:c>
      <x:c r="F1174" s="4" t="str">
        <x:v>P1</x:v>
      </x:c>
      <x:c r="G1174" s="4" t="str">
        <x:v>验证美颜美型参数独立</x:v>
      </x:c>
      <x:c r="H1174" s="4" t="str">
        <x:v>美颜美型参数独立</x:v>
      </x:c>
      <x:c r="I1174" s="4" t="str">
        <x:v>1. 已登录主播账号
2. 美颜某项目强度20</x:v>
      </x:c>
      <x:c r="J1174" s="4" t="str">
        <x:v>1. 进入「开播设置」页
2. 打开「美颜设置」视图
3. 切换美型设置为80
4. 切回美颜</x:v>
      </x:c>
      <x:c r="K1174" s="4" t="str">
        <x:v>美颜原项目仍为20</x:v>
      </x:c>
      <x:c r="L1174" s="4" t="str"/>
      <x:c r="M1174" s="4" t="str">
        <x:v>未测</x:v>
      </x:c>
      <x:c r="N1174" s="4" t="str"/>
      <x:c r="O1174" s="4" t="str">
        <x:v>1. 来源：MainBasis/统一需求文档.md；U-views_start-live-settings_beauty-002
2. 场景：SC-489d95b9aa0390</x:v>
      </x:c>
    </x:row>
    <x:row r="1175" ht="68" customHeight="1">
      <x:c r="A1175" s="4" t="n">
        <x:v>1174</x:v>
      </x:c>
      <x:c r="B1175" s="4" t="str">
        <x:v>USER-1174</x:v>
      </x:c>
      <x:c r="C1175" s="4" t="str">
        <x:v>M06 开播、房型、观看、连麦与房内管理</x:v>
      </x:c>
      <x:c r="D1175" s="4" t="str">
        <x:v>美颜设置（主播视角）</x:v>
      </x:c>
      <x:c r="E1175" s="4" t="str">
        <x:v>功能需求</x:v>
      </x:c>
      <x:c r="F1175" s="4" t="str">
        <x:v>P1</x:v>
      </x:c>
      <x:c r="G1175" s="4" t="str">
        <x:v>验证美颜完成保留参数</x:v>
      </x:c>
      <x:c r="H1175" s="4" t="str">
        <x:v>美颜完成保留参数</x:v>
      </x:c>
      <x:c r="I1175" s="4" t="str">
        <x:v>1. 已登录主播账号
2. 已修改某参数为20</x:v>
      </x:c>
      <x:c r="J1175" s="4" t="str">
        <x:v>1. 进入「开播设置」页
2. 打开「美颜设置」视图
3. 点击完成
4. 重新打开美颜设置</x:v>
      </x:c>
      <x:c r="K1175" s="4" t="str">
        <x:v>该参数仍为20</x:v>
      </x:c>
      <x:c r="L1175" s="4" t="str"/>
      <x:c r="M1175" s="4" t="str">
        <x:v>未测</x:v>
      </x:c>
      <x:c r="N1175" s="4" t="str"/>
      <x:c r="O1175" s="4" t="str">
        <x:v>1. 来源：MainBasis/统一需求文档.md；U-views_start-live-settings_beauty-006、U-start-live-settings-017
2. 场景：SC-f66df13d6e65be</x:v>
      </x:c>
    </x:row>
    <x:row r="1176" ht="68" customHeight="1">
      <x:c r="A1176" s="4" t="n">
        <x:v>1175</x:v>
      </x:c>
      <x:c r="B1176" s="4" t="str">
        <x:v>USER-1175</x:v>
      </x:c>
      <x:c r="C1176" s="4" t="str">
        <x:v>M06 开播、房型、观看、连麦与房内管理</x:v>
      </x:c>
      <x:c r="D1176" s="4" t="str">
        <x:v>美颜设置（主播视角）</x:v>
      </x:c>
      <x:c r="E1176" s="4" t="str">
        <x:v>功能需求</x:v>
      </x:c>
      <x:c r="F1176" s="4" t="str">
        <x:v>P2</x:v>
      </x:c>
      <x:c r="G1176" s="4" t="str">
        <x:v>验证项目资料对应</x:v>
      </x:c>
      <x:c r="H1176" s="4" t="str">
        <x:v>项目资料对应</x:v>
      </x:c>
      <x:c r="I1176" s="4" t="str">
        <x:v>1. 已登录主播账号
2. 已选中一条已存在记录，已记录其项目原始值</x:v>
      </x:c>
      <x:c r="J1176" s="4" t="str">
        <x:v>1. 进入「开播设置」页
2. 打开「美颜设置」视图
3. 查看项目资料对应</x:v>
      </x:c>
      <x:c r="K1176" s="4" t="str">
        <x:v>页面项目与所选记录一致：每个模式单选当前调整项</x:v>
      </x:c>
      <x:c r="L1176" s="4" t="str"/>
      <x:c r="M1176" s="4" t="str">
        <x:v>未测</x:v>
      </x:c>
      <x:c r="N1176" s="4" t="str"/>
      <x:c r="O1176" s="4" t="str">
        <x:v>1. 来源：MainBasis/统一需求文档.md；U-views_start-live-settings_beauty-003
2. 场景：SC-165d279c387ee8</x:v>
      </x:c>
    </x:row>
    <x:row r="1177" ht="68" customHeight="1">
      <x:c r="A1177" s="4" t="n">
        <x:v>1176</x:v>
      </x:c>
      <x:c r="B1177" s="4" t="str">
        <x:v>USER-1176</x:v>
      </x:c>
      <x:c r="C1177" s="4" t="str">
        <x:v>M06 开播、房型、观看、连麦与房内管理</x:v>
      </x:c>
      <x:c r="D1177" s="4" t="str">
        <x:v>美颜设置（主播视角）</x:v>
      </x:c>
      <x:c r="E1177" s="4" t="str">
        <x:v>功能需求</x:v>
      </x:c>
      <x:c r="F1177" s="4" t="str">
        <x:v>P1</x:v>
      </x:c>
      <x:c r="G1177" s="4" t="str">
        <x:v>验证美颜不改封面</x:v>
      </x:c>
      <x:c r="H1177" s="4" t="str">
        <x:v>美颜不改封面</x:v>
      </x:c>
      <x:c r="I1177" s="4" t="str">
        <x:v>1. 已登录主播账号
2. 已设置封面甲并记录历史场次</x:v>
      </x:c>
      <x:c r="J1177" s="4" t="str">
        <x:v>1. 进入「开播设置」页
2. 打开「美颜设置」视图
3. 将某项美颜参数调至20</x:v>
      </x:c>
      <x:c r="K1177" s="4" t="str">
        <x:v>只影响当前主播视频画面，封面甲和历史记录保持原值</x:v>
      </x:c>
      <x:c r="L1177" s="4" t="str"/>
      <x:c r="M1177" s="4" t="str">
        <x:v>未测</x:v>
      </x:c>
      <x:c r="N1177" s="4" t="str"/>
      <x:c r="O1177" s="4" t="str">
        <x:v>1. 来源：MainBasis/统一需求文档.md；U-views_start-live-settings_beauty-005
2. 场景：SC-0f50e22d73a3a5</x:v>
      </x:c>
    </x:row>
    <x:row r="1178" ht="68" customHeight="1">
      <x:c r="A1178" s="4" t="n">
        <x:v>1177</x:v>
      </x:c>
      <x:c r="B1178" s="4" t="str">
        <x:v>USER-1177</x:v>
      </x:c>
      <x:c r="C1178" s="4" t="str">
        <x:v>M06 开播、房型、观看、连麦与房内管理</x:v>
      </x:c>
      <x:c r="D1178" s="4" t="str">
        <x:v>选择可见粉丝（主播视角）</x:v>
      </x:c>
      <x:c r="E1178" s="4" t="str">
        <x:v>功能需求</x:v>
      </x:c>
      <x:c r="F1178" s="4" t="str">
        <x:v>P2</x:v>
      </x:c>
      <x:c r="G1178" s="4" t="str">
        <x:v>验证可选粉丝回显</x:v>
      </x:c>
      <x:c r="H1178" s="4" t="str">
        <x:v>可选粉丝回显</x:v>
      </x:c>
      <x:c r="I1178" s="4" t="str">
        <x:v>1. 已登录主播账号
2. 所选对象存在，已记录该对象的可选粉丝值</x:v>
      </x:c>
      <x:c r="J1178" s="4" t="str">
        <x:v>1. 进入「选择可见粉丝」页
2. 查看可选粉丝回显</x:v>
      </x:c>
      <x:c r="K1178" s="4" t="str">
        <x:v>「可选粉丝」内容与所选对象的该项资料一致</x:v>
      </x:c>
      <x:c r="L1178" s="4" t="str"/>
      <x:c r="M1178" s="4" t="str">
        <x:v>未测</x:v>
      </x:c>
      <x:c r="N1178" s="4" t="str"/>
      <x:c r="O1178" s="4" t="str">
        <x:v>1. 来源：MainBasis/统一需求文档.md；U-visible-fan-select-002
2. 场景：SC-fd309ed4d94e00</x:v>
      </x:c>
    </x:row>
    <x:row r="1179" ht="68" customHeight="1">
      <x:c r="A1179" s="4" t="n">
        <x:v>1178</x:v>
      </x:c>
      <x:c r="B1179" s="4" t="str">
        <x:v>USER-1178</x:v>
      </x:c>
      <x:c r="C1179" s="4" t="str">
        <x:v>M06 开播、房型、观看、连麦与房内管理</x:v>
      </x:c>
      <x:c r="D1179" s="4" t="str">
        <x:v>选择可见粉丝（主播视角）</x:v>
      </x:c>
      <x:c r="E1179" s="4" t="str">
        <x:v>功能需求</x:v>
      </x:c>
      <x:c r="F1179" s="4" t="str">
        <x:v>P2</x:v>
      </x:c>
      <x:c r="G1179" s="4" t="str">
        <x:v>验证已选数量回显</x:v>
      </x:c>
      <x:c r="H1179" s="4" t="str">
        <x:v>已选数量回显</x:v>
      </x:c>
      <x:c r="I1179" s="4" t="str">
        <x:v>1. 已登录主播账号
2. 所选对象存在，已记录该对象的已选数量值</x:v>
      </x:c>
      <x:c r="J1179" s="4" t="str">
        <x:v>1. 进入「选择可见粉丝」页
2. 查看已选数量回显</x:v>
      </x:c>
      <x:c r="K1179" s="4" t="str">
        <x:v>「已选数量」内容与所选对象的该项资料一致</x:v>
      </x:c>
      <x:c r="L1179" s="4" t="str"/>
      <x:c r="M1179" s="4" t="str">
        <x:v>未测</x:v>
      </x:c>
      <x:c r="N1179" s="4" t="str"/>
      <x:c r="O1179" s="4" t="str">
        <x:v>1. 来源：MainBasis/统一需求文档.md；U-visible-fan-select-004
2. 场景：SC-42bfda9386326e</x:v>
      </x:c>
    </x:row>
    <x:row r="1180" ht="68" customHeight="1">
      <x:c r="A1180" s="4" t="n">
        <x:v>1179</x:v>
      </x:c>
      <x:c r="B1180" s="4" t="str">
        <x:v>USER-1179</x:v>
      </x:c>
      <x:c r="C1180" s="4" t="str">
        <x:v>M06 开播、房型、观看、连麦与房内管理</x:v>
      </x:c>
      <x:c r="D1180" s="4" t="str">
        <x:v>选择可见粉丝（主播视角）</x:v>
      </x:c>
      <x:c r="E1180" s="4" t="str">
        <x:v>功能需求</x:v>
      </x:c>
      <x:c r="F1180" s="4" t="str">
        <x:v>P1</x:v>
      </x:c>
      <x:c r="G1180" s="4" t="str">
        <x:v>验证可见粉丝排除取消关注</x:v>
      </x:c>
      <x:c r="H1180" s="4" t="str">
        <x:v>可见粉丝排除取消关注</x:v>
      </x:c>
      <x:c r="I1180" s="4" t="str">
        <x:v>1. 已登录主播账号
2. 历史可见名单某用户已取消关注</x:v>
      </x:c>
      <x:c r="J1180" s="4" t="str">
        <x:v>1. 进入「选择可见粉丝」页
2. 查看可见粉丝排除取消关注</x:v>
      </x:c>
      <x:c r="K1180" s="4" t="str">
        <x:v>该用户不在可选范围及历史有效名单中</x:v>
      </x:c>
      <x:c r="L1180" s="4" t="str"/>
      <x:c r="M1180" s="4" t="str">
        <x:v>未测</x:v>
      </x:c>
      <x:c r="N1180" s="4" t="str"/>
      <x:c r="O1180" s="4" t="str">
        <x:v>1. 来源：MainBasis/统一需求文档.md；U-visible-fan-select-006
2. 场景：SC-e6e5025c727e2a</x:v>
      </x:c>
    </x:row>
    <x:row r="1181" ht="68" customHeight="1">
      <x:c r="A1181" s="4" t="n">
        <x:v>1180</x:v>
      </x:c>
      <x:c r="B1181" s="4" t="str">
        <x:v>USER-1180</x:v>
      </x:c>
      <x:c r="C1181" s="4" t="str">
        <x:v>M06 开播、房型、观看、连麦与房内管理</x:v>
      </x:c>
      <x:c r="D1181" s="4" t="str">
        <x:v>选择可见粉丝（主播视角）</x:v>
      </x:c>
      <x:c r="E1181" s="4" t="str">
        <x:v>功能需求</x:v>
      </x:c>
      <x:c r="F1181" s="4" t="str">
        <x:v>P1</x:v>
      </x:c>
      <x:c r="G1181" s="4" t="str">
        <x:v>验证可见粉丝排除账号拉黑</x:v>
      </x:c>
      <x:c r="H1181" s="4" t="str">
        <x:v>可见粉丝排除账号拉黑</x:v>
      </x:c>
      <x:c r="I1181" s="4" t="str">
        <x:v>1. 已登录主播账号
2. 历史可见名单某用户已账号拉黑</x:v>
      </x:c>
      <x:c r="J1181" s="4" t="str">
        <x:v>1. 进入「选择可见粉丝」页
2. 查看可见粉丝排除账号拉黑</x:v>
      </x:c>
      <x:c r="K1181" s="4" t="str">
        <x:v>该用户不在可选范围及历史有效名单中</x:v>
      </x:c>
      <x:c r="L1181" s="4" t="str"/>
      <x:c r="M1181" s="4" t="str">
        <x:v>未测</x:v>
      </x:c>
      <x:c r="N1181" s="4" t="str"/>
      <x:c r="O1181" s="4" t="str">
        <x:v>1. 来源：MainBasis/统一需求文档.md；U-visible-fan-select-006
2. 场景：SC-754481ba9b9b8a</x:v>
      </x:c>
    </x:row>
    <x:row r="1182" ht="68" customHeight="1">
      <x:c r="A1182" s="4" t="n">
        <x:v>1181</x:v>
      </x:c>
      <x:c r="B1182" s="4" t="str">
        <x:v>USER-1181</x:v>
      </x:c>
      <x:c r="C1182" s="4" t="str">
        <x:v>M06 开播、房型、观看、连麦与房内管理</x:v>
      </x:c>
      <x:c r="D1182" s="4" t="str">
        <x:v>选择可见粉丝（主播视角）</x:v>
      </x:c>
      <x:c r="E1182" s="4" t="str">
        <x:v>功能需求</x:v>
      </x:c>
      <x:c r="F1182" s="4" t="str">
        <x:v>P1</x:v>
      </x:c>
      <x:c r="G1182" s="4" t="str">
        <x:v>验证可见粉丝排除账号失效</x:v>
      </x:c>
      <x:c r="H1182" s="4" t="str">
        <x:v>可见粉丝排除账号失效</x:v>
      </x:c>
      <x:c r="I1182" s="4" t="str">
        <x:v>1. 已登录主播账号
2. 历史可见名单某用户已账号失效</x:v>
      </x:c>
      <x:c r="J1182" s="4" t="str">
        <x:v>1. 进入「选择可见粉丝」页
2. 查看可见粉丝排除账号失效</x:v>
      </x:c>
      <x:c r="K1182" s="4" t="str">
        <x:v>该用户不在可选范围及历史有效名单中</x:v>
      </x:c>
      <x:c r="L1182" s="4" t="str"/>
      <x:c r="M1182" s="4" t="str">
        <x:v>未测</x:v>
      </x:c>
      <x:c r="N1182" s="4" t="str"/>
      <x:c r="O1182" s="4" t="str">
        <x:v>1. 来源：MainBasis/统一需求文档.md；U-visible-fan-select-006
2. 场景：SC-03afb35cec1cc4</x:v>
      </x:c>
    </x:row>
    <x:row r="1183" ht="68" customHeight="1">
      <x:c r="A1183" s="4" t="n">
        <x:v>1182</x:v>
      </x:c>
      <x:c r="B1183" s="4" t="str">
        <x:v>USER-1182</x:v>
      </x:c>
      <x:c r="C1183" s="4" t="str">
        <x:v>M06 开播、房型、观看、连麦与房内管理</x:v>
      </x:c>
      <x:c r="D1183" s="4" t="str">
        <x:v>选择可见粉丝（主播视角）</x:v>
      </x:c>
      <x:c r="E1183" s="4" t="str">
        <x:v>功能需求</x:v>
      </x:c>
      <x:c r="F1183" s="4" t="str">
        <x:v>P1</x:v>
      </x:c>
      <x:c r="G1183" s="4" t="str">
        <x:v>验证可见粉丝搜索海岛</x:v>
      </x:c>
      <x:c r="H1183" s="4" t="str">
        <x:v>可见粉丝搜索海岛</x:v>
      </x:c>
      <x:c r="I1183" s="4" t="str">
        <x:v>1. 已登录主播账号
2. 存在昵称包含海岛的有效粉丝</x:v>
      </x:c>
      <x:c r="J1183" s="4" t="str">
        <x:v>1. 进入「选择可见粉丝」页
2. 输入海岛</x:v>
      </x:c>
      <x:c r="K1183" s="4" t="str">
        <x:v>仅显示昵称匹配粉丝</x:v>
      </x:c>
      <x:c r="L1183" s="4" t="str"/>
      <x:c r="M1183" s="4" t="str">
        <x:v>未测</x:v>
      </x:c>
      <x:c r="N1183" s="4" t="str"/>
      <x:c r="O1183" s="4" t="str">
        <x:v>1. 来源：MainBasis/统一需求文档.md；U-visible-fan-select-003
2. 场景：SC-7517d700786d80</x:v>
      </x:c>
    </x:row>
    <x:row r="1184" ht="68" customHeight="1">
      <x:c r="A1184" s="4" t="n">
        <x:v>1183</x:v>
      </x:c>
      <x:c r="B1184" s="4" t="str">
        <x:v>USER-1183</x:v>
      </x:c>
      <x:c r="C1184" s="4" t="str">
        <x:v>M06 开播、房型、观看、连麦与房内管理</x:v>
      </x:c>
      <x:c r="D1184" s="4" t="str">
        <x:v>选择可见粉丝（主播视角）</x:v>
      </x:c>
      <x:c r="E1184" s="4" t="str">
        <x:v>功能需求</x:v>
      </x:c>
      <x:c r="F1184" s="4" t="str">
        <x:v>P1</x:v>
      </x:c>
      <x:c r="G1184" s="4" t="str">
        <x:v>验证可见粉丝搜索无匹配昵称</x:v>
      </x:c>
      <x:c r="H1184" s="4" t="str">
        <x:v>可见粉丝搜索无匹配昵称</x:v>
      </x:c>
      <x:c r="I1184" s="4" t="str">
        <x:v>1. 已登录主播账号
2. 存在昵称包含海岛的有效粉丝</x:v>
      </x:c>
      <x:c r="J1184" s="4" t="str">
        <x:v>1. 进入「选择可见粉丝」页
2. 输入无匹配昵称</x:v>
      </x:c>
      <x:c r="K1184" s="4" t="str">
        <x:v>显示空状态</x:v>
      </x:c>
      <x:c r="L1184" s="4" t="str"/>
      <x:c r="M1184" s="4" t="str">
        <x:v>未测</x:v>
      </x:c>
      <x:c r="N1184" s="4" t="str"/>
      <x:c r="O1184" s="4" t="str">
        <x:v>1. 来源：MainBasis/统一需求文档.md；U-visible-fan-select-003
2. 场景：SC-a9298b72c88000</x:v>
      </x:c>
    </x:row>
    <x:row r="1185" ht="68" customHeight="1">
      <x:c r="A1185" s="4" t="n">
        <x:v>1184</x:v>
      </x:c>
      <x:c r="B1185" s="4" t="str">
        <x:v>USER-1184</x:v>
      </x:c>
      <x:c r="C1185" s="4" t="str">
        <x:v>M06 开播、房型、观看、连麦与房内管理</x:v>
      </x:c>
      <x:c r="D1185" s="4" t="str">
        <x:v>选择可见粉丝（主播视角）</x:v>
      </x:c>
      <x:c r="E1185" s="4" t="str">
        <x:v>功能需求</x:v>
      </x:c>
      <x:c r="F1185" s="4" t="str">
        <x:v>P1</x:v>
      </x:c>
      <x:c r="G1185" s="4" t="str">
        <x:v>验证搜索后全选所有有效粉丝</x:v>
      </x:c>
      <x:c r="H1185" s="4" t="str">
        <x:v>搜索后全选所有有效粉丝</x:v>
      </x:c>
      <x:c r="I1185" s="4" t="str">
        <x:v>1. 已登录主播账号
2. 有10名有效粉丝，当前搜索仅匹配2人</x:v>
      </x:c>
      <x:c r="J1185" s="4" t="str">
        <x:v>1. 进入「选择可见粉丝」页
2. 点击全选</x:v>
      </x:c>
      <x:c r="K1185" s="4" t="str">
        <x:v>10名有效粉丝全部选中</x:v>
      </x:c>
      <x:c r="L1185" s="4" t="str"/>
      <x:c r="M1185" s="4" t="str">
        <x:v>未测</x:v>
      </x:c>
      <x:c r="N1185" s="4" t="str"/>
      <x:c r="O1185" s="4" t="str">
        <x:v>1. 来源：MainBasis/统一需求文档.md；U-visible-fan-select-009
2. 场景：SC-e9915a6aec7460</x:v>
      </x:c>
    </x:row>
    <x:row r="1186" ht="68" customHeight="1">
      <x:c r="A1186" s="4" t="n">
        <x:v>1185</x:v>
      </x:c>
      <x:c r="B1186" s="4" t="str">
        <x:v>USER-1185</x:v>
      </x:c>
      <x:c r="C1186" s="4" t="str">
        <x:v>M06 开播、房型、观看、连麦与房内管理</x:v>
      </x:c>
      <x:c r="D1186" s="4" t="str">
        <x:v>选择可见粉丝（主播视角）</x:v>
      </x:c>
      <x:c r="E1186" s="4" t="str">
        <x:v>功能需求</x:v>
      </x:c>
      <x:c r="F1186" s="4" t="str">
        <x:v>P1</x:v>
      </x:c>
      <x:c r="G1186" s="4" t="str">
        <x:v>验证取消全选清空名单</x:v>
      </x:c>
      <x:c r="H1186" s="4" t="str">
        <x:v>取消全选清空名单</x:v>
      </x:c>
      <x:c r="I1186" s="4" t="str">
        <x:v>1. 已登录主播账号
2. 全部有效粉丝已选中</x:v>
      </x:c>
      <x:c r="J1186" s="4" t="str">
        <x:v>1. 进入「选择可见粉丝」页
2. 点击取消全选</x:v>
      </x:c>
      <x:c r="K1186" s="4" t="str">
        <x:v>选择人数为0</x:v>
      </x:c>
      <x:c r="L1186" s="4" t="str"/>
      <x:c r="M1186" s="4" t="str">
        <x:v>未测</x:v>
      </x:c>
      <x:c r="N1186" s="4" t="str"/>
      <x:c r="O1186" s="4" t="str">
        <x:v>1. 来源：MainBasis/统一需求文档.md；U-visible-fan-select-009
2. 场景：SC-32618835e53f7e</x:v>
      </x:c>
    </x:row>
    <x:row r="1187" ht="68" customHeight="1">
      <x:c r="A1187" s="4" t="n">
        <x:v>1186</x:v>
      </x:c>
      <x:c r="B1187" s="4" t="str">
        <x:v>USER-1186</x:v>
      </x:c>
      <x:c r="C1187" s="4" t="str">
        <x:v>M06 开播、房型、观看、连麦与房内管理</x:v>
      </x:c>
      <x:c r="D1187" s="4" t="str">
        <x:v>选择可见粉丝（主播视角）</x:v>
      </x:c>
      <x:c r="E1187" s="4" t="str">
        <x:v>功能需求</x:v>
      </x:c>
      <x:c r="F1187" s="4" t="str">
        <x:v>P1</x:v>
      </x:c>
      <x:c r="G1187" s="4" t="str">
        <x:v>验证粉丝行再次点击取消选择</x:v>
      </x:c>
      <x:c r="H1187" s="4" t="str">
        <x:v>粉丝行再次点击取消选择</x:v>
      </x:c>
      <x:c r="I1187" s="4" t="str">
        <x:v>1. 已登录主播账号
2. 目标粉丝当前已选中</x:v>
      </x:c>
      <x:c r="J1187" s="4" t="str">
        <x:v>1. 进入「选择可见粉丝」页
2. 点击目标粉丝行</x:v>
      </x:c>
      <x:c r="K1187" s="4" t="str">
        <x:v>目标粉丝取消选中，已选数减1</x:v>
      </x:c>
      <x:c r="L1187" s="4" t="str"/>
      <x:c r="M1187" s="4" t="str">
        <x:v>未测</x:v>
      </x:c>
      <x:c r="N1187" s="4" t="str"/>
      <x:c r="O1187" s="4" t="str">
        <x:v>1. 来源：MainBasis/统一需求文档.md；U-visible-fan-select-008
2. 场景：SC-f1dd209d4a4f5a</x:v>
      </x:c>
    </x:row>
    <x:row r="1188" ht="82" customHeight="1">
      <x:c r="A1188" s="4" t="n">
        <x:v>1187</x:v>
      </x:c>
      <x:c r="B1188" s="4" t="str">
        <x:v>USER-1187</x:v>
      </x:c>
      <x:c r="C1188" s="4" t="str">
        <x:v>M06 开播、房型、观看、连麦与房内管理</x:v>
      </x:c>
      <x:c r="D1188" s="4" t="str">
        <x:v>选择可见粉丝（主播视角）</x:v>
      </x:c>
      <x:c r="E1188" s="4" t="str">
        <x:v>功能需求</x:v>
      </x:c>
      <x:c r="F1188" s="4" t="str">
        <x:v>P1</x:v>
      </x:c>
      <x:c r="G1188" s="4" t="str">
        <x:v>验证可见名单确认</x:v>
      </x:c>
      <x:c r="H1188" s="4" t="str">
        <x:v>可见名单确认</x:v>
      </x:c>
      <x:c r="I1188" s="4" t="str">
        <x:v>1. 已登录主播账号
2. 原保存1人，本次修改选中2人</x:v>
      </x:c>
      <x:c r="J1188" s="4" t="str">
        <x:v>1. 进入「选择可见粉丝」页
2. 点击确认</x:v>
      </x:c>
      <x:c r="K1188" s="4" t="str">
        <x:v>返回密码房设置后名单仍为2人</x:v>
      </x:c>
      <x:c r="L1188" s="4" t="str"/>
      <x:c r="M1188" s="4" t="str">
        <x:v>未测</x:v>
      </x:c>
      <x:c r="N1188" s="4" t="str"/>
      <x:c r="O1188" s="4" t="str">
        <x:v>1. 来源：MainBasis/统一需求文档.md；U-visible-fan-select-010、U-start-live-settings-022、U-views_start-live-settings_room-password-012、U-visible-fan-select-005
2. 场景：SC-a934de8dcab452</x:v>
      </x:c>
    </x:row>
    <x:row r="1189" ht="68" customHeight="1">
      <x:c r="A1189" s="4" t="n">
        <x:v>1188</x:v>
      </x:c>
      <x:c r="B1189" s="4" t="str">
        <x:v>USER-1188</x:v>
      </x:c>
      <x:c r="C1189" s="4" t="str">
        <x:v>M06 开播、房型、观看、连麦与房内管理</x:v>
      </x:c>
      <x:c r="D1189" s="4" t="str">
        <x:v>选择可见粉丝（主播视角）</x:v>
      </x:c>
      <x:c r="E1189" s="4" t="str">
        <x:v>功能需求</x:v>
      </x:c>
      <x:c r="F1189" s="4" t="str">
        <x:v>P1</x:v>
      </x:c>
      <x:c r="G1189" s="4" t="str">
        <x:v>验证可见名单返回</x:v>
      </x:c>
      <x:c r="H1189" s="4" t="str">
        <x:v>可见名单返回</x:v>
      </x:c>
      <x:c r="I1189" s="4" t="str">
        <x:v>1. 已登录主播账号
2. 原保存1人，本次修改选中2人</x:v>
      </x:c>
      <x:c r="J1189" s="4" t="str">
        <x:v>1. 进入「选择可见粉丝」页
2. 点击返回</x:v>
      </x:c>
      <x:c r="K1189" s="4" t="str">
        <x:v>返回密码房设置后名单仍为1人</x:v>
      </x:c>
      <x:c r="L1189" s="4" t="str"/>
      <x:c r="M1189" s="4" t="str">
        <x:v>未测</x:v>
      </x:c>
      <x:c r="N1189" s="4" t="str"/>
      <x:c r="O1189" s="4" t="str">
        <x:v>1. 来源：MainBasis/统一需求文档.md；U-visible-fan-select-011
2. 场景：SC-a11d4416dd17d7</x:v>
      </x:c>
    </x:row>
    <x:row r="1190" ht="54" customHeight="1">
      <x:c r="A1190" s="4" t="n">
        <x:v>1189</x:v>
      </x:c>
      <x:c r="B1190" s="4" t="str">
        <x:v>USER-1189</x:v>
      </x:c>
      <x:c r="C1190" s="4" t="str">
        <x:v>M07 金币、充值、消费与客户端账单</x:v>
      </x:c>
      <x:c r="D1190" s="4" t="str">
        <x:v>余额充值（用户视角）</x:v>
      </x:c>
      <x:c r="E1190" s="4" t="str">
        <x:v>功能需求</x:v>
      </x:c>
      <x:c r="F1190" s="4" t="str">
        <x:v>P2</x:v>
      </x:c>
      <x:c r="G1190" s="4" t="str">
        <x:v>验证充值套餐回显</x:v>
      </x:c>
      <x:c r="H1190" s="4" t="str">
        <x:v>充值套餐回显</x:v>
      </x:c>
      <x:c r="I1190" s="4" t="str">
        <x:v>1. 已登录用户账号
2. 所选对象存在，已记录该对象的充值套餐值</x:v>
      </x:c>
      <x:c r="J1190" s="4" t="str">
        <x:v>1. 进入「余额充值」页
2. 查看充值套餐回显</x:v>
      </x:c>
      <x:c r="K1190" s="4" t="str">
        <x:v>「充值套餐」内容与所选对象的该项资料一致</x:v>
      </x:c>
      <x:c r="L1190" s="4" t="str"/>
      <x:c r="M1190" s="4" t="str">
        <x:v>未测</x:v>
      </x:c>
      <x:c r="N1190" s="4" t="str"/>
      <x:c r="O1190" s="4" t="str">
        <x:v>1. 来源：MainBasis/统一需求文档.md；U-recharge-002
2. 场景：SC-5d83e2b504cb96</x:v>
      </x:c>
    </x:row>
    <x:row r="1191" ht="54" customHeight="1">
      <x:c r="A1191" s="4" t="n">
        <x:v>1190</x:v>
      </x:c>
      <x:c r="B1191" s="4" t="str">
        <x:v>USER-1190</x:v>
      </x:c>
      <x:c r="C1191" s="4" t="str">
        <x:v>M07 金币、充值、消费与客户端账单</x:v>
      </x:c>
      <x:c r="D1191" s="4" t="str">
        <x:v>余额充值（用户视角）</x:v>
      </x:c>
      <x:c r="E1191" s="4" t="str">
        <x:v>功能需求</x:v>
      </x:c>
      <x:c r="F1191" s="4" t="str">
        <x:v>P2</x:v>
      </x:c>
      <x:c r="G1191" s="4" t="str">
        <x:v>验证支付渠道回显</x:v>
      </x:c>
      <x:c r="H1191" s="4" t="str">
        <x:v>支付渠道回显</x:v>
      </x:c>
      <x:c r="I1191" s="4" t="str">
        <x:v>1. 已登录用户账号
2. 所选对象存在，已记录该对象的支付渠道值</x:v>
      </x:c>
      <x:c r="J1191" s="4" t="str">
        <x:v>1. 进入「余额充值」页
2. 查看支付渠道回显</x:v>
      </x:c>
      <x:c r="K1191" s="4" t="str">
        <x:v>「支付渠道」内容与所选对象的该项资料一致</x:v>
      </x:c>
      <x:c r="L1191" s="4" t="str"/>
      <x:c r="M1191" s="4" t="str">
        <x:v>未测</x:v>
      </x:c>
      <x:c r="N1191" s="4" t="str"/>
      <x:c r="O1191" s="4" t="str">
        <x:v>1. 来源：MainBasis/统一需求文档.md；U-recharge-003
2. 场景：SC-540b7a181c4b0b</x:v>
      </x:c>
    </x:row>
    <x:row r="1192" ht="54" customHeight="1">
      <x:c r="A1192" s="4" t="n">
        <x:v>1191</x:v>
      </x:c>
      <x:c r="B1192" s="4" t="str">
        <x:v>USER-1191</x:v>
      </x:c>
      <x:c r="C1192" s="4" t="str">
        <x:v>M07 金币、充值、消费与客户端账单</x:v>
      </x:c>
      <x:c r="D1192" s="4" t="str">
        <x:v>余额充值（用户视角）</x:v>
      </x:c>
      <x:c r="E1192" s="4" t="str">
        <x:v>功能需求</x:v>
      </x:c>
      <x:c r="F1192" s="4" t="str">
        <x:v>P2</x:v>
      </x:c>
      <x:c r="G1192" s="4" t="str">
        <x:v>验证到账金币回显</x:v>
      </x:c>
      <x:c r="H1192" s="4" t="str">
        <x:v>到账金币回显</x:v>
      </x:c>
      <x:c r="I1192" s="4" t="str">
        <x:v>1. 已登录用户账号
2. 所选对象存在，已记录该对象的到账金币值</x:v>
      </x:c>
      <x:c r="J1192" s="4" t="str">
        <x:v>1. 进入「余额充值」页
2. 查看到账金币回显</x:v>
      </x:c>
      <x:c r="K1192" s="4" t="str">
        <x:v>「到账金币」内容与所选对象的该项资料一致</x:v>
      </x:c>
      <x:c r="L1192" s="4" t="str"/>
      <x:c r="M1192" s="4" t="str">
        <x:v>未测</x:v>
      </x:c>
      <x:c r="N1192" s="4" t="str"/>
      <x:c r="O1192" s="4" t="str">
        <x:v>1. 来源：MainBasis/统一需求文档.md；U-recharge-004
2. 场景：SC-02fa0455accf8f</x:v>
      </x:c>
    </x:row>
    <x:row r="1193" ht="68" customHeight="1">
      <x:c r="A1193" s="4" t="n">
        <x:v>1192</x:v>
      </x:c>
      <x:c r="B1193" s="4" t="str">
        <x:v>USER-1192</x:v>
      </x:c>
      <x:c r="C1193" s="4" t="str">
        <x:v>M07 金币、充值、消费与客户端账单</x:v>
      </x:c>
      <x:c r="D1193" s="4" t="str">
        <x:v>余额充值（用户视角）</x:v>
      </x:c>
      <x:c r="E1193" s="4" t="str">
        <x:v>逻辑校验</x:v>
      </x:c>
      <x:c r="F1193" s="4" t="str">
        <x:v>P0</x:v>
      </x:c>
      <x:c r="G1193" s="4" t="str">
        <x:v>验证基础与赠送金币到账</x:v>
      </x:c>
      <x:c r="H1193" s="4" t="str">
        <x:v>基础与赠送金币到账</x:v>
      </x:c>
      <x:c r="I1193" s="4" t="str">
        <x:v>1. 已登录用户账号
2. 余额50，当前可购套餐基础100赠送20，渠道可用</x:v>
      </x:c>
      <x:c r="J1193" s="4" t="str">
        <x:v>1. 进入「余额充值」页
2. 选择该套餐及渠道
3. 完成支付</x:v>
      </x:c>
      <x:c r="K1193" s="4" t="str">
        <x:v>金币余额 = 50 + 100 + 20 = 170</x:v>
      </x:c>
      <x:c r="L1193" s="4" t="str">
        <x:v>FLOW-2BA2481A</x:v>
      </x:c>
      <x:c r="M1193" s="4" t="str">
        <x:v>未测</x:v>
      </x:c>
      <x:c r="N1193" s="4" t="str"/>
      <x:c r="O1193" s="4" t="str">
        <x:v>1. 来源：MainBasis/统一需求文档.md；U-recharge-004、U-recharge-010、D-SYS-125
2. 场景：SC-bb46ef5ccb294c
3. 状态转换：ST-E5F5C85CE801</x:v>
      </x:c>
    </x:row>
    <x:row r="1194" ht="54" customHeight="1">
      <x:c r="A1194" s="4" t="n">
        <x:v>1193</x:v>
      </x:c>
      <x:c r="B1194" s="4" t="str">
        <x:v>USER-1193</x:v>
      </x:c>
      <x:c r="C1194" s="4" t="str">
        <x:v>M07 金币、充值、消费与客户端账单</x:v>
      </x:c>
      <x:c r="D1194" s="4" t="str">
        <x:v>余额充值（用户视角）</x:v>
      </x:c>
      <x:c r="E1194" s="4" t="str">
        <x:v>异常用例</x:v>
      </x:c>
      <x:c r="F1194" s="4" t="str">
        <x:v>P1</x:v>
      </x:c>
      <x:c r="G1194" s="4" t="str">
        <x:v>验证充值失败不加币</x:v>
      </x:c>
      <x:c r="H1194" s="4" t="str">
        <x:v>充值失败不加币</x:v>
      </x:c>
      <x:c r="I1194" s="4" t="str">
        <x:v>1. 已登录用户账号
2. 余额50，当前套餐可购买
3. 支付结果为失败</x:v>
      </x:c>
      <x:c r="J1194" s="4" t="str">
        <x:v>1. 进入「余额充值」页
2. 选择套餐
3. 发起支付</x:v>
      </x:c>
      <x:c r="K1194" s="4" t="str">
        <x:v>余额仍为50</x:v>
      </x:c>
      <x:c r="L1194" s="4" t="str"/>
      <x:c r="M1194" s="4" t="str">
        <x:v>未测</x:v>
      </x:c>
      <x:c r="N1194" s="4" t="str"/>
      <x:c r="O1194" s="4" t="str">
        <x:v>1. 来源：MainBasis/统一需求文档.md；U-recharge-005
2. 场景：SC-4c700d097b9f62</x:v>
      </x:c>
    </x:row>
    <x:row r="1195" ht="54" customHeight="1">
      <x:c r="A1195" s="4" t="n">
        <x:v>1194</x:v>
      </x:c>
      <x:c r="B1195" s="4" t="str">
        <x:v>USER-1194</x:v>
      </x:c>
      <x:c r="C1195" s="4" t="str">
        <x:v>M07 金币、充值、消费与客户端账单</x:v>
      </x:c>
      <x:c r="D1195" s="4" t="str">
        <x:v>余额充值（用户视角）</x:v>
      </x:c>
      <x:c r="E1195" s="4" t="str">
        <x:v>异常用例</x:v>
      </x:c>
      <x:c r="F1195" s="4" t="str">
        <x:v>P1</x:v>
      </x:c>
      <x:c r="G1195" s="4" t="str">
        <x:v>验证充值取消不加币</x:v>
      </x:c>
      <x:c r="H1195" s="4" t="str">
        <x:v>充值取消不加币</x:v>
      </x:c>
      <x:c r="I1195" s="4" t="str">
        <x:v>1. 已登录用户账号
2. 余额50，当前套餐可购买
3. 支付结果为取消</x:v>
      </x:c>
      <x:c r="J1195" s="4" t="str">
        <x:v>1. 进入「余额充值」页
2. 选择套餐
3. 发起支付</x:v>
      </x:c>
      <x:c r="K1195" s="4" t="str">
        <x:v>余额仍为50</x:v>
      </x:c>
      <x:c r="L1195" s="4" t="str"/>
      <x:c r="M1195" s="4" t="str">
        <x:v>未测</x:v>
      </x:c>
      <x:c r="N1195" s="4" t="str"/>
      <x:c r="O1195" s="4" t="str">
        <x:v>1. 来源：MainBasis/统一需求文档.md；U-recharge-005
2. 场景：SC-fa6e6ed38d13f5</x:v>
      </x:c>
    </x:row>
    <x:row r="1196" ht="54" customHeight="1">
      <x:c r="A1196" s="4" t="n">
        <x:v>1195</x:v>
      </x:c>
      <x:c r="B1196" s="4" t="str">
        <x:v>USER-1195</x:v>
      </x:c>
      <x:c r="C1196" s="4" t="str">
        <x:v>M07 金币、充值、消费与客户端账单</x:v>
      </x:c>
      <x:c r="D1196" s="4" t="str">
        <x:v>余额充值（用户视角）</x:v>
      </x:c>
      <x:c r="E1196" s="4" t="str">
        <x:v>异常用例</x:v>
      </x:c>
      <x:c r="F1196" s="4" t="str">
        <x:v>P1</x:v>
      </x:c>
      <x:c r="G1196" s="4" t="str">
        <x:v>验证充值超时不加币</x:v>
      </x:c>
      <x:c r="H1196" s="4" t="str">
        <x:v>充值超时不加币</x:v>
      </x:c>
      <x:c r="I1196" s="4" t="str">
        <x:v>1. 已登录用户账号
2. 余额50，当前套餐可购买
3. 支付结果为超时</x:v>
      </x:c>
      <x:c r="J1196" s="4" t="str">
        <x:v>1. 进入「余额充值」页
2. 选择套餐
3. 发起支付</x:v>
      </x:c>
      <x:c r="K1196" s="4" t="str">
        <x:v>余额仍为50</x:v>
      </x:c>
      <x:c r="L1196" s="4" t="str"/>
      <x:c r="M1196" s="4" t="str">
        <x:v>未测</x:v>
      </x:c>
      <x:c r="N1196" s="4" t="str"/>
      <x:c r="O1196" s="4" t="str">
        <x:v>1. 来源：MainBasis/统一需求文档.md；U-recharge-005
2. 场景：SC-656e8b807a75da</x:v>
      </x:c>
    </x:row>
    <x:row r="1197" ht="68" customHeight="1">
      <x:c r="A1197" s="4" t="n">
        <x:v>1196</x:v>
      </x:c>
      <x:c r="B1197" s="4" t="str">
        <x:v>USER-1196</x:v>
      </x:c>
      <x:c r="C1197" s="4" t="str">
        <x:v>M07 金币、充值、消费与客户端账单</x:v>
      </x:c>
      <x:c r="D1197" s="4" t="str">
        <x:v>余额充值（用户视角）</x:v>
      </x:c>
      <x:c r="E1197" s="4" t="str">
        <x:v>逻辑校验</x:v>
      </x:c>
      <x:c r="F1197" s="4" t="str">
        <x:v>P0</x:v>
      </x:c>
      <x:c r="G1197" s="4" t="str">
        <x:v>验证支付回调重复只入账一次</x:v>
      </x:c>
      <x:c r="H1197" s="4" t="str">
        <x:v>支付回调重复只入账一次</x:v>
      </x:c>
      <x:c r="I1197" s="4" t="str">
        <x:v>1. 已登录用户账号
2. 余额50，订单应到账120
3. 同一支付成功回调被重复送达2次</x:v>
      </x:c>
      <x:c r="J1197" s="4" t="str">
        <x:v>1. 进入「余额充值」页
2. 查看支付回调重复只入账一次</x:v>
      </x:c>
      <x:c r="K1197" s="4" t="str">
        <x:v>金币余额为170，仅一条充值入账流水</x:v>
      </x:c>
      <x:c r="L1197" s="4" t="str"/>
      <x:c r="M1197" s="4" t="str">
        <x:v>未测</x:v>
      </x:c>
      <x:c r="N1197" s="4" t="str"/>
      <x:c r="O1197" s="4" t="str">
        <x:v>1. 来源：MainBasis/统一需求文档.md；U-recharge-010、D-SYS-125
2. 场景：SC-140b4c1d7680f1</x:v>
      </x:c>
    </x:row>
    <x:row r="1198" ht="110" customHeight="1">
      <x:c r="A1198" s="4" t="n">
        <x:v>1197</x:v>
      </x:c>
      <x:c r="B1198" s="4" t="str">
        <x:v>USER-1197</x:v>
      </x:c>
      <x:c r="C1198" s="4" t="str">
        <x:v>M07 金币、充值、消费与客户端账单</x:v>
      </x:c>
      <x:c r="D1198" s="4" t="str">
        <x:v>余额充值（用户视角）</x:v>
      </x:c>
      <x:c r="E1198" s="4" t="str">
        <x:v>逻辑校验</x:v>
      </x:c>
      <x:c r="F1198" s="4" t="str">
        <x:v>P1</x:v>
      </x:c>
      <x:c r="G1198" s="4" t="str">
        <x:v>验证退款扣回120原余额20</x:v>
      </x:c>
      <x:c r="H1198" s="4" t="str">
        <x:v>退款扣回120原余额20</x:v>
      </x:c>
      <x:c r="I1198" s="4" t="str">
        <x:v>1. 已登录用户账号
2. 当前余额20，原订单到账120，后台已完成该订单整单退款</x:v>
      </x:c>
      <x:c r="J1198" s="4" t="str">
        <x:v>1. 进入「余额充值」页
2. 查看退款扣回120原余额20</x:v>
      </x:c>
      <x:c r="K1198" s="4" t="str">
        <x:v>余额 = 20 - 120 = -100</x:v>
      </x:c>
      <x:c r="L1198" s="4" t="str">
        <x:v>FLOW-2BA2481A</x:v>
      </x:c>
      <x:c r="M1198" s="4" t="str">
        <x:v>未测</x:v>
      </x:c>
      <x:c r="N1198" s="4" t="str"/>
      <x:c r="O1198" s="4" t="str">
        <x:v>1. 来源：MainBasis/统一需求文档.md；U-recharge-006、A-admin-recharge-order-detail-009、A-admin-refund-order-007、A-admin-user-detail-010、D-SYS-127、D-SYS-160、D-SYS-161、D-SYS-162
2. 场景：SC-85d4eb522835ac
3. 状态转换：ST-DF452BCC4832</x:v>
      </x:c>
    </x:row>
    <x:row r="1199" ht="110" customHeight="1">
      <x:c r="A1199" s="4" t="n">
        <x:v>1198</x:v>
      </x:c>
      <x:c r="B1199" s="4" t="str">
        <x:v>USER-1198</x:v>
      </x:c>
      <x:c r="C1199" s="4" t="str">
        <x:v>M07 金币、充值、消费与客户端账单</x:v>
      </x:c>
      <x:c r="D1199" s="4" t="str">
        <x:v>余额充值（用户视角）</x:v>
      </x:c>
      <x:c r="E1199" s="4" t="str">
        <x:v>逻辑校验</x:v>
      </x:c>
      <x:c r="F1199" s="4" t="str">
        <x:v>P1</x:v>
      </x:c>
      <x:c r="G1199" s="4" t="str">
        <x:v>验证退款扣回120原余额120</x:v>
      </x:c>
      <x:c r="H1199" s="4" t="str">
        <x:v>退款扣回120原余额120</x:v>
      </x:c>
      <x:c r="I1199" s="4" t="str">
        <x:v>1. 已登录用户账号
2. 当前余额120，原订单到账120，后台已完成该订单整单退款</x:v>
      </x:c>
      <x:c r="J1199" s="4" t="str">
        <x:v>1. 进入「余额充值」页
2. 查看退款扣回120原余额120</x:v>
      </x:c>
      <x:c r="K1199" s="4" t="str">
        <x:v>余额 = 120 - 120 = 0</x:v>
      </x:c>
      <x:c r="L1199" s="4" t="str">
        <x:v>FLOW-2BA2481A</x:v>
      </x:c>
      <x:c r="M1199" s="4" t="str">
        <x:v>未测</x:v>
      </x:c>
      <x:c r="N1199" s="4" t="str"/>
      <x:c r="O1199" s="4" t="str">
        <x:v>1. 来源：MainBasis/统一需求文档.md；U-recharge-006、A-admin-recharge-order-detail-009、A-admin-refund-order-007、A-admin-user-detail-010、D-SYS-127、D-SYS-160、D-SYS-161、D-SYS-162
2. 场景：SC-1dcff12f03da03
3. 状态转换：ST-DF452BCC4832</x:v>
      </x:c>
    </x:row>
    <x:row r="1200" ht="110" customHeight="1">
      <x:c r="A1200" s="4" t="n">
        <x:v>1199</x:v>
      </x:c>
      <x:c r="B1200" s="4" t="str">
        <x:v>USER-1199</x:v>
      </x:c>
      <x:c r="C1200" s="4" t="str">
        <x:v>M07 金币、充值、消费与客户端账单</x:v>
      </x:c>
      <x:c r="D1200" s="4" t="str">
        <x:v>余额充值（用户视角）</x:v>
      </x:c>
      <x:c r="E1200" s="4" t="str">
        <x:v>逻辑校验</x:v>
      </x:c>
      <x:c r="F1200" s="4" t="str">
        <x:v>P1</x:v>
      </x:c>
      <x:c r="G1200" s="4" t="str">
        <x:v>验证退款扣回120原余额130</x:v>
      </x:c>
      <x:c r="H1200" s="4" t="str">
        <x:v>退款扣回120原余额130</x:v>
      </x:c>
      <x:c r="I1200" s="4" t="str">
        <x:v>1. 已登录用户账号
2. 当前余额130，原订单到账120，后台已完成该订单整单退款</x:v>
      </x:c>
      <x:c r="J1200" s="4" t="str">
        <x:v>1. 进入「余额充值」页
2. 查看退款扣回120原余额130</x:v>
      </x:c>
      <x:c r="K1200" s="4" t="str">
        <x:v>余额 = 130 - 120 = 10</x:v>
      </x:c>
      <x:c r="L1200" s="4" t="str">
        <x:v>FLOW-2BA2481A</x:v>
      </x:c>
      <x:c r="M1200" s="4" t="str">
        <x:v>未测</x:v>
      </x:c>
      <x:c r="N1200" s="4" t="str"/>
      <x:c r="O1200" s="4" t="str">
        <x:v>1. 来源：MainBasis/统一需求文档.md；U-recharge-006、A-admin-recharge-order-detail-009、A-admin-refund-order-007、A-admin-user-detail-010、D-SYS-127、D-SYS-160、D-SYS-161、D-SYS-162
2. 场景：SC-33ab445445b1bb
3. 状态转换：ST-DF452BCC4832</x:v>
      </x:c>
    </x:row>
    <x:row r="1201" ht="96" customHeight="1">
      <x:c r="A1201" s="4" t="n">
        <x:v>1200</x:v>
      </x:c>
      <x:c r="B1201" s="4" t="str">
        <x:v>USER-1200</x:v>
      </x:c>
      <x:c r="C1201" s="4" t="str">
        <x:v>M07 金币、充值、消费与客户端账单</x:v>
      </x:c>
      <x:c r="D1201" s="4" t="str">
        <x:v>余额充值（用户视角）</x:v>
      </x:c>
      <x:c r="E1201" s="4" t="str">
        <x:v>逻辑校验</x:v>
      </x:c>
      <x:c r="F1201" s="4" t="str">
        <x:v>P1</x:v>
      </x:c>
      <x:c r="G1201" s="4" t="str">
        <x:v>验证负余额充值先抵扣</x:v>
      </x:c>
      <x:c r="H1201" s="4" t="str">
        <x:v>负余额充值先抵扣</x:v>
      </x:c>
      <x:c r="I1201" s="4" t="str">
        <x:v>1. 已登录用户账号
2. 余额-100，所选可购套餐到账120</x:v>
      </x:c>
      <x:c r="J1201" s="4" t="str">
        <x:v>1. 进入「余额充值」页
2. 完成该套餐支付</x:v>
      </x:c>
      <x:c r="K1201" s="4" t="str">
        <x:v>金币余额 = -100 + 120 = 20</x:v>
      </x:c>
      <x:c r="L1201" s="4" t="str"/>
      <x:c r="M1201" s="4" t="str">
        <x:v>未测</x:v>
      </x:c>
      <x:c r="N1201" s="4" t="str"/>
      <x:c r="O1201" s="4" t="str">
        <x:v>1. 来源：MainBasis/统一需求文档.md；U-recharge-006、A-admin-recharge-order-detail-009、A-admin-refund-order-007、A-admin-user-detail-010、D-SYS-127、D-SYS-160、D-SYS-161、D-SYS-162
2. 场景：SC-21e8bbdf8ab4cd</x:v>
      </x:c>
    </x:row>
    <x:row r="1202" ht="54" customHeight="1">
      <x:c r="A1202" s="4" t="n">
        <x:v>1201</x:v>
      </x:c>
      <x:c r="B1202" s="4" t="str">
        <x:v>USER-1201</x:v>
      </x:c>
      <x:c r="C1202" s="4" t="str">
        <x:v>M07 金币、充值、消费与客户端账单</x:v>
      </x:c>
      <x:c r="D1202" s="4" t="str">
        <x:v>余额充值（用户视角）</x:v>
      </x:c>
      <x:c r="E1202" s="4" t="str">
        <x:v>功能需求</x:v>
      </x:c>
      <x:c r="F1202" s="4" t="str">
        <x:v>P1</x:v>
      </x:c>
      <x:c r="G1202" s="4" t="str">
        <x:v>验证充值活动优先与套餐配置顺序</x:v>
      </x:c>
      <x:c r="H1202" s="4" t="str">
        <x:v>充值活动优先与套餐配置顺序</x:v>
      </x:c>
      <x:c r="I1202" s="4" t="str">
        <x:v>1. 已登录用户账号
2. 有活动及常规套餐，常规配置顺序已确定</x:v>
      </x:c>
      <x:c r="J1202" s="4" t="str">
        <x:v>1. 进入「余额充值」页
2. 查看充值活动优先与套餐配置顺序</x:v>
      </x:c>
      <x:c r="K1202" s="4" t="str">
        <x:v>活动在前，常规套餐沿用配置顺序</x:v>
      </x:c>
      <x:c r="L1202" s="4" t="str"/>
      <x:c r="M1202" s="4" t="str">
        <x:v>未测</x:v>
      </x:c>
      <x:c r="N1202" s="4" t="str"/>
      <x:c r="O1202" s="4" t="str">
        <x:v>1. 来源：MainBasis/统一需求文档.md；U-recharge-009
2. 场景：SC-5c91353212bffc</x:v>
      </x:c>
    </x:row>
    <x:row r="1203" ht="110" customHeight="1">
      <x:c r="A1203" s="4" t="n">
        <x:v>1202</x:v>
      </x:c>
      <x:c r="B1203" s="4" t="str">
        <x:v>USER-1202</x:v>
      </x:c>
      <x:c r="C1203" s="4" t="str">
        <x:v>M07 金币、充值、消费与客户端账单</x:v>
      </x:c>
      <x:c r="D1203" s="4" t="str">
        <x:v>余额充值（运营账号视角）</x:v>
      </x:c>
      <x:c r="E1203" s="4" t="str">
        <x:v>功能需求</x:v>
      </x:c>
      <x:c r="F1203" s="4" t="str">
        <x:v>P1</x:v>
      </x:c>
      <x:c r="G1203" s="4" t="str">
        <x:v>验证运营账号无充值入口</x:v>
      </x:c>
      <x:c r="H1203" s="4" t="str">
        <x:v>运营账号无充值入口</x:v>
      </x:c>
      <x:c r="I1203" s="4" t="str">
        <x:v>1. 已登录运营账号账号
2. 当前为运营账号</x:v>
      </x:c>
      <x:c r="J1203" s="4" t="str">
        <x:v>1. 进入「余额充值」页
2. 查看运营账号无充值入口</x:v>
      </x:c>
      <x:c r="K1203" s="4" t="str">
        <x:v>不提供充值页入口或充值能力</x:v>
      </x:c>
      <x:c r="L1203" s="4" t="str"/>
      <x:c r="M1203" s="4" t="str">
        <x:v>未测</x:v>
      </x:c>
      <x:c r="N1203" s="4" t="str"/>
      <x:c r="O1203" s="4" t="str">
        <x:v>1. 来源：MainBasis/统一需求文档.md；U-recharge-008、U-views_live-room_gift-recharge-004、G-guild-operation-accounts-006、G-guild-operation-account-detail-004、A-admin-operation-account-detail-006、A-admin-operation-guild-controls-009
2. 场景：SC-97d2e2e3297d94</x:v>
      </x:c>
    </x:row>
    <x:row r="1204" ht="54" customHeight="1">
      <x:c r="A1204" s="4" t="n">
        <x:v>1203</x:v>
      </x:c>
      <x:c r="B1204" s="4" t="str">
        <x:v>USER-1203</x:v>
      </x:c>
      <x:c r="C1204" s="4" t="str">
        <x:v>M07 金币、充值、消费与客户端账单</x:v>
      </x:c>
      <x:c r="D1204" s="4" t="str">
        <x:v>余额充值（用户视角）</x:v>
      </x:c>
      <x:c r="E1204" s="4" t="str">
        <x:v>功能需求</x:v>
      </x:c>
      <x:c r="F1204" s="4" t="str">
        <x:v>P1</x:v>
      </x:c>
      <x:c r="G1204" s="4" t="str">
        <x:v>验证真实金币来源统一账户</x:v>
      </x:c>
      <x:c r="H1204" s="4" t="str">
        <x:v>真实金币来源统一账户</x:v>
      </x:c>
      <x:c r="I1204" s="4" t="str">
        <x:v>1. 已登录用户账号
2. 账户先充值100，后领取签到20和任务30</x:v>
      </x:c>
      <x:c r="J1204" s="4" t="str">
        <x:v>1. 进入「余额充值」页
2. 查看真实金币来源统一账户</x:v>
      </x:c>
      <x:c r="K1204" s="4" t="str">
        <x:v>同一真实金币账户余额150，不能兑换现金</x:v>
      </x:c>
      <x:c r="L1204" s="4" t="str"/>
      <x:c r="M1204" s="4" t="str">
        <x:v>未测</x:v>
      </x:c>
      <x:c r="N1204" s="4" t="str"/>
      <x:c r="O1204" s="4" t="str">
        <x:v>1. 来源：MainBasis/统一需求文档.md；D-SYS-124、U-recharge-004
2. 场景：SC-6320496327147f</x:v>
      </x:c>
    </x:row>
    <x:row r="1205" ht="54" customHeight="1">
      <x:c r="A1205" s="4" t="n">
        <x:v>1204</x:v>
      </x:c>
      <x:c r="B1205" s="4" t="str">
        <x:v>USER-1204</x:v>
      </x:c>
      <x:c r="C1205" s="4" t="str">
        <x:v>M07 金币、充值、消费与客户端账单</x:v>
      </x:c>
      <x:c r="D1205" s="4" t="str">
        <x:v>余额明细（用户视角）</x:v>
      </x:c>
      <x:c r="E1205" s="4" t="str">
        <x:v>功能需求</x:v>
      </x:c>
      <x:c r="F1205" s="4" t="str">
        <x:v>P2</x:v>
      </x:c>
      <x:c r="G1205" s="4" t="str">
        <x:v>验证变动金币回显</x:v>
      </x:c>
      <x:c r="H1205" s="4" t="str">
        <x:v>变动金币回显</x:v>
      </x:c>
      <x:c r="I1205" s="4" t="str">
        <x:v>1. 已登录用户账号
2. 所选对象存在，已记录该对象的变动金币值</x:v>
      </x:c>
      <x:c r="J1205" s="4" t="str">
        <x:v>1. 进入「余额明细」页
2. 查看变动金币回显</x:v>
      </x:c>
      <x:c r="K1205" s="4" t="str">
        <x:v>「变动金币」内容与所选对象的该项资料一致</x:v>
      </x:c>
      <x:c r="L1205" s="4" t="str"/>
      <x:c r="M1205" s="4" t="str">
        <x:v>未测</x:v>
      </x:c>
      <x:c r="N1205" s="4" t="str"/>
      <x:c r="O1205" s="4" t="str">
        <x:v>1. 来源：MainBasis/统一需求文档.md；U-balance-detail-003
2. 场景：SC-3fc8e0db3045b0</x:v>
      </x:c>
    </x:row>
    <x:row r="1206" ht="54" customHeight="1">
      <x:c r="A1206" s="4" t="n">
        <x:v>1205</x:v>
      </x:c>
      <x:c r="B1206" s="4" t="str">
        <x:v>USER-1205</x:v>
      </x:c>
      <x:c r="C1206" s="4" t="str">
        <x:v>M07 金币、充值、消费与客户端账单</x:v>
      </x:c>
      <x:c r="D1206" s="4" t="str">
        <x:v>余额明细（用户视角）</x:v>
      </x:c>
      <x:c r="E1206" s="4" t="str">
        <x:v>功能需求</x:v>
      </x:c>
      <x:c r="F1206" s="4" t="str">
        <x:v>P2</x:v>
      </x:c>
      <x:c r="G1206" s="4" t="str">
        <x:v>验证发生时间回显</x:v>
      </x:c>
      <x:c r="H1206" s="4" t="str">
        <x:v>发生时间回显</x:v>
      </x:c>
      <x:c r="I1206" s="4" t="str">
        <x:v>1. 已登录用户账号
2. 所选对象存在，已记录该对象的发生时间值</x:v>
      </x:c>
      <x:c r="J1206" s="4" t="str">
        <x:v>1. 进入「余额明细」页
2. 查看发生时间回显</x:v>
      </x:c>
      <x:c r="K1206" s="4" t="str">
        <x:v>「发生时间」内容与所选对象的该项资料一致</x:v>
      </x:c>
      <x:c r="L1206" s="4" t="str"/>
      <x:c r="M1206" s="4" t="str">
        <x:v>未测</x:v>
      </x:c>
      <x:c r="N1206" s="4" t="str"/>
      <x:c r="O1206" s="4" t="str">
        <x:v>1. 来源：MainBasis/统一需求文档.md；U-balance-detail-004
2. 场景：SC-122a5894e82311</x:v>
      </x:c>
    </x:row>
    <x:row r="1207" ht="54" customHeight="1">
      <x:c r="A1207" s="4" t="n">
        <x:v>1206</x:v>
      </x:c>
      <x:c r="B1207" s="4" t="str">
        <x:v>USER-1206</x:v>
      </x:c>
      <x:c r="C1207" s="4" t="str">
        <x:v>M07 金币、充值、消费与客户端账单</x:v>
      </x:c>
      <x:c r="D1207" s="4" t="str">
        <x:v>余额明细（用户视角）</x:v>
      </x:c>
      <x:c r="E1207" s="4" t="str">
        <x:v>功能需求</x:v>
      </x:c>
      <x:c r="F1207" s="4" t="str">
        <x:v>P1</x:v>
      </x:c>
      <x:c r="G1207" s="4" t="str">
        <x:v>验证负余额不能消费</x:v>
      </x:c>
      <x:c r="H1207" s="4" t="str">
        <x:v>负余额不能消费</x:v>
      </x:c>
      <x:c r="I1207" s="4" t="str">
        <x:v>1. 已登录用户账号
2. 当前余额为-1</x:v>
      </x:c>
      <x:c r="J1207" s="4" t="str">
        <x:v>1. 进入「余额明细」页
2. 查看负余额不能消费</x:v>
      </x:c>
      <x:c r="K1207" s="4" t="str">
        <x:v>赠礼和购票均不能成功扣款</x:v>
      </x:c>
      <x:c r="L1207" s="4" t="str"/>
      <x:c r="M1207" s="4" t="str">
        <x:v>未测</x:v>
      </x:c>
      <x:c r="N1207" s="4" t="str"/>
      <x:c r="O1207" s="4" t="str">
        <x:v>1. 来源：MainBasis/统一需求文档.md；U-balance-detail-005、U-profile-005
2. 场景：SC-dccfe712da780c</x:v>
      </x:c>
    </x:row>
    <x:row r="1208" ht="54" customHeight="1">
      <x:c r="A1208" s="4" t="n">
        <x:v>1207</x:v>
      </x:c>
      <x:c r="B1208" s="4" t="str">
        <x:v>USER-1207</x:v>
      </x:c>
      <x:c r="C1208" s="4" t="str">
        <x:v>M07 金币、充值、消费与客户端账单</x:v>
      </x:c>
      <x:c r="D1208" s="4" t="str">
        <x:v>余额明细（用户视角）</x:v>
      </x:c>
      <x:c r="E1208" s="4" t="str">
        <x:v>功能需求</x:v>
      </x:c>
      <x:c r="F1208" s="4" t="str">
        <x:v>P1</x:v>
      </x:c>
      <x:c r="G1208" s="4" t="str">
        <x:v>验证退款以新分录记录</x:v>
      </x:c>
      <x:c r="H1208" s="4" t="str">
        <x:v>退款以新分录记录</x:v>
      </x:c>
      <x:c r="I1208" s="4" t="str">
        <x:v>1. 已登录用户账号
2. 充值原流水+120，后来发生全额退款</x:v>
      </x:c>
      <x:c r="J1208" s="4" t="str">
        <x:v>1. 进入「余额明细」页
2. 查看退款以新分录记录</x:v>
      </x:c>
      <x:c r="K1208" s="4" t="str">
        <x:v>原+120流水保留，另新增-120冲正流水</x:v>
      </x:c>
      <x:c r="L1208" s="4" t="str"/>
      <x:c r="M1208" s="4" t="str">
        <x:v>未测</x:v>
      </x:c>
      <x:c r="N1208" s="4" t="str"/>
      <x:c r="O1208" s="4" t="str">
        <x:v>1. 来源：MainBasis/统一需求文档.md；U-balance-detail-005、U-profile-005
2. 场景：SC-a08c835cc1c9b3</x:v>
      </x:c>
    </x:row>
    <x:row r="1209" ht="54" customHeight="1">
      <x:c r="A1209" s="4" t="n">
        <x:v>1208</x:v>
      </x:c>
      <x:c r="B1209" s="4" t="str">
        <x:v>USER-1208</x:v>
      </x:c>
      <x:c r="C1209" s="4" t="str">
        <x:v>M07 金币、充值、消费与客户端账单</x:v>
      </x:c>
      <x:c r="D1209" s="4" t="str">
        <x:v>余额明细（用户视角）</x:v>
      </x:c>
      <x:c r="E1209" s="4" t="str">
        <x:v>功能需求</x:v>
      </x:c>
      <x:c r="F1209" s="4" t="str">
        <x:v>P1</x:v>
      </x:c>
      <x:c r="G1209" s="4" t="str">
        <x:v>验证余额明细时间排序</x:v>
      </x:c>
      <x:c r="H1209" s="4" t="str">
        <x:v>余额明细时间排序</x:v>
      </x:c>
      <x:c r="I1209" s="4" t="str">
        <x:v>1. 已登录用户账号
2. 两流水发生时间10:00与10:01</x:v>
      </x:c>
      <x:c r="J1209" s="4" t="str">
        <x:v>1. 进入「余额明细」页
2. 查看余额明细时间排序</x:v>
      </x:c>
      <x:c r="K1209" s="4" t="str">
        <x:v>10:01流水排在10:00之前</x:v>
      </x:c>
      <x:c r="L1209" s="4" t="str"/>
      <x:c r="M1209" s="4" t="str">
        <x:v>未测</x:v>
      </x:c>
      <x:c r="N1209" s="4" t="str"/>
      <x:c r="O1209" s="4" t="str">
        <x:v>1. 来源：MainBasis/统一需求文档.md；U-balance-detail-006
2. 场景：SC-a1ecb1a9feffda</x:v>
      </x:c>
    </x:row>
    <x:row r="1210" ht="54" customHeight="1">
      <x:c r="A1210" s="4" t="n">
        <x:v>1209</x:v>
      </x:c>
      <x:c r="B1210" s="4" t="str">
        <x:v>USER-1209</x:v>
      </x:c>
      <x:c r="C1210" s="4" t="str">
        <x:v>M07 金币、充值、消费与客户端账单</x:v>
      </x:c>
      <x:c r="D1210" s="4" t="str">
        <x:v>余额明细（用户视角）</x:v>
      </x:c>
      <x:c r="E1210" s="4" t="str">
        <x:v>功能需求</x:v>
      </x:c>
      <x:c r="F1210" s="4" t="str">
        <x:v>P1</x:v>
      </x:c>
      <x:c r="G1210" s="4" t="str">
        <x:v>验证余额明细同时间ID排序</x:v>
      </x:c>
      <x:c r="H1210" s="4" t="str">
        <x:v>余额明细同时间ID排序</x:v>
      </x:c>
      <x:c r="I1210" s="4" t="str">
        <x:v>1. 已登录用户账号
2. 两流水时间相同、ID分别10与20</x:v>
      </x:c>
      <x:c r="J1210" s="4" t="str">
        <x:v>1. 进入「余额明细」页
2. 查看余额明细同时间ID排序</x:v>
      </x:c>
      <x:c r="K1210" s="4" t="str">
        <x:v>ID20流水排在ID10之前</x:v>
      </x:c>
      <x:c r="L1210" s="4" t="str"/>
      <x:c r="M1210" s="4" t="str">
        <x:v>未测</x:v>
      </x:c>
      <x:c r="N1210" s="4" t="str"/>
      <x:c r="O1210" s="4" t="str">
        <x:v>1. 来源：MainBasis/统一需求文档.md；U-balance-detail-006
2. 场景：SC-f01edbc8073a72</x:v>
      </x:c>
    </x:row>
    <x:row r="1211" ht="54" customHeight="1">
      <x:c r="A1211" s="4" t="n">
        <x:v>1210</x:v>
      </x:c>
      <x:c r="B1211" s="4" t="str">
        <x:v>USER-1210</x:v>
      </x:c>
      <x:c r="C1211" s="4" t="str">
        <x:v>M07 金币、充值、消费与客户端账单</x:v>
      </x:c>
      <x:c r="D1211" s="4" t="str">
        <x:v>余额明细（用户视角）</x:v>
      </x:c>
      <x:c r="E1211" s="4" t="str">
        <x:v>功能需求</x:v>
      </x:c>
      <x:c r="F1211" s="4" t="str">
        <x:v>P1</x:v>
      </x:c>
      <x:c r="G1211" s="4" t="str">
        <x:v>验证充值流水入口</x:v>
      </x:c>
      <x:c r="H1211" s="4" t="str">
        <x:v>充值流水入口</x:v>
      </x:c>
      <x:c r="I1211" s="4" t="str">
        <x:v>1. 已登录用户账号
2. 当前账号有充值流水，已关联订单</x:v>
      </x:c>
      <x:c r="J1211" s="4" t="str">
        <x:v>1. 进入「余额明细」页
2. 点击该流水</x:v>
      </x:c>
      <x:c r="K1211" s="4" t="str">
        <x:v>进入该笔充值订单详情</x:v>
      </x:c>
      <x:c r="L1211" s="4" t="str"/>
      <x:c r="M1211" s="4" t="str">
        <x:v>未测</x:v>
      </x:c>
      <x:c r="N1211" s="4" t="str"/>
      <x:c r="O1211" s="4" t="str">
        <x:v>1. 来源：MainBasis/统一需求文档.md；U-balance-detail-007
2. 场景：SC-408cd700b1c35a</x:v>
      </x:c>
    </x:row>
    <x:row r="1212" ht="54" customHeight="1">
      <x:c r="A1212" s="4" t="n">
        <x:v>1211</x:v>
      </x:c>
      <x:c r="B1212" s="4" t="str">
        <x:v>USER-1211</x:v>
      </x:c>
      <x:c r="C1212" s="4" t="str">
        <x:v>M07 金币、充值、消费与客户端账单</x:v>
      </x:c>
      <x:c r="D1212" s="4" t="str">
        <x:v>余额明细（用户视角）</x:v>
      </x:c>
      <x:c r="E1212" s="4" t="str">
        <x:v>功能需求</x:v>
      </x:c>
      <x:c r="F1212" s="4" t="str">
        <x:v>P1</x:v>
      </x:c>
      <x:c r="G1212" s="4" t="str">
        <x:v>验证支出流水入口</x:v>
      </x:c>
      <x:c r="H1212" s="4" t="str">
        <x:v>支出流水入口</x:v>
      </x:c>
      <x:c r="I1212" s="4" t="str">
        <x:v>1. 已登录用户账号
2. 当前账号有支出流水，已关联订单</x:v>
      </x:c>
      <x:c r="J1212" s="4" t="str">
        <x:v>1. 进入「余额明细」页
2. 点击该流水</x:v>
      </x:c>
      <x:c r="K1212" s="4" t="str">
        <x:v>进入该笔支出订单详情</x:v>
      </x:c>
      <x:c r="L1212" s="4" t="str"/>
      <x:c r="M1212" s="4" t="str">
        <x:v>未测</x:v>
      </x:c>
      <x:c r="N1212" s="4" t="str"/>
      <x:c r="O1212" s="4" t="str">
        <x:v>1. 来源：MainBasis/统一需求文档.md；U-balance-detail-007
2. 场景：SC-8c039696a59de2</x:v>
      </x:c>
    </x:row>
    <x:row r="1213" ht="54" customHeight="1">
      <x:c r="A1213" s="4" t="n">
        <x:v>1212</x:v>
      </x:c>
      <x:c r="B1213" s="4" t="str">
        <x:v>USER-1212</x:v>
      </x:c>
      <x:c r="C1213" s="4" t="str">
        <x:v>M07 金币、充值、消费与客户端账单</x:v>
      </x:c>
      <x:c r="D1213" s="4" t="str">
        <x:v>余额明细（用户视角）</x:v>
      </x:c>
      <x:c r="E1213" s="4" t="str">
        <x:v>功能需求</x:v>
      </x:c>
      <x:c r="F1213" s="4" t="str">
        <x:v>P1</x:v>
      </x:c>
      <x:c r="G1213" s="4" t="str">
        <x:v>验证任务奖励流水入口</x:v>
      </x:c>
      <x:c r="H1213" s="4" t="str">
        <x:v>任务奖励流水入口</x:v>
      </x:c>
      <x:c r="I1213" s="4" t="str">
        <x:v>1. 已登录用户账号
2. 当前账号有任务奖励流水，不关联订单</x:v>
      </x:c>
      <x:c r="J1213" s="4" t="str">
        <x:v>1. 进入「余额明细」页
2. 点击该流水</x:v>
      </x:c>
      <x:c r="K1213" s="4" t="str">
        <x:v>仅展示流水信息</x:v>
      </x:c>
      <x:c r="L1213" s="4" t="str"/>
      <x:c r="M1213" s="4" t="str">
        <x:v>未测</x:v>
      </x:c>
      <x:c r="N1213" s="4" t="str"/>
      <x:c r="O1213" s="4" t="str">
        <x:v>1. 来源：MainBasis/统一需求文档.md；U-balance-detail-007
2. 场景：SC-c9cc9c854b4d9a</x:v>
      </x:c>
    </x:row>
    <x:row r="1214" ht="54" customHeight="1">
      <x:c r="A1214" s="4" t="n">
        <x:v>1213</x:v>
      </x:c>
      <x:c r="B1214" s="4" t="str">
        <x:v>USER-1213</x:v>
      </x:c>
      <x:c r="C1214" s="4" t="str">
        <x:v>M07 金币、充值、消费与客户端账单</x:v>
      </x:c>
      <x:c r="D1214" s="4" t="str">
        <x:v>余额明细（用户视角）</x:v>
      </x:c>
      <x:c r="E1214" s="4" t="str">
        <x:v>功能需求</x:v>
      </x:c>
      <x:c r="F1214" s="4" t="str">
        <x:v>P1</x:v>
      </x:c>
      <x:c r="G1214" s="4" t="str">
        <x:v>验证真实金币收入流水来源</x:v>
      </x:c>
      <x:c r="H1214" s="4" t="str">
        <x:v>真实金币收入流水来源</x:v>
      </x:c>
      <x:c r="I1214" s="4" t="str">
        <x:v>1. 已登录用户账号
2. 已存在一笔充值、赠送、签到、任务和幸运返奖成功收入</x:v>
      </x:c>
      <x:c r="J1214" s="4" t="str">
        <x:v>1. 进入「余额明细」页
2. 查看真实金币收入流水来源</x:v>
      </x:c>
      <x:c r="K1214" s="4" t="str">
        <x:v>同一账号余额明细可查看各项收入</x:v>
      </x:c>
      <x:c r="L1214" s="4" t="str"/>
      <x:c r="M1214" s="4" t="str">
        <x:v>未测</x:v>
      </x:c>
      <x:c r="N1214" s="4" t="str"/>
      <x:c r="O1214" s="4" t="str">
        <x:v>1. 来源：MainBasis/统一需求文档.md；D-SYS-123、U-balance-detail-003
2. 场景：SC-b410ca0b3972c0</x:v>
      </x:c>
    </x:row>
    <x:row r="1215" ht="54" customHeight="1">
      <x:c r="A1215" s="4" t="n">
        <x:v>1214</x:v>
      </x:c>
      <x:c r="B1215" s="4" t="str">
        <x:v>USER-1214</x:v>
      </x:c>
      <x:c r="C1215" s="4" t="str">
        <x:v>M07 金币、充值、消费与客户端账单</x:v>
      </x:c>
      <x:c r="D1215" s="4" t="str">
        <x:v>充值订单详情（用户视角）</x:v>
      </x:c>
      <x:c r="E1215" s="4" t="str">
        <x:v>功能需求</x:v>
      </x:c>
      <x:c r="F1215" s="4" t="str">
        <x:v>P2</x:v>
      </x:c>
      <x:c r="G1215" s="4" t="str">
        <x:v>验证购买套餐名称回显</x:v>
      </x:c>
      <x:c r="H1215" s="4" t="str">
        <x:v>购买套餐名称回显</x:v>
      </x:c>
      <x:c r="I1215" s="4" t="str">
        <x:v>1. 已登录用户账号
2. 所选对象存在，已记录该对象的购买套餐名称值</x:v>
      </x:c>
      <x:c r="J1215" s="4" t="str">
        <x:v>1. 进入「充值订单详情」页
2. 查看购买套餐名称回显</x:v>
      </x:c>
      <x:c r="K1215" s="4" t="str">
        <x:v>「购买套餐名称」内容与所选对象的该项资料一致</x:v>
      </x:c>
      <x:c r="L1215" s="4" t="str"/>
      <x:c r="M1215" s="4" t="str">
        <x:v>未测</x:v>
      </x:c>
      <x:c r="N1215" s="4" t="str"/>
      <x:c r="O1215" s="4" t="str">
        <x:v>1. 来源：MainBasis/统一需求文档.md；U-order-income-detail-002
2. 场景：SC-3ac1d9602b5f27</x:v>
      </x:c>
    </x:row>
    <x:row r="1216" ht="54" customHeight="1">
      <x:c r="A1216" s="4" t="n">
        <x:v>1215</x:v>
      </x:c>
      <x:c r="B1216" s="4" t="str">
        <x:v>USER-1215</x:v>
      </x:c>
      <x:c r="C1216" s="4" t="str">
        <x:v>M07 金币、充值、消费与客户端账单</x:v>
      </x:c>
      <x:c r="D1216" s="4" t="str">
        <x:v>充值订单详情（用户视角）</x:v>
      </x:c>
      <x:c r="E1216" s="4" t="str">
        <x:v>功能需求</x:v>
      </x:c>
      <x:c r="F1216" s="4" t="str">
        <x:v>P2</x:v>
      </x:c>
      <x:c r="G1216" s="4" t="str">
        <x:v>验证支付时间回显</x:v>
      </x:c>
      <x:c r="H1216" s="4" t="str">
        <x:v>支付时间回显</x:v>
      </x:c>
      <x:c r="I1216" s="4" t="str">
        <x:v>1. 已登录用户账号
2. 所选对象存在，已记录该对象的支付时间值</x:v>
      </x:c>
      <x:c r="J1216" s="4" t="str">
        <x:v>1. 进入「充值订单详情」页
2. 查看支付时间回显</x:v>
      </x:c>
      <x:c r="K1216" s="4" t="str">
        <x:v>「支付时间」内容与所选对象的该项资料一致</x:v>
      </x:c>
      <x:c r="L1216" s="4" t="str"/>
      <x:c r="M1216" s="4" t="str">
        <x:v>未测</x:v>
      </x:c>
      <x:c r="N1216" s="4" t="str"/>
      <x:c r="O1216" s="4" t="str">
        <x:v>1. 来源：MainBasis/统一需求文档.md；U-order-income-detail-004
2. 场景：SC-645417245ecba8</x:v>
      </x:c>
    </x:row>
    <x:row r="1217" ht="54" customHeight="1">
      <x:c r="A1217" s="4" t="n">
        <x:v>1216</x:v>
      </x:c>
      <x:c r="B1217" s="4" t="str">
        <x:v>USER-1216</x:v>
      </x:c>
      <x:c r="C1217" s="4" t="str">
        <x:v>M07 金币、充值、消费与客户端账单</x:v>
      </x:c>
      <x:c r="D1217" s="4" t="str">
        <x:v>充值订单详情（用户视角）</x:v>
      </x:c>
      <x:c r="E1217" s="4" t="str">
        <x:v>功能需求</x:v>
      </x:c>
      <x:c r="F1217" s="4" t="str">
        <x:v>P2</x:v>
      </x:c>
      <x:c r="G1217" s="4" t="str">
        <x:v>验证套餐金币、赠送金币回显</x:v>
      </x:c>
      <x:c r="H1217" s="4" t="str">
        <x:v>套餐金币、赠送金币回显</x:v>
      </x:c>
      <x:c r="I1217" s="4" t="str">
        <x:v>1. 已登录用户账号
2. 所选对象存在，已记录该对象的套餐金币 / 赠送金币值</x:v>
      </x:c>
      <x:c r="J1217" s="4" t="str">
        <x:v>1. 进入「充值订单详情」页
2. 查看套餐金币、赠送金币回显</x:v>
      </x:c>
      <x:c r="K1217" s="4" t="str">
        <x:v>「套餐金币 / 赠送金币」内容与所选对象的该项资料一致</x:v>
      </x:c>
      <x:c r="L1217" s="4" t="str"/>
      <x:c r="M1217" s="4" t="str">
        <x:v>未测</x:v>
      </x:c>
      <x:c r="N1217" s="4" t="str"/>
      <x:c r="O1217" s="4" t="str">
        <x:v>1. 来源：MainBasis/统一需求文档.md；U-order-income-detail-005
2. 场景：SC-45a17841a9f5ac</x:v>
      </x:c>
    </x:row>
    <x:row r="1218" ht="54" customHeight="1">
      <x:c r="A1218" s="4" t="n">
        <x:v>1217</x:v>
      </x:c>
      <x:c r="B1218" s="4" t="str">
        <x:v>USER-1217</x:v>
      </x:c>
      <x:c r="C1218" s="4" t="str">
        <x:v>M07 金币、充值、消费与客户端账单</x:v>
      </x:c>
      <x:c r="D1218" s="4" t="str">
        <x:v>充值订单详情（用户视角）</x:v>
      </x:c>
      <x:c r="E1218" s="4" t="str">
        <x:v>功能需求</x:v>
      </x:c>
      <x:c r="F1218" s="4" t="str">
        <x:v>P2</x:v>
      </x:c>
      <x:c r="G1218" s="4" t="str">
        <x:v>验证支付渠道回显</x:v>
      </x:c>
      <x:c r="H1218" s="4" t="str">
        <x:v>支付渠道回显</x:v>
      </x:c>
      <x:c r="I1218" s="4" t="str">
        <x:v>1. 已登录用户账号
2. 所选对象存在，已记录该对象的支付渠道值</x:v>
      </x:c>
      <x:c r="J1218" s="4" t="str">
        <x:v>1. 进入「充值订单详情」页
2. 查看支付渠道回显</x:v>
      </x:c>
      <x:c r="K1218" s="4" t="str">
        <x:v>「支付渠道」内容与所选对象的该项资料一致</x:v>
      </x:c>
      <x:c r="L1218" s="4" t="str"/>
      <x:c r="M1218" s="4" t="str">
        <x:v>未测</x:v>
      </x:c>
      <x:c r="N1218" s="4" t="str"/>
      <x:c r="O1218" s="4" t="str">
        <x:v>1. 来源：MainBasis/统一需求文档.md；U-order-income-detail-006
2. 场景：SC-b0b16bcfd75e78</x:v>
      </x:c>
    </x:row>
    <x:row r="1219" ht="54" customHeight="1">
      <x:c r="A1219" s="4" t="n">
        <x:v>1218</x:v>
      </x:c>
      <x:c r="B1219" s="4" t="str">
        <x:v>USER-1218</x:v>
      </x:c>
      <x:c r="C1219" s="4" t="str">
        <x:v>M07 金币、充值、消费与客户端账单</x:v>
      </x:c>
      <x:c r="D1219" s="4" t="str">
        <x:v>充值订单详情（用户视角）</x:v>
      </x:c>
      <x:c r="E1219" s="4" t="str">
        <x:v>功能需求</x:v>
      </x:c>
      <x:c r="F1219" s="4" t="str">
        <x:v>P2</x:v>
      </x:c>
      <x:c r="G1219" s="4" t="str">
        <x:v>验证支付金额回显</x:v>
      </x:c>
      <x:c r="H1219" s="4" t="str">
        <x:v>支付金额回显</x:v>
      </x:c>
      <x:c r="I1219" s="4" t="str">
        <x:v>1. 已登录用户账号
2. 所选对象存在，已记录该对象的支付金额值</x:v>
      </x:c>
      <x:c r="J1219" s="4" t="str">
        <x:v>1. 进入「充值订单详情」页
2. 查看支付金额回显</x:v>
      </x:c>
      <x:c r="K1219" s="4" t="str">
        <x:v>「支付金额」内容与所选对象的该项资料一致</x:v>
      </x:c>
      <x:c r="L1219" s="4" t="str"/>
      <x:c r="M1219" s="4" t="str">
        <x:v>未测</x:v>
      </x:c>
      <x:c r="N1219" s="4" t="str"/>
      <x:c r="O1219" s="4" t="str">
        <x:v>1. 来源：MainBasis/统一需求文档.md；U-order-income-detail-007
2. 场景：SC-63e1f94eedf2fc</x:v>
      </x:c>
    </x:row>
    <x:row r="1220" ht="68" customHeight="1">
      <x:c r="A1220" s="4" t="n">
        <x:v>1219</x:v>
      </x:c>
      <x:c r="B1220" s="4" t="str">
        <x:v>USER-1219</x:v>
      </x:c>
      <x:c r="C1220" s="4" t="str">
        <x:v>M07 金币、充值、消费与客户端账单</x:v>
      </x:c>
      <x:c r="D1220" s="4" t="str">
        <x:v>充值订单详情（用户视角）</x:v>
      </x:c>
      <x:c r="E1220" s="4" t="str">
        <x:v>功能需求</x:v>
      </x:c>
      <x:c r="F1220" s="4" t="str">
        <x:v>P1</x:v>
      </x:c>
      <x:c r="G1220" s="4" t="str">
        <x:v>验证充值套餐保留订单快照</x:v>
      </x:c>
      <x:c r="H1220" s="4" t="str">
        <x:v>充值套餐保留订单快照</x:v>
      </x:c>
      <x:c r="I1220" s="4" t="str">
        <x:v>1. 已登录用户账号
2. 已支付订单原基础100赠20，后台已改为基础200赠30</x:v>
      </x:c>
      <x:c r="J1220" s="4" t="str">
        <x:v>1. 进入「充值订单详情」页
2. 查看充值套餐保留订单快照</x:v>
      </x:c>
      <x:c r="K1220" s="4" t="str">
        <x:v>订单仍展示基础100和赠送20</x:v>
      </x:c>
      <x:c r="L1220" s="4" t="str"/>
      <x:c r="M1220" s="4" t="str">
        <x:v>未测</x:v>
      </x:c>
      <x:c r="N1220" s="4" t="str"/>
      <x:c r="O1220" s="4" t="str">
        <x:v>1. 来源：MainBasis/统一需求文档.md；U-order-income-detail-009、A-admin-recharge-package-007
2. 场景：SC-2284d191aaa891</x:v>
      </x:c>
    </x:row>
    <x:row r="1221" ht="54" customHeight="1">
      <x:c r="A1221" s="4" t="n">
        <x:v>1220</x:v>
      </x:c>
      <x:c r="B1221" s="4" t="str">
        <x:v>USER-1220</x:v>
      </x:c>
      <x:c r="C1221" s="4" t="str">
        <x:v>M07 金币、充值、消费与客户端账单</x:v>
      </x:c>
      <x:c r="D1221" s="4" t="str">
        <x:v>充值订单详情（用户视角）</x:v>
      </x:c>
      <x:c r="E1221" s="4" t="str">
        <x:v>功能需求</x:v>
      </x:c>
      <x:c r="F1221" s="4" t="str">
        <x:v>P1</x:v>
      </x:c>
      <x:c r="G1221" s="4" t="str">
        <x:v>验证用户充值详情无退款入口</x:v>
      </x:c>
      <x:c r="H1221" s="4" t="str">
        <x:v>用户充值详情无退款入口</x:v>
      </x:c>
      <x:c r="I1221" s="4" t="str">
        <x:v>1. 已登录用户账号
2. 当前是成功充值订单</x:v>
      </x:c>
      <x:c r="J1221" s="4" t="str">
        <x:v>1. 进入「充值订单详情」页
2. 查看用户充值详情无退款入口</x:v>
      </x:c>
      <x:c r="K1221" s="4" t="str">
        <x:v>详情不提供用户退款操作</x:v>
      </x:c>
      <x:c r="L1221" s="4" t="str"/>
      <x:c r="M1221" s="4" t="str">
        <x:v>未测</x:v>
      </x:c>
      <x:c r="N1221" s="4" t="str"/>
      <x:c r="O1221" s="4" t="str">
        <x:v>1. 来源：MainBasis/统一需求文档.md；U-order-income-detail-008、D-SYS-159
2. 场景：SC-bc1c725d588f55</x:v>
      </x:c>
    </x:row>
    <x:row r="1222" ht="54" customHeight="1">
      <x:c r="A1222" s="4" t="n">
        <x:v>1221</x:v>
      </x:c>
      <x:c r="B1222" s="4" t="str">
        <x:v>USER-1221</x:v>
      </x:c>
      <x:c r="C1222" s="4" t="str">
        <x:v>M07 金币、充值、消费与客户端账单</x:v>
      </x:c>
      <x:c r="D1222" s="4" t="str">
        <x:v>充值订单详情（用户视角）</x:v>
      </x:c>
      <x:c r="E1222" s="4" t="str">
        <x:v>功能需求</x:v>
      </x:c>
      <x:c r="F1222" s="4" t="str">
        <x:v>P1</x:v>
      </x:c>
      <x:c r="G1222" s="4" t="str">
        <x:v>验证订单返回保留账单位置</x:v>
      </x:c>
      <x:c r="H1222" s="4" t="str">
        <x:v>订单返回保留账单位置</x:v>
      </x:c>
      <x:c r="I1222" s="4" t="str">
        <x:v>1. 已登录用户账号
2. 从有筛选条件的账单列表打开一笔订单</x:v>
      </x:c>
      <x:c r="J1222" s="4" t="str">
        <x:v>1. 进入「充值订单详情」页
2. 点击返回</x:v>
      </x:c>
      <x:c r="K1222" s="4" t="str">
        <x:v>回到账单列表，筛选与位置保留</x:v>
      </x:c>
      <x:c r="L1222" s="4" t="str"/>
      <x:c r="M1222" s="4" t="str">
        <x:v>未测</x:v>
      </x:c>
      <x:c r="N1222" s="4" t="str"/>
      <x:c r="O1222" s="4" t="str">
        <x:v>1. 来源：MainBasis/统一需求文档.md；U-order-income-detail-010
2. 场景：SC-0241fd8d6319de</x:v>
      </x:c>
    </x:row>
    <x:row r="1223" ht="54" customHeight="1">
      <x:c r="A1223" s="4" t="n">
        <x:v>1222</x:v>
      </x:c>
      <x:c r="B1223" s="4" t="str">
        <x:v>USER-1222</x:v>
      </x:c>
      <x:c r="C1223" s="4" t="str">
        <x:v>M07 金币、充值、消费与客户端账单</x:v>
      </x:c>
      <x:c r="D1223" s="4" t="str">
        <x:v>充值订单详情（用户视角）</x:v>
      </x:c>
      <x:c r="E1223" s="4" t="str">
        <x:v>功能需求</x:v>
      </x:c>
      <x:c r="F1223" s="4" t="str">
        <x:v>P1</x:v>
      </x:c>
      <x:c r="G1223" s="4" t="str">
        <x:v>验证充值套餐数量</x:v>
      </x:c>
      <x:c r="H1223" s="4" t="str">
        <x:v>充值套餐数量</x:v>
      </x:c>
      <x:c r="I1223" s="4" t="str">
        <x:v>1. 已登录用户账号
2. 当前账号有一笔购买2份同一充值套餐的订单</x:v>
      </x:c>
      <x:c r="J1223" s="4" t="str">
        <x:v>1. 进入「充值订单详情」页
2. 查看充值套餐数量</x:v>
      </x:c>
      <x:c r="K1223" s="4" t="str">
        <x:v>数量显示2</x:v>
      </x:c>
      <x:c r="L1223" s="4" t="str"/>
      <x:c r="M1223" s="4" t="str">
        <x:v>未测</x:v>
      </x:c>
      <x:c r="N1223" s="4" t="str"/>
      <x:c r="O1223" s="4" t="str">
        <x:v>1. 来源：MainBasis/统一需求文档.md；U-order-income-detail-003
2. 场景：SC-f4162ba1faac24</x:v>
      </x:c>
    </x:row>
    <x:row r="1224" ht="96" customHeight="1">
      <x:c r="A1224" s="4" t="n">
        <x:v>1223</x:v>
      </x:c>
      <x:c r="B1224" s="4" t="str">
        <x:v>USER-1223</x:v>
      </x:c>
      <x:c r="C1224" s="4" t="str">
        <x:v>M07 金币、充值、消费与客户端账单</x:v>
      </x:c>
      <x:c r="D1224" s="4" t="str">
        <x:v>支出订单详情（用户视角）</x:v>
      </x:c>
      <x:c r="E1224" s="4" t="str">
        <x:v>功能需求</x:v>
      </x:c>
      <x:c r="F1224" s="4" t="str">
        <x:v>P1</x:v>
      </x:c>
      <x:c r="G1224" s="4" t="str">
        <x:v>验证支出保留支付快照</x:v>
      </x:c>
      <x:c r="H1224" s="4" t="str">
        <x:v>支出保留支付快照</x:v>
      </x:c>
      <x:c r="I1224" s="4" t="str">
        <x:v>1. 已登录用户账号
2. 已支付普通礼物原单价10数量2，礼物后台已改价20</x:v>
      </x:c>
      <x:c r="J1224" s="4" t="str">
        <x:v>1. 进入「支出订单详情」页
2. 查看支出保留支付快照</x:v>
      </x:c>
      <x:c r="K1224" s="4" t="str">
        <x:v>订单仍显示原商品、数量2和实际扣款20</x:v>
      </x:c>
      <x:c r="L1224" s="4" t="str"/>
      <x:c r="M1224" s="4" t="str">
        <x:v>未测</x:v>
      </x:c>
      <x:c r="N1224" s="4" t="str"/>
      <x:c r="O1224" s="4" t="str">
        <x:v>1. 来源：MainBasis/统一需求文档.md；U-order-expense-detail-010、A-admin-consumption-order-detail-002、A-admin-monthly-host-earnings-003、A-admin-consumption-order-detail-report-003
2. 场景：SC-f757a7a773f381</x:v>
      </x:c>
    </x:row>
    <x:row r="1225" ht="54" customHeight="1">
      <x:c r="A1225" s="4" t="n">
        <x:v>1224</x:v>
      </x:c>
      <x:c r="B1225" s="4" t="str">
        <x:v>USER-1224</x:v>
      </x:c>
      <x:c r="C1225" s="4" t="str">
        <x:v>M07 金币、充值、消费与客户端账单</x:v>
      </x:c>
      <x:c r="D1225" s="4" t="str">
        <x:v>支出订单详情（用户视角）</x:v>
      </x:c>
      <x:c r="E1225" s="4" t="str">
        <x:v>功能需求</x:v>
      </x:c>
      <x:c r="F1225" s="4" t="str">
        <x:v>P1</x:v>
      </x:c>
      <x:c r="G1225" s="4" t="str">
        <x:v>验证成功消费不支持退款</x:v>
      </x:c>
      <x:c r="H1225" s="4" t="str">
        <x:v>成功消费不支持退款</x:v>
      </x:c>
      <x:c r="I1225" s="4" t="str">
        <x:v>1. 已登录用户账号
2. 当前是成功赠礼或门票支出订单</x:v>
      </x:c>
      <x:c r="J1225" s="4" t="str">
        <x:v>1. 进入「支出订单详情」页
2. 查看成功消费不支持退款</x:v>
      </x:c>
      <x:c r="K1225" s="4" t="str">
        <x:v>详情不提供退款操作</x:v>
      </x:c>
      <x:c r="L1225" s="4" t="str"/>
      <x:c r="M1225" s="4" t="str">
        <x:v>未测</x:v>
      </x:c>
      <x:c r="N1225" s="4" t="str"/>
      <x:c r="O1225" s="4" t="str">
        <x:v>1. 来源：MainBasis/统一需求文档.md；U-order-expense-detail-008
2. 场景：SC-da06b379f2efab</x:v>
      </x:c>
    </x:row>
    <x:row r="1226" ht="54" customHeight="1">
      <x:c r="A1226" s="4" t="n">
        <x:v>1225</x:v>
      </x:c>
      <x:c r="B1226" s="4" t="str">
        <x:v>USER-1225</x:v>
      </x:c>
      <x:c r="C1226" s="4" t="str">
        <x:v>M07 金币、充值、消费与客户端账单</x:v>
      </x:c>
      <x:c r="D1226" s="4" t="str">
        <x:v>支出订单详情（用户视角）</x:v>
      </x:c>
      <x:c r="E1226" s="4" t="str">
        <x:v>功能需求</x:v>
      </x:c>
      <x:c r="F1226" s="4" t="str">
        <x:v>P1</x:v>
      </x:c>
      <x:c r="G1226" s="4" t="str">
        <x:v>验证失效消费对象不重新消费</x:v>
      </x:c>
      <x:c r="H1226" s="4" t="str">
        <x:v>失效消费对象不重新消费</x:v>
      </x:c>
      <x:c r="I1226" s="4" t="str">
        <x:v>1. 已登录用户账号
2. 订单关联场次已失效</x:v>
      </x:c>
      <x:c r="J1226" s="4" t="str">
        <x:v>1. 进入「支出订单详情」页
2. 点击业务对象</x:v>
      </x:c>
      <x:c r="K1226" s="4" t="str">
        <x:v>仅保留订单快照，不重新发起消费</x:v>
      </x:c>
      <x:c r="L1226" s="4" t="str"/>
      <x:c r="M1226" s="4" t="str">
        <x:v>未测</x:v>
      </x:c>
      <x:c r="N1226" s="4" t="str"/>
      <x:c r="O1226" s="4" t="str">
        <x:v>1. 来源：MainBasis/统一需求文档.md；U-order-expense-detail-011
2. 场景：SC-a4331ef8443de1</x:v>
      </x:c>
    </x:row>
    <x:row r="1227" ht="54" customHeight="1">
      <x:c r="A1227" s="4" t="n">
        <x:v>1226</x:v>
      </x:c>
      <x:c r="B1227" s="4" t="str">
        <x:v>USER-1226</x:v>
      </x:c>
      <x:c r="C1227" s="4" t="str">
        <x:v>M07 金币、充值、消费与客户端账单</x:v>
      </x:c>
      <x:c r="D1227" s="4" t="str">
        <x:v>支出订单详情（用户视角）</x:v>
      </x:c>
      <x:c r="E1227" s="4" t="str">
        <x:v>功能需求</x:v>
      </x:c>
      <x:c r="F1227" s="4" t="str">
        <x:v>P1</x:v>
      </x:c>
      <x:c r="G1227" s="4" t="str">
        <x:v>验证消费商品名称</x:v>
      </x:c>
      <x:c r="H1227" s="4" t="str">
        <x:v>消费商品名称</x:v>
      </x:c>
      <x:c r="I1227" s="4" t="str">
        <x:v>1. 已登录用户账号
2. 已选择一笔商品名称为玫瑰的消费订单</x:v>
      </x:c>
      <x:c r="J1227" s="4" t="str">
        <x:v>1. 进入「支出订单详情」页
2. 查看消费商品名称</x:v>
      </x:c>
      <x:c r="K1227" s="4" t="str">
        <x:v>付款商品名称显示玫瑰</x:v>
      </x:c>
      <x:c r="L1227" s="4" t="str"/>
      <x:c r="M1227" s="4" t="str">
        <x:v>未测</x:v>
      </x:c>
      <x:c r="N1227" s="4" t="str"/>
      <x:c r="O1227" s="4" t="str">
        <x:v>1. 来源：MainBasis/统一需求文档.md；U-order-expense-detail-002
2. 场景：SC-01e8ec5542f291</x:v>
      </x:c>
    </x:row>
    <x:row r="1228" ht="54" customHeight="1">
      <x:c r="A1228" s="4" t="n">
        <x:v>1227</x:v>
      </x:c>
      <x:c r="B1228" s="4" t="str">
        <x:v>USER-1227</x:v>
      </x:c>
      <x:c r="C1228" s="4" t="str">
        <x:v>M07 金币、充值、消费与客户端账单</x:v>
      </x:c>
      <x:c r="D1228" s="4" t="str">
        <x:v>支出订单详情（用户视角）</x:v>
      </x:c>
      <x:c r="E1228" s="4" t="str">
        <x:v>功能需求</x:v>
      </x:c>
      <x:c r="F1228" s="4" t="str">
        <x:v>P1</x:v>
      </x:c>
      <x:c r="G1228" s="4" t="str">
        <x:v>验证消费商品数量</x:v>
      </x:c>
      <x:c r="H1228" s="4" t="str">
        <x:v>消费商品数量</x:v>
      </x:c>
      <x:c r="I1228" s="4" t="str">
        <x:v>1. 已登录用户账号
2. 已选择一笔赠送3个玫瑰的消费订单</x:v>
      </x:c>
      <x:c r="J1228" s="4" t="str">
        <x:v>1. 进入「支出订单详情」页
2. 查看消费商品数量</x:v>
      </x:c>
      <x:c r="K1228" s="4" t="str">
        <x:v>数量显示3</x:v>
      </x:c>
      <x:c r="L1228" s="4" t="str"/>
      <x:c r="M1228" s="4" t="str">
        <x:v>未测</x:v>
      </x:c>
      <x:c r="N1228" s="4" t="str"/>
      <x:c r="O1228" s="4" t="str">
        <x:v>1. 来源：MainBasis/统一需求文档.md；U-order-expense-detail-003
2. 场景：SC-85cf79190ff76a</x:v>
      </x:c>
    </x:row>
    <x:row r="1229" ht="54" customHeight="1">
      <x:c r="A1229" s="4" t="n">
        <x:v>1228</x:v>
      </x:c>
      <x:c r="B1229" s="4" t="str">
        <x:v>USER-1228</x:v>
      </x:c>
      <x:c r="C1229" s="4" t="str">
        <x:v>M07 金币、充值、消费与客户端账单</x:v>
      </x:c>
      <x:c r="D1229" s="4" t="str">
        <x:v>支出订单详情（用户视角）</x:v>
      </x:c>
      <x:c r="E1229" s="4" t="str">
        <x:v>功能需求</x:v>
      </x:c>
      <x:c r="F1229" s="4" t="str">
        <x:v>P1</x:v>
      </x:c>
      <x:c r="G1229" s="4" t="str">
        <x:v>验证消费支付时间</x:v>
      </x:c>
      <x:c r="H1229" s="4" t="str">
        <x:v>消费支付时间</x:v>
      </x:c>
      <x:c r="I1229" s="4" t="str">
        <x:v>1. 已登录用户账号
2. 已记录所选成功消费订单的支付时间</x:v>
      </x:c>
      <x:c r="J1229" s="4" t="str">
        <x:v>1. 进入「支出订单详情」页
2. 查看消费支付时间</x:v>
      </x:c>
      <x:c r="K1229" s="4" t="str">
        <x:v>支付时间与该笔订单支付时间一致</x:v>
      </x:c>
      <x:c r="L1229" s="4" t="str"/>
      <x:c r="M1229" s="4" t="str">
        <x:v>未测</x:v>
      </x:c>
      <x:c r="N1229" s="4" t="str"/>
      <x:c r="O1229" s="4" t="str">
        <x:v>1. 来源：MainBasis/统一需求文档.md；U-order-expense-detail-004
2. 场景：SC-56026794274fb7</x:v>
      </x:c>
    </x:row>
    <x:row r="1230" ht="54" customHeight="1">
      <x:c r="A1230" s="4" t="n">
        <x:v>1229</x:v>
      </x:c>
      <x:c r="B1230" s="4" t="str">
        <x:v>USER-1229</x:v>
      </x:c>
      <x:c r="C1230" s="4" t="str">
        <x:v>M07 金币、充值、消费与客户端账单</x:v>
      </x:c>
      <x:c r="D1230" s="4" t="str">
        <x:v>支出订单详情（用户视角）</x:v>
      </x:c>
      <x:c r="E1230" s="4" t="str">
        <x:v>功能需求</x:v>
      </x:c>
      <x:c r="F1230" s="4" t="str">
        <x:v>P1</x:v>
      </x:c>
      <x:c r="G1230" s="4" t="str">
        <x:v>验证消费实扣金币</x:v>
      </x:c>
      <x:c r="H1230" s="4" t="str">
        <x:v>消费实扣金币</x:v>
      </x:c>
      <x:c r="I1230" s="4" t="str">
        <x:v>1. 已登录用户账号
2. 所选消费订单实际扣除30金币</x:v>
      </x:c>
      <x:c r="J1230" s="4" t="str">
        <x:v>1. 进入「支出订单详情」页
2. 查看消费实扣金币</x:v>
      </x:c>
      <x:c r="K1230" s="4" t="str">
        <x:v>扣款金币显示30</x:v>
      </x:c>
      <x:c r="L1230" s="4" t="str"/>
      <x:c r="M1230" s="4" t="str">
        <x:v>未测</x:v>
      </x:c>
      <x:c r="N1230" s="4" t="str"/>
      <x:c r="O1230" s="4" t="str">
        <x:v>1. 来源：MainBasis/统一需求文档.md；U-order-expense-detail-005
2. 场景：SC-96e5a09851e846</x:v>
      </x:c>
    </x:row>
    <x:row r="1231" ht="54" customHeight="1">
      <x:c r="A1231" s="4" t="n">
        <x:v>1230</x:v>
      </x:c>
      <x:c r="B1231" s="4" t="str">
        <x:v>USER-1230</x:v>
      </x:c>
      <x:c r="C1231" s="4" t="str">
        <x:v>M07 金币、充值、消费与客户端账单</x:v>
      </x:c>
      <x:c r="D1231" s="4" t="str">
        <x:v>支出订单详情（用户视角）</x:v>
      </x:c>
      <x:c r="E1231" s="4" t="str">
        <x:v>功能需求</x:v>
      </x:c>
      <x:c r="F1231" s="4" t="str">
        <x:v>P1</x:v>
      </x:c>
      <x:c r="G1231" s="4" t="str">
        <x:v>验证消费归属主播</x:v>
      </x:c>
      <x:c r="H1231" s="4" t="str">
        <x:v>消费归属主播</x:v>
      </x:c>
      <x:c r="I1231" s="4" t="str">
        <x:v>1. 已登录用户账号
2. 消费发生在主播甲的直播间，已记录甲昵称和ID</x:v>
      </x:c>
      <x:c r="J1231" s="4" t="str">
        <x:v>1. 进入「支出订单详情」页
2. 查看消费归属主播</x:v>
      </x:c>
      <x:c r="K1231" s="4" t="str">
        <x:v>消费直播间显示甲的昵称和ID</x:v>
      </x:c>
      <x:c r="L1231" s="4" t="str"/>
      <x:c r="M1231" s="4" t="str">
        <x:v>未测</x:v>
      </x:c>
      <x:c r="N1231" s="4" t="str"/>
      <x:c r="O1231" s="4" t="str">
        <x:v>1. 来源：MainBasis/统一需求文档.md；U-order-expense-detail-006
2. 场景：SC-ff3f75361eaf40</x:v>
      </x:c>
    </x:row>
    <x:row r="1232" ht="68" customHeight="1">
      <x:c r="A1232" s="4" t="n">
        <x:v>1231</x:v>
      </x:c>
      <x:c r="B1232" s="4" t="str">
        <x:v>USER-1231</x:v>
      </x:c>
      <x:c r="C1232" s="4" t="str">
        <x:v>M08 礼物、道具、任务、邀请与运营配置</x:v>
      </x:c>
      <x:c r="D1232" s="4" t="str">
        <x:v>充值福利（用户视角）</x:v>
      </x:c>
      <x:c r="E1232" s="4" t="str">
        <x:v>功能需求</x:v>
      </x:c>
      <x:c r="F1232" s="4" t="str">
        <x:v>P2</x:v>
      </x:c>
      <x:c r="G1232" s="4" t="str">
        <x:v>验证邀请好友卡片入口</x:v>
      </x:c>
      <x:c r="H1232" s="4" t="str">
        <x:v>邀请好友卡片入口</x:v>
      </x:c>
      <x:c r="I1232" s="4" t="str">
        <x:v>1. 已登录用户账号</x:v>
      </x:c>
      <x:c r="J1232" s="4" t="str">
        <x:v>1. 进入「充值福利」页
2. 点击「邀请好友卡片」</x:v>
      </x:c>
      <x:c r="K1232" s="4" t="str">
        <x:v>页面进入「邀请好友」</x:v>
      </x:c>
      <x:c r="L1232" s="4" t="str"/>
      <x:c r="M1232" s="4" t="str">
        <x:v>未测</x:v>
      </x:c>
      <x:c r="N1232" s="4" t="str"/>
      <x:c r="O1232" s="4" t="str">
        <x:v>1. 来源：MainBasis/统一需求文档.md；U-welfare-center-002
2. 场景：SC-bf23fe6582aa40</x:v>
      </x:c>
    </x:row>
    <x:row r="1233" ht="68" customHeight="1">
      <x:c r="A1233" s="4" t="n">
        <x:v>1232</x:v>
      </x:c>
      <x:c r="B1233" s="4" t="str">
        <x:v>USER-1232</x:v>
      </x:c>
      <x:c r="C1233" s="4" t="str">
        <x:v>M08 礼物、道具、任务、邀请与运营配置</x:v>
      </x:c>
      <x:c r="D1233" s="4" t="str">
        <x:v>充值福利（用户视角）</x:v>
      </x:c>
      <x:c r="E1233" s="4" t="str">
        <x:v>功能需求</x:v>
      </x:c>
      <x:c r="F1233" s="4" t="str">
        <x:v>P2</x:v>
      </x:c>
      <x:c r="G1233" s="4" t="str">
        <x:v>验证充值福利卡片入口</x:v>
      </x:c>
      <x:c r="H1233" s="4" t="str">
        <x:v>充值福利卡片入口</x:v>
      </x:c>
      <x:c r="I1233" s="4" t="str">
        <x:v>1. 已登录用户账号</x:v>
      </x:c>
      <x:c r="J1233" s="4" t="str">
        <x:v>1. 进入「充值福利」页
2. 点击「充值福利卡片」</x:v>
      </x:c>
      <x:c r="K1233" s="4" t="str">
        <x:v>页面进入「充值页」</x:v>
      </x:c>
      <x:c r="L1233" s="4" t="str"/>
      <x:c r="M1233" s="4" t="str">
        <x:v>未测</x:v>
      </x:c>
      <x:c r="N1233" s="4" t="str"/>
      <x:c r="O1233" s="4" t="str">
        <x:v>1. 来源：MainBasis/统一需求文档.md；U-welfare-center-004
2. 场景：SC-c6978cebb4ac28</x:v>
      </x:c>
    </x:row>
    <x:row r="1234" ht="68" customHeight="1">
      <x:c r="A1234" s="4" t="n">
        <x:v>1233</x:v>
      </x:c>
      <x:c r="B1234" s="4" t="str">
        <x:v>USER-1233</x:v>
      </x:c>
      <x:c r="C1234" s="4" t="str">
        <x:v>M08 礼物、道具、任务、邀请与运营配置</x:v>
      </x:c>
      <x:c r="D1234" s="4" t="str">
        <x:v>充值福利（用户视角）</x:v>
      </x:c>
      <x:c r="E1234" s="4" t="str">
        <x:v>功能需求</x:v>
      </x:c>
      <x:c r="F1234" s="4" t="str">
        <x:v>P1</x:v>
      </x:c>
      <x:c r="G1234" s="4" t="str">
        <x:v>验证福利赠币显示套餐最大值</x:v>
      </x:c>
      <x:c r="H1234" s="4" t="str">
        <x:v>福利赠币显示套餐最大值</x:v>
      </x:c>
      <x:c r="I1234" s="4" t="str">
        <x:v>1. 已登录用户账号
2. 可展示套餐赠币分别0、10、20</x:v>
      </x:c>
      <x:c r="J1234" s="4" t="str">
        <x:v>1. 进入「充值福利」页
2. 查看福利赠币显示套餐最大值</x:v>
      </x:c>
      <x:c r="K1234" s="4" t="str">
        <x:v>充值福利卡片显示+20金币</x:v>
      </x:c>
      <x:c r="L1234" s="4" t="str"/>
      <x:c r="M1234" s="4" t="str">
        <x:v>未测</x:v>
      </x:c>
      <x:c r="N1234" s="4" t="str"/>
      <x:c r="O1234" s="4" t="str">
        <x:v>1. 来源：MainBasis/统一需求文档.md；U-welfare-center-005
2. 场景：SC-3d93a3af202eeb</x:v>
      </x:c>
    </x:row>
    <x:row r="1235" ht="68" customHeight="1">
      <x:c r="A1235" s="4" t="n">
        <x:v>1234</x:v>
      </x:c>
      <x:c r="B1235" s="4" t="str">
        <x:v>USER-1234</x:v>
      </x:c>
      <x:c r="C1235" s="4" t="str">
        <x:v>M08 礼物、道具、任务、邀请与运营配置</x:v>
      </x:c>
      <x:c r="D1235" s="4" t="str">
        <x:v>充值福利（用户视角）</x:v>
      </x:c>
      <x:c r="E1235" s="4" t="str">
        <x:v>功能需求</x:v>
      </x:c>
      <x:c r="F1235" s="4" t="str">
        <x:v>P1</x:v>
      </x:c>
      <x:c r="G1235" s="4" t="str">
        <x:v>验证仅登录不计签到</x:v>
      </x:c>
      <x:c r="H1235" s="4" t="str">
        <x:v>仅登录不计签到</x:v>
      </x:c>
      <x:c r="I1235" s="4" t="str">
        <x:v>1. 已登录用户账号
2. 今日已登录但尚未手动签到</x:v>
      </x:c>
      <x:c r="J1235" s="4" t="str">
        <x:v>1. 进入「充值福利」页
2. 查看仅登录不计签到</x:v>
      </x:c>
      <x:c r="K1235" s="4" t="str">
        <x:v>今日仍未签到，连续天数未增加</x:v>
      </x:c>
      <x:c r="L1235" s="4" t="str"/>
      <x:c r="M1235" s="4" t="str">
        <x:v>未测</x:v>
      </x:c>
      <x:c r="N1235" s="4" t="str"/>
      <x:c r="O1235" s="4" t="str">
        <x:v>1. 来源：MainBasis/统一需求文档.md；U-welfare-center-009
2. 场景：SC-eaf7b2cf4c2ba7</x:v>
      </x:c>
    </x:row>
    <x:row r="1236" ht="68" customHeight="1">
      <x:c r="A1236" s="4" t="n">
        <x:v>1235</x:v>
      </x:c>
      <x:c r="B1236" s="4" t="str">
        <x:v>USER-1235</x:v>
      </x:c>
      <x:c r="C1236" s="4" t="str">
        <x:v>M08 礼物、道具、任务、邀请与运营配置</x:v>
      </x:c>
      <x:c r="D1236" s="4" t="str">
        <x:v>充值福利（用户视角）</x:v>
      </x:c>
      <x:c r="E1236" s="4" t="str">
        <x:v>功能需求</x:v>
      </x:c>
      <x:c r="F1236" s="4" t="str">
        <x:v>P1</x:v>
      </x:c>
      <x:c r="G1236" s="4" t="str">
        <x:v>验证手动签到入账一次</x:v>
      </x:c>
      <x:c r="H1236" s="4" t="str">
        <x:v>手动签到入账一次</x:v>
      </x:c>
      <x:c r="I1236" s="4" t="str">
        <x:v>1. 已登录用户账号
2. 今日未签到，配置今日奖励20，余额100</x:v>
      </x:c>
      <x:c r="J1236" s="4" t="str">
        <x:v>1. 进入「充值福利」页
2. 点击签到</x:v>
      </x:c>
      <x:c r="K1236" s="4" t="str">
        <x:v>余额120，签到状态为已签到且按钮禁用</x:v>
      </x:c>
      <x:c r="L1236" s="4" t="str"/>
      <x:c r="M1236" s="4" t="str">
        <x:v>未测</x:v>
      </x:c>
      <x:c r="N1236" s="4" t="str"/>
      <x:c r="O1236" s="4" t="str">
        <x:v>1. 来源：MainBasis/统一需求文档.md；U-welfare-center-011
2. 场景：SC-aeff36589e8bd4</x:v>
      </x:c>
    </x:row>
    <x:row r="1237" ht="68" customHeight="1">
      <x:c r="A1237" s="4" t="n">
        <x:v>1236</x:v>
      </x:c>
      <x:c r="B1237" s="4" t="str">
        <x:v>USER-1236</x:v>
      </x:c>
      <x:c r="C1237" s="4" t="str">
        <x:v>M08 礼物、道具、任务、邀请与运营配置</x:v>
      </x:c>
      <x:c r="D1237" s="4" t="str">
        <x:v>充值福利（用户视角）</x:v>
      </x:c>
      <x:c r="E1237" s="4" t="str">
        <x:v>功能需求</x:v>
      </x:c>
      <x:c r="F1237" s="4" t="str">
        <x:v>P1</x:v>
      </x:c>
      <x:c r="G1237" s="4" t="str">
        <x:v>验证同日重复签到不入账</x:v>
      </x:c>
      <x:c r="H1237" s="4" t="str">
        <x:v>同日重复签到不入账</x:v>
      </x:c>
      <x:c r="I1237" s="4" t="str">
        <x:v>1. 已登录用户账号
2. 今日已签到领取20金币，余额120</x:v>
      </x:c>
      <x:c r="J1237" s="4" t="str">
        <x:v>1. 进入「充值福利」页
2. 再次点击签到</x:v>
      </x:c>
      <x:c r="K1237" s="4" t="str">
        <x:v>余额仍120，不再次发放奖励</x:v>
      </x:c>
      <x:c r="L1237" s="4" t="str"/>
      <x:c r="M1237" s="4" t="str">
        <x:v>未测</x:v>
      </x:c>
      <x:c r="N1237" s="4" t="str"/>
      <x:c r="O1237" s="4" t="str">
        <x:v>1. 来源：MainBasis/统一需求文档.md；U-welfare-center-011
2. 场景：SC-c062fb0ae76af7</x:v>
      </x:c>
    </x:row>
    <x:row r="1238" ht="68" customHeight="1">
      <x:c r="A1238" s="4" t="n">
        <x:v>1237</x:v>
      </x:c>
      <x:c r="B1238" s="4" t="str">
        <x:v>USER-1237</x:v>
      </x:c>
      <x:c r="C1238" s="4" t="str">
        <x:v>M08 礼物、道具、任务、邀请与运营配置</x:v>
      </x:c>
      <x:c r="D1238" s="4" t="str">
        <x:v>充值福利（用户视角）</x:v>
      </x:c>
      <x:c r="E1238" s="4" t="str">
        <x:v>功能需求</x:v>
      </x:c>
      <x:c r="F1238" s="4" t="str">
        <x:v>P1</x:v>
      </x:c>
      <x:c r="G1238" s="4" t="str">
        <x:v>验证断签后从第一天重算</x:v>
      </x:c>
      <x:c r="H1238" s="4" t="str">
        <x:v>断签后从第一天重算</x:v>
      </x:c>
      <x:c r="I1238" s="4" t="str">
        <x:v>1. 已登录用户账号
2. 前天连续签到2天，昨日仅登录未签到
3. 配置第1天20、第2天30</x:v>
      </x:c>
      <x:c r="J1238" s="4" t="str">
        <x:v>1. 进入「充值福利」页
2. 今日点击签到</x:v>
      </x:c>
      <x:c r="K1238" s="4" t="str">
        <x:v>连续天数为1，领取20金币</x:v>
      </x:c>
      <x:c r="L1238" s="4" t="str"/>
      <x:c r="M1238" s="4" t="str">
        <x:v>未测</x:v>
      </x:c>
      <x:c r="N1238" s="4" t="str"/>
      <x:c r="O1238" s="4" t="str">
        <x:v>1. 来源：MainBasis/统一需求文档.md；U-welfare-center-012
2. 场景：SC-7a3227820f17c1</x:v>
      </x:c>
    </x:row>
    <x:row r="1239" ht="68" customHeight="1">
      <x:c r="A1239" s="4" t="n">
        <x:v>1238</x:v>
      </x:c>
      <x:c r="B1239" s="4" t="str">
        <x:v>USER-1238</x:v>
      </x:c>
      <x:c r="C1239" s="4" t="str">
        <x:v>M08 礼物、道具、任务、邀请与运营配置</x:v>
      </x:c>
      <x:c r="D1239" s="4" t="str">
        <x:v>充值福利（用户视角）</x:v>
      </x:c>
      <x:c r="E1239" s="4" t="str">
        <x:v>功能需求</x:v>
      </x:c>
      <x:c r="F1239" s="4" t="str">
        <x:v>P1</x:v>
      </x:c>
      <x:c r="G1239" s="4" t="str">
        <x:v>验证超过最高档连续第2天</x:v>
      </x:c>
      <x:c r="H1239" s="4" t="str">
        <x:v>超过最高档连续第2天</x:v>
      </x:c>
      <x:c r="I1239" s="4" t="str">
        <x:v>1. 已登录用户账号
2. 配置最高第2天奖励30，第1天20
3. 今日为连续第2天且未签到</x:v>
      </x:c>
      <x:c r="J1239" s="4" t="str">
        <x:v>1. 进入「充值福利」页
2. 点击签到</x:v>
      </x:c>
      <x:c r="K1239" s="4" t="str">
        <x:v>本日领取30金币，不循环回第1天</x:v>
      </x:c>
      <x:c r="L1239" s="4" t="str"/>
      <x:c r="M1239" s="4" t="str">
        <x:v>未测</x:v>
      </x:c>
      <x:c r="N1239" s="4" t="str"/>
      <x:c r="O1239" s="4" t="str">
        <x:v>1. 来源：MainBasis/统一需求文档.md；U-welfare-center-013、U-welfare-center-014
2. 场景：SC-8c01b5f8530561</x:v>
      </x:c>
    </x:row>
    <x:row r="1240" ht="68" customHeight="1">
      <x:c r="A1240" s="4" t="n">
        <x:v>1239</x:v>
      </x:c>
      <x:c r="B1240" s="4" t="str">
        <x:v>USER-1239</x:v>
      </x:c>
      <x:c r="C1240" s="4" t="str">
        <x:v>M08 礼物、道具、任务、邀请与运营配置</x:v>
      </x:c>
      <x:c r="D1240" s="4" t="str">
        <x:v>充值福利（用户视角）</x:v>
      </x:c>
      <x:c r="E1240" s="4" t="str">
        <x:v>功能需求</x:v>
      </x:c>
      <x:c r="F1240" s="4" t="str">
        <x:v>P1</x:v>
      </x:c>
      <x:c r="G1240" s="4" t="str">
        <x:v>验证超过最高档连续第3天</x:v>
      </x:c>
      <x:c r="H1240" s="4" t="str">
        <x:v>超过最高档连续第3天</x:v>
      </x:c>
      <x:c r="I1240" s="4" t="str">
        <x:v>1. 已登录用户账号
2. 配置最高第2天奖励30，第1天20
3. 今日为连续第3天且未签到</x:v>
      </x:c>
      <x:c r="J1240" s="4" t="str">
        <x:v>1. 进入「充值福利」页
2. 点击签到</x:v>
      </x:c>
      <x:c r="K1240" s="4" t="str">
        <x:v>本日领取30金币，不循环回第1天</x:v>
      </x:c>
      <x:c r="L1240" s="4" t="str"/>
      <x:c r="M1240" s="4" t="str">
        <x:v>未测</x:v>
      </x:c>
      <x:c r="N1240" s="4" t="str"/>
      <x:c r="O1240" s="4" t="str">
        <x:v>1. 来源：MainBasis/统一需求文档.md；U-welfare-center-013、U-welfare-center-014
2. 场景：SC-65873a401664ab</x:v>
      </x:c>
    </x:row>
    <x:row r="1241" ht="68" customHeight="1">
      <x:c r="A1241" s="4" t="n">
        <x:v>1240</x:v>
      </x:c>
      <x:c r="B1241" s="4" t="str">
        <x:v>USER-1240</x:v>
      </x:c>
      <x:c r="C1241" s="4" t="str">
        <x:v>M08 礼物、道具、任务、邀请与运营配置</x:v>
      </x:c>
      <x:c r="D1241" s="4" t="str">
        <x:v>充值福利（用户视角）</x:v>
      </x:c>
      <x:c r="E1241" s="4" t="str">
        <x:v>功能需求</x:v>
      </x:c>
      <x:c r="F1241" s="4" t="str">
        <x:v>P1</x:v>
      </x:c>
      <x:c r="G1241" s="4" t="str">
        <x:v>验证超过最高档连续第4天</x:v>
      </x:c>
      <x:c r="H1241" s="4" t="str">
        <x:v>超过最高档连续第4天</x:v>
      </x:c>
      <x:c r="I1241" s="4" t="str">
        <x:v>1. 已登录用户账号
2. 配置最高第2天奖励30，第1天20
3. 今日为连续第4天且未签到</x:v>
      </x:c>
      <x:c r="J1241" s="4" t="str">
        <x:v>1. 进入「充值福利」页
2. 点击签到</x:v>
      </x:c>
      <x:c r="K1241" s="4" t="str">
        <x:v>本日领取30金币，不循环回第1天</x:v>
      </x:c>
      <x:c r="L1241" s="4" t="str"/>
      <x:c r="M1241" s="4" t="str">
        <x:v>未测</x:v>
      </x:c>
      <x:c r="N1241" s="4" t="str"/>
      <x:c r="O1241" s="4" t="str">
        <x:v>1. 来源：MainBasis/统一需求文档.md；U-welfare-center-013、U-welfare-center-014
2. 场景：SC-973bf230eb287f</x:v>
      </x:c>
    </x:row>
    <x:row r="1242" ht="82" customHeight="1">
      <x:c r="A1242" s="4" t="n">
        <x:v>1241</x:v>
      </x:c>
      <x:c r="B1242" s="4" t="str">
        <x:v>USER-1241</x:v>
      </x:c>
      <x:c r="C1242" s="4" t="str">
        <x:v>M08 礼物、道具、任务、邀请与运营配置</x:v>
      </x:c>
      <x:c r="D1242" s="4" t="str">
        <x:v>充值福利（用户视角）</x:v>
      </x:c>
      <x:c r="E1242" s="4" t="str">
        <x:v>功能需求</x:v>
      </x:c>
      <x:c r="F1242" s="4" t="str">
        <x:v>P1</x:v>
      </x:c>
      <x:c r="G1242" s="4" t="str">
        <x:v>验证任务阈值10进度9</x:v>
      </x:c>
      <x:c r="H1242" s="4" t="str">
        <x:v>任务阈值10进度9</x:v>
      </x:c>
      <x:c r="I1242" s="4" t="str">
        <x:v>1. 已登录用户账号
2. 任务启用且奖励仍在领取有效期
3. 该档目标10，当前进度9且未领</x:v>
      </x:c>
      <x:c r="J1242" s="4" t="str">
        <x:v>1. 进入「充值福利」页
2. 点击该档奖励</x:v>
      </x:c>
      <x:c r="K1242" s="4" t="str">
        <x:v>不能领取奖励</x:v>
      </x:c>
      <x:c r="L1242" s="4" t="str">
        <x:v>FLOW-D14CBCCB</x:v>
      </x:c>
      <x:c r="M1242" s="4" t="str">
        <x:v>未测</x:v>
      </x:c>
      <x:c r="N1242" s="4" t="str"/>
      <x:c r="O1242" s="4" t="str">
        <x:v>1. 来源：MainBasis/统一需求文档.md；U-welfare-center-017
2. 场景：SC-4d1d1b58edf8ce
3. 状态转换：ST-8A342E8F8815</x:v>
      </x:c>
    </x:row>
    <x:row r="1243" ht="82" customHeight="1">
      <x:c r="A1243" s="4" t="n">
        <x:v>1242</x:v>
      </x:c>
      <x:c r="B1243" s="4" t="str">
        <x:v>USER-1242</x:v>
      </x:c>
      <x:c r="C1243" s="4" t="str">
        <x:v>M08 礼物、道具、任务、邀请与运营配置</x:v>
      </x:c>
      <x:c r="D1243" s="4" t="str">
        <x:v>充值福利（用户视角）</x:v>
      </x:c>
      <x:c r="E1243" s="4" t="str">
        <x:v>功能需求</x:v>
      </x:c>
      <x:c r="F1243" s="4" t="str">
        <x:v>P1</x:v>
      </x:c>
      <x:c r="G1243" s="4" t="str">
        <x:v>验证任务阈值10进度10</x:v>
      </x:c>
      <x:c r="H1243" s="4" t="str">
        <x:v>任务阈值10进度10</x:v>
      </x:c>
      <x:c r="I1243" s="4" t="str">
        <x:v>1. 已登录用户账号
2. 任务启用且奖励仍在领取有效期
3. 该档目标10，当前进度10且未领</x:v>
      </x:c>
      <x:c r="J1243" s="4" t="str">
        <x:v>1. 进入「充值福利」页
2. 点击该档奖励</x:v>
      </x:c>
      <x:c r="K1243" s="4" t="str">
        <x:v>该档奖励入账并标记已领取</x:v>
      </x:c>
      <x:c r="L1243" s="4" t="str">
        <x:v>FLOW-D14CBCCB</x:v>
      </x:c>
      <x:c r="M1243" s="4" t="str">
        <x:v>未测</x:v>
      </x:c>
      <x:c r="N1243" s="4" t="str"/>
      <x:c r="O1243" s="4" t="str">
        <x:v>1. 来源：MainBasis/统一需求文档.md；U-welfare-center-017
2. 场景：SC-c4650c1d081294
3. 状态转换：ST-8A342E8F8815</x:v>
      </x:c>
    </x:row>
    <x:row r="1244" ht="82" customHeight="1">
      <x:c r="A1244" s="4" t="n">
        <x:v>1243</x:v>
      </x:c>
      <x:c r="B1244" s="4" t="str">
        <x:v>USER-1243</x:v>
      </x:c>
      <x:c r="C1244" s="4" t="str">
        <x:v>M08 礼物、道具、任务、邀请与运营配置</x:v>
      </x:c>
      <x:c r="D1244" s="4" t="str">
        <x:v>充值福利（用户视角）</x:v>
      </x:c>
      <x:c r="E1244" s="4" t="str">
        <x:v>功能需求</x:v>
      </x:c>
      <x:c r="F1244" s="4" t="str">
        <x:v>P1</x:v>
      </x:c>
      <x:c r="G1244" s="4" t="str">
        <x:v>验证任务阈值10进度11</x:v>
      </x:c>
      <x:c r="H1244" s="4" t="str">
        <x:v>任务阈值10进度11</x:v>
      </x:c>
      <x:c r="I1244" s="4" t="str">
        <x:v>1. 已登录用户账号
2. 任务启用且奖励仍在领取有效期
3. 该档目标10，当前进度11且未领</x:v>
      </x:c>
      <x:c r="J1244" s="4" t="str">
        <x:v>1. 进入「充值福利」页
2. 点击该档奖励</x:v>
      </x:c>
      <x:c r="K1244" s="4" t="str">
        <x:v>该档奖励入账并标记已领取</x:v>
      </x:c>
      <x:c r="L1244" s="4" t="str">
        <x:v>FLOW-D14CBCCB</x:v>
      </x:c>
      <x:c r="M1244" s="4" t="str">
        <x:v>未测</x:v>
      </x:c>
      <x:c r="N1244" s="4" t="str"/>
      <x:c r="O1244" s="4" t="str">
        <x:v>1. 来源：MainBasis/统一需求文档.md；U-welfare-center-017
2. 场景：SC-bbbf1b97ceec65
3. 状态转换：ST-8A342E8F8815</x:v>
      </x:c>
    </x:row>
    <x:row r="1245" ht="96" customHeight="1">
      <x:c r="A1245" s="4" t="n">
        <x:v>1244</x:v>
      </x:c>
      <x:c r="B1245" s="4" t="str">
        <x:v>USER-1244</x:v>
      </x:c>
      <x:c r="C1245" s="4" t="str">
        <x:v>M08 礼物、道具、任务、邀请与运营配置</x:v>
      </x:c>
      <x:c r="D1245" s="4" t="str">
        <x:v>充值福利（用户视角）</x:v>
      </x:c>
      <x:c r="E1245" s="4" t="str">
        <x:v>功能需求</x:v>
      </x:c>
      <x:c r="F1245" s="4" t="str">
        <x:v>P1</x:v>
      </x:c>
      <x:c r="G1245" s="4" t="str">
        <x:v>验证任务重复领奖不重复入账</x:v>
      </x:c>
      <x:c r="H1245" s="4" t="str">
        <x:v>任务重复领奖不重复入账</x:v>
      </x:c>
      <x:c r="I1245" s="4" t="str">
        <x:v>1. 已登录用户账号
2. 该档奖励10已成功领取，当前余额110</x:v>
      </x:c>
      <x:c r="J1245" s="4" t="str">
        <x:v>1. 进入「充值福利」页
2. 再次点击领取</x:v>
      </x:c>
      <x:c r="K1245" s="4" t="str">
        <x:v>余额仍110，未新增奖励流水</x:v>
      </x:c>
      <x:c r="L1245" s="4" t="str"/>
      <x:c r="M1245" s="4" t="str">
        <x:v>未测</x:v>
      </x:c>
      <x:c r="N1245" s="4" t="str"/>
      <x:c r="O1245" s="4" t="str">
        <x:v>1. 来源：MainBasis/统一需求文档.md；U-welfare-center-019、U-views_welfare-center_claimed-003、U-views_welfare-center_claimed-004、U-views_welfare-center_claimed-007、U-all-tasks-007、U-all-tasks-011
2. 场景：SC-b87e779f57a0e8</x:v>
      </x:c>
    </x:row>
    <x:row r="1246" ht="96" customHeight="1">
      <x:c r="A1246" s="4" t="n">
        <x:v>1245</x:v>
      </x:c>
      <x:c r="B1246" s="4" t="str">
        <x:v>USER-1245</x:v>
      </x:c>
      <x:c r="C1246" s="4" t="str">
        <x:v>M08 礼物、道具、任务、邀请与运营配置</x:v>
      </x:c>
      <x:c r="D1246" s="4" t="str">
        <x:v>充值福利（用户视角）</x:v>
      </x:c>
      <x:c r="E1246" s="4" t="str">
        <x:v>异常用例</x:v>
      </x:c>
      <x:c r="F1246" s="4" t="str">
        <x:v>P1</x:v>
      </x:c>
      <x:c r="G1246" s="4" t="str">
        <x:v>验证任务领奖失败可重试</x:v>
      </x:c>
      <x:c r="H1246" s="4" t="str">
        <x:v>任务领奖失败可重试</x:v>
      </x:c>
      <x:c r="I1246" s="4" t="str">
        <x:v>1. 已登录用户账号
2. 任务已达标且当日有效，领取请求失败</x:v>
      </x:c>
      <x:c r="J1246" s="4" t="str">
        <x:v>1. 进入「充值福利」页
2. 点击领取</x:v>
      </x:c>
      <x:c r="K1246" s="4" t="str">
        <x:v>不标记已领取，提示失败且允许重试</x:v>
      </x:c>
      <x:c r="L1246" s="4" t="str"/>
      <x:c r="M1246" s="4" t="str">
        <x:v>未测</x:v>
      </x:c>
      <x:c r="N1246" s="4" t="str"/>
      <x:c r="O1246" s="4" t="str">
        <x:v>1. 来源：MainBasis/统一需求文档.md；U-welfare-center-019、U-views_welfare-center_claimed-003、U-views_welfare-center_claimed-004、U-views_welfare-center_claimed-007、U-all-tasks-007、U-all-tasks-011
2. 场景：SC-2276320a5512a1</x:v>
      </x:c>
    </x:row>
    <x:row r="1247" ht="96" customHeight="1">
      <x:c r="A1247" s="4" t="n">
        <x:v>1246</x:v>
      </x:c>
      <x:c r="B1247" s="4" t="str">
        <x:v>USER-1246</x:v>
      </x:c>
      <x:c r="C1247" s="4" t="str">
        <x:v>M08 礼物、道具、任务、邀请与运营配置</x:v>
      </x:c>
      <x:c r="D1247" s="4" t="str">
        <x:v>充值福利（用户视角）</x:v>
      </x:c>
      <x:c r="E1247" s="4" t="str">
        <x:v>功能需求</x:v>
      </x:c>
      <x:c r="F1247" s="4" t="str">
        <x:v>P1</x:v>
      </x:c>
      <x:c r="G1247" s="4" t="str">
        <x:v>验证任务领奖失败恢复重试</x:v>
      </x:c>
      <x:c r="H1247" s="4" t="str">
        <x:v>任务领奖失败恢复重试</x:v>
      </x:c>
      <x:c r="I1247" s="4" t="str">
        <x:v>1. 已登录用户账号
2. 上次领取失败且尚未发币，问题已恢复，奖励仍有效</x:v>
      </x:c>
      <x:c r="J1247" s="4" t="str">
        <x:v>1. 进入「充值福利」页
2. 再次点击领取</x:v>
      </x:c>
      <x:c r="K1247" s="4" t="str">
        <x:v>奖励成功入账一次并标记已领取</x:v>
      </x:c>
      <x:c r="L1247" s="4" t="str"/>
      <x:c r="M1247" s="4" t="str">
        <x:v>未测</x:v>
      </x:c>
      <x:c r="N1247" s="4" t="str"/>
      <x:c r="O1247" s="4" t="str">
        <x:v>1. 来源：MainBasis/统一需求文档.md；U-welfare-center-019、U-views_welfare-center_claimed-003、U-views_welfare-center_claimed-004、U-views_welfare-center_claimed-007、U-all-tasks-007、U-all-tasks-011
2. 场景：SC-f856528b77966e</x:v>
      </x:c>
    </x:row>
    <x:row r="1248" ht="68" customHeight="1">
      <x:c r="A1248" s="4" t="n">
        <x:v>1247</x:v>
      </x:c>
      <x:c r="B1248" s="4" t="str">
        <x:v>USER-1247</x:v>
      </x:c>
      <x:c r="C1248" s="4" t="str">
        <x:v>M08 礼物、道具、任务、邀请与运营配置</x:v>
      </x:c>
      <x:c r="D1248" s="4" t="str">
        <x:v>充值福利（用户视角）</x:v>
      </x:c>
      <x:c r="E1248" s="4" t="str">
        <x:v>功能需求</x:v>
      </x:c>
      <x:c r="F1248" s="4" t="str">
        <x:v>P1</x:v>
      </x:c>
      <x:c r="G1248" s="4" t="str">
        <x:v>验证每日奖励过日失效</x:v>
      </x:c>
      <x:c r="H1248" s="4" t="str">
        <x:v>每日奖励过日失效</x:v>
      </x:c>
      <x:c r="I1248" s="4" t="str">
        <x:v>1. 已登录用户账号
2. 每日任务奖励昨日达标但未领取，现在已到次日</x:v>
      </x:c>
      <x:c r="J1248" s="4" t="str">
        <x:v>1. 进入「充值福利」页
2. 查看每日奖励过日失效</x:v>
      </x:c>
      <x:c r="K1248" s="4" t="str">
        <x:v>领取时不发币并提示“奖励已失效”</x:v>
      </x:c>
      <x:c r="L1248" s="4" t="str"/>
      <x:c r="M1248" s="4" t="str">
        <x:v>未测</x:v>
      </x:c>
      <x:c r="N1248" s="4" t="str"/>
      <x:c r="O1248" s="4" t="str">
        <x:v>1. 来源：MainBasis/统一需求文档.md；U-welfare-center-018
2. 场景：SC-2e453471f7a05c</x:v>
      </x:c>
    </x:row>
    <x:row r="1249" ht="68" customHeight="1">
      <x:c r="A1249" s="4" t="n">
        <x:v>1248</x:v>
      </x:c>
      <x:c r="B1249" s="4" t="str">
        <x:v>USER-1248</x:v>
      </x:c>
      <x:c r="C1249" s="4" t="str">
        <x:v>M08 礼物、道具、任务、邀请与运营配置</x:v>
      </x:c>
      <x:c r="D1249" s="4" t="str">
        <x:v>充值福利（用户视角）</x:v>
      </x:c>
      <x:c r="E1249" s="4" t="str">
        <x:v>功能需求</x:v>
      </x:c>
      <x:c r="F1249" s="4" t="str">
        <x:v>P1</x:v>
      </x:c>
      <x:c r="G1249" s="4" t="str">
        <x:v>验证每周奖励过日失效</x:v>
      </x:c>
      <x:c r="H1249" s="4" t="str">
        <x:v>每周奖励过日失效</x:v>
      </x:c>
      <x:c r="I1249" s="4" t="str">
        <x:v>1. 已登录用户账号
2. 每周任务奖励昨日达标但未领取，现在已到次日</x:v>
      </x:c>
      <x:c r="J1249" s="4" t="str">
        <x:v>1. 进入「充值福利」页
2. 查看每周奖励过日失效</x:v>
      </x:c>
      <x:c r="K1249" s="4" t="str">
        <x:v>领取时不发币并提示“奖励已失效”</x:v>
      </x:c>
      <x:c r="L1249" s="4" t="str"/>
      <x:c r="M1249" s="4" t="str">
        <x:v>未测</x:v>
      </x:c>
      <x:c r="N1249" s="4" t="str"/>
      <x:c r="O1249" s="4" t="str">
        <x:v>1. 来源：MainBasis/统一需求文档.md；U-welfare-center-018
2. 场景：SC-ad613eb82ddc06</x:v>
      </x:c>
    </x:row>
    <x:row r="1250" ht="68" customHeight="1">
      <x:c r="A1250" s="4" t="n">
        <x:v>1249</x:v>
      </x:c>
      <x:c r="B1250" s="4" t="str">
        <x:v>USER-1249</x:v>
      </x:c>
      <x:c r="C1250" s="4" t="str">
        <x:v>M08 礼物、道具、任务、邀请与运营配置</x:v>
      </x:c>
      <x:c r="D1250" s="4" t="str">
        <x:v>充值福利（用户视角）</x:v>
      </x:c>
      <x:c r="E1250" s="4" t="str">
        <x:v>功能需求</x:v>
      </x:c>
      <x:c r="F1250" s="4" t="str">
        <x:v>P1</x:v>
      </x:c>
      <x:c r="G1250" s="4" t="str">
        <x:v>验证每月奖励过日失效</x:v>
      </x:c>
      <x:c r="H1250" s="4" t="str">
        <x:v>每月奖励过日失效</x:v>
      </x:c>
      <x:c r="I1250" s="4" t="str">
        <x:v>1. 已登录用户账号
2. 每月任务奖励昨日达标但未领取，现在已到次日</x:v>
      </x:c>
      <x:c r="J1250" s="4" t="str">
        <x:v>1. 进入「充值福利」页
2. 查看每月奖励过日失效</x:v>
      </x:c>
      <x:c r="K1250" s="4" t="str">
        <x:v>领取时不发币并提示“奖励已失效”</x:v>
      </x:c>
      <x:c r="L1250" s="4" t="str"/>
      <x:c r="M1250" s="4" t="str">
        <x:v>未测</x:v>
      </x:c>
      <x:c r="N1250" s="4" t="str"/>
      <x:c r="O1250" s="4" t="str">
        <x:v>1. 来源：MainBasis/统一需求文档.md；U-welfare-center-018
2. 场景：SC-f6dbc08677a897</x:v>
      </x:c>
    </x:row>
    <x:row r="1251" ht="68" customHeight="1">
      <x:c r="A1251" s="4" t="n">
        <x:v>1250</x:v>
      </x:c>
      <x:c r="B1251" s="4" t="str">
        <x:v>USER-1250</x:v>
      </x:c>
      <x:c r="C1251" s="4" t="str">
        <x:v>M08 礼物、道具、任务、邀请与运营配置</x:v>
      </x:c>
      <x:c r="D1251" s="4" t="str">
        <x:v>充值福利（用户视角）</x:v>
      </x:c>
      <x:c r="E1251" s="4" t="str">
        <x:v>功能需求</x:v>
      </x:c>
      <x:c r="F1251" s="4" t="str">
        <x:v>P1</x:v>
      </x:c>
      <x:c r="G1251" s="4" t="str">
        <x:v>验证无周期奖励过日失效</x:v>
      </x:c>
      <x:c r="H1251" s="4" t="str">
        <x:v>无周期奖励过日失效</x:v>
      </x:c>
      <x:c r="I1251" s="4" t="str">
        <x:v>1. 已登录用户账号
2. 无周期任务奖励昨日达标但未领取，现在已到次日</x:v>
      </x:c>
      <x:c r="J1251" s="4" t="str">
        <x:v>1. 进入「充值福利」页
2. 查看无周期奖励过日失效</x:v>
      </x:c>
      <x:c r="K1251" s="4" t="str">
        <x:v>领取时不发币并提示“奖励已失效”</x:v>
      </x:c>
      <x:c r="L1251" s="4" t="str"/>
      <x:c r="M1251" s="4" t="str">
        <x:v>未测</x:v>
      </x:c>
      <x:c r="N1251" s="4" t="str"/>
      <x:c r="O1251" s="4" t="str">
        <x:v>1. 来源：MainBasis/统一需求文档.md；U-welfare-center-018
2. 场景：SC-d1225217edd1c1</x:v>
      </x:c>
    </x:row>
    <x:row r="1252" ht="68" customHeight="1">
      <x:c r="A1252" s="4" t="n">
        <x:v>1251</x:v>
      </x:c>
      <x:c r="B1252" s="4" t="str">
        <x:v>USER-1251</x:v>
      </x:c>
      <x:c r="C1252" s="4" t="str">
        <x:v>M08 礼物、道具、任务、邀请与运营配置</x:v>
      </x:c>
      <x:c r="D1252" s="4" t="str">
        <x:v>充值福利（用户视角）</x:v>
      </x:c>
      <x:c r="E1252" s="4" t="str">
        <x:v>功能需求</x:v>
      </x:c>
      <x:c r="F1252" s="4" t="str">
        <x:v>P1</x:v>
      </x:c>
      <x:c r="G1252" s="4" t="str">
        <x:v>验证每日任务新周期清零</x:v>
      </x:c>
      <x:c r="H1252" s="4" t="str">
        <x:v>每日任务新周期清零</x:v>
      </x:c>
      <x:c r="I1252" s="4" t="str">
        <x:v>1. 已登录用户账号
2. 每日任务原进度5，已进入明确配置的新业务周期</x:v>
      </x:c>
      <x:c r="J1252" s="4" t="str">
        <x:v>1. 进入「充值福利」页
2. 查看每日任务新周期清零</x:v>
      </x:c>
      <x:c r="K1252" s="4" t="str">
        <x:v>任务新周期进度为0</x:v>
      </x:c>
      <x:c r="L1252" s="4" t="str"/>
      <x:c r="M1252" s="4" t="str">
        <x:v>未测</x:v>
      </x:c>
      <x:c r="N1252" s="4" t="str"/>
      <x:c r="O1252" s="4" t="str">
        <x:v>1. 来源：MainBasis/统一需求文档.md；U-welfare-center-016
2. 场景：SC-0779a5114b3b8d</x:v>
      </x:c>
    </x:row>
    <x:row r="1253" ht="68" customHeight="1">
      <x:c r="A1253" s="4" t="n">
        <x:v>1252</x:v>
      </x:c>
      <x:c r="B1253" s="4" t="str">
        <x:v>USER-1252</x:v>
      </x:c>
      <x:c r="C1253" s="4" t="str">
        <x:v>M08 礼物、道具、任务、邀请与运营配置</x:v>
      </x:c>
      <x:c r="D1253" s="4" t="str">
        <x:v>充值福利（用户视角）</x:v>
      </x:c>
      <x:c r="E1253" s="4" t="str">
        <x:v>功能需求</x:v>
      </x:c>
      <x:c r="F1253" s="4" t="str">
        <x:v>P1</x:v>
      </x:c>
      <x:c r="G1253" s="4" t="str">
        <x:v>验证每周任务新周期清零</x:v>
      </x:c>
      <x:c r="H1253" s="4" t="str">
        <x:v>每周任务新周期清零</x:v>
      </x:c>
      <x:c r="I1253" s="4" t="str">
        <x:v>1. 已登录用户账号
2. 每周任务原进度5，已进入明确配置的新业务周期</x:v>
      </x:c>
      <x:c r="J1253" s="4" t="str">
        <x:v>1. 进入「充值福利」页
2. 查看每周任务新周期清零</x:v>
      </x:c>
      <x:c r="K1253" s="4" t="str">
        <x:v>任务新周期进度为0</x:v>
      </x:c>
      <x:c r="L1253" s="4" t="str"/>
      <x:c r="M1253" s="4" t="str">
        <x:v>未测</x:v>
      </x:c>
      <x:c r="N1253" s="4" t="str"/>
      <x:c r="O1253" s="4" t="str">
        <x:v>1. 来源：MainBasis/统一需求文档.md；U-welfare-center-016
2. 场景：SC-37a7caa0c4e8bb</x:v>
      </x:c>
    </x:row>
    <x:row r="1254" ht="68" customHeight="1">
      <x:c r="A1254" s="4" t="n">
        <x:v>1253</x:v>
      </x:c>
      <x:c r="B1254" s="4" t="str">
        <x:v>USER-1253</x:v>
      </x:c>
      <x:c r="C1254" s="4" t="str">
        <x:v>M08 礼物、道具、任务、邀请与运营配置</x:v>
      </x:c>
      <x:c r="D1254" s="4" t="str">
        <x:v>充值福利（用户视角）</x:v>
      </x:c>
      <x:c r="E1254" s="4" t="str">
        <x:v>功能需求</x:v>
      </x:c>
      <x:c r="F1254" s="4" t="str">
        <x:v>P1</x:v>
      </x:c>
      <x:c r="G1254" s="4" t="str">
        <x:v>验证每月任务新周期清零</x:v>
      </x:c>
      <x:c r="H1254" s="4" t="str">
        <x:v>每月任务新周期清零</x:v>
      </x:c>
      <x:c r="I1254" s="4" t="str">
        <x:v>1. 已登录用户账号
2. 每月任务原进度5，已进入明确配置的新业务周期</x:v>
      </x:c>
      <x:c r="J1254" s="4" t="str">
        <x:v>1. 进入「充值福利」页
2. 查看每月任务新周期清零</x:v>
      </x:c>
      <x:c r="K1254" s="4" t="str">
        <x:v>任务新周期进度为0</x:v>
      </x:c>
      <x:c r="L1254" s="4" t="str"/>
      <x:c r="M1254" s="4" t="str">
        <x:v>未测</x:v>
      </x:c>
      <x:c r="N1254" s="4" t="str"/>
      <x:c r="O1254" s="4" t="str">
        <x:v>1. 来源：MainBasis/统一需求文档.md；U-welfare-center-016
2. 场景：SC-1e5ba8afe4b3c0</x:v>
      </x:c>
    </x:row>
    <x:row r="1255" ht="68" customHeight="1">
      <x:c r="A1255" s="4" t="n">
        <x:v>1254</x:v>
      </x:c>
      <x:c r="B1255" s="4" t="str">
        <x:v>USER-1254</x:v>
      </x:c>
      <x:c r="C1255" s="4" t="str">
        <x:v>M08 礼物、道具、任务、邀请与运营配置</x:v>
      </x:c>
      <x:c r="D1255" s="4" t="str">
        <x:v>充值福利（用户视角）</x:v>
      </x:c>
      <x:c r="E1255" s="4" t="str">
        <x:v>功能需求</x:v>
      </x:c>
      <x:c r="F1255" s="4" t="str">
        <x:v>P1</x:v>
      </x:c>
      <x:c r="G1255" s="4" t="str">
        <x:v>验证无周期任务保持累计</x:v>
      </x:c>
      <x:c r="H1255" s="4" t="str">
        <x:v>无周期任务保持累计</x:v>
      </x:c>
      <x:c r="I1255" s="4" t="str">
        <x:v>1. 已登录用户账号
2. 无周期任务在有效期内，昨天进度5，今日尚未新增行为</x:v>
      </x:c>
      <x:c r="J1255" s="4" t="str">
        <x:v>1. 进入「充值福利」页
2. 查看无周期任务保持累计</x:v>
      </x:c>
      <x:c r="K1255" s="4" t="str">
        <x:v>今日进度仍为5</x:v>
      </x:c>
      <x:c r="L1255" s="4" t="str"/>
      <x:c r="M1255" s="4" t="str">
        <x:v>未测</x:v>
      </x:c>
      <x:c r="N1255" s="4" t="str"/>
      <x:c r="O1255" s="4" t="str">
        <x:v>1. 来源：MainBasis/统一需求文档.md；U-welfare-center-016
2. 场景：SC-d308baf69f2b00</x:v>
      </x:c>
    </x:row>
    <x:row r="1256" ht="68" customHeight="1">
      <x:c r="A1256" s="4" t="n">
        <x:v>1255</x:v>
      </x:c>
      <x:c r="B1256" s="4" t="str">
        <x:v>USER-1255</x:v>
      </x:c>
      <x:c r="C1256" s="4" t="str">
        <x:v>M08 礼物、道具、任务、邀请与运营配置</x:v>
      </x:c>
      <x:c r="D1256" s="4" t="str">
        <x:v>充值福利（游客视角）</x:v>
      </x:c>
      <x:c r="E1256" s="4" t="str">
        <x:v>功能需求</x:v>
      </x:c>
      <x:c r="F1256" s="4" t="str">
        <x:v>P1</x:v>
      </x:c>
      <x:c r="G1256" s="4" t="str">
        <x:v>验证游客签到转登录</x:v>
      </x:c>
      <x:c r="H1256" s="4" t="str">
        <x:v>游客签到转登录</x:v>
      </x:c>
      <x:c r="I1256" s="4" t="str">
        <x:v>1. 执行者为未登录游客
2. 当前为游客</x:v>
      </x:c>
      <x:c r="J1256" s="4" t="str">
        <x:v>1. 进入「充值福利」页
2. 点击签到</x:v>
      </x:c>
      <x:c r="K1256" s="4" t="str">
        <x:v>进入登录页</x:v>
      </x:c>
      <x:c r="L1256" s="4" t="str"/>
      <x:c r="M1256" s="4" t="str">
        <x:v>未测</x:v>
      </x:c>
      <x:c r="N1256" s="4" t="str"/>
      <x:c r="O1256" s="4" t="str">
        <x:v>1. 来源：MainBasis/统一需求文档.md；U-welfare-center-022、U-all-tasks-008
2. 场景：SC-0d6d7f5af5874c</x:v>
      </x:c>
    </x:row>
    <x:row r="1257" ht="68" customHeight="1">
      <x:c r="A1257" s="4" t="n">
        <x:v>1256</x:v>
      </x:c>
      <x:c r="B1257" s="4" t="str">
        <x:v>USER-1256</x:v>
      </x:c>
      <x:c r="C1257" s="4" t="str">
        <x:v>M08 礼物、道具、任务、邀请与运营配置</x:v>
      </x:c>
      <x:c r="D1257" s="4" t="str">
        <x:v>充值福利（游客视角）</x:v>
      </x:c>
      <x:c r="E1257" s="4" t="str">
        <x:v>功能需求</x:v>
      </x:c>
      <x:c r="F1257" s="4" t="str">
        <x:v>P1</x:v>
      </x:c>
      <x:c r="G1257" s="4" t="str">
        <x:v>验证游客领奖转登录</x:v>
      </x:c>
      <x:c r="H1257" s="4" t="str">
        <x:v>游客领奖转登录</x:v>
      </x:c>
      <x:c r="I1257" s="4" t="str">
        <x:v>1. 执行者为未登录游客
2. 当前为游客</x:v>
      </x:c>
      <x:c r="J1257" s="4" t="str">
        <x:v>1. 进入「充值福利」页
2. 点击领奖</x:v>
      </x:c>
      <x:c r="K1257" s="4" t="str">
        <x:v>进入登录页</x:v>
      </x:c>
      <x:c r="L1257" s="4" t="str"/>
      <x:c r="M1257" s="4" t="str">
        <x:v>未测</x:v>
      </x:c>
      <x:c r="N1257" s="4" t="str"/>
      <x:c r="O1257" s="4" t="str">
        <x:v>1. 来源：MainBasis/统一需求文档.md；U-welfare-center-022、U-all-tasks-008
2. 场景：SC-38a20683c3e7a3</x:v>
      </x:c>
    </x:row>
    <x:row r="1258" ht="68" customHeight="1">
      <x:c r="A1258" s="4" t="n">
        <x:v>1257</x:v>
      </x:c>
      <x:c r="B1258" s="4" t="str">
        <x:v>USER-1257</x:v>
      </x:c>
      <x:c r="C1258" s="4" t="str">
        <x:v>M08 礼物、道具、任务、邀请与运营配置</x:v>
      </x:c>
      <x:c r="D1258" s="4" t="str">
        <x:v>充值福利（游客视角）</x:v>
      </x:c>
      <x:c r="E1258" s="4" t="str">
        <x:v>功能需求</x:v>
      </x:c>
      <x:c r="F1258" s="4" t="str">
        <x:v>P1</x:v>
      </x:c>
      <x:c r="G1258" s="4" t="str">
        <x:v>验证游客充值转登录</x:v>
      </x:c>
      <x:c r="H1258" s="4" t="str">
        <x:v>游客充值转登录</x:v>
      </x:c>
      <x:c r="I1258" s="4" t="str">
        <x:v>1. 执行者为未登录游客
2. 当前为游客</x:v>
      </x:c>
      <x:c r="J1258" s="4" t="str">
        <x:v>1. 进入「充值福利」页
2. 点击充值</x:v>
      </x:c>
      <x:c r="K1258" s="4" t="str">
        <x:v>进入登录页</x:v>
      </x:c>
      <x:c r="L1258" s="4" t="str"/>
      <x:c r="M1258" s="4" t="str">
        <x:v>未测</x:v>
      </x:c>
      <x:c r="N1258" s="4" t="str"/>
      <x:c r="O1258" s="4" t="str">
        <x:v>1. 来源：MainBasis/统一需求文档.md；U-welfare-center-022、U-all-tasks-008
2. 场景：SC-1c3ee5001421ca</x:v>
      </x:c>
    </x:row>
    <x:row r="1259" ht="68" customHeight="1">
      <x:c r="A1259" s="4" t="n">
        <x:v>1258</x:v>
      </x:c>
      <x:c r="B1259" s="4" t="str">
        <x:v>USER-1258</x:v>
      </x:c>
      <x:c r="C1259" s="4" t="str">
        <x:v>M08 礼物、道具、任务、邀请与运营配置</x:v>
      </x:c>
      <x:c r="D1259" s="4" t="str">
        <x:v>充值福利（运营账号视角）</x:v>
      </x:c>
      <x:c r="E1259" s="4" t="str">
        <x:v>功能需求</x:v>
      </x:c>
      <x:c r="F1259" s="4" t="str">
        <x:v>P1</x:v>
      </x:c>
      <x:c r="G1259" s="4" t="str">
        <x:v>验证运营号不显示签到任务</x:v>
      </x:c>
      <x:c r="H1259" s="4" t="str">
        <x:v>运营号不显示签到任务</x:v>
      </x:c>
      <x:c r="I1259" s="4" t="str">
        <x:v>1. 已登录运营账号账号
2. 当前为运营账号</x:v>
      </x:c>
      <x:c r="J1259" s="4" t="str">
        <x:v>1. 进入「充值福利」页
2. 查看运营号不显示签到任务</x:v>
      </x:c>
      <x:c r="K1259" s="4" t="str">
        <x:v>不展示签到、任务及领奖入口</x:v>
      </x:c>
      <x:c r="L1259" s="4" t="str"/>
      <x:c r="M1259" s="4" t="str">
        <x:v>未测</x:v>
      </x:c>
      <x:c r="N1259" s="4" t="str"/>
      <x:c r="O1259" s="4" t="str">
        <x:v>1. 来源：MainBasis/统一需求文档.md；U-welfare-center-022、U-all-tasks-008
2. 场景：SC-d8c2eb87aa85bd</x:v>
      </x:c>
    </x:row>
    <x:row r="1260" ht="68" customHeight="1">
      <x:c r="A1260" s="4" t="n">
        <x:v>1259</x:v>
      </x:c>
      <x:c r="B1260" s="4" t="str">
        <x:v>USER-1259</x:v>
      </x:c>
      <x:c r="C1260" s="4" t="str">
        <x:v>M08 礼物、道具、任务、邀请与运营配置</x:v>
      </x:c>
      <x:c r="D1260" s="4" t="str">
        <x:v>充值福利（用户视角）</x:v>
      </x:c>
      <x:c r="E1260" s="4" t="str">
        <x:v>功能需求</x:v>
      </x:c>
      <x:c r="F1260" s="4" t="str">
        <x:v>P1</x:v>
      </x:c>
      <x:c r="G1260" s="4" t="str">
        <x:v>验证观看任务未完成提示</x:v>
      </x:c>
      <x:c r="H1260" s="4" t="str">
        <x:v>观看任务未完成提示</x:v>
      </x:c>
      <x:c r="I1260" s="4" t="str">
        <x:v>1. 已登录用户账号
2. 当前观看任务未完成</x:v>
      </x:c>
      <x:c r="J1260" s="4" t="str">
        <x:v>1. 进入「充值福利」页
2. 点击奖励</x:v>
      </x:c>
      <x:c r="K1260" s="4" t="str">
        <x:v>提示“任务尚未完成”</x:v>
      </x:c>
      <x:c r="L1260" s="4" t="str"/>
      <x:c r="M1260" s="4" t="str">
        <x:v>未测</x:v>
      </x:c>
      <x:c r="N1260" s="4" t="str"/>
      <x:c r="O1260" s="4" t="str">
        <x:v>1. 来源：MainBasis/统一需求文档.md；U-welfare-center-020
2. 场景：SC-32fa6b8e81e18d</x:v>
      </x:c>
    </x:row>
    <x:row r="1261" ht="68" customHeight="1">
      <x:c r="A1261" s="4" t="n">
        <x:v>1260</x:v>
      </x:c>
      <x:c r="B1261" s="4" t="str">
        <x:v>USER-1260</x:v>
      </x:c>
      <x:c r="C1261" s="4" t="str">
        <x:v>M08 礼物、道具、任务、邀请与运营配置</x:v>
      </x:c>
      <x:c r="D1261" s="4" t="str">
        <x:v>充值福利（用户视角）</x:v>
      </x:c>
      <x:c r="E1261" s="4" t="str">
        <x:v>功能需求</x:v>
      </x:c>
      <x:c r="F1261" s="4" t="str">
        <x:v>P1</x:v>
      </x:c>
      <x:c r="G1261" s="4" t="str">
        <x:v>验证分享任务指引</x:v>
      </x:c>
      <x:c r="H1261" s="4" t="str">
        <x:v>分享任务指引</x:v>
      </x:c>
      <x:c r="I1261" s="4" t="str">
        <x:v>1. 已登录用户账号
2. 分享任务未完成</x:v>
      </x:c>
      <x:c r="J1261" s="4" t="str">
        <x:v>1. 进入「充值福利」页
2. 点击分享入口</x:v>
      </x:c>
      <x:c r="K1261" s="4" t="str">
        <x:v>提示前往直播间分享</x:v>
      </x:c>
      <x:c r="L1261" s="4" t="str"/>
      <x:c r="M1261" s="4" t="str">
        <x:v>未测</x:v>
      </x:c>
      <x:c r="N1261" s="4" t="str"/>
      <x:c r="O1261" s="4" t="str">
        <x:v>1. 来源：MainBasis/统一需求文档.md；U-welfare-center-020
2. 场景：SC-631ea2057e1f06</x:v>
      </x:c>
    </x:row>
    <x:row r="1262" ht="68" customHeight="1">
      <x:c r="A1262" s="4" t="n">
        <x:v>1261</x:v>
      </x:c>
      <x:c r="B1262" s="4" t="str">
        <x:v>USER-1261</x:v>
      </x:c>
      <x:c r="C1262" s="4" t="str">
        <x:v>M08 礼物、道具、任务、邀请与运营配置</x:v>
      </x:c>
      <x:c r="D1262" s="4" t="str">
        <x:v>充值福利（用户视角）</x:v>
      </x:c>
      <x:c r="E1262" s="4" t="str">
        <x:v>功能需求</x:v>
      </x:c>
      <x:c r="F1262" s="4" t="str">
        <x:v>P1</x:v>
      </x:c>
      <x:c r="G1262" s="4" t="str">
        <x:v>验证任务卡配置回显</x:v>
      </x:c>
      <x:c r="H1262" s="4" t="str">
        <x:v>任务卡配置回显</x:v>
      </x:c>
      <x:c r="I1262" s="4" t="str">
        <x:v>1. 已登录用户账号
2. 后台已启用观看任务，目标30分钟、当前进度10、奖励20</x:v>
      </x:c>
      <x:c r="J1262" s="4" t="str">
        <x:v>1. 进入「充值福利」页
2. 查看任务卡配置回显</x:v>
      </x:c>
      <x:c r="K1262" s="4" t="str">
        <x:v>卡片显示该任务名称、目标30、进度10、奖励20及去完成状态</x:v>
      </x:c>
      <x:c r="L1262" s="4" t="str"/>
      <x:c r="M1262" s="4" t="str">
        <x:v>未测</x:v>
      </x:c>
      <x:c r="N1262" s="4" t="str"/>
      <x:c r="O1262" s="4" t="str">
        <x:v>1. 来源：MainBasis/统一需求文档.md；U-welfare-center-015
2. 场景：SC-f2ab139a14cd03</x:v>
      </x:c>
    </x:row>
    <x:row r="1263" ht="68" customHeight="1">
      <x:c r="A1263" s="4" t="n">
        <x:v>1262</x:v>
      </x:c>
      <x:c r="B1263" s="4" t="str">
        <x:v>USER-1262</x:v>
      </x:c>
      <x:c r="C1263" s="4" t="str">
        <x:v>M08 礼物、道具、任务、邀请与运营配置</x:v>
      </x:c>
      <x:c r="D1263" s="4" t="str">
        <x:v>充值福利-已领取（用户视角）</x:v>
      </x:c>
      <x:c r="E1263" s="4" t="str">
        <x:v>功能需求</x:v>
      </x:c>
      <x:c r="F1263" s="4" t="str">
        <x:v>P2</x:v>
      </x:c>
      <x:c r="G1263" s="4" t="str">
        <x:v>验证签到、任务奖励回显</x:v>
      </x:c>
      <x:c r="H1263" s="4" t="str">
        <x:v>签到、任务奖励回显</x:v>
      </x:c>
      <x:c r="I1263" s="4" t="str">
        <x:v>1. 已登录用户账号
2. 所选对象存在，已记录该对象的签到 / 任务奖励值</x:v>
      </x:c>
      <x:c r="J1263" s="4" t="str">
        <x:v>1. 进入「充值福利」页
2. 打开「充值福利-已领取」视图
3. 查看签到、任务奖励回显</x:v>
      </x:c>
      <x:c r="K1263" s="4" t="str">
        <x:v>「签到 / 任务奖励」内容与所选对象的该项资料一致</x:v>
      </x:c>
      <x:c r="L1263" s="4" t="str"/>
      <x:c r="M1263" s="4" t="str">
        <x:v>未测</x:v>
      </x:c>
      <x:c r="N1263" s="4" t="str"/>
      <x:c r="O1263" s="4" t="str">
        <x:v>1. 来源：MainBasis/统一需求文档.md；U-views_welfare-center_claimed-002
2. 场景：SC-0302b3cd9f44f5</x:v>
      </x:c>
    </x:row>
    <x:row r="1264" ht="68" customHeight="1">
      <x:c r="A1264" s="4" t="n">
        <x:v>1263</x:v>
      </x:c>
      <x:c r="B1264" s="4" t="str">
        <x:v>USER-1263</x:v>
      </x:c>
      <x:c r="C1264" s="4" t="str">
        <x:v>M08 礼物、道具、任务、邀请与运营配置</x:v>
      </x:c>
      <x:c r="D1264" s="4" t="str">
        <x:v>充值福利-已领取（用户视角）</x:v>
      </x:c>
      <x:c r="E1264" s="4" t="str">
        <x:v>功能需求</x:v>
      </x:c>
      <x:c r="F1264" s="4" t="str">
        <x:v>P1</x:v>
      </x:c>
      <x:c r="G1264" s="4" t="str">
        <x:v>验证任务改配置不补发已领取实例</x:v>
      </x:c>
      <x:c r="H1264" s="4" t="str">
        <x:v>任务改配置不补发已领取实例</x:v>
      </x:c>
      <x:c r="I1264" s="4" t="str">
        <x:v>1. 已登录用户账号
2. 当前实例已领取，平台随后调整该任务奖励</x:v>
      </x:c>
      <x:c r="J1264" s="4" t="str">
        <x:v>1. 进入「充值福利」页
2. 打开「充值福利-已领取」视图
3. 重新进入充值福利</x:v>
      </x:c>
      <x:c r="K1264" s="4" t="str">
        <x:v>该实例仍已领取且不补发</x:v>
      </x:c>
      <x:c r="L1264" s="4" t="str"/>
      <x:c r="M1264" s="4" t="str">
        <x:v>未测</x:v>
      </x:c>
      <x:c r="N1264" s="4" t="str"/>
      <x:c r="O1264" s="4" t="str">
        <x:v>1. 来源：MainBasis/统一需求文档.md；U-views_welfare-center_claimed-006
2. 场景：SC-d828a8fbe386de</x:v>
      </x:c>
    </x:row>
    <x:row r="1265" ht="68" customHeight="1">
      <x:c r="A1265" s="4" t="n">
        <x:v>1264</x:v>
      </x:c>
      <x:c r="B1265" s="4" t="str">
        <x:v>USER-1264</x:v>
      </x:c>
      <x:c r="C1265" s="4" t="str">
        <x:v>M08 礼物、道具、任务、邀请与运营配置</x:v>
      </x:c>
      <x:c r="D1265" s="4" t="str">
        <x:v>全部任务（用户视角）</x:v>
      </x:c>
      <x:c r="E1265" s="4" t="str">
        <x:v>功能需求</x:v>
      </x:c>
      <x:c r="F1265" s="4" t="str">
        <x:v>P2</x:v>
      </x:c>
      <x:c r="G1265" s="4" t="str">
        <x:v>验证任务进度回显</x:v>
      </x:c>
      <x:c r="H1265" s="4" t="str">
        <x:v>任务进度回显</x:v>
      </x:c>
      <x:c r="I1265" s="4" t="str">
        <x:v>1. 已登录用户账号
2. 所选对象存在，已记录该对象的任务进度值</x:v>
      </x:c>
      <x:c r="J1265" s="4" t="str">
        <x:v>1. 进入「全部任务」页
2. 查看任务进度回显</x:v>
      </x:c>
      <x:c r="K1265" s="4" t="str">
        <x:v>「任务进度」内容与所选对象的该项资料一致</x:v>
      </x:c>
      <x:c r="L1265" s="4" t="str"/>
      <x:c r="M1265" s="4" t="str">
        <x:v>未测</x:v>
      </x:c>
      <x:c r="N1265" s="4" t="str"/>
      <x:c r="O1265" s="4" t="str">
        <x:v>1. 来源：MainBasis/统一需求文档.md；U-all-tasks-003
2. 场景：SC-bfe34e470644fa</x:v>
      </x:c>
    </x:row>
    <x:row r="1266" ht="68" customHeight="1">
      <x:c r="A1266" s="4" t="n">
        <x:v>1265</x:v>
      </x:c>
      <x:c r="B1266" s="4" t="str">
        <x:v>USER-1265</x:v>
      </x:c>
      <x:c r="C1266" s="4" t="str">
        <x:v>M08 礼物、道具、任务、邀请与运营配置</x:v>
      </x:c>
      <x:c r="D1266" s="4" t="str">
        <x:v>全部任务（用户视角）</x:v>
      </x:c>
      <x:c r="E1266" s="4" t="str">
        <x:v>功能需求</x:v>
      </x:c>
      <x:c r="F1266" s="4" t="str">
        <x:v>P2</x:v>
      </x:c>
      <x:c r="G1266" s="4" t="str">
        <x:v>验证操作状态回显</x:v>
      </x:c>
      <x:c r="H1266" s="4" t="str">
        <x:v>操作状态回显</x:v>
      </x:c>
      <x:c r="I1266" s="4" t="str">
        <x:v>1. 已登录用户账号
2. 所选对象存在，已记录该对象的操作状态值</x:v>
      </x:c>
      <x:c r="J1266" s="4" t="str">
        <x:v>1. 进入「全部任务」页
2. 查看操作状态回显</x:v>
      </x:c>
      <x:c r="K1266" s="4" t="str">
        <x:v>「操作状态」内容与所选对象的该项资料一致</x:v>
      </x:c>
      <x:c r="L1266" s="4" t="str"/>
      <x:c r="M1266" s="4" t="str">
        <x:v>未测</x:v>
      </x:c>
      <x:c r="N1266" s="4" t="str"/>
      <x:c r="O1266" s="4" t="str">
        <x:v>1. 来源：MainBasis/统一需求文档.md；U-all-tasks-005
2. 场景：SC-6dd697cfd5269a</x:v>
      </x:c>
    </x:row>
    <x:row r="1267" ht="68" customHeight="1">
      <x:c r="A1267" s="4" t="n">
        <x:v>1266</x:v>
      </x:c>
      <x:c r="B1267" s="4" t="str">
        <x:v>USER-1266</x:v>
      </x:c>
      <x:c r="C1267" s="4" t="str">
        <x:v>M08 礼物、道具、任务、邀请与运营配置</x:v>
      </x:c>
      <x:c r="D1267" s="4" t="str">
        <x:v>全部任务（用户视角）</x:v>
      </x:c>
      <x:c r="E1267" s="4" t="str">
        <x:v>功能需求</x:v>
      </x:c>
      <x:c r="F1267" s="4" t="str">
        <x:v>P1</x:v>
      </x:c>
      <x:c r="G1267" s="4" t="str">
        <x:v>验证全部任务仅三项</x:v>
      </x:c>
      <x:c r="H1267" s="4" t="str">
        <x:v>全部任务仅三项</x:v>
      </x:c>
      <x:c r="I1267" s="4" t="str">
        <x:v>1. 已登录用户账号</x:v>
      </x:c>
      <x:c r="J1267" s="4" t="str">
        <x:v>1. 进入「全部任务」页
2. 查看全部任务仅三项</x:v>
      </x:c>
      <x:c r="K1267" s="4" t="str">
        <x:v>只展示观看直播30分钟、送出任意1个礼物、分享1个直播间</x:v>
      </x:c>
      <x:c r="L1267" s="4" t="str"/>
      <x:c r="M1267" s="4" t="str">
        <x:v>未测</x:v>
      </x:c>
      <x:c r="N1267" s="4" t="str"/>
      <x:c r="O1267" s="4" t="str">
        <x:v>1. 来源：MainBasis/统一需求文档.md；U-all-tasks-002
2. 场景：SC-210105c6f009ef</x:v>
      </x:c>
    </x:row>
    <x:row r="1268" ht="68" customHeight="1">
      <x:c r="A1268" s="4" t="n">
        <x:v>1267</x:v>
      </x:c>
      <x:c r="B1268" s="4" t="str">
        <x:v>USER-1267</x:v>
      </x:c>
      <x:c r="C1268" s="4" t="str">
        <x:v>M08 礼物、道具、任务、邀请与运营配置</x:v>
      </x:c>
      <x:c r="D1268" s="4" t="str">
        <x:v>全部任务（用户视角）</x:v>
      </x:c>
      <x:c r="E1268" s="4" t="str">
        <x:v>功能需求</x:v>
      </x:c>
      <x:c r="F1268" s="4" t="str">
        <x:v>P1</x:v>
      </x:c>
      <x:c r="G1268" s="4" t="str">
        <x:v>验证全部任务无统计分类标题</x:v>
      </x:c>
      <x:c r="H1268" s="4" t="str">
        <x:v>全部任务无统计分类标题</x:v>
      </x:c>
      <x:c r="I1268" s="4" t="str">
        <x:v>1. 已登录用户账号</x:v>
      </x:c>
      <x:c r="J1268" s="4" t="str">
        <x:v>1. 进入「全部任务」页
2. 查看全部任务无统计分类标题</x:v>
      </x:c>
      <x:c r="K1268" s="4" t="str">
        <x:v>不展示任务统计和任务分类标题</x:v>
      </x:c>
      <x:c r="L1268" s="4" t="str"/>
      <x:c r="M1268" s="4" t="str">
        <x:v>未测</x:v>
      </x:c>
      <x:c r="N1268" s="4" t="str"/>
      <x:c r="O1268" s="4" t="str">
        <x:v>1. 来源：MainBasis/统一需求文档.md；U-all-tasks-006
2. 场景：SC-984c9599e523ff</x:v>
      </x:c>
    </x:row>
    <x:row r="1269" ht="68" customHeight="1">
      <x:c r="A1269" s="4" t="n">
        <x:v>1268</x:v>
      </x:c>
      <x:c r="B1269" s="4" t="str">
        <x:v>USER-1268</x:v>
      </x:c>
      <x:c r="C1269" s="4" t="str">
        <x:v>M08 礼物、道具、任务、邀请与运营配置</x:v>
      </x:c>
      <x:c r="D1269" s="4" t="str">
        <x:v>全部任务（用户视角）</x:v>
      </x:c>
      <x:c r="E1269" s="4" t="str">
        <x:v>功能需求</x:v>
      </x:c>
      <x:c r="F1269" s="4" t="str">
        <x:v>P2</x:v>
      </x:c>
      <x:c r="G1269" s="4" t="str">
        <x:v>验证返回入口</x:v>
      </x:c>
      <x:c r="H1269" s="4" t="str">
        <x:v>返回入口</x:v>
      </x:c>
      <x:c r="I1269" s="4" t="str">
        <x:v>1. 已登录用户账号</x:v>
      </x:c>
      <x:c r="J1269" s="4" t="str">
        <x:v>1. 进入「全部任务」页
2. 点击「返回」</x:v>
      </x:c>
      <x:c r="K1269" s="4" t="str">
        <x:v>页面进入「充值福利」</x:v>
      </x:c>
      <x:c r="L1269" s="4" t="str"/>
      <x:c r="M1269" s="4" t="str">
        <x:v>未测</x:v>
      </x:c>
      <x:c r="N1269" s="4" t="str"/>
      <x:c r="O1269" s="4" t="str">
        <x:v>1. 来源：MainBasis/统一需求文档.md；U-all-tasks-012
2. 场景：SC-43ef741e569bb9</x:v>
      </x:c>
    </x:row>
    <x:row r="1270" ht="68" customHeight="1">
      <x:c r="A1270" s="4" t="n">
        <x:v>1269</x:v>
      </x:c>
      <x:c r="B1270" s="4" t="str">
        <x:v>USER-1269</x:v>
      </x:c>
      <x:c r="C1270" s="4" t="str">
        <x:v>M08 礼物、道具、任务、邀请与运营配置</x:v>
      </x:c>
      <x:c r="D1270" s="4" t="str">
        <x:v>全部任务（用户视角）</x:v>
      </x:c>
      <x:c r="E1270" s="4" t="str">
        <x:v>功能需求</x:v>
      </x:c>
      <x:c r="F1270" s="4" t="str">
        <x:v>P1</x:v>
      </x:c>
      <x:c r="G1270" s="4" t="str">
        <x:v>验证任务奖励配置回显</x:v>
      </x:c>
      <x:c r="H1270" s="4" t="str">
        <x:v>任务奖励配置回显</x:v>
      </x:c>
      <x:c r="I1270" s="4" t="str">
        <x:v>1. 已登录用户账号
2. 当前任务配置金币奖励20</x:v>
      </x:c>
      <x:c r="J1270" s="4" t="str">
        <x:v>1. 进入「全部任务」页
2. 查看任务奖励配置回显</x:v>
      </x:c>
      <x:c r="K1270" s="4" t="str">
        <x:v>任务卡显示20金币奖励</x:v>
      </x:c>
      <x:c r="L1270" s="4" t="str"/>
      <x:c r="M1270" s="4" t="str">
        <x:v>未测</x:v>
      </x:c>
      <x:c r="N1270" s="4" t="str"/>
      <x:c r="O1270" s="4" t="str">
        <x:v>1. 来源：MainBasis/统一需求文档.md；U-all-tasks-004
2. 场景：SC-bb157bebbb5ef9</x:v>
      </x:c>
    </x:row>
    <x:row r="1271" ht="68" customHeight="1">
      <x:c r="A1271" s="4" t="n">
        <x:v>1270</x:v>
      </x:c>
      <x:c r="B1271" s="4" t="str">
        <x:v>USER-1270</x:v>
      </x:c>
      <x:c r="C1271" s="4" t="str">
        <x:v>M08 礼物、道具、任务、邀请与运营配置</x:v>
      </x:c>
      <x:c r="D1271" s="4" t="str">
        <x:v>全部任务（用户视角）</x:v>
      </x:c>
      <x:c r="E1271" s="4" t="str">
        <x:v>功能需求</x:v>
      </x:c>
      <x:c r="F1271" s="4" t="str">
        <x:v>P1</x:v>
      </x:c>
      <x:c r="G1271" s="4" t="str">
        <x:v>验证任务按配置顺序</x:v>
      </x:c>
      <x:c r="H1271" s="4" t="str">
        <x:v>任务按配置顺序</x:v>
      </x:c>
      <x:c r="I1271" s="4" t="str">
        <x:v>1. 已登录用户账号
2. 观看、送礼、分享任务在页面配置顺序已确定</x:v>
      </x:c>
      <x:c r="J1271" s="4" t="str">
        <x:v>1. 进入「全部任务」页
2. 查看任务按配置顺序</x:v>
      </x:c>
      <x:c r="K1271" s="4" t="str">
        <x:v>列表按配置顺序展示这三项任务</x:v>
      </x:c>
      <x:c r="L1271" s="4" t="str"/>
      <x:c r="M1271" s="4" t="str">
        <x:v>未测</x:v>
      </x:c>
      <x:c r="N1271" s="4" t="str"/>
      <x:c r="O1271" s="4" t="str">
        <x:v>1. 来源：MainBasis/统一需求文档.md；U-all-tasks-009
2. 场景：SC-9e1477300cf743</x:v>
      </x:c>
    </x:row>
    <x:row r="1272" ht="68" customHeight="1">
      <x:c r="A1272" s="4" t="n">
        <x:v>1271</x:v>
      </x:c>
      <x:c r="B1272" s="4" t="str">
        <x:v>USER-1271</x:v>
      </x:c>
      <x:c r="C1272" s="4" t="str">
        <x:v>M08 礼物、道具、任务、邀请与运营配置</x:v>
      </x:c>
      <x:c r="D1272" s="4" t="str">
        <x:v>全部任务（用户视角）</x:v>
      </x:c>
      <x:c r="E1272" s="4" t="str">
        <x:v>功能需求</x:v>
      </x:c>
      <x:c r="F1272" s="4" t="str">
        <x:v>P1</x:v>
      </x:c>
      <x:c r="G1272" s="4" t="str">
        <x:v>验证观看直播30分钟去完成指引</x:v>
      </x:c>
      <x:c r="H1272" s="4" t="str">
        <x:v>观看直播30分钟去完成指引</x:v>
      </x:c>
      <x:c r="I1272" s="4" t="str">
        <x:v>1. 已登录用户账号
2. 「观看直播30分钟」任务尚未完成</x:v>
      </x:c>
      <x:c r="J1272" s="4" t="str">
        <x:v>1. 进入「全部任务」页
2. 点击「观看直播30分钟」的「去完成」</x:v>
      </x:c>
      <x:c r="K1272" s="4" t="str">
        <x:v>去完成结果指向观看直播30分钟的功能入口，呈现方式允许页面跳转或前往路径指引</x:v>
      </x:c>
      <x:c r="L1272" s="4" t="str"/>
      <x:c r="M1272" s="4" t="str">
        <x:v>未测</x:v>
      </x:c>
      <x:c r="N1272" s="4" t="str"/>
      <x:c r="O1272" s="4" t="str">
        <x:v>1. 来源：MainBasis/统一需求文档.md；U-all-tasks-002、U-all-tasks-010
2. 场景：SC-22a15c586af03b</x:v>
      </x:c>
    </x:row>
    <x:row r="1273" ht="68" customHeight="1">
      <x:c r="A1273" s="4" t="n">
        <x:v>1272</x:v>
      </x:c>
      <x:c r="B1273" s="4" t="str">
        <x:v>USER-1272</x:v>
      </x:c>
      <x:c r="C1273" s="4" t="str">
        <x:v>M08 礼物、道具、任务、邀请与运营配置</x:v>
      </x:c>
      <x:c r="D1273" s="4" t="str">
        <x:v>全部任务（用户视角）</x:v>
      </x:c>
      <x:c r="E1273" s="4" t="str">
        <x:v>功能需求</x:v>
      </x:c>
      <x:c r="F1273" s="4" t="str">
        <x:v>P1</x:v>
      </x:c>
      <x:c r="G1273" s="4" t="str">
        <x:v>验证送出任意1个礼物去完成指引</x:v>
      </x:c>
      <x:c r="H1273" s="4" t="str">
        <x:v>送出任意1个礼物去完成指引</x:v>
      </x:c>
      <x:c r="I1273" s="4" t="str">
        <x:v>1. 已登录用户账号
2. 「送出任意1个礼物」任务尚未完成</x:v>
      </x:c>
      <x:c r="J1273" s="4" t="str">
        <x:v>1. 进入「全部任务」页
2. 点击「送出任意1个礼物」的「去完成」</x:v>
      </x:c>
      <x:c r="K1273" s="4" t="str">
        <x:v>去完成结果指向送出任意1个礼物的功能入口，呈现方式允许页面跳转或前往路径指引</x:v>
      </x:c>
      <x:c r="L1273" s="4" t="str"/>
      <x:c r="M1273" s="4" t="str">
        <x:v>未测</x:v>
      </x:c>
      <x:c r="N1273" s="4" t="str"/>
      <x:c r="O1273" s="4" t="str">
        <x:v>1. 来源：MainBasis/统一需求文档.md；U-all-tasks-002、U-all-tasks-010
2. 场景：SC-f6c5defb702115</x:v>
      </x:c>
    </x:row>
    <x:row r="1274" ht="68" customHeight="1">
      <x:c r="A1274" s="4" t="n">
        <x:v>1273</x:v>
      </x:c>
      <x:c r="B1274" s="4" t="str">
        <x:v>USER-1273</x:v>
      </x:c>
      <x:c r="C1274" s="4" t="str">
        <x:v>M08 礼物、道具、任务、邀请与运营配置</x:v>
      </x:c>
      <x:c r="D1274" s="4" t="str">
        <x:v>全部任务（用户视角）</x:v>
      </x:c>
      <x:c r="E1274" s="4" t="str">
        <x:v>功能需求</x:v>
      </x:c>
      <x:c r="F1274" s="4" t="str">
        <x:v>P1</x:v>
      </x:c>
      <x:c r="G1274" s="4" t="str">
        <x:v>验证分享1个直播间去完成指引</x:v>
      </x:c>
      <x:c r="H1274" s="4" t="str">
        <x:v>分享1个直播间去完成指引</x:v>
      </x:c>
      <x:c r="I1274" s="4" t="str">
        <x:v>1. 已登录用户账号
2. 「分享1个直播间」任务尚未完成</x:v>
      </x:c>
      <x:c r="J1274" s="4" t="str">
        <x:v>1. 进入「全部任务」页
2. 点击「分享1个直播间」的「去完成」</x:v>
      </x:c>
      <x:c r="K1274" s="4" t="str">
        <x:v>去完成结果指向分享1个直播间的功能入口，呈现方式允许页面跳转或前往路径指引</x:v>
      </x:c>
      <x:c r="L1274" s="4" t="str"/>
      <x:c r="M1274" s="4" t="str">
        <x:v>未测</x:v>
      </x:c>
      <x:c r="N1274" s="4" t="str"/>
      <x:c r="O1274" s="4" t="str">
        <x:v>1. 来源：MainBasis/统一需求文档.md；U-all-tasks-002、U-all-tasks-010
2. 场景：SC-f96dd86997afa1</x:v>
      </x:c>
    </x:row>
    <x:row r="1275" ht="68" customHeight="1">
      <x:c r="A1275" s="4" t="n">
        <x:v>1274</x:v>
      </x:c>
      <x:c r="B1275" s="4" t="str">
        <x:v>USER-1274</x:v>
      </x:c>
      <x:c r="C1275" s="4" t="str">
        <x:v>M08 礼物、道具、任务、邀请与运营配置</x:v>
      </x:c>
      <x:c r="D1275" s="4" t="str">
        <x:v>邀请好友（用户视角）</x:v>
      </x:c>
      <x:c r="E1275" s="4" t="str">
        <x:v>功能需求</x:v>
      </x:c>
      <x:c r="F1275" s="4" t="str">
        <x:v>P2</x:v>
      </x:c>
      <x:c r="G1275" s="4" t="str">
        <x:v>验证邀请记录回显</x:v>
      </x:c>
      <x:c r="H1275" s="4" t="str">
        <x:v>邀请记录回显</x:v>
      </x:c>
      <x:c r="I1275" s="4" t="str">
        <x:v>1. 已登录用户账号
2. 所选对象存在，已记录该对象的邀请记录值</x:v>
      </x:c>
      <x:c r="J1275" s="4" t="str">
        <x:v>1. 进入「邀请好友」页
2. 查看邀请记录回显</x:v>
      </x:c>
      <x:c r="K1275" s="4" t="str">
        <x:v>「邀请记录」内容与所选对象的该项资料一致</x:v>
      </x:c>
      <x:c r="L1275" s="4" t="str"/>
      <x:c r="M1275" s="4" t="str">
        <x:v>未测</x:v>
      </x:c>
      <x:c r="N1275" s="4" t="str"/>
      <x:c r="O1275" s="4" t="str">
        <x:v>1. 来源：MainBasis/统一需求文档.md；U-invite-friends-004
2. 场景：SC-3ede91007585aa</x:v>
      </x:c>
    </x:row>
    <x:row r="1276" ht="68" customHeight="1">
      <x:c r="A1276" s="4" t="n">
        <x:v>1275</x:v>
      </x:c>
      <x:c r="B1276" s="4" t="str">
        <x:v>USER-1275</x:v>
      </x:c>
      <x:c r="C1276" s="4" t="str">
        <x:v>M08 礼物、道具、任务、邀请与运营配置</x:v>
      </x:c>
      <x:c r="D1276" s="4" t="str">
        <x:v>邀请好友（用户视角）</x:v>
      </x:c>
      <x:c r="E1276" s="4" t="str">
        <x:v>功能需求</x:v>
      </x:c>
      <x:c r="F1276" s="4" t="str">
        <x:v>P1</x:v>
      </x:c>
      <x:c r="G1276" s="4" t="str">
        <x:v>验证邀请记录按日期倒序</x:v>
      </x:c>
      <x:c r="H1276" s="4" t="str">
        <x:v>邀请记录按日期倒序</x:v>
      </x:c>
      <x:c r="I1276" s="4" t="str">
        <x:v>1. 已登录用户账号
2. 当前账号有两个成功邀请记录，邀请日期不同</x:v>
      </x:c>
      <x:c r="J1276" s="4" t="str">
        <x:v>1. 进入「邀请好友」页
2. 查看邀请记录按日期倒序</x:v>
      </x:c>
      <x:c r="K1276" s="4" t="str">
        <x:v>最近邀请记录在前，另一账号记录不展示</x:v>
      </x:c>
      <x:c r="L1276" s="4" t="str"/>
      <x:c r="M1276" s="4" t="str">
        <x:v>未测</x:v>
      </x:c>
      <x:c r="N1276" s="4" t="str"/>
      <x:c r="O1276" s="4" t="str">
        <x:v>1. 来源：MainBasis/统一需求文档.md；U-invite-friends-007
2. 场景：SC-c858d9bac8bdc4</x:v>
      </x:c>
    </x:row>
    <x:row r="1277" ht="68" customHeight="1">
      <x:c r="A1277" s="4" t="n">
        <x:v>1276</x:v>
      </x:c>
      <x:c r="B1277" s="4" t="str">
        <x:v>USER-1276</x:v>
      </x:c>
      <x:c r="C1277" s="4" t="str">
        <x:v>M08 礼物、道具、任务、邀请与运营配置</x:v>
      </x:c>
      <x:c r="D1277" s="4" t="str">
        <x:v>邀请好友（用户视角）</x:v>
      </x:c>
      <x:c r="E1277" s="4" t="str">
        <x:v>功能需求</x:v>
      </x:c>
      <x:c r="F1277" s="4" t="str">
        <x:v>P1</x:v>
      </x:c>
      <x:c r="G1277" s="4" t="str">
        <x:v>验证邀请切换奖励</x:v>
      </x:c>
      <x:c r="H1277" s="4" t="str">
        <x:v>邀请切换奖励</x:v>
      </x:c>
      <x:c r="I1277" s="4" t="str">
        <x:v>1. 已登录用户账号</x:v>
      </x:c>
      <x:c r="J1277" s="4" t="str">
        <x:v>1. 进入「邀请好友」页
2. 切换奖励</x:v>
      </x:c>
      <x:c r="K1277" s="4" t="str">
        <x:v>显示奖励内容</x:v>
      </x:c>
      <x:c r="L1277" s="4" t="str"/>
      <x:c r="M1277" s="4" t="str">
        <x:v>未测</x:v>
      </x:c>
      <x:c r="N1277" s="4" t="str"/>
      <x:c r="O1277" s="4" t="str">
        <x:v>1. 来源：MainBasis/统一需求文档.md；U-invite-friends-008
2. 场景：SC-97379f24dcb31c</x:v>
      </x:c>
    </x:row>
    <x:row r="1278" ht="68" customHeight="1">
      <x:c r="A1278" s="4" t="n">
        <x:v>1277</x:v>
      </x:c>
      <x:c r="B1278" s="4" t="str">
        <x:v>USER-1277</x:v>
      </x:c>
      <x:c r="C1278" s="4" t="str">
        <x:v>M08 礼物、道具、任务、邀请与运营配置</x:v>
      </x:c>
      <x:c r="D1278" s="4" t="str">
        <x:v>邀请好友（用户视角）</x:v>
      </x:c>
      <x:c r="E1278" s="4" t="str">
        <x:v>功能需求</x:v>
      </x:c>
      <x:c r="F1278" s="4" t="str">
        <x:v>P1</x:v>
      </x:c>
      <x:c r="G1278" s="4" t="str">
        <x:v>验证邀请切换邀请记录</x:v>
      </x:c>
      <x:c r="H1278" s="4" t="str">
        <x:v>邀请切换邀请记录</x:v>
      </x:c>
      <x:c r="I1278" s="4" t="str">
        <x:v>1. 已登录用户账号</x:v>
      </x:c>
      <x:c r="J1278" s="4" t="str">
        <x:v>1. 进入「邀请好友」页
2. 切换邀请记录</x:v>
      </x:c>
      <x:c r="K1278" s="4" t="str">
        <x:v>显示邀请记录内容</x:v>
      </x:c>
      <x:c r="L1278" s="4" t="str"/>
      <x:c r="M1278" s="4" t="str">
        <x:v>未测</x:v>
      </x:c>
      <x:c r="N1278" s="4" t="str"/>
      <x:c r="O1278" s="4" t="str">
        <x:v>1. 来源：MainBasis/统一需求文档.md；U-invite-friends-008
2. 场景：SC-c1c8649a1f29bf</x:v>
      </x:c>
    </x:row>
    <x:row r="1279" ht="68" customHeight="1">
      <x:c r="A1279" s="4" t="n">
        <x:v>1278</x:v>
      </x:c>
      <x:c r="B1279" s="4" t="str">
        <x:v>USER-1278</x:v>
      </x:c>
      <x:c r="C1279" s="4" t="str">
        <x:v>M08 礼物、道具、任务、邀请与运营配置</x:v>
      </x:c>
      <x:c r="D1279" s="4" t="str">
        <x:v>邀请好友（用户视角）</x:v>
      </x:c>
      <x:c r="E1279" s="4" t="str">
        <x:v>功能需求</x:v>
      </x:c>
      <x:c r="F1279" s="4" t="str">
        <x:v>P1</x:v>
      </x:c>
      <x:c r="G1279" s="4" t="str">
        <x:v>验证邀请记录翻页</x:v>
      </x:c>
      <x:c r="H1279" s="4" t="str">
        <x:v>邀请记录翻页</x:v>
      </x:c>
      <x:c r="I1279" s="4" t="str">
        <x:v>1. 已登录用户账号
2. 成功邀请记录超过一页</x:v>
      </x:c>
      <x:c r="J1279" s="4" t="str">
        <x:v>1. 进入「邀请好友」页
2. 点击下一页
3. 点击上一页</x:v>
      </x:c>
      <x:c r="K1279" s="4" t="str">
        <x:v>返回原页记录</x:v>
      </x:c>
      <x:c r="L1279" s="4" t="str"/>
      <x:c r="M1279" s="4" t="str">
        <x:v>未测</x:v>
      </x:c>
      <x:c r="N1279" s="4" t="str"/>
      <x:c r="O1279" s="4" t="str">
        <x:v>1. 来源：MainBasis/统一需求文档.md；U-invite-friends-009
2. 场景：SC-70f48e2be72269</x:v>
      </x:c>
    </x:row>
    <x:row r="1280" ht="68" customHeight="1">
      <x:c r="A1280" s="4" t="n">
        <x:v>1279</x:v>
      </x:c>
      <x:c r="B1280" s="4" t="str">
        <x:v>USER-1279</x:v>
      </x:c>
      <x:c r="C1280" s="4" t="str">
        <x:v>M08 礼物、道具、任务、邀请与运营配置</x:v>
      </x:c>
      <x:c r="D1280" s="4" t="str">
        <x:v>邀请好友（用户视角）</x:v>
      </x:c>
      <x:c r="E1280" s="4" t="str">
        <x:v>功能需求</x:v>
      </x:c>
      <x:c r="F1280" s="4" t="str">
        <x:v>P2</x:v>
      </x:c>
      <x:c r="G1280" s="4" t="str">
        <x:v>验证邀请好友入口</x:v>
      </x:c>
      <x:c r="H1280" s="4" t="str">
        <x:v>邀请好友入口</x:v>
      </x:c>
      <x:c r="I1280" s="4" t="str">
        <x:v>1. 已登录用户账号</x:v>
      </x:c>
      <x:c r="J1280" s="4" t="str">
        <x:v>1. 进入「邀请好友」页
2. 点击「邀请好友」</x:v>
      </x:c>
      <x:c r="K1280" s="4" t="str">
        <x:v>页面进入「邀请好友选项」</x:v>
      </x:c>
      <x:c r="L1280" s="4" t="str"/>
      <x:c r="M1280" s="4" t="str">
        <x:v>未测</x:v>
      </x:c>
      <x:c r="N1280" s="4" t="str"/>
      <x:c r="O1280" s="4" t="str">
        <x:v>1. 来源：MainBasis/统一需求文档.md；U-invite-friends-010
2. 场景：SC-ad550f2bfa38c5</x:v>
      </x:c>
    </x:row>
    <x:row r="1281" ht="68" customHeight="1">
      <x:c r="A1281" s="4" t="n">
        <x:v>1280</x:v>
      </x:c>
      <x:c r="B1281" s="4" t="str">
        <x:v>USER-1280</x:v>
      </x:c>
      <x:c r="C1281" s="4" t="str">
        <x:v>M08 礼物、道具、任务、邀请与运营配置</x:v>
      </x:c>
      <x:c r="D1281" s="4" t="str">
        <x:v>邀请好友（用户视角）</x:v>
      </x:c>
      <x:c r="E1281" s="4" t="str">
        <x:v>功能需求</x:v>
      </x:c>
      <x:c r="F1281" s="4" t="str">
        <x:v>P1</x:v>
      </x:c>
      <x:c r="G1281" s="4" t="str">
        <x:v>验证成功邀请人数</x:v>
      </x:c>
      <x:c r="H1281" s="4" t="str">
        <x:v>成功邀请人数</x:v>
      </x:c>
      <x:c r="I1281" s="4" t="str">
        <x:v>1. 已登录用户账号
2. 当前账号有2个已确认成功邀请，另有1个仅打开邀请链接</x:v>
      </x:c>
      <x:c r="J1281" s="4" t="str">
        <x:v>1. 进入「邀请好友」页
2. 查看成功邀请人数</x:v>
      </x:c>
      <x:c r="K1281" s="4" t="str">
        <x:v>已邀请好友为2</x:v>
      </x:c>
      <x:c r="L1281" s="4" t="str"/>
      <x:c r="M1281" s="4" t="str">
        <x:v>未测</x:v>
      </x:c>
      <x:c r="N1281" s="4" t="str"/>
      <x:c r="O1281" s="4" t="str">
        <x:v>1. 来源：MainBasis/统一需求文档.md；U-invite-friends-002
2. 场景：SC-90bcee2f87f89c</x:v>
      </x:c>
    </x:row>
    <x:row r="1282" ht="68" customHeight="1">
      <x:c r="A1282" s="4" t="n">
        <x:v>1281</x:v>
      </x:c>
      <x:c r="B1282" s="4" t="str">
        <x:v>USER-1281</x:v>
      </x:c>
      <x:c r="C1282" s="4" t="str">
        <x:v>M08 礼物、道具、任务、邀请与运营配置</x:v>
      </x:c>
      <x:c r="D1282" s="4" t="str">
        <x:v>邀请好友（用户视角）</x:v>
      </x:c>
      <x:c r="E1282" s="4" t="str">
        <x:v>功能需求</x:v>
      </x:c>
      <x:c r="F1282" s="4" t="str">
        <x:v>P1</x:v>
      </x:c>
      <x:c r="G1282" s="4" t="str">
        <x:v>验证邀请金币仅累计到账</x:v>
      </x:c>
      <x:c r="H1282" s="4" t="str">
        <x:v>邀请金币仅累计到账</x:v>
      </x:c>
      <x:c r="I1282" s="4" t="str">
        <x:v>1. 已登录用户账号
2. 两条已发放邀请奖励为10与20，另有一条未发放</x:v>
      </x:c>
      <x:c r="J1282" s="4" t="str">
        <x:v>1. 进入「邀请好友」页
2. 查看邀请金币仅累计到账</x:v>
      </x:c>
      <x:c r="K1282" s="4" t="str">
        <x:v>累计获得金币30</x:v>
      </x:c>
      <x:c r="L1282" s="4" t="str"/>
      <x:c r="M1282" s="4" t="str">
        <x:v>未测</x:v>
      </x:c>
      <x:c r="N1282" s="4" t="str"/>
      <x:c r="O1282" s="4" t="str">
        <x:v>1. 来源：MainBasis/统一需求文档.md；U-invite-friends-003
2. 场景：SC-6da41aaa840f03</x:v>
      </x:c>
    </x:row>
    <x:row r="1283" ht="68" customHeight="1">
      <x:c r="A1283" s="4" t="n">
        <x:v>1282</x:v>
      </x:c>
      <x:c r="B1283" s="4" t="str">
        <x:v>USER-1282</x:v>
      </x:c>
      <x:c r="C1283" s="4" t="str">
        <x:v>M08 礼物、道具、任务、邀请与运营配置</x:v>
      </x:c>
      <x:c r="D1283" s="4" t="str">
        <x:v>邀请好友-选项（用户视角）</x:v>
      </x:c>
      <x:c r="E1283" s="4" t="str">
        <x:v>功能需求</x:v>
      </x:c>
      <x:c r="F1283" s="4" t="str">
        <x:v>P2</x:v>
      </x:c>
      <x:c r="G1283" s="4" t="str">
        <x:v>验证分享方式回显</x:v>
      </x:c>
      <x:c r="H1283" s="4" t="str">
        <x:v>分享方式回显</x:v>
      </x:c>
      <x:c r="I1283" s="4" t="str">
        <x:v>1. 已登录用户账号
2. 所选对象存在，已记录该对象的分享方式值</x:v>
      </x:c>
      <x:c r="J1283" s="4" t="str">
        <x:v>1. 进入「邀请好友」页
2. 打开「邀请好友-选项」视图
3. 查看分享方式回显</x:v>
      </x:c>
      <x:c r="K1283" s="4" t="str">
        <x:v>「分享方式」内容与所选对象的该项资料一致</x:v>
      </x:c>
      <x:c r="L1283" s="4" t="str"/>
      <x:c r="M1283" s="4" t="str">
        <x:v>未测</x:v>
      </x:c>
      <x:c r="N1283" s="4" t="str"/>
      <x:c r="O1283" s="4" t="str">
        <x:v>1. 来源：MainBasis/统一需求文档.md；U-views_invite-friends_share-options-002
2. 场景：SC-a783928a7261e6</x:v>
      </x:c>
    </x:row>
    <x:row r="1284" ht="68" customHeight="1">
      <x:c r="A1284" s="4" t="n">
        <x:v>1283</x:v>
      </x:c>
      <x:c r="B1284" s="4" t="str">
        <x:v>USER-1283</x:v>
      </x:c>
      <x:c r="C1284" s="4" t="str">
        <x:v>M08 礼物、道具、任务、邀请与运营配置</x:v>
      </x:c>
      <x:c r="D1284" s="4" t="str">
        <x:v>邀请好友-选项（用户视角）</x:v>
      </x:c>
      <x:c r="E1284" s="4" t="str">
        <x:v>功能需求</x:v>
      </x:c>
      <x:c r="F1284" s="4" t="str">
        <x:v>P1</x:v>
      </x:c>
      <x:c r="G1284" s="4" t="str">
        <x:v>验证邀请分享复制链接</x:v>
      </x:c>
      <x:c r="H1284" s="4" t="str">
        <x:v>邀请分享复制链接</x:v>
      </x:c>
      <x:c r="I1284" s="4" t="str">
        <x:v>1. 已登录用户账号</x:v>
      </x:c>
      <x:c r="J1284" s="4" t="str">
        <x:v>1. 进入「邀请好友」页
2. 打开「邀请好友-选项」视图
3. 点击复制链接</x:v>
      </x:c>
      <x:c r="K1284" s="4" t="str">
        <x:v>提示“复制成功”</x:v>
      </x:c>
      <x:c r="L1284" s="4" t="str"/>
      <x:c r="M1284" s="4" t="str">
        <x:v>未测</x:v>
      </x:c>
      <x:c r="N1284" s="4" t="str"/>
      <x:c r="O1284" s="4" t="str">
        <x:v>1. 来源：MainBasis/统一需求文档.md；U-views_invite-friends_share-options-004
2. 场景：SC-3cc5def3d6eae8</x:v>
      </x:c>
    </x:row>
    <x:row r="1285" ht="68" customHeight="1">
      <x:c r="A1285" s="4" t="n">
        <x:v>1284</x:v>
      </x:c>
      <x:c r="B1285" s="4" t="str">
        <x:v>USER-1284</x:v>
      </x:c>
      <x:c r="C1285" s="4" t="str">
        <x:v>M08 礼物、道具、任务、邀请与运营配置</x:v>
      </x:c>
      <x:c r="D1285" s="4" t="str">
        <x:v>邀请好友-选项（用户视角）</x:v>
      </x:c>
      <x:c r="E1285" s="4" t="str">
        <x:v>功能需求</x:v>
      </x:c>
      <x:c r="F1285" s="4" t="str">
        <x:v>P1</x:v>
      </x:c>
      <x:c r="G1285" s="4" t="str">
        <x:v>验证邀请分享发送给好友</x:v>
      </x:c>
      <x:c r="H1285" s="4" t="str">
        <x:v>邀请分享发送给好友</x:v>
      </x:c>
      <x:c r="I1285" s="4" t="str">
        <x:v>1. 已登录用户账号</x:v>
      </x:c>
      <x:c r="J1285" s="4" t="str">
        <x:v>1. 进入「邀请好友」页
2. 打开「邀请好友-选项」视图
3. 点击发送给好友</x:v>
      </x:c>
      <x:c r="K1285" s="4" t="str">
        <x:v>调起系统分享</x:v>
      </x:c>
      <x:c r="L1285" s="4" t="str"/>
      <x:c r="M1285" s="4" t="str">
        <x:v>未测</x:v>
      </x:c>
      <x:c r="N1285" s="4" t="str"/>
      <x:c r="O1285" s="4" t="str">
        <x:v>1. 来源：MainBasis/统一需求文档.md；U-views_invite-friends_share-options-005
2. 场景：SC-742697f90d2a18</x:v>
      </x:c>
    </x:row>
    <x:row r="1286" ht="68" customHeight="1">
      <x:c r="A1286" s="4" t="n">
        <x:v>1285</x:v>
      </x:c>
      <x:c r="B1286" s="4" t="str">
        <x:v>USER-1285</x:v>
      </x:c>
      <x:c r="C1286" s="4" t="str">
        <x:v>M08 礼物、道具、任务、邀请与运营配置</x:v>
      </x:c>
      <x:c r="D1286" s="4" t="str">
        <x:v>邀请好友-选项（用户视角）</x:v>
      </x:c>
      <x:c r="E1286" s="4" t="str">
        <x:v>功能需求</x:v>
      </x:c>
      <x:c r="F1286" s="4" t="str">
        <x:v>P1</x:v>
      </x:c>
      <x:c r="G1286" s="4" t="str">
        <x:v>验证邀请分享保存图片</x:v>
      </x:c>
      <x:c r="H1286" s="4" t="str">
        <x:v>邀请分享保存图片</x:v>
      </x:c>
      <x:c r="I1286" s="4" t="str">
        <x:v>1. 已登录用户账号</x:v>
      </x:c>
      <x:c r="J1286" s="4" t="str">
        <x:v>1. 进入「邀请好友」页
2. 打开「邀请好友-选项」视图
3. 点击保存图片</x:v>
      </x:c>
      <x:c r="K1286" s="4" t="str">
        <x:v>展示图片保存结果</x:v>
      </x:c>
      <x:c r="L1286" s="4" t="str"/>
      <x:c r="M1286" s="4" t="str">
        <x:v>未测</x:v>
      </x:c>
      <x:c r="N1286" s="4" t="str"/>
      <x:c r="O1286" s="4" t="str">
        <x:v>1. 来源：MainBasis/统一需求文档.md；U-views_invite-friends_share-options-006
2. 场景：SC-54ebc9707005ef</x:v>
      </x:c>
    </x:row>
    <x:row r="1287" ht="68" customHeight="1">
      <x:c r="A1287" s="4" t="n">
        <x:v>1286</x:v>
      </x:c>
      <x:c r="B1287" s="4" t="str">
        <x:v>USER-1286</x:v>
      </x:c>
      <x:c r="C1287" s="4" t="str">
        <x:v>M08 礼物、道具、任务、邀请与运营配置</x:v>
      </x:c>
      <x:c r="D1287" s="4" t="str">
        <x:v>邀请好友-选项（用户视角）</x:v>
      </x:c>
      <x:c r="E1287" s="4" t="str">
        <x:v>功能需求</x:v>
      </x:c>
      <x:c r="F1287" s="4" t="str">
        <x:v>P1</x:v>
      </x:c>
      <x:c r="G1287" s="4" t="str">
        <x:v>验证邀请分享取消</x:v>
      </x:c>
      <x:c r="H1287" s="4" t="str">
        <x:v>邀请分享取消</x:v>
      </x:c>
      <x:c r="I1287" s="4" t="str">
        <x:v>1. 已登录用户账号</x:v>
      </x:c>
      <x:c r="J1287" s="4" t="str">
        <x:v>1. 进入「邀请好友」页
2. 打开「邀请好友-选项」视图
3. 点击取消</x:v>
      </x:c>
      <x:c r="K1287" s="4" t="str">
        <x:v>分享选项关闭</x:v>
      </x:c>
      <x:c r="L1287" s="4" t="str"/>
      <x:c r="M1287" s="4" t="str">
        <x:v>未测</x:v>
      </x:c>
      <x:c r="N1287" s="4" t="str"/>
      <x:c r="O1287" s="4" t="str">
        <x:v>1. 来源：MainBasis/统一需求文档.md；U-views_invite-friends_share-options-007
2. 场景：SC-2515f9307a9c1a</x:v>
      </x:c>
    </x:row>
    <x:row r="1288" ht="68" customHeight="1">
      <x:c r="A1288" s="4" t="n">
        <x:v>1287</x:v>
      </x:c>
      <x:c r="B1288" s="4" t="str">
        <x:v>USER-1287</x:v>
      </x:c>
      <x:c r="C1288" s="4" t="str">
        <x:v>M08 礼物、道具、任务、邀请与运营配置</x:v>
      </x:c>
      <x:c r="D1288" s="4" t="str">
        <x:v>邀请好友-选项（用户视角）</x:v>
      </x:c>
      <x:c r="E1288" s="4" t="str">
        <x:v>功能需求</x:v>
      </x:c>
      <x:c r="F1288" s="4" t="str">
        <x:v>P1</x:v>
      </x:c>
      <x:c r="G1288" s="4" t="str">
        <x:v>验证邀请分享遮罩</x:v>
      </x:c>
      <x:c r="H1288" s="4" t="str">
        <x:v>邀请分享遮罩</x:v>
      </x:c>
      <x:c r="I1288" s="4" t="str">
        <x:v>1. 已登录用户账号</x:v>
      </x:c>
      <x:c r="J1288" s="4" t="str">
        <x:v>1. 进入「邀请好友」页
2. 打开「邀请好友-选项」视图
3. 点击遮罩</x:v>
      </x:c>
      <x:c r="K1288" s="4" t="str">
        <x:v>分享选项关闭</x:v>
      </x:c>
      <x:c r="L1288" s="4" t="str"/>
      <x:c r="M1288" s="4" t="str">
        <x:v>未测</x:v>
      </x:c>
      <x:c r="N1288" s="4" t="str"/>
      <x:c r="O1288" s="4" t="str">
        <x:v>1. 来源：MainBasis/统一需求文档.md；U-views_invite-friends_share-options-007
2. 场景：SC-ccf5acba25f1d8</x:v>
      </x:c>
    </x:row>
    <x:row r="1289" ht="68" customHeight="1">
      <x:c r="A1289" s="4" t="n">
        <x:v>1288</x:v>
      </x:c>
      <x:c r="B1289" s="4" t="str">
        <x:v>USER-1288</x:v>
      </x:c>
      <x:c r="C1289" s="4" t="str">
        <x:v>M08 礼物、道具、任务、邀请与运营配置</x:v>
      </x:c>
      <x:c r="D1289" s="4" t="str">
        <x:v>邀请好友-选项（用户视角）</x:v>
      </x:c>
      <x:c r="E1289" s="4" t="str">
        <x:v>功能需求</x:v>
      </x:c>
      <x:c r="F1289" s="4" t="str">
        <x:v>P1</x:v>
      </x:c>
      <x:c r="G1289" s="4" t="str">
        <x:v>验证分享本身不计邀请</x:v>
      </x:c>
      <x:c r="H1289" s="4" t="str">
        <x:v>分享本身不计邀请</x:v>
      </x:c>
      <x:c r="I1289" s="4" t="str">
        <x:v>1. 已登录用户账号
2. 当前成功邀请人数1</x:v>
      </x:c>
      <x:c r="J1289" s="4" t="str">
        <x:v>1. 进入「邀请好友」页
2. 打开「邀请好友-选项」视图
3. 点击复制链接</x:v>
      </x:c>
      <x:c r="K1289" s="4" t="str">
        <x:v>成功邀请人数仍为1</x:v>
      </x:c>
      <x:c r="L1289" s="4" t="str"/>
      <x:c r="M1289" s="4" t="str">
        <x:v>未测</x:v>
      </x:c>
      <x:c r="N1289" s="4" t="str"/>
      <x:c r="O1289" s="4" t="str">
        <x:v>1. 来源：MainBasis/统一需求文档.md；U-views_invite-friends_share-options-003
2. 场景：SC-b3b429a6d566d2</x:v>
      </x:c>
    </x:row>
    <x:row r="1290" ht="54" customHeight="1">
      <x:c r="A1290" s="4" t="n">
        <x:v>1289</x:v>
      </x:c>
      <x:c r="B1290" s="4" t="str">
        <x:v>USER-1289</x:v>
      </x:c>
      <x:c r="C1290" s="4" t="str">
        <x:v>M12 直播业绩、增长与统计报表</x:v>
      </x:c>
      <x:c r="D1290" s="4" t="str">
        <x:v>直播数据（主播视角）</x:v>
      </x:c>
      <x:c r="E1290" s="4" t="str">
        <x:v>功能需求</x:v>
      </x:c>
      <x:c r="F1290" s="4" t="str">
        <x:v>P2</x:v>
      </x:c>
      <x:c r="G1290" s="4" t="str">
        <x:v>验证开播时长回显</x:v>
      </x:c>
      <x:c r="H1290" s="4" t="str">
        <x:v>开播时长回显</x:v>
      </x:c>
      <x:c r="I1290" s="4" t="str">
        <x:v>1. 已登录主播账号
2. 所选对象存在，已记录该对象的开播时长值</x:v>
      </x:c>
      <x:c r="J1290" s="4" t="str">
        <x:v>1. 进入「直播数据」页
2. 查看开播时长回显</x:v>
      </x:c>
      <x:c r="K1290" s="4" t="str">
        <x:v>「开播时长」内容与所选对象的该项资料一致</x:v>
      </x:c>
      <x:c r="L1290" s="4" t="str"/>
      <x:c r="M1290" s="4" t="str">
        <x:v>未测</x:v>
      </x:c>
      <x:c r="N1290" s="4" t="str"/>
      <x:c r="O1290" s="4" t="str">
        <x:v>1. 来源：MainBasis/统一需求文档.md；U-live-data-004
2. 场景：SC-8efa2a2a25b54f</x:v>
      </x:c>
    </x:row>
    <x:row r="1291" ht="82" customHeight="1">
      <x:c r="A1291" s="4" t="n">
        <x:v>1290</x:v>
      </x:c>
      <x:c r="B1291" s="4" t="str">
        <x:v>USER-1290</x:v>
      </x:c>
      <x:c r="C1291" s="4" t="str">
        <x:v>M12 直播业绩、增长与统计报表</x:v>
      </x:c>
      <x:c r="D1291" s="4" t="str">
        <x:v>直播数据（主播视角）</x:v>
      </x:c>
      <x:c r="E1291" s="4" t="str">
        <x:v>逻辑校验</x:v>
      </x:c>
      <x:c r="F1291" s="4" t="str">
        <x:v>P1</x:v>
      </x:c>
      <x:c r="G1291" s="4" t="str">
        <x:v>验证用户日有效天10799秒</x:v>
      </x:c>
      <x:c r="H1291" s="4" t="str">
        <x:v>用户日有效天10799秒</x:v>
      </x:c>
      <x:c r="I1291" s="4" t="str">
        <x:v>1. 已登录主播账号
2. 当前范围仅一名主播、同一个已确定自然日
3. 该日累计有效直播时长10799秒</x:v>
      </x:c>
      <x:c r="J1291" s="4" t="str">
        <x:v>1. 进入「直播数据」页
2. 查看用户日有效天10799秒</x:v>
      </x:c>
      <x:c r="K1291" s="4" t="str">
        <x:v>用户日有效天 = 0</x:v>
      </x:c>
      <x:c r="L1291" s="4" t="str"/>
      <x:c r="M1291" s="4" t="str">
        <x:v>未测</x:v>
      </x:c>
      <x:c r="N1291" s="4" t="str"/>
      <x:c r="O1291" s="4" t="str">
        <x:v>1. 来源：MainBasis/统一需求文档.md；U-live-data-003
2. 场景：SC-1f95e6c9cb8cb2</x:v>
      </x:c>
    </x:row>
    <x:row r="1292" ht="82" customHeight="1">
      <x:c r="A1292" s="4" t="n">
        <x:v>1291</x:v>
      </x:c>
      <x:c r="B1292" s="4" t="str">
        <x:v>USER-1291</x:v>
      </x:c>
      <x:c r="C1292" s="4" t="str">
        <x:v>M12 直播业绩、增长与统计报表</x:v>
      </x:c>
      <x:c r="D1292" s="4" t="str">
        <x:v>直播数据（主播视角）</x:v>
      </x:c>
      <x:c r="E1292" s="4" t="str">
        <x:v>逻辑校验</x:v>
      </x:c>
      <x:c r="F1292" s="4" t="str">
        <x:v>P1</x:v>
      </x:c>
      <x:c r="G1292" s="4" t="str">
        <x:v>验证用户日有效天10800秒</x:v>
      </x:c>
      <x:c r="H1292" s="4" t="str">
        <x:v>用户日有效天10800秒</x:v>
      </x:c>
      <x:c r="I1292" s="4" t="str">
        <x:v>1. 已登录主播账号
2. 当前范围仅一名主播、同一个已确定自然日
3. 该日累计有效直播时长10800秒</x:v>
      </x:c>
      <x:c r="J1292" s="4" t="str">
        <x:v>1. 进入「直播数据」页
2. 查看用户日有效天10800秒</x:v>
      </x:c>
      <x:c r="K1292" s="4" t="str">
        <x:v>用户日有效天 = 1</x:v>
      </x:c>
      <x:c r="L1292" s="4" t="str"/>
      <x:c r="M1292" s="4" t="str">
        <x:v>未测</x:v>
      </x:c>
      <x:c r="N1292" s="4" t="str"/>
      <x:c r="O1292" s="4" t="str">
        <x:v>1. 来源：MainBasis/统一需求文档.md；U-live-data-003
2. 场景：SC-1453792b1a25db</x:v>
      </x:c>
    </x:row>
    <x:row r="1293" ht="82" customHeight="1">
      <x:c r="A1293" s="4" t="n">
        <x:v>1292</x:v>
      </x:c>
      <x:c r="B1293" s="4" t="str">
        <x:v>USER-1292</x:v>
      </x:c>
      <x:c r="C1293" s="4" t="str">
        <x:v>M12 直播业绩、增长与统计报表</x:v>
      </x:c>
      <x:c r="D1293" s="4" t="str">
        <x:v>直播数据（主播视角）</x:v>
      </x:c>
      <x:c r="E1293" s="4" t="str">
        <x:v>逻辑校验</x:v>
      </x:c>
      <x:c r="F1293" s="4" t="str">
        <x:v>P1</x:v>
      </x:c>
      <x:c r="G1293" s="4" t="str">
        <x:v>验证用户日有效天10801秒</x:v>
      </x:c>
      <x:c r="H1293" s="4" t="str">
        <x:v>用户日有效天10801秒</x:v>
      </x:c>
      <x:c r="I1293" s="4" t="str">
        <x:v>1. 已登录主播账号
2. 当前范围仅一名主播、同一个已确定自然日
3. 该日累计有效直播时长10801秒</x:v>
      </x:c>
      <x:c r="J1293" s="4" t="str">
        <x:v>1. 进入「直播数据」页
2. 查看用户日有效天10801秒</x:v>
      </x:c>
      <x:c r="K1293" s="4" t="str">
        <x:v>用户日有效天 = 1</x:v>
      </x:c>
      <x:c r="L1293" s="4" t="str"/>
      <x:c r="M1293" s="4" t="str">
        <x:v>未测</x:v>
      </x:c>
      <x:c r="N1293" s="4" t="str"/>
      <x:c r="O1293" s="4" t="str">
        <x:v>1. 来源：MainBasis/统一需求文档.md；U-live-data-003
2. 场景：SC-3a65c7b4644968</x:v>
      </x:c>
    </x:row>
    <x:row r="1294" ht="82" customHeight="1">
      <x:c r="A1294" s="4" t="n">
        <x:v>1293</x:v>
      </x:c>
      <x:c r="B1294" s="4" t="str">
        <x:v>USER-1293</x:v>
      </x:c>
      <x:c r="C1294" s="4" t="str">
        <x:v>M12 直播业绩、增长与统计报表</x:v>
      </x:c>
      <x:c r="D1294" s="4" t="str">
        <x:v>直播数据（主播视角）</x:v>
      </x:c>
      <x:c r="E1294" s="4" t="str">
        <x:v>逻辑校验</x:v>
      </x:c>
      <x:c r="F1294" s="4" t="str">
        <x:v>P1</x:v>
      </x:c>
      <x:c r="G1294" s="4" t="str">
        <x:v>验证用户日有效天21600秒</x:v>
      </x:c>
      <x:c r="H1294" s="4" t="str">
        <x:v>用户日有效天21600秒</x:v>
      </x:c>
      <x:c r="I1294" s="4" t="str">
        <x:v>1. 已登录主播账号
2. 当前范围仅一名主播、同一个已确定自然日
3. 该日累计有效直播时长21600秒</x:v>
      </x:c>
      <x:c r="J1294" s="4" t="str">
        <x:v>1. 进入「直播数据」页
2. 查看用户日有效天21600秒</x:v>
      </x:c>
      <x:c r="K1294" s="4" t="str">
        <x:v>用户日有效天 = 1</x:v>
      </x:c>
      <x:c r="L1294" s="4" t="str"/>
      <x:c r="M1294" s="4" t="str">
        <x:v>未测</x:v>
      </x:c>
      <x:c r="N1294" s="4" t="str"/>
      <x:c r="O1294" s="4" t="str">
        <x:v>1. 来源：MainBasis/统一需求文档.md；U-live-data-003
2. 场景：SC-970693aabd4bb0</x:v>
      </x:c>
    </x:row>
    <x:row r="1295" ht="82" customHeight="1">
      <x:c r="A1295" s="4" t="n">
        <x:v>1294</x:v>
      </x:c>
      <x:c r="B1295" s="4" t="str">
        <x:v>USER-1294</x:v>
      </x:c>
      <x:c r="C1295" s="4" t="str">
        <x:v>M12 直播业绩、增长与统计报表</x:v>
      </x:c>
      <x:c r="D1295" s="4" t="str">
        <x:v>直播数据（主播视角）</x:v>
      </x:c>
      <x:c r="E1295" s="4" t="str">
        <x:v>逻辑校验</x:v>
      </x:c>
      <x:c r="F1295" s="4" t="str">
        <x:v>P1</x:v>
      </x:c>
      <x:c r="G1295" s="4" t="str">
        <x:v>验证主播直播数据收益区分幸运赠礼</x:v>
      </x:c>
      <x:c r="H1295" s="4" t="str">
        <x:v>主播直播数据收益区分幸运赠礼</x:v>
      </x:c>
      <x:c r="I1295" s="4" t="str">
        <x:v>1. 已登录主播账号
2. 范围内普通礼物100、定制礼物200、幸运礼物1000且赠送时比例1%，返奖900
3. 另有门票50</x:v>
      </x:c>
      <x:c r="J1295" s="4" t="str">
        <x:v>1. 进入「直播数据」页
2. 查看主播直播数据收益区分幸运赠礼</x:v>
      </x:c>
      <x:c r="K1295" s="4" t="str">
        <x:v>主播直播数据收益 = 100 + 200 + 1000 × 1% + 50 = 360金币</x:v>
      </x:c>
      <x:c r="L1295" s="4" t="str"/>
      <x:c r="M1295" s="4" t="str">
        <x:v>未测</x:v>
      </x:c>
      <x:c r="N1295" s="4" t="str"/>
      <x:c r="O1295" s="4" t="str">
        <x:v>1. 来源：MainBasis/统一需求文档.md；U-live-data-002、U-income-sharing-005
2. 场景：SC-995a993922f082</x:v>
      </x:c>
    </x:row>
    <x:row r="1296" ht="54" customHeight="1">
      <x:c r="A1296" s="4" t="n">
        <x:v>1295</x:v>
      </x:c>
      <x:c r="B1296" s="4" t="str">
        <x:v>USER-1295</x:v>
      </x:c>
      <x:c r="C1296" s="4" t="str">
        <x:v>M12 直播业绩、增长与统计报表</x:v>
      </x:c>
      <x:c r="D1296" s="4" t="str">
        <x:v>直播数据（主播视角）</x:v>
      </x:c>
      <x:c r="E1296" s="4" t="str">
        <x:v>逻辑校验</x:v>
      </x:c>
      <x:c r="F1296" s="4" t="str">
        <x:v>P1</x:v>
      </x:c>
      <x:c r="G1296" s="4" t="str">
        <x:v>验证主播直播数据收益排除虚拟和失败</x:v>
      </x:c>
      <x:c r="H1296" s="4" t="str">
        <x:v>主播直播数据收益排除虚拟和失败</x:v>
      </x:c>
      <x:c r="I1296" s="4" t="str">
        <x:v>1. 已登录主播账号
2. 范围内真实成功普通礼物100，另有虚拟礼物100、失败礼物50</x:v>
      </x:c>
      <x:c r="J1296" s="4" t="str">
        <x:v>1. 进入「直播数据」页
2. 查看主播直播数据收益排除虚拟和失败</x:v>
      </x:c>
      <x:c r="K1296" s="4" t="str">
        <x:v>主播直播数据收益 = 100金币</x:v>
      </x:c>
      <x:c r="L1296" s="4" t="str"/>
      <x:c r="M1296" s="4" t="str">
        <x:v>未测</x:v>
      </x:c>
      <x:c r="N1296" s="4" t="str"/>
      <x:c r="O1296" s="4" t="str">
        <x:v>1. 来源：MainBasis/统一需求文档.md；U-live-data-002、U-income-sharing-005
2. 场景：SC-d48f8f473ba3cf</x:v>
      </x:c>
    </x:row>
    <x:row r="1297" ht="54" customHeight="1">
      <x:c r="A1297" s="4" t="n">
        <x:v>1296</x:v>
      </x:c>
      <x:c r="B1297" s="4" t="str">
        <x:v>USER-1296</x:v>
      </x:c>
      <x:c r="C1297" s="4" t="str">
        <x:v>M12 直播业绩、增长与统计报表</x:v>
      </x:c>
      <x:c r="D1297" s="4" t="str">
        <x:v>直播数据（主播视角）</x:v>
      </x:c>
      <x:c r="E1297" s="4" t="str">
        <x:v>功能需求</x:v>
      </x:c>
      <x:c r="F1297" s="4" t="str">
        <x:v>P1</x:v>
      </x:c>
      <x:c r="G1297" s="4" t="str">
        <x:v>验证用户观众人次重复进入累计</x:v>
      </x:c>
      <x:c r="H1297" s="4" t="str">
        <x:v>用户观众人次重复进入累计</x:v>
      </x:c>
      <x:c r="I1297" s="4" t="str">
        <x:v>1. 已登录主播账号
2. 同一场用户甲进入2次，乙进入1次</x:v>
      </x:c>
      <x:c r="J1297" s="4" t="str">
        <x:v>1. 进入「直播数据」页
2. 查看用户观众人次重复进入累计</x:v>
      </x:c>
      <x:c r="K1297" s="4" t="str">
        <x:v>观众人次为3</x:v>
      </x:c>
      <x:c r="L1297" s="4" t="str"/>
      <x:c r="M1297" s="4" t="str">
        <x:v>未测</x:v>
      </x:c>
      <x:c r="N1297" s="4" t="str"/>
      <x:c r="O1297" s="4" t="str">
        <x:v>1. 来源：MainBasis/统一需求文档.md；U-live-data-005
2. 场景：SC-3feba4587ea49c</x:v>
      </x:c>
    </x:row>
    <x:row r="1298" ht="54" customHeight="1">
      <x:c r="A1298" s="4" t="n">
        <x:v>1297</x:v>
      </x:c>
      <x:c r="B1298" s="4" t="str">
        <x:v>USER-1297</x:v>
      </x:c>
      <x:c r="C1298" s="4" t="str">
        <x:v>M12 直播业绩、增长与统计报表</x:v>
      </x:c>
      <x:c r="D1298" s="4" t="str">
        <x:v>直播数据（主播视角）</x:v>
      </x:c>
      <x:c r="E1298" s="4" t="str">
        <x:v>功能需求</x:v>
      </x:c>
      <x:c r="F1298" s="4" t="str">
        <x:v>P1</x:v>
      </x:c>
      <x:c r="G1298" s="4" t="str">
        <x:v>验证数据进入记录保留日期</x:v>
      </x:c>
      <x:c r="H1298" s="4" t="str">
        <x:v>数据进入记录保留日期</x:v>
      </x:c>
      <x:c r="I1298" s="4" t="str">
        <x:v>1. 已登录主播账号
2. 直播数据已选本月</x:v>
      </x:c>
      <x:c r="J1298" s="4" t="str">
        <x:v>1. 进入「直播数据」页
2. 进入直播记录</x:v>
      </x:c>
      <x:c r="K1298" s="4" t="str">
        <x:v>记录页沿用本月日期范围</x:v>
      </x:c>
      <x:c r="L1298" s="4" t="str"/>
      <x:c r="M1298" s="4" t="str">
        <x:v>未测</x:v>
      </x:c>
      <x:c r="N1298" s="4" t="str"/>
      <x:c r="O1298" s="4" t="str">
        <x:v>1. 来源：MainBasis/统一需求文档.md；U-live-data-009
2. 场景：SC-c1cf5dcbe65923</x:v>
      </x:c>
    </x:row>
    <x:row r="1299" ht="54" customHeight="1">
      <x:c r="A1299" s="4" t="n">
        <x:v>1298</x:v>
      </x:c>
      <x:c r="B1299" s="4" t="str">
        <x:v>USER-1298</x:v>
      </x:c>
      <x:c r="C1299" s="4" t="str">
        <x:v>M12 直播业绩、增长与统计报表</x:v>
      </x:c>
      <x:c r="D1299" s="4" t="str">
        <x:v>月数据（主播视角）</x:v>
      </x:c>
      <x:c r="E1299" s="4" t="str">
        <x:v>功能需求</x:v>
      </x:c>
      <x:c r="F1299" s="4" t="str">
        <x:v>P2</x:v>
      </x:c>
      <x:c r="G1299" s="4" t="str">
        <x:v>验证观众人次回显</x:v>
      </x:c>
      <x:c r="H1299" s="4" t="str">
        <x:v>观众人次回显</x:v>
      </x:c>
      <x:c r="I1299" s="4" t="str">
        <x:v>1. 已登录主播账号
2. 所选对象存在，已记录该对象的观众人次值</x:v>
      </x:c>
      <x:c r="J1299" s="4" t="str">
        <x:v>1. 进入「直播数据」页
2. 打开「月数据」视图
3. 查看观众人次回显</x:v>
      </x:c>
      <x:c r="K1299" s="4" t="str">
        <x:v>「观众人次」内容与所选对象的该项资料一致</x:v>
      </x:c>
      <x:c r="L1299" s="4" t="str"/>
      <x:c r="M1299" s="4" t="str">
        <x:v>未测</x:v>
      </x:c>
      <x:c r="N1299" s="4" t="str"/>
      <x:c r="O1299" s="4" t="str">
        <x:v>1. 来源：MainBasis/统一需求文档.md；U-views_live-data_month-006
2. 场景：SC-27458f4c844c53</x:v>
      </x:c>
    </x:row>
    <x:row r="1300" ht="54" customHeight="1">
      <x:c r="A1300" s="4" t="n">
        <x:v>1299</x:v>
      </x:c>
      <x:c r="B1300" s="4" t="str">
        <x:v>USER-1299</x:v>
      </x:c>
      <x:c r="C1300" s="4" t="str">
        <x:v>M12 直播业绩、增长与统计报表</x:v>
      </x:c>
      <x:c r="D1300" s="4" t="str">
        <x:v>月数据（主播视角）</x:v>
      </x:c>
      <x:c r="E1300" s="4" t="str">
        <x:v>功能需求</x:v>
      </x:c>
      <x:c r="F1300" s="4" t="str">
        <x:v>P2</x:v>
      </x:c>
      <x:c r="G1300" s="4" t="str">
        <x:v>验证新增粉丝/送礼人数回显</x:v>
      </x:c>
      <x:c r="H1300" s="4" t="str">
        <x:v>新增粉丝/送礼人数回显</x:v>
      </x:c>
      <x:c r="I1300" s="4" t="str">
        <x:v>1. 已登录主播账号
2. 所选对象存在，已记录该对象的新增粉丝/送礼人数值</x:v>
      </x:c>
      <x:c r="J1300" s="4" t="str">
        <x:v>1. 进入「直播数据」页
2. 打开「月数据」视图
3. 查看新增粉丝/送礼人数回显</x:v>
      </x:c>
      <x:c r="K1300" s="4" t="str">
        <x:v>「新增粉丝/送礼人数」内容与所选对象的该项资料一致</x:v>
      </x:c>
      <x:c r="L1300" s="4" t="str"/>
      <x:c r="M1300" s="4" t="str">
        <x:v>未测</x:v>
      </x:c>
      <x:c r="N1300" s="4" t="str"/>
      <x:c r="O1300" s="4" t="str">
        <x:v>1. 来源：MainBasis/统一需求文档.md；U-views_live-data_month-007
2. 场景：SC-06b06abbd724dd</x:v>
      </x:c>
    </x:row>
    <x:row r="1301" ht="82" customHeight="1">
      <x:c r="A1301" s="4" t="n">
        <x:v>1300</x:v>
      </x:c>
      <x:c r="B1301" s="4" t="str">
        <x:v>USER-1300</x:v>
      </x:c>
      <x:c r="C1301" s="4" t="str">
        <x:v>M12 直播业绩、增长与统计报表</x:v>
      </x:c>
      <x:c r="D1301" s="4" t="str">
        <x:v>月数据（主播视角）</x:v>
      </x:c>
      <x:c r="E1301" s="4" t="str">
        <x:v>逻辑校验</x:v>
      </x:c>
      <x:c r="F1301" s="4" t="str">
        <x:v>P1</x:v>
      </x:c>
      <x:c r="G1301" s="4" t="str">
        <x:v>验证用户月有效天10799秒</x:v>
      </x:c>
      <x:c r="H1301" s="4" t="str">
        <x:v>用户月有效天10799秒</x:v>
      </x:c>
      <x:c r="I1301" s="4" t="str">
        <x:v>1. 已登录主播账号
2. 当前范围仅一名主播、同一个已确定自然日
3. 该日累计有效直播时长10799秒</x:v>
      </x:c>
      <x:c r="J1301" s="4" t="str">
        <x:v>1. 进入「直播数据」页
2. 打开「月数据」视图
3. 查看用户月有效天10799秒</x:v>
      </x:c>
      <x:c r="K1301" s="4" t="str">
        <x:v>用户月有效天 = 0</x:v>
      </x:c>
      <x:c r="L1301" s="4" t="str"/>
      <x:c r="M1301" s="4" t="str">
        <x:v>未测</x:v>
      </x:c>
      <x:c r="N1301" s="4" t="str"/>
      <x:c r="O1301" s="4" t="str">
        <x:v>1. 来源：MainBasis/统一需求文档.md；U-views_live-data_month-004
2. 场景：SC-9716685cc269fd</x:v>
      </x:c>
    </x:row>
    <x:row r="1302" ht="82" customHeight="1">
      <x:c r="A1302" s="4" t="n">
        <x:v>1301</x:v>
      </x:c>
      <x:c r="B1302" s="4" t="str">
        <x:v>USER-1301</x:v>
      </x:c>
      <x:c r="C1302" s="4" t="str">
        <x:v>M12 直播业绩、增长与统计报表</x:v>
      </x:c>
      <x:c r="D1302" s="4" t="str">
        <x:v>月数据（主播视角）</x:v>
      </x:c>
      <x:c r="E1302" s="4" t="str">
        <x:v>逻辑校验</x:v>
      </x:c>
      <x:c r="F1302" s="4" t="str">
        <x:v>P1</x:v>
      </x:c>
      <x:c r="G1302" s="4" t="str">
        <x:v>验证用户月有效天10800秒</x:v>
      </x:c>
      <x:c r="H1302" s="4" t="str">
        <x:v>用户月有效天10800秒</x:v>
      </x:c>
      <x:c r="I1302" s="4" t="str">
        <x:v>1. 已登录主播账号
2. 当前范围仅一名主播、同一个已确定自然日
3. 该日累计有效直播时长10800秒</x:v>
      </x:c>
      <x:c r="J1302" s="4" t="str">
        <x:v>1. 进入「直播数据」页
2. 打开「月数据」视图
3. 查看用户月有效天10800秒</x:v>
      </x:c>
      <x:c r="K1302" s="4" t="str">
        <x:v>用户月有效天 = 1</x:v>
      </x:c>
      <x:c r="L1302" s="4" t="str"/>
      <x:c r="M1302" s="4" t="str">
        <x:v>未测</x:v>
      </x:c>
      <x:c r="N1302" s="4" t="str"/>
      <x:c r="O1302" s="4" t="str">
        <x:v>1. 来源：MainBasis/统一需求文档.md；U-views_live-data_month-004
2. 场景：SC-d46afc8a563536</x:v>
      </x:c>
    </x:row>
    <x:row r="1303" ht="82" customHeight="1">
      <x:c r="A1303" s="4" t="n">
        <x:v>1302</x:v>
      </x:c>
      <x:c r="B1303" s="4" t="str">
        <x:v>USER-1302</x:v>
      </x:c>
      <x:c r="C1303" s="4" t="str">
        <x:v>M12 直播业绩、增长与统计报表</x:v>
      </x:c>
      <x:c r="D1303" s="4" t="str">
        <x:v>月数据（主播视角）</x:v>
      </x:c>
      <x:c r="E1303" s="4" t="str">
        <x:v>逻辑校验</x:v>
      </x:c>
      <x:c r="F1303" s="4" t="str">
        <x:v>P1</x:v>
      </x:c>
      <x:c r="G1303" s="4" t="str">
        <x:v>验证用户月有效天10801秒</x:v>
      </x:c>
      <x:c r="H1303" s="4" t="str">
        <x:v>用户月有效天10801秒</x:v>
      </x:c>
      <x:c r="I1303" s="4" t="str">
        <x:v>1. 已登录主播账号
2. 当前范围仅一名主播、同一个已确定自然日
3. 该日累计有效直播时长10801秒</x:v>
      </x:c>
      <x:c r="J1303" s="4" t="str">
        <x:v>1. 进入「直播数据」页
2. 打开「月数据」视图
3. 查看用户月有效天10801秒</x:v>
      </x:c>
      <x:c r="K1303" s="4" t="str">
        <x:v>用户月有效天 = 1</x:v>
      </x:c>
      <x:c r="L1303" s="4" t="str"/>
      <x:c r="M1303" s="4" t="str">
        <x:v>未测</x:v>
      </x:c>
      <x:c r="N1303" s="4" t="str"/>
      <x:c r="O1303" s="4" t="str">
        <x:v>1. 来源：MainBasis/统一需求文档.md；U-views_live-data_month-004
2. 场景：SC-65c4b0f339283b</x:v>
      </x:c>
    </x:row>
    <x:row r="1304" ht="82" customHeight="1">
      <x:c r="A1304" s="4" t="n">
        <x:v>1303</x:v>
      </x:c>
      <x:c r="B1304" s="4" t="str">
        <x:v>USER-1303</x:v>
      </x:c>
      <x:c r="C1304" s="4" t="str">
        <x:v>M12 直播业绩、增长与统计报表</x:v>
      </x:c>
      <x:c r="D1304" s="4" t="str">
        <x:v>月数据（主播视角）</x:v>
      </x:c>
      <x:c r="E1304" s="4" t="str">
        <x:v>逻辑校验</x:v>
      </x:c>
      <x:c r="F1304" s="4" t="str">
        <x:v>P1</x:v>
      </x:c>
      <x:c r="G1304" s="4" t="str">
        <x:v>验证用户月有效天21600秒</x:v>
      </x:c>
      <x:c r="H1304" s="4" t="str">
        <x:v>用户月有效天21600秒</x:v>
      </x:c>
      <x:c r="I1304" s="4" t="str">
        <x:v>1. 已登录主播账号
2. 当前范围仅一名主播、同一个已确定自然日
3. 该日累计有效直播时长21600秒</x:v>
      </x:c>
      <x:c r="J1304" s="4" t="str">
        <x:v>1. 进入「直播数据」页
2. 打开「月数据」视图
3. 查看用户月有效天21600秒</x:v>
      </x:c>
      <x:c r="K1304" s="4" t="str">
        <x:v>用户月有效天 = 1</x:v>
      </x:c>
      <x:c r="L1304" s="4" t="str"/>
      <x:c r="M1304" s="4" t="str">
        <x:v>未测</x:v>
      </x:c>
      <x:c r="N1304" s="4" t="str"/>
      <x:c r="O1304" s="4" t="str">
        <x:v>1. 来源：MainBasis/统一需求文档.md；U-views_live-data_month-004
2. 场景：SC-b72857b5de8a3b</x:v>
      </x:c>
    </x:row>
    <x:row r="1305" ht="82" customHeight="1">
      <x:c r="A1305" s="4" t="n">
        <x:v>1304</x:v>
      </x:c>
      <x:c r="B1305" s="4" t="str">
        <x:v>USER-1304</x:v>
      </x:c>
      <x:c r="C1305" s="4" t="str">
        <x:v>M12 直播业绩、增长与统计报表</x:v>
      </x:c>
      <x:c r="D1305" s="4" t="str">
        <x:v>月数据（主播视角）</x:v>
      </x:c>
      <x:c r="E1305" s="4" t="str">
        <x:v>逻辑校验</x:v>
      </x:c>
      <x:c r="F1305" s="4" t="str">
        <x:v>P1</x:v>
      </x:c>
      <x:c r="G1305" s="4" t="str">
        <x:v>验证用户月收益区分幸运赠礼</x:v>
      </x:c>
      <x:c r="H1305" s="4" t="str">
        <x:v>用户月收益区分幸运赠礼</x:v>
      </x:c>
      <x:c r="I1305" s="4" t="str">
        <x:v>1. 已登录主播账号
2. 范围内普通礼物100、定制礼物200、幸运礼物1000且赠送时比例1%，返奖900
3. 另有门票50</x:v>
      </x:c>
      <x:c r="J1305" s="4" t="str">
        <x:v>1. 进入「直播数据」页
2. 打开「月数据」视图
3. 查看用户月收益区分幸运赠礼</x:v>
      </x:c>
      <x:c r="K1305" s="4" t="str">
        <x:v>用户月收益 = 100 + 200 + 1000 × 1% + 50 = 360金币</x:v>
      </x:c>
      <x:c r="L1305" s="4" t="str"/>
      <x:c r="M1305" s="4" t="str">
        <x:v>未测</x:v>
      </x:c>
      <x:c r="N1305" s="4" t="str"/>
      <x:c r="O1305" s="4" t="str">
        <x:v>1. 来源：MainBasis/统一需求文档.md；U-views_live-data_month-003
2. 场景：SC-a891384ad7ecf7</x:v>
      </x:c>
    </x:row>
    <x:row r="1306" ht="54" customHeight="1">
      <x:c r="A1306" s="4" t="n">
        <x:v>1305</x:v>
      </x:c>
      <x:c r="B1306" s="4" t="str">
        <x:v>USER-1305</x:v>
      </x:c>
      <x:c r="C1306" s="4" t="str">
        <x:v>M12 直播业绩、增长与统计报表</x:v>
      </x:c>
      <x:c r="D1306" s="4" t="str">
        <x:v>月数据（主播视角）</x:v>
      </x:c>
      <x:c r="E1306" s="4" t="str">
        <x:v>逻辑校验</x:v>
      </x:c>
      <x:c r="F1306" s="4" t="str">
        <x:v>P1</x:v>
      </x:c>
      <x:c r="G1306" s="4" t="str">
        <x:v>验证用户月收益排除虚拟和失败</x:v>
      </x:c>
      <x:c r="H1306" s="4" t="str">
        <x:v>用户月收益排除虚拟和失败</x:v>
      </x:c>
      <x:c r="I1306" s="4" t="str">
        <x:v>1. 已登录主播账号
2. 范围内真实成功普通礼物100，另有虚拟礼物100、失败礼物50</x:v>
      </x:c>
      <x:c r="J1306" s="4" t="str">
        <x:v>1. 进入「直播数据」页
2. 打开「月数据」视图
3. 查看用户月收益排除虚拟和失败</x:v>
      </x:c>
      <x:c r="K1306" s="4" t="str">
        <x:v>用户月收益 = 100金币</x:v>
      </x:c>
      <x:c r="L1306" s="4" t="str"/>
      <x:c r="M1306" s="4" t="str">
        <x:v>未测</x:v>
      </x:c>
      <x:c r="N1306" s="4" t="str"/>
      <x:c r="O1306" s="4" t="str">
        <x:v>1. 来源：MainBasis/统一需求文档.md；U-views_live-data_month-003
2. 场景：SC-f99f658bb820d2</x:v>
      </x:c>
    </x:row>
    <x:row r="1307" ht="54" customHeight="1">
      <x:c r="A1307" s="4" t="n">
        <x:v>1306</x:v>
      </x:c>
      <x:c r="B1307" s="4" t="str">
        <x:v>USER-1306</x:v>
      </x:c>
      <x:c r="C1307" s="4" t="str">
        <x:v>M12 直播业绩、增长与统计报表</x:v>
      </x:c>
      <x:c r="D1307" s="4" t="str">
        <x:v>月数据（主播视角）</x:v>
      </x:c>
      <x:c r="E1307" s="4" t="str">
        <x:v>功能需求</x:v>
      </x:c>
      <x:c r="F1307" s="4" t="str">
        <x:v>P1</x:v>
      </x:c>
      <x:c r="G1307" s="4" t="str">
        <x:v>验证月数据默认当前自然月</x:v>
      </x:c>
      <x:c r="H1307" s="4" t="str">
        <x:v>月数据默认当前自然月</x:v>
      </x:c>
      <x:c r="I1307" s="4" t="str">
        <x:v>1. 已登录主播账号</x:v>
      </x:c>
      <x:c r="J1307" s="4" t="str">
        <x:v>1. 进入「直播数据」页
2. 打开「月数据」视图
3. 查看月数据默认当前自然月</x:v>
      </x:c>
      <x:c r="K1307" s="4" t="str">
        <x:v>默认选择当前自然月</x:v>
      </x:c>
      <x:c r="L1307" s="4" t="str"/>
      <x:c r="M1307" s="4" t="str">
        <x:v>未测</x:v>
      </x:c>
      <x:c r="N1307" s="4" t="str"/>
      <x:c r="O1307" s="4" t="str">
        <x:v>1. 来源：MainBasis/统一需求文档.md；U-views_live-data_month-002
2. 场景：SC-a327f43e6e8b82</x:v>
      </x:c>
    </x:row>
    <x:row r="1308" ht="54" customHeight="1">
      <x:c r="A1308" s="4" t="n">
        <x:v>1307</x:v>
      </x:c>
      <x:c r="B1308" s="4" t="str">
        <x:v>USER-1307</x:v>
      </x:c>
      <x:c r="C1308" s="4" t="str">
        <x:v>M12 直播业绩、增长与统计报表</x:v>
      </x:c>
      <x:c r="D1308" s="4" t="str">
        <x:v>月数据（主播视角）</x:v>
      </x:c>
      <x:c r="E1308" s="4" t="str">
        <x:v>功能需求</x:v>
      </x:c>
      <x:c r="F1308" s="4" t="str">
        <x:v>P1</x:v>
      </x:c>
      <x:c r="G1308" s="4" t="str">
        <x:v>验证切换无数据月份清零</x:v>
      </x:c>
      <x:c r="H1308" s="4" t="str">
        <x:v>切换无数据月份清零</x:v>
      </x:c>
      <x:c r="I1308" s="4" t="str">
        <x:v>1. 已登录主播账号
2. 原月份各项数据非0，目标月份无数据</x:v>
      </x:c>
      <x:c r="J1308" s="4" t="str">
        <x:v>1. 进入「直播数据」页
2. 打开「月数据」视图
3. 选择目标无数据月份</x:v>
      </x:c>
      <x:c r="K1308" s="4" t="str">
        <x:v>全部指标为0，不残留原月数据</x:v>
      </x:c>
      <x:c r="L1308" s="4" t="str"/>
      <x:c r="M1308" s="4" t="str">
        <x:v>未测</x:v>
      </x:c>
      <x:c r="N1308" s="4" t="str"/>
      <x:c r="O1308" s="4" t="str">
        <x:v>1. 来源：MainBasis/统一需求文档.md；U-views_live-data_month-010
2. 场景：SC-0c583f73980fd1</x:v>
      </x:c>
    </x:row>
    <x:row r="1309" ht="54" customHeight="1">
      <x:c r="A1309" s="4" t="n">
        <x:v>1308</x:v>
      </x:c>
      <x:c r="B1309" s="4" t="str">
        <x:v>USER-1308</x:v>
      </x:c>
      <x:c r="C1309" s="4" t="str">
        <x:v>M12 直播业绩、增长与统计报表</x:v>
      </x:c>
      <x:c r="D1309" s="4" t="str">
        <x:v>月数据（主播视角）</x:v>
      </x:c>
      <x:c r="E1309" s="4" t="str">
        <x:v>功能需求</x:v>
      </x:c>
      <x:c r="F1309" s="4" t="str">
        <x:v>P1</x:v>
      </x:c>
      <x:c r="G1309" s="4" t="str">
        <x:v>验证月时长包含实时场次</x:v>
      </x:c>
      <x:c r="H1309" s="4" t="str">
        <x:v>月时长包含实时场次</x:v>
      </x:c>
      <x:c r="I1309" s="4" t="str">
        <x:v>1. 已登录主播账号
2. 本月已结束场次60分钟、进行中场次当前30分钟</x:v>
      </x:c>
      <x:c r="J1309" s="4" t="str">
        <x:v>1. 进入「直播数据」页
2. 打开「月数据」视图
3. 查看月时长包含实时场次</x:v>
      </x:c>
      <x:c r="K1309" s="4" t="str">
        <x:v>月开播时长90分钟</x:v>
      </x:c>
      <x:c r="L1309" s="4" t="str"/>
      <x:c r="M1309" s="4" t="str">
        <x:v>未测</x:v>
      </x:c>
      <x:c r="N1309" s="4" t="str"/>
      <x:c r="O1309" s="4" t="str">
        <x:v>1. 来源：MainBasis/统一需求文档.md；U-views_live-data_month-005
2. 场景：SC-119577c3a71945</x:v>
      </x:c>
    </x:row>
    <x:row r="1310" ht="54" customHeight="1">
      <x:c r="A1310" s="4" t="n">
        <x:v>1309</x:v>
      </x:c>
      <x:c r="B1310" s="4" t="str">
        <x:v>USER-1309</x:v>
      </x:c>
      <x:c r="C1310" s="4" t="str">
        <x:v>M12 直播业绩、增长与统计报表</x:v>
      </x:c>
      <x:c r="D1310" s="4" t="str">
        <x:v>直播记录（主播视角）</x:v>
      </x:c>
      <x:c r="E1310" s="4" t="str">
        <x:v>功能需求</x:v>
      </x:c>
      <x:c r="F1310" s="4" t="str">
        <x:v>P2</x:v>
      </x:c>
      <x:c r="G1310" s="4" t="str">
        <x:v>验证直播场次回显</x:v>
      </x:c>
      <x:c r="H1310" s="4" t="str">
        <x:v>直播场次回显</x:v>
      </x:c>
      <x:c r="I1310" s="4" t="str">
        <x:v>1. 已登录主播账号
2. 所选对象存在，已记录该对象的直播场次值</x:v>
      </x:c>
      <x:c r="J1310" s="4" t="str">
        <x:v>1. 进入「直播记录」页
2. 查看直播场次回显</x:v>
      </x:c>
      <x:c r="K1310" s="4" t="str">
        <x:v>「直播场次」内容与所选对象的该项资料一致</x:v>
      </x:c>
      <x:c r="L1310" s="4" t="str"/>
      <x:c r="M1310" s="4" t="str">
        <x:v>未测</x:v>
      </x:c>
      <x:c r="N1310" s="4" t="str"/>
      <x:c r="O1310" s="4" t="str">
        <x:v>1. 来源：MainBasis/统一需求文档.md；U-live-records-002
2. 场景：SC-ddb59579b49d45</x:v>
      </x:c>
    </x:row>
    <x:row r="1311" ht="54" customHeight="1">
      <x:c r="A1311" s="4" t="n">
        <x:v>1310</x:v>
      </x:c>
      <x:c r="B1311" s="4" t="str">
        <x:v>USER-1310</x:v>
      </x:c>
      <x:c r="C1311" s="4" t="str">
        <x:v>M12 直播业绩、增长与统计报表</x:v>
      </x:c>
      <x:c r="D1311" s="4" t="str">
        <x:v>直播记录（主播视角）</x:v>
      </x:c>
      <x:c r="E1311" s="4" t="str">
        <x:v>功能需求</x:v>
      </x:c>
      <x:c r="F1311" s="4" t="str">
        <x:v>P2</x:v>
      </x:c>
      <x:c r="G1311" s="4" t="str">
        <x:v>验证时长回显</x:v>
      </x:c>
      <x:c r="H1311" s="4" t="str">
        <x:v>时长回显</x:v>
      </x:c>
      <x:c r="I1311" s="4" t="str">
        <x:v>1. 已登录主播账号
2. 所选对象存在，已记录该对象的时长值</x:v>
      </x:c>
      <x:c r="J1311" s="4" t="str">
        <x:v>1. 进入「直播记录」页
2. 查看时长回显</x:v>
      </x:c>
      <x:c r="K1311" s="4" t="str">
        <x:v>「时长」内容与所选对象的该项资料一致</x:v>
      </x:c>
      <x:c r="L1311" s="4" t="str"/>
      <x:c r="M1311" s="4" t="str">
        <x:v>未测</x:v>
      </x:c>
      <x:c r="N1311" s="4" t="str"/>
      <x:c r="O1311" s="4" t="str">
        <x:v>1. 来源：MainBasis/统一需求文档.md；U-live-records-004
2. 场景：SC-8dedc8d4f03074</x:v>
      </x:c>
    </x:row>
    <x:row r="1312" ht="82" customHeight="1">
      <x:c r="A1312" s="4" t="n">
        <x:v>1311</x:v>
      </x:c>
      <x:c r="B1312" s="4" t="str">
        <x:v>USER-1311</x:v>
      </x:c>
      <x:c r="C1312" s="4" t="str">
        <x:v>M12 直播业绩、增长与统计报表</x:v>
      </x:c>
      <x:c r="D1312" s="4" t="str">
        <x:v>直播记录（主播视角）</x:v>
      </x:c>
      <x:c r="E1312" s="4" t="str">
        <x:v>逻辑校验</x:v>
      </x:c>
      <x:c r="F1312" s="4" t="str">
        <x:v>P1</x:v>
      </x:c>
      <x:c r="G1312" s="4" t="str">
        <x:v>验证用户场次收益汇总区分幸运赠礼</x:v>
      </x:c>
      <x:c r="H1312" s="4" t="str">
        <x:v>用户场次收益汇总区分幸运赠礼</x:v>
      </x:c>
      <x:c r="I1312" s="4" t="str">
        <x:v>1. 已登录主播账号
2. 范围内普通礼物100、定制礼物200、幸运礼物1000且赠送时比例1%，返奖900
3. 另有门票50</x:v>
      </x:c>
      <x:c r="J1312" s="4" t="str">
        <x:v>1. 进入「直播记录」页
2. 查看用户场次收益汇总区分幸运赠礼</x:v>
      </x:c>
      <x:c r="K1312" s="4" t="str">
        <x:v>用户场次收益汇总 = 100 + 200 + 1000 × 1% + 50 = 360金币</x:v>
      </x:c>
      <x:c r="L1312" s="4" t="str"/>
      <x:c r="M1312" s="4" t="str">
        <x:v>未测</x:v>
      </x:c>
      <x:c r="N1312" s="4" t="str"/>
      <x:c r="O1312" s="4" t="str">
        <x:v>1. 来源：MainBasis/统一需求文档.md；U-live-records-007
2. 场景：SC-7d1653ad9c27e1</x:v>
      </x:c>
    </x:row>
    <x:row r="1313" ht="54" customHeight="1">
      <x:c r="A1313" s="4" t="n">
        <x:v>1312</x:v>
      </x:c>
      <x:c r="B1313" s="4" t="str">
        <x:v>USER-1312</x:v>
      </x:c>
      <x:c r="C1313" s="4" t="str">
        <x:v>M12 直播业绩、增长与统计报表</x:v>
      </x:c>
      <x:c r="D1313" s="4" t="str">
        <x:v>直播记录（主播视角）</x:v>
      </x:c>
      <x:c r="E1313" s="4" t="str">
        <x:v>逻辑校验</x:v>
      </x:c>
      <x:c r="F1313" s="4" t="str">
        <x:v>P1</x:v>
      </x:c>
      <x:c r="G1313" s="4" t="str">
        <x:v>验证用户场次收益汇总排除虚拟和失败</x:v>
      </x:c>
      <x:c r="H1313" s="4" t="str">
        <x:v>用户场次收益汇总排除虚拟和失败</x:v>
      </x:c>
      <x:c r="I1313" s="4" t="str">
        <x:v>1. 已登录主播账号
2. 范围内真实成功普通礼物100，另有虚拟礼物100、失败礼物50</x:v>
      </x:c>
      <x:c r="J1313" s="4" t="str">
        <x:v>1. 进入「直播记录」页
2. 查看用户场次收益汇总排除虚拟和失败</x:v>
      </x:c>
      <x:c r="K1313" s="4" t="str">
        <x:v>用户场次收益汇总 = 100金币</x:v>
      </x:c>
      <x:c r="L1313" s="4" t="str"/>
      <x:c r="M1313" s="4" t="str">
        <x:v>未测</x:v>
      </x:c>
      <x:c r="N1313" s="4" t="str"/>
      <x:c r="O1313" s="4" t="str">
        <x:v>1. 来源：MainBasis/统一需求文档.md；U-live-records-007
2. 场景：SC-05a6c2456ceda9</x:v>
      </x:c>
    </x:row>
    <x:row r="1314" ht="54" customHeight="1">
      <x:c r="A1314" s="4" t="n">
        <x:v>1313</x:v>
      </x:c>
      <x:c r="B1314" s="4" t="str">
        <x:v>USER-1313</x:v>
      </x:c>
      <x:c r="C1314" s="4" t="str">
        <x:v>M12 直播业绩、增长与统计报表</x:v>
      </x:c>
      <x:c r="D1314" s="4" t="str">
        <x:v>直播记录（主播视角）</x:v>
      </x:c>
      <x:c r="E1314" s="4" t="str">
        <x:v>功能需求</x:v>
      </x:c>
      <x:c r="F1314" s="4" t="str">
        <x:v>P1</x:v>
      </x:c>
      <x:c r="G1314" s="4" t="str">
        <x:v>验证用户直播记录本周</x:v>
      </x:c>
      <x:c r="H1314" s="4" t="str">
        <x:v>用户直播记录本周</x:v>
      </x:c>
      <x:c r="I1314" s="4" t="str">
        <x:v>1. 已登录主播账号
2. 当前主播在范围内外均有已开始场次</x:v>
      </x:c>
      <x:c r="J1314" s="4" t="str">
        <x:v>1. 进入「直播记录」页
2. 选择本周</x:v>
      </x:c>
      <x:c r="K1314" s="4" t="str">
        <x:v>仅显示对应范围的当前主播场次</x:v>
      </x:c>
      <x:c r="L1314" s="4" t="str"/>
      <x:c r="M1314" s="4" t="str">
        <x:v>未测</x:v>
      </x:c>
      <x:c r="N1314" s="4" t="str"/>
      <x:c r="O1314" s="4" t="str">
        <x:v>1. 来源：MainBasis/统一需求文档.md；U-live-records-013
2. 场景：SC-be03f88b2fbaa3</x:v>
      </x:c>
    </x:row>
    <x:row r="1315" ht="54" customHeight="1">
      <x:c r="A1315" s="4" t="n">
        <x:v>1314</x:v>
      </x:c>
      <x:c r="B1315" s="4" t="str">
        <x:v>USER-1314</x:v>
      </x:c>
      <x:c r="C1315" s="4" t="str">
        <x:v>M12 直播业绩、增长与统计报表</x:v>
      </x:c>
      <x:c r="D1315" s="4" t="str">
        <x:v>直播记录（主播视角）</x:v>
      </x:c>
      <x:c r="E1315" s="4" t="str">
        <x:v>功能需求</x:v>
      </x:c>
      <x:c r="F1315" s="4" t="str">
        <x:v>P1</x:v>
      </x:c>
      <x:c r="G1315" s="4" t="str">
        <x:v>验证用户直播记录本月</x:v>
      </x:c>
      <x:c r="H1315" s="4" t="str">
        <x:v>用户直播记录本月</x:v>
      </x:c>
      <x:c r="I1315" s="4" t="str">
        <x:v>1. 已登录主播账号
2. 当前主播在范围内外均有已开始场次</x:v>
      </x:c>
      <x:c r="J1315" s="4" t="str">
        <x:v>1. 进入「直播记录」页
2. 选择本月</x:v>
      </x:c>
      <x:c r="K1315" s="4" t="str">
        <x:v>仅显示对应范围的当前主播场次</x:v>
      </x:c>
      <x:c r="L1315" s="4" t="str"/>
      <x:c r="M1315" s="4" t="str">
        <x:v>未测</x:v>
      </x:c>
      <x:c r="N1315" s="4" t="str"/>
      <x:c r="O1315" s="4" t="str">
        <x:v>1. 来源：MainBasis/统一需求文档.md；U-live-records-013
2. 场景：SC-0c1c45ee1a9e11</x:v>
      </x:c>
    </x:row>
    <x:row r="1316" ht="54" customHeight="1">
      <x:c r="A1316" s="4" t="n">
        <x:v>1315</x:v>
      </x:c>
      <x:c r="B1316" s="4" t="str">
        <x:v>USER-1315</x:v>
      </x:c>
      <x:c r="C1316" s="4" t="str">
        <x:v>M12 直播业绩、增长与统计报表</x:v>
      </x:c>
      <x:c r="D1316" s="4" t="str">
        <x:v>直播记录（主播视角）</x:v>
      </x:c>
      <x:c r="E1316" s="4" t="str">
        <x:v>功能需求</x:v>
      </x:c>
      <x:c r="F1316" s="4" t="str">
        <x:v>P1</x:v>
      </x:c>
      <x:c r="G1316" s="4" t="str">
        <x:v>验证用户直播记录上月</x:v>
      </x:c>
      <x:c r="H1316" s="4" t="str">
        <x:v>用户直播记录上月</x:v>
      </x:c>
      <x:c r="I1316" s="4" t="str">
        <x:v>1. 已登录主播账号
2. 当前主播在范围内外均有已开始场次</x:v>
      </x:c>
      <x:c r="J1316" s="4" t="str">
        <x:v>1. 进入「直播记录」页
2. 选择上月</x:v>
      </x:c>
      <x:c r="K1316" s="4" t="str">
        <x:v>仅显示对应范围的当前主播场次</x:v>
      </x:c>
      <x:c r="L1316" s="4" t="str"/>
      <x:c r="M1316" s="4" t="str">
        <x:v>未测</x:v>
      </x:c>
      <x:c r="N1316" s="4" t="str"/>
      <x:c r="O1316" s="4" t="str">
        <x:v>1. 来源：MainBasis/统一需求文档.md；U-live-records-013
2. 场景：SC-5b9b49d0493f82</x:v>
      </x:c>
    </x:row>
    <x:row r="1317" ht="54" customHeight="1">
      <x:c r="A1317" s="4" t="n">
        <x:v>1316</x:v>
      </x:c>
      <x:c r="B1317" s="4" t="str">
        <x:v>USER-1316</x:v>
      </x:c>
      <x:c r="C1317" s="4" t="str">
        <x:v>M12 直播业绩、增长与统计报表</x:v>
      </x:c>
      <x:c r="D1317" s="4" t="str">
        <x:v>直播记录（主播视角）</x:v>
      </x:c>
      <x:c r="E1317" s="4" t="str">
        <x:v>功能需求</x:v>
      </x:c>
      <x:c r="F1317" s="4" t="str">
        <x:v>P1</x:v>
      </x:c>
      <x:c r="G1317" s="4" t="str">
        <x:v>验证用户直播记录单日</x:v>
      </x:c>
      <x:c r="H1317" s="4" t="str">
        <x:v>用户直播记录单日</x:v>
      </x:c>
      <x:c r="I1317" s="4" t="str">
        <x:v>1. 已登录主播账号
2. 当前主播在范围内外均有已开始场次</x:v>
      </x:c>
      <x:c r="J1317" s="4" t="str">
        <x:v>1. 进入「直播记录」页
2. 选择单日</x:v>
      </x:c>
      <x:c r="K1317" s="4" t="str">
        <x:v>仅显示对应范围的当前主播场次</x:v>
      </x:c>
      <x:c r="L1317" s="4" t="str"/>
      <x:c r="M1317" s="4" t="str">
        <x:v>未测</x:v>
      </x:c>
      <x:c r="N1317" s="4" t="str"/>
      <x:c r="O1317" s="4" t="str">
        <x:v>1. 来源：MainBasis/统一需求文档.md；U-live-records-013
2. 场景：SC-45ddef8f794a88</x:v>
      </x:c>
    </x:row>
    <x:row r="1318" ht="54" customHeight="1">
      <x:c r="A1318" s="4" t="n">
        <x:v>1317</x:v>
      </x:c>
      <x:c r="B1318" s="4" t="str">
        <x:v>USER-1317</x:v>
      </x:c>
      <x:c r="C1318" s="4" t="str">
        <x:v>M12 直播业绩、增长与统计报表</x:v>
      </x:c>
      <x:c r="D1318" s="4" t="str">
        <x:v>直播记录（主播视角）</x:v>
      </x:c>
      <x:c r="E1318" s="4" t="str">
        <x:v>功能需求</x:v>
      </x:c>
      <x:c r="F1318" s="4" t="str">
        <x:v>P1</x:v>
      </x:c>
      <x:c r="G1318" s="4" t="str">
        <x:v>验证用户直播记录连续日期范围</x:v>
      </x:c>
      <x:c r="H1318" s="4" t="str">
        <x:v>用户直播记录连续日期范围</x:v>
      </x:c>
      <x:c r="I1318" s="4" t="str">
        <x:v>1. 已登录主播账号
2. 当前主播在范围内外均有已开始场次</x:v>
      </x:c>
      <x:c r="J1318" s="4" t="str">
        <x:v>1. 进入「直播记录」页
2. 选择连续日期范围</x:v>
      </x:c>
      <x:c r="K1318" s="4" t="str">
        <x:v>仅显示对应范围的当前主播场次</x:v>
      </x:c>
      <x:c r="L1318" s="4" t="str"/>
      <x:c r="M1318" s="4" t="str">
        <x:v>未测</x:v>
      </x:c>
      <x:c r="N1318" s="4" t="str"/>
      <x:c r="O1318" s="4" t="str">
        <x:v>1. 来源：MainBasis/统一需求文档.md；U-live-records-013
2. 场景：SC-c43fcae72b29b8</x:v>
      </x:c>
    </x:row>
    <x:row r="1319" ht="54" customHeight="1">
      <x:c r="A1319" s="4" t="n">
        <x:v>1318</x:v>
      </x:c>
      <x:c r="B1319" s="4" t="str">
        <x:v>USER-1318</x:v>
      </x:c>
      <x:c r="C1319" s="4" t="str">
        <x:v>M12 直播业绩、增长与统计报表</x:v>
      </x:c>
      <x:c r="D1319" s="4" t="str">
        <x:v>直播记录（主播视角）</x:v>
      </x:c>
      <x:c r="E1319" s="4" t="str">
        <x:v>功能需求</x:v>
      </x:c>
      <x:c r="F1319" s="4" t="str">
        <x:v>P1</x:v>
      </x:c>
      <x:c r="G1319" s="4" t="str">
        <x:v>验证直播记录默认近7天</x:v>
      </x:c>
      <x:c r="H1319" s="4" t="str">
        <x:v>直播记录默认近7天</x:v>
      </x:c>
      <x:c r="I1319" s="4" t="str">
        <x:v>1. 已登录主播账号</x:v>
      </x:c>
      <x:c r="J1319" s="4" t="str">
        <x:v>1. 进入「直播记录」页
2. 查看直播记录默认近7天</x:v>
      </x:c>
      <x:c r="K1319" s="4" t="str">
        <x:v>默认筛选近7天</x:v>
      </x:c>
      <x:c r="L1319" s="4" t="str"/>
      <x:c r="M1319" s="4" t="str">
        <x:v>未测</x:v>
      </x:c>
      <x:c r="N1319" s="4" t="str"/>
      <x:c r="O1319" s="4" t="str">
        <x:v>1. 来源：MainBasis/统一需求文档.md；U-live-records-011
2. 场景：SC-6f0e0656e57a8a</x:v>
      </x:c>
    </x:row>
    <x:row r="1320" ht="54" customHeight="1">
      <x:c r="A1320" s="4" t="n">
        <x:v>1319</x:v>
      </x:c>
      <x:c r="B1320" s="4" t="str">
        <x:v>USER-1319</x:v>
      </x:c>
      <x:c r="C1320" s="4" t="str">
        <x:v>M12 直播业绩、增长与统计报表</x:v>
      </x:c>
      <x:c r="D1320" s="4" t="str">
        <x:v>直播记录（主播视角）</x:v>
      </x:c>
      <x:c r="E1320" s="4" t="str">
        <x:v>功能需求</x:v>
      </x:c>
      <x:c r="F1320" s="4" t="str">
        <x:v>P1</x:v>
      </x:c>
      <x:c r="G1320" s="4" t="str">
        <x:v>验证直播记录按开播倒序</x:v>
      </x:c>
      <x:c r="H1320" s="4" t="str">
        <x:v>直播记录按开播倒序</x:v>
      </x:c>
      <x:c r="I1320" s="4" t="str">
        <x:v>1. 已登录主播账号
2. 两场直播开播时间不同</x:v>
      </x:c>
      <x:c r="J1320" s="4" t="str">
        <x:v>1. 进入「直播记录」页
2. 查看直播记录按开播倒序</x:v>
      </x:c>
      <x:c r="K1320" s="4" t="str">
        <x:v>后开播场次在前</x:v>
      </x:c>
      <x:c r="L1320" s="4" t="str"/>
      <x:c r="M1320" s="4" t="str">
        <x:v>未测</x:v>
      </x:c>
      <x:c r="N1320" s="4" t="str"/>
      <x:c r="O1320" s="4" t="str">
        <x:v>1. 来源：MainBasis/统一需求文档.md；U-live-records-012
2. 场景：SC-d7a1391dcf9191</x:v>
      </x:c>
    </x:row>
    <x:row r="1321" ht="82" customHeight="1">
      <x:c r="A1321" s="4" t="n">
        <x:v>1320</x:v>
      </x:c>
      <x:c r="B1321" s="4" t="str">
        <x:v>USER-1320</x:v>
      </x:c>
      <x:c r="C1321" s="4" t="str">
        <x:v>M12 直播业绩、增长与统计报表</x:v>
      </x:c>
      <x:c r="D1321" s="4" t="str">
        <x:v>直播记录（主播视角）</x:v>
      </x:c>
      <x:c r="E1321" s="4" t="str">
        <x:v>功能需求</x:v>
      </x:c>
      <x:c r="F1321" s="4" t="str">
        <x:v>P1</x:v>
      </x:c>
      <x:c r="G1321" s="4" t="str">
        <x:v>验证当前设置不改历史场次</x:v>
      </x:c>
      <x:c r="H1321" s="4" t="str">
        <x:v>当前设置不改历史场次</x:v>
      </x:c>
      <x:c r="I1321" s="4" t="str">
        <x:v>1. 已登录主播账号
2. 历史场次主题甲、分类唱歌，当前设置改为乙、聊天</x:v>
      </x:c>
      <x:c r="J1321" s="4" t="str">
        <x:v>1. 进入「直播记录」页
2. 查看当前设置不改历史场次</x:v>
      </x:c>
      <x:c r="K1321" s="4" t="str">
        <x:v>历史记录仍为主题甲、分类唱歌</x:v>
      </x:c>
      <x:c r="L1321" s="4" t="str"/>
      <x:c r="M1321" s="4" t="str">
        <x:v>未测</x:v>
      </x:c>
      <x:c r="N1321" s="4" t="str"/>
      <x:c r="O1321" s="4" t="str">
        <x:v>1. 来源：MainBasis/统一需求文档.md；U-live-records-006、D-SYS-073、U-views_start-live-settings_room-normal-005、U-views_start-live-settings_category-003
2. 场景：SC-20f433ae6be04f</x:v>
      </x:c>
    </x:row>
    <x:row r="1322" ht="54" customHeight="1">
      <x:c r="A1322" s="4" t="n">
        <x:v>1321</x:v>
      </x:c>
      <x:c r="B1322" s="4" t="str">
        <x:v>USER-1321</x:v>
      </x:c>
      <x:c r="C1322" s="4" t="str">
        <x:v>M12 直播业绩、增长与统计报表</x:v>
      </x:c>
      <x:c r="D1322" s="4" t="str">
        <x:v>直播记录（主播视角）</x:v>
      </x:c>
      <x:c r="E1322" s="4" t="str">
        <x:v>功能需求</x:v>
      </x:c>
      <x:c r="F1322" s="4" t="str">
        <x:v>P1</x:v>
      </x:c>
      <x:c r="G1322" s="4" t="str">
        <x:v>验证用户场次总时长汇总</x:v>
      </x:c>
      <x:c r="H1322" s="4" t="str">
        <x:v>用户场次总时长汇总</x:v>
      </x:c>
      <x:c r="I1322" s="4" t="str">
        <x:v>1. 已登录主播账号
2. 筛选内两场分别30和60分钟</x:v>
      </x:c>
      <x:c r="J1322" s="4" t="str">
        <x:v>1. 进入「直播记录」页
2. 查看用户场次总时长汇总</x:v>
      </x:c>
      <x:c r="K1322" s="4" t="str">
        <x:v>总时长90分钟，场次2</x:v>
      </x:c>
      <x:c r="L1322" s="4" t="str"/>
      <x:c r="M1322" s="4" t="str">
        <x:v>未测</x:v>
      </x:c>
      <x:c r="N1322" s="4" t="str"/>
      <x:c r="O1322" s="4" t="str">
        <x:v>1. 来源：MainBasis/统一需求文档.md；U-live-records-008
2. 场景：SC-b889b7ff467c03</x:v>
      </x:c>
    </x:row>
    <x:row r="1323" ht="54" customHeight="1">
      <x:c r="A1323" s="4" t="n">
        <x:v>1322</x:v>
      </x:c>
      <x:c r="B1323" s="4" t="str">
        <x:v>USER-1322</x:v>
      </x:c>
      <x:c r="C1323" s="4" t="str">
        <x:v>M12 直播业绩、增长与统计报表</x:v>
      </x:c>
      <x:c r="D1323" s="4" t="str">
        <x:v>直播记录（主播视角）</x:v>
      </x:c>
      <x:c r="E1323" s="4" t="str">
        <x:v>功能需求</x:v>
      </x:c>
      <x:c r="F1323" s="4" t="str">
        <x:v>P1</x:v>
      </x:c>
      <x:c r="G1323" s="4" t="str">
        <x:v>验证进行中结束时间为空</x:v>
      </x:c>
      <x:c r="H1323" s="4" t="str">
        <x:v>进行中结束时间为空</x:v>
      </x:c>
      <x:c r="I1323" s="4" t="str">
        <x:v>1. 已登录主播账号
2. 目标场次仍在直播</x:v>
      </x:c>
      <x:c r="J1323" s="4" t="str">
        <x:v>1. 进入「直播记录」页
2. 查看进行中结束时间为空</x:v>
      </x:c>
      <x:c r="K1323" s="4" t="str">
        <x:v>结束时间为空</x:v>
      </x:c>
      <x:c r="L1323" s="4" t="str"/>
      <x:c r="M1323" s="4" t="str">
        <x:v>未测</x:v>
      </x:c>
      <x:c r="N1323" s="4" t="str"/>
      <x:c r="O1323" s="4" t="str">
        <x:v>1. 来源：MainBasis/统一需求文档.md；U-live-records-003
2. 场景：SC-8eededc3fcf520</x:v>
      </x:c>
    </x:row>
    <x:row r="1324" ht="54" customHeight="1">
      <x:c r="A1324" s="4" t="n">
        <x:v>1323</x:v>
      </x:c>
      <x:c r="B1324" s="4" t="str">
        <x:v>USER-1323</x:v>
      </x:c>
      <x:c r="C1324" s="4" t="str">
        <x:v>M12 直播业绩、增长与统计报表</x:v>
      </x:c>
      <x:c r="D1324" s="4" t="str">
        <x:v>直播记录（主播视角）</x:v>
      </x:c>
      <x:c r="E1324" s="4" t="str">
        <x:v>功能需求</x:v>
      </x:c>
      <x:c r="F1324" s="4" t="str">
        <x:v>P2</x:v>
      </x:c>
      <x:c r="G1324" s="4" t="str">
        <x:v>验证一条场次入口</x:v>
      </x:c>
      <x:c r="H1324" s="4" t="str">
        <x:v>一条场次入口</x:v>
      </x:c>
      <x:c r="I1324" s="4" t="str">
        <x:v>1. 已登录主播账号</x:v>
      </x:c>
      <x:c r="J1324" s="4" t="str">
        <x:v>1. 进入「直播记录」页
2. 点击「一条场次」</x:v>
      </x:c>
      <x:c r="K1324" s="4" t="str">
        <x:v>页面进入「该场次数据与礼物明细」</x:v>
      </x:c>
      <x:c r="L1324" s="4" t="str"/>
      <x:c r="M1324" s="4" t="str">
        <x:v>未测</x:v>
      </x:c>
      <x:c r="N1324" s="4" t="str"/>
      <x:c r="O1324" s="4" t="str">
        <x:v>1. 来源：MainBasis/统一需求文档.md；U-live-records-015
2. 场景：SC-b5d8d92d10b7da</x:v>
      </x:c>
    </x:row>
    <x:row r="1325" ht="54" customHeight="1">
      <x:c r="A1325" s="4" t="n">
        <x:v>1324</x:v>
      </x:c>
      <x:c r="B1325" s="4" t="str">
        <x:v>USER-1324</x:v>
      </x:c>
      <x:c r="C1325" s="4" t="str">
        <x:v>M12 直播业绩、增长与统计报表</x:v>
      </x:c>
      <x:c r="D1325" s="4" t="str">
        <x:v>直播记录（主播视角）</x:v>
      </x:c>
      <x:c r="E1325" s="4" t="str">
        <x:v>功能需求</x:v>
      </x:c>
      <x:c r="F1325" s="4" t="str">
        <x:v>P1</x:v>
      </x:c>
      <x:c r="G1325" s="4" t="str">
        <x:v>验证收益不等于贡献榜</x:v>
      </x:c>
      <x:c r="H1325" s="4" t="str">
        <x:v>收益不等于贡献榜</x:v>
      </x:c>
      <x:c r="I1325" s="4" t="str">
        <x:v>1. 已登录主播账号
2. 本场仅幸运礼物1000，配置比例1%，返奖900</x:v>
      </x:c>
      <x:c r="J1325" s="4" t="str">
        <x:v>1. 进入「直播记录」页
2. 查看收益不等于贡献榜</x:v>
      </x:c>
      <x:c r="K1325" s="4" t="str">
        <x:v>收益显示10金币，不是本场贡献1000</x:v>
      </x:c>
      <x:c r="L1325" s="4" t="str"/>
      <x:c r="M1325" s="4" t="str">
        <x:v>未测</x:v>
      </x:c>
      <x:c r="N1325" s="4" t="str"/>
      <x:c r="O1325" s="4" t="str">
        <x:v>1. 来源：MainBasis/统一需求文档.md；U-live-records-005
2. 场景：SC-84a47c970aea7f</x:v>
      </x:c>
    </x:row>
    <x:row r="1326" ht="54" customHeight="1">
      <x:c r="A1326" s="4" t="n">
        <x:v>1325</x:v>
      </x:c>
      <x:c r="B1326" s="4" t="str">
        <x:v>USER-1325</x:v>
      </x:c>
      <x:c r="C1326" s="4" t="str">
        <x:v>M12 直播业绩、增长与统计报表</x:v>
      </x:c>
      <x:c r="D1326" s="4" t="str">
        <x:v>直播记录（主播视角）</x:v>
      </x:c>
      <x:c r="E1326" s="4" t="str">
        <x:v>功能需求</x:v>
      </x:c>
      <x:c r="F1326" s="4" t="str">
        <x:v>P1</x:v>
      </x:c>
      <x:c r="G1326" s="4" t="str">
        <x:v>验证记录观众使用本场统计</x:v>
      </x:c>
      <x:c r="H1326" s="4" t="str">
        <x:v>记录观众使用本场统计</x:v>
      </x:c>
      <x:c r="I1326" s="4" t="str">
        <x:v>1. 已登录主播账号
2. 当前场次服务端统计观众3，另一场次5</x:v>
      </x:c>
      <x:c r="J1326" s="4" t="str">
        <x:v>1. 进入「直播记录」页
2. 查看记录观众使用本场统计</x:v>
      </x:c>
      <x:c r="K1326" s="4" t="str">
        <x:v>当前记录观众为3</x:v>
      </x:c>
      <x:c r="L1326" s="4" t="str"/>
      <x:c r="M1326" s="4" t="str">
        <x:v>未测</x:v>
      </x:c>
      <x:c r="N1326" s="4" t="str"/>
      <x:c r="O1326" s="4" t="str">
        <x:v>1. 来源：MainBasis/统一需求文档.md；U-live-records-009
2. 场景：SC-c9e8346ce2e9f2</x:v>
      </x:c>
    </x:row>
    <x:row r="1327" ht="54" customHeight="1">
      <x:c r="A1327" s="4" t="n">
        <x:v>1326</x:v>
      </x:c>
      <x:c r="B1327" s="4" t="str">
        <x:v>USER-1326</x:v>
      </x:c>
      <x:c r="C1327" s="4" t="str">
        <x:v>M12 直播业绩、增长与统计报表</x:v>
      </x:c>
      <x:c r="D1327" s="4" t="str">
        <x:v>直播记录（主播视角）</x:v>
      </x:c>
      <x:c r="E1327" s="4" t="str">
        <x:v>功能需求</x:v>
      </x:c>
      <x:c r="F1327" s="4" t="str">
        <x:v>P1</x:v>
      </x:c>
      <x:c r="G1327" s="4" t="str">
        <x:v>验证开播时间格式</x:v>
      </x:c>
      <x:c r="H1327" s="4" t="str">
        <x:v>开播时间格式</x:v>
      </x:c>
      <x:c r="I1327" s="4" t="str">
        <x:v>1. 已登录主播账号
2. 本场开播时间2026年9月1日15:30</x:v>
      </x:c>
      <x:c r="J1327" s="4" t="str">
        <x:v>1. 进入「直播记录」页
2. 查看开播时间格式</x:v>
      </x:c>
      <x:c r="K1327" s="4" t="str">
        <x:v>显示01/09/2026 15.30，日期筛选不含时分</x:v>
      </x:c>
      <x:c r="L1327" s="4" t="str"/>
      <x:c r="M1327" s="4" t="str">
        <x:v>未测</x:v>
      </x:c>
      <x:c r="N1327" s="4" t="str"/>
      <x:c r="O1327" s="4" t="str">
        <x:v>1. 来源：MainBasis/统一需求文档.md；U-live-records-010
2. 场景：SC-241e0c95a400fb</x:v>
      </x:c>
    </x:row>
    <x:row r="1328" ht="54" customHeight="1">
      <x:c r="A1328" s="4" t="n">
        <x:v>1327</x:v>
      </x:c>
      <x:c r="B1328" s="4" t="str">
        <x:v>USER-1327</x:v>
      </x:c>
      <x:c r="C1328" s="4" t="str">
        <x:v>M12 直播业绩、增长与统计报表</x:v>
      </x:c>
      <x:c r="D1328" s="4" t="str">
        <x:v>直播记录（主播视角）</x:v>
      </x:c>
      <x:c r="E1328" s="4" t="str">
        <x:v>功能需求</x:v>
      </x:c>
      <x:c r="F1328" s="4" t="str">
        <x:v>P1</x:v>
      </x:c>
      <x:c r="G1328" s="4" t="str">
        <x:v>验证场次筛选同步汇总</x:v>
      </x:c>
      <x:c r="H1328" s="4" t="str">
        <x:v>场次筛选同步汇总</x:v>
      </x:c>
      <x:c r="I1328" s="4" t="str">
        <x:v>1. 已登录主播账号
2. 原范围两场，新范围仅一场收益10、时长30分钟</x:v>
      </x:c>
      <x:c r="J1328" s="4" t="str">
        <x:v>1. 进入「直播记录」页
2. 切换到新日期范围</x:v>
      </x:c>
      <x:c r="K1328" s="4" t="str">
        <x:v>列表一场，收益10、时长30分钟同步更新</x:v>
      </x:c>
      <x:c r="L1328" s="4" t="str"/>
      <x:c r="M1328" s="4" t="str">
        <x:v>未测</x:v>
      </x:c>
      <x:c r="N1328" s="4" t="str"/>
      <x:c r="O1328" s="4" t="str">
        <x:v>1. 来源：MainBasis/统一需求文档.md；U-live-records-014
2. 场景：SC-c8bdcb95c2481c</x:v>
      </x:c>
    </x:row>
    <x:row r="1329" ht="54" customHeight="1">
      <x:c r="A1329" s="4" t="n">
        <x:v>1328</x:v>
      </x:c>
      <x:c r="B1329" s="4" t="str">
        <x:v>USER-1328</x:v>
      </x:c>
      <x:c r="C1329" s="4" t="str">
        <x:v>M12 直播业绩、增长与统计报表</x:v>
      </x:c>
      <x:c r="D1329" s="4" t="str">
        <x:v>分成记录（主播视角）</x:v>
      </x:c>
      <x:c r="E1329" s="4" t="str">
        <x:v>功能需求</x:v>
      </x:c>
      <x:c r="F1329" s="4" t="str">
        <x:v>P1</x:v>
      </x:c>
      <x:c r="G1329" s="4" t="str">
        <x:v>验证分成金额印尼格式</x:v>
      </x:c>
      <x:c r="H1329" s="4" t="str">
        <x:v>分成金额印尼格式</x:v>
      </x:c>
      <x:c r="I1329" s="4" t="str">
        <x:v>1. 已登录主播账号
2. 该笔已上传最终分成1234.56USD</x:v>
      </x:c>
      <x:c r="J1329" s="4" t="str">
        <x:v>1. 进入「分成记录」页
2. 查看分成金额印尼格式</x:v>
      </x:c>
      <x:c r="K1329" s="4" t="str">
        <x:v>金额以美元展示为1.234,56</x:v>
      </x:c>
      <x:c r="L1329" s="4" t="str"/>
      <x:c r="M1329" s="4" t="str">
        <x:v>未测</x:v>
      </x:c>
      <x:c r="N1329" s="4" t="str"/>
      <x:c r="O1329" s="4" t="str">
        <x:v>1. 来源：MainBasis/统一需求文档.md；U-income-sharing-006、U-income-sharing-003
2. 场景：SC-719ac0a38be749</x:v>
      </x:c>
    </x:row>
    <x:row r="1330" ht="96" customHeight="1">
      <x:c r="A1330" s="4" t="n">
        <x:v>1329</x:v>
      </x:c>
      <x:c r="B1330" s="4" t="str">
        <x:v>USER-1329</x:v>
      </x:c>
      <x:c r="C1330" s="4" t="str">
        <x:v>M12 直播业绩、增长与统计报表</x:v>
      </x:c>
      <x:c r="D1330" s="4" t="str">
        <x:v>分成记录（主播视角）</x:v>
      </x:c>
      <x:c r="E1330" s="4" t="str">
        <x:v>功能需求</x:v>
      </x:c>
      <x:c r="F1330" s="4" t="str">
        <x:v>P1</x:v>
      </x:c>
      <x:c r="G1330" s="4" t="str">
        <x:v>验证主播分成没有线上申请审批</x:v>
      </x:c>
      <x:c r="H1330" s="4" t="str">
        <x:v>主播分成没有线上申请审批</x:v>
      </x:c>
      <x:c r="I1330" s="4" t="str">
        <x:v>1. 已登录主播账号</x:v>
      </x:c>
      <x:c r="J1330" s="4" t="str">
        <x:v>1. 进入「分成记录」页
2. 查看主播分成没有线上申请审批</x:v>
      </x:c>
      <x:c r="K1330" s="4" t="str">
        <x:v>只显示已上传结果，不提供线上结算申请或审批</x:v>
      </x:c>
      <x:c r="L1330" s="4" t="str"/>
      <x:c r="M1330" s="4" t="str">
        <x:v>未测</x:v>
      </x:c>
      <x:c r="N1330" s="4" t="str"/>
      <x:c r="O1330" s="4" t="str">
        <x:v>1. 来源：MainBasis/统一需求文档.md；U-income-sharing-004、G-guild-share-ledger-005、A-admin-settlement-record-007、D-SYS-169、D-SYS-170、D-SYS-171、A-admin-report-center-005、A-admin-monthly-host-share-009
2. 场景：SC-1bd71a26b8d1d7</x:v>
      </x:c>
    </x:row>
    <x:row r="1331" ht="54" customHeight="1">
      <x:c r="A1331" s="4" t="n">
        <x:v>1330</x:v>
      </x:c>
      <x:c r="B1331" s="4" t="str">
        <x:v>USER-1330</x:v>
      </x:c>
      <x:c r="C1331" s="4" t="str">
        <x:v>M12 直播业绩、增长与统计报表</x:v>
      </x:c>
      <x:c r="D1331" s="4" t="str">
        <x:v>分成记录（主播视角）</x:v>
      </x:c>
      <x:c r="E1331" s="4" t="str">
        <x:v>功能需求</x:v>
      </x:c>
      <x:c r="F1331" s="4" t="str">
        <x:v>P1</x:v>
      </x:c>
      <x:c r="G1331" s="4" t="str">
        <x:v>验证主播分成日期倒序</x:v>
      </x:c>
      <x:c r="H1331" s="4" t="str">
        <x:v>主播分成日期倒序</x:v>
      </x:c>
      <x:c r="I1331" s="4" t="str">
        <x:v>1. 已登录主播账号
2. 当前主播有两条不同日期分成，另一主播有一条</x:v>
      </x:c>
      <x:c r="J1331" s="4" t="str">
        <x:v>1. 进入「分成记录」页
2. 查看主播分成日期倒序</x:v>
      </x:c>
      <x:c r="K1331" s="4" t="str">
        <x:v>仅当前主播结果按分成日期倒序</x:v>
      </x:c>
      <x:c r="L1331" s="4" t="str"/>
      <x:c r="M1331" s="4" t="str">
        <x:v>未测</x:v>
      </x:c>
      <x:c r="N1331" s="4" t="str"/>
      <x:c r="O1331" s="4" t="str">
        <x:v>1. 来源：MainBasis/统一需求文档.md；U-income-sharing-007
2. 场景：SC-08cb85b055f3a8</x:v>
      </x:c>
    </x:row>
    <x:row r="1332" ht="54" customHeight="1">
      <x:c r="A1332" s="4" t="n">
        <x:v>1331</x:v>
      </x:c>
      <x:c r="B1332" s="4" t="str">
        <x:v>USER-1331</x:v>
      </x:c>
      <x:c r="C1332" s="4" t="str">
        <x:v>M12 直播业绩、增长与统计报表</x:v>
      </x:c>
      <x:c r="D1332" s="4" t="str">
        <x:v>分成记录（主播视角）</x:v>
      </x:c>
      <x:c r="E1332" s="4" t="str">
        <x:v>功能需求</x:v>
      </x:c>
      <x:c r="F1332" s="4" t="str">
        <x:v>P2</x:v>
      </x:c>
      <x:c r="G1332" s="4" t="str">
        <x:v>验证返回入口</x:v>
      </x:c>
      <x:c r="H1332" s="4" t="str">
        <x:v>返回入口</x:v>
      </x:c>
      <x:c r="I1332" s="4" t="str">
        <x:v>1. 已登录主播账号</x:v>
      </x:c>
      <x:c r="J1332" s="4" t="str">
        <x:v>1. 进入「分成记录」页
2. 点击「返回」</x:v>
      </x:c>
      <x:c r="K1332" s="4" t="str">
        <x:v>页面进入「主播中心」</x:v>
      </x:c>
      <x:c r="L1332" s="4" t="str"/>
      <x:c r="M1332" s="4" t="str">
        <x:v>未测</x:v>
      </x:c>
      <x:c r="N1332" s="4" t="str"/>
      <x:c r="O1332" s="4" t="str">
        <x:v>1. 来源：MainBasis/统一需求文档.md；U-income-sharing-009
2. 场景：SC-cf6ddc09c1d2c3</x:v>
      </x:c>
    </x:row>
    <x:row r="1333" ht="54" customHeight="1">
      <x:c r="A1333" s="4" t="n">
        <x:v>1332</x:v>
      </x:c>
      <x:c r="B1333" s="4" t="str">
        <x:v>USER-1332</x:v>
      </x:c>
      <x:c r="C1333" s="4" t="str">
        <x:v>M12 直播业绩、增长与统计报表</x:v>
      </x:c>
      <x:c r="D1333" s="4" t="str">
        <x:v>分成记录（主播视角）</x:v>
      </x:c>
      <x:c r="E1333" s="4" t="str">
        <x:v>功能需求</x:v>
      </x:c>
      <x:c r="F1333" s="4" t="str">
        <x:v>P2</x:v>
      </x:c>
      <x:c r="G1333" s="4" t="str">
        <x:v>验证分成日期资料对应</x:v>
      </x:c>
      <x:c r="H1333" s="4" t="str">
        <x:v>分成日期资料对应</x:v>
      </x:c>
      <x:c r="I1333" s="4" t="str">
        <x:v>1. 已登录主播账号
2. 已选中一条已存在记录，已记录其分成日期原始值</x:v>
      </x:c>
      <x:c r="J1333" s="4" t="str">
        <x:v>1. 进入「分成记录」页
2. 查看分成日期资料对应</x:v>
      </x:c>
      <x:c r="K1333" s="4" t="str">
        <x:v>页面分成日期与所选记录一致：展示对应分成记录的日期</x:v>
      </x:c>
      <x:c r="L1333" s="4" t="str"/>
      <x:c r="M1333" s="4" t="str">
        <x:v>未测</x:v>
      </x:c>
      <x:c r="N1333" s="4" t="str"/>
      <x:c r="O1333" s="4" t="str">
        <x:v>1. 来源：MainBasis/统一需求文档.md；U-income-sharing-002
2. 场景：SC-9f2f46e8d3ca11</x:v>
      </x:c>
    </x:row>
  </x:sheetData>
  <x:dataValidations count="3">
    <x:dataValidation type="list" sqref="E2:E1333">
      <x:formula1>"功能需求,业务流程,逻辑校验,异常用例"</x:formula1>
    </x:dataValidation>
    <x:dataValidation type="list" sqref="F2:F1333">
      <x:formula1>"P0,P1,P2,P3"</x:formula1>
    </x:dataValidation>
    <x:dataValidation type="list" sqref="M2:M1333">
      <x:formula1>"未测,通过,不通过,阻塞,不适用"</x:formula1>
    </x:dataValidation>
  </x:dataValidations>
  <x:pageMargins left="0.7" right="0.7" top="0.75" bottom="0.75" header="0.3" footer="0.3"/>
  <x:tableParts count="1">
    <x:tablePart xmlns:r="http://schemas.openxmlformats.org/officeDocument/2006/relationships" r:id="R6d9cab0700dd4cce"/>
  </x:tableParts>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13" hidden="0" customWidth="1"/>
    <x:col min="3" max="3" width="13" hidden="0" customWidth="1"/>
    <x:col min="4" max="4" width="22" hidden="0" customWidth="1"/>
    <x:col min="5" max="5" width="11" hidden="0" customWidth="1"/>
    <x:col min="6" max="6" width="13" hidden="0" customWidth="1"/>
    <x:col min="7" max="7" width="31" hidden="0" customWidth="1"/>
    <x:col min="8" max="8" width="19" hidden="0" customWidth="1"/>
    <x:col min="9" max="9" width="38" hidden="0" customWidth="1"/>
    <x:col min="10" max="10" width="44" hidden="0" customWidth="1"/>
    <x:col min="11" max="11" width="38" hidden="0" customWidth="1"/>
    <x:col min="12" max="12" width="12" hidden="0" customWidth="1"/>
    <x:col min="13" max="13" width="24" hidden="0" customWidth="1"/>
    <x:col min="14" max="14" width="38" hidden="0" customWidth="1"/>
    <x:col min="15" max="15" width="32" hidden="0" customWidth="1"/>
    <x:col min="16" max="16" width="20" hidden="0" customWidth="1"/>
    <x:col min="17" max="17" width="32" hidden="0" customWidth="1"/>
    <x:col min="18" max="18" width="12" hidden="0" customWidth="1"/>
    <x:col min="19" max="19" width="22" hidden="0" customWidth="1"/>
    <x:col min="20" max="20" width="12" hidden="0" customWidth="1"/>
  </x:cols>
  <x:sheetData>
    <x:row r="1" ht="34" customHeight="1">
      <x:c r="A1" s="7" t="str">
        <x:v>问题编号</x:v>
      </x:c>
      <x:c r="B1" s="7" t="str">
        <x:v>需求组编号</x:v>
      </x:c>
      <x:c r="C1" s="7" t="str">
        <x:v>父问题编号</x:v>
      </x:c>
      <x:c r="D1" s="7" t="str">
        <x:v>追问触发条件</x:v>
      </x:c>
      <x:c r="E1" s="7" t="str">
        <x:v>阻塞等级</x:v>
      </x:c>
      <x:c r="F1" s="7" t="str">
        <x:v>功能模块</x:v>
      </x:c>
      <x:c r="G1" s="7" t="str">
        <x:v>具体场景</x:v>
      </x:c>
      <x:c r="H1" s="7" t="str">
        <x:v>问题分类</x:v>
      </x:c>
      <x:c r="I1" s="7" t="str">
        <x:v>待决策问题</x:v>
      </x:c>
      <x:c r="J1" s="7" t="str">
        <x:v>可选方案</x:v>
      </x:c>
      <x:c r="K1" s="7" t="str">
        <x:v>测试建议</x:v>
      </x:c>
      <x:c r="L1" s="7" t="str">
        <x:v>产品结论</x:v>
      </x:c>
      <x:c r="M1" s="7" t="str">
        <x:v>结论补充</x:v>
      </x:c>
      <x:c r="N1" s="7" t="str">
        <x:v>已知依据</x:v>
      </x:c>
      <x:c r="O1" s="7" t="str">
        <x:v>影响范围</x:v>
      </x:c>
      <x:c r="P1" s="7" t="str">
        <x:v>已有用例编号</x:v>
      </x:c>
      <x:c r="Q1" s="7" t="str">
        <x:v>确认后待补用例</x:v>
      </x:c>
      <x:c r="R1" s="7" t="str">
        <x:v>负责人</x:v>
      </x:c>
      <x:c r="S1" s="7" t="str">
        <x:v>期望确认时间</x:v>
      </x:c>
      <x:c r="T1" s="7" t="str">
        <x:v>确认状态</x:v>
      </x:c>
    </x:row>
    <x:row r="2" ht="96" customHeight="1">
      <x:c r="A2" s="4" t="str">
        <x:v>Q-001</x:v>
      </x:c>
      <x:c r="B2" s="4" t="str">
        <x:v>RQ-001</x:v>
      </x:c>
      <x:c r="C2" s="4" t="str"/>
      <x:c r="D2" s="4" t="str"/>
      <x:c r="E2" s="4" t="str">
        <x:v>阻塞测试</x:v>
      </x:c>
      <x:c r="F2" s="4" t="str">
        <x:v>M05 公会申请·认证·组织与权限</x:v>
      </x:c>
      <x:c r="G2" s="4" t="str">
        <x:v>申请人提交入会材料后由公会审核</x:v>
      </x:c>
      <x:c r="H2" s="4" t="str">
        <x:v>业务规则</x:v>
      </x:c>
      <x:c r="I2" s="4" t="str">
        <x:v>公会初审通过时是否立即建立公会关系？</x:v>
      </x:c>
      <x:c r="J2" s="4" t="str">
        <x:v>A. 立即建立关系；主播身份在平台认证通过后生效
B. 公会初审及平台终审均通过后才建立关系和主播身份</x:v>
      </x:c>
      <x:c r="K2" s="4" t="str">
        <x:v>建议优先评估A：明确申请人提交入会材料后由公会审核的唯一处理口径后，可构造确定的输入和结果；此建议不代表产品结论</x:v>
      </x:c>
      <x:c r="L2" s="8" t="str"/>
      <x:c r="M2" s="8" t="str"/>
      <x:c r="N2" s="4" t="str">
        <x:v>1. MainBasis/需求待确认清单.md#Q001：入会、主播认证与身份生效顺序
2. 主文档关联：D-SYS-041、U-guild-application-form-010、G-guild-notifications-005、A-admin-host-review-001</x:v>
      </x:c>
      <x:c r="O2" s="4" t="str">
        <x:v>1. 用户App：申请人提交入会材料后由公会审核
2. 公会App：申请人提交入会材料后由公会审核
3. 管理后台：申请人提交入会材料后由公会审核</x:v>
      </x:c>
      <x:c r="P2" s="4" t="str"/>
      <x:c r="Q2" s="4" t="str">
        <x:v>1. 公会初审通过时是否立即建立公会关系的正向、边界及异常场景</x:v>
      </x:c>
      <x:c r="R2" s="4" t="str">
        <x:v>产品</x:v>
      </x:c>
      <x:c r="S2" s="4" t="str">
        <x:v>进入对应功能测试前</x:v>
      </x:c>
      <x:c r="T2" s="4" t="str">
        <x:v>待确认</x:v>
      </x:c>
    </x:row>
    <x:row r="3" ht="96" customHeight="1">
      <x:c r="A3" s="4" t="str">
        <x:v>Q-002</x:v>
      </x:c>
      <x:c r="B3" s="4" t="str">
        <x:v>RQ-001</x:v>
      </x:c>
      <x:c r="C3" s="4" t="str"/>
      <x:c r="D3" s="4" t="str"/>
      <x:c r="E3" s="4" t="str">
        <x:v>阻塞测试</x:v>
      </x:c>
      <x:c r="F3" s="4" t="str">
        <x:v>M05 公会申请·认证·组织与权限</x:v>
      </x:c>
      <x:c r="G3" s="4" t="str">
        <x:v>平台驳回认证后申请人再次申请</x:v>
      </x:c>
      <x:c r="H3" s="4" t="str">
        <x:v>业务规则</x:v>
      </x:c>
      <x:c r="I3" s="4" t="str">
        <x:v>再次提交是否创建新的申请单？</x:v>
      </x:c>
      <x:c r="J3" s="4" t="str">
        <x:v>A. 创建新单，旧单保持驳回快照
B. 重开原单，保留各次提交和审核版本</x:v>
      </x:c>
      <x:c r="K3" s="4" t="str">
        <x:v>建议优先评估A：明确平台驳回认证后申请人再次申请的唯一处理口径后，可构造确定的输入和结果；此建议不代表产品结论</x:v>
      </x:c>
      <x:c r="L3" s="8" t="str"/>
      <x:c r="M3" s="8" t="str"/>
      <x:c r="N3" s="4" t="str">
        <x:v>1. MainBasis/需求待确认清单.md#Q001：入会、主播认证与身份生效顺序
2. 主文档关联：D-SYS-041、U-guild-application-form-010、G-guild-notifications-005、A-admin-host-review-001</x:v>
      </x:c>
      <x:c r="O3" s="4" t="str">
        <x:v>1. 用户App：平台驳回认证后申请人再次申请
2. 公会App：平台驳回认证后申请人再次申请
3. 管理后台：平台驳回认证后申请人再次申请</x:v>
      </x:c>
      <x:c r="P3" s="4" t="str"/>
      <x:c r="Q3" s="4" t="str">
        <x:v>1. 再次提交是否创建新的申请单的正向、边界及异常场景</x:v>
      </x:c>
      <x:c r="R3" s="4" t="str">
        <x:v>产品</x:v>
      </x:c>
      <x:c r="S3" s="4" t="str">
        <x:v>进入对应功能测试前</x:v>
      </x:c>
      <x:c r="T3" s="4" t="str">
        <x:v>待确认</x:v>
      </x:c>
    </x:row>
    <x:row r="4" ht="96" customHeight="1">
      <x:c r="A4" s="4" t="str">
        <x:v>Q-011</x:v>
      </x:c>
      <x:c r="B4" s="4" t="str">
        <x:v>RQ-006</x:v>
      </x:c>
      <x:c r="C4" s="4" t="str"/>
      <x:c r="D4" s="4" t="str"/>
      <x:c r="E4" s="4" t="str">
        <x:v>阻塞测试</x:v>
      </x:c>
      <x:c r="F4" s="4" t="str">
        <x:v>M12 直播业绩·增长与统计报表</x:v>
      </x:c>
      <x:c r="G4" s="4" t="str">
        <x:v>用户充值，后台和财务查看实际支付金额</x:v>
      </x:c>
      <x:c r="H4" s="4" t="str">
        <x:v>业务规则</x:v>
      </x:c>
      <x:c r="I4" s="4" t="str">
        <x:v>本期充值支付以哪种货币记账？</x:v>
      </x:c>
      <x:c r="J4" s="4" t="str">
        <x:v>A. USD；保留渠道原币和实际汇率快照
B. IDR；保留渠道原币和实际汇率快照</x:v>
      </x:c>
      <x:c r="K4" s="4" t="str">
        <x:v>建议优先评估A：明确用户充值，后台和财务查看实际支付金额的唯一处理口径后，可构造确定的输入和结果；此建议不代表产品结论</x:v>
      </x:c>
      <x:c r="L4" s="8" t="str"/>
      <x:c r="M4" s="8" t="str"/>
      <x:c r="N4" s="4" t="str">
        <x:v>1. MainBasis/需求待确认清单.md#Q006：金币、支付货币、收益与结算币种换算
2. 主文档关联：D-SYS-172、U-income-sharing-003、A-admin-recharge-package-003、A-admin-recharge-package-detail-004</x:v>
      </x:c>
      <x:c r="O4" s="4" t="str">
        <x:v>1. 用户App：用户充值，后台和财务查看实际支付金额
2. 公会App：用户充值，后台和财务查看实际支付金额
3. 管理后台：用户充值，后台和财务查看实际支付金额</x:v>
      </x:c>
      <x:c r="P4" s="4" t="str"/>
      <x:c r="Q4" s="4" t="str">
        <x:v>1. 本期充值支付以哪种货币记账的正向、边界及异常场景</x:v>
      </x:c>
      <x:c r="R4" s="4" t="str">
        <x:v>产品</x:v>
      </x:c>
      <x:c r="S4" s="4" t="str">
        <x:v>进入对应功能测试前</x:v>
      </x:c>
      <x:c r="T4" s="4" t="str">
        <x:v>待确认</x:v>
      </x:c>
    </x:row>
    <x:row r="5" ht="96" customHeight="1">
      <x:c r="A5" s="4" t="str">
        <x:v>Q-012</x:v>
      </x:c>
      <x:c r="B5" s="4" t="str">
        <x:v>RQ-006</x:v>
      </x:c>
      <x:c r="C5" s="4" t="str"/>
      <x:c r="D5" s="4" t="str"/>
      <x:c r="E5" s="4" t="str">
        <x:v>阻塞测试</x:v>
      </x:c>
      <x:c r="F5" s="4" t="str">
        <x:v>M12 直播业绩·增长与统计报表</x:v>
      </x:c>
      <x:c r="G5" s="4" t="str">
        <x:v>财务录入主播或公会结算结果</x:v>
      </x:c>
      <x:c r="H5" s="4" t="str">
        <x:v>业务规则</x:v>
      </x:c>
      <x:c r="I5" s="4" t="str">
        <x:v>结算结果采用哪种金额币种？</x:v>
      </x:c>
      <x:c r="J5" s="4" t="str">
        <x:v>A. USD，上传文件每行必须带USD币种
B. IDR，上传文件每行必须带IDR币种</x:v>
      </x:c>
      <x:c r="K5" s="4" t="str">
        <x:v>建议优先评估A：明确财务录入主播或公会结算结果的唯一处理口径后，可构造确定的输入和结果；此建议不代表产品结论</x:v>
      </x:c>
      <x:c r="L5" s="8" t="str"/>
      <x:c r="M5" s="8" t="str"/>
      <x:c r="N5" s="4" t="str">
        <x:v>1. MainBasis/需求待确认清单.md#Q006：金币、支付货币、收益与结算币种换算
2. 主文档关联：D-SYS-172、U-income-sharing-003、A-admin-recharge-package-003、A-admin-recharge-package-detail-004</x:v>
      </x:c>
      <x:c r="O5" s="4" t="str">
        <x:v>1. 用户App：财务录入主播或公会结算结果
2. 公会App：财务录入主播或公会结算结果
3. 管理后台：财务录入主播或公会结算结果</x:v>
      </x:c>
      <x:c r="P5" s="4" t="str"/>
      <x:c r="Q5" s="4" t="str">
        <x:v>1. 结算结果采用哪种金额币种的正向、边界及异常场景</x:v>
      </x:c>
      <x:c r="R5" s="4" t="str">
        <x:v>产品</x:v>
      </x:c>
      <x:c r="S5" s="4" t="str">
        <x:v>进入对应功能测试前</x:v>
      </x:c>
      <x:c r="T5" s="4" t="str">
        <x:v>待确认</x:v>
      </x:c>
    </x:row>
    <x:row r="6" ht="96" customHeight="1">
      <x:c r="A6" s="4" t="str">
        <x:v>Q-013</x:v>
      </x:c>
      <x:c r="B6" s="4" t="str">
        <x:v>RQ-006</x:v>
      </x:c>
      <x:c r="C6" s="4" t="str"/>
      <x:c r="D6" s="4" t="str"/>
      <x:c r="E6" s="4" t="str">
        <x:v>阻塞测试</x:v>
      </x:c>
      <x:c r="F6" s="4" t="str">
        <x:v>M12 直播业绩·增长与统计报表</x:v>
      </x:c>
      <x:c r="G6" s="4" t="str">
        <x:v>订单支付日与结算日的汇率不同</x:v>
      </x:c>
      <x:c r="H6" s="4" t="str">
        <x:v>业务规则</x:v>
      </x:c>
      <x:c r="I6" s="4" t="str">
        <x:v>币种换算使用哪个时点的汇率？</x:v>
      </x:c>
      <x:c r="J6" s="4" t="str">
        <x:v>A. 使用订单支付成功时冻结的渠道汇率
B. 使用结算批次确认时冻结的财务汇率</x:v>
      </x:c>
      <x:c r="K6" s="4" t="str">
        <x:v>建议优先评估A：明确订单支付日与结算日的汇率不同的唯一处理口径后，可构造确定的输入和结果；此建议不代表产品结论</x:v>
      </x:c>
      <x:c r="L6" s="8" t="str"/>
      <x:c r="M6" s="8" t="str"/>
      <x:c r="N6" s="4" t="str">
        <x:v>1. MainBasis/需求待确认清单.md#Q006：金币、支付货币、收益与结算币种换算
2. 主文档关联：D-SYS-172、U-income-sharing-003、A-admin-recharge-package-003、A-admin-recharge-package-detail-004</x:v>
      </x:c>
      <x:c r="O6" s="4" t="str">
        <x:v>1. 用户App：订单支付日与结算日的汇率不同
2. 公会App：订单支付日与结算日的汇率不同
3. 管理后台：订单支付日与结算日的汇率不同</x:v>
      </x:c>
      <x:c r="P6" s="4" t="str"/>
      <x:c r="Q6" s="4" t="str">
        <x:v>1. 币种换算使用哪个时点的汇率的正向、边界及异常场景</x:v>
      </x:c>
      <x:c r="R6" s="4" t="str">
        <x:v>产品</x:v>
      </x:c>
      <x:c r="S6" s="4" t="str">
        <x:v>进入对应功能测试前</x:v>
      </x:c>
      <x:c r="T6" s="4" t="str">
        <x:v>待确认</x:v>
      </x:c>
    </x:row>
    <x:row r="7" ht="96" customHeight="1">
      <x:c r="A7" s="4" t="str">
        <x:v>Q-018</x:v>
      </x:c>
      <x:c r="B7" s="4" t="str">
        <x:v>RQ-010</x:v>
      </x:c>
      <x:c r="C7" s="4" t="str"/>
      <x:c r="D7" s="4" t="str"/>
      <x:c r="E7" s="4" t="str">
        <x:v>阻塞测试</x:v>
      </x:c>
      <x:c r="F7" s="4" t="str">
        <x:v>M06 开播·房型·观看·连麦与房内管理</x:v>
      </x:c>
      <x:c r="G7" s="4" t="str">
        <x:v>管理员配置幸运礼物价格</x:v>
      </x:c>
      <x:c r="H7" s="4" t="str">
        <x:v>业务规则</x:v>
      </x:c>
      <x:c r="I7" s="4" t="str">
        <x:v>每次独立开奖的消耗是否固定10金币？</x:v>
      </x:c>
      <x:c r="J7" s="4" t="str">
        <x:v>A. 固定10金币，其他值禁止保存
B. 读取每个SKU的正整数单次消耗配置</x:v>
      </x:c>
      <x:c r="K7" s="4" t="str">
        <x:v>建议优先评估A：明确管理员配置幸运礼物价格的唯一处理口径后，可构造确定的输入和结果；此建议不代表产品结论</x:v>
      </x:c>
      <x:c r="L7" s="8" t="str"/>
      <x:c r="M7" s="8" t="str"/>
      <x:c r="N7" s="4" t="str">
        <x:v>1. MainBasis/需求待确认清单.md#Q010：幸运礼物单次成本、数量档位、概率和上架验证
2. 主文档关联：D-SYS-137、U-live-room-011、A-admin-lucky-gift-config-003、U-views_live-room_gift-002</x:v>
      </x:c>
      <x:c r="O7" s="4" t="str">
        <x:v>1. 用户App：管理员配置幸运礼物价格
2. 公会App：管理员配置幸运礼物价格
3. 管理后台：管理员配置幸运礼物价格</x:v>
      </x:c>
      <x:c r="P7" s="4" t="str"/>
      <x:c r="Q7" s="4" t="str">
        <x:v>1. 每次独立开奖的消耗是否固定10金币的正向、边界及异常场景</x:v>
      </x:c>
      <x:c r="R7" s="4" t="str">
        <x:v>产品</x:v>
      </x:c>
      <x:c r="S7" s="4" t="str">
        <x:v>进入对应功能测试前</x:v>
      </x:c>
      <x:c r="T7" s="4" t="str">
        <x:v>待确认</x:v>
      </x:c>
    </x:row>
    <x:row r="8" ht="96" customHeight="1">
      <x:c r="A8" s="4" t="str">
        <x:v>Q-019</x:v>
      </x:c>
      <x:c r="B8" s="4" t="str">
        <x:v>RQ-010</x:v>
      </x:c>
      <x:c r="C8" s="4" t="str"/>
      <x:c r="D8" s="4" t="str"/>
      <x:c r="E8" s="4" t="str">
        <x:v>阻塞测试</x:v>
      </x:c>
      <x:c r="F8" s="4" t="str">
        <x:v>M06 开播·房型·观看·连麦与房内管理</x:v>
      </x:c>
      <x:c r="G8" s="4" t="str">
        <x:v>用户一次赠送数量为2至9的幸运礼物</x:v>
      </x:c>
      <x:c r="H8" s="4" t="str">
        <x:v>业务规则</x:v>
      </x:c>
      <x:c r="I8" s="4" t="str">
        <x:v>2至9个礼物采用哪套概率？</x:v>
      </x:c>
      <x:c r="J8" s="4" t="str">
        <x:v>A. 每个礼物均使用1个档的概率独立开奖
B. 每个礼物均使用10个档的概率独立开奖</x:v>
      </x:c>
      <x:c r="K8" s="4" t="str">
        <x:v>建议优先评估A：明确用户一次赠送数量为2至9的幸运礼物的唯一处理口径后，可构造确定的输入和结果；此建议不代表产品结论</x:v>
      </x:c>
      <x:c r="L8" s="8" t="str"/>
      <x:c r="M8" s="8" t="str"/>
      <x:c r="N8" s="4" t="str">
        <x:v>1. MainBasis/需求待确认清单.md#Q010：幸运礼物单次成本、数量档位、概率和上架验证
2. 主文档关联：D-SYS-137、U-live-room-011、A-admin-lucky-gift-config-003、U-views_live-room_gift-002</x:v>
      </x:c>
      <x:c r="O8" s="4" t="str">
        <x:v>1. 用户App：用户一次赠送数量为2至9的幸运礼物
2. 公会App：用户一次赠送数量为2至9的幸运礼物
3. 管理后台：用户一次赠送数量为2至9的幸运礼物</x:v>
      </x:c>
      <x:c r="P8" s="4" t="str"/>
      <x:c r="Q8" s="4" t="str">
        <x:v>1. 2至9个礼物采用哪套概率的正向、边界及异常场景</x:v>
      </x:c>
      <x:c r="R8" s="4" t="str">
        <x:v>产品</x:v>
      </x:c>
      <x:c r="S8" s="4" t="str">
        <x:v>进入对应功能测试前</x:v>
      </x:c>
      <x:c r="T8" s="4" t="str">
        <x:v>待确认</x:v>
      </x:c>
    </x:row>
    <x:row r="9" ht="96" customHeight="1">
      <x:c r="A9" s="4" t="str">
        <x:v>Q-020</x:v>
      </x:c>
      <x:c r="B9" s="4" t="str">
        <x:v>RQ-010</x:v>
      </x:c>
      <x:c r="C9" s="4" t="str"/>
      <x:c r="D9" s="4" t="str"/>
      <x:c r="E9" s="4" t="str">
        <x:v>阻塞测试</x:v>
      </x:c>
      <x:c r="F9" s="4" t="str">
        <x:v>M06 开播·房型·观看·连麦与房内管理</x:v>
      </x:c>
      <x:c r="G9" s="4" t="str">
        <x:v>用户一次赠送数量为11至99的幸运礼物</x:v>
      </x:c>
      <x:c r="H9" s="4" t="str">
        <x:v>业务规则</x:v>
      </x:c>
      <x:c r="I9" s="4" t="str">
        <x:v>11至99个礼物采用哪套概率？</x:v>
      </x:c>
      <x:c r="J9" s="4" t="str">
        <x:v>A. 每个礼物均使用10个档的概率独立开奖
B. 每个礼物均使用100个档的概率独立开奖</x:v>
      </x:c>
      <x:c r="K9" s="4" t="str">
        <x:v>建议优先评估A：明确用户一次赠送数量为11至99的幸运礼物的唯一处理口径后，可构造确定的输入和结果；此建议不代表产品结论</x:v>
      </x:c>
      <x:c r="L9" s="8" t="str"/>
      <x:c r="M9" s="8" t="str"/>
      <x:c r="N9" s="4" t="str">
        <x:v>1. MainBasis/需求待确认清单.md#Q010：幸运礼物单次成本、数量档位、概率和上架验证
2. 主文档关联：D-SYS-137、U-live-room-011、A-admin-lucky-gift-config-003、U-views_live-room_gift-002</x:v>
      </x:c>
      <x:c r="O9" s="4" t="str">
        <x:v>1. 用户App：用户一次赠送数量为11至99的幸运礼物
2. 公会App：用户一次赠送数量为11至99的幸运礼物
3. 管理后台：用户一次赠送数量为11至99的幸运礼物</x:v>
      </x:c>
      <x:c r="P9" s="4" t="str"/>
      <x:c r="Q9" s="4" t="str">
        <x:v>1. 11至99个礼物采用哪套概率的正向、边界及异常场景</x:v>
      </x:c>
      <x:c r="R9" s="4" t="str">
        <x:v>产品</x:v>
      </x:c>
      <x:c r="S9" s="4" t="str">
        <x:v>进入对应功能测试前</x:v>
      </x:c>
      <x:c r="T9" s="4" t="str">
        <x:v>待确认</x:v>
      </x:c>
    </x:row>
    <x:row r="10" ht="96" customHeight="1">
      <x:c r="A10" s="4" t="str">
        <x:v>Q-021</x:v>
      </x:c>
      <x:c r="B10" s="4" t="str">
        <x:v>RQ-010</x:v>
      </x:c>
      <x:c r="C10" s="4" t="str"/>
      <x:c r="D10" s="4" t="str"/>
      <x:c r="E10" s="4" t="str">
        <x:v>阻塞测试</x:v>
      </x:c>
      <x:c r="F10" s="4" t="str">
        <x:v>M06 开播·房型·观看·连麦与房内管理</x:v>
      </x:c>
      <x:c r="G10" s="4" t="str">
        <x:v>管理员验证幸运礼物配置后上架</x:v>
      </x:c>
      <x:c r="H10" s="4" t="str">
        <x:v>业务规则</x:v>
      </x:c>
      <x:c r="I10" s="4" t="str">
        <x:v>上架是否以统计抽样结果作为强制门槛？</x:v>
      </x:c>
      <x:c r="J10" s="4" t="str">
        <x:v>A. 不作为强制门槛，仅校验配置公式，抽样另作发布报告
B. 作为门槛，样本量和允许误差必须读取有版本的发布配置</x:v>
      </x:c>
      <x:c r="K10" s="4" t="str">
        <x:v>建议优先评估A：明确管理员验证幸运礼物配置后上架的唯一处理口径后，可构造确定的输入和结果；此建议不代表产品结论</x:v>
      </x:c>
      <x:c r="L10" s="8" t="str"/>
      <x:c r="M10" s="8" t="str"/>
      <x:c r="N10" s="4" t="str">
        <x:v>1. MainBasis/需求待确认清单.md#Q010：幸运礼物单次成本、数量档位、概率和上架验证
2. 主文档关联：D-SYS-137、U-live-room-011、A-admin-lucky-gift-config-003、U-views_live-room_gift-002</x:v>
      </x:c>
      <x:c r="O10" s="4" t="str">
        <x:v>1. 用户App：管理员验证幸运礼物配置后上架
2. 公会App：管理员验证幸运礼物配置后上架
3. 管理后台：管理员验证幸运礼物配置后上架</x:v>
      </x:c>
      <x:c r="P10" s="4" t="str"/>
      <x:c r="Q10" s="4" t="str">
        <x:v>1. 上架是否以统计抽样结果作为强制门槛的正向、边界及异常场景</x:v>
      </x:c>
      <x:c r="R10" s="4" t="str">
        <x:v>产品</x:v>
      </x:c>
      <x:c r="S10" s="4" t="str">
        <x:v>进入对应功能测试前</x:v>
      </x:c>
      <x:c r="T10" s="4" t="str">
        <x:v>待确认</x:v>
      </x:c>
    </x:row>
    <x:row r="11" ht="110" customHeight="1">
      <x:c r="A11" s="4" t="str">
        <x:v>Q-062</x:v>
      </x:c>
      <x:c r="B11" s="4" t="str">
        <x:v>RQ-029</x:v>
      </x:c>
      <x:c r="C11" s="4" t="str"/>
      <x:c r="D11" s="4" t="str"/>
      <x:c r="E11" s="4" t="str">
        <x:v>阻塞测试</x:v>
      </x:c>
      <x:c r="F11" s="4" t="str">
        <x:v>M11 财务·退款·结算上传与账户调整</x:v>
      </x:c>
      <x:c r="G11" s="4" t="str">
        <x:v>财务上传结果后查看主播或公会薪资账户</x:v>
      </x:c>
      <x:c r="H11" s="4" t="str">
        <x:v>业务规则</x:v>
      </x:c>
      <x:c r="I11" s="4" t="str">
        <x:v>薪资账户余额表示哪种业务数值？</x:v>
      </x:c>
      <x:c r="J11" s="4" t="str">
        <x:v>A. 累计已结算金额，线下付款不再扣减
B. 应付未付金额，线下付款需扣减
C. 已实际到账且可支取余额，支取后扣减</x:v>
      </x:c>
      <x:c r="K11" s="4" t="str">
        <x:v>建议优先评估A：明确财务上传结果后查看主播或公会薪资账户的唯一处理口径后，可构造确定的输入和结果；此建议不代表产品结论</x:v>
      </x:c>
      <x:c r="L11" s="8" t="str"/>
      <x:c r="M11" s="8" t="str"/>
      <x:c r="N11" s="4" t="str">
        <x:v>1. MainBasis/需求待确认清单.md#Q029：薪资账户、调整记录与线下实付的含义
2. 主文档关联：A-admin-host-account-balance-002、A-admin-guild-account-balance-002、A-admin-host-account-balance-003、A-admin-guild-account-balance-003</x:v>
      </x:c>
      <x:c r="O11" s="4" t="str">
        <x:v>1. 用户App：财务上传结果后查看主播或公会薪资账户
2. 公会App：财务上传结果后查看主播或公会薪资账户
3. 管理后台：财务上传结果后查看主播或公会薪资账户</x:v>
      </x:c>
      <x:c r="P11" s="4" t="str"/>
      <x:c r="Q11" s="4" t="str">
        <x:v>1. 薪资账户余额表示哪种业务数值的正向、边界及异常场景</x:v>
      </x:c>
      <x:c r="R11" s="4" t="str">
        <x:v>产品</x:v>
      </x:c>
      <x:c r="S11" s="4" t="str">
        <x:v>进入对应功能测试前</x:v>
      </x:c>
      <x:c r="T11" s="4" t="str">
        <x:v>待确认</x:v>
      </x:c>
    </x:row>
    <x:row r="12" ht="68" customHeight="1">
      <x:c r="A12" s="4" t="str">
        <x:v>Q-063</x:v>
      </x:c>
      <x:c r="B12" s="4" t="str">
        <x:v>RQ-030</x:v>
      </x:c>
      <x:c r="C12" s="4" t="str"/>
      <x:c r="D12" s="4" t="str"/>
      <x:c r="E12" s="4" t="str">
        <x:v>阻塞测试</x:v>
      </x:c>
      <x:c r="F12" s="4" t="str">
        <x:v>跨模块需求</x:v>
      </x:c>
      <x:c r="G12" s="4" t="str">
        <x:v>支付渠道重复发送成功通知</x:v>
      </x:c>
      <x:c r="H12" s="4" t="str">
        <x:v>异常处理</x:v>
      </x:c>
      <x:c r="I12" s="4" t="str">
        <x:v>重复回调如何识别同一笔入账？</x:v>
      </x:c>
      <x:c r="J12" s="4" t="str">
        <x:v>A. 以渠道交易号与订单号联合去重
B. 以平台订单号去重，渠道交易号仅作核对</x:v>
      </x:c>
      <x:c r="K12" s="4" t="str">
        <x:v>建议优先评估A：明确支付渠道重复发送成功通知的唯一处理口径后，可构造确定的输入和结果；此建议不代表产品结论</x:v>
      </x:c>
      <x:c r="L12" s="8" t="str"/>
      <x:c r="M12" s="8" t="str"/>
      <x:c r="N12" s="4" t="str">
        <x:v>1. MainBasis/需求待确认清单.md#Q030：支付与退款异步状态
2. 主文档关联：见风险来源中的来源异常范围</x:v>
      </x:c>
      <x:c r="O12" s="4" t="str">
        <x:v>1. 用户App：支付渠道重复发送成功通知
2. 管理后台：支付渠道重复发送成功通知</x:v>
      </x:c>
      <x:c r="P12" s="4" t="str"/>
      <x:c r="Q12" s="4" t="str">
        <x:v>1. 重复回调如何识别同一笔入账的正向、边界及异常场景</x:v>
      </x:c>
      <x:c r="R12" s="4" t="str">
        <x:v>多方确认</x:v>
      </x:c>
      <x:c r="S12" s="4" t="str">
        <x:v>进入对应功能测试前</x:v>
      </x:c>
      <x:c r="T12" s="4" t="str">
        <x:v>待确认</x:v>
      </x:c>
    </x:row>
    <x:row r="13" ht="68" customHeight="1">
      <x:c r="A13" s="4" t="str">
        <x:v>Q-064</x:v>
      </x:c>
      <x:c r="B13" s="4" t="str">
        <x:v>RQ-030</x:v>
      </x:c>
      <x:c r="C13" s="4" t="str"/>
      <x:c r="D13" s="4" t="str"/>
      <x:c r="E13" s="4" t="str">
        <x:v>阻塞测试</x:v>
      </x:c>
      <x:c r="F13" s="4" t="str">
        <x:v>跨模块需求</x:v>
      </x:c>
      <x:c r="G13" s="4" t="str">
        <x:v>订单超时后收到真实支付成功通知</x:v>
      </x:c>
      <x:c r="H13" s="4" t="str">
        <x:v>异常处理</x:v>
      </x:c>
      <x:c r="I13" s="4" t="str">
        <x:v>迟到成功回调是否补记充值？</x:v>
      </x:c>
      <x:c r="J13" s="4" t="str">
        <x:v>A. 补记一次到账并恢复成功状态
B. 不补记金币，发起原渠道退回</x:v>
      </x:c>
      <x:c r="K13" s="4" t="str">
        <x:v>建议优先评估A：明确订单超时后收到真实支付成功通知的唯一处理口径后，可构造确定的输入和结果；此建议不代表产品结论</x:v>
      </x:c>
      <x:c r="L13" s="8" t="str"/>
      <x:c r="M13" s="8" t="str"/>
      <x:c r="N13" s="4" t="str">
        <x:v>1. MainBasis/需求待确认清单.md#Q030：支付与退款异步状态
2. 主文档关联：见风险来源中的来源异常范围</x:v>
      </x:c>
      <x:c r="O13" s="4" t="str">
        <x:v>1. 用户App：订单超时后收到真实支付成功通知
2. 管理后台：订单超时后收到真实支付成功通知</x:v>
      </x:c>
      <x:c r="P13" s="4" t="str"/>
      <x:c r="Q13" s="4" t="str">
        <x:v>1. 迟到成功回调是否补记充值的正向、边界及异常场景</x:v>
      </x:c>
      <x:c r="R13" s="4" t="str">
        <x:v>多方确认</x:v>
      </x:c>
      <x:c r="S13" s="4" t="str">
        <x:v>进入对应功能测试前</x:v>
      </x:c>
      <x:c r="T13" s="4" t="str">
        <x:v>待确认</x:v>
      </x:c>
    </x:row>
    <x:row r="14" ht="96" customHeight="1">
      <x:c r="A14" s="4" t="str">
        <x:v>Q-003</x:v>
      </x:c>
      <x:c r="B14" s="4" t="str">
        <x:v>RQ-002</x:v>
      </x:c>
      <x:c r="C14" s="4" t="str"/>
      <x:c r="D14" s="4" t="str"/>
      <x:c r="E14" s="4" t="str">
        <x:v>部分阻塞</x:v>
      </x:c>
      <x:c r="F14" s="4" t="str">
        <x:v>M05 公会申请·认证·组织与权限</x:v>
      </x:c>
      <x:c r="G14" s="4" t="str">
        <x:v>管理员重新启用曾停用的公会</x:v>
      </x:c>
      <x:c r="H14" s="4" t="str">
        <x:v>业务规则</x:v>
      </x:c>
      <x:c r="I14" s="4" t="str">
        <x:v>恢复启用是否自动恢复停用时解除的主播关系？</x:v>
      </x:c>
      <x:c r="J14" s="4" t="str">
        <x:v>A. 不恢复，主播须重新申请
B. 仅恢复未加入其他公会且账号有效的原成员</x:v>
      </x:c>
      <x:c r="K14" s="4" t="str">
        <x:v>建议优先评估A：明确管理员重新启用曾停用的公会的唯一处理口径后，可构造确定的输入和结果；此建议不代表产品结论</x:v>
      </x:c>
      <x:c r="L14" s="8" t="str"/>
      <x:c r="M14" s="8" t="str"/>
      <x:c r="N14" s="4" t="str">
        <x:v>1. MainBasis/需求待确认清单.md#Q002：公会停用与解散的关系后果
2. 主文档关联：D-SYS-066、U-guild-management-007、G-guild-switch-003、A-admin-guild-list-005</x:v>
      </x:c>
      <x:c r="O14" s="4" t="str">
        <x:v>1. 用户App：管理员重新启用曾停用的公会
2. 公会App：管理员重新启用曾停用的公会
3. 管理后台：管理员重新启用曾停用的公会</x:v>
      </x:c>
      <x:c r="P14" s="4" t="str"/>
      <x:c r="Q14" s="4" t="str">
        <x:v>1. 恢复启用是否自动恢复停用时解除的主播关系的正向、边界及异常场景</x:v>
      </x:c>
      <x:c r="R14" s="4" t="str">
        <x:v>产品</x:v>
      </x:c>
      <x:c r="S14" s="4" t="str">
        <x:v>进入对应功能测试前</x:v>
      </x:c>
      <x:c r="T14" s="4" t="str">
        <x:v>待确认</x:v>
      </x:c>
    </x:row>
    <x:row r="15" ht="96" customHeight="1">
      <x:c r="A15" s="4" t="str">
        <x:v>Q-004</x:v>
      </x:c>
      <x:c r="B15" s="4" t="str">
        <x:v>RQ-002</x:v>
      </x:c>
      <x:c r="C15" s="4" t="str"/>
      <x:c r="D15" s="4" t="str"/>
      <x:c r="E15" s="4" t="str">
        <x:v>部分阻塞</x:v>
      </x:c>
      <x:c r="F15" s="4" t="str">
        <x:v>M05 公会申请·认证·组织与权限</x:v>
      </x:c>
      <x:c r="G15" s="4" t="str">
        <x:v>管理员停用公会时仍有未处理入会申请</x:v>
      </x:c>
      <x:c r="H15" s="4" t="str">
        <x:v>业务规则</x:v>
      </x:c>
      <x:c r="I15" s="4" t="str">
        <x:v>未处理申请是否自动终止？</x:v>
      </x:c>
      <x:c r="J15" s="4" t="str">
        <x:v>A. 终止并标记公会停用
B. 暂停处理，公会恢复后可继续审核</x:v>
      </x:c>
      <x:c r="K15" s="4" t="str">
        <x:v>建议优先评估A：明确管理员停用公会时仍有未处理入会申请的唯一处理口径后，可构造确定的输入和结果；此建议不代表产品结论</x:v>
      </x:c>
      <x:c r="L15" s="8" t="str"/>
      <x:c r="M15" s="8" t="str"/>
      <x:c r="N15" s="4" t="str">
        <x:v>1. MainBasis/需求待确认清单.md#Q002：公会停用与解散的关系后果
2. 主文档关联：D-SYS-066、U-guild-management-007、G-guild-switch-003、A-admin-guild-list-005</x:v>
      </x:c>
      <x:c r="O15" s="4" t="str">
        <x:v>1. 用户App：管理员停用公会时仍有未处理入会申请
2. 公会App：管理员停用公会时仍有未处理入会申请
3. 管理后台：管理员停用公会时仍有未处理入会申请</x:v>
      </x:c>
      <x:c r="P15" s="4" t="str"/>
      <x:c r="Q15" s="4" t="str">
        <x:v>1. 未处理申请是否自动终止的正向、边界及异常场景</x:v>
      </x:c>
      <x:c r="R15" s="4" t="str">
        <x:v>产品</x:v>
      </x:c>
      <x:c r="S15" s="4" t="str">
        <x:v>进入对应功能测试前</x:v>
      </x:c>
      <x:c r="T15" s="4" t="str">
        <x:v>待确认</x:v>
      </x:c>
    </x:row>
    <x:row r="16" ht="96" customHeight="1">
      <x:c r="A16" s="4" t="str">
        <x:v>Q-005</x:v>
      </x:c>
      <x:c r="B16" s="4" t="str">
        <x:v>RQ-002</x:v>
      </x:c>
      <x:c r="C16" s="4" t="str"/>
      <x:c r="D16" s="4" t="str"/>
      <x:c r="E16" s="4" t="str">
        <x:v>部分阻塞</x:v>
      </x:c>
      <x:c r="F16" s="4" t="str">
        <x:v>M05 公会申请·认证·组织与权限</x:v>
      </x:c>
      <x:c r="G16" s="4" t="str">
        <x:v>公会长有多个可管理公会，其中一个停用</x:v>
      </x:c>
      <x:c r="H16" s="4" t="str">
        <x:v>业务规则</x:v>
      </x:c>
      <x:c r="I16" s="4" t="str">
        <x:v>公会切换列表是否显示停用公会？</x:v>
      </x:c>
      <x:c r="J16" s="4" t="str">
        <x:v>A. 隐藏停用公会
B. 显示停用标记但禁止切入</x:v>
      </x:c>
      <x:c r="K16" s="4" t="str">
        <x:v>建议优先评估A：明确公会长有多个可管理公会，其中一个停用的唯一处理口径后，可构造确定的输入和结果；此建议不代表产品结论</x:v>
      </x:c>
      <x:c r="L16" s="8" t="str"/>
      <x:c r="M16" s="8" t="str"/>
      <x:c r="N16" s="4" t="str">
        <x:v>1. MainBasis/需求待确认清单.md#Q002：公会停用与解散的关系后果
2. 主文档关联：D-SYS-066、U-guild-management-007、G-guild-switch-003、A-admin-guild-list-005</x:v>
      </x:c>
      <x:c r="O16" s="4" t="str">
        <x:v>1. 用户App：公会长有多个可管理公会，其中一个停用
2. 公会App：公会长有多个可管理公会，其中一个停用
3. 管理后台：公会长有多个可管理公会，其中一个停用</x:v>
      </x:c>
      <x:c r="P16" s="4" t="str"/>
      <x:c r="Q16" s="4" t="str">
        <x:v>1. 公会切换列表是否显示停用公会的正向、边界及异常场景</x:v>
      </x:c>
      <x:c r="R16" s="4" t="str">
        <x:v>产品</x:v>
      </x:c>
      <x:c r="S16" s="4" t="str">
        <x:v>进入对应功能测试前</x:v>
      </x:c>
      <x:c r="T16" s="4" t="str">
        <x:v>待确认</x:v>
      </x:c>
    </x:row>
    <x:row r="17" ht="96" customHeight="1">
      <x:c r="A17" s="4" t="str">
        <x:v>Q-006</x:v>
      </x:c>
      <x:c r="B17" s="4" t="str">
        <x:v>RQ-003</x:v>
      </x:c>
      <x:c r="C17" s="4" t="str"/>
      <x:c r="D17" s="4" t="str"/>
      <x:c r="E17" s="4" t="str">
        <x:v>部分阻塞</x:v>
      </x:c>
      <x:c r="F17" s="4" t="str">
        <x:v>M05 公会申请·认证·组织与权限</x:v>
      </x:c>
      <x:c r="G17" s="4" t="str">
        <x:v>平台关闭开播权限但锁定标志未开启</x:v>
      </x:c>
      <x:c r="H17" s="4" t="str">
        <x:v>业务规则</x:v>
      </x:c>
      <x:c r="I17" s="4" t="str">
        <x:v>公会端是否仍显示权限已锁定？</x:v>
      </x:c>
      <x:c r="J17" s="4" t="str">
        <x:v>A. 显示平台已关闭，只禁用控制，不显示已锁定
B. 显示已锁定，平台关闭隐含锁定效果</x:v>
      </x:c>
      <x:c r="K17" s="4" t="str">
        <x:v>建议优先评估A：明确平台关闭开播权限但锁定标志未开启的唯一处理口径后，可构造确定的输入和结果；此建议不代表产品结论</x:v>
      </x:c>
      <x:c r="L17" s="8" t="str"/>
      <x:c r="M17" s="8" t="str"/>
      <x:c r="N17" s="4" t="str">
        <x:v>1. MainBasis/需求待确认清单.md#Q003：平台锁定与公会原权限的完整真值表
2. 主文档关联：D-SYS-083、G-guild-host-detail-006、A-admin-host-list-008、A-admin-host-detail-003</x:v>
      </x:c>
      <x:c r="O17" s="4" t="str">
        <x:v>1. 用户App：平台关闭开播权限但锁定标志未开启
2. 公会App：平台关闭开播权限但锁定标志未开启
3. 管理后台：平台关闭开播权限但锁定标志未开启</x:v>
      </x:c>
      <x:c r="P17" s="4" t="str"/>
      <x:c r="Q17" s="4" t="str">
        <x:v>1. 公会端是否仍显示权限已锁定的正向、边界及异常场景</x:v>
      </x:c>
      <x:c r="R17" s="4" t="str">
        <x:v>产品</x:v>
      </x:c>
      <x:c r="S17" s="4" t="str">
        <x:v>进入对应功能测试前</x:v>
      </x:c>
      <x:c r="T17" s="4" t="str">
        <x:v>待确认</x:v>
      </x:c>
    </x:row>
    <x:row r="18" ht="96" customHeight="1">
      <x:c r="A18" s="4" t="str">
        <x:v>Q-007</x:v>
      </x:c>
      <x:c r="B18" s="4" t="str">
        <x:v>RQ-003</x:v>
      </x:c>
      <x:c r="C18" s="4" t="str"/>
      <x:c r="D18" s="4" t="str"/>
      <x:c r="E18" s="4" t="str">
        <x:v>部分阻塞</x:v>
      </x:c>
      <x:c r="F18" s="4" t="str">
        <x:v>M05 公会申请·认证·组织与权限</x:v>
      </x:c>
      <x:c r="G18" s="4" t="str">
        <x:v>平台先关闭再开启主播开播权限</x:v>
      </x:c>
      <x:c r="H18" s="4" t="str">
        <x:v>业务规则</x:v>
      </x:c>
      <x:c r="I18" s="4" t="str">
        <x:v>重新开启时是否保留操作前的锁定标志？</x:v>
      </x:c>
      <x:c r="J18" s="4" t="str">
        <x:v>A. 保留锁定标志，并按该标志重算最终权限
B. 开启时清除锁定，按原公会权限重算</x:v>
      </x:c>
      <x:c r="K18" s="4" t="str">
        <x:v>建议优先评估A：明确平台先关闭再开启主播开播权限的唯一处理口径后，可构造确定的输入和结果；此建议不代表产品结论</x:v>
      </x:c>
      <x:c r="L18" s="8" t="str"/>
      <x:c r="M18" s="8" t="str"/>
      <x:c r="N18" s="4" t="str">
        <x:v>1. MainBasis/需求待确认清单.md#Q003：平台锁定与公会原权限的完整真值表
2. 主文档关联：D-SYS-083、G-guild-host-detail-006、A-admin-host-list-008、A-admin-host-detail-003</x:v>
      </x:c>
      <x:c r="O18" s="4" t="str">
        <x:v>1. 用户App：平台先关闭再开启主播开播权限
2. 公会App：平台先关闭再开启主播开播权限
3. 管理后台：平台先关闭再开启主播开播权限</x:v>
      </x:c>
      <x:c r="P18" s="4" t="str"/>
      <x:c r="Q18" s="4" t="str">
        <x:v>1. 重新开启时是否保留操作前的锁定标志的正向、边界及异常场景</x:v>
      </x:c>
      <x:c r="R18" s="4" t="str">
        <x:v>产品</x:v>
      </x:c>
      <x:c r="S18" s="4" t="str">
        <x:v>进入对应功能测试前</x:v>
      </x:c>
      <x:c r="T18" s="4" t="str">
        <x:v>待确认</x:v>
      </x:c>
    </x:row>
    <x:row r="19" ht="96" customHeight="1">
      <x:c r="A19" s="4" t="str">
        <x:v>Q-008</x:v>
      </x:c>
      <x:c r="B19" s="4" t="str">
        <x:v>RQ-004</x:v>
      </x:c>
      <x:c r="C19" s="4" t="str"/>
      <x:c r="D19" s="4" t="str"/>
      <x:c r="E19" s="4" t="str">
        <x:v>部分阻塞</x:v>
      </x:c>
      <x:c r="F19" s="4" t="str">
        <x:v>M05 公会申请·认证·组织与权限</x:v>
      </x:c>
      <x:c r="G19" s="4" t="str">
        <x:v>主播有未结收益时提交退会申请</x:v>
      </x:c>
      <x:c r="H19" s="4" t="str">
        <x:v>业务规则</x:v>
      </x:c>
      <x:c r="I19" s="4" t="str">
        <x:v>有未结收益时是否允许提交退会申请？</x:v>
      </x:c>
      <x:c r="J19" s="4" t="str">
        <x:v>A. 不允许，收益结清后再办理
B. 允许，旧公会收益归属保留至线下结清</x:v>
      </x:c>
      <x:c r="K19" s="4" t="str">
        <x:v>建议优先评估A：明确主播有未结收益时提交退会申请的唯一处理口径后，可构造确定的输入和结果；此建议不代表产品结论</x:v>
      </x:c>
      <x:c r="L19" s="8" t="str"/>
      <x:c r="M19" s="8" t="str"/>
      <x:c r="N19" s="4" t="str">
        <x:v>1. MainBasis/需求待确认清单.md#Q004：未结算收益是否阻止退会或移除
2. 主文档关联：G-guild-host-detail-009、A-admin-guild-detail-012</x:v>
      </x:c>
      <x:c r="O19" s="4" t="str">
        <x:v>1. 用户App：主播有未结收益时提交退会申请
2. 公会App：主播有未结收益时提交退会申请
3. 管理后台：主播有未结收益时提交退会申请</x:v>
      </x:c>
      <x:c r="P19" s="4" t="str"/>
      <x:c r="Q19" s="4" t="str">
        <x:v>1. 有未结收益时是否允许提交退会申请的正向、边界及异常场景</x:v>
      </x:c>
      <x:c r="R19" s="4" t="str">
        <x:v>产品</x:v>
      </x:c>
      <x:c r="S19" s="4" t="str">
        <x:v>进入对应功能测试前</x:v>
      </x:c>
      <x:c r="T19" s="4" t="str">
        <x:v>待确认</x:v>
      </x:c>
    </x:row>
    <x:row r="20" ht="96" customHeight="1">
      <x:c r="A20" s="4" t="str">
        <x:v>Q-009</x:v>
      </x:c>
      <x:c r="B20" s="4" t="str">
        <x:v>RQ-004</x:v>
      </x:c>
      <x:c r="C20" s="4" t="str"/>
      <x:c r="D20" s="4" t="str"/>
      <x:c r="E20" s="4" t="str">
        <x:v>部分阻塞</x:v>
      </x:c>
      <x:c r="F20" s="4" t="str">
        <x:v>M05 公会申请·认证·组织与权限</x:v>
      </x:c>
      <x:c r="G20" s="4" t="str">
        <x:v>主播有未结收益时通过退会申请</x:v>
      </x:c>
      <x:c r="H20" s="4" t="str">
        <x:v>业务规则</x:v>
      </x:c>
      <x:c r="I20" s="4" t="str">
        <x:v>有未结收益时是否允许通过退会申请？</x:v>
      </x:c>
      <x:c r="J20" s="4" t="str">
        <x:v>A. 不允许，收益结清后再办理
B. 允许，旧公会收益归属保留至线下结清</x:v>
      </x:c>
      <x:c r="K20" s="4" t="str">
        <x:v>建议优先评估A：明确主播有未结收益时通过退会申请的唯一处理口径后，可构造确定的输入和结果；此建议不代表产品结论</x:v>
      </x:c>
      <x:c r="L20" s="8" t="str"/>
      <x:c r="M20" s="8" t="str"/>
      <x:c r="N20" s="4" t="str">
        <x:v>1. MainBasis/需求待确认清单.md#Q004：未结算收益是否阻止退会或移除
2. 主文档关联：G-guild-host-detail-009、A-admin-guild-detail-012</x:v>
      </x:c>
      <x:c r="O20" s="4" t="str">
        <x:v>1. 用户App：主播有未结收益时通过退会申请
2. 公会App：主播有未结收益时通过退会申请
3. 管理后台：主播有未结收益时通过退会申请</x:v>
      </x:c>
      <x:c r="P20" s="4" t="str"/>
      <x:c r="Q20" s="4" t="str">
        <x:v>1. 有未结收益时是否允许通过退会申请的正向、边界及异常场景</x:v>
      </x:c>
      <x:c r="R20" s="4" t="str">
        <x:v>产品</x:v>
      </x:c>
      <x:c r="S20" s="4" t="str">
        <x:v>进入对应功能测试前</x:v>
      </x:c>
      <x:c r="T20" s="4" t="str">
        <x:v>待确认</x:v>
      </x:c>
    </x:row>
    <x:row r="21" ht="96" customHeight="1">
      <x:c r="A21" s="4" t="str">
        <x:v>Q-010</x:v>
      </x:c>
      <x:c r="B21" s="4" t="str">
        <x:v>RQ-005</x:v>
      </x:c>
      <x:c r="C21" s="4" t="str"/>
      <x:c r="D21" s="4" t="str"/>
      <x:c r="E21" s="4" t="str">
        <x:v>部分阻塞</x:v>
      </x:c>
      <x:c r="F21" s="4" t="str">
        <x:v>M11 财务·退款·结算上传与账户调整</x:v>
      </x:c>
      <x:c r="G21" s="4" t="str">
        <x:v>财务改为线下核算后维护商品分成规则</x:v>
      </x:c>
      <x:c r="H21" s="4" t="str">
        <x:v>业务规则</x:v>
      </x:c>
      <x:c r="I21" s="4" t="str">
        <x:v>是否继续维护和绑定SKU分成比例？</x:v>
      </x:c>
      <x:c r="J21" s="4" t="str">
        <x:v>A. 保留配置与历史比例快照，系统不计算分成金额
B. 停止新增和修改配置，历史配置只读归档</x:v>
      </x:c>
      <x:c r="K21" s="4" t="str">
        <x:v>建议优先评估A：明确财务改为线下核算后维护商品分成规则的唯一处理口径后，可构造确定的输入和结果；此建议不代表产品结论</x:v>
      </x:c>
      <x:c r="L21" s="8" t="str"/>
      <x:c r="M21" s="8" t="str"/>
      <x:c r="N21" s="4" t="str">
        <x:v>1. MainBasis/需求待确认清单.md#Q005：SKU 分成配置是否保留及系统计算边界
2. 主文档关联：D-SYS-036、G-guild-share-ledger-005、A-admin-settlement-record-001、A-admin-settlement-record-detail-006</x:v>
      </x:c>
      <x:c r="O21" s="4" t="str">
        <x:v>1. 用户App：财务改为线下核算后维护商品分成规则
2. 公会App：财务改为线下核算后维护商品分成规则
3. 管理后台：财务改为线下核算后维护商品分成规则</x:v>
      </x:c>
      <x:c r="P21" s="4" t="str"/>
      <x:c r="Q21" s="4" t="str">
        <x:v>1. 是否继续维护和绑定SKU分成比例的正向、边界及异常场景</x:v>
      </x:c>
      <x:c r="R21" s="4" t="str">
        <x:v>产品</x:v>
      </x:c>
      <x:c r="S21" s="4" t="str">
        <x:v>进入对应功能测试前</x:v>
      </x:c>
      <x:c r="T21" s="4" t="str">
        <x:v>待确认</x:v>
      </x:c>
    </x:row>
    <x:row r="22" ht="96" customHeight="1">
      <x:c r="A22" s="4" t="str">
        <x:v>Q-014</x:v>
      </x:c>
      <x:c r="B22" s="4" t="str">
        <x:v>RQ-007</x:v>
      </x:c>
      <x:c r="C22" s="4" t="str"/>
      <x:c r="D22" s="4" t="str"/>
      <x:c r="E22" s="4" t="str">
        <x:v>部分阻塞</x:v>
      </x:c>
      <x:c r="F22" s="4" t="str">
        <x:v>M04 粉丝团·房管与成长等级</x:v>
      </x:c>
      <x:c r="G22" s="4" t="str">
        <x:v>十笔幸运礼物各产生0.1金币收益</x:v>
      </x:c>
      <x:c r="H22" s="4" t="str">
        <x:v>业务规则</x:v>
      </x:c>
      <x:c r="I22" s="4" t="str">
        <x:v>幸运收益在哪个粒度舍去不足1金币的部分？</x:v>
      </x:c>
      <x:c r="J22" s="4" t="str">
        <x:v>A. 每笔赠送分别舍去，此例收益0金币
B. 按场次汇总后舍去，此例收益1金币</x:v>
      </x:c>
      <x:c r="K22" s="4" t="str">
        <x:v>建议优先评估A：明确十笔幸运礼物各产生0.1金币收益的唯一处理口径后，可构造确定的输入和结果；此建议不代表产品结论</x:v>
      </x:c>
      <x:c r="L22" s="8" t="str"/>
      <x:c r="M22" s="8" t="str"/>
      <x:c r="N22" s="4" t="str">
        <x:v>1. MainBasis/需求待确认清单.md#Q007：幸运收益与各类金额的精度和取整时点
2. 主文档关联：A-admin-level-config-022</x:v>
      </x:c>
      <x:c r="O22" s="4" t="str">
        <x:v>1. 用户App：十笔幸运礼物各产生0.1金币收益
2. 公会App：十笔幸运礼物各产生0.1金币收益
3. 管理后台：十笔幸运礼物各产生0.1金币收益</x:v>
      </x:c>
      <x:c r="P22" s="4" t="str"/>
      <x:c r="Q22" s="4" t="str">
        <x:v>1. 幸运收益在哪个粒度舍去不足1金币的部分的正向、边界及异常场景</x:v>
      </x:c>
      <x:c r="R22" s="4" t="str">
        <x:v>产品</x:v>
      </x:c>
      <x:c r="S22" s="4" t="str">
        <x:v>进入对应功能测试前</x:v>
      </x:c>
      <x:c r="T22" s="4" t="str">
        <x:v>待确认</x:v>
      </x:c>
    </x:row>
    <x:row r="23" ht="96" customHeight="1">
      <x:c r="A23" s="4" t="str">
        <x:v>Q-015</x:v>
      </x:c>
      <x:c r="B23" s="4" t="str">
        <x:v>RQ-007</x:v>
      </x:c>
      <x:c r="C23" s="4" t="str"/>
      <x:c r="D23" s="4" t="str"/>
      <x:c r="E23" s="4" t="str">
        <x:v>部分阻塞</x:v>
      </x:c>
      <x:c r="F23" s="4" t="str">
        <x:v>M04 粉丝团·房管与成长等级</x:v>
      </x:c>
      <x:c r="G23" s="4" t="str">
        <x:v>后台编辑幸运礼物收益比例</x:v>
      </x:c>
      <x:c r="H23" s="4" t="str">
        <x:v>业务规则</x:v>
      </x:c>
      <x:c r="I23" s="4" t="str">
        <x:v>比例允许的小数位数以何为准？</x:v>
      </x:c>
      <x:c r="J23" s="4" t="str">
        <x:v>A. 最多两位小数，多余精度拒绝保存
B. 仅允许整数百分比</x:v>
      </x:c>
      <x:c r="K23" s="4" t="str">
        <x:v>建议优先评估A：明确后台编辑幸运礼物收益比例的唯一处理口径后，可构造确定的输入和结果；此建议不代表产品结论</x:v>
      </x:c>
      <x:c r="L23" s="8" t="str"/>
      <x:c r="M23" s="8" t="str"/>
      <x:c r="N23" s="4" t="str">
        <x:v>1. MainBasis/需求待确认清单.md#Q007：幸运收益与各类金额的精度和取整时点
2. 主文档关联：A-admin-level-config-022</x:v>
      </x:c>
      <x:c r="O23" s="4" t="str">
        <x:v>1. 用户App：后台编辑幸运礼物收益比例
2. 公会App：后台编辑幸运礼物收益比例
3. 管理后台：后台编辑幸运礼物收益比例</x:v>
      </x:c>
      <x:c r="P23" s="4" t="str"/>
      <x:c r="Q23" s="4" t="str">
        <x:v>1. 比例允许的小数位数以何为准的正向、边界及异常场景</x:v>
      </x:c>
      <x:c r="R23" s="4" t="str">
        <x:v>产品</x:v>
      </x:c>
      <x:c r="S23" s="4" t="str">
        <x:v>进入对应功能测试前</x:v>
      </x:c>
      <x:c r="T23" s="4" t="str">
        <x:v>待确认</x:v>
      </x:c>
    </x:row>
    <x:row r="24" ht="96" customHeight="1">
      <x:c r="A24" s="4" t="str">
        <x:v>Q-016</x:v>
      </x:c>
      <x:c r="B24" s="4" t="str">
        <x:v>RQ-008</x:v>
      </x:c>
      <x:c r="C24" s="4" t="str"/>
      <x:c r="D24" s="4" t="str"/>
      <x:c r="E24" s="4" t="str">
        <x:v>部分阻塞</x:v>
      </x:c>
      <x:c r="F24" s="4" t="str">
        <x:v>M02 发现·搜索·主页与平台榜单</x:v>
      </x:c>
      <x:c r="G24" s="4" t="str">
        <x:v>已成功消费订单发生业务纠错</x:v>
      </x:c>
      <x:c r="H24" s="4" t="str">
        <x:v>业务规则</x:v>
      </x:c>
      <x:c r="I24" s="4" t="str">
        <x:v>本期是否支持消费冲正？</x:v>
      </x:c>
      <x:c r="J24" s="4" t="str">
        <x:v>A. 支持，仅管理后台授权财务可发起，并保留原单
B. 不支持，礼物和门票消费成功后无冲正入口</x:v>
      </x:c>
      <x:c r="K24" s="4" t="str">
        <x:v>建议优先评估A：明确已成功消费订单发生业务纠错的唯一处理口径后，可构造确定的输入和结果；此建议不代表产品结论</x:v>
      </x:c>
      <x:c r="L24" s="8" t="str"/>
      <x:c r="M24" s="8" t="str"/>
      <x:c r="N24" s="4" t="str">
        <x:v>1. MainBasis/需求待确认清单.md#Q008：充值退款与消费冲正的适用范围
2. 主文档关联：D-SYS-134、U-host-ranking-009、A-admin-recharge-order-008、U-contribution-ranking-009</x:v>
      </x:c>
      <x:c r="O24" s="4" t="str">
        <x:v>1. 用户App：已成功消费订单发生业务纠错
2. 公会App：已成功消费订单发生业务纠错
3. 管理后台：已成功消费订单发生业务纠错</x:v>
      </x:c>
      <x:c r="P24" s="4" t="str"/>
      <x:c r="Q24" s="4" t="str">
        <x:v>1. 本期是否支持消费冲正的正向、边界及异常场景</x:v>
      </x:c>
      <x:c r="R24" s="4" t="str">
        <x:v>产品</x:v>
      </x:c>
      <x:c r="S24" s="4" t="str">
        <x:v>进入对应功能测试前</x:v>
      </x:c>
      <x:c r="T24" s="4" t="str">
        <x:v>待确认</x:v>
      </x:c>
    </x:row>
    <x:row r="25" ht="96" customHeight="1">
      <x:c r="A25" s="4" t="str">
        <x:v>Q-017</x:v>
      </x:c>
      <x:c r="B25" s="4" t="str">
        <x:v>RQ-009</x:v>
      </x:c>
      <x:c r="C25" s="4" t="str"/>
      <x:c r="D25" s="4" t="str"/>
      <x:c r="E25" s="4" t="str">
        <x:v>部分阻塞</x:v>
      </x:c>
      <x:c r="F25" s="4" t="str">
        <x:v>M04 粉丝团·房管与成长等级</x:v>
      </x:c>
      <x:c r="G25" s="4" t="str">
        <x:v>充值退款发生但此前赠送的礼物保留</x:v>
      </x:c>
      <x:c r="H25" s="4" t="str">
        <x:v>业务规则</x:v>
      </x:c>
      <x:c r="I25" s="4" t="str">
        <x:v>是否扣减财富等级成长值？</x:v>
      </x:c>
      <x:c r="J25" s="4" t="str">
        <x:v>A. 不扣减，财富成长仍按成功赠礼贡献
B. 按退款回收金币等额扣减财富成长，最低回到1级</x:v>
      </x:c>
      <x:c r="K25" s="4" t="str">
        <x:v>建议优先评估A：明确充值退款发生但此前赠送的礼物保留的唯一处理口径后，可构造确定的输入和结果；此建议不代表产品结论</x:v>
      </x:c>
      <x:c r="L25" s="8" t="str"/>
      <x:c r="M25" s="8" t="str"/>
      <x:c r="N25" s="4" t="str">
        <x:v>1. MainBasis/需求待确认清单.md#Q009：充值退款如何影响以送礼贡献计算的财富等级
2. 主文档关联：U-my-fan-clubs-015、A-admin-level-config-010、A-admin-level-config-023</x:v>
      </x:c>
      <x:c r="O25" s="4" t="str">
        <x:v>1. 用户App：充值退款发生但此前赠送的礼物保留
2. 公会App：充值退款发生但此前赠送的礼物保留
3. 管理后台：充值退款发生但此前赠送的礼物保留</x:v>
      </x:c>
      <x:c r="P25" s="4" t="str"/>
      <x:c r="Q25" s="4" t="str">
        <x:v>1. 是否扣减财富等级成长值的正向、边界及异常场景</x:v>
      </x:c>
      <x:c r="R25" s="4" t="str">
        <x:v>产品</x:v>
      </x:c>
      <x:c r="S25" s="4" t="str">
        <x:v>进入对应功能测试前</x:v>
      </x:c>
      <x:c r="T25" s="4" t="str">
        <x:v>待确认</x:v>
      </x:c>
    </x:row>
    <x:row r="26" ht="110" customHeight="1">
      <x:c r="A26" s="4" t="str">
        <x:v>Q-022</x:v>
      </x:c>
      <x:c r="B26" s="4" t="str">
        <x:v>RQ-011</x:v>
      </x:c>
      <x:c r="C26" s="4" t="str"/>
      <x:c r="D26" s="4" t="str"/>
      <x:c r="E26" s="4" t="str">
        <x:v>部分阻塞</x:v>
      </x:c>
      <x:c r="F26" s="4" t="str">
        <x:v>M08 礼物·道具·任务·邀请与运营配置</x:v>
      </x:c>
      <x:c r="G26" s="4" t="str">
        <x:v>管理员创建任务并选择奖励</x:v>
      </x:c>
      <x:c r="H26" s="4" t="str">
        <x:v>业务规则</x:v>
      </x:c>
      <x:c r="I26" s="4" t="str">
        <x:v>任务奖励是否允许道具？</x:v>
      </x:c>
      <x:c r="J26" s="4" t="str">
        <x:v>A. 仅金币；现有道具视图从本期任务流程移除
B. 允许金币或道具单选；已发出的奖励保持原类型</x:v>
      </x:c>
      <x:c r="K26" s="4" t="str">
        <x:v>建议优先评估A：明确管理员创建任务并选择奖励的唯一处理口径后，可构造确定的输入和结果；此建议不代表产品结论</x:v>
      </x:c>
      <x:c r="L26" s="8" t="str"/>
      <x:c r="M26" s="8" t="str"/>
      <x:c r="N26" s="4" t="str">
        <x:v>1. MainBasis/需求待确认清单.md#Q011：签到、任务与道具奖励的类型和领取方式
2. 主文档关联：U-welfare-center-007、A-admin-task-config-006、U-my-decoration-004、U-views_welfare-center_claimed-005</x:v>
      </x:c>
      <x:c r="O26" s="4" t="str">
        <x:v>1. 用户App：管理员创建任务并选择奖励
2. 公会App：管理员创建任务并选择奖励
3. 管理后台：管理员创建任务并选择奖励</x:v>
      </x:c>
      <x:c r="P26" s="4" t="str"/>
      <x:c r="Q26" s="4" t="str">
        <x:v>1. 任务奖励是否允许道具的正向、边界及异常场景</x:v>
      </x:c>
      <x:c r="R26" s="4" t="str">
        <x:v>产品</x:v>
      </x:c>
      <x:c r="S26" s="4" t="str">
        <x:v>进入对应功能测试前</x:v>
      </x:c>
      <x:c r="T26" s="4" t="str">
        <x:v>待确认</x:v>
      </x:c>
    </x:row>
    <x:row r="27" ht="110" customHeight="1">
      <x:c r="A27" s="4" t="str">
        <x:v>Q-023</x:v>
      </x:c>
      <x:c r="B27" s="4" t="str">
        <x:v>RQ-011</x:v>
      </x:c>
      <x:c r="C27" s="4" t="str"/>
      <x:c r="D27" s="4" t="str"/>
      <x:c r="E27" s="4" t="str">
        <x:v>部分阻塞</x:v>
      </x:c>
      <x:c r="F27" s="4" t="str">
        <x:v>M08 礼物·道具·任务·邀请与运营配置</x:v>
      </x:c>
      <x:c r="G27" s="4" t="str">
        <x:v>用户断签后返回每日签到</x:v>
      </x:c>
      <x:c r="H27" s="4" t="str">
        <x:v>业务规则</x:v>
      </x:c>
      <x:c r="I27" s="4" t="str">
        <x:v>是否允许补签？</x:v>
      </x:c>
      <x:c r="J27" s="4" t="str">
        <x:v>A. 不允许，断签后从第1天重新累计
B. 允许使用补签功能，补签价格及次数以公开配置为准</x:v>
      </x:c>
      <x:c r="K27" s="4" t="str">
        <x:v>建议优先评估A：明确用户断签后返回每日签到的唯一处理口径后，可构造确定的输入和结果；此建议不代表产品结论</x:v>
      </x:c>
      <x:c r="L27" s="8" t="str"/>
      <x:c r="M27" s="8" t="str"/>
      <x:c r="N27" s="4" t="str">
        <x:v>1. MainBasis/需求待确认清单.md#Q011：签到、任务与道具奖励的类型和领取方式
2. 主文档关联：U-welfare-center-007、A-admin-task-config-006、U-my-decoration-004、U-views_welfare-center_claimed-005</x:v>
      </x:c>
      <x:c r="O27" s="4" t="str">
        <x:v>1. 用户App：用户断签后返回每日签到
2. 公会App：用户断签后返回每日签到
3. 管理后台：用户断签后返回每日签到</x:v>
      </x:c>
      <x:c r="P27" s="4" t="str"/>
      <x:c r="Q27" s="4" t="str">
        <x:v>1. 是否允许补签的正向、边界及异常场景</x:v>
      </x:c>
      <x:c r="R27" s="4" t="str">
        <x:v>产品</x:v>
      </x:c>
      <x:c r="S27" s="4" t="str">
        <x:v>进入对应功能测试前</x:v>
      </x:c>
      <x:c r="T27" s="4" t="str">
        <x:v>待确认</x:v>
      </x:c>
    </x:row>
    <x:row r="28" ht="110" customHeight="1">
      <x:c r="A28" s="4" t="str">
        <x:v>Q-024</x:v>
      </x:c>
      <x:c r="B28" s="4" t="str">
        <x:v>RQ-011</x:v>
      </x:c>
      <x:c r="C28" s="4" t="str"/>
      <x:c r="D28" s="4" t="str"/>
      <x:c r="E28" s="4" t="str">
        <x:v>部分阻塞</x:v>
      </x:c>
      <x:c r="F28" s="4" t="str">
        <x:v>M08 礼物·道具·任务·邀请与运营配置</x:v>
      </x:c>
      <x:c r="G28" s="4" t="str">
        <x:v>任务被停用时用户已达标但尚未领取</x:v>
      </x:c>
      <x:c r="H28" s="4" t="str">
        <x:v>业务规则</x:v>
      </x:c>
      <x:c r="I28" s="4" t="str">
        <x:v>停用前已达标且未过领取期限的奖励能否领取？</x:v>
      </x:c>
      <x:c r="J28" s="4" t="str">
        <x:v>A. 可以，按达标时奖励快照领取至原领取期限
B. 不可以，停用起关闭所有未领取奖励</x:v>
      </x:c>
      <x:c r="K28" s="4" t="str">
        <x:v>建议优先评估A：明确任务被停用时用户已达标但尚未领取的唯一处理口径后，可构造确定的输入和结果；此建议不代表产品结论</x:v>
      </x:c>
      <x:c r="L28" s="8" t="str"/>
      <x:c r="M28" s="8" t="str"/>
      <x:c r="N28" s="4" t="str">
        <x:v>1. MainBasis/需求待确认清单.md#Q011：签到、任务与道具奖励的类型和领取方式
2. 主文档关联：U-welfare-center-007、A-admin-task-config-006、U-my-decoration-004、U-views_welfare-center_claimed-005</x:v>
      </x:c>
      <x:c r="O28" s="4" t="str">
        <x:v>1. 用户App：任务被停用时用户已达标但尚未领取
2. 公会App：任务被停用时用户已达标但尚未领取
3. 管理后台：任务被停用时用户已达标但尚未领取</x:v>
      </x:c>
      <x:c r="P28" s="4" t="str"/>
      <x:c r="Q28" s="4" t="str">
        <x:v>1. 停用前已达标且未过领取期限的奖励能否领取的正向、边界及异常场景</x:v>
      </x:c>
      <x:c r="R28" s="4" t="str">
        <x:v>产品</x:v>
      </x:c>
      <x:c r="S28" s="4" t="str">
        <x:v>进入对应功能测试前</x:v>
      </x:c>
      <x:c r="T28" s="4" t="str">
        <x:v>待确认</x:v>
      </x:c>
    </x:row>
    <x:row r="29" ht="96" customHeight="1">
      <x:c r="A29" s="4" t="str">
        <x:v>Q-025</x:v>
      </x:c>
      <x:c r="B29" s="4" t="str">
        <x:v>RQ-012</x:v>
      </x:c>
      <x:c r="C29" s="4" t="str"/>
      <x:c r="D29" s="4" t="str"/>
      <x:c r="E29" s="4" t="str">
        <x:v>部分阻塞</x:v>
      </x:c>
      <x:c r="F29" s="4" t="str">
        <x:v>M08 礼物·道具·任务·邀请与运营配置</x:v>
      </x:c>
      <x:c r="G29" s="4" t="str">
        <x:v>受邀用户首次完成注册绑定</x:v>
      </x:c>
      <x:c r="H29" s="4" t="str">
        <x:v>业务规则</x:v>
      </x:c>
      <x:c r="I29" s="4" t="str">
        <x:v>注册邀请奖励数量采用哪个来源？</x:v>
      </x:c>
      <x:c r="J29" s="4" t="str">
        <x:v>A. 每次固定10金币
B. 按绑定时生效的后台邀请奖励配置</x:v>
      </x:c>
      <x:c r="K29" s="4" t="str">
        <x:v>建议优先评估A：明确受邀用户首次完成注册绑定的唯一处理口径后，可构造确定的输入和结果；此建议不代表产品结论</x:v>
      </x:c>
      <x:c r="L29" s="8" t="str"/>
      <x:c r="M29" s="8" t="str"/>
      <x:c r="N29" s="4" t="str">
        <x:v>1. MainBasis/需求待确认清单.md#Q012：邀请奖励固定值、后台配置与返利范围
2. 主文档关联：U-welfare-center-003、U-invite-friends-005、U-invite-friends-006、U-invite-friends-007</x:v>
      </x:c>
      <x:c r="O29" s="4" t="str">
        <x:v>1. 用户App：受邀用户首次完成注册绑定
2. 公会App：受邀用户首次完成注册绑定
3. 管理后台：受邀用户首次完成注册绑定</x:v>
      </x:c>
      <x:c r="P29" s="4" t="str"/>
      <x:c r="Q29" s="4" t="str">
        <x:v>1. 注册邀请奖励数量采用哪个来源的正向、边界及异常场景</x:v>
      </x:c>
      <x:c r="R29" s="4" t="str">
        <x:v>产品</x:v>
      </x:c>
      <x:c r="S29" s="4" t="str">
        <x:v>进入对应功能测试前</x:v>
      </x:c>
      <x:c r="T29" s="4" t="str">
        <x:v>待确认</x:v>
      </x:c>
    </x:row>
    <x:row r="30" ht="96" customHeight="1">
      <x:c r="A30" s="4" t="str">
        <x:v>Q-026</x:v>
      </x:c>
      <x:c r="B30" s="4" t="str">
        <x:v>RQ-012</x:v>
      </x:c>
      <x:c r="C30" s="4" t="str"/>
      <x:c r="D30" s="4" t="str"/>
      <x:c r="E30" s="4" t="str">
        <x:v>部分阻塞</x:v>
      </x:c>
      <x:c r="F30" s="4" t="str">
        <x:v>M08 礼物·道具·任务·邀请与运营配置</x:v>
      </x:c>
      <x:c r="G30" s="4" t="str">
        <x:v>受邀用户首次完成有效注册绑定</x:v>
      </x:c>
      <x:c r="H30" s="4" t="str">
        <x:v>业务规则</x:v>
      </x:c>
      <x:c r="I30" s="4" t="str">
        <x:v>注册奖励发给谁？</x:v>
      </x:c>
      <x:c r="J30" s="4" t="str">
        <x:v>A. 仅邀请人
B. 邀请人与受邀人各获得一份</x:v>
      </x:c>
      <x:c r="K30" s="4" t="str">
        <x:v>建议优先评估A：明确受邀用户首次完成有效注册绑定的唯一处理口径后，可构造确定的输入和结果；此建议不代表产品结论</x:v>
      </x:c>
      <x:c r="L30" s="8" t="str"/>
      <x:c r="M30" s="8" t="str"/>
      <x:c r="N30" s="4" t="str">
        <x:v>1. MainBasis/需求待确认清单.md#Q012：邀请奖励固定值、后台配置与返利范围
2. 主文档关联：U-welfare-center-003、U-invite-friends-005、U-invite-friends-006、U-invite-friends-007</x:v>
      </x:c>
      <x:c r="O30" s="4" t="str">
        <x:v>1. 用户App：受邀用户首次完成有效注册绑定
2. 公会App：受邀用户首次完成有效注册绑定
3. 管理后台：受邀用户首次完成有效注册绑定</x:v>
      </x:c>
      <x:c r="P30" s="4" t="str"/>
      <x:c r="Q30" s="4" t="str">
        <x:v>1. 注册奖励发给谁的正向、边界及异常场景</x:v>
      </x:c>
      <x:c r="R30" s="4" t="str">
        <x:v>产品</x:v>
      </x:c>
      <x:c r="S30" s="4" t="str">
        <x:v>进入对应功能测试前</x:v>
      </x:c>
      <x:c r="T30" s="4" t="str">
        <x:v>待确认</x:v>
      </x:c>
    </x:row>
    <x:row r="31" ht="96" customHeight="1">
      <x:c r="A31" s="4" t="str">
        <x:v>Q-027</x:v>
      </x:c>
      <x:c r="B31" s="4" t="str">
        <x:v>RQ-012</x:v>
      </x:c>
      <x:c r="C31" s="4" t="str"/>
      <x:c r="D31" s="4" t="str"/>
      <x:c r="E31" s="4" t="str">
        <x:v>部分阻塞</x:v>
      </x:c>
      <x:c r="F31" s="4" t="str">
        <x:v>M08 礼物·道具·任务·邀请与运营配置</x:v>
      </x:c>
      <x:c r="G31" s="4" t="str">
        <x:v>受邀用户后续充值成功</x:v>
      </x:c>
      <x:c r="H31" s="4" t="str">
        <x:v>业务规则</x:v>
      </x:c>
      <x:c r="I31" s="4" t="str">
        <x:v>本期是否提供充值邀请返利？</x:v>
      </x:c>
      <x:c r="J31" s="4" t="str">
        <x:v>A. 不提供，邀请收益仅来自注册绑定
B. 提供，按充值成功时生效的返利比例配置结算</x:v>
      </x:c>
      <x:c r="K31" s="4" t="str">
        <x:v>建议优先评估A：明确受邀用户后续充值成功的唯一处理口径后，可构造确定的输入和结果；此建议不代表产品结论</x:v>
      </x:c>
      <x:c r="L31" s="8" t="str"/>
      <x:c r="M31" s="8" t="str"/>
      <x:c r="N31" s="4" t="str">
        <x:v>1. MainBasis/需求待确认清单.md#Q012：邀请奖励固定值、后台配置与返利范围
2. 主文档关联：U-welfare-center-003、U-invite-friends-005、U-invite-friends-006、U-invite-friends-007</x:v>
      </x:c>
      <x:c r="O31" s="4" t="str">
        <x:v>1. 用户App：受邀用户后续充值成功
2. 公会App：受邀用户后续充值成功
3. 管理后台：受邀用户后续充值成功</x:v>
      </x:c>
      <x:c r="P31" s="4" t="str"/>
      <x:c r="Q31" s="4" t="str">
        <x:v>1. 本期是否提供充值邀请返利的正向、边界及异常场景</x:v>
      </x:c>
      <x:c r="R31" s="4" t="str">
        <x:v>产品</x:v>
      </x:c>
      <x:c r="S31" s="4" t="str">
        <x:v>进入对应功能测试前</x:v>
      </x:c>
      <x:c r="T31" s="4" t="str">
        <x:v>待确认</x:v>
      </x:c>
    </x:row>
    <x:row r="32" ht="96" customHeight="1">
      <x:c r="A32" s="4" t="str">
        <x:v>Q-028</x:v>
      </x:c>
      <x:c r="B32" s="4" t="str">
        <x:v>RQ-013</x:v>
      </x:c>
      <x:c r="C32" s="4" t="str"/>
      <x:c r="D32" s="4" t="str"/>
      <x:c r="E32" s="4" t="str">
        <x:v>部分阻塞</x:v>
      </x:c>
      <x:c r="F32" s="4" t="str">
        <x:v>M04 粉丝团·房管与成长等级</x:v>
      </x:c>
      <x:c r="G32" s="4" t="str">
        <x:v>用户加入主播粉丝团前已向该主播送礼</x:v>
      </x:c>
      <x:c r="H32" s="4" t="str">
        <x:v>业务规则</x:v>
      </x:c>
      <x:c r="I32" s="4" t="str">
        <x:v>入团前礼物是否计入首次粉丝等级？</x:v>
      </x:c>
      <x:c r="J32" s="4" t="str">
        <x:v>A. 不计入，从本次入团时点累计
B. 计入该用户对该主播的全部历史成功赠礼</x:v>
      </x:c>
      <x:c r="K32" s="4" t="str">
        <x:v>建议优先评估A：明确用户加入主播粉丝团前已向该主播送礼的唯一处理口径后，可构造确定的输入和结果；此建议不代表产品结论</x:v>
      </x:c>
      <x:c r="L32" s="8" t="str"/>
      <x:c r="M32" s="8" t="str"/>
      <x:c r="N32" s="4" t="str">
        <x:v>1. MainBasis/需求待确认清单.md#Q013：粉丝等级、团等级与亲密度的统计归属
2. 主文档关联：U-my-fan-clubs-009、A-admin-level-config-022、U-my-fan-clubs-020</x:v>
      </x:c>
      <x:c r="O32" s="4" t="str">
        <x:v>1. 用户App：用户加入主播粉丝团前已向该主播送礼
2. 公会App：用户加入主播粉丝团前已向该主播送礼
3. 管理后台：用户加入主播粉丝团前已向该主播送礼</x:v>
      </x:c>
      <x:c r="P32" s="4" t="str"/>
      <x:c r="Q32" s="4" t="str">
        <x:v>1. 入团前礼物是否计入首次粉丝等级的正向、边界及异常场景</x:v>
      </x:c>
      <x:c r="R32" s="4" t="str">
        <x:v>产品</x:v>
      </x:c>
      <x:c r="S32" s="4" t="str">
        <x:v>进入对应功能测试前</x:v>
      </x:c>
      <x:c r="T32" s="4" t="str">
        <x:v>待确认</x:v>
      </x:c>
    </x:row>
    <x:row r="33" ht="96" customHeight="1">
      <x:c r="A33" s="4" t="str">
        <x:v>Q-029</x:v>
      </x:c>
      <x:c r="B33" s="4" t="str">
        <x:v>RQ-013</x:v>
      </x:c>
      <x:c r="C33" s="4" t="str"/>
      <x:c r="D33" s="4" t="str"/>
      <x:c r="E33" s="4" t="str">
        <x:v>部分阻塞</x:v>
      </x:c>
      <x:c r="F33" s="4" t="str">
        <x:v>M04 粉丝团·房管与成长等级</x:v>
      </x:c>
      <x:c r="G33" s="4" t="str">
        <x:v>粉丝团成员长期未互动但仍保有团籍</x:v>
      </x:c>
      <x:c r="H33" s="4" t="str">
        <x:v>业务规则</x:v>
      </x:c>
      <x:c r="I33" s="4" t="str">
        <x:v>长期不活跃是否降低粉丝团等级？</x:v>
      </x:c>
      <x:c r="J33" s="4" t="str">
        <x:v>A. 不降低，仅按累计有效收礼计算
B. 按后台公开的不活跃周期和降级规则配置调整</x:v>
      </x:c>
      <x:c r="K33" s="4" t="str">
        <x:v>建议优先评估A：明确粉丝团成员长期未互动但仍保有团籍的唯一处理口径后，可构造确定的输入和结果；此建议不代表产品结论</x:v>
      </x:c>
      <x:c r="L33" s="8" t="str"/>
      <x:c r="M33" s="8" t="str"/>
      <x:c r="N33" s="4" t="str">
        <x:v>1. MainBasis/需求待确认清单.md#Q013：粉丝等级、团等级与亲密度的统计归属
2. 主文档关联：U-my-fan-clubs-009、A-admin-level-config-022、U-my-fan-clubs-020</x:v>
      </x:c>
      <x:c r="O33" s="4" t="str">
        <x:v>1. 用户App：粉丝团成员长期未互动但仍保有团籍
2. 公会App：粉丝团成员长期未互动但仍保有团籍
3. 管理后台：粉丝团成员长期未互动但仍保有团籍</x:v>
      </x:c>
      <x:c r="P33" s="4" t="str"/>
      <x:c r="Q33" s="4" t="str">
        <x:v>1. 长期不活跃是否降低粉丝团等级的正向、边界及异常场景</x:v>
      </x:c>
      <x:c r="R33" s="4" t="str">
        <x:v>产品</x:v>
      </x:c>
      <x:c r="S33" s="4" t="str">
        <x:v>进入对应功能测试前</x:v>
      </x:c>
      <x:c r="T33" s="4" t="str">
        <x:v>待确认</x:v>
      </x:c>
    </x:row>
    <x:row r="34" ht="96" customHeight="1">
      <x:c r="A34" s="4" t="str">
        <x:v>Q-030</x:v>
      </x:c>
      <x:c r="B34" s="4" t="str">
        <x:v>RQ-014</x:v>
      </x:c>
      <x:c r="C34" s="4" t="str"/>
      <x:c r="D34" s="4" t="str"/>
      <x:c r="E34" s="4" t="str">
        <x:v>部分阻塞</x:v>
      </x:c>
      <x:c r="F34" s="4" t="str">
        <x:v>M04 粉丝团·房管与成长等级</x:v>
      </x:c>
      <x:c r="G34" s="4" t="str">
        <x:v>已退团用户重新加入后查看贡献榜</x:v>
      </x:c>
      <x:c r="H34" s="4" t="str">
        <x:v>业务规则</x:v>
      </x:c>
      <x:c r="I34" s="4" t="str">
        <x:v>历史团籍贡献是否继续计入榜单？</x:v>
      </x:c>
      <x:c r="J34" s="4" t="str">
        <x:v>A. 只统计当前团籍有效期间的贡献
B. 统计该用户历史全部团籍期间的贡献</x:v>
      </x:c>
      <x:c r="K34" s="4" t="str">
        <x:v>建议优先评估A：明确已退团用户重新加入后查看贡献榜的唯一处理口径后，可构造确定的输入和结果；此建议不代表产品结论</x:v>
      </x:c>
      <x:c r="L34" s="8" t="str"/>
      <x:c r="M34" s="8" t="str"/>
      <x:c r="N34" s="4" t="str">
        <x:v>1. MainBasis/需求待确认清单.md#Q014：粉丝团贡献榜、成员榜与个人卡片的口径
2. 主文档关联：U-my-fan-clubs-010、U-fan-contribution-ranking-002、U-my-fan-clubs-011、U-my-fan-clubs-012</x:v>
      </x:c>
      <x:c r="O34" s="4" t="str">
        <x:v>1. 用户App：已退团用户重新加入后查看贡献榜
2. 公会App：已退团用户重新加入后查看贡献榜
3. 管理后台：已退团用户重新加入后查看贡献榜</x:v>
      </x:c>
      <x:c r="P34" s="4" t="str"/>
      <x:c r="Q34" s="4" t="str">
        <x:v>1. 历史团籍贡献是否继续计入榜单的正向、边界及异常场景</x:v>
      </x:c>
      <x:c r="R34" s="4" t="str">
        <x:v>产品</x:v>
      </x:c>
      <x:c r="S34" s="4" t="str">
        <x:v>进入对应功能测试前</x:v>
      </x:c>
      <x:c r="T34" s="4" t="str">
        <x:v>待确认</x:v>
      </x:c>
    </x:row>
    <x:row r="35" ht="96" customHeight="1">
      <x:c r="A35" s="4" t="str">
        <x:v>Q-031</x:v>
      </x:c>
      <x:c r="B35" s="4" t="str">
        <x:v>RQ-014</x:v>
      </x:c>
      <x:c r="C35" s="4" t="str"/>
      <x:c r="D35" s="4" t="str"/>
      <x:c r="E35" s="4" t="str">
        <x:v>部分阻塞</x:v>
      </x:c>
      <x:c r="F35" s="4" t="str">
        <x:v>M04 粉丝团·房管与成长等级</x:v>
      </x:c>
      <x:c r="G35" s="4" t="str">
        <x:v>当前用户未进入粉丝团贡献前三名</x:v>
      </x:c>
      <x:c r="H35" s="4" t="str">
        <x:v>业务规则</x:v>
      </x:c>
      <x:c r="I35" s="4" t="str">
        <x:v>我的粉丝团卡片的头像位置如何分配？</x:v>
      </x:c>
      <x:c r="J35" s="4" t="str">
        <x:v>A. 本人固定占1位，另2位按贡献排序
B. 仅显示贡献前三名，本人未入前三则不显示本人</x:v>
      </x:c>
      <x:c r="K35" s="4" t="str">
        <x:v>建议优先评估A：明确当前用户未进入粉丝团贡献前三名的唯一处理口径后，可构造确定的输入和结果；此建议不代表产品结论</x:v>
      </x:c>
      <x:c r="L35" s="8" t="str"/>
      <x:c r="M35" s="8" t="str"/>
      <x:c r="N35" s="4" t="str">
        <x:v>1. MainBasis/需求待确认清单.md#Q014：粉丝团贡献榜、成员榜与个人卡片的口径
2. 主文档关联：U-my-fan-clubs-010、U-fan-contribution-ranking-002、U-my-fan-clubs-011、U-my-fan-clubs-012</x:v>
      </x:c>
      <x:c r="O35" s="4" t="str">
        <x:v>1. 用户App：当前用户未进入粉丝团贡献前三名
2. 公会App：当前用户未进入粉丝团贡献前三名
3. 管理后台：当前用户未进入粉丝团贡献前三名</x:v>
      </x:c>
      <x:c r="P35" s="4" t="str"/>
      <x:c r="Q35" s="4" t="str">
        <x:v>1. 我的粉丝团卡片的头像位置如何分配的正向、边界及异常场景</x:v>
      </x:c>
      <x:c r="R35" s="4" t="str">
        <x:v>产品</x:v>
      </x:c>
      <x:c r="S35" s="4" t="str">
        <x:v>进入对应功能测试前</x:v>
      </x:c>
      <x:c r="T35" s="4" t="str">
        <x:v>待确认</x:v>
      </x:c>
    </x:row>
    <x:row r="36" ht="96" customHeight="1">
      <x:c r="A36" s="4" t="str">
        <x:v>Q-032</x:v>
      </x:c>
      <x:c r="B36" s="4" t="str">
        <x:v>RQ-015</x:v>
      </x:c>
      <x:c r="C36" s="4" t="str"/>
      <x:c r="D36" s="4" t="str"/>
      <x:c r="E36" s="4" t="str">
        <x:v>部分阻塞</x:v>
      </x:c>
      <x:c r="F36" s="4" t="str">
        <x:v>M04 粉丝团·房管与成长等级</x:v>
      </x:c>
      <x:c r="G36" s="4" t="str">
        <x:v>管理员编辑连续等级的成长门槛</x:v>
      </x:c>
      <x:c r="H36" s="4" t="str">
        <x:v>业务规则</x:v>
      </x:c>
      <x:c r="I36" s="4" t="str">
        <x:v>相邻等级门槛是否必须严格递增？</x:v>
      </x:c>
      <x:c r="J36" s="4" t="str">
        <x:v>A. 必须严格递增，相同或倒置拒绝保存
B. 允许相同门槛，达标时取其中最高等级</x:v>
      </x:c>
      <x:c r="K36" s="4" t="str">
        <x:v>建议优先评估A：明确管理员编辑连续等级的成长门槛的唯一处理口径后，可构造确定的输入和结果；此建议不代表产品结论</x:v>
      </x:c>
      <x:c r="L36" s="8" t="str"/>
      <x:c r="M36" s="8" t="str"/>
      <x:c r="N36" s="4" t="str">
        <x:v>1. MainBasis/需求待确认清单.md#Q015：等级门槛、保存并发和勋章展示边界
2. 主文档关联：A-admin-level-config-019、A-admin-level-config-020、A-admin-level-config-021、A-admin-level-config-022</x:v>
      </x:c>
      <x:c r="O36" s="4" t="str">
        <x:v>1. 用户App：管理员编辑连续等级的成长门槛
2. 公会App：管理员编辑连续等级的成长门槛
3. 管理后台：管理员编辑连续等级的成长门槛</x:v>
      </x:c>
      <x:c r="P36" s="4" t="str"/>
      <x:c r="Q36" s="4" t="str">
        <x:v>1. 相邻等级门槛是否必须严格递增的正向、边界及异常场景</x:v>
      </x:c>
      <x:c r="R36" s="4" t="str">
        <x:v>产品</x:v>
      </x:c>
      <x:c r="S36" s="4" t="str">
        <x:v>进入对应功能测试前</x:v>
      </x:c>
      <x:c r="T36" s="4" t="str">
        <x:v>待确认</x:v>
      </x:c>
    </x:row>
    <x:row r="37" ht="96" customHeight="1">
      <x:c r="A37" s="4" t="str">
        <x:v>Q-033</x:v>
      </x:c>
      <x:c r="B37" s="4" t="str">
        <x:v>RQ-015</x:v>
      </x:c>
      <x:c r="C37" s="4" t="str"/>
      <x:c r="D37" s="4" t="str"/>
      <x:c r="E37" s="4" t="str">
        <x:v>部分阻塞</x:v>
      </x:c>
      <x:c r="F37" s="4" t="str">
        <x:v>M04 粉丝团·房管与成长等级</x:v>
      </x:c>
      <x:c r="G37" s="4" t="str">
        <x:v>两位管理员同时编辑同一等级配置</x:v>
      </x:c>
      <x:c r="H37" s="4" t="str">
        <x:v>业务规则</x:v>
      </x:c>
      <x:c r="I37" s="4" t="str">
        <x:v>后提交者如何处理版本冲突？</x:v>
      </x:c>
      <x:c r="J37" s="4" t="str">
        <x:v>A. 拒绝旧版本提交并要求刷新
B. 以最后一次成功提交的整组配置为准</x:v>
      </x:c>
      <x:c r="K37" s="4" t="str">
        <x:v>建议优先评估A：明确两位管理员同时编辑同一等级配置的唯一处理口径后，可构造确定的输入和结果；此建议不代表产品结论</x:v>
      </x:c>
      <x:c r="L37" s="8" t="str"/>
      <x:c r="M37" s="8" t="str"/>
      <x:c r="N37" s="4" t="str">
        <x:v>1. MainBasis/需求待确认清单.md#Q015：等级门槛、保存并发和勋章展示边界
2. 主文档关联：A-admin-level-config-019、A-admin-level-config-020、A-admin-level-config-021、A-admin-level-config-022</x:v>
      </x:c>
      <x:c r="O37" s="4" t="str">
        <x:v>1. 用户App：两位管理员同时编辑同一等级配置
2. 公会App：两位管理员同时编辑同一等级配置
3. 管理后台：两位管理员同时编辑同一等级配置</x:v>
      </x:c>
      <x:c r="P37" s="4" t="str"/>
      <x:c r="Q37" s="4" t="str">
        <x:v>1. 后提交者如何处理版本冲突的正向、边界及异常场景</x:v>
      </x:c>
      <x:c r="R37" s="4" t="str">
        <x:v>产品</x:v>
      </x:c>
      <x:c r="S37" s="4" t="str">
        <x:v>进入对应功能测试前</x:v>
      </x:c>
      <x:c r="T37" s="4" t="str">
        <x:v>待确认</x:v>
      </x:c>
    </x:row>
    <x:row r="38" ht="96" customHeight="1">
      <x:c r="A38" s="4" t="str">
        <x:v>Q-034</x:v>
      </x:c>
      <x:c r="B38" s="4" t="str">
        <x:v>RQ-015</x:v>
      </x:c>
      <x:c r="C38" s="4" t="str"/>
      <x:c r="D38" s="4" t="str"/>
      <x:c r="E38" s="4" t="str">
        <x:v>部分阻塞</x:v>
      </x:c>
      <x:c r="F38" s="4" t="str">
        <x:v>M04 粉丝团·房管与成长等级</x:v>
      </x:c>
      <x:c r="G38" s="4" t="str">
        <x:v>用户成长后获得更高等级勋章</x:v>
      </x:c>
      <x:c r="H38" s="4" t="str">
        <x:v>业务规则</x:v>
      </x:c>
      <x:c r="I38" s="4" t="str">
        <x:v>新等级勋章是否自动替换已佩戴的旧等级勋章？</x:v>
      </x:c>
      <x:c r="J38" s="4" t="str">
        <x:v>A. 自动替换同系列旧勋章
B. 仅发入背包，由用户手动佩戴</x:v>
      </x:c>
      <x:c r="K38" s="4" t="str">
        <x:v>建议优先评估A：明确用户成长后获得更高等级勋章的唯一处理口径后，可构造确定的输入和结果；此建议不代表产品结论</x:v>
      </x:c>
      <x:c r="L38" s="8" t="str"/>
      <x:c r="M38" s="8" t="str"/>
      <x:c r="N38" s="4" t="str">
        <x:v>1. MainBasis/需求待确认清单.md#Q015：等级门槛、保存并发和勋章展示边界
2. 主文档关联：A-admin-level-config-019、A-admin-level-config-020、A-admin-level-config-021、A-admin-level-config-022</x:v>
      </x:c>
      <x:c r="O38" s="4" t="str">
        <x:v>1. 用户App：用户成长后获得更高等级勋章
2. 公会App：用户成长后获得更高等级勋章
3. 管理后台：用户成长后获得更高等级勋章</x:v>
      </x:c>
      <x:c r="P38" s="4" t="str"/>
      <x:c r="Q38" s="4" t="str">
        <x:v>1. 新等级勋章是否自动替换已佩戴的旧等级勋章的正向、边界及异常场景</x:v>
      </x:c>
      <x:c r="R38" s="4" t="str">
        <x:v>产品</x:v>
      </x:c>
      <x:c r="S38" s="4" t="str">
        <x:v>进入对应功能测试前</x:v>
      </x:c>
      <x:c r="T38" s="4" t="str">
        <x:v>待确认</x:v>
      </x:c>
    </x:row>
    <x:row r="39" ht="96" customHeight="1">
      <x:c r="A39" s="4" t="str">
        <x:v>Q-035</x:v>
      </x:c>
      <x:c r="B39" s="4" t="str">
        <x:v>RQ-016</x:v>
      </x:c>
      <x:c r="C39" s="4" t="str"/>
      <x:c r="D39" s="4" t="str"/>
      <x:c r="E39" s="4" t="str">
        <x:v>部分阻塞</x:v>
      </x:c>
      <x:c r="F39" s="4" t="str">
        <x:v>M06 开播·房型·观看·连麦与房内管理</x:v>
      </x:c>
      <x:c r="G39" s="4" t="str">
        <x:v>主播接受一条连麦邀请且还有其他已收到邀请</x:v>
      </x:c>
      <x:c r="H39" s="4" t="str">
        <x:v>业务规则</x:v>
      </x:c>
      <x:c r="I39" s="4" t="str">
        <x:v>接受后其他已收到邀请是否失效？</x:v>
      </x:c>
      <x:c r="J39" s="4" t="str">
        <x:v>A. 保留，恢复单播后在原有效期内可继续处理
B. 全部失效，不再允许接受</x:v>
      </x:c>
      <x:c r="K39" s="4" t="str">
        <x:v>建议优先评估A：明确主播接受一条连麦邀请且还有其他已收到邀请的唯一处理口径后，可构造确定的输入和结果；此建议不代表产品结论</x:v>
      </x:c>
      <x:c r="L39" s="8" t="str"/>
      <x:c r="M39" s="8" t="str"/>
      <x:c r="N39" s="4" t="str">
        <x:v>1. MainBasis/需求待确认清单.md#Q016：接受连麦后其他收到的邀请是否保留
2. 主文档关联：D-SYS-110、U-views_live-room-host_cohost-hosts-006、U-views_live-room-host_cohost-invite-notice-005</x:v>
      </x:c>
      <x:c r="O39" s="4" t="str">
        <x:v>1. 用户App：主播接受一条连麦邀请且还有其他已收到邀请
2. 公会App：主播接受一条连麦邀请且还有其他已收到邀请
3. 管理后台：主播接受一条连麦邀请且还有其他已收到邀请</x:v>
      </x:c>
      <x:c r="P39" s="4" t="str"/>
      <x:c r="Q39" s="4" t="str">
        <x:v>1. 接受后其他已收到邀请是否失效的正向、边界及异常场景</x:v>
      </x:c>
      <x:c r="R39" s="4" t="str">
        <x:v>产品</x:v>
      </x:c>
      <x:c r="S39" s="4" t="str">
        <x:v>进入对应功能测试前</x:v>
      </x:c>
      <x:c r="T39" s="4" t="str">
        <x:v>待确认</x:v>
      </x:c>
    </x:row>
    <x:row r="40" ht="82" customHeight="1">
      <x:c r="A40" s="4" t="str">
        <x:v>Q-036</x:v>
      </x:c>
      <x:c r="B40" s="4" t="str">
        <x:v>RQ-017</x:v>
      </x:c>
      <x:c r="C40" s="4" t="str"/>
      <x:c r="D40" s="4" t="str"/>
      <x:c r="E40" s="4" t="str">
        <x:v>部分阻塞</x:v>
      </x:c>
      <x:c r="F40" s="4" t="str">
        <x:v>M06 开播·房型·观看·连麦与房内管理</x:v>
      </x:c>
      <x:c r="G40" s="4" t="str">
        <x:v>主播在直播间清屏</x:v>
      </x:c>
      <x:c r="H40" s="4" t="str">
        <x:v>跨端与跨模块一致性</x:v>
      </x:c>
      <x:c r="I40" s="4" t="str">
        <x:v>主播清屏是否影响其他设备的评论？</x:v>
      </x:c>
      <x:c r="J40" s="4" t="str">
        <x:v>A. 仅清除当前设备已展示的评论
B. 同步清除本场所有在线设备已展示的评论</x:v>
      </x:c>
      <x:c r="K40" s="4" t="str">
        <x:v>建议优先评估A：明确主播在直播间清屏的唯一处理口径后，可构造确定的输入和结果；此建议不代表产品结论</x:v>
      </x:c>
      <x:c r="L40" s="8" t="str"/>
      <x:c r="M40" s="8" t="str"/>
      <x:c r="N40" s="4" t="str">
        <x:v>1. MainBasis/需求待确认清单.md#Q017：清屏的作用范围
2. 主文档关联：D-SYS-102、U-live-room-017、U-live-room-host-013、U-views_live-room_more-actions-003</x:v>
      </x:c>
      <x:c r="O40" s="4" t="str">
        <x:v>1. 用户App：主播在直播间清屏
2. 管理后台：主播在直播间清屏</x:v>
      </x:c>
      <x:c r="P40" s="4" t="str"/>
      <x:c r="Q40" s="4" t="str">
        <x:v>1. 主播清屏是否影响其他设备的评论的正向、边界及异常场景</x:v>
      </x:c>
      <x:c r="R40" s="4" t="str">
        <x:v>产品</x:v>
      </x:c>
      <x:c r="S40" s="4" t="str">
        <x:v>进入对应功能测试前</x:v>
      </x:c>
      <x:c r="T40" s="4" t="str">
        <x:v>待确认</x:v>
      </x:c>
    </x:row>
    <x:row r="41" ht="82" customHeight="1">
      <x:c r="A41" s="4" t="str">
        <x:v>Q-037</x:v>
      </x:c>
      <x:c r="B41" s="4" t="str">
        <x:v>RQ-017</x:v>
      </x:c>
      <x:c r="C41" s="4" t="str"/>
      <x:c r="D41" s="4" t="str"/>
      <x:c r="E41" s="4" t="str">
        <x:v>部分阻塞</x:v>
      </x:c>
      <x:c r="F41" s="4" t="str">
        <x:v>M06 开播·房型·观看·连麦与房内管理</x:v>
      </x:c>
      <x:c r="G41" s="4" t="str">
        <x:v>观众在直播间清屏</x:v>
      </x:c>
      <x:c r="H41" s="4" t="str">
        <x:v>跨端与跨模块一致性</x:v>
      </x:c>
      <x:c r="I41" s="4" t="str">
        <x:v>观众清屏是否影响其他设备的评论？</x:v>
      </x:c>
      <x:c r="J41" s="4" t="str">
        <x:v>A. 仅清除当前设备已展示的评论
B. 同步清除本场所有在线设备已展示的评论</x:v>
      </x:c>
      <x:c r="K41" s="4" t="str">
        <x:v>建议优先评估A：明确观众在直播间清屏的唯一处理口径后，可构造确定的输入和结果；此建议不代表产品结论</x:v>
      </x:c>
      <x:c r="L41" s="8" t="str"/>
      <x:c r="M41" s="8" t="str"/>
      <x:c r="N41" s="4" t="str">
        <x:v>1. MainBasis/需求待确认清单.md#Q017：清屏的作用范围
2. 主文档关联：D-SYS-102、U-live-room-017、U-live-room-host-013、U-views_live-room_more-actions-003</x:v>
      </x:c>
      <x:c r="O41" s="4" t="str">
        <x:v>1. 用户App：观众在直播间清屏
2. 管理后台：观众在直播间清屏</x:v>
      </x:c>
      <x:c r="P41" s="4" t="str"/>
      <x:c r="Q41" s="4" t="str">
        <x:v>1. 观众清屏是否影响其他设备的评论的正向、边界及异常场景</x:v>
      </x:c>
      <x:c r="R41" s="4" t="str">
        <x:v>产品</x:v>
      </x:c>
      <x:c r="S41" s="4" t="str">
        <x:v>进入对应功能测试前</x:v>
      </x:c>
      <x:c r="T41" s="4" t="str">
        <x:v>待确认</x:v>
      </x:c>
    </x:row>
    <x:row r="42" ht="96" customHeight="1">
      <x:c r="A42" s="4" t="str">
        <x:v>Q-038</x:v>
      </x:c>
      <x:c r="B42" s="4" t="str">
        <x:v>RQ-018</x:v>
      </x:c>
      <x:c r="C42" s="4" t="str"/>
      <x:c r="D42" s="4" t="str"/>
      <x:c r="E42" s="4" t="str">
        <x:v>部分阻塞</x:v>
      </x:c>
      <x:c r="F42" s="4" t="str">
        <x:v>M02 发现·搜索·主页与平台榜单</x:v>
      </x:c>
      <x:c r="G42" s="4" t="str">
        <x:v>用户金币余额为负数并发起注销</x:v>
      </x:c>
      <x:c r="H42" s="4" t="str">
        <x:v>业务规则</x:v>
      </x:c>
      <x:c r="I42" s="4" t="str">
        <x:v>负余额是否满足小于100金币的注销条件？</x:v>
      </x:c>
      <x:c r="J42" s="4" t="str">
        <x:v>A. 不满足，负余额结清至非负后才能申请
B. 满足，余额小于100即可申请</x:v>
      </x:c>
      <x:c r="K42" s="4" t="str">
        <x:v>建议优先评估A：明确用户金币余额为负数并发起注销的唯一处理口径后，可构造确定的输入和结果；此建议不代表产品结论</x:v>
      </x:c>
      <x:c r="L42" s="8" t="str"/>
      <x:c r="M42" s="8" t="str"/>
      <x:c r="N42" s="4" t="str">
        <x:v>1. MainBasis/需求待确认清单.md#Q018：注销资产门槛和冷静期后数据留存
2. 主文档关联：U-host-ranking-009、U-contribution-ranking-009、U-fan-contribution-ranking-009、U-auth-login-register-014</x:v>
      </x:c>
      <x:c r="O42" s="4" t="str">
        <x:v>1. 用户App：用户金币余额为负数并发起注销
2. 公会App：用户金币余额为负数并发起注销
3. 管理后台：用户金币余额为负数并发起注销</x:v>
      </x:c>
      <x:c r="P42" s="4" t="str"/>
      <x:c r="Q42" s="4" t="str">
        <x:v>1. 负余额是否满足小于100金币的注销条件的正向、边界及异常场景</x:v>
      </x:c>
      <x:c r="R42" s="4" t="str">
        <x:v>产品</x:v>
      </x:c>
      <x:c r="S42" s="4" t="str">
        <x:v>进入对应功能测试前</x:v>
      </x:c>
      <x:c r="T42" s="4" t="str">
        <x:v>待确认</x:v>
      </x:c>
    </x:row>
    <x:row r="43" ht="96" customHeight="1">
      <x:c r="A43" s="4" t="str">
        <x:v>Q-039</x:v>
      </x:c>
      <x:c r="B43" s="4" t="str">
        <x:v>RQ-018</x:v>
      </x:c>
      <x:c r="C43" s="4" t="str"/>
      <x:c r="D43" s="4" t="str"/>
      <x:c r="E43" s="4" t="str">
        <x:v>部分阻塞</x:v>
      </x:c>
      <x:c r="F43" s="4" t="str">
        <x:v>M02 发现·搜索·主页与平台榜单</x:v>
      </x:c>
      <x:c r="G43" s="4" t="str">
        <x:v>主播仍有未结收益并发起注销</x:v>
      </x:c>
      <x:c r="H43" s="4" t="str">
        <x:v>业务规则</x:v>
      </x:c>
      <x:c r="I43" s="4" t="str">
        <x:v>未结收益是否阻止注销申请？</x:v>
      </x:c>
      <x:c r="J43" s="4" t="str">
        <x:v>A. 阻止，结清后才能提交
B. 不阻止，保留财务身份与债权记录至结清</x:v>
      </x:c>
      <x:c r="K43" s="4" t="str">
        <x:v>建议优先评估A：明确主播仍有未结收益并发起注销的唯一处理口径后，可构造确定的输入和结果；此建议不代表产品结论</x:v>
      </x:c>
      <x:c r="L43" s="8" t="str"/>
      <x:c r="M43" s="8" t="str"/>
      <x:c r="N43" s="4" t="str">
        <x:v>1. MainBasis/需求待确认清单.md#Q018：注销资产门槛和冷静期后数据留存
2. 主文档关联：U-host-ranking-009、U-contribution-ranking-009、U-fan-contribution-ranking-009、U-auth-login-register-014</x:v>
      </x:c>
      <x:c r="O43" s="4" t="str">
        <x:v>1. 用户App：主播仍有未结收益并发起注销
2. 公会App：主播仍有未结收益并发起注销
3. 管理后台：主播仍有未结收益并发起注销</x:v>
      </x:c>
      <x:c r="P43" s="4" t="str"/>
      <x:c r="Q43" s="4" t="str">
        <x:v>1. 未结收益是否阻止注销申请的正向、边界及异常场景</x:v>
      </x:c>
      <x:c r="R43" s="4" t="str">
        <x:v>产品</x:v>
      </x:c>
      <x:c r="S43" s="4" t="str">
        <x:v>进入对应功能测试前</x:v>
      </x:c>
      <x:c r="T43" s="4" t="str">
        <x:v>待确认</x:v>
      </x:c>
    </x:row>
    <x:row r="44" ht="96" customHeight="1">
      <x:c r="A44" s="4" t="str">
        <x:v>Q-040</x:v>
      </x:c>
      <x:c r="B44" s="4" t="str">
        <x:v>RQ-018</x:v>
      </x:c>
      <x:c r="C44" s="4" t="str"/>
      <x:c r="D44" s="4" t="str"/>
      <x:c r="E44" s="4" t="str">
        <x:v>部分阻塞</x:v>
      </x:c>
      <x:c r="F44" s="4" t="str">
        <x:v>M02 发现·搜索·主页与平台榜单</x:v>
      </x:c>
      <x:c r="G44" s="4" t="str">
        <x:v>七日冷静期结束，账号最终注销</x:v>
      </x:c>
      <x:c r="H44" s="4" t="str">
        <x:v>业务规则</x:v>
      </x:c>
      <x:c r="I44" s="4" t="str">
        <x:v>财务及榜单历史是否保留？</x:v>
      </x:c>
      <x:c r="J44" s="4" t="str">
        <x:v>A. 保留去标识历史记录，名称统一为账号已注销
B. 删除个人展示历史，财务凭证按独立留存规则保留</x:v>
      </x:c>
      <x:c r="K44" s="4" t="str">
        <x:v>建议优先评估A：明确七日冷静期结束，账号最终注销的唯一处理口径后，可构造确定的输入和结果；此建议不代表产品结论</x:v>
      </x:c>
      <x:c r="L44" s="8" t="str"/>
      <x:c r="M44" s="8" t="str"/>
      <x:c r="N44" s="4" t="str">
        <x:v>1. MainBasis/需求待确认清单.md#Q018：注销资产门槛和冷静期后数据留存
2. 主文档关联：U-host-ranking-009、U-contribution-ranking-009、U-fan-contribution-ranking-009、U-auth-login-register-014</x:v>
      </x:c>
      <x:c r="O44" s="4" t="str">
        <x:v>1. 用户App：七日冷静期结束，账号最终注销
2. 公会App：七日冷静期结束，账号最终注销
3. 管理后台：七日冷静期结束，账号最终注销</x:v>
      </x:c>
      <x:c r="P44" s="4" t="str"/>
      <x:c r="Q44" s="4" t="str">
        <x:v>1. 财务及榜单历史是否保留的正向、边界及异常场景</x:v>
      </x:c>
      <x:c r="R44" s="4" t="str">
        <x:v>产品</x:v>
      </x:c>
      <x:c r="S44" s="4" t="str">
        <x:v>进入对应功能测试前</x:v>
      </x:c>
      <x:c r="T44" s="4" t="str">
        <x:v>待确认</x:v>
      </x:c>
    </x:row>
    <x:row r="45" ht="68" customHeight="1">
      <x:c r="A45" s="4" t="str">
        <x:v>Q-041</x:v>
      </x:c>
      <x:c r="B45" s="4" t="str">
        <x:v>RQ-019</x:v>
      </x:c>
      <x:c r="C45" s="4" t="str"/>
      <x:c r="D45" s="4" t="str"/>
      <x:c r="E45" s="4" t="str">
        <x:v>部分阻塞</x:v>
      </x:c>
      <x:c r="F45" s="4" t="str">
        <x:v>M01 账号·登录·资料与设置</x:v>
      </x:c>
      <x:c r="G45" s="4" t="str">
        <x:v>未注册手机号通过验证码验证</x:v>
      </x:c>
      <x:c r="H45" s="4" t="str">
        <x:v>业务规则</x:v>
      </x:c>
      <x:c r="I45" s="4" t="str">
        <x:v>手机号验证码验证成功是否自动注册？</x:v>
      </x:c>
      <x:c r="J45" s="4" t="str">
        <x:v>A. 自动注册并进入资料补全
B. 不注册，提示账号不存在并引导注册</x:v>
      </x:c>
      <x:c r="K45" s="4" t="str">
        <x:v>建议优先评估A：明确未注册手机号通过验证码验证的唯一处理口径后，可构造确定的输入和结果；此建议不代表产品结论</x:v>
      </x:c>
      <x:c r="L45" s="8" t="str"/>
      <x:c r="M45" s="8" t="str"/>
      <x:c r="N45" s="4" t="str">
        <x:v>1. MainBasis/需求待确认清单.md#Q019：手机号/邮箱账号建立、找回和绑定
2. 主文档关联：U-auth-login-register-011</x:v>
      </x:c>
      <x:c r="O45" s="4" t="str">
        <x:v>1. 用户App：未注册手机号通过验证码验证</x:v>
      </x:c>
      <x:c r="P45" s="4" t="str"/>
      <x:c r="Q45" s="4" t="str">
        <x:v>1. 手机号验证码验证成功是否自动注册的正向、边界及异常场景</x:v>
      </x:c>
      <x:c r="R45" s="4" t="str">
        <x:v>产品</x:v>
      </x:c>
      <x:c r="S45" s="4" t="str">
        <x:v>进入对应功能测试前</x:v>
      </x:c>
      <x:c r="T45" s="4" t="str">
        <x:v>待确认</x:v>
      </x:c>
    </x:row>
    <x:row r="46" ht="68" customHeight="1">
      <x:c r="A46" s="4" t="str">
        <x:v>Q-042</x:v>
      </x:c>
      <x:c r="B46" s="4" t="str">
        <x:v>RQ-019</x:v>
      </x:c>
      <x:c r="C46" s="4" t="str"/>
      <x:c r="D46" s="4" t="str"/>
      <x:c r="E46" s="4" t="str">
        <x:v>部分阻塞</x:v>
      </x:c>
      <x:c r="F46" s="4" t="str">
        <x:v>M01 账号·登录·资料与设置</x:v>
      </x:c>
      <x:c r="G46" s="4" t="str">
        <x:v>未注册邮箱通过验证码验证</x:v>
      </x:c>
      <x:c r="H46" s="4" t="str">
        <x:v>业务规则</x:v>
      </x:c>
      <x:c r="I46" s="4" t="str">
        <x:v>邮箱验证码验证成功是否自动注册？</x:v>
      </x:c>
      <x:c r="J46" s="4" t="str">
        <x:v>A. 自动注册并进入资料补全
B. 不注册，提示账号不存在并引导注册</x:v>
      </x:c>
      <x:c r="K46" s="4" t="str">
        <x:v>建议优先评估A：明确未注册邮箱通过验证码验证的唯一处理口径后，可构造确定的输入和结果；此建议不代表产品结论</x:v>
      </x:c>
      <x:c r="L46" s="8" t="str"/>
      <x:c r="M46" s="8" t="str"/>
      <x:c r="N46" s="4" t="str">
        <x:v>1. MainBasis/需求待确认清单.md#Q019：手机号/邮箱账号建立、找回和绑定
2. 主文档关联：U-auth-login-register-011</x:v>
      </x:c>
      <x:c r="O46" s="4" t="str">
        <x:v>1. 用户App：未注册邮箱通过验证码验证</x:v>
      </x:c>
      <x:c r="P46" s="4" t="str"/>
      <x:c r="Q46" s="4" t="str">
        <x:v>1. 邮箱验证码验证成功是否自动注册的正向、边界及异常场景</x:v>
      </x:c>
      <x:c r="R46" s="4" t="str">
        <x:v>产品</x:v>
      </x:c>
      <x:c r="S46" s="4" t="str">
        <x:v>进入对应功能测试前</x:v>
      </x:c>
      <x:c r="T46" s="4" t="str">
        <x:v>待确认</x:v>
      </x:c>
    </x:row>
    <x:row r="47" ht="96" customHeight="1">
      <x:c r="A47" s="4" t="str">
        <x:v>Q-043</x:v>
      </x:c>
      <x:c r="B47" s="4" t="str">
        <x:v>RQ-019</x:v>
      </x:c>
      <x:c r="C47" s="4" t="str"/>
      <x:c r="D47" s="4" t="str"/>
      <x:c r="E47" s="4" t="str">
        <x:v>部分阻塞</x:v>
      </x:c>
      <x:c r="F47" s="4" t="str">
        <x:v>M01 账号·登录·资料与设置</x:v>
      </x:c>
      <x:c r="G47" s="4" t="str">
        <x:v>手机号已被另一账号绑定，当前用户申请绑定</x:v>
      </x:c>
      <x:c r="H47" s="4" t="str">
        <x:v>业务规则</x:v>
      </x:c>
      <x:c r="I47" s="4" t="str">
        <x:v>发生手机号绑定冲突时如何处理？</x:v>
      </x:c>
      <x:c r="J47" s="4" t="str">
        <x:v>A. 拒绝绑定，不合并账号
B. 验证原账号所有权后执行账号合并</x:v>
      </x:c>
      <x:c r="K47" s="4" t="str">
        <x:v>建议优先评估A：明确手机号已被另一账号绑定，当前用户申请绑定的唯一处理口径后，可构造确定的输入和结果；此建议不代表产品结论</x:v>
      </x:c>
      <x:c r="L47" s="8" t="str"/>
      <x:c r="M47" s="8" t="str"/>
      <x:c r="N47" s="4" t="str">
        <x:v>1. MainBasis/需求待确认清单.md#Q019：手机号/邮箱账号建立、找回和绑定
2. 主文档关联：U-auth-login-register-011</x:v>
      </x:c>
      <x:c r="O47" s="4" t="str">
        <x:v>1. 用户App：手机号已被另一账号绑定，当前用户申请绑定
2. 公会App：手机号已被另一账号绑定，当前用户申请绑定
3. 管理后台：手机号已被另一账号绑定，当前用户申请绑定</x:v>
      </x:c>
      <x:c r="P47" s="4" t="str"/>
      <x:c r="Q47" s="4" t="str">
        <x:v>1. 发生手机号绑定冲突时如何处理的正向、边界及异常场景</x:v>
      </x:c>
      <x:c r="R47" s="4" t="str">
        <x:v>产品</x:v>
      </x:c>
      <x:c r="S47" s="4" t="str">
        <x:v>进入对应功能测试前</x:v>
      </x:c>
      <x:c r="T47" s="4" t="str">
        <x:v>待确认</x:v>
      </x:c>
    </x:row>
    <x:row r="48" ht="68" customHeight="1">
      <x:c r="A48" s="4" t="str">
        <x:v>Q-082</x:v>
      </x:c>
      <x:c r="B48" s="4" t="str">
        <x:v>RQ-019</x:v>
      </x:c>
      <x:c r="C48" s="4" t="str"/>
      <x:c r="D48" s="4" t="str"/>
      <x:c r="E48" s="4" t="str">
        <x:v>部分阻塞</x:v>
      </x:c>
      <x:c r="F48" s="4" t="str">
        <x:v>M01 账号·登录·资料与设置</x:v>
      </x:c>
      <x:c r="G48" s="4" t="str">
        <x:v>运营账号已拥有登录账号和密码，在用户App尝试登录</x:v>
      </x:c>
      <x:c r="H48" s="4" t="str">
        <x:v>角色与权限</x:v>
      </x:c>
      <x:c r="I48" s="4" t="str">
        <x:v>运营账号应使用哪个用户App入口？</x:v>
      </x:c>
      <x:c r="J48" s="4" t="str">
        <x:v>A. 复用手机号密码登录，运营登录账号必须绑定手机号
B. 提供独立运营账号密码入口，不要求手机号</x:v>
      </x:c>
      <x:c r="K48" s="4" t="str">
        <x:v>建议优先评估A：明确运营账号已拥有登录账号和密码，在用户App尝试登录的唯一处理口径后，可构造确定的输入和结果；此建议不代表产品结论</x:v>
      </x:c>
      <x:c r="L48" s="8" t="str"/>
      <x:c r="M48" s="8" t="str"/>
      <x:c r="N48" s="4" t="str">
        <x:v>1. MainBasis/需求待确认清单.md#Q019：手机号/邮箱账号建立、找回和绑定
2. 主文档关联：U-auth-login-register-011</x:v>
      </x:c>
      <x:c r="O48" s="4" t="str">
        <x:v>1. 用户App：运营账号已拥有登录账号和密码，在用户App尝试登录
2. 公会App：运营账号已拥有登录账号和密码，在用户App尝试登录</x:v>
      </x:c>
      <x:c r="P48" s="4" t="str"/>
      <x:c r="Q48" s="4" t="str">
        <x:v>1. 运营账号应使用哪个用户App入口的正向、边界及异常场景</x:v>
      </x:c>
      <x:c r="R48" s="4" t="str">
        <x:v>多方确认</x:v>
      </x:c>
      <x:c r="S48" s="4" t="str">
        <x:v>进入对应功能测试前</x:v>
      </x:c>
      <x:c r="T48" s="4" t="str">
        <x:v>待确认</x:v>
      </x:c>
    </x:row>
    <x:row r="49" ht="82" customHeight="1">
      <x:c r="A49" s="4" t="str">
        <x:v>Q-044</x:v>
      </x:c>
      <x:c r="B49" s="4" t="str">
        <x:v>RQ-020</x:v>
      </x:c>
      <x:c r="C49" s="4" t="str"/>
      <x:c r="D49" s="4" t="str"/>
      <x:c r="E49" s="4" t="str">
        <x:v>部分阻塞</x:v>
      </x:c>
      <x:c r="F49" s="4" t="str">
        <x:v>M01 账号·登录·资料与设置</x:v>
      </x:c>
      <x:c r="G49" s="4" t="str">
        <x:v>新用户首次保存头像和昵称</x:v>
      </x:c>
      <x:c r="H49" s="4" t="str">
        <x:v>业务规则</x:v>
      </x:c>
      <x:c r="I49" s="4" t="str">
        <x:v>首次资料保存是否执行修改资料相同的风控？</x:v>
      </x:c>
      <x:c r="J49" s="4" t="str">
        <x:v>A. 执行同一风控，不通过时保留默认资料
B. 首次不检测，仅后续修改时检测</x:v>
      </x:c>
      <x:c r="K49" s="4" t="str">
        <x:v>建议优先评估A：明确新用户首次保存头像和昵称的唯一处理口径后，可构造确定的输入和结果；此建议不代表产品结论</x:v>
      </x:c>
      <x:c r="L49" s="8" t="str"/>
      <x:c r="M49" s="8" t="str"/>
      <x:c r="N49" s="4" t="str">
        <x:v>1. MainBasis/需求待确认清单.md#Q020：首次完善资料是否走相同风控
2. 主文档关联：U-auth-profile-completion-004、U-auth-profile-completion-005</x:v>
      </x:c>
      <x:c r="O49" s="4" t="str">
        <x:v>1. 用户App：新用户首次保存头像和昵称
2. 管理后台：新用户首次保存头像和昵称</x:v>
      </x:c>
      <x:c r="P49" s="4" t="str"/>
      <x:c r="Q49" s="4" t="str">
        <x:v>1. 首次资料保存是否执行修改资料相同的风控的正向、边界及异常场景</x:v>
      </x:c>
      <x:c r="R49" s="4" t="str">
        <x:v>产品</x:v>
      </x:c>
      <x:c r="S49" s="4" t="str">
        <x:v>进入对应功能测试前</x:v>
      </x:c>
      <x:c r="T49" s="4" t="str">
        <x:v>待确认</x:v>
      </x:c>
    </x:row>
    <x:row r="50" ht="68" customHeight="1">
      <x:c r="A50" s="4" t="str">
        <x:v>Q-045</x:v>
      </x:c>
      <x:c r="B50" s="4" t="str">
        <x:v>RQ-021</x:v>
      </x:c>
      <x:c r="C50" s="4" t="str"/>
      <x:c r="D50" s="4" t="str"/>
      <x:c r="E50" s="4" t="str">
        <x:v>部分阻塞</x:v>
      </x:c>
      <x:c r="F50" s="4" t="str">
        <x:v>M03 社交·私信·群聊与通知</x:v>
      </x:c>
      <x:c r="G50" s="4" t="str">
        <x:v>非好友私信已发送三条后删除会话重新打开</x:v>
      </x:c>
      <x:c r="H50" s="4" t="str">
        <x:v>业务规则</x:v>
      </x:c>
      <x:c r="I50" s="4" t="str">
        <x:v>删除会话是否重置非好友私信额度？</x:v>
      </x:c>
      <x:c r="J50" s="4" t="str">
        <x:v>A. 不重置，按当前账号对累计
B. 重置为可发送三条</x:v>
      </x:c>
      <x:c r="K50" s="4" t="str">
        <x:v>建议优先评估A：明确非好友私信已发送三条后删除会话重新打开的唯一处理口径后，可构造确定的输入和结果；此建议不代表产品结论</x:v>
      </x:c>
      <x:c r="L50" s="8" t="str"/>
      <x:c r="M50" s="8" t="str"/>
      <x:c r="N50" s="4" t="str">
        <x:v>1. MainBasis/需求待确认清单.md#Q021：非好友私信额度和媒体边界
2. 主文档关联：D-SYS-098、U-direct-message-004、U-direct-message-010</x:v>
      </x:c>
      <x:c r="O50" s="4" t="str">
        <x:v>1. 用户App：非好友私信已发送三条后删除会话重新打开</x:v>
      </x:c>
      <x:c r="P50" s="4" t="str"/>
      <x:c r="Q50" s="4" t="str">
        <x:v>1. 删除会话是否重置非好友私信额度的正向、边界及异常场景</x:v>
      </x:c>
      <x:c r="R50" s="4" t="str">
        <x:v>产品</x:v>
      </x:c>
      <x:c r="S50" s="4" t="str">
        <x:v>进入对应功能测试前</x:v>
      </x:c>
      <x:c r="T50" s="4" t="str">
        <x:v>待确认</x:v>
      </x:c>
    </x:row>
    <x:row r="51" ht="68" customHeight="1">
      <x:c r="A51" s="4" t="str">
        <x:v>Q-046</x:v>
      </x:c>
      <x:c r="B51" s="4" t="str">
        <x:v>RQ-021</x:v>
      </x:c>
      <x:c r="C51" s="4" t="str"/>
      <x:c r="D51" s="4" t="str"/>
      <x:c r="E51" s="4" t="str">
        <x:v>部分阻塞</x:v>
      </x:c>
      <x:c r="F51" s="4" t="str">
        <x:v>M03 社交·私信·群聊与通知</x:v>
      </x:c>
      <x:c r="G51" s="4" t="str">
        <x:v>非好友发送图片、语音或分享卡片</x:v>
      </x:c>
      <x:c r="H51" s="4" t="str">
        <x:v>业务规则</x:v>
      </x:c>
      <x:c r="I51" s="4" t="str">
        <x:v>这些消息是否占用三条私信额度？</x:v>
      </x:c>
      <x:c r="J51" s="4" t="str">
        <x:v>A. 每条成功发送的消息均占1条
B. 仅文本占用，其他类型发送不扣额度</x:v>
      </x:c>
      <x:c r="K51" s="4" t="str">
        <x:v>建议优先评估A：明确非好友发送图片、语音或分享卡片的唯一处理口径后，可构造确定的输入和结果；此建议不代表产品结论</x:v>
      </x:c>
      <x:c r="L51" s="8" t="str"/>
      <x:c r="M51" s="8" t="str"/>
      <x:c r="N51" s="4" t="str">
        <x:v>1. MainBasis/需求待确认清单.md#Q021：非好友私信额度和媒体边界
2. 主文档关联：D-SYS-098、U-direct-message-004、U-direct-message-010</x:v>
      </x:c>
      <x:c r="O51" s="4" t="str">
        <x:v>1. 用户App：非好友发送图片、语音或分享卡片</x:v>
      </x:c>
      <x:c r="P51" s="4" t="str"/>
      <x:c r="Q51" s="4" t="str">
        <x:v>1. 这些消息是否占用三条私信额度的正向、边界及异常场景</x:v>
      </x:c>
      <x:c r="R51" s="4" t="str">
        <x:v>产品</x:v>
      </x:c>
      <x:c r="S51" s="4" t="str">
        <x:v>进入对应功能测试前</x:v>
      </x:c>
      <x:c r="T51" s="4" t="str">
        <x:v>待确认</x:v>
      </x:c>
    </x:row>
    <x:row r="52" ht="82" customHeight="1">
      <x:c r="A52" s="4" t="str">
        <x:v>Q-047</x:v>
      </x:c>
      <x:c r="B52" s="4" t="str">
        <x:v>RQ-022</x:v>
      </x:c>
      <x:c r="C52" s="4" t="str"/>
      <x:c r="D52" s="4" t="str"/>
      <x:c r="E52" s="4" t="str">
        <x:v>部分阻塞</x:v>
      </x:c>
      <x:c r="F52" s="4" t="str">
        <x:v>M03 社交·私信·群聊与通知</x:v>
      </x:c>
      <x:c r="G52" s="4" t="str">
        <x:v>粉丝团成员取消关注所属主播</x:v>
      </x:c>
      <x:c r="H52" s="4" t="str">
        <x:v>业务规则</x:v>
      </x:c>
      <x:c r="I52" s="4" t="str">
        <x:v>取消关注是否自动退出粉丝团？</x:v>
      </x:c>
      <x:c r="J52" s="4" t="str">
        <x:v>A. 自动退团并清空本团成长
B. 保留团籍与成长，关注关系单独解除</x:v>
      </x:c>
      <x:c r="K52" s="4" t="str">
        <x:v>建议优先评估A：明确粉丝团成员取消关注所属主播的唯一处理口径后，可构造确定的输入和结果；此建议不代表产品结论</x:v>
      </x:c>
      <x:c r="L52" s="8" t="str"/>
      <x:c r="M52" s="8" t="str"/>
      <x:c r="N52" s="4" t="str">
        <x:v>1. MainBasis/需求待确认清单.md#Q022：粉丝团创建、关注取消及群禁言细节
2. 主文档关联：D-SYS-104、U-fan-group-chat-004、U-group-manage-member-005、U-fan-club-010</x:v>
      </x:c>
      <x:c r="O52" s="4" t="str">
        <x:v>1. 用户App：粉丝团成员取消关注所属主播</x:v>
      </x:c>
      <x:c r="P52" s="4" t="str"/>
      <x:c r="Q52" s="4" t="str">
        <x:v>1. 取消关注是否自动退出粉丝团的正向、边界及异常场景</x:v>
      </x:c>
      <x:c r="R52" s="4" t="str">
        <x:v>产品</x:v>
      </x:c>
      <x:c r="S52" s="4" t="str">
        <x:v>进入对应功能测试前</x:v>
      </x:c>
      <x:c r="T52" s="4" t="str">
        <x:v>待确认</x:v>
      </x:c>
    </x:row>
    <x:row r="53" ht="82" customHeight="1">
      <x:c r="A53" s="4" t="str">
        <x:v>Q-048</x:v>
      </x:c>
      <x:c r="B53" s="4" t="str">
        <x:v>RQ-022</x:v>
      </x:c>
      <x:c r="C53" s="4" t="str"/>
      <x:c r="D53" s="4" t="str"/>
      <x:c r="E53" s="4" t="str">
        <x:v>部分阻塞</x:v>
      </x:c>
      <x:c r="F53" s="4" t="str">
        <x:v>M03 社交·私信·群聊与通知</x:v>
      </x:c>
      <x:c r="G53" s="4" t="str">
        <x:v>团主开启全员禁言后自己发送群消息</x:v>
      </x:c>
      <x:c r="H53" s="4" t="str">
        <x:v>业务规则</x:v>
      </x:c>
      <x:c r="I53" s="4" t="str">
        <x:v>全员禁言是否限制团主？</x:v>
      </x:c>
      <x:c r="J53" s="4" t="str">
        <x:v>A. 团主不受限制
B. 包括团主在内所有成员均不能发送</x:v>
      </x:c>
      <x:c r="K53" s="4" t="str">
        <x:v>建议优先评估A：明确团主开启全员禁言后自己发送群消息的唯一处理口径后，可构造确定的输入和结果；此建议不代表产品结论</x:v>
      </x:c>
      <x:c r="L53" s="8" t="str"/>
      <x:c r="M53" s="8" t="str"/>
      <x:c r="N53" s="4" t="str">
        <x:v>1. MainBasis/需求待确认清单.md#Q022：粉丝团创建、关注取消及群禁言细节
2. 主文档关联：D-SYS-104、U-fan-group-chat-004、U-group-manage-member-005、U-fan-club-010</x:v>
      </x:c>
      <x:c r="O53" s="4" t="str">
        <x:v>1. 用户App：团主开启全员禁言后自己发送群消息</x:v>
      </x:c>
      <x:c r="P53" s="4" t="str"/>
      <x:c r="Q53" s="4" t="str">
        <x:v>1. 全员禁言是否限制团主的正向、边界及异常场景</x:v>
      </x:c>
      <x:c r="R53" s="4" t="str">
        <x:v>产品</x:v>
      </x:c>
      <x:c r="S53" s="4" t="str">
        <x:v>进入对应功能测试前</x:v>
      </x:c>
      <x:c r="T53" s="4" t="str">
        <x:v>待确认</x:v>
      </x:c>
    </x:row>
    <x:row r="54" ht="110" customHeight="1">
      <x:c r="A54" s="4" t="str">
        <x:v>Q-049</x:v>
      </x:c>
      <x:c r="B54" s="4" t="str">
        <x:v>RQ-023</x:v>
      </x:c>
      <x:c r="C54" s="4" t="str"/>
      <x:c r="D54" s="4" t="str"/>
      <x:c r="E54" s="4" t="str">
        <x:v>部分阻塞</x:v>
      </x:c>
      <x:c r="F54" s="4" t="str">
        <x:v>M06 开播·房型·观看·连麦与房内管理</x:v>
      </x:c>
      <x:c r="G54" s="4" t="str">
        <x:v>未在密码房授权名单的用户通过分享直达</x:v>
      </x:c>
      <x:c r="H54" s="4" t="str">
        <x:v>业务规则</x:v>
      </x:c>
      <x:c r="I54" s="4" t="str">
        <x:v>授权名单是否约束分享直达准入？</x:v>
      </x:c>
      <x:c r="J54" s="4" t="str">
        <x:v>A. 约束，名单外账号即使密码正确也不得进入
B. 不约束，名单仅控制广场展示</x:v>
      </x:c>
      <x:c r="K54" s="4" t="str">
        <x:v>建议优先评估A：明确未在密码房授权名单的用户通过分享直达的唯一处理口径后，可构造确定的输入和结果；此建议不代表产品结论</x:v>
      </x:c>
      <x:c r="L54" s="8" t="str"/>
      <x:c r="M54" s="8" t="str"/>
      <x:c r="N54" s="4" t="str">
        <x:v>1. MainBasis/需求待确认清单.md#Q023：密码房授权可见与准入的关系
2. 主文档关联：U-start-live-settings-001、U-visible-fan-select-001、U-views_live-room-host-password_more-actions-002、U-views_live-room-host-password_visible-scope-001</x:v>
      </x:c>
      <x:c r="O54" s="4" t="str">
        <x:v>1. 用户App：未在密码房授权名单的用户通过分享直达</x:v>
      </x:c>
      <x:c r="P54" s="4" t="str"/>
      <x:c r="Q54" s="4" t="str">
        <x:v>1. 授权名单是否约束分享直达准入的正向、边界及异常场景</x:v>
      </x:c>
      <x:c r="R54" s="4" t="str">
        <x:v>产品</x:v>
      </x:c>
      <x:c r="S54" s="4" t="str">
        <x:v>进入对应功能测试前</x:v>
      </x:c>
      <x:c r="T54" s="4" t="str">
        <x:v>待确认</x:v>
      </x:c>
    </x:row>
    <x:row r="55" ht="110" customHeight="1">
      <x:c r="A55" s="4" t="str">
        <x:v>Q-050</x:v>
      </x:c>
      <x:c r="B55" s="4" t="str">
        <x:v>RQ-023</x:v>
      </x:c>
      <x:c r="C55" s="4" t="str"/>
      <x:c r="D55" s="4" t="str"/>
      <x:c r="E55" s="4" t="str">
        <x:v>部分阻塞</x:v>
      </x:c>
      <x:c r="F55" s="4" t="str">
        <x:v>M06 开播·房型·观看·连麦与房内管理</x:v>
      </x:c>
      <x:c r="G55" s="4" t="str">
        <x:v>主播从密码房授权名单移除在线观众</x:v>
      </x:c>
      <x:c r="H55" s="4" t="str">
        <x:v>业务规则</x:v>
      </x:c>
      <x:c r="I55" s="4" t="str">
        <x:v>移除是否使当前在线观众退出？</x:v>
      </x:c>
      <x:c r="J55" s="4" t="str">
        <x:v>A. 移除成功后结束该观众本场会话
B. 不影响当前会话，下次进入再校验</x:v>
      </x:c>
      <x:c r="K55" s="4" t="str">
        <x:v>建议优先评估A：明确主播从密码房授权名单移除在线观众的唯一处理口径后，可构造确定的输入和结果；此建议不代表产品结论</x:v>
      </x:c>
      <x:c r="L55" s="8" t="str"/>
      <x:c r="M55" s="8" t="str"/>
      <x:c r="N55" s="4" t="str">
        <x:v>1. MainBasis/需求待确认清单.md#Q023：密码房授权可见与准入的关系
2. 主文档关联：U-start-live-settings-001、U-visible-fan-select-001、U-views_live-room-host-password_more-actions-002、U-views_live-room-host-password_visible-scope-001</x:v>
      </x:c>
      <x:c r="O55" s="4" t="str">
        <x:v>1. 用户App：主播从密码房授权名单移除在线观众</x:v>
      </x:c>
      <x:c r="P55" s="4" t="str"/>
      <x:c r="Q55" s="4" t="str">
        <x:v>1. 移除是否使当前在线观众退出的正向、边界及异常场景</x:v>
      </x:c>
      <x:c r="R55" s="4" t="str">
        <x:v>产品</x:v>
      </x:c>
      <x:c r="S55" s="4" t="str">
        <x:v>进入对应功能测试前</x:v>
      </x:c>
      <x:c r="T55" s="4" t="str">
        <x:v>待确认</x:v>
      </x:c>
    </x:row>
    <x:row r="56" ht="68" customHeight="1">
      <x:c r="A56" s="4" t="str">
        <x:v>Q-051</x:v>
      </x:c>
      <x:c r="B56" s="4" t="str">
        <x:v>RQ-024</x:v>
      </x:c>
      <x:c r="C56" s="4" t="str"/>
      <x:c r="D56" s="4" t="str"/>
      <x:c r="E56" s="4" t="str">
        <x:v>部分阻塞</x:v>
      </x:c>
      <x:c r="F56" s="4" t="str">
        <x:v>跨模块需求</x:v>
      </x:c>
      <x:c r="G56" s="4" t="str">
        <x:v>主播在普通房选择PK入口</x:v>
      </x:c>
      <x:c r="H56" s="4" t="str">
        <x:v>需求范围</x:v>
      </x:c>
      <x:c r="I56" s="4" t="str">
        <x:v>本期PK是否包含独立比分和胜负业务？</x:v>
      </x:c>
      <x:c r="J56" s="4" t="str">
        <x:v>A. 不包含，入口仅用于双主播连麦
B. 包含，须补充比分计分和胜负结算需求</x:v>
      </x:c>
      <x:c r="K56" s="4" t="str">
        <x:v>建议优先评估A：明确主播在普通房选择PK入口的唯一处理口径后，可构造确定的输入和结果；此建议不代表产品结论</x:v>
      </x:c>
      <x:c r="L56" s="8" t="str"/>
      <x:c r="M56" s="8" t="str"/>
      <x:c r="N56" s="4" t="str">
        <x:v>1. MainBasis/需求待确认清单.md#Q024：本期范围、房型/幸运开关与 PK
2. 主文档关联：见风险来源中的来源异常范围</x:v>
      </x:c>
      <x:c r="O56" s="4" t="str">
        <x:v>1. 用户App：主播在普通房选择PK入口
2. 管理后台：主播在普通房选择PK入口</x:v>
      </x:c>
      <x:c r="P56" s="4" t="str"/>
      <x:c r="Q56" s="4" t="str">
        <x:v>1. 本期PK是否包含独立比分和胜负业务的正向、边界及异常场景</x:v>
      </x:c>
      <x:c r="R56" s="4" t="str">
        <x:v>产品</x:v>
      </x:c>
      <x:c r="S56" s="4" t="str">
        <x:v>进入对应功能测试前</x:v>
      </x:c>
      <x:c r="T56" s="4" t="str">
        <x:v>待确认</x:v>
      </x:c>
    </x:row>
    <x:row r="57" ht="96" customHeight="1">
      <x:c r="A57" s="4" t="str">
        <x:v>Q-052</x:v>
      </x:c>
      <x:c r="B57" s="4" t="str">
        <x:v>RQ-024</x:v>
      </x:c>
      <x:c r="C57" s="4" t="str"/>
      <x:c r="D57" s="4" t="str"/>
      <x:c r="E57" s="4" t="str">
        <x:v>部分阻塞</x:v>
      </x:c>
      <x:c r="F57" s="4" t="str">
        <x:v>跨模块需求</x:v>
      </x:c>
      <x:c r="G57" s="4" t="str">
        <x:v>平台关闭幸运礼物功能时赠送请求正在处理</x:v>
      </x:c>
      <x:c r="H57" s="4" t="str">
        <x:v>业务规则</x:v>
      </x:c>
      <x:c r="I57" s="4" t="str">
        <x:v>已受理的赠送按哪个开关版本处理？</x:v>
      </x:c>
      <x:c r="J57" s="4" t="str">
        <x:v>A. 按受理时快照完成，本次关闭只拦截后续请求
B. 关闭后未扣款请求取消，已扣款请求完成</x:v>
      </x:c>
      <x:c r="K57" s="4" t="str">
        <x:v>建议优先评估A：明确平台关闭幸运礼物功能时赠送请求正在处理的唯一处理口径后，可构造确定的输入和结果；此建议不代表产品结论</x:v>
      </x:c>
      <x:c r="L57" s="8" t="str"/>
      <x:c r="M57" s="8" t="str"/>
      <x:c r="N57" s="4" t="str">
        <x:v>1. MainBasis/需求待确认清单.md#Q024：本期范围、房型/幸运开关与 PK
2. 主文档关联：见风险来源中的来源异常范围</x:v>
      </x:c>
      <x:c r="O57" s="4" t="str">
        <x:v>1. 用户App：平台关闭幸运礼物功能时赠送请求正在处理
2. 公会App：平台关闭幸运礼物功能时赠送请求正在处理
3. 管理后台：平台关闭幸运礼物功能时赠送请求正在处理</x:v>
      </x:c>
      <x:c r="P57" s="4" t="str"/>
      <x:c r="Q57" s="4" t="str">
        <x:v>1. 已受理的赠送按哪个开关版本处理的正向、边界及异常场景</x:v>
      </x:c>
      <x:c r="R57" s="4" t="str">
        <x:v>产品</x:v>
      </x:c>
      <x:c r="S57" s="4" t="str">
        <x:v>进入对应功能测试前</x:v>
      </x:c>
      <x:c r="T57" s="4" t="str">
        <x:v>待确认</x:v>
      </x:c>
    </x:row>
    <x:row r="58" ht="96" customHeight="1">
      <x:c r="A58" s="4" t="str">
        <x:v>Q-053</x:v>
      </x:c>
      <x:c r="B58" s="4" t="str">
        <x:v>RQ-025</x:v>
      </x:c>
      <x:c r="C58" s="4" t="str"/>
      <x:c r="D58" s="4" t="str"/>
      <x:c r="E58" s="4" t="str">
        <x:v>部分阻塞</x:v>
      </x:c>
      <x:c r="F58" s="4" t="str">
        <x:v>M02 发现·搜索·主页与平台榜单</x:v>
      </x:c>
      <x:c r="G58" s="4" t="str">
        <x:v>主播场次跨越当地午夜</x:v>
      </x:c>
      <x:c r="H58" s="4" t="str">
        <x:v>计算与统计口径</x:v>
      </x:c>
      <x:c r="I58" s="4" t="str">
        <x:v>统计自然日使用哪个时区？</x:v>
      </x:c>
      <x:c r="J58" s="4" t="str">
        <x:v>A. 统一使用Asia/Jakarta
B. 统一使用UTC</x:v>
      </x:c>
      <x:c r="K58" s="4" t="str">
        <x:v>建议优先评估A：明确主播场次跨越当地午夜的唯一处理口径后，可构造确定的输入和结果；此建议不代表产品结论</x:v>
      </x:c>
      <x:c r="L58" s="8" t="str"/>
      <x:c r="M58" s="8" t="str"/>
      <x:c r="N58" s="4" t="str">
        <x:v>1. MainBasis/需求待确认清单.md#Q025：业务时区、跨日场次和有效直播时长
2. 主文档关联：U-host-ranking-002、G-guild-income-002、A-admin-data-overview-007、U-contribution-ranking-002</x:v>
      </x:c>
      <x:c r="O58" s="4" t="str">
        <x:v>1. 用户App：主播场次跨越当地午夜
2. 公会App：主播场次跨越当地午夜
3. 管理后台：主播场次跨越当地午夜</x:v>
      </x:c>
      <x:c r="P58" s="4" t="str"/>
      <x:c r="Q58" s="4" t="str">
        <x:v>1. 统计自然日使用哪个时区的正向、边界及异常场景</x:v>
      </x:c>
      <x:c r="R58" s="4" t="str">
        <x:v>产品</x:v>
      </x:c>
      <x:c r="S58" s="4" t="str">
        <x:v>进入对应功能测试前</x:v>
      </x:c>
      <x:c r="T58" s="4" t="str">
        <x:v>待确认</x:v>
      </x:c>
    </x:row>
    <x:row r="59" ht="96" customHeight="1">
      <x:c r="A59" s="4" t="str">
        <x:v>Q-054</x:v>
      </x:c>
      <x:c r="B59" s="4" t="str">
        <x:v>RQ-025</x:v>
      </x:c>
      <x:c r="C59" s="4" t="str"/>
      <x:c r="D59" s="4" t="str"/>
      <x:c r="E59" s="4" t="str">
        <x:v>部分阻塞</x:v>
      </x:c>
      <x:c r="F59" s="4" t="str">
        <x:v>M02 发现·搜索·主页与平台榜单</x:v>
      </x:c>
      <x:c r="G59" s="4" t="str">
        <x:v>主播一场直播跨越统计日边界</x:v>
      </x:c>
      <x:c r="H59" s="4" t="str">
        <x:v>业务规则</x:v>
      </x:c>
      <x:c r="I59" s="4" t="str">
        <x:v>跨日直播时长如何归属日期？</x:v>
      </x:c>
      <x:c r="J59" s="4" t="str">
        <x:v>A. 按实际时间切分到各自然日
B. 全部归入开播所在自然日</x:v>
      </x:c>
      <x:c r="K59" s="4" t="str">
        <x:v>建议优先评估A：明确主播一场直播跨越统计日边界的唯一处理口径后，可构造确定的输入和结果；此建议不代表产品结论</x:v>
      </x:c>
      <x:c r="L59" s="8" t="str"/>
      <x:c r="M59" s="8" t="str"/>
      <x:c r="N59" s="4" t="str">
        <x:v>1. MainBasis/需求待确认清单.md#Q025：业务时区、跨日场次和有效直播时长
2. 主文档关联：U-host-ranking-002、G-guild-income-002、A-admin-data-overview-007、U-contribution-ranking-002</x:v>
      </x:c>
      <x:c r="O59" s="4" t="str">
        <x:v>1. 用户App：主播一场直播跨越统计日边界
2. 公会App：主播一场直播跨越统计日边界
3. 管理后台：主播一场直播跨越统计日边界</x:v>
      </x:c>
      <x:c r="P59" s="4" t="str"/>
      <x:c r="Q59" s="4" t="str">
        <x:v>1. 跨日直播时长如何归属日期的正向、边界及异常场景</x:v>
      </x:c>
      <x:c r="R59" s="4" t="str">
        <x:v>产品</x:v>
      </x:c>
      <x:c r="S59" s="4" t="str">
        <x:v>进入对应功能测试前</x:v>
      </x:c>
      <x:c r="T59" s="4" t="str">
        <x:v>待确认</x:v>
      </x:c>
    </x:row>
    <x:row r="60" ht="96" customHeight="1">
      <x:c r="A60" s="4" t="str">
        <x:v>Q-055</x:v>
      </x:c>
      <x:c r="B60" s="4" t="str">
        <x:v>RQ-025</x:v>
      </x:c>
      <x:c r="C60" s="4" t="str"/>
      <x:c r="D60" s="4" t="str"/>
      <x:c r="E60" s="4" t="str">
        <x:v>部分阻塞</x:v>
      </x:c>
      <x:c r="F60" s="4" t="str">
        <x:v>M02 发现·搜索·主页与平台榜单</x:v>
      </x:c>
      <x:c r="G60" s="4" t="str">
        <x:v>直播因网络中断暂停推流但场次未结束</x:v>
      </x:c>
      <x:c r="H60" s="4" t="str">
        <x:v>业务规则</x:v>
      </x:c>
      <x:c r="I60" s="4" t="str">
        <x:v>断流时间是否计入有效直播时长？</x:v>
      </x:c>
      <x:c r="J60" s="4" t="str">
        <x:v>A. 不计入，以有效推流区间累计
B. 计入，以场次开始至结束累计</x:v>
      </x:c>
      <x:c r="K60" s="4" t="str">
        <x:v>建议优先评估A：明确直播因网络中断暂停推流但场次未结束的唯一处理口径后，可构造确定的输入和结果；此建议不代表产品结论</x:v>
      </x:c>
      <x:c r="L60" s="8" t="str"/>
      <x:c r="M60" s="8" t="str"/>
      <x:c r="N60" s="4" t="str">
        <x:v>1. MainBasis/需求待确认清单.md#Q025：业务时区、跨日场次和有效直播时长
2. 主文档关联：U-host-ranking-002、G-guild-income-002、A-admin-data-overview-007、U-contribution-ranking-002</x:v>
      </x:c>
      <x:c r="O60" s="4" t="str">
        <x:v>1. 用户App：直播因网络中断暂停推流但场次未结束
2. 公会App：直播因网络中断暂停推流但场次未结束
3. 管理后台：直播因网络中断暂停推流但场次未结束</x:v>
      </x:c>
      <x:c r="P60" s="4" t="str"/>
      <x:c r="Q60" s="4" t="str">
        <x:v>1. 断流时间是否计入有效直播时长的正向、边界及异常场景</x:v>
      </x:c>
      <x:c r="R60" s="4" t="str">
        <x:v>产品</x:v>
      </x:c>
      <x:c r="S60" s="4" t="str">
        <x:v>进入对应功能测试前</x:v>
      </x:c>
      <x:c r="T60" s="4" t="str">
        <x:v>待确认</x:v>
      </x:c>
    </x:row>
    <x:row r="61" ht="82" customHeight="1">
      <x:c r="A61" s="4" t="str">
        <x:v>Q-056</x:v>
      </x:c>
      <x:c r="B61" s="4" t="str">
        <x:v>RQ-026</x:v>
      </x:c>
      <x:c r="C61" s="4" t="str"/>
      <x:c r="D61" s="4" t="str"/>
      <x:c r="E61" s="4" t="str">
        <x:v>部分阻塞</x:v>
      </x:c>
      <x:c r="F61" s="4" t="str">
        <x:v>M06 开播·房型·观看·连麦与房内管理</x:v>
      </x:c>
      <x:c r="G61" s="4" t="str">
        <x:v>主播在直播数据页查看观众人次，同一观众有两次成功进入</x:v>
      </x:c>
      <x:c r="H61" s="4" t="str">
        <x:v>计算与统计口径</x:v>
      </x:c>
      <x:c r="I61" s="4" t="str">
        <x:v>该页观众人次是否重复计算同一账号重进？</x:v>
      </x:c>
      <x:c r="J61" s="4" t="str">
        <x:v>A. 按成功进入事件累计，此例为2
B. 按账号去重，此例为1</x:v>
      </x:c>
      <x:c r="K61" s="4" t="str">
        <x:v>建议优先评估A：明确主播在直播数据页查看观众人次，同一观众有两次成功进入的唯一处理口径后，可构造确定的输入和结果；此建议不代表产品结论</x:v>
      </x:c>
      <x:c r="L61" s="8" t="str"/>
      <x:c r="M61" s="8" t="str"/>
      <x:c r="N61" s="4" t="str">
        <x:v>1. MainBasis/需求待确认清单.md#Q026：观众人数、人次、访问次数与新增粉丝
2. 主文档关联：U-live-end-host-002、G-guild-host-summary-004、A-admin-live-statistics-003、U-host-center-005</x:v>
      </x:c>
      <x:c r="O61" s="4" t="str">
        <x:v>1. 用户App：主播在直播数据页查看观众人次，同一观众有两次成功进入</x:v>
      </x:c>
      <x:c r="P61" s="4" t="str"/>
      <x:c r="Q61" s="4" t="str">
        <x:v>1. 该页观众人次是否重复计算同一账号重进的正向、边界及异常场景</x:v>
      </x:c>
      <x:c r="R61" s="4" t="str">
        <x:v>产品</x:v>
      </x:c>
      <x:c r="S61" s="4" t="str">
        <x:v>进入对应功能测试前</x:v>
      </x:c>
      <x:c r="T61" s="4" t="str">
        <x:v>待确认</x:v>
      </x:c>
    </x:row>
    <x:row r="62" ht="96" customHeight="1">
      <x:c r="A62" s="4" t="str">
        <x:v>Q-057</x:v>
      </x:c>
      <x:c r="B62" s="4" t="str">
        <x:v>RQ-026</x:v>
      </x:c>
      <x:c r="C62" s="4" t="str"/>
      <x:c r="D62" s="4" t="str"/>
      <x:c r="E62" s="4" t="str">
        <x:v>部分阻塞</x:v>
      </x:c>
      <x:c r="F62" s="4" t="str">
        <x:v>M06 开播·房型·观看·连麦与房内管理</x:v>
      </x:c>
      <x:c r="G62" s="4" t="str">
        <x:v>用户在同一场次关注、取关后再次关注</x:v>
      </x:c>
      <x:c r="H62" s="4" t="str">
        <x:v>业务规则</x:v>
      </x:c>
      <x:c r="I62" s="4" t="str">
        <x:v>新增粉丝指标如何计数？</x:v>
      </x:c>
      <x:c r="J62" s="4" t="str">
        <x:v>A. 只计本场首次新增关注账号且去重
B. 每次关注成功事件均累计</x:v>
      </x:c>
      <x:c r="K62" s="4" t="str">
        <x:v>建议优先评估A：明确用户在同一场次关注、取关后再次关注的唯一处理口径后，可构造确定的输入和结果；此建议不代表产品结论</x:v>
      </x:c>
      <x:c r="L62" s="8" t="str"/>
      <x:c r="M62" s="8" t="str"/>
      <x:c r="N62" s="4" t="str">
        <x:v>1. MainBasis/需求待确认清单.md#Q026：观众人数、人次、访问次数与新增粉丝
2. 主文档关联：U-live-end-host-002、G-guild-host-summary-004、A-admin-live-statistics-003、U-host-center-005</x:v>
      </x:c>
      <x:c r="O62" s="4" t="str">
        <x:v>1. 用户App：用户在同一场次关注、取关后再次关注
2. 公会App：用户在同一场次关注、取关后再次关注
3. 管理后台：用户在同一场次关注、取关后再次关注</x:v>
      </x:c>
      <x:c r="P62" s="4" t="str"/>
      <x:c r="Q62" s="4" t="str">
        <x:v>1. 新增粉丝指标如何计数的正向、边界及异常场景</x:v>
      </x:c>
      <x:c r="R62" s="4" t="str">
        <x:v>产品</x:v>
      </x:c>
      <x:c r="S62" s="4" t="str">
        <x:v>进入对应功能测试前</x:v>
      </x:c>
      <x:c r="T62" s="4" t="str">
        <x:v>待确认</x:v>
      </x:c>
    </x:row>
    <x:row r="63" ht="96" customHeight="1">
      <x:c r="A63" s="4" t="str">
        <x:v>Q-065</x:v>
      </x:c>
      <x:c r="B63" s="4" t="str">
        <x:v>RQ-031</x:v>
      </x:c>
      <x:c r="C63" s="4" t="str"/>
      <x:c r="D63" s="4" t="str"/>
      <x:c r="E63" s="4" t="str">
        <x:v>部分阻塞</x:v>
      </x:c>
      <x:c r="F63" s="4" t="str">
        <x:v>M07 金币·充值·消费与客户端账单</x:v>
      </x:c>
      <x:c r="G63" s="4" t="str">
        <x:v>用户在App内充值</x:v>
      </x:c>
      <x:c r="H63" s="4" t="str">
        <x:v>需求范围</x:v>
      </x:c>
      <x:c r="I63" s="4" t="str">
        <x:v>本期是否支持跳转外部H5支付？</x:v>
      </x:c>
      <x:c r="J63" s="4" t="str">
        <x:v>A. 支持，支付渠道以当前平台配置为准
B. 不支持，仅使用App内已登记支付渠道</x:v>
      </x:c>
      <x:c r="K63" s="4" t="str">
        <x:v>建议优先评估A：明确用户在App内充值的唯一处理口径后，可构造确定的输入和结果；此建议不代表产品结论</x:v>
      </x:c>
      <x:c r="L63" s="8" t="str"/>
      <x:c r="M63" s="8" t="str"/>
      <x:c r="N63" s="4" t="str">
        <x:v>1. MainBasis/需求待确认清单.md#Q031：支付渠道与 H5 充值范围
2. 主文档关联：U-recharge-003、A-admin-recharge-order-008、U-views_live-room_gift-recharge-002、A-admin-recharge-order-detail-002</x:v>
      </x:c>
      <x:c r="O63" s="4" t="str">
        <x:v>1. 用户App：用户在App内充值
2. 管理后台：用户在App内充值</x:v>
      </x:c>
      <x:c r="P63" s="4" t="str"/>
      <x:c r="Q63" s="4" t="str">
        <x:v>1. 本期是否支持跳转外部H5支付的正向、边界及异常场景</x:v>
      </x:c>
      <x:c r="R63" s="4" t="str">
        <x:v>产品</x:v>
      </x:c>
      <x:c r="S63" s="4" t="str">
        <x:v>进入对应功能测试前</x:v>
      </x:c>
      <x:c r="T63" s="4" t="str">
        <x:v>待确认</x:v>
      </x:c>
    </x:row>
    <x:row r="64" ht="96" customHeight="1">
      <x:c r="A64" s="4" t="str">
        <x:v>Q-066</x:v>
      </x:c>
      <x:c r="B64" s="4" t="str">
        <x:v>RQ-032</x:v>
      </x:c>
      <x:c r="C64" s="4" t="str"/>
      <x:c r="D64" s="4" t="str"/>
      <x:c r="E64" s="4" t="str">
        <x:v>部分阻塞</x:v>
      </x:c>
      <x:c r="F64" s="4" t="str">
        <x:v>M10 用户管理·审核·举报与巡房</x:v>
      </x:c>
      <x:c r="G64" s="4" t="str">
        <x:v>管理员封禁用户账号</x:v>
      </x:c>
      <x:c r="H64" s="4" t="str">
        <x:v>角色与权限</x:v>
      </x:c>
      <x:c r="I64" s="4" t="str">
        <x:v>封禁期限采用什么方式？</x:v>
      </x:c>
      <x:c r="J64" s="4" t="str">
        <x:v>A. 仅永久封禁，管理员解封后恢复
B. 允许定时或永久，定时时长以后台可选配置为准</x:v>
      </x:c>
      <x:c r="K64" s="4" t="str">
        <x:v>建议优先评估A：明确管理员封禁用户账号的唯一处理口径后，可构造确定的输入和结果；此建议不代表产品结论</x:v>
      </x:c>
      <x:c r="L64" s="8" t="str"/>
      <x:c r="M64" s="8" t="str"/>
      <x:c r="N64" s="4" t="str">
        <x:v>1. MainBasis/需求待确认清单.md#Q032：封禁、申诉和账号/直播工单生命周期
2. 主文档关联：A-admin-report-handling-005、A-admin-report-detail-008、A-admin-report-handling-007、A-admin-report-handling-008</x:v>
      </x:c>
      <x:c r="O64" s="4" t="str">
        <x:v>1. 用户App：管理员封禁用户账号
2. 管理后台：管理员封禁用户账号</x:v>
      </x:c>
      <x:c r="P64" s="4" t="str"/>
      <x:c r="Q64" s="4" t="str">
        <x:v>1. 封禁期限采用什么方式的正向、边界及异常场景</x:v>
      </x:c>
      <x:c r="R64" s="4" t="str">
        <x:v>产品</x:v>
      </x:c>
      <x:c r="S64" s="4" t="str">
        <x:v>进入对应功能测试前</x:v>
      </x:c>
      <x:c r="T64" s="4" t="str">
        <x:v>待确认</x:v>
      </x:c>
    </x:row>
    <x:row r="65" ht="110" customHeight="1">
      <x:c r="A65" s="4" t="str">
        <x:v>Q-067</x:v>
      </x:c>
      <x:c r="B65" s="4" t="str">
        <x:v>RQ-033</x:v>
      </x:c>
      <x:c r="C65" s="4" t="str"/>
      <x:c r="D65" s="4" t="str"/>
      <x:c r="E65" s="4" t="str">
        <x:v>部分阻塞</x:v>
      </x:c>
      <x:c r="F65" s="4" t="str">
        <x:v>M06 开播·房型·观看·连麦与房内管理</x:v>
      </x:c>
      <x:c r="G65" s="4" t="str">
        <x:v>巡房人员的排班结束但直播间仍在线</x:v>
      </x:c>
      <x:c r="H65" s="4" t="str">
        <x:v>角色与权限</x:v>
      </x:c>
      <x:c r="I65" s="4" t="str">
        <x:v>巡房保护是否在排班结束时失效？</x:v>
      </x:c>
      <x:c r="J65" s="4" t="str">
        <x:v>A. 排班结束即失效
B. 保留至当前直播场次结束</x:v>
      </x:c>
      <x:c r="K65" s="4" t="str">
        <x:v>建议优先评估A：明确巡房人员的排班结束但直播间仍在线的唯一处理口径后，可构造确定的输入和结果；此建议不代表产品结论</x:v>
      </x:c>
      <x:c r="L65" s="8" t="str"/>
      <x:c r="M65" s="8" t="str"/>
      <x:c r="N65" s="4" t="str">
        <x:v>1. MainBasis/需求待确认清单.md#Q033：后台角色权限和巡房授权时效
2. 主文档关联：U-views_live-room_patrol-room-allowed-001、A-admin-inspection-schedule-006、A-admin-inspection-schedule-detail-005、A-admin-system-account-004</x:v>
      </x:c>
      <x:c r="O65" s="4" t="str">
        <x:v>1. 用户App：巡房人员的排班结束但直播间仍在线
2. 管理后台：巡房人员的排班结束但直播间仍在线</x:v>
      </x:c>
      <x:c r="P65" s="4" t="str"/>
      <x:c r="Q65" s="4" t="str">
        <x:v>1. 巡房保护是否在排班结束时失效的正向、边界及异常场景</x:v>
      </x:c>
      <x:c r="R65" s="4" t="str">
        <x:v>产品</x:v>
      </x:c>
      <x:c r="S65" s="4" t="str">
        <x:v>进入对应功能测试前</x:v>
      </x:c>
      <x:c r="T65" s="4" t="str">
        <x:v>待确认</x:v>
      </x:c>
    </x:row>
    <x:row r="66" ht="96" customHeight="1">
      <x:c r="A66" s="4" t="str">
        <x:v>Q-068</x:v>
      </x:c>
      <x:c r="B66" s="4" t="str">
        <x:v>RQ-034</x:v>
      </x:c>
      <x:c r="C66" s="4" t="str"/>
      <x:c r="D66" s="4" t="str"/>
      <x:c r="E66" s="4" t="str">
        <x:v>部分阻塞</x:v>
      </x:c>
      <x:c r="F66" s="4" t="str">
        <x:v>M10 用户管理·审核·举报与巡房</x:v>
      </x:c>
      <x:c r="G66" s="4" t="str">
        <x:v>三端上传图片资源</x:v>
      </x:c>
      <x:c r="H66" s="4" t="str">
        <x:v>字段与数据校验</x:v>
      </x:c>
      <x:c r="I66" s="4" t="str">
        <x:v>图片大小限制采用什么依据？</x:v>
      </x:c>
      <x:c r="J66" s="4" t="str">
        <x:v>A. 每个上传字段读取平台发布的资源限制配置
B. 全部图片统一最大5MB</x:v>
      </x:c>
      <x:c r="K66" s="4" t="str">
        <x:v>建议优先评估A：明确三端上传图片资源的唯一处理口径后，可构造确定的输入和结果；此建议不代表产品结论</x:v>
      </x:c>
      <x:c r="L66" s="8" t="str"/>
      <x:c r="M66" s="8" t="str"/>
      <x:c r="N66" s="4" t="str">
        <x:v>1. MainBasis/需求待确认清单.md#Q034：内容风控、敏感词和上传资源约束
2. 主文档关联：A-admin-sensitive-words-001、A-admin-sensitive-words-detail-001、A-admin-sensitive-words-002、A-admin-sensitive-words-005</x:v>
      </x:c>
      <x:c r="O66" s="4" t="str">
        <x:v>1. 用户App：三端上传图片资源
2. 公会App：三端上传图片资源
3. 管理后台：三端上传图片资源</x:v>
      </x:c>
      <x:c r="P66" s="4" t="str"/>
      <x:c r="Q66" s="4" t="str">
        <x:v>1. 图片大小限制采用什么依据的正向、边界及异常场景</x:v>
      </x:c>
      <x:c r="R66" s="4" t="str">
        <x:v>技术</x:v>
      </x:c>
      <x:c r="S66" s="4" t="str">
        <x:v>进入对应功能测试前</x:v>
      </x:c>
      <x:c r="T66" s="4" t="str">
        <x:v>待确认</x:v>
      </x:c>
    </x:row>
    <x:row r="67" ht="68" customHeight="1">
      <x:c r="A67" s="4" t="str">
        <x:v>Q-069</x:v>
      </x:c>
      <x:c r="B67" s="4" t="str">
        <x:v>RQ-035</x:v>
      </x:c>
      <x:c r="C67" s="4" t="str"/>
      <x:c r="D67" s="4" t="str"/>
      <x:c r="E67" s="4" t="str">
        <x:v>部分阻塞</x:v>
      </x:c>
      <x:c r="F67" s="4" t="str">
        <x:v>M01 账号·登录·资料与设置</x:v>
      </x:c>
      <x:c r="G67" s="4" t="str">
        <x:v>用户未达到平台规定年龄尝试注册</x:v>
      </x:c>
      <x:c r="H67" s="4" t="str">
        <x:v>需求范围</x:v>
      </x:c>
      <x:c r="I67" s="4" t="str">
        <x:v>本期是否拦截未成年人注册？</x:v>
      </x:c>
      <x:c r="J67" s="4" t="str">
        <x:v>A. 根据产品明确的年龄门槛配置执行拦截
B. 本期不按年龄拦截，仅展示适龄说明</x:v>
      </x:c>
      <x:c r="K67" s="4" t="str">
        <x:v>建议优先评估A：明确用户未达到平台规定年龄尝试注册的唯一处理口径后，可构造确定的输入和结果；此建议不代表产品结论</x:v>
      </x:c>
      <x:c r="L67" s="8" t="str"/>
      <x:c r="M67" s="8" t="str"/>
      <x:c r="N67" s="4" t="str">
        <x:v>1. MainBasis/需求待确认清单.md#Q035：协议、隐私、帮助与年龄准入
2. 主文档关联：U-settings-006</x:v>
      </x:c>
      <x:c r="O67" s="4" t="str">
        <x:v>1. 用户App：用户未达到平台规定年龄尝试注册
2. 管理后台：用户未达到平台规定年龄尝试注册</x:v>
      </x:c>
      <x:c r="P67" s="4" t="str"/>
      <x:c r="Q67" s="4" t="str">
        <x:v>1. 本期是否拦截未成年人注册的正向、边界及异常场景</x:v>
      </x:c>
      <x:c r="R67" s="4" t="str">
        <x:v>多方确认</x:v>
      </x:c>
      <x:c r="S67" s="4" t="str">
        <x:v>进入对应功能测试前</x:v>
      </x:c>
      <x:c r="T67" s="4" t="str">
        <x:v>待确认</x:v>
      </x:c>
    </x:row>
    <x:row r="68" ht="82" customHeight="1">
      <x:c r="A68" s="4" t="str">
        <x:v>Q-070</x:v>
      </x:c>
      <x:c r="B68" s="4" t="str">
        <x:v>RQ-036</x:v>
      </x:c>
      <x:c r="C68" s="4" t="str"/>
      <x:c r="D68" s="4" t="str"/>
      <x:c r="E68" s="4" t="str">
        <x:v>部分阻塞</x:v>
      </x:c>
      <x:c r="F68" s="4" t="str">
        <x:v>M01 账号·登录·资料与设置</x:v>
      </x:c>
      <x:c r="G68" s="4" t="str">
        <x:v>当前头像框到期且用户还持有其他有效头像框</x:v>
      </x:c>
      <x:c r="H68" s="4" t="str">
        <x:v>业务规则</x:v>
      </x:c>
      <x:c r="I68" s="4" t="str">
        <x:v>失效头像框停止展示后采用哪个回退样式？</x:v>
      </x:c>
      <x:c r="J68" s="4" t="str">
        <x:v>A. 显示当前头像，不带任何头像框
B. 自动佩戴最近使用的仍有效头像框，无有效项则只显示头像</x:v>
      </x:c>
      <x:c r="K68" s="4" t="str">
        <x:v>建议优先评估A：明确当前头像框到期且用户还持有其他有效头像框的唯一处理口径后，可构造确定的输入和结果；此建议不代表产品结论</x:v>
      </x:c>
      <x:c r="L68" s="8" t="str"/>
      <x:c r="M68" s="8" t="str"/>
      <x:c r="N68" s="4" t="str">
        <x:v>1. MainBasis/需求待确认清单.md#Q036：装扮获取、佩戴位与到期处理
2. 主文档关联：D-SYS-155、U-profile-003、U-my-decoration-medal-004、U-my-decoration-medal-007</x:v>
      </x:c>
      <x:c r="O68" s="4" t="str">
        <x:v>1. 用户App：当前头像框到期且用户还持有其他有效头像框
2. 管理后台：当前头像框到期且用户还持有其他有效头像框</x:v>
      </x:c>
      <x:c r="P68" s="4" t="str"/>
      <x:c r="Q68" s="4" t="str">
        <x:v>1. 失效头像框停止展示后采用哪个回退样式的正向、边界及异常场景</x:v>
      </x:c>
      <x:c r="R68" s="4" t="str">
        <x:v>产品</x:v>
      </x:c>
      <x:c r="S68" s="4" t="str">
        <x:v>进入对应功能测试前</x:v>
      </x:c>
      <x:c r="T68" s="4" t="str">
        <x:v>待确认</x:v>
      </x:c>
    </x:row>
    <x:row r="69" ht="68" customHeight="1">
      <x:c r="A69" s="4" t="str">
        <x:v>Q-083</x:v>
      </x:c>
      <x:c r="B69" s="4" t="str">
        <x:v>RQ-037</x:v>
      </x:c>
      <x:c r="C69" s="4" t="str"/>
      <x:c r="D69" s="4" t="str"/>
      <x:c r="E69" s="4" t="str">
        <x:v>部分阻塞</x:v>
      </x:c>
      <x:c r="F69" s="4" t="str">
        <x:v>M02 发现·搜索·主页与平台榜单</x:v>
      </x:c>
      <x:c r="G69" s="4" t="str">
        <x:v>用户在搜索结果查看多条符合范围的记录</x:v>
      </x:c>
      <x:c r="H69" s="4" t="str">
        <x:v>交互与文案规则</x:v>
      </x:c>
      <x:c r="I69" s="4" t="str">
        <x:v>搜索结果列表采用哪种稳定次序？</x:v>
      </x:c>
      <x:c r="J69" s="4" t="str">
        <x:v>A. 按记录唯一标识升序
B. 按记录唯一标识降序</x:v>
      </x:c>
      <x:c r="K69" s="4" t="str">
        <x:v>建议优先评估A：明确用户在搜索结果查看多条符合范围的记录的唯一处理口径后，可构造确定的输入和结果；此建议不代表产品结论</x:v>
      </x:c>
      <x:c r="L69" s="8" t="str"/>
      <x:c r="M69" s="8" t="str"/>
      <x:c r="N69" s="4" t="str">
        <x:v>1. MainBasis/需求待确认清单.md#Q037：各列表排序和同值次序
2. 主文档关联：U-search-results-007</x:v>
      </x:c>
      <x:c r="O69" s="4" t="str">
        <x:v>1. 用户App：用户在搜索结果查看多条符合范围的记录</x:v>
      </x:c>
      <x:c r="P69" s="4" t="str"/>
      <x:c r="Q69" s="4" t="str">
        <x:v>1. 搜索结果列表采用哪种稳定次序的正向、边界及异常场景</x:v>
      </x:c>
      <x:c r="R69" s="4" t="str">
        <x:v>交互</x:v>
      </x:c>
      <x:c r="S69" s="4" t="str">
        <x:v>进入对应功能测试前</x:v>
      </x:c>
      <x:c r="T69" s="4" t="str">
        <x:v>待确认</x:v>
      </x:c>
    </x:row>
    <x:row r="70" ht="68" customHeight="1">
      <x:c r="A70" s="4" t="str">
        <x:v>Q-084</x:v>
      </x:c>
      <x:c r="B70" s="4" t="str">
        <x:v>RQ-037</x:v>
      </x:c>
      <x:c r="C70" s="4" t="str"/>
      <x:c r="D70" s="4" t="str"/>
      <x:c r="E70" s="4" t="str">
        <x:v>部分阻塞</x:v>
      </x:c>
      <x:c r="F70" s="4" t="str">
        <x:v>M03 社交·私信·群聊与通知</x:v>
      </x:c>
      <x:c r="G70" s="4" t="str">
        <x:v>用户在粉丝列表查看多条符合范围的记录</x:v>
      </x:c>
      <x:c r="H70" s="4" t="str">
        <x:v>交互与文案规则</x:v>
      </x:c>
      <x:c r="I70" s="4" t="str">
        <x:v>粉丝列表列表采用哪种稳定次序？</x:v>
      </x:c>
      <x:c r="J70" s="4" t="str">
        <x:v>A. 按记录唯一标识升序
B. 按记录唯一标识降序</x:v>
      </x:c>
      <x:c r="K70" s="4" t="str">
        <x:v>建议优先评估A：明确用户在粉丝列表查看多条符合范围的记录的唯一处理口径后，可构造确定的输入和结果；此建议不代表产品结论</x:v>
      </x:c>
      <x:c r="L70" s="8" t="str"/>
      <x:c r="M70" s="8" t="str"/>
      <x:c r="N70" s="4" t="str">
        <x:v>1. MainBasis/需求待确认清单.md#Q037：各列表排序和同值次序
2. 主文档关联：U-follower-list-007</x:v>
      </x:c>
      <x:c r="O70" s="4" t="str">
        <x:v>1. 用户App：用户在粉丝列表查看多条符合范围的记录</x:v>
      </x:c>
      <x:c r="P70" s="4" t="str"/>
      <x:c r="Q70" s="4" t="str">
        <x:v>1. 粉丝列表列表采用哪种稳定次序的正向、边界及异常场景</x:v>
      </x:c>
      <x:c r="R70" s="4" t="str">
        <x:v>交互</x:v>
      </x:c>
      <x:c r="S70" s="4" t="str">
        <x:v>进入对应功能测试前</x:v>
      </x:c>
      <x:c r="T70" s="4" t="str">
        <x:v>待确认</x:v>
      </x:c>
    </x:row>
    <x:row r="71" ht="68" customHeight="1">
      <x:c r="A71" s="4" t="str">
        <x:v>Q-085</x:v>
      </x:c>
      <x:c r="B71" s="4" t="str">
        <x:v>RQ-037</x:v>
      </x:c>
      <x:c r="C71" s="4" t="str"/>
      <x:c r="D71" s="4" t="str"/>
      <x:c r="E71" s="4" t="str">
        <x:v>部分阻塞</x:v>
      </x:c>
      <x:c r="F71" s="4" t="str">
        <x:v>M01 账号·登录·资料与设置</x:v>
      </x:c>
      <x:c r="G71" s="4" t="str">
        <x:v>用户在头像框查看多条符合范围的记录</x:v>
      </x:c>
      <x:c r="H71" s="4" t="str">
        <x:v>交互与文案规则</x:v>
      </x:c>
      <x:c r="I71" s="4" t="str">
        <x:v>头像框列表采用哪种稳定次序？</x:v>
      </x:c>
      <x:c r="J71" s="4" t="str">
        <x:v>A. 按记录唯一标识升序
B. 按记录唯一标识降序</x:v>
      </x:c>
      <x:c r="K71" s="4" t="str">
        <x:v>建议优先评估A：明确用户在头像框查看多条符合范围的记录的唯一处理口径后，可构造确定的输入和结果；此建议不代表产品结论</x:v>
      </x:c>
      <x:c r="L71" s="8" t="str"/>
      <x:c r="M71" s="8" t="str"/>
      <x:c r="N71" s="4" t="str">
        <x:v>1. MainBasis/需求待确认清单.md#Q037：各列表排序和同值次序
2. 主文档关联：U-my-decoration-avatar-frame-005</x:v>
      </x:c>
      <x:c r="O71" s="4" t="str">
        <x:v>1. 用户App：用户在头像框查看多条符合范围的记录</x:v>
      </x:c>
      <x:c r="P71" s="4" t="str"/>
      <x:c r="Q71" s="4" t="str">
        <x:v>1. 头像框列表采用哪种稳定次序的正向、边界及异常场景</x:v>
      </x:c>
      <x:c r="R71" s="4" t="str">
        <x:v>交互</x:v>
      </x:c>
      <x:c r="S71" s="4" t="str">
        <x:v>进入对应功能测试前</x:v>
      </x:c>
      <x:c r="T71" s="4" t="str">
        <x:v>待确认</x:v>
      </x:c>
    </x:row>
    <x:row r="72" ht="68" customHeight="1">
      <x:c r="A72" s="4" t="str">
        <x:v>Q-086</x:v>
      </x:c>
      <x:c r="B72" s="4" t="str">
        <x:v>RQ-037</x:v>
      </x:c>
      <x:c r="C72" s="4" t="str"/>
      <x:c r="D72" s="4" t="str"/>
      <x:c r="E72" s="4" t="str">
        <x:v>部分阻塞</x:v>
      </x:c>
      <x:c r="F72" s="4" t="str">
        <x:v>M01 账号·登录·资料与设置</x:v>
      </x:c>
      <x:c r="G72" s="4" t="str">
        <x:v>用户在聊天气泡查看多条符合范围的记录</x:v>
      </x:c>
      <x:c r="H72" s="4" t="str">
        <x:v>交互与文案规则</x:v>
      </x:c>
      <x:c r="I72" s="4" t="str">
        <x:v>聊天气泡列表采用哪种稳定次序？</x:v>
      </x:c>
      <x:c r="J72" s="4" t="str">
        <x:v>A. 按记录唯一标识升序
B. 按记录唯一标识降序</x:v>
      </x:c>
      <x:c r="K72" s="4" t="str">
        <x:v>建议优先评估A：明确用户在聊天气泡查看多条符合范围的记录的唯一处理口径后，可构造确定的输入和结果；此建议不代表产品结论</x:v>
      </x:c>
      <x:c r="L72" s="8" t="str"/>
      <x:c r="M72" s="8" t="str"/>
      <x:c r="N72" s="4" t="str">
        <x:v>1. MainBasis/需求待确认清单.md#Q037：各列表排序和同值次序
2. 主文档关联：U-my-decoration-chat-bubble-005</x:v>
      </x:c>
      <x:c r="O72" s="4" t="str">
        <x:v>1. 用户App：用户在聊天气泡查看多条符合范围的记录</x:v>
      </x:c>
      <x:c r="P72" s="4" t="str"/>
      <x:c r="Q72" s="4" t="str">
        <x:v>1. 聊天气泡列表采用哪种稳定次序的正向、边界及异常场景</x:v>
      </x:c>
      <x:c r="R72" s="4" t="str">
        <x:v>交互</x:v>
      </x:c>
      <x:c r="S72" s="4" t="str">
        <x:v>进入对应功能测试前</x:v>
      </x:c>
      <x:c r="T72" s="4" t="str">
        <x:v>待确认</x:v>
      </x:c>
    </x:row>
    <x:row r="73" ht="68" customHeight="1">
      <x:c r="A73" s="4" t="str">
        <x:v>Q-087</x:v>
      </x:c>
      <x:c r="B73" s="4" t="str">
        <x:v>RQ-037</x:v>
      </x:c>
      <x:c r="C73" s="4" t="str"/>
      <x:c r="D73" s="4" t="str"/>
      <x:c r="E73" s="4" t="str">
        <x:v>部分阻塞</x:v>
      </x:c>
      <x:c r="F73" s="4" t="str">
        <x:v>M01 账号·登录·资料与设置</x:v>
      </x:c>
      <x:c r="G73" s="4" t="str">
        <x:v>用户在勋章查看多条符合范围的记录</x:v>
      </x:c>
      <x:c r="H73" s="4" t="str">
        <x:v>交互与文案规则</x:v>
      </x:c>
      <x:c r="I73" s="4" t="str">
        <x:v>勋章列表采用哪种稳定次序？</x:v>
      </x:c>
      <x:c r="J73" s="4" t="str">
        <x:v>A. 按记录唯一标识升序
B. 按记录唯一标识降序</x:v>
      </x:c>
      <x:c r="K73" s="4" t="str">
        <x:v>建议优先评估A：明确用户在勋章查看多条符合范围的记录的唯一处理口径后，可构造确定的输入和结果；此建议不代表产品结论</x:v>
      </x:c>
      <x:c r="L73" s="8" t="str"/>
      <x:c r="M73" s="8" t="str"/>
      <x:c r="N73" s="4" t="str">
        <x:v>1. MainBasis/需求待确认清单.md#Q037：各列表排序和同值次序
2. 主文档关联：U-my-decoration-medal-006</x:v>
      </x:c>
      <x:c r="O73" s="4" t="str">
        <x:v>1. 用户App：用户在勋章查看多条符合范围的记录</x:v>
      </x:c>
      <x:c r="P73" s="4" t="str"/>
      <x:c r="Q73" s="4" t="str">
        <x:v>1. 勋章列表采用哪种稳定次序的正向、边界及异常场景</x:v>
      </x:c>
      <x:c r="R73" s="4" t="str">
        <x:v>交互</x:v>
      </x:c>
      <x:c r="S73" s="4" t="str">
        <x:v>进入对应功能测试前</x:v>
      </x:c>
      <x:c r="T73" s="4" t="str">
        <x:v>待确认</x:v>
      </x:c>
    </x:row>
    <x:row r="74" ht="68" customHeight="1">
      <x:c r="A74" s="4" t="str">
        <x:v>Q-088</x:v>
      </x:c>
      <x:c r="B74" s="4" t="str">
        <x:v>RQ-037</x:v>
      </x:c>
      <x:c r="C74" s="4" t="str"/>
      <x:c r="D74" s="4" t="str"/>
      <x:c r="E74" s="4" t="str">
        <x:v>部分阻塞</x:v>
      </x:c>
      <x:c r="F74" s="4" t="str">
        <x:v>M03 社交·私信·群聊与通知</x:v>
      </x:c>
      <x:c r="G74" s="4" t="str">
        <x:v>用户在好友列表查看多条符合范围的记录</x:v>
      </x:c>
      <x:c r="H74" s="4" t="str">
        <x:v>交互与文案规则</x:v>
      </x:c>
      <x:c r="I74" s="4" t="str">
        <x:v>好友列表列表采用哪种稳定次序？</x:v>
      </x:c>
      <x:c r="J74" s="4" t="str">
        <x:v>A. 按记录唯一标识升序
B. 按记录唯一标识降序</x:v>
      </x:c>
      <x:c r="K74" s="4" t="str">
        <x:v>建议优先评估A：明确用户在好友列表查看多条符合范围的记录的唯一处理口径后，可构造确定的输入和结果；此建议不代表产品结论</x:v>
      </x:c>
      <x:c r="L74" s="8" t="str"/>
      <x:c r="M74" s="8" t="str"/>
      <x:c r="N74" s="4" t="str">
        <x:v>1. MainBasis/需求待确认清单.md#Q037：各列表排序和同值次序
2. 主文档关联：U-friend-list-010</x:v>
      </x:c>
      <x:c r="O74" s="4" t="str">
        <x:v>1. 用户App：用户在好友列表查看多条符合范围的记录</x:v>
      </x:c>
      <x:c r="P74" s="4" t="str"/>
      <x:c r="Q74" s="4" t="str">
        <x:v>1. 好友列表列表采用哪种稳定次序的正向、边界及异常场景</x:v>
      </x:c>
      <x:c r="R74" s="4" t="str">
        <x:v>交互</x:v>
      </x:c>
      <x:c r="S74" s="4" t="str">
        <x:v>进入对应功能测试前</x:v>
      </x:c>
      <x:c r="T74" s="4" t="str">
        <x:v>待确认</x:v>
      </x:c>
    </x:row>
    <x:row r="75" ht="68" customHeight="1">
      <x:c r="A75" s="4" t="str">
        <x:v>Q-089</x:v>
      </x:c>
      <x:c r="B75" s="4" t="str">
        <x:v>RQ-037</x:v>
      </x:c>
      <x:c r="C75" s="4" t="str"/>
      <x:c r="D75" s="4" t="str"/>
      <x:c r="E75" s="4" t="str">
        <x:v>部分阻塞</x:v>
      </x:c>
      <x:c r="F75" s="4" t="str">
        <x:v>M04 粉丝团·房管与成长等级</x:v>
      </x:c>
      <x:c r="G75" s="4" t="str">
        <x:v>用户在房管管理查看多条符合范围的记录</x:v>
      </x:c>
      <x:c r="H75" s="4" t="str">
        <x:v>交互与文案规则</x:v>
      </x:c>
      <x:c r="I75" s="4" t="str">
        <x:v>房管管理列表采用哪种稳定次序？</x:v>
      </x:c>
      <x:c r="J75" s="4" t="str">
        <x:v>A. 按记录唯一标识升序
B. 按记录唯一标识降序</x:v>
      </x:c>
      <x:c r="K75" s="4" t="str">
        <x:v>建议优先评估A：明确用户在房管管理查看多条符合范围的记录的唯一处理口径后，可构造确定的输入和结果；此建议不代表产品结论</x:v>
      </x:c>
      <x:c r="L75" s="8" t="str"/>
      <x:c r="M75" s="8" t="str"/>
      <x:c r="N75" s="4" t="str">
        <x:v>1. MainBasis/需求待确认清单.md#Q037：各列表排序和同值次序
2. 主文档关联：U-moderator-management-008</x:v>
      </x:c>
      <x:c r="O75" s="4" t="str">
        <x:v>1. 用户App：用户在房管管理查看多条符合范围的记录</x:v>
      </x:c>
      <x:c r="P75" s="4" t="str"/>
      <x:c r="Q75" s="4" t="str">
        <x:v>1. 房管管理列表采用哪种稳定次序的正向、边界及异常场景</x:v>
      </x:c>
      <x:c r="R75" s="4" t="str">
        <x:v>交互</x:v>
      </x:c>
      <x:c r="S75" s="4" t="str">
        <x:v>进入对应功能测试前</x:v>
      </x:c>
      <x:c r="T75" s="4" t="str">
        <x:v>待确认</x:v>
      </x:c>
    </x:row>
    <x:row r="76" ht="68" customHeight="1">
      <x:c r="A76" s="4" t="str">
        <x:v>Q-090</x:v>
      </x:c>
      <x:c r="B76" s="4" t="str">
        <x:v>RQ-037</x:v>
      </x:c>
      <x:c r="C76" s="4" t="str"/>
      <x:c r="D76" s="4" t="str"/>
      <x:c r="E76" s="4" t="str">
        <x:v>部分阻塞</x:v>
      </x:c>
      <x:c r="F76" s="4" t="str">
        <x:v>M05 公会申请·认证·组织与权限</x:v>
      </x:c>
      <x:c r="G76" s="4" t="str">
        <x:v>用户在公会通知查看多条符合范围的记录</x:v>
      </x:c>
      <x:c r="H76" s="4" t="str">
        <x:v>交互与文案规则</x:v>
      </x:c>
      <x:c r="I76" s="4" t="str">
        <x:v>公会通知列表采用哪种稳定次序？</x:v>
      </x:c>
      <x:c r="J76" s="4" t="str">
        <x:v>A. 按记录唯一标识升序
B. 按记录唯一标识降序</x:v>
      </x:c>
      <x:c r="K76" s="4" t="str">
        <x:v>建议优先评估A：明确用户在公会通知查看多条符合范围的记录的唯一处理口径后，可构造确定的输入和结果；此建议不代表产品结论</x:v>
      </x:c>
      <x:c r="L76" s="8" t="str"/>
      <x:c r="M76" s="8" t="str"/>
      <x:c r="N76" s="4" t="str">
        <x:v>1. MainBasis/需求待确认清单.md#Q037：各列表排序和同值次序
2. 主文档关联：U-host-guild-notifications-006</x:v>
      </x:c>
      <x:c r="O76" s="4" t="str">
        <x:v>1. 用户App：用户在公会通知查看多条符合范围的记录</x:v>
      </x:c>
      <x:c r="P76" s="4" t="str"/>
      <x:c r="Q76" s="4" t="str">
        <x:v>1. 公会通知列表采用哪种稳定次序的正向、边界及异常场景</x:v>
      </x:c>
      <x:c r="R76" s="4" t="str">
        <x:v>交互</x:v>
      </x:c>
      <x:c r="S76" s="4" t="str">
        <x:v>进入对应功能测试前</x:v>
      </x:c>
      <x:c r="T76" s="4" t="str">
        <x:v>待确认</x:v>
      </x:c>
    </x:row>
    <x:row r="77" ht="68" customHeight="1">
      <x:c r="A77" s="4" t="str">
        <x:v>Q-091</x:v>
      </x:c>
      <x:c r="B77" s="4" t="str">
        <x:v>RQ-037</x:v>
      </x:c>
      <x:c r="C77" s="4" t="str"/>
      <x:c r="D77" s="4" t="str"/>
      <x:c r="E77" s="4" t="str">
        <x:v>部分阻塞</x:v>
      </x:c>
      <x:c r="F77" s="4" t="str">
        <x:v>M06 开播·房型·观看·连麦与房内管理</x:v>
      </x:c>
      <x:c r="G77" s="4" t="str">
        <x:v>用户在选择可见粉丝查看多条符合范围的记录</x:v>
      </x:c>
      <x:c r="H77" s="4" t="str">
        <x:v>交互与文案规则</x:v>
      </x:c>
      <x:c r="I77" s="4" t="str">
        <x:v>选择可见粉丝列表采用哪种稳定次序？</x:v>
      </x:c>
      <x:c r="J77" s="4" t="str">
        <x:v>A. 按记录唯一标识升序
B. 按记录唯一标识降序</x:v>
      </x:c>
      <x:c r="K77" s="4" t="str">
        <x:v>建议优先评估A：明确用户在选择可见粉丝查看多条符合范围的记录的唯一处理口径后，可构造确定的输入和结果；此建议不代表产品结论</x:v>
      </x:c>
      <x:c r="L77" s="8" t="str"/>
      <x:c r="M77" s="8" t="str"/>
      <x:c r="N77" s="4" t="str">
        <x:v>1. MainBasis/需求待确认清单.md#Q037：各列表排序和同值次序
2. 主文档关联：U-visible-fan-select-007</x:v>
      </x:c>
      <x:c r="O77" s="4" t="str">
        <x:v>1. 用户App：用户在选择可见粉丝查看多条符合范围的记录</x:v>
      </x:c>
      <x:c r="P77" s="4" t="str"/>
      <x:c r="Q77" s="4" t="str">
        <x:v>1. 选择可见粉丝列表采用哪种稳定次序的正向、边界及异常场景</x:v>
      </x:c>
      <x:c r="R77" s="4" t="str">
        <x:v>交互</x:v>
      </x:c>
      <x:c r="S77" s="4" t="str">
        <x:v>进入对应功能测试前</x:v>
      </x:c>
      <x:c r="T77" s="4" t="str">
        <x:v>待确认</x:v>
      </x:c>
    </x:row>
    <x:row r="78" ht="68" customHeight="1">
      <x:c r="A78" s="4" t="str">
        <x:v>Q-092</x:v>
      </x:c>
      <x:c r="B78" s="4" t="str">
        <x:v>RQ-037</x:v>
      </x:c>
      <x:c r="C78" s="4" t="str"/>
      <x:c r="D78" s="4" t="str"/>
      <x:c r="E78" s="4" t="str">
        <x:v>部分阻塞</x:v>
      </x:c>
      <x:c r="F78" s="4" t="str">
        <x:v>M04 粉丝团·房管与成长等级</x:v>
      </x:c>
      <x:c r="G78" s="4" t="str">
        <x:v>用户在粉丝列表查看多条符合范围的记录</x:v>
      </x:c>
      <x:c r="H78" s="4" t="str">
        <x:v>交互与文案规则</x:v>
      </x:c>
      <x:c r="I78" s="4" t="str">
        <x:v>粉丝列表列表采用哪种稳定次序？</x:v>
      </x:c>
      <x:c r="J78" s="4" t="str">
        <x:v>A. 按记录唯一标识升序
B. 按记录唯一标识降序</x:v>
      </x:c>
      <x:c r="K78" s="4" t="str">
        <x:v>建议优先评估A：明确用户在粉丝列表查看多条符合范围的记录的唯一处理口径后，可构造确定的输入和结果；此建议不代表产品结论</x:v>
      </x:c>
      <x:c r="L78" s="8" t="str"/>
      <x:c r="M78" s="8" t="str"/>
      <x:c r="N78" s="4" t="str">
        <x:v>1. MainBasis/需求待确认清单.md#Q037：各列表排序和同值次序
2. 主文档关联：U-fan-list-006</x:v>
      </x:c>
      <x:c r="O78" s="4" t="str">
        <x:v>1. 用户App：用户在粉丝列表查看多条符合范围的记录</x:v>
      </x:c>
      <x:c r="P78" s="4" t="str"/>
      <x:c r="Q78" s="4" t="str">
        <x:v>1. 粉丝列表列表采用哪种稳定次序的正向、边界及异常场景</x:v>
      </x:c>
      <x:c r="R78" s="4" t="str">
        <x:v>交互</x:v>
      </x:c>
      <x:c r="S78" s="4" t="str">
        <x:v>进入对应功能测试前</x:v>
      </x:c>
      <x:c r="T78" s="4" t="str">
        <x:v>待确认</x:v>
      </x:c>
    </x:row>
    <x:row r="79" ht="68" customHeight="1">
      <x:c r="A79" s="4" t="str">
        <x:v>Q-093</x:v>
      </x:c>
      <x:c r="B79" s="4" t="str">
        <x:v>RQ-037</x:v>
      </x:c>
      <x:c r="C79" s="4" t="str"/>
      <x:c r="D79" s="4" t="str"/>
      <x:c r="E79" s="4" t="str">
        <x:v>部分阻塞</x:v>
      </x:c>
      <x:c r="F79" s="4" t="str">
        <x:v>M04 粉丝团·房管与成长等级</x:v>
      </x:c>
      <x:c r="G79" s="4" t="str">
        <x:v>用户在粉丝团查看多条符合范围的记录</x:v>
      </x:c>
      <x:c r="H79" s="4" t="str">
        <x:v>交互与文案规则</x:v>
      </x:c>
      <x:c r="I79" s="4" t="str">
        <x:v>粉丝团记录同值时采用哪种稳定次序？</x:v>
      </x:c>
      <x:c r="J79" s="4" t="str">
        <x:v>A. 按记录唯一标识升序
B. 按记录唯一标识降序</x:v>
      </x:c>
      <x:c r="K79" s="4" t="str">
        <x:v>建议优先评估A：明确用户在粉丝团查看多条符合范围的记录的唯一处理口径后，可构造确定的输入和结果；此建议不代表产品结论</x:v>
      </x:c>
      <x:c r="L79" s="8" t="str"/>
      <x:c r="M79" s="8" t="str"/>
      <x:c r="N79" s="4" t="str">
        <x:v>1. MainBasis/需求待确认清单.md#Q037：各列表排序和同值次序
2. 主文档关联：U-fan-club-008</x:v>
      </x:c>
      <x:c r="O79" s="4" t="str">
        <x:v>1. 用户App：用户在粉丝团查看多条符合范围的记录</x:v>
      </x:c>
      <x:c r="P79" s="4" t="str"/>
      <x:c r="Q79" s="4" t="str">
        <x:v>1. 粉丝团记录同值时采用哪种稳定次序的正向、边界及异常场景</x:v>
      </x:c>
      <x:c r="R79" s="4" t="str">
        <x:v>交互</x:v>
      </x:c>
      <x:c r="S79" s="4" t="str">
        <x:v>进入对应功能测试前</x:v>
      </x:c>
      <x:c r="T79" s="4" t="str">
        <x:v>待确认</x:v>
      </x:c>
    </x:row>
    <x:row r="80" ht="68" customHeight="1">
      <x:c r="A80" s="4" t="str">
        <x:v>Q-094</x:v>
      </x:c>
      <x:c r="B80" s="4" t="str">
        <x:v>RQ-037</x:v>
      </x:c>
      <x:c r="C80" s="4" t="str"/>
      <x:c r="D80" s="4" t="str"/>
      <x:c r="E80" s="4" t="str">
        <x:v>部分阻塞</x:v>
      </x:c>
      <x:c r="F80" s="4" t="str">
        <x:v>M12 直播业绩·增长与统计报表</x:v>
      </x:c>
      <x:c r="G80" s="4" t="str">
        <x:v>用户在直播数据查看多条符合范围的记录</x:v>
      </x:c>
      <x:c r="H80" s="4" t="str">
        <x:v>交互与文案规则</x:v>
      </x:c>
      <x:c r="I80" s="4" t="str">
        <x:v>直播数据列表采用哪种稳定次序？</x:v>
      </x:c>
      <x:c r="J80" s="4" t="str">
        <x:v>A. 按记录唯一标识升序
B. 按记录唯一标识降序</x:v>
      </x:c>
      <x:c r="K80" s="4" t="str">
        <x:v>建议优先评估A：明确用户在直播数据查看多条符合范围的记录的唯一处理口径后，可构造确定的输入和结果；此建议不代表产品结论</x:v>
      </x:c>
      <x:c r="L80" s="8" t="str"/>
      <x:c r="M80" s="8" t="str"/>
      <x:c r="N80" s="4" t="str">
        <x:v>1. MainBasis/需求待确认清单.md#Q037：各列表排序和同值次序
2. 主文档关联：U-live-data-008</x:v>
      </x:c>
      <x:c r="O80" s="4" t="str">
        <x:v>1. 用户App：用户在直播数据查看多条符合范围的记录</x:v>
      </x:c>
      <x:c r="P80" s="4" t="str"/>
      <x:c r="Q80" s="4" t="str">
        <x:v>1. 直播数据列表采用哪种稳定次序的正向、边界及异常场景</x:v>
      </x:c>
      <x:c r="R80" s="4" t="str">
        <x:v>交互</x:v>
      </x:c>
      <x:c r="S80" s="4" t="str">
        <x:v>进入对应功能测试前</x:v>
      </x:c>
      <x:c r="T80" s="4" t="str">
        <x:v>待确认</x:v>
      </x:c>
    </x:row>
    <x:row r="81" ht="68" customHeight="1">
      <x:c r="A81" s="4" t="str">
        <x:v>Q-095</x:v>
      </x:c>
      <x:c r="B81" s="4" t="str">
        <x:v>RQ-037</x:v>
      </x:c>
      <x:c r="C81" s="4" t="str"/>
      <x:c r="D81" s="4" t="str"/>
      <x:c r="E81" s="4" t="str">
        <x:v>部分阻塞</x:v>
      </x:c>
      <x:c r="F81" s="4" t="str">
        <x:v>M01 账号·登录·资料与设置</x:v>
      </x:c>
      <x:c r="G81" s="4" t="str">
        <x:v>用户在选择国家/地区查看多条符合范围的记录</x:v>
      </x:c>
      <x:c r="H81" s="4" t="str">
        <x:v>交互与文案规则</x:v>
      </x:c>
      <x:c r="I81" s="4" t="str">
        <x:v>选择国家/地区列表采用哪种稳定次序？</x:v>
      </x:c>
      <x:c r="J81" s="4" t="str">
        <x:v>A. 按记录唯一标识升序
B. 按记录唯一标识降序</x:v>
      </x:c>
      <x:c r="K81" s="4" t="str">
        <x:v>建议优先评估A：明确用户在选择国家/地区查看多条符合范围的记录的唯一处理口径后，可构造确定的输入和结果；此建议不代表产品结论</x:v>
      </x:c>
      <x:c r="L81" s="8" t="str"/>
      <x:c r="M81" s="8" t="str"/>
      <x:c r="N81" s="4" t="str">
        <x:v>1. MainBasis/需求待确认清单.md#Q037：各列表排序和同值次序
2. 主文档关联：U-auth-country-select-008</x:v>
      </x:c>
      <x:c r="O81" s="4" t="str">
        <x:v>1. 用户App：用户在选择国家/地区查看多条符合范围的记录</x:v>
      </x:c>
      <x:c r="P81" s="4" t="str"/>
      <x:c r="Q81" s="4" t="str">
        <x:v>1. 选择国家/地区列表采用哪种稳定次序的正向、边界及异常场景</x:v>
      </x:c>
      <x:c r="R81" s="4" t="str">
        <x:v>交互</x:v>
      </x:c>
      <x:c r="S81" s="4" t="str">
        <x:v>进入对应功能测试前</x:v>
      </x:c>
      <x:c r="T81" s="4" t="str">
        <x:v>待确认</x:v>
      </x:c>
    </x:row>
    <x:row r="82" ht="68" customHeight="1">
      <x:c r="A82" s="4" t="str">
        <x:v>Q-096</x:v>
      </x:c>
      <x:c r="B82" s="4" t="str">
        <x:v>RQ-037</x:v>
      </x:c>
      <x:c r="C82" s="4" t="str"/>
      <x:c r="D82" s="4" t="str"/>
      <x:c r="E82" s="4" t="str">
        <x:v>部分阻塞</x:v>
      </x:c>
      <x:c r="F82" s="4" t="str">
        <x:v>M12 直播业绩·增长与统计报表</x:v>
      </x:c>
      <x:c r="G82" s="4" t="str">
        <x:v>用户在月数据查看多条符合范围的记录</x:v>
      </x:c>
      <x:c r="H82" s="4" t="str">
        <x:v>交互与文案规则</x:v>
      </x:c>
      <x:c r="I82" s="4" t="str">
        <x:v>月数据列表采用哪种稳定次序？</x:v>
      </x:c>
      <x:c r="J82" s="4" t="str">
        <x:v>A. 按记录唯一标识升序
B. 按记录唯一标识降序</x:v>
      </x:c>
      <x:c r="K82" s="4" t="str">
        <x:v>建议优先评估A：明确用户在月数据查看多条符合范围的记录的唯一处理口径后，可构造确定的输入和结果；此建议不代表产品结论</x:v>
      </x:c>
      <x:c r="L82" s="8" t="str"/>
      <x:c r="M82" s="8" t="str"/>
      <x:c r="N82" s="4" t="str">
        <x:v>1. MainBasis/需求待确认清单.md#Q037：各列表排序和同值次序
2. 主文档关联：U-views_live-data_month-009</x:v>
      </x:c>
      <x:c r="O82" s="4" t="str">
        <x:v>1. 用户App：用户在月数据查看多条符合范围的记录</x:v>
      </x:c>
      <x:c r="P82" s="4" t="str"/>
      <x:c r="Q82" s="4" t="str">
        <x:v>1. 月数据列表采用哪种稳定次序的正向、边界及异常场景</x:v>
      </x:c>
      <x:c r="R82" s="4" t="str">
        <x:v>交互</x:v>
      </x:c>
      <x:c r="S82" s="4" t="str">
        <x:v>进入对应功能测试前</x:v>
      </x:c>
      <x:c r="T82" s="4" t="str">
        <x:v>待确认</x:v>
      </x:c>
    </x:row>
    <x:row r="83" ht="96" customHeight="1">
      <x:c r="A83" s="4" t="str">
        <x:v>Q-071</x:v>
      </x:c>
      <x:c r="B83" s="4" t="str">
        <x:v>RQ-038</x:v>
      </x:c>
      <x:c r="C83" s="4" t="str"/>
      <x:c r="D83" s="4" t="str"/>
      <x:c r="E83" s="4" t="str">
        <x:v>部分阻塞</x:v>
      </x:c>
      <x:c r="F83" s="4" t="str">
        <x:v>跨模块需求</x:v>
      </x:c>
      <x:c r="G83" s="4" t="str">
        <x:v>旧资料出现现行主文档未确认的功能</x:v>
      </x:c>
      <x:c r="H83" s="4" t="str">
        <x:v>需求范围</x:v>
      </x:c>
      <x:c r="I83" s="4" t="str">
        <x:v>旧功能是否进入本期验收范围？</x:v>
      </x:c>
      <x:c r="J83" s="4" t="str">
        <x:v>A. 不进入，以当前MainBasis已明确功能验收
B. 进入，须逐项补齐正式规则后再纳入</x:v>
      </x:c>
      <x:c r="K83" s="4" t="str">
        <x:v>建议优先评估A：明确旧资料出现现行主文档未确认的功能的唯一处理口径后，可构造确定的输入和结果；此建议不代表产品结论</x:v>
      </x:c>
      <x:c r="L83" s="8" t="str"/>
      <x:c r="M83" s="8" t="str"/>
      <x:c r="N83" s="4" t="str">
        <x:v>1. MainBasis/需求待确认清单.md#Q038：主基准之外的运营配置与其他功能是否纳入本期
2. 主文档关联：见风险来源中的来源异常范围</x:v>
      </x:c>
      <x:c r="O83" s="4" t="str">
        <x:v>1. 用户App：旧资料出现现行主文档未确认的功能
2. 公会App：旧资料出现现行主文档未确认的功能
3. 管理后台：旧资料出现现行主文档未确认的功能</x:v>
      </x:c>
      <x:c r="P83" s="4" t="str"/>
      <x:c r="Q83" s="4" t="str">
        <x:v>1. 旧功能是否进入本期验收范围的正向、边界及异常场景</x:v>
      </x:c>
      <x:c r="R83" s="4" t="str">
        <x:v>产品</x:v>
      </x:c>
      <x:c r="S83" s="4" t="str">
        <x:v>进入对应功能测试前</x:v>
      </x:c>
      <x:c r="T83" s="4" t="str">
        <x:v>待确认</x:v>
      </x:c>
    </x:row>
    <x:row r="84" ht="68" customHeight="1">
      <x:c r="A84" s="4" t="str">
        <x:v>Q-072</x:v>
      </x:c>
      <x:c r="B84" s="4" t="str">
        <x:v>RQ-039</x:v>
      </x:c>
      <x:c r="C84" s="4" t="str"/>
      <x:c r="D84" s="4" t="str"/>
      <x:c r="E84" s="4" t="str">
        <x:v>部分阻塞</x:v>
      </x:c>
      <x:c r="F84" s="4" t="str">
        <x:v>跨模块需求</x:v>
      </x:c>
      <x:c r="G84" s="4" t="str">
        <x:v>直播过程中切换网络并发生连接中断</x:v>
      </x:c>
      <x:c r="H84" s="4" t="str">
        <x:v>流程与状态</x:v>
      </x:c>
      <x:c r="I84" s="4" t="str">
        <x:v>恢复后是否继续原场次？</x:v>
      </x:c>
      <x:c r="J84" s="4" t="str">
        <x:v>A. 原场次未结束则恢复原场次，结束后不得恢复
B. 任何网络中断均结束原场次，恢复后重新开播</x:v>
      </x:c>
      <x:c r="K84" s="4" t="str">
        <x:v>建议优先评估A：明确直播过程中切换网络并发生连接中断的唯一处理口径后，可构造确定的输入和结果；此建议不代表产品结论</x:v>
      </x:c>
      <x:c r="L84" s="8" t="str"/>
      <x:c r="M84" s="8" t="str"/>
      <x:c r="N84" s="4" t="str">
        <x:v>1. MainBasis/需求待确认清单.md#Q039：直播和 IM 的实际技术验收指标
2. 主文档关联：见风险来源中的来源异常范围</x:v>
      </x:c>
      <x:c r="O84" s="4" t="str">
        <x:v>1. 用户App：直播过程中切换网络并发生连接中断
2. 管理后台：直播过程中切换网络并发生连接中断</x:v>
      </x:c>
      <x:c r="P84" s="4" t="str"/>
      <x:c r="Q84" s="4" t="str">
        <x:v>1. 恢复后是否继续原场次的正向、边界及异常场景</x:v>
      </x:c>
      <x:c r="R84" s="4" t="str">
        <x:v>多方确认</x:v>
      </x:c>
      <x:c r="S84" s="4" t="str">
        <x:v>进入对应功能测试前</x:v>
      </x:c>
      <x:c r="T84" s="4" t="str">
        <x:v>待确认</x:v>
      </x:c>
    </x:row>
    <x:row r="85" ht="68" customHeight="1">
      <x:c r="A85" s="4" t="str">
        <x:v>Q-073</x:v>
      </x:c>
      <x:c r="B85" s="4" t="str">
        <x:v>RQ-039</x:v>
      </x:c>
      <x:c r="C85" s="4" t="str"/>
      <x:c r="D85" s="4" t="str"/>
      <x:c r="E85" s="4" t="str">
        <x:v>部分阻塞</x:v>
      </x:c>
      <x:c r="F85" s="4" t="str">
        <x:v>跨模块需求</x:v>
      </x:c>
      <x:c r="G85" s="4" t="str">
        <x:v>私信发送后进程结束，服务端已接收</x:v>
      </x:c>
      <x:c r="H85" s="4" t="str">
        <x:v>异常处理</x:v>
      </x:c>
      <x:c r="I85" s="4" t="str">
        <x:v>重新启动App后该消息应如何恢复？</x:v>
      </x:c>
      <x:c r="J85" s="4" t="str">
        <x:v>A. 恢复同一条已发送消息，不重复发送
B. 不自动恢复，消息记录同步后由用户核对</x:v>
      </x:c>
      <x:c r="K85" s="4" t="str">
        <x:v>建议优先评估A：明确私信发送后进程结束，服务端已接收的唯一处理口径后，可构造确定的输入和结果；此建议不代表产品结论</x:v>
      </x:c>
      <x:c r="L85" s="8" t="str"/>
      <x:c r="M85" s="8" t="str"/>
      <x:c r="N85" s="4" t="str">
        <x:v>1. MainBasis/需求待确认清单.md#Q039：直播和 IM 的实际技术验收指标
2. 主文档关联：见风险来源中的来源异常范围</x:v>
      </x:c>
      <x:c r="O85" s="4" t="str">
        <x:v>1. 用户App：私信发送后进程结束，服务端已接收</x:v>
      </x:c>
      <x:c r="P85" s="4" t="str"/>
      <x:c r="Q85" s="4" t="str">
        <x:v>1. 重新启动App后该消息应如何恢复的正向、边界及异常场景</x:v>
      </x:c>
      <x:c r="R85" s="4" t="str">
        <x:v>技术</x:v>
      </x:c>
      <x:c r="S85" s="4" t="str">
        <x:v>进入对应功能测试前</x:v>
      </x:c>
      <x:c r="T85" s="4" t="str">
        <x:v>待确认</x:v>
      </x:c>
    </x:row>
    <x:row r="86" ht="68" customHeight="1">
      <x:c r="A86" s="4" t="str">
        <x:v>Q-079</x:v>
      </x:c>
      <x:c r="B86" s="4" t="str">
        <x:v>RQ-040</x:v>
      </x:c>
      <x:c r="C86" s="4" t="str"/>
      <x:c r="D86" s="4" t="str"/>
      <x:c r="E86" s="4" t="str">
        <x:v>部分阻塞</x:v>
      </x:c>
      <x:c r="F86" s="4" t="str">
        <x:v>跨模块需求</x:v>
      </x:c>
      <x:c r="G86" s="4" t="str">
        <x:v>当前索引未登记的旧装扮页my-outfits</x:v>
      </x:c>
      <x:c r="H86" s="4" t="str">
        <x:v>需求范围</x:v>
      </x:c>
      <x:c r="I86" s="4" t="str">
        <x:v>旧装扮页my-outfits是否属于本期范围？</x:v>
      </x:c>
      <x:c r="J86" s="4" t="str">
        <x:v>A. 排除，只保留为历史资料
B. 纳入，补齐本页规则与角色后生成用例</x:v>
      </x:c>
      <x:c r="K86" s="4" t="str">
        <x:v>建议优先评估A：明确当前索引未登记的旧装扮页my-outfits的唯一处理口径后，可构造确定的输入和结果；此建议不代表产品结论</x:v>
      </x:c>
      <x:c r="L86" s="8" t="str"/>
      <x:c r="M86" s="8" t="str"/>
      <x:c r="N86" s="4" t="str">
        <x:v>1. MainBasis/需求待确认清单.md#Q040：未登记页面和缺失来源的范围归属
2. 主文档关联：见风险来源中的来源异常范围</x:v>
      </x:c>
      <x:c r="O86" s="4" t="str">
        <x:v>1. 用户App：当前索引未登记的旧装扮页my-outfits</x:v>
      </x:c>
      <x:c r="P86" s="4" t="str"/>
      <x:c r="Q86" s="4" t="str">
        <x:v>1. 旧装扮页my-outfits是否属于本期范围的正向、边界及异常场景</x:v>
      </x:c>
      <x:c r="R86" s="4" t="str">
        <x:v>产品</x:v>
      </x:c>
      <x:c r="S86" s="4" t="str">
        <x:v>进入对应功能测试前</x:v>
      </x:c>
      <x:c r="T86" s="4" t="str">
        <x:v>待确认</x:v>
      </x:c>
    </x:row>
    <x:row r="87" ht="96" customHeight="1">
      <x:c r="A87" s="4" t="str">
        <x:v>Q-081</x:v>
      </x:c>
      <x:c r="B87" s="4" t="str">
        <x:v>RQ-042</x:v>
      </x:c>
      <x:c r="C87" s="4" t="str"/>
      <x:c r="D87" s="4" t="str"/>
      <x:c r="E87" s="4" t="str">
        <x:v>部分阻塞</x:v>
      </x:c>
      <x:c r="F87" s="4" t="str">
        <x:v>跨模块需求</x:v>
      </x:c>
      <x:c r="G87" s="4" t="str">
        <x:v>客户端展示超过1000的大数</x:v>
      </x:c>
      <x:c r="H87" s="4" t="str">
        <x:v>交互与文案规则</x:v>
      </x:c>
      <x:c r="I87" s="4" t="str">
        <x:v>数字展示是否使用缩写？</x:v>
      </x:c>
      <x:c r="J87" s="4" t="str">
        <x:v>A. 显示完整数值，按当前语言设置分组符
B. 使用K和M缩写，保留1位小数向下截断</x:v>
      </x:c>
      <x:c r="K87" s="4" t="str">
        <x:v>建议优先评估A：明确客户端展示超过1000的大数的唯一处理口径后，可构造确定的输入和结果；此建议不代表产品结论</x:v>
      </x:c>
      <x:c r="L87" s="8" t="str"/>
      <x:c r="M87" s="8" t="str"/>
      <x:c r="N87" s="4" t="str">
        <x:v>1. MainBasis/需求待确认清单.md#Q042：大数缩写与精确值显示
2. 主文档关联：见风险来源中的来源异常范围</x:v>
      </x:c>
      <x:c r="O87" s="4" t="str">
        <x:v>1. 用户App：客户端展示超过1000的大数
2. 公会App：客户端展示超过1000的大数
3. 管理后台：客户端展示超过1000的大数</x:v>
      </x:c>
      <x:c r="P87" s="4" t="str"/>
      <x:c r="Q87" s="4" t="str">
        <x:v>1. 数字展示是否使用缩写的正向、边界及异常场景</x:v>
      </x:c>
      <x:c r="R87" s="4" t="str">
        <x:v>交互</x:v>
      </x:c>
      <x:c r="S87" s="4" t="str">
        <x:v>进入对应功能测试前</x:v>
      </x:c>
      <x:c r="T87" s="4" t="str">
        <x:v>待确认</x:v>
      </x:c>
    </x:row>
  </x:sheetData>
  <x:dataValidations count="5">
    <x:dataValidation type="list" sqref="E2:E87">
      <x:formula1>"阻塞测试,部分阻塞,不阻塞"</x:formula1>
    </x:dataValidation>
    <x:dataValidation type="list" sqref="H2:H87">
      <x:formula1>"需求范围,业务规则,角色与权限,流程与状态,字段与数据校验,计算与统计口径,异常处理,跨端与跨模块一致性,配置和历史数据影响,交互与文案规则"</x:formula1>
    </x:dataValidation>
    <x:dataValidation type="list" sqref="L2:L87">
      <x:formula1>"A,B,C,D,其他"</x:formula1>
    </x:dataValidation>
    <x:dataValidation type="list" sqref="R2:R87">
      <x:formula1>"产品,交互,技术,多方确认"</x:formula1>
    </x:dataValidation>
    <x:dataValidation type="list" sqref="T2:T87">
      <x:formula1>"待前置结论,待确认,确认中,已确认,无需处理"</x:formula1>
    </x:dataValidation>
  </x:dataValidations>
  <x:pageMargins left="0.7" right="0.7" top="0.75" bottom="0.75" header="0.3" footer="0.3"/>
  <x:tableParts count="1">
    <x:tablePart xmlns:r="http://schemas.openxmlformats.org/officeDocument/2006/relationships" r:id="R11f8a4aa85794e4c"/>
  </x:tableParts>
</x:worksheet>
</file>