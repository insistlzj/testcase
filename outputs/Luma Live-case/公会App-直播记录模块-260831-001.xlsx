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855bae4fe424a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381688fa8a0743c0"/>
    <x:sheet xmlns:r="http://schemas.openxmlformats.org/officeDocument/2006/relationships" name="需求待确认" sheetId="2" r:id="R564995723f4d405f"/>
    <x:sheet xmlns:r="http://schemas.openxmlformats.org/officeDocument/2006/relationships" name="产品决策概览" sheetId="3" r:id="R2a70ff26c46f4200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6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6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2" xfId="0" applyNumberFormat="1" applyFont="1" applyFill="1" applyBorder="1" applyAlignment="1">
      <x:alignment horizontal="center"/>
    </x:xf>
    <x:xf numFmtId="0" fontId="9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horizontal="left" wrapText="1"/>
    </x:xf>
    <x:xf numFmtId="0" fontId="11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7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008fa7f23490e" /><Relationship Type="http://schemas.openxmlformats.org/officeDocument/2006/relationships/theme" Target="/xl/theme/theme1.xml" Id="Rcb82f2d479ca4896" /><Relationship Type="http://schemas.openxmlformats.org/officeDocument/2006/relationships/sharedStrings" Target="/xl/sharedStrings.xml" Id="R70f193d5b8514b85" /><Relationship Type="http://schemas.openxmlformats.org/officeDocument/2006/relationships/worksheet" Target="/xl/worksheets/sheet1.xml" Id="R381688fa8a0743c0" /><Relationship Type="http://schemas.openxmlformats.org/officeDocument/2006/relationships/worksheet" Target="/xl/worksheets/sheet2.xml" Id="R564995723f4d405f" /><Relationship Type="http://schemas.openxmlformats.org/officeDocument/2006/relationships/worksheet" Target="/xl/worksheets/sheet3.xml" Id="R2a70ff26c46f4200" /></Relationships>
</file>

<file path=xl/tables/table1.xml><?xml version="1.0" encoding="utf-8"?>
<x:table xmlns:x="http://schemas.openxmlformats.org/spreadsheetml/2006/main" id="1" name="GuildLiveRecordTestCases" displayName="GuildLiveRecordTestCases" ref="A1:O108" headerRowCount="1" totalsRowCount="0" totalsRowShown="0">
  <x:autoFilter ref="A1:O108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ldLiveRecordPending" displayName="GuildLiveRecordPending" ref="A1:T11" headerRowCount="1" totalsRowCount="0" totalsRowShown="0">
  <x:autoFilter ref="A1:T11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1af4cbd66c49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197496cf7349e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0" hidden="0" customWidth="1"/>
    <x:col min="4" max="4" width="22" hidden="0" customWidth="1"/>
    <x:col min="5" max="5" width="13" hidden="0" customWidth="1"/>
    <x:col min="6" max="6" width="9" hidden="0" customWidth="1"/>
    <x:col min="7" max="7" width="34" hidden="0" customWidth="1"/>
    <x:col min="8" max="8" width="27" hidden="0" customWidth="1"/>
    <x:col min="9" max="9" width="46" hidden="0" customWidth="1"/>
    <x:col min="10" max="10" width="46" hidden="0" customWidth="1"/>
    <x:col min="11" max="11" width="52" hidden="0" customWidth="1"/>
    <x:col min="12" max="12" width="18" hidden="0" customWidth="1"/>
    <x:col min="13" max="13" width="12" hidden="0" customWidth="1"/>
    <x:col min="14" max="14" width="14" hidden="0" customWidth="1"/>
    <x:col min="15" max="15" width="50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103.5" customHeight="1">
      <x:c r="A2" s="5" t="n">
        <x:v>1</x:v>
      </x:c>
      <x:c r="B2" s="5" t="str">
        <x:v>GREC-001</x:v>
      </x:c>
      <x:c r="C2" s="5" t="str">
        <x:v>公会App-直播记录模块</x:v>
      </x:c>
      <x:c r="D2" s="5" t="str">
        <x:v>入口与默认状态</x:v>
      </x:c>
      <x:c r="E2" s="5" t="str">
        <x:v>业务流程</x:v>
      </x:c>
      <x:c r="F2" s="5" t="str">
        <x:v>P0</x:v>
      </x:c>
      <x:c r="G2" s="5" t="str">
        <x:v>验证从公会首页进入直播记录</x:v>
      </x:c>
      <x:c r="H2" s="5" t="str">
        <x:v>公会首页入口</x:v>
      </x:c>
      <x:c r="I2" s="5" t="str">
        <x:v>1. 公会长已登录公会 App</x:v>
      </x:c>
      <x:c r="J2" s="5" t="str">
        <x:v>1. 进入公会首页
2. 点击“直播记录”</x:v>
      </x:c>
      <x:c r="K2" s="5" t="str">
        <x:v>页面进入标题为“直播记录”的页面</x:v>
      </x:c>
      <x:c r="L2" s="5" t="str">
        <x:v>FLOW-GREC-001</x:v>
      </x:c>
      <x:c r="M2" s="5" t="str">
        <x:v>未测</x:v>
      </x:c>
      <x:c r="N2" s="5" t="str"/>
      <x:c r="O2" s="5" t="str">
        <x:v>1. 来源：prototype/pages/guild/home/guild-home.html；未连接真实后端动态验证
2. 来源：prototype/Luma Live-原型说明.md
3. 流程阶段：公会首页进入直播记录
4. 共同业务对象：当前公会在 15/08/2026 的主播直播记录
5. 同步追溯：work/liveshow-guild-live-records/prototype-context-sync-result.json；RSL-0004
6. 质量检查：最小前置条件、单一业务分支、单一可观察预期结果</x:v>
      </x:c>
    </x:row>
    <x:row r="3" ht="139.5" customHeight="1">
      <x:c r="A3" s="5" t="n">
        <x:v>2</x:v>
      </x:c>
      <x:c r="B3" s="5" t="str">
        <x:v>GREC-002</x:v>
      </x:c>
      <x:c r="C3" s="5" t="str">
        <x:v>公会App-直播记录模块</x:v>
      </x:c>
      <x:c r="D3" s="5" t="str">
        <x:v>入口与默认状态</x:v>
      </x:c>
      <x:c r="E3" s="5" t="str">
        <x:v>业务流程</x:v>
      </x:c>
      <x:c r="F3" s="5" t="str">
        <x:v>P1</x:v>
      </x:c>
      <x:c r="G3" s="5" t="str">
        <x:v>验证首页进入后的默认主播范围</x:v>
      </x:c>
      <x:c r="H3" s="5" t="str">
        <x:v>默认主播范围</x:v>
      </x:c>
      <x:c r="I3" s="5" t="str">
        <x:v>1. 当前公会存在 6 名主播
2. 公会长已进入公会首页</x:v>
      </x:c>
      <x:c r="J3" s="5" t="str">
        <x:v>1. 点击“直播记录”
2. 查看主播筛选项</x:v>
      </x:c>
      <x:c r="K3" s="5" t="str">
        <x:v>主播筛选项显示已选 6 人</x:v>
      </x:c>
      <x:c r="L3" s="5" t="str">
        <x:v>FLOW-GREC-001</x:v>
      </x:c>
      <x:c r="M3" s="5" t="str">
        <x:v>未测</x:v>
      </x:c>
      <x:c r="N3" s="5" t="str"/>
      <x:c r="O3" s="5" t="str">
        <x:v>1. 来源：context/02-公会App-项目需求清单.md（2026-08-31 按原型同步，RSL-0004）
2. 来源：prototype/assets/annotations.js 的公会直播记录、场次详情和主播多选批注
3. 来源：prototype/pages/guild/home/guild-home.html；未连接真实后端动态验证
4. 流程阶段：公会首页进入直播记录
5. 共同业务对象：当前公会在 15/08/2026 的主播直播记录
6. 同步追溯：work/liveshow-guild-live-records/prototype-context-sync-result.json；RSL-0004
7. 质量检查：最小前置条件、单一业务分支、单一可观察预期结果</x:v>
      </x:c>
    </x:row>
    <x:row r="4" ht="139.5" customHeight="1">
      <x:c r="A4" s="5" t="n">
        <x:v>3</x:v>
      </x:c>
      <x:c r="B4" s="5" t="str">
        <x:v>GREC-003</x:v>
      </x:c>
      <x:c r="C4" s="5" t="str">
        <x:v>公会App-直播记录模块</x:v>
      </x:c>
      <x:c r="D4" s="5" t="str">
        <x:v>入口与默认状态</x:v>
      </x:c>
      <x:c r="E4" s="5" t="str">
        <x:v>业务流程</x:v>
      </x:c>
      <x:c r="F4" s="5" t="str">
        <x:v>P1</x:v>
      </x:c>
      <x:c r="G4" s="5" t="str">
        <x:v>验证首页进入后的默认日期</x:v>
      </x:c>
      <x:c r="H4" s="5" t="str">
        <x:v>默认日期范围</x:v>
      </x:c>
      <x:c r="I4" s="5" t="str">
        <x:v>1. 测试环境业务日期为 15/08/2026
2. 公会长已进入公会首页</x:v>
      </x:c>
      <x:c r="J4" s="5" t="str">
        <x:v>1. 点击“直播记录”
2. 查看日期范围</x:v>
      </x:c>
      <x:c r="K4" s="5" t="str">
        <x:v>日期范围显示 15/8/2026～15/8/2026</x:v>
      </x:c>
      <x:c r="L4" s="5" t="str">
        <x:v>FLOW-GREC-001</x:v>
      </x:c>
      <x:c r="M4" s="5" t="str">
        <x:v>未测</x:v>
      </x:c>
      <x:c r="N4" s="5" t="str"/>
      <x:c r="O4" s="5" t="str">
        <x:v>1. 来源：context/02-公会App-项目需求清单.md（2026-08-31 按原型同步，RSL-0004）
2. 来源：prototype/assets/annotations.js 的公会直播记录、场次详情和主播多选批注
3. 来源：prototype/pages/guild/home/guild-home.html；未连接真实后端动态验证
4. 流程阶段：公会首页进入直播记录
5. 共同业务对象：当前公会在 15/08/2026 的主播直播记录
6. 同步追溯：work/liveshow-guild-live-records/prototype-context-sync-result.json；RSL-0004
7. 质量检查：最小前置条件、单一业务分支、单一可观察预期结果</x:v>
      </x:c>
    </x:row>
    <x:row r="5" ht="139.5" customHeight="1">
      <x:c r="A5" s="5" t="n">
        <x:v>4</x:v>
      </x:c>
      <x:c r="B5" s="5" t="str">
        <x:v>GREC-004</x:v>
      </x:c>
      <x:c r="C5" s="5" t="str">
        <x:v>公会App-直播记录模块</x:v>
      </x:c>
      <x:c r="D5" s="5" t="str">
        <x:v>入口与默认状态</x:v>
      </x:c>
      <x:c r="E5" s="5" t="str">
        <x:v>逻辑校验</x:v>
      </x:c>
      <x:c r="F5" s="5" t="str">
        <x:v>P1</x:v>
      </x:c>
      <x:c r="G5" s="5" t="str">
        <x:v>验证默认列表的数据范围</x:v>
      </x:c>
      <x:c r="H5" s="5" t="str">
        <x:v>默认今日记录</x:v>
      </x:c>
      <x:c r="I5" s="5" t="str">
        <x:v>1. 测试环境业务日期为 15/08/2026
2. 15/08/2026 存在 5 场记录
3. 14/08/2026 存在 1 场记录</x:v>
      </x:c>
      <x:c r="J5" s="5" t="str">
        <x:v>1. 从公会首页进入直播记录
2. 查看场次列表</x:v>
      </x:c>
      <x:c r="K5" s="5" t="str">
        <x:v>场次列表结果集仅包含 15/08/2026 的 5 场记录</x:v>
      </x:c>
      <x:c r="L5" s="5" t="str"/>
      <x:c r="M5" s="5" t="str">
        <x:v>未测</x:v>
      </x:c>
      <x:c r="N5" s="5" t="str"/>
      <x:c r="O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" ht="91.5" customHeight="1">
      <x:c r="A6" s="5" t="n">
        <x:v>5</x:v>
      </x:c>
      <x:c r="B6" s="5" t="str">
        <x:v>GREC-005</x:v>
      </x:c>
      <x:c r="C6" s="5" t="str">
        <x:v>公会App-直播记录模块</x:v>
      </x:c>
      <x:c r="D6" s="5" t="str">
        <x:v>入口与默认状态</x:v>
      </x:c>
      <x:c r="E6" s="5" t="str">
        <x:v>业务流程</x:v>
      </x:c>
      <x:c r="F6" s="5" t="str">
        <x:v>P2</x:v>
      </x:c>
      <x:c r="G6" s="5" t="str">
        <x:v>验证直播记录返回公会首页</x:v>
      </x:c>
      <x:c r="H6" s="5" t="str">
        <x:v>返回公会首页</x:v>
      </x:c>
      <x:c r="I6" s="5" t="str">
        <x:v>1. 公会长已从公会首页进入直播记录</x:v>
      </x:c>
      <x:c r="J6" s="5" t="str">
        <x:v>1. 点击页面左上角返回按钮</x:v>
      </x:c>
      <x:c r="K6" s="5" t="str">
        <x:v>页面返回公会首页</x:v>
      </x:c>
      <x:c r="L6" s="5" t="str">
        <x:v>FLOW-GREC-001</x:v>
      </x:c>
      <x:c r="M6" s="5" t="str">
        <x:v>未测</x:v>
      </x:c>
      <x:c r="N6" s="5" t="str"/>
      <x:c r="O6" s="5" t="str">
        <x:v>1. 来源：prototype/pages/guild/data/guild-host-data.html；未连接真实后端动态验证
2. 流程阶段：直播记录返回公会首页
3. 共同业务对象：当前公会在 15/08/2026 的主播直播记录
4. 同步追溯：work/liveshow-guild-live-records/prototype-context-sync-result.json；RSL-0004
5. 质量检查：最小前置条件、单一业务分支、单一可观察预期结果</x:v>
      </x:c>
    </x:row>
    <x:row r="7" ht="115.5" customHeight="1">
      <x:c r="A7" s="5" t="n">
        <x:v>6</x:v>
      </x:c>
      <x:c r="B7" s="5" t="str">
        <x:v>GREC-006</x:v>
      </x:c>
      <x:c r="C7" s="5" t="str">
        <x:v>公会App-直播记录模块</x:v>
      </x:c>
      <x:c r="D7" s="5" t="str">
        <x:v>主播筛选</x:v>
      </x:c>
      <x:c r="E7" s="5" t="str">
        <x:v>功能需求</x:v>
      </x:c>
      <x:c r="F7" s="5" t="str">
        <x:v>P1</x:v>
      </x:c>
      <x:c r="G7" s="5" t="str">
        <x:v>验证打开主播选择页</x:v>
      </x:c>
      <x:c r="H7" s="5" t="str">
        <x:v>主播选择入口</x:v>
      </x:c>
      <x:c r="I7" s="5" t="str">
        <x:v>1. 公会长已进入直播记录页</x:v>
      </x:c>
      <x:c r="J7" s="5" t="str">
        <x:v>1. 点击主播筛选项</x:v>
      </x:c>
      <x:c r="K7" s="5" t="str">
        <x:v>页面进入标题为“选择主播”的页面</x:v>
      </x:c>
      <x:c r="L7" s="5" t="str"/>
      <x:c r="M7" s="5" t="str">
        <x:v>未测</x:v>
      </x:c>
      <x:c r="N7" s="5" t="str"/>
      <x:c r="O7" s="5" t="str">
        <x:v>1. 来源：prototype/assets/annotations.js 的公会直播记录、场次详情和主播多选批注
2. 来源：prototype/pages/guild/data/guild-host-data.html；未连接真实后端动态验证
3. 来源：prototype/pages/guild/data/guild-violation-host-select.html；未连接真实后端动态验证
4. 同步追溯：work/liveshow-guild-live-records/prototype-context-sync-result.json；RSL-0004
5. 质量检查：最小前置条件、单一业务分支、单一可观察预期结果</x:v>
      </x:c>
    </x:row>
    <x:row r="8" ht="91.5" customHeight="1">
      <x:c r="A8" s="5" t="n">
        <x:v>7</x:v>
      </x:c>
      <x:c r="B8" s="5" t="str">
        <x:v>GREC-007</x:v>
      </x:c>
      <x:c r="C8" s="5" t="str">
        <x:v>公会App-直播记录模块</x:v>
      </x:c>
      <x:c r="D8" s="5" t="str">
        <x:v>主播筛选</x:v>
      </x:c>
      <x:c r="E8" s="5" t="str">
        <x:v>功能需求</x:v>
      </x:c>
      <x:c r="F8" s="5" t="str">
        <x:v>P2</x:v>
      </x:c>
      <x:c r="G8" s="5" t="str">
        <x:v>验证主播选择页的默认选中范围</x:v>
      </x:c>
      <x:c r="H8" s="5" t="str">
        <x:v>选择页默认范围</x:v>
      </x:c>
      <x:c r="I8" s="5" t="str">
        <x:v>1. 当前公会存在 6 名主播
2. 直播记录当前选择全部主播</x:v>
      </x:c>
      <x:c r="J8" s="5" t="str">
        <x:v>1. 进入主播选择页
2. 查看主播选中状态</x:v>
      </x:c>
      <x:c r="K8" s="5" t="str">
        <x:v>6 名主播均处于选中状态</x:v>
      </x:c>
      <x:c r="L8" s="5" t="str"/>
      <x:c r="M8" s="5" t="str">
        <x:v>未测</x:v>
      </x:c>
      <x:c r="N8" s="5" t="str"/>
      <x:c r="O8" s="5" t="str">
        <x:v>1. 来源：prototype/assets/annotations.js 的公会直播记录、场次详情和主播多选批注
2. 来源：prototype/pages/guild/data/guild-violation-host-select.html；未连接真实后端动态验证
3. 同步追溯：work/liveshow-guild-live-records/prototype-context-sync-result.json；RSL-0004
4. 质量检查：最小前置条件、单一业务分支、单一可观察预期结果</x:v>
      </x:c>
    </x:row>
    <x:row r="9" ht="91.5" customHeight="1">
      <x:c r="A9" s="5" t="n">
        <x:v>8</x:v>
      </x:c>
      <x:c r="B9" s="5" t="str">
        <x:v>GREC-008</x:v>
      </x:c>
      <x:c r="C9" s="5" t="str">
        <x:v>公会App-直播记录模块</x:v>
      </x:c>
      <x:c r="D9" s="5" t="str">
        <x:v>主播筛选</x:v>
      </x:c>
      <x:c r="E9" s="5" t="str">
        <x:v>逻辑校验</x:v>
      </x:c>
      <x:c r="F9" s="5" t="str">
        <x:v>P1</x:v>
      </x:c>
      <x:c r="G9" s="5" t="str">
        <x:v>验证按主播名称搜索</x:v>
      </x:c>
      <x:c r="H9" s="5" t="str">
        <x:v>名称搜索</x:v>
      </x:c>
      <x:c r="I9" s="5" t="str">
        <x:v>1. 当前公会存在主播 Sari 和 Dewi</x:v>
      </x:c>
      <x:c r="J9" s="5" t="str">
        <x:v>1. 进入主播选择页
2. 在搜索框输入“Sari”</x:v>
      </x:c>
      <x:c r="K9" s="5" t="str">
        <x:v>搜索结果集仅包含主播 Sari</x:v>
      </x:c>
      <x:c r="L9" s="5" t="str"/>
      <x:c r="M9" s="5" t="str">
        <x:v>未测</x:v>
      </x:c>
      <x:c r="N9" s="5" t="str"/>
      <x:c r="O9" s="5" t="str">
        <x:v>1. 来源：prototype/assets/annotations.js 的公会直播记录、场次详情和主播多选批注
2. 来源：prototype/pages/guild/data/guild-violation-host-select.html；未连接真实后端动态验证
3. 同步追溯：work/liveshow-guild-live-records/prototype-context-sync-result.json；RSL-0004
4. 质量检查：最小前置条件、单一业务分支、单一可观察预期结果</x:v>
      </x:c>
    </x:row>
    <x:row r="10" ht="91.5" customHeight="1">
      <x:c r="A10" s="5" t="n">
        <x:v>9</x:v>
      </x:c>
      <x:c r="B10" s="5" t="str">
        <x:v>GREC-009</x:v>
      </x:c>
      <x:c r="C10" s="5" t="str">
        <x:v>公会App-直播记录模块</x:v>
      </x:c>
      <x:c r="D10" s="5" t="str">
        <x:v>主播筛选</x:v>
      </x:c>
      <x:c r="E10" s="5" t="str">
        <x:v>逻辑校验</x:v>
      </x:c>
      <x:c r="F10" s="5" t="str">
        <x:v>P1</x:v>
      </x:c>
      <x:c r="G10" s="5" t="str">
        <x:v>验证按主播 ID 搜索</x:v>
      </x:c>
      <x:c r="H10" s="5" t="str">
        <x:v>主播 ID 搜索</x:v>
      </x:c>
      <x:c r="I10" s="5" t="str">
        <x:v>1. 当前公会存在主播 H102938 和 H102954</x:v>
      </x:c>
      <x:c r="J10" s="5" t="str">
        <x:v>1. 进入主播选择页
2. 在搜索框输入“H102938”</x:v>
      </x:c>
      <x:c r="K10" s="5" t="str">
        <x:v>搜索结果集仅包含主播 H102938</x:v>
      </x:c>
      <x:c r="L10" s="5" t="str"/>
      <x:c r="M10" s="5" t="str">
        <x:v>未测</x:v>
      </x:c>
      <x:c r="N10" s="5" t="str"/>
      <x:c r="O10" s="5" t="str">
        <x:v>1. 来源：prototype/assets/annotations.js 的公会直播记录、场次详情和主播多选批注
2. 来源：prototype/pages/guild/data/guild-violation-host-select.html；未连接真实后端动态验证
3. 同步追溯：work/liveshow-guild-live-records/prototype-context-sync-result.json；RSL-0004
4. 质量检查：最小前置条件、单一业务分支、单一可观察预期结果</x:v>
      </x:c>
    </x:row>
    <x:row r="11" ht="67.5" customHeight="1">
      <x:c r="A11" s="5" t="n">
        <x:v>10</x:v>
      </x:c>
      <x:c r="B11" s="5" t="str">
        <x:v>GREC-010</x:v>
      </x:c>
      <x:c r="C11" s="5" t="str">
        <x:v>公会App-直播记录模块</x:v>
      </x:c>
      <x:c r="D11" s="5" t="str">
        <x:v>主播筛选</x:v>
      </x:c>
      <x:c r="E11" s="5" t="str">
        <x:v>功能需求</x:v>
      </x:c>
      <x:c r="F11" s="5" t="str">
        <x:v>P2</x:v>
      </x:c>
      <x:c r="G11" s="5" t="str">
        <x:v>验证主播搜索无结果状态</x:v>
      </x:c>
      <x:c r="H11" s="5" t="str">
        <x:v>搜索无结果</x:v>
      </x:c>
      <x:c r="I11" s="5" t="str">
        <x:v>1. 当前公会不存在 ID 为 H999999 的主播</x:v>
      </x:c>
      <x:c r="J11" s="5" t="str">
        <x:v>1. 进入主播选择页
2. 在搜索框输入“H999999”</x:v>
      </x:c>
      <x:c r="K11" s="5" t="str">
        <x:v>主播列表不展示任何主播记录</x:v>
      </x:c>
      <x:c r="L11" s="5" t="str"/>
      <x:c r="M11" s="5" t="str">
        <x:v>未测</x:v>
      </x:c>
      <x:c r="N11" s="5" t="str"/>
      <x:c r="O11" s="5" t="str">
        <x:v>1. 来源：prototype/pages/guild/data/guild-violation-host-select.html；未连接真实后端动态验证
2. 同步追溯：work/liveshow-guild-live-records/prototype-context-sync-result.json；RSL-0004
3. 质量检查：最小前置条件、单一业务分支、单一可观察预期结果</x:v>
      </x:c>
    </x:row>
    <x:row r="12" ht="139.5" customHeight="1">
      <x:c r="A12" s="5" t="n">
        <x:v>11</x:v>
      </x:c>
      <x:c r="B12" s="5" t="str">
        <x:v>GREC-011</x:v>
      </x:c>
      <x:c r="C12" s="5" t="str">
        <x:v>公会App-直播记录模块</x:v>
      </x:c>
      <x:c r="D12" s="5" t="str">
        <x:v>主播筛选</x:v>
      </x:c>
      <x:c r="E12" s="5" t="str">
        <x:v>逻辑校验</x:v>
      </x:c>
      <x:c r="F12" s="5" t="str">
        <x:v>P1</x:v>
      </x:c>
      <x:c r="G12" s="5" t="str">
        <x:v>验证选择单个主播后的筛选回显</x:v>
      </x:c>
      <x:c r="H12" s="5" t="str">
        <x:v>单选主播回显</x:v>
      </x:c>
      <x:c r="I12" s="5" t="str">
        <x:v>1. 主播 Sari 的 ID 为 H102938
2. 主播选择页当前已选全部主播</x:v>
      </x:c>
      <x:c r="J12" s="5" t="str">
        <x:v>1. 仅保留主播 Sari 为选中状态
2. 返回直播记录页</x:v>
      </x:c>
      <x:c r="K12" s="5" t="str">
        <x:v>主播筛选项显示 Sari、H102938 和已选 1 人</x:v>
      </x:c>
      <x:c r="L12" s="5" t="str"/>
      <x:c r="M12" s="5" t="str">
        <x:v>未测</x:v>
      </x:c>
      <x:c r="N12" s="5" t="str"/>
      <x:c r="O1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来源：prototype/pages/guild/data/guild-violation-host-select.html；未连接真实后端动态验证
5. 同步追溯：work/liveshow-guild-live-records/prototype-context-sync-result.json；RSL-0004
6. 质量检查：最小前置条件、单一业务分支、单一可观察预期结果</x:v>
      </x:c>
    </x:row>
    <x:row r="13" ht="139.5" customHeight="1">
      <x:c r="A13" s="5" t="n">
        <x:v>12</x:v>
      </x:c>
      <x:c r="B13" s="5" t="str">
        <x:v>GREC-012</x:v>
      </x:c>
      <x:c r="C13" s="5" t="str">
        <x:v>公会App-直播记录模块</x:v>
      </x:c>
      <x:c r="D13" s="5" t="str">
        <x:v>主播筛选</x:v>
      </x:c>
      <x:c r="E13" s="5" t="str">
        <x:v>逻辑校验</x:v>
      </x:c>
      <x:c r="F13" s="5" t="str">
        <x:v>P1</x:v>
      </x:c>
      <x:c r="G13" s="5" t="str">
        <x:v>验证单个主播的记录范围</x:v>
      </x:c>
      <x:c r="H13" s="5" t="str">
        <x:v>单主播记录结果集</x:v>
      </x:c>
      <x:c r="I13" s="5" t="str">
        <x:v>1. 15/08/2026 主播 Sari 有 2 场记录
2. 15/08/2026 主播 Dewi 有 1 场记录</x:v>
      </x:c>
      <x:c r="J13" s="5" t="str">
        <x:v>1. 筛选主播 Sari
2. 查看场次列表</x:v>
      </x:c>
      <x:c r="K13" s="5" t="str">
        <x:v>场次列表结果集仅包含主播 Sari 的 2 场记录</x:v>
      </x:c>
      <x:c r="L13" s="5" t="str"/>
      <x:c r="M13" s="5" t="str">
        <x:v>未测</x:v>
      </x:c>
      <x:c r="N13" s="5" t="str"/>
      <x:c r="O1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14" ht="139.5" customHeight="1">
      <x:c r="A14" s="5" t="n">
        <x:v>13</x:v>
      </x:c>
      <x:c r="B14" s="5" t="str">
        <x:v>GREC-013</x:v>
      </x:c>
      <x:c r="C14" s="5" t="str">
        <x:v>公会App-直播记录模块</x:v>
      </x:c>
      <x:c r="D14" s="5" t="str">
        <x:v>主播筛选</x:v>
      </x:c>
      <x:c r="E14" s="5" t="str">
        <x:v>逻辑校验</x:v>
      </x:c>
      <x:c r="F14" s="5" t="str">
        <x:v>P1</x:v>
      </x:c>
      <x:c r="G14" s="5" t="str">
        <x:v>验证选择多个主播后的筛选回显</x:v>
      </x:c>
      <x:c r="H14" s="5" t="str">
        <x:v>多选主播回显</x:v>
      </x:c>
      <x:c r="I14" s="5" t="str">
        <x:v>1. 主播 Sari 和 Dewi 均属于当前公会</x:v>
      </x:c>
      <x:c r="J14" s="5" t="str">
        <x:v>1. 在主播选择页仅选中 Sari 和 Dewi
2. 返回直播记录页</x:v>
      </x:c>
      <x:c r="K14" s="5" t="str">
        <x:v>主播筛选项显示已选 2 人</x:v>
      </x:c>
      <x:c r="L14" s="5" t="str"/>
      <x:c r="M14" s="5" t="str">
        <x:v>未测</x:v>
      </x:c>
      <x:c r="N14" s="5" t="str"/>
      <x:c r="O1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来源：prototype/pages/guild/data/guild-violation-host-select.html；未连接真实后端动态验证
5. 同步追溯：work/liveshow-guild-live-records/prototype-context-sync-result.json；RSL-0004
6. 质量检查：最小前置条件、单一业务分支、单一可观察预期结果</x:v>
      </x:c>
    </x:row>
    <x:row r="15" ht="139.5" customHeight="1">
      <x:c r="A15" s="5" t="n">
        <x:v>14</x:v>
      </x:c>
      <x:c r="B15" s="5" t="str">
        <x:v>GREC-014</x:v>
      </x:c>
      <x:c r="C15" s="5" t="str">
        <x:v>公会App-直播记录模块</x:v>
      </x:c>
      <x:c r="D15" s="5" t="str">
        <x:v>主播筛选</x:v>
      </x:c>
      <x:c r="E15" s="5" t="str">
        <x:v>逻辑校验</x:v>
      </x:c>
      <x:c r="F15" s="5" t="str">
        <x:v>P1</x:v>
      </x:c>
      <x:c r="G15" s="5" t="str">
        <x:v>验证多个主播的记录范围</x:v>
      </x:c>
      <x:c r="H15" s="5" t="str">
        <x:v>多主播记录结果集</x:v>
      </x:c>
      <x:c r="I15" s="5" t="str">
        <x:v>1. 15/08/2026 主播 Sari 有 2 场记录
2. 15/08/2026 主播 Dewi 有 1 场记录
3. 15/08/2026 主播 Maya 有 1 场记录</x:v>
      </x:c>
      <x:c r="J15" s="5" t="str">
        <x:v>1. 仅选择主播 Sari 和 Dewi
2. 查看场次列表</x:v>
      </x:c>
      <x:c r="K15" s="5" t="str">
        <x:v>场次列表结果集仅包含 Sari 的 2 场记录和 Dewi 的 1 场记录</x:v>
      </x:c>
      <x:c r="L15" s="5" t="str"/>
      <x:c r="M15" s="5" t="str">
        <x:v>未测</x:v>
      </x:c>
      <x:c r="N15" s="5" t="str"/>
      <x:c r="O1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16" ht="91.5" customHeight="1">
      <x:c r="A16" s="5" t="n">
        <x:v>15</x:v>
      </x:c>
      <x:c r="B16" s="5" t="str">
        <x:v>GREC-015</x:v>
      </x:c>
      <x:c r="C16" s="5" t="str">
        <x:v>公会App-直播记录模块</x:v>
      </x:c>
      <x:c r="D16" s="5" t="str">
        <x:v>主播筛选</x:v>
      </x:c>
      <x:c r="E16" s="5" t="str">
        <x:v>逻辑校验</x:v>
      </x:c>
      <x:c r="F16" s="5" t="str">
        <x:v>P2</x:v>
      </x:c>
      <x:c r="G16" s="5" t="str">
        <x:v>验证取消全部主播后的筛选回显</x:v>
      </x:c>
      <x:c r="H16" s="5" t="str">
        <x:v>零主播回显</x:v>
      </x:c>
      <x:c r="I16" s="5" t="str">
        <x:v>1. 主播选择页当前已选全部主播</x:v>
      </x:c>
      <x:c r="J16" s="5" t="str">
        <x:v>1. 点击“全不选”
2. 返回直播记录页</x:v>
      </x:c>
      <x:c r="K16" s="5" t="str">
        <x:v>主播筛选项显示已选 0 人</x:v>
      </x:c>
      <x:c r="L16" s="5" t="str"/>
      <x:c r="M16" s="5" t="str">
        <x:v>未测</x:v>
      </x:c>
      <x:c r="N16" s="5" t="str"/>
      <x:c r="O16" s="5" t="str">
        <x:v>1. 来源：prototype/pages/guild/data/guild-violation-host-select.html；未连接真实后端动态验证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</x:v>
      </x:c>
    </x:row>
    <x:row r="17" ht="67.5" customHeight="1">
      <x:c r="A17" s="5" t="n">
        <x:v>16</x:v>
      </x:c>
      <x:c r="B17" s="5" t="str">
        <x:v>GREC-016</x:v>
      </x:c>
      <x:c r="C17" s="5" t="str">
        <x:v>公会App-直播记录模块</x:v>
      </x:c>
      <x:c r="D17" s="5" t="str">
        <x:v>主播筛选</x:v>
      </x:c>
      <x:c r="E17" s="5" t="str">
        <x:v>逻辑校验</x:v>
      </x:c>
      <x:c r="F17" s="5" t="str">
        <x:v>P2</x:v>
      </x:c>
      <x:c r="G17" s="5" t="str">
        <x:v>验证未选择主播时的记录结果</x:v>
      </x:c>
      <x:c r="H17" s="5" t="str">
        <x:v>零主播记录结果</x:v>
      </x:c>
      <x:c r="I17" s="5" t="str">
        <x:v>1. 主播筛选当前已选 0 人</x:v>
      </x:c>
      <x:c r="J17" s="5" t="str">
        <x:v>1. 查看场次列表</x:v>
      </x:c>
      <x:c r="K17" s="5" t="str">
        <x:v>场次列表显示“当前时间段暂无直播记录”</x:v>
      </x:c>
      <x:c r="L17" s="5" t="str"/>
      <x:c r="M17" s="5" t="str">
        <x:v>未测</x:v>
      </x:c>
      <x:c r="N17" s="5" t="str"/>
      <x:c r="O17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18" ht="115.5" customHeight="1">
      <x:c r="A18" s="5" t="n">
        <x:v>17</x:v>
      </x:c>
      <x:c r="B18" s="5" t="str">
        <x:v>GREC-017</x:v>
      </x:c>
      <x:c r="C18" s="5" t="str">
        <x:v>公会App-直播记录模块</x:v>
      </x:c>
      <x:c r="D18" s="5" t="str">
        <x:v>主播筛选</x:v>
      </x:c>
      <x:c r="E18" s="5" t="str">
        <x:v>功能需求</x:v>
      </x:c>
      <x:c r="F18" s="5" t="str">
        <x:v>P2</x:v>
      </x:c>
      <x:c r="G18" s="5" t="str">
        <x:v>验证全选恢复全部主播</x:v>
      </x:c>
      <x:c r="H18" s="5" t="str">
        <x:v>全选主播</x:v>
      </x:c>
      <x:c r="I18" s="5" t="str">
        <x:v>1. 主播选择页当前已选 0 人
2. 当前公会存在 6 名主播</x:v>
      </x:c>
      <x:c r="J18" s="5" t="str">
        <x:v>1. 点击“全选”
2. 返回直播记录页</x:v>
      </x:c>
      <x:c r="K18" s="5" t="str">
        <x:v>主播筛选项显示已选 6 人</x:v>
      </x:c>
      <x:c r="L18" s="5" t="str"/>
      <x:c r="M18" s="5" t="str">
        <x:v>未测</x:v>
      </x:c>
      <x:c r="N18" s="5" t="str"/>
      <x:c r="O18" s="5" t="str">
        <x:v>1. 来源：prototype/assets/annotations.js 的公会直播记录、场次详情和主播多选批注
2. 来源：prototype/pages/guild/data/guild-violation-host-select.html；未连接真实后端动态验证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19" ht="139.5" customHeight="1">
      <x:c r="A19" s="5" t="n">
        <x:v>18</x:v>
      </x:c>
      <x:c r="B19" s="5" t="str">
        <x:v>GREC-018</x:v>
      </x:c>
      <x:c r="C19" s="5" t="str">
        <x:v>公会App-直播记录模块</x:v>
      </x:c>
      <x:c r="D19" s="5" t="str">
        <x:v>主播筛选</x:v>
      </x:c>
      <x:c r="E19" s="5" t="str">
        <x:v>逻辑校验</x:v>
      </x:c>
      <x:c r="F19" s="5" t="str">
        <x:v>P1</x:v>
      </x:c>
      <x:c r="G19" s="5" t="str">
        <x:v>验证选择主播后保留日期条件</x:v>
      </x:c>
      <x:c r="H19" s="5" t="str">
        <x:v>筛选条件联合保留</x:v>
      </x:c>
      <x:c r="I19" s="5" t="str">
        <x:v>1. 直播记录日期范围为 10/08/2026～15/08/2026</x:v>
      </x:c>
      <x:c r="J19" s="5" t="str">
        <x:v>1. 进入主播选择页
2. 仅选择主播 Sari
3. 返回直播记录页</x:v>
      </x:c>
      <x:c r="K19" s="5" t="str">
        <x:v>日期范围仍显示 10/8/2026～15/8/2026</x:v>
      </x:c>
      <x:c r="L19" s="5" t="str"/>
      <x:c r="M19" s="5" t="str">
        <x:v>未测</x:v>
      </x:c>
      <x:c r="N19" s="5" t="str"/>
      <x:c r="O19" s="5" t="str">
        <x:v>1. 来源：context/02-公会App-项目需求清单.md（2026-08-31 按原型同步，RSL-0004）
2. 来源：prototype/assets/annotations.js 的公会直播记录、场次详情和主播多选批注
3. 来源：prototype/pages/guild/data/guild-violation-host-select.html；未连接真实后端动态验证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</x:v>
      </x:c>
    </x:row>
    <x:row r="20" ht="115.5" customHeight="1">
      <x:c r="A20" s="5" t="n">
        <x:v>19</x:v>
      </x:c>
      <x:c r="B20" s="5" t="str">
        <x:v>GREC-019</x:v>
      </x:c>
      <x:c r="C20" s="5" t="str">
        <x:v>公会App-直播记录模块</x:v>
      </x:c>
      <x:c r="D20" s="5" t="str">
        <x:v>快捷日期筛选</x:v>
      </x:c>
      <x:c r="E20" s="5" t="str">
        <x:v>功能需求</x:v>
      </x:c>
      <x:c r="F20" s="5" t="str">
        <x:v>P1</x:v>
      </x:c>
      <x:c r="G20" s="5" t="str">
        <x:v>验证快捷日期选项范围</x:v>
      </x:c>
      <x:c r="H20" s="5" t="str">
        <x:v>快捷日期选项</x:v>
      </x:c>
      <x:c r="I20" s="5" t="str">
        <x:v>1. 公会长已进入直播记录页</x:v>
      </x:c>
      <x:c r="J20" s="5" t="str">
        <x:v>1. 点击快捷日期按钮</x:v>
      </x:c>
      <x:c r="K20" s="5" t="str">
        <x:v>菜单展示今日、昨日、本周、上周、本月、上月和自定义 7 个选项</x:v>
      </x:c>
      <x:c r="L20" s="5" t="str"/>
      <x:c r="M20" s="5" t="str">
        <x:v>未测</x:v>
      </x:c>
      <x:c r="N20" s="5" t="str"/>
      <x:c r="O2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21" ht="67.5" customHeight="1">
      <x:c r="A21" s="5" t="n">
        <x:v>20</x:v>
      </x:c>
      <x:c r="B21" s="5" t="str">
        <x:v>GREC-020</x:v>
      </x:c>
      <x:c r="C21" s="5" t="str">
        <x:v>公会App-直播记录模块</x:v>
      </x:c>
      <x:c r="D21" s="5" t="str">
        <x:v>快捷日期筛选</x:v>
      </x:c>
      <x:c r="E21" s="5" t="str">
        <x:v>功能需求</x:v>
      </x:c>
      <x:c r="F21" s="5" t="str">
        <x:v>P2</x:v>
      </x:c>
      <x:c r="G21" s="5" t="str">
        <x:v>验证点击菜单外关闭快捷日期菜单</x:v>
      </x:c>
      <x:c r="H21" s="5" t="str">
        <x:v>菜单外部关闭</x:v>
      </x:c>
      <x:c r="I21" s="5" t="str">
        <x:v>1. 快捷日期菜单已打开</x:v>
      </x:c>
      <x:c r="J21" s="5" t="str">
        <x:v>1. 点击菜单外的页面区域</x:v>
      </x:c>
      <x:c r="K21" s="5" t="str">
        <x:v>快捷日期菜单关闭</x:v>
      </x:c>
      <x:c r="L21" s="5" t="str"/>
      <x:c r="M21" s="5" t="str">
        <x:v>未测</x:v>
      </x:c>
      <x:c r="N21" s="5" t="str"/>
      <x:c r="O21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22" ht="67.5" customHeight="1">
      <x:c r="A22" s="5" t="n">
        <x:v>21</x:v>
      </x:c>
      <x:c r="B22" s="5" t="str">
        <x:v>GREC-021</x:v>
      </x:c>
      <x:c r="C22" s="5" t="str">
        <x:v>公会App-直播记录模块</x:v>
      </x:c>
      <x:c r="D22" s="5" t="str">
        <x:v>快捷日期筛选</x:v>
      </x:c>
      <x:c r="E22" s="5" t="str">
        <x:v>功能需求</x:v>
      </x:c>
      <x:c r="F22" s="5" t="str">
        <x:v>P3</x:v>
      </x:c>
      <x:c r="G22" s="5" t="str">
        <x:v>验证按 Escape 关闭快捷日期菜单</x:v>
      </x:c>
      <x:c r="H22" s="5" t="str">
        <x:v>键盘关闭菜单</x:v>
      </x:c>
      <x:c r="I22" s="5" t="str">
        <x:v>1. 快捷日期菜单已打开
2. 测试设备连接物理键盘</x:v>
      </x:c>
      <x:c r="J22" s="5" t="str">
        <x:v>1. 按 Escape 键</x:v>
      </x:c>
      <x:c r="K22" s="5" t="str">
        <x:v>快捷日期菜单关闭</x:v>
      </x:c>
      <x:c r="L22" s="5" t="str"/>
      <x:c r="M22" s="5" t="str">
        <x:v>未测</x:v>
      </x:c>
      <x:c r="N22" s="5" t="str"/>
      <x:c r="O22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23" ht="139.5" customHeight="1">
      <x:c r="A23" s="5" t="n">
        <x:v>22</x:v>
      </x:c>
      <x:c r="B23" s="5" t="str">
        <x:v>GREC-022</x:v>
      </x:c>
      <x:c r="C23" s="5" t="str">
        <x:v>公会App-直播记录模块</x:v>
      </x:c>
      <x:c r="D23" s="5" t="str">
        <x:v>快捷日期筛选</x:v>
      </x:c>
      <x:c r="E23" s="5" t="str">
        <x:v>逻辑校验</x:v>
      </x:c>
      <x:c r="F23" s="5" t="str">
        <x:v>P1</x:v>
      </x:c>
      <x:c r="G23" s="5" t="str">
        <x:v>验证今日筛选的日期回显</x:v>
      </x:c>
      <x:c r="H23" s="5" t="str">
        <x:v>今日日期回显</x:v>
      </x:c>
      <x:c r="I23" s="5" t="str">
        <x:v>1. 测试数据最新业务日期为 15/08/2026</x:v>
      </x:c>
      <x:c r="J23" s="5" t="str">
        <x:v>1. 打开快捷日期菜单
2. 选择“今日”</x:v>
      </x:c>
      <x:c r="K23" s="5" t="str">
        <x:v>日期范围显示 15/8/2026～15/8/2026</x:v>
      </x:c>
      <x:c r="L23" s="5" t="str"/>
      <x:c r="M23" s="5" t="str">
        <x:v>未测</x:v>
      </x:c>
      <x:c r="N23" s="5" t="str"/>
      <x:c r="O2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24" ht="139.5" customHeight="1">
      <x:c r="A24" s="5" t="n">
        <x:v>23</x:v>
      </x:c>
      <x:c r="B24" s="5" t="str">
        <x:v>GREC-023</x:v>
      </x:c>
      <x:c r="C24" s="5" t="str">
        <x:v>公会App-直播记录模块</x:v>
      </x:c>
      <x:c r="D24" s="5" t="str">
        <x:v>快捷日期筛选</x:v>
      </x:c>
      <x:c r="E24" s="5" t="str">
        <x:v>逻辑校验</x:v>
      </x:c>
      <x:c r="F24" s="5" t="str">
        <x:v>P1</x:v>
      </x:c>
      <x:c r="G24" s="5" t="str">
        <x:v>验证今日筛选的记录范围</x:v>
      </x:c>
      <x:c r="H24" s="5" t="str">
        <x:v>今日记录结果集</x:v>
      </x:c>
      <x:c r="I24" s="5" t="str">
        <x:v>1. 测试数据最新业务日期为 15/08/2026
2. 15/08/2026 内存在直播记录
3. 相邻筛选范围外存在直播记录</x:v>
      </x:c>
      <x:c r="J24" s="5" t="str">
        <x:v>1. 打开快捷日期菜单
2. 选择“今日”
3. 查看场次列表</x:v>
      </x:c>
      <x:c r="K24" s="5" t="str">
        <x:v>场次列表结果集仅包含 15/08/2026 内的直播记录</x:v>
      </x:c>
      <x:c r="L24" s="5" t="str"/>
      <x:c r="M24" s="5" t="str">
        <x:v>未测</x:v>
      </x:c>
      <x:c r="N24" s="5" t="str"/>
      <x:c r="O2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25" ht="139.5" customHeight="1">
      <x:c r="A25" s="5" t="n">
        <x:v>24</x:v>
      </x:c>
      <x:c r="B25" s="5" t="str">
        <x:v>GREC-024</x:v>
      </x:c>
      <x:c r="C25" s="5" t="str">
        <x:v>公会App-直播记录模块</x:v>
      </x:c>
      <x:c r="D25" s="5" t="str">
        <x:v>快捷日期筛选</x:v>
      </x:c>
      <x:c r="E25" s="5" t="str">
        <x:v>逻辑校验</x:v>
      </x:c>
      <x:c r="F25" s="5" t="str">
        <x:v>P1</x:v>
      </x:c>
      <x:c r="G25" s="5" t="str">
        <x:v>验证昨日筛选的日期回显</x:v>
      </x:c>
      <x:c r="H25" s="5" t="str">
        <x:v>昨日日期回显</x:v>
      </x:c>
      <x:c r="I25" s="5" t="str">
        <x:v>1. 测试数据最新业务日期为 15/08/2026</x:v>
      </x:c>
      <x:c r="J25" s="5" t="str">
        <x:v>1. 打开快捷日期菜单
2. 选择“昨日”</x:v>
      </x:c>
      <x:c r="K25" s="5" t="str">
        <x:v>日期范围显示 14/8/2026～14/8/2026</x:v>
      </x:c>
      <x:c r="L25" s="5" t="str"/>
      <x:c r="M25" s="5" t="str">
        <x:v>未测</x:v>
      </x:c>
      <x:c r="N25" s="5" t="str"/>
      <x:c r="O2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26" ht="139.5" customHeight="1">
      <x:c r="A26" s="5" t="n">
        <x:v>25</x:v>
      </x:c>
      <x:c r="B26" s="5" t="str">
        <x:v>GREC-025</x:v>
      </x:c>
      <x:c r="C26" s="5" t="str">
        <x:v>公会App-直播记录模块</x:v>
      </x:c>
      <x:c r="D26" s="5" t="str">
        <x:v>快捷日期筛选</x:v>
      </x:c>
      <x:c r="E26" s="5" t="str">
        <x:v>逻辑校验</x:v>
      </x:c>
      <x:c r="F26" s="5" t="str">
        <x:v>P1</x:v>
      </x:c>
      <x:c r="G26" s="5" t="str">
        <x:v>验证昨日筛选的记录范围</x:v>
      </x:c>
      <x:c r="H26" s="5" t="str">
        <x:v>昨日记录结果集</x:v>
      </x:c>
      <x:c r="I26" s="5" t="str">
        <x:v>1. 测试数据最新业务日期为 15/08/2026
2. 14/08/2026 内存在直播记录
3. 相邻筛选范围外存在直播记录</x:v>
      </x:c>
      <x:c r="J26" s="5" t="str">
        <x:v>1. 打开快捷日期菜单
2. 选择“昨日”
3. 查看场次列表</x:v>
      </x:c>
      <x:c r="K26" s="5" t="str">
        <x:v>场次列表结果集仅包含 14/08/2026 内的直播记录</x:v>
      </x:c>
      <x:c r="L26" s="5" t="str"/>
      <x:c r="M26" s="5" t="str">
        <x:v>未测</x:v>
      </x:c>
      <x:c r="N26" s="5" t="str"/>
      <x:c r="O26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27" ht="139.5" customHeight="1">
      <x:c r="A27" s="5" t="n">
        <x:v>26</x:v>
      </x:c>
      <x:c r="B27" s="5" t="str">
        <x:v>GREC-026</x:v>
      </x:c>
      <x:c r="C27" s="5" t="str">
        <x:v>公会App-直播记录模块</x:v>
      </x:c>
      <x:c r="D27" s="5" t="str">
        <x:v>快捷日期筛选</x:v>
      </x:c>
      <x:c r="E27" s="5" t="str">
        <x:v>逻辑校验</x:v>
      </x:c>
      <x:c r="F27" s="5" t="str">
        <x:v>P1</x:v>
      </x:c>
      <x:c r="G27" s="5" t="str">
        <x:v>验证本周筛选的日期回显</x:v>
      </x:c>
      <x:c r="H27" s="5" t="str">
        <x:v>本周日期回显</x:v>
      </x:c>
      <x:c r="I27" s="5" t="str">
        <x:v>1. 测试数据最新业务日期为 15/08/2026</x:v>
      </x:c>
      <x:c r="J27" s="5" t="str">
        <x:v>1. 打开快捷日期菜单
2. 选择“本周”</x:v>
      </x:c>
      <x:c r="K27" s="5" t="str">
        <x:v>日期范围显示 10/8/2026～15/8/2026</x:v>
      </x:c>
      <x:c r="L27" s="5" t="str"/>
      <x:c r="M27" s="5" t="str">
        <x:v>未测</x:v>
      </x:c>
      <x:c r="N27" s="5" t="str"/>
      <x:c r="O27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28" ht="139.5" customHeight="1">
      <x:c r="A28" s="5" t="n">
        <x:v>27</x:v>
      </x:c>
      <x:c r="B28" s="5" t="str">
        <x:v>GREC-027</x:v>
      </x:c>
      <x:c r="C28" s="5" t="str">
        <x:v>公会App-直播记录模块</x:v>
      </x:c>
      <x:c r="D28" s="5" t="str">
        <x:v>快捷日期筛选</x:v>
      </x:c>
      <x:c r="E28" s="5" t="str">
        <x:v>逻辑校验</x:v>
      </x:c>
      <x:c r="F28" s="5" t="str">
        <x:v>P1</x:v>
      </x:c>
      <x:c r="G28" s="5" t="str">
        <x:v>验证本周筛选的记录范围</x:v>
      </x:c>
      <x:c r="H28" s="5" t="str">
        <x:v>本周记录结果集</x:v>
      </x:c>
      <x:c r="I28" s="5" t="str">
        <x:v>1. 测试数据最新业务日期为 15/08/2026
2. 10/08/2026 至 15/08/2026 内存在直播记录
3. 相邻筛选范围外存在直播记录</x:v>
      </x:c>
      <x:c r="J28" s="5" t="str">
        <x:v>1. 打开快捷日期菜单
2. 选择“本周”
3. 查看场次列表</x:v>
      </x:c>
      <x:c r="K28" s="5" t="str">
        <x:v>场次列表结果集仅包含 10/08/2026 至 15/08/2026 内的直播记录</x:v>
      </x:c>
      <x:c r="L28" s="5" t="str"/>
      <x:c r="M28" s="5" t="str">
        <x:v>未测</x:v>
      </x:c>
      <x:c r="N28" s="5" t="str"/>
      <x:c r="O28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29" ht="139.5" customHeight="1">
      <x:c r="A29" s="5" t="n">
        <x:v>28</x:v>
      </x:c>
      <x:c r="B29" s="5" t="str">
        <x:v>GREC-028</x:v>
      </x:c>
      <x:c r="C29" s="5" t="str">
        <x:v>公会App-直播记录模块</x:v>
      </x:c>
      <x:c r="D29" s="5" t="str">
        <x:v>快捷日期筛选</x:v>
      </x:c>
      <x:c r="E29" s="5" t="str">
        <x:v>逻辑校验</x:v>
      </x:c>
      <x:c r="F29" s="5" t="str">
        <x:v>P1</x:v>
      </x:c>
      <x:c r="G29" s="5" t="str">
        <x:v>验证上周筛选的日期回显</x:v>
      </x:c>
      <x:c r="H29" s="5" t="str">
        <x:v>上周日期回显</x:v>
      </x:c>
      <x:c r="I29" s="5" t="str">
        <x:v>1. 测试数据最新业务日期为 15/08/2026</x:v>
      </x:c>
      <x:c r="J29" s="5" t="str">
        <x:v>1. 打开快捷日期菜单
2. 选择“上周”</x:v>
      </x:c>
      <x:c r="K29" s="5" t="str">
        <x:v>日期范围显示 3/8/2026～9/8/2026</x:v>
      </x:c>
      <x:c r="L29" s="5" t="str"/>
      <x:c r="M29" s="5" t="str">
        <x:v>未测</x:v>
      </x:c>
      <x:c r="N29" s="5" t="str"/>
      <x:c r="O29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30" ht="139.5" customHeight="1">
      <x:c r="A30" s="5" t="n">
        <x:v>29</x:v>
      </x:c>
      <x:c r="B30" s="5" t="str">
        <x:v>GREC-029</x:v>
      </x:c>
      <x:c r="C30" s="5" t="str">
        <x:v>公会App-直播记录模块</x:v>
      </x:c>
      <x:c r="D30" s="5" t="str">
        <x:v>快捷日期筛选</x:v>
      </x:c>
      <x:c r="E30" s="5" t="str">
        <x:v>逻辑校验</x:v>
      </x:c>
      <x:c r="F30" s="5" t="str">
        <x:v>P1</x:v>
      </x:c>
      <x:c r="G30" s="5" t="str">
        <x:v>验证上周筛选的记录范围</x:v>
      </x:c>
      <x:c r="H30" s="5" t="str">
        <x:v>上周记录结果集</x:v>
      </x:c>
      <x:c r="I30" s="5" t="str">
        <x:v>1. 测试数据最新业务日期为 15/08/2026
2. 03/08/2026 至 09/08/2026 内存在直播记录
3. 相邻筛选范围外存在直播记录</x:v>
      </x:c>
      <x:c r="J30" s="5" t="str">
        <x:v>1. 打开快捷日期菜单
2. 选择“上周”
3. 查看场次列表</x:v>
      </x:c>
      <x:c r="K30" s="5" t="str">
        <x:v>场次列表结果集仅包含 03/08/2026 至 09/08/2026 内的直播记录</x:v>
      </x:c>
      <x:c r="L30" s="5" t="str"/>
      <x:c r="M30" s="5" t="str">
        <x:v>未测</x:v>
      </x:c>
      <x:c r="N30" s="5" t="str"/>
      <x:c r="O3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31" ht="139.5" customHeight="1">
      <x:c r="A31" s="5" t="n">
        <x:v>30</x:v>
      </x:c>
      <x:c r="B31" s="5" t="str">
        <x:v>GREC-030</x:v>
      </x:c>
      <x:c r="C31" s="5" t="str">
        <x:v>公会App-直播记录模块</x:v>
      </x:c>
      <x:c r="D31" s="5" t="str">
        <x:v>快捷日期筛选</x:v>
      </x:c>
      <x:c r="E31" s="5" t="str">
        <x:v>逻辑校验</x:v>
      </x:c>
      <x:c r="F31" s="5" t="str">
        <x:v>P1</x:v>
      </x:c>
      <x:c r="G31" s="5" t="str">
        <x:v>验证本月筛选的日期回显</x:v>
      </x:c>
      <x:c r="H31" s="5" t="str">
        <x:v>本月日期回显</x:v>
      </x:c>
      <x:c r="I31" s="5" t="str">
        <x:v>1. 测试数据最新业务日期为 15/08/2026</x:v>
      </x:c>
      <x:c r="J31" s="5" t="str">
        <x:v>1. 打开快捷日期菜单
2. 选择“本月”</x:v>
      </x:c>
      <x:c r="K31" s="5" t="str">
        <x:v>日期范围显示 1/8/2026～15/8/2026</x:v>
      </x:c>
      <x:c r="L31" s="5" t="str"/>
      <x:c r="M31" s="5" t="str">
        <x:v>未测</x:v>
      </x:c>
      <x:c r="N31" s="5" t="str"/>
      <x:c r="O31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32" ht="139.5" customHeight="1">
      <x:c r="A32" s="5" t="n">
        <x:v>31</x:v>
      </x:c>
      <x:c r="B32" s="5" t="str">
        <x:v>GREC-031</x:v>
      </x:c>
      <x:c r="C32" s="5" t="str">
        <x:v>公会App-直播记录模块</x:v>
      </x:c>
      <x:c r="D32" s="5" t="str">
        <x:v>快捷日期筛选</x:v>
      </x:c>
      <x:c r="E32" s="5" t="str">
        <x:v>逻辑校验</x:v>
      </x:c>
      <x:c r="F32" s="5" t="str">
        <x:v>P1</x:v>
      </x:c>
      <x:c r="G32" s="5" t="str">
        <x:v>验证本月筛选的记录范围</x:v>
      </x:c>
      <x:c r="H32" s="5" t="str">
        <x:v>本月记录结果集</x:v>
      </x:c>
      <x:c r="I32" s="5" t="str">
        <x:v>1. 测试数据最新业务日期为 15/08/2026
2. 01/08/2026 至 15/08/2026 内存在直播记录
3. 相邻筛选范围外存在直播记录</x:v>
      </x:c>
      <x:c r="J32" s="5" t="str">
        <x:v>1. 打开快捷日期菜单
2. 选择“本月”
3. 查看场次列表</x:v>
      </x:c>
      <x:c r="K32" s="5" t="str">
        <x:v>场次列表结果集仅包含 01/08/2026 至 15/08/2026 内的直播记录</x:v>
      </x:c>
      <x:c r="L32" s="5" t="str"/>
      <x:c r="M32" s="5" t="str">
        <x:v>未测</x:v>
      </x:c>
      <x:c r="N32" s="5" t="str"/>
      <x:c r="O3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33" ht="139.5" customHeight="1">
      <x:c r="A33" s="5" t="n">
        <x:v>32</x:v>
      </x:c>
      <x:c r="B33" s="5" t="str">
        <x:v>GREC-032</x:v>
      </x:c>
      <x:c r="C33" s="5" t="str">
        <x:v>公会App-直播记录模块</x:v>
      </x:c>
      <x:c r="D33" s="5" t="str">
        <x:v>快捷日期筛选</x:v>
      </x:c>
      <x:c r="E33" s="5" t="str">
        <x:v>逻辑校验</x:v>
      </x:c>
      <x:c r="F33" s="5" t="str">
        <x:v>P1</x:v>
      </x:c>
      <x:c r="G33" s="5" t="str">
        <x:v>验证上月筛选的日期回显</x:v>
      </x:c>
      <x:c r="H33" s="5" t="str">
        <x:v>上月日期回显</x:v>
      </x:c>
      <x:c r="I33" s="5" t="str">
        <x:v>1. 测试数据最新业务日期为 15/08/2026</x:v>
      </x:c>
      <x:c r="J33" s="5" t="str">
        <x:v>1. 打开快捷日期菜单
2. 选择“上月”</x:v>
      </x:c>
      <x:c r="K33" s="5" t="str">
        <x:v>日期范围显示 17/7/2026～31/7/2026</x:v>
      </x:c>
      <x:c r="L33" s="5" t="str"/>
      <x:c r="M33" s="5" t="str">
        <x:v>未测</x:v>
      </x:c>
      <x:c r="N33" s="5" t="str"/>
      <x:c r="O3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34" ht="139.5" customHeight="1">
      <x:c r="A34" s="5" t="n">
        <x:v>33</x:v>
      </x:c>
      <x:c r="B34" s="5" t="str">
        <x:v>GREC-033</x:v>
      </x:c>
      <x:c r="C34" s="5" t="str">
        <x:v>公会App-直播记录模块</x:v>
      </x:c>
      <x:c r="D34" s="5" t="str">
        <x:v>快捷日期筛选</x:v>
      </x:c>
      <x:c r="E34" s="5" t="str">
        <x:v>逻辑校验</x:v>
      </x:c>
      <x:c r="F34" s="5" t="str">
        <x:v>P1</x:v>
      </x:c>
      <x:c r="G34" s="5" t="str">
        <x:v>验证上月筛选的记录范围</x:v>
      </x:c>
      <x:c r="H34" s="5" t="str">
        <x:v>上月记录结果集</x:v>
      </x:c>
      <x:c r="I34" s="5" t="str">
        <x:v>1. 测试数据最新业务日期为 15/08/2026
2. 17/07/2026 至 31/07/2026 内存在直播记录
3. 相邻筛选范围外存在直播记录</x:v>
      </x:c>
      <x:c r="J34" s="5" t="str">
        <x:v>1. 打开快捷日期菜单
2. 选择“上月”
3. 查看场次列表</x:v>
      </x:c>
      <x:c r="K34" s="5" t="str">
        <x:v>场次列表结果集仅包含 17/07/2026 至 31/07/2026 内的直播记录</x:v>
      </x:c>
      <x:c r="L34" s="5" t="str"/>
      <x:c r="M34" s="5" t="str">
        <x:v>未测</x:v>
      </x:c>
      <x:c r="N34" s="5" t="str"/>
      <x:c r="O3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35" ht="115.5" customHeight="1">
      <x:c r="A35" s="5" t="n">
        <x:v>34</x:v>
      </x:c>
      <x:c r="B35" s="5" t="str">
        <x:v>GREC-034</x:v>
      </x:c>
      <x:c r="C35" s="5" t="str">
        <x:v>公会App-直播记录模块</x:v>
      </x:c>
      <x:c r="D35" s="5" t="str">
        <x:v>自定义日期筛选</x:v>
      </x:c>
      <x:c r="E35" s="5" t="str">
        <x:v>功能需求</x:v>
      </x:c>
      <x:c r="F35" s="5" t="str">
        <x:v>P1</x:v>
      </x:c>
      <x:c r="G35" s="5" t="str">
        <x:v>验证自定义选项打开日期选择器</x:v>
      </x:c>
      <x:c r="H35" s="5" t="str">
        <x:v>自定义日期入口</x:v>
      </x:c>
      <x:c r="I35" s="5" t="str">
        <x:v>1. 公会长已进入直播记录页</x:v>
      </x:c>
      <x:c r="J35" s="5" t="str">
        <x:v>1. 打开快捷日期菜单
2. 选择“自定义”</x:v>
      </x:c>
      <x:c r="K35" s="5" t="str">
        <x:v>页面打开标题为“选择日期”的日期选择器</x:v>
      </x:c>
      <x:c r="L35" s="5" t="str"/>
      <x:c r="M35" s="5" t="str">
        <x:v>未测</x:v>
      </x:c>
      <x:c r="N35" s="5" t="str"/>
      <x:c r="O3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36" ht="67.5" customHeight="1">
      <x:c r="A36" s="5" t="n">
        <x:v>35</x:v>
      </x:c>
      <x:c r="B36" s="5" t="str">
        <x:v>GREC-035</x:v>
      </x:c>
      <x:c r="C36" s="5" t="str">
        <x:v>公会App-直播记录模块</x:v>
      </x:c>
      <x:c r="D36" s="5" t="str">
        <x:v>自定义日期筛选</x:v>
      </x:c>
      <x:c r="E36" s="5" t="str">
        <x:v>功能需求</x:v>
      </x:c>
      <x:c r="F36" s="5" t="str">
        <x:v>P1</x:v>
      </x:c>
      <x:c r="G36" s="5" t="str">
        <x:v>验证日期范围按钮打开日期选择器</x:v>
      </x:c>
      <x:c r="H36" s="5" t="str">
        <x:v>日期范围入口</x:v>
      </x:c>
      <x:c r="I36" s="5" t="str">
        <x:v>1. 公会长已进入直播记录页</x:v>
      </x:c>
      <x:c r="J36" s="5" t="str">
        <x:v>1. 点击日期范围按钮</x:v>
      </x:c>
      <x:c r="K36" s="5" t="str">
        <x:v>页面打开标题为“选择日期”的日期选择器</x:v>
      </x:c>
      <x:c r="L36" s="5" t="str"/>
      <x:c r="M36" s="5" t="str">
        <x:v>未测</x:v>
      </x:c>
      <x:c r="N36" s="5" t="str"/>
      <x:c r="O36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37" ht="67.5" customHeight="1">
      <x:c r="A37" s="5" t="n">
        <x:v>36</x:v>
      </x:c>
      <x:c r="B37" s="5" t="str">
        <x:v>GREC-036</x:v>
      </x:c>
      <x:c r="C37" s="5" t="str">
        <x:v>公会App-直播记录模块</x:v>
      </x:c>
      <x:c r="D37" s="5" t="str">
        <x:v>自定义日期筛选</x:v>
      </x:c>
      <x:c r="E37" s="5" t="str">
        <x:v>功能需求</x:v>
      </x:c>
      <x:c r="F37" s="5" t="str">
        <x:v>P2</x:v>
      </x:c>
      <x:c r="G37" s="5" t="str">
        <x:v>验证取消关闭日期选择器</x:v>
      </x:c>
      <x:c r="H37" s="5" t="str">
        <x:v>取消日期选择</x:v>
      </x:c>
      <x:c r="I37" s="5" t="str">
        <x:v>1. 日期选择器已打开</x:v>
      </x:c>
      <x:c r="J37" s="5" t="str">
        <x:v>1. 点击“取消”</x:v>
      </x:c>
      <x:c r="K37" s="5" t="str">
        <x:v>日期选择器关闭</x:v>
      </x:c>
      <x:c r="L37" s="5" t="str"/>
      <x:c r="M37" s="5" t="str">
        <x:v>未测</x:v>
      </x:c>
      <x:c r="N37" s="5" t="str"/>
      <x:c r="O37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38" ht="67.5" customHeight="1">
      <x:c r="A38" s="5" t="n">
        <x:v>37</x:v>
      </x:c>
      <x:c r="B38" s="5" t="str">
        <x:v>GREC-037</x:v>
      </x:c>
      <x:c r="C38" s="5" t="str">
        <x:v>公会App-直播记录模块</x:v>
      </x:c>
      <x:c r="D38" s="5" t="str">
        <x:v>自定义日期筛选</x:v>
      </x:c>
      <x:c r="E38" s="5" t="str">
        <x:v>逻辑校验</x:v>
      </x:c>
      <x:c r="F38" s="5" t="str">
        <x:v>P2</x:v>
      </x:c>
      <x:c r="G38" s="5" t="str">
        <x:v>验证取消后保留已应用日期</x:v>
      </x:c>
      <x:c r="H38" s="5" t="str">
        <x:v>取消保留日期</x:v>
      </x:c>
      <x:c r="I38" s="5" t="str">
        <x:v>1. 已应用日期范围为 10/8/2026～15/8/2026
2. 日期选择器已打开</x:v>
      </x:c>
      <x:c r="J38" s="5" t="str">
        <x:v>1. 选择 12/8/2026
2. 点击“取消”</x:v>
      </x:c>
      <x:c r="K38" s="5" t="str">
        <x:v>日期范围仍显示 10/8/2026～15/8/2026</x:v>
      </x:c>
      <x:c r="L38" s="5" t="str"/>
      <x:c r="M38" s="5" t="str">
        <x:v>未测</x:v>
      </x:c>
      <x:c r="N38" s="5" t="str"/>
      <x:c r="O38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39" ht="67.5" customHeight="1">
      <x:c r="A39" s="5" t="n">
        <x:v>38</x:v>
      </x:c>
      <x:c r="B39" s="5" t="str">
        <x:v>GREC-038</x:v>
      </x:c>
      <x:c r="C39" s="5" t="str">
        <x:v>公会App-直播记录模块</x:v>
      </x:c>
      <x:c r="D39" s="5" t="str">
        <x:v>自定义日期筛选</x:v>
      </x:c>
      <x:c r="E39" s="5" t="str">
        <x:v>功能需求</x:v>
      </x:c>
      <x:c r="F39" s="5" t="str">
        <x:v>P3</x:v>
      </x:c>
      <x:c r="G39" s="5" t="str">
        <x:v>验证点击遮罩关闭日期选择器</x:v>
      </x:c>
      <x:c r="H39" s="5" t="str">
        <x:v>遮罩关闭日期选择</x:v>
      </x:c>
      <x:c r="I39" s="5" t="str">
        <x:v>1. 日期选择器已打开</x:v>
      </x:c>
      <x:c r="J39" s="5" t="str">
        <x:v>1. 点击日期选择器外的遮罩区域</x:v>
      </x:c>
      <x:c r="K39" s="5" t="str">
        <x:v>日期选择器关闭</x:v>
      </x:c>
      <x:c r="L39" s="5" t="str"/>
      <x:c r="M39" s="5" t="str">
        <x:v>未测</x:v>
      </x:c>
      <x:c r="N39" s="5" t="str"/>
      <x:c r="O39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40" ht="67.5" customHeight="1">
      <x:c r="A40" s="5" t="n">
        <x:v>39</x:v>
      </x:c>
      <x:c r="B40" s="5" t="str">
        <x:v>GREC-039</x:v>
      </x:c>
      <x:c r="C40" s="5" t="str">
        <x:v>公会App-直播记录模块</x:v>
      </x:c>
      <x:c r="D40" s="5" t="str">
        <x:v>自定义日期筛选</x:v>
      </x:c>
      <x:c r="E40" s="5" t="str">
        <x:v>功能需求</x:v>
      </x:c>
      <x:c r="F40" s="5" t="str">
        <x:v>P3</x:v>
      </x:c>
      <x:c r="G40" s="5" t="str">
        <x:v>验证按 Escape 关闭日期选择器</x:v>
      </x:c>
      <x:c r="H40" s="5" t="str">
        <x:v>键盘关闭日期选择</x:v>
      </x:c>
      <x:c r="I40" s="5" t="str">
        <x:v>1. 日期选择器已打开
2. 测试设备连接物理键盘</x:v>
      </x:c>
      <x:c r="J40" s="5" t="str">
        <x:v>1. 按 Escape 键</x:v>
      </x:c>
      <x:c r="K40" s="5" t="str">
        <x:v>日期选择器关闭</x:v>
      </x:c>
      <x:c r="L40" s="5" t="str"/>
      <x:c r="M40" s="5" t="str">
        <x:v>未测</x:v>
      </x:c>
      <x:c r="N40" s="5" t="str"/>
      <x:c r="O40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41" ht="91.5" customHeight="1">
      <x:c r="A41" s="5" t="n">
        <x:v>40</x:v>
      </x:c>
      <x:c r="B41" s="5" t="str">
        <x:v>GREC-040</x:v>
      </x:c>
      <x:c r="C41" s="5" t="str">
        <x:v>公会App-直播记录模块</x:v>
      </x:c>
      <x:c r="D41" s="5" t="str">
        <x:v>自定义日期筛选</x:v>
      </x:c>
      <x:c r="E41" s="5" t="str">
        <x:v>功能需求</x:v>
      </x:c>
      <x:c r="F41" s="5" t="str">
        <x:v>P2</x:v>
      </x:c>
      <x:c r="G41" s="5" t="str">
        <x:v>验证切换到上一个可用月份</x:v>
      </x:c>
      <x:c r="H41" s="5" t="str">
        <x:v>上月日历切换</x:v>
      </x:c>
      <x:c r="I41" s="5" t="str">
        <x:v>1. 日期选择器当前显示 8/2026
2. 测试数据包含 7/2026</x:v>
      </x:c>
      <x:c r="J41" s="5" t="str">
        <x:v>1. 点击向前月份按钮</x:v>
      </x:c>
      <x:c r="K41" s="5" t="str">
        <x:v>日历标题显示 7/2026</x:v>
      </x:c>
      <x:c r="L41" s="5" t="str"/>
      <x:c r="M41" s="5" t="str">
        <x:v>未测</x:v>
      </x:c>
      <x:c r="N41" s="5" t="str"/>
      <x:c r="O41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42" ht="91.5" customHeight="1">
      <x:c r="A42" s="5" t="n">
        <x:v>41</x:v>
      </x:c>
      <x:c r="B42" s="5" t="str">
        <x:v>GREC-041</x:v>
      </x:c>
      <x:c r="C42" s="5" t="str">
        <x:v>公会App-直播记录模块</x:v>
      </x:c>
      <x:c r="D42" s="5" t="str">
        <x:v>自定义日期筛选</x:v>
      </x:c>
      <x:c r="E42" s="5" t="str">
        <x:v>功能需求</x:v>
      </x:c>
      <x:c r="F42" s="5" t="str">
        <x:v>P2</x:v>
      </x:c>
      <x:c r="G42" s="5" t="str">
        <x:v>验证切换回下一个可用月份</x:v>
      </x:c>
      <x:c r="H42" s="5" t="str">
        <x:v>下月日历切换</x:v>
      </x:c>
      <x:c r="I42" s="5" t="str">
        <x:v>1. 日期选择器当前显示 7/2026
2. 测试数据包含 8/2026</x:v>
      </x:c>
      <x:c r="J42" s="5" t="str">
        <x:v>1. 点击向后月份按钮</x:v>
      </x:c>
      <x:c r="K42" s="5" t="str">
        <x:v>日历标题显示 8/2026</x:v>
      </x:c>
      <x:c r="L42" s="5" t="str"/>
      <x:c r="M42" s="5" t="str">
        <x:v>未测</x:v>
      </x:c>
      <x:c r="N42" s="5" t="str"/>
      <x:c r="O42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43" ht="115.5" customHeight="1">
      <x:c r="A43" s="5" t="n">
        <x:v>42</x:v>
      </x:c>
      <x:c r="B43" s="5" t="str">
        <x:v>GREC-042</x:v>
      </x:c>
      <x:c r="C43" s="5" t="str">
        <x:v>公会App-直播记录模块</x:v>
      </x:c>
      <x:c r="D43" s="5" t="str">
        <x:v>自定义日期筛选</x:v>
      </x:c>
      <x:c r="E43" s="5" t="str">
        <x:v>逻辑校验</x:v>
      </x:c>
      <x:c r="F43" s="5" t="str">
        <x:v>P1</x:v>
      </x:c>
      <x:c r="G43" s="5" t="str">
        <x:v>验证应用单日筛选</x:v>
      </x:c>
      <x:c r="H43" s="5" t="str">
        <x:v>自定义单日范围</x:v>
      </x:c>
      <x:c r="I43" s="5" t="str">
        <x:v>1. 12/08/2026 存在 2 场记录
2. 13/08/2026 存在 1 场记录</x:v>
      </x:c>
      <x:c r="J43" s="5" t="str">
        <x:v>1. 打开日期选择器
2. 选择 12/8/2026
3. 点击“确定”
4. 查看场次列表</x:v>
      </x:c>
      <x:c r="K43" s="5" t="str">
        <x:v>场次列表结果集仅包含 12/08/2026 的 2 场记录</x:v>
      </x:c>
      <x:c r="L43" s="5" t="str"/>
      <x:c r="M43" s="5" t="str">
        <x:v>未测</x:v>
      </x:c>
      <x:c r="N43" s="5" t="str"/>
      <x:c r="O4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44" ht="115.5" customHeight="1">
      <x:c r="A44" s="5" t="n">
        <x:v>43</x:v>
      </x:c>
      <x:c r="B44" s="5" t="str">
        <x:v>GREC-043</x:v>
      </x:c>
      <x:c r="C44" s="5" t="str">
        <x:v>公会App-直播记录模块</x:v>
      </x:c>
      <x:c r="D44" s="5" t="str">
        <x:v>自定义日期筛选</x:v>
      </x:c>
      <x:c r="E44" s="5" t="str">
        <x:v>逻辑校验</x:v>
      </x:c>
      <x:c r="F44" s="5" t="str">
        <x:v>P1</x:v>
      </x:c>
      <x:c r="G44" s="5" t="str">
        <x:v>验证应用连续日期范围</x:v>
      </x:c>
      <x:c r="H44" s="5" t="str">
        <x:v>自定义连续范围</x:v>
      </x:c>
      <x:c r="I44" s="5" t="str">
        <x:v>1. 10/08/2026 至 12/08/2026 内存在 4 场记录
2. 13/08/2026 存在 1 场记录</x:v>
      </x:c>
      <x:c r="J44" s="5" t="str">
        <x:v>1. 打开日期选择器
2. 选择 10/8/2026
3. 选择 12/8/2026
4. 点击“确定”</x:v>
      </x:c>
      <x:c r="K44" s="5" t="str">
        <x:v>场次列表结果集仅包含 10/08/2026 至 12/08/2026 内的 4 场记录</x:v>
      </x:c>
      <x:c r="L44" s="5" t="str"/>
      <x:c r="M44" s="5" t="str">
        <x:v>未测</x:v>
      </x:c>
      <x:c r="N44" s="5" t="str"/>
      <x:c r="O4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45" ht="67.5" customHeight="1">
      <x:c r="A45" s="5" t="n">
        <x:v>44</x:v>
      </x:c>
      <x:c r="B45" s="5" t="str">
        <x:v>GREC-044</x:v>
      </x:c>
      <x:c r="C45" s="5" t="str">
        <x:v>公会App-直播记录模块</x:v>
      </x:c>
      <x:c r="D45" s="5" t="str">
        <x:v>自定义日期筛选</x:v>
      </x:c>
      <x:c r="E45" s="5" t="str">
        <x:v>逻辑校验</x:v>
      </x:c>
      <x:c r="F45" s="5" t="str">
        <x:v>P1</x:v>
      </x:c>
      <x:c r="G45" s="5" t="str">
        <x:v>验证反向选择日期后的范围归一</x:v>
      </x:c>
      <x:c r="H45" s="5" t="str">
        <x:v>反向日期归一</x:v>
      </x:c>
      <x:c r="I45" s="5" t="str">
        <x:v>1. 日期选择器已打开</x:v>
      </x:c>
      <x:c r="J45" s="5" t="str">
        <x:v>1. 先选择 15/8/2026
2. 再选择 12/8/2026
3. 点击“确定”</x:v>
      </x:c>
      <x:c r="K45" s="5" t="str">
        <x:v>日期范围显示 12/8/2026～15/8/2026</x:v>
      </x:c>
      <x:c r="L45" s="5" t="str"/>
      <x:c r="M45" s="5" t="str">
        <x:v>未测</x:v>
      </x:c>
      <x:c r="N45" s="5" t="str"/>
      <x:c r="O45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46" ht="115.5" customHeight="1">
      <x:c r="A46" s="5" t="n">
        <x:v>45</x:v>
      </x:c>
      <x:c r="B46" s="5" t="str">
        <x:v>GREC-045</x:v>
      </x:c>
      <x:c r="C46" s="5" t="str">
        <x:v>公会App-直播记录模块</x:v>
      </x:c>
      <x:c r="D46" s="5" t="str">
        <x:v>自定义日期筛选</x:v>
      </x:c>
      <x:c r="E46" s="5" t="str">
        <x:v>逻辑校验</x:v>
      </x:c>
      <x:c r="F46" s="5" t="str">
        <x:v>P1</x:v>
      </x:c>
      <x:c r="G46" s="5" t="str">
        <x:v>验证日期范围包含起止日</x:v>
      </x:c>
      <x:c r="H46" s="5" t="str">
        <x:v>日期闭区间</x:v>
      </x:c>
      <x:c r="I46" s="5" t="str">
        <x:v>1. 10/08/2026 和 12/08/2026 各存在 1 场记录
2. 09/08/2026 存在 1 场记录</x:v>
      </x:c>
      <x:c r="J46" s="5" t="str">
        <x:v>1. 将日期范围设置为 10/8/2026～12/8/2026
2. 查看场次列表</x:v>
      </x:c>
      <x:c r="K46" s="5" t="str">
        <x:v>场次列表包含 10/08/2026 和 12/08/2026 的两场边界记录</x:v>
      </x:c>
      <x:c r="L46" s="5" t="str"/>
      <x:c r="M46" s="5" t="str">
        <x:v>未测</x:v>
      </x:c>
      <x:c r="N46" s="5" t="str"/>
      <x:c r="O46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47" ht="91.5" customHeight="1">
      <x:c r="A47" s="5" t="n">
        <x:v>46</x:v>
      </x:c>
      <x:c r="B47" s="5" t="str">
        <x:v>GREC-046</x:v>
      </x:c>
      <x:c r="C47" s="5" t="str">
        <x:v>公会App-直播记录模块</x:v>
      </x:c>
      <x:c r="D47" s="5" t="str">
        <x:v>自定义日期筛选</x:v>
      </x:c>
      <x:c r="E47" s="5" t="str">
        <x:v>功能需求</x:v>
      </x:c>
      <x:c r="F47" s="5" t="str">
        <x:v>P2</x:v>
      </x:c>
      <x:c r="G47" s="5" t="str">
        <x:v>验证无直播记录日期的空状态</x:v>
      </x:c>
      <x:c r="H47" s="5" t="str">
        <x:v>无记录空状态</x:v>
      </x:c>
      <x:c r="I47" s="5" t="str">
        <x:v>1. 11/08/2026 没有直播记录</x:v>
      </x:c>
      <x:c r="J47" s="5" t="str">
        <x:v>1. 将日期范围设置为 11/8/2026～11/8/2026
2. 查看场次列表</x:v>
      </x:c>
      <x:c r="K47" s="5" t="str">
        <x:v>场次列表显示“当前时间段暂无直播记录”</x:v>
      </x:c>
      <x:c r="L47" s="5" t="str"/>
      <x:c r="M47" s="5" t="str">
        <x:v>未测</x:v>
      </x:c>
      <x:c r="N47" s="5" t="str"/>
      <x:c r="O47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48" ht="115.5" customHeight="1">
      <x:c r="A48" s="5" t="n">
        <x:v>47</x:v>
      </x:c>
      <x:c r="B48" s="5" t="str">
        <x:v>GREC-047</x:v>
      </x:c>
      <x:c r="C48" s="5" t="str">
        <x:v>公会App-直播记录模块</x:v>
      </x:c>
      <x:c r="D48" s="5" t="str">
        <x:v>汇总指标</x:v>
      </x:c>
      <x:c r="E48" s="5" t="str">
        <x:v>逻辑校验</x:v>
      </x:c>
      <x:c r="F48" s="5" t="str">
        <x:v>P1</x:v>
      </x:c>
      <x:c r="G48" s="5" t="str">
        <x:v>验证筛选范围的收益汇总</x:v>
      </x:c>
      <x:c r="H48" s="5" t="str">
        <x:v>礼物金币收益总和</x:v>
      </x:c>
      <x:c r="I48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48" s="5" t="str">
        <x:v>1. 选择主播 A 和主播 B
2. 选择测试数据所在日期
3. 查看收益</x:v>
      </x:c>
      <x:c r="K48" s="5" t="str">
        <x:v>收益 = 100 + 250 + 50 = 400</x:v>
      </x:c>
      <x:c r="L48" s="5" t="str"/>
      <x:c r="M48" s="5" t="str">
        <x:v>未测</x:v>
      </x:c>
      <x:c r="N48" s="5" t="str"/>
      <x:c r="O48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49" ht="115.5" customHeight="1">
      <x:c r="A49" s="5" t="n">
        <x:v>48</x:v>
      </x:c>
      <x:c r="B49" s="5" t="str">
        <x:v>GREC-048</x:v>
      </x:c>
      <x:c r="C49" s="5" t="str">
        <x:v>公会App-直播记录模块</x:v>
      </x:c>
      <x:c r="D49" s="5" t="str">
        <x:v>汇总指标</x:v>
      </x:c>
      <x:c r="E49" s="5" t="str">
        <x:v>逻辑校验</x:v>
      </x:c>
      <x:c r="F49" s="5" t="str">
        <x:v>P1</x:v>
      </x:c>
      <x:c r="G49" s="5" t="str">
        <x:v>验证筛选范围的去重开播人数</x:v>
      </x:c>
      <x:c r="H49" s="5" t="str">
        <x:v>去重开播人数</x:v>
      </x:c>
      <x:c r="I49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49" s="5" t="str">
        <x:v>1. 选择主播 A 和主播 B
2. 选择测试数据所在日期
3. 查看开播人数</x:v>
      </x:c>
      <x:c r="K49" s="5" t="str">
        <x:v>开播人数 = 去重主播 A、主播 B = 2</x:v>
      </x:c>
      <x:c r="L49" s="5" t="str"/>
      <x:c r="M49" s="5" t="str">
        <x:v>未测</x:v>
      </x:c>
      <x:c r="N49" s="5" t="str"/>
      <x:c r="O49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50" ht="115.5" customHeight="1">
      <x:c r="A50" s="5" t="n">
        <x:v>49</x:v>
      </x:c>
      <x:c r="B50" s="5" t="str">
        <x:v>GREC-049</x:v>
      </x:c>
      <x:c r="C50" s="5" t="str">
        <x:v>公会App-直播记录模块</x:v>
      </x:c>
      <x:c r="D50" s="5" t="str">
        <x:v>汇总指标</x:v>
      </x:c>
      <x:c r="E50" s="5" t="str">
        <x:v>逻辑校验</x:v>
      </x:c>
      <x:c r="F50" s="5" t="str">
        <x:v>P1</x:v>
      </x:c>
      <x:c r="G50" s="5" t="str">
        <x:v>验证筛选范围的直播场次</x:v>
      </x:c>
      <x:c r="H50" s="5" t="str">
        <x:v>直播场次总数</x:v>
      </x:c>
      <x:c r="I50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50" s="5" t="str">
        <x:v>1. 选择主播 A 和主播 B
2. 选择测试数据所在日期
3. 查看直播场次</x:v>
      </x:c>
      <x:c r="K50" s="5" t="str">
        <x:v>直播场次 = S1 + S2 + S3 = 3</x:v>
      </x:c>
      <x:c r="L50" s="5" t="str"/>
      <x:c r="M50" s="5" t="str">
        <x:v>未测</x:v>
      </x:c>
      <x:c r="N50" s="5" t="str"/>
      <x:c r="O5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51" ht="115.5" customHeight="1">
      <x:c r="A51" s="5" t="n">
        <x:v>50</x:v>
      </x:c>
      <x:c r="B51" s="5" t="str">
        <x:v>GREC-050</x:v>
      </x:c>
      <x:c r="C51" s="5" t="str">
        <x:v>公会App-直播记录模块</x:v>
      </x:c>
      <x:c r="D51" s="5" t="str">
        <x:v>汇总指标</x:v>
      </x:c>
      <x:c r="E51" s="5" t="str">
        <x:v>逻辑校验</x:v>
      </x:c>
      <x:c r="F51" s="5" t="str">
        <x:v>P1</x:v>
      </x:c>
      <x:c r="G51" s="5" t="str">
        <x:v>验证单主播筛选后的收益</x:v>
      </x:c>
      <x:c r="H51" s="5" t="str">
        <x:v>单主播收益</x:v>
      </x:c>
      <x:c r="I51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51" s="5" t="str">
        <x:v>1. 仅选择主播 A
2. 选择测试数据所在日期
3. 查看收益</x:v>
      </x:c>
      <x:c r="K51" s="5" t="str">
        <x:v>收益 = 100 + 250 = 350</x:v>
      </x:c>
      <x:c r="L51" s="5" t="str"/>
      <x:c r="M51" s="5" t="str">
        <x:v>未测</x:v>
      </x:c>
      <x:c r="N51" s="5" t="str"/>
      <x:c r="O51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52" ht="115.5" customHeight="1">
      <x:c r="A52" s="5" t="n">
        <x:v>51</x:v>
      </x:c>
      <x:c r="B52" s="5" t="str">
        <x:v>GREC-051</x:v>
      </x:c>
      <x:c r="C52" s="5" t="str">
        <x:v>公会App-直播记录模块</x:v>
      </x:c>
      <x:c r="D52" s="5" t="str">
        <x:v>汇总指标</x:v>
      </x:c>
      <x:c r="E52" s="5" t="str">
        <x:v>逻辑校验</x:v>
      </x:c>
      <x:c r="F52" s="5" t="str">
        <x:v>P1</x:v>
      </x:c>
      <x:c r="G52" s="5" t="str">
        <x:v>验证单主播筛选后的开播人数</x:v>
      </x:c>
      <x:c r="H52" s="5" t="str">
        <x:v>单主播开播人数</x:v>
      </x:c>
      <x:c r="I52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52" s="5" t="str">
        <x:v>1. 仅选择主播 A
2. 选择测试数据所在日期
3. 查看开播人数</x:v>
      </x:c>
      <x:c r="K52" s="5" t="str">
        <x:v>开播人数 = 去重主播 A = 1</x:v>
      </x:c>
      <x:c r="L52" s="5" t="str"/>
      <x:c r="M52" s="5" t="str">
        <x:v>未测</x:v>
      </x:c>
      <x:c r="N52" s="5" t="str"/>
      <x:c r="O5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53" ht="115.5" customHeight="1">
      <x:c r="A53" s="5" t="n">
        <x:v>52</x:v>
      </x:c>
      <x:c r="B53" s="5" t="str">
        <x:v>GREC-052</x:v>
      </x:c>
      <x:c r="C53" s="5" t="str">
        <x:v>公会App-直播记录模块</x:v>
      </x:c>
      <x:c r="D53" s="5" t="str">
        <x:v>汇总指标</x:v>
      </x:c>
      <x:c r="E53" s="5" t="str">
        <x:v>逻辑校验</x:v>
      </x:c>
      <x:c r="F53" s="5" t="str">
        <x:v>P1</x:v>
      </x:c>
      <x:c r="G53" s="5" t="str">
        <x:v>验证单主播筛选后的直播场次</x:v>
      </x:c>
      <x:c r="H53" s="5" t="str">
        <x:v>单主播直播场次</x:v>
      </x:c>
      <x:c r="I53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53" s="5" t="str">
        <x:v>1. 仅选择主播 A
2. 选择测试数据所在日期
3. 查看直播场次</x:v>
      </x:c>
      <x:c r="K53" s="5" t="str">
        <x:v>直播场次 = S1 + S2 = 2</x:v>
      </x:c>
      <x:c r="L53" s="5" t="str"/>
      <x:c r="M53" s="5" t="str">
        <x:v>未测</x:v>
      </x:c>
      <x:c r="N53" s="5" t="str"/>
      <x:c r="O5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</x:v>
      </x:c>
    </x:row>
    <x:row r="54" ht="91.5" customHeight="1">
      <x:c r="A54" s="5" t="n">
        <x:v>53</x:v>
      </x:c>
      <x:c r="B54" s="5" t="str">
        <x:v>GREC-053</x:v>
      </x:c>
      <x:c r="C54" s="5" t="str">
        <x:v>公会App-直播记录模块</x:v>
      </x:c>
      <x:c r="D54" s="5" t="str">
        <x:v>汇总指标</x:v>
      </x:c>
      <x:c r="E54" s="5" t="str">
        <x:v>逻辑校验</x:v>
      </x:c>
      <x:c r="F54" s="5" t="str">
        <x:v>P2</x:v>
      </x:c>
      <x:c r="G54" s="5" t="str">
        <x:v>验证未选择主播时的收益</x:v>
      </x:c>
      <x:c r="H54" s="5" t="str">
        <x:v>零主播收益</x:v>
      </x:c>
      <x:c r="I54" s="5" t="str">
        <x:v>1. 主播筛选当前已选 0 人</x:v>
      </x:c>
      <x:c r="J54" s="5" t="str">
        <x:v>1. 查看收益</x:v>
      </x:c>
      <x:c r="K54" s="5" t="str">
        <x:v>收益 = 0</x:v>
      </x:c>
      <x:c r="L54" s="5" t="str"/>
      <x:c r="M54" s="5" t="str">
        <x:v>未测</x:v>
      </x:c>
      <x:c r="N54" s="5" t="str"/>
      <x:c r="O54" s="5" t="str">
        <x:v>1. 来源：prototype/assets/annotations.js 的公会直播记录、场次详情和主播多选批注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</x:v>
      </x:c>
    </x:row>
    <x:row r="55" ht="91.5" customHeight="1">
      <x:c r="A55" s="5" t="n">
        <x:v>54</x:v>
      </x:c>
      <x:c r="B55" s="5" t="str">
        <x:v>GREC-054</x:v>
      </x:c>
      <x:c r="C55" s="5" t="str">
        <x:v>公会App-直播记录模块</x:v>
      </x:c>
      <x:c r="D55" s="5" t="str">
        <x:v>汇总指标</x:v>
      </x:c>
      <x:c r="E55" s="5" t="str">
        <x:v>逻辑校验</x:v>
      </x:c>
      <x:c r="F55" s="5" t="str">
        <x:v>P2</x:v>
      </x:c>
      <x:c r="G55" s="5" t="str">
        <x:v>验证未选择主播时的开播人数</x:v>
      </x:c>
      <x:c r="H55" s="5" t="str">
        <x:v>零主播开播人数</x:v>
      </x:c>
      <x:c r="I55" s="5" t="str">
        <x:v>1. 主播筛选当前已选 0 人</x:v>
      </x:c>
      <x:c r="J55" s="5" t="str">
        <x:v>1. 查看开播人数</x:v>
      </x:c>
      <x:c r="K55" s="5" t="str">
        <x:v>开播人数 = 0</x:v>
      </x:c>
      <x:c r="L55" s="5" t="str"/>
      <x:c r="M55" s="5" t="str">
        <x:v>未测</x:v>
      </x:c>
      <x:c r="N55" s="5" t="str"/>
      <x:c r="O55" s="5" t="str">
        <x:v>1. 来源：prototype/assets/annotations.js 的公会直播记录、场次详情和主播多选批注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</x:v>
      </x:c>
    </x:row>
    <x:row r="56" ht="91.5" customHeight="1">
      <x:c r="A56" s="5" t="n">
        <x:v>55</x:v>
      </x:c>
      <x:c r="B56" s="5" t="str">
        <x:v>GREC-055</x:v>
      </x:c>
      <x:c r="C56" s="5" t="str">
        <x:v>公会App-直播记录模块</x:v>
      </x:c>
      <x:c r="D56" s="5" t="str">
        <x:v>汇总指标</x:v>
      </x:c>
      <x:c r="E56" s="5" t="str">
        <x:v>逻辑校验</x:v>
      </x:c>
      <x:c r="F56" s="5" t="str">
        <x:v>P2</x:v>
      </x:c>
      <x:c r="G56" s="5" t="str">
        <x:v>验证未选择主播时的直播场次</x:v>
      </x:c>
      <x:c r="H56" s="5" t="str">
        <x:v>零主播直播场次</x:v>
      </x:c>
      <x:c r="I56" s="5" t="str">
        <x:v>1. 主播筛选当前已选 0 人</x:v>
      </x:c>
      <x:c r="J56" s="5" t="str">
        <x:v>1. 查看直播场次</x:v>
      </x:c>
      <x:c r="K56" s="5" t="str">
        <x:v>直播场次 = 0</x:v>
      </x:c>
      <x:c r="L56" s="5" t="str"/>
      <x:c r="M56" s="5" t="str">
        <x:v>未测</x:v>
      </x:c>
      <x:c r="N56" s="5" t="str"/>
      <x:c r="O56" s="5" t="str">
        <x:v>1. 来源：prototype/assets/annotations.js 的公会直播记录、场次详情和主播多选批注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</x:v>
      </x:c>
    </x:row>
    <x:row r="57" ht="91.5" customHeight="1">
      <x:c r="A57" s="5" t="n">
        <x:v>56</x:v>
      </x:c>
      <x:c r="B57" s="5" t="str">
        <x:v>GREC-056</x:v>
      </x:c>
      <x:c r="C57" s="5" t="str">
        <x:v>公会App-直播记录模块</x:v>
      </x:c>
      <x:c r="D57" s="5" t="str">
        <x:v>场次列表</x:v>
      </x:c>
      <x:c r="E57" s="5" t="str">
        <x:v>逻辑校验</x:v>
      </x:c>
      <x:c r="F57" s="5" t="str">
        <x:v>P1</x:v>
      </x:c>
      <x:c r="G57" s="5" t="str">
        <x:v>验证场次按开播时间倒序排列</x:v>
      </x:c>
      <x:c r="H57" s="5" t="str">
        <x:v>开播时间倒序</x:v>
      </x:c>
      <x:c r="I57" s="5" t="str">
        <x:v>1. 筛选范围内存在开播时间为 15/08/2026 09.00、15/08/2026 19.20、14/08/2026 21.00 的三场记录</x:v>
      </x:c>
      <x:c r="J57" s="5" t="str">
        <x:v>1. 进入直播记录页
2. 查看场次排列顺序</x:v>
      </x:c>
      <x:c r="K57" s="5" t="str">
        <x:v>场次顺序从上到下为 15/08/2026 19.20、15/08/2026 09.00、14/08/2026 21.00</x:v>
      </x:c>
      <x:c r="L57" s="5" t="str"/>
      <x:c r="M57" s="5" t="str">
        <x:v>未测</x:v>
      </x:c>
      <x:c r="N57" s="5" t="str"/>
      <x:c r="O57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58" ht="139.5" customHeight="1">
      <x:c r="A58" s="5" t="n">
        <x:v>57</x:v>
      </x:c>
      <x:c r="B58" s="5" t="str">
        <x:v>GREC-057</x:v>
      </x:c>
      <x:c r="C58" s="5" t="str">
        <x:v>公会App-直播记录模块</x:v>
      </x:c>
      <x:c r="D58" s="5" t="str">
        <x:v>场次列表</x:v>
      </x:c>
      <x:c r="E58" s="5" t="str">
        <x:v>功能需求</x:v>
      </x:c>
      <x:c r="F58" s="5" t="str">
        <x:v>P1</x:v>
      </x:c>
      <x:c r="G58" s="5" t="str">
        <x:v>验证场次卡片的直播主题</x:v>
      </x:c>
      <x:c r="H58" s="5" t="str">
        <x:v>直播主题展示</x:v>
      </x:c>
      <x:c r="I58" s="5" t="str">
        <x:v>1. 筛选结果包含主题为“流行金曲夜”的测试场次
2. 测试场次数据已按用例备注来源准备</x:v>
      </x:c>
      <x:c r="J58" s="5" t="str">
        <x:v>1. 进入直播记录页
2. 查看测试场次卡片</x:v>
      </x:c>
      <x:c r="K58" s="5" t="str">
        <x:v>直播主题显示“流行金曲夜”</x:v>
      </x:c>
      <x:c r="L58" s="5" t="str"/>
      <x:c r="M58" s="5" t="str">
        <x:v>未测</x:v>
      </x:c>
      <x:c r="N58" s="5" t="str"/>
      <x:c r="O58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59" ht="139.5" customHeight="1">
      <x:c r="A59" s="5" t="n">
        <x:v>58</x:v>
      </x:c>
      <x:c r="B59" s="5" t="str">
        <x:v>GREC-058</x:v>
      </x:c>
      <x:c r="C59" s="5" t="str">
        <x:v>公会App-直播记录模块</x:v>
      </x:c>
      <x:c r="D59" s="5" t="str">
        <x:v>场次列表</x:v>
      </x:c>
      <x:c r="E59" s="5" t="str">
        <x:v>功能需求</x:v>
      </x:c>
      <x:c r="F59" s="5" t="str">
        <x:v>P1</x:v>
      </x:c>
      <x:c r="G59" s="5" t="str">
        <x:v>验证场次卡片的主播名称</x:v>
      </x:c>
      <x:c r="H59" s="5" t="str">
        <x:v>主播名称展示</x:v>
      </x:c>
      <x:c r="I59" s="5" t="str">
        <x:v>1. 筛选结果包含主题为“流行金曲夜”的测试场次
2. 测试场次数据已按用例备注来源准备</x:v>
      </x:c>
      <x:c r="J59" s="5" t="str">
        <x:v>1. 进入直播记录页
2. 查看测试场次卡片</x:v>
      </x:c>
      <x:c r="K59" s="5" t="str">
        <x:v>主播名称显示“Sari”</x:v>
      </x:c>
      <x:c r="L59" s="5" t="str"/>
      <x:c r="M59" s="5" t="str">
        <x:v>未测</x:v>
      </x:c>
      <x:c r="N59" s="5" t="str"/>
      <x:c r="O59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0" ht="139.5" customHeight="1">
      <x:c r="A60" s="5" t="n">
        <x:v>59</x:v>
      </x:c>
      <x:c r="B60" s="5" t="str">
        <x:v>GREC-059</x:v>
      </x:c>
      <x:c r="C60" s="5" t="str">
        <x:v>公会App-直播记录模块</x:v>
      </x:c>
      <x:c r="D60" s="5" t="str">
        <x:v>场次列表</x:v>
      </x:c>
      <x:c r="E60" s="5" t="str">
        <x:v>功能需求</x:v>
      </x:c>
      <x:c r="F60" s="5" t="str">
        <x:v>P1</x:v>
      </x:c>
      <x:c r="G60" s="5" t="str">
        <x:v>验证场次卡片的主播 ID</x:v>
      </x:c>
      <x:c r="H60" s="5" t="str">
        <x:v>主播 ID展示</x:v>
      </x:c>
      <x:c r="I60" s="5" t="str">
        <x:v>1. 筛选结果包含主题为“流行金曲夜”的测试场次
2. 测试场次数据已按用例备注来源准备</x:v>
      </x:c>
      <x:c r="J60" s="5" t="str">
        <x:v>1. 进入直播记录页
2. 查看测试场次卡片</x:v>
      </x:c>
      <x:c r="K60" s="5" t="str">
        <x:v>主播 ID 显示“H102938”</x:v>
      </x:c>
      <x:c r="L60" s="5" t="str"/>
      <x:c r="M60" s="5" t="str">
        <x:v>未测</x:v>
      </x:c>
      <x:c r="N60" s="5" t="str"/>
      <x:c r="O6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1" ht="139.5" customHeight="1">
      <x:c r="A61" s="5" t="n">
        <x:v>60</x:v>
      </x:c>
      <x:c r="B61" s="5" t="str">
        <x:v>GREC-060</x:v>
      </x:c>
      <x:c r="C61" s="5" t="str">
        <x:v>公会App-直播记录模块</x:v>
      </x:c>
      <x:c r="D61" s="5" t="str">
        <x:v>场次列表</x:v>
      </x:c>
      <x:c r="E61" s="5" t="str">
        <x:v>功能需求</x:v>
      </x:c>
      <x:c r="F61" s="5" t="str">
        <x:v>P1</x:v>
      </x:c>
      <x:c r="G61" s="5" t="str">
        <x:v>验证场次卡片的开播时间</x:v>
      </x:c>
      <x:c r="H61" s="5" t="str">
        <x:v>开播时间展示</x:v>
      </x:c>
      <x:c r="I61" s="5" t="str">
        <x:v>1. 筛选结果包含主题为“流行金曲夜”的测试场次
2. 测试场次数据已按用例备注来源准备</x:v>
      </x:c>
      <x:c r="J61" s="5" t="str">
        <x:v>1. 进入直播记录页
2. 查看测试场次卡片</x:v>
      </x:c>
      <x:c r="K61" s="5" t="str">
        <x:v>开播时间显示“15/8/2026 19.20”</x:v>
      </x:c>
      <x:c r="L61" s="5" t="str"/>
      <x:c r="M61" s="5" t="str">
        <x:v>未测</x:v>
      </x:c>
      <x:c r="N61" s="5" t="str"/>
      <x:c r="O61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2" ht="139.5" customHeight="1">
      <x:c r="A62" s="5" t="n">
        <x:v>61</x:v>
      </x:c>
      <x:c r="B62" s="5" t="str">
        <x:v>GREC-061</x:v>
      </x:c>
      <x:c r="C62" s="5" t="str">
        <x:v>公会App-直播记录模块</x:v>
      </x:c>
      <x:c r="D62" s="5" t="str">
        <x:v>场次列表</x:v>
      </x:c>
      <x:c r="E62" s="5" t="str">
        <x:v>功能需求</x:v>
      </x:c>
      <x:c r="F62" s="5" t="str">
        <x:v>P1</x:v>
      </x:c>
      <x:c r="G62" s="5" t="str">
        <x:v>验证场次卡片的直播时长</x:v>
      </x:c>
      <x:c r="H62" s="5" t="str">
        <x:v>直播时长展示</x:v>
      </x:c>
      <x:c r="I62" s="5" t="str">
        <x:v>1. 筛选结果包含主题为“流行金曲夜”的测试场次
2. 测试场次数据已按用例备注来源准备</x:v>
      </x:c>
      <x:c r="J62" s="5" t="str">
        <x:v>1. 进入直播记录页
2. 查看测试场次卡片</x:v>
      </x:c>
      <x:c r="K62" s="5" t="str">
        <x:v>直播时长显示“1h 51m”</x:v>
      </x:c>
      <x:c r="L62" s="5" t="str"/>
      <x:c r="M62" s="5" t="str">
        <x:v>未测</x:v>
      </x:c>
      <x:c r="N62" s="5" t="str"/>
      <x:c r="O6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3" ht="139.5" customHeight="1">
      <x:c r="A63" s="5" t="n">
        <x:v>62</x:v>
      </x:c>
      <x:c r="B63" s="5" t="str">
        <x:v>GREC-062</x:v>
      </x:c>
      <x:c r="C63" s="5" t="str">
        <x:v>公会App-直播记录模块</x:v>
      </x:c>
      <x:c r="D63" s="5" t="str">
        <x:v>场次列表</x:v>
      </x:c>
      <x:c r="E63" s="5" t="str">
        <x:v>功能需求</x:v>
      </x:c>
      <x:c r="F63" s="5" t="str">
        <x:v>P1</x:v>
      </x:c>
      <x:c r="G63" s="5" t="str">
        <x:v>验证场次卡片的金币收益</x:v>
      </x:c>
      <x:c r="H63" s="5" t="str">
        <x:v>金币收益展示</x:v>
      </x:c>
      <x:c r="I63" s="5" t="str">
        <x:v>1. 筛选结果包含主题为“流行金曲夜”的测试场次
2. 测试场次数据已按用例备注来源准备</x:v>
      </x:c>
      <x:c r="J63" s="5" t="str">
        <x:v>1. 进入直播记录页
2. 查看测试场次卡片</x:v>
      </x:c>
      <x:c r="K63" s="5" t="str">
        <x:v>收益显示 16,967 金币</x:v>
      </x:c>
      <x:c r="L63" s="5" t="str"/>
      <x:c r="M63" s="5" t="str">
        <x:v>未测</x:v>
      </x:c>
      <x:c r="N63" s="5" t="str"/>
      <x:c r="O6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4" ht="139.5" customHeight="1">
      <x:c r="A64" s="5" t="n">
        <x:v>63</x:v>
      </x:c>
      <x:c r="B64" s="5" t="str">
        <x:v>GREC-063</x:v>
      </x:c>
      <x:c r="C64" s="5" t="str">
        <x:v>公会App-直播记录模块</x:v>
      </x:c>
      <x:c r="D64" s="5" t="str">
        <x:v>场次列表</x:v>
      </x:c>
      <x:c r="E64" s="5" t="str">
        <x:v>功能需求</x:v>
      </x:c>
      <x:c r="F64" s="5" t="str">
        <x:v>P1</x:v>
      </x:c>
      <x:c r="G64" s="5" t="str">
        <x:v>验证场次卡片的观看人数</x:v>
      </x:c>
      <x:c r="H64" s="5" t="str">
        <x:v>观看人数展示</x:v>
      </x:c>
      <x:c r="I64" s="5" t="str">
        <x:v>1. 筛选结果包含主题为“流行金曲夜”的测试场次
2. 测试场次数据已按用例备注来源准备</x:v>
      </x:c>
      <x:c r="J64" s="5" t="str">
        <x:v>1. 进入直播记录页
2. 查看测试场次卡片</x:v>
      </x:c>
      <x:c r="K64" s="5" t="str">
        <x:v>观众显示 10,055 人</x:v>
      </x:c>
      <x:c r="L64" s="5" t="str"/>
      <x:c r="M64" s="5" t="str">
        <x:v>未测</x:v>
      </x:c>
      <x:c r="N64" s="5" t="str"/>
      <x:c r="O6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5" ht="139.5" customHeight="1">
      <x:c r="A65" s="5" t="n">
        <x:v>64</x:v>
      </x:c>
      <x:c r="B65" s="5" t="str">
        <x:v>GREC-064</x:v>
      </x:c>
      <x:c r="C65" s="5" t="str">
        <x:v>公会App-直播记录模块</x:v>
      </x:c>
      <x:c r="D65" s="5" t="str">
        <x:v>场次列表</x:v>
      </x:c>
      <x:c r="E65" s="5" t="str">
        <x:v>功能需求</x:v>
      </x:c>
      <x:c r="F65" s="5" t="str">
        <x:v>P1</x:v>
      </x:c>
      <x:c r="G65" s="5" t="str">
        <x:v>验证场次卡片的收礼数量</x:v>
      </x:c>
      <x:c r="H65" s="5" t="str">
        <x:v>收礼数量展示</x:v>
      </x:c>
      <x:c r="I65" s="5" t="str">
        <x:v>1. 筛选结果包含主题为“流行金曲夜”的测试场次
2. 测试场次数据已按用例备注来源准备</x:v>
      </x:c>
      <x:c r="J65" s="5" t="str">
        <x:v>1. 进入直播记录页
2. 查看测试场次卡片</x:v>
      </x:c>
      <x:c r="K65" s="5" t="str">
        <x:v>收礼数量显示 369</x:v>
      </x:c>
      <x:c r="L65" s="5" t="str"/>
      <x:c r="M65" s="5" t="str">
        <x:v>未测</x:v>
      </x:c>
      <x:c r="N65" s="5" t="str"/>
      <x:c r="O6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66" ht="67.5" customHeight="1">
      <x:c r="A66" s="5" t="n">
        <x:v>65</x:v>
      </x:c>
      <x:c r="B66" s="5" t="str">
        <x:v>GREC-065</x:v>
      </x:c>
      <x:c r="C66" s="5" t="str">
        <x:v>公会App-直播记录模块</x:v>
      </x:c>
      <x:c r="D66" s="5" t="str">
        <x:v>场次列表</x:v>
      </x:c>
      <x:c r="E66" s="5" t="str">
        <x:v>功能需求</x:v>
      </x:c>
      <x:c r="F66" s="5" t="str">
        <x:v>P2</x:v>
      </x:c>
      <x:c r="G66" s="5" t="str">
        <x:v>验证单主播模式不重复展示主播身份</x:v>
      </x:c>
      <x:c r="H66" s="5" t="str">
        <x:v>单主播卡片身份隐藏</x:v>
      </x:c>
      <x:c r="I66" s="5" t="str">
        <x:v>1. 直播记录当前仅选择主播 Sari</x:v>
      </x:c>
      <x:c r="J66" s="5" t="str">
        <x:v>1. 查看主播 Sari 的场次卡片</x:v>
      </x:c>
      <x:c r="K66" s="5" t="str">
        <x:v>场次卡片不展示主播名称和主播 ID 行</x:v>
      </x:c>
      <x:c r="L66" s="5" t="str"/>
      <x:c r="M66" s="5" t="str">
        <x:v>未测</x:v>
      </x:c>
      <x:c r="N66" s="5" t="str"/>
      <x:c r="O66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</x:v>
      </x:c>
    </x:row>
    <x:row r="67" ht="91.5" customHeight="1">
      <x:c r="A67" s="5" t="n">
        <x:v>66</x:v>
      </x:c>
      <x:c r="B67" s="5" t="str">
        <x:v>GREC-066</x:v>
      </x:c>
      <x:c r="C67" s="5" t="str">
        <x:v>公会App-直播记录模块</x:v>
      </x:c>
      <x:c r="D67" s="5" t="str">
        <x:v>场次列表</x:v>
      </x:c>
      <x:c r="E67" s="5" t="str">
        <x:v>功能需求</x:v>
      </x:c>
      <x:c r="F67" s="5" t="str">
        <x:v>P2</x:v>
      </x:c>
      <x:c r="G67" s="5" t="str">
        <x:v>验证门票房场次类型标识</x:v>
      </x:c>
      <x:c r="H67" s="5" t="str">
        <x:v>门票房标识</x:v>
      </x:c>
      <x:c r="I67" s="5" t="str">
        <x:v>1. 筛选结果包含一场门票房直播记录</x:v>
      </x:c>
      <x:c r="J67" s="5" t="str">
        <x:v>1. 查看门票房场次卡片</x:v>
      </x:c>
      <x:c r="K67" s="5" t="str">
        <x:v>门票房场次卡片显示门票房标识</x:v>
      </x:c>
      <x:c r="L67" s="5" t="str"/>
      <x:c r="M67" s="5" t="str">
        <x:v>未测</x:v>
      </x:c>
      <x:c r="N67" s="5" t="str"/>
      <x:c r="O67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68" ht="91.5" customHeight="1">
      <x:c r="A68" s="5" t="n">
        <x:v>67</x:v>
      </x:c>
      <x:c r="B68" s="5" t="str">
        <x:v>GREC-067</x:v>
      </x:c>
      <x:c r="C68" s="5" t="str">
        <x:v>公会App-直播记录模块</x:v>
      </x:c>
      <x:c r="D68" s="5" t="str">
        <x:v>场次列表</x:v>
      </x:c>
      <x:c r="E68" s="5" t="str">
        <x:v>功能需求</x:v>
      </x:c>
      <x:c r="F68" s="5" t="str">
        <x:v>P2</x:v>
      </x:c>
      <x:c r="G68" s="5" t="str">
        <x:v>验证密码房场次类型标识</x:v>
      </x:c>
      <x:c r="H68" s="5" t="str">
        <x:v>密码房标识</x:v>
      </x:c>
      <x:c r="I68" s="5" t="str">
        <x:v>1. 筛选结果包含一场密码房直播记录</x:v>
      </x:c>
      <x:c r="J68" s="5" t="str">
        <x:v>1. 查看密码房场次卡片</x:v>
      </x:c>
      <x:c r="K68" s="5" t="str">
        <x:v>密码房场次卡片显示密码房标识</x:v>
      </x:c>
      <x:c r="L68" s="5" t="str"/>
      <x:c r="M68" s="5" t="str">
        <x:v>未测</x:v>
      </x:c>
      <x:c r="N68" s="5" t="str"/>
      <x:c r="O68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69" ht="91.5" customHeight="1">
      <x:c r="A69" s="5" t="n">
        <x:v>68</x:v>
      </x:c>
      <x:c r="B69" s="5" t="str">
        <x:v>GREC-068</x:v>
      </x:c>
      <x:c r="C69" s="5" t="str">
        <x:v>公会App-直播记录模块</x:v>
      </x:c>
      <x:c r="D69" s="5" t="str">
        <x:v>场次列表</x:v>
      </x:c>
      <x:c r="E69" s="5" t="str">
        <x:v>功能需求</x:v>
      </x:c>
      <x:c r="F69" s="5" t="str">
        <x:v>P2</x:v>
      </x:c>
      <x:c r="G69" s="5" t="str">
        <x:v>验证普通房场次类型展示</x:v>
      </x:c>
      <x:c r="H69" s="5" t="str">
        <x:v>普通房类型展示</x:v>
      </x:c>
      <x:c r="I69" s="5" t="str">
        <x:v>1. 筛选结果包含一场普通房直播记录</x:v>
      </x:c>
      <x:c r="J69" s="5" t="str">
        <x:v>1. 查看普通房场次卡片</x:v>
      </x:c>
      <x:c r="K69" s="5" t="str">
        <x:v>普通房场次卡片不显示门票房标识和密码房标识</x:v>
      </x:c>
      <x:c r="L69" s="5" t="str"/>
      <x:c r="M69" s="5" t="str">
        <x:v>未测</x:v>
      </x:c>
      <x:c r="N69" s="5" t="str"/>
      <x:c r="O69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70" ht="139.5" customHeight="1">
      <x:c r="A70" s="5" t="n">
        <x:v>69</x:v>
      </x:c>
      <x:c r="B70" s="5" t="str">
        <x:v>GREC-069</x:v>
      </x:c>
      <x:c r="C70" s="5" t="str">
        <x:v>公会App-直播记录模块</x:v>
      </x:c>
      <x:c r="D70" s="5" t="str">
        <x:v>直播场次详情</x:v>
      </x:c>
      <x:c r="E70" s="5" t="str">
        <x:v>业务流程</x:v>
      </x:c>
      <x:c r="F70" s="5" t="str">
        <x:v>P1</x:v>
      </x:c>
      <x:c r="G70" s="5" t="str">
        <x:v>验证从场次卡片进入直播场次详情</x:v>
      </x:c>
      <x:c r="H70" s="5" t="str">
        <x:v>场次详情入口</x:v>
      </x:c>
      <x:c r="I70" s="5" t="str">
        <x:v>1. 直播记录列表存在场次 S-1001</x:v>
      </x:c>
      <x:c r="J70" s="5" t="str">
        <x:v>1. 点击场次 S-1001 的卡片</x:v>
      </x:c>
      <x:c r="K70" s="5" t="str">
        <x:v>页面进入标题为“直播场次详情”的页面</x:v>
      </x:c>
      <x:c r="L70" s="5" t="str"/>
      <x:c r="M70" s="5" t="str">
        <x:v>未测</x:v>
      </x:c>
      <x:c r="N70" s="5" t="str"/>
      <x:c r="O7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来源：prototype/pages/guild/data/guild-live-gift-detail.html；未连接真实后端动态验证
5. 同步追溯：work/liveshow-guild-live-records/prototype-context-sync-result.json；RSL-0004
6. 质量检查：最小前置条件、单一业务分支、单一可观察预期结果</x:v>
      </x:c>
    </x:row>
    <x:row r="71" ht="139.5" customHeight="1">
      <x:c r="A71" s="5" t="n">
        <x:v>70</x:v>
      </x:c>
      <x:c r="B71" s="5" t="str">
        <x:v>GREC-070</x:v>
      </x:c>
      <x:c r="C71" s="5" t="str">
        <x:v>公会App-直播记录模块</x:v>
      </x:c>
      <x:c r="D71" s="5" t="str">
        <x:v>直播场次详情</x:v>
      </x:c>
      <x:c r="E71" s="5" t="str">
        <x:v>功能需求</x:v>
      </x:c>
      <x:c r="F71" s="5" t="str">
        <x:v>P1</x:v>
      </x:c>
      <x:c r="G71" s="5" t="str">
        <x:v>验证直播场次详情的直播主题</x:v>
      </x:c>
      <x:c r="H71" s="5" t="str">
        <x:v>直播主题展示</x:v>
      </x:c>
      <x:c r="I71" s="5" t="str">
        <x:v>1. 公会长已进入场次 S-1001 的直播场次详情
2. 场次 S-1001 数据已按用例备注来源准备</x:v>
      </x:c>
      <x:c r="J71" s="5" t="str">
        <x:v>1. 查看场次详情区域</x:v>
      </x:c>
      <x:c r="K71" s="5" t="str">
        <x:v>直播主题显示“流行金曲夜”</x:v>
      </x:c>
      <x:c r="L71" s="5" t="str"/>
      <x:c r="M71" s="5" t="str">
        <x:v>未测</x:v>
      </x:c>
      <x:c r="N71" s="5" t="str"/>
      <x:c r="O71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2" ht="139.5" customHeight="1">
      <x:c r="A72" s="5" t="n">
        <x:v>71</x:v>
      </x:c>
      <x:c r="B72" s="5" t="str">
        <x:v>GREC-071</x:v>
      </x:c>
      <x:c r="C72" s="5" t="str">
        <x:v>公会App-直播记录模块</x:v>
      </x:c>
      <x:c r="D72" s="5" t="str">
        <x:v>直播场次详情</x:v>
      </x:c>
      <x:c r="E72" s="5" t="str">
        <x:v>功能需求</x:v>
      </x:c>
      <x:c r="F72" s="5" t="str">
        <x:v>P1</x:v>
      </x:c>
      <x:c r="G72" s="5" t="str">
        <x:v>验证直播场次详情的场次 ID</x:v>
      </x:c>
      <x:c r="H72" s="5" t="str">
        <x:v>场次 ID展示</x:v>
      </x:c>
      <x:c r="I72" s="5" t="str">
        <x:v>1. 公会长已进入场次 S-1001 的直播场次详情
2. 场次 S-1001 数据已按用例备注来源准备</x:v>
      </x:c>
      <x:c r="J72" s="5" t="str">
        <x:v>1. 查看场次详情区域</x:v>
      </x:c>
      <x:c r="K72" s="5" t="str">
        <x:v>场次 ID 显示“S-1001”</x:v>
      </x:c>
      <x:c r="L72" s="5" t="str"/>
      <x:c r="M72" s="5" t="str">
        <x:v>未测</x:v>
      </x:c>
      <x:c r="N72" s="5" t="str"/>
      <x:c r="O72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3" ht="139.5" customHeight="1">
      <x:c r="A73" s="5" t="n">
        <x:v>72</x:v>
      </x:c>
      <x:c r="B73" s="5" t="str">
        <x:v>GREC-072</x:v>
      </x:c>
      <x:c r="C73" s="5" t="str">
        <x:v>公会App-直播记录模块</x:v>
      </x:c>
      <x:c r="D73" s="5" t="str">
        <x:v>直播场次详情</x:v>
      </x:c>
      <x:c r="E73" s="5" t="str">
        <x:v>功能需求</x:v>
      </x:c>
      <x:c r="F73" s="5" t="str">
        <x:v>P1</x:v>
      </x:c>
      <x:c r="G73" s="5" t="str">
        <x:v>验证直播场次详情的主播名称</x:v>
      </x:c>
      <x:c r="H73" s="5" t="str">
        <x:v>主播名称展示</x:v>
      </x:c>
      <x:c r="I73" s="5" t="str">
        <x:v>1. 公会长已进入场次 S-1001 的直播场次详情
2. 场次 S-1001 数据已按用例备注来源准备</x:v>
      </x:c>
      <x:c r="J73" s="5" t="str">
        <x:v>1. 查看场次详情区域</x:v>
      </x:c>
      <x:c r="K73" s="5" t="str">
        <x:v>主播名称显示“Sari”</x:v>
      </x:c>
      <x:c r="L73" s="5" t="str"/>
      <x:c r="M73" s="5" t="str">
        <x:v>未测</x:v>
      </x:c>
      <x:c r="N73" s="5" t="str"/>
      <x:c r="O73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4" ht="139.5" customHeight="1">
      <x:c r="A74" s="5" t="n">
        <x:v>73</x:v>
      </x:c>
      <x:c r="B74" s="5" t="str">
        <x:v>GREC-073</x:v>
      </x:c>
      <x:c r="C74" s="5" t="str">
        <x:v>公会App-直播记录模块</x:v>
      </x:c>
      <x:c r="D74" s="5" t="str">
        <x:v>直播场次详情</x:v>
      </x:c>
      <x:c r="E74" s="5" t="str">
        <x:v>功能需求</x:v>
      </x:c>
      <x:c r="F74" s="5" t="str">
        <x:v>P1</x:v>
      </x:c>
      <x:c r="G74" s="5" t="str">
        <x:v>验证直播场次详情的主播 ID</x:v>
      </x:c>
      <x:c r="H74" s="5" t="str">
        <x:v>主播 ID展示</x:v>
      </x:c>
      <x:c r="I74" s="5" t="str">
        <x:v>1. 公会长已进入场次 S-1001 的直播场次详情
2. 场次 S-1001 数据已按用例备注来源准备</x:v>
      </x:c>
      <x:c r="J74" s="5" t="str">
        <x:v>1. 查看场次详情区域</x:v>
      </x:c>
      <x:c r="K74" s="5" t="str">
        <x:v>主播 ID 显示“H102938”</x:v>
      </x:c>
      <x:c r="L74" s="5" t="str"/>
      <x:c r="M74" s="5" t="str">
        <x:v>未测</x:v>
      </x:c>
      <x:c r="N74" s="5" t="str"/>
      <x:c r="O74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5" ht="139.5" customHeight="1">
      <x:c r="A75" s="5" t="n">
        <x:v>74</x:v>
      </x:c>
      <x:c r="B75" s="5" t="str">
        <x:v>GREC-074</x:v>
      </x:c>
      <x:c r="C75" s="5" t="str">
        <x:v>公会App-直播记录模块</x:v>
      </x:c>
      <x:c r="D75" s="5" t="str">
        <x:v>直播场次详情</x:v>
      </x:c>
      <x:c r="E75" s="5" t="str">
        <x:v>功能需求</x:v>
      </x:c>
      <x:c r="F75" s="5" t="str">
        <x:v>P1</x:v>
      </x:c>
      <x:c r="G75" s="5" t="str">
        <x:v>验证直播场次详情的开播时间</x:v>
      </x:c>
      <x:c r="H75" s="5" t="str">
        <x:v>开播时间展示</x:v>
      </x:c>
      <x:c r="I75" s="5" t="str">
        <x:v>1. 公会长已进入场次 S-1001 的直播场次详情
2. 场次 S-1001 数据已按用例备注来源准备</x:v>
      </x:c>
      <x:c r="J75" s="5" t="str">
        <x:v>1. 查看场次详情区域</x:v>
      </x:c>
      <x:c r="K75" s="5" t="str">
        <x:v>开播时间显示“15/8/2026 19.20”</x:v>
      </x:c>
      <x:c r="L75" s="5" t="str"/>
      <x:c r="M75" s="5" t="str">
        <x:v>未测</x:v>
      </x:c>
      <x:c r="N75" s="5" t="str"/>
      <x:c r="O75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6" ht="139.5" customHeight="1">
      <x:c r="A76" s="5" t="n">
        <x:v>75</x:v>
      </x:c>
      <x:c r="B76" s="5" t="str">
        <x:v>GREC-075</x:v>
      </x:c>
      <x:c r="C76" s="5" t="str">
        <x:v>公会App-直播记录模块</x:v>
      </x:c>
      <x:c r="D76" s="5" t="str">
        <x:v>直播场次详情</x:v>
      </x:c>
      <x:c r="E76" s="5" t="str">
        <x:v>功能需求</x:v>
      </x:c>
      <x:c r="F76" s="5" t="str">
        <x:v>P1</x:v>
      </x:c>
      <x:c r="G76" s="5" t="str">
        <x:v>验证直播场次详情的直播时长</x:v>
      </x:c>
      <x:c r="H76" s="5" t="str">
        <x:v>直播时长展示</x:v>
      </x:c>
      <x:c r="I76" s="5" t="str">
        <x:v>1. 公会长已进入场次 S-1001 的直播场次详情
2. 场次 S-1001 数据已按用例备注来源准备</x:v>
      </x:c>
      <x:c r="J76" s="5" t="str">
        <x:v>1. 查看场次详情区域</x:v>
      </x:c>
      <x:c r="K76" s="5" t="str">
        <x:v>直播时长显示“1h 51m”</x:v>
      </x:c>
      <x:c r="L76" s="5" t="str"/>
      <x:c r="M76" s="5" t="str">
        <x:v>未测</x:v>
      </x:c>
      <x:c r="N76" s="5" t="str"/>
      <x:c r="O76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7" ht="139.5" customHeight="1">
      <x:c r="A77" s="5" t="n">
        <x:v>76</x:v>
      </x:c>
      <x:c r="B77" s="5" t="str">
        <x:v>GREC-076</x:v>
      </x:c>
      <x:c r="C77" s="5" t="str">
        <x:v>公会App-直播记录模块</x:v>
      </x:c>
      <x:c r="D77" s="5" t="str">
        <x:v>直播场次详情</x:v>
      </x:c>
      <x:c r="E77" s="5" t="str">
        <x:v>功能需求</x:v>
      </x:c>
      <x:c r="F77" s="5" t="str">
        <x:v>P1</x:v>
      </x:c>
      <x:c r="G77" s="5" t="str">
        <x:v>验证直播场次详情的观众数量</x:v>
      </x:c>
      <x:c r="H77" s="5" t="str">
        <x:v>观众数量展示</x:v>
      </x:c>
      <x:c r="I77" s="5" t="str">
        <x:v>1. 公会长已进入场次 S-1001 的直播场次详情
2. 场次 S-1001 数据已按用例备注来源准备</x:v>
      </x:c>
      <x:c r="J77" s="5" t="str">
        <x:v>1. 查看场次详情区域</x:v>
      </x:c>
      <x:c r="K77" s="5" t="str">
        <x:v>观众数量显示 10,055</x:v>
      </x:c>
      <x:c r="L77" s="5" t="str"/>
      <x:c r="M77" s="5" t="str">
        <x:v>未测</x:v>
      </x:c>
      <x:c r="N77" s="5" t="str"/>
      <x:c r="O77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8" ht="139.5" customHeight="1">
      <x:c r="A78" s="5" t="n">
        <x:v>77</x:v>
      </x:c>
      <x:c r="B78" s="5" t="str">
        <x:v>GREC-077</x:v>
      </x:c>
      <x:c r="C78" s="5" t="str">
        <x:v>公会App-直播记录模块</x:v>
      </x:c>
      <x:c r="D78" s="5" t="str">
        <x:v>直播场次详情</x:v>
      </x:c>
      <x:c r="E78" s="5" t="str">
        <x:v>功能需求</x:v>
      </x:c>
      <x:c r="F78" s="5" t="str">
        <x:v>P1</x:v>
      </x:c>
      <x:c r="G78" s="5" t="str">
        <x:v>验证直播场次详情的送礼观众</x:v>
      </x:c>
      <x:c r="H78" s="5" t="str">
        <x:v>送礼观众展示</x:v>
      </x:c>
      <x:c r="I78" s="5" t="str">
        <x:v>1. 公会长已进入场次 S-1001 的直播场次详情
2. 场次 S-1001 数据已按用例备注来源准备</x:v>
      </x:c>
      <x:c r="J78" s="5" t="str">
        <x:v>1. 查看场次详情区域</x:v>
      </x:c>
      <x:c r="K78" s="5" t="str">
        <x:v>送礼观众显示 120</x:v>
      </x:c>
      <x:c r="L78" s="5" t="str"/>
      <x:c r="M78" s="5" t="str">
        <x:v>未测</x:v>
      </x:c>
      <x:c r="N78" s="5" t="str"/>
      <x:c r="O78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79" ht="139.5" customHeight="1">
      <x:c r="A79" s="5" t="n">
        <x:v>78</x:v>
      </x:c>
      <x:c r="B79" s="5" t="str">
        <x:v>GREC-078</x:v>
      </x:c>
      <x:c r="C79" s="5" t="str">
        <x:v>公会App-直播记录模块</x:v>
      </x:c>
      <x:c r="D79" s="5" t="str">
        <x:v>直播场次详情</x:v>
      </x:c>
      <x:c r="E79" s="5" t="str">
        <x:v>功能需求</x:v>
      </x:c>
      <x:c r="F79" s="5" t="str">
        <x:v>P1</x:v>
      </x:c>
      <x:c r="G79" s="5" t="str">
        <x:v>验证直播场次详情的礼物数量</x:v>
      </x:c>
      <x:c r="H79" s="5" t="str">
        <x:v>礼物数量展示</x:v>
      </x:c>
      <x:c r="I79" s="5" t="str">
        <x:v>1. 公会长已进入场次 S-1001 的直播场次详情
2. 场次 S-1001 数据已按用例备注来源准备</x:v>
      </x:c>
      <x:c r="J79" s="5" t="str">
        <x:v>1. 查看场次详情区域</x:v>
      </x:c>
      <x:c r="K79" s="5" t="str">
        <x:v>礼物数量显示 369</x:v>
      </x:c>
      <x:c r="L79" s="5" t="str"/>
      <x:c r="M79" s="5" t="str">
        <x:v>未测</x:v>
      </x:c>
      <x:c r="N79" s="5" t="str"/>
      <x:c r="O79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0" ht="139.5" customHeight="1">
      <x:c r="A80" s="5" t="n">
        <x:v>79</x:v>
      </x:c>
      <x:c r="B80" s="5" t="str">
        <x:v>GREC-079</x:v>
      </x:c>
      <x:c r="C80" s="5" t="str">
        <x:v>公会App-直播记录模块</x:v>
      </x:c>
      <x:c r="D80" s="5" t="str">
        <x:v>直播场次详情</x:v>
      </x:c>
      <x:c r="E80" s="5" t="str">
        <x:v>功能需求</x:v>
      </x:c>
      <x:c r="F80" s="5" t="str">
        <x:v>P1</x:v>
      </x:c>
      <x:c r="G80" s="5" t="str">
        <x:v>验证直播场次详情的礼物收益</x:v>
      </x:c>
      <x:c r="H80" s="5" t="str">
        <x:v>礼物收益展示</x:v>
      </x:c>
      <x:c r="I80" s="5" t="str">
        <x:v>1. 公会长已进入场次 S-1001 的直播场次详情
2. 场次 S-1001 数据已按用例备注来源准备</x:v>
      </x:c>
      <x:c r="J80" s="5" t="str">
        <x:v>1. 查看场次详情区域</x:v>
      </x:c>
      <x:c r="K80" s="5" t="str">
        <x:v>礼物收益显示 16,967 金币</x:v>
      </x:c>
      <x:c r="L80" s="5" t="str"/>
      <x:c r="M80" s="5" t="str">
        <x:v>未测</x:v>
      </x:c>
      <x:c r="N80" s="5" t="str"/>
      <x:c r="O80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1" ht="139.5" customHeight="1">
      <x:c r="A81" s="5" t="n">
        <x:v>80</x:v>
      </x:c>
      <x:c r="B81" s="5" t="str">
        <x:v>GREC-080</x:v>
      </x:c>
      <x:c r="C81" s="5" t="str">
        <x:v>公会App-直播记录模块</x:v>
      </x:c>
      <x:c r="D81" s="5" t="str">
        <x:v>送礼列表</x:v>
      </x:c>
      <x:c r="E81" s="5" t="str">
        <x:v>功能需求</x:v>
      </x:c>
      <x:c r="F81" s="5" t="str">
        <x:v>P1</x:v>
      </x:c>
      <x:c r="G81" s="5" t="str">
        <x:v>验证送礼列表的赠送时间</x:v>
      </x:c>
      <x:c r="H81" s="5" t="str">
        <x:v>送礼列表赠送时间</x:v>
      </x:c>
      <x:c r="I81" s="5" t="str">
        <x:v>1. 场次 S-1001 存在一条 Rose 送礼记录
2. 该记录数据已按用例备注来源准备</x:v>
      </x:c>
      <x:c r="J81" s="5" t="str">
        <x:v>1. 进入场次 S-1001 的直播场次详情
2. 查看 Rose 送礼记录</x:v>
      </x:c>
      <x:c r="K81" s="5" t="str">
        <x:v>送礼记录显示赠送时间“15/8/2026 19.25”</x:v>
      </x:c>
      <x:c r="L81" s="5" t="str"/>
      <x:c r="M81" s="5" t="str">
        <x:v>未测</x:v>
      </x:c>
      <x:c r="N81" s="5" t="str"/>
      <x:c r="O81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2" ht="139.5" customHeight="1">
      <x:c r="A82" s="5" t="n">
        <x:v>81</x:v>
      </x:c>
      <x:c r="B82" s="5" t="str">
        <x:v>GREC-081</x:v>
      </x:c>
      <x:c r="C82" s="5" t="str">
        <x:v>公会App-直播记录模块</x:v>
      </x:c>
      <x:c r="D82" s="5" t="str">
        <x:v>送礼列表</x:v>
      </x:c>
      <x:c r="E82" s="5" t="str">
        <x:v>功能需求</x:v>
      </x:c>
      <x:c r="F82" s="5" t="str">
        <x:v>P1</x:v>
      </x:c>
      <x:c r="G82" s="5" t="str">
        <x:v>验证送礼列表的礼物名称</x:v>
      </x:c>
      <x:c r="H82" s="5" t="str">
        <x:v>送礼列表礼物名称</x:v>
      </x:c>
      <x:c r="I82" s="5" t="str">
        <x:v>1. 场次 S-1001 存在一条 Rose 送礼记录
2. 该记录数据已按用例备注来源准备</x:v>
      </x:c>
      <x:c r="J82" s="5" t="str">
        <x:v>1. 进入场次 S-1001 的直播场次详情
2. 查看 Rose 送礼记录</x:v>
      </x:c>
      <x:c r="K82" s="5" t="str">
        <x:v>送礼记录显示礼物名称“Rose”</x:v>
      </x:c>
      <x:c r="L82" s="5" t="str"/>
      <x:c r="M82" s="5" t="str">
        <x:v>未测</x:v>
      </x:c>
      <x:c r="N82" s="5" t="str"/>
      <x:c r="O82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3" ht="139.5" customHeight="1">
      <x:c r="A83" s="5" t="n">
        <x:v>82</x:v>
      </x:c>
      <x:c r="B83" s="5" t="str">
        <x:v>GREC-082</x:v>
      </x:c>
      <x:c r="C83" s="5" t="str">
        <x:v>公会App-直播记录模块</x:v>
      </x:c>
      <x:c r="D83" s="5" t="str">
        <x:v>送礼列表</x:v>
      </x:c>
      <x:c r="E83" s="5" t="str">
        <x:v>功能需求</x:v>
      </x:c>
      <x:c r="F83" s="5" t="str">
        <x:v>P1</x:v>
      </x:c>
      <x:c r="G83" s="5" t="str">
        <x:v>验证送礼列表的金币</x:v>
      </x:c>
      <x:c r="H83" s="5" t="str">
        <x:v>送礼列表金币</x:v>
      </x:c>
      <x:c r="I83" s="5" t="str">
        <x:v>1. 场次 S-1001 存在一条 Rose 送礼记录
2. 该记录数据已按用例备注来源准备</x:v>
      </x:c>
      <x:c r="J83" s="5" t="str">
        <x:v>1. 进入场次 S-1001 的直播场次详情
2. 查看 Rose 送礼记录</x:v>
      </x:c>
      <x:c r="K83" s="5" t="str">
        <x:v>送礼记录显示 300 金币</x:v>
      </x:c>
      <x:c r="L83" s="5" t="str"/>
      <x:c r="M83" s="5" t="str">
        <x:v>未测</x:v>
      </x:c>
      <x:c r="N83" s="5" t="str"/>
      <x:c r="O83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4" ht="115.5" customHeight="1">
      <x:c r="A84" s="5" t="n">
        <x:v>83</x:v>
      </x:c>
      <x:c r="B84" s="5" t="str">
        <x:v>GREC-083</x:v>
      </x:c>
      <x:c r="C84" s="5" t="str">
        <x:v>公会App-直播记录模块</x:v>
      </x:c>
      <x:c r="D84" s="5" t="str">
        <x:v>送礼详情</x:v>
      </x:c>
      <x:c r="E84" s="5" t="str">
        <x:v>功能需求</x:v>
      </x:c>
      <x:c r="F84" s="5" t="str">
        <x:v>P1</x:v>
      </x:c>
      <x:c r="G84" s="5" t="str">
        <x:v>验证打开送礼详情</x:v>
      </x:c>
      <x:c r="H84" s="5" t="str">
        <x:v>送礼详情入口</x:v>
      </x:c>
      <x:c r="I84" s="5" t="str">
        <x:v>1. 直播场次详情存在一条 Rose 送礼记录</x:v>
      </x:c>
      <x:c r="J84" s="5" t="str">
        <x:v>1. 点击 Rose 送礼记录</x:v>
      </x:c>
      <x:c r="K84" s="5" t="str">
        <x:v>页面打开标题为“送礼详情”的详情面板</x:v>
      </x:c>
      <x:c r="L84" s="5" t="str"/>
      <x:c r="M84" s="5" t="str">
        <x:v>未测</x:v>
      </x:c>
      <x:c r="N84" s="5" t="str"/>
      <x:c r="O84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同步追溯：work/liveshow-guild-live-records/prototype-context-sync-result.json；RSL-0004
5. 质量检查：最小前置条件、单一业务分支、单一可观察预期结果</x:v>
      </x:c>
    </x:row>
    <x:row r="85" ht="139.5" customHeight="1">
      <x:c r="A85" s="5" t="n">
        <x:v>84</x:v>
      </x:c>
      <x:c r="B85" s="5" t="str">
        <x:v>GREC-084</x:v>
      </x:c>
      <x:c r="C85" s="5" t="str">
        <x:v>公会App-直播记录模块</x:v>
      </x:c>
      <x:c r="D85" s="5" t="str">
        <x:v>送礼详情</x:v>
      </x:c>
      <x:c r="E85" s="5" t="str">
        <x:v>功能需求</x:v>
      </x:c>
      <x:c r="F85" s="5" t="str">
        <x:v>P1</x:v>
      </x:c>
      <x:c r="G85" s="5" t="str">
        <x:v>验证送礼详情的赠送时间</x:v>
      </x:c>
      <x:c r="H85" s="5" t="str">
        <x:v>送礼详情赠送时间</x:v>
      </x:c>
      <x:c r="I85" s="5" t="str">
        <x:v>1. 送礼详情面板已打开
2. Rose 送礼记录数据已按用例备注来源准备</x:v>
      </x:c>
      <x:c r="J85" s="5" t="str">
        <x:v>1. 查看送礼详情</x:v>
      </x:c>
      <x:c r="K85" s="5" t="str">
        <x:v>赠送时间显示“15/8/2026 19.25”</x:v>
      </x:c>
      <x:c r="L85" s="5" t="str"/>
      <x:c r="M85" s="5" t="str">
        <x:v>未测</x:v>
      </x:c>
      <x:c r="N85" s="5" t="str"/>
      <x:c r="O85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6" ht="139.5" customHeight="1">
      <x:c r="A86" s="5" t="n">
        <x:v>85</x:v>
      </x:c>
      <x:c r="B86" s="5" t="str">
        <x:v>GREC-085</x:v>
      </x:c>
      <x:c r="C86" s="5" t="str">
        <x:v>公会App-直播记录模块</x:v>
      </x:c>
      <x:c r="D86" s="5" t="str">
        <x:v>送礼详情</x:v>
      </x:c>
      <x:c r="E86" s="5" t="str">
        <x:v>功能需求</x:v>
      </x:c>
      <x:c r="F86" s="5" t="str">
        <x:v>P1</x:v>
      </x:c>
      <x:c r="G86" s="5" t="str">
        <x:v>验证送礼详情的礼物名称</x:v>
      </x:c>
      <x:c r="H86" s="5" t="str">
        <x:v>送礼详情礼物名称</x:v>
      </x:c>
      <x:c r="I86" s="5" t="str">
        <x:v>1. 送礼详情面板已打开
2. Rose 送礼记录数据已按用例备注来源准备</x:v>
      </x:c>
      <x:c r="J86" s="5" t="str">
        <x:v>1. 查看送礼详情</x:v>
      </x:c>
      <x:c r="K86" s="5" t="str">
        <x:v>礼物名称显示“Rose”</x:v>
      </x:c>
      <x:c r="L86" s="5" t="str"/>
      <x:c r="M86" s="5" t="str">
        <x:v>未测</x:v>
      </x:c>
      <x:c r="N86" s="5" t="str"/>
      <x:c r="O86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7" ht="139.5" customHeight="1">
      <x:c r="A87" s="5" t="n">
        <x:v>86</x:v>
      </x:c>
      <x:c r="B87" s="5" t="str">
        <x:v>GREC-086</x:v>
      </x:c>
      <x:c r="C87" s="5" t="str">
        <x:v>公会App-直播记录模块</x:v>
      </x:c>
      <x:c r="D87" s="5" t="str">
        <x:v>送礼详情</x:v>
      </x:c>
      <x:c r="E87" s="5" t="str">
        <x:v>功能需求</x:v>
      </x:c>
      <x:c r="F87" s="5" t="str">
        <x:v>P1</x:v>
      </x:c>
      <x:c r="G87" s="5" t="str">
        <x:v>验证送礼详情的消费金币</x:v>
      </x:c>
      <x:c r="H87" s="5" t="str">
        <x:v>送礼详情消费金币</x:v>
      </x:c>
      <x:c r="I87" s="5" t="str">
        <x:v>1. 送礼详情面板已打开
2. Rose 送礼记录数据已按用例备注来源准备</x:v>
      </x:c>
      <x:c r="J87" s="5" t="str">
        <x:v>1. 查看送礼详情</x:v>
      </x:c>
      <x:c r="K87" s="5" t="str">
        <x:v>消费金币显示 300</x:v>
      </x:c>
      <x:c r="L87" s="5" t="str"/>
      <x:c r="M87" s="5" t="str">
        <x:v>未测</x:v>
      </x:c>
      <x:c r="N87" s="5" t="str"/>
      <x:c r="O87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8" ht="139.5" customHeight="1">
      <x:c r="A88" s="5" t="n">
        <x:v>87</x:v>
      </x:c>
      <x:c r="B88" s="5" t="str">
        <x:v>GREC-087</x:v>
      </x:c>
      <x:c r="C88" s="5" t="str">
        <x:v>公会App-直播记录模块</x:v>
      </x:c>
      <x:c r="D88" s="5" t="str">
        <x:v>送礼详情</x:v>
      </x:c>
      <x:c r="E88" s="5" t="str">
        <x:v>功能需求</x:v>
      </x:c>
      <x:c r="F88" s="5" t="str">
        <x:v>P1</x:v>
      </x:c>
      <x:c r="G88" s="5" t="str">
        <x:v>验证送礼详情的礼物单价</x:v>
      </x:c>
      <x:c r="H88" s="5" t="str">
        <x:v>送礼详情礼物单价</x:v>
      </x:c>
      <x:c r="I88" s="5" t="str">
        <x:v>1. 送礼详情面板已打开
2. Rose 送礼记录数据已按用例备注来源准备</x:v>
      </x:c>
      <x:c r="J88" s="5" t="str">
        <x:v>1. 查看送礼详情</x:v>
      </x:c>
      <x:c r="K88" s="5" t="str">
        <x:v>礼物单价显示 100</x:v>
      </x:c>
      <x:c r="L88" s="5" t="str"/>
      <x:c r="M88" s="5" t="str">
        <x:v>未测</x:v>
      </x:c>
      <x:c r="N88" s="5" t="str"/>
      <x:c r="O88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89" ht="139.5" customHeight="1">
      <x:c r="A89" s="5" t="n">
        <x:v>88</x:v>
      </x:c>
      <x:c r="B89" s="5" t="str">
        <x:v>GREC-088</x:v>
      </x:c>
      <x:c r="C89" s="5" t="str">
        <x:v>公会App-直播记录模块</x:v>
      </x:c>
      <x:c r="D89" s="5" t="str">
        <x:v>送礼详情</x:v>
      </x:c>
      <x:c r="E89" s="5" t="str">
        <x:v>功能需求</x:v>
      </x:c>
      <x:c r="F89" s="5" t="str">
        <x:v>P1</x:v>
      </x:c>
      <x:c r="G89" s="5" t="str">
        <x:v>验证送礼详情的礼物类型</x:v>
      </x:c>
      <x:c r="H89" s="5" t="str">
        <x:v>送礼详情礼物类型</x:v>
      </x:c>
      <x:c r="I89" s="5" t="str">
        <x:v>1. 送礼详情面板已打开
2. Rose 送礼记录数据已按用例备注来源准备</x:v>
      </x:c>
      <x:c r="J89" s="5" t="str">
        <x:v>1. 查看送礼详情</x:v>
      </x:c>
      <x:c r="K89" s="5" t="str">
        <x:v>礼物类型显示“普通礼物”</x:v>
      </x:c>
      <x:c r="L89" s="5" t="str"/>
      <x:c r="M89" s="5" t="str">
        <x:v>未测</x:v>
      </x:c>
      <x:c r="N89" s="5" t="str"/>
      <x:c r="O89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90" ht="139.5" customHeight="1">
      <x:c r="A90" s="5" t="n">
        <x:v>89</x:v>
      </x:c>
      <x:c r="B90" s="5" t="str">
        <x:v>GREC-089</x:v>
      </x:c>
      <x:c r="C90" s="5" t="str">
        <x:v>公会App-直播记录模块</x:v>
      </x:c>
      <x:c r="D90" s="5" t="str">
        <x:v>送礼详情</x:v>
      </x:c>
      <x:c r="E90" s="5" t="str">
        <x:v>功能需求</x:v>
      </x:c>
      <x:c r="F90" s="5" t="str">
        <x:v>P1</x:v>
      </x:c>
      <x:c r="G90" s="5" t="str">
        <x:v>验证送礼详情的赠送数量</x:v>
      </x:c>
      <x:c r="H90" s="5" t="str">
        <x:v>送礼详情赠送数量</x:v>
      </x:c>
      <x:c r="I90" s="5" t="str">
        <x:v>1. 送礼详情面板已打开
2. Rose 送礼记录数据已按用例备注来源准备</x:v>
      </x:c>
      <x:c r="J90" s="5" t="str">
        <x:v>1. 查看送礼详情</x:v>
      </x:c>
      <x:c r="K90" s="5" t="str">
        <x:v>赠送数量显示 3</x:v>
      </x:c>
      <x:c r="L90" s="5" t="str"/>
      <x:c r="M90" s="5" t="str">
        <x:v>未测</x:v>
      </x:c>
      <x:c r="N90" s="5" t="str"/>
      <x:c r="O90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91" ht="139.5" customHeight="1">
      <x:c r="A91" s="5" t="n">
        <x:v>90</x:v>
      </x:c>
      <x:c r="B91" s="5" t="str">
        <x:v>GREC-090</x:v>
      </x:c>
      <x:c r="C91" s="5" t="str">
        <x:v>公会App-直播记录模块</x:v>
      </x:c>
      <x:c r="D91" s="5" t="str">
        <x:v>送礼详情</x:v>
      </x:c>
      <x:c r="E91" s="5" t="str">
        <x:v>功能需求</x:v>
      </x:c>
      <x:c r="F91" s="5" t="str">
        <x:v>P1</x:v>
      </x:c>
      <x:c r="G91" s="5" t="str">
        <x:v>验证送礼详情的用户名称</x:v>
      </x:c>
      <x:c r="H91" s="5" t="str">
        <x:v>送礼详情用户名称</x:v>
      </x:c>
      <x:c r="I91" s="5" t="str">
        <x:v>1. 送礼详情面板已打开
2. Rose 送礼记录数据已按用例备注来源准备</x:v>
      </x:c>
      <x:c r="J91" s="5" t="str">
        <x:v>1. 查看送礼详情</x:v>
      </x:c>
      <x:c r="K91" s="5" t="str">
        <x:v>用户名称显示“Dewi”</x:v>
      </x:c>
      <x:c r="L91" s="5" t="str"/>
      <x:c r="M91" s="5" t="str">
        <x:v>未测</x:v>
      </x:c>
      <x:c r="N91" s="5" t="str"/>
      <x:c r="O91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92" ht="139.5" customHeight="1">
      <x:c r="A92" s="5" t="n">
        <x:v>91</x:v>
      </x:c>
      <x:c r="B92" s="5" t="str">
        <x:v>GREC-091</x:v>
      </x:c>
      <x:c r="C92" s="5" t="str">
        <x:v>公会App-直播记录模块</x:v>
      </x:c>
      <x:c r="D92" s="5" t="str">
        <x:v>送礼详情</x:v>
      </x:c>
      <x:c r="E92" s="5" t="str">
        <x:v>功能需求</x:v>
      </x:c>
      <x:c r="F92" s="5" t="str">
        <x:v>P1</x:v>
      </x:c>
      <x:c r="G92" s="5" t="str">
        <x:v>验证送礼详情的用户 ID</x:v>
      </x:c>
      <x:c r="H92" s="5" t="str">
        <x:v>送礼详情用户 ID</x:v>
      </x:c>
      <x:c r="I92" s="5" t="str">
        <x:v>1. 送礼详情面板已打开
2. Rose 送礼记录数据已按用例备注来源准备</x:v>
      </x:c>
      <x:c r="J92" s="5" t="str">
        <x:v>1. 查看送礼详情</x:v>
      </x:c>
      <x:c r="K92" s="5" t="str">
        <x:v>用户 ID 显示“U900001”</x:v>
      </x:c>
      <x:c r="L92" s="5" t="str"/>
      <x:c r="M92" s="5" t="str">
        <x:v>未测</x:v>
      </x:c>
      <x:c r="N92" s="5" t="str"/>
      <x:c r="O92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93" ht="67.5" customHeight="1">
      <x:c r="A93" s="5" t="n">
        <x:v>92</x:v>
      </x:c>
      <x:c r="B93" s="5" t="str">
        <x:v>GREC-092</x:v>
      </x:c>
      <x:c r="C93" s="5" t="str">
        <x:v>公会App-直播记录模块</x:v>
      </x:c>
      <x:c r="D93" s="5" t="str">
        <x:v>送礼详情</x:v>
      </x:c>
      <x:c r="E93" s="5" t="str">
        <x:v>功能需求</x:v>
      </x:c>
      <x:c r="F93" s="5" t="str">
        <x:v>P2</x:v>
      </x:c>
      <x:c r="G93" s="5" t="str">
        <x:v>验证使用关闭按钮关闭送礼详情</x:v>
      </x:c>
      <x:c r="H93" s="5" t="str">
        <x:v>关闭按钮关闭详情</x:v>
      </x:c>
      <x:c r="I93" s="5" t="str">
        <x:v>1. 送礼详情面板已打开</x:v>
      </x:c>
      <x:c r="J93" s="5" t="str">
        <x:v>1. 点击送礼详情右上角关闭按钮</x:v>
      </x:c>
      <x:c r="K93" s="5" t="str">
        <x:v>送礼详情面板关闭</x:v>
      </x:c>
      <x:c r="L93" s="5" t="str"/>
      <x:c r="M93" s="5" t="str">
        <x:v>未测</x:v>
      </x:c>
      <x:c r="N93" s="5" t="str"/>
      <x:c r="O93" s="5" t="str">
        <x:v>1. 来源：prototype/pages/guild/data/guild-live-gift-detail.html；未连接真实后端动态验证
2. 同步追溯：work/liveshow-guild-live-records/prototype-context-sync-result.json；RSL-0004
3. 质量检查：最小前置条件、单一业务分支、单一可观察预期结果</x:v>
      </x:c>
    </x:row>
    <x:row r="94" ht="67.5" customHeight="1">
      <x:c r="A94" s="5" t="n">
        <x:v>93</x:v>
      </x:c>
      <x:c r="B94" s="5" t="str">
        <x:v>GREC-093</x:v>
      </x:c>
      <x:c r="C94" s="5" t="str">
        <x:v>公会App-直播记录模块</x:v>
      </x:c>
      <x:c r="D94" s="5" t="str">
        <x:v>送礼详情</x:v>
      </x:c>
      <x:c r="E94" s="5" t="str">
        <x:v>功能需求</x:v>
      </x:c>
      <x:c r="F94" s="5" t="str">
        <x:v>P2</x:v>
      </x:c>
      <x:c r="G94" s="5" t="str">
        <x:v>验证使用遮罩关闭送礼详情</x:v>
      </x:c>
      <x:c r="H94" s="5" t="str">
        <x:v>遮罩关闭详情</x:v>
      </x:c>
      <x:c r="I94" s="5" t="str">
        <x:v>1. 送礼详情面板已打开</x:v>
      </x:c>
      <x:c r="J94" s="5" t="str">
        <x:v>1. 点击送礼详情外的遮罩区域</x:v>
      </x:c>
      <x:c r="K94" s="5" t="str">
        <x:v>送礼详情面板关闭</x:v>
      </x:c>
      <x:c r="L94" s="5" t="str"/>
      <x:c r="M94" s="5" t="str">
        <x:v>未测</x:v>
      </x:c>
      <x:c r="N94" s="5" t="str"/>
      <x:c r="O94" s="5" t="str">
        <x:v>1. 来源：prototype/pages/guild/data/guild-live-gift-detail.html；未连接真实后端动态验证
2. 同步追溯：work/liveshow-guild-live-records/prototype-context-sync-result.json；RSL-0004
3. 质量检查：最小前置条件、单一业务分支、单一可观察预期结果</x:v>
      </x:c>
    </x:row>
    <x:row r="95" ht="67.5" customHeight="1">
      <x:c r="A95" s="5" t="n">
        <x:v>94</x:v>
      </x:c>
      <x:c r="B95" s="5" t="str">
        <x:v>GREC-094</x:v>
      </x:c>
      <x:c r="C95" s="5" t="str">
        <x:v>公会App-直播记录模块</x:v>
      </x:c>
      <x:c r="D95" s="5" t="str">
        <x:v>送礼详情</x:v>
      </x:c>
      <x:c r="E95" s="5" t="str">
        <x:v>功能需求</x:v>
      </x:c>
      <x:c r="F95" s="5" t="str">
        <x:v>P2</x:v>
      </x:c>
      <x:c r="G95" s="5" t="str">
        <x:v>验证使用Escape关闭送礼详情</x:v>
      </x:c>
      <x:c r="H95" s="5" t="str">
        <x:v>Escape关闭详情</x:v>
      </x:c>
      <x:c r="I95" s="5" t="str">
        <x:v>1. 送礼详情面板已打开</x:v>
      </x:c>
      <x:c r="J95" s="5" t="str">
        <x:v>1. 按 Escape 键</x:v>
      </x:c>
      <x:c r="K95" s="5" t="str">
        <x:v>送礼详情面板关闭</x:v>
      </x:c>
      <x:c r="L95" s="5" t="str"/>
      <x:c r="M95" s="5" t="str">
        <x:v>未测</x:v>
      </x:c>
      <x:c r="N95" s="5" t="str"/>
      <x:c r="O95" s="5" t="str">
        <x:v>1. 来源：prototype/pages/guild/data/guild-live-gift-detail.html；未连接真实后端动态验证
2. 同步追溯：work/liveshow-guild-live-records/prototype-context-sync-result.json；RSL-0004
3. 质量检查：最小前置条件、单一业务分支、单一可观察预期结果</x:v>
      </x:c>
    </x:row>
    <x:row r="96" ht="115.5" customHeight="1">
      <x:c r="A96" s="5" t="n">
        <x:v>95</x:v>
      </x:c>
      <x:c r="B96" s="5" t="str">
        <x:v>GREC-095</x:v>
      </x:c>
      <x:c r="C96" s="5" t="str">
        <x:v>公会App-直播记录模块</x:v>
      </x:c>
      <x:c r="D96" s="5" t="str">
        <x:v>送礼详情</x:v>
      </x:c>
      <x:c r="E96" s="5" t="str">
        <x:v>逻辑校验</x:v>
      </x:c>
      <x:c r="F96" s="5" t="str">
        <x:v>P1</x:v>
      </x:c>
      <x:c r="G96" s="5" t="str">
        <x:v>验证礼物消费金币计算</x:v>
      </x:c>
      <x:c r="H96" s="5" t="str">
        <x:v>礼物消费金额</x:v>
      </x:c>
      <x:c r="I96" s="5" t="str">
        <x:v>1. Rose 礼物单价为 100 金币
2. 本次赠送数量为 3</x:v>
      </x:c>
      <x:c r="J96" s="5" t="str">
        <x:v>1. 打开 Rose 送礼详情
2. 查看消费金币</x:v>
      </x:c>
      <x:c r="K96" s="5" t="str">
        <x:v>消费金币 = 100 × 3 = 300</x:v>
      </x:c>
      <x:c r="L96" s="5" t="str"/>
      <x:c r="M96" s="5" t="str">
        <x:v>未测</x:v>
      </x:c>
      <x:c r="N96" s="5" t="str"/>
      <x:c r="O96" s="5" t="str">
        <x:v>1. 来源：prototype/assets/annotations.js 的公会直播记录、场次详情和主播多选批注
2. 来源：prototype/pages/guild/data/guild-live-gift-detail.html；未连接真实后端动态验证
3. 来源：prototype/assets/guild-data-model.js 的公会主播、日期、场次和送礼数据结构
4. 同步追溯：work/liveshow-guild-live-records/prototype-context-sync-result.json；RSL-0004
5. 质量检查：最小前置条件、单一业务分支、单一可观察预期结果</x:v>
      </x:c>
    </x:row>
    <x:row r="97" ht="139.5" customHeight="1">
      <x:c r="A97" s="5" t="n">
        <x:v>96</x:v>
      </x:c>
      <x:c r="B97" s="5" t="str">
        <x:v>GREC-096</x:v>
      </x:c>
      <x:c r="C97" s="5" t="str">
        <x:v>公会App-直播记录模块</x:v>
      </x:c>
      <x:c r="D97" s="5" t="str">
        <x:v>直播场次详情</x:v>
      </x:c>
      <x:c r="E97" s="5" t="str">
        <x:v>逻辑校验</x:v>
      </x:c>
      <x:c r="F97" s="5" t="str">
        <x:v>P1</x:v>
      </x:c>
      <x:c r="G97" s="5" t="str">
        <x:v>验证送礼列表金额与场次收益一致</x:v>
      </x:c>
      <x:c r="H97" s="5" t="str">
        <x:v>场次礼物收益对账</x:v>
      </x:c>
      <x:c r="I97" s="5" t="str">
        <x:v>1. 场次 S-1002 仅有 Rose 300 金币和 Crown 500 金币两条送礼记录
2. 场次收益定义为本场礼物金币收益总和</x:v>
      </x:c>
      <x:c r="J97" s="5" t="str">
        <x:v>1. 进入场次 S-1002 的直播场次详情
2. 查看礼物收益</x:v>
      </x:c>
      <x:c r="K97" s="5" t="str">
        <x:v>礼物收益 = 300 + 500 = 800</x:v>
      </x:c>
      <x:c r="L97" s="5" t="str"/>
      <x:c r="M97" s="5" t="str">
        <x:v>未测</x:v>
      </x:c>
      <x:c r="N97" s="5" t="str"/>
      <x:c r="O97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98" ht="139.5" customHeight="1">
      <x:c r="A98" s="5" t="n">
        <x:v>97</x:v>
      </x:c>
      <x:c r="B98" s="5" t="str">
        <x:v>GREC-097</x:v>
      </x:c>
      <x:c r="C98" s="5" t="str">
        <x:v>公会App-直播记录模块</x:v>
      </x:c>
      <x:c r="D98" s="5" t="str">
        <x:v>直播场次详情</x:v>
      </x:c>
      <x:c r="E98" s="5" t="str">
        <x:v>逻辑校验</x:v>
      </x:c>
      <x:c r="F98" s="5" t="str">
        <x:v>P1</x:v>
      </x:c>
      <x:c r="G98" s="5" t="str">
        <x:v>验证返回后保留主播筛选</x:v>
      </x:c>
      <x:c r="H98" s="5" t="str">
        <x:v>返回保留主播条件</x:v>
      </x:c>
      <x:c r="I98" s="5" t="str">
        <x:v>1. 直播记录当前仅选择主播 Sari
2. 已从 Sari 的场次进入直播场次详情</x:v>
      </x:c>
      <x:c r="J98" s="5" t="str">
        <x:v>1. 点击页面左上角返回按钮</x:v>
      </x:c>
      <x:c r="K98" s="5" t="str">
        <x:v>直播记录的主播筛选仍显示 Sari、H102938 和已选 1 人</x:v>
      </x:c>
      <x:c r="L98" s="5" t="str"/>
      <x:c r="M98" s="5" t="str">
        <x:v>未测</x:v>
      </x:c>
      <x:c r="N98" s="5" t="str"/>
      <x:c r="O98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</x:v>
      </x:c>
    </x:row>
    <x:row r="99" ht="139.5" customHeight="1">
      <x:c r="A99" s="5" t="n">
        <x:v>98</x:v>
      </x:c>
      <x:c r="B99" s="5" t="str">
        <x:v>GREC-098</x:v>
      </x:c>
      <x:c r="C99" s="5" t="str">
        <x:v>公会App-直播记录模块</x:v>
      </x:c>
      <x:c r="D99" s="5" t="str">
        <x:v>直播场次详情</x:v>
      </x:c>
      <x:c r="E99" s="5" t="str">
        <x:v>逻辑校验</x:v>
      </x:c>
      <x:c r="F99" s="5" t="str">
        <x:v>P1</x:v>
      </x:c>
      <x:c r="G99" s="5" t="str">
        <x:v>验证返回后保留日期筛选</x:v>
      </x:c>
      <x:c r="H99" s="5" t="str">
        <x:v>返回保留日期条件</x:v>
      </x:c>
      <x:c r="I99" s="5" t="str">
        <x:v>1. 直播记录日期范围为 10/8/2026～15/8/2026
2. 已从该范围内场次进入直播场次详情</x:v>
      </x:c>
      <x:c r="J99" s="5" t="str">
        <x:v>1. 点击页面左上角返回按钮</x:v>
      </x:c>
      <x:c r="K99" s="5" t="str">
        <x:v>直播记录的日期范围仍显示 10/8/2026～15/8/2026</x:v>
      </x:c>
      <x:c r="L99" s="5" t="str"/>
      <x:c r="M99" s="5" t="str">
        <x:v>未测</x:v>
      </x:c>
      <x:c r="N99" s="5" t="str"/>
      <x:c r="O99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</x:v>
      </x:c>
    </x:row>
    <x:row r="100" ht="141" customHeight="1">
      <x:c r="A100" s="5" t="n">
        <x:v>99</x:v>
      </x:c>
      <x:c r="B100" s="5" t="str">
        <x:v>GREC-099</x:v>
      </x:c>
      <x:c r="C100" s="5" t="str">
        <x:v>公会App-直播记录模块</x:v>
      </x:c>
      <x:c r="D100" s="5" t="str">
        <x:v>全部直播记录</x:v>
      </x:c>
      <x:c r="E100" s="5" t="str">
        <x:v>逻辑校验</x:v>
      </x:c>
      <x:c r="F100" s="5" t="str">
        <x:v>P1</x:v>
      </x:c>
      <x:c r="G100" s="5" t="str">
        <x:v>验证全部直播记录按主播汇总直播次数</x:v>
      </x:c>
      <x:c r="H100" s="5" t="str">
        <x:v>主播直播次数汇总</x:v>
      </x:c>
      <x:c r="I100" s="5" t="str">
        <x:v>1. 测试范围内主播 Sari 有 2 场直播
2. 测试范围内主播 Dewi 有 1 场直播</x:v>
      </x:c>
      <x:c r="J100" s="5" t="str">
        <x:v>1. 进入全部直播记录页
2. 查看主播 Sari 的汇总行</x:v>
      </x:c>
      <x:c r="K100" s="5" t="str">
        <x:v>主播 Sari 的直播次数 = 2</x:v>
      </x:c>
      <x:c r="L100" s="5" t="str"/>
      <x:c r="M100" s="5" t="str">
        <x:v>未测</x:v>
      </x:c>
      <x:c r="N100" s="5" t="str"/>
      <x:c r="O100" s="5" t="str">
        <x:v>1. 来源：context/02-公会App-项目需求清单.md（2026-08-31 按原型同步，RSL-0004）
2. 来源：prototype/assets/annotations.js 的公会直播记录、场次详情和主播多选批注
3. 来源：prototype/pages/guild/data/guild-all-live.html 与 prototype/assets/guild-record-overviews.js；未连接真实后端动态验证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</x:v>
      </x:c>
    </x:row>
    <x:row r="101" ht="127.5" customHeight="1">
      <x:c r="A101" s="5" t="n">
        <x:v>100</x:v>
      </x:c>
      <x:c r="B101" s="5" t="str">
        <x:v>GREC-100</x:v>
      </x:c>
      <x:c r="C101" s="5" t="str">
        <x:v>公会App-直播记录模块</x:v>
      </x:c>
      <x:c r="D101" s="5" t="str">
        <x:v>全部直播记录</x:v>
      </x:c>
      <x:c r="E101" s="5" t="str">
        <x:v>逻辑校验</x:v>
      </x:c>
      <x:c r="F101" s="5" t="str">
        <x:v>P1</x:v>
      </x:c>
      <x:c r="G101" s="5" t="str">
        <x:v>验证全部直播记录按主播汇总有效天</x:v>
      </x:c>
      <x:c r="H101" s="5" t="str">
        <x:v>主播有效天汇总</x:v>
      </x:c>
      <x:c r="I101" s="5" t="str">
        <x:v>1. 有效天定义为主播所属自然日累计直播时长不少于 180 分钟
2. 主播 Sari 在测试范围内有 1 天时长 206 分钟和 1 天时长 178 分钟</x:v>
      </x:c>
      <x:c r="J101" s="5" t="str">
        <x:v>1. 进入全部直播记录页
2. 查看主播 Sari 的有效天</x:v>
      </x:c>
      <x:c r="K101" s="5" t="str">
        <x:v>主播 Sari 的有效天 = 1</x:v>
      </x:c>
      <x:c r="L101" s="5" t="str"/>
      <x:c r="M101" s="5" t="str">
        <x:v>未测</x:v>
      </x:c>
      <x:c r="N101" s="5" t="str"/>
      <x:c r="O101" s="5" t="str">
        <x:v>1. 来源：context/02-公会App-项目需求清单.md（2026-08-31 按原型同步，RSL-0004）
2. 来源：prototype/pages/guild/data/guild-all-live.html 与 prototype/assets/guild-record-overviews.js；未连接真实后端动态验证
3. 来源：prototype/assets/guild-data-model.js 的公会主播、日期、场次和送礼数据结构
4. 同步追溯：work/liveshow-guild-live-records/prototype-context-sync-result.json；RSL-0004
5. 质量检查：最小前置条件、单一业务分支、单一可观察预期结果</x:v>
      </x:c>
    </x:row>
    <x:row r="102" ht="127.5" customHeight="1">
      <x:c r="A102" s="5" t="n">
        <x:v>101</x:v>
      </x:c>
      <x:c r="B102" s="5" t="str">
        <x:v>GREC-101</x:v>
      </x:c>
      <x:c r="C102" s="5" t="str">
        <x:v>公会App-直播记录模块</x:v>
      </x:c>
      <x:c r="D102" s="5" t="str">
        <x:v>全部直播记录</x:v>
      </x:c>
      <x:c r="E102" s="5" t="str">
        <x:v>逻辑校验</x:v>
      </x:c>
      <x:c r="F102" s="5" t="str">
        <x:v>P1</x:v>
      </x:c>
      <x:c r="G102" s="5" t="str">
        <x:v>验证全部直播记录按主播汇总直播时长</x:v>
      </x:c>
      <x:c r="H102" s="5" t="str">
        <x:v>主播直播时长汇总</x:v>
      </x:c>
      <x:c r="I102" s="5" t="str">
        <x:v>1. 主播 Sari 在测试范围内两天直播时长分别为 206 分钟和 178 分钟</x:v>
      </x:c>
      <x:c r="J102" s="5" t="str">
        <x:v>1. 进入全部直播记录页
2. 查看主播 Sari 的直播时长</x:v>
      </x:c>
      <x:c r="K102" s="5" t="str">
        <x:v>主播 Sari 的直播时长 = 206 + 178 = 384 分钟 = 6h 24m</x:v>
      </x:c>
      <x:c r="L102" s="5" t="str"/>
      <x:c r="M102" s="5" t="str">
        <x:v>未测</x:v>
      </x:c>
      <x:c r="N102" s="5" t="str"/>
      <x:c r="O102" s="5" t="str">
        <x:v>1. 来源：context/02-公会App-项目需求清单.md（2026-08-31 按原型同步，RSL-0004）
2. 来源：prototype/pages/guild/data/guild-all-live.html 与 prototype/assets/guild-record-overviews.js；未连接真实后端动态验证
3. 来源：prototype/assets/guild-data-model.js 的公会主播、日期、场次和送礼数据结构
4. 同步追溯：work/liveshow-guild-live-records/prototype-context-sync-result.json；RSL-0004
5. 质量检查：最小前置条件、单一业务分支、单一可观察预期结果</x:v>
      </x:c>
    </x:row>
    <x:row r="103" ht="103.5" customHeight="1">
      <x:c r="A103" s="5" t="n">
        <x:v>102</x:v>
      </x:c>
      <x:c r="B103" s="5" t="str">
        <x:v>GREC-102</x:v>
      </x:c>
      <x:c r="C103" s="5" t="str">
        <x:v>公会App-直播记录模块</x:v>
      </x:c>
      <x:c r="D103" s="5" t="str">
        <x:v>全部直播记录</x:v>
      </x:c>
      <x:c r="E103" s="5" t="str">
        <x:v>逻辑校验</x:v>
      </x:c>
      <x:c r="F103" s="5" t="str">
        <x:v>P2</x:v>
      </x:c>
      <x:c r="G103" s="5" t="str">
        <x:v>验证无直播主播不进入汇总列表</x:v>
      </x:c>
      <x:c r="H103" s="5" t="str">
        <x:v>零场次主播过滤</x:v>
      </x:c>
      <x:c r="I103" s="5" t="str">
        <x:v>1. 主播 Maya 在测试范围内直播场次为 0
2. 主播 Sari 在测试范围内直播场次为 1</x:v>
      </x:c>
      <x:c r="J103" s="5" t="str">
        <x:v>1. 进入全部直播记录页
2. 查看主播汇总列表</x:v>
      </x:c>
      <x:c r="K103" s="5" t="str">
        <x:v>主播汇总列表不包含主播 Maya</x:v>
      </x:c>
      <x:c r="L103" s="5" t="str"/>
      <x:c r="M103" s="5" t="str">
        <x:v>未测</x:v>
      </x:c>
      <x:c r="N103" s="5" t="str"/>
      <x:c r="O103" s="5" t="str">
        <x:v>1. 来源：prototype/pages/guild/data/guild-all-live.html 与 prototype/assets/guild-record-overviews.js；未连接真实后端动态验证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</x:v>
      </x:c>
    </x:row>
    <x:row r="104" ht="79.5" customHeight="1">
      <x:c r="A104" s="5" t="n">
        <x:v>103</x:v>
      </x:c>
      <x:c r="B104" s="5" t="str">
        <x:v>GREC-103</x:v>
      </x:c>
      <x:c r="C104" s="5" t="str">
        <x:v>公会App-直播记录模块</x:v>
      </x:c>
      <x:c r="D104" s="5" t="str">
        <x:v>全部直播记录</x:v>
      </x:c>
      <x:c r="E104" s="5" t="str">
        <x:v>逻辑校验</x:v>
      </x:c>
      <x:c r="F104" s="5" t="str">
        <x:v>P2</x:v>
      </x:c>
      <x:c r="G104" s="5" t="str">
        <x:v>验证全部直播记录的排序</x:v>
      </x:c>
      <x:c r="H104" s="5" t="str">
        <x:v>主播汇总排序</x:v>
      </x:c>
      <x:c r="I104" s="5" t="str">
        <x:v>1. 主播 A 有 3 场直播且总时长 300 分钟
2. 主播 B 有 2 场直播且总时长 500 分钟
3. 主播 C 有 2 场直播且总时长 400 分钟</x:v>
      </x:c>
      <x:c r="J104" s="5" t="str">
        <x:v>1. 进入全部直播记录页
2. 查看主播汇总顺序</x:v>
      </x:c>
      <x:c r="K104" s="5" t="str">
        <x:v>主播汇总顺序从上到下为主播 A、主播 B、主播 C</x:v>
      </x:c>
      <x:c r="L104" s="5" t="str"/>
      <x:c r="M104" s="5" t="str">
        <x:v>未测</x:v>
      </x:c>
      <x:c r="N104" s="5" t="str"/>
      <x:c r="O104" s="5" t="str">
        <x:v>1. 来源：prototype/pages/guild/data/guild-all-live.html 与 prototype/assets/guild-record-overviews.js；未连接真实后端动态验证
2. 同步追溯：work/liveshow-guild-live-records/prototype-context-sync-result.json；RSL-0004
3. 质量检查：最小前置条件、单一业务分支、单一可观察预期结果</x:v>
      </x:c>
    </x:row>
    <x:row r="105" ht="141" customHeight="1">
      <x:c r="A105" s="5" t="n">
        <x:v>104</x:v>
      </x:c>
      <x:c r="B105" s="5" t="str">
        <x:v>GREC-104</x:v>
      </x:c>
      <x:c r="C105" s="5" t="str">
        <x:v>公会App-直播记录模块</x:v>
      </x:c>
      <x:c r="D105" s="5" t="str">
        <x:v>全部直播记录</x:v>
      </x:c>
      <x:c r="E105" s="5" t="str">
        <x:v>业务流程</x:v>
      </x:c>
      <x:c r="F105" s="5" t="str">
        <x:v>P1</x:v>
      </x:c>
      <x:c r="G105" s="5" t="str">
        <x:v>验证从主播汇总进入单主播直播记录</x:v>
      </x:c>
      <x:c r="H105" s="5" t="str">
        <x:v>主播汇总下钻</x:v>
      </x:c>
      <x:c r="I105" s="5" t="str">
        <x:v>1. 全部直播记录日期范围为 10/8/2026～15/8/2026
2. 主播 Sari 汇总行已展示</x:v>
      </x:c>
      <x:c r="J105" s="5" t="str">
        <x:v>1. 点击主播 Sari 的汇总行</x:v>
      </x:c>
      <x:c r="K105" s="5" t="str">
        <x:v>直播记录的主播筛选显示 Sari、H102938 和已选 1 人</x:v>
      </x:c>
      <x:c r="L105" s="5" t="str"/>
      <x:c r="M105" s="5" t="str">
        <x:v>未测</x:v>
      </x:c>
      <x:c r="N105" s="5" t="str"/>
      <x:c r="O105" s="5" t="str">
        <x:v>1. 来源：context/02-公会App-项目需求清单.md（2026-08-31 按原型同步，RSL-0004）
2. 来源：prototype/assets/annotations.js 的公会直播记录、场次详情和主播多选批注
3. 来源：prototype/pages/guild/data/guild-all-live.html 与 prototype/assets/guild-record-overviews.js；未连接真实后端动态验证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</x:v>
      </x:c>
    </x:row>
    <x:row r="106" ht="141" customHeight="1">
      <x:c r="A106" s="5" t="n">
        <x:v>105</x:v>
      </x:c>
      <x:c r="B106" s="5" t="str">
        <x:v>GREC-105</x:v>
      </x:c>
      <x:c r="C106" s="5" t="str">
        <x:v>公会App-直播记录模块</x:v>
      </x:c>
      <x:c r="D106" s="5" t="str">
        <x:v>全部直播记录</x:v>
      </x:c>
      <x:c r="E106" s="5" t="str">
        <x:v>逻辑校验</x:v>
      </x:c>
      <x:c r="F106" s="5" t="str">
        <x:v>P1</x:v>
      </x:c>
      <x:c r="G106" s="5" t="str">
        <x:v>验证主播汇总下钻后保留日期</x:v>
      </x:c>
      <x:c r="H106" s="5" t="str">
        <x:v>下钻保留日期范围</x:v>
      </x:c>
      <x:c r="I106" s="5" t="str">
        <x:v>1. 全部直播记录日期范围为 10/8/2026～15/8/2026
2. 主播 Sari 汇总行已展示</x:v>
      </x:c>
      <x:c r="J106" s="5" t="str">
        <x:v>1. 点击主播 Sari 的汇总行</x:v>
      </x:c>
      <x:c r="K106" s="5" t="str">
        <x:v>直播记录的日期范围显示 10/8/2026～15/8/2026</x:v>
      </x:c>
      <x:c r="L106" s="5" t="str"/>
      <x:c r="M106" s="5" t="str">
        <x:v>未测</x:v>
      </x:c>
      <x:c r="N106" s="5" t="str"/>
      <x:c r="O106" s="5" t="str">
        <x:v>1. 来源：context/02-公会App-项目需求清单.md（2026-08-31 按原型同步，RSL-0004）
2. 来源：prototype/assets/annotations.js 的公会直播记录、场次详情和主播多选批注
3. 来源：prototype/pages/guild/data/guild-all-live.html 与 prototype/assets/guild-record-overviews.js；未连接真实后端动态验证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</x:v>
      </x:c>
    </x:row>
    <x:row r="107" ht="141" customHeight="1">
      <x:c r="A107" s="5" t="n">
        <x:v>106</x:v>
      </x:c>
      <x:c r="B107" s="5" t="str">
        <x:v>GREC-106</x:v>
      </x:c>
      <x:c r="C107" s="5" t="str">
        <x:v>公会App-直播记录模块</x:v>
      </x:c>
      <x:c r="D107" s="5" t="str">
        <x:v>全部直播记录</x:v>
      </x:c>
      <x:c r="E107" s="5" t="str">
        <x:v>逻辑校验</x:v>
      </x:c>
      <x:c r="F107" s="5" t="str">
        <x:v>P1</x:v>
      </x:c>
      <x:c r="G107" s="5" t="str">
        <x:v>验证从单主播记录返回后保留日期</x:v>
      </x:c>
      <x:c r="H107" s="5" t="str">
        <x:v>返回全部记录保留日期</x:v>
      </x:c>
      <x:c r="I107" s="5" t="str">
        <x:v>1. 已从日期范围 10/8/2026～15/8/2026 的全部直播记录进入主播 Sari 的直播记录</x:v>
      </x:c>
      <x:c r="J107" s="5" t="str">
        <x:v>1. 点击页面左上角返回按钮</x:v>
      </x:c>
      <x:c r="K107" s="5" t="str">
        <x:v>全部直播记录的日期范围仍显示 10/8/2026～15/8/2026</x:v>
      </x:c>
      <x:c r="L107" s="5" t="str"/>
      <x:c r="M107" s="5" t="str">
        <x:v>未测</x:v>
      </x:c>
      <x:c r="N107" s="5" t="str"/>
      <x:c r="O107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来源：prototype/pages/guild/data/guild-all-live.html 与 prototype/assets/guild-record-overviews.js；未连接真实后端动态验证
5. 同步追溯：work/liveshow-guild-live-records/prototype-context-sync-result.json；RSL-0004
6. 质量检查：最小前置条件、单一业务分支、单一可观察预期结果</x:v>
      </x:c>
    </x:row>
    <x:row r="108" ht="79.5" customHeight="1">
      <x:c r="A108" s="5" t="n">
        <x:v>107</x:v>
      </x:c>
      <x:c r="B108" s="5" t="str">
        <x:v>GREC-107</x:v>
      </x:c>
      <x:c r="C108" s="5" t="str">
        <x:v>公会App-直播记录模块</x:v>
      </x:c>
      <x:c r="D108" s="5" t="str">
        <x:v>全部直播记录</x:v>
      </x:c>
      <x:c r="E108" s="5" t="str">
        <x:v>功能需求</x:v>
      </x:c>
      <x:c r="F108" s="5" t="str">
        <x:v>P2</x:v>
      </x:c>
      <x:c r="G108" s="5" t="str">
        <x:v>验证全部直播记录无数据状态</x:v>
      </x:c>
      <x:c r="H108" s="5" t="str">
        <x:v>全部记录空状态</x:v>
      </x:c>
      <x:c r="I108" s="5" t="str">
        <x:v>1. 所选日期范围内当前公会所有主播均无直播记录</x:v>
      </x:c>
      <x:c r="J108" s="5" t="str">
        <x:v>1. 进入全部直播记录页
2. 选择无直播数据的日期范围</x:v>
      </x:c>
      <x:c r="K108" s="5" t="str">
        <x:v>页面显示“暂无直播数据”</x:v>
      </x:c>
      <x:c r="L108" s="5" t="str"/>
      <x:c r="M108" s="5" t="str">
        <x:v>未测</x:v>
      </x:c>
      <x:c r="N108" s="5" t="str"/>
      <x:c r="O108" s="5" t="str">
        <x:v>1. 来源：prototype/pages/guild/data/guild-all-live.html 与 prototype/assets/guild-record-overviews.js；未连接真实后端动态验证
2. 同步追溯：work/liveshow-guild-live-records/prototype-context-sync-result.json；RSL-0004
3. 质量检查：最小前置条件、单一业务分支、单一可观察预期结果</x:v>
      </x:c>
    </x:row>
  </x:sheetData>
  <x:conditionalFormatting sqref="F2:F108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108">
      <x:formula1>"功能需求,业务流程,逻辑校验,异常用例"</x:formula1>
    </x:dataValidation>
    <x:dataValidation type="list" sqref="F2:F108">
      <x:formula1>"P0,P1,P2,P3"</x:formula1>
    </x:dataValidation>
    <x:dataValidation type="list" sqref="M2:M108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af4cbd66c49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6" hidden="0" customWidth="1"/>
    <x:col min="8" max="8" width="22" hidden="1" customWidth="1"/>
    <x:col min="9" max="9" width="46" hidden="0" customWidth="1"/>
    <x:col min="10" max="10" width="58" hidden="0" customWidth="1"/>
    <x:col min="11" max="11" width="50" hidden="0" customWidth="1"/>
    <x:col min="12" max="12" width="15" hidden="0" customWidth="1"/>
    <x:col min="13" max="13" width="34" hidden="0" customWidth="1"/>
    <x:col min="14" max="14" width="52" hidden="1" customWidth="1"/>
    <x:col min="15" max="15" width="40" hidden="1" customWidth="1"/>
    <x:col min="16" max="16" width="26" hidden="1" customWidth="1"/>
    <x:col min="17" max="17" width="40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55.5" customHeight="1">
      <x:c r="A2" s="15" t="str">
        <x:v>Q-001</x:v>
      </x:c>
      <x:c r="B2" s="19" t="str">
        <x:v>RQ-001</x:v>
      </x:c>
      <x:c r="C2" s="15" t="str"/>
      <x:c r="D2" s="15" t="str"/>
      <x:c r="E2" s="15" t="str">
        <x:v>部分阻塞</x:v>
      </x:c>
      <x:c r="F2" s="15" t="str">
        <x:v>公会App-直播记录模块</x:v>
      </x:c>
      <x:c r="G2" s="15" t="str">
        <x:v>公会长需要进入原型已注册的“全部直播记录”页面，但现有公会首页和直播记录页没有对应入口</x:v>
      </x:c>
      <x:c r="H2" s="15" t="str">
        <x:v>需求范围</x:v>
      </x:c>
      <x:c r="I2" s="16" t="str">
        <x:v>公会 App 的“全部直播记录”从哪个业务页面进入？</x:v>
      </x:c>
      <x:c r="J2" s="15" t="str">
        <x:v>A. 从公会首页的“直播记录”区域增加“全部直播记录”入口
B. 从单主播直播记录页增加“查看全部直播记录”入口
C. 首版不向公会用户开放该页面</x:v>
      </x:c>
      <x:c r="K2" s="17" t="str">
        <x:v>建议 B；单主播记录与全部主播汇总的切换关系最直接，也能复用现有返回路径。</x:v>
      </x:c>
      <x:c r="L2" s="18" t="str"/>
      <x:c r="M2" s="18" t="str"/>
      <x:c r="N2" s="15" t="str">
        <x:v>1. 原型说明和页面树已注册全部直播记录页
2. 公会首页仅跳转直播记录页
3. 当前页面脚本没有进入全部直播记录的可见入口</x:v>
      </x:c>
      <x:c r="O2" s="15" t="str">
        <x:v>1. 公会首页
2. 直播记录
3. 全部直播记录
4. 页面返回路径</x:v>
      </x:c>
      <x:c r="P2" s="15" t="str"/>
      <x:c r="Q2" s="15" t="str">
        <x:v>1. 全部直播记录正式入口
2. 入口返回路径</x:v>
      </x:c>
      <x:c r="R2" s="15" t="str">
        <x:v>产品</x:v>
      </x:c>
      <x:c r="S2" s="15" t="str">
        <x:v>进入全部直播记录功能测试前</x:v>
      </x:c>
      <x:c r="T2" s="15" t="str">
        <x:v>待确认</x:v>
      </x:c>
    </x:row>
    <x:row r="3" ht="67.5" customHeight="1">
      <x:c r="A3" s="15" t="str">
        <x:v>Q-002</x:v>
      </x:c>
      <x:c r="B3" s="19" t="str">
        <x:v>RQ-002</x:v>
      </x:c>
      <x:c r="C3" s="15" t="str"/>
      <x:c r="D3" s="15" t="str"/>
      <x:c r="E3" s="15" t="str">
        <x:v>部分阻塞</x:v>
      </x:c>
      <x:c r="F3" s="15" t="str">
        <x:v>公会App-直播记录模块</x:v>
      </x:c>
      <x:c r="G3" s="15" t="str">
        <x:v>主播跨午夜直播，公会长使用今日、本周和自定义日期查询该场次</x:v>
      </x:c>
      <x:c r="H3" s="15" t="str">
        <x:v>计算与统计口径</x:v>
      </x:c>
      <x:c r="I3" s="16" t="str">
        <x:v>公会直播记录的日期边界采用哪一个业务时区？</x:v>
      </x:c>
      <x:c r="J3" s="15" t="str">
        <x:v>A. 固定采用 Asia/Jakarta 时区
B. 采用公会账号配置的时区
C. 固定采用 UTC+08:00 时区</x:v>
      </x:c>
      <x:c r="K3" s="17" t="str">
        <x:v>建议 A；产品面向印度尼西亚市场，统一业务时区便于公会与主播对账。</x:v>
      </x:c>
      <x:c r="L3" s="18" t="str"/>
      <x:c r="M3" s="18" t="str"/>
      <x:c r="N3" s="15" t="str">
        <x:v>1. 原型使用自然日日期筛选
2. 当前批注没有定义时区
3. 业务面向印度尼西亚市场</x:v>
      </x:c>
      <x:c r="O3" s="15" t="str">
        <x:v>1. 今日与昨日
2. 本周与上周
3. 本月与上月
4. 自定义日期
5. 跨日场次归属</x:v>
      </x:c>
      <x:c r="P3" s="15" t="str">
        <x:v>1. GREC-004
2. GREC-045</x:v>
      </x:c>
      <x:c r="Q3" s="15" t="str">
        <x:v>1. 跨午夜直播日期归属
2. 时区边界切换</x:v>
      </x:c>
      <x:c r="R3" s="15" t="str">
        <x:v>多方确认</x:v>
      </x:c>
      <x:c r="S3" s="15" t="str">
        <x:v>进入日期筛选测试前</x:v>
      </x:c>
      <x:c r="T3" s="15" t="str">
        <x:v>待确认</x:v>
      </x:c>
    </x:row>
    <x:row r="4" ht="43.5" customHeight="1">
      <x:c r="A4" s="15" t="str">
        <x:v>Q-003</x:v>
      </x:c>
      <x:c r="B4" s="19" t="str">
        <x:v>RQ-003</x:v>
      </x:c>
      <x:c r="C4" s="15" t="str"/>
      <x:c r="D4" s="15" t="str"/>
      <x:c r="E4" s="15" t="str">
        <x:v>部分阻塞</x:v>
      </x:c>
      <x:c r="F4" s="15" t="str">
        <x:v>公会App-直播记录模块</x:v>
      </x:c>
      <x:c r="G4" s="15" t="str">
        <x:v>同一用户在一场直播中重复进入，场次卡片和场次详情展示观众数量</x:v>
      </x:c>
      <x:c r="H4" s="15" t="str">
        <x:v>计算与统计口径</x:v>
      </x:c>
      <x:c r="I4" s="16" t="str">
        <x:v>单场直播的“观众数量”采用哪一种统计口径？</x:v>
      </x:c>
      <x:c r="J4" s="15" t="str">
        <x:v>A. 按用户 ID 去重后的观看人数
B. 用户每次进入直播间均累计一次
C. 直播期间的最高同时在线人数</x:v>
      </x:c>
      <x:c r="K4" s="17" t="str">
        <x:v>建议 A；字段名称为人数，按用户去重后更容易与重复进入次数和峰值人数区分。</x:v>
      </x:c>
      <x:c r="L4" s="18" t="str"/>
      <x:c r="M4" s="18" t="str"/>
      <x:c r="N4" s="15" t="str">
        <x:v>1. 批注仅说明为观看直播的人数
2. 数据模型仅提供 viewers 数值
3. 原型没有重复进入和并发统计说明</x:v>
      </x:c>
      <x:c r="O4" s="15" t="str">
        <x:v>1. 场次卡片观众
2. 场次详情观众数量
3. 公会主播数据对账</x:v>
      </x:c>
      <x:c r="P4" s="15" t="str">
        <x:v>1. GREC-063
2. GREC-076</x:v>
      </x:c>
      <x:c r="Q4" s="15" t="str">
        <x:v>1. 重复进房观众统计
2. 并发观看统计</x:v>
      </x:c>
      <x:c r="R4" s="15" t="str">
        <x:v>产品</x:v>
      </x:c>
      <x:c r="S4" s="15" t="str">
        <x:v>进入场次统计测试前</x:v>
      </x:c>
      <x:c r="T4" s="15" t="str">
        <x:v>待确认</x:v>
      </x:c>
    </x:row>
    <x:row r="5" ht="43.5" customHeight="1">
      <x:c r="A5" s="15" t="str">
        <x:v>Q-004</x:v>
      </x:c>
      <x:c r="B5" s="19" t="str">
        <x:v>RQ-004</x:v>
      </x:c>
      <x:c r="C5" s="15" t="str"/>
      <x:c r="D5" s="15" t="str"/>
      <x:c r="E5" s="15" t="str">
        <x:v>部分阻塞</x:v>
      </x:c>
      <x:c r="F5" s="15" t="str">
        <x:v>公会App-直播记录模块</x:v>
      </x:c>
      <x:c r="G5" s="15" t="str">
        <x:v>同一用户一次赠送多件相同礼物，场次卡片和场次详情展示礼物数量</x:v>
      </x:c>
      <x:c r="H5" s="15" t="str">
        <x:v>计算与统计口径</x:v>
      </x:c>
      <x:c r="I5" s="16" t="str">
        <x:v>单场直播的“礼物数量”采用哪一种统计口径？</x:v>
      </x:c>
      <x:c r="J5" s="15" t="str">
        <x:v>A. 累计所有礼物的商品件数
B. 累计用户执行赠送的操作次数
C. 统计本场收到的不同礼物种类数</x:v>
      </x:c>
      <x:c r="K5" s="17" t="str">
        <x:v>建议 A；礼物详情已提供赠送数量，按商品件数汇总可以直接复算。</x:v>
      </x:c>
      <x:c r="L5" s="18" t="str"/>
      <x:c r="M5" s="18" t="str"/>
      <x:c r="N5" s="15" t="str">
        <x:v>1. 批注说明为本场收到的礼物总数
2. 送礼详情包含赠送数量
3. 原型没有说明总数的聚合维度</x:v>
      </x:c>
      <x:c r="O5" s="15" t="str">
        <x:v>1. 场次卡片收礼数量
2. 场次详情礼物数量
3. 送礼明细对账</x:v>
      </x:c>
      <x:c r="P5" s="15" t="str">
        <x:v>1. GREC-064
2. GREC-078</x:v>
      </x:c>
      <x:c r="Q5" s="15" t="str">
        <x:v>1. 批量赠礼数量统计
2. 多种礼物数量统计</x:v>
      </x:c>
      <x:c r="R5" s="15" t="str">
        <x:v>产品</x:v>
      </x:c>
      <x:c r="S5" s="15" t="str">
        <x:v>进入礼物统计测试前</x:v>
      </x:c>
      <x:c r="T5" s="15" t="str">
        <x:v>待确认</x:v>
      </x:c>
    </x:row>
    <x:row r="6" ht="55.5" customHeight="1">
      <x:c r="A6" s="15" t="str">
        <x:v>Q-005</x:v>
      </x:c>
      <x:c r="B6" s="19" t="str">
        <x:v>RQ-005</x:v>
      </x:c>
      <x:c r="C6" s="15" t="str"/>
      <x:c r="D6" s="15" t="str"/>
      <x:c r="E6" s="15" t="str">
        <x:v>部分阻塞</x:v>
      </x:c>
      <x:c r="F6" s="15" t="str">
        <x:v>公会App-直播记录模块</x:v>
      </x:c>
      <x:c r="G6" s="15" t="str">
        <x:v>主播离开公会后，公会长查询该主播在原公会期间产生的直播记录</x:v>
      </x:c>
      <x:c r="H6" s="15" t="str">
        <x:v>配置和历史数据影响</x:v>
      </x:c>
      <x:c r="I6" s="16" t="str">
        <x:v>主播离开公会后，原公会是否继续保留其入会期间的历史直播记录？</x:v>
      </x:c>
      <x:c r="J6" s="15" t="str">
        <x:v>A. 永久保留入会期间记录并允许原公会查询
B. 按系统可读取的历史数据保留期查询，过期后不再展示
C. 离会生效后立即隐藏全部历史记录</x:v>
      </x:c>
      <x:c r="K6" s="17" t="str">
        <x:v>建议 A；历史记录属于已发生的公会经营数据，保留有利于收益核对和审计。</x:v>
      </x:c>
      <x:c r="L6" s="18" t="str"/>
      <x:c r="M6" s="18" t="str"/>
      <x:c r="N6" s="15" t="str">
        <x:v>1. 当前选择器只展示当前公会主播
2. 数据模型另有离职主播数据
3. 需求没有定义离会后的历史可见范围</x:v>
      </x:c>
      <x:c r="O6" s="15" t="str">
        <x:v>1. 主播选择器
2. 直播记录
3. 全部直播记录
4. 历史收益对账</x:v>
      </x:c>
      <x:c r="P6" s="15" t="str"/>
      <x:c r="Q6" s="15" t="str">
        <x:v>1. 离会主播历史查询
2. 离会生效边界
3. 原公会数据范围</x:v>
      </x:c>
      <x:c r="R6" s="15" t="str">
        <x:v>产品</x:v>
      </x:c>
      <x:c r="S6" s="15" t="str">
        <x:v>进入历史数据测试前</x:v>
      </x:c>
      <x:c r="T6" s="15" t="str">
        <x:v>待确认</x:v>
      </x:c>
    </x:row>
    <x:row r="7" ht="43.5" customHeight="1">
      <x:c r="A7" s="15" t="str">
        <x:v>Q-009</x:v>
      </x:c>
      <x:c r="B7" s="19" t="str">
        <x:v>RQ-009</x:v>
      </x:c>
      <x:c r="C7" s="15" t="str"/>
      <x:c r="D7" s="15" t="str"/>
      <x:c r="E7" s="15" t="str">
        <x:v>部分阻塞</x:v>
      </x:c>
      <x:c r="F7" s="15" t="str">
        <x:v>公会App-直播记录模块</x:v>
      </x:c>
      <x:c r="G7" s="15" t="str">
        <x:v>公会长首次打开直播记录时，网络请求失败且页面没有可展示的旧数据</x:v>
      </x:c>
      <x:c r="H7" s="15" t="str">
        <x:v>异常处理</x:v>
      </x:c>
      <x:c r="I7" s="16" t="str">
        <x:v>直播记录首次加载失败时采用哪一种页面终态？</x:v>
      </x:c>
      <x:c r="J7" s="15" t="str">
        <x:v>A. 展示加载失败页和“重新加载”按钮
B. 返回公会首页并提示加载失败
C. 自动重试 3 次后展示加载失败页和“重新加载”按钮</x:v>
      </x:c>
      <x:c r="K7" s="17" t="str">
        <x:v>建议 A；错误原因和恢复入口集中在当前页面，用户能够直接重试。</x:v>
      </x:c>
      <x:c r="L7" s="18" t="str"/>
      <x:c r="M7" s="18" t="str"/>
      <x:c r="N7" s="15" t="str">
        <x:v>1. 当前静态原型没有加载失败状态
2. 直播记录依赖主播、日期、汇总和场次数据</x:v>
      </x:c>
      <x:c r="O7" s="15" t="str">
        <x:v>1. 直播记录首次加载
2. 错误状态
3. 手动重试</x:v>
      </x:c>
      <x:c r="P7" s="15" t="str"/>
      <x:c r="Q7" s="15" t="str">
        <x:v>1. 首次加载失败
2. 手动重新加载
3. 重试仍失败</x:v>
      </x:c>
      <x:c r="R7" s="15" t="str">
        <x:v>多方确认</x:v>
      </x:c>
      <x:c r="S7" s="15" t="str">
        <x:v>进入异常流程测试前</x:v>
      </x:c>
      <x:c r="T7" s="15" t="str">
        <x:v>待确认</x:v>
      </x:c>
    </x:row>
    <x:row r="8" ht="55.5" customHeight="1">
      <x:c r="A8" s="15" t="str">
        <x:v>Q-010</x:v>
      </x:c>
      <x:c r="B8" s="19" t="str">
        <x:v>RQ-010</x:v>
      </x:c>
      <x:c r="C8" s="15" t="str"/>
      <x:c r="D8" s="15" t="str"/>
      <x:c r="E8" s="15" t="str">
        <x:v>部分阻塞</x:v>
      </x:c>
      <x:c r="F8" s="15" t="str">
        <x:v>公会App-直播记录模块</x:v>
      </x:c>
      <x:c r="G8" s="15" t="str">
        <x:v>主播结束一场直播后，公会长立即进入直播记录查询该场次</x:v>
      </x:c>
      <x:c r="H8" s="15" t="str">
        <x:v>跨端与跨模块一致性</x:v>
      </x:c>
      <x:c r="I8" s="16" t="str">
        <x:v>主播结束直播后，新场次最迟应在什么时候出现在公会直播记录中？</x:v>
      </x:c>
      <x:c r="J8" s="15" t="str">
        <x:v>A. 主播端结束结果页出现时即可查询
B. 直播结束后 30 秒内可以查询
C. 直播结束后 5 分钟内可以查询
D. 该场收益结算完成后可以查询</x:v>
      </x:c>
      <x:c r="K8" s="17" t="str">
        <x:v>建议 A；公会可能立即核对场次和收益，明确同一终态更容易验收。</x:v>
      </x:c>
      <x:c r="L8" s="18" t="str"/>
      <x:c r="M8" s="18" t="str"/>
      <x:c r="N8" s="15" t="str">
        <x:v>1. 公会直播记录展示已结束场次
2. 原型没有定义跨端生成时效和刷新动作</x:v>
      </x:c>
      <x:c r="O8" s="15" t="str">
        <x:v>1. 主播结束直播
2. 公会直播记录
3. 汇总指标
4. 跨端数据一致性</x:v>
      </x:c>
      <x:c r="P8" s="15" t="str"/>
      <x:c r="Q8" s="15" t="str">
        <x:v>1. 结束直播后记录生成
2. 可查询时效边界
3. 超时后的页面结果</x:v>
      </x:c>
      <x:c r="R8" s="15" t="str">
        <x:v>多方确认</x:v>
      </x:c>
      <x:c r="S8" s="15" t="str">
        <x:v>进入跨端流程测试前</x:v>
      </x:c>
      <x:c r="T8" s="15" t="str">
        <x:v>待确认</x:v>
      </x:c>
    </x:row>
    <x:row r="9" ht="55.5" customHeight="1">
      <x:c r="A9" s="15" t="str">
        <x:v>Q-006</x:v>
      </x:c>
      <x:c r="B9" s="19" t="str">
        <x:v>RQ-006</x:v>
      </x:c>
      <x:c r="C9" s="15" t="str"/>
      <x:c r="D9" s="15" t="str"/>
      <x:c r="E9" s="15" t="str">
        <x:v>不阻塞</x:v>
      </x:c>
      <x:c r="F9" s="15" t="str">
        <x:v>公会App-直播记录模块</x:v>
      </x:c>
      <x:c r="G9" s="15" t="str">
        <x:v>公会长查询较长日期范围，场次列表和送礼列表均超过一屏</x:v>
      </x:c>
      <x:c r="H9" s="15" t="str">
        <x:v>业务规则</x:v>
      </x:c>
      <x:c r="I9" s="16" t="str">
        <x:v>直播记录和送礼记录数量较多时采用哪一种加载方式？</x:v>
      </x:c>
      <x:c r="J9" s="15" t="str">
        <x:v>A. 每页 20 条，通过页码切换
B. 首次 20 条，上拉后每次再加载 20 条
C. 单次最多加载 1,000 条，超过后要求缩小日期范围</x:v>
      </x:c>
      <x:c r="K9" s="17" t="str">
        <x:v>建议 B；符合移动端连续浏览习惯，并能控制首次加载量。</x:v>
      </x:c>
      <x:c r="L9" s="18" t="str"/>
      <x:c r="M9" s="18" t="str"/>
      <x:c r="N9" s="15" t="str">
        <x:v>1. 当前原型一次渲染全部模拟数据
2. 原型没有分页、上拉加载和数量上限说明</x:v>
      </x:c>
      <x:c r="O9" s="15" t="str">
        <x:v>1. 直播记录列表
2. 送礼列表
3. 长日期范围查询</x:v>
      </x:c>
      <x:c r="P9" s="15" t="str"/>
      <x:c r="Q9" s="15" t="str">
        <x:v>1. 首批加载
2. 后续加载
3. 加载去重
4. 加载结束状态</x:v>
      </x:c>
      <x:c r="R9" s="15" t="str">
        <x:v>产品</x:v>
      </x:c>
      <x:c r="S9" s="15" t="str">
        <x:v>版本验收前</x:v>
      </x:c>
      <x:c r="T9" s="15" t="str">
        <x:v>待确认</x:v>
      </x:c>
    </x:row>
    <x:row r="10" ht="55.5" customHeight="1">
      <x:c r="A10" s="15" t="str">
        <x:v>Q-007</x:v>
      </x:c>
      <x:c r="B10" s="19" t="str">
        <x:v>RQ-007</x:v>
      </x:c>
      <x:c r="C10" s="15" t="str"/>
      <x:c r="D10" s="15" t="str"/>
      <x:c r="E10" s="15" t="str">
        <x:v>不阻塞</x:v>
      </x:c>
      <x:c r="F10" s="15" t="str">
        <x:v>公会App-直播记录模块</x:v>
      </x:c>
      <x:c r="G10" s="15" t="str">
        <x:v>公会长查询一年以上的公会主播历史直播记录</x:v>
      </x:c>
      <x:c r="H10" s="15" t="str">
        <x:v>配置和历史数据影响</x:v>
      </x:c>
      <x:c r="I10" s="16" t="str">
        <x:v>公会直播记录允许查询多长时间的历史数据？</x:v>
      </x:c>
      <x:c r="J10" s="15" t="str">
        <x:v>A. 永久保留并允许查询
B. 保留最近 1 年
C. 保留最近 2 年
D. 保留最近 3 年</x:v>
      </x:c>
      <x:c r="K10" s="17" t="str">
        <x:v>建议 B；覆盖常见年度对账范围，并限制移动端长期历史查询成本。</x:v>
      </x:c>
      <x:c r="L10" s="18" t="str"/>
      <x:c r="M10" s="18" t="str"/>
      <x:c r="N10" s="15" t="str">
        <x:v>1. 原型只包含 30 天模拟数据
2. 需求和原型均未定义历史保留期限</x:v>
      </x:c>
      <x:c r="O10" s="15" t="str">
        <x:v>1. 日期选择器
2. 直播记录
3. 全部直播记录
4. 送礼记录</x:v>
      </x:c>
      <x:c r="P10" s="15" t="str"/>
      <x:c r="Q10" s="15" t="str">
        <x:v>1. 保留期内查询
2. 保留期边界
3. 过期记录处理</x:v>
      </x:c>
      <x:c r="R10" s="15" t="str">
        <x:v>产品</x:v>
      </x:c>
      <x:c r="S10" s="15" t="str">
        <x:v>版本验收前</x:v>
      </x:c>
      <x:c r="T10" s="15" t="str">
        <x:v>待确认</x:v>
      </x:c>
    </x:row>
    <x:row r="11" ht="55.5" customHeight="1">
      <x:c r="A11" s="15" t="str">
        <x:v>Q-008</x:v>
      </x:c>
      <x:c r="B11" s="19" t="str">
        <x:v>RQ-008</x:v>
      </x:c>
      <x:c r="C11" s="15" t="str"/>
      <x:c r="D11" s="15" t="str"/>
      <x:c r="E11" s="15" t="str">
        <x:v>不阻塞</x:v>
      </x:c>
      <x:c r="F11" s="15" t="str">
        <x:v>公会App-直播记录模块</x:v>
      </x:c>
      <x:c r="G11" s="15" t="str">
        <x:v>公会长在直播记录页筛选主播和日期后需要将明细交给运营人员</x:v>
      </x:c>
      <x:c r="H11" s="15" t="str">
        <x:v>需求范围</x:v>
      </x:c>
      <x:c r="I11" s="16" t="str">
        <x:v>“主播数据”的导出能力是否覆盖直播记录和送礼明细？</x:v>
      </x:c>
      <x:c r="J11" s="15" t="str">
        <x:v>A. 直播记录和送礼明细均支持按当前筛选结果导出
B. 仅直播记录支持按当前筛选结果导出
C. 导出仅属于主播数据汇总，直播记录模块不提供导出</x:v>
      </x:c>
      <x:c r="K11" s="17" t="str">
        <x:v>建议 C；当前原型没有导出入口，先按现有页面范围验收可避免扩大首版功能。</x:v>
      </x:c>
      <x:c r="L11" s="18" t="str"/>
      <x:c r="M11" s="18" t="str"/>
      <x:c r="N11" s="15" t="str">
        <x:v>1. 需求清单中的主播数据支持导出
2. 直播记录原型未展示导出入口
3. 原型未明确两者的功能继承关系</x:v>
      </x:c>
      <x:c r="O11" s="15" t="str">
        <x:v>1. 主播数据
2. 直播记录
3. 送礼明细
4. 筛选结果导出</x:v>
      </x:c>
      <x:c r="P11" s="15" t="str"/>
      <x:c r="Q11" s="15" t="str">
        <x:v>1. 导出入口
2. 导出数据范围
3. 导出字段</x:v>
      </x:c>
      <x:c r="R11" s="15" t="str">
        <x:v>产品</x:v>
      </x:c>
      <x:c r="S11" s="15" t="str">
        <x:v>版本验收前</x:v>
      </x:c>
      <x:c r="T11" s="15" t="str">
        <x:v>待确认</x:v>
      </x:c>
    </x:row>
  </x:sheetData>
  <x:conditionalFormatting sqref="E2:E11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11">
    <x:cfRule type="containsText" dxfId="5" priority="4" operator="containsText" text="待确认"/>
    <x:cfRule type="containsText" dxfId="6" priority="5" operator="containsText" text="已确认"/>
  </x:conditionalFormatting>
  <x:dataValidations count="5">
    <x:dataValidation type="list" sqref="E2:E11">
      <x:formula1>"阻塞测试,部分阻塞,不阻塞"</x:formula1>
    </x:dataValidation>
    <x:dataValidation type="list" sqref="H2:H11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1">
      <x:formula1>"A,B,C,D,其他"</x:formula1>
    </x:dataValidation>
    <x:dataValidation type="list" sqref="R2:R11">
      <x:formula1>"产品,交互,技术,多方确认"</x:formula1>
    </x:dataValidation>
    <x:dataValidation type="list" sqref="T2:T11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197496cf7349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3" t="str">
        <x:v>产品决策概览</x:v>
      </x:c>
      <x:c r="B1" s="23"/>
      <x:c r="C1" s="23"/>
      <x:c r="D1" s="23"/>
      <x:c r="E1" s="23"/>
      <x:c r="F1" s="23"/>
      <x:c r="G1" s="23"/>
      <x:c r="H1" s="23"/>
    </x:row>
    <x:row r="2" ht="25.5" customHeight="1">
      <x:c r="A2" s="27" t="str">
        <x:v>优先确认统计口径、历史数据范围和跨端生成时效；其余问题可在版本验收前逐项决策。</x:v>
      </x:c>
      <x:c r="B2" s="27"/>
      <x:c r="C2" s="27"/>
      <x:c r="D2" s="27"/>
      <x:c r="E2" s="27"/>
      <x:c r="F2" s="27"/>
      <x:c r="G2" s="27"/>
      <x:c r="H2" s="27"/>
    </x:row>
    <x:row r="4" ht="22.5" customHeight="1">
      <x:c r="A4" s="32" t="str">
        <x:v>问题总数</x:v>
      </x:c>
      <x:c r="B4" s="32" t="str"/>
      <x:c r="C4" s="32" t="str">
        <x:v>当前可回答</x:v>
      </x:c>
      <x:c r="D4" s="32" t="str"/>
      <x:c r="E4" s="32" t="str">
        <x:v>待前置结论</x:v>
      </x:c>
      <x:c r="F4" s="32" t="str"/>
      <x:c r="G4" s="32" t="str">
        <x:v>已确认</x:v>
      </x:c>
      <x:c r="H4" s="32" t="str"/>
    </x:row>
    <x:row r="5" ht="31.5" customHeight="1">
      <x:c r="A5" s="37" t="n">
        <x:f>COUNTA('需求待确认'!$A$2:$A$11)</x:f>
        <x:v>10</x:v>
      </x:c>
      <x:c r="B5" s="37" t="str"/>
      <x:c r="C5" s="37" t="n">
        <x:f>COUNTIF('需求待确认'!$T$2:$T$11,"待确认")</x:f>
        <x:v>10</x:v>
      </x:c>
      <x:c r="D5" s="37" t="str"/>
      <x:c r="E5" s="37" t="n">
        <x:f>COUNTIF('需求待确认'!$T$2:$T$11,"待前置结论")</x:f>
        <x:v>0</x:v>
      </x:c>
      <x:c r="F5" s="37" t="str"/>
      <x:c r="G5" s="37" t="n">
        <x:f>COUNTIF('需求待确认'!$T$2:$T$11,"已确认")</x:f>
        <x:v>0</x:v>
      </x:c>
      <x:c r="H5" s="37" t="str"/>
    </x:row>
    <x:row r="7" ht="24" customHeight="1">
      <x:c r="A7" s="41" t="str">
        <x:v>按状态</x:v>
      </x:c>
      <x:c r="B7" s="41" t="str">
        <x:v>数量</x:v>
      </x:c>
      <x:c r="C7" s="41" t="str">
        <x:v>按阻塞等级</x:v>
      </x:c>
      <x:c r="D7" s="41" t="str">
        <x:v>待确认</x:v>
      </x:c>
      <x:c r="E7" s="41" t="str">
        <x:v>按负责人</x:v>
      </x:c>
      <x:c r="F7" s="41" t="str">
        <x:v>待确认</x:v>
      </x:c>
      <x:c r="G7" s="41" t="str">
        <x:v>结构检查</x:v>
      </x:c>
      <x:c r="H7" s="41" t="str">
        <x:v>数量</x:v>
      </x:c>
    </x:row>
    <x:row r="8" ht="23.25" customHeight="1">
      <x:c r="A8" s="42" t="str">
        <x:v>待前置结论</x:v>
      </x:c>
      <x:c r="B8" s="43" t="n">
        <x:f>COUNTIF('需求待确认'!$T$2:$T$11,"待前置结论")</x:f>
        <x:v>0</x:v>
      </x:c>
      <x:c r="C8" s="42" t="str">
        <x:v>阻塞测试</x:v>
      </x:c>
      <x:c r="D8" s="43" t="n">
        <x:f>COUNTIFS('需求待确认'!$E$2:$E$11,"阻塞测试",'需求待确认'!$T$2:$T$11,"待确认")</x:f>
        <x:v>0</x:v>
      </x:c>
      <x:c r="E8" s="42" t="str">
        <x:v>产品</x:v>
      </x:c>
      <x:c r="F8" s="43" t="n">
        <x:f>COUNTIFS('需求待确认'!$R$2:$R$11,"产品",'需求待确认'!$T$2:$T$11,"待确认")</x:f>
        <x:v>7</x:v>
      </x:c>
      <x:c r="G8" s="42" t="str">
        <x:v>需求组</x:v>
      </x:c>
      <x:c r="H8" s="43" t="n">
        <x:v>10</x:v>
      </x:c>
    </x:row>
    <x:row r="9" ht="23.25" customHeight="1">
      <x:c r="A9" s="42" t="str">
        <x:v>待确认</x:v>
      </x:c>
      <x:c r="B9" s="43" t="n">
        <x:f>COUNTIF('需求待确认'!$T$2:$T$11,"待确认")</x:f>
        <x:v>10</x:v>
      </x:c>
      <x:c r="C9" s="42" t="str">
        <x:v>部分阻塞</x:v>
      </x:c>
      <x:c r="D9" s="43" t="n">
        <x:f>COUNTIFS('需求待确认'!$E$2:$E$11,"部分阻塞",'需求待确认'!$T$2:$T$11,"待确认")</x:f>
        <x:v>7</x:v>
      </x:c>
      <x:c r="E9" s="42" t="str">
        <x:v>交互</x:v>
      </x:c>
      <x:c r="F9" s="43" t="n">
        <x:f>COUNTIFS('需求待确认'!$R$2:$R$11,"交互",'需求待确认'!$T$2:$T$11,"待确认")</x:f>
        <x:v>0</x:v>
      </x:c>
      <x:c r="G9" s="42" t="str">
        <x:v>追问子问题</x:v>
      </x:c>
      <x:c r="H9" s="43" t="n">
        <x:f>COUNTA('需求待确认'!$A$2:$A$11)-COUNTBLANK('需求待确认'!$C$2:$C$11)</x:f>
        <x:v>0</x:v>
      </x:c>
    </x:row>
    <x:row r="10" ht="23.25" customHeight="1">
      <x:c r="A10" s="42" t="str">
        <x:v>确认中</x:v>
      </x:c>
      <x:c r="B10" s="43" t="n">
        <x:f>COUNTIF('需求待确认'!$T$2:$T$11,"确认中")</x:f>
        <x:v>0</x:v>
      </x:c>
      <x:c r="C10" s="42" t="str">
        <x:v>不阻塞</x:v>
      </x:c>
      <x:c r="D10" s="43" t="n">
        <x:f>COUNTIFS('需求待确认'!$E$2:$E$11,"不阻塞",'需求待确认'!$T$2:$T$11,"待确认")</x:f>
        <x:v>3</x:v>
      </x:c>
      <x:c r="E10" s="42" t="str">
        <x:v>技术</x:v>
      </x:c>
      <x:c r="F10" s="43" t="n">
        <x:f>COUNTIFS('需求待确认'!$R$2:$R$11,"技术",'需求待确认'!$T$2:$T$11,"待确认")</x:f>
        <x:v>0</x:v>
      </x:c>
      <x:c r="G10" s="42" t="str">
        <x:v>未填写产品结论</x:v>
      </x:c>
      <x:c r="H10" s="43" t="n">
        <x:f>COUNTBLANK('需求待确认'!$L$2:$L$11)</x:f>
        <x:v>10</x:v>
      </x:c>
    </x:row>
    <x:row r="11" ht="23.25" customHeight="1">
      <x:c r="A11" s="42" t="str">
        <x:v>已确认</x:v>
      </x:c>
      <x:c r="B11" s="43" t="n">
        <x:f>COUNTIF('需求待确认'!$T$2:$T$11,"已确认")</x:f>
        <x:v>0</x:v>
      </x:c>
      <x:c r="C11" s="5"/>
      <x:c r="D11" s="5"/>
      <x:c r="E11" s="42" t="str">
        <x:v>多方确认</x:v>
      </x:c>
      <x:c r="F11" s="43" t="n">
        <x:f>COUNTIFS('需求待确认'!$R$2:$R$11,"多方确认",'需求待确认'!$T$2:$T$11,"待确认")</x:f>
        <x:v>3</x:v>
      </x:c>
      <x:c r="G11" s="42" t="str">
        <x:v>选择其他但未补充</x:v>
      </x:c>
      <x:c r="H11" s="43" t="n">
        <x:f>COUNTIFS('需求待确认'!$L$2:$L$11,"其他",'需求待确认'!$M$2:$M$11,"")</x:f>
        <x:v>0</x:v>
      </x:c>
    </x:row>
    <x:row r="12" ht="23.25" customHeight="1">
      <x:c r="A12" s="42" t="str">
        <x:v>无需处理</x:v>
      </x:c>
      <x:c r="B12" s="43" t="n">
        <x:f>COUNTIF('需求待确认'!$T$2:$T$11,"无需处理")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49" t="str">
        <x:v>填写方式：在“需求待确认”的“产品结论”列选择 A、B、C、D 或其他；选择“其他”时补充具体规则。</x:v>
      </x:c>
      <x:c r="B14" s="49"/>
      <x:c r="C14" s="49"/>
      <x:c r="D14" s="49"/>
      <x:c r="E14" s="49"/>
      <x:c r="F14" s="49"/>
      <x:c r="G14" s="49"/>
      <x:c r="H14" s="49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