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0e127a21494405" /></Relationships>
</file>

<file path=xl/workbook.xml><?xml version="1.0" encoding="utf-8"?>
<x:workbook xmlns:x="http://schemas.openxmlformats.org/spreadsheetml/2006/main">
  <x:sheets>
    <x:sheet xmlns:r="http://schemas.openxmlformats.org/officeDocument/2006/relationships" name="产品决策概览" sheetId="1" r:id="R8908e965d9e34a34"/>
    <x:sheet xmlns:r="http://schemas.openxmlformats.org/officeDocument/2006/relationships" name="功能测试用例" sheetId="2" r:id="R83e20b920dce40e9"/>
    <x:sheet xmlns:r="http://schemas.openxmlformats.org/officeDocument/2006/relationships" name="需求待确认" sheetId="3" r:id="Rb1e29d84d03b48b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11827"/>
      <x:name val="Arial"/>
    </x:font>
    <x:font>
      <x:b/>
      <x:sz val="10"/>
      <x:color rgb="FFFFFFFF"/>
      <x:name val="Arial"/>
    </x:font>
    <x:font>
      <x:b/>
      <x:sz val="15"/>
      <x:color rgb="FF111827"/>
      <x:name val="Arial"/>
    </x:font>
    <x:font>
      <x:i/>
      <x:sz val="10"/>
      <x:color rgb="FF64748B"/>
      <x:name val="Arial"/>
    </x:font>
    <x:font>
      <x:b/>
      <x:sz val="11"/>
      <x:color rgb="FF1D4ED8"/>
      <x:name val="Arial"/>
    </x:font>
  </x:fonts>
  <x:fills count="5">
    <x:fill>
      <x:patternFill patternType="none"/>
    </x:fill>
    <x:fill>
      <x:patternFill patternType="gray125"/>
    </x:fill>
    <x:fill>
      <x:patternFill patternType="solid">
        <x:fgColor rgb="FF1F2937"/>
      </x:patternFill>
    </x:fill>
    <x:fill>
      <x:patternFill patternType="solid">
        <x:fgColor rgb="FFFFF4CC"/>
      </x:patternFill>
    </x:fill>
    <x:fill>
      <x:patternFill patternType="solid">
        <x:fgColor rgb="FFF8FAFC"/>
      </x:patternFill>
    </x:fill>
  </x:fills>
  <x:borders count="3">
    <x:border/>
    <x:border>
      <x:left style="thin">
        <x:color rgb="FFCBD5E1"/>
      </x:left>
      <x:right style="thin">
        <x:color rgb="FFCBD5E1"/>
      </x:right>
      <x:top style="thin">
        <x:color rgb="FFCBD5E1"/>
      </x:top>
      <x:bottom style="thin">
        <x:color rgb="FFCBD5E1"/>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2" xfId="0" applyNumberFormat="1" applyFont="1" applyFill="1" applyBorder="1" applyAlignment="1">
      <x:alignment horizontal="center" vertical="center" wrapText="1"/>
    </x:xf>
    <x:xf numFmtId="0" fontId="1" fillId="0" borderId="1" xfId="0" applyNumberFormat="1" applyFont="1" applyFill="1" applyBorder="1" applyAlignment="1">
      <x:alignment horizontal="left" vertical="center" wrapText="1"/>
    </x:xf>
    <x:xf numFmtId="0" fontId="1" fillId="0"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1" fillId="4" borderId="1" xfId="0" applyNumberFormat="1" applyFont="1" applyFill="1" applyBorder="1" applyAlignment="1">
      <x:alignment vertical="center"/>
    </x:xf>
    <x:xf numFmtId="0" fontId="5" fillId="0" borderId="1" xfId="0" applyNumberFormat="1" applyFont="1" applyFill="1" applyBorder="1" applyAlignment="1">
      <x:alignment vertical="center"/>
    </x:xf>
    <x:xf numFmtId="0" fontId="5" fillId="0" borderId="1"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797df1837841ef" /><Relationship Type="http://schemas.openxmlformats.org/officeDocument/2006/relationships/theme" Target="/xl/theme/theme1.xml" Id="R940b9e6dd509462a" /><Relationship Type="http://schemas.openxmlformats.org/officeDocument/2006/relationships/sharedStrings" Target="/xl/sharedStrings.xml" Id="R3f32aeaea2584c89" /><Relationship Type="http://schemas.openxmlformats.org/officeDocument/2006/relationships/worksheet" Target="/xl/worksheets/sheet1.xml" Id="R8908e965d9e34a34" /><Relationship Type="http://schemas.openxmlformats.org/officeDocument/2006/relationships/worksheet" Target="/xl/worksheets/sheet2.xml" Id="R83e20b920dce40e9" /><Relationship Type="http://schemas.openxmlformats.org/officeDocument/2006/relationships/worksheet" Target="/xl/worksheets/sheet3.xml" Id="Rb1e29d84d03b48be" /></Relationships>
</file>

<file path=xl/tables/table1.xml><?xml version="1.0" encoding="utf-8"?>
<x:table xmlns:x="http://schemas.openxmlformats.org/spreadsheetml/2006/main" id="1" name="LiveCasesTable" displayName="LiveCasesTable" ref="A1:O610" headerRowCount="1" totalsRowCount="0" totalsRowShown="0">
  <x:autoFilter ref="A1:O610"/>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LivePendingTable" displayName="LivePendingTable" ref="A1:T3" headerRowCount="1" totalsRowCount="0" totalsRowShown="0">
  <x:autoFilter ref="A1:T3"/>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0e5c00b82824398" /></Relationships>
</file>

<file path=xl/worksheets/_rels/sheet3.xml.rels>&#65279;<?xml version="1.0" encoding="utf-8"?><Relationships xmlns="http://schemas.openxmlformats.org/package/2006/relationships"><Relationship Type="http://schemas.openxmlformats.org/officeDocument/2006/relationships/table" Target="/xl/tables/table2.xml" Id="Rc8060f170e5e41b0"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4" t="str">
        <x:v>阶段性-公会App-全部模块-260917-003 产品决策概览</x:v>
      </x:c>
      <x:c r="B1" s="13"/>
      <x:c r="C1" s="13"/>
      <x:c r="D1" s="13"/>
      <x:c r="E1" s="13"/>
      <x:c r="F1" s="13"/>
      <x:c r="G1" s="13"/>
      <x:c r="H1" s="13"/>
    </x:row>
    <x:row r="2">
      <x:c r="A2" s="15" t="str">
        <x:v>阶段性产物；本轮交付尚未完成</x:v>
      </x:c>
      <x:c r="B2" s="13"/>
      <x:c r="C2" s="13"/>
      <x:c r="D2" s="13"/>
      <x:c r="E2" s="13"/>
      <x:c r="F2" s="13"/>
      <x:c r="G2" s="13"/>
      <x:c r="H2" s="13"/>
    </x:row>
    <x:row r="3">
      <x:c r="A3" s="13"/>
      <x:c r="B3" s="13"/>
      <x:c r="C3" s="13"/>
      <x:c r="D3" s="13"/>
      <x:c r="E3" s="13"/>
      <x:c r="F3" s="13"/>
      <x:c r="G3" s="13"/>
      <x:c r="H3" s="13"/>
    </x:row>
    <x:row r="4">
      <x:c r="A4" s="8" t="str">
        <x:v>状态</x:v>
      </x:c>
      <x:c r="B4" s="8" t="str">
        <x:v>数量</x:v>
      </x:c>
      <x:c r="C4" s="13"/>
      <x:c r="D4" s="8" t="str">
        <x:v>阻塞等级</x:v>
      </x:c>
      <x:c r="E4" s="8" t="str">
        <x:v>当前待确认</x:v>
      </x:c>
      <x:c r="F4" s="13"/>
      <x:c r="G4" s="8" t="str">
        <x:v>负责人</x:v>
      </x:c>
      <x:c r="H4" s="8" t="str">
        <x:v>当前待确认</x:v>
      </x:c>
    </x:row>
    <x:row r="5">
      <x:c r="A5" s="20" t="str">
        <x:v>问题总数</x:v>
      </x:c>
      <x:c r="B5" s="22" t="n">
        <x:f>COUNTA('需求待确认'!$A$2:$A$3)</x:f>
        <x:v>2</x:v>
      </x:c>
      <x:c r="C5" s="13"/>
      <x:c r="D5" s="20" t="str">
        <x:v>阻塞测试</x:v>
      </x:c>
      <x:c r="E5" s="22" t="n">
        <x:f>COUNTIFS('需求待确认'!$E$2:$E$3,"阻塞测试",'需求待确认'!$T$2:$T$3,"待确认")</x:f>
        <x:v>0</x:v>
      </x:c>
      <x:c r="F5" s="13"/>
      <x:c r="G5" s="20" t="str">
        <x:v>产品</x:v>
      </x:c>
      <x:c r="H5" s="22" t="n">
        <x:f>COUNTIFS('需求待确认'!$R$2:$R$3,"产品",'需求待确认'!$T$2:$T$3,"待确认")</x:f>
        <x:v>2</x:v>
      </x:c>
    </x:row>
    <x:row r="6">
      <x:c r="A6" s="20" t="str">
        <x:v>当前可回答</x:v>
      </x:c>
      <x:c r="B6" s="22" t="n">
        <x:f>COUNTIF('需求待确认'!$T$2:$T$3,"待确认")</x:f>
        <x:v>2</x:v>
      </x:c>
      <x:c r="C6" s="13"/>
      <x:c r="D6" s="20" t="str">
        <x:v>部分阻塞</x:v>
      </x:c>
      <x:c r="E6" s="22" t="n">
        <x:f>COUNTIFS('需求待确认'!$E$2:$E$3,"部分阻塞",'需求待确认'!$T$2:$T$3,"待确认")</x:f>
        <x:v>2</x:v>
      </x:c>
      <x:c r="F6" s="13"/>
      <x:c r="G6" s="20" t="str">
        <x:v>交互</x:v>
      </x:c>
      <x:c r="H6" s="22" t="n">
        <x:f>COUNTIFS('需求待确认'!$R$2:$R$3,"交互",'需求待确认'!$T$2:$T$3,"待确认")</x:f>
        <x:v>0</x:v>
      </x:c>
    </x:row>
    <x:row r="7">
      <x:c r="A7" s="20" t="str">
        <x:v>待前置结论</x:v>
      </x:c>
      <x:c r="B7" s="22" t="n">
        <x:f>COUNTIF('需求待确认'!$T$2:$T$3,"待前置结论")</x:f>
        <x:v>0</x:v>
      </x:c>
      <x:c r="C7" s="13"/>
      <x:c r="D7" s="20" t="str">
        <x:v>不阻塞</x:v>
      </x:c>
      <x:c r="E7" s="22" t="n">
        <x:f>COUNTIFS('需求待确认'!$E$2:$E$3,"不阻塞",'需求待确认'!$T$2:$T$3,"待确认")</x:f>
        <x:v>0</x:v>
      </x:c>
      <x:c r="F7" s="13"/>
      <x:c r="G7" s="20" t="str">
        <x:v>技术</x:v>
      </x:c>
      <x:c r="H7" s="22" t="n">
        <x:f>COUNTIFS('需求待确认'!$R$2:$R$3,"技术",'需求待确认'!$T$2:$T$3,"待确认")</x:f>
        <x:v>0</x:v>
      </x:c>
    </x:row>
    <x:row r="8">
      <x:c r="A8" s="20" t="str">
        <x:v>确认中</x:v>
      </x:c>
      <x:c r="B8" s="22" t="n">
        <x:f>COUNTIF('需求待确认'!$T$2:$T$3,"确认中")</x:f>
        <x:v>0</x:v>
      </x:c>
      <x:c r="C8" s="13"/>
      <x:c r="D8" s="13"/>
      <x:c r="E8" s="13"/>
      <x:c r="F8" s="13"/>
      <x:c r="G8" s="20" t="str">
        <x:v>多方确认</x:v>
      </x:c>
      <x:c r="H8" s="22" t="n">
        <x:f>COUNTIFS('需求待确认'!$R$2:$R$3,"多方确认",'需求待确认'!$T$2:$T$3,"待确认")</x:f>
        <x:v>0</x:v>
      </x:c>
    </x:row>
    <x:row r="9">
      <x:c r="A9" s="20" t="str">
        <x:v>已确认</x:v>
      </x:c>
      <x:c r="B9" s="22" t="n">
        <x:f>COUNTIF('需求待确认'!$T$2:$T$3,"已确认")</x:f>
        <x:v>0</x:v>
      </x:c>
      <x:c r="C9" s="13"/>
      <x:c r="D9" s="13"/>
      <x:c r="E9" s="13"/>
      <x:c r="F9" s="13"/>
      <x:c r="G9" s="13"/>
      <x:c r="H9" s="13"/>
    </x:row>
    <x:row r="10">
      <x:c r="A10" s="20" t="str">
        <x:v>无需处理</x:v>
      </x:c>
      <x:c r="B10" s="22" t="n">
        <x:f>COUNTIF('需求待确认'!$T$2:$T$3,"无需处理")</x:f>
        <x:v>0</x:v>
      </x:c>
      <x:c r="C10" s="13"/>
      <x:c r="D10" s="13"/>
      <x:c r="E10" s="13"/>
      <x:c r="F10" s="13"/>
      <x:c r="G10" s="13"/>
      <x:c r="H10" s="1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3" hidden="0" customWidth="1"/>
    <x:col min="3" max="3" width="12" hidden="0" customWidth="1"/>
    <x:col min="4" max="4" width="24" hidden="0" customWidth="1"/>
    <x:col min="5" max="5" width="12" hidden="0" customWidth="1"/>
    <x:col min="6" max="6" width="8" hidden="0" customWidth="1"/>
    <x:col min="7" max="7" width="27" hidden="0" customWidth="1"/>
    <x:col min="8" max="8" width="20" hidden="0" customWidth="1"/>
    <x:col min="9" max="9" width="30" hidden="0" customWidth="1"/>
    <x:col min="10" max="10" width="32" hidden="0" customWidth="1"/>
    <x:col min="11" max="11" width="38" hidden="0" customWidth="1"/>
    <x:col min="12" max="12" width="18" hidden="0" customWidth="1"/>
    <x:col min="13" max="13" width="10" hidden="0" customWidth="1"/>
    <x:col min="14" max="14" width="12" hidden="0" customWidth="1"/>
    <x:col min="15" max="15" width="42" hidden="0" customWidth="1"/>
  </x:cols>
  <x:sheetData>
    <x:row r="1" ht="34" customHeight="1">
      <x:c r="A1" s="11" t="str">
        <x:v>序号</x:v>
      </x:c>
      <x:c r="B1" s="11" t="str">
        <x:v>用例编号</x:v>
      </x:c>
      <x:c r="C1" s="11" t="str">
        <x:v>功能模块</x:v>
      </x:c>
      <x:c r="D1" s="11" t="str">
        <x:v>功能结构</x:v>
      </x:c>
      <x:c r="E1" s="11" t="str">
        <x:v>用例类型</x:v>
      </x:c>
      <x:c r="F1" s="11" t="str">
        <x:v>优先级</x:v>
      </x:c>
      <x:c r="G1" s="11" t="str">
        <x:v>用例描述</x:v>
      </x:c>
      <x:c r="H1" s="11" t="str">
        <x:v>验证用例子项</x:v>
      </x:c>
      <x:c r="I1" s="11" t="str">
        <x:v>前置条件</x:v>
      </x:c>
      <x:c r="J1" s="11" t="str">
        <x:v>操作步骤</x:v>
      </x:c>
      <x:c r="K1" s="11" t="str">
        <x:v>预期结果</x:v>
      </x:c>
      <x:c r="L1" s="11" t="str">
        <x:v>流程编号</x:v>
      </x:c>
      <x:c r="M1" s="11" t="str">
        <x:v>测试结果</x:v>
      </x:c>
      <x:c r="N1" s="11" t="str">
        <x:v>测试人员</x:v>
      </x:c>
      <x:c r="O1" s="11" t="str">
        <x:v>备注</x:v>
      </x:c>
    </x:row>
    <x:row r="2" ht="100" customHeight="1">
      <x:c r="A2" s="10" t="n">
        <x:v>1</x:v>
      </x:c>
      <x:c r="B2" s="10" t="str">
        <x:v>GUILD-01-0001</x:v>
      </x:c>
      <x:c r="C2" s="10" t="str">
        <x:v>登录与首页</x:v>
      </x:c>
      <x:c r="D2" s="10" t="str">
        <x:v>公会登录（公会长视角）</x:v>
      </x:c>
      <x:c r="E2" s="10" t="str">
        <x:v>业务流程</x:v>
      </x:c>
      <x:c r="F2" s="10" t="str">
        <x:v>P0</x:v>
      </x:c>
      <x:c r="G2" s="9" t="str">
        <x:v>验证公会长有效凭证登录</x:v>
      </x:c>
      <x:c r="H2" s="9" t="str">
        <x:v>公会登录成功去向</x:v>
      </x:c>
      <x:c r="I2" s="9" t="str">
        <x:v>1. 执行角色为公会长
2. 业务数据已准备且本页已打开；表单和筛选保持下列指定状态
3. 平台已创建并启用公会长qa-chief，测试密码QaChief!2026</x:v>
      </x:c>
      <x:c r="J2" s="9" t="str">
        <x:v>1. 查看公会登录页
2. 填写公会账号为qa-chief
3. 填写密码为QaChief!2026
4. 点击登录</x:v>
      </x:c>
      <x:c r="K2" s="9" t="str">
        <x:v>进入选择公会页</x:v>
      </x:c>
      <x:c r="L2" s="10" t="str"/>
      <x:c r="M2" s="10" t="str">
        <x:v>未测</x:v>
      </x:c>
      <x:c r="N2" s="10" t="str"/>
      <x:c r="O2" s="9" t="str">
        <x:v>1. 来源（当前证据）：liveshow-proto/MainBasis/统一需求文档.md；位置：REQ-dda7dbff3ea0；行2715
2. 规则：BR-b489b49e31a969eb
3. 未动态验证</x:v>
      </x:c>
    </x:row>
    <x:row r="3" ht="100" customHeight="1">
      <x:c r="A3" s="10" t="n">
        <x:v>2</x:v>
      </x:c>
      <x:c r="B3" s="10" t="str">
        <x:v>GUILD-01-0002</x:v>
      </x:c>
      <x:c r="C3" s="10" t="str">
        <x:v>登录与首页</x:v>
      </x:c>
      <x:c r="D3" s="10" t="str">
        <x:v>公会登录（公会长视角）</x:v>
      </x:c>
      <x:c r="E3" s="10" t="str">
        <x:v>逻辑校验</x:v>
      </x:c>
      <x:c r="F3" s="10" t="str">
        <x:v>P1</x:v>
      </x:c>
      <x:c r="G3" s="9" t="str">
        <x:v>验证公会登录漏填公会账号</x:v>
      </x:c>
      <x:c r="H3" s="9" t="str">
        <x:v>公会账号必填</x:v>
      </x:c>
      <x:c r="I3" s="9" t="str">
        <x:v>1. 执行角色为公会长
2. 业务数据已准备且本页已打开；表单和筛选保持下列指定状态
3. 公会长qa-chief已启用，密码QaChief!2026</x:v>
      </x:c>
      <x:c r="J3" s="9" t="str">
        <x:v>1. 查看公会登录页
2. 填写公会账号为qa-chief
3. 填写密码为QaChief!2026
4. 清空公会账号
5. 点击登录</x:v>
      </x:c>
      <x:c r="K3" s="9" t="str">
        <x:v>不能提交缺少必填项的登录</x:v>
      </x:c>
      <x:c r="L3" s="10" t="str"/>
      <x:c r="M3" s="10" t="str">
        <x:v>未测</x:v>
      </x:c>
      <x:c r="N3" s="10" t="str"/>
      <x:c r="O3" s="9" t="str">
        <x:v>1. 来源（当前证据）：liveshow-proto/MainBasis/统一需求文档.md；位置：REQ-5f61f44b53b1；行2707
2. 规则：BR-2f2a47b9023c98d3
3. 未动态验证</x:v>
      </x:c>
    </x:row>
    <x:row r="4" ht="100" customHeight="1">
      <x:c r="A4" s="10" t="n">
        <x:v>3</x:v>
      </x:c>
      <x:c r="B4" s="10" t="str">
        <x:v>GUILD-01-0003</x:v>
      </x:c>
      <x:c r="C4" s="10" t="str">
        <x:v>登录与首页</x:v>
      </x:c>
      <x:c r="D4" s="10" t="str">
        <x:v>公会登录（公会长视角）</x:v>
      </x:c>
      <x:c r="E4" s="10" t="str">
        <x:v>逻辑校验</x:v>
      </x:c>
      <x:c r="F4" s="10" t="str">
        <x:v>P1</x:v>
      </x:c>
      <x:c r="G4" s="9" t="str">
        <x:v>验证公会登录漏填密码</x:v>
      </x:c>
      <x:c r="H4" s="9" t="str">
        <x:v>密码必填</x:v>
      </x:c>
      <x:c r="I4" s="9" t="str">
        <x:v>1. 执行角色为公会长
2. 业务数据已准备且本页已打开；表单和筛选保持下列指定状态
3. 公会长qa-chief已启用，密码QaChief!2026</x:v>
      </x:c>
      <x:c r="J4" s="9" t="str">
        <x:v>1. 查看公会登录页
2. 填写公会账号为qa-chief
3. 填写密码为QaChief!2026
4. 清空密码
5. 点击登录</x:v>
      </x:c>
      <x:c r="K4" s="9" t="str">
        <x:v>不能提交缺少必填项的登录</x:v>
      </x:c>
      <x:c r="L4" s="10" t="str"/>
      <x:c r="M4" s="10" t="str">
        <x:v>未测</x:v>
      </x:c>
      <x:c r="N4" s="10" t="str"/>
      <x:c r="O4" s="9" t="str">
        <x:v>1. 来源（当前证据）：liveshow-proto/MainBasis/统一需求文档.md；位置：REQ-d7201c8835b7；行2709
2. 规则：BR-57eaaa9fc7729e18
3. 未动态验证</x:v>
      </x:c>
    </x:row>
    <x:row r="5" ht="115" customHeight="1">
      <x:c r="A5" s="10" t="n">
        <x:v>4</x:v>
      </x:c>
      <x:c r="B5" s="10" t="str">
        <x:v>GUILD-01-0004</x:v>
      </x:c>
      <x:c r="C5" s="10" t="str">
        <x:v>登录与首页</x:v>
      </x:c>
      <x:c r="D5" s="10" t="str">
        <x:v>公会登录（公会长视角）</x:v>
      </x:c>
      <x:c r="E5" s="10" t="str">
        <x:v>异常用例</x:v>
      </x:c>
      <x:c r="F5" s="10" t="str">
        <x:v>P1</x:v>
      </x:c>
      <x:c r="G5" s="9" t="str">
        <x:v>验证账号不存在时统一提示</x:v>
      </x:c>
      <x:c r="H5" s="9" t="str">
        <x:v>公会登录错误提示</x:v>
      </x:c>
      <x:c r="I5" s="9" t="str">
        <x:v>1. 执行角色为公会长
2. 业务数据已准备且本页已打开；表单和筛选保持下列指定状态
3. qa-unknown不存在；qa-chief已启用且正确密码QaChief!2026</x:v>
      </x:c>
      <x:c r="J5" s="9" t="str">
        <x:v>1. 查看公会登录页
2. 填写公会账号为qa-unknown
3. 填写密码为Wrong!2026
4. 点击登录</x:v>
      </x:c>
      <x:c r="K5" s="9" t="str">
        <x:v>提示“账号或密码错误”</x:v>
      </x:c>
      <x:c r="L5" s="10" t="str"/>
      <x:c r="M5" s="10" t="str">
        <x:v>未测</x:v>
      </x:c>
      <x:c r="N5" s="10" t="str"/>
      <x:c r="O5" s="9" t="str">
        <x:v>1. 来源（当前证据）：liveshow-proto/MainBasis/统一需求文档.md；位置：REQ-d7201c8835b7；行2709、REQ-dda7dbff3ea0；行2715
2. 规则：BR-7370c4335c830896
3. 未动态验证</x:v>
      </x:c>
    </x:row>
    <x:row r="6" ht="115" customHeight="1">
      <x:c r="A6" s="10" t="n">
        <x:v>5</x:v>
      </x:c>
      <x:c r="B6" s="10" t="str">
        <x:v>GUILD-01-0005</x:v>
      </x:c>
      <x:c r="C6" s="10" t="str">
        <x:v>登录与首页</x:v>
      </x:c>
      <x:c r="D6" s="10" t="str">
        <x:v>公会登录（公会长视角）</x:v>
      </x:c>
      <x:c r="E6" s="10" t="str">
        <x:v>异常用例</x:v>
      </x:c>
      <x:c r="F6" s="10" t="str">
        <x:v>P1</x:v>
      </x:c>
      <x:c r="G6" s="9" t="str">
        <x:v>验证密码错误时统一提示</x:v>
      </x:c>
      <x:c r="H6" s="9" t="str">
        <x:v>公会登录错误提示</x:v>
      </x:c>
      <x:c r="I6" s="9" t="str">
        <x:v>1. 执行角色为公会长
2. 业务数据已准备且本页已打开；表单和筛选保持下列指定状态
3. qa-unknown不存在；qa-chief已启用且正确密码QaChief!2026</x:v>
      </x:c>
      <x:c r="J6" s="9" t="str">
        <x:v>1. 查看公会登录页
2. 填写公会账号为qa-chief
3. 填写密码为Wrong!2026
4. 点击登录</x:v>
      </x:c>
      <x:c r="K6" s="9" t="str">
        <x:v>提示“账号或密码错误”</x:v>
      </x:c>
      <x:c r="L6" s="10" t="str"/>
      <x:c r="M6" s="10" t="str">
        <x:v>未测</x:v>
      </x:c>
      <x:c r="N6" s="10" t="str"/>
      <x:c r="O6" s="9" t="str">
        <x:v>1. 来源（当前证据）：liveshow-proto/MainBasis/统一需求文档.md；位置：REQ-d7201c8835b7；行2709、REQ-dda7dbff3ea0；行2715
2. 规则：BR-c3e3feca46829129
3. 未动态验证</x:v>
      </x:c>
    </x:row>
    <x:row r="7" ht="100" customHeight="1">
      <x:c r="A7" s="10" t="n">
        <x:v>6</x:v>
      </x:c>
      <x:c r="B7" s="10" t="str">
        <x:v>GUILD-01-0006</x:v>
      </x:c>
      <x:c r="C7" s="10" t="str">
        <x:v>登录与首页</x:v>
      </x:c>
      <x:c r="D7" s="10" t="str">
        <x:v>公会登录（公会长视角）</x:v>
      </x:c>
      <x:c r="E7" s="10" t="str">
        <x:v>逻辑校验</x:v>
      </x:c>
      <x:c r="F7" s="10" t="str">
        <x:v>P1</x:v>
      </x:c>
      <x:c r="G7" s="9" t="str">
        <x:v>验证停用公会长不能登录</x:v>
      </x:c>
      <x:c r="H7" s="9" t="str">
        <x:v>公会长停用登录限制</x:v>
      </x:c>
      <x:c r="I7" s="9" t="str">
        <x:v>1. 执行角色为公会长
2. 业务数据已准备且本页已打开；表单和筛选保持下列指定状态
3. 平台已经停用该公会长，密码仍为原正确值</x:v>
      </x:c>
      <x:c r="J7" s="9" t="str">
        <x:v>1. 查看公会登录页
2. 填写公会账号为已停用账号
3. 填写密码为原正确密码
4. 点击登录</x:v>
      </x:c>
      <x:c r="K7" s="9" t="str">
        <x:v>不能进入选择公会页</x:v>
      </x:c>
      <x:c r="L7" s="10" t="str">
        <x:v>FLOW-AEA28E2203</x:v>
      </x:c>
      <x:c r="M7" s="10" t="str">
        <x:v>未测</x:v>
      </x:c>
      <x:c r="N7" s="10" t="str"/>
      <x:c r="O7" s="9" t="str">
        <x:v>1. 来源（当前证据）：liveshow-proto/MainBasis/统一需求文档.md；位置：REQ-15b87f23d830；行2713
2. 规则：BR-3187f3fce55b43c3
3. 未动态验证</x:v>
      </x:c>
    </x:row>
    <x:row r="8" ht="85" customHeight="1">
      <x:c r="A8" s="10" t="n">
        <x:v>7</x:v>
      </x:c>
      <x:c r="B8" s="10" t="str">
        <x:v>GUILD-01-0007</x:v>
      </x:c>
      <x:c r="C8" s="10" t="str">
        <x:v>登录与首页</x:v>
      </x:c>
      <x:c r="D8" s="10" t="str">
        <x:v>公会登录（运营账号视角）</x:v>
      </x:c>
      <x:c r="E8" s="10" t="str">
        <x:v>逻辑校验</x:v>
      </x:c>
      <x:c r="F8" s="10" t="str">
        <x:v>P1</x:v>
      </x:c>
      <x:c r="G8" s="9" t="str">
        <x:v>验证运营账号不能冒用公会登录</x:v>
      </x:c>
      <x:c r="H8" s="9" t="str">
        <x:v>公会登录角色边界</x:v>
      </x:c>
      <x:c r="I8" s="9" t="str">
        <x:v>1. 执行角色为运营账号
2. 运营账号qa-ops及其密码有效</x:v>
      </x:c>
      <x:c r="J8" s="9" t="str">
        <x:v>1. 进入公会登录页
2. 填写公会账号为qa-ops
3. 填写密码为该运营账号密码
4. 点击登录</x:v>
      </x:c>
      <x:c r="K8" s="9" t="str">
        <x:v>不能进入选择公会页</x:v>
      </x:c>
      <x:c r="L8" s="10" t="str"/>
      <x:c r="M8" s="10" t="str">
        <x:v>未测</x:v>
      </x:c>
      <x:c r="N8" s="10" t="str"/>
      <x:c r="O8" s="9" t="str">
        <x:v>1. 来源（当前证据）：liveshow-proto/MainBasis/统一需求文档.md；位置：REQ-76a4e00d61ef；行2711
2. 规则：BR-c3ba98c0bd450da4
3. 未动态验证</x:v>
      </x:c>
    </x:row>
    <x:row r="9" ht="100" customHeight="1">
      <x:c r="A9" s="10" t="n">
        <x:v>8</x:v>
      </x:c>
      <x:c r="B9" s="10" t="str">
        <x:v>GUILD-01-0008</x:v>
      </x:c>
      <x:c r="C9" s="10" t="str">
        <x:v>登录与首页</x:v>
      </x:c>
      <x:c r="D9" s="10" t="str">
        <x:v>选择公会（公会长视角）</x:v>
      </x:c>
      <x:c r="E9" s="10" t="str">
        <x:v>逻辑校验</x:v>
      </x:c>
      <x:c r="F9" s="10" t="str">
        <x:v>P1</x:v>
      </x:c>
      <x:c r="G9" s="9" t="str">
        <x:v>验证选择公会限定管理范围</x:v>
      </x:c>
      <x:c r="H9" s="9" t="str">
        <x:v>可管理公会范围</x:v>
      </x:c>
      <x:c r="I9" s="9" t="str">
        <x:v>1. 执行角色为公会长
2. 业务数据已准备且本页已打开；表单和筛选保持下列指定状态
3. 账号可管理公会A和已解散B，无权管理C</x:v>
      </x:c>
      <x:c r="J9" s="9" t="str">
        <x:v>1. 查看选择公会页</x:v>
      </x:c>
      <x:c r="K9" s="9" t="str">
        <x:v>可选择公会仅包含A</x:v>
      </x:c>
      <x:c r="L9" s="10" t="str"/>
      <x:c r="M9" s="10" t="str">
        <x:v>未测</x:v>
      </x:c>
      <x:c r="N9" s="10" t="str"/>
      <x:c r="O9" s="9" t="str">
        <x:v>1. 来源（当前证据）：liveshow-proto/MainBasis/统一需求文档.md；位置：REQ-b8c4f29fd3e0；行2728
2. 规则：BR-e3a8c6b2eeaaaa71
3. 未动态验证</x:v>
      </x:c>
    </x:row>
    <x:row r="10" ht="85" customHeight="1">
      <x:c r="A10" s="10" t="n">
        <x:v>9</x:v>
      </x:c>
      <x:c r="B10" s="10" t="str">
        <x:v>GUILD-01-0009</x:v>
      </x:c>
      <x:c r="C10" s="10" t="str">
        <x:v>登录与首页</x:v>
      </x:c>
      <x:c r="D10" s="10" t="str">
        <x:v>选择公会（公会长视角）</x:v>
      </x:c>
      <x:c r="E10" s="10" t="str">
        <x:v>逻辑校验</x:v>
      </x:c>
      <x:c r="F10" s="10" t="str">
        <x:v>P1</x:v>
      </x:c>
      <x:c r="G10" s="9" t="str">
        <x:v>验证切换到另一可管理公会</x:v>
      </x:c>
      <x:c r="H10" s="9" t="str">
        <x:v>切换公会首页数据</x:v>
      </x:c>
      <x:c r="I10" s="9" t="str">
        <x:v>1. 执行角色为公会长
2. 业务数据已准备且本页已打开；表单和筛选保持下列指定状态
3. 当前为A，账号有权管理B</x:v>
      </x:c>
      <x:c r="J10" s="9" t="str">
        <x:v>1. 查看选择公会页
2. 点击选择公会B</x:v>
      </x:c>
      <x:c r="K10" s="9" t="str">
        <x:v>首页显示公会B</x:v>
      </x:c>
      <x:c r="L10" s="10" t="str"/>
      <x:c r="M10" s="10" t="str">
        <x:v>未测</x:v>
      </x:c>
      <x:c r="N10" s="10" t="str"/>
      <x:c r="O10" s="9" t="str">
        <x:v>1. 来源（当前证据）：liveshow-proto/MainBasis/统一需求文档.md；位置：REQ-b8cc4e99b745；行2730
2. 规则：BR-ebaf62c6b93f15b4
3. 未动态验证</x:v>
      </x:c>
    </x:row>
    <x:row r="11" ht="85" customHeight="1">
      <x:c r="A11" s="10" t="n">
        <x:v>10</x:v>
      </x:c>
      <x:c r="B11" s="10" t="str">
        <x:v>GUILD-01-0010</x:v>
      </x:c>
      <x:c r="C11" s="10" t="str">
        <x:v>登录与首页</x:v>
      </x:c>
      <x:c r="D11" s="10" t="str">
        <x:v>选择公会（公会长视角）</x:v>
      </x:c>
      <x:c r="E11" s="10" t="str">
        <x:v>功能需求</x:v>
      </x:c>
      <x:c r="F11" s="10" t="str">
        <x:v>P2</x:v>
      </x:c>
      <x:c r="G11" s="9" t="str">
        <x:v>验证选择公会页标记当前对象</x:v>
      </x:c>
      <x:c r="H11" s="9" t="str">
        <x:v>当前管理公会标识</x:v>
      </x:c>
      <x:c r="I11" s="9" t="str">
        <x:v>1. 执行角色为公会长
2. 业务数据已准备且本页已打开；表单和筛选保持下列指定状态
3. 当前管理公会为A</x:v>
      </x:c>
      <x:c r="J11" s="9" t="str">
        <x:v>1. 查看选择公会页</x:v>
      </x:c>
      <x:c r="K11" s="9" t="str">
        <x:v>公会A显示“当前公会”</x:v>
      </x:c>
      <x:c r="L11" s="10" t="str"/>
      <x:c r="M11" s="10" t="str">
        <x:v>未测</x:v>
      </x:c>
      <x:c r="N11" s="10" t="str"/>
      <x:c r="O11" s="9" t="str">
        <x:v>1. 来源（当前证据）：liveshow-proto/MainBasis/统一需求文档.md；位置：REQ-225adc4fd6df；行2726
2. 规则：BR-f302bb9f9491fc9a
3. 未动态验证</x:v>
      </x:c>
    </x:row>
    <x:row r="12" ht="115" customHeight="1">
      <x:c r="A12" s="10" t="n">
        <x:v>11</x:v>
      </x:c>
      <x:c r="B12" s="10" t="str">
        <x:v>GUILD-01-0011</x:v>
      </x:c>
      <x:c r="C12" s="10" t="str">
        <x:v>登录与首页</x:v>
      </x:c>
      <x:c r="D12" s="10" t="str">
        <x:v>首页（公会长视角）</x:v>
      </x:c>
      <x:c r="E12" s="10" t="str">
        <x:v>逻辑校验</x:v>
      </x:c>
      <x:c r="F12" s="10" t="str">
        <x:v>P1</x:v>
      </x:c>
      <x:c r="G12" s="9" t="str">
        <x:v>验证首页统计在播主播人数</x:v>
      </x:c>
      <x:c r="H12" s="9" t="str">
        <x:v>公会实时在播人数</x:v>
      </x:c>
      <x:c r="I12" s="9" t="str">
        <x:v>1. 执行角色为公会长
2. 业务数据已准备且本页已打开；表单和筛选保持下列指定状态
3. 公会A有主播甲、乙在播，丙已下播，其他公会另有主播在播</x:v>
      </x:c>
      <x:c r="J12" s="9" t="str">
        <x:v>1. 查看首页</x:v>
      </x:c>
      <x:c r="K12" s="9" t="str">
        <x:v>直播中显示2人</x:v>
      </x:c>
      <x:c r="L12" s="10" t="str"/>
      <x:c r="M12" s="10" t="str">
        <x:v>未测</x:v>
      </x:c>
      <x:c r="N12" s="10" t="str"/>
      <x:c r="O12" s="9" t="str">
        <x:v>1. 来源（当前证据）：liveshow-proto/MainBasis/统一需求文档.md；位置：REQ-e912d0aca3d6；行2743
2. 规则：BR-ab3e0bdd648eb8aa
3. 未动态验证</x:v>
      </x:c>
    </x:row>
    <x:row r="13" ht="100" customHeight="1">
      <x:c r="A13" s="10" t="n">
        <x:v>12</x:v>
      </x:c>
      <x:c r="B13" s="10" t="str">
        <x:v>GUILD-01-0012</x:v>
      </x:c>
      <x:c r="C13" s="10" t="str">
        <x:v>登录与首页</x:v>
      </x:c>
      <x:c r="D13" s="10" t="str">
        <x:v>首页（公会长视角）</x:v>
      </x:c>
      <x:c r="E13" s="10" t="str">
        <x:v>逻辑校验</x:v>
      </x:c>
      <x:c r="F13" s="10" t="str">
        <x:v>P1</x:v>
      </x:c>
      <x:c r="G13" s="9" t="str">
        <x:v>验证首页统计有效天达标主播</x:v>
      </x:c>
      <x:c r="H13" s="9" t="str">
        <x:v>公会有效天达标人数</x:v>
      </x:c>
      <x:c r="I13" s="9" t="str">
        <x:v>1. 执行角色为公会长
2. 业务数据已准备且本页已打开；表单和筛选保持下列指定状态
3. 当前公会甲当天有效直播180分钟、乙179分钟、丙360分钟</x:v>
      </x:c>
      <x:c r="J13" s="9" t="str">
        <x:v>1. 查看首页</x:v>
      </x:c>
      <x:c r="K13" s="9" t="str">
        <x:v>达成有效天显示2人</x:v>
      </x:c>
      <x:c r="L13" s="10" t="str"/>
      <x:c r="M13" s="10" t="str">
        <x:v>未测</x:v>
      </x:c>
      <x:c r="N13" s="10" t="str"/>
      <x:c r="O13" s="9" t="str">
        <x:v>1. 来源（当前证据）：liveshow-proto/MainBasis/统一需求文档.md；位置：REQ-6504613d1273；行2745
2. 规则：BR-828fcdb1a21dc768
3. 未动态验证</x:v>
      </x:c>
    </x:row>
    <x:row r="14" ht="115" customHeight="1">
      <x:c r="A14" s="10" t="n">
        <x:v>13</x:v>
      </x:c>
      <x:c r="B14" s="10" t="str">
        <x:v>GUILD-01-0013</x:v>
      </x:c>
      <x:c r="C14" s="10" t="str">
        <x:v>登录与首页</x:v>
      </x:c>
      <x:c r="D14" s="10" t="str">
        <x:v>首页（公会长视角）</x:v>
      </x:c>
      <x:c r="E14" s="10" t="str">
        <x:v>逻辑校验</x:v>
      </x:c>
      <x:c r="F14" s="10" t="str">
        <x:v>P1</x:v>
      </x:c>
      <x:c r="G14" s="9" t="str">
        <x:v>验证公会首页收益不等于最终分成</x:v>
      </x:c>
      <x:c r="H14" s="9" t="str">
        <x:v>公会当日金币收益</x:v>
      </x:c>
      <x:c r="I14" s="9" t="str">
        <x:v>1. 执行角色为公会长
2. 业务数据已准备且本页已打开；表单和筛选保持下列指定状态
3. 当天在会主播甲收益1000金币、乙500金币；财务上传分成为10美元</x:v>
      </x:c>
      <x:c r="J14" s="9" t="str">
        <x:v>1. 查看首页</x:v>
      </x:c>
      <x:c r="K14" s="9" t="str">
        <x:v>当日收益 = 1500</x:v>
      </x:c>
      <x:c r="L14" s="10" t="str"/>
      <x:c r="M14" s="10" t="str">
        <x:v>未测</x:v>
      </x:c>
      <x:c r="N14" s="10" t="str"/>
      <x:c r="O14" s="9" t="str">
        <x:v>1. 来源（当前证据）：liveshow-proto/MainBasis/统一需求文档.md；位置：REQ-6a94a8b12ee1；行2741
2. 规则：BR-653947a780c3633f
3. 未动态验证</x:v>
      </x:c>
    </x:row>
    <x:row r="15" ht="85" customHeight="1">
      <x:c r="A15" s="10" t="n">
        <x:v>14</x:v>
      </x:c>
      <x:c r="B15" s="10" t="str">
        <x:v>GUILD-01-0014</x:v>
      </x:c>
      <x:c r="C15" s="10" t="str">
        <x:v>登录与首页</x:v>
      </x:c>
      <x:c r="D15" s="10" t="str">
        <x:v>首页（公会长视角）</x:v>
      </x:c>
      <x:c r="E15" s="10" t="str">
        <x:v>功能需求</x:v>
      </x:c>
      <x:c r="F15" s="10" t="str">
        <x:v>P2</x:v>
      </x:c>
      <x:c r="G15" s="9" t="str">
        <x:v>验证首页进入公会名称</x:v>
      </x:c>
      <x:c r="H15" s="9" t="str">
        <x:v>公会首页公会名称入口</x:v>
      </x:c>
      <x:c r="I15" s="9" t="str">
        <x:v>1. 执行角色为公会长</x:v>
      </x:c>
      <x:c r="J15" s="9" t="str">
        <x:v>1. 进入首页
2. 点击公会名称</x:v>
      </x:c>
      <x:c r="K15" s="9" t="str">
        <x:v>进入选择公会页</x:v>
      </x:c>
      <x:c r="L15" s="10" t="str"/>
      <x:c r="M15" s="10" t="str">
        <x:v>未测</x:v>
      </x:c>
      <x:c r="N15" s="10" t="str"/>
      <x:c r="O15" s="9" t="str">
        <x:v>1. 来源（当前证据）：liveshow-proto/MainBasis/统一需求文档.md；位置：REQ-6913df3ee9d5；行2735
2. 规则：BR-afc975d7aec5f379
3. 未动态验证</x:v>
      </x:c>
    </x:row>
    <x:row r="16" ht="85" customHeight="1">
      <x:c r="A16" s="10" t="n">
        <x:v>15</x:v>
      </x:c>
      <x:c r="B16" s="10" t="str">
        <x:v>GUILD-01-0015</x:v>
      </x:c>
      <x:c r="C16" s="10" t="str">
        <x:v>登录与首页</x:v>
      </x:c>
      <x:c r="D16" s="10" t="str">
        <x:v>首页（公会长视角）</x:v>
      </x:c>
      <x:c r="E16" s="10" t="str">
        <x:v>功能需求</x:v>
      </x:c>
      <x:c r="F16" s="10" t="str">
        <x:v>P2</x:v>
      </x:c>
      <x:c r="G16" s="9" t="str">
        <x:v>验证首页进入通知</x:v>
      </x:c>
      <x:c r="H16" s="9" t="str">
        <x:v>公会首页通知入口</x:v>
      </x:c>
      <x:c r="I16" s="9" t="str">
        <x:v>1. 执行角色为公会长</x:v>
      </x:c>
      <x:c r="J16" s="9" t="str">
        <x:v>1. 进入首页
2. 点击通知</x:v>
      </x:c>
      <x:c r="K16" s="9" t="str">
        <x:v>进入通知消息页</x:v>
      </x:c>
      <x:c r="L16" s="10" t="str"/>
      <x:c r="M16" s="10" t="str">
        <x:v>未测</x:v>
      </x:c>
      <x:c r="N16" s="10" t="str"/>
      <x:c r="O16" s="9" t="str">
        <x:v>1. 来源（当前证据）：liveshow-proto/MainBasis/统一需求文档.md；位置：REQ-3b9a4901a62b；行2737
2. 规则：BR-33ec54d6a4622fdb
3. 未动态验证</x:v>
      </x:c>
    </x:row>
    <x:row r="17" ht="85" customHeight="1">
      <x:c r="A17" s="10" t="n">
        <x:v>16</x:v>
      </x:c>
      <x:c r="B17" s="10" t="str">
        <x:v>GUILD-01-0016</x:v>
      </x:c>
      <x:c r="C17" s="10" t="str">
        <x:v>登录与首页</x:v>
      </x:c>
      <x:c r="D17" s="10" t="str">
        <x:v>首页（公会长视角）</x:v>
      </x:c>
      <x:c r="E17" s="10" t="str">
        <x:v>功能需求</x:v>
      </x:c>
      <x:c r="F17" s="10" t="str">
        <x:v>P2</x:v>
      </x:c>
      <x:c r="G17" s="9" t="str">
        <x:v>验证首页进入账号设置</x:v>
      </x:c>
      <x:c r="H17" s="9" t="str">
        <x:v>公会首页账号设置入口</x:v>
      </x:c>
      <x:c r="I17" s="9" t="str">
        <x:v>1. 执行角色为公会长</x:v>
      </x:c>
      <x:c r="J17" s="9" t="str">
        <x:v>1. 进入首页
2. 点击账号设置</x:v>
      </x:c>
      <x:c r="K17" s="9" t="str">
        <x:v>进入账号设置页</x:v>
      </x:c>
      <x:c r="L17" s="10" t="str"/>
      <x:c r="M17" s="10" t="str">
        <x:v>未测</x:v>
      </x:c>
      <x:c r="N17" s="10" t="str"/>
      <x:c r="O17" s="9" t="str">
        <x:v>1. 来源（当前证据）：liveshow-proto/MainBasis/统一需求文档.md；位置：REQ-498d6cecdd5e；行2739
2. 规则：BR-a30ba998c71491cb
3. 未动态验证</x:v>
      </x:c>
    </x:row>
    <x:row r="18" ht="85" customHeight="1">
      <x:c r="A18" s="10" t="n">
        <x:v>17</x:v>
      </x:c>
      <x:c r="B18" s="10" t="str">
        <x:v>GUILD-01-0017</x:v>
      </x:c>
      <x:c r="C18" s="10" t="str">
        <x:v>登录与首页</x:v>
      </x:c>
      <x:c r="D18" s="10" t="str">
        <x:v>首页（公会长视角）</x:v>
      </x:c>
      <x:c r="E18" s="10" t="str">
        <x:v>功能需求</x:v>
      </x:c>
      <x:c r="F18" s="10" t="str">
        <x:v>P2</x:v>
      </x:c>
      <x:c r="G18" s="9" t="str">
        <x:v>验证首页进入今日概况</x:v>
      </x:c>
      <x:c r="H18" s="9" t="str">
        <x:v>公会首页今日概况入口</x:v>
      </x:c>
      <x:c r="I18" s="9" t="str">
        <x:v>1. 执行角色为公会长</x:v>
      </x:c>
      <x:c r="J18" s="9" t="str">
        <x:v>1. 进入首页
2. 点击今日概况</x:v>
      </x:c>
      <x:c r="K18" s="9" t="str">
        <x:v>进入当日经营详情页</x:v>
      </x:c>
      <x:c r="L18" s="10" t="str"/>
      <x:c r="M18" s="10" t="str">
        <x:v>未测</x:v>
      </x:c>
      <x:c r="N18" s="10" t="str"/>
      <x:c r="O18" s="9" t="str">
        <x:v>1. 来源（当前证据）：liveshow-proto/MainBasis/统一需求文档.md；位置：REQ-1d3b1a61a3da；行2751
2. 规则：BR-911050145e1af928
3. 未动态验证</x:v>
      </x:c>
    </x:row>
    <x:row r="19" ht="100" customHeight="1">
      <x:c r="A19" s="10" t="n">
        <x:v>18</x:v>
      </x:c>
      <x:c r="B19" s="10" t="str">
        <x:v>GUILD-01-0018</x:v>
      </x:c>
      <x:c r="C19" s="10" t="str">
        <x:v>登录与首页</x:v>
      </x:c>
      <x:c r="D19" s="10" t="str">
        <x:v>通知消息（公会长视角）</x:v>
      </x:c>
      <x:c r="E19" s="10" t="str">
        <x:v>功能需求</x:v>
      </x:c>
      <x:c r="F19" s="10" t="str">
        <x:v>P2</x:v>
      </x:c>
      <x:c r="G19" s="9" t="str">
        <x:v>验证公会通知展示入会申请事件</x:v>
      </x:c>
      <x:c r="H19" s="9" t="str">
        <x:v>公会入会申请通知</x:v>
      </x:c>
      <x:c r="I19" s="9" t="str">
        <x:v>1. 执行角色为公会长
2. 业务数据已准备且本页已打开；表单和筛选保持下列指定状态
3. 环境准备：当前管理公会已产生一条入会申请通知</x:v>
      </x:c>
      <x:c r="J19" s="9" t="str">
        <x:v>1. 查看通知消息页</x:v>
      </x:c>
      <x:c r="K19" s="9" t="str">
        <x:v>列表显示该入会申请通知</x:v>
      </x:c>
      <x:c r="L19" s="10" t="str">
        <x:v>FLOW-B8276CAE9E</x:v>
      </x:c>
      <x:c r="M19" s="10" t="str">
        <x:v>未测</x:v>
      </x:c>
      <x:c r="N19" s="10" t="str"/>
      <x:c r="O19" s="9" t="str">
        <x:v>1. 来源（当前证据）：liveshow-proto/MainBasis/统一需求文档.md；位置：REQ-fbccc72d47be；行2764
2. 规则：BR-0713ce85ed118e64
3. 未动态验证</x:v>
      </x:c>
    </x:row>
    <x:row r="20" ht="100" customHeight="1">
      <x:c r="A20" s="10" t="n">
        <x:v>19</x:v>
      </x:c>
      <x:c r="B20" s="10" t="str">
        <x:v>GUILD-01-0019</x:v>
      </x:c>
      <x:c r="C20" s="10" t="str">
        <x:v>登录与首页</x:v>
      </x:c>
      <x:c r="D20" s="10" t="str">
        <x:v>通知消息（公会长视角）</x:v>
      </x:c>
      <x:c r="E20" s="10" t="str">
        <x:v>功能需求</x:v>
      </x:c>
      <x:c r="F20" s="10" t="str">
        <x:v>P2</x:v>
      </x:c>
      <x:c r="G20" s="9" t="str">
        <x:v>验证公会通知展示平台终审结果事件</x:v>
      </x:c>
      <x:c r="H20" s="9" t="str">
        <x:v>公会平台终审结果通知</x:v>
      </x:c>
      <x:c r="I20" s="9" t="str">
        <x:v>1. 执行角色为公会长
2. 业务数据已准备且本页已打开；表单和筛选保持下列指定状态
3. 环境准备：当前管理公会已产生一条平台终审结果通知</x:v>
      </x:c>
      <x:c r="J20" s="9" t="str">
        <x:v>1. 查看通知消息页</x:v>
      </x:c>
      <x:c r="K20" s="9" t="str">
        <x:v>列表显示该平台终审结果通知</x:v>
      </x:c>
      <x:c r="L20" s="10" t="str"/>
      <x:c r="M20" s="10" t="str">
        <x:v>未测</x:v>
      </x:c>
      <x:c r="N20" s="10" t="str"/>
      <x:c r="O20" s="9" t="str">
        <x:v>1. 来源（当前证据）：liveshow-proto/MainBasis/统一需求文档.md；位置：REQ-fbccc72d47be；行2764
2. 规则：BR-91c6a97275f87f2f
3. 未动态验证</x:v>
      </x:c>
    </x:row>
    <x:row r="21" ht="100" customHeight="1">
      <x:c r="A21" s="10" t="n">
        <x:v>20</x:v>
      </x:c>
      <x:c r="B21" s="10" t="str">
        <x:v>GUILD-01-0020</x:v>
      </x:c>
      <x:c r="C21" s="10" t="str">
        <x:v>登录与首页</x:v>
      </x:c>
      <x:c r="D21" s="10" t="str">
        <x:v>通知消息（公会长视角）</x:v>
      </x:c>
      <x:c r="E21" s="10" t="str">
        <x:v>功能需求</x:v>
      </x:c>
      <x:c r="F21" s="10" t="str">
        <x:v>P2</x:v>
      </x:c>
      <x:c r="G21" s="9" t="str">
        <x:v>验证公会通知展示退会申请事件</x:v>
      </x:c>
      <x:c r="H21" s="9" t="str">
        <x:v>公会退会申请通知</x:v>
      </x:c>
      <x:c r="I21" s="9" t="str">
        <x:v>1. 执行角色为公会长
2. 业务数据已准备且本页已打开；表单和筛选保持下列指定状态
3. 环境准备：当前管理公会已产生一条退会申请通知</x:v>
      </x:c>
      <x:c r="J21" s="9" t="str">
        <x:v>1. 查看通知消息页</x:v>
      </x:c>
      <x:c r="K21" s="9" t="str">
        <x:v>列表显示该退会申请通知</x:v>
      </x:c>
      <x:c r="L21" s="10" t="str">
        <x:v>FLOW-289CDBD17D</x:v>
      </x:c>
      <x:c r="M21" s="10" t="str">
        <x:v>未测</x:v>
      </x:c>
      <x:c r="N21" s="10" t="str"/>
      <x:c r="O21" s="9" t="str">
        <x:v>1. 来源（当前证据）：liveshow-proto/MainBasis/统一需求文档.md；位置：REQ-fbccc72d47be；行2764
2. 规则：BR-153e02739d29be76
3. 未动态验证</x:v>
      </x:c>
    </x:row>
    <x:row r="22" ht="100" customHeight="1">
      <x:c r="A22" s="10" t="n">
        <x:v>21</x:v>
      </x:c>
      <x:c r="B22" s="10" t="str">
        <x:v>GUILD-01-0021</x:v>
      </x:c>
      <x:c r="C22" s="10" t="str">
        <x:v>登录与首页</x:v>
      </x:c>
      <x:c r="D22" s="10" t="str">
        <x:v>通知消息（公会长视角）</x:v>
      </x:c>
      <x:c r="E22" s="10" t="str">
        <x:v>功能需求</x:v>
      </x:c>
      <x:c r="F22" s="10" t="str">
        <x:v>P2</x:v>
      </x:c>
      <x:c r="G22" s="9" t="str">
        <x:v>验证公会通知展示直播权限事件</x:v>
      </x:c>
      <x:c r="H22" s="9" t="str">
        <x:v>公会直播权限通知</x:v>
      </x:c>
      <x:c r="I22" s="9" t="str">
        <x:v>1. 执行角色为公会长
2. 业务数据已准备且本页已打开；表单和筛选保持下列指定状态
3. 环境准备：当前管理公会已产生一条直播权限通知</x:v>
      </x:c>
      <x:c r="J22" s="9" t="str">
        <x:v>1. 查看通知消息页</x:v>
      </x:c>
      <x:c r="K22" s="9" t="str">
        <x:v>列表显示该直播权限通知</x:v>
      </x:c>
      <x:c r="L22" s="10" t="str"/>
      <x:c r="M22" s="10" t="str">
        <x:v>未测</x:v>
      </x:c>
      <x:c r="N22" s="10" t="str"/>
      <x:c r="O22" s="9" t="str">
        <x:v>1. 来源（当前证据）：liveshow-proto/MainBasis/统一需求文档.md；位置：REQ-4d0543771bfa；行2766
2. 规则：BR-b39dcfa93163b2d4
3. 未动态验证</x:v>
      </x:c>
    </x:row>
    <x:row r="23" ht="100" customHeight="1">
      <x:c r="A23" s="10" t="n">
        <x:v>22</x:v>
      </x:c>
      <x:c r="B23" s="10" t="str">
        <x:v>GUILD-01-0022</x:v>
      </x:c>
      <x:c r="C23" s="10" t="str">
        <x:v>登录与首页</x:v>
      </x:c>
      <x:c r="D23" s="10" t="str">
        <x:v>通知消息（公会长视角）</x:v>
      </x:c>
      <x:c r="E23" s="10" t="str">
        <x:v>功能需求</x:v>
      </x:c>
      <x:c r="F23" s="10" t="str">
        <x:v>P2</x:v>
      </x:c>
      <x:c r="G23" s="9" t="str">
        <x:v>验证公会通知展示公会状态事件</x:v>
      </x:c>
      <x:c r="H23" s="9" t="str">
        <x:v>公会公会状态通知</x:v>
      </x:c>
      <x:c r="I23" s="9" t="str">
        <x:v>1. 执行角色为公会长
2. 业务数据已准备且本页已打开；表单和筛选保持下列指定状态
3. 环境准备：当前管理公会已产生一条公会状态通知</x:v>
      </x:c>
      <x:c r="J23" s="9" t="str">
        <x:v>1. 查看通知消息页</x:v>
      </x:c>
      <x:c r="K23" s="9" t="str">
        <x:v>列表显示该公会状态通知</x:v>
      </x:c>
      <x:c r="L23" s="10" t="str"/>
      <x:c r="M23" s="10" t="str">
        <x:v>未测</x:v>
      </x:c>
      <x:c r="N23" s="10" t="str"/>
      <x:c r="O23" s="9" t="str">
        <x:v>1. 来源（当前证据）：liveshow-proto/MainBasis/统一需求文档.md；位置：REQ-ad9fa1638ecd；行2768
2. 规则：BR-b79b8a8add69b0d4
3. 未动态验证</x:v>
      </x:c>
    </x:row>
    <x:row r="24" ht="100" customHeight="1">
      <x:c r="A24" s="10" t="n">
        <x:v>23</x:v>
      </x:c>
      <x:c r="B24" s="10" t="str">
        <x:v>GUILD-01-0023</x:v>
      </x:c>
      <x:c r="C24" s="10" t="str">
        <x:v>登录与首页</x:v>
      </x:c>
      <x:c r="D24" s="10" t="str">
        <x:v>通知消息（公会长视角）</x:v>
      </x:c>
      <x:c r="E24" s="10" t="str">
        <x:v>功能需求</x:v>
      </x:c>
      <x:c r="F24" s="10" t="str">
        <x:v>P2</x:v>
      </x:c>
      <x:c r="G24" s="9" t="str">
        <x:v>验证公会通知展示运营账号管理权限事件</x:v>
      </x:c>
      <x:c r="H24" s="9" t="str">
        <x:v>公会运营账号管理权限通知</x:v>
      </x:c>
      <x:c r="I24" s="9" t="str">
        <x:v>1. 执行角色为公会长
2. 业务数据已准备且本页已打开；表单和筛选保持下列指定状态
3. 环境准备：当前管理公会已产生一条运营账号管理权限通知</x:v>
      </x:c>
      <x:c r="J24" s="9" t="str">
        <x:v>1. 查看通知消息页</x:v>
      </x:c>
      <x:c r="K24" s="9" t="str">
        <x:v>列表显示该运营账号管理权限通知</x:v>
      </x:c>
      <x:c r="L24" s="10" t="str"/>
      <x:c r="M24" s="10" t="str">
        <x:v>未测</x:v>
      </x:c>
      <x:c r="N24" s="10" t="str"/>
      <x:c r="O24" s="9" t="str">
        <x:v>1. 来源（当前证据）：liveshow-proto/MainBasis/统一需求文档.md；位置：REQ-ad9fa1638ecd；行2768
2. 规则：BR-00025ff71ffe0cc5
3. 未动态验证</x:v>
      </x:c>
    </x:row>
    <x:row r="25" ht="100" customHeight="1">
      <x:c r="A25" s="10" t="n">
        <x:v>24</x:v>
      </x:c>
      <x:c r="B25" s="10" t="str">
        <x:v>GUILD-01-0024</x:v>
      </x:c>
      <x:c r="C25" s="10" t="str">
        <x:v>登录与首页</x:v>
      </x:c>
      <x:c r="D25" s="10" t="str">
        <x:v>通知消息（公会长视角）</x:v>
      </x:c>
      <x:c r="E25" s="10" t="str">
        <x:v>功能需求</x:v>
      </x:c>
      <x:c r="F25" s="10" t="str">
        <x:v>P2</x:v>
      </x:c>
      <x:c r="G25" s="9" t="str">
        <x:v>验证公会通知展示主播分成事件</x:v>
      </x:c>
      <x:c r="H25" s="9" t="str">
        <x:v>公会主播分成通知</x:v>
      </x:c>
      <x:c r="I25" s="9" t="str">
        <x:v>1. 执行角色为公会长
2. 业务数据已准备且本页已打开；表单和筛选保持下列指定状态
3. 环境准备：当前管理公会已产生一条主播分成通知</x:v>
      </x:c>
      <x:c r="J25" s="9" t="str">
        <x:v>1. 查看通知消息页</x:v>
      </x:c>
      <x:c r="K25" s="9" t="str">
        <x:v>列表显示该主播分成通知</x:v>
      </x:c>
      <x:c r="L25" s="10" t="str"/>
      <x:c r="M25" s="10" t="str">
        <x:v>未测</x:v>
      </x:c>
      <x:c r="N25" s="10" t="str"/>
      <x:c r="O25" s="9" t="str">
        <x:v>1. 来源（当前证据）：liveshow-proto/MainBasis/统一需求文档.md；位置：REQ-bb6cd0c38874；行2770
2. 规则：BR-4d0c6665d9fffab5
3. 未动态验证</x:v>
      </x:c>
    </x:row>
    <x:row r="26" ht="100" customHeight="1">
      <x:c r="A26" s="10" t="n">
        <x:v>25</x:v>
      </x:c>
      <x:c r="B26" s="10" t="str">
        <x:v>GUILD-01-0025</x:v>
      </x:c>
      <x:c r="C26" s="10" t="str">
        <x:v>登录与首页</x:v>
      </x:c>
      <x:c r="D26" s="10" t="str">
        <x:v>通知消息（公会长视角）</x:v>
      </x:c>
      <x:c r="E26" s="10" t="str">
        <x:v>功能需求</x:v>
      </x:c>
      <x:c r="F26" s="10" t="str">
        <x:v>P2</x:v>
      </x:c>
      <x:c r="G26" s="9" t="str">
        <x:v>验证公会通知展示公会分成事件</x:v>
      </x:c>
      <x:c r="H26" s="9" t="str">
        <x:v>公会公会分成通知</x:v>
      </x:c>
      <x:c r="I26" s="9" t="str">
        <x:v>1. 执行角色为公会长
2. 业务数据已准备且本页已打开；表单和筛选保持下列指定状态
3. 环境准备：当前管理公会已产生一条公会分成通知</x:v>
      </x:c>
      <x:c r="J26" s="9" t="str">
        <x:v>1. 查看通知消息页</x:v>
      </x:c>
      <x:c r="K26" s="9" t="str">
        <x:v>列表显示该公会分成通知</x:v>
      </x:c>
      <x:c r="L26" s="10" t="str"/>
      <x:c r="M26" s="10" t="str">
        <x:v>未测</x:v>
      </x:c>
      <x:c r="N26" s="10" t="str"/>
      <x:c r="O26" s="9" t="str">
        <x:v>1. 来源（当前证据）：liveshow-proto/MainBasis/统一需求文档.md；位置：REQ-bb6cd0c38874；行2770
2. 规则：BR-a7c3084e35eb4a66
3. 未动态验证</x:v>
      </x:c>
    </x:row>
    <x:row r="27" ht="85" customHeight="1">
      <x:c r="A27" s="10" t="n">
        <x:v>26</x:v>
      </x:c>
      <x:c r="B27" s="10" t="str">
        <x:v>GUILD-01-0026</x:v>
      </x:c>
      <x:c r="C27" s="10" t="str">
        <x:v>登录与首页</x:v>
      </x:c>
      <x:c r="D27" s="10" t="str">
        <x:v>通知详情（公会长视角）</x:v>
      </x:c>
      <x:c r="E27" s="10" t="str">
        <x:v>功能需求</x:v>
      </x:c>
      <x:c r="F27" s="10" t="str">
        <x:v>P2</x:v>
      </x:c>
      <x:c r="G27" s="9" t="str">
        <x:v>验证进入公会通知详情标记已读</x:v>
      </x:c>
      <x:c r="H27" s="9" t="str">
        <x:v>公会通知已读更新</x:v>
      </x:c>
      <x:c r="I27" s="9" t="str">
        <x:v>1. 执行角色为公会长
2. 通知N当前未读</x:v>
      </x:c>
      <x:c r="J27" s="9" t="str">
        <x:v>1. 进入通知消息页
2. 点击通知N
3. 返回通知列表</x:v>
      </x:c>
      <x:c r="K27" s="9" t="str">
        <x:v>N不再显示未读标记</x:v>
      </x:c>
      <x:c r="L27" s="10" t="str"/>
      <x:c r="M27" s="10" t="str">
        <x:v>未测</x:v>
      </x:c>
      <x:c r="N27" s="10" t="str"/>
      <x:c r="O27" s="9" t="str">
        <x:v>1. 来源（当前证据）：liveshow-proto/MainBasis/统一需求文档.md；位置：REQ-f325634a9fac；行2785
2. 规则：BR-23e35e3f544ec15c
3. 未动态验证</x:v>
      </x:c>
    </x:row>
    <x:row r="28" ht="100" customHeight="1">
      <x:c r="A28" s="10" t="n">
        <x:v>27</x:v>
      </x:c>
      <x:c r="B28" s="10" t="str">
        <x:v>GUILD-01-0027</x:v>
      </x:c>
      <x:c r="C28" s="10" t="str">
        <x:v>登录与首页</x:v>
      </x:c>
      <x:c r="D28" s="10" t="str">
        <x:v>通知详情（公会长视角）</x:v>
      </x:c>
      <x:c r="E28" s="10" t="str">
        <x:v>逻辑校验</x:v>
      </x:c>
      <x:c r="F28" s="10" t="str">
        <x:v>P1</x:v>
      </x:c>
      <x:c r="G28" s="9" t="str">
        <x:v>验证有权限查看通知关联业务</x:v>
      </x:c>
      <x:c r="H28" s="9" t="str">
        <x:v>公会通知关联入口权限</x:v>
      </x:c>
      <x:c r="I28" s="9" t="str">
        <x:v>1. 执行角色为公会长
2. 业务数据已准备且本页已打开；表单和筛选保持下列指定状态
3. 当前通知关联入会申请单，账号有访问该记录权限</x:v>
      </x:c>
      <x:c r="J28" s="9" t="str">
        <x:v>1. 查看通知详情页</x:v>
      </x:c>
      <x:c r="K28" s="9" t="str">
        <x:v>显示关联业务入口</x:v>
      </x:c>
      <x:c r="L28" s="10" t="str"/>
      <x:c r="M28" s="10" t="str">
        <x:v>未测</x:v>
      </x:c>
      <x:c r="N28" s="10" t="str"/>
      <x:c r="O28" s="9" t="str">
        <x:v>1. 来源（当前证据）：liveshow-proto/MainBasis/统一需求文档.md；位置：REQ-90d3a493f427；行2783
2. 规则：BR-563f53e5f8730657
3. 未动态验证</x:v>
      </x:c>
    </x:row>
    <x:row r="29" ht="100" customHeight="1">
      <x:c r="A29" s="10" t="n">
        <x:v>28</x:v>
      </x:c>
      <x:c r="B29" s="10" t="str">
        <x:v>GUILD-01-0028</x:v>
      </x:c>
      <x:c r="C29" s="10" t="str">
        <x:v>登录与首页</x:v>
      </x:c>
      <x:c r="D29" s="10" t="str">
        <x:v>通知详情（公会长视角）</x:v>
      </x:c>
      <x:c r="E29" s="10" t="str">
        <x:v>逻辑校验</x:v>
      </x:c>
      <x:c r="F29" s="10" t="str">
        <x:v>P1</x:v>
      </x:c>
      <x:c r="G29" s="9" t="str">
        <x:v>验证无权限查看通知关联业务</x:v>
      </x:c>
      <x:c r="H29" s="9" t="str">
        <x:v>公会通知关联入口权限</x:v>
      </x:c>
      <x:c r="I29" s="9" t="str">
        <x:v>1. 执行角色为公会长
2. 业务数据已准备且本页已打开；表单和筛选保持下列指定状态
3. 当前通知关联入会申请单，账号无访问该记录权限</x:v>
      </x:c>
      <x:c r="J29" s="9" t="str">
        <x:v>1. 查看通知详情页</x:v>
      </x:c>
      <x:c r="K29" s="9" t="str">
        <x:v>不显示关联业务入口</x:v>
      </x:c>
      <x:c r="L29" s="10" t="str"/>
      <x:c r="M29" s="10" t="str">
        <x:v>未测</x:v>
      </x:c>
      <x:c r="N29" s="10" t="str"/>
      <x:c r="O29" s="9" t="str">
        <x:v>1. 来源（当前证据）：liveshow-proto/MainBasis/统一需求文档.md；位置：REQ-90d3a493f427；行2783
2. 规则：BR-f94853117bf9eefe
3. 未动态验证</x:v>
      </x:c>
    </x:row>
    <x:row r="30" ht="85" customHeight="1">
      <x:c r="A30" s="10" t="n">
        <x:v>29</x:v>
      </x:c>
      <x:c r="B30" s="10" t="str">
        <x:v>GUILD-02-0001</x:v>
      </x:c>
      <x:c r="C30" s="10" t="str">
        <x:v>主播管理</x:v>
      </x:c>
      <x:c r="D30" s="10" t="str">
        <x:v>入会申请（公会长视角）</x:v>
      </x:c>
      <x:c r="E30" s="10" t="str">
        <x:v>功能需求</x:v>
      </x:c>
      <x:c r="F30" s="10" t="str">
        <x:v>P2</x:v>
      </x:c>
      <x:c r="G30" s="9" t="str">
        <x:v>验证入会申请默认待处理列表</x:v>
      </x:c>
      <x:c r="H30" s="9" t="str">
        <x:v>入会默认状态筛选</x:v>
      </x:c>
      <x:c r="I30" s="9" t="str">
        <x:v>1. 执行角色为公会长</x:v>
      </x:c>
      <x:c r="J30" s="9" t="str">
        <x:v>1. 进入入会申请页</x:v>
      </x:c>
      <x:c r="K30" s="9" t="str">
        <x:v>选中审核中Tab</x:v>
      </x:c>
      <x:c r="L30" s="10" t="str"/>
      <x:c r="M30" s="10" t="str">
        <x:v>未测</x:v>
      </x:c>
      <x:c r="N30" s="10" t="str"/>
      <x:c r="O30" s="9" t="str">
        <x:v>1. 来源（当前证据）：liveshow-proto/MainBasis/统一需求文档.md；位置：REQ-7c3feec7bb55；行2790
2. 规则：BR-471104864aeb920b
3. 未动态验证</x:v>
      </x:c>
    </x:row>
    <x:row r="31" ht="100" customHeight="1">
      <x:c r="A31" s="10" t="n">
        <x:v>30</x:v>
      </x:c>
      <x:c r="B31" s="10" t="str">
        <x:v>GUILD-02-0002</x:v>
      </x:c>
      <x:c r="C31" s="10" t="str">
        <x:v>主播管理</x:v>
      </x:c>
      <x:c r="D31" s="10" t="str">
        <x:v>入会申请（公会长视角）</x:v>
      </x:c>
      <x:c r="E31" s="10" t="str">
        <x:v>逻辑校验</x:v>
      </x:c>
      <x:c r="F31" s="10" t="str">
        <x:v>P1</x:v>
      </x:c>
      <x:c r="G31" s="9" t="str">
        <x:v>验证入会列表筛选审核中</x:v>
      </x:c>
      <x:c r="H31" s="9" t="str">
        <x:v>入会审核中列表范围</x:v>
      </x:c>
      <x:c r="I31" s="9" t="str">
        <x:v>1. 执行角色为公会长
2. 业务数据已准备且本页已打开；表单和筛选保持下列指定状态
3. 当前公会有审核中及其他状态申请</x:v>
      </x:c>
      <x:c r="J31" s="9" t="str">
        <x:v>1. 查看入会申请页
2. 切换审核中</x:v>
      </x:c>
      <x:c r="K31" s="9" t="str">
        <x:v>只显示属于审核中分类的申请</x:v>
      </x:c>
      <x:c r="L31" s="10" t="str"/>
      <x:c r="M31" s="10" t="str">
        <x:v>未测</x:v>
      </x:c>
      <x:c r="N31" s="10" t="str"/>
      <x:c r="O31" s="9" t="str">
        <x:v>1. 来源（当前证据）：liveshow-proto/MainBasis/统一需求文档.md；位置：REQ-2627f61b5dcf；行2804
2. 规则：BR-5fb381bb880bbaf5
3. 未动态验证</x:v>
      </x:c>
    </x:row>
    <x:row r="32" ht="100" customHeight="1">
      <x:c r="A32" s="10" t="n">
        <x:v>31</x:v>
      </x:c>
      <x:c r="B32" s="10" t="str">
        <x:v>GUILD-02-0003</x:v>
      </x:c>
      <x:c r="C32" s="10" t="str">
        <x:v>主播管理</x:v>
      </x:c>
      <x:c r="D32" s="10" t="str">
        <x:v>入会申请（公会长视角）</x:v>
      </x:c>
      <x:c r="E32" s="10" t="str">
        <x:v>逻辑校验</x:v>
      </x:c>
      <x:c r="F32" s="10" t="str">
        <x:v>P1</x:v>
      </x:c>
      <x:c r="G32" s="9" t="str">
        <x:v>验证入会列表筛选已通过</x:v>
      </x:c>
      <x:c r="H32" s="9" t="str">
        <x:v>入会已通过列表范围</x:v>
      </x:c>
      <x:c r="I32" s="9" t="str">
        <x:v>1. 执行角色为公会长
2. 业务数据已准备且本页已打开；表单和筛选保持下列指定状态
3. 当前公会有已通过及其他状态申请</x:v>
      </x:c>
      <x:c r="J32" s="9" t="str">
        <x:v>1. 查看入会申请页
2. 切换已通过</x:v>
      </x:c>
      <x:c r="K32" s="9" t="str">
        <x:v>只显示属于已通过分类的申请</x:v>
      </x:c>
      <x:c r="L32" s="10" t="str"/>
      <x:c r="M32" s="10" t="str">
        <x:v>未测</x:v>
      </x:c>
      <x:c r="N32" s="10" t="str"/>
      <x:c r="O32" s="9" t="str">
        <x:v>1. 来源（当前证据）：liveshow-proto/MainBasis/统一需求文档.md；位置：REQ-2627f61b5dcf；行2804
2. 规则：BR-41711b073870108c
3. 未动态验证</x:v>
      </x:c>
    </x:row>
    <x:row r="33" ht="100" customHeight="1">
      <x:c r="A33" s="10" t="n">
        <x:v>32</x:v>
      </x:c>
      <x:c r="B33" s="10" t="str">
        <x:v>GUILD-02-0004</x:v>
      </x:c>
      <x:c r="C33" s="10" t="str">
        <x:v>主播管理</x:v>
      </x:c>
      <x:c r="D33" s="10" t="str">
        <x:v>入会申请（公会长视角）</x:v>
      </x:c>
      <x:c r="E33" s="10" t="str">
        <x:v>逻辑校验</x:v>
      </x:c>
      <x:c r="F33" s="10" t="str">
        <x:v>P1</x:v>
      </x:c>
      <x:c r="G33" s="9" t="str">
        <x:v>验证入会列表筛选已驳回</x:v>
      </x:c>
      <x:c r="H33" s="9" t="str">
        <x:v>入会已驳回列表范围</x:v>
      </x:c>
      <x:c r="I33" s="9" t="str">
        <x:v>1. 执行角色为公会长
2. 业务数据已准备且本页已打开；表单和筛选保持下列指定状态
3. 当前公会有已驳回及其他状态申请</x:v>
      </x:c>
      <x:c r="J33" s="9" t="str">
        <x:v>1. 查看入会申请页
2. 切换已驳回</x:v>
      </x:c>
      <x:c r="K33" s="9" t="str">
        <x:v>只显示属于已驳回分类的申请</x:v>
      </x:c>
      <x:c r="L33" s="10" t="str"/>
      <x:c r="M33" s="10" t="str">
        <x:v>未测</x:v>
      </x:c>
      <x:c r="N33" s="10" t="str"/>
      <x:c r="O33" s="9" t="str">
        <x:v>1. 来源（当前证据）：liveshow-proto/MainBasis/统一需求文档.md；位置：REQ-2627f61b5dcf；行2804
2. 规则：BR-faca3f1e7525af44
3. 未动态验证</x:v>
      </x:c>
    </x:row>
    <x:row r="34" ht="85" customHeight="1">
      <x:c r="A34" s="10" t="n">
        <x:v>33</x:v>
      </x:c>
      <x:c r="B34" s="10" t="str">
        <x:v>GUILD-02-0005</x:v>
      </x:c>
      <x:c r="C34" s="10" t="str">
        <x:v>主播管理</x:v>
      </x:c>
      <x:c r="D34" s="10" t="str">
        <x:v>入会申请（公会长视角）</x:v>
      </x:c>
      <x:c r="E34" s="10" t="str">
        <x:v>功能需求</x:v>
      </x:c>
      <x:c r="F34" s="10" t="str">
        <x:v>P2</x:v>
      </x:c>
      <x:c r="G34" s="9" t="str">
        <x:v>验证入会列表进入申请详情</x:v>
      </x:c>
      <x:c r="H34" s="9" t="str">
        <x:v>入会详情入口</x:v>
      </x:c>
      <x:c r="I34" s="9" t="str">
        <x:v>1. 执行角色为公会长
2. 业务数据已准备且本页已打开；表单和筛选保持下列指定状态
3. 存在当前公会申请单A</x:v>
      </x:c>
      <x:c r="J34" s="9" t="str">
        <x:v>1. 查看入会申请页
2. 点击申请单A</x:v>
      </x:c>
      <x:c r="K34" s="9" t="str">
        <x:v>进入入会申请详情页</x:v>
      </x:c>
      <x:c r="L34" s="10" t="str"/>
      <x:c r="M34" s="10" t="str">
        <x:v>未测</x:v>
      </x:c>
      <x:c r="N34" s="10" t="str"/>
      <x:c r="O34" s="9" t="str">
        <x:v>1. 来源（当前证据）：liveshow-proto/MainBasis/统一需求文档.md；位置：REQ-2627f61b5dcf；行2804
2. 规则：BR-e6deeeef62b7f9b3
3. 未动态验证</x:v>
      </x:c>
    </x:row>
    <x:row r="35" ht="85" customHeight="1">
      <x:c r="A35" s="10" t="n">
        <x:v>34</x:v>
      </x:c>
      <x:c r="B35" s="10" t="str">
        <x:v>GUILD-02-0006</x:v>
      </x:c>
      <x:c r="C35" s="10" t="str">
        <x:v>主播管理</x:v>
      </x:c>
      <x:c r="D35" s="10" t="str">
        <x:v>退会申请（公会长视角）</x:v>
      </x:c>
      <x:c r="E35" s="10" t="str">
        <x:v>功能需求</x:v>
      </x:c>
      <x:c r="F35" s="10" t="str">
        <x:v>P2</x:v>
      </x:c>
      <x:c r="G35" s="9" t="str">
        <x:v>验证退会申请默认待处理列表</x:v>
      </x:c>
      <x:c r="H35" s="9" t="str">
        <x:v>退会默认状态筛选</x:v>
      </x:c>
      <x:c r="I35" s="9" t="str">
        <x:v>1. 执行角色为公会长</x:v>
      </x:c>
      <x:c r="J35" s="9" t="str">
        <x:v>1. 进入退会申请页</x:v>
      </x:c>
      <x:c r="K35" s="9" t="str">
        <x:v>选中审核中Tab</x:v>
      </x:c>
      <x:c r="L35" s="10" t="str"/>
      <x:c r="M35" s="10" t="str">
        <x:v>未测</x:v>
      </x:c>
      <x:c r="N35" s="10" t="str"/>
      <x:c r="O35" s="9" t="str">
        <x:v>1. 来源（当前证据）：liveshow-proto/MainBasis/统一需求文档.md；位置：REQ-34f3e2e1e60c；行2842
2. 规则：BR-e36d75ba1a7375be
3. 未动态验证</x:v>
      </x:c>
    </x:row>
    <x:row r="36" ht="100" customHeight="1">
      <x:c r="A36" s="10" t="n">
        <x:v>35</x:v>
      </x:c>
      <x:c r="B36" s="10" t="str">
        <x:v>GUILD-02-0007</x:v>
      </x:c>
      <x:c r="C36" s="10" t="str">
        <x:v>主播管理</x:v>
      </x:c>
      <x:c r="D36" s="10" t="str">
        <x:v>退会申请（公会长视角）</x:v>
      </x:c>
      <x:c r="E36" s="10" t="str">
        <x:v>逻辑校验</x:v>
      </x:c>
      <x:c r="F36" s="10" t="str">
        <x:v>P1</x:v>
      </x:c>
      <x:c r="G36" s="9" t="str">
        <x:v>验证退会列表筛选审核中</x:v>
      </x:c>
      <x:c r="H36" s="9" t="str">
        <x:v>退会审核中列表范围</x:v>
      </x:c>
      <x:c r="I36" s="9" t="str">
        <x:v>1. 执行角色为公会长
2. 业务数据已准备且本页已打开；表单和筛选保持下列指定状态
3. 当前公会有审核中及其他状态申请</x:v>
      </x:c>
      <x:c r="J36" s="9" t="str">
        <x:v>1. 查看退会申请页
2. 切换审核中</x:v>
      </x:c>
      <x:c r="K36" s="9" t="str">
        <x:v>只显示属于审核中分类的申请</x:v>
      </x:c>
      <x:c r="L36" s="10" t="str"/>
      <x:c r="M36" s="10" t="str">
        <x:v>未测</x:v>
      </x:c>
      <x:c r="N36" s="10" t="str"/>
      <x:c r="O36" s="9" t="str">
        <x:v>1. 来源（当前证据）：liveshow-proto/MainBasis/统一需求文档.md；位置：REQ-e238b21c76a7；行2854
2. 规则：BR-fca2a25e53bf3554
3. 未动态验证</x:v>
      </x:c>
    </x:row>
    <x:row r="37" ht="100" customHeight="1">
      <x:c r="A37" s="10" t="n">
        <x:v>36</x:v>
      </x:c>
      <x:c r="B37" s="10" t="str">
        <x:v>GUILD-02-0008</x:v>
      </x:c>
      <x:c r="C37" s="10" t="str">
        <x:v>主播管理</x:v>
      </x:c>
      <x:c r="D37" s="10" t="str">
        <x:v>退会申请（公会长视角）</x:v>
      </x:c>
      <x:c r="E37" s="10" t="str">
        <x:v>逻辑校验</x:v>
      </x:c>
      <x:c r="F37" s="10" t="str">
        <x:v>P1</x:v>
      </x:c>
      <x:c r="G37" s="9" t="str">
        <x:v>验证退会列表筛选已通过</x:v>
      </x:c>
      <x:c r="H37" s="9" t="str">
        <x:v>退会已通过列表范围</x:v>
      </x:c>
      <x:c r="I37" s="9" t="str">
        <x:v>1. 执行角色为公会长
2. 业务数据已准备且本页已打开；表单和筛选保持下列指定状态
3. 当前公会有已通过及其他状态申请</x:v>
      </x:c>
      <x:c r="J37" s="9" t="str">
        <x:v>1. 查看退会申请页
2. 切换已通过</x:v>
      </x:c>
      <x:c r="K37" s="9" t="str">
        <x:v>只显示属于已通过分类的申请</x:v>
      </x:c>
      <x:c r="L37" s="10" t="str"/>
      <x:c r="M37" s="10" t="str">
        <x:v>未测</x:v>
      </x:c>
      <x:c r="N37" s="10" t="str"/>
      <x:c r="O37" s="9" t="str">
        <x:v>1. 来源（当前证据）：liveshow-proto/MainBasis/统一需求文档.md；位置：REQ-e238b21c76a7；行2854
2. 规则：BR-c9af16d087284a3f
3. 未动态验证</x:v>
      </x:c>
    </x:row>
    <x:row r="38" ht="100" customHeight="1">
      <x:c r="A38" s="10" t="n">
        <x:v>37</x:v>
      </x:c>
      <x:c r="B38" s="10" t="str">
        <x:v>GUILD-02-0009</x:v>
      </x:c>
      <x:c r="C38" s="10" t="str">
        <x:v>主播管理</x:v>
      </x:c>
      <x:c r="D38" s="10" t="str">
        <x:v>退会申请（公会长视角）</x:v>
      </x:c>
      <x:c r="E38" s="10" t="str">
        <x:v>逻辑校验</x:v>
      </x:c>
      <x:c r="F38" s="10" t="str">
        <x:v>P1</x:v>
      </x:c>
      <x:c r="G38" s="9" t="str">
        <x:v>验证退会列表筛选已驳回</x:v>
      </x:c>
      <x:c r="H38" s="9" t="str">
        <x:v>退会已驳回列表范围</x:v>
      </x:c>
      <x:c r="I38" s="9" t="str">
        <x:v>1. 执行角色为公会长
2. 业务数据已准备且本页已打开；表单和筛选保持下列指定状态
3. 当前公会有已驳回及其他状态申请</x:v>
      </x:c>
      <x:c r="J38" s="9" t="str">
        <x:v>1. 查看退会申请页
2. 切换已驳回</x:v>
      </x:c>
      <x:c r="K38" s="9" t="str">
        <x:v>只显示属于已驳回分类的申请</x:v>
      </x:c>
      <x:c r="L38" s="10" t="str"/>
      <x:c r="M38" s="10" t="str">
        <x:v>未测</x:v>
      </x:c>
      <x:c r="N38" s="10" t="str"/>
      <x:c r="O38" s="9" t="str">
        <x:v>1. 来源（当前证据）：liveshow-proto/MainBasis/统一需求文档.md；位置：REQ-e238b21c76a7；行2854
2. 规则：BR-c2f6631e5be3494f
3. 未动态验证</x:v>
      </x:c>
    </x:row>
    <x:row r="39" ht="85" customHeight="1">
      <x:c r="A39" s="10" t="n">
        <x:v>38</x:v>
      </x:c>
      <x:c r="B39" s="10" t="str">
        <x:v>GUILD-02-0010</x:v>
      </x:c>
      <x:c r="C39" s="10" t="str">
        <x:v>主播管理</x:v>
      </x:c>
      <x:c r="D39" s="10" t="str">
        <x:v>退会申请（公会长视角）</x:v>
      </x:c>
      <x:c r="E39" s="10" t="str">
        <x:v>功能需求</x:v>
      </x:c>
      <x:c r="F39" s="10" t="str">
        <x:v>P2</x:v>
      </x:c>
      <x:c r="G39" s="9" t="str">
        <x:v>验证退会列表进入申请详情</x:v>
      </x:c>
      <x:c r="H39" s="9" t="str">
        <x:v>退会详情入口</x:v>
      </x:c>
      <x:c r="I39" s="9" t="str">
        <x:v>1. 执行角色为公会长
2. 业务数据已准备且本页已打开；表单和筛选保持下列指定状态
3. 存在当前公会申请单A</x:v>
      </x:c>
      <x:c r="J39" s="9" t="str">
        <x:v>1. 查看退会申请页
2. 点击申请单A</x:v>
      </x:c>
      <x:c r="K39" s="9" t="str">
        <x:v>进入退会申请详情页</x:v>
      </x:c>
      <x:c r="L39" s="10" t="str"/>
      <x:c r="M39" s="10" t="str">
        <x:v>未测</x:v>
      </x:c>
      <x:c r="N39" s="10" t="str"/>
      <x:c r="O39" s="9" t="str">
        <x:v>1. 来源（当前证据）：liveshow-proto/MainBasis/统一需求文档.md；位置：REQ-e238b21c76a7；行2854
2. 规则：BR-707daa6d2dc69a86
3. 未动态验证</x:v>
      </x:c>
    </x:row>
    <x:row r="40" ht="85" customHeight="1">
      <x:c r="A40" s="10" t="n">
        <x:v>39</x:v>
      </x:c>
      <x:c r="B40" s="10" t="str">
        <x:v>GUILD-02-0011</x:v>
      </x:c>
      <x:c r="C40" s="10" t="str">
        <x:v>主播管理</x:v>
      </x:c>
      <x:c r="D40" s="10" t="str">
        <x:v>入会申请详情（公会长视角）</x:v>
      </x:c>
      <x:c r="E40" s="10" t="str">
        <x:v>逻辑校验</x:v>
      </x:c>
      <x:c r="F40" s="10" t="str">
        <x:v>P1</x:v>
      </x:c>
      <x:c r="G40" s="9" t="str">
        <x:v>验证通过入会前确认</x:v>
      </x:c>
      <x:c r="H40" s="9" t="str">
        <x:v>公会入会通过确认</x:v>
      </x:c>
      <x:c r="I40" s="9" t="str">
        <x:v>1. 执行角色为公会长
2. 业务数据已准备且本页已打开；表单和筛选保持下列指定状态
3. 当前申请待公会审核</x:v>
      </x:c>
      <x:c r="J40" s="9" t="str">
        <x:v>1. 查看入会申请详情页
2. 点击通过</x:v>
      </x:c>
      <x:c r="K40" s="9" t="str">
        <x:v>显示通过申请二次确认弹窗</x:v>
      </x:c>
      <x:c r="L40" s="10" t="str"/>
      <x:c r="M40" s="10" t="str">
        <x:v>未测</x:v>
      </x:c>
      <x:c r="N40" s="10" t="str"/>
      <x:c r="O40" s="9" t="str">
        <x:v>1. 来源（当前证据）：liveshow-proto/MainBasis/统一需求文档.md；位置：REQ-58a3b3083f47；行2835
2. 规则：BR-3f6b690a79a73fe6
3. 未动态验证</x:v>
      </x:c>
    </x:row>
    <x:row r="41" ht="100" customHeight="1">
      <x:c r="A41" s="10" t="n">
        <x:v>40</x:v>
      </x:c>
      <x:c r="B41" s="10" t="str">
        <x:v>GUILD-02-0012</x:v>
      </x:c>
      <x:c r="C41" s="10" t="str">
        <x:v>主播管理</x:v>
      </x:c>
      <x:c r="D41" s="10" t="str">
        <x:v>入会申请详情（公会长视角）</x:v>
      </x:c>
      <x:c r="E41" s="10" t="str">
        <x:v>业务流程</x:v>
      </x:c>
      <x:c r="F41" s="10" t="str">
        <x:v>P0</x:v>
      </x:c>
      <x:c r="G41" s="9" t="str">
        <x:v>验证公会通过后提交平台终审</x:v>
      </x:c>
      <x:c r="H41" s="9" t="str">
        <x:v>公会初审通过去向</x:v>
      </x:c>
      <x:c r="I41" s="9" t="str">
        <x:v>1. 执行角色为公会长
2. 业务数据已准备且本页已打开；表单和筛选保持下列指定状态
3. 申请A待公会审核且资料完整</x:v>
      </x:c>
      <x:c r="J41" s="9" t="str">
        <x:v>1. 查看入会申请详情页
2. 点击通过
3. 点击确认</x:v>
      </x:c>
      <x:c r="K41" s="9" t="str">
        <x:v>申请A进入平台审核中</x:v>
      </x:c>
      <x:c r="L41" s="10" t="str">
        <x:v>FLOW-B8276CAE9E</x:v>
      </x:c>
      <x:c r="M41" s="10" t="str">
        <x:v>未测</x:v>
      </x:c>
      <x:c r="N41" s="10" t="str"/>
      <x:c r="O41" s="9" t="str">
        <x:v>1. 来源（当前证据）：liveshow-proto/MainBasis/统一需求文档.md；位置：REQ-58a3b3083f47；行2835
2. 规则：BR-92337d9905f7d084
3. 未动态验证</x:v>
      </x:c>
    </x:row>
    <x:row r="42" ht="85" customHeight="1">
      <x:c r="A42" s="10" t="n">
        <x:v>41</x:v>
      </x:c>
      <x:c r="B42" s="10" t="str">
        <x:v>GUILD-02-0013</x:v>
      </x:c>
      <x:c r="C42" s="10" t="str">
        <x:v>主播管理</x:v>
      </x:c>
      <x:c r="D42" s="10" t="str">
        <x:v>入会申请详情（公会长视角）</x:v>
      </x:c>
      <x:c r="E42" s="10" t="str">
        <x:v>逻辑校验</x:v>
      </x:c>
      <x:c r="F42" s="10" t="str">
        <x:v>P1</x:v>
      </x:c>
      <x:c r="G42" s="9" t="str">
        <x:v>验证入会驳回不填写理由</x:v>
      </x:c>
      <x:c r="H42" s="9" t="str">
        <x:v>入会空驳回理由回显</x:v>
      </x:c>
      <x:c r="I42" s="9" t="str">
        <x:v>1. 执行角色为公会长
2. 业务数据已准备且本页已打开；表单和筛选保持下列指定状态
3. 当前入会申请待公会处理</x:v>
      </x:c>
      <x:c r="J42" s="9" t="str">
        <x:v>1. 查看入会申请详情页
2. 点击驳回
3. 清空驳回理由
4. 点击确认</x:v>
      </x:c>
      <x:c r="K42" s="9" t="str">
        <x:v>对应驳回理由显示“未填写”</x:v>
      </x:c>
      <x:c r="L42" s="10" t="str">
        <x:v>FLOW-B8276CAE9E</x:v>
      </x:c>
      <x:c r="M42" s="10" t="str">
        <x:v>未测</x:v>
      </x:c>
      <x:c r="N42" s="10" t="str"/>
      <x:c r="O42" s="9" t="str">
        <x:v>1. 来源（当前证据）：liveshow-proto/MainBasis/统一需求文档.md；位置：REQ-53046ad842aa；行2825
2. 规则：BR-3cad42c1619775ed
3. 未动态验证</x:v>
      </x:c>
    </x:row>
    <x:row r="43" ht="85" customHeight="1">
      <x:c r="A43" s="10" t="n">
        <x:v>42</x:v>
      </x:c>
      <x:c r="B43" s="10" t="str">
        <x:v>GUILD-02-0014</x:v>
      </x:c>
      <x:c r="C43" s="10" t="str">
        <x:v>主播管理</x:v>
      </x:c>
      <x:c r="D43" s="10" t="str">
        <x:v>入会申请详情（公会长视角）</x:v>
      </x:c>
      <x:c r="E43" s="10" t="str">
        <x:v>逻辑校验</x:v>
      </x:c>
      <x:c r="F43" s="10" t="str">
        <x:v>P1</x:v>
      </x:c>
      <x:c r="G43" s="9" t="str">
        <x:v>验证入会驳回理由200字符边界</x:v>
      </x:c>
      <x:c r="H43" s="9" t="str">
        <x:v>入会驳回理由长度</x:v>
      </x:c>
      <x:c r="I43" s="9" t="str">
        <x:v>1. 执行角色为公会长
2. 业务数据已准备且本页已打开；表单和筛选保持下列指定状态
3. 当前入会申请待公会处理</x:v>
      </x:c>
      <x:c r="J43" s="9" t="str">
        <x:v>1. 查看入会申请详情页
2. 点击驳回
3. 填写驳回理由为200个A
4. 输入驳回理由末尾追加B</x:v>
      </x:c>
      <x:c r="K43" s="9" t="str">
        <x:v>驳回理由不接受超过200字符</x:v>
      </x:c>
      <x:c r="L43" s="10" t="str"/>
      <x:c r="M43" s="10" t="str">
        <x:v>未测</x:v>
      </x:c>
      <x:c r="N43" s="10" t="str"/>
      <x:c r="O43" s="9" t="str">
        <x:v>1. 来源（当前证据）：liveshow-proto/MainBasis/统一需求文档.md；位置：REQ-53046ad842aa；行2825
2. 规则：BR-b9042e68dbf792ca
3. 未动态验证</x:v>
      </x:c>
    </x:row>
    <x:row r="44" ht="85" customHeight="1">
      <x:c r="A44" s="10" t="n">
        <x:v>43</x:v>
      </x:c>
      <x:c r="B44" s="10" t="str">
        <x:v>GUILD-02-0015</x:v>
      </x:c>
      <x:c r="C44" s="10" t="str">
        <x:v>主播管理</x:v>
      </x:c>
      <x:c r="D44" s="10" t="str">
        <x:v>入会申请详情（公会长视角）</x:v>
      </x:c>
      <x:c r="E44" s="10" t="str">
        <x:v>逻辑校验</x:v>
      </x:c>
      <x:c r="F44" s="10" t="str">
        <x:v>P1</x:v>
      </x:c>
      <x:c r="G44" s="9" t="str">
        <x:v>验证已处理入会申请不能重复审核</x:v>
      </x:c>
      <x:c r="H44" s="9" t="str">
        <x:v>入会终态只读</x:v>
      </x:c>
      <x:c r="I44" s="9" t="str">
        <x:v>1. 执行角色为公会长
2. 业务数据已准备且本页已打开；表单和筛选保持下列指定状态
3. 当前入会申请已驳回</x:v>
      </x:c>
      <x:c r="J44" s="9" t="str">
        <x:v>1. 查看入会申请详情页</x:v>
      </x:c>
      <x:c r="K44" s="9" t="str">
        <x:v>审核结果只读</x:v>
      </x:c>
      <x:c r="L44" s="10" t="str"/>
      <x:c r="M44" s="10" t="str">
        <x:v>未测</x:v>
      </x:c>
      <x:c r="N44" s="10" t="str"/>
      <x:c r="O44" s="9" t="str">
        <x:v>1. 来源（当前证据）：liveshow-proto/MainBasis/统一需求文档.md；位置：REQ-291af42ec723；行2833
2. 规则：BR-fdd1f5bcef767676
3. 未动态验证</x:v>
      </x:c>
    </x:row>
    <x:row r="45" ht="85" customHeight="1">
      <x:c r="A45" s="10" t="n">
        <x:v>44</x:v>
      </x:c>
      <x:c r="B45" s="10" t="str">
        <x:v>GUILD-02-0016</x:v>
      </x:c>
      <x:c r="C45" s="10" t="str">
        <x:v>主播管理</x:v>
      </x:c>
      <x:c r="D45" s="10" t="str">
        <x:v>退会申请详情（公会长视角）</x:v>
      </x:c>
      <x:c r="E45" s="10" t="str">
        <x:v>逻辑校验</x:v>
      </x:c>
      <x:c r="F45" s="10" t="str">
        <x:v>P1</x:v>
      </x:c>
      <x:c r="G45" s="9" t="str">
        <x:v>验证退会驳回不填写理由</x:v>
      </x:c>
      <x:c r="H45" s="9" t="str">
        <x:v>退会空驳回理由回显</x:v>
      </x:c>
      <x:c r="I45" s="9" t="str">
        <x:v>1. 执行角色为公会长
2. 业务数据已准备且本页已打开；表单和筛选保持下列指定状态
3. 当前退会申请待公会处理</x:v>
      </x:c>
      <x:c r="J45" s="9" t="str">
        <x:v>1. 查看退会申请详情页
2. 点击驳回
3. 清空驳回理由
4. 点击确认</x:v>
      </x:c>
      <x:c r="K45" s="9" t="str">
        <x:v>对应驳回理由显示“未填写”</x:v>
      </x:c>
      <x:c r="L45" s="10" t="str">
        <x:v>FLOW-289CDBD17D</x:v>
      </x:c>
      <x:c r="M45" s="10" t="str">
        <x:v>未测</x:v>
      </x:c>
      <x:c r="N45" s="10" t="str"/>
      <x:c r="O45" s="9" t="str">
        <x:v>1. 来源（当前证据）：liveshow-proto/MainBasis/统一需求文档.md；位置：REQ-30c7a0c47120；行2873
2. 规则：BR-0fcde31a0467fdd9
3. 未动态验证</x:v>
      </x:c>
    </x:row>
    <x:row r="46" ht="100" customHeight="1">
      <x:c r="A46" s="10" t="n">
        <x:v>45</x:v>
      </x:c>
      <x:c r="B46" s="10" t="str">
        <x:v>GUILD-02-0017</x:v>
      </x:c>
      <x:c r="C46" s="10" t="str">
        <x:v>主播管理</x:v>
      </x:c>
      <x:c r="D46" s="10" t="str">
        <x:v>退会申请详情（公会长视角）</x:v>
      </x:c>
      <x:c r="E46" s="10" t="str">
        <x:v>逻辑校验</x:v>
      </x:c>
      <x:c r="F46" s="10" t="str">
        <x:v>P1</x:v>
      </x:c>
      <x:c r="G46" s="9" t="str">
        <x:v>验证退会驳回理由200字符边界</x:v>
      </x:c>
      <x:c r="H46" s="9" t="str">
        <x:v>退会驳回理由长度</x:v>
      </x:c>
      <x:c r="I46" s="9" t="str">
        <x:v>1. 执行角色为公会长
2. 业务数据已准备且本页已打开；表单和筛选保持下列指定状态
3. 当前退会申请待公会处理</x:v>
      </x:c>
      <x:c r="J46" s="9" t="str">
        <x:v>1. 查看退会申请详情页
2. 点击驳回
3. 填写驳回理由为200个A
4. 输入驳回理由末尾追加B</x:v>
      </x:c>
      <x:c r="K46" s="9" t="str">
        <x:v>驳回理由不接受超过200字符</x:v>
      </x:c>
      <x:c r="L46" s="10" t="str"/>
      <x:c r="M46" s="10" t="str">
        <x:v>未测</x:v>
      </x:c>
      <x:c r="N46" s="10" t="str"/>
      <x:c r="O46" s="9" t="str">
        <x:v>1. 来源（当前证据）：liveshow-proto/MainBasis/统一需求文档.md；位置：REQ-30c7a0c47120；行2873、REQ-4e84386ce9a6；行2879
2. 规则：BR-8437f7b450736f29
3. 未动态验证</x:v>
      </x:c>
    </x:row>
    <x:row r="47" ht="85" customHeight="1">
      <x:c r="A47" s="10" t="n">
        <x:v>46</x:v>
      </x:c>
      <x:c r="B47" s="10" t="str">
        <x:v>GUILD-02-0018</x:v>
      </x:c>
      <x:c r="C47" s="10" t="str">
        <x:v>主播管理</x:v>
      </x:c>
      <x:c r="D47" s="10" t="str">
        <x:v>退会申请详情（公会长视角）</x:v>
      </x:c>
      <x:c r="E47" s="10" t="str">
        <x:v>逻辑校验</x:v>
      </x:c>
      <x:c r="F47" s="10" t="str">
        <x:v>P1</x:v>
      </x:c>
      <x:c r="G47" s="9" t="str">
        <x:v>验证已处理退会申请不能重复审核</x:v>
      </x:c>
      <x:c r="H47" s="9" t="str">
        <x:v>退会终态只读</x:v>
      </x:c>
      <x:c r="I47" s="9" t="str">
        <x:v>1. 执行角色为公会长
2. 业务数据已准备且本页已打开；表单和筛选保持下列指定状态
3. 当前退会申请已驳回</x:v>
      </x:c>
      <x:c r="J47" s="9" t="str">
        <x:v>1. 查看退会申请详情页</x:v>
      </x:c>
      <x:c r="K47" s="9" t="str">
        <x:v>审核结果只读</x:v>
      </x:c>
      <x:c r="L47" s="10" t="str"/>
      <x:c r="M47" s="10" t="str">
        <x:v>未测</x:v>
      </x:c>
      <x:c r="N47" s="10" t="str"/>
      <x:c r="O47" s="9" t="str">
        <x:v>1. 来源（当前证据）：liveshow-proto/MainBasis/统一需求文档.md；位置：REQ-4e84386ce9a6；行2879
2. 规则：BR-bbde833596e68d37
3. 未动态验证</x:v>
      </x:c>
    </x:row>
    <x:row r="48" ht="100" customHeight="1">
      <x:c r="A48" s="10" t="n">
        <x:v>47</x:v>
      </x:c>
      <x:c r="B48" s="10" t="str">
        <x:v>GUILD-02-0019</x:v>
      </x:c>
      <x:c r="C48" s="10" t="str">
        <x:v>主播管理</x:v>
      </x:c>
      <x:c r="D48" s="10" t="str">
        <x:v>入会申请详情（公会长视角）</x:v>
      </x:c>
      <x:c r="E48" s="10" t="str">
        <x:v>功能需求</x:v>
      </x:c>
      <x:c r="F48" s="10" t="str">
        <x:v>P2</x:v>
      </x:c>
      <x:c r="G48" s="9" t="str">
        <x:v>验证查看申请本人照片</x:v>
      </x:c>
      <x:c r="H48" s="9" t="str">
        <x:v>申请本人照片大图</x:v>
      </x:c>
      <x:c r="I48" s="9" t="str">
        <x:v>1. 执行角色为公会长
2. 业务数据已准备且本页已打开；表单和筛选保持下列指定状态
3. 申请包含本人照片测试图片A</x:v>
      </x:c>
      <x:c r="J48" s="9" t="str">
        <x:v>1. 查看入会申请详情页
2. 点击本人照片</x:v>
      </x:c>
      <x:c r="K48" s="9" t="str">
        <x:v>打开所选材料大图</x:v>
      </x:c>
      <x:c r="L48" s="10" t="str"/>
      <x:c r="M48" s="10" t="str">
        <x:v>未测</x:v>
      </x:c>
      <x:c r="N48" s="10" t="str"/>
      <x:c r="O48" s="9" t="str">
        <x:v>1. 来源（当前证据）：liveshow-proto/MainBasis/统一需求文档.md；位置：REQ-282f21a0e2d2；行2837、REQ-7de42daabd25；行2819
2. 规则：BR-73b3c91555b024a6
3. 未动态验证</x:v>
      </x:c>
    </x:row>
    <x:row r="49" ht="100" customHeight="1">
      <x:c r="A49" s="10" t="n">
        <x:v>48</x:v>
      </x:c>
      <x:c r="B49" s="10" t="str">
        <x:v>GUILD-02-0020</x:v>
      </x:c>
      <x:c r="C49" s="10" t="str">
        <x:v>主播管理</x:v>
      </x:c>
      <x:c r="D49" s="10" t="str">
        <x:v>入会申请详情（公会长视角）</x:v>
      </x:c>
      <x:c r="E49" s="10" t="str">
        <x:v>功能需求</x:v>
      </x:c>
      <x:c r="F49" s="10" t="str">
        <x:v>P2</x:v>
      </x:c>
      <x:c r="G49" s="9" t="str">
        <x:v>验证查看申请证件正面</x:v>
      </x:c>
      <x:c r="H49" s="9" t="str">
        <x:v>申请证件正面大图</x:v>
      </x:c>
      <x:c r="I49" s="9" t="str">
        <x:v>1. 执行角色为公会长
2. 业务数据已准备且本页已打开；表单和筛选保持下列指定状态
3. 申请包含证件正面测试图片A</x:v>
      </x:c>
      <x:c r="J49" s="9" t="str">
        <x:v>1. 查看入会申请详情页
2. 点击证件正面</x:v>
      </x:c>
      <x:c r="K49" s="9" t="str">
        <x:v>打开所选材料大图</x:v>
      </x:c>
      <x:c r="L49" s="10" t="str"/>
      <x:c r="M49" s="10" t="str">
        <x:v>未测</x:v>
      </x:c>
      <x:c r="N49" s="10" t="str"/>
      <x:c r="O49" s="9" t="str">
        <x:v>1. 来源（当前证据）：liveshow-proto/MainBasis/统一需求文档.md；位置：REQ-282f21a0e2d2；行2837、REQ-7de42daabd25；行2819
2. 规则：BR-fb0a27dc65a32745
3. 未动态验证</x:v>
      </x:c>
    </x:row>
    <x:row r="50" ht="100" customHeight="1">
      <x:c r="A50" s="10" t="n">
        <x:v>49</x:v>
      </x:c>
      <x:c r="B50" s="10" t="str">
        <x:v>GUILD-02-0021</x:v>
      </x:c>
      <x:c r="C50" s="10" t="str">
        <x:v>主播管理</x:v>
      </x:c>
      <x:c r="D50" s="10" t="str">
        <x:v>入会申请详情（公会长视角）</x:v>
      </x:c>
      <x:c r="E50" s="10" t="str">
        <x:v>功能需求</x:v>
      </x:c>
      <x:c r="F50" s="10" t="str">
        <x:v>P2</x:v>
      </x:c>
      <x:c r="G50" s="9" t="str">
        <x:v>验证查看申请证件反面</x:v>
      </x:c>
      <x:c r="H50" s="9" t="str">
        <x:v>申请证件反面大图</x:v>
      </x:c>
      <x:c r="I50" s="9" t="str">
        <x:v>1. 执行角色为公会长
2. 业务数据已准备且本页已打开；表单和筛选保持下列指定状态
3. 申请包含证件反面测试图片A</x:v>
      </x:c>
      <x:c r="J50" s="9" t="str">
        <x:v>1. 查看入会申请详情页
2. 点击证件反面</x:v>
      </x:c>
      <x:c r="K50" s="9" t="str">
        <x:v>打开所选材料大图</x:v>
      </x:c>
      <x:c r="L50" s="10" t="str"/>
      <x:c r="M50" s="10" t="str">
        <x:v>未测</x:v>
      </x:c>
      <x:c r="N50" s="10" t="str"/>
      <x:c r="O50" s="9" t="str">
        <x:v>1. 来源（当前证据）：liveshow-proto/MainBasis/统一需求文档.md；位置：REQ-282f21a0e2d2；行2837、REQ-7de42daabd25；行2819
2. 规则：BR-a2eab04b9d4bcd73
3. 未动态验证</x:v>
      </x:c>
    </x:row>
    <x:row r="51" ht="100" customHeight="1">
      <x:c r="A51" s="10" t="n">
        <x:v>50</x:v>
      </x:c>
      <x:c r="B51" s="10" t="str">
        <x:v>GUILD-02-0022</x:v>
      </x:c>
      <x:c r="C51" s="10" t="str">
        <x:v>主播管理</x:v>
      </x:c>
      <x:c r="D51" s="10" t="str">
        <x:v>入会申请详情（公会长视角）</x:v>
      </x:c>
      <x:c r="E51" s="10" t="str">
        <x:v>逻辑校验</x:v>
      </x:c>
      <x:c r="F51" s="10" t="str">
        <x:v>P1</x:v>
      </x:c>
      <x:c r="G51" s="9" t="str">
        <x:v>验证平台驳回后新单重新公会审核</x:v>
      </x:c>
      <x:c r="H51" s="9" t="str">
        <x:v>重新申请公会审核资格</x:v>
      </x:c>
      <x:c r="I51" s="9" t="str">
        <x:v>1. 执行角色为公会长
2. 业务数据已准备且本页已打开；表单和筛选保持下列指定状态
3. 旧申请公会通过、平台驳回，用户已提交新申请B</x:v>
      </x:c>
      <x:c r="J51" s="9" t="str">
        <x:v>1. 查看入会申请详情页</x:v>
      </x:c>
      <x:c r="K51" s="9" t="str">
        <x:v>新申请B的公会审核状态为待审核</x:v>
      </x:c>
      <x:c r="L51" s="10" t="str"/>
      <x:c r="M51" s="10" t="str">
        <x:v>未测</x:v>
      </x:c>
      <x:c r="N51" s="10" t="str"/>
      <x:c r="O51" s="9" t="str">
        <x:v>1. 来源（当前证据）：liveshow-proto/MainBasis/统一需求文档.md；位置：REQ-894cab3df5ee；行2831
2. 规则：BR-d3f6150c40333435
3. 未动态验证</x:v>
      </x:c>
    </x:row>
    <x:row r="52" ht="85" customHeight="1">
      <x:c r="A52" s="10" t="n">
        <x:v>51</x:v>
      </x:c>
      <x:c r="B52" s="10" t="str">
        <x:v>GUILD-02-0023</x:v>
      </x:c>
      <x:c r="C52" s="10" t="str">
        <x:v>主播管理</x:v>
      </x:c>
      <x:c r="D52" s="10" t="str">
        <x:v>入会申请详情（公会长视角）</x:v>
      </x:c>
      <x:c r="E52" s="10" t="str">
        <x:v>逻辑校验</x:v>
      </x:c>
      <x:c r="F52" s="10" t="str">
        <x:v>P1</x:v>
      </x:c>
      <x:c r="G52" s="9" t="str">
        <x:v>验证平台通过后查看主播主页</x:v>
      </x:c>
      <x:c r="H52" s="9" t="str">
        <x:v>审核通过主播详情入口</x:v>
      </x:c>
      <x:c r="I52" s="9" t="str">
        <x:v>1. 执行角色为公会长
2. 业务数据已准备且本页已打开；表单和筛选保持下列指定状态
3. 该申请已通过平台终审</x:v>
      </x:c>
      <x:c r="J52" s="9" t="str">
        <x:v>1. 查看入会申请详情页
2. 点击查看主页</x:v>
      </x:c>
      <x:c r="K52" s="9" t="str">
        <x:v>进入该主播详情</x:v>
      </x:c>
      <x:c r="L52" s="10" t="str">
        <x:v>FLOW-B8276CAE9E</x:v>
      </x:c>
      <x:c r="M52" s="10" t="str">
        <x:v>未测</x:v>
      </x:c>
      <x:c r="N52" s="10" t="str"/>
      <x:c r="O52" s="9" t="str">
        <x:v>1. 来源（当前证据）：liveshow-proto/MainBasis/统一需求文档.md；位置：REQ-282f21a0e2d2；行2837
2. 规则：BR-8b9acebc60e1dec4
3. 未动态验证</x:v>
      </x:c>
    </x:row>
    <x:row r="53" ht="130" customHeight="1">
      <x:c r="A53" s="10" t="n">
        <x:v>52</x:v>
      </x:c>
      <x:c r="B53" s="10" t="str">
        <x:v>GUILD-02-0024</x:v>
      </x:c>
      <x:c r="C53" s="10" t="str">
        <x:v>主播管理</x:v>
      </x:c>
      <x:c r="D53" s="10" t="str">
        <x:v>退会申请详情（公会长视角）</x:v>
      </x:c>
      <x:c r="E53" s="10" t="str">
        <x:v>逻辑校验</x:v>
      </x:c>
      <x:c r="F53" s="10" t="str">
        <x:v>P1</x:v>
      </x:c>
      <x:c r="G53" s="9" t="str">
        <x:v>验证通过退会前二次确认</x:v>
      </x:c>
      <x:c r="H53" s="9" t="str">
        <x:v>退会审核确认</x:v>
      </x:c>
      <x:c r="I53" s="9" t="str">
        <x:v>1. 执行角色为公会长
2. 业务数据已准备且本页已打开；表单和筛选保持下列指定状态
3. 申请待公会审核
4. 环境准备：测试版本需实现当前批注明确要求的退会二次确认，静态原型尚未接入</x:v>
      </x:c>
      <x:c r="J53" s="9" t="str">
        <x:v>1. 查看退会申请详情页
2. 点击通过</x:v>
      </x:c>
      <x:c r="K53" s="9" t="str">
        <x:v>显示通过退会二次确认弹窗</x:v>
      </x:c>
      <x:c r="L53" s="10" t="str"/>
      <x:c r="M53" s="10" t="str">
        <x:v>未测</x:v>
      </x:c>
      <x:c r="N53" s="10" t="str"/>
      <x:c r="O53" s="9" t="str">
        <x:v>1. 来源（当前证据）：liveshow-proto/MainBasis/统一需求文档.md；位置：REQ-4e84386ce9a6；行2879
2. 规则：BR-19b246d05cdc239b
3. 未动态验证</x:v>
      </x:c>
    </x:row>
    <x:row r="54" ht="100" customHeight="1">
      <x:c r="A54" s="10" t="n">
        <x:v>53</x:v>
      </x:c>
      <x:c r="B54" s="10" t="str">
        <x:v>GUILD-02-0025</x:v>
      </x:c>
      <x:c r="C54" s="10" t="str">
        <x:v>主播管理</x:v>
      </x:c>
      <x:c r="D54" s="10" t="str">
        <x:v>主播列表（公会长视角）</x:v>
      </x:c>
      <x:c r="E54" s="10" t="str">
        <x:v>业务流程</x:v>
      </x:c>
      <x:c r="F54" s="10" t="str">
        <x:v>P0</x:v>
      </x:c>
      <x:c r="G54" s="9" t="str">
        <x:v>验证确认通过退会移除在会关系</x:v>
      </x:c>
      <x:c r="H54" s="9" t="str">
        <x:v>退会通过后的公会关系</x:v>
      </x:c>
      <x:c r="I54" s="9" t="str">
        <x:v>1. 执行角色为公会长
2. 业务数据已准备且本页已打开；表单和筛选保持下列指定状态
3. 申请主播在会且退会待审核</x:v>
      </x:c>
      <x:c r="J54" s="9" t="str">
        <x:v>1. 查看退会申请详情页
2. 点击通过
3. 点击确认
4. 进入主播列表页
5. 切换已退会</x:v>
      </x:c>
      <x:c r="K54" s="9" t="str">
        <x:v>该主播显示在已退会列表</x:v>
      </x:c>
      <x:c r="L54" s="10" t="str">
        <x:v>FLOW-289CDBD17D</x:v>
      </x:c>
      <x:c r="M54" s="10" t="str">
        <x:v>未测</x:v>
      </x:c>
      <x:c r="N54" s="10" t="str"/>
      <x:c r="O54" s="9" t="str">
        <x:v>1. 来源（当前证据）：liveshow-proto/MainBasis/统一需求文档.md；位置：REQ-b0f181b59384；行2875、REQ-0d0a38bc020e；行2886
2. 规则：BR-f2cb013397c45c9e
3. 未动态验证</x:v>
      </x:c>
    </x:row>
    <x:row r="55" ht="100" customHeight="1">
      <x:c r="A55" s="10" t="n">
        <x:v>54</x:v>
      </x:c>
      <x:c r="B55" s="10" t="str">
        <x:v>GUILD-02-0026</x:v>
      </x:c>
      <x:c r="C55" s="10" t="str">
        <x:v>主播管理</x:v>
      </x:c>
      <x:c r="D55" s="10" t="str">
        <x:v>主播列表（公会长视角）</x:v>
      </x:c>
      <x:c r="E55" s="10" t="str">
        <x:v>逻辑校验</x:v>
      </x:c>
      <x:c r="F55" s="10" t="str">
        <x:v>P1</x:v>
      </x:c>
      <x:c r="G55" s="9" t="str">
        <x:v>验证驳回退会保留在会成员</x:v>
      </x:c>
      <x:c r="H55" s="9" t="str">
        <x:v>退会驳回后的公会关系</x:v>
      </x:c>
      <x:c r="I55" s="9" t="str">
        <x:v>1. 执行角色为公会长
2. 业务数据已准备且本页已打开；表单和筛选保持下列指定状态
3. 申请主播在会且退会待审核</x:v>
      </x:c>
      <x:c r="J55" s="9" t="str">
        <x:v>1. 查看退会申请详情页
2. 点击驳回
3. 点击确认
4. 进入主播列表页
5. 切换在会</x:v>
      </x:c>
      <x:c r="K55" s="9" t="str">
        <x:v>该主播仍在在会列表</x:v>
      </x:c>
      <x:c r="L55" s="10" t="str"/>
      <x:c r="M55" s="10" t="str">
        <x:v>未测</x:v>
      </x:c>
      <x:c r="N55" s="10" t="str"/>
      <x:c r="O55" s="9" t="str">
        <x:v>1. 来源（当前证据）：liveshow-proto/MainBasis/统一需求文档.md；位置：REQ-6bec92629c2b；行2877、REQ-0d0a38bc020e；行2886
2. 规则：BR-44ca61ba9ee1a3fd
3. 未动态验证</x:v>
      </x:c>
    </x:row>
    <x:row r="56" ht="100" customHeight="1">
      <x:c r="A56" s="10" t="n">
        <x:v>55</x:v>
      </x:c>
      <x:c r="B56" s="10" t="str">
        <x:v>GUILD-02-0027</x:v>
      </x:c>
      <x:c r="C56" s="10" t="str">
        <x:v>主播管理</x:v>
      </x:c>
      <x:c r="D56" s="10" t="str">
        <x:v>主播列表（公会长视角）</x:v>
      </x:c>
      <x:c r="E56" s="10" t="str">
        <x:v>逻辑校验</x:v>
      </x:c>
      <x:c r="F56" s="10" t="str">
        <x:v>P1</x:v>
      </x:c>
      <x:c r="G56" s="9" t="str">
        <x:v>验证主播列表隔离其他公会</x:v>
      </x:c>
      <x:c r="H56" s="9" t="str">
        <x:v>公会主播管理范围</x:v>
      </x:c>
      <x:c r="I56" s="9" t="str">
        <x:v>1. 执行角色为公会长
2. 业务数据已准备且本页已打开；表单和筛选保持下列指定状态
3. 当前公会A有主播甲，公会B有主播乙</x:v>
      </x:c>
      <x:c r="J56" s="9" t="str">
        <x:v>1. 查看主播列表页</x:v>
      </x:c>
      <x:c r="K56" s="9" t="str">
        <x:v>列表不包含乙</x:v>
      </x:c>
      <x:c r="L56" s="10" t="str"/>
      <x:c r="M56" s="10" t="str">
        <x:v>未测</x:v>
      </x:c>
      <x:c r="N56" s="10" t="str"/>
      <x:c r="O56" s="9" t="str">
        <x:v>1. 来源（当前证据）：liveshow-proto/MainBasis/统一需求文档.md；位置：REQ-381281aaf488；行2896
2. 规则：BR-0ffb1ecd45942b65
3. 未动态验证</x:v>
      </x:c>
    </x:row>
    <x:row r="57" ht="100" customHeight="1">
      <x:c r="A57" s="10" t="n">
        <x:v>56</x:v>
      </x:c>
      <x:c r="B57" s="10" t="str">
        <x:v>GUILD-02-0028</x:v>
      </x:c>
      <x:c r="C57" s="10" t="str">
        <x:v>主播管理</x:v>
      </x:c>
      <x:c r="D57" s="10" t="str">
        <x:v>主播列表（公会长视角）</x:v>
      </x:c>
      <x:c r="E57" s="10" t="str">
        <x:v>逻辑校验</x:v>
      </x:c>
      <x:c r="F57" s="10" t="str">
        <x:v>P1</x:v>
      </x:c>
      <x:c r="G57" s="9" t="str">
        <x:v>验证已退会搜索与状态取交集</x:v>
      </x:c>
      <x:c r="H57" s="9" t="str">
        <x:v>公会主播组合筛选</x:v>
      </x:c>
      <x:c r="I57" s="9" t="str">
        <x:v>1. 执行角色为公会长
2. 业务数据已准备且本页已打开；表单和筛选保持下列指定状态
3. 甲已退会，乙在会，两人名称都含QA</x:v>
      </x:c>
      <x:c r="J57" s="9" t="str">
        <x:v>1. 查看主播列表页
2. 切换已退会
3. 输入搜索框内容为QA</x:v>
      </x:c>
      <x:c r="K57" s="9" t="str">
        <x:v>列表只显示甲</x:v>
      </x:c>
      <x:c r="L57" s="10" t="str"/>
      <x:c r="M57" s="10" t="str">
        <x:v>未测</x:v>
      </x:c>
      <x:c r="N57" s="10" t="str"/>
      <x:c r="O57" s="9" t="str">
        <x:v>1. 来源（当前证据）：liveshow-proto/MainBasis/统一需求文档.md；位置：REQ-cbb7a2174f2f；行2898
2. 规则：BR-74752b30ab519b02
3. 未动态验证</x:v>
      </x:c>
    </x:row>
    <x:row r="58" ht="85" customHeight="1">
      <x:c r="A58" s="10" t="n">
        <x:v>57</x:v>
      </x:c>
      <x:c r="B58" s="10" t="str">
        <x:v>GUILD-02-0029</x:v>
      </x:c>
      <x:c r="C58" s="10" t="str">
        <x:v>主播管理</x:v>
      </x:c>
      <x:c r="D58" s="10" t="str">
        <x:v>主播主页（公会长视角）</x:v>
      </x:c>
      <x:c r="E58" s="10" t="str">
        <x:v>逻辑校验</x:v>
      </x:c>
      <x:c r="F58" s="10" t="str">
        <x:v>P1</x:v>
      </x:c>
      <x:c r="G58" s="9" t="str">
        <x:v>验证历史退会主播不提供管理操作</x:v>
      </x:c>
      <x:c r="H58" s="9" t="str">
        <x:v>退会主播管理入口</x:v>
      </x:c>
      <x:c r="I58" s="9" t="str">
        <x:v>1. 执行角色为公会长
2. 业务数据已准备且本页已打开；表单和筛选保持下列指定状态
3. 该主播已退出当前公会</x:v>
      </x:c>
      <x:c r="J58" s="9" t="str">
        <x:v>1. 查看主播主页</x:v>
      </x:c>
      <x:c r="K58" s="9" t="str">
        <x:v>不显示主播管理操作入口</x:v>
      </x:c>
      <x:c r="L58" s="10" t="str"/>
      <x:c r="M58" s="10" t="str">
        <x:v>未测</x:v>
      </x:c>
      <x:c r="N58" s="10" t="str"/>
      <x:c r="O58" s="9" t="str">
        <x:v>1. 来源（当前证据）：liveshow-proto/MainBasis/统一需求文档.md；位置：REQ-81fc8f1e04b7；行2977
2. 规则：BR-f36789f6f494106f
3. 未动态验证</x:v>
      </x:c>
    </x:row>
    <x:row r="59" ht="100" customHeight="1">
      <x:c r="A59" s="10" t="n">
        <x:v>58</x:v>
      </x:c>
      <x:c r="B59" s="10" t="str">
        <x:v>GUILD-02-0030</x:v>
      </x:c>
      <x:c r="C59" s="10" t="str">
        <x:v>主播管理</x:v>
      </x:c>
      <x:c r="D59" s="10" t="str">
        <x:v>主播主页（公会长视角）</x:v>
      </x:c>
      <x:c r="E59" s="10" t="str">
        <x:v>逻辑校验</x:v>
      </x:c>
      <x:c r="F59" s="10" t="str">
        <x:v>P1</x:v>
      </x:c>
      <x:c r="G59" s="9" t="str">
        <x:v>验证主播主页粉丝数取当前人数</x:v>
      </x:c>
      <x:c r="H59" s="9" t="str">
        <x:v>公会主播当前粉丝数</x:v>
      </x:c>
      <x:c r="I59" s="9" t="str">
        <x:v>1. 执行角色为公会长
2. 业务数据已准备且本页已打开；表单和筛选保持下列指定状态
3. 主播现有关注者10人，本月新增20人，本月取关15人</x:v>
      </x:c>
      <x:c r="J59" s="9" t="str">
        <x:v>1. 查看主播主页</x:v>
      </x:c>
      <x:c r="K59" s="9" t="str">
        <x:v>粉丝数显示10人</x:v>
      </x:c>
      <x:c r="L59" s="10" t="str"/>
      <x:c r="M59" s="10" t="str">
        <x:v>未测</x:v>
      </x:c>
      <x:c r="N59" s="10" t="str"/>
      <x:c r="O59" s="9" t="str">
        <x:v>1. 来源（当前证据）：liveshow-proto/MainBasis/统一需求文档.md；位置：REQ-4e9b69496562；行2997
2. 规则：BR-3425231ebcdc35fd
3. 未动态验证</x:v>
      </x:c>
    </x:row>
    <x:row r="60" ht="100" customHeight="1">
      <x:c r="A60" s="10" t="n">
        <x:v>59</x:v>
      </x:c>
      <x:c r="B60" s="10" t="str">
        <x:v>GUILD-02-0031</x:v>
      </x:c>
      <x:c r="C60" s="10" t="str">
        <x:v>主播管理</x:v>
      </x:c>
      <x:c r="D60" s="10" t="str">
        <x:v>主播主页（公会长视角）</x:v>
      </x:c>
      <x:c r="E60" s="10" t="str">
        <x:v>逻辑校验</x:v>
      </x:c>
      <x:c r="F60" s="10" t="str">
        <x:v>P1</x:v>
      </x:c>
      <x:c r="G60" s="9" t="str">
        <x:v>验证平台锁定后公会不可改权限</x:v>
      </x:c>
      <x:c r="H60" s="9" t="str">
        <x:v>公会开播权限锁定</x:v>
      </x:c>
      <x:c r="I60" s="9" t="str">
        <x:v>1. 执行角色为公会长
2. 业务数据已准备且本页已打开；表单和筛选保持下列指定状态
3. 平台开播权限开启且锁定，公会原设置为关闭</x:v>
      </x:c>
      <x:c r="J60" s="9" t="str">
        <x:v>1. 查看主播主页</x:v>
      </x:c>
      <x:c r="K60" s="9" t="str">
        <x:v>公会直播权限开关只读</x:v>
      </x:c>
      <x:c r="L60" s="10" t="str">
        <x:v>FLOW-B994D746A6</x:v>
      </x:c>
      <x:c r="M60" s="10" t="str">
        <x:v>未测</x:v>
      </x:c>
      <x:c r="N60" s="10" t="str"/>
      <x:c r="O60" s="9" t="str">
        <x:v>1. 来源（当前证据）：liveshow-proto/MainBasis/统一需求文档.md；位置：REQ-4fc6cf0d0919；行3009
2. 规则：BR-0a4b4321e3de6886
3. 未动态验证</x:v>
      </x:c>
    </x:row>
    <x:row r="61" ht="100" customHeight="1">
      <x:c r="A61" s="10" t="n">
        <x:v>60</x:v>
      </x:c>
      <x:c r="B61" s="10" t="str">
        <x:v>GUILD-02-0032</x:v>
      </x:c>
      <x:c r="C61" s="10" t="str">
        <x:v>主播管理</x:v>
      </x:c>
      <x:c r="D61" s="10" t="str">
        <x:v>主播主页（公会长视角）</x:v>
      </x:c>
      <x:c r="E61" s="10" t="str">
        <x:v>逻辑校验</x:v>
      </x:c>
      <x:c r="F61" s="10" t="str">
        <x:v>P1</x:v>
      </x:c>
      <x:c r="G61" s="9" t="str">
        <x:v>验证平台开启锁定时显示平台权限</x:v>
      </x:c>
      <x:c r="H61" s="9" t="str">
        <x:v>平台锁定期间权限取值</x:v>
      </x:c>
      <x:c r="I61" s="9" t="str">
        <x:v>1. 执行角色为公会长
2. 业务数据已准备且本页已打开；表单和筛选保持下列指定状态
3. 平台开播权限开启且锁定，公会锁定前关闭</x:v>
      </x:c>
      <x:c r="J61" s="9" t="str">
        <x:v>1. 查看主播主页</x:v>
      </x:c>
      <x:c r="K61" s="9" t="str">
        <x:v>实际开播权限显示开启</x:v>
      </x:c>
      <x:c r="L61" s="10" t="str"/>
      <x:c r="M61" s="10" t="str">
        <x:v>未测</x:v>
      </x:c>
      <x:c r="N61" s="10" t="str"/>
      <x:c r="O61" s="9" t="str">
        <x:v>1. 来源（当前证据）：liveshow-proto/MainBasis/统一需求文档.md；位置：REQ-3bc8908ef0a3；行3007
2. 规则：BR-16803f43531babf4
3. 未动态验证</x:v>
      </x:c>
    </x:row>
    <x:row r="62" ht="100" customHeight="1">
      <x:c r="A62" s="10" t="n">
        <x:v>61</x:v>
      </x:c>
      <x:c r="B62" s="10" t="str">
        <x:v>GUILD-02-0033</x:v>
      </x:c>
      <x:c r="C62" s="10" t="str">
        <x:v>主播管理</x:v>
      </x:c>
      <x:c r="D62" s="10" t="str">
        <x:v>主播主页（公会长视角）</x:v>
      </x:c>
      <x:c r="E62" s="10" t="str">
        <x:v>逻辑校验</x:v>
      </x:c>
      <x:c r="F62" s="10" t="str">
        <x:v>P1</x:v>
      </x:c>
      <x:c r="G62" s="9" t="str">
        <x:v>验证解锁后恢复公会原设置</x:v>
      </x:c>
      <x:c r="H62" s="9" t="str">
        <x:v>公会权限解锁恢复</x:v>
      </x:c>
      <x:c r="I62" s="9" t="str">
        <x:v>1. 执行角色为公会长
2. 业务数据已准备且本页已打开；表单和筛选保持下列指定状态
3. 公会原设置关闭，平台开启锁定后又解除锁定</x:v>
      </x:c>
      <x:c r="J62" s="9" t="str">
        <x:v>1. 查看主播主页</x:v>
      </x:c>
      <x:c r="K62" s="9" t="str">
        <x:v>公会直播权限恢复关闭</x:v>
      </x:c>
      <x:c r="L62" s="10" t="str">
        <x:v>FLOW-B994D746A6</x:v>
      </x:c>
      <x:c r="M62" s="10" t="str">
        <x:v>未测</x:v>
      </x:c>
      <x:c r="N62" s="10" t="str"/>
      <x:c r="O62" s="9" t="str">
        <x:v>1. 来源（当前证据）：liveshow-proto/MainBasis/统一需求文档.md；位置：REQ-4fc6cf0d0919；行3009
2. 规则：BR-02fc26cf13b6c679
3. 未动态验证</x:v>
      </x:c>
    </x:row>
    <x:row r="63" ht="100" customHeight="1">
      <x:c r="A63" s="10" t="n">
        <x:v>62</x:v>
      </x:c>
      <x:c r="B63" s="10" t="str">
        <x:v>GUILD-02-0034</x:v>
      </x:c>
      <x:c r="C63" s="10" t="str">
        <x:v>主播管理</x:v>
      </x:c>
      <x:c r="D63" s="10" t="str">
        <x:v>主播主页（公会长视角）</x:v>
      </x:c>
      <x:c r="E63" s="10" t="str">
        <x:v>逻辑校验</x:v>
      </x:c>
      <x:c r="F63" s="10" t="str">
        <x:v>P1</x:v>
      </x:c>
      <x:c r="G63" s="9" t="str">
        <x:v>验证公会关闭主播权限前确认</x:v>
      </x:c>
      <x:c r="H63" s="9" t="str">
        <x:v>公会关闭权限确认</x:v>
      </x:c>
      <x:c r="I63" s="9" t="str">
        <x:v>1. 执行角色为公会长
2. 业务数据已准备且本页已打开；表单和筛选保持下列指定状态
3. 主播当前在播，平台允许公会管理</x:v>
      </x:c>
      <x:c r="J63" s="9" t="str">
        <x:v>1. 查看主播主页
2. 禁用直播权限</x:v>
      </x:c>
      <x:c r="K63" s="9" t="str">
        <x:v>显示关闭直播权限二次确认弹窗</x:v>
      </x:c>
      <x:c r="L63" s="10" t="str"/>
      <x:c r="M63" s="10" t="str">
        <x:v>未测</x:v>
      </x:c>
      <x:c r="N63" s="10" t="str"/>
      <x:c r="O63" s="9" t="str">
        <x:v>1. 来源（当前证据）：liveshow-proto/MainBasis/统一需求文档.md；位置：REQ-d7578655d74c；行3011
2. 规则：BR-3ebaa1b9b80116dc
3. 未动态验证</x:v>
      </x:c>
    </x:row>
    <x:row r="64" ht="100" customHeight="1">
      <x:c r="A64" s="10" t="n">
        <x:v>63</x:v>
      </x:c>
      <x:c r="B64" s="10" t="str">
        <x:v>GUILD-02-0035</x:v>
      </x:c>
      <x:c r="C64" s="10" t="str">
        <x:v>主播管理</x:v>
      </x:c>
      <x:c r="D64" s="10" t="str">
        <x:v>主播主页（公会长视角）</x:v>
      </x:c>
      <x:c r="E64" s="10" t="str">
        <x:v>逻辑校验</x:v>
      </x:c>
      <x:c r="F64" s="10" t="str">
        <x:v>P1</x:v>
      </x:c>
      <x:c r="G64" s="9" t="str">
        <x:v>验证公会关闭主播开播权限</x:v>
      </x:c>
      <x:c r="H64" s="9" t="str">
        <x:v>公会开播权限关闭</x:v>
      </x:c>
      <x:c r="I64" s="9" t="str">
        <x:v>1. 执行角色为公会长
2. 业务数据已准备且本页已打开；表单和筛选保持下列指定状态
3. 平台未锁定，主播当前公会权限开启</x:v>
      </x:c>
      <x:c r="J64" s="9" t="str">
        <x:v>1. 查看主播主页
2. 禁用直播权限
3. 点击确认</x:v>
      </x:c>
      <x:c r="K64" s="9" t="str">
        <x:v>直播权限显示关闭</x:v>
      </x:c>
      <x:c r="L64" s="10" t="str">
        <x:v>FLOW-B994D746A6</x:v>
      </x:c>
      <x:c r="M64" s="10" t="str">
        <x:v>未测</x:v>
      </x:c>
      <x:c r="N64" s="10" t="str"/>
      <x:c r="O64" s="9" t="str">
        <x:v>1. 来源（当前证据）：liveshow-proto/MainBasis/统一需求文档.md；位置：REQ-d7578655d74c；行3011
2. 规则：BR-690a7893271433d1
3. 未动态验证</x:v>
      </x:c>
    </x:row>
    <x:row r="65" ht="130" customHeight="1">
      <x:c r="A65" s="10" t="n">
        <x:v>64</x:v>
      </x:c>
      <x:c r="B65" s="10" t="str">
        <x:v>GUILD-02-0036</x:v>
      </x:c>
      <x:c r="C65" s="10" t="str">
        <x:v>主播管理</x:v>
      </x:c>
      <x:c r="D65" s="10" t="str">
        <x:v>主播主页（公会长视角）</x:v>
      </x:c>
      <x:c r="E65" s="10" t="str">
        <x:v>逻辑校验</x:v>
      </x:c>
      <x:c r="F65" s="10" t="str">
        <x:v>P1</x:v>
      </x:c>
      <x:c r="G65" s="9" t="str">
        <x:v>验证未结清收益不能移出主播</x:v>
      </x:c>
      <x:c r="H65" s="9" t="str">
        <x:v>主播移出结清门槛</x:v>
      </x:c>
      <x:c r="I65" s="9" t="str">
        <x:v>1. 执行角色为公会长
2. 业务数据已准备且本页已打开；表单和筛选保持下列指定状态
3. 主播存在未结清收益
4. 环境准备：测试版本需实现批注中的收益结清判断，原型尚未接入</x:v>
      </x:c>
      <x:c r="J65" s="9" t="str">
        <x:v>1. 查看主播主页</x:v>
      </x:c>
      <x:c r="K65" s="9" t="str">
        <x:v>移出公会按钮不可用</x:v>
      </x:c>
      <x:c r="L65" s="10" t="str"/>
      <x:c r="M65" s="10" t="str">
        <x:v>未测</x:v>
      </x:c>
      <x:c r="N65" s="10" t="str"/>
      <x:c r="O65" s="9" t="str">
        <x:v>1. 来源（当前证据）：liveshow-proto/MainBasis/统一需求文档.md；位置：REQ-e479d67b9151；行3013
2. 规则：BR-97b392a4f40a179c
3. 未动态验证</x:v>
      </x:c>
    </x:row>
    <x:row r="66" ht="85" customHeight="1">
      <x:c r="A66" s="10" t="n">
        <x:v>65</x:v>
      </x:c>
      <x:c r="B66" s="10" t="str">
        <x:v>GUILD-02-0037</x:v>
      </x:c>
      <x:c r="C66" s="10" t="str">
        <x:v>主播管理</x:v>
      </x:c>
      <x:c r="D66" s="10" t="str">
        <x:v>主播主页（公会长视角）</x:v>
      </x:c>
      <x:c r="E66" s="10" t="str">
        <x:v>逻辑校验</x:v>
      </x:c>
      <x:c r="F66" s="10" t="str">
        <x:v>P1</x:v>
      </x:c>
      <x:c r="G66" s="9" t="str">
        <x:v>验证已结清收益主播确认移出</x:v>
      </x:c>
      <x:c r="H66" s="9" t="str">
        <x:v>公会移出主播</x:v>
      </x:c>
      <x:c r="I66" s="9" t="str">
        <x:v>1. 执行角色为公会长
2. 业务数据已准备且本页已打开；表单和筛选保持下列指定状态
3. 主播收益已结清且目前在会</x:v>
      </x:c>
      <x:c r="J66" s="9" t="str">
        <x:v>1. 查看主播主页
2. 点击移出公会
3. 点击确认</x:v>
      </x:c>
      <x:c r="K66" s="9" t="str">
        <x:v>公会关系显示已退会</x:v>
      </x:c>
      <x:c r="L66" s="10" t="str">
        <x:v>FLOW-EA7D49B97D</x:v>
      </x:c>
      <x:c r="M66" s="10" t="str">
        <x:v>未测</x:v>
      </x:c>
      <x:c r="N66" s="10" t="str"/>
      <x:c r="O66" s="9" t="str">
        <x:v>1. 来源（当前证据）：liveshow-proto/MainBasis/统一需求文档.md；位置：REQ-e479d67b9151；行3013
2. 规则：BR-10a740c89e09e2b6
3. 未动态验证</x:v>
      </x:c>
    </x:row>
    <x:row r="67" ht="85" customHeight="1">
      <x:c r="A67" s="10" t="n">
        <x:v>66</x:v>
      </x:c>
      <x:c r="B67" s="10" t="str">
        <x:v>GUILD-03-0001</x:v>
      </x:c>
      <x:c r="C67" s="10" t="str">
        <x:v>运营工具</x:v>
      </x:c>
      <x:c r="D67" s="10" t="str">
        <x:v>新建运营消息（公会长视角）</x:v>
      </x:c>
      <x:c r="E67" s="10" t="str">
        <x:v>逻辑校验</x:v>
      </x:c>
      <x:c r="F67" s="10" t="str">
        <x:v>P1</x:v>
      </x:c>
      <x:c r="G67" s="9" t="str">
        <x:v>验证运营消息正文长度0</x:v>
      </x:c>
      <x:c r="H67" s="9" t="str">
        <x:v>运营消息正文字数</x:v>
      </x:c>
      <x:c r="I67" s="9" t="str">
        <x:v>1. 执行角色为公会长
2. 业务数据已准备且本页已打开；表单和筛选保持下列指定状态
3. 发送对象为当前公会主播甲</x:v>
      </x:c>
      <x:c r="J67" s="9" t="str">
        <x:v>1. 查看新建运营消息页
2. 清空文字内容
3. 点击发送</x:v>
      </x:c>
      <x:c r="K67" s="9" t="str">
        <x:v>不能发送空正文</x:v>
      </x:c>
      <x:c r="L67" s="10" t="str"/>
      <x:c r="M67" s="10" t="str">
        <x:v>未测</x:v>
      </x:c>
      <x:c r="N67" s="10" t="str"/>
      <x:c r="O67" s="9" t="str">
        <x:v>1. 来源（当前证据）：liveshow-proto/MainBasis/统一需求文档.md；位置：REQ-ad8aa90131f0；行3045
2. 规则：BR-4b415ba62087ad0c
3. 未动态验证</x:v>
      </x:c>
    </x:row>
    <x:row r="68" ht="85" customHeight="1">
      <x:c r="A68" s="10" t="n">
        <x:v>67</x:v>
      </x:c>
      <x:c r="B68" s="10" t="str">
        <x:v>GUILD-03-0002</x:v>
      </x:c>
      <x:c r="C68" s="10" t="str">
        <x:v>运营工具</x:v>
      </x:c>
      <x:c r="D68" s="10" t="str">
        <x:v>新建运营消息（公会长视角）</x:v>
      </x:c>
      <x:c r="E68" s="10" t="str">
        <x:v>逻辑校验</x:v>
      </x:c>
      <x:c r="F68" s="10" t="str">
        <x:v>P1</x:v>
      </x:c>
      <x:c r="G68" s="9" t="str">
        <x:v>验证运营消息正文长度500</x:v>
      </x:c>
      <x:c r="H68" s="9" t="str">
        <x:v>运营消息正文字数</x:v>
      </x:c>
      <x:c r="I68" s="9" t="str">
        <x:v>1. 执行角色为公会长
2. 业务数据已准备且本页已打开；表单和筛选保持下列指定状态
3. 发送对象为当前公会主播甲</x:v>
      </x:c>
      <x:c r="J68" s="9" t="str">
        <x:v>1. 查看新建运营消息页
2. 填写文字内容为500个A
3. 点击发送</x:v>
      </x:c>
      <x:c r="K68" s="9" t="str">
        <x:v>显示接收范围二次确认</x:v>
      </x:c>
      <x:c r="L68" s="10" t="str"/>
      <x:c r="M68" s="10" t="str">
        <x:v>未测</x:v>
      </x:c>
      <x:c r="N68" s="10" t="str"/>
      <x:c r="O68" s="9" t="str">
        <x:v>1. 来源（当前证据）：liveshow-proto/MainBasis/统一需求文档.md；位置：REQ-ad8aa90131f0；行3045
2. 规则：BR-8f90c8d8444d8ee8
3. 未动态验证</x:v>
      </x:c>
    </x:row>
    <x:row r="69" ht="85" customHeight="1">
      <x:c r="A69" s="10" t="n">
        <x:v>68</x:v>
      </x:c>
      <x:c r="B69" s="10" t="str">
        <x:v>GUILD-03-0003</x:v>
      </x:c>
      <x:c r="C69" s="10" t="str">
        <x:v>运营工具</x:v>
      </x:c>
      <x:c r="D69" s="10" t="str">
        <x:v>新建运营消息（公会长视角）</x:v>
      </x:c>
      <x:c r="E69" s="10" t="str">
        <x:v>逻辑校验</x:v>
      </x:c>
      <x:c r="F69" s="10" t="str">
        <x:v>P1</x:v>
      </x:c>
      <x:c r="G69" s="9" t="str">
        <x:v>验证运营消息正文长度501</x:v>
      </x:c>
      <x:c r="H69" s="9" t="str">
        <x:v>运营消息正文字数</x:v>
      </x:c>
      <x:c r="I69" s="9" t="str">
        <x:v>1. 执行角色为公会长
2. 业务数据已准备且本页已打开；表单和筛选保持下列指定状态
3. 发送对象为当前公会主播甲</x:v>
      </x:c>
      <x:c r="J69" s="9" t="str">
        <x:v>1. 查看新建运营消息页
2. 填写文字内容为501个A
3. 点击发送</x:v>
      </x:c>
      <x:c r="K69" s="9" t="str">
        <x:v>正文不接受超过500字符</x:v>
      </x:c>
      <x:c r="L69" s="10" t="str"/>
      <x:c r="M69" s="10" t="str">
        <x:v>未测</x:v>
      </x:c>
      <x:c r="N69" s="10" t="str"/>
      <x:c r="O69" s="9" t="str">
        <x:v>1. 来源（当前证据）：liveshow-proto/MainBasis/统一需求文档.md；位置：REQ-ad8aa90131f0；行3045
2. 规则：BR-8d968ffe62f56351
3. 未动态验证</x:v>
      </x:c>
    </x:row>
    <x:row r="70" ht="100" customHeight="1">
      <x:c r="A70" s="10" t="n">
        <x:v>69</x:v>
      </x:c>
      <x:c r="B70" s="10" t="str">
        <x:v>GUILD-03-0004</x:v>
      </x:c>
      <x:c r="C70" s="10" t="str">
        <x:v>运营工具</x:v>
      </x:c>
      <x:c r="D70" s="10" t="str">
        <x:v>新建运营消息（公会长视角）</x:v>
      </x:c>
      <x:c r="E70" s="10" t="str">
        <x:v>功能需求</x:v>
      </x:c>
      <x:c r="F70" s="10" t="str">
        <x:v>P2</x:v>
      </x:c>
      <x:c r="G70" s="9" t="str">
        <x:v>验证运营消息上传JPG图片</x:v>
      </x:c>
      <x:c r="H70" s="9" t="str">
        <x:v>运营消息图片格式</x:v>
      </x:c>
      <x:c r="I70" s="9" t="str">
        <x:v>1. 执行角色为公会长
2. 业务数据已准备且本页已打开；表单和筛选保持下列指定状态
3. 正文和发送对象已填写
4. 本地有可读取qa.jpg图片</x:v>
      </x:c>
      <x:c r="J70" s="9" t="str">
        <x:v>1. 查看新建运营消息页
2. 上传图片选择qa.jpg</x:v>
      </x:c>
      <x:c r="K70" s="9" t="str">
        <x:v>显示所选图片预览</x:v>
      </x:c>
      <x:c r="L70" s="10" t="str"/>
      <x:c r="M70" s="10" t="str">
        <x:v>未测</x:v>
      </x:c>
      <x:c r="N70" s="10" t="str"/>
      <x:c r="O70" s="9" t="str">
        <x:v>1. 来源（当前证据）：liveshow-proto/MainBasis/统一需求文档.md；位置：REQ-2230182a7752；行3047
2. 规则：BR-23034cc1df87511a
3. 未动态验证</x:v>
      </x:c>
    </x:row>
    <x:row r="71" ht="100" customHeight="1">
      <x:c r="A71" s="10" t="n">
        <x:v>70</x:v>
      </x:c>
      <x:c r="B71" s="10" t="str">
        <x:v>GUILD-03-0005</x:v>
      </x:c>
      <x:c r="C71" s="10" t="str">
        <x:v>运营工具</x:v>
      </x:c>
      <x:c r="D71" s="10" t="str">
        <x:v>新建运营消息（公会长视角）</x:v>
      </x:c>
      <x:c r="E71" s="10" t="str">
        <x:v>功能需求</x:v>
      </x:c>
      <x:c r="F71" s="10" t="str">
        <x:v>P2</x:v>
      </x:c>
      <x:c r="G71" s="9" t="str">
        <x:v>验证运营消息上传PNG图片</x:v>
      </x:c>
      <x:c r="H71" s="9" t="str">
        <x:v>运营消息图片格式</x:v>
      </x:c>
      <x:c r="I71" s="9" t="str">
        <x:v>1. 执行角色为公会长
2. 业务数据已准备且本页已打开；表单和筛选保持下列指定状态
3. 正文和发送对象已填写
4. 本地有可读取qa.png图片</x:v>
      </x:c>
      <x:c r="J71" s="9" t="str">
        <x:v>1. 查看新建运营消息页
2. 上传图片选择qa.png</x:v>
      </x:c>
      <x:c r="K71" s="9" t="str">
        <x:v>显示所选图片预览</x:v>
      </x:c>
      <x:c r="L71" s="10" t="str"/>
      <x:c r="M71" s="10" t="str">
        <x:v>未测</x:v>
      </x:c>
      <x:c r="N71" s="10" t="str"/>
      <x:c r="O71" s="9" t="str">
        <x:v>1. 来源（当前证据）：liveshow-proto/MainBasis/统一需求文档.md；位置：REQ-2230182a7752；行3047
2. 规则：BR-d8729e8c9f8d55e9
3. 未动态验证</x:v>
      </x:c>
    </x:row>
    <x:row r="72" ht="100" customHeight="1">
      <x:c r="A72" s="10" t="n">
        <x:v>71</x:v>
      </x:c>
      <x:c r="B72" s="10" t="str">
        <x:v>GUILD-03-0006</x:v>
      </x:c>
      <x:c r="C72" s="10" t="str">
        <x:v>运营工具</x:v>
      </x:c>
      <x:c r="D72" s="10" t="str">
        <x:v>新建运营消息（公会长视角）</x:v>
      </x:c>
      <x:c r="E72" s="10" t="str">
        <x:v>功能需求</x:v>
      </x:c>
      <x:c r="F72" s="10" t="str">
        <x:v>P2</x:v>
      </x:c>
      <x:c r="G72" s="9" t="str">
        <x:v>验证运营消息上传WebP图片</x:v>
      </x:c>
      <x:c r="H72" s="9" t="str">
        <x:v>运营消息图片格式</x:v>
      </x:c>
      <x:c r="I72" s="9" t="str">
        <x:v>1. 执行角色为公会长
2. 业务数据已准备且本页已打开；表单和筛选保持下列指定状态
3. 正文和发送对象已填写
4. 本地有可读取qa.webp图片</x:v>
      </x:c>
      <x:c r="J72" s="9" t="str">
        <x:v>1. 查看新建运营消息页
2. 上传图片选择qa.webp</x:v>
      </x:c>
      <x:c r="K72" s="9" t="str">
        <x:v>显示所选图片预览</x:v>
      </x:c>
      <x:c r="L72" s="10" t="str"/>
      <x:c r="M72" s="10" t="str">
        <x:v>未测</x:v>
      </x:c>
      <x:c r="N72" s="10" t="str"/>
      <x:c r="O72" s="9" t="str">
        <x:v>1. 来源（当前证据）：liveshow-proto/MainBasis/统一需求文档.md；位置：REQ-2230182a7752；行3047
2. 规则：BR-877b254a3393a4b1
3. 未动态验证</x:v>
      </x:c>
    </x:row>
    <x:row r="73" ht="85" customHeight="1">
      <x:c r="A73" s="10" t="n">
        <x:v>72</x:v>
      </x:c>
      <x:c r="B73" s="10" t="str">
        <x:v>GUILD-03-0007</x:v>
      </x:c>
      <x:c r="C73" s="10" t="str">
        <x:v>运营工具</x:v>
      </x:c>
      <x:c r="D73" s="10" t="str">
        <x:v>新建运营消息（公会长视角）</x:v>
      </x:c>
      <x:c r="E73" s="10" t="str">
        <x:v>逻辑校验</x:v>
      </x:c>
      <x:c r="F73" s="10" t="str">
        <x:v>P1</x:v>
      </x:c>
      <x:c r="G73" s="9" t="str">
        <x:v>验证运营消息最多附带1张图</x:v>
      </x:c>
      <x:c r="H73" s="9" t="str">
        <x:v>运营消息图片数量</x:v>
      </x:c>
      <x:c r="I73" s="9" t="str">
        <x:v>1. 执行角色为公会长
2. 业务数据已准备且本页已打开；表单和筛选保持下列指定状态
3. 已有一张附图A</x:v>
      </x:c>
      <x:c r="J73" s="9" t="str">
        <x:v>1. 查看新建运营消息页
2. 上传图片选择第二张B</x:v>
      </x:c>
      <x:c r="K73" s="9" t="str">
        <x:v>消息附图数量不超过1张</x:v>
      </x:c>
      <x:c r="L73" s="10" t="str"/>
      <x:c r="M73" s="10" t="str">
        <x:v>未测</x:v>
      </x:c>
      <x:c r="N73" s="10" t="str"/>
      <x:c r="O73" s="9" t="str">
        <x:v>1. 来源（当前证据）：liveshow-proto/MainBasis/统一需求文档.md；位置：REQ-2230182a7752；行3047
2. 规则：BR-42b9c94a8a1cda55
3. 未动态验证</x:v>
      </x:c>
    </x:row>
    <x:row r="74" ht="100" customHeight="1">
      <x:c r="A74" s="10" t="n">
        <x:v>73</x:v>
      </x:c>
      <x:c r="B74" s="10" t="str">
        <x:v>GUILD-03-0008</x:v>
      </x:c>
      <x:c r="C74" s="10" t="str">
        <x:v>运营工具</x:v>
      </x:c>
      <x:c r="D74" s="10" t="str">
        <x:v>新建运营消息（公会长视角）</x:v>
      </x:c>
      <x:c r="E74" s="10" t="str">
        <x:v>业务流程</x:v>
      </x:c>
      <x:c r="F74" s="10" t="str">
        <x:v>P0</x:v>
      </x:c>
      <x:c r="G74" s="9" t="str">
        <x:v>验证确认发送当前公会消息</x:v>
      </x:c>
      <x:c r="H74" s="9" t="str">
        <x:v>公会消息发送成功</x:v>
      </x:c>
      <x:c r="I74" s="9" t="str">
        <x:v>1. 执行角色为公会长
2. 业务数据已准备且本页已打开；表单和筛选保持下列指定状态
3. 正文为QA通知，接收范围为全体当前主播</x:v>
      </x:c>
      <x:c r="J74" s="9" t="str">
        <x:v>1. 查看新建运营消息页
2. 点击发送
3. 点击确认</x:v>
      </x:c>
      <x:c r="K74" s="9" t="str">
        <x:v>返回运营消息列表</x:v>
      </x:c>
      <x:c r="L74" s="10" t="str"/>
      <x:c r="M74" s="10" t="str">
        <x:v>未测</x:v>
      </x:c>
      <x:c r="N74" s="10" t="str"/>
      <x:c r="O74" s="9" t="str">
        <x:v>1. 来源（当前证据）：liveshow-proto/MainBasis/统一需求文档.md；位置：REQ-48fe35060417；行3051
2. 规则：BR-955ea77fb635c593
3. 未动态验证</x:v>
      </x:c>
    </x:row>
    <x:row r="75" ht="85" customHeight="1">
      <x:c r="A75" s="10" t="n">
        <x:v>74</x:v>
      </x:c>
      <x:c r="B75" s="10" t="str">
        <x:v>GUILD-03-0009</x:v>
      </x:c>
      <x:c r="C75" s="10" t="str">
        <x:v>运营工具</x:v>
      </x:c>
      <x:c r="D75" s="10" t="str">
        <x:v>选择主播（公会长视角）</x:v>
      </x:c>
      <x:c r="E75" s="10" t="str">
        <x:v>逻辑校验</x:v>
      </x:c>
      <x:c r="F75" s="10" t="str">
        <x:v>P1</x:v>
      </x:c>
      <x:c r="G75" s="9" t="str">
        <x:v>验证指定消息只能选择1名主播</x:v>
      </x:c>
      <x:c r="H75" s="9" t="str">
        <x:v>消息接收主播单选</x:v>
      </x:c>
      <x:c r="I75" s="9" t="str">
        <x:v>1. 执行角色为公会长
2. 业务数据已准备且本页已打开；表单和筛选保持下列指定状态
3. 当前公会有甲乙两名主播</x:v>
      </x:c>
      <x:c r="J75" s="9" t="str">
        <x:v>1. 查看选择主播页
2. 选择主播甲
3. 选择主播乙</x:v>
      </x:c>
      <x:c r="K75" s="9" t="str">
        <x:v>仅主播乙保持选中</x:v>
      </x:c>
      <x:c r="L75" s="10" t="str"/>
      <x:c r="M75" s="10" t="str">
        <x:v>未测</x:v>
      </x:c>
      <x:c r="N75" s="10" t="str"/>
      <x:c r="O75" s="9" t="str">
        <x:v>1. 来源（当前证据）：liveshow-proto/MainBasis/统一需求文档.md；位置：REQ-3711cde5fe62；行3064
2. 规则：BR-c79ef6d506f821b2
3. 未动态验证</x:v>
      </x:c>
    </x:row>
    <x:row r="76" ht="85" customHeight="1">
      <x:c r="A76" s="10" t="n">
        <x:v>75</x:v>
      </x:c>
      <x:c r="B76" s="10" t="str">
        <x:v>GUILD-03-0010</x:v>
      </x:c>
      <x:c r="C76" s="10" t="str">
        <x:v>运营工具</x:v>
      </x:c>
      <x:c r="D76" s="10" t="str">
        <x:v>选择主播（公会长视角）</x:v>
      </x:c>
      <x:c r="E76" s="10" t="str">
        <x:v>逻辑校验</x:v>
      </x:c>
      <x:c r="F76" s="10" t="str">
        <x:v>P1</x:v>
      </x:c>
      <x:c r="G76" s="9" t="str">
        <x:v>验证未选接收主播不能完成</x:v>
      </x:c>
      <x:c r="H76" s="9" t="str">
        <x:v>指定接收人必选</x:v>
      </x:c>
      <x:c r="I76" s="9" t="str">
        <x:v>1. 执行角色为公会长</x:v>
      </x:c>
      <x:c r="J76" s="9" t="str">
        <x:v>1. 进入选择主播页
2. 点击完成</x:v>
      </x:c>
      <x:c r="K76" s="9" t="str">
        <x:v>提示选择主播</x:v>
      </x:c>
      <x:c r="L76" s="10" t="str"/>
      <x:c r="M76" s="10" t="str">
        <x:v>未测</x:v>
      </x:c>
      <x:c r="N76" s="10" t="str"/>
      <x:c r="O76" s="9" t="str">
        <x:v>1. 来源（当前证据）：liveshow-proto/MainBasis/统一需求文档.md；位置：REQ-ab3611f8dec0；行3066
2. 规则：BR-3b9fe19f3305e60b
3. 未动态验证</x:v>
      </x:c>
    </x:row>
    <x:row r="77" ht="100" customHeight="1">
      <x:c r="A77" s="10" t="n">
        <x:v>76</x:v>
      </x:c>
      <x:c r="B77" s="10" t="str">
        <x:v>GUILD-03-0011</x:v>
      </x:c>
      <x:c r="C77" s="10" t="str">
        <x:v>运营工具</x:v>
      </x:c>
      <x:c r="D77" s="10" t="str">
        <x:v>消息详情（公会长视角）</x:v>
      </x:c>
      <x:c r="E77" s="10" t="str">
        <x:v>逻辑校验</x:v>
      </x:c>
      <x:c r="F77" s="10" t="str">
        <x:v>P1</x:v>
      </x:c>
      <x:c r="G77" s="9" t="str">
        <x:v>验证接收主播退会后保留发送快照</x:v>
      </x:c>
      <x:c r="H77" s="9" t="str">
        <x:v>运营消息接收人快照</x:v>
      </x:c>
      <x:c r="I77" s="9" t="str">
        <x:v>1. 执行角色为公会长
2. 业务数据已准备且本页已打开；表单和筛选保持下列指定状态
3. 消息N发送时接收人甲仍在会，甲随后退会</x:v>
      </x:c>
      <x:c r="J77" s="9" t="str">
        <x:v>1. 查看消息详情页</x:v>
      </x:c>
      <x:c r="K77" s="9" t="str">
        <x:v>消息N接收人仍显示甲</x:v>
      </x:c>
      <x:c r="L77" s="10" t="str"/>
      <x:c r="M77" s="10" t="str">
        <x:v>未测</x:v>
      </x:c>
      <x:c r="N77" s="10" t="str"/>
      <x:c r="O77" s="9" t="str">
        <x:v>1. 来源（当前证据）：liveshow-proto/MainBasis/统一需求文档.md；位置：REQ-46295ce894ac；行3083
2. 规则：BR-ddf701f7de1216d1
3. 未动态验证</x:v>
      </x:c>
    </x:row>
    <x:row r="78" ht="85" customHeight="1">
      <x:c r="A78" s="10" t="n">
        <x:v>77</x:v>
      </x:c>
      <x:c r="B78" s="10" t="str">
        <x:v>GUILD-03-0012</x:v>
      </x:c>
      <x:c r="C78" s="10" t="str">
        <x:v>运营工具</x:v>
      </x:c>
      <x:c r="D78" s="10" t="str">
        <x:v>消息详情（公会长视角）</x:v>
      </x:c>
      <x:c r="E78" s="10" t="str">
        <x:v>逻辑校验</x:v>
      </x:c>
      <x:c r="F78" s="10" t="str">
        <x:v>P1</x:v>
      </x:c>
      <x:c r="G78" s="9" t="str">
        <x:v>验证已发送运营消息不可编辑撤回</x:v>
      </x:c>
      <x:c r="H78" s="9" t="str">
        <x:v>已发送消息只读</x:v>
      </x:c>
      <x:c r="I78" s="9" t="str">
        <x:v>1. 执行角色为公会长
2. 业务数据已准备且本页已打开；表单和筛选保持下列指定状态
3. 消息N已发送</x:v>
      </x:c>
      <x:c r="J78" s="9" t="str">
        <x:v>1. 查看消息详情页</x:v>
      </x:c>
      <x:c r="K78" s="9" t="str">
        <x:v>不显示编辑或撤回入口</x:v>
      </x:c>
      <x:c r="L78" s="10" t="str"/>
      <x:c r="M78" s="10" t="str">
        <x:v>未测</x:v>
      </x:c>
      <x:c r="N78" s="10" t="str"/>
      <x:c r="O78" s="9" t="str">
        <x:v>1. 来源（当前证据）：liveshow-proto/MainBasis/统一需求文档.md；位置：REQ-46295ce894ac；行3083
2. 规则：BR-64a9e36527921132
3. 未动态验证</x:v>
      </x:c>
    </x:row>
    <x:row r="79" ht="85" customHeight="1">
      <x:c r="A79" s="10" t="n">
        <x:v>78</x:v>
      </x:c>
      <x:c r="B79" s="10" t="str">
        <x:v>GUILD-04-0001</x:v>
      </x:c>
      <x:c r="C79" s="10" t="str">
        <x:v>公会管理</x:v>
      </x:c>
      <x:c r="D79" s="10" t="str">
        <x:v>公会资料（公会长视角）</x:v>
      </x:c>
      <x:c r="E79" s="10" t="str">
        <x:v>逻辑校验</x:v>
      </x:c>
      <x:c r="F79" s="10" t="str">
        <x:v>P1</x:v>
      </x:c>
      <x:c r="G79" s="9" t="str">
        <x:v>验证公会资料不可编辑ID</x:v>
      </x:c>
      <x:c r="H79" s="9" t="str">
        <x:v>公会ID只读</x:v>
      </x:c>
      <x:c r="I79" s="9" t="str">
        <x:v>1. 执行角色为公会长</x:v>
      </x:c>
      <x:c r="J79" s="9" t="str">
        <x:v>1. 进入公会资料页
2. 点击公会ID</x:v>
      </x:c>
      <x:c r="K79" s="9" t="str">
        <x:v>公会ID不可编辑</x:v>
      </x:c>
      <x:c r="L79" s="10" t="str"/>
      <x:c r="M79" s="10" t="str">
        <x:v>未测</x:v>
      </x:c>
      <x:c r="N79" s="10" t="str"/>
      <x:c r="O79" s="9" t="str">
        <x:v>1. 来源（当前证据）：liveshow-proto/MainBasis/统一需求文档.md；位置：REQ-c68ea3b46fc7；行3220
2. 规则：BR-a10d9927ee64e4da
3. 未动态验证</x:v>
      </x:c>
    </x:row>
    <x:row r="80" ht="85" customHeight="1">
      <x:c r="A80" s="10" t="n">
        <x:v>79</x:v>
      </x:c>
      <x:c r="B80" s="10" t="str">
        <x:v>GUILD-04-0002</x:v>
      </x:c>
      <x:c r="C80" s="10" t="str">
        <x:v>公会管理</x:v>
      </x:c>
      <x:c r="D80" s="10" t="str">
        <x:v>公会资料（公会长视角）</x:v>
      </x:c>
      <x:c r="E80" s="10" t="str">
        <x:v>逻辑校验</x:v>
      </x:c>
      <x:c r="F80" s="10" t="str">
        <x:v>P1</x:v>
      </x:c>
      <x:c r="G80" s="9" t="str">
        <x:v>验证公会名称最大长度</x:v>
      </x:c>
      <x:c r="H80" s="9" t="str">
        <x:v>公会名称输入上限</x:v>
      </x:c>
      <x:c r="I80" s="9" t="str">
        <x:v>1. 执行角色为公会长</x:v>
      </x:c>
      <x:c r="J80" s="9" t="str">
        <x:v>1. 进入公会资料页
2. 填写公会名称为40个A
3. 输入公会名称末尾追加B</x:v>
      </x:c>
      <x:c r="K80" s="9" t="str">
        <x:v>公会名称不接受超过40字符</x:v>
      </x:c>
      <x:c r="L80" s="10" t="str"/>
      <x:c r="M80" s="10" t="str">
        <x:v>未测</x:v>
      </x:c>
      <x:c r="N80" s="10" t="str"/>
      <x:c r="O80" s="9" t="str">
        <x:v>1. 来源（当前证据）：liveshow-proto/MainBasis/统一需求文档.md；位置：REQ-827721b095f8；行3224
2. 规则：BR-80a237c3f5e99fba
3. 未动态验证</x:v>
      </x:c>
    </x:row>
    <x:row r="81" ht="85" customHeight="1">
      <x:c r="A81" s="10" t="n">
        <x:v>80</x:v>
      </x:c>
      <x:c r="B81" s="10" t="str">
        <x:v>GUILD-04-0003</x:v>
      </x:c>
      <x:c r="C81" s="10" t="str">
        <x:v>公会管理</x:v>
      </x:c>
      <x:c r="D81" s="10" t="str">
        <x:v>公会资料（公会长视角）</x:v>
      </x:c>
      <x:c r="E81" s="10" t="str">
        <x:v>逻辑校验</x:v>
      </x:c>
      <x:c r="F81" s="10" t="str">
        <x:v>P1</x:v>
      </x:c>
      <x:c r="G81" s="9" t="str">
        <x:v>验证公会简介最大长度</x:v>
      </x:c>
      <x:c r="H81" s="9" t="str">
        <x:v>公会简介输入上限</x:v>
      </x:c>
      <x:c r="I81" s="9" t="str">
        <x:v>1. 执行角色为公会长</x:v>
      </x:c>
      <x:c r="J81" s="9" t="str">
        <x:v>1. 进入公会资料页
2. 填写公会简介为200个A
3. 输入公会简介末尾追加B</x:v>
      </x:c>
      <x:c r="K81" s="9" t="str">
        <x:v>公会简介不接受超过200字符</x:v>
      </x:c>
      <x:c r="L81" s="10" t="str"/>
      <x:c r="M81" s="10" t="str">
        <x:v>未测</x:v>
      </x:c>
      <x:c r="N81" s="10" t="str"/>
      <x:c r="O81" s="9" t="str">
        <x:v>1. 来源（当前证据）：liveshow-proto/MainBasis/统一需求文档.md；位置：REQ-db923df69f8a；行3226
2. 规则：BR-c2817c38b33616c4
3. 未动态验证</x:v>
      </x:c>
    </x:row>
    <x:row r="82" ht="85" customHeight="1">
      <x:c r="A82" s="10" t="n">
        <x:v>81</x:v>
      </x:c>
      <x:c r="B82" s="10" t="str">
        <x:v>GUILD-04-0004</x:v>
      </x:c>
      <x:c r="C82" s="10" t="str">
        <x:v>公会管理</x:v>
      </x:c>
      <x:c r="D82" s="10" t="str">
        <x:v>公会资料（公会长视角）</x:v>
      </x:c>
      <x:c r="E82" s="10" t="str">
        <x:v>逻辑校验</x:v>
      </x:c>
      <x:c r="F82" s="10" t="str">
        <x:v>P1</x:v>
      </x:c>
      <x:c r="G82" s="9" t="str">
        <x:v>验证公会名称不能为空</x:v>
      </x:c>
      <x:c r="H82" s="9" t="str">
        <x:v>公会名称必填</x:v>
      </x:c>
      <x:c r="I82" s="9" t="str">
        <x:v>1. 执行角色为公会长</x:v>
      </x:c>
      <x:c r="J82" s="9" t="str">
        <x:v>1. 进入公会资料页
2. 清空公会名称
3. 点击保存</x:v>
      </x:c>
      <x:c r="K82" s="9" t="str">
        <x:v>不能保存空公会名称</x:v>
      </x:c>
      <x:c r="L82" s="10" t="str"/>
      <x:c r="M82" s="10" t="str">
        <x:v>未测</x:v>
      </x:c>
      <x:c r="N82" s="10" t="str"/>
      <x:c r="O82" s="9" t="str">
        <x:v>1. 来源（当前证据）：liveshow-proto/MainBasis/统一需求文档.md；位置：REQ-827721b095f8；行3224
2. 规则：BR-6e7dbc9883b1509c
3. 未动态验证</x:v>
      </x:c>
    </x:row>
    <x:row r="83" ht="85" customHeight="1">
      <x:c r="A83" s="10" t="n">
        <x:v>82</x:v>
      </x:c>
      <x:c r="B83" s="10" t="str">
        <x:v>GUILD-04-0005</x:v>
      </x:c>
      <x:c r="C83" s="10" t="str">
        <x:v>公会管理</x:v>
      </x:c>
      <x:c r="D83" s="10" t="str">
        <x:v>公会资料（公会长视角）</x:v>
      </x:c>
      <x:c r="E83" s="10" t="str">
        <x:v>功能需求</x:v>
      </x:c>
      <x:c r="F83" s="10" t="str">
        <x:v>P2</x:v>
      </x:c>
      <x:c r="G83" s="9" t="str">
        <x:v>验证公会资料保存新名称</x:v>
      </x:c>
      <x:c r="H83" s="9" t="str">
        <x:v>公会名称保存</x:v>
      </x:c>
      <x:c r="I83" s="9" t="str">
        <x:v>1. 执行角色为公会长
2. 业务数据已准备且本页已打开；表单和筛选保持下列指定状态
3. 当前公会名称为QA旧名</x:v>
      </x:c>
      <x:c r="J83" s="9" t="str">
        <x:v>1. 查看公会资料页
2. 填写公会名称为QA新名
3. 点击保存</x:v>
      </x:c>
      <x:c r="K83" s="9" t="str">
        <x:v>公会名称显示QA新名</x:v>
      </x:c>
      <x:c r="L83" s="10" t="str"/>
      <x:c r="M83" s="10" t="str">
        <x:v>未测</x:v>
      </x:c>
      <x:c r="N83" s="10" t="str"/>
      <x:c r="O83" s="9" t="str">
        <x:v>1. 来源（当前证据）：liveshow-proto/MainBasis/统一需求文档.md；位置：REQ-70ec7b1e0c3d；行3228
2. 规则：BR-b9cf273b121d4baf
3. 未动态验证</x:v>
      </x:c>
    </x:row>
    <x:row r="84" ht="85" customHeight="1">
      <x:c r="A84" s="10" t="n">
        <x:v>83</x:v>
      </x:c>
      <x:c r="B84" s="10" t="str">
        <x:v>GUILD-04-0006</x:v>
      </x:c>
      <x:c r="C84" s="10" t="str">
        <x:v>公会管理</x:v>
      </x:c>
      <x:c r="D84" s="10" t="str">
        <x:v>账号设置（公会长视角）</x:v>
      </x:c>
      <x:c r="E84" s="10" t="str">
        <x:v>功能需求</x:v>
      </x:c>
      <x:c r="F84" s="10" t="str">
        <x:v>P2</x:v>
      </x:c>
      <x:c r="G84" s="9" t="str">
        <x:v>验证公会App选择中文</x:v>
      </x:c>
      <x:c r="H84" s="9" t="str">
        <x:v>公会App语言选择</x:v>
      </x:c>
      <x:c r="I84" s="9" t="str">
        <x:v>1. 执行角色为公会长</x:v>
      </x:c>
      <x:c r="J84" s="9" t="str">
        <x:v>1. 进入账号设置页
2. 点击语言
3. 选择中文</x:v>
      </x:c>
      <x:c r="K84" s="9" t="str">
        <x:v>当前语言显示中文</x:v>
      </x:c>
      <x:c r="L84" s="10" t="str"/>
      <x:c r="M84" s="10" t="str">
        <x:v>未测</x:v>
      </x:c>
      <x:c r="N84" s="10" t="str"/>
      <x:c r="O84" s="9" t="str">
        <x:v>1. 来源（当前证据）：liveshow-proto/MainBasis/统一需求文档.md；位置：REQ-abaa8f0c3396；行3237
2. 规则：BR-8592ea08dbed7e9d
3. 未动态验证</x:v>
      </x:c>
    </x:row>
    <x:row r="85" ht="85" customHeight="1">
      <x:c r="A85" s="10" t="n">
        <x:v>84</x:v>
      </x:c>
      <x:c r="B85" s="10" t="str">
        <x:v>GUILD-04-0007</x:v>
      </x:c>
      <x:c r="C85" s="10" t="str">
        <x:v>公会管理</x:v>
      </x:c>
      <x:c r="D85" s="10" t="str">
        <x:v>账号设置（公会长视角）</x:v>
      </x:c>
      <x:c r="E85" s="10" t="str">
        <x:v>功能需求</x:v>
      </x:c>
      <x:c r="F85" s="10" t="str">
        <x:v>P2</x:v>
      </x:c>
      <x:c r="G85" s="9" t="str">
        <x:v>验证公会App选择English</x:v>
      </x:c>
      <x:c r="H85" s="9" t="str">
        <x:v>公会App语言选择</x:v>
      </x:c>
      <x:c r="I85" s="9" t="str">
        <x:v>1. 执行角色为公会长</x:v>
      </x:c>
      <x:c r="J85" s="9" t="str">
        <x:v>1. 进入账号设置页
2. 点击语言
3. 选择English</x:v>
      </x:c>
      <x:c r="K85" s="9" t="str">
        <x:v>当前语言显示English</x:v>
      </x:c>
      <x:c r="L85" s="10" t="str"/>
      <x:c r="M85" s="10" t="str">
        <x:v>未测</x:v>
      </x:c>
      <x:c r="N85" s="10" t="str"/>
      <x:c r="O85" s="9" t="str">
        <x:v>1. 来源（当前证据）：liveshow-proto/MainBasis/统一需求文档.md；位置：REQ-abaa8f0c3396；行3237
2. 规则：BR-7c3d0fff53d87ffb
3. 未动态验证</x:v>
      </x:c>
    </x:row>
    <x:row r="86" ht="85" customHeight="1">
      <x:c r="A86" s="10" t="n">
        <x:v>85</x:v>
      </x:c>
      <x:c r="B86" s="10" t="str">
        <x:v>GUILD-04-0008</x:v>
      </x:c>
      <x:c r="C86" s="10" t="str">
        <x:v>公会管理</x:v>
      </x:c>
      <x:c r="D86" s="10" t="str">
        <x:v>账号设置（公会长视角）</x:v>
      </x:c>
      <x:c r="E86" s="10" t="str">
        <x:v>功能需求</x:v>
      </x:c>
      <x:c r="F86" s="10" t="str">
        <x:v>P2</x:v>
      </x:c>
      <x:c r="G86" s="9" t="str">
        <x:v>验证公会App选择Bahasa Indonesia</x:v>
      </x:c>
      <x:c r="H86" s="9" t="str">
        <x:v>公会App语言选择</x:v>
      </x:c>
      <x:c r="I86" s="9" t="str">
        <x:v>1. 执行角色为公会长</x:v>
      </x:c>
      <x:c r="J86" s="9" t="str">
        <x:v>1. 进入账号设置页
2. 点击语言
3. 选择Bahasa Indonesia</x:v>
      </x:c>
      <x:c r="K86" s="9" t="str">
        <x:v>当前语言显示Bahasa Indonesia</x:v>
      </x:c>
      <x:c r="L86" s="10" t="str"/>
      <x:c r="M86" s="10" t="str">
        <x:v>未测</x:v>
      </x:c>
      <x:c r="N86" s="10" t="str"/>
      <x:c r="O86" s="9" t="str">
        <x:v>1. 来源（当前证据）：liveshow-proto/MainBasis/统一需求文档.md；位置：REQ-abaa8f0c3396；行3237
2. 规则：BR-8364cde112b93087
3. 未动态验证</x:v>
      </x:c>
    </x:row>
    <x:row r="87" ht="85" customHeight="1">
      <x:c r="A87" s="10" t="n">
        <x:v>86</x:v>
      </x:c>
      <x:c r="B87" s="10" t="str">
        <x:v>GUILD-04-0009</x:v>
      </x:c>
      <x:c r="C87" s="10" t="str">
        <x:v>公会管理</x:v>
      </x:c>
      <x:c r="D87" s="10" t="str">
        <x:v>账号设置（公会长视角）</x:v>
      </x:c>
      <x:c r="E87" s="10" t="str">
        <x:v>功能需求</x:v>
      </x:c>
      <x:c r="F87" s="10" t="str">
        <x:v>P2</x:v>
      </x:c>
      <x:c r="G87" s="9" t="str">
        <x:v>验证公会App选择Bahasa Melayu</x:v>
      </x:c>
      <x:c r="H87" s="9" t="str">
        <x:v>公会App语言选择</x:v>
      </x:c>
      <x:c r="I87" s="9" t="str">
        <x:v>1. 执行角色为公会长</x:v>
      </x:c>
      <x:c r="J87" s="9" t="str">
        <x:v>1. 进入账号设置页
2. 点击语言
3. 选择Bahasa Melayu</x:v>
      </x:c>
      <x:c r="K87" s="9" t="str">
        <x:v>当前语言显示Bahasa Melayu</x:v>
      </x:c>
      <x:c r="L87" s="10" t="str"/>
      <x:c r="M87" s="10" t="str">
        <x:v>未测</x:v>
      </x:c>
      <x:c r="N87" s="10" t="str"/>
      <x:c r="O87" s="9" t="str">
        <x:v>1. 来源（当前证据）：liveshow-proto/MainBasis/统一需求文档.md；位置：REQ-abaa8f0c3396；行3237
2. 规则：BR-140627d625a82364
3. 未动态验证</x:v>
      </x:c>
    </x:row>
    <x:row r="88" ht="85" customHeight="1">
      <x:c r="A88" s="10" t="n">
        <x:v>87</x:v>
      </x:c>
      <x:c r="B88" s="10" t="str">
        <x:v>GUILD-04-0010</x:v>
      </x:c>
      <x:c r="C88" s="10" t="str">
        <x:v>公会管理</x:v>
      </x:c>
      <x:c r="D88" s="10" t="str">
        <x:v>账号设置（公会长视角）</x:v>
      </x:c>
      <x:c r="E88" s="10" t="str">
        <x:v>功能需求</x:v>
      </x:c>
      <x:c r="F88" s="10" t="str">
        <x:v>P2</x:v>
      </x:c>
      <x:c r="G88" s="9" t="str">
        <x:v>验证公会长退出登录前确认</x:v>
      </x:c>
      <x:c r="H88" s="9" t="str">
        <x:v>公会退出登录确认</x:v>
      </x:c>
      <x:c r="I88" s="9" t="str">
        <x:v>1. 执行角色为公会长</x:v>
      </x:c>
      <x:c r="J88" s="9" t="str">
        <x:v>1. 进入账号设置页
2. 点击退出登录</x:v>
      </x:c>
      <x:c r="K88" s="9" t="str">
        <x:v>显示退出登录二次确认弹窗</x:v>
      </x:c>
      <x:c r="L88" s="10" t="str"/>
      <x:c r="M88" s="10" t="str">
        <x:v>未测</x:v>
      </x:c>
      <x:c r="N88" s="10" t="str"/>
      <x:c r="O88" s="9" t="str">
        <x:v>1. 来源（当前证据）：liveshow-proto/MainBasis/统一需求文档.md；位置：REQ-308eb014e34f；行3245
2. 规则：BR-7375dd9576117795
3. 未动态验证</x:v>
      </x:c>
    </x:row>
    <x:row r="89" ht="100" customHeight="1">
      <x:c r="A89" s="10" t="n">
        <x:v>88</x:v>
      </x:c>
      <x:c r="B89" s="10" t="str">
        <x:v>GUILD-04-0011</x:v>
      </x:c>
      <x:c r="C89" s="10" t="str">
        <x:v>公会管理</x:v>
      </x:c>
      <x:c r="D89" s="10" t="str">
        <x:v>账号设置（公会长视角）</x:v>
      </x:c>
      <x:c r="E89" s="10" t="str">
        <x:v>逻辑校验</x:v>
      </x:c>
      <x:c r="F89" s="10" t="str">
        <x:v>P1</x:v>
      </x:c>
      <x:c r="G89" s="9" t="str">
        <x:v>验证确认退出公会App</x:v>
      </x:c>
      <x:c r="H89" s="9" t="str">
        <x:v>公会退出登录去向</x:v>
      </x:c>
      <x:c r="I89" s="9" t="str">
        <x:v>1. 执行角色为公会长</x:v>
      </x:c>
      <x:c r="J89" s="9" t="str">
        <x:v>1. 进入账号设置页
2. 点击退出登录
3. 点击确认</x:v>
      </x:c>
      <x:c r="K89" s="9" t="str">
        <x:v>返回公会登录页</x:v>
      </x:c>
      <x:c r="L89" s="10" t="str"/>
      <x:c r="M89" s="10" t="str">
        <x:v>未测</x:v>
      </x:c>
      <x:c r="N89" s="10" t="str"/>
      <x:c r="O89" s="9" t="str">
        <x:v>1. 来源（当前证据）：liveshow-proto/MainBasis/统一需求文档.md；位置：REQ-5924278ce187；行3241、REQ-308eb014e34f；行3245
2. 规则：BR-b8a00fcd90862c35
3. 未动态验证</x:v>
      </x:c>
    </x:row>
    <x:row r="90" ht="85" customHeight="1">
      <x:c r="A90" s="10" t="n">
        <x:v>89</x:v>
      </x:c>
      <x:c r="B90" s="10" t="str">
        <x:v>GUILD-04-0012</x:v>
      </x:c>
      <x:c r="C90" s="10" t="str">
        <x:v>公会管理</x:v>
      </x:c>
      <x:c r="D90" s="10" t="str">
        <x:v>修改密码（公会长视角）</x:v>
      </x:c>
      <x:c r="E90" s="10" t="str">
        <x:v>逻辑校验</x:v>
      </x:c>
      <x:c r="F90" s="10" t="str">
        <x:v>P1</x:v>
      </x:c>
      <x:c r="G90" s="9" t="str">
        <x:v>验证公会修改密码：提示“当前密码错误”</x:v>
      </x:c>
      <x:c r="H90" s="9" t="str">
        <x:v>公会密码提交校验</x:v>
      </x:c>
      <x:c r="I90" s="9" t="str">
        <x:v>1. 执行角色为公会长
2. 业务数据已准备且本页已打开；表单和筛选保持下列指定状态
3. 当前密码为QaOld!2026</x:v>
      </x:c>
      <x:c r="J90" s="9" t="str">
        <x:v>1. 查看修改密码页
2. 填写当前密码为BadOld!2026
3. 填写新密码为QaNew!2026
4. 填写确认新密码为QaNew!2026
5. 点击保存</x:v>
      </x:c>
      <x:c r="K90" s="9" t="str">
        <x:v>提示“当前密码错误”</x:v>
      </x:c>
      <x:c r="L90" s="10" t="str"/>
      <x:c r="M90" s="10" t="str">
        <x:v>未测</x:v>
      </x:c>
      <x:c r="N90" s="10" t="str"/>
      <x:c r="O90" s="9" t="str">
        <x:v>1. 来源（当前证据）：liveshow-proto/MainBasis/统一需求文档.md；位置：REQ-ebcb7b632099；行3256
2. 规则：BR-11e7eaf43c056f43
3. 未动态验证</x:v>
      </x:c>
    </x:row>
    <x:row r="91" ht="85" customHeight="1">
      <x:c r="A91" s="10" t="n">
        <x:v>90</x:v>
      </x:c>
      <x:c r="B91" s="10" t="str">
        <x:v>GUILD-04-0013</x:v>
      </x:c>
      <x:c r="C91" s="10" t="str">
        <x:v>公会管理</x:v>
      </x:c>
      <x:c r="D91" s="10" t="str">
        <x:v>修改密码（公会长视角）</x:v>
      </x:c>
      <x:c r="E91" s="10" t="str">
        <x:v>逻辑校验</x:v>
      </x:c>
      <x:c r="F91" s="10" t="str">
        <x:v>P1</x:v>
      </x:c>
      <x:c r="G91" s="9" t="str">
        <x:v>验证公会修改密码：提示“新密码不能和旧密码一样”</x:v>
      </x:c>
      <x:c r="H91" s="9" t="str">
        <x:v>公会密码提交校验</x:v>
      </x:c>
      <x:c r="I91" s="9" t="str">
        <x:v>1. 执行角色为公会长
2. 业务数据已准备且本页已打开；表单和筛选保持下列指定状态
3. 当前密码为QaOld!2026</x:v>
      </x:c>
      <x:c r="J91" s="9" t="str">
        <x:v>1. 查看修改密码页
2. 填写当前密码为QaOld!2026
3. 填写新密码为QaOld!2026
4. 填写确认新密码为QaOld!2026
5. 点击保存</x:v>
      </x:c>
      <x:c r="K91" s="9" t="str">
        <x:v>提示“新密码不能和旧密码一样”</x:v>
      </x:c>
      <x:c r="L91" s="10" t="str"/>
      <x:c r="M91" s="10" t="str">
        <x:v>未测</x:v>
      </x:c>
      <x:c r="N91" s="10" t="str"/>
      <x:c r="O91" s="9" t="str">
        <x:v>1. 来源（当前证据）：liveshow-proto/MainBasis/统一需求文档.md；位置：REQ-ebcb7b632099；行3256
2. 规则：BR-6724650ab32a136e
3. 未动态验证</x:v>
      </x:c>
    </x:row>
    <x:row r="92" ht="85" customHeight="1">
      <x:c r="A92" s="10" t="n">
        <x:v>91</x:v>
      </x:c>
      <x:c r="B92" s="10" t="str">
        <x:v>GUILD-04-0014</x:v>
      </x:c>
      <x:c r="C92" s="10" t="str">
        <x:v>公会管理</x:v>
      </x:c>
      <x:c r="D92" s="10" t="str">
        <x:v>修改密码（公会长视角）</x:v>
      </x:c>
      <x:c r="E92" s="10" t="str">
        <x:v>逻辑校验</x:v>
      </x:c>
      <x:c r="F92" s="10" t="str">
        <x:v>P1</x:v>
      </x:c>
      <x:c r="G92" s="9" t="str">
        <x:v>验证公会修改密码：返回账号设置页</x:v>
      </x:c>
      <x:c r="H92" s="9" t="str">
        <x:v>公会密码提交校验</x:v>
      </x:c>
      <x:c r="I92" s="9" t="str">
        <x:v>1. 执行角色为公会长
2. 业务数据已准备且本页已打开；表单和筛选保持下列指定状态
3. 当前密码为QaOld!2026</x:v>
      </x:c>
      <x:c r="J92" s="9" t="str">
        <x:v>1. 查看修改密码页
2. 填写当前密码为QaOld!2026
3. 填写新密码为QaNew!2026
4. 填写确认新密码为QaNew!2026
5. 点击保存</x:v>
      </x:c>
      <x:c r="K92" s="9" t="str">
        <x:v>返回账号设置页</x:v>
      </x:c>
      <x:c r="L92" s="10" t="str"/>
      <x:c r="M92" s="10" t="str">
        <x:v>未测</x:v>
      </x:c>
      <x:c r="N92" s="10" t="str"/>
      <x:c r="O92" s="9" t="str">
        <x:v>1. 来源（当前证据）：liveshow-proto/MainBasis/统一需求文档.md；位置：REQ-ebcb7b632099；行3256
2. 规则：BR-a98b501104bbae88
3. 未动态验证</x:v>
      </x:c>
    </x:row>
    <x:row r="93" ht="85" customHeight="1">
      <x:c r="A93" s="10" t="n">
        <x:v>92</x:v>
      </x:c>
      <x:c r="B93" s="10" t="str">
        <x:v>GUILD-04-0015</x:v>
      </x:c>
      <x:c r="C93" s="10" t="str">
        <x:v>公会管理</x:v>
      </x:c>
      <x:c r="D93" s="10" t="str">
        <x:v>修改密码（公会长视角）</x:v>
      </x:c>
      <x:c r="E93" s="10" t="str">
        <x:v>逻辑校验</x:v>
      </x:c>
      <x:c r="F93" s="10" t="str">
        <x:v>P1</x:v>
      </x:c>
      <x:c r="G93" s="9" t="str">
        <x:v>验证公会新密码不足8位</x:v>
      </x:c>
      <x:c r="H93" s="9" t="str">
        <x:v>公会新密码长度</x:v>
      </x:c>
      <x:c r="I93" s="9" t="str">
        <x:v>1. 执行角色为公会长
2. 业务数据已准备且本页已打开；表单和筛选保持下列指定状态
3. 当前密码QaOld!2026</x:v>
      </x:c>
      <x:c r="J93" s="9" t="str">
        <x:v>1. 查看修改密码页
2. 填写当前密码为QaOld!2026
3. 填写新密码为Qa12345
4. 填写确认新密码为Qa12345
5. 点击保存</x:v>
      </x:c>
      <x:c r="K93" s="9" t="str">
        <x:v>不能保存不足8位的新密码</x:v>
      </x:c>
      <x:c r="L93" s="10" t="str"/>
      <x:c r="M93" s="10" t="str">
        <x:v>未测</x:v>
      </x:c>
      <x:c r="N93" s="10" t="str"/>
      <x:c r="O93" s="9" t="str">
        <x:v>1. 来源（当前证据）：liveshow-proto/MainBasis/统一需求文档.md；位置：REQ-e6fec0352ac9；行3252
2. 规则：BR-f5ac225907d53320
3. 未动态验证</x:v>
      </x:c>
    </x:row>
    <x:row r="94" ht="130" customHeight="1">
      <x:c r="A94" s="10" t="n">
        <x:v>93</x:v>
      </x:c>
      <x:c r="B94" s="10" t="str">
        <x:v>GUILD-04-0016</x:v>
      </x:c>
      <x:c r="C94" s="10" t="str">
        <x:v>公会管理</x:v>
      </x:c>
      <x:c r="D94" s="10" t="str">
        <x:v>修改密码（公会长视角）</x:v>
      </x:c>
      <x:c r="E94" s="10" t="str">
        <x:v>异常用例</x:v>
      </x:c>
      <x:c r="F94" s="10" t="str">
        <x:v>P1</x:v>
      </x:c>
      <x:c r="G94" s="9" t="str">
        <x:v>验证公会改密请求失败显示提示</x:v>
      </x:c>
      <x:c r="H94" s="9" t="str">
        <x:v>公会改密失败提示</x:v>
      </x:c>
      <x:c r="I94" s="9" t="str">
        <x:v>1. 执行角色为公会长
2. 业务数据已准备且本页已打开；表单和筛选保持下列指定状态
3. 原密码正确，新密码满足要求
4. 环境准备：改密请求返回失败</x:v>
      </x:c>
      <x:c r="J94" s="9" t="str">
        <x:v>1. 查看修改密码页
2. 填写当前密码为QaOld!2026
3. 填写新密码为QaNew!2026
4. 填写确认新密码为QaNew!2026
5. 点击保存</x:v>
      </x:c>
      <x:c r="K94" s="9" t="str">
        <x:v>提示“保存失败”</x:v>
      </x:c>
      <x:c r="L94" s="10" t="str"/>
      <x:c r="M94" s="10" t="str">
        <x:v>未测</x:v>
      </x:c>
      <x:c r="N94" s="10" t="str"/>
      <x:c r="O94" s="9" t="str">
        <x:v>1. 来源（当前证据）：liveshow-proto/MainBasis/统一需求文档.md；位置：REQ-ebcb7b632099；行3256
2. 规则：BR-f152975e6b8a2a21
3. 未动态验证</x:v>
      </x:c>
    </x:row>
    <x:row r="95" ht="100" customHeight="1">
      <x:c r="A95" s="10" t="n">
        <x:v>94</x:v>
      </x:c>
      <x:c r="B95" s="10" t="str">
        <x:v>GUILD-03-0013</x:v>
      </x:c>
      <x:c r="C95" s="10" t="str">
        <x:v>运营工具</x:v>
      </x:c>
      <x:c r="D95" s="10" t="str">
        <x:v>运营账号（公会长视角）</x:v>
      </x:c>
      <x:c r="E95" s="10" t="str">
        <x:v>功能需求</x:v>
      </x:c>
      <x:c r="F95" s="10" t="str">
        <x:v>P2</x:v>
      </x:c>
      <x:c r="G95" s="9" t="str">
        <x:v>验证按账号ID搜索运营账号</x:v>
      </x:c>
      <x:c r="H95" s="9" t="str">
        <x:v>运营账号ID搜索</x:v>
      </x:c>
      <x:c r="I95" s="9" t="str">
        <x:v>1. 执行角色为公会长
2. 业务数据已准备且本页已打开；表单和筛选保持下列指定状态
3. 当前公会账号甲ID为9001，乙ID为9002</x:v>
      </x:c>
      <x:c r="J95" s="9" t="str">
        <x:v>1. 查看运营账号页
2. 输入搜索框为9001</x:v>
      </x:c>
      <x:c r="K95" s="9" t="str">
        <x:v>搜索结果仅显示甲</x:v>
      </x:c>
      <x:c r="L95" s="10" t="str"/>
      <x:c r="M95" s="10" t="str">
        <x:v>未测</x:v>
      </x:c>
      <x:c r="N95" s="10" t="str"/>
      <x:c r="O95" s="9" t="str">
        <x:v>1. 来源（当前证据）：liveshow-proto/MainBasis/统一需求文档.md；位置：REQ-56cd13972b64；行3088
2. 规则：BR-665d41933cc4fb84
3. 未动态验证</x:v>
      </x:c>
    </x:row>
    <x:row r="96" ht="100" customHeight="1">
      <x:c r="A96" s="10" t="n">
        <x:v>95</x:v>
      </x:c>
      <x:c r="B96" s="10" t="str">
        <x:v>GUILD-03-0014</x:v>
      </x:c>
      <x:c r="C96" s="10" t="str">
        <x:v>运营工具</x:v>
      </x:c>
      <x:c r="D96" s="10" t="str">
        <x:v>运营账号（公会长视角）</x:v>
      </x:c>
      <x:c r="E96" s="10" t="str">
        <x:v>逻辑校验</x:v>
      </x:c>
      <x:c r="F96" s="10" t="str">
        <x:v>P1</x:v>
      </x:c>
      <x:c r="G96" s="9" t="str">
        <x:v>验证公会当月额度用尽时显示零</x:v>
      </x:c>
      <x:c r="H96" s="9" t="str">
        <x:v>公会剩余额度下限</x:v>
      </x:c>
      <x:c r="I96" s="9" t="str">
        <x:v>1. 执行角色为公会长
2. 业务数据已准备且本页已打开；表单和筛选保持下列指定状态
3. 本月发放上限1000金币且已成功发放1000金币</x:v>
      </x:c>
      <x:c r="J96" s="9" t="str">
        <x:v>1. 查看运营账号页</x:v>
      </x:c>
      <x:c r="K96" s="9" t="str">
        <x:v>本月剩余可发显示0金币</x:v>
      </x:c>
      <x:c r="L96" s="10" t="str"/>
      <x:c r="M96" s="10" t="str">
        <x:v>未测</x:v>
      </x:c>
      <x:c r="N96" s="10" t="str"/>
      <x:c r="O96" s="9" t="str">
        <x:v>1. 来源（当前证据）：liveshow-proto/MainBasis/统一需求文档.md；位置：REQ-07ccfe1b17c0；行3100
2. 规则：BR-3d082e016d357292
3. 未动态验证</x:v>
      </x:c>
    </x:row>
    <x:row r="97" ht="100" customHeight="1">
      <x:c r="A97" s="10" t="n">
        <x:v>96</x:v>
      </x:c>
      <x:c r="B97" s="10" t="str">
        <x:v>GUILD-03-0015</x:v>
      </x:c>
      <x:c r="C97" s="10" t="str">
        <x:v>运营工具</x:v>
      </x:c>
      <x:c r="D97" s="10" t="str">
        <x:v>运营账号（公会长视角）</x:v>
      </x:c>
      <x:c r="E97" s="10" t="str">
        <x:v>逻辑校验</x:v>
      </x:c>
      <x:c r="F97" s="10" t="str">
        <x:v>P1</x:v>
      </x:c>
      <x:c r="G97" s="9" t="str">
        <x:v>验证汇总全部运营账号余额</x:v>
      </x:c>
      <x:c r="H97" s="9" t="str">
        <x:v>公会虚拟币总余额</x:v>
      </x:c>
      <x:c r="I97" s="9" t="str">
        <x:v>1. 执行角色为公会长
2. 业务数据已准备且本页已打开；表单和筛选保持下列指定状态
3. 公会运营账号甲余额100金币，乙200金币</x:v>
      </x:c>
      <x:c r="J97" s="9" t="str">
        <x:v>1. 查看运营账号页</x:v>
      </x:c>
      <x:c r="K97" s="9" t="str">
        <x:v>账户余额累计 = 300</x:v>
      </x:c>
      <x:c r="L97" s="10" t="str"/>
      <x:c r="M97" s="10" t="str">
        <x:v>未测</x:v>
      </x:c>
      <x:c r="N97" s="10" t="str"/>
      <x:c r="O97" s="9" t="str">
        <x:v>1. 来源（当前证据）：liveshow-proto/MainBasis/统一需求文档.md；位置：REQ-c7b698bb777a；行3102
2. 规则：BR-5e07df441010f75e
3. 未动态验证</x:v>
      </x:c>
    </x:row>
    <x:row r="98" ht="85" customHeight="1">
      <x:c r="A98" s="10" t="n">
        <x:v>97</x:v>
      </x:c>
      <x:c r="B98" s="10" t="str">
        <x:v>GUILD-03-0016</x:v>
      </x:c>
      <x:c r="C98" s="10" t="str">
        <x:v>运营工具</x:v>
      </x:c>
      <x:c r="D98" s="10" t="str">
        <x:v>创建运营账号（公会长视角）</x:v>
      </x:c>
      <x:c r="E98" s="10" t="str">
        <x:v>逻辑校验</x:v>
      </x:c>
      <x:c r="F98" s="10" t="str">
        <x:v>P1</x:v>
      </x:c>
      <x:c r="G98" s="9" t="str">
        <x:v>验证创建运营账号必填头像</x:v>
      </x:c>
      <x:c r="H98" s="9" t="str">
        <x:v>运营账号头像必填</x:v>
      </x:c>
      <x:c r="I98" s="9" t="str">
        <x:v>1. 执行角色为公会长
2. 业务数据已准备且本页已打开；表单和筛选保持下列指定状态
3. 其他创建字段合法且已填写</x:v>
      </x:c>
      <x:c r="J98" s="9" t="str">
        <x:v>1. 查看创建运营账号页
2. 清空头像
3. 点击确认创建</x:v>
      </x:c>
      <x:c r="K98" s="9" t="str">
        <x:v>不能创建缺少头像的账号</x:v>
      </x:c>
      <x:c r="L98" s="10" t="str"/>
      <x:c r="M98" s="10" t="str">
        <x:v>未测</x:v>
      </x:c>
      <x:c r="N98" s="10" t="str"/>
      <x:c r="O98" s="9" t="str">
        <x:v>1. 来源（当前证据）：liveshow-proto/MainBasis/统一需求文档.md；位置：REQ-9d6081f3950c；行3117
2. 规则：BR-350e1db8329f573e
3. 未动态验证</x:v>
      </x:c>
    </x:row>
    <x:row r="99" ht="85" customHeight="1">
      <x:c r="A99" s="10" t="n">
        <x:v>98</x:v>
      </x:c>
      <x:c r="B99" s="10" t="str">
        <x:v>GUILD-03-0017</x:v>
      </x:c>
      <x:c r="C99" s="10" t="str">
        <x:v>运营工具</x:v>
      </x:c>
      <x:c r="D99" s="10" t="str">
        <x:v>创建运营账号（公会长视角）</x:v>
      </x:c>
      <x:c r="E99" s="10" t="str">
        <x:v>逻辑校验</x:v>
      </x:c>
      <x:c r="F99" s="10" t="str">
        <x:v>P1</x:v>
      </x:c>
      <x:c r="G99" s="9" t="str">
        <x:v>验证创建运营账号必填名称</x:v>
      </x:c>
      <x:c r="H99" s="9" t="str">
        <x:v>运营账号名称必填</x:v>
      </x:c>
      <x:c r="I99" s="9" t="str">
        <x:v>1. 执行角色为公会长
2. 业务数据已准备且本页已打开；表单和筛选保持下列指定状态
3. 其他创建字段合法且已填写</x:v>
      </x:c>
      <x:c r="J99" s="9" t="str">
        <x:v>1. 查看创建运营账号页
2. 清空名称
3. 点击确认创建</x:v>
      </x:c>
      <x:c r="K99" s="9" t="str">
        <x:v>不能创建缺少名称的账号</x:v>
      </x:c>
      <x:c r="L99" s="10" t="str"/>
      <x:c r="M99" s="10" t="str">
        <x:v>未测</x:v>
      </x:c>
      <x:c r="N99" s="10" t="str"/>
      <x:c r="O99" s="9" t="str">
        <x:v>1. 来源（当前证据）：liveshow-proto/MainBasis/统一需求文档.md；位置：REQ-26ba8fb92142；行3119
2. 规则：BR-da919edfdade32a9
3. 未动态验证</x:v>
      </x:c>
    </x:row>
    <x:row r="100" ht="85" customHeight="1">
      <x:c r="A100" s="10" t="n">
        <x:v>99</x:v>
      </x:c>
      <x:c r="B100" s="10" t="str">
        <x:v>GUILD-03-0018</x:v>
      </x:c>
      <x:c r="C100" s="10" t="str">
        <x:v>运营工具</x:v>
      </x:c>
      <x:c r="D100" s="10" t="str">
        <x:v>创建运营账号（公会长视角）</x:v>
      </x:c>
      <x:c r="E100" s="10" t="str">
        <x:v>逻辑校验</x:v>
      </x:c>
      <x:c r="F100" s="10" t="str">
        <x:v>P1</x:v>
      </x:c>
      <x:c r="G100" s="9" t="str">
        <x:v>验证创建运营账号必填账号</x:v>
      </x:c>
      <x:c r="H100" s="9" t="str">
        <x:v>运营账号账号必填</x:v>
      </x:c>
      <x:c r="I100" s="9" t="str">
        <x:v>1. 执行角色为公会长
2. 业务数据已准备且本页已打开；表单和筛选保持下列指定状态
3. 其他创建字段合法且已填写</x:v>
      </x:c>
      <x:c r="J100" s="9" t="str">
        <x:v>1. 查看创建运营账号页
2. 清空账号
3. 点击确认创建</x:v>
      </x:c>
      <x:c r="K100" s="9" t="str">
        <x:v>不能创建缺少账号的账号</x:v>
      </x:c>
      <x:c r="L100" s="10" t="str"/>
      <x:c r="M100" s="10" t="str">
        <x:v>未测</x:v>
      </x:c>
      <x:c r="N100" s="10" t="str"/>
      <x:c r="O100" s="9" t="str">
        <x:v>1. 来源（当前证据）：liveshow-proto/MainBasis/统一需求文档.md；位置：REQ-ba4adee83342；行3121
2. 规则：BR-27befa8ca1a1d0aa
3. 未动态验证</x:v>
      </x:c>
    </x:row>
    <x:row r="101" ht="85" customHeight="1">
      <x:c r="A101" s="10" t="n">
        <x:v>100</x:v>
      </x:c>
      <x:c r="B101" s="10" t="str">
        <x:v>GUILD-03-0019</x:v>
      </x:c>
      <x:c r="C101" s="10" t="str">
        <x:v>运营工具</x:v>
      </x:c>
      <x:c r="D101" s="10" t="str">
        <x:v>创建运营账号（公会长视角）</x:v>
      </x:c>
      <x:c r="E101" s="10" t="str">
        <x:v>逻辑校验</x:v>
      </x:c>
      <x:c r="F101" s="10" t="str">
        <x:v>P1</x:v>
      </x:c>
      <x:c r="G101" s="9" t="str">
        <x:v>验证创建运营账号必填初始密码</x:v>
      </x:c>
      <x:c r="H101" s="9" t="str">
        <x:v>运营账号初始密码必填</x:v>
      </x:c>
      <x:c r="I101" s="9" t="str">
        <x:v>1. 执行角色为公会长
2. 业务数据已准备且本页已打开；表单和筛选保持下列指定状态
3. 其他创建字段合法且已填写</x:v>
      </x:c>
      <x:c r="J101" s="9" t="str">
        <x:v>1. 查看创建运营账号页
2. 清空初始密码
3. 点击确认创建</x:v>
      </x:c>
      <x:c r="K101" s="9" t="str">
        <x:v>不能创建缺少初始密码的账号</x:v>
      </x:c>
      <x:c r="L101" s="10" t="str"/>
      <x:c r="M101" s="10" t="str">
        <x:v>未测</x:v>
      </x:c>
      <x:c r="N101" s="10" t="str"/>
      <x:c r="O101" s="9" t="str">
        <x:v>1. 来源（当前证据）：liveshow-proto/MainBasis/统一需求文档.md；位置：REQ-37d509ce6e38；行3123
2. 规则：BR-a8d773f7db09d864
3. 未动态验证</x:v>
      </x:c>
    </x:row>
    <x:row r="102" ht="85" customHeight="1">
      <x:c r="A102" s="10" t="n">
        <x:v>101</x:v>
      </x:c>
      <x:c r="B102" s="10" t="str">
        <x:v>GUILD-03-0020</x:v>
      </x:c>
      <x:c r="C102" s="10" t="str">
        <x:v>运营工具</x:v>
      </x:c>
      <x:c r="D102" s="10" t="str">
        <x:v>创建运营账号（公会长视角）</x:v>
      </x:c>
      <x:c r="E102" s="10" t="str">
        <x:v>逻辑校验</x:v>
      </x:c>
      <x:c r="F102" s="10" t="str">
        <x:v>P1</x:v>
      </x:c>
      <x:c r="G102" s="9" t="str">
        <x:v>验证运营账号名称超过30字符</x:v>
      </x:c>
      <x:c r="H102" s="9" t="str">
        <x:v>运营账号名称长度</x:v>
      </x:c>
      <x:c r="I102" s="9" t="str">
        <x:v>1. 执行角色为公会长</x:v>
      </x:c>
      <x:c r="J102" s="9" t="str">
        <x:v>1. 进入创建运营账号页
2. 填写名称为30个A
3. 输入名称末尾追加B</x:v>
      </x:c>
      <x:c r="K102" s="9" t="str">
        <x:v>名称不接受超过30字符</x:v>
      </x:c>
      <x:c r="L102" s="10" t="str"/>
      <x:c r="M102" s="10" t="str">
        <x:v>未测</x:v>
      </x:c>
      <x:c r="N102" s="10" t="str"/>
      <x:c r="O102" s="9" t="str">
        <x:v>1. 来源（当前证据）：liveshow-proto/MainBasis/统一需求文档.md；位置：REQ-26ba8fb92142；行3119
2. 规则：BR-ee8aa9344a44efcd
3. 未动态验证</x:v>
      </x:c>
    </x:row>
    <x:row r="103" ht="85" customHeight="1">
      <x:c r="A103" s="10" t="n">
        <x:v>102</x:v>
      </x:c>
      <x:c r="B103" s="10" t="str">
        <x:v>GUILD-03-0021</x:v>
      </x:c>
      <x:c r="C103" s="10" t="str">
        <x:v>运营工具</x:v>
      </x:c>
      <x:c r="D103" s="10" t="str">
        <x:v>创建运营账号（公会长视角）</x:v>
      </x:c>
      <x:c r="E103" s="10" t="str">
        <x:v>逻辑校验</x:v>
      </x:c>
      <x:c r="F103" s="10" t="str">
        <x:v>P1</x:v>
      </x:c>
      <x:c r="G103" s="9" t="str">
        <x:v>验证运营账号账号超过30字符</x:v>
      </x:c>
      <x:c r="H103" s="9" t="str">
        <x:v>运营账号账号长度</x:v>
      </x:c>
      <x:c r="I103" s="9" t="str">
        <x:v>1. 执行角色为公会长</x:v>
      </x:c>
      <x:c r="J103" s="9" t="str">
        <x:v>1. 进入创建运营账号页
2. 填写账号为30个A
3. 输入账号末尾追加B</x:v>
      </x:c>
      <x:c r="K103" s="9" t="str">
        <x:v>账号不接受超过30字符</x:v>
      </x:c>
      <x:c r="L103" s="10" t="str"/>
      <x:c r="M103" s="10" t="str">
        <x:v>未测</x:v>
      </x:c>
      <x:c r="N103" s="10" t="str"/>
      <x:c r="O103" s="9" t="str">
        <x:v>1. 来源（当前证据）：liveshow-proto/MainBasis/统一需求文档.md；位置：REQ-ba4adee83342；行3121
2. 规则：BR-b2f1fd70948cd427
3. 未动态验证</x:v>
      </x:c>
    </x:row>
    <x:row r="104" ht="85" customHeight="1">
      <x:c r="A104" s="10" t="n">
        <x:v>103</x:v>
      </x:c>
      <x:c r="B104" s="10" t="str">
        <x:v>GUILD-03-0022</x:v>
      </x:c>
      <x:c r="C104" s="10" t="str">
        <x:v>运营工具</x:v>
      </x:c>
      <x:c r="D104" s="10" t="str">
        <x:v>创建运营账号（公会长视角）</x:v>
      </x:c>
      <x:c r="E104" s="10" t="str">
        <x:v>功能需求</x:v>
      </x:c>
      <x:c r="F104" s="10" t="str">
        <x:v>P2</x:v>
      </x:c>
      <x:c r="G104" s="9" t="str">
        <x:v>验证运营账号头像支持JPG</x:v>
      </x:c>
      <x:c r="H104" s="9" t="str">
        <x:v>运营账号头像预览</x:v>
      </x:c>
      <x:c r="I104" s="9" t="str">
        <x:v>1. 执行角色为公会长
2. 业务数据已准备且本页已打开；表单和筛选保持下列指定状态
3. 准备有效qa.jpg图片</x:v>
      </x:c>
      <x:c r="J104" s="9" t="str">
        <x:v>1. 查看创建运营账号页
2. 上传头像选择qa.jpg</x:v>
      </x:c>
      <x:c r="K104" s="9" t="str">
        <x:v>显示所选头像预览</x:v>
      </x:c>
      <x:c r="L104" s="10" t="str"/>
      <x:c r="M104" s="10" t="str">
        <x:v>未测</x:v>
      </x:c>
      <x:c r="N104" s="10" t="str"/>
      <x:c r="O104" s="9" t="str">
        <x:v>1. 来源（当前证据）：liveshow-proto/MainBasis/统一需求文档.md；位置：REQ-9d6081f3950c；行3117
2. 规则：BR-091de006afa549e3
3. 未动态验证</x:v>
      </x:c>
    </x:row>
    <x:row r="105" ht="85" customHeight="1">
      <x:c r="A105" s="10" t="n">
        <x:v>104</x:v>
      </x:c>
      <x:c r="B105" s="10" t="str">
        <x:v>GUILD-03-0023</x:v>
      </x:c>
      <x:c r="C105" s="10" t="str">
        <x:v>运营工具</x:v>
      </x:c>
      <x:c r="D105" s="10" t="str">
        <x:v>创建运营账号（公会长视角）</x:v>
      </x:c>
      <x:c r="E105" s="10" t="str">
        <x:v>功能需求</x:v>
      </x:c>
      <x:c r="F105" s="10" t="str">
        <x:v>P2</x:v>
      </x:c>
      <x:c r="G105" s="9" t="str">
        <x:v>验证运营账号头像支持PNG</x:v>
      </x:c>
      <x:c r="H105" s="9" t="str">
        <x:v>运营账号头像预览</x:v>
      </x:c>
      <x:c r="I105" s="9" t="str">
        <x:v>1. 执行角色为公会长
2. 业务数据已准备且本页已打开；表单和筛选保持下列指定状态
3. 准备有效qa.png图片</x:v>
      </x:c>
      <x:c r="J105" s="9" t="str">
        <x:v>1. 查看创建运营账号页
2. 上传头像选择qa.png</x:v>
      </x:c>
      <x:c r="K105" s="9" t="str">
        <x:v>显示所选头像预览</x:v>
      </x:c>
      <x:c r="L105" s="10" t="str"/>
      <x:c r="M105" s="10" t="str">
        <x:v>未测</x:v>
      </x:c>
      <x:c r="N105" s="10" t="str"/>
      <x:c r="O105" s="9" t="str">
        <x:v>1. 来源（当前证据）：liveshow-proto/MainBasis/统一需求文档.md；位置：REQ-9d6081f3950c；行3117
2. 规则：BR-28d1e4b21904b370
3. 未动态验证</x:v>
      </x:c>
    </x:row>
    <x:row r="106" ht="85" customHeight="1">
      <x:c r="A106" s="10" t="n">
        <x:v>105</x:v>
      </x:c>
      <x:c r="B106" s="10" t="str">
        <x:v>GUILD-03-0024</x:v>
      </x:c>
      <x:c r="C106" s="10" t="str">
        <x:v>运营工具</x:v>
      </x:c>
      <x:c r="D106" s="10" t="str">
        <x:v>创建运营账号（公会长视角）</x:v>
      </x:c>
      <x:c r="E106" s="10" t="str">
        <x:v>功能需求</x:v>
      </x:c>
      <x:c r="F106" s="10" t="str">
        <x:v>P2</x:v>
      </x:c>
      <x:c r="G106" s="9" t="str">
        <x:v>验证运营账号头像支持WebP</x:v>
      </x:c>
      <x:c r="H106" s="9" t="str">
        <x:v>运营账号头像预览</x:v>
      </x:c>
      <x:c r="I106" s="9" t="str">
        <x:v>1. 执行角色为公会长
2. 业务数据已准备且本页已打开；表单和筛选保持下列指定状态
3. 准备有效qa.webp图片</x:v>
      </x:c>
      <x:c r="J106" s="9" t="str">
        <x:v>1. 查看创建运营账号页
2. 上传头像选择qa.webp</x:v>
      </x:c>
      <x:c r="K106" s="9" t="str">
        <x:v>显示所选头像预览</x:v>
      </x:c>
      <x:c r="L106" s="10" t="str"/>
      <x:c r="M106" s="10" t="str">
        <x:v>未测</x:v>
      </x:c>
      <x:c r="N106" s="10" t="str"/>
      <x:c r="O106" s="9" t="str">
        <x:v>1. 来源（当前证据）：liveshow-proto/MainBasis/统一需求文档.md；位置：REQ-9d6081f3950c；行3117
2. 规则：BR-7a04e2f33b99cf71
3. 未动态验证</x:v>
      </x:c>
    </x:row>
    <x:row r="107" ht="100" customHeight="1">
      <x:c r="A107" s="10" t="n">
        <x:v>106</x:v>
      </x:c>
      <x:c r="B107" s="10" t="str">
        <x:v>GUILD-03-0025</x:v>
      </x:c>
      <x:c r="C107" s="10" t="str">
        <x:v>运营工具</x:v>
      </x:c>
      <x:c r="D107" s="10" t="str">
        <x:v>创建运营账号（公会长视角）</x:v>
      </x:c>
      <x:c r="E107" s="10" t="str">
        <x:v>逻辑校验</x:v>
      </x:c>
      <x:c r="F107" s="10" t="str">
        <x:v>P1</x:v>
      </x:c>
      <x:c r="G107" s="9" t="str">
        <x:v>验证其他公会已占用账号不能重建</x:v>
      </x:c>
      <x:c r="H107" s="9" t="str">
        <x:v>运营登录账号唯一性</x:v>
      </x:c>
      <x:c r="I107" s="9" t="str">
        <x:v>1. 执行角色为公会长
2. 业务数据已准备且本页已打开；表单和筛选保持下列指定状态
3. 公会B已有有效登录账号L；当前公会A创建资料均合法</x:v>
      </x:c>
      <x:c r="J107" s="9" t="str">
        <x:v>1. 查看创建运营账号页
2. 填写账号为L
3. 点击确认创建</x:v>
      </x:c>
      <x:c r="K107" s="9" t="str">
        <x:v>不能创建重复登录账号</x:v>
      </x:c>
      <x:c r="L107" s="10" t="str"/>
      <x:c r="M107" s="10" t="str">
        <x:v>未测</x:v>
      </x:c>
      <x:c r="N107" s="10" t="str"/>
      <x:c r="O107" s="9" t="str">
        <x:v>1. 来源（当前证据）：liveshow-proto/MainBasis/统一需求文档.md；位置：REQ-ba4adee83342；行3121
2. 规则：BR-bc9b2e973b1ddb7b
3. 未动态验证</x:v>
      </x:c>
    </x:row>
    <x:row r="108" ht="85" customHeight="1">
      <x:c r="A108" s="10" t="n">
        <x:v>107</x:v>
      </x:c>
      <x:c r="B108" s="10" t="str">
        <x:v>GUILD-03-0026</x:v>
      </x:c>
      <x:c r="C108" s="10" t="str">
        <x:v>运营工具</x:v>
      </x:c>
      <x:c r="D108" s="10" t="str">
        <x:v>创建运营账号（公会长视角）</x:v>
      </x:c>
      <x:c r="E108" s="10" t="str">
        <x:v>逻辑校验</x:v>
      </x:c>
      <x:c r="F108" s="10" t="str">
        <x:v>P1</x:v>
      </x:c>
      <x:c r="G108" s="9" t="str">
        <x:v>验证运营账号初始密码5位不通过</x:v>
      </x:c>
      <x:c r="H108" s="9" t="str">
        <x:v>运营初始密码最小长度</x:v>
      </x:c>
      <x:c r="I108" s="9" t="str">
        <x:v>1. 执行角色为公会长
2. 业务数据已准备且本页已打开；表单和筛选保持下列指定状态
3. 其他资料已填写</x:v>
      </x:c>
      <x:c r="J108" s="9" t="str">
        <x:v>1. 查看创建运营账号页
2. 填写初始密码为Qa123
3. 点击确认创建</x:v>
      </x:c>
      <x:c r="K108" s="9" t="str">
        <x:v>不能创建密码不足6位的账号</x:v>
      </x:c>
      <x:c r="L108" s="10" t="str"/>
      <x:c r="M108" s="10" t="str">
        <x:v>未测</x:v>
      </x:c>
      <x:c r="N108" s="10" t="str"/>
      <x:c r="O108" s="9" t="str">
        <x:v>1. 来源（当前证据）：liveshow-proto/MainBasis/统一需求文档.md；位置：REQ-37d509ce6e38；行3123
2. 规则：BR-39fb083bac30ba7e
3. 未动态验证</x:v>
      </x:c>
    </x:row>
    <x:row r="109" ht="85" customHeight="1">
      <x:c r="A109" s="10" t="n">
        <x:v>108</x:v>
      </x:c>
      <x:c r="B109" s="10" t="str">
        <x:v>GUILD-03-0027</x:v>
      </x:c>
      <x:c r="C109" s="10" t="str">
        <x:v>运营工具</x:v>
      </x:c>
      <x:c r="D109" s="10" t="str">
        <x:v>创建运营账号（公会长视角）</x:v>
      </x:c>
      <x:c r="E109" s="10" t="str">
        <x:v>功能需求</x:v>
      </x:c>
      <x:c r="F109" s="10" t="str">
        <x:v>P2</x:v>
      </x:c>
      <x:c r="G109" s="9" t="str">
        <x:v>验证创建运营账号默认启用</x:v>
      </x:c>
      <x:c r="H109" s="9" t="str">
        <x:v>运营账号初始状态</x:v>
      </x:c>
      <x:c r="I109" s="9" t="str">
        <x:v>1. 执行角色为公会长</x:v>
      </x:c>
      <x:c r="J109" s="9" t="str">
        <x:v>1. 进入创建运营账号页</x:v>
      </x:c>
      <x:c r="K109" s="9" t="str">
        <x:v>账号状态默认为启用</x:v>
      </x:c>
      <x:c r="L109" s="10" t="str"/>
      <x:c r="M109" s="10" t="str">
        <x:v>未测</x:v>
      </x:c>
      <x:c r="N109" s="10" t="str"/>
      <x:c r="O109" s="9" t="str">
        <x:v>1. 来源（当前证据）：liveshow-proto/MainBasis/统一需求文档.md；位置：REQ-dcf9b5ec5baf；行3125
2. 规则：BR-885340207ae54233
3. 未动态验证</x:v>
      </x:c>
    </x:row>
    <x:row r="110" ht="85" customHeight="1">
      <x:c r="A110" s="10" t="n">
        <x:v>109</x:v>
      </x:c>
      <x:c r="B110" s="10" t="str">
        <x:v>GUILD-03-0028</x:v>
      </x:c>
      <x:c r="C110" s="10" t="str">
        <x:v>运营工具</x:v>
      </x:c>
      <x:c r="D110" s="10" t="str">
        <x:v>创建运营账号（公会长视角）</x:v>
      </x:c>
      <x:c r="E110" s="10" t="str">
        <x:v>功能需求</x:v>
      </x:c>
      <x:c r="F110" s="10" t="str">
        <x:v>P2</x:v>
      </x:c>
      <x:c r="G110" s="9" t="str">
        <x:v>验证初始发放虚拟金币默认零</x:v>
      </x:c>
      <x:c r="H110" s="9" t="str">
        <x:v>运营账号初始发放额</x:v>
      </x:c>
      <x:c r="I110" s="9" t="str">
        <x:v>1. 执行角色为公会长</x:v>
      </x:c>
      <x:c r="J110" s="9" t="str">
        <x:v>1. 进入创建运营账号页</x:v>
      </x:c>
      <x:c r="K110" s="9" t="str">
        <x:v>发放金币默认为0</x:v>
      </x:c>
      <x:c r="L110" s="10" t="str"/>
      <x:c r="M110" s="10" t="str">
        <x:v>未测</x:v>
      </x:c>
      <x:c r="N110" s="10" t="str"/>
      <x:c r="O110" s="9" t="str">
        <x:v>1. 来源（当前证据）：liveshow-proto/MainBasis/统一需求文档.md；位置：REQ-6f2664020d2b；行3127
2. 规则：BR-6a9ed64ee0abb6f6
3. 未动态验证</x:v>
      </x:c>
    </x:row>
    <x:row r="111" ht="100" customHeight="1">
      <x:c r="A111" s="10" t="n">
        <x:v>110</x:v>
      </x:c>
      <x:c r="B111" s="10" t="str">
        <x:v>GUILD-03-0029</x:v>
      </x:c>
      <x:c r="C111" s="10" t="str">
        <x:v>运营工具</x:v>
      </x:c>
      <x:c r="D111" s="10" t="str">
        <x:v>创建运营账号（公会长视角）</x:v>
      </x:c>
      <x:c r="E111" s="10" t="str">
        <x:v>逻辑校验</x:v>
      </x:c>
      <x:c r="F111" s="10" t="str">
        <x:v>P1</x:v>
      </x:c>
      <x:c r="G111" s="9" t="str">
        <x:v>验证账号剩余100公会剩余200时发放上限</x:v>
      </x:c>
      <x:c r="H111" s="9" t="str">
        <x:v>双额度取小值</x:v>
      </x:c>
      <x:c r="I111" s="9" t="str">
        <x:v>1. 执行角色为公会长
2. 业务数据已准备且本页已打开；表单和筛选保持下列指定状态
3. 账号月剩余额度100金币，公会月剩余额度200金币</x:v>
      </x:c>
      <x:c r="J111" s="9" t="str">
        <x:v>1. 查看创建运营账号页</x:v>
      </x:c>
      <x:c r="K111" s="9" t="str">
        <x:v>最多可发放显示100金币</x:v>
      </x:c>
      <x:c r="L111" s="10" t="str"/>
      <x:c r="M111" s="10" t="str">
        <x:v>未测</x:v>
      </x:c>
      <x:c r="N111" s="10" t="str"/>
      <x:c r="O111" s="9" t="str">
        <x:v>1. 来源（当前证据）：liveshow-proto/MainBasis/统一需求文档.md；位置：REQ-cd6a03e29391；行3129
2. 规则：BR-cecdf7108ae8d7ca
3. 未动态验证</x:v>
      </x:c>
    </x:row>
    <x:row r="112" ht="100" customHeight="1">
      <x:c r="A112" s="10" t="n">
        <x:v>111</x:v>
      </x:c>
      <x:c r="B112" s="10" t="str">
        <x:v>GUILD-03-0030</x:v>
      </x:c>
      <x:c r="C112" s="10" t="str">
        <x:v>运营工具</x:v>
      </x:c>
      <x:c r="D112" s="10" t="str">
        <x:v>创建运营账号（公会长视角）</x:v>
      </x:c>
      <x:c r="E112" s="10" t="str">
        <x:v>逻辑校验</x:v>
      </x:c>
      <x:c r="F112" s="10" t="str">
        <x:v>P1</x:v>
      </x:c>
      <x:c r="G112" s="9" t="str">
        <x:v>验证账号剩余300公会剩余200时发放上限</x:v>
      </x:c>
      <x:c r="H112" s="9" t="str">
        <x:v>双额度取小值</x:v>
      </x:c>
      <x:c r="I112" s="9" t="str">
        <x:v>1. 执行角色为公会长
2. 业务数据已准备且本页已打开；表单和筛选保持下列指定状态
3. 账号月剩余额度300金币，公会月剩余额度200金币</x:v>
      </x:c>
      <x:c r="J112" s="9" t="str">
        <x:v>1. 查看创建运营账号页</x:v>
      </x:c>
      <x:c r="K112" s="9" t="str">
        <x:v>最多可发放显示200金币</x:v>
      </x:c>
      <x:c r="L112" s="10" t="str"/>
      <x:c r="M112" s="10" t="str">
        <x:v>未测</x:v>
      </x:c>
      <x:c r="N112" s="10" t="str"/>
      <x:c r="O112" s="9" t="str">
        <x:v>1. 来源（当前证据）：liveshow-proto/MainBasis/统一需求文档.md；位置：REQ-cd6a03e29391；行3129
2. 规则：BR-be3048a458653d1c
3. 未动态验证</x:v>
      </x:c>
    </x:row>
    <x:row r="113" ht="100" customHeight="1">
      <x:c r="A113" s="10" t="n">
        <x:v>112</x:v>
      </x:c>
      <x:c r="B113" s="10" t="str">
        <x:v>GUILD-03-0031</x:v>
      </x:c>
      <x:c r="C113" s="10" t="str">
        <x:v>运营工具</x:v>
      </x:c>
      <x:c r="D113" s="10" t="str">
        <x:v>创建运营账号（公会长视角）</x:v>
      </x:c>
      <x:c r="E113" s="10" t="str">
        <x:v>逻辑校验</x:v>
      </x:c>
      <x:c r="F113" s="10" t="str">
        <x:v>P1</x:v>
      </x:c>
      <x:c r="G113" s="9" t="str">
        <x:v>验证账号剩余100公会剩余0时发放上限</x:v>
      </x:c>
      <x:c r="H113" s="9" t="str">
        <x:v>双额度取小值</x:v>
      </x:c>
      <x:c r="I113" s="9" t="str">
        <x:v>1. 执行角色为公会长
2. 业务数据已准备且本页已打开；表单和筛选保持下列指定状态
3. 账号月剩余额度100金币，公会月剩余额度0金币</x:v>
      </x:c>
      <x:c r="J113" s="9" t="str">
        <x:v>1. 查看创建运营账号页</x:v>
      </x:c>
      <x:c r="K113" s="9" t="str">
        <x:v>最多可发放显示0金币</x:v>
      </x:c>
      <x:c r="L113" s="10" t="str"/>
      <x:c r="M113" s="10" t="str">
        <x:v>未测</x:v>
      </x:c>
      <x:c r="N113" s="10" t="str"/>
      <x:c r="O113" s="9" t="str">
        <x:v>1. 来源（当前证据）：liveshow-proto/MainBasis/统一需求文档.md；位置：REQ-cd6a03e29391；行3129
2. 规则：BR-8dafe044a152774f
3. 未动态验证</x:v>
      </x:c>
    </x:row>
    <x:row r="114" ht="100" customHeight="1">
      <x:c r="A114" s="10" t="n">
        <x:v>113</x:v>
      </x:c>
      <x:c r="B114" s="10" t="str">
        <x:v>GUILD-03-0032</x:v>
      </x:c>
      <x:c r="C114" s="10" t="str">
        <x:v>运营工具</x:v>
      </x:c>
      <x:c r="D114" s="10" t="str">
        <x:v>创建运营账号（公会长视角）</x:v>
      </x:c>
      <x:c r="E114" s="10" t="str">
        <x:v>逻辑校验</x:v>
      </x:c>
      <x:c r="F114" s="10" t="str">
        <x:v>P1</x:v>
      </x:c>
      <x:c r="G114" s="9" t="str">
        <x:v>验证初始发放-1金币不合法</x:v>
      </x:c>
      <x:c r="H114" s="9" t="str">
        <x:v>初始发放额度校验</x:v>
      </x:c>
      <x:c r="I114" s="9" t="str">
        <x:v>1. 执行角色为公会长
2. 业务数据已准备且本页已打开；表单和筛选保持下列指定状态
3. 本次最多可发放100金币，其他资料合法</x:v>
      </x:c>
      <x:c r="J114" s="9" t="str">
        <x:v>1. 查看创建运营账号页
2. 填写发放金币为-1
3. 点击确认创建</x:v>
      </x:c>
      <x:c r="K114" s="9" t="str">
        <x:v>不能创建额度不合法的账号</x:v>
      </x:c>
      <x:c r="L114" s="10" t="str"/>
      <x:c r="M114" s="10" t="str">
        <x:v>未测</x:v>
      </x:c>
      <x:c r="N114" s="10" t="str"/>
      <x:c r="O114" s="9" t="str">
        <x:v>1. 来源（当前证据）：liveshow-proto/MainBasis/统一需求文档.md；位置：REQ-6f2664020d2b；行3127
2. 规则：BR-7bfb65f5fb08648e
3. 未动态验证</x:v>
      </x:c>
    </x:row>
    <x:row r="115" ht="100" customHeight="1">
      <x:c r="A115" s="10" t="n">
        <x:v>114</x:v>
      </x:c>
      <x:c r="B115" s="10" t="str">
        <x:v>GUILD-03-0033</x:v>
      </x:c>
      <x:c r="C115" s="10" t="str">
        <x:v>运营工具</x:v>
      </x:c>
      <x:c r="D115" s="10" t="str">
        <x:v>创建运营账号（公会长视角）</x:v>
      </x:c>
      <x:c r="E115" s="10" t="str">
        <x:v>逻辑校验</x:v>
      </x:c>
      <x:c r="F115" s="10" t="str">
        <x:v>P1</x:v>
      </x:c>
      <x:c r="G115" s="9" t="str">
        <x:v>验证初始发放101金币不合法</x:v>
      </x:c>
      <x:c r="H115" s="9" t="str">
        <x:v>初始发放额度校验</x:v>
      </x:c>
      <x:c r="I115" s="9" t="str">
        <x:v>1. 执行角色为公会长
2. 业务数据已准备且本页已打开；表单和筛选保持下列指定状态
3. 本次最多可发放100金币，其他资料合法</x:v>
      </x:c>
      <x:c r="J115" s="9" t="str">
        <x:v>1. 查看创建运营账号页
2. 填写发放金币为101
3. 点击确认创建</x:v>
      </x:c>
      <x:c r="K115" s="9" t="str">
        <x:v>不能创建额度不合法的账号</x:v>
      </x:c>
      <x:c r="L115" s="10" t="str"/>
      <x:c r="M115" s="10" t="str">
        <x:v>未测</x:v>
      </x:c>
      <x:c r="N115" s="10" t="str"/>
      <x:c r="O115" s="9" t="str">
        <x:v>1. 来源（当前证据）：liveshow-proto/MainBasis/统一需求文档.md；位置：REQ-6f2664020d2b；行3127
2. 规则：BR-e5896f4f9c7b85fe
3. 未动态验证</x:v>
      </x:c>
    </x:row>
    <x:row r="116" ht="100" customHeight="1">
      <x:c r="A116" s="10" t="n">
        <x:v>115</x:v>
      </x:c>
      <x:c r="B116" s="10" t="str">
        <x:v>GUILD-03-0034</x:v>
      </x:c>
      <x:c r="C116" s="10" t="str">
        <x:v>运营工具</x:v>
      </x:c>
      <x:c r="D116" s="10" t="str">
        <x:v>运营账号主页（公会长视角）</x:v>
      </x:c>
      <x:c r="E116" s="10" t="str">
        <x:v>逻辑校验</x:v>
      </x:c>
      <x:c r="F116" s="10" t="str">
        <x:v>P1</x:v>
      </x:c>
      <x:c r="G116" s="9" t="str">
        <x:v>验证平台锁定后公会运营账号只读</x:v>
      </x:c>
      <x:c r="H116" s="9" t="str">
        <x:v>运营账号公会管理锁定</x:v>
      </x:c>
      <x:c r="I116" s="9" t="str">
        <x:v>1. 执行角色为公会长
2. 业务数据已准备且本页已打开；表单和筛选保持下列指定状态
3. 平台已锁定该账号公会管理权限</x:v>
      </x:c>
      <x:c r="J116" s="9" t="str">
        <x:v>1. 查看运营账号主页</x:v>
      </x:c>
      <x:c r="K116" s="9" t="str">
        <x:v>管理操作隐藏或不可用</x:v>
      </x:c>
      <x:c r="L116" s="10" t="str">
        <x:v>FLOW-9DD46CA244</x:v>
      </x:c>
      <x:c r="M116" s="10" t="str">
        <x:v>未测</x:v>
      </x:c>
      <x:c r="N116" s="10" t="str"/>
      <x:c r="O116" s="9" t="str">
        <x:v>1. 来源（当前证据）：liveshow-proto/MainBasis/统一需求文档.md；位置：REQ-08aa8f7fddb5；行3143
2. 规则：BR-961fb1198d6e933a
3. 未动态验证</x:v>
      </x:c>
    </x:row>
    <x:row r="117" ht="100" customHeight="1">
      <x:c r="A117" s="10" t="n">
        <x:v>116</x:v>
      </x:c>
      <x:c r="B117" s="10" t="str">
        <x:v>GUILD-03-0035</x:v>
      </x:c>
      <x:c r="C117" s="10" t="str">
        <x:v>运营工具</x:v>
      </x:c>
      <x:c r="D117" s="10" t="str">
        <x:v>运营账号主页（公会长视角）</x:v>
      </x:c>
      <x:c r="E117" s="10" t="str">
        <x:v>逻辑校验</x:v>
      </x:c>
      <x:c r="F117" s="10" t="str">
        <x:v>P1</x:v>
      </x:c>
      <x:c r="G117" s="9" t="str">
        <x:v>验证禁用运营账号保留余额</x:v>
      </x:c>
      <x:c r="H117" s="9" t="str">
        <x:v>禁用运营账号余额</x:v>
      </x:c>
      <x:c r="I117" s="9" t="str">
        <x:v>1. 执行角色为公会长
2. 业务数据已准备且本页已打开；表单和筛选保持下列指定状态
3. 运营账号启用且余额100金币，管理权限未锁定</x:v>
      </x:c>
      <x:c r="J117" s="9" t="str">
        <x:v>1. 查看运营账号主页
2. 禁用账号状态开关</x:v>
      </x:c>
      <x:c r="K117" s="9" t="str">
        <x:v>账户余额仍为100金币</x:v>
      </x:c>
      <x:c r="L117" s="10" t="str">
        <x:v>FLOW-9DD46CA244</x:v>
      </x:c>
      <x:c r="M117" s="10" t="str">
        <x:v>未测</x:v>
      </x:c>
      <x:c r="N117" s="10" t="str"/>
      <x:c r="O117" s="9" t="str">
        <x:v>1. 来源（当前证据）：liveshow-proto/MainBasis/统一需求文档.md；位置：REQ-6c9432dc3f2d；行3165
2. 规则：BR-e056282e84e103fb
3. 未动态验证</x:v>
      </x:c>
    </x:row>
    <x:row r="118" ht="100" customHeight="1">
      <x:c r="A118" s="10" t="n">
        <x:v>117</x:v>
      </x:c>
      <x:c r="B118" s="10" t="str">
        <x:v>GUILD-03-0036</x:v>
      </x:c>
      <x:c r="C118" s="10" t="str">
        <x:v>运营工具</x:v>
      </x:c>
      <x:c r="D118" s="10" t="str">
        <x:v>运营账号主页（公会长视角）</x:v>
      </x:c>
      <x:c r="E118" s="10" t="str">
        <x:v>逻辑校验</x:v>
      </x:c>
      <x:c r="F118" s="10" t="str">
        <x:v>P1</x:v>
      </x:c>
      <x:c r="G118" s="9" t="str">
        <x:v>验证重新启用已禁用运营账号</x:v>
      </x:c>
      <x:c r="H118" s="9" t="str">
        <x:v>运营账号恢复启用</x:v>
      </x:c>
      <x:c r="I118" s="9" t="str">
        <x:v>1. 执行角色为公会长
2. 业务数据已准备且本页已打开；表单和筛选保持下列指定状态
3. 当前运营账号禁用，管理权限未锁定</x:v>
      </x:c>
      <x:c r="J118" s="9" t="str">
        <x:v>1. 查看运营账号主页
2. 启用账号状态开关</x:v>
      </x:c>
      <x:c r="K118" s="9" t="str">
        <x:v>账号状态显示启用</x:v>
      </x:c>
      <x:c r="L118" s="10" t="str">
        <x:v>FLOW-9DD46CA244</x:v>
      </x:c>
      <x:c r="M118" s="10" t="str">
        <x:v>未测</x:v>
      </x:c>
      <x:c r="N118" s="10" t="str"/>
      <x:c r="O118" s="9" t="str">
        <x:v>1. 来源（当前证据）：liveshow-proto/MainBasis/统一需求文档.md；位置：REQ-6c9432dc3f2d；行3165
2. 规则：BR-320387aacba172dd
3. 未动态验证</x:v>
      </x:c>
    </x:row>
    <x:row r="119" ht="100" customHeight="1">
      <x:c r="A119" s="10" t="n">
        <x:v>118</x:v>
      </x:c>
      <x:c r="B119" s="10" t="str">
        <x:v>GUILD-03-0037</x:v>
      </x:c>
      <x:c r="C119" s="10" t="str">
        <x:v>运营工具</x:v>
      </x:c>
      <x:c r="D119" s="10" t="str">
        <x:v>运营账号主页（公会长视角）</x:v>
      </x:c>
      <x:c r="E119" s="10" t="str">
        <x:v>逻辑校验</x:v>
      </x:c>
      <x:c r="F119" s="10" t="str">
        <x:v>P1</x:v>
      </x:c>
      <x:c r="G119" s="9" t="str">
        <x:v>验证发放虚拟金币后余额更新</x:v>
      </x:c>
      <x:c r="H119" s="9" t="str">
        <x:v>运营账号发放后余额</x:v>
      </x:c>
      <x:c r="I119" s="9" t="str">
        <x:v>1. 执行角色为公会长
2. 业务数据已准备且本页已打开；表单和筛选保持下列指定状态
3. 余额100金币，可发上限200金币，权限未锁定</x:v>
      </x:c>
      <x:c r="J119" s="9" t="str">
        <x:v>1. 查看运营账号主页
2. 填写发放数量为50
3. 点击发放金币</x:v>
      </x:c>
      <x:c r="K119" s="9" t="str">
        <x:v>账户余额 = 150</x:v>
      </x:c>
      <x:c r="L119" s="10" t="str">
        <x:v>FLOW-E6B5F087D2</x:v>
      </x:c>
      <x:c r="M119" s="10" t="str">
        <x:v>未测</x:v>
      </x:c>
      <x:c r="N119" s="10" t="str"/>
      <x:c r="O119" s="9" t="str">
        <x:v>1. 来源（当前证据）：liveshow-proto/MainBasis/统一需求文档.md；位置：REQ-ff9041624126；行3171
2. 规则：BR-881feacda527de0e
3. 未动态验证</x:v>
      </x:c>
    </x:row>
    <x:row r="120" ht="100" customHeight="1">
      <x:c r="A120" s="10" t="n">
        <x:v>119</x:v>
      </x:c>
      <x:c r="B120" s="10" t="str">
        <x:v>GUILD-03-0038</x:v>
      </x:c>
      <x:c r="C120" s="10" t="str">
        <x:v>运营工具</x:v>
      </x:c>
      <x:c r="D120" s="10" t="str">
        <x:v>运营账号主页（公会长视角）</x:v>
      </x:c>
      <x:c r="E120" s="10" t="str">
        <x:v>逻辑校验</x:v>
      </x:c>
      <x:c r="F120" s="10" t="str">
        <x:v>P1</x:v>
      </x:c>
      <x:c r="G120" s="9" t="str">
        <x:v>验证发放虚拟金币超公会剩余额度</x:v>
      </x:c>
      <x:c r="H120" s="9" t="str">
        <x:v>运营账号发放超额限制</x:v>
      </x:c>
      <x:c r="I120" s="9" t="str">
        <x:v>1. 执行角色为公会长
2. 业务数据已准备且本页已打开；表单和筛选保持下列指定状态
3. 账号月剩余100金币，公会月剩余50金币，权限未锁定</x:v>
      </x:c>
      <x:c r="J120" s="9" t="str">
        <x:v>1. 查看运营账号主页
2. 填写发放数量为51
3. 点击发放金币</x:v>
      </x:c>
      <x:c r="K120" s="9" t="str">
        <x:v>不能完成超额发放</x:v>
      </x:c>
      <x:c r="L120" s="10" t="str"/>
      <x:c r="M120" s="10" t="str">
        <x:v>未测</x:v>
      </x:c>
      <x:c r="N120" s="10" t="str"/>
      <x:c r="O120" s="9" t="str">
        <x:v>1. 来源（当前证据）：liveshow-proto/MainBasis/统一需求文档.md；位置：REQ-679e814edf80；行3153
2. 规则：BR-f6db03194d605e56
3. 未动态验证</x:v>
      </x:c>
    </x:row>
    <x:row r="121" ht="85" customHeight="1">
      <x:c r="A121" s="10" t="n">
        <x:v>120</x:v>
      </x:c>
      <x:c r="B121" s="10" t="str">
        <x:v>GUILD-03-0039</x:v>
      </x:c>
      <x:c r="C121" s="10" t="str">
        <x:v>运营工具</x:v>
      </x:c>
      <x:c r="D121" s="10" t="str">
        <x:v>运营账号主页（公会长视角）</x:v>
      </x:c>
      <x:c r="E121" s="10" t="str">
        <x:v>功能需求</x:v>
      </x:c>
      <x:c r="F121" s="10" t="str">
        <x:v>P2</x:v>
      </x:c>
      <x:c r="G121" s="9" t="str">
        <x:v>验证运营账号消费默认本月</x:v>
      </x:c>
      <x:c r="H121" s="9" t="str">
        <x:v>运营账号默认消费周期</x:v>
      </x:c>
      <x:c r="I121" s="9" t="str">
        <x:v>1. 执行角色为公会长</x:v>
      </x:c>
      <x:c r="J121" s="9" t="str">
        <x:v>1. 进入运营账号主页</x:v>
      </x:c>
      <x:c r="K121" s="9" t="str">
        <x:v>快捷日期默认本月</x:v>
      </x:c>
      <x:c r="L121" s="10" t="str"/>
      <x:c r="M121" s="10" t="str">
        <x:v>未测</x:v>
      </x:c>
      <x:c r="N121" s="10" t="str"/>
      <x:c r="O121" s="9" t="str">
        <x:v>1. 来源（当前证据）：liveshow-proto/MainBasis/统一需求文档.md；位置：REQ-366c4df6d782；行3147
2. 规则：BR-3192d591567683a9
3. 未动态验证</x:v>
      </x:c>
    </x:row>
    <x:row r="122" ht="100" customHeight="1">
      <x:c r="A122" s="10" t="n">
        <x:v>121</x:v>
      </x:c>
      <x:c r="B122" s="10" t="str">
        <x:v>GUILD-03-0040</x:v>
      </x:c>
      <x:c r="C122" s="10" t="str">
        <x:v>运营工具</x:v>
      </x:c>
      <x:c r="D122" s="10" t="str">
        <x:v>运营账号主页（公会长视角）</x:v>
      </x:c>
      <x:c r="E122" s="10" t="str">
        <x:v>功能需求</x:v>
      </x:c>
      <x:c r="F122" s="10" t="str">
        <x:v>P2</x:v>
      </x:c>
      <x:c r="G122" s="9" t="str">
        <x:v>验证按日消费进入送礼记录</x:v>
      </x:c>
      <x:c r="H122" s="9" t="str">
        <x:v>运营送礼下钻条件</x:v>
      </x:c>
      <x:c r="I122" s="9" t="str">
        <x:v>1. 执行角色为公会长
2. 业务数据已准备且本页已打开；表单和筛选保持下列指定状态
3. 正在查看账号甲，列表有9月15日消费</x:v>
      </x:c>
      <x:c r="J122" s="9" t="str">
        <x:v>1. 查看运营账号主页
2. 点击9月15日消费行</x:v>
      </x:c>
      <x:c r="K122" s="9" t="str">
        <x:v>送礼记录按账号甲和9月15日筛选</x:v>
      </x:c>
      <x:c r="L122" s="10" t="str"/>
      <x:c r="M122" s="10" t="str">
        <x:v>未测</x:v>
      </x:c>
      <x:c r="N122" s="10" t="str"/>
      <x:c r="O122" s="9" t="str">
        <x:v>1. 来源（当前证据）：liveshow-proto/MainBasis/统一需求文档.md；位置：REQ-ff9041624126；行3171
2. 规则：BR-d20469f0b65aad96
3. 未动态验证</x:v>
      </x:c>
    </x:row>
    <x:row r="123" ht="85" customHeight="1">
      <x:c r="A123" s="10" t="n">
        <x:v>122</x:v>
      </x:c>
      <x:c r="B123" s="10" t="str">
        <x:v>GUILD-03-0041</x:v>
      </x:c>
      <x:c r="C123" s="10" t="str">
        <x:v>运营工具</x:v>
      </x:c>
      <x:c r="D123" s="10" t="str">
        <x:v>送礼记录（公会长视角）</x:v>
      </x:c>
      <x:c r="E123" s="10" t="str">
        <x:v>功能需求</x:v>
      </x:c>
      <x:c r="F123" s="10" t="str">
        <x:v>P2</x:v>
      </x:c>
      <x:c r="G123" s="9" t="str">
        <x:v>验证运营送礼记录默认范围</x:v>
      </x:c>
      <x:c r="H123" s="9" t="str">
        <x:v>运营送礼默认筛选</x:v>
      </x:c>
      <x:c r="I123" s="9" t="str">
        <x:v>1. 执行角色为公会长</x:v>
      </x:c>
      <x:c r="J123" s="9" t="str">
        <x:v>1. 进入送礼记录页</x:v>
      </x:c>
      <x:c r="K123" s="9" t="str">
        <x:v>筛选范围为全部运营账号的今日记录</x:v>
      </x:c>
      <x:c r="L123" s="10" t="str"/>
      <x:c r="M123" s="10" t="str">
        <x:v>未测</x:v>
      </x:c>
      <x:c r="N123" s="10" t="str"/>
      <x:c r="O123" s="9" t="str">
        <x:v>1. 来源（当前证据）：liveshow-proto/MainBasis/统一需求文档.md；位置：REQ-cbaa9bccc9de；行3194
2. 规则：BR-af802c9462020a42
3. 未动态验证</x:v>
      </x:c>
    </x:row>
    <x:row r="124" ht="100" customHeight="1">
      <x:c r="A124" s="10" t="n">
        <x:v>123</x:v>
      </x:c>
      <x:c r="B124" s="10" t="str">
        <x:v>GUILD-03-0042</x:v>
      </x:c>
      <x:c r="C124" s="10" t="str">
        <x:v>运营工具</x:v>
      </x:c>
      <x:c r="D124" s="10" t="str">
        <x:v>送礼记录（公会长视角）</x:v>
      </x:c>
      <x:c r="E124" s="10" t="str">
        <x:v>逻辑校验</x:v>
      </x:c>
      <x:c r="F124" s="10" t="str">
        <x:v>P1</x:v>
      </x:c>
      <x:c r="G124" s="9" t="str">
        <x:v>验证运营送礼消费按单价件数计算</x:v>
      </x:c>
      <x:c r="H124" s="9" t="str">
        <x:v>运营送礼消费金额</x:v>
      </x:c>
      <x:c r="I124" s="9" t="str">
        <x:v>1. 执行角色为公会长
2. 业务数据已准备且本页已打开；表单和筛选保持下列指定状态
3. 成功记录单价10虚拟金币，赠送20件</x:v>
      </x:c>
      <x:c r="J124" s="9" t="str">
        <x:v>1. 查看送礼记录页
2. 点击该送礼记录</x:v>
      </x:c>
      <x:c r="K124" s="9" t="str">
        <x:v>消费金币 = 200</x:v>
      </x:c>
      <x:c r="L124" s="10" t="str"/>
      <x:c r="M124" s="10" t="str">
        <x:v>未测</x:v>
      </x:c>
      <x:c r="N124" s="10" t="str"/>
      <x:c r="O124" s="9" t="str">
        <x:v>1. 来源（当前证据）：liveshow-proto/MainBasis/统一需求文档.md；位置：REQ-b1708057eef3；行3178
2. 规则：BR-cc064944fe9179fe
3. 未动态验证</x:v>
      </x:c>
    </x:row>
    <x:row r="125" ht="100" customHeight="1">
      <x:c r="A125" s="10" t="n">
        <x:v>124</x:v>
      </x:c>
      <x:c r="B125" s="10" t="str">
        <x:v>GUILD-03-0043</x:v>
      </x:c>
      <x:c r="C125" s="10" t="str">
        <x:v>运营工具</x:v>
      </x:c>
      <x:c r="D125" s="10" t="str">
        <x:v>送礼记录（公会长视角）</x:v>
      </x:c>
      <x:c r="E125" s="10" t="str">
        <x:v>逻辑校验</x:v>
      </x:c>
      <x:c r="F125" s="10" t="str">
        <x:v>P1</x:v>
      </x:c>
      <x:c r="G125" s="9" t="str">
        <x:v>验证运营送礼次数不按件数统计</x:v>
      </x:c>
      <x:c r="H125" s="9" t="str">
        <x:v>运营成功送礼笔数</x:v>
      </x:c>
      <x:c r="I125" s="9" t="str">
        <x:v>1. 执行角色为公会长
2. 业务数据已准备且本页已打开；表单和筛选保持下列指定状态
3. 筛选范围内2笔成功送礼各10件，1笔失败</x:v>
      </x:c>
      <x:c r="J125" s="9" t="str">
        <x:v>1. 查看送礼记录页</x:v>
      </x:c>
      <x:c r="K125" s="9" t="str">
        <x:v>总送礼次数显示2</x:v>
      </x:c>
      <x:c r="L125" s="10" t="str"/>
      <x:c r="M125" s="10" t="str">
        <x:v>未测</x:v>
      </x:c>
      <x:c r="N125" s="10" t="str"/>
      <x:c r="O125" s="9" t="str">
        <x:v>1. 来源（当前证据）：liveshow-proto/MainBasis/统一需求文档.md；位置：REQ-81a3ed5abf3a；行3196
2. 规则：BR-e32b0b62019c122f
3. 未动态验证</x:v>
      </x:c>
    </x:row>
    <x:row r="126" ht="100" customHeight="1">
      <x:c r="A126" s="10" t="n">
        <x:v>125</x:v>
      </x:c>
      <x:c r="B126" s="10" t="str">
        <x:v>GUILD-03-0044</x:v>
      </x:c>
      <x:c r="C126" s="10" t="str">
        <x:v>运营工具</x:v>
      </x:c>
      <x:c r="D126" s="10" t="str">
        <x:v>选择运营账号（多选）（公会长视角）</x:v>
      </x:c>
      <x:c r="E126" s="10" t="str">
        <x:v>逻辑校验</x:v>
      </x:c>
      <x:c r="F126" s="10" t="str">
        <x:v>P1</x:v>
      </x:c>
      <x:c r="G126" s="9" t="str">
        <x:v>验证搜索后全选仍作用全部运营账号</x:v>
      </x:c>
      <x:c r="H126" s="9" t="str">
        <x:v>运营账号全选范围</x:v>
      </x:c>
      <x:c r="I126" s="9" t="str">
        <x:v>1. 执行角色为公会长
2. 业务数据已准备且本页已打开；表单和筛选保持下列指定状态
3. 共3个运营账号，搜索QA仅命中1个</x:v>
      </x:c>
      <x:c r="J126" s="9" t="str">
        <x:v>1. 查看选择运营账号（多选）页
2. 输入搜索框为QA
3. 点击全选</x:v>
      </x:c>
      <x:c r="K126" s="9" t="str">
        <x:v>已选数量显示3</x:v>
      </x:c>
      <x:c r="L126" s="10" t="str"/>
      <x:c r="M126" s="10" t="str">
        <x:v>未测</x:v>
      </x:c>
      <x:c r="N126" s="10" t="str"/>
      <x:c r="O126" s="9" t="str">
        <x:v>1. 来源（当前证据）：liveshow-proto/MainBasis/统一需求文档.md；位置：REQ-731cc63e8bb2；行3213
2. 规则：BR-c9d2e9f65a2ed31d
3. 未动态验证</x:v>
      </x:c>
    </x:row>
    <x:row r="127" ht="85" customHeight="1">
      <x:c r="A127" s="10" t="n">
        <x:v>126</x:v>
      </x:c>
      <x:c r="B127" s="10" t="str">
        <x:v>GUILD-03-0045</x:v>
      </x:c>
      <x:c r="C127" s="10" t="str">
        <x:v>运营工具</x:v>
      </x:c>
      <x:c r="D127" s="10" t="str">
        <x:v>选择运营账号（多选）（公会长视角）</x:v>
      </x:c>
      <x:c r="E127" s="10" t="str">
        <x:v>功能需求</x:v>
      </x:c>
      <x:c r="F127" s="10" t="str">
        <x:v>P2</x:v>
      </x:c>
      <x:c r="G127" s="9" t="str">
        <x:v>验证取消运营账号全选</x:v>
      </x:c>
      <x:c r="H127" s="9" t="str">
        <x:v>运营账号清空选择</x:v>
      </x:c>
      <x:c r="I127" s="9" t="str">
        <x:v>1. 执行角色为公会长
2. 业务数据已准备且本页已打开；表单和筛选保持下列指定状态
3. 当前全部运营账号已选</x:v>
      </x:c>
      <x:c r="J127" s="9" t="str">
        <x:v>1. 查看选择运营账号（多选）页
2. 点击取消全选</x:v>
      </x:c>
      <x:c r="K127" s="9" t="str">
        <x:v>已选数量显示0</x:v>
      </x:c>
      <x:c r="L127" s="10" t="str"/>
      <x:c r="M127" s="10" t="str">
        <x:v>未测</x:v>
      </x:c>
      <x:c r="N127" s="10" t="str"/>
      <x:c r="O127" s="9" t="str">
        <x:v>1. 来源（当前证据）：liveshow-proto/MainBasis/统一需求文档.md；位置：REQ-731cc63e8bb2；行3213
2. 规则：BR-b83fde02f8cbf3b5
3. 未动态验证</x:v>
      </x:c>
    </x:row>
    <x:row r="128" ht="100" customHeight="1">
      <x:c r="A128" s="10" t="n">
        <x:v>127</x:v>
      </x:c>
      <x:c r="B128" s="10" t="str">
        <x:v>GUILD-03-0046</x:v>
      </x:c>
      <x:c r="C128" s="10" t="str">
        <x:v>运营工具</x:v>
      </x:c>
      <x:c r="D128" s="10" t="str">
        <x:v>选择运营账号（多选）（公会长视角）</x:v>
      </x:c>
      <x:c r="E128" s="10" t="str">
        <x:v>功能需求</x:v>
      </x:c>
      <x:c r="F128" s="10" t="str">
        <x:v>P2</x:v>
      </x:c>
      <x:c r="G128" s="9" t="str">
        <x:v>验证选择运营账号后保留送礼日期</x:v>
      </x:c>
      <x:c r="H128" s="9" t="str">
        <x:v>运营送礼筛选保留</x:v>
      </x:c>
      <x:c r="I128" s="9" t="str">
        <x:v>1. 执行角色为公会长
2. 业务数据已准备且本页已打开；表单和筛选保持下列指定状态
3. 送礼记录已选9月1日至9月15日</x:v>
      </x:c>
      <x:c r="J128" s="9" t="str">
        <x:v>1. 查看选择运营账号（多选）页
2. 选择运营账号甲
3. 选择运营账号乙
4. 点击完成</x:v>
      </x:c>
      <x:c r="K128" s="9" t="str">
        <x:v>送礼记录日期仍为9月1日至9月15日</x:v>
      </x:c>
      <x:c r="L128" s="10" t="str"/>
      <x:c r="M128" s="10" t="str">
        <x:v>未测</x:v>
      </x:c>
      <x:c r="N128" s="10" t="str"/>
      <x:c r="O128" s="9" t="str">
        <x:v>1. 来源（当前证据）：liveshow-proto/MainBasis/统一需求文档.md；位置：REQ-ec36dd70dcff；行3215
2. 规则：BR-d5d6bff4e5882c22
3. 未动态验证</x:v>
      </x:c>
    </x:row>
    <x:row r="129" ht="100" customHeight="1">
      <x:c r="A129" s="10" t="n">
        <x:v>128</x:v>
      </x:c>
      <x:c r="B129" s="10" t="str">
        <x:v>GUILD-02-0038</x:v>
      </x:c>
      <x:c r="C129" s="10" t="str">
        <x:v>主播管理</x:v>
      </x:c>
      <x:c r="D129" s="10" t="str">
        <x:v>主播业绩（公会长视角）</x:v>
      </x:c>
      <x:c r="E129" s="10" t="str">
        <x:v>逻辑校验</x:v>
      </x:c>
      <x:c r="F129" s="10" t="str">
        <x:v>P1</x:v>
      </x:c>
      <x:c r="G129" s="9" t="str">
        <x:v>验证退会主播保留原公会期间业绩</x:v>
      </x:c>
      <x:c r="H129" s="9" t="str">
        <x:v>公会历史业绩归属</x:v>
      </x:c>
      <x:c r="I129" s="9" t="str">
        <x:v>1. 执行角色为公会长
2. 业务数据已准备且本页已打开；表单和筛选保持下列指定状态
3. 甲在公会A产生收益100，退出A加入B后产生200，当前查看A</x:v>
      </x:c>
      <x:c r="J129" s="9" t="str">
        <x:v>1. 查看主播业绩页</x:v>
      </x:c>
      <x:c r="K129" s="9" t="str">
        <x:v>甲在A的收益显示100金币</x:v>
      </x:c>
      <x:c r="L129" s="10" t="str"/>
      <x:c r="M129" s="10" t="str">
        <x:v>未测</x:v>
      </x:c>
      <x:c r="N129" s="10" t="str"/>
      <x:c r="O129" s="9" t="str">
        <x:v>1. 来源（当前证据）：liveshow-proto/MainBasis/统一需求文档.md；位置：REQ-67458be2a092；行2931
2. 规则：BR-08dd5471cb43da6d
3. 未动态验证</x:v>
      </x:c>
    </x:row>
    <x:row r="130" ht="100" customHeight="1">
      <x:c r="A130" s="10" t="n">
        <x:v>129</x:v>
      </x:c>
      <x:c r="B130" s="10" t="str">
        <x:v>GUILD-02-0039</x:v>
      </x:c>
      <x:c r="C130" s="10" t="str">
        <x:v>主播管理</x:v>
      </x:c>
      <x:c r="D130" s="10" t="str">
        <x:v>主播业绩（公会长视角）</x:v>
      </x:c>
      <x:c r="E130" s="10" t="str">
        <x:v>逻辑校验</x:v>
      </x:c>
      <x:c r="F130" s="10" t="str">
        <x:v>P1</x:v>
      </x:c>
      <x:c r="G130" s="9" t="str">
        <x:v>验证周期内同主播多场只算1人</x:v>
      </x:c>
      <x:c r="H130" s="9" t="str">
        <x:v>公会开播人数去重</x:v>
      </x:c>
      <x:c r="I130" s="9" t="str">
        <x:v>1. 执行角色为公会长
2. 业务数据已准备且本页已打开；表单和筛选保持下列指定状态
3. 周期内甲完成2场，乙完成1场</x:v>
      </x:c>
      <x:c r="J130" s="9" t="str">
        <x:v>1. 查看主播业绩页</x:v>
      </x:c>
      <x:c r="K130" s="9" t="str">
        <x:v>开播人数显示2</x:v>
      </x:c>
      <x:c r="L130" s="10" t="str"/>
      <x:c r="M130" s="10" t="str">
        <x:v>未测</x:v>
      </x:c>
      <x:c r="N130" s="10" t="str"/>
      <x:c r="O130" s="9" t="str">
        <x:v>1. 来源（当前证据）：liveshow-proto/MainBasis/统一需求文档.md；位置：REQ-0f3fd7e3397f；行2925
2. 规则：BR-1d27347f16547f60
3. 未动态验证</x:v>
      </x:c>
    </x:row>
    <x:row r="131" ht="100" customHeight="1">
      <x:c r="A131" s="10" t="n">
        <x:v>130</x:v>
      </x:c>
      <x:c r="B131" s="10" t="str">
        <x:v>GUILD-02-0040</x:v>
      </x:c>
      <x:c r="C131" s="10" t="str">
        <x:v>主播管理</x:v>
      </x:c>
      <x:c r="D131" s="10" t="str">
        <x:v>主播数据（公会长视角）</x:v>
      </x:c>
      <x:c r="E131" s="10" t="str">
        <x:v>逻辑校验</x:v>
      </x:c>
      <x:c r="F131" s="10" t="str">
        <x:v>P1</x:v>
      </x:c>
      <x:c r="G131" s="9" t="str">
        <x:v>验证新增粉丝不抵减取关人数</x:v>
      </x:c>
      <x:c r="H131" s="9" t="str">
        <x:v>公会主播新增粉丝口径</x:v>
      </x:c>
      <x:c r="I131" s="9" t="str">
        <x:v>1. 执行角色为公会长
2. 业务数据已准备且本页已打开；表单和筛选保持下列指定状态
3. 目标日新增10关注，取关3人</x:v>
      </x:c>
      <x:c r="J131" s="9" t="str">
        <x:v>1. 查看主播数据页</x:v>
      </x:c>
      <x:c r="K131" s="9" t="str">
        <x:v>该日新增粉丝显示10人</x:v>
      </x:c>
      <x:c r="L131" s="10" t="str"/>
      <x:c r="M131" s="10" t="str">
        <x:v>未测</x:v>
      </x:c>
      <x:c r="N131" s="10" t="str"/>
      <x:c r="O131" s="9" t="str">
        <x:v>1. 来源（当前证据）：liveshow-proto/MainBasis/统一需求文档.md；位置：REQ-287d99181822；行2958
2. 规则：BR-8a65fb69c86d9523
3. 未动态验证</x:v>
      </x:c>
    </x:row>
    <x:row r="132" ht="100" customHeight="1">
      <x:c r="A132" s="10" t="n">
        <x:v>131</x:v>
      </x:c>
      <x:c r="B132" s="10" t="str">
        <x:v>GUILD-02-0041</x:v>
      </x:c>
      <x:c r="C132" s="10" t="str">
        <x:v>主播管理</x:v>
      </x:c>
      <x:c r="D132" s="10" t="str">
        <x:v>主播数据（公会长视角）</x:v>
      </x:c>
      <x:c r="E132" s="10" t="str">
        <x:v>逻辑校验</x:v>
      </x:c>
      <x:c r="F132" s="10" t="str">
        <x:v>P1</x:v>
      </x:c>
      <x:c r="G132" s="9" t="str">
        <x:v>验证主播日累计179分钟有效天</x:v>
      </x:c>
      <x:c r="H132" s="9" t="str">
        <x:v>主播有效天边界</x:v>
      </x:c>
      <x:c r="I132" s="9" t="str">
        <x:v>1. 执行角色为公会长
2. 业务数据已准备且本页已打开；表单和筛选保持下列指定状态
3. 目标日有效直播累计179分钟</x:v>
      </x:c>
      <x:c r="J132" s="9" t="str">
        <x:v>1. 查看主播数据页</x:v>
      </x:c>
      <x:c r="K132" s="9" t="str">
        <x:v>该日有效天标记为未达标</x:v>
      </x:c>
      <x:c r="L132" s="10" t="str"/>
      <x:c r="M132" s="10" t="str">
        <x:v>未测</x:v>
      </x:c>
      <x:c r="N132" s="10" t="str"/>
      <x:c r="O132" s="9" t="str">
        <x:v>1. 来源（当前证据）：liveshow-proto/MainBasis/统一需求文档.md；位置：REQ-27451eaf9055；行2956
2. 规则：BR-c30658381b6c095a
3. 未动态验证</x:v>
      </x:c>
    </x:row>
    <x:row r="133" ht="100" customHeight="1">
      <x:c r="A133" s="10" t="n">
        <x:v>132</x:v>
      </x:c>
      <x:c r="B133" s="10" t="str">
        <x:v>GUILD-02-0042</x:v>
      </x:c>
      <x:c r="C133" s="10" t="str">
        <x:v>主播管理</x:v>
      </x:c>
      <x:c r="D133" s="10" t="str">
        <x:v>主播数据（公会长视角）</x:v>
      </x:c>
      <x:c r="E133" s="10" t="str">
        <x:v>逻辑校验</x:v>
      </x:c>
      <x:c r="F133" s="10" t="str">
        <x:v>P1</x:v>
      </x:c>
      <x:c r="G133" s="9" t="str">
        <x:v>验证主播日累计180分钟有效天</x:v>
      </x:c>
      <x:c r="H133" s="9" t="str">
        <x:v>主播有效天边界</x:v>
      </x:c>
      <x:c r="I133" s="9" t="str">
        <x:v>1. 执行角色为公会长
2. 业务数据已准备且本页已打开；表单和筛选保持下列指定状态
3. 目标日有效直播累计180分钟</x:v>
      </x:c>
      <x:c r="J133" s="9" t="str">
        <x:v>1. 查看主播数据页</x:v>
      </x:c>
      <x:c r="K133" s="9" t="str">
        <x:v>该日有效天标记为达标</x:v>
      </x:c>
      <x:c r="L133" s="10" t="str"/>
      <x:c r="M133" s="10" t="str">
        <x:v>未测</x:v>
      </x:c>
      <x:c r="N133" s="10" t="str"/>
      <x:c r="O133" s="9" t="str">
        <x:v>1. 来源（当前证据）：liveshow-proto/MainBasis/统一需求文档.md；位置：REQ-27451eaf9055；行2956
2. 规则：BR-a16e219322195a2b
3. 未动态验证</x:v>
      </x:c>
    </x:row>
    <x:row r="134" ht="100" customHeight="1">
      <x:c r="A134" s="10" t="n">
        <x:v>133</x:v>
      </x:c>
      <x:c r="B134" s="10" t="str">
        <x:v>GUILD-02-0043</x:v>
      </x:c>
      <x:c r="C134" s="10" t="str">
        <x:v>主播管理</x:v>
      </x:c>
      <x:c r="D134" s="10" t="str">
        <x:v>主播数据（公会长视角）</x:v>
      </x:c>
      <x:c r="E134" s="10" t="str">
        <x:v>逻辑校验</x:v>
      </x:c>
      <x:c r="F134" s="10" t="str">
        <x:v>P1</x:v>
      </x:c>
      <x:c r="G134" s="9" t="str">
        <x:v>验证主播日累计181分钟有效天</x:v>
      </x:c>
      <x:c r="H134" s="9" t="str">
        <x:v>主播有效天边界</x:v>
      </x:c>
      <x:c r="I134" s="9" t="str">
        <x:v>1. 执行角色为公会长
2. 业务数据已准备且本页已打开；表单和筛选保持下列指定状态
3. 目标日有效直播累计181分钟</x:v>
      </x:c>
      <x:c r="J134" s="9" t="str">
        <x:v>1. 查看主播数据页</x:v>
      </x:c>
      <x:c r="K134" s="9" t="str">
        <x:v>该日有效天标记为达标</x:v>
      </x:c>
      <x:c r="L134" s="10" t="str"/>
      <x:c r="M134" s="10" t="str">
        <x:v>未测</x:v>
      </x:c>
      <x:c r="N134" s="10" t="str"/>
      <x:c r="O134" s="9" t="str">
        <x:v>1. 来源（当前证据）：liveshow-proto/MainBasis/统一需求文档.md；位置：REQ-27451eaf9055；行2956
2. 规则：BR-7845af3388d84382
3. 未动态验证</x:v>
      </x:c>
    </x:row>
    <x:row r="135" ht="85" customHeight="1">
      <x:c r="A135" s="10" t="n">
        <x:v>134</x:v>
      </x:c>
      <x:c r="B135" s="10" t="str">
        <x:v>GUILD-02-0044</x:v>
      </x:c>
      <x:c r="C135" s="10" t="str">
        <x:v>主播管理</x:v>
      </x:c>
      <x:c r="D135" s="10" t="str">
        <x:v>主播数据（公会长视角）</x:v>
      </x:c>
      <x:c r="E135" s="10" t="str">
        <x:v>功能需求</x:v>
      </x:c>
      <x:c r="F135" s="10" t="str">
        <x:v>P2</x:v>
      </x:c>
      <x:c r="G135" s="9" t="str">
        <x:v>验证主播月数据不出现未定义筛选</x:v>
      </x:c>
      <x:c r="H135" s="9" t="str">
        <x:v>主播月数据入口范围</x:v>
      </x:c>
      <x:c r="I135" s="9" t="str">
        <x:v>1. 执行角色为公会长</x:v>
      </x:c>
      <x:c r="J135" s="9" t="str">
        <x:v>1. 进入主播数据页
2. 切换月数据</x:v>
      </x:c>
      <x:c r="K135" s="9" t="str">
        <x:v>不显示月份筛选控件</x:v>
      </x:c>
      <x:c r="L135" s="10" t="str"/>
      <x:c r="M135" s="10" t="str">
        <x:v>未测</x:v>
      </x:c>
      <x:c r="N135" s="10" t="str"/>
      <x:c r="O135" s="9" t="str">
        <x:v>1. 来源（当前证据）：liveshow-proto/MainBasis/统一需求文档.md；位置：REQ-601776b12c53；行2950
2. 规则：BR-81fe7393a64e6a7c
3. 未动态验证</x:v>
      </x:c>
    </x:row>
    <x:row r="136" ht="100" customHeight="1">
      <x:c r="A136" s="10" t="n">
        <x:v>135</x:v>
      </x:c>
      <x:c r="B136" s="10" t="str">
        <x:v>GUILD-02-0045</x:v>
      </x:c>
      <x:c r="C136" s="10" t="str">
        <x:v>主播管理</x:v>
      </x:c>
      <x:c r="D136" s="10" t="str">
        <x:v>主播数据（公会长视角）</x:v>
      </x:c>
      <x:c r="E136" s="10" t="str">
        <x:v>功能需求</x:v>
      </x:c>
      <x:c r="F136" s="10" t="str">
        <x:v>P2</x:v>
      </x:c>
      <x:c r="G136" s="9" t="str">
        <x:v>验证主播月数据下钻直播记录</x:v>
      </x:c>
      <x:c r="H136" s="9" t="str">
        <x:v>主播月数据下钻条件</x:v>
      </x:c>
      <x:c r="I136" s="9" t="str">
        <x:v>1. 执行角色为公会长
2. 业务数据已准备且本页已打开；表单和筛选保持下列指定状态
3. 当前对象为主播甲，9月有数据</x:v>
      </x:c>
      <x:c r="J136" s="9" t="str">
        <x:v>1. 查看主播数据页
2. 切换月数据
3. 点击9月数据行</x:v>
      </x:c>
      <x:c r="K136" s="9" t="str">
        <x:v>直播记录按甲和9月筛选</x:v>
      </x:c>
      <x:c r="L136" s="10" t="str"/>
      <x:c r="M136" s="10" t="str">
        <x:v>未测</x:v>
      </x:c>
      <x:c r="N136" s="10" t="str"/>
      <x:c r="O136" s="9" t="str">
        <x:v>1. 来源（当前证据）：liveshow-proto/MainBasis/统一需求文档.md；位置：REQ-0a5f516ac158；行2962
2. 规则：BR-4cc040e34048cb42
3. 未动态验证</x:v>
      </x:c>
    </x:row>
    <x:row r="137" ht="100" customHeight="1">
      <x:c r="A137" s="10" t="n">
        <x:v>136</x:v>
      </x:c>
      <x:c r="B137" s="10" t="str">
        <x:v>GUILD-05-0001</x:v>
      </x:c>
      <x:c r="C137" s="10" t="str">
        <x:v>数据与收益</x:v>
      </x:c>
      <x:c r="D137" s="10" t="str">
        <x:v>直播记录（公会长视角）</x:v>
      </x:c>
      <x:c r="E137" s="10" t="str">
        <x:v>功能需求</x:v>
      </x:c>
      <x:c r="F137" s="10" t="str">
        <x:v>P2</x:v>
      </x:c>
      <x:c r="G137" s="9" t="str">
        <x:v>验证直播记录按开播先后排序</x:v>
      </x:c>
      <x:c r="H137" s="9" t="str">
        <x:v>公会直播记录顺序</x:v>
      </x:c>
      <x:c r="I137" s="9" t="str">
        <x:v>1. 执行角色为公会长
2. 业务数据已准备且本页已打开；表单和筛选保持下列指定状态
3. 同一日甲10点开播，乙12点开播</x:v>
      </x:c>
      <x:c r="J137" s="9" t="str">
        <x:v>1. 查看直播记录页</x:v>
      </x:c>
      <x:c r="K137" s="9" t="str">
        <x:v>12点场次排列在10点场次前</x:v>
      </x:c>
      <x:c r="L137" s="10" t="str"/>
      <x:c r="M137" s="10" t="str">
        <x:v>未测</x:v>
      </x:c>
      <x:c r="N137" s="10" t="str"/>
      <x:c r="O137" s="9" t="str">
        <x:v>1. 来源（当前证据）：liveshow-proto/MainBasis/统一需求文档.md；位置：REQ-27679ba94edc；行3273
2. 规则：BR-eb9b291c00f1acf3
3. 未动态验证</x:v>
      </x:c>
    </x:row>
    <x:row r="138" ht="85" customHeight="1">
      <x:c r="A138" s="10" t="n">
        <x:v>137</x:v>
      </x:c>
      <x:c r="B138" s="10" t="str">
        <x:v>GUILD-05-0002</x:v>
      </x:c>
      <x:c r="C138" s="10" t="str">
        <x:v>数据与收益</x:v>
      </x:c>
      <x:c r="D138" s="10" t="str">
        <x:v>直播记录（公会长视角）</x:v>
      </x:c>
      <x:c r="E138" s="10" t="str">
        <x:v>逻辑校验</x:v>
      </x:c>
      <x:c r="F138" s="10" t="str">
        <x:v>P1</x:v>
      </x:c>
      <x:c r="G138" s="9" t="str">
        <x:v>验证直播观众重复进入去重</x:v>
      </x:c>
      <x:c r="H138" s="9" t="str">
        <x:v>场次观众去重</x:v>
      </x:c>
      <x:c r="I138" s="9" t="str">
        <x:v>1. 执行角色为公会长
2. 业务数据已准备且本页已打开；表单和筛选保持下列指定状态
3. 用户甲进出3次、乙进入1次</x:v>
      </x:c>
      <x:c r="J138" s="9" t="str">
        <x:v>1. 查看直播记录页</x:v>
      </x:c>
      <x:c r="K138" s="9" t="str">
        <x:v>该场次观众显示2人</x:v>
      </x:c>
      <x:c r="L138" s="10" t="str"/>
      <x:c r="M138" s="10" t="str">
        <x:v>未测</x:v>
      </x:c>
      <x:c r="N138" s="10" t="str"/>
      <x:c r="O138" s="9" t="str">
        <x:v>1. 来源（当前证据）：liveshow-proto/MainBasis/统一需求文档.md；位置：REQ-4f9b330976db；行3279
2. 规则：BR-7ef0550b2cbf2f9e
3. 未动态验证</x:v>
      </x:c>
    </x:row>
    <x:row r="139" ht="100" customHeight="1">
      <x:c r="A139" s="10" t="n">
        <x:v>138</x:v>
      </x:c>
      <x:c r="B139" s="10" t="str">
        <x:v>GUILD-05-0003</x:v>
      </x:c>
      <x:c r="C139" s="10" t="str">
        <x:v>数据与收益</x:v>
      </x:c>
      <x:c r="D139" s="10" t="str">
        <x:v>直播记录（公会长视角）</x:v>
      </x:c>
      <x:c r="E139" s="10" t="str">
        <x:v>逻辑校验</x:v>
      </x:c>
      <x:c r="F139" s="10" t="str">
        <x:v>P1</x:v>
      </x:c>
      <x:c r="G139" s="9" t="str">
        <x:v>验证场次收礼数量按件统计</x:v>
      </x:c>
      <x:c r="H139" s="9" t="str">
        <x:v>场次收礼件数</x:v>
      </x:c>
      <x:c r="I139" s="9" t="str">
        <x:v>1. 执行角色为公会长
2. 业务数据已准备且本页已打开；表单和筛选保持下列指定状态
3. 2名用户分别送10件和20件礼物</x:v>
      </x:c>
      <x:c r="J139" s="9" t="str">
        <x:v>1. 查看直播记录页</x:v>
      </x:c>
      <x:c r="K139" s="9" t="str">
        <x:v>该场次收礼数量显示30件</x:v>
      </x:c>
      <x:c r="L139" s="10" t="str"/>
      <x:c r="M139" s="10" t="str">
        <x:v>未测</x:v>
      </x:c>
      <x:c r="N139" s="10" t="str"/>
      <x:c r="O139" s="9" t="str">
        <x:v>1. 来源（当前证据）：liveshow-proto/MainBasis/统一需求文档.md；位置：REQ-b0dd1ad499ca；行3281
2. 规则：BR-86f3dbefdcff64fe
3. 未动态验证</x:v>
      </x:c>
    </x:row>
    <x:row r="140" ht="100" customHeight="1">
      <x:c r="A140" s="10" t="n">
        <x:v>139</x:v>
      </x:c>
      <x:c r="B140" s="10" t="str">
        <x:v>GUILD-05-0004</x:v>
      </x:c>
      <x:c r="C140" s="10" t="str">
        <x:v>数据与收益</x:v>
      </x:c>
      <x:c r="D140" s="10" t="str">
        <x:v>直播记录（公会长视角）</x:v>
      </x:c>
      <x:c r="E140" s="10" t="str">
        <x:v>逻辑校验</x:v>
      </x:c>
      <x:c r="F140" s="10" t="str">
        <x:v>P1</x:v>
      </x:c>
      <x:c r="G140" s="9" t="str">
        <x:v>验证同一主播重复开播保留不同场次</x:v>
      </x:c>
      <x:c r="H140" s="9" t="str">
        <x:v>公会直播场次区分</x:v>
      </x:c>
      <x:c r="I140" s="9" t="str">
        <x:v>1. 执行角色为公会长
2. 业务数据已准备且本页已打开；表单和筛选保持下列指定状态
3. 同一主播同日先后开播2次，第一次已结束</x:v>
      </x:c>
      <x:c r="J140" s="9" t="str">
        <x:v>1. 查看直播记录页</x:v>
      </x:c>
      <x:c r="K140" s="9" t="str">
        <x:v>列表保留两条不同场次记录</x:v>
      </x:c>
      <x:c r="L140" s="10" t="str"/>
      <x:c r="M140" s="10" t="str">
        <x:v>未测</x:v>
      </x:c>
      <x:c r="N140" s="10" t="str"/>
      <x:c r="O140" s="9" t="str">
        <x:v>1. 来源（当前证据）：liveshow-proto/MainBasis/统一需求文档.md；位置：REQ-a5a3a5ccbbb6；行3289
2. 规则：BR-9787f89dba335c35
3. 未动态验证</x:v>
      </x:c>
    </x:row>
    <x:row r="141" ht="100" customHeight="1">
      <x:c r="A141" s="10" t="n">
        <x:v>140</x:v>
      </x:c>
      <x:c r="B141" s="10" t="str">
        <x:v>GUILD-05-0005</x:v>
      </x:c>
      <x:c r="C141" s="10" t="str">
        <x:v>数据与收益</x:v>
      </x:c>
      <x:c r="D141" s="10" t="str">
        <x:v>直播记录（公会长视角）</x:v>
      </x:c>
      <x:c r="E141" s="10" t="str">
        <x:v>功能需求</x:v>
      </x:c>
      <x:c r="F141" s="10" t="str">
        <x:v>P2</x:v>
      </x:c>
      <x:c r="G141" s="9" t="str">
        <x:v>验证直播场次下钻绑定正确对象</x:v>
      </x:c>
      <x:c r="H141" s="9" t="str">
        <x:v>公会场次详情定位</x:v>
      </x:c>
      <x:c r="I141" s="9" t="str">
        <x:v>1. 执行角色为公会长
2. 业务数据已准备且本页已打开；表单和筛选保持下列指定状态
3. 列表含同主播同日两场记录A和B</x:v>
      </x:c>
      <x:c r="J141" s="9" t="str">
        <x:v>1. 查看直播记录页
2. 点击场次B</x:v>
      </x:c>
      <x:c r="K141" s="9" t="str">
        <x:v>详情显示场次B的ID</x:v>
      </x:c>
      <x:c r="L141" s="10" t="str"/>
      <x:c r="M141" s="10" t="str">
        <x:v>未测</x:v>
      </x:c>
      <x:c r="N141" s="10" t="str"/>
      <x:c r="O141" s="9" t="str">
        <x:v>1. 来源（当前证据）：liveshow-proto/MainBasis/统一需求文档.md；位置：REQ-26d51d07b374；行3291
2. 规则：BR-875bea5aa1419ae3
3. 未动态验证</x:v>
      </x:c>
    </x:row>
    <x:row r="142" ht="100" customHeight="1">
      <x:c r="A142" s="10" t="n">
        <x:v>141</x:v>
      </x:c>
      <x:c r="B142" s="10" t="str">
        <x:v>GUILD-05-0006</x:v>
      </x:c>
      <x:c r="C142" s="10" t="str">
        <x:v>数据与收益</x:v>
      </x:c>
      <x:c r="D142" s="10" t="str">
        <x:v>直播场次详情（公会长视角）</x:v>
      </x:c>
      <x:c r="E142" s="10" t="str">
        <x:v>逻辑校验</x:v>
      </x:c>
      <x:c r="F142" s="10" t="str">
        <x:v>P1</x:v>
      </x:c>
      <x:c r="G142" s="9" t="str">
        <x:v>验证同一用户多笔送礼去重</x:v>
      </x:c>
      <x:c r="H142" s="9" t="str">
        <x:v>场次送礼观众人数</x:v>
      </x:c>
      <x:c r="I142" s="9" t="str">
        <x:v>1. 执行角色为公会长
2. 业务数据已准备且本页已打开；表单和筛选保持下列指定状态
3. 甲成功送礼2笔、乙1笔、丙失败1笔</x:v>
      </x:c>
      <x:c r="J142" s="9" t="str">
        <x:v>1. 查看直播场次详情页</x:v>
      </x:c>
      <x:c r="K142" s="9" t="str">
        <x:v>送礼观众显示2人</x:v>
      </x:c>
      <x:c r="L142" s="10" t="str"/>
      <x:c r="M142" s="10" t="str">
        <x:v>未测</x:v>
      </x:c>
      <x:c r="N142" s="10" t="str"/>
      <x:c r="O142" s="9" t="str">
        <x:v>1. 来源（当前证据）：liveshow-proto/MainBasis/统一需求文档.md；位置：REQ-7d068e075206；行3326
2. 规则：BR-299929edeab00992
3. 未动态验证</x:v>
      </x:c>
    </x:row>
    <x:row r="143" ht="100" customHeight="1">
      <x:c r="A143" s="10" t="n">
        <x:v>142</x:v>
      </x:c>
      <x:c r="B143" s="10" t="str">
        <x:v>GUILD-05-0007</x:v>
      </x:c>
      <x:c r="C143" s="10" t="str">
        <x:v>数据与收益</x:v>
      </x:c>
      <x:c r="D143" s="10" t="str">
        <x:v>直播场次详情（公会长视角）</x:v>
      </x:c>
      <x:c r="E143" s="10" t="str">
        <x:v>逻辑校验</x:v>
      </x:c>
      <x:c r="F143" s="10" t="str">
        <x:v>P1</x:v>
      </x:c>
      <x:c r="G143" s="9" t="str">
        <x:v>验证普通礼物和定制礼物计入主播收益</x:v>
      </x:c>
      <x:c r="H143" s="9" t="str">
        <x:v>公会查看普通定制收益</x:v>
      </x:c>
      <x:c r="I143" s="9" t="str">
        <x:v>1. 执行角色为公会长
2. 业务数据已准备且本页已打开；表单和筛选保持下列指定状态
3. 该场仅普通礼物实际消费100金币、定制礼物200金币</x:v>
      </x:c>
      <x:c r="J143" s="9" t="str">
        <x:v>1. 查看直播场次详情页</x:v>
      </x:c>
      <x:c r="K143" s="9" t="str">
        <x:v>礼物收益 = 300</x:v>
      </x:c>
      <x:c r="L143" s="10" t="str"/>
      <x:c r="M143" s="10" t="str">
        <x:v>未测</x:v>
      </x:c>
      <x:c r="N143" s="10" t="str"/>
      <x:c r="O143" s="9" t="str">
        <x:v>1. 来源（当前证据）：liveshow-proto/MainBasis/统一需求文档.md；位置：REQ-50afce4f563f；行3332
2. 规则：BR-056dcdd45ecfba44
3. 未动态验证</x:v>
      </x:c>
    </x:row>
    <x:row r="144" ht="115" customHeight="1">
      <x:c r="A144" s="10" t="n">
        <x:v>143</x:v>
      </x:c>
      <x:c r="B144" s="10" t="str">
        <x:v>GUILD-05-0008</x:v>
      </x:c>
      <x:c r="C144" s="10" t="str">
        <x:v>数据与收益</x:v>
      </x:c>
      <x:c r="D144" s="10" t="str">
        <x:v>直播场次详情（公会长视角）</x:v>
      </x:c>
      <x:c r="E144" s="10" t="str">
        <x:v>逻辑校验</x:v>
      </x:c>
      <x:c r="F144" s="10" t="str">
        <x:v>P1</x:v>
      </x:c>
      <x:c r="G144" s="9" t="str">
        <x:v>验证幸运礼物返奖0时主播收益</x:v>
      </x:c>
      <x:c r="H144" s="9" t="str">
        <x:v>公会查看幸运礼物收益</x:v>
      </x:c>
      <x:c r="I144" s="9" t="str">
        <x:v>1. 执行角色为公会长
2. 业务数据已准备且本页已打开；表单和筛选保持下列指定状态
3. 本场仅一笔幸运礼物价值1000金币，快照比例1%，返奖0金币</x:v>
      </x:c>
      <x:c r="J144" s="9" t="str">
        <x:v>1. 查看直播场次详情页</x:v>
      </x:c>
      <x:c r="K144" s="9" t="str">
        <x:v>礼物收益 = 10</x:v>
      </x:c>
      <x:c r="L144" s="10" t="str"/>
      <x:c r="M144" s="10" t="str">
        <x:v>未测</x:v>
      </x:c>
      <x:c r="N144" s="10" t="str"/>
      <x:c r="O144" s="9" t="str">
        <x:v>1. 来源（当前证据）：liveshow-proto/MainBasis/统一需求文档.md；位置：REQ-50afce4f563f；行3332
2. 规则：BR-f43f6f2ffb2af5d2
3. 未动态验证</x:v>
      </x:c>
    </x:row>
    <x:row r="145" ht="115" customHeight="1">
      <x:c r="A145" s="10" t="n">
        <x:v>144</x:v>
      </x:c>
      <x:c r="B145" s="10" t="str">
        <x:v>GUILD-05-0009</x:v>
      </x:c>
      <x:c r="C145" s="10" t="str">
        <x:v>数据与收益</x:v>
      </x:c>
      <x:c r="D145" s="10" t="str">
        <x:v>直播场次详情（公会长视角）</x:v>
      </x:c>
      <x:c r="E145" s="10" t="str">
        <x:v>逻辑校验</x:v>
      </x:c>
      <x:c r="F145" s="10" t="str">
        <x:v>P1</x:v>
      </x:c>
      <x:c r="G145" s="9" t="str">
        <x:v>验证幸运礼物返奖1000时主播收益</x:v>
      </x:c>
      <x:c r="H145" s="9" t="str">
        <x:v>公会查看幸运礼物收益</x:v>
      </x:c>
      <x:c r="I145" s="9" t="str">
        <x:v>1. 执行角色为公会长
2. 业务数据已准备且本页已打开；表单和筛选保持下列指定状态
3. 本场仅一笔幸运礼物价值1000金币，快照比例1%，返奖1000金币</x:v>
      </x:c>
      <x:c r="J145" s="9" t="str">
        <x:v>1. 查看直播场次详情页</x:v>
      </x:c>
      <x:c r="K145" s="9" t="str">
        <x:v>礼物收益 = 10</x:v>
      </x:c>
      <x:c r="L145" s="10" t="str"/>
      <x:c r="M145" s="10" t="str">
        <x:v>未测</x:v>
      </x:c>
      <x:c r="N145" s="10" t="str"/>
      <x:c r="O145" s="9" t="str">
        <x:v>1. 来源（当前证据）：liveshow-proto/MainBasis/统一需求文档.md；位置：REQ-50afce4f563f；行3332
2. 规则：BR-31ae94c5fd0e38c9
3. 未动态验证</x:v>
      </x:c>
    </x:row>
    <x:row r="146" ht="100" customHeight="1">
      <x:c r="A146" s="10" t="n">
        <x:v>145</x:v>
      </x:c>
      <x:c r="B146" s="10" t="str">
        <x:v>GUILD-05-0010</x:v>
      </x:c>
      <x:c r="C146" s="10" t="str">
        <x:v>数据与收益</x:v>
      </x:c>
      <x:c r="D146" s="10" t="str">
        <x:v>直播场次详情（公会长视角）</x:v>
      </x:c>
      <x:c r="E146" s="10" t="str">
        <x:v>逻辑校验</x:v>
      </x:c>
      <x:c r="F146" s="10" t="str">
        <x:v>P1</x:v>
      </x:c>
      <x:c r="G146" s="9" t="str">
        <x:v>验证运营赠礼不增加主播收益</x:v>
      </x:c>
      <x:c r="H146" s="9" t="str">
        <x:v>公会查看运营赠礼收益</x:v>
      </x:c>
      <x:c r="I146" s="9" t="str">
        <x:v>1. 执行角色为公会长
2. 业务数据已准备且本页已打开；表单和筛选保持下列指定状态
3. 该场仅运营账号成功送出1000虚拟金币礼物</x:v>
      </x:c>
      <x:c r="J146" s="9" t="str">
        <x:v>1. 查看直播场次详情页</x:v>
      </x:c>
      <x:c r="K146" s="9" t="str">
        <x:v>礼物收益显示0金币</x:v>
      </x:c>
      <x:c r="L146" s="10" t="str"/>
      <x:c r="M146" s="10" t="str">
        <x:v>未测</x:v>
      </x:c>
      <x:c r="N146" s="10" t="str"/>
      <x:c r="O146" s="9" t="str">
        <x:v>1. 来源（当前证据）：liveshow-proto/MainBasis/统一需求文档.md；位置：REQ-b409f84ccf77；行3334
2. 规则：BR-0b38889265e0ead9
3. 未动态验证</x:v>
      </x:c>
    </x:row>
    <x:row r="147" ht="100" customHeight="1">
      <x:c r="A147" s="10" t="n">
        <x:v>146</x:v>
      </x:c>
      <x:c r="B147" s="10" t="str">
        <x:v>GUILD-05-0011</x:v>
      </x:c>
      <x:c r="C147" s="10" t="str">
        <x:v>数据与收益</x:v>
      </x:c>
      <x:c r="D147" s="10" t="str">
        <x:v>直播场次详情（公会长视角）</x:v>
      </x:c>
      <x:c r="E147" s="10" t="str">
        <x:v>功能需求</x:v>
      </x:c>
      <x:c r="F147" s="10" t="str">
        <x:v>P2</x:v>
      </x:c>
      <x:c r="G147" s="9" t="str">
        <x:v>验证场次详情返回保留筛选</x:v>
      </x:c>
      <x:c r="H147" s="9" t="str">
        <x:v>公会直播记录返回筛选</x:v>
      </x:c>
      <x:c r="I147" s="9" t="str">
        <x:v>1. 执行角色为公会长
2. 业务数据已准备且本页已打开；表单和筛选保持下列指定状态
3. 列表已按主播甲和9月15日筛选</x:v>
      </x:c>
      <x:c r="J147" s="9" t="str">
        <x:v>1. 查看直播场次详情页
2. 返回直播记录</x:v>
      </x:c>
      <x:c r="K147" s="9" t="str">
        <x:v>筛选仍为主播甲和9月15日</x:v>
      </x:c>
      <x:c r="L147" s="10" t="str"/>
      <x:c r="M147" s="10" t="str">
        <x:v>未测</x:v>
      </x:c>
      <x:c r="N147" s="10" t="str"/>
      <x:c r="O147" s="9" t="str">
        <x:v>1. 来源（当前证据）：liveshow-proto/MainBasis/统一需求文档.md；位置：REQ-9714708419d5；行3336
2. 规则：BR-9f874d0a95145c16
3. 未动态验证</x:v>
      </x:c>
    </x:row>
    <x:row r="148" ht="100" customHeight="1">
      <x:c r="A148" s="10" t="n">
        <x:v>147</x:v>
      </x:c>
      <x:c r="B148" s="10" t="str">
        <x:v>GUILD-05-0012</x:v>
      </x:c>
      <x:c r="C148" s="10" t="str">
        <x:v>数据与收益</x:v>
      </x:c>
      <x:c r="D148" s="10" t="str">
        <x:v>公会业绩（公会长视角）</x:v>
      </x:c>
      <x:c r="E148" s="10" t="str">
        <x:v>逻辑校验</x:v>
      </x:c>
      <x:c r="F148" s="10" t="str">
        <x:v>P1</x:v>
      </x:c>
      <x:c r="G148" s="9" t="str">
        <x:v>验证日数据跨日期统计去重开播人数</x:v>
      </x:c>
      <x:c r="H148" s="9" t="str">
        <x:v>公会日数据开播去重</x:v>
      </x:c>
      <x:c r="I148" s="9" t="str">
        <x:v>1. 执行角色为公会长
2. 业务数据已准备且本页已打开；表单和筛选保持下列指定状态
3. 选中范围内首日甲乙开播、次日乙丙开播，无其他开播主播</x:v>
      </x:c>
      <x:c r="J148" s="9" t="str">
        <x:v>1. 查看公会业绩页
2. 切换日数据</x:v>
      </x:c>
      <x:c r="K148" s="9" t="str">
        <x:v>开播人数显示3</x:v>
      </x:c>
      <x:c r="L148" s="10" t="str"/>
      <x:c r="M148" s="10" t="str">
        <x:v>未测</x:v>
      </x:c>
      <x:c r="N148" s="10" t="str"/>
      <x:c r="O148" s="9" t="str">
        <x:v>1. 来源（当前证据）：liveshow-proto/MainBasis/统一需求文档.md；位置：REQ-024f8f36e810；行3388、REQ-646b45ea7bb0；行3396
2. 规则：BR-2f51fd8fabc82d39
3. 未动态验证</x:v>
      </x:c>
    </x:row>
    <x:row r="149" ht="100" customHeight="1">
      <x:c r="A149" s="10" t="n">
        <x:v>148</x:v>
      </x:c>
      <x:c r="B149" s="10" t="str">
        <x:v>GUILD-05-0013</x:v>
      </x:c>
      <x:c r="C149" s="10" t="str">
        <x:v>数据与收益</x:v>
      </x:c>
      <x:c r="D149" s="10" t="str">
        <x:v>公会业绩（公会长视角）</x:v>
      </x:c>
      <x:c r="E149" s="10" t="str">
        <x:v>逻辑校验</x:v>
      </x:c>
      <x:c r="F149" s="10" t="str">
        <x:v>P1</x:v>
      </x:c>
      <x:c r="G149" s="9" t="str">
        <x:v>验证日数据累计主播有效天</x:v>
      </x:c>
      <x:c r="H149" s="9" t="str">
        <x:v>公会日数据有效天统计</x:v>
      </x:c>
      <x:c r="I149" s="9" t="str">
        <x:v>1. 执行角色为公会长
2. 业务数据已准备且本页已打开；表单和筛选保持下列指定状态
3. 范围内甲2个有效天、乙3个有效天</x:v>
      </x:c>
      <x:c r="J149" s="9" t="str">
        <x:v>1. 查看公会业绩页
2. 切换日数据</x:v>
      </x:c>
      <x:c r="K149" s="9" t="str">
        <x:v>达成有效天显示5天</x:v>
      </x:c>
      <x:c r="L149" s="10" t="str"/>
      <x:c r="M149" s="10" t="str">
        <x:v>未测</x:v>
      </x:c>
      <x:c r="N149" s="10" t="str"/>
      <x:c r="O149" s="9" t="str">
        <x:v>1. 来源（当前证据）：liveshow-proto/MainBasis/统一需求文档.md；位置：REQ-9ed85696f36b；行3390、REQ-91e61389b432；行3398
2. 规则：BR-50cdf4a023abb53c
3. 未动态验证</x:v>
      </x:c>
    </x:row>
    <x:row r="150" ht="100" customHeight="1">
      <x:c r="A150" s="10" t="n">
        <x:v>149</x:v>
      </x:c>
      <x:c r="B150" s="10" t="str">
        <x:v>GUILD-05-0014</x:v>
      </x:c>
      <x:c r="C150" s="10" t="str">
        <x:v>数据与收益</x:v>
      </x:c>
      <x:c r="D150" s="10" t="str">
        <x:v>公会业绩（公会长视角）</x:v>
      </x:c>
      <x:c r="E150" s="10" t="str">
        <x:v>逻辑校验</x:v>
      </x:c>
      <x:c r="F150" s="10" t="str">
        <x:v>P1</x:v>
      </x:c>
      <x:c r="G150" s="9" t="str">
        <x:v>验证月数据跨日期统计去重开播人数</x:v>
      </x:c>
      <x:c r="H150" s="9" t="str">
        <x:v>公会月数据开播去重</x:v>
      </x:c>
      <x:c r="I150" s="9" t="str">
        <x:v>1. 执行角色为公会长
2. 业务数据已准备且本页已打开；表单和筛选保持下列指定状态
3. 选中范围内首日甲乙开播、次日乙丙开播，无其他开播主播</x:v>
      </x:c>
      <x:c r="J150" s="9" t="str">
        <x:v>1. 查看公会业绩页
2. 切换月数据</x:v>
      </x:c>
      <x:c r="K150" s="9" t="str">
        <x:v>开播人数显示3</x:v>
      </x:c>
      <x:c r="L150" s="10" t="str"/>
      <x:c r="M150" s="10" t="str">
        <x:v>未测</x:v>
      </x:c>
      <x:c r="N150" s="10" t="str"/>
      <x:c r="O150" s="9" t="str">
        <x:v>1. 来源（当前证据）：liveshow-proto/MainBasis/统一需求文档.md；位置：REQ-024f8f36e810；行3388、REQ-646b45ea7bb0；行3396
2. 规则：BR-b3237d1bc9be544b
3. 未动态验证</x:v>
      </x:c>
    </x:row>
    <x:row r="151" ht="100" customHeight="1">
      <x:c r="A151" s="10" t="n">
        <x:v>150</x:v>
      </x:c>
      <x:c r="B151" s="10" t="str">
        <x:v>GUILD-05-0015</x:v>
      </x:c>
      <x:c r="C151" s="10" t="str">
        <x:v>数据与收益</x:v>
      </x:c>
      <x:c r="D151" s="10" t="str">
        <x:v>公会业绩（公会长视角）</x:v>
      </x:c>
      <x:c r="E151" s="10" t="str">
        <x:v>逻辑校验</x:v>
      </x:c>
      <x:c r="F151" s="10" t="str">
        <x:v>P1</x:v>
      </x:c>
      <x:c r="G151" s="9" t="str">
        <x:v>验证月数据累计主播有效天</x:v>
      </x:c>
      <x:c r="H151" s="9" t="str">
        <x:v>公会月数据有效天统计</x:v>
      </x:c>
      <x:c r="I151" s="9" t="str">
        <x:v>1. 执行角色为公会长
2. 业务数据已准备且本页已打开；表单和筛选保持下列指定状态
3. 范围内甲2个有效天、乙3个有效天</x:v>
      </x:c>
      <x:c r="J151" s="9" t="str">
        <x:v>1. 查看公会业绩页
2. 切换月数据</x:v>
      </x:c>
      <x:c r="K151" s="9" t="str">
        <x:v>达成有效天显示5天</x:v>
      </x:c>
      <x:c r="L151" s="10" t="str"/>
      <x:c r="M151" s="10" t="str">
        <x:v>未测</x:v>
      </x:c>
      <x:c r="N151" s="10" t="str"/>
      <x:c r="O151" s="9" t="str">
        <x:v>1. 来源（当前证据）：liveshow-proto/MainBasis/统一需求文档.md；位置：REQ-9ed85696f36b；行3390、REQ-91e61389b432；行3398
2. 规则：BR-cc61b9b102c8b55f
3. 未动态验证</x:v>
      </x:c>
    </x:row>
    <x:row r="152" ht="100" customHeight="1">
      <x:c r="A152" s="10" t="n">
        <x:v>151</x:v>
      </x:c>
      <x:c r="B152" s="10" t="str">
        <x:v>GUILD-05-0016</x:v>
      </x:c>
      <x:c r="C152" s="10" t="str">
        <x:v>数据与收益</x:v>
      </x:c>
      <x:c r="D152" s="10" t="str">
        <x:v>公会业绩（公会长视角）</x:v>
      </x:c>
      <x:c r="E152" s="10" t="str">
        <x:v>逻辑校验</x:v>
      </x:c>
      <x:c r="F152" s="10" t="str">
        <x:v>P1</x:v>
      </x:c>
      <x:c r="G152" s="9" t="str">
        <x:v>验证公会月业绩按所选月份统计</x:v>
      </x:c>
      <x:c r="H152" s="9" t="str">
        <x:v>公会月份过滤</x:v>
      </x:c>
      <x:c r="I152" s="9" t="str">
        <x:v>1. 执行角色为公会长
2. 业务数据已准备且本页已打开；表单和筛选保持下列指定状态
3. 本月收益100金币，上月200金币，去年1000金币</x:v>
      </x:c>
      <x:c r="J152" s="9" t="str">
        <x:v>1. 查看公会业绩页
2. 切换月数据
3. 选择自定义月份为本月</x:v>
      </x:c>
      <x:c r="K152" s="9" t="str">
        <x:v>公会收益显示100金币</x:v>
      </x:c>
      <x:c r="L152" s="10" t="str"/>
      <x:c r="M152" s="10" t="str">
        <x:v>未测</x:v>
      </x:c>
      <x:c r="N152" s="10" t="str"/>
      <x:c r="O152" s="9" t="str">
        <x:v>1. 来源（当前证据）：liveshow-proto/MainBasis/统一需求文档.md；位置：REQ-1c1f3cfd5125；行3368
2. 规则：BR-e4f3c1169aacce6b
3. 未动态验证</x:v>
      </x:c>
    </x:row>
    <x:row r="153" ht="85" customHeight="1">
      <x:c r="A153" s="10" t="n">
        <x:v>152</x:v>
      </x:c>
      <x:c r="B153" s="10" t="str">
        <x:v>GUILD-05-0017</x:v>
      </x:c>
      <x:c r="C153" s="10" t="str">
        <x:v>数据与收益</x:v>
      </x:c>
      <x:c r="D153" s="10" t="str">
        <x:v>公会业绩（公会长视角）</x:v>
      </x:c>
      <x:c r="E153" s="10" t="str">
        <x:v>功能需求</x:v>
      </x:c>
      <x:c r="F153" s="10" t="str">
        <x:v>P2</x:v>
      </x:c>
      <x:c r="G153" s="9" t="str">
        <x:v>验证公会日业绩下钻主播业绩</x:v>
      </x:c>
      <x:c r="H153" s="9" t="str">
        <x:v>公会日业绩下钻日期</x:v>
      </x:c>
      <x:c r="I153" s="9" t="str">
        <x:v>1. 执行角色为公会长
2. 业务数据已准备且本页已打开；表单和筛选保持下列指定状态
3. 日数据存在9月15日记录</x:v>
      </x:c>
      <x:c r="J153" s="9" t="str">
        <x:v>1. 查看公会业绩页
2. 点击9月15日数据行</x:v>
      </x:c>
      <x:c r="K153" s="9" t="str">
        <x:v>主播业绩筛选日期为9月15日</x:v>
      </x:c>
      <x:c r="L153" s="10" t="str"/>
      <x:c r="M153" s="10" t="str">
        <x:v>未测</x:v>
      </x:c>
      <x:c r="N153" s="10" t="str"/>
      <x:c r="O153" s="9" t="str">
        <x:v>1. 来源（当前证据）：liveshow-proto/MainBasis/统一需求文档.md；位置：REQ-b4a379f3681c；行3402
2. 规则：BR-95aeed264bfcb7bd
3. 未动态验证</x:v>
      </x:c>
    </x:row>
    <x:row r="154" ht="85" customHeight="1">
      <x:c r="A154" s="10" t="n">
        <x:v>153</x:v>
      </x:c>
      <x:c r="B154" s="10" t="str">
        <x:v>GUILD-05-0018</x:v>
      </x:c>
      <x:c r="C154" s="10" t="str">
        <x:v>数据与收益</x:v>
      </x:c>
      <x:c r="D154" s="10" t="str">
        <x:v>每日（公会长视角）</x:v>
      </x:c>
      <x:c r="E154" s="10" t="str">
        <x:v>功能需求</x:v>
      </x:c>
      <x:c r="F154" s="10" t="str">
        <x:v>P2</x:v>
      </x:c>
      <x:c r="G154" s="9" t="str">
        <x:v>验证已开播主播按收益排序</x:v>
      </x:c>
      <x:c r="H154" s="9" t="str">
        <x:v>当日主播收益排序</x:v>
      </x:c>
      <x:c r="I154" s="9" t="str">
        <x:v>1. 执行角色为公会长
2. 业务数据已准备且本页已打开；表单和筛选保持下列指定状态
3. 甲收益100金币、乙200金币</x:v>
      </x:c>
      <x:c r="J154" s="9" t="str">
        <x:v>1. 查看每日页
2. 切换已开播</x:v>
      </x:c>
      <x:c r="K154" s="9" t="str">
        <x:v>乙排列在甲之前</x:v>
      </x:c>
      <x:c r="L154" s="10" t="str"/>
      <x:c r="M154" s="10" t="str">
        <x:v>未测</x:v>
      </x:c>
      <x:c r="N154" s="10" t="str"/>
      <x:c r="O154" s="9" t="str">
        <x:v>1. 来源（当前证据）：liveshow-proto/MainBasis/统一需求文档.md；位置：REQ-7f4dbabfcda9；行3411
2. 规则：BR-6bd756ec946471b5
3. 未动态验证</x:v>
      </x:c>
    </x:row>
    <x:row r="155" ht="100" customHeight="1">
      <x:c r="A155" s="10" t="n">
        <x:v>154</x:v>
      </x:c>
      <x:c r="B155" s="10" t="str">
        <x:v>GUILD-05-0019</x:v>
      </x:c>
      <x:c r="C155" s="10" t="str">
        <x:v>数据与收益</x:v>
      </x:c>
      <x:c r="D155" s="10" t="str">
        <x:v>每日（公会长视角）</x:v>
      </x:c>
      <x:c r="E155" s="10" t="str">
        <x:v>逻辑校验</x:v>
      </x:c>
      <x:c r="F155" s="10" t="str">
        <x:v>P1</x:v>
      </x:c>
      <x:c r="G155" s="9" t="str">
        <x:v>验证历史每日页直播中统计历史开播</x:v>
      </x:c>
      <x:c r="H155" s="9" t="str">
        <x:v>历史日期开播人数</x:v>
      </x:c>
      <x:c r="I155" s="9" t="str">
        <x:v>1. 执行角色为公会长
2. 业务数据已准备且本页已打开；表单和筛选保持下列指定状态
3. 历史日甲乙开播，当前只有丙在播</x:v>
      </x:c>
      <x:c r="J155" s="9" t="str">
        <x:v>1. 查看每日页</x:v>
      </x:c>
      <x:c r="K155" s="9" t="str">
        <x:v>直播中显示2人</x:v>
      </x:c>
      <x:c r="L155" s="10" t="str"/>
      <x:c r="M155" s="10" t="str">
        <x:v>未测</x:v>
      </x:c>
      <x:c r="N155" s="10" t="str"/>
      <x:c r="O155" s="9" t="str">
        <x:v>1. 来源（当前证据）：liveshow-proto/MainBasis/统一需求文档.md；位置：REQ-7e73bff3ce0c；行3425
2. 规则：BR-841b9078103dbc35
3. 未动态验证</x:v>
      </x:c>
    </x:row>
    <x:row r="156" ht="85" customHeight="1">
      <x:c r="A156" s="10" t="n">
        <x:v>155</x:v>
      </x:c>
      <x:c r="B156" s="10" t="str">
        <x:v>GUILD-05-0020</x:v>
      </x:c>
      <x:c r="C156" s="10" t="str">
        <x:v>数据与收益</x:v>
      </x:c>
      <x:c r="D156" s="10" t="str">
        <x:v>每日（公会长视角）</x:v>
      </x:c>
      <x:c r="E156" s="10" t="str">
        <x:v>功能需求</x:v>
      </x:c>
      <x:c r="F156" s="10" t="str">
        <x:v>P2</x:v>
      </x:c>
      <x:c r="G156" s="9" t="str">
        <x:v>验证未开播列表不显示虚构收益</x:v>
      </x:c>
      <x:c r="H156" s="9" t="str">
        <x:v>未开播主播业绩展示</x:v>
      </x:c>
      <x:c r="I156" s="9" t="str">
        <x:v>1. 执行角色为公会长
2. 业务数据已准备且本页已打开；表单和筛选保持下列指定状态
3. 主播甲目标日未开播</x:v>
      </x:c>
      <x:c r="J156" s="9" t="str">
        <x:v>1. 查看每日页
2. 切换未开播</x:v>
      </x:c>
      <x:c r="K156" s="9" t="str">
        <x:v>甲不显示当日业绩</x:v>
      </x:c>
      <x:c r="L156" s="10" t="str"/>
      <x:c r="M156" s="10" t="str">
        <x:v>未测</x:v>
      </x:c>
      <x:c r="N156" s="10" t="str"/>
      <x:c r="O156" s="9" t="str">
        <x:v>1. 来源（当前证据）：liveshow-proto/MainBasis/统一需求文档.md；位置：REQ-6359ffa4e7fc；行3421
2. 规则：BR-c9238ce045161a8f
3. 未动态验证</x:v>
      </x:c>
    </x:row>
    <x:row r="157" ht="85" customHeight="1">
      <x:c r="A157" s="10" t="n">
        <x:v>156</x:v>
      </x:c>
      <x:c r="B157" s="10" t="str">
        <x:v>GUILD-05-0021</x:v>
      </x:c>
      <x:c r="C157" s="10" t="str">
        <x:v>数据与收益</x:v>
      </x:c>
      <x:c r="D157" s="10" t="str">
        <x:v>违规记录（公会长视角）</x:v>
      </x:c>
      <x:c r="E157" s="10" t="str">
        <x:v>逻辑校验</x:v>
      </x:c>
      <x:c r="F157" s="10" t="str">
        <x:v>P1</x:v>
      </x:c>
      <x:c r="G157" s="9" t="str">
        <x:v>验证按直播间违规筛选违规记录</x:v>
      </x:c>
      <x:c r="H157" s="9" t="str">
        <x:v>公会直播间违规范围</x:v>
      </x:c>
      <x:c r="I157" s="9" t="str">
        <x:v>1. 执行角色为公会长
2. 业务数据已准备且本页已打开；表单和筛选保持下列指定状态
3. 当前公会两类违规各有记录</x:v>
      </x:c>
      <x:c r="J157" s="9" t="str">
        <x:v>1. 查看违规记录页
2. 选择违规范围为直播间违规</x:v>
      </x:c>
      <x:c r="K157" s="9" t="str">
        <x:v>只显示直播间违规记录</x:v>
      </x:c>
      <x:c r="L157" s="10" t="str"/>
      <x:c r="M157" s="10" t="str">
        <x:v>未测</x:v>
      </x:c>
      <x:c r="N157" s="10" t="str"/>
      <x:c r="O157" s="9" t="str">
        <x:v>1. 来源（当前证据）：liveshow-proto/MainBasis/统一需求文档.md；位置：REQ-209e305f2a95；行3341
2. 规则：BR-5a4b89478c15c5f1
3. 未动态验证</x:v>
      </x:c>
    </x:row>
    <x:row r="158" ht="85" customHeight="1">
      <x:c r="A158" s="10" t="n">
        <x:v>157</x:v>
      </x:c>
      <x:c r="B158" s="10" t="str">
        <x:v>GUILD-05-0022</x:v>
      </x:c>
      <x:c r="C158" s="10" t="str">
        <x:v>数据与收益</x:v>
      </x:c>
      <x:c r="D158" s="10" t="str">
        <x:v>违规记录（公会长视角）</x:v>
      </x:c>
      <x:c r="E158" s="10" t="str">
        <x:v>逻辑校验</x:v>
      </x:c>
      <x:c r="F158" s="10" t="str">
        <x:v>P1</x:v>
      </x:c>
      <x:c r="G158" s="9" t="str">
        <x:v>验证按账号违规筛选违规记录</x:v>
      </x:c>
      <x:c r="H158" s="9" t="str">
        <x:v>公会账号违规范围</x:v>
      </x:c>
      <x:c r="I158" s="9" t="str">
        <x:v>1. 执行角色为公会长
2. 业务数据已准备且本页已打开；表单和筛选保持下列指定状态
3. 当前公会两类违规各有记录</x:v>
      </x:c>
      <x:c r="J158" s="9" t="str">
        <x:v>1. 查看违规记录页
2. 选择违规范围为账号违规</x:v>
      </x:c>
      <x:c r="K158" s="9" t="str">
        <x:v>只显示账号违规记录</x:v>
      </x:c>
      <x:c r="L158" s="10" t="str"/>
      <x:c r="M158" s="10" t="str">
        <x:v>未测</x:v>
      </x:c>
      <x:c r="N158" s="10" t="str"/>
      <x:c r="O158" s="9" t="str">
        <x:v>1. 来源（当前证据）：liveshow-proto/MainBasis/统一需求文档.md；位置：REQ-209e305f2a95；行3341
2. 规则：BR-65ddc4b0a2d79247
3. 未动态验证</x:v>
      </x:c>
    </x:row>
    <x:row r="159" ht="85" customHeight="1">
      <x:c r="A159" s="10" t="n">
        <x:v>158</x:v>
      </x:c>
      <x:c r="B159" s="10" t="str">
        <x:v>GUILD-05-0023</x:v>
      </x:c>
      <x:c r="C159" s="10" t="str">
        <x:v>数据与收益</x:v>
      </x:c>
      <x:c r="D159" s="10" t="str">
        <x:v>违规记录（公会长视角）</x:v>
      </x:c>
      <x:c r="E159" s="10" t="str">
        <x:v>功能需求</x:v>
      </x:c>
      <x:c r="F159" s="10" t="str">
        <x:v>P2</x:v>
      </x:c>
      <x:c r="G159" s="9" t="str">
        <x:v>验证未处置违规不显示虚假结果</x:v>
      </x:c>
      <x:c r="H159" s="9" t="str">
        <x:v>公会未处置违规结果</x:v>
      </x:c>
      <x:c r="I159" s="9" t="str">
        <x:v>1. 执行角色为公会长
2. 业务数据已准备且本页已打开；表单和筛选保持下列指定状态
3. 违规记录尚无处置结果</x:v>
      </x:c>
      <x:c r="J159" s="9" t="str">
        <x:v>1. 查看违规记录页</x:v>
      </x:c>
      <x:c r="K159" s="9" t="str">
        <x:v>处理结果显示“-”</x:v>
      </x:c>
      <x:c r="L159" s="10" t="str"/>
      <x:c r="M159" s="10" t="str">
        <x:v>未测</x:v>
      </x:c>
      <x:c r="N159" s="10" t="str"/>
      <x:c r="O159" s="9" t="str">
        <x:v>1. 来源（当前证据）：liveshow-proto/MainBasis/统一需求文档.md；位置：REQ-fbc17ab917b7；行3353
2. 规则：BR-a935f14537ce4e20
3. 未动态验证</x:v>
      </x:c>
    </x:row>
    <x:row r="160" ht="100" customHeight="1">
      <x:c r="A160" s="10" t="n">
        <x:v>159</x:v>
      </x:c>
      <x:c r="B160" s="10" t="str">
        <x:v>GUILD-05-0024</x:v>
      </x:c>
      <x:c r="C160" s="10" t="str">
        <x:v>数据与收益</x:v>
      </x:c>
      <x:c r="D160" s="10" t="str">
        <x:v>主播分成记录（公会长视角）</x:v>
      </x:c>
      <x:c r="E160" s="10" t="str">
        <x:v>逻辑校验</x:v>
      </x:c>
      <x:c r="F160" s="10" t="str">
        <x:v>P1</x:v>
      </x:c>
      <x:c r="G160" s="9" t="str">
        <x:v>验证主播分成展示12.30美元</x:v>
      </x:c>
      <x:c r="H160" s="9" t="str">
        <x:v>主播财务分成金额</x:v>
      </x:c>
      <x:c r="I160" s="9" t="str">
        <x:v>1. 执行角色为公会长
2. 业务数据已准备且本页已打开；表单和筛选保持下列指定状态
3. 平台已上传当前主播的12.30USD有效结果</x:v>
      </x:c>
      <x:c r="J160" s="9" t="str">
        <x:v>1. 查看主播分成记录页</x:v>
      </x:c>
      <x:c r="K160" s="9" t="str">
        <x:v>分成金额显示12.30美元</x:v>
      </x:c>
      <x:c r="L160" s="10" t="str">
        <x:v>FLOW-3A2F6811F8</x:v>
      </x:c>
      <x:c r="M160" s="10" t="str">
        <x:v>未测</x:v>
      </x:c>
      <x:c r="N160" s="10" t="str"/>
      <x:c r="O160" s="9" t="str">
        <x:v>1. 来源（当前证据）：liveshow-proto/MainBasis/统一需求文档.md；位置：REQ-e04b2fc8da54；行3444
2. 规则：BR-3eb50f56f7bc48ae
3. 未动态验证</x:v>
      </x:c>
    </x:row>
    <x:row r="161" ht="100" customHeight="1">
      <x:c r="A161" s="10" t="n">
        <x:v>160</x:v>
      </x:c>
      <x:c r="B161" s="10" t="str">
        <x:v>GUILD-05-0025</x:v>
      </x:c>
      <x:c r="C161" s="10" t="str">
        <x:v>数据与收益</x:v>
      </x:c>
      <x:c r="D161" s="10" t="str">
        <x:v>主播分成记录（公会长视角）</x:v>
      </x:c>
      <x:c r="E161" s="10" t="str">
        <x:v>逻辑校验</x:v>
      </x:c>
      <x:c r="F161" s="10" t="str">
        <x:v>P1</x:v>
      </x:c>
      <x:c r="G161" s="9" t="str">
        <x:v>验证主播分成展示-2.50美元</x:v>
      </x:c>
      <x:c r="H161" s="9" t="str">
        <x:v>主播财务分成金额</x:v>
      </x:c>
      <x:c r="I161" s="9" t="str">
        <x:v>1. 执行角色为公会长
2. 业务数据已准备且本页已打开；表单和筛选保持下列指定状态
3. 平台已上传当前主播的-2.50USD有效结果</x:v>
      </x:c>
      <x:c r="J161" s="9" t="str">
        <x:v>1. 查看主播分成记录页</x:v>
      </x:c>
      <x:c r="K161" s="9" t="str">
        <x:v>分成金额显示-2.50美元</x:v>
      </x:c>
      <x:c r="L161" s="10" t="str">
        <x:v>FLOW-3A2F6811F8</x:v>
      </x:c>
      <x:c r="M161" s="10" t="str">
        <x:v>未测</x:v>
      </x:c>
      <x:c r="N161" s="10" t="str"/>
      <x:c r="O161" s="9" t="str">
        <x:v>1. 来源（当前证据）：liveshow-proto/MainBasis/统一需求文档.md；位置：REQ-e04b2fc8da54；行3444
2. 规则：BR-655e323e1e0a6ec9
3. 未动态验证</x:v>
      </x:c>
    </x:row>
    <x:row r="162" ht="100" customHeight="1">
      <x:c r="A162" s="10" t="n">
        <x:v>161</x:v>
      </x:c>
      <x:c r="B162" s="10" t="str">
        <x:v>GUILD-05-0026</x:v>
      </x:c>
      <x:c r="C162" s="10" t="str">
        <x:v>数据与收益</x:v>
      </x:c>
      <x:c r="D162" s="10" t="str">
        <x:v>主播分成记录（公会长视角）</x:v>
      </x:c>
      <x:c r="E162" s="10" t="str">
        <x:v>逻辑校验</x:v>
      </x:c>
      <x:c r="F162" s="10" t="str">
        <x:v>P1</x:v>
      </x:c>
      <x:c r="G162" s="9" t="str">
        <x:v>验证主播分成按入账时间排序</x:v>
      </x:c>
      <x:c r="H162" s="9" t="str">
        <x:v>主播分成记录顺序</x:v>
      </x:c>
      <x:c r="I162" s="9" t="str">
        <x:v>1. 执行角色为公会长
2. 业务数据已准备且本页已打开；表单和筛选保持下列指定状态
3. 8月收益9月15日入账，9月收益9月14日入账</x:v>
      </x:c>
      <x:c r="J162" s="9" t="str">
        <x:v>1. 查看主播分成记录页</x:v>
      </x:c>
      <x:c r="K162" s="9" t="str">
        <x:v>9月15日入账记录排列在9月14日记录之前</x:v>
      </x:c>
      <x:c r="L162" s="10" t="str"/>
      <x:c r="M162" s="10" t="str">
        <x:v>未测</x:v>
      </x:c>
      <x:c r="N162" s="10" t="str"/>
      <x:c r="O162" s="9" t="str">
        <x:v>1. 来源（当前证据）：liveshow-proto/MainBasis/统一需求文档.md；位置：REQ-bc96b41ae0a2；行3448
2. 规则：BR-145bfab4810ba2e2
3. 未动态验证</x:v>
      </x:c>
    </x:row>
    <x:row r="163" ht="100" customHeight="1">
      <x:c r="A163" s="10" t="n">
        <x:v>162</x:v>
      </x:c>
      <x:c r="B163" s="10" t="str">
        <x:v>GUILD-05-0027</x:v>
      </x:c>
      <x:c r="C163" s="10" t="str">
        <x:v>数据与收益</x:v>
      </x:c>
      <x:c r="D163" s="10" t="str">
        <x:v>公会分成记录（公会长视角）</x:v>
      </x:c>
      <x:c r="E163" s="10" t="str">
        <x:v>逻辑校验</x:v>
      </x:c>
      <x:c r="F163" s="10" t="str">
        <x:v>P1</x:v>
      </x:c>
      <x:c r="G163" s="9" t="str">
        <x:v>验证公会分成展示12.30美元</x:v>
      </x:c>
      <x:c r="H163" s="9" t="str">
        <x:v>公会财务分成金额</x:v>
      </x:c>
      <x:c r="I163" s="9" t="str">
        <x:v>1. 执行角色为公会长
2. 业务数据已准备且本页已打开；表单和筛选保持下列指定状态
3. 平台已上传当前公会的12.30USD有效结果</x:v>
      </x:c>
      <x:c r="J163" s="9" t="str">
        <x:v>1. 查看公会分成记录页</x:v>
      </x:c>
      <x:c r="K163" s="9" t="str">
        <x:v>分成金额显示12.30美元</x:v>
      </x:c>
      <x:c r="L163" s="10" t="str">
        <x:v>FLOW-54E5CF1154</x:v>
      </x:c>
      <x:c r="M163" s="10" t="str">
        <x:v>未测</x:v>
      </x:c>
      <x:c r="N163" s="10" t="str"/>
      <x:c r="O163" s="9" t="str">
        <x:v>1. 来源（当前证据）：liveshow-proto/MainBasis/统一需求文档.md；位置：REQ-39e59f822231；行3455
2. 规则：BR-dc23540edab25617
3. 未动态验证</x:v>
      </x:c>
    </x:row>
    <x:row r="164" ht="100" customHeight="1">
      <x:c r="A164" s="10" t="n">
        <x:v>163</x:v>
      </x:c>
      <x:c r="B164" s="10" t="str">
        <x:v>GUILD-05-0028</x:v>
      </x:c>
      <x:c r="C164" s="10" t="str">
        <x:v>数据与收益</x:v>
      </x:c>
      <x:c r="D164" s="10" t="str">
        <x:v>公会分成记录（公会长视角）</x:v>
      </x:c>
      <x:c r="E164" s="10" t="str">
        <x:v>逻辑校验</x:v>
      </x:c>
      <x:c r="F164" s="10" t="str">
        <x:v>P1</x:v>
      </x:c>
      <x:c r="G164" s="9" t="str">
        <x:v>验证公会分成展示-2.50美元</x:v>
      </x:c>
      <x:c r="H164" s="9" t="str">
        <x:v>公会财务分成金额</x:v>
      </x:c>
      <x:c r="I164" s="9" t="str">
        <x:v>1. 执行角色为公会长
2. 业务数据已准备且本页已打开；表单和筛选保持下列指定状态
3. 平台已上传当前公会的-2.50USD有效结果</x:v>
      </x:c>
      <x:c r="J164" s="9" t="str">
        <x:v>1. 查看公会分成记录页</x:v>
      </x:c>
      <x:c r="K164" s="9" t="str">
        <x:v>分成金额显示-2.50美元</x:v>
      </x:c>
      <x:c r="L164" s="10" t="str">
        <x:v>FLOW-54E5CF1154</x:v>
      </x:c>
      <x:c r="M164" s="10" t="str">
        <x:v>未测</x:v>
      </x:c>
      <x:c r="N164" s="10" t="str"/>
      <x:c r="O164" s="9" t="str">
        <x:v>1. 来源（当前证据）：liveshow-proto/MainBasis/统一需求文档.md；位置：REQ-39e59f822231；行3455
2. 规则：BR-85969be6a875f586
3. 未动态验证</x:v>
      </x:c>
    </x:row>
    <x:row r="165" ht="100" customHeight="1">
      <x:c r="A165" s="10" t="n">
        <x:v>164</x:v>
      </x:c>
      <x:c r="B165" s="10" t="str">
        <x:v>GUILD-05-0029</x:v>
      </x:c>
      <x:c r="C165" s="10" t="str">
        <x:v>数据与收益</x:v>
      </x:c>
      <x:c r="D165" s="10" t="str">
        <x:v>公会分成记录（公会长视角）</x:v>
      </x:c>
      <x:c r="E165" s="10" t="str">
        <x:v>逻辑校验</x:v>
      </x:c>
      <x:c r="F165" s="10" t="str">
        <x:v>P1</x:v>
      </x:c>
      <x:c r="G165" s="9" t="str">
        <x:v>验证公会分成按入账时间排序</x:v>
      </x:c>
      <x:c r="H165" s="9" t="str">
        <x:v>公会分成记录顺序</x:v>
      </x:c>
      <x:c r="I165" s="9" t="str">
        <x:v>1. 执行角色为公会长
2. 业务数据已准备且本页已打开；表单和筛选保持下列指定状态
3. 8月收益9月15日入账，9月收益9月14日入账</x:v>
      </x:c>
      <x:c r="J165" s="9" t="str">
        <x:v>1. 查看公会分成记录页</x:v>
      </x:c>
      <x:c r="K165" s="9" t="str">
        <x:v>9月15日入账记录排列在9月14日记录之前</x:v>
      </x:c>
      <x:c r="L165" s="10" t="str"/>
      <x:c r="M165" s="10" t="str">
        <x:v>未测</x:v>
      </x:c>
      <x:c r="N165" s="10" t="str"/>
      <x:c r="O165" s="9" t="str">
        <x:v>1. 来源（当前证据）：liveshow-proto/MainBasis/统一需求文档.md；位置：REQ-bc29e36d3b72；行3459
2. 规则：BR-6b2b4744925ec933
3. 未动态验证</x:v>
      </x:c>
    </x:row>
    <x:row r="166" ht="85" customHeight="1">
      <x:c r="A166" s="10" t="n">
        <x:v>165</x:v>
      </x:c>
      <x:c r="B166" s="10" t="str">
        <x:v>GUILD-05-0030</x:v>
      </x:c>
      <x:c r="C166" s="10" t="str">
        <x:v>数据与收益</x:v>
      </x:c>
      <x:c r="D166" s="10" t="str">
        <x:v>主播分成记录（公会长视角）</x:v>
      </x:c>
      <x:c r="E166" s="10" t="str">
        <x:v>逻辑校验</x:v>
      </x:c>
      <x:c r="F166" s="10" t="str">
        <x:v>P1</x:v>
      </x:c>
      <x:c r="G166" s="9" t="str">
        <x:v>验证主播分成跨月按入账时间筛选</x:v>
      </x:c>
      <x:c r="H166" s="9" t="str">
        <x:v>主播分成日期口径</x:v>
      </x:c>
      <x:c r="I166" s="9" t="str">
        <x:v>1. 执行角色为公会长
2. 业务数据已准备且本页已打开；表单和筛选保持下列指定状态
3. 8月收益的分成9月15日入账</x:v>
      </x:c>
      <x:c r="J166" s="9" t="str">
        <x:v>1. 查看主播分成记录页
2. 选择自定义日期为9月15日</x:v>
      </x:c>
      <x:c r="K166" s="9" t="str">
        <x:v>列表包含该8月收益的分成记录</x:v>
      </x:c>
      <x:c r="L166" s="10" t="str"/>
      <x:c r="M166" s="10" t="str">
        <x:v>未测</x:v>
      </x:c>
      <x:c r="N166" s="10" t="str"/>
      <x:c r="O166" s="9" t="str">
        <x:v>1. 来源（当前证据）：liveshow-proto/MainBasis/统一需求文档.md；位置：REQ-e9c530534e0b；行3438
2. 规则：BR-f32ab9bb86d243b4
3. 未动态验证</x:v>
      </x:c>
    </x:row>
    <x:row r="167" ht="100" customHeight="1">
      <x:c r="A167" s="10" t="n">
        <x:v>166</x:v>
      </x:c>
      <x:c r="B167" s="10" t="str">
        <x:v>GUILD-05-0031</x:v>
      </x:c>
      <x:c r="C167" s="10" t="str">
        <x:v>数据与收益</x:v>
      </x:c>
      <x:c r="D167" s="10" t="str">
        <x:v>公会分成记录（公会长视角）</x:v>
      </x:c>
      <x:c r="E167" s="10" t="str">
        <x:v>逻辑校验</x:v>
      </x:c>
      <x:c r="F167" s="10" t="str">
        <x:v>P1</x:v>
      </x:c>
      <x:c r="G167" s="9" t="str">
        <x:v>验证公会分成隔离其他公会</x:v>
      </x:c>
      <x:c r="H167" s="9" t="str">
        <x:v>公会分成查看范围</x:v>
      </x:c>
      <x:c r="I167" s="9" t="str">
        <x:v>1. 执行角色为公会长
2. 业务数据已准备且本页已打开；表单和筛选保持下列指定状态
3. 当前公会A和公会B各有财务上传结果</x:v>
      </x:c>
      <x:c r="J167" s="9" t="str">
        <x:v>1. 查看公会分成记录页</x:v>
      </x:c>
      <x:c r="K167" s="9" t="str">
        <x:v>不显示公会B的分成记录</x:v>
      </x:c>
      <x:c r="L167" s="10" t="str"/>
      <x:c r="M167" s="10" t="str">
        <x:v>未测</x:v>
      </x:c>
      <x:c r="N167" s="10" t="str"/>
      <x:c r="O167" s="9" t="str">
        <x:v>1. 来源（当前证据）：liveshow-proto/MainBasis/统一需求文档.md；位置：REQ-1afa9bbb787d；行3457
2. 规则：BR-e433eb3ba1a554c1
3. 未动态验证</x:v>
      </x:c>
    </x:row>
    <x:row r="168" ht="100" customHeight="1">
      <x:c r="A168" s="10" t="n">
        <x:v>167</x:v>
      </x:c>
      <x:c r="B168" s="10" t="str">
        <x:v>GUILD-05-0032</x:v>
      </x:c>
      <x:c r="C168" s="10" t="str">
        <x:v>数据与收益</x:v>
      </x:c>
      <x:c r="D168" s="10" t="str">
        <x:v>选择主播（多选）（公会长视角）</x:v>
      </x:c>
      <x:c r="E168" s="10" t="str">
        <x:v>功能需求</x:v>
      </x:c>
      <x:c r="F168" s="10" t="str">
        <x:v>P2</x:v>
      </x:c>
      <x:c r="G168" s="9" t="str">
        <x:v>验证选择多名主播回填筛选</x:v>
      </x:c>
      <x:c r="H168" s="9" t="str">
        <x:v>公会数据多主播选择</x:v>
      </x:c>
      <x:c r="I168" s="9" t="str">
        <x:v>1. 执行角色为公会长
2. 业务数据已准备且本页已打开；表单和筛选保持下列指定状态
3. 从直播记录进入选择页，已有日期条件9月15日</x:v>
      </x:c>
      <x:c r="J168" s="9" t="str">
        <x:v>1. 查看选择主播（多选）页
2. 选择主播甲
3. 选择主播乙
4. 点击完成</x:v>
      </x:c>
      <x:c r="K168" s="9" t="str">
        <x:v>已选主播为甲和乙</x:v>
      </x:c>
      <x:c r="L168" s="10" t="str"/>
      <x:c r="M168" s="10" t="str">
        <x:v>未测</x:v>
      </x:c>
      <x:c r="N168" s="10" t="str"/>
      <x:c r="O168" s="9" t="str">
        <x:v>1. 来源（当前证据）：liveshow-proto/MainBasis/统一需求文档.md；位置：REQ-74d9c44c037d；行3472、REQ-9b94ebc6e08d；行3474
2. 规则：BR-0fc10f339b0ab556
3. 未动态验证</x:v>
      </x:c>
    </x:row>
    <x:row r="169" ht="85" customHeight="1">
      <x:c r="A169" s="10" t="n">
        <x:v>168</x:v>
      </x:c>
      <x:c r="B169" s="10" t="str">
        <x:v>GUILD-01-0029</x:v>
      </x:c>
      <x:c r="C169" s="10" t="str">
        <x:v>登录与首页</x:v>
      </x:c>
      <x:c r="D169" s="10" t="str">
        <x:v>选择公会（公会长视角）</x:v>
      </x:c>
      <x:c r="E169" s="10" t="str">
        <x:v>功能需求</x:v>
      </x:c>
      <x:c r="F169" s="10" t="str">
        <x:v>P2</x:v>
      </x:c>
      <x:c r="G169" s="9" t="str">
        <x:v>验证选择公会用户ID取正确业务对象</x:v>
      </x:c>
      <x:c r="H169" s="9" t="str">
        <x:v>选择公会用户ID</x:v>
      </x:c>
      <x:c r="I169" s="9" t="str">
        <x:v>1. 执行角色为公会长
2. 当前公会长用户ID为C001，当前公会ID为G001</x:v>
      </x:c>
      <x:c r="J169" s="9" t="str">
        <x:v>1. 进入选择公会页</x:v>
      </x:c>
      <x:c r="K169" s="9" t="str">
        <x:v>用户ID显示C001</x:v>
      </x:c>
      <x:c r="L169" s="10" t="str"/>
      <x:c r="M169" s="10" t="str">
        <x:v>未测</x:v>
      </x:c>
      <x:c r="N169" s="10" t="str"/>
      <x:c r="O169" s="9" t="str">
        <x:v>1. 来源（当前证据）：liveshow-proto/MainBasis/统一需求文档.md；位置：REQ-3480df046bf9；行2720
2. 规则：BR-4736c58db363c961
3. 未动态验证</x:v>
      </x:c>
    </x:row>
    <x:row r="170" ht="85" customHeight="1">
      <x:c r="A170" s="10" t="n">
        <x:v>169</x:v>
      </x:c>
      <x:c r="B170" s="10" t="str">
        <x:v>GUILD-04-0017</x:v>
      </x:c>
      <x:c r="C170" s="10" t="str">
        <x:v>公会管理</x:v>
      </x:c>
      <x:c r="D170" s="10" t="str">
        <x:v>账号设置（公会长视角）</x:v>
      </x:c>
      <x:c r="E170" s="10" t="str">
        <x:v>功能需求</x:v>
      </x:c>
      <x:c r="F170" s="10" t="str">
        <x:v>P2</x:v>
      </x:c>
      <x:c r="G170" s="9" t="str">
        <x:v>验证账号设置公会ID取正确业务对象</x:v>
      </x:c>
      <x:c r="H170" s="9" t="str">
        <x:v>账号设置公会ID</x:v>
      </x:c>
      <x:c r="I170" s="9" t="str">
        <x:v>1. 执行角色为公会长
2. 当前公会长用户ID为C001，当前公会ID为G001</x:v>
      </x:c>
      <x:c r="J170" s="9" t="str">
        <x:v>1. 进入账号设置页</x:v>
      </x:c>
      <x:c r="K170" s="9" t="str">
        <x:v>公会ID显示G001</x:v>
      </x:c>
      <x:c r="L170" s="10" t="str"/>
      <x:c r="M170" s="10" t="str">
        <x:v>未测</x:v>
      </x:c>
      <x:c r="N170" s="10" t="str"/>
      <x:c r="O170" s="9" t="str">
        <x:v>1. 来源（当前证据）：liveshow-proto/MainBasis/统一需求文档.md；位置：REQ-8be05b68b85e；行3235
2. 规则：BR-5781f4cf30f39420
3. 未动态验证</x:v>
      </x:c>
    </x:row>
    <x:row r="171" ht="85" customHeight="1">
      <x:c r="A171" s="10" t="n">
        <x:v>170</x:v>
      </x:c>
      <x:c r="B171" s="10" t="str">
        <x:v>GUILD-02-0046</x:v>
      </x:c>
      <x:c r="C171" s="10" t="str">
        <x:v>主播管理</x:v>
      </x:c>
      <x:c r="D171" s="10" t="str">
        <x:v>入会申请详情（公会长视角）</x:v>
      </x:c>
      <x:c r="E171" s="10" t="str">
        <x:v>功能需求</x:v>
      </x:c>
      <x:c r="F171" s="10" t="str">
        <x:v>P2</x:v>
      </x:c>
      <x:c r="G171" s="9" t="str">
        <x:v>验证入会申请详情姓名取正确业务对象</x:v>
      </x:c>
      <x:c r="H171" s="9" t="str">
        <x:v>入会申请详情姓名</x:v>
      </x:c>
      <x:c r="I171" s="9" t="str">
        <x:v>1. 执行角色为公会长
2. 申请昵称为QA，实名为张甲</x:v>
      </x:c>
      <x:c r="J171" s="9" t="str">
        <x:v>1. 进入入会申请详情页</x:v>
      </x:c>
      <x:c r="K171" s="9" t="str">
        <x:v>姓名显示张甲</x:v>
      </x:c>
      <x:c r="L171" s="10" t="str"/>
      <x:c r="M171" s="10" t="str">
        <x:v>未测</x:v>
      </x:c>
      <x:c r="N171" s="10" t="str"/>
      <x:c r="O171" s="9" t="str">
        <x:v>1. 来源（当前证据）：liveshow-proto/MainBasis/统一需求文档.md；位置：REQ-e3ed126d2036；行2813
2. 规则：BR-9f0c155a0e853caf
3. 未动态验证</x:v>
      </x:c>
    </x:row>
    <x:row r="172" ht="85" customHeight="1">
      <x:c r="A172" s="10" t="n">
        <x:v>171</x:v>
      </x:c>
      <x:c r="B172" s="10" t="str">
        <x:v>GUILD-02-0047</x:v>
      </x:c>
      <x:c r="C172" s="10" t="str">
        <x:v>主播管理</x:v>
      </x:c>
      <x:c r="D172" s="10" t="str">
        <x:v>入会申请详情（公会长视角）</x:v>
      </x:c>
      <x:c r="E172" s="10" t="str">
        <x:v>功能需求</x:v>
      </x:c>
      <x:c r="F172" s="10" t="str">
        <x:v>P2</x:v>
      </x:c>
      <x:c r="G172" s="9" t="str">
        <x:v>验证入会申请详情联系电话取正确业务对象</x:v>
      </x:c>
      <x:c r="H172" s="9" t="str">
        <x:v>入会申请详情联系电话</x:v>
      </x:c>
      <x:c r="I172" s="9" t="str">
        <x:v>1. 执行角色为公会长
2. 申请联系电话为+628123456789</x:v>
      </x:c>
      <x:c r="J172" s="9" t="str">
        <x:v>1. 进入入会申请详情页</x:v>
      </x:c>
      <x:c r="K172" s="9" t="str">
        <x:v>联系电话显示+628123456789</x:v>
      </x:c>
      <x:c r="L172" s="10" t="str"/>
      <x:c r="M172" s="10" t="str">
        <x:v>未测</x:v>
      </x:c>
      <x:c r="N172" s="10" t="str"/>
      <x:c r="O172" s="9" t="str">
        <x:v>1. 来源（当前证据）：liveshow-proto/MainBasis/统一需求文档.md；位置：REQ-3475235a94e5；行2815
2. 规则：BR-d28a38394f4fd16e
3. 未动态验证</x:v>
      </x:c>
    </x:row>
    <x:row r="173" ht="85" customHeight="1">
      <x:c r="A173" s="10" t="n">
        <x:v>172</x:v>
      </x:c>
      <x:c r="B173" s="10" t="str">
        <x:v>GUILD-02-0048</x:v>
      </x:c>
      <x:c r="C173" s="10" t="str">
        <x:v>主播管理</x:v>
      </x:c>
      <x:c r="D173" s="10" t="str">
        <x:v>入会申请详情（公会长视角）</x:v>
      </x:c>
      <x:c r="E173" s="10" t="str">
        <x:v>功能需求</x:v>
      </x:c>
      <x:c r="F173" s="10" t="str">
        <x:v>P2</x:v>
      </x:c>
      <x:c r="G173" s="9" t="str">
        <x:v>验证入会申请详情申请公会取正确业务对象</x:v>
      </x:c>
      <x:c r="H173" s="9" t="str">
        <x:v>入会申请详情申请公会</x:v>
      </x:c>
      <x:c r="I173" s="9" t="str">
        <x:v>1. 执行角色为公会长
2. 该申请目标公会为QA公会</x:v>
      </x:c>
      <x:c r="J173" s="9" t="str">
        <x:v>1. 进入入会申请详情页</x:v>
      </x:c>
      <x:c r="K173" s="9" t="str">
        <x:v>申请公会显示QA公会</x:v>
      </x:c>
      <x:c r="L173" s="10" t="str"/>
      <x:c r="M173" s="10" t="str">
        <x:v>未测</x:v>
      </x:c>
      <x:c r="N173" s="10" t="str"/>
      <x:c r="O173" s="9" t="str">
        <x:v>1. 来源（当前证据）：liveshow-proto/MainBasis/统一需求文档.md；位置：REQ-f30ceeca123b；行2811
2. 规则：BR-9ddfbd116dd548cf
3. 未动态验证</x:v>
      </x:c>
    </x:row>
    <x:row r="174" ht="85" customHeight="1">
      <x:c r="A174" s="10" t="n">
        <x:v>173</x:v>
      </x:c>
      <x:c r="B174" s="10" t="str">
        <x:v>GUILD-02-0049</x:v>
      </x:c>
      <x:c r="C174" s="10" t="str">
        <x:v>主播管理</x:v>
      </x:c>
      <x:c r="D174" s="10" t="str">
        <x:v>退会申请详情（公会长视角）</x:v>
      </x:c>
      <x:c r="E174" s="10" t="str">
        <x:v>功能需求</x:v>
      </x:c>
      <x:c r="F174" s="10" t="str">
        <x:v>P2</x:v>
      </x:c>
      <x:c r="G174" s="9" t="str">
        <x:v>验证退会申请详情退会原因取正确业务对象</x:v>
      </x:c>
      <x:c r="H174" s="9" t="str">
        <x:v>退会申请详情退会原因</x:v>
      </x:c>
      <x:c r="I174" s="9" t="str">
        <x:v>1. 执行角色为公会长
2. 主播申请填写原因个人安排</x:v>
      </x:c>
      <x:c r="J174" s="9" t="str">
        <x:v>1. 进入退会申请详情页</x:v>
      </x:c>
      <x:c r="K174" s="9" t="str">
        <x:v>退会原因显示个人安排</x:v>
      </x:c>
      <x:c r="L174" s="10" t="str"/>
      <x:c r="M174" s="10" t="str">
        <x:v>未测</x:v>
      </x:c>
      <x:c r="N174" s="10" t="str"/>
      <x:c r="O174" s="9" t="str">
        <x:v>1. 来源（当前证据）：liveshow-proto/MainBasis/统一需求文档.md；位置：REQ-c72b0d74078b；行2869
2. 规则：BR-4d4ad8f732daaac7
3. 未动态验证</x:v>
      </x:c>
    </x:row>
    <x:row r="175" ht="85" customHeight="1">
      <x:c r="A175" s="10" t="n">
        <x:v>174</x:v>
      </x:c>
      <x:c r="B175" s="10" t="str">
        <x:v>GUILD-02-0050</x:v>
      </x:c>
      <x:c r="C175" s="10" t="str">
        <x:v>主播管理</x:v>
      </x:c>
      <x:c r="D175" s="10" t="str">
        <x:v>主播主页（公会长视角）</x:v>
      </x:c>
      <x:c r="E175" s="10" t="str">
        <x:v>功能需求</x:v>
      </x:c>
      <x:c r="F175" s="10" t="str">
        <x:v>P2</x:v>
      </x:c>
      <x:c r="G175" s="9" t="str">
        <x:v>验证主播主页认证姓名取正确业务对象</x:v>
      </x:c>
      <x:c r="H175" s="9" t="str">
        <x:v>主播主页认证姓名</x:v>
      </x:c>
      <x:c r="I175" s="9" t="str">
        <x:v>1. 执行角色为公会长
2. 主播昵称QA，认证实名张甲</x:v>
      </x:c>
      <x:c r="J175" s="9" t="str">
        <x:v>1. 进入主播主页</x:v>
      </x:c>
      <x:c r="K175" s="9" t="str">
        <x:v>认证姓名显示张甲</x:v>
      </x:c>
      <x:c r="L175" s="10" t="str"/>
      <x:c r="M175" s="10" t="str">
        <x:v>未测</x:v>
      </x:c>
      <x:c r="N175" s="10" t="str"/>
      <x:c r="O175" s="9" t="str">
        <x:v>1. 来源（当前证据）：liveshow-proto/MainBasis/统一需求文档.md；位置：REQ-e351e91ed44f；行2979
2. 规则：BR-422500c50aad8271
3. 未动态验证</x:v>
      </x:c>
    </x:row>
    <x:row r="176" ht="85" customHeight="1">
      <x:c r="A176" s="10" t="n">
        <x:v>175</x:v>
      </x:c>
      <x:c r="B176" s="10" t="str">
        <x:v>GUILD-03-0047</x:v>
      </x:c>
      <x:c r="C176" s="10" t="str">
        <x:v>运营工具</x:v>
      </x:c>
      <x:c r="D176" s="10" t="str">
        <x:v>消息详情（公会长视角）</x:v>
      </x:c>
      <x:c r="E176" s="10" t="str">
        <x:v>功能需求</x:v>
      </x:c>
      <x:c r="F176" s="10" t="str">
        <x:v>P2</x:v>
      </x:c>
      <x:c r="G176" s="9" t="str">
        <x:v>验证消息详情发送人取正确业务对象</x:v>
      </x:c>
      <x:c r="H176" s="9" t="str">
        <x:v>消息详情发送人</x:v>
      </x:c>
      <x:c r="I176" s="9" t="str">
        <x:v>1. 执行角色为公会长
2. 发送时公会长名称为ChiefA</x:v>
      </x:c>
      <x:c r="J176" s="9" t="str">
        <x:v>1. 进入消息详情页</x:v>
      </x:c>
      <x:c r="K176" s="9" t="str">
        <x:v>发送人显示ChiefA</x:v>
      </x:c>
      <x:c r="L176" s="10" t="str"/>
      <x:c r="M176" s="10" t="str">
        <x:v>未测</x:v>
      </x:c>
      <x:c r="N176" s="10" t="str"/>
      <x:c r="O176" s="9" t="str">
        <x:v>1. 来源（当前证据）：liveshow-proto/MainBasis/统一需求文档.md；位置：REQ-297b5e0e3bf7；行3077
2. 规则：BR-d4a26ee396aa420a
3. 未动态验证</x:v>
      </x:c>
    </x:row>
    <x:row r="177" ht="85" customHeight="1">
      <x:c r="A177" s="10" t="n">
        <x:v>176</x:v>
      </x:c>
      <x:c r="B177" s="10" t="str">
        <x:v>GUILD-03-0048</x:v>
      </x:c>
      <x:c r="C177" s="10" t="str">
        <x:v>运营工具</x:v>
      </x:c>
      <x:c r="D177" s="10" t="str">
        <x:v>消息详情（公会长视角）</x:v>
      </x:c>
      <x:c r="E177" s="10" t="str">
        <x:v>功能需求</x:v>
      </x:c>
      <x:c r="F177" s="10" t="str">
        <x:v>P2</x:v>
      </x:c>
      <x:c r="G177" s="9" t="str">
        <x:v>验证消息详情正文取正确业务对象</x:v>
      </x:c>
      <x:c r="H177" s="9" t="str">
        <x:v>消息详情正文</x:v>
      </x:c>
      <x:c r="I177" s="9" t="str">
        <x:v>1. 执行角色为公会长
2. 发送时消息正文为QA发布内容</x:v>
      </x:c>
      <x:c r="J177" s="9" t="str">
        <x:v>1. 进入消息详情页</x:v>
      </x:c>
      <x:c r="K177" s="9" t="str">
        <x:v>正文显示QA发布内容</x:v>
      </x:c>
      <x:c r="L177" s="10" t="str"/>
      <x:c r="M177" s="10" t="str">
        <x:v>未测</x:v>
      </x:c>
      <x:c r="N177" s="10" t="str"/>
      <x:c r="O177" s="9" t="str">
        <x:v>1. 来源（当前证据）：liveshow-proto/MainBasis/统一需求文档.md；位置：REQ-a4835c8a89b4；行3079
2. 规则：BR-6f6db9336a4b6f1d
3. 未动态验证</x:v>
      </x:c>
    </x:row>
    <x:row r="178" ht="85" customHeight="1">
      <x:c r="A178" s="10" t="n">
        <x:v>177</x:v>
      </x:c>
      <x:c r="B178" s="10" t="str">
        <x:v>GUILD-03-0049</x:v>
      </x:c>
      <x:c r="C178" s="10" t="str">
        <x:v>运营工具</x:v>
      </x:c>
      <x:c r="D178" s="10" t="str">
        <x:v>运营账号（公会长视角）</x:v>
      </x:c>
      <x:c r="E178" s="10" t="str">
        <x:v>功能需求</x:v>
      </x:c>
      <x:c r="F178" s="10" t="str">
        <x:v>P2</x:v>
      </x:c>
      <x:c r="G178" s="9" t="str">
        <x:v>验证运营账号账号ID取正确业务对象</x:v>
      </x:c>
      <x:c r="H178" s="9" t="str">
        <x:v>运营账号账号ID</x:v>
      </x:c>
      <x:c r="I178" s="9" t="str">
        <x:v>1. 执行角色为公会长
2. 运营账号唯一ID9001，登录账号loginQA</x:v>
      </x:c>
      <x:c r="J178" s="9" t="str">
        <x:v>1. 进入运营账号页</x:v>
      </x:c>
      <x:c r="K178" s="9" t="str">
        <x:v>账号ID显示9001</x:v>
      </x:c>
      <x:c r="L178" s="10" t="str"/>
      <x:c r="M178" s="10" t="str">
        <x:v>未测</x:v>
      </x:c>
      <x:c r="N178" s="10" t="str"/>
      <x:c r="O178" s="9" t="str">
        <x:v>1. 来源（当前证据）：liveshow-proto/MainBasis/统一需求文档.md；位置：REQ-48472b42ff0b；行3090
2. 规则：BR-2fa5774b3aba9247
3. 未动态验证</x:v>
      </x:c>
    </x:row>
    <x:row r="179" ht="85" customHeight="1">
      <x:c r="A179" s="10" t="n">
        <x:v>178</x:v>
      </x:c>
      <x:c r="B179" s="10" t="str">
        <x:v>GUILD-03-0050</x:v>
      </x:c>
      <x:c r="C179" s="10" t="str">
        <x:v>运营工具</x:v>
      </x:c>
      <x:c r="D179" s="10" t="str">
        <x:v>选择运营账号（多选）（公会长视角）</x:v>
      </x:c>
      <x:c r="E179" s="10" t="str">
        <x:v>功能需求</x:v>
      </x:c>
      <x:c r="F179" s="10" t="str">
        <x:v>P2</x:v>
      </x:c>
      <x:c r="G179" s="9" t="str">
        <x:v>验证选择运营账号（多选）登录账号取正确业务对象</x:v>
      </x:c>
      <x:c r="H179" s="9" t="str">
        <x:v>选择运营账号（多选）登录账号</x:v>
      </x:c>
      <x:c r="I179" s="9" t="str">
        <x:v>1. 执行角色为公会长
2. 运营账号ID9001，登录账号loginQA</x:v>
      </x:c>
      <x:c r="J179" s="9" t="str">
        <x:v>1. 进入选择运营账号（多选）页</x:v>
      </x:c>
      <x:c r="K179" s="9" t="str">
        <x:v>登录账号显示loginQA</x:v>
      </x:c>
      <x:c r="L179" s="10" t="str"/>
      <x:c r="M179" s="10" t="str">
        <x:v>未测</x:v>
      </x:c>
      <x:c r="N179" s="10" t="str"/>
      <x:c r="O179" s="9" t="str">
        <x:v>1. 来源（当前证据）：liveshow-proto/MainBasis/统一需求文档.md；位置：REQ-174d0cbda32b；行3209
2. 规则：BR-b280b7c57bb0759d
3. 未动态验证</x:v>
      </x:c>
    </x:row>
    <x:row r="180" ht="85" customHeight="1">
      <x:c r="A180" s="10" t="n">
        <x:v>179</x:v>
      </x:c>
      <x:c r="B180" s="10" t="str">
        <x:v>GUILD-05-0033</x:v>
      </x:c>
      <x:c r="C180" s="10" t="str">
        <x:v>数据与收益</x:v>
      </x:c>
      <x:c r="D180" s="10" t="str">
        <x:v>直播场次详情（公会长视角）</x:v>
      </x:c>
      <x:c r="E180" s="10" t="str">
        <x:v>功能需求</x:v>
      </x:c>
      <x:c r="F180" s="10" t="str">
        <x:v>P2</x:v>
      </x:c>
      <x:c r="G180" s="9" t="str">
        <x:v>验证直播场次详情场次ID取正确业务对象</x:v>
      </x:c>
      <x:c r="H180" s="9" t="str">
        <x:v>直播场次详情场次ID</x:v>
      </x:c>
      <x:c r="I180" s="9" t="str">
        <x:v>1. 执行角色为公会长
2. 主播房间号1001，本场ID为S002</x:v>
      </x:c>
      <x:c r="J180" s="9" t="str">
        <x:v>1. 进入直播场次详情页</x:v>
      </x:c>
      <x:c r="K180" s="9" t="str">
        <x:v>场次ID显示S002</x:v>
      </x:c>
      <x:c r="L180" s="10" t="str"/>
      <x:c r="M180" s="10" t="str">
        <x:v>未测</x:v>
      </x:c>
      <x:c r="N180" s="10" t="str"/>
      <x:c r="O180" s="9" t="str">
        <x:v>1. 来源（当前证据）：liveshow-proto/MainBasis/统一需求文档.md；位置：REQ-7a61e5f92e6d；行3298
2. 规则：BR-f907c29035f913a0
3. 未动态验证</x:v>
      </x:c>
    </x:row>
    <x:row r="181" ht="85" customHeight="1">
      <x:c r="A181" s="10" t="n">
        <x:v>180</x:v>
      </x:c>
      <x:c r="B181" s="10" t="str">
        <x:v>GUILD-03-0051</x:v>
      </x:c>
      <x:c r="C181" s="10" t="str">
        <x:v>运营工具</x:v>
      </x:c>
      <x:c r="D181" s="10" t="str">
        <x:v>送礼记录（公会长视角）</x:v>
      </x:c>
      <x:c r="E181" s="10" t="str">
        <x:v>功能需求</x:v>
      </x:c>
      <x:c r="F181" s="10" t="str">
        <x:v>P2</x:v>
      </x:c>
      <x:c r="G181" s="9" t="str">
        <x:v>验证送礼记录礼物单价取正确业务对象</x:v>
      </x:c>
      <x:c r="H181" s="9" t="str">
        <x:v>送礼记录礼物单价</x:v>
      </x:c>
      <x:c r="I181" s="9" t="str">
        <x:v>1. 执行角色为公会长
2. 赠送时单价10，礼物现价20金币</x:v>
      </x:c>
      <x:c r="J181" s="9" t="str">
        <x:v>1. 进入送礼记录页</x:v>
      </x:c>
      <x:c r="K181" s="9" t="str">
        <x:v>礼物单价显示10金币</x:v>
      </x:c>
      <x:c r="L181" s="10" t="str"/>
      <x:c r="M181" s="10" t="str">
        <x:v>未测</x:v>
      </x:c>
      <x:c r="N181" s="10" t="str"/>
      <x:c r="O181" s="9" t="str">
        <x:v>1. 来源（当前证据）：liveshow-proto/MainBasis/统一需求文档.md；位置：REQ-097e125c296e；行3186
2. 规则：BR-12100423de774a4f
3. 未动态验证</x:v>
      </x:c>
    </x:row>
    <x:row r="182" ht="85" customHeight="1">
      <x:c r="A182" s="10" t="n">
        <x:v>181</x:v>
      </x:c>
      <x:c r="B182" s="10" t="str">
        <x:v>GUILD-05-0034</x:v>
      </x:c>
      <x:c r="C182" s="10" t="str">
        <x:v>数据与收益</x:v>
      </x:c>
      <x:c r="D182" s="10" t="str">
        <x:v>直播场次详情（公会长视角）</x:v>
      </x:c>
      <x:c r="E182" s="10" t="str">
        <x:v>功能需求</x:v>
      </x:c>
      <x:c r="F182" s="10" t="str">
        <x:v>P2</x:v>
      </x:c>
      <x:c r="G182" s="9" t="str">
        <x:v>验证直播场次详情礼物单价取正确业务对象</x:v>
      </x:c>
      <x:c r="H182" s="9" t="str">
        <x:v>直播场次详情礼物单价</x:v>
      </x:c>
      <x:c r="I182" s="9" t="str">
        <x:v>1. 执行角色为公会长
2. 赠送时单价10，礼物现价20金币</x:v>
      </x:c>
      <x:c r="J182" s="9" t="str">
        <x:v>1. 进入直播场次详情页</x:v>
      </x:c>
      <x:c r="K182" s="9" t="str">
        <x:v>礼物单价显示10金币</x:v>
      </x:c>
      <x:c r="L182" s="10" t="str"/>
      <x:c r="M182" s="10" t="str">
        <x:v>未测</x:v>
      </x:c>
      <x:c r="N182" s="10" t="str"/>
      <x:c r="O182" s="9" t="str">
        <x:v>1. 来源（当前证据）：liveshow-proto/MainBasis/统一需求文档.md；位置：REQ-5b1eecfc9a27；行3316
2. 规则：BR-42d4d07fc74e46fb
3. 未动态验证</x:v>
      </x:c>
    </x:row>
    <x:row r="183" ht="85" customHeight="1">
      <x:c r="A183" s="10" t="n">
        <x:v>182</x:v>
      </x:c>
      <x:c r="B183" s="10" t="str">
        <x:v>GUILD-01-0030</x:v>
      </x:c>
      <x:c r="C183" s="10" t="str">
        <x:v>登录与首页</x:v>
      </x:c>
      <x:c r="D183" s="10" t="str">
        <x:v>通知消息（公会长视角）</x:v>
      </x:c>
      <x:c r="E183" s="10" t="str">
        <x:v>功能需求</x:v>
      </x:c>
      <x:c r="F183" s="10" t="str">
        <x:v>P2</x:v>
      </x:c>
      <x:c r="G183" s="9" t="str">
        <x:v>验证公会通知按生成时间倒序</x:v>
      </x:c>
      <x:c r="H183" s="9" t="str">
        <x:v>公会通知时间排序</x:v>
      </x:c>
      <x:c r="I183" s="9" t="str">
        <x:v>1. 执行角色为公会长
2. 通知甲10点、乙11点生成</x:v>
      </x:c>
      <x:c r="J183" s="9" t="str">
        <x:v>1. 进入通知消息页</x:v>
      </x:c>
      <x:c r="K183" s="9" t="str">
        <x:v>乙排列在甲之前</x:v>
      </x:c>
      <x:c r="L183" s="10" t="str"/>
      <x:c r="M183" s="10" t="str">
        <x:v>未测</x:v>
      </x:c>
      <x:c r="N183" s="10" t="str"/>
      <x:c r="O183" s="9" t="str">
        <x:v>1. 来源（当前证据）：liveshow-proto/MainBasis/统一需求文档.md；位置：REQ-11aaa73d412a；行2760
2. 规则：BR-89e0e4d1ef1c348f
3. 未动态验证</x:v>
      </x:c>
    </x:row>
    <x:row r="184" ht="85" customHeight="1">
      <x:c r="A184" s="10" t="n">
        <x:v>183</x:v>
      </x:c>
      <x:c r="B184" s="10" t="str">
        <x:v>GUILD-01-0031</x:v>
      </x:c>
      <x:c r="C184" s="10" t="str">
        <x:v>登录与首页</x:v>
      </x:c>
      <x:c r="D184" s="10" t="str">
        <x:v>通知详情（公会长视角）</x:v>
      </x:c>
      <x:c r="E184" s="10" t="str">
        <x:v>逻辑校验</x:v>
      </x:c>
      <x:c r="F184" s="10" t="str">
        <x:v>P1</x:v>
      </x:c>
      <x:c r="G184" s="9" t="str">
        <x:v>验证公会通知详情对应选中业务事件</x:v>
      </x:c>
      <x:c r="H184" s="9" t="str">
        <x:v>公会通知详情内容</x:v>
      </x:c>
      <x:c r="I184" s="9" t="str">
        <x:v>1. 执行角色为公会长
2. 通知N对应主播甲入会申请被平台驳回</x:v>
      </x:c>
      <x:c r="J184" s="9" t="str">
        <x:v>1. 进入通知消息页
2. 点击通知N</x:v>
      </x:c>
      <x:c r="K184" s="9" t="str">
        <x:v>正文对应甲的该次平台驳回事件</x:v>
      </x:c>
      <x:c r="L184" s="10" t="str"/>
      <x:c r="M184" s="10" t="str">
        <x:v>未测</x:v>
      </x:c>
      <x:c r="N184" s="10" t="str"/>
      <x:c r="O184" s="9" t="str">
        <x:v>1. 来源（当前证据）：liveshow-proto/MainBasis/统一需求文档.md；位置：REQ-2ec1339592d2；行2781
2. 规则：BR-c2d241a1052817c4
3. 未动态验证</x:v>
      </x:c>
    </x:row>
    <x:row r="185" ht="85" customHeight="1">
      <x:c r="A185" s="10" t="n">
        <x:v>184</x:v>
      </x:c>
      <x:c r="B185" s="10" t="str">
        <x:v>GUILD-02-0051</x:v>
      </x:c>
      <x:c r="C185" s="10" t="str">
        <x:v>主播管理</x:v>
      </x:c>
      <x:c r="D185" s="10" t="str">
        <x:v>入会申请（公会长视角）</x:v>
      </x:c>
      <x:c r="E185" s="10" t="str">
        <x:v>逻辑校验</x:v>
      </x:c>
      <x:c r="F185" s="10" t="str">
        <x:v>P1</x:v>
      </x:c>
      <x:c r="G185" s="9" t="str">
        <x:v>验证入会审核中包含两种待审阶段</x:v>
      </x:c>
      <x:c r="H185" s="9" t="str">
        <x:v>公会入会审核中集合</x:v>
      </x:c>
      <x:c r="I185" s="9" t="str">
        <x:v>1. 执行角色为公会长
2. 甲待公会审，乙待平台审，丙已平台通过</x:v>
      </x:c>
      <x:c r="J185" s="9" t="str">
        <x:v>1. 进入入会申请页
2. 切换审核中</x:v>
      </x:c>
      <x:c r="K185" s="9" t="str">
        <x:v>列表仅包含甲和乙</x:v>
      </x:c>
      <x:c r="L185" s="10" t="str"/>
      <x:c r="M185" s="10" t="str">
        <x:v>未测</x:v>
      </x:c>
      <x:c r="N185" s="10" t="str"/>
      <x:c r="O185" s="9" t="str">
        <x:v>1. 来源（当前证据）：liveshow-proto/MainBasis/统一需求文档.md；位置：REQ-01aea7c3c29c；行2796
2. 规则：BR-f2946819fe85f537
3. 未动态验证</x:v>
      </x:c>
    </x:row>
    <x:row r="186" ht="85" customHeight="1">
      <x:c r="A186" s="10" t="n">
        <x:v>185</x:v>
      </x:c>
      <x:c r="B186" s="10" t="str">
        <x:v>GUILD-02-0052</x:v>
      </x:c>
      <x:c r="C186" s="10" t="str">
        <x:v>主播管理</x:v>
      </x:c>
      <x:c r="D186" s="10" t="str">
        <x:v>入会申请（公会长视角）</x:v>
      </x:c>
      <x:c r="E186" s="10" t="str">
        <x:v>逻辑校验</x:v>
      </x:c>
      <x:c r="F186" s="10" t="str">
        <x:v>P1</x:v>
      </x:c>
      <x:c r="G186" s="9" t="str">
        <x:v>验证入会驳回列表区分平台驳回</x:v>
      </x:c>
      <x:c r="H186" s="9" t="str">
        <x:v>公会入会驳回阶段</x:v>
      </x:c>
      <x:c r="I186" s="9" t="str">
        <x:v>1. 执行角色为公会长
2. 申请A公会通过后被平台驳回</x:v>
      </x:c>
      <x:c r="J186" s="9" t="str">
        <x:v>1. 进入入会申请页
2. 切换已驳回</x:v>
      </x:c>
      <x:c r="K186" s="9" t="str">
        <x:v>申请A状态显示平台驳回</x:v>
      </x:c>
      <x:c r="L186" s="10" t="str">
        <x:v>FLOW-B8276CAE9E</x:v>
      </x:c>
      <x:c r="M186" s="10" t="str">
        <x:v>未测</x:v>
      </x:c>
      <x:c r="N186" s="10" t="str"/>
      <x:c r="O186" s="9" t="str">
        <x:v>1. 来源（当前证据）：liveshow-proto/MainBasis/统一需求文档.md；位置：REQ-01aea7c3c29c；行2796
2. 规则：BR-8d4c14779d6feb37
3. 未动态验证</x:v>
      </x:c>
    </x:row>
    <x:row r="187" ht="85" customHeight="1">
      <x:c r="A187" s="10" t="n">
        <x:v>186</x:v>
      </x:c>
      <x:c r="B187" s="10" t="str">
        <x:v>GUILD-02-0053</x:v>
      </x:c>
      <x:c r="C187" s="10" t="str">
        <x:v>主播管理</x:v>
      </x:c>
      <x:c r="D187" s="10" t="str">
        <x:v>入会申请详情（公会长视角）</x:v>
      </x:c>
      <x:c r="E187" s="10" t="str">
        <x:v>功能需求</x:v>
      </x:c>
      <x:c r="F187" s="10" t="str">
        <x:v>P2</x:v>
      </x:c>
      <x:c r="G187" s="9" t="str">
        <x:v>验证未完成的平台审核不显示处理时间</x:v>
      </x:c>
      <x:c r="H187" s="9" t="str">
        <x:v>入会未来审核节点时间</x:v>
      </x:c>
      <x:c r="I187" s="9" t="str">
        <x:v>1. 执行角色为公会长
2. 公会已通过，平台待审核</x:v>
      </x:c>
      <x:c r="J187" s="9" t="str">
        <x:v>1. 进入入会申请详情页</x:v>
      </x:c>
      <x:c r="K187" s="9" t="str">
        <x:v>平台审核节点不显示处理完成时间</x:v>
      </x:c>
      <x:c r="L187" s="10" t="str"/>
      <x:c r="M187" s="10" t="str">
        <x:v>未测</x:v>
      </x:c>
      <x:c r="N187" s="10" t="str"/>
      <x:c r="O187" s="9" t="str">
        <x:v>1. 来源（当前证据）：liveshow-proto/MainBasis/统一需求文档.md；位置：REQ-e5d474e04dec；行2823
2. 规则：BR-c67e9606b9575314
3. 未动态验证</x:v>
      </x:c>
    </x:row>
    <x:row r="188" ht="85" customHeight="1">
      <x:c r="A188" s="10" t="n">
        <x:v>187</x:v>
      </x:c>
      <x:c r="B188" s="10" t="str">
        <x:v>GUILD-02-0054</x:v>
      </x:c>
      <x:c r="C188" s="10" t="str">
        <x:v>主播管理</x:v>
      </x:c>
      <x:c r="D188" s="10" t="str">
        <x:v>退会申请详情（公会长视角）</x:v>
      </x:c>
      <x:c r="E188" s="10" t="str">
        <x:v>功能需求</x:v>
      </x:c>
      <x:c r="F188" s="10" t="str">
        <x:v>P2</x:v>
      </x:c>
      <x:c r="G188" s="9" t="str">
        <x:v>验证退会详情显示本次处理时间</x:v>
      </x:c>
      <x:c r="H188" s="9" t="str">
        <x:v>退会审核时间</x:v>
      </x:c>
      <x:c r="I188" s="9" t="str">
        <x:v>1. 执行角色为公会长
2. 退会申请9月15日提交，9月16日10:00审核通过</x:v>
      </x:c>
      <x:c r="J188" s="9" t="str">
        <x:v>1. 进入退会申请详情页</x:v>
      </x:c>
      <x:c r="K188" s="9" t="str">
        <x:v>处理时间对应9月16日10:00</x:v>
      </x:c>
      <x:c r="L188" s="10" t="str"/>
      <x:c r="M188" s="10" t="str">
        <x:v>未测</x:v>
      </x:c>
      <x:c r="N188" s="10" t="str"/>
      <x:c r="O188" s="9" t="str">
        <x:v>1. 来源（当前证据）：liveshow-proto/MainBasis/统一需求文档.md；位置：REQ-d6b381f70c6f；行2871
2. 规则：BR-42ada3aa8d152e9d
3. 未动态验证</x:v>
      </x:c>
    </x:row>
    <x:row r="189" ht="85" customHeight="1">
      <x:c r="A189" s="10" t="n">
        <x:v>188</x:v>
      </x:c>
      <x:c r="B189" s="10" t="str">
        <x:v>GUILD-02-0055</x:v>
      </x:c>
      <x:c r="C189" s="10" t="str">
        <x:v>主播管理</x:v>
      </x:c>
      <x:c r="D189" s="10" t="str">
        <x:v>主播列表（公会长视角）</x:v>
      </x:c>
      <x:c r="E189" s="10" t="str">
        <x:v>功能需求</x:v>
      </x:c>
      <x:c r="F189" s="10" t="str">
        <x:v>P2</x:v>
      </x:c>
      <x:c r="G189" s="9" t="str">
        <x:v>验证主播列表默认当前在会</x:v>
      </x:c>
      <x:c r="H189" s="9" t="str">
        <x:v>公会主播默认分类</x:v>
      </x:c>
      <x:c r="I189" s="9" t="str">
        <x:v>1. 执行角色为公会长</x:v>
      </x:c>
      <x:c r="J189" s="9" t="str">
        <x:v>1. 进入主播列表页</x:v>
      </x:c>
      <x:c r="K189" s="9" t="str">
        <x:v>默认选中在会</x:v>
      </x:c>
      <x:c r="L189" s="10" t="str"/>
      <x:c r="M189" s="10" t="str">
        <x:v>未测</x:v>
      </x:c>
      <x:c r="N189" s="10" t="str"/>
      <x:c r="O189" s="9" t="str">
        <x:v>1. 来源（当前证据）：liveshow-proto/MainBasis/统一需求文档.md；位置：REQ-0d0a38bc020e；行2886
2. 规则：BR-cf7b6e3efbb46485
3. 未动态验证</x:v>
      </x:c>
    </x:row>
    <x:row r="190" ht="85" customHeight="1">
      <x:c r="A190" s="10" t="n">
        <x:v>189</x:v>
      </x:c>
      <x:c r="B190" s="10" t="str">
        <x:v>GUILD-02-0056</x:v>
      </x:c>
      <x:c r="C190" s="10" t="str">
        <x:v>主播管理</x:v>
      </x:c>
      <x:c r="D190" s="10" t="str">
        <x:v>主播列表（公会长视角）</x:v>
      </x:c>
      <x:c r="E190" s="10" t="str">
        <x:v>功能需求</x:v>
      </x:c>
      <x:c r="F190" s="10" t="str">
        <x:v>P2</x:v>
      </x:c>
      <x:c r="G190" s="9" t="str">
        <x:v>验证主播列表按本次加入时间排序</x:v>
      </x:c>
      <x:c r="H190" s="9" t="str">
        <x:v>公会成员加入排序</x:v>
      </x:c>
      <x:c r="I190" s="9" t="str">
        <x:v>1. 执行角色为公会长
2. 甲9月1日加入，乙9月10日加入</x:v>
      </x:c>
      <x:c r="J190" s="9" t="str">
        <x:v>1. 进入主播列表页</x:v>
      </x:c>
      <x:c r="K190" s="9" t="str">
        <x:v>乙排列在甲之前</x:v>
      </x:c>
      <x:c r="L190" s="10" t="str"/>
      <x:c r="M190" s="10" t="str">
        <x:v>未测</x:v>
      </x:c>
      <x:c r="N190" s="10" t="str"/>
      <x:c r="O190" s="9" t="str">
        <x:v>1. 来源（当前证据）：liveshow-proto/MainBasis/统一需求文档.md；位置：REQ-5f9e6c9e5f24；行2894
2. 规则：BR-34ae606404fe56a5
3. 未动态验证</x:v>
      </x:c>
    </x:row>
    <x:row r="191" ht="85" customHeight="1">
      <x:c r="A191" s="10" t="n">
        <x:v>190</x:v>
      </x:c>
      <x:c r="B191" s="10" t="str">
        <x:v>GUILD-02-0057</x:v>
      </x:c>
      <x:c r="C191" s="10" t="str">
        <x:v>主播管理</x:v>
      </x:c>
      <x:c r="D191" s="10" t="str">
        <x:v>主播列表（公会长视角）</x:v>
      </x:c>
      <x:c r="E191" s="10" t="str">
        <x:v>功能需求</x:v>
      </x:c>
      <x:c r="F191" s="10" t="str">
        <x:v>P2</x:v>
      </x:c>
      <x:c r="G191" s="9" t="str">
        <x:v>验证主播列表按主播ID查找</x:v>
      </x:c>
      <x:c r="H191" s="9" t="str">
        <x:v>主播列表ID搜索</x:v>
      </x:c>
      <x:c r="I191" s="9" t="str">
        <x:v>1. 执行角色为公会长
2. 当前公会主播甲ID1001，乙ID1002</x:v>
      </x:c>
      <x:c r="J191" s="9" t="str">
        <x:v>1. 进入主播列表页
2. 输入搜索框为1001</x:v>
      </x:c>
      <x:c r="K191" s="9" t="str">
        <x:v>结果仅显示甲</x:v>
      </x:c>
      <x:c r="L191" s="10" t="str"/>
      <x:c r="M191" s="10" t="str">
        <x:v>未测</x:v>
      </x:c>
      <x:c r="N191" s="10" t="str"/>
      <x:c r="O191" s="9" t="str">
        <x:v>1. 来源（当前证据）：liveshow-proto/MainBasis/统一需求文档.md；位置：REQ-946b654076e0；行2888
2. 规则：BR-03b1fee55fbe916c
3. 未动态验证</x:v>
      </x:c>
    </x:row>
    <x:row r="192" ht="85" customHeight="1">
      <x:c r="A192" s="10" t="n">
        <x:v>191</x:v>
      </x:c>
      <x:c r="B192" s="10" t="str">
        <x:v>GUILD-02-0058</x:v>
      </x:c>
      <x:c r="C192" s="10" t="str">
        <x:v>主播管理</x:v>
      </x:c>
      <x:c r="D192" s="10" t="str">
        <x:v>主播业绩（公会长视角）</x:v>
      </x:c>
      <x:c r="E192" s="10" t="str">
        <x:v>功能需求</x:v>
      </x:c>
      <x:c r="F192" s="10" t="str">
        <x:v>P2</x:v>
      </x:c>
      <x:c r="G192" s="9" t="str">
        <x:v>验证主播业绩按主播ID查找</x:v>
      </x:c>
      <x:c r="H192" s="9" t="str">
        <x:v>主播业绩ID搜索</x:v>
      </x:c>
      <x:c r="I192" s="9" t="str">
        <x:v>1. 执行角色为公会长
2. 当前公会主播甲ID1001，乙ID1002</x:v>
      </x:c>
      <x:c r="J192" s="9" t="str">
        <x:v>1. 进入主播业绩页
2. 输入搜索框为1001</x:v>
      </x:c>
      <x:c r="K192" s="9" t="str">
        <x:v>结果仅显示甲</x:v>
      </x:c>
      <x:c r="L192" s="10" t="str"/>
      <x:c r="M192" s="10" t="str">
        <x:v>未测</x:v>
      </x:c>
      <x:c r="N192" s="10" t="str"/>
      <x:c r="O192" s="9" t="str">
        <x:v>1. 来源（当前证据）：liveshow-proto/MainBasis/统一需求文档.md；位置：REQ-b714dfa901eb；行2907
2. 规则：BR-e0ffc09b4c21b94d
3. 未动态验证</x:v>
      </x:c>
    </x:row>
    <x:row r="193" ht="85" customHeight="1">
      <x:c r="A193" s="10" t="n">
        <x:v>192</x:v>
      </x:c>
      <x:c r="B193" s="10" t="str">
        <x:v>GUILD-03-0052</x:v>
      </x:c>
      <x:c r="C193" s="10" t="str">
        <x:v>运营工具</x:v>
      </x:c>
      <x:c r="D193" s="10" t="str">
        <x:v>选择主播（公会长视角）</x:v>
      </x:c>
      <x:c r="E193" s="10" t="str">
        <x:v>功能需求</x:v>
      </x:c>
      <x:c r="F193" s="10" t="str">
        <x:v>P2</x:v>
      </x:c>
      <x:c r="G193" s="9" t="str">
        <x:v>验证选择主播按主播ID查找</x:v>
      </x:c>
      <x:c r="H193" s="9" t="str">
        <x:v>选择主播ID搜索</x:v>
      </x:c>
      <x:c r="I193" s="9" t="str">
        <x:v>1. 执行角色为公会长
2. 当前公会主播甲ID1001，乙ID1002</x:v>
      </x:c>
      <x:c r="J193" s="9" t="str">
        <x:v>1. 进入选择主播页
2. 输入搜索框为1001</x:v>
      </x:c>
      <x:c r="K193" s="9" t="str">
        <x:v>结果仅显示甲</x:v>
      </x:c>
      <x:c r="L193" s="10" t="str"/>
      <x:c r="M193" s="10" t="str">
        <x:v>未测</x:v>
      </x:c>
      <x:c r="N193" s="10" t="str"/>
      <x:c r="O193" s="9" t="str">
        <x:v>1. 来源（当前证据）：liveshow-proto/MainBasis/统一需求文档.md；位置：REQ-7012869c65e6；行3056
2. 规则：BR-99c62ed2a416ccac
3. 未动态验证</x:v>
      </x:c>
    </x:row>
    <x:row r="194" ht="85" customHeight="1">
      <x:c r="A194" s="10" t="n">
        <x:v>193</x:v>
      </x:c>
      <x:c r="B194" s="10" t="str">
        <x:v>GUILD-05-0035</x:v>
      </x:c>
      <x:c r="C194" s="10" t="str">
        <x:v>数据与收益</x:v>
      </x:c>
      <x:c r="D194" s="10" t="str">
        <x:v>选择主播（多选）（公会长视角）</x:v>
      </x:c>
      <x:c r="E194" s="10" t="str">
        <x:v>功能需求</x:v>
      </x:c>
      <x:c r="F194" s="10" t="str">
        <x:v>P2</x:v>
      </x:c>
      <x:c r="G194" s="9" t="str">
        <x:v>验证选择主播（多选）按主播ID查找</x:v>
      </x:c>
      <x:c r="H194" s="9" t="str">
        <x:v>选择主播（多选）ID搜索</x:v>
      </x:c>
      <x:c r="I194" s="9" t="str">
        <x:v>1. 执行角色为公会长
2. 当前公会主播甲ID1001，乙ID1002</x:v>
      </x:c>
      <x:c r="J194" s="9" t="str">
        <x:v>1. 进入选择主播（多选）页
2. 输入搜索框为1001</x:v>
      </x:c>
      <x:c r="K194" s="9" t="str">
        <x:v>结果仅显示甲</x:v>
      </x:c>
      <x:c r="L194" s="10" t="str"/>
      <x:c r="M194" s="10" t="str">
        <x:v>未测</x:v>
      </x:c>
      <x:c r="N194" s="10" t="str"/>
      <x:c r="O194" s="9" t="str">
        <x:v>1. 来源（当前证据）：liveshow-proto/MainBasis/统一需求文档.md；位置：REQ-2ee500261795；行3464
2. 规则：BR-f67e9f14cc0ef38b
3. 未动态验证</x:v>
      </x:c>
    </x:row>
    <x:row r="195" ht="115" customHeight="1">
      <x:c r="A195" s="10" t="n">
        <x:v>194</x:v>
      </x:c>
      <x:c r="B195" s="10" t="str">
        <x:v>GUILD-02-0059</x:v>
      </x:c>
      <x:c r="C195" s="10" t="str">
        <x:v>主播管理</x:v>
      </x:c>
      <x:c r="D195" s="10" t="str">
        <x:v>主播业绩（公会长视角）</x:v>
      </x:c>
      <x:c r="E195" s="10" t="str">
        <x:v>逻辑校验</x:v>
      </x:c>
      <x:c r="F195" s="10" t="str">
        <x:v>P1</x:v>
      </x:c>
      <x:c r="G195" s="9" t="str">
        <x:v>验证主播业绩主播等级不混用财富等级</x:v>
      </x:c>
      <x:c r="H195" s="9" t="str">
        <x:v>主播业绩主播等级</x:v>
      </x:c>
      <x:c r="I195" s="9" t="str">
        <x:v>1. 执行角色为公会长
2. 已生效主播等级门槛为1级0、2级100、3级300、4级1000金币；主播累计获得普通礼物真实收益300金币，另收到运营虚拟赠礼1000金币；财务已上传分成50USD；当前财富等级5</x:v>
      </x:c>
      <x:c r="J195" s="9" t="str">
        <x:v>1. 进入主播业绩页</x:v>
      </x:c>
      <x:c r="K195" s="9" t="str">
        <x:v>主播等级显示3</x:v>
      </x:c>
      <x:c r="L195" s="10" t="str"/>
      <x:c r="M195" s="10" t="str">
        <x:v>未测</x:v>
      </x:c>
      <x:c r="N195" s="10" t="str"/>
      <x:c r="O195" s="9" t="str">
        <x:v>1. 来源（当前证据）：liveshow-proto/MainBasis/统一需求文档.md；位置：REQ-5891c9734594；行2913、REQ-399f8c398faf；行4334
2. 规则：BR-73aa86c8a5d5a6b7
3. 未动态验证</x:v>
      </x:c>
    </x:row>
    <x:row r="196" ht="115" customHeight="1">
      <x:c r="A196" s="10" t="n">
        <x:v>195</x:v>
      </x:c>
      <x:c r="B196" s="10" t="str">
        <x:v>GUILD-02-0060</x:v>
      </x:c>
      <x:c r="C196" s="10" t="str">
        <x:v>主播管理</x:v>
      </x:c>
      <x:c r="D196" s="10" t="str">
        <x:v>主播数据（公会长视角）</x:v>
      </x:c>
      <x:c r="E196" s="10" t="str">
        <x:v>逻辑校验</x:v>
      </x:c>
      <x:c r="F196" s="10" t="str">
        <x:v>P1</x:v>
      </x:c>
      <x:c r="G196" s="9" t="str">
        <x:v>验证主播数据主播等级不混用财富等级</x:v>
      </x:c>
      <x:c r="H196" s="9" t="str">
        <x:v>主播数据主播等级</x:v>
      </x:c>
      <x:c r="I196" s="9" t="str">
        <x:v>1. 执行角色为公会长
2. 已生效主播等级门槛为1级0、2级100、3级300、4级1000金币；主播累计获得普通礼物真实收益300金币，另收到运营虚拟赠礼1000金币；财务已上传分成50USD；当前财富等级5</x:v>
      </x:c>
      <x:c r="J196" s="9" t="str">
        <x:v>1. 进入主播数据页</x:v>
      </x:c>
      <x:c r="K196" s="9" t="str">
        <x:v>主播等级显示3</x:v>
      </x:c>
      <x:c r="L196" s="10" t="str"/>
      <x:c r="M196" s="10" t="str">
        <x:v>未测</x:v>
      </x:c>
      <x:c r="N196" s="10" t="str"/>
      <x:c r="O196" s="9" t="str">
        <x:v>1. 来源（当前证据）：liveshow-proto/MainBasis/统一需求文档.md；位置：REQ-75eff86df698；行2944、REQ-399f8c398faf；行4334
2. 规则：BR-abb959c22ea73fdf
3. 未动态验证</x:v>
      </x:c>
    </x:row>
    <x:row r="197" ht="115" customHeight="1">
      <x:c r="A197" s="10" t="n">
        <x:v>196</x:v>
      </x:c>
      <x:c r="B197" s="10" t="str">
        <x:v>GUILD-02-0061</x:v>
      </x:c>
      <x:c r="C197" s="10" t="str">
        <x:v>主播管理</x:v>
      </x:c>
      <x:c r="D197" s="10" t="str">
        <x:v>主播主页（公会长视角）</x:v>
      </x:c>
      <x:c r="E197" s="10" t="str">
        <x:v>逻辑校验</x:v>
      </x:c>
      <x:c r="F197" s="10" t="str">
        <x:v>P1</x:v>
      </x:c>
      <x:c r="G197" s="9" t="str">
        <x:v>验证主播主页主播等级不混用财富等级</x:v>
      </x:c>
      <x:c r="H197" s="9" t="str">
        <x:v>主播主页主播等级</x:v>
      </x:c>
      <x:c r="I197" s="9" t="str">
        <x:v>1. 执行角色为公会长
2. 已生效主播等级门槛为1级0、2级100、3级300、4级1000金币；主播累计获得普通礼物真实收益300金币，另收到运营虚拟赠礼1000金币；财务已上传分成50USD；当前财富等级5</x:v>
      </x:c>
      <x:c r="J197" s="9" t="str">
        <x:v>1. 进入主播主页</x:v>
      </x:c>
      <x:c r="K197" s="9" t="str">
        <x:v>主播等级显示3</x:v>
      </x:c>
      <x:c r="L197" s="10" t="str"/>
      <x:c r="M197" s="10" t="str">
        <x:v>未测</x:v>
      </x:c>
      <x:c r="N197" s="10" t="str"/>
      <x:c r="O197" s="9" t="str">
        <x:v>1. 来源（当前证据）：liveshow-proto/MainBasis/统一需求文档.md；位置：REQ-a82a66570557；行2975、REQ-399f8c398faf；行4334
2. 规则：BR-86f9fd7212da2469
3. 未动态验证</x:v>
      </x:c>
    </x:row>
    <x:row r="198" ht="115" customHeight="1">
      <x:c r="A198" s="10" t="n">
        <x:v>197</x:v>
      </x:c>
      <x:c r="B198" s="10" t="str">
        <x:v>GUILD-05-0036</x:v>
      </x:c>
      <x:c r="C198" s="10" t="str">
        <x:v>数据与收益</x:v>
      </x:c>
      <x:c r="D198" s="10" t="str">
        <x:v>每日（公会长视角）</x:v>
      </x:c>
      <x:c r="E198" s="10" t="str">
        <x:v>逻辑校验</x:v>
      </x:c>
      <x:c r="F198" s="10" t="str">
        <x:v>P1</x:v>
      </x:c>
      <x:c r="G198" s="9" t="str">
        <x:v>验证每日主播等级不混用财富等级</x:v>
      </x:c>
      <x:c r="H198" s="9" t="str">
        <x:v>每日主播等级</x:v>
      </x:c>
      <x:c r="I198" s="9" t="str">
        <x:v>1. 执行角色为公会长
2. 已生效主播等级门槛为1级0、2级100、3级300、4级1000金币；主播累计获得普通礼物真实收益300金币，另收到运营虚拟赠礼1000金币；财务已上传分成50USD；当前财富等级5</x:v>
      </x:c>
      <x:c r="J198" s="9" t="str">
        <x:v>1. 进入每日页</x:v>
      </x:c>
      <x:c r="K198" s="9" t="str">
        <x:v>主播等级显示3</x:v>
      </x:c>
      <x:c r="L198" s="10" t="str"/>
      <x:c r="M198" s="10" t="str">
        <x:v>未测</x:v>
      </x:c>
      <x:c r="N198" s="10" t="str"/>
      <x:c r="O198" s="9" t="str">
        <x:v>1. 来源（当前证据）：liveshow-proto/MainBasis/统一需求文档.md；位置：REQ-588e794e69c3；行3417、REQ-399f8c398faf；行4334
2. 规则：BR-5a71df04eb886ab8
3. 未动态验证</x:v>
      </x:c>
    </x:row>
    <x:row r="199" ht="85" customHeight="1">
      <x:c r="A199" s="10" t="n">
        <x:v>198</x:v>
      </x:c>
      <x:c r="B199" s="10" t="str">
        <x:v>GUILD-02-0062</x:v>
      </x:c>
      <x:c r="C199" s="10" t="str">
        <x:v>主播管理</x:v>
      </x:c>
      <x:c r="D199" s="10" t="str">
        <x:v>主播业绩（公会长视角）</x:v>
      </x:c>
      <x:c r="E199" s="10" t="str">
        <x:v>功能需求</x:v>
      </x:c>
      <x:c r="F199" s="10" t="str">
        <x:v>P2</x:v>
      </x:c>
      <x:c r="G199" s="9" t="str">
        <x:v>验证主播业绩保留退会标识</x:v>
      </x:c>
      <x:c r="H199" s="9" t="str">
        <x:v>主播业绩退会标识</x:v>
      </x:c>
      <x:c r="I199" s="9" t="str">
        <x:v>1. 执行角色为公会长
2. 该主播有历史业绩且已退出当前公会</x:v>
      </x:c>
      <x:c r="J199" s="9" t="str">
        <x:v>1. 进入主播业绩页</x:v>
      </x:c>
      <x:c r="K199" s="9" t="str">
        <x:v>该主播显示“退会”标记</x:v>
      </x:c>
      <x:c r="L199" s="10" t="str"/>
      <x:c r="M199" s="10" t="str">
        <x:v>未测</x:v>
      </x:c>
      <x:c r="N199" s="10" t="str"/>
      <x:c r="O199" s="9" t="str">
        <x:v>1. 来源（当前证据）：liveshow-proto/MainBasis/统一需求文档.md；位置：REQ-1eac88140da3；行2915
2. 规则：BR-8ca887945be8a0bc
3. 未动态验证</x:v>
      </x:c>
    </x:row>
    <x:row r="200" ht="85" customHeight="1">
      <x:c r="A200" s="10" t="n">
        <x:v>199</x:v>
      </x:c>
      <x:c r="B200" s="10" t="str">
        <x:v>GUILD-02-0063</x:v>
      </x:c>
      <x:c r="C200" s="10" t="str">
        <x:v>主播管理</x:v>
      </x:c>
      <x:c r="D200" s="10" t="str">
        <x:v>主播数据（公会长视角）</x:v>
      </x:c>
      <x:c r="E200" s="10" t="str">
        <x:v>功能需求</x:v>
      </x:c>
      <x:c r="F200" s="10" t="str">
        <x:v>P2</x:v>
      </x:c>
      <x:c r="G200" s="9" t="str">
        <x:v>验证主播数据保留退会标识</x:v>
      </x:c>
      <x:c r="H200" s="9" t="str">
        <x:v>主播数据退会标识</x:v>
      </x:c>
      <x:c r="I200" s="9" t="str">
        <x:v>1. 执行角色为公会长
2. 该主播有历史业绩且已退出当前公会</x:v>
      </x:c>
      <x:c r="J200" s="9" t="str">
        <x:v>1. 进入主播数据页</x:v>
      </x:c>
      <x:c r="K200" s="9" t="str">
        <x:v>该主播显示“退会”标记</x:v>
      </x:c>
      <x:c r="L200" s="10" t="str"/>
      <x:c r="M200" s="10" t="str">
        <x:v>未测</x:v>
      </x:c>
      <x:c r="N200" s="10" t="str"/>
      <x:c r="O200" s="9" t="str">
        <x:v>1. 来源（当前证据）：liveshow-proto/MainBasis/统一需求文档.md；位置：REQ-396541118a33；行2948
2. 规则：BR-541341632d213071
3. 未动态验证</x:v>
      </x:c>
    </x:row>
    <x:row r="201" ht="85" customHeight="1">
      <x:c r="A201" s="10" t="n">
        <x:v>200</x:v>
      </x:c>
      <x:c r="B201" s="10" t="str">
        <x:v>GUILD-02-0064</x:v>
      </x:c>
      <x:c r="C201" s="10" t="str">
        <x:v>主播管理</x:v>
      </x:c>
      <x:c r="D201" s="10" t="str">
        <x:v>主播数据（公会长视角）</x:v>
      </x:c>
      <x:c r="E201" s="10" t="str">
        <x:v>功能需求</x:v>
      </x:c>
      <x:c r="F201" s="10" t="str">
        <x:v>P2</x:v>
      </x:c>
      <x:c r="G201" s="9" t="str">
        <x:v>验证主播在播的实时标记</x:v>
      </x:c>
      <x:c r="H201" s="9" t="str">
        <x:v>公会主播实时状态</x:v>
      </x:c>
      <x:c r="I201" s="9" t="str">
        <x:v>1. 执行角色为公会长
2. 目标主播当前正在直播</x:v>
      </x:c>
      <x:c r="J201" s="9" t="str">
        <x:v>1. 进入主播数据页</x:v>
      </x:c>
      <x:c r="K201" s="9" t="str">
        <x:v>显示直播中标记</x:v>
      </x:c>
      <x:c r="L201" s="10" t="str"/>
      <x:c r="M201" s="10" t="str">
        <x:v>未测</x:v>
      </x:c>
      <x:c r="N201" s="10" t="str"/>
      <x:c r="O201" s="9" t="str">
        <x:v>1. 来源（当前证据）：liveshow-proto/MainBasis/统一需求文档.md；位置：REQ-dd4a60d7c8f3；行2946
2. 规则：BR-f5eecea9df91a376
3. 未动态验证</x:v>
      </x:c>
    </x:row>
    <x:row r="202" ht="85" customHeight="1">
      <x:c r="A202" s="10" t="n">
        <x:v>201</x:v>
      </x:c>
      <x:c r="B202" s="10" t="str">
        <x:v>GUILD-02-0065</x:v>
      </x:c>
      <x:c r="C202" s="10" t="str">
        <x:v>主播管理</x:v>
      </x:c>
      <x:c r="D202" s="10" t="str">
        <x:v>主播数据（公会长视角）</x:v>
      </x:c>
      <x:c r="E202" s="10" t="str">
        <x:v>功能需求</x:v>
      </x:c>
      <x:c r="F202" s="10" t="str">
        <x:v>P2</x:v>
      </x:c>
      <x:c r="G202" s="9" t="str">
        <x:v>验证主播未开播的实时标记</x:v>
      </x:c>
      <x:c r="H202" s="9" t="str">
        <x:v>公会主播实时状态</x:v>
      </x:c>
      <x:c r="I202" s="9" t="str">
        <x:v>1. 执行角色为公会长
2. 目标主播当前未开播</x:v>
      </x:c>
      <x:c r="J202" s="9" t="str">
        <x:v>1. 进入主播数据页</x:v>
      </x:c>
      <x:c r="K202" s="9" t="str">
        <x:v>不显示直播中标记</x:v>
      </x:c>
      <x:c r="L202" s="10" t="str"/>
      <x:c r="M202" s="10" t="str">
        <x:v>未测</x:v>
      </x:c>
      <x:c r="N202" s="10" t="str"/>
      <x:c r="O202" s="9" t="str">
        <x:v>1. 来源（当前证据）：liveshow-proto/MainBasis/统一需求文档.md；位置：REQ-dd4a60d7c8f3；行2946
2. 规则：BR-63bf6973d1525796
3. 未动态验证</x:v>
      </x:c>
    </x:row>
    <x:row r="203" ht="85" customHeight="1">
      <x:c r="A203" s="10" t="n">
        <x:v>202</x:v>
      </x:c>
      <x:c r="B203" s="10" t="str">
        <x:v>GUILD-02-0066</x:v>
      </x:c>
      <x:c r="C203" s="10" t="str">
        <x:v>主播管理</x:v>
      </x:c>
      <x:c r="D203" s="10" t="str">
        <x:v>主播主页（公会长视角）</x:v>
      </x:c>
      <x:c r="E203" s="10" t="str">
        <x:v>功能需求</x:v>
      </x:c>
      <x:c r="F203" s="10" t="str">
        <x:v>P2</x:v>
      </x:c>
      <x:c r="G203" s="9" t="str">
        <x:v>验证公会查看主播认证本人照片</x:v>
      </x:c>
      <x:c r="H203" s="9" t="str">
        <x:v>主播认证本人照片详情</x:v>
      </x:c>
      <x:c r="I203" s="9" t="str">
        <x:v>1. 执行角色为公会长
2. 主播认证材料包含本人照片图片A</x:v>
      </x:c>
      <x:c r="J203" s="9" t="str">
        <x:v>1. 进入主播主页
2. 点击本人照片</x:v>
      </x:c>
      <x:c r="K203" s="9" t="str">
        <x:v>打开所选认证图片大图</x:v>
      </x:c>
      <x:c r="L203" s="10" t="str"/>
      <x:c r="M203" s="10" t="str">
        <x:v>未测</x:v>
      </x:c>
      <x:c r="N203" s="10" t="str"/>
      <x:c r="O203" s="9" t="str">
        <x:v>1. 来源（当前证据）：liveshow-proto/MainBasis/统一需求文档.md；位置：REQ-be79750ac19b；行2981
2. 规则：BR-a51178ce5f4c8d45
3. 未动态验证</x:v>
      </x:c>
    </x:row>
    <x:row r="204" ht="85" customHeight="1">
      <x:c r="A204" s="10" t="n">
        <x:v>203</x:v>
      </x:c>
      <x:c r="B204" s="10" t="str">
        <x:v>GUILD-02-0067</x:v>
      </x:c>
      <x:c r="C204" s="10" t="str">
        <x:v>主播管理</x:v>
      </x:c>
      <x:c r="D204" s="10" t="str">
        <x:v>主播主页（公会长视角）</x:v>
      </x:c>
      <x:c r="E204" s="10" t="str">
        <x:v>功能需求</x:v>
      </x:c>
      <x:c r="F204" s="10" t="str">
        <x:v>P2</x:v>
      </x:c>
      <x:c r="G204" s="9" t="str">
        <x:v>验证公会查看主播认证证件正面</x:v>
      </x:c>
      <x:c r="H204" s="9" t="str">
        <x:v>主播认证证件正面详情</x:v>
      </x:c>
      <x:c r="I204" s="9" t="str">
        <x:v>1. 执行角色为公会长
2. 主播认证材料包含证件正面图片A</x:v>
      </x:c>
      <x:c r="J204" s="9" t="str">
        <x:v>1. 进入主播主页
2. 点击证件正面</x:v>
      </x:c>
      <x:c r="K204" s="9" t="str">
        <x:v>打开所选认证图片大图</x:v>
      </x:c>
      <x:c r="L204" s="10" t="str"/>
      <x:c r="M204" s="10" t="str">
        <x:v>未测</x:v>
      </x:c>
      <x:c r="N204" s="10" t="str"/>
      <x:c r="O204" s="9" t="str">
        <x:v>1. 来源（当前证据）：liveshow-proto/MainBasis/统一需求文档.md；位置：REQ-be79750ac19b；行2981
2. 规则：BR-f6ea444eafc58d1d
3. 未动态验证</x:v>
      </x:c>
    </x:row>
    <x:row r="205" ht="85" customHeight="1">
      <x:c r="A205" s="10" t="n">
        <x:v>204</x:v>
      </x:c>
      <x:c r="B205" s="10" t="str">
        <x:v>GUILD-02-0068</x:v>
      </x:c>
      <x:c r="C205" s="10" t="str">
        <x:v>主播管理</x:v>
      </x:c>
      <x:c r="D205" s="10" t="str">
        <x:v>主播主页（公会长视角）</x:v>
      </x:c>
      <x:c r="E205" s="10" t="str">
        <x:v>功能需求</x:v>
      </x:c>
      <x:c r="F205" s="10" t="str">
        <x:v>P2</x:v>
      </x:c>
      <x:c r="G205" s="9" t="str">
        <x:v>验证公会查看主播认证证件反面</x:v>
      </x:c>
      <x:c r="H205" s="9" t="str">
        <x:v>主播认证证件反面详情</x:v>
      </x:c>
      <x:c r="I205" s="9" t="str">
        <x:v>1. 执行角色为公会长
2. 主播认证材料包含证件反面图片A</x:v>
      </x:c>
      <x:c r="J205" s="9" t="str">
        <x:v>1. 进入主播主页
2. 点击证件反面</x:v>
      </x:c>
      <x:c r="K205" s="9" t="str">
        <x:v>打开所选认证图片大图</x:v>
      </x:c>
      <x:c r="L205" s="10" t="str"/>
      <x:c r="M205" s="10" t="str">
        <x:v>未测</x:v>
      </x:c>
      <x:c r="N205" s="10" t="str"/>
      <x:c r="O205" s="9" t="str">
        <x:v>1. 来源（当前证据）：liveshow-proto/MainBasis/统一需求文档.md；位置：REQ-be79750ac19b；行2981
2. 规则：BR-601f8153e564edb5
3. 未动态验证</x:v>
      </x:c>
    </x:row>
    <x:row r="206" ht="85" customHeight="1">
      <x:c r="A206" s="10" t="n">
        <x:v>205</x:v>
      </x:c>
      <x:c r="B206" s="10" t="str">
        <x:v>GUILD-02-0069</x:v>
      </x:c>
      <x:c r="C206" s="10" t="str">
        <x:v>主播管理</x:v>
      </x:c>
      <x:c r="D206" s="10" t="str">
        <x:v>主播主页（公会长视角）</x:v>
      </x:c>
      <x:c r="E206" s="10" t="str">
        <x:v>逻辑校验</x:v>
      </x:c>
      <x:c r="F206" s="10" t="str">
        <x:v>P1</x:v>
      </x:c>
      <x:c r="G206" s="9" t="str">
        <x:v>验证主播主页直播次数排除进行中场次</x:v>
      </x:c>
      <x:c r="H206" s="9" t="str">
        <x:v>公会主播已完成直播次数</x:v>
      </x:c>
      <x:c r="I206" s="9" t="str">
        <x:v>1. 执行角色为公会长
2. 已完成2场，另1场当前在播</x:v>
      </x:c>
      <x:c r="J206" s="9" t="str">
        <x:v>1. 进入主播主页</x:v>
      </x:c>
      <x:c r="K206" s="9" t="str">
        <x:v>直播次数显示2</x:v>
      </x:c>
      <x:c r="L206" s="10" t="str"/>
      <x:c r="M206" s="10" t="str">
        <x:v>未测</x:v>
      </x:c>
      <x:c r="N206" s="10" t="str"/>
      <x:c r="O206" s="9" t="str">
        <x:v>1. 来源（当前证据）：liveshow-proto/MainBasis/统一需求文档.md；位置：REQ-bccc67cb07b8；行3001
2. 规则：BR-25bb8f2f791b334a
3. 未动态验证</x:v>
      </x:c>
    </x:row>
    <x:row r="207" ht="85" customHeight="1">
      <x:c r="A207" s="10" t="n">
        <x:v>206</x:v>
      </x:c>
      <x:c r="B207" s="10" t="str">
        <x:v>GUILD-02-0070</x:v>
      </x:c>
      <x:c r="C207" s="10" t="str">
        <x:v>主播管理</x:v>
      </x:c>
      <x:c r="D207" s="10" t="str">
        <x:v>主播主页（公会长视角）</x:v>
      </x:c>
      <x:c r="E207" s="10" t="str">
        <x:v>逻辑校验</x:v>
      </x:c>
      <x:c r="F207" s="10" t="str">
        <x:v>P1</x:v>
      </x:c>
      <x:c r="G207" s="9" t="str">
        <x:v>验证主播主页时长仅累计已完成场次</x:v>
      </x:c>
      <x:c r="H207" s="9" t="str">
        <x:v>公会主播历史直播时长</x:v>
      </x:c>
      <x:c r="I207" s="9" t="str">
        <x:v>1. 执行角色为公会长
2. 已完成两场分别60分钟和90分钟，另有进行中场次20分钟</x:v>
      </x:c>
      <x:c r="J207" s="9" t="str">
        <x:v>1. 进入主播主页</x:v>
      </x:c>
      <x:c r="K207" s="9" t="str">
        <x:v>直播时长显示2小时30分钟</x:v>
      </x:c>
      <x:c r="L207" s="10" t="str"/>
      <x:c r="M207" s="10" t="str">
        <x:v>未测</x:v>
      </x:c>
      <x:c r="N207" s="10" t="str"/>
      <x:c r="O207" s="9" t="str">
        <x:v>1. 来源（当前证据）：liveshow-proto/MainBasis/统一需求文档.md；位置：REQ-0e48ead52cc5；行3003
2. 规则：BR-ccf3eee198bdd697
3. 未动态验证</x:v>
      </x:c>
    </x:row>
    <x:row r="208" ht="85" customHeight="1">
      <x:c r="A208" s="10" t="n">
        <x:v>207</x:v>
      </x:c>
      <x:c r="B208" s="10" t="str">
        <x:v>GUILD-02-0071</x:v>
      </x:c>
      <x:c r="C208" s="10" t="str">
        <x:v>主播管理</x:v>
      </x:c>
      <x:c r="D208" s="10" t="str">
        <x:v>主播主页（公会长视角）</x:v>
      </x:c>
      <x:c r="E208" s="10" t="str">
        <x:v>逻辑校验</x:v>
      </x:c>
      <x:c r="F208" s="10" t="str">
        <x:v>P1</x:v>
      </x:c>
      <x:c r="G208" s="9" t="str">
        <x:v>验证主播主页违规统计包含两类</x:v>
      </x:c>
      <x:c r="H208" s="9" t="str">
        <x:v>公会主播累计违规范围</x:v>
      </x:c>
      <x:c r="I208" s="9" t="str">
        <x:v>1. 执行角色为公会长
2. 该主播直播间违规2条、账号违规1条</x:v>
      </x:c>
      <x:c r="J208" s="9" t="str">
        <x:v>1. 进入主播主页</x:v>
      </x:c>
      <x:c r="K208" s="9" t="str">
        <x:v>累计违规显示3</x:v>
      </x:c>
      <x:c r="L208" s="10" t="str"/>
      <x:c r="M208" s="10" t="str">
        <x:v>未测</x:v>
      </x:c>
      <x:c r="N208" s="10" t="str"/>
      <x:c r="O208" s="9" t="str">
        <x:v>1. 来源（当前证据）：liveshow-proto/MainBasis/统一需求文档.md；位置：REQ-8af217e09909；行3005
2. 规则：BR-a95f23d22f837f82
3. 未动态验证</x:v>
      </x:c>
    </x:row>
    <x:row r="209" ht="85" customHeight="1">
      <x:c r="A209" s="10" t="n">
        <x:v>208</x:v>
      </x:c>
      <x:c r="B209" s="10" t="str">
        <x:v>GUILD-02-0072</x:v>
      </x:c>
      <x:c r="C209" s="10" t="str">
        <x:v>主播管理</x:v>
      </x:c>
      <x:c r="D209" s="10" t="str">
        <x:v>主播主页（公会长视角）</x:v>
      </x:c>
      <x:c r="E209" s="10" t="str">
        <x:v>功能需求</x:v>
      </x:c>
      <x:c r="F209" s="10" t="str">
        <x:v>P2</x:v>
      </x:c>
      <x:c r="G209" s="9" t="str">
        <x:v>验证主播申请记录按提交时间排序</x:v>
      </x:c>
      <x:c r="H209" s="9" t="str">
        <x:v>主播申请记录顺序</x:v>
      </x:c>
      <x:c r="I209" s="9" t="str">
        <x:v>1. 执行角色为公会长
2. 入会申请9月1日，退会申请9月15日</x:v>
      </x:c>
      <x:c r="J209" s="9" t="str">
        <x:v>1. 进入主播主页</x:v>
      </x:c>
      <x:c r="K209" s="9" t="str">
        <x:v>退会申请排列在入会申请之前</x:v>
      </x:c>
      <x:c r="L209" s="10" t="str"/>
      <x:c r="M209" s="10" t="str">
        <x:v>未测</x:v>
      </x:c>
      <x:c r="N209" s="10" t="str"/>
      <x:c r="O209" s="9" t="str">
        <x:v>1. 来源（当前证据）：liveshow-proto/MainBasis/统一需求文档.md；位置：REQ-1a81bbf86bd2；行2991
2. 规则：BR-26ace92785e492c9
3. 未动态验证</x:v>
      </x:c>
    </x:row>
    <x:row r="210" ht="85" customHeight="1">
      <x:c r="A210" s="10" t="n">
        <x:v>209</x:v>
      </x:c>
      <x:c r="B210" s="10" t="str">
        <x:v>GUILD-03-0053</x:v>
      </x:c>
      <x:c r="C210" s="10" t="str">
        <x:v>运营工具</x:v>
      </x:c>
      <x:c r="D210" s="10" t="str">
        <x:v>运营消息（公会长视角）</x:v>
      </x:c>
      <x:c r="E210" s="10" t="str">
        <x:v>逻辑校验</x:v>
      </x:c>
      <x:c r="F210" s="10" t="str">
        <x:v>P1</x:v>
      </x:c>
      <x:c r="G210" s="9" t="str">
        <x:v>验证公会运营消息数量随日期筛选</x:v>
      </x:c>
      <x:c r="H210" s="9" t="str">
        <x:v>公会消息筛选数量</x:v>
      </x:c>
      <x:c r="I210" s="9" t="str">
        <x:v>1. 执行角色为公会长
2. 9月15日2条，9月16日1条发送记录</x:v>
      </x:c>
      <x:c r="J210" s="9" t="str">
        <x:v>1. 进入运营消息页
2. 选择自定义日期为9月15日</x:v>
      </x:c>
      <x:c r="K210" s="9" t="str">
        <x:v>记录数量显示2</x:v>
      </x:c>
      <x:c r="L210" s="10" t="str"/>
      <x:c r="M210" s="10" t="str">
        <x:v>未测</x:v>
      </x:c>
      <x:c r="N210" s="10" t="str"/>
      <x:c r="O210" s="9" t="str">
        <x:v>1. 来源（当前证据）：liveshow-proto/MainBasis/统一需求文档.md；位置：REQ-d94cf97e0735；行3034
2. 规则：BR-654017b2010fa722
3. 未动态验证</x:v>
      </x:c>
    </x:row>
    <x:row r="211" ht="85" customHeight="1">
      <x:c r="A211" s="10" t="n">
        <x:v>210</x:v>
      </x:c>
      <x:c r="B211" s="10" t="str">
        <x:v>GUILD-03-0054</x:v>
      </x:c>
      <x:c r="C211" s="10" t="str">
        <x:v>运营工具</x:v>
      </x:c>
      <x:c r="D211" s="10" t="str">
        <x:v>运营消息（公会长视角）</x:v>
      </x:c>
      <x:c r="E211" s="10" t="str">
        <x:v>功能需求</x:v>
      </x:c>
      <x:c r="F211" s="10" t="str">
        <x:v>P2</x:v>
      </x:c>
      <x:c r="G211" s="9" t="str">
        <x:v>验证运营消息列表进入对应详情</x:v>
      </x:c>
      <x:c r="H211" s="9" t="str">
        <x:v>公会消息详情入口</x:v>
      </x:c>
      <x:c r="I211" s="9" t="str">
        <x:v>1. 执行角色为公会长
2. 列表存在消息A和B</x:v>
      </x:c>
      <x:c r="J211" s="9" t="str">
        <x:v>1. 进入运营消息页
2. 点击消息B</x:v>
      </x:c>
      <x:c r="K211" s="9" t="str">
        <x:v>详情为消息B</x:v>
      </x:c>
      <x:c r="L211" s="10" t="str"/>
      <x:c r="M211" s="10" t="str">
        <x:v>未测</x:v>
      </x:c>
      <x:c r="N211" s="10" t="str"/>
      <x:c r="O211" s="9" t="str">
        <x:v>1. 来源（当前证据）：liveshow-proto/MainBasis/统一需求文档.md；位置：REQ-b89ae6ba9123；行3036
2. 规则：BR-2caa3b512a4af60d
3. 未动态验证</x:v>
      </x:c>
    </x:row>
    <x:row r="212" ht="85" customHeight="1">
      <x:c r="A212" s="10" t="n">
        <x:v>211</x:v>
      </x:c>
      <x:c r="B212" s="10" t="str">
        <x:v>GUILD-03-0055</x:v>
      </x:c>
      <x:c r="C212" s="10" t="str">
        <x:v>运营工具</x:v>
      </x:c>
      <x:c r="D212" s="10" t="str">
        <x:v>新建运营消息（公会长视角）</x:v>
      </x:c>
      <x:c r="E212" s="10" t="str">
        <x:v>逻辑校验</x:v>
      </x:c>
      <x:c r="F212" s="10" t="str">
        <x:v>P1</x:v>
      </x:c>
      <x:c r="G212" s="9" t="str">
        <x:v>验证全体主播消息确认显示接收人数</x:v>
      </x:c>
      <x:c r="H212" s="9" t="str">
        <x:v>公会消息确认人数</x:v>
      </x:c>
      <x:c r="I212" s="9" t="str">
        <x:v>1. 执行角色为公会长
2. 当前公会2名在会主播，1名已退会</x:v>
      </x:c>
      <x:c r="J212" s="9" t="str">
        <x:v>1. 进入新建运营消息页
2. 选择对象类型为全体主播
3. 填写文字内容为QA通知
4. 点击发送</x:v>
      </x:c>
      <x:c r="K212" s="9" t="str">
        <x:v>确认接收人数为2</x:v>
      </x:c>
      <x:c r="L212" s="10" t="str"/>
      <x:c r="M212" s="10" t="str">
        <x:v>未测</x:v>
      </x:c>
      <x:c r="N212" s="10" t="str"/>
      <x:c r="O212" s="9" t="str">
        <x:v>1. 来源（当前证据）：liveshow-proto/MainBasis/统一需求文档.md；位置：REQ-290b9184d089；行3043
2. 规则：BR-ddd0184f0fd8d592
3. 未动态验证</x:v>
      </x:c>
    </x:row>
    <x:row r="213" ht="85" customHeight="1">
      <x:c r="A213" s="10" t="n">
        <x:v>212</x:v>
      </x:c>
      <x:c r="B213" s="10" t="str">
        <x:v>GUILD-03-0056</x:v>
      </x:c>
      <x:c r="C213" s="10" t="str">
        <x:v>运营工具</x:v>
      </x:c>
      <x:c r="D213" s="10" t="str">
        <x:v>消息详情（公会长视角）</x:v>
      </x:c>
      <x:c r="E213" s="10" t="str">
        <x:v>功能需求</x:v>
      </x:c>
      <x:c r="F213" s="10" t="str">
        <x:v>P2</x:v>
      </x:c>
      <x:c r="G213" s="9" t="str">
        <x:v>验证有附图的公会消息详情</x:v>
      </x:c>
      <x:c r="H213" s="9" t="str">
        <x:v>公会消息附图显示</x:v>
      </x:c>
      <x:c r="I213" s="9" t="str">
        <x:v>1. 执行角色为公会长
2. 已发送消息附带图片A</x:v>
      </x:c>
      <x:c r="J213" s="9" t="str">
        <x:v>1. 进入消息详情页</x:v>
      </x:c>
      <x:c r="K213" s="9" t="str">
        <x:v>显示发送时图片A</x:v>
      </x:c>
      <x:c r="L213" s="10" t="str"/>
      <x:c r="M213" s="10" t="str">
        <x:v>未测</x:v>
      </x:c>
      <x:c r="N213" s="10" t="str"/>
      <x:c r="O213" s="9" t="str">
        <x:v>1. 来源（当前证据）：liveshow-proto/MainBasis/统一需求文档.md；位置：REQ-e882b7259ce5；行3081
2. 规则：BR-7ad7d987fb94f474
3. 未动态验证</x:v>
      </x:c>
    </x:row>
    <x:row r="214" ht="85" customHeight="1">
      <x:c r="A214" s="10" t="n">
        <x:v>213</x:v>
      </x:c>
      <x:c r="B214" s="10" t="str">
        <x:v>GUILD-03-0057</x:v>
      </x:c>
      <x:c r="C214" s="10" t="str">
        <x:v>运营工具</x:v>
      </x:c>
      <x:c r="D214" s="10" t="str">
        <x:v>消息详情（公会长视角）</x:v>
      </x:c>
      <x:c r="E214" s="10" t="str">
        <x:v>功能需求</x:v>
      </x:c>
      <x:c r="F214" s="10" t="str">
        <x:v>P2</x:v>
      </x:c>
      <x:c r="G214" s="9" t="str">
        <x:v>验证无附图的公会消息详情</x:v>
      </x:c>
      <x:c r="H214" s="9" t="str">
        <x:v>公会消息附图显示</x:v>
      </x:c>
      <x:c r="I214" s="9" t="str">
        <x:v>1. 执行角色为公会长
2. 已发送消息没有附图</x:v>
      </x:c>
      <x:c r="J214" s="9" t="str">
        <x:v>1. 进入消息详情页</x:v>
      </x:c>
      <x:c r="K214" s="9" t="str">
        <x:v>不显示附图</x:v>
      </x:c>
      <x:c r="L214" s="10" t="str"/>
      <x:c r="M214" s="10" t="str">
        <x:v>未测</x:v>
      </x:c>
      <x:c r="N214" s="10" t="str"/>
      <x:c r="O214" s="9" t="str">
        <x:v>1. 来源（当前证据）：liveshow-proto/MainBasis/统一需求文档.md；位置：REQ-e882b7259ce5；行3081
2. 规则：BR-298f52df848c8bb2
3. 未动态验证</x:v>
      </x:c>
    </x:row>
    <x:row r="215" ht="85" customHeight="1">
      <x:c r="A215" s="10" t="n">
        <x:v>214</x:v>
      </x:c>
      <x:c r="B215" s="10" t="str">
        <x:v>GUILD-03-0058</x:v>
      </x:c>
      <x:c r="C215" s="10" t="str">
        <x:v>运营工具</x:v>
      </x:c>
      <x:c r="D215" s="10" t="str">
        <x:v>运营账号（公会长视角）</x:v>
      </x:c>
      <x:c r="E215" s="10" t="str">
        <x:v>功能需求</x:v>
      </x:c>
      <x:c r="F215" s="10" t="str">
        <x:v>P2</x:v>
      </x:c>
      <x:c r="G215" s="9" t="str">
        <x:v>验证公会运营账号列表进入创建页</x:v>
      </x:c>
      <x:c r="H215" s="9" t="str">
        <x:v>运营账号创建入口</x:v>
      </x:c>
      <x:c r="I215" s="9" t="str">
        <x:v>1. 执行角色为公会长</x:v>
      </x:c>
      <x:c r="J215" s="9" t="str">
        <x:v>1. 进入运营账号页
2. 点击创建</x:v>
      </x:c>
      <x:c r="K215" s="9" t="str">
        <x:v>进入创建运营账号页</x:v>
      </x:c>
      <x:c r="L215" s="10" t="str"/>
      <x:c r="M215" s="10" t="str">
        <x:v>未测</x:v>
      </x:c>
      <x:c r="N215" s="10" t="str"/>
      <x:c r="O215" s="9" t="str">
        <x:v>1. 来源（当前证据）：liveshow-proto/MainBasis/统一需求文档.md；位置：REQ-25f5f780296f；行3112
2. 规则：BR-d436468fb2eccdc8
3. 未动态验证</x:v>
      </x:c>
    </x:row>
    <x:row r="216" ht="100" customHeight="1">
      <x:c r="A216" s="10" t="n">
        <x:v>215</x:v>
      </x:c>
      <x:c r="B216" s="10" t="str">
        <x:v>GUILD-03-0059</x:v>
      </x:c>
      <x:c r="C216" s="10" t="str">
        <x:v>运营工具</x:v>
      </x:c>
      <x:c r="D216" s="10" t="str">
        <x:v>运营账号（公会长视角）</x:v>
      </x:c>
      <x:c r="E216" s="10" t="str">
        <x:v>逻辑校验</x:v>
      </x:c>
      <x:c r="F216" s="10" t="str">
        <x:v>P1</x:v>
      </x:c>
      <x:c r="G216" s="9" t="str">
        <x:v>验证运营账号本月已发放按指定范围统计</x:v>
      </x:c>
      <x:c r="H216" s="9" t="str">
        <x:v>运营账号本月已发放</x:v>
      </x:c>
      <x:c r="I216" s="9" t="str">
        <x:v>1. 执行角色为公会长
2. 公会仅当前一个运营账号，本月成功发放300金币，上月500金币；本月成功送礼100金币、失败20金币，上月成功消费50金币</x:v>
      </x:c>
      <x:c r="J216" s="9" t="str">
        <x:v>1. 进入运营账号页</x:v>
      </x:c>
      <x:c r="K216" s="9" t="str">
        <x:v>本月已发放显示300金币</x:v>
      </x:c>
      <x:c r="L216" s="10" t="str"/>
      <x:c r="M216" s="10" t="str">
        <x:v>未测</x:v>
      </x:c>
      <x:c r="N216" s="10" t="str"/>
      <x:c r="O216" s="9" t="str">
        <x:v>1. 来源（当前证据）：liveshow-proto/MainBasis/统一需求文档.md；位置：REQ-5479c2595a0d；行3098
2. 规则：BR-9118ecf5b6dd2158
3. 未动态验证</x:v>
      </x:c>
    </x:row>
    <x:row r="217" ht="100" customHeight="1">
      <x:c r="A217" s="10" t="n">
        <x:v>216</x:v>
      </x:c>
      <x:c r="B217" s="10" t="str">
        <x:v>GUILD-03-0060</x:v>
      </x:c>
      <x:c r="C217" s="10" t="str">
        <x:v>运营工具</x:v>
      </x:c>
      <x:c r="D217" s="10" t="str">
        <x:v>运营账号主页（公会长视角）</x:v>
      </x:c>
      <x:c r="E217" s="10" t="str">
        <x:v>逻辑校验</x:v>
      </x:c>
      <x:c r="F217" s="10" t="str">
        <x:v>P1</x:v>
      </x:c>
      <x:c r="G217" s="9" t="str">
        <x:v>验证运营账号主页本月发放按指定范围统计</x:v>
      </x:c>
      <x:c r="H217" s="9" t="str">
        <x:v>运营账号主页本月发放</x:v>
      </x:c>
      <x:c r="I217" s="9" t="str">
        <x:v>1. 执行角色为公会长
2. 公会仅当前一个运营账号，本月成功发放300金币，上月500金币；本月成功送礼100金币、失败20金币，上月成功消费50金币</x:v>
      </x:c>
      <x:c r="J217" s="9" t="str">
        <x:v>1. 进入运营账号主页</x:v>
      </x:c>
      <x:c r="K217" s="9" t="str">
        <x:v>本月发放显示300金币</x:v>
      </x:c>
      <x:c r="L217" s="10" t="str"/>
      <x:c r="M217" s="10" t="str">
        <x:v>未测</x:v>
      </x:c>
      <x:c r="N217" s="10" t="str"/>
      <x:c r="O217" s="9" t="str">
        <x:v>1. 来源（当前证据）：liveshow-proto/MainBasis/统一需求文档.md；位置：REQ-07cd82ef5b3a；行3159
2. 规则：BR-2c680d5cecb906e8
3. 未动态验证</x:v>
      </x:c>
    </x:row>
    <x:row r="218" ht="100" customHeight="1">
      <x:c r="A218" s="10" t="n">
        <x:v>217</x:v>
      </x:c>
      <x:c r="B218" s="10" t="str">
        <x:v>GUILD-03-0061</x:v>
      </x:c>
      <x:c r="C218" s="10" t="str">
        <x:v>运营工具</x:v>
      </x:c>
      <x:c r="D218" s="10" t="str">
        <x:v>运营账号（公会长视角）</x:v>
      </x:c>
      <x:c r="E218" s="10" t="str">
        <x:v>逻辑校验</x:v>
      </x:c>
      <x:c r="F218" s="10" t="str">
        <x:v>P1</x:v>
      </x:c>
      <x:c r="G218" s="9" t="str">
        <x:v>验证运营账号本月累计消费按指定范围统计</x:v>
      </x:c>
      <x:c r="H218" s="9" t="str">
        <x:v>运营账号本月累计消费</x:v>
      </x:c>
      <x:c r="I218" s="9" t="str">
        <x:v>1. 执行角色为公会长
2. 公会仅当前一个运营账号，本月成功发放300金币，上月500金币；本月成功送礼100金币、失败20金币，上月成功消费50金币</x:v>
      </x:c>
      <x:c r="J218" s="9" t="str">
        <x:v>1. 进入运营账号页</x:v>
      </x:c>
      <x:c r="K218" s="9" t="str">
        <x:v>本月累计消费显示100金币</x:v>
      </x:c>
      <x:c r="L218" s="10" t="str"/>
      <x:c r="M218" s="10" t="str">
        <x:v>未测</x:v>
      </x:c>
      <x:c r="N218" s="10" t="str"/>
      <x:c r="O218" s="9" t="str">
        <x:v>1. 来源（当前证据）：liveshow-proto/MainBasis/统一需求文档.md；位置：REQ-bf39582dcdf6；行3104
2. 规则：BR-3725c6aff878b592
3. 未动态验证</x:v>
      </x:c>
    </x:row>
    <x:row r="219" ht="100" customHeight="1">
      <x:c r="A219" s="10" t="n">
        <x:v>218</x:v>
      </x:c>
      <x:c r="B219" s="10" t="str">
        <x:v>GUILD-03-0062</x:v>
      </x:c>
      <x:c r="C219" s="10" t="str">
        <x:v>运营工具</x:v>
      </x:c>
      <x:c r="D219" s="10" t="str">
        <x:v>运营账号主页（公会长视角）</x:v>
      </x:c>
      <x:c r="E219" s="10" t="str">
        <x:v>逻辑校验</x:v>
      </x:c>
      <x:c r="F219" s="10" t="str">
        <x:v>P1</x:v>
      </x:c>
      <x:c r="G219" s="9" t="str">
        <x:v>验证运营账号主页本月消费按指定范围统计</x:v>
      </x:c>
      <x:c r="H219" s="9" t="str">
        <x:v>运营账号主页本月消费</x:v>
      </x:c>
      <x:c r="I219" s="9" t="str">
        <x:v>1. 执行角色为公会长
2. 公会仅当前一个运营账号，本月成功发放300金币，上月500金币；本月成功送礼100金币、失败20金币，上月成功消费50金币</x:v>
      </x:c>
      <x:c r="J219" s="9" t="str">
        <x:v>1. 进入运营账号主页</x:v>
      </x:c>
      <x:c r="K219" s="9" t="str">
        <x:v>本月消费显示100金币</x:v>
      </x:c>
      <x:c r="L219" s="10" t="str"/>
      <x:c r="M219" s="10" t="str">
        <x:v>未测</x:v>
      </x:c>
      <x:c r="N219" s="10" t="str"/>
      <x:c r="O219" s="9" t="str">
        <x:v>1. 来源（当前证据）：liveshow-proto/MainBasis/统一需求文档.md；位置：REQ-30339bdad58d；行3161
2. 规则：BR-ed578744df2ad497
3. 未动态验证</x:v>
      </x:c>
    </x:row>
    <x:row r="220" ht="100" customHeight="1">
      <x:c r="A220" s="10" t="n">
        <x:v>219</x:v>
      </x:c>
      <x:c r="B220" s="10" t="str">
        <x:v>GUILD-03-0063</x:v>
      </x:c>
      <x:c r="C220" s="10" t="str">
        <x:v>运营工具</x:v>
      </x:c>
      <x:c r="D220" s="10" t="str">
        <x:v>运营账号主页（公会长视角）</x:v>
      </x:c>
      <x:c r="E220" s="10" t="str">
        <x:v>逻辑校验</x:v>
      </x:c>
      <x:c r="F220" s="10" t="str">
        <x:v>P1</x:v>
      </x:c>
      <x:c r="G220" s="9" t="str">
        <x:v>验证运营账号主页累计消费按指定范围统计</x:v>
      </x:c>
      <x:c r="H220" s="9" t="str">
        <x:v>运营账号主页累计消费</x:v>
      </x:c>
      <x:c r="I220" s="9" t="str">
        <x:v>1. 执行角色为公会长
2. 公会仅当前一个运营账号，本月成功发放300金币，上月500金币；本月成功送礼100金币、失败20金币，上月成功消费50金币</x:v>
      </x:c>
      <x:c r="J220" s="9" t="str">
        <x:v>1. 进入运营账号主页</x:v>
      </x:c>
      <x:c r="K220" s="9" t="str">
        <x:v>累计消费显示150金币</x:v>
      </x:c>
      <x:c r="L220" s="10" t="str"/>
      <x:c r="M220" s="10" t="str">
        <x:v>未测</x:v>
      </x:c>
      <x:c r="N220" s="10" t="str"/>
      <x:c r="O220" s="9" t="str">
        <x:v>1. 来源（当前证据）：liveshow-proto/MainBasis/统一需求文档.md；位置：REQ-3b632dcb59da；行3157
2. 规则：BR-55a7caada9ee4aba
3. 未动态验证</x:v>
      </x:c>
    </x:row>
    <x:row r="221" ht="85" customHeight="1">
      <x:c r="A221" s="10" t="n">
        <x:v>220</x:v>
      </x:c>
      <x:c r="B221" s="10" t="str">
        <x:v>GUILD-03-0064</x:v>
      </x:c>
      <x:c r="C221" s="10" t="str">
        <x:v>运营工具</x:v>
      </x:c>
      <x:c r="D221" s="10" t="str">
        <x:v>运营账号主页（公会长视角）</x:v>
      </x:c>
      <x:c r="E221" s="10" t="str">
        <x:v>逻辑校验</x:v>
      </x:c>
      <x:c r="F221" s="10" t="str">
        <x:v>P1</x:v>
      </x:c>
      <x:c r="G221" s="9" t="str">
        <x:v>验证已建运营账号发放上限取双额度小值</x:v>
      </x:c>
      <x:c r="H221" s="9" t="str">
        <x:v>运营账号追加发放上限</x:v>
      </x:c>
      <x:c r="I221" s="9" t="str">
        <x:v>1. 执行角色为公会长
2. 账号剩余100金币，公会剩余50金币</x:v>
      </x:c>
      <x:c r="J221" s="9" t="str">
        <x:v>1. 进入运营账号主页</x:v>
      </x:c>
      <x:c r="K221" s="9" t="str">
        <x:v>可发上限显示50金币</x:v>
      </x:c>
      <x:c r="L221" s="10" t="str"/>
      <x:c r="M221" s="10" t="str">
        <x:v>未测</x:v>
      </x:c>
      <x:c r="N221" s="10" t="str"/>
      <x:c r="O221" s="9" t="str">
        <x:v>1. 来源（当前证据）：liveshow-proto/MainBasis/统一需求文档.md；位置：REQ-027d2650847b；行3169
2. 规则：BR-9a51e606c3f1aaeb
3. 未动态验证</x:v>
      </x:c>
    </x:row>
    <x:row r="222" ht="85" customHeight="1">
      <x:c r="A222" s="10" t="n">
        <x:v>221</x:v>
      </x:c>
      <x:c r="B222" s="10" t="str">
        <x:v>GUILD-03-0065</x:v>
      </x:c>
      <x:c r="C222" s="10" t="str">
        <x:v>运营工具</x:v>
      </x:c>
      <x:c r="D222" s="10" t="str">
        <x:v>选择运营账号（多选）（公会长视角）</x:v>
      </x:c>
      <x:c r="E222" s="10" t="str">
        <x:v>逻辑校验</x:v>
      </x:c>
      <x:c r="F222" s="10" t="str">
        <x:v>P1</x:v>
      </x:c>
      <x:c r="G222" s="9" t="str">
        <x:v>验证搜索后已选数量不等于搜索结果数</x:v>
      </x:c>
      <x:c r="H222" s="9" t="str">
        <x:v>运营账号已选统计</x:v>
      </x:c>
      <x:c r="I222" s="9" t="str">
        <x:v>1. 执行角色为公会长
2. 先选甲乙2人，搜索仅命中甲</x:v>
      </x:c>
      <x:c r="J222" s="9" t="str">
        <x:v>1. 进入选择运营账号（多选）页
2. 输入搜索框为甲</x:v>
      </x:c>
      <x:c r="K222" s="9" t="str">
        <x:v>已选数量仍为2</x:v>
      </x:c>
      <x:c r="L222" s="10" t="str"/>
      <x:c r="M222" s="10" t="str">
        <x:v>未测</x:v>
      </x:c>
      <x:c r="N222" s="10" t="str"/>
      <x:c r="O222" s="9" t="str">
        <x:v>1. 来源（当前证据）：liveshow-proto/MainBasis/统一需求文档.md；位置：REQ-0c9d662848b4；行3211
2. 规则：BR-e016f880d3e536b6
3. 未动态验证</x:v>
      </x:c>
    </x:row>
    <x:row r="223" ht="85" customHeight="1">
      <x:c r="A223" s="10" t="n">
        <x:v>222</x:v>
      </x:c>
      <x:c r="B223" s="10" t="str">
        <x:v>GUILD-03-0066</x:v>
      </x:c>
      <x:c r="C223" s="10" t="str">
        <x:v>运营工具</x:v>
      </x:c>
      <x:c r="D223" s="10" t="str">
        <x:v>选择运营账号（多选）（公会长视角）</x:v>
      </x:c>
      <x:c r="E223" s="10" t="str">
        <x:v>功能需求</x:v>
      </x:c>
      <x:c r="F223" s="10" t="str">
        <x:v>P2</x:v>
      </x:c>
      <x:c r="G223" s="9" t="str">
        <x:v>验证运营多选页支持登录账号搜索</x:v>
      </x:c>
      <x:c r="H223" s="9" t="str">
        <x:v>运营账号登录名检索</x:v>
      </x:c>
      <x:c r="I223" s="9" t="str">
        <x:v>1. 执行角色为公会长
2. 甲登录账号opsQA01，乙other01</x:v>
      </x:c>
      <x:c r="J223" s="9" t="str">
        <x:v>1. 进入选择运营账号（多选）页
2. 输入搜索框为opsQA</x:v>
      </x:c>
      <x:c r="K223" s="9" t="str">
        <x:v>结果仅显示甲</x:v>
      </x:c>
      <x:c r="L223" s="10" t="str"/>
      <x:c r="M223" s="10" t="str">
        <x:v>未测</x:v>
      </x:c>
      <x:c r="N223" s="10" t="str"/>
      <x:c r="O223" s="9" t="str">
        <x:v>1. 来源（当前证据）：liveshow-proto/MainBasis/统一需求文档.md；位置：REQ-ef0c0a831aa2；行3207
2. 规则：BR-add622c65078e213
3. 未动态验证</x:v>
      </x:c>
    </x:row>
    <x:row r="224" ht="85" customHeight="1">
      <x:c r="A224" s="10" t="n">
        <x:v>223</x:v>
      </x:c>
      <x:c r="B224" s="10" t="str">
        <x:v>GUILD-04-0018</x:v>
      </x:c>
      <x:c r="C224" s="10" t="str">
        <x:v>公会管理</x:v>
      </x:c>
      <x:c r="D224" s="10" t="str">
        <x:v>公会资料（公会长视角）</x:v>
      </x:c>
      <x:c r="E224" s="10" t="str">
        <x:v>功能需求</x:v>
      </x:c>
      <x:c r="F224" s="10" t="str">
        <x:v>P2</x:v>
      </x:c>
      <x:c r="G224" s="9" t="str">
        <x:v>验证公会Logo上传JPG</x:v>
      </x:c>
      <x:c r="H224" s="9" t="str">
        <x:v>公会Logo格式</x:v>
      </x:c>
      <x:c r="I224" s="9" t="str">
        <x:v>1. 执行角色为公会长
2. 本地存在有效qa.jpg图片</x:v>
      </x:c>
      <x:c r="J224" s="9" t="str">
        <x:v>1. 进入公会资料页
2. 上传公会Logo选择qa.jpg
3. 点击保存</x:v>
      </x:c>
      <x:c r="K224" s="9" t="str">
        <x:v>公会Logo更新为所选图片</x:v>
      </x:c>
      <x:c r="L224" s="10" t="str"/>
      <x:c r="M224" s="10" t="str">
        <x:v>未测</x:v>
      </x:c>
      <x:c r="N224" s="10" t="str"/>
      <x:c r="O224" s="9" t="str">
        <x:v>1. 来源（当前证据）：liveshow-proto/MainBasis/统一需求文档.md；位置：REQ-bdd6386bbb66；行3222
2. 规则：BR-5c81976124fdaa1c
3. 未动态验证</x:v>
      </x:c>
    </x:row>
    <x:row r="225" ht="85" customHeight="1">
      <x:c r="A225" s="10" t="n">
        <x:v>224</x:v>
      </x:c>
      <x:c r="B225" s="10" t="str">
        <x:v>GUILD-04-0019</x:v>
      </x:c>
      <x:c r="C225" s="10" t="str">
        <x:v>公会管理</x:v>
      </x:c>
      <x:c r="D225" s="10" t="str">
        <x:v>公会资料（公会长视角）</x:v>
      </x:c>
      <x:c r="E225" s="10" t="str">
        <x:v>功能需求</x:v>
      </x:c>
      <x:c r="F225" s="10" t="str">
        <x:v>P2</x:v>
      </x:c>
      <x:c r="G225" s="9" t="str">
        <x:v>验证公会Logo上传PNG</x:v>
      </x:c>
      <x:c r="H225" s="9" t="str">
        <x:v>公会Logo格式</x:v>
      </x:c>
      <x:c r="I225" s="9" t="str">
        <x:v>1. 执行角色为公会长
2. 本地存在有效qa.png图片</x:v>
      </x:c>
      <x:c r="J225" s="9" t="str">
        <x:v>1. 进入公会资料页
2. 上传公会Logo选择qa.png
3. 点击保存</x:v>
      </x:c>
      <x:c r="K225" s="9" t="str">
        <x:v>公会Logo更新为所选图片</x:v>
      </x:c>
      <x:c r="L225" s="10" t="str"/>
      <x:c r="M225" s="10" t="str">
        <x:v>未测</x:v>
      </x:c>
      <x:c r="N225" s="10" t="str"/>
      <x:c r="O225" s="9" t="str">
        <x:v>1. 来源（当前证据）：liveshow-proto/MainBasis/统一需求文档.md；位置：REQ-bdd6386bbb66；行3222
2. 规则：BR-9eb2152805343ea8
3. 未动态验证</x:v>
      </x:c>
    </x:row>
    <x:row r="226" ht="85" customHeight="1">
      <x:c r="A226" s="10" t="n">
        <x:v>225</x:v>
      </x:c>
      <x:c r="B226" s="10" t="str">
        <x:v>GUILD-04-0020</x:v>
      </x:c>
      <x:c r="C226" s="10" t="str">
        <x:v>公会管理</x:v>
      </x:c>
      <x:c r="D226" s="10" t="str">
        <x:v>公会资料（公会长视角）</x:v>
      </x:c>
      <x:c r="E226" s="10" t="str">
        <x:v>功能需求</x:v>
      </x:c>
      <x:c r="F226" s="10" t="str">
        <x:v>P2</x:v>
      </x:c>
      <x:c r="G226" s="9" t="str">
        <x:v>验证公会Logo上传WebP</x:v>
      </x:c>
      <x:c r="H226" s="9" t="str">
        <x:v>公会Logo格式</x:v>
      </x:c>
      <x:c r="I226" s="9" t="str">
        <x:v>1. 执行角色为公会长
2. 本地存在有效qa.webp图片</x:v>
      </x:c>
      <x:c r="J226" s="9" t="str">
        <x:v>1. 进入公会资料页
2. 上传公会Logo选择qa.webp
3. 点击保存</x:v>
      </x:c>
      <x:c r="K226" s="9" t="str">
        <x:v>公会Logo更新为所选图片</x:v>
      </x:c>
      <x:c r="L226" s="10" t="str"/>
      <x:c r="M226" s="10" t="str">
        <x:v>未测</x:v>
      </x:c>
      <x:c r="N226" s="10" t="str"/>
      <x:c r="O226" s="9" t="str">
        <x:v>1. 来源（当前证据）：liveshow-proto/MainBasis/统一需求文档.md；位置：REQ-bdd6386bbb66；行3222
2. 规则：BR-2dd4526ed213a2d5
3. 未动态验证</x:v>
      </x:c>
    </x:row>
    <x:row r="227" ht="100" customHeight="1">
      <x:c r="A227" s="10" t="n">
        <x:v>226</x:v>
      </x:c>
      <x:c r="B227" s="10" t="str">
        <x:v>GUILD-04-0021</x:v>
      </x:c>
      <x:c r="C227" s="10" t="str">
        <x:v>公会管理</x:v>
      </x:c>
      <x:c r="D227" s="10" t="str">
        <x:v>修改密码（公会长视角）</x:v>
      </x:c>
      <x:c r="E227" s="10" t="str">
        <x:v>逻辑校验</x:v>
      </x:c>
      <x:c r="F227" s="10" t="str">
        <x:v>P1</x:v>
      </x:c>
      <x:c r="G227" s="9" t="str">
        <x:v>验证公会改密确认密码必须一致</x:v>
      </x:c>
      <x:c r="H227" s="9" t="str">
        <x:v>公会确认密码匹配</x:v>
      </x:c>
      <x:c r="I227" s="9" t="str">
        <x:v>1. 执行角色为公会长
2. 旧密码有效，新密码QaNew!2026满足长度</x:v>
      </x:c>
      <x:c r="J227" s="9" t="str">
        <x:v>1. 进入修改密码页
2. 填写当前密码为原正确密码
3. 填写新密码为QaNew!2026
4. 填写确认新密码为QaOther!2026
5. 点击保存</x:v>
      </x:c>
      <x:c r="K227" s="9" t="str">
        <x:v>不能保存两次不一致的新密码</x:v>
      </x:c>
      <x:c r="L227" s="10" t="str"/>
      <x:c r="M227" s="10" t="str">
        <x:v>未测</x:v>
      </x:c>
      <x:c r="N227" s="10" t="str"/>
      <x:c r="O227" s="9" t="str">
        <x:v>1. 来源（当前证据）：liveshow-proto/MainBasis/统一需求文档.md；位置：REQ-b84a8280b95e；行3254
2. 规则：BR-274eba877bdcc3c0
3. 未动态验证</x:v>
      </x:c>
    </x:row>
    <x:row r="228" ht="85" customHeight="1">
      <x:c r="A228" s="10" t="n">
        <x:v>227</x:v>
      </x:c>
      <x:c r="B228" s="10" t="str">
        <x:v>GUILD-04-0022</x:v>
      </x:c>
      <x:c r="C228" s="10" t="str">
        <x:v>公会管理</x:v>
      </x:c>
      <x:c r="D228" s="10" t="str">
        <x:v>修改密码（公会长视角）</x:v>
      </x:c>
      <x:c r="E228" s="10" t="str">
        <x:v>逻辑校验</x:v>
      </x:c>
      <x:c r="F228" s="10" t="str">
        <x:v>P1</x:v>
      </x:c>
      <x:c r="G228" s="9" t="str">
        <x:v>验证公会改密当前密码不能为空</x:v>
      </x:c>
      <x:c r="H228" s="9" t="str">
        <x:v>公会当前密码必填</x:v>
      </x:c>
      <x:c r="I228" s="9" t="str">
        <x:v>1. 执行角色为公会长
2. 其他密码字段完整有效</x:v>
      </x:c>
      <x:c r="J228" s="9" t="str">
        <x:v>1. 进入修改密码页
2. 清空当前密码
3. 点击保存</x:v>
      </x:c>
      <x:c r="K228" s="9" t="str">
        <x:v>不能提交缺少必填项的改密</x:v>
      </x:c>
      <x:c r="L228" s="10" t="str"/>
      <x:c r="M228" s="10" t="str">
        <x:v>未测</x:v>
      </x:c>
      <x:c r="N228" s="10" t="str"/>
      <x:c r="O228" s="9" t="str">
        <x:v>1. 来源（当前证据）：liveshow-proto/MainBasis/统一需求文档.md；位置：REQ-8ca419878fbb；行3250
2. 规则：BR-cd202cd20423a01f
3. 未动态验证</x:v>
      </x:c>
    </x:row>
    <x:row r="229" ht="85" customHeight="1">
      <x:c r="A229" s="10" t="n">
        <x:v>228</x:v>
      </x:c>
      <x:c r="B229" s="10" t="str">
        <x:v>GUILD-04-0023</x:v>
      </x:c>
      <x:c r="C229" s="10" t="str">
        <x:v>公会管理</x:v>
      </x:c>
      <x:c r="D229" s="10" t="str">
        <x:v>修改密码（公会长视角）</x:v>
      </x:c>
      <x:c r="E229" s="10" t="str">
        <x:v>逻辑校验</x:v>
      </x:c>
      <x:c r="F229" s="10" t="str">
        <x:v>P1</x:v>
      </x:c>
      <x:c r="G229" s="9" t="str">
        <x:v>验证公会改密确认新密码不能为空</x:v>
      </x:c>
      <x:c r="H229" s="9" t="str">
        <x:v>公会确认新密码必填</x:v>
      </x:c>
      <x:c r="I229" s="9" t="str">
        <x:v>1. 执行角色为公会长
2. 其他密码字段完整有效</x:v>
      </x:c>
      <x:c r="J229" s="9" t="str">
        <x:v>1. 进入修改密码页
2. 清空确认新密码
3. 点击保存</x:v>
      </x:c>
      <x:c r="K229" s="9" t="str">
        <x:v>不能提交缺少必填项的改密</x:v>
      </x:c>
      <x:c r="L229" s="10" t="str"/>
      <x:c r="M229" s="10" t="str">
        <x:v>未测</x:v>
      </x:c>
      <x:c r="N229" s="10" t="str"/>
      <x:c r="O229" s="9" t="str">
        <x:v>1. 来源（当前证据）：liveshow-proto/MainBasis/统一需求文档.md；位置：REQ-b84a8280b95e；行3254
2. 规则：BR-0caa446649b3614e
3. 未动态验证</x:v>
      </x:c>
    </x:row>
    <x:row r="230" ht="100" customHeight="1">
      <x:c r="A230" s="10" t="n">
        <x:v>229</x:v>
      </x:c>
      <x:c r="B230" s="10" t="str">
        <x:v>GUILD-02-0073</x:v>
      </x:c>
      <x:c r="C230" s="10" t="str">
        <x:v>主播管理</x:v>
      </x:c>
      <x:c r="D230" s="10" t="str">
        <x:v>主播业绩（公会长视角）</x:v>
      </x:c>
      <x:c r="E230" s="10" t="str">
        <x:v>功能需求</x:v>
      </x:c>
      <x:c r="F230" s="10" t="str">
        <x:v>P2</x:v>
      </x:c>
      <x:c r="G230" s="9" t="str">
        <x:v>验证主播业绩默认日期周期</x:v>
      </x:c>
      <x:c r="H230" s="9" t="str">
        <x:v>主播业绩默认周期</x:v>
      </x:c>
      <x:c r="I230" s="9" t="str">
        <x:v>1. 执行角色为公会长</x:v>
      </x:c>
      <x:c r="J230" s="9" t="str">
        <x:v>1. 进入主播业绩页</x:v>
      </x:c>
      <x:c r="K230" s="9" t="str">
        <x:v>默认周期为今日</x:v>
      </x:c>
      <x:c r="L230" s="10" t="str"/>
      <x:c r="M230" s="10" t="str">
        <x:v>未测</x:v>
      </x:c>
      <x:c r="N230" s="10" t="str"/>
      <x:c r="O230" s="9" t="str">
        <x:v>1. 来源（当前证据）：liveshow-proto/MainBasis/统一需求文档.md；位置：REQ-8e961a9af293；行2905、REQ-37610426be25；行2919
2. 规则：BR-9b13862e93c40e5f
3. 未动态验证</x:v>
      </x:c>
    </x:row>
    <x:row r="231" ht="85" customHeight="1">
      <x:c r="A231" s="10" t="n">
        <x:v>230</x:v>
      </x:c>
      <x:c r="B231" s="10" t="str">
        <x:v>GUILD-02-0074</x:v>
      </x:c>
      <x:c r="C231" s="10" t="str">
        <x:v>主播管理</x:v>
      </x:c>
      <x:c r="D231" s="10" t="str">
        <x:v>主播业绩（公会长视角）</x:v>
      </x:c>
      <x:c r="E231" s="10" t="str">
        <x:v>逻辑校验</x:v>
      </x:c>
      <x:c r="F231" s="10" t="str">
        <x:v>P1</x:v>
      </x:c>
      <x:c r="G231" s="9" t="str">
        <x:v>验证主播业绩包含开始日记录</x:v>
      </x:c>
      <x:c r="H231" s="9" t="str">
        <x:v>主播业绩日期开始日边界</x:v>
      </x:c>
      <x:c r="I231" s="9" t="str">
        <x:v>1. 执行角色为公会长
2. 日期范围9月1日至9月15日，开始日存在业务记录A，范围外存在B</x:v>
      </x:c>
      <x:c r="J231" s="9" t="str">
        <x:v>1. 进入主播业绩页
2. 选择自定义日期为9月1日至9月15日</x:v>
      </x:c>
      <x:c r="K231" s="9" t="str">
        <x:v>筛选结果包含记录A</x:v>
      </x:c>
      <x:c r="L231" s="10" t="str"/>
      <x:c r="M231" s="10" t="str">
        <x:v>未测</x:v>
      </x:c>
      <x:c r="N231" s="10" t="str"/>
      <x:c r="O231" s="9" t="str">
        <x:v>1. 来源（当前证据）：liveshow-proto/MainBasis/统一需求文档.md；位置：REQ-11ec1831d720；行2903
2. 规则：BR-4cac3d9addfa15da
3. 未动态验证</x:v>
      </x:c>
    </x:row>
    <x:row r="232" ht="85" customHeight="1">
      <x:c r="A232" s="10" t="n">
        <x:v>231</x:v>
      </x:c>
      <x:c r="B232" s="10" t="str">
        <x:v>GUILD-02-0075</x:v>
      </x:c>
      <x:c r="C232" s="10" t="str">
        <x:v>主播管理</x:v>
      </x:c>
      <x:c r="D232" s="10" t="str">
        <x:v>主播业绩（公会长视角）</x:v>
      </x:c>
      <x:c r="E232" s="10" t="str">
        <x:v>逻辑校验</x:v>
      </x:c>
      <x:c r="F232" s="10" t="str">
        <x:v>P1</x:v>
      </x:c>
      <x:c r="G232" s="9" t="str">
        <x:v>验证主播业绩包含结束日记录</x:v>
      </x:c>
      <x:c r="H232" s="9" t="str">
        <x:v>主播业绩日期结束日边界</x:v>
      </x:c>
      <x:c r="I232" s="9" t="str">
        <x:v>1. 执行角色为公会长
2. 日期范围9月1日至9月15日，结束日存在业务记录A，范围外存在B</x:v>
      </x:c>
      <x:c r="J232" s="9" t="str">
        <x:v>1. 进入主播业绩页
2. 选择自定义日期为9月1日至9月15日</x:v>
      </x:c>
      <x:c r="K232" s="9" t="str">
        <x:v>筛选结果包含记录A</x:v>
      </x:c>
      <x:c r="L232" s="10" t="str"/>
      <x:c r="M232" s="10" t="str">
        <x:v>未测</x:v>
      </x:c>
      <x:c r="N232" s="10" t="str"/>
      <x:c r="O232" s="9" t="str">
        <x:v>1. 来源（当前证据）：liveshow-proto/MainBasis/统一需求文档.md；位置：REQ-11ec1831d720；行2903
2. 规则：BR-fa0f4aebcff18da3
3. 未动态验证</x:v>
      </x:c>
    </x:row>
    <x:row r="233" ht="85" customHeight="1">
      <x:c r="A233" s="10" t="n">
        <x:v>232</x:v>
      </x:c>
      <x:c r="B233" s="10" t="str">
        <x:v>GUILD-05-0037</x:v>
      </x:c>
      <x:c r="C233" s="10" t="str">
        <x:v>数据与收益</x:v>
      </x:c>
      <x:c r="D233" s="10" t="str">
        <x:v>直播记录（公会长视角）</x:v>
      </x:c>
      <x:c r="E233" s="10" t="str">
        <x:v>功能需求</x:v>
      </x:c>
      <x:c r="F233" s="10" t="str">
        <x:v>P2</x:v>
      </x:c>
      <x:c r="G233" s="9" t="str">
        <x:v>验证直播记录默认日期周期</x:v>
      </x:c>
      <x:c r="H233" s="9" t="str">
        <x:v>直播记录默认周期</x:v>
      </x:c>
      <x:c r="I233" s="9" t="str">
        <x:v>1. 执行角色为公会长</x:v>
      </x:c>
      <x:c r="J233" s="9" t="str">
        <x:v>1. 进入直播记录页</x:v>
      </x:c>
      <x:c r="K233" s="9" t="str">
        <x:v>默认周期为今日</x:v>
      </x:c>
      <x:c r="L233" s="10" t="str"/>
      <x:c r="M233" s="10" t="str">
        <x:v>未测</x:v>
      </x:c>
      <x:c r="N233" s="10" t="str"/>
      <x:c r="O233" s="9" t="str">
        <x:v>1. 来源（当前证据）：liveshow-proto/MainBasis/统一需求文档.md；位置：REQ-b5fab014efd8；行3265
2. 规则：BR-18cb4b1e1587b684
3. 未动态验证</x:v>
      </x:c>
    </x:row>
    <x:row r="234" ht="85" customHeight="1">
      <x:c r="A234" s="10" t="n">
        <x:v>233</x:v>
      </x:c>
      <x:c r="B234" s="10" t="str">
        <x:v>GUILD-05-0038</x:v>
      </x:c>
      <x:c r="C234" s="10" t="str">
        <x:v>数据与收益</x:v>
      </x:c>
      <x:c r="D234" s="10" t="str">
        <x:v>直播记录（公会长视角）</x:v>
      </x:c>
      <x:c r="E234" s="10" t="str">
        <x:v>逻辑校验</x:v>
      </x:c>
      <x:c r="F234" s="10" t="str">
        <x:v>P1</x:v>
      </x:c>
      <x:c r="G234" s="9" t="str">
        <x:v>验证直播记录包含开始日记录</x:v>
      </x:c>
      <x:c r="H234" s="9" t="str">
        <x:v>直播记录日期开始日边界</x:v>
      </x:c>
      <x:c r="I234" s="9" t="str">
        <x:v>1. 执行角色为公会长
2. 日期范围9月1日至9月15日，开始日存在业务记录A，范围外存在B</x:v>
      </x:c>
      <x:c r="J234" s="9" t="str">
        <x:v>1. 进入直播记录页
2. 选择自定义日期为9月1日至9月15日</x:v>
      </x:c>
      <x:c r="K234" s="9" t="str">
        <x:v>筛选结果包含记录A</x:v>
      </x:c>
      <x:c r="L234" s="10" t="str"/>
      <x:c r="M234" s="10" t="str">
        <x:v>未测</x:v>
      </x:c>
      <x:c r="N234" s="10" t="str"/>
      <x:c r="O234" s="9" t="str">
        <x:v>1. 来源（当前证据）：liveshow-proto/MainBasis/统一需求文档.md；位置：REQ-1be57bba4047；行3263
2. 规则：BR-99ae7ee5cb82357b
3. 未动态验证</x:v>
      </x:c>
    </x:row>
    <x:row r="235" ht="85" customHeight="1">
      <x:c r="A235" s="10" t="n">
        <x:v>234</x:v>
      </x:c>
      <x:c r="B235" s="10" t="str">
        <x:v>GUILD-05-0039</x:v>
      </x:c>
      <x:c r="C235" s="10" t="str">
        <x:v>数据与收益</x:v>
      </x:c>
      <x:c r="D235" s="10" t="str">
        <x:v>直播记录（公会长视角）</x:v>
      </x:c>
      <x:c r="E235" s="10" t="str">
        <x:v>逻辑校验</x:v>
      </x:c>
      <x:c r="F235" s="10" t="str">
        <x:v>P1</x:v>
      </x:c>
      <x:c r="G235" s="9" t="str">
        <x:v>验证直播记录包含结束日记录</x:v>
      </x:c>
      <x:c r="H235" s="9" t="str">
        <x:v>直播记录日期结束日边界</x:v>
      </x:c>
      <x:c r="I235" s="9" t="str">
        <x:v>1. 执行角色为公会长
2. 日期范围9月1日至9月15日，结束日存在业务记录A，范围外存在B</x:v>
      </x:c>
      <x:c r="J235" s="9" t="str">
        <x:v>1. 进入直播记录页
2. 选择自定义日期为9月1日至9月15日</x:v>
      </x:c>
      <x:c r="K235" s="9" t="str">
        <x:v>筛选结果包含记录A</x:v>
      </x:c>
      <x:c r="L235" s="10" t="str"/>
      <x:c r="M235" s="10" t="str">
        <x:v>未测</x:v>
      </x:c>
      <x:c r="N235" s="10" t="str"/>
      <x:c r="O235" s="9" t="str">
        <x:v>1. 来源（当前证据）：liveshow-proto/MainBasis/统一需求文档.md；位置：REQ-1be57bba4047；行3263
2. 规则：BR-c83b30a2c3713b0b
3. 未动态验证</x:v>
      </x:c>
    </x:row>
    <x:row r="236" ht="85" customHeight="1">
      <x:c r="A236" s="10" t="n">
        <x:v>235</x:v>
      </x:c>
      <x:c r="B236" s="10" t="str">
        <x:v>GUILD-03-0067</x:v>
      </x:c>
      <x:c r="C236" s="10" t="str">
        <x:v>运营工具</x:v>
      </x:c>
      <x:c r="D236" s="10" t="str">
        <x:v>运营消息（公会长视角）</x:v>
      </x:c>
      <x:c r="E236" s="10" t="str">
        <x:v>功能需求</x:v>
      </x:c>
      <x:c r="F236" s="10" t="str">
        <x:v>P2</x:v>
      </x:c>
      <x:c r="G236" s="9" t="str">
        <x:v>验证运营消息默认日期周期</x:v>
      </x:c>
      <x:c r="H236" s="9" t="str">
        <x:v>运营消息默认周期</x:v>
      </x:c>
      <x:c r="I236" s="9" t="str">
        <x:v>1. 执行角色为公会长</x:v>
      </x:c>
      <x:c r="J236" s="9" t="str">
        <x:v>1. 进入运营消息页</x:v>
      </x:c>
      <x:c r="K236" s="9" t="str">
        <x:v>默认周期为本月</x:v>
      </x:c>
      <x:c r="L236" s="10" t="str"/>
      <x:c r="M236" s="10" t="str">
        <x:v>未测</x:v>
      </x:c>
      <x:c r="N236" s="10" t="str"/>
      <x:c r="O236" s="9" t="str">
        <x:v>1. 来源（当前证据）：liveshow-proto/MainBasis/统一需求文档.md；位置：REQ-84fcbbb4bde2；行3026
2. 规则：BR-500eefe0ac82ed4b
3. 未动态验证</x:v>
      </x:c>
    </x:row>
    <x:row r="237" ht="85" customHeight="1">
      <x:c r="A237" s="10" t="n">
        <x:v>236</x:v>
      </x:c>
      <x:c r="B237" s="10" t="str">
        <x:v>GUILD-03-0068</x:v>
      </x:c>
      <x:c r="C237" s="10" t="str">
        <x:v>运营工具</x:v>
      </x:c>
      <x:c r="D237" s="10" t="str">
        <x:v>运营消息（公会长视角）</x:v>
      </x:c>
      <x:c r="E237" s="10" t="str">
        <x:v>逻辑校验</x:v>
      </x:c>
      <x:c r="F237" s="10" t="str">
        <x:v>P1</x:v>
      </x:c>
      <x:c r="G237" s="9" t="str">
        <x:v>验证运营消息包含开始日记录</x:v>
      </x:c>
      <x:c r="H237" s="9" t="str">
        <x:v>运营消息日期开始日边界</x:v>
      </x:c>
      <x:c r="I237" s="9" t="str">
        <x:v>1. 执行角色为公会长
2. 日期范围9月1日至9月15日，开始日存在业务记录A，范围外存在B</x:v>
      </x:c>
      <x:c r="J237" s="9" t="str">
        <x:v>1. 进入运营消息页
2. 选择自定义日期为9月1日至9月15日</x:v>
      </x:c>
      <x:c r="K237" s="9" t="str">
        <x:v>筛选结果包含记录A</x:v>
      </x:c>
      <x:c r="L237" s="10" t="str"/>
      <x:c r="M237" s="10" t="str">
        <x:v>未测</x:v>
      </x:c>
      <x:c r="N237" s="10" t="str"/>
      <x:c r="O237" s="9" t="str">
        <x:v>1. 来源（当前证据）：liveshow-proto/MainBasis/统一需求文档.md；位置：REQ-47c155de9784；行3024
2. 规则：BR-b71fbb1dd5c7bba8
3. 未动态验证</x:v>
      </x:c>
    </x:row>
    <x:row r="238" ht="85" customHeight="1">
      <x:c r="A238" s="10" t="n">
        <x:v>237</x:v>
      </x:c>
      <x:c r="B238" s="10" t="str">
        <x:v>GUILD-03-0069</x:v>
      </x:c>
      <x:c r="C238" s="10" t="str">
        <x:v>运营工具</x:v>
      </x:c>
      <x:c r="D238" s="10" t="str">
        <x:v>运营消息（公会长视角）</x:v>
      </x:c>
      <x:c r="E238" s="10" t="str">
        <x:v>逻辑校验</x:v>
      </x:c>
      <x:c r="F238" s="10" t="str">
        <x:v>P1</x:v>
      </x:c>
      <x:c r="G238" s="9" t="str">
        <x:v>验证运营消息包含结束日记录</x:v>
      </x:c>
      <x:c r="H238" s="9" t="str">
        <x:v>运营消息日期结束日边界</x:v>
      </x:c>
      <x:c r="I238" s="9" t="str">
        <x:v>1. 执行角色为公会长
2. 日期范围9月1日至9月15日，结束日存在业务记录A，范围外存在B</x:v>
      </x:c>
      <x:c r="J238" s="9" t="str">
        <x:v>1. 进入运营消息页
2. 选择自定义日期为9月1日至9月15日</x:v>
      </x:c>
      <x:c r="K238" s="9" t="str">
        <x:v>筛选结果包含记录A</x:v>
      </x:c>
      <x:c r="L238" s="10" t="str"/>
      <x:c r="M238" s="10" t="str">
        <x:v>未测</x:v>
      </x:c>
      <x:c r="N238" s="10" t="str"/>
      <x:c r="O238" s="9" t="str">
        <x:v>1. 来源（当前证据）：liveshow-proto/MainBasis/统一需求文档.md；位置：REQ-47c155de9784；行3024
2. 规则：BR-97da55f2b29c71e8
3. 未动态验证</x:v>
      </x:c>
    </x:row>
    <x:row r="239" ht="85" customHeight="1">
      <x:c r="A239" s="10" t="n">
        <x:v>238</x:v>
      </x:c>
      <x:c r="B239" s="10" t="str">
        <x:v>GUILD-03-0070</x:v>
      </x:c>
      <x:c r="C239" s="10" t="str">
        <x:v>运营工具</x:v>
      </x:c>
      <x:c r="D239" s="10" t="str">
        <x:v>运营账号主页（公会长视角）</x:v>
      </x:c>
      <x:c r="E239" s="10" t="str">
        <x:v>逻辑校验</x:v>
      </x:c>
      <x:c r="F239" s="10" t="str">
        <x:v>P1</x:v>
      </x:c>
      <x:c r="G239" s="9" t="str">
        <x:v>验证运营账号主页包含开始日记录</x:v>
      </x:c>
      <x:c r="H239" s="9" t="str">
        <x:v>运营账号主页日期开始日边界</x:v>
      </x:c>
      <x:c r="I239" s="9" t="str">
        <x:v>1. 执行角色为公会长
2. 日期范围9月1日至9月15日，开始日存在业务记录A，范围外存在B</x:v>
      </x:c>
      <x:c r="J239" s="9" t="str">
        <x:v>1. 进入运营账号主页
2. 选择自定义日期为9月1日至9月15日</x:v>
      </x:c>
      <x:c r="K239" s="9" t="str">
        <x:v>筛选结果包含记录A</x:v>
      </x:c>
      <x:c r="L239" s="10" t="str"/>
      <x:c r="M239" s="10" t="str">
        <x:v>未测</x:v>
      </x:c>
      <x:c r="N239" s="10" t="str"/>
      <x:c r="O239" s="9" t="str">
        <x:v>1. 来源（当前证据）：liveshow-proto/MainBasis/统一需求文档.md；位置：REQ-6e7a5925d5b4；行3145
2. 规则：BR-e97bc9b6802e1505
3. 未动态验证</x:v>
      </x:c>
    </x:row>
    <x:row r="240" ht="85" customHeight="1">
      <x:c r="A240" s="10" t="n">
        <x:v>239</x:v>
      </x:c>
      <x:c r="B240" s="10" t="str">
        <x:v>GUILD-03-0071</x:v>
      </x:c>
      <x:c r="C240" s="10" t="str">
        <x:v>运营工具</x:v>
      </x:c>
      <x:c r="D240" s="10" t="str">
        <x:v>运营账号主页（公会长视角）</x:v>
      </x:c>
      <x:c r="E240" s="10" t="str">
        <x:v>逻辑校验</x:v>
      </x:c>
      <x:c r="F240" s="10" t="str">
        <x:v>P1</x:v>
      </x:c>
      <x:c r="G240" s="9" t="str">
        <x:v>验证运营账号主页包含结束日记录</x:v>
      </x:c>
      <x:c r="H240" s="9" t="str">
        <x:v>运营账号主页日期结束日边界</x:v>
      </x:c>
      <x:c r="I240" s="9" t="str">
        <x:v>1. 执行角色为公会长
2. 日期范围9月1日至9月15日，结束日存在业务记录A，范围外存在B</x:v>
      </x:c>
      <x:c r="J240" s="9" t="str">
        <x:v>1. 进入运营账号主页
2. 选择自定义日期为9月1日至9月15日</x:v>
      </x:c>
      <x:c r="K240" s="9" t="str">
        <x:v>筛选结果包含记录A</x:v>
      </x:c>
      <x:c r="L240" s="10" t="str"/>
      <x:c r="M240" s="10" t="str">
        <x:v>未测</x:v>
      </x:c>
      <x:c r="N240" s="10" t="str"/>
      <x:c r="O240" s="9" t="str">
        <x:v>1. 来源（当前证据）：liveshow-proto/MainBasis/统一需求文档.md；位置：REQ-6e7a5925d5b4；行3145
2. 规则：BR-b15d1fb74d764327
3. 未动态验证</x:v>
      </x:c>
    </x:row>
    <x:row r="241" ht="85" customHeight="1">
      <x:c r="A241" s="10" t="n">
        <x:v>240</x:v>
      </x:c>
      <x:c r="B241" s="10" t="str">
        <x:v>GUILD-05-0040</x:v>
      </x:c>
      <x:c r="C241" s="10" t="str">
        <x:v>数据与收益</x:v>
      </x:c>
      <x:c r="D241" s="10" t="str">
        <x:v>主播分成记录（公会长视角）</x:v>
      </x:c>
      <x:c r="E241" s="10" t="str">
        <x:v>功能需求</x:v>
      </x:c>
      <x:c r="F241" s="10" t="str">
        <x:v>P2</x:v>
      </x:c>
      <x:c r="G241" s="9" t="str">
        <x:v>验证主播分成记录默认日期周期</x:v>
      </x:c>
      <x:c r="H241" s="9" t="str">
        <x:v>主播分成记录默认周期</x:v>
      </x:c>
      <x:c r="I241" s="9" t="str">
        <x:v>1. 执行角色为公会长</x:v>
      </x:c>
      <x:c r="J241" s="9" t="str">
        <x:v>1. 进入主播分成记录页</x:v>
      </x:c>
      <x:c r="K241" s="9" t="str">
        <x:v>默认周期为本月</x:v>
      </x:c>
      <x:c r="L241" s="10" t="str"/>
      <x:c r="M241" s="10" t="str">
        <x:v>未测</x:v>
      </x:c>
      <x:c r="N241" s="10" t="str"/>
      <x:c r="O241" s="9" t="str">
        <x:v>1. 来源（当前证据）：liveshow-proto/MainBasis/统一需求文档.md；位置：REQ-e9c530534e0b；行3438
2. 规则：BR-90db05c0e0b6aee0
3. 未动态验证</x:v>
      </x:c>
    </x:row>
    <x:row r="242" ht="85" customHeight="1">
      <x:c r="A242" s="10" t="n">
        <x:v>241</x:v>
      </x:c>
      <x:c r="B242" s="10" t="str">
        <x:v>GUILD-05-0041</x:v>
      </x:c>
      <x:c r="C242" s="10" t="str">
        <x:v>数据与收益</x:v>
      </x:c>
      <x:c r="D242" s="10" t="str">
        <x:v>主播分成记录（公会长视角）</x:v>
      </x:c>
      <x:c r="E242" s="10" t="str">
        <x:v>逻辑校验</x:v>
      </x:c>
      <x:c r="F242" s="10" t="str">
        <x:v>P1</x:v>
      </x:c>
      <x:c r="G242" s="9" t="str">
        <x:v>验证主播分成记录包含开始日记录</x:v>
      </x:c>
      <x:c r="H242" s="9" t="str">
        <x:v>主播分成记录日期开始日边界</x:v>
      </x:c>
      <x:c r="I242" s="9" t="str">
        <x:v>1. 执行角色为公会长
2. 日期范围9月1日至9月15日，开始日存在业务记录A，范围外存在B</x:v>
      </x:c>
      <x:c r="J242" s="9" t="str">
        <x:v>1. 进入主播分成记录页
2. 选择自定义日期为9月1日至9月15日</x:v>
      </x:c>
      <x:c r="K242" s="9" t="str">
        <x:v>筛选结果包含记录A</x:v>
      </x:c>
      <x:c r="L242" s="10" t="str"/>
      <x:c r="M242" s="10" t="str">
        <x:v>未测</x:v>
      </x:c>
      <x:c r="N242" s="10" t="str"/>
      <x:c r="O242" s="9" t="str">
        <x:v>1. 来源（当前证据）：liveshow-proto/MainBasis/统一需求文档.md；位置：REQ-7f9821d8e4a3；行3436
2. 规则：BR-9f3c36806db91fc7
3. 未动态验证</x:v>
      </x:c>
    </x:row>
    <x:row r="243" ht="85" customHeight="1">
      <x:c r="A243" s="10" t="n">
        <x:v>242</x:v>
      </x:c>
      <x:c r="B243" s="10" t="str">
        <x:v>GUILD-05-0042</x:v>
      </x:c>
      <x:c r="C243" s="10" t="str">
        <x:v>数据与收益</x:v>
      </x:c>
      <x:c r="D243" s="10" t="str">
        <x:v>主播分成记录（公会长视角）</x:v>
      </x:c>
      <x:c r="E243" s="10" t="str">
        <x:v>逻辑校验</x:v>
      </x:c>
      <x:c r="F243" s="10" t="str">
        <x:v>P1</x:v>
      </x:c>
      <x:c r="G243" s="9" t="str">
        <x:v>验证主播分成记录包含结束日记录</x:v>
      </x:c>
      <x:c r="H243" s="9" t="str">
        <x:v>主播分成记录日期结束日边界</x:v>
      </x:c>
      <x:c r="I243" s="9" t="str">
        <x:v>1. 执行角色为公会长
2. 日期范围9月1日至9月15日，结束日存在业务记录A，范围外存在B</x:v>
      </x:c>
      <x:c r="J243" s="9" t="str">
        <x:v>1. 进入主播分成记录页
2. 选择自定义日期为9月1日至9月15日</x:v>
      </x:c>
      <x:c r="K243" s="9" t="str">
        <x:v>筛选结果包含记录A</x:v>
      </x:c>
      <x:c r="L243" s="10" t="str"/>
      <x:c r="M243" s="10" t="str">
        <x:v>未测</x:v>
      </x:c>
      <x:c r="N243" s="10" t="str"/>
      <x:c r="O243" s="9" t="str">
        <x:v>1. 来源（当前证据）：liveshow-proto/MainBasis/统一需求文档.md；位置：REQ-7f9821d8e4a3；行3436
2. 规则：BR-b7f75317c846c568
3. 未动态验证</x:v>
      </x:c>
    </x:row>
    <x:row r="244" ht="85" customHeight="1">
      <x:c r="A244" s="10" t="n">
        <x:v>243</x:v>
      </x:c>
      <x:c r="B244" s="10" t="str">
        <x:v>GUILD-05-0043</x:v>
      </x:c>
      <x:c r="C244" s="10" t="str">
        <x:v>数据与收益</x:v>
      </x:c>
      <x:c r="D244" s="10" t="str">
        <x:v>直播记录（公会长视角）</x:v>
      </x:c>
      <x:c r="E244" s="10" t="str">
        <x:v>逻辑校验</x:v>
      </x:c>
      <x:c r="F244" s="10" t="str">
        <x:v>P1</x:v>
      </x:c>
      <x:c r="G244" s="9" t="str">
        <x:v>验证直播记录汇总开播人数去重</x:v>
      </x:c>
      <x:c r="H244" s="9" t="str">
        <x:v>公会直播记录开播人数</x:v>
      </x:c>
      <x:c r="I244" s="9" t="str">
        <x:v>1. 执行角色为公会长
2. 甲完成2场乙完成1场，范围已包含</x:v>
      </x:c>
      <x:c r="J244" s="9" t="str">
        <x:v>1. 进入直播记录页</x:v>
      </x:c>
      <x:c r="K244" s="9" t="str">
        <x:v>开播人数显示2</x:v>
      </x:c>
      <x:c r="L244" s="10" t="str"/>
      <x:c r="M244" s="10" t="str">
        <x:v>未测</x:v>
      </x:c>
      <x:c r="N244" s="10" t="str"/>
      <x:c r="O244" s="9" t="str">
        <x:v>1. 来源（当前证据）：liveshow-proto/MainBasis/统一需求文档.md；位置：REQ-8fc59d945f54；行3285
2. 规则：BR-ed837253a6324a66
3. 未动态验证</x:v>
      </x:c>
    </x:row>
    <x:row r="245" ht="85" customHeight="1">
      <x:c r="A245" s="10" t="n">
        <x:v>244</x:v>
      </x:c>
      <x:c r="B245" s="10" t="str">
        <x:v>GUILD-05-0044</x:v>
      </x:c>
      <x:c r="C245" s="10" t="str">
        <x:v>数据与收益</x:v>
      </x:c>
      <x:c r="D245" s="10" t="str">
        <x:v>直播记录（公会长视角）</x:v>
      </x:c>
      <x:c r="E245" s="10" t="str">
        <x:v>逻辑校验</x:v>
      </x:c>
      <x:c r="F245" s="10" t="str">
        <x:v>P1</x:v>
      </x:c>
      <x:c r="G245" s="9" t="str">
        <x:v>验证直播记录场次数包含每次开播</x:v>
      </x:c>
      <x:c r="H245" s="9" t="str">
        <x:v>公会直播记录场次数</x:v>
      </x:c>
      <x:c r="I245" s="9" t="str">
        <x:v>1. 执行角色为公会长
2. 甲创建2场，乙创建1场，其中一场正在直播</x:v>
      </x:c>
      <x:c r="J245" s="9" t="str">
        <x:v>1. 进入直播记录页</x:v>
      </x:c>
      <x:c r="K245" s="9" t="str">
        <x:v>直播场次显示3</x:v>
      </x:c>
      <x:c r="L245" s="10" t="str"/>
      <x:c r="M245" s="10" t="str">
        <x:v>未测</x:v>
      </x:c>
      <x:c r="N245" s="10" t="str"/>
      <x:c r="O245" s="9" t="str">
        <x:v>1. 来源（当前证据）：liveshow-proto/MainBasis/统一需求文档.md；位置：REQ-0c21593960fd；行3287
2. 规则：BR-b9b816ef1ffef938
3. 未动态验证</x:v>
      </x:c>
    </x:row>
    <x:row r="246" ht="85" customHeight="1">
      <x:c r="A246" s="10" t="n">
        <x:v>245</x:v>
      </x:c>
      <x:c r="B246" s="10" t="str">
        <x:v>GUILD-05-0045</x:v>
      </x:c>
      <x:c r="C246" s="10" t="str">
        <x:v>数据与收益</x:v>
      </x:c>
      <x:c r="D246" s="10" t="str">
        <x:v>直播场次详情（公会长视角）</x:v>
      </x:c>
      <x:c r="E246" s="10" t="str">
        <x:v>功能需求</x:v>
      </x:c>
      <x:c r="F246" s="10" t="str">
        <x:v>P2</x:v>
      </x:c>
      <x:c r="G246" s="9" t="str">
        <x:v>验证赠礼详情不显示未定义用户等级</x:v>
      </x:c>
      <x:c r="H246" s="9" t="str">
        <x:v>公会赠礼用户资料范围</x:v>
      </x:c>
      <x:c r="I246" s="9" t="str">
        <x:v>1. 执行角色为公会长
2. 场次有真实用户送礼记录</x:v>
      </x:c>
      <x:c r="J246" s="9" t="str">
        <x:v>1. 进入直播场次详情页
2. 点击送礼记录</x:v>
      </x:c>
      <x:c r="K246" s="9" t="str">
        <x:v>详情不显示用户等级</x:v>
      </x:c>
      <x:c r="L246" s="10" t="str"/>
      <x:c r="M246" s="10" t="str">
        <x:v>未测</x:v>
      </x:c>
      <x:c r="N246" s="10" t="str"/>
      <x:c r="O246" s="9" t="str">
        <x:v>1. 来源（当前证据）：liveshow-proto/MainBasis/统一需求文档.md；位置：REQ-93d5b7f8688f；行3322
2. 规则：BR-dad9088c207f5e62
3. 未动态验证</x:v>
      </x:c>
    </x:row>
    <x:row r="247" ht="85" customHeight="1">
      <x:c r="A247" s="10" t="n">
        <x:v>246</x:v>
      </x:c>
      <x:c r="B247" s="10" t="str">
        <x:v>GUILD-05-0046</x:v>
      </x:c>
      <x:c r="C247" s="10" t="str">
        <x:v>数据与收益</x:v>
      </x:c>
      <x:c r="D247" s="10" t="str">
        <x:v>违规记录（公会长视角）</x:v>
      </x:c>
      <x:c r="E247" s="10" t="str">
        <x:v>功能需求</x:v>
      </x:c>
      <x:c r="F247" s="10" t="str">
        <x:v>P2</x:v>
      </x:c>
      <x:c r="G247" s="9" t="str">
        <x:v>验证公会账号违规按发生时间排序</x:v>
      </x:c>
      <x:c r="H247" s="9" t="str">
        <x:v>公会违规时间排序</x:v>
      </x:c>
      <x:c r="I247" s="9" t="str">
        <x:v>1. 执行角色为公会长
2. 账号违规甲10点、乙11点，当前选择账号违规</x:v>
      </x:c>
      <x:c r="J247" s="9" t="str">
        <x:v>1. 进入违规记录页</x:v>
      </x:c>
      <x:c r="K247" s="9" t="str">
        <x:v>乙排列在甲之前</x:v>
      </x:c>
      <x:c r="L247" s="10" t="str"/>
      <x:c r="M247" s="10" t="str">
        <x:v>未测</x:v>
      </x:c>
      <x:c r="N247" s="10" t="str"/>
      <x:c r="O247" s="9" t="str">
        <x:v>1. 来源（当前证据）：liveshow-proto/MainBasis/统一需求文档.md；位置：REQ-2193ff33f58c；行3351
2. 规则：BR-b7fa97bedb41e147
3. 未动态验证</x:v>
      </x:c>
    </x:row>
    <x:row r="248" ht="85" customHeight="1">
      <x:c r="A248" s="10" t="n">
        <x:v>247</x:v>
      </x:c>
      <x:c r="B248" s="10" t="str">
        <x:v>GUILD-05-0047</x:v>
      </x:c>
      <x:c r="C248" s="10" t="str">
        <x:v>数据与收益</x:v>
      </x:c>
      <x:c r="D248" s="10" t="str">
        <x:v>违规记录（公会长视角）</x:v>
      </x:c>
      <x:c r="E248" s="10" t="str">
        <x:v>功能需求</x:v>
      </x:c>
      <x:c r="F248" s="10" t="str">
        <x:v>P2</x:v>
      </x:c>
      <x:c r="G248" s="9" t="str">
        <x:v>验证违规筛选未选择主播提示</x:v>
      </x:c>
      <x:c r="H248" s="9" t="str">
        <x:v>公会违规主播筛选必选</x:v>
      </x:c>
      <x:c r="I248" s="9" t="str">
        <x:v>1. 执行角色为公会长
2. 主播选择清空</x:v>
      </x:c>
      <x:c r="J248" s="9" t="str">
        <x:v>1. 进入违规记录页</x:v>
      </x:c>
      <x:c r="K248" s="9" t="str">
        <x:v>提示选择主播</x:v>
      </x:c>
      <x:c r="L248" s="10" t="str"/>
      <x:c r="M248" s="10" t="str">
        <x:v>未测</x:v>
      </x:c>
      <x:c r="N248" s="10" t="str"/>
      <x:c r="O248" s="9" t="str">
        <x:v>1. 来源（当前证据）：liveshow-proto/MainBasis/统一需求文档.md；位置：REQ-bb3258b612d5；行3343
2. 规则：BR-37fb0ad56bec8d9c
3. 未动态验证</x:v>
      </x:c>
    </x:row>
    <x:row r="249" ht="85" customHeight="1">
      <x:c r="A249" s="10" t="n">
        <x:v>248</x:v>
      </x:c>
      <x:c r="B249" s="10" t="str">
        <x:v>GUILD-05-0048</x:v>
      </x:c>
      <x:c r="C249" s="10" t="str">
        <x:v>数据与收益</x:v>
      </x:c>
      <x:c r="D249" s="10" t="str">
        <x:v>每日（公会长视角）</x:v>
      </x:c>
      <x:c r="E249" s="10" t="str">
        <x:v>功能需求</x:v>
      </x:c>
      <x:c r="F249" s="10" t="str">
        <x:v>P2</x:v>
      </x:c>
      <x:c r="G249" s="9" t="str">
        <x:v>验证查看往日经营数据标记历史</x:v>
      </x:c>
      <x:c r="H249" s="9" t="str">
        <x:v>公会每日历史标记</x:v>
      </x:c>
      <x:c r="I249" s="9" t="str">
        <x:v>1. 执行角色为公会长
2. 当前目标日期为昨天</x:v>
      </x:c>
      <x:c r="J249" s="9" t="str">
        <x:v>1. 进入每日页</x:v>
      </x:c>
      <x:c r="K249" s="9" t="str">
        <x:v>显示历史标记</x:v>
      </x:c>
      <x:c r="L249" s="10" t="str"/>
      <x:c r="M249" s="10" t="str">
        <x:v>未测</x:v>
      </x:c>
      <x:c r="N249" s="10" t="str"/>
      <x:c r="O249" s="9" t="str">
        <x:v>1. 来源（当前证据）：liveshow-proto/MainBasis/统一需求文档.md；位置：REQ-136eaaa6e25c；行3409
2. 规则：BR-43e6bddf60cb802a
3. 未动态验证</x:v>
      </x:c>
    </x:row>
    <x:row r="250" ht="85" customHeight="1">
      <x:c r="A250" s="10" t="n">
        <x:v>249</x:v>
      </x:c>
      <x:c r="B250" s="10" t="str">
        <x:v>GUILD-05-0049</x:v>
      </x:c>
      <x:c r="C250" s="10" t="str">
        <x:v>数据与收益</x:v>
      </x:c>
      <x:c r="D250" s="10" t="str">
        <x:v>主播分成记录（公会长视角）</x:v>
      </x:c>
      <x:c r="E250" s="10" t="str">
        <x:v>逻辑校验</x:v>
      </x:c>
      <x:c r="F250" s="10" t="str">
        <x:v>P1</x:v>
      </x:c>
      <x:c r="G250" s="9" t="str">
        <x:v>验证公会主播分成不提供线上审批</x:v>
      </x:c>
      <x:c r="H250" s="9" t="str">
        <x:v>公会主播分成只读范围</x:v>
      </x:c>
      <x:c r="I250" s="9" t="str">
        <x:v>1. 执行角色为公会长</x:v>
      </x:c>
      <x:c r="J250" s="9" t="str">
        <x:v>1. 进入主播分成记录页</x:v>
      </x:c>
      <x:c r="K250" s="9" t="str">
        <x:v>不提供分成计算或审批操作</x:v>
      </x:c>
      <x:c r="L250" s="10" t="str"/>
      <x:c r="M250" s="10" t="str">
        <x:v>未测</x:v>
      </x:c>
      <x:c r="N250" s="10" t="str"/>
      <x:c r="O250" s="9" t="str">
        <x:v>1. 来源（当前证据）：liveshow-proto/MainBasis/统一需求文档.md；位置：REQ-2010984afb60；行3446
2. 规则：BR-a0dc7cfebc21534d
3. 未动态验证</x:v>
      </x:c>
    </x:row>
    <x:row r="251" ht="85" customHeight="1">
      <x:c r="A251" s="10" t="n">
        <x:v>250</x:v>
      </x:c>
      <x:c r="B251" s="10" t="str">
        <x:v>GUILD-03-0072</x:v>
      </x:c>
      <x:c r="C251" s="10" t="str">
        <x:v>运营工具</x:v>
      </x:c>
      <x:c r="D251" s="10" t="str">
        <x:v>创建运营账号（公会长视角）</x:v>
      </x:c>
      <x:c r="E251" s="10" t="str">
        <x:v>逻辑校验</x:v>
      </x:c>
      <x:c r="F251" s="10" t="str">
        <x:v>P1</x:v>
      </x:c>
      <x:c r="G251" s="9" t="str">
        <x:v>验证运营账号名称可以完整输入30字符</x:v>
      </x:c>
      <x:c r="H251" s="9" t="str">
        <x:v>运营名称长度上边界</x:v>
      </x:c>
      <x:c r="I251" s="9" t="str">
        <x:v>1. 执行角色为公会长
2. 已登录公会长账号，打开创建运营账号页</x:v>
      </x:c>
      <x:c r="J251" s="9" t="str">
        <x:v>1. 填写名称为30个连续大写A
2. 查看名称输入框</x:v>
      </x:c>
      <x:c r="K251" s="9" t="str">
        <x:v>名称输入框完整保留30个A</x:v>
      </x:c>
      <x:c r="L251" s="10" t="str"/>
      <x:c r="M251" s="10" t="str">
        <x:v>未测</x:v>
      </x:c>
      <x:c r="N251" s="10" t="str"/>
      <x:c r="O251" s="9" t="str">
        <x:v>1. 来源（当前证据）：liveshow-proto/MainBasis/统一需求文档.md；位置：REQ-26ba8fb92142；行3119
2. 规则：BR-003df8fa044bcbe7
3. 未动态验证</x:v>
      </x:c>
    </x:row>
    <x:row r="252" ht="100" customHeight="1">
      <x:c r="A252" s="10" t="n">
        <x:v>251</x:v>
      </x:c>
      <x:c r="B252" s="10" t="str">
        <x:v>GUILD-04-0024</x:v>
      </x:c>
      <x:c r="C252" s="10" t="str">
        <x:v>公会管理</x:v>
      </x:c>
      <x:c r="D252" s="10" t="str">
        <x:v>公会资料（公会长视角）</x:v>
      </x:c>
      <x:c r="E252" s="10" t="str">
        <x:v>逻辑校验</x:v>
      </x:c>
      <x:c r="F252" s="10" t="str">
        <x:v>P1</x:v>
      </x:c>
      <x:c r="G252" s="9" t="str">
        <x:v>验证退出公会后旧会话不能访问受保护页面</x:v>
      </x:c>
      <x:c r="H252" s="9" t="str">
        <x:v>公会退出会话失效</x:v>
      </x:c>
      <x:c r="I252" s="9" t="str">
        <x:v>1. 执行角色为公会长
2. 已登录公会长账号；账号设置页可操作</x:v>
      </x:c>
      <x:c r="J252" s="9" t="str">
        <x:v>1. 进入账号设置页
2. 点击退出登录
3. 点击确认退出
4. 进入公会资料页
5. 刷新公会资料页面</x:v>
      </x:c>
      <x:c r="K252" s="9" t="str">
        <x:v>未重新登录时不能读取受保护的公会资料</x:v>
      </x:c>
      <x:c r="L252" s="10" t="str"/>
      <x:c r="M252" s="10" t="str">
        <x:v>未测</x:v>
      </x:c>
      <x:c r="N252" s="10" t="str"/>
      <x:c r="O252" s="9" t="str">
        <x:v>1. 来源（当前证据）：liveshow-proto/MainBasis/统一需求文档.md；位置：REQ-5924278ce187；行3241、REQ-308eb014e34f；行3245、REQ-c68ea3b46fc7；行3220
2. 规则：BR-9b55ee90d5c04fb5
3. 未动态验证</x:v>
      </x:c>
    </x:row>
    <x:row r="253" ht="100" customHeight="1">
      <x:c r="A253" s="10" t="n">
        <x:v>252</x:v>
      </x:c>
      <x:c r="B253" s="10" t="str">
        <x:v>GUILD-02-0076</x:v>
      </x:c>
      <x:c r="C253" s="10" t="str">
        <x:v>主播管理</x:v>
      </x:c>
      <x:c r="D253" s="10" t="str">
        <x:v>退会申请详情（公会长视角）</x:v>
      </x:c>
      <x:c r="E253" s="10" t="str">
        <x:v>逻辑校验</x:v>
      </x:c>
      <x:c r="F253" s="10" t="str">
        <x:v>P1</x:v>
      </x:c>
      <x:c r="G253" s="9" t="str">
        <x:v>验证退会驳回后新申请进入公会审核</x:v>
      </x:c>
      <x:c r="H253" s="9" t="str">
        <x:v>退会重申审核入口</x:v>
      </x:c>
      <x:c r="I253" s="9" t="str">
        <x:v>1. 执行角色为公会长
2. 已登录公会长账号；主播甲在会，其退会申请A已被驳回
3. 环境准备要求：甲在用户端重新提交退会申请B</x:v>
      </x:c>
      <x:c r="J253" s="9" t="str">
        <x:v>1. 进入退会申请页
2. 点击甲的新退会申请B</x:v>
      </x:c>
      <x:c r="K253" s="9" t="str">
        <x:v>B显示待审核</x:v>
      </x:c>
      <x:c r="L253" s="10" t="str"/>
      <x:c r="M253" s="10" t="str">
        <x:v>未测</x:v>
      </x:c>
      <x:c r="N253" s="10" t="str"/>
      <x:c r="O253" s="9" t="str">
        <x:v>1. 来源（当前证据）：liveshow-proto/MainBasis/统一需求文档.md；位置：REQ-6bec92629c2b；行2877、REQ-7cd6e6046561；行2867、REQ-e238b21c76a7；行2854
2. 规则：BR-f79f3f366547cd0e
3. 未动态验证</x:v>
      </x:c>
    </x:row>
    <x:row r="254" ht="85" customHeight="1">
      <x:c r="A254" s="10" t="n">
        <x:v>253</x:v>
      </x:c>
      <x:c r="B254" s="10" t="str">
        <x:v>GUILD-03-0073</x:v>
      </x:c>
      <x:c r="C254" s="10" t="str">
        <x:v>运营工具</x:v>
      </x:c>
      <x:c r="D254" s="10" t="str">
        <x:v>送礼记录（公会长视角）</x:v>
      </x:c>
      <x:c r="E254" s="10" t="str">
        <x:v>功能需求</x:v>
      </x:c>
      <x:c r="F254" s="10" t="str">
        <x:v>P2</x:v>
      </x:c>
      <x:c r="G254" s="9" t="str">
        <x:v>验证运营送礼记录提供全部日期选项</x:v>
      </x:c>
      <x:c r="H254" s="9" t="str">
        <x:v>运营赠礼日期选项</x:v>
      </x:c>
      <x:c r="I254" s="9" t="str">
        <x:v>1. 执行角色为公会长
2. 已登录公会长账号</x:v>
      </x:c>
      <x:c r="J254" s="9" t="str">
        <x:v>1. 进入送礼记录页
2. 点击日期筛选</x:v>
      </x:c>
      <x:c r="K254" s="9" t="str">
        <x:v>可选今日、昨日、本周、上周、本月、上月、自定义</x:v>
      </x:c>
      <x:c r="L254" s="10" t="str"/>
      <x:c r="M254" s="10" t="str">
        <x:v>未测</x:v>
      </x:c>
      <x:c r="N254" s="10" t="str"/>
      <x:c r="O254" s="9" t="str">
        <x:v>1. 来源（当前证据）：liveshow-proto/MainBasis/统一需求文档.md；位置：REQ-cbaa9bccc9de；行3194
2. 规则：BR-0d7779cfbebfcf13
3. 未动态验证</x:v>
      </x:c>
    </x:row>
    <x:row r="255" ht="100" customHeight="1">
      <x:c r="A255" s="10" t="n">
        <x:v>254</x:v>
      </x:c>
      <x:c r="B255" s="10" t="str">
        <x:v>GUILD-03-0074</x:v>
      </x:c>
      <x:c r="C255" s="10" t="str">
        <x:v>运营工具</x:v>
      </x:c>
      <x:c r="D255" s="10" t="str">
        <x:v>送礼记录（公会长视角）</x:v>
      </x:c>
      <x:c r="E255" s="10" t="str">
        <x:v>逻辑校验</x:v>
      </x:c>
      <x:c r="F255" s="10" t="str">
        <x:v>P1</x:v>
      </x:c>
      <x:c r="G255" s="9" t="str">
        <x:v>验证运营送礼日期变化更新送礼列表</x:v>
      </x:c>
      <x:c r="H255" s="9" t="str">
        <x:v>运营日期筛选送礼列表</x:v>
      </x:c>
      <x:c r="I255" s="9" t="str">
        <x:v>1. 执行角色为公会长
2. 已登录公会长账号；运营账号O001于9月15日成功送礼A，单价10金币数量3件；9月16日成功送礼B，单价20金币数量2件；没有其他记录</x:v>
      </x:c>
      <x:c r="J255" s="9" t="str">
        <x:v>1. 进入送礼记录页
2. 选择自定义日期为9月15日至9月15日</x:v>
      </x:c>
      <x:c r="K255" s="9" t="str">
        <x:v>列表仅包含9月15日的记录A</x:v>
      </x:c>
      <x:c r="L255" s="10" t="str"/>
      <x:c r="M255" s="10" t="str">
        <x:v>未测</x:v>
      </x:c>
      <x:c r="N255" s="10" t="str"/>
      <x:c r="O255" s="9" t="str">
        <x:v>1. 来源（当前证据）：liveshow-proto/MainBasis/统一需求文档.md；位置：REQ-507664dd9eeb；行3202、REQ-81a3ed5abf3a；行3196、REQ-7d4a601f95fa；行3198
2. 规则：BR-3f4990fa41ba65ef
3. 未动态验证</x:v>
      </x:c>
    </x:row>
    <x:row r="256" ht="100" customHeight="1">
      <x:c r="A256" s="10" t="n">
        <x:v>255</x:v>
      </x:c>
      <x:c r="B256" s="10" t="str">
        <x:v>GUILD-03-0075</x:v>
      </x:c>
      <x:c r="C256" s="10" t="str">
        <x:v>运营工具</x:v>
      </x:c>
      <x:c r="D256" s="10" t="str">
        <x:v>送礼记录（公会长视角）</x:v>
      </x:c>
      <x:c r="E256" s="10" t="str">
        <x:v>逻辑校验</x:v>
      </x:c>
      <x:c r="F256" s="10" t="str">
        <x:v>P1</x:v>
      </x:c>
      <x:c r="G256" s="9" t="str">
        <x:v>验证运营送礼日期变化更新送礼次数</x:v>
      </x:c>
      <x:c r="H256" s="9" t="str">
        <x:v>运营日期筛选送礼次数</x:v>
      </x:c>
      <x:c r="I256" s="9" t="str">
        <x:v>1. 执行角色为公会长
2. 已登录公会长账号；运营账号O001于9月15日成功送礼A，单价10金币数量3件；9月16日成功送礼B，单价20金币数量2件；没有其他记录</x:v>
      </x:c>
      <x:c r="J256" s="9" t="str">
        <x:v>1. 进入送礼记录页
2. 选择自定义日期为9月15日至9月15日</x:v>
      </x:c>
      <x:c r="K256" s="9" t="str">
        <x:v>总送礼次数显示1</x:v>
      </x:c>
      <x:c r="L256" s="10" t="str"/>
      <x:c r="M256" s="10" t="str">
        <x:v>未测</x:v>
      </x:c>
      <x:c r="N256" s="10" t="str"/>
      <x:c r="O256" s="9" t="str">
        <x:v>1. 来源（当前证据）：liveshow-proto/MainBasis/统一需求文档.md；位置：REQ-507664dd9eeb；行3202、REQ-81a3ed5abf3a；行3196、REQ-7d4a601f95fa；行3198
2. 规则：BR-b434a580f2e1afc1
3. 未动态验证</x:v>
      </x:c>
    </x:row>
    <x:row r="257" ht="100" customHeight="1">
      <x:c r="A257" s="10" t="n">
        <x:v>256</x:v>
      </x:c>
      <x:c r="B257" s="10" t="str">
        <x:v>GUILD-03-0076</x:v>
      </x:c>
      <x:c r="C257" s="10" t="str">
        <x:v>运营工具</x:v>
      </x:c>
      <x:c r="D257" s="10" t="str">
        <x:v>送礼记录（公会长视角）</x:v>
      </x:c>
      <x:c r="E257" s="10" t="str">
        <x:v>逻辑校验</x:v>
      </x:c>
      <x:c r="F257" s="10" t="str">
        <x:v>P1</x:v>
      </x:c>
      <x:c r="G257" s="9" t="str">
        <x:v>验证运营送礼日期变化更新消费金币</x:v>
      </x:c>
      <x:c r="H257" s="9" t="str">
        <x:v>运营日期筛选消费金币</x:v>
      </x:c>
      <x:c r="I257" s="9" t="str">
        <x:v>1. 执行角色为公会长
2. 已登录公会长账号；运营账号O001于9月15日成功送礼A，单价10金币数量3件；9月16日成功送礼B，单价20金币数量2件；没有其他记录</x:v>
      </x:c>
      <x:c r="J257" s="9" t="str">
        <x:v>1. 进入送礼记录页
2. 选择自定义日期为9月15日至9月15日</x:v>
      </x:c>
      <x:c r="K257" s="9" t="str">
        <x:v>总消费金币显示30金币</x:v>
      </x:c>
      <x:c r="L257" s="10" t="str"/>
      <x:c r="M257" s="10" t="str">
        <x:v>未测</x:v>
      </x:c>
      <x:c r="N257" s="10" t="str"/>
      <x:c r="O257" s="9" t="str">
        <x:v>1. 来源（当前证据）：liveshow-proto/MainBasis/统一需求文档.md；位置：REQ-507664dd9eeb；行3202、REQ-81a3ed5abf3a；行3196、REQ-7d4a601f95fa；行3198
2. 规则：BR-34e0798b9fea7681
3. 未动态验证</x:v>
      </x:c>
    </x:row>
    <x:row r="258" ht="100" customHeight="1">
      <x:c r="A258" s="10" t="n">
        <x:v>257</x:v>
      </x:c>
      <x:c r="B258" s="10" t="str">
        <x:v>GUILD-03-0077</x:v>
      </x:c>
      <x:c r="C258" s="10" t="str">
        <x:v>运营工具</x:v>
      </x:c>
      <x:c r="D258" s="10" t="str">
        <x:v>新建运营消息（公会长视角）</x:v>
      </x:c>
      <x:c r="E258" s="10" t="str">
        <x:v>逻辑校验</x:v>
      </x:c>
      <x:c r="F258" s="10" t="str">
        <x:v>P1</x:v>
      </x:c>
      <x:c r="G258" s="9" t="str">
        <x:v>验证指定主播消息未选收件人不能发送</x:v>
      </x:c>
      <x:c r="H258" s="9" t="str">
        <x:v>运营消息收件人必填</x:v>
      </x:c>
      <x:c r="I258" s="9" t="str">
        <x:v>1. 执行角色为公会长
2. 已登录公会长账号；未选择任何接收主播</x:v>
      </x:c>
      <x:c r="J258" s="9" t="str">
        <x:v>1. 进入新建运营消息页
2. 选择对象类型为指定主播
3. 填写文字内容为QA通知
4. 点击发送</x:v>
      </x:c>
      <x:c r="K258" s="9" t="str">
        <x:v>不能发送未指定接收主播的消息</x:v>
      </x:c>
      <x:c r="L258" s="10" t="str"/>
      <x:c r="M258" s="10" t="str">
        <x:v>未测</x:v>
      </x:c>
      <x:c r="N258" s="10" t="str"/>
      <x:c r="O258" s="9" t="str">
        <x:v>1. 来源（当前证据）：liveshow-proto/MainBasis/统一需求文档.md；位置：REQ-48fe35060417；行3051、REQ-071be1de5357；行3041
2. 规则：BR-305f39176698c61a
3. 未动态验证</x:v>
      </x:c>
    </x:row>
    <x:row r="259" ht="100" customHeight="1">
      <x:c r="A259" s="10" t="n">
        <x:v>258</x:v>
      </x:c>
      <x:c r="B259" s="10" t="str">
        <x:v>GUILD-05-0050</x:v>
      </x:c>
      <x:c r="C259" s="10" t="str">
        <x:v>数据与收益</x:v>
      </x:c>
      <x:c r="D259" s="10" t="str">
        <x:v>直播场次详情（公会长视角）</x:v>
      </x:c>
      <x:c r="E259" s="10" t="str">
        <x:v>逻辑校验</x:v>
      </x:c>
      <x:c r="F259" s="10" t="str">
        <x:v>P1</x:v>
      </x:c>
      <x:c r="G259" s="9" t="str">
        <x:v>验证直播结束后公会保留历史消费</x:v>
      </x:c>
      <x:c r="H259" s="9" t="str">
        <x:v>场次结束历史消费留存</x:v>
      </x:c>
      <x:c r="I259" s="9" t="str">
        <x:v>1. 执行角色为公会长
2. 已登录公会长账号；本公会主播甲的场次S1收到真实用户普通赠礼R1，成功消费100金币，无其他收益
3. 甲已主动结束S1</x:v>
      </x:c>
      <x:c r="J259" s="9" t="str">
        <x:v>1. 进入直播场次详情页
2. 查看甲的场次S1</x:v>
      </x:c>
      <x:c r="K259" s="9" t="str">
        <x:v>场次S1仍显示成功赠礼记录R1</x:v>
      </x:c>
      <x:c r="L259" s="10" t="str"/>
      <x:c r="M259" s="10" t="str">
        <x:v>未测</x:v>
      </x:c>
      <x:c r="N259" s="10" t="str"/>
      <x:c r="O259" s="9" t="str">
        <x:v>1. 来源（当前证据）：liveshow-proto/MainBasis/统一需求文档.md；位置：REQ-55e89c691eee；行3306、REQ-a5a3a5ccbbb6；行3289
2. 规则：BR-7ca3a469a748182d
3. 未动态验证</x:v>
      </x:c>
    </x:row>
    <x:row r="260" ht="100" customHeight="1">
      <x:c r="A260" s="10" t="n">
        <x:v>259</x:v>
      </x:c>
      <x:c r="B260" s="10" t="str">
        <x:v>GUILD-05-0051</x:v>
      </x:c>
      <x:c r="C260" s="10" t="str">
        <x:v>数据与收益</x:v>
      </x:c>
      <x:c r="D260" s="10" t="str">
        <x:v>直播记录（公会长视角）</x:v>
      </x:c>
      <x:c r="E260" s="10" t="str">
        <x:v>逻辑校验</x:v>
      </x:c>
      <x:c r="F260" s="10" t="str">
        <x:v>P1</x:v>
      </x:c>
      <x:c r="G260" s="9" t="str">
        <x:v>验证直播结束后公会保留历史收益</x:v>
      </x:c>
      <x:c r="H260" s="9" t="str">
        <x:v>场次结束历史收益留存</x:v>
      </x:c>
      <x:c r="I260" s="9" t="str">
        <x:v>1. 执行角色为公会长
2. 已登录公会长账号；本公会主播甲的场次S1收到真实用户普通赠礼R1，成功消费100金币，无其他收益
3. 甲已主动结束S1</x:v>
      </x:c>
      <x:c r="J260" s="9" t="str">
        <x:v>1. 进入直播记录页
2. 查看甲的场次S1</x:v>
      </x:c>
      <x:c r="K260" s="9" t="str">
        <x:v>场次S1收益仍为100金币</x:v>
      </x:c>
      <x:c r="L260" s="10" t="str"/>
      <x:c r="M260" s="10" t="str">
        <x:v>未测</x:v>
      </x:c>
      <x:c r="N260" s="10" t="str"/>
      <x:c r="O260" s="9" t="str">
        <x:v>1. 来源（当前证据）：liveshow-proto/MainBasis/统一需求文档.md；位置：REQ-a5a3a5ccbbb6；行3289
2. 规则：BR-069dae776b1fc476
3. 未动态验证</x:v>
      </x:c>
    </x:row>
    <x:row r="261" ht="100" customHeight="1">
      <x:c r="A261" s="10" t="n">
        <x:v>260</x:v>
      </x:c>
      <x:c r="B261" s="10" t="str">
        <x:v>GUILD-02-0077</x:v>
      </x:c>
      <x:c r="C261" s="10" t="str">
        <x:v>主播管理</x:v>
      </x:c>
      <x:c r="D261" s="10" t="str">
        <x:v>主播数据（公会长视角）</x:v>
      </x:c>
      <x:c r="E261" s="10" t="str">
        <x:v>逻辑校验</x:v>
      </x:c>
      <x:c r="F261" s="10" t="str">
        <x:v>P1</x:v>
      </x:c>
      <x:c r="G261" s="9" t="str">
        <x:v>验证平台封禁主播后公会在播标记消失</x:v>
      </x:c>
      <x:c r="H261" s="9" t="str">
        <x:v>封禁后公会在播状态</x:v>
      </x:c>
      <x:c r="I261" s="9" t="str">
        <x:v>1. 执行角色为公会长
2. 已登录公会长账号，甲原先正在直播
3. 环境准备要求：平台管理员封禁甲的账号且处理成功</x:v>
      </x:c>
      <x:c r="J261" s="9" t="str">
        <x:v>1. 进入主播数据页</x:v>
      </x:c>
      <x:c r="K261" s="9" t="str">
        <x:v>甲不显示直播中标记</x:v>
      </x:c>
      <x:c r="L261" s="10" t="str"/>
      <x:c r="M261" s="10" t="str">
        <x:v>未测</x:v>
      </x:c>
      <x:c r="N261" s="10" t="str"/>
      <x:c r="O261" s="9" t="str">
        <x:v>1. 来源（当前证据）：liveshow-proto/MainBasis/统一需求文档.md；位置：REQ-dd4a60d7c8f3；行2946、REQ-fbc17ab917b7；行3353、REQ-64e251686c55；行3357
2. 规则：BR-1fc601b20ab63c87
3. 未动态验证</x:v>
      </x:c>
    </x:row>
    <x:row r="262" ht="100" customHeight="1">
      <x:c r="A262" s="10" t="n">
        <x:v>261</x:v>
      </x:c>
      <x:c r="B262" s="10" t="str">
        <x:v>GUILD-02-0078</x:v>
      </x:c>
      <x:c r="C262" s="10" t="str">
        <x:v>主播管理</x:v>
      </x:c>
      <x:c r="D262" s="10" t="str">
        <x:v>主播数据（公会长视角）</x:v>
      </x:c>
      <x:c r="E262" s="10" t="str">
        <x:v>逻辑校验</x:v>
      </x:c>
      <x:c r="F262" s="10" t="str">
        <x:v>P1</x:v>
      </x:c>
      <x:c r="G262" s="9" t="str">
        <x:v>验证平台仅警告后公会仍显示在播</x:v>
      </x:c>
      <x:c r="H262" s="9" t="str">
        <x:v>警告后公会在播状态</x:v>
      </x:c>
      <x:c r="I262" s="9" t="str">
        <x:v>1. 执行角色为公会长
2. 已登录公会长账号，甲正在直播
3. 环境准备要求：平台对甲当前场次执行警告，未执行关闭场次或关闭权限</x:v>
      </x:c>
      <x:c r="J262" s="9" t="str">
        <x:v>1. 进入主播数据页</x:v>
      </x:c>
      <x:c r="K262" s="9" t="str">
        <x:v>甲仍显示直播中标记</x:v>
      </x:c>
      <x:c r="L262" s="10" t="str"/>
      <x:c r="M262" s="10" t="str">
        <x:v>未测</x:v>
      </x:c>
      <x:c r="N262" s="10" t="str"/>
      <x:c r="O262" s="9" t="str">
        <x:v>1. 来源（当前证据）：liveshow-proto/MainBasis/统一需求文档.md；位置：REQ-dd4a60d7c8f3；行2946、REQ-b40230356129；行3355
2. 规则：BR-fdc91cbba8836cb0
3. 未动态验证</x:v>
      </x:c>
    </x:row>
    <x:row r="263" ht="115" customHeight="1">
      <x:c r="A263" s="10" t="n">
        <x:v>262</x:v>
      </x:c>
      <x:c r="B263" s="10" t="str">
        <x:v>GUILD-05-0052</x:v>
      </x:c>
      <x:c r="C263" s="10" t="str">
        <x:v>数据与收益</x:v>
      </x:c>
      <x:c r="D263" s="10" t="str">
        <x:v>直播场次详情（公会长视角）</x:v>
      </x:c>
      <x:c r="E263" s="10" t="str">
        <x:v>逻辑校验</x:v>
      </x:c>
      <x:c r="F263" s="10" t="str">
        <x:v>P1</x:v>
      </x:c>
      <x:c r="G263" s="9" t="str">
        <x:v>验证礼物下架不清除公会历史赠礼收益</x:v>
      </x:c>
      <x:c r="H263" s="9" t="str">
        <x:v>公会礼物下架收益保留</x:v>
      </x:c>
      <x:c r="I263" s="9" t="str">
        <x:v>1. 执行角色为公会长
2. 已登录公会长账号；主播甲S1仅收到普通礼物真实消费100金币，收益已形成
3. 环境准备要求：由平台及支付测试环境对该笔礼物执行下架并确认处理完成</x:v>
      </x:c>
      <x:c r="J263" s="9" t="str">
        <x:v>1. 进入直播场次详情页
2. 查看S1礼物收益</x:v>
      </x:c>
      <x:c r="K263" s="9" t="str">
        <x:v>S1礼物收益仍为100金币</x:v>
      </x:c>
      <x:c r="L263" s="10" t="str"/>
      <x:c r="M263" s="10" t="str">
        <x:v>未测</x:v>
      </x:c>
      <x:c r="N263" s="10" t="str"/>
      <x:c r="O263" s="9" t="str">
        <x:v>1. 来源（当前证据）：liveshow-proto/MainBasis/统一需求文档.md；位置：REQ-748319f69b03；行3330、588f284b0ff9b4c20bb1870043101393133fa69ea13c16ff40e0b099458906a1；行5881
2. 规则：BR-94d6d402a642bd21
3. 未动态验证</x:v>
      </x:c>
    </x:row>
    <x:row r="264" ht="115" customHeight="1">
      <x:c r="A264" s="10" t="n">
        <x:v>263</x:v>
      </x:c>
      <x:c r="B264" s="10" t="str">
        <x:v>GUILD-05-0053</x:v>
      </x:c>
      <x:c r="C264" s="10" t="str">
        <x:v>数据与收益</x:v>
      </x:c>
      <x:c r="D264" s="10" t="str">
        <x:v>直播场次详情（公会长视角）</x:v>
      </x:c>
      <x:c r="E264" s="10" t="str">
        <x:v>逻辑校验</x:v>
      </x:c>
      <x:c r="F264" s="10" t="str">
        <x:v>P1</x:v>
      </x:c>
      <x:c r="G264" s="9" t="str">
        <x:v>验证充值退款不清除公会历史赠礼收益</x:v>
      </x:c>
      <x:c r="H264" s="9" t="str">
        <x:v>公会充值退款收益保留</x:v>
      </x:c>
      <x:c r="I264" s="9" t="str">
        <x:v>1. 执行角色为公会长
2. 已登录公会长账号；主播甲S1仅收到普通礼物真实消费100金币，收益已形成
3. 环境准备要求：由平台及支付测试环境对该笔充值订单模拟充值退款并确认处理完成</x:v>
      </x:c>
      <x:c r="J264" s="9" t="str">
        <x:v>1. 进入直播场次详情页
2. 查看S1礼物收益</x:v>
      </x:c>
      <x:c r="K264" s="9" t="str">
        <x:v>S1礼物收益仍为100金币</x:v>
      </x:c>
      <x:c r="L264" s="10" t="str"/>
      <x:c r="M264" s="10" t="str">
        <x:v>未测</x:v>
      </x:c>
      <x:c r="N264" s="10" t="str"/>
      <x:c r="O264" s="9" t="str">
        <x:v>1. 来源（当前证据）：liveshow-proto/MainBasis/统一需求文档.md；位置：REQ-748319f69b03；行3330、b757877012919357a7470107c493d6cf1aead1fa8eded226b384a010d7937da4；行5968
2. 规则：BR-28ae297d5783bd7f
3. 未动态验证</x:v>
      </x:c>
    </x:row>
    <x:row r="265" ht="115" customHeight="1">
      <x:c r="A265" s="10" t="n">
        <x:v>264</x:v>
      </x:c>
      <x:c r="B265" s="10" t="str">
        <x:v>GUILD-05-0054</x:v>
      </x:c>
      <x:c r="C265" s="10" t="str">
        <x:v>数据与收益</x:v>
      </x:c>
      <x:c r="D265" s="10" t="str">
        <x:v>直播场次详情（公会长视角）</x:v>
      </x:c>
      <x:c r="E265" s="10" t="str">
        <x:v>逻辑校验</x:v>
      </x:c>
      <x:c r="F265" s="10" t="str">
        <x:v>P1</x:v>
      </x:c>
      <x:c r="G265" s="9" t="str">
        <x:v>验证充值拒付不清除公会历史赠礼收益</x:v>
      </x:c>
      <x:c r="H265" s="9" t="str">
        <x:v>公会充值拒付收益保留</x:v>
      </x:c>
      <x:c r="I265" s="9" t="str">
        <x:v>1. 执行角色为公会长
2. 已登录公会长账号；主播甲S1仅收到普通礼物真实消费100金币，收益已形成
3. 环境准备要求：由平台及支付测试环境对该笔充值订单模拟充值拒付并确认处理完成</x:v>
      </x:c>
      <x:c r="J265" s="9" t="str">
        <x:v>1. 进入直播场次详情页
2. 查看S1礼物收益</x:v>
      </x:c>
      <x:c r="K265" s="9" t="str">
        <x:v>S1礼物收益仍为100金币</x:v>
      </x:c>
      <x:c r="L265" s="10" t="str"/>
      <x:c r="M265" s="10" t="str">
        <x:v>未测</x:v>
      </x:c>
      <x:c r="N265" s="10" t="str"/>
      <x:c r="O265" s="9" t="str">
        <x:v>1. 来源（当前证据）：liveshow-proto/MainBasis/统一需求文档.md；位置：REQ-748319f69b03；行3330、b757877012919357a7470107c493d6cf1aead1fa8eded226b384a010d7937da4；行5968
2. 规则：BR-6eb5536ed6d530c5
3. 未动态验证</x:v>
      </x:c>
    </x:row>
    <x:row r="266" ht="130" customHeight="1">
      <x:c r="A266" s="10" t="n">
        <x:v>265</x:v>
      </x:c>
      <x:c r="B266" s="10" t="str">
        <x:v>GUILD-05-0055</x:v>
      </x:c>
      <x:c r="C266" s="10" t="str">
        <x:v>数据与收益</x:v>
      </x:c>
      <x:c r="D266" s="10" t="str">
        <x:v>直播记录（公会长视角）</x:v>
      </x:c>
      <x:c r="E266" s="10" t="str">
        <x:v>逻辑校验</x:v>
      </x:c>
      <x:c r="F266" s="10" t="str">
        <x:v>P1</x:v>
      </x:c>
      <x:c r="G266" s="9" t="str">
        <x:v>验证公会场次收益排除虚拟失败和撤销消费</x:v>
      </x:c>
      <x:c r="H266" s="9" t="str">
        <x:v>场次收益有效消费范围</x:v>
      </x:c>
      <x:c r="I266" s="9" t="str">
        <x:v>1. 执行角色为公会长
2. 已登录公会长账号；S1普通礼物真实成功消费100金币、运营虚拟消费200金币
3. 环境准备要求：另准备失败消费300金币和未成功结算即撤销的消费400金币，不是已完成礼物退款</x:v>
      </x:c>
      <x:c r="J266" s="9" t="str">
        <x:v>1. 进入直播记录页
2. 查看S1收益</x:v>
      </x:c>
      <x:c r="K266" s="9" t="str">
        <x:v>S1收益显示100金币</x:v>
      </x:c>
      <x:c r="L266" s="10" t="str"/>
      <x:c r="M266" s="10" t="str">
        <x:v>未测</x:v>
      </x:c>
      <x:c r="N266" s="10" t="str"/>
      <x:c r="O266" s="9" t="str">
        <x:v>1. 来源（当前证据）：liveshow-proto/MainBasis/统一需求文档.md；位置：REQ-6b593d7d38f6；行3277、ed83ec75f8c4acfc0200189b20093ecebe446a211e726a7d6a279c952069c06c；行5966
2. 规则：BR-13a913a8c0236398
3. 未动态验证</x:v>
      </x:c>
    </x:row>
    <x:row r="267" ht="85" customHeight="1">
      <x:c r="A267" s="10" t="n">
        <x:v>266</x:v>
      </x:c>
      <x:c r="B267" s="10" t="str">
        <x:v>GUILD-02-0079</x:v>
      </x:c>
      <x:c r="C267" s="10" t="str">
        <x:v>主播管理</x:v>
      </x:c>
      <x:c r="D267" s="10" t="str">
        <x:v>入会申请（公会长视角）</x:v>
      </x:c>
      <x:c r="E267" s="10" t="str">
        <x:v>逻辑校验</x:v>
      </x:c>
      <x:c r="F267" s="10" t="str">
        <x:v>P1</x:v>
      </x:c>
      <x:c r="G267" s="9" t="str">
        <x:v>验证同一用户只保留一笔待处理入会申请</x:v>
      </x:c>
      <x:c r="H267" s="9" t="str">
        <x:v>入会申请待处理唯一性</x:v>
      </x:c>
      <x:c r="I267" s="9" t="str">
        <x:v>1. 执行角色为公会长
2. 用户U001已向当前公会提交待处理申请A；环境准备要求：U001再次提交入会申请</x:v>
      </x:c>
      <x:c r="J267" s="9" t="str">
        <x:v>1. 进入入会申请页
2. 切换审核中</x:v>
      </x:c>
      <x:c r="K267" s="9" t="str">
        <x:v>U001仅显示申请A一笔待处理记录</x:v>
      </x:c>
      <x:c r="L267" s="10" t="str"/>
      <x:c r="M267" s="10" t="str">
        <x:v>未测</x:v>
      </x:c>
      <x:c r="N267" s="10" t="str"/>
      <x:c r="O267" s="9" t="str">
        <x:v>1. 来源（当前证据）：liveshow-proto/MainBasis/统一需求文档.md；位置：REQ-f955002a92d8；行2798
2. 规则：BR-9d912010815afe3d
3. 未动态验证</x:v>
      </x:c>
    </x:row>
    <x:row r="268" ht="100" customHeight="1">
      <x:c r="A268" s="10" t="n">
        <x:v>267</x:v>
      </x:c>
      <x:c r="B268" s="10" t="str">
        <x:v>GUILD-02-0080</x:v>
      </x:c>
      <x:c r="C268" s="10" t="str">
        <x:v>主播管理</x:v>
      </x:c>
      <x:c r="D268" s="10" t="str">
        <x:v>主播主页（公会长视角）</x:v>
      </x:c>
      <x:c r="E268" s="10" t="str">
        <x:v>逻辑校验</x:v>
      </x:c>
      <x:c r="F268" s="10" t="str">
        <x:v>P1</x:v>
      </x:c>
      <x:c r="G268" s="9" t="str">
        <x:v>验证公会通过退会后主播身份失效</x:v>
      </x:c>
      <x:c r="H268" s="9" t="str">
        <x:v>退会通过主播身份</x:v>
      </x:c>
      <x:c r="I268" s="9" t="str">
        <x:v>1. 执行角色为公会长
2. 主播甲退会申请待审核且当前在会</x:v>
      </x:c>
      <x:c r="J268" s="9" t="str">
        <x:v>1. 进入退会申请详情页
2. 点击通过
3. 点击确认
4. 进入主播主页</x:v>
      </x:c>
      <x:c r="K268" s="9" t="str">
        <x:v>甲不显示主播管理入口</x:v>
      </x:c>
      <x:c r="L268" s="10" t="str">
        <x:v>FLOW-GUILD-LEAVE</x:v>
      </x:c>
      <x:c r="M268" s="10" t="str">
        <x:v>未测</x:v>
      </x:c>
      <x:c r="N268" s="10" t="str"/>
      <x:c r="O268" s="9" t="str">
        <x:v>1. 来源（当前证据）：liveshow-proto/MainBasis/统一需求文档.md；位置：REQ-b0f181b59384；行2875、REQ-81fc8f1e04b7；行2977
2. 规则：BR-754949123c202430
3. 未动态验证</x:v>
      </x:c>
    </x:row>
    <x:row r="269" ht="100" customHeight="1">
      <x:c r="A269" s="10" t="n">
        <x:v>268</x:v>
      </x:c>
      <x:c r="B269" s="10" t="str">
        <x:v>GUILD-02-0081</x:v>
      </x:c>
      <x:c r="C269" s="10" t="str">
        <x:v>主播管理</x:v>
      </x:c>
      <x:c r="D269" s="10" t="str">
        <x:v>主播主页（公会长视角）</x:v>
      </x:c>
      <x:c r="E269" s="10" t="str">
        <x:v>逻辑校验</x:v>
      </x:c>
      <x:c r="F269" s="10" t="str">
        <x:v>P1</x:v>
      </x:c>
      <x:c r="G269" s="9" t="str">
        <x:v>验证公会驳回退会后保留主播身份</x:v>
      </x:c>
      <x:c r="H269" s="9" t="str">
        <x:v>退会驳回主播身份</x:v>
      </x:c>
      <x:c r="I269" s="9" t="str">
        <x:v>1. 执行角色为公会长
2. 主播甲退会申请待审核且当前在会</x:v>
      </x:c>
      <x:c r="J269" s="9" t="str">
        <x:v>1. 进入退会申请详情页
2. 点击驳回
3. 点击确认
4. 进入主播主页</x:v>
      </x:c>
      <x:c r="K269" s="9" t="str">
        <x:v>甲仍显示主播管理入口</x:v>
      </x:c>
      <x:c r="L269" s="10" t="str"/>
      <x:c r="M269" s="10" t="str">
        <x:v>未测</x:v>
      </x:c>
      <x:c r="N269" s="10" t="str"/>
      <x:c r="O269" s="9" t="str">
        <x:v>1. 来源（当前证据）：liveshow-proto/MainBasis/统一需求文档.md；位置：REQ-6bec92629c2b；行2877、REQ-49bae997141c；行3015
2. 规则：BR-9c4128a043503953
3. 未动态验证</x:v>
      </x:c>
    </x:row>
    <x:row r="270" ht="100" customHeight="1">
      <x:c r="A270" s="10" t="n">
        <x:v>269</x:v>
      </x:c>
      <x:c r="B270" s="10" t="str">
        <x:v>GUILD-05-0056</x:v>
      </x:c>
      <x:c r="C270" s="10" t="str">
        <x:v>数据与收益</x:v>
      </x:c>
      <x:c r="D270" s="10" t="str">
        <x:v>直播记录（公会长视角）</x:v>
      </x:c>
      <x:c r="E270" s="10" t="str">
        <x:v>逻辑校验</x:v>
      </x:c>
      <x:c r="F270" s="10" t="str">
        <x:v>P1</x:v>
      </x:c>
      <x:c r="G270" s="9" t="str">
        <x:v>验证公会关闭直播权限后不产生新场次</x:v>
      </x:c>
      <x:c r="H270" s="9" t="str">
        <x:v>公会关权开播拦截</x:v>
      </x:c>
      <x:c r="I270" s="9" t="str">
        <x:v>1. 执行角色为公会长
2. 主播甲直播权限已由公会关闭；环境准备要求：甲在用户端再次尝试开播</x:v>
      </x:c>
      <x:c r="J270" s="9" t="str">
        <x:v>1. 进入主播主页
2. 点击主播数据</x:v>
      </x:c>
      <x:c r="K270" s="9" t="str">
        <x:v>甲没有新增直播场次</x:v>
      </x:c>
      <x:c r="L270" s="10" t="str"/>
      <x:c r="M270" s="10" t="str">
        <x:v>未测</x:v>
      </x:c>
      <x:c r="N270" s="10" t="str"/>
      <x:c r="O270" s="9" t="str">
        <x:v>1. 来源（当前证据）：liveshow-proto/MainBasis/统一需求文档.md；位置：REQ-d7578655d74c；行3011、REQ-a5a3a5ccbbb6；行3289
2. 规则：BR-dfc230e45b97f5a3
3. 未动态验证</x:v>
      </x:c>
    </x:row>
    <x:row r="271" ht="85" customHeight="1">
      <x:c r="A271" s="10" t="n">
        <x:v>270</x:v>
      </x:c>
      <x:c r="B271" s="10" t="str">
        <x:v>GUILD-03-0078</x:v>
      </x:c>
      <x:c r="C271" s="10" t="str">
        <x:v>运营工具</x:v>
      </x:c>
      <x:c r="D271" s="10" t="str">
        <x:v>创建运营账号（公会长视角）</x:v>
      </x:c>
      <x:c r="E271" s="10" t="str">
        <x:v>逻辑校验</x:v>
      </x:c>
      <x:c r="F271" s="10" t="str">
        <x:v>P1</x:v>
      </x:c>
      <x:c r="G271" s="9" t="str">
        <x:v>验证运营账号登录名30字符可创建</x:v>
      </x:c>
      <x:c r="H271" s="9" t="str">
        <x:v>运营登录名长度上边界</x:v>
      </x:c>
      <x:c r="I271" s="9" t="str">
        <x:v>1. 执行角色为公会长
2. 其他必填字段有效且登录名全平台唯一</x:v>
      </x:c>
      <x:c r="J271" s="9" t="str">
        <x:v>1. 进入创建运营账号页
2. 填写账号为30个连续小写a
3. 填写初始密码为Qa1234
4. 点击确认创建</x:v>
      </x:c>
      <x:c r="K271" s="9" t="str">
        <x:v>成功创建该运营账号</x:v>
      </x:c>
      <x:c r="L271" s="10" t="str"/>
      <x:c r="M271" s="10" t="str">
        <x:v>未测</x:v>
      </x:c>
      <x:c r="N271" s="10" t="str"/>
      <x:c r="O271" s="9" t="str">
        <x:v>1. 来源（当前证据）：liveshow-proto/MainBasis/统一需求文档.md；位置：REQ-ba4adee83342；行3121
2. 规则：BR-a92d63dccb2986ff
3. 未动态验证</x:v>
      </x:c>
    </x:row>
    <x:row r="272" ht="85" customHeight="1">
      <x:c r="A272" s="10" t="n">
        <x:v>271</x:v>
      </x:c>
      <x:c r="B272" s="10" t="str">
        <x:v>GUILD-03-0079</x:v>
      </x:c>
      <x:c r="C272" s="10" t="str">
        <x:v>运营工具</x:v>
      </x:c>
      <x:c r="D272" s="10" t="str">
        <x:v>创建运营账号（公会长视角）</x:v>
      </x:c>
      <x:c r="E272" s="10" t="str">
        <x:v>逻辑校验</x:v>
      </x:c>
      <x:c r="F272" s="10" t="str">
        <x:v>P1</x:v>
      </x:c>
      <x:c r="G272" s="9" t="str">
        <x:v>验证运营账号初始密码6位可创建</x:v>
      </x:c>
      <x:c r="H272" s="9" t="str">
        <x:v>运营初始密码长度下边界</x:v>
      </x:c>
      <x:c r="I272" s="9" t="str">
        <x:v>1. 执行角色为公会长
2. 其他必填字段有效且账号唯一</x:v>
      </x:c>
      <x:c r="J272" s="9" t="str">
        <x:v>1. 进入创建运营账号页
2. 填写初始密码为Qa1234
3. 点击确认创建</x:v>
      </x:c>
      <x:c r="K272" s="9" t="str">
        <x:v>成功创建运营账号</x:v>
      </x:c>
      <x:c r="L272" s="10" t="str"/>
      <x:c r="M272" s="10" t="str">
        <x:v>未测</x:v>
      </x:c>
      <x:c r="N272" s="10" t="str"/>
      <x:c r="O272" s="9" t="str">
        <x:v>1. 来源（当前证据）：liveshow-proto/MainBasis/统一需求文档.md；位置：REQ-37d509ce6e38；行3123
2. 规则：BR-b80b2d1c0a8cab58
3. 未动态验证</x:v>
      </x:c>
    </x:row>
    <x:row r="273" ht="100" customHeight="1">
      <x:c r="A273" s="10" t="n">
        <x:v>272</x:v>
      </x:c>
      <x:c r="B273" s="10" t="str">
        <x:v>GUILD-03-0080</x:v>
      </x:c>
      <x:c r="C273" s="10" t="str">
        <x:v>运营工具</x:v>
      </x:c>
      <x:c r="D273" s="10" t="str">
        <x:v>运营账号主页（公会长视角）</x:v>
      </x:c>
      <x:c r="E273" s="10" t="str">
        <x:v>逻辑校验</x:v>
      </x:c>
      <x:c r="F273" s="10" t="str">
        <x:v>P1</x:v>
      </x:c>
      <x:c r="G273" s="9" t="str">
        <x:v>验证创建时选择禁用状态</x:v>
      </x:c>
      <x:c r="H273" s="9" t="str">
        <x:v>运营初始禁用状态</x:v>
      </x:c>
      <x:c r="I273" s="9" t="str">
        <x:v>1. 执行角色为公会长
2. 其他必填字段有效且账号唯一</x:v>
      </x:c>
      <x:c r="J273" s="9" t="str">
        <x:v>1. 进入创建运营账号页
2. 选择账号状态为禁用
3. 点击确认创建
4. 进入运营账号主页</x:v>
      </x:c>
      <x:c r="K273" s="9" t="str">
        <x:v>账号状态显示禁用</x:v>
      </x:c>
      <x:c r="L273" s="10" t="str"/>
      <x:c r="M273" s="10" t="str">
        <x:v>未测</x:v>
      </x:c>
      <x:c r="N273" s="10" t="str"/>
      <x:c r="O273" s="9" t="str">
        <x:v>1. 来源（当前证据）：liveshow-proto/MainBasis/统一需求文档.md；位置：REQ-dcf9b5ec5baf；行3125、REQ-7646c62698b9；行3141、REQ-d4d0020a6fb9；行3151
2. 规则：BR-181ab051cbcc8f7a
3. 未动态验证</x:v>
      </x:c>
    </x:row>
    <x:row r="274" ht="85" customHeight="1">
      <x:c r="A274" s="10" t="n">
        <x:v>273</x:v>
      </x:c>
      <x:c r="B274" s="10" t="str">
        <x:v>GUILD-03-0081</x:v>
      </x:c>
      <x:c r="C274" s="10" t="str">
        <x:v>运营工具</x:v>
      </x:c>
      <x:c r="D274" s="10" t="str">
        <x:v>创建运营账号（公会长视角）</x:v>
      </x:c>
      <x:c r="E274" s="10" t="str">
        <x:v>逻辑校验</x:v>
      </x:c>
      <x:c r="F274" s="10" t="str">
        <x:v>P1</x:v>
      </x:c>
      <x:c r="G274" s="9" t="str">
        <x:v>验证初始发放0金币边界可创建</x:v>
      </x:c>
      <x:c r="H274" s="9" t="str">
        <x:v>初始虚拟金币合法边界</x:v>
      </x:c>
      <x:c r="I274" s="9" t="str">
        <x:v>1. 执行角色为公会长
2. 本次可发额度100金币，其他必填字段有效且账号唯一</x:v>
      </x:c>
      <x:c r="J274" s="9" t="str">
        <x:v>1. 进入创建运营账号页
2. 填写发放金币为0
3. 点击确认创建</x:v>
      </x:c>
      <x:c r="K274" s="9" t="str">
        <x:v>账户余额显示0金币</x:v>
      </x:c>
      <x:c r="L274" s="10" t="str"/>
      <x:c r="M274" s="10" t="str">
        <x:v>未测</x:v>
      </x:c>
      <x:c r="N274" s="10" t="str"/>
      <x:c r="O274" s="9" t="str">
        <x:v>1. 来源（当前证据）：liveshow-proto/MainBasis/统一需求文档.md；位置：REQ-6f2664020d2b；行3127
2. 规则：BR-d20ff4bf7cc04ddd
3. 未动态验证</x:v>
      </x:c>
    </x:row>
    <x:row r="275" ht="85" customHeight="1">
      <x:c r="A275" s="10" t="n">
        <x:v>274</x:v>
      </x:c>
      <x:c r="B275" s="10" t="str">
        <x:v>GUILD-03-0082</x:v>
      </x:c>
      <x:c r="C275" s="10" t="str">
        <x:v>运营工具</x:v>
      </x:c>
      <x:c r="D275" s="10" t="str">
        <x:v>创建运营账号（公会长视角）</x:v>
      </x:c>
      <x:c r="E275" s="10" t="str">
        <x:v>逻辑校验</x:v>
      </x:c>
      <x:c r="F275" s="10" t="str">
        <x:v>P1</x:v>
      </x:c>
      <x:c r="G275" s="9" t="str">
        <x:v>验证初始发放100金币边界可创建</x:v>
      </x:c>
      <x:c r="H275" s="9" t="str">
        <x:v>初始虚拟金币合法边界</x:v>
      </x:c>
      <x:c r="I275" s="9" t="str">
        <x:v>1. 执行角色为公会长
2. 本次可发额度100金币，其他必填字段有效且账号唯一</x:v>
      </x:c>
      <x:c r="J275" s="9" t="str">
        <x:v>1. 进入创建运营账号页
2. 填写发放金币为100
3. 点击确认创建</x:v>
      </x:c>
      <x:c r="K275" s="9" t="str">
        <x:v>账户余额显示100金币</x:v>
      </x:c>
      <x:c r="L275" s="10" t="str"/>
      <x:c r="M275" s="10" t="str">
        <x:v>未测</x:v>
      </x:c>
      <x:c r="N275" s="10" t="str"/>
      <x:c r="O275" s="9" t="str">
        <x:v>1. 来源（当前证据）：liveshow-proto/MainBasis/统一需求文档.md；位置：REQ-6f2664020d2b；行3127
2. 规则：BR-7778d83062147407
3. 未动态验证</x:v>
      </x:c>
    </x:row>
    <x:row r="276" ht="100" customHeight="1">
      <x:c r="A276" s="10" t="n">
        <x:v>275</x:v>
      </x:c>
      <x:c r="B276" s="10" t="str">
        <x:v>GUILD-03-0083</x:v>
      </x:c>
      <x:c r="C276" s="10" t="str">
        <x:v>运营工具</x:v>
      </x:c>
      <x:c r="D276" s="10" t="str">
        <x:v>运营账号（公会长视角）</x:v>
      </x:c>
      <x:c r="E276" s="10" t="str">
        <x:v>逻辑校验</x:v>
      </x:c>
      <x:c r="F276" s="10" t="str">
        <x:v>P1</x:v>
      </x:c>
      <x:c r="G276" s="9" t="str">
        <x:v>验证创建运营账号扣减本公会发放额度</x:v>
      </x:c>
      <x:c r="H276" s="9" t="str">
        <x:v>运营初始金币资金来源</x:v>
      </x:c>
      <x:c r="I276" s="9" t="str">
        <x:v>1. 执行角色为公会长
2. 当前公会本月剩余可发100金币，其他必填字段有效且账号唯一</x:v>
      </x:c>
      <x:c r="J276" s="9" t="str">
        <x:v>1. 进入创建运营账号页
2. 填写发放金币为30
3. 点击确认创建
4. 进入运营账号页</x:v>
      </x:c>
      <x:c r="K276" s="9" t="str">
        <x:v>本月剩余可发减少30金币</x:v>
      </x:c>
      <x:c r="L276" s="10" t="str"/>
      <x:c r="M276" s="10" t="str">
        <x:v>未测</x:v>
      </x:c>
      <x:c r="N276" s="10" t="str"/>
      <x:c r="O276" s="9" t="str">
        <x:v>1. 来源（当前证据）：liveshow-proto/MainBasis/统一需求文档.md；位置：REQ-1a64eca3ec7e；行3131、REQ-07ccfe1b17c0；行3100
2. 规则：BR-26a56f1146e87702
3. 未动态验证</x:v>
      </x:c>
    </x:row>
    <x:row r="277" ht="85" customHeight="1">
      <x:c r="A277" s="10" t="n">
        <x:v>276</x:v>
      </x:c>
      <x:c r="B277" s="10" t="str">
        <x:v>GUILD-03-0084</x:v>
      </x:c>
      <x:c r="C277" s="10" t="str">
        <x:v>运营工具</x:v>
      </x:c>
      <x:c r="D277" s="10" t="str">
        <x:v>运营账号主页（公会长视角）</x:v>
      </x:c>
      <x:c r="E277" s="10" t="str">
        <x:v>逻辑校验</x:v>
      </x:c>
      <x:c r="F277" s="10" t="str">
        <x:v>P1</x:v>
      </x:c>
      <x:c r="G277" s="9" t="str">
        <x:v>验证禁用运营账号不能登录</x:v>
      </x:c>
      <x:c r="H277" s="9" t="str">
        <x:v>运营账号禁用登录限制</x:v>
      </x:c>
      <x:c r="I277" s="9" t="str">
        <x:v>1. 执行角色为公会长
2. 运营账号O001已禁用；环境准备要求：O001尝试登录</x:v>
      </x:c>
      <x:c r="J277" s="9" t="str">
        <x:v>1. 进入运营账号主页</x:v>
      </x:c>
      <x:c r="K277" s="9" t="str">
        <x:v>该运营账号不能完成登录</x:v>
      </x:c>
      <x:c r="L277" s="10" t="str"/>
      <x:c r="M277" s="10" t="str">
        <x:v>未测</x:v>
      </x:c>
      <x:c r="N277" s="10" t="str"/>
      <x:c r="O277" s="9" t="str">
        <x:v>1. 来源（当前证据）：liveshow-proto/MainBasis/统一需求文档.md；位置：REQ-6c9432dc3f2d；行3165
2. 规则：BR-cbb3f4b5f3425547
3. 未动态验证</x:v>
      </x:c>
    </x:row>
    <x:row r="278" ht="85" customHeight="1">
      <x:c r="A278" s="10" t="n">
        <x:v>277</x:v>
      </x:c>
      <x:c r="B278" s="10" t="str">
        <x:v>GUILD-03-0085</x:v>
      </x:c>
      <x:c r="C278" s="10" t="str">
        <x:v>运营工具</x:v>
      </x:c>
      <x:c r="D278" s="10" t="str">
        <x:v>运营账号主页（公会长视角）</x:v>
      </x:c>
      <x:c r="E278" s="10" t="str">
        <x:v>逻辑校验</x:v>
      </x:c>
      <x:c r="F278" s="10" t="str">
        <x:v>P1</x:v>
      </x:c>
      <x:c r="G278" s="9" t="str">
        <x:v>验证禁用运营账号不能送礼</x:v>
      </x:c>
      <x:c r="H278" s="9" t="str">
        <x:v>运营账号禁用送礼限制</x:v>
      </x:c>
      <x:c r="I278" s="9" t="str">
        <x:v>1. 执行角色为公会长
2. 运营账号O001已禁用；环境准备要求：O001尝试送礼</x:v>
      </x:c>
      <x:c r="J278" s="9" t="str">
        <x:v>1. 进入运营账号主页
2. 点击送礼记录</x:v>
      </x:c>
      <x:c r="K278" s="9" t="str">
        <x:v>送礼记录不新增该次记录</x:v>
      </x:c>
      <x:c r="L278" s="10" t="str"/>
      <x:c r="M278" s="10" t="str">
        <x:v>未测</x:v>
      </x:c>
      <x:c r="N278" s="10" t="str"/>
      <x:c r="O278" s="9" t="str">
        <x:v>1. 来源（当前证据）：liveshow-proto/MainBasis/统一需求文档.md；位置：REQ-6c9432dc3f2d；行3165
2. 规则：BR-d1239087cb22dacd
3. 未动态验证</x:v>
      </x:c>
    </x:row>
    <x:row r="279" ht="85" customHeight="1">
      <x:c r="A279" s="10" t="n">
        <x:v>278</x:v>
      </x:c>
      <x:c r="B279" s="10" t="str">
        <x:v>GUILD-03-0086</x:v>
      </x:c>
      <x:c r="C279" s="10" t="str">
        <x:v>运营工具</x:v>
      </x:c>
      <x:c r="D279" s="10" t="str">
        <x:v>运营账号主页（公会长视角）</x:v>
      </x:c>
      <x:c r="E279" s="10" t="str">
        <x:v>逻辑校验</x:v>
      </x:c>
      <x:c r="F279" s="10" t="str">
        <x:v>P1</x:v>
      </x:c>
      <x:c r="G279" s="9" t="str">
        <x:v>验证禁用运营账号后刷新状态</x:v>
      </x:c>
      <x:c r="H279" s="9" t="str">
        <x:v>运营账号启停刷新</x:v>
      </x:c>
      <x:c r="I279" s="9" t="str">
        <x:v>1. 执行角色为公会长
2. 运营账号O001当前启用</x:v>
      </x:c>
      <x:c r="J279" s="9" t="str">
        <x:v>1. 进入运营账号主页
2. 关闭账号状态
3. 点击确认</x:v>
      </x:c>
      <x:c r="K279" s="9" t="str">
        <x:v>启用状态刷新为禁用</x:v>
      </x:c>
      <x:c r="L279" s="10" t="str"/>
      <x:c r="M279" s="10" t="str">
        <x:v>未测</x:v>
      </x:c>
      <x:c r="N279" s="10" t="str"/>
      <x:c r="O279" s="9" t="str">
        <x:v>1. 来源（当前证据）：liveshow-proto/MainBasis/统一需求文档.md；位置：REQ-ff9041624126；行3171
2. 规则：BR-e8053e4ce252b059
3. 未动态验证</x:v>
      </x:c>
    </x:row>
    <x:row r="280" ht="85" customHeight="1">
      <x:c r="A280" s="10" t="n">
        <x:v>279</x:v>
      </x:c>
      <x:c r="B280" s="10" t="str">
        <x:v>GUILD-05-0057</x:v>
      </x:c>
      <x:c r="C280" s="10" t="str">
        <x:v>数据与收益</x:v>
      </x:c>
      <x:c r="D280" s="10" t="str">
        <x:v>直播场次详情（公会长视角）</x:v>
      </x:c>
      <x:c r="E280" s="10" t="str">
        <x:v>功能需求</x:v>
      </x:c>
      <x:c r="F280" s="10" t="str">
        <x:v>P2</x:v>
      </x:c>
      <x:c r="G280" s="9" t="str">
        <x:v>验证公会场次点击送礼记录打开详情</x:v>
      </x:c>
      <x:c r="H280" s="9" t="str">
        <x:v>场次送礼详情入口</x:v>
      </x:c>
      <x:c r="I280" s="9" t="str">
        <x:v>1. 执行角色为公会长
2. 场次S1存在送礼记录R1</x:v>
      </x:c>
      <x:c r="J280" s="9" t="str">
        <x:v>1. 进入直播场次详情页
2. 点击送礼记录R1</x:v>
      </x:c>
      <x:c r="K280" s="9" t="str">
        <x:v>打开R1送礼详情</x:v>
      </x:c>
      <x:c r="L280" s="10" t="str"/>
      <x:c r="M280" s="10" t="str">
        <x:v>未测</x:v>
      </x:c>
      <x:c r="N280" s="10" t="str"/>
      <x:c r="O280" s="9" t="str">
        <x:v>1. 来源（当前证据）：liveshow-proto/MainBasis/统一需求文档.md；位置：REQ-9714708419d5；行3336
2. 规则：BR-ef7ae03276a54df9
3. 未动态验证</x:v>
      </x:c>
    </x:row>
    <x:row r="281" ht="85" customHeight="1">
      <x:c r="A281" s="10" t="n">
        <x:v>280</x:v>
      </x:c>
      <x:c r="B281" s="10" t="str">
        <x:v>GUILD-05-0058</x:v>
      </x:c>
      <x:c r="C281" s="10" t="str">
        <x:v>数据与收益</x:v>
      </x:c>
      <x:c r="D281" s="10" t="str">
        <x:v>直播场次详情（公会长视角）</x:v>
      </x:c>
      <x:c r="E281" s="10" t="str">
        <x:v>功能需求</x:v>
      </x:c>
      <x:c r="F281" s="10" t="str">
        <x:v>P2</x:v>
      </x:c>
      <x:c r="G281" s="9" t="str">
        <x:v>验证送礼详情返回保留主播筛选</x:v>
      </x:c>
      <x:c r="H281" s="9" t="str">
        <x:v>送礼详情返回主播条件</x:v>
      </x:c>
      <x:c r="I281" s="9" t="str">
        <x:v>1. 执行角色为公会长
2. 从主播甲、9月15日筛选结果进入S1送礼记录R1</x:v>
      </x:c>
      <x:c r="J281" s="9" t="str">
        <x:v>1. 进入直播场次详情页
2. 点击送礼记录R1
3. 点击返回</x:v>
      </x:c>
      <x:c r="K281" s="9" t="str">
        <x:v>主播筛选仍为甲</x:v>
      </x:c>
      <x:c r="L281" s="10" t="str"/>
      <x:c r="M281" s="10" t="str">
        <x:v>未测</x:v>
      </x:c>
      <x:c r="N281" s="10" t="str"/>
      <x:c r="O281" s="9" t="str">
        <x:v>1. 来源（当前证据）：liveshow-proto/MainBasis/统一需求文档.md；位置：REQ-9714708419d5；行3336
2. 规则：BR-4bfa091cbafe88c0
3. 未动态验证</x:v>
      </x:c>
    </x:row>
    <x:row r="282" ht="100" customHeight="1">
      <x:c r="A282" s="10" t="n">
        <x:v>281</x:v>
      </x:c>
      <x:c r="B282" s="10" t="str">
        <x:v>GUILD-05-0059</x:v>
      </x:c>
      <x:c r="C282" s="10" t="str">
        <x:v>数据与收益</x:v>
      </x:c>
      <x:c r="D282" s="10" t="str">
        <x:v>直播记录（公会长视角）</x:v>
      </x:c>
      <x:c r="E282" s="10" t="str">
        <x:v>逻辑校验</x:v>
      </x:c>
      <x:c r="F282" s="10" t="str">
        <x:v>P1</x:v>
      </x:c>
      <x:c r="G282" s="9" t="str">
        <x:v>验证平台关闭场次后当前场次结束</x:v>
      </x:c>
      <x:c r="H282" s="9" t="str">
        <x:v>关闭场次当前场次结束</x:v>
      </x:c>
      <x:c r="I282" s="9" t="str">
        <x:v>1. 执行角色为公会长
2. 主播甲场次S1在播且历史S0已结束；环境准备要求：平台对S1执行关闭场次</x:v>
      </x:c>
      <x:c r="J282" s="9" t="str">
        <x:v>1. 进入违规记录页
2. 进入直播记录页</x:v>
      </x:c>
      <x:c r="K282" s="9" t="str">
        <x:v>S1显示已结束</x:v>
      </x:c>
      <x:c r="L282" s="10" t="str">
        <x:v>FLOW-LIVE-CLOSE</x:v>
      </x:c>
      <x:c r="M282" s="10" t="str">
        <x:v>未测</x:v>
      </x:c>
      <x:c r="N282" s="10" t="str"/>
      <x:c r="O282" s="9" t="str">
        <x:v>1. 来源（当前证据）：liveshow-proto/MainBasis/统一需求文档.md；位置：REQ-b40230356129；行3355、REQ-a5a3a5ccbbb6；行3289
2. 规则：BR-e2b6ce3a3e164ba1
3. 未动态验证</x:v>
      </x:c>
    </x:row>
    <x:row r="283" ht="100" customHeight="1">
      <x:c r="A283" s="10" t="n">
        <x:v>282</x:v>
      </x:c>
      <x:c r="B283" s="10" t="str">
        <x:v>GUILD-05-0060</x:v>
      </x:c>
      <x:c r="C283" s="10" t="str">
        <x:v>数据与收益</x:v>
      </x:c>
      <x:c r="D283" s="10" t="str">
        <x:v>直播记录（公会长视角）</x:v>
      </x:c>
      <x:c r="E283" s="10" t="str">
        <x:v>逻辑校验</x:v>
      </x:c>
      <x:c r="F283" s="10" t="str">
        <x:v>P1</x:v>
      </x:c>
      <x:c r="G283" s="9" t="str">
        <x:v>验证平台关闭场次后历史场次保留</x:v>
      </x:c>
      <x:c r="H283" s="9" t="str">
        <x:v>关闭场次历史场次保留</x:v>
      </x:c>
      <x:c r="I283" s="9" t="str">
        <x:v>1. 执行角色为公会长
2. 主播甲场次S1在播且历史S0已结束；环境准备要求：平台对S1执行关闭场次</x:v>
      </x:c>
      <x:c r="J283" s="9" t="str">
        <x:v>1. 进入违规记录页
2. 进入直播记录页</x:v>
      </x:c>
      <x:c r="K283" s="9" t="str">
        <x:v>S0历史记录仍可查看</x:v>
      </x:c>
      <x:c r="L283" s="10" t="str">
        <x:v>FLOW-LIVE-CLOSE</x:v>
      </x:c>
      <x:c r="M283" s="10" t="str">
        <x:v>未测</x:v>
      </x:c>
      <x:c r="N283" s="10" t="str"/>
      <x:c r="O283" s="9" t="str">
        <x:v>1. 来源（当前证据）：liveshow-proto/MainBasis/统一需求文档.md；位置：REQ-b40230356129；行3355、REQ-a5a3a5ccbbb6；行3289
2. 规则：BR-cccf166913f692a9
3. 未动态验证</x:v>
      </x:c>
    </x:row>
    <x:row r="284" ht="100" customHeight="1">
      <x:c r="A284" s="10" t="n">
        <x:v>283</x:v>
      </x:c>
      <x:c r="B284" s="10" t="str">
        <x:v>GUILD-05-0061</x:v>
      </x:c>
      <x:c r="C284" s="10" t="str">
        <x:v>数据与收益</x:v>
      </x:c>
      <x:c r="D284" s="10" t="str">
        <x:v>直播记录（公会长视角）</x:v>
      </x:c>
      <x:c r="E284" s="10" t="str">
        <x:v>逻辑校验</x:v>
      </x:c>
      <x:c r="F284" s="10" t="str">
        <x:v>P1</x:v>
      </x:c>
      <x:c r="G284" s="9" t="str">
        <x:v>验证平台关闭直播权限后公会不见新场次</x:v>
      </x:c>
      <x:c r="H284" s="9" t="str">
        <x:v>平台关权影响</x:v>
      </x:c>
      <x:c r="I284" s="9" t="str">
        <x:v>1. 执行角色为公会长
2. 主播甲原S1在播；环境准备要求：平台关闭甲直播权限后，甲再次尝试开播</x:v>
      </x:c>
      <x:c r="J284" s="9" t="str">
        <x:v>1. 进入违规记录页
2. 进入直播记录页</x:v>
      </x:c>
      <x:c r="K284" s="9" t="str">
        <x:v>S1结束且没有新增直播场次</x:v>
      </x:c>
      <x:c r="L284" s="10" t="str"/>
      <x:c r="M284" s="10" t="str">
        <x:v>未测</x:v>
      </x:c>
      <x:c r="N284" s="10" t="str"/>
      <x:c r="O284" s="9" t="str">
        <x:v>1. 来源（当前证据）：liveshow-proto/MainBasis/统一需求文档.md；位置：REQ-b40230356129；行3355、REQ-a5a3a5ccbbb6；行3289
2. 规则：BR-d477216f957c9b3e
3. 未动态验证</x:v>
      </x:c>
    </x:row>
    <x:row r="285" ht="100" customHeight="1">
      <x:c r="A285" s="10" t="n">
        <x:v>284</x:v>
      </x:c>
      <x:c r="B285" s="10" t="str">
        <x:v>GUILD-02-0082</x:v>
      </x:c>
      <x:c r="C285" s="10" t="str">
        <x:v>主播管理</x:v>
      </x:c>
      <x:c r="D285" s="10" t="str">
        <x:v>主播主页（公会长视角）</x:v>
      </x:c>
      <x:c r="E285" s="10" t="str">
        <x:v>逻辑校验</x:v>
      </x:c>
      <x:c r="F285" s="10" t="str">
        <x:v>P1</x:v>
      </x:c>
      <x:c r="G285" s="9" t="str">
        <x:v>验证平台封禁主播后会话下线</x:v>
      </x:c>
      <x:c r="H285" s="9" t="str">
        <x:v>账号封禁会话</x:v>
      </x:c>
      <x:c r="I285" s="9" t="str">
        <x:v>1. 执行角色为公会长
2. 主播甲原账号在线；环境准备要求：平台封禁甲账号</x:v>
      </x:c>
      <x:c r="J285" s="9" t="str">
        <x:v>1. 进入违规记录页
2. 进入主播主页</x:v>
      </x:c>
      <x:c r="K285" s="9" t="str">
        <x:v>甲账号状态显示封禁且不再在线</x:v>
      </x:c>
      <x:c r="L285" s="10" t="str"/>
      <x:c r="M285" s="10" t="str">
        <x:v>未测</x:v>
      </x:c>
      <x:c r="N285" s="10" t="str"/>
      <x:c r="O285" s="9" t="str">
        <x:v>1. 来源（当前证据）：liveshow-proto/MainBasis/统一需求文档.md；位置：REQ-64e251686c55；行3357、REQ-9c8365970619；行2971
2. 规则：BR-85cb99b3dee21c2f
3. 未动态验证</x:v>
      </x:c>
    </x:row>
    <x:row r="286" ht="85" customHeight="1">
      <x:c r="A286" s="10" t="n">
        <x:v>285</x:v>
      </x:c>
      <x:c r="B286" s="10" t="str">
        <x:v>GUILD-05-0062</x:v>
      </x:c>
      <x:c r="C286" s="10" t="str">
        <x:v>数据与收益</x:v>
      </x:c>
      <x:c r="D286" s="10" t="str">
        <x:v>公会业绩（公会长视角）</x:v>
      </x:c>
      <x:c r="E286" s="10" t="str">
        <x:v>逻辑校验</x:v>
      </x:c>
      <x:c r="F286" s="10" t="str">
        <x:v>P1</x:v>
      </x:c>
      <x:c r="G286" s="9" t="str">
        <x:v>验证公会业绩切换日数据</x:v>
      </x:c>
      <x:c r="H286" s="9" t="str">
        <x:v>公会业绩日数据联动</x:v>
      </x:c>
      <x:c r="I286" s="9" t="str">
        <x:v>1. 执行角色为公会长
2. 已准备日、月统计结果且数值不同</x:v>
      </x:c>
      <x:c r="J286" s="9" t="str">
        <x:v>1. 进入公会业绩页
2. 切换日数据</x:v>
      </x:c>
      <x:c r="K286" s="9" t="str">
        <x:v>汇总、日趋势和日列表均切换为日数据</x:v>
      </x:c>
      <x:c r="L286" s="10" t="str"/>
      <x:c r="M286" s="10" t="str">
        <x:v>未测</x:v>
      </x:c>
      <x:c r="N286" s="10" t="str"/>
      <x:c r="O286" s="9" t="str">
        <x:v>1. 来源（当前证据）：liveshow-proto/MainBasis/统一需求文档.md；位置：REQ-dbc501aa1134；行3364
2. 规则：BR-0590c5fb478feb0e
3. 未动态验证</x:v>
      </x:c>
    </x:row>
    <x:row r="287" ht="85" customHeight="1">
      <x:c r="A287" s="10" t="n">
        <x:v>286</x:v>
      </x:c>
      <x:c r="B287" s="10" t="str">
        <x:v>GUILD-05-0063</x:v>
      </x:c>
      <x:c r="C287" s="10" t="str">
        <x:v>数据与收益</x:v>
      </x:c>
      <x:c r="D287" s="10" t="str">
        <x:v>公会业绩（公会长视角）</x:v>
      </x:c>
      <x:c r="E287" s="10" t="str">
        <x:v>逻辑校验</x:v>
      </x:c>
      <x:c r="F287" s="10" t="str">
        <x:v>P1</x:v>
      </x:c>
      <x:c r="G287" s="9" t="str">
        <x:v>验证公会业绩切换月数据</x:v>
      </x:c>
      <x:c r="H287" s="9" t="str">
        <x:v>公会业绩月数据联动</x:v>
      </x:c>
      <x:c r="I287" s="9" t="str">
        <x:v>1. 执行角色为公会长
2. 已准备日、月统计结果且数值不同</x:v>
      </x:c>
      <x:c r="J287" s="9" t="str">
        <x:v>1. 进入公会业绩页
2. 切换月数据</x:v>
      </x:c>
      <x:c r="K287" s="9" t="str">
        <x:v>汇总、月趋势和月列表均切换为月数据</x:v>
      </x:c>
      <x:c r="L287" s="10" t="str"/>
      <x:c r="M287" s="10" t="str">
        <x:v>未测</x:v>
      </x:c>
      <x:c r="N287" s="10" t="str"/>
      <x:c r="O287" s="9" t="str">
        <x:v>1. 来源（当前证据）：liveshow-proto/MainBasis/统一需求文档.md；位置：REQ-dbc501aa1134；行3364
2. 规则：BR-f270ab75232ceffe
3. 未动态验证</x:v>
      </x:c>
    </x:row>
    <x:row r="288" ht="100" customHeight="1">
      <x:c r="A288" s="10" t="n">
        <x:v>287</x:v>
      </x:c>
      <x:c r="B288" s="10" t="str">
        <x:v>GUILD-03-0087</x:v>
      </x:c>
      <x:c r="C288" s="10" t="str">
        <x:v>运营工具</x:v>
      </x:c>
      <x:c r="D288" s="10" t="str">
        <x:v>运营账号主页（公会长视角）</x:v>
      </x:c>
      <x:c r="E288" s="10" t="str">
        <x:v>逻辑校验</x:v>
      </x:c>
      <x:c r="F288" s="10" t="str">
        <x:v>P1</x:v>
      </x:c>
      <x:c r="G288" s="9" t="str">
        <x:v>验证运营账号列表不进入真实用户资料</x:v>
      </x:c>
      <x:c r="H288" s="9" t="str">
        <x:v>运营账号与真实用户分离</x:v>
      </x:c>
      <x:c r="I288" s="9" t="str">
        <x:v>1. 执行角色为公会长
2. 公会已创建运营账号O001</x:v>
      </x:c>
      <x:c r="J288" s="9" t="str">
        <x:v>1. 进入运营账号页
2. 点击O001</x:v>
      </x:c>
      <x:c r="K288" s="9" t="str">
        <x:v>进入运营账号主页而不是用户资料页</x:v>
      </x:c>
      <x:c r="L288" s="10" t="str"/>
      <x:c r="M288" s="10" t="str">
        <x:v>未测</x:v>
      </x:c>
      <x:c r="N288" s="10" t="str"/>
      <x:c r="O288" s="9" t="str">
        <x:v>1. 来源（当前证据）：liveshow-proto/MainBasis/统一需求文档.md；位置：REQ-e8a2b32cb1d2；行3106、REQ-d25b35a4df90；行3139
2. 规则：BR-99d5a7d56610e4cb
3. 未动态验证</x:v>
      </x:c>
    </x:row>
    <x:row r="289" ht="85" customHeight="1">
      <x:c r="A289" s="10" t="n">
        <x:v>288</x:v>
      </x:c>
      <x:c r="B289" s="10" t="str">
        <x:v>GUILD-03-0088</x:v>
      </x:c>
      <x:c r="C289" s="10" t="str">
        <x:v>运营工具</x:v>
      </x:c>
      <x:c r="D289" s="10" t="str">
        <x:v>运营账号主页（公会长视角）</x:v>
      </x:c>
      <x:c r="E289" s="10" t="str">
        <x:v>逻辑校验</x:v>
      </x:c>
      <x:c r="F289" s="10" t="str">
        <x:v>P1</x:v>
      </x:c>
      <x:c r="G289" s="9" t="str">
        <x:v>验证运营账号主页不提供粉丝团关系</x:v>
      </x:c>
      <x:c r="H289" s="9" t="str">
        <x:v>运营账号粉丝团限制</x:v>
      </x:c>
      <x:c r="I289" s="9" t="str">
        <x:v>1. 执行角色为公会长
2. 运营账号O001已创建</x:v>
      </x:c>
      <x:c r="J289" s="9" t="str">
        <x:v>1. 进入运营账号主页</x:v>
      </x:c>
      <x:c r="K289" s="9" t="str">
        <x:v>不显示粉丝团加入或团籍操作</x:v>
      </x:c>
      <x:c r="L289" s="10" t="str"/>
      <x:c r="M289" s="10" t="str">
        <x:v>未测</x:v>
      </x:c>
      <x:c r="N289" s="10" t="str"/>
      <x:c r="O289" s="9" t="str">
        <x:v>1. 来源（当前证据）：liveshow-proto/MainBasis/统一需求文档.md；位置：REQ-74a5fc1cae99；行3163
2. 规则：BR-d48399c9c77a43a0
3. 未动态验证</x:v>
      </x:c>
    </x:row>
    <x:row r="290" ht="85" customHeight="1">
      <x:c r="A290" s="10" t="n">
        <x:v>289</x:v>
      </x:c>
      <x:c r="B290" s="10" t="str">
        <x:v>GUILD-03-0089</x:v>
      </x:c>
      <x:c r="C290" s="10" t="str">
        <x:v>运营工具</x:v>
      </x:c>
      <x:c r="D290" s="10" t="str">
        <x:v>运营账号主页（公会长视角）</x:v>
      </x:c>
      <x:c r="E290" s="10" t="str">
        <x:v>逻辑校验</x:v>
      </x:c>
      <x:c r="F290" s="10" t="str">
        <x:v>P1</x:v>
      </x:c>
      <x:c r="G290" s="9" t="str">
        <x:v>验证运营账号不提供充值</x:v>
      </x:c>
      <x:c r="H290" s="9" t="str">
        <x:v>运营账号充值限制</x:v>
      </x:c>
      <x:c r="I290" s="9" t="str">
        <x:v>1. 执行角色为公会长
2. 运营账号O001已创建且启用</x:v>
      </x:c>
      <x:c r="J290" s="9" t="str">
        <x:v>1. 进入运营账号主页</x:v>
      </x:c>
      <x:c r="K290" s="9" t="str">
        <x:v>不显示充值入口</x:v>
      </x:c>
      <x:c r="L290" s="10" t="str"/>
      <x:c r="M290" s="10" t="str">
        <x:v>未测</x:v>
      </x:c>
      <x:c r="N290" s="10" t="str"/>
      <x:c r="O290" s="9" t="str">
        <x:v>1. 来源（当前证据）：liveshow-proto/MainBasis/统一需求文档.md；位置：REQ-74a5fc1cae99；行3163
2. 规则：BR-aeeabd14ded1e0f6
3. 未动态验证</x:v>
      </x:c>
    </x:row>
    <x:row r="291" ht="85" customHeight="1">
      <x:c r="A291" s="10" t="n">
        <x:v>290</x:v>
      </x:c>
      <x:c r="B291" s="10" t="str">
        <x:v>GUILD-03-0090</x:v>
      </x:c>
      <x:c r="C291" s="10" t="str">
        <x:v>运营工具</x:v>
      </x:c>
      <x:c r="D291" s="10" t="str">
        <x:v>运营账号主页（公会长视角）</x:v>
      </x:c>
      <x:c r="E291" s="10" t="str">
        <x:v>逻辑校验</x:v>
      </x:c>
      <x:c r="F291" s="10" t="str">
        <x:v>P1</x:v>
      </x:c>
      <x:c r="G291" s="9" t="str">
        <x:v>验证运营账号不提供任务领取</x:v>
      </x:c>
      <x:c r="H291" s="9" t="str">
        <x:v>运营账号任务领取限制</x:v>
      </x:c>
      <x:c r="I291" s="9" t="str">
        <x:v>1. 执行角色为公会长
2. 运营账号O001已创建且启用</x:v>
      </x:c>
      <x:c r="J291" s="9" t="str">
        <x:v>1. 进入运营账号主页</x:v>
      </x:c>
      <x:c r="K291" s="9" t="str">
        <x:v>不显示任务领取入口</x:v>
      </x:c>
      <x:c r="L291" s="10" t="str"/>
      <x:c r="M291" s="10" t="str">
        <x:v>未测</x:v>
      </x:c>
      <x:c r="N291" s="10" t="str"/>
      <x:c r="O291" s="9" t="str">
        <x:v>1. 来源（当前证据）：liveshow-proto/MainBasis/统一需求文档.md；位置：REQ-74a5fc1cae99；行3163
2. 规则：BR-069fe6fefcfd35b3
3. 未动态验证</x:v>
      </x:c>
    </x:row>
    <x:row r="292" ht="85" customHeight="1">
      <x:c r="A292" s="10" t="n">
        <x:v>291</x:v>
      </x:c>
      <x:c r="B292" s="10" t="str">
        <x:v>GUILD-03-0091</x:v>
      </x:c>
      <x:c r="C292" s="10" t="str">
        <x:v>运营工具</x:v>
      </x:c>
      <x:c r="D292" s="10" t="str">
        <x:v>运营账号主页（公会长视角）</x:v>
      </x:c>
      <x:c r="E292" s="10" t="str">
        <x:v>逻辑校验</x:v>
      </x:c>
      <x:c r="F292" s="10" t="str">
        <x:v>P1</x:v>
      </x:c>
      <x:c r="G292" s="9" t="str">
        <x:v>验证运营账号余额仅为虚拟金币账户</x:v>
      </x:c>
      <x:c r="H292" s="9" t="str">
        <x:v>运营账号金币账户类型</x:v>
      </x:c>
      <x:c r="I292" s="9" t="str">
        <x:v>1. 执行角色为公会长
2. 运营账号O001累计发放100、消费30</x:v>
      </x:c>
      <x:c r="J292" s="9" t="str">
        <x:v>1. 进入运营账号主页</x:v>
      </x:c>
      <x:c r="K292" s="9" t="str">
        <x:v>账户余额显示70虚拟金币</x:v>
      </x:c>
      <x:c r="L292" s="10" t="str"/>
      <x:c r="M292" s="10" t="str">
        <x:v>未测</x:v>
      </x:c>
      <x:c r="N292" s="10" t="str"/>
      <x:c r="O292" s="9" t="str">
        <x:v>1. 来源（当前证据）：liveshow-proto/MainBasis/统一需求文档.md；位置：REQ-74a5fc1cae99；行3163
2. 规则：BR-ecea49708590ebf6
3. 未动态验证</x:v>
      </x:c>
    </x:row>
    <x:row r="293" ht="85" customHeight="1">
      <x:c r="A293" s="10" t="n">
        <x:v>292</x:v>
      </x:c>
      <x:c r="B293" s="10" t="str">
        <x:v>GUILD-03-0092</x:v>
      </x:c>
      <x:c r="C293" s="10" t="str">
        <x:v>运营工具</x:v>
      </x:c>
      <x:c r="D293" s="10" t="str">
        <x:v>运营账号主页（公会长视角）</x:v>
      </x:c>
      <x:c r="E293" s="10" t="str">
        <x:v>逻辑校验</x:v>
      </x:c>
      <x:c r="F293" s="10" t="str">
        <x:v>P1</x:v>
      </x:c>
      <x:c r="G293" s="9" t="str">
        <x:v>验证运营账号不提供真实金币转换</x:v>
      </x:c>
      <x:c r="H293" s="9" t="str">
        <x:v>虚拟真实金币隔离</x:v>
      </x:c>
      <x:c r="I293" s="9" t="str">
        <x:v>1. 执行角色为公会长
2. 运营账号O001余额70虚拟金币</x:v>
      </x:c>
      <x:c r="J293" s="9" t="str">
        <x:v>1. 进入运营账号主页</x:v>
      </x:c>
      <x:c r="K293" s="9" t="str">
        <x:v>不显示虚拟金币与真实金币互转操作</x:v>
      </x:c>
      <x:c r="L293" s="10" t="str"/>
      <x:c r="M293" s="10" t="str">
        <x:v>未测</x:v>
      </x:c>
      <x:c r="N293" s="10" t="str"/>
      <x:c r="O293" s="9" t="str">
        <x:v>1. 来源（当前证据）：liveshow-proto/MainBasis/统一需求文档.md；位置：REQ-74a5fc1cae99；行3163
2. 规则：BR-3a145d7a69058195
3. 未动态验证</x:v>
      </x:c>
    </x:row>
    <x:row r="294" ht="85" customHeight="1">
      <x:c r="A294" s="10" t="n">
        <x:v>293</x:v>
      </x:c>
      <x:c r="B294" s="10" t="str">
        <x:v>GUILD-03-0093</x:v>
      </x:c>
      <x:c r="C294" s="10" t="str">
        <x:v>运营工具</x:v>
      </x:c>
      <x:c r="D294" s="10" t="str">
        <x:v>送礼记录（公会长视角）</x:v>
      </x:c>
      <x:c r="E294" s="10" t="str">
        <x:v>逻辑校验</x:v>
      </x:c>
      <x:c r="F294" s="10" t="str">
        <x:v>P1</x:v>
      </x:c>
      <x:c r="G294" s="9" t="str">
        <x:v>验证运营账号成功赠送普通礼物</x:v>
      </x:c>
      <x:c r="H294" s="9" t="str">
        <x:v>运营普通礼物可用</x:v>
      </x:c>
      <x:c r="I294" s="9" t="str">
        <x:v>1. 执行角色为公会长
2. 运营账号O001余额100金币；环境准备要求：O001成功赠送单价10金币的普通礼物1件</x:v>
      </x:c>
      <x:c r="J294" s="9" t="str">
        <x:v>1. 进入送礼记录页</x:v>
      </x:c>
      <x:c r="K294" s="9" t="str">
        <x:v>送礼记录新增普通礼物消费10金币</x:v>
      </x:c>
      <x:c r="L294" s="10" t="str"/>
      <x:c r="M294" s="10" t="str">
        <x:v>未测</x:v>
      </x:c>
      <x:c r="N294" s="10" t="str"/>
      <x:c r="O294" s="9" t="str">
        <x:v>1. 来源（当前证据）：liveshow-proto/MainBasis/统一需求文档.md；位置：REQ-93bf5f228dfe；行3200
2. 规则：BR-39f98d12051b019e
3. 未动态验证</x:v>
      </x:c>
    </x:row>
    <x:row r="295" ht="85" customHeight="1">
      <x:c r="A295" s="10" t="n">
        <x:v>294</x:v>
      </x:c>
      <x:c r="B295" s="10" t="str">
        <x:v>GUILD-03-0094</x:v>
      </x:c>
      <x:c r="C295" s="10" t="str">
        <x:v>运营工具</x:v>
      </x:c>
      <x:c r="D295" s="10" t="str">
        <x:v>送礼记录（公会长视角）</x:v>
      </x:c>
      <x:c r="E295" s="10" t="str">
        <x:v>逻辑校验</x:v>
      </x:c>
      <x:c r="F295" s="10" t="str">
        <x:v>P1</x:v>
      </x:c>
      <x:c r="G295" s="9" t="str">
        <x:v>验证运营账号成功赠送定制礼物</x:v>
      </x:c>
      <x:c r="H295" s="9" t="str">
        <x:v>运营定制礼物可用</x:v>
      </x:c>
      <x:c r="I295" s="9" t="str">
        <x:v>1. 执行角色为公会长
2. 运营账号O001余额100金币；环境准备要求：O001成功赠送单价10金币的定制礼物1件</x:v>
      </x:c>
      <x:c r="J295" s="9" t="str">
        <x:v>1. 进入送礼记录页</x:v>
      </x:c>
      <x:c r="K295" s="9" t="str">
        <x:v>送礼记录新增定制礼物消费10金币</x:v>
      </x:c>
      <x:c r="L295" s="10" t="str"/>
      <x:c r="M295" s="10" t="str">
        <x:v>未测</x:v>
      </x:c>
      <x:c r="N295" s="10" t="str"/>
      <x:c r="O295" s="9" t="str">
        <x:v>1. 来源（当前证据）：liveshow-proto/MainBasis/统一需求文档.md；位置：REQ-93bf5f228dfe；行3200
2. 规则：BR-083dc2f9f7f4c05d
3. 未动态验证</x:v>
      </x:c>
    </x:row>
    <x:row r="296" ht="85" customHeight="1">
      <x:c r="A296" s="10" t="n">
        <x:v>295</x:v>
      </x:c>
      <x:c r="B296" s="10" t="str">
        <x:v>GUILD-03-0095</x:v>
      </x:c>
      <x:c r="C296" s="10" t="str">
        <x:v>运营工具</x:v>
      </x:c>
      <x:c r="D296" s="10" t="str">
        <x:v>送礼记录（公会长视角）</x:v>
      </x:c>
      <x:c r="E296" s="10" t="str">
        <x:v>逻辑校验</x:v>
      </x:c>
      <x:c r="F296" s="10" t="str">
        <x:v>P1</x:v>
      </x:c>
      <x:c r="G296" s="9" t="str">
        <x:v>验证运营账号不能消费幸运礼物</x:v>
      </x:c>
      <x:c r="H296" s="9" t="str">
        <x:v>运营幸运礼物限制</x:v>
      </x:c>
      <x:c r="I296" s="9" t="str">
        <x:v>1. 执行角色为公会长
2. 运营账号O001余额100金币；环境准备要求：O001尝试消费幸运礼物</x:v>
      </x:c>
      <x:c r="J296" s="9" t="str">
        <x:v>1. 进入送礼记录页</x:v>
      </x:c>
      <x:c r="K296" s="9" t="str">
        <x:v>送礼记录不新增幸运礼物成功消费</x:v>
      </x:c>
      <x:c r="L296" s="10" t="str"/>
      <x:c r="M296" s="10" t="str">
        <x:v>未测</x:v>
      </x:c>
      <x:c r="N296" s="10" t="str"/>
      <x:c r="O296" s="9" t="str">
        <x:v>1. 来源（当前证据）：liveshow-proto/MainBasis/统一需求文档.md；位置：REQ-93bf5f228dfe；行3200
2. 规则：BR-d1c36f0e3192cbac
3. 未动态验证</x:v>
      </x:c>
    </x:row>
    <x:row r="297" ht="85" customHeight="1">
      <x:c r="A297" s="10" t="n">
        <x:v>296</x:v>
      </x:c>
      <x:c r="B297" s="10" t="str">
        <x:v>GUILD-03-0096</x:v>
      </x:c>
      <x:c r="C297" s="10" t="str">
        <x:v>运营工具</x:v>
      </x:c>
      <x:c r="D297" s="10" t="str">
        <x:v>送礼记录（公会长视角）</x:v>
      </x:c>
      <x:c r="E297" s="10" t="str">
        <x:v>逻辑校验</x:v>
      </x:c>
      <x:c r="F297" s="10" t="str">
        <x:v>P1</x:v>
      </x:c>
      <x:c r="G297" s="9" t="str">
        <x:v>验证运营账号不能消费装扮</x:v>
      </x:c>
      <x:c r="H297" s="9" t="str">
        <x:v>运营装扮限制</x:v>
      </x:c>
      <x:c r="I297" s="9" t="str">
        <x:v>1. 执行角色为公会长
2. 运营账号O001余额100金币；环境准备要求：O001尝试消费装扮</x:v>
      </x:c>
      <x:c r="J297" s="9" t="str">
        <x:v>1. 进入送礼记录页</x:v>
      </x:c>
      <x:c r="K297" s="9" t="str">
        <x:v>送礼记录不新增装扮成功消费</x:v>
      </x:c>
      <x:c r="L297" s="10" t="str"/>
      <x:c r="M297" s="10" t="str">
        <x:v>未测</x:v>
      </x:c>
      <x:c r="N297" s="10" t="str"/>
      <x:c r="O297" s="9" t="str">
        <x:v>1. 来源（当前证据）：liveshow-proto/MainBasis/统一需求文档.md；位置：REQ-93bf5f228dfe；行3200
2. 规则：BR-3dd62eada1ed8288
3. 未动态验证</x:v>
      </x:c>
    </x:row>
    <x:row r="298" ht="85" customHeight="1">
      <x:c r="A298" s="10" t="n">
        <x:v>297</x:v>
      </x:c>
      <x:c r="B298" s="10" t="str">
        <x:v>GUILD-03-0097</x:v>
      </x:c>
      <x:c r="C298" s="10" t="str">
        <x:v>运营工具</x:v>
      </x:c>
      <x:c r="D298" s="10" t="str">
        <x:v>送礼记录（公会长视角）</x:v>
      </x:c>
      <x:c r="E298" s="10" t="str">
        <x:v>逻辑校验</x:v>
      </x:c>
      <x:c r="F298" s="10" t="str">
        <x:v>P1</x:v>
      </x:c>
      <x:c r="G298" s="9" t="str">
        <x:v>验证运营账号不能消费门票</x:v>
      </x:c>
      <x:c r="H298" s="9" t="str">
        <x:v>运营门票限制</x:v>
      </x:c>
      <x:c r="I298" s="9" t="str">
        <x:v>1. 执行角色为公会长
2. 运营账号O001余额100金币；环境准备要求：O001尝试消费门票</x:v>
      </x:c>
      <x:c r="J298" s="9" t="str">
        <x:v>1. 进入送礼记录页</x:v>
      </x:c>
      <x:c r="K298" s="9" t="str">
        <x:v>送礼记录不新增门票成功消费</x:v>
      </x:c>
      <x:c r="L298" s="10" t="str"/>
      <x:c r="M298" s="10" t="str">
        <x:v>未测</x:v>
      </x:c>
      <x:c r="N298" s="10" t="str"/>
      <x:c r="O298" s="9" t="str">
        <x:v>1. 来源（当前证据）：liveshow-proto/MainBasis/统一需求文档.md；位置：REQ-93bf5f228dfe；行3200
2. 规则：BR-5151c1c4860ec3f6
3. 未动态验证</x:v>
      </x:c>
    </x:row>
    <x:row r="299" ht="100" customHeight="1">
      <x:c r="A299" s="10" t="n">
        <x:v>298</x:v>
      </x:c>
      <x:c r="B299" s="10" t="str">
        <x:v>GUILD-05-0064</x:v>
      </x:c>
      <x:c r="C299" s="10" t="str">
        <x:v>数据与收益</x:v>
      </x:c>
      <x:c r="D299" s="10" t="str">
        <x:v>直播记录（公会长视角）</x:v>
      </x:c>
      <x:c r="E299" s="10" t="str">
        <x:v>逻辑校验</x:v>
      </x:c>
      <x:c r="F299" s="10" t="str">
        <x:v>P1</x:v>
      </x:c>
      <x:c r="G299" s="9" t="str">
        <x:v>验证运营账号送礼不增加主播收益</x:v>
      </x:c>
      <x:c r="H299" s="9" t="str">
        <x:v>运营赠礼收益排除</x:v>
      </x:c>
      <x:c r="I299" s="9" t="str">
        <x:v>1. 执行角色为公会长
2. 主播甲原收益100金币；环境准备要求：运营账号O001成功赠送普通礼物20金币</x:v>
      </x:c>
      <x:c r="J299" s="9" t="str">
        <x:v>1. 进入送礼记录页
2. 进入直播记录页</x:v>
      </x:c>
      <x:c r="K299" s="9" t="str">
        <x:v>主播甲收益仍为100金币</x:v>
      </x:c>
      <x:c r="L299" s="10" t="str">
        <x:v>FLOW-VIRTUAL-GIFT</x:v>
      </x:c>
      <x:c r="M299" s="10" t="str">
        <x:v>未测</x:v>
      </x:c>
      <x:c r="N299" s="10" t="str"/>
      <x:c r="O299" s="9" t="str">
        <x:v>1. 来源（当前证据）：liveshow-proto/MainBasis/统一需求文档.md；位置：REQ-93bf5f228dfe；行3200、REQ-6b593d7d38f6；行3277
2. 规则：BR-3751beefeaedff4a
3. 未动态验证</x:v>
      </x:c>
    </x:row>
    <x:row r="300" ht="100" customHeight="1">
      <x:c r="A300" s="10" t="n">
        <x:v>299</x:v>
      </x:c>
      <x:c r="B300" s="10" t="str">
        <x:v>GUILD-01-0032</x:v>
      </x:c>
      <x:c r="C300" s="10" t="str">
        <x:v>登录与首页</x:v>
      </x:c>
      <x:c r="D300" s="10" t="str">
        <x:v>公会登录（公会长视角）</x:v>
      </x:c>
      <x:c r="E300" s="10" t="str">
        <x:v>逻辑校验</x:v>
      </x:c>
      <x:c r="F300" s="10" t="str">
        <x:v>P1</x:v>
      </x:c>
      <x:c r="G300" s="9" t="str">
        <x:v>验证公会停用后阻止该公会管理账号登录</x:v>
      </x:c>
      <x:c r="H300" s="9" t="str">
        <x:v>公会停用登录限制</x:v>
      </x:c>
      <x:c r="I300" s="9" t="str">
        <x:v>1. 执行角色为公会长
2. 公会已停用，所属公会长qa-chief自身状态启用，正确密码QaChief!2026</x:v>
      </x:c>
      <x:c r="J300" s="9" t="str">
        <x:v>1. 进入公会登录页
2. 填写公会账号为qa-chief
3. 填写密码为QaChief!2026
4. 点击登录</x:v>
      </x:c>
      <x:c r="K300" s="9" t="str">
        <x:v>不能进入该公会管理范围</x:v>
      </x:c>
      <x:c r="L300" s="10" t="str">
        <x:v>FLOW-A69D552849</x:v>
      </x:c>
      <x:c r="M300" s="10" t="str">
        <x:v>未测</x:v>
      </x:c>
      <x:c r="N300" s="10" t="str"/>
      <x:c r="O300" s="9" t="str">
        <x:v>1. 来源（当前证据）：liveshow-proto/MainBasis/统一需求文档.md；位置：REQ-dda7dbff3ea0；行2715、REQ-41cbba51b71b；行3910
2. 规则：BR-a974ba0edd724cc8
3. 未动态验证</x:v>
      </x:c>
    </x:row>
    <x:row r="301" ht="100" customHeight="1">
      <x:c r="A301" s="10" t="n">
        <x:v>300</x:v>
      </x:c>
      <x:c r="B301" s="10" t="str">
        <x:v>GUILD-01-0033</x:v>
      </x:c>
      <x:c r="C301" s="10" t="str">
        <x:v>登录与首页</x:v>
      </x:c>
      <x:c r="D301" s="10" t="str">
        <x:v>公会登录（公会长视角）</x:v>
      </x:c>
      <x:c r="E301" s="10" t="str">
        <x:v>逻辑校验</x:v>
      </x:c>
      <x:c r="F301" s="10" t="str">
        <x:v>P1</x:v>
      </x:c>
      <x:c r="G301" s="9" t="str">
        <x:v>验证公会解散后验证登录资格</x:v>
      </x:c>
      <x:c r="H301" s="9" t="str">
        <x:v>公会解散登录结果</x:v>
      </x:c>
      <x:c r="I301" s="9" t="str">
        <x:v>1. 执行角色为公会长
2. 公会G001已被平台解散；公会长qa-chief账号自身随公会解散失效，原正确密码QaChief!2026；无其他状态变动</x:v>
      </x:c>
      <x:c r="J301" s="9" t="str">
        <x:v>1. 进入公会登录页
2. 填写公会账号为qa-chief
3. 填写密码为QaChief!2026
4. 点击登录</x:v>
      </x:c>
      <x:c r="K301" s="9" t="str">
        <x:v>不能进入已解散公会的管理范围</x:v>
      </x:c>
      <x:c r="L301" s="10" t="str">
        <x:v>FLOW-A69D552849</x:v>
      </x:c>
      <x:c r="M301" s="10" t="str">
        <x:v>未测</x:v>
      </x:c>
      <x:c r="N301" s="10" t="str"/>
      <x:c r="O301" s="9" t="str">
        <x:v>1. 来源（当前证据）：liveshow-proto/MainBasis/统一需求文档.md；位置：REQ-dda7dbff3ea0；行2715、REQ-24899ab93370；行3885
2. 规则：BR-2849db691b6738ff
3. 未动态验证</x:v>
      </x:c>
    </x:row>
    <x:row r="302" ht="100" customHeight="1">
      <x:c r="A302" s="10" t="n">
        <x:v>301</x:v>
      </x:c>
      <x:c r="B302" s="10" t="str">
        <x:v>GUILD-01-0034</x:v>
      </x:c>
      <x:c r="C302" s="10" t="str">
        <x:v>登录与首页</x:v>
      </x:c>
      <x:c r="D302" s="10" t="str">
        <x:v>公会登录（公会长视角）</x:v>
      </x:c>
      <x:c r="E302" s="10" t="str">
        <x:v>逻辑校验</x:v>
      </x:c>
      <x:c r="F302" s="10" t="str">
        <x:v>P1</x:v>
      </x:c>
      <x:c r="G302" s="9" t="str">
        <x:v>验证公会重新启用后验证登录资格</x:v>
      </x:c>
      <x:c r="H302" s="9" t="str">
        <x:v>公会重新启用登录结果</x:v>
      </x:c>
      <x:c r="I302" s="9" t="str">
        <x:v>1. 执行角色为公会长
2. 公会G001已被平台重新启用；公会长qa-chief账号自身启用，原正确密码QaChief!2026；无其他状态变动</x:v>
      </x:c>
      <x:c r="J302" s="9" t="str">
        <x:v>1. 进入公会登录页
2. 填写公会账号为qa-chief
3. 填写密码为QaChief!2026
4. 点击登录</x:v>
      </x:c>
      <x:c r="K302" s="9" t="str">
        <x:v>进入该公会管理范围</x:v>
      </x:c>
      <x:c r="L302" s="10" t="str">
        <x:v>FLOW-A69D552849</x:v>
      </x:c>
      <x:c r="M302" s="10" t="str">
        <x:v>未测</x:v>
      </x:c>
      <x:c r="N302" s="10" t="str"/>
      <x:c r="O302" s="9" t="str">
        <x:v>1. 来源（当前证据）：liveshow-proto/MainBasis/统一需求文档.md；位置：REQ-dda7dbff3ea0；行2715、REQ-dec051bc541b；行3871、REQ-68834a7974f0；行3887
2. 规则：BR-42593f7da155dce1
3. 未动态验证</x:v>
      </x:c>
    </x:row>
    <x:row r="303" ht="115" customHeight="1">
      <x:c r="A303" s="10" t="n">
        <x:v>302</x:v>
      </x:c>
      <x:c r="B303" s="10" t="str">
        <x:v>GUILD-02-0083</x:v>
      </x:c>
      <x:c r="C303" s="10" t="str">
        <x:v>主播管理</x:v>
      </x:c>
      <x:c r="D303" s="10" t="str">
        <x:v>主播主页（公会长视角）</x:v>
      </x:c>
      <x:c r="E303" s="10" t="str">
        <x:v>逻辑校验</x:v>
      </x:c>
      <x:c r="F303" s="10" t="str">
        <x:v>P1</x:v>
      </x:c>
      <x:c r="G303" s="9" t="str">
        <x:v>验证平台关权后查看公会权限关闭状态</x:v>
      </x:c>
      <x:c r="H303" s="9" t="str">
        <x:v>平台关闭时公会权限关闭状态</x:v>
      </x:c>
      <x:c r="I303" s="9" t="str">
        <x:v>1. 执行角色为公会长
2. 主播H001属于本公会且此前平台与公会权限均开启；环境准备：平台管理员刚关闭H001的平台开播权限</x:v>
      </x:c>
      <x:c r="J303" s="9" t="str">
        <x:v>1. 进入主播主页
2. 查看H001直播权限开关</x:v>
      </x:c>
      <x:c r="K303" s="9" t="str">
        <x:v>直播权限开关显示关闭</x:v>
      </x:c>
      <x:c r="L303" s="10" t="str">
        <x:v>FLOW-B994D746A6</x:v>
      </x:c>
      <x:c r="M303" s="10" t="str">
        <x:v>未测</x:v>
      </x:c>
      <x:c r="N303" s="10" t="str"/>
      <x:c r="O303" s="9" t="str">
        <x:v>1. 来源（当前证据）：liveshow-proto/MainBasis/统一需求文档.md；位置：REQ-3bc8908ef0a3；行3007、REQ-4fc6cf0d0919；行3009、53a6d7ed67d44bd21367c8ae75522b25110749828b54449c84c0941c963efa81；行5753
2. 规则：BR-dd9020752eb892b3
3. 未动态验证</x:v>
      </x:c>
    </x:row>
    <x:row r="304" ht="115" customHeight="1">
      <x:c r="A304" s="10" t="n">
        <x:v>303</x:v>
      </x:c>
      <x:c r="B304" s="10" t="str">
        <x:v>GUILD-02-0084</x:v>
      </x:c>
      <x:c r="C304" s="10" t="str">
        <x:v>主播管理</x:v>
      </x:c>
      <x:c r="D304" s="10" t="str">
        <x:v>主播主页（公会长视角）</x:v>
      </x:c>
      <x:c r="E304" s="10" t="str">
        <x:v>逻辑校验</x:v>
      </x:c>
      <x:c r="F304" s="10" t="str">
        <x:v>P1</x:v>
      </x:c>
      <x:c r="G304" s="9" t="str">
        <x:v>验证平台关权后查看公会权限只读限制</x:v>
      </x:c>
      <x:c r="H304" s="9" t="str">
        <x:v>平台关闭时公会权限只读限制</x:v>
      </x:c>
      <x:c r="I304" s="9" t="str">
        <x:v>1. 执行角色为公会长
2. 主播H001属于本公会且此前平台与公会权限均开启；环境准备：平台管理员刚关闭H001的平台开播权限</x:v>
      </x:c>
      <x:c r="J304" s="9" t="str">
        <x:v>1. 进入主播主页
2. 查看H001直播权限开关</x:v>
      </x:c>
      <x:c r="K304" s="9" t="str">
        <x:v>直播权限开关不可修改</x:v>
      </x:c>
      <x:c r="L304" s="10" t="str">
        <x:v>FLOW-B994D746A6</x:v>
      </x:c>
      <x:c r="M304" s="10" t="str">
        <x:v>未测</x:v>
      </x:c>
      <x:c r="N304" s="10" t="str"/>
      <x:c r="O304" s="9" t="str">
        <x:v>1. 来源（当前证据）：liveshow-proto/MainBasis/统一需求文档.md；位置：REQ-3bc8908ef0a3；行3007、REQ-4fc6cf0d0919；行3009、53a6d7ed67d44bd21367c8ae75522b25110749828b54449c84c0941c963efa81；行5753
2. 规则：BR-4301682d22182452
3. 未动态验证</x:v>
      </x:c>
    </x:row>
    <x:row r="305" ht="100" customHeight="1">
      <x:c r="A305" s="10" t="n">
        <x:v>304</x:v>
      </x:c>
      <x:c r="B305" s="10" t="str">
        <x:v>GUILD-02-0085</x:v>
      </x:c>
      <x:c r="C305" s="10" t="str">
        <x:v>主播管理</x:v>
      </x:c>
      <x:c r="D305" s="10" t="str">
        <x:v>主播数据（公会长视角）</x:v>
      </x:c>
      <x:c r="E305" s="10" t="str">
        <x:v>逻辑校验</x:v>
      </x:c>
      <x:c r="F305" s="10" t="str">
        <x:v>P1</x:v>
      </x:c>
      <x:c r="G305" s="9" t="str">
        <x:v>验证主播主动结束后公会刷新在播标记</x:v>
      </x:c>
      <x:c r="H305" s="9" t="str">
        <x:v>公会观察主动下播</x:v>
      </x:c>
      <x:c r="I305" s="9" t="str">
        <x:v>1. 执行角色为公会长
2. 当前公会主播甲原正在S1直播；环境准备：甲刚主动结束S1，尚未重新开播</x:v>
      </x:c>
      <x:c r="J305" s="9" t="str">
        <x:v>1. 进入主播数据页
2. 刷新甲的主播数据页</x:v>
      </x:c>
      <x:c r="K305" s="9" t="str">
        <x:v>不显示直播中标记</x:v>
      </x:c>
      <x:c r="L305" s="10" t="str">
        <x:v>FLOW-3316A78DEE</x:v>
      </x:c>
      <x:c r="M305" s="10" t="str">
        <x:v>未测</x:v>
      </x:c>
      <x:c r="N305" s="10" t="str"/>
      <x:c r="O305" s="9" t="str">
        <x:v>1. 来源（当前证据）：liveshow-proto/MainBasis/统一需求文档.md；位置：REQ-dd4a60d7c8f3；行2946、REQ-a5a3a5ccbbb6；行3289
2. 规则：BR-885c8260011f65d3
3. 未动态验证</x:v>
      </x:c>
    </x:row>
    <x:row r="306" ht="100" customHeight="1">
      <x:c r="A306" s="10" t="n">
        <x:v>305</x:v>
      </x:c>
      <x:c r="B306" s="10" t="str">
        <x:v>GUILD-01-0035</x:v>
      </x:c>
      <x:c r="C306" s="10" t="str">
        <x:v>登录与首页</x:v>
      </x:c>
      <x:c r="D306" s="10" t="str">
        <x:v>选择公会（公会长视角）</x:v>
      </x:c>
      <x:c r="E306" s="10" t="str">
        <x:v>功能需求</x:v>
      </x:c>
      <x:c r="F306" s="10" t="str">
        <x:v>P2</x:v>
      </x:c>
      <x:c r="G306" s="9" t="str">
        <x:v>验证当前登录身份不串用其他业务对象</x:v>
      </x:c>
      <x:c r="H306" s="9" t="str">
        <x:v>当前登录身份</x:v>
      </x:c>
      <x:c r="I306" s="9" t="str">
        <x:v>1. 执行角色为公会长
2. 已登录目标公会的公会长账号，打开选择公会页并完成下列数据和页面状态准备
3. 当前登录公会长名称ChiefA、用户IDC001，当前公会IDG001</x:v>
      </x:c>
      <x:c r="J306" s="9" t="str">
        <x:v>1. 查看选择公会页</x:v>
      </x:c>
      <x:c r="K306" s="9" t="str">
        <x:v>登录身份显示公会长ChiefA（用户IDC001）</x:v>
      </x:c>
      <x:c r="L306" s="10" t="str"/>
      <x:c r="M306" s="10" t="str">
        <x:v>未测</x:v>
      </x:c>
      <x:c r="N306" s="10" t="str"/>
      <x:c r="O306" s="9" t="str">
        <x:v>1. 来源（当前证据）：liveshow-proto/MainBasis/统一需求文档.md；位置：REQ-3480df046bf9；行2720、REQ-ac0b60fbcabc；行2722
2. 规则：BR-721d13ce704a188d
3. 未动态验证</x:v>
      </x:c>
    </x:row>
    <x:row r="307" ht="100" customHeight="1">
      <x:c r="A307" s="10" t="n">
        <x:v>306</x:v>
      </x:c>
      <x:c r="B307" s="10" t="str">
        <x:v>GUILD-01-0036</x:v>
      </x:c>
      <x:c r="C307" s="10" t="str">
        <x:v>登录与首页</x:v>
      </x:c>
      <x:c r="D307" s="10" t="str">
        <x:v>选择公会（公会长视角）</x:v>
      </x:c>
      <x:c r="E307" s="10" t="str">
        <x:v>功能需求</x:v>
      </x:c>
      <x:c r="F307" s="10" t="str">
        <x:v>P2</x:v>
      </x:c>
      <x:c r="G307" s="9" t="str">
        <x:v>验证可选公会标识不串用其他业务对象</x:v>
      </x:c>
      <x:c r="H307" s="9" t="str">
        <x:v>可选公会标识</x:v>
      </x:c>
      <x:c r="I307" s="9" t="str">
        <x:v>1. 执行角色为公会长
2. 已登录目标公会的公会长账号，打开选择公会页并完成下列数据和页面状态准备
3. 可管理公会A名称QA公会、IDG001、Logo为图片A</x:v>
      </x:c>
      <x:c r="J307" s="9" t="str">
        <x:v>1. 查看选择公会页</x:v>
      </x:c>
      <x:c r="K307" s="9" t="str">
        <x:v>公会A标识显示QA公会（G001，Logo为图片A）</x:v>
      </x:c>
      <x:c r="L307" s="10" t="str"/>
      <x:c r="M307" s="10" t="str">
        <x:v>未测</x:v>
      </x:c>
      <x:c r="N307" s="10" t="str"/>
      <x:c r="O307" s="9" t="str">
        <x:v>1. 来源（当前证据）：liveshow-proto/MainBasis/统一需求文档.md；位置：REQ-c36f94897185；行2724
2. 规则：BR-42e61ed8d6122e32
3. 未动态验证</x:v>
      </x:c>
    </x:row>
    <x:row r="308" ht="100" customHeight="1">
      <x:c r="A308" s="10" t="n">
        <x:v>307</x:v>
      </x:c>
      <x:c r="B308" s="10" t="str">
        <x:v>GUILD-01-0037</x:v>
      </x:c>
      <x:c r="C308" s="10" t="str">
        <x:v>登录与首页</x:v>
      </x:c>
      <x:c r="D308" s="10" t="str">
        <x:v>首页（公会长视角）</x:v>
      </x:c>
      <x:c r="E308" s="10" t="str">
        <x:v>功能需求</x:v>
      </x:c>
      <x:c r="F308" s="10" t="str">
        <x:v>P2</x:v>
      </x:c>
      <x:c r="G308" s="9" t="str">
        <x:v>验证当前公会标识不串用其他业务对象</x:v>
      </x:c>
      <x:c r="H308" s="9" t="str">
        <x:v>当前公会标识</x:v>
      </x:c>
      <x:c r="I308" s="9" t="str">
        <x:v>1. 执行角色为公会长
2. 已登录目标公会的公会长账号，打开首页页并完成下列数据和页面状态准备
3. 当前管理QA公会G001、Logo图片A，另有权限管理G002</x:v>
      </x:c>
      <x:c r="J308" s="9" t="str">
        <x:v>1. 查看首页</x:v>
      </x:c>
      <x:c r="K308" s="9" t="str">
        <x:v>当前公会标识显示QA公会（G001，Logo为图片A）</x:v>
      </x:c>
      <x:c r="L308" s="10" t="str"/>
      <x:c r="M308" s="10" t="str">
        <x:v>未测</x:v>
      </x:c>
      <x:c r="N308" s="10" t="str"/>
      <x:c r="O308" s="9" t="str">
        <x:v>1. 来源（当前证据）：liveshow-proto/MainBasis/统一需求文档.md；位置：REQ-6913df3ee9d5；行2735
2. 规则：BR-88d42291d6e5480f
3. 未动态验证</x:v>
      </x:c>
    </x:row>
    <x:row r="309" ht="115" customHeight="1">
      <x:c r="A309" s="10" t="n">
        <x:v>308</x:v>
      </x:c>
      <x:c r="B309" s="10" t="str">
        <x:v>GUILD-02-0086</x:v>
      </x:c>
      <x:c r="C309" s="10" t="str">
        <x:v>主播管理</x:v>
      </x:c>
      <x:c r="D309" s="10" t="str">
        <x:v>入会申请（公会长视角）</x:v>
      </x:c>
      <x:c r="E309" s="10" t="str">
        <x:v>功能需求</x:v>
      </x:c>
      <x:c r="F309" s="10" t="str">
        <x:v>P2</x:v>
      </x:c>
      <x:c r="G309" s="9" t="str">
        <x:v>验证入会申请人身份不串用其他业务对象</x:v>
      </x:c>
      <x:c r="H309" s="9" t="str">
        <x:v>入会申请人身份</x:v>
      </x:c>
      <x:c r="I309" s="9" t="str">
        <x:v>1. 执行角色为公会长
2. 已登录目标公会的公会长账号，打开入会申请页并完成下列数据和页面状态准备
3. 申请A由用户甲U001提交，昵称QA甲、头像图片A；其认证姓名为张甲</x:v>
      </x:c>
      <x:c r="J309" s="9" t="str">
        <x:v>1. 查看入会申请页</x:v>
      </x:c>
      <x:c r="K309" s="9" t="str">
        <x:v>申请A的申请人显示QA甲（U001，头像图片A）</x:v>
      </x:c>
      <x:c r="L309" s="10" t="str"/>
      <x:c r="M309" s="10" t="str">
        <x:v>未测</x:v>
      </x:c>
      <x:c r="N309" s="10" t="str"/>
      <x:c r="O309" s="9" t="str">
        <x:v>1. 来源（当前证据）：liveshow-proto/MainBasis/统一需求文档.md；位置：REQ-d16e735ecacf；行2792
2. 规则：BR-59d9849b9acc148b
3. 未动态验证</x:v>
      </x:c>
    </x:row>
    <x:row r="310" ht="115" customHeight="1">
      <x:c r="A310" s="10" t="n">
        <x:v>309</x:v>
      </x:c>
      <x:c r="B310" s="10" t="str">
        <x:v>GUILD-02-0087</x:v>
      </x:c>
      <x:c r="C310" s="10" t="str">
        <x:v>主播管理</x:v>
      </x:c>
      <x:c r="D310" s="10" t="str">
        <x:v>入会申请详情（公会长视角）</x:v>
      </x:c>
      <x:c r="E310" s="10" t="str">
        <x:v>功能需求</x:v>
      </x:c>
      <x:c r="F310" s="10" t="str">
        <x:v>P2</x:v>
      </x:c>
      <x:c r="G310" s="9" t="str">
        <x:v>验证入会详情账号身份不串用其他业务对象</x:v>
      </x:c>
      <x:c r="H310" s="9" t="str">
        <x:v>入会详情账号身份</x:v>
      </x:c>
      <x:c r="I310" s="9" t="str">
        <x:v>1. 执行角色为公会长
2. 已登录目标公会的公会长账号，打开入会申请详情页并完成下列数据和页面状态准备
3. 当前申请由用户甲U001提交，昵称QA甲、头像图片A；认证姓名为张甲</x:v>
      </x:c>
      <x:c r="J310" s="9" t="str">
        <x:v>1. 查看入会申请详情页</x:v>
      </x:c>
      <x:c r="K310" s="9" t="str">
        <x:v>账号资料显示QA甲（U001，头像图片A）</x:v>
      </x:c>
      <x:c r="L310" s="10" t="str"/>
      <x:c r="M310" s="10" t="str">
        <x:v>未测</x:v>
      </x:c>
      <x:c r="N310" s="10" t="str"/>
      <x:c r="O310" s="9" t="str">
        <x:v>1. 来源（当前证据）：liveshow-proto/MainBasis/统一需求文档.md；位置：REQ-f5ae96afc3b9；行2809
2. 规则：BR-01d6e4895b669465
3. 未动态验证</x:v>
      </x:c>
    </x:row>
    <x:row r="311" ht="100" customHeight="1">
      <x:c r="A311" s="10" t="n">
        <x:v>310</x:v>
      </x:c>
      <x:c r="B311" s="10" t="str">
        <x:v>GUILD-02-0088</x:v>
      </x:c>
      <x:c r="C311" s="10" t="str">
        <x:v>主播管理</x:v>
      </x:c>
      <x:c r="D311" s="10" t="str">
        <x:v>退会申请（公会长视角）</x:v>
      </x:c>
      <x:c r="E311" s="10" t="str">
        <x:v>功能需求</x:v>
      </x:c>
      <x:c r="F311" s="10" t="str">
        <x:v>P2</x:v>
      </x:c>
      <x:c r="G311" s="9" t="str">
        <x:v>验证退会申请人身份不串用其他业务对象</x:v>
      </x:c>
      <x:c r="H311" s="9" t="str">
        <x:v>退会申请人身份</x:v>
      </x:c>
      <x:c r="I311" s="9" t="str">
        <x:v>1. 执行角色为公会长
2. 已登录目标公会的公会长账号，打开退会申请页并完成下列数据和页面状态准备
3. 申请A由在会主播甲H001提交，昵称QA甲、头像图片A</x:v>
      </x:c>
      <x:c r="J311" s="9" t="str">
        <x:v>1. 查看退会申请页</x:v>
      </x:c>
      <x:c r="K311" s="9" t="str">
        <x:v>申请A的申请人显示QA甲（H001，头像图片A）</x:v>
      </x:c>
      <x:c r="L311" s="10" t="str"/>
      <x:c r="M311" s="10" t="str">
        <x:v>未测</x:v>
      </x:c>
      <x:c r="N311" s="10" t="str"/>
      <x:c r="O311" s="9" t="str">
        <x:v>1. 来源（当前证据）：liveshow-proto/MainBasis/统一需求文档.md；位置：REQ-1ec2195a8925；行2844
2. 规则：BR-529aba9822380cd9
3. 未动态验证</x:v>
      </x:c>
    </x:row>
    <x:row r="312" ht="100" customHeight="1">
      <x:c r="A312" s="10" t="n">
        <x:v>311</x:v>
      </x:c>
      <x:c r="B312" s="10" t="str">
        <x:v>GUILD-02-0089</x:v>
      </x:c>
      <x:c r="C312" s="10" t="str">
        <x:v>主播管理</x:v>
      </x:c>
      <x:c r="D312" s="10" t="str">
        <x:v>退会申请详情（公会长视角）</x:v>
      </x:c>
      <x:c r="E312" s="10" t="str">
        <x:v>功能需求</x:v>
      </x:c>
      <x:c r="F312" s="10" t="str">
        <x:v>P2</x:v>
      </x:c>
      <x:c r="G312" s="9" t="str">
        <x:v>验证退会详情主播身份不串用其他业务对象</x:v>
      </x:c>
      <x:c r="H312" s="9" t="str">
        <x:v>退会详情主播身份</x:v>
      </x:c>
      <x:c r="I312" s="9" t="str">
        <x:v>1. 执行角色为公会长
2. 已登录目标公会的公会长账号，打开退会申请详情页并完成下列数据和页面状态准备
3. 当前退会申请属于主播甲H001，昵称QA甲、头像图片A</x:v>
      </x:c>
      <x:c r="J312" s="9" t="str">
        <x:v>1. 查看退会申请详情页</x:v>
      </x:c>
      <x:c r="K312" s="9" t="str">
        <x:v>主播资料显示QA甲（H001，头像图片A）</x:v>
      </x:c>
      <x:c r="L312" s="10" t="str"/>
      <x:c r="M312" s="10" t="str">
        <x:v>未测</x:v>
      </x:c>
      <x:c r="N312" s="10" t="str"/>
      <x:c r="O312" s="9" t="str">
        <x:v>1. 来源（当前证据）：liveshow-proto/MainBasis/统一需求文档.md；位置：REQ-a48ba6bfa371；行2859、REQ-26bf1cfca040；行2861
2. 规则：BR-95661c48b765e8fd
3. 未动态验证</x:v>
      </x:c>
    </x:row>
    <x:row r="313" ht="100" customHeight="1">
      <x:c r="A313" s="10" t="n">
        <x:v>312</x:v>
      </x:c>
      <x:c r="B313" s="10" t="str">
        <x:v>GUILD-02-0090</x:v>
      </x:c>
      <x:c r="C313" s="10" t="str">
        <x:v>主播管理</x:v>
      </x:c>
      <x:c r="D313" s="10" t="str">
        <x:v>主播列表（公会长视角）</x:v>
      </x:c>
      <x:c r="E313" s="10" t="str">
        <x:v>功能需求</x:v>
      </x:c>
      <x:c r="F313" s="10" t="str">
        <x:v>P2</x:v>
      </x:c>
      <x:c r="G313" s="9" t="str">
        <x:v>验证成员列表主播身份不串用其他业务对象</x:v>
      </x:c>
      <x:c r="H313" s="9" t="str">
        <x:v>成员列表主播身份</x:v>
      </x:c>
      <x:c r="I313" s="9" t="str">
        <x:v>1. 执行角色为公会长
2. 已登录目标公会的公会长账号，打开主播列表页并完成下列数据和页面状态准备
3. 当前公会成员甲H001昵称QA甲、头像图片A</x:v>
      </x:c>
      <x:c r="J313" s="9" t="str">
        <x:v>1. 查看主播列表页</x:v>
      </x:c>
      <x:c r="K313" s="9" t="str">
        <x:v>甲的成员行显示QA甲（H001，头像图片A）</x:v>
      </x:c>
      <x:c r="L313" s="10" t="str"/>
      <x:c r="M313" s="10" t="str">
        <x:v>未测</x:v>
      </x:c>
      <x:c r="N313" s="10" t="str"/>
      <x:c r="O313" s="9" t="str">
        <x:v>1. 来源（当前证据）：liveshow-proto/MainBasis/统一需求文档.md；位置：REQ-0ba7c960a009；行2890、REQ-18b92dc9135e；行2892
2. 规则：BR-d8fc8f766c29b863
3. 未动态验证</x:v>
      </x:c>
    </x:row>
    <x:row r="314" ht="100" customHeight="1">
      <x:c r="A314" s="10" t="n">
        <x:v>313</x:v>
      </x:c>
      <x:c r="B314" s="10" t="str">
        <x:v>GUILD-02-0091</x:v>
      </x:c>
      <x:c r="C314" s="10" t="str">
        <x:v>主播管理</x:v>
      </x:c>
      <x:c r="D314" s="10" t="str">
        <x:v>主播业绩（公会长视角）</x:v>
      </x:c>
      <x:c r="E314" s="10" t="str">
        <x:v>功能需求</x:v>
      </x:c>
      <x:c r="F314" s="10" t="str">
        <x:v>P2</x:v>
      </x:c>
      <x:c r="G314" s="9" t="str">
        <x:v>验证业绩列表主播身份不串用其他业务对象</x:v>
      </x:c>
      <x:c r="H314" s="9" t="str">
        <x:v>业绩列表主播身份</x:v>
      </x:c>
      <x:c r="I314" s="9" t="str">
        <x:v>1. 执行角色为公会长
2. 已登录目标公会的公会长账号，打开主播业绩页并完成下列数据和页面状态准备
3. 当前业绩行属于甲H001，昵称QA甲、头像图片A</x:v>
      </x:c>
      <x:c r="J314" s="9" t="str">
        <x:v>1. 查看主播业绩页</x:v>
      </x:c>
      <x:c r="K314" s="9" t="str">
        <x:v>甲的业绩行显示QA甲（H001，头像图片A）</x:v>
      </x:c>
      <x:c r="L314" s="10" t="str"/>
      <x:c r="M314" s="10" t="str">
        <x:v>未测</x:v>
      </x:c>
      <x:c r="N314" s="10" t="str"/>
      <x:c r="O314" s="9" t="str">
        <x:v>1. 来源（当前证据）：liveshow-proto/MainBasis/统一需求文档.md；位置：REQ-8c2c22c4168d；行2909、REQ-b4777791eb9d；行2911
2. 规则：BR-7a304fab8a6c3d47
3. 未动态验证</x:v>
      </x:c>
    </x:row>
    <x:row r="315" ht="115" customHeight="1">
      <x:c r="A315" s="10" t="n">
        <x:v>314</x:v>
      </x:c>
      <x:c r="B315" s="10" t="str">
        <x:v>GUILD-02-0092</x:v>
      </x:c>
      <x:c r="C315" s="10" t="str">
        <x:v>主播管理</x:v>
      </x:c>
      <x:c r="D315" s="10" t="str">
        <x:v>主播数据（公会长视角）</x:v>
      </x:c>
      <x:c r="E315" s="10" t="str">
        <x:v>功能需求</x:v>
      </x:c>
      <x:c r="F315" s="10" t="str">
        <x:v>P2</x:v>
      </x:c>
      <x:c r="G315" s="9" t="str">
        <x:v>验证主播数据身份不串用其他业务对象</x:v>
      </x:c>
      <x:c r="H315" s="9" t="str">
        <x:v>主播数据身份</x:v>
      </x:c>
      <x:c r="I315" s="9" t="str">
        <x:v>1. 执行角色为公会长
2. 已登录目标公会的公会长账号，打开主播数据页并完成下列数据和页面状态准备
3. 当前查看甲H001，昵称QA甲、头像图片A；列表还存在乙H002</x:v>
      </x:c>
      <x:c r="J315" s="9" t="str">
        <x:v>1. 查看主播数据页</x:v>
      </x:c>
      <x:c r="K315" s="9" t="str">
        <x:v>资料区显示QA甲（H001，头像图片A）</x:v>
      </x:c>
      <x:c r="L315" s="10" t="str"/>
      <x:c r="M315" s="10" t="str">
        <x:v>未测</x:v>
      </x:c>
      <x:c r="N315" s="10" t="str"/>
      <x:c r="O315" s="9" t="str">
        <x:v>1. 来源（当前证据）：liveshow-proto/MainBasis/统一需求文档.md；位置：REQ-0996dff5d166；行2940、REQ-6c4f8435a29e；行2942
2. 规则：BR-6e882bd93354e126
3. 未动态验证</x:v>
      </x:c>
    </x:row>
    <x:row r="316" ht="100" customHeight="1">
      <x:c r="A316" s="10" t="n">
        <x:v>315</x:v>
      </x:c>
      <x:c r="B316" s="10" t="str">
        <x:v>GUILD-02-0093</x:v>
      </x:c>
      <x:c r="C316" s="10" t="str">
        <x:v>主播管理</x:v>
      </x:c>
      <x:c r="D316" s="10" t="str">
        <x:v>主播主页（公会长视角）</x:v>
      </x:c>
      <x:c r="E316" s="10" t="str">
        <x:v>功能需求</x:v>
      </x:c>
      <x:c r="F316" s="10" t="str">
        <x:v>P2</x:v>
      </x:c>
      <x:c r="G316" s="9" t="str">
        <x:v>验证主播主页身份不串用其他业务对象</x:v>
      </x:c>
      <x:c r="H316" s="9" t="str">
        <x:v>主播主页身份</x:v>
      </x:c>
      <x:c r="I316" s="9" t="str">
        <x:v>1. 执行角色为公会长
2. 已登录目标公会的公会长账号，打开主播主页页并完成下列数据和页面状态准备
3. 当前查看甲H001，昵称QA甲、头像图片A；已加入本公会</x:v>
      </x:c>
      <x:c r="J316" s="9" t="str">
        <x:v>1. 查看主播主页</x:v>
      </x:c>
      <x:c r="K316" s="9" t="str">
        <x:v>资料区显示QA甲（H001，头像图片A）</x:v>
      </x:c>
      <x:c r="L316" s="10" t="str"/>
      <x:c r="M316" s="10" t="str">
        <x:v>未测</x:v>
      </x:c>
      <x:c r="N316" s="10" t="str"/>
      <x:c r="O316" s="9" t="str">
        <x:v>1. 来源（当前证据）：liveshow-proto/MainBasis/统一需求文档.md；位置：REQ-9c8365970619；行2971、REQ-fa2507b4d6df；行2973
2. 规则：BR-2cbf73eb2f63764d
3. 未动态验证</x:v>
      </x:c>
    </x:row>
    <x:row r="317" ht="115" customHeight="1">
      <x:c r="A317" s="10" t="n">
        <x:v>316</x:v>
      </x:c>
      <x:c r="B317" s="10" t="str">
        <x:v>GUILD-03-0098</x:v>
      </x:c>
      <x:c r="C317" s="10" t="str">
        <x:v>运营工具</x:v>
      </x:c>
      <x:c r="D317" s="10" t="str">
        <x:v>运营账号主页（公会长视角）</x:v>
      </x:c>
      <x:c r="E317" s="10" t="str">
        <x:v>功能需求</x:v>
      </x:c>
      <x:c r="F317" s="10" t="str">
        <x:v>P2</x:v>
      </x:c>
      <x:c r="G317" s="9" t="str">
        <x:v>验证运营账号主页身份不串用其他业务对象</x:v>
      </x:c>
      <x:c r="H317" s="9" t="str">
        <x:v>运营账号主页身份</x:v>
      </x:c>
      <x:c r="I317" s="9" t="str">
        <x:v>1. 执行角色为公会长
2. 已登录目标公会的公会长账号，打开运营账号主页页并完成下列数据和页面状态准备
3. 当前查看运营账号O001，名称OpsA、头像图片A；登录名为qa.ops</x:v>
      </x:c>
      <x:c r="J317" s="9" t="str">
        <x:v>1. 查看运营账号主页</x:v>
      </x:c>
      <x:c r="K317" s="9" t="str">
        <x:v>资料区显示OpsA（账号IDO001，头像图片A）</x:v>
      </x:c>
      <x:c r="L317" s="10" t="str"/>
      <x:c r="M317" s="10" t="str">
        <x:v>未测</x:v>
      </x:c>
      <x:c r="N317" s="10" t="str"/>
      <x:c r="O317" s="9" t="str">
        <x:v>1. 来源（当前证据）：liveshow-proto/MainBasis/统一需求文档.md；位置：REQ-d25b35a4df90；行3139
2. 规则：BR-9c033b9be1a04b00
3. 未动态验证</x:v>
      </x:c>
    </x:row>
    <x:row r="318" ht="100" customHeight="1">
      <x:c r="A318" s="10" t="n">
        <x:v>317</x:v>
      </x:c>
      <x:c r="B318" s="10" t="str">
        <x:v>GUILD-05-0065</x:v>
      </x:c>
      <x:c r="C318" s="10" t="str">
        <x:v>数据与收益</x:v>
      </x:c>
      <x:c r="D318" s="10" t="str">
        <x:v>每日（公会长视角）</x:v>
      </x:c>
      <x:c r="E318" s="10" t="str">
        <x:v>功能需求</x:v>
      </x:c>
      <x:c r="F318" s="10" t="str">
        <x:v>P2</x:v>
      </x:c>
      <x:c r="G318" s="9" t="str">
        <x:v>验证当日业绩主播身份不串用其他业务对象</x:v>
      </x:c>
      <x:c r="H318" s="9" t="str">
        <x:v>当日业绩主播身份</x:v>
      </x:c>
      <x:c r="I318" s="9" t="str">
        <x:v>1. 执行角色为公会长
2. 已登录目标公会的公会长账号，打开每日页并完成下列数据和页面状态准备
3. 当前公会主播甲H001，昵称QA甲、头像图片A</x:v>
      </x:c>
      <x:c r="J318" s="9" t="str">
        <x:v>1. 查看每日页</x:v>
      </x:c>
      <x:c r="K318" s="9" t="str">
        <x:v>甲的业绩行显示QA甲（H001，头像图片A）</x:v>
      </x:c>
      <x:c r="L318" s="10" t="str"/>
      <x:c r="M318" s="10" t="str">
        <x:v>未测</x:v>
      </x:c>
      <x:c r="N318" s="10" t="str"/>
      <x:c r="O318" s="9" t="str">
        <x:v>1. 来源（当前证据）：liveshow-proto/MainBasis/统一需求文档.md；位置：REQ-89a5c71d337c；行3413、REQ-85c8b60ca454；行3415
2. 规则：BR-a5e2b047cea242cb
3. 未动态验证</x:v>
      </x:c>
    </x:row>
    <x:row r="319" ht="100" customHeight="1">
      <x:c r="A319" s="10" t="n">
        <x:v>318</x:v>
      </x:c>
      <x:c r="B319" s="10" t="str">
        <x:v>GUILD-05-0066</x:v>
      </x:c>
      <x:c r="C319" s="10" t="str">
        <x:v>数据与收益</x:v>
      </x:c>
      <x:c r="D319" s="10" t="str">
        <x:v>选择主播（多选）（公会长视角）</x:v>
      </x:c>
      <x:c r="E319" s="10" t="str">
        <x:v>功能需求</x:v>
      </x:c>
      <x:c r="F319" s="10" t="str">
        <x:v>P2</x:v>
      </x:c>
      <x:c r="G319" s="9" t="str">
        <x:v>验证多选页主播身份不串用其他业务对象</x:v>
      </x:c>
      <x:c r="H319" s="9" t="str">
        <x:v>多选页主播身份</x:v>
      </x:c>
      <x:c r="I319" s="9" t="str">
        <x:v>1. 执行角色为公会长
2. 已登录目标公会的公会长账号，打开选择主播（多选）页并完成下列数据和页面状态准备
3. 当前公会主播甲H001，昵称QA甲、头像图片A</x:v>
      </x:c>
      <x:c r="J319" s="9" t="str">
        <x:v>1. 查看选择主播（多选）页</x:v>
      </x:c>
      <x:c r="K319" s="9" t="str">
        <x:v>甲的选项显示QA甲（H001，头像图片A）</x:v>
      </x:c>
      <x:c r="L319" s="10" t="str"/>
      <x:c r="M319" s="10" t="str">
        <x:v>未测</x:v>
      </x:c>
      <x:c r="N319" s="10" t="str"/>
      <x:c r="O319" s="9" t="str">
        <x:v>1. 来源（当前证据）：liveshow-proto/MainBasis/统一需求文档.md；位置：REQ-a55c36ffadaa；行3466、REQ-30e2a7348149；行3468
2. 规则：BR-53c2c3c0fb4c10b7
3. 未动态验证</x:v>
      </x:c>
    </x:row>
    <x:row r="320" ht="100" customHeight="1">
      <x:c r="A320" s="10" t="n">
        <x:v>319</x:v>
      </x:c>
      <x:c r="B320" s="10" t="str">
        <x:v>GUILD-02-0094</x:v>
      </x:c>
      <x:c r="C320" s="10" t="str">
        <x:v>主播管理</x:v>
      </x:c>
      <x:c r="D320" s="10" t="str">
        <x:v>入会申请（公会长视角）</x:v>
      </x:c>
      <x:c r="E320" s="10" t="str">
        <x:v>功能需求</x:v>
      </x:c>
      <x:c r="F320" s="10" t="str">
        <x:v>P2</x:v>
      </x:c>
      <x:c r="G320" s="9" t="str">
        <x:v>验证入会申请提交时间采用业务发生时点</x:v>
      </x:c>
      <x:c r="H320" s="9" t="str">
        <x:v>入会申请提交时间</x:v>
      </x:c>
      <x:c r="I320" s="9" t="str">
        <x:v>1. 执行角色为公会长
2. 已登录目标公会的公会长账号，打开入会申请页并完成下列数据和页面状态准备
3. 申请9月15日10:00提交，9月16日处理</x:v>
      </x:c>
      <x:c r="J320" s="9" t="str">
        <x:v>1. 查看入会申请页</x:v>
      </x:c>
      <x:c r="K320" s="9" t="str">
        <x:v>申请时间对应9月15日10:00</x:v>
      </x:c>
      <x:c r="L320" s="10" t="str"/>
      <x:c r="M320" s="10" t="str">
        <x:v>未测</x:v>
      </x:c>
      <x:c r="N320" s="10" t="str"/>
      <x:c r="O320" s="9" t="str">
        <x:v>1. 来源（当前证据）：liveshow-proto/MainBasis/统一需求文档.md；位置：REQ-9cbb2af001ee；行2794
2. 规则：BR-efb22032382666fa
3. 未动态验证</x:v>
      </x:c>
    </x:row>
    <x:row r="321" ht="100" customHeight="1">
      <x:c r="A321" s="10" t="n">
        <x:v>320</x:v>
      </x:c>
      <x:c r="B321" s="10" t="str">
        <x:v>GUILD-02-0095</x:v>
      </x:c>
      <x:c r="C321" s="10" t="str">
        <x:v>主播管理</x:v>
      </x:c>
      <x:c r="D321" s="10" t="str">
        <x:v>退会申请（公会长视角）</x:v>
      </x:c>
      <x:c r="E321" s="10" t="str">
        <x:v>功能需求</x:v>
      </x:c>
      <x:c r="F321" s="10" t="str">
        <x:v>P2</x:v>
      </x:c>
      <x:c r="G321" s="9" t="str">
        <x:v>验证退会申请提交时间采用业务发生时点</x:v>
      </x:c>
      <x:c r="H321" s="9" t="str">
        <x:v>退会申请提交时间</x:v>
      </x:c>
      <x:c r="I321" s="9" t="str">
        <x:v>1. 执行角色为公会长
2. 已登录目标公会的公会长账号，打开退会申请页并完成下列数据和页面状态准备
3. 9月1日加入，9月15日10:00提交退会</x:v>
      </x:c>
      <x:c r="J321" s="9" t="str">
        <x:v>1. 查看退会申请页</x:v>
      </x:c>
      <x:c r="K321" s="9" t="str">
        <x:v>申请时间对应9月15日10:00</x:v>
      </x:c>
      <x:c r="L321" s="10" t="str"/>
      <x:c r="M321" s="10" t="str">
        <x:v>未测</x:v>
      </x:c>
      <x:c r="N321" s="10" t="str"/>
      <x:c r="O321" s="9" t="str">
        <x:v>1. 来源（当前证据）：liveshow-proto/MainBasis/统一需求文档.md；位置：REQ-244e380c3182；行2846
2. 规则：BR-e12a82fb2314c1c9
3. 未动态验证</x:v>
      </x:c>
    </x:row>
    <x:row r="322" ht="100" customHeight="1">
      <x:c r="A322" s="10" t="n">
        <x:v>321</x:v>
      </x:c>
      <x:c r="B322" s="10" t="str">
        <x:v>GUILD-02-0096</x:v>
      </x:c>
      <x:c r="C322" s="10" t="str">
        <x:v>主播管理</x:v>
      </x:c>
      <x:c r="D322" s="10" t="str">
        <x:v>退会申请详情（公会长视角）</x:v>
      </x:c>
      <x:c r="E322" s="10" t="str">
        <x:v>功能需求</x:v>
      </x:c>
      <x:c r="F322" s="10" t="str">
        <x:v>P2</x:v>
      </x:c>
      <x:c r="G322" s="9" t="str">
        <x:v>验证当前公会关系生效日期采用业务发生时点</x:v>
      </x:c>
      <x:c r="H322" s="9" t="str">
        <x:v>当前公会关系生效日期</x:v>
      </x:c>
      <x:c r="I322" s="9" t="str">
        <x:v>1. 执行角色为公会长
2. 已登录目标公会的公会长账号，打开退会申请详情页并完成下列数据和页面状态准备
3. 旧关系8月1日结束，本次9月1日加入，9月15日申请退会</x:v>
      </x:c>
      <x:c r="J322" s="9" t="str">
        <x:v>1. 查看退会申请详情页</x:v>
      </x:c>
      <x:c r="K322" s="9" t="str">
        <x:v>加入时间对应9月1日</x:v>
      </x:c>
      <x:c r="L322" s="10" t="str"/>
      <x:c r="M322" s="10" t="str">
        <x:v>未测</x:v>
      </x:c>
      <x:c r="N322" s="10" t="str"/>
      <x:c r="O322" s="9" t="str">
        <x:v>1. 来源（当前证据）：liveshow-proto/MainBasis/统一需求文档.md；位置：REQ-8fb398d1b1d8；行2863
2. 规则：BR-3bd50623ad990a0e
3. 未动态验证</x:v>
      </x:c>
    </x:row>
    <x:row r="323" ht="100" customHeight="1">
      <x:c r="A323" s="10" t="n">
        <x:v>322</x:v>
      </x:c>
      <x:c r="B323" s="10" t="str">
        <x:v>GUILD-02-0097</x:v>
      </x:c>
      <x:c r="C323" s="10" t="str">
        <x:v>主播管理</x:v>
      </x:c>
      <x:c r="D323" s="10" t="str">
        <x:v>退会申请详情（公会长视角）</x:v>
      </x:c>
      <x:c r="E323" s="10" t="str">
        <x:v>功能需求</x:v>
      </x:c>
      <x:c r="F323" s="10" t="str">
        <x:v>P2</x:v>
      </x:c>
      <x:c r="G323" s="9" t="str">
        <x:v>验证退会详情本次提交时间采用业务发生时点</x:v>
      </x:c>
      <x:c r="H323" s="9" t="str">
        <x:v>退会详情本次提交时间</x:v>
      </x:c>
      <x:c r="I323" s="9" t="str">
        <x:v>1. 执行角色为公会长
2. 已登录目标公会的公会长账号，打开退会申请详情页并完成下列数据和页面状态准备
3. 9月15日10:00提交退会，9月16日审核通过</x:v>
      </x:c>
      <x:c r="J323" s="9" t="str">
        <x:v>1. 查看退会申请详情页</x:v>
      </x:c>
      <x:c r="K323" s="9" t="str">
        <x:v>申请时间对应9月15日10:00</x:v>
      </x:c>
      <x:c r="L323" s="10" t="str"/>
      <x:c r="M323" s="10" t="str">
        <x:v>未测</x:v>
      </x:c>
      <x:c r="N323" s="10" t="str"/>
      <x:c r="O323" s="9" t="str">
        <x:v>1. 来源（当前证据）：liveshow-proto/MainBasis/统一需求文档.md；位置：REQ-bb414c358408；行2865
2. 规则：BR-0ec3402a4a84107b
3. 未动态验证</x:v>
      </x:c>
    </x:row>
    <x:row r="324" ht="100" customHeight="1">
      <x:c r="A324" s="10" t="n">
        <x:v>323</x:v>
      </x:c>
      <x:c r="B324" s="10" t="str">
        <x:v>GUILD-03-0099</x:v>
      </x:c>
      <x:c r="C324" s="10" t="str">
        <x:v>运营工具</x:v>
      </x:c>
      <x:c r="D324" s="10" t="str">
        <x:v>消息详情（公会长视角）</x:v>
      </x:c>
      <x:c r="E324" s="10" t="str">
        <x:v>功能需求</x:v>
      </x:c>
      <x:c r="F324" s="10" t="str">
        <x:v>P2</x:v>
      </x:c>
      <x:c r="G324" s="9" t="str">
        <x:v>验证消息实际发送时间采用业务发生时点</x:v>
      </x:c>
      <x:c r="H324" s="9" t="str">
        <x:v>消息实际发送时间</x:v>
      </x:c>
      <x:c r="I324" s="9" t="str">
        <x:v>1. 执行角色为公会长
2. 已登录目标公会的公会长账号，打开消息详情页并完成下列数据和页面状态准备
3. 消息9月15日10:00发送，9月16日查看</x:v>
      </x:c>
      <x:c r="J324" s="9" t="str">
        <x:v>1. 查看消息详情页</x:v>
      </x:c>
      <x:c r="K324" s="9" t="str">
        <x:v>发送时间对应9月15日10:00</x:v>
      </x:c>
      <x:c r="L324" s="10" t="str"/>
      <x:c r="M324" s="10" t="str">
        <x:v>未测</x:v>
      </x:c>
      <x:c r="N324" s="10" t="str"/>
      <x:c r="O324" s="9" t="str">
        <x:v>1. 来源（当前证据）：liveshow-proto/MainBasis/统一需求文档.md；位置：REQ-ca337fc6ee2d；行3075
2. 规则：BR-421316beb715eca5
3. 未动态验证</x:v>
      </x:c>
    </x:row>
    <x:row r="325" ht="100" customHeight="1">
      <x:c r="A325" s="10" t="n">
        <x:v>324</x:v>
      </x:c>
      <x:c r="B325" s="10" t="str">
        <x:v>GUILD-01-0038</x:v>
      </x:c>
      <x:c r="C325" s="10" t="str">
        <x:v>登录与首页</x:v>
      </x:c>
      <x:c r="D325" s="10" t="str">
        <x:v>通知详情（公会长视角）</x:v>
      </x:c>
      <x:c r="E325" s="10" t="str">
        <x:v>功能需求</x:v>
      </x:c>
      <x:c r="F325" s="10" t="str">
        <x:v>P2</x:v>
      </x:c>
      <x:c r="G325" s="9" t="str">
        <x:v>验证通知生成时间采用业务发生时点</x:v>
      </x:c>
      <x:c r="H325" s="9" t="str">
        <x:v>通知生成时间</x:v>
      </x:c>
      <x:c r="I325" s="9" t="str">
        <x:v>1. 执行角色为公会长
2. 已登录目标公会的公会长账号，打开通知详情页并完成下列数据和页面状态准备
3. 通知9月15日10:00生成，9月16日读取</x:v>
      </x:c>
      <x:c r="J325" s="9" t="str">
        <x:v>1. 查看通知详情页</x:v>
      </x:c>
      <x:c r="K325" s="9" t="str">
        <x:v>发送时间对应9月15日10:00</x:v>
      </x:c>
      <x:c r="L325" s="10" t="str"/>
      <x:c r="M325" s="10" t="str">
        <x:v>未测</x:v>
      </x:c>
      <x:c r="N325" s="10" t="str"/>
      <x:c r="O325" s="9" t="str">
        <x:v>1. 来源（当前证据）：liveshow-proto/MainBasis/统一需求文档.md；位置：REQ-36e42f069039；行2779
2. 规则：BR-6e21b3027bc70435
3. 未动态验证</x:v>
      </x:c>
    </x:row>
    <x:row r="326" ht="100" customHeight="1">
      <x:c r="A326" s="10" t="n">
        <x:v>325</x:v>
      </x:c>
      <x:c r="B326" s="10" t="str">
        <x:v>GUILD-05-0067</x:v>
      </x:c>
      <x:c r="C326" s="10" t="str">
        <x:v>数据与收益</x:v>
      </x:c>
      <x:c r="D326" s="10" t="str">
        <x:v>直播场次详情（公会长视角）</x:v>
      </x:c>
      <x:c r="E326" s="10" t="str">
        <x:v>功能需求</x:v>
      </x:c>
      <x:c r="F326" s="10" t="str">
        <x:v>P2</x:v>
      </x:c>
      <x:c r="G326" s="9" t="str">
        <x:v>验证场次实际开播时间采用业务发生时点</x:v>
      </x:c>
      <x:c r="H326" s="9" t="str">
        <x:v>场次实际开播时间</x:v>
      </x:c>
      <x:c r="I326" s="9" t="str">
        <x:v>1. 执行角色为公会长
2. 已登录目标公会的公会长账号，打开直播场次详情页并完成下列数据和页面状态准备
3. 场次S1于9月15日10:00开播，11:00结束</x:v>
      </x:c>
      <x:c r="J326" s="9" t="str">
        <x:v>1. 查看直播场次详情页</x:v>
      </x:c>
      <x:c r="K326" s="9" t="str">
        <x:v>开播时间对应9月15日10:00</x:v>
      </x:c>
      <x:c r="L326" s="10" t="str"/>
      <x:c r="M326" s="10" t="str">
        <x:v>未测</x:v>
      </x:c>
      <x:c r="N326" s="10" t="str"/>
      <x:c r="O326" s="9" t="str">
        <x:v>1. 来源（当前证据）：liveshow-proto/MainBasis/统一需求文档.md；位置：REQ-bc39746dc10e；行3302
2. 规则：BR-d9e97c1ce231404a
3. 未动态验证</x:v>
      </x:c>
    </x:row>
    <x:row r="327" ht="115" customHeight="1">
      <x:c r="A327" s="10" t="n">
        <x:v>326</x:v>
      </x:c>
      <x:c r="B327" s="10" t="str">
        <x:v>GUILD-02-0098</x:v>
      </x:c>
      <x:c r="C327" s="10" t="str">
        <x:v>主播管理</x:v>
      </x:c>
      <x:c r="D327" s="10" t="str">
        <x:v>入会申请（公会长视角）</x:v>
      </x:c>
      <x:c r="E327" s="10" t="str">
        <x:v>逻辑校验</x:v>
      </x:c>
      <x:c r="F327" s="10" t="str">
        <x:v>P1</x:v>
      </x:c>
      <x:c r="G327" s="9" t="str">
        <x:v>验证入会审核状态数量独立统计</x:v>
      </x:c>
      <x:c r="H327" s="9" t="str">
        <x:v>入会状态数量</x:v>
      </x:c>
      <x:c r="I327" s="9" t="str">
        <x:v>1. 执行角色为公会长
2. 已登录目标公会的公会长账号，打开入会申请页并完成下列数据和页面状态准备
3. 本公会待公会审核2单、平台审核中1单、已通过4单、已驳回5单</x:v>
      </x:c>
      <x:c r="J327" s="9" t="str">
        <x:v>1. 查看入会申请页</x:v>
      </x:c>
      <x:c r="K327" s="9" t="str">
        <x:v>审核中数量显示3</x:v>
      </x:c>
      <x:c r="L327" s="10" t="str"/>
      <x:c r="M327" s="10" t="str">
        <x:v>未测</x:v>
      </x:c>
      <x:c r="N327" s="10" t="str"/>
      <x:c r="O327" s="9" t="str">
        <x:v>1. 来源（当前证据）：liveshow-proto/MainBasis/统一需求文档.md；位置：REQ-7c3feec7bb55；行2790
2. 规则：BR-5545a4123d706985
3. 未动态验证</x:v>
      </x:c>
    </x:row>
    <x:row r="328" ht="100" customHeight="1">
      <x:c r="A328" s="10" t="n">
        <x:v>327</x:v>
      </x:c>
      <x:c r="B328" s="10" t="str">
        <x:v>GUILD-02-0099</x:v>
      </x:c>
      <x:c r="C328" s="10" t="str">
        <x:v>主播管理</x:v>
      </x:c>
      <x:c r="D328" s="10" t="str">
        <x:v>退会申请（公会长视角）</x:v>
      </x:c>
      <x:c r="E328" s="10" t="str">
        <x:v>逻辑校验</x:v>
      </x:c>
      <x:c r="F328" s="10" t="str">
        <x:v>P1</x:v>
      </x:c>
      <x:c r="G328" s="9" t="str">
        <x:v>验证退会审核数量只计待公会处理</x:v>
      </x:c>
      <x:c r="H328" s="9" t="str">
        <x:v>退会状态数量</x:v>
      </x:c>
      <x:c r="I328" s="9" t="str">
        <x:v>1. 执行角色为公会长
2. 已登录目标公会的公会长账号，打开退会申请页并完成下列数据和页面状态准备
3. 本公会待审核2单、已通过3单、已驳回4单</x:v>
      </x:c>
      <x:c r="J328" s="9" t="str">
        <x:v>1. 查看退会申请页</x:v>
      </x:c>
      <x:c r="K328" s="9" t="str">
        <x:v>审核中数量显示2</x:v>
      </x:c>
      <x:c r="L328" s="10" t="str"/>
      <x:c r="M328" s="10" t="str">
        <x:v>未测</x:v>
      </x:c>
      <x:c r="N328" s="10" t="str"/>
      <x:c r="O328" s="9" t="str">
        <x:v>1. 来源（当前证据）：liveshow-proto/MainBasis/统一需求文档.md；位置：REQ-34f3e2e1e60c；行2842
2. 规则：BR-d5fdabceb9e59941
3. 未动态验证</x:v>
      </x:c>
    </x:row>
    <x:row r="329" ht="115" customHeight="1">
      <x:c r="A329" s="10" t="n">
        <x:v>328</x:v>
      </x:c>
      <x:c r="B329" s="10" t="str">
        <x:v>GUILD-02-0100</x:v>
      </x:c>
      <x:c r="C329" s="10" t="str">
        <x:v>主播管理</x:v>
      </x:c>
      <x:c r="D329" s="10" t="str">
        <x:v>主播列表（公会长视角）</x:v>
      </x:c>
      <x:c r="E329" s="10" t="str">
        <x:v>逻辑校验</x:v>
      </x:c>
      <x:c r="F329" s="10" t="str">
        <x:v>P1</x:v>
      </x:c>
      <x:c r="G329" s="9" t="str">
        <x:v>验证成员人数按有效公会关系区分</x:v>
      </x:c>
      <x:c r="H329" s="9" t="str">
        <x:v>当前在会成员人数</x:v>
      </x:c>
      <x:c r="I329" s="9" t="str">
        <x:v>1. 执行角色为公会长
2. 已登录目标公会的公会长账号，打开主播列表页并完成下列数据和页面状态准备
3. 本公会当前在会2人、历史已退会3人，另有普通用户待审1人</x:v>
      </x:c>
      <x:c r="J329" s="9" t="str">
        <x:v>1. 查看主播列表页</x:v>
      </x:c>
      <x:c r="K329" s="9" t="str">
        <x:v>在会人数显示2</x:v>
      </x:c>
      <x:c r="L329" s="10" t="str"/>
      <x:c r="M329" s="10" t="str">
        <x:v>未测</x:v>
      </x:c>
      <x:c r="N329" s="10" t="str"/>
      <x:c r="O329" s="9" t="str">
        <x:v>1. 来源（当前证据）：liveshow-proto/MainBasis/统一需求文档.md；位置：REQ-0d0a38bc020e；行2886
2. 规则：BR-1514fd1f34024b37
3. 未动态验证</x:v>
      </x:c>
    </x:row>
    <x:row r="330" ht="100" customHeight="1">
      <x:c r="A330" s="10" t="n">
        <x:v>329</x:v>
      </x:c>
      <x:c r="B330" s="10" t="str">
        <x:v>GUILD-02-0101</x:v>
      </x:c>
      <x:c r="C330" s="10" t="str">
        <x:v>主播管理</x:v>
      </x:c>
      <x:c r="D330" s="10" t="str">
        <x:v>入会申请（公会长视角）</x:v>
      </x:c>
      <x:c r="E330" s="10" t="str">
        <x:v>逻辑校验</x:v>
      </x:c>
      <x:c r="F330" s="10" t="str">
        <x:v>P1</x:v>
      </x:c>
      <x:c r="G330" s="9" t="str">
        <x:v>验证公会驳回后再次申请重新进入审核</x:v>
      </x:c>
      <x:c r="H330" s="9" t="str">
        <x:v>重新申请单据独立</x:v>
      </x:c>
      <x:c r="I330" s="9" t="str">
        <x:v>1. 执行角色为公会长
2. 已登录目标公会的公会长账号，打开入会申请页并完成下列数据和页面状态准备
3. 用户甲旧申请A已公会驳回，现已重新提交申请B</x:v>
      </x:c>
      <x:c r="J330" s="9" t="str">
        <x:v>1. 查看入会申请页
2. 切换审核中</x:v>
      </x:c>
      <x:c r="K330" s="9" t="str">
        <x:v>新申请B处于待公会审核</x:v>
      </x:c>
      <x:c r="L330" s="10" t="str"/>
      <x:c r="M330" s="10" t="str">
        <x:v>未测</x:v>
      </x:c>
      <x:c r="N330" s="10" t="str"/>
      <x:c r="O330" s="9" t="str">
        <x:v>1. 来源（当前证据）：liveshow-proto/MainBasis/统一需求文档.md；位置：REQ-347fa03b678b；行2800
2. 规则：BR-065b8c1b8df08c24
3. 未动态验证</x:v>
      </x:c>
    </x:row>
    <x:row r="331" ht="100" customHeight="1">
      <x:c r="A331" s="10" t="n">
        <x:v>330</x:v>
      </x:c>
      <x:c r="B331" s="10" t="str">
        <x:v>GUILD-02-0102</x:v>
      </x:c>
      <x:c r="C331" s="10" t="str">
        <x:v>主播管理</x:v>
      </x:c>
      <x:c r="D331" s="10" t="str">
        <x:v>入会申请详情（公会长视角）</x:v>
      </x:c>
      <x:c r="E331" s="10" t="str">
        <x:v>逻辑校验</x:v>
      </x:c>
      <x:c r="F331" s="10" t="str">
        <x:v>P1</x:v>
      </x:c>
      <x:c r="G331" s="9" t="str">
        <x:v>验证公会通过后审核进度停在平台节点</x:v>
      </x:c>
      <x:c r="H331" s="9" t="str">
        <x:v>入会审核节点进度</x:v>
      </x:c>
      <x:c r="I331" s="9" t="str">
        <x:v>1. 执行角色为公会长
2. 已登录目标公会的公会长账号，打开入会申请详情页并完成下列数据和页面状态准备
3. 公会已通过本申请，平台尚未处理</x:v>
      </x:c>
      <x:c r="J331" s="9" t="str">
        <x:v>1. 查看入会申请详情页</x:v>
      </x:c>
      <x:c r="K331" s="9" t="str">
        <x:v>当前节点显示平台审核中</x:v>
      </x:c>
      <x:c r="L331" s="10" t="str"/>
      <x:c r="M331" s="10" t="str">
        <x:v>未测</x:v>
      </x:c>
      <x:c r="N331" s="10" t="str"/>
      <x:c r="O331" s="9" t="str">
        <x:v>1. 来源（当前证据）：liveshow-proto/MainBasis/统一需求文档.md；位置：REQ-14cedfd463b3；行2821
2. 规则：BR-e080dc1506283259
3. 未动态验证</x:v>
      </x:c>
    </x:row>
    <x:row r="332" ht="85" customHeight="1">
      <x:c r="A332" s="10" t="n">
        <x:v>331</x:v>
      </x:c>
      <x:c r="B332" s="10" t="str">
        <x:v>GUILD-02-0103</x:v>
      </x:c>
      <x:c r="C332" s="10" t="str">
        <x:v>主播管理</x:v>
      </x:c>
      <x:c r="D332" s="10" t="str">
        <x:v>退会申请详情（公会长视角）</x:v>
      </x:c>
      <x:c r="E332" s="10" t="str">
        <x:v>逻辑校验</x:v>
      </x:c>
      <x:c r="F332" s="10" t="str">
        <x:v>P1</x:v>
      </x:c>
      <x:c r="G332" s="9" t="str">
        <x:v>验证退会驳回结果展示当前申请状态</x:v>
      </x:c>
      <x:c r="H332" s="9" t="str">
        <x:v>退会已驳回状态</x:v>
      </x:c>
      <x:c r="I332" s="9" t="str">
        <x:v>1. 执行角色为公会长
2. 已登录目标公会的公会长账号，打开退会申请详情页并完成下列数据和页面状态准备
3. 当前退会申请已被公会驳回</x:v>
      </x:c>
      <x:c r="J332" s="9" t="str">
        <x:v>1. 查看退会申请详情页</x:v>
      </x:c>
      <x:c r="K332" s="9" t="str">
        <x:v>申请状态显示已驳回</x:v>
      </x:c>
      <x:c r="L332" s="10" t="str"/>
      <x:c r="M332" s="10" t="str">
        <x:v>未测</x:v>
      </x:c>
      <x:c r="N332" s="10" t="str"/>
      <x:c r="O332" s="9" t="str">
        <x:v>1. 来源（当前证据）：liveshow-proto/MainBasis/统一需求文档.md；位置：REQ-7cd6e6046561；行2867
2. 规则：BR-a0ca645901880869
3. 未动态验证</x:v>
      </x:c>
    </x:row>
    <x:row r="333" ht="115" customHeight="1">
      <x:c r="A333" s="10" t="n">
        <x:v>332</x:v>
      </x:c>
      <x:c r="B333" s="10" t="str">
        <x:v>GUILD-02-0104</x:v>
      </x:c>
      <x:c r="C333" s="10" t="str">
        <x:v>主播管理</x:v>
      </x:c>
      <x:c r="D333" s="10" t="str">
        <x:v>主播业绩（公会长视角）</x:v>
      </x:c>
      <x:c r="E333" s="10" t="str">
        <x:v>逻辑校验</x:v>
      </x:c>
      <x:c r="F333" s="10" t="str">
        <x:v>P1</x:v>
      </x:c>
      <x:c r="G333" s="9" t="str">
        <x:v>验证周期内多天达标的主播按人去重</x:v>
      </x:c>
      <x:c r="H333" s="9" t="str">
        <x:v>公会周期达标人数</x:v>
      </x:c>
      <x:c r="I333" s="9" t="str">
        <x:v>1. 执行角色为公会长
2. 已登录目标公会的公会长账号，打开主播业绩页并完成下列数据和页面状态准备
3. 甲两天均达标，乙一天达标，丙未达标；筛选范围覆盖上述两日</x:v>
      </x:c>
      <x:c r="J333" s="9" t="str">
        <x:v>1. 查看主播业绩页</x:v>
      </x:c>
      <x:c r="K333" s="9" t="str">
        <x:v>达标人数显示2</x:v>
      </x:c>
      <x:c r="L333" s="10" t="str"/>
      <x:c r="M333" s="10" t="str">
        <x:v>未测</x:v>
      </x:c>
      <x:c r="N333" s="10" t="str"/>
      <x:c r="O333" s="9" t="str">
        <x:v>1. 来源（当前证据）：liveshow-proto/MainBasis/统一需求文档.md；位置：REQ-ad5f3403fb33；行2927
2. 规则：BR-ccbcda78d9a03e36
3. 未动态验证</x:v>
      </x:c>
    </x:row>
    <x:row r="334" ht="85" customHeight="1">
      <x:c r="A334" s="10" t="n">
        <x:v>333</x:v>
      </x:c>
      <x:c r="B334" s="10" t="str">
        <x:v>GUILD-05-0068</x:v>
      </x:c>
      <x:c r="C334" s="10" t="str">
        <x:v>数据与收益</x:v>
      </x:c>
      <x:c r="D334" s="10" t="str">
        <x:v>公会业绩（公会长视角）</x:v>
      </x:c>
      <x:c r="E334" s="10" t="str">
        <x:v>功能需求</x:v>
      </x:c>
      <x:c r="F334" s="10" t="str">
        <x:v>P2</x:v>
      </x:c>
      <x:c r="G334" s="9" t="str">
        <x:v>验证公会业绩首次进入选择本月</x:v>
      </x:c>
      <x:c r="H334" s="9" t="str">
        <x:v>公会业绩默认日期</x:v>
      </x:c>
      <x:c r="I334" s="9" t="str">
        <x:v>1. 执行角色为公会长
2. 已登录目标公会的公会长账号，打开公会业绩页并完成下列数据和页面状态准备</x:v>
      </x:c>
      <x:c r="J334" s="9" t="str">
        <x:v>1. 查看公会业绩页</x:v>
      </x:c>
      <x:c r="K334" s="9" t="str">
        <x:v>日数据范围默认本月</x:v>
      </x:c>
      <x:c r="L334" s="10" t="str"/>
      <x:c r="M334" s="10" t="str">
        <x:v>未测</x:v>
      </x:c>
      <x:c r="N334" s="10" t="str"/>
      <x:c r="O334" s="9" t="str">
        <x:v>1. 来源（当前证据）：liveshow-proto/MainBasis/统一需求文档.md；位置：REQ-d37771cb543f；行3366
2. 规则：BR-388a506702f8592e
3. 未动态验证</x:v>
      </x:c>
    </x:row>
    <x:row r="335" ht="100" customHeight="1">
      <x:c r="A335" s="10" t="n">
        <x:v>334</x:v>
      </x:c>
      <x:c r="B335" s="10" t="str">
        <x:v>GUILD-05-0069</x:v>
      </x:c>
      <x:c r="C335" s="10" t="str">
        <x:v>数据与收益</x:v>
      </x:c>
      <x:c r="D335" s="10" t="str">
        <x:v>公会业绩（公会长视角）</x:v>
      </x:c>
      <x:c r="E335" s="10" t="str">
        <x:v>逻辑校验</x:v>
      </x:c>
      <x:c r="F335" s="10" t="str">
        <x:v>P1</x:v>
      </x:c>
      <x:c r="G335" s="9" t="str">
        <x:v>验证月行开播人数对同主播去重</x:v>
      </x:c>
      <x:c r="H335" s="9" t="str">
        <x:v>月业绩开播人数</x:v>
      </x:c>
      <x:c r="I335" s="9" t="str">
        <x:v>1. 执行角色为公会长
2. 已登录目标公会的公会长账号，打开公会业绩页并完成下列数据和页面状态准备
3. 9月甲完成3场，乙完成1场，其他主播无开播</x:v>
      </x:c>
      <x:c r="J335" s="9" t="str">
        <x:v>1. 查看公会业绩页
2. 切换月数据</x:v>
      </x:c>
      <x:c r="K335" s="9" t="str">
        <x:v>9月行开播人数显示2</x:v>
      </x:c>
      <x:c r="L335" s="10" t="str"/>
      <x:c r="M335" s="10" t="str">
        <x:v>未测</x:v>
      </x:c>
      <x:c r="N335" s="10" t="str"/>
      <x:c r="O335" s="9" t="str">
        <x:v>1. 来源（当前证据）：liveshow-proto/MainBasis/统一需求文档.md；位置：REQ-32710a91047a；行3382
2. 规则：BR-901ef3a3f0b6d2f0
3. 未动态验证</x:v>
      </x:c>
    </x:row>
    <x:row r="336" ht="100" customHeight="1">
      <x:c r="A336" s="10" t="n">
        <x:v>335</x:v>
      </x:c>
      <x:c r="B336" s="10" t="str">
        <x:v>GUILD-05-0070</x:v>
      </x:c>
      <x:c r="C336" s="10" t="str">
        <x:v>数据与收益</x:v>
      </x:c>
      <x:c r="D336" s="10" t="str">
        <x:v>公会业绩（公会长视角）</x:v>
      </x:c>
      <x:c r="E336" s="10" t="str">
        <x:v>逻辑校验</x:v>
      </x:c>
      <x:c r="F336" s="10" t="str">
        <x:v>P1</x:v>
      </x:c>
      <x:c r="G336" s="9" t="str">
        <x:v>验证日行业绩统计全部场次</x:v>
      </x:c>
      <x:c r="H336" s="9" t="str">
        <x:v>日业绩场次数</x:v>
      </x:c>
      <x:c r="I336" s="9" t="str">
        <x:v>1. 执行角色为公会长
2. 已登录目标公会的公会长账号，打开公会业绩页并完成下列数据和页面状态准备
3. 9月15日甲完成2场、乙完成1场，无其他场次</x:v>
      </x:c>
      <x:c r="J336" s="9" t="str">
        <x:v>1. 查看公会业绩页
2. 切换日数据</x:v>
      </x:c>
      <x:c r="K336" s="9" t="str">
        <x:v>9月15日行直播场次显示3</x:v>
      </x:c>
      <x:c r="L336" s="10" t="str"/>
      <x:c r="M336" s="10" t="str">
        <x:v>未测</x:v>
      </x:c>
      <x:c r="N336" s="10" t="str"/>
      <x:c r="O336" s="9" t="str">
        <x:v>1. 来源（当前证据）：liveshow-proto/MainBasis/统一需求文档.md；位置：REQ-c1a6e3b703bb；行3372
2. 规则：BR-1eb95afc81f51259
3. 未动态验证</x:v>
      </x:c>
    </x:row>
    <x:row r="337" ht="100" customHeight="1">
      <x:c r="A337" s="10" t="n">
        <x:v>336</x:v>
      </x:c>
      <x:c r="B337" s="10" t="str">
        <x:v>GUILD-05-0071</x:v>
      </x:c>
      <x:c r="C337" s="10" t="str">
        <x:v>数据与收益</x:v>
      </x:c>
      <x:c r="D337" s="10" t="str">
        <x:v>公会业绩（公会长视角）</x:v>
      </x:c>
      <x:c r="E337" s="10" t="str">
        <x:v>逻辑校验</x:v>
      </x:c>
      <x:c r="F337" s="10" t="str">
        <x:v>P1</x:v>
      </x:c>
      <x:c r="G337" s="9" t="str">
        <x:v>验证日行收益不显示线下分成</x:v>
      </x:c>
      <x:c r="H337" s="9" t="str">
        <x:v>日业绩收益单位</x:v>
      </x:c>
      <x:c r="I337" s="9" t="str">
        <x:v>1. 执行角色为公会长
2. 已登录目标公会的公会长账号，打开公会业绩页并完成下列数据和页面状态准备
3. 9月15日甲主播收益100金币、乙200金币，财务分成10USD</x:v>
      </x:c>
      <x:c r="J337" s="9" t="str">
        <x:v>1. 查看公会业绩页
2. 切换日数据</x:v>
      </x:c>
      <x:c r="K337" s="9" t="str">
        <x:v>9月15日行收益 = 300</x:v>
      </x:c>
      <x:c r="L337" s="10" t="str"/>
      <x:c r="M337" s="10" t="str">
        <x:v>未测</x:v>
      </x:c>
      <x:c r="N337" s="10" t="str"/>
      <x:c r="O337" s="9" t="str">
        <x:v>1. 来源（当前证据）：liveshow-proto/MainBasis/统一需求文档.md；位置：REQ-90228a85fe97；行3376
2. 规则：BR-e575b520777486d0
3. 未动态验证</x:v>
      </x:c>
    </x:row>
    <x:row r="338" ht="100" customHeight="1">
      <x:c r="A338" s="10" t="n">
        <x:v>337</x:v>
      </x:c>
      <x:c r="B338" s="10" t="str">
        <x:v>GUILD-05-0072</x:v>
      </x:c>
      <x:c r="C338" s="10" t="str">
        <x:v>数据与收益</x:v>
      </x:c>
      <x:c r="D338" s="10" t="str">
        <x:v>公会业绩（公会长视角）</x:v>
      </x:c>
      <x:c r="E338" s="10" t="str">
        <x:v>功能需求</x:v>
      </x:c>
      <x:c r="F338" s="10" t="str">
        <x:v>P2</x:v>
      </x:c>
      <x:c r="G338" s="9" t="str">
        <x:v>验证切换业绩卡片更新趋势指标</x:v>
      </x:c>
      <x:c r="H338" s="9" t="str">
        <x:v>业绩趋势指标选择</x:v>
      </x:c>
      <x:c r="I338" s="9" t="str">
        <x:v>1. 执行角色为公会长
2. 已登录目标公会的公会长账号，打开公会业绩页并完成下列数据和页面状态准备
3. 当前收益趋势，范围内存在直播场次数据</x:v>
      </x:c>
      <x:c r="J338" s="9" t="str">
        <x:v>1. 查看公会业绩页
2. 点击直播场次指标卡片</x:v>
      </x:c>
      <x:c r="K338" s="9" t="str">
        <x:v>趋势显示直播场次数</x:v>
      </x:c>
      <x:c r="L338" s="10" t="str"/>
      <x:c r="M338" s="10" t="str">
        <x:v>未测</x:v>
      </x:c>
      <x:c r="N338" s="10" t="str"/>
      <x:c r="O338" s="9" t="str">
        <x:v>1. 来源（当前证据）：liveshow-proto/MainBasis/统一需求文档.md；位置：REQ-1e99a6258a1d；行3400
2. 规则：BR-449da5440d0ebcd4
3. 未动态验证</x:v>
      </x:c>
    </x:row>
    <x:row r="339" ht="100" customHeight="1">
      <x:c r="A339" s="10" t="n">
        <x:v>338</x:v>
      </x:c>
      <x:c r="B339" s="10" t="str">
        <x:v>GUILD-05-0073</x:v>
      </x:c>
      <x:c r="C339" s="10" t="str">
        <x:v>数据与收益</x:v>
      </x:c>
      <x:c r="D339" s="10" t="str">
        <x:v>直播场次详情（公会长视角）</x:v>
      </x:c>
      <x:c r="E339" s="10" t="str">
        <x:v>逻辑校验</x:v>
      </x:c>
      <x:c r="F339" s="10" t="str">
        <x:v>P1</x:v>
      </x:c>
      <x:c r="G339" s="9" t="str">
        <x:v>验证场次详情重复进房只计一名观众</x:v>
      </x:c>
      <x:c r="H339" s="9" t="str">
        <x:v>详情观众去重</x:v>
      </x:c>
      <x:c r="I339" s="9" t="str">
        <x:v>1. 执行角色为公会长
2. 已登录目标公会的公会长账号，打开直播场次详情页并完成下列数据和页面状态准备
3. 同场甲进出3次，乙进入1次，均为真实用户</x:v>
      </x:c>
      <x:c r="J339" s="9" t="str">
        <x:v>1. 查看直播场次详情页</x:v>
      </x:c>
      <x:c r="K339" s="9" t="str">
        <x:v>观众数量显示2人</x:v>
      </x:c>
      <x:c r="L339" s="10" t="str"/>
      <x:c r="M339" s="10" t="str">
        <x:v>未测</x:v>
      </x:c>
      <x:c r="N339" s="10" t="str"/>
      <x:c r="O339" s="9" t="str">
        <x:v>1. 来源（当前证据）：liveshow-proto/MainBasis/统一需求文档.md；位置：REQ-b6422feedd6e；行3324
2. 规则：BR-a000b4b9a1aac198
3. 未动态验证</x:v>
      </x:c>
    </x:row>
    <x:row r="340" ht="100" customHeight="1">
      <x:c r="A340" s="10" t="n">
        <x:v>339</x:v>
      </x:c>
      <x:c r="B340" s="10" t="str">
        <x:v>GUILD-05-0074</x:v>
      </x:c>
      <x:c r="C340" s="10" t="str">
        <x:v>数据与收益</x:v>
      </x:c>
      <x:c r="D340" s="10" t="str">
        <x:v>直播场次详情（公会长视角）</x:v>
      </x:c>
      <x:c r="E340" s="10" t="str">
        <x:v>逻辑校验</x:v>
      </x:c>
      <x:c r="F340" s="10" t="str">
        <x:v>P1</x:v>
      </x:c>
      <x:c r="G340" s="9" t="str">
        <x:v>验证场次详情收礼数量排除失败赠送</x:v>
      </x:c>
      <x:c r="H340" s="9" t="str">
        <x:v>详情成功礼物件数</x:v>
      </x:c>
      <x:c r="I340" s="9" t="str">
        <x:v>1. 执行角色为公会长
2. 已登录目标公会的公会长账号，打开直播场次详情页并完成下列数据和页面状态准备
3. 本场甲成功送3件、乙成功送2件，另有失败4件</x:v>
      </x:c>
      <x:c r="J340" s="9" t="str">
        <x:v>1. 查看直播场次详情页</x:v>
      </x:c>
      <x:c r="K340" s="9" t="str">
        <x:v>礼物数量显示5件</x:v>
      </x:c>
      <x:c r="L340" s="10" t="str"/>
      <x:c r="M340" s="10" t="str">
        <x:v>未测</x:v>
      </x:c>
      <x:c r="N340" s="10" t="str"/>
      <x:c r="O340" s="9" t="str">
        <x:v>1. 来源（当前证据）：liveshow-proto/MainBasis/统一需求文档.md；位置：REQ-f6239cd9ae7b；行3328
2. 规则：BR-b9aabf14757b52fd
3. 未动态验证</x:v>
      </x:c>
    </x:row>
    <x:row r="341" ht="100" customHeight="1">
      <x:c r="A341" s="10" t="n">
        <x:v>340</x:v>
      </x:c>
      <x:c r="B341" s="10" t="str">
        <x:v>GUILD-05-0075</x:v>
      </x:c>
      <x:c r="C341" s="10" t="str">
        <x:v>数据与收益</x:v>
      </x:c>
      <x:c r="D341" s="10" t="str">
        <x:v>直播场次详情（公会长视角）</x:v>
      </x:c>
      <x:c r="E341" s="10" t="str">
        <x:v>逻辑校验</x:v>
      </x:c>
      <x:c r="F341" s="10" t="str">
        <x:v>P1</x:v>
      </x:c>
      <x:c r="G341" s="9" t="str">
        <x:v>验证赠礼详情金额按成交单价乘件数</x:v>
      </x:c>
      <x:c r="H341" s="9" t="str">
        <x:v>详情单笔礼物消费</x:v>
      </x:c>
      <x:c r="I341" s="9" t="str">
        <x:v>1. 执行角色为公会长
2. 已登录目标公会的公会长账号，打开直播场次详情页并完成下列数据和页面状态准备
3. 记录A成交单价10金币、数量3，当前礼物价20金币</x:v>
      </x:c>
      <x:c r="J341" s="9" t="str">
        <x:v>1. 查看直播场次详情页
2. 点击记录A</x:v>
      </x:c>
      <x:c r="K341" s="9" t="str">
        <x:v>消费金币 = 30</x:v>
      </x:c>
      <x:c r="L341" s="10" t="str"/>
      <x:c r="M341" s="10" t="str">
        <x:v>未测</x:v>
      </x:c>
      <x:c r="N341" s="10" t="str"/>
      <x:c r="O341" s="9" t="str">
        <x:v>1. 来源（当前证据）：liveshow-proto/MainBasis/统一需求文档.md；位置：REQ-64e41a53b88f；行3314
2. 规则：BR-a42f6117f884101e
3. 未动态验证</x:v>
      </x:c>
    </x:row>
    <x:row r="342" ht="100" customHeight="1">
      <x:c r="A342" s="10" t="n">
        <x:v>341</x:v>
      </x:c>
      <x:c r="B342" s="10" t="str">
        <x:v>GUILD-05-0076</x:v>
      </x:c>
      <x:c r="C342" s="10" t="str">
        <x:v>数据与收益</x:v>
      </x:c>
      <x:c r="D342" s="10" t="str">
        <x:v>直播场次详情（公会长视角）</x:v>
      </x:c>
      <x:c r="E342" s="10" t="str">
        <x:v>功能需求</x:v>
      </x:c>
      <x:c r="F342" s="10" t="str">
        <x:v>P2</x:v>
      </x:c>
      <x:c r="G342" s="9" t="str">
        <x:v>验证赠礼明细时间采用成功赠送时点</x:v>
      </x:c>
      <x:c r="H342" s="9" t="str">
        <x:v>详情赠送成功时间</x:v>
      </x:c>
      <x:c r="I342" s="9" t="str">
        <x:v>1. 执行角色为公会长
2. 已登录目标公会的公会长账号，打开直播场次详情页并完成下列数据和页面状态准备
3. 记录A于9月15日10:00成功赠送，9月16日查看</x:v>
      </x:c>
      <x:c r="J342" s="9" t="str">
        <x:v>1. 查看直播场次详情页
2. 点击记录A</x:v>
      </x:c>
      <x:c r="K342" s="9" t="str">
        <x:v>赠送时间对应9月15日10:00</x:v>
      </x:c>
      <x:c r="L342" s="10" t="str"/>
      <x:c r="M342" s="10" t="str">
        <x:v>未测</x:v>
      </x:c>
      <x:c r="N342" s="10" t="str"/>
      <x:c r="O342" s="9" t="str">
        <x:v>1. 来源（当前证据）：liveshow-proto/MainBasis/统一需求文档.md；位置：REQ-55e89c691eee；行3306、REQ-11c07952190f；行3310
2. 规则：BR-105421f0dbe5868e
3. 未动态验证</x:v>
      </x:c>
    </x:row>
    <x:row r="343" ht="100" customHeight="1">
      <x:c r="A343" s="10" t="n">
        <x:v>342</x:v>
      </x:c>
      <x:c r="B343" s="10" t="str">
        <x:v>GUILD-05-0077</x:v>
      </x:c>
      <x:c r="C343" s="10" t="str">
        <x:v>数据与收益</x:v>
      </x:c>
      <x:c r="D343" s="10" t="str">
        <x:v>直播记录（公会长视角）</x:v>
      </x:c>
      <x:c r="E343" s="10" t="str">
        <x:v>逻辑校验</x:v>
      </x:c>
      <x:c r="F343" s="10" t="str">
        <x:v>P1</x:v>
      </x:c>
      <x:c r="G343" s="9" t="str">
        <x:v>验证多主播场次各自显示所属主播</x:v>
      </x:c>
      <x:c r="H343" s="9" t="str">
        <x:v>多主播记录身份</x:v>
      </x:c>
      <x:c r="I343" s="9" t="str">
        <x:v>1. 执行角色为公会长
2. 已登录目标公会的公会长账号，打开直播记录页并完成下列数据和页面状态准备
3. 当前范围包括甲H001与乙H002，甲的场次S1、乙的S2</x:v>
      </x:c>
      <x:c r="J343" s="9" t="str">
        <x:v>1. 查看直播记录页</x:v>
      </x:c>
      <x:c r="K343" s="9" t="str">
        <x:v>S2对应主播乙H002</x:v>
      </x:c>
      <x:c r="L343" s="10" t="str"/>
      <x:c r="M343" s="10" t="str">
        <x:v>未测</x:v>
      </x:c>
      <x:c r="N343" s="10" t="str"/>
      <x:c r="O343" s="9" t="str">
        <x:v>1. 来源（当前证据）：liveshow-proto/MainBasis/统一需求文档.md；位置：REQ-1221acc6aa29；行3271
2. 规则：BR-2331b984f43c69de
3. 未动态验证</x:v>
      </x:c>
    </x:row>
    <x:row r="344" ht="100" customHeight="1">
      <x:c r="A344" s="10" t="n">
        <x:v>343</x:v>
      </x:c>
      <x:c r="B344" s="10" t="str">
        <x:v>GUILD-05-0078</x:v>
      </x:c>
      <x:c r="C344" s="10" t="str">
        <x:v>数据与收益</x:v>
      </x:c>
      <x:c r="D344" s="10" t="str">
        <x:v>直播记录（公会长视角）</x:v>
      </x:c>
      <x:c r="E344" s="10" t="str">
        <x:v>功能需求</x:v>
      </x:c>
      <x:c r="F344" s="10" t="str">
        <x:v>P2</x:v>
      </x:c>
      <x:c r="G344" s="9" t="str">
        <x:v>验证场次时长按小时分钟显示</x:v>
      </x:c>
      <x:c r="H344" s="9" t="str">
        <x:v>公会场次时长</x:v>
      </x:c>
      <x:c r="I344" s="9" t="str">
        <x:v>1. 执行角色为公会长
2. 已登录目标公会的公会长账号，打开直播记录页并完成下列数据和页面状态准备
3. 目标场次已结束，累计直播90分钟</x:v>
      </x:c>
      <x:c r="J344" s="9" t="str">
        <x:v>1. 查看直播记录页</x:v>
      </x:c>
      <x:c r="K344" s="9" t="str">
        <x:v>该场次时长显示1小时30分钟</x:v>
      </x:c>
      <x:c r="L344" s="10" t="str"/>
      <x:c r="M344" s="10" t="str">
        <x:v>未测</x:v>
      </x:c>
      <x:c r="N344" s="10" t="str"/>
      <x:c r="O344" s="9" t="str">
        <x:v>1. 来源（当前证据）：liveshow-proto/MainBasis/统一需求文档.md；位置：REQ-dd0807235d97；行3275
2. 规则：BR-028c6e3e486683e4
3. 未动态验证</x:v>
      </x:c>
    </x:row>
    <x:row r="345" ht="100" customHeight="1">
      <x:c r="A345" s="10" t="n">
        <x:v>344</x:v>
      </x:c>
      <x:c r="B345" s="10" t="str">
        <x:v>GUILD-05-0079</x:v>
      </x:c>
      <x:c r="C345" s="10" t="str">
        <x:v>数据与收益</x:v>
      </x:c>
      <x:c r="D345" s="10" t="str">
        <x:v>直播记录（公会长视角）</x:v>
      </x:c>
      <x:c r="E345" s="10" t="str">
        <x:v>逻辑校验</x:v>
      </x:c>
      <x:c r="F345" s="10" t="str">
        <x:v>P1</x:v>
      </x:c>
      <x:c r="G345" s="9" t="str">
        <x:v>验证更换主播筛选后收益范围更新</x:v>
      </x:c>
      <x:c r="H345" s="9" t="str">
        <x:v>公会场次汇总筛选</x:v>
      </x:c>
      <x:c r="I345" s="9" t="str">
        <x:v>1. 执行角色为公会长
2. 已登录目标公会的公会长账号，打开直播记录页并完成下列数据和页面状态准备
3. 同日甲收益100金币、乙200金币，默认全部主播</x:v>
      </x:c>
      <x:c r="J345" s="9" t="str">
        <x:v>1. 查看直播记录页
2. 点击主播筛选
3. 选择仅主播甲
4. 点击完成</x:v>
      </x:c>
      <x:c r="K345" s="9" t="str">
        <x:v>收益汇总显示100金币</x:v>
      </x:c>
      <x:c r="L345" s="10" t="str"/>
      <x:c r="M345" s="10" t="str">
        <x:v>未测</x:v>
      </x:c>
      <x:c r="N345" s="10" t="str"/>
      <x:c r="O345" s="9" t="str">
        <x:v>1. 来源（当前证据）：liveshow-proto/MainBasis/统一需求文档.md；位置：REQ-56ed49642530；行3283
2. 规则：BR-2def9accb6a80b7c
3. 未动态验证</x:v>
      </x:c>
    </x:row>
    <x:row r="346" ht="100" customHeight="1">
      <x:c r="A346" s="10" t="n">
        <x:v>345</x:v>
      </x:c>
      <x:c r="B346" s="10" t="str">
        <x:v>GUILD-03-0100</x:v>
      </x:c>
      <x:c r="C346" s="10" t="str">
        <x:v>运营工具</x:v>
      </x:c>
      <x:c r="D346" s="10" t="str">
        <x:v>消息详情（公会长视角）</x:v>
      </x:c>
      <x:c r="E346" s="10" t="str">
        <x:v>逻辑校验</x:v>
      </x:c>
      <x:c r="F346" s="10" t="str">
        <x:v>P1</x:v>
      </x:c>
      <x:c r="G346" s="9" t="str">
        <x:v>验证群发历史人数不随退会减少</x:v>
      </x:c>
      <x:c r="H346" s="9" t="str">
        <x:v>消息历史接收人数</x:v>
      </x:c>
      <x:c r="I346" s="9" t="str">
        <x:v>1. 执行角色为公会长
2. 已登录目标公会的公会长账号，打开消息详情页并完成下列数据和页面状态准备
3. 消息N发送时3名接收人，随后其中1人退会</x:v>
      </x:c>
      <x:c r="J346" s="9" t="str">
        <x:v>1. 查看消息详情页</x:v>
      </x:c>
      <x:c r="K346" s="9" t="str">
        <x:v>消息N接收人数仍为3</x:v>
      </x:c>
      <x:c r="L346" s="10" t="str"/>
      <x:c r="M346" s="10" t="str">
        <x:v>未测</x:v>
      </x:c>
      <x:c r="N346" s="10" t="str"/>
      <x:c r="O346" s="9" t="str">
        <x:v>1. 来源（当前证据）：liveshow-proto/MainBasis/统一需求文档.md；位置：REQ-bea99a86a3b3；行3071
2. 规则：BR-c34af269866f60d2
3. 未动态验证</x:v>
      </x:c>
    </x:row>
    <x:row r="347" ht="100" customHeight="1">
      <x:c r="A347" s="10" t="n">
        <x:v>346</x:v>
      </x:c>
      <x:c r="B347" s="10" t="str">
        <x:v>GUILD-03-0101</x:v>
      </x:c>
      <x:c r="C347" s="10" t="str">
        <x:v>运营工具</x:v>
      </x:c>
      <x:c r="D347" s="10" t="str">
        <x:v>消息详情（公会长视角）</x:v>
      </x:c>
      <x:c r="E347" s="10" t="str">
        <x:v>逻辑校验</x:v>
      </x:c>
      <x:c r="F347" s="10" t="str">
        <x:v>P1</x:v>
      </x:c>
      <x:c r="G347" s="9" t="str">
        <x:v>验证改名后历史接收人使用发送时名称</x:v>
      </x:c>
      <x:c r="H347" s="9" t="str">
        <x:v>消息历史接收名称</x:v>
      </x:c>
      <x:c r="I347" s="9" t="str">
        <x:v>1. 执行角色为公会长
2. 已登录目标公会的公会长账号，打开消息详情页并完成下列数据和页面状态准备
3. 发送时接收人名称甲，随后改名乙</x:v>
      </x:c>
      <x:c r="J347" s="9" t="str">
        <x:v>1. 查看消息详情页</x:v>
      </x:c>
      <x:c r="K347" s="9" t="str">
        <x:v>该历史消息接收人名称显示甲</x:v>
      </x:c>
      <x:c r="L347" s="10" t="str"/>
      <x:c r="M347" s="10" t="str">
        <x:v>未测</x:v>
      </x:c>
      <x:c r="N347" s="10" t="str"/>
      <x:c r="O347" s="9" t="str">
        <x:v>1. 来源（当前证据）：liveshow-proto/MainBasis/统一需求文档.md；位置：REQ-933d994eee0b；行3073
2. 规则：BR-a22913100861635b
3. 未动态验证</x:v>
      </x:c>
    </x:row>
    <x:row r="348" ht="115" customHeight="1">
      <x:c r="A348" s="10" t="n">
        <x:v>347</x:v>
      </x:c>
      <x:c r="B348" s="10" t="str">
        <x:v>GUILD-03-0102</x:v>
      </x:c>
      <x:c r="C348" s="10" t="str">
        <x:v>运营工具</x:v>
      </x:c>
      <x:c r="D348" s="10" t="str">
        <x:v>运营账号主页（公会长视角）</x:v>
      </x:c>
      <x:c r="E348" s="10" t="str">
        <x:v>逻辑校验</x:v>
      </x:c>
      <x:c r="F348" s="10" t="str">
        <x:v>P1</x:v>
      </x:c>
      <x:c r="G348" s="9" t="str">
        <x:v>验证运营余额按成功发放减消费</x:v>
      </x:c>
      <x:c r="H348" s="9" t="str">
        <x:v>运营虚拟金币可用余额</x:v>
      </x:c>
      <x:c r="I348" s="9" t="str">
        <x:v>1. 执行角色为公会长
2. 已登录目标公会的公会长账号，打开运营账号主页页并完成下列数据和页面状态准备
3. 累计成功发放1000金币、成功消费200金币，另有失败发放100与失败消费50</x:v>
      </x:c>
      <x:c r="J348" s="9" t="str">
        <x:v>1. 查看运营账号主页</x:v>
      </x:c>
      <x:c r="K348" s="9" t="str">
        <x:v>账户余额 = 800</x:v>
      </x:c>
      <x:c r="L348" s="10" t="str"/>
      <x:c r="M348" s="10" t="str">
        <x:v>未测</x:v>
      </x:c>
      <x:c r="N348" s="10" t="str"/>
      <x:c r="O348" s="9" t="str">
        <x:v>1. 来源（当前证据）：liveshow-proto/MainBasis/统一需求文档.md；位置：REQ-829bf72e5c0a；行3155
2. 规则：BR-86f7354b4a9246e4
3. 未动态验证</x:v>
      </x:c>
    </x:row>
    <x:row r="349" ht="100" customHeight="1">
      <x:c r="A349" s="10" t="n">
        <x:v>348</x:v>
      </x:c>
      <x:c r="B349" s="10" t="str">
        <x:v>GUILD-03-0103</x:v>
      </x:c>
      <x:c r="C349" s="10" t="str">
        <x:v>运营工具</x:v>
      </x:c>
      <x:c r="D349" s="10" t="str">
        <x:v>运营账号主页（公会长视角）</x:v>
      </x:c>
      <x:c r="E349" s="10" t="str">
        <x:v>逻辑校验</x:v>
      </x:c>
      <x:c r="F349" s="10" t="str">
        <x:v>P1</x:v>
      </x:c>
      <x:c r="G349" s="9" t="str">
        <x:v>验证平台锁定不会改成禁用状态</x:v>
      </x:c>
      <x:c r="H349" s="9" t="str">
        <x:v>运营启停与管理锁定独立</x:v>
      </x:c>
      <x:c r="I349" s="9" t="str">
        <x:v>1. 执行角色为公会长
2. 已登录目标公会的公会长账号，打开运营账号主页页并完成下列数据和页面状态准备
3. 运营账号启用，平台随后锁定公会对它的管理权限</x:v>
      </x:c>
      <x:c r="J349" s="9" t="str">
        <x:v>1. 查看运营账号主页</x:v>
      </x:c>
      <x:c r="K349" s="9" t="str">
        <x:v>启用状态仍为启用</x:v>
      </x:c>
      <x:c r="L349" s="10" t="str"/>
      <x:c r="M349" s="10" t="str">
        <x:v>未测</x:v>
      </x:c>
      <x:c r="N349" s="10" t="str"/>
      <x:c r="O349" s="9" t="str">
        <x:v>1. 来源（当前证据）：liveshow-proto/MainBasis/统一需求文档.md；位置：REQ-7646c62698b9；行3141
2. 规则：BR-b0681a1f46dd1c91
3. 未动态验证</x:v>
      </x:c>
    </x:row>
    <x:row r="350" ht="115" customHeight="1">
      <x:c r="A350" s="10" t="n">
        <x:v>349</x:v>
      </x:c>
      <x:c r="B350" s="10" t="str">
        <x:v>GUILD-03-0104</x:v>
      </x:c>
      <x:c r="C350" s="10" t="str">
        <x:v>运营工具</x:v>
      </x:c>
      <x:c r="D350" s="10" t="str">
        <x:v>送礼记录（公会长视角）</x:v>
      </x:c>
      <x:c r="E350" s="10" t="str">
        <x:v>逻辑校验</x:v>
      </x:c>
      <x:c r="F350" s="10" t="str">
        <x:v>P1</x:v>
      </x:c>
      <x:c r="G350" s="9" t="str">
        <x:v>验证多笔虚拟赠礼按成交额汇总</x:v>
      </x:c>
      <x:c r="H350" s="9" t="str">
        <x:v>虚拟赠礼汇总消费</x:v>
      </x:c>
      <x:c r="I350" s="9" t="str">
        <x:v>1. 执行角色为公会长
2. 已登录目标公会的公会长账号，打开送礼记录页并完成下列数据和页面状态准备
3. 当前筛选成功记录A单价10数量3、B单价20数量2，失败记录C单价50数量1</x:v>
      </x:c>
      <x:c r="J350" s="9" t="str">
        <x:v>1. 查看送礼记录页</x:v>
      </x:c>
      <x:c r="K350" s="9" t="str">
        <x:v>总消费金币 = 70</x:v>
      </x:c>
      <x:c r="L350" s="10" t="str"/>
      <x:c r="M350" s="10" t="str">
        <x:v>未测</x:v>
      </x:c>
      <x:c r="N350" s="10" t="str"/>
      <x:c r="O350" s="9" t="str">
        <x:v>1. 来源（当前证据）：liveshow-proto/MainBasis/统一需求文档.md；位置：REQ-7d4a601f95fa；行3198
2. 规则：BR-fd53787d95a825f6
3. 未动态验证</x:v>
      </x:c>
    </x:row>
    <x:row r="351" ht="100" customHeight="1">
      <x:c r="A351" s="10" t="n">
        <x:v>350</x:v>
      </x:c>
      <x:c r="B351" s="10" t="str">
        <x:v>GUILD-03-0105</x:v>
      </x:c>
      <x:c r="C351" s="10" t="str">
        <x:v>运营工具</x:v>
      </x:c>
      <x:c r="D351" s="10" t="str">
        <x:v>送礼记录（公会长视角）</x:v>
      </x:c>
      <x:c r="E351" s="10" t="str">
        <x:v>逻辑校验</x:v>
      </x:c>
      <x:c r="F351" s="10" t="str">
        <x:v>P1</x:v>
      </x:c>
      <x:c r="G351" s="9" t="str">
        <x:v>验证运营赠礼明细使用实际接收主播</x:v>
      </x:c>
      <x:c r="H351" s="9" t="str">
        <x:v>虚拟赠礼接收对象</x:v>
      </x:c>
      <x:c r="I351" s="9" t="str">
        <x:v>1. 执行角色为公会长
2. 已登录目标公会的公会长账号，打开送礼记录页并完成下列数据和页面状态准备
3. 运营账号O001向主播H002送礼，另一主播H003未收礼</x:v>
      </x:c>
      <x:c r="J351" s="9" t="str">
        <x:v>1. 查看送礼记录页
2. 点击该笔送礼记录</x:v>
      </x:c>
      <x:c r="K351" s="9" t="str">
        <x:v>接收主播ID显示H002</x:v>
      </x:c>
      <x:c r="L351" s="10" t="str"/>
      <x:c r="M351" s="10" t="str">
        <x:v>未测</x:v>
      </x:c>
      <x:c r="N351" s="10" t="str"/>
      <x:c r="O351" s="9" t="str">
        <x:v>1. 来源（当前证据）：liveshow-proto/MainBasis/统一需求文档.md；位置：REQ-43f811c0f6ae；行3192
2. 规则：BR-606428ddf6acc772
3. 未动态验证</x:v>
      </x:c>
    </x:row>
    <x:row r="352" ht="100" customHeight="1">
      <x:c r="A352" s="10" t="n">
        <x:v>351</x:v>
      </x:c>
      <x:c r="B352" s="10" t="str">
        <x:v>GUILD-01-0039</x:v>
      </x:c>
      <x:c r="C352" s="10" t="str">
        <x:v>登录与首页</x:v>
      </x:c>
      <x:c r="D352" s="10" t="str">
        <x:v>通知消息（公会长视角）</x:v>
      </x:c>
      <x:c r="E352" s="10" t="str">
        <x:v>功能需求</x:v>
      </x:c>
      <x:c r="F352" s="10" t="str">
        <x:v>P2</x:v>
      </x:c>
      <x:c r="G352" s="9" t="str">
        <x:v>验证核对通知标题事件结果对应当前业务记录</x:v>
      </x:c>
      <x:c r="H352" s="9" t="str">
        <x:v>通知标题事件结果</x:v>
      </x:c>
      <x:c r="I352" s="9" t="str">
        <x:v>1. 执行角色为公会长
2. 已登录目标公会的公会长账号，打开通知消息页并完成下列数据和页面状态准备
3. 用户甲入会申请由平台驳回，已有对应通知N</x:v>
      </x:c>
      <x:c r="J352" s="9" t="str">
        <x:v>1. 查看通知消息页</x:v>
      </x:c>
      <x:c r="K352" s="9" t="str">
        <x:v>N标题表达入会申请的平台驳回结果</x:v>
      </x:c>
      <x:c r="L352" s="10" t="str"/>
      <x:c r="M352" s="10" t="str">
        <x:v>未测</x:v>
      </x:c>
      <x:c r="N352" s="10" t="str"/>
      <x:c r="O352" s="9" t="str">
        <x:v>1. 来源（当前证据）：liveshow-proto/MainBasis/统一需求文档.md；位置：REQ-4aa953016658；行2756
2. 规则：BR-d81a1147f073572b
3. 未动态验证</x:v>
      </x:c>
    </x:row>
    <x:row r="353" ht="100" customHeight="1">
      <x:c r="A353" s="10" t="n">
        <x:v>352</x:v>
      </x:c>
      <x:c r="B353" s="10" t="str">
        <x:v>GUILD-01-0040</x:v>
      </x:c>
      <x:c r="C353" s="10" t="str">
        <x:v>登录与首页</x:v>
      </x:c>
      <x:c r="D353" s="10" t="str">
        <x:v>通知消息（公会长视角）</x:v>
      </x:c>
      <x:c r="E353" s="10" t="str">
        <x:v>功能需求</x:v>
      </x:c>
      <x:c r="F353" s="10" t="str">
        <x:v>P2</x:v>
      </x:c>
      <x:c r="G353" s="9" t="str">
        <x:v>验证核对通知摘要对象对应当前业务记录</x:v>
      </x:c>
      <x:c r="H353" s="9" t="str">
        <x:v>通知摘要对象</x:v>
      </x:c>
      <x:c r="I353" s="9" t="str">
        <x:v>1. 执行角色为公会长
2. 已登录目标公会的公会长账号，打开通知消息页并完成下列数据和页面状态准备
3. 用户甲U001申请被驳回，另有乙U002已通过</x:v>
      </x:c>
      <x:c r="J353" s="9" t="str">
        <x:v>1. 查看通知消息页</x:v>
      </x:c>
      <x:c r="K353" s="9" t="str">
        <x:v>甲的驳回通知摘要对应甲U001</x:v>
      </x:c>
      <x:c r="L353" s="10" t="str"/>
      <x:c r="M353" s="10" t="str">
        <x:v>未测</x:v>
      </x:c>
      <x:c r="N353" s="10" t="str"/>
      <x:c r="O353" s="9" t="str">
        <x:v>1. 来源（当前证据）：liveshow-proto/MainBasis/统一需求文档.md；位置：REQ-2148c0172896；行2758
2. 规则：BR-abfb940ac0733733
3. 未动态验证</x:v>
      </x:c>
    </x:row>
    <x:row r="354" ht="100" customHeight="1">
      <x:c r="A354" s="10" t="n">
        <x:v>353</x:v>
      </x:c>
      <x:c r="B354" s="10" t="str">
        <x:v>GUILD-01-0041</x:v>
      </x:c>
      <x:c r="C354" s="10" t="str">
        <x:v>登录与首页</x:v>
      </x:c>
      <x:c r="D354" s="10" t="str">
        <x:v>通知详情（公会长视角）</x:v>
      </x:c>
      <x:c r="E354" s="10" t="str">
        <x:v>功能需求</x:v>
      </x:c>
      <x:c r="F354" s="10" t="str">
        <x:v>P2</x:v>
      </x:c>
      <x:c r="G354" s="9" t="str">
        <x:v>验证核对通知详情标题一致性对应当前业务记录</x:v>
      </x:c>
      <x:c r="H354" s="9" t="str">
        <x:v>通知详情标题一致性</x:v>
      </x:c>
      <x:c r="I354" s="9" t="str">
        <x:v>1. 执行角色为公会长
2. 已登录目标公会的公会长账号，打开通知详情页并完成下列数据和页面状态准备
3. 列表通知N标题为实际生成的入会审核结果，记录该标题</x:v>
      </x:c>
      <x:c r="J354" s="9" t="str">
        <x:v>1. 查看通知详情页</x:v>
      </x:c>
      <x:c r="K354" s="9" t="str">
        <x:v>详情标题与N的列表标题一致</x:v>
      </x:c>
      <x:c r="L354" s="10" t="str"/>
      <x:c r="M354" s="10" t="str">
        <x:v>未测</x:v>
      </x:c>
      <x:c r="N354" s="10" t="str"/>
      <x:c r="O354" s="9" t="str">
        <x:v>1. 来源（当前证据）：liveshow-proto/MainBasis/统一需求文档.md；位置：REQ-78c8d9aa028d；行2777
2. 规则：BR-b7747ea841a0845e
3. 未动态验证</x:v>
      </x:c>
    </x:row>
    <x:row r="355" ht="100" customHeight="1">
      <x:c r="A355" s="10" t="n">
        <x:v>354</x:v>
      </x:c>
      <x:c r="B355" s="10" t="str">
        <x:v>GUILD-03-0106</x:v>
      </x:c>
      <x:c r="C355" s="10" t="str">
        <x:v>运营工具</x:v>
      </x:c>
      <x:c r="D355" s="10" t="str">
        <x:v>运营消息（公会长视角）</x:v>
      </x:c>
      <x:c r="E355" s="10" t="str">
        <x:v>功能需求</x:v>
      </x:c>
      <x:c r="F355" s="10" t="str">
        <x:v>P2</x:v>
      </x:c>
      <x:c r="G355" s="9" t="str">
        <x:v>验证核对指定消息接收人对应当前业务记录</x:v>
      </x:c>
      <x:c r="H355" s="9" t="str">
        <x:v>指定消息接收人</x:v>
      </x:c>
      <x:c r="I355" s="9" t="str">
        <x:v>1. 执行角色为公会长
2. 已登录目标公会的公会长账号，打开运营消息页并完成下列数据和页面状态准备
3. 消息N仅发送给主播甲H001，乙H002未接收</x:v>
      </x:c>
      <x:c r="J355" s="9" t="str">
        <x:v>1. 查看运营消息页</x:v>
      </x:c>
      <x:c r="K355" s="9" t="str">
        <x:v>消息N发送对象显示甲H001</x:v>
      </x:c>
      <x:c r="L355" s="10" t="str"/>
      <x:c r="M355" s="10" t="str">
        <x:v>未测</x:v>
      </x:c>
      <x:c r="N355" s="10" t="str"/>
      <x:c r="O355" s="9" t="str">
        <x:v>1. 来源（当前证据）：liveshow-proto/MainBasis/统一需求文档.md；位置：REQ-c8958e03713f；行3028
2. 规则：BR-dcf53907e44b5a37
3. 未动态验证</x:v>
      </x:c>
    </x:row>
    <x:row r="356" ht="115" customHeight="1">
      <x:c r="A356" s="10" t="n">
        <x:v>355</x:v>
      </x:c>
      <x:c r="B356" s="10" t="str">
        <x:v>GUILD-03-0107</x:v>
      </x:c>
      <x:c r="C356" s="10" t="str">
        <x:v>运营工具</x:v>
      </x:c>
      <x:c r="D356" s="10" t="str">
        <x:v>运营消息（公会长视角）</x:v>
      </x:c>
      <x:c r="E356" s="10" t="str">
        <x:v>功能需求</x:v>
      </x:c>
      <x:c r="F356" s="10" t="str">
        <x:v>P2</x:v>
      </x:c>
      <x:c r="G356" s="9" t="str">
        <x:v>验证核对消息列表发送时点对应当前业务记录</x:v>
      </x:c>
      <x:c r="H356" s="9" t="str">
        <x:v>消息列表发送时点</x:v>
      </x:c>
      <x:c r="I356" s="9" t="str">
        <x:v>1. 执行角色为公会长
2. 已登录目标公会的公会长账号，打开运营消息页并完成下列数据和页面状态准备
3. 消息N于9月15日10:00发送，9月16日查看；选择包含该时间的日期范围</x:v>
      </x:c>
      <x:c r="J356" s="9" t="str">
        <x:v>1. 查看运营消息页</x:v>
      </x:c>
      <x:c r="K356" s="9" t="str">
        <x:v>消息N发送时间对应9月15日10:00</x:v>
      </x:c>
      <x:c r="L356" s="10" t="str"/>
      <x:c r="M356" s="10" t="str">
        <x:v>未测</x:v>
      </x:c>
      <x:c r="N356" s="10" t="str"/>
      <x:c r="O356" s="9" t="str">
        <x:v>1. 来源（当前证据）：liveshow-proto/MainBasis/统一需求文档.md；位置：REQ-2263ce51fcbc；行3030
2. 规则：BR-91bc06fedfe79d79
3. 未动态验证</x:v>
      </x:c>
    </x:row>
    <x:row r="357" ht="100" customHeight="1">
      <x:c r="A357" s="10" t="n">
        <x:v>356</x:v>
      </x:c>
      <x:c r="B357" s="10" t="str">
        <x:v>GUILD-03-0108</x:v>
      </x:c>
      <x:c r="C357" s="10" t="str">
        <x:v>运营工具</x:v>
      </x:c>
      <x:c r="D357" s="10" t="str">
        <x:v>选择主播（公会长视角）</x:v>
      </x:c>
      <x:c r="E357" s="10" t="str">
        <x:v>功能需求</x:v>
      </x:c>
      <x:c r="F357" s="10" t="str">
        <x:v>P2</x:v>
      </x:c>
      <x:c r="G357" s="9" t="str">
        <x:v>验证核对单选搜索结果人数对应当前业务记录</x:v>
      </x:c>
      <x:c r="H357" s="9" t="str">
        <x:v>单选搜索结果人数</x:v>
      </x:c>
      <x:c r="I357" s="9" t="str">
        <x:v>1. 执行角色为公会长
2. 已登录目标公会的公会长账号，打开选择主播页并完成下列数据和页面状态准备
3. 当前公会2名主播昵称含QA，另有1名不含QA；当前搜索QA</x:v>
      </x:c>
      <x:c r="J357" s="9" t="str">
        <x:v>1. 查看选择主播页</x:v>
      </x:c>
      <x:c r="K357" s="9" t="str">
        <x:v>结果人数显示2</x:v>
      </x:c>
      <x:c r="L357" s="10" t="str"/>
      <x:c r="M357" s="10" t="str">
        <x:v>未测</x:v>
      </x:c>
      <x:c r="N357" s="10" t="str"/>
      <x:c r="O357" s="9" t="str">
        <x:v>1. 来源（当前证据）：liveshow-proto/MainBasis/统一需求文档.md；位置：REQ-df4b3542a7c2；行3058
2. 规则：BR-5a5e943ab96f8c6f
3. 未动态验证</x:v>
      </x:c>
    </x:row>
    <x:row r="358" ht="100" customHeight="1">
      <x:c r="A358" s="10" t="n">
        <x:v>357</x:v>
      </x:c>
      <x:c r="B358" s="10" t="str">
        <x:v>GUILD-03-0109</x:v>
      </x:c>
      <x:c r="C358" s="10" t="str">
        <x:v>运营工具</x:v>
      </x:c>
      <x:c r="D358" s="10" t="str">
        <x:v>选择主播（公会长视角）</x:v>
      </x:c>
      <x:c r="E358" s="10" t="str">
        <x:v>功能需求</x:v>
      </x:c>
      <x:c r="F358" s="10" t="str">
        <x:v>P2</x:v>
      </x:c>
      <x:c r="G358" s="9" t="str">
        <x:v>验证核对单选主播账号身份对应当前业务记录</x:v>
      </x:c>
      <x:c r="H358" s="9" t="str">
        <x:v>单选主播账号身份</x:v>
      </x:c>
      <x:c r="I358" s="9" t="str">
        <x:v>1. 执行角色为公会长
2. 已登录目标公会的公会长账号，打开选择主播页并完成下列数据和页面状态准备
3. 当前公会主播甲H001昵称QA甲、头像图片A</x:v>
      </x:c>
      <x:c r="J358" s="9" t="str">
        <x:v>1. 查看选择主播页</x:v>
      </x:c>
      <x:c r="K358" s="9" t="str">
        <x:v>甲的选项显示QA甲（头像图片A）</x:v>
      </x:c>
      <x:c r="L358" s="10" t="str"/>
      <x:c r="M358" s="10" t="str">
        <x:v>未测</x:v>
      </x:c>
      <x:c r="N358" s="10" t="str"/>
      <x:c r="O358" s="9" t="str">
        <x:v>1. 来源（当前证据）：liveshow-proto/MainBasis/统一需求文档.md；位置：REQ-97cd72373bf2；行3060
2. 规则：BR-6aca4fe45ada760c
3. 未动态验证</x:v>
      </x:c>
    </x:row>
    <x:row r="359" ht="100" customHeight="1">
      <x:c r="A359" s="10" t="n">
        <x:v>358</x:v>
      </x:c>
      <x:c r="B359" s="10" t="str">
        <x:v>GUILD-03-0110</x:v>
      </x:c>
      <x:c r="C359" s="10" t="str">
        <x:v>运营工具</x:v>
      </x:c>
      <x:c r="D359" s="10" t="str">
        <x:v>选择主播（公会长视角）</x:v>
      </x:c>
      <x:c r="E359" s="10" t="str">
        <x:v>功能需求</x:v>
      </x:c>
      <x:c r="F359" s="10" t="str">
        <x:v>P2</x:v>
      </x:c>
      <x:c r="G359" s="9" t="str">
        <x:v>验证核对单选主播唯一标识对应当前业务记录</x:v>
      </x:c>
      <x:c r="H359" s="9" t="str">
        <x:v>单选主播唯一标识</x:v>
      </x:c>
      <x:c r="I359" s="9" t="str">
        <x:v>1. 执行角色为公会长
2. 已登录目标公会的公会长账号，打开选择主播页并完成下列数据和页面状态准备
3. 当前公会主播甲IDH001，昵称与另一主播相同</x:v>
      </x:c>
      <x:c r="J359" s="9" t="str">
        <x:v>1. 查看选择主播页</x:v>
      </x:c>
      <x:c r="K359" s="9" t="str">
        <x:v>甲的选项显示H001</x:v>
      </x:c>
      <x:c r="L359" s="10" t="str"/>
      <x:c r="M359" s="10" t="str">
        <x:v>未测</x:v>
      </x:c>
      <x:c r="N359" s="10" t="str"/>
      <x:c r="O359" s="9" t="str">
        <x:v>1. 来源（当前证据）：liveshow-proto/MainBasis/统一需求文档.md；位置：REQ-dc31b1a4e9a0；行3062
2. 规则：BR-aaadafa4db56c83f
3. 未动态验证</x:v>
      </x:c>
    </x:row>
    <x:row r="360" ht="115" customHeight="1">
      <x:c r="A360" s="10" t="n">
        <x:v>359</x:v>
      </x:c>
      <x:c r="B360" s="10" t="str">
        <x:v>GUILD-04-0025</x:v>
      </x:c>
      <x:c r="C360" s="10" t="str">
        <x:v>公会管理</x:v>
      </x:c>
      <x:c r="D360" s="10" t="str">
        <x:v>账号设置（公会长视角）</x:v>
      </x:c>
      <x:c r="E360" s="10" t="str">
        <x:v>功能需求</x:v>
      </x:c>
      <x:c r="F360" s="10" t="str">
        <x:v>P2</x:v>
      </x:c>
      <x:c r="G360" s="9" t="str">
        <x:v>验证核对设置页公会长资料对应当前业务记录</x:v>
      </x:c>
      <x:c r="H360" s="9" t="str">
        <x:v>设置页公会长资料</x:v>
      </x:c>
      <x:c r="I360" s="9" t="str">
        <x:v>1. 执行角色为公会长
2. 已登录目标公会的公会长账号，打开账号设置页并完成下列数据和页面状态准备
3. 公会长名称ChiefA、头像图片A；公会名称GuildA、Logo图片B</x:v>
      </x:c>
      <x:c r="J360" s="9" t="str">
        <x:v>1. 查看账号设置页</x:v>
      </x:c>
      <x:c r="K360" s="9" t="str">
        <x:v>账号资料显示ChiefA（头像图片A）</x:v>
      </x:c>
      <x:c r="L360" s="10" t="str"/>
      <x:c r="M360" s="10" t="str">
        <x:v>未测</x:v>
      </x:c>
      <x:c r="N360" s="10" t="str"/>
      <x:c r="O360" s="9" t="str">
        <x:v>1. 来源（当前证据）：liveshow-proto/MainBasis/统一需求文档.md；位置：REQ-24f58a645007；行3233
2. 规则：BR-00624800d16adab2
3. 未动态验证</x:v>
      </x:c>
    </x:row>
    <x:row r="361" ht="100" customHeight="1">
      <x:c r="A361" s="10" t="n">
        <x:v>360</x:v>
      </x:c>
      <x:c r="B361" s="10" t="str">
        <x:v>GUILD-05-0080</x:v>
      </x:c>
      <x:c r="C361" s="10" t="str">
        <x:v>数据与收益</x:v>
      </x:c>
      <x:c r="D361" s="10" t="str">
        <x:v>直播记录（公会长视角）</x:v>
      </x:c>
      <x:c r="E361" s="10" t="str">
        <x:v>功能需求</x:v>
      </x:c>
      <x:c r="F361" s="10" t="str">
        <x:v>P2</x:v>
      </x:c>
      <x:c r="G361" s="9" t="str">
        <x:v>验证核对场次标题快照对应当前业务记录</x:v>
      </x:c>
      <x:c r="H361" s="9" t="str">
        <x:v>场次标题快照</x:v>
      </x:c>
      <x:c r="I361" s="9" t="str">
        <x:v>1. 执行角色为公会长
2. 已登录目标公会的公会长账号，打开直播记录页并完成下列数据和页面状态准备
3. 场次S1标题QA首场，S2标题QA次场；日期范围包含两场</x:v>
      </x:c>
      <x:c r="J361" s="9" t="str">
        <x:v>1. 查看直播记录页</x:v>
      </x:c>
      <x:c r="K361" s="9" t="str">
        <x:v>S1显示主题QA首场</x:v>
      </x:c>
      <x:c r="L361" s="10" t="str"/>
      <x:c r="M361" s="10" t="str">
        <x:v>未测</x:v>
      </x:c>
      <x:c r="N361" s="10" t="str"/>
      <x:c r="O361" s="9" t="str">
        <x:v>1. 来源（当前证据）：liveshow-proto/MainBasis/统一需求文档.md；位置：REQ-e3767edd9c7b；行3267
2. 规则：BR-00d51f9133fe3b83
3. 未动态验证</x:v>
      </x:c>
    </x:row>
    <x:row r="362" ht="100" customHeight="1">
      <x:c r="A362" s="10" t="n">
        <x:v>361</x:v>
      </x:c>
      <x:c r="B362" s="10" t="str">
        <x:v>GUILD-05-0081</x:v>
      </x:c>
      <x:c r="C362" s="10" t="str">
        <x:v>数据与收益</x:v>
      </x:c>
      <x:c r="D362" s="10" t="str">
        <x:v>直播场次详情（公会长视角）</x:v>
      </x:c>
      <x:c r="E362" s="10" t="str">
        <x:v>功能需求</x:v>
      </x:c>
      <x:c r="F362" s="10" t="str">
        <x:v>P2</x:v>
      </x:c>
      <x:c r="G362" s="9" t="str">
        <x:v>验证核对场次所属主播对应当前业务记录</x:v>
      </x:c>
      <x:c r="H362" s="9" t="str">
        <x:v>场次所属主播</x:v>
      </x:c>
      <x:c r="I362" s="9" t="str">
        <x:v>1. 执行角色为公会长
2. 已登录目标公会的公会长账号，打开直播场次详情页并完成下列数据和页面状态准备
3. 场次S1由主播甲H001创建，乙H002未参与</x:v>
      </x:c>
      <x:c r="J362" s="9" t="str">
        <x:v>1. 查看直播场次详情页</x:v>
      </x:c>
      <x:c r="K362" s="9" t="str">
        <x:v>所属主播显示甲H001</x:v>
      </x:c>
      <x:c r="L362" s="10" t="str"/>
      <x:c r="M362" s="10" t="str">
        <x:v>未测</x:v>
      </x:c>
      <x:c r="N362" s="10" t="str"/>
      <x:c r="O362" s="9" t="str">
        <x:v>1. 来源（当前证据）：liveshow-proto/MainBasis/统一需求文档.md；位置：REQ-d7b1689b308d；行3300
2. 规则：BR-bf578d32f23d3104
3. 未动态验证</x:v>
      </x:c>
    </x:row>
    <x:row r="363" ht="85" customHeight="1">
      <x:c r="A363" s="10" t="n">
        <x:v>362</x:v>
      </x:c>
      <x:c r="B363" s="10" t="str">
        <x:v>GUILD-05-0082</x:v>
      </x:c>
      <x:c r="C363" s="10" t="str">
        <x:v>数据与收益</x:v>
      </x:c>
      <x:c r="D363" s="10" t="str">
        <x:v>直播场次详情（公会长视角）</x:v>
      </x:c>
      <x:c r="E363" s="10" t="str">
        <x:v>功能需求</x:v>
      </x:c>
      <x:c r="F363" s="10" t="str">
        <x:v>P2</x:v>
      </x:c>
      <x:c r="G363" s="9" t="str">
        <x:v>验证核对场次详情累计时长对应当前业务记录</x:v>
      </x:c>
      <x:c r="H363" s="9" t="str">
        <x:v>场次详情累计时长</x:v>
      </x:c>
      <x:c r="I363" s="9" t="str">
        <x:v>1. 执行角色为公会长
2. 已登录目标公会的公会长账号，打开直播场次详情页并完成下列数据和页面状态准备
3. 已结束场次S1累计90分钟</x:v>
      </x:c>
      <x:c r="J363" s="9" t="str">
        <x:v>1. 查看直播场次详情页</x:v>
      </x:c>
      <x:c r="K363" s="9" t="str">
        <x:v>直播时长显示1小时30分钟</x:v>
      </x:c>
      <x:c r="L363" s="10" t="str"/>
      <x:c r="M363" s="10" t="str">
        <x:v>未测</x:v>
      </x:c>
      <x:c r="N363" s="10" t="str"/>
      <x:c r="O363" s="9" t="str">
        <x:v>1. 来源（当前证据）：liveshow-proto/MainBasis/统一需求文档.md；位置：REQ-3a4675da5911；行3304
2. 规则：BR-2936ff7a6ad0d7cf
3. 未动态验证</x:v>
      </x:c>
    </x:row>
    <x:row r="364" ht="100" customHeight="1">
      <x:c r="A364" s="10" t="n">
        <x:v>363</x:v>
      </x:c>
      <x:c r="B364" s="10" t="str">
        <x:v>GUILD-05-0083</x:v>
      </x:c>
      <x:c r="C364" s="10" t="str">
        <x:v>数据与收益</x:v>
      </x:c>
      <x:c r="D364" s="10" t="str">
        <x:v>违规记录（公会长视角）</x:v>
      </x:c>
      <x:c r="E364" s="10" t="str">
        <x:v>功能需求</x:v>
      </x:c>
      <x:c r="F364" s="10" t="str">
        <x:v>P2</x:v>
      </x:c>
      <x:c r="G364" s="9" t="str">
        <x:v>验证核对违规记录类型配置对应当前业务记录</x:v>
      </x:c>
      <x:c r="H364" s="9" t="str">
        <x:v>违规记录类型配置</x:v>
      </x:c>
      <x:c r="I364" s="9" t="str">
        <x:v>1. 执行角色为公会长
2. 已登录目标公会的公会长账号，打开违规记录页并完成下列数据和页面状态准备
3. 平台已配置违规类型QA类型，记录N使用该类型</x:v>
      </x:c>
      <x:c r="J364" s="9" t="str">
        <x:v>1. 查看违规记录页</x:v>
      </x:c>
      <x:c r="K364" s="9" t="str">
        <x:v>记录N违规类型显示QA类型</x:v>
      </x:c>
      <x:c r="L364" s="10" t="str"/>
      <x:c r="M364" s="10" t="str">
        <x:v>未测</x:v>
      </x:c>
      <x:c r="N364" s="10" t="str"/>
      <x:c r="O364" s="9" t="str">
        <x:v>1. 来源（当前证据）：liveshow-proto/MainBasis/统一需求文档.md；位置：REQ-b6b51e83e296；行3349
2. 规则：BR-e460472f23a0a059
3. 未动态验证</x:v>
      </x:c>
    </x:row>
    <x:row r="365" ht="100" customHeight="1">
      <x:c r="A365" s="10" t="n">
        <x:v>364</x:v>
      </x:c>
      <x:c r="B365" s="10" t="str">
        <x:v>GUILD-05-0084</x:v>
      </x:c>
      <x:c r="C365" s="10" t="str">
        <x:v>数据与收益</x:v>
      </x:c>
      <x:c r="D365" s="10" t="str">
        <x:v>主播分成记录（公会长视角）</x:v>
      </x:c>
      <x:c r="E365" s="10" t="str">
        <x:v>功能需求</x:v>
      </x:c>
      <x:c r="F365" s="10" t="str">
        <x:v>P2</x:v>
      </x:c>
      <x:c r="G365" s="9" t="str">
        <x:v>验证核对分成记录归属主播对应当前业务记录</x:v>
      </x:c>
      <x:c r="H365" s="9" t="str">
        <x:v>分成记录归属主播</x:v>
      </x:c>
      <x:c r="I365" s="9" t="str">
        <x:v>1. 执行角色为公会长
2. 已登录目标公会的公会长账号，打开主播分成记录页并完成下列数据和页面状态准备
3. 财务结果N属于主播甲H001，另有乙H002的结果；日期覆盖N</x:v>
      </x:c>
      <x:c r="J365" s="9" t="str">
        <x:v>1. 查看主播分成记录页</x:v>
      </x:c>
      <x:c r="K365" s="9" t="str">
        <x:v>结果N显示主播甲H001</x:v>
      </x:c>
      <x:c r="L365" s="10" t="str"/>
      <x:c r="M365" s="10" t="str">
        <x:v>未测</x:v>
      </x:c>
      <x:c r="N365" s="10" t="str"/>
      <x:c r="O365" s="9" t="str">
        <x:v>1. 来源（当前证据）：liveshow-proto/MainBasis/统一需求文档.md；位置：REQ-55421b93ab90；行3440
2. 规则：BR-2e1c38069a35a384
3. 未动态验证</x:v>
      </x:c>
    </x:row>
    <x:row r="366" ht="100" customHeight="1">
      <x:c r="A366" s="10" t="n">
        <x:v>365</x:v>
      </x:c>
      <x:c r="B366" s="10" t="str">
        <x:v>GUILD-05-0085</x:v>
      </x:c>
      <x:c r="C366" s="10" t="str">
        <x:v>数据与收益</x:v>
      </x:c>
      <x:c r="D366" s="10" t="str">
        <x:v>主播分成记录（公会长视角）</x:v>
      </x:c>
      <x:c r="E366" s="10" t="str">
        <x:v>功能需求</x:v>
      </x:c>
      <x:c r="F366" s="10" t="str">
        <x:v>P2</x:v>
      </x:c>
      <x:c r="G366" s="9" t="str">
        <x:v>验证核对主播分成入账时点对应当前业务记录</x:v>
      </x:c>
      <x:c r="H366" s="9" t="str">
        <x:v>主播分成入账时点</x:v>
      </x:c>
      <x:c r="I366" s="9" t="str">
        <x:v>1. 执行角色为公会长
2. 已登录目标公会的公会长账号，打开主播分成记录页并完成下列数据和页面状态准备
3. 结果N收益所属期8月，9月15日10:00入账；查看9月</x:v>
      </x:c>
      <x:c r="J366" s="9" t="str">
        <x:v>1. 查看主播分成记录页</x:v>
      </x:c>
      <x:c r="K366" s="9" t="str">
        <x:v>分成时间对应9月15日10:00</x:v>
      </x:c>
      <x:c r="L366" s="10" t="str"/>
      <x:c r="M366" s="10" t="str">
        <x:v>未测</x:v>
      </x:c>
      <x:c r="N366" s="10" t="str"/>
      <x:c r="O366" s="9" t="str">
        <x:v>1. 来源（当前证据）：liveshow-proto/MainBasis/统一需求文档.md；位置：REQ-91564db9a916；行3442
2. 规则：BR-7d916a0ce23b8884
3. 未动态验证</x:v>
      </x:c>
    </x:row>
    <x:row r="367" ht="100" customHeight="1">
      <x:c r="A367" s="10" t="n">
        <x:v>366</x:v>
      </x:c>
      <x:c r="B367" s="10" t="str">
        <x:v>GUILD-05-0086</x:v>
      </x:c>
      <x:c r="C367" s="10" t="str">
        <x:v>数据与收益</x:v>
      </x:c>
      <x:c r="D367" s="10" t="str">
        <x:v>公会分成记录（公会长视角）</x:v>
      </x:c>
      <x:c r="E367" s="10" t="str">
        <x:v>功能需求</x:v>
      </x:c>
      <x:c r="F367" s="10" t="str">
        <x:v>P2</x:v>
      </x:c>
      <x:c r="G367" s="9" t="str">
        <x:v>验证核对公会分成入账时点对应当前业务记录</x:v>
      </x:c>
      <x:c r="H367" s="9" t="str">
        <x:v>公会分成入账时点</x:v>
      </x:c>
      <x:c r="I367" s="9" t="str">
        <x:v>1. 执行角色为公会长
2. 已登录目标公会的公会长账号，打开公会分成记录页并完成下列数据和页面状态准备
3. 结果N收益所属期8月，9月15日10:00入账</x:v>
      </x:c>
      <x:c r="J367" s="9" t="str">
        <x:v>1. 查看公会分成记录页</x:v>
      </x:c>
      <x:c r="K367" s="9" t="str">
        <x:v>分成时间对应9月15日10:00</x:v>
      </x:c>
      <x:c r="L367" s="10" t="str"/>
      <x:c r="M367" s="10" t="str">
        <x:v>未测</x:v>
      </x:c>
      <x:c r="N367" s="10" t="str"/>
      <x:c r="O367" s="9" t="str">
        <x:v>1. 来源（当前证据）：liveshow-proto/MainBasis/统一需求文档.md；位置：REQ-38b9fe91cceb；行3453
2. 规则：BR-c8ee82facd0be048
3. 未动态验证</x:v>
      </x:c>
    </x:row>
    <x:row r="368" ht="100" customHeight="1">
      <x:c r="A368" s="10" t="n">
        <x:v>367</x:v>
      </x:c>
      <x:c r="B368" s="10" t="str">
        <x:v>GUILD-02-0105</x:v>
      </x:c>
      <x:c r="C368" s="10" t="str">
        <x:v>主播管理</x:v>
      </x:c>
      <x:c r="D368" s="10" t="str">
        <x:v>主播主页（公会长视角）</x:v>
      </x:c>
      <x:c r="E368" s="10" t="str">
        <x:v>功能需求</x:v>
      </x:c>
      <x:c r="F368" s="10" t="str">
        <x:v>P2</x:v>
      </x:c>
      <x:c r="G368" s="9" t="str">
        <x:v>验证核对主播认证联系电话对应当前业务记录</x:v>
      </x:c>
      <x:c r="H368" s="9" t="str">
        <x:v>主播认证联系电话</x:v>
      </x:c>
      <x:c r="I368" s="9" t="str">
        <x:v>1. 执行角色为公会长
2. 已登录目标公会的公会长账号，打开主播主页页并完成下列数据和页面状态准备
3. 主播认证电话+628123456789，公会长电话+628987654321</x:v>
      </x:c>
      <x:c r="J368" s="9" t="str">
        <x:v>1. 查看主播主页</x:v>
      </x:c>
      <x:c r="K368" s="9" t="str">
        <x:v>联系电话显示+628123456789</x:v>
      </x:c>
      <x:c r="L368" s="10" t="str"/>
      <x:c r="M368" s="10" t="str">
        <x:v>未测</x:v>
      </x:c>
      <x:c r="N368" s="10" t="str"/>
      <x:c r="O368" s="9" t="str">
        <x:v>1. 来源（当前证据）：liveshow-proto/MainBasis/统一需求文档.md；位置：REQ-e351e91ed44f；行2979
2. 规则：BR-835d89154f604398
3. 未动态验证</x:v>
      </x:c>
    </x:row>
    <x:row r="369" ht="100" customHeight="1">
      <x:c r="A369" s="10" t="n">
        <x:v>368</x:v>
      </x:c>
      <x:c r="B369" s="10" t="str">
        <x:v>GUILD-02-0106</x:v>
      </x:c>
      <x:c r="C369" s="10" t="str">
        <x:v>主播管理</x:v>
      </x:c>
      <x:c r="D369" s="10" t="str">
        <x:v>主播主页（公会长视角）</x:v>
      </x:c>
      <x:c r="E369" s="10" t="str">
        <x:v>功能需求</x:v>
      </x:c>
      <x:c r="F369" s="10" t="str">
        <x:v>P2</x:v>
      </x:c>
      <x:c r="G369" s="9" t="str">
        <x:v>验证核对平台锁定提示对应当前业务记录</x:v>
      </x:c>
      <x:c r="H369" s="9" t="str">
        <x:v>平台锁定提示</x:v>
      </x:c>
      <x:c r="I369" s="9" t="str">
        <x:v>1. 执行角色为公会长
2. 已登录目标公会的公会长账号，打开主播主页页并完成下列数据和页面状态准备
3. 平台已锁定公会对主播甲的直播权限管理</x:v>
      </x:c>
      <x:c r="J369" s="9" t="str">
        <x:v>1. 查看主播主页</x:v>
      </x:c>
      <x:c r="K369" s="9" t="str">
        <x:v>显示权限已锁定提示</x:v>
      </x:c>
      <x:c r="L369" s="10" t="str"/>
      <x:c r="M369" s="10" t="str">
        <x:v>未测</x:v>
      </x:c>
      <x:c r="N369" s="10" t="str"/>
      <x:c r="O369" s="9" t="str">
        <x:v>1. 来源（当前证据）：liveshow-proto/MainBasis/统一需求文档.md；位置：REQ-2bdde8e39011；行2985
2. 规则：BR-1fed94ad002ae3f6
3. 未动态验证</x:v>
      </x:c>
    </x:row>
    <x:row r="370" ht="100" customHeight="1">
      <x:c r="A370" s="10" t="n">
        <x:v>369</x:v>
      </x:c>
      <x:c r="B370" s="10" t="str">
        <x:v>GUILD-02-0107</x:v>
      </x:c>
      <x:c r="C370" s="10" t="str">
        <x:v>主播管理</x:v>
      </x:c>
      <x:c r="D370" s="10" t="str">
        <x:v>主播主页（公会长视角）</x:v>
      </x:c>
      <x:c r="E370" s="10" t="str">
        <x:v>功能需求</x:v>
      </x:c>
      <x:c r="F370" s="10" t="str">
        <x:v>P2</x:v>
      </x:c>
      <x:c r="G370" s="9" t="str">
        <x:v>验证核对主播历史申请结果对应当前业务记录</x:v>
      </x:c>
      <x:c r="H370" s="9" t="str">
        <x:v>主播历史申请结果</x:v>
      </x:c>
      <x:c r="I370" s="9" t="str">
        <x:v>1. 执行角色为公会长
2. 已登录目标公会的公会长账号，打开主播主页页并完成下列数据和页面状态准备
3. 主播甲有已通过入会申请A及已驳回退会申请B</x:v>
      </x:c>
      <x:c r="J370" s="9" t="str">
        <x:v>1. 查看主播主页</x:v>
      </x:c>
      <x:c r="K370" s="9" t="str">
        <x:v>申请B显示退出申请及已驳回</x:v>
      </x:c>
      <x:c r="L370" s="10" t="str"/>
      <x:c r="M370" s="10" t="str">
        <x:v>未测</x:v>
      </x:c>
      <x:c r="N370" s="10" t="str"/>
      <x:c r="O370" s="9" t="str">
        <x:v>1. 来源（当前证据）：liveshow-proto/MainBasis/统一需求文档.md；位置：REQ-a4148668b89f；行2989
2. 规则：BR-bef6d03162714bdc
3. 未动态验证</x:v>
      </x:c>
    </x:row>
    <x:row r="371" ht="100" customHeight="1">
      <x:c r="A371" s="10" t="n">
        <x:v>370</x:v>
      </x:c>
      <x:c r="B371" s="10" t="str">
        <x:v>GUILD-02-0108</x:v>
      </x:c>
      <x:c r="C371" s="10" t="str">
        <x:v>主播管理</x:v>
      </x:c>
      <x:c r="D371" s="10" t="str">
        <x:v>主播主页（公会长视角）</x:v>
      </x:c>
      <x:c r="E371" s="10" t="str">
        <x:v>功能需求</x:v>
      </x:c>
      <x:c r="F371" s="10" t="str">
        <x:v>P2</x:v>
      </x:c>
      <x:c r="G371" s="9" t="str">
        <x:v>验证核对主播历史审核节点对应当前业务记录</x:v>
      </x:c>
      <x:c r="H371" s="9" t="str">
        <x:v>主播历史审核节点</x:v>
      </x:c>
      <x:c r="I371" s="9" t="str">
        <x:v>1. 执行角色为公会长
2. 已登录目标公会的公会长账号，打开主播主页页并完成下列数据和页面状态准备
3. 入会申请A公会9月14日10:00通过、平台9月15日11:00通过</x:v>
      </x:c>
      <x:c r="J371" s="9" t="str">
        <x:v>1. 查看主播主页</x:v>
      </x:c>
      <x:c r="K371" s="9" t="str">
        <x:v>申请A平台节点显示通过及9月15日11:00</x:v>
      </x:c>
      <x:c r="L371" s="10" t="str"/>
      <x:c r="M371" s="10" t="str">
        <x:v>未测</x:v>
      </x:c>
      <x:c r="N371" s="10" t="str"/>
      <x:c r="O371" s="9" t="str">
        <x:v>1. 来源（当前证据）：liveshow-proto/MainBasis/统一需求文档.md；位置：REQ-5bf9d823291d；行2993
2. 规则：BR-f80ce4fe4e41ec7e
3. 未动态验证</x:v>
      </x:c>
    </x:row>
    <x:row r="372" ht="100" customHeight="1">
      <x:c r="A372" s="10" t="n">
        <x:v>371</x:v>
      </x:c>
      <x:c r="B372" s="10" t="str">
        <x:v>GUILD-02-0109</x:v>
      </x:c>
      <x:c r="C372" s="10" t="str">
        <x:v>主播管理</x:v>
      </x:c>
      <x:c r="D372" s="10" t="str">
        <x:v>主播主页（公会长视角）</x:v>
      </x:c>
      <x:c r="E372" s="10" t="str">
        <x:v>功能需求</x:v>
      </x:c>
      <x:c r="F372" s="10" t="str">
        <x:v>P2</x:v>
      </x:c>
      <x:c r="G372" s="9" t="str">
        <x:v>验证核对主播历史退会原因对应当前业务记录</x:v>
      </x:c>
      <x:c r="H372" s="9" t="str">
        <x:v>主播历史退会原因</x:v>
      </x:c>
      <x:c r="I372" s="9" t="str">
        <x:v>1. 执行角色为公会长
2. 已登录目标公会的公会长账号，打开主播主页页并完成下列数据和页面状态准备
3. 退会申请B原因个人安排、驳回原因资料需补充</x:v>
      </x:c>
      <x:c r="J372" s="9" t="str">
        <x:v>1. 查看主播主页</x:v>
      </x:c>
      <x:c r="K372" s="9" t="str">
        <x:v>申请B申请原因显示个人安排</x:v>
      </x:c>
      <x:c r="L372" s="10" t="str"/>
      <x:c r="M372" s="10" t="str">
        <x:v>未测</x:v>
      </x:c>
      <x:c r="N372" s="10" t="str"/>
      <x:c r="O372" s="9" t="str">
        <x:v>1. 来源（当前证据）：liveshow-proto/MainBasis/统一需求文档.md；位置：REQ-ccb9a3faf7eb；行2995
2. 规则：BR-33a11386e8321dde
3. 未动态验证</x:v>
      </x:c>
    </x:row>
    <x:row r="373" ht="100" customHeight="1">
      <x:c r="A373" s="10" t="n">
        <x:v>372</x:v>
      </x:c>
      <x:c r="B373" s="10" t="str">
        <x:v>GUILD-02-0110</x:v>
      </x:c>
      <x:c r="C373" s="10" t="str">
        <x:v>主播管理</x:v>
      </x:c>
      <x:c r="D373" s="10" t="str">
        <x:v>主播主页（公会长视角）</x:v>
      </x:c>
      <x:c r="E373" s="10" t="str">
        <x:v>功能需求</x:v>
      </x:c>
      <x:c r="F373" s="10" t="str">
        <x:v>P2</x:v>
      </x:c>
      <x:c r="G373" s="9" t="str">
        <x:v>验证核对主播历史驳回原因对应当前业务记录</x:v>
      </x:c>
      <x:c r="H373" s="9" t="str">
        <x:v>主播历史驳回原因</x:v>
      </x:c>
      <x:c r="I373" s="9" t="str">
        <x:v>1. 执行角色为公会长
2. 已登录目标公会的公会长账号，打开主播主页页并完成下列数据和页面状态准备
3. 退会申请B原因个人安排、驳回原因资料需补充</x:v>
      </x:c>
      <x:c r="J373" s="9" t="str">
        <x:v>1. 查看主播主页</x:v>
      </x:c>
      <x:c r="K373" s="9" t="str">
        <x:v>申请B驳回原因显示资料需补充</x:v>
      </x:c>
      <x:c r="L373" s="10" t="str"/>
      <x:c r="M373" s="10" t="str">
        <x:v>未测</x:v>
      </x:c>
      <x:c r="N373" s="10" t="str"/>
      <x:c r="O373" s="9" t="str">
        <x:v>1. 来源（当前证据）：liveshow-proto/MainBasis/统一需求文档.md；位置：REQ-ccb9a3faf7eb；行2995
2. 规则：BR-e6e1f7736509a4ca
3. 未动态验证</x:v>
      </x:c>
    </x:row>
    <x:row r="374" ht="85" customHeight="1">
      <x:c r="A374" s="10" t="n">
        <x:v>373</x:v>
      </x:c>
      <x:c r="B374" s="10" t="str">
        <x:v>GUILD-01-0042</x:v>
      </x:c>
      <x:c r="C374" s="10" t="str">
        <x:v>登录与首页</x:v>
      </x:c>
      <x:c r="D374" s="10" t="str">
        <x:v>通知消息（公会长视角）</x:v>
      </x:c>
      <x:c r="E374" s="10" t="str">
        <x:v>功能需求</x:v>
      </x:c>
      <x:c r="F374" s="10" t="str">
        <x:v>P2</x:v>
      </x:c>
      <x:c r="G374" s="9" t="str">
        <x:v>验证公会通知未读标记</x:v>
      </x:c>
      <x:c r="H374" s="9" t="str">
        <x:v>通知已读状态</x:v>
      </x:c>
      <x:c r="I374" s="9" t="str">
        <x:v>1. 执行角色为公会长
2. 已登录目标公会的公会长账号，打开通知消息页并完成下列数据和页面状态准备
3. 当前公会通知N从未读取</x:v>
      </x:c>
      <x:c r="J374" s="9" t="str">
        <x:v>1. 查看通知消息页</x:v>
      </x:c>
      <x:c r="K374" s="9" t="str">
        <x:v>通知N显示未读圆点</x:v>
      </x:c>
      <x:c r="L374" s="10" t="str"/>
      <x:c r="M374" s="10" t="str">
        <x:v>未测</x:v>
      </x:c>
      <x:c r="N374" s="10" t="str"/>
      <x:c r="O374" s="9" t="str">
        <x:v>1. 来源（当前证据）：liveshow-proto/MainBasis/统一需求文档.md；位置：REQ-ec9c6cf09271；行2762
2. 规则：BR-6c452213b155b9d1
3. 未动态验证</x:v>
      </x:c>
    </x:row>
    <x:row r="375" ht="85" customHeight="1">
      <x:c r="A375" s="10" t="n">
        <x:v>374</x:v>
      </x:c>
      <x:c r="B375" s="10" t="str">
        <x:v>GUILD-01-0043</x:v>
      </x:c>
      <x:c r="C375" s="10" t="str">
        <x:v>登录与首页</x:v>
      </x:c>
      <x:c r="D375" s="10" t="str">
        <x:v>通知消息（公会长视角）</x:v>
      </x:c>
      <x:c r="E375" s="10" t="str">
        <x:v>功能需求</x:v>
      </x:c>
      <x:c r="F375" s="10" t="str">
        <x:v>P2</x:v>
      </x:c>
      <x:c r="G375" s="9" t="str">
        <x:v>验证公会通知已读标记</x:v>
      </x:c>
      <x:c r="H375" s="9" t="str">
        <x:v>通知已读状态</x:v>
      </x:c>
      <x:c r="I375" s="9" t="str">
        <x:v>1. 执行角色为公会长
2. 已登录目标公会的公会长账号，打开通知消息页并完成下列数据和页面状态准备
3. 当前公会通知N已读取</x:v>
      </x:c>
      <x:c r="J375" s="9" t="str">
        <x:v>1. 查看通知消息页</x:v>
      </x:c>
      <x:c r="K375" s="9" t="str">
        <x:v>通知N不显示未读圆点</x:v>
      </x:c>
      <x:c r="L375" s="10" t="str"/>
      <x:c r="M375" s="10" t="str">
        <x:v>未测</x:v>
      </x:c>
      <x:c r="N375" s="10" t="str"/>
      <x:c r="O375" s="9" t="str">
        <x:v>1. 来源（当前证据）：liveshow-proto/MainBasis/统一需求文档.md；位置：REQ-ec9c6cf09271；行2762
2. 规则：BR-b9a15a18437e1b60
3. 未动态验证</x:v>
      </x:c>
    </x:row>
    <x:row r="376" ht="100" customHeight="1">
      <x:c r="A376" s="10" t="n">
        <x:v>375</x:v>
      </x:c>
      <x:c r="B376" s="10" t="str">
        <x:v>GUILD-01-0044</x:v>
      </x:c>
      <x:c r="C376" s="10" t="str">
        <x:v>登录与首页</x:v>
      </x:c>
      <x:c r="D376" s="10" t="str">
        <x:v>通知详情（公会长视角）</x:v>
      </x:c>
      <x:c r="E376" s="10" t="str">
        <x:v>逻辑校验</x:v>
      </x:c>
      <x:c r="F376" s="10" t="str">
        <x:v>P1</x:v>
      </x:c>
      <x:c r="G376" s="9" t="str">
        <x:v>验证通知关联记录点击后保持业务对象</x:v>
      </x:c>
      <x:c r="H376" s="9" t="str">
        <x:v>通知业务下钻</x:v>
      </x:c>
      <x:c r="I376" s="9" t="str">
        <x:v>1. 执行角色为公会长
2. 已登录目标公会的公会长账号，打开通知详情页并完成下列数据和页面状态准备
3. 通知N关联入会申请A，公会长有权审核A</x:v>
      </x:c>
      <x:c r="J376" s="9" t="str">
        <x:v>1. 查看通知详情页
2. 点击关联业务入口</x:v>
      </x:c>
      <x:c r="K376" s="9" t="str">
        <x:v>进入申请A详情</x:v>
      </x:c>
      <x:c r="L376" s="10" t="str"/>
      <x:c r="M376" s="10" t="str">
        <x:v>未测</x:v>
      </x:c>
      <x:c r="N376" s="10" t="str"/>
      <x:c r="O376" s="9" t="str">
        <x:v>1. 来源（当前证据）：liveshow-proto/MainBasis/统一需求文档.md；位置：REQ-90d3a493f427；行2783
2. 规则：BR-1b7256ed9aef96d9
3. 未动态验证</x:v>
      </x:c>
    </x:row>
    <x:row r="377" ht="100" customHeight="1">
      <x:c r="A377" s="10" t="n">
        <x:v>376</x:v>
      </x:c>
      <x:c r="B377" s="10" t="str">
        <x:v>GUILD-02-0111</x:v>
      </x:c>
      <x:c r="C377" s="10" t="str">
        <x:v>主播管理</x:v>
      </x:c>
      <x:c r="D377" s="10" t="str">
        <x:v>主播业绩（公会长视角）</x:v>
      </x:c>
      <x:c r="E377" s="10" t="str">
        <x:v>功能需求</x:v>
      </x:c>
      <x:c r="F377" s="10" t="str">
        <x:v>P2</x:v>
      </x:c>
      <x:c r="G377" s="9" t="str">
        <x:v>验证从实际入口打开主播业绩下钻</x:v>
      </x:c>
      <x:c r="H377" s="9" t="str">
        <x:v>主播业绩下钻</x:v>
      </x:c>
      <x:c r="I377" s="9" t="str">
        <x:v>1. 执行角色为公会长
2. 已登录目标公会的公会长账号，打开主播业绩页并完成下列数据和页面状态准备
3. 公会长已登录；当前页面存在所选主播或记录</x:v>
      </x:c>
      <x:c r="J377" s="9" t="str">
        <x:v>1. 查看主播业绩页
2. 点击主播甲行</x:v>
      </x:c>
      <x:c r="K377" s="9" t="str">
        <x:v>进入甲的主播数据页</x:v>
      </x:c>
      <x:c r="L377" s="10" t="str"/>
      <x:c r="M377" s="10" t="str">
        <x:v>未测</x:v>
      </x:c>
      <x:c r="N377" s="10" t="str"/>
      <x:c r="O377" s="9" t="str">
        <x:v>1. 来源（当前证据）：liveshow-proto/MainBasis/统一需求文档.md；位置：REQ-8c9d20b12f67；行2933
2. 规则：BR-28ee1510f58870c4
3. 未动态验证</x:v>
      </x:c>
    </x:row>
    <x:row r="378" ht="100" customHeight="1">
      <x:c r="A378" s="10" t="n">
        <x:v>377</x:v>
      </x:c>
      <x:c r="B378" s="10" t="str">
        <x:v>GUILD-02-0112</x:v>
      </x:c>
      <x:c r="C378" s="10" t="str">
        <x:v>主播管理</x:v>
      </x:c>
      <x:c r="D378" s="10" t="str">
        <x:v>主播数据（公会长视角）</x:v>
      </x:c>
      <x:c r="E378" s="10" t="str">
        <x:v>功能需求</x:v>
      </x:c>
      <x:c r="F378" s="10" t="str">
        <x:v>P2</x:v>
      </x:c>
      <x:c r="G378" s="9" t="str">
        <x:v>验证从实际入口打开主播数据主页入口</x:v>
      </x:c>
      <x:c r="H378" s="9" t="str">
        <x:v>主播数据主页入口</x:v>
      </x:c>
      <x:c r="I378" s="9" t="str">
        <x:v>1. 执行角色为公会长
2. 已登录目标公会的公会长账号，打开主播数据页并完成下列数据和页面状态准备
3. 公会长已登录；当前页面存在所选主播或记录</x:v>
      </x:c>
      <x:c r="J378" s="9" t="str">
        <x:v>1. 查看主播数据页
2. 点击主页</x:v>
      </x:c>
      <x:c r="K378" s="9" t="str">
        <x:v>进入当前主播的主播主页</x:v>
      </x:c>
      <x:c r="L378" s="10" t="str"/>
      <x:c r="M378" s="10" t="str">
        <x:v>未测</x:v>
      </x:c>
      <x:c r="N378" s="10" t="str"/>
      <x:c r="O378" s="9" t="str">
        <x:v>1. 来源（当前证据）：liveshow-proto/MainBasis/统一需求文档.md；位置：REQ-4086521f7068；行2964
2. 规则：BR-a24b1f8d9af13ba1
3. 未动态验证</x:v>
      </x:c>
    </x:row>
    <x:row r="379" ht="100" customHeight="1">
      <x:c r="A379" s="10" t="n">
        <x:v>378</x:v>
      </x:c>
      <x:c r="B379" s="10" t="str">
        <x:v>GUILD-02-0113</x:v>
      </x:c>
      <x:c r="C379" s="10" t="str">
        <x:v>主播管理</x:v>
      </x:c>
      <x:c r="D379" s="10" t="str">
        <x:v>主播主页（公会长视角）</x:v>
      </x:c>
      <x:c r="E379" s="10" t="str">
        <x:v>功能需求</x:v>
      </x:c>
      <x:c r="F379" s="10" t="str">
        <x:v>P2</x:v>
      </x:c>
      <x:c r="G379" s="9" t="str">
        <x:v>验证从实际入口打开主播主页业绩入口</x:v>
      </x:c>
      <x:c r="H379" s="9" t="str">
        <x:v>主播主页业绩入口</x:v>
      </x:c>
      <x:c r="I379" s="9" t="str">
        <x:v>1. 执行角色为公会长
2. 已登录目标公会的公会长账号，打开主播主页页并完成下列数据和页面状态准备
3. 公会长已登录；当前页面存在所选主播或记录</x:v>
      </x:c>
      <x:c r="J379" s="9" t="str">
        <x:v>1. 查看主播主页
2. 点击业绩</x:v>
      </x:c>
      <x:c r="K379" s="9" t="str">
        <x:v>进入当前主播的主播数据页</x:v>
      </x:c>
      <x:c r="L379" s="10" t="str"/>
      <x:c r="M379" s="10" t="str">
        <x:v>未测</x:v>
      </x:c>
      <x:c r="N379" s="10" t="str"/>
      <x:c r="O379" s="9" t="str">
        <x:v>1. 来源（当前证据）：liveshow-proto/MainBasis/统一需求文档.md；位置：REQ-49bae997141c；行3015
2. 规则：BR-c0039e0028c58a01
3. 未动态验证</x:v>
      </x:c>
    </x:row>
    <x:row r="380" ht="100" customHeight="1">
      <x:c r="A380" s="10" t="n">
        <x:v>379</x:v>
      </x:c>
      <x:c r="B380" s="10" t="str">
        <x:v>GUILD-04-0026</x:v>
      </x:c>
      <x:c r="C380" s="10" t="str">
        <x:v>公会管理</x:v>
      </x:c>
      <x:c r="D380" s="10" t="str">
        <x:v>账号设置（公会长视角）</x:v>
      </x:c>
      <x:c r="E380" s="10" t="str">
        <x:v>功能需求</x:v>
      </x:c>
      <x:c r="F380" s="10" t="str">
        <x:v>P2</x:v>
      </x:c>
      <x:c r="G380" s="9" t="str">
        <x:v>验证从实际入口打开公会改密入口</x:v>
      </x:c>
      <x:c r="H380" s="9" t="str">
        <x:v>公会改密入口</x:v>
      </x:c>
      <x:c r="I380" s="9" t="str">
        <x:v>1. 执行角色为公会长
2. 已登录目标公会的公会长账号，打开账号设置页并完成下列数据和页面状态准备
3. 公会长已登录；当前页面存在所选主播或记录</x:v>
      </x:c>
      <x:c r="J380" s="9" t="str">
        <x:v>1. 查看账号设置页
2. 点击修改密码</x:v>
      </x:c>
      <x:c r="K380" s="9" t="str">
        <x:v>进入修改密码页</x:v>
      </x:c>
      <x:c r="L380" s="10" t="str"/>
      <x:c r="M380" s="10" t="str">
        <x:v>未测</x:v>
      </x:c>
      <x:c r="N380" s="10" t="str"/>
      <x:c r="O380" s="9" t="str">
        <x:v>1. 来源（当前证据）：liveshow-proto/MainBasis/统一需求文档.md；位置：REQ-2bd29732456c；行3239
2. 规则：BR-05dd9454f0ddf9b4
3. 未动态验证</x:v>
      </x:c>
    </x:row>
    <x:row r="381" ht="100" customHeight="1">
      <x:c r="A381" s="10" t="n">
        <x:v>380</x:v>
      </x:c>
      <x:c r="B381" s="10" t="str">
        <x:v>GUILD-05-0087</x:v>
      </x:c>
      <x:c r="C381" s="10" t="str">
        <x:v>数据与收益</x:v>
      </x:c>
      <x:c r="D381" s="10" t="str">
        <x:v>违规记录（公会长视角）</x:v>
      </x:c>
      <x:c r="E381" s="10" t="str">
        <x:v>功能需求</x:v>
      </x:c>
      <x:c r="F381" s="10" t="str">
        <x:v>P2</x:v>
      </x:c>
      <x:c r="G381" s="9" t="str">
        <x:v>验证从实际入口打开违规记录主播下钻</x:v>
      </x:c>
      <x:c r="H381" s="9" t="str">
        <x:v>违规记录主播下钻</x:v>
      </x:c>
      <x:c r="I381" s="9" t="str">
        <x:v>1. 执行角色为公会长
2. 已登录目标公会的公会长账号，打开违规记录页并完成下列数据和页面状态准备
3. 公会长已登录；当前页面存在所选主播或记录</x:v>
      </x:c>
      <x:c r="J381" s="9" t="str">
        <x:v>1. 查看违规记录页
2. 点击记录N的主播甲</x:v>
      </x:c>
      <x:c r="K381" s="9" t="str">
        <x:v>进入主播甲详情</x:v>
      </x:c>
      <x:c r="L381" s="10" t="str"/>
      <x:c r="M381" s="10" t="str">
        <x:v>未测</x:v>
      </x:c>
      <x:c r="N381" s="10" t="str"/>
      <x:c r="O381" s="9" t="str">
        <x:v>1. 来源（当前证据）：liveshow-proto/MainBasis/统一需求文档.md；位置：REQ-532e40bab209；行3359
2. 规则：BR-4f20f14c3c33f488
3. 未动态验证</x:v>
      </x:c>
    </x:row>
    <x:row r="382" ht="100" customHeight="1">
      <x:c r="A382" s="10" t="n">
        <x:v>381</x:v>
      </x:c>
      <x:c r="B382" s="10" t="str">
        <x:v>GUILD-03-0111</x:v>
      </x:c>
      <x:c r="C382" s="10" t="str">
        <x:v>运营工具</x:v>
      </x:c>
      <x:c r="D382" s="10" t="str">
        <x:v>送礼记录（公会长视角）</x:v>
      </x:c>
      <x:c r="E382" s="10" t="str">
        <x:v>功能需求</x:v>
      </x:c>
      <x:c r="F382" s="10" t="str">
        <x:v>P2</x:v>
      </x:c>
      <x:c r="G382" s="9" t="str">
        <x:v>验证虚拟赠礼详情礼物名称</x:v>
      </x:c>
      <x:c r="H382" s="9" t="str">
        <x:v>赠礼详情礼物名称</x:v>
      </x:c>
      <x:c r="I382" s="9" t="str">
        <x:v>1. 执行角色为公会长
2. 已登录目标公会的公会长账号，打开送礼记录页并完成下列数据和页面状态准备
3. 记录A成功赠送定制礼物QA玫瑰3件；当前筛选包含A</x:v>
      </x:c>
      <x:c r="J382" s="9" t="str">
        <x:v>1. 查看送礼记录页
2. 点击记录A</x:v>
      </x:c>
      <x:c r="K382" s="9" t="str">
        <x:v>礼物名称显示QA玫瑰</x:v>
      </x:c>
      <x:c r="L382" s="10" t="str"/>
      <x:c r="M382" s="10" t="str">
        <x:v>未测</x:v>
      </x:c>
      <x:c r="N382" s="10" t="str"/>
      <x:c r="O382" s="9" t="str">
        <x:v>1. 来源（当前证据）：liveshow-proto/MainBasis/统一需求文档.md；位置：REQ-b3ddda9fea5f；行3182
2. 规则：BR-d44cb749582ec176
3. 未动态验证</x:v>
      </x:c>
    </x:row>
    <x:row r="383" ht="100" customHeight="1">
      <x:c r="A383" s="10" t="n">
        <x:v>382</x:v>
      </x:c>
      <x:c r="B383" s="10" t="str">
        <x:v>GUILD-03-0112</x:v>
      </x:c>
      <x:c r="C383" s="10" t="str">
        <x:v>运营工具</x:v>
      </x:c>
      <x:c r="D383" s="10" t="str">
        <x:v>送礼记录（公会长视角）</x:v>
      </x:c>
      <x:c r="E383" s="10" t="str">
        <x:v>功能需求</x:v>
      </x:c>
      <x:c r="F383" s="10" t="str">
        <x:v>P2</x:v>
      </x:c>
      <x:c r="G383" s="9" t="str">
        <x:v>验证虚拟赠礼详情礼物类型</x:v>
      </x:c>
      <x:c r="H383" s="9" t="str">
        <x:v>赠礼详情礼物类型</x:v>
      </x:c>
      <x:c r="I383" s="9" t="str">
        <x:v>1. 执行角色为公会长
2. 已登录目标公会的公会长账号，打开送礼记录页并完成下列数据和页面状态准备
3. 记录A成功赠送定制礼物QA玫瑰3件；当前筛选包含A</x:v>
      </x:c>
      <x:c r="J383" s="9" t="str">
        <x:v>1. 查看送礼记录页
2. 点击记录A</x:v>
      </x:c>
      <x:c r="K383" s="9" t="str">
        <x:v>礼物类型显示定制礼物</x:v>
      </x:c>
      <x:c r="L383" s="10" t="str"/>
      <x:c r="M383" s="10" t="str">
        <x:v>未测</x:v>
      </x:c>
      <x:c r="N383" s="10" t="str"/>
      <x:c r="O383" s="9" t="str">
        <x:v>1. 来源（当前证据）：liveshow-proto/MainBasis/统一需求文档.md；位置：REQ-36de063203a5；行3188
2. 规则：BR-09fb1dbbeb5fc361
3. 未动态验证</x:v>
      </x:c>
    </x:row>
    <x:row r="384" ht="100" customHeight="1">
      <x:c r="A384" s="10" t="n">
        <x:v>383</x:v>
      </x:c>
      <x:c r="B384" s="10" t="str">
        <x:v>GUILD-03-0113</x:v>
      </x:c>
      <x:c r="C384" s="10" t="str">
        <x:v>运营工具</x:v>
      </x:c>
      <x:c r="D384" s="10" t="str">
        <x:v>送礼记录（公会长视角）</x:v>
      </x:c>
      <x:c r="E384" s="10" t="str">
        <x:v>功能需求</x:v>
      </x:c>
      <x:c r="F384" s="10" t="str">
        <x:v>P2</x:v>
      </x:c>
      <x:c r="G384" s="9" t="str">
        <x:v>验证虚拟赠礼详情件数</x:v>
      </x:c>
      <x:c r="H384" s="9" t="str">
        <x:v>赠礼详情件数</x:v>
      </x:c>
      <x:c r="I384" s="9" t="str">
        <x:v>1. 执行角色为公会长
2. 已登录目标公会的公会长账号，打开送礼记录页并完成下列数据和页面状态准备
3. 记录A成功赠送定制礼物QA玫瑰3件；当前筛选包含A</x:v>
      </x:c>
      <x:c r="J384" s="9" t="str">
        <x:v>1. 查看送礼记录页
2. 点击记录A</x:v>
      </x:c>
      <x:c r="K384" s="9" t="str">
        <x:v>赠送数量显示3件</x:v>
      </x:c>
      <x:c r="L384" s="10" t="str"/>
      <x:c r="M384" s="10" t="str">
        <x:v>未测</x:v>
      </x:c>
      <x:c r="N384" s="10" t="str"/>
      <x:c r="O384" s="9" t="str">
        <x:v>1. 来源（当前证据）：liveshow-proto/MainBasis/统一需求文档.md；位置：REQ-6d53a55f5980；行3190
2. 规则：BR-fa4f771829797c3b
3. 未动态验证</x:v>
      </x:c>
    </x:row>
    <x:row r="385" ht="100" customHeight="1">
      <x:c r="A385" s="10" t="n">
        <x:v>384</x:v>
      </x:c>
      <x:c r="B385" s="10" t="str">
        <x:v>GUILD-05-0088</x:v>
      </x:c>
      <x:c r="C385" s="10" t="str">
        <x:v>数据与收益</x:v>
      </x:c>
      <x:c r="D385" s="10" t="str">
        <x:v>直播场次详情（公会长视角）</x:v>
      </x:c>
      <x:c r="E385" s="10" t="str">
        <x:v>功能需求</x:v>
      </x:c>
      <x:c r="F385" s="10" t="str">
        <x:v>P2</x:v>
      </x:c>
      <x:c r="G385" s="9" t="str">
        <x:v>验证真实赠礼详情礼物名称</x:v>
      </x:c>
      <x:c r="H385" s="9" t="str">
        <x:v>赠礼详情礼物名称</x:v>
      </x:c>
      <x:c r="I385" s="9" t="str">
        <x:v>1. 执行角色为公会长
2. 已登录目标公会的公会长账号，打开直播场次详情页并完成下列数据和页面状态准备
3. 记录A成功赠送定制礼物QA玫瑰3件；当前筛选包含A</x:v>
      </x:c>
      <x:c r="J385" s="9" t="str">
        <x:v>1. 查看直播场次详情页
2. 点击记录A</x:v>
      </x:c>
      <x:c r="K385" s="9" t="str">
        <x:v>礼物名称显示QA玫瑰</x:v>
      </x:c>
      <x:c r="L385" s="10" t="str"/>
      <x:c r="M385" s="10" t="str">
        <x:v>未测</x:v>
      </x:c>
      <x:c r="N385" s="10" t="str"/>
      <x:c r="O385" s="9" t="str">
        <x:v>1. 来源（当前证据）：liveshow-proto/MainBasis/统一需求文档.md；位置：REQ-196da5d367ee；行3312
2. 规则：BR-1573cf4197c2a2b6
3. 未动态验证</x:v>
      </x:c>
    </x:row>
    <x:row r="386" ht="100" customHeight="1">
      <x:c r="A386" s="10" t="n">
        <x:v>385</x:v>
      </x:c>
      <x:c r="B386" s="10" t="str">
        <x:v>GUILD-05-0089</x:v>
      </x:c>
      <x:c r="C386" s="10" t="str">
        <x:v>数据与收益</x:v>
      </x:c>
      <x:c r="D386" s="10" t="str">
        <x:v>直播场次详情（公会长视角）</x:v>
      </x:c>
      <x:c r="E386" s="10" t="str">
        <x:v>功能需求</x:v>
      </x:c>
      <x:c r="F386" s="10" t="str">
        <x:v>P2</x:v>
      </x:c>
      <x:c r="G386" s="9" t="str">
        <x:v>验证真实赠礼详情礼物类型</x:v>
      </x:c>
      <x:c r="H386" s="9" t="str">
        <x:v>赠礼详情礼物类型</x:v>
      </x:c>
      <x:c r="I386" s="9" t="str">
        <x:v>1. 执行角色为公会长
2. 已登录目标公会的公会长账号，打开直播场次详情页并完成下列数据和页面状态准备
3. 记录A成功赠送定制礼物QA玫瑰3件；当前筛选包含A</x:v>
      </x:c>
      <x:c r="J386" s="9" t="str">
        <x:v>1. 查看直播场次详情页
2. 点击记录A</x:v>
      </x:c>
      <x:c r="K386" s="9" t="str">
        <x:v>礼物类型显示定制礼物</x:v>
      </x:c>
      <x:c r="L386" s="10" t="str"/>
      <x:c r="M386" s="10" t="str">
        <x:v>未测</x:v>
      </x:c>
      <x:c r="N386" s="10" t="str"/>
      <x:c r="O386" s="9" t="str">
        <x:v>1. 来源（当前证据）：liveshow-proto/MainBasis/统一需求文档.md；位置：REQ-58b2254a0941；行3318
2. 规则：BR-e1f6e3c7621bbfe5
3. 未动态验证</x:v>
      </x:c>
    </x:row>
    <x:row r="387" ht="100" customHeight="1">
      <x:c r="A387" s="10" t="n">
        <x:v>386</x:v>
      </x:c>
      <x:c r="B387" s="10" t="str">
        <x:v>GUILD-05-0090</x:v>
      </x:c>
      <x:c r="C387" s="10" t="str">
        <x:v>数据与收益</x:v>
      </x:c>
      <x:c r="D387" s="10" t="str">
        <x:v>直播场次详情（公会长视角）</x:v>
      </x:c>
      <x:c r="E387" s="10" t="str">
        <x:v>功能需求</x:v>
      </x:c>
      <x:c r="F387" s="10" t="str">
        <x:v>P2</x:v>
      </x:c>
      <x:c r="G387" s="9" t="str">
        <x:v>验证真实赠礼详情件数</x:v>
      </x:c>
      <x:c r="H387" s="9" t="str">
        <x:v>赠礼详情件数</x:v>
      </x:c>
      <x:c r="I387" s="9" t="str">
        <x:v>1. 执行角色为公会长
2. 已登录目标公会的公会长账号，打开直播场次详情页并完成下列数据和页面状态准备
3. 记录A成功赠送定制礼物QA玫瑰3件；当前筛选包含A</x:v>
      </x:c>
      <x:c r="J387" s="9" t="str">
        <x:v>1. 查看直播场次详情页
2. 点击记录A</x:v>
      </x:c>
      <x:c r="K387" s="9" t="str">
        <x:v>赠送数量显示3件</x:v>
      </x:c>
      <x:c r="L387" s="10" t="str"/>
      <x:c r="M387" s="10" t="str">
        <x:v>未测</x:v>
      </x:c>
      <x:c r="N387" s="10" t="str"/>
      <x:c r="O387" s="9" t="str">
        <x:v>1. 来源（当前证据）：liveshow-proto/MainBasis/统一需求文档.md；位置：REQ-b2197c3c2e58；行3320
2. 规则：BR-9360a1bf44f8b855
3. 未动态验证</x:v>
      </x:c>
    </x:row>
    <x:row r="388" ht="100" customHeight="1">
      <x:c r="A388" s="10" t="n">
        <x:v>387</x:v>
      </x:c>
      <x:c r="B388" s="10" t="str">
        <x:v>GUILD-03-0114</x:v>
      </x:c>
      <x:c r="C388" s="10" t="str">
        <x:v>运营工具</x:v>
      </x:c>
      <x:c r="D388" s="10" t="str">
        <x:v>送礼记录（公会长视角）</x:v>
      </x:c>
      <x:c r="E388" s="10" t="str">
        <x:v>功能需求</x:v>
      </x:c>
      <x:c r="F388" s="10" t="str">
        <x:v>P2</x:v>
      </x:c>
      <x:c r="G388" s="9" t="str">
        <x:v>验证虚拟赠礼详情显示成交时点</x:v>
      </x:c>
      <x:c r="H388" s="9" t="str">
        <x:v>虚拟赠礼成交时间</x:v>
      </x:c>
      <x:c r="I388" s="9" t="str">
        <x:v>1. 执行角色为公会长
2. 已登录目标公会的公会长账号，打开送礼记录页并完成下列数据和页面状态准备
3. 记录A于9月15日10:00成功赠送，筛选范围包含该日</x:v>
      </x:c>
      <x:c r="J388" s="9" t="str">
        <x:v>1. 查看送礼记录页
2. 点击记录A</x:v>
      </x:c>
      <x:c r="K388" s="9" t="str">
        <x:v>赠送时间对应9月15日10:00</x:v>
      </x:c>
      <x:c r="L388" s="10" t="str"/>
      <x:c r="M388" s="10" t="str">
        <x:v>未测</x:v>
      </x:c>
      <x:c r="N388" s="10" t="str"/>
      <x:c r="O388" s="9" t="str">
        <x:v>1. 来源（当前证据）：liveshow-proto/MainBasis/统一需求文档.md；位置：REQ-bcb12c6e3d70；行3176、REQ-3a16fbf7a035；行3180
2. 规则：BR-19e8538f33c30842
3. 未动态验证</x:v>
      </x:c>
    </x:row>
    <x:row r="389" ht="100" customHeight="1">
      <x:c r="A389" s="10" t="n">
        <x:v>388</x:v>
      </x:c>
      <x:c r="B389" s="10" t="str">
        <x:v>GUILD-05-0091</x:v>
      </x:c>
      <x:c r="C389" s="10" t="str">
        <x:v>数据与收益</x:v>
      </x:c>
      <x:c r="D389" s="10" t="str">
        <x:v>直播记录（公会长视角）</x:v>
      </x:c>
      <x:c r="E389" s="10" t="str">
        <x:v>功能需求</x:v>
      </x:c>
      <x:c r="F389" s="10" t="str">
        <x:v>P2</x:v>
      </x:c>
      <x:c r="G389" s="9" t="str">
        <x:v>验证公会直播记录识别普通房</x:v>
      </x:c>
      <x:c r="H389" s="9" t="str">
        <x:v>场次房型标识</x:v>
      </x:c>
      <x:c r="I389" s="9" t="str">
        <x:v>1. 执行角色为公会长
2. 已登录目标公会的公会长账号，打开直播记录页并完成下列数据和页面状态准备
3. 场次S1为普通房，筛选范围包含S1</x:v>
      </x:c>
      <x:c r="J389" s="9" t="str">
        <x:v>1. 查看直播记录页</x:v>
      </x:c>
      <x:c r="K389" s="9" t="str">
        <x:v>S1显示普通房型标识</x:v>
      </x:c>
      <x:c r="L389" s="10" t="str"/>
      <x:c r="M389" s="10" t="str">
        <x:v>未测</x:v>
      </x:c>
      <x:c r="N389" s="10" t="str"/>
      <x:c r="O389" s="9" t="str">
        <x:v>1. 来源（当前证据）：liveshow-proto/MainBasis/统一需求文档.md；位置：REQ-442147718fe6；行3269
2. 规则：BR-b57f9167c1bcebf0
3. 未动态验证</x:v>
      </x:c>
    </x:row>
    <x:row r="390" ht="100" customHeight="1">
      <x:c r="A390" s="10" t="n">
        <x:v>389</x:v>
      </x:c>
      <x:c r="B390" s="10" t="str">
        <x:v>GUILD-05-0092</x:v>
      </x:c>
      <x:c r="C390" s="10" t="str">
        <x:v>数据与收益</x:v>
      </x:c>
      <x:c r="D390" s="10" t="str">
        <x:v>直播记录（公会长视角）</x:v>
      </x:c>
      <x:c r="E390" s="10" t="str">
        <x:v>功能需求</x:v>
      </x:c>
      <x:c r="F390" s="10" t="str">
        <x:v>P2</x:v>
      </x:c>
      <x:c r="G390" s="9" t="str">
        <x:v>验证公会直播记录识别门票房</x:v>
      </x:c>
      <x:c r="H390" s="9" t="str">
        <x:v>场次房型标识</x:v>
      </x:c>
      <x:c r="I390" s="9" t="str">
        <x:v>1. 执行角色为公会长
2. 已登录目标公会的公会长账号，打开直播记录页并完成下列数据和页面状态准备
3. 场次S1为门票房，筛选范围包含S1</x:v>
      </x:c>
      <x:c r="J390" s="9" t="str">
        <x:v>1. 查看直播记录页</x:v>
      </x:c>
      <x:c r="K390" s="9" t="str">
        <x:v>S1显示门票房型标识</x:v>
      </x:c>
      <x:c r="L390" s="10" t="str"/>
      <x:c r="M390" s="10" t="str">
        <x:v>未测</x:v>
      </x:c>
      <x:c r="N390" s="10" t="str"/>
      <x:c r="O390" s="9" t="str">
        <x:v>1. 来源（当前证据）：liveshow-proto/MainBasis/统一需求文档.md；位置：REQ-442147718fe6；行3269
2. 规则：BR-e8435c74ef8b706d
3. 未动态验证</x:v>
      </x:c>
    </x:row>
    <x:row r="391" ht="100" customHeight="1">
      <x:c r="A391" s="10" t="n">
        <x:v>390</x:v>
      </x:c>
      <x:c r="B391" s="10" t="str">
        <x:v>GUILD-05-0093</x:v>
      </x:c>
      <x:c r="C391" s="10" t="str">
        <x:v>数据与收益</x:v>
      </x:c>
      <x:c r="D391" s="10" t="str">
        <x:v>直播记录（公会长视角）</x:v>
      </x:c>
      <x:c r="E391" s="10" t="str">
        <x:v>功能需求</x:v>
      </x:c>
      <x:c r="F391" s="10" t="str">
        <x:v>P2</x:v>
      </x:c>
      <x:c r="G391" s="9" t="str">
        <x:v>验证公会直播记录识别密码房</x:v>
      </x:c>
      <x:c r="H391" s="9" t="str">
        <x:v>场次房型标识</x:v>
      </x:c>
      <x:c r="I391" s="9" t="str">
        <x:v>1. 执行角色为公会长
2. 已登录目标公会的公会长账号，打开直播记录页并完成下列数据和页面状态准备
3. 场次S1为密码房，筛选范围包含S1</x:v>
      </x:c>
      <x:c r="J391" s="9" t="str">
        <x:v>1. 查看直播记录页</x:v>
      </x:c>
      <x:c r="K391" s="9" t="str">
        <x:v>S1显示密码房型标识</x:v>
      </x:c>
      <x:c r="L391" s="10" t="str"/>
      <x:c r="M391" s="10" t="str">
        <x:v>未测</x:v>
      </x:c>
      <x:c r="N391" s="10" t="str"/>
      <x:c r="O391" s="9" t="str">
        <x:v>1. 来源（当前证据）：liveshow-proto/MainBasis/统一需求文档.md；位置：REQ-442147718fe6；行3269
2. 规则：BR-a6809f65a3b97a02
3. 未动态验证</x:v>
      </x:c>
    </x:row>
    <x:row r="392" ht="115" customHeight="1">
      <x:c r="A392" s="10" t="n">
        <x:v>391</x:v>
      </x:c>
      <x:c r="B392" s="10" t="str">
        <x:v>GUILD-01-0045</x:v>
      </x:c>
      <x:c r="C392" s="10" t="str">
        <x:v>登录与首页</x:v>
      </x:c>
      <x:c r="D392" s="10" t="str">
        <x:v>首页（公会长视角）</x:v>
      </x:c>
      <x:c r="E392" s="10" t="str">
        <x:v>逻辑校验</x:v>
      </x:c>
      <x:c r="F392" s="10" t="str">
        <x:v>P1</x:v>
      </x:c>
      <x:c r="G392" s="9" t="str">
        <x:v>验证核对首页礼物收益范围的统计范围</x:v>
      </x:c>
      <x:c r="H392" s="9" t="str">
        <x:v>首页礼物收益范围</x:v>
      </x:c>
      <x:c r="I392" s="9" t="str">
        <x:v>1. 执行角色为公会长
2. 已登录目标公会的公会长账号，打开首页页并完成下列数据和页面状态准备
3. 当日普通礼物成功消费100、定制200、幸运总价值1000且收益比例1%；无其他收益</x:v>
      </x:c>
      <x:c r="J392" s="9" t="str">
        <x:v>1. 查看首页</x:v>
      </x:c>
      <x:c r="K392" s="9" t="str">
        <x:v>当日收益显示310金币</x:v>
      </x:c>
      <x:c r="L392" s="10" t="str"/>
      <x:c r="M392" s="10" t="str">
        <x:v>未测</x:v>
      </x:c>
      <x:c r="N392" s="10" t="str"/>
      <x:c r="O392" s="9" t="str">
        <x:v>1. 来源（当前证据）：liveshow-proto/MainBasis/统一需求文档.md；位置：REQ-d823c785cbbd；行2747
2. 规则：BR-4194e306abba6aed
3. 未动态验证</x:v>
      </x:c>
    </x:row>
    <x:row r="393" ht="115" customHeight="1">
      <x:c r="A393" s="10" t="n">
        <x:v>392</x:v>
      </x:c>
      <x:c r="B393" s="10" t="str">
        <x:v>GUILD-01-0046</x:v>
      </x:c>
      <x:c r="C393" s="10" t="str">
        <x:v>登录与首页</x:v>
      </x:c>
      <x:c r="D393" s="10" t="str">
        <x:v>首页（公会长视角）</x:v>
      </x:c>
      <x:c r="E393" s="10" t="str">
        <x:v>逻辑校验</x:v>
      </x:c>
      <x:c r="F393" s="10" t="str">
        <x:v>P1</x:v>
      </x:c>
      <x:c r="G393" s="9" t="str">
        <x:v>验证核对首页排除虚拟及失败消费的统计范围</x:v>
      </x:c>
      <x:c r="H393" s="9" t="str">
        <x:v>首页排除虚拟及失败消费</x:v>
      </x:c>
      <x:c r="I393" s="9" t="str">
        <x:v>1. 执行角色为公会长
2. 已登录目标公会的公会长账号，打开首页页并完成下列数据和页面状态准备
3. 当日真实普通礼物成功100金币；虚拟礼物500金币；失败真实消费200金币</x:v>
      </x:c>
      <x:c r="J393" s="9" t="str">
        <x:v>1. 查看首页</x:v>
      </x:c>
      <x:c r="K393" s="9" t="str">
        <x:v>当日收益显示100金币</x:v>
      </x:c>
      <x:c r="L393" s="10" t="str"/>
      <x:c r="M393" s="10" t="str">
        <x:v>未测</x:v>
      </x:c>
      <x:c r="N393" s="10" t="str"/>
      <x:c r="O393" s="9" t="str">
        <x:v>1. 来源（当前证据）：liveshow-proto/MainBasis/统一需求文档.md；位置：REQ-cc1efac54a82；行2749
2. 规则：BR-0f2faf6bbfa8eeac
3. 未动态验证</x:v>
      </x:c>
    </x:row>
    <x:row r="394" ht="115" customHeight="1">
      <x:c r="A394" s="10" t="n">
        <x:v>393</x:v>
      </x:c>
      <x:c r="B394" s="10" t="str">
        <x:v>GUILD-02-0114</x:v>
      </x:c>
      <x:c r="C394" s="10" t="str">
        <x:v>主播管理</x:v>
      </x:c>
      <x:c r="D394" s="10" t="str">
        <x:v>主播业绩（公会长视角）</x:v>
      </x:c>
      <x:c r="E394" s="10" t="str">
        <x:v>逻辑校验</x:v>
      </x:c>
      <x:c r="F394" s="10" t="str">
        <x:v>P1</x:v>
      </x:c>
      <x:c r="G394" s="9" t="str">
        <x:v>验证核对主播行周期收益的统计范围</x:v>
      </x:c>
      <x:c r="H394" s="9" t="str">
        <x:v>主播行周期收益</x:v>
      </x:c>
      <x:c r="I394" s="9" t="str">
        <x:v>1. 执行角色为公会长
2. 已登录目标公会的公会长账号，打开主播业绩页并完成下列数据和页面状态准备
3. 所选周期甲成功普通礼物收益100金币，线下分成5美元，周期外收益200金币</x:v>
      </x:c>
      <x:c r="J394" s="9" t="str">
        <x:v>1. 查看主播业绩页</x:v>
      </x:c>
      <x:c r="K394" s="9" t="str">
        <x:v>甲的金币收益显示100金币</x:v>
      </x:c>
      <x:c r="L394" s="10" t="str"/>
      <x:c r="M394" s="10" t="str">
        <x:v>未测</x:v>
      </x:c>
      <x:c r="N394" s="10" t="str"/>
      <x:c r="O394" s="9" t="str">
        <x:v>1. 来源（当前证据）：liveshow-proto/MainBasis/统一需求文档.md；位置：REQ-7b9651bd111c；行2917
2. 规则：BR-ad9009b19d5296eb
3. 未动态验证</x:v>
      </x:c>
    </x:row>
    <x:row r="395" ht="100" customHeight="1">
      <x:c r="A395" s="10" t="n">
        <x:v>394</x:v>
      </x:c>
      <x:c r="B395" s="10" t="str">
        <x:v>GUILD-02-0115</x:v>
      </x:c>
      <x:c r="C395" s="10" t="str">
        <x:v>主播管理</x:v>
      </x:c>
      <x:c r="D395" s="10" t="str">
        <x:v>主播业绩（公会长视角）</x:v>
      </x:c>
      <x:c r="E395" s="10" t="str">
        <x:v>逻辑校验</x:v>
      </x:c>
      <x:c r="F395" s="10" t="str">
        <x:v>P1</x:v>
      </x:c>
      <x:c r="G395" s="9" t="str">
        <x:v>验证核对主播业绩汇总收益的统计范围</x:v>
      </x:c>
      <x:c r="H395" s="9" t="str">
        <x:v>主播业绩汇总收益</x:v>
      </x:c>
      <x:c r="I395" s="9" t="str">
        <x:v>1. 执行角色为公会长
2. 已登录目标公会的公会长账号，打开主播业绩页并完成下列数据和页面状态准备
3. 所选周期甲收益100、乙200金币，周期外另有500金币</x:v>
      </x:c>
      <x:c r="J395" s="9" t="str">
        <x:v>1. 查看主播业绩页</x:v>
      </x:c>
      <x:c r="K395" s="9" t="str">
        <x:v>主播收益汇总显示300金币</x:v>
      </x:c>
      <x:c r="L395" s="10" t="str"/>
      <x:c r="M395" s="10" t="str">
        <x:v>未测</x:v>
      </x:c>
      <x:c r="N395" s="10" t="str"/>
      <x:c r="O395" s="9" t="str">
        <x:v>1. 来源（当前证据）：liveshow-proto/MainBasis/统一需求文档.md；位置：REQ-a6b491d7b1aa；行2923
2. 规则：BR-db72dcf543f2af21
3. 未动态验证</x:v>
      </x:c>
    </x:row>
    <x:row r="396" ht="100" customHeight="1">
      <x:c r="A396" s="10" t="n">
        <x:v>395</x:v>
      </x:c>
      <x:c r="B396" s="10" t="str">
        <x:v>GUILD-02-0116</x:v>
      </x:c>
      <x:c r="C396" s="10" t="str">
        <x:v>主播管理</x:v>
      </x:c>
      <x:c r="D396" s="10" t="str">
        <x:v>主播数据（公会长视角）</x:v>
      </x:c>
      <x:c r="E396" s="10" t="str">
        <x:v>逻辑校验</x:v>
      </x:c>
      <x:c r="F396" s="10" t="str">
        <x:v>P1</x:v>
      </x:c>
      <x:c r="G396" s="9" t="str">
        <x:v>验证核对主播日累计时长的统计范围</x:v>
      </x:c>
      <x:c r="H396" s="9" t="str">
        <x:v>主播日累计时长</x:v>
      </x:c>
      <x:c r="I396" s="9" t="str">
        <x:v>1. 执行角色为公会长
2. 已登录目标公会的公会长账号，打开主播数据页并完成下列数据和页面状态准备
3. 甲当日两场已结束直播分别60及90分钟，日数据范围含该日</x:v>
      </x:c>
      <x:c r="J396" s="9" t="str">
        <x:v>1. 查看主播数据页</x:v>
      </x:c>
      <x:c r="K396" s="9" t="str">
        <x:v>该日直播时长显示2小时30分钟</x:v>
      </x:c>
      <x:c r="L396" s="10" t="str"/>
      <x:c r="M396" s="10" t="str">
        <x:v>未测</x:v>
      </x:c>
      <x:c r="N396" s="10" t="str"/>
      <x:c r="O396" s="9" t="str">
        <x:v>1. 来源（当前证据）：liveshow-proto/MainBasis/统一需求文档.md；位置：REQ-f997046439a2；行2954
2. 规则：BR-94cb52ae888f53a3
3. 未动态验证</x:v>
      </x:c>
    </x:row>
    <x:row r="397" ht="115" customHeight="1">
      <x:c r="A397" s="10" t="n">
        <x:v>396</x:v>
      </x:c>
      <x:c r="B397" s="10" t="str">
        <x:v>GUILD-02-0117</x:v>
      </x:c>
      <x:c r="C397" s="10" t="str">
        <x:v>主播管理</x:v>
      </x:c>
      <x:c r="D397" s="10" t="str">
        <x:v>主播数据（公会长视角）</x:v>
      </x:c>
      <x:c r="E397" s="10" t="str">
        <x:v>逻辑校验</x:v>
      </x:c>
      <x:c r="F397" s="10" t="str">
        <x:v>P1</x:v>
      </x:c>
      <x:c r="G397" s="9" t="str">
        <x:v>验证核对主播日收益的统计范围</x:v>
      </x:c>
      <x:c r="H397" s="9" t="str">
        <x:v>主播日收益</x:v>
      </x:c>
      <x:c r="I397" s="9" t="str">
        <x:v>1. 执行角色为公会长
2. 已登录目标公会的公会长账号，打开主播数据页并完成下列数据和页面状态准备
3. 甲当日两场收益100及200金币，线下分成10美元，日范围含该日</x:v>
      </x:c>
      <x:c r="J397" s="9" t="str">
        <x:v>1. 查看主播数据页</x:v>
      </x:c>
      <x:c r="K397" s="9" t="str">
        <x:v>该日收益显示300金币</x:v>
      </x:c>
      <x:c r="L397" s="10" t="str"/>
      <x:c r="M397" s="10" t="str">
        <x:v>未测</x:v>
      </x:c>
      <x:c r="N397" s="10" t="str"/>
      <x:c r="O397" s="9" t="str">
        <x:v>1. 来源（当前证据）：liveshow-proto/MainBasis/统一需求文档.md；位置：REQ-542f71638053；行2960
2. 规则：BR-510ea465df944a6b
3. 未动态验证</x:v>
      </x:c>
    </x:row>
    <x:row r="398" ht="115" customHeight="1">
      <x:c r="A398" s="10" t="n">
        <x:v>397</x:v>
      </x:c>
      <x:c r="B398" s="10" t="str">
        <x:v>GUILD-02-0118</x:v>
      </x:c>
      <x:c r="C398" s="10" t="str">
        <x:v>主播管理</x:v>
      </x:c>
      <x:c r="D398" s="10" t="str">
        <x:v>主播主页（公会长视角）</x:v>
      </x:c>
      <x:c r="E398" s="10" t="str">
        <x:v>逻辑校验</x:v>
      </x:c>
      <x:c r="F398" s="10" t="str">
        <x:v>P1</x:v>
      </x:c>
      <x:c r="G398" s="9" t="str">
        <x:v>验证核对主播历史收益总额的统计范围</x:v>
      </x:c>
      <x:c r="H398" s="9" t="str">
        <x:v>主播历史收益总额</x:v>
      </x:c>
      <x:c r="I398" s="9" t="str">
        <x:v>1. 执行角色为公会长
2. 已登录目标公会的公会长账号，打开主播主页页并完成下列数据和页面状态准备
3. 该主播历史普通礼物收益100金币、定制200金币，无其他计入收益记录</x:v>
      </x:c>
      <x:c r="J398" s="9" t="str">
        <x:v>1. 查看主播主页</x:v>
      </x:c>
      <x:c r="K398" s="9" t="str">
        <x:v>总收益显示300金币</x:v>
      </x:c>
      <x:c r="L398" s="10" t="str"/>
      <x:c r="M398" s="10" t="str">
        <x:v>未测</x:v>
      </x:c>
      <x:c r="N398" s="10" t="str"/>
      <x:c r="O398" s="9" t="str">
        <x:v>1. 来源（当前证据）：liveshow-proto/MainBasis/统一需求文档.md；位置：REQ-4fb585b39a12；行2999
2. 规则：BR-d5853af523d1a693
3. 未动态验证</x:v>
      </x:c>
    </x:row>
    <x:row r="399" ht="100" customHeight="1">
      <x:c r="A399" s="10" t="n">
        <x:v>398</x:v>
      </x:c>
      <x:c r="B399" s="10" t="str">
        <x:v>GUILD-03-0115</x:v>
      </x:c>
      <x:c r="C399" s="10" t="str">
        <x:v>运营工具</x:v>
      </x:c>
      <x:c r="D399" s="10" t="str">
        <x:v>运营账号（公会长视角）</x:v>
      </x:c>
      <x:c r="E399" s="10" t="str">
        <x:v>逻辑校验</x:v>
      </x:c>
      <x:c r="F399" s="10" t="str">
        <x:v>P1</x:v>
      </x:c>
      <x:c r="G399" s="9" t="str">
        <x:v>验证核对运营列表可用余额的统计范围</x:v>
      </x:c>
      <x:c r="H399" s="9" t="str">
        <x:v>运营列表可用余额</x:v>
      </x:c>
      <x:c r="I399" s="9" t="str">
        <x:v>1. 执行角色为公会长
2. 已登录目标公会的公会长账号，打开运营账号页并完成下列数据和页面状态准备
3. 运营账号A已发虚拟金币100、成功消费30，无其他变动</x:v>
      </x:c>
      <x:c r="J399" s="9" t="str">
        <x:v>1. 查看运营账号页</x:v>
      </x:c>
      <x:c r="K399" s="9" t="str">
        <x:v>A余额显示70金币</x:v>
      </x:c>
      <x:c r="L399" s="10" t="str"/>
      <x:c r="M399" s="10" t="str">
        <x:v>未测</x:v>
      </x:c>
      <x:c r="N399" s="10" t="str"/>
      <x:c r="O399" s="9" t="str">
        <x:v>1. 来源（当前证据）：liveshow-proto/MainBasis/统一需求文档.md；位置：REQ-7a47312e00c4；行3092
2. 规则：BR-45d42d7992887b72
3. 未动态验证</x:v>
      </x:c>
    </x:row>
    <x:row r="400" ht="115" customHeight="1">
      <x:c r="A400" s="10" t="n">
        <x:v>399</x:v>
      </x:c>
      <x:c r="B400" s="10" t="str">
        <x:v>GUILD-03-0116</x:v>
      </x:c>
      <x:c r="C400" s="10" t="str">
        <x:v>运营工具</x:v>
      </x:c>
      <x:c r="D400" s="10" t="str">
        <x:v>运营账号（公会长视角）</x:v>
      </x:c>
      <x:c r="E400" s="10" t="str">
        <x:v>逻辑校验</x:v>
      </x:c>
      <x:c r="F400" s="10" t="str">
        <x:v>P1</x:v>
      </x:c>
      <x:c r="G400" s="9" t="str">
        <x:v>验证核对运营行当月消费的统计范围</x:v>
      </x:c>
      <x:c r="H400" s="9" t="str">
        <x:v>运营行当月消费</x:v>
      </x:c>
      <x:c r="I400" s="9" t="str">
        <x:v>1. 执行角色为公会长
2. 已登录目标公会的公会长账号，打开运营账号页并完成下列数据和页面状态准备
3. 账号A本月成功消费100，上月200，本月失败消费50；账号B本月消费300</x:v>
      </x:c>
      <x:c r="J400" s="9" t="str">
        <x:v>1. 查看运营账号页</x:v>
      </x:c>
      <x:c r="K400" s="9" t="str">
        <x:v>A本月消费显示100金币</x:v>
      </x:c>
      <x:c r="L400" s="10" t="str"/>
      <x:c r="M400" s="10" t="str">
        <x:v>未测</x:v>
      </x:c>
      <x:c r="N400" s="10" t="str"/>
      <x:c r="O400" s="9" t="str">
        <x:v>1. 来源（当前证据）：liveshow-proto/MainBasis/统一需求文档.md；位置：REQ-f40c8344e1ab；行3094
2. 规则：BR-5c9bc4303b80b2e6
3. 未动态验证</x:v>
      </x:c>
    </x:row>
    <x:row r="401" ht="115" customHeight="1">
      <x:c r="A401" s="10" t="n">
        <x:v>400</x:v>
      </x:c>
      <x:c r="B401" s="10" t="str">
        <x:v>GUILD-05-0094</x:v>
      </x:c>
      <x:c r="C401" s="10" t="str">
        <x:v>数据与收益</x:v>
      </x:c>
      <x:c r="D401" s="10" t="str">
        <x:v>公会业绩（公会长视角）</x:v>
      </x:c>
      <x:c r="E401" s="10" t="str">
        <x:v>逻辑校验</x:v>
      </x:c>
      <x:c r="F401" s="10" t="str">
        <x:v>P1</x:v>
      </x:c>
      <x:c r="G401" s="9" t="str">
        <x:v>验证核对公会日行达标人数的统计范围</x:v>
      </x:c>
      <x:c r="H401" s="9" t="str">
        <x:v>公会日行达标人数</x:v>
      </x:c>
      <x:c r="I401" s="9" t="str">
        <x:v>1. 执行角色为公会长
2. 已登录目标公会的公会长账号，打开公会业绩页并完成下列数据和页面状态准备
3. 9月15日甲累计180分钟、乙179分钟、丙181分钟；查看该日期行</x:v>
      </x:c>
      <x:c r="J401" s="9" t="str">
        <x:v>1. 查看公会业绩页</x:v>
      </x:c>
      <x:c r="K401" s="9" t="str">
        <x:v>9月15日达标主播显示2人</x:v>
      </x:c>
      <x:c r="L401" s="10" t="str"/>
      <x:c r="M401" s="10" t="str">
        <x:v>未测</x:v>
      </x:c>
      <x:c r="N401" s="10" t="str"/>
      <x:c r="O401" s="9" t="str">
        <x:v>1. 来源（当前证据）：liveshow-proto/MainBasis/统一需求文档.md；位置：REQ-1955ff14d117；行3374
2. 规则：BR-9cc985a296cba56d
3. 未动态验证</x:v>
      </x:c>
    </x:row>
    <x:row r="402" ht="115" customHeight="1">
      <x:c r="A402" s="10" t="n">
        <x:v>401</x:v>
      </x:c>
      <x:c r="B402" s="10" t="str">
        <x:v>GUILD-05-0095</x:v>
      </x:c>
      <x:c r="C402" s="10" t="str">
        <x:v>数据与收益</x:v>
      </x:c>
      <x:c r="D402" s="10" t="str">
        <x:v>公会业绩（公会长视角）</x:v>
      </x:c>
      <x:c r="E402" s="10" t="str">
        <x:v>逻辑校验</x:v>
      </x:c>
      <x:c r="F402" s="10" t="str">
        <x:v>P1</x:v>
      </x:c>
      <x:c r="G402" s="9" t="str">
        <x:v>验证核对公会月行收益的统计范围</x:v>
      </x:c>
      <x:c r="H402" s="9" t="str">
        <x:v>公会月行收益</x:v>
      </x:c>
      <x:c r="I402" s="9" t="str">
        <x:v>1. 执行角色为公会长
2. 已登录目标公会的公会长账号，打开公会业绩页并完成下列数据和页面状态准备
3. 9月甲收益100、乙200金币；8月收益500金币；查看9月月数据</x:v>
      </x:c>
      <x:c r="J402" s="9" t="str">
        <x:v>1. 查看公会业绩页</x:v>
      </x:c>
      <x:c r="K402" s="9" t="str">
        <x:v>9月收益显示300金币</x:v>
      </x:c>
      <x:c r="L402" s="10" t="str"/>
      <x:c r="M402" s="10" t="str">
        <x:v>未测</x:v>
      </x:c>
      <x:c r="N402" s="10" t="str"/>
      <x:c r="O402" s="9" t="str">
        <x:v>1. 来源（当前证据）：liveshow-proto/MainBasis/统一需求文档.md；位置：REQ-0c6a7c118842；行3380
2. 规则：BR-0b29ac975dc98040
3. 未动态验证</x:v>
      </x:c>
    </x:row>
    <x:row r="403" ht="115" customHeight="1">
      <x:c r="A403" s="10" t="n">
        <x:v>402</x:v>
      </x:c>
      <x:c r="B403" s="10" t="str">
        <x:v>GUILD-05-0096</x:v>
      </x:c>
      <x:c r="C403" s="10" t="str">
        <x:v>数据与收益</x:v>
      </x:c>
      <x:c r="D403" s="10" t="str">
        <x:v>公会业绩（公会长视角）</x:v>
      </x:c>
      <x:c r="E403" s="10" t="str">
        <x:v>逻辑校验</x:v>
      </x:c>
      <x:c r="F403" s="10" t="str">
        <x:v>P1</x:v>
      </x:c>
      <x:c r="G403" s="9" t="str">
        <x:v>验证核对公会日期范围场次的统计范围</x:v>
      </x:c>
      <x:c r="H403" s="9" t="str">
        <x:v>公会日期范围场次</x:v>
      </x:c>
      <x:c r="I403" s="9" t="str">
        <x:v>1. 执行角色为公会长
2. 已登录目标公会的公会长账号，打开公会业绩页并完成下列数据和页面状态准备
3. 9月1日至15日甲两场、乙一场，16日另有一场；选择1日至15日</x:v>
      </x:c>
      <x:c r="J403" s="9" t="str">
        <x:v>1. 查看公会业绩页</x:v>
      </x:c>
      <x:c r="K403" s="9" t="str">
        <x:v>直播场次汇总显示3场</x:v>
      </x:c>
      <x:c r="L403" s="10" t="str"/>
      <x:c r="M403" s="10" t="str">
        <x:v>未测</x:v>
      </x:c>
      <x:c r="N403" s="10" t="str"/>
      <x:c r="O403" s="9" t="str">
        <x:v>1. 来源（当前证据）：liveshow-proto/MainBasis/统一需求文档.md；位置：REQ-d15b0fa3a16a；行3386
2. 规则：BR-6d8b3a7fec78a89b
3. 未动态验证</x:v>
      </x:c>
    </x:row>
    <x:row r="404" ht="100" customHeight="1">
      <x:c r="A404" s="10" t="n">
        <x:v>403</x:v>
      </x:c>
      <x:c r="B404" s="10" t="str">
        <x:v>GUILD-05-0097</x:v>
      </x:c>
      <x:c r="C404" s="10" t="str">
        <x:v>数据与收益</x:v>
      </x:c>
      <x:c r="D404" s="10" t="str">
        <x:v>公会业绩（公会长视角）</x:v>
      </x:c>
      <x:c r="E404" s="10" t="str">
        <x:v>逻辑校验</x:v>
      </x:c>
      <x:c r="F404" s="10" t="str">
        <x:v>P1</x:v>
      </x:c>
      <x:c r="G404" s="9" t="str">
        <x:v>验证核对公会月份范围场次的统计范围</x:v>
      </x:c>
      <x:c r="H404" s="9" t="str">
        <x:v>公会月份范围场次</x:v>
      </x:c>
      <x:c r="I404" s="9" t="str">
        <x:v>1. 执行角色为公会长
2. 已登录目标公会的公会长账号，打开公会业绩页并完成下列数据和页面状态准备
3. 8月两场、9月三场、7月一场；月范围选8月至9月</x:v>
      </x:c>
      <x:c r="J404" s="9" t="str">
        <x:v>1. 查看公会业绩页</x:v>
      </x:c>
      <x:c r="K404" s="9" t="str">
        <x:v>直播场次汇总显示5场</x:v>
      </x:c>
      <x:c r="L404" s="10" t="str"/>
      <x:c r="M404" s="10" t="str">
        <x:v>未测</x:v>
      </x:c>
      <x:c r="N404" s="10" t="str"/>
      <x:c r="O404" s="9" t="str">
        <x:v>1. 来源（当前证据）：liveshow-proto/MainBasis/统一需求文档.md；位置：REQ-4a356878298a；行3394
2. 规则：BR-d3cba495645e7856
3. 未动态验证</x:v>
      </x:c>
    </x:row>
    <x:row r="405" ht="100" customHeight="1">
      <x:c r="A405" s="10" t="n">
        <x:v>404</x:v>
      </x:c>
      <x:c r="B405" s="10" t="str">
        <x:v>GUILD-05-0098</x:v>
      </x:c>
      <x:c r="C405" s="10" t="str">
        <x:v>数据与收益</x:v>
      </x:c>
      <x:c r="D405" s="10" t="str">
        <x:v>每日（公会长视角）</x:v>
      </x:c>
      <x:c r="E405" s="10" t="str">
        <x:v>逻辑校验</x:v>
      </x:c>
      <x:c r="F405" s="10" t="str">
        <x:v>P1</x:v>
      </x:c>
      <x:c r="G405" s="9" t="str">
        <x:v>验证核对每日主播行收益的统计范围</x:v>
      </x:c>
      <x:c r="H405" s="9" t="str">
        <x:v>每日主播行收益</x:v>
      </x:c>
      <x:c r="I405" s="9" t="str">
        <x:v>1. 执行角色为公会长
2. 已登录目标公会的公会长账号，打开每日页并完成下列数据和页面状态准备
3. 9月15日甲收益100金币、乙200金币，查看该日</x:v>
      </x:c>
      <x:c r="J405" s="9" t="str">
        <x:v>1. 查看每日页</x:v>
      </x:c>
      <x:c r="K405" s="9" t="str">
        <x:v>甲的当日收益显示100金币</x:v>
      </x:c>
      <x:c r="L405" s="10" t="str"/>
      <x:c r="M405" s="10" t="str">
        <x:v>未测</x:v>
      </x:c>
      <x:c r="N405" s="10" t="str"/>
      <x:c r="O405" s="9" t="str">
        <x:v>1. 来源（当前证据）：liveshow-proto/MainBasis/统一需求文档.md；位置：REQ-12600d763965；行3419
2. 规则：BR-d654007d9dfdf8a0
3. 未动态验证</x:v>
      </x:c>
    </x:row>
    <x:row r="406" ht="100" customHeight="1">
      <x:c r="A406" s="10" t="n">
        <x:v>405</x:v>
      </x:c>
      <x:c r="B406" s="10" t="str">
        <x:v>GUILD-05-0099</x:v>
      </x:c>
      <x:c r="C406" s="10" t="str">
        <x:v>数据与收益</x:v>
      </x:c>
      <x:c r="D406" s="10" t="str">
        <x:v>每日（公会长视角）</x:v>
      </x:c>
      <x:c r="E406" s="10" t="str">
        <x:v>逻辑校验</x:v>
      </x:c>
      <x:c r="F406" s="10" t="str">
        <x:v>P1</x:v>
      </x:c>
      <x:c r="G406" s="9" t="str">
        <x:v>验证核对每日全部主播收益的统计范围</x:v>
      </x:c>
      <x:c r="H406" s="9" t="str">
        <x:v>每日全部主播收益</x:v>
      </x:c>
      <x:c r="I406" s="9" t="str">
        <x:v>1. 执行角色为公会长
2. 已登录目标公会的公会长账号，打开每日页并完成下列数据和页面状态准备
3. 9月15日甲收益100金币、乙200金币，查看该日</x:v>
      </x:c>
      <x:c r="J406" s="9" t="str">
        <x:v>1. 查看每日页</x:v>
      </x:c>
      <x:c r="K406" s="9" t="str">
        <x:v>当日收益汇总显示300金币</x:v>
      </x:c>
      <x:c r="L406" s="10" t="str"/>
      <x:c r="M406" s="10" t="str">
        <x:v>未测</x:v>
      </x:c>
      <x:c r="N406" s="10" t="str"/>
      <x:c r="O406" s="9" t="str">
        <x:v>1. 来源（当前证据）：liveshow-proto/MainBasis/统一需求文档.md；位置：REQ-48b8679384f1；行3423
2. 规则：BR-037c6fabbd519703
3. 未动态验证</x:v>
      </x:c>
    </x:row>
    <x:row r="407" ht="100" customHeight="1">
      <x:c r="A407" s="10" t="n">
        <x:v>406</x:v>
      </x:c>
      <x:c r="B407" s="10" t="str">
        <x:v>GUILD-05-0100</x:v>
      </x:c>
      <x:c r="C407" s="10" t="str">
        <x:v>数据与收益</x:v>
      </x:c>
      <x:c r="D407" s="10" t="str">
        <x:v>每日（公会长视角）</x:v>
      </x:c>
      <x:c r="E407" s="10" t="str">
        <x:v>逻辑校验</x:v>
      </x:c>
      <x:c r="F407" s="10" t="str">
        <x:v>P1</x:v>
      </x:c>
      <x:c r="G407" s="9" t="str">
        <x:v>验证核对每日达标人数的统计范围</x:v>
      </x:c>
      <x:c r="H407" s="9" t="str">
        <x:v>每日达标人数</x:v>
      </x:c>
      <x:c r="I407" s="9" t="str">
        <x:v>1. 执行角色为公会长
2. 已登录目标公会的公会长账号，打开每日页并完成下列数据和页面状态准备
3. 9月15日甲180分钟、乙179分钟、丙181分钟，查看该日</x:v>
      </x:c>
      <x:c r="J407" s="9" t="str">
        <x:v>1. 查看每日页</x:v>
      </x:c>
      <x:c r="K407" s="9" t="str">
        <x:v>达成有效天显示2人</x:v>
      </x:c>
      <x:c r="L407" s="10" t="str"/>
      <x:c r="M407" s="10" t="str">
        <x:v>未测</x:v>
      </x:c>
      <x:c r="N407" s="10" t="str"/>
      <x:c r="O407" s="9" t="str">
        <x:v>1. 来源（当前证据）：liveshow-proto/MainBasis/统一需求文档.md；位置：REQ-f24885176749；行3427
2. 规则：BR-3eaf6d9b1b6edf47
3. 未动态验证</x:v>
      </x:c>
    </x:row>
    <x:row r="408" ht="85" customHeight="1">
      <x:c r="A408" s="10" t="n">
        <x:v>407</x:v>
      </x:c>
      <x:c r="B408" s="10" t="str">
        <x:v>GUILD-01-0047</x:v>
      </x:c>
      <x:c r="C408" s="10" t="str">
        <x:v>登录与首页</x:v>
      </x:c>
      <x:c r="D408" s="10" t="str">
        <x:v>首页（公会长视角）</x:v>
      </x:c>
      <x:c r="E408" s="10" t="str">
        <x:v>功能需求</x:v>
      </x:c>
      <x:c r="F408" s="10" t="str">
        <x:v>P2</x:v>
      </x:c>
      <x:c r="G408" s="9" t="str">
        <x:v>验证公会首页通知入口未读提示</x:v>
      </x:c>
      <x:c r="H408" s="9" t="str">
        <x:v>通知入口未读提示</x:v>
      </x:c>
      <x:c r="I408" s="9" t="str">
        <x:v>1. 执行角色为公会长
2. 已登录目标公会的公会长账号，打开首页页并完成下列数据和页面状态准备
3. 当前公会有1条未读通知</x:v>
      </x:c>
      <x:c r="J408" s="9" t="str">
        <x:v>1. 查看首页</x:v>
      </x:c>
      <x:c r="K408" s="9" t="str">
        <x:v>通知入口显示未读提示</x:v>
      </x:c>
      <x:c r="L408" s="10" t="str"/>
      <x:c r="M408" s="10" t="str">
        <x:v>未测</x:v>
      </x:c>
      <x:c r="N408" s="10" t="str"/>
      <x:c r="O408" s="9" t="str">
        <x:v>1. 来源（当前证据）：liveshow-proto/MainBasis/统一需求文档.md；位置：REQ-3b9a4901a62b；行2737
2. 规则：BR-30a95686f5049245
3. 未动态验证</x:v>
      </x:c>
    </x:row>
    <x:row r="409" ht="85" customHeight="1">
      <x:c r="A409" s="10" t="n">
        <x:v>408</x:v>
      </x:c>
      <x:c r="B409" s="10" t="str">
        <x:v>GUILD-01-0048</x:v>
      </x:c>
      <x:c r="C409" s="10" t="str">
        <x:v>登录与首页</x:v>
      </x:c>
      <x:c r="D409" s="10" t="str">
        <x:v>首页（公会长视角）</x:v>
      </x:c>
      <x:c r="E409" s="10" t="str">
        <x:v>功能需求</x:v>
      </x:c>
      <x:c r="F409" s="10" t="str">
        <x:v>P2</x:v>
      </x:c>
      <x:c r="G409" s="9" t="str">
        <x:v>验证公会首页通知入口已读状态</x:v>
      </x:c>
      <x:c r="H409" s="9" t="str">
        <x:v>通知入口已读状态</x:v>
      </x:c>
      <x:c r="I409" s="9" t="str">
        <x:v>1. 执行角色为公会长
2. 已登录目标公会的公会长账号，打开首页页并完成下列数据和页面状态准备
3. 当前公会所有通知均已读</x:v>
      </x:c>
      <x:c r="J409" s="9" t="str">
        <x:v>1. 查看首页</x:v>
      </x:c>
      <x:c r="K409" s="9" t="str">
        <x:v>通知入口不显示未读提示</x:v>
      </x:c>
      <x:c r="L409" s="10" t="str"/>
      <x:c r="M409" s="10" t="str">
        <x:v>未测</x:v>
      </x:c>
      <x:c r="N409" s="10" t="str"/>
      <x:c r="O409" s="9" t="str">
        <x:v>1. 来源（当前证据）：liveshow-proto/MainBasis/统一需求文档.md；位置：REQ-3b9a4901a62b；行2737
2. 规则：BR-10ee01c60d8c8482
3. 未动态验证</x:v>
      </x:c>
    </x:row>
    <x:row r="410" ht="115" customHeight="1">
      <x:c r="A410" s="10" t="n">
        <x:v>409</x:v>
      </x:c>
      <x:c r="B410" s="10" t="str">
        <x:v>GUILD-01-0049</x:v>
      </x:c>
      <x:c r="C410" s="10" t="str">
        <x:v>登录与首页</x:v>
      </x:c>
      <x:c r="D410" s="10" t="str">
        <x:v>通知消息（公会长视角）</x:v>
      </x:c>
      <x:c r="E410" s="10" t="str">
        <x:v>逻辑校验</x:v>
      </x:c>
      <x:c r="F410" s="10" t="str">
        <x:v>P1</x:v>
      </x:c>
      <x:c r="G410" s="9" t="str">
        <x:v>验证公会收到平台关闭直播场次通知</x:v>
      </x:c>
      <x:c r="H410" s="9" t="str">
        <x:v>平台关闭直播场次业务通知</x:v>
      </x:c>
      <x:c r="I410" s="9" t="str">
        <x:v>1. 执行角色为公会长
2. 已登录目标公会的公会长账号，打开通知消息页并完成下列数据和页面状态准备
3. 当前公会已发生平台关闭直播场次，通知服务已完成该事件投递</x:v>
      </x:c>
      <x:c r="J410" s="9" t="str">
        <x:v>1. 查看通知消息页</x:v>
      </x:c>
      <x:c r="K410" s="9" t="str">
        <x:v>存在对应平台关闭直播场次通知</x:v>
      </x:c>
      <x:c r="L410" s="10" t="str"/>
      <x:c r="M410" s="10" t="str">
        <x:v>未测</x:v>
      </x:c>
      <x:c r="N410" s="10" t="str"/>
      <x:c r="O410" s="9" t="str">
        <x:v>1. 来源（当前证据）：liveshow-proto/MainBasis/统一需求文档.md；位置：REQ-4d0543771bfa；行2766
2. 规则：BR-d500bf97beab35a1
3. 未动态验证</x:v>
      </x:c>
    </x:row>
    <x:row r="411" ht="115" customHeight="1">
      <x:c r="A411" s="10" t="n">
        <x:v>410</x:v>
      </x:c>
      <x:c r="B411" s="10" t="str">
        <x:v>GUILD-01-0050</x:v>
      </x:c>
      <x:c r="C411" s="10" t="str">
        <x:v>登录与首页</x:v>
      </x:c>
      <x:c r="D411" s="10" t="str">
        <x:v>通知消息（公会长视角）</x:v>
      </x:c>
      <x:c r="E411" s="10" t="str">
        <x:v>逻辑校验</x:v>
      </x:c>
      <x:c r="F411" s="10" t="str">
        <x:v>P1</x:v>
      </x:c>
      <x:c r="G411" s="9" t="str">
        <x:v>验证公会收到平台恢复直播权限通知</x:v>
      </x:c>
      <x:c r="H411" s="9" t="str">
        <x:v>平台恢复直播权限业务通知</x:v>
      </x:c>
      <x:c r="I411" s="9" t="str">
        <x:v>1. 执行角色为公会长
2. 已登录目标公会的公会长账号，打开通知消息页并完成下列数据和页面状态准备
3. 当前公会已发生平台恢复直播权限，通知服务已完成该事件投递</x:v>
      </x:c>
      <x:c r="J411" s="9" t="str">
        <x:v>1. 查看通知消息页</x:v>
      </x:c>
      <x:c r="K411" s="9" t="str">
        <x:v>存在对应平台恢复直播权限通知</x:v>
      </x:c>
      <x:c r="L411" s="10" t="str"/>
      <x:c r="M411" s="10" t="str">
        <x:v>未测</x:v>
      </x:c>
      <x:c r="N411" s="10" t="str"/>
      <x:c r="O411" s="9" t="str">
        <x:v>1. 来源（当前证据）：liveshow-proto/MainBasis/统一需求文档.md；位置：REQ-4d0543771bfa；行2766
2. 规则：BR-a14459189f2565d4
3. 未动态验证</x:v>
      </x:c>
    </x:row>
    <x:row r="412" ht="115" customHeight="1">
      <x:c r="A412" s="10" t="n">
        <x:v>411</x:v>
      </x:c>
      <x:c r="B412" s="10" t="str">
        <x:v>GUILD-01-0051</x:v>
      </x:c>
      <x:c r="C412" s="10" t="str">
        <x:v>登录与首页</x:v>
      </x:c>
      <x:c r="D412" s="10" t="str">
        <x:v>通知消息（公会长视角）</x:v>
      </x:c>
      <x:c r="E412" s="10" t="str">
        <x:v>逻辑校验</x:v>
      </x:c>
      <x:c r="F412" s="10" t="str">
        <x:v>P1</x:v>
      </x:c>
      <x:c r="G412" s="9" t="str">
        <x:v>验证公会收到公会长账号状态变更通知</x:v>
      </x:c>
      <x:c r="H412" s="9" t="str">
        <x:v>公会长账号状态变更业务通知</x:v>
      </x:c>
      <x:c r="I412" s="9" t="str">
        <x:v>1. 执行角色为公会长
2. 已登录目标公会的公会长账号，打开通知消息页并完成下列数据和页面状态准备
3. 当前公会已发生公会长账号状态变更，通知服务已完成该事件投递</x:v>
      </x:c>
      <x:c r="J412" s="9" t="str">
        <x:v>1. 查看通知消息页</x:v>
      </x:c>
      <x:c r="K412" s="9" t="str">
        <x:v>存在对应公会长账号状态变更通知</x:v>
      </x:c>
      <x:c r="L412" s="10" t="str"/>
      <x:c r="M412" s="10" t="str">
        <x:v>未测</x:v>
      </x:c>
      <x:c r="N412" s="10" t="str"/>
      <x:c r="O412" s="9" t="str">
        <x:v>1. 来源（当前证据）：liveshow-proto/MainBasis/统一需求文档.md；位置：REQ-ad9fa1638ecd；行2768
2. 规则：BR-50b9ff7174039b93
3. 未动态验证</x:v>
      </x:c>
    </x:row>
    <x:row r="413" ht="100" customHeight="1">
      <x:c r="A413" s="10" t="n">
        <x:v>412</x:v>
      </x:c>
      <x:c r="B413" s="10" t="str">
        <x:v>GUILD-01-0052</x:v>
      </x:c>
      <x:c r="C413" s="10" t="str">
        <x:v>登录与首页</x:v>
      </x:c>
      <x:c r="D413" s="10" t="str">
        <x:v>通知消息（公会长视角）</x:v>
      </x:c>
      <x:c r="E413" s="10" t="str">
        <x:v>逻辑校验</x:v>
      </x:c>
      <x:c r="F413" s="10" t="str">
        <x:v>P1</x:v>
      </x:c>
      <x:c r="G413" s="9" t="str">
        <x:v>验证公会收到主播分成冲正通知</x:v>
      </x:c>
      <x:c r="H413" s="9" t="str">
        <x:v>主播分成冲正业务通知</x:v>
      </x:c>
      <x:c r="I413" s="9" t="str">
        <x:v>1. 执行角色为公会长
2. 已登录目标公会的公会长账号，打开通知消息页并完成下列数据和页面状态准备
3. 当前公会已发生主播分成冲正，通知服务已完成该事件投递</x:v>
      </x:c>
      <x:c r="J413" s="9" t="str">
        <x:v>1. 查看通知消息页</x:v>
      </x:c>
      <x:c r="K413" s="9" t="str">
        <x:v>存在对应主播分成冲正通知</x:v>
      </x:c>
      <x:c r="L413" s="10" t="str"/>
      <x:c r="M413" s="10" t="str">
        <x:v>未测</x:v>
      </x:c>
      <x:c r="N413" s="10" t="str"/>
      <x:c r="O413" s="9" t="str">
        <x:v>1. 来源（当前证据）：liveshow-proto/MainBasis/统一需求文档.md；位置：REQ-bb6cd0c38874；行2770
2. 规则：BR-5fab1a67b7d29eea
3. 未动态验证</x:v>
      </x:c>
    </x:row>
    <x:row r="414" ht="100" customHeight="1">
      <x:c r="A414" s="10" t="n">
        <x:v>413</x:v>
      </x:c>
      <x:c r="B414" s="10" t="str">
        <x:v>GUILD-01-0053</x:v>
      </x:c>
      <x:c r="C414" s="10" t="str">
        <x:v>登录与首页</x:v>
      </x:c>
      <x:c r="D414" s="10" t="str">
        <x:v>通知消息（公会长视角）</x:v>
      </x:c>
      <x:c r="E414" s="10" t="str">
        <x:v>逻辑校验</x:v>
      </x:c>
      <x:c r="F414" s="10" t="str">
        <x:v>P1</x:v>
      </x:c>
      <x:c r="G414" s="9" t="str">
        <x:v>验证公会收到公会分成冲正通知</x:v>
      </x:c>
      <x:c r="H414" s="9" t="str">
        <x:v>公会分成冲正业务通知</x:v>
      </x:c>
      <x:c r="I414" s="9" t="str">
        <x:v>1. 执行角色为公会长
2. 已登录目标公会的公会长账号，打开通知消息页并完成下列数据和页面状态准备
3. 当前公会已发生公会分成冲正，通知服务已完成该事件投递</x:v>
      </x:c>
      <x:c r="J414" s="9" t="str">
        <x:v>1. 查看通知消息页</x:v>
      </x:c>
      <x:c r="K414" s="9" t="str">
        <x:v>存在对应公会分成冲正通知</x:v>
      </x:c>
      <x:c r="L414" s="10" t="str"/>
      <x:c r="M414" s="10" t="str">
        <x:v>未测</x:v>
      </x:c>
      <x:c r="N414" s="10" t="str"/>
      <x:c r="O414" s="9" t="str">
        <x:v>1. 来源（当前证据）：liveshow-proto/MainBasis/统一需求文档.md；位置：REQ-bb6cd0c38874；行2770
2. 规则：BR-0b424aae0aa5777c
3. 未动态验证</x:v>
      </x:c>
    </x:row>
    <x:row r="415" ht="85" customHeight="1">
      <x:c r="A415" s="10" t="n">
        <x:v>414</x:v>
      </x:c>
      <x:c r="B415" s="10" t="str">
        <x:v>GUILD-01-0054</x:v>
      </x:c>
      <x:c r="C415" s="10" t="str">
        <x:v>登录与首页</x:v>
      </x:c>
      <x:c r="D415" s="10" t="str">
        <x:v>通知消息（公会长视角）</x:v>
      </x:c>
      <x:c r="E415" s="10" t="str">
        <x:v>功能需求</x:v>
      </x:c>
      <x:c r="F415" s="10" t="str">
        <x:v>P2</x:v>
      </x:c>
      <x:c r="G415" s="9" t="str">
        <x:v>验证通知列表打开选中通知</x:v>
      </x:c>
      <x:c r="H415" s="9" t="str">
        <x:v>通知列表详情对应</x:v>
      </x:c>
      <x:c r="I415" s="9" t="str">
        <x:v>1. 执行角色为公会长
2. 已登录目标公会的公会长账号，打开通知消息页并完成下列数据和页面状态准备
3. 当前列表有通知N和M</x:v>
      </x:c>
      <x:c r="J415" s="9" t="str">
        <x:v>1. 查看通知消息页
2. 点击通知N</x:v>
      </x:c>
      <x:c r="K415" s="9" t="str">
        <x:v>详情展示通知N</x:v>
      </x:c>
      <x:c r="L415" s="10" t="str"/>
      <x:c r="M415" s="10" t="str">
        <x:v>未测</x:v>
      </x:c>
      <x:c r="N415" s="10" t="str"/>
      <x:c r="O415" s="9" t="str">
        <x:v>1. 来源（当前证据）：liveshow-proto/MainBasis/统一需求文档.md；位置：REQ-10ced19ffe25；行2772
2. 规则：BR-4ea4631106a824cd
3. 未动态验证</x:v>
      </x:c>
    </x:row>
    <x:row r="416" ht="100" customHeight="1">
      <x:c r="A416" s="10" t="n">
        <x:v>415</x:v>
      </x:c>
      <x:c r="B416" s="10" t="str">
        <x:v>GUILD-02-0119</x:v>
      </x:c>
      <x:c r="C416" s="10" t="str">
        <x:v>主播管理</x:v>
      </x:c>
      <x:c r="D416" s="10" t="str">
        <x:v>入会申请（公会长视角）</x:v>
      </x:c>
      <x:c r="E416" s="10" t="str">
        <x:v>逻辑校验</x:v>
      </x:c>
      <x:c r="F416" s="10" t="str">
        <x:v>P1</x:v>
      </x:c>
      <x:c r="G416" s="9" t="str">
        <x:v>验证入会已通过数量</x:v>
      </x:c>
      <x:c r="H416" s="9" t="str">
        <x:v>已通过申请数量</x:v>
      </x:c>
      <x:c r="I416" s="9" t="str">
        <x:v>1. 执行角色为公会长
2. 已登录目标公会的公会长账号，打开入会申请页并完成下列数据和页面状态准备
3. 当前公会已通过申请3单，其他状态4单</x:v>
      </x:c>
      <x:c r="J416" s="9" t="str">
        <x:v>1. 查看入会申请页</x:v>
      </x:c>
      <x:c r="K416" s="9" t="str">
        <x:v>已通过数量显示3</x:v>
      </x:c>
      <x:c r="L416" s="10" t="str"/>
      <x:c r="M416" s="10" t="str">
        <x:v>未测</x:v>
      </x:c>
      <x:c r="N416" s="10" t="str"/>
      <x:c r="O416" s="9" t="str">
        <x:v>1. 来源（当前证据）：liveshow-proto/MainBasis/统一需求文档.md；位置：REQ-7c3feec7bb55；行2790
2. 规则：BR-9669025e68f6a2fd
3. 未动态验证</x:v>
      </x:c>
    </x:row>
    <x:row r="417" ht="100" customHeight="1">
      <x:c r="A417" s="10" t="n">
        <x:v>416</x:v>
      </x:c>
      <x:c r="B417" s="10" t="str">
        <x:v>GUILD-02-0120</x:v>
      </x:c>
      <x:c r="C417" s="10" t="str">
        <x:v>主播管理</x:v>
      </x:c>
      <x:c r="D417" s="10" t="str">
        <x:v>入会申请（公会长视角）</x:v>
      </x:c>
      <x:c r="E417" s="10" t="str">
        <x:v>逻辑校验</x:v>
      </x:c>
      <x:c r="F417" s="10" t="str">
        <x:v>P1</x:v>
      </x:c>
      <x:c r="G417" s="9" t="str">
        <x:v>验证入会已驳回数量</x:v>
      </x:c>
      <x:c r="H417" s="9" t="str">
        <x:v>已驳回申请数量</x:v>
      </x:c>
      <x:c r="I417" s="9" t="str">
        <x:v>1. 执行角色为公会长
2. 已登录目标公会的公会长账号，打开入会申请页并完成下列数据和页面状态准备
3. 当前公会已驳回申请3单，其他状态4单</x:v>
      </x:c>
      <x:c r="J417" s="9" t="str">
        <x:v>1. 查看入会申请页</x:v>
      </x:c>
      <x:c r="K417" s="9" t="str">
        <x:v>已驳回数量显示3</x:v>
      </x:c>
      <x:c r="L417" s="10" t="str"/>
      <x:c r="M417" s="10" t="str">
        <x:v>未测</x:v>
      </x:c>
      <x:c r="N417" s="10" t="str"/>
      <x:c r="O417" s="9" t="str">
        <x:v>1. 来源（当前证据）：liveshow-proto/MainBasis/统一需求文档.md；位置：REQ-7c3feec7bb55；行2790
2. 规则：BR-552b6357e34067b1
3. 未动态验证</x:v>
      </x:c>
    </x:row>
    <x:row r="418" ht="100" customHeight="1">
      <x:c r="A418" s="10" t="n">
        <x:v>417</x:v>
      </x:c>
      <x:c r="B418" s="10" t="str">
        <x:v>GUILD-02-0121</x:v>
      </x:c>
      <x:c r="C418" s="10" t="str">
        <x:v>主播管理</x:v>
      </x:c>
      <x:c r="D418" s="10" t="str">
        <x:v>退会申请（公会长视角）</x:v>
      </x:c>
      <x:c r="E418" s="10" t="str">
        <x:v>逻辑校验</x:v>
      </x:c>
      <x:c r="F418" s="10" t="str">
        <x:v>P1</x:v>
      </x:c>
      <x:c r="G418" s="9" t="str">
        <x:v>验证退会已通过数量</x:v>
      </x:c>
      <x:c r="H418" s="9" t="str">
        <x:v>已通过申请数量</x:v>
      </x:c>
      <x:c r="I418" s="9" t="str">
        <x:v>1. 执行角色为公会长
2. 已登录目标公会的公会长账号，打开退会申请页并完成下列数据和页面状态准备
3. 当前公会已通过申请3单，其他状态4单</x:v>
      </x:c>
      <x:c r="J418" s="9" t="str">
        <x:v>1. 查看退会申请页</x:v>
      </x:c>
      <x:c r="K418" s="9" t="str">
        <x:v>已通过数量显示3</x:v>
      </x:c>
      <x:c r="L418" s="10" t="str"/>
      <x:c r="M418" s="10" t="str">
        <x:v>未测</x:v>
      </x:c>
      <x:c r="N418" s="10" t="str"/>
      <x:c r="O418" s="9" t="str">
        <x:v>1. 来源（当前证据）：liveshow-proto/MainBasis/统一需求文档.md；位置：REQ-34f3e2e1e60c；行2842
2. 规则：BR-7e9423fae5bbe290
3. 未动态验证</x:v>
      </x:c>
    </x:row>
    <x:row r="419" ht="100" customHeight="1">
      <x:c r="A419" s="10" t="n">
        <x:v>418</x:v>
      </x:c>
      <x:c r="B419" s="10" t="str">
        <x:v>GUILD-02-0122</x:v>
      </x:c>
      <x:c r="C419" s="10" t="str">
        <x:v>主播管理</x:v>
      </x:c>
      <x:c r="D419" s="10" t="str">
        <x:v>退会申请（公会长视角）</x:v>
      </x:c>
      <x:c r="E419" s="10" t="str">
        <x:v>逻辑校验</x:v>
      </x:c>
      <x:c r="F419" s="10" t="str">
        <x:v>P1</x:v>
      </x:c>
      <x:c r="G419" s="9" t="str">
        <x:v>验证退会已驳回数量</x:v>
      </x:c>
      <x:c r="H419" s="9" t="str">
        <x:v>已驳回申请数量</x:v>
      </x:c>
      <x:c r="I419" s="9" t="str">
        <x:v>1. 执行角色为公会长
2. 已登录目标公会的公会长账号，打开退会申请页并完成下列数据和页面状态准备
3. 当前公会已驳回申请3单，其他状态4单</x:v>
      </x:c>
      <x:c r="J419" s="9" t="str">
        <x:v>1. 查看退会申请页</x:v>
      </x:c>
      <x:c r="K419" s="9" t="str">
        <x:v>已驳回数量显示3</x:v>
      </x:c>
      <x:c r="L419" s="10" t="str"/>
      <x:c r="M419" s="10" t="str">
        <x:v>未测</x:v>
      </x:c>
      <x:c r="N419" s="10" t="str"/>
      <x:c r="O419" s="9" t="str">
        <x:v>1. 来源（当前证据）：liveshow-proto/MainBasis/统一需求文档.md；位置：REQ-34f3e2e1e60c；行2842
2. 规则：BR-3756ec1fc685400a
3. 未动态验证</x:v>
      </x:c>
    </x:row>
    <x:row r="420" ht="100" customHeight="1">
      <x:c r="A420" s="10" t="n">
        <x:v>419</x:v>
      </x:c>
      <x:c r="B420" s="10" t="str">
        <x:v>GUILD-02-0123</x:v>
      </x:c>
      <x:c r="C420" s="10" t="str">
        <x:v>主播管理</x:v>
      </x:c>
      <x:c r="D420" s="10" t="str">
        <x:v>入会申请（公会长视角）</x:v>
      </x:c>
      <x:c r="E420" s="10" t="str">
        <x:v>逻辑校验</x:v>
      </x:c>
      <x:c r="F420" s="10" t="str">
        <x:v>P1</x:v>
      </x:c>
      <x:c r="G420" s="9" t="str">
        <x:v>验证入会公会驳回状态不冒充平台结论</x:v>
      </x:c>
      <x:c r="H420" s="9" t="str">
        <x:v>公会驳回阶段标识</x:v>
      </x:c>
      <x:c r="I420" s="9" t="str">
        <x:v>1. 执行角色为公会长
2. 已登录目标公会的公会长账号，打开入会申请页并完成下列数据和页面状态准备
3. 申请A被公会驳回，平台从未处理</x:v>
      </x:c>
      <x:c r="J420" s="9" t="str">
        <x:v>1. 查看入会申请页
2. 切换已驳回</x:v>
      </x:c>
      <x:c r="K420" s="9" t="str">
        <x:v>申请A显示公会驳回</x:v>
      </x:c>
      <x:c r="L420" s="10" t="str"/>
      <x:c r="M420" s="10" t="str">
        <x:v>未测</x:v>
      </x:c>
      <x:c r="N420" s="10" t="str"/>
      <x:c r="O420" s="9" t="str">
        <x:v>1. 来源（当前证据）：liveshow-proto/MainBasis/统一需求文档.md；位置：REQ-01aea7c3c29c；行2796
2. 规则：BR-3113b482996631c6
3. 未动态验证</x:v>
      </x:c>
    </x:row>
    <x:row r="421" ht="85" customHeight="1">
      <x:c r="A421" s="10" t="n">
        <x:v>420</x:v>
      </x:c>
      <x:c r="B421" s="10" t="str">
        <x:v>GUILD-02-0124</x:v>
      </x:c>
      <x:c r="C421" s="10" t="str">
        <x:v>主播管理</x:v>
      </x:c>
      <x:c r="D421" s="10" t="str">
        <x:v>入会申请详情（公会长视角）</x:v>
      </x:c>
      <x:c r="E421" s="10" t="str">
        <x:v>逻辑校验</x:v>
      </x:c>
      <x:c r="F421" s="10" t="str">
        <x:v>P1</x:v>
      </x:c>
      <x:c r="G421" s="9" t="str">
        <x:v>验证入会进度识别用户刚提交</x:v>
      </x:c>
      <x:c r="H421" s="9" t="str">
        <x:v>入会当前审核阶段</x:v>
      </x:c>
      <x:c r="I421" s="9" t="str">
        <x:v>1. 执行角色为公会长
2. 已登录目标公会的公会长账号，打开入会申请详情页并完成下列数据和页面状态准备
3. 当前申请用户刚提交</x:v>
      </x:c>
      <x:c r="J421" s="9" t="str">
        <x:v>1. 查看入会申请详情页</x:v>
      </x:c>
      <x:c r="K421" s="9" t="str">
        <x:v>当前阶段显示待公会审核</x:v>
      </x:c>
      <x:c r="L421" s="10" t="str"/>
      <x:c r="M421" s="10" t="str">
        <x:v>未测</x:v>
      </x:c>
      <x:c r="N421" s="10" t="str"/>
      <x:c r="O421" s="9" t="str">
        <x:v>1. 来源（当前证据）：liveshow-proto/MainBasis/统一需求文档.md；位置：REQ-14cedfd463b3；行2821
2. 规则：BR-93b7705e9e8baec2
3. 未动态验证</x:v>
      </x:c>
    </x:row>
    <x:row r="422" ht="85" customHeight="1">
      <x:c r="A422" s="10" t="n">
        <x:v>421</x:v>
      </x:c>
      <x:c r="B422" s="10" t="str">
        <x:v>GUILD-02-0125</x:v>
      </x:c>
      <x:c r="C422" s="10" t="str">
        <x:v>主播管理</x:v>
      </x:c>
      <x:c r="D422" s="10" t="str">
        <x:v>入会申请详情（公会长视角）</x:v>
      </x:c>
      <x:c r="E422" s="10" t="str">
        <x:v>逻辑校验</x:v>
      </x:c>
      <x:c r="F422" s="10" t="str">
        <x:v>P1</x:v>
      </x:c>
      <x:c r="G422" s="9" t="str">
        <x:v>验证入会进度识别平台终审已通过</x:v>
      </x:c>
      <x:c r="H422" s="9" t="str">
        <x:v>入会当前审核阶段</x:v>
      </x:c>
      <x:c r="I422" s="9" t="str">
        <x:v>1. 执行角色为公会长
2. 已登录目标公会的公会长账号，打开入会申请详情页并完成下列数据和页面状态准备
3. 当前申请平台终审已通过</x:v>
      </x:c>
      <x:c r="J422" s="9" t="str">
        <x:v>1. 查看入会申请详情页</x:v>
      </x:c>
      <x:c r="K422" s="9" t="str">
        <x:v>当前阶段显示成为主播</x:v>
      </x:c>
      <x:c r="L422" s="10" t="str"/>
      <x:c r="M422" s="10" t="str">
        <x:v>未测</x:v>
      </x:c>
      <x:c r="N422" s="10" t="str"/>
      <x:c r="O422" s="9" t="str">
        <x:v>1. 来源（当前证据）：liveshow-proto/MainBasis/统一需求文档.md；位置：REQ-14cedfd463b3；行2821
2. 规则：BR-8809db1c485f3176
3. 未动态验证</x:v>
      </x:c>
    </x:row>
    <x:row r="423" ht="100" customHeight="1">
      <x:c r="A423" s="10" t="n">
        <x:v>422</x:v>
      </x:c>
      <x:c r="B423" s="10" t="str">
        <x:v>GUILD-02-0126</x:v>
      </x:c>
      <x:c r="C423" s="10" t="str">
        <x:v>主播管理</x:v>
      </x:c>
      <x:c r="D423" s="10" t="str">
        <x:v>入会申请详情（公会长视角）</x:v>
      </x:c>
      <x:c r="E423" s="10" t="str">
        <x:v>功能需求</x:v>
      </x:c>
      <x:c r="F423" s="10" t="str">
        <x:v>P2</x:v>
      </x:c>
      <x:c r="G423" s="9" t="str">
        <x:v>验证入会审核完成显示实际节点时间</x:v>
      </x:c>
      <x:c r="H423" s="9" t="str">
        <x:v>入会完成节点时间</x:v>
      </x:c>
      <x:c r="I423" s="9" t="str">
        <x:v>1. 执行角色为公会长
2. 已登录目标公会的公会长账号，打开入会申请详情页并完成下列数据和页面状态准备
3. 申请9月14日10:00提交，公会9月15日11:00通过</x:v>
      </x:c>
      <x:c r="J423" s="9" t="str">
        <x:v>1. 查看入会申请详情页</x:v>
      </x:c>
      <x:c r="K423" s="9" t="str">
        <x:v>公会节点时间对应9月15日11:00</x:v>
      </x:c>
      <x:c r="L423" s="10" t="str"/>
      <x:c r="M423" s="10" t="str">
        <x:v>未测</x:v>
      </x:c>
      <x:c r="N423" s="10" t="str"/>
      <x:c r="O423" s="9" t="str">
        <x:v>1. 来源（当前证据）：liveshow-proto/MainBasis/统一需求文档.md；位置：REQ-e5d474e04dec；行2823
2. 规则：BR-c9c50d9a95cc1bd1
3. 未动态验证</x:v>
      </x:c>
    </x:row>
    <x:row r="424" ht="85" customHeight="1">
      <x:c r="A424" s="10" t="n">
        <x:v>423</x:v>
      </x:c>
      <x:c r="B424" s="10" t="str">
        <x:v>GUILD-02-0127</x:v>
      </x:c>
      <x:c r="C424" s="10" t="str">
        <x:v>主播管理</x:v>
      </x:c>
      <x:c r="D424" s="10" t="str">
        <x:v>入会申请详情（公会长视角）</x:v>
      </x:c>
      <x:c r="E424" s="10" t="str">
        <x:v>逻辑校验</x:v>
      </x:c>
      <x:c r="F424" s="10" t="str">
        <x:v>P1</x:v>
      </x:c>
      <x:c r="G424" s="9" t="str">
        <x:v>验证入会驳回理由达到200字符可提交</x:v>
      </x:c>
      <x:c r="H424" s="9" t="str">
        <x:v>入会驳回理由上限可用</x:v>
      </x:c>
      <x:c r="I424" s="9" t="str">
        <x:v>1. 执行角色为公会长
2. 已登录目标公会的公会长账号，打开入会申请详情页并完成下列数据和页面状态准备
3. 当前入会申请待公会处理</x:v>
      </x:c>
      <x:c r="J424" s="9" t="str">
        <x:v>1. 查看入会申请详情页
2. 点击驳回
3. 填写驳回理由为200个A
4. 点击确认</x:v>
      </x:c>
      <x:c r="K424" s="9" t="str">
        <x:v>对应驳回节点显示完整200个A</x:v>
      </x:c>
      <x:c r="L424" s="10" t="str"/>
      <x:c r="M424" s="10" t="str">
        <x:v>未测</x:v>
      </x:c>
      <x:c r="N424" s="10" t="str"/>
      <x:c r="O424" s="9" t="str">
        <x:v>1. 来源（当前证据）：liveshow-proto/MainBasis/统一需求文档.md；位置：REQ-53046ad842aa；行2825
2. 规则：BR-b1454237d628615a
3. 未动态验证</x:v>
      </x:c>
    </x:row>
    <x:row r="425" ht="85" customHeight="1">
      <x:c r="A425" s="10" t="n">
        <x:v>424</x:v>
      </x:c>
      <x:c r="B425" s="10" t="str">
        <x:v>GUILD-02-0128</x:v>
      </x:c>
      <x:c r="C425" s="10" t="str">
        <x:v>主播管理</x:v>
      </x:c>
      <x:c r="D425" s="10" t="str">
        <x:v>入会申请详情（公会长视角）</x:v>
      </x:c>
      <x:c r="E425" s="10" t="str">
        <x:v>逻辑校验</x:v>
      </x:c>
      <x:c r="F425" s="10" t="str">
        <x:v>P1</x:v>
      </x:c>
      <x:c r="G425" s="9" t="str">
        <x:v>验证入会已通过申请不可再审核</x:v>
      </x:c>
      <x:c r="H425" s="9" t="str">
        <x:v>入会通过结果只读</x:v>
      </x:c>
      <x:c r="I425" s="9" t="str">
        <x:v>1. 执行角色为公会长
2. 已登录目标公会的公会长账号，打开入会申请详情页并完成下列数据和页面状态准备
3. 当前入会申请已处理为通过</x:v>
      </x:c>
      <x:c r="J425" s="9" t="str">
        <x:v>1. 查看入会申请详情页</x:v>
      </x:c>
      <x:c r="K425" s="9" t="str">
        <x:v>不提供再次通过或驳回操作</x:v>
      </x:c>
      <x:c r="L425" s="10" t="str"/>
      <x:c r="M425" s="10" t="str">
        <x:v>未测</x:v>
      </x:c>
      <x:c r="N425" s="10" t="str"/>
      <x:c r="O425" s="9" t="str">
        <x:v>1. 来源（当前证据）：liveshow-proto/MainBasis/统一需求文档.md；位置：REQ-291af42ec723；行2833
2. 规则：BR-18b1b9a4d4f68043
3. 未动态验证</x:v>
      </x:c>
    </x:row>
    <x:row r="426" ht="100" customHeight="1">
      <x:c r="A426" s="10" t="n">
        <x:v>425</x:v>
      </x:c>
      <x:c r="B426" s="10" t="str">
        <x:v>GUILD-02-0129</x:v>
      </x:c>
      <x:c r="C426" s="10" t="str">
        <x:v>主播管理</x:v>
      </x:c>
      <x:c r="D426" s="10" t="str">
        <x:v>退会申请详情（公会长视角）</x:v>
      </x:c>
      <x:c r="E426" s="10" t="str">
        <x:v>逻辑校验</x:v>
      </x:c>
      <x:c r="F426" s="10" t="str">
        <x:v>P1</x:v>
      </x:c>
      <x:c r="G426" s="9" t="str">
        <x:v>验证退会驳回理由达到200字符可提交</x:v>
      </x:c>
      <x:c r="H426" s="9" t="str">
        <x:v>退会驳回理由上限可用</x:v>
      </x:c>
      <x:c r="I426" s="9" t="str">
        <x:v>1. 执行角色为公会长
2. 已登录目标公会的公会长账号，打开退会申请详情页并完成下列数据和页面状态准备
3. 当前退会申请待公会处理</x:v>
      </x:c>
      <x:c r="J426" s="9" t="str">
        <x:v>1. 查看退会申请详情页
2. 点击驳回
3. 填写驳回理由为200个A
4. 点击确认</x:v>
      </x:c>
      <x:c r="K426" s="9" t="str">
        <x:v>对应驳回节点显示完整200个A</x:v>
      </x:c>
      <x:c r="L426" s="10" t="str"/>
      <x:c r="M426" s="10" t="str">
        <x:v>未测</x:v>
      </x:c>
      <x:c r="N426" s="10" t="str"/>
      <x:c r="O426" s="9" t="str">
        <x:v>1. 来源（当前证据）：liveshow-proto/MainBasis/统一需求文档.md；位置：REQ-30c7a0c47120；行2873、REQ-4e84386ce9a6；行2879
2. 规则：BR-2fb89658ad31a12c
3. 未动态验证</x:v>
      </x:c>
    </x:row>
    <x:row r="427" ht="85" customHeight="1">
      <x:c r="A427" s="10" t="n">
        <x:v>426</x:v>
      </x:c>
      <x:c r="B427" s="10" t="str">
        <x:v>GUILD-02-0130</x:v>
      </x:c>
      <x:c r="C427" s="10" t="str">
        <x:v>主播管理</x:v>
      </x:c>
      <x:c r="D427" s="10" t="str">
        <x:v>退会申请详情（公会长视角）</x:v>
      </x:c>
      <x:c r="E427" s="10" t="str">
        <x:v>逻辑校验</x:v>
      </x:c>
      <x:c r="F427" s="10" t="str">
        <x:v>P1</x:v>
      </x:c>
      <x:c r="G427" s="9" t="str">
        <x:v>验证退会已通过申请不可再审核</x:v>
      </x:c>
      <x:c r="H427" s="9" t="str">
        <x:v>退会通过结果只读</x:v>
      </x:c>
      <x:c r="I427" s="9" t="str">
        <x:v>1. 执行角色为公会长
2. 已登录目标公会的公会长账号，打开退会申请详情页并完成下列数据和页面状态准备
3. 当前退会申请已处理为通过</x:v>
      </x:c>
      <x:c r="J427" s="9" t="str">
        <x:v>1. 查看退会申请详情页</x:v>
      </x:c>
      <x:c r="K427" s="9" t="str">
        <x:v>不提供再次通过或驳回操作</x:v>
      </x:c>
      <x:c r="L427" s="10" t="str"/>
      <x:c r="M427" s="10" t="str">
        <x:v>未测</x:v>
      </x:c>
      <x:c r="N427" s="10" t="str"/>
      <x:c r="O427" s="9" t="str">
        <x:v>1. 来源（当前证据）：liveshow-proto/MainBasis/统一需求文档.md；位置：REQ-4e84386ce9a6；行2879
2. 规则：BR-a9988e069ed416db
3. 未动态验证</x:v>
      </x:c>
    </x:row>
    <x:row r="428" ht="85" customHeight="1">
      <x:c r="A428" s="10" t="n">
        <x:v>427</x:v>
      </x:c>
      <x:c r="B428" s="10" t="str">
        <x:v>GUILD-02-0131</x:v>
      </x:c>
      <x:c r="C428" s="10" t="str">
        <x:v>主播管理</x:v>
      </x:c>
      <x:c r="D428" s="10" t="str">
        <x:v>入会申请详情（公会长视角）</x:v>
      </x:c>
      <x:c r="E428" s="10" t="str">
        <x:v>逻辑校验</x:v>
      </x:c>
      <x:c r="F428" s="10" t="str">
        <x:v>P1</x:v>
      </x:c>
      <x:c r="G428" s="9" t="str">
        <x:v>验证公会驳回入会形成终态</x:v>
      </x:c>
      <x:c r="H428" s="9" t="str">
        <x:v>公会驳回申请状态</x:v>
      </x:c>
      <x:c r="I428" s="9" t="str">
        <x:v>1. 执行角色为公会长
2. 已登录目标公会的公会长账号，打开入会申请详情页并完成下列数据和页面状态准备
3. 当前申请待公会审核</x:v>
      </x:c>
      <x:c r="J428" s="9" t="str">
        <x:v>1. 查看入会申请详情页
2. 点击驳回
3. 填写驳回理由为资料不足
4. 点击确认</x:v>
      </x:c>
      <x:c r="K428" s="9" t="str">
        <x:v>本次申请显示公会驳回</x:v>
      </x:c>
      <x:c r="L428" s="10" t="str"/>
      <x:c r="M428" s="10" t="str">
        <x:v>未测</x:v>
      </x:c>
      <x:c r="N428" s="10" t="str"/>
      <x:c r="O428" s="9" t="str">
        <x:v>1. 来源（当前证据）：liveshow-proto/MainBasis/统一需求文档.md；位置：REQ-58a3b3083f47；行2835
2. 规则：BR-719f3bf2af7f09b1
3. 未动态验证</x:v>
      </x:c>
    </x:row>
    <x:row r="429" ht="85" customHeight="1">
      <x:c r="A429" s="10" t="n">
        <x:v>428</x:v>
      </x:c>
      <x:c r="B429" s="10" t="str">
        <x:v>GUILD-02-0132</x:v>
      </x:c>
      <x:c r="C429" s="10" t="str">
        <x:v>主播管理</x:v>
      </x:c>
      <x:c r="D429" s="10" t="str">
        <x:v>退会申请详情（公会长视角）</x:v>
      </x:c>
      <x:c r="E429" s="10" t="str">
        <x:v>逻辑校验</x:v>
      </x:c>
      <x:c r="F429" s="10" t="str">
        <x:v>P1</x:v>
      </x:c>
      <x:c r="G429" s="9" t="str">
        <x:v>验证退会详情显示待审核</x:v>
      </x:c>
      <x:c r="H429" s="9" t="str">
        <x:v>退会申请当前状态</x:v>
      </x:c>
      <x:c r="I429" s="9" t="str">
        <x:v>1. 执行角色为公会长
2. 已登录目标公会的公会长账号，打开退会申请详情页并完成下列数据和页面状态准备
3. 当前申请状态待审核</x:v>
      </x:c>
      <x:c r="J429" s="9" t="str">
        <x:v>1. 查看退会申请详情页</x:v>
      </x:c>
      <x:c r="K429" s="9" t="str">
        <x:v>申请状态显示待审核</x:v>
      </x:c>
      <x:c r="L429" s="10" t="str"/>
      <x:c r="M429" s="10" t="str">
        <x:v>未测</x:v>
      </x:c>
      <x:c r="N429" s="10" t="str"/>
      <x:c r="O429" s="9" t="str">
        <x:v>1. 来源（当前证据）：liveshow-proto/MainBasis/统一需求文档.md；位置：REQ-7cd6e6046561；行2867
2. 规则：BR-4b5f1c701fc55c89
3. 未动态验证</x:v>
      </x:c>
    </x:row>
    <x:row r="430" ht="85" customHeight="1">
      <x:c r="A430" s="10" t="n">
        <x:v>429</x:v>
      </x:c>
      <x:c r="B430" s="10" t="str">
        <x:v>GUILD-02-0133</x:v>
      </x:c>
      <x:c r="C430" s="10" t="str">
        <x:v>主播管理</x:v>
      </x:c>
      <x:c r="D430" s="10" t="str">
        <x:v>退会申请详情（公会长视角）</x:v>
      </x:c>
      <x:c r="E430" s="10" t="str">
        <x:v>逻辑校验</x:v>
      </x:c>
      <x:c r="F430" s="10" t="str">
        <x:v>P1</x:v>
      </x:c>
      <x:c r="G430" s="9" t="str">
        <x:v>验证退会详情显示已通过</x:v>
      </x:c>
      <x:c r="H430" s="9" t="str">
        <x:v>退会申请当前状态</x:v>
      </x:c>
      <x:c r="I430" s="9" t="str">
        <x:v>1. 执行角色为公会长
2. 已登录目标公会的公会长账号，打开退会申请详情页并完成下列数据和页面状态准备
3. 当前申请状态已通过</x:v>
      </x:c>
      <x:c r="J430" s="9" t="str">
        <x:v>1. 查看退会申请详情页</x:v>
      </x:c>
      <x:c r="K430" s="9" t="str">
        <x:v>申请状态显示已通过</x:v>
      </x:c>
      <x:c r="L430" s="10" t="str"/>
      <x:c r="M430" s="10" t="str">
        <x:v>未测</x:v>
      </x:c>
      <x:c r="N430" s="10" t="str"/>
      <x:c r="O430" s="9" t="str">
        <x:v>1. 来源（当前证据）：liveshow-proto/MainBasis/统一需求文档.md；位置：REQ-7cd6e6046561；行2867
2. 规则：BR-6d8e1201a29493c8
3. 未动态验证</x:v>
      </x:c>
    </x:row>
    <x:row r="431" ht="100" customHeight="1">
      <x:c r="A431" s="10" t="n">
        <x:v>430</x:v>
      </x:c>
      <x:c r="B431" s="10" t="str">
        <x:v>GUILD-02-0134</x:v>
      </x:c>
      <x:c r="C431" s="10" t="str">
        <x:v>主播管理</x:v>
      </x:c>
      <x:c r="D431" s="10" t="str">
        <x:v>主播列表（公会长视角）</x:v>
      </x:c>
      <x:c r="E431" s="10" t="str">
        <x:v>逻辑校验</x:v>
      </x:c>
      <x:c r="F431" s="10" t="str">
        <x:v>P1</x:v>
      </x:c>
      <x:c r="G431" s="9" t="str">
        <x:v>验证已退会列表人数只统计历史关系</x:v>
      </x:c>
      <x:c r="H431" s="9" t="str">
        <x:v>已退会成员人数</x:v>
      </x:c>
      <x:c r="I431" s="9" t="str">
        <x:v>1. 执行角色为公会长
2. 已登录目标公会的公会长账号，打开主播列表页并完成下列数据和页面状态准备
3. 当前公会历史已退会3人，在会2人</x:v>
      </x:c>
      <x:c r="J431" s="9" t="str">
        <x:v>1. 查看主播列表页</x:v>
      </x:c>
      <x:c r="K431" s="9" t="str">
        <x:v>已退会人数显示3</x:v>
      </x:c>
      <x:c r="L431" s="10" t="str"/>
      <x:c r="M431" s="10" t="str">
        <x:v>未测</x:v>
      </x:c>
      <x:c r="N431" s="10" t="str"/>
      <x:c r="O431" s="9" t="str">
        <x:v>1. 来源（当前证据）：liveshow-proto/MainBasis/统一需求文档.md；位置：REQ-0d0a38bc020e；行2886
2. 规则：BR-f738f86aec6cf1b8
3. 未动态验证</x:v>
      </x:c>
    </x:row>
    <x:row r="432" ht="100" customHeight="1">
      <x:c r="A432" s="10" t="n">
        <x:v>431</x:v>
      </x:c>
      <x:c r="B432" s="10" t="str">
        <x:v>GUILD-02-0135</x:v>
      </x:c>
      <x:c r="C432" s="10" t="str">
        <x:v>主播管理</x:v>
      </x:c>
      <x:c r="D432" s="10" t="str">
        <x:v>主播列表（公会长视角）</x:v>
      </x:c>
      <x:c r="E432" s="10" t="str">
        <x:v>逻辑校验</x:v>
      </x:c>
      <x:c r="F432" s="10" t="str">
        <x:v>P1</x:v>
      </x:c>
      <x:c r="G432" s="9" t="str">
        <x:v>验证待认证普通用户不列为主播</x:v>
      </x:c>
      <x:c r="H432" s="9" t="str">
        <x:v>主播列表身份范围</x:v>
      </x:c>
      <x:c r="I432" s="9" t="str">
        <x:v>1. 执行角色为公会长
2. 已登录目标公会的公会长账号，打开主播列表页并完成下列数据和页面状态准备
3. 甲当前为在会主播，乙普通用户入会待平台审核</x:v>
      </x:c>
      <x:c r="J432" s="9" t="str">
        <x:v>1. 查看主播列表页</x:v>
      </x:c>
      <x:c r="K432" s="9" t="str">
        <x:v>在会列表不显示乙</x:v>
      </x:c>
      <x:c r="L432" s="10" t="str"/>
      <x:c r="M432" s="10" t="str">
        <x:v>未测</x:v>
      </x:c>
      <x:c r="N432" s="10" t="str"/>
      <x:c r="O432" s="9" t="str">
        <x:v>1. 来源（当前证据）：liveshow-proto/MainBasis/统一需求文档.md；位置：REQ-381281aaf488；行2896
2. 规则：BR-4feb9ef45994b2fc
3. 未动态验证</x:v>
      </x:c>
    </x:row>
    <x:row r="433" ht="100" customHeight="1">
      <x:c r="A433" s="10" t="n">
        <x:v>432</x:v>
      </x:c>
      <x:c r="B433" s="10" t="str">
        <x:v>GUILD-02-0136</x:v>
      </x:c>
      <x:c r="C433" s="10" t="str">
        <x:v>主播管理</x:v>
      </x:c>
      <x:c r="D433" s="10" t="str">
        <x:v>主播列表（公会长视角）</x:v>
      </x:c>
      <x:c r="E433" s="10" t="str">
        <x:v>功能需求</x:v>
      </x:c>
      <x:c r="F433" s="10" t="str">
        <x:v>P2</x:v>
      </x:c>
      <x:c r="G433" s="9" t="str">
        <x:v>验证成员列表打开目标主播主页</x:v>
      </x:c>
      <x:c r="H433" s="9" t="str">
        <x:v>成员详情对象</x:v>
      </x:c>
      <x:c r="I433" s="9" t="str">
        <x:v>1. 执行角色为公会长
2. 已登录目标公会的公会长账号，打开主播列表页并完成下列数据和页面状态准备
3. 当前公会甲H001和乙H002均在会</x:v>
      </x:c>
      <x:c r="J433" s="9" t="str">
        <x:v>1. 查看主播列表页
2. 点击主播甲</x:v>
      </x:c>
      <x:c r="K433" s="9" t="str">
        <x:v>进入甲H001的主播主页</x:v>
      </x:c>
      <x:c r="L433" s="10" t="str"/>
      <x:c r="M433" s="10" t="str">
        <x:v>未测</x:v>
      </x:c>
      <x:c r="N433" s="10" t="str"/>
      <x:c r="O433" s="9" t="str">
        <x:v>1. 来源（当前证据）：liveshow-proto/MainBasis/统一需求文档.md；位置：REQ-cbb7a2174f2f；行2898
2. 规则：BR-16802e000f28d556
3. 未动态验证</x:v>
      </x:c>
    </x:row>
    <x:row r="434" ht="100" customHeight="1">
      <x:c r="A434" s="10" t="n">
        <x:v>433</x:v>
      </x:c>
      <x:c r="B434" s="10" t="str">
        <x:v>GUILD-02-0137</x:v>
      </x:c>
      <x:c r="C434" s="10" t="str">
        <x:v>主播管理</x:v>
      </x:c>
      <x:c r="D434" s="10" t="str">
        <x:v>主播列表（公会长视角）</x:v>
      </x:c>
      <x:c r="E434" s="10" t="str">
        <x:v>功能需求</x:v>
      </x:c>
      <x:c r="F434" s="10" t="str">
        <x:v>P2</x:v>
      </x:c>
      <x:c r="G434" s="9" t="str">
        <x:v>验证主播列表按部分昵称查询</x:v>
      </x:c>
      <x:c r="H434" s="9" t="str">
        <x:v>昵称模糊搜索</x:v>
      </x:c>
      <x:c r="I434" s="9" t="str">
        <x:v>1. 执行角色为公会长
2. 已登录目标公会的公会长账号，打开主播列表页并完成下列数据和页面状态准备
3. 本公会QA甲、QA乙与丙各1人</x:v>
      </x:c>
      <x:c r="J434" s="9" t="str">
        <x:v>1. 查看主播列表页
2. 填写搜索框为QA</x:v>
      </x:c>
      <x:c r="K434" s="9" t="str">
        <x:v>搜索结果仅包含QA甲和QA乙</x:v>
      </x:c>
      <x:c r="L434" s="10" t="str"/>
      <x:c r="M434" s="10" t="str">
        <x:v>未测</x:v>
      </x:c>
      <x:c r="N434" s="10" t="str"/>
      <x:c r="O434" s="9" t="str">
        <x:v>1. 来源（当前证据）：liveshow-proto/MainBasis/统一需求文档.md；位置：REQ-946b654076e0；行2888
2. 规则：BR-147dc03e56342eae
3. 未动态验证</x:v>
      </x:c>
    </x:row>
    <x:row r="435" ht="100" customHeight="1">
      <x:c r="A435" s="10" t="n">
        <x:v>434</x:v>
      </x:c>
      <x:c r="B435" s="10" t="str">
        <x:v>GUILD-02-0138</x:v>
      </x:c>
      <x:c r="C435" s="10" t="str">
        <x:v>主播管理</x:v>
      </x:c>
      <x:c r="D435" s="10" t="str">
        <x:v>主播业绩（公会长视角）</x:v>
      </x:c>
      <x:c r="E435" s="10" t="str">
        <x:v>功能需求</x:v>
      </x:c>
      <x:c r="F435" s="10" t="str">
        <x:v>P2</x:v>
      </x:c>
      <x:c r="G435" s="9" t="str">
        <x:v>验证主播业绩按部分昵称查询</x:v>
      </x:c>
      <x:c r="H435" s="9" t="str">
        <x:v>昵称模糊搜索</x:v>
      </x:c>
      <x:c r="I435" s="9" t="str">
        <x:v>1. 执行角色为公会长
2. 已登录目标公会的公会长账号，打开主播业绩页并完成下列数据和页面状态准备
3. 本公会QA甲、QA乙与丙各1人</x:v>
      </x:c>
      <x:c r="J435" s="9" t="str">
        <x:v>1. 查看主播业绩页
2. 填写搜索框为QA</x:v>
      </x:c>
      <x:c r="K435" s="9" t="str">
        <x:v>搜索结果仅包含QA甲和QA乙</x:v>
      </x:c>
      <x:c r="L435" s="10" t="str"/>
      <x:c r="M435" s="10" t="str">
        <x:v>未测</x:v>
      </x:c>
      <x:c r="N435" s="10" t="str"/>
      <x:c r="O435" s="9" t="str">
        <x:v>1. 来源（当前证据）：liveshow-proto/MainBasis/统一需求文档.md；位置：REQ-b714dfa901eb；行2907
2. 规则：BR-08cc8193b1a9c10e
3. 未动态验证</x:v>
      </x:c>
    </x:row>
    <x:row r="436" ht="100" customHeight="1">
      <x:c r="A436" s="10" t="n">
        <x:v>435</x:v>
      </x:c>
      <x:c r="B436" s="10" t="str">
        <x:v>GUILD-03-0117</x:v>
      </x:c>
      <x:c r="C436" s="10" t="str">
        <x:v>运营工具</x:v>
      </x:c>
      <x:c r="D436" s="10" t="str">
        <x:v>选择主播（公会长视角）</x:v>
      </x:c>
      <x:c r="E436" s="10" t="str">
        <x:v>功能需求</x:v>
      </x:c>
      <x:c r="F436" s="10" t="str">
        <x:v>P2</x:v>
      </x:c>
      <x:c r="G436" s="9" t="str">
        <x:v>验证选择主播按部分昵称查询</x:v>
      </x:c>
      <x:c r="H436" s="9" t="str">
        <x:v>昵称模糊搜索</x:v>
      </x:c>
      <x:c r="I436" s="9" t="str">
        <x:v>1. 执行角色为公会长
2. 已登录目标公会的公会长账号，打开选择主播页并完成下列数据和页面状态准备
3. 本公会QA甲、QA乙与丙各1人</x:v>
      </x:c>
      <x:c r="J436" s="9" t="str">
        <x:v>1. 查看选择主播页
2. 填写搜索框为QA</x:v>
      </x:c>
      <x:c r="K436" s="9" t="str">
        <x:v>搜索结果仅包含QA甲和QA乙</x:v>
      </x:c>
      <x:c r="L436" s="10" t="str"/>
      <x:c r="M436" s="10" t="str">
        <x:v>未测</x:v>
      </x:c>
      <x:c r="N436" s="10" t="str"/>
      <x:c r="O436" s="9" t="str">
        <x:v>1. 来源（当前证据）：liveshow-proto/MainBasis/统一需求文档.md；位置：REQ-7012869c65e6；行3056
2. 规则：BR-8e2948179337f395
3. 未动态验证</x:v>
      </x:c>
    </x:row>
    <x:row r="437" ht="100" customHeight="1">
      <x:c r="A437" s="10" t="n">
        <x:v>436</x:v>
      </x:c>
      <x:c r="B437" s="10" t="str">
        <x:v>GUILD-05-0101</x:v>
      </x:c>
      <x:c r="C437" s="10" t="str">
        <x:v>数据与收益</x:v>
      </x:c>
      <x:c r="D437" s="10" t="str">
        <x:v>选择主播（多选）（公会长视角）</x:v>
      </x:c>
      <x:c r="E437" s="10" t="str">
        <x:v>功能需求</x:v>
      </x:c>
      <x:c r="F437" s="10" t="str">
        <x:v>P2</x:v>
      </x:c>
      <x:c r="G437" s="9" t="str">
        <x:v>验证选择主播（多选）按部分昵称查询</x:v>
      </x:c>
      <x:c r="H437" s="9" t="str">
        <x:v>昵称模糊搜索</x:v>
      </x:c>
      <x:c r="I437" s="9" t="str">
        <x:v>1. 执行角色为公会长
2. 已登录目标公会的公会长账号，打开选择主播（多选）页并完成下列数据和页面状态准备
3. 本公会QA甲、QA乙与丙各1人</x:v>
      </x:c>
      <x:c r="J437" s="9" t="str">
        <x:v>1. 查看选择主播（多选）页
2. 填写搜索框为QA</x:v>
      </x:c>
      <x:c r="K437" s="9" t="str">
        <x:v>搜索结果仅包含QA甲和QA乙</x:v>
      </x:c>
      <x:c r="L437" s="10" t="str"/>
      <x:c r="M437" s="10" t="str">
        <x:v>未测</x:v>
      </x:c>
      <x:c r="N437" s="10" t="str"/>
      <x:c r="O437" s="9" t="str">
        <x:v>1. 来源（当前证据）：liveshow-proto/MainBasis/统一需求文档.md；位置：REQ-2ee500261795；行3464
2. 规则：BR-bd04041902dff59e
3. 未动态验证</x:v>
      </x:c>
    </x:row>
    <x:row r="438" ht="100" customHeight="1">
      <x:c r="A438" s="10" t="n">
        <x:v>437</x:v>
      </x:c>
      <x:c r="B438" s="10" t="str">
        <x:v>GUILD-03-0118</x:v>
      </x:c>
      <x:c r="C438" s="10" t="str">
        <x:v>运营工具</x:v>
      </x:c>
      <x:c r="D438" s="10" t="str">
        <x:v>运营账号（公会长视角）</x:v>
      </x:c>
      <x:c r="E438" s="10" t="str">
        <x:v>功能需求</x:v>
      </x:c>
      <x:c r="F438" s="10" t="str">
        <x:v>P2</x:v>
      </x:c>
      <x:c r="G438" s="9" t="str">
        <x:v>验证运营账号按名称查询</x:v>
      </x:c>
      <x:c r="H438" s="9" t="str">
        <x:v>运营账号名称搜索</x:v>
      </x:c>
      <x:c r="I438" s="9" t="str">
        <x:v>1. 执行角色为公会长
2. 已登录目标公会的公会长账号，打开运营账号页并完成下列数据和页面状态准备
3. 本公会运营QA甲、QA乙与丙各1个</x:v>
      </x:c>
      <x:c r="J438" s="9" t="str">
        <x:v>1. 查看运营账号页
2. 填写搜索框为QA</x:v>
      </x:c>
      <x:c r="K438" s="9" t="str">
        <x:v>结果仅包含QA甲和QA乙</x:v>
      </x:c>
      <x:c r="L438" s="10" t="str"/>
      <x:c r="M438" s="10" t="str">
        <x:v>未测</x:v>
      </x:c>
      <x:c r="N438" s="10" t="str"/>
      <x:c r="O438" s="9" t="str">
        <x:v>1. 来源（当前证据）：liveshow-proto/MainBasis/统一需求文档.md；位置：REQ-56cd13972b64；行3088
2. 规则：BR-1bd50a2e877167d5
3. 未动态验证</x:v>
      </x:c>
    </x:row>
    <x:row r="439" ht="115" customHeight="1">
      <x:c r="A439" s="10" t="n">
        <x:v>438</x:v>
      </x:c>
      <x:c r="B439" s="10" t="str">
        <x:v>GUILD-03-0119</x:v>
      </x:c>
      <x:c r="C439" s="10" t="str">
        <x:v>运营工具</x:v>
      </x:c>
      <x:c r="D439" s="10" t="str">
        <x:v>选择运营账号（多选）（公会长视角）</x:v>
      </x:c>
      <x:c r="E439" s="10" t="str">
        <x:v>功能需求</x:v>
      </x:c>
      <x:c r="F439" s="10" t="str">
        <x:v>P2</x:v>
      </x:c>
      <x:c r="G439" s="9" t="str">
        <x:v>验证选择运营账号（多选）按名称查询</x:v>
      </x:c>
      <x:c r="H439" s="9" t="str">
        <x:v>运营账号名称搜索</x:v>
      </x:c>
      <x:c r="I439" s="9" t="str">
        <x:v>1. 执行角色为公会长
2. 已登录目标公会的公会长账号，打开选择运营账号（多选）页并完成下列数据和页面状态准备
3. 本公会运营QA甲、QA乙与丙各1个</x:v>
      </x:c>
      <x:c r="J439" s="9" t="str">
        <x:v>1. 查看选择运营账号（多选）页
2. 填写搜索框为QA</x:v>
      </x:c>
      <x:c r="K439" s="9" t="str">
        <x:v>结果仅包含QA甲和QA乙</x:v>
      </x:c>
      <x:c r="L439" s="10" t="str"/>
      <x:c r="M439" s="10" t="str">
        <x:v>未测</x:v>
      </x:c>
      <x:c r="N439" s="10" t="str"/>
      <x:c r="O439" s="9" t="str">
        <x:v>1. 来源（当前证据）：liveshow-proto/MainBasis/统一需求文档.md；位置：REQ-ef0c0a831aa2；行3207
2. 规则：BR-a64104d9e991759a
3. 未动态验证</x:v>
      </x:c>
    </x:row>
    <x:row r="440" ht="100" customHeight="1">
      <x:c r="A440" s="10" t="n">
        <x:v>439</x:v>
      </x:c>
      <x:c r="B440" s="10" t="str">
        <x:v>GUILD-02-0139</x:v>
      </x:c>
      <x:c r="C440" s="10" t="str">
        <x:v>主播管理</x:v>
      </x:c>
      <x:c r="D440" s="10" t="str">
        <x:v>主播数据（公会长视角）</x:v>
      </x:c>
      <x:c r="E440" s="10" t="str">
        <x:v>逻辑校验</x:v>
      </x:c>
      <x:c r="F440" s="10" t="str">
        <x:v>P1</x:v>
      </x:c>
      <x:c r="G440" s="9" t="str">
        <x:v>验证主播月数据主播月累计时长</x:v>
      </x:c>
      <x:c r="H440" s="9" t="str">
        <x:v>主播月累计时长</x:v>
      </x:c>
      <x:c r="I440" s="9" t="str">
        <x:v>1. 执行角色为公会长
2. 已登录目标公会的公会长账号，打开主播数据页并完成下列数据和页面状态准备
3. 甲9月完成两场分别60与90分钟</x:v>
      </x:c>
      <x:c r="J440" s="9" t="str">
        <x:v>1. 查看主播数据页
2. 切换月数据</x:v>
      </x:c>
      <x:c r="K440" s="9" t="str">
        <x:v>9月直播时长显示2小时30分钟</x:v>
      </x:c>
      <x:c r="L440" s="10" t="str"/>
      <x:c r="M440" s="10" t="str">
        <x:v>未测</x:v>
      </x:c>
      <x:c r="N440" s="10" t="str"/>
      <x:c r="O440" s="9" t="str">
        <x:v>1. 来源（当前证据）：liveshow-proto/MainBasis/统一需求文档.md；位置：REQ-f997046439a2；行2954
2. 规则：BR-224d9debafbee7e0
3. 未动态验证</x:v>
      </x:c>
    </x:row>
    <x:row r="441" ht="100" customHeight="1">
      <x:c r="A441" s="10" t="n">
        <x:v>440</x:v>
      </x:c>
      <x:c r="B441" s="10" t="str">
        <x:v>GUILD-02-0140</x:v>
      </x:c>
      <x:c r="C441" s="10" t="str">
        <x:v>主播管理</x:v>
      </x:c>
      <x:c r="D441" s="10" t="str">
        <x:v>主播数据（公会长视角）</x:v>
      </x:c>
      <x:c r="E441" s="10" t="str">
        <x:v>逻辑校验</x:v>
      </x:c>
      <x:c r="F441" s="10" t="str">
        <x:v>P1</x:v>
      </x:c>
      <x:c r="G441" s="9" t="str">
        <x:v>验证主播月数据主播月收益</x:v>
      </x:c>
      <x:c r="H441" s="9" t="str">
        <x:v>主播月收益</x:v>
      </x:c>
      <x:c r="I441" s="9" t="str">
        <x:v>1. 执行角色为公会长
2. 已登录目标公会的公会长账号，打开主播数据页并完成下列数据和页面状态准备
3. 甲9月收益100与200金币，8月500金币</x:v>
      </x:c>
      <x:c r="J441" s="9" t="str">
        <x:v>1. 查看主播数据页
2. 切换月数据</x:v>
      </x:c>
      <x:c r="K441" s="9" t="str">
        <x:v>9月收益显示300金币</x:v>
      </x:c>
      <x:c r="L441" s="10" t="str"/>
      <x:c r="M441" s="10" t="str">
        <x:v>未测</x:v>
      </x:c>
      <x:c r="N441" s="10" t="str"/>
      <x:c r="O441" s="9" t="str">
        <x:v>1. 来源（当前证据）：liveshow-proto/MainBasis/统一需求文档.md；位置：REQ-542f71638053；行2960
2. 规则：BR-1b96395ef5790998
3. 未动态验证</x:v>
      </x:c>
    </x:row>
    <x:row r="442" ht="100" customHeight="1">
      <x:c r="A442" s="10" t="n">
        <x:v>441</x:v>
      </x:c>
      <x:c r="B442" s="10" t="str">
        <x:v>GUILD-02-0141</x:v>
      </x:c>
      <x:c r="C442" s="10" t="str">
        <x:v>主播管理</x:v>
      </x:c>
      <x:c r="D442" s="10" t="str">
        <x:v>主播数据（公会长视角）</x:v>
      </x:c>
      <x:c r="E442" s="10" t="str">
        <x:v>逻辑校验</x:v>
      </x:c>
      <x:c r="F442" s="10" t="str">
        <x:v>P1</x:v>
      </x:c>
      <x:c r="G442" s="9" t="str">
        <x:v>验证主播月数据主播月新增粉丝</x:v>
      </x:c>
      <x:c r="H442" s="9" t="str">
        <x:v>主播月新增粉丝</x:v>
      </x:c>
      <x:c r="I442" s="9" t="str">
        <x:v>1. 执行角色为公会长
2. 已登录目标公会的公会长账号，打开主播数据页并完成下列数据和页面状态准备
3. 甲9月新增10次关注，取关3人，8月新增20人</x:v>
      </x:c>
      <x:c r="J442" s="9" t="str">
        <x:v>1. 查看主播数据页
2. 切换月数据</x:v>
      </x:c>
      <x:c r="K442" s="9" t="str">
        <x:v>9月新增粉丝显示10人</x:v>
      </x:c>
      <x:c r="L442" s="10" t="str"/>
      <x:c r="M442" s="10" t="str">
        <x:v>未测</x:v>
      </x:c>
      <x:c r="N442" s="10" t="str"/>
      <x:c r="O442" s="9" t="str">
        <x:v>1. 来源（当前证据）：liveshow-proto/MainBasis/统一需求文档.md；位置：REQ-287d99181822；行2958
2. 规则：BR-d1e1071156883f01
3. 未动态验证</x:v>
      </x:c>
    </x:row>
    <x:row r="443" ht="100" customHeight="1">
      <x:c r="A443" s="10" t="n">
        <x:v>442</x:v>
      </x:c>
      <x:c r="B443" s="10" t="str">
        <x:v>GUILD-02-0142</x:v>
      </x:c>
      <x:c r="C443" s="10" t="str">
        <x:v>主播管理</x:v>
      </x:c>
      <x:c r="D443" s="10" t="str">
        <x:v>主播数据（公会长视角）</x:v>
      </x:c>
      <x:c r="E443" s="10" t="str">
        <x:v>功能需求</x:v>
      </x:c>
      <x:c r="F443" s="10" t="str">
        <x:v>P2</x:v>
      </x:c>
      <x:c r="G443" s="9" t="str">
        <x:v>验证主播日数据按自然日划分记录</x:v>
      </x:c>
      <x:c r="H443" s="9" t="str">
        <x:v>主播日粒度</x:v>
      </x:c>
      <x:c r="I443" s="9" t="str">
        <x:v>1. 执行角色为公会长
2. 已登录目标公会的公会长账号，打开主播数据页并完成下列数据和页面状态准备
3. 甲9月14日及15日各有2场；当前日范围包含两日</x:v>
      </x:c>
      <x:c r="J443" s="9" t="str">
        <x:v>1. 查看主播数据页</x:v>
      </x:c>
      <x:c r="K443" s="9" t="str">
        <x:v>两日分别汇总为各自日期行</x:v>
      </x:c>
      <x:c r="L443" s="10" t="str"/>
      <x:c r="M443" s="10" t="str">
        <x:v>未测</x:v>
      </x:c>
      <x:c r="N443" s="10" t="str"/>
      <x:c r="O443" s="9" t="str">
        <x:v>1. 来源（当前证据）：liveshow-proto/MainBasis/统一需求文档.md；位置：REQ-1779db697186；行2952
2. 规则：BR-7c38b58af1b8abdd
3. 未动态验证</x:v>
      </x:c>
    </x:row>
    <x:row r="444" ht="85" customHeight="1">
      <x:c r="A444" s="10" t="n">
        <x:v>443</x:v>
      </x:c>
      <x:c r="B444" s="10" t="str">
        <x:v>GUILD-02-0143</x:v>
      </x:c>
      <x:c r="C444" s="10" t="str">
        <x:v>主播管理</x:v>
      </x:c>
      <x:c r="D444" s="10" t="str">
        <x:v>主播数据（公会长视角）</x:v>
      </x:c>
      <x:c r="E444" s="10" t="str">
        <x:v>功能需求</x:v>
      </x:c>
      <x:c r="F444" s="10" t="str">
        <x:v>P2</x:v>
      </x:c>
      <x:c r="G444" s="9" t="str">
        <x:v>验证主播月数据按自然月划分记录</x:v>
      </x:c>
      <x:c r="H444" s="9" t="str">
        <x:v>主播月粒度</x:v>
      </x:c>
      <x:c r="I444" s="9" t="str">
        <x:v>1. 执行角色为公会长
2. 已登录目标公会的公会长账号，打开主播数据页并完成下列数据和页面状态准备
3. 甲8月及9月各有2场</x:v>
      </x:c>
      <x:c r="J444" s="9" t="str">
        <x:v>1. 查看主播数据页
2. 切换月数据</x:v>
      </x:c>
      <x:c r="K444" s="9" t="str">
        <x:v>8月与9月分别汇总为各自月份行</x:v>
      </x:c>
      <x:c r="L444" s="10" t="str"/>
      <x:c r="M444" s="10" t="str">
        <x:v>未测</x:v>
      </x:c>
      <x:c r="N444" s="10" t="str"/>
      <x:c r="O444" s="9" t="str">
        <x:v>1. 来源（当前证据）：liveshow-proto/MainBasis/统一需求文档.md；位置：REQ-1779db697186；行2952
2. 规则：BR-cc1aa5e76c7ab3d9
3. 未动态验证</x:v>
      </x:c>
    </x:row>
    <x:row r="445" ht="85" customHeight="1">
      <x:c r="A445" s="10" t="n">
        <x:v>444</x:v>
      </x:c>
      <x:c r="B445" s="10" t="str">
        <x:v>GUILD-02-0144</x:v>
      </x:c>
      <x:c r="C445" s="10" t="str">
        <x:v>主播管理</x:v>
      </x:c>
      <x:c r="D445" s="10" t="str">
        <x:v>主播数据（公会长视角）</x:v>
      </x:c>
      <x:c r="E445" s="10" t="str">
        <x:v>功能需求</x:v>
      </x:c>
      <x:c r="F445" s="10" t="str">
        <x:v>P2</x:v>
      </x:c>
      <x:c r="G445" s="9" t="str">
        <x:v>验证主播数据日范围默认本月</x:v>
      </x:c>
      <x:c r="H445" s="9" t="str">
        <x:v>主播数据默认日范围</x:v>
      </x:c>
      <x:c r="I445" s="9" t="str">
        <x:v>1. 执行角色为公会长
2. 已登录目标公会的公会长账号，打开主播数据页并完成下列数据和页面状态准备</x:v>
      </x:c>
      <x:c r="J445" s="9" t="str">
        <x:v>1. 查看主播数据页</x:v>
      </x:c>
      <x:c r="K445" s="9" t="str">
        <x:v>日范围默认本月</x:v>
      </x:c>
      <x:c r="L445" s="10" t="str"/>
      <x:c r="M445" s="10" t="str">
        <x:v>未测</x:v>
      </x:c>
      <x:c r="N445" s="10" t="str"/>
      <x:c r="O445" s="9" t="str">
        <x:v>1. 来源（当前证据）：liveshow-proto/MainBasis/统一需求文档.md；位置：REQ-601776b12c53；行2950
2. 规则：BR-4db227e8ea040017
3. 未动态验证</x:v>
      </x:c>
    </x:row>
    <x:row r="446" ht="100" customHeight="1">
      <x:c r="A446" s="10" t="n">
        <x:v>445</x:v>
      </x:c>
      <x:c r="B446" s="10" t="str">
        <x:v>GUILD-02-0145</x:v>
      </x:c>
      <x:c r="C446" s="10" t="str">
        <x:v>主播管理</x:v>
      </x:c>
      <x:c r="D446" s="10" t="str">
        <x:v>主播数据（公会长视角）</x:v>
      </x:c>
      <x:c r="E446" s="10" t="str">
        <x:v>逻辑校验</x:v>
      </x:c>
      <x:c r="F446" s="10" t="str">
        <x:v>P1</x:v>
      </x:c>
      <x:c r="G446" s="9" t="str">
        <x:v>验证主播日数据下钻携带当天日期</x:v>
      </x:c>
      <x:c r="H446" s="9" t="str">
        <x:v>主播日行下钻范围</x:v>
      </x:c>
      <x:c r="I446" s="9" t="str">
        <x:v>1. 执行角色为公会长
2. 已登录目标公会的公会长账号，打开主播数据页并完成下列数据和页面状态准备
3. 当前查看主播甲，存在9月15日日数据</x:v>
      </x:c>
      <x:c r="J446" s="9" t="str">
        <x:v>1. 查看主播数据页
2. 点击9月15日数据行</x:v>
      </x:c>
      <x:c r="K446" s="9" t="str">
        <x:v>直播记录限定主播甲和9月15日</x:v>
      </x:c>
      <x:c r="L446" s="10" t="str"/>
      <x:c r="M446" s="10" t="str">
        <x:v>未测</x:v>
      </x:c>
      <x:c r="N446" s="10" t="str"/>
      <x:c r="O446" s="9" t="str">
        <x:v>1. 来源（当前证据）：liveshow-proto/MainBasis/统一需求文档.md；位置：REQ-0a5f516ac158；行2962
2. 规则：BR-f59bcfe2bb904643
3. 未动态验证</x:v>
      </x:c>
    </x:row>
    <x:row r="447" ht="85" customHeight="1">
      <x:c r="A447" s="10" t="n">
        <x:v>446</x:v>
      </x:c>
      <x:c r="B447" s="10" t="str">
        <x:v>GUILD-02-0146</x:v>
      </x:c>
      <x:c r="C447" s="10" t="str">
        <x:v>主播管理</x:v>
      </x:c>
      <x:c r="D447" s="10" t="str">
        <x:v>主播主页（公会长视角）</x:v>
      </x:c>
      <x:c r="E447" s="10" t="str">
        <x:v>功能需求</x:v>
      </x:c>
      <x:c r="F447" s="10" t="str">
        <x:v>P2</x:v>
      </x:c>
      <x:c r="G447" s="9" t="str">
        <x:v>验证历史主播主页标明已退会</x:v>
      </x:c>
      <x:c r="H447" s="9" t="str">
        <x:v>主播主页退会标记</x:v>
      </x:c>
      <x:c r="I447" s="9" t="str">
        <x:v>1. 执行角色为公会长
2. 已登录目标公会的公会长账号，打开主播主页页并完成下列数据和页面状态准备
3. 当前主播已退出本公会</x:v>
      </x:c>
      <x:c r="J447" s="9" t="str">
        <x:v>1. 查看主播主页</x:v>
      </x:c>
      <x:c r="K447" s="9" t="str">
        <x:v>显示退会标记</x:v>
      </x:c>
      <x:c r="L447" s="10" t="str"/>
      <x:c r="M447" s="10" t="str">
        <x:v>未测</x:v>
      </x:c>
      <x:c r="N447" s="10" t="str"/>
      <x:c r="O447" s="9" t="str">
        <x:v>1. 来源（当前证据）：liveshow-proto/MainBasis/统一需求文档.md；位置：REQ-81fc8f1e04b7；行2977
2. 规则：BR-1723465e13e9e7f7
3. 未动态验证</x:v>
      </x:c>
    </x:row>
    <x:row r="448" ht="85" customHeight="1">
      <x:c r="A448" s="10" t="n">
        <x:v>447</x:v>
      </x:c>
      <x:c r="B448" s="10" t="str">
        <x:v>GUILD-02-0147</x:v>
      </x:c>
      <x:c r="C448" s="10" t="str">
        <x:v>主播管理</x:v>
      </x:c>
      <x:c r="D448" s="10" t="str">
        <x:v>主播主页（公会长视角）</x:v>
      </x:c>
      <x:c r="E448" s="10" t="str">
        <x:v>功能需求</x:v>
      </x:c>
      <x:c r="F448" s="10" t="str">
        <x:v>P2</x:v>
      </x:c>
      <x:c r="G448" s="9" t="str">
        <x:v>验证主播历史入会申请显示已通过</x:v>
      </x:c>
      <x:c r="H448" s="9" t="str">
        <x:v>主播历史入会结果</x:v>
      </x:c>
      <x:c r="I448" s="9" t="str">
        <x:v>1. 执行角色为公会长
2. 已登录目标公会的公会长账号，打开主播主页页并完成下列数据和页面状态准备
3. 当前主播入会申请A已通过</x:v>
      </x:c>
      <x:c r="J448" s="9" t="str">
        <x:v>1. 查看主播主页</x:v>
      </x:c>
      <x:c r="K448" s="9" t="str">
        <x:v>申请A显示加入申请及已通过</x:v>
      </x:c>
      <x:c r="L448" s="10" t="str"/>
      <x:c r="M448" s="10" t="str">
        <x:v>未测</x:v>
      </x:c>
      <x:c r="N448" s="10" t="str"/>
      <x:c r="O448" s="9" t="str">
        <x:v>1. 来源（当前证据）：liveshow-proto/MainBasis/统一需求文档.md；位置：REQ-a4148668b89f；行2989
2. 规则：BR-4dd9f89880ce1421
3. 未动态验证</x:v>
      </x:c>
    </x:row>
    <x:row r="449" ht="100" customHeight="1">
      <x:c r="A449" s="10" t="n">
        <x:v>448</x:v>
      </x:c>
      <x:c r="B449" s="10" t="str">
        <x:v>GUILD-02-0148</x:v>
      </x:c>
      <x:c r="C449" s="10" t="str">
        <x:v>主播管理</x:v>
      </x:c>
      <x:c r="D449" s="10" t="str">
        <x:v>主播主页（公会长视角）</x:v>
      </x:c>
      <x:c r="E449" s="10" t="str">
        <x:v>逻辑校验</x:v>
      </x:c>
      <x:c r="F449" s="10" t="str">
        <x:v>P1</x:v>
      </x:c>
      <x:c r="G449" s="9" t="str">
        <x:v>验证退会历史只显示公会审核节点</x:v>
      </x:c>
      <x:c r="H449" s="9" t="str">
        <x:v>退会历史审核范围</x:v>
      </x:c>
      <x:c r="I449" s="9" t="str">
        <x:v>1. 执行角色为公会长
2. 已登录目标公会的公会长账号，打开主播主页页并完成下列数据和页面状态准备
3. 退会申请B仅由公会9月15日10:00驳回</x:v>
      </x:c>
      <x:c r="J449" s="9" t="str">
        <x:v>1. 查看主播主页</x:v>
      </x:c>
      <x:c r="K449" s="9" t="str">
        <x:v>申请B仅有公会处理节点，时间对应9月15日10:00</x:v>
      </x:c>
      <x:c r="L449" s="10" t="str"/>
      <x:c r="M449" s="10" t="str">
        <x:v>未测</x:v>
      </x:c>
      <x:c r="N449" s="10" t="str"/>
      <x:c r="O449" s="9" t="str">
        <x:v>1. 来源（当前证据）：liveshow-proto/MainBasis/统一需求文档.md；位置：REQ-5bf9d823291d；行2993
2. 规则：BR-7d917f68445b71c3
3. 未动态验证</x:v>
      </x:c>
    </x:row>
    <x:row r="450" ht="85" customHeight="1">
      <x:c r="A450" s="10" t="n">
        <x:v>449</x:v>
      </x:c>
      <x:c r="B450" s="10" t="str">
        <x:v>GUILD-03-0120</x:v>
      </x:c>
      <x:c r="C450" s="10" t="str">
        <x:v>运营工具</x:v>
      </x:c>
      <x:c r="D450" s="10" t="str">
        <x:v>运营消息（公会长视角）</x:v>
      </x:c>
      <x:c r="E450" s="10" t="str">
        <x:v>功能需求</x:v>
      </x:c>
      <x:c r="F450" s="10" t="str">
        <x:v>P2</x:v>
      </x:c>
      <x:c r="G450" s="9" t="str">
        <x:v>验证消息列表摘要取发送时文本</x:v>
      </x:c>
      <x:c r="H450" s="9" t="str">
        <x:v>运营消息摘要内容</x:v>
      </x:c>
      <x:c r="I450" s="9" t="str">
        <x:v>1. 执行角色为公会长
2. 已登录目标公会的公会长账号，打开运营消息页并完成下列数据和页面状态准备
3. 消息N正文为QA测试通知</x:v>
      </x:c>
      <x:c r="J450" s="9" t="str">
        <x:v>1. 查看运营消息页</x:v>
      </x:c>
      <x:c r="K450" s="9" t="str">
        <x:v>消息N摘要显示QA测试通知</x:v>
      </x:c>
      <x:c r="L450" s="10" t="str"/>
      <x:c r="M450" s="10" t="str">
        <x:v>未测</x:v>
      </x:c>
      <x:c r="N450" s="10" t="str"/>
      <x:c r="O450" s="9" t="str">
        <x:v>1. 来源（当前证据）：liveshow-proto/MainBasis/统一需求文档.md；位置：REQ-e187f162f7b8；行3032
2. 规则：BR-1a905eafb06076a6
3. 未动态验证</x:v>
      </x:c>
    </x:row>
    <x:row r="451" ht="100" customHeight="1">
      <x:c r="A451" s="10" t="n">
        <x:v>450</x:v>
      </x:c>
      <x:c r="B451" s="10" t="str">
        <x:v>GUILD-03-0121</x:v>
      </x:c>
      <x:c r="C451" s="10" t="str">
        <x:v>运营工具</x:v>
      </x:c>
      <x:c r="D451" s="10" t="str">
        <x:v>运营消息（公会长视角）</x:v>
      </x:c>
      <x:c r="E451" s="10" t="str">
        <x:v>功能需求</x:v>
      </x:c>
      <x:c r="F451" s="10" t="str">
        <x:v>P2</x:v>
      </x:c>
      <x:c r="G451" s="9" t="str">
        <x:v>验证长消息摘要截断不改变原文</x:v>
      </x:c>
      <x:c r="H451" s="9" t="str">
        <x:v>长消息摘要截断</x:v>
      </x:c>
      <x:c r="I451" s="9" t="str">
        <x:v>1. 执行角色为公会长
2. 已登录目标公会的公会长账号，打开运营消息页并完成下列数据和页面状态准备
3. 消息N有500字正文，在当前设备超过卡片可见长度</x:v>
      </x:c>
      <x:c r="J451" s="9" t="str">
        <x:v>1. 查看运营消息页</x:v>
      </x:c>
      <x:c r="K451" s="9" t="str">
        <x:v>列表摘要显示原文前部并截断超出部分</x:v>
      </x:c>
      <x:c r="L451" s="10" t="str"/>
      <x:c r="M451" s="10" t="str">
        <x:v>未测</x:v>
      </x:c>
      <x:c r="N451" s="10" t="str"/>
      <x:c r="O451" s="9" t="str">
        <x:v>1. 来源（当前证据）：liveshow-proto/MainBasis/统一需求文档.md；位置：REQ-e187f162f7b8；行3032
2. 规则：BR-bdc37097aa4e1531
3. 未动态验证</x:v>
      </x:c>
    </x:row>
    <x:row r="452" ht="85" customHeight="1">
      <x:c r="A452" s="10" t="n">
        <x:v>451</x:v>
      </x:c>
      <x:c r="B452" s="10" t="str">
        <x:v>GUILD-03-0122</x:v>
      </x:c>
      <x:c r="C452" s="10" t="str">
        <x:v>运营工具</x:v>
      </x:c>
      <x:c r="D452" s="10" t="str">
        <x:v>运营消息（公会长视角）</x:v>
      </x:c>
      <x:c r="E452" s="10" t="str">
        <x:v>功能需求</x:v>
      </x:c>
      <x:c r="F452" s="10" t="str">
        <x:v>P2</x:v>
      </x:c>
      <x:c r="G452" s="9" t="str">
        <x:v>验证运营消息列表创建新消息</x:v>
      </x:c>
      <x:c r="H452" s="9" t="str">
        <x:v>新建运营消息入口</x:v>
      </x:c>
      <x:c r="I452" s="9" t="str">
        <x:v>1. 执行角色为公会长
2. 已登录目标公会的公会长账号，打开运营消息页并完成下列数据和页面状态准备</x:v>
      </x:c>
      <x:c r="J452" s="9" t="str">
        <x:v>1. 查看运营消息页
2. 点击新建</x:v>
      </x:c>
      <x:c r="K452" s="9" t="str">
        <x:v>进入发送运营消息页</x:v>
      </x:c>
      <x:c r="L452" s="10" t="str"/>
      <x:c r="M452" s="10" t="str">
        <x:v>未测</x:v>
      </x:c>
      <x:c r="N452" s="10" t="str"/>
      <x:c r="O452" s="9" t="str">
        <x:v>1. 来源（当前证据）：liveshow-proto/MainBasis/统一需求文档.md；位置：REQ-b89ae6ba9123；行3036
2. 规则：BR-fe2cf9259ba1b6b5
3. 未动态验证</x:v>
      </x:c>
    </x:row>
    <x:row r="453" ht="85" customHeight="1">
      <x:c r="A453" s="10" t="n">
        <x:v>452</x:v>
      </x:c>
      <x:c r="B453" s="10" t="str">
        <x:v>GUILD-03-0123</x:v>
      </x:c>
      <x:c r="C453" s="10" t="str">
        <x:v>运营工具</x:v>
      </x:c>
      <x:c r="D453" s="10" t="str">
        <x:v>新建运营消息（公会长视角）</x:v>
      </x:c>
      <x:c r="E453" s="10" t="str">
        <x:v>功能需求</x:v>
      </x:c>
      <x:c r="F453" s="10" t="str">
        <x:v>P2</x:v>
      </x:c>
      <x:c r="G453" s="9" t="str">
        <x:v>验证消息输入更新字数</x:v>
      </x:c>
      <x:c r="H453" s="9" t="str">
        <x:v>消息正文字数反馈</x:v>
      </x:c>
      <x:c r="I453" s="9" t="str">
        <x:v>1. 执行角色为公会长
2. 已登录目标公会的公会长账号，打开新建运营消息页并完成下列数据和页面状态准备</x:v>
      </x:c>
      <x:c r="J453" s="9" t="str">
        <x:v>1. 查看新建运营消息页
2. 填写文字内容为QA测试</x:v>
      </x:c>
      <x:c r="K453" s="9" t="str">
        <x:v>当前字数显示4/500</x:v>
      </x:c>
      <x:c r="L453" s="10" t="str"/>
      <x:c r="M453" s="10" t="str">
        <x:v>未测</x:v>
      </x:c>
      <x:c r="N453" s="10" t="str"/>
      <x:c r="O453" s="9" t="str">
        <x:v>1. 来源（当前证据）：liveshow-proto/MainBasis/统一需求文档.md；位置：REQ-ad8aa90131f0；行3045
2. 规则：BR-9292b82dff21f943
3. 未动态验证</x:v>
      </x:c>
    </x:row>
    <x:row r="454" ht="85" customHeight="1">
      <x:c r="A454" s="10" t="n">
        <x:v>453</x:v>
      </x:c>
      <x:c r="B454" s="10" t="str">
        <x:v>GUILD-03-0124</x:v>
      </x:c>
      <x:c r="C454" s="10" t="str">
        <x:v>运营工具</x:v>
      </x:c>
      <x:c r="D454" s="10" t="str">
        <x:v>新建运营消息（公会长视角）</x:v>
      </x:c>
      <x:c r="E454" s="10" t="str">
        <x:v>功能需求</x:v>
      </x:c>
      <x:c r="F454" s="10" t="str">
        <x:v>P2</x:v>
      </x:c>
      <x:c r="G454" s="9" t="str">
        <x:v>验证移除已选消息附图</x:v>
      </x:c>
      <x:c r="H454" s="9" t="str">
        <x:v>运营消息附图移除</x:v>
      </x:c>
      <x:c r="I454" s="9" t="str">
        <x:v>1. 执行角色为公会长
2. 已登录目标公会的公会长账号，打开新建运营消息页并完成下列数据和页面状态准备
3. 当前编辑消息已选择图片A</x:v>
      </x:c>
      <x:c r="J454" s="9" t="str">
        <x:v>1. 查看新建运营消息页
2. 点击图片A移除</x:v>
      </x:c>
      <x:c r="K454" s="9" t="str">
        <x:v>消息不再附带图片A</x:v>
      </x:c>
      <x:c r="L454" s="10" t="str"/>
      <x:c r="M454" s="10" t="str">
        <x:v>未测</x:v>
      </x:c>
      <x:c r="N454" s="10" t="str"/>
      <x:c r="O454" s="9" t="str">
        <x:v>1. 来源（当前证据）：liveshow-proto/MainBasis/统一需求文档.md；位置：REQ-2230182a7752；行3047
2. 规则：BR-751aa986a28cc470
3. 未动态验证</x:v>
      </x:c>
    </x:row>
    <x:row r="455" ht="100" customHeight="1">
      <x:c r="A455" s="10" t="n">
        <x:v>454</x:v>
      </x:c>
      <x:c r="B455" s="10" t="str">
        <x:v>GUILD-03-0125</x:v>
      </x:c>
      <x:c r="C455" s="10" t="str">
        <x:v>运营工具</x:v>
      </x:c>
      <x:c r="D455" s="10" t="str">
        <x:v>选择主播（公会长视角）</x:v>
      </x:c>
      <x:c r="E455" s="10" t="str">
        <x:v>逻辑校验</x:v>
      </x:c>
      <x:c r="F455" s="10" t="str">
        <x:v>P1</x:v>
      </x:c>
      <x:c r="G455" s="9" t="str">
        <x:v>验证选择主播完成后回填指定接收人</x:v>
      </x:c>
      <x:c r="H455" s="9" t="str">
        <x:v>指定接收主播回填</x:v>
      </x:c>
      <x:c r="I455" s="9" t="str">
        <x:v>1. 执行角色为公会长
2. 已登录目标公会的公会长账号，打开选择主播页并完成下列数据和页面状态准备
3. 由新建消息页进入，当前公会有甲H001</x:v>
      </x:c>
      <x:c r="J455" s="9" t="str">
        <x:v>1. 查看选择主播页
2. 选择主播甲
3. 点击完成</x:v>
      </x:c>
      <x:c r="K455" s="9" t="str">
        <x:v>消息发送对象显示甲H001</x:v>
      </x:c>
      <x:c r="L455" s="10" t="str"/>
      <x:c r="M455" s="10" t="str">
        <x:v>未测</x:v>
      </x:c>
      <x:c r="N455" s="10" t="str"/>
      <x:c r="O455" s="9" t="str">
        <x:v>1. 来源（当前证据）：liveshow-proto/MainBasis/统一需求文档.md；位置：REQ-ab3611f8dec0；行3066
2. 规则：BR-f880a424fd2584bd
3. 未动态验证</x:v>
      </x:c>
    </x:row>
    <x:row r="456" ht="100" customHeight="1">
      <x:c r="A456" s="10" t="n">
        <x:v>455</x:v>
      </x:c>
      <x:c r="B456" s="10" t="str">
        <x:v>GUILD-03-0126</x:v>
      </x:c>
      <x:c r="C456" s="10" t="str">
        <x:v>运营工具</x:v>
      </x:c>
      <x:c r="D456" s="10" t="str">
        <x:v>运营账号（公会长视角）</x:v>
      </x:c>
      <x:c r="E456" s="10" t="str">
        <x:v>功能需求</x:v>
      </x:c>
      <x:c r="F456" s="10" t="str">
        <x:v>P2</x:v>
      </x:c>
      <x:c r="G456" s="9" t="str">
        <x:v>验证运营列表打开对应账号主页</x:v>
      </x:c>
      <x:c r="H456" s="9" t="str">
        <x:v>运营账号详情对象</x:v>
      </x:c>
      <x:c r="I456" s="9" t="str">
        <x:v>1. 执行角色为公会长
2. 已登录目标公会的公会长账号，打开运营账号页并完成下列数据和页面状态准备
3. 列表存在账号甲O001和乙O002</x:v>
      </x:c>
      <x:c r="J456" s="9" t="str">
        <x:v>1. 查看运营账号页
2. 点击账号甲</x:v>
      </x:c>
      <x:c r="K456" s="9" t="str">
        <x:v>主页显示账号甲O001</x:v>
      </x:c>
      <x:c r="L456" s="10" t="str"/>
      <x:c r="M456" s="10" t="str">
        <x:v>未测</x:v>
      </x:c>
      <x:c r="N456" s="10" t="str"/>
      <x:c r="O456" s="9" t="str">
        <x:v>1. 来源（当前证据）：liveshow-proto/MainBasis/统一需求文档.md；位置：REQ-25f5f780296f；行3112
2. 规则：BR-2080ad2f5d464e35
3. 未动态验证</x:v>
      </x:c>
    </x:row>
    <x:row r="457" ht="85" customHeight="1">
      <x:c r="A457" s="10" t="n">
        <x:v>456</x:v>
      </x:c>
      <x:c r="B457" s="10" t="str">
        <x:v>GUILD-04-0027</x:v>
      </x:c>
      <x:c r="C457" s="10" t="str">
        <x:v>公会管理</x:v>
      </x:c>
      <x:c r="D457" s="10" t="str">
        <x:v>公会资料（公会长视角）</x:v>
      </x:c>
      <x:c r="E457" s="10" t="str">
        <x:v>逻辑校验</x:v>
      </x:c>
      <x:c r="F457" s="10" t="str">
        <x:v>P1</x:v>
      </x:c>
      <x:c r="G457" s="9" t="str">
        <x:v>验证公会名称保存时清理首尾空格</x:v>
      </x:c>
      <x:c r="H457" s="9" t="str">
        <x:v>公会名称空格处理</x:v>
      </x:c>
      <x:c r="I457" s="9" t="str">
        <x:v>1. 执行角色为公会长
2. 已登录目标公会的公会长账号，打开公会资料页并完成下列数据和页面状态准备</x:v>
      </x:c>
      <x:c r="J457" s="9" t="str">
        <x:v>1. 查看公会资料页
2. 填写公会名称为前后各2个空格的QA公会
3. 点击保存</x:v>
      </x:c>
      <x:c r="K457" s="9" t="str">
        <x:v>公会名称保存为QA公会</x:v>
      </x:c>
      <x:c r="L457" s="10" t="str"/>
      <x:c r="M457" s="10" t="str">
        <x:v>未测</x:v>
      </x:c>
      <x:c r="N457" s="10" t="str"/>
      <x:c r="O457" s="9" t="str">
        <x:v>1. 来源（当前证据）：liveshow-proto/MainBasis/统一需求文档.md；位置：REQ-827721b095f8；行3224
2. 规则：BR-34da3681eae3b751
3. 未动态验证</x:v>
      </x:c>
    </x:row>
    <x:row r="458" ht="85" customHeight="1">
      <x:c r="A458" s="10" t="n">
        <x:v>457</x:v>
      </x:c>
      <x:c r="B458" s="10" t="str">
        <x:v>GUILD-04-0028</x:v>
      </x:c>
      <x:c r="C458" s="10" t="str">
        <x:v>公会管理</x:v>
      </x:c>
      <x:c r="D458" s="10" t="str">
        <x:v>公会资料（公会长视角）</x:v>
      </x:c>
      <x:c r="E458" s="10" t="str">
        <x:v>功能需求</x:v>
      </x:c>
      <x:c r="F458" s="10" t="str">
        <x:v>P2</x:v>
      </x:c>
      <x:c r="G458" s="9" t="str">
        <x:v>验证公会简介允许留空保存</x:v>
      </x:c>
      <x:c r="H458" s="9" t="str">
        <x:v>公会简介非必填</x:v>
      </x:c>
      <x:c r="I458" s="9" t="str">
        <x:v>1. 执行角色为公会长
2. 已登录目标公会的公会长账号，打开公会资料页并完成下列数据和页面状态准备
3. 当前公会名称有效</x:v>
      </x:c>
      <x:c r="J458" s="9" t="str">
        <x:v>1. 查看公会资料页
2. 清空公会简介
3. 点击保存</x:v>
      </x:c>
      <x:c r="K458" s="9" t="str">
        <x:v>公会简介保存为空</x:v>
      </x:c>
      <x:c r="L458" s="10" t="str"/>
      <x:c r="M458" s="10" t="str">
        <x:v>未测</x:v>
      </x:c>
      <x:c r="N458" s="10" t="str"/>
      <x:c r="O458" s="9" t="str">
        <x:v>1. 来源（当前证据）：liveshow-proto/MainBasis/统一需求文档.md；位置：REQ-db923df69f8a；行3226
2. 规则：BR-287390a25f79bfa5
3. 未动态验证</x:v>
      </x:c>
    </x:row>
    <x:row r="459" ht="100" customHeight="1">
      <x:c r="A459" s="10" t="n">
        <x:v>458</x:v>
      </x:c>
      <x:c r="B459" s="10" t="str">
        <x:v>GUILD-04-0029</x:v>
      </x:c>
      <x:c r="C459" s="10" t="str">
        <x:v>公会管理</x:v>
      </x:c>
      <x:c r="D459" s="10" t="str">
        <x:v>修改密码（公会长视角）</x:v>
      </x:c>
      <x:c r="E459" s="10" t="str">
        <x:v>逻辑校验</x:v>
      </x:c>
      <x:c r="F459" s="10" t="str">
        <x:v>P1</x:v>
      </x:c>
      <x:c r="G459" s="9" t="str">
        <x:v>验证公会改密新密码不能为空</x:v>
      </x:c>
      <x:c r="H459" s="9" t="str">
        <x:v>公会新密码必填</x:v>
      </x:c>
      <x:c r="I459" s="9" t="str">
        <x:v>1. 执行角色为公会长
2. 已登录目标公会的公会长账号，打开修改密码页并完成下列数据和页面状态准备
3. 当前密码QaOld!2026</x:v>
      </x:c>
      <x:c r="J459" s="9" t="str">
        <x:v>1. 查看修改密码页
2. 填写当前密码为QaOld!2026
3. 清空新密码
4. 填写确认新密码为QaNew!2026
5. 点击保存</x:v>
      </x:c>
      <x:c r="K459" s="9" t="str">
        <x:v>不能提交缺少新密码的修改</x:v>
      </x:c>
      <x:c r="L459" s="10" t="str"/>
      <x:c r="M459" s="10" t="str">
        <x:v>未测</x:v>
      </x:c>
      <x:c r="N459" s="10" t="str"/>
      <x:c r="O459" s="9" t="str">
        <x:v>1. 来源（当前证据）：liveshow-proto/MainBasis/统一需求文档.md；位置：REQ-e6fec0352ac9；行3252、REQ-b84a8280b95e；行3254
2. 规则：BR-ac5f65c077b0ad8b
3. 未动态验证</x:v>
      </x:c>
    </x:row>
    <x:row r="460" ht="100" customHeight="1">
      <x:c r="A460" s="10" t="n">
        <x:v>459</x:v>
      </x:c>
      <x:c r="B460" s="10" t="str">
        <x:v>GUILD-04-0030</x:v>
      </x:c>
      <x:c r="C460" s="10" t="str">
        <x:v>公会管理</x:v>
      </x:c>
      <x:c r="D460" s="10" t="str">
        <x:v>修改密码（公会长视角）</x:v>
      </x:c>
      <x:c r="E460" s="10" t="str">
        <x:v>逻辑校验</x:v>
      </x:c>
      <x:c r="F460" s="10" t="str">
        <x:v>P1</x:v>
      </x:c>
      <x:c r="G460" s="9" t="str">
        <x:v>验证公会改密当前密码错误保留输入</x:v>
      </x:c>
      <x:c r="H460" s="9" t="str">
        <x:v>公会改密失败输入保持</x:v>
      </x:c>
      <x:c r="I460" s="9" t="str">
        <x:v>1. 执行角色为公会长
2. 已登录目标公会的公会长账号，打开修改密码页并完成下列数据和页面状态准备
3. 当前密码QaOld!2026；请求服务正常</x:v>
      </x:c>
      <x:c r="J460" s="9" t="str">
        <x:v>1. 查看修改密码页
2. 填写当前密码为BadOld!2026
3. 填写新密码为QaNew!2026
4. 填写确认新密码为QaNew!2026
5. 点击保存</x:v>
      </x:c>
      <x:c r="K460" s="9" t="str">
        <x:v>三个密码输入框保留本次输入内容</x:v>
      </x:c>
      <x:c r="L460" s="10" t="str"/>
      <x:c r="M460" s="10" t="str">
        <x:v>未测</x:v>
      </x:c>
      <x:c r="N460" s="10" t="str"/>
      <x:c r="O460" s="9" t="str">
        <x:v>1. 来源（当前证据）：liveshow-proto/MainBasis/统一需求文档.md；位置：REQ-ebcb7b632099；行3256
2. 规则：BR-2705195d4a21fdd5
3. 未动态验证</x:v>
      </x:c>
    </x:row>
    <x:row r="461" ht="100" customHeight="1">
      <x:c r="A461" s="10" t="n">
        <x:v>460</x:v>
      </x:c>
      <x:c r="B461" s="10" t="str">
        <x:v>GUILD-04-0031</x:v>
      </x:c>
      <x:c r="C461" s="10" t="str">
        <x:v>公会管理</x:v>
      </x:c>
      <x:c r="D461" s="10" t="str">
        <x:v>修改密码（公会长视角）</x:v>
      </x:c>
      <x:c r="E461" s="10" t="str">
        <x:v>逻辑校验</x:v>
      </x:c>
      <x:c r="F461" s="10" t="str">
        <x:v>P1</x:v>
      </x:c>
      <x:c r="G461" s="9" t="str">
        <x:v>验证公会改密新密码与旧密码相同保留输入</x:v>
      </x:c>
      <x:c r="H461" s="9" t="str">
        <x:v>公会改密失败输入保持</x:v>
      </x:c>
      <x:c r="I461" s="9" t="str">
        <x:v>1. 执行角色为公会长
2. 已登录目标公会的公会长账号，打开修改密码页并完成下列数据和页面状态准备
3. 当前密码QaOld!2026；请求服务正常</x:v>
      </x:c>
      <x:c r="J461" s="9" t="str">
        <x:v>1. 查看修改密码页
2. 填写当前密码为QaOld!2026
3. 填写新密码为QaOld!2026
4. 填写确认新密码为QaOld!2026
5. 点击保存</x:v>
      </x:c>
      <x:c r="K461" s="9" t="str">
        <x:v>三个密码输入框保留本次输入内容</x:v>
      </x:c>
      <x:c r="L461" s="10" t="str"/>
      <x:c r="M461" s="10" t="str">
        <x:v>未测</x:v>
      </x:c>
      <x:c r="N461" s="10" t="str"/>
      <x:c r="O461" s="9" t="str">
        <x:v>1. 来源（当前证据）：liveshow-proto/MainBasis/统一需求文档.md；位置：REQ-ebcb7b632099；行3256
2. 规则：BR-d9b99a97b1c4f2b0
3. 未动态验证</x:v>
      </x:c>
    </x:row>
    <x:row r="462" ht="115" customHeight="1">
      <x:c r="A462" s="10" t="n">
        <x:v>461</x:v>
      </x:c>
      <x:c r="B462" s="10" t="str">
        <x:v>GUILD-04-0032</x:v>
      </x:c>
      <x:c r="C462" s="10" t="str">
        <x:v>公会管理</x:v>
      </x:c>
      <x:c r="D462" s="10" t="str">
        <x:v>修改密码（公会长视角）</x:v>
      </x:c>
      <x:c r="E462" s="10" t="str">
        <x:v>逻辑校验</x:v>
      </x:c>
      <x:c r="F462" s="10" t="str">
        <x:v>P1</x:v>
      </x:c>
      <x:c r="G462" s="9" t="str">
        <x:v>验证公会改密请求失败保留输入</x:v>
      </x:c>
      <x:c r="H462" s="9" t="str">
        <x:v>公会改密失败输入保持</x:v>
      </x:c>
      <x:c r="I462" s="9" t="str">
        <x:v>1. 执行角色为公会长
2. 已登录目标公会的公会长账号，打开修改密码页并完成下列数据和页面状态准备
3. 当前密码QaOld!2026；环境准备：可模拟改密请求失败，执行前须提供故障模拟能力</x:v>
      </x:c>
      <x:c r="J462" s="9" t="str">
        <x:v>1. 查看修改密码页
2. 填写当前密码为QaOld!2026
3. 填写新密码为QaNew!2026
4. 填写确认新密码为QaNew!2026
5. 点击保存</x:v>
      </x:c>
      <x:c r="K462" s="9" t="str">
        <x:v>三个密码输入框保留本次输入内容</x:v>
      </x:c>
      <x:c r="L462" s="10" t="str"/>
      <x:c r="M462" s="10" t="str">
        <x:v>未测</x:v>
      </x:c>
      <x:c r="N462" s="10" t="str"/>
      <x:c r="O462" s="9" t="str">
        <x:v>1. 来源（当前证据）：liveshow-proto/MainBasis/统一需求文档.md；位置：REQ-ebcb7b632099；行3256
2. 规则：BR-b1b0a6bddeedd9dc
3. 未动态验证</x:v>
      </x:c>
    </x:row>
    <x:row r="463" ht="115" customHeight="1">
      <x:c r="A463" s="10" t="n">
        <x:v>462</x:v>
      </x:c>
      <x:c r="B463" s="10" t="str">
        <x:v>GUILD-01-0055</x:v>
      </x:c>
      <x:c r="C463" s="10" t="str">
        <x:v>登录与首页</x:v>
      </x:c>
      <x:c r="D463" s="10" t="str">
        <x:v>通知详情（公会长视角）</x:v>
      </x:c>
      <x:c r="E463" s="10" t="str">
        <x:v>功能需求</x:v>
      </x:c>
      <x:c r="F463" s="10" t="str">
        <x:v>P2</x:v>
      </x:c>
      <x:c r="G463" s="9" t="str">
        <x:v>验证通知发送时间采用本端日期时间格式</x:v>
      </x:c>
      <x:c r="H463" s="9" t="str">
        <x:v>通知发送时间格式</x:v>
      </x:c>
      <x:c r="I463" s="9" t="str">
        <x:v>1. 执行角色为公会长
2. 测试记录对应的页面本地时间为2026年12月8日14时30分；有权访问本记录</x:v>
      </x:c>
      <x:c r="J463" s="9" t="str">
        <x:v>1. 进入通知详情页
2. 查看该记录的通知发送时间</x:v>
      </x:c>
      <x:c r="K463" s="9" t="str">
        <x:v>通知发送时间显示08/12/2026 14.30</x:v>
      </x:c>
      <x:c r="L463" s="10" t="str"/>
      <x:c r="M463" s="10" t="str">
        <x:v>未测</x:v>
      </x:c>
      <x:c r="N463" s="10" t="str"/>
      <x:c r="O463" s="9" t="str">
        <x:v>1. 来源（当前证据）：liveshow-proto/MainBasis/统一需求文档.md；位置：REQ-36e42f069039；行2779、290462ff97300ba58d974980aec4cd2835b0383db9ef0c4a7bb510ec8d55953a；行3479
2. 规则：BR-9469a17a68a0d86a
3. 未动态验证</x:v>
      </x:c>
    </x:row>
    <x:row r="464" ht="115" customHeight="1">
      <x:c r="A464" s="10" t="n">
        <x:v>463</x:v>
      </x:c>
      <x:c r="B464" s="10" t="str">
        <x:v>GUILD-05-0102</x:v>
      </x:c>
      <x:c r="C464" s="10" t="str">
        <x:v>数据与收益</x:v>
      </x:c>
      <x:c r="D464" s="10" t="str">
        <x:v>主播分成记录（公会长视角）</x:v>
      </x:c>
      <x:c r="E464" s="10" t="str">
        <x:v>功能需求</x:v>
      </x:c>
      <x:c r="F464" s="10" t="str">
        <x:v>P2</x:v>
      </x:c>
      <x:c r="G464" s="9" t="str">
        <x:v>验证主播分成入账时间采用本端日期时间格式</x:v>
      </x:c>
      <x:c r="H464" s="9" t="str">
        <x:v>主播分成入账时间格式</x:v>
      </x:c>
      <x:c r="I464" s="9" t="str">
        <x:v>1. 执行角色为公会长
2. 测试记录对应的页面本地时间为2026年12月8日14时30分；有权访问本记录</x:v>
      </x:c>
      <x:c r="J464" s="9" t="str">
        <x:v>1. 进入主播分成记录页
2. 查看该记录的主播分成入账时间</x:v>
      </x:c>
      <x:c r="K464" s="9" t="str">
        <x:v>主播分成入账时间显示08/12/2026 14.30</x:v>
      </x:c>
      <x:c r="L464" s="10" t="str"/>
      <x:c r="M464" s="10" t="str">
        <x:v>未测</x:v>
      </x:c>
      <x:c r="N464" s="10" t="str"/>
      <x:c r="O464" s="9" t="str">
        <x:v>1. 来源（当前证据）：liveshow-proto/MainBasis/统一需求文档.md；位置：REQ-91564db9a916；行3442、290462ff97300ba58d974980aec4cd2835b0383db9ef0c4a7bb510ec8d55953a；行3479
2. 规则：BR-a864a6eee7154722
3. 未动态验证</x:v>
      </x:c>
    </x:row>
    <x:row r="465" ht="115" customHeight="1">
      <x:c r="A465" s="10" t="n">
        <x:v>464</x:v>
      </x:c>
      <x:c r="B465" s="10" t="str">
        <x:v>GUILD-02-0149</x:v>
      </x:c>
      <x:c r="C465" s="10" t="str">
        <x:v>主播管理</x:v>
      </x:c>
      <x:c r="D465" s="10" t="str">
        <x:v>退会申请详情（公会长视角）</x:v>
      </x:c>
      <x:c r="E465" s="10" t="str">
        <x:v>功能需求</x:v>
      </x:c>
      <x:c r="F465" s="10" t="str">
        <x:v>P2</x:v>
      </x:c>
      <x:c r="G465" s="9" t="str">
        <x:v>验证加入日期为纯日期时不附加时间</x:v>
      </x:c>
      <x:c r="H465" s="9" t="str">
        <x:v>加入日期纯日期格式</x:v>
      </x:c>
      <x:c r="I465" s="9" t="str">
        <x:v>1. 执行角色为公会长
2. 当前记录的对应日期为2026年12月8日；有权访问该记录</x:v>
      </x:c>
      <x:c r="J465" s="9" t="str">
        <x:v>1. 进入退会申请详情页
2. 查看该记录的加入日期</x:v>
      </x:c>
      <x:c r="K465" s="9" t="str">
        <x:v>加入日期显示08/12/2026且不附加时间</x:v>
      </x:c>
      <x:c r="L465" s="10" t="str"/>
      <x:c r="M465" s="10" t="str">
        <x:v>未测</x:v>
      </x:c>
      <x:c r="N465" s="10" t="str"/>
      <x:c r="O465" s="9" t="str">
        <x:v>1. 来源（当前证据）：liveshow-proto/MainBasis/统一需求文档.md；位置：REQ-8fb398d1b1d8；行2863、290462ff97300ba58d974980aec4cd2835b0383db9ef0c4a7bb510ec8d55953a；行3479
2. 规则：BR-4e88f71ddb9634b4
3. 未动态验证</x:v>
      </x:c>
    </x:row>
    <x:row r="466" ht="115" customHeight="1">
      <x:c r="A466" s="10" t="n">
        <x:v>465</x:v>
      </x:c>
      <x:c r="B466" s="10" t="str">
        <x:v>GUILD-02-0150</x:v>
      </x:c>
      <x:c r="C466" s="10" t="str">
        <x:v>主播管理</x:v>
      </x:c>
      <x:c r="D466" s="10" t="str">
        <x:v>主播业绩（公会长视角）</x:v>
      </x:c>
      <x:c r="E466" s="10" t="str">
        <x:v>逻辑校验</x:v>
      </x:c>
      <x:c r="F466" s="10" t="str">
        <x:v>P1</x:v>
      </x:c>
      <x:c r="G466" s="9" t="str">
        <x:v>验证主播业绩排除开始日前记录</x:v>
      </x:c>
      <x:c r="H466" s="9" t="str">
        <x:v>日期范围外记录排除</x:v>
      </x:c>
      <x:c r="I466" s="9" t="str">
        <x:v>1. 执行角色为公会长
2. 已登录目标公会的公会长账号，打开主播业绩页并完成下列数据和页面状态准备
3. 可访问的记录A属于2026年9月9日，B属于9月12日；其他筛选均包含A和B</x:v>
      </x:c>
      <x:c r="J466" s="9" t="str">
        <x:v>1. 查看主播业绩页
2. 选择日期范围为2026年9月10日至9月15日</x:v>
      </x:c>
      <x:c r="K466" s="9" t="str">
        <x:v>筛选结果不包含记录A</x:v>
      </x:c>
      <x:c r="L466" s="10" t="str"/>
      <x:c r="M466" s="10" t="str">
        <x:v>未测</x:v>
      </x:c>
      <x:c r="N466" s="10" t="str"/>
      <x:c r="O466" s="9" t="str">
        <x:v>1. 来源（当前证据）：liveshow-proto/MainBasis/统一需求文档.md；位置：REQ-11ec1831d720；行2903
2. 规则：BR-d9d9fd2cbd4fa694
3. 未动态验证</x:v>
      </x:c>
    </x:row>
    <x:row r="467" ht="115" customHeight="1">
      <x:c r="A467" s="10" t="n">
        <x:v>466</x:v>
      </x:c>
      <x:c r="B467" s="10" t="str">
        <x:v>GUILD-02-0151</x:v>
      </x:c>
      <x:c r="C467" s="10" t="str">
        <x:v>主播管理</x:v>
      </x:c>
      <x:c r="D467" s="10" t="str">
        <x:v>主播业绩（公会长视角）</x:v>
      </x:c>
      <x:c r="E467" s="10" t="str">
        <x:v>逻辑校验</x:v>
      </x:c>
      <x:c r="F467" s="10" t="str">
        <x:v>P1</x:v>
      </x:c>
      <x:c r="G467" s="9" t="str">
        <x:v>验证主播业绩排除结束日后记录</x:v>
      </x:c>
      <x:c r="H467" s="9" t="str">
        <x:v>日期范围外记录排除</x:v>
      </x:c>
      <x:c r="I467" s="9" t="str">
        <x:v>1. 执行角色为公会长
2. 已登录目标公会的公会长账号，打开主播业绩页并完成下列数据和页面状态准备
3. 可访问的记录A属于2026年9月16日，B属于9月12日；其他筛选均包含A和B</x:v>
      </x:c>
      <x:c r="J467" s="9" t="str">
        <x:v>1. 查看主播业绩页
2. 选择日期范围为2026年9月10日至9月15日</x:v>
      </x:c>
      <x:c r="K467" s="9" t="str">
        <x:v>筛选结果不包含记录A</x:v>
      </x:c>
      <x:c r="L467" s="10" t="str"/>
      <x:c r="M467" s="10" t="str">
        <x:v>未测</x:v>
      </x:c>
      <x:c r="N467" s="10" t="str"/>
      <x:c r="O467" s="9" t="str">
        <x:v>1. 来源（当前证据）：liveshow-proto/MainBasis/统一需求文档.md；位置：REQ-11ec1831d720；行2903
2. 规则：BR-1e365d76a90878fb
3. 未动态验证</x:v>
      </x:c>
    </x:row>
    <x:row r="468" ht="115" customHeight="1">
      <x:c r="A468" s="10" t="n">
        <x:v>467</x:v>
      </x:c>
      <x:c r="B468" s="10" t="str">
        <x:v>GUILD-03-0127</x:v>
      </x:c>
      <x:c r="C468" s="10" t="str">
        <x:v>运营工具</x:v>
      </x:c>
      <x:c r="D468" s="10" t="str">
        <x:v>运营消息（公会长视角）</x:v>
      </x:c>
      <x:c r="E468" s="10" t="str">
        <x:v>逻辑校验</x:v>
      </x:c>
      <x:c r="F468" s="10" t="str">
        <x:v>P1</x:v>
      </x:c>
      <x:c r="G468" s="9" t="str">
        <x:v>验证运营消息排除开始日前记录</x:v>
      </x:c>
      <x:c r="H468" s="9" t="str">
        <x:v>日期范围外记录排除</x:v>
      </x:c>
      <x:c r="I468" s="9" t="str">
        <x:v>1. 执行角色为公会长
2. 已登录目标公会的公会长账号，打开运营消息页并完成下列数据和页面状态准备
3. 可访问的记录A属于2026年9月9日，B属于9月12日；其他筛选均包含A和B</x:v>
      </x:c>
      <x:c r="J468" s="9" t="str">
        <x:v>1. 查看运营消息页
2. 选择日期范围为2026年9月10日至9月15日</x:v>
      </x:c>
      <x:c r="K468" s="9" t="str">
        <x:v>筛选结果不包含记录A</x:v>
      </x:c>
      <x:c r="L468" s="10" t="str"/>
      <x:c r="M468" s="10" t="str">
        <x:v>未测</x:v>
      </x:c>
      <x:c r="N468" s="10" t="str"/>
      <x:c r="O468" s="9" t="str">
        <x:v>1. 来源（当前证据）：liveshow-proto/MainBasis/统一需求文档.md；位置：REQ-47c155de9784；行3024
2. 规则：BR-7f49727185872914
3. 未动态验证</x:v>
      </x:c>
    </x:row>
    <x:row r="469" ht="115" customHeight="1">
      <x:c r="A469" s="10" t="n">
        <x:v>468</x:v>
      </x:c>
      <x:c r="B469" s="10" t="str">
        <x:v>GUILD-03-0128</x:v>
      </x:c>
      <x:c r="C469" s="10" t="str">
        <x:v>运营工具</x:v>
      </x:c>
      <x:c r="D469" s="10" t="str">
        <x:v>运营消息（公会长视角）</x:v>
      </x:c>
      <x:c r="E469" s="10" t="str">
        <x:v>逻辑校验</x:v>
      </x:c>
      <x:c r="F469" s="10" t="str">
        <x:v>P1</x:v>
      </x:c>
      <x:c r="G469" s="9" t="str">
        <x:v>验证运营消息排除结束日后记录</x:v>
      </x:c>
      <x:c r="H469" s="9" t="str">
        <x:v>日期范围外记录排除</x:v>
      </x:c>
      <x:c r="I469" s="9" t="str">
        <x:v>1. 执行角色为公会长
2. 已登录目标公会的公会长账号，打开运营消息页并完成下列数据和页面状态准备
3. 可访问的记录A属于2026年9月16日，B属于9月12日；其他筛选均包含A和B</x:v>
      </x:c>
      <x:c r="J469" s="9" t="str">
        <x:v>1. 查看运营消息页
2. 选择日期范围为2026年9月10日至9月15日</x:v>
      </x:c>
      <x:c r="K469" s="9" t="str">
        <x:v>筛选结果不包含记录A</x:v>
      </x:c>
      <x:c r="L469" s="10" t="str"/>
      <x:c r="M469" s="10" t="str">
        <x:v>未测</x:v>
      </x:c>
      <x:c r="N469" s="10" t="str"/>
      <x:c r="O469" s="9" t="str">
        <x:v>1. 来源（当前证据）：liveshow-proto/MainBasis/统一需求文档.md；位置：REQ-47c155de9784；行3024
2. 规则：BR-ac86b2f981cb48aa
3. 未动态验证</x:v>
      </x:c>
    </x:row>
    <x:row r="470" ht="115" customHeight="1">
      <x:c r="A470" s="10" t="n">
        <x:v>469</x:v>
      </x:c>
      <x:c r="B470" s="10" t="str">
        <x:v>GUILD-03-0129</x:v>
      </x:c>
      <x:c r="C470" s="10" t="str">
        <x:v>运营工具</x:v>
      </x:c>
      <x:c r="D470" s="10" t="str">
        <x:v>运营账号主页（公会长视角）</x:v>
      </x:c>
      <x:c r="E470" s="10" t="str">
        <x:v>逻辑校验</x:v>
      </x:c>
      <x:c r="F470" s="10" t="str">
        <x:v>P1</x:v>
      </x:c>
      <x:c r="G470" s="9" t="str">
        <x:v>验证运营账号主页排除开始日前记录</x:v>
      </x:c>
      <x:c r="H470" s="9" t="str">
        <x:v>日期范围外记录排除</x:v>
      </x:c>
      <x:c r="I470" s="9" t="str">
        <x:v>1. 执行角色为公会长
2. 已登录目标公会的公会长账号，打开运营账号主页页并完成下列数据和页面状态准备
3. 可访问的记录A属于2026年9月9日，B属于9月12日；其他筛选均包含A和B</x:v>
      </x:c>
      <x:c r="J470" s="9" t="str">
        <x:v>1. 查看运营账号主页
2. 选择日期范围为2026年9月10日至9月15日</x:v>
      </x:c>
      <x:c r="K470" s="9" t="str">
        <x:v>筛选结果不包含记录A</x:v>
      </x:c>
      <x:c r="L470" s="10" t="str"/>
      <x:c r="M470" s="10" t="str">
        <x:v>未测</x:v>
      </x:c>
      <x:c r="N470" s="10" t="str"/>
      <x:c r="O470" s="9" t="str">
        <x:v>1. 来源（当前证据）：liveshow-proto/MainBasis/统一需求文档.md；位置：REQ-6e7a5925d5b4；行3145
2. 规则：BR-02d451cacbbdada3
3. 未动态验证</x:v>
      </x:c>
    </x:row>
    <x:row r="471" ht="115" customHeight="1">
      <x:c r="A471" s="10" t="n">
        <x:v>470</x:v>
      </x:c>
      <x:c r="B471" s="10" t="str">
        <x:v>GUILD-03-0130</x:v>
      </x:c>
      <x:c r="C471" s="10" t="str">
        <x:v>运营工具</x:v>
      </x:c>
      <x:c r="D471" s="10" t="str">
        <x:v>运营账号主页（公会长视角）</x:v>
      </x:c>
      <x:c r="E471" s="10" t="str">
        <x:v>逻辑校验</x:v>
      </x:c>
      <x:c r="F471" s="10" t="str">
        <x:v>P1</x:v>
      </x:c>
      <x:c r="G471" s="9" t="str">
        <x:v>验证运营账号主页排除结束日后记录</x:v>
      </x:c>
      <x:c r="H471" s="9" t="str">
        <x:v>日期范围外记录排除</x:v>
      </x:c>
      <x:c r="I471" s="9" t="str">
        <x:v>1. 执行角色为公会长
2. 已登录目标公会的公会长账号，打开运营账号主页页并完成下列数据和页面状态准备
3. 可访问的记录A属于2026年9月16日，B属于9月12日；其他筛选均包含A和B</x:v>
      </x:c>
      <x:c r="J471" s="9" t="str">
        <x:v>1. 查看运营账号主页
2. 选择日期范围为2026年9月10日至9月15日</x:v>
      </x:c>
      <x:c r="K471" s="9" t="str">
        <x:v>筛选结果不包含记录A</x:v>
      </x:c>
      <x:c r="L471" s="10" t="str"/>
      <x:c r="M471" s="10" t="str">
        <x:v>未测</x:v>
      </x:c>
      <x:c r="N471" s="10" t="str"/>
      <x:c r="O471" s="9" t="str">
        <x:v>1. 来源（当前证据）：liveshow-proto/MainBasis/统一需求文档.md；位置：REQ-6e7a5925d5b4；行3145
2. 规则：BR-6811360c5457a130
3. 未动态验证</x:v>
      </x:c>
    </x:row>
    <x:row r="472" ht="115" customHeight="1">
      <x:c r="A472" s="10" t="n">
        <x:v>471</x:v>
      </x:c>
      <x:c r="B472" s="10" t="str">
        <x:v>GUILD-05-0103</x:v>
      </x:c>
      <x:c r="C472" s="10" t="str">
        <x:v>数据与收益</x:v>
      </x:c>
      <x:c r="D472" s="10" t="str">
        <x:v>直播记录（公会长视角）</x:v>
      </x:c>
      <x:c r="E472" s="10" t="str">
        <x:v>逻辑校验</x:v>
      </x:c>
      <x:c r="F472" s="10" t="str">
        <x:v>P1</x:v>
      </x:c>
      <x:c r="G472" s="9" t="str">
        <x:v>验证直播记录排除开始日前记录</x:v>
      </x:c>
      <x:c r="H472" s="9" t="str">
        <x:v>日期范围外记录排除</x:v>
      </x:c>
      <x:c r="I472" s="9" t="str">
        <x:v>1. 执行角色为公会长
2. 已登录目标公会的公会长账号，打开直播记录页并完成下列数据和页面状态准备
3. 可访问的记录A属于2026年9月9日，B属于9月12日；其他筛选均包含A和B</x:v>
      </x:c>
      <x:c r="J472" s="9" t="str">
        <x:v>1. 查看直播记录页
2. 选择日期范围为2026年9月10日至9月15日</x:v>
      </x:c>
      <x:c r="K472" s="9" t="str">
        <x:v>筛选结果不包含记录A</x:v>
      </x:c>
      <x:c r="L472" s="10" t="str"/>
      <x:c r="M472" s="10" t="str">
        <x:v>未测</x:v>
      </x:c>
      <x:c r="N472" s="10" t="str"/>
      <x:c r="O472" s="9" t="str">
        <x:v>1. 来源（当前证据）：liveshow-proto/MainBasis/统一需求文档.md；位置：REQ-1be57bba4047；行3263
2. 规则：BR-b057878cec9d3bd7
3. 未动态验证</x:v>
      </x:c>
    </x:row>
    <x:row r="473" ht="115" customHeight="1">
      <x:c r="A473" s="10" t="n">
        <x:v>472</x:v>
      </x:c>
      <x:c r="B473" s="10" t="str">
        <x:v>GUILD-05-0104</x:v>
      </x:c>
      <x:c r="C473" s="10" t="str">
        <x:v>数据与收益</x:v>
      </x:c>
      <x:c r="D473" s="10" t="str">
        <x:v>直播记录（公会长视角）</x:v>
      </x:c>
      <x:c r="E473" s="10" t="str">
        <x:v>逻辑校验</x:v>
      </x:c>
      <x:c r="F473" s="10" t="str">
        <x:v>P1</x:v>
      </x:c>
      <x:c r="G473" s="9" t="str">
        <x:v>验证直播记录排除结束日后记录</x:v>
      </x:c>
      <x:c r="H473" s="9" t="str">
        <x:v>日期范围外记录排除</x:v>
      </x:c>
      <x:c r="I473" s="9" t="str">
        <x:v>1. 执行角色为公会长
2. 已登录目标公会的公会长账号，打开直播记录页并完成下列数据和页面状态准备
3. 可访问的记录A属于2026年9月16日，B属于9月12日；其他筛选均包含A和B</x:v>
      </x:c>
      <x:c r="J473" s="9" t="str">
        <x:v>1. 查看直播记录页
2. 选择日期范围为2026年9月10日至9月15日</x:v>
      </x:c>
      <x:c r="K473" s="9" t="str">
        <x:v>筛选结果不包含记录A</x:v>
      </x:c>
      <x:c r="L473" s="10" t="str"/>
      <x:c r="M473" s="10" t="str">
        <x:v>未测</x:v>
      </x:c>
      <x:c r="N473" s="10" t="str"/>
      <x:c r="O473" s="9" t="str">
        <x:v>1. 来源（当前证据）：liveshow-proto/MainBasis/统一需求文档.md；位置：REQ-1be57bba4047；行3263
2. 规则：BR-ce6f7cc841abffb7
3. 未动态验证</x:v>
      </x:c>
    </x:row>
    <x:row r="474" ht="115" customHeight="1">
      <x:c r="A474" s="10" t="n">
        <x:v>473</x:v>
      </x:c>
      <x:c r="B474" s="10" t="str">
        <x:v>GUILD-05-0105</x:v>
      </x:c>
      <x:c r="C474" s="10" t="str">
        <x:v>数据与收益</x:v>
      </x:c>
      <x:c r="D474" s="10" t="str">
        <x:v>主播分成记录（公会长视角）</x:v>
      </x:c>
      <x:c r="E474" s="10" t="str">
        <x:v>逻辑校验</x:v>
      </x:c>
      <x:c r="F474" s="10" t="str">
        <x:v>P1</x:v>
      </x:c>
      <x:c r="G474" s="9" t="str">
        <x:v>验证主播分成记录排除开始日前记录</x:v>
      </x:c>
      <x:c r="H474" s="9" t="str">
        <x:v>日期范围外记录排除</x:v>
      </x:c>
      <x:c r="I474" s="9" t="str">
        <x:v>1. 执行角色为公会长
2. 已登录目标公会的公会长账号，打开主播分成记录页并完成下列数据和页面状态准备
3. 可访问的记录A属于2026年9月9日，B属于9月12日；其他筛选均包含A和B</x:v>
      </x:c>
      <x:c r="J474" s="9" t="str">
        <x:v>1. 查看主播分成记录页
2. 选择日期范围为2026年9月10日至9月15日</x:v>
      </x:c>
      <x:c r="K474" s="9" t="str">
        <x:v>筛选结果不包含记录A</x:v>
      </x:c>
      <x:c r="L474" s="10" t="str"/>
      <x:c r="M474" s="10" t="str">
        <x:v>未测</x:v>
      </x:c>
      <x:c r="N474" s="10" t="str"/>
      <x:c r="O474" s="9" t="str">
        <x:v>1. 来源（当前证据）：liveshow-proto/MainBasis/统一需求文档.md；位置：REQ-7f9821d8e4a3；行3436
2. 规则：BR-1e0cafb5c76fbd8b
3. 未动态验证</x:v>
      </x:c>
    </x:row>
    <x:row r="475" ht="115" customHeight="1">
      <x:c r="A475" s="10" t="n">
        <x:v>474</x:v>
      </x:c>
      <x:c r="B475" s="10" t="str">
        <x:v>GUILD-05-0106</x:v>
      </x:c>
      <x:c r="C475" s="10" t="str">
        <x:v>数据与收益</x:v>
      </x:c>
      <x:c r="D475" s="10" t="str">
        <x:v>主播分成记录（公会长视角）</x:v>
      </x:c>
      <x:c r="E475" s="10" t="str">
        <x:v>逻辑校验</x:v>
      </x:c>
      <x:c r="F475" s="10" t="str">
        <x:v>P1</x:v>
      </x:c>
      <x:c r="G475" s="9" t="str">
        <x:v>验证主播分成记录排除结束日后记录</x:v>
      </x:c>
      <x:c r="H475" s="9" t="str">
        <x:v>日期范围外记录排除</x:v>
      </x:c>
      <x:c r="I475" s="9" t="str">
        <x:v>1. 执行角色为公会长
2. 已登录目标公会的公会长账号，打开主播分成记录页并完成下列数据和页面状态准备
3. 可访问的记录A属于2026年9月16日，B属于9月12日；其他筛选均包含A和B</x:v>
      </x:c>
      <x:c r="J475" s="9" t="str">
        <x:v>1. 查看主播分成记录页
2. 选择日期范围为2026年9月10日至9月15日</x:v>
      </x:c>
      <x:c r="K475" s="9" t="str">
        <x:v>筛选结果不包含记录A</x:v>
      </x:c>
      <x:c r="L475" s="10" t="str"/>
      <x:c r="M475" s="10" t="str">
        <x:v>未测</x:v>
      </x:c>
      <x:c r="N475" s="10" t="str"/>
      <x:c r="O475" s="9" t="str">
        <x:v>1. 来源（当前证据）：liveshow-proto/MainBasis/统一需求文档.md；位置：REQ-7f9821d8e4a3；行3436
2. 规则：BR-a32096a056d39c33
3. 未动态验证</x:v>
      </x:c>
    </x:row>
    <x:row r="476" ht="115" customHeight="1">
      <x:c r="A476" s="10" t="n">
        <x:v>475</x:v>
      </x:c>
      <x:c r="B476" s="10" t="str">
        <x:v>GUILD-05-0107</x:v>
      </x:c>
      <x:c r="C476" s="10" t="str">
        <x:v>数据与收益</x:v>
      </x:c>
      <x:c r="D476" s="10" t="str">
        <x:v>违规记录（公会长视角）</x:v>
      </x:c>
      <x:c r="E476" s="10" t="str">
        <x:v>逻辑校验</x:v>
      </x:c>
      <x:c r="F476" s="10" t="str">
        <x:v>P1</x:v>
      </x:c>
      <x:c r="G476" s="9" t="str">
        <x:v>验证违规记录排除开始日前记录</x:v>
      </x:c>
      <x:c r="H476" s="9" t="str">
        <x:v>日期范围外记录排除</x:v>
      </x:c>
      <x:c r="I476" s="9" t="str">
        <x:v>1. 执行角色为公会长
2. 已登录目标公会的公会长账号，打开违规记录页并完成下列数据和页面状态准备
3. 可访问的记录A属于2026年9月9日，B属于9月12日；其他筛选均包含A和B</x:v>
      </x:c>
      <x:c r="J476" s="9" t="str">
        <x:v>1. 查看违规记录页
2. 选择日期范围为2026年9月10日至9月15日</x:v>
      </x:c>
      <x:c r="K476" s="9" t="str">
        <x:v>筛选结果不包含记录A</x:v>
      </x:c>
      <x:c r="L476" s="10" t="str"/>
      <x:c r="M476" s="10" t="str">
        <x:v>未测</x:v>
      </x:c>
      <x:c r="N476" s="10" t="str"/>
      <x:c r="O476" s="9" t="str">
        <x:v>1. 来源（当前证据）：liveshow-proto/MainBasis/统一需求文档.md；位置：REQ-3caa16d1492a；行3345
2. 规则：BR-6f07eb3039ca77c9
3. 未动态验证</x:v>
      </x:c>
    </x:row>
    <x:row r="477" ht="115" customHeight="1">
      <x:c r="A477" s="10" t="n">
        <x:v>476</x:v>
      </x:c>
      <x:c r="B477" s="10" t="str">
        <x:v>GUILD-05-0108</x:v>
      </x:c>
      <x:c r="C477" s="10" t="str">
        <x:v>数据与收益</x:v>
      </x:c>
      <x:c r="D477" s="10" t="str">
        <x:v>违规记录（公会长视角）</x:v>
      </x:c>
      <x:c r="E477" s="10" t="str">
        <x:v>逻辑校验</x:v>
      </x:c>
      <x:c r="F477" s="10" t="str">
        <x:v>P1</x:v>
      </x:c>
      <x:c r="G477" s="9" t="str">
        <x:v>验证违规记录排除结束日后记录</x:v>
      </x:c>
      <x:c r="H477" s="9" t="str">
        <x:v>日期范围外记录排除</x:v>
      </x:c>
      <x:c r="I477" s="9" t="str">
        <x:v>1. 执行角色为公会长
2. 已登录目标公会的公会长账号，打开违规记录页并完成下列数据和页面状态准备
3. 可访问的记录A属于2026年9月16日，B属于9月12日；其他筛选均包含A和B</x:v>
      </x:c>
      <x:c r="J477" s="9" t="str">
        <x:v>1. 查看违规记录页
2. 选择日期范围为2026年9月10日至9月15日</x:v>
      </x:c>
      <x:c r="K477" s="9" t="str">
        <x:v>筛选结果不包含记录A</x:v>
      </x:c>
      <x:c r="L477" s="10" t="str"/>
      <x:c r="M477" s="10" t="str">
        <x:v>未测</x:v>
      </x:c>
      <x:c r="N477" s="10" t="str"/>
      <x:c r="O477" s="9" t="str">
        <x:v>1. 来源（当前证据）：liveshow-proto/MainBasis/统一需求文档.md；位置：REQ-3caa16d1492a；行3345
2. 规则：BR-eaab158c167fdddb
3. 未动态验证</x:v>
      </x:c>
    </x:row>
    <x:row r="478" ht="100" customHeight="1">
      <x:c r="A478" s="10" t="n">
        <x:v>477</x:v>
      </x:c>
      <x:c r="B478" s="10" t="str">
        <x:v>GUILD-05-0109</x:v>
      </x:c>
      <x:c r="C478" s="10" t="str">
        <x:v>数据与收益</x:v>
      </x:c>
      <x:c r="D478" s="10" t="str">
        <x:v>违规记录（公会长视角）</x:v>
      </x:c>
      <x:c r="E478" s="10" t="str">
        <x:v>逻辑校验</x:v>
      </x:c>
      <x:c r="F478" s="10" t="str">
        <x:v>P1</x:v>
      </x:c>
      <x:c r="G478" s="9" t="str">
        <x:v>验证违规记录包含开始日</x:v>
      </x:c>
      <x:c r="H478" s="9" t="str">
        <x:v>违规日期边界包含</x:v>
      </x:c>
      <x:c r="I478" s="9" t="str">
        <x:v>1. 执行角色为公会长
2. 已登录目标公会的公会长账号，打开违规记录页并完成下列数据和页面状态准备
3. 违规记录A的业务发生日为2026年9月10日；其他条件包含A</x:v>
      </x:c>
      <x:c r="J478" s="9" t="str">
        <x:v>1. 查看违规记录页
2. 选择日期范围为2026年9月10日至9月15日</x:v>
      </x:c>
      <x:c r="K478" s="9" t="str">
        <x:v>筛选结果包含记录A</x:v>
      </x:c>
      <x:c r="L478" s="10" t="str"/>
      <x:c r="M478" s="10" t="str">
        <x:v>未测</x:v>
      </x:c>
      <x:c r="N478" s="10" t="str"/>
      <x:c r="O478" s="9" t="str">
        <x:v>1. 来源（当前证据）：liveshow-proto/MainBasis/统一需求文档.md；位置：REQ-3caa16d1492a；行3345
2. 规则：BR-004838a42d510235
3. 未动态验证</x:v>
      </x:c>
    </x:row>
    <x:row r="479" ht="100" customHeight="1">
      <x:c r="A479" s="10" t="n">
        <x:v>478</x:v>
      </x:c>
      <x:c r="B479" s="10" t="str">
        <x:v>GUILD-05-0110</x:v>
      </x:c>
      <x:c r="C479" s="10" t="str">
        <x:v>数据与收益</x:v>
      </x:c>
      <x:c r="D479" s="10" t="str">
        <x:v>违规记录（公会长视角）</x:v>
      </x:c>
      <x:c r="E479" s="10" t="str">
        <x:v>逻辑校验</x:v>
      </x:c>
      <x:c r="F479" s="10" t="str">
        <x:v>P1</x:v>
      </x:c>
      <x:c r="G479" s="9" t="str">
        <x:v>验证违规记录包含结束日</x:v>
      </x:c>
      <x:c r="H479" s="9" t="str">
        <x:v>违规日期边界包含</x:v>
      </x:c>
      <x:c r="I479" s="9" t="str">
        <x:v>1. 执行角色为公会长
2. 已登录目标公会的公会长账号，打开违规记录页并完成下列数据和页面状态准备
3. 违规记录A的业务发生日为2026年9月15日；其他条件包含A</x:v>
      </x:c>
      <x:c r="J479" s="9" t="str">
        <x:v>1. 查看违规记录页
2. 选择日期范围为2026年9月10日至9月15日</x:v>
      </x:c>
      <x:c r="K479" s="9" t="str">
        <x:v>筛选结果包含记录A</x:v>
      </x:c>
      <x:c r="L479" s="10" t="str"/>
      <x:c r="M479" s="10" t="str">
        <x:v>未测</x:v>
      </x:c>
      <x:c r="N479" s="10" t="str"/>
      <x:c r="O479" s="9" t="str">
        <x:v>1. 来源（当前证据）：liveshow-proto/MainBasis/统一需求文档.md；位置：REQ-3caa16d1492a；行3345
2. 规则：BR-e30edb9fb3049526
3. 未动态验证</x:v>
      </x:c>
    </x:row>
    <x:row r="480" ht="85" customHeight="1">
      <x:c r="A480" s="10" t="n">
        <x:v>479</x:v>
      </x:c>
      <x:c r="B480" s="10" t="str">
        <x:v>GUILD-02-0152</x:v>
      </x:c>
      <x:c r="C480" s="10" t="str">
        <x:v>主播管理</x:v>
      </x:c>
      <x:c r="D480" s="10" t="str">
        <x:v>主播业绩（公会长视角）</x:v>
      </x:c>
      <x:c r="E480" s="10" t="str">
        <x:v>功能需求</x:v>
      </x:c>
      <x:c r="F480" s="10" t="str">
        <x:v>P2</x:v>
      </x:c>
      <x:c r="G480" s="9" t="str">
        <x:v>验证主播业绩显示已定义日期选项</x:v>
      </x:c>
      <x:c r="H480" s="9" t="str">
        <x:v>主播业绩日期选项</x:v>
      </x:c>
      <x:c r="I480" s="9" t="str">
        <x:v>1. 执行角色为公会长
2. 已登录目标公会的公会长账号，打开主播业绩页并完成下列数据和页面状态准备
3. 当前处于对应日期筛选视图</x:v>
      </x:c>
      <x:c r="J480" s="9" t="str">
        <x:v>1. 查看主播业绩页
2. 点击日期范围选择</x:v>
      </x:c>
      <x:c r="K480" s="9" t="str">
        <x:v>可选范围为今日、昨日、本周、上周、本月、上月、自定义</x:v>
      </x:c>
      <x:c r="L480" s="10" t="str"/>
      <x:c r="M480" s="10" t="str">
        <x:v>未测</x:v>
      </x:c>
      <x:c r="N480" s="10" t="str"/>
      <x:c r="O480" s="9" t="str">
        <x:v>1. 来源（当前证据）：liveshow-proto/MainBasis/统一需求文档.md；位置：REQ-8e961a9af293；行2905
2. 规则：BR-55ec08d042e1c0e7
3. 未动态验证</x:v>
      </x:c>
    </x:row>
    <x:row r="481" ht="85" customHeight="1">
      <x:c r="A481" s="10" t="n">
        <x:v>480</x:v>
      </x:c>
      <x:c r="B481" s="10" t="str">
        <x:v>GUILD-03-0131</x:v>
      </x:c>
      <x:c r="C481" s="10" t="str">
        <x:v>运营工具</x:v>
      </x:c>
      <x:c r="D481" s="10" t="str">
        <x:v>运营消息（公会长视角）</x:v>
      </x:c>
      <x:c r="E481" s="10" t="str">
        <x:v>功能需求</x:v>
      </x:c>
      <x:c r="F481" s="10" t="str">
        <x:v>P2</x:v>
      </x:c>
      <x:c r="G481" s="9" t="str">
        <x:v>验证运营消息显示已定义日期选项</x:v>
      </x:c>
      <x:c r="H481" s="9" t="str">
        <x:v>运营消息日期选项</x:v>
      </x:c>
      <x:c r="I481" s="9" t="str">
        <x:v>1. 执行角色为公会长
2. 已登录目标公会的公会长账号，打开运营消息页并完成下列数据和页面状态准备
3. 当前处于对应日期筛选视图</x:v>
      </x:c>
      <x:c r="J481" s="9" t="str">
        <x:v>1. 查看运营消息页
2. 点击日期范围选择</x:v>
      </x:c>
      <x:c r="K481" s="9" t="str">
        <x:v>可选范围为本周、本月、自定义</x:v>
      </x:c>
      <x:c r="L481" s="10" t="str"/>
      <x:c r="M481" s="10" t="str">
        <x:v>未测</x:v>
      </x:c>
      <x:c r="N481" s="10" t="str"/>
      <x:c r="O481" s="9" t="str">
        <x:v>1. 来源（当前证据）：liveshow-proto/MainBasis/统一需求文档.md；位置：REQ-84fcbbb4bde2；行3026
2. 规则：BR-5b3e97dcd963ac85
3. 未动态验证</x:v>
      </x:c>
    </x:row>
    <x:row r="482" ht="85" customHeight="1">
      <x:c r="A482" s="10" t="n">
        <x:v>481</x:v>
      </x:c>
      <x:c r="B482" s="10" t="str">
        <x:v>GUILD-03-0132</x:v>
      </x:c>
      <x:c r="C482" s="10" t="str">
        <x:v>运营工具</x:v>
      </x:c>
      <x:c r="D482" s="10" t="str">
        <x:v>运营账号主页（公会长视角）</x:v>
      </x:c>
      <x:c r="E482" s="10" t="str">
        <x:v>功能需求</x:v>
      </x:c>
      <x:c r="F482" s="10" t="str">
        <x:v>P2</x:v>
      </x:c>
      <x:c r="G482" s="9" t="str">
        <x:v>验证运营账号主页显示已定义日期选项</x:v>
      </x:c>
      <x:c r="H482" s="9" t="str">
        <x:v>运营账号主页日期选项</x:v>
      </x:c>
      <x:c r="I482" s="9" t="str">
        <x:v>1. 执行角色为公会长
2. 已登录目标公会的公会长账号，打开运营账号主页页并完成下列数据和页面状态准备
3. 当前处于对应日期筛选视图</x:v>
      </x:c>
      <x:c r="J482" s="9" t="str">
        <x:v>1. 查看运营账号主页
2. 点击日期范围选择</x:v>
      </x:c>
      <x:c r="K482" s="9" t="str">
        <x:v>可选范围为今日、昨日、本周、上周、本月、上月、自定义</x:v>
      </x:c>
      <x:c r="L482" s="10" t="str"/>
      <x:c r="M482" s="10" t="str">
        <x:v>未测</x:v>
      </x:c>
      <x:c r="N482" s="10" t="str"/>
      <x:c r="O482" s="9" t="str">
        <x:v>1. 来源（当前证据）：liveshow-proto/MainBasis/统一需求文档.md；位置：REQ-366c4df6d782；行3147
2. 规则：BR-46b93d5fcee6a958
3. 未动态验证</x:v>
      </x:c>
    </x:row>
    <x:row r="483" ht="85" customHeight="1">
      <x:c r="A483" s="10" t="n">
        <x:v>482</x:v>
      </x:c>
      <x:c r="B483" s="10" t="str">
        <x:v>GUILD-05-0111</x:v>
      </x:c>
      <x:c r="C483" s="10" t="str">
        <x:v>数据与收益</x:v>
      </x:c>
      <x:c r="D483" s="10" t="str">
        <x:v>直播记录（公会长视角）</x:v>
      </x:c>
      <x:c r="E483" s="10" t="str">
        <x:v>功能需求</x:v>
      </x:c>
      <x:c r="F483" s="10" t="str">
        <x:v>P2</x:v>
      </x:c>
      <x:c r="G483" s="9" t="str">
        <x:v>验证直播记录显示已定义日期选项</x:v>
      </x:c>
      <x:c r="H483" s="9" t="str">
        <x:v>直播记录日期选项</x:v>
      </x:c>
      <x:c r="I483" s="9" t="str">
        <x:v>1. 执行角色为公会长
2. 已登录目标公会的公会长账号，打开直播记录页并完成下列数据和页面状态准备
3. 当前处于对应日期筛选视图</x:v>
      </x:c>
      <x:c r="J483" s="9" t="str">
        <x:v>1. 查看直播记录页
2. 点击日期范围选择</x:v>
      </x:c>
      <x:c r="K483" s="9" t="str">
        <x:v>可选范围为今日、昨日、本周、上周、本月、上月、自定义</x:v>
      </x:c>
      <x:c r="L483" s="10" t="str"/>
      <x:c r="M483" s="10" t="str">
        <x:v>未测</x:v>
      </x:c>
      <x:c r="N483" s="10" t="str"/>
      <x:c r="O483" s="9" t="str">
        <x:v>1. 来源（当前证据）：liveshow-proto/MainBasis/统一需求文档.md；位置：REQ-b5fab014efd8；行3265
2. 规则：BR-029bef9ee33ee6ff
3. 未动态验证</x:v>
      </x:c>
    </x:row>
    <x:row r="484" ht="85" customHeight="1">
      <x:c r="A484" s="10" t="n">
        <x:v>483</x:v>
      </x:c>
      <x:c r="B484" s="10" t="str">
        <x:v>GUILD-05-0112</x:v>
      </x:c>
      <x:c r="C484" s="10" t="str">
        <x:v>数据与收益</x:v>
      </x:c>
      <x:c r="D484" s="10" t="str">
        <x:v>主播分成记录（公会长视角）</x:v>
      </x:c>
      <x:c r="E484" s="10" t="str">
        <x:v>功能需求</x:v>
      </x:c>
      <x:c r="F484" s="10" t="str">
        <x:v>P2</x:v>
      </x:c>
      <x:c r="G484" s="9" t="str">
        <x:v>验证主播分成记录显示已定义日期选项</x:v>
      </x:c>
      <x:c r="H484" s="9" t="str">
        <x:v>主播分成记录日期选项</x:v>
      </x:c>
      <x:c r="I484" s="9" t="str">
        <x:v>1. 执行角色为公会长
2. 已登录目标公会的公会长账号，打开主播分成记录页并完成下列数据和页面状态准备
3. 当前处于对应日期筛选视图</x:v>
      </x:c>
      <x:c r="J484" s="9" t="str">
        <x:v>1. 查看主播分成记录页
2. 点击日期范围选择</x:v>
      </x:c>
      <x:c r="K484" s="9" t="str">
        <x:v>可选范围为今日、昨日、本周、上周、本月、上月、自定义</x:v>
      </x:c>
      <x:c r="L484" s="10" t="str"/>
      <x:c r="M484" s="10" t="str">
        <x:v>未测</x:v>
      </x:c>
      <x:c r="N484" s="10" t="str"/>
      <x:c r="O484" s="9" t="str">
        <x:v>1. 来源（当前证据）：liveshow-proto/MainBasis/统一需求文档.md；位置：REQ-e9c530534e0b；行3438
2. 规则：BR-6a5e58dc78e29fd8
3. 未动态验证</x:v>
      </x:c>
    </x:row>
    <x:row r="485" ht="85" customHeight="1">
      <x:c r="A485" s="10" t="n">
        <x:v>484</x:v>
      </x:c>
      <x:c r="B485" s="10" t="str">
        <x:v>GUILD-02-0153</x:v>
      </x:c>
      <x:c r="C485" s="10" t="str">
        <x:v>主播管理</x:v>
      </x:c>
      <x:c r="D485" s="10" t="str">
        <x:v>主播数据（公会长视角）</x:v>
      </x:c>
      <x:c r="E485" s="10" t="str">
        <x:v>功能需求</x:v>
      </x:c>
      <x:c r="F485" s="10" t="str">
        <x:v>P2</x:v>
      </x:c>
      <x:c r="G485" s="9" t="str">
        <x:v>验证主播数据显示已定义日期选项</x:v>
      </x:c>
      <x:c r="H485" s="9" t="str">
        <x:v>主播数据日期选项</x:v>
      </x:c>
      <x:c r="I485" s="9" t="str">
        <x:v>1. 执行角色为公会长
2. 已登录目标公会的公会长账号，打开主播数据页并完成下列数据和页面状态准备
3. 当前处于对应日期筛选视图</x:v>
      </x:c>
      <x:c r="J485" s="9" t="str">
        <x:v>1. 查看主播数据页
2. 点击日期范围选择</x:v>
      </x:c>
      <x:c r="K485" s="9" t="str">
        <x:v>可选范围为本周、上周、本月、上月、自定义</x:v>
      </x:c>
      <x:c r="L485" s="10" t="str"/>
      <x:c r="M485" s="10" t="str">
        <x:v>未测</x:v>
      </x:c>
      <x:c r="N485" s="10" t="str"/>
      <x:c r="O485" s="9" t="str">
        <x:v>1. 来源（当前证据）：liveshow-proto/MainBasis/统一需求文档.md；位置：REQ-601776b12c53；行2950
2. 规则：BR-18b464229611548d
3. 未动态验证</x:v>
      </x:c>
    </x:row>
    <x:row r="486" ht="85" customHeight="1">
      <x:c r="A486" s="10" t="n">
        <x:v>485</x:v>
      </x:c>
      <x:c r="B486" s="10" t="str">
        <x:v>GUILD-05-0113</x:v>
      </x:c>
      <x:c r="C486" s="10" t="str">
        <x:v>数据与收益</x:v>
      </x:c>
      <x:c r="D486" s="10" t="str">
        <x:v>公会业绩（公会长视角）</x:v>
      </x:c>
      <x:c r="E486" s="10" t="str">
        <x:v>功能需求</x:v>
      </x:c>
      <x:c r="F486" s="10" t="str">
        <x:v>P2</x:v>
      </x:c>
      <x:c r="G486" s="9" t="str">
        <x:v>验证公会业绩显示已定义日期选项</x:v>
      </x:c>
      <x:c r="H486" s="9" t="str">
        <x:v>公会业绩日期选项</x:v>
      </x:c>
      <x:c r="I486" s="9" t="str">
        <x:v>1. 执行角色为公会长
2. 已登录目标公会的公会长账号，打开公会业绩页并完成下列数据和页面状态准备
3. 当前选择月数据</x:v>
      </x:c>
      <x:c r="J486" s="9" t="str">
        <x:v>1. 查看公会业绩页
2. 点击日期范围选择</x:v>
      </x:c>
      <x:c r="K486" s="9" t="str">
        <x:v>可选范围为近半年、近一年、自定义</x:v>
      </x:c>
      <x:c r="L486" s="10" t="str"/>
      <x:c r="M486" s="10" t="str">
        <x:v>未测</x:v>
      </x:c>
      <x:c r="N486" s="10" t="str"/>
      <x:c r="O486" s="9" t="str">
        <x:v>1. 来源（当前证据）：liveshow-proto/MainBasis/统一需求文档.md；位置：REQ-1c1f3cfd5125；行3368
2. 规则：BR-13767b7c04adcb9f
3. 未动态验证</x:v>
      </x:c>
    </x:row>
    <x:row r="487" ht="100" customHeight="1">
      <x:c r="A487" s="10" t="n">
        <x:v>486</x:v>
      </x:c>
      <x:c r="B487" s="10" t="str">
        <x:v>GUILD-02-0154</x:v>
      </x:c>
      <x:c r="C487" s="10" t="str">
        <x:v>主播管理</x:v>
      </x:c>
      <x:c r="D487" s="10" t="str">
        <x:v>退会申请（公会长视角）</x:v>
      </x:c>
      <x:c r="E487" s="10" t="str">
        <x:v>逻辑校验</x:v>
      </x:c>
      <x:c r="F487" s="10" t="str">
        <x:v>P1</x:v>
      </x:c>
      <x:c r="G487" s="9" t="str">
        <x:v>验证退会列表显示待审核结果</x:v>
      </x:c>
      <x:c r="H487" s="9" t="str">
        <x:v>退会列表申请状态</x:v>
      </x:c>
      <x:c r="I487" s="9" t="str">
        <x:v>1. 执行角色为公会长
2. 已登录目标公会的公会长账号，打开退会申请页并完成下列数据和页面状态准备
3. 申请A当前待审核；当前Tab包含A</x:v>
      </x:c>
      <x:c r="J487" s="9" t="str">
        <x:v>1. 查看退会申请页</x:v>
      </x:c>
      <x:c r="K487" s="9" t="str">
        <x:v>A状态显示待审核</x:v>
      </x:c>
      <x:c r="L487" s="10" t="str"/>
      <x:c r="M487" s="10" t="str">
        <x:v>未测</x:v>
      </x:c>
      <x:c r="N487" s="10" t="str"/>
      <x:c r="O487" s="9" t="str">
        <x:v>1. 来源（当前证据）：liveshow-proto/MainBasis/统一需求文档.md；位置：REQ-458da153b105；行2848
2. 规则：BR-debf14fd3b1130e4
3. 未动态验证</x:v>
      </x:c>
    </x:row>
    <x:row r="488" ht="100" customHeight="1">
      <x:c r="A488" s="10" t="n">
        <x:v>487</x:v>
      </x:c>
      <x:c r="B488" s="10" t="str">
        <x:v>GUILD-02-0155</x:v>
      </x:c>
      <x:c r="C488" s="10" t="str">
        <x:v>主播管理</x:v>
      </x:c>
      <x:c r="D488" s="10" t="str">
        <x:v>退会申请（公会长视角）</x:v>
      </x:c>
      <x:c r="E488" s="10" t="str">
        <x:v>逻辑校验</x:v>
      </x:c>
      <x:c r="F488" s="10" t="str">
        <x:v>P1</x:v>
      </x:c>
      <x:c r="G488" s="9" t="str">
        <x:v>验证退会列表显示已通过结果</x:v>
      </x:c>
      <x:c r="H488" s="9" t="str">
        <x:v>退会列表申请状态</x:v>
      </x:c>
      <x:c r="I488" s="9" t="str">
        <x:v>1. 执行角色为公会长
2. 已登录目标公会的公会长账号，打开退会申请页并完成下列数据和页面状态准备
3. 申请A当前已通过；当前Tab包含A</x:v>
      </x:c>
      <x:c r="J488" s="9" t="str">
        <x:v>1. 查看退会申请页</x:v>
      </x:c>
      <x:c r="K488" s="9" t="str">
        <x:v>A状态显示已通过</x:v>
      </x:c>
      <x:c r="L488" s="10" t="str"/>
      <x:c r="M488" s="10" t="str">
        <x:v>未测</x:v>
      </x:c>
      <x:c r="N488" s="10" t="str"/>
      <x:c r="O488" s="9" t="str">
        <x:v>1. 来源（当前证据）：liveshow-proto/MainBasis/统一需求文档.md；位置：REQ-458da153b105；行2848
2. 规则：BR-f887117ef44f6f1c
3. 未动态验证</x:v>
      </x:c>
    </x:row>
    <x:row r="489" ht="100" customHeight="1">
      <x:c r="A489" s="10" t="n">
        <x:v>488</x:v>
      </x:c>
      <x:c r="B489" s="10" t="str">
        <x:v>GUILD-02-0156</x:v>
      </x:c>
      <x:c r="C489" s="10" t="str">
        <x:v>主播管理</x:v>
      </x:c>
      <x:c r="D489" s="10" t="str">
        <x:v>退会申请（公会长视角）</x:v>
      </x:c>
      <x:c r="E489" s="10" t="str">
        <x:v>逻辑校验</x:v>
      </x:c>
      <x:c r="F489" s="10" t="str">
        <x:v>P1</x:v>
      </x:c>
      <x:c r="G489" s="9" t="str">
        <x:v>验证退会列表显示已驳回结果</x:v>
      </x:c>
      <x:c r="H489" s="9" t="str">
        <x:v>退会列表申请状态</x:v>
      </x:c>
      <x:c r="I489" s="9" t="str">
        <x:v>1. 执行角色为公会长
2. 已登录目标公会的公会长账号，打开退会申请页并完成下列数据和页面状态准备
3. 申请A当前已驳回；当前Tab包含A</x:v>
      </x:c>
      <x:c r="J489" s="9" t="str">
        <x:v>1. 查看退会申请页</x:v>
      </x:c>
      <x:c r="K489" s="9" t="str">
        <x:v>A状态显示已驳回</x:v>
      </x:c>
      <x:c r="L489" s="10" t="str"/>
      <x:c r="M489" s="10" t="str">
        <x:v>未测</x:v>
      </x:c>
      <x:c r="N489" s="10" t="str"/>
      <x:c r="O489" s="9" t="str">
        <x:v>1. 来源（当前证据）：liveshow-proto/MainBasis/统一需求文档.md；位置：REQ-458da153b105；行2848
2. 规则：BR-fd047730b178c9ec
3. 未动态验证</x:v>
      </x:c>
    </x:row>
    <x:row r="490" ht="100" customHeight="1">
      <x:c r="A490" s="10" t="n">
        <x:v>489</x:v>
      </x:c>
      <x:c r="B490" s="10" t="str">
        <x:v>GUILD-02-0157</x:v>
      </x:c>
      <x:c r="C490" s="10" t="str">
        <x:v>主播管理</x:v>
      </x:c>
      <x:c r="D490" s="10" t="str">
        <x:v>退会申请详情（公会长视角）</x:v>
      </x:c>
      <x:c r="E490" s="10" t="str">
        <x:v>逻辑校验</x:v>
      </x:c>
      <x:c r="F490" s="10" t="str">
        <x:v>P1</x:v>
      </x:c>
      <x:c r="G490" s="9" t="str">
        <x:v>验证公会通过退会后直接形成终审结果</x:v>
      </x:c>
      <x:c r="H490" s="9" t="str">
        <x:v>退会通过不再等待平台</x:v>
      </x:c>
      <x:c r="I490" s="9" t="str">
        <x:v>1. 执行角色为公会长
2. 已登录目标公会的公会长账号，打开退会申请详情页并完成下列数据和页面状态准备
3. 本次退会申请待公会审核</x:v>
      </x:c>
      <x:c r="J490" s="9" t="str">
        <x:v>1. 查看退会申请详情页
2. 点击通过
3. 点击确认</x:v>
      </x:c>
      <x:c r="K490" s="9" t="str">
        <x:v>本次退会状态显示已通过</x:v>
      </x:c>
      <x:c r="L490" s="10" t="str">
        <x:v>FLOW-289CDBD17D</x:v>
      </x:c>
      <x:c r="M490" s="10" t="str">
        <x:v>未测</x:v>
      </x:c>
      <x:c r="N490" s="10" t="str"/>
      <x:c r="O490" s="9" t="str">
        <x:v>1. 来源（当前证据）：liveshow-proto/MainBasis/统一需求文档.md；位置：REQ-b0f181b59384；行2875、REQ-d663601c7f44；行2850
2. 规则：BR-3c63cb92d652ab6d
3. 未动态验证</x:v>
      </x:c>
    </x:row>
    <x:row r="491" ht="130" customHeight="1">
      <x:c r="A491" s="10" t="n">
        <x:v>490</x:v>
      </x:c>
      <x:c r="B491" s="10" t="str">
        <x:v>GUILD-02-0158</x:v>
      </x:c>
      <x:c r="C491" s="10" t="str">
        <x:v>主播管理</x:v>
      </x:c>
      <x:c r="D491" s="10" t="str">
        <x:v>主播业绩（公会长视角）</x:v>
      </x:c>
      <x:c r="E491" s="10" t="str">
        <x:v>逻辑校验</x:v>
      </x:c>
      <x:c r="F491" s="10" t="str">
        <x:v>P1</x:v>
      </x:c>
      <x:c r="G491" s="9" t="str">
        <x:v>验证更换业绩日期后更新主播收益</x:v>
      </x:c>
      <x:c r="H491" s="9" t="str">
        <x:v>业绩日期切换主播收益</x:v>
      </x:c>
      <x:c r="I491" s="9" t="str">
        <x:v>1. 执行角色为公会长
2. 已登录目标公会的公会长账号，打开主播业绩页并完成下列数据和页面状态准备
3. 测试当前日9月16日；15日甲完成180分钟收益100、乙完成60分钟收益200；16日另有丙业绩；当前筛选今日</x:v>
      </x:c>
      <x:c r="J491" s="9" t="str">
        <x:v>1. 查看主播业绩页
2. 选择快捷日期为昨日</x:v>
      </x:c>
      <x:c r="K491" s="9" t="str">
        <x:v>主播收益显示300金币</x:v>
      </x:c>
      <x:c r="L491" s="10" t="str"/>
      <x:c r="M491" s="10" t="str">
        <x:v>未测</x:v>
      </x:c>
      <x:c r="N491" s="10" t="str"/>
      <x:c r="O491" s="9" t="str">
        <x:v>1. 来源（当前证据）：liveshow-proto/MainBasis/统一需求文档.md；位置：REQ-0d705a92bb23；行2921
2. 规则：BR-eb409d0a91fcef6e
3. 未动态验证</x:v>
      </x:c>
    </x:row>
    <x:row r="492" ht="130" customHeight="1">
      <x:c r="A492" s="10" t="n">
        <x:v>491</x:v>
      </x:c>
      <x:c r="B492" s="10" t="str">
        <x:v>GUILD-02-0159</x:v>
      </x:c>
      <x:c r="C492" s="10" t="str">
        <x:v>主播管理</x:v>
      </x:c>
      <x:c r="D492" s="10" t="str">
        <x:v>主播业绩（公会长视角）</x:v>
      </x:c>
      <x:c r="E492" s="10" t="str">
        <x:v>逻辑校验</x:v>
      </x:c>
      <x:c r="F492" s="10" t="str">
        <x:v>P1</x:v>
      </x:c>
      <x:c r="G492" s="9" t="str">
        <x:v>验证更换业绩日期后更新开播人数</x:v>
      </x:c>
      <x:c r="H492" s="9" t="str">
        <x:v>业绩日期切换开播人数</x:v>
      </x:c>
      <x:c r="I492" s="9" t="str">
        <x:v>1. 执行角色为公会长
2. 已登录目标公会的公会长账号，打开主播业绩页并完成下列数据和页面状态准备
3. 测试当前日9月16日；15日甲完成180分钟收益100、乙完成60分钟收益200；16日另有丙业绩；当前筛选今日</x:v>
      </x:c>
      <x:c r="J492" s="9" t="str">
        <x:v>1. 查看主播业绩页
2. 选择快捷日期为昨日</x:v>
      </x:c>
      <x:c r="K492" s="9" t="str">
        <x:v>开播人数显示2人</x:v>
      </x:c>
      <x:c r="L492" s="10" t="str"/>
      <x:c r="M492" s="10" t="str">
        <x:v>未测</x:v>
      </x:c>
      <x:c r="N492" s="10" t="str"/>
      <x:c r="O492" s="9" t="str">
        <x:v>1. 来源（当前证据）：liveshow-proto/MainBasis/统一需求文档.md；位置：REQ-0d705a92bb23；行2921
2. 规则：BR-80b57a08395ea5bc
3. 未动态验证</x:v>
      </x:c>
    </x:row>
    <x:row r="493" ht="130" customHeight="1">
      <x:c r="A493" s="10" t="n">
        <x:v>492</x:v>
      </x:c>
      <x:c r="B493" s="10" t="str">
        <x:v>GUILD-02-0160</x:v>
      </x:c>
      <x:c r="C493" s="10" t="str">
        <x:v>主播管理</x:v>
      </x:c>
      <x:c r="D493" s="10" t="str">
        <x:v>主播业绩（公会长视角）</x:v>
      </x:c>
      <x:c r="E493" s="10" t="str">
        <x:v>逻辑校验</x:v>
      </x:c>
      <x:c r="F493" s="10" t="str">
        <x:v>P1</x:v>
      </x:c>
      <x:c r="G493" s="9" t="str">
        <x:v>验证更换业绩日期后更新达标人数</x:v>
      </x:c>
      <x:c r="H493" s="9" t="str">
        <x:v>业绩日期切换达标人数</x:v>
      </x:c>
      <x:c r="I493" s="9" t="str">
        <x:v>1. 执行角色为公会长
2. 已登录目标公会的公会长账号，打开主播业绩页并完成下列数据和页面状态准备
3. 测试当前日9月16日；15日甲完成180分钟收益100、乙完成60分钟收益200；16日另有丙业绩；当前筛选今日</x:v>
      </x:c>
      <x:c r="J493" s="9" t="str">
        <x:v>1. 查看主播业绩页
2. 选择快捷日期为昨日</x:v>
      </x:c>
      <x:c r="K493" s="9" t="str">
        <x:v>达标人数显示1人</x:v>
      </x:c>
      <x:c r="L493" s="10" t="str"/>
      <x:c r="M493" s="10" t="str">
        <x:v>未测</x:v>
      </x:c>
      <x:c r="N493" s="10" t="str"/>
      <x:c r="O493" s="9" t="str">
        <x:v>1. 来源（当前证据）：liveshow-proto/MainBasis/统一需求文档.md；位置：REQ-0d705a92bb23；行2921
2. 规则：BR-33abdbaa22d4267e
3. 未动态验证</x:v>
      </x:c>
    </x:row>
    <x:row r="494" ht="130" customHeight="1">
      <x:c r="A494" s="10" t="n">
        <x:v>493</x:v>
      </x:c>
      <x:c r="B494" s="10" t="str">
        <x:v>GUILD-02-0161</x:v>
      </x:c>
      <x:c r="C494" s="10" t="str">
        <x:v>主播管理</x:v>
      </x:c>
      <x:c r="D494" s="10" t="str">
        <x:v>主播业绩（公会长视角）</x:v>
      </x:c>
      <x:c r="E494" s="10" t="str">
        <x:v>逻辑校验</x:v>
      </x:c>
      <x:c r="F494" s="10" t="str">
        <x:v>P1</x:v>
      </x:c>
      <x:c r="G494" s="9" t="str">
        <x:v>验证同日两场累计三小时的达标人数</x:v>
      </x:c>
      <x:c r="H494" s="9" t="str">
        <x:v>有效天自然日累计</x:v>
      </x:c>
      <x:c r="I494" s="9" t="str">
        <x:v>1. 执行角色为公会长
2. 已登录目标公会的公会长账号，打开主播业绩页并完成下列数据和页面状态准备
3. 当前统计9月14日至15日，仅主播甲有完成场次
4. 甲15日先完成120分钟，再完成60分钟</x:v>
      </x:c>
      <x:c r="J494" s="9" t="str">
        <x:v>1. 查看主播业绩页</x:v>
      </x:c>
      <x:c r="K494" s="9" t="str">
        <x:v>达标人数显示1人</x:v>
      </x:c>
      <x:c r="L494" s="10" t="str"/>
      <x:c r="M494" s="10" t="str">
        <x:v>未测</x:v>
      </x:c>
      <x:c r="N494" s="10" t="str"/>
      <x:c r="O494" s="9" t="str">
        <x:v>1. 来源（当前证据）：liveshow-proto/MainBasis/统一需求文档.md；位置：REQ-da175ce63bb2；行2929
2. 规则：BR-0335adcc4f9aacd5
3. 未动态验证</x:v>
      </x:c>
    </x:row>
    <x:row r="495" ht="130" customHeight="1">
      <x:c r="A495" s="10" t="n">
        <x:v>494</x:v>
      </x:c>
      <x:c r="B495" s="10" t="str">
        <x:v>GUILD-02-0162</x:v>
      </x:c>
      <x:c r="C495" s="10" t="str">
        <x:v>主播管理</x:v>
      </x:c>
      <x:c r="D495" s="10" t="str">
        <x:v>主播业绩（公会长视角）</x:v>
      </x:c>
      <x:c r="E495" s="10" t="str">
        <x:v>逻辑校验</x:v>
      </x:c>
      <x:c r="F495" s="10" t="str">
        <x:v>P1</x:v>
      </x:c>
      <x:c r="G495" s="9" t="str">
        <x:v>验证跨日两场累计三小时的达标人数</x:v>
      </x:c>
      <x:c r="H495" s="9" t="str">
        <x:v>有效天自然日累计</x:v>
      </x:c>
      <x:c r="I495" s="9" t="str">
        <x:v>1. 执行角色为公会长
2. 已登录目标公会的公会长账号，打开主播业绩页并完成下列数据和页面状态准备
3. 当前统计9月14日至15日，仅主播甲有完成场次
4. 甲14日120分钟，15日60分钟</x:v>
      </x:c>
      <x:c r="J495" s="9" t="str">
        <x:v>1. 查看主播业绩页</x:v>
      </x:c>
      <x:c r="K495" s="9" t="str">
        <x:v>达标人数显示0人</x:v>
      </x:c>
      <x:c r="L495" s="10" t="str"/>
      <x:c r="M495" s="10" t="str">
        <x:v>未测</x:v>
      </x:c>
      <x:c r="N495" s="10" t="str"/>
      <x:c r="O495" s="9" t="str">
        <x:v>1. 来源（当前证据）：liveshow-proto/MainBasis/统一需求文档.md；位置：REQ-da175ce63bb2；行2929
2. 规则：BR-b540f0b63b44e344
3. 未动态验证</x:v>
      </x:c>
    </x:row>
    <x:row r="496" ht="100" customHeight="1">
      <x:c r="A496" s="10" t="n">
        <x:v>495</x:v>
      </x:c>
      <x:c r="B496" s="10" t="str">
        <x:v>GUILD-02-0163</x:v>
      </x:c>
      <x:c r="C496" s="10" t="str">
        <x:v>主播管理</x:v>
      </x:c>
      <x:c r="D496" s="10" t="str">
        <x:v>主播主页（公会长视角）</x:v>
      </x:c>
      <x:c r="E496" s="10" t="str">
        <x:v>逻辑校验</x:v>
      </x:c>
      <x:c r="F496" s="10" t="str">
        <x:v>P1</x:v>
      </x:c>
      <x:c r="G496" s="9" t="str">
        <x:v>验证退会主播不能修改公会开播权限</x:v>
      </x:c>
      <x:c r="H496" s="9" t="str">
        <x:v>退会后的公会权限操作</x:v>
      </x:c>
      <x:c r="I496" s="9" t="str">
        <x:v>1. 执行角色为公会长
2. 已登录目标公会的公会长账号，打开主播主页页并完成下列数据和页面状态准备
3. 主播甲已从当前公会退出；通过历史业绩进入甲主页</x:v>
      </x:c>
      <x:c r="J496" s="9" t="str">
        <x:v>1. 查看主播主页</x:v>
      </x:c>
      <x:c r="K496" s="9" t="str">
        <x:v>没有可修改的直播权限开关</x:v>
      </x:c>
      <x:c r="L496" s="10" t="str"/>
      <x:c r="M496" s="10" t="str">
        <x:v>未测</x:v>
      </x:c>
      <x:c r="N496" s="10" t="str"/>
      <x:c r="O496" s="9" t="str">
        <x:v>1. 来源（当前证据）：liveshow-proto/MainBasis/统一需求文档.md；位置：REQ-cc076c5df509；行2983
2. 规则：BR-cb775465a2a6bf5c
3. 未动态验证</x:v>
      </x:c>
    </x:row>
    <x:row r="497" ht="85" customHeight="1">
      <x:c r="A497" s="10" t="n">
        <x:v>496</x:v>
      </x:c>
      <x:c r="B497" s="10" t="str">
        <x:v>GUILD-03-0133</x:v>
      </x:c>
      <x:c r="C497" s="10" t="str">
        <x:v>运营工具</x:v>
      </x:c>
      <x:c r="D497" s="10" t="str">
        <x:v>新建运营消息（公会长视角）</x:v>
      </x:c>
      <x:c r="E497" s="10" t="str">
        <x:v>功能需求</x:v>
      </x:c>
      <x:c r="F497" s="10" t="str">
        <x:v>P2</x:v>
      </x:c>
      <x:c r="G497" s="9" t="str">
        <x:v>验证公会消息接收范围只含两类</x:v>
      </x:c>
      <x:c r="H497" s="9" t="str">
        <x:v>公会消息接收类型</x:v>
      </x:c>
      <x:c r="I497" s="9" t="str">
        <x:v>1. 执行角色为公会长
2. 已登录目标公会的公会长账号，打开新建运营消息页并完成下列数据和页面状态准备</x:v>
      </x:c>
      <x:c r="J497" s="9" t="str">
        <x:v>1. 查看新建运营消息页
2. 点击对象类型</x:v>
      </x:c>
      <x:c r="K497" s="9" t="str">
        <x:v>可选类型仅全体主播或指定1名当前公会主播</x:v>
      </x:c>
      <x:c r="L497" s="10" t="str"/>
      <x:c r="M497" s="10" t="str">
        <x:v>未测</x:v>
      </x:c>
      <x:c r="N497" s="10" t="str"/>
      <x:c r="O497" s="9" t="str">
        <x:v>1. 来源（当前证据）：liveshow-proto/MainBasis/统一需求文档.md；位置：REQ-071be1de5357；行3041
2. 规则：BR-301ff678fb85106d
3. 未动态验证</x:v>
      </x:c>
    </x:row>
    <x:row r="498" ht="115" customHeight="1">
      <x:c r="A498" s="10" t="n">
        <x:v>497</x:v>
      </x:c>
      <x:c r="B498" s="10" t="str">
        <x:v>GUILD-03-0134</x:v>
      </x:c>
      <x:c r="C498" s="10" t="str">
        <x:v>运营工具</x:v>
      </x:c>
      <x:c r="D498" s="10" t="str">
        <x:v>运营账号主页（公会长视角）</x:v>
      </x:c>
      <x:c r="E498" s="10" t="str">
        <x:v>逻辑校验</x:v>
      </x:c>
      <x:c r="F498" s="10" t="str">
        <x:v>P1</x:v>
      </x:c>
      <x:c r="G498" s="9" t="str">
        <x:v>验证运营账号日期行汇总同日虚拟消费</x:v>
      </x:c>
      <x:c r="H498" s="9" t="str">
        <x:v>运营账号单日消费汇总</x:v>
      </x:c>
      <x:c r="I498" s="9" t="str">
        <x:v>1. 执行角色为公会长
2. 已登录目标公会的公会长账号，打开运营账号主页页并完成下列数据和页面状态准备
3. 当前账号15日两笔成功消费100和200金币，16日成功消费500；所选范围包含两日</x:v>
      </x:c>
      <x:c r="J498" s="9" t="str">
        <x:v>1. 查看运营账号主页</x:v>
      </x:c>
      <x:c r="K498" s="9" t="str">
        <x:v>15日消费金币显示300</x:v>
      </x:c>
      <x:c r="L498" s="10" t="str"/>
      <x:c r="M498" s="10" t="str">
        <x:v>未测</x:v>
      </x:c>
      <x:c r="N498" s="10" t="str"/>
      <x:c r="O498" s="9" t="str">
        <x:v>1. 来源（当前证据）：liveshow-proto/MainBasis/统一需求文档.md；位置：REQ-4b572c434fc6；行3149
2. 规则：BR-01342aa678f6142d
3. 未动态验证</x:v>
      </x:c>
    </x:row>
    <x:row r="499" ht="115" customHeight="1">
      <x:c r="A499" s="10" t="n">
        <x:v>498</x:v>
      </x:c>
      <x:c r="B499" s="10" t="str">
        <x:v>GUILD-03-0135</x:v>
      </x:c>
      <x:c r="C499" s="10" t="str">
        <x:v>运营工具</x:v>
      </x:c>
      <x:c r="D499" s="10" t="str">
        <x:v>送礼记录（公会长视角）</x:v>
      </x:c>
      <x:c r="E499" s="10" t="str">
        <x:v>逻辑校验</x:v>
      </x:c>
      <x:c r="F499" s="10" t="str">
        <x:v>P1</x:v>
      </x:c>
      <x:c r="G499" s="9" t="str">
        <x:v>验证运营账号筛选后更新送礼汇总</x:v>
      </x:c>
      <x:c r="H499" s="9" t="str">
        <x:v>账号筛选送礼汇总</x:v>
      </x:c>
      <x:c r="I499" s="9" t="str">
        <x:v>1. 执行角色为公会长
2. 已登录目标公会的公会长账号，打开送礼记录页并完成下列数据和页面状态准备
3. 同一日期范围内甲成功消费100、乙成功消费200；当前选择全部账号</x:v>
      </x:c>
      <x:c r="J499" s="9" t="str">
        <x:v>1. 查看送礼记录页
2. 点击运营账号筛选
3. 选择仅账号甲
4. 点击完成</x:v>
      </x:c>
      <x:c r="K499" s="9" t="str">
        <x:v>总消费金币显示100</x:v>
      </x:c>
      <x:c r="L499" s="10" t="str"/>
      <x:c r="M499" s="10" t="str">
        <x:v>未测</x:v>
      </x:c>
      <x:c r="N499" s="10" t="str"/>
      <x:c r="O499" s="9" t="str">
        <x:v>1. 来源（当前证据）：liveshow-proto/MainBasis/统一需求文档.md；位置：REQ-507664dd9eeb；行3202
2. 规则：BR-a24a955ee952a103
3. 未动态验证</x:v>
      </x:c>
    </x:row>
    <x:row r="500" ht="115" customHeight="1">
      <x:c r="A500" s="10" t="n">
        <x:v>499</x:v>
      </x:c>
      <x:c r="B500" s="10" t="str">
        <x:v>GUILD-03-0136</x:v>
      </x:c>
      <x:c r="C500" s="10" t="str">
        <x:v>运营工具</x:v>
      </x:c>
      <x:c r="D500" s="10" t="str">
        <x:v>送礼记录（公会长视角）</x:v>
      </x:c>
      <x:c r="E500" s="10" t="str">
        <x:v>逻辑校验</x:v>
      </x:c>
      <x:c r="F500" s="10" t="str">
        <x:v>P1</x:v>
      </x:c>
      <x:c r="G500" s="9" t="str">
        <x:v>验证运营账号筛选后更新送礼列表</x:v>
      </x:c>
      <x:c r="H500" s="9" t="str">
        <x:v>账号筛选送礼列表</x:v>
      </x:c>
      <x:c r="I500" s="9" t="str">
        <x:v>1. 执行角色为公会长
2. 已登录目标公会的公会长账号，打开送礼记录页并完成下列数据和页面状态准备
3. 同一日期范围内甲成功消费100、乙成功消费200；当前选择全部账号</x:v>
      </x:c>
      <x:c r="J500" s="9" t="str">
        <x:v>1. 查看送礼记录页
2. 点击运营账号筛选
3. 选择仅账号甲
4. 点击完成</x:v>
      </x:c>
      <x:c r="K500" s="9" t="str">
        <x:v>列表仅显示甲的成功赠礼记录</x:v>
      </x:c>
      <x:c r="L500" s="10" t="str"/>
      <x:c r="M500" s="10" t="str">
        <x:v>未测</x:v>
      </x:c>
      <x:c r="N500" s="10" t="str"/>
      <x:c r="O500" s="9" t="str">
        <x:v>1. 来源（当前证据）：liveshow-proto/MainBasis/统一需求文档.md；位置：REQ-507664dd9eeb；行3202
2. 规则：BR-515f680bdf02dd82
3. 未动态验证</x:v>
      </x:c>
    </x:row>
    <x:row r="501" ht="100" customHeight="1">
      <x:c r="A501" s="10" t="n">
        <x:v>500</x:v>
      </x:c>
      <x:c r="B501" s="10" t="str">
        <x:v>GUILD-04-0033</x:v>
      </x:c>
      <x:c r="C501" s="10" t="str">
        <x:v>公会管理</x:v>
      </x:c>
      <x:c r="D501" s="10" t="str">
        <x:v>公会资料（公会长视角）</x:v>
      </x:c>
      <x:c r="E501" s="10" t="str">
        <x:v>逻辑校验</x:v>
      </x:c>
      <x:c r="F501" s="10" t="str">
        <x:v>P1</x:v>
      </x:c>
      <x:c r="G501" s="9" t="str">
        <x:v>验证切换公会端语言不修改公会名称</x:v>
      </x:c>
      <x:c r="H501" s="9" t="str">
        <x:v>语言切换后的公会资料</x:v>
      </x:c>
      <x:c r="I501" s="9" t="str">
        <x:v>1. 执行角色为公会长
2. 当前公会名称QA甲；当前界面语言中文</x:v>
      </x:c>
      <x:c r="J501" s="9" t="str">
        <x:v>1. 进入账号设置页
2. 点击语言
3. 选择English
4. 进入公会资料页</x:v>
      </x:c>
      <x:c r="K501" s="9" t="str">
        <x:v>公会名称仍为QA甲</x:v>
      </x:c>
      <x:c r="L501" s="10" t="str"/>
      <x:c r="M501" s="10" t="str">
        <x:v>未测</x:v>
      </x:c>
      <x:c r="N501" s="10" t="str"/>
      <x:c r="O501" s="9" t="str">
        <x:v>1. 来源（当前证据）：liveshow-proto/MainBasis/统一需求文档.md；位置：REQ-3203791f25d8；行3243、REQ-827721b095f8；行3224
2. 规则：BR-12d7c34a422f9f38
3. 未动态验证</x:v>
      </x:c>
    </x:row>
    <x:row r="502" ht="100" customHeight="1">
      <x:c r="A502" s="10" t="n">
        <x:v>501</x:v>
      </x:c>
      <x:c r="B502" s="10" t="str">
        <x:v>GUILD-02-0164</x:v>
      </x:c>
      <x:c r="C502" s="10" t="str">
        <x:v>主播管理</x:v>
      </x:c>
      <x:c r="D502" s="10" t="str">
        <x:v>主播主页（公会长视角）</x:v>
      </x:c>
      <x:c r="E502" s="10" t="str">
        <x:v>逻辑校验</x:v>
      </x:c>
      <x:c r="F502" s="10" t="str">
        <x:v>P1</x:v>
      </x:c>
      <x:c r="G502" s="9" t="str">
        <x:v>验证切换公会端语言不修改主播名称</x:v>
      </x:c>
      <x:c r="H502" s="9" t="str">
        <x:v>语言切换后的主播资料</x:v>
      </x:c>
      <x:c r="I502" s="9" t="str">
        <x:v>1. 执行角色为公会长
2. 当前主播名称QA甲；当前界面语言中文</x:v>
      </x:c>
      <x:c r="J502" s="9" t="str">
        <x:v>1. 进入账号设置页
2. 点击语言
3. 选择English
4. 进入主播主页</x:v>
      </x:c>
      <x:c r="K502" s="9" t="str">
        <x:v>主播名称仍为QA甲</x:v>
      </x:c>
      <x:c r="L502" s="10" t="str"/>
      <x:c r="M502" s="10" t="str">
        <x:v>未测</x:v>
      </x:c>
      <x:c r="N502" s="10" t="str"/>
      <x:c r="O502" s="9" t="str">
        <x:v>1. 来源（当前证据）：liveshow-proto/MainBasis/统一需求文档.md；位置：REQ-3203791f25d8；行3243、REQ-9c8365970619；行2971
2. 规则：BR-5697ffaaeccc87e1
3. 未动态验证</x:v>
      </x:c>
    </x:row>
    <x:row r="503" ht="85" customHeight="1">
      <x:c r="A503" s="10" t="n">
        <x:v>502</x:v>
      </x:c>
      <x:c r="B503" s="10" t="str">
        <x:v>GUILD-05-0114</x:v>
      </x:c>
      <x:c r="C503" s="10" t="str">
        <x:v>数据与收益</x:v>
      </x:c>
      <x:c r="D503" s="10" t="str">
        <x:v>直播记录（公会长视角）</x:v>
      </x:c>
      <x:c r="E503" s="10" t="str">
        <x:v>功能需求</x:v>
      </x:c>
      <x:c r="F503" s="10" t="str">
        <x:v>P2</x:v>
      </x:c>
      <x:c r="G503" s="9" t="str">
        <x:v>验证直播记录默认全部主播</x:v>
      </x:c>
      <x:c r="H503" s="9" t="str">
        <x:v>主播筛选默认范围</x:v>
      </x:c>
      <x:c r="I503" s="9" t="str">
        <x:v>1. 执行角色为公会长
2. 已登录目标公会的公会长账号，打开直播记录页并完成下列数据和页面状态准备</x:v>
      </x:c>
      <x:c r="J503" s="9" t="str">
        <x:v>1. 查看直播记录页</x:v>
      </x:c>
      <x:c r="K503" s="9" t="str">
        <x:v>主播筛选默认为全部</x:v>
      </x:c>
      <x:c r="L503" s="10" t="str"/>
      <x:c r="M503" s="10" t="str">
        <x:v>未测</x:v>
      </x:c>
      <x:c r="N503" s="10" t="str"/>
      <x:c r="O503" s="9" t="str">
        <x:v>1. 来源（当前证据）：liveshow-proto/MainBasis/统一需求文档.md；位置：REQ-08faa1304783；行3261
2. 规则：BR-6cf17ac0971d5463
3. 未动态验证</x:v>
      </x:c>
    </x:row>
    <x:row r="504" ht="100" customHeight="1">
      <x:c r="A504" s="10" t="n">
        <x:v>503</x:v>
      </x:c>
      <x:c r="B504" s="10" t="str">
        <x:v>GUILD-05-0115</x:v>
      </x:c>
      <x:c r="C504" s="10" t="str">
        <x:v>数据与收益</x:v>
      </x:c>
      <x:c r="D504" s="10" t="str">
        <x:v>直播记录（公会长视角）</x:v>
      </x:c>
      <x:c r="E504" s="10" t="str">
        <x:v>逻辑校验</x:v>
      </x:c>
      <x:c r="F504" s="10" t="str">
        <x:v>P1</x:v>
      </x:c>
      <x:c r="G504" s="9" t="str">
        <x:v>验证直播记录多选回填保留日期</x:v>
      </x:c>
      <x:c r="H504" s="9" t="str">
        <x:v>主播多选回填后的日期</x:v>
      </x:c>
      <x:c r="I504" s="9" t="str">
        <x:v>1. 执行角色为公会长
2. 已登录目标公会的公会长账号，打开直播记录页并完成下列数据和页面状态准备
3. 当前筛选2026年9月1日至15日；公会有甲乙丙3名可选主播</x:v>
      </x:c>
      <x:c r="J504" s="9" t="str">
        <x:v>1. 查看直播记录页
2. 点击主播筛选
3. 选择主播甲
4. 选择主播乙
5. 点击完成</x:v>
      </x:c>
      <x:c r="K504" s="9" t="str">
        <x:v>日期仍为2026年9月1日至15日</x:v>
      </x:c>
      <x:c r="L504" s="10" t="str"/>
      <x:c r="M504" s="10" t="str">
        <x:v>未测</x:v>
      </x:c>
      <x:c r="N504" s="10" t="str"/>
      <x:c r="O504" s="9" t="str">
        <x:v>1. 来源（当前证据）：liveshow-proto/MainBasis/统一需求文档.md；位置：REQ-08faa1304783；行3261、REQ-9b94ebc6e08d；行3474
2. 规则：BR-aa37b342e4a11567
3. 未动态验证</x:v>
      </x:c>
    </x:row>
    <x:row r="505" ht="100" customHeight="1">
      <x:c r="A505" s="10" t="n">
        <x:v>504</x:v>
      </x:c>
      <x:c r="B505" s="10" t="str">
        <x:v>GUILD-05-0116</x:v>
      </x:c>
      <x:c r="C505" s="10" t="str">
        <x:v>数据与收益</x:v>
      </x:c>
      <x:c r="D505" s="10" t="str">
        <x:v>直播记录（公会长视角）</x:v>
      </x:c>
      <x:c r="E505" s="10" t="str">
        <x:v>逻辑校验</x:v>
      </x:c>
      <x:c r="F505" s="10" t="str">
        <x:v>P1</x:v>
      </x:c>
      <x:c r="G505" s="9" t="str">
        <x:v>验证直播记录显示回填主播范围</x:v>
      </x:c>
      <x:c r="H505" s="9" t="str">
        <x:v>主播多选回填对象</x:v>
      </x:c>
      <x:c r="I505" s="9" t="str">
        <x:v>1. 执行角色为公会长
2. 已登录目标公会的公会长账号，打开直播记录页并完成下列数据和页面状态准备
3. 公会有甲乙丙3名可选主播</x:v>
      </x:c>
      <x:c r="J505" s="9" t="str">
        <x:v>1. 查看直播记录页
2. 点击主播筛选
3. 选择主播甲
4. 选择主播乙
5. 点击完成</x:v>
      </x:c>
      <x:c r="K505" s="9" t="str">
        <x:v>主播筛选仅选中甲和乙</x:v>
      </x:c>
      <x:c r="L505" s="10" t="str"/>
      <x:c r="M505" s="10" t="str">
        <x:v>未测</x:v>
      </x:c>
      <x:c r="N505" s="10" t="str"/>
      <x:c r="O505" s="9" t="str">
        <x:v>1. 来源（当前证据）：liveshow-proto/MainBasis/统一需求文档.md；位置：REQ-08faa1304783；行3261、REQ-9b94ebc6e08d；行3474
2. 规则：BR-a45409227fceca38
3. 未动态验证</x:v>
      </x:c>
    </x:row>
    <x:row r="506" ht="85" customHeight="1">
      <x:c r="A506" s="10" t="n">
        <x:v>505</x:v>
      </x:c>
      <x:c r="B506" s="10" t="str">
        <x:v>GUILD-05-0117</x:v>
      </x:c>
      <x:c r="C506" s="10" t="str">
        <x:v>数据与收益</x:v>
      </x:c>
      <x:c r="D506" s="10" t="str">
        <x:v>主播分成记录（公会长视角）</x:v>
      </x:c>
      <x:c r="E506" s="10" t="str">
        <x:v>功能需求</x:v>
      </x:c>
      <x:c r="F506" s="10" t="str">
        <x:v>P2</x:v>
      </x:c>
      <x:c r="G506" s="9" t="str">
        <x:v>验证主播分成记录默认全部主播</x:v>
      </x:c>
      <x:c r="H506" s="9" t="str">
        <x:v>主播筛选默认范围</x:v>
      </x:c>
      <x:c r="I506" s="9" t="str">
        <x:v>1. 执行角色为公会长
2. 已登录目标公会的公会长账号，打开主播分成记录页并完成下列数据和页面状态准备</x:v>
      </x:c>
      <x:c r="J506" s="9" t="str">
        <x:v>1. 查看主播分成记录页</x:v>
      </x:c>
      <x:c r="K506" s="9" t="str">
        <x:v>主播筛选默认为全部</x:v>
      </x:c>
      <x:c r="L506" s="10" t="str"/>
      <x:c r="M506" s="10" t="str">
        <x:v>未测</x:v>
      </x:c>
      <x:c r="N506" s="10" t="str"/>
      <x:c r="O506" s="9" t="str">
        <x:v>1. 来源（当前证据）：liveshow-proto/MainBasis/统一需求文档.md；位置：REQ-8ce55a2012b9；行3434
2. 规则：BR-34f8b85e477c1e3d
3. 未动态验证</x:v>
      </x:c>
    </x:row>
    <x:row r="507" ht="100" customHeight="1">
      <x:c r="A507" s="10" t="n">
        <x:v>506</x:v>
      </x:c>
      <x:c r="B507" s="10" t="str">
        <x:v>GUILD-05-0118</x:v>
      </x:c>
      <x:c r="C507" s="10" t="str">
        <x:v>数据与收益</x:v>
      </x:c>
      <x:c r="D507" s="10" t="str">
        <x:v>主播分成记录（公会长视角）</x:v>
      </x:c>
      <x:c r="E507" s="10" t="str">
        <x:v>逻辑校验</x:v>
      </x:c>
      <x:c r="F507" s="10" t="str">
        <x:v>P1</x:v>
      </x:c>
      <x:c r="G507" s="9" t="str">
        <x:v>验证主播分成记录多选回填保留日期</x:v>
      </x:c>
      <x:c r="H507" s="9" t="str">
        <x:v>主播多选回填后的日期</x:v>
      </x:c>
      <x:c r="I507" s="9" t="str">
        <x:v>1. 执行角色为公会长
2. 已登录目标公会的公会长账号，打开主播分成记录页并完成下列数据和页面状态准备
3. 当前筛选2026年9月1日至15日；公会有甲乙丙3名可选主播</x:v>
      </x:c>
      <x:c r="J507" s="9" t="str">
        <x:v>1. 查看主播分成记录页
2. 点击主播筛选
3. 选择主播甲
4. 选择主播乙
5. 点击完成</x:v>
      </x:c>
      <x:c r="K507" s="9" t="str">
        <x:v>日期仍为2026年9月1日至15日</x:v>
      </x:c>
      <x:c r="L507" s="10" t="str"/>
      <x:c r="M507" s="10" t="str">
        <x:v>未测</x:v>
      </x:c>
      <x:c r="N507" s="10" t="str"/>
      <x:c r="O507" s="9" t="str">
        <x:v>1. 来源（当前证据）：liveshow-proto/MainBasis/统一需求文档.md；位置：REQ-8ce55a2012b9；行3434、REQ-9b94ebc6e08d；行3474
2. 规则：BR-bc0becc1a77692c7
3. 未动态验证</x:v>
      </x:c>
    </x:row>
    <x:row r="508" ht="100" customHeight="1">
      <x:c r="A508" s="10" t="n">
        <x:v>507</x:v>
      </x:c>
      <x:c r="B508" s="10" t="str">
        <x:v>GUILD-05-0119</x:v>
      </x:c>
      <x:c r="C508" s="10" t="str">
        <x:v>数据与收益</x:v>
      </x:c>
      <x:c r="D508" s="10" t="str">
        <x:v>主播分成记录（公会长视角）</x:v>
      </x:c>
      <x:c r="E508" s="10" t="str">
        <x:v>逻辑校验</x:v>
      </x:c>
      <x:c r="F508" s="10" t="str">
        <x:v>P1</x:v>
      </x:c>
      <x:c r="G508" s="9" t="str">
        <x:v>验证主播分成记录显示回填主播范围</x:v>
      </x:c>
      <x:c r="H508" s="9" t="str">
        <x:v>主播多选回填对象</x:v>
      </x:c>
      <x:c r="I508" s="9" t="str">
        <x:v>1. 执行角色为公会长
2. 已登录目标公会的公会长账号，打开主播分成记录页并完成下列数据和页面状态准备
3. 公会有甲乙丙3名可选主播</x:v>
      </x:c>
      <x:c r="J508" s="9" t="str">
        <x:v>1. 查看主播分成记录页
2. 点击主播筛选
3. 选择主播甲
4. 选择主播乙
5. 点击完成</x:v>
      </x:c>
      <x:c r="K508" s="9" t="str">
        <x:v>主播筛选仅选中甲和乙</x:v>
      </x:c>
      <x:c r="L508" s="10" t="str"/>
      <x:c r="M508" s="10" t="str">
        <x:v>未测</x:v>
      </x:c>
      <x:c r="N508" s="10" t="str"/>
      <x:c r="O508" s="9" t="str">
        <x:v>1. 来源（当前证据）：liveshow-proto/MainBasis/统一需求文档.md；位置：REQ-8ce55a2012b9；行3434、REQ-9b94ebc6e08d；行3474
2. 规则：BR-38da320ebc8bb307
3. 未动态验证</x:v>
      </x:c>
    </x:row>
    <x:row r="509" ht="115" customHeight="1">
      <x:c r="A509" s="10" t="n">
        <x:v>508</x:v>
      </x:c>
      <x:c r="B509" s="10" t="str">
        <x:v>GUILD-05-0120</x:v>
      </x:c>
      <x:c r="C509" s="10" t="str">
        <x:v>数据与收益</x:v>
      </x:c>
      <x:c r="D509" s="10" t="str">
        <x:v>直播记录（公会长视角）</x:v>
      </x:c>
      <x:c r="E509" s="10" t="str">
        <x:v>逻辑校验</x:v>
      </x:c>
      <x:c r="F509" s="10" t="str">
        <x:v>P1</x:v>
      </x:c>
      <x:c r="G509" s="9" t="str">
        <x:v>验证公会场次收益计入门票实际消费</x:v>
      </x:c>
      <x:c r="H509" s="9" t="str">
        <x:v>公会场次门票收益</x:v>
      </x:c>
      <x:c r="I509" s="9" t="str">
        <x:v>1. 执行角色为公会长
2. 已登录目标公会的公会长账号，打开直播记录页并完成下列数据和页面状态准备
3. S1真实用户普通礼物消费100金币、门票消费20金币，无幸运礼物、虚拟金币及失败消费</x:v>
      </x:c>
      <x:c r="J509" s="9" t="str">
        <x:v>1. 查看直播记录页</x:v>
      </x:c>
      <x:c r="K509" s="9" t="str">
        <x:v>S1收益显示120金币</x:v>
      </x:c>
      <x:c r="L509" s="10" t="str"/>
      <x:c r="M509" s="10" t="str">
        <x:v>未测</x:v>
      </x:c>
      <x:c r="N509" s="10" t="str"/>
      <x:c r="O509" s="9" t="str">
        <x:v>1. 来源（当前证据）：liveshow-proto/MainBasis/统一需求文档.md；位置：REQ-6b593d7d38f6；行3277、b902f1e7feafc4c5cc89c0fb8aa31e4d6dfc31f8c7dc9d7c4ab2c74ea2dc1af8；行5964
2. 规则：BR-d8c10d5fe7097fb8
3. 未动态验证</x:v>
      </x:c>
    </x:row>
    <x:row r="510" ht="100" customHeight="1">
      <x:c r="A510" s="10" t="n">
        <x:v>509</x:v>
      </x:c>
      <x:c r="B510" s="10" t="str">
        <x:v>GUILD-05-0121</x:v>
      </x:c>
      <x:c r="C510" s="10" t="str">
        <x:v>数据与收益</x:v>
      </x:c>
      <x:c r="D510" s="10" t="str">
        <x:v>直播场次详情（公会长视角）</x:v>
      </x:c>
      <x:c r="E510" s="10" t="str">
        <x:v>逻辑校验</x:v>
      </x:c>
      <x:c r="F510" s="10" t="str">
        <x:v>P1</x:v>
      </x:c>
      <x:c r="G510" s="9" t="str">
        <x:v>验证点击赠礼金币查看本笔消费</x:v>
      </x:c>
      <x:c r="H510" s="9" t="str">
        <x:v>赠礼金币下钻记录</x:v>
      </x:c>
      <x:c r="I510" s="9" t="str">
        <x:v>1. 执行角色为公会长
2. 已登录目标公会的公会长账号，打开直播场次详情页并完成下列数据和页面状态准备
3. 当前场次记录R1单价10、数量4，另有不同金额的R2</x:v>
      </x:c>
      <x:c r="J510" s="9" t="str">
        <x:v>1. 查看直播场次详情页
2. 点击R1金币</x:v>
      </x:c>
      <x:c r="K510" s="9" t="str">
        <x:v>详情的本次消费金币显示40</x:v>
      </x:c>
      <x:c r="L510" s="10" t="str"/>
      <x:c r="M510" s="10" t="str">
        <x:v>未测</x:v>
      </x:c>
      <x:c r="N510" s="10" t="str"/>
      <x:c r="O510" s="9" t="str">
        <x:v>1. 来源（当前证据）：liveshow-proto/MainBasis/统一需求文档.md；位置：REQ-a52a416cf13e；行3308
2. 规则：BR-037d8f5ea7a0c94c
3. 未动态验证</x:v>
      </x:c>
    </x:row>
    <x:row r="511" ht="100" customHeight="1">
      <x:c r="A511" s="10" t="n">
        <x:v>510</x:v>
      </x:c>
      <x:c r="B511" s="10" t="str">
        <x:v>GUILD-05-0122</x:v>
      </x:c>
      <x:c r="C511" s="10" t="str">
        <x:v>数据与收益</x:v>
      </x:c>
      <x:c r="D511" s="10" t="str">
        <x:v>选择主播（多选）（公会长视角）</x:v>
      </x:c>
      <x:c r="E511" s="10" t="str">
        <x:v>功能需求</x:v>
      </x:c>
      <x:c r="F511" s="10" t="str">
        <x:v>P2</x:v>
      </x:c>
      <x:c r="G511" s="9" t="str">
        <x:v>验证主播多选搜索后核对结果人数</x:v>
      </x:c>
      <x:c r="H511" s="9" t="str">
        <x:v>主播多选结果人数</x:v>
      </x:c>
      <x:c r="I511" s="9" t="str">
        <x:v>1. 执行角色为公会长
2. 已登录目标公会的公会长账号，打开选择主播（多选）页并完成下列数据和页面状态准备
3. 已经选中甲乙，当前搜索甲仅命中甲</x:v>
      </x:c>
      <x:c r="J511" s="9" t="str">
        <x:v>1. 查看选择主播（多选）页</x:v>
      </x:c>
      <x:c r="K511" s="9" t="str">
        <x:v>结果人数显示1</x:v>
      </x:c>
      <x:c r="L511" s="10" t="str"/>
      <x:c r="M511" s="10" t="str">
        <x:v>未测</x:v>
      </x:c>
      <x:c r="N511" s="10" t="str"/>
      <x:c r="O511" s="9" t="str">
        <x:v>1. 来源（当前证据）：liveshow-proto/MainBasis/统一需求文档.md；位置：REQ-49205bdc523a；行3470
2. 规则：BR-7131f635387078a0
3. 未动态验证</x:v>
      </x:c>
    </x:row>
    <x:row r="512" ht="100" customHeight="1">
      <x:c r="A512" s="10" t="n">
        <x:v>511</x:v>
      </x:c>
      <x:c r="B512" s="10" t="str">
        <x:v>GUILD-05-0123</x:v>
      </x:c>
      <x:c r="C512" s="10" t="str">
        <x:v>数据与收益</x:v>
      </x:c>
      <x:c r="D512" s="10" t="str">
        <x:v>选择主播（多选）（公会长视角）</x:v>
      </x:c>
      <x:c r="E512" s="10" t="str">
        <x:v>功能需求</x:v>
      </x:c>
      <x:c r="F512" s="10" t="str">
        <x:v>P2</x:v>
      </x:c>
      <x:c r="G512" s="9" t="str">
        <x:v>验证主播多选搜索后核对已选人数</x:v>
      </x:c>
      <x:c r="H512" s="9" t="str">
        <x:v>主播多选已选人数</x:v>
      </x:c>
      <x:c r="I512" s="9" t="str">
        <x:v>1. 执行角色为公会长
2. 已登录目标公会的公会长账号，打开选择主播（多选）页并完成下列数据和页面状态准备
3. 已经选中甲乙，当前搜索甲仅命中甲</x:v>
      </x:c>
      <x:c r="J512" s="9" t="str">
        <x:v>1. 查看选择主播（多选）页</x:v>
      </x:c>
      <x:c r="K512" s="9" t="str">
        <x:v>已选人数显示2</x:v>
      </x:c>
      <x:c r="L512" s="10" t="str"/>
      <x:c r="M512" s="10" t="str">
        <x:v>未测</x:v>
      </x:c>
      <x:c r="N512" s="10" t="str"/>
      <x:c r="O512" s="9" t="str">
        <x:v>1. 来源（当前证据）：liveshow-proto/MainBasis/统一需求文档.md；位置：REQ-49205bdc523a；行3470
2. 规则：BR-99030ba77eafc562
3. 未动态验证</x:v>
      </x:c>
    </x:row>
    <x:row r="513" ht="115" customHeight="1">
      <x:c r="A513" s="10" t="n">
        <x:v>512</x:v>
      </x:c>
      <x:c r="B513" s="10" t="str">
        <x:v>GUILD-05-0124</x:v>
      </x:c>
      <x:c r="C513" s="10" t="str">
        <x:v>数据与收益</x:v>
      </x:c>
      <x:c r="D513" s="10" t="str">
        <x:v>公会业绩（公会长视角）</x:v>
      </x:c>
      <x:c r="E513" s="10" t="str">
        <x:v>功能需求</x:v>
      </x:c>
      <x:c r="F513" s="10" t="str">
        <x:v>P2</x:v>
      </x:c>
      <x:c r="G513" s="9" t="str">
        <x:v>验证公会日数据按自然日分行</x:v>
      </x:c>
      <x:c r="H513" s="9" t="str">
        <x:v>公会业绩日期行</x:v>
      </x:c>
      <x:c r="I513" s="9" t="str">
        <x:v>1. 执行角色为公会长
2. 已登录目标公会的公会长账号，打开公会业绩页并完成下列数据和页面状态准备
3. 9月14日两场、15日三场；所选范围包含两日；已切换日数据</x:v>
      </x:c>
      <x:c r="J513" s="9" t="str">
        <x:v>1. 查看公会业绩页</x:v>
      </x:c>
      <x:c r="K513" s="9" t="str">
        <x:v>14日和15日分别形成各自日期行</x:v>
      </x:c>
      <x:c r="L513" s="10" t="str"/>
      <x:c r="M513" s="10" t="str">
        <x:v>未测</x:v>
      </x:c>
      <x:c r="N513" s="10" t="str"/>
      <x:c r="O513" s="9" t="str">
        <x:v>1. 来源（当前证据）：liveshow-proto/MainBasis/统一需求文档.md；位置：REQ-a53e83783e87；行3370
2. 规则：BR-a5115a27fb4e569f
3. 未动态验证</x:v>
      </x:c>
    </x:row>
    <x:row r="514" ht="100" customHeight="1">
      <x:c r="A514" s="10" t="n">
        <x:v>513</x:v>
      </x:c>
      <x:c r="B514" s="10" t="str">
        <x:v>GUILD-05-0125</x:v>
      </x:c>
      <x:c r="C514" s="10" t="str">
        <x:v>数据与收益</x:v>
      </x:c>
      <x:c r="D514" s="10" t="str">
        <x:v>公会业绩（公会长视角）</x:v>
      </x:c>
      <x:c r="E514" s="10" t="str">
        <x:v>功能需求</x:v>
      </x:c>
      <x:c r="F514" s="10" t="str">
        <x:v>P2</x:v>
      </x:c>
      <x:c r="G514" s="9" t="str">
        <x:v>验证公会月数据按自然月分行</x:v>
      </x:c>
      <x:c r="H514" s="9" t="str">
        <x:v>公会业绩月份行</x:v>
      </x:c>
      <x:c r="I514" s="9" t="str">
        <x:v>1. 执行角色为公会长
2. 已登录目标公会的公会长账号，打开公会业绩页并完成下列数据和页面状态准备
3. 8月和9月各有多场直播；所选月份包含两月；已切换月数据</x:v>
      </x:c>
      <x:c r="J514" s="9" t="str">
        <x:v>1. 查看公会业绩页</x:v>
      </x:c>
      <x:c r="K514" s="9" t="str">
        <x:v>8月和9月分别形成各自月份行</x:v>
      </x:c>
      <x:c r="L514" s="10" t="str"/>
      <x:c r="M514" s="10" t="str">
        <x:v>未测</x:v>
      </x:c>
      <x:c r="N514" s="10" t="str"/>
      <x:c r="O514" s="9" t="str">
        <x:v>1. 来源（当前证据）：liveshow-proto/MainBasis/统一需求文档.md；位置：REQ-b4ecf178659c；行3378
2. 规则：BR-29064dcfe477e920
3. 未动态验证</x:v>
      </x:c>
    </x:row>
    <x:row r="515" ht="130" customHeight="1">
      <x:c r="A515" s="10" t="n">
        <x:v>514</x:v>
      </x:c>
      <x:c r="B515" s="10" t="str">
        <x:v>GUILD-05-0126</x:v>
      </x:c>
      <x:c r="C515" s="10" t="str">
        <x:v>数据与收益</x:v>
      </x:c>
      <x:c r="D515" s="10" t="str">
        <x:v>公会业绩（公会长视角）</x:v>
      </x:c>
      <x:c r="E515" s="10" t="str">
        <x:v>逻辑校验</x:v>
      </x:c>
      <x:c r="F515" s="10" t="str">
        <x:v>P1</x:v>
      </x:c>
      <x:c r="G515" s="9" t="str">
        <x:v>验证日数据公会收益限定当前筛选范围</x:v>
      </x:c>
      <x:c r="H515" s="9" t="str">
        <x:v>公会日数据收益汇总</x:v>
      </x:c>
      <x:c r="I515" s="9" t="str">
        <x:v>1. 执行角色为公会长
2. 已登录目标公会的公会长账号，打开公会业绩页并完成下列数据和页面状态准备
3. 当前日数据范围9月14日至15日，范围内主播甲收益100、乙200，范围外另有500；实际线下分成另有20美元</x:v>
      </x:c>
      <x:c r="J515" s="9" t="str">
        <x:v>1. 查看公会业绩页</x:v>
      </x:c>
      <x:c r="K515" s="9" t="str">
        <x:v>公会收益显示300金币</x:v>
      </x:c>
      <x:c r="L515" s="10" t="str"/>
      <x:c r="M515" s="10" t="str">
        <x:v>未测</x:v>
      </x:c>
      <x:c r="N515" s="10" t="str"/>
      <x:c r="O515" s="9" t="str">
        <x:v>1. 来源（当前证据）：liveshow-proto/MainBasis/统一需求文档.md；位置：REQ-120491ce9925；行3384
2. 规则：BR-8244738f8d7f817d
3. 未动态验证</x:v>
      </x:c>
    </x:row>
    <x:row r="516" ht="130" customHeight="1">
      <x:c r="A516" s="10" t="n">
        <x:v>515</x:v>
      </x:c>
      <x:c r="B516" s="10" t="str">
        <x:v>GUILD-05-0127</x:v>
      </x:c>
      <x:c r="C516" s="10" t="str">
        <x:v>数据与收益</x:v>
      </x:c>
      <x:c r="D516" s="10" t="str">
        <x:v>公会业绩（公会长视角）</x:v>
      </x:c>
      <x:c r="E516" s="10" t="str">
        <x:v>逻辑校验</x:v>
      </x:c>
      <x:c r="F516" s="10" t="str">
        <x:v>P1</x:v>
      </x:c>
      <x:c r="G516" s="9" t="str">
        <x:v>验证月数据公会收益限定当前筛选范围</x:v>
      </x:c>
      <x:c r="H516" s="9" t="str">
        <x:v>公会月数据收益汇总</x:v>
      </x:c>
      <x:c r="I516" s="9" t="str">
        <x:v>1. 执行角色为公会长
2. 已登录目标公会的公会长账号，打开公会业绩页并完成下列数据和页面状态准备
3. 当前月数据范围8月至9月，范围内主播甲收益100、乙200，范围外另有500；实际线下分成另有20美元</x:v>
      </x:c>
      <x:c r="J516" s="9" t="str">
        <x:v>1. 查看公会业绩页</x:v>
      </x:c>
      <x:c r="K516" s="9" t="str">
        <x:v>公会收益显示300金币</x:v>
      </x:c>
      <x:c r="L516" s="10" t="str"/>
      <x:c r="M516" s="10" t="str">
        <x:v>未测</x:v>
      </x:c>
      <x:c r="N516" s="10" t="str"/>
      <x:c r="O516" s="9" t="str">
        <x:v>1. 来源（当前证据）：liveshow-proto/MainBasis/统一需求文档.md；位置：REQ-36b7dd55bc1a；行3392
2. 规则：BR-6ec101245a8a896c
3. 未动态验证</x:v>
      </x:c>
    </x:row>
    <x:row r="517" ht="100" customHeight="1">
      <x:c r="A517" s="10" t="n">
        <x:v>516</x:v>
      </x:c>
      <x:c r="B517" s="10" t="str">
        <x:v>GUILD-05-0128</x:v>
      </x:c>
      <x:c r="C517" s="10" t="str">
        <x:v>数据与收益</x:v>
      </x:c>
      <x:c r="D517" s="10" t="str">
        <x:v>每日（公会长视角）</x:v>
      </x:c>
      <x:c r="E517" s="10" t="str">
        <x:v>逻辑校验</x:v>
      </x:c>
      <x:c r="F517" s="10" t="str">
        <x:v>P1</x:v>
      </x:c>
      <x:c r="G517" s="9" t="str">
        <x:v>验证每日业绩切换已开播列表</x:v>
      </x:c>
      <x:c r="H517" s="9" t="str">
        <x:v>每日开播状态筛选</x:v>
      </x:c>
      <x:c r="I517" s="9" t="str">
        <x:v>1. 执行角色为公会长
2. 已登录目标公会的公会长账号，打开每日页并完成下列数据和页面状态准备
3. 当前选中9月15日，甲当日开过播、乙未开播</x:v>
      </x:c>
      <x:c r="J517" s="9" t="str">
        <x:v>1. 查看每日页
2. 切换已开播</x:v>
      </x:c>
      <x:c r="K517" s="9" t="str">
        <x:v>列表仅显示甲</x:v>
      </x:c>
      <x:c r="L517" s="10" t="str"/>
      <x:c r="M517" s="10" t="str">
        <x:v>未测</x:v>
      </x:c>
      <x:c r="N517" s="10" t="str"/>
      <x:c r="O517" s="9" t="str">
        <x:v>1. 来源（当前证据）：liveshow-proto/MainBasis/统一需求文档.md；位置：REQ-3d4df208c603；行3429
2. 规则：BR-d96260c02e68b3c5
3. 未动态验证</x:v>
      </x:c>
    </x:row>
    <x:row r="518" ht="100" customHeight="1">
      <x:c r="A518" s="10" t="n">
        <x:v>517</x:v>
      </x:c>
      <x:c r="B518" s="10" t="str">
        <x:v>GUILD-05-0129</x:v>
      </x:c>
      <x:c r="C518" s="10" t="str">
        <x:v>数据与收益</x:v>
      </x:c>
      <x:c r="D518" s="10" t="str">
        <x:v>每日（公会长视角）</x:v>
      </x:c>
      <x:c r="E518" s="10" t="str">
        <x:v>逻辑校验</x:v>
      </x:c>
      <x:c r="F518" s="10" t="str">
        <x:v>P1</x:v>
      </x:c>
      <x:c r="G518" s="9" t="str">
        <x:v>验证每日业绩切换未开播列表</x:v>
      </x:c>
      <x:c r="H518" s="9" t="str">
        <x:v>每日开播状态筛选</x:v>
      </x:c>
      <x:c r="I518" s="9" t="str">
        <x:v>1. 执行角色为公会长
2. 已登录目标公会的公会长账号，打开每日页并完成下列数据和页面状态准备
3. 当前选中9月15日，甲当日开过播、乙未开播</x:v>
      </x:c>
      <x:c r="J518" s="9" t="str">
        <x:v>1. 查看每日页
2. 切换未开播</x:v>
      </x:c>
      <x:c r="K518" s="9" t="str">
        <x:v>列表仅显示乙</x:v>
      </x:c>
      <x:c r="L518" s="10" t="str"/>
      <x:c r="M518" s="10" t="str">
        <x:v>未测</x:v>
      </x:c>
      <x:c r="N518" s="10" t="str"/>
      <x:c r="O518" s="9" t="str">
        <x:v>1. 来源（当前证据）：liveshow-proto/MainBasis/统一需求文档.md；位置：REQ-3d4df208c603；行3429
2. 规则：BR-e3cd33dc4ee2b70e
3. 未动态验证</x:v>
      </x:c>
    </x:row>
    <x:row r="519" ht="100" customHeight="1">
      <x:c r="A519" s="10" t="n">
        <x:v>518</x:v>
      </x:c>
      <x:c r="B519" s="10" t="str">
        <x:v>GUILD-05-0130</x:v>
      </x:c>
      <x:c r="C519" s="10" t="str">
        <x:v>数据与收益</x:v>
      </x:c>
      <x:c r="D519" s="10" t="str">
        <x:v>每日（公会长视角）</x:v>
      </x:c>
      <x:c r="E519" s="10" t="str">
        <x:v>逻辑校验</x:v>
      </x:c>
      <x:c r="F519" s="10" t="str">
        <x:v>P1</x:v>
      </x:c>
      <x:c r="G519" s="9" t="str">
        <x:v>验证每日页进入主播数据保留业务日期</x:v>
      </x:c>
      <x:c r="H519" s="9" t="str">
        <x:v>每日主播数据下钻日期</x:v>
      </x:c>
      <x:c r="I519" s="9" t="str">
        <x:v>1. 执行角色为公会长
2. 已登录目标公会的公会长账号，打开每日页并完成下列数据和页面状态准备
3. 当前查看9月15日，甲在当前列表</x:v>
      </x:c>
      <x:c r="J519" s="9" t="str">
        <x:v>1. 查看每日页
2. 点击主播甲</x:v>
      </x:c>
      <x:c r="K519" s="9" t="str">
        <x:v>主播数据页筛选为甲及9月15日</x:v>
      </x:c>
      <x:c r="L519" s="10" t="str"/>
      <x:c r="M519" s="10" t="str">
        <x:v>未测</x:v>
      </x:c>
      <x:c r="N519" s="10" t="str"/>
      <x:c r="O519" s="9" t="str">
        <x:v>1. 来源（当前证据）：liveshow-proto/MainBasis/统一需求文档.md；位置：REQ-3d4df208c603；行3429
2. 规则：BR-1fc1bfbcfb9c3737
3. 未动态验证</x:v>
      </x:c>
    </x:row>
    <x:row r="520" ht="100" customHeight="1">
      <x:c r="A520" s="10" t="n">
        <x:v>519</x:v>
      </x:c>
      <x:c r="B520" s="10" t="str">
        <x:v>GUILD-01-0056</x:v>
      </x:c>
      <x:c r="C520" s="10" t="str">
        <x:v>登录与首页</x:v>
      </x:c>
      <x:c r="D520" s="10" t="str">
        <x:v>公会登录（公会长视角）</x:v>
      </x:c>
      <x:c r="E520" s="10" t="str">
        <x:v>逻辑校验</x:v>
      </x:c>
      <x:c r="F520" s="10" t="str">
        <x:v>P1</x:v>
      </x:c>
      <x:c r="G520" s="9" t="str">
        <x:v>验证公会修改密码后使用新密码登录</x:v>
      </x:c>
      <x:c r="H520" s="9" t="str">
        <x:v>公会改密后的凭证有效性</x:v>
      </x:c>
      <x:c r="I520" s="9" t="str">
        <x:v>1. 执行角色为公会长
2. 公会和qa-chief账号启用；刚成功将密码由QaOld!2026改为QaNew123，已经退出登录</x:v>
      </x:c>
      <x:c r="J520" s="9" t="str">
        <x:v>1. 进入公会登录页
2. 填写公会账号为qa-chief
3. 填写密码为QaNew123
4. 点击登录</x:v>
      </x:c>
      <x:c r="K520" s="9" t="str">
        <x:v>进入选择公会页</x:v>
      </x:c>
      <x:c r="L520" s="10" t="str"/>
      <x:c r="M520" s="10" t="str">
        <x:v>未测</x:v>
      </x:c>
      <x:c r="N520" s="10" t="str"/>
      <x:c r="O520" s="9" t="str">
        <x:v>1. 来源（当前证据）：liveshow-proto/MainBasis/统一需求文档.md；位置：REQ-ebcb7b632099；行3256、REQ-dda7dbff3ea0；行2715
2. 规则：BR-ae16586b0dcd6640
3. 未动态验证</x:v>
      </x:c>
    </x:row>
    <x:row r="521" ht="100" customHeight="1">
      <x:c r="A521" s="10" t="n">
        <x:v>520</x:v>
      </x:c>
      <x:c r="B521" s="10" t="str">
        <x:v>GUILD-01-0057</x:v>
      </x:c>
      <x:c r="C521" s="10" t="str">
        <x:v>登录与首页</x:v>
      </x:c>
      <x:c r="D521" s="10" t="str">
        <x:v>公会登录（公会长视角）</x:v>
      </x:c>
      <x:c r="E521" s="10" t="str">
        <x:v>逻辑校验</x:v>
      </x:c>
      <x:c r="F521" s="10" t="str">
        <x:v>P1</x:v>
      </x:c>
      <x:c r="G521" s="9" t="str">
        <x:v>验证公会修改密码后使用旧密码登录</x:v>
      </x:c>
      <x:c r="H521" s="9" t="str">
        <x:v>公会改密后的凭证有效性</x:v>
      </x:c>
      <x:c r="I521" s="9" t="str">
        <x:v>1. 执行角色为公会长
2. 公会和qa-chief账号启用；刚成功将密码由QaOld!2026改为QaNew123，已经退出登录</x:v>
      </x:c>
      <x:c r="J521" s="9" t="str">
        <x:v>1. 进入公会登录页
2. 填写公会账号为qa-chief
3. 填写密码为QaOld!2026
4. 点击登录</x:v>
      </x:c>
      <x:c r="K521" s="9" t="str">
        <x:v>提示“账号或密码错误”</x:v>
      </x:c>
      <x:c r="L521" s="10" t="str"/>
      <x:c r="M521" s="10" t="str">
        <x:v>未测</x:v>
      </x:c>
      <x:c r="N521" s="10" t="str"/>
      <x:c r="O521" s="9" t="str">
        <x:v>1. 来源（当前证据）：liveshow-proto/MainBasis/统一需求文档.md；位置：REQ-ebcb7b632099；行3256、REQ-dda7dbff3ea0；行2715
2. 规则：BR-04b31c552482e3e6
3. 未动态验证</x:v>
      </x:c>
    </x:row>
    <x:row r="522" ht="100" customHeight="1">
      <x:c r="A522" s="10" t="n">
        <x:v>521</x:v>
      </x:c>
      <x:c r="B522" s="10" t="str">
        <x:v>GUILD-01-0058</x:v>
      </x:c>
      <x:c r="C522" s="10" t="str">
        <x:v>登录与首页</x:v>
      </x:c>
      <x:c r="D522" s="10" t="str">
        <x:v>通知消息（公会长视角）</x:v>
      </x:c>
      <x:c r="E522" s="10" t="str">
        <x:v>功能需求</x:v>
      </x:c>
      <x:c r="F522" s="10" t="str">
        <x:v>P2</x:v>
      </x:c>
      <x:c r="G522" s="9" t="str">
        <x:v>验证核对通知摘要处理结果</x:v>
      </x:c>
      <x:c r="H522" s="9" t="str">
        <x:v>通知摘要处理结果</x:v>
      </x:c>
      <x:c r="I522" s="9" t="str">
        <x:v>1. 执行角色为公会长
2. 已登录目标公会的公会长账号，打开通知消息页并完成下列数据和页面状态准备
3. 甲的入会申请刚被平台驳回，对应结果通知已生成</x:v>
      </x:c>
      <x:c r="J522" s="9" t="str">
        <x:v>1. 查看通知消息页</x:v>
      </x:c>
      <x:c r="K522" s="9" t="str">
        <x:v>该通知摘要表达甲的入会申请已被平台驳回</x:v>
      </x:c>
      <x:c r="L522" s="10" t="str"/>
      <x:c r="M522" s="10" t="str">
        <x:v>未测</x:v>
      </x:c>
      <x:c r="N522" s="10" t="str"/>
      <x:c r="O522" s="9" t="str">
        <x:v>1. 来源（当前证据）：liveshow-proto/MainBasis/统一需求文档.md；位置：REQ-2148c0172896；行2758
2. 规则：BR-43b92b35187ffab1
3. 未动态验证</x:v>
      </x:c>
    </x:row>
    <x:row r="523" ht="100" customHeight="1">
      <x:c r="A523" s="10" t="n">
        <x:v>522</x:v>
      </x:c>
      <x:c r="B523" s="10" t="str">
        <x:v>GUILD-01-0059</x:v>
      </x:c>
      <x:c r="C523" s="10" t="str">
        <x:v>登录与首页</x:v>
      </x:c>
      <x:c r="D523" s="10" t="str">
        <x:v>通知消息（公会长视角）</x:v>
      </x:c>
      <x:c r="E523" s="10" t="str">
        <x:v>功能需求</x:v>
      </x:c>
      <x:c r="F523" s="10" t="str">
        <x:v>P2</x:v>
      </x:c>
      <x:c r="G523" s="9" t="str">
        <x:v>验证核对通知摘要待处理数量</x:v>
      </x:c>
      <x:c r="H523" s="9" t="str">
        <x:v>通知摘要待处理数量</x:v>
      </x:c>
      <x:c r="I523" s="9" t="str">
        <x:v>1. 执行角色为公会长
2. 已登录目标公会的公会长账号，打开通知消息页并完成下列数据和页面状态准备
3. 当前业务通知的待处理数量为3</x:v>
      </x:c>
      <x:c r="J523" s="9" t="str">
        <x:v>1. 查看通知消息页</x:v>
      </x:c>
      <x:c r="K523" s="9" t="str">
        <x:v>该通知摘要显示待处理数量3</x:v>
      </x:c>
      <x:c r="L523" s="10" t="str"/>
      <x:c r="M523" s="10" t="str">
        <x:v>未测</x:v>
      </x:c>
      <x:c r="N523" s="10" t="str"/>
      <x:c r="O523" s="9" t="str">
        <x:v>1. 来源（当前证据）：liveshow-proto/MainBasis/统一需求文档.md；位置：REQ-2148c0172896；行2758
2. 规则：BR-e895793521d69c69
3. 未动态验证</x:v>
      </x:c>
    </x:row>
    <x:row r="524" ht="100" customHeight="1">
      <x:c r="A524" s="10" t="n">
        <x:v>523</x:v>
      </x:c>
      <x:c r="B524" s="10" t="str">
        <x:v>GUILD-01-0060</x:v>
      </x:c>
      <x:c r="C524" s="10" t="str">
        <x:v>登录与首页</x:v>
      </x:c>
      <x:c r="D524" s="10" t="str">
        <x:v>通知消息（公会长视角）</x:v>
      </x:c>
      <x:c r="E524" s="10" t="str">
        <x:v>功能需求</x:v>
      </x:c>
      <x:c r="F524" s="10" t="str">
        <x:v>P2</x:v>
      </x:c>
      <x:c r="G524" s="9" t="str">
        <x:v>验证核对通知列表生成时点</x:v>
      </x:c>
      <x:c r="H524" s="9" t="str">
        <x:v>通知列表生成时点</x:v>
      </x:c>
      <x:c r="I524" s="9" t="str">
        <x:v>1. 执行角色为公会长
2. 已登录目标公会的公会长账号，打开通知消息页并完成下列数据和页面状态准备
3. 通知N于9月15日10:00生成，9月16日查看</x:v>
      </x:c>
      <x:c r="J524" s="9" t="str">
        <x:v>1. 查看通知消息页</x:v>
      </x:c>
      <x:c r="K524" s="9" t="str">
        <x:v>N时间对应9月15日10:00</x:v>
      </x:c>
      <x:c r="L524" s="10" t="str"/>
      <x:c r="M524" s="10" t="str">
        <x:v>未测</x:v>
      </x:c>
      <x:c r="N524" s="10" t="str"/>
      <x:c r="O524" s="9" t="str">
        <x:v>1. 来源（当前证据）：liveshow-proto/MainBasis/统一需求文档.md；位置：REQ-11aaa73d412a；行2760
2. 规则：BR-3aaf97983ffd4711
3. 未动态验证</x:v>
      </x:c>
    </x:row>
    <x:row r="525" ht="100" customHeight="1">
      <x:c r="A525" s="10" t="n">
        <x:v>524</x:v>
      </x:c>
      <x:c r="B525" s="10" t="str">
        <x:v>GUILD-02-0165</x:v>
      </x:c>
      <x:c r="C525" s="10" t="str">
        <x:v>主播管理</x:v>
      </x:c>
      <x:c r="D525" s="10" t="str">
        <x:v>入会申请详情（公会长视角）</x:v>
      </x:c>
      <x:c r="E525" s="10" t="str">
        <x:v>功能需求</x:v>
      </x:c>
      <x:c r="F525" s="10" t="str">
        <x:v>P2</x:v>
      </x:c>
      <x:c r="G525" s="9" t="str">
        <x:v>验证核对入会提交节点时间</x:v>
      </x:c>
      <x:c r="H525" s="9" t="str">
        <x:v>入会提交节点时间</x:v>
      </x:c>
      <x:c r="I525" s="9" t="str">
        <x:v>1. 执行角色为公会长
2. 已登录目标公会的公会长账号，打开入会申请详情页并完成下列数据和页面状态准备
3. A于9月14日10:00提交，公会尚未审核</x:v>
      </x:c>
      <x:c r="J525" s="9" t="str">
        <x:v>1. 查看入会申请详情页</x:v>
      </x:c>
      <x:c r="K525" s="9" t="str">
        <x:v>用户提交节点时间对应9月14日10:00</x:v>
      </x:c>
      <x:c r="L525" s="10" t="str"/>
      <x:c r="M525" s="10" t="str">
        <x:v>未测</x:v>
      </x:c>
      <x:c r="N525" s="10" t="str"/>
      <x:c r="O525" s="9" t="str">
        <x:v>1. 来源（当前证据）：liveshow-proto/MainBasis/统一需求文档.md；位置：REQ-e5d474e04dec；行2823
2. 规则：BR-3963f62f9084280a
3. 未动态验证</x:v>
      </x:c>
    </x:row>
    <x:row r="526" ht="100" customHeight="1">
      <x:c r="A526" s="10" t="n">
        <x:v>525</x:v>
      </x:c>
      <x:c r="B526" s="10" t="str">
        <x:v>GUILD-02-0166</x:v>
      </x:c>
      <x:c r="C526" s="10" t="str">
        <x:v>主播管理</x:v>
      </x:c>
      <x:c r="D526" s="10" t="str">
        <x:v>入会申请详情（公会长视角）</x:v>
      </x:c>
      <x:c r="E526" s="10" t="str">
        <x:v>功能需求</x:v>
      </x:c>
      <x:c r="F526" s="10" t="str">
        <x:v>P2</x:v>
      </x:c>
      <x:c r="G526" s="9" t="str">
        <x:v>验证核对入会平台完成节点时间</x:v>
      </x:c>
      <x:c r="H526" s="9" t="str">
        <x:v>入会平台完成节点时间</x:v>
      </x:c>
      <x:c r="I526" s="9" t="str">
        <x:v>1. 执行角色为公会长
2. 已登录目标公会的公会长账号，打开入会申请详情页并完成下列数据和页面状态准备
3. 公会9月14日通过，平台9月15日11:00通过</x:v>
      </x:c>
      <x:c r="J526" s="9" t="str">
        <x:v>1. 查看入会申请详情页</x:v>
      </x:c>
      <x:c r="K526" s="9" t="str">
        <x:v>平台审核节点时间对应9月15日11:00</x:v>
      </x:c>
      <x:c r="L526" s="10" t="str"/>
      <x:c r="M526" s="10" t="str">
        <x:v>未测</x:v>
      </x:c>
      <x:c r="N526" s="10" t="str"/>
      <x:c r="O526" s="9" t="str">
        <x:v>1. 来源（当前证据）：liveshow-proto/MainBasis/统一需求文档.md；位置：REQ-e5d474e04dec；行2823
2. 规则：BR-17b0ef3287cc618d
3. 未动态验证</x:v>
      </x:c>
    </x:row>
    <x:row r="527" ht="100" customHeight="1">
      <x:c r="A527" s="10" t="n">
        <x:v>526</x:v>
      </x:c>
      <x:c r="B527" s="10" t="str">
        <x:v>GUILD-02-0167</x:v>
      </x:c>
      <x:c r="C527" s="10" t="str">
        <x:v>主播管理</x:v>
      </x:c>
      <x:c r="D527" s="10" t="str">
        <x:v>主播列表（公会长视角）</x:v>
      </x:c>
      <x:c r="E527" s="10" t="str">
        <x:v>功能需求</x:v>
      </x:c>
      <x:c r="F527" s="10" t="str">
        <x:v>P2</x:v>
      </x:c>
      <x:c r="G527" s="9" t="str">
        <x:v>验证核对成员关系生效日</x:v>
      </x:c>
      <x:c r="H527" s="9" t="str">
        <x:v>成员关系生效日</x:v>
      </x:c>
      <x:c r="I527" s="9" t="str">
        <x:v>1. 执行角色为公会长
2. 已登录目标公会的公会长账号，打开主播列表页并完成下列数据和页面状态准备
3. 甲旧关系已结束，本次于9月15日加入当前公会</x:v>
      </x:c>
      <x:c r="J527" s="9" t="str">
        <x:v>1. 查看主播列表页</x:v>
      </x:c>
      <x:c r="K527" s="9" t="str">
        <x:v>甲加入时间对应本次9月15日</x:v>
      </x:c>
      <x:c r="L527" s="10" t="str"/>
      <x:c r="M527" s="10" t="str">
        <x:v>未测</x:v>
      </x:c>
      <x:c r="N527" s="10" t="str"/>
      <x:c r="O527" s="9" t="str">
        <x:v>1. 来源（当前证据）：liveshow-proto/MainBasis/统一需求文档.md；位置：REQ-5f9e6c9e5f24；行2894
2. 规则：BR-f85273f1a634fe41
3. 未动态验证</x:v>
      </x:c>
    </x:row>
    <x:row r="528" ht="100" customHeight="1">
      <x:c r="A528" s="10" t="n">
        <x:v>527</x:v>
      </x:c>
      <x:c r="B528" s="10" t="str">
        <x:v>GUILD-03-0137</x:v>
      </x:c>
      <x:c r="C528" s="10" t="str">
        <x:v>运营工具</x:v>
      </x:c>
      <x:c r="D528" s="10" t="str">
        <x:v>运营账号（公会长视角）</x:v>
      </x:c>
      <x:c r="E528" s="10" t="str">
        <x:v>功能需求</x:v>
      </x:c>
      <x:c r="F528" s="10" t="str">
        <x:v>P2</x:v>
      </x:c>
      <x:c r="G528" s="9" t="str">
        <x:v>验证核对运营列表当前名称</x:v>
      </x:c>
      <x:c r="H528" s="9" t="str">
        <x:v>运营列表当前名称</x:v>
      </x:c>
      <x:c r="I528" s="9" t="str">
        <x:v>1. 执行角色为公会长
2. 已登录目标公会的公会长账号，打开运营账号页并完成下列数据和页面状态准备
3. O001当前名称QA运营甲，登录名另为LoginA</x:v>
      </x:c>
      <x:c r="J528" s="9" t="str">
        <x:v>1. 查看运营账号页</x:v>
      </x:c>
      <x:c r="K528" s="9" t="str">
        <x:v>O001名称显示QA运营甲</x:v>
      </x:c>
      <x:c r="L528" s="10" t="str"/>
      <x:c r="M528" s="10" t="str">
        <x:v>未测</x:v>
      </x:c>
      <x:c r="N528" s="10" t="str"/>
      <x:c r="O528" s="9" t="str">
        <x:v>1. 来源（当前证据）：liveshow-proto/MainBasis/统一需求文档.md；位置：REQ-48472b42ff0b；行3090
2. 规则：BR-0346e270186e090c
3. 未动态验证</x:v>
      </x:c>
    </x:row>
    <x:row r="529" ht="115" customHeight="1">
      <x:c r="A529" s="10" t="n">
        <x:v>528</x:v>
      </x:c>
      <x:c r="B529" s="10" t="str">
        <x:v>GUILD-03-0138</x:v>
      </x:c>
      <x:c r="C529" s="10" t="str">
        <x:v>运营工具</x:v>
      </x:c>
      <x:c r="D529" s="10" t="str">
        <x:v>选择运营账号（多选）（公会长视角）</x:v>
      </x:c>
      <x:c r="E529" s="10" t="str">
        <x:v>功能需求</x:v>
      </x:c>
      <x:c r="F529" s="10" t="str">
        <x:v>P2</x:v>
      </x:c>
      <x:c r="G529" s="9" t="str">
        <x:v>验证核对运营多选账号资料</x:v>
      </x:c>
      <x:c r="H529" s="9" t="str">
        <x:v>运营多选账号资料</x:v>
      </x:c>
      <x:c r="I529" s="9" t="str">
        <x:v>1. 执行角色为公会长
2. 已登录目标公会的公会长账号，打开选择运营账号（多选）页并完成下列数据和页面状态准备
3. 运营账号O001当前名称QA运营甲、头像A、登录账号LoginA</x:v>
      </x:c>
      <x:c r="J529" s="9" t="str">
        <x:v>1. 查看选择运营账号（多选）页</x:v>
      </x:c>
      <x:c r="K529" s="9" t="str">
        <x:v>选项显示QA运营甲及头像A</x:v>
      </x:c>
      <x:c r="L529" s="10" t="str"/>
      <x:c r="M529" s="10" t="str">
        <x:v>未测</x:v>
      </x:c>
      <x:c r="N529" s="10" t="str"/>
      <x:c r="O529" s="9" t="str">
        <x:v>1. 来源（当前证据）：liveshow-proto/MainBasis/统一需求文档.md；位置：REQ-174d0cbda32b；行3209
2. 规则：BR-005ebd6e623d3ce6
3. 未动态验证</x:v>
      </x:c>
    </x:row>
    <x:row r="530" ht="115" customHeight="1">
      <x:c r="A530" s="10" t="n">
        <x:v>529</x:v>
      </x:c>
      <x:c r="B530" s="10" t="str">
        <x:v>GUILD-03-0139</x:v>
      </x:c>
      <x:c r="C530" s="10" t="str">
        <x:v>运营工具</x:v>
      </x:c>
      <x:c r="D530" s="10" t="str">
        <x:v>选择运营账号（多选）（公会长视角）</x:v>
      </x:c>
      <x:c r="E530" s="10" t="str">
        <x:v>功能需求</x:v>
      </x:c>
      <x:c r="F530" s="10" t="str">
        <x:v>P2</x:v>
      </x:c>
      <x:c r="G530" s="9" t="str">
        <x:v>验证核对运营多选搜索结果数</x:v>
      </x:c>
      <x:c r="H530" s="9" t="str">
        <x:v>运营多选搜索结果数</x:v>
      </x:c>
      <x:c r="I530" s="9" t="str">
        <x:v>1. 执行角色为公会长
2. 已登录目标公会的公会长账号，打开选择运营账号（多选）页并完成下列数据和页面状态准备
3. 公会共3个运营账号，已选2个，当前搜索只命中甲</x:v>
      </x:c>
      <x:c r="J530" s="9" t="str">
        <x:v>1. 查看选择运营账号（多选）页</x:v>
      </x:c>
      <x:c r="K530" s="9" t="str">
        <x:v>搜索结果数量显示1</x:v>
      </x:c>
      <x:c r="L530" s="10" t="str"/>
      <x:c r="M530" s="10" t="str">
        <x:v>未测</x:v>
      </x:c>
      <x:c r="N530" s="10" t="str"/>
      <x:c r="O530" s="9" t="str">
        <x:v>1. 来源（当前证据）：liveshow-proto/MainBasis/统一需求文档.md；位置：REQ-0c9d662848b4；行3211
2. 规则：BR-6c0ee585fc9060d7
3. 未动态验证</x:v>
      </x:c>
    </x:row>
    <x:row r="531" ht="100" customHeight="1">
      <x:c r="A531" s="10" t="n">
        <x:v>530</x:v>
      </x:c>
      <x:c r="B531" s="10" t="str">
        <x:v>GUILD-05-0131</x:v>
      </x:c>
      <x:c r="C531" s="10" t="str">
        <x:v>数据与收益</x:v>
      </x:c>
      <x:c r="D531" s="10" t="str">
        <x:v>直播记录（公会长视角）</x:v>
      </x:c>
      <x:c r="E531" s="10" t="str">
        <x:v>功能需求</x:v>
      </x:c>
      <x:c r="F531" s="10" t="str">
        <x:v>P2</x:v>
      </x:c>
      <x:c r="G531" s="9" t="str">
        <x:v>验证核对单主播范围身份标识</x:v>
      </x:c>
      <x:c r="H531" s="9" t="str">
        <x:v>单主播范围身份标识</x:v>
      </x:c>
      <x:c r="I531" s="9" t="str">
        <x:v>1. 执行角色为公会长
2. 已登录目标公会的公会长账号，打开直播记录页并完成下列数据和页面状态准备
3. 当前只选择甲H001，列表包含甲多个场次</x:v>
      </x:c>
      <x:c r="J531" s="9" t="str">
        <x:v>1. 查看直播记录页</x:v>
      </x:c>
      <x:c r="K531" s="9" t="str">
        <x:v>顶部主播标识显示甲H001</x:v>
      </x:c>
      <x:c r="L531" s="10" t="str"/>
      <x:c r="M531" s="10" t="str">
        <x:v>未测</x:v>
      </x:c>
      <x:c r="N531" s="10" t="str"/>
      <x:c r="O531" s="9" t="str">
        <x:v>1. 来源（当前证据）：liveshow-proto/MainBasis/统一需求文档.md；位置：REQ-1221acc6aa29；行3271
2. 规则：BR-d7eed75af7e60cd1
3. 未动态验证</x:v>
      </x:c>
    </x:row>
    <x:row r="532" ht="100" customHeight="1">
      <x:c r="A532" s="10" t="n">
        <x:v>531</x:v>
      </x:c>
      <x:c r="B532" s="10" t="str">
        <x:v>GUILD-05-0132</x:v>
      </x:c>
      <x:c r="C532" s="10" t="str">
        <x:v>数据与收益</x:v>
      </x:c>
      <x:c r="D532" s="10" t="str">
        <x:v>直播记录（公会长视角）</x:v>
      </x:c>
      <x:c r="E532" s="10" t="str">
        <x:v>功能需求</x:v>
      </x:c>
      <x:c r="F532" s="10" t="str">
        <x:v>P2</x:v>
      </x:c>
      <x:c r="G532" s="9" t="str">
        <x:v>验证核对场次列表开播时点</x:v>
      </x:c>
      <x:c r="H532" s="9" t="str">
        <x:v>场次列表开播时点</x:v>
      </x:c>
      <x:c r="I532" s="9" t="str">
        <x:v>1. 执行角色为公会长
2. 已登录目标公会的公会长账号，打开直播记录页并完成下列数据和页面状态准备
3. S1在9月15日10:00开始、11:00结束</x:v>
      </x:c>
      <x:c r="J532" s="9" t="str">
        <x:v>1. 查看直播记录页</x:v>
      </x:c>
      <x:c r="K532" s="9" t="str">
        <x:v>S1开播时间对应9月15日10:00</x:v>
      </x:c>
      <x:c r="L532" s="10" t="str"/>
      <x:c r="M532" s="10" t="str">
        <x:v>未测</x:v>
      </x:c>
      <x:c r="N532" s="10" t="str"/>
      <x:c r="O532" s="9" t="str">
        <x:v>1. 来源（当前证据）：liveshow-proto/MainBasis/统一需求文档.md；位置：REQ-27679ba94edc；行3273
2. 规则：BR-353a614562bd4432
3. 未动态验证</x:v>
      </x:c>
    </x:row>
    <x:row r="533" ht="100" customHeight="1">
      <x:c r="A533" s="10" t="n">
        <x:v>532</x:v>
      </x:c>
      <x:c r="B533" s="10" t="str">
        <x:v>GUILD-05-0133</x:v>
      </x:c>
      <x:c r="C533" s="10" t="str">
        <x:v>数据与收益</x:v>
      </x:c>
      <x:c r="D533" s="10" t="str">
        <x:v>直播场次详情（公会长视角）</x:v>
      </x:c>
      <x:c r="E533" s="10" t="str">
        <x:v>功能需求</x:v>
      </x:c>
      <x:c r="F533" s="10" t="str">
        <x:v>P2</x:v>
      </x:c>
      <x:c r="G533" s="9" t="str">
        <x:v>验证核对场次详情直播标题</x:v>
      </x:c>
      <x:c r="H533" s="9" t="str">
        <x:v>场次详情直播标题</x:v>
      </x:c>
      <x:c r="I533" s="9" t="str">
        <x:v>1. 执行角色为公会长
2. 已登录目标公会的公会长账号，打开直播场次详情页并完成下列数据和页面状态准备
3. 当前进入S1，其开播标题QA首场；该主播新场S2标题QA次场</x:v>
      </x:c>
      <x:c r="J533" s="9" t="str">
        <x:v>1. 查看直播场次详情页</x:v>
      </x:c>
      <x:c r="K533" s="9" t="str">
        <x:v>详情直播主题显示QA首场</x:v>
      </x:c>
      <x:c r="L533" s="10" t="str"/>
      <x:c r="M533" s="10" t="str">
        <x:v>未测</x:v>
      </x:c>
      <x:c r="N533" s="10" t="str"/>
      <x:c r="O533" s="9" t="str">
        <x:v>1. 来源（当前证据）：liveshow-proto/MainBasis/统一需求文档.md；位置：REQ-7a61e5f92e6d；行3298
2. 规则：BR-e505e98f50d0ed5d
3. 未动态验证</x:v>
      </x:c>
    </x:row>
    <x:row r="534" ht="100" customHeight="1">
      <x:c r="A534" s="10" t="n">
        <x:v>533</x:v>
      </x:c>
      <x:c r="B534" s="10" t="str">
        <x:v>GUILD-05-0134</x:v>
      </x:c>
      <x:c r="C534" s="10" t="str">
        <x:v>数据与收益</x:v>
      </x:c>
      <x:c r="D534" s="10" t="str">
        <x:v>直播场次详情（公会长视角）</x:v>
      </x:c>
      <x:c r="E534" s="10" t="str">
        <x:v>功能需求</x:v>
      </x:c>
      <x:c r="F534" s="10" t="str">
        <x:v>P2</x:v>
      </x:c>
      <x:c r="G534" s="9" t="str">
        <x:v>验证核对赠礼人真实身份</x:v>
      </x:c>
      <x:c r="H534" s="9" t="str">
        <x:v>赠礼人真实身份</x:v>
      </x:c>
      <x:c r="I534" s="9" t="str">
        <x:v>1. 执行角色为公会长
2. 已登录目标公会的公会长账号，打开直播场次详情页并完成下列数据和页面状态准备
3. R1由甲U001向主播乙H002赠送，甲昵称QA观众</x:v>
      </x:c>
      <x:c r="J534" s="9" t="str">
        <x:v>1. 查看直播场次详情页</x:v>
      </x:c>
      <x:c r="K534" s="9" t="str">
        <x:v>R1赠送用户显示QA观众及U001</x:v>
      </x:c>
      <x:c r="L534" s="10" t="str"/>
      <x:c r="M534" s="10" t="str">
        <x:v>未测</x:v>
      </x:c>
      <x:c r="N534" s="10" t="str"/>
      <x:c r="O534" s="9" t="str">
        <x:v>1. 来源（当前证据）：liveshow-proto/MainBasis/统一需求文档.md；位置：REQ-93d5b7f8688f；行3322
2. 规则：BR-7929a2a43b15ad40
3. 未动态验证</x:v>
      </x:c>
    </x:row>
    <x:row r="535" ht="100" customHeight="1">
      <x:c r="A535" s="10" t="n">
        <x:v>534</x:v>
      </x:c>
      <x:c r="B535" s="10" t="str">
        <x:v>GUILD-05-0135</x:v>
      </x:c>
      <x:c r="C535" s="10" t="str">
        <x:v>数据与收益</x:v>
      </x:c>
      <x:c r="D535" s="10" t="str">
        <x:v>违规记录（公会长视角）</x:v>
      </x:c>
      <x:c r="E535" s="10" t="str">
        <x:v>功能需求</x:v>
      </x:c>
      <x:c r="F535" s="10" t="str">
        <x:v>P2</x:v>
      </x:c>
      <x:c r="G535" s="9" t="str">
        <x:v>验证核对违规记录被处置对象</x:v>
      </x:c>
      <x:c r="H535" s="9" t="str">
        <x:v>违规记录被处置对象</x:v>
      </x:c>
      <x:c r="I535" s="9" t="str">
        <x:v>1. 执行角色为公会长
2. 已登录目标公会的公会长账号，打开违规记录页并完成下列数据和页面状态准备
3. N处罚甲H001，举报人乙U002</x:v>
      </x:c>
      <x:c r="J535" s="9" t="str">
        <x:v>1. 查看违规记录页</x:v>
      </x:c>
      <x:c r="K535" s="9" t="str">
        <x:v>N违规对象显示甲H001</x:v>
      </x:c>
      <x:c r="L535" s="10" t="str"/>
      <x:c r="M535" s="10" t="str">
        <x:v>未测</x:v>
      </x:c>
      <x:c r="N535" s="10" t="str"/>
      <x:c r="O535" s="9" t="str">
        <x:v>1. 来源（当前证据）：liveshow-proto/MainBasis/统一需求文档.md；位置：REQ-be1399973dbd；行3347
2. 规则：BR-4f1f392b87214461
3. 未动态验证</x:v>
      </x:c>
    </x:row>
    <x:row r="536" ht="100" customHeight="1">
      <x:c r="A536" s="10" t="n">
        <x:v>535</x:v>
      </x:c>
      <x:c r="B536" s="10" t="str">
        <x:v>GUILD-05-0136</x:v>
      </x:c>
      <x:c r="C536" s="10" t="str">
        <x:v>数据与收益</x:v>
      </x:c>
      <x:c r="D536" s="10" t="str">
        <x:v>每日（公会长视角）</x:v>
      </x:c>
      <x:c r="E536" s="10" t="str">
        <x:v>功能需求</x:v>
      </x:c>
      <x:c r="F536" s="10" t="str">
        <x:v>P2</x:v>
      </x:c>
      <x:c r="G536" s="9" t="str">
        <x:v>验证核对当日经营日期值</x:v>
      </x:c>
      <x:c r="H536" s="9" t="str">
        <x:v>当日经营日期值</x:v>
      </x:c>
      <x:c r="I536" s="9" t="str">
        <x:v>1. 执行角色为公会长
2. 已登录目标公会的公会长账号，打开每日页并完成下列数据和页面状态准备
3. 当前进入9月15日经营详情，今天为9月16日</x:v>
      </x:c>
      <x:c r="J536" s="9" t="str">
        <x:v>1. 查看每日页</x:v>
      </x:c>
      <x:c r="K536" s="9" t="str">
        <x:v>业务日期显示9月15日</x:v>
      </x:c>
      <x:c r="L536" s="10" t="str"/>
      <x:c r="M536" s="10" t="str">
        <x:v>未测</x:v>
      </x:c>
      <x:c r="N536" s="10" t="str"/>
      <x:c r="O536" s="9" t="str">
        <x:v>1. 来源（当前证据）：liveshow-proto/MainBasis/统一需求文档.md；位置：REQ-136eaaa6e25c；行3409
2. 规则：BR-28c2698509f7ff12
3. 未动态验证</x:v>
      </x:c>
    </x:row>
    <x:row r="537" ht="85" customHeight="1">
      <x:c r="A537" s="10" t="n">
        <x:v>536</x:v>
      </x:c>
      <x:c r="B537" s="10" t="str">
        <x:v>GUILD-05-0137</x:v>
      </x:c>
      <x:c r="C537" s="10" t="str">
        <x:v>数据与收益</x:v>
      </x:c>
      <x:c r="D537" s="10" t="str">
        <x:v>每日（公会长视角）</x:v>
      </x:c>
      <x:c r="E537" s="10" t="str">
        <x:v>功能需求</x:v>
      </x:c>
      <x:c r="F537" s="10" t="str">
        <x:v>P2</x:v>
      </x:c>
      <x:c r="G537" s="9" t="str">
        <x:v>验证核对今日经营无历史标记</x:v>
      </x:c>
      <x:c r="H537" s="9" t="str">
        <x:v>今日经营无历史标记</x:v>
      </x:c>
      <x:c r="I537" s="9" t="str">
        <x:v>1. 执行角色为公会长
2. 已登录目标公会的公会长账号，打开每日页并完成下列数据和页面状态准备
3. 当前进入今日经营详情</x:v>
      </x:c>
      <x:c r="J537" s="9" t="str">
        <x:v>1. 查看每日页</x:v>
      </x:c>
      <x:c r="K537" s="9" t="str">
        <x:v>不显示历史标记</x:v>
      </x:c>
      <x:c r="L537" s="10" t="str"/>
      <x:c r="M537" s="10" t="str">
        <x:v>未测</x:v>
      </x:c>
      <x:c r="N537" s="10" t="str"/>
      <x:c r="O537" s="9" t="str">
        <x:v>1. 来源（当前证据）：liveshow-proto/MainBasis/统一需求文档.md；位置：REQ-136eaaa6e25c；行3409
2. 规则：BR-35a6f4a5810bae36
3. 未动态验证</x:v>
      </x:c>
    </x:row>
    <x:row r="538" ht="100" customHeight="1">
      <x:c r="A538" s="10" t="n">
        <x:v>537</x:v>
      </x:c>
      <x:c r="B538" s="10" t="str">
        <x:v>GUILD-05-0138</x:v>
      </x:c>
      <x:c r="C538" s="10" t="str">
        <x:v>数据与收益</x:v>
      </x:c>
      <x:c r="D538" s="10" t="str">
        <x:v>每日（公会长视角）</x:v>
      </x:c>
      <x:c r="E538" s="10" t="str">
        <x:v>功能需求</x:v>
      </x:c>
      <x:c r="F538" s="10" t="str">
        <x:v>P2</x:v>
      </x:c>
      <x:c r="G538" s="9" t="str">
        <x:v>验证核对每日已开播人数</x:v>
      </x:c>
      <x:c r="H538" s="9" t="str">
        <x:v>每日已开播人数</x:v>
      </x:c>
      <x:c r="I538" s="9" t="str">
        <x:v>1. 执行角色为公会长
2. 已登录目标公会的公会长账号，打开每日页并完成下列数据和页面状态准备
3. 当日甲两场、乙一场、丙未开播</x:v>
      </x:c>
      <x:c r="J538" s="9" t="str">
        <x:v>1. 查看每日页</x:v>
      </x:c>
      <x:c r="K538" s="9" t="str">
        <x:v>已开播人数显示2</x:v>
      </x:c>
      <x:c r="L538" s="10" t="str"/>
      <x:c r="M538" s="10" t="str">
        <x:v>未测</x:v>
      </x:c>
      <x:c r="N538" s="10" t="str"/>
      <x:c r="O538" s="9" t="str">
        <x:v>1. 来源（当前证据）：liveshow-proto/MainBasis/统一需求文档.md；位置：REQ-7f4dbabfcda9；行3411
2. 规则：BR-43cfcdc0cf4150f9
3. 未动态验证</x:v>
      </x:c>
    </x:row>
    <x:row r="539" ht="85" customHeight="1">
      <x:c r="A539" s="10" t="n">
        <x:v>538</x:v>
      </x:c>
      <x:c r="B539" s="10" t="str">
        <x:v>GUILD-05-0139</x:v>
      </x:c>
      <x:c r="C539" s="10" t="str">
        <x:v>数据与收益</x:v>
      </x:c>
      <x:c r="D539" s="10" t="str">
        <x:v>每日（公会长视角）</x:v>
      </x:c>
      <x:c r="E539" s="10" t="str">
        <x:v>功能需求</x:v>
      </x:c>
      <x:c r="F539" s="10" t="str">
        <x:v>P2</x:v>
      </x:c>
      <x:c r="G539" s="9" t="str">
        <x:v>验证核对每日未开播人数</x:v>
      </x:c>
      <x:c r="H539" s="9" t="str">
        <x:v>每日未开播人数</x:v>
      </x:c>
      <x:c r="I539" s="9" t="str">
        <x:v>1. 执行角色为公会长
2. 已登录目标公会的公会长账号，打开每日页并完成下列数据和页面状态准备
3. 当日甲已开播，乙丙未开播</x:v>
      </x:c>
      <x:c r="J539" s="9" t="str">
        <x:v>1. 查看每日页</x:v>
      </x:c>
      <x:c r="K539" s="9" t="str">
        <x:v>未开播人数显示2</x:v>
      </x:c>
      <x:c r="L539" s="10" t="str"/>
      <x:c r="M539" s="10" t="str">
        <x:v>未测</x:v>
      </x:c>
      <x:c r="N539" s="10" t="str"/>
      <x:c r="O539" s="9" t="str">
        <x:v>1. 来源（当前证据）：liveshow-proto/MainBasis/统一需求文档.md；位置：REQ-7f4dbabfcda9；行3411
2. 规则：BR-c37cd095555ca43a
3. 未动态验证</x:v>
      </x:c>
    </x:row>
    <x:row r="540" ht="100" customHeight="1">
      <x:c r="A540" s="10" t="n">
        <x:v>539</x:v>
      </x:c>
      <x:c r="B540" s="10" t="str">
        <x:v>GUILD-05-0140</x:v>
      </x:c>
      <x:c r="C540" s="10" t="str">
        <x:v>数据与收益</x:v>
      </x:c>
      <x:c r="D540" s="10" t="str">
        <x:v>每日（公会长视角）</x:v>
      </x:c>
      <x:c r="E540" s="10" t="str">
        <x:v>功能需求</x:v>
      </x:c>
      <x:c r="F540" s="10" t="str">
        <x:v>P2</x:v>
      </x:c>
      <x:c r="G540" s="9" t="str">
        <x:v>验证核对每日累计直播时长</x:v>
      </x:c>
      <x:c r="H540" s="9" t="str">
        <x:v>每日累计直播时长</x:v>
      </x:c>
      <x:c r="I540" s="9" t="str">
        <x:v>1. 执行角色为公会长
2. 已登录目标公会的公会长账号，打开每日页并完成下列数据和页面状态准备
3. 主播甲当日两场累计210分钟，当前已开播列表</x:v>
      </x:c>
      <x:c r="J540" s="9" t="str">
        <x:v>1. 查看每日页</x:v>
      </x:c>
      <x:c r="K540" s="9" t="str">
        <x:v>甲直播时长显示3小时30分钟</x:v>
      </x:c>
      <x:c r="L540" s="10" t="str"/>
      <x:c r="M540" s="10" t="str">
        <x:v>未测</x:v>
      </x:c>
      <x:c r="N540" s="10" t="str"/>
      <x:c r="O540" s="9" t="str">
        <x:v>1. 来源（当前证据）：liveshow-proto/MainBasis/统一需求文档.md；位置：REQ-6359ffa4e7fc；行3421
2. 规则：BR-c7161a499747ee39
3. 未动态验证</x:v>
      </x:c>
    </x:row>
    <x:row r="541" ht="100" customHeight="1">
      <x:c r="A541" s="10" t="n">
        <x:v>540</x:v>
      </x:c>
      <x:c r="B541" s="10" t="str">
        <x:v>GUILD-05-0141</x:v>
      </x:c>
      <x:c r="C541" s="10" t="str">
        <x:v>数据与收益</x:v>
      </x:c>
      <x:c r="D541" s="10" t="str">
        <x:v>每日（公会长视角）</x:v>
      </x:c>
      <x:c r="E541" s="10" t="str">
        <x:v>功能需求</x:v>
      </x:c>
      <x:c r="F541" s="10" t="str">
        <x:v>P2</x:v>
      </x:c>
      <x:c r="G541" s="9" t="str">
        <x:v>验证核对今日在播人数</x:v>
      </x:c>
      <x:c r="H541" s="9" t="str">
        <x:v>今日在播人数</x:v>
      </x:c>
      <x:c r="I541" s="9" t="str">
        <x:v>1. 执行角色为公会长
2. 已登录目标公会的公会长账号，打开每日页并完成下列数据和页面状态准备
3. 甲已结束一场，乙丙当前正在直播；当前日期为今日</x:v>
      </x:c>
      <x:c r="J541" s="9" t="str">
        <x:v>1. 查看每日页</x:v>
      </x:c>
      <x:c r="K541" s="9" t="str">
        <x:v>直播中显示2人</x:v>
      </x:c>
      <x:c r="L541" s="10" t="str"/>
      <x:c r="M541" s="10" t="str">
        <x:v>未测</x:v>
      </x:c>
      <x:c r="N541" s="10" t="str"/>
      <x:c r="O541" s="9" t="str">
        <x:v>1. 来源（当前证据）：liveshow-proto/MainBasis/统一需求文档.md；位置：REQ-7e73bff3ce0c；行3425
2. 规则：BR-8fb86d6ec8729821
3. 未动态验证</x:v>
      </x:c>
    </x:row>
    <x:row r="542" ht="100" customHeight="1">
      <x:c r="A542" s="10" t="n">
        <x:v>541</x:v>
      </x:c>
      <x:c r="B542" s="10" t="str">
        <x:v>GUILD-05-0142</x:v>
      </x:c>
      <x:c r="C542" s="10" t="str">
        <x:v>数据与收益</x:v>
      </x:c>
      <x:c r="D542" s="10" t="str">
        <x:v>每日（公会长视角）</x:v>
      </x:c>
      <x:c r="E542" s="10" t="str">
        <x:v>逻辑校验</x:v>
      </x:c>
      <x:c r="F542" s="10" t="str">
        <x:v>P1</x:v>
      </x:c>
      <x:c r="G542" s="9" t="str">
        <x:v>验证每日详情累计179分钟的有效天状态</x:v>
      </x:c>
      <x:c r="H542" s="9" t="str">
        <x:v>每日主播有效天边界</x:v>
      </x:c>
      <x:c r="I542" s="9" t="str">
        <x:v>1. 执行角色为公会长
2. 已登录目标公会的公会长账号，打开每日页并完成下列数据和页面状态准备
3. 甲当日已完成场次累计179分钟；当前已开播列表</x:v>
      </x:c>
      <x:c r="J542" s="9" t="str">
        <x:v>1. 查看每日页</x:v>
      </x:c>
      <x:c r="K542" s="9" t="str">
        <x:v>甲有效天状态显示未达标</x:v>
      </x:c>
      <x:c r="L542" s="10" t="str"/>
      <x:c r="M542" s="10" t="str">
        <x:v>未测</x:v>
      </x:c>
      <x:c r="N542" s="10" t="str"/>
      <x:c r="O542" s="9" t="str">
        <x:v>1. 来源（当前证据）：liveshow-proto/MainBasis/统一需求文档.md；位置：REQ-6359ffa4e7fc；行3421
2. 规则：BR-d36e41859ba37a67
3. 未动态验证</x:v>
      </x:c>
    </x:row>
    <x:row r="543" ht="100" customHeight="1">
      <x:c r="A543" s="10" t="n">
        <x:v>542</x:v>
      </x:c>
      <x:c r="B543" s="10" t="str">
        <x:v>GUILD-05-0143</x:v>
      </x:c>
      <x:c r="C543" s="10" t="str">
        <x:v>数据与收益</x:v>
      </x:c>
      <x:c r="D543" s="10" t="str">
        <x:v>每日（公会长视角）</x:v>
      </x:c>
      <x:c r="E543" s="10" t="str">
        <x:v>逻辑校验</x:v>
      </x:c>
      <x:c r="F543" s="10" t="str">
        <x:v>P1</x:v>
      </x:c>
      <x:c r="G543" s="9" t="str">
        <x:v>验证每日详情累计180分钟的有效天状态</x:v>
      </x:c>
      <x:c r="H543" s="9" t="str">
        <x:v>每日主播有效天边界</x:v>
      </x:c>
      <x:c r="I543" s="9" t="str">
        <x:v>1. 执行角色为公会长
2. 已登录目标公会的公会长账号，打开每日页并完成下列数据和页面状态准备
3. 甲当日已完成场次累计180分钟；当前已开播列表</x:v>
      </x:c>
      <x:c r="J543" s="9" t="str">
        <x:v>1. 查看每日页</x:v>
      </x:c>
      <x:c r="K543" s="9" t="str">
        <x:v>甲有效天状态显示达标</x:v>
      </x:c>
      <x:c r="L543" s="10" t="str"/>
      <x:c r="M543" s="10" t="str">
        <x:v>未测</x:v>
      </x:c>
      <x:c r="N543" s="10" t="str"/>
      <x:c r="O543" s="9" t="str">
        <x:v>1. 来源（当前证据）：liveshow-proto/MainBasis/统一需求文档.md；位置：REQ-6359ffa4e7fc；行3421
2. 规则：BR-0010ae2bb50d6132
3. 未动态验证</x:v>
      </x:c>
    </x:row>
    <x:row r="544" ht="100" customHeight="1">
      <x:c r="A544" s="10" t="n">
        <x:v>543</x:v>
      </x:c>
      <x:c r="B544" s="10" t="str">
        <x:v>GUILD-05-0144</x:v>
      </x:c>
      <x:c r="C544" s="10" t="str">
        <x:v>数据与收益</x:v>
      </x:c>
      <x:c r="D544" s="10" t="str">
        <x:v>每日（公会长视角）</x:v>
      </x:c>
      <x:c r="E544" s="10" t="str">
        <x:v>逻辑校验</x:v>
      </x:c>
      <x:c r="F544" s="10" t="str">
        <x:v>P1</x:v>
      </x:c>
      <x:c r="G544" s="9" t="str">
        <x:v>验证每日详情累计181分钟的有效天状态</x:v>
      </x:c>
      <x:c r="H544" s="9" t="str">
        <x:v>每日主播有效天边界</x:v>
      </x:c>
      <x:c r="I544" s="9" t="str">
        <x:v>1. 执行角色为公会长
2. 已登录目标公会的公会长账号，打开每日页并完成下列数据和页面状态准备
3. 甲当日已完成场次累计181分钟；当前已开播列表</x:v>
      </x:c>
      <x:c r="J544" s="9" t="str">
        <x:v>1. 查看每日页</x:v>
      </x:c>
      <x:c r="K544" s="9" t="str">
        <x:v>甲有效天状态显示达标</x:v>
      </x:c>
      <x:c r="L544" s="10" t="str"/>
      <x:c r="M544" s="10" t="str">
        <x:v>未测</x:v>
      </x:c>
      <x:c r="N544" s="10" t="str"/>
      <x:c r="O544" s="9" t="str">
        <x:v>1. 来源（当前证据）：liveshow-proto/MainBasis/统一需求文档.md；位置：REQ-6359ffa4e7fc；行3421
2. 规则：BR-a30b7e265b679935
3. 未动态验证</x:v>
      </x:c>
    </x:row>
    <x:row r="545" ht="100" customHeight="1">
      <x:c r="A545" s="10" t="n">
        <x:v>544</x:v>
      </x:c>
      <x:c r="B545" s="10" t="str">
        <x:v>GUILD-03-0140</x:v>
      </x:c>
      <x:c r="C545" s="10" t="str">
        <x:v>运营工具</x:v>
      </x:c>
      <x:c r="D545" s="10" t="str">
        <x:v>运营账号（公会长视角）</x:v>
      </x:c>
      <x:c r="E545" s="10" t="str">
        <x:v>逻辑校验</x:v>
      </x:c>
      <x:c r="F545" s="10" t="str">
        <x:v>P1</x:v>
      </x:c>
      <x:c r="G545" s="9" t="str">
        <x:v>验证公会剩余额度按上限减已发</x:v>
      </x:c>
      <x:c r="H545" s="9" t="str">
        <x:v>公会月度可发余额</x:v>
      </x:c>
      <x:c r="I545" s="9" t="str">
        <x:v>1. 执行角色为公会长
2. 已登录目标公会的公会长账号，打开运营账号页并完成下列数据和页面状态准备
3. 公会本月上限1000，成功发放300，失败发放100</x:v>
      </x:c>
      <x:c r="J545" s="9" t="str">
        <x:v>1. 查看运营账号页</x:v>
      </x:c>
      <x:c r="K545" s="9" t="str">
        <x:v>本月剩余可发显示700金币</x:v>
      </x:c>
      <x:c r="L545" s="10" t="str"/>
      <x:c r="M545" s="10" t="str">
        <x:v>未测</x:v>
      </x:c>
      <x:c r="N545" s="10" t="str"/>
      <x:c r="O545" s="9" t="str">
        <x:v>1. 来源（当前证据）：liveshow-proto/MainBasis/统一需求文档.md；位置：REQ-07ccfe1b17c0；行3100
2. 规则：BR-3f75d260d9317ca9
3. 未动态验证</x:v>
      </x:c>
    </x:row>
    <x:row r="546" ht="100" customHeight="1">
      <x:c r="A546" s="10" t="n">
        <x:v>545</x:v>
      </x:c>
      <x:c r="B546" s="10" t="str">
        <x:v>GUILD-03-0141</x:v>
      </x:c>
      <x:c r="C546" s="10" t="str">
        <x:v>运营工具</x:v>
      </x:c>
      <x:c r="D546" s="10" t="str">
        <x:v>运营账号（公会长视角）</x:v>
      </x:c>
      <x:c r="E546" s="10" t="str">
        <x:v>逻辑校验</x:v>
      </x:c>
      <x:c r="F546" s="10" t="str">
        <x:v>P1</x:v>
      </x:c>
      <x:c r="G546" s="9" t="str">
        <x:v>验证降低公会额度后剩余不为负</x:v>
      </x:c>
      <x:c r="H546" s="9" t="str">
        <x:v>公会额度下调后的余额下限</x:v>
      </x:c>
      <x:c r="I546" s="9" t="str">
        <x:v>1. 执行角色为公会长
2. 已登录目标公会的公会长账号，打开运营账号页并完成下列数据和页面状态准备
3. 公会本月已发1000，后台当前将上限调整为800</x:v>
      </x:c>
      <x:c r="J546" s="9" t="str">
        <x:v>1. 查看运营账号页</x:v>
      </x:c>
      <x:c r="K546" s="9" t="str">
        <x:v>本月剩余可发显示0金币</x:v>
      </x:c>
      <x:c r="L546" s="10" t="str"/>
      <x:c r="M546" s="10" t="str">
        <x:v>未测</x:v>
      </x:c>
      <x:c r="N546" s="10" t="str"/>
      <x:c r="O546" s="9" t="str">
        <x:v>1. 来源（当前证据）：liveshow-proto/MainBasis/统一需求文档.md；位置：REQ-07ccfe1b17c0；行3100
2. 规则：BR-faab158f45d3c9a8
3. 未动态验证</x:v>
      </x:c>
    </x:row>
    <x:row r="547" ht="85" customHeight="1">
      <x:c r="A547" s="10" t="n">
        <x:v>546</x:v>
      </x:c>
      <x:c r="B547" s="10" t="str">
        <x:v>GUILD-05-0145</x:v>
      </x:c>
      <x:c r="C547" s="10" t="str">
        <x:v>数据与收益</x:v>
      </x:c>
      <x:c r="D547" s="10" t="str">
        <x:v>公会分成记录（公会长视角）</x:v>
      </x:c>
      <x:c r="E547" s="10" t="str">
        <x:v>逻辑校验</x:v>
      </x:c>
      <x:c r="F547" s="10" t="str">
        <x:v>P1</x:v>
      </x:c>
      <x:c r="G547" s="9" t="str">
        <x:v>验证公会分成记录没有未定义日期筛选</x:v>
      </x:c>
      <x:c r="H547" s="9" t="str">
        <x:v>公会财务记录筛选入口</x:v>
      </x:c>
      <x:c r="I547" s="9" t="str">
        <x:v>1. 执行角色为公会长
2. 已登录目标公会的公会长账号，打开公会分成记录页并完成下列数据和页面状态准备
3. 已有当前公会上传结果</x:v>
      </x:c>
      <x:c r="J547" s="9" t="str">
        <x:v>1. 查看公会分成记录页</x:v>
      </x:c>
      <x:c r="K547" s="9" t="str">
        <x:v>本页不提供日期筛选</x:v>
      </x:c>
      <x:c r="L547" s="10" t="str"/>
      <x:c r="M547" s="10" t="str">
        <x:v>未测</x:v>
      </x:c>
      <x:c r="N547" s="10" t="str"/>
      <x:c r="O547" s="9" t="str">
        <x:v>1. 来源（当前证据）：liveshow-proto/MainBasis/统一需求文档.md；位置：REQ-1afa9bbb787d；行3457
2. 规则：BR-b58edfb2372f010c
3. 未动态验证</x:v>
      </x:c>
    </x:row>
    <x:row r="548" ht="85" customHeight="1">
      <x:c r="A548" s="10" t="n">
        <x:v>547</x:v>
      </x:c>
      <x:c r="B548" s="10" t="str">
        <x:v>GUILD-05-0146</x:v>
      </x:c>
      <x:c r="C548" s="10" t="str">
        <x:v>数据与收益</x:v>
      </x:c>
      <x:c r="D548" s="10" t="str">
        <x:v>公会分成记录（公会长视角）</x:v>
      </x:c>
      <x:c r="E548" s="10" t="str">
        <x:v>逻辑校验</x:v>
      </x:c>
      <x:c r="F548" s="10" t="str">
        <x:v>P1</x:v>
      </x:c>
      <x:c r="G548" s="9" t="str">
        <x:v>验证公会分成记录没有在线计算</x:v>
      </x:c>
      <x:c r="H548" s="9" t="str">
        <x:v>公会财务记录计算入口</x:v>
      </x:c>
      <x:c r="I548" s="9" t="str">
        <x:v>1. 执行角色为公会长
2. 已登录目标公会的公会长账号，打开公会分成记录页并完成下列数据和页面状态准备
3. 已有当前公会上传结果</x:v>
      </x:c>
      <x:c r="J548" s="9" t="str">
        <x:v>1. 查看公会分成记录页</x:v>
      </x:c>
      <x:c r="K548" s="9" t="str">
        <x:v>本页不提供在线分成计算操作</x:v>
      </x:c>
      <x:c r="L548" s="10" t="str"/>
      <x:c r="M548" s="10" t="str">
        <x:v>未测</x:v>
      </x:c>
      <x:c r="N548" s="10" t="str"/>
      <x:c r="O548" s="9" t="str">
        <x:v>1. 来源（当前证据）：liveshow-proto/MainBasis/统一需求文档.md；位置：REQ-1afa9bbb787d；行3457
2. 规则：BR-62bb77ff2e1fd0da
3. 未动态验证</x:v>
      </x:c>
    </x:row>
    <x:row r="549" ht="100" customHeight="1">
      <x:c r="A549" s="10" t="n">
        <x:v>548</x:v>
      </x:c>
      <x:c r="B549" s="10" t="str">
        <x:v>GUILD-05-0147</x:v>
      </x:c>
      <x:c r="C549" s="10" t="str">
        <x:v>数据与收益</x:v>
      </x:c>
      <x:c r="D549" s="10" t="str">
        <x:v>公会分成记录（公会长视角）</x:v>
      </x:c>
      <x:c r="E549" s="10" t="str">
        <x:v>逻辑校验</x:v>
      </x:c>
      <x:c r="F549" s="10" t="str">
        <x:v>P1</x:v>
      </x:c>
      <x:c r="G549" s="9" t="str">
        <x:v>验证公会分成跨月按入账时间展示</x:v>
      </x:c>
      <x:c r="H549" s="9" t="str">
        <x:v>跨月分成的入账日期</x:v>
      </x:c>
      <x:c r="I549" s="9" t="str">
        <x:v>1. 执行角色为公会长
2. 已登录目标公会的公会长账号，打开公会分成记录页并完成下列数据和页面状态准备
3. 8月收益的财务结果在9月15日入账</x:v>
      </x:c>
      <x:c r="J549" s="9" t="str">
        <x:v>1. 查看公会分成记录页</x:v>
      </x:c>
      <x:c r="K549" s="9" t="str">
        <x:v>分成时间对应9月15日</x:v>
      </x:c>
      <x:c r="L549" s="10" t="str"/>
      <x:c r="M549" s="10" t="str">
        <x:v>未测</x:v>
      </x:c>
      <x:c r="N549" s="10" t="str"/>
      <x:c r="O549" s="9" t="str">
        <x:v>1. 来源（当前证据）：liveshow-proto/MainBasis/统一需求文档.md；位置：REQ-bc29e36d3b72；行3459
2. 规则：BR-279015bbe141324d
3. 未动态验证</x:v>
      </x:c>
    </x:row>
    <x:row r="550" ht="100" customHeight="1">
      <x:c r="A550" s="10" t="n">
        <x:v>549</x:v>
      </x:c>
      <x:c r="B550" s="10" t="str">
        <x:v>GUILD-04-0034</x:v>
      </x:c>
      <x:c r="C550" s="10" t="str">
        <x:v>公会管理</x:v>
      </x:c>
      <x:c r="D550" s="10" t="str">
        <x:v>公会资料（公会长视角）</x:v>
      </x:c>
      <x:c r="E550" s="10" t="str">
        <x:v>逻辑校验</x:v>
      </x:c>
      <x:c r="F550" s="10" t="str">
        <x:v>P1</x:v>
      </x:c>
      <x:c r="G550" s="9" t="str">
        <x:v>验证公会名称达到40字仍可保存</x:v>
      </x:c>
      <x:c r="H550" s="9" t="str">
        <x:v>公会名称合法上边界</x:v>
      </x:c>
      <x:c r="I550" s="9" t="str">
        <x:v>1. 执行角色为公会长
2. 已登录目标公会的公会长账号，打开公会资料页并完成下列数据和页面状态准备
3. 当前公会Logo有效，其他资料均有效</x:v>
      </x:c>
      <x:c r="J550" s="9" t="str">
        <x:v>1. 查看公会资料页
2. 填写公会名称为40个A
3. 点击保存
4. 刷新当前公会资料页</x:v>
      </x:c>
      <x:c r="K550" s="9" t="str">
        <x:v>公会名称完整保留40个A</x:v>
      </x:c>
      <x:c r="L550" s="10" t="str"/>
      <x:c r="M550" s="10" t="str">
        <x:v>未测</x:v>
      </x:c>
      <x:c r="N550" s="10" t="str"/>
      <x:c r="O550" s="9" t="str">
        <x:v>1. 来源（当前证据）：liveshow-proto/MainBasis/统一需求文档.md；位置：REQ-827721b095f8；行3224
2. 规则：BR-cc892909259ba5c6
3. 未动态验证</x:v>
      </x:c>
    </x:row>
    <x:row r="551" ht="100" customHeight="1">
      <x:c r="A551" s="10" t="n">
        <x:v>550</x:v>
      </x:c>
      <x:c r="B551" s="10" t="str">
        <x:v>GUILD-04-0035</x:v>
      </x:c>
      <x:c r="C551" s="10" t="str">
        <x:v>公会管理</x:v>
      </x:c>
      <x:c r="D551" s="10" t="str">
        <x:v>公会资料（公会长视角）</x:v>
      </x:c>
      <x:c r="E551" s="10" t="str">
        <x:v>逻辑校验</x:v>
      </x:c>
      <x:c r="F551" s="10" t="str">
        <x:v>P1</x:v>
      </x:c>
      <x:c r="G551" s="9" t="str">
        <x:v>验证公会简介达到200字仍可保存</x:v>
      </x:c>
      <x:c r="H551" s="9" t="str">
        <x:v>公会简介合法上边界</x:v>
      </x:c>
      <x:c r="I551" s="9" t="str">
        <x:v>1. 执行角色为公会长
2. 已登录目标公会的公会长账号，打开公会资料页并完成下列数据和页面状态准备
3. 当前公会Logo有效，其他资料均有效</x:v>
      </x:c>
      <x:c r="J551" s="9" t="str">
        <x:v>1. 查看公会资料页
2. 填写公会简介为200个A
3. 点击保存
4. 刷新当前公会资料页</x:v>
      </x:c>
      <x:c r="K551" s="9" t="str">
        <x:v>公会简介完整保留200个A</x:v>
      </x:c>
      <x:c r="L551" s="10" t="str"/>
      <x:c r="M551" s="10" t="str">
        <x:v>未测</x:v>
      </x:c>
      <x:c r="N551" s="10" t="str"/>
      <x:c r="O551" s="9" t="str">
        <x:v>1. 来源（当前证据）：liveshow-proto/MainBasis/统一需求文档.md；位置：REQ-db923df69f8a；行3226
2. 规则：BR-a5b5467d0b933740
3. 未动态验证</x:v>
      </x:c>
    </x:row>
    <x:row r="552" ht="100" customHeight="1">
      <x:c r="A552" s="10" t="n">
        <x:v>551</x:v>
      </x:c>
      <x:c r="B552" s="10" t="str">
        <x:v>GUILD-01-0061</x:v>
      </x:c>
      <x:c r="C552" s="10" t="str">
        <x:v>登录与首页</x:v>
      </x:c>
      <x:c r="D552" s="10" t="str">
        <x:v>选择公会（公会长视角）</x:v>
      </x:c>
      <x:c r="E552" s="10" t="str">
        <x:v>功能需求</x:v>
      </x:c>
      <x:c r="F552" s="10" t="str">
        <x:v>P2</x:v>
      </x:c>
      <x:c r="G552" s="9" t="str">
        <x:v>验证选择公会区分其他公会入口</x:v>
      </x:c>
      <x:c r="H552" s="9" t="str">
        <x:v>公会选择其他公会入口</x:v>
      </x:c>
      <x:c r="I552" s="9" t="str">
        <x:v>1. 执行角色为公会长
2. 已登录目标公会的公会长账号，打开选择公会页并完成下列数据和页面状态准备
3. 当前账号管理A和B，正在A中</x:v>
      </x:c>
      <x:c r="J552" s="9" t="str">
        <x:v>1. 查看选择公会页</x:v>
      </x:c>
      <x:c r="K552" s="9" t="str">
        <x:v>B显示选择入口</x:v>
      </x:c>
      <x:c r="L552" s="10" t="str"/>
      <x:c r="M552" s="10" t="str">
        <x:v>未测</x:v>
      </x:c>
      <x:c r="N552" s="10" t="str"/>
      <x:c r="O552" s="9" t="str">
        <x:v>1. 来源（当前证据）：liveshow-proto/MainBasis/统一需求文档.md；位置：REQ-225adc4fd6df；行2726
2. 规则：BR-d4f3c02b3935bdd0
3. 未动态验证</x:v>
      </x:c>
    </x:row>
    <x:row r="553" ht="100" customHeight="1">
      <x:c r="A553" s="10" t="n">
        <x:v>552</x:v>
      </x:c>
      <x:c r="B553" s="10" t="str">
        <x:v>GUILD-01-0062</x:v>
      </x:c>
      <x:c r="C553" s="10" t="str">
        <x:v>登录与首页</x:v>
      </x:c>
      <x:c r="D553" s="10" t="str">
        <x:v>选择公会（公会长视角）</x:v>
      </x:c>
      <x:c r="E553" s="10" t="str">
        <x:v>功能需求</x:v>
      </x:c>
      <x:c r="F553" s="10" t="str">
        <x:v>P2</x:v>
      </x:c>
      <x:c r="G553" s="9" t="str">
        <x:v>验证选择公会区分当前与启用状态区分</x:v>
      </x:c>
      <x:c r="H553" s="9" t="str">
        <x:v>公会选择当前与启用状态区分</x:v>
      </x:c>
      <x:c r="I553" s="9" t="str">
        <x:v>1. 执行角色为公会长
2. 已登录目标公会的公会长账号，打开选择公会页并完成下列数据和页面状态准备
3. 公会A仍启用，但当前账号正在管理B</x:v>
      </x:c>
      <x:c r="J553" s="9" t="str">
        <x:v>1. 查看选择公会页</x:v>
      </x:c>
      <x:c r="K553" s="9" t="str">
        <x:v>A不显示当前公会标记</x:v>
      </x:c>
      <x:c r="L553" s="10" t="str"/>
      <x:c r="M553" s="10" t="str">
        <x:v>未测</x:v>
      </x:c>
      <x:c r="N553" s="10" t="str"/>
      <x:c r="O553" s="9" t="str">
        <x:v>1. 来源（当前证据）：liveshow-proto/MainBasis/统一需求文档.md；位置：REQ-225adc4fd6df；行2726
2. 规则：BR-6453b43dedc8d054
3. 未动态验证</x:v>
      </x:c>
    </x:row>
    <x:row r="554" ht="100" customHeight="1">
      <x:c r="A554" s="10" t="n">
        <x:v>553</x:v>
      </x:c>
      <x:c r="B554" s="10" t="str">
        <x:v>GUILD-01-0063</x:v>
      </x:c>
      <x:c r="C554" s="10" t="str">
        <x:v>登录与首页</x:v>
      </x:c>
      <x:c r="D554" s="10" t="str">
        <x:v>公会登录（公会长视角）</x:v>
      </x:c>
      <x:c r="E554" s="10" t="str">
        <x:v>逻辑校验</x:v>
      </x:c>
      <x:c r="F554" s="10" t="str">
        <x:v>P1</x:v>
      </x:c>
      <x:c r="G554" s="9" t="str">
        <x:v>验证错误密码登录后停留公会登录页</x:v>
      </x:c>
      <x:c r="H554" s="9" t="str">
        <x:v>登录失败页面保持</x:v>
      </x:c>
      <x:c r="I554" s="9" t="str">
        <x:v>1. 执行角色为公会长
2. 已登录目标公会的公会长账号，打开公会登录页并完成下列数据和页面状态准备
3. 账号qa-chief启用且正确密码QaChief!2026</x:v>
      </x:c>
      <x:c r="J554" s="9" t="str">
        <x:v>1. 查看公会登录页
2. 填写公会账号为qa-chief
3. 填写密码为Wrong!2026
4. 点击登录</x:v>
      </x:c>
      <x:c r="K554" s="9" t="str">
        <x:v>仍显示公会登录页</x:v>
      </x:c>
      <x:c r="L554" s="10" t="str"/>
      <x:c r="M554" s="10" t="str">
        <x:v>未测</x:v>
      </x:c>
      <x:c r="N554" s="10" t="str"/>
      <x:c r="O554" s="9" t="str">
        <x:v>1. 来源（当前证据）：liveshow-proto/MainBasis/统一需求文档.md；位置：REQ-dda7dbff3ea0；行2715
2. 规则：BR-f21d9564e7de56d3
3. 未动态验证</x:v>
      </x:c>
    </x:row>
    <x:row r="555" ht="115" customHeight="1">
      <x:c r="A555" s="10" t="n">
        <x:v>554</x:v>
      </x:c>
      <x:c r="B555" s="10" t="str">
        <x:v>GUILD-01-0064</x:v>
      </x:c>
      <x:c r="C555" s="10" t="str">
        <x:v>登录与首页</x:v>
      </x:c>
      <x:c r="D555" s="10" t="str">
        <x:v>首页（公会长视角）</x:v>
      </x:c>
      <x:c r="E555" s="10" t="str">
        <x:v>逻辑校验</x:v>
      </x:c>
      <x:c r="F555" s="10" t="str">
        <x:v>P1</x:v>
      </x:c>
      <x:c r="G555" s="9" t="str">
        <x:v>验证首页幸运收益排除返奖0</x:v>
      </x:c>
      <x:c r="H555" s="9" t="str">
        <x:v>首页幸运收益与返奖独立</x:v>
      </x:c>
      <x:c r="I555" s="9" t="str">
        <x:v>1. 执行角色为公会长
2. 已登录目标公会的公会长账号，打开首页页并完成下列数据和页面状态准备
3. 本日仅有真实幸运赠礼1000金币，后台收益比例2%，返奖0金币</x:v>
      </x:c>
      <x:c r="J555" s="9" t="str">
        <x:v>1. 查看首页</x:v>
      </x:c>
      <x:c r="K555" s="9" t="str">
        <x:v>当日收益显示20金币</x:v>
      </x:c>
      <x:c r="L555" s="10" t="str"/>
      <x:c r="M555" s="10" t="str">
        <x:v>未测</x:v>
      </x:c>
      <x:c r="N555" s="10" t="str"/>
      <x:c r="O555" s="9" t="str">
        <x:v>1. 来源（当前证据）：liveshow-proto/MainBasis/统一需求文档.md；位置：REQ-d823c785cbbd；行2747
2. 规则：BR-31031d5322e9fdb7
3. 未动态验证</x:v>
      </x:c>
    </x:row>
    <x:row r="556" ht="115" customHeight="1">
      <x:c r="A556" s="10" t="n">
        <x:v>555</x:v>
      </x:c>
      <x:c r="B556" s="10" t="str">
        <x:v>GUILD-01-0065</x:v>
      </x:c>
      <x:c r="C556" s="10" t="str">
        <x:v>登录与首页</x:v>
      </x:c>
      <x:c r="D556" s="10" t="str">
        <x:v>首页（公会长视角）</x:v>
      </x:c>
      <x:c r="E556" s="10" t="str">
        <x:v>逻辑校验</x:v>
      </x:c>
      <x:c r="F556" s="10" t="str">
        <x:v>P1</x:v>
      </x:c>
      <x:c r="G556" s="9" t="str">
        <x:v>验证首页幸运收益排除返奖1000</x:v>
      </x:c>
      <x:c r="H556" s="9" t="str">
        <x:v>首页幸运收益与返奖独立</x:v>
      </x:c>
      <x:c r="I556" s="9" t="str">
        <x:v>1. 执行角色为公会长
2. 已登录目标公会的公会长账号，打开首页页并完成下列数据和页面状态准备
3. 本日仅有真实幸运赠礼1000金币，后台收益比例2%，返奖1000金币</x:v>
      </x:c>
      <x:c r="J556" s="9" t="str">
        <x:v>1. 查看首页</x:v>
      </x:c>
      <x:c r="K556" s="9" t="str">
        <x:v>当日收益显示20金币</x:v>
      </x:c>
      <x:c r="L556" s="10" t="str"/>
      <x:c r="M556" s="10" t="str">
        <x:v>未测</x:v>
      </x:c>
      <x:c r="N556" s="10" t="str"/>
      <x:c r="O556" s="9" t="str">
        <x:v>1. 来源（当前证据）：liveshow-proto/MainBasis/统一需求文档.md；位置：REQ-d823c785cbbd；行2747
2. 规则：BR-1d1422a9068392e0
3. 未动态验证</x:v>
      </x:c>
    </x:row>
    <x:row r="557" ht="100" customHeight="1">
      <x:c r="A557" s="10" t="n">
        <x:v>556</x:v>
      </x:c>
      <x:c r="B557" s="10" t="str">
        <x:v>GUILD-01-0066</x:v>
      </x:c>
      <x:c r="C557" s="10" t="str">
        <x:v>登录与首页</x:v>
      </x:c>
      <x:c r="D557" s="10" t="str">
        <x:v>通知消息（公会长视角）</x:v>
      </x:c>
      <x:c r="E557" s="10" t="str">
        <x:v>逻辑校验</x:v>
      </x:c>
      <x:c r="F557" s="10" t="str">
        <x:v>P1</x:v>
      </x:c>
      <x:c r="G557" s="9" t="str">
        <x:v>验证公会收到平台关闭主播权限通知</x:v>
      </x:c>
      <x:c r="H557" s="9" t="str">
        <x:v>平台关权公会通知</x:v>
      </x:c>
      <x:c r="I557" s="9" t="str">
        <x:v>1. 执行角色为公会长
2. 已登录目标公会的公会长账号，打开通知消息页并完成下列数据和页面状态准备
3. 环境准备：平台刚关闭本公会甲主播直播权限，通知已生成</x:v>
      </x:c>
      <x:c r="J557" s="9" t="str">
        <x:v>1. 查看通知消息页</x:v>
      </x:c>
      <x:c r="K557" s="9" t="str">
        <x:v>列表出现甲的直播权限关闭通知</x:v>
      </x:c>
      <x:c r="L557" s="10" t="str"/>
      <x:c r="M557" s="10" t="str">
        <x:v>未测</x:v>
      </x:c>
      <x:c r="N557" s="10" t="str"/>
      <x:c r="O557" s="9" t="str">
        <x:v>1. 来源（当前证据）：liveshow-proto/MainBasis/统一需求文档.md；位置：REQ-4d0543771bfa；行2766
2. 规则：BR-520daa4467998adb
3. 未动态验证</x:v>
      </x:c>
    </x:row>
    <x:row r="558" ht="100" customHeight="1">
      <x:c r="A558" s="10" t="n">
        <x:v>557</x:v>
      </x:c>
      <x:c r="B558" s="10" t="str">
        <x:v>GUILD-01-0067</x:v>
      </x:c>
      <x:c r="C558" s="10" t="str">
        <x:v>登录与首页</x:v>
      </x:c>
      <x:c r="D558" s="10" t="str">
        <x:v>通知详情（公会长视角）</x:v>
      </x:c>
      <x:c r="E558" s="10" t="str">
        <x:v>逻辑校验</x:v>
      </x:c>
      <x:c r="F558" s="10" t="str">
        <x:v>P1</x:v>
      </x:c>
      <x:c r="G558" s="9" t="str">
        <x:v>验证无关联记录的通知不提供业务入口</x:v>
      </x:c>
      <x:c r="H558" s="9" t="str">
        <x:v>通知关联对象前提</x:v>
      </x:c>
      <x:c r="I558" s="9" t="str">
        <x:v>1. 执行角色为公会长
2. 已登录目标公会的公会长账号，打开通知详情页并完成下列数据和页面状态准备
3. 通知N只有平台公告正文，不关联业务记录</x:v>
      </x:c>
      <x:c r="J558" s="9" t="str">
        <x:v>1. 查看通知详情页</x:v>
      </x:c>
      <x:c r="K558" s="9" t="str">
        <x:v>不显示关联业务入口</x:v>
      </x:c>
      <x:c r="L558" s="10" t="str"/>
      <x:c r="M558" s="10" t="str">
        <x:v>未测</x:v>
      </x:c>
      <x:c r="N558" s="10" t="str"/>
      <x:c r="O558" s="9" t="str">
        <x:v>1. 来源（当前证据）：liveshow-proto/MainBasis/统一需求文档.md；位置：REQ-90d3a493f427；行2783
2. 规则：BR-c73f6d8d9b6015cf
3. 未动态验证</x:v>
      </x:c>
    </x:row>
    <x:row r="559" ht="115" customHeight="1">
      <x:c r="A559" s="10" t="n">
        <x:v>558</x:v>
      </x:c>
      <x:c r="B559" s="10" t="str">
        <x:v>GUILD-02-0168</x:v>
      </x:c>
      <x:c r="C559" s="10" t="str">
        <x:v>主播管理</x:v>
      </x:c>
      <x:c r="D559" s="10" t="str">
        <x:v>入会申请详情（公会长视角）</x:v>
      </x:c>
      <x:c r="E559" s="10" t="str">
        <x:v>逻辑校验</x:v>
      </x:c>
      <x:c r="F559" s="10" t="str">
        <x:v>P1</x:v>
      </x:c>
      <x:c r="G559" s="9" t="str">
        <x:v>验证公会驳回重申后旧单保持只读</x:v>
      </x:c>
      <x:c r="H559" s="9" t="str">
        <x:v>重新申请的旧单隔离</x:v>
      </x:c>
      <x:c r="I559" s="9" t="str">
        <x:v>1. 执行角色为公会长
2. 已登录目标公会的公会长账号，打开入会申请详情页并完成下列数据和页面状态准备
3. 旧单A已被公会驳回；用户提交新单B待公会审核；当前查看旧单A</x:v>
      </x:c>
      <x:c r="J559" s="9" t="str">
        <x:v>1. 查看入会申请详情页</x:v>
      </x:c>
      <x:c r="K559" s="9" t="str">
        <x:v>旧单A的审核结果只读</x:v>
      </x:c>
      <x:c r="L559" s="10" t="str"/>
      <x:c r="M559" s="10" t="str">
        <x:v>未测</x:v>
      </x:c>
      <x:c r="N559" s="10" t="str"/>
      <x:c r="O559" s="9" t="str">
        <x:v>1. 来源（当前证据）：liveshow-proto/MainBasis/统一需求文档.md；位置：REQ-291af42ec723；行2833
2. 规则：BR-9cdb3c796ed2dc31
3. 未动态验证</x:v>
      </x:c>
    </x:row>
    <x:row r="560" ht="115" customHeight="1">
      <x:c r="A560" s="10" t="n">
        <x:v>559</x:v>
      </x:c>
      <x:c r="B560" s="10" t="str">
        <x:v>GUILD-02-0169</x:v>
      </x:c>
      <x:c r="C560" s="10" t="str">
        <x:v>主播管理</x:v>
      </x:c>
      <x:c r="D560" s="10" t="str">
        <x:v>入会申请详情（公会长视角）</x:v>
      </x:c>
      <x:c r="E560" s="10" t="str">
        <x:v>逻辑校验</x:v>
      </x:c>
      <x:c r="F560" s="10" t="str">
        <x:v>P1</x:v>
      </x:c>
      <x:c r="G560" s="9" t="str">
        <x:v>验证平台驳回重申后旧单保持只读</x:v>
      </x:c>
      <x:c r="H560" s="9" t="str">
        <x:v>重新申请的旧单隔离</x:v>
      </x:c>
      <x:c r="I560" s="9" t="str">
        <x:v>1. 执行角色为公会长
2. 已登录目标公会的公会长账号，打开入会申请详情页并完成下列数据和页面状态准备
3. 旧单A已被平台驳回；用户提交新单B待公会审核；当前查看旧单A</x:v>
      </x:c>
      <x:c r="J560" s="9" t="str">
        <x:v>1. 查看入会申请详情页</x:v>
      </x:c>
      <x:c r="K560" s="9" t="str">
        <x:v>旧单A的审核结果只读</x:v>
      </x:c>
      <x:c r="L560" s="10" t="str"/>
      <x:c r="M560" s="10" t="str">
        <x:v>未测</x:v>
      </x:c>
      <x:c r="N560" s="10" t="str"/>
      <x:c r="O560" s="9" t="str">
        <x:v>1. 来源（当前证据）：liveshow-proto/MainBasis/统一需求文档.md；位置：REQ-291af42ec723；行2833
2. 规则：BR-b333b5578b3faa87
3. 未动态验证</x:v>
      </x:c>
    </x:row>
    <x:row r="561" ht="100" customHeight="1">
      <x:c r="A561" s="10" t="n">
        <x:v>560</x:v>
      </x:c>
      <x:c r="B561" s="10" t="str">
        <x:v>GUILD-02-0170</x:v>
      </x:c>
      <x:c r="C561" s="10" t="str">
        <x:v>主播管理</x:v>
      </x:c>
      <x:c r="D561" s="10" t="str">
        <x:v>退会申请详情（公会长视角）</x:v>
      </x:c>
      <x:c r="E561" s="10" t="str">
        <x:v>逻辑校验</x:v>
      </x:c>
      <x:c r="F561" s="10" t="str">
        <x:v>P1</x:v>
      </x:c>
      <x:c r="G561" s="9" t="str">
        <x:v>验证退会详情展示本次终审结果</x:v>
      </x:c>
      <x:c r="H561" s="9" t="str">
        <x:v>退会处理结果回显</x:v>
      </x:c>
      <x:c r="I561" s="9" t="str">
        <x:v>1. 执行角色为公会长
2. 已登录目标公会的公会长账号，打开退会申请详情页并完成下列数据和页面状态准备
3. 当前申请A已于9月16日通过，旧申请B曾被驳回</x:v>
      </x:c>
      <x:c r="J561" s="9" t="str">
        <x:v>1. 查看退会申请详情页</x:v>
      </x:c>
      <x:c r="K561" s="9" t="str">
        <x:v>本次A处理结果显示已通过</x:v>
      </x:c>
      <x:c r="L561" s="10" t="str"/>
      <x:c r="M561" s="10" t="str">
        <x:v>未测</x:v>
      </x:c>
      <x:c r="N561" s="10" t="str"/>
      <x:c r="O561" s="9" t="str">
        <x:v>1. 来源（当前证据）：liveshow-proto/MainBasis/统一需求文档.md；位置：REQ-d6b381f70c6f；行2871
2. 规则：BR-ee6ce69e30d6b1b0
3. 未动态验证</x:v>
      </x:c>
    </x:row>
    <x:row r="562" ht="115" customHeight="1">
      <x:c r="A562" s="10" t="n">
        <x:v>561</x:v>
      </x:c>
      <x:c r="B562" s="10" t="str">
        <x:v>GUILD-02-0171</x:v>
      </x:c>
      <x:c r="C562" s="10" t="str">
        <x:v>主播管理</x:v>
      </x:c>
      <x:c r="D562" s="10" t="str">
        <x:v>主播数据（公会长视角）</x:v>
      </x:c>
      <x:c r="E562" s="10" t="str">
        <x:v>逻辑校验</x:v>
      </x:c>
      <x:c r="F562" s="10" t="str">
        <x:v>P1</x:v>
      </x:c>
      <x:c r="G562" s="9" t="str">
        <x:v>验证公会通过退会后本公会场次结束</x:v>
      </x:c>
      <x:c r="H562" s="9" t="str">
        <x:v>公会通过退会场次终态</x:v>
      </x:c>
      <x:c r="I562" s="9" t="str">
        <x:v>1. 执行角色为公会长
2. 已登录目标公会的公会长账号，打开退会申请详情页并完成下列数据和页面状态准备
3. 甲当前S1直播；账号与公会均有效，收益已结清；当前操作待确认且未锁定</x:v>
      </x:c>
      <x:c r="J562" s="9" t="str">
        <x:v>1. 查看退会申请详情页
2. 点击通过
3. 点击确认
4. 进入主播数据页
5. 查看甲的在播标记</x:v>
      </x:c>
      <x:c r="K562" s="9" t="str">
        <x:v>甲不再显示直播中标记</x:v>
      </x:c>
      <x:c r="L562" s="10" t="str">
        <x:v>FLOW-289CDBD17D</x:v>
      </x:c>
      <x:c r="M562" s="10" t="str">
        <x:v>未测</x:v>
      </x:c>
      <x:c r="N562" s="10" t="str"/>
      <x:c r="O562" s="9" t="str">
        <x:v>1. 来源（当前证据）：liveshow-proto/MainBasis/统一需求文档.md；位置：REQ-b0f181b59384；行2875、REQ-dd4a60d7c8f3；行2946
2. 规则：BR-725a1e5d5cca3ac0
3. 未动态验证</x:v>
      </x:c>
    </x:row>
    <x:row r="563" ht="115" customHeight="1">
      <x:c r="A563" s="10" t="n">
        <x:v>562</x:v>
      </x:c>
      <x:c r="B563" s="10" t="str">
        <x:v>GUILD-02-0172</x:v>
      </x:c>
      <x:c r="C563" s="10" t="str">
        <x:v>主播管理</x:v>
      </x:c>
      <x:c r="D563" s="10" t="str">
        <x:v>主播数据（公会长视角）</x:v>
      </x:c>
      <x:c r="E563" s="10" t="str">
        <x:v>逻辑校验</x:v>
      </x:c>
      <x:c r="F563" s="10" t="str">
        <x:v>P1</x:v>
      </x:c>
      <x:c r="G563" s="9" t="str">
        <x:v>验证公会移出主播后本公会场次结束</x:v>
      </x:c>
      <x:c r="H563" s="9" t="str">
        <x:v>公会移出主播场次终态</x:v>
      </x:c>
      <x:c r="I563" s="9" t="str">
        <x:v>1. 执行角色为公会长
2. 已登录目标公会的公会长账号，打开主播主页页并完成下列数据和页面状态准备
3. 甲当前S1直播；账号与公会均有效，收益已结清；当前操作待确认且未锁定</x:v>
      </x:c>
      <x:c r="J563" s="9" t="str">
        <x:v>1. 查看主播主页
2. 点击移出公会
3. 点击确认
4. 进入主播数据页
5. 查看甲的在播标记</x:v>
      </x:c>
      <x:c r="K563" s="9" t="str">
        <x:v>甲不再显示直播中标记</x:v>
      </x:c>
      <x:c r="L563" s="10" t="str">
        <x:v>FLOW-EA7D49B97D</x:v>
      </x:c>
      <x:c r="M563" s="10" t="str">
        <x:v>未测</x:v>
      </x:c>
      <x:c r="N563" s="10" t="str"/>
      <x:c r="O563" s="9" t="str">
        <x:v>1. 来源（当前证据）：liveshow-proto/MainBasis/统一需求文档.md；位置：REQ-e479d67b9151；行3013、REQ-dd4a60d7c8f3；行2946
2. 规则：BR-74abcfb4e9ad1d0d
3. 未动态验证</x:v>
      </x:c>
    </x:row>
    <x:row r="564" ht="115" customHeight="1">
      <x:c r="A564" s="10" t="n">
        <x:v>563</x:v>
      </x:c>
      <x:c r="B564" s="10" t="str">
        <x:v>GUILD-02-0173</x:v>
      </x:c>
      <x:c r="C564" s="10" t="str">
        <x:v>主播管理</x:v>
      </x:c>
      <x:c r="D564" s="10" t="str">
        <x:v>主播数据（公会长视角）</x:v>
      </x:c>
      <x:c r="E564" s="10" t="str">
        <x:v>逻辑校验</x:v>
      </x:c>
      <x:c r="F564" s="10" t="str">
        <x:v>P1</x:v>
      </x:c>
      <x:c r="G564" s="9" t="str">
        <x:v>验证公会关闭直播权限后本公会场次结束</x:v>
      </x:c>
      <x:c r="H564" s="9" t="str">
        <x:v>公会关闭直播权限场次终态</x:v>
      </x:c>
      <x:c r="I564" s="9" t="str">
        <x:v>1. 执行角色为公会长
2. 已登录目标公会的公会长账号，打开主播主页页并完成下列数据和页面状态准备
3. 甲当前S1直播；账号与公会均有效，收益已结清；当前操作待确认且未锁定</x:v>
      </x:c>
      <x:c r="J564" s="9" t="str">
        <x:v>1. 查看主播主页
2. 禁用直播权限
3. 点击确认
4. 进入主播数据页
5. 查看甲的在播标记</x:v>
      </x:c>
      <x:c r="K564" s="9" t="str">
        <x:v>甲不再显示直播中标记</x:v>
      </x:c>
      <x:c r="L564" s="10" t="str">
        <x:v>FLOW-B994D746A6</x:v>
      </x:c>
      <x:c r="M564" s="10" t="str">
        <x:v>未测</x:v>
      </x:c>
      <x:c r="N564" s="10" t="str"/>
      <x:c r="O564" s="9" t="str">
        <x:v>1. 来源（当前证据）：liveshow-proto/MainBasis/统一需求文档.md；位置：REQ-d7578655d74c；行3011、REQ-dd4a60d7c8f3；行2946
2. 规则：BR-2088436f5ece7735
3. 未动态验证</x:v>
      </x:c>
    </x:row>
    <x:row r="565" ht="130" customHeight="1">
      <x:c r="A565" s="10" t="n">
        <x:v>564</x:v>
      </x:c>
      <x:c r="B565" s="10" t="str">
        <x:v>GUILD-02-0174</x:v>
      </x:c>
      <x:c r="C565" s="10" t="str">
        <x:v>主播管理</x:v>
      </x:c>
      <x:c r="D565" s="10" t="str">
        <x:v>主播业绩（公会长视角）</x:v>
      </x:c>
      <x:c r="E565" s="10" t="str">
        <x:v>逻辑校验</x:v>
      </x:c>
      <x:c r="F565" s="10" t="str">
        <x:v>P1</x:v>
      </x:c>
      <x:c r="G565" s="9" t="str">
        <x:v>验证移出主播后旧公会收益不继续增加</x:v>
      </x:c>
      <x:c r="H565" s="9" t="str">
        <x:v>移出时点收益归属</x:v>
      </x:c>
      <x:c r="I565" s="9" t="str">
        <x:v>1. 执行角色为公会长
2. 已登录目标公会的公会长账号，打开主播主页页并完成下列数据和页面状态准备
3. 甲9月15日移出前给G001贡献100金币收益，移出后在G002另产生50金币；当前公会G001</x:v>
      </x:c>
      <x:c r="J565" s="9" t="str">
        <x:v>1. 进入主播业绩页
2. 选择日期范围为9月15日
3. 查看甲的收益</x:v>
      </x:c>
      <x:c r="K565" s="9" t="str">
        <x:v>甲在G001本日收益显示100金币</x:v>
      </x:c>
      <x:c r="L565" s="10" t="str"/>
      <x:c r="M565" s="10" t="str">
        <x:v>未测</x:v>
      </x:c>
      <x:c r="N565" s="10" t="str"/>
      <x:c r="O565" s="9" t="str">
        <x:v>1. 来源（当前证据）：liveshow-proto/MainBasis/统一需求文档.md；位置：REQ-3adcb5adabe3；行2987、REQ-5891c9734594；行2913、REQ-7b9651bd111c；行2917、REQ-0d705a92bb23；行2921、REQ-a6b491d7b1aa；行2923
2. 规则：BR-24b2cad66b4d9ccd
3. 未动态验证</x:v>
      </x:c>
    </x:row>
    <x:row r="566" ht="100" customHeight="1">
      <x:c r="A566" s="10" t="n">
        <x:v>565</x:v>
      </x:c>
      <x:c r="B566" s="10" t="str">
        <x:v>GUILD-02-0175</x:v>
      </x:c>
      <x:c r="C566" s="10" t="str">
        <x:v>主播管理</x:v>
      </x:c>
      <x:c r="D566" s="10" t="str">
        <x:v>主播列表（公会长视角）</x:v>
      </x:c>
      <x:c r="E566" s="10" t="str">
        <x:v>逻辑校验</x:v>
      </x:c>
      <x:c r="F566" s="10" t="str">
        <x:v>P1</x:v>
      </x:c>
      <x:c r="G566" s="9" t="str">
        <x:v>验证已退会状态和主播ID搜索取交集</x:v>
      </x:c>
      <x:c r="H566" s="9" t="str">
        <x:v>成员状态与ID联合筛选</x:v>
      </x:c>
      <x:c r="I566" s="9" t="str">
        <x:v>1. 执行角色为公会长
2. 已登录目标公会的公会长账号，打开主播列表页并完成下列数据和页面状态准备
3. 已退会甲ID1001、在会乙ID1002；当前选择已退会</x:v>
      </x:c>
      <x:c r="J566" s="9" t="str">
        <x:v>1. 查看主播列表页
2. 填写搜索框为100</x:v>
      </x:c>
      <x:c r="K566" s="9" t="str">
        <x:v>结果只包含甲</x:v>
      </x:c>
      <x:c r="L566" s="10" t="str"/>
      <x:c r="M566" s="10" t="str">
        <x:v>未测</x:v>
      </x:c>
      <x:c r="N566" s="10" t="str"/>
      <x:c r="O566" s="9" t="str">
        <x:v>1. 来源（当前证据）：liveshow-proto/MainBasis/统一需求文档.md；位置：REQ-946b654076e0；行2888
2. 规则：BR-35fbe10559793bf0
3. 未动态验证</x:v>
      </x:c>
    </x:row>
    <x:row r="567" ht="100" customHeight="1">
      <x:c r="A567" s="10" t="n">
        <x:v>566</x:v>
      </x:c>
      <x:c r="B567" s="10" t="str">
        <x:v>GUILD-02-0176</x:v>
      </x:c>
      <x:c r="C567" s="10" t="str">
        <x:v>主播管理</x:v>
      </x:c>
      <x:c r="D567" s="10" t="str">
        <x:v>主播业绩（公会长视角）</x:v>
      </x:c>
      <x:c r="E567" s="10" t="str">
        <x:v>逻辑校验</x:v>
      </x:c>
      <x:c r="F567" s="10" t="str">
        <x:v>P1</x:v>
      </x:c>
      <x:c r="G567" s="9" t="str">
        <x:v>验证切换日期更新主播业绩列表</x:v>
      </x:c>
      <x:c r="H567" s="9" t="str">
        <x:v>业绩日期变更列表内容</x:v>
      </x:c>
      <x:c r="I567" s="9" t="str">
        <x:v>1. 执行角色为公会长
2. 已登录目标公会的公会长账号，打开主播业绩页并完成下列数据和页面状态准备
3. 9月14日仅甲有业绩、15日仅乙有业绩；当前选择14日</x:v>
      </x:c>
      <x:c r="J567" s="9" t="str">
        <x:v>1. 查看主播业绩页
2. 选择日期范围为9月15日</x:v>
      </x:c>
      <x:c r="K567" s="9" t="str">
        <x:v>列表按15日业绩显示乙</x:v>
      </x:c>
      <x:c r="L567" s="10" t="str"/>
      <x:c r="M567" s="10" t="str">
        <x:v>未测</x:v>
      </x:c>
      <x:c r="N567" s="10" t="str"/>
      <x:c r="O567" s="9" t="str">
        <x:v>1. 来源（当前证据）：liveshow-proto/MainBasis/统一需求文档.md；位置：REQ-8c9d20b12f67；行2933
2. 规则：BR-6ecf032cb7b9f881
3. 未动态验证</x:v>
      </x:c>
    </x:row>
    <x:row r="568" ht="100" customHeight="1">
      <x:c r="A568" s="10" t="n">
        <x:v>567</x:v>
      </x:c>
      <x:c r="B568" s="10" t="str">
        <x:v>GUILD-02-0177</x:v>
      </x:c>
      <x:c r="C568" s="10" t="str">
        <x:v>主播管理</x:v>
      </x:c>
      <x:c r="D568" s="10" t="str">
        <x:v>主播主页（公会长视角）</x:v>
      </x:c>
      <x:c r="E568" s="10" t="str">
        <x:v>功能需求</x:v>
      </x:c>
      <x:c r="F568" s="10" t="str">
        <x:v>P2</x:v>
      </x:c>
      <x:c r="G568" s="9" t="str">
        <x:v>验证主播历史申请显示各自提交时点</x:v>
      </x:c>
      <x:c r="H568" s="9" t="str">
        <x:v>申请历史提交时间</x:v>
      </x:c>
      <x:c r="I568" s="9" t="str">
        <x:v>1. 执行角色为公会长
2. 已登录目标公会的公会长账号，打开主播主页页并完成下列数据和页面状态准备
3. 入会单A9月14日10:00提交、9月15日处理</x:v>
      </x:c>
      <x:c r="J568" s="9" t="str">
        <x:v>1. 查看主播主页</x:v>
      </x:c>
      <x:c r="K568" s="9" t="str">
        <x:v>A申请时间对应9月14日10:00</x:v>
      </x:c>
      <x:c r="L568" s="10" t="str"/>
      <x:c r="M568" s="10" t="str">
        <x:v>未测</x:v>
      </x:c>
      <x:c r="N568" s="10" t="str"/>
      <x:c r="O568" s="9" t="str">
        <x:v>1. 来源（当前证据）：liveshow-proto/MainBasis/统一需求文档.md；位置：REQ-1a81bbf86bd2；行2991
2. 规则：BR-6e9dbc031d25ec97
3. 未动态验证</x:v>
      </x:c>
    </x:row>
    <x:row r="569" ht="100" customHeight="1">
      <x:c r="A569" s="10" t="n">
        <x:v>568</x:v>
      </x:c>
      <x:c r="B569" s="10" t="str">
        <x:v>GUILD-02-0178</x:v>
      </x:c>
      <x:c r="C569" s="10" t="str">
        <x:v>主播管理</x:v>
      </x:c>
      <x:c r="D569" s="10" t="str">
        <x:v>主播主页（公会长视角）</x:v>
      </x:c>
      <x:c r="E569" s="10" t="str">
        <x:v>功能需求</x:v>
      </x:c>
      <x:c r="F569" s="10" t="str">
        <x:v>P2</x:v>
      </x:c>
      <x:c r="G569" s="9" t="str">
        <x:v>验证主播资料点击本人照片放大</x:v>
      </x:c>
      <x:c r="H569" s="9" t="str">
        <x:v>主播认证本人照片大图</x:v>
      </x:c>
      <x:c r="I569" s="9" t="str">
        <x:v>1. 执行角色为公会长
2. 已登录目标公会的公会长账号，打开主播主页页并完成下列数据和页面状态准备
3. 甲认证资料中本人照片为图片A</x:v>
      </x:c>
      <x:c r="J569" s="9" t="str">
        <x:v>1. 查看主播主页
2. 点击本人照片</x:v>
      </x:c>
      <x:c r="K569" s="9" t="str">
        <x:v>打开图片A的大图</x:v>
      </x:c>
      <x:c r="L569" s="10" t="str"/>
      <x:c r="M569" s="10" t="str">
        <x:v>未测</x:v>
      </x:c>
      <x:c r="N569" s="10" t="str"/>
      <x:c r="O569" s="9" t="str">
        <x:v>1. 来源（当前证据）：liveshow-proto/MainBasis/统一需求文档.md；位置：REQ-49bae997141c；行3015
2. 规则：BR-cd5ee31d255a1717
3. 未动态验证</x:v>
      </x:c>
    </x:row>
    <x:row r="570" ht="100" customHeight="1">
      <x:c r="A570" s="10" t="n">
        <x:v>569</x:v>
      </x:c>
      <x:c r="B570" s="10" t="str">
        <x:v>GUILD-02-0179</x:v>
      </x:c>
      <x:c r="C570" s="10" t="str">
        <x:v>主播管理</x:v>
      </x:c>
      <x:c r="D570" s="10" t="str">
        <x:v>主播主页（公会长视角）</x:v>
      </x:c>
      <x:c r="E570" s="10" t="str">
        <x:v>功能需求</x:v>
      </x:c>
      <x:c r="F570" s="10" t="str">
        <x:v>P2</x:v>
      </x:c>
      <x:c r="G570" s="9" t="str">
        <x:v>验证主播资料点击证件正面放大</x:v>
      </x:c>
      <x:c r="H570" s="9" t="str">
        <x:v>主播认证证件正面大图</x:v>
      </x:c>
      <x:c r="I570" s="9" t="str">
        <x:v>1. 执行角色为公会长
2. 已登录目标公会的公会长账号，打开主播主页页并完成下列数据和页面状态准备
3. 甲认证资料中证件正面为图片A</x:v>
      </x:c>
      <x:c r="J570" s="9" t="str">
        <x:v>1. 查看主播主页
2. 点击证件正面</x:v>
      </x:c>
      <x:c r="K570" s="9" t="str">
        <x:v>打开图片A的大图</x:v>
      </x:c>
      <x:c r="L570" s="10" t="str"/>
      <x:c r="M570" s="10" t="str">
        <x:v>未测</x:v>
      </x:c>
      <x:c r="N570" s="10" t="str"/>
      <x:c r="O570" s="9" t="str">
        <x:v>1. 来源（当前证据）：liveshow-proto/MainBasis/统一需求文档.md；位置：REQ-49bae997141c；行3015
2. 规则：BR-dce4a7ac0b7ebd94
3. 未动态验证</x:v>
      </x:c>
    </x:row>
    <x:row r="571" ht="100" customHeight="1">
      <x:c r="A571" s="10" t="n">
        <x:v>570</x:v>
      </x:c>
      <x:c r="B571" s="10" t="str">
        <x:v>GUILD-02-0180</x:v>
      </x:c>
      <x:c r="C571" s="10" t="str">
        <x:v>主播管理</x:v>
      </x:c>
      <x:c r="D571" s="10" t="str">
        <x:v>主播主页（公会长视角）</x:v>
      </x:c>
      <x:c r="E571" s="10" t="str">
        <x:v>功能需求</x:v>
      </x:c>
      <x:c r="F571" s="10" t="str">
        <x:v>P2</x:v>
      </x:c>
      <x:c r="G571" s="9" t="str">
        <x:v>验证主播资料点击证件反面放大</x:v>
      </x:c>
      <x:c r="H571" s="9" t="str">
        <x:v>主播认证证件反面大图</x:v>
      </x:c>
      <x:c r="I571" s="9" t="str">
        <x:v>1. 执行角色为公会长
2. 已登录目标公会的公会长账号，打开主播主页页并完成下列数据和页面状态准备
3. 甲认证资料中证件反面为图片A</x:v>
      </x:c>
      <x:c r="J571" s="9" t="str">
        <x:v>1. 查看主播主页
2. 点击证件反面</x:v>
      </x:c>
      <x:c r="K571" s="9" t="str">
        <x:v>打开图片A的大图</x:v>
      </x:c>
      <x:c r="L571" s="10" t="str"/>
      <x:c r="M571" s="10" t="str">
        <x:v>未测</x:v>
      </x:c>
      <x:c r="N571" s="10" t="str"/>
      <x:c r="O571" s="9" t="str">
        <x:v>1. 来源（当前证据）：liveshow-proto/MainBasis/统一需求文档.md；位置：REQ-49bae997141c；行3015
2. 规则：BR-c29bc8fc4216c114
3. 未动态验证</x:v>
      </x:c>
    </x:row>
    <x:row r="572" ht="100" customHeight="1">
      <x:c r="A572" s="10" t="n">
        <x:v>571</x:v>
      </x:c>
      <x:c r="B572" s="10" t="str">
        <x:v>GUILD-02-0181</x:v>
      </x:c>
      <x:c r="C572" s="10" t="str">
        <x:v>主播管理</x:v>
      </x:c>
      <x:c r="D572" s="10" t="str">
        <x:v>主播主页（公会长视角）</x:v>
      </x:c>
      <x:c r="E572" s="10" t="str">
        <x:v>逻辑校验</x:v>
      </x:c>
      <x:c r="F572" s="10" t="str">
        <x:v>P1</x:v>
      </x:c>
      <x:c r="G572" s="9" t="str">
        <x:v>验证移出主播前显示确认弹窗</x:v>
      </x:c>
      <x:c r="H572" s="9" t="str">
        <x:v>移出主播二次确认</x:v>
      </x:c>
      <x:c r="I572" s="9" t="str">
        <x:v>1. 执行角色为公会长
2. 已登录目标公会的公会长账号，打开主播主页页并完成下列数据和页面状态准备
3. 甲仍在会且收益已结清；公会有管理权限</x:v>
      </x:c>
      <x:c r="J572" s="9" t="str">
        <x:v>1. 查看主播主页
2. 点击移出公会</x:v>
      </x:c>
      <x:c r="K572" s="9" t="str">
        <x:v>显示移出公会确认弹窗</x:v>
      </x:c>
      <x:c r="L572" s="10" t="str"/>
      <x:c r="M572" s="10" t="str">
        <x:v>未测</x:v>
      </x:c>
      <x:c r="N572" s="10" t="str"/>
      <x:c r="O572" s="9" t="str">
        <x:v>1. 来源（当前证据）：liveshow-proto/MainBasis/统一需求文档.md；位置：REQ-49bae997141c；行3015
2. 规则：BR-b91fd2b065330aaa
3. 未动态验证</x:v>
      </x:c>
    </x:row>
    <x:row r="573" ht="100" customHeight="1">
      <x:c r="A573" s="10" t="n">
        <x:v>572</x:v>
      </x:c>
      <x:c r="B573" s="10" t="str">
        <x:v>GUILD-03-0142</x:v>
      </x:c>
      <x:c r="C573" s="10" t="str">
        <x:v>运营工具</x:v>
      </x:c>
      <x:c r="D573" s="10" t="str">
        <x:v>运营消息（公会长视角）</x:v>
      </x:c>
      <x:c r="E573" s="10" t="str">
        <x:v>功能需求</x:v>
      </x:c>
      <x:c r="F573" s="10" t="str">
        <x:v>P2</x:v>
      </x:c>
      <x:c r="G573" s="9" t="str">
        <x:v>验证公会群发列表显示全体主播范围</x:v>
      </x:c>
      <x:c r="H573" s="9" t="str">
        <x:v>运营消息全体接收范围</x:v>
      </x:c>
      <x:c r="I573" s="9" t="str">
        <x:v>1. 执行角色为公会长
2. 已登录目标公会的公会长账号，打开运营消息页并完成下列数据和页面状态准备
3. 消息N发送时选择全体主播，实际3名接收人</x:v>
      </x:c>
      <x:c r="J573" s="9" t="str">
        <x:v>1. 查看运营消息页</x:v>
      </x:c>
      <x:c r="K573" s="9" t="str">
        <x:v>N发送对象显示全体主播</x:v>
      </x:c>
      <x:c r="L573" s="10" t="str"/>
      <x:c r="M573" s="10" t="str">
        <x:v>未测</x:v>
      </x:c>
      <x:c r="N573" s="10" t="str"/>
      <x:c r="O573" s="9" t="str">
        <x:v>1. 来源（当前证据）：liveshow-proto/MainBasis/统一需求文档.md；位置：REQ-c8958e03713f；行3028
2. 规则：BR-298f492d0c0fb9e7
3. 未动态验证</x:v>
      </x:c>
    </x:row>
    <x:row r="574" ht="100" customHeight="1">
      <x:c r="A574" s="10" t="n">
        <x:v>573</x:v>
      </x:c>
      <x:c r="B574" s="10" t="str">
        <x:v>GUILD-03-0143</x:v>
      </x:c>
      <x:c r="C574" s="10" t="str">
        <x:v>运营工具</x:v>
      </x:c>
      <x:c r="D574" s="10" t="str">
        <x:v>新建运营消息（公会长视角）</x:v>
      </x:c>
      <x:c r="E574" s="10" t="str">
        <x:v>逻辑校验</x:v>
      </x:c>
      <x:c r="F574" s="10" t="str">
        <x:v>P1</x:v>
      </x:c>
      <x:c r="G574" s="9" t="str">
        <x:v>验证单选主播完成后回填消息对象</x:v>
      </x:c>
      <x:c r="H574" s="9" t="str">
        <x:v>运营消息单选回填</x:v>
      </x:c>
      <x:c r="I574" s="9" t="str">
        <x:v>1. 执行角色为公会长
2. 已登录目标公会的公会长账号，打开选择主播页并完成下列数据和页面状态准备
3. 由指定主播消息页进入，甲H001和乙H002可选</x:v>
      </x:c>
      <x:c r="J574" s="9" t="str">
        <x:v>1. 查看选择主播页
2. 选择主播甲
3. 点击完成</x:v>
      </x:c>
      <x:c r="K574" s="9" t="str">
        <x:v>消息接收对象显示甲H001</x:v>
      </x:c>
      <x:c r="L574" s="10" t="str"/>
      <x:c r="M574" s="10" t="str">
        <x:v>未测</x:v>
      </x:c>
      <x:c r="N574" s="10" t="str"/>
      <x:c r="O574" s="9" t="str">
        <x:v>1. 来源（当前证据）：liveshow-proto/MainBasis/统一需求文档.md；位置：REQ-3711cde5fe62；行3064、REQ-290b9184d089；行3043
2. 规则：BR-a98e443f1ce5bc90
3. 未动态验证</x:v>
      </x:c>
    </x:row>
    <x:row r="575" ht="100" customHeight="1">
      <x:c r="A575" s="10" t="n">
        <x:v>574</x:v>
      </x:c>
      <x:c r="B575" s="10" t="str">
        <x:v>GUILD-03-0144</x:v>
      </x:c>
      <x:c r="C575" s="10" t="str">
        <x:v>运营工具</x:v>
      </x:c>
      <x:c r="D575" s="10" t="str">
        <x:v>消息详情（公会长视角）</x:v>
      </x:c>
      <x:c r="E575" s="10" t="str">
        <x:v>逻辑校验</x:v>
      </x:c>
      <x:c r="F575" s="10" t="str">
        <x:v>P1</x:v>
      </x:c>
      <x:c r="G575" s="9" t="str">
        <x:v>验证确认发送后消息正文形成快照</x:v>
      </x:c>
      <x:c r="H575" s="9" t="str">
        <x:v>发送确认时正文保存</x:v>
      </x:c>
      <x:c r="I575" s="9" t="str">
        <x:v>1. 执行角色为公会长
2. 已登录目标公会的公会长账号，打开新建运营消息页并完成下列数据和页面状态准备
3. 指定接收人甲，输入正文QA通知，尚未发送</x:v>
      </x:c>
      <x:c r="J575" s="9" t="str">
        <x:v>1. 查看新建运营消息页
2. 点击发送
3. 点击确认
4. 进入消息详情页</x:v>
      </x:c>
      <x:c r="K575" s="9" t="str">
        <x:v>本次消息详情正文显示QA通知</x:v>
      </x:c>
      <x:c r="L575" s="10" t="str"/>
      <x:c r="M575" s="10" t="str">
        <x:v>未测</x:v>
      </x:c>
      <x:c r="N575" s="10" t="str"/>
      <x:c r="O575" s="9" t="str">
        <x:v>1. 来源（当前证据）：liveshow-proto/MainBasis/统一需求文档.md；位置：REQ-8eb222b06950；行3049、REQ-a4835c8a89b4；行3079
2. 规则：BR-26eff3908a9a6f10
3. 未动态验证</x:v>
      </x:c>
    </x:row>
    <x:row r="576" ht="100" customHeight="1">
      <x:c r="A576" s="10" t="n">
        <x:v>575</x:v>
      </x:c>
      <x:c r="B576" s="10" t="str">
        <x:v>GUILD-03-0145</x:v>
      </x:c>
      <x:c r="C576" s="10" t="str">
        <x:v>运营工具</x:v>
      </x:c>
      <x:c r="D576" s="10" t="str">
        <x:v>消息详情（公会长视角）</x:v>
      </x:c>
      <x:c r="E576" s="10" t="str">
        <x:v>逻辑校验</x:v>
      </x:c>
      <x:c r="F576" s="10" t="str">
        <x:v>P1</x:v>
      </x:c>
      <x:c r="G576" s="9" t="str">
        <x:v>验证指定消息详情只含实际接收人</x:v>
      </x:c>
      <x:c r="H576" s="9" t="str">
        <x:v>单发消息接收快照</x:v>
      </x:c>
      <x:c r="I576" s="9" t="str">
        <x:v>1. 执行角色为公会长
2. 已登录目标公会的公会长账号，打开消息详情页并完成下列数据和页面状态准备
3. N发送时仅选择甲，公会另有乙丙</x:v>
      </x:c>
      <x:c r="J576" s="9" t="str">
        <x:v>1. 查看消息详情页</x:v>
      </x:c>
      <x:c r="K576" s="9" t="str">
        <x:v>N实际接收人数显示1</x:v>
      </x:c>
      <x:c r="L576" s="10" t="str"/>
      <x:c r="M576" s="10" t="str">
        <x:v>未测</x:v>
      </x:c>
      <x:c r="N576" s="10" t="str"/>
      <x:c r="O576" s="9" t="str">
        <x:v>1. 来源（当前证据）：liveshow-proto/MainBasis/统一需求文档.md；位置：REQ-bea99a86a3b3；行3071
2. 规则：BR-8b848ecc7072e8a0
3. 未动态验证</x:v>
      </x:c>
    </x:row>
    <x:row r="577" ht="100" customHeight="1">
      <x:c r="A577" s="10" t="n">
        <x:v>576</x:v>
      </x:c>
      <x:c r="B577" s="10" t="str">
        <x:v>GUILD-03-0146</x:v>
      </x:c>
      <x:c r="C577" s="10" t="str">
        <x:v>运营工具</x:v>
      </x:c>
      <x:c r="D577" s="10" t="str">
        <x:v>运营账号主页（公会长视角）</x:v>
      </x:c>
      <x:c r="E577" s="10" t="str">
        <x:v>逻辑校验</x:v>
      </x:c>
      <x:c r="F577" s="10" t="str">
        <x:v>P1</x:v>
      </x:c>
      <x:c r="G577" s="9" t="str">
        <x:v>验证公会禁用账号后状态变更</x:v>
      </x:c>
      <x:c r="H577" s="9" t="str">
        <x:v>运营禁用状态回显</x:v>
      </x:c>
      <x:c r="I577" s="9" t="str">
        <x:v>1. 执行角色为公会长
2. 已登录目标公会的公会长账号，打开运营账号主页页并完成下列数据和页面状态准备
3. O001启用且平台未锁定公会管理权限</x:v>
      </x:c>
      <x:c r="J577" s="9" t="str">
        <x:v>1. 查看运营账号主页
2. 禁用账号状态开关</x:v>
      </x:c>
      <x:c r="K577" s="9" t="str">
        <x:v>账号状态显示禁用</x:v>
      </x:c>
      <x:c r="L577" s="10" t="str">
        <x:v>FLOW-9DD46CA244</x:v>
      </x:c>
      <x:c r="M577" s="10" t="str">
        <x:v>未测</x:v>
      </x:c>
      <x:c r="N577" s="10" t="str"/>
      <x:c r="O577" s="9" t="str">
        <x:v>1. 来源（当前证据）：liveshow-proto/MainBasis/统一需求文档.md；位置：REQ-d4d0020a6fb9；行3151
2. 规则：BR-46a51e41b0dc2694
3. 未动态验证</x:v>
      </x:c>
    </x:row>
    <x:row r="578" ht="100" customHeight="1">
      <x:c r="A578" s="10" t="n">
        <x:v>577</x:v>
      </x:c>
      <x:c r="B578" s="10" t="str">
        <x:v>GUILD-03-0147</x:v>
      </x:c>
      <x:c r="C578" s="10" t="str">
        <x:v>运营工具</x:v>
      </x:c>
      <x:c r="D578" s="10" t="str">
        <x:v>送礼记录（公会长视角）</x:v>
      </x:c>
      <x:c r="E578" s="10" t="str">
        <x:v>逻辑校验</x:v>
      </x:c>
      <x:c r="F578" s="10" t="str">
        <x:v>P1</x:v>
      </x:c>
      <x:c r="G578" s="9" t="str">
        <x:v>验证禁用运营账号后保留消费记录</x:v>
      </x:c>
      <x:c r="H578" s="9" t="str">
        <x:v>运营停用历史保留</x:v>
      </x:c>
      <x:c r="I578" s="9" t="str">
        <x:v>1. 执行角色为公会长
2. 已登录目标公会的公会长账号，打开运营账号主页页并完成下列数据和页面状态准备
3. O001原有9月15日100金币成功赠礼记录R1，刚被禁用</x:v>
      </x:c>
      <x:c r="J578" s="9" t="str">
        <x:v>1. 查看运营账号主页
2. 选择日期范围为9月15日
3. 点击9月15日消费</x:v>
      </x:c>
      <x:c r="K578" s="9" t="str">
        <x:v>送礼记录仍包含R1</x:v>
      </x:c>
      <x:c r="L578" s="10" t="str"/>
      <x:c r="M578" s="10" t="str">
        <x:v>未测</x:v>
      </x:c>
      <x:c r="N578" s="10" t="str"/>
      <x:c r="O578" s="9" t="str">
        <x:v>1. 来源（当前证据）：liveshow-proto/MainBasis/统一需求文档.md；位置：REQ-6c9432dc3f2d；行3165、REQ-bcb12c6e3d70；行3176
2. 规则：BR-651ae8a25ed849b2
3. 未动态验证</x:v>
      </x:c>
    </x:row>
    <x:row r="579" ht="115" customHeight="1">
      <x:c r="A579" s="10" t="n">
        <x:v>578</x:v>
      </x:c>
      <x:c r="B579" s="10" t="str">
        <x:v>GUILD-03-0148</x:v>
      </x:c>
      <x:c r="C579" s="10" t="str">
        <x:v>运营工具</x:v>
      </x:c>
      <x:c r="D579" s="10" t="str">
        <x:v>运营账号主页（公会长视角）</x:v>
      </x:c>
      <x:c r="E579" s="10" t="str">
        <x:v>逻辑校验</x:v>
      </x:c>
      <x:c r="F579" s="10" t="str">
        <x:v>P1</x:v>
      </x:c>
      <x:c r="G579" s="9" t="str">
        <x:v>验证账号剩余50公会剩余100发放51</x:v>
      </x:c>
      <x:c r="H579" s="9" t="str">
        <x:v>本次发放双额度边界</x:v>
      </x:c>
      <x:c r="I579" s="9" t="str">
        <x:v>1. 执行角色为公会长
2. 已登录目标公会的公会长账号，打开运营账号主页页并完成下列数据和页面状态准备
3. 账号剩余50、公会剩余100金币，账号原余额100且管理权限有效</x:v>
      </x:c>
      <x:c r="J579" s="9" t="str">
        <x:v>1. 查看运营账号主页
2. 填写发放数量为51
3. 点击发放金币</x:v>
      </x:c>
      <x:c r="K579" s="9" t="str">
        <x:v>不能完成超额发放</x:v>
      </x:c>
      <x:c r="L579" s="10" t="str"/>
      <x:c r="M579" s="10" t="str">
        <x:v>未测</x:v>
      </x:c>
      <x:c r="N579" s="10" t="str"/>
      <x:c r="O579" s="9" t="str">
        <x:v>1. 来源（当前证据）：liveshow-proto/MainBasis/统一需求文档.md；位置：REQ-679e814edf80；行3153
2. 规则：BR-a99358802e69bd25
3. 未动态验证</x:v>
      </x:c>
    </x:row>
    <x:row r="580" ht="115" customHeight="1">
      <x:c r="A580" s="10" t="n">
        <x:v>579</x:v>
      </x:c>
      <x:c r="B580" s="10" t="str">
        <x:v>GUILD-03-0149</x:v>
      </x:c>
      <x:c r="C580" s="10" t="str">
        <x:v>运营工具</x:v>
      </x:c>
      <x:c r="D580" s="10" t="str">
        <x:v>运营账号主页（公会长视角）</x:v>
      </x:c>
      <x:c r="E580" s="10" t="str">
        <x:v>逻辑校验</x:v>
      </x:c>
      <x:c r="F580" s="10" t="str">
        <x:v>P1</x:v>
      </x:c>
      <x:c r="G580" s="9" t="str">
        <x:v>验证账号剩余100公会剩余50发放51</x:v>
      </x:c>
      <x:c r="H580" s="9" t="str">
        <x:v>本次发放双额度边界</x:v>
      </x:c>
      <x:c r="I580" s="9" t="str">
        <x:v>1. 执行角色为公会长
2. 已登录目标公会的公会长账号，打开运营账号主页页并完成下列数据和页面状态准备
3. 账号剩余100、公会剩余50金币，账号原余额100且管理权限有效</x:v>
      </x:c>
      <x:c r="J580" s="9" t="str">
        <x:v>1. 查看运营账号主页
2. 填写发放数量为51
3. 点击发放金币</x:v>
      </x:c>
      <x:c r="K580" s="9" t="str">
        <x:v>不能完成超额发放</x:v>
      </x:c>
      <x:c r="L580" s="10" t="str"/>
      <x:c r="M580" s="10" t="str">
        <x:v>未测</x:v>
      </x:c>
      <x:c r="N580" s="10" t="str"/>
      <x:c r="O580" s="9" t="str">
        <x:v>1. 来源（当前证据）：liveshow-proto/MainBasis/统一需求文档.md；位置：REQ-679e814edf80；行3153
2. 规则：BR-edf82f52c8d7b4be
3. 未动态验证</x:v>
      </x:c>
    </x:row>
    <x:row r="581" ht="115" customHeight="1">
      <x:c r="A581" s="10" t="n">
        <x:v>580</x:v>
      </x:c>
      <x:c r="B581" s="10" t="str">
        <x:v>GUILD-03-0150</x:v>
      </x:c>
      <x:c r="C581" s="10" t="str">
        <x:v>运营工具</x:v>
      </x:c>
      <x:c r="D581" s="10" t="str">
        <x:v>运营账号主页（公会长视角）</x:v>
      </x:c>
      <x:c r="E581" s="10" t="str">
        <x:v>逻辑校验</x:v>
      </x:c>
      <x:c r="F581" s="10" t="str">
        <x:v>P1</x:v>
      </x:c>
      <x:c r="G581" s="9" t="str">
        <x:v>验证账号剩余50公会剩余100发放50</x:v>
      </x:c>
      <x:c r="H581" s="9" t="str">
        <x:v>本次发放双额度边界</x:v>
      </x:c>
      <x:c r="I581" s="9" t="str">
        <x:v>1. 执行角色为公会长
2. 已登录目标公会的公会长账号，打开运营账号主页页并完成下列数据和页面状态准备
3. 账号剩余50、公会剩余100金币，账号原余额100且管理权限有效</x:v>
      </x:c>
      <x:c r="J581" s="9" t="str">
        <x:v>1. 查看运营账号主页
2. 填写发放数量为50
3. 点击发放金币</x:v>
      </x:c>
      <x:c r="K581" s="9" t="str">
        <x:v>账户余额显示150金币</x:v>
      </x:c>
      <x:c r="L581" s="10" t="str"/>
      <x:c r="M581" s="10" t="str">
        <x:v>未测</x:v>
      </x:c>
      <x:c r="N581" s="10" t="str"/>
      <x:c r="O581" s="9" t="str">
        <x:v>1. 来源（当前证据）：liveshow-proto/MainBasis/统一需求文档.md；位置：REQ-679e814edf80；行3153
2. 规则：BR-410952a0039fe51d
3. 未动态验证</x:v>
      </x:c>
    </x:row>
    <x:row r="582" ht="115" customHeight="1">
      <x:c r="A582" s="10" t="n">
        <x:v>581</x:v>
      </x:c>
      <x:c r="B582" s="10" t="str">
        <x:v>GUILD-03-0151</x:v>
      </x:c>
      <x:c r="C582" s="10" t="str">
        <x:v>运营工具</x:v>
      </x:c>
      <x:c r="D582" s="10" t="str">
        <x:v>运营账号主页（公会长视角）</x:v>
      </x:c>
      <x:c r="E582" s="10" t="str">
        <x:v>逻辑校验</x:v>
      </x:c>
      <x:c r="F582" s="10" t="str">
        <x:v>P1</x:v>
      </x:c>
      <x:c r="G582" s="9" t="str">
        <x:v>验证账号剩余100公会剩余50发放50</x:v>
      </x:c>
      <x:c r="H582" s="9" t="str">
        <x:v>本次发放双额度边界</x:v>
      </x:c>
      <x:c r="I582" s="9" t="str">
        <x:v>1. 执行角色为公会长
2. 已登录目标公会的公会长账号，打开运营账号主页页并完成下列数据和页面状态准备
3. 账号剩余100、公会剩余50金币，账号原余额100且管理权限有效</x:v>
      </x:c>
      <x:c r="J582" s="9" t="str">
        <x:v>1. 查看运营账号主页
2. 填写发放数量为50
3. 点击发放金币</x:v>
      </x:c>
      <x:c r="K582" s="9" t="str">
        <x:v>账户余额显示150金币</x:v>
      </x:c>
      <x:c r="L582" s="10" t="str"/>
      <x:c r="M582" s="10" t="str">
        <x:v>未测</x:v>
      </x:c>
      <x:c r="N582" s="10" t="str"/>
      <x:c r="O582" s="9" t="str">
        <x:v>1. 来源（当前证据）：liveshow-proto/MainBasis/统一需求文档.md；位置：REQ-679e814edf80；行3153
2. 规则：BR-2047adaa446cdc94
3. 未动态验证</x:v>
      </x:c>
    </x:row>
    <x:row r="583" ht="100" customHeight="1">
      <x:c r="A583" s="10" t="n">
        <x:v>582</x:v>
      </x:c>
      <x:c r="B583" s="10" t="str">
        <x:v>GUILD-03-0152</x:v>
      </x:c>
      <x:c r="C583" s="10" t="str">
        <x:v>运营工具</x:v>
      </x:c>
      <x:c r="D583" s="10" t="str">
        <x:v>送礼记录（公会长视角）</x:v>
      </x:c>
      <x:c r="E583" s="10" t="str">
        <x:v>功能需求</x:v>
      </x:c>
      <x:c r="F583" s="10" t="str">
        <x:v>P2</x:v>
      </x:c>
      <x:c r="G583" s="9" t="str">
        <x:v>验证运营送礼明细核对礼物名称</x:v>
      </x:c>
      <x:c r="H583" s="9" t="str">
        <x:v>虚拟赠礼礼物名称</x:v>
      </x:c>
      <x:c r="I583" s="9" t="str">
        <x:v>1. 执行角色为公会长
2. 已登录目标公会的公会长账号，打开送礼记录页并完成下列数据和页面状态准备
3. R1为运营账号向QA甲H001成功赠送普通礼物QA玫瑰</x:v>
      </x:c>
      <x:c r="J583" s="9" t="str">
        <x:v>1. 查看送礼记录页
2. 点击R1</x:v>
      </x:c>
      <x:c r="K583" s="9" t="str">
        <x:v>礼物名称显示QA玫瑰</x:v>
      </x:c>
      <x:c r="L583" s="10" t="str"/>
      <x:c r="M583" s="10" t="str">
        <x:v>未测</x:v>
      </x:c>
      <x:c r="N583" s="10" t="str"/>
      <x:c r="O583" s="9" t="str">
        <x:v>1. 来源（当前证据）：liveshow-proto/MainBasis/统一需求文档.md；位置：REQ-bcb12c6e3d70；行3176
2. 规则：BR-684b9d81a58ac8f8
3. 未动态验证</x:v>
      </x:c>
    </x:row>
    <x:row r="584" ht="100" customHeight="1">
      <x:c r="A584" s="10" t="n">
        <x:v>583</x:v>
      </x:c>
      <x:c r="B584" s="10" t="str">
        <x:v>GUILD-03-0153</x:v>
      </x:c>
      <x:c r="C584" s="10" t="str">
        <x:v>运营工具</x:v>
      </x:c>
      <x:c r="D584" s="10" t="str">
        <x:v>送礼记录（公会长视角）</x:v>
      </x:c>
      <x:c r="E584" s="10" t="str">
        <x:v>功能需求</x:v>
      </x:c>
      <x:c r="F584" s="10" t="str">
        <x:v>P2</x:v>
      </x:c>
      <x:c r="G584" s="9" t="str">
        <x:v>验证运营送礼明细核对主播名称</x:v>
      </x:c>
      <x:c r="H584" s="9" t="str">
        <x:v>虚拟赠礼主播名称</x:v>
      </x:c>
      <x:c r="I584" s="9" t="str">
        <x:v>1. 执行角色为公会长
2. 已登录目标公会的公会长账号，打开送礼记录页并完成下列数据和页面状态准备
3. R1为运营账号向QA甲H001成功赠送普通礼物QA玫瑰</x:v>
      </x:c>
      <x:c r="J584" s="9" t="str">
        <x:v>1. 查看送礼记录页
2. 点击R1</x:v>
      </x:c>
      <x:c r="K584" s="9" t="str">
        <x:v>接收主播名称显示QA甲</x:v>
      </x:c>
      <x:c r="L584" s="10" t="str"/>
      <x:c r="M584" s="10" t="str">
        <x:v>未测</x:v>
      </x:c>
      <x:c r="N584" s="10" t="str"/>
      <x:c r="O584" s="9" t="str">
        <x:v>1. 来源（当前证据）：liveshow-proto/MainBasis/统一需求文档.md；位置：REQ-43f811c0f6ae；行3192
2. 规则：BR-51d7abf558fa38ec
3. 未动态验证</x:v>
      </x:c>
    </x:row>
    <x:row r="585" ht="100" customHeight="1">
      <x:c r="A585" s="10" t="n">
        <x:v>584</x:v>
      </x:c>
      <x:c r="B585" s="10" t="str">
        <x:v>GUILD-03-0154</x:v>
      </x:c>
      <x:c r="C585" s="10" t="str">
        <x:v>运营工具</x:v>
      </x:c>
      <x:c r="D585" s="10" t="str">
        <x:v>送礼记录（公会长视角）</x:v>
      </x:c>
      <x:c r="E585" s="10" t="str">
        <x:v>功能需求</x:v>
      </x:c>
      <x:c r="F585" s="10" t="str">
        <x:v>P2</x:v>
      </x:c>
      <x:c r="G585" s="9" t="str">
        <x:v>验证运营送礼明细核对普通类型</x:v>
      </x:c>
      <x:c r="H585" s="9" t="str">
        <x:v>虚拟赠礼普通类型</x:v>
      </x:c>
      <x:c r="I585" s="9" t="str">
        <x:v>1. 执行角色为公会长
2. 已登录目标公会的公会长账号，打开送礼记录页并完成下列数据和页面状态准备
3. R1为运营账号向QA甲H001成功赠送普通礼物QA玫瑰</x:v>
      </x:c>
      <x:c r="J585" s="9" t="str">
        <x:v>1. 查看送礼记录页
2. 点击R1</x:v>
      </x:c>
      <x:c r="K585" s="9" t="str">
        <x:v>礼物类型显示普通礼物</x:v>
      </x:c>
      <x:c r="L585" s="10" t="str"/>
      <x:c r="M585" s="10" t="str">
        <x:v>未测</x:v>
      </x:c>
      <x:c r="N585" s="10" t="str"/>
      <x:c r="O585" s="9" t="str">
        <x:v>1. 来源（当前证据）：liveshow-proto/MainBasis/统一需求文档.md；位置：REQ-36de063203a5；行3188
2. 规则：BR-87ace767f49a8325
3. 未动态验证</x:v>
      </x:c>
    </x:row>
    <x:row r="586" ht="100" customHeight="1">
      <x:c r="A586" s="10" t="n">
        <x:v>585</x:v>
      </x:c>
      <x:c r="B586" s="10" t="str">
        <x:v>GUILD-04-0036</x:v>
      </x:c>
      <x:c r="C586" s="10" t="str">
        <x:v>公会管理</x:v>
      </x:c>
      <x:c r="D586" s="10" t="str">
        <x:v>公会资料（公会长视角）</x:v>
      </x:c>
      <x:c r="E586" s="10" t="str">
        <x:v>逻辑校验</x:v>
      </x:c>
      <x:c r="F586" s="10" t="str">
        <x:v>P1</x:v>
      </x:c>
      <x:c r="G586" s="9" t="str">
        <x:v>验证修改公会名称保留公会 ID</x:v>
      </x:c>
      <x:c r="H586" s="9" t="str">
        <x:v>公会资料保存公会 ID保持</x:v>
      </x:c>
      <x:c r="I586" s="9" t="str">
        <x:v>1. 执行角色为公会长
2. 已登录目标公会的公会长账号，打开公会资料页并完成下列数据和页面状态准备
3. 当前公会G001名称旧名、有效成员甲乙</x:v>
      </x:c>
      <x:c r="J586" s="9" t="str">
        <x:v>1. 查看公会资料页
2. 填写公会名称为QA新名
3. 点击保存</x:v>
      </x:c>
      <x:c r="K586" s="9" t="str">
        <x:v>公会ID保持G001</x:v>
      </x:c>
      <x:c r="L586" s="10" t="str"/>
      <x:c r="M586" s="10" t="str">
        <x:v>未测</x:v>
      </x:c>
      <x:c r="N586" s="10" t="str"/>
      <x:c r="O586" s="9" t="str">
        <x:v>1. 来源（当前证据）：liveshow-proto/MainBasis/统一需求文档.md；位置：REQ-70ec7b1e0c3d；行3228
2. 规则：BR-cd9becd57d5e08e9
3. 未动态验证</x:v>
      </x:c>
    </x:row>
    <x:row r="587" ht="100" customHeight="1">
      <x:c r="A587" s="10" t="n">
        <x:v>586</x:v>
      </x:c>
      <x:c r="B587" s="10" t="str">
        <x:v>GUILD-02-0182</x:v>
      </x:c>
      <x:c r="C587" s="10" t="str">
        <x:v>主播管理</x:v>
      </x:c>
      <x:c r="D587" s="10" t="str">
        <x:v>主播列表（公会长视角）</x:v>
      </x:c>
      <x:c r="E587" s="10" t="str">
        <x:v>逻辑校验</x:v>
      </x:c>
      <x:c r="F587" s="10" t="str">
        <x:v>P1</x:v>
      </x:c>
      <x:c r="G587" s="9" t="str">
        <x:v>验证修改公会名称保留公会关系</x:v>
      </x:c>
      <x:c r="H587" s="9" t="str">
        <x:v>公会资料保存公会关系保持</x:v>
      </x:c>
      <x:c r="I587" s="9" t="str">
        <x:v>1. 执行角色为公会长
2. 已登录目标公会的公会长账号，打开公会资料页并完成下列数据和页面状态准备
3. 当前公会G001名称旧名、有效成员甲乙</x:v>
      </x:c>
      <x:c r="J587" s="9" t="str">
        <x:v>1. 查看公会资料页
2. 填写公会名称为QA新名
3. 点击保存
4. 进入主播列表页</x:v>
      </x:c>
      <x:c r="K587" s="9" t="str">
        <x:v>当前公会成员仍为甲和乙</x:v>
      </x:c>
      <x:c r="L587" s="10" t="str"/>
      <x:c r="M587" s="10" t="str">
        <x:v>未测</x:v>
      </x:c>
      <x:c r="N587" s="10" t="str"/>
      <x:c r="O587" s="9" t="str">
        <x:v>1. 来源（当前证据）：liveshow-proto/MainBasis/统一需求文档.md；位置：REQ-70ec7b1e0c3d；行3228、REQ-0d0a38bc020e；行2886、REQ-381281aaf488；行2896
2. 规则：BR-0befb2ad2f7c1d89
3. 未动态验证</x:v>
      </x:c>
    </x:row>
    <x:row r="588" ht="85" customHeight="1">
      <x:c r="A588" s="10" t="n">
        <x:v>587</x:v>
      </x:c>
      <x:c r="B588" s="10" t="str">
        <x:v>GUILD-04-0037</x:v>
      </x:c>
      <x:c r="C588" s="10" t="str">
        <x:v>公会管理</x:v>
      </x:c>
      <x:c r="D588" s="10" t="str">
        <x:v>修改密码（公会长视角）</x:v>
      </x:c>
      <x:c r="E588" s="10" t="str">
        <x:v>逻辑校验</x:v>
      </x:c>
      <x:c r="F588" s="10" t="str">
        <x:v>P1</x:v>
      </x:c>
      <x:c r="G588" s="9" t="str">
        <x:v>验证公会密码恰好8位可保存</x:v>
      </x:c>
      <x:c r="H588" s="9" t="str">
        <x:v>公会密码合法下边界</x:v>
      </x:c>
      <x:c r="I588" s="9" t="str">
        <x:v>1. 执行角色为公会长
2. 已登录目标公会的公会长账号，打开修改密码页并完成下列数据和页面状态准备
3. 旧密码QaOld!2026</x:v>
      </x:c>
      <x:c r="J588" s="9" t="str">
        <x:v>1. 查看修改密码页
2. 填写当前密码为QaOld!2026
3. 填写新密码为Qa123456
4. 填写确认新密码为Qa123456
5. 点击保存</x:v>
      </x:c>
      <x:c r="K588" s="9" t="str">
        <x:v>返回账号设置页</x:v>
      </x:c>
      <x:c r="L588" s="10" t="str"/>
      <x:c r="M588" s="10" t="str">
        <x:v>未测</x:v>
      </x:c>
      <x:c r="N588" s="10" t="str"/>
      <x:c r="O588" s="9" t="str">
        <x:v>1. 来源（当前证据）：liveshow-proto/MainBasis/统一需求文档.md；位置：REQ-e6fec0352ac9；行3252
2. 规则：BR-97e81129e4ee4bde
3. 未动态验证</x:v>
      </x:c>
    </x:row>
    <x:row r="589" ht="100" customHeight="1">
      <x:c r="A589" s="10" t="n">
        <x:v>588</x:v>
      </x:c>
      <x:c r="B589" s="10" t="str">
        <x:v>GUILD-05-0148</x:v>
      </x:c>
      <x:c r="C589" s="10" t="str">
        <x:v>数据与收益</x:v>
      </x:c>
      <x:c r="D589" s="10" t="str">
        <x:v>直播场次详情（公会长视角）</x:v>
      </x:c>
      <x:c r="E589" s="10" t="str">
        <x:v>功能需求</x:v>
      </x:c>
      <x:c r="F589" s="10" t="str">
        <x:v>P2</x:v>
      </x:c>
      <x:c r="G589" s="9" t="str">
        <x:v>验证场次赠礼详情核对礼物名称</x:v>
      </x:c>
      <x:c r="H589" s="9" t="str">
        <x:v>真实赠礼礼物名称</x:v>
      </x:c>
      <x:c r="I589" s="9" t="str">
        <x:v>1. 执行角色为公会长
2. 已登录目标公会的公会长账号，打开直播场次详情页并完成下列数据和页面状态准备
3. R1为普通礼物QA玫瑰的成功赠送记录</x:v>
      </x:c>
      <x:c r="J589" s="9" t="str">
        <x:v>1. 查看直播场次详情页
2. 点击R1</x:v>
      </x:c>
      <x:c r="K589" s="9" t="str">
        <x:v>礼物名称显示QA玫瑰</x:v>
      </x:c>
      <x:c r="L589" s="10" t="str"/>
      <x:c r="M589" s="10" t="str">
        <x:v>未测</x:v>
      </x:c>
      <x:c r="N589" s="10" t="str"/>
      <x:c r="O589" s="9" t="str">
        <x:v>1. 来源（当前证据）：liveshow-proto/MainBasis/统一需求文档.md；位置：REQ-55e89c691eee；行3306
2. 规则：BR-cbb8e6edb72e0b73
3. 未动态验证</x:v>
      </x:c>
    </x:row>
    <x:row r="590" ht="100" customHeight="1">
      <x:c r="A590" s="10" t="n">
        <x:v>589</x:v>
      </x:c>
      <x:c r="B590" s="10" t="str">
        <x:v>GUILD-05-0149</x:v>
      </x:c>
      <x:c r="C590" s="10" t="str">
        <x:v>数据与收益</x:v>
      </x:c>
      <x:c r="D590" s="10" t="str">
        <x:v>直播场次详情（公会长视角）</x:v>
      </x:c>
      <x:c r="E590" s="10" t="str">
        <x:v>功能需求</x:v>
      </x:c>
      <x:c r="F590" s="10" t="str">
        <x:v>P2</x:v>
      </x:c>
      <x:c r="G590" s="9" t="str">
        <x:v>验证场次赠礼详情核对普通类型</x:v>
      </x:c>
      <x:c r="H590" s="9" t="str">
        <x:v>真实赠礼普通类型</x:v>
      </x:c>
      <x:c r="I590" s="9" t="str">
        <x:v>1. 执行角色为公会长
2. 已登录目标公会的公会长账号，打开直播场次详情页并完成下列数据和页面状态准备
3. R1为普通礼物QA玫瑰的成功赠送记录</x:v>
      </x:c>
      <x:c r="J590" s="9" t="str">
        <x:v>1. 查看直播场次详情页
2. 点击R1</x:v>
      </x:c>
      <x:c r="K590" s="9" t="str">
        <x:v>礼物类型显示普通礼物</x:v>
      </x:c>
      <x:c r="L590" s="10" t="str"/>
      <x:c r="M590" s="10" t="str">
        <x:v>未测</x:v>
      </x:c>
      <x:c r="N590" s="10" t="str"/>
      <x:c r="O590" s="9" t="str">
        <x:v>1. 来源（当前证据）：liveshow-proto/MainBasis/统一需求文档.md；位置：REQ-58b2254a0941；行3318
2. 规则：BR-1eecdbfc16d8e44e
3. 未动态验证</x:v>
      </x:c>
    </x:row>
    <x:row r="591" ht="100" customHeight="1">
      <x:c r="A591" s="10" t="n">
        <x:v>590</x:v>
      </x:c>
      <x:c r="B591" s="10" t="str">
        <x:v>GUILD-05-0150</x:v>
      </x:c>
      <x:c r="C591" s="10" t="str">
        <x:v>数据与收益</x:v>
      </x:c>
      <x:c r="D591" s="10" t="str">
        <x:v>违规记录（公会长视角）</x:v>
      </x:c>
      <x:c r="E591" s="10" t="str">
        <x:v>逻辑校验</x:v>
      </x:c>
      <x:c r="F591" s="10" t="str">
        <x:v>P1</x:v>
      </x:c>
      <x:c r="G591" s="9" t="str">
        <x:v>验证公会违规记录展示警告结果</x:v>
      </x:c>
      <x:c r="H591" s="9" t="str">
        <x:v>违规处理结果映射</x:v>
      </x:c>
      <x:c r="I591" s="9" t="str">
        <x:v>1. 执行角色为公会长
2. 已登录目标公会的公会长账号，打开违规记录页并完成下列数据和页面状态准备
3. 记录N已由平台执行警告，无其他后续处理</x:v>
      </x:c>
      <x:c r="J591" s="9" t="str">
        <x:v>1. 查看违规记录页</x:v>
      </x:c>
      <x:c r="K591" s="9" t="str">
        <x:v>N处理结果显示警告</x:v>
      </x:c>
      <x:c r="L591" s="10" t="str"/>
      <x:c r="M591" s="10" t="str">
        <x:v>未测</x:v>
      </x:c>
      <x:c r="N591" s="10" t="str"/>
      <x:c r="O591" s="9" t="str">
        <x:v>1. 来源（当前证据）：liveshow-proto/MainBasis/统一需求文档.md；位置：REQ-fbc17ab917b7；行3353
2. 规则：BR-f5cd40ce5edc94c6
3. 未动态验证</x:v>
      </x:c>
    </x:row>
    <x:row r="592" ht="100" customHeight="1">
      <x:c r="A592" s="10" t="n">
        <x:v>591</x:v>
      </x:c>
      <x:c r="B592" s="10" t="str">
        <x:v>GUILD-05-0151</x:v>
      </x:c>
      <x:c r="C592" s="10" t="str">
        <x:v>数据与收益</x:v>
      </x:c>
      <x:c r="D592" s="10" t="str">
        <x:v>违规记录（公会长视角）</x:v>
      </x:c>
      <x:c r="E592" s="10" t="str">
        <x:v>逻辑校验</x:v>
      </x:c>
      <x:c r="F592" s="10" t="str">
        <x:v>P1</x:v>
      </x:c>
      <x:c r="G592" s="9" t="str">
        <x:v>验证公会违规记录展示关闭场次结果</x:v>
      </x:c>
      <x:c r="H592" s="9" t="str">
        <x:v>违规处理结果映射</x:v>
      </x:c>
      <x:c r="I592" s="9" t="str">
        <x:v>1. 执行角色为公会长
2. 已登录目标公会的公会长账号，打开违规记录页并完成下列数据和页面状态准备
3. 记录N已由平台执行关闭场次，无其他后续处理</x:v>
      </x:c>
      <x:c r="J592" s="9" t="str">
        <x:v>1. 查看违规记录页</x:v>
      </x:c>
      <x:c r="K592" s="9" t="str">
        <x:v>N处理结果显示关闭场次</x:v>
      </x:c>
      <x:c r="L592" s="10" t="str"/>
      <x:c r="M592" s="10" t="str">
        <x:v>未测</x:v>
      </x:c>
      <x:c r="N592" s="10" t="str"/>
      <x:c r="O592" s="9" t="str">
        <x:v>1. 来源（当前证据）：liveshow-proto/MainBasis/统一需求文档.md；位置：REQ-fbc17ab917b7；行3353
2. 规则：BR-a144a3b94d34bde3
3. 未动态验证</x:v>
      </x:c>
    </x:row>
    <x:row r="593" ht="100" customHeight="1">
      <x:c r="A593" s="10" t="n">
        <x:v>592</x:v>
      </x:c>
      <x:c r="B593" s="10" t="str">
        <x:v>GUILD-05-0152</x:v>
      </x:c>
      <x:c r="C593" s="10" t="str">
        <x:v>数据与收益</x:v>
      </x:c>
      <x:c r="D593" s="10" t="str">
        <x:v>违规记录（公会长视角）</x:v>
      </x:c>
      <x:c r="E593" s="10" t="str">
        <x:v>逻辑校验</x:v>
      </x:c>
      <x:c r="F593" s="10" t="str">
        <x:v>P1</x:v>
      </x:c>
      <x:c r="G593" s="9" t="str">
        <x:v>验证公会违规记录展示关闭直播权限结果</x:v>
      </x:c>
      <x:c r="H593" s="9" t="str">
        <x:v>违规处理结果映射</x:v>
      </x:c>
      <x:c r="I593" s="9" t="str">
        <x:v>1. 执行角色为公会长
2. 已登录目标公会的公会长账号，打开违规记录页并完成下列数据和页面状态准备
3. 记录N已由平台执行关闭直播权限，无其他后续处理</x:v>
      </x:c>
      <x:c r="J593" s="9" t="str">
        <x:v>1. 查看违规记录页</x:v>
      </x:c>
      <x:c r="K593" s="9" t="str">
        <x:v>N处理结果显示关闭直播权限</x:v>
      </x:c>
      <x:c r="L593" s="10" t="str"/>
      <x:c r="M593" s="10" t="str">
        <x:v>未测</x:v>
      </x:c>
      <x:c r="N593" s="10" t="str"/>
      <x:c r="O593" s="9" t="str">
        <x:v>1. 来源（当前证据）：liveshow-proto/MainBasis/统一需求文档.md；位置：REQ-fbc17ab917b7；行3353
2. 规则：BR-84ee803f6f75c88c
3. 未动态验证</x:v>
      </x:c>
    </x:row>
    <x:row r="594" ht="100" customHeight="1">
      <x:c r="A594" s="10" t="n">
        <x:v>593</x:v>
      </x:c>
      <x:c r="B594" s="10" t="str">
        <x:v>GUILD-05-0153</x:v>
      </x:c>
      <x:c r="C594" s="10" t="str">
        <x:v>数据与收益</x:v>
      </x:c>
      <x:c r="D594" s="10" t="str">
        <x:v>违规记录（公会长视角）</x:v>
      </x:c>
      <x:c r="E594" s="10" t="str">
        <x:v>逻辑校验</x:v>
      </x:c>
      <x:c r="F594" s="10" t="str">
        <x:v>P1</x:v>
      </x:c>
      <x:c r="G594" s="9" t="str">
        <x:v>验证公会违规记录展示账号封禁结果</x:v>
      </x:c>
      <x:c r="H594" s="9" t="str">
        <x:v>违规处理结果映射</x:v>
      </x:c>
      <x:c r="I594" s="9" t="str">
        <x:v>1. 执行角色为公会长
2. 已登录目标公会的公会长账号，打开违规记录页并完成下列数据和页面状态准备
3. 记录N已由平台执行账号封禁，无其他后续处理</x:v>
      </x:c>
      <x:c r="J594" s="9" t="str">
        <x:v>1. 查看违规记录页</x:v>
      </x:c>
      <x:c r="K594" s="9" t="str">
        <x:v>N处理结果显示账号封禁</x:v>
      </x:c>
      <x:c r="L594" s="10" t="str"/>
      <x:c r="M594" s="10" t="str">
        <x:v>未测</x:v>
      </x:c>
      <x:c r="N594" s="10" t="str"/>
      <x:c r="O594" s="9" t="str">
        <x:v>1. 来源（当前证据）：liveshow-proto/MainBasis/统一需求文档.md；位置：REQ-fbc17ab917b7；行3353
2. 规则：BR-d8a990b21f8c15e8
3. 未动态验证</x:v>
      </x:c>
    </x:row>
    <x:row r="595" ht="115" customHeight="1">
      <x:c r="A595" s="10" t="n">
        <x:v>594</x:v>
      </x:c>
      <x:c r="B595" s="10" t="str">
        <x:v>GUILD-05-0154</x:v>
      </x:c>
      <x:c r="C595" s="10" t="str">
        <x:v>数据与收益</x:v>
      </x:c>
      <x:c r="D595" s="10" t="str">
        <x:v>违规记录（公会长视角）</x:v>
      </x:c>
      <x:c r="E595" s="10" t="str">
        <x:v>逻辑校验</x:v>
      </x:c>
      <x:c r="F595" s="10" t="str">
        <x:v>P1</x:v>
      </x:c>
      <x:c r="G595" s="9" t="str">
        <x:v>验证公会直播违规按举报时间排序</x:v>
      </x:c>
      <x:c r="H595" s="9" t="str">
        <x:v>直播违规时间来源</x:v>
      </x:c>
      <x:c r="I595" s="9" t="str">
        <x:v>1. 执行角色为公会长
2. 已登录目标公会的公会长账号，打开违规记录页并完成下列数据和页面状态准备
3. 直播违规甲于10:00举报11:00处理，乙10:30举报10:40处理；当前同类列表</x:v>
      </x:c>
      <x:c r="J595" s="9" t="str">
        <x:v>1. 查看违规记录页</x:v>
      </x:c>
      <x:c r="K595" s="9" t="str">
        <x:v>乙排在甲之前</x:v>
      </x:c>
      <x:c r="L595" s="10" t="str"/>
      <x:c r="M595" s="10" t="str">
        <x:v>未测</x:v>
      </x:c>
      <x:c r="N595" s="10" t="str"/>
      <x:c r="O595" s="9" t="str">
        <x:v>1. 来源（当前证据）：liveshow-proto/MainBasis/统一需求文档.md；位置：REQ-2193ff33f58c；行3351
2. 规则：BR-fa39b4c062bd3292
3. 未动态验证</x:v>
      </x:c>
    </x:row>
    <x:row r="596" ht="100" customHeight="1">
      <x:c r="A596" s="10" t="n">
        <x:v>595</x:v>
      </x:c>
      <x:c r="B596" s="10" t="str">
        <x:v>GUILD-05-0155</x:v>
      </x:c>
      <x:c r="C596" s="10" t="str">
        <x:v>数据与收益</x:v>
      </x:c>
      <x:c r="D596" s="10" t="str">
        <x:v>违规记录（公会长视角）</x:v>
      </x:c>
      <x:c r="E596" s="10" t="str">
        <x:v>功能需求</x:v>
      </x:c>
      <x:c r="F596" s="10" t="str">
        <x:v>P2</x:v>
      </x:c>
      <x:c r="G596" s="9" t="str">
        <x:v>验证直播间违规记录使用举报时间</x:v>
      </x:c>
      <x:c r="H596" s="9" t="str">
        <x:v>直播间违规时点</x:v>
      </x:c>
      <x:c r="I596" s="9" t="str">
        <x:v>1. 执行角色为公会长
2. 已登录目标公会的公会长账号，打开违规记录页并完成下列数据和页面状态准备
3. 记录N的举报时间为9月15日10:00，处理时间另为12:00</x:v>
      </x:c>
      <x:c r="J596" s="9" t="str">
        <x:v>1. 查看违规记录页</x:v>
      </x:c>
      <x:c r="K596" s="9" t="str">
        <x:v>N时间对应9月15日10:00</x:v>
      </x:c>
      <x:c r="L596" s="10" t="str"/>
      <x:c r="M596" s="10" t="str">
        <x:v>未测</x:v>
      </x:c>
      <x:c r="N596" s="10" t="str"/>
      <x:c r="O596" s="9" t="str">
        <x:v>1. 来源（当前证据）：liveshow-proto/MainBasis/统一需求文档.md；位置：REQ-2193ff33f58c；行3351
2. 规则：BR-f9edbdf0b52511b1
3. 未动态验证</x:v>
      </x:c>
    </x:row>
    <x:row r="597" ht="100" customHeight="1">
      <x:c r="A597" s="10" t="n">
        <x:v>596</x:v>
      </x:c>
      <x:c r="B597" s="10" t="str">
        <x:v>GUILD-05-0156</x:v>
      </x:c>
      <x:c r="C597" s="10" t="str">
        <x:v>数据与收益</x:v>
      </x:c>
      <x:c r="D597" s="10" t="str">
        <x:v>违规记录（公会长视角）</x:v>
      </x:c>
      <x:c r="E597" s="10" t="str">
        <x:v>功能需求</x:v>
      </x:c>
      <x:c r="F597" s="10" t="str">
        <x:v>P2</x:v>
      </x:c>
      <x:c r="G597" s="9" t="str">
        <x:v>验证账号违规记录使用发生时间</x:v>
      </x:c>
      <x:c r="H597" s="9" t="str">
        <x:v>账号违规时点</x:v>
      </x:c>
      <x:c r="I597" s="9" t="str">
        <x:v>1. 执行角色为公会长
2. 已登录目标公会的公会长账号，打开违规记录页并完成下列数据和页面状态准备
3. 记录N的发生时间为9月15日11:00，处理时间另为12:00</x:v>
      </x:c>
      <x:c r="J597" s="9" t="str">
        <x:v>1. 查看违规记录页</x:v>
      </x:c>
      <x:c r="K597" s="9" t="str">
        <x:v>N时间对应9月15日11:00</x:v>
      </x:c>
      <x:c r="L597" s="10" t="str"/>
      <x:c r="M597" s="10" t="str">
        <x:v>未测</x:v>
      </x:c>
      <x:c r="N597" s="10" t="str"/>
      <x:c r="O597" s="9" t="str">
        <x:v>1. 来源（当前证据）：liveshow-proto/MainBasis/统一需求文档.md；位置：REQ-2193ff33f58c；行3351
2. 规则：BR-571b09589728aa18
3. 未动态验证</x:v>
      </x:c>
    </x:row>
    <x:row r="598" ht="85" customHeight="1">
      <x:c r="A598" s="10" t="n">
        <x:v>597</x:v>
      </x:c>
      <x:c r="B598" s="10" t="str">
        <x:v>GUILD-05-0157</x:v>
      </x:c>
      <x:c r="C598" s="10" t="str">
        <x:v>数据与收益</x:v>
      </x:c>
      <x:c r="D598" s="10" t="str">
        <x:v>违规记录（公会长视角）</x:v>
      </x:c>
      <x:c r="E598" s="10" t="str">
        <x:v>功能需求</x:v>
      </x:c>
      <x:c r="F598" s="10" t="str">
        <x:v>P2</x:v>
      </x:c>
      <x:c r="G598" s="9" t="str">
        <x:v>验证首次违规查询默认全部主播</x:v>
      </x:c>
      <x:c r="H598" s="9" t="str">
        <x:v>违规主播初始筛选</x:v>
      </x:c>
      <x:c r="I598" s="9" t="str">
        <x:v>1. 执行角色为公会长
2. 已登录目标公会的公会长账号，打开违规记录页并完成下列数据和页面状态准备</x:v>
      </x:c>
      <x:c r="J598" s="9" t="str">
        <x:v>1. 查看违规记录页</x:v>
      </x:c>
      <x:c r="K598" s="9" t="str">
        <x:v>主播范围默认为全部</x:v>
      </x:c>
      <x:c r="L598" s="10" t="str"/>
      <x:c r="M598" s="10" t="str">
        <x:v>未测</x:v>
      </x:c>
      <x:c r="N598" s="10" t="str"/>
      <x:c r="O598" s="9" t="str">
        <x:v>1. 来源（当前证据）：liveshow-proto/MainBasis/统一需求文档.md；位置：REQ-bb3258b612d5；行3343
2. 规则：BR-704d69b61b571259
3. 未动态验证</x:v>
      </x:c>
    </x:row>
    <x:row r="599" ht="100" customHeight="1">
      <x:c r="A599" s="10" t="n">
        <x:v>598</x:v>
      </x:c>
      <x:c r="B599" s="10" t="str">
        <x:v>GUILD-05-0158</x:v>
      </x:c>
      <x:c r="C599" s="10" t="str">
        <x:v>数据与收益</x:v>
      </x:c>
      <x:c r="D599" s="10" t="str">
        <x:v>违规记录（公会长视角）</x:v>
      </x:c>
      <x:c r="E599" s="10" t="str">
        <x:v>逻辑校验</x:v>
      </x:c>
      <x:c r="F599" s="10" t="str">
        <x:v>P1</x:v>
      </x:c>
      <x:c r="G599" s="9" t="str">
        <x:v>验证只选一个主播后违规记录同步</x:v>
      </x:c>
      <x:c r="H599" s="9" t="str">
        <x:v>违规主播条件生效</x:v>
      </x:c>
      <x:c r="I599" s="9" t="str">
        <x:v>1. 执行角色为公会长
2. 已登录目标公会的公会长账号，打开违规记录页并完成下列数据和页面状态准备
3. 甲有记录A、乙有记录B；当前选择全部</x:v>
      </x:c>
      <x:c r="J599" s="9" t="str">
        <x:v>1. 查看违规记录页
2. 点击主播筛选
3. 选择仅主播甲
4. 点击完成</x:v>
      </x:c>
      <x:c r="K599" s="9" t="str">
        <x:v>列表只包含甲的记录A</x:v>
      </x:c>
      <x:c r="L599" s="10" t="str"/>
      <x:c r="M599" s="10" t="str">
        <x:v>未测</x:v>
      </x:c>
      <x:c r="N599" s="10" t="str"/>
      <x:c r="O599" s="9" t="str">
        <x:v>1. 来源（当前证据）：liveshow-proto/MainBasis/统一需求文档.md；位置：REQ-532e40bab209；行3359
2. 规则：BR-27b6c7af27089a76
3. 未动态验证</x:v>
      </x:c>
    </x:row>
    <x:row r="600" ht="85" customHeight="1">
      <x:c r="A600" s="10" t="n">
        <x:v>599</x:v>
      </x:c>
      <x:c r="B600" s="10" t="str">
        <x:v>GUILD-05-0159</x:v>
      </x:c>
      <x:c r="C600" s="10" t="str">
        <x:v>数据与收益</x:v>
      </x:c>
      <x:c r="D600" s="10" t="str">
        <x:v>公会业绩（公会长视角）</x:v>
      </x:c>
      <x:c r="E600" s="10" t="str">
        <x:v>功能需求</x:v>
      </x:c>
      <x:c r="F600" s="10" t="str">
        <x:v>P2</x:v>
      </x:c>
      <x:c r="G600" s="9" t="str">
        <x:v>验证月数据首次展示近半年</x:v>
      </x:c>
      <x:c r="H600" s="9" t="str">
        <x:v>公会月统计默认范围</x:v>
      </x:c>
      <x:c r="I600" s="9" t="str">
        <x:v>1. 执行角色为公会长
2. 已登录目标公会的公会长账号，打开公会业绩页并完成下列数据和页面状态准备</x:v>
      </x:c>
      <x:c r="J600" s="9" t="str">
        <x:v>1. 查看公会业绩页
2. 切换月数据</x:v>
      </x:c>
      <x:c r="K600" s="9" t="str">
        <x:v>月范围默认为近半年</x:v>
      </x:c>
      <x:c r="L600" s="10" t="str"/>
      <x:c r="M600" s="10" t="str">
        <x:v>未测</x:v>
      </x:c>
      <x:c r="N600" s="10" t="str"/>
      <x:c r="O600" s="9" t="str">
        <x:v>1. 来源（当前证据）：liveshow-proto/MainBasis/统一需求文档.md；位置：REQ-1c1f3cfd5125；行3368
2. 规则：BR-2cbfa16f3c47eef2
3. 未动态验证</x:v>
      </x:c>
    </x:row>
    <x:row r="601" ht="100" customHeight="1">
      <x:c r="A601" s="10" t="n">
        <x:v>600</x:v>
      </x:c>
      <x:c r="B601" s="10" t="str">
        <x:v>GUILD-05-0160</x:v>
      </x:c>
      <x:c r="C601" s="10" t="str">
        <x:v>数据与收益</x:v>
      </x:c>
      <x:c r="D601" s="10" t="str">
        <x:v>公会业绩（公会长视角）</x:v>
      </x:c>
      <x:c r="E601" s="10" t="str">
        <x:v>逻辑校验</x:v>
      </x:c>
      <x:c r="F601" s="10" t="str">
        <x:v>P1</x:v>
      </x:c>
      <x:c r="G601" s="9" t="str">
        <x:v>验证日数据按日期呈现趋势</x:v>
      </x:c>
      <x:c r="H601" s="9" t="str">
        <x:v>公会业绩趋势统计粒度</x:v>
      </x:c>
      <x:c r="I601" s="9" t="str">
        <x:v>1. 执行角色为公会长
2. 已登录目标公会的公会长账号，打开公会业绩页并完成下列数据和页面状态准备
3. 当前准备切换日数据；范围内有至少两个日期的经营数据</x:v>
      </x:c>
      <x:c r="J601" s="9" t="str">
        <x:v>1. 查看公会业绩页
2. 切换日数据
3. 点击收益指标卡片</x:v>
      </x:c>
      <x:c r="K601" s="9" t="str">
        <x:v>收益趋势按日期汇总</x:v>
      </x:c>
      <x:c r="L601" s="10" t="str"/>
      <x:c r="M601" s="10" t="str">
        <x:v>未测</x:v>
      </x:c>
      <x:c r="N601" s="10" t="str"/>
      <x:c r="O601" s="9" t="str">
        <x:v>1. 来源（当前证据）：liveshow-proto/MainBasis/统一需求文档.md；位置：REQ-1e99a6258a1d；行3400
2. 规则：BR-c4efadff48c0837d
3. 未动态验证</x:v>
      </x:c>
    </x:row>
    <x:row r="602" ht="100" customHeight="1">
      <x:c r="A602" s="10" t="n">
        <x:v>601</x:v>
      </x:c>
      <x:c r="B602" s="10" t="str">
        <x:v>GUILD-05-0161</x:v>
      </x:c>
      <x:c r="C602" s="10" t="str">
        <x:v>数据与收益</x:v>
      </x:c>
      <x:c r="D602" s="10" t="str">
        <x:v>公会业绩（公会长视角）</x:v>
      </x:c>
      <x:c r="E602" s="10" t="str">
        <x:v>逻辑校验</x:v>
      </x:c>
      <x:c r="F602" s="10" t="str">
        <x:v>P1</x:v>
      </x:c>
      <x:c r="G602" s="9" t="str">
        <x:v>验证月数据按月份呈现趋势</x:v>
      </x:c>
      <x:c r="H602" s="9" t="str">
        <x:v>公会业绩趋势统计粒度</x:v>
      </x:c>
      <x:c r="I602" s="9" t="str">
        <x:v>1. 执行角色为公会长
2. 已登录目标公会的公会长账号，打开公会业绩页并完成下列数据和页面状态准备
3. 当前准备切换月数据；范围内有至少两个月份的经营数据</x:v>
      </x:c>
      <x:c r="J602" s="9" t="str">
        <x:v>1. 查看公会业绩页
2. 切换月数据
3. 点击收益指标卡片</x:v>
      </x:c>
      <x:c r="K602" s="9" t="str">
        <x:v>收益趋势按月份汇总</x:v>
      </x:c>
      <x:c r="L602" s="10" t="str"/>
      <x:c r="M602" s="10" t="str">
        <x:v>未测</x:v>
      </x:c>
      <x:c r="N602" s="10" t="str"/>
      <x:c r="O602" s="9" t="str">
        <x:v>1. 来源（当前证据）：liveshow-proto/MainBasis/统一需求文档.md；位置：REQ-1e99a6258a1d；行3400
2. 规则：BR-aa2ac561de843745
3. 未动态验证</x:v>
      </x:c>
    </x:row>
    <x:row r="603" ht="100" customHeight="1">
      <x:c r="A603" s="10" t="n">
        <x:v>602</x:v>
      </x:c>
      <x:c r="B603" s="10" t="str">
        <x:v>GUILD-05-0162</x:v>
      </x:c>
      <x:c r="C603" s="10" t="str">
        <x:v>数据与收益</x:v>
      </x:c>
      <x:c r="D603" s="10" t="str">
        <x:v>公会业绩（公会长视角）</x:v>
      </x:c>
      <x:c r="E603" s="10" t="str">
        <x:v>逻辑校验</x:v>
      </x:c>
      <x:c r="F603" s="10" t="str">
        <x:v>P1</x:v>
      </x:c>
      <x:c r="G603" s="9" t="str">
        <x:v>验证公会月业绩下钻保留月份</x:v>
      </x:c>
      <x:c r="H603" s="9" t="str">
        <x:v>月业绩下钻时间范围</x:v>
      </x:c>
      <x:c r="I603" s="9" t="str">
        <x:v>1. 执行角色为公会长
2. 已登录目标公会的公会长账号，打开公会业绩页并完成下列数据和页面状态准备
3. 当前月数据包含2026年8月记录</x:v>
      </x:c>
      <x:c r="J603" s="9" t="str">
        <x:v>1. 查看公会业绩页
2. 点击2026年8月行</x:v>
      </x:c>
      <x:c r="K603" s="9" t="str">
        <x:v>主播业绩范围为2026年8月</x:v>
      </x:c>
      <x:c r="L603" s="10" t="str"/>
      <x:c r="M603" s="10" t="str">
        <x:v>未测</x:v>
      </x:c>
      <x:c r="N603" s="10" t="str"/>
      <x:c r="O603" s="9" t="str">
        <x:v>1. 来源（当前证据）：liveshow-proto/MainBasis/统一需求文档.md；位置：REQ-b4a379f3681c；行3402
2. 规则：BR-6cd3772d34c35673
3. 未动态验证</x:v>
      </x:c>
    </x:row>
    <x:row r="604" ht="100" customHeight="1">
      <x:c r="A604" s="10" t="n">
        <x:v>603</x:v>
      </x:c>
      <x:c r="B604" s="10" t="str">
        <x:v>GUILD-05-0163</x:v>
      </x:c>
      <x:c r="C604" s="10" t="str">
        <x:v>数据与收益</x:v>
      </x:c>
      <x:c r="D604" s="10" t="str">
        <x:v>选择主播（多选）（公会长视角）</x:v>
      </x:c>
      <x:c r="E604" s="10" t="str">
        <x:v>逻辑校验</x:v>
      </x:c>
      <x:c r="F604" s="10" t="str">
        <x:v>P1</x:v>
      </x:c>
      <x:c r="G604" s="9" t="str">
        <x:v>验证主播多选全选</x:v>
      </x:c>
      <x:c r="H604" s="9" t="str">
        <x:v>主播全量选择切换</x:v>
      </x:c>
      <x:c r="I604" s="9" t="str">
        <x:v>1. 执行角色为公会长
2. 已登录目标公会的公会长账号，打开选择主播（多选）页并完成下列数据和页面状态准备
3. 当前可选甲乙丙3名，尚未选择；搜索为空</x:v>
      </x:c>
      <x:c r="J604" s="9" t="str">
        <x:v>1. 查看选择主播（多选）页
2. 点击全选</x:v>
      </x:c>
      <x:c r="K604" s="9" t="str">
        <x:v>已选人数显示3</x:v>
      </x:c>
      <x:c r="L604" s="10" t="str"/>
      <x:c r="M604" s="10" t="str">
        <x:v>未测</x:v>
      </x:c>
      <x:c r="N604" s="10" t="str"/>
      <x:c r="O604" s="9" t="str">
        <x:v>1. 来源（当前证据）：liveshow-proto/MainBasis/统一需求文档.md；位置：REQ-74d9c44c037d；行3472
2. 规则：BR-74b0aca2bda09f37
3. 未动态验证</x:v>
      </x:c>
    </x:row>
    <x:row r="605" ht="100" customHeight="1">
      <x:c r="A605" s="10" t="n">
        <x:v>604</x:v>
      </x:c>
      <x:c r="B605" s="10" t="str">
        <x:v>GUILD-05-0164</x:v>
      </x:c>
      <x:c r="C605" s="10" t="str">
        <x:v>数据与收益</x:v>
      </x:c>
      <x:c r="D605" s="10" t="str">
        <x:v>选择主播（多选）（公会长视角）</x:v>
      </x:c>
      <x:c r="E605" s="10" t="str">
        <x:v>逻辑校验</x:v>
      </x:c>
      <x:c r="F605" s="10" t="str">
        <x:v>P1</x:v>
      </x:c>
      <x:c r="G605" s="9" t="str">
        <x:v>验证主播多选取消全选</x:v>
      </x:c>
      <x:c r="H605" s="9" t="str">
        <x:v>主播全量选择切换</x:v>
      </x:c>
      <x:c r="I605" s="9" t="str">
        <x:v>1. 执行角色为公会长
2. 已登录目标公会的公会长账号，打开选择主播（多选）页并完成下列数据和页面状态准备
3. 当前可选甲乙丙3名，全部已选中；搜索为空</x:v>
      </x:c>
      <x:c r="J605" s="9" t="str">
        <x:v>1. 查看选择主播（多选）页
2. 点击取消全选</x:v>
      </x:c>
      <x:c r="K605" s="9" t="str">
        <x:v>已选人数显示0</x:v>
      </x:c>
      <x:c r="L605" s="10" t="str"/>
      <x:c r="M605" s="10" t="str">
        <x:v>未测</x:v>
      </x:c>
      <x:c r="N605" s="10" t="str"/>
      <x:c r="O605" s="9" t="str">
        <x:v>1. 来源（当前证据）：liveshow-proto/MainBasis/统一需求文档.md；位置：REQ-74d9c44c037d；行3472
2. 规则：BR-5777a77719b28f5d
3. 未动态验证</x:v>
      </x:c>
    </x:row>
    <x:row r="606" ht="100" customHeight="1">
      <x:c r="A606" s="10" t="n">
        <x:v>605</x:v>
      </x:c>
      <x:c r="B606" s="10" t="str">
        <x:v>GUILD-05-0165</x:v>
      </x:c>
      <x:c r="C606" s="10" t="str">
        <x:v>数据与收益</x:v>
      </x:c>
      <x:c r="D606" s="10" t="str">
        <x:v>违规记录（公会长视角）</x:v>
      </x:c>
      <x:c r="E606" s="10" t="str">
        <x:v>逻辑校验</x:v>
      </x:c>
      <x:c r="F606" s="10" t="str">
        <x:v>P1</x:v>
      </x:c>
      <x:c r="G606" s="9" t="str">
        <x:v>验证违规主播多选回填保留日期和类型</x:v>
      </x:c>
      <x:c r="H606" s="9" t="str">
        <x:v>违规多选其他条件保持</x:v>
      </x:c>
      <x:c r="I606" s="9" t="str">
        <x:v>1. 执行角色为公会长
2. 已登录目标公会的公会长账号，打开选择主播（多选）页并完成下列数据和页面状态准备
3. 从违规记录进入，原日期9月1日至15日且类型账号违规</x:v>
      </x:c>
      <x:c r="J606" s="9" t="str">
        <x:v>1. 查看选择主播（多选）页
2. 选择仅主播甲
3. 点击完成</x:v>
      </x:c>
      <x:c r="K606" s="9" t="str">
        <x:v>仍按9月1日至15日的账号违规筛选</x:v>
      </x:c>
      <x:c r="L606" s="10" t="str"/>
      <x:c r="M606" s="10" t="str">
        <x:v>未测</x:v>
      </x:c>
      <x:c r="N606" s="10" t="str"/>
      <x:c r="O606" s="9" t="str">
        <x:v>1. 来源（当前证据）：liveshow-proto/MainBasis/统一需求文档.md；位置：REQ-9b94ebc6e08d；行3474、REQ-209e305f2a95；行3341、REQ-3caa16d1492a；行3345
2. 规则：BR-77bbc8dd9f54f3e0
3. 未动态验证</x:v>
      </x:c>
    </x:row>
    <x:row r="607" ht="85" customHeight="1">
      <x:c r="A607" s="10" t="n">
        <x:v>606</x:v>
      </x:c>
      <x:c r="B607" s="10" t="str">
        <x:v>GUILD-05-0166</x:v>
      </x:c>
      <x:c r="C607" s="10" t="str">
        <x:v>数据与收益</x:v>
      </x:c>
      <x:c r="D607" s="10" t="str">
        <x:v>公会业绩（公会长视角）</x:v>
      </x:c>
      <x:c r="E607" s="10" t="str">
        <x:v>功能需求</x:v>
      </x:c>
      <x:c r="F607" s="10" t="str">
        <x:v>P2</x:v>
      </x:c>
      <x:c r="G607" s="9" t="str">
        <x:v>验证公会日业绩显示日期选项</x:v>
      </x:c>
      <x:c r="H607" s="9" t="str">
        <x:v>公会日数据筛选选项</x:v>
      </x:c>
      <x:c r="I607" s="9" t="str">
        <x:v>1. 执行角色为公会长
2. 已登录目标公会的公会长账号，打开公会业绩页并完成下列数据和页面状态准备</x:v>
      </x:c>
      <x:c r="J607" s="9" t="str">
        <x:v>1. 查看公会业绩页
2. 切换日数据
3. 点击日期范围</x:v>
      </x:c>
      <x:c r="K607" s="9" t="str">
        <x:v>可选本周、上周、本月、上月、自定义</x:v>
      </x:c>
      <x:c r="L607" s="10" t="str"/>
      <x:c r="M607" s="10" t="str">
        <x:v>未测</x:v>
      </x:c>
      <x:c r="N607" s="10" t="str"/>
      <x:c r="O607" s="9" t="str">
        <x:v>1. 来源（当前证据）：liveshow-proto/MainBasis/统一需求文档.md；位置：REQ-d37771cb543f；行3366
2. 规则：BR-c0a1fff388a0a27a
3. 未动态验证</x:v>
      </x:c>
    </x:row>
    <x:row r="608" ht="100" customHeight="1">
      <x:c r="A608" s="10" t="n">
        <x:v>607</x:v>
      </x:c>
      <x:c r="B608" s="10" t="str">
        <x:v>GUILD-03-0155</x:v>
      </x:c>
      <x:c r="C608" s="10" t="str">
        <x:v>运营工具</x:v>
      </x:c>
      <x:c r="D608" s="10" t="str">
        <x:v>运营账号主页（公会长视角）</x:v>
      </x:c>
      <x:c r="E608" s="10" t="str">
        <x:v>逻辑校验</x:v>
      </x:c>
      <x:c r="F608" s="10" t="str">
        <x:v>P1</x:v>
      </x:c>
      <x:c r="G608" s="9" t="str">
        <x:v>验证平台锁定运营账号不能启停</x:v>
      </x:c>
      <x:c r="H608" s="9" t="str">
        <x:v>运营管理锁定启停限制</x:v>
      </x:c>
      <x:c r="I608" s="9" t="str">
        <x:v>1. 执行角色为公会长
2. 已登录目标公会的公会长账号，打开运营账号主页页并完成下列数据和页面状态准备
3. O001平台管理权限锁定，账号余额100，公会剩余额度100</x:v>
      </x:c>
      <x:c r="J608" s="9" t="str">
        <x:v>1. 查看运营账号主页
2. 查看账号状态开关操作</x:v>
      </x:c>
      <x:c r="K608" s="9" t="str">
        <x:v>账号状态开关隐藏或不可用</x:v>
      </x:c>
      <x:c r="L608" s="10" t="str"/>
      <x:c r="M608" s="10" t="str">
        <x:v>未测</x:v>
      </x:c>
      <x:c r="N608" s="10" t="str"/>
      <x:c r="O608" s="9" t="str">
        <x:v>1. 来源（当前证据）：liveshow-proto/MainBasis/统一需求文档.md；位置：REQ-7e3fb4be88e3；行3167
2. 规则：BR-e784ee3bc8d644f6
3. 未动态验证</x:v>
      </x:c>
    </x:row>
    <x:row r="609" ht="100" customHeight="1">
      <x:c r="A609" s="10" t="n">
        <x:v>608</x:v>
      </x:c>
      <x:c r="B609" s="10" t="str">
        <x:v>GUILD-03-0156</x:v>
      </x:c>
      <x:c r="C609" s="10" t="str">
        <x:v>运营工具</x:v>
      </x:c>
      <x:c r="D609" s="10" t="str">
        <x:v>运营账号主页（公会长视角）</x:v>
      </x:c>
      <x:c r="E609" s="10" t="str">
        <x:v>逻辑校验</x:v>
      </x:c>
      <x:c r="F609" s="10" t="str">
        <x:v>P1</x:v>
      </x:c>
      <x:c r="G609" s="9" t="str">
        <x:v>验证平台锁定运营账号不能发放</x:v>
      </x:c>
      <x:c r="H609" s="9" t="str">
        <x:v>运营管理锁定发放限制</x:v>
      </x:c>
      <x:c r="I609" s="9" t="str">
        <x:v>1. 执行角色为公会长
2. 已登录目标公会的公会长账号，打开运营账号主页页并完成下列数据和页面状态准备
3. O001平台管理权限锁定，账号余额100，公会剩余额度100</x:v>
      </x:c>
      <x:c r="J609" s="9" t="str">
        <x:v>1. 查看运营账号主页
2. 查看发放金币操作</x:v>
      </x:c>
      <x:c r="K609" s="9" t="str">
        <x:v>发放金币隐藏或不可用</x:v>
      </x:c>
      <x:c r="L609" s="10" t="str"/>
      <x:c r="M609" s="10" t="str">
        <x:v>未测</x:v>
      </x:c>
      <x:c r="N609" s="10" t="str"/>
      <x:c r="O609" s="9" t="str">
        <x:v>1. 来源（当前证据）：liveshow-proto/MainBasis/统一需求文档.md；位置：REQ-7e3fb4be88e3；行3167
2. 规则：BR-7877144566e5f73b
3. 未动态验证</x:v>
      </x:c>
    </x:row>
    <x:row r="610" ht="130" customHeight="1">
      <x:c r="A610" s="10" t="n">
        <x:v>609</x:v>
      </x:c>
      <x:c r="B610" s="10" t="str">
        <x:v>GUILD-03-0157</x:v>
      </x:c>
      <x:c r="C610" s="10" t="str">
        <x:v>运营工具</x:v>
      </x:c>
      <x:c r="D610" s="10" t="str">
        <x:v>运营账号主页（公会长视角）</x:v>
      </x:c>
      <x:c r="E610" s="10" t="str">
        <x:v>逻辑校验</x:v>
      </x:c>
      <x:c r="F610" s="10" t="str">
        <x:v>P1</x:v>
      </x:c>
      <x:c r="G610" s="9" t="str">
        <x:v>验证平台解锁后公会恢复运营账号管理</x:v>
      </x:c>
      <x:c r="H610" s="9" t="str">
        <x:v>运营管理解锁后的操作权限</x:v>
      </x:c>
      <x:c r="I610" s="9" t="str">
        <x:v>1. 执行角色为公会长
2. 已登录目标公会的公会长账号，打开运营账号主页页并完成下列数据和页面状态准备
3. O001原被平台锁定公会管理权限；环境准备：平台刚解除该锁定；账号启用、余额100且可发额度100</x:v>
      </x:c>
      <x:c r="J610" s="9" t="str">
        <x:v>1. 查看运营账号主页
2. 填写发放数量为10
3. 点击发放金币</x:v>
      </x:c>
      <x:c r="K610" s="9" t="str">
        <x:v>账户余额显示110金币</x:v>
      </x:c>
      <x:c r="L610" s="10" t="str"/>
      <x:c r="M610" s="10" t="str">
        <x:v>未测</x:v>
      </x:c>
      <x:c r="N610" s="10" t="str"/>
      <x:c r="O610" s="9" t="str">
        <x:v>1. 来源（当前证据）：liveshow-proto/MainBasis/统一需求文档.md；位置：REQ-08aa8f7fddb5；行3143、REQ-ff9041624126；行3171、83f514363a6373cf7cb4d8784c55f4966897c9711e29d1d4c3eea4cfc772d7f4；行6011
2. 规则：BR-8b895ca0e6d73553
3. 未动态验证</x:v>
      </x:c>
    </x:row>
  </x:sheetData>
  <x:dataValidations count="3">
    <x:dataValidation type="list" sqref="E2:E610">
      <x:formula1>"功能需求,业务流程,逻辑校验,异常用例"</x:formula1>
    </x:dataValidation>
    <x:dataValidation type="list" sqref="F2:F610">
      <x:formula1>"P0,P1,P2,P3"</x:formula1>
    </x:dataValidation>
    <x:dataValidation type="list" sqref="M2:M610">
      <x:formula1>"未测,通过,不通过,阻塞,不适用"</x:formula1>
    </x:dataValidation>
  </x:dataValidations>
  <x:pageMargins left="0.7" right="0.7" top="0.75" bottom="0.75" header="0.3" footer="0.3"/>
  <x:tableParts count="1">
    <x:tablePart xmlns:r="http://schemas.openxmlformats.org/officeDocument/2006/relationships" r:id="R40e5c00b82824398"/>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customWidth="1"/>
    <x:col min="2" max="2" width="13" customWidth="1" hidden="1"/>
    <x:col min="3" max="3" width="13" customWidth="1" hidden="1"/>
    <x:col min="4" max="4" width="20" customWidth="1" hidden="1"/>
    <x:col min="5" max="5" width="11" customWidth="1" hidden="1"/>
    <x:col min="6" max="6" width="12" customWidth="1"/>
    <x:col min="7" max="7" width="28" customWidth="1"/>
    <x:col min="8" max="8" width="18" customWidth="1" hidden="1"/>
    <x:col min="9" max="9" width="34" customWidth="1"/>
    <x:col min="10" max="10" width="45" customWidth="1"/>
    <x:col min="11" max="11" width="36" customWidth="1" hidden="1"/>
    <x:col min="12" max="12" width="12" customWidth="1"/>
    <x:col min="13" max="13" width="24" customWidth="1"/>
    <x:col min="14" max="14" width="34" customWidth="1" hidden="1"/>
    <x:col min="15" max="15" width="30" customWidth="1" hidden="1"/>
    <x:col min="16" max="16" width="20" customWidth="1" hidden="1"/>
    <x:col min="17" max="17" width="30" customWidth="1" hidden="1"/>
    <x:col min="18" max="18" width="12" customWidth="1"/>
    <x:col min="19" max="19" width="21" customWidth="1" hidden="1"/>
    <x:col min="20" max="20" width="12" customWidth="1"/>
  </x:cols>
  <x:sheetData>
    <x:row r="1" ht="34" customHeight="1">
      <x:c r="A1" s="11" t="str">
        <x:v>问题编号</x:v>
      </x:c>
      <x:c r="B1" s="11" t="str">
        <x:v>需求组编号</x:v>
      </x:c>
      <x:c r="C1" s="11" t="str">
        <x:v>父问题编号</x:v>
      </x:c>
      <x:c r="D1" s="11" t="str">
        <x:v>追问触发条件</x:v>
      </x:c>
      <x:c r="E1" s="11" t="str">
        <x:v>阻塞等级</x:v>
      </x:c>
      <x:c r="F1" s="11" t="str">
        <x:v>功能模块</x:v>
      </x:c>
      <x:c r="G1" s="11" t="str">
        <x:v>具体场景</x:v>
      </x:c>
      <x:c r="H1" s="11" t="str">
        <x:v>问题分类</x:v>
      </x:c>
      <x:c r="I1" s="11" t="str">
        <x:v>待决策问题</x:v>
      </x:c>
      <x:c r="J1" s="11" t="str">
        <x:v>可选方案</x:v>
      </x:c>
      <x:c r="K1" s="11" t="str">
        <x:v>测试建议</x:v>
      </x:c>
      <x:c r="L1" s="11" t="str">
        <x:v>产品结论</x:v>
      </x:c>
      <x:c r="M1" s="11" t="str">
        <x:v>结论补充</x:v>
      </x:c>
      <x:c r="N1" s="11" t="str">
        <x:v>已知依据</x:v>
      </x:c>
      <x:c r="O1" s="11" t="str">
        <x:v>影响范围</x:v>
      </x:c>
      <x:c r="P1" s="11" t="str">
        <x:v>已有用例编号</x:v>
      </x:c>
      <x:c r="Q1" s="11" t="str">
        <x:v>确认后待补用例</x:v>
      </x:c>
      <x:c r="R1" s="11" t="str">
        <x:v>负责人</x:v>
      </x:c>
      <x:c r="S1" s="11" t="str">
        <x:v>期望确认时间</x:v>
      </x:c>
      <x:c r="T1" s="11" t="str">
        <x:v>确认状态</x:v>
      </x:c>
    </x:row>
    <x:row r="2" ht="100" customHeight="1">
      <x:c r="A2" s="10" t="str">
        <x:v>Q-005</x:v>
      </x:c>
      <x:c r="B2" s="10" t="str">
        <x:v>RQ-005</x:v>
      </x:c>
      <x:c r="C2" s="10" t="str"/>
      <x:c r="D2" s="10" t="str"/>
      <x:c r="E2" s="10" t="str">
        <x:v>部分阻塞</x:v>
      </x:c>
      <x:c r="F2" s="10" t="str">
        <x:v>运营工具</x:v>
      </x:c>
      <x:c r="G2" s="9" t="str">
        <x:v>创建运营账号</x:v>
      </x:c>
      <x:c r="H2" s="9" t="str">
        <x:v>字段与数据校验</x:v>
      </x:c>
      <x:c r="I2" s="9" t="str">
        <x:v>运营账号登录名允许什么格式？</x:v>
      </x:c>
      <x:c r="J2" s="9" t="str">
        <x:v>A. 必须为邮箱地址
B. 普通账号名且不要求邮箱格式</x:v>
      </x:c>
      <x:c r="K2" s="9" t="str">
        <x:v>建议先明确登录凭证类型，再补格式与唯一性边界；创建、启用或禁用后的用户端登录验证也依赖本项。</x:v>
      </x:c>
      <x:c r="L2" s="12" t="str"/>
      <x:c r="M2" s="12" t="str"/>
      <x:c r="N2" s="10" t="str">
        <x:v>1. liveshow-proto/MainBasis/需求待确认清单.md：- **REQ-bf9cdcdc206d** 【需求待确认】页面说明使用邮箱登录，但当前示例 nadia_ops 不是邮箱；需明确账号格式及校验。</x:v>
      </x:c>
      <x:c r="O2" s="9" t="str">
        <x:v>1. 创建运营账号</x:v>
      </x:c>
      <x:c r="P2" s="9" t="str"/>
      <x:c r="Q2" s="9" t="str">
        <x:v>1. 创建运营账号中由本问题决定的有效、无效及状态变更分支</x:v>
      </x:c>
      <x:c r="R2" s="9" t="str">
        <x:v>产品</x:v>
      </x:c>
      <x:c r="S2" s="9" t="str">
        <x:v>相关分支执行前</x:v>
      </x:c>
      <x:c r="T2" s="9" t="str">
        <x:v>待确认</x:v>
      </x:c>
    </x:row>
    <x:row r="3" ht="235" customHeight="1">
      <x:c r="A3" s="10" t="str">
        <x:v>Q-027</x:v>
      </x:c>
      <x:c r="B3" s="10" t="str">
        <x:v>RQ-027</x:v>
      </x:c>
      <x:c r="C3" s="10" t="str"/>
      <x:c r="D3" s="10" t="str"/>
      <x:c r="E3" s="10" t="str">
        <x:v>部分阻塞</x:v>
      </x:c>
      <x:c r="F3" s="10" t="str">
        <x:v>数据与收益</x:v>
      </x:c>
      <x:c r="G3" s="9" t="str">
        <x:v>人工余额修正的公会端展示</x:v>
      </x:c>
      <x:c r="H3" s="9" t="str">
        <x:v>配置和历史数据影响</x:v>
      </x:c>
      <x:c r="I3" s="9" t="str">
        <x:v>平台人工修正分成余额后，公会端是否展示对应修正记录？</x:v>
      </x:c>
      <x:c r="J3" s="9" t="str">
        <x:v>A. 公会端分成记录同时展示人工修正
B. 仅管理后台展示人工修正
C. 另设公会端余额与修正明细入口</x:v>
      </x:c>
      <x:c r="K3" s="9" t="str">
        <x:v>已复核当前MainBasis全部公会页面及余额、分成、修正同义条款：公会端只明确财务上传结果，未明确后台人工余额修正的观察入口；后台修正用例可独立执行。</x:v>
      </x:c>
      <x:c r="L3" s="12" t="str"/>
      <x:c r="M3" s="12" t="str"/>
      <x:c r="N3" s="10" t="str">
        <x:v>1. liveshow-proto/MainBasis/统一需求文档.md：- **REQ-2010984afb60** 【正式规则】1. 系统不在线计算或审批最终分成；财务线下确定比例和金额后上传结果。
2. liveshow-proto/MainBasis/统一需求文档.md：- **REQ-1afa9bbb787d** 【正式规则】1. 仅展示当前公会的财务上传结果，不提供日期筛选或在线分成计算。
3. liveshow-proto/MainBasis/统一需求文档.md：- **REQ-4d2a4bf5aa1c** 【正式规则】1. 余额变更 -&gt; 输入金额和原因 -&gt; 校验 -&gt; 生成不可修改的修正流水并更新余额。</x:v>
      </x:c>
      <x:c r="O3" s="9" t="str">
        <x:v>1. 人工余额修正的公会端展示</x:v>
      </x:c>
      <x:c r="P3" s="9" t="str"/>
      <x:c r="Q3" s="9" t="str">
        <x:v>1. 人工余额修正的公会端展示中由本问题决定的有效、无效及状态变更分支</x:v>
      </x:c>
      <x:c r="R3" s="9" t="str">
        <x:v>产品</x:v>
      </x:c>
      <x:c r="S3" s="9" t="str">
        <x:v>相关分支执行前</x:v>
      </x:c>
      <x:c r="T3" s="9" t="str">
        <x:v>待确认</x:v>
      </x:c>
    </x:row>
  </x:sheetData>
  <x:dataValidations count="5">
    <x:dataValidation type="list" sqref="E2:E3">
      <x:formula1>"阻塞测试,部分阻塞,不阻塞"</x:formula1>
    </x:dataValidation>
    <x:dataValidation type="list" sqref="H2:H3">
      <x:formula1>"需求范围,业务规则,角色与权限,流程与状态,字段与数据校验,计算与统计口径,异常处理,跨端与跨模块一致性,配置和历史数据影响,交互与文案规则"</x:formula1>
    </x:dataValidation>
    <x:dataValidation type="list" sqref="L2:L3">
      <x:formula1>"A,B,C,D,其他"</x:formula1>
    </x:dataValidation>
    <x:dataValidation type="list" sqref="R2:R3">
      <x:formula1>"产品,交互,技术,多方确认"</x:formula1>
    </x:dataValidation>
    <x:dataValidation type="list" sqref="T2:T3">
      <x:formula1>"待前置结论,待确认,确认中,已确认,无需处理"</x:formula1>
    </x:dataValidation>
  </x:dataValidations>
  <x:pageMargins left="0.7" right="0.7" top="0.75" bottom="0.75" header="0.3" footer="0.3"/>
  <x:tableParts count="1">
    <x:tablePart xmlns:r="http://schemas.openxmlformats.org/officeDocument/2006/relationships" r:id="Rc8060f170e5e41b0"/>
  </x:tableParts>
</x:worksheet>
</file>