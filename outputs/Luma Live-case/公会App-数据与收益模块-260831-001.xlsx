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da6cd75c574350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1333bfb0742e4e45"/>
    <x:sheet xmlns:r="http://schemas.openxmlformats.org/officeDocument/2006/relationships" name="需求待确认" sheetId="2" r:id="Race4560752464b1e"/>
    <x:sheet xmlns:r="http://schemas.openxmlformats.org/officeDocument/2006/relationships" name="产品决策概览" sheetId="3" r:id="Re21ae1fb9c5745df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6" xfId="0" applyNumberFormat="1" applyFont="1" applyFill="1" applyBorder="1"/>
    <x:xf numFmtId="0" fontId="7" fillId="5" borderId="6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6" xfId="0" applyNumberFormat="1" applyFont="1" applyFill="1" applyBorder="1"/>
    <x:xf numFmtId="0" fontId="8" fillId="7" borderId="6" xfId="0" applyNumberFormat="1" applyFont="1" applyFill="1" applyBorder="1" applyAlignment="1">
      <x:alignment horizontal="center"/>
    </x:xf>
    <x:xf numFmtId="0" fontId="8" fillId="7" borderId="6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2" xfId="0" applyNumberFormat="1" applyFont="1" applyFill="1" applyBorder="1"/>
    <x:xf numFmtId="0" fontId="9" fillId="2" borderId="2" xfId="0" applyNumberFormat="1" applyFont="1" applyFill="1" applyBorder="1" applyAlignment="1">
      <x:alignment horizontal="center"/>
    </x:xf>
    <x:xf numFmtId="0" fontId="9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0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horizontal="left" wrapText="1"/>
    </x:xf>
    <x:xf numFmtId="0" fontId="11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6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50b310d4248ba" /><Relationship Type="http://schemas.openxmlformats.org/officeDocument/2006/relationships/theme" Target="/xl/theme/theme1.xml" Id="Rca757f5ddb424909" /><Relationship Type="http://schemas.openxmlformats.org/officeDocument/2006/relationships/sharedStrings" Target="/xl/sharedStrings.xml" Id="R348b7096d0e044bc" /><Relationship Type="http://schemas.openxmlformats.org/officeDocument/2006/relationships/worksheet" Target="/xl/worksheets/sheet1.xml" Id="R1333bfb0742e4e45" /><Relationship Type="http://schemas.openxmlformats.org/officeDocument/2006/relationships/worksheet" Target="/xl/worksheets/sheet2.xml" Id="Race4560752464b1e" /><Relationship Type="http://schemas.openxmlformats.org/officeDocument/2006/relationships/worksheet" Target="/xl/worksheets/sheet3.xml" Id="Re21ae1fb9c5745df" /></Relationships>
</file>

<file path=xl/tables/table1.xml><?xml version="1.0" encoding="utf-8"?>
<x:table xmlns:x="http://schemas.openxmlformats.org/spreadsheetml/2006/main" id="1" name="GuildDataIncomeTestCases" displayName="GuildDataIncomeTestCases" ref="A1:O252" headerRowCount="1" totalsRowCount="0" totalsRowShown="0">
  <x:autoFilter ref="A1:O25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uildDataIncomePending" displayName="GuildDataIncomePending" ref="A1:T24" headerRowCount="1" totalsRowCount="0" totalsRowShown="0">
  <x:autoFilter ref="A1:T24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55074d71fc40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f0d16034ba42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22" hidden="0" customWidth="1"/>
    <x:col min="4" max="4" width="26" hidden="0" customWidth="1"/>
    <x:col min="5" max="5" width="13" hidden="0" customWidth="1"/>
    <x:col min="6" max="6" width="9" hidden="0" customWidth="1"/>
    <x:col min="7" max="7" width="34" hidden="0" customWidth="1"/>
    <x:col min="8" max="8" width="27" hidden="0" customWidth="1"/>
    <x:col min="9" max="9" width="46" hidden="0" customWidth="1"/>
    <x:col min="10" max="10" width="46" hidden="0" customWidth="1"/>
    <x:col min="11" max="11" width="52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97.5" customHeight="1">
      <x:c r="A2" s="5" t="n">
        <x:v>1</x:v>
      </x:c>
      <x:c r="B2" s="5" t="str">
        <x:v>GDE-001</x:v>
      </x:c>
      <x:c r="C2" s="5" t="str">
        <x:v>公会App-数据与收益模块</x:v>
      </x:c>
      <x:c r="D2" s="5" t="str">
        <x:v>首页入口</x:v>
      </x:c>
      <x:c r="E2" s="5" t="str">
        <x:v>业务流程</x:v>
      </x:c>
      <x:c r="F2" s="5" t="str">
        <x:v>P0</x:v>
      </x:c>
      <x:c r="G2" s="5" t="str">
        <x:v>验证从公会首页进入公会业绩</x:v>
      </x:c>
      <x:c r="H2" s="5" t="str">
        <x:v>公会业绩入口</x:v>
      </x:c>
      <x:c r="I2" s="5" t="str">
        <x:v>1. 公会长已登录公会 App</x:v>
      </x:c>
      <x:c r="J2" s="5" t="str">
        <x:v>1. 进入公会首页
2. 点击“公会业绩”</x:v>
      </x:c>
      <x:c r="K2" s="5" t="str">
        <x:v>1. 页面进入标题为“公会业绩”的页面</x:v>
      </x:c>
      <x:c r="L2" s="5" t="str">
        <x:v>FLOW-GDE-001</x:v>
      </x:c>
      <x:c r="M2" s="5" t="str">
        <x:v>未测</x:v>
      </x:c>
      <x:c r="N2" s="5" t="str"/>
      <x:c r="O2" s="5" t="str">
        <x:v>1. 来源：context/02-公会App-项目需求清单.md（2026-08-31 按原型同步，RSL-0005）
2. 来源：prototype/Luma Live-原型说明.md 与 prototype/index.html
3. 来源：prototype/pages/guild/home/guild-home.html；静态原型分析，未连接真实后端动态验证
4. 流程阶段：公会首页进入公会业绩
5. 同步追溯：work/liveshow-guild-data-income/prototype-context-sync-result.json；RSL-0005
6. 质量检查：最小前置条件、单一业务分支、单一可观察预期结果</x:v>
      </x:c>
    </x:row>
    <x:row r="3" ht="97.5" customHeight="1">
      <x:c r="A3" s="5" t="n">
        <x:v>2</x:v>
      </x:c>
      <x:c r="B3" s="5" t="str">
        <x:v>GDE-002</x:v>
      </x:c>
      <x:c r="C3" s="5" t="str">
        <x:v>公会App-数据与收益模块</x:v>
      </x:c>
      <x:c r="D3" s="5" t="str">
        <x:v>首页入口</x:v>
      </x:c>
      <x:c r="E3" s="5" t="str">
        <x:v>业务流程</x:v>
      </x:c>
      <x:c r="F3" s="5" t="str">
        <x:v>P1</x:v>
      </x:c>
      <x:c r="G3" s="5" t="str">
        <x:v>验证从公会首页进入每日</x:v>
      </x:c>
      <x:c r="H3" s="5" t="str">
        <x:v>每日入口</x:v>
      </x:c>
      <x:c r="I3" s="5" t="str">
        <x:v>1. 公会长已登录公会 App</x:v>
      </x:c>
      <x:c r="J3" s="5" t="str">
        <x:v>1. 进入公会首页
2. 点击“运营指标”</x:v>
      </x:c>
      <x:c r="K3" s="5" t="str">
        <x:v>1. 页面进入标题为“每日”的页面</x:v>
      </x:c>
      <x:c r="L3" s="5" t="str">
        <x:v>FLOW-GDE-001</x:v>
      </x:c>
      <x:c r="M3" s="5" t="str">
        <x:v>未测</x:v>
      </x:c>
      <x:c r="N3" s="5" t="str"/>
      <x:c r="O3" s="5" t="str">
        <x:v>1. 来源：context/02-公会App-项目需求清单.md（2026-08-31 按原型同步，RSL-0005）
2. 来源：prototype/Luma Live-原型说明.md 与 prototype/index.html
3. 来源：prototype/pages/guild/home/guild-home.html；静态原型分析，未连接真实后端动态验证
4. 流程阶段：公会首页进入每日
5. 同步追溯：work/liveshow-guild-data-income/prototype-context-sync-result.json；RSL-0005
6. 质量检查：最小前置条件、单一业务分支、单一可观察预期结果</x:v>
      </x:c>
    </x:row>
    <x:row r="4" ht="97.5" customHeight="1">
      <x:c r="A4" s="5" t="n">
        <x:v>3</x:v>
      </x:c>
      <x:c r="B4" s="5" t="str">
        <x:v>GDE-003</x:v>
      </x:c>
      <x:c r="C4" s="5" t="str">
        <x:v>公会App-数据与收益模块</x:v>
      </x:c>
      <x:c r="D4" s="5" t="str">
        <x:v>首页入口</x:v>
      </x:c>
      <x:c r="E4" s="5" t="str">
        <x:v>业务流程</x:v>
      </x:c>
      <x:c r="F4" s="5" t="str">
        <x:v>P1</x:v>
      </x:c>
      <x:c r="G4" s="5" t="str">
        <x:v>验证从公会首页进入违规记录</x:v>
      </x:c>
      <x:c r="H4" s="5" t="str">
        <x:v>违规记录入口</x:v>
      </x:c>
      <x:c r="I4" s="5" t="str">
        <x:v>1. 公会长已登录公会 App</x:v>
      </x:c>
      <x:c r="J4" s="5" t="str">
        <x:v>1. 进入公会首页
2. 点击“违规记录”</x:v>
      </x:c>
      <x:c r="K4" s="5" t="str">
        <x:v>1. 页面进入标题为“违规记录”的页面</x:v>
      </x:c>
      <x:c r="L4" s="5" t="str">
        <x:v>FLOW-GDE-003</x:v>
      </x:c>
      <x:c r="M4" s="5" t="str">
        <x:v>未测</x:v>
      </x:c>
      <x:c r="N4" s="5" t="str"/>
      <x:c r="O4" s="5" t="str">
        <x:v>1. 来源：context/02-公会App-项目需求清单.md（2026-08-31 按原型同步，RSL-0005）
2. 来源：prototype/Luma Live-原型说明.md 与 prototype/index.html
3. 来源：prototype/pages/guild/home/guild-home.html；静态原型分析，未连接真实后端动态验证
4. 流程阶段：公会首页进入违规记录
5. 同步追溯：work/liveshow-guild-data-income/prototype-context-sync-result.json；RSL-0005
6. 质量检查：最小前置条件、单一业务分支、单一可观察预期结果</x:v>
      </x:c>
    </x:row>
    <x:row r="5" ht="97.5" customHeight="1">
      <x:c r="A5" s="5" t="n">
        <x:v>4</x:v>
      </x:c>
      <x:c r="B5" s="5" t="str">
        <x:v>GDE-004</x:v>
      </x:c>
      <x:c r="C5" s="5" t="str">
        <x:v>公会App-数据与收益模块</x:v>
      </x:c>
      <x:c r="D5" s="5" t="str">
        <x:v>首页入口</x:v>
      </x:c>
      <x:c r="E5" s="5" t="str">
        <x:v>业务流程</x:v>
      </x:c>
      <x:c r="F5" s="5" t="str">
        <x:v>P1</x:v>
      </x:c>
      <x:c r="G5" s="5" t="str">
        <x:v>验证从公会首页进入主播分成记录</x:v>
      </x:c>
      <x:c r="H5" s="5" t="str">
        <x:v>主播分成记录入口</x:v>
      </x:c>
      <x:c r="I5" s="5" t="str">
        <x:v>1. 公会长已登录公会 App</x:v>
      </x:c>
      <x:c r="J5" s="5" t="str">
        <x:v>1. 进入公会首页
2. 点击“主播分成”</x:v>
      </x:c>
      <x:c r="K5" s="5" t="str">
        <x:v>1. 页面进入标题为“主播分成记录”的页面</x:v>
      </x:c>
      <x:c r="L5" s="5" t="str">
        <x:v>FLOW-GDE-004</x:v>
      </x:c>
      <x:c r="M5" s="5" t="str">
        <x:v>未测</x:v>
      </x:c>
      <x:c r="N5" s="5" t="str"/>
      <x:c r="O5" s="5" t="str">
        <x:v>1. 来源：context/02-公会App-项目需求清单.md（2026-08-31 按原型同步，RSL-0005）
2. 来源：prototype/Luma Live-原型说明.md 与 prototype/index.html
3. 来源：prototype/pages/guild/home/guild-home.html；静态原型分析，未连接真实后端动态验证
4. 流程阶段：公会首页进入主播分成记录
5. 同步追溯：work/liveshow-guild-data-income/prototype-context-sync-result.json；RSL-0005
6. 质量检查：最小前置条件、单一业务分支、单一可观察预期结果</x:v>
      </x:c>
    </x:row>
    <x:row r="6" ht="97.5" customHeight="1">
      <x:c r="A6" s="5" t="n">
        <x:v>5</x:v>
      </x:c>
      <x:c r="B6" s="5" t="str">
        <x:v>GDE-005</x:v>
      </x:c>
      <x:c r="C6" s="5" t="str">
        <x:v>公会App-数据与收益模块</x:v>
      </x:c>
      <x:c r="D6" s="5" t="str">
        <x:v>首页入口</x:v>
      </x:c>
      <x:c r="E6" s="5" t="str">
        <x:v>业务流程</x:v>
      </x:c>
      <x:c r="F6" s="5" t="str">
        <x:v>P1</x:v>
      </x:c>
      <x:c r="G6" s="5" t="str">
        <x:v>验证从公会首页进入公会分成记录</x:v>
      </x:c>
      <x:c r="H6" s="5" t="str">
        <x:v>公会分成记录入口</x:v>
      </x:c>
      <x:c r="I6" s="5" t="str">
        <x:v>1. 公会长已登录公会 App</x:v>
      </x:c>
      <x:c r="J6" s="5" t="str">
        <x:v>1. 进入公会首页
2. 点击“公会分成”</x:v>
      </x:c>
      <x:c r="K6" s="5" t="str">
        <x:v>1. 页面进入标题为“公会分成记录”的页面</x:v>
      </x:c>
      <x:c r="L6" s="5" t="str">
        <x:v>FLOW-GDE-005</x:v>
      </x:c>
      <x:c r="M6" s="5" t="str">
        <x:v>未测</x:v>
      </x:c>
      <x:c r="N6" s="5" t="str"/>
      <x:c r="O6" s="5" t="str">
        <x:v>1. 来源：context/02-公会App-项目需求清单.md（2026-08-31 按原型同步，RSL-0005）
2. 来源：prototype/Luma Live-原型说明.md 与 prototype/index.html
3. 来源：prototype/pages/guild/home/guild-home.html；静态原型分析，未连接真实后端动态验证
4. 流程阶段：公会首页进入公会分成记录
5. 同步追溯：work/liveshow-guild-data-income/prototype-context-sync-result.json；RSL-0005
6. 质量检查：最小前置条件、单一业务分支、单一可观察预期结果</x:v>
      </x:c>
    </x:row>
    <x:row r="7" ht="85.5" customHeight="1">
      <x:c r="A7" s="5" t="n">
        <x:v>6</x:v>
      </x:c>
      <x:c r="B7" s="5" t="str">
        <x:v>GDE-006</x:v>
      </x:c>
      <x:c r="C7" s="5" t="str">
        <x:v>公会App-数据与收益模块</x:v>
      </x:c>
      <x:c r="D7" s="5" t="str">
        <x:v>公会业绩/默认状态</x:v>
      </x:c>
      <x:c r="E7" s="5" t="str">
        <x:v>功能需求</x:v>
      </x:c>
      <x:c r="F7" s="5" t="str">
        <x:v>P1</x:v>
      </x:c>
      <x:c r="G7" s="5" t="str">
        <x:v>验证公会业绩默认数据维度</x:v>
      </x:c>
      <x:c r="H7" s="5" t="str">
        <x:v>默认日数据</x:v>
      </x:c>
      <x:c r="I7" s="5" t="str">
        <x:v>1. 公会长已进入公会业绩页</x:v>
      </x:c>
      <x:c r="J7" s="5" t="str">
        <x:v>1. 查看数据维度选项</x:v>
      </x:c>
      <x:c r="K7" s="5" t="str">
        <x:v>1. “日数据”处于选中状态</x:v>
      </x:c>
      <x:c r="L7" s="5" t="str"/>
      <x:c r="M7" s="5" t="str">
        <x:v>未测</x:v>
      </x:c>
      <x:c r="N7" s="5" t="str"/>
      <x:c r="O7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8" ht="85.5" customHeight="1">
      <x:c r="A8" s="5" t="n">
        <x:v>7</x:v>
      </x:c>
      <x:c r="B8" s="5" t="str">
        <x:v>GDE-007</x:v>
      </x:c>
      <x:c r="C8" s="5" t="str">
        <x:v>公会App-数据与收益模块</x:v>
      </x:c>
      <x:c r="D8" s="5" t="str">
        <x:v>公会业绩/默认状态</x:v>
      </x:c>
      <x:c r="E8" s="5" t="str">
        <x:v>功能需求</x:v>
      </x:c>
      <x:c r="F8" s="5" t="str">
        <x:v>P1</x:v>
      </x:c>
      <x:c r="G8" s="5" t="str">
        <x:v>验证公会业绩默认日期快捷项</x:v>
      </x:c>
      <x:c r="H8" s="5" t="str">
        <x:v>默认本月</x:v>
      </x:c>
      <x:c r="I8" s="5" t="str">
        <x:v>1. 公会长从首页首次进入公会业绩页</x:v>
      </x:c>
      <x:c r="J8" s="5" t="str">
        <x:v>1. 查看日期快捷项</x:v>
      </x:c>
      <x:c r="K8" s="5" t="str">
        <x:v>1. 日期快捷项显示“本月”</x:v>
      </x:c>
      <x:c r="L8" s="5" t="str"/>
      <x:c r="M8" s="5" t="str">
        <x:v>未测</x:v>
      </x:c>
      <x:c r="N8" s="5" t="str"/>
      <x:c r="O8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9" ht="85.5" customHeight="1">
      <x:c r="A9" s="5" t="n">
        <x:v>8</x:v>
      </x:c>
      <x:c r="B9" s="5" t="str">
        <x:v>GDE-008</x:v>
      </x:c>
      <x:c r="C9" s="5" t="str">
        <x:v>公会App-数据与收益模块</x:v>
      </x:c>
      <x:c r="D9" s="5" t="str">
        <x:v>公会业绩/维度切换</x:v>
      </x:c>
      <x:c r="E9" s="5" t="str">
        <x:v>业务流程</x:v>
      </x:c>
      <x:c r="F9" s="5" t="str">
        <x:v>P1</x:v>
      </x:c>
      <x:c r="G9" s="5" t="str">
        <x:v>验证切换到月数据</x:v>
      </x:c>
      <x:c r="H9" s="5" t="str">
        <x:v>月数据切换</x:v>
      </x:c>
      <x:c r="I9" s="5" t="str">
        <x:v>1. 公会业绩当前显示日数据</x:v>
      </x:c>
      <x:c r="J9" s="5" t="str">
        <x:v>1. 点击“月数据”</x:v>
      </x:c>
      <x:c r="K9" s="5" t="str">
        <x:v>1. “月数据”处于选中状态</x:v>
      </x:c>
      <x:c r="L9" s="5" t="str"/>
      <x:c r="M9" s="5" t="str">
        <x:v>未测</x:v>
      </x:c>
      <x:c r="N9" s="5" t="str"/>
      <x:c r="O9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10" ht="85.5" customHeight="1">
      <x:c r="A10" s="5" t="n">
        <x:v>9</x:v>
      </x:c>
      <x:c r="B10" s="5" t="str">
        <x:v>GDE-009</x:v>
      </x:c>
      <x:c r="C10" s="5" t="str">
        <x:v>公会App-数据与收益模块</x:v>
      </x:c>
      <x:c r="D10" s="5" t="str">
        <x:v>公会业绩/维度切换</x:v>
      </x:c>
      <x:c r="E10" s="5" t="str">
        <x:v>业务流程</x:v>
      </x:c>
      <x:c r="F10" s="5" t="str">
        <x:v>P2</x:v>
      </x:c>
      <x:c r="G10" s="5" t="str">
        <x:v>验证从月数据切回日数据</x:v>
      </x:c>
      <x:c r="H10" s="5" t="str">
        <x:v>日数据切换</x:v>
      </x:c>
      <x:c r="I10" s="5" t="str">
        <x:v>1. 公会业绩当前显示月数据</x:v>
      </x:c>
      <x:c r="J10" s="5" t="str">
        <x:v>1. 点击“日数据”</x:v>
      </x:c>
      <x:c r="K10" s="5" t="str">
        <x:v>1. “日数据”处于选中状态</x:v>
      </x:c>
      <x:c r="L10" s="5" t="str"/>
      <x:c r="M10" s="5" t="str">
        <x:v>未测</x:v>
      </x:c>
      <x:c r="N10" s="5" t="str"/>
      <x:c r="O10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11" ht="61.5" customHeight="1">
      <x:c r="A11" s="5" t="n">
        <x:v>10</x:v>
      </x:c>
      <x:c r="B11" s="5" t="str">
        <x:v>GDE-010</x:v>
      </x:c>
      <x:c r="C11" s="5" t="str">
        <x:v>公会App-数据与收益模块</x:v>
      </x:c>
      <x:c r="D11" s="5" t="str">
        <x:v>公会业绩/维度切换</x:v>
      </x:c>
      <x:c r="E11" s="5" t="str">
        <x:v>功能需求</x:v>
      </x:c>
      <x:c r="F11" s="5" t="str">
        <x:v>P2</x:v>
      </x:c>
      <x:c r="G11" s="5" t="str">
        <x:v>验证月数据不使用日数据日期筛选</x:v>
      </x:c>
      <x:c r="H11" s="5" t="str">
        <x:v>月数据筛选范围</x:v>
      </x:c>
      <x:c r="I11" s="5" t="str">
        <x:v>1. 公会业绩当前显示日数据</x:v>
      </x:c>
      <x:c r="J11" s="5" t="str">
        <x:v>1. 点击“月数据”
2. 查看日期筛选区</x:v>
      </x:c>
      <x:c r="K11" s="5" t="str">
        <x:v>1. 日数据日期筛选区不再显示</x:v>
      </x:c>
      <x:c r="L11" s="5" t="str"/>
      <x:c r="M11" s="5" t="str">
        <x:v>未测</x:v>
      </x:c>
      <x:c r="N11" s="5" t="str"/>
      <x:c r="O11" s="5" t="str">
        <x:v>1. 来源：prototype/pages/guild/data/guild-income.html；静态原型分析，未连接真实后端动态验证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12" ht="73.5" customHeight="1">
      <x:c r="A12" s="5" t="n">
        <x:v>11</x:v>
      </x:c>
      <x:c r="B12" s="5" t="str">
        <x:v>GDE-011</x:v>
      </x:c>
      <x:c r="C12" s="5" t="str">
        <x:v>公会App-数据与收益模块</x:v>
      </x:c>
      <x:c r="D12" s="5" t="str">
        <x:v>公会业绩/返回</x:v>
      </x:c>
      <x:c r="E12" s="5" t="str">
        <x:v>业务流程</x:v>
      </x:c>
      <x:c r="F12" s="5" t="str">
        <x:v>P2</x:v>
      </x:c>
      <x:c r="G12" s="5" t="str">
        <x:v>验证公会业绩返回公会首页</x:v>
      </x:c>
      <x:c r="H12" s="5" t="str">
        <x:v>返回公会首页</x:v>
      </x:c>
      <x:c r="I12" s="5" t="str">
        <x:v>1. 公会长已从首页进入公会业绩页</x:v>
      </x:c>
      <x:c r="J12" s="5" t="str">
        <x:v>1. 点击左上角返回按钮</x:v>
      </x:c>
      <x:c r="K12" s="5" t="str">
        <x:v>1. 页面返回公会首页</x:v>
      </x:c>
      <x:c r="L12" s="5" t="str">
        <x:v>FLOW-GDE-001</x:v>
      </x:c>
      <x:c r="M12" s="5" t="str">
        <x:v>未测</x:v>
      </x:c>
      <x:c r="N12" s="5" t="str"/>
      <x:c r="O12" s="5" t="str">
        <x:v>1. 来源：prototype/pages/guild/data/guild-income.html；静态原型分析，未连接真实后端动态验证
2. 流程阶段：公会业绩返回公会首页
3. 同步追溯：work/liveshow-guild-data-income/prototype-context-sync-result.json；RSL-0005
4. 质量检查：最小前置条件、单一业务分支、单一可观察预期结果</x:v>
      </x:c>
    </x:row>
    <x:row r="13" ht="85.5" customHeight="1">
      <x:c r="A13" s="5" t="n">
        <x:v>12</x:v>
      </x:c>
      <x:c r="B13" s="5" t="str">
        <x:v>GDE-012</x:v>
      </x:c>
      <x:c r="C13" s="5" t="str">
        <x:v>公会App-数据与收益模块</x:v>
      </x:c>
      <x:c r="D13" s="5" t="str">
        <x:v>公会业绩/快捷日期</x:v>
      </x:c>
      <x:c r="E13" s="5" t="str">
        <x:v>功能需求</x:v>
      </x:c>
      <x:c r="F13" s="5" t="str">
        <x:v>P1</x:v>
      </x:c>
      <x:c r="G13" s="5" t="str">
        <x:v>验证日数据快捷日期选项</x:v>
      </x:c>
      <x:c r="H13" s="5" t="str">
        <x:v>快捷日期选项</x:v>
      </x:c>
      <x:c r="I13" s="5" t="str">
        <x:v>1. 公会业绩当前显示日数据</x:v>
      </x:c>
      <x:c r="J13" s="5" t="str">
        <x:v>1. 打开日期快捷菜单</x:v>
      </x:c>
      <x:c r="K13" s="5" t="str">
        <x:v>1. 菜单展示本月、上月、本周、上周和自定义 5 个选项</x:v>
      </x:c>
      <x:c r="L13" s="5" t="str"/>
      <x:c r="M13" s="5" t="str">
        <x:v>未测</x:v>
      </x:c>
      <x:c r="N13" s="5" t="str"/>
      <x:c r="O13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14" ht="97.5" customHeight="1">
      <x:c r="A14" s="5" t="n">
        <x:v>13</x:v>
      </x:c>
      <x:c r="B14" s="5" t="str">
        <x:v>GDE-013</x:v>
      </x:c>
      <x:c r="C14" s="5" t="str">
        <x:v>公会App-数据与收益模块</x:v>
      </x:c>
      <x:c r="D14" s="5" t="str">
        <x:v>公会业绩/快捷日期</x:v>
      </x:c>
      <x:c r="E14" s="5" t="str">
        <x:v>逻辑校验</x:v>
      </x:c>
      <x:c r="F14" s="5" t="str">
        <x:v>P1</x:v>
      </x:c>
      <x:c r="G14" s="5" t="str">
        <x:v>验证本月筛选的日期范围</x:v>
      </x:c>
      <x:c r="H14" s="5" t="str">
        <x:v>本月日期范围</x:v>
      </x:c>
      <x:c r="I14" s="5" t="str">
        <x:v>1. 测试环境业务日期为 15/08/2026
2. 01/08/2026 至 15/08/2026 内外均存在日数据</x:v>
      </x:c>
      <x:c r="J14" s="5" t="str">
        <x:v>1. 打开日期快捷菜单
2. 选择“本月”
3. 查看日数据列表</x:v>
      </x:c>
      <x:c r="K14" s="5" t="str">
        <x:v>1. 日数据列表结果集仅包含 01/08/2026 至 15/08/2026 内的日期记录</x:v>
      </x:c>
      <x:c r="L14" s="5" t="str"/>
      <x:c r="M14" s="5" t="str">
        <x:v>未测</x:v>
      </x:c>
      <x:c r="N14" s="5" t="str"/>
      <x:c r="O14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15" ht="97.5" customHeight="1">
      <x:c r="A15" s="5" t="n">
        <x:v>14</x:v>
      </x:c>
      <x:c r="B15" s="5" t="str">
        <x:v>GDE-014</x:v>
      </x:c>
      <x:c r="C15" s="5" t="str">
        <x:v>公会App-数据与收益模块</x:v>
      </x:c>
      <x:c r="D15" s="5" t="str">
        <x:v>公会业绩/快捷日期</x:v>
      </x:c>
      <x:c r="E15" s="5" t="str">
        <x:v>逻辑校验</x:v>
      </x:c>
      <x:c r="F15" s="5" t="str">
        <x:v>P1</x:v>
      </x:c>
      <x:c r="G15" s="5" t="str">
        <x:v>验证上月筛选的日期范围</x:v>
      </x:c>
      <x:c r="H15" s="5" t="str">
        <x:v>上月日期范围</x:v>
      </x:c>
      <x:c r="I15" s="5" t="str">
        <x:v>1. 测试环境业务日期为 15/08/2026
2. 01/07/2026 至 31/07/2026 内外均存在日数据</x:v>
      </x:c>
      <x:c r="J15" s="5" t="str">
        <x:v>1. 打开日期快捷菜单
2. 选择“上月”
3. 查看日数据列表</x:v>
      </x:c>
      <x:c r="K15" s="5" t="str">
        <x:v>1. 日数据列表结果集仅包含 01/07/2026 至 31/07/2026 内的日期记录</x:v>
      </x:c>
      <x:c r="L15" s="5" t="str"/>
      <x:c r="M15" s="5" t="str">
        <x:v>未测</x:v>
      </x:c>
      <x:c r="N15" s="5" t="str"/>
      <x:c r="O15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16" ht="97.5" customHeight="1">
      <x:c r="A16" s="5" t="n">
        <x:v>15</x:v>
      </x:c>
      <x:c r="B16" s="5" t="str">
        <x:v>GDE-015</x:v>
      </x:c>
      <x:c r="C16" s="5" t="str">
        <x:v>公会App-数据与收益模块</x:v>
      </x:c>
      <x:c r="D16" s="5" t="str">
        <x:v>公会业绩/快捷日期</x:v>
      </x:c>
      <x:c r="E16" s="5" t="str">
        <x:v>逻辑校验</x:v>
      </x:c>
      <x:c r="F16" s="5" t="str">
        <x:v>P1</x:v>
      </x:c>
      <x:c r="G16" s="5" t="str">
        <x:v>验证本周筛选的日期范围</x:v>
      </x:c>
      <x:c r="H16" s="5" t="str">
        <x:v>本周日期范围</x:v>
      </x:c>
      <x:c r="I16" s="5" t="str">
        <x:v>1. 测试环境业务日期为 15/08/2026
2. 10/08/2026 至 15/08/2026 内外均存在日数据</x:v>
      </x:c>
      <x:c r="J16" s="5" t="str">
        <x:v>1. 打开日期快捷菜单
2. 选择“本周”
3. 查看日数据列表</x:v>
      </x:c>
      <x:c r="K16" s="5" t="str">
        <x:v>1. 日数据列表结果集仅包含 10/08/2026 至 15/08/2026 内的日期记录</x:v>
      </x:c>
      <x:c r="L16" s="5" t="str"/>
      <x:c r="M16" s="5" t="str">
        <x:v>未测</x:v>
      </x:c>
      <x:c r="N16" s="5" t="str"/>
      <x:c r="O16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17" ht="97.5" customHeight="1">
      <x:c r="A17" s="5" t="n">
        <x:v>16</x:v>
      </x:c>
      <x:c r="B17" s="5" t="str">
        <x:v>GDE-016</x:v>
      </x:c>
      <x:c r="C17" s="5" t="str">
        <x:v>公会App-数据与收益模块</x:v>
      </x:c>
      <x:c r="D17" s="5" t="str">
        <x:v>公会业绩/快捷日期</x:v>
      </x:c>
      <x:c r="E17" s="5" t="str">
        <x:v>逻辑校验</x:v>
      </x:c>
      <x:c r="F17" s="5" t="str">
        <x:v>P1</x:v>
      </x:c>
      <x:c r="G17" s="5" t="str">
        <x:v>验证上周筛选的日期范围</x:v>
      </x:c>
      <x:c r="H17" s="5" t="str">
        <x:v>上周日期范围</x:v>
      </x:c>
      <x:c r="I17" s="5" t="str">
        <x:v>1. 测试环境业务日期为 15/08/2026
2. 03/08/2026 至 09/08/2026 内外均存在日数据</x:v>
      </x:c>
      <x:c r="J17" s="5" t="str">
        <x:v>1. 打开日期快捷菜单
2. 选择“上周”
3. 查看日数据列表</x:v>
      </x:c>
      <x:c r="K17" s="5" t="str">
        <x:v>1. 日数据列表结果集仅包含 03/08/2026 至 09/08/2026 内的日期记录</x:v>
      </x:c>
      <x:c r="L17" s="5" t="str"/>
      <x:c r="M17" s="5" t="str">
        <x:v>未测</x:v>
      </x:c>
      <x:c r="N17" s="5" t="str"/>
      <x:c r="O17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18" ht="61.5" customHeight="1">
      <x:c r="A18" s="5" t="n">
        <x:v>17</x:v>
      </x:c>
      <x:c r="B18" s="5" t="str">
        <x:v>GDE-017</x:v>
      </x:c>
      <x:c r="C18" s="5" t="str">
        <x:v>公会App-数据与收益模块</x:v>
      </x:c>
      <x:c r="D18" s="5" t="str">
        <x:v>公会业绩/快捷日期</x:v>
      </x:c>
      <x:c r="E18" s="5" t="str">
        <x:v>功能需求</x:v>
      </x:c>
      <x:c r="F18" s="5" t="str">
        <x:v>P2</x:v>
      </x:c>
      <x:c r="G18" s="5" t="str">
        <x:v>验证点击菜单外关闭快捷日期菜单</x:v>
      </x:c>
      <x:c r="H18" s="5" t="str">
        <x:v>菜单外关闭</x:v>
      </x:c>
      <x:c r="I18" s="5" t="str">
        <x:v>1. 公会业绩快捷日期菜单已打开</x:v>
      </x:c>
      <x:c r="J18" s="5" t="str">
        <x:v>1. 点击菜单外页面区域</x:v>
      </x:c>
      <x:c r="K18" s="5" t="str">
        <x:v>1. 快捷日期菜单关闭</x:v>
      </x:c>
      <x:c r="L18" s="5" t="str"/>
      <x:c r="M18" s="5" t="str">
        <x:v>未测</x:v>
      </x:c>
      <x:c r="N18" s="5" t="str"/>
      <x:c r="O18" s="5" t="str">
        <x:v>1. 来源：prototype/pages/guild/data/guild-income.html；静态原型分析，未连接真实后端动态验证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19" ht="61.5" customHeight="1">
      <x:c r="A19" s="5" t="n">
        <x:v>18</x:v>
      </x:c>
      <x:c r="B19" s="5" t="str">
        <x:v>GDE-018</x:v>
      </x:c>
      <x:c r="C19" s="5" t="str">
        <x:v>公会App-数据与收益模块</x:v>
      </x:c>
      <x:c r="D19" s="5" t="str">
        <x:v>公会业绩/快捷日期</x:v>
      </x:c>
      <x:c r="E19" s="5" t="str">
        <x:v>功能需求</x:v>
      </x:c>
      <x:c r="F19" s="5" t="str">
        <x:v>P3</x:v>
      </x:c>
      <x:c r="G19" s="5" t="str">
        <x:v>验证按 Escape 关闭快捷日期菜单</x:v>
      </x:c>
      <x:c r="H19" s="5" t="str">
        <x:v>键盘关闭菜单</x:v>
      </x:c>
      <x:c r="I19" s="5" t="str">
        <x:v>1. 公会业绩快捷日期菜单已打开
2. 测试设备连接物理键盘</x:v>
      </x:c>
      <x:c r="J19" s="5" t="str">
        <x:v>1. 按 Escape 键</x:v>
      </x:c>
      <x:c r="K19" s="5" t="str">
        <x:v>1. 快捷日期菜单关闭</x:v>
      </x:c>
      <x:c r="L19" s="5" t="str"/>
      <x:c r="M19" s="5" t="str">
        <x:v>未测</x:v>
      </x:c>
      <x:c r="N19" s="5" t="str"/>
      <x:c r="O19" s="5" t="str">
        <x:v>1. 来源：prototype/pages/guild/data/guild-income.html；静态原型分析，未连接真实后端动态验证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20" ht="73.5" customHeight="1">
      <x:c r="A20" s="5" t="n">
        <x:v>19</x:v>
      </x:c>
      <x:c r="B20" s="5" t="str">
        <x:v>GDE-019</x:v>
      </x:c>
      <x:c r="C20" s="5" t="str">
        <x:v>公会App-数据与收益模块</x:v>
      </x:c>
      <x:c r="D20" s="5" t="str">
        <x:v>公会业绩/自定义日期</x:v>
      </x:c>
      <x:c r="E20" s="5" t="str">
        <x:v>功能需求</x:v>
      </x:c>
      <x:c r="F20" s="5" t="str">
        <x:v>P1</x:v>
      </x:c>
      <x:c r="G20" s="5" t="str">
        <x:v>验证自定义日期入口</x:v>
      </x:c>
      <x:c r="H20" s="5" t="str">
        <x:v>自定义日期入口</x:v>
      </x:c>
      <x:c r="I20" s="5" t="str">
        <x:v>1. 公会业绩当前显示日数据</x:v>
      </x:c>
      <x:c r="J20" s="5" t="str">
        <x:v>1. 打开日期快捷菜单
2. 选择“自定义”</x:v>
      </x:c>
      <x:c r="K20" s="5" t="str">
        <x:v>1. 页面打开标题为“选择日期”的日期选择器</x:v>
      </x:c>
      <x:c r="L20" s="5" t="str"/>
      <x:c r="M20" s="5" t="str">
        <x:v>未测</x:v>
      </x:c>
      <x:c r="N20" s="5" t="str"/>
      <x:c r="O20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1" ht="73.5" customHeight="1">
      <x:c r="A21" s="5" t="n">
        <x:v>20</x:v>
      </x:c>
      <x:c r="B21" s="5" t="str">
        <x:v>GDE-020</x:v>
      </x:c>
      <x:c r="C21" s="5" t="str">
        <x:v>公会App-数据与收益模块</x:v>
      </x:c>
      <x:c r="D21" s="5" t="str">
        <x:v>公会业绩/自定义日期</x:v>
      </x:c>
      <x:c r="E21" s="5" t="str">
        <x:v>功能需求</x:v>
      </x:c>
      <x:c r="F21" s="5" t="str">
        <x:v>P2</x:v>
      </x:c>
      <x:c r="G21" s="5" t="str">
        <x:v>验证取消日期选择</x:v>
      </x:c>
      <x:c r="H21" s="5" t="str">
        <x:v>取消日期选择</x:v>
      </x:c>
      <x:c r="I21" s="5" t="str">
        <x:v>1. 公会业绩日期选择器已打开</x:v>
      </x:c>
      <x:c r="J21" s="5" t="str">
        <x:v>1. 点击“取消”</x:v>
      </x:c>
      <x:c r="K21" s="5" t="str">
        <x:v>1. 日期选择器关闭</x:v>
      </x:c>
      <x:c r="L21" s="5" t="str"/>
      <x:c r="M21" s="5" t="str">
        <x:v>未测</x:v>
      </x:c>
      <x:c r="N21" s="5" t="str"/>
      <x:c r="O21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2" ht="73.5" customHeight="1">
      <x:c r="A22" s="5" t="n">
        <x:v>21</x:v>
      </x:c>
      <x:c r="B22" s="5" t="str">
        <x:v>GDE-021</x:v>
      </x:c>
      <x:c r="C22" s="5" t="str">
        <x:v>公会App-数据与收益模块</x:v>
      </x:c>
      <x:c r="D22" s="5" t="str">
        <x:v>公会业绩/自定义日期</x:v>
      </x:c>
      <x:c r="E22" s="5" t="str">
        <x:v>逻辑校验</x:v>
      </x:c>
      <x:c r="F22" s="5" t="str">
        <x:v>P2</x:v>
      </x:c>
      <x:c r="G22" s="5" t="str">
        <x:v>验证取消保留日期</x:v>
      </x:c>
      <x:c r="H22" s="5" t="str">
        <x:v>取消保留日期</x:v>
      </x:c>
      <x:c r="I22" s="5" t="str">
        <x:v>1. 已应用日期范围为 10/08/2026 至 15/08/2026
2. 日期选择器已打开</x:v>
      </x:c>
      <x:c r="J22" s="5" t="str">
        <x:v>1. 选择 12/08/2026
2. 点击“取消”</x:v>
      </x:c>
      <x:c r="K22" s="5" t="str">
        <x:v>1. 已应用日期范围仍为 10/08/2026 至 15/08/2026</x:v>
      </x:c>
      <x:c r="L22" s="5" t="str"/>
      <x:c r="M22" s="5" t="str">
        <x:v>未测</x:v>
      </x:c>
      <x:c r="N22" s="5" t="str"/>
      <x:c r="O22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3" ht="73.5" customHeight="1">
      <x:c r="A23" s="5" t="n">
        <x:v>22</x:v>
      </x:c>
      <x:c r="B23" s="5" t="str">
        <x:v>GDE-022</x:v>
      </x:c>
      <x:c r="C23" s="5" t="str">
        <x:v>公会App-数据与收益模块</x:v>
      </x:c>
      <x:c r="D23" s="5" t="str">
        <x:v>公会业绩/自定义日期</x:v>
      </x:c>
      <x:c r="E23" s="5" t="str">
        <x:v>功能需求</x:v>
      </x:c>
      <x:c r="F23" s="5" t="str">
        <x:v>P3</x:v>
      </x:c>
      <x:c r="G23" s="5" t="str">
        <x:v>验证遮罩关闭日期选择</x:v>
      </x:c>
      <x:c r="H23" s="5" t="str">
        <x:v>遮罩关闭日期选择</x:v>
      </x:c>
      <x:c r="I23" s="5" t="str">
        <x:v>1. 公会业绩日期选择器已打开</x:v>
      </x:c>
      <x:c r="J23" s="5" t="str">
        <x:v>1. 点击日期选择器外的遮罩区域</x:v>
      </x:c>
      <x:c r="K23" s="5" t="str">
        <x:v>1. 日期选择器关闭</x:v>
      </x:c>
      <x:c r="L23" s="5" t="str"/>
      <x:c r="M23" s="5" t="str">
        <x:v>未测</x:v>
      </x:c>
      <x:c r="N23" s="5" t="str"/>
      <x:c r="O23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4" ht="73.5" customHeight="1">
      <x:c r="A24" s="5" t="n">
        <x:v>23</x:v>
      </x:c>
      <x:c r="B24" s="5" t="str">
        <x:v>GDE-023</x:v>
      </x:c>
      <x:c r="C24" s="5" t="str">
        <x:v>公会App-数据与收益模块</x:v>
      </x:c>
      <x:c r="D24" s="5" t="str">
        <x:v>公会业绩/自定义日期</x:v>
      </x:c>
      <x:c r="E24" s="5" t="str">
        <x:v>功能需求</x:v>
      </x:c>
      <x:c r="F24" s="5" t="str">
        <x:v>P3</x:v>
      </x:c>
      <x:c r="G24" s="5" t="str">
        <x:v>验证键盘关闭日期选择</x:v>
      </x:c>
      <x:c r="H24" s="5" t="str">
        <x:v>键盘关闭日期选择</x:v>
      </x:c>
      <x:c r="I24" s="5" t="str">
        <x:v>1. 公会业绩日期选择器已打开
2. 测试设备连接物理键盘</x:v>
      </x:c>
      <x:c r="J24" s="5" t="str">
        <x:v>1. 按 Escape 键</x:v>
      </x:c>
      <x:c r="K24" s="5" t="str">
        <x:v>1. 日期选择器关闭</x:v>
      </x:c>
      <x:c r="L24" s="5" t="str"/>
      <x:c r="M24" s="5" t="str">
        <x:v>未测</x:v>
      </x:c>
      <x:c r="N24" s="5" t="str"/>
      <x:c r="O24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5" ht="73.5" customHeight="1">
      <x:c r="A25" s="5" t="n">
        <x:v>24</x:v>
      </x:c>
      <x:c r="B25" s="5" t="str">
        <x:v>GDE-024</x:v>
      </x:c>
      <x:c r="C25" s="5" t="str">
        <x:v>公会App-数据与收益模块</x:v>
      </x:c>
      <x:c r="D25" s="5" t="str">
        <x:v>公会业绩/自定义日期</x:v>
      </x:c>
      <x:c r="E25" s="5" t="str">
        <x:v>逻辑校验</x:v>
      </x:c>
      <x:c r="F25" s="5" t="str">
        <x:v>P1</x:v>
      </x:c>
      <x:c r="G25" s="5" t="str">
        <x:v>验证自定义单日范围</x:v>
      </x:c>
      <x:c r="H25" s="5" t="str">
        <x:v>自定义单日范围</x:v>
      </x:c>
      <x:c r="I25" s="5" t="str">
        <x:v>1. 12/08/2026 存在日数据
2. 13/08/2026 存在日数据</x:v>
      </x:c>
      <x:c r="J25" s="5" t="str">
        <x:v>1. 打开日期选择器
2. 选择 12/08/2026
3. 点击“确定”</x:v>
      </x:c>
      <x:c r="K25" s="5" t="str">
        <x:v>1. 日数据列表结果集仅包含 12/08/2026 的记录</x:v>
      </x:c>
      <x:c r="L25" s="5" t="str"/>
      <x:c r="M25" s="5" t="str">
        <x:v>未测</x:v>
      </x:c>
      <x:c r="N25" s="5" t="str"/>
      <x:c r="O25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6" ht="73.5" customHeight="1">
      <x:c r="A26" s="5" t="n">
        <x:v>25</x:v>
      </x:c>
      <x:c r="B26" s="5" t="str">
        <x:v>GDE-025</x:v>
      </x:c>
      <x:c r="C26" s="5" t="str">
        <x:v>公会App-数据与收益模块</x:v>
      </x:c>
      <x:c r="D26" s="5" t="str">
        <x:v>公会业绩/自定义日期</x:v>
      </x:c>
      <x:c r="E26" s="5" t="str">
        <x:v>逻辑校验</x:v>
      </x:c>
      <x:c r="F26" s="5" t="str">
        <x:v>P1</x:v>
      </x:c>
      <x:c r="G26" s="5" t="str">
        <x:v>验证自定义连续范围</x:v>
      </x:c>
      <x:c r="H26" s="5" t="str">
        <x:v>自定义连续范围</x:v>
      </x:c>
      <x:c r="I26" s="5" t="str">
        <x:v>1. 10/08/2026 至 12/08/2026 内外均存在日数据</x:v>
      </x:c>
      <x:c r="J26" s="5" t="str">
        <x:v>1. 打开日期选择器
2. 选择 10/08/2026
3. 选择 12/08/2026
4. 点击“确定”</x:v>
      </x:c>
      <x:c r="K26" s="5" t="str">
        <x:v>1. 日数据列表结果集仅包含 10/08/2026 至 12/08/2026 内的日期记录</x:v>
      </x:c>
      <x:c r="L26" s="5" t="str"/>
      <x:c r="M26" s="5" t="str">
        <x:v>未测</x:v>
      </x:c>
      <x:c r="N26" s="5" t="str"/>
      <x:c r="O26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7" ht="73.5" customHeight="1">
      <x:c r="A27" s="5" t="n">
        <x:v>26</x:v>
      </x:c>
      <x:c r="B27" s="5" t="str">
        <x:v>GDE-026</x:v>
      </x:c>
      <x:c r="C27" s="5" t="str">
        <x:v>公会App-数据与收益模块</x:v>
      </x:c>
      <x:c r="D27" s="5" t="str">
        <x:v>公会业绩/自定义日期</x:v>
      </x:c>
      <x:c r="E27" s="5" t="str">
        <x:v>逻辑校验</x:v>
      </x:c>
      <x:c r="F27" s="5" t="str">
        <x:v>P1</x:v>
      </x:c>
      <x:c r="G27" s="5" t="str">
        <x:v>验证反向日期归一</x:v>
      </x:c>
      <x:c r="H27" s="5" t="str">
        <x:v>反向日期归一</x:v>
      </x:c>
      <x:c r="I27" s="5" t="str">
        <x:v>1. 公会业绩日期选择器已打开</x:v>
      </x:c>
      <x:c r="J27" s="5" t="str">
        <x:v>1. 先选择 15/08/2026
2. 再选择 12/08/2026
3. 点击“确定”</x:v>
      </x:c>
      <x:c r="K27" s="5" t="str">
        <x:v>1. 日期范围按 12/08/2026 至 15/08/2026 应用</x:v>
      </x:c>
      <x:c r="L27" s="5" t="str"/>
      <x:c r="M27" s="5" t="str">
        <x:v>未测</x:v>
      </x:c>
      <x:c r="N27" s="5" t="str"/>
      <x:c r="O27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8" ht="73.5" customHeight="1">
      <x:c r="A28" s="5" t="n">
        <x:v>27</x:v>
      </x:c>
      <x:c r="B28" s="5" t="str">
        <x:v>GDE-027</x:v>
      </x:c>
      <x:c r="C28" s="5" t="str">
        <x:v>公会App-数据与收益模块</x:v>
      </x:c>
      <x:c r="D28" s="5" t="str">
        <x:v>公会业绩/自定义日期</x:v>
      </x:c>
      <x:c r="E28" s="5" t="str">
        <x:v>异常用例</x:v>
      </x:c>
      <x:c r="F28" s="5" t="str">
        <x:v>P2</x:v>
      </x:c>
      <x:c r="G28" s="5" t="str">
        <x:v>验证无数据日期范围</x:v>
      </x:c>
      <x:c r="H28" s="5" t="str">
        <x:v>无数据日期范围</x:v>
      </x:c>
      <x:c r="I28" s="5" t="str">
        <x:v>1. 01/06/2026 至 02/06/2026 没有公会日数据</x:v>
      </x:c>
      <x:c r="J28" s="5" t="str">
        <x:v>1. 应用 01/06/2026 至 02/06/2026 的日期范围</x:v>
      </x:c>
      <x:c r="K28" s="5" t="str">
        <x:v>1. 日数据区显示“当前范围暂无数据”</x:v>
      </x:c>
      <x:c r="L28" s="5" t="str"/>
      <x:c r="M28" s="5" t="str">
        <x:v>未测</x:v>
      </x:c>
      <x:c r="N28" s="5" t="str"/>
      <x:c r="O28" s="5" t="str">
        <x:v>1. 来源：context/02-公会App-项目需求清单.md（2026-08-31 按原型同步，RSL-0005）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29" ht="97.5" customHeight="1">
      <x:c r="A29" s="5" t="n">
        <x:v>28</x:v>
      </x:c>
      <x:c r="B29" s="5" t="str">
        <x:v>GDE-028</x:v>
      </x:c>
      <x:c r="C29" s="5" t="str">
        <x:v>公会App-数据与收益模块</x:v>
      </x:c>
      <x:c r="D29" s="5" t="str">
        <x:v>公会业绩/日数据汇总</x:v>
      </x:c>
      <x:c r="E29" s="5" t="str">
        <x:v>逻辑校验</x:v>
      </x:c>
      <x:c r="F29" s="5" t="str">
        <x:v>P1</x:v>
      </x:c>
      <x:c r="G29" s="5" t="str">
        <x:v>验证公会收益汇总</x:v>
      </x:c>
      <x:c r="H29" s="5" t="str">
        <x:v>公会收益汇总</x:v>
      </x:c>
      <x:c r="I29" s="5" t="str">
        <x:v>1. 筛选范围包含 10/08/2026 和 11/08/2026
2. 两日真实礼物金币收益分别为 50,000 和 32,000</x:v>
      </x:c>
      <x:c r="J29" s="5" t="str">
        <x:v>1. 应用对应日期范围
2. 查看汇总指标</x:v>
      </x:c>
      <x:c r="K29" s="5" t="str">
        <x:v>1. 公会收益按 50,000 + 32,000 = 82,000 金币显示</x:v>
      </x:c>
      <x:c r="L29" s="5" t="str"/>
      <x:c r="M29" s="5" t="str">
        <x:v>未测</x:v>
      </x:c>
      <x:c r="N29" s="5" t="str"/>
      <x:c r="O29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30" ht="97.5" customHeight="1">
      <x:c r="A30" s="5" t="n">
        <x:v>29</x:v>
      </x:c>
      <x:c r="B30" s="5" t="str">
        <x:v>GDE-029</x:v>
      </x:c>
      <x:c r="C30" s="5" t="str">
        <x:v>公会App-数据与收益模块</x:v>
      </x:c>
      <x:c r="D30" s="5" t="str">
        <x:v>公会业绩/日数据汇总</x:v>
      </x:c>
      <x:c r="E30" s="5" t="str">
        <x:v>逻辑校验</x:v>
      </x:c>
      <x:c r="F30" s="5" t="str">
        <x:v>P1</x:v>
      </x:c>
      <x:c r="G30" s="5" t="str">
        <x:v>验证直播场次汇总</x:v>
      </x:c>
      <x:c r="H30" s="5" t="str">
        <x:v>直播场次汇总</x:v>
      </x:c>
      <x:c r="I30" s="5" t="str">
        <x:v>1. 筛选范围包含 10/08/2026 和 11/08/2026
2. 两日直播场次分别为 3 场和 4 场</x:v>
      </x:c>
      <x:c r="J30" s="5" t="str">
        <x:v>1. 应用对应日期范围
2. 查看汇总指标</x:v>
      </x:c>
      <x:c r="K30" s="5" t="str">
        <x:v>1. 直播场次按 3 + 4 = 7 场显示</x:v>
      </x:c>
      <x:c r="L30" s="5" t="str"/>
      <x:c r="M30" s="5" t="str">
        <x:v>未测</x:v>
      </x:c>
      <x:c r="N30" s="5" t="str"/>
      <x:c r="O30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31" ht="97.5" customHeight="1">
      <x:c r="A31" s="5" t="n">
        <x:v>30</x:v>
      </x:c>
      <x:c r="B31" s="5" t="str">
        <x:v>GDE-030</x:v>
      </x:c>
      <x:c r="C31" s="5" t="str">
        <x:v>公会App-数据与收益模块</x:v>
      </x:c>
      <x:c r="D31" s="5" t="str">
        <x:v>公会业绩/日数据汇总</x:v>
      </x:c>
      <x:c r="E31" s="5" t="str">
        <x:v>逻辑校验</x:v>
      </x:c>
      <x:c r="F31" s="5" t="str">
        <x:v>P1</x:v>
      </x:c>
      <x:c r="G31" s="5" t="str">
        <x:v>验证有效天汇总</x:v>
      </x:c>
      <x:c r="H31" s="5" t="str">
        <x:v>有效天汇总</x:v>
      </x:c>
      <x:c r="I31" s="5" t="str">
        <x:v>1. 筛选范围包含 10/08/2026 和 11/08/2026
2. 两日达成有效天分别为 2 天和 3 天</x:v>
      </x:c>
      <x:c r="J31" s="5" t="str">
        <x:v>1. 应用对应日期范围
2. 查看汇总指标</x:v>
      </x:c>
      <x:c r="K31" s="5" t="str">
        <x:v>1. 达成有效天按 2 + 3 = 5 天显示</x:v>
      </x:c>
      <x:c r="L31" s="5" t="str"/>
      <x:c r="M31" s="5" t="str">
        <x:v>未测</x:v>
      </x:c>
      <x:c r="N31" s="5" t="str"/>
      <x:c r="O31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32" ht="97.5" customHeight="1">
      <x:c r="A32" s="5" t="n">
        <x:v>31</x:v>
      </x:c>
      <x:c r="B32" s="5" t="str">
        <x:v>GDE-031</x:v>
      </x:c>
      <x:c r="C32" s="5" t="str">
        <x:v>公会App-数据与收益模块</x:v>
      </x:c>
      <x:c r="D32" s="5" t="str">
        <x:v>公会业绩/日数据汇总</x:v>
      </x:c>
      <x:c r="E32" s="5" t="str">
        <x:v>逻辑校验</x:v>
      </x:c>
      <x:c r="F32" s="5" t="str">
        <x:v>P1</x:v>
      </x:c>
      <x:c r="G32" s="5" t="str">
        <x:v>验证单日开播人数</x:v>
      </x:c>
      <x:c r="H32" s="5" t="str">
        <x:v>单日开播人数</x:v>
      </x:c>
      <x:c r="I32" s="5" t="str">
        <x:v>1. 筛选日期为 10/08/2026
2. 当日有 3 名去重主播开播</x:v>
      </x:c>
      <x:c r="J32" s="5" t="str">
        <x:v>1. 应用对应日期范围
2. 查看汇总指标</x:v>
      </x:c>
      <x:c r="K32" s="5" t="str">
        <x:v>1. 开播人数显示 3 人</x:v>
      </x:c>
      <x:c r="L32" s="5" t="str"/>
      <x:c r="M32" s="5" t="str">
        <x:v>未测</x:v>
      </x:c>
      <x:c r="N32" s="5" t="str"/>
      <x:c r="O32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33" ht="97.5" customHeight="1">
      <x:c r="A33" s="5" t="n">
        <x:v>32</x:v>
      </x:c>
      <x:c r="B33" s="5" t="str">
        <x:v>GDE-032</x:v>
      </x:c>
      <x:c r="C33" s="5" t="str">
        <x:v>公会App-数据与收益模块</x:v>
      </x:c>
      <x:c r="D33" s="5" t="str">
        <x:v>公会业绩/日数据汇总</x:v>
      </x:c>
      <x:c r="E33" s="5" t="str">
        <x:v>逻辑校验</x:v>
      </x:c>
      <x:c r="F33" s="5" t="str">
        <x:v>P1</x:v>
      </x:c>
      <x:c r="G33" s="5" t="str">
        <x:v>验证虚拟金币收益隔离</x:v>
      </x:c>
      <x:c r="H33" s="5" t="str">
        <x:v>虚拟金币收益隔离</x:v>
      </x:c>
      <x:c r="I33" s="5" t="str">
        <x:v>1. 筛选日期真实礼物金币收益为 50,000
2. 同日运营账号使用 20,000 虚拟金币送礼</x:v>
      </x:c>
      <x:c r="J33" s="5" t="str">
        <x:v>1. 应用对应日期范围
2. 查看汇总指标</x:v>
      </x:c>
      <x:c r="K33" s="5" t="str">
        <x:v>1. 公会收益按 50,000 + 0 = 50,000 金币显示</x:v>
      </x:c>
      <x:c r="L33" s="5" t="str"/>
      <x:c r="M33" s="5" t="str">
        <x:v>未测</x:v>
      </x:c>
      <x:c r="N33" s="5" t="str"/>
      <x:c r="O33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34" ht="85.5" customHeight="1">
      <x:c r="A34" s="5" t="n">
        <x:v>33</x:v>
      </x:c>
      <x:c r="B34" s="5" t="str">
        <x:v>GDE-033</x:v>
      </x:c>
      <x:c r="C34" s="5" t="str">
        <x:v>公会App-数据与收益模块</x:v>
      </x:c>
      <x:c r="D34" s="5" t="str">
        <x:v>公会业绩/趋势</x:v>
      </x:c>
      <x:c r="E34" s="5" t="str">
        <x:v>功能需求</x:v>
      </x:c>
      <x:c r="F34" s="5" t="str">
        <x:v>P2</x:v>
      </x:c>
      <x:c r="G34" s="5" t="str">
        <x:v>验证切换公会收益趋势</x:v>
      </x:c>
      <x:c r="H34" s="5" t="str">
        <x:v>公会收益趋势</x:v>
      </x:c>
      <x:c r="I34" s="5" t="str">
        <x:v>1. 当前筛选范围存在可核对的公会收益日数据
2. 当前范围公会收益汇总值为 82,000</x:v>
      </x:c>
      <x:c r="J34" s="5" t="str">
        <x:v>1. 点击“公会收益”指标卡
2. 查看趋势图</x:v>
      </x:c>
      <x:c r="K34" s="5" t="str">
        <x:v>1. 趋势图切换为公会收益的逐日数据序列</x:v>
      </x:c>
      <x:c r="L34" s="5" t="str"/>
      <x:c r="M34" s="5" t="str">
        <x:v>未测</x:v>
      </x:c>
      <x:c r="N34" s="5" t="str"/>
      <x:c r="O34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35" ht="85.5" customHeight="1">
      <x:c r="A35" s="5" t="n">
        <x:v>34</x:v>
      </x:c>
      <x:c r="B35" s="5" t="str">
        <x:v>GDE-034</x:v>
      </x:c>
      <x:c r="C35" s="5" t="str">
        <x:v>公会App-数据与收益模块</x:v>
      </x:c>
      <x:c r="D35" s="5" t="str">
        <x:v>公会业绩/趋势</x:v>
      </x:c>
      <x:c r="E35" s="5" t="str">
        <x:v>功能需求</x:v>
      </x:c>
      <x:c r="F35" s="5" t="str">
        <x:v>P2</x:v>
      </x:c>
      <x:c r="G35" s="5" t="str">
        <x:v>验证切换直播场次趋势</x:v>
      </x:c>
      <x:c r="H35" s="5" t="str">
        <x:v>直播场次趋势</x:v>
      </x:c>
      <x:c r="I35" s="5" t="str">
        <x:v>1. 当前筛选范围存在可核对的直播场次日数据
2. 当前范围直播场次汇总值为 7</x:v>
      </x:c>
      <x:c r="J35" s="5" t="str">
        <x:v>1. 点击“直播场次”指标卡
2. 查看趋势图</x:v>
      </x:c>
      <x:c r="K35" s="5" t="str">
        <x:v>1. 趋势图切换为直播场次的逐日数据序列</x:v>
      </x:c>
      <x:c r="L35" s="5" t="str"/>
      <x:c r="M35" s="5" t="str">
        <x:v>未测</x:v>
      </x:c>
      <x:c r="N35" s="5" t="str"/>
      <x:c r="O35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36" ht="85.5" customHeight="1">
      <x:c r="A36" s="5" t="n">
        <x:v>35</x:v>
      </x:c>
      <x:c r="B36" s="5" t="str">
        <x:v>GDE-035</x:v>
      </x:c>
      <x:c r="C36" s="5" t="str">
        <x:v>公会App-数据与收益模块</x:v>
      </x:c>
      <x:c r="D36" s="5" t="str">
        <x:v>公会业绩/趋势</x:v>
      </x:c>
      <x:c r="E36" s="5" t="str">
        <x:v>功能需求</x:v>
      </x:c>
      <x:c r="F36" s="5" t="str">
        <x:v>P2</x:v>
      </x:c>
      <x:c r="G36" s="5" t="str">
        <x:v>验证切换开播人数趋势</x:v>
      </x:c>
      <x:c r="H36" s="5" t="str">
        <x:v>开播人数趋势</x:v>
      </x:c>
      <x:c r="I36" s="5" t="str">
        <x:v>1. 当前筛选范围存在可核对的开播人数日数据
2. 当前范围开播人数汇总值为 3</x:v>
      </x:c>
      <x:c r="J36" s="5" t="str">
        <x:v>1. 点击“开播人数”指标卡
2. 查看趋势图</x:v>
      </x:c>
      <x:c r="K36" s="5" t="str">
        <x:v>1. 趋势图切换为开播人数的逐日数据序列</x:v>
      </x:c>
      <x:c r="L36" s="5" t="str"/>
      <x:c r="M36" s="5" t="str">
        <x:v>未测</x:v>
      </x:c>
      <x:c r="N36" s="5" t="str"/>
      <x:c r="O36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37" ht="85.5" customHeight="1">
      <x:c r="A37" s="5" t="n">
        <x:v>36</x:v>
      </x:c>
      <x:c r="B37" s="5" t="str">
        <x:v>GDE-036</x:v>
      </x:c>
      <x:c r="C37" s="5" t="str">
        <x:v>公会App-数据与收益模块</x:v>
      </x:c>
      <x:c r="D37" s="5" t="str">
        <x:v>公会业绩/趋势</x:v>
      </x:c>
      <x:c r="E37" s="5" t="str">
        <x:v>功能需求</x:v>
      </x:c>
      <x:c r="F37" s="5" t="str">
        <x:v>P2</x:v>
      </x:c>
      <x:c r="G37" s="5" t="str">
        <x:v>验证切换达成有效天趋势</x:v>
      </x:c>
      <x:c r="H37" s="5" t="str">
        <x:v>达成有效天趋势</x:v>
      </x:c>
      <x:c r="I37" s="5" t="str">
        <x:v>1. 当前筛选范围存在可核对的达成有效天日数据
2. 当前范围达成有效天汇总值为 5</x:v>
      </x:c>
      <x:c r="J37" s="5" t="str">
        <x:v>1. 点击“达成有效天”指标卡
2. 查看趋势图</x:v>
      </x:c>
      <x:c r="K37" s="5" t="str">
        <x:v>1. 趋势图切换为达成有效天的逐日数据序列</x:v>
      </x:c>
      <x:c r="L37" s="5" t="str"/>
      <x:c r="M37" s="5" t="str">
        <x:v>未测</x:v>
      </x:c>
      <x:c r="N37" s="5" t="str"/>
      <x:c r="O37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38" ht="73.5" customHeight="1">
      <x:c r="A38" s="5" t="n">
        <x:v>37</x:v>
      </x:c>
      <x:c r="B38" s="5" t="str">
        <x:v>GDE-037</x:v>
      </x:c>
      <x:c r="C38" s="5" t="str">
        <x:v>公会App-数据与收益模块</x:v>
      </x:c>
      <x:c r="D38" s="5" t="str">
        <x:v>公会业绩/趋势</x:v>
      </x:c>
      <x:c r="E38" s="5" t="str">
        <x:v>功能需求</x:v>
      </x:c>
      <x:c r="F38" s="5" t="str">
        <x:v>P2</x:v>
      </x:c>
      <x:c r="G38" s="5" t="str">
        <x:v>验证日趋势数据点信息</x:v>
      </x:c>
      <x:c r="H38" s="5" t="str">
        <x:v>日趋势数据点</x:v>
      </x:c>
      <x:c r="I38" s="5" t="str">
        <x:v>1. 10/08/2026 的公会收益为 50,000 金币
2. 当前趋势指标为公会收益</x:v>
      </x:c>
      <x:c r="J38" s="5" t="str">
        <x:v>1. 点击 10/08/2026 的趋势数据点</x:v>
      </x:c>
      <x:c r="K38" s="5" t="str">
        <x:v>1. 趋势提示显示 10/08/2026 的公会收益 50,000</x:v>
      </x:c>
      <x:c r="L38" s="5" t="str"/>
      <x:c r="M38" s="5" t="str">
        <x:v>未测</x:v>
      </x:c>
      <x:c r="N38" s="5" t="str"/>
      <x:c r="O38" s="5" t="str">
        <x:v>1. 来源：prototype/assets/annotations.js 的公会数据与收益批注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39" ht="85.5" customHeight="1">
      <x:c r="A39" s="5" t="n">
        <x:v>38</x:v>
      </x:c>
      <x:c r="B39" s="5" t="str">
        <x:v>GDE-038</x:v>
      </x:c>
      <x:c r="C39" s="5" t="str">
        <x:v>公会App-数据与收益模块</x:v>
      </x:c>
      <x:c r="D39" s="5" t="str">
        <x:v>公会业绩/日数据列表</x:v>
      </x:c>
      <x:c r="E39" s="5" t="str">
        <x:v>功能需求</x:v>
      </x:c>
      <x:c r="F39" s="5" t="str">
        <x:v>P2</x:v>
      </x:c>
      <x:c r="G39" s="5" t="str">
        <x:v>验证日数据日期字段</x:v>
      </x:c>
      <x:c r="H39" s="5" t="str">
        <x:v>日期字段</x:v>
      </x:c>
      <x:c r="I39" s="5" t="str">
        <x:v>1. 当前日期范围存在日数据</x:v>
      </x:c>
      <x:c r="J39" s="5" t="str">
        <x:v>1. 查看任一日数据行</x:v>
      </x:c>
      <x:c r="K39" s="5" t="str">
        <x:v>1. 日数据行显示对应日期</x:v>
      </x:c>
      <x:c r="L39" s="5" t="str"/>
      <x:c r="M39" s="5" t="str">
        <x:v>未测</x:v>
      </x:c>
      <x:c r="N39" s="5" t="str"/>
      <x:c r="O39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40" ht="85.5" customHeight="1">
      <x:c r="A40" s="5" t="n">
        <x:v>39</x:v>
      </x:c>
      <x:c r="B40" s="5" t="str">
        <x:v>GDE-039</x:v>
      </x:c>
      <x:c r="C40" s="5" t="str">
        <x:v>公会App-数据与收益模块</x:v>
      </x:c>
      <x:c r="D40" s="5" t="str">
        <x:v>公会业绩/日数据列表</x:v>
      </x:c>
      <x:c r="E40" s="5" t="str">
        <x:v>功能需求</x:v>
      </x:c>
      <x:c r="F40" s="5" t="str">
        <x:v>P2</x:v>
      </x:c>
      <x:c r="G40" s="5" t="str">
        <x:v>验证日数据直播场次字段</x:v>
      </x:c>
      <x:c r="H40" s="5" t="str">
        <x:v>直播场次字段</x:v>
      </x:c>
      <x:c r="I40" s="5" t="str">
        <x:v>1. 当前日期范围存在日数据</x:v>
      </x:c>
      <x:c r="J40" s="5" t="str">
        <x:v>1. 查看任一日数据行</x:v>
      </x:c>
      <x:c r="K40" s="5" t="str">
        <x:v>1. 日数据行显示对应日期的直播场次</x:v>
      </x:c>
      <x:c r="L40" s="5" t="str"/>
      <x:c r="M40" s="5" t="str">
        <x:v>未测</x:v>
      </x:c>
      <x:c r="N40" s="5" t="str"/>
      <x:c r="O40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41" ht="85.5" customHeight="1">
      <x:c r="A41" s="5" t="n">
        <x:v>40</x:v>
      </x:c>
      <x:c r="B41" s="5" t="str">
        <x:v>GDE-040</x:v>
      </x:c>
      <x:c r="C41" s="5" t="str">
        <x:v>公会App-数据与收益模块</x:v>
      </x:c>
      <x:c r="D41" s="5" t="str">
        <x:v>公会业绩/日数据列表</x:v>
      </x:c>
      <x:c r="E41" s="5" t="str">
        <x:v>功能需求</x:v>
      </x:c>
      <x:c r="F41" s="5" t="str">
        <x:v>P2</x:v>
      </x:c>
      <x:c r="G41" s="5" t="str">
        <x:v>验证日数据达标主播字段</x:v>
      </x:c>
      <x:c r="H41" s="5" t="str">
        <x:v>达标主播字段</x:v>
      </x:c>
      <x:c r="I41" s="5" t="str">
        <x:v>1. 当前日期范围存在日数据</x:v>
      </x:c>
      <x:c r="J41" s="5" t="str">
        <x:v>1. 查看任一日数据行</x:v>
      </x:c>
      <x:c r="K41" s="5" t="str">
        <x:v>1. 日数据行显示对应日期的达标主播人数</x:v>
      </x:c>
      <x:c r="L41" s="5" t="str"/>
      <x:c r="M41" s="5" t="str">
        <x:v>未测</x:v>
      </x:c>
      <x:c r="N41" s="5" t="str"/>
      <x:c r="O41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42" ht="85.5" customHeight="1">
      <x:c r="A42" s="5" t="n">
        <x:v>41</x:v>
      </x:c>
      <x:c r="B42" s="5" t="str">
        <x:v>GDE-041</x:v>
      </x:c>
      <x:c r="C42" s="5" t="str">
        <x:v>公会App-数据与收益模块</x:v>
      </x:c>
      <x:c r="D42" s="5" t="str">
        <x:v>公会业绩/日数据列表</x:v>
      </x:c>
      <x:c r="E42" s="5" t="str">
        <x:v>功能需求</x:v>
      </x:c>
      <x:c r="F42" s="5" t="str">
        <x:v>P2</x:v>
      </x:c>
      <x:c r="G42" s="5" t="str">
        <x:v>验证日数据收益字段</x:v>
      </x:c>
      <x:c r="H42" s="5" t="str">
        <x:v>收益字段</x:v>
      </x:c>
      <x:c r="I42" s="5" t="str">
        <x:v>1. 当前日期范围存在日数据</x:v>
      </x:c>
      <x:c r="J42" s="5" t="str">
        <x:v>1. 查看任一日数据行</x:v>
      </x:c>
      <x:c r="K42" s="5" t="str">
        <x:v>1. 日数据行显示对应日期的公会收益</x:v>
      </x:c>
      <x:c r="L42" s="5" t="str"/>
      <x:c r="M42" s="5" t="str">
        <x:v>未测</x:v>
      </x:c>
      <x:c r="N42" s="5" t="str"/>
      <x:c r="O42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43" ht="97.5" customHeight="1">
      <x:c r="A43" s="5" t="n">
        <x:v>42</x:v>
      </x:c>
      <x:c r="B43" s="5" t="str">
        <x:v>GDE-042</x:v>
      </x:c>
      <x:c r="C43" s="5" t="str">
        <x:v>公会App-数据与收益模块</x:v>
      </x:c>
      <x:c r="D43" s="5" t="str">
        <x:v>公会业绩/日数据下钻</x:v>
      </x:c>
      <x:c r="E43" s="5" t="str">
        <x:v>业务流程</x:v>
      </x:c>
      <x:c r="F43" s="5" t="str">
        <x:v>P1</x:v>
      </x:c>
      <x:c r="G43" s="5" t="str">
        <x:v>验证点击日期进入主播业绩</x:v>
      </x:c>
      <x:c r="H43" s="5" t="str">
        <x:v>日期下钻</x:v>
      </x:c>
      <x:c r="I43" s="5" t="str">
        <x:v>1. 10/08/2026 存在主播业绩数据</x:v>
      </x:c>
      <x:c r="J43" s="5" t="str">
        <x:v>1. 在日数据列表点击 10/08/2026</x:v>
      </x:c>
      <x:c r="K43" s="5" t="str">
        <x:v>1. 页面进入日期范围为 10/08/2026 的主播业绩列表</x:v>
      </x:c>
      <x:c r="L43" s="5" t="str">
        <x:v>FLOW-GDE-001</x:v>
      </x:c>
      <x:c r="M43" s="5" t="str">
        <x:v>未测</x:v>
      </x:c>
      <x:c r="N43" s="5" t="str"/>
      <x:c r="O43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流程阶段：公会业绩按日期下钻主播业绩
5. 同步追溯：work/liveshow-guild-data-income/prototype-context-sync-result.json；RSL-0005
6. 质量检查：最小前置条件、单一业务分支、单一可观察预期结果</x:v>
      </x:c>
    </x:row>
    <x:row r="44" ht="97.5" customHeight="1">
      <x:c r="A44" s="5" t="n">
        <x:v>43</x:v>
      </x:c>
      <x:c r="B44" s="5" t="str">
        <x:v>GDE-043</x:v>
      </x:c>
      <x:c r="C44" s="5" t="str">
        <x:v>公会App-数据与收益模块</x:v>
      </x:c>
      <x:c r="D44" s="5" t="str">
        <x:v>公会业绩/月数据汇总</x:v>
      </x:c>
      <x:c r="E44" s="5" t="str">
        <x:v>逻辑校验</x:v>
      </x:c>
      <x:c r="F44" s="5" t="str">
        <x:v>P1</x:v>
      </x:c>
      <x:c r="G44" s="5" t="str">
        <x:v>验证月收益汇总</x:v>
      </x:c>
      <x:c r="H44" s="5" t="str">
        <x:v>月收益汇总</x:v>
      </x:c>
      <x:c r="I44" s="5" t="str">
        <x:v>1. 7 月收益为 120,000
2. 8 月收益为 180,000</x:v>
      </x:c>
      <x:c r="J44" s="5" t="str">
        <x:v>1. 切换到月数据
2. 查看汇总指标</x:v>
      </x:c>
      <x:c r="K44" s="5" t="str">
        <x:v>1. 月数据公会收益按 120,000 + 180,000 = 300,000 金币显示</x:v>
      </x:c>
      <x:c r="L44" s="5" t="str"/>
      <x:c r="M44" s="5" t="str">
        <x:v>未测</x:v>
      </x:c>
      <x:c r="N44" s="5" t="str"/>
      <x:c r="O44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45" ht="97.5" customHeight="1">
      <x:c r="A45" s="5" t="n">
        <x:v>44</x:v>
      </x:c>
      <x:c r="B45" s="5" t="str">
        <x:v>GDE-044</x:v>
      </x:c>
      <x:c r="C45" s="5" t="str">
        <x:v>公会App-数据与收益模块</x:v>
      </x:c>
      <x:c r="D45" s="5" t="str">
        <x:v>公会业绩/月数据汇总</x:v>
      </x:c>
      <x:c r="E45" s="5" t="str">
        <x:v>逻辑校验</x:v>
      </x:c>
      <x:c r="F45" s="5" t="str">
        <x:v>P1</x:v>
      </x:c>
      <x:c r="G45" s="5" t="str">
        <x:v>验证月直播场次汇总</x:v>
      </x:c>
      <x:c r="H45" s="5" t="str">
        <x:v>月直播场次汇总</x:v>
      </x:c>
      <x:c r="I45" s="5" t="str">
        <x:v>1. 7 月直播场次为 20
2. 8 月直播场次为 25</x:v>
      </x:c>
      <x:c r="J45" s="5" t="str">
        <x:v>1. 切换到月数据
2. 查看汇总指标</x:v>
      </x:c>
      <x:c r="K45" s="5" t="str">
        <x:v>1. 月数据直播场次按 20 + 25 = 45 场显示</x:v>
      </x:c>
      <x:c r="L45" s="5" t="str"/>
      <x:c r="M45" s="5" t="str">
        <x:v>未测</x:v>
      </x:c>
      <x:c r="N45" s="5" t="str"/>
      <x:c r="O45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46" ht="97.5" customHeight="1">
      <x:c r="A46" s="5" t="n">
        <x:v>45</x:v>
      </x:c>
      <x:c r="B46" s="5" t="str">
        <x:v>GDE-045</x:v>
      </x:c>
      <x:c r="C46" s="5" t="str">
        <x:v>公会App-数据与收益模块</x:v>
      </x:c>
      <x:c r="D46" s="5" t="str">
        <x:v>公会业绩/月数据汇总</x:v>
      </x:c>
      <x:c r="E46" s="5" t="str">
        <x:v>逻辑校验</x:v>
      </x:c>
      <x:c r="F46" s="5" t="str">
        <x:v>P1</x:v>
      </x:c>
      <x:c r="G46" s="5" t="str">
        <x:v>验证月有效天汇总</x:v>
      </x:c>
      <x:c r="H46" s="5" t="str">
        <x:v>月有效天汇总</x:v>
      </x:c>
      <x:c r="I46" s="5" t="str">
        <x:v>1. 7 月有效天为 30
2. 8 月有效天为 42</x:v>
      </x:c>
      <x:c r="J46" s="5" t="str">
        <x:v>1. 切换到月数据
2. 查看汇总指标</x:v>
      </x:c>
      <x:c r="K46" s="5" t="str">
        <x:v>1. 月数据达成有效天按 30 + 42 = 72 天显示</x:v>
      </x:c>
      <x:c r="L46" s="5" t="str"/>
      <x:c r="M46" s="5" t="str">
        <x:v>未测</x:v>
      </x:c>
      <x:c r="N46" s="5" t="str"/>
      <x:c r="O46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47" ht="85.5" customHeight="1">
      <x:c r="A47" s="5" t="n">
        <x:v>46</x:v>
      </x:c>
      <x:c r="B47" s="5" t="str">
        <x:v>GDE-046</x:v>
      </x:c>
      <x:c r="C47" s="5" t="str">
        <x:v>公会App-数据与收益模块</x:v>
      </x:c>
      <x:c r="D47" s="5" t="str">
        <x:v>公会业绩/月数据列表</x:v>
      </x:c>
      <x:c r="E47" s="5" t="str">
        <x:v>功能需求</x:v>
      </x:c>
      <x:c r="F47" s="5" t="str">
        <x:v>P2</x:v>
      </x:c>
      <x:c r="G47" s="5" t="str">
        <x:v>验证月数据月份字段</x:v>
      </x:c>
      <x:c r="H47" s="5" t="str">
        <x:v>月份字段</x:v>
      </x:c>
      <x:c r="I47" s="5" t="str">
        <x:v>1. 月数据存在至少一个月份记录</x:v>
      </x:c>
      <x:c r="J47" s="5" t="str">
        <x:v>1. 切换到月数据
2. 查看任一月份行</x:v>
      </x:c>
      <x:c r="K47" s="5" t="str">
        <x:v>1. 月数据行显示对应月份</x:v>
      </x:c>
      <x:c r="L47" s="5" t="str"/>
      <x:c r="M47" s="5" t="str">
        <x:v>未测</x:v>
      </x:c>
      <x:c r="N47" s="5" t="str"/>
      <x:c r="O47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48" ht="85.5" customHeight="1">
      <x:c r="A48" s="5" t="n">
        <x:v>47</x:v>
      </x:c>
      <x:c r="B48" s="5" t="str">
        <x:v>GDE-047</x:v>
      </x:c>
      <x:c r="C48" s="5" t="str">
        <x:v>公会App-数据与收益模块</x:v>
      </x:c>
      <x:c r="D48" s="5" t="str">
        <x:v>公会业绩/月数据列表</x:v>
      </x:c>
      <x:c r="E48" s="5" t="str">
        <x:v>功能需求</x:v>
      </x:c>
      <x:c r="F48" s="5" t="str">
        <x:v>P2</x:v>
      </x:c>
      <x:c r="G48" s="5" t="str">
        <x:v>验证月数据收益字段</x:v>
      </x:c>
      <x:c r="H48" s="5" t="str">
        <x:v>收益字段</x:v>
      </x:c>
      <x:c r="I48" s="5" t="str">
        <x:v>1. 月数据存在至少一个月份记录</x:v>
      </x:c>
      <x:c r="J48" s="5" t="str">
        <x:v>1. 切换到月数据
2. 查看任一月份行</x:v>
      </x:c>
      <x:c r="K48" s="5" t="str">
        <x:v>1. 月数据行显示对应月份的公会收益</x:v>
      </x:c>
      <x:c r="L48" s="5" t="str"/>
      <x:c r="M48" s="5" t="str">
        <x:v>未测</x:v>
      </x:c>
      <x:c r="N48" s="5" t="str"/>
      <x:c r="O48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49" ht="85.5" customHeight="1">
      <x:c r="A49" s="5" t="n">
        <x:v>48</x:v>
      </x:c>
      <x:c r="B49" s="5" t="str">
        <x:v>GDE-048</x:v>
      </x:c>
      <x:c r="C49" s="5" t="str">
        <x:v>公会App-数据与收益模块</x:v>
      </x:c>
      <x:c r="D49" s="5" t="str">
        <x:v>公会业绩/月数据列表</x:v>
      </x:c>
      <x:c r="E49" s="5" t="str">
        <x:v>功能需求</x:v>
      </x:c>
      <x:c r="F49" s="5" t="str">
        <x:v>P2</x:v>
      </x:c>
      <x:c r="G49" s="5" t="str">
        <x:v>验证月数据开播人数字段</x:v>
      </x:c>
      <x:c r="H49" s="5" t="str">
        <x:v>开播人数字段</x:v>
      </x:c>
      <x:c r="I49" s="5" t="str">
        <x:v>1. 月数据存在至少一个月份记录</x:v>
      </x:c>
      <x:c r="J49" s="5" t="str">
        <x:v>1. 切换到月数据
2. 查看任一月份行</x:v>
      </x:c>
      <x:c r="K49" s="5" t="str">
        <x:v>1. 月数据行显示对应月份的开播人数</x:v>
      </x:c>
      <x:c r="L49" s="5" t="str"/>
      <x:c r="M49" s="5" t="str">
        <x:v>未测</x:v>
      </x:c>
      <x:c r="N49" s="5" t="str"/>
      <x:c r="O49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50" ht="61.5" customHeight="1">
      <x:c r="A50" s="5" t="n">
        <x:v>49</x:v>
      </x:c>
      <x:c r="B50" s="5" t="str">
        <x:v>GDE-049</x:v>
      </x:c>
      <x:c r="C50" s="5" t="str">
        <x:v>公会App-数据与收益模块</x:v>
      </x:c>
      <x:c r="D50" s="5" t="str">
        <x:v>公会业绩/月数据列表</x:v>
      </x:c>
      <x:c r="E50" s="5" t="str">
        <x:v>逻辑校验</x:v>
      </x:c>
      <x:c r="F50" s="5" t="str">
        <x:v>P2</x:v>
      </x:c>
      <x:c r="G50" s="5" t="str">
        <x:v>验证月数据按月份倒序</x:v>
      </x:c>
      <x:c r="H50" s="5" t="str">
        <x:v>月份倒序</x:v>
      </x:c>
      <x:c r="I50" s="5" t="str">
        <x:v>1. 月数据包含 7 月和 8 月</x:v>
      </x:c>
      <x:c r="J50" s="5" t="str">
        <x:v>1. 切换到月数据
2. 查看月份列表</x:v>
      </x:c>
      <x:c r="K50" s="5" t="str">
        <x:v>1. 8 月记录排在 7 月记录之前</x:v>
      </x:c>
      <x:c r="L50" s="5" t="str"/>
      <x:c r="M50" s="5" t="str">
        <x:v>未测</x:v>
      </x:c>
      <x:c r="N50" s="5" t="str"/>
      <x:c r="O50" s="5" t="str">
        <x:v>1. 来源：prototype/pages/guild/data/guild-income.html；静态原型分析，未连接真实后端动态验证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51" ht="97.5" customHeight="1">
      <x:c r="A51" s="5" t="n">
        <x:v>50</x:v>
      </x:c>
      <x:c r="B51" s="5" t="str">
        <x:v>GDE-050</x:v>
      </x:c>
      <x:c r="C51" s="5" t="str">
        <x:v>公会App-数据与收益模块</x:v>
      </x:c>
      <x:c r="D51" s="5" t="str">
        <x:v>公会业绩/月数据下钻</x:v>
      </x:c>
      <x:c r="E51" s="5" t="str">
        <x:v>业务流程</x:v>
      </x:c>
      <x:c r="F51" s="5" t="str">
        <x:v>P1</x:v>
      </x:c>
      <x:c r="G51" s="5" t="str">
        <x:v>验证点击月份进入主播业绩</x:v>
      </x:c>
      <x:c r="H51" s="5" t="str">
        <x:v>月份下钻</x:v>
      </x:c>
      <x:c r="I51" s="5" t="str">
        <x:v>1. 8/2026 存在主播业绩数据</x:v>
      </x:c>
      <x:c r="J51" s="5" t="str">
        <x:v>1. 切换到月数据
2. 点击 8 月记录</x:v>
      </x:c>
      <x:c r="K51" s="5" t="str">
        <x:v>1. 页面进入日期范围为 01/08/2026 至 31/08/2026 的主播业绩列表</x:v>
      </x:c>
      <x:c r="L51" s="5" t="str">
        <x:v>FLOW-GDE-001</x:v>
      </x:c>
      <x:c r="M51" s="5" t="str">
        <x:v>未测</x:v>
      </x:c>
      <x:c r="N51" s="5" t="str"/>
      <x:c r="O51" s="5" t="str">
        <x:v>1. 来源：context/02-公会App-项目需求清单.md（2026-08-31 按原型同步，RSL-0005）
2. 来源：prototype/assets/annotations.js 的公会数据与收益批注
3. 来源：prototype/pages/guild/data/guild-income.html；静态原型分析，未连接真实后端动态验证
4. 流程阶段：公会业绩按月份下钻主播业绩
5. 同步追溯：work/liveshow-guild-data-income/prototype-context-sync-result.json；RSL-0005
6. 质量检查：最小前置条件、单一业务分支、单一可观察预期结果</x:v>
      </x:c>
    </x:row>
    <x:row r="52" ht="73.5" customHeight="1">
      <x:c r="A52" s="5" t="n">
        <x:v>51</x:v>
      </x:c>
      <x:c r="B52" s="5" t="str">
        <x:v>GDE-051</x:v>
      </x:c>
      <x:c r="C52" s="5" t="str">
        <x:v>公会App-数据与收益模块</x:v>
      </x:c>
      <x:c r="D52" s="5" t="str">
        <x:v>公会业绩/月数据趋势</x:v>
      </x:c>
      <x:c r="E52" s="5" t="str">
        <x:v>功能需求</x:v>
      </x:c>
      <x:c r="F52" s="5" t="str">
        <x:v>P2</x:v>
      </x:c>
      <x:c r="G52" s="5" t="str">
        <x:v>验证月数据趋势按月份展示</x:v>
      </x:c>
      <x:c r="H52" s="5" t="str">
        <x:v>月趋势横轴</x:v>
      </x:c>
      <x:c r="I52" s="5" t="str">
        <x:v>1. 月数据包含 7 月和 8 月</x:v>
      </x:c>
      <x:c r="J52" s="5" t="str">
        <x:v>1. 切换到月数据
2. 查看趋势图</x:v>
      </x:c>
      <x:c r="K52" s="5" t="str">
        <x:v>1. 趋势图数据点按月份展示</x:v>
      </x:c>
      <x:c r="L52" s="5" t="str"/>
      <x:c r="M52" s="5" t="str">
        <x:v>未测</x:v>
      </x:c>
      <x:c r="N52" s="5" t="str"/>
      <x:c r="O52" s="5" t="str">
        <x:v>1. 来源：prototype/assets/annotations.js 的公会数据与收益批注
2. 来源：prototype/pages/guild/data/guild-income.html；静态原型分析，未连接真实后端动态验证
3. 同步追溯：work/liveshow-guild-data-income/prototype-context-sync-result.json；RSL-0005
4. 质量检查：最小前置条件、单一业务分支、单一可观察预期结果</x:v>
      </x:c>
    </x:row>
    <x:row r="53" ht="97.5" customHeight="1">
      <x:c r="A53" s="5" t="n">
        <x:v>52</x:v>
      </x:c>
      <x:c r="B53" s="5" t="str">
        <x:v>GDE-052</x:v>
      </x:c>
      <x:c r="C53" s="5" t="str">
        <x:v>公会App-数据与收益模块</x:v>
      </x:c>
      <x:c r="D53" s="5" t="str">
        <x:v>每日经营详情</x:v>
      </x:c>
      <x:c r="E53" s="5" t="str">
        <x:v>功能需求</x:v>
      </x:c>
      <x:c r="F53" s="5" t="str">
        <x:v>P1</x:v>
      </x:c>
      <x:c r="G53" s="5" t="str">
        <x:v>验证页面日期标题</x:v>
      </x:c>
      <x:c r="H53" s="5" t="str">
        <x:v>页面日期标题</x:v>
      </x:c>
      <x:c r="I53" s="5" t="str">
        <x:v>1. 公会长从首页运营指标进入每日页
2. 测试环境业务日期为 15/08/2026</x:v>
      </x:c>
      <x:c r="J53" s="5" t="str">
        <x:v>1. 查看页面标题</x:v>
      </x:c>
      <x:c r="K53" s="5" t="str">
        <x:v>1. 页面标题显示“每日 · 15/08/2026”</x:v>
      </x:c>
      <x:c r="L53" s="5" t="str"/>
      <x:c r="M53" s="5" t="str">
        <x:v>未测</x:v>
      </x:c>
      <x:c r="N53" s="5" t="str"/>
      <x:c r="O53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54" ht="97.5" customHeight="1">
      <x:c r="A54" s="5" t="n">
        <x:v>53</x:v>
      </x:c>
      <x:c r="B54" s="5" t="str">
        <x:v>GDE-053</x:v>
      </x:c>
      <x:c r="C54" s="5" t="str">
        <x:v>公会App-数据与收益模块</x:v>
      </x:c>
      <x:c r="D54" s="5" t="str">
        <x:v>每日经营详情</x:v>
      </x:c>
      <x:c r="E54" s="5" t="str">
        <x:v>逻辑校验</x:v>
      </x:c>
      <x:c r="F54" s="5" t="str">
        <x:v>P1</x:v>
      </x:c>
      <x:c r="G54" s="5" t="str">
        <x:v>验证当日收益</x:v>
      </x:c>
      <x:c r="H54" s="5" t="str">
        <x:v>当日收益</x:v>
      </x:c>
      <x:c r="I54" s="5" t="str">
        <x:v>1. 15/08/2026 的真实礼物金币收益为 80,000</x:v>
      </x:c>
      <x:c r="J54" s="5" t="str">
        <x:v>1. 进入 15/08/2026 每日页
2. 查看收益</x:v>
      </x:c>
      <x:c r="K54" s="5" t="str">
        <x:v>1. 收益显示 80,000 金币</x:v>
      </x:c>
      <x:c r="L54" s="5" t="str"/>
      <x:c r="M54" s="5" t="str">
        <x:v>未测</x:v>
      </x:c>
      <x:c r="N54" s="5" t="str"/>
      <x:c r="O54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55" ht="97.5" customHeight="1">
      <x:c r="A55" s="5" t="n">
        <x:v>54</x:v>
      </x:c>
      <x:c r="B55" s="5" t="str">
        <x:v>GDE-054</x:v>
      </x:c>
      <x:c r="C55" s="5" t="str">
        <x:v>公会App-数据与收益模块</x:v>
      </x:c>
      <x:c r="D55" s="5" t="str">
        <x:v>每日经营详情</x:v>
      </x:c>
      <x:c r="E55" s="5" t="str">
        <x:v>逻辑校验</x:v>
      </x:c>
      <x:c r="F55" s="5" t="str">
        <x:v>P1</x:v>
      </x:c>
      <x:c r="G55" s="5" t="str">
        <x:v>验证直播中主播数</x:v>
      </x:c>
      <x:c r="H55" s="5" t="str">
        <x:v>直播中主播数</x:v>
      </x:c>
      <x:c r="I55" s="5" t="str">
        <x:v>1. 当前业务日期为 15/08/2026
2. 当日有 3 名主播正在直播</x:v>
      </x:c>
      <x:c r="J55" s="5" t="str">
        <x:v>1. 进入当日每日页
2. 查看“直播中”指标</x:v>
      </x:c>
      <x:c r="K55" s="5" t="str">
        <x:v>1. “直播中”显示 3 人</x:v>
      </x:c>
      <x:c r="L55" s="5" t="str"/>
      <x:c r="M55" s="5" t="str">
        <x:v>未测</x:v>
      </x:c>
      <x:c r="N55" s="5" t="str"/>
      <x:c r="O55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56" ht="97.5" customHeight="1">
      <x:c r="A56" s="5" t="n">
        <x:v>55</x:v>
      </x:c>
      <x:c r="B56" s="5" t="str">
        <x:v>GDE-055</x:v>
      </x:c>
      <x:c r="C56" s="5" t="str">
        <x:v>公会App-数据与收益模块</x:v>
      </x:c>
      <x:c r="D56" s="5" t="str">
        <x:v>每日经营详情</x:v>
      </x:c>
      <x:c r="E56" s="5" t="str">
        <x:v>逻辑校验</x:v>
      </x:c>
      <x:c r="F56" s="5" t="str">
        <x:v>P1</x:v>
      </x:c>
      <x:c r="G56" s="5" t="str">
        <x:v>验证有效天人数</x:v>
      </x:c>
      <x:c r="H56" s="5" t="str">
        <x:v>有效天人数</x:v>
      </x:c>
      <x:c r="I56" s="5" t="str">
        <x:v>1. 15/08/2026 有 2 名主播达到有效天条件</x:v>
      </x:c>
      <x:c r="J56" s="5" t="str">
        <x:v>1. 进入 15/08/2026 每日页
2. 查看“达成有效天”指标</x:v>
      </x:c>
      <x:c r="K56" s="5" t="str">
        <x:v>1. “达成有效天”显示 2 人</x:v>
      </x:c>
      <x:c r="L56" s="5" t="str"/>
      <x:c r="M56" s="5" t="str">
        <x:v>未测</x:v>
      </x:c>
      <x:c r="N56" s="5" t="str"/>
      <x:c r="O56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57" ht="97.5" customHeight="1">
      <x:c r="A57" s="5" t="n">
        <x:v>56</x:v>
      </x:c>
      <x:c r="B57" s="5" t="str">
        <x:v>GDE-056</x:v>
      </x:c>
      <x:c r="C57" s="5" t="str">
        <x:v>公会App-数据与收益模块</x:v>
      </x:c>
      <x:c r="D57" s="5" t="str">
        <x:v>每日经营详情</x:v>
      </x:c>
      <x:c r="E57" s="5" t="str">
        <x:v>功能需求</x:v>
      </x:c>
      <x:c r="F57" s="5" t="str">
        <x:v>P1</x:v>
      </x:c>
      <x:c r="G57" s="5" t="str">
        <x:v>验证默认已开播列表</x:v>
      </x:c>
      <x:c r="H57" s="5" t="str">
        <x:v>默认已开播列表</x:v>
      </x:c>
      <x:c r="I57" s="5" t="str">
        <x:v>1. 15/08/2026 存在已开播和未开播主播</x:v>
      </x:c>
      <x:c r="J57" s="5" t="str">
        <x:v>1. 进入 15/08/2026 每日页</x:v>
      </x:c>
      <x:c r="K57" s="5" t="str">
        <x:v>1. 默认展示已开播主播列表</x:v>
      </x:c>
      <x:c r="L57" s="5" t="str"/>
      <x:c r="M57" s="5" t="str">
        <x:v>未测</x:v>
      </x:c>
      <x:c r="N57" s="5" t="str"/>
      <x:c r="O57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58" ht="97.5" customHeight="1">
      <x:c r="A58" s="5" t="n">
        <x:v>57</x:v>
      </x:c>
      <x:c r="B58" s="5" t="str">
        <x:v>GDE-057</x:v>
      </x:c>
      <x:c r="C58" s="5" t="str">
        <x:v>公会App-数据与收益模块</x:v>
      </x:c>
      <x:c r="D58" s="5" t="str">
        <x:v>每日经营详情</x:v>
      </x:c>
      <x:c r="E58" s="5" t="str">
        <x:v>业务流程</x:v>
      </x:c>
      <x:c r="F58" s="5" t="str">
        <x:v>P1</x:v>
      </x:c>
      <x:c r="G58" s="5" t="str">
        <x:v>验证切换未开播列表</x:v>
      </x:c>
      <x:c r="H58" s="5" t="str">
        <x:v>切换未开播列表</x:v>
      </x:c>
      <x:c r="I58" s="5" t="str">
        <x:v>1. 15/08/2026 存在未开播主播</x:v>
      </x:c>
      <x:c r="J58" s="5" t="str">
        <x:v>1. 点击“未开播”</x:v>
      </x:c>
      <x:c r="K58" s="5" t="str">
        <x:v>1. 列表结果集仅包含当日未开播主播</x:v>
      </x:c>
      <x:c r="L58" s="5" t="str"/>
      <x:c r="M58" s="5" t="str">
        <x:v>未测</x:v>
      </x:c>
      <x:c r="N58" s="5" t="str"/>
      <x:c r="O58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59" ht="97.5" customHeight="1">
      <x:c r="A59" s="5" t="n">
        <x:v>58</x:v>
      </x:c>
      <x:c r="B59" s="5" t="str">
        <x:v>GDE-058</x:v>
      </x:c>
      <x:c r="C59" s="5" t="str">
        <x:v>公会App-数据与收益模块</x:v>
      </x:c>
      <x:c r="D59" s="5" t="str">
        <x:v>每日经营详情</x:v>
      </x:c>
      <x:c r="E59" s="5" t="str">
        <x:v>业务流程</x:v>
      </x:c>
      <x:c r="F59" s="5" t="str">
        <x:v>P2</x:v>
      </x:c>
      <x:c r="G59" s="5" t="str">
        <x:v>验证切回已开播列表</x:v>
      </x:c>
      <x:c r="H59" s="5" t="str">
        <x:v>切回已开播列表</x:v>
      </x:c>
      <x:c r="I59" s="5" t="str">
        <x:v>1. 每日页当前展示未开播主播</x:v>
      </x:c>
      <x:c r="J59" s="5" t="str">
        <x:v>1. 点击“已开播”</x:v>
      </x:c>
      <x:c r="K59" s="5" t="str">
        <x:v>1. 列表结果集仅包含当日已开播主播</x:v>
      </x:c>
      <x:c r="L59" s="5" t="str"/>
      <x:c r="M59" s="5" t="str">
        <x:v>未测</x:v>
      </x:c>
      <x:c r="N59" s="5" t="str"/>
      <x:c r="O59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0" ht="97.5" customHeight="1">
      <x:c r="A60" s="5" t="n">
        <x:v>59</x:v>
      </x:c>
      <x:c r="B60" s="5" t="str">
        <x:v>GDE-059</x:v>
      </x:c>
      <x:c r="C60" s="5" t="str">
        <x:v>公会App-数据与收益模块</x:v>
      </x:c>
      <x:c r="D60" s="5" t="str">
        <x:v>每日经营详情</x:v>
      </x:c>
      <x:c r="E60" s="5" t="str">
        <x:v>逻辑校验</x:v>
      </x:c>
      <x:c r="F60" s="5" t="str">
        <x:v>P1</x:v>
      </x:c>
      <x:c r="G60" s="5" t="str">
        <x:v>验证已开播收益倒序</x:v>
      </x:c>
      <x:c r="H60" s="5" t="str">
        <x:v>已开播收益倒序</x:v>
      </x:c>
      <x:c r="I60" s="5" t="str">
        <x:v>1. 主播 A 当日收益 30,000
2. 主播 B 当日收益 50,000</x:v>
      </x:c>
      <x:c r="J60" s="5" t="str">
        <x:v>1. 查看已开播主播列表</x:v>
      </x:c>
      <x:c r="K60" s="5" t="str">
        <x:v>1. 主播 B 排在主播 A 之前</x:v>
      </x:c>
      <x:c r="L60" s="5" t="str"/>
      <x:c r="M60" s="5" t="str">
        <x:v>未测</x:v>
      </x:c>
      <x:c r="N60" s="5" t="str"/>
      <x:c r="O60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1" ht="97.5" customHeight="1">
      <x:c r="A61" s="5" t="n">
        <x:v>60</x:v>
      </x:c>
      <x:c r="B61" s="5" t="str">
        <x:v>GDE-060</x:v>
      </x:c>
      <x:c r="C61" s="5" t="str">
        <x:v>公会App-数据与收益模块</x:v>
      </x:c>
      <x:c r="D61" s="5" t="str">
        <x:v>每日经营详情</x:v>
      </x:c>
      <x:c r="E61" s="5" t="str">
        <x:v>功能需求</x:v>
      </x:c>
      <x:c r="F61" s="5" t="str">
        <x:v>P2</x:v>
      </x:c>
      <x:c r="G61" s="5" t="str">
        <x:v>验证主播名称字段</x:v>
      </x:c>
      <x:c r="H61" s="5" t="str">
        <x:v>主播名称字段</x:v>
      </x:c>
      <x:c r="I61" s="5" t="str">
        <x:v>1. 已开播列表存在主播 Sari</x:v>
      </x:c>
      <x:c r="J61" s="5" t="str">
        <x:v>1. 查看 Sari 的主播卡片</x:v>
      </x:c>
      <x:c r="K61" s="5" t="str">
        <x:v>1. 主播卡片显示名称 Sari</x:v>
      </x:c>
      <x:c r="L61" s="5" t="str"/>
      <x:c r="M61" s="5" t="str">
        <x:v>未测</x:v>
      </x:c>
      <x:c r="N61" s="5" t="str"/>
      <x:c r="O61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2" ht="97.5" customHeight="1">
      <x:c r="A62" s="5" t="n">
        <x:v>61</x:v>
      </x:c>
      <x:c r="B62" s="5" t="str">
        <x:v>GDE-061</x:v>
      </x:c>
      <x:c r="C62" s="5" t="str">
        <x:v>公会App-数据与收益模块</x:v>
      </x:c>
      <x:c r="D62" s="5" t="str">
        <x:v>每日经营详情</x:v>
      </x:c>
      <x:c r="E62" s="5" t="str">
        <x:v>功能需求</x:v>
      </x:c>
      <x:c r="F62" s="5" t="str">
        <x:v>P2</x:v>
      </x:c>
      <x:c r="G62" s="5" t="str">
        <x:v>验证主播 ID 字段</x:v>
      </x:c>
      <x:c r="H62" s="5" t="str">
        <x:v>主播 ID 字段</x:v>
      </x:c>
      <x:c r="I62" s="5" t="str">
        <x:v>1. 主播 Sari 的 ID 为 H102938</x:v>
      </x:c>
      <x:c r="J62" s="5" t="str">
        <x:v>1. 查看 Sari 的主播卡片</x:v>
      </x:c>
      <x:c r="K62" s="5" t="str">
        <x:v>1. 主播卡片显示 ID H102938</x:v>
      </x:c>
      <x:c r="L62" s="5" t="str"/>
      <x:c r="M62" s="5" t="str">
        <x:v>未测</x:v>
      </x:c>
      <x:c r="N62" s="5" t="str"/>
      <x:c r="O62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3" ht="97.5" customHeight="1">
      <x:c r="A63" s="5" t="n">
        <x:v>62</x:v>
      </x:c>
      <x:c r="B63" s="5" t="str">
        <x:v>GDE-062</x:v>
      </x:c>
      <x:c r="C63" s="5" t="str">
        <x:v>公会App-数据与收益模块</x:v>
      </x:c>
      <x:c r="D63" s="5" t="str">
        <x:v>每日经营详情</x:v>
      </x:c>
      <x:c r="E63" s="5" t="str">
        <x:v>功能需求</x:v>
      </x:c>
      <x:c r="F63" s="5" t="str">
        <x:v>P2</x:v>
      </x:c>
      <x:c r="G63" s="5" t="str">
        <x:v>验证主播等级字段</x:v>
      </x:c>
      <x:c r="H63" s="5" t="str">
        <x:v>主播等级字段</x:v>
      </x:c>
      <x:c r="I63" s="5" t="str">
        <x:v>1. 主播 Sari 的等级为 Lv.6</x:v>
      </x:c>
      <x:c r="J63" s="5" t="str">
        <x:v>1. 查看 Sari 的主播卡片</x:v>
      </x:c>
      <x:c r="K63" s="5" t="str">
        <x:v>1. 主播卡片显示等级 Lv.6</x:v>
      </x:c>
      <x:c r="L63" s="5" t="str"/>
      <x:c r="M63" s="5" t="str">
        <x:v>未测</x:v>
      </x:c>
      <x:c r="N63" s="5" t="str"/>
      <x:c r="O63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4" ht="97.5" customHeight="1">
      <x:c r="A64" s="5" t="n">
        <x:v>63</x:v>
      </x:c>
      <x:c r="B64" s="5" t="str">
        <x:v>GDE-063</x:v>
      </x:c>
      <x:c r="C64" s="5" t="str">
        <x:v>公会App-数据与收益模块</x:v>
      </x:c>
      <x:c r="D64" s="5" t="str">
        <x:v>每日经营详情</x:v>
      </x:c>
      <x:c r="E64" s="5" t="str">
        <x:v>功能需求</x:v>
      </x:c>
      <x:c r="F64" s="5" t="str">
        <x:v>P2</x:v>
      </x:c>
      <x:c r="G64" s="5" t="str">
        <x:v>验证主播收益字段</x:v>
      </x:c>
      <x:c r="H64" s="5" t="str">
        <x:v>主播收益字段</x:v>
      </x:c>
      <x:c r="I64" s="5" t="str">
        <x:v>1. 主播 Sari 当日收益为 30,000 金币</x:v>
      </x:c>
      <x:c r="J64" s="5" t="str">
        <x:v>1. 查看 Sari 的主播卡片</x:v>
      </x:c>
      <x:c r="K64" s="5" t="str">
        <x:v>1. 主播卡片收益显示 30,000 金币</x:v>
      </x:c>
      <x:c r="L64" s="5" t="str"/>
      <x:c r="M64" s="5" t="str">
        <x:v>未测</x:v>
      </x:c>
      <x:c r="N64" s="5" t="str"/>
      <x:c r="O64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5" ht="97.5" customHeight="1">
      <x:c r="A65" s="5" t="n">
        <x:v>64</x:v>
      </x:c>
      <x:c r="B65" s="5" t="str">
        <x:v>GDE-064</x:v>
      </x:c>
      <x:c r="C65" s="5" t="str">
        <x:v>公会App-数据与收益模块</x:v>
      </x:c>
      <x:c r="D65" s="5" t="str">
        <x:v>每日经营详情</x:v>
      </x:c>
      <x:c r="E65" s="5" t="str">
        <x:v>功能需求</x:v>
      </x:c>
      <x:c r="F65" s="5" t="str">
        <x:v>P2</x:v>
      </x:c>
      <x:c r="G65" s="5" t="str">
        <x:v>验证直播时长字段</x:v>
      </x:c>
      <x:c r="H65" s="5" t="str">
        <x:v>直播时长字段</x:v>
      </x:c>
      <x:c r="I65" s="5" t="str">
        <x:v>1. 主播 Sari 当日直播时长为 3 小时 15 分钟</x:v>
      </x:c>
      <x:c r="J65" s="5" t="str">
        <x:v>1. 查看 Sari 的主播卡片</x:v>
      </x:c>
      <x:c r="K65" s="5" t="str">
        <x:v>1. 主播卡片直播时长显示 3 小时 15 分钟</x:v>
      </x:c>
      <x:c r="L65" s="5" t="str"/>
      <x:c r="M65" s="5" t="str">
        <x:v>未测</x:v>
      </x:c>
      <x:c r="N65" s="5" t="str"/>
      <x:c r="O65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6" ht="97.5" customHeight="1">
      <x:c r="A66" s="5" t="n">
        <x:v>65</x:v>
      </x:c>
      <x:c r="B66" s="5" t="str">
        <x:v>GDE-065</x:v>
      </x:c>
      <x:c r="C66" s="5" t="str">
        <x:v>公会App-数据与收益模块</x:v>
      </x:c>
      <x:c r="D66" s="5" t="str">
        <x:v>每日经营详情</x:v>
      </x:c>
      <x:c r="E66" s="5" t="str">
        <x:v>逻辑校验</x:v>
      </x:c>
      <x:c r="F66" s="5" t="str">
        <x:v>P1</x:v>
      </x:c>
      <x:c r="G66" s="5" t="str">
        <x:v>验证有效天最小值</x:v>
      </x:c>
      <x:c r="H66" s="5" t="str">
        <x:v>有效天最小值</x:v>
      </x:c>
      <x:c r="I66" s="5" t="str">
        <x:v>1. 主播当日累计有效直播时长为 180 分钟</x:v>
      </x:c>
      <x:c r="J66" s="5" t="str">
        <x:v>1. 查看该主播有效天状态</x:v>
      </x:c>
      <x:c r="K66" s="5" t="str">
        <x:v>1. 该主播显示已达成有效天</x:v>
      </x:c>
      <x:c r="L66" s="5" t="str"/>
      <x:c r="M66" s="5" t="str">
        <x:v>未测</x:v>
      </x:c>
      <x:c r="N66" s="5" t="str"/>
      <x:c r="O66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7" ht="97.5" customHeight="1">
      <x:c r="A67" s="5" t="n">
        <x:v>66</x:v>
      </x:c>
      <x:c r="B67" s="5" t="str">
        <x:v>GDE-066</x:v>
      </x:c>
      <x:c r="C67" s="5" t="str">
        <x:v>公会App-数据与收益模块</x:v>
      </x:c>
      <x:c r="D67" s="5" t="str">
        <x:v>每日经营详情</x:v>
      </x:c>
      <x:c r="E67" s="5" t="str">
        <x:v>逻辑校验</x:v>
      </x:c>
      <x:c r="F67" s="5" t="str">
        <x:v>P1</x:v>
      </x:c>
      <x:c r="G67" s="5" t="str">
        <x:v>验证有效天最小值下方</x:v>
      </x:c>
      <x:c r="H67" s="5" t="str">
        <x:v>有效天最小值下方</x:v>
      </x:c>
      <x:c r="I67" s="5" t="str">
        <x:v>1. 主播当日累计有效直播时长为 179 分钟</x:v>
      </x:c>
      <x:c r="J67" s="5" t="str">
        <x:v>1. 查看该主播有效天状态</x:v>
      </x:c>
      <x:c r="K67" s="5" t="str">
        <x:v>1. 该主播显示未达成有效天</x:v>
      </x:c>
      <x:c r="L67" s="5" t="str"/>
      <x:c r="M67" s="5" t="str">
        <x:v>未测</x:v>
      </x:c>
      <x:c r="N67" s="5" t="str"/>
      <x:c r="O67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8" ht="97.5" customHeight="1">
      <x:c r="A68" s="5" t="n">
        <x:v>67</x:v>
      </x:c>
      <x:c r="B68" s="5" t="str">
        <x:v>GDE-067</x:v>
      </x:c>
      <x:c r="C68" s="5" t="str">
        <x:v>公会App-数据与收益模块</x:v>
      </x:c>
      <x:c r="D68" s="5" t="str">
        <x:v>每日经营详情</x:v>
      </x:c>
      <x:c r="E68" s="5" t="str">
        <x:v>逻辑校验</x:v>
      </x:c>
      <x:c r="F68" s="5" t="str">
        <x:v>P2</x:v>
      </x:c>
      <x:c r="G68" s="5" t="str">
        <x:v>验证未开播卡片指标范围</x:v>
      </x:c>
      <x:c r="H68" s="5" t="str">
        <x:v>未开播卡片指标范围</x:v>
      </x:c>
      <x:c r="I68" s="5" t="str">
        <x:v>1. 主播 Maya 当日未开播</x:v>
      </x:c>
      <x:c r="J68" s="5" t="str">
        <x:v>1. 切换到“未开播”
2. 查看 Maya 的主播卡片</x:v>
      </x:c>
      <x:c r="K68" s="5" t="str">
        <x:v>1. Maya 的卡片不显示当日收益指标</x:v>
      </x:c>
      <x:c r="L68" s="5" t="str"/>
      <x:c r="M68" s="5" t="str">
        <x:v>未测</x:v>
      </x:c>
      <x:c r="N68" s="5" t="str"/>
      <x:c r="O68" s="5" t="str">
        <x:v>1. 来源：context/02-公会App-项目需求清单.md（2026-08-31 按原型同步，RSL-0005）
2. 来源：prototype/assets/annotations.js 的公会数据与收益批注
3. 来源：prototype/pages/guild/data/guild-income-day-detail.html；静态原型分析，未连接真实后端动态验证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69" ht="85.5" customHeight="1">
      <x:c r="A69" s="5" t="n">
        <x:v>68</x:v>
      </x:c>
      <x:c r="B69" s="5" t="str">
        <x:v>GDE-068</x:v>
      </x:c>
      <x:c r="C69" s="5" t="str">
        <x:v>公会App-数据与收益模块</x:v>
      </x:c>
      <x:c r="D69" s="5" t="str">
        <x:v>每日经营详情/主播下钻</x:v>
      </x:c>
      <x:c r="E69" s="5" t="str">
        <x:v>业务流程</x:v>
      </x:c>
      <x:c r="F69" s="5" t="str">
        <x:v>P1</x:v>
      </x:c>
      <x:c r="G69" s="5" t="str">
        <x:v>验证点击已开播主播进入主播数据</x:v>
      </x:c>
      <x:c r="H69" s="5" t="str">
        <x:v>主播数据下钻</x:v>
      </x:c>
      <x:c r="I69" s="5" t="str">
        <x:v>1. 15/08/2026 的已开播列表存在主播 Sari</x:v>
      </x:c>
      <x:c r="J69" s="5" t="str">
        <x:v>1. 点击主播 Sari 的卡片</x:v>
      </x:c>
      <x:c r="K69" s="5" t="str">
        <x:v>1. 页面进入 Sari 在 15/08/2026 的主播数据页</x:v>
      </x:c>
      <x:c r="L69" s="5" t="str">
        <x:v>FLOW-GDE-001</x:v>
      </x:c>
      <x:c r="M69" s="5" t="str">
        <x:v>未测</x:v>
      </x:c>
      <x:c r="N69" s="5" t="str"/>
      <x:c r="O69" s="5" t="str">
        <x:v>1. 来源：prototype/assets/annotations.js 的公会数据与收益批注
2. 来源：prototype/pages/guild/data/guild-income-day-detail.html；静态原型分析，未连接真实后端动态验证
3. 流程阶段：每日经营详情下钻主播数据
4. 同步追溯：work/liveshow-guild-data-income/prototype-context-sync-result.json；RSL-0005
5. 质量检查：最小前置条件、单一业务分支、单一可观察预期结果</x:v>
      </x:c>
    </x:row>
    <x:row r="70" ht="61.5" customHeight="1">
      <x:c r="A70" s="5" t="n">
        <x:v>69</x:v>
      </x:c>
      <x:c r="B70" s="5" t="str">
        <x:v>GDE-069</x:v>
      </x:c>
      <x:c r="C70" s="5" t="str">
        <x:v>公会App-数据与收益模块</x:v>
      </x:c>
      <x:c r="D70" s="5" t="str">
        <x:v>每日经营详情/返回</x:v>
      </x:c>
      <x:c r="E70" s="5" t="str">
        <x:v>业务流程</x:v>
      </x:c>
      <x:c r="F70" s="5" t="str">
        <x:v>P2</x:v>
      </x:c>
      <x:c r="G70" s="5" t="str">
        <x:v>验证首页进入每日页后返回</x:v>
      </x:c>
      <x:c r="H70" s="5" t="str">
        <x:v>返回公会首页</x:v>
      </x:c>
      <x:c r="I70" s="5" t="str">
        <x:v>1. 公会长从首页运营指标进入每日页</x:v>
      </x:c>
      <x:c r="J70" s="5" t="str">
        <x:v>1. 点击左上角返回按钮</x:v>
      </x:c>
      <x:c r="K70" s="5" t="str">
        <x:v>1. 页面返回公会首页</x:v>
      </x:c>
      <x:c r="L70" s="5" t="str">
        <x:v>FLOW-GDE-001</x:v>
      </x:c>
      <x:c r="M70" s="5" t="str">
        <x:v>未测</x:v>
      </x:c>
      <x:c r="N70" s="5" t="str"/>
      <x:c r="O70" s="5" t="str">
        <x:v>1. 来源：prototype/pages/guild/data/guild-income-day-detail.html；静态原型分析，未连接真实后端动态验证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71" ht="73.5" customHeight="1">
      <x:c r="A71" s="5" t="n">
        <x:v>70</x:v>
      </x:c>
      <x:c r="B71" s="5" t="str">
        <x:v>GDE-070</x:v>
      </x:c>
      <x:c r="C71" s="5" t="str">
        <x:v>公会App-数据与收益模块</x:v>
      </x:c>
      <x:c r="D71" s="5" t="str">
        <x:v>每日经营详情/历史</x:v>
      </x:c>
      <x:c r="E71" s="5" t="str">
        <x:v>业务流程</x:v>
      </x:c>
      <x:c r="F71" s="5" t="str">
        <x:v>P2</x:v>
      </x:c>
      <x:c r="G71" s="5" t="str">
        <x:v>验证从每日页查看历史业绩</x:v>
      </x:c>
      <x:c r="H71" s="5" t="str">
        <x:v>查看历史入口</x:v>
      </x:c>
      <x:c r="I71" s="5" t="str">
        <x:v>1. 公会长已进入每日页</x:v>
      </x:c>
      <x:c r="J71" s="5" t="str">
        <x:v>1. 点击查看历史入口</x:v>
      </x:c>
      <x:c r="K71" s="5" t="str">
        <x:v>1. 页面进入公会业绩页</x:v>
      </x:c>
      <x:c r="L71" s="5" t="str">
        <x:v>FLOW-GDE-001</x:v>
      </x:c>
      <x:c r="M71" s="5" t="str">
        <x:v>未测</x:v>
      </x:c>
      <x:c r="N71" s="5" t="str"/>
      <x:c r="O71" s="5" t="str">
        <x:v>1. 来源：prototype/pages/guild/data/guild-income-day-detail.html；静态原型分析，未连接真实后端动态验证
2. 流程阶段：每日经营详情返回历史公会业绩
3. 同步追溯：work/liveshow-guild-data-income/prototype-context-sync-result.json；RSL-0005
4. 质量检查：最小前置条件、单一业务分支、单一可观察预期结果</x:v>
      </x:c>
    </x:row>
    <x:row r="72" ht="121.5" customHeight="1">
      <x:c r="A72" s="5" t="n">
        <x:v>71</x:v>
      </x:c>
      <x:c r="B72" s="5" t="str">
        <x:v>GDE-071</x:v>
      </x:c>
      <x:c r="C72" s="5" t="str">
        <x:v>公会App-数据与收益模块</x:v>
      </x:c>
      <x:c r="D72" s="5" t="str">
        <x:v>直播记录/入口与默认状态</x:v>
      </x:c>
      <x:c r="E72" s="5" t="str">
        <x:v>业务流程</x:v>
      </x:c>
      <x:c r="F72" s="5" t="str">
        <x:v>P0</x:v>
      </x:c>
      <x:c r="G72" s="5" t="str">
        <x:v>验证从公会首页进入直播记录</x:v>
      </x:c>
      <x:c r="H72" s="5" t="str">
        <x:v>公会首页入口</x:v>
      </x:c>
      <x:c r="I72" s="5" t="str">
        <x:v>1. 公会长已登录公会 App</x:v>
      </x:c>
      <x:c r="J72" s="5" t="str">
        <x:v>1. 进入公会首页
2. 点击“直播记录”</x:v>
      </x:c>
      <x:c r="K72" s="5" t="str">
        <x:v>1. 页面进入标题为“直播记录”的页面</x:v>
      </x:c>
      <x:c r="L72" s="5" t="str">
        <x:v>FLOW-GDE-002</x:v>
      </x:c>
      <x:c r="M72" s="5" t="str">
        <x:v>未测</x:v>
      </x:c>
      <x:c r="N72" s="5" t="str"/>
      <x:c r="O72" s="5" t="str">
        <x:v>1. 来源：prototype/pages/guild/home/guild-home.html；未连接真实后端动态验证
2. 来源：prototype/Luma Live-原型说明.md
3. 流程阶段：公会首页进入直播记录
4. 共同业务对象：当前公会在 15/08/2026 的主播直播记录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73" ht="126" customHeight="1">
      <x:c r="A73" s="5" t="n">
        <x:v>72</x:v>
      </x:c>
      <x:c r="B73" s="5" t="str">
        <x:v>GDE-072</x:v>
      </x:c>
      <x:c r="C73" s="5" t="str">
        <x:v>公会App-数据与收益模块</x:v>
      </x:c>
      <x:c r="D73" s="5" t="str">
        <x:v>直播记录/入口与默认状态</x:v>
      </x:c>
      <x:c r="E73" s="5" t="str">
        <x:v>业务流程</x:v>
      </x:c>
      <x:c r="F73" s="5" t="str">
        <x:v>P1</x:v>
      </x:c>
      <x:c r="G73" s="5" t="str">
        <x:v>验证首页进入后的默认主播范围</x:v>
      </x:c>
      <x:c r="H73" s="5" t="str">
        <x:v>默认主播范围</x:v>
      </x:c>
      <x:c r="I73" s="5" t="str">
        <x:v>1. 当前公会存在 6 名主播
2. 公会长已进入公会首页</x:v>
      </x:c>
      <x:c r="J73" s="5" t="str">
        <x:v>1. 点击“直播记录”
2. 查看主播筛选项</x:v>
      </x:c>
      <x:c r="K73" s="5" t="str">
        <x:v>1. 主播筛选项显示已选 6 人</x:v>
      </x:c>
      <x:c r="L73" s="5" t="str">
        <x:v>FLOW-GDE-002</x:v>
      </x:c>
      <x:c r="M73" s="5" t="str">
        <x:v>未测</x:v>
      </x:c>
      <x:c r="N73" s="5" t="str"/>
      <x:c r="O73" s="5" t="str">
        <x:v>1. 来源：context/02-公会App-项目需求清单.md（2026-08-31 按原型同步，RSL-0004）
2. 来源：prototype/assets/annotations.js 的公会直播记录、场次详情和主播多选批注
3. 来源：prototype/pages/guild/home/guild-home.html；未连接真实后端动态验证
4. 流程阶段：公会首页进入直播记录
5. 共同业务对象：当前公会在 15/08/2026 的主播直播记录
6. 同步追溯：work/liveshow-guild-live-records/prototype-context-sync-result.json；RSL-0004
7. 质量检查：最小前置条件、单一业务分支、单一可观察预期结果
8. 既有覆盖来源：公会App-直播记录模块-260831-001.xlsx；原历史工作簿保持不变
9. 同步追溯：work/liveshow-guild-data-income/prototype-context-sync-result.json；RSL-0005</x:v>
      </x:c>
    </x:row>
    <x:row r="74" ht="126" customHeight="1">
      <x:c r="A74" s="5" t="n">
        <x:v>73</x:v>
      </x:c>
      <x:c r="B74" s="5" t="str">
        <x:v>GDE-073</x:v>
      </x:c>
      <x:c r="C74" s="5" t="str">
        <x:v>公会App-数据与收益模块</x:v>
      </x:c>
      <x:c r="D74" s="5" t="str">
        <x:v>直播记录/入口与默认状态</x:v>
      </x:c>
      <x:c r="E74" s="5" t="str">
        <x:v>业务流程</x:v>
      </x:c>
      <x:c r="F74" s="5" t="str">
        <x:v>P1</x:v>
      </x:c>
      <x:c r="G74" s="5" t="str">
        <x:v>验证首页进入后的默认日期</x:v>
      </x:c>
      <x:c r="H74" s="5" t="str">
        <x:v>默认日期范围</x:v>
      </x:c>
      <x:c r="I74" s="5" t="str">
        <x:v>1. 测试环境业务日期为 15/08/2026
2. 公会长已进入公会首页</x:v>
      </x:c>
      <x:c r="J74" s="5" t="str">
        <x:v>1. 点击“直播记录”
2. 查看日期范围</x:v>
      </x:c>
      <x:c r="K74" s="5" t="str">
        <x:v>1. 日期范围显示 15/8/2026～15/8/2026</x:v>
      </x:c>
      <x:c r="L74" s="5" t="str">
        <x:v>FLOW-GDE-002</x:v>
      </x:c>
      <x:c r="M74" s="5" t="str">
        <x:v>未测</x:v>
      </x:c>
      <x:c r="N74" s="5" t="str"/>
      <x:c r="O74" s="5" t="str">
        <x:v>1. 来源：context/02-公会App-项目需求清单.md（2026-08-31 按原型同步，RSL-0004）
2. 来源：prototype/assets/annotations.js 的公会直播记录、场次详情和主播多选批注
3. 来源：prototype/pages/guild/home/guild-home.html；未连接真实后端动态验证
4. 流程阶段：公会首页进入直播记录
5. 共同业务对象：当前公会在 15/08/2026 的主播直播记录
6. 同步追溯：work/liveshow-guild-live-records/prototype-context-sync-result.json；RSL-0004
7. 质量检查：最小前置条件、单一业务分支、单一可观察预期结果
8. 既有覆盖来源：公会App-直播记录模块-260831-001.xlsx；原历史工作簿保持不变
9. 同步追溯：work/liveshow-guild-data-income/prototype-context-sync-result.json；RSL-0005</x:v>
      </x:c>
    </x:row>
    <x:row r="75" ht="121.5" customHeight="1">
      <x:c r="A75" s="5" t="n">
        <x:v>74</x:v>
      </x:c>
      <x:c r="B75" s="5" t="str">
        <x:v>GDE-074</x:v>
      </x:c>
      <x:c r="C75" s="5" t="str">
        <x:v>公会App-数据与收益模块</x:v>
      </x:c>
      <x:c r="D75" s="5" t="str">
        <x:v>直播记录/入口与默认状态</x:v>
      </x:c>
      <x:c r="E75" s="5" t="str">
        <x:v>逻辑校验</x:v>
      </x:c>
      <x:c r="F75" s="5" t="str">
        <x:v>P1</x:v>
      </x:c>
      <x:c r="G75" s="5" t="str">
        <x:v>验证默认列表的数据范围</x:v>
      </x:c>
      <x:c r="H75" s="5" t="str">
        <x:v>默认今日记录</x:v>
      </x:c>
      <x:c r="I75" s="5" t="str">
        <x:v>1. 测试环境业务日期为 15/08/2026
2. 15/08/2026 存在 5 场记录
3. 14/08/2026 存在 1 场记录</x:v>
      </x:c>
      <x:c r="J75" s="5" t="str">
        <x:v>1. 从公会首页进入直播记录
2. 查看场次列表</x:v>
      </x:c>
      <x:c r="K75" s="5" t="str">
        <x:v>1. 场次列表结果集仅包含 15/08/2026 的 5 场记录</x:v>
      </x:c>
      <x:c r="L75" s="5" t="str"/>
      <x:c r="M75" s="5" t="str">
        <x:v>未测</x:v>
      </x:c>
      <x:c r="N75" s="5" t="str"/>
      <x:c r="O7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76" ht="109.5" customHeight="1">
      <x:c r="A76" s="5" t="n">
        <x:v>75</x:v>
      </x:c>
      <x:c r="B76" s="5" t="str">
        <x:v>GDE-075</x:v>
      </x:c>
      <x:c r="C76" s="5" t="str">
        <x:v>公会App-数据与收益模块</x:v>
      </x:c>
      <x:c r="D76" s="5" t="str">
        <x:v>直播记录/入口与默认状态</x:v>
      </x:c>
      <x:c r="E76" s="5" t="str">
        <x:v>业务流程</x:v>
      </x:c>
      <x:c r="F76" s="5" t="str">
        <x:v>P2</x:v>
      </x:c>
      <x:c r="G76" s="5" t="str">
        <x:v>验证直播记录返回公会首页</x:v>
      </x:c>
      <x:c r="H76" s="5" t="str">
        <x:v>返回公会首页</x:v>
      </x:c>
      <x:c r="I76" s="5" t="str">
        <x:v>1. 公会长已从公会首页进入直播记录</x:v>
      </x:c>
      <x:c r="J76" s="5" t="str">
        <x:v>1. 点击页面左上角返回按钮</x:v>
      </x:c>
      <x:c r="K76" s="5" t="str">
        <x:v>1. 页面返回公会首页</x:v>
      </x:c>
      <x:c r="L76" s="5" t="str">
        <x:v>FLOW-GDE-002</x:v>
      </x:c>
      <x:c r="M76" s="5" t="str">
        <x:v>未测</x:v>
      </x:c>
      <x:c r="N76" s="5" t="str"/>
      <x:c r="O76" s="5" t="str">
        <x:v>1. 来源：prototype/pages/guild/data/guild-host-data.html；未连接真实后端动态验证
2. 流程阶段：直播记录返回公会首页
3. 共同业务对象：当前公会在 15/08/2026 的主播直播记录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77" ht="109.5" customHeight="1">
      <x:c r="A77" s="5" t="n">
        <x:v>76</x:v>
      </x:c>
      <x:c r="B77" s="5" t="str">
        <x:v>GDE-076</x:v>
      </x:c>
      <x:c r="C77" s="5" t="str">
        <x:v>公会App-数据与收益模块</x:v>
      </x:c>
      <x:c r="D77" s="5" t="str">
        <x:v>直播记录/主播筛选</x:v>
      </x:c>
      <x:c r="E77" s="5" t="str">
        <x:v>功能需求</x:v>
      </x:c>
      <x:c r="F77" s="5" t="str">
        <x:v>P1</x:v>
      </x:c>
      <x:c r="G77" s="5" t="str">
        <x:v>验证打开主播选择页</x:v>
      </x:c>
      <x:c r="H77" s="5" t="str">
        <x:v>主播选择入口</x:v>
      </x:c>
      <x:c r="I77" s="5" t="str">
        <x:v>1. 公会长已进入直播记录页</x:v>
      </x:c>
      <x:c r="J77" s="5" t="str">
        <x:v>1. 点击主播筛选项</x:v>
      </x:c>
      <x:c r="K77" s="5" t="str">
        <x:v>1. 页面进入标题为“选择主播”的页面</x:v>
      </x:c>
      <x:c r="L77" s="5" t="str"/>
      <x:c r="M77" s="5" t="str">
        <x:v>未测</x:v>
      </x:c>
      <x:c r="N77" s="5" t="str"/>
      <x:c r="O77" s="5" t="str">
        <x:v>1. 来源：prototype/assets/annotations.js 的公会直播记录、场次详情和主播多选批注
2. 来源：prototype/pages/guild/data/guild-host-data.html；未连接真实后端动态验证
3. 来源：prototype/pages/guild/data/guild-violation-host-select.html；未连接真实后端动态验证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78" ht="97.5" customHeight="1">
      <x:c r="A78" s="5" t="n">
        <x:v>77</x:v>
      </x:c>
      <x:c r="B78" s="5" t="str">
        <x:v>GDE-077</x:v>
      </x:c>
      <x:c r="C78" s="5" t="str">
        <x:v>公会App-数据与收益模块</x:v>
      </x:c>
      <x:c r="D78" s="5" t="str">
        <x:v>直播记录/主播筛选</x:v>
      </x:c>
      <x:c r="E78" s="5" t="str">
        <x:v>功能需求</x:v>
      </x:c>
      <x:c r="F78" s="5" t="str">
        <x:v>P2</x:v>
      </x:c>
      <x:c r="G78" s="5" t="str">
        <x:v>验证主播选择页的默认选中范围</x:v>
      </x:c>
      <x:c r="H78" s="5" t="str">
        <x:v>选择页默认范围</x:v>
      </x:c>
      <x:c r="I78" s="5" t="str">
        <x:v>1. 当前公会存在 6 名主播
2. 直播记录当前选择全部主播</x:v>
      </x:c>
      <x:c r="J78" s="5" t="str">
        <x:v>1. 进入主播选择页
2. 查看主播选中状态</x:v>
      </x:c>
      <x:c r="K78" s="5" t="str">
        <x:v>1. 6 名主播均处于选中状态</x:v>
      </x:c>
      <x:c r="L78" s="5" t="str"/>
      <x:c r="M78" s="5" t="str">
        <x:v>未测</x:v>
      </x:c>
      <x:c r="N78" s="5" t="str"/>
      <x:c r="O78" s="5" t="str">
        <x:v>1. 来源：prototype/assets/annotations.js 的公会直播记录、场次详情和主播多选批注
2. 来源：prototype/pages/guild/data/guild-violation-host-select.html；未连接真实后端动态验证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79" ht="97.5" customHeight="1">
      <x:c r="A79" s="5" t="n">
        <x:v>78</x:v>
      </x:c>
      <x:c r="B79" s="5" t="str">
        <x:v>GDE-078</x:v>
      </x:c>
      <x:c r="C79" s="5" t="str">
        <x:v>公会App-数据与收益模块</x:v>
      </x:c>
      <x:c r="D79" s="5" t="str">
        <x:v>直播记录/主播筛选</x:v>
      </x:c>
      <x:c r="E79" s="5" t="str">
        <x:v>逻辑校验</x:v>
      </x:c>
      <x:c r="F79" s="5" t="str">
        <x:v>P1</x:v>
      </x:c>
      <x:c r="G79" s="5" t="str">
        <x:v>验证按主播名称搜索</x:v>
      </x:c>
      <x:c r="H79" s="5" t="str">
        <x:v>名称搜索</x:v>
      </x:c>
      <x:c r="I79" s="5" t="str">
        <x:v>1. 当前公会存在主播 Sari 和 Dewi</x:v>
      </x:c>
      <x:c r="J79" s="5" t="str">
        <x:v>1. 进入主播选择页
2. 在搜索框输入“Sari”</x:v>
      </x:c>
      <x:c r="K79" s="5" t="str">
        <x:v>1. 搜索结果集仅包含主播 Sari</x:v>
      </x:c>
      <x:c r="L79" s="5" t="str"/>
      <x:c r="M79" s="5" t="str">
        <x:v>未测</x:v>
      </x:c>
      <x:c r="N79" s="5" t="str"/>
      <x:c r="O79" s="5" t="str">
        <x:v>1. 来源：prototype/assets/annotations.js 的公会直播记录、场次详情和主播多选批注
2. 来源：prototype/pages/guild/data/guild-violation-host-select.html；未连接真实后端动态验证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80" ht="97.5" customHeight="1">
      <x:c r="A80" s="5" t="n">
        <x:v>79</x:v>
      </x:c>
      <x:c r="B80" s="5" t="str">
        <x:v>GDE-079</x:v>
      </x:c>
      <x:c r="C80" s="5" t="str">
        <x:v>公会App-数据与收益模块</x:v>
      </x:c>
      <x:c r="D80" s="5" t="str">
        <x:v>直播记录/主播筛选</x:v>
      </x:c>
      <x:c r="E80" s="5" t="str">
        <x:v>逻辑校验</x:v>
      </x:c>
      <x:c r="F80" s="5" t="str">
        <x:v>P1</x:v>
      </x:c>
      <x:c r="G80" s="5" t="str">
        <x:v>验证按主播 ID 搜索</x:v>
      </x:c>
      <x:c r="H80" s="5" t="str">
        <x:v>主播 ID 搜索</x:v>
      </x:c>
      <x:c r="I80" s="5" t="str">
        <x:v>1. 当前公会存在主播 H102938 和 H102954</x:v>
      </x:c>
      <x:c r="J80" s="5" t="str">
        <x:v>1. 进入主播选择页
2. 在搜索框输入“H102938”</x:v>
      </x:c>
      <x:c r="K80" s="5" t="str">
        <x:v>1. 搜索结果集仅包含主播 H102938</x:v>
      </x:c>
      <x:c r="L80" s="5" t="str"/>
      <x:c r="M80" s="5" t="str">
        <x:v>未测</x:v>
      </x:c>
      <x:c r="N80" s="5" t="str"/>
      <x:c r="O80" s="5" t="str">
        <x:v>1. 来源：prototype/assets/annotations.js 的公会直播记录、场次详情和主播多选批注
2. 来源：prototype/pages/guild/data/guild-violation-host-select.html；未连接真实后端动态验证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81" ht="85.5" customHeight="1">
      <x:c r="A81" s="5" t="n">
        <x:v>80</x:v>
      </x:c>
      <x:c r="B81" s="5" t="str">
        <x:v>GDE-080</x:v>
      </x:c>
      <x:c r="C81" s="5" t="str">
        <x:v>公会App-数据与收益模块</x:v>
      </x:c>
      <x:c r="D81" s="5" t="str">
        <x:v>直播记录/主播筛选</x:v>
      </x:c>
      <x:c r="E81" s="5" t="str">
        <x:v>功能需求</x:v>
      </x:c>
      <x:c r="F81" s="5" t="str">
        <x:v>P2</x:v>
      </x:c>
      <x:c r="G81" s="5" t="str">
        <x:v>验证主播搜索无结果状态</x:v>
      </x:c>
      <x:c r="H81" s="5" t="str">
        <x:v>搜索无结果</x:v>
      </x:c>
      <x:c r="I81" s="5" t="str">
        <x:v>1. 当前公会不存在 ID 为 H999999 的主播</x:v>
      </x:c>
      <x:c r="J81" s="5" t="str">
        <x:v>1. 进入主播选择页
2. 在搜索框输入“H999999”</x:v>
      </x:c>
      <x:c r="K81" s="5" t="str">
        <x:v>1. 主播列表不展示任何主播记录</x:v>
      </x:c>
      <x:c r="L81" s="5" t="str"/>
      <x:c r="M81" s="5" t="str">
        <x:v>未测</x:v>
      </x:c>
      <x:c r="N81" s="5" t="str"/>
      <x:c r="O81" s="5" t="str">
        <x:v>1. 来源：prototype/pages/guild/data/guild-violation-host-select.html；未连接真实后端动态验证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82" ht="121.5" customHeight="1">
      <x:c r="A82" s="5" t="n">
        <x:v>81</x:v>
      </x:c>
      <x:c r="B82" s="5" t="str">
        <x:v>GDE-081</x:v>
      </x:c>
      <x:c r="C82" s="5" t="str">
        <x:v>公会App-数据与收益模块</x:v>
      </x:c>
      <x:c r="D82" s="5" t="str">
        <x:v>直播记录/主播筛选</x:v>
      </x:c>
      <x:c r="E82" s="5" t="str">
        <x:v>逻辑校验</x:v>
      </x:c>
      <x:c r="F82" s="5" t="str">
        <x:v>P1</x:v>
      </x:c>
      <x:c r="G82" s="5" t="str">
        <x:v>验证选择单个主播后的筛选回显</x:v>
      </x:c>
      <x:c r="H82" s="5" t="str">
        <x:v>单选主播回显</x:v>
      </x:c>
      <x:c r="I82" s="5" t="str">
        <x:v>1. 主播 Sari 的 ID 为 H102938
2. 主播选择页当前已选全部主播</x:v>
      </x:c>
      <x:c r="J82" s="5" t="str">
        <x:v>1. 仅保留主播 Sari 为选中状态
2. 返回直播记录页</x:v>
      </x:c>
      <x:c r="K82" s="5" t="str">
        <x:v>1. 主播筛选项显示 Sari、H102938 和已选 1 人</x:v>
      </x:c>
      <x:c r="L82" s="5" t="str"/>
      <x:c r="M82" s="5" t="str">
        <x:v>未测</x:v>
      </x:c>
      <x:c r="N82" s="5" t="str"/>
      <x:c r="O8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来源：prototype/pages/guild/data/guild-violation-host-select.html；未连接真实后端动态验证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83" ht="121.5" customHeight="1">
      <x:c r="A83" s="5" t="n">
        <x:v>82</x:v>
      </x:c>
      <x:c r="B83" s="5" t="str">
        <x:v>GDE-082</x:v>
      </x:c>
      <x:c r="C83" s="5" t="str">
        <x:v>公会App-数据与收益模块</x:v>
      </x:c>
      <x:c r="D83" s="5" t="str">
        <x:v>直播记录/主播筛选</x:v>
      </x:c>
      <x:c r="E83" s="5" t="str">
        <x:v>逻辑校验</x:v>
      </x:c>
      <x:c r="F83" s="5" t="str">
        <x:v>P1</x:v>
      </x:c>
      <x:c r="G83" s="5" t="str">
        <x:v>验证单个主播的记录范围</x:v>
      </x:c>
      <x:c r="H83" s="5" t="str">
        <x:v>单主播记录结果集</x:v>
      </x:c>
      <x:c r="I83" s="5" t="str">
        <x:v>1. 15/08/2026 主播 Sari 有 2 场记录
2. 15/08/2026 主播 Dewi 有 1 场记录</x:v>
      </x:c>
      <x:c r="J83" s="5" t="str">
        <x:v>1. 筛选主播 Sari
2. 查看场次列表</x:v>
      </x:c>
      <x:c r="K83" s="5" t="str">
        <x:v>1. 场次列表结果集仅包含主播 Sari 的 2 场记录</x:v>
      </x:c>
      <x:c r="L83" s="5" t="str"/>
      <x:c r="M83" s="5" t="str">
        <x:v>未测</x:v>
      </x:c>
      <x:c r="N83" s="5" t="str"/>
      <x:c r="O8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84" ht="121.5" customHeight="1">
      <x:c r="A84" s="5" t="n">
        <x:v>83</x:v>
      </x:c>
      <x:c r="B84" s="5" t="str">
        <x:v>GDE-083</x:v>
      </x:c>
      <x:c r="C84" s="5" t="str">
        <x:v>公会App-数据与收益模块</x:v>
      </x:c>
      <x:c r="D84" s="5" t="str">
        <x:v>直播记录/主播筛选</x:v>
      </x:c>
      <x:c r="E84" s="5" t="str">
        <x:v>逻辑校验</x:v>
      </x:c>
      <x:c r="F84" s="5" t="str">
        <x:v>P1</x:v>
      </x:c>
      <x:c r="G84" s="5" t="str">
        <x:v>验证选择多个主播后的筛选回显</x:v>
      </x:c>
      <x:c r="H84" s="5" t="str">
        <x:v>多选主播回显</x:v>
      </x:c>
      <x:c r="I84" s="5" t="str">
        <x:v>1. 主播 Sari 和 Dewi 均属于当前公会</x:v>
      </x:c>
      <x:c r="J84" s="5" t="str">
        <x:v>1. 在主播选择页仅选中 Sari 和 Dewi
2. 返回直播记录页</x:v>
      </x:c>
      <x:c r="K84" s="5" t="str">
        <x:v>1. 主播筛选项显示已选 2 人</x:v>
      </x:c>
      <x:c r="L84" s="5" t="str"/>
      <x:c r="M84" s="5" t="str">
        <x:v>未测</x:v>
      </x:c>
      <x:c r="N84" s="5" t="str"/>
      <x:c r="O8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来源：prototype/pages/guild/data/guild-violation-host-select.html；未连接真实后端动态验证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85" ht="121.5" customHeight="1">
      <x:c r="A85" s="5" t="n">
        <x:v>84</x:v>
      </x:c>
      <x:c r="B85" s="5" t="str">
        <x:v>GDE-084</x:v>
      </x:c>
      <x:c r="C85" s="5" t="str">
        <x:v>公会App-数据与收益模块</x:v>
      </x:c>
      <x:c r="D85" s="5" t="str">
        <x:v>直播记录/主播筛选</x:v>
      </x:c>
      <x:c r="E85" s="5" t="str">
        <x:v>逻辑校验</x:v>
      </x:c>
      <x:c r="F85" s="5" t="str">
        <x:v>P1</x:v>
      </x:c>
      <x:c r="G85" s="5" t="str">
        <x:v>验证多个主播的记录范围</x:v>
      </x:c>
      <x:c r="H85" s="5" t="str">
        <x:v>多主播记录结果集</x:v>
      </x:c>
      <x:c r="I85" s="5" t="str">
        <x:v>1. 15/08/2026 主播 Sari 有 2 场记录
2. 15/08/2026 主播 Dewi 有 1 场记录
3. 15/08/2026 主播 Maya 有 1 场记录</x:v>
      </x:c>
      <x:c r="J85" s="5" t="str">
        <x:v>1. 仅选择主播 Sari 和 Dewi
2. 查看场次列表</x:v>
      </x:c>
      <x:c r="K85" s="5" t="str">
        <x:v>1. 场次列表结果集仅包含 Sari 的 2 场记录和 Dewi 的 1 场记录</x:v>
      </x:c>
      <x:c r="L85" s="5" t="str"/>
      <x:c r="M85" s="5" t="str">
        <x:v>未测</x:v>
      </x:c>
      <x:c r="N85" s="5" t="str"/>
      <x:c r="O8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86" ht="97.5" customHeight="1">
      <x:c r="A86" s="5" t="n">
        <x:v>85</x:v>
      </x:c>
      <x:c r="B86" s="5" t="str">
        <x:v>GDE-085</x:v>
      </x:c>
      <x:c r="C86" s="5" t="str">
        <x:v>公会App-数据与收益模块</x:v>
      </x:c>
      <x:c r="D86" s="5" t="str">
        <x:v>直播记录/主播筛选</x:v>
      </x:c>
      <x:c r="E86" s="5" t="str">
        <x:v>逻辑校验</x:v>
      </x:c>
      <x:c r="F86" s="5" t="str">
        <x:v>P2</x:v>
      </x:c>
      <x:c r="G86" s="5" t="str">
        <x:v>验证取消全部主播后的筛选回显</x:v>
      </x:c>
      <x:c r="H86" s="5" t="str">
        <x:v>零主播回显</x:v>
      </x:c>
      <x:c r="I86" s="5" t="str">
        <x:v>1. 主播选择页当前已选全部主播</x:v>
      </x:c>
      <x:c r="J86" s="5" t="str">
        <x:v>1. 点击“全不选”
2. 返回直播记录页</x:v>
      </x:c>
      <x:c r="K86" s="5" t="str">
        <x:v>1. 主播筛选项显示已选 0 人</x:v>
      </x:c>
      <x:c r="L86" s="5" t="str"/>
      <x:c r="M86" s="5" t="str">
        <x:v>未测</x:v>
      </x:c>
      <x:c r="N86" s="5" t="str"/>
      <x:c r="O86" s="5" t="str">
        <x:v>1. 来源：prototype/pages/guild/data/guild-violation-host-select.html；未连接真实后端动态验证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87" ht="85.5" customHeight="1">
      <x:c r="A87" s="5" t="n">
        <x:v>86</x:v>
      </x:c>
      <x:c r="B87" s="5" t="str">
        <x:v>GDE-086</x:v>
      </x:c>
      <x:c r="C87" s="5" t="str">
        <x:v>公会App-数据与收益模块</x:v>
      </x:c>
      <x:c r="D87" s="5" t="str">
        <x:v>直播记录/主播筛选</x:v>
      </x:c>
      <x:c r="E87" s="5" t="str">
        <x:v>逻辑校验</x:v>
      </x:c>
      <x:c r="F87" s="5" t="str">
        <x:v>P2</x:v>
      </x:c>
      <x:c r="G87" s="5" t="str">
        <x:v>验证未选择主播时的记录结果</x:v>
      </x:c>
      <x:c r="H87" s="5" t="str">
        <x:v>零主播记录结果</x:v>
      </x:c>
      <x:c r="I87" s="5" t="str">
        <x:v>1. 主播筛选当前已选 0 人</x:v>
      </x:c>
      <x:c r="J87" s="5" t="str">
        <x:v>1. 查看场次列表</x:v>
      </x:c>
      <x:c r="K87" s="5" t="str">
        <x:v>1. 场次列表显示“当前时间段暂无直播记录”</x:v>
      </x:c>
      <x:c r="L87" s="5" t="str"/>
      <x:c r="M87" s="5" t="str">
        <x:v>未测</x:v>
      </x:c>
      <x:c r="N87" s="5" t="str"/>
      <x:c r="O87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88" ht="109.5" customHeight="1">
      <x:c r="A88" s="5" t="n">
        <x:v>87</x:v>
      </x:c>
      <x:c r="B88" s="5" t="str">
        <x:v>GDE-087</x:v>
      </x:c>
      <x:c r="C88" s="5" t="str">
        <x:v>公会App-数据与收益模块</x:v>
      </x:c>
      <x:c r="D88" s="5" t="str">
        <x:v>直播记录/主播筛选</x:v>
      </x:c>
      <x:c r="E88" s="5" t="str">
        <x:v>功能需求</x:v>
      </x:c>
      <x:c r="F88" s="5" t="str">
        <x:v>P2</x:v>
      </x:c>
      <x:c r="G88" s="5" t="str">
        <x:v>验证全选恢复全部主播</x:v>
      </x:c>
      <x:c r="H88" s="5" t="str">
        <x:v>全选主播</x:v>
      </x:c>
      <x:c r="I88" s="5" t="str">
        <x:v>1. 主播选择页当前已选 0 人
2. 当前公会存在 6 名主播</x:v>
      </x:c>
      <x:c r="J88" s="5" t="str">
        <x:v>1. 点击“全选”
2. 返回直播记录页</x:v>
      </x:c>
      <x:c r="K88" s="5" t="str">
        <x:v>1. 主播筛选项显示已选 6 人</x:v>
      </x:c>
      <x:c r="L88" s="5" t="str"/>
      <x:c r="M88" s="5" t="str">
        <x:v>未测</x:v>
      </x:c>
      <x:c r="N88" s="5" t="str"/>
      <x:c r="O88" s="5" t="str">
        <x:v>1. 来源：prototype/assets/annotations.js 的公会直播记录、场次详情和主播多选批注
2. 来源：prototype/pages/guild/data/guild-violation-host-select.html；未连接真实后端动态验证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89" ht="121.5" customHeight="1">
      <x:c r="A89" s="5" t="n">
        <x:v>88</x:v>
      </x:c>
      <x:c r="B89" s="5" t="str">
        <x:v>GDE-088</x:v>
      </x:c>
      <x:c r="C89" s="5" t="str">
        <x:v>公会App-数据与收益模块</x:v>
      </x:c>
      <x:c r="D89" s="5" t="str">
        <x:v>直播记录/主播筛选</x:v>
      </x:c>
      <x:c r="E89" s="5" t="str">
        <x:v>逻辑校验</x:v>
      </x:c>
      <x:c r="F89" s="5" t="str">
        <x:v>P1</x:v>
      </x:c>
      <x:c r="G89" s="5" t="str">
        <x:v>验证选择主播后保留日期条件</x:v>
      </x:c>
      <x:c r="H89" s="5" t="str">
        <x:v>筛选条件联合保留</x:v>
      </x:c>
      <x:c r="I89" s="5" t="str">
        <x:v>1. 直播记录日期范围为 10/08/2026～15/08/2026</x:v>
      </x:c>
      <x:c r="J89" s="5" t="str">
        <x:v>1. 进入主播选择页
2. 仅选择主播 Sari
3. 返回直播记录页</x:v>
      </x:c>
      <x:c r="K89" s="5" t="str">
        <x:v>1. 日期范围仍显示 10/8/2026～15/8/2026</x:v>
      </x:c>
      <x:c r="L89" s="5" t="str"/>
      <x:c r="M89" s="5" t="str">
        <x:v>未测</x:v>
      </x:c>
      <x:c r="N89" s="5" t="str"/>
      <x:c r="O89" s="5" t="str">
        <x:v>1. 来源：context/02-公会App-项目需求清单.md（2026-08-31 按原型同步，RSL-0004）
2. 来源：prototype/assets/annotations.js 的公会直播记录、场次详情和主播多选批注
3. 来源：prototype/pages/guild/data/guild-violation-host-select.html；未连接真实后端动态验证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0" ht="109.5" customHeight="1">
      <x:c r="A90" s="5" t="n">
        <x:v>89</x:v>
      </x:c>
      <x:c r="B90" s="5" t="str">
        <x:v>GDE-089</x:v>
      </x:c>
      <x:c r="C90" s="5" t="str">
        <x:v>公会App-数据与收益模块</x:v>
      </x:c>
      <x:c r="D90" s="5" t="str">
        <x:v>直播记录/快捷日期筛选</x:v>
      </x:c>
      <x:c r="E90" s="5" t="str">
        <x:v>功能需求</x:v>
      </x:c>
      <x:c r="F90" s="5" t="str">
        <x:v>P1</x:v>
      </x:c>
      <x:c r="G90" s="5" t="str">
        <x:v>验证快捷日期选项范围</x:v>
      </x:c>
      <x:c r="H90" s="5" t="str">
        <x:v>快捷日期选项</x:v>
      </x:c>
      <x:c r="I90" s="5" t="str">
        <x:v>1. 公会长已进入直播记录页</x:v>
      </x:c>
      <x:c r="J90" s="5" t="str">
        <x:v>1. 点击快捷日期按钮</x:v>
      </x:c>
      <x:c r="K90" s="5" t="str">
        <x:v>1. 菜单展示今日、昨日、本周、上周、本月、上月和自定义 7 个选项</x:v>
      </x:c>
      <x:c r="L90" s="5" t="str"/>
      <x:c r="M90" s="5" t="str">
        <x:v>未测</x:v>
      </x:c>
      <x:c r="N90" s="5" t="str"/>
      <x:c r="O9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91" ht="85.5" customHeight="1">
      <x:c r="A91" s="5" t="n">
        <x:v>90</x:v>
      </x:c>
      <x:c r="B91" s="5" t="str">
        <x:v>GDE-090</x:v>
      </x:c>
      <x:c r="C91" s="5" t="str">
        <x:v>公会App-数据与收益模块</x:v>
      </x:c>
      <x:c r="D91" s="5" t="str">
        <x:v>直播记录/快捷日期筛选</x:v>
      </x:c>
      <x:c r="E91" s="5" t="str">
        <x:v>功能需求</x:v>
      </x:c>
      <x:c r="F91" s="5" t="str">
        <x:v>P2</x:v>
      </x:c>
      <x:c r="G91" s="5" t="str">
        <x:v>验证点击菜单外关闭快捷日期菜单</x:v>
      </x:c>
      <x:c r="H91" s="5" t="str">
        <x:v>菜单外部关闭</x:v>
      </x:c>
      <x:c r="I91" s="5" t="str">
        <x:v>1. 快捷日期菜单已打开</x:v>
      </x:c>
      <x:c r="J91" s="5" t="str">
        <x:v>1. 点击菜单外的页面区域</x:v>
      </x:c>
      <x:c r="K91" s="5" t="str">
        <x:v>1. 快捷日期菜单关闭</x:v>
      </x:c>
      <x:c r="L91" s="5" t="str"/>
      <x:c r="M91" s="5" t="str">
        <x:v>未测</x:v>
      </x:c>
      <x:c r="N91" s="5" t="str"/>
      <x:c r="O91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92" ht="85.5" customHeight="1">
      <x:c r="A92" s="5" t="n">
        <x:v>91</x:v>
      </x:c>
      <x:c r="B92" s="5" t="str">
        <x:v>GDE-091</x:v>
      </x:c>
      <x:c r="C92" s="5" t="str">
        <x:v>公会App-数据与收益模块</x:v>
      </x:c>
      <x:c r="D92" s="5" t="str">
        <x:v>直播记录/快捷日期筛选</x:v>
      </x:c>
      <x:c r="E92" s="5" t="str">
        <x:v>功能需求</x:v>
      </x:c>
      <x:c r="F92" s="5" t="str">
        <x:v>P3</x:v>
      </x:c>
      <x:c r="G92" s="5" t="str">
        <x:v>验证按 Escape 关闭快捷日期菜单</x:v>
      </x:c>
      <x:c r="H92" s="5" t="str">
        <x:v>键盘关闭菜单</x:v>
      </x:c>
      <x:c r="I92" s="5" t="str">
        <x:v>1. 快捷日期菜单已打开
2. 测试设备连接物理键盘</x:v>
      </x:c>
      <x:c r="J92" s="5" t="str">
        <x:v>1. 按 Escape 键</x:v>
      </x:c>
      <x:c r="K92" s="5" t="str">
        <x:v>1. 快捷日期菜单关闭</x:v>
      </x:c>
      <x:c r="L92" s="5" t="str"/>
      <x:c r="M92" s="5" t="str">
        <x:v>未测</x:v>
      </x:c>
      <x:c r="N92" s="5" t="str"/>
      <x:c r="O92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93" ht="121.5" customHeight="1">
      <x:c r="A93" s="5" t="n">
        <x:v>92</x:v>
      </x:c>
      <x:c r="B93" s="5" t="str">
        <x:v>GDE-092</x:v>
      </x:c>
      <x:c r="C93" s="5" t="str">
        <x:v>公会App-数据与收益模块</x:v>
      </x:c>
      <x:c r="D93" s="5" t="str">
        <x:v>直播记录/快捷日期筛选</x:v>
      </x:c>
      <x:c r="E93" s="5" t="str">
        <x:v>逻辑校验</x:v>
      </x:c>
      <x:c r="F93" s="5" t="str">
        <x:v>P1</x:v>
      </x:c>
      <x:c r="G93" s="5" t="str">
        <x:v>验证今日筛选的日期回显</x:v>
      </x:c>
      <x:c r="H93" s="5" t="str">
        <x:v>今日日期回显</x:v>
      </x:c>
      <x:c r="I93" s="5" t="str">
        <x:v>1. 测试数据最新业务日期为 15/08/2026</x:v>
      </x:c>
      <x:c r="J93" s="5" t="str">
        <x:v>1. 打开快捷日期菜单
2. 选择“今日”</x:v>
      </x:c>
      <x:c r="K93" s="5" t="str">
        <x:v>1. 日期范围显示 15/8/2026～15/8/2026</x:v>
      </x:c>
      <x:c r="L93" s="5" t="str"/>
      <x:c r="M93" s="5" t="str">
        <x:v>未测</x:v>
      </x:c>
      <x:c r="N93" s="5" t="str"/>
      <x:c r="O9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4" ht="121.5" customHeight="1">
      <x:c r="A94" s="5" t="n">
        <x:v>93</x:v>
      </x:c>
      <x:c r="B94" s="5" t="str">
        <x:v>GDE-093</x:v>
      </x:c>
      <x:c r="C94" s="5" t="str">
        <x:v>公会App-数据与收益模块</x:v>
      </x:c>
      <x:c r="D94" s="5" t="str">
        <x:v>直播记录/快捷日期筛选</x:v>
      </x:c>
      <x:c r="E94" s="5" t="str">
        <x:v>逻辑校验</x:v>
      </x:c>
      <x:c r="F94" s="5" t="str">
        <x:v>P1</x:v>
      </x:c>
      <x:c r="G94" s="5" t="str">
        <x:v>验证今日筛选的记录范围</x:v>
      </x:c>
      <x:c r="H94" s="5" t="str">
        <x:v>今日记录结果集</x:v>
      </x:c>
      <x:c r="I94" s="5" t="str">
        <x:v>1. 测试数据最新业务日期为 15/08/2026
2. 15/08/2026 内存在直播记录
3. 相邻筛选范围外存在直播记录</x:v>
      </x:c>
      <x:c r="J94" s="5" t="str">
        <x:v>1. 打开快捷日期菜单
2. 选择“今日”
3. 查看场次列表</x:v>
      </x:c>
      <x:c r="K94" s="5" t="str">
        <x:v>1. 场次列表结果集仅包含 15/08/2026 内的直播记录</x:v>
      </x:c>
      <x:c r="L94" s="5" t="str"/>
      <x:c r="M94" s="5" t="str">
        <x:v>未测</x:v>
      </x:c>
      <x:c r="N94" s="5" t="str"/>
      <x:c r="O9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5" ht="121.5" customHeight="1">
      <x:c r="A95" s="5" t="n">
        <x:v>94</x:v>
      </x:c>
      <x:c r="B95" s="5" t="str">
        <x:v>GDE-094</x:v>
      </x:c>
      <x:c r="C95" s="5" t="str">
        <x:v>公会App-数据与收益模块</x:v>
      </x:c>
      <x:c r="D95" s="5" t="str">
        <x:v>直播记录/快捷日期筛选</x:v>
      </x:c>
      <x:c r="E95" s="5" t="str">
        <x:v>逻辑校验</x:v>
      </x:c>
      <x:c r="F95" s="5" t="str">
        <x:v>P1</x:v>
      </x:c>
      <x:c r="G95" s="5" t="str">
        <x:v>验证昨日筛选的日期回显</x:v>
      </x:c>
      <x:c r="H95" s="5" t="str">
        <x:v>昨日日期回显</x:v>
      </x:c>
      <x:c r="I95" s="5" t="str">
        <x:v>1. 测试数据最新业务日期为 15/08/2026</x:v>
      </x:c>
      <x:c r="J95" s="5" t="str">
        <x:v>1. 打开快捷日期菜单
2. 选择“昨日”</x:v>
      </x:c>
      <x:c r="K95" s="5" t="str">
        <x:v>1. 日期范围显示 14/8/2026～14/8/2026</x:v>
      </x:c>
      <x:c r="L95" s="5" t="str"/>
      <x:c r="M95" s="5" t="str">
        <x:v>未测</x:v>
      </x:c>
      <x:c r="N95" s="5" t="str"/>
      <x:c r="O9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6" ht="121.5" customHeight="1">
      <x:c r="A96" s="5" t="n">
        <x:v>95</x:v>
      </x:c>
      <x:c r="B96" s="5" t="str">
        <x:v>GDE-095</x:v>
      </x:c>
      <x:c r="C96" s="5" t="str">
        <x:v>公会App-数据与收益模块</x:v>
      </x:c>
      <x:c r="D96" s="5" t="str">
        <x:v>直播记录/快捷日期筛选</x:v>
      </x:c>
      <x:c r="E96" s="5" t="str">
        <x:v>逻辑校验</x:v>
      </x:c>
      <x:c r="F96" s="5" t="str">
        <x:v>P1</x:v>
      </x:c>
      <x:c r="G96" s="5" t="str">
        <x:v>验证昨日筛选的记录范围</x:v>
      </x:c>
      <x:c r="H96" s="5" t="str">
        <x:v>昨日记录结果集</x:v>
      </x:c>
      <x:c r="I96" s="5" t="str">
        <x:v>1. 测试数据最新业务日期为 15/08/2026
2. 14/08/2026 内存在直播记录
3. 相邻筛选范围外存在直播记录</x:v>
      </x:c>
      <x:c r="J96" s="5" t="str">
        <x:v>1. 打开快捷日期菜单
2. 选择“昨日”
3. 查看场次列表</x:v>
      </x:c>
      <x:c r="K96" s="5" t="str">
        <x:v>1. 场次列表结果集仅包含 14/08/2026 内的直播记录</x:v>
      </x:c>
      <x:c r="L96" s="5" t="str"/>
      <x:c r="M96" s="5" t="str">
        <x:v>未测</x:v>
      </x:c>
      <x:c r="N96" s="5" t="str"/>
      <x:c r="O96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7" ht="121.5" customHeight="1">
      <x:c r="A97" s="5" t="n">
        <x:v>96</x:v>
      </x:c>
      <x:c r="B97" s="5" t="str">
        <x:v>GDE-096</x:v>
      </x:c>
      <x:c r="C97" s="5" t="str">
        <x:v>公会App-数据与收益模块</x:v>
      </x:c>
      <x:c r="D97" s="5" t="str">
        <x:v>直播记录/快捷日期筛选</x:v>
      </x:c>
      <x:c r="E97" s="5" t="str">
        <x:v>逻辑校验</x:v>
      </x:c>
      <x:c r="F97" s="5" t="str">
        <x:v>P1</x:v>
      </x:c>
      <x:c r="G97" s="5" t="str">
        <x:v>验证本周筛选的日期回显</x:v>
      </x:c>
      <x:c r="H97" s="5" t="str">
        <x:v>本周日期回显</x:v>
      </x:c>
      <x:c r="I97" s="5" t="str">
        <x:v>1. 测试数据最新业务日期为 15/08/2026</x:v>
      </x:c>
      <x:c r="J97" s="5" t="str">
        <x:v>1. 打开快捷日期菜单
2. 选择“本周”</x:v>
      </x:c>
      <x:c r="K97" s="5" t="str">
        <x:v>1. 日期范围显示 10/8/2026～15/8/2026</x:v>
      </x:c>
      <x:c r="L97" s="5" t="str"/>
      <x:c r="M97" s="5" t="str">
        <x:v>未测</x:v>
      </x:c>
      <x:c r="N97" s="5" t="str"/>
      <x:c r="O97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8" ht="121.5" customHeight="1">
      <x:c r="A98" s="5" t="n">
        <x:v>97</x:v>
      </x:c>
      <x:c r="B98" s="5" t="str">
        <x:v>GDE-097</x:v>
      </x:c>
      <x:c r="C98" s="5" t="str">
        <x:v>公会App-数据与收益模块</x:v>
      </x:c>
      <x:c r="D98" s="5" t="str">
        <x:v>直播记录/快捷日期筛选</x:v>
      </x:c>
      <x:c r="E98" s="5" t="str">
        <x:v>逻辑校验</x:v>
      </x:c>
      <x:c r="F98" s="5" t="str">
        <x:v>P1</x:v>
      </x:c>
      <x:c r="G98" s="5" t="str">
        <x:v>验证本周筛选的记录范围</x:v>
      </x:c>
      <x:c r="H98" s="5" t="str">
        <x:v>本周记录结果集</x:v>
      </x:c>
      <x:c r="I98" s="5" t="str">
        <x:v>1. 测试数据最新业务日期为 15/08/2026
2. 10/08/2026 至 15/08/2026 内存在直播记录
3. 相邻筛选范围外存在直播记录</x:v>
      </x:c>
      <x:c r="J98" s="5" t="str">
        <x:v>1. 打开快捷日期菜单
2. 选择“本周”
3. 查看场次列表</x:v>
      </x:c>
      <x:c r="K98" s="5" t="str">
        <x:v>1. 场次列表结果集仅包含 10/08/2026 至 15/08/2026 内的直播记录</x:v>
      </x:c>
      <x:c r="L98" s="5" t="str"/>
      <x:c r="M98" s="5" t="str">
        <x:v>未测</x:v>
      </x:c>
      <x:c r="N98" s="5" t="str"/>
      <x:c r="O98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99" ht="121.5" customHeight="1">
      <x:c r="A99" s="5" t="n">
        <x:v>98</x:v>
      </x:c>
      <x:c r="B99" s="5" t="str">
        <x:v>GDE-098</x:v>
      </x:c>
      <x:c r="C99" s="5" t="str">
        <x:v>公会App-数据与收益模块</x:v>
      </x:c>
      <x:c r="D99" s="5" t="str">
        <x:v>直播记录/快捷日期筛选</x:v>
      </x:c>
      <x:c r="E99" s="5" t="str">
        <x:v>逻辑校验</x:v>
      </x:c>
      <x:c r="F99" s="5" t="str">
        <x:v>P1</x:v>
      </x:c>
      <x:c r="G99" s="5" t="str">
        <x:v>验证上周筛选的日期回显</x:v>
      </x:c>
      <x:c r="H99" s="5" t="str">
        <x:v>上周日期回显</x:v>
      </x:c>
      <x:c r="I99" s="5" t="str">
        <x:v>1. 测试数据最新业务日期为 15/08/2026</x:v>
      </x:c>
      <x:c r="J99" s="5" t="str">
        <x:v>1. 打开快捷日期菜单
2. 选择“上周”</x:v>
      </x:c>
      <x:c r="K99" s="5" t="str">
        <x:v>1. 日期范围显示 3/8/2026～9/8/2026</x:v>
      </x:c>
      <x:c r="L99" s="5" t="str"/>
      <x:c r="M99" s="5" t="str">
        <x:v>未测</x:v>
      </x:c>
      <x:c r="N99" s="5" t="str"/>
      <x:c r="O99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00" ht="121.5" customHeight="1">
      <x:c r="A100" s="5" t="n">
        <x:v>99</x:v>
      </x:c>
      <x:c r="B100" s="5" t="str">
        <x:v>GDE-099</x:v>
      </x:c>
      <x:c r="C100" s="5" t="str">
        <x:v>公会App-数据与收益模块</x:v>
      </x:c>
      <x:c r="D100" s="5" t="str">
        <x:v>直播记录/快捷日期筛选</x:v>
      </x:c>
      <x:c r="E100" s="5" t="str">
        <x:v>逻辑校验</x:v>
      </x:c>
      <x:c r="F100" s="5" t="str">
        <x:v>P1</x:v>
      </x:c>
      <x:c r="G100" s="5" t="str">
        <x:v>验证上周筛选的记录范围</x:v>
      </x:c>
      <x:c r="H100" s="5" t="str">
        <x:v>上周记录结果集</x:v>
      </x:c>
      <x:c r="I100" s="5" t="str">
        <x:v>1. 测试数据最新业务日期为 15/08/2026
2. 03/08/2026 至 09/08/2026 内存在直播记录
3. 相邻筛选范围外存在直播记录</x:v>
      </x:c>
      <x:c r="J100" s="5" t="str">
        <x:v>1. 打开快捷日期菜单
2. 选择“上周”
3. 查看场次列表</x:v>
      </x:c>
      <x:c r="K100" s="5" t="str">
        <x:v>1. 场次列表结果集仅包含 03/08/2026 至 09/08/2026 内的直播记录</x:v>
      </x:c>
      <x:c r="L100" s="5" t="str"/>
      <x:c r="M100" s="5" t="str">
        <x:v>未测</x:v>
      </x:c>
      <x:c r="N100" s="5" t="str"/>
      <x:c r="O10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01" ht="121.5" customHeight="1">
      <x:c r="A101" s="5" t="n">
        <x:v>100</x:v>
      </x:c>
      <x:c r="B101" s="5" t="str">
        <x:v>GDE-100</x:v>
      </x:c>
      <x:c r="C101" s="5" t="str">
        <x:v>公会App-数据与收益模块</x:v>
      </x:c>
      <x:c r="D101" s="5" t="str">
        <x:v>直播记录/快捷日期筛选</x:v>
      </x:c>
      <x:c r="E101" s="5" t="str">
        <x:v>逻辑校验</x:v>
      </x:c>
      <x:c r="F101" s="5" t="str">
        <x:v>P1</x:v>
      </x:c>
      <x:c r="G101" s="5" t="str">
        <x:v>验证本月筛选的日期回显</x:v>
      </x:c>
      <x:c r="H101" s="5" t="str">
        <x:v>本月日期回显</x:v>
      </x:c>
      <x:c r="I101" s="5" t="str">
        <x:v>1. 测试数据最新业务日期为 15/08/2026</x:v>
      </x:c>
      <x:c r="J101" s="5" t="str">
        <x:v>1. 打开快捷日期菜单
2. 选择“本月”</x:v>
      </x:c>
      <x:c r="K101" s="5" t="str">
        <x:v>1. 日期范围显示 1/8/2026～15/8/2026</x:v>
      </x:c>
      <x:c r="L101" s="5" t="str"/>
      <x:c r="M101" s="5" t="str">
        <x:v>未测</x:v>
      </x:c>
      <x:c r="N101" s="5" t="str"/>
      <x:c r="O101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02" ht="121.5" customHeight="1">
      <x:c r="A102" s="5" t="n">
        <x:v>101</x:v>
      </x:c>
      <x:c r="B102" s="5" t="str">
        <x:v>GDE-101</x:v>
      </x:c>
      <x:c r="C102" s="5" t="str">
        <x:v>公会App-数据与收益模块</x:v>
      </x:c>
      <x:c r="D102" s="5" t="str">
        <x:v>直播记录/快捷日期筛选</x:v>
      </x:c>
      <x:c r="E102" s="5" t="str">
        <x:v>逻辑校验</x:v>
      </x:c>
      <x:c r="F102" s="5" t="str">
        <x:v>P1</x:v>
      </x:c>
      <x:c r="G102" s="5" t="str">
        <x:v>验证本月筛选的记录范围</x:v>
      </x:c>
      <x:c r="H102" s="5" t="str">
        <x:v>本月记录结果集</x:v>
      </x:c>
      <x:c r="I102" s="5" t="str">
        <x:v>1. 测试数据最新业务日期为 15/08/2026
2. 01/08/2026 至 15/08/2026 内存在直播记录
3. 相邻筛选范围外存在直播记录</x:v>
      </x:c>
      <x:c r="J102" s="5" t="str">
        <x:v>1. 打开快捷日期菜单
2. 选择“本月”
3. 查看场次列表</x:v>
      </x:c>
      <x:c r="K102" s="5" t="str">
        <x:v>1. 场次列表结果集仅包含 01/08/2026 至 15/08/2026 内的直播记录</x:v>
      </x:c>
      <x:c r="L102" s="5" t="str"/>
      <x:c r="M102" s="5" t="str">
        <x:v>未测</x:v>
      </x:c>
      <x:c r="N102" s="5" t="str"/>
      <x:c r="O10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03" ht="121.5" customHeight="1">
      <x:c r="A103" s="5" t="n">
        <x:v>102</x:v>
      </x:c>
      <x:c r="B103" s="5" t="str">
        <x:v>GDE-102</x:v>
      </x:c>
      <x:c r="C103" s="5" t="str">
        <x:v>公会App-数据与收益模块</x:v>
      </x:c>
      <x:c r="D103" s="5" t="str">
        <x:v>直播记录/快捷日期筛选</x:v>
      </x:c>
      <x:c r="E103" s="5" t="str">
        <x:v>逻辑校验</x:v>
      </x:c>
      <x:c r="F103" s="5" t="str">
        <x:v>P1</x:v>
      </x:c>
      <x:c r="G103" s="5" t="str">
        <x:v>验证上月筛选的日期回显</x:v>
      </x:c>
      <x:c r="H103" s="5" t="str">
        <x:v>上月日期回显</x:v>
      </x:c>
      <x:c r="I103" s="5" t="str">
        <x:v>1. 测试数据最新业务日期为 15/08/2026</x:v>
      </x:c>
      <x:c r="J103" s="5" t="str">
        <x:v>1. 打开快捷日期菜单
2. 选择“上月”</x:v>
      </x:c>
      <x:c r="K103" s="5" t="str">
        <x:v>1. 日期范围显示 17/7/2026～31/7/2026</x:v>
      </x:c>
      <x:c r="L103" s="5" t="str"/>
      <x:c r="M103" s="5" t="str">
        <x:v>未测</x:v>
      </x:c>
      <x:c r="N103" s="5" t="str"/>
      <x:c r="O10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04" ht="121.5" customHeight="1">
      <x:c r="A104" s="5" t="n">
        <x:v>103</x:v>
      </x:c>
      <x:c r="B104" s="5" t="str">
        <x:v>GDE-103</x:v>
      </x:c>
      <x:c r="C104" s="5" t="str">
        <x:v>公会App-数据与收益模块</x:v>
      </x:c>
      <x:c r="D104" s="5" t="str">
        <x:v>直播记录/快捷日期筛选</x:v>
      </x:c>
      <x:c r="E104" s="5" t="str">
        <x:v>逻辑校验</x:v>
      </x:c>
      <x:c r="F104" s="5" t="str">
        <x:v>P1</x:v>
      </x:c>
      <x:c r="G104" s="5" t="str">
        <x:v>验证上月筛选的记录范围</x:v>
      </x:c>
      <x:c r="H104" s="5" t="str">
        <x:v>上月记录结果集</x:v>
      </x:c>
      <x:c r="I104" s="5" t="str">
        <x:v>1. 测试数据最新业务日期为 15/08/2026
2. 17/07/2026 至 31/07/2026 内存在直播记录
3. 相邻筛选范围外存在直播记录</x:v>
      </x:c>
      <x:c r="J104" s="5" t="str">
        <x:v>1. 打开快捷日期菜单
2. 选择“上月”
3. 查看场次列表</x:v>
      </x:c>
      <x:c r="K104" s="5" t="str">
        <x:v>1. 场次列表结果集仅包含 17/07/2026 至 31/07/2026 内的直播记录</x:v>
      </x:c>
      <x:c r="L104" s="5" t="str"/>
      <x:c r="M104" s="5" t="str">
        <x:v>未测</x:v>
      </x:c>
      <x:c r="N104" s="5" t="str"/>
      <x:c r="O10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05" ht="109.5" customHeight="1">
      <x:c r="A105" s="5" t="n">
        <x:v>104</x:v>
      </x:c>
      <x:c r="B105" s="5" t="str">
        <x:v>GDE-104</x:v>
      </x:c>
      <x:c r="C105" s="5" t="str">
        <x:v>公会App-数据与收益模块</x:v>
      </x:c>
      <x:c r="D105" s="5" t="str">
        <x:v>直播记录/自定义日期筛选</x:v>
      </x:c>
      <x:c r="E105" s="5" t="str">
        <x:v>功能需求</x:v>
      </x:c>
      <x:c r="F105" s="5" t="str">
        <x:v>P1</x:v>
      </x:c>
      <x:c r="G105" s="5" t="str">
        <x:v>验证自定义选项打开日期选择器</x:v>
      </x:c>
      <x:c r="H105" s="5" t="str">
        <x:v>自定义日期入口</x:v>
      </x:c>
      <x:c r="I105" s="5" t="str">
        <x:v>1. 公会长已进入直播记录页</x:v>
      </x:c>
      <x:c r="J105" s="5" t="str">
        <x:v>1. 打开快捷日期菜单
2. 选择“自定义”</x:v>
      </x:c>
      <x:c r="K105" s="5" t="str">
        <x:v>1. 页面打开标题为“选择日期”的日期选择器</x:v>
      </x:c>
      <x:c r="L105" s="5" t="str"/>
      <x:c r="M105" s="5" t="str">
        <x:v>未测</x:v>
      </x:c>
      <x:c r="N105" s="5" t="str"/>
      <x:c r="O10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06" ht="85.5" customHeight="1">
      <x:c r="A106" s="5" t="n">
        <x:v>105</x:v>
      </x:c>
      <x:c r="B106" s="5" t="str">
        <x:v>GDE-105</x:v>
      </x:c>
      <x:c r="C106" s="5" t="str">
        <x:v>公会App-数据与收益模块</x:v>
      </x:c>
      <x:c r="D106" s="5" t="str">
        <x:v>直播记录/自定义日期筛选</x:v>
      </x:c>
      <x:c r="E106" s="5" t="str">
        <x:v>功能需求</x:v>
      </x:c>
      <x:c r="F106" s="5" t="str">
        <x:v>P1</x:v>
      </x:c>
      <x:c r="G106" s="5" t="str">
        <x:v>验证日期范围按钮打开日期选择器</x:v>
      </x:c>
      <x:c r="H106" s="5" t="str">
        <x:v>日期范围入口</x:v>
      </x:c>
      <x:c r="I106" s="5" t="str">
        <x:v>1. 公会长已进入直播记录页</x:v>
      </x:c>
      <x:c r="J106" s="5" t="str">
        <x:v>1. 点击日期范围按钮</x:v>
      </x:c>
      <x:c r="K106" s="5" t="str">
        <x:v>1. 页面打开标题为“选择日期”的日期选择器</x:v>
      </x:c>
      <x:c r="L106" s="5" t="str"/>
      <x:c r="M106" s="5" t="str">
        <x:v>未测</x:v>
      </x:c>
      <x:c r="N106" s="5" t="str"/>
      <x:c r="O106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07" ht="85.5" customHeight="1">
      <x:c r="A107" s="5" t="n">
        <x:v>106</x:v>
      </x:c>
      <x:c r="B107" s="5" t="str">
        <x:v>GDE-106</x:v>
      </x:c>
      <x:c r="C107" s="5" t="str">
        <x:v>公会App-数据与收益模块</x:v>
      </x:c>
      <x:c r="D107" s="5" t="str">
        <x:v>直播记录/自定义日期筛选</x:v>
      </x:c>
      <x:c r="E107" s="5" t="str">
        <x:v>功能需求</x:v>
      </x:c>
      <x:c r="F107" s="5" t="str">
        <x:v>P2</x:v>
      </x:c>
      <x:c r="G107" s="5" t="str">
        <x:v>验证取消关闭日期选择器</x:v>
      </x:c>
      <x:c r="H107" s="5" t="str">
        <x:v>取消日期选择</x:v>
      </x:c>
      <x:c r="I107" s="5" t="str">
        <x:v>1. 日期选择器已打开</x:v>
      </x:c>
      <x:c r="J107" s="5" t="str">
        <x:v>1. 点击“取消”</x:v>
      </x:c>
      <x:c r="K107" s="5" t="str">
        <x:v>1. 日期选择器关闭</x:v>
      </x:c>
      <x:c r="L107" s="5" t="str"/>
      <x:c r="M107" s="5" t="str">
        <x:v>未测</x:v>
      </x:c>
      <x:c r="N107" s="5" t="str"/>
      <x:c r="O107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08" ht="85.5" customHeight="1">
      <x:c r="A108" s="5" t="n">
        <x:v>107</x:v>
      </x:c>
      <x:c r="B108" s="5" t="str">
        <x:v>GDE-107</x:v>
      </x:c>
      <x:c r="C108" s="5" t="str">
        <x:v>公会App-数据与收益模块</x:v>
      </x:c>
      <x:c r="D108" s="5" t="str">
        <x:v>直播记录/自定义日期筛选</x:v>
      </x:c>
      <x:c r="E108" s="5" t="str">
        <x:v>逻辑校验</x:v>
      </x:c>
      <x:c r="F108" s="5" t="str">
        <x:v>P2</x:v>
      </x:c>
      <x:c r="G108" s="5" t="str">
        <x:v>验证取消后保留已应用日期</x:v>
      </x:c>
      <x:c r="H108" s="5" t="str">
        <x:v>取消保留日期</x:v>
      </x:c>
      <x:c r="I108" s="5" t="str">
        <x:v>1. 已应用日期范围为 10/8/2026～15/8/2026
2. 日期选择器已打开</x:v>
      </x:c>
      <x:c r="J108" s="5" t="str">
        <x:v>1. 选择 12/8/2026
2. 点击“取消”</x:v>
      </x:c>
      <x:c r="K108" s="5" t="str">
        <x:v>1. 日期范围仍显示 10/8/2026～15/8/2026</x:v>
      </x:c>
      <x:c r="L108" s="5" t="str"/>
      <x:c r="M108" s="5" t="str">
        <x:v>未测</x:v>
      </x:c>
      <x:c r="N108" s="5" t="str"/>
      <x:c r="O108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09" ht="85.5" customHeight="1">
      <x:c r="A109" s="5" t="n">
        <x:v>108</x:v>
      </x:c>
      <x:c r="B109" s="5" t="str">
        <x:v>GDE-108</x:v>
      </x:c>
      <x:c r="C109" s="5" t="str">
        <x:v>公会App-数据与收益模块</x:v>
      </x:c>
      <x:c r="D109" s="5" t="str">
        <x:v>直播记录/自定义日期筛选</x:v>
      </x:c>
      <x:c r="E109" s="5" t="str">
        <x:v>功能需求</x:v>
      </x:c>
      <x:c r="F109" s="5" t="str">
        <x:v>P3</x:v>
      </x:c>
      <x:c r="G109" s="5" t="str">
        <x:v>验证点击遮罩关闭日期选择器</x:v>
      </x:c>
      <x:c r="H109" s="5" t="str">
        <x:v>遮罩关闭日期选择</x:v>
      </x:c>
      <x:c r="I109" s="5" t="str">
        <x:v>1. 日期选择器已打开</x:v>
      </x:c>
      <x:c r="J109" s="5" t="str">
        <x:v>1. 点击日期选择器外的遮罩区域</x:v>
      </x:c>
      <x:c r="K109" s="5" t="str">
        <x:v>1. 日期选择器关闭</x:v>
      </x:c>
      <x:c r="L109" s="5" t="str"/>
      <x:c r="M109" s="5" t="str">
        <x:v>未测</x:v>
      </x:c>
      <x:c r="N109" s="5" t="str"/>
      <x:c r="O109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10" ht="85.5" customHeight="1">
      <x:c r="A110" s="5" t="n">
        <x:v>109</x:v>
      </x:c>
      <x:c r="B110" s="5" t="str">
        <x:v>GDE-109</x:v>
      </x:c>
      <x:c r="C110" s="5" t="str">
        <x:v>公会App-数据与收益模块</x:v>
      </x:c>
      <x:c r="D110" s="5" t="str">
        <x:v>直播记录/自定义日期筛选</x:v>
      </x:c>
      <x:c r="E110" s="5" t="str">
        <x:v>功能需求</x:v>
      </x:c>
      <x:c r="F110" s="5" t="str">
        <x:v>P3</x:v>
      </x:c>
      <x:c r="G110" s="5" t="str">
        <x:v>验证按 Escape 关闭日期选择器</x:v>
      </x:c>
      <x:c r="H110" s="5" t="str">
        <x:v>键盘关闭日期选择</x:v>
      </x:c>
      <x:c r="I110" s="5" t="str">
        <x:v>1. 日期选择器已打开
2. 测试设备连接物理键盘</x:v>
      </x:c>
      <x:c r="J110" s="5" t="str">
        <x:v>1. 按 Escape 键</x:v>
      </x:c>
      <x:c r="K110" s="5" t="str">
        <x:v>1. 日期选择器关闭</x:v>
      </x:c>
      <x:c r="L110" s="5" t="str"/>
      <x:c r="M110" s="5" t="str">
        <x:v>未测</x:v>
      </x:c>
      <x:c r="N110" s="5" t="str"/>
      <x:c r="O110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11" ht="97.5" customHeight="1">
      <x:c r="A111" s="5" t="n">
        <x:v>110</x:v>
      </x:c>
      <x:c r="B111" s="5" t="str">
        <x:v>GDE-110</x:v>
      </x:c>
      <x:c r="C111" s="5" t="str">
        <x:v>公会App-数据与收益模块</x:v>
      </x:c>
      <x:c r="D111" s="5" t="str">
        <x:v>直播记录/自定义日期筛选</x:v>
      </x:c>
      <x:c r="E111" s="5" t="str">
        <x:v>功能需求</x:v>
      </x:c>
      <x:c r="F111" s="5" t="str">
        <x:v>P2</x:v>
      </x:c>
      <x:c r="G111" s="5" t="str">
        <x:v>验证切换到上一个可用月份</x:v>
      </x:c>
      <x:c r="H111" s="5" t="str">
        <x:v>上月日历切换</x:v>
      </x:c>
      <x:c r="I111" s="5" t="str">
        <x:v>1. 日期选择器当前显示 8/2026
2. 测试数据包含 7/2026</x:v>
      </x:c>
      <x:c r="J111" s="5" t="str">
        <x:v>1. 点击向前月份按钮</x:v>
      </x:c>
      <x:c r="K111" s="5" t="str">
        <x:v>1. 日历标题显示 7/2026</x:v>
      </x:c>
      <x:c r="L111" s="5" t="str"/>
      <x:c r="M111" s="5" t="str">
        <x:v>未测</x:v>
      </x:c>
      <x:c r="N111" s="5" t="str"/>
      <x:c r="O111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12" ht="97.5" customHeight="1">
      <x:c r="A112" s="5" t="n">
        <x:v>111</x:v>
      </x:c>
      <x:c r="B112" s="5" t="str">
        <x:v>GDE-111</x:v>
      </x:c>
      <x:c r="C112" s="5" t="str">
        <x:v>公会App-数据与收益模块</x:v>
      </x:c>
      <x:c r="D112" s="5" t="str">
        <x:v>直播记录/自定义日期筛选</x:v>
      </x:c>
      <x:c r="E112" s="5" t="str">
        <x:v>功能需求</x:v>
      </x:c>
      <x:c r="F112" s="5" t="str">
        <x:v>P2</x:v>
      </x:c>
      <x:c r="G112" s="5" t="str">
        <x:v>验证切换回下一个可用月份</x:v>
      </x:c>
      <x:c r="H112" s="5" t="str">
        <x:v>下月日历切换</x:v>
      </x:c>
      <x:c r="I112" s="5" t="str">
        <x:v>1. 日期选择器当前显示 7/2026
2. 测试数据包含 8/2026</x:v>
      </x:c>
      <x:c r="J112" s="5" t="str">
        <x:v>1. 点击向后月份按钮</x:v>
      </x:c>
      <x:c r="K112" s="5" t="str">
        <x:v>1. 日历标题显示 8/2026</x:v>
      </x:c>
      <x:c r="L112" s="5" t="str"/>
      <x:c r="M112" s="5" t="str">
        <x:v>未测</x:v>
      </x:c>
      <x:c r="N112" s="5" t="str"/>
      <x:c r="O112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13" ht="109.5" customHeight="1">
      <x:c r="A113" s="5" t="n">
        <x:v>112</x:v>
      </x:c>
      <x:c r="B113" s="5" t="str">
        <x:v>GDE-112</x:v>
      </x:c>
      <x:c r="C113" s="5" t="str">
        <x:v>公会App-数据与收益模块</x:v>
      </x:c>
      <x:c r="D113" s="5" t="str">
        <x:v>直播记录/自定义日期筛选</x:v>
      </x:c>
      <x:c r="E113" s="5" t="str">
        <x:v>逻辑校验</x:v>
      </x:c>
      <x:c r="F113" s="5" t="str">
        <x:v>P1</x:v>
      </x:c>
      <x:c r="G113" s="5" t="str">
        <x:v>验证应用单日筛选</x:v>
      </x:c>
      <x:c r="H113" s="5" t="str">
        <x:v>自定义单日范围</x:v>
      </x:c>
      <x:c r="I113" s="5" t="str">
        <x:v>1. 12/08/2026 存在 2 场记录
2. 13/08/2026 存在 1 场记录</x:v>
      </x:c>
      <x:c r="J113" s="5" t="str">
        <x:v>1. 打开日期选择器
2. 选择 12/8/2026
3. 点击“确定”
4. 查看场次列表</x:v>
      </x:c>
      <x:c r="K113" s="5" t="str">
        <x:v>1. 场次列表结果集仅包含 12/08/2026 的 2 场记录</x:v>
      </x:c>
      <x:c r="L113" s="5" t="str"/>
      <x:c r="M113" s="5" t="str">
        <x:v>未测</x:v>
      </x:c>
      <x:c r="N113" s="5" t="str"/>
      <x:c r="O11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14" ht="109.5" customHeight="1">
      <x:c r="A114" s="5" t="n">
        <x:v>113</x:v>
      </x:c>
      <x:c r="B114" s="5" t="str">
        <x:v>GDE-113</x:v>
      </x:c>
      <x:c r="C114" s="5" t="str">
        <x:v>公会App-数据与收益模块</x:v>
      </x:c>
      <x:c r="D114" s="5" t="str">
        <x:v>直播记录/自定义日期筛选</x:v>
      </x:c>
      <x:c r="E114" s="5" t="str">
        <x:v>逻辑校验</x:v>
      </x:c>
      <x:c r="F114" s="5" t="str">
        <x:v>P1</x:v>
      </x:c>
      <x:c r="G114" s="5" t="str">
        <x:v>验证应用连续日期范围</x:v>
      </x:c>
      <x:c r="H114" s="5" t="str">
        <x:v>自定义连续范围</x:v>
      </x:c>
      <x:c r="I114" s="5" t="str">
        <x:v>1. 10/08/2026 至 12/08/2026 内存在 4 场记录
2. 13/08/2026 存在 1 场记录</x:v>
      </x:c>
      <x:c r="J114" s="5" t="str">
        <x:v>1. 打开日期选择器
2. 选择 10/8/2026
3. 选择 12/8/2026
4. 点击“确定”</x:v>
      </x:c>
      <x:c r="K114" s="5" t="str">
        <x:v>1. 场次列表结果集仅包含 10/08/2026 至 12/08/2026 内的 4 场记录</x:v>
      </x:c>
      <x:c r="L114" s="5" t="str"/>
      <x:c r="M114" s="5" t="str">
        <x:v>未测</x:v>
      </x:c>
      <x:c r="N114" s="5" t="str"/>
      <x:c r="O11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15" ht="85.5" customHeight="1">
      <x:c r="A115" s="5" t="n">
        <x:v>114</x:v>
      </x:c>
      <x:c r="B115" s="5" t="str">
        <x:v>GDE-114</x:v>
      </x:c>
      <x:c r="C115" s="5" t="str">
        <x:v>公会App-数据与收益模块</x:v>
      </x:c>
      <x:c r="D115" s="5" t="str">
        <x:v>直播记录/自定义日期筛选</x:v>
      </x:c>
      <x:c r="E115" s="5" t="str">
        <x:v>逻辑校验</x:v>
      </x:c>
      <x:c r="F115" s="5" t="str">
        <x:v>P1</x:v>
      </x:c>
      <x:c r="G115" s="5" t="str">
        <x:v>验证反向选择日期后的范围归一</x:v>
      </x:c>
      <x:c r="H115" s="5" t="str">
        <x:v>反向日期归一</x:v>
      </x:c>
      <x:c r="I115" s="5" t="str">
        <x:v>1. 日期选择器已打开</x:v>
      </x:c>
      <x:c r="J115" s="5" t="str">
        <x:v>1. 先选择 15/8/2026
2. 再选择 12/8/2026
3. 点击“确定”</x:v>
      </x:c>
      <x:c r="K115" s="5" t="str">
        <x:v>1. 日期范围显示 12/8/2026～15/8/2026</x:v>
      </x:c>
      <x:c r="L115" s="5" t="str"/>
      <x:c r="M115" s="5" t="str">
        <x:v>未测</x:v>
      </x:c>
      <x:c r="N115" s="5" t="str"/>
      <x:c r="O115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16" ht="109.5" customHeight="1">
      <x:c r="A116" s="5" t="n">
        <x:v>115</x:v>
      </x:c>
      <x:c r="B116" s="5" t="str">
        <x:v>GDE-115</x:v>
      </x:c>
      <x:c r="C116" s="5" t="str">
        <x:v>公会App-数据与收益模块</x:v>
      </x:c>
      <x:c r="D116" s="5" t="str">
        <x:v>直播记录/自定义日期筛选</x:v>
      </x:c>
      <x:c r="E116" s="5" t="str">
        <x:v>逻辑校验</x:v>
      </x:c>
      <x:c r="F116" s="5" t="str">
        <x:v>P1</x:v>
      </x:c>
      <x:c r="G116" s="5" t="str">
        <x:v>验证日期范围包含起止日</x:v>
      </x:c>
      <x:c r="H116" s="5" t="str">
        <x:v>日期闭区间</x:v>
      </x:c>
      <x:c r="I116" s="5" t="str">
        <x:v>1. 10/08/2026 和 12/08/2026 各存在 1 场记录
2. 09/08/2026 存在 1 场记录</x:v>
      </x:c>
      <x:c r="J116" s="5" t="str">
        <x:v>1. 将日期范围设置为 10/8/2026～12/8/2026
2. 查看场次列表</x:v>
      </x:c>
      <x:c r="K116" s="5" t="str">
        <x:v>1. 场次列表包含 10/08/2026 和 12/08/2026 的两场边界记录</x:v>
      </x:c>
      <x:c r="L116" s="5" t="str"/>
      <x:c r="M116" s="5" t="str">
        <x:v>未测</x:v>
      </x:c>
      <x:c r="N116" s="5" t="str"/>
      <x:c r="O116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17" ht="97.5" customHeight="1">
      <x:c r="A117" s="5" t="n">
        <x:v>116</x:v>
      </x:c>
      <x:c r="B117" s="5" t="str">
        <x:v>GDE-116</x:v>
      </x:c>
      <x:c r="C117" s="5" t="str">
        <x:v>公会App-数据与收益模块</x:v>
      </x:c>
      <x:c r="D117" s="5" t="str">
        <x:v>直播记录/自定义日期筛选</x:v>
      </x:c>
      <x:c r="E117" s="5" t="str">
        <x:v>功能需求</x:v>
      </x:c>
      <x:c r="F117" s="5" t="str">
        <x:v>P2</x:v>
      </x:c>
      <x:c r="G117" s="5" t="str">
        <x:v>验证无直播记录日期的空状态</x:v>
      </x:c>
      <x:c r="H117" s="5" t="str">
        <x:v>无记录空状态</x:v>
      </x:c>
      <x:c r="I117" s="5" t="str">
        <x:v>1. 11/08/2026 没有直播记录</x:v>
      </x:c>
      <x:c r="J117" s="5" t="str">
        <x:v>1. 将日期范围设置为 11/8/2026～11/8/2026
2. 查看场次列表</x:v>
      </x:c>
      <x:c r="K117" s="5" t="str">
        <x:v>1. 场次列表显示“当前时间段暂无直播记录”</x:v>
      </x:c>
      <x:c r="L117" s="5" t="str"/>
      <x:c r="M117" s="5" t="str">
        <x:v>未测</x:v>
      </x:c>
      <x:c r="N117" s="5" t="str"/>
      <x:c r="O117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18" ht="109.5" customHeight="1">
      <x:c r="A118" s="5" t="n">
        <x:v>117</x:v>
      </x:c>
      <x:c r="B118" s="5" t="str">
        <x:v>GDE-117</x:v>
      </x:c>
      <x:c r="C118" s="5" t="str">
        <x:v>公会App-数据与收益模块</x:v>
      </x:c>
      <x:c r="D118" s="5" t="str">
        <x:v>直播记录/汇总指标</x:v>
      </x:c>
      <x:c r="E118" s="5" t="str">
        <x:v>逻辑校验</x:v>
      </x:c>
      <x:c r="F118" s="5" t="str">
        <x:v>P1</x:v>
      </x:c>
      <x:c r="G118" s="5" t="str">
        <x:v>验证筛选范围的收益汇总</x:v>
      </x:c>
      <x:c r="H118" s="5" t="str">
        <x:v>礼物金币收益总和</x:v>
      </x:c>
      <x:c r="I118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118" s="5" t="str">
        <x:v>1. 选择主播 A 和主播 B
2. 选择测试数据所在日期
3. 查看收益</x:v>
      </x:c>
      <x:c r="K118" s="5" t="str">
        <x:v>1. 收益 = 100 + 250 + 50 = 400</x:v>
      </x:c>
      <x:c r="L118" s="5" t="str"/>
      <x:c r="M118" s="5" t="str">
        <x:v>未测</x:v>
      </x:c>
      <x:c r="N118" s="5" t="str"/>
      <x:c r="O118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19" ht="109.5" customHeight="1">
      <x:c r="A119" s="5" t="n">
        <x:v>118</x:v>
      </x:c>
      <x:c r="B119" s="5" t="str">
        <x:v>GDE-118</x:v>
      </x:c>
      <x:c r="C119" s="5" t="str">
        <x:v>公会App-数据与收益模块</x:v>
      </x:c>
      <x:c r="D119" s="5" t="str">
        <x:v>直播记录/汇总指标</x:v>
      </x:c>
      <x:c r="E119" s="5" t="str">
        <x:v>逻辑校验</x:v>
      </x:c>
      <x:c r="F119" s="5" t="str">
        <x:v>P1</x:v>
      </x:c>
      <x:c r="G119" s="5" t="str">
        <x:v>验证筛选范围的去重开播人数</x:v>
      </x:c>
      <x:c r="H119" s="5" t="str">
        <x:v>去重开播人数</x:v>
      </x:c>
      <x:c r="I119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119" s="5" t="str">
        <x:v>1. 选择主播 A 和主播 B
2. 选择测试数据所在日期
3. 查看开播人数</x:v>
      </x:c>
      <x:c r="K119" s="5" t="str">
        <x:v>1. 开播人数 = 去重主播 A、主播 B = 2</x:v>
      </x:c>
      <x:c r="L119" s="5" t="str"/>
      <x:c r="M119" s="5" t="str">
        <x:v>未测</x:v>
      </x:c>
      <x:c r="N119" s="5" t="str"/>
      <x:c r="O119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20" ht="109.5" customHeight="1">
      <x:c r="A120" s="5" t="n">
        <x:v>119</x:v>
      </x:c>
      <x:c r="B120" s="5" t="str">
        <x:v>GDE-119</x:v>
      </x:c>
      <x:c r="C120" s="5" t="str">
        <x:v>公会App-数据与收益模块</x:v>
      </x:c>
      <x:c r="D120" s="5" t="str">
        <x:v>直播记录/汇总指标</x:v>
      </x:c>
      <x:c r="E120" s="5" t="str">
        <x:v>逻辑校验</x:v>
      </x:c>
      <x:c r="F120" s="5" t="str">
        <x:v>P1</x:v>
      </x:c>
      <x:c r="G120" s="5" t="str">
        <x:v>验证筛选范围的直播场次</x:v>
      </x:c>
      <x:c r="H120" s="5" t="str">
        <x:v>直播场次总数</x:v>
      </x:c>
      <x:c r="I120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120" s="5" t="str">
        <x:v>1. 选择主播 A 和主播 B
2. 选择测试数据所在日期
3. 查看直播场次</x:v>
      </x:c>
      <x:c r="K120" s="5" t="str">
        <x:v>1. 直播场次 = S1 + S2 + S3 = 3</x:v>
      </x:c>
      <x:c r="L120" s="5" t="str"/>
      <x:c r="M120" s="5" t="str">
        <x:v>未测</x:v>
      </x:c>
      <x:c r="N120" s="5" t="str"/>
      <x:c r="O12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21" ht="109.5" customHeight="1">
      <x:c r="A121" s="5" t="n">
        <x:v>120</x:v>
      </x:c>
      <x:c r="B121" s="5" t="str">
        <x:v>GDE-120</x:v>
      </x:c>
      <x:c r="C121" s="5" t="str">
        <x:v>公会App-数据与收益模块</x:v>
      </x:c>
      <x:c r="D121" s="5" t="str">
        <x:v>直播记录/汇总指标</x:v>
      </x:c>
      <x:c r="E121" s="5" t="str">
        <x:v>逻辑校验</x:v>
      </x:c>
      <x:c r="F121" s="5" t="str">
        <x:v>P1</x:v>
      </x:c>
      <x:c r="G121" s="5" t="str">
        <x:v>验证单主播筛选后的收益</x:v>
      </x:c>
      <x:c r="H121" s="5" t="str">
        <x:v>单主播收益</x:v>
      </x:c>
      <x:c r="I121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121" s="5" t="str">
        <x:v>1. 仅选择主播 A
2. 选择测试数据所在日期
3. 查看收益</x:v>
      </x:c>
      <x:c r="K121" s="5" t="str">
        <x:v>1. 收益 = 100 + 250 = 350</x:v>
      </x:c>
      <x:c r="L121" s="5" t="str"/>
      <x:c r="M121" s="5" t="str">
        <x:v>未测</x:v>
      </x:c>
      <x:c r="N121" s="5" t="str"/>
      <x:c r="O121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22" ht="109.5" customHeight="1">
      <x:c r="A122" s="5" t="n">
        <x:v>121</x:v>
      </x:c>
      <x:c r="B122" s="5" t="str">
        <x:v>GDE-121</x:v>
      </x:c>
      <x:c r="C122" s="5" t="str">
        <x:v>公会App-数据与收益模块</x:v>
      </x:c>
      <x:c r="D122" s="5" t="str">
        <x:v>直播记录/汇总指标</x:v>
      </x:c>
      <x:c r="E122" s="5" t="str">
        <x:v>逻辑校验</x:v>
      </x:c>
      <x:c r="F122" s="5" t="str">
        <x:v>P1</x:v>
      </x:c>
      <x:c r="G122" s="5" t="str">
        <x:v>验证单主播筛选后的开播人数</x:v>
      </x:c>
      <x:c r="H122" s="5" t="str">
        <x:v>单主播开播人数</x:v>
      </x:c>
      <x:c r="I122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122" s="5" t="str">
        <x:v>1. 仅选择主播 A
2. 选择测试数据所在日期
3. 查看开播人数</x:v>
      </x:c>
      <x:c r="K122" s="5" t="str">
        <x:v>1. 开播人数 = 去重主播 A = 1</x:v>
      </x:c>
      <x:c r="L122" s="5" t="str"/>
      <x:c r="M122" s="5" t="str">
        <x:v>未测</x:v>
      </x:c>
      <x:c r="N122" s="5" t="str"/>
      <x:c r="O12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23" ht="109.5" customHeight="1">
      <x:c r="A123" s="5" t="n">
        <x:v>122</x:v>
      </x:c>
      <x:c r="B123" s="5" t="str">
        <x:v>GDE-122</x:v>
      </x:c>
      <x:c r="C123" s="5" t="str">
        <x:v>公会App-数据与收益模块</x:v>
      </x:c>
      <x:c r="D123" s="5" t="str">
        <x:v>直播记录/汇总指标</x:v>
      </x:c>
      <x:c r="E123" s="5" t="str">
        <x:v>逻辑校验</x:v>
      </x:c>
      <x:c r="F123" s="5" t="str">
        <x:v>P1</x:v>
      </x:c>
      <x:c r="G123" s="5" t="str">
        <x:v>验证单主播筛选后的直播场次</x:v>
      </x:c>
      <x:c r="H123" s="5" t="str">
        <x:v>单主播直播场次</x:v>
      </x:c>
      <x:c r="I123" s="5" t="str">
        <x:v>1. 收益定义为筛选范围内礼物金币收益总和
2. 开播人数定义为筛选范围内有直播场次的去重主播数
3. 直播场次定义为筛选范围内的场次数
4. 筛选范围内仅有主播 A 的场次 S1 收益 100、S2 收益 250，主播 B 的场次 S3 收益 50</x:v>
      </x:c>
      <x:c r="J123" s="5" t="str">
        <x:v>1. 仅选择主播 A
2. 选择测试数据所在日期
3. 查看直播场次</x:v>
      </x:c>
      <x:c r="K123" s="5" t="str">
        <x:v>1. 直播场次 = S1 + S2 = 2</x:v>
      </x:c>
      <x:c r="L123" s="5" t="str"/>
      <x:c r="M123" s="5" t="str">
        <x:v>未测</x:v>
      </x:c>
      <x:c r="N123" s="5" t="str"/>
      <x:c r="O12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24" ht="97.5" customHeight="1">
      <x:c r="A124" s="5" t="n">
        <x:v>123</x:v>
      </x:c>
      <x:c r="B124" s="5" t="str">
        <x:v>GDE-123</x:v>
      </x:c>
      <x:c r="C124" s="5" t="str">
        <x:v>公会App-数据与收益模块</x:v>
      </x:c>
      <x:c r="D124" s="5" t="str">
        <x:v>直播记录/汇总指标</x:v>
      </x:c>
      <x:c r="E124" s="5" t="str">
        <x:v>逻辑校验</x:v>
      </x:c>
      <x:c r="F124" s="5" t="str">
        <x:v>P2</x:v>
      </x:c>
      <x:c r="G124" s="5" t="str">
        <x:v>验证未选择主播时的收益</x:v>
      </x:c>
      <x:c r="H124" s="5" t="str">
        <x:v>零主播收益</x:v>
      </x:c>
      <x:c r="I124" s="5" t="str">
        <x:v>1. 主播筛选当前已选 0 人</x:v>
      </x:c>
      <x:c r="J124" s="5" t="str">
        <x:v>1. 查看收益</x:v>
      </x:c>
      <x:c r="K124" s="5" t="str">
        <x:v>1. 收益 = 0</x:v>
      </x:c>
      <x:c r="L124" s="5" t="str"/>
      <x:c r="M124" s="5" t="str">
        <x:v>未测</x:v>
      </x:c>
      <x:c r="N124" s="5" t="str"/>
      <x:c r="O124" s="5" t="str">
        <x:v>1. 来源：prototype/assets/annotations.js 的公会直播记录、场次详情和主播多选批注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25" ht="97.5" customHeight="1">
      <x:c r="A125" s="5" t="n">
        <x:v>124</x:v>
      </x:c>
      <x:c r="B125" s="5" t="str">
        <x:v>GDE-124</x:v>
      </x:c>
      <x:c r="C125" s="5" t="str">
        <x:v>公会App-数据与收益模块</x:v>
      </x:c>
      <x:c r="D125" s="5" t="str">
        <x:v>直播记录/汇总指标</x:v>
      </x:c>
      <x:c r="E125" s="5" t="str">
        <x:v>逻辑校验</x:v>
      </x:c>
      <x:c r="F125" s="5" t="str">
        <x:v>P2</x:v>
      </x:c>
      <x:c r="G125" s="5" t="str">
        <x:v>验证未选择主播时的开播人数</x:v>
      </x:c>
      <x:c r="H125" s="5" t="str">
        <x:v>零主播开播人数</x:v>
      </x:c>
      <x:c r="I125" s="5" t="str">
        <x:v>1. 主播筛选当前已选 0 人</x:v>
      </x:c>
      <x:c r="J125" s="5" t="str">
        <x:v>1. 查看开播人数</x:v>
      </x:c>
      <x:c r="K125" s="5" t="str">
        <x:v>1. 开播人数 = 0</x:v>
      </x:c>
      <x:c r="L125" s="5" t="str"/>
      <x:c r="M125" s="5" t="str">
        <x:v>未测</x:v>
      </x:c>
      <x:c r="N125" s="5" t="str"/>
      <x:c r="O125" s="5" t="str">
        <x:v>1. 来源：prototype/assets/annotations.js 的公会直播记录、场次详情和主播多选批注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26" ht="97.5" customHeight="1">
      <x:c r="A126" s="5" t="n">
        <x:v>125</x:v>
      </x:c>
      <x:c r="B126" s="5" t="str">
        <x:v>GDE-125</x:v>
      </x:c>
      <x:c r="C126" s="5" t="str">
        <x:v>公会App-数据与收益模块</x:v>
      </x:c>
      <x:c r="D126" s="5" t="str">
        <x:v>直播记录/汇总指标</x:v>
      </x:c>
      <x:c r="E126" s="5" t="str">
        <x:v>逻辑校验</x:v>
      </x:c>
      <x:c r="F126" s="5" t="str">
        <x:v>P2</x:v>
      </x:c>
      <x:c r="G126" s="5" t="str">
        <x:v>验证未选择主播时的直播场次</x:v>
      </x:c>
      <x:c r="H126" s="5" t="str">
        <x:v>零主播直播场次</x:v>
      </x:c>
      <x:c r="I126" s="5" t="str">
        <x:v>1. 主播筛选当前已选 0 人</x:v>
      </x:c>
      <x:c r="J126" s="5" t="str">
        <x:v>1. 查看直播场次</x:v>
      </x:c>
      <x:c r="K126" s="5" t="str">
        <x:v>1. 直播场次 = 0</x:v>
      </x:c>
      <x:c r="L126" s="5" t="str"/>
      <x:c r="M126" s="5" t="str">
        <x:v>未测</x:v>
      </x:c>
      <x:c r="N126" s="5" t="str"/>
      <x:c r="O126" s="5" t="str">
        <x:v>1. 来源：prototype/assets/annotations.js 的公会直播记录、场次详情和主播多选批注
2. 来源：prototype/pages/guild/data/guild-host-data.html；未连接真实后端动态验证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27" ht="97.5" customHeight="1">
      <x:c r="A127" s="5" t="n">
        <x:v>126</x:v>
      </x:c>
      <x:c r="B127" s="5" t="str">
        <x:v>GDE-126</x:v>
      </x:c>
      <x:c r="C127" s="5" t="str">
        <x:v>公会App-数据与收益模块</x:v>
      </x:c>
      <x:c r="D127" s="5" t="str">
        <x:v>直播记录/场次列表</x:v>
      </x:c>
      <x:c r="E127" s="5" t="str">
        <x:v>逻辑校验</x:v>
      </x:c>
      <x:c r="F127" s="5" t="str">
        <x:v>P1</x:v>
      </x:c>
      <x:c r="G127" s="5" t="str">
        <x:v>验证场次按开播时间倒序排列</x:v>
      </x:c>
      <x:c r="H127" s="5" t="str">
        <x:v>开播时间倒序</x:v>
      </x:c>
      <x:c r="I127" s="5" t="str">
        <x:v>1. 筛选范围内存在开播时间为 15/08/2026 09.00、15/08/2026 19.20、14/08/2026 21.00 的三场记录</x:v>
      </x:c>
      <x:c r="J127" s="5" t="str">
        <x:v>1. 进入直播记录页
2. 查看场次排列顺序</x:v>
      </x:c>
      <x:c r="K127" s="5" t="str">
        <x:v>1. 场次顺序从上到下为 15/08/2026 19.20、15/08/2026 09.00、14/08/2026 21.00</x:v>
      </x:c>
      <x:c r="L127" s="5" t="str"/>
      <x:c r="M127" s="5" t="str">
        <x:v>未测</x:v>
      </x:c>
      <x:c r="N127" s="5" t="str"/>
      <x:c r="O127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28" ht="121.5" customHeight="1">
      <x:c r="A128" s="5" t="n">
        <x:v>127</x:v>
      </x:c>
      <x:c r="B128" s="5" t="str">
        <x:v>GDE-127</x:v>
      </x:c>
      <x:c r="C128" s="5" t="str">
        <x:v>公会App-数据与收益模块</x:v>
      </x:c>
      <x:c r="D128" s="5" t="str">
        <x:v>直播记录/场次列表</x:v>
      </x:c>
      <x:c r="E128" s="5" t="str">
        <x:v>功能需求</x:v>
      </x:c>
      <x:c r="F128" s="5" t="str">
        <x:v>P1</x:v>
      </x:c>
      <x:c r="G128" s="5" t="str">
        <x:v>验证场次卡片的直播主题</x:v>
      </x:c>
      <x:c r="H128" s="5" t="str">
        <x:v>直播主题展示</x:v>
      </x:c>
      <x:c r="I128" s="5" t="str">
        <x:v>1. 筛选结果包含主题为“流行金曲夜”的测试场次
2. 测试场次数据已按用例备注来源准备</x:v>
      </x:c>
      <x:c r="J128" s="5" t="str">
        <x:v>1. 进入直播记录页
2. 查看测试场次卡片</x:v>
      </x:c>
      <x:c r="K128" s="5" t="str">
        <x:v>1. 直播主题显示“流行金曲夜”</x:v>
      </x:c>
      <x:c r="L128" s="5" t="str"/>
      <x:c r="M128" s="5" t="str">
        <x:v>未测</x:v>
      </x:c>
      <x:c r="N128" s="5" t="str"/>
      <x:c r="O128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29" ht="121.5" customHeight="1">
      <x:c r="A129" s="5" t="n">
        <x:v>128</x:v>
      </x:c>
      <x:c r="B129" s="5" t="str">
        <x:v>GDE-128</x:v>
      </x:c>
      <x:c r="C129" s="5" t="str">
        <x:v>公会App-数据与收益模块</x:v>
      </x:c>
      <x:c r="D129" s="5" t="str">
        <x:v>直播记录/场次列表</x:v>
      </x:c>
      <x:c r="E129" s="5" t="str">
        <x:v>功能需求</x:v>
      </x:c>
      <x:c r="F129" s="5" t="str">
        <x:v>P1</x:v>
      </x:c>
      <x:c r="G129" s="5" t="str">
        <x:v>验证场次卡片的主播名称</x:v>
      </x:c>
      <x:c r="H129" s="5" t="str">
        <x:v>主播名称展示</x:v>
      </x:c>
      <x:c r="I129" s="5" t="str">
        <x:v>1. 筛选结果包含主题为“流行金曲夜”的测试场次
2. 测试场次数据已按用例备注来源准备</x:v>
      </x:c>
      <x:c r="J129" s="5" t="str">
        <x:v>1. 进入直播记录页
2. 查看测试场次卡片</x:v>
      </x:c>
      <x:c r="K129" s="5" t="str">
        <x:v>1. 主播名称显示“Sari”</x:v>
      </x:c>
      <x:c r="L129" s="5" t="str"/>
      <x:c r="M129" s="5" t="str">
        <x:v>未测</x:v>
      </x:c>
      <x:c r="N129" s="5" t="str"/>
      <x:c r="O129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0" ht="121.5" customHeight="1">
      <x:c r="A130" s="5" t="n">
        <x:v>129</x:v>
      </x:c>
      <x:c r="B130" s="5" t="str">
        <x:v>GDE-129</x:v>
      </x:c>
      <x:c r="C130" s="5" t="str">
        <x:v>公会App-数据与收益模块</x:v>
      </x:c>
      <x:c r="D130" s="5" t="str">
        <x:v>直播记录/场次列表</x:v>
      </x:c>
      <x:c r="E130" s="5" t="str">
        <x:v>功能需求</x:v>
      </x:c>
      <x:c r="F130" s="5" t="str">
        <x:v>P1</x:v>
      </x:c>
      <x:c r="G130" s="5" t="str">
        <x:v>验证场次卡片的主播 ID</x:v>
      </x:c>
      <x:c r="H130" s="5" t="str">
        <x:v>主播 ID展示</x:v>
      </x:c>
      <x:c r="I130" s="5" t="str">
        <x:v>1. 筛选结果包含主题为“流行金曲夜”的测试场次
2. 测试场次数据已按用例备注来源准备</x:v>
      </x:c>
      <x:c r="J130" s="5" t="str">
        <x:v>1. 进入直播记录页
2. 查看测试场次卡片</x:v>
      </x:c>
      <x:c r="K130" s="5" t="str">
        <x:v>1. 主播 ID 显示“H102938”</x:v>
      </x:c>
      <x:c r="L130" s="5" t="str"/>
      <x:c r="M130" s="5" t="str">
        <x:v>未测</x:v>
      </x:c>
      <x:c r="N130" s="5" t="str"/>
      <x:c r="O13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1" ht="121.5" customHeight="1">
      <x:c r="A131" s="5" t="n">
        <x:v>130</x:v>
      </x:c>
      <x:c r="B131" s="5" t="str">
        <x:v>GDE-130</x:v>
      </x:c>
      <x:c r="C131" s="5" t="str">
        <x:v>公会App-数据与收益模块</x:v>
      </x:c>
      <x:c r="D131" s="5" t="str">
        <x:v>直播记录/场次列表</x:v>
      </x:c>
      <x:c r="E131" s="5" t="str">
        <x:v>功能需求</x:v>
      </x:c>
      <x:c r="F131" s="5" t="str">
        <x:v>P1</x:v>
      </x:c>
      <x:c r="G131" s="5" t="str">
        <x:v>验证场次卡片的开播时间</x:v>
      </x:c>
      <x:c r="H131" s="5" t="str">
        <x:v>开播时间展示</x:v>
      </x:c>
      <x:c r="I131" s="5" t="str">
        <x:v>1. 筛选结果包含主题为“流行金曲夜”的测试场次
2. 测试场次数据已按用例备注来源准备</x:v>
      </x:c>
      <x:c r="J131" s="5" t="str">
        <x:v>1. 进入直播记录页
2. 查看测试场次卡片</x:v>
      </x:c>
      <x:c r="K131" s="5" t="str">
        <x:v>1. 开播时间显示“15/8/2026 19.20”</x:v>
      </x:c>
      <x:c r="L131" s="5" t="str"/>
      <x:c r="M131" s="5" t="str">
        <x:v>未测</x:v>
      </x:c>
      <x:c r="N131" s="5" t="str"/>
      <x:c r="O131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2" ht="121.5" customHeight="1">
      <x:c r="A132" s="5" t="n">
        <x:v>131</x:v>
      </x:c>
      <x:c r="B132" s="5" t="str">
        <x:v>GDE-131</x:v>
      </x:c>
      <x:c r="C132" s="5" t="str">
        <x:v>公会App-数据与收益模块</x:v>
      </x:c>
      <x:c r="D132" s="5" t="str">
        <x:v>直播记录/场次列表</x:v>
      </x:c>
      <x:c r="E132" s="5" t="str">
        <x:v>功能需求</x:v>
      </x:c>
      <x:c r="F132" s="5" t="str">
        <x:v>P1</x:v>
      </x:c>
      <x:c r="G132" s="5" t="str">
        <x:v>验证场次卡片的直播时长</x:v>
      </x:c>
      <x:c r="H132" s="5" t="str">
        <x:v>直播时长展示</x:v>
      </x:c>
      <x:c r="I132" s="5" t="str">
        <x:v>1. 筛选结果包含主题为“流行金曲夜”的测试场次
2. 测试场次数据已按用例备注来源准备</x:v>
      </x:c>
      <x:c r="J132" s="5" t="str">
        <x:v>1. 进入直播记录页
2. 查看测试场次卡片</x:v>
      </x:c>
      <x:c r="K132" s="5" t="str">
        <x:v>1. 直播时长显示“1h 51m”</x:v>
      </x:c>
      <x:c r="L132" s="5" t="str"/>
      <x:c r="M132" s="5" t="str">
        <x:v>未测</x:v>
      </x:c>
      <x:c r="N132" s="5" t="str"/>
      <x:c r="O132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3" ht="121.5" customHeight="1">
      <x:c r="A133" s="5" t="n">
        <x:v>132</x:v>
      </x:c>
      <x:c r="B133" s="5" t="str">
        <x:v>GDE-132</x:v>
      </x:c>
      <x:c r="C133" s="5" t="str">
        <x:v>公会App-数据与收益模块</x:v>
      </x:c>
      <x:c r="D133" s="5" t="str">
        <x:v>直播记录/场次列表</x:v>
      </x:c>
      <x:c r="E133" s="5" t="str">
        <x:v>功能需求</x:v>
      </x:c>
      <x:c r="F133" s="5" t="str">
        <x:v>P1</x:v>
      </x:c>
      <x:c r="G133" s="5" t="str">
        <x:v>验证场次卡片的金币收益</x:v>
      </x:c>
      <x:c r="H133" s="5" t="str">
        <x:v>金币收益展示</x:v>
      </x:c>
      <x:c r="I133" s="5" t="str">
        <x:v>1. 筛选结果包含主题为“流行金曲夜”的测试场次
2. 测试场次数据已按用例备注来源准备</x:v>
      </x:c>
      <x:c r="J133" s="5" t="str">
        <x:v>1. 进入直播记录页
2. 查看测试场次卡片</x:v>
      </x:c>
      <x:c r="K133" s="5" t="str">
        <x:v>1. 收益显示 16,967 金币</x:v>
      </x:c>
      <x:c r="L133" s="5" t="str"/>
      <x:c r="M133" s="5" t="str">
        <x:v>未测</x:v>
      </x:c>
      <x:c r="N133" s="5" t="str"/>
      <x:c r="O133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4" ht="121.5" customHeight="1">
      <x:c r="A134" s="5" t="n">
        <x:v>133</x:v>
      </x:c>
      <x:c r="B134" s="5" t="str">
        <x:v>GDE-133</x:v>
      </x:c>
      <x:c r="C134" s="5" t="str">
        <x:v>公会App-数据与收益模块</x:v>
      </x:c>
      <x:c r="D134" s="5" t="str">
        <x:v>直播记录/场次列表</x:v>
      </x:c>
      <x:c r="E134" s="5" t="str">
        <x:v>功能需求</x:v>
      </x:c>
      <x:c r="F134" s="5" t="str">
        <x:v>P1</x:v>
      </x:c>
      <x:c r="G134" s="5" t="str">
        <x:v>验证场次卡片的观看人数</x:v>
      </x:c>
      <x:c r="H134" s="5" t="str">
        <x:v>观看人数展示</x:v>
      </x:c>
      <x:c r="I134" s="5" t="str">
        <x:v>1. 筛选结果包含主题为“流行金曲夜”的测试场次
2. 测试场次数据已按用例备注来源准备</x:v>
      </x:c>
      <x:c r="J134" s="5" t="str">
        <x:v>1. 进入直播记录页
2. 查看测试场次卡片</x:v>
      </x:c>
      <x:c r="K134" s="5" t="str">
        <x:v>1. 观众显示 10,055 人</x:v>
      </x:c>
      <x:c r="L134" s="5" t="str"/>
      <x:c r="M134" s="5" t="str">
        <x:v>未测</x:v>
      </x:c>
      <x:c r="N134" s="5" t="str"/>
      <x:c r="O134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5" ht="121.5" customHeight="1">
      <x:c r="A135" s="5" t="n">
        <x:v>134</x:v>
      </x:c>
      <x:c r="B135" s="5" t="str">
        <x:v>GDE-134</x:v>
      </x:c>
      <x:c r="C135" s="5" t="str">
        <x:v>公会App-数据与收益模块</x:v>
      </x:c>
      <x:c r="D135" s="5" t="str">
        <x:v>直播记录/场次列表</x:v>
      </x:c>
      <x:c r="E135" s="5" t="str">
        <x:v>功能需求</x:v>
      </x:c>
      <x:c r="F135" s="5" t="str">
        <x:v>P1</x:v>
      </x:c>
      <x:c r="G135" s="5" t="str">
        <x:v>验证场次卡片的收礼数量</x:v>
      </x:c>
      <x:c r="H135" s="5" t="str">
        <x:v>收礼数量展示</x:v>
      </x:c>
      <x:c r="I135" s="5" t="str">
        <x:v>1. 筛选结果包含主题为“流行金曲夜”的测试场次
2. 测试场次数据已按用例备注来源准备</x:v>
      </x:c>
      <x:c r="J135" s="5" t="str">
        <x:v>1. 进入直播记录页
2. 查看测试场次卡片</x:v>
      </x:c>
      <x:c r="K135" s="5" t="str">
        <x:v>1. 收礼数量显示 369</x:v>
      </x:c>
      <x:c r="L135" s="5" t="str"/>
      <x:c r="M135" s="5" t="str">
        <x:v>未测</x:v>
      </x:c>
      <x:c r="N135" s="5" t="str"/>
      <x:c r="O135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36" ht="85.5" customHeight="1">
      <x:c r="A136" s="5" t="n">
        <x:v>135</x:v>
      </x:c>
      <x:c r="B136" s="5" t="str">
        <x:v>GDE-135</x:v>
      </x:c>
      <x:c r="C136" s="5" t="str">
        <x:v>公会App-数据与收益模块</x:v>
      </x:c>
      <x:c r="D136" s="5" t="str">
        <x:v>直播记录/场次列表</x:v>
      </x:c>
      <x:c r="E136" s="5" t="str">
        <x:v>功能需求</x:v>
      </x:c>
      <x:c r="F136" s="5" t="str">
        <x:v>P2</x:v>
      </x:c>
      <x:c r="G136" s="5" t="str">
        <x:v>验证单主播模式不重复展示主播身份</x:v>
      </x:c>
      <x:c r="H136" s="5" t="str">
        <x:v>单主播卡片身份隐藏</x:v>
      </x:c>
      <x:c r="I136" s="5" t="str">
        <x:v>1. 直播记录当前仅选择主播 Sari</x:v>
      </x:c>
      <x:c r="J136" s="5" t="str">
        <x:v>1. 查看主播 Sari 的场次卡片</x:v>
      </x:c>
      <x:c r="K136" s="5" t="str">
        <x:v>1. 场次卡片不展示主播名称和主播 ID 行</x:v>
      </x:c>
      <x:c r="L136" s="5" t="str"/>
      <x:c r="M136" s="5" t="str">
        <x:v>未测</x:v>
      </x:c>
      <x:c r="N136" s="5" t="str"/>
      <x:c r="O136" s="5" t="str">
        <x:v>1. 来源：prototype/pages/guild/data/guild-host-data.html；未连接真实后端动态验证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37" ht="97.5" customHeight="1">
      <x:c r="A137" s="5" t="n">
        <x:v>136</x:v>
      </x:c>
      <x:c r="B137" s="5" t="str">
        <x:v>GDE-136</x:v>
      </x:c>
      <x:c r="C137" s="5" t="str">
        <x:v>公会App-数据与收益模块</x:v>
      </x:c>
      <x:c r="D137" s="5" t="str">
        <x:v>直播记录/场次列表</x:v>
      </x:c>
      <x:c r="E137" s="5" t="str">
        <x:v>功能需求</x:v>
      </x:c>
      <x:c r="F137" s="5" t="str">
        <x:v>P2</x:v>
      </x:c>
      <x:c r="G137" s="5" t="str">
        <x:v>验证门票房场次类型标识</x:v>
      </x:c>
      <x:c r="H137" s="5" t="str">
        <x:v>门票房标识</x:v>
      </x:c>
      <x:c r="I137" s="5" t="str">
        <x:v>1. 筛选结果包含一场门票房直播记录</x:v>
      </x:c>
      <x:c r="J137" s="5" t="str">
        <x:v>1. 查看门票房场次卡片</x:v>
      </x:c>
      <x:c r="K137" s="5" t="str">
        <x:v>1. 门票房场次卡片显示门票房标识</x:v>
      </x:c>
      <x:c r="L137" s="5" t="str"/>
      <x:c r="M137" s="5" t="str">
        <x:v>未测</x:v>
      </x:c>
      <x:c r="N137" s="5" t="str"/>
      <x:c r="O137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38" ht="97.5" customHeight="1">
      <x:c r="A138" s="5" t="n">
        <x:v>137</x:v>
      </x:c>
      <x:c r="B138" s="5" t="str">
        <x:v>GDE-137</x:v>
      </x:c>
      <x:c r="C138" s="5" t="str">
        <x:v>公会App-数据与收益模块</x:v>
      </x:c>
      <x:c r="D138" s="5" t="str">
        <x:v>直播记录/场次列表</x:v>
      </x:c>
      <x:c r="E138" s="5" t="str">
        <x:v>功能需求</x:v>
      </x:c>
      <x:c r="F138" s="5" t="str">
        <x:v>P2</x:v>
      </x:c>
      <x:c r="G138" s="5" t="str">
        <x:v>验证密码房场次类型标识</x:v>
      </x:c>
      <x:c r="H138" s="5" t="str">
        <x:v>密码房标识</x:v>
      </x:c>
      <x:c r="I138" s="5" t="str">
        <x:v>1. 筛选结果包含一场密码房直播记录</x:v>
      </x:c>
      <x:c r="J138" s="5" t="str">
        <x:v>1. 查看密码房场次卡片</x:v>
      </x:c>
      <x:c r="K138" s="5" t="str">
        <x:v>1. 密码房场次卡片显示密码房标识</x:v>
      </x:c>
      <x:c r="L138" s="5" t="str"/>
      <x:c r="M138" s="5" t="str">
        <x:v>未测</x:v>
      </x:c>
      <x:c r="N138" s="5" t="str"/>
      <x:c r="O138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39" ht="97.5" customHeight="1">
      <x:c r="A139" s="5" t="n">
        <x:v>138</x:v>
      </x:c>
      <x:c r="B139" s="5" t="str">
        <x:v>GDE-138</x:v>
      </x:c>
      <x:c r="C139" s="5" t="str">
        <x:v>公会App-数据与收益模块</x:v>
      </x:c>
      <x:c r="D139" s="5" t="str">
        <x:v>直播记录/场次列表</x:v>
      </x:c>
      <x:c r="E139" s="5" t="str">
        <x:v>功能需求</x:v>
      </x:c>
      <x:c r="F139" s="5" t="str">
        <x:v>P2</x:v>
      </x:c>
      <x:c r="G139" s="5" t="str">
        <x:v>验证普通房场次类型展示</x:v>
      </x:c>
      <x:c r="H139" s="5" t="str">
        <x:v>普通房类型展示</x:v>
      </x:c>
      <x:c r="I139" s="5" t="str">
        <x:v>1. 筛选结果包含一场普通房直播记录</x:v>
      </x:c>
      <x:c r="J139" s="5" t="str">
        <x:v>1. 查看普通房场次卡片</x:v>
      </x:c>
      <x:c r="K139" s="5" t="str">
        <x:v>1. 普通房场次卡片不显示门票房标识和密码房标识</x:v>
      </x:c>
      <x:c r="L139" s="5" t="str"/>
      <x:c r="M139" s="5" t="str">
        <x:v>未测</x:v>
      </x:c>
      <x:c r="N139" s="5" t="str"/>
      <x:c r="O139" s="5" t="str">
        <x:v>1. 来源：prototype/pages/guild/data/guild-host-data.html；未连接真实后端动态验证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40" ht="121.5" customHeight="1">
      <x:c r="A140" s="5" t="n">
        <x:v>139</x:v>
      </x:c>
      <x:c r="B140" s="5" t="str">
        <x:v>GDE-139</x:v>
      </x:c>
      <x:c r="C140" s="5" t="str">
        <x:v>公会App-数据与收益模块</x:v>
      </x:c>
      <x:c r="D140" s="5" t="str">
        <x:v>直播记录/直播场次详情</x:v>
      </x:c>
      <x:c r="E140" s="5" t="str">
        <x:v>业务流程</x:v>
      </x:c>
      <x:c r="F140" s="5" t="str">
        <x:v>P1</x:v>
      </x:c>
      <x:c r="G140" s="5" t="str">
        <x:v>验证从场次卡片进入直播场次详情</x:v>
      </x:c>
      <x:c r="H140" s="5" t="str">
        <x:v>场次详情入口</x:v>
      </x:c>
      <x:c r="I140" s="5" t="str">
        <x:v>1. 直播记录列表存在场次 S-1001</x:v>
      </x:c>
      <x:c r="J140" s="5" t="str">
        <x:v>1. 点击场次 S-1001 的卡片</x:v>
      </x:c>
      <x:c r="K140" s="5" t="str">
        <x:v>1. 页面进入标题为“直播场次详情”的页面</x:v>
      </x:c>
      <x:c r="L140" s="5" t="str"/>
      <x:c r="M140" s="5" t="str">
        <x:v>未测</x:v>
      </x:c>
      <x:c r="N140" s="5" t="str"/>
      <x:c r="O140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来源：prototype/pages/guild/data/guild-live-gift-detail.html；未连接真实后端动态验证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1" ht="121.5" customHeight="1">
      <x:c r="A141" s="5" t="n">
        <x:v>140</x:v>
      </x:c>
      <x:c r="B141" s="5" t="str">
        <x:v>GDE-140</x:v>
      </x:c>
      <x:c r="C141" s="5" t="str">
        <x:v>公会App-数据与收益模块</x:v>
      </x:c>
      <x:c r="D141" s="5" t="str">
        <x:v>直播记录/直播场次详情</x:v>
      </x:c>
      <x:c r="E141" s="5" t="str">
        <x:v>功能需求</x:v>
      </x:c>
      <x:c r="F141" s="5" t="str">
        <x:v>P1</x:v>
      </x:c>
      <x:c r="G141" s="5" t="str">
        <x:v>验证直播场次详情的直播主题</x:v>
      </x:c>
      <x:c r="H141" s="5" t="str">
        <x:v>直播主题展示</x:v>
      </x:c>
      <x:c r="I141" s="5" t="str">
        <x:v>1. 公会长已进入场次 S-1001 的直播场次详情
2. 场次 S-1001 数据已按用例备注来源准备</x:v>
      </x:c>
      <x:c r="J141" s="5" t="str">
        <x:v>1. 查看场次详情区域</x:v>
      </x:c>
      <x:c r="K141" s="5" t="str">
        <x:v>1. 直播主题显示“流行金曲夜”</x:v>
      </x:c>
      <x:c r="L141" s="5" t="str"/>
      <x:c r="M141" s="5" t="str">
        <x:v>未测</x:v>
      </x:c>
      <x:c r="N141" s="5" t="str"/>
      <x:c r="O141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2" ht="121.5" customHeight="1">
      <x:c r="A142" s="5" t="n">
        <x:v>141</x:v>
      </x:c>
      <x:c r="B142" s="5" t="str">
        <x:v>GDE-141</x:v>
      </x:c>
      <x:c r="C142" s="5" t="str">
        <x:v>公会App-数据与收益模块</x:v>
      </x:c>
      <x:c r="D142" s="5" t="str">
        <x:v>直播记录/直播场次详情</x:v>
      </x:c>
      <x:c r="E142" s="5" t="str">
        <x:v>功能需求</x:v>
      </x:c>
      <x:c r="F142" s="5" t="str">
        <x:v>P1</x:v>
      </x:c>
      <x:c r="G142" s="5" t="str">
        <x:v>验证直播场次详情的场次 ID</x:v>
      </x:c>
      <x:c r="H142" s="5" t="str">
        <x:v>场次 ID展示</x:v>
      </x:c>
      <x:c r="I142" s="5" t="str">
        <x:v>1. 公会长已进入场次 S-1001 的直播场次详情
2. 场次 S-1001 数据已按用例备注来源准备</x:v>
      </x:c>
      <x:c r="J142" s="5" t="str">
        <x:v>1. 查看场次详情区域</x:v>
      </x:c>
      <x:c r="K142" s="5" t="str">
        <x:v>1. 场次 ID 显示“S-1001”</x:v>
      </x:c>
      <x:c r="L142" s="5" t="str"/>
      <x:c r="M142" s="5" t="str">
        <x:v>未测</x:v>
      </x:c>
      <x:c r="N142" s="5" t="str"/>
      <x:c r="O142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3" ht="121.5" customHeight="1">
      <x:c r="A143" s="5" t="n">
        <x:v>142</x:v>
      </x:c>
      <x:c r="B143" s="5" t="str">
        <x:v>GDE-142</x:v>
      </x:c>
      <x:c r="C143" s="5" t="str">
        <x:v>公会App-数据与收益模块</x:v>
      </x:c>
      <x:c r="D143" s="5" t="str">
        <x:v>直播记录/直播场次详情</x:v>
      </x:c>
      <x:c r="E143" s="5" t="str">
        <x:v>功能需求</x:v>
      </x:c>
      <x:c r="F143" s="5" t="str">
        <x:v>P1</x:v>
      </x:c>
      <x:c r="G143" s="5" t="str">
        <x:v>验证直播场次详情的主播名称</x:v>
      </x:c>
      <x:c r="H143" s="5" t="str">
        <x:v>主播名称展示</x:v>
      </x:c>
      <x:c r="I143" s="5" t="str">
        <x:v>1. 公会长已进入场次 S-1001 的直播场次详情
2. 场次 S-1001 数据已按用例备注来源准备</x:v>
      </x:c>
      <x:c r="J143" s="5" t="str">
        <x:v>1. 查看场次详情区域</x:v>
      </x:c>
      <x:c r="K143" s="5" t="str">
        <x:v>1. 主播名称显示“Sari”</x:v>
      </x:c>
      <x:c r="L143" s="5" t="str"/>
      <x:c r="M143" s="5" t="str">
        <x:v>未测</x:v>
      </x:c>
      <x:c r="N143" s="5" t="str"/>
      <x:c r="O143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4" ht="121.5" customHeight="1">
      <x:c r="A144" s="5" t="n">
        <x:v>143</x:v>
      </x:c>
      <x:c r="B144" s="5" t="str">
        <x:v>GDE-143</x:v>
      </x:c>
      <x:c r="C144" s="5" t="str">
        <x:v>公会App-数据与收益模块</x:v>
      </x:c>
      <x:c r="D144" s="5" t="str">
        <x:v>直播记录/直播场次详情</x:v>
      </x:c>
      <x:c r="E144" s="5" t="str">
        <x:v>功能需求</x:v>
      </x:c>
      <x:c r="F144" s="5" t="str">
        <x:v>P1</x:v>
      </x:c>
      <x:c r="G144" s="5" t="str">
        <x:v>验证直播场次详情的主播 ID</x:v>
      </x:c>
      <x:c r="H144" s="5" t="str">
        <x:v>主播 ID展示</x:v>
      </x:c>
      <x:c r="I144" s="5" t="str">
        <x:v>1. 公会长已进入场次 S-1001 的直播场次详情
2. 场次 S-1001 数据已按用例备注来源准备</x:v>
      </x:c>
      <x:c r="J144" s="5" t="str">
        <x:v>1. 查看场次详情区域</x:v>
      </x:c>
      <x:c r="K144" s="5" t="str">
        <x:v>1. 主播 ID 显示“H102938”</x:v>
      </x:c>
      <x:c r="L144" s="5" t="str"/>
      <x:c r="M144" s="5" t="str">
        <x:v>未测</x:v>
      </x:c>
      <x:c r="N144" s="5" t="str"/>
      <x:c r="O144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5" ht="121.5" customHeight="1">
      <x:c r="A145" s="5" t="n">
        <x:v>144</x:v>
      </x:c>
      <x:c r="B145" s="5" t="str">
        <x:v>GDE-144</x:v>
      </x:c>
      <x:c r="C145" s="5" t="str">
        <x:v>公会App-数据与收益模块</x:v>
      </x:c>
      <x:c r="D145" s="5" t="str">
        <x:v>直播记录/直播场次详情</x:v>
      </x:c>
      <x:c r="E145" s="5" t="str">
        <x:v>功能需求</x:v>
      </x:c>
      <x:c r="F145" s="5" t="str">
        <x:v>P1</x:v>
      </x:c>
      <x:c r="G145" s="5" t="str">
        <x:v>验证直播场次详情的开播时间</x:v>
      </x:c>
      <x:c r="H145" s="5" t="str">
        <x:v>开播时间展示</x:v>
      </x:c>
      <x:c r="I145" s="5" t="str">
        <x:v>1. 公会长已进入场次 S-1001 的直播场次详情
2. 场次 S-1001 数据已按用例备注来源准备</x:v>
      </x:c>
      <x:c r="J145" s="5" t="str">
        <x:v>1. 查看场次详情区域</x:v>
      </x:c>
      <x:c r="K145" s="5" t="str">
        <x:v>1. 开播时间显示“15/8/2026 19.20”</x:v>
      </x:c>
      <x:c r="L145" s="5" t="str"/>
      <x:c r="M145" s="5" t="str">
        <x:v>未测</x:v>
      </x:c>
      <x:c r="N145" s="5" t="str"/>
      <x:c r="O145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6" ht="121.5" customHeight="1">
      <x:c r="A146" s="5" t="n">
        <x:v>145</x:v>
      </x:c>
      <x:c r="B146" s="5" t="str">
        <x:v>GDE-145</x:v>
      </x:c>
      <x:c r="C146" s="5" t="str">
        <x:v>公会App-数据与收益模块</x:v>
      </x:c>
      <x:c r="D146" s="5" t="str">
        <x:v>直播记录/直播场次详情</x:v>
      </x:c>
      <x:c r="E146" s="5" t="str">
        <x:v>功能需求</x:v>
      </x:c>
      <x:c r="F146" s="5" t="str">
        <x:v>P1</x:v>
      </x:c>
      <x:c r="G146" s="5" t="str">
        <x:v>验证直播场次详情的直播时长</x:v>
      </x:c>
      <x:c r="H146" s="5" t="str">
        <x:v>直播时长展示</x:v>
      </x:c>
      <x:c r="I146" s="5" t="str">
        <x:v>1. 公会长已进入场次 S-1001 的直播场次详情
2. 场次 S-1001 数据已按用例备注来源准备</x:v>
      </x:c>
      <x:c r="J146" s="5" t="str">
        <x:v>1. 查看场次详情区域</x:v>
      </x:c>
      <x:c r="K146" s="5" t="str">
        <x:v>1. 直播时长显示“1h 51m”</x:v>
      </x:c>
      <x:c r="L146" s="5" t="str"/>
      <x:c r="M146" s="5" t="str">
        <x:v>未测</x:v>
      </x:c>
      <x:c r="N146" s="5" t="str"/>
      <x:c r="O146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7" ht="121.5" customHeight="1">
      <x:c r="A147" s="5" t="n">
        <x:v>146</x:v>
      </x:c>
      <x:c r="B147" s="5" t="str">
        <x:v>GDE-146</x:v>
      </x:c>
      <x:c r="C147" s="5" t="str">
        <x:v>公会App-数据与收益模块</x:v>
      </x:c>
      <x:c r="D147" s="5" t="str">
        <x:v>直播记录/直播场次详情</x:v>
      </x:c>
      <x:c r="E147" s="5" t="str">
        <x:v>功能需求</x:v>
      </x:c>
      <x:c r="F147" s="5" t="str">
        <x:v>P1</x:v>
      </x:c>
      <x:c r="G147" s="5" t="str">
        <x:v>验证直播场次详情的观众数量</x:v>
      </x:c>
      <x:c r="H147" s="5" t="str">
        <x:v>观众数量展示</x:v>
      </x:c>
      <x:c r="I147" s="5" t="str">
        <x:v>1. 公会长已进入场次 S-1001 的直播场次详情
2. 场次 S-1001 数据已按用例备注来源准备</x:v>
      </x:c>
      <x:c r="J147" s="5" t="str">
        <x:v>1. 查看场次详情区域</x:v>
      </x:c>
      <x:c r="K147" s="5" t="str">
        <x:v>1. 观众数量显示 10,055</x:v>
      </x:c>
      <x:c r="L147" s="5" t="str"/>
      <x:c r="M147" s="5" t="str">
        <x:v>未测</x:v>
      </x:c>
      <x:c r="N147" s="5" t="str"/>
      <x:c r="O147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8" ht="121.5" customHeight="1">
      <x:c r="A148" s="5" t="n">
        <x:v>147</x:v>
      </x:c>
      <x:c r="B148" s="5" t="str">
        <x:v>GDE-147</x:v>
      </x:c>
      <x:c r="C148" s="5" t="str">
        <x:v>公会App-数据与收益模块</x:v>
      </x:c>
      <x:c r="D148" s="5" t="str">
        <x:v>直播记录/直播场次详情</x:v>
      </x:c>
      <x:c r="E148" s="5" t="str">
        <x:v>功能需求</x:v>
      </x:c>
      <x:c r="F148" s="5" t="str">
        <x:v>P1</x:v>
      </x:c>
      <x:c r="G148" s="5" t="str">
        <x:v>验证直播场次详情的送礼观众</x:v>
      </x:c>
      <x:c r="H148" s="5" t="str">
        <x:v>送礼观众展示</x:v>
      </x:c>
      <x:c r="I148" s="5" t="str">
        <x:v>1. 公会长已进入场次 S-1001 的直播场次详情
2. 场次 S-1001 数据已按用例备注来源准备</x:v>
      </x:c>
      <x:c r="J148" s="5" t="str">
        <x:v>1. 查看场次详情区域</x:v>
      </x:c>
      <x:c r="K148" s="5" t="str">
        <x:v>1. 送礼观众显示 120</x:v>
      </x:c>
      <x:c r="L148" s="5" t="str"/>
      <x:c r="M148" s="5" t="str">
        <x:v>未测</x:v>
      </x:c>
      <x:c r="N148" s="5" t="str"/>
      <x:c r="O148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49" ht="121.5" customHeight="1">
      <x:c r="A149" s="5" t="n">
        <x:v>148</x:v>
      </x:c>
      <x:c r="B149" s="5" t="str">
        <x:v>GDE-148</x:v>
      </x:c>
      <x:c r="C149" s="5" t="str">
        <x:v>公会App-数据与收益模块</x:v>
      </x:c>
      <x:c r="D149" s="5" t="str">
        <x:v>直播记录/直播场次详情</x:v>
      </x:c>
      <x:c r="E149" s="5" t="str">
        <x:v>功能需求</x:v>
      </x:c>
      <x:c r="F149" s="5" t="str">
        <x:v>P1</x:v>
      </x:c>
      <x:c r="G149" s="5" t="str">
        <x:v>验证直播场次详情的礼物数量</x:v>
      </x:c>
      <x:c r="H149" s="5" t="str">
        <x:v>礼物数量展示</x:v>
      </x:c>
      <x:c r="I149" s="5" t="str">
        <x:v>1. 公会长已进入场次 S-1001 的直播场次详情
2. 场次 S-1001 数据已按用例备注来源准备</x:v>
      </x:c>
      <x:c r="J149" s="5" t="str">
        <x:v>1. 查看场次详情区域</x:v>
      </x:c>
      <x:c r="K149" s="5" t="str">
        <x:v>1. 礼物数量显示 369</x:v>
      </x:c>
      <x:c r="L149" s="5" t="str"/>
      <x:c r="M149" s="5" t="str">
        <x:v>未测</x:v>
      </x:c>
      <x:c r="N149" s="5" t="str"/>
      <x:c r="O149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0" ht="121.5" customHeight="1">
      <x:c r="A150" s="5" t="n">
        <x:v>149</x:v>
      </x:c>
      <x:c r="B150" s="5" t="str">
        <x:v>GDE-149</x:v>
      </x:c>
      <x:c r="C150" s="5" t="str">
        <x:v>公会App-数据与收益模块</x:v>
      </x:c>
      <x:c r="D150" s="5" t="str">
        <x:v>直播记录/直播场次详情</x:v>
      </x:c>
      <x:c r="E150" s="5" t="str">
        <x:v>功能需求</x:v>
      </x:c>
      <x:c r="F150" s="5" t="str">
        <x:v>P1</x:v>
      </x:c>
      <x:c r="G150" s="5" t="str">
        <x:v>验证直播场次详情的礼物收益</x:v>
      </x:c>
      <x:c r="H150" s="5" t="str">
        <x:v>礼物收益展示</x:v>
      </x:c>
      <x:c r="I150" s="5" t="str">
        <x:v>1. 公会长已进入场次 S-1001 的直播场次详情
2. 场次 S-1001 数据已按用例备注来源准备</x:v>
      </x:c>
      <x:c r="J150" s="5" t="str">
        <x:v>1. 查看场次详情区域</x:v>
      </x:c>
      <x:c r="K150" s="5" t="str">
        <x:v>1. 礼物收益显示 16,967 金币</x:v>
      </x:c>
      <x:c r="L150" s="5" t="str"/>
      <x:c r="M150" s="5" t="str">
        <x:v>未测</x:v>
      </x:c>
      <x:c r="N150" s="5" t="str"/>
      <x:c r="O150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1" ht="121.5" customHeight="1">
      <x:c r="A151" s="5" t="n">
        <x:v>150</x:v>
      </x:c>
      <x:c r="B151" s="5" t="str">
        <x:v>GDE-150</x:v>
      </x:c>
      <x:c r="C151" s="5" t="str">
        <x:v>公会App-数据与收益模块</x:v>
      </x:c>
      <x:c r="D151" s="5" t="str">
        <x:v>直播记录/送礼列表</x:v>
      </x:c>
      <x:c r="E151" s="5" t="str">
        <x:v>功能需求</x:v>
      </x:c>
      <x:c r="F151" s="5" t="str">
        <x:v>P1</x:v>
      </x:c>
      <x:c r="G151" s="5" t="str">
        <x:v>验证送礼列表的赠送时间</x:v>
      </x:c>
      <x:c r="H151" s="5" t="str">
        <x:v>送礼列表赠送时间</x:v>
      </x:c>
      <x:c r="I151" s="5" t="str">
        <x:v>1. 场次 S-1001 存在一条 Rose 送礼记录
2. 该记录数据已按用例备注来源准备</x:v>
      </x:c>
      <x:c r="J151" s="5" t="str">
        <x:v>1. 进入场次 S-1001 的直播场次详情
2. 查看 Rose 送礼记录</x:v>
      </x:c>
      <x:c r="K151" s="5" t="str">
        <x:v>1. 送礼记录显示赠送时间“15/8/2026 19.25”</x:v>
      </x:c>
      <x:c r="L151" s="5" t="str"/>
      <x:c r="M151" s="5" t="str">
        <x:v>未测</x:v>
      </x:c>
      <x:c r="N151" s="5" t="str"/>
      <x:c r="O151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2" ht="121.5" customHeight="1">
      <x:c r="A152" s="5" t="n">
        <x:v>151</x:v>
      </x:c>
      <x:c r="B152" s="5" t="str">
        <x:v>GDE-151</x:v>
      </x:c>
      <x:c r="C152" s="5" t="str">
        <x:v>公会App-数据与收益模块</x:v>
      </x:c>
      <x:c r="D152" s="5" t="str">
        <x:v>直播记录/送礼列表</x:v>
      </x:c>
      <x:c r="E152" s="5" t="str">
        <x:v>功能需求</x:v>
      </x:c>
      <x:c r="F152" s="5" t="str">
        <x:v>P1</x:v>
      </x:c>
      <x:c r="G152" s="5" t="str">
        <x:v>验证送礼列表的礼物名称</x:v>
      </x:c>
      <x:c r="H152" s="5" t="str">
        <x:v>送礼列表礼物名称</x:v>
      </x:c>
      <x:c r="I152" s="5" t="str">
        <x:v>1. 场次 S-1001 存在一条 Rose 送礼记录
2. 该记录数据已按用例备注来源准备</x:v>
      </x:c>
      <x:c r="J152" s="5" t="str">
        <x:v>1. 进入场次 S-1001 的直播场次详情
2. 查看 Rose 送礼记录</x:v>
      </x:c>
      <x:c r="K152" s="5" t="str">
        <x:v>1. 送礼记录显示礼物名称“Rose”</x:v>
      </x:c>
      <x:c r="L152" s="5" t="str"/>
      <x:c r="M152" s="5" t="str">
        <x:v>未测</x:v>
      </x:c>
      <x:c r="N152" s="5" t="str"/>
      <x:c r="O152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3" ht="121.5" customHeight="1">
      <x:c r="A153" s="5" t="n">
        <x:v>152</x:v>
      </x:c>
      <x:c r="B153" s="5" t="str">
        <x:v>GDE-152</x:v>
      </x:c>
      <x:c r="C153" s="5" t="str">
        <x:v>公会App-数据与收益模块</x:v>
      </x:c>
      <x:c r="D153" s="5" t="str">
        <x:v>直播记录/送礼列表</x:v>
      </x:c>
      <x:c r="E153" s="5" t="str">
        <x:v>功能需求</x:v>
      </x:c>
      <x:c r="F153" s="5" t="str">
        <x:v>P1</x:v>
      </x:c>
      <x:c r="G153" s="5" t="str">
        <x:v>验证送礼列表的金币</x:v>
      </x:c>
      <x:c r="H153" s="5" t="str">
        <x:v>送礼列表金币</x:v>
      </x:c>
      <x:c r="I153" s="5" t="str">
        <x:v>1. 场次 S-1001 存在一条 Rose 送礼记录
2. 该记录数据已按用例备注来源准备</x:v>
      </x:c>
      <x:c r="J153" s="5" t="str">
        <x:v>1. 进入场次 S-1001 的直播场次详情
2. 查看 Rose 送礼记录</x:v>
      </x:c>
      <x:c r="K153" s="5" t="str">
        <x:v>1. 送礼记录显示 300 金币</x:v>
      </x:c>
      <x:c r="L153" s="5" t="str"/>
      <x:c r="M153" s="5" t="str">
        <x:v>未测</x:v>
      </x:c>
      <x:c r="N153" s="5" t="str"/>
      <x:c r="O153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4" ht="109.5" customHeight="1">
      <x:c r="A154" s="5" t="n">
        <x:v>153</x:v>
      </x:c>
      <x:c r="B154" s="5" t="str">
        <x:v>GDE-153</x:v>
      </x:c>
      <x:c r="C154" s="5" t="str">
        <x:v>公会App-数据与收益模块</x:v>
      </x:c>
      <x:c r="D154" s="5" t="str">
        <x:v>直播记录/送礼详情</x:v>
      </x:c>
      <x:c r="E154" s="5" t="str">
        <x:v>功能需求</x:v>
      </x:c>
      <x:c r="F154" s="5" t="str">
        <x:v>P1</x:v>
      </x:c>
      <x:c r="G154" s="5" t="str">
        <x:v>验证打开送礼详情</x:v>
      </x:c>
      <x:c r="H154" s="5" t="str">
        <x:v>送礼详情入口</x:v>
      </x:c>
      <x:c r="I154" s="5" t="str">
        <x:v>1. 直播场次详情存在一条 Rose 送礼记录</x:v>
      </x:c>
      <x:c r="J154" s="5" t="str">
        <x:v>1. 点击 Rose 送礼记录</x:v>
      </x:c>
      <x:c r="K154" s="5" t="str">
        <x:v>1. 页面打开标题为“送礼详情”的详情面板</x:v>
      </x:c>
      <x:c r="L154" s="5" t="str"/>
      <x:c r="M154" s="5" t="str">
        <x:v>未测</x:v>
      </x:c>
      <x:c r="N154" s="5" t="str"/>
      <x:c r="O154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55" ht="121.5" customHeight="1">
      <x:c r="A155" s="5" t="n">
        <x:v>154</x:v>
      </x:c>
      <x:c r="B155" s="5" t="str">
        <x:v>GDE-154</x:v>
      </x:c>
      <x:c r="C155" s="5" t="str">
        <x:v>公会App-数据与收益模块</x:v>
      </x:c>
      <x:c r="D155" s="5" t="str">
        <x:v>直播记录/送礼详情</x:v>
      </x:c>
      <x:c r="E155" s="5" t="str">
        <x:v>功能需求</x:v>
      </x:c>
      <x:c r="F155" s="5" t="str">
        <x:v>P1</x:v>
      </x:c>
      <x:c r="G155" s="5" t="str">
        <x:v>验证送礼详情的赠送时间</x:v>
      </x:c>
      <x:c r="H155" s="5" t="str">
        <x:v>送礼详情赠送时间</x:v>
      </x:c>
      <x:c r="I155" s="5" t="str">
        <x:v>1. 送礼详情面板已打开
2. Rose 送礼记录数据已按用例备注来源准备</x:v>
      </x:c>
      <x:c r="J155" s="5" t="str">
        <x:v>1. 查看送礼详情</x:v>
      </x:c>
      <x:c r="K155" s="5" t="str">
        <x:v>1. 赠送时间显示“15/8/2026 19.25”</x:v>
      </x:c>
      <x:c r="L155" s="5" t="str"/>
      <x:c r="M155" s="5" t="str">
        <x:v>未测</x:v>
      </x:c>
      <x:c r="N155" s="5" t="str"/>
      <x:c r="O155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6" ht="121.5" customHeight="1">
      <x:c r="A156" s="5" t="n">
        <x:v>155</x:v>
      </x:c>
      <x:c r="B156" s="5" t="str">
        <x:v>GDE-155</x:v>
      </x:c>
      <x:c r="C156" s="5" t="str">
        <x:v>公会App-数据与收益模块</x:v>
      </x:c>
      <x:c r="D156" s="5" t="str">
        <x:v>直播记录/送礼详情</x:v>
      </x:c>
      <x:c r="E156" s="5" t="str">
        <x:v>功能需求</x:v>
      </x:c>
      <x:c r="F156" s="5" t="str">
        <x:v>P1</x:v>
      </x:c>
      <x:c r="G156" s="5" t="str">
        <x:v>验证送礼详情的礼物名称</x:v>
      </x:c>
      <x:c r="H156" s="5" t="str">
        <x:v>送礼详情礼物名称</x:v>
      </x:c>
      <x:c r="I156" s="5" t="str">
        <x:v>1. 送礼详情面板已打开
2. Rose 送礼记录数据已按用例备注来源准备</x:v>
      </x:c>
      <x:c r="J156" s="5" t="str">
        <x:v>1. 查看送礼详情</x:v>
      </x:c>
      <x:c r="K156" s="5" t="str">
        <x:v>1. 礼物名称显示“Rose”</x:v>
      </x:c>
      <x:c r="L156" s="5" t="str"/>
      <x:c r="M156" s="5" t="str">
        <x:v>未测</x:v>
      </x:c>
      <x:c r="N156" s="5" t="str"/>
      <x:c r="O156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7" ht="121.5" customHeight="1">
      <x:c r="A157" s="5" t="n">
        <x:v>156</x:v>
      </x:c>
      <x:c r="B157" s="5" t="str">
        <x:v>GDE-156</x:v>
      </x:c>
      <x:c r="C157" s="5" t="str">
        <x:v>公会App-数据与收益模块</x:v>
      </x:c>
      <x:c r="D157" s="5" t="str">
        <x:v>直播记录/送礼详情</x:v>
      </x:c>
      <x:c r="E157" s="5" t="str">
        <x:v>功能需求</x:v>
      </x:c>
      <x:c r="F157" s="5" t="str">
        <x:v>P1</x:v>
      </x:c>
      <x:c r="G157" s="5" t="str">
        <x:v>验证送礼详情的消费金币</x:v>
      </x:c>
      <x:c r="H157" s="5" t="str">
        <x:v>送礼详情消费金币</x:v>
      </x:c>
      <x:c r="I157" s="5" t="str">
        <x:v>1. 送礼详情面板已打开
2. Rose 送礼记录数据已按用例备注来源准备</x:v>
      </x:c>
      <x:c r="J157" s="5" t="str">
        <x:v>1. 查看送礼详情</x:v>
      </x:c>
      <x:c r="K157" s="5" t="str">
        <x:v>1. 消费金币显示 300</x:v>
      </x:c>
      <x:c r="L157" s="5" t="str"/>
      <x:c r="M157" s="5" t="str">
        <x:v>未测</x:v>
      </x:c>
      <x:c r="N157" s="5" t="str"/>
      <x:c r="O157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8" ht="121.5" customHeight="1">
      <x:c r="A158" s="5" t="n">
        <x:v>157</x:v>
      </x:c>
      <x:c r="B158" s="5" t="str">
        <x:v>GDE-157</x:v>
      </x:c>
      <x:c r="C158" s="5" t="str">
        <x:v>公会App-数据与收益模块</x:v>
      </x:c>
      <x:c r="D158" s="5" t="str">
        <x:v>直播记录/送礼详情</x:v>
      </x:c>
      <x:c r="E158" s="5" t="str">
        <x:v>功能需求</x:v>
      </x:c>
      <x:c r="F158" s="5" t="str">
        <x:v>P1</x:v>
      </x:c>
      <x:c r="G158" s="5" t="str">
        <x:v>验证送礼详情的礼物单价</x:v>
      </x:c>
      <x:c r="H158" s="5" t="str">
        <x:v>送礼详情礼物单价</x:v>
      </x:c>
      <x:c r="I158" s="5" t="str">
        <x:v>1. 送礼详情面板已打开
2. Rose 送礼记录数据已按用例备注来源准备</x:v>
      </x:c>
      <x:c r="J158" s="5" t="str">
        <x:v>1. 查看送礼详情</x:v>
      </x:c>
      <x:c r="K158" s="5" t="str">
        <x:v>1. 礼物单价显示 100</x:v>
      </x:c>
      <x:c r="L158" s="5" t="str"/>
      <x:c r="M158" s="5" t="str">
        <x:v>未测</x:v>
      </x:c>
      <x:c r="N158" s="5" t="str"/>
      <x:c r="O158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59" ht="121.5" customHeight="1">
      <x:c r="A159" s="5" t="n">
        <x:v>158</x:v>
      </x:c>
      <x:c r="B159" s="5" t="str">
        <x:v>GDE-158</x:v>
      </x:c>
      <x:c r="C159" s="5" t="str">
        <x:v>公会App-数据与收益模块</x:v>
      </x:c>
      <x:c r="D159" s="5" t="str">
        <x:v>直播记录/送礼详情</x:v>
      </x:c>
      <x:c r="E159" s="5" t="str">
        <x:v>功能需求</x:v>
      </x:c>
      <x:c r="F159" s="5" t="str">
        <x:v>P1</x:v>
      </x:c>
      <x:c r="G159" s="5" t="str">
        <x:v>验证送礼详情的礼物类型</x:v>
      </x:c>
      <x:c r="H159" s="5" t="str">
        <x:v>送礼详情礼物类型</x:v>
      </x:c>
      <x:c r="I159" s="5" t="str">
        <x:v>1. 送礼详情面板已打开
2. Rose 送礼记录数据已按用例备注来源准备</x:v>
      </x:c>
      <x:c r="J159" s="5" t="str">
        <x:v>1. 查看送礼详情</x:v>
      </x:c>
      <x:c r="K159" s="5" t="str">
        <x:v>1. 礼物类型显示“普通礼物”</x:v>
      </x:c>
      <x:c r="L159" s="5" t="str"/>
      <x:c r="M159" s="5" t="str">
        <x:v>未测</x:v>
      </x:c>
      <x:c r="N159" s="5" t="str"/>
      <x:c r="O159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60" ht="121.5" customHeight="1">
      <x:c r="A160" s="5" t="n">
        <x:v>159</x:v>
      </x:c>
      <x:c r="B160" s="5" t="str">
        <x:v>GDE-159</x:v>
      </x:c>
      <x:c r="C160" s="5" t="str">
        <x:v>公会App-数据与收益模块</x:v>
      </x:c>
      <x:c r="D160" s="5" t="str">
        <x:v>直播记录/送礼详情</x:v>
      </x:c>
      <x:c r="E160" s="5" t="str">
        <x:v>功能需求</x:v>
      </x:c>
      <x:c r="F160" s="5" t="str">
        <x:v>P1</x:v>
      </x:c>
      <x:c r="G160" s="5" t="str">
        <x:v>验证送礼详情的赠送数量</x:v>
      </x:c>
      <x:c r="H160" s="5" t="str">
        <x:v>送礼详情赠送数量</x:v>
      </x:c>
      <x:c r="I160" s="5" t="str">
        <x:v>1. 送礼详情面板已打开
2. Rose 送礼记录数据已按用例备注来源准备</x:v>
      </x:c>
      <x:c r="J160" s="5" t="str">
        <x:v>1. 查看送礼详情</x:v>
      </x:c>
      <x:c r="K160" s="5" t="str">
        <x:v>1. 赠送数量显示 3</x:v>
      </x:c>
      <x:c r="L160" s="5" t="str"/>
      <x:c r="M160" s="5" t="str">
        <x:v>未测</x:v>
      </x:c>
      <x:c r="N160" s="5" t="str"/>
      <x:c r="O160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61" ht="121.5" customHeight="1">
      <x:c r="A161" s="5" t="n">
        <x:v>160</x:v>
      </x:c>
      <x:c r="B161" s="5" t="str">
        <x:v>GDE-160</x:v>
      </x:c>
      <x:c r="C161" s="5" t="str">
        <x:v>公会App-数据与收益模块</x:v>
      </x:c>
      <x:c r="D161" s="5" t="str">
        <x:v>直播记录/送礼详情</x:v>
      </x:c>
      <x:c r="E161" s="5" t="str">
        <x:v>功能需求</x:v>
      </x:c>
      <x:c r="F161" s="5" t="str">
        <x:v>P1</x:v>
      </x:c>
      <x:c r="G161" s="5" t="str">
        <x:v>验证送礼详情的用户名称</x:v>
      </x:c>
      <x:c r="H161" s="5" t="str">
        <x:v>送礼详情用户名称</x:v>
      </x:c>
      <x:c r="I161" s="5" t="str">
        <x:v>1. 送礼详情面板已打开
2. Rose 送礼记录数据已按用例备注来源准备</x:v>
      </x:c>
      <x:c r="J161" s="5" t="str">
        <x:v>1. 查看送礼详情</x:v>
      </x:c>
      <x:c r="K161" s="5" t="str">
        <x:v>1. 用户名称显示“Dewi”</x:v>
      </x:c>
      <x:c r="L161" s="5" t="str"/>
      <x:c r="M161" s="5" t="str">
        <x:v>未测</x:v>
      </x:c>
      <x:c r="N161" s="5" t="str"/>
      <x:c r="O161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62" ht="121.5" customHeight="1">
      <x:c r="A162" s="5" t="n">
        <x:v>161</x:v>
      </x:c>
      <x:c r="B162" s="5" t="str">
        <x:v>GDE-161</x:v>
      </x:c>
      <x:c r="C162" s="5" t="str">
        <x:v>公会App-数据与收益模块</x:v>
      </x:c>
      <x:c r="D162" s="5" t="str">
        <x:v>直播记录/送礼详情</x:v>
      </x:c>
      <x:c r="E162" s="5" t="str">
        <x:v>功能需求</x:v>
      </x:c>
      <x:c r="F162" s="5" t="str">
        <x:v>P1</x:v>
      </x:c>
      <x:c r="G162" s="5" t="str">
        <x:v>验证送礼详情的用户 ID</x:v>
      </x:c>
      <x:c r="H162" s="5" t="str">
        <x:v>送礼详情用户 ID</x:v>
      </x:c>
      <x:c r="I162" s="5" t="str">
        <x:v>1. 送礼详情面板已打开
2. Rose 送礼记录数据已按用例备注来源准备</x:v>
      </x:c>
      <x:c r="J162" s="5" t="str">
        <x:v>1. 查看送礼详情</x:v>
      </x:c>
      <x:c r="K162" s="5" t="str">
        <x:v>1. 用户 ID 显示“U900001”</x:v>
      </x:c>
      <x:c r="L162" s="5" t="str"/>
      <x:c r="M162" s="5" t="str">
        <x:v>未测</x:v>
      </x:c>
      <x:c r="N162" s="5" t="str"/>
      <x:c r="O162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63" ht="85.5" customHeight="1">
      <x:c r="A163" s="5" t="n">
        <x:v>162</x:v>
      </x:c>
      <x:c r="B163" s="5" t="str">
        <x:v>GDE-162</x:v>
      </x:c>
      <x:c r="C163" s="5" t="str">
        <x:v>公会App-数据与收益模块</x:v>
      </x:c>
      <x:c r="D163" s="5" t="str">
        <x:v>直播记录/送礼详情</x:v>
      </x:c>
      <x:c r="E163" s="5" t="str">
        <x:v>功能需求</x:v>
      </x:c>
      <x:c r="F163" s="5" t="str">
        <x:v>P2</x:v>
      </x:c>
      <x:c r="G163" s="5" t="str">
        <x:v>验证使用关闭按钮关闭送礼详情</x:v>
      </x:c>
      <x:c r="H163" s="5" t="str">
        <x:v>关闭按钮关闭详情</x:v>
      </x:c>
      <x:c r="I163" s="5" t="str">
        <x:v>1. 送礼详情面板已打开</x:v>
      </x:c>
      <x:c r="J163" s="5" t="str">
        <x:v>1. 点击送礼详情右上角关闭按钮</x:v>
      </x:c>
      <x:c r="K163" s="5" t="str">
        <x:v>1. 送礼详情面板关闭</x:v>
      </x:c>
      <x:c r="L163" s="5" t="str"/>
      <x:c r="M163" s="5" t="str">
        <x:v>未测</x:v>
      </x:c>
      <x:c r="N163" s="5" t="str"/>
      <x:c r="O163" s="5" t="str">
        <x:v>1. 来源：prototype/pages/guild/data/guild-live-gift-detail.html；未连接真实后端动态验证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64" ht="85.5" customHeight="1">
      <x:c r="A164" s="5" t="n">
        <x:v>163</x:v>
      </x:c>
      <x:c r="B164" s="5" t="str">
        <x:v>GDE-163</x:v>
      </x:c>
      <x:c r="C164" s="5" t="str">
        <x:v>公会App-数据与收益模块</x:v>
      </x:c>
      <x:c r="D164" s="5" t="str">
        <x:v>直播记录/送礼详情</x:v>
      </x:c>
      <x:c r="E164" s="5" t="str">
        <x:v>功能需求</x:v>
      </x:c>
      <x:c r="F164" s="5" t="str">
        <x:v>P2</x:v>
      </x:c>
      <x:c r="G164" s="5" t="str">
        <x:v>验证使用遮罩关闭送礼详情</x:v>
      </x:c>
      <x:c r="H164" s="5" t="str">
        <x:v>遮罩关闭详情</x:v>
      </x:c>
      <x:c r="I164" s="5" t="str">
        <x:v>1. 送礼详情面板已打开</x:v>
      </x:c>
      <x:c r="J164" s="5" t="str">
        <x:v>1. 点击送礼详情外的遮罩区域</x:v>
      </x:c>
      <x:c r="K164" s="5" t="str">
        <x:v>1. 送礼详情面板关闭</x:v>
      </x:c>
      <x:c r="L164" s="5" t="str"/>
      <x:c r="M164" s="5" t="str">
        <x:v>未测</x:v>
      </x:c>
      <x:c r="N164" s="5" t="str"/>
      <x:c r="O164" s="5" t="str">
        <x:v>1. 来源：prototype/pages/guild/data/guild-live-gift-detail.html；未连接真实后端动态验证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65" ht="85.5" customHeight="1">
      <x:c r="A165" s="5" t="n">
        <x:v>164</x:v>
      </x:c>
      <x:c r="B165" s="5" t="str">
        <x:v>GDE-164</x:v>
      </x:c>
      <x:c r="C165" s="5" t="str">
        <x:v>公会App-数据与收益模块</x:v>
      </x:c>
      <x:c r="D165" s="5" t="str">
        <x:v>直播记录/送礼详情</x:v>
      </x:c>
      <x:c r="E165" s="5" t="str">
        <x:v>功能需求</x:v>
      </x:c>
      <x:c r="F165" s="5" t="str">
        <x:v>P2</x:v>
      </x:c>
      <x:c r="G165" s="5" t="str">
        <x:v>验证使用Escape关闭送礼详情</x:v>
      </x:c>
      <x:c r="H165" s="5" t="str">
        <x:v>Escape关闭详情</x:v>
      </x:c>
      <x:c r="I165" s="5" t="str">
        <x:v>1. 送礼详情面板已打开</x:v>
      </x:c>
      <x:c r="J165" s="5" t="str">
        <x:v>1. 按 Escape 键</x:v>
      </x:c>
      <x:c r="K165" s="5" t="str">
        <x:v>1. 送礼详情面板关闭</x:v>
      </x:c>
      <x:c r="L165" s="5" t="str"/>
      <x:c r="M165" s="5" t="str">
        <x:v>未测</x:v>
      </x:c>
      <x:c r="N165" s="5" t="str"/>
      <x:c r="O165" s="5" t="str">
        <x:v>1. 来源：prototype/pages/guild/data/guild-live-gift-detail.html；未连接真实后端动态验证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66" ht="109.5" customHeight="1">
      <x:c r="A166" s="5" t="n">
        <x:v>165</x:v>
      </x:c>
      <x:c r="B166" s="5" t="str">
        <x:v>GDE-165</x:v>
      </x:c>
      <x:c r="C166" s="5" t="str">
        <x:v>公会App-数据与收益模块</x:v>
      </x:c>
      <x:c r="D166" s="5" t="str">
        <x:v>直播记录/送礼详情</x:v>
      </x:c>
      <x:c r="E166" s="5" t="str">
        <x:v>逻辑校验</x:v>
      </x:c>
      <x:c r="F166" s="5" t="str">
        <x:v>P1</x:v>
      </x:c>
      <x:c r="G166" s="5" t="str">
        <x:v>验证礼物消费金币计算</x:v>
      </x:c>
      <x:c r="H166" s="5" t="str">
        <x:v>礼物消费金额</x:v>
      </x:c>
      <x:c r="I166" s="5" t="str">
        <x:v>1. Rose 礼物单价为 100 金币
2. 本次赠送数量为 3</x:v>
      </x:c>
      <x:c r="J166" s="5" t="str">
        <x:v>1. 打开 Rose 送礼详情
2. 查看消费金币</x:v>
      </x:c>
      <x:c r="K166" s="5" t="str">
        <x:v>1. 消费金币 = 100 × 3 = 300</x:v>
      </x:c>
      <x:c r="L166" s="5" t="str"/>
      <x:c r="M166" s="5" t="str">
        <x:v>未测</x:v>
      </x:c>
      <x:c r="N166" s="5" t="str"/>
      <x:c r="O166" s="5" t="str">
        <x:v>1. 来源：prototype/assets/annotations.js 的公会直播记录、场次详情和主播多选批注
2. 来源：prototype/pages/guild/data/guild-live-gift-detail.html；未连接真实后端动态验证
3. 来源：prototype/assets/guild-data-model.js 的公会主播、日期、场次和送礼数据结构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67" ht="121.5" customHeight="1">
      <x:c r="A167" s="5" t="n">
        <x:v>166</x:v>
      </x:c>
      <x:c r="B167" s="5" t="str">
        <x:v>GDE-166</x:v>
      </x:c>
      <x:c r="C167" s="5" t="str">
        <x:v>公会App-数据与收益模块</x:v>
      </x:c>
      <x:c r="D167" s="5" t="str">
        <x:v>直播记录/直播场次详情</x:v>
      </x:c>
      <x:c r="E167" s="5" t="str">
        <x:v>逻辑校验</x:v>
      </x:c>
      <x:c r="F167" s="5" t="str">
        <x:v>P1</x:v>
      </x:c>
      <x:c r="G167" s="5" t="str">
        <x:v>验证送礼列表金额与场次收益一致</x:v>
      </x:c>
      <x:c r="H167" s="5" t="str">
        <x:v>场次礼物收益对账</x:v>
      </x:c>
      <x:c r="I167" s="5" t="str">
        <x:v>1. 场次 S-1002 仅有 Rose 300 金币和 Crown 500 金币两条送礼记录
2. 场次收益定义为本场礼物金币收益总和</x:v>
      </x:c>
      <x:c r="J167" s="5" t="str">
        <x:v>1. 进入场次 S-1002 的直播场次详情
2. 查看礼物收益</x:v>
      </x:c>
      <x:c r="K167" s="5" t="str">
        <x:v>1. 礼物收益 = 300 + 500 = 800</x:v>
      </x:c>
      <x:c r="L167" s="5" t="str"/>
      <x:c r="M167" s="5" t="str">
        <x:v>未测</x:v>
      </x:c>
      <x:c r="N167" s="5" t="str"/>
      <x:c r="O167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68" ht="121.5" customHeight="1">
      <x:c r="A168" s="5" t="n">
        <x:v>167</x:v>
      </x:c>
      <x:c r="B168" s="5" t="str">
        <x:v>GDE-167</x:v>
      </x:c>
      <x:c r="C168" s="5" t="str">
        <x:v>公会App-数据与收益模块</x:v>
      </x:c>
      <x:c r="D168" s="5" t="str">
        <x:v>直播记录/直播场次详情</x:v>
      </x:c>
      <x:c r="E168" s="5" t="str">
        <x:v>逻辑校验</x:v>
      </x:c>
      <x:c r="F168" s="5" t="str">
        <x:v>P1</x:v>
      </x:c>
      <x:c r="G168" s="5" t="str">
        <x:v>验证返回后保留主播筛选</x:v>
      </x:c>
      <x:c r="H168" s="5" t="str">
        <x:v>返回保留主播条件</x:v>
      </x:c>
      <x:c r="I168" s="5" t="str">
        <x:v>1. 直播记录当前仅选择主播 Sari
2. 已从 Sari 的场次进入直播场次详情</x:v>
      </x:c>
      <x:c r="J168" s="5" t="str">
        <x:v>1. 点击页面左上角返回按钮</x:v>
      </x:c>
      <x:c r="K168" s="5" t="str">
        <x:v>1. 直播记录的主播筛选仍显示 Sari、H102938 和已选 1 人</x:v>
      </x:c>
      <x:c r="L168" s="5" t="str"/>
      <x:c r="M168" s="5" t="str">
        <x:v>未测</x:v>
      </x:c>
      <x:c r="N168" s="5" t="str"/>
      <x:c r="O168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69" ht="121.5" customHeight="1">
      <x:c r="A169" s="5" t="n">
        <x:v>168</x:v>
      </x:c>
      <x:c r="B169" s="5" t="str">
        <x:v>GDE-168</x:v>
      </x:c>
      <x:c r="C169" s="5" t="str">
        <x:v>公会App-数据与收益模块</x:v>
      </x:c>
      <x:c r="D169" s="5" t="str">
        <x:v>直播记录/直播场次详情</x:v>
      </x:c>
      <x:c r="E169" s="5" t="str">
        <x:v>逻辑校验</x:v>
      </x:c>
      <x:c r="F169" s="5" t="str">
        <x:v>P1</x:v>
      </x:c>
      <x:c r="G169" s="5" t="str">
        <x:v>验证返回后保留日期筛选</x:v>
      </x:c>
      <x:c r="H169" s="5" t="str">
        <x:v>返回保留日期条件</x:v>
      </x:c>
      <x:c r="I169" s="5" t="str">
        <x:v>1. 直播记录日期范围为 10/8/2026～15/8/2026
2. 已从该范围内场次进入直播场次详情</x:v>
      </x:c>
      <x:c r="J169" s="5" t="str">
        <x:v>1. 点击页面左上角返回按钮</x:v>
      </x:c>
      <x:c r="K169" s="5" t="str">
        <x:v>1. 直播记录的日期范围仍显示 10/8/2026～15/8/2026</x:v>
      </x:c>
      <x:c r="L169" s="5" t="str"/>
      <x:c r="M169" s="5" t="str">
        <x:v>未测</x:v>
      </x:c>
      <x:c r="N169" s="5" t="str"/>
      <x:c r="O169" s="5" t="str">
        <x:v>1. 来源：context/02-公会App-项目需求清单.md（2026-08-31 按原型同步，RSL-0004）
2. 来源：prototype/assets/annotations.js 的公会直播记录、场次详情和主播多选批注
3. 来源：prototype/pages/guild/data/guild-live-gift-detail.html；未连接真实后端动态验证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70" ht="126" customHeight="1">
      <x:c r="A170" s="5" t="n">
        <x:v>169</x:v>
      </x:c>
      <x:c r="B170" s="5" t="str">
        <x:v>GDE-169</x:v>
      </x:c>
      <x:c r="C170" s="5" t="str">
        <x:v>公会App-数据与收益模块</x:v>
      </x:c>
      <x:c r="D170" s="5" t="str">
        <x:v>直播记录/全部直播记录</x:v>
      </x:c>
      <x:c r="E170" s="5" t="str">
        <x:v>逻辑校验</x:v>
      </x:c>
      <x:c r="F170" s="5" t="str">
        <x:v>P1</x:v>
      </x:c>
      <x:c r="G170" s="5" t="str">
        <x:v>验证全部直播记录按主播汇总直播次数</x:v>
      </x:c>
      <x:c r="H170" s="5" t="str">
        <x:v>主播直播次数汇总</x:v>
      </x:c>
      <x:c r="I170" s="5" t="str">
        <x:v>1. 测试范围内主播 Sari 有 2 场直播
2. 测试范围内主播 Dewi 有 1 场直播</x:v>
      </x:c>
      <x:c r="J170" s="5" t="str">
        <x:v>1. 进入全部直播记录页
2. 查看主播 Sari 的汇总行</x:v>
      </x:c>
      <x:c r="K170" s="5" t="str">
        <x:v>1. 主播 Sari 的直播次数 = 2</x:v>
      </x:c>
      <x:c r="L170" s="5" t="str"/>
      <x:c r="M170" s="5" t="str">
        <x:v>未测</x:v>
      </x:c>
      <x:c r="N170" s="5" t="str"/>
      <x:c r="O170" s="5" t="str">
        <x:v>1. 来源：context/02-公会App-项目需求清单.md（2026-08-31 按原型同步，RSL-0004）
2. 来源：prototype/assets/annotations.js 的公会直播记录、场次详情和主播多选批注
3. 来源：prototype/pages/guild/data/guild-all-live.html 与 prototype/assets/guild-record-overviews.js；未连接真实后端动态验证
4. 来源：prototype/assets/guild-data-model.js 的公会主播、日期、场次和送礼数据结构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71" ht="121.5" customHeight="1">
      <x:c r="A171" s="5" t="n">
        <x:v>170</x:v>
      </x:c>
      <x:c r="B171" s="5" t="str">
        <x:v>GDE-170</x:v>
      </x:c>
      <x:c r="C171" s="5" t="str">
        <x:v>公会App-数据与收益模块</x:v>
      </x:c>
      <x:c r="D171" s="5" t="str">
        <x:v>直播记录/全部直播记录</x:v>
      </x:c>
      <x:c r="E171" s="5" t="str">
        <x:v>逻辑校验</x:v>
      </x:c>
      <x:c r="F171" s="5" t="str">
        <x:v>P1</x:v>
      </x:c>
      <x:c r="G171" s="5" t="str">
        <x:v>验证全部直播记录按主播汇总有效天</x:v>
      </x:c>
      <x:c r="H171" s="5" t="str">
        <x:v>主播有效天汇总</x:v>
      </x:c>
      <x:c r="I171" s="5" t="str">
        <x:v>1. 有效天定义为主播所属自然日累计直播时长不少于 180 分钟
2. 主播 Sari 在测试范围内有 1 天时长 206 分钟和 1 天时长 178 分钟</x:v>
      </x:c>
      <x:c r="J171" s="5" t="str">
        <x:v>1. 进入全部直播记录页
2. 查看主播 Sari 的有效天</x:v>
      </x:c>
      <x:c r="K171" s="5" t="str">
        <x:v>1. 主播 Sari 的有效天 = 1</x:v>
      </x:c>
      <x:c r="L171" s="5" t="str"/>
      <x:c r="M171" s="5" t="str">
        <x:v>未测</x:v>
      </x:c>
      <x:c r="N171" s="5" t="str"/>
      <x:c r="O171" s="5" t="str">
        <x:v>1. 来源：context/02-公会App-项目需求清单.md（2026-08-31 按原型同步，RSL-0004）
2. 来源：prototype/pages/guild/data/guild-all-live.html 与 prototype/assets/guild-record-overviews.js；未连接真实后端动态验证
3. 来源：prototype/assets/guild-data-model.js 的公会主播、日期、场次和送礼数据结构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72" ht="121.5" customHeight="1">
      <x:c r="A172" s="5" t="n">
        <x:v>171</x:v>
      </x:c>
      <x:c r="B172" s="5" t="str">
        <x:v>GDE-171</x:v>
      </x:c>
      <x:c r="C172" s="5" t="str">
        <x:v>公会App-数据与收益模块</x:v>
      </x:c>
      <x:c r="D172" s="5" t="str">
        <x:v>直播记录/全部直播记录</x:v>
      </x:c>
      <x:c r="E172" s="5" t="str">
        <x:v>逻辑校验</x:v>
      </x:c>
      <x:c r="F172" s="5" t="str">
        <x:v>P1</x:v>
      </x:c>
      <x:c r="G172" s="5" t="str">
        <x:v>验证全部直播记录按主播汇总直播时长</x:v>
      </x:c>
      <x:c r="H172" s="5" t="str">
        <x:v>主播直播时长汇总</x:v>
      </x:c>
      <x:c r="I172" s="5" t="str">
        <x:v>1. 主播 Sari 在测试范围内两天直播时长分别为 206 分钟和 178 分钟</x:v>
      </x:c>
      <x:c r="J172" s="5" t="str">
        <x:v>1. 进入全部直播记录页
2. 查看主播 Sari 的直播时长</x:v>
      </x:c>
      <x:c r="K172" s="5" t="str">
        <x:v>1. 主播 Sari 的直播时长 = 206 + 178 = 384 分钟 = 6h 24m</x:v>
      </x:c>
      <x:c r="L172" s="5" t="str"/>
      <x:c r="M172" s="5" t="str">
        <x:v>未测</x:v>
      </x:c>
      <x:c r="N172" s="5" t="str"/>
      <x:c r="O172" s="5" t="str">
        <x:v>1. 来源：context/02-公会App-项目需求清单.md（2026-08-31 按原型同步，RSL-0004）
2. 来源：prototype/pages/guild/data/guild-all-live.html 与 prototype/assets/guild-record-overviews.js；未连接真实后端动态验证
3. 来源：prototype/assets/guild-data-model.js 的公会主播、日期、场次和送礼数据结构
4. 同步追溯：work/liveshow-guild-live-records/prototype-context-sync-result.json；RSL-0004
5. 质量检查：最小前置条件、单一业务分支、单一可观察预期结果
6. 既有覆盖来源：公会App-直播记录模块-260831-001.xlsx；原历史工作簿保持不变
7. 同步追溯：work/liveshow-guild-data-income/prototype-context-sync-result.json；RSL-0005</x:v>
      </x:c>
    </x:row>
    <x:row r="173" ht="109.5" customHeight="1">
      <x:c r="A173" s="5" t="n">
        <x:v>172</x:v>
      </x:c>
      <x:c r="B173" s="5" t="str">
        <x:v>GDE-172</x:v>
      </x:c>
      <x:c r="C173" s="5" t="str">
        <x:v>公会App-数据与收益模块</x:v>
      </x:c>
      <x:c r="D173" s="5" t="str">
        <x:v>直播记录/全部直播记录</x:v>
      </x:c>
      <x:c r="E173" s="5" t="str">
        <x:v>逻辑校验</x:v>
      </x:c>
      <x:c r="F173" s="5" t="str">
        <x:v>P2</x:v>
      </x:c>
      <x:c r="G173" s="5" t="str">
        <x:v>验证无直播主播不进入汇总列表</x:v>
      </x:c>
      <x:c r="H173" s="5" t="str">
        <x:v>零场次主播过滤</x:v>
      </x:c>
      <x:c r="I173" s="5" t="str">
        <x:v>1. 主播 Maya 在测试范围内直播场次为 0
2. 主播 Sari 在测试范围内直播场次为 1</x:v>
      </x:c>
      <x:c r="J173" s="5" t="str">
        <x:v>1. 进入全部直播记录页
2. 查看主播汇总列表</x:v>
      </x:c>
      <x:c r="K173" s="5" t="str">
        <x:v>1. 主播汇总列表不包含主播 Maya</x:v>
      </x:c>
      <x:c r="L173" s="5" t="str"/>
      <x:c r="M173" s="5" t="str">
        <x:v>未测</x:v>
      </x:c>
      <x:c r="N173" s="5" t="str"/>
      <x:c r="O173" s="5" t="str">
        <x:v>1. 来源：prototype/pages/guild/data/guild-all-live.html 与 prototype/assets/guild-record-overviews.js；未连接真实后端动态验证
2. 来源：prototype/assets/guild-data-model.js 的公会主播、日期、场次和送礼数据结构
3. 同步追溯：work/liveshow-guild-live-records/prototype-context-sync-result.json；RSL-0004
4. 质量检查：最小前置条件、单一业务分支、单一可观察预期结果
5. 既有覆盖来源：公会App-直播记录模块-260831-001.xlsx；原历史工作簿保持不变
6. 同步追溯：work/liveshow-guild-data-income/prototype-context-sync-result.json；RSL-0005</x:v>
      </x:c>
    </x:row>
    <x:row r="174" ht="97.5" customHeight="1">
      <x:c r="A174" s="5" t="n">
        <x:v>173</x:v>
      </x:c>
      <x:c r="B174" s="5" t="str">
        <x:v>GDE-173</x:v>
      </x:c>
      <x:c r="C174" s="5" t="str">
        <x:v>公会App-数据与收益模块</x:v>
      </x:c>
      <x:c r="D174" s="5" t="str">
        <x:v>直播记录/全部直播记录</x:v>
      </x:c>
      <x:c r="E174" s="5" t="str">
        <x:v>逻辑校验</x:v>
      </x:c>
      <x:c r="F174" s="5" t="str">
        <x:v>P2</x:v>
      </x:c>
      <x:c r="G174" s="5" t="str">
        <x:v>验证全部直播记录的排序</x:v>
      </x:c>
      <x:c r="H174" s="5" t="str">
        <x:v>主播汇总排序</x:v>
      </x:c>
      <x:c r="I174" s="5" t="str">
        <x:v>1. 主播 A 有 3 场直播且总时长 300 分钟
2. 主播 B 有 2 场直播且总时长 500 分钟
3. 主播 C 有 2 场直播且总时长 400 分钟</x:v>
      </x:c>
      <x:c r="J174" s="5" t="str">
        <x:v>1. 进入全部直播记录页
2. 查看主播汇总顺序</x:v>
      </x:c>
      <x:c r="K174" s="5" t="str">
        <x:v>1. 主播汇总顺序从上到下为主播 A、主播 B、主播 C</x:v>
      </x:c>
      <x:c r="L174" s="5" t="str"/>
      <x:c r="M174" s="5" t="str">
        <x:v>未测</x:v>
      </x:c>
      <x:c r="N174" s="5" t="str"/>
      <x:c r="O174" s="5" t="str">
        <x:v>1. 来源：prototype/pages/guild/data/guild-all-live.html 与 prototype/assets/guild-record-overviews.js；未连接真实后端动态验证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75" ht="126" customHeight="1">
      <x:c r="A175" s="5" t="n">
        <x:v>174</x:v>
      </x:c>
      <x:c r="B175" s="5" t="str">
        <x:v>GDE-174</x:v>
      </x:c>
      <x:c r="C175" s="5" t="str">
        <x:v>公会App-数据与收益模块</x:v>
      </x:c>
      <x:c r="D175" s="5" t="str">
        <x:v>直播记录/全部直播记录</x:v>
      </x:c>
      <x:c r="E175" s="5" t="str">
        <x:v>业务流程</x:v>
      </x:c>
      <x:c r="F175" s="5" t="str">
        <x:v>P1</x:v>
      </x:c>
      <x:c r="G175" s="5" t="str">
        <x:v>验证从主播汇总进入单主播直播记录</x:v>
      </x:c>
      <x:c r="H175" s="5" t="str">
        <x:v>主播汇总下钻</x:v>
      </x:c>
      <x:c r="I175" s="5" t="str">
        <x:v>1. 全部直播记录日期范围为 10/8/2026～15/8/2026
2. 主播 Sari 汇总行已展示</x:v>
      </x:c>
      <x:c r="J175" s="5" t="str">
        <x:v>1. 点击主播 Sari 的汇总行</x:v>
      </x:c>
      <x:c r="K175" s="5" t="str">
        <x:v>1. 直播记录的主播筛选显示 Sari、H102938 和已选 1 人</x:v>
      </x:c>
      <x:c r="L175" s="5" t="str"/>
      <x:c r="M175" s="5" t="str">
        <x:v>未测</x:v>
      </x:c>
      <x:c r="N175" s="5" t="str"/>
      <x:c r="O175" s="5" t="str">
        <x:v>1. 来源：context/02-公会App-项目需求清单.md（2026-08-31 按原型同步，RSL-0004）
2. 来源：prototype/assets/annotations.js 的公会直播记录、场次详情和主播多选批注
3. 来源：prototype/pages/guild/data/guild-all-live.html 与 prototype/assets/guild-record-overviews.js；未连接真实后端动态验证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76" ht="126" customHeight="1">
      <x:c r="A176" s="5" t="n">
        <x:v>175</x:v>
      </x:c>
      <x:c r="B176" s="5" t="str">
        <x:v>GDE-175</x:v>
      </x:c>
      <x:c r="C176" s="5" t="str">
        <x:v>公会App-数据与收益模块</x:v>
      </x:c>
      <x:c r="D176" s="5" t="str">
        <x:v>直播记录/全部直播记录</x:v>
      </x:c>
      <x:c r="E176" s="5" t="str">
        <x:v>逻辑校验</x:v>
      </x:c>
      <x:c r="F176" s="5" t="str">
        <x:v>P1</x:v>
      </x:c>
      <x:c r="G176" s="5" t="str">
        <x:v>验证主播汇总下钻后保留日期</x:v>
      </x:c>
      <x:c r="H176" s="5" t="str">
        <x:v>下钻保留日期范围</x:v>
      </x:c>
      <x:c r="I176" s="5" t="str">
        <x:v>1. 全部直播记录日期范围为 10/8/2026～15/8/2026
2. 主播 Sari 汇总行已展示</x:v>
      </x:c>
      <x:c r="J176" s="5" t="str">
        <x:v>1. 点击主播 Sari 的汇总行</x:v>
      </x:c>
      <x:c r="K176" s="5" t="str">
        <x:v>1. 直播记录的日期范围显示 10/8/2026～15/8/2026</x:v>
      </x:c>
      <x:c r="L176" s="5" t="str"/>
      <x:c r="M176" s="5" t="str">
        <x:v>未测</x:v>
      </x:c>
      <x:c r="N176" s="5" t="str"/>
      <x:c r="O176" s="5" t="str">
        <x:v>1. 来源：context/02-公会App-项目需求清单.md（2026-08-31 按原型同步，RSL-0004）
2. 来源：prototype/assets/annotations.js 的公会直播记录、场次详情和主播多选批注
3. 来源：prototype/pages/guild/data/guild-all-live.html 与 prototype/assets/guild-record-overviews.js；未连接真实后端动态验证
4. 来源：prototype/pages/guild/data/guild-host-data.html；未连接真实后端动态验证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77" ht="126" customHeight="1">
      <x:c r="A177" s="5" t="n">
        <x:v>176</x:v>
      </x:c>
      <x:c r="B177" s="5" t="str">
        <x:v>GDE-176</x:v>
      </x:c>
      <x:c r="C177" s="5" t="str">
        <x:v>公会App-数据与收益模块</x:v>
      </x:c>
      <x:c r="D177" s="5" t="str">
        <x:v>直播记录/全部直播记录</x:v>
      </x:c>
      <x:c r="E177" s="5" t="str">
        <x:v>逻辑校验</x:v>
      </x:c>
      <x:c r="F177" s="5" t="str">
        <x:v>P1</x:v>
      </x:c>
      <x:c r="G177" s="5" t="str">
        <x:v>验证从单主播记录返回后保留日期</x:v>
      </x:c>
      <x:c r="H177" s="5" t="str">
        <x:v>返回全部记录保留日期</x:v>
      </x:c>
      <x:c r="I177" s="5" t="str">
        <x:v>1. 已从日期范围 10/8/2026～15/8/2026 的全部直播记录进入主播 Sari 的直播记录</x:v>
      </x:c>
      <x:c r="J177" s="5" t="str">
        <x:v>1. 点击页面左上角返回按钮</x:v>
      </x:c>
      <x:c r="K177" s="5" t="str">
        <x:v>1. 全部直播记录的日期范围仍显示 10/8/2026～15/8/2026</x:v>
      </x:c>
      <x:c r="L177" s="5" t="str"/>
      <x:c r="M177" s="5" t="str">
        <x:v>未测</x:v>
      </x:c>
      <x:c r="N177" s="5" t="str"/>
      <x:c r="O177" s="5" t="str">
        <x:v>1. 来源：context/02-公会App-项目需求清单.md（2026-08-31 按原型同步，RSL-0004）
2. 来源：prototype/assets/annotations.js 的公会直播记录、场次详情和主播多选批注
3. 来源：prototype/pages/guild/data/guild-host-data.html；未连接真实后端动态验证
4. 来源：prototype/pages/guild/data/guild-all-live.html 与 prototype/assets/guild-record-overviews.js；未连接真实后端动态验证
5. 同步追溯：work/liveshow-guild-live-records/prototype-context-sync-result.json；RSL-0004
6. 质量检查：最小前置条件、单一业务分支、单一可观察预期结果
7. 既有覆盖来源：公会App-直播记录模块-260831-001.xlsx；原历史工作簿保持不变
8. 同步追溯：work/liveshow-guild-data-income/prototype-context-sync-result.json；RSL-0005</x:v>
      </x:c>
    </x:row>
    <x:row r="178" ht="97.5" customHeight="1">
      <x:c r="A178" s="5" t="n">
        <x:v>177</x:v>
      </x:c>
      <x:c r="B178" s="5" t="str">
        <x:v>GDE-177</x:v>
      </x:c>
      <x:c r="C178" s="5" t="str">
        <x:v>公会App-数据与收益模块</x:v>
      </x:c>
      <x:c r="D178" s="5" t="str">
        <x:v>直播记录/全部直播记录</x:v>
      </x:c>
      <x:c r="E178" s="5" t="str">
        <x:v>功能需求</x:v>
      </x:c>
      <x:c r="F178" s="5" t="str">
        <x:v>P2</x:v>
      </x:c>
      <x:c r="G178" s="5" t="str">
        <x:v>验证全部直播记录无数据状态</x:v>
      </x:c>
      <x:c r="H178" s="5" t="str">
        <x:v>全部记录空状态</x:v>
      </x:c>
      <x:c r="I178" s="5" t="str">
        <x:v>1. 所选日期范围内当前公会所有主播均无直播记录</x:v>
      </x:c>
      <x:c r="J178" s="5" t="str">
        <x:v>1. 进入全部直播记录页
2. 选择无直播数据的日期范围</x:v>
      </x:c>
      <x:c r="K178" s="5" t="str">
        <x:v>1. 页面显示“暂无直播数据”</x:v>
      </x:c>
      <x:c r="L178" s="5" t="str"/>
      <x:c r="M178" s="5" t="str">
        <x:v>未测</x:v>
      </x:c>
      <x:c r="N178" s="5" t="str"/>
      <x:c r="O178" s="5" t="str">
        <x:v>1. 来源：prototype/pages/guild/data/guild-all-live.html 与 prototype/assets/guild-record-overviews.js；未连接真实后端动态验证
2. 同步追溯：work/liveshow-guild-live-records/prototype-context-sync-result.json；RSL-0004
3. 质量检查：最小前置条件、单一业务分支、单一可观察预期结果
4. 既有覆盖来源：公会App-直播记录模块-260831-001.xlsx；原历史工作簿保持不变
5. 同步追溯：work/liveshow-guild-data-income/prototype-context-sync-result.json；RSL-0005</x:v>
      </x:c>
    </x:row>
    <x:row r="179" ht="109.5" customHeight="1">
      <x:c r="A179" s="5" t="n">
        <x:v>178</x:v>
      </x:c>
      <x:c r="B179" s="5" t="str">
        <x:v>GDE-178</x:v>
      </x:c>
      <x:c r="C179" s="5" t="str">
        <x:v>公会App-数据与收益模块</x:v>
      </x:c>
      <x:c r="D179" s="5" t="str">
        <x:v>违规记录</x:v>
      </x:c>
      <x:c r="E179" s="5" t="str">
        <x:v>功能需求</x:v>
      </x:c>
      <x:c r="F179" s="5" t="str">
        <x:v>P1</x:v>
      </x:c>
      <x:c r="G179" s="5" t="str">
        <x:v>验证默认违规范围</x:v>
      </x:c>
      <x:c r="H179" s="5" t="str">
        <x:v>默认违规范围</x:v>
      </x:c>
      <x:c r="I179" s="5" t="str">
        <x:v>1. 公会长从首页进入违规记录</x:v>
      </x:c>
      <x:c r="J179" s="5" t="str">
        <x:v>1. 查看违规范围筛选项</x:v>
      </x:c>
      <x:c r="K179" s="5" t="str">
        <x:v>1. 违规范围默认显示“直播间违规”</x:v>
      </x:c>
      <x:c r="L179" s="5" t="str"/>
      <x:c r="M179" s="5" t="str">
        <x:v>未测</x:v>
      </x:c>
      <x:c r="N179" s="5" t="str"/>
      <x:c r="O179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0" ht="109.5" customHeight="1">
      <x:c r="A180" s="5" t="n">
        <x:v>179</x:v>
      </x:c>
      <x:c r="B180" s="5" t="str">
        <x:v>GDE-179</x:v>
      </x:c>
      <x:c r="C180" s="5" t="str">
        <x:v>公会App-数据与收益模块</x:v>
      </x:c>
      <x:c r="D180" s="5" t="str">
        <x:v>违规记录</x:v>
      </x:c>
      <x:c r="E180" s="5" t="str">
        <x:v>功能需求</x:v>
      </x:c>
      <x:c r="F180" s="5" t="str">
        <x:v>P1</x:v>
      </x:c>
      <x:c r="G180" s="5" t="str">
        <x:v>验证默认主播范围</x:v>
      </x:c>
      <x:c r="H180" s="5" t="str">
        <x:v>默认主播范围</x:v>
      </x:c>
      <x:c r="I180" s="5" t="str">
        <x:v>1. 当前公会存在 6 名主播</x:v>
      </x:c>
      <x:c r="J180" s="5" t="str">
        <x:v>1. 从首页进入违规记录
2. 查看主播筛选项</x:v>
      </x:c>
      <x:c r="K180" s="5" t="str">
        <x:v>1. 主播筛选项显示已选 6 人</x:v>
      </x:c>
      <x:c r="L180" s="5" t="str"/>
      <x:c r="M180" s="5" t="str">
        <x:v>未测</x:v>
      </x:c>
      <x:c r="N180" s="5" t="str"/>
      <x:c r="O180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1" ht="109.5" customHeight="1">
      <x:c r="A181" s="5" t="n">
        <x:v>180</x:v>
      </x:c>
      <x:c r="B181" s="5" t="str">
        <x:v>GDE-180</x:v>
      </x:c>
      <x:c r="C181" s="5" t="str">
        <x:v>公会App-数据与收益模块</x:v>
      </x:c>
      <x:c r="D181" s="5" t="str">
        <x:v>违规记录</x:v>
      </x:c>
      <x:c r="E181" s="5" t="str">
        <x:v>功能需求</x:v>
      </x:c>
      <x:c r="F181" s="5" t="str">
        <x:v>P1</x:v>
      </x:c>
      <x:c r="G181" s="5" t="str">
        <x:v>验证默认今日范围</x:v>
      </x:c>
      <x:c r="H181" s="5" t="str">
        <x:v>默认今日范围</x:v>
      </x:c>
      <x:c r="I181" s="5" t="str">
        <x:v>1. 测试环境业务日期为 15/08/2026</x:v>
      </x:c>
      <x:c r="J181" s="5" t="str">
        <x:v>1. 从首页进入违规记录
2. 查看日期范围</x:v>
      </x:c>
      <x:c r="K181" s="5" t="str">
        <x:v>1. 日期范围显示 15/08/2026 至 15/08/2026</x:v>
      </x:c>
      <x:c r="L181" s="5" t="str"/>
      <x:c r="M181" s="5" t="str">
        <x:v>未测</x:v>
      </x:c>
      <x:c r="N181" s="5" t="str"/>
      <x:c r="O181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2" ht="109.5" customHeight="1">
      <x:c r="A182" s="5" t="n">
        <x:v>181</x:v>
      </x:c>
      <x:c r="B182" s="5" t="str">
        <x:v>GDE-181</x:v>
      </x:c>
      <x:c r="C182" s="5" t="str">
        <x:v>公会App-数据与收益模块</x:v>
      </x:c>
      <x:c r="D182" s="5" t="str">
        <x:v>违规记录</x:v>
      </x:c>
      <x:c r="E182" s="5" t="str">
        <x:v>业务流程</x:v>
      </x:c>
      <x:c r="F182" s="5" t="str">
        <x:v>P1</x:v>
      </x:c>
      <x:c r="G182" s="5" t="str">
        <x:v>验证切换账号违规</x:v>
      </x:c>
      <x:c r="H182" s="5" t="str">
        <x:v>切换账号违规</x:v>
      </x:c>
      <x:c r="I182" s="5" t="str">
        <x:v>1. 违规记录当前显示直播间违规</x:v>
      </x:c>
      <x:c r="J182" s="5" t="str">
        <x:v>1. 打开违规范围菜单
2. 选择“账号违规”</x:v>
      </x:c>
      <x:c r="K182" s="5" t="str">
        <x:v>1. 列表结果集切换为账号违规记录</x:v>
      </x:c>
      <x:c r="L182" s="5" t="str"/>
      <x:c r="M182" s="5" t="str">
        <x:v>未测</x:v>
      </x:c>
      <x:c r="N182" s="5" t="str"/>
      <x:c r="O182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3" ht="109.5" customHeight="1">
      <x:c r="A183" s="5" t="n">
        <x:v>182</x:v>
      </x:c>
      <x:c r="B183" s="5" t="str">
        <x:v>GDE-182</x:v>
      </x:c>
      <x:c r="C183" s="5" t="str">
        <x:v>公会App-数据与收益模块</x:v>
      </x:c>
      <x:c r="D183" s="5" t="str">
        <x:v>违规记录</x:v>
      </x:c>
      <x:c r="E183" s="5" t="str">
        <x:v>业务流程</x:v>
      </x:c>
      <x:c r="F183" s="5" t="str">
        <x:v>P2</x:v>
      </x:c>
      <x:c r="G183" s="5" t="str">
        <x:v>验证切回直播间违规</x:v>
      </x:c>
      <x:c r="H183" s="5" t="str">
        <x:v>切回直播间违规</x:v>
      </x:c>
      <x:c r="I183" s="5" t="str">
        <x:v>1. 违规记录当前显示账号违规</x:v>
      </x:c>
      <x:c r="J183" s="5" t="str">
        <x:v>1. 打开违规范围菜单
2. 选择“直播间违规”</x:v>
      </x:c>
      <x:c r="K183" s="5" t="str">
        <x:v>1. 列表结果集切换为直播间违规记录</x:v>
      </x:c>
      <x:c r="L183" s="5" t="str"/>
      <x:c r="M183" s="5" t="str">
        <x:v>未测</x:v>
      </x:c>
      <x:c r="N183" s="5" t="str"/>
      <x:c r="O183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4" ht="109.5" customHeight="1">
      <x:c r="A184" s="5" t="n">
        <x:v>183</x:v>
      </x:c>
      <x:c r="B184" s="5" t="str">
        <x:v>GDE-183</x:v>
      </x:c>
      <x:c r="C184" s="5" t="str">
        <x:v>公会App-数据与收益模块</x:v>
      </x:c>
      <x:c r="D184" s="5" t="str">
        <x:v>违规记录</x:v>
      </x:c>
      <x:c r="E184" s="5" t="str">
        <x:v>功能需求</x:v>
      </x:c>
      <x:c r="F184" s="5" t="str">
        <x:v>P3</x:v>
      </x:c>
      <x:c r="G184" s="5" t="str">
        <x:v>验证范围菜单外部关闭</x:v>
      </x:c>
      <x:c r="H184" s="5" t="str">
        <x:v>范围菜单外部关闭</x:v>
      </x:c>
      <x:c r="I184" s="5" t="str">
        <x:v>1. 违规范围菜单已打开</x:v>
      </x:c>
      <x:c r="J184" s="5" t="str">
        <x:v>1. 点击菜单外页面区域</x:v>
      </x:c>
      <x:c r="K184" s="5" t="str">
        <x:v>1. 违规范围菜单关闭</x:v>
      </x:c>
      <x:c r="L184" s="5" t="str"/>
      <x:c r="M184" s="5" t="str">
        <x:v>未测</x:v>
      </x:c>
      <x:c r="N184" s="5" t="str"/>
      <x:c r="O184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5" ht="109.5" customHeight="1">
      <x:c r="A185" s="5" t="n">
        <x:v>184</x:v>
      </x:c>
      <x:c r="B185" s="5" t="str">
        <x:v>GDE-184</x:v>
      </x:c>
      <x:c r="C185" s="5" t="str">
        <x:v>公会App-数据与收益模块</x:v>
      </x:c>
      <x:c r="D185" s="5" t="str">
        <x:v>违规记录</x:v>
      </x:c>
      <x:c r="E185" s="5" t="str">
        <x:v>功能需求</x:v>
      </x:c>
      <x:c r="F185" s="5" t="str">
        <x:v>P1</x:v>
      </x:c>
      <x:c r="G185" s="5" t="str">
        <x:v>验证主播选择入口</x:v>
      </x:c>
      <x:c r="H185" s="5" t="str">
        <x:v>主播选择入口</x:v>
      </x:c>
      <x:c r="I185" s="5" t="str">
        <x:v>1. 公会长已进入违规记录页</x:v>
      </x:c>
      <x:c r="J185" s="5" t="str">
        <x:v>1. 点击主播筛选项</x:v>
      </x:c>
      <x:c r="K185" s="5" t="str">
        <x:v>1. 页面进入标题为“选择主播”的页面</x:v>
      </x:c>
      <x:c r="L185" s="5" t="str">
        <x:v>FLOW-GDE-003</x:v>
      </x:c>
      <x:c r="M185" s="5" t="str">
        <x:v>未测</x:v>
      </x:c>
      <x:c r="N185" s="5" t="str"/>
      <x:c r="O185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6" ht="109.5" customHeight="1">
      <x:c r="A186" s="5" t="n">
        <x:v>185</x:v>
      </x:c>
      <x:c r="B186" s="5" t="str">
        <x:v>GDE-185</x:v>
      </x:c>
      <x:c r="C186" s="5" t="str">
        <x:v>公会App-数据与收益模块</x:v>
      </x:c>
      <x:c r="D186" s="5" t="str">
        <x:v>违规记录</x:v>
      </x:c>
      <x:c r="E186" s="5" t="str">
        <x:v>逻辑校验</x:v>
      </x:c>
      <x:c r="F186" s="5" t="str">
        <x:v>P1</x:v>
      </x:c>
      <x:c r="G186" s="5" t="str">
        <x:v>验证按主播名称搜索</x:v>
      </x:c>
      <x:c r="H186" s="5" t="str">
        <x:v>按主播名称搜索</x:v>
      </x:c>
      <x:c r="I186" s="5" t="str">
        <x:v>1. 当前公会存在主播 Sari 和 Dewi</x:v>
      </x:c>
      <x:c r="J186" s="5" t="str">
        <x:v>1. 进入主播选择页
2. 输入“Sari”</x:v>
      </x:c>
      <x:c r="K186" s="5" t="str">
        <x:v>1. 搜索结果集仅包含主播 Sari</x:v>
      </x:c>
      <x:c r="L186" s="5" t="str"/>
      <x:c r="M186" s="5" t="str">
        <x:v>未测</x:v>
      </x:c>
      <x:c r="N186" s="5" t="str"/>
      <x:c r="O186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7" ht="109.5" customHeight="1">
      <x:c r="A187" s="5" t="n">
        <x:v>186</x:v>
      </x:c>
      <x:c r="B187" s="5" t="str">
        <x:v>GDE-186</x:v>
      </x:c>
      <x:c r="C187" s="5" t="str">
        <x:v>公会App-数据与收益模块</x:v>
      </x:c>
      <x:c r="D187" s="5" t="str">
        <x:v>违规记录</x:v>
      </x:c>
      <x:c r="E187" s="5" t="str">
        <x:v>逻辑校验</x:v>
      </x:c>
      <x:c r="F187" s="5" t="str">
        <x:v>P1</x:v>
      </x:c>
      <x:c r="G187" s="5" t="str">
        <x:v>验证按主播 ID 搜索</x:v>
      </x:c>
      <x:c r="H187" s="5" t="str">
        <x:v>按主播 ID 搜索</x:v>
      </x:c>
      <x:c r="I187" s="5" t="str">
        <x:v>1. 当前公会存在主播 H102938 和 H102954</x:v>
      </x:c>
      <x:c r="J187" s="5" t="str">
        <x:v>1. 进入主播选择页
2. 输入“H102938”</x:v>
      </x:c>
      <x:c r="K187" s="5" t="str">
        <x:v>1. 搜索结果集仅包含主播 H102938</x:v>
      </x:c>
      <x:c r="L187" s="5" t="str"/>
      <x:c r="M187" s="5" t="str">
        <x:v>未测</x:v>
      </x:c>
      <x:c r="N187" s="5" t="str"/>
      <x:c r="O187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8" ht="109.5" customHeight="1">
      <x:c r="A188" s="5" t="n">
        <x:v>187</x:v>
      </x:c>
      <x:c r="B188" s="5" t="str">
        <x:v>GDE-187</x:v>
      </x:c>
      <x:c r="C188" s="5" t="str">
        <x:v>公会App-数据与收益模块</x:v>
      </x:c>
      <x:c r="D188" s="5" t="str">
        <x:v>违规记录</x:v>
      </x:c>
      <x:c r="E188" s="5" t="str">
        <x:v>逻辑校验</x:v>
      </x:c>
      <x:c r="F188" s="5" t="str">
        <x:v>P1</x:v>
      </x:c>
      <x:c r="G188" s="5" t="str">
        <x:v>验证单主播违规范围</x:v>
      </x:c>
      <x:c r="H188" s="5" t="str">
        <x:v>单主播违规范围</x:v>
      </x:c>
      <x:c r="I188" s="5" t="str">
        <x:v>1. 主播 Sari 和 Dewi 均有违规记录</x:v>
      </x:c>
      <x:c r="J188" s="5" t="str">
        <x:v>1. 仅选择主播 Sari
2. 返回违规记录页</x:v>
      </x:c>
      <x:c r="K188" s="5" t="str">
        <x:v>1. 列表结果集仅包含主播 Sari 的违规记录</x:v>
      </x:c>
      <x:c r="L188" s="5" t="str"/>
      <x:c r="M188" s="5" t="str">
        <x:v>未测</x:v>
      </x:c>
      <x:c r="N188" s="5" t="str"/>
      <x:c r="O188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89" ht="109.5" customHeight="1">
      <x:c r="A189" s="5" t="n">
        <x:v>188</x:v>
      </x:c>
      <x:c r="B189" s="5" t="str">
        <x:v>GDE-188</x:v>
      </x:c>
      <x:c r="C189" s="5" t="str">
        <x:v>公会App-数据与收益模块</x:v>
      </x:c>
      <x:c r="D189" s="5" t="str">
        <x:v>违规记录</x:v>
      </x:c>
      <x:c r="E189" s="5" t="str">
        <x:v>逻辑校验</x:v>
      </x:c>
      <x:c r="F189" s="5" t="str">
        <x:v>P1</x:v>
      </x:c>
      <x:c r="G189" s="5" t="str">
        <x:v>验证多主播违规范围</x:v>
      </x:c>
      <x:c r="H189" s="5" t="str">
        <x:v>多主播违规范围</x:v>
      </x:c>
      <x:c r="I189" s="5" t="str">
        <x:v>1. 主播 Sari、Dewi 和 Maya 均有违规记录</x:v>
      </x:c>
      <x:c r="J189" s="5" t="str">
        <x:v>1. 仅选择主播 Sari 和 Dewi
2. 返回违规记录页</x:v>
      </x:c>
      <x:c r="K189" s="5" t="str">
        <x:v>1. 列表结果集仅包含 Sari 和 Dewi 的违规记录</x:v>
      </x:c>
      <x:c r="L189" s="5" t="str"/>
      <x:c r="M189" s="5" t="str">
        <x:v>未测</x:v>
      </x:c>
      <x:c r="N189" s="5" t="str"/>
      <x:c r="O189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0" ht="109.5" customHeight="1">
      <x:c r="A190" s="5" t="n">
        <x:v>189</x:v>
      </x:c>
      <x:c r="B190" s="5" t="str">
        <x:v>GDE-189</x:v>
      </x:c>
      <x:c r="C190" s="5" t="str">
        <x:v>公会App-数据与收益模块</x:v>
      </x:c>
      <x:c r="D190" s="5" t="str">
        <x:v>违规记录</x:v>
      </x:c>
      <x:c r="E190" s="5" t="str">
        <x:v>异常用例</x:v>
      </x:c>
      <x:c r="F190" s="5" t="str">
        <x:v>P2</x:v>
      </x:c>
      <x:c r="G190" s="5" t="str">
        <x:v>验证零主播违规空态</x:v>
      </x:c>
      <x:c r="H190" s="5" t="str">
        <x:v>零主播违规空态</x:v>
      </x:c>
      <x:c r="I190" s="5" t="str">
        <x:v>1. 主播选择页当前选中全部主播</x:v>
      </x:c>
      <x:c r="J190" s="5" t="str">
        <x:v>1. 取消选择全部主播
2. 返回违规记录页</x:v>
      </x:c>
      <x:c r="K190" s="5" t="str">
        <x:v>1. 违规记录区显示“未选择主播”</x:v>
      </x:c>
      <x:c r="L190" s="5" t="str"/>
      <x:c r="M190" s="5" t="str">
        <x:v>未测</x:v>
      </x:c>
      <x:c r="N190" s="5" t="str"/>
      <x:c r="O190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1" ht="109.5" customHeight="1">
      <x:c r="A191" s="5" t="n">
        <x:v>190</x:v>
      </x:c>
      <x:c r="B191" s="5" t="str">
        <x:v>GDE-190</x:v>
      </x:c>
      <x:c r="C191" s="5" t="str">
        <x:v>公会App-数据与收益模块</x:v>
      </x:c>
      <x:c r="D191" s="5" t="str">
        <x:v>违规记录</x:v>
      </x:c>
      <x:c r="E191" s="5" t="str">
        <x:v>逻辑校验</x:v>
      </x:c>
      <x:c r="F191" s="5" t="str">
        <x:v>P1</x:v>
      </x:c>
      <x:c r="G191" s="5" t="str">
        <x:v>验证主播选择保留违规范围</x:v>
      </x:c>
      <x:c r="H191" s="5" t="str">
        <x:v>主播选择保留违规范围</x:v>
      </x:c>
      <x:c r="I191" s="5" t="str">
        <x:v>1. 违规范围已选择账号违规</x:v>
      </x:c>
      <x:c r="J191" s="5" t="str">
        <x:v>1. 进入主播选择页
2. 仅选择主播 Sari
3. 返回违规记录页</x:v>
      </x:c>
      <x:c r="K191" s="5" t="str">
        <x:v>1. 违规范围仍显示“账号违规”</x:v>
      </x:c>
      <x:c r="L191" s="5" t="str"/>
      <x:c r="M191" s="5" t="str">
        <x:v>未测</x:v>
      </x:c>
      <x:c r="N191" s="5" t="str"/>
      <x:c r="O191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2" ht="109.5" customHeight="1">
      <x:c r="A192" s="5" t="n">
        <x:v>191</x:v>
      </x:c>
      <x:c r="B192" s="5" t="str">
        <x:v>GDE-191</x:v>
      </x:c>
      <x:c r="C192" s="5" t="str">
        <x:v>公会App-数据与收益模块</x:v>
      </x:c>
      <x:c r="D192" s="5" t="str">
        <x:v>违规记录</x:v>
      </x:c>
      <x:c r="E192" s="5" t="str">
        <x:v>逻辑校验</x:v>
      </x:c>
      <x:c r="F192" s="5" t="str">
        <x:v>P1</x:v>
      </x:c>
      <x:c r="G192" s="5" t="str">
        <x:v>验证主播选择保留日期</x:v>
      </x:c>
      <x:c r="H192" s="5" t="str">
        <x:v>主播选择保留日期</x:v>
      </x:c>
      <x:c r="I192" s="5" t="str">
        <x:v>1. 违规日期范围为 10/08/2026 至 15/08/2026</x:v>
      </x:c>
      <x:c r="J192" s="5" t="str">
        <x:v>1. 进入主播选择页
2. 仅选择主播 Sari
3. 返回违规记录页</x:v>
      </x:c>
      <x:c r="K192" s="5" t="str">
        <x:v>1. 日期范围仍为 10/08/2026 至 15/08/2026</x:v>
      </x:c>
      <x:c r="L192" s="5" t="str"/>
      <x:c r="M192" s="5" t="str">
        <x:v>未测</x:v>
      </x:c>
      <x:c r="N192" s="5" t="str"/>
      <x:c r="O192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3" ht="109.5" customHeight="1">
      <x:c r="A193" s="5" t="n">
        <x:v>192</x:v>
      </x:c>
      <x:c r="B193" s="5" t="str">
        <x:v>GDE-192</x:v>
      </x:c>
      <x:c r="C193" s="5" t="str">
        <x:v>公会App-数据与收益模块</x:v>
      </x:c>
      <x:c r="D193" s="5" t="str">
        <x:v>违规记录</x:v>
      </x:c>
      <x:c r="E193" s="5" t="str">
        <x:v>功能需求</x:v>
      </x:c>
      <x:c r="F193" s="5" t="str">
        <x:v>P1</x:v>
      </x:c>
      <x:c r="G193" s="5" t="str">
        <x:v>验证日期选择入口</x:v>
      </x:c>
      <x:c r="H193" s="5" t="str">
        <x:v>日期选择入口</x:v>
      </x:c>
      <x:c r="I193" s="5" t="str">
        <x:v>1. 公会长已进入违规记录页</x:v>
      </x:c>
      <x:c r="J193" s="5" t="str">
        <x:v>1. 点击日期范围</x:v>
      </x:c>
      <x:c r="K193" s="5" t="str">
        <x:v>1. 页面打开日期选择器</x:v>
      </x:c>
      <x:c r="L193" s="5" t="str"/>
      <x:c r="M193" s="5" t="str">
        <x:v>未测</x:v>
      </x:c>
      <x:c r="N193" s="5" t="str"/>
      <x:c r="O193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4" ht="109.5" customHeight="1">
      <x:c r="A194" s="5" t="n">
        <x:v>193</x:v>
      </x:c>
      <x:c r="B194" s="5" t="str">
        <x:v>GDE-193</x:v>
      </x:c>
      <x:c r="C194" s="5" t="str">
        <x:v>公会App-数据与收益模块</x:v>
      </x:c>
      <x:c r="D194" s="5" t="str">
        <x:v>违规记录</x:v>
      </x:c>
      <x:c r="E194" s="5" t="str">
        <x:v>功能需求</x:v>
      </x:c>
      <x:c r="F194" s="5" t="str">
        <x:v>P2</x:v>
      </x:c>
      <x:c r="G194" s="5" t="str">
        <x:v>验证取消日期选择</x:v>
      </x:c>
      <x:c r="H194" s="5" t="str">
        <x:v>取消日期选择</x:v>
      </x:c>
      <x:c r="I194" s="5" t="str">
        <x:v>1. 违规记录日期选择器已打开</x:v>
      </x:c>
      <x:c r="J194" s="5" t="str">
        <x:v>1. 点击“取消”</x:v>
      </x:c>
      <x:c r="K194" s="5" t="str">
        <x:v>1. 日期选择器关闭</x:v>
      </x:c>
      <x:c r="L194" s="5" t="str"/>
      <x:c r="M194" s="5" t="str">
        <x:v>未测</x:v>
      </x:c>
      <x:c r="N194" s="5" t="str"/>
      <x:c r="O194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5" ht="109.5" customHeight="1">
      <x:c r="A195" s="5" t="n">
        <x:v>194</x:v>
      </x:c>
      <x:c r="B195" s="5" t="str">
        <x:v>GDE-194</x:v>
      </x:c>
      <x:c r="C195" s="5" t="str">
        <x:v>公会App-数据与收益模块</x:v>
      </x:c>
      <x:c r="D195" s="5" t="str">
        <x:v>违规记录</x:v>
      </x:c>
      <x:c r="E195" s="5" t="str">
        <x:v>逻辑校验</x:v>
      </x:c>
      <x:c r="F195" s="5" t="str">
        <x:v>P1</x:v>
      </x:c>
      <x:c r="G195" s="5" t="str">
        <x:v>验证自定义日期筛选</x:v>
      </x:c>
      <x:c r="H195" s="5" t="str">
        <x:v>自定义日期筛选</x:v>
      </x:c>
      <x:c r="I195" s="5" t="str">
        <x:v>1. 10/08/2026 至 12/08/2026 内外均存在违规记录</x:v>
      </x:c>
      <x:c r="J195" s="5" t="str">
        <x:v>1. 打开日期选择器
2. 选择 10/08/2026 至 12/08/2026
3. 点击“确定”</x:v>
      </x:c>
      <x:c r="K195" s="5" t="str">
        <x:v>1. 违规列表结果集仅包含 10/08/2026 至 12/08/2026 内的记录</x:v>
      </x:c>
      <x:c r="L195" s="5" t="str"/>
      <x:c r="M195" s="5" t="str">
        <x:v>未测</x:v>
      </x:c>
      <x:c r="N195" s="5" t="str"/>
      <x:c r="O195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6" ht="109.5" customHeight="1">
      <x:c r="A196" s="5" t="n">
        <x:v>195</x:v>
      </x:c>
      <x:c r="B196" s="5" t="str">
        <x:v>GDE-195</x:v>
      </x:c>
      <x:c r="C196" s="5" t="str">
        <x:v>公会App-数据与收益模块</x:v>
      </x:c>
      <x:c r="D196" s="5" t="str">
        <x:v>违规记录</x:v>
      </x:c>
      <x:c r="E196" s="5" t="str">
        <x:v>逻辑校验</x:v>
      </x:c>
      <x:c r="F196" s="5" t="str">
        <x:v>P1</x:v>
      </x:c>
      <x:c r="G196" s="5" t="str">
        <x:v>验证反向日期归一</x:v>
      </x:c>
      <x:c r="H196" s="5" t="str">
        <x:v>反向日期归一</x:v>
      </x:c>
      <x:c r="I196" s="5" t="str">
        <x:v>1. 违规记录日期选择器已打开</x:v>
      </x:c>
      <x:c r="J196" s="5" t="str">
        <x:v>1. 先选择 15/08/2026
2. 再选择 12/08/2026
3. 点击“确定”</x:v>
      </x:c>
      <x:c r="K196" s="5" t="str">
        <x:v>1. 日期范围按 12/08/2026 至 15/08/2026 应用</x:v>
      </x:c>
      <x:c r="L196" s="5" t="str"/>
      <x:c r="M196" s="5" t="str">
        <x:v>未测</x:v>
      </x:c>
      <x:c r="N196" s="5" t="str"/>
      <x:c r="O196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7" ht="109.5" customHeight="1">
      <x:c r="A197" s="5" t="n">
        <x:v>196</x:v>
      </x:c>
      <x:c r="B197" s="5" t="str">
        <x:v>GDE-196</x:v>
      </x:c>
      <x:c r="C197" s="5" t="str">
        <x:v>公会App-数据与收益模块</x:v>
      </x:c>
      <x:c r="D197" s="5" t="str">
        <x:v>违规记录</x:v>
      </x:c>
      <x:c r="E197" s="5" t="str">
        <x:v>异常用例</x:v>
      </x:c>
      <x:c r="F197" s="5" t="str">
        <x:v>P2</x:v>
      </x:c>
      <x:c r="G197" s="5" t="str">
        <x:v>验证无违规记录空态</x:v>
      </x:c>
      <x:c r="H197" s="5" t="str">
        <x:v>无违规记录空态</x:v>
      </x:c>
      <x:c r="I197" s="5" t="str">
        <x:v>1. 01/06/2026 至 02/06/2026 没有违规记录</x:v>
      </x:c>
      <x:c r="J197" s="5" t="str">
        <x:v>1. 应用 01/06/2026 至 02/06/2026</x:v>
      </x:c>
      <x:c r="K197" s="5" t="str">
        <x:v>1. 违规记录区显示“暂无违规数据”</x:v>
      </x:c>
      <x:c r="L197" s="5" t="str"/>
      <x:c r="M197" s="5" t="str">
        <x:v>未测</x:v>
      </x:c>
      <x:c r="N197" s="5" t="str"/>
      <x:c r="O197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8" ht="109.5" customHeight="1">
      <x:c r="A198" s="5" t="n">
        <x:v>197</x:v>
      </x:c>
      <x:c r="B198" s="5" t="str">
        <x:v>GDE-197</x:v>
      </x:c>
      <x:c r="C198" s="5" t="str">
        <x:v>公会App-数据与收益模块</x:v>
      </x:c>
      <x:c r="D198" s="5" t="str">
        <x:v>违规记录</x:v>
      </x:c>
      <x:c r="E198" s="5" t="str">
        <x:v>逻辑校验</x:v>
      </x:c>
      <x:c r="F198" s="5" t="str">
        <x:v>P1</x:v>
      </x:c>
      <x:c r="G198" s="5" t="str">
        <x:v>验证违规时间倒序</x:v>
      </x:c>
      <x:c r="H198" s="5" t="str">
        <x:v>违规时间倒序</x:v>
      </x:c>
      <x:c r="I198" s="5" t="str">
        <x:v>1. 主播 Sari 有 09:42 和 11:08 两条违规记录</x:v>
      </x:c>
      <x:c r="J198" s="5" t="str">
        <x:v>1. 筛选主播 Sari
2. 查看违规列表</x:v>
      </x:c>
      <x:c r="K198" s="5" t="str">
        <x:v>1. 11:08 的记录排在 09:42 的记录之前</x:v>
      </x:c>
      <x:c r="L198" s="5" t="str"/>
      <x:c r="M198" s="5" t="str">
        <x:v>未测</x:v>
      </x:c>
      <x:c r="N198" s="5" t="str"/>
      <x:c r="O198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199" ht="109.5" customHeight="1">
      <x:c r="A199" s="5" t="n">
        <x:v>198</x:v>
      </x:c>
      <x:c r="B199" s="5" t="str">
        <x:v>GDE-198</x:v>
      </x:c>
      <x:c r="C199" s="5" t="str">
        <x:v>公会App-数据与收益模块</x:v>
      </x:c>
      <x:c r="D199" s="5" t="str">
        <x:v>违规记录</x:v>
      </x:c>
      <x:c r="E199" s="5" t="str">
        <x:v>功能需求</x:v>
      </x:c>
      <x:c r="F199" s="5" t="str">
        <x:v>P2</x:v>
      </x:c>
      <x:c r="G199" s="5" t="str">
        <x:v>验证违规主播名称</x:v>
      </x:c>
      <x:c r="H199" s="5" t="str">
        <x:v>违规主播名称</x:v>
      </x:c>
      <x:c r="I199" s="5" t="str">
        <x:v>1. 违规记录对应主播 Sari</x:v>
      </x:c>
      <x:c r="J199" s="5" t="str">
        <x:v>1. 查看该违规记录</x:v>
      </x:c>
      <x:c r="K199" s="5" t="str">
        <x:v>1. 记录显示主播名称 Sari</x:v>
      </x:c>
      <x:c r="L199" s="5" t="str"/>
      <x:c r="M199" s="5" t="str">
        <x:v>未测</x:v>
      </x:c>
      <x:c r="N199" s="5" t="str"/>
      <x:c r="O199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200" ht="109.5" customHeight="1">
      <x:c r="A200" s="5" t="n">
        <x:v>199</x:v>
      </x:c>
      <x:c r="B200" s="5" t="str">
        <x:v>GDE-199</x:v>
      </x:c>
      <x:c r="C200" s="5" t="str">
        <x:v>公会App-数据与收益模块</x:v>
      </x:c>
      <x:c r="D200" s="5" t="str">
        <x:v>违规记录</x:v>
      </x:c>
      <x:c r="E200" s="5" t="str">
        <x:v>功能需求</x:v>
      </x:c>
      <x:c r="F200" s="5" t="str">
        <x:v>P2</x:v>
      </x:c>
      <x:c r="G200" s="5" t="str">
        <x:v>验证违规主播 ID</x:v>
      </x:c>
      <x:c r="H200" s="5" t="str">
        <x:v>违规主播 ID</x:v>
      </x:c>
      <x:c r="I200" s="5" t="str">
        <x:v>1. 主播 Sari 的 ID 为 H102938</x:v>
      </x:c>
      <x:c r="J200" s="5" t="str">
        <x:v>1. 查看 Sari 的违规记录</x:v>
      </x:c>
      <x:c r="K200" s="5" t="str">
        <x:v>1. 记录显示主播 ID H102938</x:v>
      </x:c>
      <x:c r="L200" s="5" t="str"/>
      <x:c r="M200" s="5" t="str">
        <x:v>未测</x:v>
      </x:c>
      <x:c r="N200" s="5" t="str"/>
      <x:c r="O200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201" ht="109.5" customHeight="1">
      <x:c r="A201" s="5" t="n">
        <x:v>200</x:v>
      </x:c>
      <x:c r="B201" s="5" t="str">
        <x:v>GDE-200</x:v>
      </x:c>
      <x:c r="C201" s="5" t="str">
        <x:v>公会App-数据与收益模块</x:v>
      </x:c>
      <x:c r="D201" s="5" t="str">
        <x:v>违规记录</x:v>
      </x:c>
      <x:c r="E201" s="5" t="str">
        <x:v>功能需求</x:v>
      </x:c>
      <x:c r="F201" s="5" t="str">
        <x:v>P2</x:v>
      </x:c>
      <x:c r="G201" s="5" t="str">
        <x:v>验证违规时间</x:v>
      </x:c>
      <x:c r="H201" s="5" t="str">
        <x:v>违规时间</x:v>
      </x:c>
      <x:c r="I201" s="5" t="str">
        <x:v>1. 违规记录时间为 15/08/2026 09:42</x:v>
      </x:c>
      <x:c r="J201" s="5" t="str">
        <x:v>1. 查看该违规记录</x:v>
      </x:c>
      <x:c r="K201" s="5" t="str">
        <x:v>1. 记录显示 15/08/2026 09:42</x:v>
      </x:c>
      <x:c r="L201" s="5" t="str"/>
      <x:c r="M201" s="5" t="str">
        <x:v>未测</x:v>
      </x:c>
      <x:c r="N201" s="5" t="str"/>
      <x:c r="O201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202" ht="109.5" customHeight="1">
      <x:c r="A202" s="5" t="n">
        <x:v>201</x:v>
      </x:c>
      <x:c r="B202" s="5" t="str">
        <x:v>GDE-201</x:v>
      </x:c>
      <x:c r="C202" s="5" t="str">
        <x:v>公会App-数据与收益模块</x:v>
      </x:c>
      <x:c r="D202" s="5" t="str">
        <x:v>违规记录</x:v>
      </x:c>
      <x:c r="E202" s="5" t="str">
        <x:v>功能需求</x:v>
      </x:c>
      <x:c r="F202" s="5" t="str">
        <x:v>P1</x:v>
      </x:c>
      <x:c r="G202" s="5" t="str">
        <x:v>验证有处理结果</x:v>
      </x:c>
      <x:c r="H202" s="5" t="str">
        <x:v>有处理结果</x:v>
      </x:c>
      <x:c r="I202" s="5" t="str">
        <x:v>1. 违规记录处理结果为“警告”</x:v>
      </x:c>
      <x:c r="J202" s="5" t="str">
        <x:v>1. 查看该违规记录</x:v>
      </x:c>
      <x:c r="K202" s="5" t="str">
        <x:v>1. 处理结果显示“警告”</x:v>
      </x:c>
      <x:c r="L202" s="5" t="str"/>
      <x:c r="M202" s="5" t="str">
        <x:v>未测</x:v>
      </x:c>
      <x:c r="N202" s="5" t="str"/>
      <x:c r="O202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203" ht="109.5" customHeight="1">
      <x:c r="A203" s="5" t="n">
        <x:v>202</x:v>
      </x:c>
      <x:c r="B203" s="5" t="str">
        <x:v>GDE-202</x:v>
      </x:c>
      <x:c r="C203" s="5" t="str">
        <x:v>公会App-数据与收益模块</x:v>
      </x:c>
      <x:c r="D203" s="5" t="str">
        <x:v>违规记录</x:v>
      </x:c>
      <x:c r="E203" s="5" t="str">
        <x:v>逻辑校验</x:v>
      </x:c>
      <x:c r="F203" s="5" t="str">
        <x:v>P1</x:v>
      </x:c>
      <x:c r="G203" s="5" t="str">
        <x:v>验证空处理结果</x:v>
      </x:c>
      <x:c r="H203" s="5" t="str">
        <x:v>空处理结果</x:v>
      </x:c>
      <x:c r="I203" s="5" t="str">
        <x:v>1. 违规记录处理结果为空</x:v>
      </x:c>
      <x:c r="J203" s="5" t="str">
        <x:v>1. 查看该违规记录</x:v>
      </x:c>
      <x:c r="K203" s="5" t="str">
        <x:v>1. 处理结果显示“-”</x:v>
      </x:c>
      <x:c r="L203" s="5" t="str"/>
      <x:c r="M203" s="5" t="str">
        <x:v>未测</x:v>
      </x:c>
      <x:c r="N203" s="5" t="str"/>
      <x:c r="O203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来源：prototype/pages/guild/data/guild-violation-host-select.html；静态原型分析，未连接真实后端动态验证
5. 同步追溯：work/liveshow-guild-data-income/prototype-context-sync-result.json；RSL-0005
6. 质量检查：最小前置条件、单一业务分支、单一可观察预期结果</x:v>
      </x:c>
    </x:row>
    <x:row r="204" ht="97.5" customHeight="1">
      <x:c r="A204" s="5" t="n">
        <x:v>203</x:v>
      </x:c>
      <x:c r="B204" s="5" t="str">
        <x:v>GDE-203</x:v>
      </x:c>
      <x:c r="C204" s="5" t="str">
        <x:v>公会App-数据与收益模块</x:v>
      </x:c>
      <x:c r="D204" s="5" t="str">
        <x:v>违规记录/违规类型</x:v>
      </x:c>
      <x:c r="E204" s="5" t="str">
        <x:v>功能需求</x:v>
      </x:c>
      <x:c r="F204" s="5" t="str">
        <x:v>P2</x:v>
      </x:c>
      <x:c r="G204" s="5" t="str">
        <x:v>验证色情低俗违规类型</x:v>
      </x:c>
      <x:c r="H204" s="5" t="str">
        <x:v>色情低俗类型</x:v>
      </x:c>
      <x:c r="I204" s="5" t="str">
        <x:v>1. 存在违规类型为“色情低俗”的记录</x:v>
      </x:c>
      <x:c r="J204" s="5" t="str">
        <x:v>1. 查看该违规记录</x:v>
      </x:c>
      <x:c r="K204" s="5" t="str">
        <x:v>1. 违规类型显示“色情低俗”</x:v>
      </x:c>
      <x:c r="L204" s="5" t="str"/>
      <x:c r="M204" s="5" t="str">
        <x:v>未测</x:v>
      </x:c>
      <x:c r="N204" s="5" t="str"/>
      <x:c r="O204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05" ht="97.5" customHeight="1">
      <x:c r="A205" s="5" t="n">
        <x:v>204</x:v>
      </x:c>
      <x:c r="B205" s="5" t="str">
        <x:v>GDE-204</x:v>
      </x:c>
      <x:c r="C205" s="5" t="str">
        <x:v>公会App-数据与收益模块</x:v>
      </x:c>
      <x:c r="D205" s="5" t="str">
        <x:v>违规记录/违规类型</x:v>
      </x:c>
      <x:c r="E205" s="5" t="str">
        <x:v>功能需求</x:v>
      </x:c>
      <x:c r="F205" s="5" t="str">
        <x:v>P2</x:v>
      </x:c>
      <x:c r="G205" s="5" t="str">
        <x:v>验证涉及宗教政治违规类型</x:v>
      </x:c>
      <x:c r="H205" s="5" t="str">
        <x:v>涉及宗教政治类型</x:v>
      </x:c>
      <x:c r="I205" s="5" t="str">
        <x:v>1. 存在违规类型为“涉及宗教政治”的记录</x:v>
      </x:c>
      <x:c r="J205" s="5" t="str">
        <x:v>1. 查看该违规记录</x:v>
      </x:c>
      <x:c r="K205" s="5" t="str">
        <x:v>1. 违规类型显示“涉及宗教政治”</x:v>
      </x:c>
      <x:c r="L205" s="5" t="str"/>
      <x:c r="M205" s="5" t="str">
        <x:v>未测</x:v>
      </x:c>
      <x:c r="N205" s="5" t="str"/>
      <x:c r="O205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06" ht="97.5" customHeight="1">
      <x:c r="A206" s="5" t="n">
        <x:v>205</x:v>
      </x:c>
      <x:c r="B206" s="5" t="str">
        <x:v>GDE-205</x:v>
      </x:c>
      <x:c r="C206" s="5" t="str">
        <x:v>公会App-数据与收益模块</x:v>
      </x:c>
      <x:c r="D206" s="5" t="str">
        <x:v>违规记录/违规类型</x:v>
      </x:c>
      <x:c r="E206" s="5" t="str">
        <x:v>功能需求</x:v>
      </x:c>
      <x:c r="F206" s="5" t="str">
        <x:v>P2</x:v>
      </x:c>
      <x:c r="G206" s="5" t="str">
        <x:v>验证暴恐血腥违规类型</x:v>
      </x:c>
      <x:c r="H206" s="5" t="str">
        <x:v>暴恐血腥类型</x:v>
      </x:c>
      <x:c r="I206" s="5" t="str">
        <x:v>1. 存在违规类型为“暴恐血腥”的记录</x:v>
      </x:c>
      <x:c r="J206" s="5" t="str">
        <x:v>1. 查看该违规记录</x:v>
      </x:c>
      <x:c r="K206" s="5" t="str">
        <x:v>1. 违规类型显示“暴恐血腥”</x:v>
      </x:c>
      <x:c r="L206" s="5" t="str"/>
      <x:c r="M206" s="5" t="str">
        <x:v>未测</x:v>
      </x:c>
      <x:c r="N206" s="5" t="str"/>
      <x:c r="O206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07" ht="97.5" customHeight="1">
      <x:c r="A207" s="5" t="n">
        <x:v>206</x:v>
      </x:c>
      <x:c r="B207" s="5" t="str">
        <x:v>GDE-206</x:v>
      </x:c>
      <x:c r="C207" s="5" t="str">
        <x:v>公会App-数据与收益模块</x:v>
      </x:c>
      <x:c r="D207" s="5" t="str">
        <x:v>违规记录/违规类型</x:v>
      </x:c>
      <x:c r="E207" s="5" t="str">
        <x:v>功能需求</x:v>
      </x:c>
      <x:c r="F207" s="5" t="str">
        <x:v>P2</x:v>
      </x:c>
      <x:c r="G207" s="5" t="str">
        <x:v>验证未成年有害违规类型</x:v>
      </x:c>
      <x:c r="H207" s="5" t="str">
        <x:v>未成年有害类型</x:v>
      </x:c>
      <x:c r="I207" s="5" t="str">
        <x:v>1. 存在违规类型为“未成年有害”的记录</x:v>
      </x:c>
      <x:c r="J207" s="5" t="str">
        <x:v>1. 查看该违规记录</x:v>
      </x:c>
      <x:c r="K207" s="5" t="str">
        <x:v>1. 违规类型显示“未成年有害”</x:v>
      </x:c>
      <x:c r="L207" s="5" t="str"/>
      <x:c r="M207" s="5" t="str">
        <x:v>未测</x:v>
      </x:c>
      <x:c r="N207" s="5" t="str"/>
      <x:c r="O207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08" ht="97.5" customHeight="1">
      <x:c r="A208" s="5" t="n">
        <x:v>207</x:v>
      </x:c>
      <x:c r="B208" s="5" t="str">
        <x:v>GDE-207</x:v>
      </x:c>
      <x:c r="C208" s="5" t="str">
        <x:v>公会App-数据与收益模块</x:v>
      </x:c>
      <x:c r="D208" s="5" t="str">
        <x:v>违规记录/违规类型</x:v>
      </x:c>
      <x:c r="E208" s="5" t="str">
        <x:v>功能需求</x:v>
      </x:c>
      <x:c r="F208" s="5" t="str">
        <x:v>P2</x:v>
      </x:c>
      <x:c r="G208" s="5" t="str">
        <x:v>验证其他违规类型</x:v>
      </x:c>
      <x:c r="H208" s="5" t="str">
        <x:v>其他类型</x:v>
      </x:c>
      <x:c r="I208" s="5" t="str">
        <x:v>1. 存在违规类型为“其他”的记录</x:v>
      </x:c>
      <x:c r="J208" s="5" t="str">
        <x:v>1. 查看该违规记录</x:v>
      </x:c>
      <x:c r="K208" s="5" t="str">
        <x:v>1. 违规类型显示“其他”</x:v>
      </x:c>
      <x:c r="L208" s="5" t="str"/>
      <x:c r="M208" s="5" t="str">
        <x:v>未测</x:v>
      </x:c>
      <x:c r="N208" s="5" t="str"/>
      <x:c r="O208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09" ht="109.5" customHeight="1">
      <x:c r="A209" s="5" t="n">
        <x:v>208</x:v>
      </x:c>
      <x:c r="B209" s="5" t="str">
        <x:v>GDE-208</x:v>
      </x:c>
      <x:c r="C209" s="5" t="str">
        <x:v>公会App-数据与收益模块</x:v>
      </x:c>
      <x:c r="D209" s="5" t="str">
        <x:v>违规记录/主播下钻</x:v>
      </x:c>
      <x:c r="E209" s="5" t="str">
        <x:v>业务流程</x:v>
      </x:c>
      <x:c r="F209" s="5" t="str">
        <x:v>P1</x:v>
      </x:c>
      <x:c r="G209" s="5" t="str">
        <x:v>验证点击违规主播进入主播主页</x:v>
      </x:c>
      <x:c r="H209" s="5" t="str">
        <x:v>违规主播下钻</x:v>
      </x:c>
      <x:c r="I209" s="5" t="str">
        <x:v>1. 违规列表存在主播 Sari 的记录</x:v>
      </x:c>
      <x:c r="J209" s="5" t="str">
        <x:v>1. 点击主播 Sari</x:v>
      </x:c>
      <x:c r="K209" s="5" t="str">
        <x:v>1. 页面进入 Sari 的主播主页</x:v>
      </x:c>
      <x:c r="L209" s="5" t="str">
        <x:v>FLOW-GDE-003</x:v>
      </x:c>
      <x:c r="M209" s="5" t="str">
        <x:v>未测</x:v>
      </x:c>
      <x:c r="N209" s="5" t="str"/>
      <x:c r="O209" s="5" t="str">
        <x:v>1. 来源：context/02-公会App-项目需求清单.md（2026-08-31 按原型同步，RSL-0005）
2. 来源：prototype/assets/annotations.js 的公会数据与收益批注
3. 来源：prototype/pages/guild/data/guild-all-violations.html 与 prototype/assets/guild-record-overviews.js；静态原型分析，未连接真实后端动态验证
4. 流程阶段：违规记录下钻主播主页
5. 同步追溯：work/liveshow-guild-data-income/prototype-context-sync-result.json；RSL-0005
6. 质量检查：最小前置条件、单一业务分支、单一可观察预期结果</x:v>
      </x:c>
    </x:row>
    <x:row r="210" ht="85.5" customHeight="1">
      <x:c r="A210" s="5" t="n">
        <x:v>209</x:v>
      </x:c>
      <x:c r="B210" s="5" t="str">
        <x:v>GDE-209</x:v>
      </x:c>
      <x:c r="C210" s="5" t="str">
        <x:v>公会App-数据与收益模块</x:v>
      </x:c>
      <x:c r="D210" s="5" t="str">
        <x:v>违规记录/主播下钻</x:v>
      </x:c>
      <x:c r="E210" s="5" t="str">
        <x:v>业务流程</x:v>
      </x:c>
      <x:c r="F210" s="5" t="str">
        <x:v>P2</x:v>
      </x:c>
      <x:c r="G210" s="5" t="str">
        <x:v>验证从主播主页返回违规记录</x:v>
      </x:c>
      <x:c r="H210" s="5" t="str">
        <x:v>返回违规记录</x:v>
      </x:c>
      <x:c r="I210" s="5" t="str">
        <x:v>1. 公会长已从违规记录进入主播 Sari 的主页</x:v>
      </x:c>
      <x:c r="J210" s="5" t="str">
        <x:v>1. 点击左上角返回按钮</x:v>
      </x:c>
      <x:c r="K210" s="5" t="str">
        <x:v>1. 页面返回违规记录页</x:v>
      </x:c>
      <x:c r="L210" s="5" t="str">
        <x:v>FLOW-GDE-003</x:v>
      </x:c>
      <x:c r="M210" s="5" t="str">
        <x:v>未测</x:v>
      </x:c>
      <x:c r="N210" s="5" t="str"/>
      <x:c r="O210" s="5" t="str">
        <x:v>1. 来源：prototype/pages/guild/data/guild-all-violations.html 与 prototype/assets/guild-record-overviews.js；静态原型分析，未连接真实后端动态验证
2. 流程阶段：主播主页返回违规记录
3. 同步追溯：work/liveshow-guild-data-income/prototype-context-sync-result.json；RSL-0005
4. 质量检查：最小前置条件、单一业务分支、单一可观察预期结果</x:v>
      </x:c>
    </x:row>
    <x:row r="211" ht="97.5" customHeight="1">
      <x:c r="A211" s="5" t="n">
        <x:v>210</x:v>
      </x:c>
      <x:c r="B211" s="5" t="str">
        <x:v>GDE-210</x:v>
      </x:c>
      <x:c r="C211" s="5" t="str">
        <x:v>公会App-数据与收益模块</x:v>
      </x:c>
      <x:c r="D211" s="5" t="str">
        <x:v>主播分成记录/默认状态</x:v>
      </x:c>
      <x:c r="E211" s="5" t="str">
        <x:v>功能需求</x:v>
      </x:c>
      <x:c r="F211" s="5" t="str">
        <x:v>P1</x:v>
      </x:c>
      <x:c r="G211" s="5" t="str">
        <x:v>验证主播分成默认主播范围</x:v>
      </x:c>
      <x:c r="H211" s="5" t="str">
        <x:v>默认全部主播</x:v>
      </x:c>
      <x:c r="I211" s="5" t="str">
        <x:v>1. 当前公会存在 6 名主播</x:v>
      </x:c>
      <x:c r="J211" s="5" t="str">
        <x:v>1. 从公会首页进入主播分成记录
2. 查看主播筛选项</x:v>
      </x:c>
      <x:c r="K211" s="5" t="str">
        <x:v>1. 主播筛选项显示已选 6 人</x:v>
      </x:c>
      <x:c r="L211" s="5" t="str"/>
      <x:c r="M211" s="5" t="str">
        <x:v>未测</x:v>
      </x:c>
      <x:c r="N211" s="5" t="str"/>
      <x:c r="O211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2" ht="97.5" customHeight="1">
      <x:c r="A212" s="5" t="n">
        <x:v>211</x:v>
      </x:c>
      <x:c r="B212" s="5" t="str">
        <x:v>GDE-211</x:v>
      </x:c>
      <x:c r="C212" s="5" t="str">
        <x:v>公会App-数据与收益模块</x:v>
      </x:c>
      <x:c r="D212" s="5" t="str">
        <x:v>主播分成记录/默认状态</x:v>
      </x:c>
      <x:c r="E212" s="5" t="str">
        <x:v>功能需求</x:v>
      </x:c>
      <x:c r="F212" s="5" t="str">
        <x:v>P1</x:v>
      </x:c>
      <x:c r="G212" s="5" t="str">
        <x:v>验证主播分成默认日期范围</x:v>
      </x:c>
      <x:c r="H212" s="5" t="str">
        <x:v>默认本月</x:v>
      </x:c>
      <x:c r="I212" s="5" t="str">
        <x:v>1. 测试环境业务日期为 24/08/2026</x:v>
      </x:c>
      <x:c r="J212" s="5" t="str">
        <x:v>1. 从公会首页进入主播分成记录
2. 查看日期快捷项</x:v>
      </x:c>
      <x:c r="K212" s="5" t="str">
        <x:v>1. 日期快捷项显示“本月”</x:v>
      </x:c>
      <x:c r="L212" s="5" t="str"/>
      <x:c r="M212" s="5" t="str">
        <x:v>未测</x:v>
      </x:c>
      <x:c r="N212" s="5" t="str"/>
      <x:c r="O212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3" ht="97.5" customHeight="1">
      <x:c r="A213" s="5" t="n">
        <x:v>212</x:v>
      </x:c>
      <x:c r="B213" s="5" t="str">
        <x:v>GDE-212</x:v>
      </x:c>
      <x:c r="C213" s="5" t="str">
        <x:v>公会App-数据与收益模块</x:v>
      </x:c>
      <x:c r="D213" s="5" t="str">
        <x:v>主播分成记录/快捷日期</x:v>
      </x:c>
      <x:c r="E213" s="5" t="str">
        <x:v>功能需求</x:v>
      </x:c>
      <x:c r="F213" s="5" t="str">
        <x:v>P1</x:v>
      </x:c>
      <x:c r="G213" s="5" t="str">
        <x:v>验证主播分成快捷日期选项</x:v>
      </x:c>
      <x:c r="H213" s="5" t="str">
        <x:v>快捷日期选项</x:v>
      </x:c>
      <x:c r="I213" s="5" t="str">
        <x:v>1. 公会长已进入主播分成记录页</x:v>
      </x:c>
      <x:c r="J213" s="5" t="str">
        <x:v>1. 打开日期快捷菜单</x:v>
      </x:c>
      <x:c r="K213" s="5" t="str">
        <x:v>1. 菜单展示今日、昨日、本周、上周、本月、上月和自定义 7 个选项</x:v>
      </x:c>
      <x:c r="L213" s="5" t="str"/>
      <x:c r="M213" s="5" t="str">
        <x:v>未测</x:v>
      </x:c>
      <x:c r="N213" s="5" t="str"/>
      <x:c r="O213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4" ht="97.5" customHeight="1">
      <x:c r="A214" s="5" t="n">
        <x:v>213</x:v>
      </x:c>
      <x:c r="B214" s="5" t="str">
        <x:v>GDE-213</x:v>
      </x:c>
      <x:c r="C214" s="5" t="str">
        <x:v>公会App-数据与收益模块</x:v>
      </x:c>
      <x:c r="D214" s="5" t="str">
        <x:v>主播分成记录/快捷日期</x:v>
      </x:c>
      <x:c r="E214" s="5" t="str">
        <x:v>逻辑校验</x:v>
      </x:c>
      <x:c r="F214" s="5" t="str">
        <x:v>P1</x:v>
      </x:c>
      <x:c r="G214" s="5" t="str">
        <x:v>验证今日分成日期范围</x:v>
      </x:c>
      <x:c r="H214" s="5" t="str">
        <x:v>今日日期范围</x:v>
      </x:c>
      <x:c r="I214" s="5" t="str">
        <x:v>1. 测试环境业务日期为 24/08/2026</x:v>
      </x:c>
      <x:c r="J214" s="5" t="str">
        <x:v>1. 打开日期快捷菜单
2. 选择“今日”</x:v>
      </x:c>
      <x:c r="K214" s="5" t="str">
        <x:v>1. 分成日期范围按 24/08/2026 至 24/08/2026 应用</x:v>
      </x:c>
      <x:c r="L214" s="5" t="str"/>
      <x:c r="M214" s="5" t="str">
        <x:v>未测</x:v>
      </x:c>
      <x:c r="N214" s="5" t="str"/>
      <x:c r="O214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5" ht="97.5" customHeight="1">
      <x:c r="A215" s="5" t="n">
        <x:v>214</x:v>
      </x:c>
      <x:c r="B215" s="5" t="str">
        <x:v>GDE-214</x:v>
      </x:c>
      <x:c r="C215" s="5" t="str">
        <x:v>公会App-数据与收益模块</x:v>
      </x:c>
      <x:c r="D215" s="5" t="str">
        <x:v>主播分成记录/快捷日期</x:v>
      </x:c>
      <x:c r="E215" s="5" t="str">
        <x:v>逻辑校验</x:v>
      </x:c>
      <x:c r="F215" s="5" t="str">
        <x:v>P1</x:v>
      </x:c>
      <x:c r="G215" s="5" t="str">
        <x:v>验证今日分成记录范围</x:v>
      </x:c>
      <x:c r="H215" s="5" t="str">
        <x:v>今日记录结果集</x:v>
      </x:c>
      <x:c r="I215" s="5" t="str">
        <x:v>1. 24/08/2026 至 24/08/2026 内外均存在主播分成记录</x:v>
      </x:c>
      <x:c r="J215" s="5" t="str">
        <x:v>1. 打开日期快捷菜单
2. 选择“今日”
3. 查看记录列表</x:v>
      </x:c>
      <x:c r="K215" s="5" t="str">
        <x:v>1. 记录列表结果集仅包含 24/08/2026 至 24/08/2026 内的主播分成记录</x:v>
      </x:c>
      <x:c r="L215" s="5" t="str"/>
      <x:c r="M215" s="5" t="str">
        <x:v>未测</x:v>
      </x:c>
      <x:c r="N215" s="5" t="str"/>
      <x:c r="O215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6" ht="97.5" customHeight="1">
      <x:c r="A216" s="5" t="n">
        <x:v>215</x:v>
      </x:c>
      <x:c r="B216" s="5" t="str">
        <x:v>GDE-215</x:v>
      </x:c>
      <x:c r="C216" s="5" t="str">
        <x:v>公会App-数据与收益模块</x:v>
      </x:c>
      <x:c r="D216" s="5" t="str">
        <x:v>主播分成记录/快捷日期</x:v>
      </x:c>
      <x:c r="E216" s="5" t="str">
        <x:v>逻辑校验</x:v>
      </x:c>
      <x:c r="F216" s="5" t="str">
        <x:v>P1</x:v>
      </x:c>
      <x:c r="G216" s="5" t="str">
        <x:v>验证昨日分成日期范围</x:v>
      </x:c>
      <x:c r="H216" s="5" t="str">
        <x:v>昨日日期范围</x:v>
      </x:c>
      <x:c r="I216" s="5" t="str">
        <x:v>1. 测试环境业务日期为 24/08/2026</x:v>
      </x:c>
      <x:c r="J216" s="5" t="str">
        <x:v>1. 打开日期快捷菜单
2. 选择“昨日”</x:v>
      </x:c>
      <x:c r="K216" s="5" t="str">
        <x:v>1. 分成日期范围按 23/08/2026 至 23/08/2026 应用</x:v>
      </x:c>
      <x:c r="L216" s="5" t="str"/>
      <x:c r="M216" s="5" t="str">
        <x:v>未测</x:v>
      </x:c>
      <x:c r="N216" s="5" t="str"/>
      <x:c r="O216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7" ht="97.5" customHeight="1">
      <x:c r="A217" s="5" t="n">
        <x:v>216</x:v>
      </x:c>
      <x:c r="B217" s="5" t="str">
        <x:v>GDE-216</x:v>
      </x:c>
      <x:c r="C217" s="5" t="str">
        <x:v>公会App-数据与收益模块</x:v>
      </x:c>
      <x:c r="D217" s="5" t="str">
        <x:v>主播分成记录/快捷日期</x:v>
      </x:c>
      <x:c r="E217" s="5" t="str">
        <x:v>逻辑校验</x:v>
      </x:c>
      <x:c r="F217" s="5" t="str">
        <x:v>P1</x:v>
      </x:c>
      <x:c r="G217" s="5" t="str">
        <x:v>验证昨日分成记录范围</x:v>
      </x:c>
      <x:c r="H217" s="5" t="str">
        <x:v>昨日记录结果集</x:v>
      </x:c>
      <x:c r="I217" s="5" t="str">
        <x:v>1. 23/08/2026 至 23/08/2026 内外均存在主播分成记录</x:v>
      </x:c>
      <x:c r="J217" s="5" t="str">
        <x:v>1. 打开日期快捷菜单
2. 选择“昨日”
3. 查看记录列表</x:v>
      </x:c>
      <x:c r="K217" s="5" t="str">
        <x:v>1. 记录列表结果集仅包含 23/08/2026 至 23/08/2026 内的主播分成记录</x:v>
      </x:c>
      <x:c r="L217" s="5" t="str"/>
      <x:c r="M217" s="5" t="str">
        <x:v>未测</x:v>
      </x:c>
      <x:c r="N217" s="5" t="str"/>
      <x:c r="O217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8" ht="97.5" customHeight="1">
      <x:c r="A218" s="5" t="n">
        <x:v>217</x:v>
      </x:c>
      <x:c r="B218" s="5" t="str">
        <x:v>GDE-217</x:v>
      </x:c>
      <x:c r="C218" s="5" t="str">
        <x:v>公会App-数据与收益模块</x:v>
      </x:c>
      <x:c r="D218" s="5" t="str">
        <x:v>主播分成记录/快捷日期</x:v>
      </x:c>
      <x:c r="E218" s="5" t="str">
        <x:v>逻辑校验</x:v>
      </x:c>
      <x:c r="F218" s="5" t="str">
        <x:v>P1</x:v>
      </x:c>
      <x:c r="G218" s="5" t="str">
        <x:v>验证本周分成日期范围</x:v>
      </x:c>
      <x:c r="H218" s="5" t="str">
        <x:v>本周日期范围</x:v>
      </x:c>
      <x:c r="I218" s="5" t="str">
        <x:v>1. 测试环境业务日期为 24/08/2026</x:v>
      </x:c>
      <x:c r="J218" s="5" t="str">
        <x:v>1. 打开日期快捷菜单
2. 选择“本周”</x:v>
      </x:c>
      <x:c r="K218" s="5" t="str">
        <x:v>1. 分成日期范围按 24/08/2026 至 24/08/2026 应用</x:v>
      </x:c>
      <x:c r="L218" s="5" t="str"/>
      <x:c r="M218" s="5" t="str">
        <x:v>未测</x:v>
      </x:c>
      <x:c r="N218" s="5" t="str"/>
      <x:c r="O218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19" ht="97.5" customHeight="1">
      <x:c r="A219" s="5" t="n">
        <x:v>218</x:v>
      </x:c>
      <x:c r="B219" s="5" t="str">
        <x:v>GDE-218</x:v>
      </x:c>
      <x:c r="C219" s="5" t="str">
        <x:v>公会App-数据与收益模块</x:v>
      </x:c>
      <x:c r="D219" s="5" t="str">
        <x:v>主播分成记录/快捷日期</x:v>
      </x:c>
      <x:c r="E219" s="5" t="str">
        <x:v>逻辑校验</x:v>
      </x:c>
      <x:c r="F219" s="5" t="str">
        <x:v>P1</x:v>
      </x:c>
      <x:c r="G219" s="5" t="str">
        <x:v>验证本周分成记录范围</x:v>
      </x:c>
      <x:c r="H219" s="5" t="str">
        <x:v>本周记录结果集</x:v>
      </x:c>
      <x:c r="I219" s="5" t="str">
        <x:v>1. 24/08/2026 至 24/08/2026 内外均存在主播分成记录</x:v>
      </x:c>
      <x:c r="J219" s="5" t="str">
        <x:v>1. 打开日期快捷菜单
2. 选择“本周”
3. 查看记录列表</x:v>
      </x:c>
      <x:c r="K219" s="5" t="str">
        <x:v>1. 记录列表结果集仅包含 24/08/2026 至 24/08/2026 内的主播分成记录</x:v>
      </x:c>
      <x:c r="L219" s="5" t="str"/>
      <x:c r="M219" s="5" t="str">
        <x:v>未测</x:v>
      </x:c>
      <x:c r="N219" s="5" t="str"/>
      <x:c r="O219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0" ht="97.5" customHeight="1">
      <x:c r="A220" s="5" t="n">
        <x:v>219</x:v>
      </x:c>
      <x:c r="B220" s="5" t="str">
        <x:v>GDE-219</x:v>
      </x:c>
      <x:c r="C220" s="5" t="str">
        <x:v>公会App-数据与收益模块</x:v>
      </x:c>
      <x:c r="D220" s="5" t="str">
        <x:v>主播分成记录/快捷日期</x:v>
      </x:c>
      <x:c r="E220" s="5" t="str">
        <x:v>逻辑校验</x:v>
      </x:c>
      <x:c r="F220" s="5" t="str">
        <x:v>P1</x:v>
      </x:c>
      <x:c r="G220" s="5" t="str">
        <x:v>验证上周分成日期范围</x:v>
      </x:c>
      <x:c r="H220" s="5" t="str">
        <x:v>上周日期范围</x:v>
      </x:c>
      <x:c r="I220" s="5" t="str">
        <x:v>1. 测试环境业务日期为 24/08/2026</x:v>
      </x:c>
      <x:c r="J220" s="5" t="str">
        <x:v>1. 打开日期快捷菜单
2. 选择“上周”</x:v>
      </x:c>
      <x:c r="K220" s="5" t="str">
        <x:v>1. 分成日期范围按 17/08/2026 至 23/08/2026 应用</x:v>
      </x:c>
      <x:c r="L220" s="5" t="str"/>
      <x:c r="M220" s="5" t="str">
        <x:v>未测</x:v>
      </x:c>
      <x:c r="N220" s="5" t="str"/>
      <x:c r="O220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1" ht="97.5" customHeight="1">
      <x:c r="A221" s="5" t="n">
        <x:v>220</x:v>
      </x:c>
      <x:c r="B221" s="5" t="str">
        <x:v>GDE-220</x:v>
      </x:c>
      <x:c r="C221" s="5" t="str">
        <x:v>公会App-数据与收益模块</x:v>
      </x:c>
      <x:c r="D221" s="5" t="str">
        <x:v>主播分成记录/快捷日期</x:v>
      </x:c>
      <x:c r="E221" s="5" t="str">
        <x:v>逻辑校验</x:v>
      </x:c>
      <x:c r="F221" s="5" t="str">
        <x:v>P1</x:v>
      </x:c>
      <x:c r="G221" s="5" t="str">
        <x:v>验证上周分成记录范围</x:v>
      </x:c>
      <x:c r="H221" s="5" t="str">
        <x:v>上周记录结果集</x:v>
      </x:c>
      <x:c r="I221" s="5" t="str">
        <x:v>1. 17/08/2026 至 23/08/2026 内外均存在主播分成记录</x:v>
      </x:c>
      <x:c r="J221" s="5" t="str">
        <x:v>1. 打开日期快捷菜单
2. 选择“上周”
3. 查看记录列表</x:v>
      </x:c>
      <x:c r="K221" s="5" t="str">
        <x:v>1. 记录列表结果集仅包含 17/08/2026 至 23/08/2026 内的主播分成记录</x:v>
      </x:c>
      <x:c r="L221" s="5" t="str"/>
      <x:c r="M221" s="5" t="str">
        <x:v>未测</x:v>
      </x:c>
      <x:c r="N221" s="5" t="str"/>
      <x:c r="O221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2" ht="97.5" customHeight="1">
      <x:c r="A222" s="5" t="n">
        <x:v>221</x:v>
      </x:c>
      <x:c r="B222" s="5" t="str">
        <x:v>GDE-221</x:v>
      </x:c>
      <x:c r="C222" s="5" t="str">
        <x:v>公会App-数据与收益模块</x:v>
      </x:c>
      <x:c r="D222" s="5" t="str">
        <x:v>主播分成记录/快捷日期</x:v>
      </x:c>
      <x:c r="E222" s="5" t="str">
        <x:v>逻辑校验</x:v>
      </x:c>
      <x:c r="F222" s="5" t="str">
        <x:v>P1</x:v>
      </x:c>
      <x:c r="G222" s="5" t="str">
        <x:v>验证本月分成日期范围</x:v>
      </x:c>
      <x:c r="H222" s="5" t="str">
        <x:v>本月日期范围</x:v>
      </x:c>
      <x:c r="I222" s="5" t="str">
        <x:v>1. 测试环境业务日期为 24/08/2026</x:v>
      </x:c>
      <x:c r="J222" s="5" t="str">
        <x:v>1. 打开日期快捷菜单
2. 选择“本月”</x:v>
      </x:c>
      <x:c r="K222" s="5" t="str">
        <x:v>1. 分成日期范围按 01/08/2026 至 24/08/2026 应用</x:v>
      </x:c>
      <x:c r="L222" s="5" t="str"/>
      <x:c r="M222" s="5" t="str">
        <x:v>未测</x:v>
      </x:c>
      <x:c r="N222" s="5" t="str"/>
      <x:c r="O222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3" ht="97.5" customHeight="1">
      <x:c r="A223" s="5" t="n">
        <x:v>222</x:v>
      </x:c>
      <x:c r="B223" s="5" t="str">
        <x:v>GDE-222</x:v>
      </x:c>
      <x:c r="C223" s="5" t="str">
        <x:v>公会App-数据与收益模块</x:v>
      </x:c>
      <x:c r="D223" s="5" t="str">
        <x:v>主播分成记录/快捷日期</x:v>
      </x:c>
      <x:c r="E223" s="5" t="str">
        <x:v>逻辑校验</x:v>
      </x:c>
      <x:c r="F223" s="5" t="str">
        <x:v>P1</x:v>
      </x:c>
      <x:c r="G223" s="5" t="str">
        <x:v>验证本月分成记录范围</x:v>
      </x:c>
      <x:c r="H223" s="5" t="str">
        <x:v>本月记录结果集</x:v>
      </x:c>
      <x:c r="I223" s="5" t="str">
        <x:v>1. 01/08/2026 至 24/08/2026 内外均存在主播分成记录</x:v>
      </x:c>
      <x:c r="J223" s="5" t="str">
        <x:v>1. 打开日期快捷菜单
2. 选择“本月”
3. 查看记录列表</x:v>
      </x:c>
      <x:c r="K223" s="5" t="str">
        <x:v>1. 记录列表结果集仅包含 01/08/2026 至 24/08/2026 内的主播分成记录</x:v>
      </x:c>
      <x:c r="L223" s="5" t="str"/>
      <x:c r="M223" s="5" t="str">
        <x:v>未测</x:v>
      </x:c>
      <x:c r="N223" s="5" t="str"/>
      <x:c r="O223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4" ht="97.5" customHeight="1">
      <x:c r="A224" s="5" t="n">
        <x:v>223</x:v>
      </x:c>
      <x:c r="B224" s="5" t="str">
        <x:v>GDE-223</x:v>
      </x:c>
      <x:c r="C224" s="5" t="str">
        <x:v>公会App-数据与收益模块</x:v>
      </x:c>
      <x:c r="D224" s="5" t="str">
        <x:v>主播分成记录/快捷日期</x:v>
      </x:c>
      <x:c r="E224" s="5" t="str">
        <x:v>逻辑校验</x:v>
      </x:c>
      <x:c r="F224" s="5" t="str">
        <x:v>P1</x:v>
      </x:c>
      <x:c r="G224" s="5" t="str">
        <x:v>验证上月分成日期范围</x:v>
      </x:c>
      <x:c r="H224" s="5" t="str">
        <x:v>上月日期范围</x:v>
      </x:c>
      <x:c r="I224" s="5" t="str">
        <x:v>1. 测试环境业务日期为 24/08/2026</x:v>
      </x:c>
      <x:c r="J224" s="5" t="str">
        <x:v>1. 打开日期快捷菜单
2. 选择“上月”</x:v>
      </x:c>
      <x:c r="K224" s="5" t="str">
        <x:v>1. 分成日期范围按 01/07/2026 至 31/07/2026 应用</x:v>
      </x:c>
      <x:c r="L224" s="5" t="str"/>
      <x:c r="M224" s="5" t="str">
        <x:v>未测</x:v>
      </x:c>
      <x:c r="N224" s="5" t="str"/>
      <x:c r="O224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5" ht="97.5" customHeight="1">
      <x:c r="A225" s="5" t="n">
        <x:v>224</x:v>
      </x:c>
      <x:c r="B225" s="5" t="str">
        <x:v>GDE-224</x:v>
      </x:c>
      <x:c r="C225" s="5" t="str">
        <x:v>公会App-数据与收益模块</x:v>
      </x:c>
      <x:c r="D225" s="5" t="str">
        <x:v>主播分成记录/快捷日期</x:v>
      </x:c>
      <x:c r="E225" s="5" t="str">
        <x:v>逻辑校验</x:v>
      </x:c>
      <x:c r="F225" s="5" t="str">
        <x:v>P1</x:v>
      </x:c>
      <x:c r="G225" s="5" t="str">
        <x:v>验证上月分成记录范围</x:v>
      </x:c>
      <x:c r="H225" s="5" t="str">
        <x:v>上月记录结果集</x:v>
      </x:c>
      <x:c r="I225" s="5" t="str">
        <x:v>1. 01/07/2026 至 31/07/2026 内外均存在主播分成记录</x:v>
      </x:c>
      <x:c r="J225" s="5" t="str">
        <x:v>1. 打开日期快捷菜单
2. 选择“上月”
3. 查看记录列表</x:v>
      </x:c>
      <x:c r="K225" s="5" t="str">
        <x:v>1. 记录列表结果集仅包含 01/07/2026 至 31/07/2026 内的主播分成记录</x:v>
      </x:c>
      <x:c r="L225" s="5" t="str"/>
      <x:c r="M225" s="5" t="str">
        <x:v>未测</x:v>
      </x:c>
      <x:c r="N225" s="5" t="str"/>
      <x:c r="O225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同步追溯：work/liveshow-guild-data-income/prototype-context-sync-result.json；RSL-0005
5. 质量检查：最小前置条件、单一业务分支、单一可观察预期结果</x:v>
      </x:c>
    </x:row>
    <x:row r="226" ht="121.5" customHeight="1">
      <x:c r="A226" s="5" t="n">
        <x:v>225</x:v>
      </x:c>
      <x:c r="B226" s="5" t="str">
        <x:v>GDE-225</x:v>
      </x:c>
      <x:c r="C226" s="5" t="str">
        <x:v>公会App-数据与收益模块</x:v>
      </x:c>
      <x:c r="D226" s="5" t="str">
        <x:v>主播分成记录</x:v>
      </x:c>
      <x:c r="E226" s="5" t="str">
        <x:v>功能需求</x:v>
      </x:c>
      <x:c r="F226" s="5" t="str">
        <x:v>P1</x:v>
      </x:c>
      <x:c r="G226" s="5" t="str">
        <x:v>验证自定义日期入口</x:v>
      </x:c>
      <x:c r="H226" s="5" t="str">
        <x:v>自定义日期入口</x:v>
      </x:c>
      <x:c r="I226" s="5" t="str">
        <x:v>1. 公会长已进入主播分成记录页</x:v>
      </x:c>
      <x:c r="J226" s="5" t="str">
        <x:v>1. 打开日期快捷菜单
2. 选择“自定义”</x:v>
      </x:c>
      <x:c r="K226" s="5" t="str">
        <x:v>1. 页面打开日期选择器</x:v>
      </x:c>
      <x:c r="L226" s="5" t="str"/>
      <x:c r="M226" s="5" t="str">
        <x:v>未测</x:v>
      </x:c>
      <x:c r="N226" s="5" t="str"/>
      <x:c r="O226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27" ht="121.5" customHeight="1">
      <x:c r="A227" s="5" t="n">
        <x:v>226</x:v>
      </x:c>
      <x:c r="B227" s="5" t="str">
        <x:v>GDE-226</x:v>
      </x:c>
      <x:c r="C227" s="5" t="str">
        <x:v>公会App-数据与收益模块</x:v>
      </x:c>
      <x:c r="D227" s="5" t="str">
        <x:v>主播分成记录</x:v>
      </x:c>
      <x:c r="E227" s="5" t="str">
        <x:v>功能需求</x:v>
      </x:c>
      <x:c r="F227" s="5" t="str">
        <x:v>P2</x:v>
      </x:c>
      <x:c r="G227" s="5" t="str">
        <x:v>验证取消日期选择</x:v>
      </x:c>
      <x:c r="H227" s="5" t="str">
        <x:v>取消日期选择</x:v>
      </x:c>
      <x:c r="I227" s="5" t="str">
        <x:v>1. 主播分成日期选择器已打开</x:v>
      </x:c>
      <x:c r="J227" s="5" t="str">
        <x:v>1. 点击“取消”</x:v>
      </x:c>
      <x:c r="K227" s="5" t="str">
        <x:v>1. 日期选择器关闭</x:v>
      </x:c>
      <x:c r="L227" s="5" t="str"/>
      <x:c r="M227" s="5" t="str">
        <x:v>未测</x:v>
      </x:c>
      <x:c r="N227" s="5" t="str"/>
      <x:c r="O227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28" ht="121.5" customHeight="1">
      <x:c r="A228" s="5" t="n">
        <x:v>227</x:v>
      </x:c>
      <x:c r="B228" s="5" t="str">
        <x:v>GDE-227</x:v>
      </x:c>
      <x:c r="C228" s="5" t="str">
        <x:v>公会App-数据与收益模块</x:v>
      </x:c>
      <x:c r="D228" s="5" t="str">
        <x:v>主播分成记录</x:v>
      </x:c>
      <x:c r="E228" s="5" t="str">
        <x:v>逻辑校验</x:v>
      </x:c>
      <x:c r="F228" s="5" t="str">
        <x:v>P1</x:v>
      </x:c>
      <x:c r="G228" s="5" t="str">
        <x:v>验证自定义日期范围</x:v>
      </x:c>
      <x:c r="H228" s="5" t="str">
        <x:v>自定义日期范围</x:v>
      </x:c>
      <x:c r="I228" s="5" t="str">
        <x:v>1. 10/08/2026 至 12/08/2026 内外均存在分成记录</x:v>
      </x:c>
      <x:c r="J228" s="5" t="str">
        <x:v>1. 选择 10/08/2026 至 12/08/2026
2. 点击“确定”</x:v>
      </x:c>
      <x:c r="K228" s="5" t="str">
        <x:v>1. 记录列表结果集仅包含 10/08/2026 至 12/08/2026 内的分成记录</x:v>
      </x:c>
      <x:c r="L228" s="5" t="str"/>
      <x:c r="M228" s="5" t="str">
        <x:v>未测</x:v>
      </x:c>
      <x:c r="N228" s="5" t="str"/>
      <x:c r="O228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29" ht="121.5" customHeight="1">
      <x:c r="A229" s="5" t="n">
        <x:v>228</x:v>
      </x:c>
      <x:c r="B229" s="5" t="str">
        <x:v>GDE-228</x:v>
      </x:c>
      <x:c r="C229" s="5" t="str">
        <x:v>公会App-数据与收益模块</x:v>
      </x:c>
      <x:c r="D229" s="5" t="str">
        <x:v>主播分成记录</x:v>
      </x:c>
      <x:c r="E229" s="5" t="str">
        <x:v>逻辑校验</x:v>
      </x:c>
      <x:c r="F229" s="5" t="str">
        <x:v>P1</x:v>
      </x:c>
      <x:c r="G229" s="5" t="str">
        <x:v>验证反向日期归一</x:v>
      </x:c>
      <x:c r="H229" s="5" t="str">
        <x:v>反向日期归一</x:v>
      </x:c>
      <x:c r="I229" s="5" t="str">
        <x:v>1. 主播分成日期选择器已打开</x:v>
      </x:c>
      <x:c r="J229" s="5" t="str">
        <x:v>1. 先选择 15/08/2026
2. 再选择 12/08/2026
3. 点击“确定”</x:v>
      </x:c>
      <x:c r="K229" s="5" t="str">
        <x:v>1. 分成日期范围按 12/08/2026 至 15/08/2026 应用</x:v>
      </x:c>
      <x:c r="L229" s="5" t="str"/>
      <x:c r="M229" s="5" t="str">
        <x:v>未测</x:v>
      </x:c>
      <x:c r="N229" s="5" t="str"/>
      <x:c r="O229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0" ht="121.5" customHeight="1">
      <x:c r="A230" s="5" t="n">
        <x:v>229</x:v>
      </x:c>
      <x:c r="B230" s="5" t="str">
        <x:v>GDE-229</x:v>
      </x:c>
      <x:c r="C230" s="5" t="str">
        <x:v>公会App-数据与收益模块</x:v>
      </x:c>
      <x:c r="D230" s="5" t="str">
        <x:v>主播分成记录</x:v>
      </x:c>
      <x:c r="E230" s="5" t="str">
        <x:v>功能需求</x:v>
      </x:c>
      <x:c r="F230" s="5" t="str">
        <x:v>P1</x:v>
      </x:c>
      <x:c r="G230" s="5" t="str">
        <x:v>验证主播选择入口</x:v>
      </x:c>
      <x:c r="H230" s="5" t="str">
        <x:v>主播选择入口</x:v>
      </x:c>
      <x:c r="I230" s="5" t="str">
        <x:v>1. 公会长已进入主播分成记录页</x:v>
      </x:c>
      <x:c r="J230" s="5" t="str">
        <x:v>1. 点击主播筛选项</x:v>
      </x:c>
      <x:c r="K230" s="5" t="str">
        <x:v>1. 页面进入标题为“选择主播”的页面</x:v>
      </x:c>
      <x:c r="L230" s="5" t="str">
        <x:v>FLOW-GDE-004</x:v>
      </x:c>
      <x:c r="M230" s="5" t="str">
        <x:v>未测</x:v>
      </x:c>
      <x:c r="N230" s="5" t="str"/>
      <x:c r="O230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1" ht="121.5" customHeight="1">
      <x:c r="A231" s="5" t="n">
        <x:v>230</x:v>
      </x:c>
      <x:c r="B231" s="5" t="str">
        <x:v>GDE-230</x:v>
      </x:c>
      <x:c r="C231" s="5" t="str">
        <x:v>公会App-数据与收益模块</x:v>
      </x:c>
      <x:c r="D231" s="5" t="str">
        <x:v>主播分成记录</x:v>
      </x:c>
      <x:c r="E231" s="5" t="str">
        <x:v>逻辑校验</x:v>
      </x:c>
      <x:c r="F231" s="5" t="str">
        <x:v>P1</x:v>
      </x:c>
      <x:c r="G231" s="5" t="str">
        <x:v>验证单主播记录范围</x:v>
      </x:c>
      <x:c r="H231" s="5" t="str">
        <x:v>单主播记录范围</x:v>
      </x:c>
      <x:c r="I231" s="5" t="str">
        <x:v>1. Sari 和 Dewi 均有分成记录</x:v>
      </x:c>
      <x:c r="J231" s="5" t="str">
        <x:v>1. 仅选择主播 Sari
2. 返回主播分成记录页</x:v>
      </x:c>
      <x:c r="K231" s="5" t="str">
        <x:v>1. 记录列表结果集仅包含主播 Sari 的分成记录</x:v>
      </x:c>
      <x:c r="L231" s="5" t="str"/>
      <x:c r="M231" s="5" t="str">
        <x:v>未测</x:v>
      </x:c>
      <x:c r="N231" s="5" t="str"/>
      <x:c r="O231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2" ht="121.5" customHeight="1">
      <x:c r="A232" s="5" t="n">
        <x:v>231</x:v>
      </x:c>
      <x:c r="B232" s="5" t="str">
        <x:v>GDE-231</x:v>
      </x:c>
      <x:c r="C232" s="5" t="str">
        <x:v>公会App-数据与收益模块</x:v>
      </x:c>
      <x:c r="D232" s="5" t="str">
        <x:v>主播分成记录</x:v>
      </x:c>
      <x:c r="E232" s="5" t="str">
        <x:v>逻辑校验</x:v>
      </x:c>
      <x:c r="F232" s="5" t="str">
        <x:v>P1</x:v>
      </x:c>
      <x:c r="G232" s="5" t="str">
        <x:v>验证多主播记录范围</x:v>
      </x:c>
      <x:c r="H232" s="5" t="str">
        <x:v>多主播记录范围</x:v>
      </x:c>
      <x:c r="I232" s="5" t="str">
        <x:v>1. Sari、Dewi 和 Maya 均有分成记录</x:v>
      </x:c>
      <x:c r="J232" s="5" t="str">
        <x:v>1. 仅选择 Sari 和 Dewi
2. 返回主播分成记录页</x:v>
      </x:c>
      <x:c r="K232" s="5" t="str">
        <x:v>1. 记录列表结果集仅包含 Sari 和 Dewi 的分成记录</x:v>
      </x:c>
      <x:c r="L232" s="5" t="str"/>
      <x:c r="M232" s="5" t="str">
        <x:v>未测</x:v>
      </x:c>
      <x:c r="N232" s="5" t="str"/>
      <x:c r="O232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3" ht="121.5" customHeight="1">
      <x:c r="A233" s="5" t="n">
        <x:v>232</x:v>
      </x:c>
      <x:c r="B233" s="5" t="str">
        <x:v>GDE-232</x:v>
      </x:c>
      <x:c r="C233" s="5" t="str">
        <x:v>公会App-数据与收益模块</x:v>
      </x:c>
      <x:c r="D233" s="5" t="str">
        <x:v>主播分成记录</x:v>
      </x:c>
      <x:c r="E233" s="5" t="str">
        <x:v>异常用例</x:v>
      </x:c>
      <x:c r="F233" s="5" t="str">
        <x:v>P2</x:v>
      </x:c>
      <x:c r="G233" s="5" t="str">
        <x:v>验证零主播记录空态</x:v>
      </x:c>
      <x:c r="H233" s="5" t="str">
        <x:v>零主播记录空态</x:v>
      </x:c>
      <x:c r="I233" s="5" t="str">
        <x:v>1. 主播选择页当前选中全部主播</x:v>
      </x:c>
      <x:c r="J233" s="5" t="str">
        <x:v>1. 取消选择全部主播
2. 返回主播分成记录页</x:v>
      </x:c>
      <x:c r="K233" s="5" t="str">
        <x:v>1. 记录区显示“暂无分成记录”</x:v>
      </x:c>
      <x:c r="L233" s="5" t="str"/>
      <x:c r="M233" s="5" t="str">
        <x:v>未测</x:v>
      </x:c>
      <x:c r="N233" s="5" t="str"/>
      <x:c r="O233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4" ht="121.5" customHeight="1">
      <x:c r="A234" s="5" t="n">
        <x:v>233</x:v>
      </x:c>
      <x:c r="B234" s="5" t="str">
        <x:v>GDE-233</x:v>
      </x:c>
      <x:c r="C234" s="5" t="str">
        <x:v>公会App-数据与收益模块</x:v>
      </x:c>
      <x:c r="D234" s="5" t="str">
        <x:v>主播分成记录</x:v>
      </x:c>
      <x:c r="E234" s="5" t="str">
        <x:v>逻辑校验</x:v>
      </x:c>
      <x:c r="F234" s="5" t="str">
        <x:v>P1</x:v>
      </x:c>
      <x:c r="G234" s="5" t="str">
        <x:v>验证选择主播保留日期</x:v>
      </x:c>
      <x:c r="H234" s="5" t="str">
        <x:v>选择主播保留日期</x:v>
      </x:c>
      <x:c r="I234" s="5" t="str">
        <x:v>1. 分成日期范围为 10/08/2026 至 15/08/2026</x:v>
      </x:c>
      <x:c r="J234" s="5" t="str">
        <x:v>1. 进入主播选择页
2. 仅选择 Sari
3. 返回主播分成记录页</x:v>
      </x:c>
      <x:c r="K234" s="5" t="str">
        <x:v>1. 分成日期范围仍为 10/08/2026 至 15/08/2026</x:v>
      </x:c>
      <x:c r="L234" s="5" t="str"/>
      <x:c r="M234" s="5" t="str">
        <x:v>未测</x:v>
      </x:c>
      <x:c r="N234" s="5" t="str"/>
      <x:c r="O234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5" ht="121.5" customHeight="1">
      <x:c r="A235" s="5" t="n">
        <x:v>234</x:v>
      </x:c>
      <x:c r="B235" s="5" t="str">
        <x:v>GDE-234</x:v>
      </x:c>
      <x:c r="C235" s="5" t="str">
        <x:v>公会App-数据与收益模块</x:v>
      </x:c>
      <x:c r="D235" s="5" t="str">
        <x:v>主播分成记录</x:v>
      </x:c>
      <x:c r="E235" s="5" t="str">
        <x:v>逻辑校验</x:v>
      </x:c>
      <x:c r="F235" s="5" t="str">
        <x:v>P1</x:v>
      </x:c>
      <x:c r="G235" s="5" t="str">
        <x:v>验证分成时间倒序</x:v>
      </x:c>
      <x:c r="H235" s="5" t="str">
        <x:v>分成时间倒序</x:v>
      </x:c>
      <x:c r="I235" s="5" t="str">
        <x:v>1. Sari 有 15/08/2026 11:08 和 15/08/2026 09:42 两条记录</x:v>
      </x:c>
      <x:c r="J235" s="5" t="str">
        <x:v>1. 筛选主播 Sari
2. 查看记录列表</x:v>
      </x:c>
      <x:c r="K235" s="5" t="str">
        <x:v>1. 11:08 的记录排在 09:42 的记录之前</x:v>
      </x:c>
      <x:c r="L235" s="5" t="str"/>
      <x:c r="M235" s="5" t="str">
        <x:v>未测</x:v>
      </x:c>
      <x:c r="N235" s="5" t="str"/>
      <x:c r="O235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6" ht="121.5" customHeight="1">
      <x:c r="A236" s="5" t="n">
        <x:v>235</x:v>
      </x:c>
      <x:c r="B236" s="5" t="str">
        <x:v>GDE-235</x:v>
      </x:c>
      <x:c r="C236" s="5" t="str">
        <x:v>公会App-数据与收益模块</x:v>
      </x:c>
      <x:c r="D236" s="5" t="str">
        <x:v>主播分成记录</x:v>
      </x:c>
      <x:c r="E236" s="5" t="str">
        <x:v>功能需求</x:v>
      </x:c>
      <x:c r="F236" s="5" t="str">
        <x:v>P2</x:v>
      </x:c>
      <x:c r="G236" s="5" t="str">
        <x:v>验证主播名称字段</x:v>
      </x:c>
      <x:c r="H236" s="5" t="str">
        <x:v>主播名称字段</x:v>
      </x:c>
      <x:c r="I236" s="5" t="str">
        <x:v>1. 分成记录对应主播 Sari</x:v>
      </x:c>
      <x:c r="J236" s="5" t="str">
        <x:v>1. 查看该分成记录</x:v>
      </x:c>
      <x:c r="K236" s="5" t="str">
        <x:v>1. 记录显示主播名称 Sari</x:v>
      </x:c>
      <x:c r="L236" s="5" t="str"/>
      <x:c r="M236" s="5" t="str">
        <x:v>未测</x:v>
      </x:c>
      <x:c r="N236" s="5" t="str"/>
      <x:c r="O236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7" ht="121.5" customHeight="1">
      <x:c r="A237" s="5" t="n">
        <x:v>236</x:v>
      </x:c>
      <x:c r="B237" s="5" t="str">
        <x:v>GDE-236</x:v>
      </x:c>
      <x:c r="C237" s="5" t="str">
        <x:v>公会App-数据与收益模块</x:v>
      </x:c>
      <x:c r="D237" s="5" t="str">
        <x:v>主播分成记录</x:v>
      </x:c>
      <x:c r="E237" s="5" t="str">
        <x:v>功能需求</x:v>
      </x:c>
      <x:c r="F237" s="5" t="str">
        <x:v>P2</x:v>
      </x:c>
      <x:c r="G237" s="5" t="str">
        <x:v>验证主播 ID 字段</x:v>
      </x:c>
      <x:c r="H237" s="5" t="str">
        <x:v>主播 ID 字段</x:v>
      </x:c>
      <x:c r="I237" s="5" t="str">
        <x:v>1. 主播 Sari 的 ID 为 H102938</x:v>
      </x:c>
      <x:c r="J237" s="5" t="str">
        <x:v>1. 查看 Sari 的分成记录</x:v>
      </x:c>
      <x:c r="K237" s="5" t="str">
        <x:v>1. 记录显示主播 ID H102938</x:v>
      </x:c>
      <x:c r="L237" s="5" t="str"/>
      <x:c r="M237" s="5" t="str">
        <x:v>未测</x:v>
      </x:c>
      <x:c r="N237" s="5" t="str"/>
      <x:c r="O237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8" ht="121.5" customHeight="1">
      <x:c r="A238" s="5" t="n">
        <x:v>237</x:v>
      </x:c>
      <x:c r="B238" s="5" t="str">
        <x:v>GDE-237</x:v>
      </x:c>
      <x:c r="C238" s="5" t="str">
        <x:v>公会App-数据与收益模块</x:v>
      </x:c>
      <x:c r="D238" s="5" t="str">
        <x:v>主播分成记录</x:v>
      </x:c>
      <x:c r="E238" s="5" t="str">
        <x:v>功能需求</x:v>
      </x:c>
      <x:c r="F238" s="5" t="str">
        <x:v>P2</x:v>
      </x:c>
      <x:c r="G238" s="5" t="str">
        <x:v>验证分成时间格式</x:v>
      </x:c>
      <x:c r="H238" s="5" t="str">
        <x:v>分成时间格式</x:v>
      </x:c>
      <x:c r="I238" s="5" t="str">
        <x:v>1. 分成时间为 15/08/2026 11:08</x:v>
      </x:c>
      <x:c r="J238" s="5" t="str">
        <x:v>1. 查看该分成记录</x:v>
      </x:c>
      <x:c r="K238" s="5" t="str">
        <x:v>1. 分成时间显示为 15/08/2026/11.08</x:v>
      </x:c>
      <x:c r="L238" s="5" t="str"/>
      <x:c r="M238" s="5" t="str">
        <x:v>未测</x:v>
      </x:c>
      <x:c r="N238" s="5" t="str"/>
      <x:c r="O238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39" ht="121.5" customHeight="1">
      <x:c r="A239" s="5" t="n">
        <x:v>238</x:v>
      </x:c>
      <x:c r="B239" s="5" t="str">
        <x:v>GDE-238</x:v>
      </x:c>
      <x:c r="C239" s="5" t="str">
        <x:v>公会App-数据与收益模块</x:v>
      </x:c>
      <x:c r="D239" s="5" t="str">
        <x:v>主播分成记录</x:v>
      </x:c>
      <x:c r="E239" s="5" t="str">
        <x:v>逻辑校验</x:v>
      </x:c>
      <x:c r="F239" s="5" t="str">
        <x:v>P1</x:v>
      </x:c>
      <x:c r="G239" s="5" t="str">
        <x:v>验证正分成金额</x:v>
      </x:c>
      <x:c r="H239" s="5" t="str">
        <x:v>正分成金额</x:v>
      </x:c>
      <x:c r="I239" s="5" t="str">
        <x:v>1. 主播分成金额为 1234.56 美元</x:v>
      </x:c>
      <x:c r="J239" s="5" t="str">
        <x:v>1. 查看该分成记录</x:v>
      </x:c>
      <x:c r="K239" s="5" t="str">
        <x:v>1. 分成金额显示为 +$1.234,56</x:v>
      </x:c>
      <x:c r="L239" s="5" t="str"/>
      <x:c r="M239" s="5" t="str">
        <x:v>未测</x:v>
      </x:c>
      <x:c r="N239" s="5" t="str"/>
      <x:c r="O239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40" ht="121.5" customHeight="1">
      <x:c r="A240" s="5" t="n">
        <x:v>239</x:v>
      </x:c>
      <x:c r="B240" s="5" t="str">
        <x:v>GDE-239</x:v>
      </x:c>
      <x:c r="C240" s="5" t="str">
        <x:v>公会App-数据与收益模块</x:v>
      </x:c>
      <x:c r="D240" s="5" t="str">
        <x:v>主播分成记录</x:v>
      </x:c>
      <x:c r="E240" s="5" t="str">
        <x:v>逻辑校验</x:v>
      </x:c>
      <x:c r="F240" s="5" t="str">
        <x:v>P1</x:v>
      </x:c>
      <x:c r="G240" s="5" t="str">
        <x:v>验证负分成金额</x:v>
      </x:c>
      <x:c r="H240" s="5" t="str">
        <x:v>负分成金额</x:v>
      </x:c>
      <x:c r="I240" s="5" t="str">
        <x:v>1. 主播分成金额为 -250.75 美元</x:v>
      </x:c>
      <x:c r="J240" s="5" t="str">
        <x:v>1. 查看该分成记录</x:v>
      </x:c>
      <x:c r="K240" s="5" t="str">
        <x:v>1. 分成金额显示为 -$250,75</x:v>
      </x:c>
      <x:c r="L240" s="5" t="str"/>
      <x:c r="M240" s="5" t="str">
        <x:v>未测</x:v>
      </x:c>
      <x:c r="N240" s="5" t="str"/>
      <x:c r="O240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41" ht="121.5" customHeight="1">
      <x:c r="A241" s="5" t="n">
        <x:v>240</x:v>
      </x:c>
      <x:c r="B241" s="5" t="str">
        <x:v>GDE-240</x:v>
      </x:c>
      <x:c r="C241" s="5" t="str">
        <x:v>公会App-数据与收益模块</x:v>
      </x:c>
      <x:c r="D241" s="5" t="str">
        <x:v>主播分成记录</x:v>
      </x:c>
      <x:c r="E241" s="5" t="str">
        <x:v>逻辑校验</x:v>
      </x:c>
      <x:c r="F241" s="5" t="str">
        <x:v>P1</x:v>
      </x:c>
      <x:c r="G241" s="5" t="str">
        <x:v>验证虚拟金币不生成主播分成</x:v>
      </x:c>
      <x:c r="H241" s="5" t="str">
        <x:v>虚拟金币不生成主播分成</x:v>
      </x:c>
      <x:c r="I241" s="5" t="str">
        <x:v>1. 主播 Sari 在目标日期仅收到运营账号赠送的 20,000 虚拟金币
2. 目标日期没有其他分成业务</x:v>
      </x:c>
      <x:c r="J241" s="5" t="str">
        <x:v>1. 筛选主播 Sari 和目标日期
2. 查看分成记录</x:v>
      </x:c>
      <x:c r="K241" s="5" t="str">
        <x:v>1. 记录列表不存在由该 20,000 虚拟金币生成的正分成记录</x:v>
      </x:c>
      <x:c r="L241" s="5" t="str"/>
      <x:c r="M241" s="5" t="str">
        <x:v>未测</x:v>
      </x:c>
      <x:c r="N241" s="5" t="str"/>
      <x:c r="O241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42" ht="121.5" customHeight="1">
      <x:c r="A242" s="5" t="n">
        <x:v>241</x:v>
      </x:c>
      <x:c r="B242" s="5" t="str">
        <x:v>GDE-241</x:v>
      </x:c>
      <x:c r="C242" s="5" t="str">
        <x:v>公会App-数据与收益模块</x:v>
      </x:c>
      <x:c r="D242" s="5" t="str">
        <x:v>主播分成记录</x:v>
      </x:c>
      <x:c r="E242" s="5" t="str">
        <x:v>异常用例</x:v>
      </x:c>
      <x:c r="F242" s="5" t="str">
        <x:v>P2</x:v>
      </x:c>
      <x:c r="G242" s="5" t="str">
        <x:v>验证无记录空态</x:v>
      </x:c>
      <x:c r="H242" s="5" t="str">
        <x:v>无记录空态</x:v>
      </x:c>
      <x:c r="I242" s="5" t="str">
        <x:v>1. 当前主播和日期范围没有分成记录</x:v>
      </x:c>
      <x:c r="J242" s="5" t="str">
        <x:v>1. 应用该主播和日期筛选</x:v>
      </x:c>
      <x:c r="K242" s="5" t="str">
        <x:v>1. 记录区显示“暂无分成记录”</x:v>
      </x:c>
      <x:c r="L242" s="5" t="str"/>
      <x:c r="M242" s="5" t="str">
        <x:v>未测</x:v>
      </x:c>
      <x:c r="N242" s="5" t="str"/>
      <x:c r="O242" s="5" t="str">
        <x:v>1. 来源：context/02-公会App-项目需求清单.md（2026-08-31 按原型同步，RSL-0005）
2. 来源：prototype/assets/annotations.js 的公会数据与收益批注
3. 来源：prototype/pages/guild/data/guild-share-ledger.html 与 prototype/assets/guild-share-records.js；静态原型分析，未连接真实后端动态验证
4. 来源：prototype/pages/guild/data/guild-violation-host-select.html；静态原型分析，未连接真实后端动态验证
5. 来源：prototype/assets/guild-data-model.js 与 prototype/assets/common.js 的数据、有效天和格式规则
6. 同步追溯：work/liveshow-guild-data-income/prototype-context-sync-result.json；RSL-0005
7. 质量检查：最小前置条件、单一业务分支、单一可观察预期结果</x:v>
      </x:c>
    </x:row>
    <x:row r="243" ht="73.5" customHeight="1">
      <x:c r="A243" s="5" t="n">
        <x:v>242</x:v>
      </x:c>
      <x:c r="B243" s="5" t="str">
        <x:v>GDE-242</x:v>
      </x:c>
      <x:c r="C243" s="5" t="str">
        <x:v>公会App-数据与收益模块</x:v>
      </x:c>
      <x:c r="D243" s="5" t="str">
        <x:v>主播分成记录/返回</x:v>
      </x:c>
      <x:c r="E243" s="5" t="str">
        <x:v>业务流程</x:v>
      </x:c>
      <x:c r="F243" s="5" t="str">
        <x:v>P2</x:v>
      </x:c>
      <x:c r="G243" s="5" t="str">
        <x:v>验证主播分成记录返回公会首页</x:v>
      </x:c>
      <x:c r="H243" s="5" t="str">
        <x:v>返回公会首页</x:v>
      </x:c>
      <x:c r="I243" s="5" t="str">
        <x:v>1. 公会长从首页进入主播分成记录</x:v>
      </x:c>
      <x:c r="J243" s="5" t="str">
        <x:v>1. 点击左上角返回按钮</x:v>
      </x:c>
      <x:c r="K243" s="5" t="str">
        <x:v>1. 页面返回公会首页</x:v>
      </x:c>
      <x:c r="L243" s="5" t="str">
        <x:v>FLOW-GDE-004</x:v>
      </x:c>
      <x:c r="M243" s="5" t="str">
        <x:v>未测</x:v>
      </x:c>
      <x:c r="N243" s="5" t="str"/>
      <x:c r="O243" s="5" t="str">
        <x:v>1. 来源：prototype/pages/guild/data/guild-share-ledger.html 与 prototype/assets/guild-share-records.js；静态原型分析，未连接真实后端动态验证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244" ht="85.5" customHeight="1">
      <x:c r="A244" s="5" t="n">
        <x:v>243</x:v>
      </x:c>
      <x:c r="B244" s="5" t="str">
        <x:v>GDE-243</x:v>
      </x:c>
      <x:c r="C244" s="5" t="str">
        <x:v>公会App-数据与收益模块</x:v>
      </x:c>
      <x:c r="D244" s="5" t="str">
        <x:v>主播分成记录/主播详情</x:v>
      </x:c>
      <x:c r="E244" s="5" t="str">
        <x:v>业务流程</x:v>
      </x:c>
      <x:c r="F244" s="5" t="str">
        <x:v>P2</x:v>
      </x:c>
      <x:c r="G244" s="5" t="str">
        <x:v>验证从主播详情进入主播分成记录</x:v>
      </x:c>
      <x:c r="H244" s="5" t="str">
        <x:v>主播详情入口</x:v>
      </x:c>
      <x:c r="I244" s="5" t="str">
        <x:v>1. 公会长已进入主播 Sari 的详情页</x:v>
      </x:c>
      <x:c r="J244" s="5" t="str">
        <x:v>1. 点击主播分成记录入口</x:v>
      </x:c>
      <x:c r="K244" s="5" t="str">
        <x:v>1. 页面进入仅筛选主播 Sari 的主播分成记录</x:v>
      </x:c>
      <x:c r="L244" s="5" t="str">
        <x:v>FLOW-GDE-004</x:v>
      </x:c>
      <x:c r="M244" s="5" t="str">
        <x:v>未测</x:v>
      </x:c>
      <x:c r="N244" s="5" t="str"/>
      <x:c r="O244" s="5" t="str">
        <x:v>1. 来源：prototype/pages/guild/data/guild-share-ledger.html 与 prototype/assets/guild-share-records.js；静态原型分析，未连接真实后端动态验证
2. 流程阶段：主播详情进入主播分成记录
3. 同步追溯：work/liveshow-guild-data-income/prototype-context-sync-result.json；RSL-0005
4. 质量检查：最小前置条件、单一业务分支、单一可观察预期结果</x:v>
      </x:c>
    </x:row>
    <x:row r="245" ht="73.5" customHeight="1">
      <x:c r="A245" s="5" t="n">
        <x:v>244</x:v>
      </x:c>
      <x:c r="B245" s="5" t="str">
        <x:v>GDE-244</x:v>
      </x:c>
      <x:c r="C245" s="5" t="str">
        <x:v>公会App-数据与收益模块</x:v>
      </x:c>
      <x:c r="D245" s="5" t="str">
        <x:v>主播分成记录/主播详情</x:v>
      </x:c>
      <x:c r="E245" s="5" t="str">
        <x:v>业务流程</x:v>
      </x:c>
      <x:c r="F245" s="5" t="str">
        <x:v>P2</x:v>
      </x:c>
      <x:c r="G245" s="5" t="str">
        <x:v>验证主播分成记录返回主播详情</x:v>
      </x:c>
      <x:c r="H245" s="5" t="str">
        <x:v>返回主播详情</x:v>
      </x:c>
      <x:c r="I245" s="5" t="str">
        <x:v>1. 公会长从主播 Sari 的详情页进入主播分成记录</x:v>
      </x:c>
      <x:c r="J245" s="5" t="str">
        <x:v>1. 点击左上角返回按钮</x:v>
      </x:c>
      <x:c r="K245" s="5" t="str">
        <x:v>1. 页面返回主播 Sari 的详情页</x:v>
      </x:c>
      <x:c r="L245" s="5" t="str">
        <x:v>FLOW-GDE-004</x:v>
      </x:c>
      <x:c r="M245" s="5" t="str">
        <x:v>未测</x:v>
      </x:c>
      <x:c r="N245" s="5" t="str"/>
      <x:c r="O245" s="5" t="str">
        <x:v>1. 来源：prototype/pages/guild/data/guild-share-ledger.html 与 prototype/assets/guild-share-records.js；静态原型分析，未连接真实后端动态验证
2. 同步追溯：work/liveshow-guild-data-income/prototype-context-sync-result.json；RSL-0005
3. 质量检查：最小前置条件、单一业务分支、单一可观察预期结果</x:v>
      </x:c>
    </x:row>
    <x:row r="246" ht="97.5" customHeight="1">
      <x:c r="A246" s="5" t="n">
        <x:v>245</x:v>
      </x:c>
      <x:c r="B246" s="5" t="str">
        <x:v>GDE-245</x:v>
      </x:c>
      <x:c r="C246" s="5" t="str">
        <x:v>公会App-数据与收益模块</x:v>
      </x:c>
      <x:c r="D246" s="5" t="str">
        <x:v>公会分成记录</x:v>
      </x:c>
      <x:c r="E246" s="5" t="str">
        <x:v>逻辑校验</x:v>
      </x:c>
      <x:c r="F246" s="5" t="str">
        <x:v>P1</x:v>
      </x:c>
      <x:c r="G246" s="5" t="str">
        <x:v>验证当前公会数据范围</x:v>
      </x:c>
      <x:c r="H246" s="5" t="str">
        <x:v>当前公会数据范围</x:v>
      </x:c>
      <x:c r="I246" s="5" t="str">
        <x:v>1. 当前登录公会为 Guild A
2. 系统同时存在 Guild B 的分成记录</x:v>
      </x:c>
      <x:c r="J246" s="5" t="str">
        <x:v>1. 进入公会分成记录页
2. 查看记录列表</x:v>
      </x:c>
      <x:c r="K246" s="5" t="str">
        <x:v>1. 记录列表结果集仅包含 Guild A 的公会分成记录</x:v>
      </x:c>
      <x:c r="L246" s="5" t="str"/>
      <x:c r="M246" s="5" t="str">
        <x:v>未测</x:v>
      </x:c>
      <x:c r="N246" s="5" t="str"/>
      <x:c r="O246" s="5" t="str">
        <x:v>1. 来源：context/02-公会App-项目需求清单.md（2026-08-31 按原型同步，RSL-0005）
2. 来源：prototype/assets/annotations.js 的公会数据与收益批注
3. 来源：prototype/pages/guild/data/guild-share-income.html；静态原型分析，未连接真实后端动态验证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247" ht="97.5" customHeight="1">
      <x:c r="A247" s="5" t="n">
        <x:v>246</x:v>
      </x:c>
      <x:c r="B247" s="5" t="str">
        <x:v>GDE-246</x:v>
      </x:c>
      <x:c r="C247" s="5" t="str">
        <x:v>公会App-数据与收益模块</x:v>
      </x:c>
      <x:c r="D247" s="5" t="str">
        <x:v>公会分成记录</x:v>
      </x:c>
      <x:c r="E247" s="5" t="str">
        <x:v>逻辑校验</x:v>
      </x:c>
      <x:c r="F247" s="5" t="str">
        <x:v>P1</x:v>
      </x:c>
      <x:c r="G247" s="5" t="str">
        <x:v>验证分成时间倒序</x:v>
      </x:c>
      <x:c r="H247" s="5" t="str">
        <x:v>分成时间倒序</x:v>
      </x:c>
      <x:c r="I247" s="5" t="str">
        <x:v>1. 当前公会有 15/08/2026 11:08 和 15/08/2026 09:42 两条记录</x:v>
      </x:c>
      <x:c r="J247" s="5" t="str">
        <x:v>1. 查看记录列表</x:v>
      </x:c>
      <x:c r="K247" s="5" t="str">
        <x:v>1. 11:08 的记录排在 09:42 的记录之前</x:v>
      </x:c>
      <x:c r="L247" s="5" t="str"/>
      <x:c r="M247" s="5" t="str">
        <x:v>未测</x:v>
      </x:c>
      <x:c r="N247" s="5" t="str"/>
      <x:c r="O247" s="5" t="str">
        <x:v>1. 来源：context/02-公会App-项目需求清单.md（2026-08-31 按原型同步，RSL-0005）
2. 来源：prototype/assets/annotations.js 的公会数据与收益批注
3. 来源：prototype/pages/guild/data/guild-share-income.html；静态原型分析，未连接真实后端动态验证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248" ht="97.5" customHeight="1">
      <x:c r="A248" s="5" t="n">
        <x:v>247</x:v>
      </x:c>
      <x:c r="B248" s="5" t="str">
        <x:v>GDE-247</x:v>
      </x:c>
      <x:c r="C248" s="5" t="str">
        <x:v>公会App-数据与收益模块</x:v>
      </x:c>
      <x:c r="D248" s="5" t="str">
        <x:v>公会分成记录</x:v>
      </x:c>
      <x:c r="E248" s="5" t="str">
        <x:v>功能需求</x:v>
      </x:c>
      <x:c r="F248" s="5" t="str">
        <x:v>P2</x:v>
      </x:c>
      <x:c r="G248" s="5" t="str">
        <x:v>验证分成时间字段</x:v>
      </x:c>
      <x:c r="H248" s="5" t="str">
        <x:v>分成时间字段</x:v>
      </x:c>
      <x:c r="I248" s="5" t="str">
        <x:v>1. 公会分成时间为 15/08/2026 11:08</x:v>
      </x:c>
      <x:c r="J248" s="5" t="str">
        <x:v>1. 查看该分成记录</x:v>
      </x:c>
      <x:c r="K248" s="5" t="str">
        <x:v>1. 分成时间显示为 15/08/2026/11.08</x:v>
      </x:c>
      <x:c r="L248" s="5" t="str"/>
      <x:c r="M248" s="5" t="str">
        <x:v>未测</x:v>
      </x:c>
      <x:c r="N248" s="5" t="str"/>
      <x:c r="O248" s="5" t="str">
        <x:v>1. 来源：context/02-公会App-项目需求清单.md（2026-08-31 按原型同步，RSL-0005）
2. 来源：prototype/assets/annotations.js 的公会数据与收益批注
3. 来源：prototype/pages/guild/data/guild-share-income.html；静态原型分析，未连接真实后端动态验证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249" ht="97.5" customHeight="1">
      <x:c r="A249" s="5" t="n">
        <x:v>248</x:v>
      </x:c>
      <x:c r="B249" s="5" t="str">
        <x:v>GDE-248</x:v>
      </x:c>
      <x:c r="C249" s="5" t="str">
        <x:v>公会App-数据与收益模块</x:v>
      </x:c>
      <x:c r="D249" s="5" t="str">
        <x:v>公会分成记录</x:v>
      </x:c>
      <x:c r="E249" s="5" t="str">
        <x:v>逻辑校验</x:v>
      </x:c>
      <x:c r="F249" s="5" t="str">
        <x:v>P1</x:v>
      </x:c>
      <x:c r="G249" s="5" t="str">
        <x:v>验证正分成金额</x:v>
      </x:c>
      <x:c r="H249" s="5" t="str">
        <x:v>正分成金额</x:v>
      </x:c>
      <x:c r="I249" s="5" t="str">
        <x:v>1. 公会分成金额为 1234.56 美元</x:v>
      </x:c>
      <x:c r="J249" s="5" t="str">
        <x:v>1. 查看该分成记录</x:v>
      </x:c>
      <x:c r="K249" s="5" t="str">
        <x:v>1. 分成金额显示为 +$1.234,56</x:v>
      </x:c>
      <x:c r="L249" s="5" t="str"/>
      <x:c r="M249" s="5" t="str">
        <x:v>未测</x:v>
      </x:c>
      <x:c r="N249" s="5" t="str"/>
      <x:c r="O249" s="5" t="str">
        <x:v>1. 来源：context/02-公会App-项目需求清单.md（2026-08-31 按原型同步，RSL-0005）
2. 来源：prototype/assets/annotations.js 的公会数据与收益批注
3. 来源：prototype/pages/guild/data/guild-share-income.html；静态原型分析，未连接真实后端动态验证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250" ht="97.5" customHeight="1">
      <x:c r="A250" s="5" t="n">
        <x:v>249</x:v>
      </x:c>
      <x:c r="B250" s="5" t="str">
        <x:v>GDE-249</x:v>
      </x:c>
      <x:c r="C250" s="5" t="str">
        <x:v>公会App-数据与收益模块</x:v>
      </x:c>
      <x:c r="D250" s="5" t="str">
        <x:v>公会分成记录</x:v>
      </x:c>
      <x:c r="E250" s="5" t="str">
        <x:v>逻辑校验</x:v>
      </x:c>
      <x:c r="F250" s="5" t="str">
        <x:v>P1</x:v>
      </x:c>
      <x:c r="G250" s="5" t="str">
        <x:v>验证负分成金额</x:v>
      </x:c>
      <x:c r="H250" s="5" t="str">
        <x:v>负分成金额</x:v>
      </x:c>
      <x:c r="I250" s="5" t="str">
        <x:v>1. 公会分成金额为 -250.75 美元</x:v>
      </x:c>
      <x:c r="J250" s="5" t="str">
        <x:v>1. 查看该分成记录</x:v>
      </x:c>
      <x:c r="K250" s="5" t="str">
        <x:v>1. 分成金额显示为 -$250,75</x:v>
      </x:c>
      <x:c r="L250" s="5" t="str"/>
      <x:c r="M250" s="5" t="str">
        <x:v>未测</x:v>
      </x:c>
      <x:c r="N250" s="5" t="str"/>
      <x:c r="O250" s="5" t="str">
        <x:v>1. 来源：context/02-公会App-项目需求清单.md（2026-08-31 按原型同步，RSL-0005）
2. 来源：prototype/assets/annotations.js 的公会数据与收益批注
3. 来源：prototype/pages/guild/data/guild-share-income.html；静态原型分析，未连接真实后端动态验证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251" ht="97.5" customHeight="1">
      <x:c r="A251" s="5" t="n">
        <x:v>250</x:v>
      </x:c>
      <x:c r="B251" s="5" t="str">
        <x:v>GDE-250</x:v>
      </x:c>
      <x:c r="C251" s="5" t="str">
        <x:v>公会App-数据与收益模块</x:v>
      </x:c>
      <x:c r="D251" s="5" t="str">
        <x:v>公会分成记录</x:v>
      </x:c>
      <x:c r="E251" s="5" t="str">
        <x:v>逻辑校验</x:v>
      </x:c>
      <x:c r="F251" s="5" t="str">
        <x:v>P1</x:v>
      </x:c>
      <x:c r="G251" s="5" t="str">
        <x:v>验证虚拟金币不生成公会分成</x:v>
      </x:c>
      <x:c r="H251" s="5" t="str">
        <x:v>虚拟金币不生成公会分成</x:v>
      </x:c>
      <x:c r="I251" s="5" t="str">
        <x:v>1. 当前公会在目标日期仅发生运营账号赠送的 20,000 虚拟金币
2. 目标日期没有其他分成业务</x:v>
      </x:c>
      <x:c r="J251" s="5" t="str">
        <x:v>1. 进入公会分成记录页
2. 查看目标日期记录</x:v>
      </x:c>
      <x:c r="K251" s="5" t="str">
        <x:v>1. 记录列表不存在由该 20,000 虚拟金币生成的正分成记录</x:v>
      </x:c>
      <x:c r="L251" s="5" t="str"/>
      <x:c r="M251" s="5" t="str">
        <x:v>未测</x:v>
      </x:c>
      <x:c r="N251" s="5" t="str"/>
      <x:c r="O251" s="5" t="str">
        <x:v>1. 来源：context/02-公会App-项目需求清单.md（2026-08-31 按原型同步，RSL-0005）
2. 来源：prototype/assets/annotations.js 的公会数据与收益批注
3. 来源：prototype/pages/guild/data/guild-share-income.html；静态原型分析，未连接真实后端动态验证
4. 来源：prototype/assets/guild-data-model.js 与 prototype/assets/common.js 的数据、有效天和格式规则
5. 同步追溯：work/liveshow-guild-data-income/prototype-context-sync-result.json；RSL-0005
6. 质量检查：最小前置条件、单一业务分支、单一可观察预期结果</x:v>
      </x:c>
    </x:row>
    <x:row r="252" ht="61.5" customHeight="1">
      <x:c r="A252" s="5" t="n">
        <x:v>251</x:v>
      </x:c>
      <x:c r="B252" s="5" t="str">
        <x:v>GDE-251</x:v>
      </x:c>
      <x:c r="C252" s="5" t="str">
        <x:v>公会App-数据与收益模块</x:v>
      </x:c>
      <x:c r="D252" s="5" t="str">
        <x:v>公会分成记录/返回</x:v>
      </x:c>
      <x:c r="E252" s="5" t="str">
        <x:v>业务流程</x:v>
      </x:c>
      <x:c r="F252" s="5" t="str">
        <x:v>P2</x:v>
      </x:c>
      <x:c r="G252" s="5" t="str">
        <x:v>验证公会分成记录返回公会首页</x:v>
      </x:c>
      <x:c r="H252" s="5" t="str">
        <x:v>返回公会首页</x:v>
      </x:c>
      <x:c r="I252" s="5" t="str">
        <x:v>1. 公会长从首页进入公会分成记录</x:v>
      </x:c>
      <x:c r="J252" s="5" t="str">
        <x:v>1. 点击左上角返回按钮</x:v>
      </x:c>
      <x:c r="K252" s="5" t="str">
        <x:v>1. 页面返回公会首页</x:v>
      </x:c>
      <x:c r="L252" s="5" t="str">
        <x:v>FLOW-GDE-005</x:v>
      </x:c>
      <x:c r="M252" s="5" t="str">
        <x:v>未测</x:v>
      </x:c>
      <x:c r="N252" s="5" t="str"/>
      <x:c r="O252" s="5" t="str">
        <x:v>1. 来源：prototype/pages/guild/data/guild-share-income.html；静态原型分析，未连接真实后端动态验证
2. 同步追溯：work/liveshow-guild-data-income/prototype-context-sync-result.json；RSL-0005
3. 质量检查：最小前置条件、单一业务分支、单一可观察预期结果</x:v>
      </x:c>
    </x:row>
  </x:sheetData>
  <x:conditionalFormatting sqref="F2:F252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252">
      <x:formula1>"功能需求,业务流程,逻辑校验,异常用例"</x:formula1>
    </x:dataValidation>
    <x:dataValidation type="list" sqref="F2:F252">
      <x:formula1>"P0,P1,P2,P3"</x:formula1>
    </x:dataValidation>
    <x:dataValidation type="list" sqref="M2:M25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55074d71fc409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2" hidden="1" customWidth="1"/>
    <x:col min="7" max="7" width="38" hidden="0" customWidth="1"/>
    <x:col min="8" max="8" width="22" hidden="1" customWidth="1"/>
    <x:col min="9" max="9" width="48" hidden="0" customWidth="1"/>
    <x:col min="10" max="10" width="60" hidden="0" customWidth="1"/>
    <x:col min="11" max="11" width="52" hidden="0" customWidth="1"/>
    <x:col min="12" max="12" width="15" hidden="0" customWidth="1"/>
    <x:col min="13" max="13" width="34" hidden="0" customWidth="1"/>
    <x:col min="14" max="14" width="52" hidden="1" customWidth="1"/>
    <x:col min="15" max="15" width="42" hidden="1" customWidth="1"/>
    <x:col min="16" max="16" width="28" hidden="1" customWidth="1"/>
    <x:col min="17" max="17" width="42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9.5" customHeight="1">
      <x:c r="A2" s="15" t="str">
        <x:v>Q-011</x:v>
      </x:c>
      <x:c r="B2" s="19" t="str">
        <x:v>RQ-011</x:v>
      </x:c>
      <x:c r="C2" s="15" t="str"/>
      <x:c r="D2" s="15" t="str"/>
      <x:c r="E2" s="15" t="str">
        <x:v>阻塞测试</x:v>
      </x:c>
      <x:c r="F2" s="15" t="str">
        <x:v>公会App-数据与收益模块</x:v>
      </x:c>
      <x:c r="G2" s="15" t="str">
        <x:v>选择包含同一主播多次开播的多个日期后查看日数据开播人数</x:v>
      </x:c>
      <x:c r="H2" s="15" t="str">
        <x:v>计算与统计口径</x:v>
      </x:c>
      <x:c r="I2" s="16" t="str">
        <x:v>日数据跨日汇总的开播人数按去重主播数还是每日人数相加？</x:v>
      </x:c>
      <x:c r="J2" s="15" t="str">
        <x:v>1. A. 所选范围内按主播 ID 去重
2. B. 各日开播人数直接相加
3. C. 不展示跨日开播人数汇总</x:v>
      </x:c>
      <x:c r="K2" s="17" t="str">
        <x:v>建议 A；符合批注定义，也避免同一主播跨日重复计人数。</x:v>
      </x:c>
      <x:c r="L2" s="18" t="str"/>
      <x:c r="M2" s="18" t="str"/>
      <x:c r="N2" s="15" t="str">
        <x:v>1. 批注要求所选日期范围内去重
2. 当前页面脚本将每日开播人数相加</x:v>
      </x:c>
      <x:c r="O2" s="15" t="str">
        <x:v>1. 公会业绩日数据汇总
2. 开播人数趋势
3. 跨页面对账</x:v>
      </x:c>
      <x:c r="P2" s="15" t="str">
        <x:v>1. GDE-031</x:v>
      </x:c>
      <x:c r="Q2" s="15" t="str">
        <x:v>1. 跨两日同一主播重复开播
2. 跨多日部分重复主播
3. 日汇总与明细去重对账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9.5" customHeight="1">
      <x:c r="A3" s="15" t="str">
        <x:v>Q-012</x:v>
      </x:c>
      <x:c r="B3" s="19" t="str">
        <x:v>RQ-012</x:v>
      </x:c>
      <x:c r="C3" s="15" t="str"/>
      <x:c r="D3" s="15" t="str"/>
      <x:c r="E3" s="15" t="str">
        <x:v>阻塞测试</x:v>
      </x:c>
      <x:c r="F3" s="15" t="str">
        <x:v>公会App-数据与收益模块</x:v>
      </x:c>
      <x:c r="G3" s="15" t="str">
        <x:v>月数据汇总多个自然月，同一主播可能在多个月份开播</x:v>
      </x:c>
      <x:c r="H3" s="15" t="str">
        <x:v>计算与统计口径</x:v>
      </x:c>
      <x:c r="I3" s="16" t="str">
        <x:v>月数据总开播人数按跨月去重主播数还是各月人数相加？</x:v>
      </x:c>
      <x:c r="J3" s="15" t="str">
        <x:v>1. A. 全部历史范围按主播 ID 去重
2. B. 各月开播人数直接相加
3. C. 月数据只展示各月人数，不展示总人数</x:v>
      </x:c>
      <x:c r="K3" s="17" t="str">
        <x:v>建议 A；与“人数”含义一致，但需产品确认历史统计范围。</x:v>
      </x:c>
      <x:c r="L3" s="18" t="str"/>
      <x:c r="M3" s="18" t="str"/>
      <x:c r="N3" s="15" t="str">
        <x:v>1. 批注描述历史累计开播主播人数
2. 当前页面脚本将各月开播人数相加</x:v>
      </x:c>
      <x:c r="O3" s="15" t="str">
        <x:v>1. 公会业绩月数据汇总
2. 月趋势
3. 历史累计指标</x:v>
      </x:c>
      <x:c r="P3" s="15" t="str">
        <x:v>1. GDE-048</x:v>
      </x:c>
      <x:c r="Q3" s="15" t="str">
        <x:v>1. 跨月同一主播重复开播
2. 月汇总与月份明细对账</x:v>
      </x:c>
      <x:c r="R3" s="15" t="str">
        <x:v>产品</x:v>
      </x:c>
      <x:c r="S3" s="15" t="str">
        <x:v>进入对应功能测试前</x:v>
      </x:c>
      <x:c r="T3" s="15" t="str">
        <x:v>待确认</x:v>
      </x:c>
    </x:row>
    <x:row r="4" ht="49.5" customHeight="1">
      <x:c r="A4" s="15" t="str">
        <x:v>Q-017</x:v>
      </x:c>
      <x:c r="B4" s="19" t="str">
        <x:v>RQ-017</x:v>
      </x:c>
      <x:c r="C4" s="15" t="str"/>
      <x:c r="D4" s="15" t="str"/>
      <x:c r="E4" s="15" t="str">
        <x:v>阻塞测试</x:v>
      </x:c>
      <x:c r="F4" s="15" t="str">
        <x:v>公会App-数据与收益模块</x:v>
      </x:c>
      <x:c r="G4" s="15" t="str">
        <x:v>后台完成主播或公会分成后，公会 App 需要出现对应记录</x:v>
      </x:c>
      <x:c r="H4" s="15" t="str">
        <x:v>跨端与跨模块一致性</x:v>
      </x:c>
      <x:c r="I4" s="16" t="str">
        <x:v>分成结果满足什么条件后写入公会 App 分成记录？</x:v>
      </x:c>
      <x:c r="J4" s="15" t="str">
        <x:v>1. A. 分成计算成功即写入
2. B. 财务审核通过后写入
3. C. 实际结算完成后写入</x:v>
      </x:c>
      <x:c r="K4" s="17" t="str">
        <x:v>建议 B；已形成可审核结果，同时避免未确认计算进入正式记录。</x:v>
      </x:c>
      <x:c r="L4" s="18" t="str"/>
      <x:c r="M4" s="18" t="str"/>
      <x:c r="N4" s="15" t="str">
        <x:v>1. 原型只展示分成记录结果
2. 需求未说明生成触发状态和可查询时效</x:v>
      </x:c>
      <x:c r="O4" s="15" t="str">
        <x:v>1. 主播分成记录
2. 公会分成记录
3. 后台分成流程</x:v>
      </x:c>
      <x:c r="P4" s="15" t="str"/>
      <x:c r="Q4" s="15" t="str">
        <x:v>1. 各触发状态生成记录
2. 失败重试与重复写入
3. 跨端状态一致性</x:v>
      </x:c>
      <x:c r="R4" s="15" t="str">
        <x:v>多方确认</x:v>
      </x:c>
      <x:c r="S4" s="15" t="str">
        <x:v>进入对应功能测试前</x:v>
      </x:c>
      <x:c r="T4" s="15" t="str">
        <x:v>待确认</x:v>
      </x:c>
    </x:row>
    <x:row r="5" ht="61.5" customHeight="1">
      <x:c r="A5" s="15" t="str">
        <x:v>Q-001</x:v>
      </x:c>
      <x:c r="B5" s="19" t="str">
        <x:v>RQ-001</x:v>
      </x:c>
      <x:c r="C5" s="15" t="str"/>
      <x:c r="D5" s="15" t="str"/>
      <x:c r="E5" s="15" t="str">
        <x:v>部分阻塞</x:v>
      </x:c>
      <x:c r="F5" s="15" t="str">
        <x:v>公会App-数据与收益模块</x:v>
      </x:c>
      <x:c r="G5" s="15" t="str">
        <x:v>公会长需要进入原型已注册的“全部直播记录”页面，但现有公会首页和直播记录页没有对应入口</x:v>
      </x:c>
      <x:c r="H5" s="15" t="str">
        <x:v>需求范围</x:v>
      </x:c>
      <x:c r="I5" s="16" t="str">
        <x:v>公会 App 的“全部直播记录”从哪个业务页面进入？</x:v>
      </x:c>
      <x:c r="J5" s="15" t="str">
        <x:v>1. A. 从公会首页的“直播记录”区域增加“全部直播记录”入口
2. B. 从单主播直播记录页增加“查看全部直播记录”入口
3. C. 首版不向公会用户开放该页面</x:v>
      </x:c>
      <x:c r="K5" s="17" t="str">
        <x:v>建议 B；单主播记录与全部主播汇总的切换关系最直接，也能复用现有返回路径。</x:v>
      </x:c>
      <x:c r="L5" s="18" t="str"/>
      <x:c r="M5" s="18" t="str"/>
      <x:c r="N5" s="15" t="str">
        <x:v>1. 原型说明和页面树已注册全部直播记录页
2. 公会首页仅跳转直播记录页
3. 当前页面脚本没有进入全部直播记录的可见入口</x:v>
      </x:c>
      <x:c r="O5" s="15" t="str">
        <x:v>1. 公会首页
2. 直播记录
3. 全部直播记录
4. 页面返回路径</x:v>
      </x:c>
      <x:c r="P5" s="15" t="str"/>
      <x:c r="Q5" s="15" t="str">
        <x:v>1. 全部直播记录正式入口
2. 入口返回路径</x:v>
      </x:c>
      <x:c r="R5" s="15" t="str">
        <x:v>产品</x:v>
      </x:c>
      <x:c r="S5" s="15" t="str">
        <x:v>进入全部直播记录功能测试前</x:v>
      </x:c>
      <x:c r="T5" s="15" t="str">
        <x:v>待确认</x:v>
      </x:c>
    </x:row>
    <x:row r="6" ht="85.5" customHeight="1">
      <x:c r="A6" s="15" t="str">
        <x:v>Q-002</x:v>
      </x:c>
      <x:c r="B6" s="19" t="str">
        <x:v>RQ-002</x:v>
      </x:c>
      <x:c r="C6" s="15" t="str"/>
      <x:c r="D6" s="15" t="str"/>
      <x:c r="E6" s="15" t="str">
        <x:v>部分阻塞</x:v>
      </x:c>
      <x:c r="F6" s="15" t="str">
        <x:v>公会App-数据与收益模块</x:v>
      </x:c>
      <x:c r="G6" s="15" t="str">
        <x:v>公会业绩、直播记录、违规记录和分成记录都按日期筛选或聚合，跨日数据需要使用同一业务时区</x:v>
      </x:c>
      <x:c r="H6" s="15" t="str">
        <x:v>计算与统计口径</x:v>
      </x:c>
      <x:c r="I6" s="16" t="str">
        <x:v>公会 App 数据与收益模块的日期边界统一采用哪一个业务时区？</x:v>
      </x:c>
      <x:c r="J6" s="15" t="str">
        <x:v>1. A. 固定采用 Asia/Jakarta 时区
2. B. 采用公会账号配置的时区
3. C. 固定采用 UTC+08:00 时区</x:v>
      </x:c>
      <x:c r="K6" s="17" t="str">
        <x:v>建议 A；产品面向印度尼西亚市场，统一业务时区便于公会与主播对账。</x:v>
      </x:c>
      <x:c r="L6" s="18" t="str"/>
      <x:c r="M6" s="18" t="str"/>
      <x:c r="N6" s="15" t="str">
        <x:v>1. 原型使用自然日日期筛选
2. 当前批注没有定义时区
3. 业务面向印度尼西亚市场</x:v>
      </x:c>
      <x:c r="O6" s="15" t="str">
        <x:v>1. 公会业绩
2. 每日经营详情
3. 直播记录
4. 违规记录
5. 主播分成记录
6. 公会分成记录</x:v>
      </x:c>
      <x:c r="P6" s="15" t="str">
        <x:v>1. GDE-074
2. GDE-115</x:v>
      </x:c>
      <x:c r="Q6" s="15" t="str">
        <x:v>1. 各数据页跨日归属
2. 夏令时切换日范围（若适用）</x:v>
      </x:c>
      <x:c r="R6" s="15" t="str">
        <x:v>多方确认</x:v>
      </x:c>
      <x:c r="S6" s="15" t="str">
        <x:v>进入日期筛选测试前</x:v>
      </x:c>
      <x:c r="T6" s="15" t="str">
        <x:v>待确认</x:v>
      </x:c>
    </x:row>
    <x:row r="7" ht="49.5" customHeight="1">
      <x:c r="A7" s="15" t="str">
        <x:v>Q-003</x:v>
      </x:c>
      <x:c r="B7" s="19" t="str">
        <x:v>RQ-003</x:v>
      </x:c>
      <x:c r="C7" s="15" t="str"/>
      <x:c r="D7" s="15" t="str"/>
      <x:c r="E7" s="15" t="str">
        <x:v>部分阻塞</x:v>
      </x:c>
      <x:c r="F7" s="15" t="str">
        <x:v>公会App-数据与收益模块</x:v>
      </x:c>
      <x:c r="G7" s="15" t="str">
        <x:v>同一用户在一场直播中重复进入，场次卡片和场次详情展示观众数量</x:v>
      </x:c>
      <x:c r="H7" s="15" t="str">
        <x:v>计算与统计口径</x:v>
      </x:c>
      <x:c r="I7" s="16" t="str">
        <x:v>单场直播的“观众数量”采用哪一种统计口径？</x:v>
      </x:c>
      <x:c r="J7" s="15" t="str">
        <x:v>1. A. 按用户 ID 去重后的观看人数
2. B. 用户每次进入直播间均累计一次
3. C. 直播期间的最高同时在线人数</x:v>
      </x:c>
      <x:c r="K7" s="17" t="str">
        <x:v>建议 A；字段名称为人数，按用户去重后更容易与重复进入次数和峰值人数区分。</x:v>
      </x:c>
      <x:c r="L7" s="18" t="str"/>
      <x:c r="M7" s="18" t="str"/>
      <x:c r="N7" s="15" t="str">
        <x:v>1. 批注仅说明为观看直播的人数
2. 数据模型仅提供 viewers 数值
3. 原型没有重复进入和并发统计说明</x:v>
      </x:c>
      <x:c r="O7" s="15" t="str">
        <x:v>1. 场次卡片观众
2. 场次详情观众数量
3. 公会主播数据对账</x:v>
      </x:c>
      <x:c r="P7" s="15" t="str">
        <x:v>1. GDE-133
2. GDE-146</x:v>
      </x:c>
      <x:c r="Q7" s="15" t="str">
        <x:v>1. 重复进房观众统计
2. 并发观看统计</x:v>
      </x:c>
      <x:c r="R7" s="15" t="str">
        <x:v>产品</x:v>
      </x:c>
      <x:c r="S7" s="15" t="str">
        <x:v>进入场次统计测试前</x:v>
      </x:c>
      <x:c r="T7" s="15" t="str">
        <x:v>待确认</x:v>
      </x:c>
    </x:row>
    <x:row r="8" ht="49.5" customHeight="1">
      <x:c r="A8" s="15" t="str">
        <x:v>Q-004</x:v>
      </x:c>
      <x:c r="B8" s="19" t="str">
        <x:v>RQ-004</x:v>
      </x:c>
      <x:c r="C8" s="15" t="str"/>
      <x:c r="D8" s="15" t="str"/>
      <x:c r="E8" s="15" t="str">
        <x:v>部分阻塞</x:v>
      </x:c>
      <x:c r="F8" s="15" t="str">
        <x:v>公会App-数据与收益模块</x:v>
      </x:c>
      <x:c r="G8" s="15" t="str">
        <x:v>同一用户一次赠送多件相同礼物，场次卡片和场次详情展示礼物数量</x:v>
      </x:c>
      <x:c r="H8" s="15" t="str">
        <x:v>计算与统计口径</x:v>
      </x:c>
      <x:c r="I8" s="16" t="str">
        <x:v>单场直播的“礼物数量”采用哪一种统计口径？</x:v>
      </x:c>
      <x:c r="J8" s="15" t="str">
        <x:v>1. A. 累计所有礼物的商品件数
2. B. 累计用户执行赠送的操作次数
3. C. 统计本场收到的不同礼物种类数</x:v>
      </x:c>
      <x:c r="K8" s="17" t="str">
        <x:v>建议 A；礼物详情已提供赠送数量，按商品件数汇总可以直接复算。</x:v>
      </x:c>
      <x:c r="L8" s="18" t="str"/>
      <x:c r="M8" s="18" t="str"/>
      <x:c r="N8" s="15" t="str">
        <x:v>1. 批注说明为本场收到的礼物总数
2. 送礼详情包含赠送数量
3. 原型没有说明总数的聚合维度</x:v>
      </x:c>
      <x:c r="O8" s="15" t="str">
        <x:v>1. 场次卡片收礼数量
2. 场次详情礼物数量
3. 送礼明细对账</x:v>
      </x:c>
      <x:c r="P8" s="15" t="str">
        <x:v>1. GDE-134
2. GDE-148</x:v>
      </x:c>
      <x:c r="Q8" s="15" t="str">
        <x:v>1. 批量赠礼数量统计
2. 多种礼物数量统计</x:v>
      </x:c>
      <x:c r="R8" s="15" t="str">
        <x:v>产品</x:v>
      </x:c>
      <x:c r="S8" s="15" t="str">
        <x:v>进入礼物统计测试前</x:v>
      </x:c>
      <x:c r="T8" s="15" t="str">
        <x:v>待确认</x:v>
      </x:c>
    </x:row>
    <x:row r="9" ht="85.5" customHeight="1">
      <x:c r="A9" s="15" t="str">
        <x:v>Q-005</x:v>
      </x:c>
      <x:c r="B9" s="19" t="str">
        <x:v>RQ-005</x:v>
      </x:c>
      <x:c r="C9" s="15" t="str"/>
      <x:c r="D9" s="15" t="str"/>
      <x:c r="E9" s="15" t="str">
        <x:v>部分阻塞</x:v>
      </x:c>
      <x:c r="F9" s="15" t="str">
        <x:v>公会App-数据与收益模块</x:v>
      </x:c>
      <x:c r="G9" s="15" t="str">
        <x:v>主播离开公会后，公会长查询该主播在原公会期间产生的直播记录</x:v>
      </x:c>
      <x:c r="H9" s="15" t="str">
        <x:v>配置和历史数据影响</x:v>
      </x:c>
      <x:c r="I9" s="16" t="str">
        <x:v>主播离开公会后，原公会是否继续保留其入会期间的历史直播记录？</x:v>
      </x:c>
      <x:c r="J9" s="15" t="str">
        <x:v>1. A. 永久保留入会期间记录并允许原公会查询
2. B. 按系统可读取的历史数据保留期查询，过期后不再展示
3. C. 离会生效后立即隐藏全部历史记录</x:v>
      </x:c>
      <x:c r="K9" s="17" t="str">
        <x:v>建议 A；历史记录属于已发生的公会经营数据，保留有利于收益核对和审计。</x:v>
      </x:c>
      <x:c r="L9" s="18" t="str"/>
      <x:c r="M9" s="18" t="str"/>
      <x:c r="N9" s="15" t="str">
        <x:v>1. 当前选择器只展示当前公会主播
2. 数据模型另有离职主播数据
3. 需求没有定义离会后的历史可见范围</x:v>
      </x:c>
      <x:c r="O9" s="15" t="str">
        <x:v>1. 公会业绩
2. 每日经营详情
3. 直播记录
4. 违规记录
5. 主播分成记录
6. 主播详情</x:v>
      </x:c>
      <x:c r="P9" s="15" t="str"/>
      <x:c r="Q9" s="15" t="str">
        <x:v>1. 离会主播历史查询
2. 离会生效边界
3. 原公会数据范围</x:v>
      </x:c>
      <x:c r="R9" s="15" t="str">
        <x:v>产品</x:v>
      </x:c>
      <x:c r="S9" s="15" t="str">
        <x:v>进入历史数据测试前</x:v>
      </x:c>
      <x:c r="T9" s="15" t="str">
        <x:v>待确认</x:v>
      </x:c>
    </x:row>
    <x:row r="10" ht="85.5" customHeight="1">
      <x:c r="A10" s="15" t="str">
        <x:v>Q-009</x:v>
      </x:c>
      <x:c r="B10" s="19" t="str">
        <x:v>RQ-009</x:v>
      </x:c>
      <x:c r="C10" s="15" t="str"/>
      <x:c r="D10" s="15" t="str"/>
      <x:c r="E10" s="15" t="str">
        <x:v>部分阻塞</x:v>
      </x:c>
      <x:c r="F10" s="15" t="str">
        <x:v>公会App-数据与收益模块</x:v>
      </x:c>
      <x:c r="G10" s="15" t="str">
        <x:v>数据与收益任一页面首次加载或筛选请求失败</x:v>
      </x:c>
      <x:c r="H10" s="15" t="str">
        <x:v>异常处理</x:v>
      </x:c>
      <x:c r="I10" s="16" t="str">
        <x:v>数据与收益页面加载失败时统一采用哪一种页面终态？</x:v>
      </x:c>
      <x:c r="J10" s="15" t="str">
        <x:v>1. A. 展示加载失败页和“重新加载”按钮
2. B. 返回公会首页并提示加载失败
3. C. 自动重试 3 次后展示加载失败页和“重新加载”按钮</x:v>
      </x:c>
      <x:c r="K10" s="17" t="str">
        <x:v>建议 A；错误原因和恢复入口集中在当前页面，用户能够直接重试。</x:v>
      </x:c>
      <x:c r="L10" s="18" t="str"/>
      <x:c r="M10" s="18" t="str"/>
      <x:c r="N10" s="15" t="str">
        <x:v>1. 当前静态原型没有加载失败状态
2. 直播记录依赖主播、日期、汇总和场次数据</x:v>
      </x:c>
      <x:c r="O10" s="15" t="str">
        <x:v>1. 公会业绩
2. 每日经营详情
3. 直播记录
4. 违规记录
5. 主播分成记录
6. 公会分成记录</x:v>
      </x:c>
      <x:c r="P10" s="15" t="str"/>
      <x:c r="Q10" s="15" t="str">
        <x:v>1. 首次加载失败
2. 手动重新加载
3. 重试仍失败</x:v>
      </x:c>
      <x:c r="R10" s="15" t="str">
        <x:v>多方确认</x:v>
      </x:c>
      <x:c r="S10" s="15" t="str">
        <x:v>进入异常流程测试前</x:v>
      </x:c>
      <x:c r="T10" s="15" t="str">
        <x:v>待确认</x:v>
      </x:c>
    </x:row>
    <x:row r="11" ht="61.5" customHeight="1">
      <x:c r="A11" s="15" t="str">
        <x:v>Q-010</x:v>
      </x:c>
      <x:c r="B11" s="19" t="str">
        <x:v>RQ-010</x:v>
      </x:c>
      <x:c r="C11" s="15" t="str"/>
      <x:c r="D11" s="15" t="str"/>
      <x:c r="E11" s="15" t="str">
        <x:v>部分阻塞</x:v>
      </x:c>
      <x:c r="F11" s="15" t="str">
        <x:v>公会App-数据与收益模块</x:v>
      </x:c>
      <x:c r="G11" s="15" t="str">
        <x:v>主播结束一场直播后，公会长立即进入直播记录查询该场次</x:v>
      </x:c>
      <x:c r="H11" s="15" t="str">
        <x:v>跨端与跨模块一致性</x:v>
      </x:c>
      <x:c r="I11" s="16" t="str">
        <x:v>主播结束直播后，新场次最迟应在什么时候出现在公会直播记录中？</x:v>
      </x:c>
      <x:c r="J11" s="15" t="str">
        <x:v>1. A. 主播端结束结果页出现时即可查询
2. B. 直播结束后 30 秒内可以查询
3. C. 直播结束后 5 分钟内可以查询
4. D. 该场收益结算完成后可以查询</x:v>
      </x:c>
      <x:c r="K11" s="17" t="str">
        <x:v>建议 A；公会可能立即核对场次和收益，明确同一终态更容易验收。</x:v>
      </x:c>
      <x:c r="L11" s="18" t="str"/>
      <x:c r="M11" s="18" t="str"/>
      <x:c r="N11" s="15" t="str">
        <x:v>1. 公会直播记录展示已结束场次
2. 原型没有定义跨端生成时效和刷新动作</x:v>
      </x:c>
      <x:c r="O11" s="15" t="str">
        <x:v>1. 主播结束直播
2. 公会直播记录
3. 汇总指标
4. 跨端数据一致性</x:v>
      </x:c>
      <x:c r="P11" s="15" t="str"/>
      <x:c r="Q11" s="15" t="str">
        <x:v>1. 结束直播后记录生成
2. 可查询时效边界
3. 超时后的页面结果</x:v>
      </x:c>
      <x:c r="R11" s="15" t="str">
        <x:v>多方确认</x:v>
      </x:c>
      <x:c r="S11" s="15" t="str">
        <x:v>进入跨端流程测试前</x:v>
      </x:c>
      <x:c r="T11" s="15" t="str">
        <x:v>待确认</x:v>
      </x:c>
    </x:row>
    <x:row r="12" ht="49.5" customHeight="1">
      <x:c r="A12" s="15" t="str">
        <x:v>Q-013</x:v>
      </x:c>
      <x:c r="B12" s="19" t="str">
        <x:v>RQ-013</x:v>
      </x:c>
      <x:c r="C12" s="15" t="str"/>
      <x:c r="D12" s="15" t="str"/>
      <x:c r="E12" s="15" t="str">
        <x:v>部分阻塞</x:v>
      </x:c>
      <x:c r="F12" s="15" t="str">
        <x:v>公会App-数据与收益模块</x:v>
      </x:c>
      <x:c r="G12" s="15" t="str">
        <x:v>批注要求日期快捷筛选，但当前违规记录页只提供日期范围入口</x:v>
      </x:c>
      <x:c r="H12" s="15" t="str">
        <x:v>交互与文案规则</x:v>
      </x:c>
      <x:c r="I12" s="16" t="str">
        <x:v>违规记录首版是否提供今日、昨日、本周、上周、本月和上月快捷筛选？</x:v>
      </x:c>
      <x:c r="J12" s="15" t="str">
        <x:v>1. A. 增加 6 个快捷日期选项并保留自定义
2. B. 仅保留当前自定义日期范围入口
3. C. 仅提供今日和自定义两个选项</x:v>
      </x:c>
      <x:c r="K12" s="17" t="str">
        <x:v>建议 A；与直播记录和主播分成记录的筛选方式保持一致。</x:v>
      </x:c>
      <x:c r="L12" s="18" t="str"/>
      <x:c r="M12" s="18" t="str"/>
      <x:c r="N12" s="15" t="str">
        <x:v>1. annotations.js 明确列出 6 个快捷日期和自定义
2. guild-all-violations.html 未提供快捷日期控件</x:v>
      </x:c>
      <x:c r="O12" s="15" t="str">
        <x:v>1. 违规记录日期筛选
2. 默认日期回显</x:v>
      </x:c>
      <x:c r="P12" s="15" t="str">
        <x:v>1. GDE-180
2. GDE-192</x:v>
      </x:c>
      <x:c r="Q12" s="15" t="str">
        <x:v>1. 违规记录各快捷日期范围
2. 快捷项与自定义切换</x:v>
      </x:c>
      <x:c r="R12" s="15" t="str">
        <x:v>交互</x:v>
      </x:c>
      <x:c r="S12" s="15" t="str">
        <x:v>进入对应功能测试前</x:v>
      </x:c>
      <x:c r="T12" s="15" t="str">
        <x:v>待确认</x:v>
      </x:c>
    </x:row>
    <x:row r="13" ht="49.5" customHeight="1">
      <x:c r="A13" s="15" t="str">
        <x:v>Q-015</x:v>
      </x:c>
      <x:c r="B13" s="19" t="str">
        <x:v>RQ-015</x:v>
      </x:c>
      <x:c r="C13" s="15" t="str"/>
      <x:c r="D13" s="15" t="str"/>
      <x:c r="E13" s="15" t="str">
        <x:v>部分阻塞</x:v>
      </x:c>
      <x:c r="F13" s="15" t="str">
        <x:v>公会App-数据与收益模块</x:v>
      </x:c>
      <x:c r="G13" s="15" t="str">
        <x:v>查看历史日期时页面仍使用“直播中”指标名称</x:v>
      </x:c>
      <x:c r="H13" s="15" t="str">
        <x:v>计算与统计口径</x:v>
      </x:c>
      <x:c r="I13" s="16" t="str">
        <x:v>历史日期的“直播中”指标统计哪一类主播？</x:v>
      </x:c>
      <x:c r="J13" s="15" t="str">
        <x:v>1. A. 当日曾开播过的去重主播
2. B. 当日结束时仍在直播的主播
3. C. 历史日期改名为“已开播”并统计当日曾开播主播</x:v>
      </x:c>
      <x:c r="K13" s="17" t="str">
        <x:v>建议 C；名称与历史口径一致，减少将实时状态误解为历史快照的风险。</x:v>
      </x:c>
      <x:c r="L13" s="18" t="str"/>
      <x:c r="M13" s="18" t="str"/>
      <x:c r="N13" s="15" t="str">
        <x:v>1. 当前页面字段名称为“直播中”
2. 已开播列表按当日场次数判断</x:v>
      </x:c>
      <x:c r="O13" s="15" t="str">
        <x:v>1. 每日经营详情汇总
2. 历史日期查询
3. 主播列表数量对账</x:v>
      </x:c>
      <x:c r="P13" s="15" t="str">
        <x:v>1. GDE-054</x:v>
      </x:c>
      <x:c r="Q13" s="15" t="str">
        <x:v>1. 历史日期开播人数
2. 当前日期实时直播人数</x:v>
      </x:c>
      <x:c r="R13" s="15" t="str">
        <x:v>产品</x:v>
      </x:c>
      <x:c r="S13" s="15" t="str">
        <x:v>进入对应功能测试前</x:v>
      </x:c>
      <x:c r="T13" s="15" t="str">
        <x:v>待确认</x:v>
      </x:c>
    </x:row>
    <x:row r="14" ht="49.5" customHeight="1">
      <x:c r="A14" s="15" t="str">
        <x:v>Q-016</x:v>
      </x:c>
      <x:c r="B14" s="19" t="str">
        <x:v>RQ-016</x:v>
      </x:c>
      <x:c r="C14" s="15" t="str"/>
      <x:c r="D14" s="15" t="str"/>
      <x:c r="E14" s="15" t="str">
        <x:v>部分阻塞</x:v>
      </x:c>
      <x:c r="F14" s="15" t="str">
        <x:v>公会App-数据与收益模块</x:v>
      </x:c>
      <x:c r="G14" s="15" t="str">
        <x:v>批注描述月数据为全部历史累计，但当前趋势只取有限月份且页面样例仅有部分月份</x:v>
      </x:c>
      <x:c r="H14" s="15" t="str">
        <x:v>配置和历史数据影响</x:v>
      </x:c>
      <x:c r="I14" s="16" t="str">
        <x:v>月数据汇总和列表默认覆盖多长的历史范围？</x:v>
      </x:c>
      <x:c r="J14" s="15" t="str">
        <x:v>1. A. 覆盖当前公会全部历史月份
2. B. 仅覆盖最近 12 个自然月
3. C. 默认最近 6 个月并允许加载更早月份</x:v>
      </x:c>
      <x:c r="K14" s="17" t="str">
        <x:v>建议 C；兼顾首屏性能和历史可追溯性。</x:v>
      </x:c>
      <x:c r="L14" s="18" t="str"/>
      <x:c r="M14" s="18" t="str"/>
      <x:c r="N14" s="15" t="str">
        <x:v>1. 批注使用“全部历史”
2. 页面趋势脚本只展示有限月份</x:v>
      </x:c>
      <x:c r="O14" s="15" t="str">
        <x:v>1. 月数据汇总
2. 月份列表
3. 月趋势</x:v>
      </x:c>
      <x:c r="P14" s="15" t="str">
        <x:v>1. GDE-046
2. GDE-051</x:v>
      </x:c>
      <x:c r="Q14" s="15" t="str">
        <x:v>1. 历史起始月份
2. 超过默认范围的加载方式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49.5" customHeight="1">
      <x:c r="A15" s="15" t="str">
        <x:v>Q-018</x:v>
      </x:c>
      <x:c r="B15" s="19" t="str">
        <x:v>RQ-018</x:v>
      </x:c>
      <x:c r="C15" s="15" t="str"/>
      <x:c r="D15" s="15" t="str"/>
      <x:c r="E15" s="15" t="str">
        <x:v>部分阻塞</x:v>
      </x:c>
      <x:c r="F15" s="15" t="str">
        <x:v>公会App-数据与收益模块</x:v>
      </x:c>
      <x:c r="G15" s="15" t="str">
        <x:v>主播分成和公会分成页面都支持展示负数金额</x:v>
      </x:c>
      <x:c r="H15" s="15" t="str">
        <x:v>业务规则</x:v>
      </x:c>
      <x:c r="I15" s="16" t="str">
        <x:v>负数分成记录代表哪一种业务处理？</x:v>
      </x:c>
      <x:c r="J15" s="15" t="str">
        <x:v>1. A. 仅代表违规或退款扣减
2. B. 代表所有人工与系统调账扣减
3. C. 首版不允许产生负数分成记录</x:v>
      </x:c>
      <x:c r="K15" s="17" t="str">
        <x:v>建议 B；页面已具备负数展示能力，统一归类更便于对账。</x:v>
      </x:c>
      <x:c r="L15" s="18" t="str"/>
      <x:c r="M15" s="18" t="str"/>
      <x:c r="N15" s="15" t="str">
        <x:v>1. 批注和页面都定义负数金额展示
2. 需求未定义负数来源类型</x:v>
      </x:c>
      <x:c r="O15" s="15" t="str">
        <x:v>1. 主播分成记录
2. 公会分成记录
3. 财务对账</x:v>
      </x:c>
      <x:c r="P15" s="15" t="str">
        <x:v>1. GDE-239
2. GDE-249</x:v>
      </x:c>
      <x:c r="Q15" s="15" t="str">
        <x:v>1. 各负数来源类型
2. 负数记录的业务说明</x:v>
      </x:c>
      <x:c r="R15" s="15" t="str">
        <x:v>多方确认</x:v>
      </x:c>
      <x:c r="S15" s="15" t="str">
        <x:v>进入对应功能测试前</x:v>
      </x:c>
      <x:c r="T15" s="15" t="str">
        <x:v>待确认</x:v>
      </x:c>
    </x:row>
    <x:row r="16" ht="61.5" customHeight="1">
      <x:c r="A16" s="15" t="str">
        <x:v>Q-019</x:v>
      </x:c>
      <x:c r="B16" s="19" t="str">
        <x:v>RQ-019</x:v>
      </x:c>
      <x:c r="C16" s="15" t="str"/>
      <x:c r="D16" s="15" t="str"/>
      <x:c r="E16" s="15" t="str">
        <x:v>部分阻塞</x:v>
      </x:c>
      <x:c r="F16" s="15" t="str">
        <x:v>公会App-数据与收益模块</x:v>
      </x:c>
      <x:c r="G16" s="15" t="str">
        <x:v>需求清单要求三方分账明细、命中规则版本和结算状态，但当前数据与收益原型没有对应页面</x:v>
      </x:c>
      <x:c r="H16" s="15" t="str">
        <x:v>需求范围</x:v>
      </x:c>
      <x:c r="I16" s="16" t="str">
        <x:v>三方分账明细、规则版本和结算状态在公会 App 从哪里查看？</x:v>
      </x:c>
      <x:c r="J16" s="15" t="str">
        <x:v>1. A. 在公会分成记录增加详情页
2. B. 在主播分成记录增加分成详情页
3. C. 首版仅在管理后台提供，公会 App 不展示</x:v>
      </x:c>
      <x:c r="K16" s="17" t="str">
        <x:v>建议 A；以公会分成记录作为当前公会对账入口。</x:v>
      </x:c>
      <x:c r="L16" s="18" t="str"/>
      <x:c r="M16" s="18" t="str"/>
      <x:c r="N16" s="15" t="str">
        <x:v>1. context 需求清单明确结算台账字段
2. 当前原型只有主播分成和公会分成列表</x:v>
      </x:c>
      <x:c r="O16" s="15" t="str">
        <x:v>1. 公会分成记录
2. 主播分成记录
3. 结算台账</x:v>
      </x:c>
      <x:c r="P16" s="15" t="str"/>
      <x:c r="Q16" s="15" t="str">
        <x:v>1. 分成详情入口
2. 三方金额明细
3. 规则版本
4. 结算状态</x:v>
      </x:c>
      <x:c r="R16" s="15" t="str">
        <x:v>产品</x:v>
      </x:c>
      <x:c r="S16" s="15" t="str">
        <x:v>进入对应功能测试前</x:v>
      </x:c>
      <x:c r="T16" s="15" t="str">
        <x:v>待确认</x:v>
      </x:c>
    </x:row>
    <x:row r="17" ht="61.5" customHeight="1">
      <x:c r="A17" s="15" t="str">
        <x:v>Q-020</x:v>
      </x:c>
      <x:c r="B17" s="19" t="str">
        <x:v>RQ-020</x:v>
      </x:c>
      <x:c r="C17" s="15" t="str"/>
      <x:c r="D17" s="15" t="str"/>
      <x:c r="E17" s="15" t="str">
        <x:v>部分阻塞</x:v>
      </x:c>
      <x:c r="F17" s="15" t="str">
        <x:v>公会App-数据与收益模块</x:v>
      </x:c>
      <x:c r="G17" s="15" t="str">
        <x:v>公会业绩、每日经营详情、直播记录和分成记录展示同一日期或场次的相关指标</x:v>
      </x:c>
      <x:c r="H17" s="15" t="str">
        <x:v>跨端与跨模块一致性</x:v>
      </x:c>
      <x:c r="I17" s="16" t="str">
        <x:v>汇总指标与下钻明细不一致时，产品采用哪一种处理方式？</x:v>
      </x:c>
      <x:c r="J17" s="15" t="str">
        <x:v>1. A. 以明细实时重算并同步修正汇总
2. B. 保留汇总快照并标注数据更新时间
3. C. 暂停展示该指标并提示数据处理中</x:v>
      </x:c>
      <x:c r="K17" s="17" t="str">
        <x:v>建议 B；报表可保留可审计快照，同时明确数据时点。</x:v>
      </x:c>
      <x:c r="L17" s="18" t="str"/>
      <x:c r="M17" s="18" t="str"/>
      <x:c r="N17" s="15" t="str">
        <x:v>1. 多个页面存在汇总到明细下钻
2. 原型未定义异步更新和不一致处理</x:v>
      </x:c>
      <x:c r="O17" s="15" t="str">
        <x:v>1. 公会业绩
2. 每日经营详情
3. 直播记录
4. 分成记录</x:v>
      </x:c>
      <x:c r="P17" s="15" t="str">
        <x:v>1. GDE-042
2. GDE-068</x:v>
      </x:c>
      <x:c r="Q17" s="15" t="str">
        <x:v>1. 汇总与明细一致性
2. 延迟更新状态
3. 重算或刷新方式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61.5" customHeight="1">
      <x:c r="A18" s="15" t="str">
        <x:v>Q-021</x:v>
      </x:c>
      <x:c r="B18" s="19" t="str">
        <x:v>RQ-021</x:v>
      </x:c>
      <x:c r="C18" s="15" t="str"/>
      <x:c r="D18" s="15" t="str"/>
      <x:c r="E18" s="15" t="str">
        <x:v>部分阻塞</x:v>
      </x:c>
      <x:c r="F18" s="15" t="str">
        <x:v>公会App-数据与收益模块</x:v>
      </x:c>
      <x:c r="G18" s="15" t="str">
        <x:v>需求清单要求查看跳出率、平均停留时长、同时在线峰值、互动率和送礼转化，但当前数据与收益原型没有对应指标页面</x:v>
      </x:c>
      <x:c r="H18" s="15" t="str">
        <x:v>需求范围</x:v>
      </x:c>
      <x:c r="I18" s="16" t="str">
        <x:v>主播运营指标是否纳入本期公会 App 交付范围？</x:v>
      </x:c>
      <x:c r="J18" s="15" t="str">
        <x:v>1. A. 本期在每日经营详情中展示全部运营指标
2. B. 本期新增独立的主播运营数据页面
3. C. 本期不交付，保留为后续版本需求</x:v>
      </x:c>
      <x:c r="K18" s="17" t="str">
        <x:v>建议 C；当前原型没有入口、字段定义和统计口径，暂不形成可执行验收用例。</x:v>
      </x:c>
      <x:c r="L18" s="18" t="str"/>
      <x:c r="M18" s="18" t="str"/>
      <x:c r="N18" s="15" t="str">
        <x:v>1. context 需求清单明确列出 5 类运营指标
2. 当前原型页面树和批注没有对应页面及统计规则</x:v>
      </x:c>
      <x:c r="O18" s="15" t="str">
        <x:v>1. 主播运营数据
2. 每日经营详情
3. 主播详情</x:v>
      </x:c>
      <x:c r="P18" s="15" t="str"/>
      <x:c r="Q18" s="15" t="str">
        <x:v>1. 运营指标入口
2. 各指标统计口径
3. 日期与主播筛选
4. 指标明细下钻</x:v>
      </x:c>
      <x:c r="R18" s="15" t="str">
        <x:v>产品</x:v>
      </x:c>
      <x:c r="S18" s="15" t="str">
        <x:v>进入对应功能测试前</x:v>
      </x:c>
      <x:c r="T18" s="15" t="str">
        <x:v>待确认</x:v>
      </x:c>
    </x:row>
    <x:row r="19" ht="49.5" customHeight="1">
      <x:c r="A19" s="15" t="str">
        <x:v>Q-022</x:v>
      </x:c>
      <x:c r="B19" s="19" t="str">
        <x:v>RQ-022</x:v>
      </x:c>
      <x:c r="C19" s="15" t="str"/>
      <x:c r="D19" s="15" t="str"/>
      <x:c r="E19" s="15" t="str">
        <x:v>部分阻塞</x:v>
      </x:c>
      <x:c r="F19" s="15" t="str">
        <x:v>公会App-数据与收益模块</x:v>
      </x:c>
      <x:c r="G19" s="15" t="str">
        <x:v>需求清单要求按主播和时间段查看涨粉数据，但当前主播数据关联页面没有涨粉字段</x:v>
      </x:c>
      <x:c r="H19" s="15" t="str">
        <x:v>需求范围</x:v>
      </x:c>
      <x:c r="I19" s="16" t="str">
        <x:v>公会 App 的主播涨粉数据从哪个页面查看？</x:v>
      </x:c>
      <x:c r="J19" s="15" t="str">
        <x:v>1. A. 在每日经营详情的主播卡片中展示
2. B. 在主播数据或主播详情中展示
3. C. 本期不展示涨粉数据</x:v>
      </x:c>
      <x:c r="K19" s="17" t="str">
        <x:v>建议 B；涨粉属于单主播周期数据，放在主播数据或详情中更便于按时间查看。</x:v>
      </x:c>
      <x:c r="L19" s="18" t="str"/>
      <x:c r="M19" s="18" t="str"/>
      <x:c r="N19" s="15" t="str">
        <x:v>1. context 需求清单明确包含涨粉数据
2. 当前公会数据原型未展示涨粉字段</x:v>
      </x:c>
      <x:c r="O19" s="15" t="str">
        <x:v>1. 主播数据
2. 每日经营详情
3. 主播详情</x:v>
      </x:c>
      <x:c r="P19" s="15" t="str">
        <x:v>1. GDE-068</x:v>
      </x:c>
      <x:c r="Q19" s="15" t="str">
        <x:v>1. 涨粉字段
2. 时间范围筛选
3. 零涨粉与负增长显示</x:v>
      </x:c>
      <x:c r="R19" s="15" t="str">
        <x:v>产品</x:v>
      </x:c>
      <x:c r="S19" s="15" t="str">
        <x:v>进入对应功能测试前</x:v>
      </x:c>
      <x:c r="T19" s="15" t="str">
        <x:v>待确认</x:v>
      </x:c>
    </x:row>
    <x:row r="20" ht="49.5" customHeight="1">
      <x:c r="A20" s="15" t="str">
        <x:v>Q-023</x:v>
      </x:c>
      <x:c r="B20" s="19" t="str">
        <x:v>RQ-023</x:v>
      </x:c>
      <x:c r="C20" s="15" t="str"/>
      <x:c r="D20" s="15" t="str"/>
      <x:c r="E20" s="15" t="str">
        <x:v>部分阻塞</x:v>
      </x:c>
      <x:c r="F20" s="15" t="str">
        <x:v>公会App-数据与收益模块</x:v>
      </x:c>
      <x:c r="G20" s="15" t="str">
        <x:v>需求清单要求公会收益支持周期对比，当前公会业绩页只展示所选范围汇总和趋势</x:v>
      </x:c>
      <x:c r="H20" s="15" t="str">
        <x:v>需求范围</x:v>
      </x:c>
      <x:c r="I20" s="16" t="str">
        <x:v>公会收益的周期对比在本期采用哪一种方式？</x:v>
      </x:c>
      <x:c r="J20" s="15" t="str">
        <x:v>1. A. 公会业绩汇总卡显示与上一等长周期的差值和比例
2. B. 新增独立的收益对比页面
3. C. 本期只展示趋势，不提供周期对比</x:v>
      </x:c>
      <x:c r="K20" s="17" t="str">
        <x:v>建议 A；可复用现有日期范围和汇总指标，用户也能直接理解对比基准。</x:v>
      </x:c>
      <x:c r="L20" s="18" t="str"/>
      <x:c r="M20" s="18" t="str"/>
      <x:c r="N20" s="15" t="str">
        <x:v>1. context 需求清单明确要求周期对比
2. 当前公会业绩原型没有同比或环比字段</x:v>
      </x:c>
      <x:c r="O20" s="15" t="str">
        <x:v>1. 公会业绩
2. 收益概览
3. 趋势图</x:v>
      </x:c>
      <x:c r="P20" s="15" t="str">
        <x:v>1. GDE-028</x:v>
      </x:c>
      <x:c r="Q20" s="15" t="str">
        <x:v>1. 对比周期定义
2. 差值与比例计算
3. 无上一周期数据</x:v>
      </x:c>
      <x:c r="R20" s="15" t="str">
        <x:v>产品</x:v>
      </x:c>
      <x:c r="S20" s="15" t="str">
        <x:v>进入对应功能测试前</x:v>
      </x:c>
      <x:c r="T20" s="15" t="str">
        <x:v>待确认</x:v>
      </x:c>
    </x:row>
    <x:row r="21" ht="73.5" customHeight="1">
      <x:c r="A21" s="15" t="str">
        <x:v>Q-006</x:v>
      </x:c>
      <x:c r="B21" s="19" t="str">
        <x:v>RQ-006</x:v>
      </x:c>
      <x:c r="C21" s="15" t="str"/>
      <x:c r="D21" s="15" t="str"/>
      <x:c r="E21" s="15" t="str">
        <x:v>不阻塞</x:v>
      </x:c>
      <x:c r="F21" s="15" t="str">
        <x:v>公会App-数据与收益模块</x:v>
      </x:c>
      <x:c r="G21" s="15" t="str">
        <x:v>公会业绩、直播记录、违规记录和分成记录出现大量历史数据</x:v>
      </x:c>
      <x:c r="H21" s="15" t="str">
        <x:v>业务规则</x:v>
      </x:c>
      <x:c r="I21" s="16" t="str">
        <x:v>公会 App 数据与收益各列表在数据量较大时统一采用哪一种加载方式？</x:v>
      </x:c>
      <x:c r="J21" s="15" t="str">
        <x:v>1. A. 每页 20 条，通过页码切换
2. B. 首次 20 条，上拉后每次再加载 20 条
3. C. 单次最多加载 1,000 条，超过后要求缩小日期范围</x:v>
      </x:c>
      <x:c r="K21" s="17" t="str">
        <x:v>建议 B；符合移动端连续浏览习惯，并能控制首次加载量。</x:v>
      </x:c>
      <x:c r="L21" s="18" t="str"/>
      <x:c r="M21" s="18" t="str"/>
      <x:c r="N21" s="15" t="str">
        <x:v>1. 当前原型一次渲染全部模拟数据
2. 原型没有分页、上拉加载和数量上限说明</x:v>
      </x:c>
      <x:c r="O21" s="15" t="str">
        <x:v>1. 公会业绩
2. 直播记录
3. 违规记录
4. 主播分成记录
5. 公会分成记录</x:v>
      </x:c>
      <x:c r="P21" s="15" t="str"/>
      <x:c r="Q21" s="15" t="str">
        <x:v>1. 首批加载
2. 后续加载
3. 加载去重
4. 加载结束状态</x:v>
      </x:c>
      <x:c r="R21" s="15" t="str">
        <x:v>产品</x:v>
      </x:c>
      <x:c r="S21" s="15" t="str">
        <x:v>版本验收前</x:v>
      </x:c>
      <x:c r="T21" s="15" t="str">
        <x:v>待确认</x:v>
      </x:c>
    </x:row>
    <x:row r="22" ht="73.5" customHeight="1">
      <x:c r="A22" s="15" t="str">
        <x:v>Q-007</x:v>
      </x:c>
      <x:c r="B22" s="19" t="str">
        <x:v>RQ-007</x:v>
      </x:c>
      <x:c r="C22" s="15" t="str"/>
      <x:c r="D22" s="15" t="str"/>
      <x:c r="E22" s="15" t="str">
        <x:v>不阻塞</x:v>
      </x:c>
      <x:c r="F22" s="15" t="str">
        <x:v>公会App-数据与收益模块</x:v>
      </x:c>
      <x:c r="G22" s="15" t="str">
        <x:v>公会长查询一年以上的公会主播历史直播记录</x:v>
      </x:c>
      <x:c r="H22" s="15" t="str">
        <x:v>配置和历史数据影响</x:v>
      </x:c>
      <x:c r="I22" s="16" t="str">
        <x:v>公会 App 数据与收益各类历史记录分别允许查询多长时间？</x:v>
      </x:c>
      <x:c r="J22" s="15" t="str">
        <x:v>1. A. 永久保留并允许查询
2. B. 保留最近 1 年
3. C. 保留最近 2 年
4. D. 保留最近 3 年</x:v>
      </x:c>
      <x:c r="K22" s="17" t="str">
        <x:v>建议 B；覆盖常见年度对账范围，并限制移动端长期历史查询成本。</x:v>
      </x:c>
      <x:c r="L22" s="18" t="str"/>
      <x:c r="M22" s="18" t="str"/>
      <x:c r="N22" s="15" t="str">
        <x:v>1. 原型只包含 30 天模拟数据
2. 需求和原型均未定义历史保留期限</x:v>
      </x:c>
      <x:c r="O22" s="15" t="str">
        <x:v>1. 公会业绩
2. 直播记录
3. 违规记录
4. 主播分成记录
5. 公会分成记录</x:v>
      </x:c>
      <x:c r="P22" s="15" t="str"/>
      <x:c r="Q22" s="15" t="str">
        <x:v>1. 保留期内查询
2. 保留期边界
3. 过期记录处理</x:v>
      </x:c>
      <x:c r="R22" s="15" t="str">
        <x:v>产品</x:v>
      </x:c>
      <x:c r="S22" s="15" t="str">
        <x:v>版本验收前</x:v>
      </x:c>
      <x:c r="T22" s="15" t="str">
        <x:v>待确认</x:v>
      </x:c>
    </x:row>
    <x:row r="23" ht="85.5" customHeight="1">
      <x:c r="A23" s="15" t="str">
        <x:v>Q-008</x:v>
      </x:c>
      <x:c r="B23" s="19" t="str">
        <x:v>RQ-008</x:v>
      </x:c>
      <x:c r="C23" s="15" t="str"/>
      <x:c r="D23" s="15" t="str"/>
      <x:c r="E23" s="15" t="str">
        <x:v>不阻塞</x:v>
      </x:c>
      <x:c r="F23" s="15" t="str">
        <x:v>公会App-数据与收益模块</x:v>
      </x:c>
      <x:c r="G23" s="15" t="str">
        <x:v>公会长在直播记录页筛选主播和日期后需要将明细交给运营人员</x:v>
      </x:c>
      <x:c r="H23" s="15" t="str">
        <x:v>需求范围</x:v>
      </x:c>
      <x:c r="I23" s="16" t="str">
        <x:v>主播数据的导出能力是否覆盖公会业绩、直播记录、违规记录和分成记录？</x:v>
      </x:c>
      <x:c r="J23" s="15" t="str">
        <x:v>1. A. 直播记录和送礼明细均支持按当前筛选结果导出
2. B. 仅直播记录支持按当前筛选结果导出
3. C. 导出仅属于主播数据汇总，直播记录模块不提供导出</x:v>
      </x:c>
      <x:c r="K23" s="17" t="str">
        <x:v>建议 C；当前原型没有导出入口，先按现有页面范围验收可避免扩大首版功能。</x:v>
      </x:c>
      <x:c r="L23" s="18" t="str"/>
      <x:c r="M23" s="18" t="str"/>
      <x:c r="N23" s="15" t="str">
        <x:v>1. 需求清单中的主播数据支持导出
2. 直播记录原型未展示导出入口
3. 原型未明确两者的功能继承关系</x:v>
      </x:c>
      <x:c r="O23" s="15" t="str">
        <x:v>1. 主播数据
2. 公会业绩
3. 直播记录
4. 违规记录
5. 主播分成记录
6. 公会分成记录</x:v>
      </x:c>
      <x:c r="P23" s="15" t="str"/>
      <x:c r="Q23" s="15" t="str">
        <x:v>1. 导出入口
2. 导出数据范围
3. 导出字段</x:v>
      </x:c>
      <x:c r="R23" s="15" t="str">
        <x:v>产品</x:v>
      </x:c>
      <x:c r="S23" s="15" t="str">
        <x:v>版本验收前</x:v>
      </x:c>
      <x:c r="T23" s="15" t="str">
        <x:v>待确认</x:v>
      </x:c>
    </x:row>
    <x:row r="24" ht="49.5" customHeight="1">
      <x:c r="A24" s="15" t="str">
        <x:v>Q-014</x:v>
      </x:c>
      <x:c r="B24" s="19" t="str">
        <x:v>RQ-014</x:v>
      </x:c>
      <x:c r="C24" s="15" t="str"/>
      <x:c r="D24" s="15" t="str"/>
      <x:c r="E24" s="15" t="str">
        <x:v>不阻塞</x:v>
      </x:c>
      <x:c r="F24" s="15" t="str">
        <x:v>公会App-数据与收益模块</x:v>
      </x:c>
      <x:c r="G24" s="15" t="str">
        <x:v>同一直播间违规时间字段在批注和页面中使用不同名称</x:v>
      </x:c>
      <x:c r="H24" s="15" t="str">
        <x:v>交互与文案规则</x:v>
      </x:c>
      <x:c r="I24" s="16" t="str">
        <x:v>直播间违规记录的时间字段最终显示“发生时间”还是“举报时间”？</x:v>
      </x:c>
      <x:c r="J24" s="15" t="str">
        <x:v>1. A. 统一显示“发生时间”
2. B. 统一显示“举报时间”
3. C. 账号违规显示发生时间、直播间违规显示举报时间</x:v>
      </x:c>
      <x:c r="K24" s="17" t="str">
        <x:v>建议 A；与账号违规字段和需求清单保持一致。</x:v>
      </x:c>
      <x:c r="L24" s="18" t="str"/>
      <x:c r="M24" s="18" t="str"/>
      <x:c r="N24" s="15" t="str">
        <x:v>1. 批注和需求清单使用“发生时间”
2. 当前直播间违规页面脚本使用“举报时间”</x:v>
      </x:c>
      <x:c r="O24" s="15" t="str">
        <x:v>1. 直播间违规记录字段
2. 账号违规记录字段</x:v>
      </x:c>
      <x:c r="P24" s="15" t="str">
        <x:v>1. GDE-200</x:v>
      </x:c>
      <x:c r="Q24" s="15" t="str">
        <x:v>1. 最终字段名称回显</x:v>
      </x:c>
      <x:c r="R24" s="15" t="str">
        <x:v>交互</x:v>
      </x:c>
      <x:c r="S24" s="15" t="str">
        <x:v>进入对应功能测试前</x:v>
      </x:c>
      <x:c r="T24" s="15" t="str">
        <x:v>待确认</x:v>
      </x:c>
    </x:row>
  </x:sheetData>
  <x:conditionalFormatting sqref="E2:E24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24">
    <x:cfRule type="containsText" dxfId="5" priority="4" operator="containsText" text="待确认"/>
  </x:conditionalFormatting>
  <x:dataValidations count="5">
    <x:dataValidation type="list" sqref="E2:E24">
      <x:formula1>"阻塞测试,部分阻塞,不阻塞"</x:formula1>
    </x:dataValidation>
    <x:dataValidation type="list" sqref="H2:H24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24">
      <x:formula1>"A,B,C,D,其他"</x:formula1>
    </x:dataValidation>
    <x:dataValidation type="list" sqref="R2:R24">
      <x:formula1>"产品,交互,技术,多方确认"</x:formula1>
    </x:dataValidation>
    <x:dataValidation type="list" sqref="T2:T24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f0d16034ba42b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3" t="str">
        <x:v>产品决策概览</x:v>
      </x:c>
      <x:c r="B1" s="23"/>
      <x:c r="C1" s="23"/>
      <x:c r="D1" s="23"/>
      <x:c r="E1" s="23"/>
      <x:c r="F1" s="23"/>
      <x:c r="G1" s="23"/>
      <x:c r="H1" s="23"/>
    </x:row>
    <x:row r="2" ht="25.5" customHeight="1">
      <x:c r="A2" s="27" t="str">
        <x:v>优先确认开播人数统计、分成生成状态和数据时区；其余问题可在对应功能测试前逐项决策。</x:v>
      </x:c>
      <x:c r="B2" s="27"/>
      <x:c r="C2" s="27"/>
      <x:c r="D2" s="27"/>
      <x:c r="E2" s="27"/>
      <x:c r="F2" s="27"/>
      <x:c r="G2" s="27"/>
      <x:c r="H2" s="27"/>
    </x:row>
    <x:row r="4" ht="22.5" customHeight="1">
      <x:c r="A4" s="32" t="str">
        <x:v>问题总数</x:v>
      </x:c>
      <x:c r="B4" s="32" t="str"/>
      <x:c r="C4" s="32" t="str">
        <x:v>当前可回答</x:v>
      </x:c>
      <x:c r="D4" s="32" t="str"/>
      <x:c r="E4" s="32" t="str">
        <x:v>待前置结论</x:v>
      </x:c>
      <x:c r="F4" s="32" t="str"/>
      <x:c r="G4" s="32" t="str">
        <x:v>已确认</x:v>
      </x:c>
      <x:c r="H4" s="32" t="str"/>
    </x:row>
    <x:row r="5" ht="31.5" customHeight="1">
      <x:c r="A5" s="37" t="n">
        <x:f>COUNTA('需求待确认'!$A$2:$A$24)</x:f>
        <x:v>23</x:v>
      </x:c>
      <x:c r="B5" s="37" t="str"/>
      <x:c r="C5" s="37" t="n">
        <x:f>COUNTIF('需求待确认'!$T$2:$T$24,"待确认")</x:f>
        <x:v>23</x:v>
      </x:c>
      <x:c r="D5" s="37" t="str"/>
      <x:c r="E5" s="37" t="n">
        <x:f>COUNTIF('需求待确认'!$T$2:$T$24,"待前置结论")</x:f>
        <x:v>0</x:v>
      </x:c>
      <x:c r="F5" s="37" t="str"/>
      <x:c r="G5" s="37" t="n">
        <x:f>COUNTIF('需求待确认'!$T$2:$T$24,"已确认")</x:f>
        <x:v>0</x:v>
      </x:c>
      <x:c r="H5" s="37" t="str"/>
    </x:row>
    <x:row r="7" ht="24" customHeight="1">
      <x:c r="A7" s="41" t="str">
        <x:v>按状态</x:v>
      </x:c>
      <x:c r="B7" s="41" t="str">
        <x:v>数量</x:v>
      </x:c>
      <x:c r="C7" s="41" t="str">
        <x:v>按阻塞等级</x:v>
      </x:c>
      <x:c r="D7" s="41" t="str">
        <x:v>待确认</x:v>
      </x:c>
      <x:c r="E7" s="41" t="str">
        <x:v>按负责人</x:v>
      </x:c>
      <x:c r="F7" s="41" t="str">
        <x:v>待确认</x:v>
      </x:c>
      <x:c r="G7" s="41" t="str">
        <x:v>结构检查</x:v>
      </x:c>
      <x:c r="H7" s="41" t="str">
        <x:v>数量</x:v>
      </x:c>
    </x:row>
    <x:row r="8" ht="23.25" customHeight="1">
      <x:c r="A8" s="42" t="str">
        <x:v>待前置结论</x:v>
      </x:c>
      <x:c r="B8" s="43" t="n">
        <x:f>COUNTIF('需求待确认'!$T$2:$T$24,"待前置结论")</x:f>
        <x:v>0</x:v>
      </x:c>
      <x:c r="C8" s="42" t="str">
        <x:v>阻塞测试</x:v>
      </x:c>
      <x:c r="D8" s="43" t="n">
        <x:f>COUNTIFS('需求待确认'!$E$2:$E$24,"阻塞测试",'需求待确认'!$T$2:$T$24,"待确认")</x:f>
        <x:v>3</x:v>
      </x:c>
      <x:c r="E8" s="42" t="str">
        <x:v>产品</x:v>
      </x:c>
      <x:c r="F8" s="43" t="n">
        <x:f>COUNTIFS('需求待确认'!$R$2:$R$24,"产品",'需求待确认'!$T$2:$T$24,"待确认")</x:f>
        <x:v>15</x:v>
      </x:c>
      <x:c r="G8" s="42" t="str">
        <x:v>需求组</x:v>
      </x:c>
      <x:c r="H8" s="43" t="n">
        <x:v>23</x:v>
      </x:c>
    </x:row>
    <x:row r="9" ht="23.25" customHeight="1">
      <x:c r="A9" s="42" t="str">
        <x:v>待确认</x:v>
      </x:c>
      <x:c r="B9" s="43" t="n">
        <x:f>COUNTIF('需求待确认'!$T$2:$T$24,"待确认")</x:f>
        <x:v>23</x:v>
      </x:c>
      <x:c r="C9" s="42" t="str">
        <x:v>部分阻塞</x:v>
      </x:c>
      <x:c r="D9" s="43" t="n">
        <x:f>COUNTIFS('需求待确认'!$E$2:$E$24,"部分阻塞",'需求待确认'!$T$2:$T$24,"待确认")</x:f>
        <x:v>16</x:v>
      </x:c>
      <x:c r="E9" s="42" t="str">
        <x:v>交互</x:v>
      </x:c>
      <x:c r="F9" s="43" t="n">
        <x:f>COUNTIFS('需求待确认'!$R$2:$R$24,"交互",'需求待确认'!$T$2:$T$24,"待确认")</x:f>
        <x:v>2</x:v>
      </x:c>
      <x:c r="G9" s="42" t="str">
        <x:v>追问子问题</x:v>
      </x:c>
      <x:c r="H9" s="43" t="n">
        <x:f>COUNTA('需求待确认'!$A$2:$A$24)-COUNTBLANK('需求待确认'!$C$2:$C$24)</x:f>
        <x:v>0</x:v>
      </x:c>
    </x:row>
    <x:row r="10" ht="23.25" customHeight="1">
      <x:c r="A10" s="42" t="str">
        <x:v>确认中</x:v>
      </x:c>
      <x:c r="B10" s="43" t="n">
        <x:f>COUNTIF('需求待确认'!$T$2:$T$24,"确认中")</x:f>
        <x:v>0</x:v>
      </x:c>
      <x:c r="C10" s="42" t="str">
        <x:v>不阻塞</x:v>
      </x:c>
      <x:c r="D10" s="43" t="n">
        <x:f>COUNTIFS('需求待确认'!$E$2:$E$24,"不阻塞",'需求待确认'!$T$2:$T$24,"待确认")</x:f>
        <x:v>4</x:v>
      </x:c>
      <x:c r="E10" s="42" t="str">
        <x:v>技术</x:v>
      </x:c>
      <x:c r="F10" s="43" t="n">
        <x:f>COUNTIFS('需求待确认'!$R$2:$R$24,"技术",'需求待确认'!$T$2:$T$24,"待确认")</x:f>
        <x:v>0</x:v>
      </x:c>
      <x:c r="G10" s="42" t="str">
        <x:v>未填写产品结论</x:v>
      </x:c>
      <x:c r="H10" s="43" t="n">
        <x:f>COUNTBLANK('需求待确认'!$L$2:$L$24)</x:f>
        <x:v>23</x:v>
      </x:c>
    </x:row>
    <x:row r="11" ht="23.25" customHeight="1">
      <x:c r="A11" s="42" t="str">
        <x:v>已确认</x:v>
      </x:c>
      <x:c r="B11" s="43" t="n">
        <x:f>COUNTIF('需求待确认'!$T$2:$T$24,"已确认")</x:f>
        <x:v>0</x:v>
      </x:c>
      <x:c r="C11" s="5"/>
      <x:c r="D11" s="5"/>
      <x:c r="E11" s="42" t="str">
        <x:v>多方确认</x:v>
      </x:c>
      <x:c r="F11" s="43" t="n">
        <x:f>COUNTIFS('需求待确认'!$R$2:$R$24,"多方确认",'需求待确认'!$T$2:$T$24,"待确认")</x:f>
        <x:v>6</x:v>
      </x:c>
      <x:c r="G11" s="42" t="str">
        <x:v>选择其他但未补充</x:v>
      </x:c>
      <x:c r="H11" s="43" t="n">
        <x:f>COUNTIFS('需求待确认'!$L$2:$L$24,"其他",'需求待确认'!$M$2:$M$24,"")</x:f>
        <x:v>0</x:v>
      </x:c>
    </x:row>
    <x:row r="12" ht="23.25" customHeight="1">
      <x:c r="A12" s="42" t="str">
        <x:v>无需处理</x:v>
      </x:c>
      <x:c r="B12" s="43" t="n">
        <x:f>COUNTIF('需求待确认'!$T$2:$T$24,"无需处理")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49" t="str">
        <x:v>填写方式：在“需求待确认”的“产品结论”列选择 A、B、C、D 或其他；选择“其他”时补充具体规则。</x:v>
      </x:c>
      <x:c r="B14" s="49"/>
      <x:c r="C14" s="49"/>
      <x:c r="D14" s="49"/>
      <x:c r="E14" s="49"/>
      <x:c r="F14" s="49"/>
      <x:c r="G14" s="49"/>
      <x:c r="H14" s="49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