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f305535d92435a" /></Relationships>
</file>

<file path=xl/workbook.xml><?xml version="1.0" encoding="utf-8"?>
<x:workbook xmlns:x="http://schemas.openxmlformats.org/spreadsheetml/2006/main">
  <x:sheets>
    <x:sheet xmlns:r="http://schemas.openxmlformats.org/officeDocument/2006/relationships" name="产品决策概览" sheetId="1" r:id="R4e3c0f94658546fe"/>
    <x:sheet xmlns:r="http://schemas.openxmlformats.org/officeDocument/2006/relationships" name="功能测试用例" sheetId="2" r:id="R63d6c1319f1045f2"/>
    <x:sheet xmlns:r="http://schemas.openxmlformats.org/officeDocument/2006/relationships" name="需求待确认" sheetId="3" r:id="R3cbaf7f73781459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sz val="11"/>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horizontal="center"/>
    </x:xf>
    <x:xf numFmtId="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7eb45c33554c4e" /><Relationship Type="http://schemas.openxmlformats.org/officeDocument/2006/relationships/theme" Target="/xl/theme/theme1.xml" Id="R5313e2d3fa3a4697" /><Relationship Type="http://schemas.openxmlformats.org/officeDocument/2006/relationships/sharedStrings" Target="/xl/sharedStrings.xml" Id="Rb65b357ba85b42b9" /><Relationship Type="http://schemas.openxmlformats.org/officeDocument/2006/relationships/worksheet" Target="/xl/worksheets/sheet1.xml" Id="R4e3c0f94658546fe" /><Relationship Type="http://schemas.openxmlformats.org/officeDocument/2006/relationships/worksheet" Target="/xl/worksheets/sheet2.xml" Id="R63d6c1319f1045f2" /><Relationship Type="http://schemas.openxmlformats.org/officeDocument/2006/relationships/worksheet" Target="/xl/worksheets/sheet3.xml" Id="R3cbaf7f737814593" /></Relationships>
</file>

<file path=xl/tables/table1.xml><?xml version="1.0" encoding="utf-8"?>
<x:table xmlns:x="http://schemas.openxmlformats.org/spreadsheetml/2006/main" id="1" name="AdminAllCases" displayName="AdminAllCases" ref="A1:O876" headerRowCount="1" totalsRowCount="0" totalsRowShown="0">
  <x:autoFilter ref="A1:O876"/>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AdminAllPending" displayName="AdminAllPending" ref="A1:T71" headerRowCount="1" totalsRowCount="0" totalsRowShown="0">
  <x:autoFilter ref="A1:T71"/>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f8f52789b2449d" /></Relationships>
</file>

<file path=xl/worksheets/_rels/sheet3.xml.rels>&#65279;<?xml version="1.0" encoding="utf-8"?><Relationships xmlns="http://schemas.openxmlformats.org/package/2006/relationships"><Relationship Type="http://schemas.openxmlformats.org/officeDocument/2006/relationships/table" Target="/xl/tables/table2.xml" Id="R1485695e961a46d8"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8" t="str">
        <x:v>管理后台-全部模块 产品决策概览</x:v>
      </x:c>
      <x:c r="B1" s="17"/>
      <x:c r="C1" s="17"/>
      <x:c r="D1" s="17"/>
      <x:c r="E1" s="17"/>
      <x:c r="F1" s="17"/>
      <x:c r="G1" s="17"/>
      <x:c r="H1" s="17"/>
    </x:row>
    <x:row r="2">
      <x:c r="A2" s="19" t="str">
        <x:v>MainBasis 现有数据直接导出；未追加内容复核；用例均未测</x:v>
      </x:c>
      <x:c r="B2" s="17"/>
      <x:c r="C2" s="17"/>
      <x:c r="D2" s="17"/>
      <x:c r="E2" s="17"/>
      <x:c r="F2" s="17"/>
      <x:c r="G2" s="17"/>
      <x:c r="H2" s="17"/>
    </x:row>
    <x:row r="3">
      <x:c r="A3" s="17"/>
      <x:c r="B3" s="17"/>
      <x:c r="C3" s="17"/>
      <x:c r="D3" s="17"/>
      <x:c r="E3" s="17"/>
      <x:c r="F3" s="17"/>
      <x:c r="G3" s="17"/>
      <x:c r="H3" s="17"/>
    </x:row>
    <x:row r="4">
      <x:c r="A4" s="7" t="str">
        <x:v>状态</x:v>
      </x:c>
      <x:c r="B4" s="7" t="str">
        <x:v>数量</x:v>
      </x:c>
      <x:c r="C4" s="17"/>
      <x:c r="D4" s="7" t="str">
        <x:v>阻塞等级</x:v>
      </x:c>
      <x:c r="E4" s="7" t="str">
        <x:v>当前待确认</x:v>
      </x:c>
      <x:c r="F4" s="17"/>
      <x:c r="G4" s="7" t="str">
        <x:v>负责人</x:v>
      </x:c>
      <x:c r="H4" s="7" t="str">
        <x:v>当前待确认</x:v>
      </x:c>
    </x:row>
    <x:row r="5">
      <x:c r="A5" s="20" t="str">
        <x:v>问题总数</x:v>
      </x:c>
      <x:c r="B5" s="20" t="n">
        <x:f>COUNTA('需求待确认'!$A$2:$A$71)</x:f>
        <x:v>70</x:v>
      </x:c>
      <x:c r="C5" s="17"/>
      <x:c r="D5" s="20" t="str">
        <x:v>阻塞测试</x:v>
      </x:c>
      <x:c r="E5" s="20" t="n">
        <x:f>COUNTIFS('需求待确认'!$E$2:$E$71,"阻塞测试",'需求待确认'!$T$2:$T$71,"待确认")</x:f>
        <x:v>14</x:v>
      </x:c>
      <x:c r="F5" s="17"/>
      <x:c r="G5" s="20" t="str">
        <x:v>产品</x:v>
      </x:c>
      <x:c r="H5" s="20" t="n">
        <x:f>COUNTIFS('需求待确认'!$R$2:$R$71,"产品",'需求待确认'!$T$2:$T$71,"待确认")</x:f>
        <x:v>62</x:v>
      </x:c>
    </x:row>
    <x:row r="6">
      <x:c r="A6" s="20" t="str">
        <x:v>当前可回答</x:v>
      </x:c>
      <x:c r="B6" s="20" t="n">
        <x:f>COUNTIF('需求待确认'!$T$2:$T$71,"待确认")</x:f>
        <x:v>70</x:v>
      </x:c>
      <x:c r="C6" s="17"/>
      <x:c r="D6" s="20" t="str">
        <x:v>部分阻塞</x:v>
      </x:c>
      <x:c r="E6" s="20" t="n">
        <x:f>COUNTIFS('需求待确认'!$E$2:$E$71,"部分阻塞",'需求待确认'!$T$2:$T$71,"待确认")</x:f>
        <x:v>56</x:v>
      </x:c>
      <x:c r="F6" s="17"/>
      <x:c r="G6" s="20" t="str">
        <x:v>交互</x:v>
      </x:c>
      <x:c r="H6" s="20" t="n">
        <x:f>COUNTIFS('需求待确认'!$R$2:$R$71,"交互",'需求待确认'!$T$2:$T$71,"待确认")</x:f>
        <x:v>1</x:v>
      </x:c>
    </x:row>
    <x:row r="7">
      <x:c r="A7" s="20" t="str">
        <x:v>待前置结论</x:v>
      </x:c>
      <x:c r="B7" s="20" t="n">
        <x:f>COUNTIF('需求待确认'!$T$2:$T$71,"待前置结论")</x:f>
        <x:v>0</x:v>
      </x:c>
      <x:c r="C7" s="17"/>
      <x:c r="D7" s="20" t="str">
        <x:v>不阻塞</x:v>
      </x:c>
      <x:c r="E7" s="20" t="n">
        <x:f>COUNTIFS('需求待确认'!$E$2:$E$71,"不阻塞",'需求待确认'!$T$2:$T$71,"待确认")</x:f>
        <x:v>0</x:v>
      </x:c>
      <x:c r="F7" s="17"/>
      <x:c r="G7" s="20" t="str">
        <x:v>技术</x:v>
      </x:c>
      <x:c r="H7" s="20" t="n">
        <x:f>COUNTIFS('需求待确认'!$R$2:$R$71,"技术",'需求待确认'!$T$2:$T$71,"待确认")</x:f>
        <x:v>1</x:v>
      </x:c>
    </x:row>
    <x:row r="8">
      <x:c r="A8" s="20" t="str">
        <x:v>确认中</x:v>
      </x:c>
      <x:c r="B8" s="20" t="n">
        <x:f>COUNTIF('需求待确认'!$T$2:$T$71,"确认中")</x:f>
        <x:v>0</x:v>
      </x:c>
      <x:c r="C8" s="17"/>
      <x:c r="D8" s="17"/>
      <x:c r="E8" s="17"/>
      <x:c r="F8" s="17"/>
      <x:c r="G8" s="20" t="str">
        <x:v>多方确认</x:v>
      </x:c>
      <x:c r="H8" s="20" t="n">
        <x:f>COUNTIFS('需求待确认'!$R$2:$R$71,"多方确认",'需求待确认'!$T$2:$T$71,"待确认")</x:f>
        <x:v>6</x:v>
      </x:c>
    </x:row>
    <x:row r="9">
      <x:c r="A9" s="20" t="str">
        <x:v>已确认</x:v>
      </x:c>
      <x:c r="B9" s="20" t="n">
        <x:f>COUNTIF('需求待确认'!$T$2:$T$71,"已确认")</x:f>
        <x:v>0</x:v>
      </x:c>
      <x:c r="C9" s="17"/>
      <x:c r="D9" s="17"/>
      <x:c r="E9" s="17"/>
      <x:c r="F9" s="17"/>
      <x:c r="G9" s="17"/>
      <x:c r="H9" s="17"/>
    </x:row>
    <x:row r="10">
      <x:c r="A10" s="20" t="str">
        <x:v>无需处理</x:v>
      </x:c>
      <x:c r="B10" s="20" t="n">
        <x:f>COUNTIF('需求待确认'!$T$2:$T$71,"无需处理")</x:f>
        <x:v>0</x:v>
      </x:c>
      <x:c r="C10" s="17"/>
      <x:c r="D10" s="17"/>
      <x:c r="E10" s="17"/>
      <x:c r="F10" s="17"/>
      <x:c r="G10" s="17"/>
      <x:c r="H10" s="17"/>
    </x:row>
    <x:row r="12">
      <x:c r="A12" s="7" t="str">
        <x:v>用例总数</x:v>
      </x:c>
      <x:c r="B12" s="7" t="str">
        <x:v>通过</x:v>
      </x:c>
      <x:c r="C12" s="7" t="str">
        <x:v>不通过</x:v>
      </x:c>
      <x:c r="D12" s="7" t="str">
        <x:v>未测</x:v>
      </x:c>
    </x:row>
    <x:row r="13">
      <x:c r="A13" s="16" t="n">
        <x:f>COUNTA('功能测试用例'!$B$2:$B876)</x:f>
        <x:v>875</x:v>
      </x:c>
      <x:c r="B13" s="16" t="n">
        <x:f>COUNTIF('功能测试用例'!$M$2:$M876,"通过")</x:f>
        <x:v>0</x:v>
      </x:c>
      <x:c r="C13" s="16" t="n">
        <x:f>COUNTIF('功能测试用例'!$M$2:$M876,"不通过")</x:f>
        <x:v>0</x:v>
      </x:c>
      <x:c r="D13" s="16" t="n">
        <x:f>COUNTIF('功能测试用例'!$M$2:$M876,"未测")</x:f>
        <x:v>875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110" customHeight="1">
      <x:c r="A2" s="4" t="n">
        <x:v>1</x:v>
      </x:c>
      <x:c r="B2" s="4" t="str">
        <x:v>ADMIN-0001</x:v>
      </x:c>
      <x:c r="C2" s="4" t="str">
        <x:v>M04 粉丝团、房管与成长等级</x:v>
      </x:c>
      <x:c r="D2" s="4" t="str">
        <x:v>等级配置-55（平台管理员视角）</x:v>
      </x:c>
      <x:c r="E2" s="4" t="str">
        <x:v>逻辑校验</x:v>
      </x:c>
      <x:c r="F2" s="4" t="str">
        <x:v>P1</x:v>
      </x:c>
      <x:c r="G2" s="4" t="str">
        <x:v>验证主播等级累计值99判级</x:v>
      </x:c>
      <x:c r="H2" s="4" t="str">
        <x:v>主播等级累计值99判级</x:v>
      </x:c>
      <x:c r="I2" s="4" t="str">
        <x:v>1. 已登录平台管理员账号
2. 当前主播等级配置为1级0、2级100、3级200、4级300金币
3. 该对象累计值为99</x:v>
      </x:c>
      <x:c r="J2" s="4" t="str">
        <x:v>1. 进入「等级配置-55」页
2. 查看主播等级累计值99判级</x:v>
      </x:c>
      <x:c r="K2" s="4" t="str">
        <x:v>主播等级判定为1级</x:v>
      </x:c>
      <x:c r="L2" s="4" t="str"/>
      <x:c r="M2" s="4" t="str">
        <x:v>未测</x:v>
      </x:c>
      <x:c r="N2" s="4" t="str"/>
      <x:c r="O2" s="4" t="str">
        <x:v>1. 来源：MainBasis/统一需求文档.md；A-admin-level-config-012、A-admin-level-config-002、A-admin-level-config-003、A-admin-level-config-004、A-admin-level-config-005、U-fan-list-003、U-views_live-room_audience-online-002
2. 场景：SC-5fe76d3cbf93b6</x:v>
      </x:c>
    </x:row>
    <x:row r="3" ht="110" customHeight="1">
      <x:c r="A3" s="4" t="n">
        <x:v>2</x:v>
      </x:c>
      <x:c r="B3" s="4" t="str">
        <x:v>ADMIN-0002</x:v>
      </x:c>
      <x:c r="C3" s="4" t="str">
        <x:v>M04 粉丝团、房管与成长等级</x:v>
      </x:c>
      <x:c r="D3" s="4" t="str">
        <x:v>等级配置-55（平台管理员视角）</x:v>
      </x:c>
      <x:c r="E3" s="4" t="str">
        <x:v>逻辑校验</x:v>
      </x:c>
      <x:c r="F3" s="4" t="str">
        <x:v>P1</x:v>
      </x:c>
      <x:c r="G3" s="4" t="str">
        <x:v>验证主播等级累计值100判级</x:v>
      </x:c>
      <x:c r="H3" s="4" t="str">
        <x:v>主播等级累计值100判级</x:v>
      </x:c>
      <x:c r="I3" s="4" t="str">
        <x:v>1. 已登录平台管理员账号
2. 当前主播等级配置为1级0、2级100、3级200、4级300金币
3. 该对象累计值为100</x:v>
      </x:c>
      <x:c r="J3" s="4" t="str">
        <x:v>1. 进入「等级配置-55」页
2. 查看主播等级累计值100判级</x:v>
      </x:c>
      <x:c r="K3" s="4" t="str">
        <x:v>主播等级判定为2级</x:v>
      </x:c>
      <x:c r="L3" s="4" t="str"/>
      <x:c r="M3" s="4" t="str">
        <x:v>未测</x:v>
      </x:c>
      <x:c r="N3" s="4" t="str"/>
      <x:c r="O3" s="4" t="str">
        <x:v>1. 来源：MainBasis/统一需求文档.md；A-admin-level-config-012、A-admin-level-config-002、A-admin-level-config-003、A-admin-level-config-004、A-admin-level-config-005、U-fan-list-003、U-views_live-room_audience-online-002
2. 场景：SC-08b7d0e12a89a1</x:v>
      </x:c>
    </x:row>
    <x:row r="4" ht="110" customHeight="1">
      <x:c r="A4" s="4" t="n">
        <x:v>3</x:v>
      </x:c>
      <x:c r="B4" s="4" t="str">
        <x:v>ADMIN-0003</x:v>
      </x:c>
      <x:c r="C4" s="4" t="str">
        <x:v>M04 粉丝团、房管与成长等级</x:v>
      </x:c>
      <x:c r="D4" s="4" t="str">
        <x:v>等级配置-55（平台管理员视角）</x:v>
      </x:c>
      <x:c r="E4" s="4" t="str">
        <x:v>逻辑校验</x:v>
      </x:c>
      <x:c r="F4" s="4" t="str">
        <x:v>P1</x:v>
      </x:c>
      <x:c r="G4" s="4" t="str">
        <x:v>验证主播等级累计值101判级</x:v>
      </x:c>
      <x:c r="H4" s="4" t="str">
        <x:v>主播等级累计值101判级</x:v>
      </x:c>
      <x:c r="I4" s="4" t="str">
        <x:v>1. 已登录平台管理员账号
2. 当前主播等级配置为1级0、2级100、3级200、4级300金币
3. 该对象累计值为101</x:v>
      </x:c>
      <x:c r="J4" s="4" t="str">
        <x:v>1. 进入「等级配置-55」页
2. 查看主播等级累计值101判级</x:v>
      </x:c>
      <x:c r="K4" s="4" t="str">
        <x:v>主播等级判定为2级</x:v>
      </x:c>
      <x:c r="L4" s="4" t="str"/>
      <x:c r="M4" s="4" t="str">
        <x:v>未测</x:v>
      </x:c>
      <x:c r="N4" s="4" t="str"/>
      <x:c r="O4" s="4" t="str">
        <x:v>1. 来源：MainBasis/统一需求文档.md；A-admin-level-config-012、A-admin-level-config-002、A-admin-level-config-003、A-admin-level-config-004、A-admin-level-config-005、U-fan-list-003、U-views_live-room_audience-online-002
2. 场景：SC-42ac1bfed8a3dc</x:v>
      </x:c>
    </x:row>
    <x:row r="5" ht="110" customHeight="1">
      <x:c r="A5" s="4" t="n">
        <x:v>4</x:v>
      </x:c>
      <x:c r="B5" s="4" t="str">
        <x:v>ADMIN-0004</x:v>
      </x:c>
      <x:c r="C5" s="4" t="str">
        <x:v>M04 粉丝团、房管与成长等级</x:v>
      </x:c>
      <x:c r="D5" s="4" t="str">
        <x:v>等级配置-55（平台管理员视角）</x:v>
      </x:c>
      <x:c r="E5" s="4" t="str">
        <x:v>逻辑校验</x:v>
      </x:c>
      <x:c r="F5" s="4" t="str">
        <x:v>P1</x:v>
      </x:c>
      <x:c r="G5" s="4" t="str">
        <x:v>验证主播等级累计值300判级</x:v>
      </x:c>
      <x:c r="H5" s="4" t="str">
        <x:v>主播等级累计值300判级</x:v>
      </x:c>
      <x:c r="I5" s="4" t="str">
        <x:v>1. 已登录平台管理员账号
2. 当前主播等级配置为1级0、2级100、3级200、4级300金币
3. 该对象累计值为300</x:v>
      </x:c>
      <x:c r="J5" s="4" t="str">
        <x:v>1. 进入「等级配置-55」页
2. 查看主播等级累计值300判级</x:v>
      </x:c>
      <x:c r="K5" s="4" t="str">
        <x:v>主播等级判定为4级</x:v>
      </x:c>
      <x:c r="L5" s="4" t="str"/>
      <x:c r="M5" s="4" t="str">
        <x:v>未测</x:v>
      </x:c>
      <x:c r="N5" s="4" t="str"/>
      <x:c r="O5" s="4" t="str">
        <x:v>1. 来源：MainBasis/统一需求文档.md；A-admin-level-config-012、A-admin-level-config-002、A-admin-level-config-003、A-admin-level-config-004、A-admin-level-config-005、U-fan-list-003、U-views_live-room_audience-online-002
2. 场景：SC-3700fe32c7fcb6</x:v>
      </x:c>
    </x:row>
    <x:row r="6" ht="68" customHeight="1">
      <x:c r="A6" s="4" t="n">
        <x:v>5</x:v>
      </x:c>
      <x:c r="B6" s="4" t="str">
        <x:v>ADMIN-0005</x:v>
      </x:c>
      <x:c r="C6" s="4" t="str">
        <x:v>M04 粉丝团、房管与成长等级</x:v>
      </x:c>
      <x:c r="D6" s="4" t="str">
        <x:v>等级配置-55（平台管理员视角）</x:v>
      </x:c>
      <x:c r="E6" s="4" t="str">
        <x:v>功能需求</x:v>
      </x:c>
      <x:c r="F6" s="4" t="str">
        <x:v>P1</x:v>
      </x:c>
      <x:c r="G6" s="4" t="str">
        <x:v>验证主播等级修改门槛立即重算</x:v>
      </x:c>
      <x:c r="H6" s="4" t="str">
        <x:v>主播等级修改门槛立即重算</x:v>
      </x:c>
      <x:c r="I6" s="4" t="str">
        <x:v>1. 已登录平台管理员账号
2. 该类型对象累计150，原2级门槛100</x:v>
      </x:c>
      <x:c r="J6" s="4" t="str">
        <x:v>1. 进入「等级配置-55」页
2. 切换主播等级Tab
3. 将2级门槛改为200
4. 保存当前Tab</x:v>
      </x:c>
      <x:c r="K6" s="4" t="str">
        <x:v>该类型已有对象不再满足2级门槛</x:v>
      </x:c>
      <x:c r="L6" s="4" t="str"/>
      <x:c r="M6" s="4" t="str">
        <x:v>未测</x:v>
      </x:c>
      <x:c r="N6" s="4" t="str"/>
      <x:c r="O6" s="4" t="str">
        <x:v>1. 来源：MainBasis/统一需求文档.md；A-admin-level-config-011
2. 场景：SC-1d5d037bb37db3</x:v>
      </x:c>
    </x:row>
    <x:row r="7" ht="54" customHeight="1">
      <x:c r="A7" s="4" t="n">
        <x:v>6</x:v>
      </x:c>
      <x:c r="B7" s="4" t="str">
        <x:v>ADMIN-0006</x:v>
      </x:c>
      <x:c r="C7" s="4" t="str">
        <x:v>M04 粉丝团、房管与成长等级</x:v>
      </x:c>
      <x:c r="D7" s="4" t="str">
        <x:v>等级配置-55（平台管理员视角）</x:v>
      </x:c>
      <x:c r="E7" s="4" t="str">
        <x:v>功能需求</x:v>
      </x:c>
      <x:c r="F7" s="4" t="str">
        <x:v>P1</x:v>
      </x:c>
      <x:c r="G7" s="4" t="str">
        <x:v>验证主播等级新增连续编号</x:v>
      </x:c>
      <x:c r="H7" s="4" t="str">
        <x:v>主播等级新增连续编号</x:v>
      </x:c>
      <x:c r="I7" s="4" t="str">
        <x:v>1. 已登录平台管理员账号
2. 当前主播等级最高编号为3</x:v>
      </x:c>
      <x:c r="J7" s="4" t="str">
        <x:v>1. 进入「等级配置-55」页
2. 切换主播等级Tab
3. 点击新增等级</x:v>
      </x:c>
      <x:c r="K7" s="4" t="str">
        <x:v>新增等级编号为4，金币数值为空</x:v>
      </x:c>
      <x:c r="L7" s="4" t="str"/>
      <x:c r="M7" s="4" t="str">
        <x:v>未测</x:v>
      </x:c>
      <x:c r="N7" s="4" t="str"/>
      <x:c r="O7" s="4" t="str">
        <x:v>1. 来源：MainBasis/统一需求文档.md；A-admin-level-config-015
2. 场景：SC-5244741754ae63</x:v>
      </x:c>
    </x:row>
    <x:row r="8" ht="68" customHeight="1">
      <x:c r="A8" s="4" t="n">
        <x:v>7</x:v>
      </x:c>
      <x:c r="B8" s="4" t="str">
        <x:v>ADMIN-0007</x:v>
      </x:c>
      <x:c r="C8" s="4" t="str">
        <x:v>M04 粉丝团、房管与成长等级</x:v>
      </x:c>
      <x:c r="D8" s="4" t="str">
        <x:v>等级配置-55（平台管理员视角）</x:v>
      </x:c>
      <x:c r="E8" s="4" t="str">
        <x:v>功能需求</x:v>
      </x:c>
      <x:c r="F8" s="4" t="str">
        <x:v>P1</x:v>
      </x:c>
      <x:c r="G8" s="4" t="str">
        <x:v>验证主播等级保存留在当前Tab</x:v>
      </x:c>
      <x:c r="H8" s="4" t="str">
        <x:v>主播等级保存留在当前Tab</x:v>
      </x:c>
      <x:c r="I8" s="4" t="str">
        <x:v>1. 已登录平台管理员账号
2. 该类型全部数值及勋章图合法</x:v>
      </x:c>
      <x:c r="J8" s="4" t="str">
        <x:v>1. 进入「等级配置-55」页
2. 切换主播等级Tab
3. 点击保存</x:v>
      </x:c>
      <x:c r="K8" s="4" t="str">
        <x:v>保存成功后仍停留主播等级Tab</x:v>
      </x:c>
      <x:c r="L8" s="4" t="str"/>
      <x:c r="M8" s="4" t="str">
        <x:v>未测</x:v>
      </x:c>
      <x:c r="N8" s="4" t="str"/>
      <x:c r="O8" s="4" t="str">
        <x:v>1. 来源：MainBasis/统一需求文档.md；A-admin-level-config-016、A-admin-level-config-006
2. 场景：SC-0c908d6f1fd5be</x:v>
      </x:c>
    </x:row>
    <x:row r="9" ht="110" customHeight="1">
      <x:c r="A9" s="4" t="n">
        <x:v>8</x:v>
      </x:c>
      <x:c r="B9" s="4" t="str">
        <x:v>ADMIN-0008</x:v>
      </x:c>
      <x:c r="C9" s="4" t="str">
        <x:v>M04 粉丝团、房管与成长等级</x:v>
      </x:c>
      <x:c r="D9" s="4" t="str">
        <x:v>等级配置-55（平台管理员视角）</x:v>
      </x:c>
      <x:c r="E9" s="4" t="str">
        <x:v>逻辑校验</x:v>
      </x:c>
      <x:c r="F9" s="4" t="str">
        <x:v>P1</x:v>
      </x:c>
      <x:c r="G9" s="4" t="str">
        <x:v>验证财富等级累计值99判级</x:v>
      </x:c>
      <x:c r="H9" s="4" t="str">
        <x:v>财富等级累计值99判级</x:v>
      </x:c>
      <x:c r="I9" s="4" t="str">
        <x:v>1. 已登录平台管理员账号
2. 当前财富等级配置为1级0、2级100、3级200、4级300金币
3. 该对象累计值为99</x:v>
      </x:c>
      <x:c r="J9" s="4" t="str">
        <x:v>1. 进入「等级配置-55」页
2. 查看财富等级累计值99判级</x:v>
      </x:c>
      <x:c r="K9" s="4" t="str">
        <x:v>财富等级判定为1级</x:v>
      </x:c>
      <x:c r="L9" s="4" t="str"/>
      <x:c r="M9" s="4" t="str">
        <x:v>未测</x:v>
      </x:c>
      <x:c r="N9" s="4" t="str"/>
      <x:c r="O9" s="4" t="str">
        <x:v>1. 来源：MainBasis/统一需求文档.md；A-admin-level-config-012、A-admin-level-config-002、A-admin-level-config-003、A-admin-level-config-004、A-admin-level-config-005、U-fan-list-003、U-views_live-room_audience-online-002
2. 场景：SC-eea5e5615a9039</x:v>
      </x:c>
    </x:row>
    <x:row r="10" ht="110" customHeight="1">
      <x:c r="A10" s="4" t="n">
        <x:v>9</x:v>
      </x:c>
      <x:c r="B10" s="4" t="str">
        <x:v>ADMIN-0009</x:v>
      </x:c>
      <x:c r="C10" s="4" t="str">
        <x:v>M04 粉丝团、房管与成长等级</x:v>
      </x:c>
      <x:c r="D10" s="4" t="str">
        <x:v>等级配置-55（平台管理员视角）</x:v>
      </x:c>
      <x:c r="E10" s="4" t="str">
        <x:v>逻辑校验</x:v>
      </x:c>
      <x:c r="F10" s="4" t="str">
        <x:v>P1</x:v>
      </x:c>
      <x:c r="G10" s="4" t="str">
        <x:v>验证财富等级累计值100判级</x:v>
      </x:c>
      <x:c r="H10" s="4" t="str">
        <x:v>财富等级累计值100判级</x:v>
      </x:c>
      <x:c r="I10" s="4" t="str">
        <x:v>1. 已登录平台管理员账号
2. 当前财富等级配置为1级0、2级100、3级200、4级300金币
3. 该对象累计值为100</x:v>
      </x:c>
      <x:c r="J10" s="4" t="str">
        <x:v>1. 进入「等级配置-55」页
2. 查看财富等级累计值100判级</x:v>
      </x:c>
      <x:c r="K10" s="4" t="str">
        <x:v>财富等级判定为2级</x:v>
      </x:c>
      <x:c r="L10" s="4" t="str"/>
      <x:c r="M10" s="4" t="str">
        <x:v>未测</x:v>
      </x:c>
      <x:c r="N10" s="4" t="str"/>
      <x:c r="O10" s="4" t="str">
        <x:v>1. 来源：MainBasis/统一需求文档.md；A-admin-level-config-012、A-admin-level-config-002、A-admin-level-config-003、A-admin-level-config-004、A-admin-level-config-005、U-fan-list-003、U-views_live-room_audience-online-002
2. 场景：SC-d1ffab6b510279</x:v>
      </x:c>
    </x:row>
    <x:row r="11" ht="110" customHeight="1">
      <x:c r="A11" s="4" t="n">
        <x:v>10</x:v>
      </x:c>
      <x:c r="B11" s="4" t="str">
        <x:v>ADMIN-0010</x:v>
      </x:c>
      <x:c r="C11" s="4" t="str">
        <x:v>M04 粉丝团、房管与成长等级</x:v>
      </x:c>
      <x:c r="D11" s="4" t="str">
        <x:v>等级配置-55（平台管理员视角）</x:v>
      </x:c>
      <x:c r="E11" s="4" t="str">
        <x:v>逻辑校验</x:v>
      </x:c>
      <x:c r="F11" s="4" t="str">
        <x:v>P1</x:v>
      </x:c>
      <x:c r="G11" s="4" t="str">
        <x:v>验证财富等级累计值101判级</x:v>
      </x:c>
      <x:c r="H11" s="4" t="str">
        <x:v>财富等级累计值101判级</x:v>
      </x:c>
      <x:c r="I11" s="4" t="str">
        <x:v>1. 已登录平台管理员账号
2. 当前财富等级配置为1级0、2级100、3级200、4级300金币
3. 该对象累计值为101</x:v>
      </x:c>
      <x:c r="J11" s="4" t="str">
        <x:v>1. 进入「等级配置-55」页
2. 查看财富等级累计值101判级</x:v>
      </x:c>
      <x:c r="K11" s="4" t="str">
        <x:v>财富等级判定为2级</x:v>
      </x:c>
      <x:c r="L11" s="4" t="str"/>
      <x:c r="M11" s="4" t="str">
        <x:v>未测</x:v>
      </x:c>
      <x:c r="N11" s="4" t="str"/>
      <x:c r="O11" s="4" t="str">
        <x:v>1. 来源：MainBasis/统一需求文档.md；A-admin-level-config-012、A-admin-level-config-002、A-admin-level-config-003、A-admin-level-config-004、A-admin-level-config-005、U-fan-list-003、U-views_live-room_audience-online-002
2. 场景：SC-d2144f59bbbf4a</x:v>
      </x:c>
    </x:row>
    <x:row r="12" ht="110" customHeight="1">
      <x:c r="A12" s="4" t="n">
        <x:v>11</x:v>
      </x:c>
      <x:c r="B12" s="4" t="str">
        <x:v>ADMIN-0011</x:v>
      </x:c>
      <x:c r="C12" s="4" t="str">
        <x:v>M04 粉丝团、房管与成长等级</x:v>
      </x:c>
      <x:c r="D12" s="4" t="str">
        <x:v>等级配置-55（平台管理员视角）</x:v>
      </x:c>
      <x:c r="E12" s="4" t="str">
        <x:v>逻辑校验</x:v>
      </x:c>
      <x:c r="F12" s="4" t="str">
        <x:v>P1</x:v>
      </x:c>
      <x:c r="G12" s="4" t="str">
        <x:v>验证财富等级累计值300判级</x:v>
      </x:c>
      <x:c r="H12" s="4" t="str">
        <x:v>财富等级累计值300判级</x:v>
      </x:c>
      <x:c r="I12" s="4" t="str">
        <x:v>1. 已登录平台管理员账号
2. 当前财富等级配置为1级0、2级100、3级200、4级300金币
3. 该对象累计值为300</x:v>
      </x:c>
      <x:c r="J12" s="4" t="str">
        <x:v>1. 进入「等级配置-55」页
2. 查看财富等级累计值300判级</x:v>
      </x:c>
      <x:c r="K12" s="4" t="str">
        <x:v>财富等级判定为4级</x:v>
      </x:c>
      <x:c r="L12" s="4" t="str"/>
      <x:c r="M12" s="4" t="str">
        <x:v>未测</x:v>
      </x:c>
      <x:c r="N12" s="4" t="str"/>
      <x:c r="O12" s="4" t="str">
        <x:v>1. 来源：MainBasis/统一需求文档.md；A-admin-level-config-012、A-admin-level-config-002、A-admin-level-config-003、A-admin-level-config-004、A-admin-level-config-005、U-fan-list-003、U-views_live-room_audience-online-002
2. 场景：SC-ad79c5aa1df824</x:v>
      </x:c>
    </x:row>
    <x:row r="13" ht="68" customHeight="1">
      <x:c r="A13" s="4" t="n">
        <x:v>12</x:v>
      </x:c>
      <x:c r="B13" s="4" t="str">
        <x:v>ADMIN-0012</x:v>
      </x:c>
      <x:c r="C13" s="4" t="str">
        <x:v>M04 粉丝团、房管与成长等级</x:v>
      </x:c>
      <x:c r="D13" s="4" t="str">
        <x:v>等级配置-55（平台管理员视角）</x:v>
      </x:c>
      <x:c r="E13" s="4" t="str">
        <x:v>功能需求</x:v>
      </x:c>
      <x:c r="F13" s="4" t="str">
        <x:v>P1</x:v>
      </x:c>
      <x:c r="G13" s="4" t="str">
        <x:v>验证财富等级修改门槛立即重算</x:v>
      </x:c>
      <x:c r="H13" s="4" t="str">
        <x:v>财富等级修改门槛立即重算</x:v>
      </x:c>
      <x:c r="I13" s="4" t="str">
        <x:v>1. 已登录平台管理员账号
2. 该类型对象累计150，原2级门槛100</x:v>
      </x:c>
      <x:c r="J13" s="4" t="str">
        <x:v>1. 进入「等级配置-55」页
2. 切换财富等级Tab
3. 将2级门槛改为200
4. 保存当前Tab</x:v>
      </x:c>
      <x:c r="K13" s="4" t="str">
        <x:v>该类型已有对象不再满足2级门槛</x:v>
      </x:c>
      <x:c r="L13" s="4" t="str"/>
      <x:c r="M13" s="4" t="str">
        <x:v>未测</x:v>
      </x:c>
      <x:c r="N13" s="4" t="str"/>
      <x:c r="O13" s="4" t="str">
        <x:v>1. 来源：MainBasis/统一需求文档.md；A-admin-level-config-011
2. 场景：SC-c9dee484192974</x:v>
      </x:c>
    </x:row>
    <x:row r="14" ht="54" customHeight="1">
      <x:c r="A14" s="4" t="n">
        <x:v>13</x:v>
      </x:c>
      <x:c r="B14" s="4" t="str">
        <x:v>ADMIN-0013</x:v>
      </x:c>
      <x:c r="C14" s="4" t="str">
        <x:v>M04 粉丝团、房管与成长等级</x:v>
      </x:c>
      <x:c r="D14" s="4" t="str">
        <x:v>等级配置-55（平台管理员视角）</x:v>
      </x:c>
      <x:c r="E14" s="4" t="str">
        <x:v>功能需求</x:v>
      </x:c>
      <x:c r="F14" s="4" t="str">
        <x:v>P1</x:v>
      </x:c>
      <x:c r="G14" s="4" t="str">
        <x:v>验证财富等级新增连续编号</x:v>
      </x:c>
      <x:c r="H14" s="4" t="str">
        <x:v>财富等级新增连续编号</x:v>
      </x:c>
      <x:c r="I14" s="4" t="str">
        <x:v>1. 已登录平台管理员账号
2. 当前财富等级最高编号为3</x:v>
      </x:c>
      <x:c r="J14" s="4" t="str">
        <x:v>1. 进入「等级配置-55」页
2. 切换财富等级Tab
3. 点击新增等级</x:v>
      </x:c>
      <x:c r="K14" s="4" t="str">
        <x:v>新增等级编号为4，金币数值为空</x:v>
      </x:c>
      <x:c r="L14" s="4" t="str"/>
      <x:c r="M14" s="4" t="str">
        <x:v>未测</x:v>
      </x:c>
      <x:c r="N14" s="4" t="str"/>
      <x:c r="O14" s="4" t="str">
        <x:v>1. 来源：MainBasis/统一需求文档.md；A-admin-level-config-015
2. 场景：SC-42e7d2ce1265be</x:v>
      </x:c>
    </x:row>
    <x:row r="15" ht="68" customHeight="1">
      <x:c r="A15" s="4" t="n">
        <x:v>14</x:v>
      </x:c>
      <x:c r="B15" s="4" t="str">
        <x:v>ADMIN-0014</x:v>
      </x:c>
      <x:c r="C15" s="4" t="str">
        <x:v>M04 粉丝团、房管与成长等级</x:v>
      </x:c>
      <x:c r="D15" s="4" t="str">
        <x:v>等级配置-55（平台管理员视角）</x:v>
      </x:c>
      <x:c r="E15" s="4" t="str">
        <x:v>功能需求</x:v>
      </x:c>
      <x:c r="F15" s="4" t="str">
        <x:v>P1</x:v>
      </x:c>
      <x:c r="G15" s="4" t="str">
        <x:v>验证财富等级保存留在当前Tab</x:v>
      </x:c>
      <x:c r="H15" s="4" t="str">
        <x:v>财富等级保存留在当前Tab</x:v>
      </x:c>
      <x:c r="I15" s="4" t="str">
        <x:v>1. 已登录平台管理员账号
2. 该类型全部数值及勋章图合法</x:v>
      </x:c>
      <x:c r="J15" s="4" t="str">
        <x:v>1. 进入「等级配置-55」页
2. 切换财富等级Tab
3. 点击保存</x:v>
      </x:c>
      <x:c r="K15" s="4" t="str">
        <x:v>保存成功后仍停留财富等级Tab</x:v>
      </x:c>
      <x:c r="L15" s="4" t="str"/>
      <x:c r="M15" s="4" t="str">
        <x:v>未测</x:v>
      </x:c>
      <x:c r="N15" s="4" t="str"/>
      <x:c r="O15" s="4" t="str">
        <x:v>1. 来源：MainBasis/统一需求文档.md；A-admin-level-config-016、A-admin-level-config-006
2. 场景：SC-274a9641a84d34</x:v>
      </x:c>
    </x:row>
    <x:row r="16" ht="110" customHeight="1">
      <x:c r="A16" s="4" t="n">
        <x:v>15</x:v>
      </x:c>
      <x:c r="B16" s="4" t="str">
        <x:v>ADMIN-0015</x:v>
      </x:c>
      <x:c r="C16" s="4" t="str">
        <x:v>M04 粉丝团、房管与成长等级</x:v>
      </x:c>
      <x:c r="D16" s="4" t="str">
        <x:v>等级配置-55（平台管理员视角）</x:v>
      </x:c>
      <x:c r="E16" s="4" t="str">
        <x:v>逻辑校验</x:v>
      </x:c>
      <x:c r="F16" s="4" t="str">
        <x:v>P1</x:v>
      </x:c>
      <x:c r="G16" s="4" t="str">
        <x:v>验证粉丝等级累计值99判级</x:v>
      </x:c>
      <x:c r="H16" s="4" t="str">
        <x:v>粉丝等级累计值99判级</x:v>
      </x:c>
      <x:c r="I16" s="4" t="str">
        <x:v>1. 已登录平台管理员账号
2. 当前粉丝等级配置为1级0、2级100、3级200、4级300金币
3. 该对象累计值为99</x:v>
      </x:c>
      <x:c r="J16" s="4" t="str">
        <x:v>1. 进入「等级配置-55」页
2. 查看粉丝等级累计值99判级</x:v>
      </x:c>
      <x:c r="K16" s="4" t="str">
        <x:v>粉丝等级判定为1级</x:v>
      </x:c>
      <x:c r="L16" s="4" t="str"/>
      <x:c r="M16" s="4" t="str">
        <x:v>未测</x:v>
      </x:c>
      <x:c r="N16" s="4" t="str"/>
      <x:c r="O16" s="4" t="str">
        <x:v>1. 来源：MainBasis/统一需求文档.md；A-admin-level-config-012、A-admin-level-config-002、A-admin-level-config-003、A-admin-level-config-004、A-admin-level-config-005、U-fan-list-003、U-views_live-room_audience-online-002
2. 场景：SC-210430eca956da</x:v>
      </x:c>
    </x:row>
    <x:row r="17" ht="110" customHeight="1">
      <x:c r="A17" s="4" t="n">
        <x:v>16</x:v>
      </x:c>
      <x:c r="B17" s="4" t="str">
        <x:v>ADMIN-0016</x:v>
      </x:c>
      <x:c r="C17" s="4" t="str">
        <x:v>M04 粉丝团、房管与成长等级</x:v>
      </x:c>
      <x:c r="D17" s="4" t="str">
        <x:v>等级配置-55（平台管理员视角）</x:v>
      </x:c>
      <x:c r="E17" s="4" t="str">
        <x:v>逻辑校验</x:v>
      </x:c>
      <x:c r="F17" s="4" t="str">
        <x:v>P1</x:v>
      </x:c>
      <x:c r="G17" s="4" t="str">
        <x:v>验证粉丝等级累计值100判级</x:v>
      </x:c>
      <x:c r="H17" s="4" t="str">
        <x:v>粉丝等级累计值100判级</x:v>
      </x:c>
      <x:c r="I17" s="4" t="str">
        <x:v>1. 已登录平台管理员账号
2. 当前粉丝等级配置为1级0、2级100、3级200、4级300金币
3. 该对象累计值为100</x:v>
      </x:c>
      <x:c r="J17" s="4" t="str">
        <x:v>1. 进入「等级配置-55」页
2. 查看粉丝等级累计值100判级</x:v>
      </x:c>
      <x:c r="K17" s="4" t="str">
        <x:v>粉丝等级判定为2级</x:v>
      </x:c>
      <x:c r="L17" s="4" t="str"/>
      <x:c r="M17" s="4" t="str">
        <x:v>未测</x:v>
      </x:c>
      <x:c r="N17" s="4" t="str"/>
      <x:c r="O17" s="4" t="str">
        <x:v>1. 来源：MainBasis/统一需求文档.md；A-admin-level-config-012、A-admin-level-config-002、A-admin-level-config-003、A-admin-level-config-004、A-admin-level-config-005、U-fan-list-003、U-views_live-room_audience-online-002
2. 场景：SC-c778f5402d356d</x:v>
      </x:c>
    </x:row>
    <x:row r="18" ht="110" customHeight="1">
      <x:c r="A18" s="4" t="n">
        <x:v>17</x:v>
      </x:c>
      <x:c r="B18" s="4" t="str">
        <x:v>ADMIN-0017</x:v>
      </x:c>
      <x:c r="C18" s="4" t="str">
        <x:v>M04 粉丝团、房管与成长等级</x:v>
      </x:c>
      <x:c r="D18" s="4" t="str">
        <x:v>等级配置-55（平台管理员视角）</x:v>
      </x:c>
      <x:c r="E18" s="4" t="str">
        <x:v>逻辑校验</x:v>
      </x:c>
      <x:c r="F18" s="4" t="str">
        <x:v>P1</x:v>
      </x:c>
      <x:c r="G18" s="4" t="str">
        <x:v>验证粉丝等级累计值101判级</x:v>
      </x:c>
      <x:c r="H18" s="4" t="str">
        <x:v>粉丝等级累计值101判级</x:v>
      </x:c>
      <x:c r="I18" s="4" t="str">
        <x:v>1. 已登录平台管理员账号
2. 当前粉丝等级配置为1级0、2级100、3级200、4级300金币
3. 该对象累计值为101</x:v>
      </x:c>
      <x:c r="J18" s="4" t="str">
        <x:v>1. 进入「等级配置-55」页
2. 查看粉丝等级累计值101判级</x:v>
      </x:c>
      <x:c r="K18" s="4" t="str">
        <x:v>粉丝等级判定为2级</x:v>
      </x:c>
      <x:c r="L18" s="4" t="str"/>
      <x:c r="M18" s="4" t="str">
        <x:v>未测</x:v>
      </x:c>
      <x:c r="N18" s="4" t="str"/>
      <x:c r="O18" s="4" t="str">
        <x:v>1. 来源：MainBasis/统一需求文档.md；A-admin-level-config-012、A-admin-level-config-002、A-admin-level-config-003、A-admin-level-config-004、A-admin-level-config-005、U-fan-list-003、U-views_live-room_audience-online-002
2. 场景：SC-1a937ca6592b7c</x:v>
      </x:c>
    </x:row>
    <x:row r="19" ht="110" customHeight="1">
      <x:c r="A19" s="4" t="n">
        <x:v>18</x:v>
      </x:c>
      <x:c r="B19" s="4" t="str">
        <x:v>ADMIN-0018</x:v>
      </x:c>
      <x:c r="C19" s="4" t="str">
        <x:v>M04 粉丝团、房管与成长等级</x:v>
      </x:c>
      <x:c r="D19" s="4" t="str">
        <x:v>等级配置-55（平台管理员视角）</x:v>
      </x:c>
      <x:c r="E19" s="4" t="str">
        <x:v>逻辑校验</x:v>
      </x:c>
      <x:c r="F19" s="4" t="str">
        <x:v>P1</x:v>
      </x:c>
      <x:c r="G19" s="4" t="str">
        <x:v>验证粉丝等级累计值300判级</x:v>
      </x:c>
      <x:c r="H19" s="4" t="str">
        <x:v>粉丝等级累计值300判级</x:v>
      </x:c>
      <x:c r="I19" s="4" t="str">
        <x:v>1. 已登录平台管理员账号
2. 当前粉丝等级配置为1级0、2级100、3级200、4级300金币
3. 该对象累计值为300</x:v>
      </x:c>
      <x:c r="J19" s="4" t="str">
        <x:v>1. 进入「等级配置-55」页
2. 查看粉丝等级累计值300判级</x:v>
      </x:c>
      <x:c r="K19" s="4" t="str">
        <x:v>粉丝等级判定为4级</x:v>
      </x:c>
      <x:c r="L19" s="4" t="str"/>
      <x:c r="M19" s="4" t="str">
        <x:v>未测</x:v>
      </x:c>
      <x:c r="N19" s="4" t="str"/>
      <x:c r="O19" s="4" t="str">
        <x:v>1. 来源：MainBasis/统一需求文档.md；A-admin-level-config-012、A-admin-level-config-002、A-admin-level-config-003、A-admin-level-config-004、A-admin-level-config-005、U-fan-list-003、U-views_live-room_audience-online-002
2. 场景：SC-9c7bf2c3b1f507</x:v>
      </x:c>
    </x:row>
    <x:row r="20" ht="68" customHeight="1">
      <x:c r="A20" s="4" t="n">
        <x:v>19</x:v>
      </x:c>
      <x:c r="B20" s="4" t="str">
        <x:v>ADMIN-0019</x:v>
      </x:c>
      <x:c r="C20" s="4" t="str">
        <x:v>M04 粉丝团、房管与成长等级</x:v>
      </x:c>
      <x:c r="D20" s="4" t="str">
        <x:v>等级配置-55（平台管理员视角）</x:v>
      </x:c>
      <x:c r="E20" s="4" t="str">
        <x:v>功能需求</x:v>
      </x:c>
      <x:c r="F20" s="4" t="str">
        <x:v>P1</x:v>
      </x:c>
      <x:c r="G20" s="4" t="str">
        <x:v>验证粉丝等级修改门槛立即重算</x:v>
      </x:c>
      <x:c r="H20" s="4" t="str">
        <x:v>粉丝等级修改门槛立即重算</x:v>
      </x:c>
      <x:c r="I20" s="4" t="str">
        <x:v>1. 已登录平台管理员账号
2. 该类型对象累计150，原2级门槛100</x:v>
      </x:c>
      <x:c r="J20" s="4" t="str">
        <x:v>1. 进入「等级配置-55」页
2. 切换粉丝等级Tab
3. 将2级门槛改为200
4. 保存当前Tab</x:v>
      </x:c>
      <x:c r="K20" s="4" t="str">
        <x:v>该类型已有对象不再满足2级门槛</x:v>
      </x:c>
      <x:c r="L20" s="4" t="str"/>
      <x:c r="M20" s="4" t="str">
        <x:v>未测</x:v>
      </x:c>
      <x:c r="N20" s="4" t="str"/>
      <x:c r="O20" s="4" t="str">
        <x:v>1. 来源：MainBasis/统一需求文档.md；A-admin-level-config-011
2. 场景：SC-fae27ed0172b18</x:v>
      </x:c>
    </x:row>
    <x:row r="21" ht="54" customHeight="1">
      <x:c r="A21" s="4" t="n">
        <x:v>20</x:v>
      </x:c>
      <x:c r="B21" s="4" t="str">
        <x:v>ADMIN-0020</x:v>
      </x:c>
      <x:c r="C21" s="4" t="str">
        <x:v>M04 粉丝团、房管与成长等级</x:v>
      </x:c>
      <x:c r="D21" s="4" t="str">
        <x:v>等级配置-55（平台管理员视角）</x:v>
      </x:c>
      <x:c r="E21" s="4" t="str">
        <x:v>功能需求</x:v>
      </x:c>
      <x:c r="F21" s="4" t="str">
        <x:v>P1</x:v>
      </x:c>
      <x:c r="G21" s="4" t="str">
        <x:v>验证粉丝等级新增连续编号</x:v>
      </x:c>
      <x:c r="H21" s="4" t="str">
        <x:v>粉丝等级新增连续编号</x:v>
      </x:c>
      <x:c r="I21" s="4" t="str">
        <x:v>1. 已登录平台管理员账号
2. 当前粉丝等级最高编号为3</x:v>
      </x:c>
      <x:c r="J21" s="4" t="str">
        <x:v>1. 进入「等级配置-55」页
2. 切换粉丝等级Tab
3. 点击新增等级</x:v>
      </x:c>
      <x:c r="K21" s="4" t="str">
        <x:v>新增等级编号为4，金币数值为空</x:v>
      </x:c>
      <x:c r="L21" s="4" t="str"/>
      <x:c r="M21" s="4" t="str">
        <x:v>未测</x:v>
      </x:c>
      <x:c r="N21" s="4" t="str"/>
      <x:c r="O21" s="4" t="str">
        <x:v>1. 来源：MainBasis/统一需求文档.md；A-admin-level-config-015
2. 场景：SC-91e66941a59a96</x:v>
      </x:c>
    </x:row>
    <x:row r="22" ht="68" customHeight="1">
      <x:c r="A22" s="4" t="n">
        <x:v>21</x:v>
      </x:c>
      <x:c r="B22" s="4" t="str">
        <x:v>ADMIN-0021</x:v>
      </x:c>
      <x:c r="C22" s="4" t="str">
        <x:v>M04 粉丝团、房管与成长等级</x:v>
      </x:c>
      <x:c r="D22" s="4" t="str">
        <x:v>等级配置-55（平台管理员视角）</x:v>
      </x:c>
      <x:c r="E22" s="4" t="str">
        <x:v>功能需求</x:v>
      </x:c>
      <x:c r="F22" s="4" t="str">
        <x:v>P1</x:v>
      </x:c>
      <x:c r="G22" s="4" t="str">
        <x:v>验证粉丝等级保存留在当前Tab</x:v>
      </x:c>
      <x:c r="H22" s="4" t="str">
        <x:v>粉丝等级保存留在当前Tab</x:v>
      </x:c>
      <x:c r="I22" s="4" t="str">
        <x:v>1. 已登录平台管理员账号
2. 该类型全部数值及勋章图合法</x:v>
      </x:c>
      <x:c r="J22" s="4" t="str">
        <x:v>1. 进入「等级配置-55」页
2. 切换粉丝等级Tab
3. 点击保存</x:v>
      </x:c>
      <x:c r="K22" s="4" t="str">
        <x:v>保存成功后仍停留粉丝等级Tab</x:v>
      </x:c>
      <x:c r="L22" s="4" t="str"/>
      <x:c r="M22" s="4" t="str">
        <x:v>未测</x:v>
      </x:c>
      <x:c r="N22" s="4" t="str"/>
      <x:c r="O22" s="4" t="str">
        <x:v>1. 来源：MainBasis/统一需求文档.md；A-admin-level-config-016、A-admin-level-config-006
2. 场景：SC-dde7b659538d4f</x:v>
      </x:c>
    </x:row>
    <x:row r="23" ht="110" customHeight="1">
      <x:c r="A23" s="4" t="n">
        <x:v>22</x:v>
      </x:c>
      <x:c r="B23" s="4" t="str">
        <x:v>ADMIN-0022</x:v>
      </x:c>
      <x:c r="C23" s="4" t="str">
        <x:v>M04 粉丝团、房管与成长等级</x:v>
      </x:c>
      <x:c r="D23" s="4" t="str">
        <x:v>等级配置-55（平台管理员视角）</x:v>
      </x:c>
      <x:c r="E23" s="4" t="str">
        <x:v>逻辑校验</x:v>
      </x:c>
      <x:c r="F23" s="4" t="str">
        <x:v>P1</x:v>
      </x:c>
      <x:c r="G23" s="4" t="str">
        <x:v>验证粉丝团等级累计值99判级</x:v>
      </x:c>
      <x:c r="H23" s="4" t="str">
        <x:v>粉丝团等级累计值99判级</x:v>
      </x:c>
      <x:c r="I23" s="4" t="str">
        <x:v>1. 已登录平台管理员账号
2. 当前粉丝团等级配置为1级0、2级100、3级200、4级300金币
3. 该对象累计值为99</x:v>
      </x:c>
      <x:c r="J23" s="4" t="str">
        <x:v>1. 进入「等级配置-55」页
2. 查看粉丝团等级累计值99判级</x:v>
      </x:c>
      <x:c r="K23" s="4" t="str">
        <x:v>粉丝团等级判定为1级</x:v>
      </x:c>
      <x:c r="L23" s="4" t="str"/>
      <x:c r="M23" s="4" t="str">
        <x:v>未测</x:v>
      </x:c>
      <x:c r="N23" s="4" t="str"/>
      <x:c r="O23" s="4" t="str">
        <x:v>1. 来源：MainBasis/统一需求文档.md；A-admin-level-config-012、A-admin-level-config-002、A-admin-level-config-003、A-admin-level-config-004、A-admin-level-config-005、U-fan-list-003、U-views_live-room_audience-online-002
2. 场景：SC-0a0b54a80da6e5</x:v>
      </x:c>
    </x:row>
    <x:row r="24" ht="110" customHeight="1">
      <x:c r="A24" s="4" t="n">
        <x:v>23</x:v>
      </x:c>
      <x:c r="B24" s="4" t="str">
        <x:v>ADMIN-0023</x:v>
      </x:c>
      <x:c r="C24" s="4" t="str">
        <x:v>M04 粉丝团、房管与成长等级</x:v>
      </x:c>
      <x:c r="D24" s="4" t="str">
        <x:v>等级配置-55（平台管理员视角）</x:v>
      </x:c>
      <x:c r="E24" s="4" t="str">
        <x:v>逻辑校验</x:v>
      </x:c>
      <x:c r="F24" s="4" t="str">
        <x:v>P1</x:v>
      </x:c>
      <x:c r="G24" s="4" t="str">
        <x:v>验证粉丝团等级累计值100判级</x:v>
      </x:c>
      <x:c r="H24" s="4" t="str">
        <x:v>粉丝团等级累计值100判级</x:v>
      </x:c>
      <x:c r="I24" s="4" t="str">
        <x:v>1. 已登录平台管理员账号
2. 当前粉丝团等级配置为1级0、2级100、3级200、4级300金币
3. 该对象累计值为100</x:v>
      </x:c>
      <x:c r="J24" s="4" t="str">
        <x:v>1. 进入「等级配置-55」页
2. 查看粉丝团等级累计值100判级</x:v>
      </x:c>
      <x:c r="K24" s="4" t="str">
        <x:v>粉丝团等级判定为2级</x:v>
      </x:c>
      <x:c r="L24" s="4" t="str"/>
      <x:c r="M24" s="4" t="str">
        <x:v>未测</x:v>
      </x:c>
      <x:c r="N24" s="4" t="str"/>
      <x:c r="O24" s="4" t="str">
        <x:v>1. 来源：MainBasis/统一需求文档.md；A-admin-level-config-012、A-admin-level-config-002、A-admin-level-config-003、A-admin-level-config-004、A-admin-level-config-005、U-fan-list-003、U-views_live-room_audience-online-002
2. 场景：SC-6c0b0b79c7579b</x:v>
      </x:c>
    </x:row>
    <x:row r="25" ht="110" customHeight="1">
      <x:c r="A25" s="4" t="n">
        <x:v>24</x:v>
      </x:c>
      <x:c r="B25" s="4" t="str">
        <x:v>ADMIN-0024</x:v>
      </x:c>
      <x:c r="C25" s="4" t="str">
        <x:v>M04 粉丝团、房管与成长等级</x:v>
      </x:c>
      <x:c r="D25" s="4" t="str">
        <x:v>等级配置-55（平台管理员视角）</x:v>
      </x:c>
      <x:c r="E25" s="4" t="str">
        <x:v>逻辑校验</x:v>
      </x:c>
      <x:c r="F25" s="4" t="str">
        <x:v>P1</x:v>
      </x:c>
      <x:c r="G25" s="4" t="str">
        <x:v>验证粉丝团等级累计值101判级</x:v>
      </x:c>
      <x:c r="H25" s="4" t="str">
        <x:v>粉丝团等级累计值101判级</x:v>
      </x:c>
      <x:c r="I25" s="4" t="str">
        <x:v>1. 已登录平台管理员账号
2. 当前粉丝团等级配置为1级0、2级100、3级200、4级300金币
3. 该对象累计值为101</x:v>
      </x:c>
      <x:c r="J25" s="4" t="str">
        <x:v>1. 进入「等级配置-55」页
2. 查看粉丝团等级累计值101判级</x:v>
      </x:c>
      <x:c r="K25" s="4" t="str">
        <x:v>粉丝团等级判定为2级</x:v>
      </x:c>
      <x:c r="L25" s="4" t="str"/>
      <x:c r="M25" s="4" t="str">
        <x:v>未测</x:v>
      </x:c>
      <x:c r="N25" s="4" t="str"/>
      <x:c r="O25" s="4" t="str">
        <x:v>1. 来源：MainBasis/统一需求文档.md；A-admin-level-config-012、A-admin-level-config-002、A-admin-level-config-003、A-admin-level-config-004、A-admin-level-config-005、U-fan-list-003、U-views_live-room_audience-online-002
2. 场景：SC-dcd45a69386cc3</x:v>
      </x:c>
    </x:row>
    <x:row r="26" ht="110" customHeight="1">
      <x:c r="A26" s="4" t="n">
        <x:v>25</x:v>
      </x:c>
      <x:c r="B26" s="4" t="str">
        <x:v>ADMIN-0025</x:v>
      </x:c>
      <x:c r="C26" s="4" t="str">
        <x:v>M04 粉丝团、房管与成长等级</x:v>
      </x:c>
      <x:c r="D26" s="4" t="str">
        <x:v>等级配置-55（平台管理员视角）</x:v>
      </x:c>
      <x:c r="E26" s="4" t="str">
        <x:v>逻辑校验</x:v>
      </x:c>
      <x:c r="F26" s="4" t="str">
        <x:v>P1</x:v>
      </x:c>
      <x:c r="G26" s="4" t="str">
        <x:v>验证粉丝团等级累计值300判级</x:v>
      </x:c>
      <x:c r="H26" s="4" t="str">
        <x:v>粉丝团等级累计值300判级</x:v>
      </x:c>
      <x:c r="I26" s="4" t="str">
        <x:v>1. 已登录平台管理员账号
2. 当前粉丝团等级配置为1级0、2级100、3级200、4级300金币
3. 该对象累计值为300</x:v>
      </x:c>
      <x:c r="J26" s="4" t="str">
        <x:v>1. 进入「等级配置-55」页
2. 查看粉丝团等级累计值300判级</x:v>
      </x:c>
      <x:c r="K26" s="4" t="str">
        <x:v>粉丝团等级判定为4级</x:v>
      </x:c>
      <x:c r="L26" s="4" t="str"/>
      <x:c r="M26" s="4" t="str">
        <x:v>未测</x:v>
      </x:c>
      <x:c r="N26" s="4" t="str"/>
      <x:c r="O26" s="4" t="str">
        <x:v>1. 来源：MainBasis/统一需求文档.md；A-admin-level-config-012、A-admin-level-config-002、A-admin-level-config-003、A-admin-level-config-004、A-admin-level-config-005、U-fan-list-003、U-views_live-room_audience-online-002
2. 场景：SC-48088d93dd66e0</x:v>
      </x:c>
    </x:row>
    <x:row r="27" ht="68" customHeight="1">
      <x:c r="A27" s="4" t="n">
        <x:v>26</x:v>
      </x:c>
      <x:c r="B27" s="4" t="str">
        <x:v>ADMIN-0026</x:v>
      </x:c>
      <x:c r="C27" s="4" t="str">
        <x:v>M04 粉丝团、房管与成长等级</x:v>
      </x:c>
      <x:c r="D27" s="4" t="str">
        <x:v>等级配置-55（平台管理员视角）</x:v>
      </x:c>
      <x:c r="E27" s="4" t="str">
        <x:v>功能需求</x:v>
      </x:c>
      <x:c r="F27" s="4" t="str">
        <x:v>P1</x:v>
      </x:c>
      <x:c r="G27" s="4" t="str">
        <x:v>验证粉丝团等级修改门槛立即重算</x:v>
      </x:c>
      <x:c r="H27" s="4" t="str">
        <x:v>粉丝团等级修改门槛立即重算</x:v>
      </x:c>
      <x:c r="I27" s="4" t="str">
        <x:v>1. 已登录平台管理员账号
2. 该类型对象累计150，原2级门槛100</x:v>
      </x:c>
      <x:c r="J27" s="4" t="str">
        <x:v>1. 进入「等级配置-55」页
2. 切换粉丝团等级Tab
3. 将2级门槛改为200
4. 保存当前Tab</x:v>
      </x:c>
      <x:c r="K27" s="4" t="str">
        <x:v>该类型已有对象不再满足2级门槛</x:v>
      </x:c>
      <x:c r="L27" s="4" t="str"/>
      <x:c r="M27" s="4" t="str">
        <x:v>未测</x:v>
      </x:c>
      <x:c r="N27" s="4" t="str"/>
      <x:c r="O27" s="4" t="str">
        <x:v>1. 来源：MainBasis/统一需求文档.md；A-admin-level-config-011
2. 场景：SC-9e618b0ee21881</x:v>
      </x:c>
    </x:row>
    <x:row r="28" ht="54" customHeight="1">
      <x:c r="A28" s="4" t="n">
        <x:v>27</x:v>
      </x:c>
      <x:c r="B28" s="4" t="str">
        <x:v>ADMIN-0027</x:v>
      </x:c>
      <x:c r="C28" s="4" t="str">
        <x:v>M04 粉丝团、房管与成长等级</x:v>
      </x:c>
      <x:c r="D28" s="4" t="str">
        <x:v>等级配置-55（平台管理员视角）</x:v>
      </x:c>
      <x:c r="E28" s="4" t="str">
        <x:v>功能需求</x:v>
      </x:c>
      <x:c r="F28" s="4" t="str">
        <x:v>P1</x:v>
      </x:c>
      <x:c r="G28" s="4" t="str">
        <x:v>验证粉丝团等级新增连续编号</x:v>
      </x:c>
      <x:c r="H28" s="4" t="str">
        <x:v>粉丝团等级新增连续编号</x:v>
      </x:c>
      <x:c r="I28" s="4" t="str">
        <x:v>1. 已登录平台管理员账号
2. 当前粉丝团等级最高编号为3</x:v>
      </x:c>
      <x:c r="J28" s="4" t="str">
        <x:v>1. 进入「等级配置-55」页
2. 切换粉丝团等级Tab
3. 点击新增等级</x:v>
      </x:c>
      <x:c r="K28" s="4" t="str">
        <x:v>新增等级编号为4，金币数值为空</x:v>
      </x:c>
      <x:c r="L28" s="4" t="str"/>
      <x:c r="M28" s="4" t="str">
        <x:v>未测</x:v>
      </x:c>
      <x:c r="N28" s="4" t="str"/>
      <x:c r="O28" s="4" t="str">
        <x:v>1. 来源：MainBasis/统一需求文档.md；A-admin-level-config-015
2. 场景：SC-d9b905c39cf4ce</x:v>
      </x:c>
    </x:row>
    <x:row r="29" ht="68" customHeight="1">
      <x:c r="A29" s="4" t="n">
        <x:v>28</x:v>
      </x:c>
      <x:c r="B29" s="4" t="str">
        <x:v>ADMIN-0028</x:v>
      </x:c>
      <x:c r="C29" s="4" t="str">
        <x:v>M04 粉丝团、房管与成长等级</x:v>
      </x:c>
      <x:c r="D29" s="4" t="str">
        <x:v>等级配置-55（平台管理员视角）</x:v>
      </x:c>
      <x:c r="E29" s="4" t="str">
        <x:v>功能需求</x:v>
      </x:c>
      <x:c r="F29" s="4" t="str">
        <x:v>P1</x:v>
      </x:c>
      <x:c r="G29" s="4" t="str">
        <x:v>验证粉丝团等级保存留在当前Tab</x:v>
      </x:c>
      <x:c r="H29" s="4" t="str">
        <x:v>粉丝团等级保存留在当前Tab</x:v>
      </x:c>
      <x:c r="I29" s="4" t="str">
        <x:v>1. 已登录平台管理员账号
2. 该类型全部数值及勋章图合法</x:v>
      </x:c>
      <x:c r="J29" s="4" t="str">
        <x:v>1. 进入「等级配置-55」页
2. 切换粉丝团等级Tab
3. 点击保存</x:v>
      </x:c>
      <x:c r="K29" s="4" t="str">
        <x:v>保存成功后仍停留粉丝团等级Tab</x:v>
      </x:c>
      <x:c r="L29" s="4" t="str"/>
      <x:c r="M29" s="4" t="str">
        <x:v>未测</x:v>
      </x:c>
      <x:c r="N29" s="4" t="str"/>
      <x:c r="O29" s="4" t="str">
        <x:v>1. 来源：MainBasis/统一需求文档.md；A-admin-level-config-016、A-admin-level-config-006
2. 场景：SC-8c88d7ef4dc6a2</x:v>
      </x:c>
    </x:row>
    <x:row r="30" ht="54" customHeight="1">
      <x:c r="A30" s="4" t="n">
        <x:v>29</x:v>
      </x:c>
      <x:c r="B30" s="4" t="str">
        <x:v>ADMIN-0029</x:v>
      </x:c>
      <x:c r="C30" s="4" t="str">
        <x:v>M04 粉丝团、房管与成长等级</x:v>
      </x:c>
      <x:c r="D30" s="4" t="str">
        <x:v>等级配置-55（平台管理员视角）</x:v>
      </x:c>
      <x:c r="E30" s="4" t="str">
        <x:v>功能需求</x:v>
      </x:c>
      <x:c r="F30" s="4" t="str">
        <x:v>P1</x:v>
      </x:c>
      <x:c r="G30" s="4" t="str">
        <x:v>验证四类等级编号不可编辑</x:v>
      </x:c>
      <x:c r="H30" s="4" t="str">
        <x:v>四类等级编号不可编辑</x:v>
      </x:c>
      <x:c r="I30" s="4" t="str">
        <x:v>1. 已登录平台管理员账号</x:v>
      </x:c>
      <x:c r="J30" s="4" t="str">
        <x:v>1. 进入「等级配置-55」页
2. 查看四类等级编号不可编辑</x:v>
      </x:c>
      <x:c r="K30" s="4" t="str">
        <x:v>各Tab等级从1连续递增且编号不可编辑</x:v>
      </x:c>
      <x:c r="L30" s="4" t="str"/>
      <x:c r="M30" s="4" t="str">
        <x:v>未测</x:v>
      </x:c>
      <x:c r="N30" s="4" t="str"/>
      <x:c r="O30" s="4" t="str">
        <x:v>1. 来源：MainBasis/统一需求文档.md；A-admin-level-config-014
2. 场景：SC-b55eae9b976e86</x:v>
      </x:c>
    </x:row>
    <x:row r="31" ht="54" customHeight="1">
      <x:c r="A31" s="4" t="n">
        <x:v>30</x:v>
      </x:c>
      <x:c r="B31" s="4" t="str">
        <x:v>ADMIN-0030</x:v>
      </x:c>
      <x:c r="C31" s="4" t="str">
        <x:v>M04 粉丝团、房管与成长等级</x:v>
      </x:c>
      <x:c r="D31" s="4" t="str">
        <x:v>等级配置-55（平台管理员视角）</x:v>
      </x:c>
      <x:c r="E31" s="4" t="str">
        <x:v>功能需求</x:v>
      </x:c>
      <x:c r="F31" s="4" t="str">
        <x:v>P1</x:v>
      </x:c>
      <x:c r="G31" s="4" t="str">
        <x:v>验证等级配置没有删除入口</x:v>
      </x:c>
      <x:c r="H31" s="4" t="str">
        <x:v>等级配置没有删除入口</x:v>
      </x:c>
      <x:c r="I31" s="4" t="str">
        <x:v>1. 已登录平台管理员账号</x:v>
      </x:c>
      <x:c r="J31" s="4" t="str">
        <x:v>1. 进入「等级配置-55」页
2. 查看等级配置没有删除入口</x:v>
      </x:c>
      <x:c r="K31" s="4" t="str">
        <x:v>当前页不提供删除等级入口</x:v>
      </x:c>
      <x:c r="L31" s="4" t="str"/>
      <x:c r="M31" s="4" t="str">
        <x:v>未测</x:v>
      </x:c>
      <x:c r="N31" s="4" t="str"/>
      <x:c r="O31" s="4" t="str">
        <x:v>1. 来源：MainBasis/统一需求文档.md；A-admin-level-config-015
2. 场景：SC-d0d511e8beff18</x:v>
      </x:c>
    </x:row>
    <x:row r="32" ht="54" customHeight="1">
      <x:c r="A32" s="4" t="n">
        <x:v>31</x:v>
      </x:c>
      <x:c r="B32" s="4" t="str">
        <x:v>ADMIN-0031</x:v>
      </x:c>
      <x:c r="C32" s="4" t="str">
        <x:v>M04 粉丝团、房管与成长等级</x:v>
      </x:c>
      <x:c r="D32" s="4" t="str">
        <x:v>等级配置-55（平台管理员视角）</x:v>
      </x:c>
      <x:c r="E32" s="4" t="str">
        <x:v>逻辑校验</x:v>
      </x:c>
      <x:c r="F32" s="4" t="str">
        <x:v>P1</x:v>
      </x:c>
      <x:c r="G32" s="4" t="str">
        <x:v>验证等级门槛空值</x:v>
      </x:c>
      <x:c r="H32" s="4" t="str">
        <x:v>等级门槛空值</x:v>
      </x:c>
      <x:c r="I32" s="4" t="str">
        <x:v>1. 已登录平台管理员账号
2. 当前Tab其余等级配置和勋章图合法</x:v>
      </x:c>
      <x:c r="J32" s="4" t="str">
        <x:v>1. 进入「等级配置-55」页
2. 清空该等级金币数值
3. 点击保存</x:v>
      </x:c>
      <x:c r="K32" s="4" t="str">
        <x:v>当前Tab不能保存</x:v>
      </x:c>
      <x:c r="L32" s="4" t="str"/>
      <x:c r="M32" s="4" t="str">
        <x:v>未测</x:v>
      </x:c>
      <x:c r="N32" s="4" t="str"/>
      <x:c r="O32" s="4" t="str">
        <x:v>1. 来源：MainBasis/统一需求文档.md；A-admin-level-config-014
2. 场景：SC-cb7f2f78b18916</x:v>
      </x:c>
    </x:row>
    <x:row r="33" ht="54" customHeight="1">
      <x:c r="A33" s="4" t="n">
        <x:v>32</x:v>
      </x:c>
      <x:c r="B33" s="4" t="str">
        <x:v>ADMIN-0032</x:v>
      </x:c>
      <x:c r="C33" s="4" t="str">
        <x:v>M04 粉丝团、房管与成长等级</x:v>
      </x:c>
      <x:c r="D33" s="4" t="str">
        <x:v>等级配置-55（平台管理员视角）</x:v>
      </x:c>
      <x:c r="E33" s="4" t="str">
        <x:v>逻辑校验</x:v>
      </x:c>
      <x:c r="F33" s="4" t="str">
        <x:v>P1</x:v>
      </x:c>
      <x:c r="G33" s="4" t="str">
        <x:v>验证等级门槛-1</x:v>
      </x:c>
      <x:c r="H33" s="4" t="str">
        <x:v>等级门槛-1</x:v>
      </x:c>
      <x:c r="I33" s="4" t="str">
        <x:v>1. 已登录平台管理员账号
2. 当前Tab其余等级配置和勋章图合法</x:v>
      </x:c>
      <x:c r="J33" s="4" t="str">
        <x:v>1. 进入「等级配置-55」页
2. 填写该等级金币数值-1
3. 点击保存</x:v>
      </x:c>
      <x:c r="K33" s="4" t="str">
        <x:v>当前Tab不能保存</x:v>
      </x:c>
      <x:c r="L33" s="4" t="str"/>
      <x:c r="M33" s="4" t="str">
        <x:v>未测</x:v>
      </x:c>
      <x:c r="N33" s="4" t="str"/>
      <x:c r="O33" s="4" t="str">
        <x:v>1. 来源：MainBasis/统一需求文档.md；A-admin-level-config-014
2. 场景：SC-953988a6238e8c</x:v>
      </x:c>
    </x:row>
    <x:row r="34" ht="54" customHeight="1">
      <x:c r="A34" s="4" t="n">
        <x:v>33</x:v>
      </x:c>
      <x:c r="B34" s="4" t="str">
        <x:v>ADMIN-0033</x:v>
      </x:c>
      <x:c r="C34" s="4" t="str">
        <x:v>M04 粉丝团、房管与成长等级</x:v>
      </x:c>
      <x:c r="D34" s="4" t="str">
        <x:v>等级配置-55（平台管理员视角）</x:v>
      </x:c>
      <x:c r="E34" s="4" t="str">
        <x:v>逻辑校验</x:v>
      </x:c>
      <x:c r="F34" s="4" t="str">
        <x:v>P1</x:v>
      </x:c>
      <x:c r="G34" s="4" t="str">
        <x:v>验证等级门槛0</x:v>
      </x:c>
      <x:c r="H34" s="4" t="str">
        <x:v>等级门槛0</x:v>
      </x:c>
      <x:c r="I34" s="4" t="str">
        <x:v>1. 已登录平台管理员账号
2. 当前Tab其余等级配置和勋章图合法</x:v>
      </x:c>
      <x:c r="J34" s="4" t="str">
        <x:v>1. 进入「等级配置-55」页
2. 填写该等级金币数值0
3. 点击保存</x:v>
      </x:c>
      <x:c r="K34" s="4" t="str">
        <x:v>当前Tab接受该门槛值</x:v>
      </x:c>
      <x:c r="L34" s="4" t="str"/>
      <x:c r="M34" s="4" t="str">
        <x:v>未测</x:v>
      </x:c>
      <x:c r="N34" s="4" t="str"/>
      <x:c r="O34" s="4" t="str">
        <x:v>1. 来源：MainBasis/统一需求文档.md；A-admin-level-config-014
2. 场景：SC-96540a54891ad0</x:v>
      </x:c>
    </x:row>
    <x:row r="35" ht="54" customHeight="1">
      <x:c r="A35" s="4" t="n">
        <x:v>34</x:v>
      </x:c>
      <x:c r="B35" s="4" t="str">
        <x:v>ADMIN-0034</x:v>
      </x:c>
      <x:c r="C35" s="4" t="str">
        <x:v>M04 粉丝团、房管与成长等级</x:v>
      </x:c>
      <x:c r="D35" s="4" t="str">
        <x:v>等级配置-55（平台管理员视角）</x:v>
      </x:c>
      <x:c r="E35" s="4" t="str">
        <x:v>逻辑校验</x:v>
      </x:c>
      <x:c r="F35" s="4" t="str">
        <x:v>P1</x:v>
      </x:c>
      <x:c r="G35" s="4" t="str">
        <x:v>验证等级门槛1</x:v>
      </x:c>
      <x:c r="H35" s="4" t="str">
        <x:v>等级门槛1</x:v>
      </x:c>
      <x:c r="I35" s="4" t="str">
        <x:v>1. 已登录平台管理员账号
2. 当前Tab其余等级配置和勋章图合法</x:v>
      </x:c>
      <x:c r="J35" s="4" t="str">
        <x:v>1. 进入「等级配置-55」页
2. 填写该等级金币数值1
3. 点击保存</x:v>
      </x:c>
      <x:c r="K35" s="4" t="str">
        <x:v>当前Tab接受该门槛值</x:v>
      </x:c>
      <x:c r="L35" s="4" t="str"/>
      <x:c r="M35" s="4" t="str">
        <x:v>未测</x:v>
      </x:c>
      <x:c r="N35" s="4" t="str"/>
      <x:c r="O35" s="4" t="str">
        <x:v>1. 来源：MainBasis/统一需求文档.md；A-admin-level-config-014
2. 场景：SC-a10deddb176e52</x:v>
      </x:c>
    </x:row>
    <x:row r="36" ht="68" customHeight="1">
      <x:c r="A36" s="4" t="n">
        <x:v>35</x:v>
      </x:c>
      <x:c r="B36" s="4" t="str">
        <x:v>ADMIN-0035</x:v>
      </x:c>
      <x:c r="C36" s="4" t="str">
        <x:v>M04 粉丝团、房管与成长等级</x:v>
      </x:c>
      <x:c r="D36" s="4" t="str">
        <x:v>等级配置-55（平台管理员视角）</x:v>
      </x:c>
      <x:c r="E36" s="4" t="str">
        <x:v>功能需求</x:v>
      </x:c>
      <x:c r="F36" s="4" t="str">
        <x:v>P1</x:v>
      </x:c>
      <x:c r="G36" s="4" t="str">
        <x:v>验证切换等级Tab保留未保存输入</x:v>
      </x:c>
      <x:c r="H36" s="4" t="str">
        <x:v>切换等级Tab保留未保存输入</x:v>
      </x:c>
      <x:c r="I36" s="4" t="str">
        <x:v>1. 已登录平台管理员账号
2. 当前主播等级有未保存数值及勋章图</x:v>
      </x:c>
      <x:c r="J36" s="4" t="str">
        <x:v>1. 进入「等级配置-55」页
2. 切换财富等级Tab
3. 切回主播等级Tab</x:v>
      </x:c>
      <x:c r="K36" s="4" t="str">
        <x:v>主播等级未保存数值及图片保持不变</x:v>
      </x:c>
      <x:c r="L36" s="4" t="str"/>
      <x:c r="M36" s="4" t="str">
        <x:v>未测</x:v>
      </x:c>
      <x:c r="N36" s="4" t="str"/>
      <x:c r="O36" s="4" t="str">
        <x:v>1. 来源：MainBasis/统一需求文档.md；A-admin-level-config-016、A-admin-level-config-006
2. 场景：SC-9718ec4f5e0b39</x:v>
      </x:c>
    </x:row>
    <x:row r="37" ht="68" customHeight="1">
      <x:c r="A37" s="4" t="n">
        <x:v>36</x:v>
      </x:c>
      <x:c r="B37" s="4" t="str">
        <x:v>ADMIN-0036</x:v>
      </x:c>
      <x:c r="C37" s="4" t="str">
        <x:v>M04 粉丝团、房管与成长等级</x:v>
      </x:c>
      <x:c r="D37" s="4" t="str">
        <x:v>等级配置-55（平台管理员视角）</x:v>
      </x:c>
      <x:c r="E37" s="4" t="str">
        <x:v>功能需求</x:v>
      </x:c>
      <x:c r="F37" s="4" t="str">
        <x:v>P1</x:v>
      </x:c>
      <x:c r="G37" s="4" t="str">
        <x:v>验证保存仅校验当前Tab</x:v>
      </x:c>
      <x:c r="H37" s="4" t="str">
        <x:v>保存仅校验当前Tab</x:v>
      </x:c>
      <x:c r="I37" s="4" t="str">
        <x:v>1. 已登录平台管理员账号
2. 主播等级Tab有合法修改
3. 财富等级Tab存在未填写门槛</x:v>
      </x:c>
      <x:c r="J37" s="4" t="str">
        <x:v>1. 进入「等级配置-55」页
2. 切到主播等级Tab
3. 点击保存</x:v>
      </x:c>
      <x:c r="K37" s="4" t="str">
        <x:v>主播等级Tab可保存，不受财富等级空值阻断</x:v>
      </x:c>
      <x:c r="L37" s="4" t="str"/>
      <x:c r="M37" s="4" t="str">
        <x:v>未测</x:v>
      </x:c>
      <x:c r="N37" s="4" t="str"/>
      <x:c r="O37" s="4" t="str">
        <x:v>1. 来源：MainBasis/统一需求文档.md；A-admin-level-config-016、A-admin-level-config-006
2. 场景：SC-03a91d58e5f100</x:v>
      </x:c>
    </x:row>
    <x:row r="38" ht="54" customHeight="1">
      <x:c r="A38" s="4" t="n">
        <x:v>37</x:v>
      </x:c>
      <x:c r="B38" s="4" t="str">
        <x:v>ADMIN-0037</x:v>
      </x:c>
      <x:c r="C38" s="4" t="str">
        <x:v>M04 粉丝团、房管与成长等级</x:v>
      </x:c>
      <x:c r="D38" s="4" t="str">
        <x:v>等级配置-55（平台管理员视角）</x:v>
      </x:c>
      <x:c r="E38" s="4" t="str">
        <x:v>异常用例</x:v>
      </x:c>
      <x:c r="F38" s="4" t="str">
        <x:v>P1</x:v>
      </x:c>
      <x:c r="G38" s="4" t="str">
        <x:v>验证勋章上传非图片文件</x:v>
      </x:c>
      <x:c r="H38" s="4" t="str">
        <x:v>勋章上传非图片文件</x:v>
      </x:c>
      <x:c r="I38" s="4" t="str">
        <x:v>1. 已登录平台管理员账号
2. 当前等级已有有效图片</x:v>
      </x:c>
      <x:c r="J38" s="4" t="str">
        <x:v>1. 进入「等级配置-55」页
2. 选择非图片文件</x:v>
      </x:c>
      <x:c r="K38" s="4" t="str">
        <x:v>提示重新选择，原图片保留</x:v>
      </x:c>
      <x:c r="L38" s="4" t="str"/>
      <x:c r="M38" s="4" t="str">
        <x:v>未测</x:v>
      </x:c>
      <x:c r="N38" s="4" t="str"/>
      <x:c r="O38" s="4" t="str">
        <x:v>1. 来源：MainBasis/统一需求文档.md；A-admin-level-config-018
2. 场景：SC-6893764fd92906</x:v>
      </x:c>
    </x:row>
    <x:row r="39" ht="54" customHeight="1">
      <x:c r="A39" s="4" t="n">
        <x:v>38</x:v>
      </x:c>
      <x:c r="B39" s="4" t="str">
        <x:v>ADMIN-0038</x:v>
      </x:c>
      <x:c r="C39" s="4" t="str">
        <x:v>M04 粉丝团、房管与成长等级</x:v>
      </x:c>
      <x:c r="D39" s="4" t="str">
        <x:v>等级配置-55（平台管理员视角）</x:v>
      </x:c>
      <x:c r="E39" s="4" t="str">
        <x:v>异常用例</x:v>
      </x:c>
      <x:c r="F39" s="4" t="str">
        <x:v>P1</x:v>
      </x:c>
      <x:c r="G39" s="4" t="str">
        <x:v>验证勋章上传损坏图片</x:v>
      </x:c>
      <x:c r="H39" s="4" t="str">
        <x:v>勋章上传损坏图片</x:v>
      </x:c>
      <x:c r="I39" s="4" t="str">
        <x:v>1. 已登录平台管理员账号
2. 当前等级已有有效图片</x:v>
      </x:c>
      <x:c r="J39" s="4" t="str">
        <x:v>1. 进入「等级配置-55」页
2. 选择损坏图片</x:v>
      </x:c>
      <x:c r="K39" s="4" t="str">
        <x:v>提示重新选择，原图片保留</x:v>
      </x:c>
      <x:c r="L39" s="4" t="str"/>
      <x:c r="M39" s="4" t="str">
        <x:v>未测</x:v>
      </x:c>
      <x:c r="N39" s="4" t="str"/>
      <x:c r="O39" s="4" t="str">
        <x:v>1. 来源：MainBasis/统一需求文档.md；A-admin-level-config-018
2. 场景：SC-95739e4fc9c9e5</x:v>
      </x:c>
    </x:row>
    <x:row r="40" ht="54" customHeight="1">
      <x:c r="A40" s="4" t="n">
        <x:v>39</x:v>
      </x:c>
      <x:c r="B40" s="4" t="str">
        <x:v>ADMIN-0039</x:v>
      </x:c>
      <x:c r="C40" s="4" t="str">
        <x:v>M04 粉丝团、房管与成长等级</x:v>
      </x:c>
      <x:c r="D40" s="4" t="str">
        <x:v>等级配置-55（平台管理员视角）</x:v>
      </x:c>
      <x:c r="E40" s="4" t="str">
        <x:v>功能需求</x:v>
      </x:c>
      <x:c r="F40" s="4" t="str">
        <x:v>P1</x:v>
      </x:c>
      <x:c r="G40" s="4" t="str">
        <x:v>验证勋章取消选择保留原图</x:v>
      </x:c>
      <x:c r="H40" s="4" t="str">
        <x:v>勋章取消选择保留原图</x:v>
      </x:c>
      <x:c r="I40" s="4" t="str">
        <x:v>1. 已登录平台管理员账号
2. 当前等级已有图片</x:v>
      </x:c>
      <x:c r="J40" s="4" t="str">
        <x:v>1. 进入「等级配置-55」页
2. 打开图片选择
3. 取消选择</x:v>
      </x:c>
      <x:c r="K40" s="4" t="str">
        <x:v>原勋章图保持不变</x:v>
      </x:c>
      <x:c r="L40" s="4" t="str"/>
      <x:c r="M40" s="4" t="str">
        <x:v>未测</x:v>
      </x:c>
      <x:c r="N40" s="4" t="str"/>
      <x:c r="O40" s="4" t="str">
        <x:v>1. 来源：MainBasis/统一需求文档.md；A-admin-level-config-018
2. 场景：SC-d025dc30c40b78</x:v>
      </x:c>
    </x:row>
    <x:row r="41" ht="54" customHeight="1">
      <x:c r="A41" s="4" t="n">
        <x:v>40</x:v>
      </x:c>
      <x:c r="B41" s="4" t="str">
        <x:v>ADMIN-0040</x:v>
      </x:c>
      <x:c r="C41" s="4" t="str">
        <x:v>M04 粉丝团、房管与成长等级</x:v>
      </x:c>
      <x:c r="D41" s="4" t="str">
        <x:v>等级配置-55（平台管理员视角）</x:v>
      </x:c>
      <x:c r="E41" s="4" t="str">
        <x:v>功能需求</x:v>
      </x:c>
      <x:c r="F41" s="4" t="str">
        <x:v>P1</x:v>
      </x:c>
      <x:c r="G41" s="4" t="str">
        <x:v>验证勋章上传预览</x:v>
      </x:c>
      <x:c r="H41" s="4" t="str">
        <x:v>勋章上传预览</x:v>
      </x:c>
      <x:c r="I41" s="4" t="str">
        <x:v>1. 已登录平台管理员账号
2. 准备一张可读取图片</x:v>
      </x:c>
      <x:c r="J41" s="4" t="str">
        <x:v>1. 进入「等级配置-55」页
2. 为当前等级选择该图片</x:v>
      </x:c>
      <x:c r="K41" s="4" t="str">
        <x:v>当前等级显示所选图片预览</x:v>
      </x:c>
      <x:c r="L41" s="4" t="str"/>
      <x:c r="M41" s="4" t="str">
        <x:v>未测</x:v>
      </x:c>
      <x:c r="N41" s="4" t="str"/>
      <x:c r="O41" s="4" t="str">
        <x:v>1. 来源：MainBasis/统一需求文档.md；A-admin-level-config-017
2. 场景：SC-611a6f26f5fd28</x:v>
      </x:c>
    </x:row>
    <x:row r="42" ht="54" customHeight="1">
      <x:c r="A42" s="4" t="n">
        <x:v>41</x:v>
      </x:c>
      <x:c r="B42" s="4" t="str">
        <x:v>ADMIN-0041</x:v>
      </x:c>
      <x:c r="C42" s="4" t="str">
        <x:v>M04 粉丝团、房管与成长等级</x:v>
      </x:c>
      <x:c r="D42" s="4" t="str">
        <x:v>等级配置-55（平台管理员视角）</x:v>
      </x:c>
      <x:c r="E42" s="4" t="str">
        <x:v>异常用例</x:v>
      </x:c>
      <x:c r="F42" s="4" t="str">
        <x:v>P1</x:v>
      </x:c>
      <x:c r="G42" s="4" t="str">
        <x:v>验证勋章图缺失阻止保存</x:v>
      </x:c>
      <x:c r="H42" s="4" t="str">
        <x:v>勋章图缺失阻止保存</x:v>
      </x:c>
      <x:c r="I42" s="4" t="str">
        <x:v>1. 已登录平台管理员账号
2. 当前Tab某等级尚未上传勋章图</x:v>
      </x:c>
      <x:c r="J42" s="4" t="str">
        <x:v>1. 进入「等级配置-55」页
2. 点击保存</x:v>
      </x:c>
      <x:c r="K42" s="4" t="str">
        <x:v>提示缺图的对应等级并阻止保存</x:v>
      </x:c>
      <x:c r="L42" s="4" t="str"/>
      <x:c r="M42" s="4" t="str">
        <x:v>未测</x:v>
      </x:c>
      <x:c r="N42" s="4" t="str"/>
      <x:c r="O42" s="4" t="str">
        <x:v>1. 来源：MainBasis/统一需求文档.md；A-admin-level-config-017
2. 场景：SC-a6489c9eeebbc7</x:v>
      </x:c>
    </x:row>
    <x:row r="43" ht="68" customHeight="1">
      <x:c r="A43" s="4" t="n">
        <x:v>42</x:v>
      </x:c>
      <x:c r="B43" s="4" t="str">
        <x:v>ADMIN-0042</x:v>
      </x:c>
      <x:c r="C43" s="4" t="str">
        <x:v>M04 粉丝团、房管与成长等级</x:v>
      </x:c>
      <x:c r="D43" s="4" t="str">
        <x:v>等级配置-55（平台管理员视角）</x:v>
      </x:c>
      <x:c r="E43" s="4" t="str">
        <x:v>功能需求</x:v>
      </x:c>
      <x:c r="F43" s="4" t="str">
        <x:v>P1</x:v>
      </x:c>
      <x:c r="G43" s="4" t="str">
        <x:v>验证等级配置不发放资产</x:v>
      </x:c>
      <x:c r="H43" s="4" t="str">
        <x:v>等级配置不发放资产</x:v>
      </x:c>
      <x:c r="I43" s="4" t="str">
        <x:v>1. 已登录平台管理员账号
2. 已记录对象钱包与累计贡献
3. 平台仅修改该对象所属等级门槛</x:v>
      </x:c>
      <x:c r="J43" s="4" t="str">
        <x:v>1. 进入「等级配置-55」页
2. 查看等级配置不发放资产</x:v>
      </x:c>
      <x:c r="K43" s="4" t="str">
        <x:v>对象钱包和累计贡献未因改门槛而增加</x:v>
      </x:c>
      <x:c r="L43" s="4" t="str"/>
      <x:c r="M43" s="4" t="str">
        <x:v>未测</x:v>
      </x:c>
      <x:c r="N43" s="4" t="str"/>
      <x:c r="O43" s="4" t="str">
        <x:v>1. 来源：MainBasis/统一需求文档.md；A-admin-level-config-007
2. 场景：SC-1ffa3d12481b2d</x:v>
      </x:c>
    </x:row>
    <x:row r="44" ht="54" customHeight="1">
      <x:c r="A44" s="4" t="n">
        <x:v>43</x:v>
      </x:c>
      <x:c r="B44" s="4" t="str">
        <x:v>ADMIN-0043</x:v>
      </x:c>
      <x:c r="C44" s="4" t="str">
        <x:v>M04 粉丝团、房管与成长等级</x:v>
      </x:c>
      <x:c r="D44" s="4" t="str">
        <x:v>等级配置-55（平台管理员视角）</x:v>
      </x:c>
      <x:c r="E44" s="4" t="str">
        <x:v>功能需求</x:v>
      </x:c>
      <x:c r="F44" s="4" t="str">
        <x:v>P1</x:v>
      </x:c>
      <x:c r="G44" s="4" t="str">
        <x:v>验证主播等级排除虚拟金币</x:v>
      </x:c>
      <x:c r="H44" s="4" t="str">
        <x:v>主播等级排除虚拟金币</x:v>
      </x:c>
      <x:c r="I44" s="4" t="str">
        <x:v>1. 已登录平台管理员账号
2. 已记录该类型累计值
3. 仅新增运营账号虚拟金币赠礼</x:v>
      </x:c>
      <x:c r="J44" s="4" t="str">
        <x:v>1. 进入「等级配置-55」页
2. 查看主播等级排除虚拟金币</x:v>
      </x:c>
      <x:c r="K44" s="4" t="str">
        <x:v>主播等级累计值保持不变</x:v>
      </x:c>
      <x:c r="L44" s="4" t="str"/>
      <x:c r="M44" s="4" t="str">
        <x:v>未测</x:v>
      </x:c>
      <x:c r="N44" s="4" t="str"/>
      <x:c r="O44" s="4" t="str">
        <x:v>1. 来源：MainBasis/统一需求文档.md；A-admin-level-config-013
2. 场景：SC-2074c4f29c7f75</x:v>
      </x:c>
    </x:row>
    <x:row r="45" ht="54" customHeight="1">
      <x:c r="A45" s="4" t="n">
        <x:v>44</x:v>
      </x:c>
      <x:c r="B45" s="4" t="str">
        <x:v>ADMIN-0044</x:v>
      </x:c>
      <x:c r="C45" s="4" t="str">
        <x:v>M04 粉丝团、房管与成长等级</x:v>
      </x:c>
      <x:c r="D45" s="4" t="str">
        <x:v>等级配置-55（平台管理员视角）</x:v>
      </x:c>
      <x:c r="E45" s="4" t="str">
        <x:v>功能需求</x:v>
      </x:c>
      <x:c r="F45" s="4" t="str">
        <x:v>P1</x:v>
      </x:c>
      <x:c r="G45" s="4" t="str">
        <x:v>验证财富等级排除虚拟金币</x:v>
      </x:c>
      <x:c r="H45" s="4" t="str">
        <x:v>财富等级排除虚拟金币</x:v>
      </x:c>
      <x:c r="I45" s="4" t="str">
        <x:v>1. 已登录平台管理员账号
2. 已记录该类型累计值
3. 仅新增运营账号虚拟金币赠礼</x:v>
      </x:c>
      <x:c r="J45" s="4" t="str">
        <x:v>1. 进入「等级配置-55」页
2. 查看财富等级排除虚拟金币</x:v>
      </x:c>
      <x:c r="K45" s="4" t="str">
        <x:v>财富等级累计值保持不变</x:v>
      </x:c>
      <x:c r="L45" s="4" t="str"/>
      <x:c r="M45" s="4" t="str">
        <x:v>未测</x:v>
      </x:c>
      <x:c r="N45" s="4" t="str"/>
      <x:c r="O45" s="4" t="str">
        <x:v>1. 来源：MainBasis/统一需求文档.md；A-admin-level-config-013
2. 场景：SC-117b5f9cce4abd</x:v>
      </x:c>
    </x:row>
    <x:row r="46" ht="54" customHeight="1">
      <x:c r="A46" s="4" t="n">
        <x:v>45</x:v>
      </x:c>
      <x:c r="B46" s="4" t="str">
        <x:v>ADMIN-0045</x:v>
      </x:c>
      <x:c r="C46" s="4" t="str">
        <x:v>M04 粉丝团、房管与成长等级</x:v>
      </x:c>
      <x:c r="D46" s="4" t="str">
        <x:v>等级配置-55（平台管理员视角）</x:v>
      </x:c>
      <x:c r="E46" s="4" t="str">
        <x:v>功能需求</x:v>
      </x:c>
      <x:c r="F46" s="4" t="str">
        <x:v>P1</x:v>
      </x:c>
      <x:c r="G46" s="4" t="str">
        <x:v>验证粉丝等级排除虚拟金币</x:v>
      </x:c>
      <x:c r="H46" s="4" t="str">
        <x:v>粉丝等级排除虚拟金币</x:v>
      </x:c>
      <x:c r="I46" s="4" t="str">
        <x:v>1. 已登录平台管理员账号
2. 已记录该类型累计值
3. 仅新增运营账号虚拟金币赠礼</x:v>
      </x:c>
      <x:c r="J46" s="4" t="str">
        <x:v>1. 进入「等级配置-55」页
2. 查看粉丝等级排除虚拟金币</x:v>
      </x:c>
      <x:c r="K46" s="4" t="str">
        <x:v>粉丝等级累计值保持不变</x:v>
      </x:c>
      <x:c r="L46" s="4" t="str"/>
      <x:c r="M46" s="4" t="str">
        <x:v>未测</x:v>
      </x:c>
      <x:c r="N46" s="4" t="str"/>
      <x:c r="O46" s="4" t="str">
        <x:v>1. 来源：MainBasis/统一需求文档.md；A-admin-level-config-013
2. 场景：SC-5a40209793ad18</x:v>
      </x:c>
    </x:row>
    <x:row r="47" ht="54" customHeight="1">
      <x:c r="A47" s="4" t="n">
        <x:v>46</x:v>
      </x:c>
      <x:c r="B47" s="4" t="str">
        <x:v>ADMIN-0046</x:v>
      </x:c>
      <x:c r="C47" s="4" t="str">
        <x:v>M04 粉丝团、房管与成长等级</x:v>
      </x:c>
      <x:c r="D47" s="4" t="str">
        <x:v>等级配置-55（平台管理员视角）</x:v>
      </x:c>
      <x:c r="E47" s="4" t="str">
        <x:v>功能需求</x:v>
      </x:c>
      <x:c r="F47" s="4" t="str">
        <x:v>P1</x:v>
      </x:c>
      <x:c r="G47" s="4" t="str">
        <x:v>验证粉丝团等级排除虚拟金币</x:v>
      </x:c>
      <x:c r="H47" s="4" t="str">
        <x:v>粉丝团等级排除虚拟金币</x:v>
      </x:c>
      <x:c r="I47" s="4" t="str">
        <x:v>1. 已登录平台管理员账号
2. 已记录该类型累计值
3. 仅新增运营账号虚拟金币赠礼</x:v>
      </x:c>
      <x:c r="J47" s="4" t="str">
        <x:v>1. 进入「等级配置-55」页
2. 查看粉丝团等级排除虚拟金币</x:v>
      </x:c>
      <x:c r="K47" s="4" t="str">
        <x:v>粉丝团等级累计值保持不变</x:v>
      </x:c>
      <x:c r="L47" s="4" t="str"/>
      <x:c r="M47" s="4" t="str">
        <x:v>未测</x:v>
      </x:c>
      <x:c r="N47" s="4" t="str"/>
      <x:c r="O47" s="4" t="str">
        <x:v>1. 来源：MainBasis/统一需求文档.md；A-admin-level-config-013
2. 场景：SC-f38261006317c4</x:v>
      </x:c>
    </x:row>
    <x:row r="48" ht="54" customHeight="1">
      <x:c r="A48" s="4" t="n">
        <x:v>47</x:v>
      </x:c>
      <x:c r="B48" s="4" t="str">
        <x:v>ADMIN-0047</x:v>
      </x:c>
      <x:c r="C48" s="4" t="str">
        <x:v>M04 粉丝团、房管与成长等级</x:v>
      </x:c>
      <x:c r="D48" s="4" t="str">
        <x:v>等级配置-55（平台管理员视角）</x:v>
      </x:c>
      <x:c r="E48" s="4" t="str">
        <x:v>功能需求</x:v>
      </x:c>
      <x:c r="F48" s="4" t="str">
        <x:v>P1</x:v>
      </x:c>
      <x:c r="G48" s="4" t="str">
        <x:v>验证主播等级按分成前收益</x:v>
      </x:c>
      <x:c r="H48" s="4" t="str">
        <x:v>主播等级按分成前收益</x:v>
      </x:c>
      <x:c r="I48" s="4" t="str">
        <x:v>1. 已登录平台管理员账号
2. 主播分成前金币收益1000，线下分成金额已另行确定</x:v>
      </x:c>
      <x:c r="J48" s="4" t="str">
        <x:v>1. 进入「等级配置-55」页
2. 查看主播等级按分成前收益</x:v>
      </x:c>
      <x:c r="K48" s="4" t="str">
        <x:v>主播等级使用1000金币收益参与匹配</x:v>
      </x:c>
      <x:c r="L48" s="4" t="str"/>
      <x:c r="M48" s="4" t="str">
        <x:v>未测</x:v>
      </x:c>
      <x:c r="N48" s="4" t="str"/>
      <x:c r="O48" s="4" t="str">
        <x:v>1. 来源：MainBasis/统一需求文档.md；A-admin-level-config-009
2. 场景：SC-1108e965e24a59</x:v>
      </x:c>
    </x:row>
    <x:row r="49" ht="54" customHeight="1">
      <x:c r="A49" s="4" t="n">
        <x:v>48</x:v>
      </x:c>
      <x:c r="B49" s="4" t="str">
        <x:v>ADMIN-0048</x:v>
      </x:c>
      <x:c r="C49" s="4" t="str">
        <x:v>M05 公会申请、认证、组织与权限</x:v>
      </x:c>
      <x:c r="D49" s="4" t="str">
        <x:v>主播列表-04（平台管理员视角）</x:v>
      </x:c>
      <x:c r="E49" s="4" t="str">
        <x:v>功能需求</x:v>
      </x:c>
      <x:c r="F49" s="4" t="str">
        <x:v>P2</x:v>
      </x:c>
      <x:c r="G49" s="4" t="str">
        <x:v>验证账号状态回显</x:v>
      </x:c>
      <x:c r="H49" s="4" t="str">
        <x:v>账号状态回显</x:v>
      </x:c>
      <x:c r="I49" s="4" t="str">
        <x:v>1. 已登录平台管理员账号
2. 所选对象存在，已记录该对象的账号状态值</x:v>
      </x:c>
      <x:c r="J49" s="4" t="str">
        <x:v>1. 进入「主播列表-04」页
2. 查看账号状态回显</x:v>
      </x:c>
      <x:c r="K49" s="4" t="str">
        <x:v>「账号状态」内容与所选对象的该项资料一致</x:v>
      </x:c>
      <x:c r="L49" s="4" t="str"/>
      <x:c r="M49" s="4" t="str">
        <x:v>未测</x:v>
      </x:c>
      <x:c r="N49" s="4" t="str"/>
      <x:c r="O49" s="4" t="str">
        <x:v>1. 来源：MainBasis/统一需求文档.md；A-admin-host-list-003
2. 场景：SC-5ef836b9778cb5</x:v>
      </x:c>
    </x:row>
    <x:row r="50" ht="54" customHeight="1">
      <x:c r="A50" s="4" t="n">
        <x:v>49</x:v>
      </x:c>
      <x:c r="B50" s="4" t="str">
        <x:v>ADMIN-0049</x:v>
      </x:c>
      <x:c r="C50" s="4" t="str">
        <x:v>M05 公会申请、认证、组织与权限</x:v>
      </x:c>
      <x:c r="D50" s="4" t="str">
        <x:v>主播列表-04（平台管理员视角）</x:v>
      </x:c>
      <x:c r="E50" s="4" t="str">
        <x:v>功能需求</x:v>
      </x:c>
      <x:c r="F50" s="4" t="str">
        <x:v>P2</x:v>
      </x:c>
      <x:c r="G50" s="4" t="str">
        <x:v>验证违规次数回显</x:v>
      </x:c>
      <x:c r="H50" s="4" t="str">
        <x:v>违规次数回显</x:v>
      </x:c>
      <x:c r="I50" s="4" t="str">
        <x:v>1. 已登录平台管理员账号
2. 所选对象存在，已记录该对象的违规次数值</x:v>
      </x:c>
      <x:c r="J50" s="4" t="str">
        <x:v>1. 进入「主播列表-04」页
2. 查看违规次数回显</x:v>
      </x:c>
      <x:c r="K50" s="4" t="str">
        <x:v>「违规次数」内容与所选对象的该项资料一致</x:v>
      </x:c>
      <x:c r="L50" s="4" t="str"/>
      <x:c r="M50" s="4" t="str">
        <x:v>未测</x:v>
      </x:c>
      <x:c r="N50" s="4" t="str"/>
      <x:c r="O50" s="4" t="str">
        <x:v>1. 来源：MainBasis/统一需求文档.md；A-admin-host-list-006
2. 场景：SC-636c346c8b62a6</x:v>
      </x:c>
    </x:row>
    <x:row r="51" ht="82" customHeight="1">
      <x:c r="A51" s="4" t="n">
        <x:v>50</x:v>
      </x:c>
      <x:c r="B51" s="4" t="str">
        <x:v>ADMIN-0050</x:v>
      </x:c>
      <x:c r="C51" s="4" t="str">
        <x:v>M05 公会申请、认证、组织与权限</x:v>
      </x:c>
      <x:c r="D51" s="4" t="str">
        <x:v>主播列表-04（平台管理员视角）</x:v>
      </x:c>
      <x:c r="E51" s="4" t="str">
        <x:v>功能需求</x:v>
      </x:c>
      <x:c r="F51" s="4" t="str">
        <x:v>P1</x:v>
      </x:c>
      <x:c r="G51" s="4" t="str">
        <x:v>验证最终开播权限受账号封禁限制</x:v>
      </x:c>
      <x:c r="H51" s="4" t="str">
        <x:v>最终开播权限受账号封禁限制</x:v>
      </x:c>
      <x:c r="I51" s="4" t="str">
        <x:v>1. 已登录平台管理员账号
2. 仅账号封禁，其他四个开播条件均满足</x:v>
      </x:c>
      <x:c r="J51" s="4" t="str">
        <x:v>1. 进入「主播列表-04」页
2. 查看最终开播权限受账号封禁限制</x:v>
      </x:c>
      <x:c r="K51" s="4" t="str">
        <x:v>最终开播权限不可用</x:v>
      </x:c>
      <x:c r="L51" s="4" t="str"/>
      <x:c r="M51" s="4" t="str">
        <x:v>未测</x:v>
      </x:c>
      <x:c r="N51" s="4" t="str"/>
      <x:c r="O51" s="4" t="str">
        <x:v>1. 来源：MainBasis/统一需求文档.md；A-admin-host-list-004、G-guild-host-detail-006、D-SYS-043、D-SYS-080、D-SYS-083、D-SYS-084、U-start-live-settings-009
2. 场景：SC-ce73fe3f3bc1bd</x:v>
      </x:c>
    </x:row>
    <x:row r="52" ht="82" customHeight="1">
      <x:c r="A52" s="4" t="n">
        <x:v>51</x:v>
      </x:c>
      <x:c r="B52" s="4" t="str">
        <x:v>ADMIN-0051</x:v>
      </x:c>
      <x:c r="C52" s="4" t="str">
        <x:v>M05 公会申请、认证、组织与权限</x:v>
      </x:c>
      <x:c r="D52" s="4" t="str">
        <x:v>主播列表-04（平台管理员视角）</x:v>
      </x:c>
      <x:c r="E52" s="4" t="str">
        <x:v>功能需求</x:v>
      </x:c>
      <x:c r="F52" s="4" t="str">
        <x:v>P1</x:v>
      </x:c>
      <x:c r="G52" s="4" t="str">
        <x:v>验证最终开播权限受公会无效限制</x:v>
      </x:c>
      <x:c r="H52" s="4" t="str">
        <x:v>最终开播权限受公会无效限制</x:v>
      </x:c>
      <x:c r="I52" s="4" t="str">
        <x:v>1. 已登录平台管理员账号
2. 仅公会无效，其他四个开播条件均满足</x:v>
      </x:c>
      <x:c r="J52" s="4" t="str">
        <x:v>1. 进入「主播列表-04」页
2. 查看最终开播权限受公会无效限制</x:v>
      </x:c>
      <x:c r="K52" s="4" t="str">
        <x:v>最终开播权限不可用</x:v>
      </x:c>
      <x:c r="L52" s="4" t="str"/>
      <x:c r="M52" s="4" t="str">
        <x:v>未测</x:v>
      </x:c>
      <x:c r="N52" s="4" t="str"/>
      <x:c r="O52" s="4" t="str">
        <x:v>1. 来源：MainBasis/统一需求文档.md；A-admin-host-list-004、G-guild-host-detail-006、D-SYS-043、D-SYS-080、D-SYS-083、D-SYS-084、U-start-live-settings-009
2. 场景：SC-732f21fa548601</x:v>
      </x:c>
    </x:row>
    <x:row r="53" ht="82" customHeight="1">
      <x:c r="A53" s="4" t="n">
        <x:v>52</x:v>
      </x:c>
      <x:c r="B53" s="4" t="str">
        <x:v>ADMIN-0052</x:v>
      </x:c>
      <x:c r="C53" s="4" t="str">
        <x:v>M05 公会申请、认证、组织与权限</x:v>
      </x:c>
      <x:c r="D53" s="4" t="str">
        <x:v>主播列表-04（平台管理员视角）</x:v>
      </x:c>
      <x:c r="E53" s="4" t="str">
        <x:v>功能需求</x:v>
      </x:c>
      <x:c r="F53" s="4" t="str">
        <x:v>P1</x:v>
      </x:c>
      <x:c r="G53" s="4" t="str">
        <x:v>验证最终开播权限受认证未通过限制</x:v>
      </x:c>
      <x:c r="H53" s="4" t="str">
        <x:v>最终开播权限受认证未通过限制</x:v>
      </x:c>
      <x:c r="I53" s="4" t="str">
        <x:v>1. 已登录平台管理员账号
2. 仅认证未通过，其他四个开播条件均满足</x:v>
      </x:c>
      <x:c r="J53" s="4" t="str">
        <x:v>1. 进入「主播列表-04」页
2. 查看最终开播权限受认证未通过限制</x:v>
      </x:c>
      <x:c r="K53" s="4" t="str">
        <x:v>最终开播权限不可用</x:v>
      </x:c>
      <x:c r="L53" s="4" t="str"/>
      <x:c r="M53" s="4" t="str">
        <x:v>未测</x:v>
      </x:c>
      <x:c r="N53" s="4" t="str"/>
      <x:c r="O53" s="4" t="str">
        <x:v>1. 来源：MainBasis/统一需求文档.md；A-admin-host-list-004、G-guild-host-detail-006、D-SYS-043、D-SYS-080、D-SYS-083、D-SYS-084、U-start-live-settings-009
2. 场景：SC-8ff4667678417e</x:v>
      </x:c>
    </x:row>
    <x:row r="54" ht="82" customHeight="1">
      <x:c r="A54" s="4" t="n">
        <x:v>53</x:v>
      </x:c>
      <x:c r="B54" s="4" t="str">
        <x:v>ADMIN-0053</x:v>
      </x:c>
      <x:c r="C54" s="4" t="str">
        <x:v>M05 公会申请、认证、组织与权限</x:v>
      </x:c>
      <x:c r="D54" s="4" t="str">
        <x:v>主播列表-04（平台管理员视角）</x:v>
      </x:c>
      <x:c r="E54" s="4" t="str">
        <x:v>功能需求</x:v>
      </x:c>
      <x:c r="F54" s="4" t="str">
        <x:v>P1</x:v>
      </x:c>
      <x:c r="G54" s="4" t="str">
        <x:v>验证最终开播权限受平台权限关闭限制</x:v>
      </x:c>
      <x:c r="H54" s="4" t="str">
        <x:v>最终开播权限受平台权限关闭限制</x:v>
      </x:c>
      <x:c r="I54" s="4" t="str">
        <x:v>1. 已登录平台管理员账号
2. 仅平台权限关闭，其他四个开播条件均满足</x:v>
      </x:c>
      <x:c r="J54" s="4" t="str">
        <x:v>1. 进入「主播列表-04」页
2. 查看最终开播权限受平台权限关闭限制</x:v>
      </x:c>
      <x:c r="K54" s="4" t="str">
        <x:v>最终开播权限不可用</x:v>
      </x:c>
      <x:c r="L54" s="4" t="str"/>
      <x:c r="M54" s="4" t="str">
        <x:v>未测</x:v>
      </x:c>
      <x:c r="N54" s="4" t="str"/>
      <x:c r="O54" s="4" t="str">
        <x:v>1. 来源：MainBasis/统一需求文档.md；A-admin-host-list-004、G-guild-host-detail-006、D-SYS-043、D-SYS-080、D-SYS-083、D-SYS-084、U-start-live-settings-009
2. 场景：SC-4dd36865112104</x:v>
      </x:c>
    </x:row>
    <x:row r="55" ht="82" customHeight="1">
      <x:c r="A55" s="4" t="n">
        <x:v>54</x:v>
      </x:c>
      <x:c r="B55" s="4" t="str">
        <x:v>ADMIN-0054</x:v>
      </x:c>
      <x:c r="C55" s="4" t="str">
        <x:v>M05 公会申请、认证、组织与权限</x:v>
      </x:c>
      <x:c r="D55" s="4" t="str">
        <x:v>主播列表-04（平台管理员视角）</x:v>
      </x:c>
      <x:c r="E55" s="4" t="str">
        <x:v>功能需求</x:v>
      </x:c>
      <x:c r="F55" s="4" t="str">
        <x:v>P1</x:v>
      </x:c>
      <x:c r="G55" s="4" t="str">
        <x:v>验证最终开播权限受公会权限关闭限制</x:v>
      </x:c>
      <x:c r="H55" s="4" t="str">
        <x:v>最终开播权限受公会权限关闭限制</x:v>
      </x:c>
      <x:c r="I55" s="4" t="str">
        <x:v>1. 已登录平台管理员账号
2. 仅公会权限关闭，其他四个开播条件均满足</x:v>
      </x:c>
      <x:c r="J55" s="4" t="str">
        <x:v>1. 进入「主播列表-04」页
2. 查看最终开播权限受公会权限关闭限制</x:v>
      </x:c>
      <x:c r="K55" s="4" t="str">
        <x:v>最终开播权限不可用</x:v>
      </x:c>
      <x:c r="L55" s="4" t="str"/>
      <x:c r="M55" s="4" t="str">
        <x:v>未测</x:v>
      </x:c>
      <x:c r="N55" s="4" t="str"/>
      <x:c r="O55" s="4" t="str">
        <x:v>1. 来源：MainBasis/统一需求文档.md；A-admin-host-list-004、G-guild-host-detail-006、D-SYS-043、D-SYS-080、D-SYS-083、D-SYS-084、U-start-live-settings-009
2. 场景：SC-91f5677e8c0299</x:v>
      </x:c>
    </x:row>
    <x:row r="56" ht="82" customHeight="1">
      <x:c r="A56" s="4" t="n">
        <x:v>55</x:v>
      </x:c>
      <x:c r="B56" s="4" t="str">
        <x:v>ADMIN-0055</x:v>
      </x:c>
      <x:c r="C56" s="4" t="str">
        <x:v>M05 公会申请、认证、组织与权限</x:v>
      </x:c>
      <x:c r="D56" s="4" t="str">
        <x:v>主播列表-04（平台管理员视角）</x:v>
      </x:c>
      <x:c r="E56" s="4" t="str">
        <x:v>功能需求</x:v>
      </x:c>
      <x:c r="F56" s="4" t="str">
        <x:v>P1</x:v>
      </x:c>
      <x:c r="G56" s="4" t="str">
        <x:v>验证五项开播条件均满足</x:v>
      </x:c>
      <x:c r="H56" s="4" t="str">
        <x:v>五项开播条件均满足</x:v>
      </x:c>
      <x:c r="I56" s="4" t="str">
        <x:v>1. 已登录平台管理员账号
2. 账号可用、公会有效、认证通过、平台与公会权限均开启</x:v>
      </x:c>
      <x:c r="J56" s="4" t="str">
        <x:v>1. 进入「主播列表-04」页
2. 查看五项开播条件均满足</x:v>
      </x:c>
      <x:c r="K56" s="4" t="str">
        <x:v>最终开播权限可用</x:v>
      </x:c>
      <x:c r="L56" s="4" t="str"/>
      <x:c r="M56" s="4" t="str">
        <x:v>未测</x:v>
      </x:c>
      <x:c r="N56" s="4" t="str"/>
      <x:c r="O56" s="4" t="str">
        <x:v>1. 来源：MainBasis/统一需求文档.md；A-admin-host-list-004、G-guild-host-detail-006、D-SYS-043、D-SYS-080、D-SYS-083、D-SYS-084、U-start-live-settings-009
2. 场景：SC-c5f483f0474797</x:v>
      </x:c>
    </x:row>
    <x:row r="57" ht="82" customHeight="1">
      <x:c r="A57" s="4" t="n">
        <x:v>56</x:v>
      </x:c>
      <x:c r="B57" s="4" t="str">
        <x:v>ADMIN-0056</x:v>
      </x:c>
      <x:c r="C57" s="4" t="str">
        <x:v>M05 公会申请、认证、组织与权限</x:v>
      </x:c>
      <x:c r="D57" s="4" t="str">
        <x:v>主播列表-04（平台管理员视角）</x:v>
      </x:c>
      <x:c r="E57" s="4" t="str">
        <x:v>功能需求</x:v>
      </x:c>
      <x:c r="F57" s="4" t="str">
        <x:v>P1</x:v>
      </x:c>
      <x:c r="G57" s="4" t="str">
        <x:v>验证平台关闭直播权限</x:v>
      </x:c>
      <x:c r="H57" s="4" t="str">
        <x:v>平台关闭直播权限</x:v>
      </x:c>
      <x:c r="I57" s="4" t="str">
        <x:v>1. 已登录平台管理员账号
2. 目标主播正在直播且平台权限开启</x:v>
      </x:c>
      <x:c r="J57" s="4" t="str">
        <x:v>1. 进入「主播列表-04」页
2. 关闭目标主播直播权限
3. 填写原因并确认</x:v>
      </x:c>
      <x:c r="K57" s="4" t="str">
        <x:v>目标当前场次结束，平台权限关闭</x:v>
      </x:c>
      <x:c r="L57" s="4" t="str">
        <x:v>FLOW-29684C4A</x:v>
      </x:c>
      <x:c r="M57" s="4" t="str">
        <x:v>未测</x:v>
      </x:c>
      <x:c r="N57" s="4" t="str"/>
      <x:c r="O57" s="4" t="str">
        <x:v>1. 来源：MainBasis/统一需求文档.md；A-admin-host-list-007、U-live-room-host-006、A-admin-host-detail-002、D-SYS-081
2. 场景：SC-102dd5b4856adf
3. 状态转换：ST-7D44D5648AC8</x:v>
      </x:c>
    </x:row>
    <x:row r="58" ht="68" customHeight="1">
      <x:c r="A58" s="4" t="n">
        <x:v>57</x:v>
      </x:c>
      <x:c r="B58" s="4" t="str">
        <x:v>ADMIN-0057</x:v>
      </x:c>
      <x:c r="C58" s="4" t="str">
        <x:v>M05 公会申请、认证、组织与权限</x:v>
      </x:c>
      <x:c r="D58" s="4" t="str">
        <x:v>主播列表-04（平台管理员视角）</x:v>
      </x:c>
      <x:c r="E58" s="4" t="str">
        <x:v>功能需求</x:v>
      </x:c>
      <x:c r="F58" s="4" t="str">
        <x:v>P1</x:v>
      </x:c>
      <x:c r="G58" s="4" t="str">
        <x:v>验证平台锁定保留公会原开启</x:v>
      </x:c>
      <x:c r="H58" s="4" t="str">
        <x:v>平台锁定保留公会原开启</x:v>
      </x:c>
      <x:c r="I58" s="4" t="str">
        <x:v>1. 已登录平台管理员账号
2. 公会设置原为开启，平台权限开启</x:v>
      </x:c>
      <x:c r="J58" s="4" t="str">
        <x:v>1. 进入「主播列表-04」页
2. 锁定公会管理权限
3. 填写原因并确认</x:v>
      </x:c>
      <x:c r="K58" s="4" t="str">
        <x:v>公会权限跟随平台且不可编辑</x:v>
      </x:c>
      <x:c r="L58" s="4" t="str">
        <x:v>FLOW-29684C4A</x:v>
      </x:c>
      <x:c r="M58" s="4" t="str">
        <x:v>未测</x:v>
      </x:c>
      <x:c r="N58" s="4" t="str"/>
      <x:c r="O58" s="4" t="str">
        <x:v>1. 来源：MainBasis/统一需求文档.md；A-admin-host-list-008
2. 场景：SC-64df1a2d624110
3. 状态转换：ST-8CF9566F5670</x:v>
      </x:c>
    </x:row>
    <x:row r="59" ht="68" customHeight="1">
      <x:c r="A59" s="4" t="n">
        <x:v>58</x:v>
      </x:c>
      <x:c r="B59" s="4" t="str">
        <x:v>ADMIN-0058</x:v>
      </x:c>
      <x:c r="C59" s="4" t="str">
        <x:v>M05 公会申请、认证、组织与权限</x:v>
      </x:c>
      <x:c r="D59" s="4" t="str">
        <x:v>主播列表-04（平台管理员视角）</x:v>
      </x:c>
      <x:c r="E59" s="4" t="str">
        <x:v>功能需求</x:v>
      </x:c>
      <x:c r="F59" s="4" t="str">
        <x:v>P1</x:v>
      </x:c>
      <x:c r="G59" s="4" t="str">
        <x:v>验证平台锁定保留公会原关闭</x:v>
      </x:c>
      <x:c r="H59" s="4" t="str">
        <x:v>平台锁定保留公会原关闭</x:v>
      </x:c>
      <x:c r="I59" s="4" t="str">
        <x:v>1. 已登录平台管理员账号
2. 公会设置原为关闭，平台权限开启</x:v>
      </x:c>
      <x:c r="J59" s="4" t="str">
        <x:v>1. 进入「主播列表-04」页
2. 锁定公会管理权限
3. 填写原因并确认</x:v>
      </x:c>
      <x:c r="K59" s="4" t="str">
        <x:v>公会权限跟随平台且不可编辑</x:v>
      </x:c>
      <x:c r="L59" s="4" t="str">
        <x:v>FLOW-29684C4A</x:v>
      </x:c>
      <x:c r="M59" s="4" t="str">
        <x:v>未测</x:v>
      </x:c>
      <x:c r="N59" s="4" t="str"/>
      <x:c r="O59" s="4" t="str">
        <x:v>1. 来源：MainBasis/统一需求文档.md；A-admin-host-list-008
2. 场景：SC-72ee777386d333
3. 状态转换：ST-8CF9566F5670</x:v>
      </x:c>
    </x:row>
    <x:row r="60" ht="54" customHeight="1">
      <x:c r="A60" s="4" t="n">
        <x:v>59</x:v>
      </x:c>
      <x:c r="B60" s="4" t="str">
        <x:v>ADMIN-0059</x:v>
      </x:c>
      <x:c r="C60" s="4" t="str">
        <x:v>M05 公会申请、认证、组织与权限</x:v>
      </x:c>
      <x:c r="D60" s="4" t="str">
        <x:v>主播列表-04（平台管理员视角）</x:v>
      </x:c>
      <x:c r="E60" s="4" t="str">
        <x:v>功能需求</x:v>
      </x:c>
      <x:c r="F60" s="4" t="str">
        <x:v>P1</x:v>
      </x:c>
      <x:c r="G60" s="4" t="str">
        <x:v>验证变更权限记录审计</x:v>
      </x:c>
      <x:c r="H60" s="4" t="str">
        <x:v>变更权限记录审计</x:v>
      </x:c>
      <x:c r="I60" s="4" t="str">
        <x:v>1. 已登录平台管理员账号
2. 目标主播处于可执行变更权限的状态</x:v>
      </x:c>
      <x:c r="J60" s="4" t="str">
        <x:v>1. 进入「主播列表-04」页
2. 选择变更权限
3. 填写原因并确认</x:v>
      </x:c>
      <x:c r="K60" s="4" t="str">
        <x:v>处置记录包含前后值、当前操作人和处理时间</x:v>
      </x:c>
      <x:c r="L60" s="4" t="str"/>
      <x:c r="M60" s="4" t="str">
        <x:v>未测</x:v>
      </x:c>
      <x:c r="N60" s="4" t="str"/>
      <x:c r="O60" s="4" t="str">
        <x:v>1. 来源：MainBasis/统一需求文档.md；A-admin-host-list-009
2. 场景：SC-cbd8f9aa94dcc0</x:v>
      </x:c>
    </x:row>
    <x:row r="61" ht="54" customHeight="1">
      <x:c r="A61" s="4" t="n">
        <x:v>60</x:v>
      </x:c>
      <x:c r="B61" s="4" t="str">
        <x:v>ADMIN-0060</x:v>
      </x:c>
      <x:c r="C61" s="4" t="str">
        <x:v>M05 公会申请、认证、组织与权限</x:v>
      </x:c>
      <x:c r="D61" s="4" t="str">
        <x:v>主播列表-04（平台管理员视角）</x:v>
      </x:c>
      <x:c r="E61" s="4" t="str">
        <x:v>功能需求</x:v>
      </x:c>
      <x:c r="F61" s="4" t="str">
        <x:v>P1</x:v>
      </x:c>
      <x:c r="G61" s="4" t="str">
        <x:v>验证警告记录审计</x:v>
      </x:c>
      <x:c r="H61" s="4" t="str">
        <x:v>警告记录审计</x:v>
      </x:c>
      <x:c r="I61" s="4" t="str">
        <x:v>1. 已登录平台管理员账号
2. 目标主播处于可执行警告的状态</x:v>
      </x:c>
      <x:c r="J61" s="4" t="str">
        <x:v>1. 进入「主播列表-04」页
2. 选择警告
3. 填写原因并确认</x:v>
      </x:c>
      <x:c r="K61" s="4" t="str">
        <x:v>处置记录包含前后值、当前操作人和处理时间</x:v>
      </x:c>
      <x:c r="L61" s="4" t="str"/>
      <x:c r="M61" s="4" t="str">
        <x:v>未测</x:v>
      </x:c>
      <x:c r="N61" s="4" t="str"/>
      <x:c r="O61" s="4" t="str">
        <x:v>1. 来源：MainBasis/统一需求文档.md；A-admin-host-list-009
2. 场景：SC-20659ba5434710</x:v>
      </x:c>
    </x:row>
    <x:row r="62" ht="54" customHeight="1">
      <x:c r="A62" s="4" t="n">
        <x:v>61</x:v>
      </x:c>
      <x:c r="B62" s="4" t="str">
        <x:v>ADMIN-0061</x:v>
      </x:c>
      <x:c r="C62" s="4" t="str">
        <x:v>M05 公会申请、认证、组织与权限</x:v>
      </x:c>
      <x:c r="D62" s="4" t="str">
        <x:v>主播列表-04（平台管理员视角）</x:v>
      </x:c>
      <x:c r="E62" s="4" t="str">
        <x:v>功能需求</x:v>
      </x:c>
      <x:c r="F62" s="4" t="str">
        <x:v>P1</x:v>
      </x:c>
      <x:c r="G62" s="4" t="str">
        <x:v>验证封禁记录审计</x:v>
      </x:c>
      <x:c r="H62" s="4" t="str">
        <x:v>封禁记录审计</x:v>
      </x:c>
      <x:c r="I62" s="4" t="str">
        <x:v>1. 已登录平台管理员账号
2. 目标主播处于可执行封禁的状态</x:v>
      </x:c>
      <x:c r="J62" s="4" t="str">
        <x:v>1. 进入「主播列表-04」页
2. 选择封禁
3. 填写原因并确认</x:v>
      </x:c>
      <x:c r="K62" s="4" t="str">
        <x:v>处置记录包含前后值、当前操作人和处理时间</x:v>
      </x:c>
      <x:c r="L62" s="4" t="str"/>
      <x:c r="M62" s="4" t="str">
        <x:v>未测</x:v>
      </x:c>
      <x:c r="N62" s="4" t="str"/>
      <x:c r="O62" s="4" t="str">
        <x:v>1. 来源：MainBasis/统一需求文档.md；A-admin-host-list-009
2. 场景：SC-0f962e80938d4b</x:v>
      </x:c>
    </x:row>
    <x:row r="63" ht="54" customHeight="1">
      <x:c r="A63" s="4" t="n">
        <x:v>62</x:v>
      </x:c>
      <x:c r="B63" s="4" t="str">
        <x:v>ADMIN-0062</x:v>
      </x:c>
      <x:c r="C63" s="4" t="str">
        <x:v>M05 公会申请、认证、组织与权限</x:v>
      </x:c>
      <x:c r="D63" s="4" t="str">
        <x:v>主播列表-04（平台管理员视角）</x:v>
      </x:c>
      <x:c r="E63" s="4" t="str">
        <x:v>功能需求</x:v>
      </x:c>
      <x:c r="F63" s="4" t="str">
        <x:v>P1</x:v>
      </x:c>
      <x:c r="G63" s="4" t="str">
        <x:v>验证解封记录审计</x:v>
      </x:c>
      <x:c r="H63" s="4" t="str">
        <x:v>解封记录审计</x:v>
      </x:c>
      <x:c r="I63" s="4" t="str">
        <x:v>1. 已登录平台管理员账号
2. 目标主播处于可执行解封的状态</x:v>
      </x:c>
      <x:c r="J63" s="4" t="str">
        <x:v>1. 进入「主播列表-04」页
2. 选择解封
3. 填写原因并确认</x:v>
      </x:c>
      <x:c r="K63" s="4" t="str">
        <x:v>处置记录包含前后值、当前操作人和处理时间</x:v>
      </x:c>
      <x:c r="L63" s="4" t="str"/>
      <x:c r="M63" s="4" t="str">
        <x:v>未测</x:v>
      </x:c>
      <x:c r="N63" s="4" t="str"/>
      <x:c r="O63" s="4" t="str">
        <x:v>1. 来源：MainBasis/统一需求文档.md；A-admin-host-list-009
2. 场景：SC-aff113a7018d39</x:v>
      </x:c>
    </x:row>
    <x:row r="64" ht="54" customHeight="1">
      <x:c r="A64" s="4" t="n">
        <x:v>63</x:v>
      </x:c>
      <x:c r="B64" s="4" t="str">
        <x:v>ADMIN-0063</x:v>
      </x:c>
      <x:c r="C64" s="4" t="str">
        <x:v>M05 公会申请、认证、组织与权限</x:v>
      </x:c>
      <x:c r="D64" s="4" t="str">
        <x:v>主播列表-04（平台管理员视角）</x:v>
      </x:c>
      <x:c r="E64" s="4" t="str">
        <x:v>功能需求</x:v>
      </x:c>
      <x:c r="F64" s="4" t="str">
        <x:v>P1</x:v>
      </x:c>
      <x:c r="G64" s="4" t="str">
        <x:v>验证导出当前筛选主播</x:v>
      </x:c>
      <x:c r="H64" s="4" t="str">
        <x:v>导出当前筛选主播</x:v>
      </x:c>
      <x:c r="I64" s="4" t="str">
        <x:v>1. 已登录平台管理员账号
2. 当前筛选仅命中一名主播</x:v>
      </x:c>
      <x:c r="J64" s="4" t="str">
        <x:v>1. 进入「主播列表-04」页
2. 点击导出
3. 打开导出文件</x:v>
      </x:c>
      <x:c r="K64" s="4" t="str">
        <x:v>导出只包含当前筛选命中的主播</x:v>
      </x:c>
      <x:c r="L64" s="4" t="str"/>
      <x:c r="M64" s="4" t="str">
        <x:v>未测</x:v>
      </x:c>
      <x:c r="N64" s="4" t="str"/>
      <x:c r="O64" s="4" t="str">
        <x:v>1. 来源：MainBasis/统一需求文档.md；A-admin-host-list-009
2. 场景：SC-50e77dfb16d8ca</x:v>
      </x:c>
    </x:row>
    <x:row r="65" ht="82" customHeight="1">
      <x:c r="A65" s="4" t="n">
        <x:v>64</x:v>
      </x:c>
      <x:c r="B65" s="4" t="str">
        <x:v>ADMIN-0064</x:v>
      </x:c>
      <x:c r="C65" s="4" t="str">
        <x:v>M05 公会申请、认证、组织与权限</x:v>
      </x:c>
      <x:c r="D65" s="4" t="str">
        <x:v>主播列表-04（平台管理员视角）</x:v>
      </x:c>
      <x:c r="E65" s="4" t="str">
        <x:v>逻辑校验</x:v>
      </x:c>
      <x:c r="F65" s="4" t="str">
        <x:v>P1</x:v>
      </x:c>
      <x:c r="G65" s="4" t="str">
        <x:v>验证后台主播金币收益区分幸运赠礼</x:v>
      </x:c>
      <x:c r="H65" s="4" t="str">
        <x:v>后台主播金币收益区分幸运赠礼</x:v>
      </x:c>
      <x:c r="I65" s="4" t="str">
        <x:v>1. 已登录平台管理员账号
2. 范围内普通礼物100、定制礼物200、幸运礼物1000且赠送时比例1%，返奖900
3. 另有门票50</x:v>
      </x:c>
      <x:c r="J65" s="4" t="str">
        <x:v>1. 进入「主播列表-04」页
2. 查看后台主播金币收益区分幸运赠礼</x:v>
      </x:c>
      <x:c r="K65" s="4" t="str">
        <x:v>后台主播金币收益 = 100 + 200 + 1000 × 1% + 50 = 360金币</x:v>
      </x:c>
      <x:c r="L65" s="4" t="str"/>
      <x:c r="M65" s="4" t="str">
        <x:v>未测</x:v>
      </x:c>
      <x:c r="N65" s="4" t="str"/>
      <x:c r="O65" s="4" t="str">
        <x:v>1. 来源：MainBasis/统一需求文档.md；A-admin-host-list-005、A-admin-host-detail-005
2. 场景：SC-e683ad8371014e</x:v>
      </x:c>
    </x:row>
    <x:row r="66" ht="54" customHeight="1">
      <x:c r="A66" s="4" t="n">
        <x:v>65</x:v>
      </x:c>
      <x:c r="B66" s="4" t="str">
        <x:v>ADMIN-0065</x:v>
      </x:c>
      <x:c r="C66" s="4" t="str">
        <x:v>M05 公会申请、认证、组织与权限</x:v>
      </x:c>
      <x:c r="D66" s="4" t="str">
        <x:v>主播列表-04（平台管理员视角）</x:v>
      </x:c>
      <x:c r="E66" s="4" t="str">
        <x:v>逻辑校验</x:v>
      </x:c>
      <x:c r="F66" s="4" t="str">
        <x:v>P1</x:v>
      </x:c>
      <x:c r="G66" s="4" t="str">
        <x:v>验证后台主播金币收益排除虚拟和失败</x:v>
      </x:c>
      <x:c r="H66" s="4" t="str">
        <x:v>后台主播金币收益排除虚拟和失败</x:v>
      </x:c>
      <x:c r="I66" s="4" t="str">
        <x:v>1. 已登录平台管理员账号
2. 范围内真实成功普通礼物100，另有虚拟礼物100、失败礼物50</x:v>
      </x:c>
      <x:c r="J66" s="4" t="str">
        <x:v>1. 进入「主播列表-04」页
2. 查看后台主播金币收益排除虚拟和失败</x:v>
      </x:c>
      <x:c r="K66" s="4" t="str">
        <x:v>后台主播金币收益 = 100金币</x:v>
      </x:c>
      <x:c r="L66" s="4" t="str"/>
      <x:c r="M66" s="4" t="str">
        <x:v>未测</x:v>
      </x:c>
      <x:c r="N66" s="4" t="str"/>
      <x:c r="O66" s="4" t="str">
        <x:v>1. 来源：MainBasis/统一需求文档.md；A-admin-host-list-005、A-admin-host-detail-005
2. 场景：SC-6f9d043d346fcf</x:v>
      </x:c>
    </x:row>
    <x:row r="67" ht="54" customHeight="1">
      <x:c r="A67" s="4" t="n">
        <x:v>66</x:v>
      </x:c>
      <x:c r="B67" s="4" t="str">
        <x:v>ADMIN-0066</x:v>
      </x:c>
      <x:c r="C67" s="4" t="str">
        <x:v>M05 公会申请、认证、组织与权限</x:v>
      </x:c>
      <x:c r="D67" s="4" t="str">
        <x:v>主播列表-04（平台管理员视角）</x:v>
      </x:c>
      <x:c r="E67" s="4" t="str">
        <x:v>功能需求</x:v>
      </x:c>
      <x:c r="F67" s="4" t="str">
        <x:v>P1</x:v>
      </x:c>
      <x:c r="G67" s="4" t="str">
        <x:v>验证主播列表当前公会关系</x:v>
      </x:c>
      <x:c r="H67" s="4" t="str">
        <x:v>主播列表当前公会关系</x:v>
      </x:c>
      <x:c r="I67" s="4" t="str">
        <x:v>1. 已登录平台管理员账号
2. 主播认证已通过，已退出甲并加入乙</x:v>
      </x:c>
      <x:c r="J67" s="4" t="str">
        <x:v>1. 进入「主播列表-04」页
2. 查看主播列表当前公会关系</x:v>
      </x:c>
      <x:c r="K67" s="4" t="str">
        <x:v>当前公会显示乙</x:v>
      </x:c>
      <x:c r="L67" s="4" t="str"/>
      <x:c r="M67" s="4" t="str">
        <x:v>未测</x:v>
      </x:c>
      <x:c r="N67" s="4" t="str"/>
      <x:c r="O67" s="4" t="str">
        <x:v>1. 来源：MainBasis/统一需求文档.md；A-admin-host-list-002
2. 场景：SC-cb24ea9210f137</x:v>
      </x:c>
    </x:row>
    <x:row r="68" ht="54" customHeight="1">
      <x:c r="A68" s="4" t="n">
        <x:v>67</x:v>
      </x:c>
      <x:c r="B68" s="4" t="str">
        <x:v>ADMIN-0067</x:v>
      </x:c>
      <x:c r="C68" s="4" t="str">
        <x:v>M05 公会申请、认证、组织与权限</x:v>
      </x:c>
      <x:c r="D68" s="4" t="str">
        <x:v>主播详情（平台管理员视角）</x:v>
      </x:c>
      <x:c r="E68" s="4" t="str">
        <x:v>功能需求</x:v>
      </x:c>
      <x:c r="F68" s="4" t="str">
        <x:v>P2</x:v>
      </x:c>
      <x:c r="G68" s="4" t="str">
        <x:v>验证违规记录回显</x:v>
      </x:c>
      <x:c r="H68" s="4" t="str">
        <x:v>违规记录回显</x:v>
      </x:c>
      <x:c r="I68" s="4" t="str">
        <x:v>1. 已登录平台管理员账号
2. 所选对象存在，已记录该对象的违规记录值</x:v>
      </x:c>
      <x:c r="J68" s="4" t="str">
        <x:v>1. 进入「主播详情」页
2. 查看违规记录回显</x:v>
      </x:c>
      <x:c r="K68" s="4" t="str">
        <x:v>「违规记录」内容与所选对象的该项资料一致</x:v>
      </x:c>
      <x:c r="L68" s="4" t="str"/>
      <x:c r="M68" s="4" t="str">
        <x:v>未测</x:v>
      </x:c>
      <x:c r="N68" s="4" t="str"/>
      <x:c r="O68" s="4" t="str">
        <x:v>1. 来源：MainBasis/统一需求文档.md；A-admin-host-detail-006
2. 场景：SC-f6fc3c247514bb</x:v>
      </x:c>
    </x:row>
    <x:row r="69" ht="82" customHeight="1">
      <x:c r="A69" s="4" t="n">
        <x:v>68</x:v>
      </x:c>
      <x:c r="B69" s="4" t="str">
        <x:v>ADMIN-0068</x:v>
      </x:c>
      <x:c r="C69" s="4" t="str">
        <x:v>M05 公会申请、认证、组织与权限</x:v>
      </x:c>
      <x:c r="D69" s="4" t="str">
        <x:v>主播详情（平台管理员视角）</x:v>
      </x:c>
      <x:c r="E69" s="4" t="str">
        <x:v>功能需求</x:v>
      </x:c>
      <x:c r="F69" s="4" t="str">
        <x:v>P1</x:v>
      </x:c>
      <x:c r="G69" s="4" t="str">
        <x:v>验证解封不恢复直播权限</x:v>
      </x:c>
      <x:c r="H69" s="4" t="str">
        <x:v>解封不恢复直播权限</x:v>
      </x:c>
      <x:c r="I69" s="4" t="str">
        <x:v>1. 已登录平台管理员账号
2. 主播账号封禁且平台直播权限关闭</x:v>
      </x:c>
      <x:c r="J69" s="4" t="str">
        <x:v>1. 进入「主播详情」页
2. 选择解封
3. 填写原因并确认</x:v>
      </x:c>
      <x:c r="K69" s="4" t="str">
        <x:v>账号解除封禁，平台直播权限仍关闭</x:v>
      </x:c>
      <x:c r="L69" s="4" t="str">
        <x:v>FLOW-082EDB69</x:v>
      </x:c>
      <x:c r="M69" s="4" t="str">
        <x:v>未测</x:v>
      </x:c>
      <x:c r="N69" s="4" t="str"/>
      <x:c r="O69" s="4" t="str">
        <x:v>1. 来源：MainBasis/统一需求文档.md；A-admin-host-detail-007、A-admin-user-detail-009
2. 场景：SC-9da0b158e87930
3. 状态转换：ST-782E85466F8F</x:v>
      </x:c>
    </x:row>
    <x:row r="70" ht="54" customHeight="1">
      <x:c r="A70" s="4" t="n">
        <x:v>69</x:v>
      </x:c>
      <x:c r="B70" s="4" t="str">
        <x:v>ADMIN-0069</x:v>
      </x:c>
      <x:c r="C70" s="4" t="str">
        <x:v>M05 公会申请、认证、组织与权限</x:v>
      </x:c>
      <x:c r="D70" s="4" t="str">
        <x:v>主播详情（平台管理员视角）</x:v>
      </x:c>
      <x:c r="E70" s="4" t="str">
        <x:v>功能需求</x:v>
      </x:c>
      <x:c r="F70" s="4" t="str">
        <x:v>P1</x:v>
      </x:c>
      <x:c r="G70" s="4" t="str">
        <x:v>验证查看所选记录详情</x:v>
      </x:c>
      <x:c r="H70" s="4" t="str">
        <x:v>查看所选记录详情</x:v>
      </x:c>
      <x:c r="I70" s="4" t="str">
        <x:v>1. 已登录平台管理员账号
2. 当前列表存在一条属于查询范围的记录</x:v>
      </x:c>
      <x:c r="J70" s="4" t="str">
        <x:v>1. 进入「主播详情」页
2. 选择该记录
3. 打开详情</x:v>
      </x:c>
      <x:c r="K70" s="4" t="str">
        <x:v>详情对象与所选记录一致</x:v>
      </x:c>
      <x:c r="L70" s="4" t="str"/>
      <x:c r="M70" s="4" t="str">
        <x:v>未测</x:v>
      </x:c>
      <x:c r="N70" s="4" t="str"/>
      <x:c r="O70" s="4" t="str">
        <x:v>1. 来源：MainBasis/统一需求文档.md；A-admin-host-detail-008
2. 场景：SC-7b6da2564170f8</x:v>
      </x:c>
    </x:row>
    <x:row r="71" ht="54" customHeight="1">
      <x:c r="A71" s="4" t="n">
        <x:v>70</x:v>
      </x:c>
      <x:c r="B71" s="4" t="str">
        <x:v>ADMIN-0070</x:v>
      </x:c>
      <x:c r="C71" s="4" t="str">
        <x:v>M05 公会申请、认证、组织与权限</x:v>
      </x:c>
      <x:c r="D71" s="4" t="str">
        <x:v>主播审核-03（平台管理员视角）</x:v>
      </x:c>
      <x:c r="E71" s="4" t="str">
        <x:v>功能需求</x:v>
      </x:c>
      <x:c r="F71" s="4" t="str">
        <x:v>P2</x:v>
      </x:c>
      <x:c r="G71" s="4" t="str">
        <x:v>验证主播信息回显</x:v>
      </x:c>
      <x:c r="H71" s="4" t="str">
        <x:v>主播信息回显</x:v>
      </x:c>
      <x:c r="I71" s="4" t="str">
        <x:v>1. 已登录平台管理员账号
2. 所选对象存在，已记录该对象的主播信息值</x:v>
      </x:c>
      <x:c r="J71" s="4" t="str">
        <x:v>1. 进入「主播审核-03」页
2. 查看主播信息回显</x:v>
      </x:c>
      <x:c r="K71" s="4" t="str">
        <x:v>「主播信息」内容与所选对象的该项资料一致</x:v>
      </x:c>
      <x:c r="L71" s="4" t="str"/>
      <x:c r="M71" s="4" t="str">
        <x:v>未测</x:v>
      </x:c>
      <x:c r="N71" s="4" t="str"/>
      <x:c r="O71" s="4" t="str">
        <x:v>1. 来源：MainBasis/统一需求文档.md；A-admin-host-review-003
2. 场景：SC-a7eea8d1614ed3</x:v>
      </x:c>
    </x:row>
    <x:row r="72" ht="54" customHeight="1">
      <x:c r="A72" s="4" t="n">
        <x:v>71</x:v>
      </x:c>
      <x:c r="B72" s="4" t="str">
        <x:v>ADMIN-0071</x:v>
      </x:c>
      <x:c r="C72" s="4" t="str">
        <x:v>M05 公会申请、认证、组织与权限</x:v>
      </x:c>
      <x:c r="D72" s="4" t="str">
        <x:v>主播审核-03（平台管理员视角）</x:v>
      </x:c>
      <x:c r="E72" s="4" t="str">
        <x:v>功能需求</x:v>
      </x:c>
      <x:c r="F72" s="4" t="str">
        <x:v>P2</x:v>
      </x:c>
      <x:c r="G72" s="4" t="str">
        <x:v>验证公会信息回显</x:v>
      </x:c>
      <x:c r="H72" s="4" t="str">
        <x:v>公会信息回显</x:v>
      </x:c>
      <x:c r="I72" s="4" t="str">
        <x:v>1. 已登录平台管理员账号
2. 所选对象存在，已记录该对象的公会信息值</x:v>
      </x:c>
      <x:c r="J72" s="4" t="str">
        <x:v>1. 进入「主播审核-03」页
2. 查看公会信息回显</x:v>
      </x:c>
      <x:c r="K72" s="4" t="str">
        <x:v>「公会信息」内容与所选对象的该项资料一致</x:v>
      </x:c>
      <x:c r="L72" s="4" t="str"/>
      <x:c r="M72" s="4" t="str">
        <x:v>未测</x:v>
      </x:c>
      <x:c r="N72" s="4" t="str"/>
      <x:c r="O72" s="4" t="str">
        <x:v>1. 来源：MainBasis/统一需求文档.md；A-admin-host-review-004
2. 场景：SC-fc3b3043b8c414</x:v>
      </x:c>
    </x:row>
    <x:row r="73" ht="68" customHeight="1">
      <x:c r="A73" s="4" t="n">
        <x:v>72</x:v>
      </x:c>
      <x:c r="B73" s="4" t="str">
        <x:v>ADMIN-0072</x:v>
      </x:c>
      <x:c r="C73" s="4" t="str">
        <x:v>M05 公会申请、认证、组织与权限</x:v>
      </x:c>
      <x:c r="D73" s="4" t="str">
        <x:v>主播审核-03（平台管理员视角）</x:v>
      </x:c>
      <x:c r="E73" s="4" t="str">
        <x:v>功能需求</x:v>
      </x:c>
      <x:c r="F73" s="4" t="str">
        <x:v>P1</x:v>
      </x:c>
      <x:c r="G73" s="4" t="str">
        <x:v>验证认证审核待审核交集筛选</x:v>
      </x:c>
      <x:c r="H73" s="4" t="str">
        <x:v>认证审核待审核交集筛选</x:v>
      </x:c>
      <x:c r="I73" s="4" t="str">
        <x:v>1. 已登录平台管理员账号
2. 存在不同状态、主播和公会的申请</x:v>
      </x:c>
      <x:c r="J73" s="4" t="str">
        <x:v>1. 进入「主播审核-03」页
2. 设置状态待审核
3. 选择目标主播和公会
4. 查询</x:v>
      </x:c>
      <x:c r="K73" s="4" t="str">
        <x:v>结果仅包含三项条件均匹配的申请</x:v>
      </x:c>
      <x:c r="L73" s="4" t="str"/>
      <x:c r="M73" s="4" t="str">
        <x:v>未测</x:v>
      </x:c>
      <x:c r="N73" s="4" t="str"/>
      <x:c r="O73" s="4" t="str">
        <x:v>1. 来源：MainBasis/统一需求文档.md；A-admin-host-review-008
2. 场景：SC-28c71630f88ecc</x:v>
      </x:c>
    </x:row>
    <x:row r="74" ht="68" customHeight="1">
      <x:c r="A74" s="4" t="n">
        <x:v>73</x:v>
      </x:c>
      <x:c r="B74" s="4" t="str">
        <x:v>ADMIN-0073</x:v>
      </x:c>
      <x:c r="C74" s="4" t="str">
        <x:v>M05 公会申请、认证、组织与权限</x:v>
      </x:c>
      <x:c r="D74" s="4" t="str">
        <x:v>主播审核-03（平台管理员视角）</x:v>
      </x:c>
      <x:c r="E74" s="4" t="str">
        <x:v>功能需求</x:v>
      </x:c>
      <x:c r="F74" s="4" t="str">
        <x:v>P1</x:v>
      </x:c>
      <x:c r="G74" s="4" t="str">
        <x:v>验证认证审核已通过交集筛选</x:v>
      </x:c>
      <x:c r="H74" s="4" t="str">
        <x:v>认证审核已通过交集筛选</x:v>
      </x:c>
      <x:c r="I74" s="4" t="str">
        <x:v>1. 已登录平台管理员账号
2. 存在不同状态、主播和公会的申请</x:v>
      </x:c>
      <x:c r="J74" s="4" t="str">
        <x:v>1. 进入「主播审核-03」页
2. 设置状态已通过
3. 选择目标主播和公会
4. 查询</x:v>
      </x:c>
      <x:c r="K74" s="4" t="str">
        <x:v>结果仅包含三项条件均匹配的申请</x:v>
      </x:c>
      <x:c r="L74" s="4" t="str"/>
      <x:c r="M74" s="4" t="str">
        <x:v>未测</x:v>
      </x:c>
      <x:c r="N74" s="4" t="str"/>
      <x:c r="O74" s="4" t="str">
        <x:v>1. 来源：MainBasis/统一需求文档.md；A-admin-host-review-008
2. 场景：SC-2e60af4ea05831</x:v>
      </x:c>
    </x:row>
    <x:row r="75" ht="68" customHeight="1">
      <x:c r="A75" s="4" t="n">
        <x:v>74</x:v>
      </x:c>
      <x:c r="B75" s="4" t="str">
        <x:v>ADMIN-0074</x:v>
      </x:c>
      <x:c r="C75" s="4" t="str">
        <x:v>M05 公会申请、认证、组织与权限</x:v>
      </x:c>
      <x:c r="D75" s="4" t="str">
        <x:v>主播审核-03（平台管理员视角）</x:v>
      </x:c>
      <x:c r="E75" s="4" t="str">
        <x:v>功能需求</x:v>
      </x:c>
      <x:c r="F75" s="4" t="str">
        <x:v>P1</x:v>
      </x:c>
      <x:c r="G75" s="4" t="str">
        <x:v>验证认证审核已驳回交集筛选</x:v>
      </x:c>
      <x:c r="H75" s="4" t="str">
        <x:v>认证审核已驳回交集筛选</x:v>
      </x:c>
      <x:c r="I75" s="4" t="str">
        <x:v>1. 已登录平台管理员账号
2. 存在不同状态、主播和公会的申请</x:v>
      </x:c>
      <x:c r="J75" s="4" t="str">
        <x:v>1. 进入「主播审核-03」页
2. 设置状态已驳回
3. 选择目标主播和公会
4. 查询</x:v>
      </x:c>
      <x:c r="K75" s="4" t="str">
        <x:v>结果仅包含三项条件均匹配的申请</x:v>
      </x:c>
      <x:c r="L75" s="4" t="str"/>
      <x:c r="M75" s="4" t="str">
        <x:v>未测</x:v>
      </x:c>
      <x:c r="N75" s="4" t="str"/>
      <x:c r="O75" s="4" t="str">
        <x:v>1. 来源：MainBasis/统一需求文档.md；A-admin-host-review-008
2. 场景：SC-8ac1f1c3df53ff</x:v>
      </x:c>
    </x:row>
    <x:row r="76" ht="54" customHeight="1">
      <x:c r="A76" s="4" t="n">
        <x:v>75</x:v>
      </x:c>
      <x:c r="B76" s="4" t="str">
        <x:v>ADMIN-0075</x:v>
      </x:c>
      <x:c r="C76" s="4" t="str">
        <x:v>M05 公会申请、认证、组织与权限</x:v>
      </x:c>
      <x:c r="D76" s="4" t="str">
        <x:v>主播审核-03（平台管理员视角）</x:v>
      </x:c>
      <x:c r="E76" s="4" t="str">
        <x:v>功能需求</x:v>
      </x:c>
      <x:c r="F76" s="4" t="str">
        <x:v>P1</x:v>
      </x:c>
      <x:c r="G76" s="4" t="str">
        <x:v>验证重新认证新单号</x:v>
      </x:c>
      <x:c r="H76" s="4" t="str">
        <x:v>重新认证新单号</x:v>
      </x:c>
      <x:c r="I76" s="4" t="str">
        <x:v>1. 已登录平台管理员账号
2. 同一账号先后提交两次认证申请</x:v>
      </x:c>
      <x:c r="J76" s="4" t="str">
        <x:v>1. 进入「主播审核-03」页
2. 查看重新认证新单号</x:v>
      </x:c>
      <x:c r="K76" s="4" t="str">
        <x:v>两次申请单号不同且历史申请保留</x:v>
      </x:c>
      <x:c r="L76" s="4" t="str"/>
      <x:c r="M76" s="4" t="str">
        <x:v>未测</x:v>
      </x:c>
      <x:c r="N76" s="4" t="str"/>
      <x:c r="O76" s="4" t="str">
        <x:v>1. 来源：MainBasis/统一需求文档.md；A-admin-host-review-002
2. 场景：SC-3793d3ae2f8639</x:v>
      </x:c>
    </x:row>
    <x:row r="77" ht="54" customHeight="1">
      <x:c r="A77" s="4" t="n">
        <x:v>76</x:v>
      </x:c>
      <x:c r="B77" s="4" t="str">
        <x:v>ADMIN-0076</x:v>
      </x:c>
      <x:c r="C77" s="4" t="str">
        <x:v>M05 公会申请、认证、组织与权限</x:v>
      </x:c>
      <x:c r="D77" s="4" t="str">
        <x:v>主播审核-03（平台管理员视角）</x:v>
      </x:c>
      <x:c r="E77" s="4" t="str">
        <x:v>功能需求</x:v>
      </x:c>
      <x:c r="F77" s="4" t="str">
        <x:v>P2</x:v>
      </x:c>
      <x:c r="G77" s="4" t="str">
        <x:v>验证认证状态待审核回显</x:v>
      </x:c>
      <x:c r="H77" s="4" t="str">
        <x:v>认证状态待审核回显</x:v>
      </x:c>
      <x:c r="I77" s="4" t="str">
        <x:v>1. 已登录平台管理员账号
2. 所选记录认证状态为待审核</x:v>
      </x:c>
      <x:c r="J77" s="4" t="str">
        <x:v>1. 进入「主播审核-03」页
2. 查看认证状态待审核回显</x:v>
      </x:c>
      <x:c r="K77" s="4" t="str">
        <x:v>认证状态显示待审核</x:v>
      </x:c>
      <x:c r="L77" s="4" t="str"/>
      <x:c r="M77" s="4" t="str">
        <x:v>未测</x:v>
      </x:c>
      <x:c r="N77" s="4" t="str"/>
      <x:c r="O77" s="4" t="str">
        <x:v>1. 来源：MainBasis/统一需求文档.md；A-admin-host-review-005
2. 场景：SC-20ebc335abd46f</x:v>
      </x:c>
    </x:row>
    <x:row r="78" ht="54" customHeight="1">
      <x:c r="A78" s="4" t="n">
        <x:v>77</x:v>
      </x:c>
      <x:c r="B78" s="4" t="str">
        <x:v>ADMIN-0077</x:v>
      </x:c>
      <x:c r="C78" s="4" t="str">
        <x:v>M05 公会申请、认证、组织与权限</x:v>
      </x:c>
      <x:c r="D78" s="4" t="str">
        <x:v>主播审核-03（平台管理员视角）</x:v>
      </x:c>
      <x:c r="E78" s="4" t="str">
        <x:v>功能需求</x:v>
      </x:c>
      <x:c r="F78" s="4" t="str">
        <x:v>P2</x:v>
      </x:c>
      <x:c r="G78" s="4" t="str">
        <x:v>验证认证状态已通过回显</x:v>
      </x:c>
      <x:c r="H78" s="4" t="str">
        <x:v>认证状态已通过回显</x:v>
      </x:c>
      <x:c r="I78" s="4" t="str">
        <x:v>1. 已登录平台管理员账号
2. 所选记录认证状态为已通过</x:v>
      </x:c>
      <x:c r="J78" s="4" t="str">
        <x:v>1. 进入「主播审核-03」页
2. 查看认证状态已通过回显</x:v>
      </x:c>
      <x:c r="K78" s="4" t="str">
        <x:v>认证状态显示已通过</x:v>
      </x:c>
      <x:c r="L78" s="4" t="str"/>
      <x:c r="M78" s="4" t="str">
        <x:v>未测</x:v>
      </x:c>
      <x:c r="N78" s="4" t="str"/>
      <x:c r="O78" s="4" t="str">
        <x:v>1. 来源：MainBasis/统一需求文档.md；A-admin-host-review-005
2. 场景：SC-5e14ec1d8e42fc</x:v>
      </x:c>
    </x:row>
    <x:row r="79" ht="54" customHeight="1">
      <x:c r="A79" s="4" t="n">
        <x:v>78</x:v>
      </x:c>
      <x:c r="B79" s="4" t="str">
        <x:v>ADMIN-0078</x:v>
      </x:c>
      <x:c r="C79" s="4" t="str">
        <x:v>M05 公会申请、认证、组织与权限</x:v>
      </x:c>
      <x:c r="D79" s="4" t="str">
        <x:v>主播审核-03（平台管理员视角）</x:v>
      </x:c>
      <x:c r="E79" s="4" t="str">
        <x:v>功能需求</x:v>
      </x:c>
      <x:c r="F79" s="4" t="str">
        <x:v>P2</x:v>
      </x:c>
      <x:c r="G79" s="4" t="str">
        <x:v>验证认证状态已驳回回显</x:v>
      </x:c>
      <x:c r="H79" s="4" t="str">
        <x:v>认证状态已驳回回显</x:v>
      </x:c>
      <x:c r="I79" s="4" t="str">
        <x:v>1. 已登录平台管理员账号
2. 所选记录认证状态为已驳回</x:v>
      </x:c>
      <x:c r="J79" s="4" t="str">
        <x:v>1. 进入「主播审核-03」页
2. 查看认证状态已驳回回显</x:v>
      </x:c>
      <x:c r="K79" s="4" t="str">
        <x:v>认证状态显示已驳回</x:v>
      </x:c>
      <x:c r="L79" s="4" t="str"/>
      <x:c r="M79" s="4" t="str">
        <x:v>未测</x:v>
      </x:c>
      <x:c r="N79" s="4" t="str"/>
      <x:c r="O79" s="4" t="str">
        <x:v>1. 来源：MainBasis/统一需求文档.md；A-admin-host-review-005
2. 场景：SC-02f8effb1171a2</x:v>
      </x:c>
    </x:row>
    <x:row r="80" ht="54" customHeight="1">
      <x:c r="A80" s="4" t="n">
        <x:v>79</x:v>
      </x:c>
      <x:c r="B80" s="4" t="str">
        <x:v>ADMIN-0079</x:v>
      </x:c>
      <x:c r="C80" s="4" t="str">
        <x:v>M05 公会申请、认证、组织与权限</x:v>
      </x:c>
      <x:c r="D80" s="4" t="str">
        <x:v>主播审核-03（平台管理员视角）</x:v>
      </x:c>
      <x:c r="E80" s="4" t="str">
        <x:v>功能需求</x:v>
      </x:c>
      <x:c r="F80" s="4" t="str">
        <x:v>P1</x:v>
      </x:c>
      <x:c r="G80" s="4" t="str">
        <x:v>验证平台审核前不是主播</x:v>
      </x:c>
      <x:c r="H80" s="4" t="str">
        <x:v>平台审核前不是主播</x:v>
      </x:c>
      <x:c r="I80" s="4" t="str">
        <x:v>1. 已登录平台管理员账号
2. 用户认证申请待平台审核</x:v>
      </x:c>
      <x:c r="J80" s="4" t="str">
        <x:v>1. 进入「主播审核-03」页
2. 查看平台审核前不是主播</x:v>
      </x:c>
      <x:c r="K80" s="4" t="str">
        <x:v>该申请人仍没有主播身份</x:v>
      </x:c>
      <x:c r="L80" s="4" t="str"/>
      <x:c r="M80" s="4" t="str">
        <x:v>未测</x:v>
      </x:c>
      <x:c r="N80" s="4" t="str"/>
      <x:c r="O80" s="4" t="str">
        <x:v>1. 来源：MainBasis/统一需求文档.md；A-admin-host-review-007
2. 场景：SC-27fdc2f53ec801</x:v>
      </x:c>
    </x:row>
    <x:row r="81" ht="54" customHeight="1">
      <x:c r="A81" s="4" t="n">
        <x:v>80</x:v>
      </x:c>
      <x:c r="B81" s="4" t="str">
        <x:v>ADMIN-0080</x:v>
      </x:c>
      <x:c r="C81" s="4" t="str">
        <x:v>M05 公会申请、认证、组织与权限</x:v>
      </x:c>
      <x:c r="D81" s="4" t="str">
        <x:v>审核详情（平台管理员视角）</x:v>
      </x:c>
      <x:c r="E81" s="4" t="str">
        <x:v>功能需求</x:v>
      </x:c>
      <x:c r="F81" s="4" t="str">
        <x:v>P2</x:v>
      </x:c>
      <x:c r="G81" s="4" t="str">
        <x:v>验证认证材料回显</x:v>
      </x:c>
      <x:c r="H81" s="4" t="str">
        <x:v>认证材料回显</x:v>
      </x:c>
      <x:c r="I81" s="4" t="str">
        <x:v>1. 已登录平台管理员账号
2. 所选对象存在，已记录该对象的认证材料值</x:v>
      </x:c>
      <x:c r="J81" s="4" t="str">
        <x:v>1. 进入「审核详情」页
2. 查看认证材料回显</x:v>
      </x:c>
      <x:c r="K81" s="4" t="str">
        <x:v>「认证材料」内容与所选对象的该项资料一致</x:v>
      </x:c>
      <x:c r="L81" s="4" t="str"/>
      <x:c r="M81" s="4" t="str">
        <x:v>未测</x:v>
      </x:c>
      <x:c r="N81" s="4" t="str"/>
      <x:c r="O81" s="4" t="str">
        <x:v>1. 来源：MainBasis/统一需求文档.md；A-admin-host-review-detail-003
2. 场景：SC-818fa621969c0a</x:v>
      </x:c>
    </x:row>
    <x:row r="82" ht="54" customHeight="1">
      <x:c r="A82" s="4" t="n">
        <x:v>81</x:v>
      </x:c>
      <x:c r="B82" s="4" t="str">
        <x:v>ADMIN-0081</x:v>
      </x:c>
      <x:c r="C82" s="4" t="str">
        <x:v>M05 公会申请、认证、组织与权限</x:v>
      </x:c>
      <x:c r="D82" s="4" t="str">
        <x:v>审核详情（平台管理员视角）</x:v>
      </x:c>
      <x:c r="E82" s="4" t="str">
        <x:v>功能需求</x:v>
      </x:c>
      <x:c r="F82" s="4" t="str">
        <x:v>P2</x:v>
      </x:c>
      <x:c r="G82" s="4" t="str">
        <x:v>验证审核结果回显</x:v>
      </x:c>
      <x:c r="H82" s="4" t="str">
        <x:v>审核结果回显</x:v>
      </x:c>
      <x:c r="I82" s="4" t="str">
        <x:v>1. 已登录平台管理员账号
2. 所选对象存在，已记录该对象的审核结果值</x:v>
      </x:c>
      <x:c r="J82" s="4" t="str">
        <x:v>1. 进入「审核详情」页
2. 查看审核结果回显</x:v>
      </x:c>
      <x:c r="K82" s="4" t="str">
        <x:v>「审核结果」内容与所选对象的该项资料一致</x:v>
      </x:c>
      <x:c r="L82" s="4" t="str"/>
      <x:c r="M82" s="4" t="str">
        <x:v>未测</x:v>
      </x:c>
      <x:c r="N82" s="4" t="str"/>
      <x:c r="O82" s="4" t="str">
        <x:v>1. 来源：MainBasis/统一需求文档.md；A-admin-host-review-detail-004
2. 场景：SC-cfbfbfc3f4c8ce</x:v>
      </x:c>
    </x:row>
    <x:row r="83" ht="54" customHeight="1">
      <x:c r="A83" s="4" t="n">
        <x:v>82</x:v>
      </x:c>
      <x:c r="B83" s="4" t="str">
        <x:v>ADMIN-0082</x:v>
      </x:c>
      <x:c r="C83" s="4" t="str">
        <x:v>M05 公会申请、认证、组织与权限</x:v>
      </x:c>
      <x:c r="D83" s="4" t="str">
        <x:v>审核详情（平台管理员视角）</x:v>
      </x:c>
      <x:c r="E83" s="4" t="str">
        <x:v>功能需求</x:v>
      </x:c>
      <x:c r="F83" s="4" t="str">
        <x:v>P2</x:v>
      </x:c>
      <x:c r="G83" s="4" t="str">
        <x:v>验证直播权限回显</x:v>
      </x:c>
      <x:c r="H83" s="4" t="str">
        <x:v>直播权限回显</x:v>
      </x:c>
      <x:c r="I83" s="4" t="str">
        <x:v>1. 已登录平台管理员账号
2. 所选对象存在，已记录该对象的直播权限值</x:v>
      </x:c>
      <x:c r="J83" s="4" t="str">
        <x:v>1. 进入「审核详情」页
2. 查看直播权限回显</x:v>
      </x:c>
      <x:c r="K83" s="4" t="str">
        <x:v>「直播权限」内容与所选对象的该项资料一致</x:v>
      </x:c>
      <x:c r="L83" s="4" t="str"/>
      <x:c r="M83" s="4" t="str">
        <x:v>未测</x:v>
      </x:c>
      <x:c r="N83" s="4" t="str"/>
      <x:c r="O83" s="4" t="str">
        <x:v>1. 来源：MainBasis/统一需求文档.md；A-admin-host-review-detail-005
2. 场景：SC-6355894b20f8bc</x:v>
      </x:c>
    </x:row>
    <x:row r="84" ht="54" customHeight="1">
      <x:c r="A84" s="4" t="n">
        <x:v>83</x:v>
      </x:c>
      <x:c r="B84" s="4" t="str">
        <x:v>ADMIN-0083</x:v>
      </x:c>
      <x:c r="C84" s="4" t="str">
        <x:v>M05 公会申请、认证、组织与权限</x:v>
      </x:c>
      <x:c r="D84" s="4" t="str">
        <x:v>审核详情（平台管理员视角）</x:v>
      </x:c>
      <x:c r="E84" s="4" t="str">
        <x:v>功能需求</x:v>
      </x:c>
      <x:c r="F84" s="4" t="str">
        <x:v>P2</x:v>
      </x:c>
      <x:c r="G84" s="4" t="str">
        <x:v>验证公会管理权限回显</x:v>
      </x:c>
      <x:c r="H84" s="4" t="str">
        <x:v>公会管理权限回显</x:v>
      </x:c>
      <x:c r="I84" s="4" t="str">
        <x:v>1. 已登录平台管理员账号
2. 所选对象存在，已记录该对象的公会管理权限值</x:v>
      </x:c>
      <x:c r="J84" s="4" t="str">
        <x:v>1. 进入「审核详情」页
2. 查看公会管理权限回显</x:v>
      </x:c>
      <x:c r="K84" s="4" t="str">
        <x:v>「公会管理权限」内容与所选对象的该项资料一致</x:v>
      </x:c>
      <x:c r="L84" s="4" t="str"/>
      <x:c r="M84" s="4" t="str">
        <x:v>未测</x:v>
      </x:c>
      <x:c r="N84" s="4" t="str"/>
      <x:c r="O84" s="4" t="str">
        <x:v>1. 来源：MainBasis/统一需求文档.md；A-admin-host-review-detail-006
2. 场景：SC-1056f1ce56f368</x:v>
      </x:c>
    </x:row>
    <x:row r="85" ht="54" customHeight="1">
      <x:c r="A85" s="4" t="n">
        <x:v>84</x:v>
      </x:c>
      <x:c r="B85" s="4" t="str">
        <x:v>ADMIN-0084</x:v>
      </x:c>
      <x:c r="C85" s="4" t="str">
        <x:v>M05 公会申请、认证、组织与权限</x:v>
      </x:c>
      <x:c r="D85" s="4" t="str">
        <x:v>审核详情（平台管理员视角）</x:v>
      </x:c>
      <x:c r="E85" s="4" t="str">
        <x:v>异常用例</x:v>
      </x:c>
      <x:c r="F85" s="4" t="str">
        <x:v>P1</x:v>
      </x:c>
      <x:c r="G85" s="4" t="str">
        <x:v>验证驳回原因缺失限制</x:v>
      </x:c>
      <x:c r="H85" s="4" t="str">
        <x:v>驳回原因缺失限制</x:v>
      </x:c>
      <x:c r="I85" s="4" t="str">
        <x:v>1. 已登录平台管理员账号
2. 其他必填字段为合法值</x:v>
      </x:c>
      <x:c r="J85" s="4" t="str">
        <x:v>1. 进入「审核详情」页
2. 清空「驳回原因」
3. 点击「确认」</x:v>
      </x:c>
      <x:c r="K85" s="4" t="str">
        <x:v>驳回原因未填写，无法确认</x:v>
      </x:c>
      <x:c r="L85" s="4" t="str"/>
      <x:c r="M85" s="4" t="str">
        <x:v>未测</x:v>
      </x:c>
      <x:c r="N85" s="4" t="str"/>
      <x:c r="O85" s="4" t="str">
        <x:v>1. 来源：MainBasis/统一需求文档.md；A-admin-host-review-detail-007
2. 场景：SC-d3cff317cca212</x:v>
      </x:c>
    </x:row>
    <x:row r="86" ht="68" customHeight="1">
      <x:c r="A86" s="4" t="n">
        <x:v>85</x:v>
      </x:c>
      <x:c r="B86" s="4" t="str">
        <x:v>ADMIN-0085</x:v>
      </x:c>
      <x:c r="C86" s="4" t="str">
        <x:v>M05 公会申请、认证、组织与权限</x:v>
      </x:c>
      <x:c r="D86" s="4" t="str">
        <x:v>审核详情（平台管理员视角）</x:v>
      </x:c>
      <x:c r="E86" s="4" t="str">
        <x:v>功能需求</x:v>
      </x:c>
      <x:c r="F86" s="4" t="str">
        <x:v>P1</x:v>
      </x:c>
      <x:c r="G86" s="4" t="str">
        <x:v>验证认证驳回通知申请人</x:v>
      </x:c>
      <x:c r="H86" s="4" t="str">
        <x:v>认证驳回通知申请人</x:v>
      </x:c>
      <x:c r="I86" s="4" t="str">
        <x:v>1. 已登录平台管理员账号
2. 当前申请待审核</x:v>
      </x:c>
      <x:c r="J86" s="4" t="str">
        <x:v>1. 进入「审核详情」页
2. 选择驳回
3. 填写驳回原因
4. 确认</x:v>
      </x:c>
      <x:c r="K86" s="4" t="str">
        <x:v>审核结果为已驳回并向申请人发送该原因</x:v>
      </x:c>
      <x:c r="L86" s="4" t="str"/>
      <x:c r="M86" s="4" t="str">
        <x:v>未测</x:v>
      </x:c>
      <x:c r="N86" s="4" t="str"/>
      <x:c r="O86" s="4" t="str">
        <x:v>1. 来源：MainBasis/统一需求文档.md；A-admin-host-review-detail-007
2. 场景：SC-effaadd325ae7e</x:v>
      </x:c>
    </x:row>
    <x:row r="87" ht="54" customHeight="1">
      <x:c r="A87" s="4" t="n">
        <x:v>86</x:v>
      </x:c>
      <x:c r="B87" s="4" t="str">
        <x:v>ADMIN-0086</x:v>
      </x:c>
      <x:c r="C87" s="4" t="str">
        <x:v>M05 公会申请、认证、组织与权限</x:v>
      </x:c>
      <x:c r="D87" s="4" t="str">
        <x:v>审核详情（平台管理员视角）</x:v>
      </x:c>
      <x:c r="E87" s="4" t="str">
        <x:v>功能需求</x:v>
      </x:c>
      <x:c r="F87" s="4" t="str">
        <x:v>P1</x:v>
      </x:c>
      <x:c r="G87" s="4" t="str">
        <x:v>验证认证已通过不能再处理</x:v>
      </x:c>
      <x:c r="H87" s="4" t="str">
        <x:v>认证已通过不能再处理</x:v>
      </x:c>
      <x:c r="I87" s="4" t="str">
        <x:v>1. 已登录平台管理员账号
2. 当前申请为已通过</x:v>
      </x:c>
      <x:c r="J87" s="4" t="str">
        <x:v>1. 进入「审核详情」页
2. 查看认证已通过不能再处理</x:v>
      </x:c>
      <x:c r="K87" s="4" t="str">
        <x:v>申请结果只读，不可再次提交审核</x:v>
      </x:c>
      <x:c r="L87" s="4" t="str"/>
      <x:c r="M87" s="4" t="str">
        <x:v>未测</x:v>
      </x:c>
      <x:c r="N87" s="4" t="str"/>
      <x:c r="O87" s="4" t="str">
        <x:v>1. 来源：MainBasis/统一需求文档.md；A-admin-host-review-detail-009
2. 场景：SC-98ab62c37e0f1a</x:v>
      </x:c>
    </x:row>
    <x:row r="88" ht="54" customHeight="1">
      <x:c r="A88" s="4" t="n">
        <x:v>87</x:v>
      </x:c>
      <x:c r="B88" s="4" t="str">
        <x:v>ADMIN-0087</x:v>
      </x:c>
      <x:c r="C88" s="4" t="str">
        <x:v>M05 公会申请、认证、组织与权限</x:v>
      </x:c>
      <x:c r="D88" s="4" t="str">
        <x:v>审核详情（平台管理员视角）</x:v>
      </x:c>
      <x:c r="E88" s="4" t="str">
        <x:v>功能需求</x:v>
      </x:c>
      <x:c r="F88" s="4" t="str">
        <x:v>P1</x:v>
      </x:c>
      <x:c r="G88" s="4" t="str">
        <x:v>验证认证已驳回不能再处理</x:v>
      </x:c>
      <x:c r="H88" s="4" t="str">
        <x:v>认证已驳回不能再处理</x:v>
      </x:c>
      <x:c r="I88" s="4" t="str">
        <x:v>1. 已登录平台管理员账号
2. 当前申请为已驳回</x:v>
      </x:c>
      <x:c r="J88" s="4" t="str">
        <x:v>1. 进入「审核详情」页
2. 查看认证已驳回不能再处理</x:v>
      </x:c>
      <x:c r="K88" s="4" t="str">
        <x:v>申请结果只读，不可再次提交审核</x:v>
      </x:c>
      <x:c r="L88" s="4" t="str"/>
      <x:c r="M88" s="4" t="str">
        <x:v>未测</x:v>
      </x:c>
      <x:c r="N88" s="4" t="str"/>
      <x:c r="O88" s="4" t="str">
        <x:v>1. 来源：MainBasis/统一需求文档.md；A-admin-host-review-detail-009
2. 场景：SC-e2fe89c354a72c</x:v>
      </x:c>
    </x:row>
    <x:row r="89" ht="54" customHeight="1">
      <x:c r="A89" s="4" t="n">
        <x:v>88</x:v>
      </x:c>
      <x:c r="B89" s="4" t="str">
        <x:v>ADMIN-0088</x:v>
      </x:c>
      <x:c r="C89" s="4" t="str">
        <x:v>M05 公会申请、认证、组织与权限</x:v>
      </x:c>
      <x:c r="D89" s="4" t="str">
        <x:v>审核详情（平台管理员视角）</x:v>
      </x:c>
      <x:c r="E89" s="4" t="str">
        <x:v>功能需求</x:v>
      </x:c>
      <x:c r="F89" s="4" t="str">
        <x:v>P1</x:v>
      </x:c>
      <x:c r="G89" s="4" t="str">
        <x:v>验证认证材料保留提交快照</x:v>
      </x:c>
      <x:c r="H89" s="4" t="str">
        <x:v>认证材料保留提交快照</x:v>
      </x:c>
      <x:c r="I89" s="4" t="str">
        <x:v>1. 已登录平台管理员账号
2. 申请时认证资料已记录，用户随后修改个人资料</x:v>
      </x:c>
      <x:c r="J89" s="4" t="str">
        <x:v>1. 进入「审核详情」页
2. 查看认证材料保留提交快照</x:v>
      </x:c>
      <x:c r="K89" s="4" t="str">
        <x:v>本申请认证材料仍为提交时快照</x:v>
      </x:c>
      <x:c r="L89" s="4" t="str"/>
      <x:c r="M89" s="4" t="str">
        <x:v>未测</x:v>
      </x:c>
      <x:c r="N89" s="4" t="str"/>
      <x:c r="O89" s="4" t="str">
        <x:v>1. 来源：MainBasis/统一需求文档.md；A-admin-host-review-detail-003
2. 场景：SC-817c8156883cd0</x:v>
      </x:c>
    </x:row>
    <x:row r="90" ht="54" customHeight="1">
      <x:c r="A90" s="4" t="n">
        <x:v>89</x:v>
      </x:c>
      <x:c r="B90" s="4" t="str">
        <x:v>ADMIN-0089</x:v>
      </x:c>
      <x:c r="C90" s="4" t="str">
        <x:v>M05 公会申请、认证、组织与权限</x:v>
      </x:c>
      <x:c r="D90" s="4" t="str">
        <x:v>审核详情（平台管理员视角）</x:v>
      </x:c>
      <x:c r="E90" s="4" t="str">
        <x:v>功能需求</x:v>
      </x:c>
      <x:c r="F90" s="4" t="str">
        <x:v>P2</x:v>
      </x:c>
      <x:c r="G90" s="4" t="str">
        <x:v>验证申请单 / 申请人资料对应</x:v>
      </x:c>
      <x:c r="H90" s="4" t="str">
        <x:v>申请单 / 申请人资料对应</x:v>
      </x:c>
      <x:c r="I90" s="4" t="str">
        <x:v>1. 已登录平台管理员账号
2. 已选中一条已存在记录，已记录其申请单 / 申请人原始值</x:v>
      </x:c>
      <x:c r="J90" s="4" t="str">
        <x:v>1. 进入「审核详情」页
2. 查看申请单 / 申请人资料对应</x:v>
      </x:c>
      <x:c r="K90" s="4" t="str">
        <x:v>页面申请单 / 申请人与所选记录一致：只读，与列表所选申请一致</x:v>
      </x:c>
      <x:c r="L90" s="4" t="str"/>
      <x:c r="M90" s="4" t="str">
        <x:v>未测</x:v>
      </x:c>
      <x:c r="N90" s="4" t="str"/>
      <x:c r="O90" s="4" t="str">
        <x:v>1. 来源：MainBasis/统一需求文档.md；A-admin-host-review-detail-002
2. 场景：SC-4023f97383ee35</x:v>
      </x:c>
    </x:row>
    <x:row r="91" ht="54" customHeight="1">
      <x:c r="A91" s="4" t="n">
        <x:v>90</x:v>
      </x:c>
      <x:c r="B91" s="4" t="str">
        <x:v>ADMIN-0090</x:v>
      </x:c>
      <x:c r="C91" s="4" t="str">
        <x:v>M05 公会申请、认证、组织与权限</x:v>
      </x:c>
      <x:c r="D91" s="4" t="str">
        <x:v>公会列表-11（平台管理员视角）</x:v>
      </x:c>
      <x:c r="E91" s="4" t="str">
        <x:v>功能需求</x:v>
      </x:c>
      <x:c r="F91" s="4" t="str">
        <x:v>P2</x:v>
      </x:c>
      <x:c r="G91" s="4" t="str">
        <x:v>验证公会长回显</x:v>
      </x:c>
      <x:c r="H91" s="4" t="str">
        <x:v>公会长回显</x:v>
      </x:c>
      <x:c r="I91" s="4" t="str">
        <x:v>1. 已登录平台管理员账号
2. 所选对象存在，已记录该对象的公会长值</x:v>
      </x:c>
      <x:c r="J91" s="4" t="str">
        <x:v>1. 进入「公会列表-11」页
2. 查看公会长回显</x:v>
      </x:c>
      <x:c r="K91" s="4" t="str">
        <x:v>「公会长」内容与所选对象的该项资料一致</x:v>
      </x:c>
      <x:c r="L91" s="4" t="str"/>
      <x:c r="M91" s="4" t="str">
        <x:v>未测</x:v>
      </x:c>
      <x:c r="N91" s="4" t="str"/>
      <x:c r="O91" s="4" t="str">
        <x:v>1. 来源：MainBasis/统一需求文档.md；A-admin-guild-list-003
2. 场景：SC-192ad78a120d5e</x:v>
      </x:c>
    </x:row>
    <x:row r="92" ht="68" customHeight="1">
      <x:c r="A92" s="4" t="n">
        <x:v>91</x:v>
      </x:c>
      <x:c r="B92" s="4" t="str">
        <x:v>ADMIN-0091</x:v>
      </x:c>
      <x:c r="C92" s="4" t="str">
        <x:v>M05 公会申请、认证、组织与权限</x:v>
      </x:c>
      <x:c r="D92" s="4" t="str">
        <x:v>公会列表-11（平台管理员视角）</x:v>
      </x:c>
      <x:c r="E92" s="4" t="str">
        <x:v>功能需求</x:v>
      </x:c>
      <x:c r="F92" s="4" t="str">
        <x:v>P1</x:v>
      </x:c>
      <x:c r="G92" s="4" t="str">
        <x:v>验证只停用公会长账号</x:v>
      </x:c>
      <x:c r="H92" s="4" t="str">
        <x:v>只停用公会长账号</x:v>
      </x:c>
      <x:c r="I92" s="4" t="str">
        <x:v>1. 已登录平台管理员账号
2. 公会启用，公会长账号启用，主播正常在会</x:v>
      </x:c>
      <x:c r="J92" s="4" t="str">
        <x:v>1. 进入「公会列表-11」页
2. 切换公会长账号为停用
3. 确认</x:v>
      </x:c>
      <x:c r="K92" s="4" t="str">
        <x:v>仅公会长账号停用，公会与主播状态保持不变</x:v>
      </x:c>
      <x:c r="L92" s="4" t="str">
        <x:v>FLOW-AEA28E22</x:v>
      </x:c>
      <x:c r="M92" s="4" t="str">
        <x:v>未测</x:v>
      </x:c>
      <x:c r="N92" s="4" t="str"/>
      <x:c r="O92" s="4" t="str">
        <x:v>1. 来源：MainBasis/统一需求文档.md；A-admin-guild-list-007、D-SYS-071
2. 场景：SC-29c17f3fcd1d09
3. 状态转换：ST-19D13657CB0F</x:v>
      </x:c>
    </x:row>
    <x:row r="93" ht="68" customHeight="1">
      <x:c r="A93" s="4" t="n">
        <x:v>92</x:v>
      </x:c>
      <x:c r="B93" s="4" t="str">
        <x:v>ADMIN-0092</x:v>
      </x:c>
      <x:c r="C93" s="4" t="str">
        <x:v>M05 公会申请、认证、组织与权限</x:v>
      </x:c>
      <x:c r="D93" s="4" t="str">
        <x:v>公会列表-11（平台管理员视角）</x:v>
      </x:c>
      <x:c r="E93" s="4" t="str">
        <x:v>功能需求</x:v>
      </x:c>
      <x:c r="F93" s="4" t="str">
        <x:v>P1</x:v>
      </x:c>
      <x:c r="G93" s="4" t="str">
        <x:v>验证停用公会保留管理账号自身状态</x:v>
      </x:c>
      <x:c r="H93" s="4" t="str">
        <x:v>停用公会保留管理账号自身状态</x:v>
      </x:c>
      <x:c r="I93" s="4" t="str">
        <x:v>1. 已登录平台管理员账号
2. 公会启用，两个管理账号自身均启用</x:v>
      </x:c>
      <x:c r="J93" s="4" t="str">
        <x:v>1. 进入「公会列表-11」页
2. 停用公会
3. 确认</x:v>
      </x:c>
      <x:c r="K93" s="4" t="str">
        <x:v>所有管理账号不可登录，但自身状态仍为启用</x:v>
      </x:c>
      <x:c r="L93" s="4" t="str">
        <x:v>FLOW-A69D5528</x:v>
      </x:c>
      <x:c r="M93" s="4" t="str">
        <x:v>未测</x:v>
      </x:c>
      <x:c r="N93" s="4" t="str"/>
      <x:c r="O93" s="4" t="str">
        <x:v>1. 来源：MainBasis/统一需求文档.md；A-admin-guild-list-006
2. 场景：SC-44c581b30a9d35
3. 状态转换：ST-9BA0FDC3D12B</x:v>
      </x:c>
    </x:row>
    <x:row r="94" ht="82" customHeight="1">
      <x:c r="A94" s="4" t="n">
        <x:v>93</x:v>
      </x:c>
      <x:c r="B94" s="4" t="str">
        <x:v>ADMIN-0093</x:v>
      </x:c>
      <x:c r="C94" s="4" t="str">
        <x:v>M05 公会申请、认证、组织与权限</x:v>
      </x:c>
      <x:c r="D94" s="4" t="str">
        <x:v>公会列表-11（平台管理员视角）</x:v>
      </x:c>
      <x:c r="E94" s="4" t="str">
        <x:v>功能需求</x:v>
      </x:c>
      <x:c r="F94" s="4" t="str">
        <x:v>P1</x:v>
      </x:c>
      <x:c r="G94" s="4" t="str">
        <x:v>验证解散公会未结收益0</x:v>
      </x:c>
      <x:c r="H94" s="4" t="str">
        <x:v>解散公会未结收益0</x:v>
      </x:c>
      <x:c r="I94" s="4" t="str">
        <x:v>1. 已登录平台管理员账号
2. 公会尚未解散
3. 全部主播未结收益合计0</x:v>
      </x:c>
      <x:c r="J94" s="4" t="str">
        <x:v>1. 进入「公会列表-11」页
2. 点击解散
3. 确认解散</x:v>
      </x:c>
      <x:c r="K94" s="4" t="str">
        <x:v>公会状态为已解散</x:v>
      </x:c>
      <x:c r="L94" s="4" t="str">
        <x:v>FLOW-A69D5528</x:v>
      </x:c>
      <x:c r="M94" s="4" t="str">
        <x:v>未测</x:v>
      </x:c>
      <x:c r="N94" s="4" t="str"/>
      <x:c r="O94" s="4" t="str">
        <x:v>1. 来源：MainBasis/统一需求文档.md；A-admin-guild-list-008、A-admin-guild-detail-012、A-admin-guild-settlement-record-008
2. 场景：SC-c836acdbbe1723
3. 状态转换：ST-5EBDFB9C4C54</x:v>
      </x:c>
    </x:row>
    <x:row r="95" ht="82" customHeight="1">
      <x:c r="A95" s="4" t="n">
        <x:v>94</x:v>
      </x:c>
      <x:c r="B95" s="4" t="str">
        <x:v>ADMIN-0094</x:v>
      </x:c>
      <x:c r="C95" s="4" t="str">
        <x:v>M05 公会申请、认证、组织与权限</x:v>
      </x:c>
      <x:c r="D95" s="4" t="str">
        <x:v>公会列表-11（平台管理员视角）</x:v>
      </x:c>
      <x:c r="E95" s="4" t="str">
        <x:v>功能需求</x:v>
      </x:c>
      <x:c r="F95" s="4" t="str">
        <x:v>P1</x:v>
      </x:c>
      <x:c r="G95" s="4" t="str">
        <x:v>验证解散公会未结收益1</x:v>
      </x:c>
      <x:c r="H95" s="4" t="str">
        <x:v>解散公会未结收益1</x:v>
      </x:c>
      <x:c r="I95" s="4" t="str">
        <x:v>1. 已登录平台管理员账号
2. 公会尚未解散
3. 全部主播未结收益合计1</x:v>
      </x:c>
      <x:c r="J95" s="4" t="str">
        <x:v>1. 进入「公会列表-11」页
2. 点击解散</x:v>
      </x:c>
      <x:c r="K95" s="4" t="str">
        <x:v>公会不能解散</x:v>
      </x:c>
      <x:c r="L95" s="4" t="str">
        <x:v>FLOW-A69D5528</x:v>
      </x:c>
      <x:c r="M95" s="4" t="str">
        <x:v>未测</x:v>
      </x:c>
      <x:c r="N95" s="4" t="str"/>
      <x:c r="O95" s="4" t="str">
        <x:v>1. 来源：MainBasis/统一需求文档.md；A-admin-guild-list-008、A-admin-guild-detail-012、A-admin-guild-settlement-record-008
2. 场景：SC-b98d726cc8744a
3. 状态转换：ST-5EBDFB9C4C54</x:v>
      </x:c>
    </x:row>
    <x:row r="96" ht="54" customHeight="1">
      <x:c r="A96" s="4" t="n">
        <x:v>95</x:v>
      </x:c>
      <x:c r="B96" s="4" t="str">
        <x:v>ADMIN-0095</x:v>
      </x:c>
      <x:c r="C96" s="4" t="str">
        <x:v>M05 公会申请、认证、组织与权限</x:v>
      </x:c>
      <x:c r="D96" s="4" t="str">
        <x:v>公会列表-11（平台管理员视角）</x:v>
      </x:c>
      <x:c r="E96" s="4" t="str">
        <x:v>功能需求</x:v>
      </x:c>
      <x:c r="F96" s="4" t="str">
        <x:v>P1</x:v>
      </x:c>
      <x:c r="G96" s="4" t="str">
        <x:v>验证已解散公会为终态</x:v>
      </x:c>
      <x:c r="H96" s="4" t="str">
        <x:v>已解散公会为终态</x:v>
      </x:c>
      <x:c r="I96" s="4" t="str">
        <x:v>1. 已登录平台管理员账号
2. 公会已解散</x:v>
      </x:c>
      <x:c r="J96" s="4" t="str">
        <x:v>1. 进入「公会列表-11」页
2. 查看已解散公会为终态</x:v>
      </x:c>
      <x:c r="K96" s="4" t="str">
        <x:v>不提供重新启用该公会的操作</x:v>
      </x:c>
      <x:c r="L96" s="4" t="str"/>
      <x:c r="M96" s="4" t="str">
        <x:v>未测</x:v>
      </x:c>
      <x:c r="N96" s="4" t="str"/>
      <x:c r="O96" s="4" t="str">
        <x:v>1. 来源：MainBasis/统一需求文档.md；A-admin-guild-list-005
2. 场景：SC-94f0c8392e3ad1</x:v>
      </x:c>
    </x:row>
    <x:row r="97" ht="54" customHeight="1">
      <x:c r="A97" s="4" t="n">
        <x:v>96</x:v>
      </x:c>
      <x:c r="B97" s="4" t="str">
        <x:v>ADMIN-0096</x:v>
      </x:c>
      <x:c r="C97" s="4" t="str">
        <x:v>M05 公会申请、认证、组织与权限</x:v>
      </x:c>
      <x:c r="D97" s="4" t="str">
        <x:v>公会列表-11（平台管理员视角）</x:v>
      </x:c>
      <x:c r="E97" s="4" t="str">
        <x:v>功能需求</x:v>
      </x:c>
      <x:c r="F97" s="4" t="str">
        <x:v>P2</x:v>
      </x:c>
      <x:c r="G97" s="4" t="str">
        <x:v>验证主播人数资料对应</x:v>
      </x:c>
      <x:c r="H97" s="4" t="str">
        <x:v>主播人数资料对应</x:v>
      </x:c>
      <x:c r="I97" s="4" t="str">
        <x:v>1. 已登录平台管理员账号
2. 已选中一条已存在记录，已记录其主播人数原始值</x:v>
      </x:c>
      <x:c r="J97" s="4" t="str">
        <x:v>1. 进入「公会列表-11」页
2. 查看主播人数资料对应</x:v>
      </x:c>
      <x:c r="K97" s="4" t="str">
        <x:v>页面主播人数与所选记录一致：当前公会有效主播关系去重计数</x:v>
      </x:c>
      <x:c r="L97" s="4" t="str"/>
      <x:c r="M97" s="4" t="str">
        <x:v>未测</x:v>
      </x:c>
      <x:c r="N97" s="4" t="str"/>
      <x:c r="O97" s="4" t="str">
        <x:v>1. 来源：MainBasis/统一需求文档.md；A-admin-guild-list-004
2. 场景：SC-ceabac432ec4f1</x:v>
      </x:c>
    </x:row>
    <x:row r="98" ht="54" customHeight="1">
      <x:c r="A98" s="4" t="n">
        <x:v>97</x:v>
      </x:c>
      <x:c r="B98" s="4" t="str">
        <x:v>ADMIN-0097</x:v>
      </x:c>
      <x:c r="C98" s="4" t="str">
        <x:v>M05 公会申请、认证、组织与权限</x:v>
      </x:c>
      <x:c r="D98" s="4" t="str">
        <x:v>公会列表-11（平台管理员视角）</x:v>
      </x:c>
      <x:c r="E98" s="4" t="str">
        <x:v>功能需求</x:v>
      </x:c>
      <x:c r="F98" s="4" t="str">
        <x:v>P1</x:v>
      </x:c>
      <x:c r="G98" s="4" t="str">
        <x:v>验证公会停用解除主播关系</x:v>
      </x:c>
      <x:c r="H98" s="4" t="str">
        <x:v>公会停用解除主播关系</x:v>
      </x:c>
      <x:c r="I98" s="4" t="str">
        <x:v>1. 已登录平台管理员账号
2. 公会刚被平台停用，旗下主播此前正在直播</x:v>
      </x:c>
      <x:c r="J98" s="4" t="str">
        <x:v>1. 进入「公会列表-11」页
2. 查看公会停用解除主播关系</x:v>
      </x:c>
      <x:c r="K98" s="4" t="str">
        <x:v>公会主播关系解除且主播失去身份、停止开播</x:v>
      </x:c>
      <x:c r="L98" s="4" t="str"/>
      <x:c r="M98" s="4" t="str">
        <x:v>未测</x:v>
      </x:c>
      <x:c r="N98" s="4" t="str"/>
      <x:c r="O98" s="4" t="str">
        <x:v>1. 来源：MainBasis/统一需求文档.md；D-SYS-066、A-admin-guild-list-006
2. 场景：SC-c149402d68ee37</x:v>
      </x:c>
    </x:row>
    <x:row r="99" ht="54" customHeight="1">
      <x:c r="A99" s="4" t="n">
        <x:v>98</x:v>
      </x:c>
      <x:c r="B99" s="4" t="str">
        <x:v>ADMIN-0098</x:v>
      </x:c>
      <x:c r="C99" s="4" t="str">
        <x:v>M05 公会申请、认证、组织与权限</x:v>
      </x:c>
      <x:c r="D99" s="4" t="str">
        <x:v>公会列表-11（平台管理员视角）</x:v>
      </x:c>
      <x:c r="E99" s="4" t="str">
        <x:v>功能需求</x:v>
      </x:c>
      <x:c r="F99" s="4" t="str">
        <x:v>P1</x:v>
      </x:c>
      <x:c r="G99" s="4" t="str">
        <x:v>验证新增公会详情</x:v>
      </x:c>
      <x:c r="H99" s="4" t="str">
        <x:v>新增公会详情</x:v>
      </x:c>
      <x:c r="I99" s="4" t="str">
        <x:v>1. 已登录平台管理员账号
2. 后台账号有公会维护权限</x:v>
      </x:c>
      <x:c r="J99" s="4" t="str">
        <x:v>1. 进入「公会列表-11」页
2. 点击新建</x:v>
      </x:c>
      <x:c r="K99" s="4" t="str">
        <x:v>进入公会详情编辑态</x:v>
      </x:c>
      <x:c r="L99" s="4" t="str"/>
      <x:c r="M99" s="4" t="str">
        <x:v>未测</x:v>
      </x:c>
      <x:c r="N99" s="4" t="str"/>
      <x:c r="O99" s="4" t="str">
        <x:v>1. 来源：MainBasis/统一需求文档.md；A-admin-guild-list-009
2. 场景：SC-10d20ff2623d18</x:v>
      </x:c>
    </x:row>
    <x:row r="100" ht="54" customHeight="1">
      <x:c r="A100" s="4" t="n">
        <x:v>99</x:v>
      </x:c>
      <x:c r="B100" s="4" t="str">
        <x:v>ADMIN-0099</x:v>
      </x:c>
      <x:c r="C100" s="4" t="str">
        <x:v>M05 公会申请、认证、组织与权限</x:v>
      </x:c>
      <x:c r="D100" s="4" t="str">
        <x:v>公会列表-11（平台管理员视角）</x:v>
      </x:c>
      <x:c r="E100" s="4" t="str">
        <x:v>功能需求</x:v>
      </x:c>
      <x:c r="F100" s="4" t="str">
        <x:v>P1</x:v>
      </x:c>
      <x:c r="G100" s="4" t="str">
        <x:v>验证公会列表身份</x:v>
      </x:c>
      <x:c r="H100" s="4" t="str">
        <x:v>公会列表身份</x:v>
      </x:c>
      <x:c r="I100" s="4" t="str">
        <x:v>1. 已登录平台管理员账号
2. 存在两个ID不同的公会，已记录各自名称与Logo</x:v>
      </x:c>
      <x:c r="J100" s="4" t="str">
        <x:v>1. 进入「公会列表-11」页
2. 查看公会列表身份</x:v>
      </x:c>
      <x:c r="K100" s="4" t="str">
        <x:v>每行ID、名称和Logo对应同一个公会</x:v>
      </x:c>
      <x:c r="L100" s="4" t="str"/>
      <x:c r="M100" s="4" t="str">
        <x:v>未测</x:v>
      </x:c>
      <x:c r="N100" s="4" t="str"/>
      <x:c r="O100" s="4" t="str">
        <x:v>1. 来源：MainBasis/统一需求文档.md；A-admin-guild-list-002
2. 场景：SC-664b24ae388b77</x:v>
      </x:c>
    </x:row>
    <x:row r="101" ht="68" customHeight="1">
      <x:c r="A101" s="4" t="n">
        <x:v>100</x:v>
      </x:c>
      <x:c r="B101" s="4" t="str">
        <x:v>ADMIN-0100</x:v>
      </x:c>
      <x:c r="C101" s="4" t="str">
        <x:v>M05 公会申请、认证、组织与权限</x:v>
      </x:c>
      <x:c r="D101" s="4" t="str">
        <x:v>公会详情（平台管理员视角）</x:v>
      </x:c>
      <x:c r="E101" s="4" t="str">
        <x:v>功能需求</x:v>
      </x:c>
      <x:c r="F101" s="4" t="str">
        <x:v>P2</x:v>
      </x:c>
      <x:c r="G101" s="4" t="str">
        <x:v>验证主播列表回显</x:v>
      </x:c>
      <x:c r="H101" s="4" t="str">
        <x:v>主播列表回显</x:v>
      </x:c>
      <x:c r="I101" s="4" t="str">
        <x:v>1. 已登录平台管理员账号
2. 所选对象存在，已记录该对象的主播列表值</x:v>
      </x:c>
      <x:c r="J101" s="4" t="str">
        <x:v>1. 进入「公会详情」页
2. 查看主播列表回显</x:v>
      </x:c>
      <x:c r="K101" s="4" t="str">
        <x:v>「主播列表」内容与所选对象的该项资料一致</x:v>
      </x:c>
      <x:c r="L101" s="4" t="str"/>
      <x:c r="M101" s="4" t="str">
        <x:v>未测</x:v>
      </x:c>
      <x:c r="N101" s="4" t="str"/>
      <x:c r="O101" s="4" t="str">
        <x:v>1. 来源：MainBasis/统一需求文档.md；A-admin-guild-detail-007、A-admin-guild-detail-009、D-SYS-063
2. 场景：SC-0a2be1578c3f23</x:v>
      </x:c>
    </x:row>
    <x:row r="102" ht="54" customHeight="1">
      <x:c r="A102" s="4" t="n">
        <x:v>101</x:v>
      </x:c>
      <x:c r="B102" s="4" t="str">
        <x:v>ADMIN-0101</x:v>
      </x:c>
      <x:c r="C102" s="4" t="str">
        <x:v>M05 公会申请、认证、组织与权限</x:v>
      </x:c>
      <x:c r="D102" s="4" t="str">
        <x:v>公会详情（平台管理员视角）</x:v>
      </x:c>
      <x:c r="E102" s="4" t="str">
        <x:v>异常用例</x:v>
      </x:c>
      <x:c r="F102" s="4" t="str">
        <x:v>P1</x:v>
      </x:c>
      <x:c r="G102" s="4" t="str">
        <x:v>验证名称缺失限制</x:v>
      </x:c>
      <x:c r="H102" s="4" t="str">
        <x:v>名称缺失限制</x:v>
      </x:c>
      <x:c r="I102" s="4" t="str">
        <x:v>1. 已登录平台管理员账号
2. 其他必填字段为合法值</x:v>
      </x:c>
      <x:c r="J102" s="4" t="str">
        <x:v>1. 进入「公会详情」页
2. 清空「名称」
3. 点击「保存」</x:v>
      </x:c>
      <x:c r="K102" s="4" t="str">
        <x:v>名称未填写，无法保存</x:v>
      </x:c>
      <x:c r="L102" s="4" t="str"/>
      <x:c r="M102" s="4" t="str">
        <x:v>未测</x:v>
      </x:c>
      <x:c r="N102" s="4" t="str"/>
      <x:c r="O102" s="4" t="str">
        <x:v>1. 来源：MainBasis/统一需求文档.md；A-admin-guild-detail-003
2. 场景：SC-7627d211a08bf3</x:v>
      </x:c>
    </x:row>
    <x:row r="103" ht="54" customHeight="1">
      <x:c r="A103" s="4" t="n">
        <x:v>102</x:v>
      </x:c>
      <x:c r="B103" s="4" t="str">
        <x:v>ADMIN-0102</x:v>
      </x:c>
      <x:c r="C103" s="4" t="str">
        <x:v>M05 公会申请、认证、组织与权限</x:v>
      </x:c>
      <x:c r="D103" s="4" t="str">
        <x:v>公会详情（平台管理员视角）</x:v>
      </x:c>
      <x:c r="E103" s="4" t="str">
        <x:v>异常用例</x:v>
      </x:c>
      <x:c r="F103" s="4" t="str">
        <x:v>P1</x:v>
      </x:c>
      <x:c r="G103" s="4" t="str">
        <x:v>验证Logo缺失限制</x:v>
      </x:c>
      <x:c r="H103" s="4" t="str">
        <x:v>Logo缺失限制</x:v>
      </x:c>
      <x:c r="I103" s="4" t="str">
        <x:v>1. 已登录平台管理员账号
2. 其他必填字段为合法值</x:v>
      </x:c>
      <x:c r="J103" s="4" t="str">
        <x:v>1. 进入「公会详情」页
2. 清空「Logo」
3. 点击「保存」</x:v>
      </x:c>
      <x:c r="K103" s="4" t="str">
        <x:v>Logo未填写，无法保存</x:v>
      </x:c>
      <x:c r="L103" s="4" t="str"/>
      <x:c r="M103" s="4" t="str">
        <x:v>未测</x:v>
      </x:c>
      <x:c r="N103" s="4" t="str"/>
      <x:c r="O103" s="4" t="str">
        <x:v>1. 来源：MainBasis/统一需求文档.md；A-admin-guild-detail-003
2. 场景：SC-5953aa761f7b9b</x:v>
      </x:c>
    </x:row>
    <x:row r="104" ht="54" customHeight="1">
      <x:c r="A104" s="4" t="n">
        <x:v>103</x:v>
      </x:c>
      <x:c r="B104" s="4" t="str">
        <x:v>ADMIN-0103</x:v>
      </x:c>
      <x:c r="C104" s="4" t="str">
        <x:v>M05 公会申请、认证、组织与权限</x:v>
      </x:c>
      <x:c r="D104" s="4" t="str">
        <x:v>公会详情（平台管理员视角）</x:v>
      </x:c>
      <x:c r="E104" s="4" t="str">
        <x:v>异常用例</x:v>
      </x:c>
      <x:c r="F104" s="4" t="str">
        <x:v>P1</x:v>
      </x:c>
      <x:c r="G104" s="4" t="str">
        <x:v>验证公会长缺失限制</x:v>
      </x:c>
      <x:c r="H104" s="4" t="str">
        <x:v>公会长缺失限制</x:v>
      </x:c>
      <x:c r="I104" s="4" t="str">
        <x:v>1. 已登录平台管理员账号
2. 其他必填字段为合法值</x:v>
      </x:c>
      <x:c r="J104" s="4" t="str">
        <x:v>1. 进入「公会详情」页
2. 清空「公会长」
3. 点击「保存」</x:v>
      </x:c>
      <x:c r="K104" s="4" t="str">
        <x:v>公会长未填写，无法保存</x:v>
      </x:c>
      <x:c r="L104" s="4" t="str"/>
      <x:c r="M104" s="4" t="str">
        <x:v>未测</x:v>
      </x:c>
      <x:c r="N104" s="4" t="str"/>
      <x:c r="O104" s="4" t="str">
        <x:v>1. 来源：MainBasis/统一需求文档.md；A-admin-guild-detail-004、D-SYS-062
2. 场景：SC-22befd53f20912</x:v>
      </x:c>
    </x:row>
    <x:row r="105" ht="54" customHeight="1">
      <x:c r="A105" s="4" t="n">
        <x:v>104</x:v>
      </x:c>
      <x:c r="B105" s="4" t="str">
        <x:v>ADMIN-0104</x:v>
      </x:c>
      <x:c r="C105" s="4" t="str">
        <x:v>M05 公会申请、认证、组织与权限</x:v>
      </x:c>
      <x:c r="D105" s="4" t="str">
        <x:v>公会详情（平台管理员视角）</x:v>
      </x:c>
      <x:c r="E105" s="4" t="str">
        <x:v>异常用例</x:v>
      </x:c>
      <x:c r="F105" s="4" t="str">
        <x:v>P1</x:v>
      </x:c>
      <x:c r="G105" s="4" t="str">
        <x:v>验证管理账号缺失限制</x:v>
      </x:c>
      <x:c r="H105" s="4" t="str">
        <x:v>管理账号缺失限制</x:v>
      </x:c>
      <x:c r="I105" s="4" t="str">
        <x:v>1. 已登录平台管理员账号
2. 其他必填字段为合法值</x:v>
      </x:c>
      <x:c r="J105" s="4" t="str">
        <x:v>1. 进入「公会详情」页
2. 清空「管理账号」
3. 点击「保存」</x:v>
      </x:c>
      <x:c r="K105" s="4" t="str">
        <x:v>管理账号未填写，无法保存</x:v>
      </x:c>
      <x:c r="L105" s="4" t="str"/>
      <x:c r="M105" s="4" t="str">
        <x:v>未测</x:v>
      </x:c>
      <x:c r="N105" s="4" t="str"/>
      <x:c r="O105" s="4" t="str">
        <x:v>1. 来源：MainBasis/统一需求文档.md；A-admin-guild-detail-004、D-SYS-062
2. 场景：SC-25a96fe02f17e7</x:v>
      </x:c>
    </x:row>
    <x:row r="106" ht="54" customHeight="1">
      <x:c r="A106" s="4" t="n">
        <x:v>105</x:v>
      </x:c>
      <x:c r="B106" s="4" t="str">
        <x:v>ADMIN-0105</x:v>
      </x:c>
      <x:c r="C106" s="4" t="str">
        <x:v>M05 公会申请、认证、组织与权限</x:v>
      </x:c>
      <x:c r="D106" s="4" t="str">
        <x:v>公会详情（平台管理员视角）</x:v>
      </x:c>
      <x:c r="E106" s="4" t="str">
        <x:v>异常用例</x:v>
      </x:c>
      <x:c r="F106" s="4" t="str">
        <x:v>P1</x:v>
      </x:c>
      <x:c r="G106" s="4" t="str">
        <x:v>验证初始密码缺失限制</x:v>
      </x:c>
      <x:c r="H106" s="4" t="str">
        <x:v>初始密码缺失限制</x:v>
      </x:c>
      <x:c r="I106" s="4" t="str">
        <x:v>1. 已登录平台管理员账号
2. 其他必填字段为合法值</x:v>
      </x:c>
      <x:c r="J106" s="4" t="str">
        <x:v>1. 进入「公会详情」页
2. 清空「初始密码」
3. 点击「创建」</x:v>
      </x:c>
      <x:c r="K106" s="4" t="str">
        <x:v>初始密码未填写，无法创建</x:v>
      </x:c>
      <x:c r="L106" s="4" t="str"/>
      <x:c r="M106" s="4" t="str">
        <x:v>未测</x:v>
      </x:c>
      <x:c r="N106" s="4" t="str"/>
      <x:c r="O106" s="4" t="str">
        <x:v>1. 来源：MainBasis/统一需求文档.md；A-admin-guild-detail-006
2. 场景：SC-344df635534bf3</x:v>
      </x:c>
    </x:row>
    <x:row r="107" ht="82" customHeight="1">
      <x:c r="A107" s="4" t="n">
        <x:v>106</x:v>
      </x:c>
      <x:c r="B107" s="4" t="str">
        <x:v>ADMIN-0106</x:v>
      </x:c>
      <x:c r="C107" s="4" t="str">
        <x:v>M05 公会申请、认证、组织与权限</x:v>
      </x:c>
      <x:c r="D107" s="4" t="str">
        <x:v>公会详情（平台管理员视角）</x:v>
      </x:c>
      <x:c r="E107" s="4" t="str">
        <x:v>异常用例</x:v>
      </x:c>
      <x:c r="F107" s="4" t="str">
        <x:v>P1</x:v>
      </x:c>
      <x:c r="G107" s="4" t="str">
        <x:v>验证公会管理账号全局重复</x:v>
      </x:c>
      <x:c r="H107" s="4" t="str">
        <x:v>公会管理账号全局重复</x:v>
      </x:c>
      <x:c r="I107" s="4" t="str">
        <x:v>1. 已登录平台管理员账号
2. 另一公会已使用账号guild100</x:v>
      </x:c>
      <x:c r="J107" s="4" t="str">
        <x:v>1. 进入「公会详情」页
2. 新建公会时填写管理账号guild100
3. 填写其他必填资料
4. 保存</x:v>
      </x:c>
      <x:c r="K107" s="4" t="str">
        <x:v>不创建重复管理账号</x:v>
      </x:c>
      <x:c r="L107" s="4" t="str"/>
      <x:c r="M107" s="4" t="str">
        <x:v>未测</x:v>
      </x:c>
      <x:c r="N107" s="4" t="str"/>
      <x:c r="O107" s="4" t="str">
        <x:v>1. 来源：MainBasis/统一需求文档.md；A-admin-guild-detail-004、D-SYS-062
2. 场景：SC-58d3cf21c517e2</x:v>
      </x:c>
    </x:row>
    <x:row r="108" ht="54" customHeight="1">
      <x:c r="A108" s="4" t="n">
        <x:v>107</x:v>
      </x:c>
      <x:c r="B108" s="4" t="str">
        <x:v>ADMIN-0107</x:v>
      </x:c>
      <x:c r="C108" s="4" t="str">
        <x:v>M05 公会申请、认证、组织与权限</x:v>
      </x:c>
      <x:c r="D108" s="4" t="str">
        <x:v>公会详情（平台管理员视角）</x:v>
      </x:c>
      <x:c r="E108" s="4" t="str">
        <x:v>功能需求</x:v>
      </x:c>
      <x:c r="F108" s="4" t="str">
        <x:v>P1</x:v>
      </x:c>
      <x:c r="G108" s="4" t="str">
        <x:v>验证已建公会ID不可修改</x:v>
      </x:c>
      <x:c r="H108" s="4" t="str">
        <x:v>已建公会ID不可修改</x:v>
      </x:c>
      <x:c r="I108" s="4" t="str">
        <x:v>1. 已登录平台管理员账号
2. 公会已创建</x:v>
      </x:c>
      <x:c r="J108" s="4" t="str">
        <x:v>1. 进入「公会详情」页
2. 查看已建公会ID不可修改</x:v>
      </x:c>
      <x:c r="K108" s="4" t="str">
        <x:v>公会ID只读</x:v>
      </x:c>
      <x:c r="L108" s="4" t="str"/>
      <x:c r="M108" s="4" t="str">
        <x:v>未测</x:v>
      </x:c>
      <x:c r="N108" s="4" t="str"/>
      <x:c r="O108" s="4" t="str">
        <x:v>1. 来源：MainBasis/统一需求文档.md；A-admin-guild-detail-002
2. 场景：SC-6a86fa4c1d0e92</x:v>
      </x:c>
    </x:row>
    <x:row r="109" ht="54" customHeight="1">
      <x:c r="A109" s="4" t="n">
        <x:v>108</x:v>
      </x:c>
      <x:c r="B109" s="4" t="str">
        <x:v>ADMIN-0108</x:v>
      </x:c>
      <x:c r="C109" s="4" t="str">
        <x:v>M05 公会申请、认证、组织与权限</x:v>
      </x:c>
      <x:c r="D109" s="4" t="str">
        <x:v>公会详情（平台管理员视角）</x:v>
      </x:c>
      <x:c r="E109" s="4" t="str">
        <x:v>功能需求</x:v>
      </x:c>
      <x:c r="F109" s="4" t="str">
        <x:v>P1</x:v>
      </x:c>
      <x:c r="G109" s="4" t="str">
        <x:v>验证公会启用账号启用登录条件</x:v>
      </x:c>
      <x:c r="H109" s="4" t="str">
        <x:v>公会启用账号启用登录条件</x:v>
      </x:c>
      <x:c r="I109" s="4" t="str">
        <x:v>1. 已登录平台管理员账号
2. 当前公会启用，管理账号启用</x:v>
      </x:c>
      <x:c r="J109" s="4" t="str">
        <x:v>1. 进入「公会详情」页
2. 查看公会启用账号启用登录条件</x:v>
      </x:c>
      <x:c r="K109" s="4" t="str">
        <x:v>该管理账号满足登录条件</x:v>
      </x:c>
      <x:c r="L109" s="4" t="str"/>
      <x:c r="M109" s="4" t="str">
        <x:v>未测</x:v>
      </x:c>
      <x:c r="N109" s="4" t="str"/>
      <x:c r="O109" s="4" t="str">
        <x:v>1. 来源：MainBasis/统一需求文档.md；A-admin-guild-detail-010
2. 场景：SC-6fc6591bd3a6cb</x:v>
      </x:c>
    </x:row>
    <x:row r="110" ht="54" customHeight="1">
      <x:c r="A110" s="4" t="n">
        <x:v>109</x:v>
      </x:c>
      <x:c r="B110" s="4" t="str">
        <x:v>ADMIN-0109</x:v>
      </x:c>
      <x:c r="C110" s="4" t="str">
        <x:v>M05 公会申请、认证、组织与权限</x:v>
      </x:c>
      <x:c r="D110" s="4" t="str">
        <x:v>公会详情（平台管理员视角）</x:v>
      </x:c>
      <x:c r="E110" s="4" t="str">
        <x:v>功能需求</x:v>
      </x:c>
      <x:c r="F110" s="4" t="str">
        <x:v>P1</x:v>
      </x:c>
      <x:c r="G110" s="4" t="str">
        <x:v>验证公会停用账号启用登录条件</x:v>
      </x:c>
      <x:c r="H110" s="4" t="str">
        <x:v>公会停用账号启用登录条件</x:v>
      </x:c>
      <x:c r="I110" s="4" t="str">
        <x:v>1. 已登录平台管理员账号
2. 当前公会停用，管理账号启用</x:v>
      </x:c>
      <x:c r="J110" s="4" t="str">
        <x:v>1. 进入「公会详情」页
2. 查看公会停用账号启用登录条件</x:v>
      </x:c>
      <x:c r="K110" s="4" t="str">
        <x:v>该管理账号不满足登录条件</x:v>
      </x:c>
      <x:c r="L110" s="4" t="str"/>
      <x:c r="M110" s="4" t="str">
        <x:v>未测</x:v>
      </x:c>
      <x:c r="N110" s="4" t="str"/>
      <x:c r="O110" s="4" t="str">
        <x:v>1. 来源：MainBasis/统一需求文档.md；A-admin-guild-detail-010
2. 场景：SC-721e133b526368</x:v>
      </x:c>
    </x:row>
    <x:row r="111" ht="54" customHeight="1">
      <x:c r="A111" s="4" t="n">
        <x:v>110</x:v>
      </x:c>
      <x:c r="B111" s="4" t="str">
        <x:v>ADMIN-0110</x:v>
      </x:c>
      <x:c r="C111" s="4" t="str">
        <x:v>M05 公会申请、认证、组织与权限</x:v>
      </x:c>
      <x:c r="D111" s="4" t="str">
        <x:v>公会详情（平台管理员视角）</x:v>
      </x:c>
      <x:c r="E111" s="4" t="str">
        <x:v>功能需求</x:v>
      </x:c>
      <x:c r="F111" s="4" t="str">
        <x:v>P1</x:v>
      </x:c>
      <x:c r="G111" s="4" t="str">
        <x:v>验证公会启用账号停用登录条件</x:v>
      </x:c>
      <x:c r="H111" s="4" t="str">
        <x:v>公会启用账号停用登录条件</x:v>
      </x:c>
      <x:c r="I111" s="4" t="str">
        <x:v>1. 已登录平台管理员账号
2. 当前公会启用，管理账号停用</x:v>
      </x:c>
      <x:c r="J111" s="4" t="str">
        <x:v>1. 进入「公会详情」页
2. 查看公会启用账号停用登录条件</x:v>
      </x:c>
      <x:c r="K111" s="4" t="str">
        <x:v>该管理账号不满足登录条件</x:v>
      </x:c>
      <x:c r="L111" s="4" t="str"/>
      <x:c r="M111" s="4" t="str">
        <x:v>未测</x:v>
      </x:c>
      <x:c r="N111" s="4" t="str"/>
      <x:c r="O111" s="4" t="str">
        <x:v>1. 来源：MainBasis/统一需求文档.md；A-admin-guild-detail-010
2. 场景：SC-d291a04e58b92b</x:v>
      </x:c>
    </x:row>
    <x:row r="112" ht="54" customHeight="1">
      <x:c r="A112" s="4" t="n">
        <x:v>111</x:v>
      </x:c>
      <x:c r="B112" s="4" t="str">
        <x:v>ADMIN-0111</x:v>
      </x:c>
      <x:c r="C112" s="4" t="str">
        <x:v>M05 公会申请、认证、组织与权限</x:v>
      </x:c>
      <x:c r="D112" s="4" t="str">
        <x:v>公会详情（平台管理员视角）</x:v>
      </x:c>
      <x:c r="E112" s="4" t="str">
        <x:v>功能需求</x:v>
      </x:c>
      <x:c r="F112" s="4" t="str">
        <x:v>P1</x:v>
      </x:c>
      <x:c r="G112" s="4" t="str">
        <x:v>验证重置密码不改管理账号</x:v>
      </x:c>
      <x:c r="H112" s="4" t="str">
        <x:v>重置密码不改管理账号</x:v>
      </x:c>
      <x:c r="I112" s="4" t="str">
        <x:v>1. 已登录平台管理员账号
2. 公会管理账号已建立</x:v>
      </x:c>
      <x:c r="J112" s="4" t="str">
        <x:v>1. 进入「公会详情」页
2. 重置管理账号密码
3. 确认</x:v>
      </x:c>
      <x:c r="K112" s="4" t="str">
        <x:v>管理账号保持原值，新密码立即生效</x:v>
      </x:c>
      <x:c r="L112" s="4" t="str"/>
      <x:c r="M112" s="4" t="str">
        <x:v>未测</x:v>
      </x:c>
      <x:c r="N112" s="4" t="str"/>
      <x:c r="O112" s="4" t="str">
        <x:v>1. 来源：MainBasis/统一需求文档.md；A-admin-guild-detail-012
2. 场景：SC-8e87e6bec76b87</x:v>
      </x:c>
    </x:row>
    <x:row r="113" ht="68" customHeight="1">
      <x:c r="A113" s="4" t="n">
        <x:v>112</x:v>
      </x:c>
      <x:c r="B113" s="4" t="str">
        <x:v>ADMIN-0112</x:v>
      </x:c>
      <x:c r="C113" s="4" t="str">
        <x:v>M05 公会申请、认证、组织与权限</x:v>
      </x:c>
      <x:c r="D113" s="4" t="str">
        <x:v>公会详情（平台管理员视角）</x:v>
      </x:c>
      <x:c r="E113" s="4" t="str">
        <x:v>功能需求</x:v>
      </x:c>
      <x:c r="F113" s="4" t="str">
        <x:v>P1</x:v>
      </x:c>
      <x:c r="G113" s="4" t="str">
        <x:v>验证公会详情主播隔离</x:v>
      </x:c>
      <x:c r="H113" s="4" t="str">
        <x:v>公会详情主播隔离</x:v>
      </x:c>
      <x:c r="I113" s="4" t="str">
        <x:v>1. 已登录平台管理员账号
2. 两个公会各有不同主播</x:v>
      </x:c>
      <x:c r="J113" s="4" t="str">
        <x:v>1. 进入「公会详情」页
2. 查看公会详情主播隔离</x:v>
      </x:c>
      <x:c r="K113" s="4" t="str">
        <x:v>当前详情只显示当前公会主播</x:v>
      </x:c>
      <x:c r="L113" s="4" t="str"/>
      <x:c r="M113" s="4" t="str">
        <x:v>未测</x:v>
      </x:c>
      <x:c r="N113" s="4" t="str"/>
      <x:c r="O113" s="4" t="str">
        <x:v>1. 来源：MainBasis/统一需求文档.md；A-admin-guild-detail-007、A-admin-guild-detail-009、D-SYS-063
2. 场景：SC-2677f0dd753cb6</x:v>
      </x:c>
    </x:row>
    <x:row r="114" ht="54" customHeight="1">
      <x:c r="A114" s="4" t="n">
        <x:v>113</x:v>
      </x:c>
      <x:c r="B114" s="4" t="str">
        <x:v>ADMIN-0113</x:v>
      </x:c>
      <x:c r="C114" s="4" t="str">
        <x:v>M05 公会申请、认证、组织与权限</x:v>
      </x:c>
      <x:c r="D114" s="4" t="str">
        <x:v>公会详情（平台管理员视角）</x:v>
      </x:c>
      <x:c r="E114" s="4" t="str">
        <x:v>功能需求</x:v>
      </x:c>
      <x:c r="F114" s="4" t="str">
        <x:v>P2</x:v>
      </x:c>
      <x:c r="G114" s="4" t="str">
        <x:v>验证公会长账号状态启用回显</x:v>
      </x:c>
      <x:c r="H114" s="4" t="str">
        <x:v>公会长账号状态启用回显</x:v>
      </x:c>
      <x:c r="I114" s="4" t="str">
        <x:v>1. 已登录平台管理员账号
2. 所选记录公会长账号状态为启用</x:v>
      </x:c>
      <x:c r="J114" s="4" t="str">
        <x:v>1. 进入「公会详情」页
2. 查看公会长账号状态启用回显</x:v>
      </x:c>
      <x:c r="K114" s="4" t="str">
        <x:v>公会长账号状态显示启用</x:v>
      </x:c>
      <x:c r="L114" s="4" t="str"/>
      <x:c r="M114" s="4" t="str">
        <x:v>未测</x:v>
      </x:c>
      <x:c r="N114" s="4" t="str"/>
      <x:c r="O114" s="4" t="str">
        <x:v>1. 来源：MainBasis/统一需求文档.md；A-admin-guild-detail-005
2. 场景：SC-96b4d69e979d0a</x:v>
      </x:c>
    </x:row>
    <x:row r="115" ht="54" customHeight="1">
      <x:c r="A115" s="4" t="n">
        <x:v>114</x:v>
      </x:c>
      <x:c r="B115" s="4" t="str">
        <x:v>ADMIN-0114</x:v>
      </x:c>
      <x:c r="C115" s="4" t="str">
        <x:v>M05 公会申请、认证、组织与权限</x:v>
      </x:c>
      <x:c r="D115" s="4" t="str">
        <x:v>公会详情（平台管理员视角）</x:v>
      </x:c>
      <x:c r="E115" s="4" t="str">
        <x:v>功能需求</x:v>
      </x:c>
      <x:c r="F115" s="4" t="str">
        <x:v>P2</x:v>
      </x:c>
      <x:c r="G115" s="4" t="str">
        <x:v>验证公会长账号状态停用回显</x:v>
      </x:c>
      <x:c r="H115" s="4" t="str">
        <x:v>公会长账号状态停用回显</x:v>
      </x:c>
      <x:c r="I115" s="4" t="str">
        <x:v>1. 已登录平台管理员账号
2. 所选记录公会长账号状态为停用</x:v>
      </x:c>
      <x:c r="J115" s="4" t="str">
        <x:v>1. 进入「公会详情」页
2. 查看公会长账号状态停用回显</x:v>
      </x:c>
      <x:c r="K115" s="4" t="str">
        <x:v>公会长账号状态显示停用</x:v>
      </x:c>
      <x:c r="L115" s="4" t="str"/>
      <x:c r="M115" s="4" t="str">
        <x:v>未测</x:v>
      </x:c>
      <x:c r="N115" s="4" t="str"/>
      <x:c r="O115" s="4" t="str">
        <x:v>1. 来源：MainBasis/统一需求文档.md；A-admin-guild-detail-005
2. 场景：SC-bbeb0f6b41bd7e</x:v>
      </x:c>
    </x:row>
    <x:row r="116" ht="54" customHeight="1">
      <x:c r="A116" s="4" t="n">
        <x:v>115</x:v>
      </x:c>
      <x:c r="B116" s="4" t="str">
        <x:v>ADMIN-0115</x:v>
      </x:c>
      <x:c r="C116" s="4" t="str">
        <x:v>M05 公会申请、认证、组织与权限</x:v>
      </x:c>
      <x:c r="D116" s="4" t="str">
        <x:v>公会详情（平台管理员视角）</x:v>
      </x:c>
      <x:c r="E116" s="4" t="str">
        <x:v>功能需求</x:v>
      </x:c>
      <x:c r="F116" s="4" t="str">
        <x:v>P1</x:v>
      </x:c>
      <x:c r="G116" s="4" t="str">
        <x:v>验证公会旗下收益合计</x:v>
      </x:c>
      <x:c r="H116" s="4" t="str">
        <x:v>公会旗下收益合计</x:v>
      </x:c>
      <x:c r="I116" s="4" t="str">
        <x:v>1. 已登录平台管理员账号
2. 当前公会两名主播历史收益100和200，其他公会收益500</x:v>
      </x:c>
      <x:c r="J116" s="4" t="str">
        <x:v>1. 进入「公会详情」页
2. 查看公会旗下收益合计</x:v>
      </x:c>
      <x:c r="K116" s="4" t="str">
        <x:v>累计收益300</x:v>
      </x:c>
      <x:c r="L116" s="4" t="str"/>
      <x:c r="M116" s="4" t="str">
        <x:v>未测</x:v>
      </x:c>
      <x:c r="N116" s="4" t="str"/>
      <x:c r="O116" s="4" t="str">
        <x:v>1. 来源：MainBasis/统一需求文档.md；A-admin-guild-detail-008
2. 场景：SC-8cbf5f49fd69ac</x:v>
      </x:c>
    </x:row>
    <x:row r="117" ht="54" customHeight="1">
      <x:c r="A117" s="4" t="n">
        <x:v>116</x:v>
      </x:c>
      <x:c r="B117" s="4" t="str">
        <x:v>ADMIN-0116</x:v>
      </x:c>
      <x:c r="C117" s="4" t="str">
        <x:v>M05 公会申请、认证、组织与权限</x:v>
      </x:c>
      <x:c r="D117" s="4" t="str">
        <x:v>公会详情（平台管理员视角）</x:v>
      </x:c>
      <x:c r="E117" s="4" t="str">
        <x:v>功能需求</x:v>
      </x:c>
      <x:c r="F117" s="4" t="str">
        <x:v>P1</x:v>
      </x:c>
      <x:c r="G117" s="4" t="str">
        <x:v>验证公会账号状态独立</x:v>
      </x:c>
      <x:c r="H117" s="4" t="str">
        <x:v>公会账号状态独立</x:v>
      </x:c>
      <x:c r="I117" s="4" t="str">
        <x:v>1. 已登录平台管理员账号
2. 公会启用且公会长账号启用</x:v>
      </x:c>
      <x:c r="J117" s="4" t="str">
        <x:v>1. 进入「公会详情」页
2. 停用公会长账号</x:v>
      </x:c>
      <x:c r="K117" s="4" t="str">
        <x:v>公会仍启用，仅账号状态改为停用</x:v>
      </x:c>
      <x:c r="L117" s="4" t="str"/>
      <x:c r="M117" s="4" t="str">
        <x:v>未测</x:v>
      </x:c>
      <x:c r="N117" s="4" t="str"/>
      <x:c r="O117" s="4" t="str">
        <x:v>1. 来源：MainBasis/统一需求文档.md；A-admin-guild-detail-011
2. 场景：SC-4f6b5fce004b33</x:v>
      </x:c>
    </x:row>
    <x:row r="118" ht="54" customHeight="1">
      <x:c r="A118" s="4" t="n">
        <x:v>117</x:v>
      </x:c>
      <x:c r="B118" s="4" t="str">
        <x:v>ADMIN-0117</x:v>
      </x:c>
      <x:c r="C118" s="4" t="str">
        <x:v>M05 公会申请、认证、组织与权限</x:v>
      </x:c>
      <x:c r="D118" s="4" t="str">
        <x:v>公会推荐-21（平台管理员视角）</x:v>
      </x:c>
      <x:c r="E118" s="4" t="str">
        <x:v>功能需求</x:v>
      </x:c>
      <x:c r="F118" s="4" t="str">
        <x:v>P2</x:v>
      </x:c>
      <x:c r="G118" s="4" t="str">
        <x:v>验证更新时间回显</x:v>
      </x:c>
      <x:c r="H118" s="4" t="str">
        <x:v>更新时间回显</x:v>
      </x:c>
      <x:c r="I118" s="4" t="str">
        <x:v>1. 已登录平台管理员账号
2. 所选对象存在，已记录该对象的更新时间值</x:v>
      </x:c>
      <x:c r="J118" s="4" t="str">
        <x:v>1. 进入「公会推荐-21」页
2. 查看更新时间回显</x:v>
      </x:c>
      <x:c r="K118" s="4" t="str">
        <x:v>「更新时间」内容与所选对象的该项资料一致</x:v>
      </x:c>
      <x:c r="L118" s="4" t="str"/>
      <x:c r="M118" s="4" t="str">
        <x:v>未测</x:v>
      </x:c>
      <x:c r="N118" s="4" t="str"/>
      <x:c r="O118" s="4" t="str">
        <x:v>1. 来源：MainBasis/统一需求文档.md；A-admin-guild-recommendation-004
2. 场景：SC-920f6350504ac2</x:v>
      </x:c>
    </x:row>
    <x:row r="119" ht="54" customHeight="1">
      <x:c r="A119" s="4" t="n">
        <x:v>118</x:v>
      </x:c>
      <x:c r="B119" s="4" t="str">
        <x:v>ADMIN-0118</x:v>
      </x:c>
      <x:c r="C119" s="4" t="str">
        <x:v>M05 公会申请、认证、组织与权限</x:v>
      </x:c>
      <x:c r="D119" s="4" t="str">
        <x:v>公会推荐-21（平台管理员视角）</x:v>
      </x:c>
      <x:c r="E119" s="4" t="str">
        <x:v>功能需求</x:v>
      </x:c>
      <x:c r="F119" s="4" t="str">
        <x:v>P1</x:v>
      </x:c>
      <x:c r="G119" s="4" t="str">
        <x:v>验证推荐高权重优先</x:v>
      </x:c>
      <x:c r="H119" s="4" t="str">
        <x:v>推荐高权重优先</x:v>
      </x:c>
      <x:c r="I119" s="4" t="str">
        <x:v>1. 已登录平台管理员账号
2. 两公会权重分别1和2</x:v>
      </x:c>
      <x:c r="J119" s="4" t="str">
        <x:v>1. 进入「公会推荐-21」页
2. 查看推荐高权重优先</x:v>
      </x:c>
      <x:c r="K119" s="4" t="str">
        <x:v>权重2公会在前</x:v>
      </x:c>
      <x:c r="L119" s="4" t="str"/>
      <x:c r="M119" s="4" t="str">
        <x:v>未测</x:v>
      </x:c>
      <x:c r="N119" s="4" t="str"/>
      <x:c r="O119" s="4" t="str">
        <x:v>1. 来源：MainBasis/统一需求文档.md；A-admin-guild-recommendation-003
2. 场景：SC-37926fdcbd524a</x:v>
      </x:c>
    </x:row>
    <x:row r="120" ht="68" customHeight="1">
      <x:c r="A120" s="4" t="n">
        <x:v>119</x:v>
      </x:c>
      <x:c r="B120" s="4" t="str">
        <x:v>ADMIN-0119</x:v>
      </x:c>
      <x:c r="C120" s="4" t="str">
        <x:v>M05 公会申请、认证、组织与权限</x:v>
      </x:c>
      <x:c r="D120" s="4" t="str">
        <x:v>公会推荐-21（平台管理员视角）</x:v>
      </x:c>
      <x:c r="E120" s="4" t="str">
        <x:v>功能需求</x:v>
      </x:c>
      <x:c r="F120" s="4" t="str">
        <x:v>P1</x:v>
      </x:c>
      <x:c r="G120" s="4" t="str">
        <x:v>验证移除推荐不改公会</x:v>
      </x:c>
      <x:c r="H120" s="4" t="str">
        <x:v>移除推荐不改公会</x:v>
      </x:c>
      <x:c r="I120" s="4" t="str">
        <x:v>1. 已登录平台管理员账号
2. 目标启用公会已被推荐</x:v>
      </x:c>
      <x:c r="J120" s="4" t="str">
        <x:v>1. 进入「公会推荐-21」页
2. 移除该推荐
3. 确认</x:v>
      </x:c>
      <x:c r="K120" s="4" t="str">
        <x:v>公会不再推荐，自身仍为启用</x:v>
      </x:c>
      <x:c r="L120" s="4" t="str"/>
      <x:c r="M120" s="4" t="str">
        <x:v>未测</x:v>
      </x:c>
      <x:c r="N120" s="4" t="str"/>
      <x:c r="O120" s="4" t="str">
        <x:v>1. 来源：MainBasis/统一需求文档.md；A-admin-guild-recommendation-005、A-admin-guild-recommendation-006
2. 场景：SC-622ef1e1afe2be</x:v>
      </x:c>
    </x:row>
    <x:row r="121" ht="54" customHeight="1">
      <x:c r="A121" s="4" t="n">
        <x:v>120</x:v>
      </x:c>
      <x:c r="B121" s="4" t="str">
        <x:v>ADMIN-0120</x:v>
      </x:c>
      <x:c r="C121" s="4" t="str">
        <x:v>M05 公会申请、认证、组织与权限</x:v>
      </x:c>
      <x:c r="D121" s="4" t="str">
        <x:v>公会推荐编辑（平台管理员视角）</x:v>
      </x:c>
      <x:c r="E121" s="4" t="str">
        <x:v>逻辑校验</x:v>
      </x:c>
      <x:c r="F121" s="4" t="str">
        <x:v>P1</x:v>
      </x:c>
      <x:c r="G121" s="4" t="str">
        <x:v>验证推荐权重空值</x:v>
      </x:c>
      <x:c r="H121" s="4" t="str">
        <x:v>推荐权重空值</x:v>
      </x:c>
      <x:c r="I121" s="4" t="str">
        <x:v>1. 已登录平台管理员账号
2. 已选择有效且未配置公会</x:v>
      </x:c>
      <x:c r="J121" s="4" t="str">
        <x:v>1. 进入「公会推荐编辑」页
2. 清空权重
3. 保存</x:v>
      </x:c>
      <x:c r="K121" s="4" t="str">
        <x:v>推荐不能保存</x:v>
      </x:c>
      <x:c r="L121" s="4" t="str"/>
      <x:c r="M121" s="4" t="str">
        <x:v>未测</x:v>
      </x:c>
      <x:c r="N121" s="4" t="str"/>
      <x:c r="O121" s="4" t="str">
        <x:v>1. 来源：MainBasis/统一需求文档.md；A-admin-guild-recommendation-detail-003
2. 场景：SC-d421bea2e36074</x:v>
      </x:c>
    </x:row>
    <x:row r="122" ht="54" customHeight="1">
      <x:c r="A122" s="4" t="n">
        <x:v>121</x:v>
      </x:c>
      <x:c r="B122" s="4" t="str">
        <x:v>ADMIN-0121</x:v>
      </x:c>
      <x:c r="C122" s="4" t="str">
        <x:v>M05 公会申请、认证、组织与权限</x:v>
      </x:c>
      <x:c r="D122" s="4" t="str">
        <x:v>公会推荐编辑（平台管理员视角）</x:v>
      </x:c>
      <x:c r="E122" s="4" t="str">
        <x:v>逻辑校验</x:v>
      </x:c>
      <x:c r="F122" s="4" t="str">
        <x:v>P1</x:v>
      </x:c>
      <x:c r="G122" s="4" t="str">
        <x:v>验证推荐权重0</x:v>
      </x:c>
      <x:c r="H122" s="4" t="str">
        <x:v>推荐权重0</x:v>
      </x:c>
      <x:c r="I122" s="4" t="str">
        <x:v>1. 已登录平台管理员账号
2. 已选择有效且未配置公会</x:v>
      </x:c>
      <x:c r="J122" s="4" t="str">
        <x:v>1. 进入「公会推荐编辑」页
2. 输入权重0
3. 保存</x:v>
      </x:c>
      <x:c r="K122" s="4" t="str">
        <x:v>推荐不能保存</x:v>
      </x:c>
      <x:c r="L122" s="4" t="str"/>
      <x:c r="M122" s="4" t="str">
        <x:v>未测</x:v>
      </x:c>
      <x:c r="N122" s="4" t="str"/>
      <x:c r="O122" s="4" t="str">
        <x:v>1. 来源：MainBasis/统一需求文档.md；A-admin-guild-recommendation-detail-003
2. 场景：SC-caf099ad423417</x:v>
      </x:c>
    </x:row>
    <x:row r="123" ht="54" customHeight="1">
      <x:c r="A123" s="4" t="n">
        <x:v>122</x:v>
      </x:c>
      <x:c r="B123" s="4" t="str">
        <x:v>ADMIN-0122</x:v>
      </x:c>
      <x:c r="C123" s="4" t="str">
        <x:v>M05 公会申请、认证、组织与权限</x:v>
      </x:c>
      <x:c r="D123" s="4" t="str">
        <x:v>公会推荐编辑（平台管理员视角）</x:v>
      </x:c>
      <x:c r="E123" s="4" t="str">
        <x:v>逻辑校验</x:v>
      </x:c>
      <x:c r="F123" s="4" t="str">
        <x:v>P1</x:v>
      </x:c>
      <x:c r="G123" s="4" t="str">
        <x:v>验证推荐权重-1</x:v>
      </x:c>
      <x:c r="H123" s="4" t="str">
        <x:v>推荐权重-1</x:v>
      </x:c>
      <x:c r="I123" s="4" t="str">
        <x:v>1. 已登录平台管理员账号
2. 已选择有效且未配置公会</x:v>
      </x:c>
      <x:c r="J123" s="4" t="str">
        <x:v>1. 进入「公会推荐编辑」页
2. 输入权重-1
3. 保存</x:v>
      </x:c>
      <x:c r="K123" s="4" t="str">
        <x:v>推荐不能保存</x:v>
      </x:c>
      <x:c r="L123" s="4" t="str"/>
      <x:c r="M123" s="4" t="str">
        <x:v>未测</x:v>
      </x:c>
      <x:c r="N123" s="4" t="str"/>
      <x:c r="O123" s="4" t="str">
        <x:v>1. 来源：MainBasis/统一需求文档.md；A-admin-guild-recommendation-detail-003
2. 场景：SC-bfc28b3a823b1e</x:v>
      </x:c>
    </x:row>
    <x:row r="124" ht="54" customHeight="1">
      <x:c r="A124" s="4" t="n">
        <x:v>123</x:v>
      </x:c>
      <x:c r="B124" s="4" t="str">
        <x:v>ADMIN-0123</x:v>
      </x:c>
      <x:c r="C124" s="4" t="str">
        <x:v>M05 公会申请、认证、组织与权限</x:v>
      </x:c>
      <x:c r="D124" s="4" t="str">
        <x:v>公会推荐编辑（平台管理员视角）</x:v>
      </x:c>
      <x:c r="E124" s="4" t="str">
        <x:v>逻辑校验</x:v>
      </x:c>
      <x:c r="F124" s="4" t="str">
        <x:v>P1</x:v>
      </x:c>
      <x:c r="G124" s="4" t="str">
        <x:v>验证推荐权重1</x:v>
      </x:c>
      <x:c r="H124" s="4" t="str">
        <x:v>推荐权重1</x:v>
      </x:c>
      <x:c r="I124" s="4" t="str">
        <x:v>1. 已登录平台管理员账号
2. 已选择有效且未配置公会</x:v>
      </x:c>
      <x:c r="J124" s="4" t="str">
        <x:v>1. 进入「公会推荐编辑」页
2. 输入权重1
3. 保存</x:v>
      </x:c>
      <x:c r="K124" s="4" t="str">
        <x:v>推荐保存成功</x:v>
      </x:c>
      <x:c r="L124" s="4" t="str"/>
      <x:c r="M124" s="4" t="str">
        <x:v>未测</x:v>
      </x:c>
      <x:c r="N124" s="4" t="str"/>
      <x:c r="O124" s="4" t="str">
        <x:v>1. 来源：MainBasis/统一需求文档.md；A-admin-guild-recommendation-detail-003
2. 场景：SC-a61b7813ba44a7</x:v>
      </x:c>
    </x:row>
    <x:row r="125" ht="54" customHeight="1">
      <x:c r="A125" s="4" t="n">
        <x:v>124</x:v>
      </x:c>
      <x:c r="B125" s="4" t="str">
        <x:v>ADMIN-0124</x:v>
      </x:c>
      <x:c r="C125" s="4" t="str">
        <x:v>M05 公会申请、认证、组织与权限</x:v>
      </x:c>
      <x:c r="D125" s="4" t="str">
        <x:v>公会推荐编辑（平台管理员视角）</x:v>
      </x:c>
      <x:c r="E125" s="4" t="str">
        <x:v>逻辑校验</x:v>
      </x:c>
      <x:c r="F125" s="4" t="str">
        <x:v>P1</x:v>
      </x:c>
      <x:c r="G125" s="4" t="str">
        <x:v>验证推荐权重1.5</x:v>
      </x:c>
      <x:c r="H125" s="4" t="str">
        <x:v>推荐权重1.5</x:v>
      </x:c>
      <x:c r="I125" s="4" t="str">
        <x:v>1. 已登录平台管理员账号
2. 已选择有效且未配置公会</x:v>
      </x:c>
      <x:c r="J125" s="4" t="str">
        <x:v>1. 进入「公会推荐编辑」页
2. 输入权重1.5
3. 保存</x:v>
      </x:c>
      <x:c r="K125" s="4" t="str">
        <x:v>推荐不能保存</x:v>
      </x:c>
      <x:c r="L125" s="4" t="str"/>
      <x:c r="M125" s="4" t="str">
        <x:v>未测</x:v>
      </x:c>
      <x:c r="N125" s="4" t="str"/>
      <x:c r="O125" s="4" t="str">
        <x:v>1. 来源：MainBasis/统一需求文档.md；A-admin-guild-recommendation-detail-003
2. 场景：SC-e281d481d18e73</x:v>
      </x:c>
    </x:row>
    <x:row r="126" ht="68" customHeight="1">
      <x:c r="A126" s="4" t="n">
        <x:v>125</x:v>
      </x:c>
      <x:c r="B126" s="4" t="str">
        <x:v>ADMIN-0125</x:v>
      </x:c>
      <x:c r="C126" s="4" t="str">
        <x:v>M05 公会申请、认证、组织与权限</x:v>
      </x:c>
      <x:c r="D126" s="4" t="str">
        <x:v>公会推荐编辑（平台管理员视角）</x:v>
      </x:c>
      <x:c r="E126" s="4" t="str">
        <x:v>异常用例</x:v>
      </x:c>
      <x:c r="F126" s="4" t="str">
        <x:v>P1</x:v>
      </x:c>
      <x:c r="G126" s="4" t="str">
        <x:v>验证推荐公会已配置</x:v>
      </x:c>
      <x:c r="H126" s="4" t="str">
        <x:v>推荐公会已配置</x:v>
      </x:c>
      <x:c r="I126" s="4" t="str">
        <x:v>1. 已登录平台管理员账号
2. 目标公会已配置</x:v>
      </x:c>
      <x:c r="J126" s="4" t="str">
        <x:v>1. 进入「公会推荐编辑」页
2. 新增推荐
3. 选择目标公会
4. 保存</x:v>
      </x:c>
      <x:c r="K126" s="4" t="str">
        <x:v>目标公会不能重复或无效配置</x:v>
      </x:c>
      <x:c r="L126" s="4" t="str"/>
      <x:c r="M126" s="4" t="str">
        <x:v>未测</x:v>
      </x:c>
      <x:c r="N126" s="4" t="str"/>
      <x:c r="O126" s="4" t="str">
        <x:v>1. 来源：MainBasis/统一需求文档.md；A-admin-guild-recommendation-detail-002、A-admin-guild-recommendation-002
2. 场景：SC-9d36fb3f7efde2</x:v>
      </x:c>
    </x:row>
    <x:row r="127" ht="68" customHeight="1">
      <x:c r="A127" s="4" t="n">
        <x:v>126</x:v>
      </x:c>
      <x:c r="B127" s="4" t="str">
        <x:v>ADMIN-0126</x:v>
      </x:c>
      <x:c r="C127" s="4" t="str">
        <x:v>M05 公会申请、认证、组织与权限</x:v>
      </x:c>
      <x:c r="D127" s="4" t="str">
        <x:v>公会推荐编辑（平台管理员视角）</x:v>
      </x:c>
      <x:c r="E127" s="4" t="str">
        <x:v>异常用例</x:v>
      </x:c>
      <x:c r="F127" s="4" t="str">
        <x:v>P1</x:v>
      </x:c>
      <x:c r="G127" s="4" t="str">
        <x:v>验证推荐公会无效</x:v>
      </x:c>
      <x:c r="H127" s="4" t="str">
        <x:v>推荐公会无效</x:v>
      </x:c>
      <x:c r="I127" s="4" t="str">
        <x:v>1. 已登录平台管理员账号
2. 目标公会无效</x:v>
      </x:c>
      <x:c r="J127" s="4" t="str">
        <x:v>1. 进入「公会推荐编辑」页
2. 新增推荐
3. 选择目标公会
4. 保存</x:v>
      </x:c>
      <x:c r="K127" s="4" t="str">
        <x:v>目标公会不能重复或无效配置</x:v>
      </x:c>
      <x:c r="L127" s="4" t="str"/>
      <x:c r="M127" s="4" t="str">
        <x:v>未测</x:v>
      </x:c>
      <x:c r="N127" s="4" t="str"/>
      <x:c r="O127" s="4" t="str">
        <x:v>1. 来源：MainBasis/统一需求文档.md；A-admin-guild-recommendation-detail-002、A-admin-guild-recommendation-002
2. 场景：SC-92088dc69a4a41</x:v>
      </x:c>
    </x:row>
    <x:row r="128" ht="54" customHeight="1">
      <x:c r="A128" s="4" t="n">
        <x:v>127</x:v>
      </x:c>
      <x:c r="B128" s="4" t="str">
        <x:v>ADMIN-0127</x:v>
      </x:c>
      <x:c r="C128" s="4" t="str">
        <x:v>M05 公会申请、认证、组织与权限</x:v>
      </x:c>
      <x:c r="D128" s="4" t="str">
        <x:v>公会推荐编辑（平台管理员视角）</x:v>
      </x:c>
      <x:c r="E128" s="4" t="str">
        <x:v>功能需求</x:v>
      </x:c>
      <x:c r="F128" s="4" t="str">
        <x:v>P1</x:v>
      </x:c>
      <x:c r="G128" s="4" t="str">
        <x:v>验证推荐同权重最近更新优先</x:v>
      </x:c>
      <x:c r="H128" s="4" t="str">
        <x:v>推荐同权重最近更新优先</x:v>
      </x:c>
      <x:c r="I128" s="4" t="str">
        <x:v>1. 已登录平台管理员账号
2. 两公会权重相同，更新时间不同</x:v>
      </x:c>
      <x:c r="J128" s="4" t="str">
        <x:v>1. 进入「公会推荐编辑」页
2. 查看推荐同权重最近更新优先</x:v>
      </x:c>
      <x:c r="K128" s="4" t="str">
        <x:v>最近更新公会在前</x:v>
      </x:c>
      <x:c r="L128" s="4" t="str"/>
      <x:c r="M128" s="4" t="str">
        <x:v>未测</x:v>
      </x:c>
      <x:c r="N128" s="4" t="str"/>
      <x:c r="O128" s="4" t="str">
        <x:v>1. 来源：MainBasis/统一需求文档.md；A-admin-guild-recommendation-detail-003
2. 场景：SC-be0b98de816f4d</x:v>
      </x:c>
    </x:row>
    <x:row r="129" ht="54" customHeight="1">
      <x:c r="A129" s="4" t="n">
        <x:v>128</x:v>
      </x:c>
      <x:c r="B129" s="4" t="str">
        <x:v>ADMIN-0128</x:v>
      </x:c>
      <x:c r="C129" s="4" t="str">
        <x:v>M05 公会申请、认证、组织与权限</x:v>
      </x:c>
      <x:c r="D129" s="4" t="str">
        <x:v>公会推荐编辑（平台管理员视角）</x:v>
      </x:c>
      <x:c r="E129" s="4" t="str">
        <x:v>功能需求</x:v>
      </x:c>
      <x:c r="F129" s="4" t="str">
        <x:v>P1</x:v>
      </x:c>
      <x:c r="G129" s="4" t="str">
        <x:v>验证保存有效推荐</x:v>
      </x:c>
      <x:c r="H129" s="4" t="str">
        <x:v>保存有效推荐</x:v>
      </x:c>
      <x:c r="I129" s="4" t="str">
        <x:v>1. 已登录平台管理员账号
2. 选择有效未配置公会、权重1</x:v>
      </x:c>
      <x:c r="J129" s="4" t="str">
        <x:v>1. 进入「公会推荐编辑」页
2. 点击保存</x:v>
      </x:c>
      <x:c r="K129" s="4" t="str">
        <x:v>推荐列表新增该公会</x:v>
      </x:c>
      <x:c r="L129" s="4" t="str"/>
      <x:c r="M129" s="4" t="str">
        <x:v>未测</x:v>
      </x:c>
      <x:c r="N129" s="4" t="str"/>
      <x:c r="O129" s="4" t="str">
        <x:v>1. 来源：MainBasis/统一需求文档.md；A-admin-guild-recommendation-detail-004
2. 场景：SC-e3f78898b1a084</x:v>
      </x:c>
    </x:row>
    <x:row r="130" ht="68" customHeight="1">
      <x:c r="A130" s="4" t="n">
        <x:v>129</x:v>
      </x:c>
      <x:c r="B130" s="4" t="str">
        <x:v>ADMIN-0129</x:v>
      </x:c>
      <x:c r="C130" s="4" t="str">
        <x:v>M08 礼物、道具、任务、邀请与运营配置</x:v>
      </x:c>
      <x:c r="D130" s="4" t="str">
        <x:v>普通礼物-12（平台管理员视角）</x:v>
      </x:c>
      <x:c r="E130" s="4" t="str">
        <x:v>功能需求</x:v>
      </x:c>
      <x:c r="F130" s="4" t="str">
        <x:v>P2</x:v>
      </x:c>
      <x:c r="G130" s="4" t="str">
        <x:v>验证排序权重回显</x:v>
      </x:c>
      <x:c r="H130" s="4" t="str">
        <x:v>排序权重回显</x:v>
      </x:c>
      <x:c r="I130" s="4" t="str">
        <x:v>1. 已登录平台管理员账号
2. 所选对象存在，已记录该对象的排序权重值</x:v>
      </x:c>
      <x:c r="J130" s="4" t="str">
        <x:v>1. 进入「普通礼物-12」页
2. 查看排序权重回显</x:v>
      </x:c>
      <x:c r="K130" s="4" t="str">
        <x:v>「排序权重」内容与所选对象的该项资料一致</x:v>
      </x:c>
      <x:c r="L130" s="4" t="str"/>
      <x:c r="M130" s="4" t="str">
        <x:v>未测</x:v>
      </x:c>
      <x:c r="N130" s="4" t="str"/>
      <x:c r="O130" s="4" t="str">
        <x:v>1. 来源：MainBasis/统一需求文档.md；A-admin-gift-list-006
2. 场景：SC-07ecfae1a6df7d</x:v>
      </x:c>
    </x:row>
    <x:row r="131" ht="68" customHeight="1">
      <x:c r="A131" s="4" t="n">
        <x:v>130</x:v>
      </x:c>
      <x:c r="B131" s="4" t="str">
        <x:v>ADMIN-0130</x:v>
      </x:c>
      <x:c r="C131" s="4" t="str">
        <x:v>M08 礼物、道具、任务、邀请与运营配置</x:v>
      </x:c>
      <x:c r="D131" s="4" t="str">
        <x:v>普通礼物-12（平台管理员视角）</x:v>
      </x:c>
      <x:c r="E131" s="4" t="str">
        <x:v>功能需求</x:v>
      </x:c>
      <x:c r="F131" s="4" t="str">
        <x:v>P1</x:v>
      </x:c>
      <x:c r="G131" s="4" t="str">
        <x:v>验证下架礼物历史收益不变</x:v>
      </x:c>
      <x:c r="H131" s="4" t="str">
        <x:v>下架礼物历史收益不变</x:v>
      </x:c>
      <x:c r="I131" s="4" t="str">
        <x:v>1. 已登录平台管理员账号
2. 礼物已有成功消费10金币，平台已下架</x:v>
      </x:c>
      <x:c r="J131" s="4" t="str">
        <x:v>1. 进入「普通礼物-12」页
2. 查看下架礼物历史收益不变</x:v>
      </x:c>
      <x:c r="K131" s="4" t="str">
        <x:v>历史消费与收益10金币仍保留</x:v>
      </x:c>
      <x:c r="L131" s="4" t="str"/>
      <x:c r="M131" s="4" t="str">
        <x:v>未测</x:v>
      </x:c>
      <x:c r="N131" s="4" t="str"/>
      <x:c r="O131" s="4" t="str">
        <x:v>1. 来源：MainBasis/统一需求文档.md；A-admin-gift-list-008、D-SYS-128
2. 场景：SC-7b347505ce5174</x:v>
      </x:c>
    </x:row>
    <x:row r="132" ht="68" customHeight="1">
      <x:c r="A132" s="4" t="n">
        <x:v>131</x:v>
      </x:c>
      <x:c r="B132" s="4" t="str">
        <x:v>ADMIN-0131</x:v>
      </x:c>
      <x:c r="C132" s="4" t="str">
        <x:v>M08 礼物、道具、任务、邀请与运营配置</x:v>
      </x:c>
      <x:c r="D132" s="4" t="str">
        <x:v>普通礼物-12（平台管理员视角）</x:v>
      </x:c>
      <x:c r="E132" s="4" t="str">
        <x:v>功能需求</x:v>
      </x:c>
      <x:c r="F132" s="4" t="str">
        <x:v>P2</x:v>
      </x:c>
      <x:c r="G132" s="4" t="str">
        <x:v>验证状态上架回显</x:v>
      </x:c>
      <x:c r="H132" s="4" t="str">
        <x:v>状态上架回显</x:v>
      </x:c>
      <x:c r="I132" s="4" t="str">
        <x:v>1. 已登录平台管理员账号
2. 所选记录状态为上架</x:v>
      </x:c>
      <x:c r="J132" s="4" t="str">
        <x:v>1. 进入「普通礼物-12」页
2. 查看状态上架回显</x:v>
      </x:c>
      <x:c r="K132" s="4" t="str">
        <x:v>状态显示上架</x:v>
      </x:c>
      <x:c r="L132" s="4" t="str"/>
      <x:c r="M132" s="4" t="str">
        <x:v>未测</x:v>
      </x:c>
      <x:c r="N132" s="4" t="str"/>
      <x:c r="O132" s="4" t="str">
        <x:v>1. 来源：MainBasis/统一需求文档.md；A-admin-gift-list-007
2. 场景：SC-f696b2d4a35159</x:v>
      </x:c>
    </x:row>
    <x:row r="133" ht="68" customHeight="1">
      <x:c r="A133" s="4" t="n">
        <x:v>132</x:v>
      </x:c>
      <x:c r="B133" s="4" t="str">
        <x:v>ADMIN-0132</x:v>
      </x:c>
      <x:c r="C133" s="4" t="str">
        <x:v>M08 礼物、道具、任务、邀请与运营配置</x:v>
      </x:c>
      <x:c r="D133" s="4" t="str">
        <x:v>普通礼物-12（平台管理员视角）</x:v>
      </x:c>
      <x:c r="E133" s="4" t="str">
        <x:v>功能需求</x:v>
      </x:c>
      <x:c r="F133" s="4" t="str">
        <x:v>P2</x:v>
      </x:c>
      <x:c r="G133" s="4" t="str">
        <x:v>验证状态下架回显</x:v>
      </x:c>
      <x:c r="H133" s="4" t="str">
        <x:v>状态下架回显</x:v>
      </x:c>
      <x:c r="I133" s="4" t="str">
        <x:v>1. 已登录平台管理员账号
2. 所选记录状态为下架</x:v>
      </x:c>
      <x:c r="J133" s="4" t="str">
        <x:v>1. 进入「普通礼物-12」页
2. 查看状态下架回显</x:v>
      </x:c>
      <x:c r="K133" s="4" t="str">
        <x:v>状态显示下架</x:v>
      </x:c>
      <x:c r="L133" s="4" t="str"/>
      <x:c r="M133" s="4" t="str">
        <x:v>未测</x:v>
      </x:c>
      <x:c r="N133" s="4" t="str"/>
      <x:c r="O133" s="4" t="str">
        <x:v>1. 来源：MainBasis/统一需求文档.md；A-admin-gift-list-007
2. 场景：SC-335aef59151a7d</x:v>
      </x:c>
    </x:row>
    <x:row r="134" ht="68" customHeight="1">
      <x:c r="A134" s="4" t="n">
        <x:v>133</x:v>
      </x:c>
      <x:c r="B134" s="4" t="str">
        <x:v>ADMIN-0133</x:v>
      </x:c>
      <x:c r="C134" s="4" t="str">
        <x:v>M08 礼物、道具、任务、邀请与运营配置</x:v>
      </x:c>
      <x:c r="D134" s="4" t="str">
        <x:v>普通礼物-12（平台管理员视角）</x:v>
      </x:c>
      <x:c r="E134" s="4" t="str">
        <x:v>功能需求</x:v>
      </x:c>
      <x:c r="F134" s="4" t="str">
        <x:v>P1</x:v>
      </x:c>
      <x:c r="G134" s="4" t="str">
        <x:v>验证上架确认</x:v>
      </x:c>
      <x:c r="H134" s="4" t="str">
        <x:v>上架确认</x:v>
      </x:c>
      <x:c r="I134" s="4" t="str">
        <x:v>1. 已登录平台管理员账号
2. 所选记录满足该操作业务条件</x:v>
      </x:c>
      <x:c r="J134" s="4" t="str">
        <x:v>1. 进入「普通礼物-12」页
2. 点击上架
3. 点击确认</x:v>
      </x:c>
      <x:c r="K134" s="4" t="str">
        <x:v>所选记录完成上架</x:v>
      </x:c>
      <x:c r="L134" s="4" t="str"/>
      <x:c r="M134" s="4" t="str">
        <x:v>未测</x:v>
      </x:c>
      <x:c r="N134" s="4" t="str"/>
      <x:c r="O134" s="4" t="str">
        <x:v>1. 来源：MainBasis/统一需求文档.md；A-admin-gift-list-009
2. 场景：SC-f0f00f5393680a</x:v>
      </x:c>
    </x:row>
    <x:row r="135" ht="68" customHeight="1">
      <x:c r="A135" s="4" t="n">
        <x:v>134</x:v>
      </x:c>
      <x:c r="B135" s="4" t="str">
        <x:v>ADMIN-0134</x:v>
      </x:c>
      <x:c r="C135" s="4" t="str">
        <x:v>M08 礼物、道具、任务、邀请与运营配置</x:v>
      </x:c>
      <x:c r="D135" s="4" t="str">
        <x:v>普通礼物-12（平台管理员视角）</x:v>
      </x:c>
      <x:c r="E135" s="4" t="str">
        <x:v>功能需求</x:v>
      </x:c>
      <x:c r="F135" s="4" t="str">
        <x:v>P1</x:v>
      </x:c>
      <x:c r="G135" s="4" t="str">
        <x:v>验证上架取消</x:v>
      </x:c>
      <x:c r="H135" s="4" t="str">
        <x:v>上架取消</x:v>
      </x:c>
      <x:c r="I135" s="4" t="str">
        <x:v>1. 已登录平台管理员账号
2. 所选记录满足该操作业务条件</x:v>
      </x:c>
      <x:c r="J135" s="4" t="str">
        <x:v>1. 进入「普通礼物-12」页
2. 点击上架
3. 点击取消</x:v>
      </x:c>
      <x:c r="K135" s="4" t="str">
        <x:v>所选记录保持操作前状态</x:v>
      </x:c>
      <x:c r="L135" s="4" t="str"/>
      <x:c r="M135" s="4" t="str">
        <x:v>未测</x:v>
      </x:c>
      <x:c r="N135" s="4" t="str"/>
      <x:c r="O135" s="4" t="str">
        <x:v>1. 来源：MainBasis/统一需求文档.md；A-admin-gift-list-009
2. 场景：SC-e7b02672ed44c3</x:v>
      </x:c>
    </x:row>
    <x:row r="136" ht="68" customHeight="1">
      <x:c r="A136" s="4" t="n">
        <x:v>135</x:v>
      </x:c>
      <x:c r="B136" s="4" t="str">
        <x:v>ADMIN-0135</x:v>
      </x:c>
      <x:c r="C136" s="4" t="str">
        <x:v>M08 礼物、道具、任务、邀请与运营配置</x:v>
      </x:c>
      <x:c r="D136" s="4" t="str">
        <x:v>普通礼物-12（平台管理员视角）</x:v>
      </x:c>
      <x:c r="E136" s="4" t="str">
        <x:v>功能需求</x:v>
      </x:c>
      <x:c r="F136" s="4" t="str">
        <x:v>P1</x:v>
      </x:c>
      <x:c r="G136" s="4" t="str">
        <x:v>验证下架确认</x:v>
      </x:c>
      <x:c r="H136" s="4" t="str">
        <x:v>下架确认</x:v>
      </x:c>
      <x:c r="I136" s="4" t="str">
        <x:v>1. 已登录平台管理员账号
2. 所选记录满足该操作业务条件</x:v>
      </x:c>
      <x:c r="J136" s="4" t="str">
        <x:v>1. 进入「普通礼物-12」页
2. 点击下架
3. 点击确认</x:v>
      </x:c>
      <x:c r="K136" s="4" t="str">
        <x:v>所选记录完成下架</x:v>
      </x:c>
      <x:c r="L136" s="4" t="str"/>
      <x:c r="M136" s="4" t="str">
        <x:v>未测</x:v>
      </x:c>
      <x:c r="N136" s="4" t="str"/>
      <x:c r="O136" s="4" t="str">
        <x:v>1. 来源：MainBasis/统一需求文档.md；A-admin-gift-list-009
2. 场景：SC-3e923104799fcd</x:v>
      </x:c>
    </x:row>
    <x:row r="137" ht="68" customHeight="1">
      <x:c r="A137" s="4" t="n">
        <x:v>136</x:v>
      </x:c>
      <x:c r="B137" s="4" t="str">
        <x:v>ADMIN-0136</x:v>
      </x:c>
      <x:c r="C137" s="4" t="str">
        <x:v>M08 礼物、道具、任务、邀请与运营配置</x:v>
      </x:c>
      <x:c r="D137" s="4" t="str">
        <x:v>普通礼物-12（平台管理员视角）</x:v>
      </x:c>
      <x:c r="E137" s="4" t="str">
        <x:v>功能需求</x:v>
      </x:c>
      <x:c r="F137" s="4" t="str">
        <x:v>P1</x:v>
      </x:c>
      <x:c r="G137" s="4" t="str">
        <x:v>验证下架取消</x:v>
      </x:c>
      <x:c r="H137" s="4" t="str">
        <x:v>下架取消</x:v>
      </x:c>
      <x:c r="I137" s="4" t="str">
        <x:v>1. 已登录平台管理员账号
2. 所选记录满足该操作业务条件</x:v>
      </x:c>
      <x:c r="J137" s="4" t="str">
        <x:v>1. 进入「普通礼物-12」页
2. 点击下架
3. 点击取消</x:v>
      </x:c>
      <x:c r="K137" s="4" t="str">
        <x:v>所选记录保持操作前状态</x:v>
      </x:c>
      <x:c r="L137" s="4" t="str"/>
      <x:c r="M137" s="4" t="str">
        <x:v>未测</x:v>
      </x:c>
      <x:c r="N137" s="4" t="str"/>
      <x:c r="O137" s="4" t="str">
        <x:v>1. 来源：MainBasis/统一需求文档.md；A-admin-gift-list-009
2. 场景：SC-76882a5540eb04</x:v>
      </x:c>
    </x:row>
    <x:row r="138" ht="68" customHeight="1">
      <x:c r="A138" s="4" t="n">
        <x:v>137</x:v>
      </x:c>
      <x:c r="B138" s="4" t="str">
        <x:v>ADMIN-0137</x:v>
      </x:c>
      <x:c r="C138" s="4" t="str">
        <x:v>M08 礼物、道具、任务、邀请与运营配置</x:v>
      </x:c>
      <x:c r="D138" s="4" t="str">
        <x:v>普通礼物-12（平台管理员视角）</x:v>
      </x:c>
      <x:c r="E138" s="4" t="str">
        <x:v>功能需求</x:v>
      </x:c>
      <x:c r="F138" s="4" t="str">
        <x:v>P1</x:v>
      </x:c>
      <x:c r="G138" s="4" t="str">
        <x:v>验证删除确认</x:v>
      </x:c>
      <x:c r="H138" s="4" t="str">
        <x:v>删除确认</x:v>
      </x:c>
      <x:c r="I138" s="4" t="str">
        <x:v>1. 已登录平台管理员账号
2. 所选记录满足该操作业务条件</x:v>
      </x:c>
      <x:c r="J138" s="4" t="str">
        <x:v>1. 进入「普通礼物-12」页
2. 点击删除
3. 点击确认</x:v>
      </x:c>
      <x:c r="K138" s="4" t="str">
        <x:v>所选记录完成删除</x:v>
      </x:c>
      <x:c r="L138" s="4" t="str"/>
      <x:c r="M138" s="4" t="str">
        <x:v>未测</x:v>
      </x:c>
      <x:c r="N138" s="4" t="str"/>
      <x:c r="O138" s="4" t="str">
        <x:v>1. 来源：MainBasis/统一需求文档.md；A-admin-gift-list-009
2. 场景：SC-df1110a6a516de</x:v>
      </x:c>
    </x:row>
    <x:row r="139" ht="68" customHeight="1">
      <x:c r="A139" s="4" t="n">
        <x:v>138</x:v>
      </x:c>
      <x:c r="B139" s="4" t="str">
        <x:v>ADMIN-0138</x:v>
      </x:c>
      <x:c r="C139" s="4" t="str">
        <x:v>M08 礼物、道具、任务、邀请与运营配置</x:v>
      </x:c>
      <x:c r="D139" s="4" t="str">
        <x:v>普通礼物-12（平台管理员视角）</x:v>
      </x:c>
      <x:c r="E139" s="4" t="str">
        <x:v>功能需求</x:v>
      </x:c>
      <x:c r="F139" s="4" t="str">
        <x:v>P1</x:v>
      </x:c>
      <x:c r="G139" s="4" t="str">
        <x:v>验证删除取消</x:v>
      </x:c>
      <x:c r="H139" s="4" t="str">
        <x:v>删除取消</x:v>
      </x:c>
      <x:c r="I139" s="4" t="str">
        <x:v>1. 已登录平台管理员账号
2. 所选记录满足该操作业务条件</x:v>
      </x:c>
      <x:c r="J139" s="4" t="str">
        <x:v>1. 进入「普通礼物-12」页
2. 点击删除
3. 点击取消</x:v>
      </x:c>
      <x:c r="K139" s="4" t="str">
        <x:v>所选记录保持操作前状态</x:v>
      </x:c>
      <x:c r="L139" s="4" t="str"/>
      <x:c r="M139" s="4" t="str">
        <x:v>未测</x:v>
      </x:c>
      <x:c r="N139" s="4" t="str"/>
      <x:c r="O139" s="4" t="str">
        <x:v>1. 来源：MainBasis/统一需求文档.md；A-admin-gift-list-009
2. 场景：SC-894c73b328042d</x:v>
      </x:c>
    </x:row>
    <x:row r="140" ht="68" customHeight="1">
      <x:c r="A140" s="4" t="n">
        <x:v>139</x:v>
      </x:c>
      <x:c r="B140" s="4" t="str">
        <x:v>ADMIN-0139</x:v>
      </x:c>
      <x:c r="C140" s="4" t="str">
        <x:v>M08 礼物、道具、任务、邀请与运营配置</x:v>
      </x:c>
      <x:c r="D140" s="4" t="str">
        <x:v>礼物详情（平台管理员视角）</x:v>
      </x:c>
      <x:c r="E140" s="4" t="str">
        <x:v>功能需求</x:v>
      </x:c>
      <x:c r="F140" s="4" t="str">
        <x:v>P2</x:v>
      </x:c>
      <x:c r="G140" s="4" t="str">
        <x:v>验证排序权重回显</x:v>
      </x:c>
      <x:c r="H140" s="4" t="str">
        <x:v>排序权重回显</x:v>
      </x:c>
      <x:c r="I140" s="4" t="str">
        <x:v>1. 已登录平台管理员账号
2. 所选对象存在，已记录该对象的排序权重值</x:v>
      </x:c>
      <x:c r="J140" s="4" t="str">
        <x:v>1. 进入「礼物详情」页
2. 查看排序权重回显</x:v>
      </x:c>
      <x:c r="K140" s="4" t="str">
        <x:v>「排序权重」内容与所选对象的该项资料一致</x:v>
      </x:c>
      <x:c r="L140" s="4" t="str"/>
      <x:c r="M140" s="4" t="str">
        <x:v>未测</x:v>
      </x:c>
      <x:c r="N140" s="4" t="str"/>
      <x:c r="O140" s="4" t="str">
        <x:v>1. 来源：MainBasis/统一需求文档.md；A-admin-gift-detail-006
2. 场景：SC-271a5c4f28423b</x:v>
      </x:c>
    </x:row>
    <x:row r="141" ht="68" customHeight="1">
      <x:c r="A141" s="4" t="n">
        <x:v>140</x:v>
      </x:c>
      <x:c r="B141" s="4" t="str">
        <x:v>ADMIN-0140</x:v>
      </x:c>
      <x:c r="C141" s="4" t="str">
        <x:v>M08 礼物、道具、任务、邀请与运营配置</x:v>
      </x:c>
      <x:c r="D141" s="4" t="str">
        <x:v>礼物详情（平台管理员视角）</x:v>
      </x:c>
      <x:c r="E141" s="4" t="str">
        <x:v>功能需求</x:v>
      </x:c>
      <x:c r="F141" s="4" t="str">
        <x:v>P2</x:v>
      </x:c>
      <x:c r="G141" s="4" t="str">
        <x:v>验证操作记录回显</x:v>
      </x:c>
      <x:c r="H141" s="4" t="str">
        <x:v>操作记录回显</x:v>
      </x:c>
      <x:c r="I141" s="4" t="str">
        <x:v>1. 已登录平台管理员账号
2. 所选对象存在，已记录该对象的操作记录值</x:v>
      </x:c>
      <x:c r="J141" s="4" t="str">
        <x:v>1. 进入「礼物详情」页
2. 查看操作记录回显</x:v>
      </x:c>
      <x:c r="K141" s="4" t="str">
        <x:v>「操作记录」内容与所选对象的该项资料一致</x:v>
      </x:c>
      <x:c r="L141" s="4" t="str"/>
      <x:c r="M141" s="4" t="str">
        <x:v>未测</x:v>
      </x:c>
      <x:c r="N141" s="4" t="str"/>
      <x:c r="O141" s="4" t="str">
        <x:v>1. 来源：MainBasis/统一需求文档.md；A-admin-gift-detail-008
2. 场景：SC-a53e2c786f6741</x:v>
      </x:c>
    </x:row>
    <x:row r="142" ht="68" customHeight="1">
      <x:c r="A142" s="4" t="n">
        <x:v>141</x:v>
      </x:c>
      <x:c r="B142" s="4" t="str">
        <x:v>ADMIN-0141</x:v>
      </x:c>
      <x:c r="C142" s="4" t="str">
        <x:v>M08 礼物、道具、任务、邀请与运营配置</x:v>
      </x:c>
      <x:c r="D142" s="4" t="str">
        <x:v>礼物详情（平台管理员视角）</x:v>
      </x:c>
      <x:c r="E142" s="4" t="str">
        <x:v>逻辑校验</x:v>
      </x:c>
      <x:c r="F142" s="4" t="str">
        <x:v>P1</x:v>
      </x:c>
      <x:c r="G142" s="4" t="str">
        <x:v>验证单价空值</x:v>
      </x:c>
      <x:c r="H142" s="4" t="str">
        <x:v>单价空值</x:v>
      </x:c>
      <x:c r="I142" s="4" t="str">
        <x:v>1. 已登录平台管理员账号
2. 其他必填字段与配置有效</x:v>
      </x:c>
      <x:c r="J142" s="4" t="str">
        <x:v>1. 进入「礼物详情」页
2. 清空单价
3. 点击保存</x:v>
      </x:c>
      <x:c r="K142" s="4" t="str">
        <x:v>单价校验失败，不能保存</x:v>
      </x:c>
      <x:c r="L142" s="4" t="str"/>
      <x:c r="M142" s="4" t="str">
        <x:v>未测</x:v>
      </x:c>
      <x:c r="N142" s="4" t="str"/>
      <x:c r="O142" s="4" t="str">
        <x:v>1. 来源：MainBasis/统一需求文档.md；A-admin-gift-detail-005、A-admin-gift-list-004
2. 场景：SC-65c8c5afc9c1bf</x:v>
      </x:c>
    </x:row>
    <x:row r="143" ht="68" customHeight="1">
      <x:c r="A143" s="4" t="n">
        <x:v>142</x:v>
      </x:c>
      <x:c r="B143" s="4" t="str">
        <x:v>ADMIN-0142</x:v>
      </x:c>
      <x:c r="C143" s="4" t="str">
        <x:v>M08 礼物、道具、任务、邀请与运营配置</x:v>
      </x:c>
      <x:c r="D143" s="4" t="str">
        <x:v>礼物详情（平台管理员视角）</x:v>
      </x:c>
      <x:c r="E143" s="4" t="str">
        <x:v>逻辑校验</x:v>
      </x:c>
      <x:c r="F143" s="4" t="str">
        <x:v>P1</x:v>
      </x:c>
      <x:c r="G143" s="4" t="str">
        <x:v>验证单价-1</x:v>
      </x:c>
      <x:c r="H143" s="4" t="str">
        <x:v>单价-1</x:v>
      </x:c>
      <x:c r="I143" s="4" t="str">
        <x:v>1. 已登录平台管理员账号
2. 其他必填字段与配置有效</x:v>
      </x:c>
      <x:c r="J143" s="4" t="str">
        <x:v>1. 进入「礼物详情」页
2. 填写单价-1
3. 点击保存</x:v>
      </x:c>
      <x:c r="K143" s="4" t="str">
        <x:v>单价校验失败，不能保存</x:v>
      </x:c>
      <x:c r="L143" s="4" t="str"/>
      <x:c r="M143" s="4" t="str">
        <x:v>未测</x:v>
      </x:c>
      <x:c r="N143" s="4" t="str"/>
      <x:c r="O143" s="4" t="str">
        <x:v>1. 来源：MainBasis/统一需求文档.md；A-admin-gift-detail-005、A-admin-gift-list-004
2. 场景：SC-54bab7f804e5e8</x:v>
      </x:c>
    </x:row>
    <x:row r="144" ht="68" customHeight="1">
      <x:c r="A144" s="4" t="n">
        <x:v>143</x:v>
      </x:c>
      <x:c r="B144" s="4" t="str">
        <x:v>ADMIN-0143</x:v>
      </x:c>
      <x:c r="C144" s="4" t="str">
        <x:v>M08 礼物、道具、任务、邀请与运营配置</x:v>
      </x:c>
      <x:c r="D144" s="4" t="str">
        <x:v>礼物详情（平台管理员视角）</x:v>
      </x:c>
      <x:c r="E144" s="4" t="str">
        <x:v>逻辑校验</x:v>
      </x:c>
      <x:c r="F144" s="4" t="str">
        <x:v>P1</x:v>
      </x:c>
      <x:c r="G144" s="4" t="str">
        <x:v>验证单价0</x:v>
      </x:c>
      <x:c r="H144" s="4" t="str">
        <x:v>单价0</x:v>
      </x:c>
      <x:c r="I144" s="4" t="str">
        <x:v>1. 已登录平台管理员账号
2. 其他必填字段与配置有效</x:v>
      </x:c>
      <x:c r="J144" s="4" t="str">
        <x:v>1. 进入「礼物详情」页
2. 填写单价0
3. 点击保存</x:v>
      </x:c>
      <x:c r="K144" s="4" t="str">
        <x:v>单价校验失败，不能保存</x:v>
      </x:c>
      <x:c r="L144" s="4" t="str"/>
      <x:c r="M144" s="4" t="str">
        <x:v>未测</x:v>
      </x:c>
      <x:c r="N144" s="4" t="str"/>
      <x:c r="O144" s="4" t="str">
        <x:v>1. 来源：MainBasis/统一需求文档.md；A-admin-gift-detail-005、A-admin-gift-list-004
2. 场景：SC-161d7ece0cc0e8</x:v>
      </x:c>
    </x:row>
    <x:row r="145" ht="68" customHeight="1">
      <x:c r="A145" s="4" t="n">
        <x:v>144</x:v>
      </x:c>
      <x:c r="B145" s="4" t="str">
        <x:v>ADMIN-0144</x:v>
      </x:c>
      <x:c r="C145" s="4" t="str">
        <x:v>M08 礼物、道具、任务、邀请与运营配置</x:v>
      </x:c>
      <x:c r="D145" s="4" t="str">
        <x:v>礼物详情（平台管理员视角）</x:v>
      </x:c>
      <x:c r="E145" s="4" t="str">
        <x:v>逻辑校验</x:v>
      </x:c>
      <x:c r="F145" s="4" t="str">
        <x:v>P1</x:v>
      </x:c>
      <x:c r="G145" s="4" t="str">
        <x:v>验证单价1</x:v>
      </x:c>
      <x:c r="H145" s="4" t="str">
        <x:v>单价1</x:v>
      </x:c>
      <x:c r="I145" s="4" t="str">
        <x:v>1. 已登录平台管理员账号
2. 其他必填字段与配置有效</x:v>
      </x:c>
      <x:c r="J145" s="4" t="str">
        <x:v>1. 进入「礼物详情」页
2. 填写单价1
3. 点击保存</x:v>
      </x:c>
      <x:c r="K145" s="4" t="str">
        <x:v>单价保存为1</x:v>
      </x:c>
      <x:c r="L145" s="4" t="str"/>
      <x:c r="M145" s="4" t="str">
        <x:v>未测</x:v>
      </x:c>
      <x:c r="N145" s="4" t="str"/>
      <x:c r="O145" s="4" t="str">
        <x:v>1. 来源：MainBasis/统一需求文档.md；A-admin-gift-detail-005、A-admin-gift-list-004
2. 场景：SC-c139a1e5d06608</x:v>
      </x:c>
    </x:row>
    <x:row r="146" ht="68" customHeight="1">
      <x:c r="A146" s="4" t="n">
        <x:v>145</x:v>
      </x:c>
      <x:c r="B146" s="4" t="str">
        <x:v>ADMIN-0145</x:v>
      </x:c>
      <x:c r="C146" s="4" t="str">
        <x:v>M08 礼物、道具、任务、邀请与运营配置</x:v>
      </x:c>
      <x:c r="D146" s="4" t="str">
        <x:v>礼物详情（平台管理员视角）</x:v>
      </x:c>
      <x:c r="E146" s="4" t="str">
        <x:v>逻辑校验</x:v>
      </x:c>
      <x:c r="F146" s="4" t="str">
        <x:v>P1</x:v>
      </x:c>
      <x:c r="G146" s="4" t="str">
        <x:v>验证单价1.5</x:v>
      </x:c>
      <x:c r="H146" s="4" t="str">
        <x:v>单价1.5</x:v>
      </x:c>
      <x:c r="I146" s="4" t="str">
        <x:v>1. 已登录平台管理员账号
2. 其他必填字段与配置有效</x:v>
      </x:c>
      <x:c r="J146" s="4" t="str">
        <x:v>1. 进入「礼物详情」页
2. 填写单价1.5
3. 点击保存</x:v>
      </x:c>
      <x:c r="K146" s="4" t="str">
        <x:v>单价校验失败，不能保存</x:v>
      </x:c>
      <x:c r="L146" s="4" t="str"/>
      <x:c r="M146" s="4" t="str">
        <x:v>未测</x:v>
      </x:c>
      <x:c r="N146" s="4" t="str"/>
      <x:c r="O146" s="4" t="str">
        <x:v>1. 来源：MainBasis/统一需求文档.md；A-admin-gift-detail-005、A-admin-gift-list-004
2. 场景：SC-696eb8ab5d7595</x:v>
      </x:c>
    </x:row>
    <x:row r="147" ht="68" customHeight="1">
      <x:c r="A147" s="4" t="n">
        <x:v>146</x:v>
      </x:c>
      <x:c r="B147" s="4" t="str">
        <x:v>ADMIN-0146</x:v>
      </x:c>
      <x:c r="C147" s="4" t="str">
        <x:v>M08 礼物、道具、任务、邀请与运营配置</x:v>
      </x:c>
      <x:c r="D147" s="4" t="str">
        <x:v>礼物详情（平台管理员视角）</x:v>
      </x:c>
      <x:c r="E147" s="4" t="str">
        <x:v>逻辑校验</x:v>
      </x:c>
      <x:c r="F147" s="4" t="str">
        <x:v>P1</x:v>
      </x:c>
      <x:c r="G147" s="4" t="str">
        <x:v>验证排序权重空值</x:v>
      </x:c>
      <x:c r="H147" s="4" t="str">
        <x:v>排序权重空值</x:v>
      </x:c>
      <x:c r="I147" s="4" t="str">
        <x:v>1. 已登录平台管理员账号
2. 其他必填字段与配置有效</x:v>
      </x:c>
      <x:c r="J147" s="4" t="str">
        <x:v>1. 进入「礼物详情」页
2. 清空排序权重
3. 点击保存</x:v>
      </x:c>
      <x:c r="K147" s="4" t="str">
        <x:v>排序权重校验失败，不能保存</x:v>
      </x:c>
      <x:c r="L147" s="4" t="str"/>
      <x:c r="M147" s="4" t="str">
        <x:v>未测</x:v>
      </x:c>
      <x:c r="N147" s="4" t="str"/>
      <x:c r="O147" s="4" t="str">
        <x:v>1. 来源：MainBasis/统一需求文档.md；A-admin-gift-detail-006
2. 场景：SC-b9dab28b714e96</x:v>
      </x:c>
    </x:row>
    <x:row r="148" ht="68" customHeight="1">
      <x:c r="A148" s="4" t="n">
        <x:v>147</x:v>
      </x:c>
      <x:c r="B148" s="4" t="str">
        <x:v>ADMIN-0147</x:v>
      </x:c>
      <x:c r="C148" s="4" t="str">
        <x:v>M08 礼物、道具、任务、邀请与运营配置</x:v>
      </x:c>
      <x:c r="D148" s="4" t="str">
        <x:v>礼物详情（平台管理员视角）</x:v>
      </x:c>
      <x:c r="E148" s="4" t="str">
        <x:v>逻辑校验</x:v>
      </x:c>
      <x:c r="F148" s="4" t="str">
        <x:v>P1</x:v>
      </x:c>
      <x:c r="G148" s="4" t="str">
        <x:v>验证排序权重-1</x:v>
      </x:c>
      <x:c r="H148" s="4" t="str">
        <x:v>排序权重-1</x:v>
      </x:c>
      <x:c r="I148" s="4" t="str">
        <x:v>1. 已登录平台管理员账号
2. 其他必填字段与配置有效</x:v>
      </x:c>
      <x:c r="J148" s="4" t="str">
        <x:v>1. 进入「礼物详情」页
2. 填写排序权重-1
3. 点击保存</x:v>
      </x:c>
      <x:c r="K148" s="4" t="str">
        <x:v>排序权重保存为-1</x:v>
      </x:c>
      <x:c r="L148" s="4" t="str"/>
      <x:c r="M148" s="4" t="str">
        <x:v>未测</x:v>
      </x:c>
      <x:c r="N148" s="4" t="str"/>
      <x:c r="O148" s="4" t="str">
        <x:v>1. 来源：MainBasis/统一需求文档.md；A-admin-gift-detail-006
2. 场景：SC-321d66a4140882</x:v>
      </x:c>
    </x:row>
    <x:row r="149" ht="68" customHeight="1">
      <x:c r="A149" s="4" t="n">
        <x:v>148</x:v>
      </x:c>
      <x:c r="B149" s="4" t="str">
        <x:v>ADMIN-0148</x:v>
      </x:c>
      <x:c r="C149" s="4" t="str">
        <x:v>M08 礼物、道具、任务、邀请与运营配置</x:v>
      </x:c>
      <x:c r="D149" s="4" t="str">
        <x:v>礼物详情（平台管理员视角）</x:v>
      </x:c>
      <x:c r="E149" s="4" t="str">
        <x:v>逻辑校验</x:v>
      </x:c>
      <x:c r="F149" s="4" t="str">
        <x:v>P1</x:v>
      </x:c>
      <x:c r="G149" s="4" t="str">
        <x:v>验证排序权重0</x:v>
      </x:c>
      <x:c r="H149" s="4" t="str">
        <x:v>排序权重0</x:v>
      </x:c>
      <x:c r="I149" s="4" t="str">
        <x:v>1. 已登录平台管理员账号
2. 其他必填字段与配置有效</x:v>
      </x:c>
      <x:c r="J149" s="4" t="str">
        <x:v>1. 进入「礼物详情」页
2. 填写排序权重0
3. 点击保存</x:v>
      </x:c>
      <x:c r="K149" s="4" t="str">
        <x:v>排序权重保存为0</x:v>
      </x:c>
      <x:c r="L149" s="4" t="str"/>
      <x:c r="M149" s="4" t="str">
        <x:v>未测</x:v>
      </x:c>
      <x:c r="N149" s="4" t="str"/>
      <x:c r="O149" s="4" t="str">
        <x:v>1. 来源：MainBasis/统一需求文档.md；A-admin-gift-detail-006
2. 场景：SC-20e11878d8203a</x:v>
      </x:c>
    </x:row>
    <x:row r="150" ht="68" customHeight="1">
      <x:c r="A150" s="4" t="n">
        <x:v>149</x:v>
      </x:c>
      <x:c r="B150" s="4" t="str">
        <x:v>ADMIN-0149</x:v>
      </x:c>
      <x:c r="C150" s="4" t="str">
        <x:v>M08 礼物、道具、任务、邀请与运营配置</x:v>
      </x:c>
      <x:c r="D150" s="4" t="str">
        <x:v>礼物详情（平台管理员视角）</x:v>
      </x:c>
      <x:c r="E150" s="4" t="str">
        <x:v>逻辑校验</x:v>
      </x:c>
      <x:c r="F150" s="4" t="str">
        <x:v>P1</x:v>
      </x:c>
      <x:c r="G150" s="4" t="str">
        <x:v>验证排序权重1</x:v>
      </x:c>
      <x:c r="H150" s="4" t="str">
        <x:v>排序权重1</x:v>
      </x:c>
      <x:c r="I150" s="4" t="str">
        <x:v>1. 已登录平台管理员账号
2. 其他必填字段与配置有效</x:v>
      </x:c>
      <x:c r="J150" s="4" t="str">
        <x:v>1. 进入「礼物详情」页
2. 填写排序权重1
3. 点击保存</x:v>
      </x:c>
      <x:c r="K150" s="4" t="str">
        <x:v>排序权重保存为1</x:v>
      </x:c>
      <x:c r="L150" s="4" t="str"/>
      <x:c r="M150" s="4" t="str">
        <x:v>未测</x:v>
      </x:c>
      <x:c r="N150" s="4" t="str"/>
      <x:c r="O150" s="4" t="str">
        <x:v>1. 来源：MainBasis/统一需求文档.md；A-admin-gift-detail-006
2. 场景：SC-dd073d1b0adc5f</x:v>
      </x:c>
    </x:row>
    <x:row r="151" ht="68" customHeight="1">
      <x:c r="A151" s="4" t="n">
        <x:v>150</x:v>
      </x:c>
      <x:c r="B151" s="4" t="str">
        <x:v>ADMIN-0150</x:v>
      </x:c>
      <x:c r="C151" s="4" t="str">
        <x:v>M08 礼物、道具、任务、邀请与运营配置</x:v>
      </x:c>
      <x:c r="D151" s="4" t="str">
        <x:v>礼物详情（平台管理员视角）</x:v>
      </x:c>
      <x:c r="E151" s="4" t="str">
        <x:v>逻辑校验</x:v>
      </x:c>
      <x:c r="F151" s="4" t="str">
        <x:v>P1</x:v>
      </x:c>
      <x:c r="G151" s="4" t="str">
        <x:v>验证排序权重1.5</x:v>
      </x:c>
      <x:c r="H151" s="4" t="str">
        <x:v>排序权重1.5</x:v>
      </x:c>
      <x:c r="I151" s="4" t="str">
        <x:v>1. 已登录平台管理员账号
2. 其他必填字段与配置有效</x:v>
      </x:c>
      <x:c r="J151" s="4" t="str">
        <x:v>1. 进入「礼物详情」页
2. 填写排序权重1.5
3. 点击保存</x:v>
      </x:c>
      <x:c r="K151" s="4" t="str">
        <x:v>排序权重校验失败，不能保存</x:v>
      </x:c>
      <x:c r="L151" s="4" t="str"/>
      <x:c r="M151" s="4" t="str">
        <x:v>未测</x:v>
      </x:c>
      <x:c r="N151" s="4" t="str"/>
      <x:c r="O151" s="4" t="str">
        <x:v>1. 来源：MainBasis/统一需求文档.md；A-admin-gift-detail-006
2. 场景：SC-be8bc6e8919331</x:v>
      </x:c>
    </x:row>
    <x:row r="152" ht="68" customHeight="1">
      <x:c r="A152" s="4" t="n">
        <x:v>151</x:v>
      </x:c>
      <x:c r="B152" s="4" t="str">
        <x:v>ADMIN-0151</x:v>
      </x:c>
      <x:c r="C152" s="4" t="str">
        <x:v>M08 礼物、道具、任务、邀请与运营配置</x:v>
      </x:c>
      <x:c r="D152" s="4" t="str">
        <x:v>礼物详情（平台管理员视角）</x:v>
      </x:c>
      <x:c r="E152" s="4" t="str">
        <x:v>异常用例</x:v>
      </x:c>
      <x:c r="F152" s="4" t="str">
        <x:v>P1</x:v>
      </x:c>
      <x:c r="G152" s="4" t="str">
        <x:v>验证中文名称缺失限制</x:v>
      </x:c>
      <x:c r="H152" s="4" t="str">
        <x:v>中文名称缺失限制</x:v>
      </x:c>
      <x:c r="I152" s="4" t="str">
        <x:v>1. 已登录平台管理员账号
2. 其他必填字段为合法值</x:v>
      </x:c>
      <x:c r="J152" s="4" t="str">
        <x:v>1. 进入「礼物详情」页
2. 清空「中文名称」
3. 点击「保存」</x:v>
      </x:c>
      <x:c r="K152" s="4" t="str">
        <x:v>中文名称未填写，无法保存</x:v>
      </x:c>
      <x:c r="L152" s="4" t="str"/>
      <x:c r="M152" s="4" t="str">
        <x:v>未测</x:v>
      </x:c>
      <x:c r="N152" s="4" t="str"/>
      <x:c r="O152" s="4" t="str">
        <x:v>1. 来源：MainBasis/统一需求文档.md；A-admin-gift-detail-003、A-admin-gift-list-003
2. 场景：SC-bb4ca32195e796</x:v>
      </x:c>
    </x:row>
    <x:row r="153" ht="68" customHeight="1">
      <x:c r="A153" s="4" t="n">
        <x:v>152</x:v>
      </x:c>
      <x:c r="B153" s="4" t="str">
        <x:v>ADMIN-0152</x:v>
      </x:c>
      <x:c r="C153" s="4" t="str">
        <x:v>M08 礼物、道具、任务、邀请与运营配置</x:v>
      </x:c>
      <x:c r="D153" s="4" t="str">
        <x:v>礼物详情（平台管理员视角）</x:v>
      </x:c>
      <x:c r="E153" s="4" t="str">
        <x:v>异常用例</x:v>
      </x:c>
      <x:c r="F153" s="4" t="str">
        <x:v>P1</x:v>
      </x:c>
      <x:c r="G153" s="4" t="str">
        <x:v>验证英语名称缺失限制</x:v>
      </x:c>
      <x:c r="H153" s="4" t="str">
        <x:v>英语名称缺失限制</x:v>
      </x:c>
      <x:c r="I153" s="4" t="str">
        <x:v>1. 已登录平台管理员账号
2. 其他必填字段为合法值</x:v>
      </x:c>
      <x:c r="J153" s="4" t="str">
        <x:v>1. 进入「礼物详情」页
2. 清空「英语名称」
3. 点击「保存」</x:v>
      </x:c>
      <x:c r="K153" s="4" t="str">
        <x:v>英语名称未填写，无法保存</x:v>
      </x:c>
      <x:c r="L153" s="4" t="str"/>
      <x:c r="M153" s="4" t="str">
        <x:v>未测</x:v>
      </x:c>
      <x:c r="N153" s="4" t="str"/>
      <x:c r="O153" s="4" t="str">
        <x:v>1. 来源：MainBasis/统一需求文档.md；A-admin-gift-detail-003、A-admin-gift-list-003
2. 场景：SC-f7f8fbdb32d5fb</x:v>
      </x:c>
    </x:row>
    <x:row r="154" ht="68" customHeight="1">
      <x:c r="A154" s="4" t="n">
        <x:v>153</x:v>
      </x:c>
      <x:c r="B154" s="4" t="str">
        <x:v>ADMIN-0153</x:v>
      </x:c>
      <x:c r="C154" s="4" t="str">
        <x:v>M08 礼物、道具、任务、邀请与运营配置</x:v>
      </x:c>
      <x:c r="D154" s="4" t="str">
        <x:v>礼物详情（平台管理员视角）</x:v>
      </x:c>
      <x:c r="E154" s="4" t="str">
        <x:v>异常用例</x:v>
      </x:c>
      <x:c r="F154" s="4" t="str">
        <x:v>P1</x:v>
      </x:c>
      <x:c r="G154" s="4" t="str">
        <x:v>验证印尼语名称缺失限制</x:v>
      </x:c>
      <x:c r="H154" s="4" t="str">
        <x:v>印尼语名称缺失限制</x:v>
      </x:c>
      <x:c r="I154" s="4" t="str">
        <x:v>1. 已登录平台管理员账号
2. 其他必填字段为合法值</x:v>
      </x:c>
      <x:c r="J154" s="4" t="str">
        <x:v>1. 进入「礼物详情」页
2. 清空「印尼语名称」
3. 点击「保存」</x:v>
      </x:c>
      <x:c r="K154" s="4" t="str">
        <x:v>印尼语名称未填写，无法保存</x:v>
      </x:c>
      <x:c r="L154" s="4" t="str"/>
      <x:c r="M154" s="4" t="str">
        <x:v>未测</x:v>
      </x:c>
      <x:c r="N154" s="4" t="str"/>
      <x:c r="O154" s="4" t="str">
        <x:v>1. 来源：MainBasis/统一需求文档.md；A-admin-gift-detail-003、A-admin-gift-list-003
2. 场景：SC-11b56add8818c4</x:v>
      </x:c>
    </x:row>
    <x:row r="155" ht="68" customHeight="1">
      <x:c r="A155" s="4" t="n">
        <x:v>154</x:v>
      </x:c>
      <x:c r="B155" s="4" t="str">
        <x:v>ADMIN-0154</x:v>
      </x:c>
      <x:c r="C155" s="4" t="str">
        <x:v>M08 礼物、道具、任务、邀请与运营配置</x:v>
      </x:c>
      <x:c r="D155" s="4" t="str">
        <x:v>礼物详情（平台管理员视角）</x:v>
      </x:c>
      <x:c r="E155" s="4" t="str">
        <x:v>异常用例</x:v>
      </x:c>
      <x:c r="F155" s="4" t="str">
        <x:v>P1</x:v>
      </x:c>
      <x:c r="G155" s="4" t="str">
        <x:v>验证马来语名称缺失限制</x:v>
      </x:c>
      <x:c r="H155" s="4" t="str">
        <x:v>马来语名称缺失限制</x:v>
      </x:c>
      <x:c r="I155" s="4" t="str">
        <x:v>1. 已登录平台管理员账号
2. 其他必填字段为合法值</x:v>
      </x:c>
      <x:c r="J155" s="4" t="str">
        <x:v>1. 进入「礼物详情」页
2. 清空「马来语名称」
3. 点击「保存」</x:v>
      </x:c>
      <x:c r="K155" s="4" t="str">
        <x:v>马来语名称未填写，无法保存</x:v>
      </x:c>
      <x:c r="L155" s="4" t="str"/>
      <x:c r="M155" s="4" t="str">
        <x:v>未测</x:v>
      </x:c>
      <x:c r="N155" s="4" t="str"/>
      <x:c r="O155" s="4" t="str">
        <x:v>1. 来源：MainBasis/统一需求文档.md；A-admin-gift-detail-003、A-admin-gift-list-003
2. 场景：SC-9abdebd6ecb111</x:v>
      </x:c>
    </x:row>
    <x:row r="156" ht="68" customHeight="1">
      <x:c r="A156" s="4" t="n">
        <x:v>155</x:v>
      </x:c>
      <x:c r="B156" s="4" t="str">
        <x:v>ADMIN-0155</x:v>
      </x:c>
      <x:c r="C156" s="4" t="str">
        <x:v>M08 礼物、道具、任务、邀请与运营配置</x:v>
      </x:c>
      <x:c r="D156" s="4" t="str">
        <x:v>礼物详情（平台管理员视角）</x:v>
      </x:c>
      <x:c r="E156" s="4" t="str">
        <x:v>异常用例</x:v>
      </x:c>
      <x:c r="F156" s="4" t="str">
        <x:v>P1</x:v>
      </x:c>
      <x:c r="G156" s="4" t="str">
        <x:v>验证图标缺失限制</x:v>
      </x:c>
      <x:c r="H156" s="4" t="str">
        <x:v>图标缺失限制</x:v>
      </x:c>
      <x:c r="I156" s="4" t="str">
        <x:v>1. 已登录平台管理员账号
2. 其他必填字段为合法值</x:v>
      </x:c>
      <x:c r="J156" s="4" t="str">
        <x:v>1. 进入「礼物详情」页
2. 清空「图标」
3. 点击「保存」</x:v>
      </x:c>
      <x:c r="K156" s="4" t="str">
        <x:v>图标未填写，无法保存</x:v>
      </x:c>
      <x:c r="L156" s="4" t="str"/>
      <x:c r="M156" s="4" t="str">
        <x:v>未测</x:v>
      </x:c>
      <x:c r="N156" s="4" t="str"/>
      <x:c r="O156" s="4" t="str">
        <x:v>1. 来源：MainBasis/统一需求文档.md；A-admin-gift-detail-004、A-admin-gift-list-005
2. 场景：SC-fe0c888429431a</x:v>
      </x:c>
    </x:row>
    <x:row r="157" ht="68" customHeight="1">
      <x:c r="A157" s="4" t="n">
        <x:v>156</x:v>
      </x:c>
      <x:c r="B157" s="4" t="str">
        <x:v>ADMIN-0156</x:v>
      </x:c>
      <x:c r="C157" s="4" t="str">
        <x:v>M08 礼物、道具、任务、邀请与运营配置</x:v>
      </x:c>
      <x:c r="D157" s="4" t="str">
        <x:v>礼物详情（平台管理员视角）</x:v>
      </x:c>
      <x:c r="E157" s="4" t="str">
        <x:v>功能需求</x:v>
      </x:c>
      <x:c r="F157" s="4" t="str">
        <x:v>P1</x:v>
      </x:c>
      <x:c r="G157" s="4" t="str">
        <x:v>验证礼物编辑ID只读</x:v>
      </x:c>
      <x:c r="H157" s="4" t="str">
        <x:v>礼物编辑ID只读</x:v>
      </x:c>
      <x:c r="I157" s="4" t="str">
        <x:v>1. 已登录平台管理员账号
2. 当前编辑已创建礼物</x:v>
      </x:c>
      <x:c r="J157" s="4" t="str">
        <x:v>1. 进入「礼物详情」页
2. 查看礼物编辑ID只读</x:v>
      </x:c>
      <x:c r="K157" s="4" t="str">
        <x:v>礼物ID不可修改</x:v>
      </x:c>
      <x:c r="L157" s="4" t="str"/>
      <x:c r="M157" s="4" t="str">
        <x:v>未测</x:v>
      </x:c>
      <x:c r="N157" s="4" t="str"/>
      <x:c r="O157" s="4" t="str">
        <x:v>1. 来源：MainBasis/统一需求文档.md；A-admin-gift-detail-002、A-admin-gift-list-002
2. 场景：SC-642ee8b56c6753</x:v>
      </x:c>
    </x:row>
    <x:row r="158" ht="68" customHeight="1">
      <x:c r="A158" s="4" t="n">
        <x:v>157</x:v>
      </x:c>
      <x:c r="B158" s="4" t="str">
        <x:v>ADMIN-0157</x:v>
      </x:c>
      <x:c r="C158" s="4" t="str">
        <x:v>M08 礼物、道具、任务、邀请与运营配置</x:v>
      </x:c>
      <x:c r="D158" s="4" t="str">
        <x:v>礼物详情（平台管理员视角）</x:v>
      </x:c>
      <x:c r="E158" s="4" t="str">
        <x:v>异常用例</x:v>
      </x:c>
      <x:c r="F158" s="4" t="str">
        <x:v>P1</x:v>
      </x:c>
      <x:c r="G158" s="4" t="str">
        <x:v>验证礼物新建ID重复</x:v>
      </x:c>
      <x:c r="H158" s="4" t="str">
        <x:v>礼物新建ID重复</x:v>
      </x:c>
      <x:c r="I158" s="4" t="str">
        <x:v>1. 已登录平台管理员账号
2. 系统已有目标礼物ID</x:v>
      </x:c>
      <x:c r="J158" s="4" t="str">
        <x:v>1. 进入「礼物详情」页
2. 新建时填写已存在ID
3. 保存</x:v>
      </x:c>
      <x:c r="K158" s="4" t="str">
        <x:v>不能创建重复ID礼物</x:v>
      </x:c>
      <x:c r="L158" s="4" t="str"/>
      <x:c r="M158" s="4" t="str">
        <x:v>未测</x:v>
      </x:c>
      <x:c r="N158" s="4" t="str"/>
      <x:c r="O158" s="4" t="str">
        <x:v>1. 来源：MainBasis/统一需求文档.md；A-admin-gift-detail-002、A-admin-gift-list-002
2. 场景：SC-3bf4994105f03c</x:v>
      </x:c>
    </x:row>
    <x:row r="159" ht="68" customHeight="1">
      <x:c r="A159" s="4" t="n">
        <x:v>158</x:v>
      </x:c>
      <x:c r="B159" s="4" t="str">
        <x:v>ADMIN-0158</x:v>
      </x:c>
      <x:c r="C159" s="4" t="str">
        <x:v>M08 礼物、道具、任务、邀请与运营配置</x:v>
      </x:c>
      <x:c r="D159" s="4" t="str">
        <x:v>礼物详情（平台管理员视角）</x:v>
      </x:c>
      <x:c r="E159" s="4" t="str">
        <x:v>逻辑校验</x:v>
      </x:c>
      <x:c r="F159" s="4" t="str">
        <x:v>P1</x:v>
      </x:c>
      <x:c r="G159" s="4" t="str">
        <x:v>验证定制礼物结束早于开始</x:v>
      </x:c>
      <x:c r="H159" s="4" t="str">
        <x:v>定制礼物结束早于开始</x:v>
      </x:c>
      <x:c r="I159" s="4" t="str">
        <x:v>1. 已登录平台管理员账号
2. 其他字段合法，开始时间为明日10:00</x:v>
      </x:c>
      <x:c r="J159" s="4" t="str">
        <x:v>1. 进入「礼物详情」页
2. 设置结束时间为明日09:59
3. 保存</x:v>
      </x:c>
      <x:c r="K159" s="4" t="str">
        <x:v>定制礼物时间范围不能保存</x:v>
      </x:c>
      <x:c r="L159" s="4" t="str"/>
      <x:c r="M159" s="4" t="str">
        <x:v>未测</x:v>
      </x:c>
      <x:c r="N159" s="4" t="str"/>
      <x:c r="O159" s="4" t="str">
        <x:v>1. 来源：MainBasis/统一需求文档.md；A-admin-gift-detail-007
2. 场景：SC-5f4488c1ad23a6</x:v>
      </x:c>
    </x:row>
    <x:row r="160" ht="68" customHeight="1">
      <x:c r="A160" s="4" t="n">
        <x:v>159</x:v>
      </x:c>
      <x:c r="B160" s="4" t="str">
        <x:v>ADMIN-0159</x:v>
      </x:c>
      <x:c r="C160" s="4" t="str">
        <x:v>M08 礼物、道具、任务、邀请与运营配置</x:v>
      </x:c>
      <x:c r="D160" s="4" t="str">
        <x:v>礼物详情（平台管理员视角）</x:v>
      </x:c>
      <x:c r="E160" s="4" t="str">
        <x:v>逻辑校验</x:v>
      </x:c>
      <x:c r="F160" s="4" t="str">
        <x:v>P1</x:v>
      </x:c>
      <x:c r="G160" s="4" t="str">
        <x:v>验证定制礼物结束等于开始</x:v>
      </x:c>
      <x:c r="H160" s="4" t="str">
        <x:v>定制礼物结束等于开始</x:v>
      </x:c>
      <x:c r="I160" s="4" t="str">
        <x:v>1. 已登录平台管理员账号
2. 其他字段合法，开始时间为明日10:00</x:v>
      </x:c>
      <x:c r="J160" s="4" t="str">
        <x:v>1. 进入「礼物详情」页
2. 设置结束时间为明日10:00
3. 保存</x:v>
      </x:c>
      <x:c r="K160" s="4" t="str">
        <x:v>定制礼物时间范围不能保存</x:v>
      </x:c>
      <x:c r="L160" s="4" t="str"/>
      <x:c r="M160" s="4" t="str">
        <x:v>未测</x:v>
      </x:c>
      <x:c r="N160" s="4" t="str"/>
      <x:c r="O160" s="4" t="str">
        <x:v>1. 来源：MainBasis/统一需求文档.md；A-admin-gift-detail-007
2. 场景：SC-8d56bbeebac45a</x:v>
      </x:c>
    </x:row>
    <x:row r="161" ht="68" customHeight="1">
      <x:c r="A161" s="4" t="n">
        <x:v>160</x:v>
      </x:c>
      <x:c r="B161" s="4" t="str">
        <x:v>ADMIN-0160</x:v>
      </x:c>
      <x:c r="C161" s="4" t="str">
        <x:v>M08 礼物、道具、任务、邀请与运营配置</x:v>
      </x:c>
      <x:c r="D161" s="4" t="str">
        <x:v>礼物详情（平台管理员视角）</x:v>
      </x:c>
      <x:c r="E161" s="4" t="str">
        <x:v>逻辑校验</x:v>
      </x:c>
      <x:c r="F161" s="4" t="str">
        <x:v>P1</x:v>
      </x:c>
      <x:c r="G161" s="4" t="str">
        <x:v>验证定制礼物结束晚于开始</x:v>
      </x:c>
      <x:c r="H161" s="4" t="str">
        <x:v>定制礼物结束晚于开始</x:v>
      </x:c>
      <x:c r="I161" s="4" t="str">
        <x:v>1. 已登录平台管理员账号
2. 其他字段合法，开始时间为明日10:00</x:v>
      </x:c>
      <x:c r="J161" s="4" t="str">
        <x:v>1. 进入「礼物详情」页
2. 设置结束时间为明日10:01
3. 保存</x:v>
      </x:c>
      <x:c r="K161" s="4" t="str">
        <x:v>定制礼物时间范围可保存</x:v>
      </x:c>
      <x:c r="L161" s="4" t="str"/>
      <x:c r="M161" s="4" t="str">
        <x:v>未测</x:v>
      </x:c>
      <x:c r="N161" s="4" t="str"/>
      <x:c r="O161" s="4" t="str">
        <x:v>1. 来源：MainBasis/统一需求文档.md；A-admin-gift-detail-007
2. 场景：SC-d28ca4059480c1</x:v>
      </x:c>
    </x:row>
    <x:row r="162" ht="68" customHeight="1">
      <x:c r="A162" s="4" t="n">
        <x:v>161</x:v>
      </x:c>
      <x:c r="B162" s="4" t="str">
        <x:v>ADMIN-0161</x:v>
      </x:c>
      <x:c r="C162" s="4" t="str">
        <x:v>M08 礼物、道具、任务、邀请与运营配置</x:v>
      </x:c>
      <x:c r="D162" s="4" t="str">
        <x:v>礼物详情（平台管理员视角）</x:v>
      </x:c>
      <x:c r="E162" s="4" t="str">
        <x:v>功能需求</x:v>
      </x:c>
      <x:c r="F162" s="4" t="str">
        <x:v>P1</x:v>
      </x:c>
      <x:c r="G162" s="4" t="str">
        <x:v>验证保存留在详情</x:v>
      </x:c>
      <x:c r="H162" s="4" t="str">
        <x:v>保存留在详情</x:v>
      </x:c>
      <x:c r="I162" s="4" t="str">
        <x:v>1. 已登录平台管理员账号
2. 当前字段、资源和时间均合法</x:v>
      </x:c>
      <x:c r="J162" s="4" t="str">
        <x:v>1. 进入「礼物详情」页
2. 点击保存</x:v>
      </x:c>
      <x:c r="K162" s="4" t="str">
        <x:v>保存成功并留在当前详情</x:v>
      </x:c>
      <x:c r="L162" s="4" t="str"/>
      <x:c r="M162" s="4" t="str">
        <x:v>未测</x:v>
      </x:c>
      <x:c r="N162" s="4" t="str"/>
      <x:c r="O162" s="4" t="str">
        <x:v>1. 来源：MainBasis/统一需求文档.md；A-admin-gift-detail-010
2. 场景：SC-f1622e406413ae</x:v>
      </x:c>
    </x:row>
    <x:row r="163" ht="68" customHeight="1">
      <x:c r="A163" s="4" t="n">
        <x:v>162</x:v>
      </x:c>
      <x:c r="B163" s="4" t="str">
        <x:v>ADMIN-0162</x:v>
      </x:c>
      <x:c r="C163" s="4" t="str">
        <x:v>M08 礼物、道具、任务、邀请与运营配置</x:v>
      </x:c>
      <x:c r="D163" s="4" t="str">
        <x:v>定制礼物-13（平台管理员视角）</x:v>
      </x:c>
      <x:c r="E163" s="4" t="str">
        <x:v>功能需求</x:v>
      </x:c>
      <x:c r="F163" s="4" t="str">
        <x:v>P2</x:v>
      </x:c>
      <x:c r="G163" s="4" t="str">
        <x:v>验证名称、单价、资源、排序回显</x:v>
      </x:c>
      <x:c r="H163" s="4" t="str">
        <x:v>名称、单价、资源、排序回显</x:v>
      </x:c>
      <x:c r="I163" s="4" t="str">
        <x:v>1. 已登录平台管理员账号
2. 所选对象存在，已记录该对象的名称 / 单价 / 资源 / 排序值</x:v>
      </x:c>
      <x:c r="J163" s="4" t="str">
        <x:v>1. 进入「定制礼物-13」页
2. 查看名称、单价、资源、排序回显</x:v>
      </x:c>
      <x:c r="K163" s="4" t="str">
        <x:v>「名称 / 单价 / 资源 / 排序」内容与所选对象的该项资料一致</x:v>
      </x:c>
      <x:c r="L163" s="4" t="str"/>
      <x:c r="M163" s="4" t="str">
        <x:v>未测</x:v>
      </x:c>
      <x:c r="N163" s="4" t="str"/>
      <x:c r="O163" s="4" t="str">
        <x:v>1. 来源：MainBasis/统一需求文档.md；A-admin-custom-gift-002
2. 场景：SC-29a7408fdd0b0c</x:v>
      </x:c>
    </x:row>
    <x:row r="164" ht="68" customHeight="1">
      <x:c r="A164" s="4" t="n">
        <x:v>163</x:v>
      </x:c>
      <x:c r="B164" s="4" t="str">
        <x:v>ADMIN-0163</x:v>
      </x:c>
      <x:c r="C164" s="4" t="str">
        <x:v>M08 礼物、道具、任务、邀请与运营配置</x:v>
      </x:c>
      <x:c r="D164" s="4" t="str">
        <x:v>定制礼物-13（平台管理员视角）</x:v>
      </x:c>
      <x:c r="E164" s="4" t="str">
        <x:v>逻辑校验</x:v>
      </x:c>
      <x:c r="F164" s="4" t="str">
        <x:v>P1</x:v>
      </x:c>
      <x:c r="G164" s="4" t="str">
        <x:v>验证定制礼物结束早于开始</x:v>
      </x:c>
      <x:c r="H164" s="4" t="str">
        <x:v>定制礼物结束早于开始</x:v>
      </x:c>
      <x:c r="I164" s="4" t="str">
        <x:v>1. 已登录平台管理员账号
2. 其他字段合法，开始时间为明日10:00</x:v>
      </x:c>
      <x:c r="J164" s="4" t="str">
        <x:v>1. 进入「定制礼物-13」页
2. 设置结束时间为明日09:59
3. 保存</x:v>
      </x:c>
      <x:c r="K164" s="4" t="str">
        <x:v>定制礼物时间范围不能保存</x:v>
      </x:c>
      <x:c r="L164" s="4" t="str"/>
      <x:c r="M164" s="4" t="str">
        <x:v>未测</x:v>
      </x:c>
      <x:c r="N164" s="4" t="str"/>
      <x:c r="O164" s="4" t="str">
        <x:v>1. 来源：MainBasis/统一需求文档.md；A-admin-custom-gift-003
2. 场景：SC-c16ffea33fc947</x:v>
      </x:c>
    </x:row>
    <x:row r="165" ht="68" customHeight="1">
      <x:c r="A165" s="4" t="n">
        <x:v>164</x:v>
      </x:c>
      <x:c r="B165" s="4" t="str">
        <x:v>ADMIN-0164</x:v>
      </x:c>
      <x:c r="C165" s="4" t="str">
        <x:v>M08 礼物、道具、任务、邀请与运营配置</x:v>
      </x:c>
      <x:c r="D165" s="4" t="str">
        <x:v>定制礼物-13（平台管理员视角）</x:v>
      </x:c>
      <x:c r="E165" s="4" t="str">
        <x:v>逻辑校验</x:v>
      </x:c>
      <x:c r="F165" s="4" t="str">
        <x:v>P1</x:v>
      </x:c>
      <x:c r="G165" s="4" t="str">
        <x:v>验证定制礼物结束等于开始</x:v>
      </x:c>
      <x:c r="H165" s="4" t="str">
        <x:v>定制礼物结束等于开始</x:v>
      </x:c>
      <x:c r="I165" s="4" t="str">
        <x:v>1. 已登录平台管理员账号
2. 其他字段合法，开始时间为明日10:00</x:v>
      </x:c>
      <x:c r="J165" s="4" t="str">
        <x:v>1. 进入「定制礼物-13」页
2. 设置结束时间为明日10:00
3. 保存</x:v>
      </x:c>
      <x:c r="K165" s="4" t="str">
        <x:v>定制礼物时间范围不能保存</x:v>
      </x:c>
      <x:c r="L165" s="4" t="str"/>
      <x:c r="M165" s="4" t="str">
        <x:v>未测</x:v>
      </x:c>
      <x:c r="N165" s="4" t="str"/>
      <x:c r="O165" s="4" t="str">
        <x:v>1. 来源：MainBasis/统一需求文档.md；A-admin-custom-gift-003
2. 场景：SC-b46851c4877d16</x:v>
      </x:c>
    </x:row>
    <x:row r="166" ht="68" customHeight="1">
      <x:c r="A166" s="4" t="n">
        <x:v>165</x:v>
      </x:c>
      <x:c r="B166" s="4" t="str">
        <x:v>ADMIN-0165</x:v>
      </x:c>
      <x:c r="C166" s="4" t="str">
        <x:v>M08 礼物、道具、任务、邀请与运营配置</x:v>
      </x:c>
      <x:c r="D166" s="4" t="str">
        <x:v>定制礼物-13（平台管理员视角）</x:v>
      </x:c>
      <x:c r="E166" s="4" t="str">
        <x:v>逻辑校验</x:v>
      </x:c>
      <x:c r="F166" s="4" t="str">
        <x:v>P1</x:v>
      </x:c>
      <x:c r="G166" s="4" t="str">
        <x:v>验证定制礼物结束晚于开始</x:v>
      </x:c>
      <x:c r="H166" s="4" t="str">
        <x:v>定制礼物结束晚于开始</x:v>
      </x:c>
      <x:c r="I166" s="4" t="str">
        <x:v>1. 已登录平台管理员账号
2. 其他字段合法，开始时间为明日10:00</x:v>
      </x:c>
      <x:c r="J166" s="4" t="str">
        <x:v>1. 进入「定制礼物-13」页
2. 设置结束时间为明日10:01
3. 保存</x:v>
      </x:c>
      <x:c r="K166" s="4" t="str">
        <x:v>定制礼物时间范围可保存</x:v>
      </x:c>
      <x:c r="L166" s="4" t="str"/>
      <x:c r="M166" s="4" t="str">
        <x:v>未测</x:v>
      </x:c>
      <x:c r="N166" s="4" t="str"/>
      <x:c r="O166" s="4" t="str">
        <x:v>1. 来源：MainBasis/统一需求文档.md；A-admin-custom-gift-003
2. 场景：SC-6076584c585879</x:v>
      </x:c>
    </x:row>
    <x:row r="167" ht="68" customHeight="1">
      <x:c r="A167" s="4" t="n">
        <x:v>166</x:v>
      </x:c>
      <x:c r="B167" s="4" t="str">
        <x:v>ADMIN-0166</x:v>
      </x:c>
      <x:c r="C167" s="4" t="str">
        <x:v>M08 礼物、道具、任务、邀请与运营配置</x:v>
      </x:c>
      <x:c r="D167" s="4" t="str">
        <x:v>定制礼物-13（平台管理员视角）</x:v>
      </x:c>
      <x:c r="E167" s="4" t="str">
        <x:v>功能需求</x:v>
      </x:c>
      <x:c r="F167" s="4" t="str">
        <x:v>P1</x:v>
      </x:c>
      <x:c r="G167" s="4" t="str">
        <x:v>验证定制礼物生效前</x:v>
      </x:c>
      <x:c r="H167" s="4" t="str">
        <x:v>定制礼物生效前</x:v>
      </x:c>
      <x:c r="I167" s="4" t="str">
        <x:v>1. 已登录平台管理员账号
2. 礼物未提前下架且已配置有效起止时间
3. 当前生效前</x:v>
      </x:c>
      <x:c r="J167" s="4" t="str">
        <x:v>1. 进入「定制礼物-13」页
2. 查看定制礼物生效前</x:v>
      </x:c>
      <x:c r="K167" s="4" t="str">
        <x:v>礼物状态为未生效</x:v>
      </x:c>
      <x:c r="L167" s="4" t="str"/>
      <x:c r="M167" s="4" t="str">
        <x:v>未测</x:v>
      </x:c>
      <x:c r="N167" s="4" t="str"/>
      <x:c r="O167" s="4" t="str">
        <x:v>1. 来源：MainBasis/统一需求文档.md；A-admin-custom-gift-005、A-admin-custom-gift-004、D-SYS-129、A-admin-gift-detail-009
2. 场景：SC-3b6a671b3bcede</x:v>
      </x:c>
    </x:row>
    <x:row r="168" ht="68" customHeight="1">
      <x:c r="A168" s="4" t="n">
        <x:v>167</x:v>
      </x:c>
      <x:c r="B168" s="4" t="str">
        <x:v>ADMIN-0167</x:v>
      </x:c>
      <x:c r="C168" s="4" t="str">
        <x:v>M08 礼物、道具、任务、邀请与运营配置</x:v>
      </x:c>
      <x:c r="D168" s="4" t="str">
        <x:v>定制礼物-13（平台管理员视角）</x:v>
      </x:c>
      <x:c r="E168" s="4" t="str">
        <x:v>功能需求</x:v>
      </x:c>
      <x:c r="F168" s="4" t="str">
        <x:v>P1</x:v>
      </x:c>
      <x:c r="G168" s="4" t="str">
        <x:v>验证定制礼物已到生效时间</x:v>
      </x:c>
      <x:c r="H168" s="4" t="str">
        <x:v>定制礼物已到生效时间</x:v>
      </x:c>
      <x:c r="I168" s="4" t="str">
        <x:v>1. 已登录平台管理员账号
2. 礼物未提前下架且已配置有效起止时间
3. 当前已到生效时间</x:v>
      </x:c>
      <x:c r="J168" s="4" t="str">
        <x:v>1. 进入「定制礼物-13」页
2. 查看定制礼物已到生效时间</x:v>
      </x:c>
      <x:c r="K168" s="4" t="str">
        <x:v>礼物状态为上架中</x:v>
      </x:c>
      <x:c r="L168" s="4" t="str"/>
      <x:c r="M168" s="4" t="str">
        <x:v>未测</x:v>
      </x:c>
      <x:c r="N168" s="4" t="str"/>
      <x:c r="O168" s="4" t="str">
        <x:v>1. 来源：MainBasis/统一需求文档.md；A-admin-custom-gift-005、A-admin-custom-gift-004、D-SYS-129、A-admin-gift-detail-009
2. 场景：SC-53ff3360c444f7</x:v>
      </x:c>
    </x:row>
    <x:row r="169" ht="68" customHeight="1">
      <x:c r="A169" s="4" t="n">
        <x:v>168</x:v>
      </x:c>
      <x:c r="B169" s="4" t="str">
        <x:v>ADMIN-0168</x:v>
      </x:c>
      <x:c r="C169" s="4" t="str">
        <x:v>M08 礼物、道具、任务、邀请与运营配置</x:v>
      </x:c>
      <x:c r="D169" s="4" t="str">
        <x:v>定制礼物-13（平台管理员视角）</x:v>
      </x:c>
      <x:c r="E169" s="4" t="str">
        <x:v>功能需求</x:v>
      </x:c>
      <x:c r="F169" s="4" t="str">
        <x:v>P1</x:v>
      </x:c>
      <x:c r="G169" s="4" t="str">
        <x:v>验证定制礼物已到失效时间</x:v>
      </x:c>
      <x:c r="H169" s="4" t="str">
        <x:v>定制礼物已到失效时间</x:v>
      </x:c>
      <x:c r="I169" s="4" t="str">
        <x:v>1. 已登录平台管理员账号
2. 礼物未提前下架且已配置有效起止时间
3. 当前已到失效时间</x:v>
      </x:c>
      <x:c r="J169" s="4" t="str">
        <x:v>1. 进入「定制礼物-13」页
2. 查看定制礼物已到失效时间</x:v>
      </x:c>
      <x:c r="K169" s="4" t="str">
        <x:v>礼物状态为已下架</x:v>
      </x:c>
      <x:c r="L169" s="4" t="str"/>
      <x:c r="M169" s="4" t="str">
        <x:v>未测</x:v>
      </x:c>
      <x:c r="N169" s="4" t="str"/>
      <x:c r="O169" s="4" t="str">
        <x:v>1. 来源：MainBasis/统一需求文档.md；A-admin-custom-gift-005、A-admin-custom-gift-004、D-SYS-129、A-admin-gift-detail-009
2. 场景：SC-a2d3a391d8b8c8</x:v>
      </x:c>
    </x:row>
    <x:row r="170" ht="68" customHeight="1">
      <x:c r="A170" s="4" t="n">
        <x:v>169</x:v>
      </x:c>
      <x:c r="B170" s="4" t="str">
        <x:v>ADMIN-0169</x:v>
      </x:c>
      <x:c r="C170" s="4" t="str">
        <x:v>M08 礼物、道具、任务、邀请与运营配置</x:v>
      </x:c>
      <x:c r="D170" s="4" t="str">
        <x:v>定制礼物-13（平台管理员视角）</x:v>
      </x:c>
      <x:c r="E170" s="4" t="str">
        <x:v>功能需求</x:v>
      </x:c>
      <x:c r="F170" s="4" t="str">
        <x:v>P1</x:v>
      </x:c>
      <x:c r="G170" s="4" t="str">
        <x:v>验证定制礼物提前下架</x:v>
      </x:c>
      <x:c r="H170" s="4" t="str">
        <x:v>定制礼物提前下架</x:v>
      </x:c>
      <x:c r="I170" s="4" t="str">
        <x:v>1. 已登录平台管理员账号
2. 礼物正在有效投放期</x:v>
      </x:c>
      <x:c r="J170" s="4" t="str">
        <x:v>1. 进入「定制礼物-13」页
2. 提前下架
3. 确认</x:v>
      </x:c>
      <x:c r="K170" s="4" t="str">
        <x:v>礼物停止新赠送</x:v>
      </x:c>
      <x:c r="L170" s="4" t="str"/>
      <x:c r="M170" s="4" t="str">
        <x:v>未测</x:v>
      </x:c>
      <x:c r="N170" s="4" t="str"/>
      <x:c r="O170" s="4" t="str">
        <x:v>1. 来源：MainBasis/统一需求文档.md；A-admin-custom-gift-006
2. 场景：SC-12c483be15e72d</x:v>
      </x:c>
    </x:row>
    <x:row r="171" ht="68" customHeight="1">
      <x:c r="A171" s="4" t="n">
        <x:v>170</x:v>
      </x:c>
      <x:c r="B171" s="4" t="str">
        <x:v>ADMIN-0170</x:v>
      </x:c>
      <x:c r="C171" s="4" t="str">
        <x:v>M08 礼物、道具、任务、邀请与运营配置</x:v>
      </x:c>
      <x:c r="D171" s="4" t="str">
        <x:v>幸运礼物-14（平台管理员视角）</x:v>
      </x:c>
      <x:c r="E171" s="4" t="str">
        <x:v>逻辑校验</x:v>
      </x:c>
      <x:c r="F171" s="4" t="str">
        <x:v>P1</x:v>
      </x:c>
      <x:c r="G171" s="4" t="str">
        <x:v>验证幸运收益比例-1%</x:v>
      </x:c>
      <x:c r="H171" s="4" t="str">
        <x:v>幸运收益比例-1%</x:v>
      </x:c>
      <x:c r="I171" s="4" t="str">
        <x:v>1. 已登录平台管理员账号</x:v>
      </x:c>
      <x:c r="J171" s="4" t="str">
        <x:v>1. 进入「幸运礼物-14」页
2. 点击编辑
3. 填写比例-1%
4. 保存</x:v>
      </x:c>
      <x:c r="K171" s="4" t="str">
        <x:v>比例不能保存</x:v>
      </x:c>
      <x:c r="L171" s="4" t="str"/>
      <x:c r="M171" s="4" t="str">
        <x:v>未测</x:v>
      </x:c>
      <x:c r="N171" s="4" t="str"/>
      <x:c r="O171" s="4" t="str">
        <x:v>1. 来源：MainBasis/统一需求文档.md；A-admin-lucky-gift-config-012、A-admin-lucky-gift-config-002
2. 场景：SC-ba649d9a47e34b</x:v>
      </x:c>
    </x:row>
    <x:row r="172" ht="68" customHeight="1">
      <x:c r="A172" s="4" t="n">
        <x:v>171</x:v>
      </x:c>
      <x:c r="B172" s="4" t="str">
        <x:v>ADMIN-0171</x:v>
      </x:c>
      <x:c r="C172" s="4" t="str">
        <x:v>M08 礼物、道具、任务、邀请与运营配置</x:v>
      </x:c>
      <x:c r="D172" s="4" t="str">
        <x:v>幸运礼物-14（平台管理员视角）</x:v>
      </x:c>
      <x:c r="E172" s="4" t="str">
        <x:v>逻辑校验</x:v>
      </x:c>
      <x:c r="F172" s="4" t="str">
        <x:v>P1</x:v>
      </x:c>
      <x:c r="G172" s="4" t="str">
        <x:v>验证幸运收益比例0%</x:v>
      </x:c>
      <x:c r="H172" s="4" t="str">
        <x:v>幸运收益比例0%</x:v>
      </x:c>
      <x:c r="I172" s="4" t="str">
        <x:v>1. 已登录平台管理员账号</x:v>
      </x:c>
      <x:c r="J172" s="4" t="str">
        <x:v>1. 进入「幸运礼物-14」页
2. 点击编辑
3. 填写比例0%
4. 保存</x:v>
      </x:c>
      <x:c r="K172" s="4" t="str">
        <x:v>全局收益比例保存为0%</x:v>
      </x:c>
      <x:c r="L172" s="4" t="str"/>
      <x:c r="M172" s="4" t="str">
        <x:v>未测</x:v>
      </x:c>
      <x:c r="N172" s="4" t="str"/>
      <x:c r="O172" s="4" t="str">
        <x:v>1. 来源：MainBasis/统一需求文档.md；A-admin-lucky-gift-config-012、A-admin-lucky-gift-config-002
2. 场景：SC-20c35578aadcd9</x:v>
      </x:c>
    </x:row>
    <x:row r="173" ht="68" customHeight="1">
      <x:c r="A173" s="4" t="n">
        <x:v>172</x:v>
      </x:c>
      <x:c r="B173" s="4" t="str">
        <x:v>ADMIN-0172</x:v>
      </x:c>
      <x:c r="C173" s="4" t="str">
        <x:v>M08 礼物、道具、任务、邀请与运营配置</x:v>
      </x:c>
      <x:c r="D173" s="4" t="str">
        <x:v>幸运礼物-14（平台管理员视角）</x:v>
      </x:c>
      <x:c r="E173" s="4" t="str">
        <x:v>逻辑校验</x:v>
      </x:c>
      <x:c r="F173" s="4" t="str">
        <x:v>P1</x:v>
      </x:c>
      <x:c r="G173" s="4" t="str">
        <x:v>验证幸运收益比例1%</x:v>
      </x:c>
      <x:c r="H173" s="4" t="str">
        <x:v>幸运收益比例1%</x:v>
      </x:c>
      <x:c r="I173" s="4" t="str">
        <x:v>1. 已登录平台管理员账号</x:v>
      </x:c>
      <x:c r="J173" s="4" t="str">
        <x:v>1. 进入「幸运礼物-14」页
2. 点击编辑
3. 填写比例1%
4. 保存</x:v>
      </x:c>
      <x:c r="K173" s="4" t="str">
        <x:v>全局收益比例保存为1%</x:v>
      </x:c>
      <x:c r="L173" s="4" t="str"/>
      <x:c r="M173" s="4" t="str">
        <x:v>未测</x:v>
      </x:c>
      <x:c r="N173" s="4" t="str"/>
      <x:c r="O173" s="4" t="str">
        <x:v>1. 来源：MainBasis/统一需求文档.md；A-admin-lucky-gift-config-012、A-admin-lucky-gift-config-002
2. 场景：SC-15b28db7c7cfae</x:v>
      </x:c>
    </x:row>
    <x:row r="174" ht="68" customHeight="1">
      <x:c r="A174" s="4" t="n">
        <x:v>173</x:v>
      </x:c>
      <x:c r="B174" s="4" t="str">
        <x:v>ADMIN-0173</x:v>
      </x:c>
      <x:c r="C174" s="4" t="str">
        <x:v>M08 礼物、道具、任务、邀请与运营配置</x:v>
      </x:c>
      <x:c r="D174" s="4" t="str">
        <x:v>幸运礼物-14（平台管理员视角）</x:v>
      </x:c>
      <x:c r="E174" s="4" t="str">
        <x:v>逻辑校验</x:v>
      </x:c>
      <x:c r="F174" s="4" t="str">
        <x:v>P1</x:v>
      </x:c>
      <x:c r="G174" s="4" t="str">
        <x:v>验证幸运收益比例100%</x:v>
      </x:c>
      <x:c r="H174" s="4" t="str">
        <x:v>幸运收益比例100%</x:v>
      </x:c>
      <x:c r="I174" s="4" t="str">
        <x:v>1. 已登录平台管理员账号</x:v>
      </x:c>
      <x:c r="J174" s="4" t="str">
        <x:v>1. 进入「幸运礼物-14」页
2. 点击编辑
3. 填写比例100%
4. 保存</x:v>
      </x:c>
      <x:c r="K174" s="4" t="str">
        <x:v>全局收益比例保存为100%</x:v>
      </x:c>
      <x:c r="L174" s="4" t="str"/>
      <x:c r="M174" s="4" t="str">
        <x:v>未测</x:v>
      </x:c>
      <x:c r="N174" s="4" t="str"/>
      <x:c r="O174" s="4" t="str">
        <x:v>1. 来源：MainBasis/统一需求文档.md；A-admin-lucky-gift-config-012、A-admin-lucky-gift-config-002
2. 场景：SC-cea2e667fc85fb</x:v>
      </x:c>
    </x:row>
    <x:row r="175" ht="68" customHeight="1">
      <x:c r="A175" s="4" t="n">
        <x:v>174</x:v>
      </x:c>
      <x:c r="B175" s="4" t="str">
        <x:v>ADMIN-0174</x:v>
      </x:c>
      <x:c r="C175" s="4" t="str">
        <x:v>M08 礼物、道具、任务、邀请与运营配置</x:v>
      </x:c>
      <x:c r="D175" s="4" t="str">
        <x:v>幸运礼物-14（平台管理员视角）</x:v>
      </x:c>
      <x:c r="E175" s="4" t="str">
        <x:v>逻辑校验</x:v>
      </x:c>
      <x:c r="F175" s="4" t="str">
        <x:v>P1</x:v>
      </x:c>
      <x:c r="G175" s="4" t="str">
        <x:v>验证幸运收益比例101%</x:v>
      </x:c>
      <x:c r="H175" s="4" t="str">
        <x:v>幸运收益比例101%</x:v>
      </x:c>
      <x:c r="I175" s="4" t="str">
        <x:v>1. 已登录平台管理员账号</x:v>
      </x:c>
      <x:c r="J175" s="4" t="str">
        <x:v>1. 进入「幸运礼物-14」页
2. 点击编辑
3. 填写比例101%
4. 保存</x:v>
      </x:c>
      <x:c r="K175" s="4" t="str">
        <x:v>比例不能保存</x:v>
      </x:c>
      <x:c r="L175" s="4" t="str"/>
      <x:c r="M175" s="4" t="str">
        <x:v>未测</x:v>
      </x:c>
      <x:c r="N175" s="4" t="str"/>
      <x:c r="O175" s="4" t="str">
        <x:v>1. 来源：MainBasis/统一需求文档.md；A-admin-lucky-gift-config-012、A-admin-lucky-gift-config-002
2. 场景：SC-5a2d4999b2f9a2</x:v>
      </x:c>
    </x:row>
    <x:row r="176" ht="68" customHeight="1">
      <x:c r="A176" s="4" t="n">
        <x:v>175</x:v>
      </x:c>
      <x:c r="B176" s="4" t="str">
        <x:v>ADMIN-0175</x:v>
      </x:c>
      <x:c r="C176" s="4" t="str">
        <x:v>M08 礼物、道具、任务、邀请与运营配置</x:v>
      </x:c>
      <x:c r="D176" s="4" t="str">
        <x:v>幸运礼物-14（平台管理员视角）</x:v>
      </x:c>
      <x:c r="E176" s="4" t="str">
        <x:v>逻辑校验</x:v>
      </x:c>
      <x:c r="F176" s="4" t="str">
        <x:v>P1</x:v>
      </x:c>
      <x:c r="G176" s="4" t="str">
        <x:v>验证修改幸运比例不重算历史</x:v>
      </x:c>
      <x:c r="H176" s="4" t="str">
        <x:v>修改幸运比例不重算历史</x:v>
      </x:c>
      <x:c r="I176" s="4" t="str">
        <x:v>1. 已登录平台管理员账号
2. 历史幸运礼物价值1000，赠送时比例1%，现改为2%</x:v>
      </x:c>
      <x:c r="J176" s="4" t="str">
        <x:v>1. 进入「幸运礼物-14」页
2. 查看修改幸运比例不重算历史</x:v>
      </x:c>
      <x:c r="K176" s="4" t="str">
        <x:v>历史收益仍为1000 × 1% = 10金币</x:v>
      </x:c>
      <x:c r="L176" s="4" t="str"/>
      <x:c r="M176" s="4" t="str">
        <x:v>未测</x:v>
      </x:c>
      <x:c r="N176" s="4" t="str"/>
      <x:c r="O176" s="4" t="str">
        <x:v>1. 来源：MainBasis/统一需求文档.md；A-admin-lucky-gift-config-010
2. 场景：SC-0f4ef230a6b2b4</x:v>
      </x:c>
    </x:row>
    <x:row r="177" ht="82" customHeight="1">
      <x:c r="A177" s="4" t="n">
        <x:v>176</x:v>
      </x:c>
      <x:c r="B177" s="4" t="str">
        <x:v>ADMIN-0176</x:v>
      </x:c>
      <x:c r="C177" s="4" t="str">
        <x:v>M08 礼物、道具、任务、邀请与运营配置</x:v>
      </x:c>
      <x:c r="D177" s="4" t="str">
        <x:v>幸运礼物-14（平台管理员视角）</x:v>
      </x:c>
      <x:c r="E177" s="4" t="str">
        <x:v>逻辑校验</x:v>
      </x:c>
      <x:c r="F177" s="4" t="str">
        <x:v>P1</x:v>
      </x:c>
      <x:c r="G177" s="4" t="str">
        <x:v>验证返奖不改主播幸运收益</x:v>
      </x:c>
      <x:c r="H177" s="4" t="str">
        <x:v>返奖不改主播幸运收益</x:v>
      </x:c>
      <x:c r="I177" s="4" t="str">
        <x:v>1. 已登录平台管理员账号
2. 幸运礼物1000金币，赠送时收益比例1%，返奖900</x:v>
      </x:c>
      <x:c r="J177" s="4" t="str">
        <x:v>1. 进入「幸运礼物-14」页
2. 查看返奖不改主播幸运收益</x:v>
      </x:c>
      <x:c r="K177" s="4" t="str">
        <x:v>主播收益 = 1000 × 1% = 10金币</x:v>
      </x:c>
      <x:c r="L177" s="4" t="str"/>
      <x:c r="M177" s="4" t="str">
        <x:v>未测</x:v>
      </x:c>
      <x:c r="N177" s="4" t="str"/>
      <x:c r="O177" s="4" t="str">
        <x:v>1. 来源：MainBasis/统一需求文档.md；A-admin-lucky-gift-config-009、A-admin-lucky-gift-detail-009、U-host-gift-gallery-007、D-SYS-165
2. 场景：SC-fc8202048604cd</x:v>
      </x:c>
    </x:row>
    <x:row r="178" ht="68" customHeight="1">
      <x:c r="A178" s="4" t="n">
        <x:v>177</x:v>
      </x:c>
      <x:c r="B178" s="4" t="str">
        <x:v>ADMIN-0177</x:v>
      </x:c>
      <x:c r="C178" s="4" t="str">
        <x:v>M08 礼物、道具、任务、邀请与运营配置</x:v>
      </x:c>
      <x:c r="D178" s="4" t="str">
        <x:v>幸运礼物-14（平台管理员视角）</x:v>
      </x:c>
      <x:c r="E178" s="4" t="str">
        <x:v>功能需求</x:v>
      </x:c>
      <x:c r="F178" s="4" t="str">
        <x:v>P2</x:v>
      </x:c>
      <x:c r="G178" s="4" t="str">
        <x:v>验证状态单礼物上下架回显</x:v>
      </x:c>
      <x:c r="H178" s="4" t="str">
        <x:v>状态单礼物上下架回显</x:v>
      </x:c>
      <x:c r="I178" s="4" t="str">
        <x:v>1. 已登录平台管理员账号
2. 所选记录状态为单礼物上下架</x:v>
      </x:c>
      <x:c r="J178" s="4" t="str">
        <x:v>1. 进入「幸运礼物-14」页
2. 查看状态单礼物上下架回显</x:v>
      </x:c>
      <x:c r="K178" s="4" t="str">
        <x:v>状态显示单礼物上下架</x:v>
      </x:c>
      <x:c r="L178" s="4" t="str"/>
      <x:c r="M178" s="4" t="str">
        <x:v>未测</x:v>
      </x:c>
      <x:c r="N178" s="4" t="str"/>
      <x:c r="O178" s="4" t="str">
        <x:v>1. 来源：MainBasis/统一需求文档.md；A-admin-lucky-gift-config-007
2. 场景：SC-6e18beb31d5307</x:v>
      </x:c>
    </x:row>
    <x:row r="179" ht="68" customHeight="1">
      <x:c r="A179" s="4" t="n">
        <x:v>178</x:v>
      </x:c>
      <x:c r="B179" s="4" t="str">
        <x:v>ADMIN-0178</x:v>
      </x:c>
      <x:c r="C179" s="4" t="str">
        <x:v>M08 礼物、道具、任务、邀请与运营配置</x:v>
      </x:c>
      <x:c r="D179" s="4" t="str">
        <x:v>幸运礼物-14（平台管理员视角）</x:v>
      </x:c>
      <x:c r="E179" s="4" t="str">
        <x:v>功能需求</x:v>
      </x:c>
      <x:c r="F179" s="4" t="str">
        <x:v>P1</x:v>
      </x:c>
      <x:c r="G179" s="4" t="str">
        <x:v>验证幸运下架保留历史</x:v>
      </x:c>
      <x:c r="H179" s="4" t="str">
        <x:v>幸运下架保留历史</x:v>
      </x:c>
      <x:c r="I179" s="4" t="str">
        <x:v>1. 已登录平台管理员账号
2. 礼物已有完成开奖消费结算记录，现已下架</x:v>
      </x:c>
      <x:c r="J179" s="4" t="str">
        <x:v>1. 进入「幸运礼物-14」页
2. 查看幸运下架保留历史</x:v>
      </x:c>
      <x:c r="K179" s="4" t="str">
        <x:v>已有开奖、消费、结算记录保留</x:v>
      </x:c>
      <x:c r="L179" s="4" t="str"/>
      <x:c r="M179" s="4" t="str">
        <x:v>未测</x:v>
      </x:c>
      <x:c r="N179" s="4" t="str"/>
      <x:c r="O179" s="4" t="str">
        <x:v>1. 来源：MainBasis/统一需求文档.md；A-admin-lucky-gift-config-011
2. 场景：SC-c166046d8f60bc</x:v>
      </x:c>
    </x:row>
    <x:row r="180" ht="68" customHeight="1">
      <x:c r="A180" s="4" t="n">
        <x:v>179</x:v>
      </x:c>
      <x:c r="B180" s="4" t="str">
        <x:v>ADMIN-0179</x:v>
      </x:c>
      <x:c r="C180" s="4" t="str">
        <x:v>M08 礼物、道具、任务、邀请与运营配置</x:v>
      </x:c>
      <x:c r="D180" s="4" t="str">
        <x:v>幸运礼物-14（平台管理员视角）</x:v>
      </x:c>
      <x:c r="E180" s="4" t="str">
        <x:v>功能需求</x:v>
      </x:c>
      <x:c r="F180" s="4" t="str">
        <x:v>P1</x:v>
      </x:c>
      <x:c r="G180" s="4" t="str">
        <x:v>验证上架确认</x:v>
      </x:c>
      <x:c r="H180" s="4" t="str">
        <x:v>上架确认</x:v>
      </x:c>
      <x:c r="I180" s="4" t="str">
        <x:v>1. 已登录平台管理员账号
2. 所选记录满足该操作业务条件</x:v>
      </x:c>
      <x:c r="J180" s="4" t="str">
        <x:v>1. 进入「幸运礼物-14」页
2. 点击上架
3. 点击确认</x:v>
      </x:c>
      <x:c r="K180" s="4" t="str">
        <x:v>所选记录完成上架</x:v>
      </x:c>
      <x:c r="L180" s="4" t="str"/>
      <x:c r="M180" s="4" t="str">
        <x:v>未测</x:v>
      </x:c>
      <x:c r="N180" s="4" t="str"/>
      <x:c r="O180" s="4" t="str">
        <x:v>1. 来源：MainBasis/统一需求文档.md；A-admin-lucky-gift-config-013
2. 场景：SC-e32509b1e03d86</x:v>
      </x:c>
    </x:row>
    <x:row r="181" ht="68" customHeight="1">
      <x:c r="A181" s="4" t="n">
        <x:v>180</x:v>
      </x:c>
      <x:c r="B181" s="4" t="str">
        <x:v>ADMIN-0180</x:v>
      </x:c>
      <x:c r="C181" s="4" t="str">
        <x:v>M08 礼物、道具、任务、邀请与运营配置</x:v>
      </x:c>
      <x:c r="D181" s="4" t="str">
        <x:v>幸运礼物-14（平台管理员视角）</x:v>
      </x:c>
      <x:c r="E181" s="4" t="str">
        <x:v>功能需求</x:v>
      </x:c>
      <x:c r="F181" s="4" t="str">
        <x:v>P1</x:v>
      </x:c>
      <x:c r="G181" s="4" t="str">
        <x:v>验证上架取消</x:v>
      </x:c>
      <x:c r="H181" s="4" t="str">
        <x:v>上架取消</x:v>
      </x:c>
      <x:c r="I181" s="4" t="str">
        <x:v>1. 已登录平台管理员账号
2. 所选记录满足该操作业务条件</x:v>
      </x:c>
      <x:c r="J181" s="4" t="str">
        <x:v>1. 进入「幸运礼物-14」页
2. 点击上架
3. 点击取消</x:v>
      </x:c>
      <x:c r="K181" s="4" t="str">
        <x:v>所选记录保持操作前状态</x:v>
      </x:c>
      <x:c r="L181" s="4" t="str"/>
      <x:c r="M181" s="4" t="str">
        <x:v>未测</x:v>
      </x:c>
      <x:c r="N181" s="4" t="str"/>
      <x:c r="O181" s="4" t="str">
        <x:v>1. 来源：MainBasis/统一需求文档.md；A-admin-lucky-gift-config-013
2. 场景：SC-f29c1e7896fb54</x:v>
      </x:c>
    </x:row>
    <x:row r="182" ht="68" customHeight="1">
      <x:c r="A182" s="4" t="n">
        <x:v>181</x:v>
      </x:c>
      <x:c r="B182" s="4" t="str">
        <x:v>ADMIN-0181</x:v>
      </x:c>
      <x:c r="C182" s="4" t="str">
        <x:v>M08 礼物、道具、任务、邀请与运营配置</x:v>
      </x:c>
      <x:c r="D182" s="4" t="str">
        <x:v>幸运礼物-14（平台管理员视角）</x:v>
      </x:c>
      <x:c r="E182" s="4" t="str">
        <x:v>功能需求</x:v>
      </x:c>
      <x:c r="F182" s="4" t="str">
        <x:v>P1</x:v>
      </x:c>
      <x:c r="G182" s="4" t="str">
        <x:v>验证下架确认</x:v>
      </x:c>
      <x:c r="H182" s="4" t="str">
        <x:v>下架确认</x:v>
      </x:c>
      <x:c r="I182" s="4" t="str">
        <x:v>1. 已登录平台管理员账号
2. 所选记录满足该操作业务条件</x:v>
      </x:c>
      <x:c r="J182" s="4" t="str">
        <x:v>1. 进入「幸运礼物-14」页
2. 点击下架
3. 点击确认</x:v>
      </x:c>
      <x:c r="K182" s="4" t="str">
        <x:v>所选记录完成下架</x:v>
      </x:c>
      <x:c r="L182" s="4" t="str"/>
      <x:c r="M182" s="4" t="str">
        <x:v>未测</x:v>
      </x:c>
      <x:c r="N182" s="4" t="str"/>
      <x:c r="O182" s="4" t="str">
        <x:v>1. 来源：MainBasis/统一需求文档.md；A-admin-lucky-gift-config-013
2. 场景：SC-93a56faa54433c</x:v>
      </x:c>
    </x:row>
    <x:row r="183" ht="68" customHeight="1">
      <x:c r="A183" s="4" t="n">
        <x:v>182</x:v>
      </x:c>
      <x:c r="B183" s="4" t="str">
        <x:v>ADMIN-0182</x:v>
      </x:c>
      <x:c r="C183" s="4" t="str">
        <x:v>M08 礼物、道具、任务、邀请与运营配置</x:v>
      </x:c>
      <x:c r="D183" s="4" t="str">
        <x:v>幸运礼物-14（平台管理员视角）</x:v>
      </x:c>
      <x:c r="E183" s="4" t="str">
        <x:v>功能需求</x:v>
      </x:c>
      <x:c r="F183" s="4" t="str">
        <x:v>P1</x:v>
      </x:c>
      <x:c r="G183" s="4" t="str">
        <x:v>验证下架取消</x:v>
      </x:c>
      <x:c r="H183" s="4" t="str">
        <x:v>下架取消</x:v>
      </x:c>
      <x:c r="I183" s="4" t="str">
        <x:v>1. 已登录平台管理员账号
2. 所选记录满足该操作业务条件</x:v>
      </x:c>
      <x:c r="J183" s="4" t="str">
        <x:v>1. 进入「幸运礼物-14」页
2. 点击下架
3. 点击取消</x:v>
      </x:c>
      <x:c r="K183" s="4" t="str">
        <x:v>所选记录保持操作前状态</x:v>
      </x:c>
      <x:c r="L183" s="4" t="str"/>
      <x:c r="M183" s="4" t="str">
        <x:v>未测</x:v>
      </x:c>
      <x:c r="N183" s="4" t="str"/>
      <x:c r="O183" s="4" t="str">
        <x:v>1. 来源：MainBasis/统一需求文档.md；A-admin-lucky-gift-config-013
2. 场景：SC-ffad965faaca10</x:v>
      </x:c>
    </x:row>
    <x:row r="184" ht="68" customHeight="1">
      <x:c r="A184" s="4" t="n">
        <x:v>183</x:v>
      </x:c>
      <x:c r="B184" s="4" t="str">
        <x:v>ADMIN-0183</x:v>
      </x:c>
      <x:c r="C184" s="4" t="str">
        <x:v>M08 礼物、道具、任务、邀请与运营配置</x:v>
      </x:c>
      <x:c r="D184" s="4" t="str">
        <x:v>幸运礼物-14（平台管理员视角）</x:v>
      </x:c>
      <x:c r="E184" s="4" t="str">
        <x:v>功能需求</x:v>
      </x:c>
      <x:c r="F184" s="4" t="str">
        <x:v>P1</x:v>
      </x:c>
      <x:c r="G184" s="4" t="str">
        <x:v>验证删除确认</x:v>
      </x:c>
      <x:c r="H184" s="4" t="str">
        <x:v>删除确认</x:v>
      </x:c>
      <x:c r="I184" s="4" t="str">
        <x:v>1. 已登录平台管理员账号
2. 所选记录满足该操作业务条件</x:v>
      </x:c>
      <x:c r="J184" s="4" t="str">
        <x:v>1. 进入「幸运礼物-14」页
2. 点击删除
3. 点击确认</x:v>
      </x:c>
      <x:c r="K184" s="4" t="str">
        <x:v>所选记录完成删除</x:v>
      </x:c>
      <x:c r="L184" s="4" t="str"/>
      <x:c r="M184" s="4" t="str">
        <x:v>未测</x:v>
      </x:c>
      <x:c r="N184" s="4" t="str"/>
      <x:c r="O184" s="4" t="str">
        <x:v>1. 来源：MainBasis/统一需求文档.md；A-admin-lucky-gift-config-013
2. 场景：SC-0d1a6ad67c11de</x:v>
      </x:c>
    </x:row>
    <x:row r="185" ht="68" customHeight="1">
      <x:c r="A185" s="4" t="n">
        <x:v>184</x:v>
      </x:c>
      <x:c r="B185" s="4" t="str">
        <x:v>ADMIN-0184</x:v>
      </x:c>
      <x:c r="C185" s="4" t="str">
        <x:v>M08 礼物、道具、任务、邀请与运营配置</x:v>
      </x:c>
      <x:c r="D185" s="4" t="str">
        <x:v>幸运礼物-14（平台管理员视角）</x:v>
      </x:c>
      <x:c r="E185" s="4" t="str">
        <x:v>功能需求</x:v>
      </x:c>
      <x:c r="F185" s="4" t="str">
        <x:v>P1</x:v>
      </x:c>
      <x:c r="G185" s="4" t="str">
        <x:v>验证删除取消</x:v>
      </x:c>
      <x:c r="H185" s="4" t="str">
        <x:v>删除取消</x:v>
      </x:c>
      <x:c r="I185" s="4" t="str">
        <x:v>1. 已登录平台管理员账号
2. 所选记录满足该操作业务条件</x:v>
      </x:c>
      <x:c r="J185" s="4" t="str">
        <x:v>1. 进入「幸运礼物-14」页
2. 点击删除
3. 点击取消</x:v>
      </x:c>
      <x:c r="K185" s="4" t="str">
        <x:v>所选记录保持操作前状态</x:v>
      </x:c>
      <x:c r="L185" s="4" t="str"/>
      <x:c r="M185" s="4" t="str">
        <x:v>未测</x:v>
      </x:c>
      <x:c r="N185" s="4" t="str"/>
      <x:c r="O185" s="4" t="str">
        <x:v>1. 来源：MainBasis/统一需求文档.md；A-admin-lucky-gift-config-013
2. 场景：SC-ef36587d226709</x:v>
      </x:c>
    </x:row>
    <x:row r="186" ht="68" customHeight="1">
      <x:c r="A186" s="4" t="n">
        <x:v>185</x:v>
      </x:c>
      <x:c r="B186" s="4" t="str">
        <x:v>ADMIN-0185</x:v>
      </x:c>
      <x:c r="C186" s="4" t="str">
        <x:v>M08 礼物、道具、任务、邀请与运营配置</x:v>
      </x:c>
      <x:c r="D186" s="4" t="str">
        <x:v>幸运礼物编辑（平台管理员视角）</x:v>
      </x:c>
      <x:c r="E186" s="4" t="str">
        <x:v>逻辑校验</x:v>
      </x:c>
      <x:c r="F186" s="4" t="str">
        <x:v>P1</x:v>
      </x:c>
      <x:c r="G186" s="4" t="str">
        <x:v>验证奖励金币空值</x:v>
      </x:c>
      <x:c r="H186" s="4" t="str">
        <x:v>奖励金币空值</x:v>
      </x:c>
      <x:c r="I186" s="4" t="str">
        <x:v>1. 已登录平台管理员账号
2. 其他必填字段与配置有效</x:v>
      </x:c>
      <x:c r="J186" s="4" t="str">
        <x:v>1. 进入「幸运礼物编辑」页
2. 清空奖励金币
3. 点击保存</x:v>
      </x:c>
      <x:c r="K186" s="4" t="str">
        <x:v>奖励金币校验失败，不能保存</x:v>
      </x:c>
      <x:c r="L186" s="4" t="str"/>
      <x:c r="M186" s="4" t="str">
        <x:v>未测</x:v>
      </x:c>
      <x:c r="N186" s="4" t="str"/>
      <x:c r="O186" s="4" t="str">
        <x:v>1. 来源：MainBasis/统一需求文档.md；A-admin-lucky-gift-detail-005
2. 场景：SC-7cec8cde36bcae</x:v>
      </x:c>
    </x:row>
    <x:row r="187" ht="68" customHeight="1">
      <x:c r="A187" s="4" t="n">
        <x:v>186</x:v>
      </x:c>
      <x:c r="B187" s="4" t="str">
        <x:v>ADMIN-0186</x:v>
      </x:c>
      <x:c r="C187" s="4" t="str">
        <x:v>M08 礼物、道具、任务、邀请与运营配置</x:v>
      </x:c>
      <x:c r="D187" s="4" t="str">
        <x:v>幸运礼物编辑（平台管理员视角）</x:v>
      </x:c>
      <x:c r="E187" s="4" t="str">
        <x:v>逻辑校验</x:v>
      </x:c>
      <x:c r="F187" s="4" t="str">
        <x:v>P1</x:v>
      </x:c>
      <x:c r="G187" s="4" t="str">
        <x:v>验证奖励金币-1</x:v>
      </x:c>
      <x:c r="H187" s="4" t="str">
        <x:v>奖励金币-1</x:v>
      </x:c>
      <x:c r="I187" s="4" t="str">
        <x:v>1. 已登录平台管理员账号
2. 其他必填字段与配置有效</x:v>
      </x:c>
      <x:c r="J187" s="4" t="str">
        <x:v>1. 进入「幸运礼物编辑」页
2. 填写奖励金币-1
3. 点击保存</x:v>
      </x:c>
      <x:c r="K187" s="4" t="str">
        <x:v>奖励金币校验失败，不能保存</x:v>
      </x:c>
      <x:c r="L187" s="4" t="str"/>
      <x:c r="M187" s="4" t="str">
        <x:v>未测</x:v>
      </x:c>
      <x:c r="N187" s="4" t="str"/>
      <x:c r="O187" s="4" t="str">
        <x:v>1. 来源：MainBasis/统一需求文档.md；A-admin-lucky-gift-detail-005
2. 场景：SC-3ef07808979d11</x:v>
      </x:c>
    </x:row>
    <x:row r="188" ht="68" customHeight="1">
      <x:c r="A188" s="4" t="n">
        <x:v>187</x:v>
      </x:c>
      <x:c r="B188" s="4" t="str">
        <x:v>ADMIN-0187</x:v>
      </x:c>
      <x:c r="C188" s="4" t="str">
        <x:v>M08 礼物、道具、任务、邀请与运营配置</x:v>
      </x:c>
      <x:c r="D188" s="4" t="str">
        <x:v>幸运礼物编辑（平台管理员视角）</x:v>
      </x:c>
      <x:c r="E188" s="4" t="str">
        <x:v>逻辑校验</x:v>
      </x:c>
      <x:c r="F188" s="4" t="str">
        <x:v>P1</x:v>
      </x:c>
      <x:c r="G188" s="4" t="str">
        <x:v>验证奖励金币0</x:v>
      </x:c>
      <x:c r="H188" s="4" t="str">
        <x:v>奖励金币0</x:v>
      </x:c>
      <x:c r="I188" s="4" t="str">
        <x:v>1. 已登录平台管理员账号
2. 其他必填字段与配置有效</x:v>
      </x:c>
      <x:c r="J188" s="4" t="str">
        <x:v>1. 进入「幸运礼物编辑」页
2. 填写奖励金币0
3. 点击保存</x:v>
      </x:c>
      <x:c r="K188" s="4" t="str">
        <x:v>奖励金币保存为0</x:v>
      </x:c>
      <x:c r="L188" s="4" t="str"/>
      <x:c r="M188" s="4" t="str">
        <x:v>未测</x:v>
      </x:c>
      <x:c r="N188" s="4" t="str"/>
      <x:c r="O188" s="4" t="str">
        <x:v>1. 来源：MainBasis/统一需求文档.md；A-admin-lucky-gift-detail-005
2. 场景：SC-9415f3ce150050</x:v>
      </x:c>
    </x:row>
    <x:row r="189" ht="68" customHeight="1">
      <x:c r="A189" s="4" t="n">
        <x:v>188</x:v>
      </x:c>
      <x:c r="B189" s="4" t="str">
        <x:v>ADMIN-0188</x:v>
      </x:c>
      <x:c r="C189" s="4" t="str">
        <x:v>M08 礼物、道具、任务、邀请与运营配置</x:v>
      </x:c>
      <x:c r="D189" s="4" t="str">
        <x:v>幸运礼物编辑（平台管理员视角）</x:v>
      </x:c>
      <x:c r="E189" s="4" t="str">
        <x:v>逻辑校验</x:v>
      </x:c>
      <x:c r="F189" s="4" t="str">
        <x:v>P1</x:v>
      </x:c>
      <x:c r="G189" s="4" t="str">
        <x:v>验证奖励金币1</x:v>
      </x:c>
      <x:c r="H189" s="4" t="str">
        <x:v>奖励金币1</x:v>
      </x:c>
      <x:c r="I189" s="4" t="str">
        <x:v>1. 已登录平台管理员账号
2. 其他必填字段与配置有效</x:v>
      </x:c>
      <x:c r="J189" s="4" t="str">
        <x:v>1. 进入「幸运礼物编辑」页
2. 填写奖励金币1
3. 点击保存</x:v>
      </x:c>
      <x:c r="K189" s="4" t="str">
        <x:v>奖励金币保存为1</x:v>
      </x:c>
      <x:c r="L189" s="4" t="str"/>
      <x:c r="M189" s="4" t="str">
        <x:v>未测</x:v>
      </x:c>
      <x:c r="N189" s="4" t="str"/>
      <x:c r="O189" s="4" t="str">
        <x:v>1. 来源：MainBasis/统一需求文档.md；A-admin-lucky-gift-detail-005
2. 场景：SC-96198421a6c3f7</x:v>
      </x:c>
    </x:row>
    <x:row r="190" ht="68" customHeight="1">
      <x:c r="A190" s="4" t="n">
        <x:v>189</x:v>
      </x:c>
      <x:c r="B190" s="4" t="str">
        <x:v>ADMIN-0189</x:v>
      </x:c>
      <x:c r="C190" s="4" t="str">
        <x:v>M08 礼物、道具、任务、邀请与运营配置</x:v>
      </x:c>
      <x:c r="D190" s="4" t="str">
        <x:v>幸运礼物编辑（平台管理员视角）</x:v>
      </x:c>
      <x:c r="E190" s="4" t="str">
        <x:v>逻辑校验</x:v>
      </x:c>
      <x:c r="F190" s="4" t="str">
        <x:v>P1</x:v>
      </x:c>
      <x:c r="G190" s="4" t="str">
        <x:v>验证奖励金币1.5</x:v>
      </x:c>
      <x:c r="H190" s="4" t="str">
        <x:v>奖励金币1.5</x:v>
      </x:c>
      <x:c r="I190" s="4" t="str">
        <x:v>1. 已登录平台管理员账号
2. 其他必填字段与配置有效</x:v>
      </x:c>
      <x:c r="J190" s="4" t="str">
        <x:v>1. 进入「幸运礼物编辑」页
2. 填写奖励金币1.5
3. 点击保存</x:v>
      </x:c>
      <x:c r="K190" s="4" t="str">
        <x:v>奖励金币校验失败，不能保存</x:v>
      </x:c>
      <x:c r="L190" s="4" t="str"/>
      <x:c r="M190" s="4" t="str">
        <x:v>未测</x:v>
      </x:c>
      <x:c r="N190" s="4" t="str"/>
      <x:c r="O190" s="4" t="str">
        <x:v>1. 来源：MainBasis/统一需求文档.md；A-admin-lucky-gift-detail-005
2. 场景：SC-21b5a6e2492257</x:v>
      </x:c>
    </x:row>
    <x:row r="191" ht="68" customHeight="1">
      <x:c r="A191" s="4" t="n">
        <x:v>190</x:v>
      </x:c>
      <x:c r="B191" s="4" t="str">
        <x:v>ADMIN-0190</x:v>
      </x:c>
      <x:c r="C191" s="4" t="str">
        <x:v>M08 礼物、道具、任务、邀请与运营配置</x:v>
      </x:c>
      <x:c r="D191" s="4" t="str">
        <x:v>幸运礼物编辑（平台管理员视角）</x:v>
      </x:c>
      <x:c r="E191" s="4" t="str">
        <x:v>逻辑校验</x:v>
      </x:c>
      <x:c r="F191" s="4" t="str">
        <x:v>P1</x:v>
      </x:c>
      <x:c r="G191" s="4" t="str">
        <x:v>验证幸运概率合计99%</x:v>
      </x:c>
      <x:c r="H191" s="4" t="str">
        <x:v>幸运概率合计99%</x:v>
      </x:c>
      <x:c r="I191" s="4" t="str">
        <x:v>1. 已登录平台管理员账号
2. 其他字段合法，奖励档位不重复
3. 当前全部档位概率合计99%</x:v>
      </x:c>
      <x:c r="J191" s="4" t="str">
        <x:v>1. 进入「幸运礼物编辑」页
2. 保存</x:v>
      </x:c>
      <x:c r="K191" s="4" t="str">
        <x:v>概率合计校验失败，不能生效</x:v>
      </x:c>
      <x:c r="L191" s="4" t="str"/>
      <x:c r="M191" s="4" t="str">
        <x:v>未测</x:v>
      </x:c>
      <x:c r="N191" s="4" t="str"/>
      <x:c r="O191" s="4" t="str">
        <x:v>1. 来源：MainBasis/统一需求文档.md；A-admin-lucky-gift-detail-006、D-SYS-137、D-SYS-151
2. 场景：SC-aa5b02de67576e</x:v>
      </x:c>
    </x:row>
    <x:row r="192" ht="68" customHeight="1">
      <x:c r="A192" s="4" t="n">
        <x:v>191</x:v>
      </x:c>
      <x:c r="B192" s="4" t="str">
        <x:v>ADMIN-0191</x:v>
      </x:c>
      <x:c r="C192" s="4" t="str">
        <x:v>M08 礼物、道具、任务、邀请与运营配置</x:v>
      </x:c>
      <x:c r="D192" s="4" t="str">
        <x:v>幸运礼物编辑（平台管理员视角）</x:v>
      </x:c>
      <x:c r="E192" s="4" t="str">
        <x:v>逻辑校验</x:v>
      </x:c>
      <x:c r="F192" s="4" t="str">
        <x:v>P1</x:v>
      </x:c>
      <x:c r="G192" s="4" t="str">
        <x:v>验证幸运概率合计100%</x:v>
      </x:c>
      <x:c r="H192" s="4" t="str">
        <x:v>幸运概率合计100%</x:v>
      </x:c>
      <x:c r="I192" s="4" t="str">
        <x:v>1. 已登录平台管理员账号
2. 其他字段合法，奖励档位不重复
3. 当前全部档位概率合计100%</x:v>
      </x:c>
      <x:c r="J192" s="4" t="str">
        <x:v>1. 进入「幸运礼物编辑」页
2. 保存</x:v>
      </x:c>
      <x:c r="K192" s="4" t="str">
        <x:v>概率合计校验通过</x:v>
      </x:c>
      <x:c r="L192" s="4" t="str"/>
      <x:c r="M192" s="4" t="str">
        <x:v>未测</x:v>
      </x:c>
      <x:c r="N192" s="4" t="str"/>
      <x:c r="O192" s="4" t="str">
        <x:v>1. 来源：MainBasis/统一需求文档.md；A-admin-lucky-gift-detail-006、D-SYS-137、D-SYS-151
2. 场景：SC-291ec433ba4831</x:v>
      </x:c>
    </x:row>
    <x:row r="193" ht="68" customHeight="1">
      <x:c r="A193" s="4" t="n">
        <x:v>192</x:v>
      </x:c>
      <x:c r="B193" s="4" t="str">
        <x:v>ADMIN-0192</x:v>
      </x:c>
      <x:c r="C193" s="4" t="str">
        <x:v>M08 礼物、道具、任务、邀请与运营配置</x:v>
      </x:c>
      <x:c r="D193" s="4" t="str">
        <x:v>幸运礼物编辑（平台管理员视角）</x:v>
      </x:c>
      <x:c r="E193" s="4" t="str">
        <x:v>逻辑校验</x:v>
      </x:c>
      <x:c r="F193" s="4" t="str">
        <x:v>P1</x:v>
      </x:c>
      <x:c r="G193" s="4" t="str">
        <x:v>验证幸运概率合计101%</x:v>
      </x:c>
      <x:c r="H193" s="4" t="str">
        <x:v>幸运概率合计101%</x:v>
      </x:c>
      <x:c r="I193" s="4" t="str">
        <x:v>1. 已登录平台管理员账号
2. 其他字段合法，奖励档位不重复
3. 当前全部档位概率合计101%</x:v>
      </x:c>
      <x:c r="J193" s="4" t="str">
        <x:v>1. 进入「幸运礼物编辑」页
2. 保存</x:v>
      </x:c>
      <x:c r="K193" s="4" t="str">
        <x:v>概率合计校验失败，不能生效</x:v>
      </x:c>
      <x:c r="L193" s="4" t="str"/>
      <x:c r="M193" s="4" t="str">
        <x:v>未测</x:v>
      </x:c>
      <x:c r="N193" s="4" t="str"/>
      <x:c r="O193" s="4" t="str">
        <x:v>1. 来源：MainBasis/统一需求文档.md；A-admin-lucky-gift-detail-006、D-SYS-137、D-SYS-151
2. 场景：SC-041180a370ecf5</x:v>
      </x:c>
    </x:row>
    <x:row r="194" ht="68" customHeight="1">
      <x:c r="A194" s="4" t="n">
        <x:v>193</x:v>
      </x:c>
      <x:c r="B194" s="4" t="str">
        <x:v>ADMIN-0193</x:v>
      </x:c>
      <x:c r="C194" s="4" t="str">
        <x:v>M08 礼物、道具、任务、邀请与运营配置</x:v>
      </x:c>
      <x:c r="D194" s="4" t="str">
        <x:v>幸运礼物编辑（平台管理员视角）</x:v>
      </x:c>
      <x:c r="E194" s="4" t="str">
        <x:v>异常用例</x:v>
      </x:c>
      <x:c r="F194" s="4" t="str">
        <x:v>P1</x:v>
      </x:c>
      <x:c r="G194" s="4" t="str">
        <x:v>验证幸运奖励档位重复</x:v>
      </x:c>
      <x:c r="H194" s="4" t="str">
        <x:v>幸运奖励档位重复</x:v>
      </x:c>
      <x:c r="I194" s="4" t="str">
        <x:v>1. 已登录平台管理员账号
2. 已有奖励10金币档位</x:v>
      </x:c>
      <x:c r="J194" s="4" t="str">
        <x:v>1. 进入「幸运礼物编辑」页
2. 新增另一奖励10金币档位
3. 保存</x:v>
      </x:c>
      <x:c r="K194" s="4" t="str">
        <x:v>重复奖励档位不能保存</x:v>
      </x:c>
      <x:c r="L194" s="4" t="str"/>
      <x:c r="M194" s="4" t="str">
        <x:v>未测</x:v>
      </x:c>
      <x:c r="N194" s="4" t="str"/>
      <x:c r="O194" s="4" t="str">
        <x:v>1. 来源：MainBasis/统一需求文档.md；A-admin-lucky-gift-detail-005
2. 场景：SC-11e4f599d2f986</x:v>
      </x:c>
    </x:row>
    <x:row r="195" ht="82" customHeight="1">
      <x:c r="A195" s="4" t="n">
        <x:v>194</x:v>
      </x:c>
      <x:c r="B195" s="4" t="str">
        <x:v>ADMIN-0194</x:v>
      </x:c>
      <x:c r="C195" s="4" t="str">
        <x:v>M08 礼物、道具、任务、邀请与运营配置</x:v>
      </x:c>
      <x:c r="D195" s="4" t="str">
        <x:v>幸运礼物编辑（平台管理员视角）</x:v>
      </x:c>
      <x:c r="E195" s="4" t="str">
        <x:v>逻辑校验</x:v>
      </x:c>
      <x:c r="F195" s="4" t="str">
        <x:v>P1</x:v>
      </x:c>
      <x:c r="G195" s="4" t="str">
        <x:v>验证RTP向上保留一位小数</x:v>
      </x:c>
      <x:c r="H195" s="4" t="str">
        <x:v>RTP向上保留一位小数</x:v>
      </x:c>
      <x:c r="I195" s="4" t="str">
        <x:v>1. 已登录平台管理员账号
2. 单次消耗3，奖励1金币概率100%</x:v>
      </x:c>
      <x:c r="J195" s="4" t="str">
        <x:v>1. 进入「幸运礼物编辑」页
2. 查看RTP向上保留一位小数</x:v>
      </x:c>
      <x:c r="K195" s="4" t="str">
        <x:v>RTP = 1 ÷ 3 × 100%，显示33.4%</x:v>
      </x:c>
      <x:c r="L195" s="4" t="str"/>
      <x:c r="M195" s="4" t="str">
        <x:v>未测</x:v>
      </x:c>
      <x:c r="N195" s="4" t="str"/>
      <x:c r="O195" s="4" t="str">
        <x:v>1. 来源：MainBasis/统一需求文档.md；A-admin-lucky-gift-detail-007、A-admin-lucky-gift-config-006、A-admin-lucky-gift-config-008
2. 场景：SC-8ce54b610097ec</x:v>
      </x:c>
    </x:row>
    <x:row r="196" ht="82" customHeight="1">
      <x:c r="A196" s="4" t="n">
        <x:v>195</x:v>
      </x:c>
      <x:c r="B196" s="4" t="str">
        <x:v>ADMIN-0195</x:v>
      </x:c>
      <x:c r="C196" s="4" t="str">
        <x:v>M08 礼物、道具、任务、邀请与运营配置</x:v>
      </x:c>
      <x:c r="D196" s="4" t="str">
        <x:v>幸运礼物编辑（平台管理员视角）</x:v>
      </x:c>
      <x:c r="E196" s="4" t="str">
        <x:v>逻辑校验</x:v>
      </x:c>
      <x:c r="F196" s="4" t="str">
        <x:v>P1</x:v>
      </x:c>
      <x:c r="G196" s="4" t="str">
        <x:v>验证RTP多档加权计算</x:v>
      </x:c>
      <x:c r="H196" s="4" t="str">
        <x:v>RTP多档加权计算</x:v>
      </x:c>
      <x:c r="I196" s="4" t="str">
        <x:v>1. 已登录平台管理员账号
2. 单次消耗10，奖励0概率50%，奖励20概率50%</x:v>
      </x:c>
      <x:c r="J196" s="4" t="str">
        <x:v>1. 进入「幸运礼物编辑」页
2. 查看RTP多档加权计算</x:v>
      </x:c>
      <x:c r="K196" s="4" t="str">
        <x:v>RTP = (0 × 50% + 20 × 50%) ÷ 10 × 100% = 100%</x:v>
      </x:c>
      <x:c r="L196" s="4" t="str"/>
      <x:c r="M196" s="4" t="str">
        <x:v>未测</x:v>
      </x:c>
      <x:c r="N196" s="4" t="str"/>
      <x:c r="O196" s="4" t="str">
        <x:v>1. 来源：MainBasis/统一需求文档.md；A-admin-lucky-gift-detail-007、A-admin-lucky-gift-config-006、A-admin-lucky-gift-config-008
2. 场景：SC-972ddb4c48ae00</x:v>
      </x:c>
    </x:row>
    <x:row r="197" ht="68" customHeight="1">
      <x:c r="A197" s="4" t="n">
        <x:v>196</x:v>
      </x:c>
      <x:c r="B197" s="4" t="str">
        <x:v>ADMIN-0196</x:v>
      </x:c>
      <x:c r="C197" s="4" t="str">
        <x:v>M08 礼物、道具、任务、邀请与运营配置</x:v>
      </x:c>
      <x:c r="D197" s="4" t="str">
        <x:v>幸运礼物编辑（平台管理员视角）</x:v>
      </x:c>
      <x:c r="E197" s="4" t="str">
        <x:v>功能需求</x:v>
      </x:c>
      <x:c r="F197" s="4" t="str">
        <x:v>P1</x:v>
      </x:c>
      <x:c r="G197" s="4" t="str">
        <x:v>验证RTP未验证不能生效</x:v>
      </x:c>
      <x:c r="H197" s="4" t="str">
        <x:v>RTP未验证不能生效</x:v>
      </x:c>
      <x:c r="I197" s="4" t="str">
        <x:v>1. 已登录平台管理员账号
2. 概率合计100%，当前配置尚未完成RTP验证</x:v>
      </x:c>
      <x:c r="J197" s="4" t="str">
        <x:v>1. 进入「幸运礼物编辑」页
2. 尝试保存生效</x:v>
      </x:c>
      <x:c r="K197" s="4" t="str">
        <x:v>配置不能生效</x:v>
      </x:c>
      <x:c r="L197" s="4" t="str"/>
      <x:c r="M197" s="4" t="str">
        <x:v>未测</x:v>
      </x:c>
      <x:c r="N197" s="4" t="str"/>
      <x:c r="O197" s="4" t="str">
        <x:v>1. 来源：MainBasis/统一需求文档.md；A-admin-lucky-gift-detail-010
2. 场景：SC-554438a73ec44b</x:v>
      </x:c>
    </x:row>
    <x:row r="198" ht="68" customHeight="1">
      <x:c r="A198" s="4" t="n">
        <x:v>197</x:v>
      </x:c>
      <x:c r="B198" s="4" t="str">
        <x:v>ADMIN-0197</x:v>
      </x:c>
      <x:c r="C198" s="4" t="str">
        <x:v>M08 礼物、道具、任务、邀请与运营配置</x:v>
      </x:c>
      <x:c r="D198" s="4" t="str">
        <x:v>幸运礼物编辑（平台管理员视角）</x:v>
      </x:c>
      <x:c r="E198" s="4" t="str">
        <x:v>功能需求</x:v>
      </x:c>
      <x:c r="F198" s="4" t="str">
        <x:v>P1</x:v>
      </x:c>
      <x:c r="G198" s="4" t="str">
        <x:v>验证改概率实时重算</x:v>
      </x:c>
      <x:c r="H198" s="4" t="str">
        <x:v>改概率实时重算</x:v>
      </x:c>
      <x:c r="I198" s="4" t="str">
        <x:v>1. 已登录平台管理员账号
2. 单次消耗10，奖励0/20各50%，原RTP100%</x:v>
      </x:c>
      <x:c r="J198" s="4" t="str">
        <x:v>1. 进入「幸运礼物编辑」页
2. 把两档概率改为60%和40%</x:v>
      </x:c>
      <x:c r="K198" s="4" t="str">
        <x:v>RTP实时更新为80%</x:v>
      </x:c>
      <x:c r="L198" s="4" t="str"/>
      <x:c r="M198" s="4" t="str">
        <x:v>未测</x:v>
      </x:c>
      <x:c r="N198" s="4" t="str"/>
      <x:c r="O198" s="4" t="str">
        <x:v>1. 来源：MainBasis/统一需求文档.md；A-admin-lucky-gift-detail-011
2. 场景：SC-679678c80d7547</x:v>
      </x:c>
    </x:row>
    <x:row r="199" ht="68" customHeight="1">
      <x:c r="A199" s="4" t="n">
        <x:v>198</x:v>
      </x:c>
      <x:c r="B199" s="4" t="str">
        <x:v>ADMIN-0198</x:v>
      </x:c>
      <x:c r="C199" s="4" t="str">
        <x:v>M08 礼物、道具、任务、邀请与运营配置</x:v>
      </x:c>
      <x:c r="D199" s="4" t="str">
        <x:v>幸运礼物编辑（平台管理员视角）</x:v>
      </x:c>
      <x:c r="E199" s="4" t="str">
        <x:v>异常用例</x:v>
      </x:c>
      <x:c r="F199" s="4" t="str">
        <x:v>P1</x:v>
      </x:c>
      <x:c r="G199" s="4" t="str">
        <x:v>验证中文名称缺失限制</x:v>
      </x:c>
      <x:c r="H199" s="4" t="str">
        <x:v>中文名称缺失限制</x:v>
      </x:c>
      <x:c r="I199" s="4" t="str">
        <x:v>1. 已登录平台管理员账号
2. 其他必填字段为合法值</x:v>
      </x:c>
      <x:c r="J199" s="4" t="str">
        <x:v>1. 进入「幸运礼物编辑」页
2. 清空「中文名称」
3. 点击「保存」</x:v>
      </x:c>
      <x:c r="K199" s="4" t="str">
        <x:v>中文名称未填写，无法保存</x:v>
      </x:c>
      <x:c r="L199" s="4" t="str"/>
      <x:c r="M199" s="4" t="str">
        <x:v>未测</x:v>
      </x:c>
      <x:c r="N199" s="4" t="str"/>
      <x:c r="O199" s="4" t="str">
        <x:v>1. 来源：MainBasis/统一需求文档.md；A-admin-lucky-gift-detail-002
2. 场景：SC-4b1dbca703d298</x:v>
      </x:c>
    </x:row>
    <x:row r="200" ht="68" customHeight="1">
      <x:c r="A200" s="4" t="n">
        <x:v>199</x:v>
      </x:c>
      <x:c r="B200" s="4" t="str">
        <x:v>ADMIN-0199</x:v>
      </x:c>
      <x:c r="C200" s="4" t="str">
        <x:v>M08 礼物、道具、任务、邀请与运营配置</x:v>
      </x:c>
      <x:c r="D200" s="4" t="str">
        <x:v>幸运礼物编辑（平台管理员视角）</x:v>
      </x:c>
      <x:c r="E200" s="4" t="str">
        <x:v>异常用例</x:v>
      </x:c>
      <x:c r="F200" s="4" t="str">
        <x:v>P1</x:v>
      </x:c>
      <x:c r="G200" s="4" t="str">
        <x:v>验证英语名称缺失限制</x:v>
      </x:c>
      <x:c r="H200" s="4" t="str">
        <x:v>英语名称缺失限制</x:v>
      </x:c>
      <x:c r="I200" s="4" t="str">
        <x:v>1. 已登录平台管理员账号
2. 其他必填字段为合法值</x:v>
      </x:c>
      <x:c r="J200" s="4" t="str">
        <x:v>1. 进入「幸运礼物编辑」页
2. 清空「英语名称」
3. 点击「保存」</x:v>
      </x:c>
      <x:c r="K200" s="4" t="str">
        <x:v>英语名称未填写，无法保存</x:v>
      </x:c>
      <x:c r="L200" s="4" t="str"/>
      <x:c r="M200" s="4" t="str">
        <x:v>未测</x:v>
      </x:c>
      <x:c r="N200" s="4" t="str"/>
      <x:c r="O200" s="4" t="str">
        <x:v>1. 来源：MainBasis/统一需求文档.md；A-admin-lucky-gift-detail-002
2. 场景：SC-11726ce3b0d8db</x:v>
      </x:c>
    </x:row>
    <x:row r="201" ht="68" customHeight="1">
      <x:c r="A201" s="4" t="n">
        <x:v>200</x:v>
      </x:c>
      <x:c r="B201" s="4" t="str">
        <x:v>ADMIN-0200</x:v>
      </x:c>
      <x:c r="C201" s="4" t="str">
        <x:v>M08 礼物、道具、任务、邀请与运营配置</x:v>
      </x:c>
      <x:c r="D201" s="4" t="str">
        <x:v>幸运礼物编辑（平台管理员视角）</x:v>
      </x:c>
      <x:c r="E201" s="4" t="str">
        <x:v>异常用例</x:v>
      </x:c>
      <x:c r="F201" s="4" t="str">
        <x:v>P1</x:v>
      </x:c>
      <x:c r="G201" s="4" t="str">
        <x:v>验证印尼语名称缺失限制</x:v>
      </x:c>
      <x:c r="H201" s="4" t="str">
        <x:v>印尼语名称缺失限制</x:v>
      </x:c>
      <x:c r="I201" s="4" t="str">
        <x:v>1. 已登录平台管理员账号
2. 其他必填字段为合法值</x:v>
      </x:c>
      <x:c r="J201" s="4" t="str">
        <x:v>1. 进入「幸运礼物编辑」页
2. 清空「印尼语名称」
3. 点击「保存」</x:v>
      </x:c>
      <x:c r="K201" s="4" t="str">
        <x:v>印尼语名称未填写，无法保存</x:v>
      </x:c>
      <x:c r="L201" s="4" t="str"/>
      <x:c r="M201" s="4" t="str">
        <x:v>未测</x:v>
      </x:c>
      <x:c r="N201" s="4" t="str"/>
      <x:c r="O201" s="4" t="str">
        <x:v>1. 来源：MainBasis/统一需求文档.md；A-admin-lucky-gift-detail-002
2. 场景：SC-bf726c002214ba</x:v>
      </x:c>
    </x:row>
    <x:row r="202" ht="68" customHeight="1">
      <x:c r="A202" s="4" t="n">
        <x:v>201</x:v>
      </x:c>
      <x:c r="B202" s="4" t="str">
        <x:v>ADMIN-0201</x:v>
      </x:c>
      <x:c r="C202" s="4" t="str">
        <x:v>M08 礼物、道具、任务、邀请与运营配置</x:v>
      </x:c>
      <x:c r="D202" s="4" t="str">
        <x:v>幸运礼物编辑（平台管理员视角）</x:v>
      </x:c>
      <x:c r="E202" s="4" t="str">
        <x:v>异常用例</x:v>
      </x:c>
      <x:c r="F202" s="4" t="str">
        <x:v>P1</x:v>
      </x:c>
      <x:c r="G202" s="4" t="str">
        <x:v>验证马来语名称缺失限制</x:v>
      </x:c>
      <x:c r="H202" s="4" t="str">
        <x:v>马来语名称缺失限制</x:v>
      </x:c>
      <x:c r="I202" s="4" t="str">
        <x:v>1. 已登录平台管理员账号
2. 其他必填字段为合法值</x:v>
      </x:c>
      <x:c r="J202" s="4" t="str">
        <x:v>1. 进入「幸运礼物编辑」页
2. 清空「马来语名称」
3. 点击「保存」</x:v>
      </x:c>
      <x:c r="K202" s="4" t="str">
        <x:v>马来语名称未填写，无法保存</x:v>
      </x:c>
      <x:c r="L202" s="4" t="str"/>
      <x:c r="M202" s="4" t="str">
        <x:v>未测</x:v>
      </x:c>
      <x:c r="N202" s="4" t="str"/>
      <x:c r="O202" s="4" t="str">
        <x:v>1. 来源：MainBasis/统一需求文档.md；A-admin-lucky-gift-detail-002
2. 场景：SC-ec463e2926681e</x:v>
      </x:c>
    </x:row>
    <x:row r="203" ht="68" customHeight="1">
      <x:c r="A203" s="4" t="n">
        <x:v>202</x:v>
      </x:c>
      <x:c r="B203" s="4" t="str">
        <x:v>ADMIN-0202</x:v>
      </x:c>
      <x:c r="C203" s="4" t="str">
        <x:v>M08 礼物、道具、任务、邀请与运营配置</x:v>
      </x:c>
      <x:c r="D203" s="4" t="str">
        <x:v>幸运礼物编辑（平台管理员视角）</x:v>
      </x:c>
      <x:c r="E203" s="4" t="str">
        <x:v>异常用例</x:v>
      </x:c>
      <x:c r="F203" s="4" t="str">
        <x:v>P1</x:v>
      </x:c>
      <x:c r="G203" s="4" t="str">
        <x:v>验证图标缺失限制</x:v>
      </x:c>
      <x:c r="H203" s="4" t="str">
        <x:v>图标缺失限制</x:v>
      </x:c>
      <x:c r="I203" s="4" t="str">
        <x:v>1. 已登录平台管理员账号
2. 其他必填字段为合法值</x:v>
      </x:c>
      <x:c r="J203" s="4" t="str">
        <x:v>1. 进入「幸运礼物编辑」页
2. 清空「图标」
3. 点击「保存」</x:v>
      </x:c>
      <x:c r="K203" s="4" t="str">
        <x:v>图标未填写，无法保存</x:v>
      </x:c>
      <x:c r="L203" s="4" t="str"/>
      <x:c r="M203" s="4" t="str">
        <x:v>未测</x:v>
      </x:c>
      <x:c r="N203" s="4" t="str"/>
      <x:c r="O203" s="4" t="str">
        <x:v>1. 来源：MainBasis/统一需求文档.md；A-admin-lucky-gift-detail-002
2. 场景：SC-60ed0e54d0ff03</x:v>
      </x:c>
    </x:row>
    <x:row r="204" ht="68" customHeight="1">
      <x:c r="A204" s="4" t="n">
        <x:v>203</x:v>
      </x:c>
      <x:c r="B204" s="4" t="str">
        <x:v>ADMIN-0203</x:v>
      </x:c>
      <x:c r="C204" s="4" t="str">
        <x:v>M08 礼物、道具、任务、邀请与运营配置</x:v>
      </x:c>
      <x:c r="D204" s="4" t="str">
        <x:v>道具配置-15（平台管理员视角）</x:v>
      </x:c>
      <x:c r="E204" s="4" t="str">
        <x:v>功能需求</x:v>
      </x:c>
      <x:c r="F204" s="4" t="str">
        <x:v>P2</x:v>
      </x:c>
      <x:c r="G204" s="4" t="str">
        <x:v>验证道具名称回显</x:v>
      </x:c>
      <x:c r="H204" s="4" t="str">
        <x:v>道具名称回显</x:v>
      </x:c>
      <x:c r="I204" s="4" t="str">
        <x:v>1. 已登录平台管理员账号
2. 所选对象存在，已记录该对象的道具名称值</x:v>
      </x:c>
      <x:c r="J204" s="4" t="str">
        <x:v>1. 进入「道具配置-15」页
2. 查看道具名称回显</x:v>
      </x:c>
      <x:c r="K204" s="4" t="str">
        <x:v>「道具名称」内容与所选对象的该项资料一致</x:v>
      </x:c>
      <x:c r="L204" s="4" t="str"/>
      <x:c r="M204" s="4" t="str">
        <x:v>未测</x:v>
      </x:c>
      <x:c r="N204" s="4" t="str"/>
      <x:c r="O204" s="4" t="str">
        <x:v>1. 来源：MainBasis/统一需求文档.md；A-admin-prop-list-004
2. 场景：SC-bcee14a5ddd6a8</x:v>
      </x:c>
    </x:row>
    <x:row r="205" ht="68" customHeight="1">
      <x:c r="A205" s="4" t="n">
        <x:v>204</x:v>
      </x:c>
      <x:c r="B205" s="4" t="str">
        <x:v>ADMIN-0204</x:v>
      </x:c>
      <x:c r="C205" s="4" t="str">
        <x:v>M08 礼物、道具、任务、邀请与运营配置</x:v>
      </x:c>
      <x:c r="D205" s="4" t="str">
        <x:v>道具配置-15（平台管理员视角）</x:v>
      </x:c>
      <x:c r="E205" s="4" t="str">
        <x:v>功能需求</x:v>
      </x:c>
      <x:c r="F205" s="4" t="str">
        <x:v>P2</x:v>
      </x:c>
      <x:c r="G205" s="4" t="str">
        <x:v>验证状态回显</x:v>
      </x:c>
      <x:c r="H205" s="4" t="str">
        <x:v>状态回显</x:v>
      </x:c>
      <x:c r="I205" s="4" t="str">
        <x:v>1. 已登录平台管理员账号
2. 所选对象存在，已记录该对象的状态值</x:v>
      </x:c>
      <x:c r="J205" s="4" t="str">
        <x:v>1. 进入「道具配置-15」页
2. 查看状态回显</x:v>
      </x:c>
      <x:c r="K205" s="4" t="str">
        <x:v>「状态」内容与所选对象的该项资料一致</x:v>
      </x:c>
      <x:c r="L205" s="4" t="str"/>
      <x:c r="M205" s="4" t="str">
        <x:v>未测</x:v>
      </x:c>
      <x:c r="N205" s="4" t="str"/>
      <x:c r="O205" s="4" t="str">
        <x:v>1. 来源：MainBasis/统一需求文档.md；A-admin-prop-list-006
2. 场景：SC-554a536b5b8625</x:v>
      </x:c>
    </x:row>
    <x:row r="206" ht="68" customHeight="1">
      <x:c r="A206" s="4" t="n">
        <x:v>205</x:v>
      </x:c>
      <x:c r="B206" s="4" t="str">
        <x:v>ADMIN-0205</x:v>
      </x:c>
      <x:c r="C206" s="4" t="str">
        <x:v>M08 礼物、道具、任务、邀请与运营配置</x:v>
      </x:c>
      <x:c r="D206" s="4" t="str">
        <x:v>道具配置-15（平台管理员视角）</x:v>
      </x:c>
      <x:c r="E206" s="4" t="str">
        <x:v>功能需求</x:v>
      </x:c>
      <x:c r="F206" s="4" t="str">
        <x:v>P1</x:v>
      </x:c>
      <x:c r="G206" s="4" t="str">
        <x:v>验证下架道具已发放继续有效</x:v>
      </x:c>
      <x:c r="H206" s="4" t="str">
        <x:v>下架道具已发放继续有效</x:v>
      </x:c>
      <x:c r="I206" s="4" t="str">
        <x:v>1. 已登录平台管理员账号
2. 道具已发给用户且未到期，平台已下架该道具</x:v>
      </x:c>
      <x:c r="J206" s="4" t="str">
        <x:v>1. 进入「道具配置-15」页
2. 查看下架道具已发放继续有效</x:v>
      </x:c>
      <x:c r="K206" s="4" t="str">
        <x:v>原已发放道具仍按原有效期可用</x:v>
      </x:c>
      <x:c r="L206" s="4" t="str"/>
      <x:c r="M206" s="4" t="str">
        <x:v>未测</x:v>
      </x:c>
      <x:c r="N206" s="4" t="str"/>
      <x:c r="O206" s="4" t="str">
        <x:v>1. 来源：MainBasis/统一需求文档.md；A-admin-prop-list-007、A-admin-prop-detail-007、D-SYS-157
2. 场景：SC-a0b4aee8b5e096</x:v>
      </x:c>
    </x:row>
    <x:row r="207" ht="68" customHeight="1">
      <x:c r="A207" s="4" t="n">
        <x:v>206</x:v>
      </x:c>
      <x:c r="B207" s="4" t="str">
        <x:v>ADMIN-0206</x:v>
      </x:c>
      <x:c r="C207" s="4" t="str">
        <x:v>M08 礼物、道具、任务、邀请与运营配置</x:v>
      </x:c>
      <x:c r="D207" s="4" t="str">
        <x:v>道具配置-15（平台管理员视角）</x:v>
      </x:c>
      <x:c r="E207" s="4" t="str">
        <x:v>功能需求</x:v>
      </x:c>
      <x:c r="F207" s="4" t="str">
        <x:v>P1</x:v>
      </x:c>
      <x:c r="G207" s="4" t="str">
        <x:v>验证道具到期停止展示</x:v>
      </x:c>
      <x:c r="H207" s="4" t="str">
        <x:v>道具到期停止展示</x:v>
      </x:c>
      <x:c r="I207" s="4" t="str">
        <x:v>1. 已登录平台管理员账号
2. 用户持有道具刚到有效期终点</x:v>
      </x:c>
      <x:c r="J207" s="4" t="str">
        <x:v>1. 进入「道具配置-15」页
2. 查看道具到期停止展示</x:v>
      </x:c>
      <x:c r="K207" s="4" t="str">
        <x:v>该道具自动停止展示</x:v>
      </x:c>
      <x:c r="L207" s="4" t="str"/>
      <x:c r="M207" s="4" t="str">
        <x:v>未测</x:v>
      </x:c>
      <x:c r="N207" s="4" t="str"/>
      <x:c r="O207" s="4" t="str">
        <x:v>1. 来源：MainBasis/统一需求文档.md；A-admin-prop-list-007、A-admin-prop-detail-007、D-SYS-157
2. 场景：SC-56ebda0a6a9aa4</x:v>
      </x:c>
    </x:row>
    <x:row r="208" ht="68" customHeight="1">
      <x:c r="A208" s="4" t="n">
        <x:v>207</x:v>
      </x:c>
      <x:c r="B208" s="4" t="str">
        <x:v>ADMIN-0207</x:v>
      </x:c>
      <x:c r="C208" s="4" t="str">
        <x:v>M08 礼物、道具、任务、邀请与运营配置</x:v>
      </x:c>
      <x:c r="D208" s="4" t="str">
        <x:v>道具配置-15（平台管理员视角）</x:v>
      </x:c>
      <x:c r="E208" s="4" t="str">
        <x:v>功能需求</x:v>
      </x:c>
      <x:c r="F208" s="4" t="str">
        <x:v>P1</x:v>
      </x:c>
      <x:c r="G208" s="4" t="str">
        <x:v>验证道具类型勋章</x:v>
      </x:c>
      <x:c r="H208" s="4" t="str">
        <x:v>道具类型勋章</x:v>
      </x:c>
      <x:c r="I208" s="4" t="str">
        <x:v>1. 已登录平台管理员账号
2. 各类型均有已配置道具</x:v>
      </x:c>
      <x:c r="J208" s="4" t="str">
        <x:v>1. 进入「道具配置-15」页
2. 切换勋章Tab</x:v>
      </x:c>
      <x:c r="K208" s="4" t="str">
        <x:v>仅显示勋章道具列表</x:v>
      </x:c>
      <x:c r="L208" s="4" t="str"/>
      <x:c r="M208" s="4" t="str">
        <x:v>未测</x:v>
      </x:c>
      <x:c r="N208" s="4" t="str"/>
      <x:c r="O208" s="4" t="str">
        <x:v>1. 来源：MainBasis/统一需求文档.md；A-admin-prop-list-008
2. 场景：SC-9ba3ad352832ad</x:v>
      </x:c>
    </x:row>
    <x:row r="209" ht="68" customHeight="1">
      <x:c r="A209" s="4" t="n">
        <x:v>208</x:v>
      </x:c>
      <x:c r="B209" s="4" t="str">
        <x:v>ADMIN-0208</x:v>
      </x:c>
      <x:c r="C209" s="4" t="str">
        <x:v>M08 礼物、道具、任务、邀请与运营配置</x:v>
      </x:c>
      <x:c r="D209" s="4" t="str">
        <x:v>道具配置-15（平台管理员视角）</x:v>
      </x:c>
      <x:c r="E209" s="4" t="str">
        <x:v>功能需求</x:v>
      </x:c>
      <x:c r="F209" s="4" t="str">
        <x:v>P1</x:v>
      </x:c>
      <x:c r="G209" s="4" t="str">
        <x:v>验证道具类型气泡</x:v>
      </x:c>
      <x:c r="H209" s="4" t="str">
        <x:v>道具类型气泡</x:v>
      </x:c>
      <x:c r="I209" s="4" t="str">
        <x:v>1. 已登录平台管理员账号
2. 各类型均有已配置道具</x:v>
      </x:c>
      <x:c r="J209" s="4" t="str">
        <x:v>1. 进入「道具配置-15」页
2. 切换气泡Tab</x:v>
      </x:c>
      <x:c r="K209" s="4" t="str">
        <x:v>仅显示气泡道具列表</x:v>
      </x:c>
      <x:c r="L209" s="4" t="str"/>
      <x:c r="M209" s="4" t="str">
        <x:v>未测</x:v>
      </x:c>
      <x:c r="N209" s="4" t="str"/>
      <x:c r="O209" s="4" t="str">
        <x:v>1. 来源：MainBasis/统一需求文档.md；A-admin-prop-list-008
2. 场景：SC-2e3beb098718a9</x:v>
      </x:c>
    </x:row>
    <x:row r="210" ht="68" customHeight="1">
      <x:c r="A210" s="4" t="n">
        <x:v>209</x:v>
      </x:c>
      <x:c r="B210" s="4" t="str">
        <x:v>ADMIN-0209</x:v>
      </x:c>
      <x:c r="C210" s="4" t="str">
        <x:v>M08 礼物、道具、任务、邀请与运营配置</x:v>
      </x:c>
      <x:c r="D210" s="4" t="str">
        <x:v>道具配置-15（平台管理员视角）</x:v>
      </x:c>
      <x:c r="E210" s="4" t="str">
        <x:v>功能需求</x:v>
      </x:c>
      <x:c r="F210" s="4" t="str">
        <x:v>P1</x:v>
      </x:c>
      <x:c r="G210" s="4" t="str">
        <x:v>验证道具类型头像框</x:v>
      </x:c>
      <x:c r="H210" s="4" t="str">
        <x:v>道具类型头像框</x:v>
      </x:c>
      <x:c r="I210" s="4" t="str">
        <x:v>1. 已登录平台管理员账号
2. 各类型均有已配置道具</x:v>
      </x:c>
      <x:c r="J210" s="4" t="str">
        <x:v>1. 进入「道具配置-15」页
2. 切换头像框Tab</x:v>
      </x:c>
      <x:c r="K210" s="4" t="str">
        <x:v>仅显示头像框道具列表</x:v>
      </x:c>
      <x:c r="L210" s="4" t="str"/>
      <x:c r="M210" s="4" t="str">
        <x:v>未测</x:v>
      </x:c>
      <x:c r="N210" s="4" t="str"/>
      <x:c r="O210" s="4" t="str">
        <x:v>1. 来源：MainBasis/统一需求文档.md；A-admin-prop-list-008
2. 场景：SC-3988449f30a867</x:v>
      </x:c>
    </x:row>
    <x:row r="211" ht="68" customHeight="1">
      <x:c r="A211" s="4" t="n">
        <x:v>210</x:v>
      </x:c>
      <x:c r="B211" s="4" t="str">
        <x:v>ADMIN-0210</x:v>
      </x:c>
      <x:c r="C211" s="4" t="str">
        <x:v>M08 礼物、道具、任务、邀请与运营配置</x:v>
      </x:c>
      <x:c r="D211" s="4" t="str">
        <x:v>道具配置-15（平台管理员视角）</x:v>
      </x:c>
      <x:c r="E211" s="4" t="str">
        <x:v>异常用例</x:v>
      </x:c>
      <x:c r="F211" s="4" t="str">
        <x:v>P1</x:v>
      </x:c>
      <x:c r="G211" s="4" t="str">
        <x:v>验证自定义类型中文名称缺失限制</x:v>
      </x:c>
      <x:c r="H211" s="4" t="str">
        <x:v>自定义类型中文名称缺失限制</x:v>
      </x:c>
      <x:c r="I211" s="4" t="str">
        <x:v>1. 已登录平台管理员账号
2. 其他必填字段为合法值</x:v>
      </x:c>
      <x:c r="J211" s="4" t="str">
        <x:v>1. 进入「道具配置-15」页
2. 清空「自定义类型中文名称」
3. 点击「保存」</x:v>
      </x:c>
      <x:c r="K211" s="4" t="str">
        <x:v>自定义类型中文名称未填写，无法保存</x:v>
      </x:c>
      <x:c r="L211" s="4" t="str"/>
      <x:c r="M211" s="4" t="str">
        <x:v>未测</x:v>
      </x:c>
      <x:c r="N211" s="4" t="str"/>
      <x:c r="O211" s="4" t="str">
        <x:v>1. 来源：MainBasis/统一需求文档.md；A-admin-prop-list-002
2. 场景：SC-81c593d1853e7d</x:v>
      </x:c>
    </x:row>
    <x:row r="212" ht="68" customHeight="1">
      <x:c r="A212" s="4" t="n">
        <x:v>211</x:v>
      </x:c>
      <x:c r="B212" s="4" t="str">
        <x:v>ADMIN-0211</x:v>
      </x:c>
      <x:c r="C212" s="4" t="str">
        <x:v>M08 礼物、道具、任务、邀请与运营配置</x:v>
      </x:c>
      <x:c r="D212" s="4" t="str">
        <x:v>道具配置-15（平台管理员视角）</x:v>
      </x:c>
      <x:c r="E212" s="4" t="str">
        <x:v>异常用例</x:v>
      </x:c>
      <x:c r="F212" s="4" t="str">
        <x:v>P1</x:v>
      </x:c>
      <x:c r="G212" s="4" t="str">
        <x:v>验证自定义类型英语名称缺失限制</x:v>
      </x:c>
      <x:c r="H212" s="4" t="str">
        <x:v>自定义类型英语名称缺失限制</x:v>
      </x:c>
      <x:c r="I212" s="4" t="str">
        <x:v>1. 已登录平台管理员账号
2. 其他必填字段为合法值</x:v>
      </x:c>
      <x:c r="J212" s="4" t="str">
        <x:v>1. 进入「道具配置-15」页
2. 清空「自定义类型英语名称」
3. 点击「保存」</x:v>
      </x:c>
      <x:c r="K212" s="4" t="str">
        <x:v>自定义类型英语名称未填写，无法保存</x:v>
      </x:c>
      <x:c r="L212" s="4" t="str"/>
      <x:c r="M212" s="4" t="str">
        <x:v>未测</x:v>
      </x:c>
      <x:c r="N212" s="4" t="str"/>
      <x:c r="O212" s="4" t="str">
        <x:v>1. 来源：MainBasis/统一需求文档.md；A-admin-prop-list-002
2. 场景：SC-183e49693fbc68</x:v>
      </x:c>
    </x:row>
    <x:row r="213" ht="68" customHeight="1">
      <x:c r="A213" s="4" t="n">
        <x:v>212</x:v>
      </x:c>
      <x:c r="B213" s="4" t="str">
        <x:v>ADMIN-0212</x:v>
      </x:c>
      <x:c r="C213" s="4" t="str">
        <x:v>M08 礼物、道具、任务、邀请与运营配置</x:v>
      </x:c>
      <x:c r="D213" s="4" t="str">
        <x:v>道具配置-15（平台管理员视角）</x:v>
      </x:c>
      <x:c r="E213" s="4" t="str">
        <x:v>异常用例</x:v>
      </x:c>
      <x:c r="F213" s="4" t="str">
        <x:v>P1</x:v>
      </x:c>
      <x:c r="G213" s="4" t="str">
        <x:v>验证自定义类型印尼语名称缺失限制</x:v>
      </x:c>
      <x:c r="H213" s="4" t="str">
        <x:v>自定义类型印尼语名称缺失限制</x:v>
      </x:c>
      <x:c r="I213" s="4" t="str">
        <x:v>1. 已登录平台管理员账号
2. 其他必填字段为合法值</x:v>
      </x:c>
      <x:c r="J213" s="4" t="str">
        <x:v>1. 进入「道具配置-15」页
2. 清空「自定义类型印尼语名称」
3. 点击「保存」</x:v>
      </x:c>
      <x:c r="K213" s="4" t="str">
        <x:v>自定义类型印尼语名称未填写，无法保存</x:v>
      </x:c>
      <x:c r="L213" s="4" t="str"/>
      <x:c r="M213" s="4" t="str">
        <x:v>未测</x:v>
      </x:c>
      <x:c r="N213" s="4" t="str"/>
      <x:c r="O213" s="4" t="str">
        <x:v>1. 来源：MainBasis/统一需求文档.md；A-admin-prop-list-002
2. 场景：SC-b541a96db0c095</x:v>
      </x:c>
    </x:row>
    <x:row r="214" ht="68" customHeight="1">
      <x:c r="A214" s="4" t="n">
        <x:v>213</x:v>
      </x:c>
      <x:c r="B214" s="4" t="str">
        <x:v>ADMIN-0213</x:v>
      </x:c>
      <x:c r="C214" s="4" t="str">
        <x:v>M08 礼物、道具、任务、邀请与运营配置</x:v>
      </x:c>
      <x:c r="D214" s="4" t="str">
        <x:v>道具配置-15（平台管理员视角）</x:v>
      </x:c>
      <x:c r="E214" s="4" t="str">
        <x:v>异常用例</x:v>
      </x:c>
      <x:c r="F214" s="4" t="str">
        <x:v>P1</x:v>
      </x:c>
      <x:c r="G214" s="4" t="str">
        <x:v>验证自定义类型马来语名称缺失限制</x:v>
      </x:c>
      <x:c r="H214" s="4" t="str">
        <x:v>自定义类型马来语名称缺失限制</x:v>
      </x:c>
      <x:c r="I214" s="4" t="str">
        <x:v>1. 已登录平台管理员账号
2. 其他必填字段为合法值</x:v>
      </x:c>
      <x:c r="J214" s="4" t="str">
        <x:v>1. 进入「道具配置-15」页
2. 清空「自定义类型马来语名称」
3. 点击「保存」</x:v>
      </x:c>
      <x:c r="K214" s="4" t="str">
        <x:v>自定义类型马来语名称未填写，无法保存</x:v>
      </x:c>
      <x:c r="L214" s="4" t="str"/>
      <x:c r="M214" s="4" t="str">
        <x:v>未测</x:v>
      </x:c>
      <x:c r="N214" s="4" t="str"/>
      <x:c r="O214" s="4" t="str">
        <x:v>1. 来源：MainBasis/统一需求文档.md；A-admin-prop-list-002
2. 场景：SC-e2fd0fc5d824b4</x:v>
      </x:c>
    </x:row>
    <x:row r="215" ht="68" customHeight="1">
      <x:c r="A215" s="4" t="n">
        <x:v>214</x:v>
      </x:c>
      <x:c r="B215" s="4" t="str">
        <x:v>ADMIN-0214</x:v>
      </x:c>
      <x:c r="C215" s="4" t="str">
        <x:v>M08 礼物、道具、任务、邀请与运营配置</x:v>
      </x:c>
      <x:c r="D215" s="4" t="str">
        <x:v>道具配置-15（平台管理员视角）</x:v>
      </x:c>
      <x:c r="E215" s="4" t="str">
        <x:v>功能需求</x:v>
      </x:c>
      <x:c r="F215" s="4" t="str">
        <x:v>P1</x:v>
      </x:c>
      <x:c r="G215" s="4" t="str">
        <x:v>验证自定义类型重复名称</x:v>
      </x:c>
      <x:c r="H215" s="4" t="str">
        <x:v>自定义类型重复名称</x:v>
      </x:c>
      <x:c r="I215" s="4" t="str">
        <x:v>1. 已登录平台管理员账号
2. 已有自定义类型甲</x:v>
      </x:c>
      <x:c r="J215" s="4" t="str">
        <x:v>1. 进入「道具配置-15」页
2. 新建同名类型甲
3. 保存</x:v>
      </x:c>
      <x:c r="K215" s="4" t="str">
        <x:v>重复类型不能保存</x:v>
      </x:c>
      <x:c r="L215" s="4" t="str"/>
      <x:c r="M215" s="4" t="str">
        <x:v>未测</x:v>
      </x:c>
      <x:c r="N215" s="4" t="str"/>
      <x:c r="O215" s="4" t="str">
        <x:v>1. 来源：MainBasis/统一需求文档.md；A-admin-prop-list-002
2. 场景：SC-6f0af27aa4de54</x:v>
      </x:c>
    </x:row>
    <x:row r="216" ht="68" customHeight="1">
      <x:c r="A216" s="4" t="n">
        <x:v>215</x:v>
      </x:c>
      <x:c r="B216" s="4" t="str">
        <x:v>ADMIN-0215</x:v>
      </x:c>
      <x:c r="C216" s="4" t="str">
        <x:v>M08 礼物、道具、任务、邀请与运营配置</x:v>
      </x:c>
      <x:c r="D216" s="4" t="str">
        <x:v>道具详情（平台管理员视角）</x:v>
      </x:c>
      <x:c r="E216" s="4" t="str">
        <x:v>功能需求</x:v>
      </x:c>
      <x:c r="F216" s="4" t="str">
        <x:v>P2</x:v>
      </x:c>
      <x:c r="G216" s="4" t="str">
        <x:v>验证道具类型回显</x:v>
      </x:c>
      <x:c r="H216" s="4" t="str">
        <x:v>道具类型回显</x:v>
      </x:c>
      <x:c r="I216" s="4" t="str">
        <x:v>1. 已登录平台管理员账号
2. 所选对象存在，已记录该对象的道具类型值</x:v>
      </x:c>
      <x:c r="J216" s="4" t="str">
        <x:v>1. 进入「道具详情」页
2. 查看道具类型回显</x:v>
      </x:c>
      <x:c r="K216" s="4" t="str">
        <x:v>「道具类型」内容与所选对象的该项资料一致</x:v>
      </x:c>
      <x:c r="L216" s="4" t="str"/>
      <x:c r="M216" s="4" t="str">
        <x:v>未测</x:v>
      </x:c>
      <x:c r="N216" s="4" t="str"/>
      <x:c r="O216" s="4" t="str">
        <x:v>1. 来源：MainBasis/统一需求文档.md；A-admin-prop-detail-004
2. 场景：SC-fb7079bb76c0f6</x:v>
      </x:c>
    </x:row>
    <x:row r="217" ht="68" customHeight="1">
      <x:c r="A217" s="4" t="n">
        <x:v>216</x:v>
      </x:c>
      <x:c r="B217" s="4" t="str">
        <x:v>ADMIN-0216</x:v>
      </x:c>
      <x:c r="C217" s="4" t="str">
        <x:v>M08 礼物、道具、任务、邀请与运营配置</x:v>
      </x:c>
      <x:c r="D217" s="4" t="str">
        <x:v>道具详情（平台管理员视角）</x:v>
      </x:c>
      <x:c r="E217" s="4" t="str">
        <x:v>功能需求</x:v>
      </x:c>
      <x:c r="F217" s="4" t="str">
        <x:v>P2</x:v>
      </x:c>
      <x:c r="G217" s="4" t="str">
        <x:v>验证排序权重回显</x:v>
      </x:c>
      <x:c r="H217" s="4" t="str">
        <x:v>排序权重回显</x:v>
      </x:c>
      <x:c r="I217" s="4" t="str">
        <x:v>1. 已登录平台管理员账号
2. 所选对象存在，已记录该对象的排序权重值</x:v>
      </x:c>
      <x:c r="J217" s="4" t="str">
        <x:v>1. 进入「道具详情」页
2. 查看排序权重回显</x:v>
      </x:c>
      <x:c r="K217" s="4" t="str">
        <x:v>「排序权重」内容与所选对象的该项资料一致</x:v>
      </x:c>
      <x:c r="L217" s="4" t="str"/>
      <x:c r="M217" s="4" t="str">
        <x:v>未测</x:v>
      </x:c>
      <x:c r="N217" s="4" t="str"/>
      <x:c r="O217" s="4" t="str">
        <x:v>1. 来源：MainBasis/统一需求文档.md；A-admin-prop-detail-006
2. 场景：SC-f254f63eb35b43</x:v>
      </x:c>
    </x:row>
    <x:row r="218" ht="68" customHeight="1">
      <x:c r="A218" s="4" t="n">
        <x:v>217</x:v>
      </x:c>
      <x:c r="B218" s="4" t="str">
        <x:v>ADMIN-0217</x:v>
      </x:c>
      <x:c r="C218" s="4" t="str">
        <x:v>M08 礼物、道具、任务、邀请与运营配置</x:v>
      </x:c>
      <x:c r="D218" s="4" t="str">
        <x:v>道具详情（平台管理员视角）</x:v>
      </x:c>
      <x:c r="E218" s="4" t="str">
        <x:v>功能需求</x:v>
      </x:c>
      <x:c r="F218" s="4" t="str">
        <x:v>P2</x:v>
      </x:c>
      <x:c r="G218" s="4" t="str">
        <x:v>验证操作记录回显</x:v>
      </x:c>
      <x:c r="H218" s="4" t="str">
        <x:v>操作记录回显</x:v>
      </x:c>
      <x:c r="I218" s="4" t="str">
        <x:v>1. 已登录平台管理员账号
2. 所选对象存在，已记录该对象的操作记录值</x:v>
      </x:c>
      <x:c r="J218" s="4" t="str">
        <x:v>1. 进入「道具详情」页
2. 查看操作记录回显</x:v>
      </x:c>
      <x:c r="K218" s="4" t="str">
        <x:v>「操作记录」内容与所选对象的该项资料一致</x:v>
      </x:c>
      <x:c r="L218" s="4" t="str"/>
      <x:c r="M218" s="4" t="str">
        <x:v>未测</x:v>
      </x:c>
      <x:c r="N218" s="4" t="str"/>
      <x:c r="O218" s="4" t="str">
        <x:v>1. 来源：MainBasis/统一需求文档.md；A-admin-prop-detail-008
2. 场景：SC-bf816965661876</x:v>
      </x:c>
    </x:row>
    <x:row r="219" ht="68" customHeight="1">
      <x:c r="A219" s="4" t="n">
        <x:v>218</x:v>
      </x:c>
      <x:c r="B219" s="4" t="str">
        <x:v>ADMIN-0218</x:v>
      </x:c>
      <x:c r="C219" s="4" t="str">
        <x:v>M08 礼物、道具、任务、邀请与运营配置</x:v>
      </x:c>
      <x:c r="D219" s="4" t="str">
        <x:v>道具详情（平台管理员视角）</x:v>
      </x:c>
      <x:c r="E219" s="4" t="str">
        <x:v>逻辑校验</x:v>
      </x:c>
      <x:c r="F219" s="4" t="str">
        <x:v>P1</x:v>
      </x:c>
      <x:c r="G219" s="4" t="str">
        <x:v>验证排序权重空值</x:v>
      </x:c>
      <x:c r="H219" s="4" t="str">
        <x:v>排序权重空值</x:v>
      </x:c>
      <x:c r="I219" s="4" t="str">
        <x:v>1. 已登录平台管理员账号
2. 其他必填字段与配置有效</x:v>
      </x:c>
      <x:c r="J219" s="4" t="str">
        <x:v>1. 进入「道具详情」页
2. 清空排序权重
3. 点击保存</x:v>
      </x:c>
      <x:c r="K219" s="4" t="str">
        <x:v>排序权重校验失败，不能保存</x:v>
      </x:c>
      <x:c r="L219" s="4" t="str"/>
      <x:c r="M219" s="4" t="str">
        <x:v>未测</x:v>
      </x:c>
      <x:c r="N219" s="4" t="str"/>
      <x:c r="O219" s="4" t="str">
        <x:v>1. 来源：MainBasis/统一需求文档.md；A-admin-prop-detail-006
2. 场景：SC-95486eac965c01</x:v>
      </x:c>
    </x:row>
    <x:row r="220" ht="68" customHeight="1">
      <x:c r="A220" s="4" t="n">
        <x:v>219</x:v>
      </x:c>
      <x:c r="B220" s="4" t="str">
        <x:v>ADMIN-0219</x:v>
      </x:c>
      <x:c r="C220" s="4" t="str">
        <x:v>M08 礼物、道具、任务、邀请与运营配置</x:v>
      </x:c>
      <x:c r="D220" s="4" t="str">
        <x:v>道具详情（平台管理员视角）</x:v>
      </x:c>
      <x:c r="E220" s="4" t="str">
        <x:v>逻辑校验</x:v>
      </x:c>
      <x:c r="F220" s="4" t="str">
        <x:v>P1</x:v>
      </x:c>
      <x:c r="G220" s="4" t="str">
        <x:v>验证排序权重-1</x:v>
      </x:c>
      <x:c r="H220" s="4" t="str">
        <x:v>排序权重-1</x:v>
      </x:c>
      <x:c r="I220" s="4" t="str">
        <x:v>1. 已登录平台管理员账号
2. 其他必填字段与配置有效</x:v>
      </x:c>
      <x:c r="J220" s="4" t="str">
        <x:v>1. 进入「道具详情」页
2. 填写排序权重-1
3. 点击保存</x:v>
      </x:c>
      <x:c r="K220" s="4" t="str">
        <x:v>排序权重保存为-1</x:v>
      </x:c>
      <x:c r="L220" s="4" t="str"/>
      <x:c r="M220" s="4" t="str">
        <x:v>未测</x:v>
      </x:c>
      <x:c r="N220" s="4" t="str"/>
      <x:c r="O220" s="4" t="str">
        <x:v>1. 来源：MainBasis/统一需求文档.md；A-admin-prop-detail-006
2. 场景：SC-de77219f072c94</x:v>
      </x:c>
    </x:row>
    <x:row r="221" ht="68" customHeight="1">
      <x:c r="A221" s="4" t="n">
        <x:v>220</x:v>
      </x:c>
      <x:c r="B221" s="4" t="str">
        <x:v>ADMIN-0220</x:v>
      </x:c>
      <x:c r="C221" s="4" t="str">
        <x:v>M08 礼物、道具、任务、邀请与运营配置</x:v>
      </x:c>
      <x:c r="D221" s="4" t="str">
        <x:v>道具详情（平台管理员视角）</x:v>
      </x:c>
      <x:c r="E221" s="4" t="str">
        <x:v>逻辑校验</x:v>
      </x:c>
      <x:c r="F221" s="4" t="str">
        <x:v>P1</x:v>
      </x:c>
      <x:c r="G221" s="4" t="str">
        <x:v>验证排序权重0</x:v>
      </x:c>
      <x:c r="H221" s="4" t="str">
        <x:v>排序权重0</x:v>
      </x:c>
      <x:c r="I221" s="4" t="str">
        <x:v>1. 已登录平台管理员账号
2. 其他必填字段与配置有效</x:v>
      </x:c>
      <x:c r="J221" s="4" t="str">
        <x:v>1. 进入「道具详情」页
2. 填写排序权重0
3. 点击保存</x:v>
      </x:c>
      <x:c r="K221" s="4" t="str">
        <x:v>排序权重保存为0</x:v>
      </x:c>
      <x:c r="L221" s="4" t="str"/>
      <x:c r="M221" s="4" t="str">
        <x:v>未测</x:v>
      </x:c>
      <x:c r="N221" s="4" t="str"/>
      <x:c r="O221" s="4" t="str">
        <x:v>1. 来源：MainBasis/统一需求文档.md；A-admin-prop-detail-006
2. 场景：SC-f483452aa2aecc</x:v>
      </x:c>
    </x:row>
    <x:row r="222" ht="68" customHeight="1">
      <x:c r="A222" s="4" t="n">
        <x:v>221</x:v>
      </x:c>
      <x:c r="B222" s="4" t="str">
        <x:v>ADMIN-0221</x:v>
      </x:c>
      <x:c r="C222" s="4" t="str">
        <x:v>M08 礼物、道具、任务、邀请与运营配置</x:v>
      </x:c>
      <x:c r="D222" s="4" t="str">
        <x:v>道具详情（平台管理员视角）</x:v>
      </x:c>
      <x:c r="E222" s="4" t="str">
        <x:v>逻辑校验</x:v>
      </x:c>
      <x:c r="F222" s="4" t="str">
        <x:v>P1</x:v>
      </x:c>
      <x:c r="G222" s="4" t="str">
        <x:v>验证排序权重1</x:v>
      </x:c>
      <x:c r="H222" s="4" t="str">
        <x:v>排序权重1</x:v>
      </x:c>
      <x:c r="I222" s="4" t="str">
        <x:v>1. 已登录平台管理员账号
2. 其他必填字段与配置有效</x:v>
      </x:c>
      <x:c r="J222" s="4" t="str">
        <x:v>1. 进入「道具详情」页
2. 填写排序权重1
3. 点击保存</x:v>
      </x:c>
      <x:c r="K222" s="4" t="str">
        <x:v>排序权重保存为1</x:v>
      </x:c>
      <x:c r="L222" s="4" t="str"/>
      <x:c r="M222" s="4" t="str">
        <x:v>未测</x:v>
      </x:c>
      <x:c r="N222" s="4" t="str"/>
      <x:c r="O222" s="4" t="str">
        <x:v>1. 来源：MainBasis/统一需求文档.md；A-admin-prop-detail-006
2. 场景：SC-c8847d3e7a991d</x:v>
      </x:c>
    </x:row>
    <x:row r="223" ht="68" customHeight="1">
      <x:c r="A223" s="4" t="n">
        <x:v>222</x:v>
      </x:c>
      <x:c r="B223" s="4" t="str">
        <x:v>ADMIN-0222</x:v>
      </x:c>
      <x:c r="C223" s="4" t="str">
        <x:v>M08 礼物、道具、任务、邀请与运营配置</x:v>
      </x:c>
      <x:c r="D223" s="4" t="str">
        <x:v>道具详情（平台管理员视角）</x:v>
      </x:c>
      <x:c r="E223" s="4" t="str">
        <x:v>逻辑校验</x:v>
      </x:c>
      <x:c r="F223" s="4" t="str">
        <x:v>P1</x:v>
      </x:c>
      <x:c r="G223" s="4" t="str">
        <x:v>验证排序权重1.5</x:v>
      </x:c>
      <x:c r="H223" s="4" t="str">
        <x:v>排序权重1.5</x:v>
      </x:c>
      <x:c r="I223" s="4" t="str">
        <x:v>1. 已登录平台管理员账号
2. 其他必填字段与配置有效</x:v>
      </x:c>
      <x:c r="J223" s="4" t="str">
        <x:v>1. 进入「道具详情」页
2. 填写排序权重1.5
3. 点击保存</x:v>
      </x:c>
      <x:c r="K223" s="4" t="str">
        <x:v>排序权重校验失败，不能保存</x:v>
      </x:c>
      <x:c r="L223" s="4" t="str"/>
      <x:c r="M223" s="4" t="str">
        <x:v>未测</x:v>
      </x:c>
      <x:c r="N223" s="4" t="str"/>
      <x:c r="O223" s="4" t="str">
        <x:v>1. 来源：MainBasis/统一需求文档.md；A-admin-prop-detail-006
2. 场景：SC-c07e77459d7e74</x:v>
      </x:c>
    </x:row>
    <x:row r="224" ht="68" customHeight="1">
      <x:c r="A224" s="4" t="n">
        <x:v>223</x:v>
      </x:c>
      <x:c r="B224" s="4" t="str">
        <x:v>ADMIN-0223</x:v>
      </x:c>
      <x:c r="C224" s="4" t="str">
        <x:v>M08 礼物、道具、任务、邀请与运营配置</x:v>
      </x:c>
      <x:c r="D224" s="4" t="str">
        <x:v>道具详情（平台管理员视角）</x:v>
      </x:c>
      <x:c r="E224" s="4" t="str">
        <x:v>异常用例</x:v>
      </x:c>
      <x:c r="F224" s="4" t="str">
        <x:v>P1</x:v>
      </x:c>
      <x:c r="G224" s="4" t="str">
        <x:v>验证中文名称缺失限制</x:v>
      </x:c>
      <x:c r="H224" s="4" t="str">
        <x:v>中文名称缺失限制</x:v>
      </x:c>
      <x:c r="I224" s="4" t="str">
        <x:v>1. 已登录平台管理员账号
2. 其他必填字段为合法值</x:v>
      </x:c>
      <x:c r="J224" s="4" t="str">
        <x:v>1. 进入「道具详情」页
2. 清空「中文名称」
3. 点击「保存」</x:v>
      </x:c>
      <x:c r="K224" s="4" t="str">
        <x:v>中文名称未填写，无法保存</x:v>
      </x:c>
      <x:c r="L224" s="4" t="str"/>
      <x:c r="M224" s="4" t="str">
        <x:v>未测</x:v>
      </x:c>
      <x:c r="N224" s="4" t="str"/>
      <x:c r="O224" s="4" t="str">
        <x:v>1. 来源：MainBasis/统一需求文档.md；A-admin-prop-detail-003
2. 场景：SC-3d1376d64ab295</x:v>
      </x:c>
    </x:row>
    <x:row r="225" ht="68" customHeight="1">
      <x:c r="A225" s="4" t="n">
        <x:v>224</x:v>
      </x:c>
      <x:c r="B225" s="4" t="str">
        <x:v>ADMIN-0224</x:v>
      </x:c>
      <x:c r="C225" s="4" t="str">
        <x:v>M08 礼物、道具、任务、邀请与运营配置</x:v>
      </x:c>
      <x:c r="D225" s="4" t="str">
        <x:v>道具详情（平台管理员视角）</x:v>
      </x:c>
      <x:c r="E225" s="4" t="str">
        <x:v>异常用例</x:v>
      </x:c>
      <x:c r="F225" s="4" t="str">
        <x:v>P1</x:v>
      </x:c>
      <x:c r="G225" s="4" t="str">
        <x:v>验证英语名称缺失限制</x:v>
      </x:c>
      <x:c r="H225" s="4" t="str">
        <x:v>英语名称缺失限制</x:v>
      </x:c>
      <x:c r="I225" s="4" t="str">
        <x:v>1. 已登录平台管理员账号
2. 其他必填字段为合法值</x:v>
      </x:c>
      <x:c r="J225" s="4" t="str">
        <x:v>1. 进入「道具详情」页
2. 清空「英语名称」
3. 点击「保存」</x:v>
      </x:c>
      <x:c r="K225" s="4" t="str">
        <x:v>英语名称未填写，无法保存</x:v>
      </x:c>
      <x:c r="L225" s="4" t="str"/>
      <x:c r="M225" s="4" t="str">
        <x:v>未测</x:v>
      </x:c>
      <x:c r="N225" s="4" t="str"/>
      <x:c r="O225" s="4" t="str">
        <x:v>1. 来源：MainBasis/统一需求文档.md；A-admin-prop-detail-003
2. 场景：SC-821885b788058d</x:v>
      </x:c>
    </x:row>
    <x:row r="226" ht="68" customHeight="1">
      <x:c r="A226" s="4" t="n">
        <x:v>225</x:v>
      </x:c>
      <x:c r="B226" s="4" t="str">
        <x:v>ADMIN-0225</x:v>
      </x:c>
      <x:c r="C226" s="4" t="str">
        <x:v>M08 礼物、道具、任务、邀请与运营配置</x:v>
      </x:c>
      <x:c r="D226" s="4" t="str">
        <x:v>道具详情（平台管理员视角）</x:v>
      </x:c>
      <x:c r="E226" s="4" t="str">
        <x:v>异常用例</x:v>
      </x:c>
      <x:c r="F226" s="4" t="str">
        <x:v>P1</x:v>
      </x:c>
      <x:c r="G226" s="4" t="str">
        <x:v>验证印尼语名称缺失限制</x:v>
      </x:c>
      <x:c r="H226" s="4" t="str">
        <x:v>印尼语名称缺失限制</x:v>
      </x:c>
      <x:c r="I226" s="4" t="str">
        <x:v>1. 已登录平台管理员账号
2. 其他必填字段为合法值</x:v>
      </x:c>
      <x:c r="J226" s="4" t="str">
        <x:v>1. 进入「道具详情」页
2. 清空「印尼语名称」
3. 点击「保存」</x:v>
      </x:c>
      <x:c r="K226" s="4" t="str">
        <x:v>印尼语名称未填写，无法保存</x:v>
      </x:c>
      <x:c r="L226" s="4" t="str"/>
      <x:c r="M226" s="4" t="str">
        <x:v>未测</x:v>
      </x:c>
      <x:c r="N226" s="4" t="str"/>
      <x:c r="O226" s="4" t="str">
        <x:v>1. 来源：MainBasis/统一需求文档.md；A-admin-prop-detail-003
2. 场景：SC-bb7fcbc00d7bd6</x:v>
      </x:c>
    </x:row>
    <x:row r="227" ht="68" customHeight="1">
      <x:c r="A227" s="4" t="n">
        <x:v>226</x:v>
      </x:c>
      <x:c r="B227" s="4" t="str">
        <x:v>ADMIN-0226</x:v>
      </x:c>
      <x:c r="C227" s="4" t="str">
        <x:v>M08 礼物、道具、任务、邀请与运营配置</x:v>
      </x:c>
      <x:c r="D227" s="4" t="str">
        <x:v>道具详情（平台管理员视角）</x:v>
      </x:c>
      <x:c r="E227" s="4" t="str">
        <x:v>异常用例</x:v>
      </x:c>
      <x:c r="F227" s="4" t="str">
        <x:v>P1</x:v>
      </x:c>
      <x:c r="G227" s="4" t="str">
        <x:v>验证马来语名称缺失限制</x:v>
      </x:c>
      <x:c r="H227" s="4" t="str">
        <x:v>马来语名称缺失限制</x:v>
      </x:c>
      <x:c r="I227" s="4" t="str">
        <x:v>1. 已登录平台管理员账号
2. 其他必填字段为合法值</x:v>
      </x:c>
      <x:c r="J227" s="4" t="str">
        <x:v>1. 进入「道具详情」页
2. 清空「马来语名称」
3. 点击「保存」</x:v>
      </x:c>
      <x:c r="K227" s="4" t="str">
        <x:v>马来语名称未填写，无法保存</x:v>
      </x:c>
      <x:c r="L227" s="4" t="str"/>
      <x:c r="M227" s="4" t="str">
        <x:v>未测</x:v>
      </x:c>
      <x:c r="N227" s="4" t="str"/>
      <x:c r="O227" s="4" t="str">
        <x:v>1. 来源：MainBasis/统一需求文档.md；A-admin-prop-detail-003
2. 场景：SC-ed52112fdea3e6</x:v>
      </x:c>
    </x:row>
    <x:row r="228" ht="68" customHeight="1">
      <x:c r="A228" s="4" t="n">
        <x:v>227</x:v>
      </x:c>
      <x:c r="B228" s="4" t="str">
        <x:v>ADMIN-0227</x:v>
      </x:c>
      <x:c r="C228" s="4" t="str">
        <x:v>M08 礼物、道具、任务、邀请与运营配置</x:v>
      </x:c>
      <x:c r="D228" s="4" t="str">
        <x:v>道具详情（平台管理员视角）</x:v>
      </x:c>
      <x:c r="E228" s="4" t="str">
        <x:v>异常用例</x:v>
      </x:c>
      <x:c r="F228" s="4" t="str">
        <x:v>P1</x:v>
      </x:c>
      <x:c r="G228" s="4" t="str">
        <x:v>验证图标缺失限制</x:v>
      </x:c>
      <x:c r="H228" s="4" t="str">
        <x:v>图标缺失限制</x:v>
      </x:c>
      <x:c r="I228" s="4" t="str">
        <x:v>1. 已登录平台管理员账号
2. 其他必填字段为合法值</x:v>
      </x:c>
      <x:c r="J228" s="4" t="str">
        <x:v>1. 进入「道具详情」页
2. 清空「图标」
3. 点击「保存」</x:v>
      </x:c>
      <x:c r="K228" s="4" t="str">
        <x:v>图标未填写，无法保存</x:v>
      </x:c>
      <x:c r="L228" s="4" t="str"/>
      <x:c r="M228" s="4" t="str">
        <x:v>未测</x:v>
      </x:c>
      <x:c r="N228" s="4" t="str"/>
      <x:c r="O228" s="4" t="str">
        <x:v>1. 来源：MainBasis/统一需求文档.md；A-admin-prop-detail-005、A-admin-prop-list-005
2. 场景：SC-85f20550c95193</x:v>
      </x:c>
    </x:row>
    <x:row r="229" ht="68" customHeight="1">
      <x:c r="A229" s="4" t="n">
        <x:v>228</x:v>
      </x:c>
      <x:c r="B229" s="4" t="str">
        <x:v>ADMIN-0228</x:v>
      </x:c>
      <x:c r="C229" s="4" t="str">
        <x:v>M08 礼物、道具、任务、邀请与运营配置</x:v>
      </x:c>
      <x:c r="D229" s="4" t="str">
        <x:v>道具详情（平台管理员视角）</x:v>
      </x:c>
      <x:c r="E229" s="4" t="str">
        <x:v>异常用例</x:v>
      </x:c>
      <x:c r="F229" s="4" t="str">
        <x:v>P1</x:v>
      </x:c>
      <x:c r="G229" s="4" t="str">
        <x:v>验证素材缺失限制</x:v>
      </x:c>
      <x:c r="H229" s="4" t="str">
        <x:v>素材缺失限制</x:v>
      </x:c>
      <x:c r="I229" s="4" t="str">
        <x:v>1. 已登录平台管理员账号
2. 其他必填字段为合法值</x:v>
      </x:c>
      <x:c r="J229" s="4" t="str">
        <x:v>1. 进入「道具详情」页
2. 清空「素材」
3. 点击「保存」</x:v>
      </x:c>
      <x:c r="K229" s="4" t="str">
        <x:v>素材未填写，无法保存</x:v>
      </x:c>
      <x:c r="L229" s="4" t="str"/>
      <x:c r="M229" s="4" t="str">
        <x:v>未测</x:v>
      </x:c>
      <x:c r="N229" s="4" t="str"/>
      <x:c r="O229" s="4" t="str">
        <x:v>1. 来源：MainBasis/统一需求文档.md；A-admin-prop-detail-005、A-admin-prop-list-005
2. 场景：SC-ec33dac3d740cd</x:v>
      </x:c>
    </x:row>
    <x:row r="230" ht="68" customHeight="1">
      <x:c r="A230" s="4" t="n">
        <x:v>229</x:v>
      </x:c>
      <x:c r="B230" s="4" t="str">
        <x:v>ADMIN-0229</x:v>
      </x:c>
      <x:c r="C230" s="4" t="str">
        <x:v>M08 礼物、道具、任务、邀请与运营配置</x:v>
      </x:c>
      <x:c r="D230" s="4" t="str">
        <x:v>道具详情（平台管理员视角）</x:v>
      </x:c>
      <x:c r="E230" s="4" t="str">
        <x:v>功能需求</x:v>
      </x:c>
      <x:c r="F230" s="4" t="str">
        <x:v>P1</x:v>
      </x:c>
      <x:c r="G230" s="4" t="str">
        <x:v>验证道具编辑ID只读</x:v>
      </x:c>
      <x:c r="H230" s="4" t="str">
        <x:v>道具编辑ID只读</x:v>
      </x:c>
      <x:c r="I230" s="4" t="str">
        <x:v>1. 已登录平台管理员账号
2. 当前编辑已创建道具</x:v>
      </x:c>
      <x:c r="J230" s="4" t="str">
        <x:v>1. 进入「道具详情」页
2. 查看道具编辑ID只读</x:v>
      </x:c>
      <x:c r="K230" s="4" t="str">
        <x:v>道具ID不可修改</x:v>
      </x:c>
      <x:c r="L230" s="4" t="str"/>
      <x:c r="M230" s="4" t="str">
        <x:v>未测</x:v>
      </x:c>
      <x:c r="N230" s="4" t="str"/>
      <x:c r="O230" s="4" t="str">
        <x:v>1. 来源：MainBasis/统一需求文档.md；A-admin-prop-detail-002、A-admin-prop-list-003
2. 场景：SC-270433fcdd8ca3</x:v>
      </x:c>
    </x:row>
    <x:row r="231" ht="68" customHeight="1">
      <x:c r="A231" s="4" t="n">
        <x:v>230</x:v>
      </x:c>
      <x:c r="B231" s="4" t="str">
        <x:v>ADMIN-0230</x:v>
      </x:c>
      <x:c r="C231" s="4" t="str">
        <x:v>M08 礼物、道具、任务、邀请与运营配置</x:v>
      </x:c>
      <x:c r="D231" s="4" t="str">
        <x:v>道具详情（平台管理员视角）</x:v>
      </x:c>
      <x:c r="E231" s="4" t="str">
        <x:v>异常用例</x:v>
      </x:c>
      <x:c r="F231" s="4" t="str">
        <x:v>P1</x:v>
      </x:c>
      <x:c r="G231" s="4" t="str">
        <x:v>验证道具新建ID重复</x:v>
      </x:c>
      <x:c r="H231" s="4" t="str">
        <x:v>道具新建ID重复</x:v>
      </x:c>
      <x:c r="I231" s="4" t="str">
        <x:v>1. 已登录平台管理员账号
2. 系统已有目标道具ID</x:v>
      </x:c>
      <x:c r="J231" s="4" t="str">
        <x:v>1. 进入「道具详情」页
2. 新建时填写已存在ID
3. 保存</x:v>
      </x:c>
      <x:c r="K231" s="4" t="str">
        <x:v>不能创建重复ID道具</x:v>
      </x:c>
      <x:c r="L231" s="4" t="str"/>
      <x:c r="M231" s="4" t="str">
        <x:v>未测</x:v>
      </x:c>
      <x:c r="N231" s="4" t="str"/>
      <x:c r="O231" s="4" t="str">
        <x:v>1. 来源：MainBasis/统一需求文档.md；A-admin-prop-detail-002、A-admin-prop-list-003
2. 场景：SC-e218b8341603a5</x:v>
      </x:c>
    </x:row>
    <x:row r="232" ht="68" customHeight="1">
      <x:c r="A232" s="4" t="n">
        <x:v>231</x:v>
      </x:c>
      <x:c r="B232" s="4" t="str">
        <x:v>ADMIN-0231</x:v>
      </x:c>
      <x:c r="C232" s="4" t="str">
        <x:v>M08 礼物、道具、任务、邀请与运营配置</x:v>
      </x:c>
      <x:c r="D232" s="4" t="str">
        <x:v>道具详情（平台管理员视角）</x:v>
      </x:c>
      <x:c r="E232" s="4" t="str">
        <x:v>功能需求</x:v>
      </x:c>
      <x:c r="F232" s="4" t="str">
        <x:v>P1</x:v>
      </x:c>
      <x:c r="G232" s="4" t="str">
        <x:v>验证保存留在详情</x:v>
      </x:c>
      <x:c r="H232" s="4" t="str">
        <x:v>保存留在详情</x:v>
      </x:c>
      <x:c r="I232" s="4" t="str">
        <x:v>1. 已登录平台管理员账号
2. 当前字段、资源和时间均合法</x:v>
      </x:c>
      <x:c r="J232" s="4" t="str">
        <x:v>1. 进入「道具详情」页
2. 点击保存</x:v>
      </x:c>
      <x:c r="K232" s="4" t="str">
        <x:v>保存成功并留在当前详情</x:v>
      </x:c>
      <x:c r="L232" s="4" t="str"/>
      <x:c r="M232" s="4" t="str">
        <x:v>未测</x:v>
      </x:c>
      <x:c r="N232" s="4" t="str"/>
      <x:c r="O232" s="4" t="str">
        <x:v>1. 来源：MainBasis/统一需求文档.md；A-admin-prop-detail-009
2. 场景：SC-76c059f7798c1d</x:v>
      </x:c>
    </x:row>
    <x:row r="233" ht="68" customHeight="1">
      <x:c r="A233" s="4" t="n">
        <x:v>232</x:v>
      </x:c>
      <x:c r="B233" s="4" t="str">
        <x:v>ADMIN-0232</x:v>
      </x:c>
      <x:c r="C233" s="4" t="str">
        <x:v>M08 礼物、道具、任务、邀请与运营配置</x:v>
      </x:c>
      <x:c r="D233" s="4" t="str">
        <x:v>购买份数配置-16（平台管理员视角）</x:v>
      </x:c>
      <x:c r="E233" s="4" t="str">
        <x:v>功能需求</x:v>
      </x:c>
      <x:c r="F233" s="4" t="str">
        <x:v>P1</x:v>
      </x:c>
      <x:c r="G233" s="4" t="str">
        <x:v>验证停用份数规则回退1</x:v>
      </x:c>
      <x:c r="H233" s="4" t="str">
        <x:v>停用份数规则回退1</x:v>
      </x:c>
      <x:c r="I233" s="4" t="str">
        <x:v>1. 已登录平台管理员账号
2. 礼物原关联可选1、10的规则，规则现已停用</x:v>
      </x:c>
      <x:c r="J233" s="4" t="str">
        <x:v>1. 进入「购买份数配置-16」页
2. 查看停用份数规则回退1</x:v>
      </x:c>
      <x:c r="K233" s="4" t="str">
        <x:v>该礼物默认仅支持×1</x:v>
      </x:c>
      <x:c r="L233" s="4" t="str"/>
      <x:c r="M233" s="4" t="str">
        <x:v>未测</x:v>
      </x:c>
      <x:c r="N233" s="4" t="str"/>
      <x:c r="O233" s="4" t="str">
        <x:v>1. 来源：MainBasis/统一需求文档.md；A-admin-gift-send-count-rules-007
2. 场景：SC-afb1d5ca63783a</x:v>
      </x:c>
    </x:row>
    <x:row r="234" ht="68" customHeight="1">
      <x:c r="A234" s="4" t="n">
        <x:v>233</x:v>
      </x:c>
      <x:c r="B234" s="4" t="str">
        <x:v>ADMIN-0233</x:v>
      </x:c>
      <x:c r="C234" s="4" t="str">
        <x:v>M08 礼物、道具、任务、邀请与运营配置</x:v>
      </x:c>
      <x:c r="D234" s="4" t="str">
        <x:v>购买份数配置-16（平台管理员视角）</x:v>
      </x:c>
      <x:c r="E234" s="4" t="str">
        <x:v>功能需求</x:v>
      </x:c>
      <x:c r="F234" s="4" t="str">
        <x:v>P2</x:v>
      </x:c>
      <x:c r="G234" s="4" t="str">
        <x:v>验证规则 ID标识不可编辑</x:v>
      </x:c>
      <x:c r="H234" s="4" t="str">
        <x:v>规则 ID标识不可编辑</x:v>
      </x:c>
      <x:c r="I234" s="4" t="str">
        <x:v>1. 已登录平台管理员账号
2. 目标记录已创建</x:v>
      </x:c>
      <x:c r="J234" s="4" t="str">
        <x:v>1. 进入「购买份数配置-16」页
2. 查看规则 ID标识不可编辑</x:v>
      </x:c>
      <x:c r="K234" s="4" t="str">
        <x:v>已生成的规则 ID可查看但不可编辑</x:v>
      </x:c>
      <x:c r="L234" s="4" t="str"/>
      <x:c r="M234" s="4" t="str">
        <x:v>未测</x:v>
      </x:c>
      <x:c r="N234" s="4" t="str"/>
      <x:c r="O234" s="4" t="str">
        <x:v>1. 来源：MainBasis/统一需求文档.md；A-admin-gift-send-count-rules-002
2. 场景：SC-272029a6e3b77a</x:v>
      </x:c>
    </x:row>
    <x:row r="235" ht="68" customHeight="1">
      <x:c r="A235" s="4" t="n">
        <x:v>234</x:v>
      </x:c>
      <x:c r="B235" s="4" t="str">
        <x:v>ADMIN-0234</x:v>
      </x:c>
      <x:c r="C235" s="4" t="str">
        <x:v>M08 礼物、道具、任务、邀请与运营配置</x:v>
      </x:c>
      <x:c r="D235" s="4" t="str">
        <x:v>购买份数配置-16（平台管理员视角）</x:v>
      </x:c>
      <x:c r="E235" s="4" t="str">
        <x:v>功能需求</x:v>
      </x:c>
      <x:c r="F235" s="4" t="str">
        <x:v>P2</x:v>
      </x:c>
      <x:c r="G235" s="4" t="str">
        <x:v>验证状态启用回显</x:v>
      </x:c>
      <x:c r="H235" s="4" t="str">
        <x:v>状态启用回显</x:v>
      </x:c>
      <x:c r="I235" s="4" t="str">
        <x:v>1. 已登录平台管理员账号
2. 所选记录状态为启用</x:v>
      </x:c>
      <x:c r="J235" s="4" t="str">
        <x:v>1. 进入「购买份数配置-16」页
2. 查看状态启用回显</x:v>
      </x:c>
      <x:c r="K235" s="4" t="str">
        <x:v>状态显示启用</x:v>
      </x:c>
      <x:c r="L235" s="4" t="str"/>
      <x:c r="M235" s="4" t="str">
        <x:v>未测</x:v>
      </x:c>
      <x:c r="N235" s="4" t="str"/>
      <x:c r="O235" s="4" t="str">
        <x:v>1. 来源：MainBasis/统一需求文档.md；A-admin-gift-send-count-rules-006
2. 场景：SC-d77ce664cbde76</x:v>
      </x:c>
    </x:row>
    <x:row r="236" ht="68" customHeight="1">
      <x:c r="A236" s="4" t="n">
        <x:v>235</x:v>
      </x:c>
      <x:c r="B236" s="4" t="str">
        <x:v>ADMIN-0235</x:v>
      </x:c>
      <x:c r="C236" s="4" t="str">
        <x:v>M08 礼物、道具、任务、邀请与运营配置</x:v>
      </x:c>
      <x:c r="D236" s="4" t="str">
        <x:v>购买份数配置-16（平台管理员视角）</x:v>
      </x:c>
      <x:c r="E236" s="4" t="str">
        <x:v>功能需求</x:v>
      </x:c>
      <x:c r="F236" s="4" t="str">
        <x:v>P2</x:v>
      </x:c>
      <x:c r="G236" s="4" t="str">
        <x:v>验证状态停用回显</x:v>
      </x:c>
      <x:c r="H236" s="4" t="str">
        <x:v>状态停用回显</x:v>
      </x:c>
      <x:c r="I236" s="4" t="str">
        <x:v>1. 已登录平台管理员账号
2. 所选记录状态为停用</x:v>
      </x:c>
      <x:c r="J236" s="4" t="str">
        <x:v>1. 进入「购买份数配置-16」页
2. 查看状态停用回显</x:v>
      </x:c>
      <x:c r="K236" s="4" t="str">
        <x:v>状态显示停用</x:v>
      </x:c>
      <x:c r="L236" s="4" t="str"/>
      <x:c r="M236" s="4" t="str">
        <x:v>未测</x:v>
      </x:c>
      <x:c r="N236" s="4" t="str"/>
      <x:c r="O236" s="4" t="str">
        <x:v>1. 来源：MainBasis/统一需求文档.md；A-admin-gift-send-count-rules-006
2. 场景：SC-33d06b8876ea30</x:v>
      </x:c>
    </x:row>
    <x:row r="237" ht="68" customHeight="1">
      <x:c r="A237" s="4" t="n">
        <x:v>236</x:v>
      </x:c>
      <x:c r="B237" s="4" t="str">
        <x:v>ADMIN-0236</x:v>
      </x:c>
      <x:c r="C237" s="4" t="str">
        <x:v>M08 礼物、道具、任务、邀请与运营配置</x:v>
      </x:c>
      <x:c r="D237" s="4" t="str">
        <x:v>购买份数配置-16（平台管理员视角）</x:v>
      </x:c>
      <x:c r="E237" s="4" t="str">
        <x:v>功能需求</x:v>
      </x:c>
      <x:c r="F237" s="4" t="str">
        <x:v>P1</x:v>
      </x:c>
      <x:c r="G237" s="4" t="str">
        <x:v>验证查看所选记录详情</x:v>
      </x:c>
      <x:c r="H237" s="4" t="str">
        <x:v>查看所选记录详情</x:v>
      </x:c>
      <x:c r="I237" s="4" t="str">
        <x:v>1. 已登录平台管理员账号
2. 当前列表存在一条属于查询范围的记录</x:v>
      </x:c>
      <x:c r="J237" s="4" t="str">
        <x:v>1. 进入「购买份数配置-16」页
2. 选择该记录
3. 打开详情</x:v>
      </x:c>
      <x:c r="K237" s="4" t="str">
        <x:v>详情对象与所选记录一致</x:v>
      </x:c>
      <x:c r="L237" s="4" t="str"/>
      <x:c r="M237" s="4" t="str">
        <x:v>未测</x:v>
      </x:c>
      <x:c r="N237" s="4" t="str"/>
      <x:c r="O237" s="4" t="str">
        <x:v>1. 来源：MainBasis/统一需求文档.md；A-admin-gift-send-count-rules-008
2. 场景：SC-b96b64d783450a</x:v>
      </x:c>
    </x:row>
    <x:row r="238" ht="68" customHeight="1">
      <x:c r="A238" s="4" t="n">
        <x:v>237</x:v>
      </x:c>
      <x:c r="B238" s="4" t="str">
        <x:v>ADMIN-0237</x:v>
      </x:c>
      <x:c r="C238" s="4" t="str">
        <x:v>M08 礼物、道具、任务、邀请与运营配置</x:v>
      </x:c>
      <x:c r="D238" s="4" t="str">
        <x:v>购买份数配置详情（平台管理员视角）</x:v>
      </x:c>
      <x:c r="E238" s="4" t="str">
        <x:v>逻辑校验</x:v>
      </x:c>
      <x:c r="F238" s="4" t="str">
        <x:v>P1</x:v>
      </x:c>
      <x:c r="G238" s="4" t="str">
        <x:v>验证赠送数量列表[]</x:v>
      </x:c>
      <x:c r="H238" s="4" t="str">
        <x:v>赠送数量列表[]</x:v>
      </x:c>
      <x:c r="I238" s="4" t="str">
        <x:v>1. 已登录平台管理员账号
2. 其余配置合法</x:v>
      </x:c>
      <x:c r="J238" s="4" t="str">
        <x:v>1. 进入「购买份数配置详情」页
2. 设置赠送数量为[]
3. 保存</x:v>
      </x:c>
      <x:c r="K238" s="4" t="str">
        <x:v>数量列表不能保存</x:v>
      </x:c>
      <x:c r="L238" s="4" t="str"/>
      <x:c r="M238" s="4" t="str">
        <x:v>未测</x:v>
      </x:c>
      <x:c r="N238" s="4" t="str"/>
      <x:c r="O238" s="4" t="str">
        <x:v>1. 来源：MainBasis/统一需求文档.md；A-admin-gift-send-count-rule-detail-002、A-admin-gift-send-count-rules-003
2. 场景：SC-aa55b70c1f443b</x:v>
      </x:c>
    </x:row>
    <x:row r="239" ht="68" customHeight="1">
      <x:c r="A239" s="4" t="n">
        <x:v>238</x:v>
      </x:c>
      <x:c r="B239" s="4" t="str">
        <x:v>ADMIN-0238</x:v>
      </x:c>
      <x:c r="C239" s="4" t="str">
        <x:v>M08 礼物、道具、任务、邀请与运营配置</x:v>
      </x:c>
      <x:c r="D239" s="4" t="str">
        <x:v>购买份数配置详情（平台管理员视角）</x:v>
      </x:c>
      <x:c r="E239" s="4" t="str">
        <x:v>逻辑校验</x:v>
      </x:c>
      <x:c r="F239" s="4" t="str">
        <x:v>P1</x:v>
      </x:c>
      <x:c r="G239" s="4" t="str">
        <x:v>验证赠送数量列表[0]</x:v>
      </x:c>
      <x:c r="H239" s="4" t="str">
        <x:v>赠送数量列表[0]</x:v>
      </x:c>
      <x:c r="I239" s="4" t="str">
        <x:v>1. 已登录平台管理员账号
2. 其余配置合法</x:v>
      </x:c>
      <x:c r="J239" s="4" t="str">
        <x:v>1. 进入「购买份数配置详情」页
2. 设置赠送数量为[0]
3. 保存</x:v>
      </x:c>
      <x:c r="K239" s="4" t="str">
        <x:v>数量列表不能保存</x:v>
      </x:c>
      <x:c r="L239" s="4" t="str"/>
      <x:c r="M239" s="4" t="str">
        <x:v>未测</x:v>
      </x:c>
      <x:c r="N239" s="4" t="str"/>
      <x:c r="O239" s="4" t="str">
        <x:v>1. 来源：MainBasis/统一需求文档.md；A-admin-gift-send-count-rule-detail-002、A-admin-gift-send-count-rules-003
2. 场景：SC-17231499e7dec3</x:v>
      </x:c>
    </x:row>
    <x:row r="240" ht="68" customHeight="1">
      <x:c r="A240" s="4" t="n">
        <x:v>239</x:v>
      </x:c>
      <x:c r="B240" s="4" t="str">
        <x:v>ADMIN-0239</x:v>
      </x:c>
      <x:c r="C240" s="4" t="str">
        <x:v>M08 礼物、道具、任务、邀请与运营配置</x:v>
      </x:c>
      <x:c r="D240" s="4" t="str">
        <x:v>购买份数配置详情（平台管理员视角）</x:v>
      </x:c>
      <x:c r="E240" s="4" t="str">
        <x:v>逻辑校验</x:v>
      </x:c>
      <x:c r="F240" s="4" t="str">
        <x:v>P1</x:v>
      </x:c>
      <x:c r="G240" s="4" t="str">
        <x:v>验证赠送数量列表[1.5]</x:v>
      </x:c>
      <x:c r="H240" s="4" t="str">
        <x:v>赠送数量列表[1.5]</x:v>
      </x:c>
      <x:c r="I240" s="4" t="str">
        <x:v>1. 已登录平台管理员账号
2. 其余配置合法</x:v>
      </x:c>
      <x:c r="J240" s="4" t="str">
        <x:v>1. 进入「购买份数配置详情」页
2. 设置赠送数量为[1.5]
3. 保存</x:v>
      </x:c>
      <x:c r="K240" s="4" t="str">
        <x:v>数量列表不能保存</x:v>
      </x:c>
      <x:c r="L240" s="4" t="str"/>
      <x:c r="M240" s="4" t="str">
        <x:v>未测</x:v>
      </x:c>
      <x:c r="N240" s="4" t="str"/>
      <x:c r="O240" s="4" t="str">
        <x:v>1. 来源：MainBasis/统一需求文档.md；A-admin-gift-send-count-rule-detail-002、A-admin-gift-send-count-rules-003
2. 场景：SC-b862bcdfbc4649</x:v>
      </x:c>
    </x:row>
    <x:row r="241" ht="68" customHeight="1">
      <x:c r="A241" s="4" t="n">
        <x:v>240</x:v>
      </x:c>
      <x:c r="B241" s="4" t="str">
        <x:v>ADMIN-0240</x:v>
      </x:c>
      <x:c r="C241" s="4" t="str">
        <x:v>M08 礼物、道具、任务、邀请与运营配置</x:v>
      </x:c>
      <x:c r="D241" s="4" t="str">
        <x:v>购买份数配置详情（平台管理员视角）</x:v>
      </x:c>
      <x:c r="E241" s="4" t="str">
        <x:v>逻辑校验</x:v>
      </x:c>
      <x:c r="F241" s="4" t="str">
        <x:v>P1</x:v>
      </x:c>
      <x:c r="G241" s="4" t="str">
        <x:v>验证赠送数量列表[1,1]</x:v>
      </x:c>
      <x:c r="H241" s="4" t="str">
        <x:v>赠送数量列表[1,1]</x:v>
      </x:c>
      <x:c r="I241" s="4" t="str">
        <x:v>1. 已登录平台管理员账号
2. 其余配置合法</x:v>
      </x:c>
      <x:c r="J241" s="4" t="str">
        <x:v>1. 进入「购买份数配置详情」页
2. 设置赠送数量为[1,1]
3. 保存</x:v>
      </x:c>
      <x:c r="K241" s="4" t="str">
        <x:v>数量列表不能保存</x:v>
      </x:c>
      <x:c r="L241" s="4" t="str"/>
      <x:c r="M241" s="4" t="str">
        <x:v>未测</x:v>
      </x:c>
      <x:c r="N241" s="4" t="str"/>
      <x:c r="O241" s="4" t="str">
        <x:v>1. 来源：MainBasis/统一需求文档.md；A-admin-gift-send-count-rule-detail-002、A-admin-gift-send-count-rules-003
2. 场景：SC-f25c857f2c7a7e</x:v>
      </x:c>
    </x:row>
    <x:row r="242" ht="68" customHeight="1">
      <x:c r="A242" s="4" t="n">
        <x:v>241</x:v>
      </x:c>
      <x:c r="B242" s="4" t="str">
        <x:v>ADMIN-0241</x:v>
      </x:c>
      <x:c r="C242" s="4" t="str">
        <x:v>M08 礼物、道具、任务、邀请与运营配置</x:v>
      </x:c>
      <x:c r="D242" s="4" t="str">
        <x:v>购买份数配置详情（平台管理员视角）</x:v>
      </x:c>
      <x:c r="E242" s="4" t="str">
        <x:v>逻辑校验</x:v>
      </x:c>
      <x:c r="F242" s="4" t="str">
        <x:v>P1</x:v>
      </x:c>
      <x:c r="G242" s="4" t="str">
        <x:v>验证赠送数量列表[1]</x:v>
      </x:c>
      <x:c r="H242" s="4" t="str">
        <x:v>赠送数量列表[1]</x:v>
      </x:c>
      <x:c r="I242" s="4" t="str">
        <x:v>1. 已登录平台管理员账号
2. 其余配置合法</x:v>
      </x:c>
      <x:c r="J242" s="4" t="str">
        <x:v>1. 进入「购买份数配置详情」页
2. 设置赠送数量为[1]
3. 保存</x:v>
      </x:c>
      <x:c r="K242" s="4" t="str">
        <x:v>数量列表可保存</x:v>
      </x:c>
      <x:c r="L242" s="4" t="str"/>
      <x:c r="M242" s="4" t="str">
        <x:v>未测</x:v>
      </x:c>
      <x:c r="N242" s="4" t="str"/>
      <x:c r="O242" s="4" t="str">
        <x:v>1. 来源：MainBasis/统一需求文档.md；A-admin-gift-send-count-rule-detail-002、A-admin-gift-send-count-rules-003
2. 场景：SC-8a9d8b96b8e09e</x:v>
      </x:c>
    </x:row>
    <x:row r="243" ht="68" customHeight="1">
      <x:c r="A243" s="4" t="n">
        <x:v>242</x:v>
      </x:c>
      <x:c r="B243" s="4" t="str">
        <x:v>ADMIN-0242</x:v>
      </x:c>
      <x:c r="C243" s="4" t="str">
        <x:v>M08 礼物、道具、任务、邀请与运营配置</x:v>
      </x:c>
      <x:c r="D243" s="4" t="str">
        <x:v>购买份数配置详情（平台管理员视角）</x:v>
      </x:c>
      <x:c r="E243" s="4" t="str">
        <x:v>逻辑校验</x:v>
      </x:c>
      <x:c r="F243" s="4" t="str">
        <x:v>P1</x:v>
      </x:c>
      <x:c r="G243" s="4" t="str">
        <x:v>验证赠送数量列表[1,10]</x:v>
      </x:c>
      <x:c r="H243" s="4" t="str">
        <x:v>赠送数量列表[1,10]</x:v>
      </x:c>
      <x:c r="I243" s="4" t="str">
        <x:v>1. 已登录平台管理员账号
2. 其余配置合法</x:v>
      </x:c>
      <x:c r="J243" s="4" t="str">
        <x:v>1. 进入「购买份数配置详情」页
2. 设置赠送数量为[1,10]
3. 保存</x:v>
      </x:c>
      <x:c r="K243" s="4" t="str">
        <x:v>数量列表可保存</x:v>
      </x:c>
      <x:c r="L243" s="4" t="str"/>
      <x:c r="M243" s="4" t="str">
        <x:v>未测</x:v>
      </x:c>
      <x:c r="N243" s="4" t="str"/>
      <x:c r="O243" s="4" t="str">
        <x:v>1. 来源：MainBasis/统一需求文档.md；A-admin-gift-send-count-rule-detail-002、A-admin-gift-send-count-rules-003
2. 场景：SC-e44a79caec0e3d</x:v>
      </x:c>
    </x:row>
    <x:row r="244" ht="68" customHeight="1">
      <x:c r="A244" s="4" t="n">
        <x:v>243</x:v>
      </x:c>
      <x:c r="B244" s="4" t="str">
        <x:v>ADMIN-0243</x:v>
      </x:c>
      <x:c r="C244" s="4" t="str">
        <x:v>M08 礼物、道具、任务、邀请与运营配置</x:v>
      </x:c>
      <x:c r="D244" s="4" t="str">
        <x:v>购买份数配置详情（平台管理员视角）</x:v>
      </x:c>
      <x:c r="E244" s="4" t="str">
        <x:v>功能需求</x:v>
      </x:c>
      <x:c r="F244" s="4" t="str">
        <x:v>P1</x:v>
      </x:c>
      <x:c r="G244" s="4" t="str">
        <x:v>验证默认数量须在列表</x:v>
      </x:c>
      <x:c r="H244" s="4" t="str">
        <x:v>默认数量须在列表</x:v>
      </x:c>
      <x:c r="I244" s="4" t="str">
        <x:v>1. 已登录平台管理员账号
2. 可选数量1、10</x:v>
      </x:c>
      <x:c r="J244" s="4" t="str">
        <x:v>1. 进入「购买份数配置详情」页
2. 尝试将默认数量设为100
3. 保存</x:v>
      </x:c>
      <x:c r="K244" s="4" t="str">
        <x:v>不能保存不在列表中的默认数量</x:v>
      </x:c>
      <x:c r="L244" s="4" t="str"/>
      <x:c r="M244" s="4" t="str">
        <x:v>未测</x:v>
      </x:c>
      <x:c r="N244" s="4" t="str"/>
      <x:c r="O244" s="4" t="str">
        <x:v>1. 来源：MainBasis/统一需求文档.md；A-admin-gift-send-count-rule-detail-003、A-admin-gift-send-count-rules-004
2. 场景：SC-7530fa64c681a0</x:v>
      </x:c>
    </x:row>
    <x:row r="245" ht="82" customHeight="1">
      <x:c r="A245" s="4" t="n">
        <x:v>244</x:v>
      </x:c>
      <x:c r="B245" s="4" t="str">
        <x:v>ADMIN-0244</x:v>
      </x:c>
      <x:c r="C245" s="4" t="str">
        <x:v>M08 礼物、道具、任务、邀请与运营配置</x:v>
      </x:c>
      <x:c r="D245" s="4" t="str">
        <x:v>购买份数配置详情（平台管理员视角）</x:v>
      </x:c>
      <x:c r="E245" s="4" t="str">
        <x:v>功能需求</x:v>
      </x:c>
      <x:c r="F245" s="4" t="str">
        <x:v>P1</x:v>
      </x:c>
      <x:c r="G245" s="4" t="str">
        <x:v>验证同礼物启用规则冲突</x:v>
      </x:c>
      <x:c r="H245" s="4" t="str">
        <x:v>同礼物启用规则冲突</x:v>
      </x:c>
      <x:c r="I245" s="4" t="str">
        <x:v>1. 已登录平台管理员账号
2. 目标礼物已关联一条启用规则</x:v>
      </x:c>
      <x:c r="J245" s="4" t="str">
        <x:v>1. 进入「购买份数配置详情」页
2. 将另一规则关联该礼物并启用
3. 保存</x:v>
      </x:c>
      <x:c r="K245" s="4" t="str">
        <x:v>启用冲突校验失败</x:v>
      </x:c>
      <x:c r="L245" s="4" t="str"/>
      <x:c r="M245" s="4" t="str">
        <x:v>未测</x:v>
      </x:c>
      <x:c r="N245" s="4" t="str"/>
      <x:c r="O245" s="4" t="str">
        <x:v>1. 来源：MainBasis/统一需求文档.md；A-admin-gift-send-count-rule-detail-004、A-admin-gift-send-count-rules-005、A-admin-gift-send-count-rule-detail-005
2. 场景：SC-db522785f30645</x:v>
      </x:c>
    </x:row>
    <x:row r="246" ht="68" customHeight="1">
      <x:c r="A246" s="4" t="n">
        <x:v>245</x:v>
      </x:c>
      <x:c r="B246" s="4" t="str">
        <x:v>ADMIN-0245</x:v>
      </x:c>
      <x:c r="C246" s="4" t="str">
        <x:v>M08 礼物、道具、任务、邀请与运营配置</x:v>
      </x:c>
      <x:c r="D246" s="4" t="str">
        <x:v>购买份数配置详情（平台管理员视角）</x:v>
      </x:c>
      <x:c r="E246" s="4" t="str">
        <x:v>功能需求</x:v>
      </x:c>
      <x:c r="F246" s="4" t="str">
        <x:v>P1</x:v>
      </x:c>
      <x:c r="G246" s="4" t="str">
        <x:v>验证拖动数量同步默认选项</x:v>
      </x:c>
      <x:c r="H246" s="4" t="str">
        <x:v>拖动数量同步默认选项</x:v>
      </x:c>
      <x:c r="I246" s="4" t="str">
        <x:v>1. 已登录平台管理员账号
2. 数量列表1、10、100</x:v>
      </x:c>
      <x:c r="J246" s="4" t="str">
        <x:v>1. 进入「购买份数配置详情」页
2. 删除10并拖动100到首位</x:v>
      </x:c>
      <x:c r="K246" s="4" t="str">
        <x:v>默认数量选项仅100、1并按新顺序排列</x:v>
      </x:c>
      <x:c r="L246" s="4" t="str"/>
      <x:c r="M246" s="4" t="str">
        <x:v>未测</x:v>
      </x:c>
      <x:c r="N246" s="4" t="str"/>
      <x:c r="O246" s="4" t="str">
        <x:v>1. 来源：MainBasis/统一需求文档.md；A-admin-gift-send-count-rule-detail-006
2. 场景：SC-ef111677b1b20f</x:v>
      </x:c>
    </x:row>
    <x:row r="247" ht="68" customHeight="1">
      <x:c r="A247" s="4" t="n">
        <x:v>246</x:v>
      </x:c>
      <x:c r="B247" s="4" t="str">
        <x:v>ADMIN-0246</x:v>
      </x:c>
      <x:c r="C247" s="4" t="str">
        <x:v>M08 礼物、道具、任务、邀请与运营配置</x:v>
      </x:c>
      <x:c r="D247" s="4" t="str">
        <x:v>展位配置-17（平台管理员视角）</x:v>
      </x:c>
      <x:c r="E247" s="4" t="str">
        <x:v>功能需求</x:v>
      </x:c>
      <x:c r="F247" s="4" t="str">
        <x:v>P2</x:v>
      </x:c>
      <x:c r="G247" s="4" t="str">
        <x:v>验证展示位置回显</x:v>
      </x:c>
      <x:c r="H247" s="4" t="str">
        <x:v>展示位置回显</x:v>
      </x:c>
      <x:c r="I247" s="4" t="str">
        <x:v>1. 已登录平台管理员账号
2. 所选对象存在，已记录该对象的展示位置值</x:v>
      </x:c>
      <x:c r="J247" s="4" t="str">
        <x:v>1. 进入「展位配置-17」页
2. 查看展示位置回显</x:v>
      </x:c>
      <x:c r="K247" s="4" t="str">
        <x:v>「展示位置」内容与所选对象的该项资料一致</x:v>
      </x:c>
      <x:c r="L247" s="4" t="str"/>
      <x:c r="M247" s="4" t="str">
        <x:v>未测</x:v>
      </x:c>
      <x:c r="N247" s="4" t="str"/>
      <x:c r="O247" s="4" t="str">
        <x:v>1. 来源：MainBasis/统一需求文档.md；A-admin-placement-config-002
2. 场景：SC-c67fea7fc7823b</x:v>
      </x:c>
    </x:row>
    <x:row r="248" ht="68" customHeight="1">
      <x:c r="A248" s="4" t="n">
        <x:v>247</x:v>
      </x:c>
      <x:c r="B248" s="4" t="str">
        <x:v>ADMIN-0247</x:v>
      </x:c>
      <x:c r="C248" s="4" t="str">
        <x:v>M08 礼物、道具、任务、邀请与运营配置</x:v>
      </x:c>
      <x:c r="D248" s="4" t="str">
        <x:v>展位配置-17（平台管理员视角）</x:v>
      </x:c>
      <x:c r="E248" s="4" t="str">
        <x:v>功能需求</x:v>
      </x:c>
      <x:c r="F248" s="4" t="str">
        <x:v>P2</x:v>
      </x:c>
      <x:c r="G248" s="4" t="str">
        <x:v>验证展示周期回显</x:v>
      </x:c>
      <x:c r="H248" s="4" t="str">
        <x:v>展示周期回显</x:v>
      </x:c>
      <x:c r="I248" s="4" t="str">
        <x:v>1. 已登录平台管理员账号
2. 所选对象存在，已记录该对象的展示周期值</x:v>
      </x:c>
      <x:c r="J248" s="4" t="str">
        <x:v>1. 进入「展位配置-17」页
2. 查看展示周期回显</x:v>
      </x:c>
      <x:c r="K248" s="4" t="str">
        <x:v>「展示周期」内容与所选对象的该项资料一致</x:v>
      </x:c>
      <x:c r="L248" s="4" t="str"/>
      <x:c r="M248" s="4" t="str">
        <x:v>未测</x:v>
      </x:c>
      <x:c r="N248" s="4" t="str"/>
      <x:c r="O248" s="4" t="str">
        <x:v>1. 来源：MainBasis/统一需求文档.md；A-admin-placement-config-004、A-admin-placement-detail-007
2. 场景：SC-52b1ab30376de4</x:v>
      </x:c>
    </x:row>
    <x:row r="249" ht="68" customHeight="1">
      <x:c r="A249" s="4" t="n">
        <x:v>248</x:v>
      </x:c>
      <x:c r="B249" s="4" t="str">
        <x:v>ADMIN-0248</x:v>
      </x:c>
      <x:c r="C249" s="4" t="str">
        <x:v>M08 礼物、道具、任务、邀请与运营配置</x:v>
      </x:c>
      <x:c r="D249" s="4" t="str">
        <x:v>展位配置-17（平台管理员视角）</x:v>
      </x:c>
      <x:c r="E249" s="4" t="str">
        <x:v>功能需求</x:v>
      </x:c>
      <x:c r="F249" s="4" t="str">
        <x:v>P1</x:v>
      </x:c>
      <x:c r="G249" s="4" t="str">
        <x:v>验证同展位排期重叠</x:v>
      </x:c>
      <x:c r="H249" s="4" t="str">
        <x:v>同展位排期重叠</x:v>
      </x:c>
      <x:c r="I249" s="4" t="str">
        <x:v>1. 已登录平台管理员账号
2. 该位置已有9月1日至5日配置</x:v>
      </x:c>
      <x:c r="J249" s="4" t="str">
        <x:v>1. 进入「展位配置-17」页
2. 新增该位置9月5日至10日配置
3. 保存</x:v>
      </x:c>
      <x:c r="K249" s="4" t="str">
        <x:v>排期冲突，不能保存</x:v>
      </x:c>
      <x:c r="L249" s="4" t="str"/>
      <x:c r="M249" s="4" t="str">
        <x:v>未测</x:v>
      </x:c>
      <x:c r="N249" s="4" t="str"/>
      <x:c r="O249" s="4" t="str">
        <x:v>1. 来源：MainBasis/统一需求文档.md；A-admin-placement-config-006
2. 场景：SC-5fd5e7bdb1d053</x:v>
      </x:c>
    </x:row>
    <x:row r="250" ht="68" customHeight="1">
      <x:c r="A250" s="4" t="n">
        <x:v>249</x:v>
      </x:c>
      <x:c r="B250" s="4" t="str">
        <x:v>ADMIN-0249</x:v>
      </x:c>
      <x:c r="C250" s="4" t="str">
        <x:v>M08 礼物、道具、任务、邀请与运营配置</x:v>
      </x:c>
      <x:c r="D250" s="4" t="str">
        <x:v>展位配置-17（平台管理员视角）</x:v>
      </x:c>
      <x:c r="E250" s="4" t="str">
        <x:v>功能需求</x:v>
      </x:c>
      <x:c r="F250" s="4" t="str">
        <x:v>P1</x:v>
      </x:c>
      <x:c r="G250" s="4" t="str">
        <x:v>验证同展位排期相邻不重叠</x:v>
      </x:c>
      <x:c r="H250" s="4" t="str">
        <x:v>同展位排期相邻不重叠</x:v>
      </x:c>
      <x:c r="I250" s="4" t="str">
        <x:v>1. 已登录平台管理员账号
2. 该位置已有9月1日至5日配置</x:v>
      </x:c>
      <x:c r="J250" s="4" t="str">
        <x:v>1. 进入「展位配置-17」页
2. 新增该位置9月6日至10日配置
3. 保存</x:v>
      </x:c>
      <x:c r="K250" s="4" t="str">
        <x:v>无排期冲突，可保存</x:v>
      </x:c>
      <x:c r="L250" s="4" t="str"/>
      <x:c r="M250" s="4" t="str">
        <x:v>未测</x:v>
      </x:c>
      <x:c r="N250" s="4" t="str"/>
      <x:c r="O250" s="4" t="str">
        <x:v>1. 来源：MainBasis/统一需求文档.md；A-admin-placement-config-006
2. 场景：SC-0669e24474f4a2</x:v>
      </x:c>
    </x:row>
    <x:row r="251" ht="68" customHeight="1">
      <x:c r="A251" s="4" t="n">
        <x:v>250</x:v>
      </x:c>
      <x:c r="B251" s="4" t="str">
        <x:v>ADMIN-0250</x:v>
      </x:c>
      <x:c r="C251" s="4" t="str">
        <x:v>M08 礼物、道具、任务、邀请与运营配置</x:v>
      </x:c>
      <x:c r="D251" s="4" t="str">
        <x:v>展位配置-17（平台管理员视角）</x:v>
      </x:c>
      <x:c r="E251" s="4" t="str">
        <x:v>功能需求</x:v>
      </x:c>
      <x:c r="F251" s="4" t="str">
        <x:v>P1</x:v>
      </x:c>
      <x:c r="G251" s="4" t="str">
        <x:v>验证展位排期第0日</x:v>
      </x:c>
      <x:c r="H251" s="4" t="str">
        <x:v>展位排期第0日</x:v>
      </x:c>
      <x:c r="I251" s="4" t="str">
        <x:v>1. 已登录平台管理员账号
2. 启用配置排期9月1日至5日
3. 当前为8月31日</x:v>
      </x:c>
      <x:c r="J251" s="4" t="str">
        <x:v>1. 进入「展位配置-17」页
2. 查看展位排期第0日</x:v>
      </x:c>
      <x:c r="K251" s="4" t="str">
        <x:v>该配置不投放</x:v>
      </x:c>
      <x:c r="L251" s="4" t="str"/>
      <x:c r="M251" s="4" t="str">
        <x:v>未测</x:v>
      </x:c>
      <x:c r="N251" s="4" t="str"/>
      <x:c r="O251" s="4" t="str">
        <x:v>1. 来源：MainBasis/统一需求文档.md；A-admin-placement-config-004、A-admin-placement-detail-007
2. 场景：SC-6d338684064500</x:v>
      </x:c>
    </x:row>
    <x:row r="252" ht="68" customHeight="1">
      <x:c r="A252" s="4" t="n">
        <x:v>251</x:v>
      </x:c>
      <x:c r="B252" s="4" t="str">
        <x:v>ADMIN-0251</x:v>
      </x:c>
      <x:c r="C252" s="4" t="str">
        <x:v>M08 礼物、道具、任务、邀请与运营配置</x:v>
      </x:c>
      <x:c r="D252" s="4" t="str">
        <x:v>展位配置-17（平台管理员视角）</x:v>
      </x:c>
      <x:c r="E252" s="4" t="str">
        <x:v>功能需求</x:v>
      </x:c>
      <x:c r="F252" s="4" t="str">
        <x:v>P1</x:v>
      </x:c>
      <x:c r="G252" s="4" t="str">
        <x:v>验证展位排期第1日</x:v>
      </x:c>
      <x:c r="H252" s="4" t="str">
        <x:v>展位排期第1日</x:v>
      </x:c>
      <x:c r="I252" s="4" t="str">
        <x:v>1. 已登录平台管理员账号
2. 启用配置排期9月1日至5日
3. 当前为9月1日</x:v>
      </x:c>
      <x:c r="J252" s="4" t="str">
        <x:v>1. 进入「展位配置-17」页
2. 查看展位排期第1日</x:v>
      </x:c>
      <x:c r="K252" s="4" t="str">
        <x:v>该配置投放</x:v>
      </x:c>
      <x:c r="L252" s="4" t="str"/>
      <x:c r="M252" s="4" t="str">
        <x:v>未测</x:v>
      </x:c>
      <x:c r="N252" s="4" t="str"/>
      <x:c r="O252" s="4" t="str">
        <x:v>1. 来源：MainBasis/统一需求文档.md；A-admin-placement-config-004、A-admin-placement-detail-007
2. 场景：SC-35964b4b2d01b1</x:v>
      </x:c>
    </x:row>
    <x:row r="253" ht="68" customHeight="1">
      <x:c r="A253" s="4" t="n">
        <x:v>252</x:v>
      </x:c>
      <x:c r="B253" s="4" t="str">
        <x:v>ADMIN-0252</x:v>
      </x:c>
      <x:c r="C253" s="4" t="str">
        <x:v>M08 礼物、道具、任务、邀请与运营配置</x:v>
      </x:c>
      <x:c r="D253" s="4" t="str">
        <x:v>展位配置-17（平台管理员视角）</x:v>
      </x:c>
      <x:c r="E253" s="4" t="str">
        <x:v>功能需求</x:v>
      </x:c>
      <x:c r="F253" s="4" t="str">
        <x:v>P1</x:v>
      </x:c>
      <x:c r="G253" s="4" t="str">
        <x:v>验证展位排期第5日</x:v>
      </x:c>
      <x:c r="H253" s="4" t="str">
        <x:v>展位排期第5日</x:v>
      </x:c>
      <x:c r="I253" s="4" t="str">
        <x:v>1. 已登录平台管理员账号
2. 启用配置排期9月1日至5日
3. 当前为9月5日</x:v>
      </x:c>
      <x:c r="J253" s="4" t="str">
        <x:v>1. 进入「展位配置-17」页
2. 查看展位排期第5日</x:v>
      </x:c>
      <x:c r="K253" s="4" t="str">
        <x:v>该配置投放</x:v>
      </x:c>
      <x:c r="L253" s="4" t="str"/>
      <x:c r="M253" s="4" t="str">
        <x:v>未测</x:v>
      </x:c>
      <x:c r="N253" s="4" t="str"/>
      <x:c r="O253" s="4" t="str">
        <x:v>1. 来源：MainBasis/统一需求文档.md；A-admin-placement-config-004、A-admin-placement-detail-007
2. 场景：SC-5cf386dbca3446</x:v>
      </x:c>
    </x:row>
    <x:row r="254" ht="68" customHeight="1">
      <x:c r="A254" s="4" t="n">
        <x:v>253</x:v>
      </x:c>
      <x:c r="B254" s="4" t="str">
        <x:v>ADMIN-0253</x:v>
      </x:c>
      <x:c r="C254" s="4" t="str">
        <x:v>M08 礼物、道具、任务、邀请与运营配置</x:v>
      </x:c>
      <x:c r="D254" s="4" t="str">
        <x:v>展位配置-17（平台管理员视角）</x:v>
      </x:c>
      <x:c r="E254" s="4" t="str">
        <x:v>功能需求</x:v>
      </x:c>
      <x:c r="F254" s="4" t="str">
        <x:v>P1</x:v>
      </x:c>
      <x:c r="G254" s="4" t="str">
        <x:v>验证展位排期第6日</x:v>
      </x:c>
      <x:c r="H254" s="4" t="str">
        <x:v>展位排期第6日</x:v>
      </x:c>
      <x:c r="I254" s="4" t="str">
        <x:v>1. 已登录平台管理员账号
2. 启用配置排期9月1日至5日
3. 当前为9月6日</x:v>
      </x:c>
      <x:c r="J254" s="4" t="str">
        <x:v>1. 进入「展位配置-17」页
2. 查看展位排期第6日</x:v>
      </x:c>
      <x:c r="K254" s="4" t="str">
        <x:v>该配置不投放</x:v>
      </x:c>
      <x:c r="L254" s="4" t="str"/>
      <x:c r="M254" s="4" t="str">
        <x:v>未测</x:v>
      </x:c>
      <x:c r="N254" s="4" t="str"/>
      <x:c r="O254" s="4" t="str">
        <x:v>1. 来源：MainBasis/统一需求文档.md；A-admin-placement-config-004、A-admin-placement-detail-007
2. 场景：SC-a4a05ca6a381ed</x:v>
      </x:c>
    </x:row>
    <x:row r="255" ht="82" customHeight="1">
      <x:c r="A255" s="4" t="n">
        <x:v>254</x:v>
      </x:c>
      <x:c r="B255" s="4" t="str">
        <x:v>ADMIN-0254</x:v>
      </x:c>
      <x:c r="C255" s="4" t="str">
        <x:v>M08 礼物、道具、任务、邀请与运营配置</x:v>
      </x:c>
      <x:c r="D255" s="4" t="str">
        <x:v>展位配置-17（平台管理员视角）</x:v>
      </x:c>
      <x:c r="E255" s="4" t="str">
        <x:v>功能需求</x:v>
      </x:c>
      <x:c r="F255" s="4" t="str">
        <x:v>P1</x:v>
      </x:c>
      <x:c r="G255" s="4" t="str">
        <x:v>验证位置与周期与状态共同筛选</x:v>
      </x:c>
      <x:c r="H255" s="4" t="str">
        <x:v>位置与周期与状态共同筛选</x:v>
      </x:c>
      <x:c r="I255" s="4" t="str">
        <x:v>1. 已登录平台管理员账号
2. 记录甲满足位置与周期与状态全部条件，记录乙仅满足其中部分条件，记录丙全不满足</x:v>
      </x:c>
      <x:c r="J255" s="4" t="str">
        <x:v>1. 进入「展位配置-17」页
2. 选择位置为记录甲对应值
3. 选择周期为记录甲对应值
4. 选择状态为记录甲对应值
5. 点击查询</x:v>
      </x:c>
      <x:c r="K255" s="4" t="str">
        <x:v>结果仅包含记录甲</x:v>
      </x:c>
      <x:c r="L255" s="4" t="str"/>
      <x:c r="M255" s="4" t="str">
        <x:v>未测</x:v>
      </x:c>
      <x:c r="N255" s="4" t="str"/>
      <x:c r="O255" s="4" t="str">
        <x:v>1. 来源：MainBasis/统一需求文档.md；A-admin-placement-config-007
2. 场景：SC-f7d50f0cd320bc</x:v>
      </x:c>
    </x:row>
    <x:row r="256" ht="68" customHeight="1">
      <x:c r="A256" s="4" t="n">
        <x:v>255</x:v>
      </x:c>
      <x:c r="B256" s="4" t="str">
        <x:v>ADMIN-0255</x:v>
      </x:c>
      <x:c r="C256" s="4" t="str">
        <x:v>M08 礼物、道具、任务、邀请与运营配置</x:v>
      </x:c>
      <x:c r="D256" s="4" t="str">
        <x:v>展位配置-17（平台管理员视角）</x:v>
      </x:c>
      <x:c r="E256" s="4" t="str">
        <x:v>功能需求</x:v>
      </x:c>
      <x:c r="F256" s="4" t="str">
        <x:v>P1</x:v>
      </x:c>
      <x:c r="G256" s="4" t="str">
        <x:v>验证素材数量</x:v>
      </x:c>
      <x:c r="H256" s="4" t="str">
        <x:v>素材数量</x:v>
      </x:c>
      <x:c r="I256" s="4" t="str">
        <x:v>1. 已登录平台管理员账号
2. 当前配置包含3项轮播内容</x:v>
      </x:c>
      <x:c r="J256" s="4" t="str">
        <x:v>1. 进入「展位配置-17」页
2. 查看素材数量</x:v>
      </x:c>
      <x:c r="K256" s="4" t="str">
        <x:v>展示素材数为3</x:v>
      </x:c>
      <x:c r="L256" s="4" t="str"/>
      <x:c r="M256" s="4" t="str">
        <x:v>未测</x:v>
      </x:c>
      <x:c r="N256" s="4" t="str"/>
      <x:c r="O256" s="4" t="str">
        <x:v>1. 来源：MainBasis/统一需求文档.md；A-admin-placement-config-003
2. 场景：SC-3c00c4a92b6f34</x:v>
      </x:c>
    </x:row>
    <x:row r="257" ht="68" customHeight="1">
      <x:c r="A257" s="4" t="n">
        <x:v>256</x:v>
      </x:c>
      <x:c r="B257" s="4" t="str">
        <x:v>ADMIN-0256</x:v>
      </x:c>
      <x:c r="C257" s="4" t="str">
        <x:v>M08 礼物、道具、任务、邀请与运营配置</x:v>
      </x:c>
      <x:c r="D257" s="4" t="str">
        <x:v>展位配置-17（平台管理员视角）</x:v>
      </x:c>
      <x:c r="E257" s="4" t="str">
        <x:v>功能需求</x:v>
      </x:c>
      <x:c r="F257" s="4" t="str">
        <x:v>P1</x:v>
      </x:c>
      <x:c r="G257" s="4" t="str">
        <x:v>验证有效期内关闭不投放</x:v>
      </x:c>
      <x:c r="H257" s="4" t="str">
        <x:v>有效期内关闭不投放</x:v>
      </x:c>
      <x:c r="I257" s="4" t="str">
        <x:v>1. 已登录平台管理员账号
2. 当前日期在展示周期内，但配置状态关闭</x:v>
      </x:c>
      <x:c r="J257" s="4" t="str">
        <x:v>1. 进入「展位配置-17」页
2. 查看有效期内关闭不投放</x:v>
      </x:c>
      <x:c r="K257" s="4" t="str">
        <x:v>该配置隐藏</x:v>
      </x:c>
      <x:c r="L257" s="4" t="str"/>
      <x:c r="M257" s="4" t="str">
        <x:v>未测</x:v>
      </x:c>
      <x:c r="N257" s="4" t="str"/>
      <x:c r="O257" s="4" t="str">
        <x:v>1. 来源：MainBasis/统一需求文档.md；A-admin-placement-config-005
2. 场景：SC-de801d2f7ecad9</x:v>
      </x:c>
    </x:row>
    <x:row r="258" ht="68" customHeight="1">
      <x:c r="A258" s="4" t="n">
        <x:v>257</x:v>
      </x:c>
      <x:c r="B258" s="4" t="str">
        <x:v>ADMIN-0257</x:v>
      </x:c>
      <x:c r="C258" s="4" t="str">
        <x:v>M08 礼物、道具、任务、邀请与运营配置</x:v>
      </x:c>
      <x:c r="D258" s="4" t="str">
        <x:v>展示素材编辑（平台管理员视角）</x:v>
      </x:c>
      <x:c r="E258" s="4" t="str">
        <x:v>功能需求</x:v>
      </x:c>
      <x:c r="F258" s="4" t="str">
        <x:v>P2</x:v>
      </x:c>
      <x:c r="G258" s="4" t="str">
        <x:v>验证跳转类型回显</x:v>
      </x:c>
      <x:c r="H258" s="4" t="str">
        <x:v>跳转类型回显</x:v>
      </x:c>
      <x:c r="I258" s="4" t="str">
        <x:v>1. 已登录平台管理员账号
2. 所选对象存在，已记录该对象的跳转类型值</x:v>
      </x:c>
      <x:c r="J258" s="4" t="str">
        <x:v>1. 进入「展示素材编辑」页
2. 查看跳转类型回显</x:v>
      </x:c>
      <x:c r="K258" s="4" t="str">
        <x:v>「跳转类型」内容与所选对象的该项资料一致</x:v>
      </x:c>
      <x:c r="L258" s="4" t="str"/>
      <x:c r="M258" s="4" t="str">
        <x:v>未测</x:v>
      </x:c>
      <x:c r="N258" s="4" t="str"/>
      <x:c r="O258" s="4" t="str">
        <x:v>1. 来源：MainBasis/统一需求文档.md；A-admin-placement-detail-005
2. 场景：SC-097196409bfb8b</x:v>
      </x:c>
    </x:row>
    <x:row r="259" ht="68" customHeight="1">
      <x:c r="A259" s="4" t="n">
        <x:v>258</x:v>
      </x:c>
      <x:c r="B259" s="4" t="str">
        <x:v>ADMIN-0258</x:v>
      </x:c>
      <x:c r="C259" s="4" t="str">
        <x:v>M08 礼物、道具、任务、邀请与运营配置</x:v>
      </x:c>
      <x:c r="D259" s="4" t="str">
        <x:v>展示素材编辑（平台管理员视角）</x:v>
      </x:c>
      <x:c r="E259" s="4" t="str">
        <x:v>功能需求</x:v>
      </x:c>
      <x:c r="F259" s="4" t="str">
        <x:v>P1</x:v>
      </x:c>
      <x:c r="G259" s="4" t="str">
        <x:v>验证轮播素材0项</x:v>
      </x:c>
      <x:c r="H259" s="4" t="str">
        <x:v>轮播素材0项</x:v>
      </x:c>
      <x:c r="I259" s="4" t="str">
        <x:v>1. 已登录平台管理员账号
2. 每项材料和目标均合法</x:v>
      </x:c>
      <x:c r="J259" s="4" t="str">
        <x:v>1. 进入「展示素材编辑」页
2. 尝试配置0项轮播内容
3. 保存</x:v>
      </x:c>
      <x:c r="K259" s="4" t="str">
        <x:v>不能保存该轮播数量</x:v>
      </x:c>
      <x:c r="L259" s="4" t="str"/>
      <x:c r="M259" s="4" t="str">
        <x:v>未测</x:v>
      </x:c>
      <x:c r="N259" s="4" t="str"/>
      <x:c r="O259" s="4" t="str">
        <x:v>1. 来源：MainBasis/统一需求文档.md；A-admin-placement-detail-003
2. 场景：SC-c1650846cebee6</x:v>
      </x:c>
    </x:row>
    <x:row r="260" ht="68" customHeight="1">
      <x:c r="A260" s="4" t="n">
        <x:v>259</x:v>
      </x:c>
      <x:c r="B260" s="4" t="str">
        <x:v>ADMIN-0259</x:v>
      </x:c>
      <x:c r="C260" s="4" t="str">
        <x:v>M08 礼物、道具、任务、邀请与运营配置</x:v>
      </x:c>
      <x:c r="D260" s="4" t="str">
        <x:v>展示素材编辑（平台管理员视角）</x:v>
      </x:c>
      <x:c r="E260" s="4" t="str">
        <x:v>功能需求</x:v>
      </x:c>
      <x:c r="F260" s="4" t="str">
        <x:v>P1</x:v>
      </x:c>
      <x:c r="G260" s="4" t="str">
        <x:v>验证轮播素材1项</x:v>
      </x:c>
      <x:c r="H260" s="4" t="str">
        <x:v>轮播素材1项</x:v>
      </x:c>
      <x:c r="I260" s="4" t="str">
        <x:v>1. 已登录平台管理员账号
2. 每项材料和目标均合法</x:v>
      </x:c>
      <x:c r="J260" s="4" t="str">
        <x:v>1. 进入「展示素材编辑」页
2. 尝试配置1项轮播内容
3. 保存</x:v>
      </x:c>
      <x:c r="K260" s="4" t="str">
        <x:v>保存1项轮播</x:v>
      </x:c>
      <x:c r="L260" s="4" t="str"/>
      <x:c r="M260" s="4" t="str">
        <x:v>未测</x:v>
      </x:c>
      <x:c r="N260" s="4" t="str"/>
      <x:c r="O260" s="4" t="str">
        <x:v>1. 来源：MainBasis/统一需求文档.md；A-admin-placement-detail-003
2. 场景：SC-f10572fa97f821</x:v>
      </x:c>
    </x:row>
    <x:row r="261" ht="68" customHeight="1">
      <x:c r="A261" s="4" t="n">
        <x:v>260</x:v>
      </x:c>
      <x:c r="B261" s="4" t="str">
        <x:v>ADMIN-0260</x:v>
      </x:c>
      <x:c r="C261" s="4" t="str">
        <x:v>M08 礼物、道具、任务、邀请与运营配置</x:v>
      </x:c>
      <x:c r="D261" s="4" t="str">
        <x:v>展示素材编辑（平台管理员视角）</x:v>
      </x:c>
      <x:c r="E261" s="4" t="str">
        <x:v>功能需求</x:v>
      </x:c>
      <x:c r="F261" s="4" t="str">
        <x:v>P1</x:v>
      </x:c>
      <x:c r="G261" s="4" t="str">
        <x:v>验证轮播素材5项</x:v>
      </x:c>
      <x:c r="H261" s="4" t="str">
        <x:v>轮播素材5项</x:v>
      </x:c>
      <x:c r="I261" s="4" t="str">
        <x:v>1. 已登录平台管理员账号
2. 每项材料和目标均合法</x:v>
      </x:c>
      <x:c r="J261" s="4" t="str">
        <x:v>1. 进入「展示素材编辑」页
2. 尝试配置5项轮播内容
3. 保存</x:v>
      </x:c>
      <x:c r="K261" s="4" t="str">
        <x:v>保存5项轮播</x:v>
      </x:c>
      <x:c r="L261" s="4" t="str"/>
      <x:c r="M261" s="4" t="str">
        <x:v>未测</x:v>
      </x:c>
      <x:c r="N261" s="4" t="str"/>
      <x:c r="O261" s="4" t="str">
        <x:v>1. 来源：MainBasis/统一需求文档.md；A-admin-placement-detail-003
2. 场景：SC-67be1a1215c3c1</x:v>
      </x:c>
    </x:row>
    <x:row r="262" ht="68" customHeight="1">
      <x:c r="A262" s="4" t="n">
        <x:v>261</x:v>
      </x:c>
      <x:c r="B262" s="4" t="str">
        <x:v>ADMIN-0261</x:v>
      </x:c>
      <x:c r="C262" s="4" t="str">
        <x:v>M08 礼物、道具、任务、邀请与运营配置</x:v>
      </x:c>
      <x:c r="D262" s="4" t="str">
        <x:v>展示素材编辑（平台管理员视角）</x:v>
      </x:c>
      <x:c r="E262" s="4" t="str">
        <x:v>功能需求</x:v>
      </x:c>
      <x:c r="F262" s="4" t="str">
        <x:v>P1</x:v>
      </x:c>
      <x:c r="G262" s="4" t="str">
        <x:v>验证轮播素材6项</x:v>
      </x:c>
      <x:c r="H262" s="4" t="str">
        <x:v>轮播素材6项</x:v>
      </x:c>
      <x:c r="I262" s="4" t="str">
        <x:v>1. 已登录平台管理员账号
2. 每项材料和目标均合法</x:v>
      </x:c>
      <x:c r="J262" s="4" t="str">
        <x:v>1. 进入「展示素材编辑」页
2. 尝试配置6项轮播内容
3. 保存</x:v>
      </x:c>
      <x:c r="K262" s="4" t="str">
        <x:v>不能保存该轮播数量</x:v>
      </x:c>
      <x:c r="L262" s="4" t="str"/>
      <x:c r="M262" s="4" t="str">
        <x:v>未测</x:v>
      </x:c>
      <x:c r="N262" s="4" t="str"/>
      <x:c r="O262" s="4" t="str">
        <x:v>1. 来源：MainBasis/统一需求文档.md；A-admin-placement-detail-003
2. 场景：SC-44db021df88194</x:v>
      </x:c>
    </x:row>
    <x:row r="263" ht="68" customHeight="1">
      <x:c r="A263" s="4" t="n">
        <x:v>262</x:v>
      </x:c>
      <x:c r="B263" s="4" t="str">
        <x:v>ADMIN-0262</x:v>
      </x:c>
      <x:c r="C263" s="4" t="str">
        <x:v>M08 礼物、道具、任务、邀请与运营配置</x:v>
      </x:c>
      <x:c r="D263" s="4" t="str">
        <x:v>展示素材编辑（平台管理员视角）</x:v>
      </x:c>
      <x:c r="E263" s="4" t="str">
        <x:v>功能需求</x:v>
      </x:c>
      <x:c r="F263" s="4" t="str">
        <x:v>P1</x:v>
      </x:c>
      <x:c r="G263" s="4" t="str">
        <x:v>验证删除已保存轮播项</x:v>
      </x:c>
      <x:c r="H263" s="4" t="str">
        <x:v>删除已保存轮播项</x:v>
      </x:c>
      <x:c r="I263" s="4" t="str">
        <x:v>1. 已登录平台管理员账号
2. 有两项内容，目标项已保存</x:v>
      </x:c>
      <x:c r="J263" s="4" t="str">
        <x:v>1. 进入「展示素材编辑」页
2. 删除目标项</x:v>
      </x:c>
      <x:c r="K263" s="4" t="str">
        <x:v>出现删除确认</x:v>
      </x:c>
      <x:c r="L263" s="4" t="str"/>
      <x:c r="M263" s="4" t="str">
        <x:v>未测</x:v>
      </x:c>
      <x:c r="N263" s="4" t="str"/>
      <x:c r="O263" s="4" t="str">
        <x:v>1. 来源：MainBasis/统一需求文档.md；A-admin-placement-detail-009
2. 场景：SC-d45266ef46f754</x:v>
      </x:c>
    </x:row>
    <x:row r="264" ht="68" customHeight="1">
      <x:c r="A264" s="4" t="n">
        <x:v>263</x:v>
      </x:c>
      <x:c r="B264" s="4" t="str">
        <x:v>ADMIN-0263</x:v>
      </x:c>
      <x:c r="C264" s="4" t="str">
        <x:v>M08 礼物、道具、任务、邀请与运营配置</x:v>
      </x:c>
      <x:c r="D264" s="4" t="str">
        <x:v>展示素材编辑（平台管理员视角）</x:v>
      </x:c>
      <x:c r="E264" s="4" t="str">
        <x:v>功能需求</x:v>
      </x:c>
      <x:c r="F264" s="4" t="str">
        <x:v>P1</x:v>
      </x:c>
      <x:c r="G264" s="4" t="str">
        <x:v>验证删除未保存轮播项</x:v>
      </x:c>
      <x:c r="H264" s="4" t="str">
        <x:v>删除未保存轮播项</x:v>
      </x:c>
      <x:c r="I264" s="4" t="str">
        <x:v>1. 已登录平台管理员账号
2. 有两项内容，目标项新加未保存</x:v>
      </x:c>
      <x:c r="J264" s="4" t="str">
        <x:v>1. 进入「展示素材编辑」页
2. 删除目标项</x:v>
      </x:c>
      <x:c r="K264" s="4" t="str">
        <x:v>目标项直接删除</x:v>
      </x:c>
      <x:c r="L264" s="4" t="str"/>
      <x:c r="M264" s="4" t="str">
        <x:v>未测</x:v>
      </x:c>
      <x:c r="N264" s="4" t="str"/>
      <x:c r="O264" s="4" t="str">
        <x:v>1. 来源：MainBasis/统一需求文档.md；A-admin-placement-detail-009
2. 场景：SC-f502a4463f52ef</x:v>
      </x:c>
    </x:row>
    <x:row r="265" ht="68" customHeight="1">
      <x:c r="A265" s="4" t="n">
        <x:v>264</x:v>
      </x:c>
      <x:c r="B265" s="4" t="str">
        <x:v>ADMIN-0264</x:v>
      </x:c>
      <x:c r="C265" s="4" t="str">
        <x:v>M08 礼物、道具、任务、邀请与运营配置</x:v>
      </x:c>
      <x:c r="D265" s="4" t="str">
        <x:v>展示素材编辑（平台管理员视角）</x:v>
      </x:c>
      <x:c r="E265" s="4" t="str">
        <x:v>功能需求</x:v>
      </x:c>
      <x:c r="F265" s="4" t="str">
        <x:v>P1</x:v>
      </x:c>
      <x:c r="G265" s="4" t="str">
        <x:v>验证唯一轮播项禁止删除</x:v>
      </x:c>
      <x:c r="H265" s="4" t="str">
        <x:v>唯一轮播项禁止删除</x:v>
      </x:c>
      <x:c r="I265" s="4" t="str">
        <x:v>1. 已登录平台管理员账号
2. 仅剩1项内容</x:v>
      </x:c>
      <x:c r="J265" s="4" t="str">
        <x:v>1. 进入「展示素材编辑」页
2. 尝试删除该项</x:v>
      </x:c>
      <x:c r="K265" s="4" t="str">
        <x:v>该项保留，不能删除</x:v>
      </x:c>
      <x:c r="L265" s="4" t="str"/>
      <x:c r="M265" s="4" t="str">
        <x:v>未测</x:v>
      </x:c>
      <x:c r="N265" s="4" t="str"/>
      <x:c r="O265" s="4" t="str">
        <x:v>1. 来源：MainBasis/统一需求文档.md；A-admin-placement-detail-009
2. 场景：SC-01694cb017ed99</x:v>
      </x:c>
    </x:row>
    <x:row r="266" ht="68" customHeight="1">
      <x:c r="A266" s="4" t="n">
        <x:v>265</x:v>
      </x:c>
      <x:c r="B266" s="4" t="str">
        <x:v>ADMIN-0265</x:v>
      </x:c>
      <x:c r="C266" s="4" t="str">
        <x:v>M08 礼物、道具、任务、邀请与运营配置</x:v>
      </x:c>
      <x:c r="D266" s="4" t="str">
        <x:v>展示素材编辑（平台管理员视角）</x:v>
      </x:c>
      <x:c r="E266" s="4" t="str">
        <x:v>功能需求</x:v>
      </x:c>
      <x:c r="F266" s="4" t="str">
        <x:v>P1</x:v>
      </x:c>
      <x:c r="G266" s="4" t="str">
        <x:v>验证轮播切换APP已有页面</x:v>
      </x:c>
      <x:c r="H266" s="4" t="str">
        <x:v>轮播切换APP已有页面</x:v>
      </x:c>
      <x:c r="I266" s="4" t="str">
        <x:v>1. 已登录平台管理员账号</x:v>
      </x:c>
      <x:c r="J266" s="4" t="str">
        <x:v>1. 进入「展示素材编辑」页
2. 选择跳转类型APP已有页面</x:v>
      </x:c>
      <x:c r="K266" s="4" t="str">
        <x:v>显示目标页面选择器</x:v>
      </x:c>
      <x:c r="L266" s="4" t="str"/>
      <x:c r="M266" s="4" t="str">
        <x:v>未测</x:v>
      </x:c>
      <x:c r="N266" s="4" t="str"/>
      <x:c r="O266" s="4" t="str">
        <x:v>1. 来源：MainBasis/统一需求文档.md；A-admin-placement-detail-011
2. 场景：SC-4b5685e4e986f2</x:v>
      </x:c>
    </x:row>
    <x:row r="267" ht="68" customHeight="1">
      <x:c r="A267" s="4" t="n">
        <x:v>266</x:v>
      </x:c>
      <x:c r="B267" s="4" t="str">
        <x:v>ADMIN-0266</x:v>
      </x:c>
      <x:c r="C267" s="4" t="str">
        <x:v>M08 礼物、道具、任务、邀请与运营配置</x:v>
      </x:c>
      <x:c r="D267" s="4" t="str">
        <x:v>展示素材编辑（平台管理员视角）</x:v>
      </x:c>
      <x:c r="E267" s="4" t="str">
        <x:v>功能需求</x:v>
      </x:c>
      <x:c r="F267" s="4" t="str">
        <x:v>P1</x:v>
      </x:c>
      <x:c r="G267" s="4" t="str">
        <x:v>验证轮播切换活动长图页面</x:v>
      </x:c>
      <x:c r="H267" s="4" t="str">
        <x:v>轮播切换活动长图页面</x:v>
      </x:c>
      <x:c r="I267" s="4" t="str">
        <x:v>1. 已登录平台管理员账号</x:v>
      </x:c>
      <x:c r="J267" s="4" t="str">
        <x:v>1. 进入「展示素材编辑」页
2. 选择跳转类型活动长图页面</x:v>
      </x:c>
      <x:c r="K267" s="4" t="str">
        <x:v>显示活动长图上传入口</x:v>
      </x:c>
      <x:c r="L267" s="4" t="str"/>
      <x:c r="M267" s="4" t="str">
        <x:v>未测</x:v>
      </x:c>
      <x:c r="N267" s="4" t="str"/>
      <x:c r="O267" s="4" t="str">
        <x:v>1. 来源：MainBasis/统一需求文档.md；A-admin-placement-detail-011
2. 场景：SC-fb84acab4b3052</x:v>
      </x:c>
    </x:row>
    <x:row r="268" ht="68" customHeight="1">
      <x:c r="A268" s="4" t="n">
        <x:v>267</x:v>
      </x:c>
      <x:c r="B268" s="4" t="str">
        <x:v>ADMIN-0267</x:v>
      </x:c>
      <x:c r="C268" s="4" t="str">
        <x:v>M08 礼物、道具、任务、邀请与运营配置</x:v>
      </x:c>
      <x:c r="D268" s="4" t="str">
        <x:v>展示素材编辑（平台管理员视角）</x:v>
      </x:c>
      <x:c r="E268" s="4" t="str">
        <x:v>功能需求</x:v>
      </x:c>
      <x:c r="F268" s="4" t="str">
        <x:v>P1</x:v>
      </x:c>
      <x:c r="G268" s="4" t="str">
        <x:v>验证轮播行缺展示素材</x:v>
      </x:c>
      <x:c r="H268" s="4" t="str">
        <x:v>轮播行缺展示素材</x:v>
      </x:c>
      <x:c r="I268" s="4" t="str">
        <x:v>1. 已登录平台管理员账号
2. 第1行合法
3. 第2行缺少展示素材</x:v>
      </x:c>
      <x:c r="J268" s="4" t="str">
        <x:v>1. 进入「展示素材编辑」页
2. 保存</x:v>
      </x:c>
      <x:c r="K268" s="4" t="str">
        <x:v>定位第2行展示素材错误并阻止保存</x:v>
      </x:c>
      <x:c r="L268" s="4" t="str"/>
      <x:c r="M268" s="4" t="str">
        <x:v>未测</x:v>
      </x:c>
      <x:c r="N268" s="4" t="str"/>
      <x:c r="O268" s="4" t="str">
        <x:v>1. 来源：MainBasis/统一需求文档.md；A-admin-placement-detail-012
2. 场景：SC-197904d2e23627</x:v>
      </x:c>
    </x:row>
    <x:row r="269" ht="68" customHeight="1">
      <x:c r="A269" s="4" t="n">
        <x:v>268</x:v>
      </x:c>
      <x:c r="B269" s="4" t="str">
        <x:v>ADMIN-0268</x:v>
      </x:c>
      <x:c r="C269" s="4" t="str">
        <x:v>M08 礼物、道具、任务、邀请与运营配置</x:v>
      </x:c>
      <x:c r="D269" s="4" t="str">
        <x:v>展示素材编辑（平台管理员视角）</x:v>
      </x:c>
      <x:c r="E269" s="4" t="str">
        <x:v>功能需求</x:v>
      </x:c>
      <x:c r="F269" s="4" t="str">
        <x:v>P1</x:v>
      </x:c>
      <x:c r="G269" s="4" t="str">
        <x:v>验证轮播行缺跳转类型</x:v>
      </x:c>
      <x:c r="H269" s="4" t="str">
        <x:v>轮播行缺跳转类型</x:v>
      </x:c>
      <x:c r="I269" s="4" t="str">
        <x:v>1. 已登录平台管理员账号
2. 第1行合法
3. 第2行缺少跳转类型</x:v>
      </x:c>
      <x:c r="J269" s="4" t="str">
        <x:v>1. 进入「展示素材编辑」页
2. 保存</x:v>
      </x:c>
      <x:c r="K269" s="4" t="str">
        <x:v>定位第2行跳转类型错误并阻止保存</x:v>
      </x:c>
      <x:c r="L269" s="4" t="str"/>
      <x:c r="M269" s="4" t="str">
        <x:v>未测</x:v>
      </x:c>
      <x:c r="N269" s="4" t="str"/>
      <x:c r="O269" s="4" t="str">
        <x:v>1. 来源：MainBasis/统一需求文档.md；A-admin-placement-detail-012
2. 场景：SC-8daac7e79f4aba</x:v>
      </x:c>
    </x:row>
    <x:row r="270" ht="68" customHeight="1">
      <x:c r="A270" s="4" t="n">
        <x:v>269</x:v>
      </x:c>
      <x:c r="B270" s="4" t="str">
        <x:v>ADMIN-0269</x:v>
      </x:c>
      <x:c r="C270" s="4" t="str">
        <x:v>M08 礼物、道具、任务、邀请与运营配置</x:v>
      </x:c>
      <x:c r="D270" s="4" t="str">
        <x:v>展示素材编辑（平台管理员视角）</x:v>
      </x:c>
      <x:c r="E270" s="4" t="str">
        <x:v>功能需求</x:v>
      </x:c>
      <x:c r="F270" s="4" t="str">
        <x:v>P1</x:v>
      </x:c>
      <x:c r="G270" s="4" t="str">
        <x:v>验证轮播行缺目标内容</x:v>
      </x:c>
      <x:c r="H270" s="4" t="str">
        <x:v>轮播行缺目标内容</x:v>
      </x:c>
      <x:c r="I270" s="4" t="str">
        <x:v>1. 已登录平台管理员账号
2. 第1行合法
3. 第2行缺少目标内容</x:v>
      </x:c>
      <x:c r="J270" s="4" t="str">
        <x:v>1. 进入「展示素材编辑」页
2. 保存</x:v>
      </x:c>
      <x:c r="K270" s="4" t="str">
        <x:v>定位第2行目标内容错误并阻止保存</x:v>
      </x:c>
      <x:c r="L270" s="4" t="str"/>
      <x:c r="M270" s="4" t="str">
        <x:v>未测</x:v>
      </x:c>
      <x:c r="N270" s="4" t="str"/>
      <x:c r="O270" s="4" t="str">
        <x:v>1. 来源：MainBasis/统一需求文档.md；A-admin-placement-detail-012
2. 场景：SC-16ff3be70b658b</x:v>
      </x:c>
    </x:row>
    <x:row r="271" ht="68" customHeight="1">
      <x:c r="A271" s="4" t="n">
        <x:v>270</x:v>
      </x:c>
      <x:c r="B271" s="4" t="str">
        <x:v>ADMIN-0270</x:v>
      </x:c>
      <x:c r="C271" s="4" t="str">
        <x:v>M08 礼物、道具、任务、邀请与运营配置</x:v>
      </x:c>
      <x:c r="D271" s="4" t="str">
        <x:v>展示素材编辑（平台管理员视角）</x:v>
      </x:c>
      <x:c r="E271" s="4" t="str">
        <x:v>功能需求</x:v>
      </x:c>
      <x:c r="F271" s="4" t="str">
        <x:v>P1</x:v>
      </x:c>
      <x:c r="G271" s="4" t="str">
        <x:v>验证同配置多轮播不判冲突</x:v>
      </x:c>
      <x:c r="H271" s="4" t="str">
        <x:v>同配置多轮播不判冲突</x:v>
      </x:c>
      <x:c r="I271" s="4" t="str">
        <x:v>1. 已登录平台管理员账号
2. 同一配置中含两项有效素材且共同排期</x:v>
      </x:c>
      <x:c r="J271" s="4" t="str">
        <x:v>1. 进入「展示素材编辑」页
2. 保存</x:v>
      </x:c>
      <x:c r="K271" s="4" t="str">
        <x:v>两项素材按共同排期保存，不判互相冲突</x:v>
      </x:c>
      <x:c r="L271" s="4" t="str"/>
      <x:c r="M271" s="4" t="str">
        <x:v>未测</x:v>
      </x:c>
      <x:c r="N271" s="4" t="str"/>
      <x:c r="O271" s="4" t="str">
        <x:v>1. 来源：MainBasis/统一需求文档.md；A-admin-placement-detail-008
2. 场景：SC-de7ef487d4dcd2</x:v>
      </x:c>
    </x:row>
    <x:row r="272" ht="68" customHeight="1">
      <x:c r="A272" s="4" t="n">
        <x:v>271</x:v>
      </x:c>
      <x:c r="B272" s="4" t="str">
        <x:v>ADMIN-0271</x:v>
      </x:c>
      <x:c r="C272" s="4" t="str">
        <x:v>M08 礼物、道具、任务、邀请与运营配置</x:v>
      </x:c>
      <x:c r="D272" s="4" t="str">
        <x:v>展示素材编辑（平台管理员视角）</x:v>
      </x:c>
      <x:c r="E272" s="4" t="str">
        <x:v>功能需求</x:v>
      </x:c>
      <x:c r="F272" s="4" t="str">
        <x:v>P1</x:v>
      </x:c>
      <x:c r="G272" s="4" t="str">
        <x:v>验证拖动轮播顺序</x:v>
      </x:c>
      <x:c r="H272" s="4" t="str">
        <x:v>拖动轮播顺序</x:v>
      </x:c>
      <x:c r="I272" s="4" t="str">
        <x:v>1. 已登录平台管理员账号
2. 原顺序为素材甲、乙</x:v>
      </x:c>
      <x:c r="J272" s="4" t="str">
        <x:v>1. 进入「展示素材编辑」页
2. 将乙拖到甲前面
3. 保存</x:v>
      </x:c>
      <x:c r="K272" s="4" t="str">
        <x:v>轮播顺序保存为乙、甲</x:v>
      </x:c>
      <x:c r="L272" s="4" t="str"/>
      <x:c r="M272" s="4" t="str">
        <x:v>未测</x:v>
      </x:c>
      <x:c r="N272" s="4" t="str"/>
      <x:c r="O272" s="4" t="str">
        <x:v>1. 来源：MainBasis/统一需求文档.md；A-admin-placement-detail-010
2. 场景：SC-c033d10795c888</x:v>
      </x:c>
    </x:row>
    <x:row r="273" ht="68" customHeight="1">
      <x:c r="A273" s="4" t="n">
        <x:v>272</x:v>
      </x:c>
      <x:c r="B273" s="4" t="str">
        <x:v>ADMIN-0272</x:v>
      </x:c>
      <x:c r="C273" s="4" t="str">
        <x:v>M08 礼物、道具、任务、邀请与运营配置</x:v>
      </x:c>
      <x:c r="D273" s="4" t="str">
        <x:v>展示素材编辑（平台管理员视角）</x:v>
      </x:c>
      <x:c r="E273" s="4" t="str">
        <x:v>功能需求</x:v>
      </x:c>
      <x:c r="F273" s="4" t="str">
        <x:v>P2</x:v>
      </x:c>
      <x:c r="G273" s="4" t="str">
        <x:v>验证展示位置 / 状态展示位置仅直播广场运营位回显</x:v>
      </x:c>
      <x:c r="H273" s="4" t="str">
        <x:v>展示位置 / 状态展示位置仅直播广场运营位回显</x:v>
      </x:c>
      <x:c r="I273" s="4" t="str">
        <x:v>1. 已登录平台管理员账号
2. 所选记录展示位置 / 状态为展示位置仅直播广场运营位</x:v>
      </x:c>
      <x:c r="J273" s="4" t="str">
        <x:v>1. 进入「展示素材编辑」页
2. 查看展示位置 / 状态展示位置仅直播广场运营位回显</x:v>
      </x:c>
      <x:c r="K273" s="4" t="str">
        <x:v>展示位置 / 状态显示展示位置仅直播广场运营位</x:v>
      </x:c>
      <x:c r="L273" s="4" t="str"/>
      <x:c r="M273" s="4" t="str">
        <x:v>未测</x:v>
      </x:c>
      <x:c r="N273" s="4" t="str"/>
      <x:c r="O273" s="4" t="str">
        <x:v>1. 来源：MainBasis/统一需求文档.md；A-admin-placement-detail-002
2. 场景：SC-9c955b2ff6c66d</x:v>
      </x:c>
    </x:row>
    <x:row r="274" ht="68" customHeight="1">
      <x:c r="A274" s="4" t="n">
        <x:v>273</x:v>
      </x:c>
      <x:c r="B274" s="4" t="str">
        <x:v>ADMIN-0273</x:v>
      </x:c>
      <x:c r="C274" s="4" t="str">
        <x:v>M08 礼物、道具、任务、邀请与运营配置</x:v>
      </x:c>
      <x:c r="D274" s="4" t="str">
        <x:v>展示素材编辑（平台管理员视角）</x:v>
      </x:c>
      <x:c r="E274" s="4" t="str">
        <x:v>功能需求</x:v>
      </x:c>
      <x:c r="F274" s="4" t="str">
        <x:v>P2</x:v>
      </x:c>
      <x:c r="G274" s="4" t="str">
        <x:v>验证展示位置 / 状态福利中心轮播位回显</x:v>
      </x:c>
      <x:c r="H274" s="4" t="str">
        <x:v>展示位置 / 状态福利中心轮播位回显</x:v>
      </x:c>
      <x:c r="I274" s="4" t="str">
        <x:v>1. 已登录平台管理员账号
2. 所选记录展示位置 / 状态为福利中心轮播位</x:v>
      </x:c>
      <x:c r="J274" s="4" t="str">
        <x:v>1. 进入「展示素材编辑」页
2. 查看展示位置 / 状态福利中心轮播位回显</x:v>
      </x:c>
      <x:c r="K274" s="4" t="str">
        <x:v>展示位置 / 状态显示福利中心轮播位</x:v>
      </x:c>
      <x:c r="L274" s="4" t="str"/>
      <x:c r="M274" s="4" t="str">
        <x:v>未测</x:v>
      </x:c>
      <x:c r="N274" s="4" t="str"/>
      <x:c r="O274" s="4" t="str">
        <x:v>1. 来源：MainBasis/统一需求文档.md；A-admin-placement-detail-002
2. 场景：SC-4bfdafa2574dc7</x:v>
      </x:c>
    </x:row>
    <x:row r="275" ht="68" customHeight="1">
      <x:c r="A275" s="4" t="n">
        <x:v>274</x:v>
      </x:c>
      <x:c r="B275" s="4" t="str">
        <x:v>ADMIN-0274</x:v>
      </x:c>
      <x:c r="C275" s="4" t="str">
        <x:v>M08 礼物、道具、任务、邀请与运营配置</x:v>
      </x:c>
      <x:c r="D275" s="4" t="str">
        <x:v>展示素材编辑（平台管理员视角）</x:v>
      </x:c>
      <x:c r="E275" s="4" t="str">
        <x:v>功能需求</x:v>
      </x:c>
      <x:c r="F275" s="4" t="str">
        <x:v>P1</x:v>
      </x:c>
      <x:c r="G275" s="4" t="str">
        <x:v>验证轮播素材预览</x:v>
      </x:c>
      <x:c r="H275" s="4" t="str">
        <x:v>轮播素材预览</x:v>
      </x:c>
      <x:c r="I275" s="4" t="str">
        <x:v>1. 已登录平台管理员账号
2. 当前行已上传可读取素材</x:v>
      </x:c>
      <x:c r="J275" s="4" t="str">
        <x:v>1. 进入「展示素材编辑」页
2. 点击已上传素材</x:v>
      </x:c>
      <x:c r="K275" s="4" t="str">
        <x:v>打开该素材预览</x:v>
      </x:c>
      <x:c r="L275" s="4" t="str"/>
      <x:c r="M275" s="4" t="str">
        <x:v>未测</x:v>
      </x:c>
      <x:c r="N275" s="4" t="str"/>
      <x:c r="O275" s="4" t="str">
        <x:v>1. 来源：MainBasis/统一需求文档.md；A-admin-placement-detail-004
2. 场景：SC-2f9860e6454045</x:v>
      </x:c>
    </x:row>
    <x:row r="276" ht="68" customHeight="1">
      <x:c r="A276" s="4" t="n">
        <x:v>275</x:v>
      </x:c>
      <x:c r="B276" s="4" t="str">
        <x:v>ADMIN-0275</x:v>
      </x:c>
      <x:c r="C276" s="4" t="str">
        <x:v>M08 礼物、道具、任务、邀请与运营配置</x:v>
      </x:c>
      <x:c r="D276" s="4" t="str">
        <x:v>展示素材编辑（平台管理员视角）</x:v>
      </x:c>
      <x:c r="E276" s="4" t="str">
        <x:v>功能需求</x:v>
      </x:c>
      <x:c r="F276" s="4" t="str">
        <x:v>P1</x:v>
      </x:c>
      <x:c r="G276" s="4" t="str">
        <x:v>验证APP跳转缺目标</x:v>
      </x:c>
      <x:c r="H276" s="4" t="str">
        <x:v>APP跳转缺目标</x:v>
      </x:c>
      <x:c r="I276" s="4" t="str">
        <x:v>1. 已登录平台管理员账号
2. 跳转类型APP页面且素材已上传</x:v>
      </x:c>
      <x:c r="J276" s="4" t="str">
        <x:v>1. 进入「展示素材编辑」页
2. 保持目标页面未选择
3. 保存</x:v>
      </x:c>
      <x:c r="K276" s="4" t="str">
        <x:v>该行缺少目标页面，不能保存</x:v>
      </x:c>
      <x:c r="L276" s="4" t="str"/>
      <x:c r="M276" s="4" t="str">
        <x:v>未测</x:v>
      </x:c>
      <x:c r="N276" s="4" t="str"/>
      <x:c r="O276" s="4" t="str">
        <x:v>1. 来源：MainBasis/统一需求文档.md；A-admin-placement-detail-006
2. 场景：SC-4ba2ce811942ed</x:v>
      </x:c>
    </x:row>
    <x:row r="277" ht="68" customHeight="1">
      <x:c r="A277" s="4" t="n">
        <x:v>276</x:v>
      </x:c>
      <x:c r="B277" s="4" t="str">
        <x:v>ADMIN-0276</x:v>
      </x:c>
      <x:c r="C277" s="4" t="str">
        <x:v>M08 礼物、道具、任务、邀请与运营配置</x:v>
      </x:c>
      <x:c r="D277" s="4" t="str">
        <x:v>展示素材编辑（平台管理员视角）</x:v>
      </x:c>
      <x:c r="E277" s="4" t="str">
        <x:v>功能需求</x:v>
      </x:c>
      <x:c r="F277" s="4" t="str">
        <x:v>P1</x:v>
      </x:c>
      <x:c r="G277" s="4" t="str">
        <x:v>验证长图跳转缺详情图</x:v>
      </x:c>
      <x:c r="H277" s="4" t="str">
        <x:v>长图跳转缺详情图</x:v>
      </x:c>
      <x:c r="I277" s="4" t="str">
        <x:v>1. 已登录平台管理员账号
2. 跳转类型活动长图且素材已上传</x:v>
      </x:c>
      <x:c r="J277" s="4" t="str">
        <x:v>1. 进入「展示素材编辑」页
2. 保持详情长图未上传
3. 保存</x:v>
      </x:c>
      <x:c r="K277" s="4" t="str">
        <x:v>该行缺少详情长图，不能保存</x:v>
      </x:c>
      <x:c r="L277" s="4" t="str"/>
      <x:c r="M277" s="4" t="str">
        <x:v>未测</x:v>
      </x:c>
      <x:c r="N277" s="4" t="str"/>
      <x:c r="O277" s="4" t="str">
        <x:v>1. 来源：MainBasis/统一需求文档.md；A-admin-placement-detail-006
2. 场景：SC-2c42fa957f8c97</x:v>
      </x:c>
    </x:row>
    <x:row r="278" ht="68" customHeight="1">
      <x:c r="A278" s="4" t="n">
        <x:v>277</x:v>
      </x:c>
      <x:c r="B278" s="4" t="str">
        <x:v>ADMIN-0277</x:v>
      </x:c>
      <x:c r="C278" s="4" t="str">
        <x:v>M08 礼物、道具、任务、邀请与运营配置</x:v>
      </x:c>
      <x:c r="D278" s="4" t="str">
        <x:v>推送管理-18（平台管理员视角）</x:v>
      </x:c>
      <x:c r="E278" s="4" t="str">
        <x:v>功能需求</x:v>
      </x:c>
      <x:c r="F278" s="4" t="str">
        <x:v>P2</x:v>
      </x:c>
      <x:c r="G278" s="4" t="str">
        <x:v>验证目标用户回显</x:v>
      </x:c>
      <x:c r="H278" s="4" t="str">
        <x:v>目标用户回显</x:v>
      </x:c>
      <x:c r="I278" s="4" t="str">
        <x:v>1. 已登录平台管理员账号
2. 所选对象存在，已记录该对象的目标用户值</x:v>
      </x:c>
      <x:c r="J278" s="4" t="str">
        <x:v>1. 进入「推送管理-18」页
2. 查看目标用户回显</x:v>
      </x:c>
      <x:c r="K278" s="4" t="str">
        <x:v>「目标用户」内容与所选对象的该项资料一致</x:v>
      </x:c>
      <x:c r="L278" s="4" t="str"/>
      <x:c r="M278" s="4" t="str">
        <x:v>未测</x:v>
      </x:c>
      <x:c r="N278" s="4" t="str"/>
      <x:c r="O278" s="4" t="str">
        <x:v>1. 来源：MainBasis/统一需求文档.md；A-admin-push-management-003
2. 场景：SC-f1cb9499eada5b</x:v>
      </x:c>
    </x:row>
    <x:row r="279" ht="68" customHeight="1">
      <x:c r="A279" s="4" t="n">
        <x:v>278</x:v>
      </x:c>
      <x:c r="B279" s="4" t="str">
        <x:v>ADMIN-0278</x:v>
      </x:c>
      <x:c r="C279" s="4" t="str">
        <x:v>M08 礼物、道具、任务、邀请与运营配置</x:v>
      </x:c>
      <x:c r="D279" s="4" t="str">
        <x:v>推送管理-18（平台管理员视角）</x:v>
      </x:c>
      <x:c r="E279" s="4" t="str">
        <x:v>功能需求</x:v>
      </x:c>
      <x:c r="F279" s="4" t="str">
        <x:v>P2</x:v>
      </x:c>
      <x:c r="G279" s="4" t="str">
        <x:v>验证发送人数回显</x:v>
      </x:c>
      <x:c r="H279" s="4" t="str">
        <x:v>发送人数回显</x:v>
      </x:c>
      <x:c r="I279" s="4" t="str">
        <x:v>1. 已登录平台管理员账号
2. 所选对象存在，已记录该对象的发送人数值</x:v>
      </x:c>
      <x:c r="J279" s="4" t="str">
        <x:v>1. 进入「推送管理-18」页
2. 查看发送人数回显</x:v>
      </x:c>
      <x:c r="K279" s="4" t="str">
        <x:v>「发送人数」内容与所选对象的该项资料一致</x:v>
      </x:c>
      <x:c r="L279" s="4" t="str"/>
      <x:c r="M279" s="4" t="str">
        <x:v>未测</x:v>
      </x:c>
      <x:c r="N279" s="4" t="str"/>
      <x:c r="O279" s="4" t="str">
        <x:v>1. 来源：MainBasis/统一需求文档.md；A-admin-push-management-004
2. 场景：SC-e729c551da0448</x:v>
      </x:c>
    </x:row>
    <x:row r="280" ht="68" customHeight="1">
      <x:c r="A280" s="4" t="n">
        <x:v>279</x:v>
      </x:c>
      <x:c r="B280" s="4" t="str">
        <x:v>ADMIN-0279</x:v>
      </x:c>
      <x:c r="C280" s="4" t="str">
        <x:v>M08 礼物、道具、任务、邀请与运营配置</x:v>
      </x:c>
      <x:c r="D280" s="4" t="str">
        <x:v>推送管理-18（平台管理员视角）</x:v>
      </x:c>
      <x:c r="E280" s="4" t="str">
        <x:v>功能需求</x:v>
      </x:c>
      <x:c r="F280" s="4" t="str">
        <x:v>P1</x:v>
      </x:c>
      <x:c r="G280" s="4" t="str">
        <x:v>验证已发送推送只读</x:v>
      </x:c>
      <x:c r="H280" s="4" t="str">
        <x:v>已发送推送只读</x:v>
      </x:c>
      <x:c r="I280" s="4" t="str">
        <x:v>1. 已登录平台管理员账号
2. 当前推送任务已发送</x:v>
      </x:c>
      <x:c r="J280" s="4" t="str">
        <x:v>1. 进入「推送管理-18」页
2. 查看已发送推送只读</x:v>
      </x:c>
      <x:c r="K280" s="4" t="str">
        <x:v>任务及发送结果不可编辑</x:v>
      </x:c>
      <x:c r="L280" s="4" t="str"/>
      <x:c r="M280" s="4" t="str">
        <x:v>未测</x:v>
      </x:c>
      <x:c r="N280" s="4" t="str"/>
      <x:c r="O280" s="4" t="str">
        <x:v>1. 来源：MainBasis/统一需求文档.md；A-admin-push-management-006
2. 场景：SC-020a0fba528404</x:v>
      </x:c>
    </x:row>
    <x:row r="281" ht="68" customHeight="1">
      <x:c r="A281" s="4" t="n">
        <x:v>280</x:v>
      </x:c>
      <x:c r="B281" s="4" t="str">
        <x:v>ADMIN-0280</x:v>
      </x:c>
      <x:c r="C281" s="4" t="str">
        <x:v>M08 礼物、道具、任务、邀请与运营配置</x:v>
      </x:c>
      <x:c r="D281" s="4" t="str">
        <x:v>推送管理-18（平台管理员视角）</x:v>
      </x:c>
      <x:c r="E281" s="4" t="str">
        <x:v>功能需求</x:v>
      </x:c>
      <x:c r="F281" s="4" t="str">
        <x:v>P1</x:v>
      </x:c>
      <x:c r="G281" s="4" t="str">
        <x:v>验证成功发送人数去重</x:v>
      </x:c>
      <x:c r="H281" s="4" t="str">
        <x:v>成功发送人数去重</x:v>
      </x:c>
      <x:c r="I281" s="4" t="str">
        <x:v>1. 已登录平台管理员账号
2. 一次推送成功送达账号甲两次、乙一次，丙失败</x:v>
      </x:c>
      <x:c r="J281" s="4" t="str">
        <x:v>1. 进入「推送管理-18」页
2. 查看成功发送人数去重</x:v>
      </x:c>
      <x:c r="K281" s="4" t="str">
        <x:v>成功发送人数为2</x:v>
      </x:c>
      <x:c r="L281" s="4" t="str"/>
      <x:c r="M281" s="4" t="str">
        <x:v>未测</x:v>
      </x:c>
      <x:c r="N281" s="4" t="str"/>
      <x:c r="O281" s="4" t="str">
        <x:v>1. 来源：MainBasis/统一需求文档.md；A-admin-push-management-004
2. 场景：SC-5e867127de1021</x:v>
      </x:c>
    </x:row>
    <x:row r="282" ht="96" customHeight="1">
      <x:c r="A282" s="4" t="n">
        <x:v>281</x:v>
      </x:c>
      <x:c r="B282" s="4" t="str">
        <x:v>ADMIN-0281</x:v>
      </x:c>
      <x:c r="C282" s="4" t="str">
        <x:v>M08 礼物、道具、任务、邀请与运营配置</x:v>
      </x:c>
      <x:c r="D282" s="4" t="str">
        <x:v>推送管理-18（平台管理员视角）</x:v>
      </x:c>
      <x:c r="E282" s="4" t="str">
        <x:v>功能需求</x:v>
      </x:c>
      <x:c r="F282" s="4" t="str">
        <x:v>P1</x:v>
      </x:c>
      <x:c r="G282" s="4" t="str">
        <x:v>验证内容与目标与状态与时间共同筛选</x:v>
      </x:c>
      <x:c r="H282" s="4" t="str">
        <x:v>内容与目标与状态与时间共同筛选</x:v>
      </x:c>
      <x:c r="I282" s="4" t="str">
        <x:v>1. 已登录平台管理员账号
2. 记录甲满足内容与目标与状态与时间全部条件，记录乙仅满足其中部分条件，记录丙全不满足</x:v>
      </x:c>
      <x:c r="J282" s="4" t="str">
        <x:v>1. 进入「推送管理-18」页
2. 选择内容为记录甲对应值
3. 选择目标为记录甲对应值
4. 选择状态为记录甲对应值
5. 选择时间为记录甲对应值
6. 点击查询</x:v>
      </x:c>
      <x:c r="K282" s="4" t="str">
        <x:v>结果仅包含记录甲</x:v>
      </x:c>
      <x:c r="L282" s="4" t="str"/>
      <x:c r="M282" s="4" t="str">
        <x:v>未测</x:v>
      </x:c>
      <x:c r="N282" s="4" t="str"/>
      <x:c r="O282" s="4" t="str">
        <x:v>1. 来源：MainBasis/统一需求文档.md；A-admin-push-management-007
2. 场景：SC-c64352a3cf261f</x:v>
      </x:c>
    </x:row>
    <x:row r="283" ht="68" customHeight="1">
      <x:c r="A283" s="4" t="n">
        <x:v>282</x:v>
      </x:c>
      <x:c r="B283" s="4" t="str">
        <x:v>ADMIN-0282</x:v>
      </x:c>
      <x:c r="C283" s="4" t="str">
        <x:v>M08 礼物、道具、任务、邀请与运营配置</x:v>
      </x:c>
      <x:c r="D283" s="4" t="str">
        <x:v>推送管理-18（平台管理员视角）</x:v>
      </x:c>
      <x:c r="E283" s="4" t="str">
        <x:v>功能需求</x:v>
      </x:c>
      <x:c r="F283" s="4" t="str">
        <x:v>P1</x:v>
      </x:c>
      <x:c r="G283" s="4" t="str">
        <x:v>验证推送标题使用中文</x:v>
      </x:c>
      <x:c r="H283" s="4" t="str">
        <x:v>推送标题使用中文</x:v>
      </x:c>
      <x:c r="I283" s="4" t="str">
        <x:v>1. 已登录平台管理员账号
2. 推送四语标题不同，中文标题为活动甲</x:v>
      </x:c>
      <x:c r="J283" s="4" t="str">
        <x:v>1. 进入「推送管理-18」页
2. 查看推送标题使用中文</x:v>
      </x:c>
      <x:c r="K283" s="4" t="str">
        <x:v>后台列表显示活动甲</x:v>
      </x:c>
      <x:c r="L283" s="4" t="str"/>
      <x:c r="M283" s="4" t="str">
        <x:v>未测</x:v>
      </x:c>
      <x:c r="N283" s="4" t="str"/>
      <x:c r="O283" s="4" t="str">
        <x:v>1. 来源：MainBasis/统一需求文档.md；A-admin-push-management-002
2. 场景：SC-a7b340f92daaca</x:v>
      </x:c>
    </x:row>
    <x:row r="284" ht="68" customHeight="1">
      <x:c r="A284" s="4" t="n">
        <x:v>283</x:v>
      </x:c>
      <x:c r="B284" s="4" t="str">
        <x:v>ADMIN-0283</x:v>
      </x:c>
      <x:c r="C284" s="4" t="str">
        <x:v>M08 礼物、道具、任务、邀请与运营配置</x:v>
      </x:c>
      <x:c r="D284" s="4" t="str">
        <x:v>推送管理-18（平台管理员视角）</x:v>
      </x:c>
      <x:c r="E284" s="4" t="str">
        <x:v>功能需求</x:v>
      </x:c>
      <x:c r="F284" s="4" t="str">
        <x:v>P1</x:v>
      </x:c>
      <x:c r="G284" s="4" t="str">
        <x:v>验证已发送保留执行结果</x:v>
      </x:c>
      <x:c r="H284" s="4" t="str">
        <x:v>已发送保留执行结果</x:v>
      </x:c>
      <x:c r="I284" s="4" t="str">
        <x:v>1. 已登录平台管理员账号
2. 任务已发送且实际发送时间和结果存在</x:v>
      </x:c>
      <x:c r="J284" s="4" t="str">
        <x:v>1. 进入「推送管理-18」页
2. 查看已发送保留执行结果</x:v>
      </x:c>
      <x:c r="K284" s="4" t="str">
        <x:v>保留实际执行结果，不用计划时间重写</x:v>
      </x:c>
      <x:c r="L284" s="4" t="str"/>
      <x:c r="M284" s="4" t="str">
        <x:v>未测</x:v>
      </x:c>
      <x:c r="N284" s="4" t="str"/>
      <x:c r="O284" s="4" t="str">
        <x:v>1. 来源：MainBasis/统一需求文档.md；A-admin-push-management-005
2. 场景：SC-b627c764e437ad</x:v>
      </x:c>
    </x:row>
    <x:row r="285" ht="68" customHeight="1">
      <x:c r="A285" s="4" t="n">
        <x:v>284</x:v>
      </x:c>
      <x:c r="B285" s="4" t="str">
        <x:v>ADMIN-0284</x:v>
      </x:c>
      <x:c r="C285" s="4" t="str">
        <x:v>M08 礼物、道具、任务、邀请与运营配置</x:v>
      </x:c>
      <x:c r="D285" s="4" t="str">
        <x:v>推送编辑（平台管理员视角）</x:v>
      </x:c>
      <x:c r="E285" s="4" t="str">
        <x:v>功能需求</x:v>
      </x:c>
      <x:c r="F285" s="4" t="str">
        <x:v>P2</x:v>
      </x:c>
      <x:c r="G285" s="4" t="str">
        <x:v>验证目标用户回显</x:v>
      </x:c>
      <x:c r="H285" s="4" t="str">
        <x:v>目标用户回显</x:v>
      </x:c>
      <x:c r="I285" s="4" t="str">
        <x:v>1. 已登录平台管理员账号
2. 所选对象存在，已记录该对象的目标用户值</x:v>
      </x:c>
      <x:c r="J285" s="4" t="str">
        <x:v>1. 进入「推送编辑」页
2. 查看目标用户回显</x:v>
      </x:c>
      <x:c r="K285" s="4" t="str">
        <x:v>「目标用户」内容与所选对象的该项资料一致</x:v>
      </x:c>
      <x:c r="L285" s="4" t="str"/>
      <x:c r="M285" s="4" t="str">
        <x:v>未测</x:v>
      </x:c>
      <x:c r="N285" s="4" t="str"/>
      <x:c r="O285" s="4" t="str">
        <x:v>1. 来源：MainBasis/统一需求文档.md；A-admin-push-detail-004
2. 场景：SC-92cf1be58022c7</x:v>
      </x:c>
    </x:row>
    <x:row r="286" ht="68" customHeight="1">
      <x:c r="A286" s="4" t="n">
        <x:v>285</x:v>
      </x:c>
      <x:c r="B286" s="4" t="str">
        <x:v>ADMIN-0285</x:v>
      </x:c>
      <x:c r="C286" s="4" t="str">
        <x:v>M08 礼物、道具、任务、邀请与运营配置</x:v>
      </x:c>
      <x:c r="D286" s="4" t="str">
        <x:v>推送编辑（平台管理员视角）</x:v>
      </x:c>
      <x:c r="E286" s="4" t="str">
        <x:v>功能需求</x:v>
      </x:c>
      <x:c r="F286" s="4" t="str">
        <x:v>P2</x:v>
      </x:c>
      <x:c r="G286" s="4" t="str">
        <x:v>验证操作信息回显</x:v>
      </x:c>
      <x:c r="H286" s="4" t="str">
        <x:v>操作信息回显</x:v>
      </x:c>
      <x:c r="I286" s="4" t="str">
        <x:v>1. 已登录平台管理员账号
2. 所选对象存在，已记录该对象的操作信息值</x:v>
      </x:c>
      <x:c r="J286" s="4" t="str">
        <x:v>1. 进入「推送编辑」页
2. 查看操作信息回显</x:v>
      </x:c>
      <x:c r="K286" s="4" t="str">
        <x:v>「操作信息」内容与所选对象的该项资料一致</x:v>
      </x:c>
      <x:c r="L286" s="4" t="str"/>
      <x:c r="M286" s="4" t="str">
        <x:v>未测</x:v>
      </x:c>
      <x:c r="N286" s="4" t="str"/>
      <x:c r="O286" s="4" t="str">
        <x:v>1. 来源：MainBasis/统一需求文档.md；A-admin-push-detail-005
2. 场景：SC-1ec95722a690d7</x:v>
      </x:c>
    </x:row>
    <x:row r="287" ht="68" customHeight="1">
      <x:c r="A287" s="4" t="n">
        <x:v>286</x:v>
      </x:c>
      <x:c r="B287" s="4" t="str">
        <x:v>ADMIN-0286</x:v>
      </x:c>
      <x:c r="C287" s="4" t="str">
        <x:v>M08 礼物、道具、任务、邀请与运营配置</x:v>
      </x:c>
      <x:c r="D287" s="4" t="str">
        <x:v>推送编辑（平台管理员视角）</x:v>
      </x:c>
      <x:c r="E287" s="4" t="str">
        <x:v>异常用例</x:v>
      </x:c>
      <x:c r="F287" s="4" t="str">
        <x:v>P1</x:v>
      </x:c>
      <x:c r="G287" s="4" t="str">
        <x:v>验证中文标题缺失限制</x:v>
      </x:c>
      <x:c r="H287" s="4" t="str">
        <x:v>中文标题缺失限制</x:v>
      </x:c>
      <x:c r="I287" s="4" t="str">
        <x:v>1. 已登录平台管理员账号
2. 其他必填字段为合法值</x:v>
      </x:c>
      <x:c r="J287" s="4" t="str">
        <x:v>1. 进入「推送编辑」页
2. 清空「中文标题」
3. 点击「保存」</x:v>
      </x:c>
      <x:c r="K287" s="4" t="str">
        <x:v>中文标题未填写，无法保存</x:v>
      </x:c>
      <x:c r="L287" s="4" t="str"/>
      <x:c r="M287" s="4" t="str">
        <x:v>未测</x:v>
      </x:c>
      <x:c r="N287" s="4" t="str"/>
      <x:c r="O287" s="4" t="str">
        <x:v>1. 来源：MainBasis/统一需求文档.md；A-admin-push-detail-003
2. 场景：SC-847cb37d1b8328</x:v>
      </x:c>
    </x:row>
    <x:row r="288" ht="68" customHeight="1">
      <x:c r="A288" s="4" t="n">
        <x:v>287</x:v>
      </x:c>
      <x:c r="B288" s="4" t="str">
        <x:v>ADMIN-0287</x:v>
      </x:c>
      <x:c r="C288" s="4" t="str">
        <x:v>M08 礼物、道具、任务、邀请与运营配置</x:v>
      </x:c>
      <x:c r="D288" s="4" t="str">
        <x:v>推送编辑（平台管理员视角）</x:v>
      </x:c>
      <x:c r="E288" s="4" t="str">
        <x:v>异常用例</x:v>
      </x:c>
      <x:c r="F288" s="4" t="str">
        <x:v>P1</x:v>
      </x:c>
      <x:c r="G288" s="4" t="str">
        <x:v>验证英语标题缺失限制</x:v>
      </x:c>
      <x:c r="H288" s="4" t="str">
        <x:v>英语标题缺失限制</x:v>
      </x:c>
      <x:c r="I288" s="4" t="str">
        <x:v>1. 已登录平台管理员账号
2. 其他必填字段为合法值</x:v>
      </x:c>
      <x:c r="J288" s="4" t="str">
        <x:v>1. 进入「推送编辑」页
2. 清空「英语标题」
3. 点击「保存」</x:v>
      </x:c>
      <x:c r="K288" s="4" t="str">
        <x:v>英语标题未填写，无法保存</x:v>
      </x:c>
      <x:c r="L288" s="4" t="str"/>
      <x:c r="M288" s="4" t="str">
        <x:v>未测</x:v>
      </x:c>
      <x:c r="N288" s="4" t="str"/>
      <x:c r="O288" s="4" t="str">
        <x:v>1. 来源：MainBasis/统一需求文档.md；A-admin-push-detail-003
2. 场景：SC-9fc2a70bbdb9f2</x:v>
      </x:c>
    </x:row>
    <x:row r="289" ht="68" customHeight="1">
      <x:c r="A289" s="4" t="n">
        <x:v>288</x:v>
      </x:c>
      <x:c r="B289" s="4" t="str">
        <x:v>ADMIN-0288</x:v>
      </x:c>
      <x:c r="C289" s="4" t="str">
        <x:v>M08 礼物、道具、任务、邀请与运营配置</x:v>
      </x:c>
      <x:c r="D289" s="4" t="str">
        <x:v>推送编辑（平台管理员视角）</x:v>
      </x:c>
      <x:c r="E289" s="4" t="str">
        <x:v>异常用例</x:v>
      </x:c>
      <x:c r="F289" s="4" t="str">
        <x:v>P1</x:v>
      </x:c>
      <x:c r="G289" s="4" t="str">
        <x:v>验证印尼语标题缺失限制</x:v>
      </x:c>
      <x:c r="H289" s="4" t="str">
        <x:v>印尼语标题缺失限制</x:v>
      </x:c>
      <x:c r="I289" s="4" t="str">
        <x:v>1. 已登录平台管理员账号
2. 其他必填字段为合法值</x:v>
      </x:c>
      <x:c r="J289" s="4" t="str">
        <x:v>1. 进入「推送编辑」页
2. 清空「印尼语标题」
3. 点击「保存」</x:v>
      </x:c>
      <x:c r="K289" s="4" t="str">
        <x:v>印尼语标题未填写，无法保存</x:v>
      </x:c>
      <x:c r="L289" s="4" t="str"/>
      <x:c r="M289" s="4" t="str">
        <x:v>未测</x:v>
      </x:c>
      <x:c r="N289" s="4" t="str"/>
      <x:c r="O289" s="4" t="str">
        <x:v>1. 来源：MainBasis/统一需求文档.md；A-admin-push-detail-003
2. 场景：SC-6366b141bc4d27</x:v>
      </x:c>
    </x:row>
    <x:row r="290" ht="68" customHeight="1">
      <x:c r="A290" s="4" t="n">
        <x:v>289</x:v>
      </x:c>
      <x:c r="B290" s="4" t="str">
        <x:v>ADMIN-0289</x:v>
      </x:c>
      <x:c r="C290" s="4" t="str">
        <x:v>M08 礼物、道具、任务、邀请与运营配置</x:v>
      </x:c>
      <x:c r="D290" s="4" t="str">
        <x:v>推送编辑（平台管理员视角）</x:v>
      </x:c>
      <x:c r="E290" s="4" t="str">
        <x:v>异常用例</x:v>
      </x:c>
      <x:c r="F290" s="4" t="str">
        <x:v>P1</x:v>
      </x:c>
      <x:c r="G290" s="4" t="str">
        <x:v>验证马来语标题缺失限制</x:v>
      </x:c>
      <x:c r="H290" s="4" t="str">
        <x:v>马来语标题缺失限制</x:v>
      </x:c>
      <x:c r="I290" s="4" t="str">
        <x:v>1. 已登录平台管理员账号
2. 其他必填字段为合法值</x:v>
      </x:c>
      <x:c r="J290" s="4" t="str">
        <x:v>1. 进入「推送编辑」页
2. 清空「马来语标题」
3. 点击「保存」</x:v>
      </x:c>
      <x:c r="K290" s="4" t="str">
        <x:v>马来语标题未填写，无法保存</x:v>
      </x:c>
      <x:c r="L290" s="4" t="str"/>
      <x:c r="M290" s="4" t="str">
        <x:v>未测</x:v>
      </x:c>
      <x:c r="N290" s="4" t="str"/>
      <x:c r="O290" s="4" t="str">
        <x:v>1. 来源：MainBasis/统一需求文档.md；A-admin-push-detail-003
2. 场景：SC-1dedc9ae960e24</x:v>
      </x:c>
    </x:row>
    <x:row r="291" ht="68" customHeight="1">
      <x:c r="A291" s="4" t="n">
        <x:v>290</x:v>
      </x:c>
      <x:c r="B291" s="4" t="str">
        <x:v>ADMIN-0290</x:v>
      </x:c>
      <x:c r="C291" s="4" t="str">
        <x:v>M08 礼物、道具、任务、邀请与运营配置</x:v>
      </x:c>
      <x:c r="D291" s="4" t="str">
        <x:v>推送编辑（平台管理员视角）</x:v>
      </x:c>
      <x:c r="E291" s="4" t="str">
        <x:v>异常用例</x:v>
      </x:c>
      <x:c r="F291" s="4" t="str">
        <x:v>P1</x:v>
      </x:c>
      <x:c r="G291" s="4" t="str">
        <x:v>验证中文内容缺失限制</x:v>
      </x:c>
      <x:c r="H291" s="4" t="str">
        <x:v>中文内容缺失限制</x:v>
      </x:c>
      <x:c r="I291" s="4" t="str">
        <x:v>1. 已登录平台管理员账号
2. 其他必填字段为合法值</x:v>
      </x:c>
      <x:c r="J291" s="4" t="str">
        <x:v>1. 进入「推送编辑」页
2. 清空「中文内容」
3. 点击「保存」</x:v>
      </x:c>
      <x:c r="K291" s="4" t="str">
        <x:v>中文内容未填写，无法保存</x:v>
      </x:c>
      <x:c r="L291" s="4" t="str"/>
      <x:c r="M291" s="4" t="str">
        <x:v>未测</x:v>
      </x:c>
      <x:c r="N291" s="4" t="str"/>
      <x:c r="O291" s="4" t="str">
        <x:v>1. 来源：MainBasis/统一需求文档.md；A-admin-push-detail-003
2. 场景：SC-652aa43be2aa54</x:v>
      </x:c>
    </x:row>
    <x:row r="292" ht="68" customHeight="1">
      <x:c r="A292" s="4" t="n">
        <x:v>291</x:v>
      </x:c>
      <x:c r="B292" s="4" t="str">
        <x:v>ADMIN-0291</x:v>
      </x:c>
      <x:c r="C292" s="4" t="str">
        <x:v>M08 礼物、道具、任务、邀请与运营配置</x:v>
      </x:c>
      <x:c r="D292" s="4" t="str">
        <x:v>推送编辑（平台管理员视角）</x:v>
      </x:c>
      <x:c r="E292" s="4" t="str">
        <x:v>异常用例</x:v>
      </x:c>
      <x:c r="F292" s="4" t="str">
        <x:v>P1</x:v>
      </x:c>
      <x:c r="G292" s="4" t="str">
        <x:v>验证英语内容缺失限制</x:v>
      </x:c>
      <x:c r="H292" s="4" t="str">
        <x:v>英语内容缺失限制</x:v>
      </x:c>
      <x:c r="I292" s="4" t="str">
        <x:v>1. 已登录平台管理员账号
2. 其他必填字段为合法值</x:v>
      </x:c>
      <x:c r="J292" s="4" t="str">
        <x:v>1. 进入「推送编辑」页
2. 清空「英语内容」
3. 点击「保存」</x:v>
      </x:c>
      <x:c r="K292" s="4" t="str">
        <x:v>英语内容未填写，无法保存</x:v>
      </x:c>
      <x:c r="L292" s="4" t="str"/>
      <x:c r="M292" s="4" t="str">
        <x:v>未测</x:v>
      </x:c>
      <x:c r="N292" s="4" t="str"/>
      <x:c r="O292" s="4" t="str">
        <x:v>1. 来源：MainBasis/统一需求文档.md；A-admin-push-detail-003
2. 场景：SC-909b31c81cad7a</x:v>
      </x:c>
    </x:row>
    <x:row r="293" ht="68" customHeight="1">
      <x:c r="A293" s="4" t="n">
        <x:v>292</x:v>
      </x:c>
      <x:c r="B293" s="4" t="str">
        <x:v>ADMIN-0292</x:v>
      </x:c>
      <x:c r="C293" s="4" t="str">
        <x:v>M08 礼物、道具、任务、邀请与运营配置</x:v>
      </x:c>
      <x:c r="D293" s="4" t="str">
        <x:v>推送编辑（平台管理员视角）</x:v>
      </x:c>
      <x:c r="E293" s="4" t="str">
        <x:v>异常用例</x:v>
      </x:c>
      <x:c r="F293" s="4" t="str">
        <x:v>P1</x:v>
      </x:c>
      <x:c r="G293" s="4" t="str">
        <x:v>验证印尼语内容缺失限制</x:v>
      </x:c>
      <x:c r="H293" s="4" t="str">
        <x:v>印尼语内容缺失限制</x:v>
      </x:c>
      <x:c r="I293" s="4" t="str">
        <x:v>1. 已登录平台管理员账号
2. 其他必填字段为合法值</x:v>
      </x:c>
      <x:c r="J293" s="4" t="str">
        <x:v>1. 进入「推送编辑」页
2. 清空「印尼语内容」
3. 点击「保存」</x:v>
      </x:c>
      <x:c r="K293" s="4" t="str">
        <x:v>印尼语内容未填写，无法保存</x:v>
      </x:c>
      <x:c r="L293" s="4" t="str"/>
      <x:c r="M293" s="4" t="str">
        <x:v>未测</x:v>
      </x:c>
      <x:c r="N293" s="4" t="str"/>
      <x:c r="O293" s="4" t="str">
        <x:v>1. 来源：MainBasis/统一需求文档.md；A-admin-push-detail-003
2. 场景：SC-14762f06c48dbb</x:v>
      </x:c>
    </x:row>
    <x:row r="294" ht="68" customHeight="1">
      <x:c r="A294" s="4" t="n">
        <x:v>293</x:v>
      </x:c>
      <x:c r="B294" s="4" t="str">
        <x:v>ADMIN-0293</x:v>
      </x:c>
      <x:c r="C294" s="4" t="str">
        <x:v>M08 礼物、道具、任务、邀请与运营配置</x:v>
      </x:c>
      <x:c r="D294" s="4" t="str">
        <x:v>推送编辑（平台管理员视角）</x:v>
      </x:c>
      <x:c r="E294" s="4" t="str">
        <x:v>异常用例</x:v>
      </x:c>
      <x:c r="F294" s="4" t="str">
        <x:v>P1</x:v>
      </x:c>
      <x:c r="G294" s="4" t="str">
        <x:v>验证马来语内容缺失限制</x:v>
      </x:c>
      <x:c r="H294" s="4" t="str">
        <x:v>马来语内容缺失限制</x:v>
      </x:c>
      <x:c r="I294" s="4" t="str">
        <x:v>1. 已登录平台管理员账号
2. 其他必填字段为合法值</x:v>
      </x:c>
      <x:c r="J294" s="4" t="str">
        <x:v>1. 进入「推送编辑」页
2. 清空「马来语内容」
3. 点击「保存」</x:v>
      </x:c>
      <x:c r="K294" s="4" t="str">
        <x:v>马来语内容未填写，无法保存</x:v>
      </x:c>
      <x:c r="L294" s="4" t="str"/>
      <x:c r="M294" s="4" t="str">
        <x:v>未测</x:v>
      </x:c>
      <x:c r="N294" s="4" t="str"/>
      <x:c r="O294" s="4" t="str">
        <x:v>1. 来源：MainBasis/统一需求文档.md；A-admin-push-detail-003
2. 场景：SC-65887b2ed42caf</x:v>
      </x:c>
    </x:row>
    <x:row r="295" ht="68" customHeight="1">
      <x:c r="A295" s="4" t="n">
        <x:v>294</x:v>
      </x:c>
      <x:c r="B295" s="4" t="str">
        <x:v>ADMIN-0294</x:v>
      </x:c>
      <x:c r="C295" s="4" t="str">
        <x:v>M08 礼物、道具、任务、邀请与运营配置</x:v>
      </x:c>
      <x:c r="D295" s="4" t="str">
        <x:v>推送编辑（平台管理员视角）</x:v>
      </x:c>
      <x:c r="E295" s="4" t="str">
        <x:v>功能需求</x:v>
      </x:c>
      <x:c r="F295" s="4" t="str">
        <x:v>P2</x:v>
      </x:c>
      <x:c r="G295" s="4" t="str">
        <x:v>验证推送 ID标识不可编辑</x:v>
      </x:c>
      <x:c r="H295" s="4" t="str">
        <x:v>推送 ID标识不可编辑</x:v>
      </x:c>
      <x:c r="I295" s="4" t="str">
        <x:v>1. 已登录平台管理员账号
2. 目标记录已创建</x:v>
      </x:c>
      <x:c r="J295" s="4" t="str">
        <x:v>1. 进入「推送编辑」页
2. 查看推送 ID标识不可编辑</x:v>
      </x:c>
      <x:c r="K295" s="4" t="str">
        <x:v>已生成的推送 ID可查看但不可编辑</x:v>
      </x:c>
      <x:c r="L295" s="4" t="str"/>
      <x:c r="M295" s="4" t="str">
        <x:v>未测</x:v>
      </x:c>
      <x:c r="N295" s="4" t="str"/>
      <x:c r="O295" s="4" t="str">
        <x:v>1. 来源：MainBasis/统一需求文档.md；A-admin-push-detail-002
2. 场景：SC-2d6a46d663d195</x:v>
      </x:c>
    </x:row>
    <x:row r="296" ht="68" customHeight="1">
      <x:c r="A296" s="4" t="n">
        <x:v>295</x:v>
      </x:c>
      <x:c r="B296" s="4" t="str">
        <x:v>ADMIN-0295</x:v>
      </x:c>
      <x:c r="C296" s="4" t="str">
        <x:v>M08 礼物、道具、任务、邀请与运营配置</x:v>
      </x:c>
      <x:c r="D296" s="4" t="str">
        <x:v>充值套餐-19（平台管理员视角）</x:v>
      </x:c>
      <x:c r="E296" s="4" t="str">
        <x:v>功能需求</x:v>
      </x:c>
      <x:c r="F296" s="4" t="str">
        <x:v>P2</x:v>
      </x:c>
      <x:c r="G296" s="4" t="str">
        <x:v>验证排序 / 状态权重越大越靠前回显</x:v>
      </x:c>
      <x:c r="H296" s="4" t="str">
        <x:v>排序 / 状态权重越大越靠前回显</x:v>
      </x:c>
      <x:c r="I296" s="4" t="str">
        <x:v>1. 已登录平台管理员账号
2. 所选记录排序 / 状态为权重越大越靠前</x:v>
      </x:c>
      <x:c r="J296" s="4" t="str">
        <x:v>1. 进入「充值套餐-19」页
2. 查看排序 / 状态权重越大越靠前回显</x:v>
      </x:c>
      <x:c r="K296" s="4" t="str">
        <x:v>排序 / 状态显示权重越大越靠前</x:v>
      </x:c>
      <x:c r="L296" s="4" t="str"/>
      <x:c r="M296" s="4" t="str">
        <x:v>未测</x:v>
      </x:c>
      <x:c r="N296" s="4" t="str"/>
      <x:c r="O296" s="4" t="str">
        <x:v>1. 来源：MainBasis/统一需求文档.md；A-admin-recharge-package-006
2. 场景：SC-cd797d03dd7f60</x:v>
      </x:c>
    </x:row>
    <x:row r="297" ht="68" customHeight="1">
      <x:c r="A297" s="4" t="n">
        <x:v>296</x:v>
      </x:c>
      <x:c r="B297" s="4" t="str">
        <x:v>ADMIN-0296</x:v>
      </x:c>
      <x:c r="C297" s="4" t="str">
        <x:v>M08 礼物、道具、任务、邀请与运营配置</x:v>
      </x:c>
      <x:c r="D297" s="4" t="str">
        <x:v>充值套餐-19（平台管理员视角）</x:v>
      </x:c>
      <x:c r="E297" s="4" t="str">
        <x:v>功能需求</x:v>
      </x:c>
      <x:c r="F297" s="4" t="str">
        <x:v>P1</x:v>
      </x:c>
      <x:c r="G297" s="4" t="str">
        <x:v>验证常规与活动展示</x:v>
      </x:c>
      <x:c r="H297" s="4" t="str">
        <x:v>常规与活动展示</x:v>
      </x:c>
      <x:c r="I297" s="4" t="str">
        <x:v>1. 已登录平台管理员账号
2. 常规套餐上架，活动套餐尚未生效</x:v>
      </x:c>
      <x:c r="J297" s="4" t="str">
        <x:v>1. 进入「充值套餐-19」页
2. 查看常规与活动展示</x:v>
      </x:c>
      <x:c r="K297" s="4" t="str">
        <x:v>常规可展示，未生效活动不展示</x:v>
      </x:c>
      <x:c r="L297" s="4" t="str"/>
      <x:c r="M297" s="4" t="str">
        <x:v>未测</x:v>
      </x:c>
      <x:c r="N297" s="4" t="str"/>
      <x:c r="O297" s="4" t="str">
        <x:v>1. 来源：MainBasis/统一需求文档.md；A-admin-recharge-package-002
2. 场景：SC-f02873531de413</x:v>
      </x:c>
    </x:row>
    <x:row r="298" ht="68" customHeight="1">
      <x:c r="A298" s="4" t="n">
        <x:v>297</x:v>
      </x:c>
      <x:c r="B298" s="4" t="str">
        <x:v>ADMIN-0297</x:v>
      </x:c>
      <x:c r="C298" s="4" t="str">
        <x:v>M08 礼物、道具、任务、邀请与运营配置</x:v>
      </x:c>
      <x:c r="D298" s="4" t="str">
        <x:v>充值套餐-19（平台管理员视角）</x:v>
      </x:c>
      <x:c r="E298" s="4" t="str">
        <x:v>功能需求</x:v>
      </x:c>
      <x:c r="F298" s="4" t="str">
        <x:v>P1</x:v>
      </x:c>
      <x:c r="G298" s="4" t="str">
        <x:v>验证上架确认</x:v>
      </x:c>
      <x:c r="H298" s="4" t="str">
        <x:v>上架确认</x:v>
      </x:c>
      <x:c r="I298" s="4" t="str">
        <x:v>1. 已登录平台管理员账号
2. 所选记录满足该操作业务条件</x:v>
      </x:c>
      <x:c r="J298" s="4" t="str">
        <x:v>1. 进入「充值套餐-19」页
2. 点击上架
3. 点击确认</x:v>
      </x:c>
      <x:c r="K298" s="4" t="str">
        <x:v>所选记录完成上架</x:v>
      </x:c>
      <x:c r="L298" s="4" t="str"/>
      <x:c r="M298" s="4" t="str">
        <x:v>未测</x:v>
      </x:c>
      <x:c r="N298" s="4" t="str"/>
      <x:c r="O298" s="4" t="str">
        <x:v>1. 来源：MainBasis/统一需求文档.md；A-admin-recharge-package-008
2. 场景：SC-f44bc1c0ae99a7</x:v>
      </x:c>
    </x:row>
    <x:row r="299" ht="68" customHeight="1">
      <x:c r="A299" s="4" t="n">
        <x:v>298</x:v>
      </x:c>
      <x:c r="B299" s="4" t="str">
        <x:v>ADMIN-0298</x:v>
      </x:c>
      <x:c r="C299" s="4" t="str">
        <x:v>M08 礼物、道具、任务、邀请与运营配置</x:v>
      </x:c>
      <x:c r="D299" s="4" t="str">
        <x:v>充值套餐-19（平台管理员视角）</x:v>
      </x:c>
      <x:c r="E299" s="4" t="str">
        <x:v>功能需求</x:v>
      </x:c>
      <x:c r="F299" s="4" t="str">
        <x:v>P1</x:v>
      </x:c>
      <x:c r="G299" s="4" t="str">
        <x:v>验证上架取消</x:v>
      </x:c>
      <x:c r="H299" s="4" t="str">
        <x:v>上架取消</x:v>
      </x:c>
      <x:c r="I299" s="4" t="str">
        <x:v>1. 已登录平台管理员账号
2. 所选记录满足该操作业务条件</x:v>
      </x:c>
      <x:c r="J299" s="4" t="str">
        <x:v>1. 进入「充值套餐-19」页
2. 点击上架
3. 点击取消</x:v>
      </x:c>
      <x:c r="K299" s="4" t="str">
        <x:v>所选记录保持操作前状态</x:v>
      </x:c>
      <x:c r="L299" s="4" t="str"/>
      <x:c r="M299" s="4" t="str">
        <x:v>未测</x:v>
      </x:c>
      <x:c r="N299" s="4" t="str"/>
      <x:c r="O299" s="4" t="str">
        <x:v>1. 来源：MainBasis/统一需求文档.md；A-admin-recharge-package-008
2. 场景：SC-40a3709be03096</x:v>
      </x:c>
    </x:row>
    <x:row r="300" ht="68" customHeight="1">
      <x:c r="A300" s="4" t="n">
        <x:v>299</x:v>
      </x:c>
      <x:c r="B300" s="4" t="str">
        <x:v>ADMIN-0299</x:v>
      </x:c>
      <x:c r="C300" s="4" t="str">
        <x:v>M08 礼物、道具、任务、邀请与运营配置</x:v>
      </x:c>
      <x:c r="D300" s="4" t="str">
        <x:v>充值套餐-19（平台管理员视角）</x:v>
      </x:c>
      <x:c r="E300" s="4" t="str">
        <x:v>功能需求</x:v>
      </x:c>
      <x:c r="F300" s="4" t="str">
        <x:v>P1</x:v>
      </x:c>
      <x:c r="G300" s="4" t="str">
        <x:v>验证下架确认</x:v>
      </x:c>
      <x:c r="H300" s="4" t="str">
        <x:v>下架确认</x:v>
      </x:c>
      <x:c r="I300" s="4" t="str">
        <x:v>1. 已登录平台管理员账号
2. 所选记录满足该操作业务条件</x:v>
      </x:c>
      <x:c r="J300" s="4" t="str">
        <x:v>1. 进入「充值套餐-19」页
2. 点击下架
3. 点击确认</x:v>
      </x:c>
      <x:c r="K300" s="4" t="str">
        <x:v>所选记录完成下架</x:v>
      </x:c>
      <x:c r="L300" s="4" t="str"/>
      <x:c r="M300" s="4" t="str">
        <x:v>未测</x:v>
      </x:c>
      <x:c r="N300" s="4" t="str"/>
      <x:c r="O300" s="4" t="str">
        <x:v>1. 来源：MainBasis/统一需求文档.md；A-admin-recharge-package-008
2. 场景：SC-02e1a28b83923f</x:v>
      </x:c>
    </x:row>
    <x:row r="301" ht="68" customHeight="1">
      <x:c r="A301" s="4" t="n">
        <x:v>300</x:v>
      </x:c>
      <x:c r="B301" s="4" t="str">
        <x:v>ADMIN-0300</x:v>
      </x:c>
      <x:c r="C301" s="4" t="str">
        <x:v>M08 礼物、道具、任务、邀请与运营配置</x:v>
      </x:c>
      <x:c r="D301" s="4" t="str">
        <x:v>充值套餐-19（平台管理员视角）</x:v>
      </x:c>
      <x:c r="E301" s="4" t="str">
        <x:v>功能需求</x:v>
      </x:c>
      <x:c r="F301" s="4" t="str">
        <x:v>P1</x:v>
      </x:c>
      <x:c r="G301" s="4" t="str">
        <x:v>验证下架取消</x:v>
      </x:c>
      <x:c r="H301" s="4" t="str">
        <x:v>下架取消</x:v>
      </x:c>
      <x:c r="I301" s="4" t="str">
        <x:v>1. 已登录平台管理员账号
2. 所选记录满足该操作业务条件</x:v>
      </x:c>
      <x:c r="J301" s="4" t="str">
        <x:v>1. 进入「充值套餐-19」页
2. 点击下架
3. 点击取消</x:v>
      </x:c>
      <x:c r="K301" s="4" t="str">
        <x:v>所选记录保持操作前状态</x:v>
      </x:c>
      <x:c r="L301" s="4" t="str"/>
      <x:c r="M301" s="4" t="str">
        <x:v>未测</x:v>
      </x:c>
      <x:c r="N301" s="4" t="str"/>
      <x:c r="O301" s="4" t="str">
        <x:v>1. 来源：MainBasis/统一需求文档.md；A-admin-recharge-package-008
2. 场景：SC-16bb7ae4cb03a9</x:v>
      </x:c>
    </x:row>
    <x:row r="302" ht="68" customHeight="1">
      <x:c r="A302" s="4" t="n">
        <x:v>301</x:v>
      </x:c>
      <x:c r="B302" s="4" t="str">
        <x:v>ADMIN-0301</x:v>
      </x:c>
      <x:c r="C302" s="4" t="str">
        <x:v>M08 礼物、道具、任务、邀请与运营配置</x:v>
      </x:c>
      <x:c r="D302" s="4" t="str">
        <x:v>充值套餐-19（平台管理员视角）</x:v>
      </x:c>
      <x:c r="E302" s="4" t="str">
        <x:v>功能需求</x:v>
      </x:c>
      <x:c r="F302" s="4" t="str">
        <x:v>P1</x:v>
      </x:c>
      <x:c r="G302" s="4" t="str">
        <x:v>验证删除确认</x:v>
      </x:c>
      <x:c r="H302" s="4" t="str">
        <x:v>删除确认</x:v>
      </x:c>
      <x:c r="I302" s="4" t="str">
        <x:v>1. 已登录平台管理员账号
2. 所选记录满足该操作业务条件</x:v>
      </x:c>
      <x:c r="J302" s="4" t="str">
        <x:v>1. 进入「充值套餐-19」页
2. 点击删除
3. 点击确认</x:v>
      </x:c>
      <x:c r="K302" s="4" t="str">
        <x:v>所选记录完成删除</x:v>
      </x:c>
      <x:c r="L302" s="4" t="str"/>
      <x:c r="M302" s="4" t="str">
        <x:v>未测</x:v>
      </x:c>
      <x:c r="N302" s="4" t="str"/>
      <x:c r="O302" s="4" t="str">
        <x:v>1. 来源：MainBasis/统一需求文档.md；A-admin-recharge-package-008
2. 场景：SC-e64a4fc74828e9</x:v>
      </x:c>
    </x:row>
    <x:row r="303" ht="68" customHeight="1">
      <x:c r="A303" s="4" t="n">
        <x:v>302</x:v>
      </x:c>
      <x:c r="B303" s="4" t="str">
        <x:v>ADMIN-0302</x:v>
      </x:c>
      <x:c r="C303" s="4" t="str">
        <x:v>M08 礼物、道具、任务、邀请与运营配置</x:v>
      </x:c>
      <x:c r="D303" s="4" t="str">
        <x:v>充值套餐-19（平台管理员视角）</x:v>
      </x:c>
      <x:c r="E303" s="4" t="str">
        <x:v>功能需求</x:v>
      </x:c>
      <x:c r="F303" s="4" t="str">
        <x:v>P1</x:v>
      </x:c>
      <x:c r="G303" s="4" t="str">
        <x:v>验证删除取消</x:v>
      </x:c>
      <x:c r="H303" s="4" t="str">
        <x:v>删除取消</x:v>
      </x:c>
      <x:c r="I303" s="4" t="str">
        <x:v>1. 已登录平台管理员账号
2. 所选记录满足该操作业务条件</x:v>
      </x:c>
      <x:c r="J303" s="4" t="str">
        <x:v>1. 进入「充值套餐-19」页
2. 点击删除
3. 点击取消</x:v>
      </x:c>
      <x:c r="K303" s="4" t="str">
        <x:v>所选记录保持操作前状态</x:v>
      </x:c>
      <x:c r="L303" s="4" t="str"/>
      <x:c r="M303" s="4" t="str">
        <x:v>未测</x:v>
      </x:c>
      <x:c r="N303" s="4" t="str"/>
      <x:c r="O303" s="4" t="str">
        <x:v>1. 来源：MainBasis/统一需求文档.md；A-admin-recharge-package-008
2. 场景：SC-2d2e586bd152a8</x:v>
      </x:c>
    </x:row>
    <x:row r="304" ht="68" customHeight="1">
      <x:c r="A304" s="4" t="n">
        <x:v>303</x:v>
      </x:c>
      <x:c r="B304" s="4" t="str">
        <x:v>ADMIN-0303</x:v>
      </x:c>
      <x:c r="C304" s="4" t="str">
        <x:v>M08 礼物、道具、任务、邀请与运营配置</x:v>
      </x:c>
      <x:c r="D304" s="4" t="str">
        <x:v>充值套餐编辑（平台管理员视角）</x:v>
      </x:c>
      <x:c r="E304" s="4" t="str">
        <x:v>逻辑校验</x:v>
      </x:c>
      <x:c r="F304" s="4" t="str">
        <x:v>P1</x:v>
      </x:c>
      <x:c r="G304" s="4" t="str">
        <x:v>验证销售价格空值</x:v>
      </x:c>
      <x:c r="H304" s="4" t="str">
        <x:v>销售价格空值</x:v>
      </x:c>
      <x:c r="I304" s="4" t="str">
        <x:v>1. 已登录平台管理员账号
2. 其他必填字段与配置有效
3. 当前编辑活动套餐</x:v>
      </x:c>
      <x:c r="J304" s="4" t="str">
        <x:v>1. 进入「充值套餐编辑」页
2. 清空销售价格
3. 点击保存</x:v>
      </x:c>
      <x:c r="K304" s="4" t="str">
        <x:v>销售价格校验失败，不能保存</x:v>
      </x:c>
      <x:c r="L304" s="4" t="str"/>
      <x:c r="M304" s="4" t="str">
        <x:v>未测</x:v>
      </x:c>
      <x:c r="N304" s="4" t="str"/>
      <x:c r="O304" s="4" t="str">
        <x:v>1. 来源：MainBasis/统一需求文档.md；A-admin-recharge-package-detail-004、A-admin-recharge-package-003
2. 场景：SC-1f46f10a380a03</x:v>
      </x:c>
    </x:row>
    <x:row r="305" ht="68" customHeight="1">
      <x:c r="A305" s="4" t="n">
        <x:v>304</x:v>
      </x:c>
      <x:c r="B305" s="4" t="str">
        <x:v>ADMIN-0304</x:v>
      </x:c>
      <x:c r="C305" s="4" t="str">
        <x:v>M08 礼物、道具、任务、邀请与运营配置</x:v>
      </x:c>
      <x:c r="D305" s="4" t="str">
        <x:v>充值套餐编辑（平台管理员视角）</x:v>
      </x:c>
      <x:c r="E305" s="4" t="str">
        <x:v>逻辑校验</x:v>
      </x:c>
      <x:c r="F305" s="4" t="str">
        <x:v>P1</x:v>
      </x:c>
      <x:c r="G305" s="4" t="str">
        <x:v>验证销售价格-1</x:v>
      </x:c>
      <x:c r="H305" s="4" t="str">
        <x:v>销售价格-1</x:v>
      </x:c>
      <x:c r="I305" s="4" t="str">
        <x:v>1. 已登录平台管理员账号
2. 其他必填字段与配置有效
3. 当前编辑活动套餐</x:v>
      </x:c>
      <x:c r="J305" s="4" t="str">
        <x:v>1. 进入「充值套餐编辑」页
2. 填写销售价格-1
3. 点击保存</x:v>
      </x:c>
      <x:c r="K305" s="4" t="str">
        <x:v>销售价格校验失败，不能保存</x:v>
      </x:c>
      <x:c r="L305" s="4" t="str"/>
      <x:c r="M305" s="4" t="str">
        <x:v>未测</x:v>
      </x:c>
      <x:c r="N305" s="4" t="str"/>
      <x:c r="O305" s="4" t="str">
        <x:v>1. 来源：MainBasis/统一需求文档.md；A-admin-recharge-package-detail-004、A-admin-recharge-package-003
2. 场景：SC-0636fc7e746945</x:v>
      </x:c>
    </x:row>
    <x:row r="306" ht="68" customHeight="1">
      <x:c r="A306" s="4" t="n">
        <x:v>305</x:v>
      </x:c>
      <x:c r="B306" s="4" t="str">
        <x:v>ADMIN-0305</x:v>
      </x:c>
      <x:c r="C306" s="4" t="str">
        <x:v>M08 礼物、道具、任务、邀请与运营配置</x:v>
      </x:c>
      <x:c r="D306" s="4" t="str">
        <x:v>充值套餐编辑（平台管理员视角）</x:v>
      </x:c>
      <x:c r="E306" s="4" t="str">
        <x:v>逻辑校验</x:v>
      </x:c>
      <x:c r="F306" s="4" t="str">
        <x:v>P1</x:v>
      </x:c>
      <x:c r="G306" s="4" t="str">
        <x:v>验证销售价格0</x:v>
      </x:c>
      <x:c r="H306" s="4" t="str">
        <x:v>销售价格0</x:v>
      </x:c>
      <x:c r="I306" s="4" t="str">
        <x:v>1. 已登录平台管理员账号
2. 其他必填字段与配置有效
3. 当前编辑活动套餐</x:v>
      </x:c>
      <x:c r="J306" s="4" t="str">
        <x:v>1. 进入「充值套餐编辑」页
2. 填写销售价格0
3. 点击保存</x:v>
      </x:c>
      <x:c r="K306" s="4" t="str">
        <x:v>销售价格校验失败，不能保存</x:v>
      </x:c>
      <x:c r="L306" s="4" t="str"/>
      <x:c r="M306" s="4" t="str">
        <x:v>未测</x:v>
      </x:c>
      <x:c r="N306" s="4" t="str"/>
      <x:c r="O306" s="4" t="str">
        <x:v>1. 来源：MainBasis/统一需求文档.md；A-admin-recharge-package-detail-004、A-admin-recharge-package-003
2. 场景：SC-f50ca1c0d11ae5</x:v>
      </x:c>
    </x:row>
    <x:row r="307" ht="68" customHeight="1">
      <x:c r="A307" s="4" t="n">
        <x:v>306</x:v>
      </x:c>
      <x:c r="B307" s="4" t="str">
        <x:v>ADMIN-0306</x:v>
      </x:c>
      <x:c r="C307" s="4" t="str">
        <x:v>M08 礼物、道具、任务、邀请与运营配置</x:v>
      </x:c>
      <x:c r="D307" s="4" t="str">
        <x:v>充值套餐编辑（平台管理员视角）</x:v>
      </x:c>
      <x:c r="E307" s="4" t="str">
        <x:v>逻辑校验</x:v>
      </x:c>
      <x:c r="F307" s="4" t="str">
        <x:v>P1</x:v>
      </x:c>
      <x:c r="G307" s="4" t="str">
        <x:v>验证销售价格1</x:v>
      </x:c>
      <x:c r="H307" s="4" t="str">
        <x:v>销售价格1</x:v>
      </x:c>
      <x:c r="I307" s="4" t="str">
        <x:v>1. 已登录平台管理员账号
2. 其他必填字段与配置有效
3. 当前编辑活动套餐</x:v>
      </x:c>
      <x:c r="J307" s="4" t="str">
        <x:v>1. 进入「充值套餐编辑」页
2. 填写销售价格1
3. 点击保存</x:v>
      </x:c>
      <x:c r="K307" s="4" t="str">
        <x:v>销售价格保存为1</x:v>
      </x:c>
      <x:c r="L307" s="4" t="str"/>
      <x:c r="M307" s="4" t="str">
        <x:v>未测</x:v>
      </x:c>
      <x:c r="N307" s="4" t="str"/>
      <x:c r="O307" s="4" t="str">
        <x:v>1. 来源：MainBasis/统一需求文档.md；A-admin-recharge-package-detail-004、A-admin-recharge-package-003
2. 场景：SC-1e3be7cd49dcd1</x:v>
      </x:c>
    </x:row>
    <x:row r="308" ht="68" customHeight="1">
      <x:c r="A308" s="4" t="n">
        <x:v>307</x:v>
      </x:c>
      <x:c r="B308" s="4" t="str">
        <x:v>ADMIN-0307</x:v>
      </x:c>
      <x:c r="C308" s="4" t="str">
        <x:v>M08 礼物、道具、任务、邀请与运营配置</x:v>
      </x:c>
      <x:c r="D308" s="4" t="str">
        <x:v>充值套餐编辑（平台管理员视角）</x:v>
      </x:c>
      <x:c r="E308" s="4" t="str">
        <x:v>逻辑校验</x:v>
      </x:c>
      <x:c r="F308" s="4" t="str">
        <x:v>P1</x:v>
      </x:c>
      <x:c r="G308" s="4" t="str">
        <x:v>验证销售价格1.5</x:v>
      </x:c>
      <x:c r="H308" s="4" t="str">
        <x:v>销售价格1.5</x:v>
      </x:c>
      <x:c r="I308" s="4" t="str">
        <x:v>1. 已登录平台管理员账号
2. 其他必填字段与配置有效
3. 当前编辑活动套餐</x:v>
      </x:c>
      <x:c r="J308" s="4" t="str">
        <x:v>1. 进入「充值套餐编辑」页
2. 填写销售价格1.5
3. 点击保存</x:v>
      </x:c>
      <x:c r="K308" s="4" t="str">
        <x:v>销售价格保存为1.5</x:v>
      </x:c>
      <x:c r="L308" s="4" t="str"/>
      <x:c r="M308" s="4" t="str">
        <x:v>未测</x:v>
      </x:c>
      <x:c r="N308" s="4" t="str"/>
      <x:c r="O308" s="4" t="str">
        <x:v>1. 来源：MainBasis/统一需求文档.md；A-admin-recharge-package-detail-004、A-admin-recharge-package-003
2. 场景：SC-e6cbbf4762d2bf</x:v>
      </x:c>
    </x:row>
    <x:row r="309" ht="68" customHeight="1">
      <x:c r="A309" s="4" t="n">
        <x:v>308</x:v>
      </x:c>
      <x:c r="B309" s="4" t="str">
        <x:v>ADMIN-0308</x:v>
      </x:c>
      <x:c r="C309" s="4" t="str">
        <x:v>M08 礼物、道具、任务、邀请与运营配置</x:v>
      </x:c>
      <x:c r="D309" s="4" t="str">
        <x:v>充值套餐编辑（平台管理员视角）</x:v>
      </x:c>
      <x:c r="E309" s="4" t="str">
        <x:v>逻辑校验</x:v>
      </x:c>
      <x:c r="F309" s="4" t="str">
        <x:v>P1</x:v>
      </x:c>
      <x:c r="G309" s="4" t="str">
        <x:v>验证销售价格0.01</x:v>
      </x:c>
      <x:c r="H309" s="4" t="str">
        <x:v>销售价格0.01</x:v>
      </x:c>
      <x:c r="I309" s="4" t="str">
        <x:v>1. 已登录平台管理员账号
2. 其他必填字段与配置有效
3. 当前编辑活动套餐</x:v>
      </x:c>
      <x:c r="J309" s="4" t="str">
        <x:v>1. 进入「充值套餐编辑」页
2. 填写销售价格0.01
3. 点击保存</x:v>
      </x:c>
      <x:c r="K309" s="4" t="str">
        <x:v>销售价格保存为0.01</x:v>
      </x:c>
      <x:c r="L309" s="4" t="str"/>
      <x:c r="M309" s="4" t="str">
        <x:v>未测</x:v>
      </x:c>
      <x:c r="N309" s="4" t="str"/>
      <x:c r="O309" s="4" t="str">
        <x:v>1. 来源：MainBasis/统一需求文档.md；A-admin-recharge-package-detail-004、A-admin-recharge-package-003
2. 场景：SC-87719782dd9062</x:v>
      </x:c>
    </x:row>
    <x:row r="310" ht="68" customHeight="1">
      <x:c r="A310" s="4" t="n">
        <x:v>309</x:v>
      </x:c>
      <x:c r="B310" s="4" t="str">
        <x:v>ADMIN-0309</x:v>
      </x:c>
      <x:c r="C310" s="4" t="str">
        <x:v>M08 礼物、道具、任务、邀请与运营配置</x:v>
      </x:c>
      <x:c r="D310" s="4" t="str">
        <x:v>充值套餐编辑（平台管理员视角）</x:v>
      </x:c>
      <x:c r="E310" s="4" t="str">
        <x:v>逻辑校验</x:v>
      </x:c>
      <x:c r="F310" s="4" t="str">
        <x:v>P1</x:v>
      </x:c>
      <x:c r="G310" s="4" t="str">
        <x:v>验证销售价格1.001</x:v>
      </x:c>
      <x:c r="H310" s="4" t="str">
        <x:v>销售价格1.001</x:v>
      </x:c>
      <x:c r="I310" s="4" t="str">
        <x:v>1. 已登录平台管理员账号
2. 其他必填字段与配置有效
3. 当前编辑活动套餐</x:v>
      </x:c>
      <x:c r="J310" s="4" t="str">
        <x:v>1. 进入「充值套餐编辑」页
2. 填写销售价格1.001
3. 点击保存</x:v>
      </x:c>
      <x:c r="K310" s="4" t="str">
        <x:v>销售价格校验失败，不能保存</x:v>
      </x:c>
      <x:c r="L310" s="4" t="str"/>
      <x:c r="M310" s="4" t="str">
        <x:v>未测</x:v>
      </x:c>
      <x:c r="N310" s="4" t="str"/>
      <x:c r="O310" s="4" t="str">
        <x:v>1. 来源：MainBasis/统一需求文档.md；A-admin-recharge-package-detail-004、A-admin-recharge-package-003
2. 场景：SC-040da050b5ea55</x:v>
      </x:c>
    </x:row>
    <x:row r="311" ht="68" customHeight="1">
      <x:c r="A311" s="4" t="n">
        <x:v>310</x:v>
      </x:c>
      <x:c r="B311" s="4" t="str">
        <x:v>ADMIN-0310</x:v>
      </x:c>
      <x:c r="C311" s="4" t="str">
        <x:v>M08 礼物、道具、任务、邀请与运营配置</x:v>
      </x:c>
      <x:c r="D311" s="4" t="str">
        <x:v>充值套餐编辑（平台管理员视角）</x:v>
      </x:c>
      <x:c r="E311" s="4" t="str">
        <x:v>逻辑校验</x:v>
      </x:c>
      <x:c r="F311" s="4" t="str">
        <x:v>P1</x:v>
      </x:c>
      <x:c r="G311" s="4" t="str">
        <x:v>验证充值金币空值</x:v>
      </x:c>
      <x:c r="H311" s="4" t="str">
        <x:v>充值金币空值</x:v>
      </x:c>
      <x:c r="I311" s="4" t="str">
        <x:v>1. 已登录平台管理员账号
2. 其他必填字段与配置有效
3. 当前编辑活动套餐</x:v>
      </x:c>
      <x:c r="J311" s="4" t="str">
        <x:v>1. 进入「充值套餐编辑」页
2. 清空充值金币
3. 点击保存</x:v>
      </x:c>
      <x:c r="K311" s="4" t="str">
        <x:v>充值金币校验失败，不能保存</x:v>
      </x:c>
      <x:c r="L311" s="4" t="str"/>
      <x:c r="M311" s="4" t="str">
        <x:v>未测</x:v>
      </x:c>
      <x:c r="N311" s="4" t="str"/>
      <x:c r="O311" s="4" t="str">
        <x:v>1. 来源：MainBasis/统一需求文档.md；A-admin-recharge-package-detail-005、A-admin-recharge-package-004
2. 场景：SC-c306b7a41cf462</x:v>
      </x:c>
    </x:row>
    <x:row r="312" ht="68" customHeight="1">
      <x:c r="A312" s="4" t="n">
        <x:v>311</x:v>
      </x:c>
      <x:c r="B312" s="4" t="str">
        <x:v>ADMIN-0311</x:v>
      </x:c>
      <x:c r="C312" s="4" t="str">
        <x:v>M08 礼物、道具、任务、邀请与运营配置</x:v>
      </x:c>
      <x:c r="D312" s="4" t="str">
        <x:v>充值套餐编辑（平台管理员视角）</x:v>
      </x:c>
      <x:c r="E312" s="4" t="str">
        <x:v>逻辑校验</x:v>
      </x:c>
      <x:c r="F312" s="4" t="str">
        <x:v>P1</x:v>
      </x:c>
      <x:c r="G312" s="4" t="str">
        <x:v>验证充值金币-1</x:v>
      </x:c>
      <x:c r="H312" s="4" t="str">
        <x:v>充值金币-1</x:v>
      </x:c>
      <x:c r="I312" s="4" t="str">
        <x:v>1. 已登录平台管理员账号
2. 其他必填字段与配置有效
3. 当前编辑活动套餐</x:v>
      </x:c>
      <x:c r="J312" s="4" t="str">
        <x:v>1. 进入「充值套餐编辑」页
2. 填写充值金币-1
3. 点击保存</x:v>
      </x:c>
      <x:c r="K312" s="4" t="str">
        <x:v>充值金币校验失败，不能保存</x:v>
      </x:c>
      <x:c r="L312" s="4" t="str"/>
      <x:c r="M312" s="4" t="str">
        <x:v>未测</x:v>
      </x:c>
      <x:c r="N312" s="4" t="str"/>
      <x:c r="O312" s="4" t="str">
        <x:v>1. 来源：MainBasis/统一需求文档.md；A-admin-recharge-package-detail-005、A-admin-recharge-package-004
2. 场景：SC-c8274b31fdaae0</x:v>
      </x:c>
    </x:row>
    <x:row r="313" ht="68" customHeight="1">
      <x:c r="A313" s="4" t="n">
        <x:v>312</x:v>
      </x:c>
      <x:c r="B313" s="4" t="str">
        <x:v>ADMIN-0312</x:v>
      </x:c>
      <x:c r="C313" s="4" t="str">
        <x:v>M08 礼物、道具、任务、邀请与运营配置</x:v>
      </x:c>
      <x:c r="D313" s="4" t="str">
        <x:v>充值套餐编辑（平台管理员视角）</x:v>
      </x:c>
      <x:c r="E313" s="4" t="str">
        <x:v>逻辑校验</x:v>
      </x:c>
      <x:c r="F313" s="4" t="str">
        <x:v>P1</x:v>
      </x:c>
      <x:c r="G313" s="4" t="str">
        <x:v>验证充值金币0</x:v>
      </x:c>
      <x:c r="H313" s="4" t="str">
        <x:v>充值金币0</x:v>
      </x:c>
      <x:c r="I313" s="4" t="str">
        <x:v>1. 已登录平台管理员账号
2. 其他必填字段与配置有效
3. 当前编辑活动套餐</x:v>
      </x:c>
      <x:c r="J313" s="4" t="str">
        <x:v>1. 进入「充值套餐编辑」页
2. 填写充值金币0
3. 点击保存</x:v>
      </x:c>
      <x:c r="K313" s="4" t="str">
        <x:v>充值金币校验失败，不能保存</x:v>
      </x:c>
      <x:c r="L313" s="4" t="str"/>
      <x:c r="M313" s="4" t="str">
        <x:v>未测</x:v>
      </x:c>
      <x:c r="N313" s="4" t="str"/>
      <x:c r="O313" s="4" t="str">
        <x:v>1. 来源：MainBasis/统一需求文档.md；A-admin-recharge-package-detail-005、A-admin-recharge-package-004
2. 场景：SC-2f3243c3b27a5f</x:v>
      </x:c>
    </x:row>
    <x:row r="314" ht="68" customHeight="1">
      <x:c r="A314" s="4" t="n">
        <x:v>313</x:v>
      </x:c>
      <x:c r="B314" s="4" t="str">
        <x:v>ADMIN-0313</x:v>
      </x:c>
      <x:c r="C314" s="4" t="str">
        <x:v>M08 礼物、道具、任务、邀请与运营配置</x:v>
      </x:c>
      <x:c r="D314" s="4" t="str">
        <x:v>充值套餐编辑（平台管理员视角）</x:v>
      </x:c>
      <x:c r="E314" s="4" t="str">
        <x:v>逻辑校验</x:v>
      </x:c>
      <x:c r="F314" s="4" t="str">
        <x:v>P1</x:v>
      </x:c>
      <x:c r="G314" s="4" t="str">
        <x:v>验证充值金币1</x:v>
      </x:c>
      <x:c r="H314" s="4" t="str">
        <x:v>充值金币1</x:v>
      </x:c>
      <x:c r="I314" s="4" t="str">
        <x:v>1. 已登录平台管理员账号
2. 其他必填字段与配置有效
3. 当前编辑活动套餐</x:v>
      </x:c>
      <x:c r="J314" s="4" t="str">
        <x:v>1. 进入「充值套餐编辑」页
2. 填写充值金币1
3. 点击保存</x:v>
      </x:c>
      <x:c r="K314" s="4" t="str">
        <x:v>充值金币保存为1</x:v>
      </x:c>
      <x:c r="L314" s="4" t="str"/>
      <x:c r="M314" s="4" t="str">
        <x:v>未测</x:v>
      </x:c>
      <x:c r="N314" s="4" t="str"/>
      <x:c r="O314" s="4" t="str">
        <x:v>1. 来源：MainBasis/统一需求文档.md；A-admin-recharge-package-detail-005、A-admin-recharge-package-004
2. 场景：SC-700a7903a491f4</x:v>
      </x:c>
    </x:row>
    <x:row r="315" ht="68" customHeight="1">
      <x:c r="A315" s="4" t="n">
        <x:v>314</x:v>
      </x:c>
      <x:c r="B315" s="4" t="str">
        <x:v>ADMIN-0314</x:v>
      </x:c>
      <x:c r="C315" s="4" t="str">
        <x:v>M08 礼物、道具、任务、邀请与运营配置</x:v>
      </x:c>
      <x:c r="D315" s="4" t="str">
        <x:v>充值套餐编辑（平台管理员视角）</x:v>
      </x:c>
      <x:c r="E315" s="4" t="str">
        <x:v>逻辑校验</x:v>
      </x:c>
      <x:c r="F315" s="4" t="str">
        <x:v>P1</x:v>
      </x:c>
      <x:c r="G315" s="4" t="str">
        <x:v>验证充值金币1.5</x:v>
      </x:c>
      <x:c r="H315" s="4" t="str">
        <x:v>充值金币1.5</x:v>
      </x:c>
      <x:c r="I315" s="4" t="str">
        <x:v>1. 已登录平台管理员账号
2. 其他必填字段与配置有效
3. 当前编辑活动套餐</x:v>
      </x:c>
      <x:c r="J315" s="4" t="str">
        <x:v>1. 进入「充值套餐编辑」页
2. 填写充值金币1.5
3. 点击保存</x:v>
      </x:c>
      <x:c r="K315" s="4" t="str">
        <x:v>充值金币校验失败，不能保存</x:v>
      </x:c>
      <x:c r="L315" s="4" t="str"/>
      <x:c r="M315" s="4" t="str">
        <x:v>未测</x:v>
      </x:c>
      <x:c r="N315" s="4" t="str"/>
      <x:c r="O315" s="4" t="str">
        <x:v>1. 来源：MainBasis/统一需求文档.md；A-admin-recharge-package-detail-005、A-admin-recharge-package-004
2. 场景：SC-339ac98adeb162</x:v>
      </x:c>
    </x:row>
    <x:row r="316" ht="68" customHeight="1">
      <x:c r="A316" s="4" t="n">
        <x:v>315</x:v>
      </x:c>
      <x:c r="B316" s="4" t="str">
        <x:v>ADMIN-0315</x:v>
      </x:c>
      <x:c r="C316" s="4" t="str">
        <x:v>M08 礼物、道具、任务、邀请与运营配置</x:v>
      </x:c>
      <x:c r="D316" s="4" t="str">
        <x:v>充值套餐编辑（平台管理员视角）</x:v>
      </x:c>
      <x:c r="E316" s="4" t="str">
        <x:v>逻辑校验</x:v>
      </x:c>
      <x:c r="F316" s="4" t="str">
        <x:v>P1</x:v>
      </x:c>
      <x:c r="G316" s="4" t="str">
        <x:v>验证赠送金币空值</x:v>
      </x:c>
      <x:c r="H316" s="4" t="str">
        <x:v>赠送金币空值</x:v>
      </x:c>
      <x:c r="I316" s="4" t="str">
        <x:v>1. 已登录平台管理员账号
2. 其他必填字段与配置有效
3. 当前编辑活动套餐</x:v>
      </x:c>
      <x:c r="J316" s="4" t="str">
        <x:v>1. 进入「充值套餐编辑」页
2. 清空赠送金币
3. 点击保存</x:v>
      </x:c>
      <x:c r="K316" s="4" t="str">
        <x:v>赠送金币校验失败，不能保存</x:v>
      </x:c>
      <x:c r="L316" s="4" t="str"/>
      <x:c r="M316" s="4" t="str">
        <x:v>未测</x:v>
      </x:c>
      <x:c r="N316" s="4" t="str"/>
      <x:c r="O316" s="4" t="str">
        <x:v>1. 来源：MainBasis/统一需求文档.md；A-admin-recharge-package-detail-005、A-admin-recharge-package-004
2. 场景：SC-3b03ad25b9a622</x:v>
      </x:c>
    </x:row>
    <x:row r="317" ht="68" customHeight="1">
      <x:c r="A317" s="4" t="n">
        <x:v>316</x:v>
      </x:c>
      <x:c r="B317" s="4" t="str">
        <x:v>ADMIN-0316</x:v>
      </x:c>
      <x:c r="C317" s="4" t="str">
        <x:v>M08 礼物、道具、任务、邀请与运营配置</x:v>
      </x:c>
      <x:c r="D317" s="4" t="str">
        <x:v>充值套餐编辑（平台管理员视角）</x:v>
      </x:c>
      <x:c r="E317" s="4" t="str">
        <x:v>逻辑校验</x:v>
      </x:c>
      <x:c r="F317" s="4" t="str">
        <x:v>P1</x:v>
      </x:c>
      <x:c r="G317" s="4" t="str">
        <x:v>验证赠送金币-1</x:v>
      </x:c>
      <x:c r="H317" s="4" t="str">
        <x:v>赠送金币-1</x:v>
      </x:c>
      <x:c r="I317" s="4" t="str">
        <x:v>1. 已登录平台管理员账号
2. 其他必填字段与配置有效
3. 当前编辑活动套餐</x:v>
      </x:c>
      <x:c r="J317" s="4" t="str">
        <x:v>1. 进入「充值套餐编辑」页
2. 填写赠送金币-1
3. 点击保存</x:v>
      </x:c>
      <x:c r="K317" s="4" t="str">
        <x:v>赠送金币校验失败，不能保存</x:v>
      </x:c>
      <x:c r="L317" s="4" t="str"/>
      <x:c r="M317" s="4" t="str">
        <x:v>未测</x:v>
      </x:c>
      <x:c r="N317" s="4" t="str"/>
      <x:c r="O317" s="4" t="str">
        <x:v>1. 来源：MainBasis/统一需求文档.md；A-admin-recharge-package-detail-005、A-admin-recharge-package-004
2. 场景：SC-c55855870e24d6</x:v>
      </x:c>
    </x:row>
    <x:row r="318" ht="68" customHeight="1">
      <x:c r="A318" s="4" t="n">
        <x:v>317</x:v>
      </x:c>
      <x:c r="B318" s="4" t="str">
        <x:v>ADMIN-0317</x:v>
      </x:c>
      <x:c r="C318" s="4" t="str">
        <x:v>M08 礼物、道具、任务、邀请与运营配置</x:v>
      </x:c>
      <x:c r="D318" s="4" t="str">
        <x:v>充值套餐编辑（平台管理员视角）</x:v>
      </x:c>
      <x:c r="E318" s="4" t="str">
        <x:v>逻辑校验</x:v>
      </x:c>
      <x:c r="F318" s="4" t="str">
        <x:v>P1</x:v>
      </x:c>
      <x:c r="G318" s="4" t="str">
        <x:v>验证赠送金币0</x:v>
      </x:c>
      <x:c r="H318" s="4" t="str">
        <x:v>赠送金币0</x:v>
      </x:c>
      <x:c r="I318" s="4" t="str">
        <x:v>1. 已登录平台管理员账号
2. 其他必填字段与配置有效
3. 当前编辑活动套餐</x:v>
      </x:c>
      <x:c r="J318" s="4" t="str">
        <x:v>1. 进入「充值套餐编辑」页
2. 填写赠送金币0
3. 点击保存</x:v>
      </x:c>
      <x:c r="K318" s="4" t="str">
        <x:v>赠送金币保存为0</x:v>
      </x:c>
      <x:c r="L318" s="4" t="str"/>
      <x:c r="M318" s="4" t="str">
        <x:v>未测</x:v>
      </x:c>
      <x:c r="N318" s="4" t="str"/>
      <x:c r="O318" s="4" t="str">
        <x:v>1. 来源：MainBasis/统一需求文档.md；A-admin-recharge-package-detail-005、A-admin-recharge-package-004
2. 场景：SC-47cadf1ea21b70</x:v>
      </x:c>
    </x:row>
    <x:row r="319" ht="68" customHeight="1">
      <x:c r="A319" s="4" t="n">
        <x:v>318</x:v>
      </x:c>
      <x:c r="B319" s="4" t="str">
        <x:v>ADMIN-0318</x:v>
      </x:c>
      <x:c r="C319" s="4" t="str">
        <x:v>M08 礼物、道具、任务、邀请与运营配置</x:v>
      </x:c>
      <x:c r="D319" s="4" t="str">
        <x:v>充值套餐编辑（平台管理员视角）</x:v>
      </x:c>
      <x:c r="E319" s="4" t="str">
        <x:v>逻辑校验</x:v>
      </x:c>
      <x:c r="F319" s="4" t="str">
        <x:v>P1</x:v>
      </x:c>
      <x:c r="G319" s="4" t="str">
        <x:v>验证赠送金币1</x:v>
      </x:c>
      <x:c r="H319" s="4" t="str">
        <x:v>赠送金币1</x:v>
      </x:c>
      <x:c r="I319" s="4" t="str">
        <x:v>1. 已登录平台管理员账号
2. 其他必填字段与配置有效
3. 当前编辑活动套餐</x:v>
      </x:c>
      <x:c r="J319" s="4" t="str">
        <x:v>1. 进入「充值套餐编辑」页
2. 填写赠送金币1
3. 点击保存</x:v>
      </x:c>
      <x:c r="K319" s="4" t="str">
        <x:v>赠送金币保存为1</x:v>
      </x:c>
      <x:c r="L319" s="4" t="str"/>
      <x:c r="M319" s="4" t="str">
        <x:v>未测</x:v>
      </x:c>
      <x:c r="N319" s="4" t="str"/>
      <x:c r="O319" s="4" t="str">
        <x:v>1. 来源：MainBasis/统一需求文档.md；A-admin-recharge-package-detail-005、A-admin-recharge-package-004
2. 场景：SC-511d382a23c7af</x:v>
      </x:c>
    </x:row>
    <x:row r="320" ht="68" customHeight="1">
      <x:c r="A320" s="4" t="n">
        <x:v>319</x:v>
      </x:c>
      <x:c r="B320" s="4" t="str">
        <x:v>ADMIN-0319</x:v>
      </x:c>
      <x:c r="C320" s="4" t="str">
        <x:v>M08 礼物、道具、任务、邀请与运营配置</x:v>
      </x:c>
      <x:c r="D320" s="4" t="str">
        <x:v>充值套餐编辑（平台管理员视角）</x:v>
      </x:c>
      <x:c r="E320" s="4" t="str">
        <x:v>逻辑校验</x:v>
      </x:c>
      <x:c r="F320" s="4" t="str">
        <x:v>P1</x:v>
      </x:c>
      <x:c r="G320" s="4" t="str">
        <x:v>验证赠送金币1.5</x:v>
      </x:c>
      <x:c r="H320" s="4" t="str">
        <x:v>赠送金币1.5</x:v>
      </x:c>
      <x:c r="I320" s="4" t="str">
        <x:v>1. 已登录平台管理员账号
2. 其他必填字段与配置有效
3. 当前编辑活动套餐</x:v>
      </x:c>
      <x:c r="J320" s="4" t="str">
        <x:v>1. 进入「充值套餐编辑」页
2. 填写赠送金币1.5
3. 点击保存</x:v>
      </x:c>
      <x:c r="K320" s="4" t="str">
        <x:v>赠送金币校验失败，不能保存</x:v>
      </x:c>
      <x:c r="L320" s="4" t="str"/>
      <x:c r="M320" s="4" t="str">
        <x:v>未测</x:v>
      </x:c>
      <x:c r="N320" s="4" t="str"/>
      <x:c r="O320" s="4" t="str">
        <x:v>1. 来源：MainBasis/统一需求文档.md；A-admin-recharge-package-detail-005、A-admin-recharge-package-004
2. 场景：SC-a87823e6a8090b</x:v>
      </x:c>
    </x:row>
    <x:row r="321" ht="68" customHeight="1">
      <x:c r="A321" s="4" t="n">
        <x:v>320</x:v>
      </x:c>
      <x:c r="B321" s="4" t="str">
        <x:v>ADMIN-0320</x:v>
      </x:c>
      <x:c r="C321" s="4" t="str">
        <x:v>M08 礼物、道具、任务、邀请与运营配置</x:v>
      </x:c>
      <x:c r="D321" s="4" t="str">
        <x:v>充值套餐编辑（平台管理员视角）</x:v>
      </x:c>
      <x:c r="E321" s="4" t="str">
        <x:v>逻辑校验</x:v>
      </x:c>
      <x:c r="F321" s="4" t="str">
        <x:v>P1</x:v>
      </x:c>
      <x:c r="G321" s="4" t="str">
        <x:v>验证限购次数空值</x:v>
      </x:c>
      <x:c r="H321" s="4" t="str">
        <x:v>限购次数空值</x:v>
      </x:c>
      <x:c r="I321" s="4" t="str">
        <x:v>1. 已登录平台管理员账号
2. 其他必填字段与配置有效
3. 当前编辑活动套餐</x:v>
      </x:c>
      <x:c r="J321" s="4" t="str">
        <x:v>1. 进入「充值套餐编辑」页
2. 清空限购次数
3. 点击保存</x:v>
      </x:c>
      <x:c r="K321" s="4" t="str">
        <x:v>限购次数校验失败，不能保存</x:v>
      </x:c>
      <x:c r="L321" s="4" t="str"/>
      <x:c r="M321" s="4" t="str">
        <x:v>未测</x:v>
      </x:c>
      <x:c r="N321" s="4" t="str"/>
      <x:c r="O321" s="4" t="str">
        <x:v>1. 来源：MainBasis/统一需求文档.md；A-admin-recharge-package-detail-006、A-admin-recharge-package-005
2. 场景：SC-eae7df7f663785</x:v>
      </x:c>
    </x:row>
    <x:row r="322" ht="68" customHeight="1">
      <x:c r="A322" s="4" t="n">
        <x:v>321</x:v>
      </x:c>
      <x:c r="B322" s="4" t="str">
        <x:v>ADMIN-0321</x:v>
      </x:c>
      <x:c r="C322" s="4" t="str">
        <x:v>M08 礼物、道具、任务、邀请与运营配置</x:v>
      </x:c>
      <x:c r="D322" s="4" t="str">
        <x:v>充值套餐编辑（平台管理员视角）</x:v>
      </x:c>
      <x:c r="E322" s="4" t="str">
        <x:v>逻辑校验</x:v>
      </x:c>
      <x:c r="F322" s="4" t="str">
        <x:v>P1</x:v>
      </x:c>
      <x:c r="G322" s="4" t="str">
        <x:v>验证限购次数-1</x:v>
      </x:c>
      <x:c r="H322" s="4" t="str">
        <x:v>限购次数-1</x:v>
      </x:c>
      <x:c r="I322" s="4" t="str">
        <x:v>1. 已登录平台管理员账号
2. 其他必填字段与配置有效
3. 当前编辑活动套餐</x:v>
      </x:c>
      <x:c r="J322" s="4" t="str">
        <x:v>1. 进入「充值套餐编辑」页
2. 填写限购次数-1
3. 点击保存</x:v>
      </x:c>
      <x:c r="K322" s="4" t="str">
        <x:v>限购次数校验失败，不能保存</x:v>
      </x:c>
      <x:c r="L322" s="4" t="str"/>
      <x:c r="M322" s="4" t="str">
        <x:v>未测</x:v>
      </x:c>
      <x:c r="N322" s="4" t="str"/>
      <x:c r="O322" s="4" t="str">
        <x:v>1. 来源：MainBasis/统一需求文档.md；A-admin-recharge-package-detail-006、A-admin-recharge-package-005
2. 场景：SC-7999a31dfc3fd6</x:v>
      </x:c>
    </x:row>
    <x:row r="323" ht="68" customHeight="1">
      <x:c r="A323" s="4" t="n">
        <x:v>322</x:v>
      </x:c>
      <x:c r="B323" s="4" t="str">
        <x:v>ADMIN-0322</x:v>
      </x:c>
      <x:c r="C323" s="4" t="str">
        <x:v>M08 礼物、道具、任务、邀请与运营配置</x:v>
      </x:c>
      <x:c r="D323" s="4" t="str">
        <x:v>充值套餐编辑（平台管理员视角）</x:v>
      </x:c>
      <x:c r="E323" s="4" t="str">
        <x:v>逻辑校验</x:v>
      </x:c>
      <x:c r="F323" s="4" t="str">
        <x:v>P1</x:v>
      </x:c>
      <x:c r="G323" s="4" t="str">
        <x:v>验证限购次数0</x:v>
      </x:c>
      <x:c r="H323" s="4" t="str">
        <x:v>限购次数0</x:v>
      </x:c>
      <x:c r="I323" s="4" t="str">
        <x:v>1. 已登录平台管理员账号
2. 其他必填字段与配置有效
3. 当前编辑活动套餐</x:v>
      </x:c>
      <x:c r="J323" s="4" t="str">
        <x:v>1. 进入「充值套餐编辑」页
2. 填写限购次数0
3. 点击保存</x:v>
      </x:c>
      <x:c r="K323" s="4" t="str">
        <x:v>限购次数保存为0</x:v>
      </x:c>
      <x:c r="L323" s="4" t="str"/>
      <x:c r="M323" s="4" t="str">
        <x:v>未测</x:v>
      </x:c>
      <x:c r="N323" s="4" t="str"/>
      <x:c r="O323" s="4" t="str">
        <x:v>1. 来源：MainBasis/统一需求文档.md；A-admin-recharge-package-detail-006、A-admin-recharge-package-005
2. 场景：SC-0eca2fc40462e0</x:v>
      </x:c>
    </x:row>
    <x:row r="324" ht="68" customHeight="1">
      <x:c r="A324" s="4" t="n">
        <x:v>323</x:v>
      </x:c>
      <x:c r="B324" s="4" t="str">
        <x:v>ADMIN-0323</x:v>
      </x:c>
      <x:c r="C324" s="4" t="str">
        <x:v>M08 礼物、道具、任务、邀请与运营配置</x:v>
      </x:c>
      <x:c r="D324" s="4" t="str">
        <x:v>充值套餐编辑（平台管理员视角）</x:v>
      </x:c>
      <x:c r="E324" s="4" t="str">
        <x:v>逻辑校验</x:v>
      </x:c>
      <x:c r="F324" s="4" t="str">
        <x:v>P1</x:v>
      </x:c>
      <x:c r="G324" s="4" t="str">
        <x:v>验证限购次数1</x:v>
      </x:c>
      <x:c r="H324" s="4" t="str">
        <x:v>限购次数1</x:v>
      </x:c>
      <x:c r="I324" s="4" t="str">
        <x:v>1. 已登录平台管理员账号
2. 其他必填字段与配置有效
3. 当前编辑活动套餐</x:v>
      </x:c>
      <x:c r="J324" s="4" t="str">
        <x:v>1. 进入「充值套餐编辑」页
2. 填写限购次数1
3. 点击保存</x:v>
      </x:c>
      <x:c r="K324" s="4" t="str">
        <x:v>限购次数保存为1</x:v>
      </x:c>
      <x:c r="L324" s="4" t="str"/>
      <x:c r="M324" s="4" t="str">
        <x:v>未测</x:v>
      </x:c>
      <x:c r="N324" s="4" t="str"/>
      <x:c r="O324" s="4" t="str">
        <x:v>1. 来源：MainBasis/统一需求文档.md；A-admin-recharge-package-detail-006、A-admin-recharge-package-005
2. 场景：SC-9ac4635543515f</x:v>
      </x:c>
    </x:row>
    <x:row r="325" ht="68" customHeight="1">
      <x:c r="A325" s="4" t="n">
        <x:v>324</x:v>
      </x:c>
      <x:c r="B325" s="4" t="str">
        <x:v>ADMIN-0324</x:v>
      </x:c>
      <x:c r="C325" s="4" t="str">
        <x:v>M08 礼物、道具、任务、邀请与运营配置</x:v>
      </x:c>
      <x:c r="D325" s="4" t="str">
        <x:v>充值套餐编辑（平台管理员视角）</x:v>
      </x:c>
      <x:c r="E325" s="4" t="str">
        <x:v>逻辑校验</x:v>
      </x:c>
      <x:c r="F325" s="4" t="str">
        <x:v>P1</x:v>
      </x:c>
      <x:c r="G325" s="4" t="str">
        <x:v>验证限购次数1.5</x:v>
      </x:c>
      <x:c r="H325" s="4" t="str">
        <x:v>限购次数1.5</x:v>
      </x:c>
      <x:c r="I325" s="4" t="str">
        <x:v>1. 已登录平台管理员账号
2. 其他必填字段与配置有效
3. 当前编辑活动套餐</x:v>
      </x:c>
      <x:c r="J325" s="4" t="str">
        <x:v>1. 进入「充值套餐编辑」页
2. 填写限购次数1.5
3. 点击保存</x:v>
      </x:c>
      <x:c r="K325" s="4" t="str">
        <x:v>限购次数校验失败，不能保存</x:v>
      </x:c>
      <x:c r="L325" s="4" t="str"/>
      <x:c r="M325" s="4" t="str">
        <x:v>未测</x:v>
      </x:c>
      <x:c r="N325" s="4" t="str"/>
      <x:c r="O325" s="4" t="str">
        <x:v>1. 来源：MainBasis/统一需求文档.md；A-admin-recharge-package-detail-006、A-admin-recharge-package-005
2. 场景：SC-4515ae363a4d9a</x:v>
      </x:c>
    </x:row>
    <x:row r="326" ht="68" customHeight="1">
      <x:c r="A326" s="4" t="n">
        <x:v>325</x:v>
      </x:c>
      <x:c r="B326" s="4" t="str">
        <x:v>ADMIN-0325</x:v>
      </x:c>
      <x:c r="C326" s="4" t="str">
        <x:v>M08 礼物、道具、任务、邀请与运营配置</x:v>
      </x:c>
      <x:c r="D326" s="4" t="str">
        <x:v>充值套餐编辑（平台管理员视角）</x:v>
      </x:c>
      <x:c r="E326" s="4" t="str">
        <x:v>逻辑校验</x:v>
      </x:c>
      <x:c r="F326" s="4" t="str">
        <x:v>P1</x:v>
      </x:c>
      <x:c r="G326" s="4" t="str">
        <x:v>验证排序空值</x:v>
      </x:c>
      <x:c r="H326" s="4" t="str">
        <x:v>排序空值</x:v>
      </x:c>
      <x:c r="I326" s="4" t="str">
        <x:v>1. 已登录平台管理员账号
2. 其他必填字段与配置有效
3. 当前编辑活动套餐</x:v>
      </x:c>
      <x:c r="J326" s="4" t="str">
        <x:v>1. 进入「充值套餐编辑」页
2. 清空排序
3. 点击保存</x:v>
      </x:c>
      <x:c r="K326" s="4" t="str">
        <x:v>排序校验失败，不能保存</x:v>
      </x:c>
      <x:c r="L326" s="4" t="str"/>
      <x:c r="M326" s="4" t="str">
        <x:v>未测</x:v>
      </x:c>
      <x:c r="N326" s="4" t="str"/>
      <x:c r="O326" s="4" t="str">
        <x:v>1. 来源：MainBasis/统一需求文档.md；A-admin-recharge-package-detail-008
2. 场景：SC-6c6368bcb0d2ae</x:v>
      </x:c>
    </x:row>
    <x:row r="327" ht="68" customHeight="1">
      <x:c r="A327" s="4" t="n">
        <x:v>326</x:v>
      </x:c>
      <x:c r="B327" s="4" t="str">
        <x:v>ADMIN-0326</x:v>
      </x:c>
      <x:c r="C327" s="4" t="str">
        <x:v>M08 礼物、道具、任务、邀请与运营配置</x:v>
      </x:c>
      <x:c r="D327" s="4" t="str">
        <x:v>充值套餐编辑（平台管理员视角）</x:v>
      </x:c>
      <x:c r="E327" s="4" t="str">
        <x:v>逻辑校验</x:v>
      </x:c>
      <x:c r="F327" s="4" t="str">
        <x:v>P1</x:v>
      </x:c>
      <x:c r="G327" s="4" t="str">
        <x:v>验证排序-1</x:v>
      </x:c>
      <x:c r="H327" s="4" t="str">
        <x:v>排序-1</x:v>
      </x:c>
      <x:c r="I327" s="4" t="str">
        <x:v>1. 已登录平台管理员账号
2. 其他必填字段与配置有效
3. 当前编辑活动套餐</x:v>
      </x:c>
      <x:c r="J327" s="4" t="str">
        <x:v>1. 进入「充值套餐编辑」页
2. 填写排序-1
3. 点击保存</x:v>
      </x:c>
      <x:c r="K327" s="4" t="str">
        <x:v>排序保存为-1</x:v>
      </x:c>
      <x:c r="L327" s="4" t="str"/>
      <x:c r="M327" s="4" t="str">
        <x:v>未测</x:v>
      </x:c>
      <x:c r="N327" s="4" t="str"/>
      <x:c r="O327" s="4" t="str">
        <x:v>1. 来源：MainBasis/统一需求文档.md；A-admin-recharge-package-detail-008
2. 场景：SC-802544bbd6778f</x:v>
      </x:c>
    </x:row>
    <x:row r="328" ht="68" customHeight="1">
      <x:c r="A328" s="4" t="n">
        <x:v>327</x:v>
      </x:c>
      <x:c r="B328" s="4" t="str">
        <x:v>ADMIN-0327</x:v>
      </x:c>
      <x:c r="C328" s="4" t="str">
        <x:v>M08 礼物、道具、任务、邀请与运营配置</x:v>
      </x:c>
      <x:c r="D328" s="4" t="str">
        <x:v>充值套餐编辑（平台管理员视角）</x:v>
      </x:c>
      <x:c r="E328" s="4" t="str">
        <x:v>逻辑校验</x:v>
      </x:c>
      <x:c r="F328" s="4" t="str">
        <x:v>P1</x:v>
      </x:c>
      <x:c r="G328" s="4" t="str">
        <x:v>验证排序0</x:v>
      </x:c>
      <x:c r="H328" s="4" t="str">
        <x:v>排序0</x:v>
      </x:c>
      <x:c r="I328" s="4" t="str">
        <x:v>1. 已登录平台管理员账号
2. 其他必填字段与配置有效
3. 当前编辑活动套餐</x:v>
      </x:c>
      <x:c r="J328" s="4" t="str">
        <x:v>1. 进入「充值套餐编辑」页
2. 填写排序0
3. 点击保存</x:v>
      </x:c>
      <x:c r="K328" s="4" t="str">
        <x:v>排序保存为0</x:v>
      </x:c>
      <x:c r="L328" s="4" t="str"/>
      <x:c r="M328" s="4" t="str">
        <x:v>未测</x:v>
      </x:c>
      <x:c r="N328" s="4" t="str"/>
      <x:c r="O328" s="4" t="str">
        <x:v>1. 来源：MainBasis/统一需求文档.md；A-admin-recharge-package-detail-008
2. 场景：SC-6b8a8a34d27b6f</x:v>
      </x:c>
    </x:row>
    <x:row r="329" ht="68" customHeight="1">
      <x:c r="A329" s="4" t="n">
        <x:v>328</x:v>
      </x:c>
      <x:c r="B329" s="4" t="str">
        <x:v>ADMIN-0328</x:v>
      </x:c>
      <x:c r="C329" s="4" t="str">
        <x:v>M08 礼物、道具、任务、邀请与运营配置</x:v>
      </x:c>
      <x:c r="D329" s="4" t="str">
        <x:v>充值套餐编辑（平台管理员视角）</x:v>
      </x:c>
      <x:c r="E329" s="4" t="str">
        <x:v>逻辑校验</x:v>
      </x:c>
      <x:c r="F329" s="4" t="str">
        <x:v>P1</x:v>
      </x:c>
      <x:c r="G329" s="4" t="str">
        <x:v>验证排序1</x:v>
      </x:c>
      <x:c r="H329" s="4" t="str">
        <x:v>排序1</x:v>
      </x:c>
      <x:c r="I329" s="4" t="str">
        <x:v>1. 已登录平台管理员账号
2. 其他必填字段与配置有效
3. 当前编辑活动套餐</x:v>
      </x:c>
      <x:c r="J329" s="4" t="str">
        <x:v>1. 进入「充值套餐编辑」页
2. 填写排序1
3. 点击保存</x:v>
      </x:c>
      <x:c r="K329" s="4" t="str">
        <x:v>排序保存为1</x:v>
      </x:c>
      <x:c r="L329" s="4" t="str"/>
      <x:c r="M329" s="4" t="str">
        <x:v>未测</x:v>
      </x:c>
      <x:c r="N329" s="4" t="str"/>
      <x:c r="O329" s="4" t="str">
        <x:v>1. 来源：MainBasis/统一需求文档.md；A-admin-recharge-package-detail-008
2. 场景：SC-08cb2b10450802</x:v>
      </x:c>
    </x:row>
    <x:row r="330" ht="68" customHeight="1">
      <x:c r="A330" s="4" t="n">
        <x:v>329</x:v>
      </x:c>
      <x:c r="B330" s="4" t="str">
        <x:v>ADMIN-0329</x:v>
      </x:c>
      <x:c r="C330" s="4" t="str">
        <x:v>M08 礼物、道具、任务、邀请与运营配置</x:v>
      </x:c>
      <x:c r="D330" s="4" t="str">
        <x:v>充值套餐编辑（平台管理员视角）</x:v>
      </x:c>
      <x:c r="E330" s="4" t="str">
        <x:v>逻辑校验</x:v>
      </x:c>
      <x:c r="F330" s="4" t="str">
        <x:v>P1</x:v>
      </x:c>
      <x:c r="G330" s="4" t="str">
        <x:v>验证排序1.5</x:v>
      </x:c>
      <x:c r="H330" s="4" t="str">
        <x:v>排序1.5</x:v>
      </x:c>
      <x:c r="I330" s="4" t="str">
        <x:v>1. 已登录平台管理员账号
2. 其他必填字段与配置有效
3. 当前编辑活动套餐</x:v>
      </x:c>
      <x:c r="J330" s="4" t="str">
        <x:v>1. 进入「充值套餐编辑」页
2. 填写排序1.5
3. 点击保存</x:v>
      </x:c>
      <x:c r="K330" s="4" t="str">
        <x:v>排序校验失败，不能保存</x:v>
      </x:c>
      <x:c r="L330" s="4" t="str"/>
      <x:c r="M330" s="4" t="str">
        <x:v>未测</x:v>
      </x:c>
      <x:c r="N330" s="4" t="str"/>
      <x:c r="O330" s="4" t="str">
        <x:v>1. 来源：MainBasis/统一需求文档.md；A-admin-recharge-package-detail-008
2. 场景：SC-f2db0436dd7a8d</x:v>
      </x:c>
    </x:row>
    <x:row r="331" ht="68" customHeight="1">
      <x:c r="A331" s="4" t="n">
        <x:v>330</x:v>
      </x:c>
      <x:c r="B331" s="4" t="str">
        <x:v>ADMIN-0330</x:v>
      </x:c>
      <x:c r="C331" s="4" t="str">
        <x:v>M08 礼物、道具、任务、邀请与运营配置</x:v>
      </x:c>
      <x:c r="D331" s="4" t="str">
        <x:v>充值套餐编辑（平台管理员视角）</x:v>
      </x:c>
      <x:c r="E331" s="4" t="str">
        <x:v>异常用例</x:v>
      </x:c>
      <x:c r="F331" s="4" t="str">
        <x:v>P1</x:v>
      </x:c>
      <x:c r="G331" s="4" t="str">
        <x:v>验证类型缺失限制</x:v>
      </x:c>
      <x:c r="H331" s="4" t="str">
        <x:v>类型缺失限制</x:v>
      </x:c>
      <x:c r="I331" s="4" t="str">
        <x:v>1. 已登录平台管理员账号
2. 其他必填字段为合法值</x:v>
      </x:c>
      <x:c r="J331" s="4" t="str">
        <x:v>1. 进入「充值套餐编辑」页
2. 清空「类型」
3. 点击「保存」</x:v>
      </x:c>
      <x:c r="K331" s="4" t="str">
        <x:v>类型未填写，无法保存</x:v>
      </x:c>
      <x:c r="L331" s="4" t="str"/>
      <x:c r="M331" s="4" t="str">
        <x:v>未测</x:v>
      </x:c>
      <x:c r="N331" s="4" t="str"/>
      <x:c r="O331" s="4" t="str">
        <x:v>1. 来源：MainBasis/统一需求文档.md；A-admin-recharge-package-detail-003
2. 场景：SC-5a9e81a89cf4a1</x:v>
      </x:c>
    </x:row>
    <x:row r="332" ht="68" customHeight="1">
      <x:c r="A332" s="4" t="n">
        <x:v>331</x:v>
      </x:c>
      <x:c r="B332" s="4" t="str">
        <x:v>ADMIN-0331</x:v>
      </x:c>
      <x:c r="C332" s="4" t="str">
        <x:v>M08 礼物、道具、任务、邀请与运营配置</x:v>
      </x:c>
      <x:c r="D332" s="4" t="str">
        <x:v>充值套餐编辑（平台管理员视角）</x:v>
      </x:c>
      <x:c r="E332" s="4" t="str">
        <x:v>异常用例</x:v>
      </x:c>
      <x:c r="F332" s="4" t="str">
        <x:v>P1</x:v>
      </x:c>
      <x:c r="G332" s="4" t="str">
        <x:v>验证封面缺失限制</x:v>
      </x:c>
      <x:c r="H332" s="4" t="str">
        <x:v>封面缺失限制</x:v>
      </x:c>
      <x:c r="I332" s="4" t="str">
        <x:v>1. 已登录平台管理员账号
2. 其他必填字段为合法值</x:v>
      </x:c>
      <x:c r="J332" s="4" t="str">
        <x:v>1. 进入「充值套餐编辑」页
2. 清空「封面」
3. 点击「保存」</x:v>
      </x:c>
      <x:c r="K332" s="4" t="str">
        <x:v>封面未填写，无法保存</x:v>
      </x:c>
      <x:c r="L332" s="4" t="str"/>
      <x:c r="M332" s="4" t="str">
        <x:v>未测</x:v>
      </x:c>
      <x:c r="N332" s="4" t="str"/>
      <x:c r="O332" s="4" t="str">
        <x:v>1. 来源：MainBasis/统一需求文档.md；A-admin-recharge-package-detail-003
2. 场景：SC-9960ee046d9fe4</x:v>
      </x:c>
    </x:row>
    <x:row r="333" ht="68" customHeight="1">
      <x:c r="A333" s="4" t="n">
        <x:v>332</x:v>
      </x:c>
      <x:c r="B333" s="4" t="str">
        <x:v>ADMIN-0332</x:v>
      </x:c>
      <x:c r="C333" s="4" t="str">
        <x:v>M08 礼物、道具、任务、邀请与运营配置</x:v>
      </x:c>
      <x:c r="D333" s="4" t="str">
        <x:v>充值套餐编辑（平台管理员视角）</x:v>
      </x:c>
      <x:c r="E333" s="4" t="str">
        <x:v>功能需求</x:v>
      </x:c>
      <x:c r="F333" s="4" t="str">
        <x:v>P1</x:v>
      </x:c>
      <x:c r="G333" s="4" t="str">
        <x:v>验证套餐编辑ID只读</x:v>
      </x:c>
      <x:c r="H333" s="4" t="str">
        <x:v>套餐编辑ID只读</x:v>
      </x:c>
      <x:c r="I333" s="4" t="str">
        <x:v>1. 已登录平台管理员账号
2. 当前编辑已创建套餐</x:v>
      </x:c>
      <x:c r="J333" s="4" t="str">
        <x:v>1. 进入「充值套餐编辑」页
2. 查看套餐编辑ID只读</x:v>
      </x:c>
      <x:c r="K333" s="4" t="str">
        <x:v>套餐ID不可修改</x:v>
      </x:c>
      <x:c r="L333" s="4" t="str"/>
      <x:c r="M333" s="4" t="str">
        <x:v>未测</x:v>
      </x:c>
      <x:c r="N333" s="4" t="str"/>
      <x:c r="O333" s="4" t="str">
        <x:v>1. 来源：MainBasis/统一需求文档.md；A-admin-recharge-package-detail-002
2. 场景：SC-b4f3f8ff81d080</x:v>
      </x:c>
    </x:row>
    <x:row r="334" ht="68" customHeight="1">
      <x:c r="A334" s="4" t="n">
        <x:v>333</x:v>
      </x:c>
      <x:c r="B334" s="4" t="str">
        <x:v>ADMIN-0333</x:v>
      </x:c>
      <x:c r="C334" s="4" t="str">
        <x:v>M08 礼物、道具、任务、邀请与运营配置</x:v>
      </x:c>
      <x:c r="D334" s="4" t="str">
        <x:v>充值套餐编辑（平台管理员视角）</x:v>
      </x:c>
      <x:c r="E334" s="4" t="str">
        <x:v>异常用例</x:v>
      </x:c>
      <x:c r="F334" s="4" t="str">
        <x:v>P1</x:v>
      </x:c>
      <x:c r="G334" s="4" t="str">
        <x:v>验证套餐新建ID重复</x:v>
      </x:c>
      <x:c r="H334" s="4" t="str">
        <x:v>套餐新建ID重复</x:v>
      </x:c>
      <x:c r="I334" s="4" t="str">
        <x:v>1. 已登录平台管理员账号
2. 系统已有目标套餐ID</x:v>
      </x:c>
      <x:c r="J334" s="4" t="str">
        <x:v>1. 进入「充值套餐编辑」页
2. 新建时填写已存在ID
3. 保存</x:v>
      </x:c>
      <x:c r="K334" s="4" t="str">
        <x:v>不能创建重复ID套餐</x:v>
      </x:c>
      <x:c r="L334" s="4" t="str"/>
      <x:c r="M334" s="4" t="str">
        <x:v>未测</x:v>
      </x:c>
      <x:c r="N334" s="4" t="str"/>
      <x:c r="O334" s="4" t="str">
        <x:v>1. 来源：MainBasis/统一需求文档.md；A-admin-recharge-package-detail-002
2. 场景：SC-8affb3f584821a</x:v>
      </x:c>
    </x:row>
    <x:row r="335" ht="68" customHeight="1">
      <x:c r="A335" s="4" t="n">
        <x:v>334</x:v>
      </x:c>
      <x:c r="B335" s="4" t="str">
        <x:v>ADMIN-0334</x:v>
      </x:c>
      <x:c r="C335" s="4" t="str">
        <x:v>M08 礼物、道具、任务、邀请与运营配置</x:v>
      </x:c>
      <x:c r="D335" s="4" t="str">
        <x:v>充值套餐编辑（平台管理员视角）</x:v>
      </x:c>
      <x:c r="E335" s="4" t="str">
        <x:v>逻辑校验</x:v>
      </x:c>
      <x:c r="F335" s="4" t="str">
        <x:v>P1</x:v>
      </x:c>
      <x:c r="G335" s="4" t="str">
        <x:v>验证活动套餐结束早于开始</x:v>
      </x:c>
      <x:c r="H335" s="4" t="str">
        <x:v>活动套餐结束早于开始</x:v>
      </x:c>
      <x:c r="I335" s="4" t="str">
        <x:v>1. 已登录平台管理员账号
2. 其他字段合法，开始时间为明日10:00</x:v>
      </x:c>
      <x:c r="J335" s="4" t="str">
        <x:v>1. 进入「充值套餐编辑」页
2. 设置结束时间为明日09:59
3. 保存</x:v>
      </x:c>
      <x:c r="K335" s="4" t="str">
        <x:v>活动套餐时间范围不能保存</x:v>
      </x:c>
      <x:c r="L335" s="4" t="str"/>
      <x:c r="M335" s="4" t="str">
        <x:v>未测</x:v>
      </x:c>
      <x:c r="N335" s="4" t="str"/>
      <x:c r="O335" s="4" t="str">
        <x:v>1. 来源：MainBasis/统一需求文档.md；A-admin-recharge-package-detail-007
2. 场景：SC-eb1e665331680b</x:v>
      </x:c>
    </x:row>
    <x:row r="336" ht="68" customHeight="1">
      <x:c r="A336" s="4" t="n">
        <x:v>335</x:v>
      </x:c>
      <x:c r="B336" s="4" t="str">
        <x:v>ADMIN-0335</x:v>
      </x:c>
      <x:c r="C336" s="4" t="str">
        <x:v>M08 礼物、道具、任务、邀请与运营配置</x:v>
      </x:c>
      <x:c r="D336" s="4" t="str">
        <x:v>充值套餐编辑（平台管理员视角）</x:v>
      </x:c>
      <x:c r="E336" s="4" t="str">
        <x:v>逻辑校验</x:v>
      </x:c>
      <x:c r="F336" s="4" t="str">
        <x:v>P1</x:v>
      </x:c>
      <x:c r="G336" s="4" t="str">
        <x:v>验证活动套餐结束等于开始</x:v>
      </x:c>
      <x:c r="H336" s="4" t="str">
        <x:v>活动套餐结束等于开始</x:v>
      </x:c>
      <x:c r="I336" s="4" t="str">
        <x:v>1. 已登录平台管理员账号
2. 其他字段合法，开始时间为明日10:00</x:v>
      </x:c>
      <x:c r="J336" s="4" t="str">
        <x:v>1. 进入「充值套餐编辑」页
2. 设置结束时间为明日10:00
3. 保存</x:v>
      </x:c>
      <x:c r="K336" s="4" t="str">
        <x:v>活动套餐时间范围不能保存</x:v>
      </x:c>
      <x:c r="L336" s="4" t="str"/>
      <x:c r="M336" s="4" t="str">
        <x:v>未测</x:v>
      </x:c>
      <x:c r="N336" s="4" t="str"/>
      <x:c r="O336" s="4" t="str">
        <x:v>1. 来源：MainBasis/统一需求文档.md；A-admin-recharge-package-detail-007
2. 场景：SC-d56691ec89a87e</x:v>
      </x:c>
    </x:row>
    <x:row r="337" ht="68" customHeight="1">
      <x:c r="A337" s="4" t="n">
        <x:v>336</x:v>
      </x:c>
      <x:c r="B337" s="4" t="str">
        <x:v>ADMIN-0336</x:v>
      </x:c>
      <x:c r="C337" s="4" t="str">
        <x:v>M08 礼物、道具、任务、邀请与运营配置</x:v>
      </x:c>
      <x:c r="D337" s="4" t="str">
        <x:v>充值套餐编辑（平台管理员视角）</x:v>
      </x:c>
      <x:c r="E337" s="4" t="str">
        <x:v>逻辑校验</x:v>
      </x:c>
      <x:c r="F337" s="4" t="str">
        <x:v>P1</x:v>
      </x:c>
      <x:c r="G337" s="4" t="str">
        <x:v>验证活动套餐结束晚于开始</x:v>
      </x:c>
      <x:c r="H337" s="4" t="str">
        <x:v>活动套餐结束晚于开始</x:v>
      </x:c>
      <x:c r="I337" s="4" t="str">
        <x:v>1. 已登录平台管理员账号
2. 其他字段合法，开始时间为明日10:00</x:v>
      </x:c>
      <x:c r="J337" s="4" t="str">
        <x:v>1. 进入「充值套餐编辑」页
2. 设置结束时间为明日10:01
3. 保存</x:v>
      </x:c>
      <x:c r="K337" s="4" t="str">
        <x:v>活动套餐时间范围可保存</x:v>
      </x:c>
      <x:c r="L337" s="4" t="str"/>
      <x:c r="M337" s="4" t="str">
        <x:v>未测</x:v>
      </x:c>
      <x:c r="N337" s="4" t="str"/>
      <x:c r="O337" s="4" t="str">
        <x:v>1. 来源：MainBasis/统一需求文档.md；A-admin-recharge-package-detail-007
2. 场景：SC-9c6da0a5a2b9c4</x:v>
      </x:c>
    </x:row>
    <x:row r="338" ht="68" customHeight="1">
      <x:c r="A338" s="4" t="n">
        <x:v>337</x:v>
      </x:c>
      <x:c r="B338" s="4" t="str">
        <x:v>ADMIN-0337</x:v>
      </x:c>
      <x:c r="C338" s="4" t="str">
        <x:v>M08 礼物、道具、任务、邀请与运营配置</x:v>
      </x:c>
      <x:c r="D338" s="4" t="str">
        <x:v>充值套餐编辑（平台管理员视角）</x:v>
      </x:c>
      <x:c r="E338" s="4" t="str">
        <x:v>功能需求</x:v>
      </x:c>
      <x:c r="F338" s="4" t="str">
        <x:v>P1</x:v>
      </x:c>
      <x:c r="G338" s="4" t="str">
        <x:v>验证活动套餐限购0</x:v>
      </x:c>
      <x:c r="H338" s="4" t="str">
        <x:v>活动套餐限购0</x:v>
      </x:c>
      <x:c r="I338" s="4" t="str">
        <x:v>1. 已登录平台管理员账号
2. 活动有效且用户已有一笔支付成功订单
3. 限购次数配置0</x:v>
      </x:c>
      <x:c r="J338" s="4" t="str">
        <x:v>1. 进入「充值套餐编辑」页
2. 查看活动套餐限购0</x:v>
      </x:c>
      <x:c r="K338" s="4" t="str">
        <x:v>用户仍可购买</x:v>
      </x:c>
      <x:c r="L338" s="4" t="str"/>
      <x:c r="M338" s="4" t="str">
        <x:v>未测</x:v>
      </x:c>
      <x:c r="N338" s="4" t="str"/>
      <x:c r="O338" s="4" t="str">
        <x:v>1. 来源：MainBasis/统一需求文档.md；A-admin-recharge-package-detail-006、A-admin-recharge-package-005
2. 场景：SC-6dadd312f90307</x:v>
      </x:c>
    </x:row>
    <x:row r="339" ht="68" customHeight="1">
      <x:c r="A339" s="4" t="n">
        <x:v>338</x:v>
      </x:c>
      <x:c r="B339" s="4" t="str">
        <x:v>ADMIN-0338</x:v>
      </x:c>
      <x:c r="C339" s="4" t="str">
        <x:v>M08 礼物、道具、任务、邀请与运营配置</x:v>
      </x:c>
      <x:c r="D339" s="4" t="str">
        <x:v>充值套餐编辑（平台管理员视角）</x:v>
      </x:c>
      <x:c r="E339" s="4" t="str">
        <x:v>功能需求</x:v>
      </x:c>
      <x:c r="F339" s="4" t="str">
        <x:v>P1</x:v>
      </x:c>
      <x:c r="G339" s="4" t="str">
        <x:v>验证活动套餐限购1</x:v>
      </x:c>
      <x:c r="H339" s="4" t="str">
        <x:v>活动套餐限购1</x:v>
      </x:c>
      <x:c r="I339" s="4" t="str">
        <x:v>1. 已登录平台管理员账号
2. 活动有效且用户已有一笔支付成功订单
3. 限购次数配置1</x:v>
      </x:c>
      <x:c r="J339" s="4" t="str">
        <x:v>1. 进入「充值套餐编辑」页
2. 查看活动套餐限购1</x:v>
      </x:c>
      <x:c r="K339" s="4" t="str">
        <x:v>用户已用完限购次数</x:v>
      </x:c>
      <x:c r="L339" s="4" t="str"/>
      <x:c r="M339" s="4" t="str">
        <x:v>未测</x:v>
      </x:c>
      <x:c r="N339" s="4" t="str"/>
      <x:c r="O339" s="4" t="str">
        <x:v>1. 来源：MainBasis/统一需求文档.md；A-admin-recharge-package-detail-006、A-admin-recharge-package-005
2. 场景：SC-f70aacb946a1aa</x:v>
      </x:c>
    </x:row>
    <x:row r="340" ht="68" customHeight="1">
      <x:c r="A340" s="4" t="n">
        <x:v>339</x:v>
      </x:c>
      <x:c r="B340" s="4" t="str">
        <x:v>ADMIN-0339</x:v>
      </x:c>
      <x:c r="C340" s="4" t="str">
        <x:v>M08 礼物、道具、任务、邀请与运营配置</x:v>
      </x:c>
      <x:c r="D340" s="4" t="str">
        <x:v>充值套餐编辑（平台管理员视角）</x:v>
      </x:c>
      <x:c r="E340" s="4" t="str">
        <x:v>功能需求</x:v>
      </x:c>
      <x:c r="F340" s="4" t="str">
        <x:v>P1</x:v>
      </x:c>
      <x:c r="G340" s="4" t="str">
        <x:v>验证整单退款不恢复活动限购</x:v>
      </x:c>
      <x:c r="H340" s="4" t="str">
        <x:v>整单退款不恢复活动限购</x:v>
      </x:c>
      <x:c r="I340" s="4" t="str">
        <x:v>1. 已登录平台管理员账号
2. 限购1次已支付成功，订单后来全额退款</x:v>
      </x:c>
      <x:c r="J340" s="4" t="str">
        <x:v>1. 进入「充值套餐编辑」页
2. 查看整单退款不恢复活动限购</x:v>
      </x:c>
      <x:c r="K340" s="4" t="str">
        <x:v>限购次数仍被占用，不能再次购买</x:v>
      </x:c>
      <x:c r="L340" s="4" t="str"/>
      <x:c r="M340" s="4" t="str">
        <x:v>未测</x:v>
      </x:c>
      <x:c r="N340" s="4" t="str"/>
      <x:c r="O340" s="4" t="str">
        <x:v>1. 来源：MainBasis/统一需求文档.md；A-admin-recharge-package-detail-009
2. 场景：SC-6095e017fdc8a9</x:v>
      </x:c>
    </x:row>
    <x:row r="341" ht="68" customHeight="1">
      <x:c r="A341" s="4" t="n">
        <x:v>340</x:v>
      </x:c>
      <x:c r="B341" s="4" t="str">
        <x:v>ADMIN-0340</x:v>
      </x:c>
      <x:c r="C341" s="4" t="str">
        <x:v>M08 礼物、道具、任务、邀请与运营配置</x:v>
      </x:c>
      <x:c r="D341" s="4" t="str">
        <x:v>充值套餐编辑（平台管理员视角）</x:v>
      </x:c>
      <x:c r="E341" s="4" t="str">
        <x:v>功能需求</x:v>
      </x:c>
      <x:c r="F341" s="4" t="str">
        <x:v>P1</x:v>
      </x:c>
      <x:c r="G341" s="4" t="str">
        <x:v>验证切活动增加必填条件</x:v>
      </x:c>
      <x:c r="H341" s="4" t="str">
        <x:v>切活动增加必填条件</x:v>
      </x:c>
      <x:c r="I341" s="4" t="str">
        <x:v>1. 已登录平台管理员账号
2. 原常规套餐资料合法</x:v>
      </x:c>
      <x:c r="J341" s="4" t="str">
        <x:v>1. 进入「充值套餐编辑」页
2. 切换为活动套餐</x:v>
      </x:c>
      <x:c r="K341" s="4" t="str">
        <x:v>显示限购和有效时间且要求填写</x:v>
      </x:c>
      <x:c r="L341" s="4" t="str"/>
      <x:c r="M341" s="4" t="str">
        <x:v>未测</x:v>
      </x:c>
      <x:c r="N341" s="4" t="str"/>
      <x:c r="O341" s="4" t="str">
        <x:v>1. 来源：MainBasis/统一需求文档.md；A-admin-recharge-package-detail-010
2. 场景：SC-c03fa949abf9a0</x:v>
      </x:c>
    </x:row>
    <x:row r="342" ht="68" customHeight="1">
      <x:c r="A342" s="4" t="n">
        <x:v>341</x:v>
      </x:c>
      <x:c r="B342" s="4" t="str">
        <x:v>ADMIN-0341</x:v>
      </x:c>
      <x:c r="C342" s="4" t="str">
        <x:v>M08 礼物、道具、任务、邀请与运营配置</x:v>
      </x:c>
      <x:c r="D342" s="4" t="str">
        <x:v>任务配置-20（平台管理员视角）</x:v>
      </x:c>
      <x:c r="E342" s="4" t="str">
        <x:v>功能需求</x:v>
      </x:c>
      <x:c r="F342" s="4" t="str">
        <x:v>P2</x:v>
      </x:c>
      <x:c r="G342" s="4" t="str">
        <x:v>验证用户动作回显</x:v>
      </x:c>
      <x:c r="H342" s="4" t="str">
        <x:v>用户动作回显</x:v>
      </x:c>
      <x:c r="I342" s="4" t="str">
        <x:v>1. 已登录平台管理员账号
2. 所选对象存在，已记录该对象的用户动作值</x:v>
      </x:c>
      <x:c r="J342" s="4" t="str">
        <x:v>1. 进入「任务配置-20」页
2. 查看用户动作回显</x:v>
      </x:c>
      <x:c r="K342" s="4" t="str">
        <x:v>「用户动作」内容与所选对象的该项资料一致</x:v>
      </x:c>
      <x:c r="L342" s="4" t="str"/>
      <x:c r="M342" s="4" t="str">
        <x:v>未测</x:v>
      </x:c>
      <x:c r="N342" s="4" t="str"/>
      <x:c r="O342" s="4" t="str">
        <x:v>1. 来源：MainBasis/统一需求文档.md；A-admin-task-config-003
2. 场景：SC-7fbb8061dadc22</x:v>
      </x:c>
    </x:row>
    <x:row r="343" ht="68" customHeight="1">
      <x:c r="A343" s="4" t="n">
        <x:v>342</x:v>
      </x:c>
      <x:c r="B343" s="4" t="str">
        <x:v>ADMIN-0342</x:v>
      </x:c>
      <x:c r="C343" s="4" t="str">
        <x:v>M08 礼物、道具、任务、邀请与运营配置</x:v>
      </x:c>
      <x:c r="D343" s="4" t="str">
        <x:v>任务配置-20（平台管理员视角）</x:v>
      </x:c>
      <x:c r="E343" s="4" t="str">
        <x:v>功能需求</x:v>
      </x:c>
      <x:c r="F343" s="4" t="str">
        <x:v>P1</x:v>
      </x:c>
      <x:c r="G343" s="4" t="str">
        <x:v>验证停用任务不回收已领奖励</x:v>
      </x:c>
      <x:c r="H343" s="4" t="str">
        <x:v>停用任务不回收已领奖励</x:v>
      </x:c>
      <x:c r="I343" s="4" t="str">
        <x:v>1. 已登录平台管理员账号
2. 用户已领取奖励，原余额已记录</x:v>
      </x:c>
      <x:c r="J343" s="4" t="str">
        <x:v>1. 进入「任务配置-20」页
2. 停用该任务
3. 确认</x:v>
      </x:c>
      <x:c r="K343" s="4" t="str">
        <x:v>已发奖励保留，后续不产生新进度</x:v>
      </x:c>
      <x:c r="L343" s="4" t="str"/>
      <x:c r="M343" s="4" t="str">
        <x:v>未测</x:v>
      </x:c>
      <x:c r="N343" s="4" t="str"/>
      <x:c r="O343" s="4" t="str">
        <x:v>1. 来源：MainBasis/统一需求文档.md；A-admin-task-config-007、A-admin-task-config-005
2. 场景：SC-42688323348f90</x:v>
      </x:c>
    </x:row>
    <x:row r="344" ht="68" customHeight="1">
      <x:c r="A344" s="4" t="n">
        <x:v>343</x:v>
      </x:c>
      <x:c r="B344" s="4" t="str">
        <x:v>ADMIN-0343</x:v>
      </x:c>
      <x:c r="C344" s="4" t="str">
        <x:v>M08 礼物、道具、任务、邀请与运营配置</x:v>
      </x:c>
      <x:c r="D344" s="4" t="str">
        <x:v>任务配置-20（平台管理员视角）</x:v>
      </x:c>
      <x:c r="E344" s="4" t="str">
        <x:v>功能需求</x:v>
      </x:c>
      <x:c r="F344" s="4" t="str">
        <x:v>P1</x:v>
      </x:c>
      <x:c r="G344" s="4" t="str">
        <x:v>验证任务仅有效期内生效</x:v>
      </x:c>
      <x:c r="H344" s="4" t="str">
        <x:v>任务仅有效期内生效</x:v>
      </x:c>
      <x:c r="I344" s="4" t="str">
        <x:v>1. 已登录平台管理员账号
2. 任务启用但当前时间在起止范围外</x:v>
      </x:c>
      <x:c r="J344" s="4" t="str">
        <x:v>1. 进入「任务配置-20」页
2. 查看任务仅有效期内生效</x:v>
      </x:c>
      <x:c r="K344" s="4" t="str">
        <x:v>不产生该任务新进度</x:v>
      </x:c>
      <x:c r="L344" s="4" t="str"/>
      <x:c r="M344" s="4" t="str">
        <x:v>未测</x:v>
      </x:c>
      <x:c r="N344" s="4" t="str"/>
      <x:c r="O344" s="4" t="str">
        <x:v>1. 来源：MainBasis/统一需求文档.md；A-admin-task-config-004
2. 场景：SC-3005489b1f463d</x:v>
      </x:c>
    </x:row>
    <x:row r="345" ht="68" customHeight="1">
      <x:c r="A345" s="4" t="n">
        <x:v>344</x:v>
      </x:c>
      <x:c r="B345" s="4" t="str">
        <x:v>ADMIN-0344</x:v>
      </x:c>
      <x:c r="C345" s="4" t="str">
        <x:v>M08 礼物、道具、任务、邀请与运营配置</x:v>
      </x:c>
      <x:c r="D345" s="4" t="str">
        <x:v>任务配置-20（平台管理员视角）</x:v>
      </x:c>
      <x:c r="E345" s="4" t="str">
        <x:v>功能需求</x:v>
      </x:c>
      <x:c r="F345" s="4" t="str">
        <x:v>P1</x:v>
      </x:c>
      <x:c r="G345" s="4" t="str">
        <x:v>验证任务标识唯一</x:v>
      </x:c>
      <x:c r="H345" s="4" t="str">
        <x:v>任务标识唯一</x:v>
      </x:c>
      <x:c r="I345" s="4" t="str">
        <x:v>1. 已登录平台管理员账号
2. 存在两条不同任务，已记录两条任务名称</x:v>
      </x:c>
      <x:c r="J345" s="4" t="str">
        <x:v>1. 进入「任务配置-20」页
2. 查看任务标识唯一</x:v>
      </x:c>
      <x:c r="K345" s="4" t="str">
        <x:v>两条任务ID非空且互不相同</x:v>
      </x:c>
      <x:c r="L345" s="4" t="str"/>
      <x:c r="M345" s="4" t="str">
        <x:v>未测</x:v>
      </x:c>
      <x:c r="N345" s="4" t="str"/>
      <x:c r="O345" s="4" t="str">
        <x:v>1. 来源：MainBasis/统一需求文档.md；A-admin-task-config-002
2. 场景：SC-ddc60c7937c7fc</x:v>
      </x:c>
    </x:row>
    <x:row r="346" ht="68" customHeight="1">
      <x:c r="A346" s="4" t="n">
        <x:v>345</x:v>
      </x:c>
      <x:c r="B346" s="4" t="str">
        <x:v>ADMIN-0345</x:v>
      </x:c>
      <x:c r="C346" s="4" t="str">
        <x:v>M08 礼物、道具、任务、邀请与运营配置</x:v>
      </x:c>
      <x:c r="D346" s="4" t="str">
        <x:v>任务编辑（平台管理员视角）</x:v>
      </x:c>
      <x:c r="E346" s="4" t="str">
        <x:v>功能需求</x:v>
      </x:c>
      <x:c r="F346" s="4" t="str">
        <x:v>P2</x:v>
      </x:c>
      <x:c r="G346" s="4" t="str">
        <x:v>验证用户动作、指标回显</x:v>
      </x:c>
      <x:c r="H346" s="4" t="str">
        <x:v>用户动作、指标回显</x:v>
      </x:c>
      <x:c r="I346" s="4" t="str">
        <x:v>1. 已登录平台管理员账号
2. 所选对象存在，已记录该对象的用户动作 / 指标值</x:v>
      </x:c>
      <x:c r="J346" s="4" t="str">
        <x:v>1. 进入「任务编辑」页
2. 查看用户动作、指标回显</x:v>
      </x:c>
      <x:c r="K346" s="4" t="str">
        <x:v>「用户动作 / 指标」内容与所选对象的该项资料一致</x:v>
      </x:c>
      <x:c r="L346" s="4" t="str"/>
      <x:c r="M346" s="4" t="str">
        <x:v>未测</x:v>
      </x:c>
      <x:c r="N346" s="4" t="str"/>
      <x:c r="O346" s="4" t="str">
        <x:v>1. 来源：MainBasis/统一需求文档.md；A-admin-task-detail-004
2. 场景：SC-0dfa4d7f145b79</x:v>
      </x:c>
    </x:row>
    <x:row r="347" ht="68" customHeight="1">
      <x:c r="A347" s="4" t="n">
        <x:v>346</x:v>
      </x:c>
      <x:c r="B347" s="4" t="str">
        <x:v>ADMIN-0346</x:v>
      </x:c>
      <x:c r="C347" s="4" t="str">
        <x:v>M08 礼物、道具、任务、邀请与运营配置</x:v>
      </x:c>
      <x:c r="D347" s="4" t="str">
        <x:v>任务编辑（平台管理员视角）</x:v>
      </x:c>
      <x:c r="E347" s="4" t="str">
        <x:v>逻辑校验</x:v>
      </x:c>
      <x:c r="F347" s="4" t="str">
        <x:v>P1</x:v>
      </x:c>
      <x:c r="G347" s="4" t="str">
        <x:v>验证达成奖励空值</x:v>
      </x:c>
      <x:c r="H347" s="4" t="str">
        <x:v>达成奖励空值</x:v>
      </x:c>
      <x:c r="I347" s="4" t="str">
        <x:v>1. 已登录平台管理员账号
2. 其他必填字段与配置有效</x:v>
      </x:c>
      <x:c r="J347" s="4" t="str">
        <x:v>1. 进入「任务编辑」页
2. 清空达成奖励
3. 点击保存</x:v>
      </x:c>
      <x:c r="K347" s="4" t="str">
        <x:v>达成奖励校验失败，不能保存</x:v>
      </x:c>
      <x:c r="L347" s="4" t="str"/>
      <x:c r="M347" s="4" t="str">
        <x:v>未测</x:v>
      </x:c>
      <x:c r="N347" s="4" t="str"/>
      <x:c r="O347" s="4" t="str">
        <x:v>1. 来源：MainBasis/统一需求文档.md；A-admin-task-detail-007
2. 场景：SC-01e10f4ae6bb60</x:v>
      </x:c>
    </x:row>
    <x:row r="348" ht="68" customHeight="1">
      <x:c r="A348" s="4" t="n">
        <x:v>347</x:v>
      </x:c>
      <x:c r="B348" s="4" t="str">
        <x:v>ADMIN-0347</x:v>
      </x:c>
      <x:c r="C348" s="4" t="str">
        <x:v>M08 礼物、道具、任务、邀请与运营配置</x:v>
      </x:c>
      <x:c r="D348" s="4" t="str">
        <x:v>任务编辑（平台管理员视角）</x:v>
      </x:c>
      <x:c r="E348" s="4" t="str">
        <x:v>逻辑校验</x:v>
      </x:c>
      <x:c r="F348" s="4" t="str">
        <x:v>P1</x:v>
      </x:c>
      <x:c r="G348" s="4" t="str">
        <x:v>验证达成奖励-1</x:v>
      </x:c>
      <x:c r="H348" s="4" t="str">
        <x:v>达成奖励-1</x:v>
      </x:c>
      <x:c r="I348" s="4" t="str">
        <x:v>1. 已登录平台管理员账号
2. 其他必填字段与配置有效</x:v>
      </x:c>
      <x:c r="J348" s="4" t="str">
        <x:v>1. 进入「任务编辑」页
2. 填写达成奖励-1
3. 点击保存</x:v>
      </x:c>
      <x:c r="K348" s="4" t="str">
        <x:v>达成奖励校验失败，不能保存</x:v>
      </x:c>
      <x:c r="L348" s="4" t="str"/>
      <x:c r="M348" s="4" t="str">
        <x:v>未测</x:v>
      </x:c>
      <x:c r="N348" s="4" t="str"/>
      <x:c r="O348" s="4" t="str">
        <x:v>1. 来源：MainBasis/统一需求文档.md；A-admin-task-detail-007
2. 场景：SC-be684b2914df5c</x:v>
      </x:c>
    </x:row>
    <x:row r="349" ht="68" customHeight="1">
      <x:c r="A349" s="4" t="n">
        <x:v>348</x:v>
      </x:c>
      <x:c r="B349" s="4" t="str">
        <x:v>ADMIN-0348</x:v>
      </x:c>
      <x:c r="C349" s="4" t="str">
        <x:v>M08 礼物、道具、任务、邀请与运营配置</x:v>
      </x:c>
      <x:c r="D349" s="4" t="str">
        <x:v>任务编辑（平台管理员视角）</x:v>
      </x:c>
      <x:c r="E349" s="4" t="str">
        <x:v>逻辑校验</x:v>
      </x:c>
      <x:c r="F349" s="4" t="str">
        <x:v>P1</x:v>
      </x:c>
      <x:c r="G349" s="4" t="str">
        <x:v>验证达成奖励0</x:v>
      </x:c>
      <x:c r="H349" s="4" t="str">
        <x:v>达成奖励0</x:v>
      </x:c>
      <x:c r="I349" s="4" t="str">
        <x:v>1. 已登录平台管理员账号
2. 其他必填字段与配置有效</x:v>
      </x:c>
      <x:c r="J349" s="4" t="str">
        <x:v>1. 进入「任务编辑」页
2. 填写达成奖励0
3. 点击保存</x:v>
      </x:c>
      <x:c r="K349" s="4" t="str">
        <x:v>达成奖励校验失败，不能保存</x:v>
      </x:c>
      <x:c r="L349" s="4" t="str"/>
      <x:c r="M349" s="4" t="str">
        <x:v>未测</x:v>
      </x:c>
      <x:c r="N349" s="4" t="str"/>
      <x:c r="O349" s="4" t="str">
        <x:v>1. 来源：MainBasis/统一需求文档.md；A-admin-task-detail-007
2. 场景：SC-7a862224a32008</x:v>
      </x:c>
    </x:row>
    <x:row r="350" ht="68" customHeight="1">
      <x:c r="A350" s="4" t="n">
        <x:v>349</x:v>
      </x:c>
      <x:c r="B350" s="4" t="str">
        <x:v>ADMIN-0349</x:v>
      </x:c>
      <x:c r="C350" s="4" t="str">
        <x:v>M08 礼物、道具、任务、邀请与运营配置</x:v>
      </x:c>
      <x:c r="D350" s="4" t="str">
        <x:v>任务编辑（平台管理员视角）</x:v>
      </x:c>
      <x:c r="E350" s="4" t="str">
        <x:v>逻辑校验</x:v>
      </x:c>
      <x:c r="F350" s="4" t="str">
        <x:v>P1</x:v>
      </x:c>
      <x:c r="G350" s="4" t="str">
        <x:v>验证达成奖励1</x:v>
      </x:c>
      <x:c r="H350" s="4" t="str">
        <x:v>达成奖励1</x:v>
      </x:c>
      <x:c r="I350" s="4" t="str">
        <x:v>1. 已登录平台管理员账号
2. 其他必填字段与配置有效</x:v>
      </x:c>
      <x:c r="J350" s="4" t="str">
        <x:v>1. 进入「任务编辑」页
2. 填写达成奖励1
3. 点击保存</x:v>
      </x:c>
      <x:c r="K350" s="4" t="str">
        <x:v>达成奖励保存为1</x:v>
      </x:c>
      <x:c r="L350" s="4" t="str"/>
      <x:c r="M350" s="4" t="str">
        <x:v>未测</x:v>
      </x:c>
      <x:c r="N350" s="4" t="str"/>
      <x:c r="O350" s="4" t="str">
        <x:v>1. 来源：MainBasis/统一需求文档.md；A-admin-task-detail-007
2. 场景：SC-f074ebbc828381</x:v>
      </x:c>
    </x:row>
    <x:row r="351" ht="68" customHeight="1">
      <x:c r="A351" s="4" t="n">
        <x:v>350</x:v>
      </x:c>
      <x:c r="B351" s="4" t="str">
        <x:v>ADMIN-0350</x:v>
      </x:c>
      <x:c r="C351" s="4" t="str">
        <x:v>M08 礼物、道具、任务、邀请与运营配置</x:v>
      </x:c>
      <x:c r="D351" s="4" t="str">
        <x:v>任务编辑（平台管理员视角）</x:v>
      </x:c>
      <x:c r="E351" s="4" t="str">
        <x:v>逻辑校验</x:v>
      </x:c>
      <x:c r="F351" s="4" t="str">
        <x:v>P1</x:v>
      </x:c>
      <x:c r="G351" s="4" t="str">
        <x:v>验证达成奖励1.5</x:v>
      </x:c>
      <x:c r="H351" s="4" t="str">
        <x:v>达成奖励1.5</x:v>
      </x:c>
      <x:c r="I351" s="4" t="str">
        <x:v>1. 已登录平台管理员账号
2. 其他必填字段与配置有效</x:v>
      </x:c>
      <x:c r="J351" s="4" t="str">
        <x:v>1. 进入「任务编辑」页
2. 填写达成奖励1.5
3. 点击保存</x:v>
      </x:c>
      <x:c r="K351" s="4" t="str">
        <x:v>达成奖励校验失败，不能保存</x:v>
      </x:c>
      <x:c r="L351" s="4" t="str"/>
      <x:c r="M351" s="4" t="str">
        <x:v>未测</x:v>
      </x:c>
      <x:c r="N351" s="4" t="str"/>
      <x:c r="O351" s="4" t="str">
        <x:v>1. 来源：MainBasis/统一需求文档.md；A-admin-task-detail-007
2. 场景：SC-644e8e2058804c</x:v>
      </x:c>
    </x:row>
    <x:row r="352" ht="68" customHeight="1">
      <x:c r="A352" s="4" t="n">
        <x:v>351</x:v>
      </x:c>
      <x:c r="B352" s="4" t="str">
        <x:v>ADMIN-0351</x:v>
      </x:c>
      <x:c r="C352" s="4" t="str">
        <x:v>M08 礼物、道具、任务、邀请与运营配置</x:v>
      </x:c>
      <x:c r="D352" s="4" t="str">
        <x:v>任务编辑（平台管理员视角）</x:v>
      </x:c>
      <x:c r="E352" s="4" t="str">
        <x:v>异常用例</x:v>
      </x:c>
      <x:c r="F352" s="4" t="str">
        <x:v>P1</x:v>
      </x:c>
      <x:c r="G352" s="4" t="str">
        <x:v>验证中文名称缺失限制</x:v>
      </x:c>
      <x:c r="H352" s="4" t="str">
        <x:v>中文名称缺失限制</x:v>
      </x:c>
      <x:c r="I352" s="4" t="str">
        <x:v>1. 已登录平台管理员账号
2. 其他必填字段为合法值</x:v>
      </x:c>
      <x:c r="J352" s="4" t="str">
        <x:v>1. 进入「任务编辑」页
2. 清空「中文名称」
3. 点击「保存」</x:v>
      </x:c>
      <x:c r="K352" s="4" t="str">
        <x:v>中文名称未填写，无法保存</x:v>
      </x:c>
      <x:c r="L352" s="4" t="str"/>
      <x:c r="M352" s="4" t="str">
        <x:v>未测</x:v>
      </x:c>
      <x:c r="N352" s="4" t="str"/>
      <x:c r="O352" s="4" t="str">
        <x:v>1. 来源：MainBasis/统一需求文档.md；A-admin-task-detail-002、U-welfare-center-006
2. 场景：SC-9d73efae1c32c8</x:v>
      </x:c>
    </x:row>
    <x:row r="353" ht="68" customHeight="1">
      <x:c r="A353" s="4" t="n">
        <x:v>352</x:v>
      </x:c>
      <x:c r="B353" s="4" t="str">
        <x:v>ADMIN-0352</x:v>
      </x:c>
      <x:c r="C353" s="4" t="str">
        <x:v>M08 礼物、道具、任务、邀请与运营配置</x:v>
      </x:c>
      <x:c r="D353" s="4" t="str">
        <x:v>任务编辑（平台管理员视角）</x:v>
      </x:c>
      <x:c r="E353" s="4" t="str">
        <x:v>异常用例</x:v>
      </x:c>
      <x:c r="F353" s="4" t="str">
        <x:v>P1</x:v>
      </x:c>
      <x:c r="G353" s="4" t="str">
        <x:v>验证英语名称缺失限制</x:v>
      </x:c>
      <x:c r="H353" s="4" t="str">
        <x:v>英语名称缺失限制</x:v>
      </x:c>
      <x:c r="I353" s="4" t="str">
        <x:v>1. 已登录平台管理员账号
2. 其他必填字段为合法值</x:v>
      </x:c>
      <x:c r="J353" s="4" t="str">
        <x:v>1. 进入「任务编辑」页
2. 清空「英语名称」
3. 点击「保存」</x:v>
      </x:c>
      <x:c r="K353" s="4" t="str">
        <x:v>英语名称未填写，无法保存</x:v>
      </x:c>
      <x:c r="L353" s="4" t="str"/>
      <x:c r="M353" s="4" t="str">
        <x:v>未测</x:v>
      </x:c>
      <x:c r="N353" s="4" t="str"/>
      <x:c r="O353" s="4" t="str">
        <x:v>1. 来源：MainBasis/统一需求文档.md；A-admin-task-detail-002、U-welfare-center-006
2. 场景：SC-9ff52b0e8cad4e</x:v>
      </x:c>
    </x:row>
    <x:row r="354" ht="68" customHeight="1">
      <x:c r="A354" s="4" t="n">
        <x:v>353</x:v>
      </x:c>
      <x:c r="B354" s="4" t="str">
        <x:v>ADMIN-0353</x:v>
      </x:c>
      <x:c r="C354" s="4" t="str">
        <x:v>M08 礼物、道具、任务、邀请与运营配置</x:v>
      </x:c>
      <x:c r="D354" s="4" t="str">
        <x:v>任务编辑（平台管理员视角）</x:v>
      </x:c>
      <x:c r="E354" s="4" t="str">
        <x:v>异常用例</x:v>
      </x:c>
      <x:c r="F354" s="4" t="str">
        <x:v>P1</x:v>
      </x:c>
      <x:c r="G354" s="4" t="str">
        <x:v>验证印尼语名称缺失限制</x:v>
      </x:c>
      <x:c r="H354" s="4" t="str">
        <x:v>印尼语名称缺失限制</x:v>
      </x:c>
      <x:c r="I354" s="4" t="str">
        <x:v>1. 已登录平台管理员账号
2. 其他必填字段为合法值</x:v>
      </x:c>
      <x:c r="J354" s="4" t="str">
        <x:v>1. 进入「任务编辑」页
2. 清空「印尼语名称」
3. 点击「保存」</x:v>
      </x:c>
      <x:c r="K354" s="4" t="str">
        <x:v>印尼语名称未填写，无法保存</x:v>
      </x:c>
      <x:c r="L354" s="4" t="str"/>
      <x:c r="M354" s="4" t="str">
        <x:v>未测</x:v>
      </x:c>
      <x:c r="N354" s="4" t="str"/>
      <x:c r="O354" s="4" t="str">
        <x:v>1. 来源：MainBasis/统一需求文档.md；A-admin-task-detail-002、U-welfare-center-006
2. 场景：SC-ac5fb14ee3d456</x:v>
      </x:c>
    </x:row>
    <x:row r="355" ht="68" customHeight="1">
      <x:c r="A355" s="4" t="n">
        <x:v>354</x:v>
      </x:c>
      <x:c r="B355" s="4" t="str">
        <x:v>ADMIN-0354</x:v>
      </x:c>
      <x:c r="C355" s="4" t="str">
        <x:v>M08 礼物、道具、任务、邀请与运营配置</x:v>
      </x:c>
      <x:c r="D355" s="4" t="str">
        <x:v>任务编辑（平台管理员视角）</x:v>
      </x:c>
      <x:c r="E355" s="4" t="str">
        <x:v>异常用例</x:v>
      </x:c>
      <x:c r="F355" s="4" t="str">
        <x:v>P1</x:v>
      </x:c>
      <x:c r="G355" s="4" t="str">
        <x:v>验证马来语名称缺失限制</x:v>
      </x:c>
      <x:c r="H355" s="4" t="str">
        <x:v>马来语名称缺失限制</x:v>
      </x:c>
      <x:c r="I355" s="4" t="str">
        <x:v>1. 已登录平台管理员账号
2. 其他必填字段为合法值</x:v>
      </x:c>
      <x:c r="J355" s="4" t="str">
        <x:v>1. 进入「任务编辑」页
2. 清空「马来语名称」
3. 点击「保存」</x:v>
      </x:c>
      <x:c r="K355" s="4" t="str">
        <x:v>马来语名称未填写，无法保存</x:v>
      </x:c>
      <x:c r="L355" s="4" t="str"/>
      <x:c r="M355" s="4" t="str">
        <x:v>未测</x:v>
      </x:c>
      <x:c r="N355" s="4" t="str"/>
      <x:c r="O355" s="4" t="str">
        <x:v>1. 来源：MainBasis/统一需求文档.md；A-admin-task-detail-002、U-welfare-center-006
2. 场景：SC-be921bdab11c9c</x:v>
      </x:c>
    </x:row>
    <x:row r="356" ht="68" customHeight="1">
      <x:c r="A356" s="4" t="n">
        <x:v>355</x:v>
      </x:c>
      <x:c r="B356" s="4" t="str">
        <x:v>ADMIN-0355</x:v>
      </x:c>
      <x:c r="C356" s="4" t="str">
        <x:v>M08 礼物、道具、任务、邀请与运营配置</x:v>
      </x:c>
      <x:c r="D356" s="4" t="str">
        <x:v>任务编辑（平台管理员视角）</x:v>
      </x:c>
      <x:c r="E356" s="4" t="str">
        <x:v>逻辑校验</x:v>
      </x:c>
      <x:c r="F356" s="4" t="str">
        <x:v>P1</x:v>
      </x:c>
      <x:c r="G356" s="4" t="str">
        <x:v>验证任务结束早于开始</x:v>
      </x:c>
      <x:c r="H356" s="4" t="str">
        <x:v>任务结束早于开始</x:v>
      </x:c>
      <x:c r="I356" s="4" t="str">
        <x:v>1. 已登录平台管理员账号
2. 其他字段合法，开始时间为明日10:00</x:v>
      </x:c>
      <x:c r="J356" s="4" t="str">
        <x:v>1. 进入「任务编辑」页
2. 设置结束时间为明日09:59
3. 保存</x:v>
      </x:c>
      <x:c r="K356" s="4" t="str">
        <x:v>任务时间范围不能保存</x:v>
      </x:c>
      <x:c r="L356" s="4" t="str"/>
      <x:c r="M356" s="4" t="str">
        <x:v>未测</x:v>
      </x:c>
      <x:c r="N356" s="4" t="str"/>
      <x:c r="O356" s="4" t="str">
        <x:v>1. 来源：MainBasis/统一需求文档.md；A-admin-task-detail-003
2. 场景：SC-46f254eb7d3148</x:v>
      </x:c>
    </x:row>
    <x:row r="357" ht="68" customHeight="1">
      <x:c r="A357" s="4" t="n">
        <x:v>356</x:v>
      </x:c>
      <x:c r="B357" s="4" t="str">
        <x:v>ADMIN-0356</x:v>
      </x:c>
      <x:c r="C357" s="4" t="str">
        <x:v>M08 礼物、道具、任务、邀请与运营配置</x:v>
      </x:c>
      <x:c r="D357" s="4" t="str">
        <x:v>任务编辑（平台管理员视角）</x:v>
      </x:c>
      <x:c r="E357" s="4" t="str">
        <x:v>逻辑校验</x:v>
      </x:c>
      <x:c r="F357" s="4" t="str">
        <x:v>P1</x:v>
      </x:c>
      <x:c r="G357" s="4" t="str">
        <x:v>验证任务结束等于开始</x:v>
      </x:c>
      <x:c r="H357" s="4" t="str">
        <x:v>任务结束等于开始</x:v>
      </x:c>
      <x:c r="I357" s="4" t="str">
        <x:v>1. 已登录平台管理员账号
2. 其他字段合法，开始时间为明日10:00</x:v>
      </x:c>
      <x:c r="J357" s="4" t="str">
        <x:v>1. 进入「任务编辑」页
2. 设置结束时间为明日10:00
3. 保存</x:v>
      </x:c>
      <x:c r="K357" s="4" t="str">
        <x:v>任务时间范围不能保存</x:v>
      </x:c>
      <x:c r="L357" s="4" t="str"/>
      <x:c r="M357" s="4" t="str">
        <x:v>未测</x:v>
      </x:c>
      <x:c r="N357" s="4" t="str"/>
      <x:c r="O357" s="4" t="str">
        <x:v>1. 来源：MainBasis/统一需求文档.md；A-admin-task-detail-003
2. 场景：SC-bef317de6d553d</x:v>
      </x:c>
    </x:row>
    <x:row r="358" ht="68" customHeight="1">
      <x:c r="A358" s="4" t="n">
        <x:v>357</x:v>
      </x:c>
      <x:c r="B358" s="4" t="str">
        <x:v>ADMIN-0357</x:v>
      </x:c>
      <x:c r="C358" s="4" t="str">
        <x:v>M08 礼物、道具、任务、邀请与运营配置</x:v>
      </x:c>
      <x:c r="D358" s="4" t="str">
        <x:v>任务编辑（平台管理员视角）</x:v>
      </x:c>
      <x:c r="E358" s="4" t="str">
        <x:v>逻辑校验</x:v>
      </x:c>
      <x:c r="F358" s="4" t="str">
        <x:v>P1</x:v>
      </x:c>
      <x:c r="G358" s="4" t="str">
        <x:v>验证任务结束晚于开始</x:v>
      </x:c>
      <x:c r="H358" s="4" t="str">
        <x:v>任务结束晚于开始</x:v>
      </x:c>
      <x:c r="I358" s="4" t="str">
        <x:v>1. 已登录平台管理员账号
2. 其他字段合法，开始时间为明日10:00</x:v>
      </x:c>
      <x:c r="J358" s="4" t="str">
        <x:v>1. 进入「任务编辑」页
2. 设置结束时间为明日10:01
3. 保存</x:v>
      </x:c>
      <x:c r="K358" s="4" t="str">
        <x:v>任务时间范围可保存</x:v>
      </x:c>
      <x:c r="L358" s="4" t="str"/>
      <x:c r="M358" s="4" t="str">
        <x:v>未测</x:v>
      </x:c>
      <x:c r="N358" s="4" t="str"/>
      <x:c r="O358" s="4" t="str">
        <x:v>1. 来源：MainBasis/统一需求文档.md；A-admin-task-detail-003
2. 场景：SC-d53891030c2b35</x:v>
      </x:c>
    </x:row>
    <x:row r="359" ht="68" customHeight="1">
      <x:c r="A359" s="4" t="n">
        <x:v>358</x:v>
      </x:c>
      <x:c r="B359" s="4" t="str">
        <x:v>ADMIN-0358</x:v>
      </x:c>
      <x:c r="C359" s="4" t="str">
        <x:v>M08 礼物、道具、任务、邀请与运营配置</x:v>
      </x:c>
      <x:c r="D359" s="4" t="str">
        <x:v>任务编辑（平台管理员视角）</x:v>
      </x:c>
      <x:c r="E359" s="4" t="str">
        <x:v>功能需求</x:v>
      </x:c>
      <x:c r="F359" s="4" t="str">
        <x:v>P1</x:v>
      </x:c>
      <x:c r="G359" s="4" t="str">
        <x:v>验证任务切动作重置指标周期</x:v>
      </x:c>
      <x:c r="H359" s="4" t="str">
        <x:v>任务切动作重置指标周期</x:v>
      </x:c>
      <x:c r="I359" s="4" t="str">
        <x:v>1. 已登录平台管理员账号
2. 原动作的指标和周期已选</x:v>
      </x:c>
      <x:c r="J359" s="4" t="str">
        <x:v>1. 进入「任务编辑」页
2. 选择另一个预置动作</x:v>
      </x:c>
      <x:c r="K359" s="4" t="str">
        <x:v>原指标和周期重置，只提供新动作支持的选项</x:v>
      </x:c>
      <x:c r="L359" s="4" t="str"/>
      <x:c r="M359" s="4" t="str">
        <x:v>未测</x:v>
      </x:c>
      <x:c r="N359" s="4" t="str"/>
      <x:c r="O359" s="4" t="str">
        <x:v>1. 来源：MainBasis/统一需求文档.md；A-admin-task-detail-009
2. 场景：SC-d8931baa8dc278</x:v>
      </x:c>
    </x:row>
    <x:row r="360" ht="68" customHeight="1">
      <x:c r="A360" s="4" t="n">
        <x:v>359</x:v>
      </x:c>
      <x:c r="B360" s="4" t="str">
        <x:v>ADMIN-0359</x:v>
      </x:c>
      <x:c r="C360" s="4" t="str">
        <x:v>M08 礼物、道具、任务、邀请与运营配置</x:v>
      </x:c>
      <x:c r="D360" s="4" t="str">
        <x:v>任务编辑（平台管理员视角）</x:v>
      </x:c>
      <x:c r="E360" s="4" t="str">
        <x:v>功能需求</x:v>
      </x:c>
      <x:c r="F360" s="4" t="str">
        <x:v>P1</x:v>
      </x:c>
      <x:c r="G360" s="4" t="str">
        <x:v>验证任务条件[]</x:v>
      </x:c>
      <x:c r="H360" s="4" t="str">
        <x:v>任务条件[]</x:v>
      </x:c>
      <x:c r="I360" s="4" t="str">
        <x:v>1. 已登录平台管理员账号
2. 其他任务字段合法</x:v>
      </x:c>
      <x:c r="J360" s="4" t="str">
        <x:v>1. 进入「任务编辑」页
2. 设置阈值列表[]
3. 保存</x:v>
      </x:c>
      <x:c r="K360" s="4" t="str">
        <x:v>任务条件不能保存</x:v>
      </x:c>
      <x:c r="L360" s="4" t="str"/>
      <x:c r="M360" s="4" t="str">
        <x:v>未测</x:v>
      </x:c>
      <x:c r="N360" s="4" t="str"/>
      <x:c r="O360" s="4" t="str">
        <x:v>1. 来源：MainBasis/统一需求文档.md；A-admin-task-detail-006、U-welfare-center-008
2. 场景：SC-7188377800036d</x:v>
      </x:c>
    </x:row>
    <x:row r="361" ht="68" customHeight="1">
      <x:c r="A361" s="4" t="n">
        <x:v>360</x:v>
      </x:c>
      <x:c r="B361" s="4" t="str">
        <x:v>ADMIN-0360</x:v>
      </x:c>
      <x:c r="C361" s="4" t="str">
        <x:v>M08 礼物、道具、任务、邀请与运营配置</x:v>
      </x:c>
      <x:c r="D361" s="4" t="str">
        <x:v>任务编辑（平台管理员视角）</x:v>
      </x:c>
      <x:c r="E361" s="4" t="str">
        <x:v>功能需求</x:v>
      </x:c>
      <x:c r="F361" s="4" t="str">
        <x:v>P1</x:v>
      </x:c>
      <x:c r="G361" s="4" t="str">
        <x:v>验证任务条件[0]</x:v>
      </x:c>
      <x:c r="H361" s="4" t="str">
        <x:v>任务条件[0]</x:v>
      </x:c>
      <x:c r="I361" s="4" t="str">
        <x:v>1. 已登录平台管理员账号
2. 其他任务字段合法</x:v>
      </x:c>
      <x:c r="J361" s="4" t="str">
        <x:v>1. 进入「任务编辑」页
2. 设置阈值列表[0]
3. 保存</x:v>
      </x:c>
      <x:c r="K361" s="4" t="str">
        <x:v>任务条件不能保存</x:v>
      </x:c>
      <x:c r="L361" s="4" t="str"/>
      <x:c r="M361" s="4" t="str">
        <x:v>未测</x:v>
      </x:c>
      <x:c r="N361" s="4" t="str"/>
      <x:c r="O361" s="4" t="str">
        <x:v>1. 来源：MainBasis/统一需求文档.md；A-admin-task-detail-006、U-welfare-center-008
2. 场景：SC-62ee1adf3e4725</x:v>
      </x:c>
    </x:row>
    <x:row r="362" ht="68" customHeight="1">
      <x:c r="A362" s="4" t="n">
        <x:v>361</x:v>
      </x:c>
      <x:c r="B362" s="4" t="str">
        <x:v>ADMIN-0361</x:v>
      </x:c>
      <x:c r="C362" s="4" t="str">
        <x:v>M08 礼物、道具、任务、邀请与运营配置</x:v>
      </x:c>
      <x:c r="D362" s="4" t="str">
        <x:v>任务编辑（平台管理员视角）</x:v>
      </x:c>
      <x:c r="E362" s="4" t="str">
        <x:v>功能需求</x:v>
      </x:c>
      <x:c r="F362" s="4" t="str">
        <x:v>P1</x:v>
      </x:c>
      <x:c r="G362" s="4" t="str">
        <x:v>验证任务条件[-1]</x:v>
      </x:c>
      <x:c r="H362" s="4" t="str">
        <x:v>任务条件[-1]</x:v>
      </x:c>
      <x:c r="I362" s="4" t="str">
        <x:v>1. 已登录平台管理员账号
2. 其他任务字段合法</x:v>
      </x:c>
      <x:c r="J362" s="4" t="str">
        <x:v>1. 进入「任务编辑」页
2. 设置阈值列表[-1]
3. 保存</x:v>
      </x:c>
      <x:c r="K362" s="4" t="str">
        <x:v>任务条件不能保存</x:v>
      </x:c>
      <x:c r="L362" s="4" t="str"/>
      <x:c r="M362" s="4" t="str">
        <x:v>未测</x:v>
      </x:c>
      <x:c r="N362" s="4" t="str"/>
      <x:c r="O362" s="4" t="str">
        <x:v>1. 来源：MainBasis/统一需求文档.md；A-admin-task-detail-006、U-welfare-center-008
2. 场景：SC-3c53cdd0e37de6</x:v>
      </x:c>
    </x:row>
    <x:row r="363" ht="68" customHeight="1">
      <x:c r="A363" s="4" t="n">
        <x:v>362</x:v>
      </x:c>
      <x:c r="B363" s="4" t="str">
        <x:v>ADMIN-0362</x:v>
      </x:c>
      <x:c r="C363" s="4" t="str">
        <x:v>M08 礼物、道具、任务、邀请与运营配置</x:v>
      </x:c>
      <x:c r="D363" s="4" t="str">
        <x:v>任务编辑（平台管理员视角）</x:v>
      </x:c>
      <x:c r="E363" s="4" t="str">
        <x:v>功能需求</x:v>
      </x:c>
      <x:c r="F363" s="4" t="str">
        <x:v>P1</x:v>
      </x:c>
      <x:c r="G363" s="4" t="str">
        <x:v>验证任务条件[10,10]</x:v>
      </x:c>
      <x:c r="H363" s="4" t="str">
        <x:v>任务条件[10,10]</x:v>
      </x:c>
      <x:c r="I363" s="4" t="str">
        <x:v>1. 已登录平台管理员账号
2. 其他任务字段合法</x:v>
      </x:c>
      <x:c r="J363" s="4" t="str">
        <x:v>1. 进入「任务编辑」页
2. 设置阈值列表[10,10]
3. 保存</x:v>
      </x:c>
      <x:c r="K363" s="4" t="str">
        <x:v>任务条件不能保存</x:v>
      </x:c>
      <x:c r="L363" s="4" t="str"/>
      <x:c r="M363" s="4" t="str">
        <x:v>未测</x:v>
      </x:c>
      <x:c r="N363" s="4" t="str"/>
      <x:c r="O363" s="4" t="str">
        <x:v>1. 来源：MainBasis/统一需求文档.md；A-admin-task-detail-006、U-welfare-center-008
2. 场景：SC-35ee3b1a10f862</x:v>
      </x:c>
    </x:row>
    <x:row r="364" ht="68" customHeight="1">
      <x:c r="A364" s="4" t="n">
        <x:v>363</x:v>
      </x:c>
      <x:c r="B364" s="4" t="str">
        <x:v>ADMIN-0363</x:v>
      </x:c>
      <x:c r="C364" s="4" t="str">
        <x:v>M08 礼物、道具、任务、邀请与运营配置</x:v>
      </x:c>
      <x:c r="D364" s="4" t="str">
        <x:v>任务编辑（平台管理员视角）</x:v>
      </x:c>
      <x:c r="E364" s="4" t="str">
        <x:v>功能需求</x:v>
      </x:c>
      <x:c r="F364" s="4" t="str">
        <x:v>P1</x:v>
      </x:c>
      <x:c r="G364" s="4" t="str">
        <x:v>验证任务条件[10]</x:v>
      </x:c>
      <x:c r="H364" s="4" t="str">
        <x:v>任务条件[10]</x:v>
      </x:c>
      <x:c r="I364" s="4" t="str">
        <x:v>1. 已登录平台管理员账号
2. 其他任务字段合法</x:v>
      </x:c>
      <x:c r="J364" s="4" t="str">
        <x:v>1. 进入「任务编辑」页
2. 设置阈值列表[10]
3. 保存</x:v>
      </x:c>
      <x:c r="K364" s="4" t="str">
        <x:v>任务条件可保存</x:v>
      </x:c>
      <x:c r="L364" s="4" t="str"/>
      <x:c r="M364" s="4" t="str">
        <x:v>未测</x:v>
      </x:c>
      <x:c r="N364" s="4" t="str"/>
      <x:c r="O364" s="4" t="str">
        <x:v>1. 来源：MainBasis/统一需求文档.md；A-admin-task-detail-006、U-welfare-center-008
2. 场景：SC-fffff4217c90c7</x:v>
      </x:c>
    </x:row>
    <x:row r="365" ht="68" customHeight="1">
      <x:c r="A365" s="4" t="n">
        <x:v>364</x:v>
      </x:c>
      <x:c r="B365" s="4" t="str">
        <x:v>ADMIN-0364</x:v>
      </x:c>
      <x:c r="C365" s="4" t="str">
        <x:v>M08 礼物、道具、任务、邀请与运营配置</x:v>
      </x:c>
      <x:c r="D365" s="4" t="str">
        <x:v>任务编辑（平台管理员视角）</x:v>
      </x:c>
      <x:c r="E365" s="4" t="str">
        <x:v>功能需求</x:v>
      </x:c>
      <x:c r="F365" s="4" t="str">
        <x:v>P1</x:v>
      </x:c>
      <x:c r="G365" s="4" t="str">
        <x:v>验证任务条件[10,20]</x:v>
      </x:c>
      <x:c r="H365" s="4" t="str">
        <x:v>任务条件[10,20]</x:v>
      </x:c>
      <x:c r="I365" s="4" t="str">
        <x:v>1. 已登录平台管理员账号
2. 其他任务字段合法</x:v>
      </x:c>
      <x:c r="J365" s="4" t="str">
        <x:v>1. 进入「任务编辑」页
2. 设置阈值列表[10,20]
3. 保存</x:v>
      </x:c>
      <x:c r="K365" s="4" t="str">
        <x:v>任务条件可保存</x:v>
      </x:c>
      <x:c r="L365" s="4" t="str"/>
      <x:c r="M365" s="4" t="str">
        <x:v>未测</x:v>
      </x:c>
      <x:c r="N365" s="4" t="str"/>
      <x:c r="O365" s="4" t="str">
        <x:v>1. 来源：MainBasis/统一需求文档.md；A-admin-task-detail-006、U-welfare-center-008
2. 场景：SC-e5825bc3da2846</x:v>
      </x:c>
    </x:row>
    <x:row r="366" ht="68" customHeight="1">
      <x:c r="A366" s="4" t="n">
        <x:v>365</x:v>
      </x:c>
      <x:c r="B366" s="4" t="str">
        <x:v>ADMIN-0365</x:v>
      </x:c>
      <x:c r="C366" s="4" t="str">
        <x:v>M08 礼物、道具、任务、邀请与运营配置</x:v>
      </x:c>
      <x:c r="D366" s="4" t="str">
        <x:v>任务编辑（平台管理员视角）</x:v>
      </x:c>
      <x:c r="E366" s="4" t="str">
        <x:v>功能需求</x:v>
      </x:c>
      <x:c r="F366" s="4" t="str">
        <x:v>P1</x:v>
      </x:c>
      <x:c r="G366" s="4" t="str">
        <x:v>验证周期仅提供指标支持范围</x:v>
      </x:c>
      <x:c r="H366" s="4" t="str">
        <x:v>周期仅提供指标支持范围</x:v>
      </x:c>
      <x:c r="I366" s="4" t="str">
        <x:v>1. 已登录平台管理员账号
2. 所选预置指标仅支持每日与每周</x:v>
      </x:c>
      <x:c r="J366" s="4" t="str">
        <x:v>1. 进入「任务编辑」页
2. 查看周期仅提供指标支持范围</x:v>
      </x:c>
      <x:c r="K366" s="4" t="str">
        <x:v>周期只提供每日和每周</x:v>
      </x:c>
      <x:c r="L366" s="4" t="str"/>
      <x:c r="M366" s="4" t="str">
        <x:v>未测</x:v>
      </x:c>
      <x:c r="N366" s="4" t="str"/>
      <x:c r="O366" s="4" t="str">
        <x:v>1. 来源：MainBasis/统一需求文档.md；A-admin-task-detail-005
2. 场景：SC-5662e2206d494c</x:v>
      </x:c>
    </x:row>
    <x:row r="367" ht="68" customHeight="1">
      <x:c r="A367" s="4" t="n">
        <x:v>366</x:v>
      </x:c>
      <x:c r="B367" s="4" t="str">
        <x:v>ADMIN-0366</x:v>
      </x:c>
      <x:c r="C367" s="4" t="str">
        <x:v>M08 礼物、道具、任务、邀请与运营配置</x:v>
      </x:c>
      <x:c r="D367" s="4" t="str">
        <x:v>直播房型-23（平台管理员视角）</x:v>
      </x:c>
      <x:c r="E367" s="4" t="str">
        <x:v>功能需求</x:v>
      </x:c>
      <x:c r="F367" s="4" t="str">
        <x:v>P2</x:v>
      </x:c>
      <x:c r="G367" s="4" t="str">
        <x:v>验证当前状态回显</x:v>
      </x:c>
      <x:c r="H367" s="4" t="str">
        <x:v>当前状态回显</x:v>
      </x:c>
      <x:c r="I367" s="4" t="str">
        <x:v>1. 已登录平台管理员账号
2. 所选对象存在，已记录该对象的当前状态值</x:v>
      </x:c>
      <x:c r="J367" s="4" t="str">
        <x:v>1. 进入「直播房型-23」页
2. 查看当前状态回显</x:v>
      </x:c>
      <x:c r="K367" s="4" t="str">
        <x:v>「当前状态」内容与所选对象的该项资料一致</x:v>
      </x:c>
      <x:c r="L367" s="4" t="str"/>
      <x:c r="M367" s="4" t="str">
        <x:v>未测</x:v>
      </x:c>
      <x:c r="N367" s="4" t="str"/>
      <x:c r="O367" s="4" t="str">
        <x:v>1. 来源：MainBasis/统一需求文档.md；A-admin-feature-switch-003
2. 场景：SC-e9900bd957c4c9</x:v>
      </x:c>
    </x:row>
    <x:row r="368" ht="68" customHeight="1">
      <x:c r="A368" s="4" t="n">
        <x:v>367</x:v>
      </x:c>
      <x:c r="B368" s="4" t="str">
        <x:v>ADMIN-0367</x:v>
      </x:c>
      <x:c r="C368" s="4" t="str">
        <x:v>M08 礼物、道具、任务、邀请与运营配置</x:v>
      </x:c>
      <x:c r="D368" s="4" t="str">
        <x:v>直播房型-23（平台管理员视角）</x:v>
      </x:c>
      <x:c r="E368" s="4" t="str">
        <x:v>功能需求</x:v>
      </x:c>
      <x:c r="F368" s="4" t="str">
        <x:v>P2</x:v>
      </x:c>
      <x:c r="G368" s="4" t="str">
        <x:v>验证操作信息回显</x:v>
      </x:c>
      <x:c r="H368" s="4" t="str">
        <x:v>操作信息回显</x:v>
      </x:c>
      <x:c r="I368" s="4" t="str">
        <x:v>1. 已登录平台管理员账号
2. 所选对象存在，已记录该对象的操作信息值</x:v>
      </x:c>
      <x:c r="J368" s="4" t="str">
        <x:v>1. 进入「直播房型-23」页
2. 查看操作信息回显</x:v>
      </x:c>
      <x:c r="K368" s="4" t="str">
        <x:v>「操作信息」内容与所选对象的该项资料一致</x:v>
      </x:c>
      <x:c r="L368" s="4" t="str"/>
      <x:c r="M368" s="4" t="str">
        <x:v>未测</x:v>
      </x:c>
      <x:c r="N368" s="4" t="str"/>
      <x:c r="O368" s="4" t="str">
        <x:v>1. 来源：MainBasis/统一需求文档.md；A-admin-feature-switch-004
2. 场景：SC-30f67e236eb9be</x:v>
      </x:c>
    </x:row>
    <x:row r="369" ht="68" customHeight="1">
      <x:c r="A369" s="4" t="n">
        <x:v>368</x:v>
      </x:c>
      <x:c r="B369" s="4" t="str">
        <x:v>ADMIN-0368</x:v>
      </x:c>
      <x:c r="C369" s="4" t="str">
        <x:v>M08 礼物、道具、任务、邀请与运营配置</x:v>
      </x:c>
      <x:c r="D369" s="4" t="str">
        <x:v>直播房型-23（平台管理员视角）</x:v>
      </x:c>
      <x:c r="E369" s="4" t="str">
        <x:v>功能需求</x:v>
      </x:c>
      <x:c r="F369" s="4" t="str">
        <x:v>P1</x:v>
      </x:c>
      <x:c r="G369" s="4" t="str">
        <x:v>验证关闭门票房不改进行场次</x:v>
      </x:c>
      <x:c r="H369" s="4" t="str">
        <x:v>关闭门票房不改进行场次</x:v>
      </x:c>
      <x:c r="I369" s="4" t="str">
        <x:v>1. 已登录平台管理员账号
2. 该房型有一场正在直播</x:v>
      </x:c>
      <x:c r="J369" s="4" t="str">
        <x:v>1. 进入「直播房型-23」页
2. 关闭门票房开关</x:v>
      </x:c>
      <x:c r="K369" s="4" t="str">
        <x:v>禁止新建该房型，已开始场次继续</x:v>
      </x:c>
      <x:c r="L369" s="4" t="str"/>
      <x:c r="M369" s="4" t="str">
        <x:v>未测</x:v>
      </x:c>
      <x:c r="N369" s="4" t="str"/>
      <x:c r="O369" s="4" t="str">
        <x:v>1. 来源：MainBasis/统一需求文档.md；A-admin-feature-switch-005、D-SYS-078
2. 场景：SC-e9cda6b554d5b7</x:v>
      </x:c>
    </x:row>
    <x:row r="370" ht="68" customHeight="1">
      <x:c r="A370" s="4" t="n">
        <x:v>369</x:v>
      </x:c>
      <x:c r="B370" s="4" t="str">
        <x:v>ADMIN-0369</x:v>
      </x:c>
      <x:c r="C370" s="4" t="str">
        <x:v>M08 礼物、道具、任务、邀请与运营配置</x:v>
      </x:c>
      <x:c r="D370" s="4" t="str">
        <x:v>直播房型-23（平台管理员视角）</x:v>
      </x:c>
      <x:c r="E370" s="4" t="str">
        <x:v>功能需求</x:v>
      </x:c>
      <x:c r="F370" s="4" t="str">
        <x:v>P1</x:v>
      </x:c>
      <x:c r="G370" s="4" t="str">
        <x:v>验证关闭密码房不改进行场次</x:v>
      </x:c>
      <x:c r="H370" s="4" t="str">
        <x:v>关闭密码房不改进行场次</x:v>
      </x:c>
      <x:c r="I370" s="4" t="str">
        <x:v>1. 已登录平台管理员账号
2. 该房型有一场正在直播</x:v>
      </x:c>
      <x:c r="J370" s="4" t="str">
        <x:v>1. 进入「直播房型-23」页
2. 关闭密码房开关</x:v>
      </x:c>
      <x:c r="K370" s="4" t="str">
        <x:v>禁止新建该房型，已开始场次继续</x:v>
      </x:c>
      <x:c r="L370" s="4" t="str"/>
      <x:c r="M370" s="4" t="str">
        <x:v>未测</x:v>
      </x:c>
      <x:c r="N370" s="4" t="str"/>
      <x:c r="O370" s="4" t="str">
        <x:v>1. 来源：MainBasis/统一需求文档.md；A-admin-feature-switch-005、D-SYS-078
2. 场景：SC-3c2722ab32b249</x:v>
      </x:c>
    </x:row>
    <x:row r="371" ht="68" customHeight="1">
      <x:c r="A371" s="4" t="n">
        <x:v>370</x:v>
      </x:c>
      <x:c r="B371" s="4" t="str">
        <x:v>ADMIN-0370</x:v>
      </x:c>
      <x:c r="C371" s="4" t="str">
        <x:v>M08 礼物、道具、任务、邀请与运营配置</x:v>
      </x:c>
      <x:c r="D371" s="4" t="str">
        <x:v>直播房型-23（平台管理员视角）</x:v>
      </x:c>
      <x:c r="E371" s="4" t="str">
        <x:v>功能需求</x:v>
      </x:c>
      <x:c r="F371" s="4" t="str">
        <x:v>P1</x:v>
      </x:c>
      <x:c r="G371" s="4" t="str">
        <x:v>验证房型预置不可新增编辑</x:v>
      </x:c>
      <x:c r="H371" s="4" t="str">
        <x:v>房型预置不可新增编辑</x:v>
      </x:c>
      <x:c r="I371" s="4" t="str">
        <x:v>1. 已登录平台管理员账号</x:v>
      </x:c>
      <x:c r="J371" s="4" t="str">
        <x:v>1. 进入「直播房型-23」页
2. 查看房型预置不可新增编辑</x:v>
      </x:c>
      <x:c r="K371" s="4" t="str">
        <x:v>不能新增或编辑房型名称</x:v>
      </x:c>
      <x:c r="L371" s="4" t="str"/>
      <x:c r="M371" s="4" t="str">
        <x:v>未测</x:v>
      </x:c>
      <x:c r="N371" s="4" t="str"/>
      <x:c r="O371" s="4" t="str">
        <x:v>1. 来源：MainBasis/统一需求文档.md；A-admin-feature-switch-002
2. 场景：SC-599bc1a5c375a8</x:v>
      </x:c>
    </x:row>
    <x:row r="372" ht="68" customHeight="1">
      <x:c r="A372" s="4" t="n">
        <x:v>371</x:v>
      </x:c>
      <x:c r="B372" s="4" t="str">
        <x:v>ADMIN-0371</x:v>
      </x:c>
      <x:c r="C372" s="4" t="str">
        <x:v>M08 礼物、道具、任务、邀请与运营配置</x:v>
      </x:c>
      <x:c r="D372" s="4" t="str">
        <x:v>直播房型-23（平台管理员视角）</x:v>
      </x:c>
      <x:c r="E372" s="4" t="str">
        <x:v>功能需求</x:v>
      </x:c>
      <x:c r="F372" s="4" t="str">
        <x:v>P1</x:v>
      </x:c>
      <x:c r="G372" s="4" t="str">
        <x:v>验证票价配置入口</x:v>
      </x:c>
      <x:c r="H372" s="4" t="str">
        <x:v>票价配置入口</x:v>
      </x:c>
      <x:c r="I372" s="4" t="str">
        <x:v>1. 已登录平台管理员账号
2. 当前查看门票房功能配置</x:v>
      </x:c>
      <x:c r="J372" s="4" t="str">
        <x:v>1. 进入「直播房型-23」页
2. 点击门票房价格配置</x:v>
      </x:c>
      <x:c r="K372" s="4" t="str">
        <x:v>进入门票价格档位列表</x:v>
      </x:c>
      <x:c r="L372" s="4" t="str"/>
      <x:c r="M372" s="4" t="str">
        <x:v>未测</x:v>
      </x:c>
      <x:c r="N372" s="4" t="str"/>
      <x:c r="O372" s="4" t="str">
        <x:v>1. 来源：MainBasis/统一需求文档.md；A-admin-feature-switch-006
2. 场景：SC-e4d55f1b4fb613</x:v>
      </x:c>
    </x:row>
    <x:row r="373" ht="82" customHeight="1">
      <x:c r="A373" s="4" t="n">
        <x:v>372</x:v>
      </x:c>
      <x:c r="B373" s="4" t="str">
        <x:v>ADMIN-0372</x:v>
      </x:c>
      <x:c r="C373" s="4" t="str">
        <x:v>M08 礼物、道具、任务、邀请与运营配置</x:v>
      </x:c>
      <x:c r="D373" s="4" t="str">
        <x:v>门票价格档位（平台管理员视角）</x:v>
      </x:c>
      <x:c r="E373" s="4" t="str">
        <x:v>功能需求</x:v>
      </x:c>
      <x:c r="F373" s="4" t="str">
        <x:v>P1</x:v>
      </x:c>
      <x:c r="G373" s="4" t="str">
        <x:v>验证最后启用票价不能停用</x:v>
      </x:c>
      <x:c r="H373" s="4" t="str">
        <x:v>最后启用票价不能停用</x:v>
      </x:c>
      <x:c r="I373" s="4" t="str">
        <x:v>1. 已登录平台管理员账号
2. 仅一个启用价格档位</x:v>
      </x:c>
      <x:c r="J373" s="4" t="str">
        <x:v>1. 进入「门票价格档位」页
2. 停用该档位</x:v>
      </x:c>
      <x:c r="K373" s="4" t="str">
        <x:v>阻止停用并提示，仍保留该启用档位</x:v>
      </x:c>
      <x:c r="L373" s="4" t="str"/>
      <x:c r="M373" s="4" t="str">
        <x:v>未测</x:v>
      </x:c>
      <x:c r="N373" s="4" t="str"/>
      <x:c r="O373" s="4" t="str">
        <x:v>1. 来源：MainBasis/统一需求文档.md；A-admin-ticket-price-level-007、A-admin-ticket-price-level-004、A-admin-ticket-price-level-detail-005
2. 场景：SC-541f479d491129</x:v>
      </x:c>
    </x:row>
    <x:row r="374" ht="68" customHeight="1">
      <x:c r="A374" s="4" t="n">
        <x:v>373</x:v>
      </x:c>
      <x:c r="B374" s="4" t="str">
        <x:v>ADMIN-0373</x:v>
      </x:c>
      <x:c r="C374" s="4" t="str">
        <x:v>M08 礼物、道具、任务、邀请与运营配置</x:v>
      </x:c>
      <x:c r="D374" s="4" t="str">
        <x:v>门票价格档位（平台管理员视角）</x:v>
      </x:c>
      <x:c r="E374" s="4" t="str">
        <x:v>功能需求</x:v>
      </x:c>
      <x:c r="F374" s="4" t="str">
        <x:v>P1</x:v>
      </x:c>
      <x:c r="G374" s="4" t="str">
        <x:v>验证票价档位小排序值靠前</x:v>
      </x:c>
      <x:c r="H374" s="4" t="str">
        <x:v>票价档位小排序值靠前</x:v>
      </x:c>
      <x:c r="I374" s="4" t="str">
        <x:v>1. 已登录平台管理员账号
2. 两个启用档位排序分别1和2</x:v>
      </x:c>
      <x:c r="J374" s="4" t="str">
        <x:v>1. 进入「门票价格档位」页
2. 查看票价档位小排序值靠前</x:v>
      </x:c>
      <x:c r="K374" s="4" t="str">
        <x:v>排序1的档位排在2之前</x:v>
      </x:c>
      <x:c r="L374" s="4" t="str"/>
      <x:c r="M374" s="4" t="str">
        <x:v>未测</x:v>
      </x:c>
      <x:c r="N374" s="4" t="str"/>
      <x:c r="O374" s="4" t="str">
        <x:v>1. 来源：MainBasis/统一需求文档.md；A-admin-ticket-price-level-005
2. 场景：SC-b6f3cf41714aab</x:v>
      </x:c>
    </x:row>
    <x:row r="375" ht="68" customHeight="1">
      <x:c r="A375" s="4" t="n">
        <x:v>374</x:v>
      </x:c>
      <x:c r="B375" s="4" t="str">
        <x:v>ADMIN-0374</x:v>
      </x:c>
      <x:c r="C375" s="4" t="str">
        <x:v>M08 礼物、道具、任务、邀请与运营配置</x:v>
      </x:c>
      <x:c r="D375" s="4" t="str">
        <x:v>门票价格档位（平台管理员视角）</x:v>
      </x:c>
      <x:c r="E375" s="4" t="str">
        <x:v>功能需求</x:v>
      </x:c>
      <x:c r="F375" s="4" t="str">
        <x:v>P2</x:v>
      </x:c>
      <x:c r="G375" s="4" t="str">
        <x:v>验证档位 ID标识不可编辑</x:v>
      </x:c>
      <x:c r="H375" s="4" t="str">
        <x:v>档位 ID标识不可编辑</x:v>
      </x:c>
      <x:c r="I375" s="4" t="str">
        <x:v>1. 已登录平台管理员账号
2. 目标记录已创建</x:v>
      </x:c>
      <x:c r="J375" s="4" t="str">
        <x:v>1. 进入「门票价格档位」页
2. 查看档位 ID标识不可编辑</x:v>
      </x:c>
      <x:c r="K375" s="4" t="str">
        <x:v>已生成的档位 ID可查看但不可编辑</x:v>
      </x:c>
      <x:c r="L375" s="4" t="str"/>
      <x:c r="M375" s="4" t="str">
        <x:v>未测</x:v>
      </x:c>
      <x:c r="N375" s="4" t="str"/>
      <x:c r="O375" s="4" t="str">
        <x:v>1. 来源：MainBasis/统一需求文档.md；A-admin-ticket-price-level-002
2. 场景：SC-2055122deff973</x:v>
      </x:c>
    </x:row>
    <x:row r="376" ht="68" customHeight="1">
      <x:c r="A376" s="4" t="n">
        <x:v>375</x:v>
      </x:c>
      <x:c r="B376" s="4" t="str">
        <x:v>ADMIN-0375</x:v>
      </x:c>
      <x:c r="C376" s="4" t="str">
        <x:v>M08 礼物、道具、任务、邀请与运营配置</x:v>
      </x:c>
      <x:c r="D376" s="4" t="str">
        <x:v>门票价格档位编辑（平台管理员视角）</x:v>
      </x:c>
      <x:c r="E376" s="4" t="str">
        <x:v>逻辑校验</x:v>
      </x:c>
      <x:c r="F376" s="4" t="str">
        <x:v>P1</x:v>
      </x:c>
      <x:c r="G376" s="4" t="str">
        <x:v>验证门票价格空值</x:v>
      </x:c>
      <x:c r="H376" s="4" t="str">
        <x:v>门票价格空值</x:v>
      </x:c>
      <x:c r="I376" s="4" t="str">
        <x:v>1. 已登录平台管理员账号
2. 其他必填字段与配置有效</x:v>
      </x:c>
      <x:c r="J376" s="4" t="str">
        <x:v>1. 进入「门票价格档位编辑」页
2. 清空门票价格
3. 点击保存</x:v>
      </x:c>
      <x:c r="K376" s="4" t="str">
        <x:v>门票价格校验失败，不能保存</x:v>
      </x:c>
      <x:c r="L376" s="4" t="str"/>
      <x:c r="M376" s="4" t="str">
        <x:v>未测</x:v>
      </x:c>
      <x:c r="N376" s="4" t="str"/>
      <x:c r="O376" s="4" t="str">
        <x:v>1. 来源：MainBasis/统一需求文档.md；A-admin-ticket-price-level-detail-003、A-admin-ticket-price-level-003
2. 场景：SC-e49826a25d8920</x:v>
      </x:c>
    </x:row>
    <x:row r="377" ht="68" customHeight="1">
      <x:c r="A377" s="4" t="n">
        <x:v>376</x:v>
      </x:c>
      <x:c r="B377" s="4" t="str">
        <x:v>ADMIN-0376</x:v>
      </x:c>
      <x:c r="C377" s="4" t="str">
        <x:v>M08 礼物、道具、任务、邀请与运营配置</x:v>
      </x:c>
      <x:c r="D377" s="4" t="str">
        <x:v>门票价格档位编辑（平台管理员视角）</x:v>
      </x:c>
      <x:c r="E377" s="4" t="str">
        <x:v>逻辑校验</x:v>
      </x:c>
      <x:c r="F377" s="4" t="str">
        <x:v>P1</x:v>
      </x:c>
      <x:c r="G377" s="4" t="str">
        <x:v>验证门票价格-1</x:v>
      </x:c>
      <x:c r="H377" s="4" t="str">
        <x:v>门票价格-1</x:v>
      </x:c>
      <x:c r="I377" s="4" t="str">
        <x:v>1. 已登录平台管理员账号
2. 其他必填字段与配置有效</x:v>
      </x:c>
      <x:c r="J377" s="4" t="str">
        <x:v>1. 进入「门票价格档位编辑」页
2. 填写门票价格-1
3. 点击保存</x:v>
      </x:c>
      <x:c r="K377" s="4" t="str">
        <x:v>门票价格校验失败，不能保存</x:v>
      </x:c>
      <x:c r="L377" s="4" t="str"/>
      <x:c r="M377" s="4" t="str">
        <x:v>未测</x:v>
      </x:c>
      <x:c r="N377" s="4" t="str"/>
      <x:c r="O377" s="4" t="str">
        <x:v>1. 来源：MainBasis/统一需求文档.md；A-admin-ticket-price-level-detail-003、A-admin-ticket-price-level-003
2. 场景：SC-6d432994f77b5b</x:v>
      </x:c>
    </x:row>
    <x:row r="378" ht="68" customHeight="1">
      <x:c r="A378" s="4" t="n">
        <x:v>377</x:v>
      </x:c>
      <x:c r="B378" s="4" t="str">
        <x:v>ADMIN-0377</x:v>
      </x:c>
      <x:c r="C378" s="4" t="str">
        <x:v>M08 礼物、道具、任务、邀请与运营配置</x:v>
      </x:c>
      <x:c r="D378" s="4" t="str">
        <x:v>门票价格档位编辑（平台管理员视角）</x:v>
      </x:c>
      <x:c r="E378" s="4" t="str">
        <x:v>逻辑校验</x:v>
      </x:c>
      <x:c r="F378" s="4" t="str">
        <x:v>P1</x:v>
      </x:c>
      <x:c r="G378" s="4" t="str">
        <x:v>验证门票价格0</x:v>
      </x:c>
      <x:c r="H378" s="4" t="str">
        <x:v>门票价格0</x:v>
      </x:c>
      <x:c r="I378" s="4" t="str">
        <x:v>1. 已登录平台管理员账号
2. 其他必填字段与配置有效</x:v>
      </x:c>
      <x:c r="J378" s="4" t="str">
        <x:v>1. 进入「门票价格档位编辑」页
2. 填写门票价格0
3. 点击保存</x:v>
      </x:c>
      <x:c r="K378" s="4" t="str">
        <x:v>门票价格校验失败，不能保存</x:v>
      </x:c>
      <x:c r="L378" s="4" t="str"/>
      <x:c r="M378" s="4" t="str">
        <x:v>未测</x:v>
      </x:c>
      <x:c r="N378" s="4" t="str"/>
      <x:c r="O378" s="4" t="str">
        <x:v>1. 来源：MainBasis/统一需求文档.md；A-admin-ticket-price-level-detail-003、A-admin-ticket-price-level-003
2. 场景：SC-68fa21669a2c15</x:v>
      </x:c>
    </x:row>
    <x:row r="379" ht="68" customHeight="1">
      <x:c r="A379" s="4" t="n">
        <x:v>378</x:v>
      </x:c>
      <x:c r="B379" s="4" t="str">
        <x:v>ADMIN-0378</x:v>
      </x:c>
      <x:c r="C379" s="4" t="str">
        <x:v>M08 礼物、道具、任务、邀请与运营配置</x:v>
      </x:c>
      <x:c r="D379" s="4" t="str">
        <x:v>门票价格档位编辑（平台管理员视角）</x:v>
      </x:c>
      <x:c r="E379" s="4" t="str">
        <x:v>逻辑校验</x:v>
      </x:c>
      <x:c r="F379" s="4" t="str">
        <x:v>P1</x:v>
      </x:c>
      <x:c r="G379" s="4" t="str">
        <x:v>验证门票价格1</x:v>
      </x:c>
      <x:c r="H379" s="4" t="str">
        <x:v>门票价格1</x:v>
      </x:c>
      <x:c r="I379" s="4" t="str">
        <x:v>1. 已登录平台管理员账号
2. 其他必填字段与配置有效</x:v>
      </x:c>
      <x:c r="J379" s="4" t="str">
        <x:v>1. 进入「门票价格档位编辑」页
2. 填写门票价格1
3. 点击保存</x:v>
      </x:c>
      <x:c r="K379" s="4" t="str">
        <x:v>门票价格保存为1</x:v>
      </x:c>
      <x:c r="L379" s="4" t="str"/>
      <x:c r="M379" s="4" t="str">
        <x:v>未测</x:v>
      </x:c>
      <x:c r="N379" s="4" t="str"/>
      <x:c r="O379" s="4" t="str">
        <x:v>1. 来源：MainBasis/统一需求文档.md；A-admin-ticket-price-level-detail-003、A-admin-ticket-price-level-003
2. 场景：SC-80b99af0e7de44</x:v>
      </x:c>
    </x:row>
    <x:row r="380" ht="68" customHeight="1">
      <x:c r="A380" s="4" t="n">
        <x:v>379</x:v>
      </x:c>
      <x:c r="B380" s="4" t="str">
        <x:v>ADMIN-0379</x:v>
      </x:c>
      <x:c r="C380" s="4" t="str">
        <x:v>M08 礼物、道具、任务、邀请与运营配置</x:v>
      </x:c>
      <x:c r="D380" s="4" t="str">
        <x:v>门票价格档位编辑（平台管理员视角）</x:v>
      </x:c>
      <x:c r="E380" s="4" t="str">
        <x:v>逻辑校验</x:v>
      </x:c>
      <x:c r="F380" s="4" t="str">
        <x:v>P1</x:v>
      </x:c>
      <x:c r="G380" s="4" t="str">
        <x:v>验证门票价格1.5</x:v>
      </x:c>
      <x:c r="H380" s="4" t="str">
        <x:v>门票价格1.5</x:v>
      </x:c>
      <x:c r="I380" s="4" t="str">
        <x:v>1. 已登录平台管理员账号
2. 其他必填字段与配置有效</x:v>
      </x:c>
      <x:c r="J380" s="4" t="str">
        <x:v>1. 进入「门票价格档位编辑」页
2. 填写门票价格1.5
3. 点击保存</x:v>
      </x:c>
      <x:c r="K380" s="4" t="str">
        <x:v>门票价格校验失败，不能保存</x:v>
      </x:c>
      <x:c r="L380" s="4" t="str"/>
      <x:c r="M380" s="4" t="str">
        <x:v>未测</x:v>
      </x:c>
      <x:c r="N380" s="4" t="str"/>
      <x:c r="O380" s="4" t="str">
        <x:v>1. 来源：MainBasis/统一需求文档.md；A-admin-ticket-price-level-detail-003、A-admin-ticket-price-level-003
2. 场景：SC-6b17a08c24e49a</x:v>
      </x:c>
    </x:row>
    <x:row r="381" ht="68" customHeight="1">
      <x:c r="A381" s="4" t="n">
        <x:v>380</x:v>
      </x:c>
      <x:c r="B381" s="4" t="str">
        <x:v>ADMIN-0380</x:v>
      </x:c>
      <x:c r="C381" s="4" t="str">
        <x:v>M08 礼物、道具、任务、邀请与运营配置</x:v>
      </x:c>
      <x:c r="D381" s="4" t="str">
        <x:v>门票价格档位编辑（平台管理员视角）</x:v>
      </x:c>
      <x:c r="E381" s="4" t="str">
        <x:v>逻辑校验</x:v>
      </x:c>
      <x:c r="F381" s="4" t="str">
        <x:v>P1</x:v>
      </x:c>
      <x:c r="G381" s="4" t="str">
        <x:v>验证排序空值</x:v>
      </x:c>
      <x:c r="H381" s="4" t="str">
        <x:v>排序空值</x:v>
      </x:c>
      <x:c r="I381" s="4" t="str">
        <x:v>1. 已登录平台管理员账号
2. 其他必填字段与配置有效</x:v>
      </x:c>
      <x:c r="J381" s="4" t="str">
        <x:v>1. 进入「门票价格档位编辑」页
2. 清空排序
3. 点击保存</x:v>
      </x:c>
      <x:c r="K381" s="4" t="str">
        <x:v>排序校验失败，不能保存</x:v>
      </x:c>
      <x:c r="L381" s="4" t="str"/>
      <x:c r="M381" s="4" t="str">
        <x:v>未测</x:v>
      </x:c>
      <x:c r="N381" s="4" t="str"/>
      <x:c r="O381" s="4" t="str">
        <x:v>1. 来源：MainBasis/统一需求文档.md；A-admin-ticket-price-level-detail-004
2. 场景：SC-0fd37b05c1ffec</x:v>
      </x:c>
    </x:row>
    <x:row r="382" ht="68" customHeight="1">
      <x:c r="A382" s="4" t="n">
        <x:v>381</x:v>
      </x:c>
      <x:c r="B382" s="4" t="str">
        <x:v>ADMIN-0381</x:v>
      </x:c>
      <x:c r="C382" s="4" t="str">
        <x:v>M08 礼物、道具、任务、邀请与运营配置</x:v>
      </x:c>
      <x:c r="D382" s="4" t="str">
        <x:v>门票价格档位编辑（平台管理员视角）</x:v>
      </x:c>
      <x:c r="E382" s="4" t="str">
        <x:v>逻辑校验</x:v>
      </x:c>
      <x:c r="F382" s="4" t="str">
        <x:v>P1</x:v>
      </x:c>
      <x:c r="G382" s="4" t="str">
        <x:v>验证排序-1</x:v>
      </x:c>
      <x:c r="H382" s="4" t="str">
        <x:v>排序-1</x:v>
      </x:c>
      <x:c r="I382" s="4" t="str">
        <x:v>1. 已登录平台管理员账号
2. 其他必填字段与配置有效</x:v>
      </x:c>
      <x:c r="J382" s="4" t="str">
        <x:v>1. 进入「门票价格档位编辑」页
2. 填写排序-1
3. 点击保存</x:v>
      </x:c>
      <x:c r="K382" s="4" t="str">
        <x:v>排序校验失败，不能保存</x:v>
      </x:c>
      <x:c r="L382" s="4" t="str"/>
      <x:c r="M382" s="4" t="str">
        <x:v>未测</x:v>
      </x:c>
      <x:c r="N382" s="4" t="str"/>
      <x:c r="O382" s="4" t="str">
        <x:v>1. 来源：MainBasis/统一需求文档.md；A-admin-ticket-price-level-detail-004
2. 场景：SC-e946532f629370</x:v>
      </x:c>
    </x:row>
    <x:row r="383" ht="68" customHeight="1">
      <x:c r="A383" s="4" t="n">
        <x:v>382</x:v>
      </x:c>
      <x:c r="B383" s="4" t="str">
        <x:v>ADMIN-0382</x:v>
      </x:c>
      <x:c r="C383" s="4" t="str">
        <x:v>M08 礼物、道具、任务、邀请与运营配置</x:v>
      </x:c>
      <x:c r="D383" s="4" t="str">
        <x:v>门票价格档位编辑（平台管理员视角）</x:v>
      </x:c>
      <x:c r="E383" s="4" t="str">
        <x:v>逻辑校验</x:v>
      </x:c>
      <x:c r="F383" s="4" t="str">
        <x:v>P1</x:v>
      </x:c>
      <x:c r="G383" s="4" t="str">
        <x:v>验证排序0</x:v>
      </x:c>
      <x:c r="H383" s="4" t="str">
        <x:v>排序0</x:v>
      </x:c>
      <x:c r="I383" s="4" t="str">
        <x:v>1. 已登录平台管理员账号
2. 其他必填字段与配置有效</x:v>
      </x:c>
      <x:c r="J383" s="4" t="str">
        <x:v>1. 进入「门票价格档位编辑」页
2. 填写排序0
3. 点击保存</x:v>
      </x:c>
      <x:c r="K383" s="4" t="str">
        <x:v>排序校验失败，不能保存</x:v>
      </x:c>
      <x:c r="L383" s="4" t="str"/>
      <x:c r="M383" s="4" t="str">
        <x:v>未测</x:v>
      </x:c>
      <x:c r="N383" s="4" t="str"/>
      <x:c r="O383" s="4" t="str">
        <x:v>1. 来源：MainBasis/统一需求文档.md；A-admin-ticket-price-level-detail-004
2. 场景：SC-e4412294428f54</x:v>
      </x:c>
    </x:row>
    <x:row r="384" ht="68" customHeight="1">
      <x:c r="A384" s="4" t="n">
        <x:v>383</x:v>
      </x:c>
      <x:c r="B384" s="4" t="str">
        <x:v>ADMIN-0383</x:v>
      </x:c>
      <x:c r="C384" s="4" t="str">
        <x:v>M08 礼物、道具、任务、邀请与运营配置</x:v>
      </x:c>
      <x:c r="D384" s="4" t="str">
        <x:v>门票价格档位编辑（平台管理员视角）</x:v>
      </x:c>
      <x:c r="E384" s="4" t="str">
        <x:v>逻辑校验</x:v>
      </x:c>
      <x:c r="F384" s="4" t="str">
        <x:v>P1</x:v>
      </x:c>
      <x:c r="G384" s="4" t="str">
        <x:v>验证排序1</x:v>
      </x:c>
      <x:c r="H384" s="4" t="str">
        <x:v>排序1</x:v>
      </x:c>
      <x:c r="I384" s="4" t="str">
        <x:v>1. 已登录平台管理员账号
2. 其他必填字段与配置有效</x:v>
      </x:c>
      <x:c r="J384" s="4" t="str">
        <x:v>1. 进入「门票价格档位编辑」页
2. 填写排序1
3. 点击保存</x:v>
      </x:c>
      <x:c r="K384" s="4" t="str">
        <x:v>排序保存为1</x:v>
      </x:c>
      <x:c r="L384" s="4" t="str"/>
      <x:c r="M384" s="4" t="str">
        <x:v>未测</x:v>
      </x:c>
      <x:c r="N384" s="4" t="str"/>
      <x:c r="O384" s="4" t="str">
        <x:v>1. 来源：MainBasis/统一需求文档.md；A-admin-ticket-price-level-detail-004
2. 场景：SC-d42b6420b292c6</x:v>
      </x:c>
    </x:row>
    <x:row r="385" ht="68" customHeight="1">
      <x:c r="A385" s="4" t="n">
        <x:v>384</x:v>
      </x:c>
      <x:c r="B385" s="4" t="str">
        <x:v>ADMIN-0384</x:v>
      </x:c>
      <x:c r="C385" s="4" t="str">
        <x:v>M08 礼物、道具、任务、邀请与运营配置</x:v>
      </x:c>
      <x:c r="D385" s="4" t="str">
        <x:v>门票价格档位编辑（平台管理员视角）</x:v>
      </x:c>
      <x:c r="E385" s="4" t="str">
        <x:v>逻辑校验</x:v>
      </x:c>
      <x:c r="F385" s="4" t="str">
        <x:v>P1</x:v>
      </x:c>
      <x:c r="G385" s="4" t="str">
        <x:v>验证排序1.5</x:v>
      </x:c>
      <x:c r="H385" s="4" t="str">
        <x:v>排序1.5</x:v>
      </x:c>
      <x:c r="I385" s="4" t="str">
        <x:v>1. 已登录平台管理员账号
2. 其他必填字段与配置有效</x:v>
      </x:c>
      <x:c r="J385" s="4" t="str">
        <x:v>1. 进入「门票价格档位编辑」页
2. 填写排序1.5
3. 点击保存</x:v>
      </x:c>
      <x:c r="K385" s="4" t="str">
        <x:v>排序校验失败，不能保存</x:v>
      </x:c>
      <x:c r="L385" s="4" t="str"/>
      <x:c r="M385" s="4" t="str">
        <x:v>未测</x:v>
      </x:c>
      <x:c r="N385" s="4" t="str"/>
      <x:c r="O385" s="4" t="str">
        <x:v>1. 来源：MainBasis/统一需求文档.md；A-admin-ticket-price-level-detail-004
2. 场景：SC-7ccc7030dcc665</x:v>
      </x:c>
    </x:row>
    <x:row r="386" ht="68" customHeight="1">
      <x:c r="A386" s="4" t="n">
        <x:v>385</x:v>
      </x:c>
      <x:c r="B386" s="4" t="str">
        <x:v>ADMIN-0385</x:v>
      </x:c>
      <x:c r="C386" s="4" t="str">
        <x:v>M08 礼物、道具、任务、邀请与运营配置</x:v>
      </x:c>
      <x:c r="D386" s="4" t="str">
        <x:v>门票价格档位编辑（平台管理员视角）</x:v>
      </x:c>
      <x:c r="E386" s="4" t="str">
        <x:v>功能需求</x:v>
      </x:c>
      <x:c r="F386" s="4" t="str">
        <x:v>P1</x:v>
      </x:c>
      <x:c r="G386" s="4" t="str">
        <x:v>验证门票价格重复</x:v>
      </x:c>
      <x:c r="H386" s="4" t="str">
        <x:v>门票价格重复</x:v>
      </x:c>
      <x:c r="I386" s="4" t="str">
        <x:v>1. 已登录平台管理员账号
2. 已有50金币档位</x:v>
      </x:c>
      <x:c r="J386" s="4" t="str">
        <x:v>1. 进入「门票价格档位编辑」页
2. 新建档位价格50
3. 保存</x:v>
      </x:c>
      <x:c r="K386" s="4" t="str">
        <x:v>价格重复，不能保存</x:v>
      </x:c>
      <x:c r="L386" s="4" t="str"/>
      <x:c r="M386" s="4" t="str">
        <x:v>未测</x:v>
      </x:c>
      <x:c r="N386" s="4" t="str"/>
      <x:c r="O386" s="4" t="str">
        <x:v>1. 来源：MainBasis/统一需求文档.md；A-admin-ticket-price-level-detail-003、A-admin-ticket-price-level-003
2. 场景：SC-a96978474e8e70</x:v>
      </x:c>
    </x:row>
    <x:row r="387" ht="68" customHeight="1">
      <x:c r="A387" s="4" t="n">
        <x:v>386</x:v>
      </x:c>
      <x:c r="B387" s="4" t="str">
        <x:v>ADMIN-0386</x:v>
      </x:c>
      <x:c r="C387" s="4" t="str">
        <x:v>M08 礼物、道具、任务、邀请与运营配置</x:v>
      </x:c>
      <x:c r="D387" s="4" t="str">
        <x:v>门票价格档位编辑（平台管理员视角）</x:v>
      </x:c>
      <x:c r="E387" s="4" t="str">
        <x:v>功能需求</x:v>
      </x:c>
      <x:c r="F387" s="4" t="str">
        <x:v>P2</x:v>
      </x:c>
      <x:c r="G387" s="4" t="str">
        <x:v>验证档位 ID标识不可编辑</x:v>
      </x:c>
      <x:c r="H387" s="4" t="str">
        <x:v>档位 ID标识不可编辑</x:v>
      </x:c>
      <x:c r="I387" s="4" t="str">
        <x:v>1. 已登录平台管理员账号
2. 目标记录已创建</x:v>
      </x:c>
      <x:c r="J387" s="4" t="str">
        <x:v>1. 进入「门票价格档位编辑」页
2. 查看档位 ID标识不可编辑</x:v>
      </x:c>
      <x:c r="K387" s="4" t="str">
        <x:v>已生成的档位 ID可查看但不可编辑</x:v>
      </x:c>
      <x:c r="L387" s="4" t="str"/>
      <x:c r="M387" s="4" t="str">
        <x:v>未测</x:v>
      </x:c>
      <x:c r="N387" s="4" t="str"/>
      <x:c r="O387" s="4" t="str">
        <x:v>1. 来源：MainBasis/统一需求文档.md；A-admin-ticket-price-level-detail-002
2. 场景：SC-a07c803a420017</x:v>
      </x:c>
    </x:row>
    <x:row r="388" ht="68" customHeight="1">
      <x:c r="A388" s="4" t="n">
        <x:v>387</x:v>
      </x:c>
      <x:c r="B388" s="4" t="str">
        <x:v>ADMIN-0387</x:v>
      </x:c>
      <x:c r="C388" s="4" t="str">
        <x:v>M08 礼物、道具、任务、邀请与运营配置</x:v>
      </x:c>
      <x:c r="D388" s="4" t="str">
        <x:v>门票价格档位编辑（平台管理员视角）</x:v>
      </x:c>
      <x:c r="E388" s="4" t="str">
        <x:v>功能需求</x:v>
      </x:c>
      <x:c r="F388" s="4" t="str">
        <x:v>P1</x:v>
      </x:c>
      <x:c r="G388" s="4" t="str">
        <x:v>验证保存合法票价</x:v>
      </x:c>
      <x:c r="H388" s="4" t="str">
        <x:v>保存合法票价</x:v>
      </x:c>
      <x:c r="I388" s="4" t="str">
        <x:v>1. 已登录平台管理员账号
2. 价格50全局未重复、排序1、状态启用</x:v>
      </x:c>
      <x:c r="J388" s="4" t="str">
        <x:v>1. 进入「门票价格档位编辑」页
2. 点击保存</x:v>
      </x:c>
      <x:c r="K388" s="4" t="str">
        <x:v>列表新增启用50金币档位</x:v>
      </x:c>
      <x:c r="L388" s="4" t="str"/>
      <x:c r="M388" s="4" t="str">
        <x:v>未测</x:v>
      </x:c>
      <x:c r="N388" s="4" t="str"/>
      <x:c r="O388" s="4" t="str">
        <x:v>1. 来源：MainBasis/统一需求文档.md；A-admin-ticket-price-level-detail-006
2. 场景：SC-f8b1e4d6e6655f</x:v>
      </x:c>
    </x:row>
    <x:row r="389" ht="54" customHeight="1">
      <x:c r="A389" s="4" t="n">
        <x:v>388</x:v>
      </x:c>
      <x:c r="B389" s="4" t="str">
        <x:v>ADMIN-0388</x:v>
      </x:c>
      <x:c r="C389" s="4" t="str">
        <x:v>M09 运营账号、虚拟金币与公会消息</x:v>
      </x:c>
      <x:c r="D389" s="4" t="str">
        <x:v>账号列表-49（平台管理员视角）</x:v>
      </x:c>
      <x:c r="E389" s="4" t="str">
        <x:v>功能需求</x:v>
      </x:c>
      <x:c r="F389" s="4" t="str">
        <x:v>P2</x:v>
      </x:c>
      <x:c r="G389" s="4" t="str">
        <x:v>验证状态启用回显</x:v>
      </x:c>
      <x:c r="H389" s="4" t="str">
        <x:v>状态启用回显</x:v>
      </x:c>
      <x:c r="I389" s="4" t="str">
        <x:v>1. 已登录平台管理员账号
2. 所选记录状态为启用</x:v>
      </x:c>
      <x:c r="J389" s="4" t="str">
        <x:v>1. 进入「账号列表-49」页
2. 查看状态启用回显</x:v>
      </x:c>
      <x:c r="K389" s="4" t="str">
        <x:v>状态显示启用</x:v>
      </x:c>
      <x:c r="L389" s="4" t="str"/>
      <x:c r="M389" s="4" t="str">
        <x:v>未测</x:v>
      </x:c>
      <x:c r="N389" s="4" t="str"/>
      <x:c r="O389" s="4" t="str">
        <x:v>1. 来源：MainBasis/统一需求文档.md；A-admin-operation-accounts-006
2. 场景：SC-d01450df34a257</x:v>
      </x:c>
    </x:row>
    <x:row r="390" ht="54" customHeight="1">
      <x:c r="A390" s="4" t="n">
        <x:v>389</x:v>
      </x:c>
      <x:c r="B390" s="4" t="str">
        <x:v>ADMIN-0389</x:v>
      </x:c>
      <x:c r="C390" s="4" t="str">
        <x:v>M09 运营账号、虚拟金币与公会消息</x:v>
      </x:c>
      <x:c r="D390" s="4" t="str">
        <x:v>账号列表-49（平台管理员视角）</x:v>
      </x:c>
      <x:c r="E390" s="4" t="str">
        <x:v>功能需求</x:v>
      </x:c>
      <x:c r="F390" s="4" t="str">
        <x:v>P2</x:v>
      </x:c>
      <x:c r="G390" s="4" t="str">
        <x:v>验证状态停用回显</x:v>
      </x:c>
      <x:c r="H390" s="4" t="str">
        <x:v>状态停用回显</x:v>
      </x:c>
      <x:c r="I390" s="4" t="str">
        <x:v>1. 已登录平台管理员账号
2. 所选记录状态为停用</x:v>
      </x:c>
      <x:c r="J390" s="4" t="str">
        <x:v>1. 进入「账号列表-49」页
2. 查看状态停用回显</x:v>
      </x:c>
      <x:c r="K390" s="4" t="str">
        <x:v>状态显示停用</x:v>
      </x:c>
      <x:c r="L390" s="4" t="str"/>
      <x:c r="M390" s="4" t="str">
        <x:v>未测</x:v>
      </x:c>
      <x:c r="N390" s="4" t="str"/>
      <x:c r="O390" s="4" t="str">
        <x:v>1. 来源：MainBasis/统一需求文档.md；A-admin-operation-accounts-006
2. 场景：SC-ee2925aba9ee7d</x:v>
      </x:c>
    </x:row>
    <x:row r="391" ht="54" customHeight="1">
      <x:c r="A391" s="4" t="n">
        <x:v>390</x:v>
      </x:c>
      <x:c r="B391" s="4" t="str">
        <x:v>ADMIN-0390</x:v>
      </x:c>
      <x:c r="C391" s="4" t="str">
        <x:v>M09 运营账号、虚拟金币与公会消息</x:v>
      </x:c>
      <x:c r="D391" s="4" t="str">
        <x:v>账号列表-49（平台管理员视角）</x:v>
      </x:c>
      <x:c r="E391" s="4" t="str">
        <x:v>功能需求</x:v>
      </x:c>
      <x:c r="F391" s="4" t="str">
        <x:v>P1</x:v>
      </x:c>
      <x:c r="G391" s="4" t="str">
        <x:v>验证运营本月发放</x:v>
      </x:c>
      <x:c r="H391" s="4" t="str">
        <x:v>运营本月发放</x:v>
      </x:c>
      <x:c r="I391" s="4" t="str">
        <x:v>1. 已登录平台管理员账号
2. 该账号本月成功获发100和200，上月50</x:v>
      </x:c>
      <x:c r="J391" s="4" t="str">
        <x:v>1. 进入「账号列表-49」页
2. 查看运营本月发放</x:v>
      </x:c>
      <x:c r="K391" s="4" t="str">
        <x:v>本月发放300虚拟金币</x:v>
      </x:c>
      <x:c r="L391" s="4" t="str"/>
      <x:c r="M391" s="4" t="str">
        <x:v>未测</x:v>
      </x:c>
      <x:c r="N391" s="4" t="str"/>
      <x:c r="O391" s="4" t="str">
        <x:v>1. 来源：MainBasis/统一需求文档.md；A-admin-operation-accounts-005
2. 场景：SC-69d6c107a7aacb</x:v>
      </x:c>
    </x:row>
    <x:row r="392" ht="54" customHeight="1">
      <x:c r="A392" s="4" t="n">
        <x:v>391</x:v>
      </x:c>
      <x:c r="B392" s="4" t="str">
        <x:v>ADMIN-0391</x:v>
      </x:c>
      <x:c r="C392" s="4" t="str">
        <x:v>M09 运营账号、虚拟金币与公会消息</x:v>
      </x:c>
      <x:c r="D392" s="4" t="str">
        <x:v>账号列表-49（平台管理员视角）</x:v>
      </x:c>
      <x:c r="E392" s="4" t="str">
        <x:v>功能需求</x:v>
      </x:c>
      <x:c r="F392" s="4" t="str">
        <x:v>P1</x:v>
      </x:c>
      <x:c r="G392" s="4" t="str">
        <x:v>验证查看所选记录详情</x:v>
      </x:c>
      <x:c r="H392" s="4" t="str">
        <x:v>查看所选记录详情</x:v>
      </x:c>
      <x:c r="I392" s="4" t="str">
        <x:v>1. 已登录平台管理员账号
2. 当前列表存在一条属于查询范围的记录</x:v>
      </x:c>
      <x:c r="J392" s="4" t="str">
        <x:v>1. 进入「账号列表-49」页
2. 选择该记录
3. 打开详情</x:v>
      </x:c>
      <x:c r="K392" s="4" t="str">
        <x:v>详情对象与所选记录一致</x:v>
      </x:c>
      <x:c r="L392" s="4" t="str"/>
      <x:c r="M392" s="4" t="str">
        <x:v>未测</x:v>
      </x:c>
      <x:c r="N392" s="4" t="str"/>
      <x:c r="O392" s="4" t="str">
        <x:v>1. 来源：MainBasis/统一需求文档.md；A-admin-operation-accounts-009
2. 场景：SC-27b57b10bb76fb</x:v>
      </x:c>
    </x:row>
    <x:row r="393" ht="54" customHeight="1">
      <x:c r="A393" s="4" t="n">
        <x:v>392</x:v>
      </x:c>
      <x:c r="B393" s="4" t="str">
        <x:v>ADMIN-0392</x:v>
      </x:c>
      <x:c r="C393" s="4" t="str">
        <x:v>M09 运营账号、虚拟金币与公会消息</x:v>
      </x:c>
      <x:c r="D393" s="4" t="str">
        <x:v>运营账号主页（平台管理员视角）</x:v>
      </x:c>
      <x:c r="E393" s="4" t="str">
        <x:v>功能需求</x:v>
      </x:c>
      <x:c r="F393" s="4" t="str">
        <x:v>P2</x:v>
      </x:c>
      <x:c r="G393" s="4" t="str">
        <x:v>验证账号资料回显</x:v>
      </x:c>
      <x:c r="H393" s="4" t="str">
        <x:v>账号资料回显</x:v>
      </x:c>
      <x:c r="I393" s="4" t="str">
        <x:v>1. 已登录平台管理员账号
2. 所选对象存在，已记录该对象的账号资料值</x:v>
      </x:c>
      <x:c r="J393" s="4" t="str">
        <x:v>1. 进入「运营账号主页」页
2. 查看账号资料回显</x:v>
      </x:c>
      <x:c r="K393" s="4" t="str">
        <x:v>「账号资料」内容与所选对象的该项资料一致</x:v>
      </x:c>
      <x:c r="L393" s="4" t="str"/>
      <x:c r="M393" s="4" t="str">
        <x:v>未测</x:v>
      </x:c>
      <x:c r="N393" s="4" t="str"/>
      <x:c r="O393" s="4" t="str">
        <x:v>1. 来源：MainBasis/统一需求文档.md；A-admin-operation-account-detail-002
2. 场景：SC-a7c22ca9ae2e4e</x:v>
      </x:c>
    </x:row>
    <x:row r="394" ht="54" customHeight="1">
      <x:c r="A394" s="4" t="n">
        <x:v>393</x:v>
      </x:c>
      <x:c r="B394" s="4" t="str">
        <x:v>ADMIN-0393</x:v>
      </x:c>
      <x:c r="C394" s="4" t="str">
        <x:v>M09 运营账号、虚拟金币与公会消息</x:v>
      </x:c>
      <x:c r="D394" s="4" t="str">
        <x:v>运营账号主页（平台管理员视角）</x:v>
      </x:c>
      <x:c r="E394" s="4" t="str">
        <x:v>功能需求</x:v>
      </x:c>
      <x:c r="F394" s="4" t="str">
        <x:v>P1</x:v>
      </x:c>
      <x:c r="G394" s="4" t="str">
        <x:v>验证平台不能编辑运营资料重置密码</x:v>
      </x:c>
      <x:c r="H394" s="4" t="str">
        <x:v>平台不能编辑运营资料重置密码</x:v>
      </x:c>
      <x:c r="I394" s="4" t="str">
        <x:v>1. 已登录平台管理员账号
2. 当前为平台管理员</x:v>
      </x:c>
      <x:c r="J394" s="4" t="str">
        <x:v>1. 进入「运营账号主页」页
2. 查看平台不能编辑运营资料重置密码</x:v>
      </x:c>
      <x:c r="K394" s="4" t="str">
        <x:v>页面不允许执行编辑资料或重置密码</x:v>
      </x:c>
      <x:c r="L394" s="4" t="str"/>
      <x:c r="M394" s="4" t="str">
        <x:v>未测</x:v>
      </x:c>
      <x:c r="N394" s="4" t="str"/>
      <x:c r="O394" s="4" t="str">
        <x:v>1. 来源：MainBasis/统一需求文档.md；A-admin-operation-account-detail-008
2. 场景：SC-2efa457d05feda</x:v>
      </x:c>
    </x:row>
    <x:row r="395" ht="68" customHeight="1">
      <x:c r="A395" s="4" t="n">
        <x:v>394</x:v>
      </x:c>
      <x:c r="B395" s="4" t="str">
        <x:v>ADMIN-0394</x:v>
      </x:c>
      <x:c r="C395" s="4" t="str">
        <x:v>M09 运营账号、虚拟金币与公会消息</x:v>
      </x:c>
      <x:c r="D395" s="4" t="str">
        <x:v>运营账号主页（平台管理员视角）</x:v>
      </x:c>
      <x:c r="E395" s="4" t="str">
        <x:v>功能需求</x:v>
      </x:c>
      <x:c r="F395" s="4" t="str">
        <x:v>P1</x:v>
      </x:c>
      <x:c r="G395" s="4" t="str">
        <x:v>验证平台运营账号启用</x:v>
      </x:c>
      <x:c r="H395" s="4" t="str">
        <x:v>平台运营账号启用</x:v>
      </x:c>
      <x:c r="I395" s="4" t="str">
        <x:v>1. 已登录平台管理员账号
2. 目标账号存在且允许该状态变更</x:v>
      </x:c>
      <x:c r="J395" s="4" t="str">
        <x:v>1. 进入「运营账号主页」页
2. 选择启用
3. 确认</x:v>
      </x:c>
      <x:c r="K395" s="4" t="str">
        <x:v>目标状态更新并记录操作人和时间</x:v>
      </x:c>
      <x:c r="L395" s="4" t="str"/>
      <x:c r="M395" s="4" t="str">
        <x:v>未测</x:v>
      </x:c>
      <x:c r="N395" s="4" t="str"/>
      <x:c r="O395" s="4" t="str">
        <x:v>1. 来源：MainBasis/统一需求文档.md；A-admin-operation-account-detail-009、A-admin-operation-accounts-006、D-SYS-182
2. 场景：SC-73332bbd05dafb</x:v>
      </x:c>
    </x:row>
    <x:row r="396" ht="68" customHeight="1">
      <x:c r="A396" s="4" t="n">
        <x:v>395</x:v>
      </x:c>
      <x:c r="B396" s="4" t="str">
        <x:v>ADMIN-0395</x:v>
      </x:c>
      <x:c r="C396" s="4" t="str">
        <x:v>M09 运营账号、虚拟金币与公会消息</x:v>
      </x:c>
      <x:c r="D396" s="4" t="str">
        <x:v>运营账号主页（平台管理员视角）</x:v>
      </x:c>
      <x:c r="E396" s="4" t="str">
        <x:v>功能需求</x:v>
      </x:c>
      <x:c r="F396" s="4" t="str">
        <x:v>P1</x:v>
      </x:c>
      <x:c r="G396" s="4" t="str">
        <x:v>验证平台运营账号停用</x:v>
      </x:c>
      <x:c r="H396" s="4" t="str">
        <x:v>平台运营账号停用</x:v>
      </x:c>
      <x:c r="I396" s="4" t="str">
        <x:v>1. 已登录平台管理员账号
2. 目标账号存在且允许该状态变更</x:v>
      </x:c>
      <x:c r="J396" s="4" t="str">
        <x:v>1. 进入「运营账号主页」页
2. 选择停用
3. 确认</x:v>
      </x:c>
      <x:c r="K396" s="4" t="str">
        <x:v>目标状态更新并记录操作人和时间</x:v>
      </x:c>
      <x:c r="L396" s="4" t="str"/>
      <x:c r="M396" s="4" t="str">
        <x:v>未测</x:v>
      </x:c>
      <x:c r="N396" s="4" t="str"/>
      <x:c r="O396" s="4" t="str">
        <x:v>1. 来源：MainBasis/统一需求文档.md；A-admin-operation-account-detail-009、A-admin-operation-accounts-006、D-SYS-182
2. 场景：SC-40cd148ba12949</x:v>
      </x:c>
    </x:row>
    <x:row r="397" ht="68" customHeight="1">
      <x:c r="A397" s="4" t="n">
        <x:v>396</x:v>
      </x:c>
      <x:c r="B397" s="4" t="str">
        <x:v>ADMIN-0396</x:v>
      </x:c>
      <x:c r="C397" s="4" t="str">
        <x:v>M09 运营账号、虚拟金币与公会消息</x:v>
      </x:c>
      <x:c r="D397" s="4" t="str">
        <x:v>运营账号主页（平台管理员视角）</x:v>
      </x:c>
      <x:c r="E397" s="4" t="str">
        <x:v>功能需求</x:v>
      </x:c>
      <x:c r="F397" s="4" t="str">
        <x:v>P1</x:v>
      </x:c>
      <x:c r="G397" s="4" t="str">
        <x:v>验证平台运营账号锁定</x:v>
      </x:c>
      <x:c r="H397" s="4" t="str">
        <x:v>平台运营账号锁定</x:v>
      </x:c>
      <x:c r="I397" s="4" t="str">
        <x:v>1. 已登录平台管理员账号
2. 目标账号存在且允许该状态变更</x:v>
      </x:c>
      <x:c r="J397" s="4" t="str">
        <x:v>1. 进入「运营账号主页」页
2. 选择锁定
3. 确认</x:v>
      </x:c>
      <x:c r="K397" s="4" t="str">
        <x:v>目标状态更新并记录操作人和时间</x:v>
      </x:c>
      <x:c r="L397" s="4" t="str"/>
      <x:c r="M397" s="4" t="str">
        <x:v>未测</x:v>
      </x:c>
      <x:c r="N397" s="4" t="str"/>
      <x:c r="O397" s="4" t="str">
        <x:v>1. 来源：MainBasis/统一需求文档.md；A-admin-operation-account-detail-009、A-admin-operation-accounts-006、D-SYS-182
2. 场景：SC-3fdb5d80135257</x:v>
      </x:c>
    </x:row>
    <x:row r="398" ht="54" customHeight="1">
      <x:c r="A398" s="4" t="n">
        <x:v>397</x:v>
      </x:c>
      <x:c r="B398" s="4" t="str">
        <x:v>ADMIN-0397</x:v>
      </x:c>
      <x:c r="C398" s="4" t="str">
        <x:v>M09 运营账号、虚拟金币与公会消息</x:v>
      </x:c>
      <x:c r="D398" s="4" t="str">
        <x:v>运营账号主页（平台管理员视角）</x:v>
      </x:c>
      <x:c r="E398" s="4" t="str">
        <x:v>逻辑校验</x:v>
      </x:c>
      <x:c r="F398" s="4" t="str">
        <x:v>P1</x:v>
      </x:c>
      <x:c r="G398" s="4" t="str">
        <x:v>验证单价与数量乘积</x:v>
      </x:c>
      <x:c r="H398" s="4" t="str">
        <x:v>单价与数量乘积</x:v>
      </x:c>
      <x:c r="I398" s="4" t="str">
        <x:v>1. 已登录平台管理员账号
2. 本笔记录单价10、数量3</x:v>
      </x:c>
      <x:c r="J398" s="4" t="str">
        <x:v>1. 进入「运营账号主页」页
2. 查看单价与数量乘积</x:v>
      </x:c>
      <x:c r="K398" s="4" t="str">
        <x:v>金额 = 10 × 3 = 30金币</x:v>
      </x:c>
      <x:c r="L398" s="4" t="str"/>
      <x:c r="M398" s="4" t="str">
        <x:v>未测</x:v>
      </x:c>
      <x:c r="N398" s="4" t="str"/>
      <x:c r="O398" s="4" t="str">
        <x:v>1. 来源：MainBasis/统一需求文档.md；A-admin-operation-account-detail-005
2. 场景：SC-3ca4095076d862</x:v>
      </x:c>
    </x:row>
    <x:row r="399" ht="54" customHeight="1">
      <x:c r="A399" s="4" t="n">
        <x:v>398</x:v>
      </x:c>
      <x:c r="B399" s="4" t="str">
        <x:v>ADMIN-0398</x:v>
      </x:c>
      <x:c r="C399" s="4" t="str">
        <x:v>M09 运营账号、虚拟金币与公会消息</x:v>
      </x:c>
      <x:c r="D399" s="4" t="str">
        <x:v>发放记录-50（平台管理员视角）</x:v>
      </x:c>
      <x:c r="E399" s="4" t="str">
        <x:v>功能需求</x:v>
      </x:c>
      <x:c r="F399" s="4" t="str">
        <x:v>P2</x:v>
      </x:c>
      <x:c r="G399" s="4" t="str">
        <x:v>验证操作人回显</x:v>
      </x:c>
      <x:c r="H399" s="4" t="str">
        <x:v>操作人回显</x:v>
      </x:c>
      <x:c r="I399" s="4" t="str">
        <x:v>1. 已登录平台管理员账号
2. 所选对象存在，已记录该对象的操作人值</x:v>
      </x:c>
      <x:c r="J399" s="4" t="str">
        <x:v>1. 进入「发放记录-50」页
2. 查看操作人回显</x:v>
      </x:c>
      <x:c r="K399" s="4" t="str">
        <x:v>「操作人」内容与所选对象的该项资料一致</x:v>
      </x:c>
      <x:c r="L399" s="4" t="str"/>
      <x:c r="M399" s="4" t="str">
        <x:v>未测</x:v>
      </x:c>
      <x:c r="N399" s="4" t="str"/>
      <x:c r="O399" s="4" t="str">
        <x:v>1. 来源：MainBasis/统一需求文档.md；A-admin-operation-issue-records-005
2. 场景：SC-87b7d1b7a68411</x:v>
      </x:c>
    </x:row>
    <x:row r="400" ht="68" customHeight="1">
      <x:c r="A400" s="4" t="n">
        <x:v>399</x:v>
      </x:c>
      <x:c r="B400" s="4" t="str">
        <x:v>ADMIN-0399</x:v>
      </x:c>
      <x:c r="C400" s="4" t="str">
        <x:v>M09 运营账号、虚拟金币与公会消息</x:v>
      </x:c>
      <x:c r="D400" s="4" t="str">
        <x:v>发放记录-50（平台管理员视角）</x:v>
      </x:c>
      <x:c r="E400" s="4" t="str">
        <x:v>逻辑校验</x:v>
      </x:c>
      <x:c r="F400" s="4" t="str">
        <x:v>P1</x:v>
      </x:c>
      <x:c r="G400" s="4" t="str">
        <x:v>验证虚拟发放后余额</x:v>
      </x:c>
      <x:c r="H400" s="4" t="str">
        <x:v>虚拟发放后余额</x:v>
      </x:c>
      <x:c r="I400" s="4" t="str">
        <x:v>1. 已登录平台管理员账号
2. 发放前余额50，本次成功发放20</x:v>
      </x:c>
      <x:c r="J400" s="4" t="str">
        <x:v>1. 进入「发放记录-50」页
2. 查看虚拟发放后余额</x:v>
      </x:c>
      <x:c r="K400" s="4" t="str">
        <x:v>发放后余额 = 50 + 20 = 70</x:v>
      </x:c>
      <x:c r="L400" s="4" t="str"/>
      <x:c r="M400" s="4" t="str">
        <x:v>未测</x:v>
      </x:c>
      <x:c r="N400" s="4" t="str"/>
      <x:c r="O400" s="4" t="str">
        <x:v>1. 来源：MainBasis/统一需求文档.md；A-admin-operation-issue-records-004、A-admin-operation-account-detail-004
2. 场景：SC-b54bfa8f5225b9</x:v>
      </x:c>
    </x:row>
    <x:row r="401" ht="82" customHeight="1">
      <x:c r="A401" s="4" t="n">
        <x:v>400</x:v>
      </x:c>
      <x:c r="B401" s="4" t="str">
        <x:v>ADMIN-0400</x:v>
      </x:c>
      <x:c r="C401" s="4" t="str">
        <x:v>M09 运营账号、虚拟金币与公会消息</x:v>
      </x:c>
      <x:c r="D401" s="4" t="str">
        <x:v>发放记录-50（平台管理员视角）</x:v>
      </x:c>
      <x:c r="E401" s="4" t="str">
        <x:v>功能需求</x:v>
      </x:c>
      <x:c r="F401" s="4" t="str">
        <x:v>P1</x:v>
      </x:c>
      <x:c r="G401" s="4" t="str">
        <x:v>验证公会与账号与时间共同筛选</x:v>
      </x:c>
      <x:c r="H401" s="4" t="str">
        <x:v>公会与账号与时间共同筛选</x:v>
      </x:c>
      <x:c r="I401" s="4" t="str">
        <x:v>1. 已登录平台管理员账号
2. 记录甲满足公会与账号与时间全部条件，记录乙仅满足其中部分条件，记录丙全不满足</x:v>
      </x:c>
      <x:c r="J401" s="4" t="str">
        <x:v>1. 进入「发放记录-50」页
2. 选择公会为记录甲对应值
3. 选择账号为记录甲对应值
4. 选择时间为记录甲对应值
5. 点击查询</x:v>
      </x:c>
      <x:c r="K401" s="4" t="str">
        <x:v>结果仅包含记录甲</x:v>
      </x:c>
      <x:c r="L401" s="4" t="str"/>
      <x:c r="M401" s="4" t="str">
        <x:v>未测</x:v>
      </x:c>
      <x:c r="N401" s="4" t="str"/>
      <x:c r="O401" s="4" t="str">
        <x:v>1. 来源：MainBasis/统一需求文档.md；A-admin-operation-issue-records-009
2. 场景：SC-3aee34b08f2656</x:v>
      </x:c>
    </x:row>
    <x:row r="402" ht="54" customHeight="1">
      <x:c r="A402" s="4" t="n">
        <x:v>401</x:v>
      </x:c>
      <x:c r="B402" s="4" t="str">
        <x:v>ADMIN-0401</x:v>
      </x:c>
      <x:c r="C402" s="4" t="str">
        <x:v>M09 运营账号、虚拟金币与公会消息</x:v>
      </x:c>
      <x:c r="D402" s="4" t="str">
        <x:v>发放记录-50（平台管理员视角）</x:v>
      </x:c>
      <x:c r="E402" s="4" t="str">
        <x:v>功能需求</x:v>
      </x:c>
      <x:c r="F402" s="4" t="str">
        <x:v>P1</x:v>
      </x:c>
      <x:c r="G402" s="4" t="str">
        <x:v>验证单笔发放数量</x:v>
      </x:c>
      <x:c r="H402" s="4" t="str">
        <x:v>单笔发放数量</x:v>
      </x:c>
      <x:c r="I402" s="4" t="str">
        <x:v>1. 已登录平台管理员账号
2. 所属公会本笔成功发放20虚拟金币</x:v>
      </x:c>
      <x:c r="J402" s="4" t="str">
        <x:v>1. 进入「发放记录-50」页
2. 查看单笔发放数量</x:v>
      </x:c>
      <x:c r="K402" s="4" t="str">
        <x:v>发放记录显示20虚拟金币</x:v>
      </x:c>
      <x:c r="L402" s="4" t="str"/>
      <x:c r="M402" s="4" t="str">
        <x:v>未测</x:v>
      </x:c>
      <x:c r="N402" s="4" t="str"/>
      <x:c r="O402" s="4" t="str">
        <x:v>1. 来源：MainBasis/统一需求文档.md；A-admin-operation-issue-records-003
2. 场景：SC-243e140f895e3d</x:v>
      </x:c>
    </x:row>
    <x:row r="403" ht="54" customHeight="1">
      <x:c r="A403" s="4" t="n">
        <x:v>402</x:v>
      </x:c>
      <x:c r="B403" s="4" t="str">
        <x:v>ADMIN-0402</x:v>
      </x:c>
      <x:c r="C403" s="4" t="str">
        <x:v>M09 运营账号、虚拟金币与公会消息</x:v>
      </x:c>
      <x:c r="D403" s="4" t="str">
        <x:v>发放记录-50（平台管理员视角）</x:v>
      </x:c>
      <x:c r="E403" s="4" t="str">
        <x:v>功能需求</x:v>
      </x:c>
      <x:c r="F403" s="4" t="str">
        <x:v>P1</x:v>
      </x:c>
      <x:c r="G403" s="4" t="str">
        <x:v>验证发放以成功时间计月</x:v>
      </x:c>
      <x:c r="H403" s="4" t="str">
        <x:v>发放以成功时间计月</x:v>
      </x:c>
      <x:c r="I403" s="4" t="str">
        <x:v>1. 已登录平台管理员账号
2. 发放请求8月31日提交，9月1日成功</x:v>
      </x:c>
      <x:c r="J403" s="4" t="str">
        <x:v>1. 进入「发放记录-50」页
2. 查看发放以成功时间计月</x:v>
      </x:c>
      <x:c r="K403" s="4" t="str">
        <x:v>发放计入9月额度并记录成功时间</x:v>
      </x:c>
      <x:c r="L403" s="4" t="str"/>
      <x:c r="M403" s="4" t="str">
        <x:v>未测</x:v>
      </x:c>
      <x:c r="N403" s="4" t="str"/>
      <x:c r="O403" s="4" t="str">
        <x:v>1. 来源：MainBasis/统一需求文档.md；A-admin-operation-issue-records-006
2. 场景：SC-4dfc91af3269f8</x:v>
      </x:c>
    </x:row>
    <x:row r="404" ht="54" customHeight="1">
      <x:c r="A404" s="4" t="n">
        <x:v>403</x:v>
      </x:c>
      <x:c r="B404" s="4" t="str">
        <x:v>ADMIN-0403</x:v>
      </x:c>
      <x:c r="C404" s="4" t="str">
        <x:v>M09 运营账号、虚拟金币与公会消息</x:v>
      </x:c>
      <x:c r="D404" s="4" t="str">
        <x:v>送礼记录-51（平台管理员视角）</x:v>
      </x:c>
      <x:c r="E404" s="4" t="str">
        <x:v>功能需求</x:v>
      </x:c>
      <x:c r="F404" s="4" t="str">
        <x:v>P2</x:v>
      </x:c>
      <x:c r="G404" s="4" t="str">
        <x:v>验证礼物、主播回显</x:v>
      </x:c>
      <x:c r="H404" s="4" t="str">
        <x:v>礼物、主播回显</x:v>
      </x:c>
      <x:c r="I404" s="4" t="str">
        <x:v>1. 已登录平台管理员账号
2. 所选对象存在，已记录该对象的礼物 / 主播值</x:v>
      </x:c>
      <x:c r="J404" s="4" t="str">
        <x:v>1. 进入「送礼记录-51」页
2. 查看礼物、主播回显</x:v>
      </x:c>
      <x:c r="K404" s="4" t="str">
        <x:v>「礼物 / 主播」内容与所选对象的该项资料一致</x:v>
      </x:c>
      <x:c r="L404" s="4" t="str"/>
      <x:c r="M404" s="4" t="str">
        <x:v>未测</x:v>
      </x:c>
      <x:c r="N404" s="4" t="str"/>
      <x:c r="O404" s="4" t="str">
        <x:v>1. 来源：MainBasis/统一需求文档.md；A-admin-operation-gift-records-003
2. 场景：SC-243ea664f43652</x:v>
      </x:c>
    </x:row>
    <x:row r="405" ht="54" customHeight="1">
      <x:c r="A405" s="4" t="n">
        <x:v>404</x:v>
      </x:c>
      <x:c r="B405" s="4" t="str">
        <x:v>ADMIN-0404</x:v>
      </x:c>
      <x:c r="C405" s="4" t="str">
        <x:v>M09 运营账号、虚拟金币与公会消息</x:v>
      </x:c>
      <x:c r="D405" s="4" t="str">
        <x:v>送礼记录-51（平台管理员视角）</x:v>
      </x:c>
      <x:c r="E405" s="4" t="str">
        <x:v>功能需求</x:v>
      </x:c>
      <x:c r="F405" s="4" t="str">
        <x:v>P2</x:v>
      </x:c>
      <x:c r="G405" s="4" t="str">
        <x:v>验证赠送时间回显</x:v>
      </x:c>
      <x:c r="H405" s="4" t="str">
        <x:v>赠送时间回显</x:v>
      </x:c>
      <x:c r="I405" s="4" t="str">
        <x:v>1. 已登录平台管理员账号
2. 所选对象存在，已记录该对象的赠送时间值</x:v>
      </x:c>
      <x:c r="J405" s="4" t="str">
        <x:v>1. 进入「送礼记录-51」页
2. 查看赠送时间回显</x:v>
      </x:c>
      <x:c r="K405" s="4" t="str">
        <x:v>「赠送时间」内容与所选对象的该项资料一致</x:v>
      </x:c>
      <x:c r="L405" s="4" t="str"/>
      <x:c r="M405" s="4" t="str">
        <x:v>未测</x:v>
      </x:c>
      <x:c r="N405" s="4" t="str"/>
      <x:c r="O405" s="4" t="str">
        <x:v>1. 来源：MainBasis/统一需求文档.md；A-admin-operation-gift-records-005
2. 场景：SC-9f3f8ad74a5e46</x:v>
      </x:c>
    </x:row>
    <x:row r="406" ht="82" customHeight="1">
      <x:c r="A406" s="4" t="n">
        <x:v>405</x:v>
      </x:c>
      <x:c r="B406" s="4" t="str">
        <x:v>ADMIN-0405</x:v>
      </x:c>
      <x:c r="C406" s="4" t="str">
        <x:v>M09 运营账号、虚拟金币与公会消息</x:v>
      </x:c>
      <x:c r="D406" s="4" t="str">
        <x:v>送礼记录-51（平台管理员视角）</x:v>
      </x:c>
      <x:c r="E406" s="4" t="str">
        <x:v>功能需求</x:v>
      </x:c>
      <x:c r="F406" s="4" t="str">
        <x:v>P1</x:v>
      </x:c>
      <x:c r="G406" s="4" t="str">
        <x:v>验证虚拟赠礼不进真实收益</x:v>
      </x:c>
      <x:c r="H406" s="4" t="str">
        <x:v>虚拟赠礼不进真实收益</x:v>
      </x:c>
      <x:c r="I406" s="4" t="str">
        <x:v>1. 已登录平台管理员账号
2. 运营账号成功赠礼100虚拟金币</x:v>
      </x:c>
      <x:c r="J406" s="4" t="str">
        <x:v>1. 进入「送礼记录-51」页
2. 查看虚拟赠礼不进真实收益</x:v>
      </x:c>
      <x:c r="K406" s="4" t="str">
        <x:v>记录仅计氛围和榜单，不增加真实消费、主播收益或公会分成</x:v>
      </x:c>
      <x:c r="L406" s="4" t="str"/>
      <x:c r="M406" s="4" t="str">
        <x:v>未测</x:v>
      </x:c>
      <x:c r="N406" s="4" t="str"/>
      <x:c r="O406" s="4" t="str">
        <x:v>1. 来源：MainBasis/统一需求文档.md；A-admin-operation-gift-records-007、U-views_live-room_gift-007、A-admin-operation-accounts-008、D-SYS-183、D-SYS-184
2. 场景：SC-5ac70a68cce51c</x:v>
      </x:c>
    </x:row>
    <x:row r="407" ht="54" customHeight="1">
      <x:c r="A407" s="4" t="n">
        <x:v>406</x:v>
      </x:c>
      <x:c r="B407" s="4" t="str">
        <x:v>ADMIN-0406</x:v>
      </x:c>
      <x:c r="C407" s="4" t="str">
        <x:v>M09 运营账号、虚拟金币与公会消息</x:v>
      </x:c>
      <x:c r="D407" s="4" t="str">
        <x:v>送礼记录-51（平台管理员视角）</x:v>
      </x:c>
      <x:c r="E407" s="4" t="str">
        <x:v>逻辑校验</x:v>
      </x:c>
      <x:c r="F407" s="4" t="str">
        <x:v>P1</x:v>
      </x:c>
      <x:c r="G407" s="4" t="str">
        <x:v>验证单价与数量乘积</x:v>
      </x:c>
      <x:c r="H407" s="4" t="str">
        <x:v>单价与数量乘积</x:v>
      </x:c>
      <x:c r="I407" s="4" t="str">
        <x:v>1. 已登录平台管理员账号
2. 本笔记录单价10、数量3</x:v>
      </x:c>
      <x:c r="J407" s="4" t="str">
        <x:v>1. 进入「送礼记录-51」页
2. 查看单价与数量乘积</x:v>
      </x:c>
      <x:c r="K407" s="4" t="str">
        <x:v>金额 = 10 × 3 = 30金币</x:v>
      </x:c>
      <x:c r="L407" s="4" t="str"/>
      <x:c r="M407" s="4" t="str">
        <x:v>未测</x:v>
      </x:c>
      <x:c r="N407" s="4" t="str"/>
      <x:c r="O407" s="4" t="str">
        <x:v>1. 来源：MainBasis/统一需求文档.md；A-admin-operation-gift-records-004
2. 场景：SC-b26c5cf8cb5403</x:v>
      </x:c>
    </x:row>
    <x:row r="408" ht="82" customHeight="1">
      <x:c r="A408" s="4" t="n">
        <x:v>407</x:v>
      </x:c>
      <x:c r="B408" s="4" t="str">
        <x:v>ADMIN-0407</x:v>
      </x:c>
      <x:c r="C408" s="4" t="str">
        <x:v>M09 运营账号、虚拟金币与公会消息</x:v>
      </x:c>
      <x:c r="D408" s="4" t="str">
        <x:v>送礼记录-51（平台管理员视角）</x:v>
      </x:c>
      <x:c r="E408" s="4" t="str">
        <x:v>功能需求</x:v>
      </x:c>
      <x:c r="F408" s="4" t="str">
        <x:v>P1</x:v>
      </x:c>
      <x:c r="G408" s="4" t="str">
        <x:v>验证公会与账号与时间共同筛选</x:v>
      </x:c>
      <x:c r="H408" s="4" t="str">
        <x:v>公会与账号与时间共同筛选</x:v>
      </x:c>
      <x:c r="I408" s="4" t="str">
        <x:v>1. 已登录平台管理员账号
2. 记录甲满足公会与账号与时间全部条件，记录乙仅满足其中部分条件，记录丙全不满足</x:v>
      </x:c>
      <x:c r="J408" s="4" t="str">
        <x:v>1. 进入「送礼记录-51」页
2. 选择公会为记录甲对应值
3. 选择账号为记录甲对应值
4. 选择时间为记录甲对应值
5. 点击查询</x:v>
      </x:c>
      <x:c r="K408" s="4" t="str">
        <x:v>结果仅包含记录甲</x:v>
      </x:c>
      <x:c r="L408" s="4" t="str"/>
      <x:c r="M408" s="4" t="str">
        <x:v>未测</x:v>
      </x:c>
      <x:c r="N408" s="4" t="str"/>
      <x:c r="O408" s="4" t="str">
        <x:v>1. 来源：MainBasis/统一需求文档.md；A-admin-operation-gift-records-008
2. 场景：SC-67e161a30f2e35</x:v>
      </x:c>
    </x:row>
    <x:row r="409" ht="68" customHeight="1">
      <x:c r="A409" s="4" t="n">
        <x:v>408</x:v>
      </x:c>
      <x:c r="B409" s="4" t="str">
        <x:v>ADMIN-0408</x:v>
      </x:c>
      <x:c r="C409" s="4" t="str">
        <x:v>M09 运营账号、虚拟金币与公会消息</x:v>
      </x:c>
      <x:c r="D409" s="4" t="str">
        <x:v>额度限制-52（平台管理员视角）</x:v>
      </x:c>
      <x:c r="E409" s="4" t="str">
        <x:v>功能需求</x:v>
      </x:c>
      <x:c r="F409" s="4" t="str">
        <x:v>P1</x:v>
      </x:c>
      <x:c r="G409" s="4" t="str">
        <x:v>验证公会总上限99限制</x:v>
      </x:c>
      <x:c r="H409" s="4" t="str">
        <x:v>公会总上限99限制</x:v>
      </x:c>
      <x:c r="I409" s="4" t="str">
        <x:v>1. 已登录平台管理员账号
2. 公会本月已发100，单账号最高已发50，公会配置总上限100</x:v>
      </x:c>
      <x:c r="J409" s="4" t="str">
        <x:v>1. 进入「额度限制-52」页
2. 设置公会总上限为99
3. 保存</x:v>
      </x:c>
      <x:c r="K409" s="4" t="str">
        <x:v>低于本月已发，不能保存</x:v>
      </x:c>
      <x:c r="L409" s="4" t="str"/>
      <x:c r="M409" s="4" t="str">
        <x:v>未测</x:v>
      </x:c>
      <x:c r="N409" s="4" t="str"/>
      <x:c r="O409" s="4" t="str">
        <x:v>1. 来源：MainBasis/统一需求文档.md；A-admin-operation-guild-controls-010、A-admin-operation-guild-controls-011、D-SYS-181
2. 场景：SC-e82cd9aacdd23b</x:v>
      </x:c>
    </x:row>
    <x:row r="410" ht="68" customHeight="1">
      <x:c r="A410" s="4" t="n">
        <x:v>409</x:v>
      </x:c>
      <x:c r="B410" s="4" t="str">
        <x:v>ADMIN-0409</x:v>
      </x:c>
      <x:c r="C410" s="4" t="str">
        <x:v>M09 运营账号、虚拟金币与公会消息</x:v>
      </x:c>
      <x:c r="D410" s="4" t="str">
        <x:v>额度限制-52（平台管理员视角）</x:v>
      </x:c>
      <x:c r="E410" s="4" t="str">
        <x:v>功能需求</x:v>
      </x:c>
      <x:c r="F410" s="4" t="str">
        <x:v>P1</x:v>
      </x:c>
      <x:c r="G410" s="4" t="str">
        <x:v>验证公会总上限100限制</x:v>
      </x:c>
      <x:c r="H410" s="4" t="str">
        <x:v>公会总上限100限制</x:v>
      </x:c>
      <x:c r="I410" s="4" t="str">
        <x:v>1. 已登录平台管理员账号
2. 公会本月已发100，单账号最高已发50，公会配置总上限100</x:v>
      </x:c>
      <x:c r="J410" s="4" t="str">
        <x:v>1. 进入「额度限制-52」页
2. 设置公会总上限为100
3. 保存</x:v>
      </x:c>
      <x:c r="K410" s="4" t="str">
        <x:v>上限可保存</x:v>
      </x:c>
      <x:c r="L410" s="4" t="str"/>
      <x:c r="M410" s="4" t="str">
        <x:v>未测</x:v>
      </x:c>
      <x:c r="N410" s="4" t="str"/>
      <x:c r="O410" s="4" t="str">
        <x:v>1. 来源：MainBasis/统一需求文档.md；A-admin-operation-guild-controls-010、A-admin-operation-guild-controls-011、D-SYS-181
2. 场景：SC-29ad42f5b68af3</x:v>
      </x:c>
    </x:row>
    <x:row r="411" ht="68" customHeight="1">
      <x:c r="A411" s="4" t="n">
        <x:v>410</x:v>
      </x:c>
      <x:c r="B411" s="4" t="str">
        <x:v>ADMIN-0410</x:v>
      </x:c>
      <x:c r="C411" s="4" t="str">
        <x:v>M09 运营账号、虚拟金币与公会消息</x:v>
      </x:c>
      <x:c r="D411" s="4" t="str">
        <x:v>额度限制-52（平台管理员视角）</x:v>
      </x:c>
      <x:c r="E411" s="4" t="str">
        <x:v>功能需求</x:v>
      </x:c>
      <x:c r="F411" s="4" t="str">
        <x:v>P1</x:v>
      </x:c>
      <x:c r="G411" s="4" t="str">
        <x:v>验证公会总上限101限制</x:v>
      </x:c>
      <x:c r="H411" s="4" t="str">
        <x:v>公会总上限101限制</x:v>
      </x:c>
      <x:c r="I411" s="4" t="str">
        <x:v>1. 已登录平台管理员账号
2. 公会本月已发100，单账号最高已发50，公会配置总上限100</x:v>
      </x:c>
      <x:c r="J411" s="4" t="str">
        <x:v>1. 进入「额度限制-52」页
2. 设置公会总上限为101
3. 保存</x:v>
      </x:c>
      <x:c r="K411" s="4" t="str">
        <x:v>上限可保存</x:v>
      </x:c>
      <x:c r="L411" s="4" t="str"/>
      <x:c r="M411" s="4" t="str">
        <x:v>未测</x:v>
      </x:c>
      <x:c r="N411" s="4" t="str"/>
      <x:c r="O411" s="4" t="str">
        <x:v>1. 来源：MainBasis/统一需求文档.md；A-admin-operation-guild-controls-010、A-admin-operation-guild-controls-011、D-SYS-181
2. 场景：SC-752ccd9f97a3c0</x:v>
      </x:c>
    </x:row>
    <x:row r="412" ht="68" customHeight="1">
      <x:c r="A412" s="4" t="n">
        <x:v>411</x:v>
      </x:c>
      <x:c r="B412" s="4" t="str">
        <x:v>ADMIN-0411</x:v>
      </x:c>
      <x:c r="C412" s="4" t="str">
        <x:v>M09 运营账号、虚拟金币与公会消息</x:v>
      </x:c>
      <x:c r="D412" s="4" t="str">
        <x:v>额度限制-52（平台管理员视角）</x:v>
      </x:c>
      <x:c r="E412" s="4" t="str">
        <x:v>功能需求</x:v>
      </x:c>
      <x:c r="F412" s="4" t="str">
        <x:v>P1</x:v>
      </x:c>
      <x:c r="G412" s="4" t="str">
        <x:v>验证单账号上限49限制</x:v>
      </x:c>
      <x:c r="H412" s="4" t="str">
        <x:v>单账号上限49限制</x:v>
      </x:c>
      <x:c r="I412" s="4" t="str">
        <x:v>1. 已登录平台管理员账号
2. 公会本月已发100，单账号最高已发50，公会配置总上限100</x:v>
      </x:c>
      <x:c r="J412" s="4" t="str">
        <x:v>1. 进入「额度限制-52」页
2. 设置单账号上限为49
3. 保存</x:v>
      </x:c>
      <x:c r="K412" s="4" t="str">
        <x:v>不满足单账号下限或公会上限，不能保存</x:v>
      </x:c>
      <x:c r="L412" s="4" t="str"/>
      <x:c r="M412" s="4" t="str">
        <x:v>未测</x:v>
      </x:c>
      <x:c r="N412" s="4" t="str"/>
      <x:c r="O412" s="4" t="str">
        <x:v>1. 来源：MainBasis/统一需求文档.md；A-admin-operation-guild-controls-010、A-admin-operation-guild-controls-011、D-SYS-181
2. 场景：SC-6870f6390bc7b3</x:v>
      </x:c>
    </x:row>
    <x:row r="413" ht="68" customHeight="1">
      <x:c r="A413" s="4" t="n">
        <x:v>412</x:v>
      </x:c>
      <x:c r="B413" s="4" t="str">
        <x:v>ADMIN-0412</x:v>
      </x:c>
      <x:c r="C413" s="4" t="str">
        <x:v>M09 运营账号、虚拟金币与公会消息</x:v>
      </x:c>
      <x:c r="D413" s="4" t="str">
        <x:v>额度限制-52（平台管理员视角）</x:v>
      </x:c>
      <x:c r="E413" s="4" t="str">
        <x:v>功能需求</x:v>
      </x:c>
      <x:c r="F413" s="4" t="str">
        <x:v>P1</x:v>
      </x:c>
      <x:c r="G413" s="4" t="str">
        <x:v>验证单账号上限50限制</x:v>
      </x:c>
      <x:c r="H413" s="4" t="str">
        <x:v>单账号上限50限制</x:v>
      </x:c>
      <x:c r="I413" s="4" t="str">
        <x:v>1. 已登录平台管理员账号
2. 公会本月已发100，单账号最高已发50，公会配置总上限100</x:v>
      </x:c>
      <x:c r="J413" s="4" t="str">
        <x:v>1. 进入「额度限制-52」页
2. 设置单账号上限为50
3. 保存</x:v>
      </x:c>
      <x:c r="K413" s="4" t="str">
        <x:v>上限可保存</x:v>
      </x:c>
      <x:c r="L413" s="4" t="str"/>
      <x:c r="M413" s="4" t="str">
        <x:v>未测</x:v>
      </x:c>
      <x:c r="N413" s="4" t="str"/>
      <x:c r="O413" s="4" t="str">
        <x:v>1. 来源：MainBasis/统一需求文档.md；A-admin-operation-guild-controls-010、A-admin-operation-guild-controls-011、D-SYS-181
2. 场景：SC-37d18303d98b69</x:v>
      </x:c>
    </x:row>
    <x:row r="414" ht="68" customHeight="1">
      <x:c r="A414" s="4" t="n">
        <x:v>413</x:v>
      </x:c>
      <x:c r="B414" s="4" t="str">
        <x:v>ADMIN-0413</x:v>
      </x:c>
      <x:c r="C414" s="4" t="str">
        <x:v>M09 运营账号、虚拟金币与公会消息</x:v>
      </x:c>
      <x:c r="D414" s="4" t="str">
        <x:v>额度限制-52（平台管理员视角）</x:v>
      </x:c>
      <x:c r="E414" s="4" t="str">
        <x:v>功能需求</x:v>
      </x:c>
      <x:c r="F414" s="4" t="str">
        <x:v>P1</x:v>
      </x:c>
      <x:c r="G414" s="4" t="str">
        <x:v>验证单账号上限51限制</x:v>
      </x:c>
      <x:c r="H414" s="4" t="str">
        <x:v>单账号上限51限制</x:v>
      </x:c>
      <x:c r="I414" s="4" t="str">
        <x:v>1. 已登录平台管理员账号
2. 公会本月已发100，单账号最高已发50，公会配置总上限100</x:v>
      </x:c>
      <x:c r="J414" s="4" t="str">
        <x:v>1. 进入「额度限制-52」页
2. 设置单账号上限为51
3. 保存</x:v>
      </x:c>
      <x:c r="K414" s="4" t="str">
        <x:v>上限可保存</x:v>
      </x:c>
      <x:c r="L414" s="4" t="str"/>
      <x:c r="M414" s="4" t="str">
        <x:v>未测</x:v>
      </x:c>
      <x:c r="N414" s="4" t="str"/>
      <x:c r="O414" s="4" t="str">
        <x:v>1. 来源：MainBasis/统一需求文档.md；A-admin-operation-guild-controls-010、A-admin-operation-guild-controls-011、D-SYS-181
2. 场景：SC-61c73c587f6166</x:v>
      </x:c>
    </x:row>
    <x:row r="415" ht="68" customHeight="1">
      <x:c r="A415" s="4" t="n">
        <x:v>414</x:v>
      </x:c>
      <x:c r="B415" s="4" t="str">
        <x:v>ADMIN-0414</x:v>
      </x:c>
      <x:c r="C415" s="4" t="str">
        <x:v>M09 运营账号、虚拟金币与公会消息</x:v>
      </x:c>
      <x:c r="D415" s="4" t="str">
        <x:v>额度限制-52（平台管理员视角）</x:v>
      </x:c>
      <x:c r="E415" s="4" t="str">
        <x:v>功能需求</x:v>
      </x:c>
      <x:c r="F415" s="4" t="str">
        <x:v>P1</x:v>
      </x:c>
      <x:c r="G415" s="4" t="str">
        <x:v>验证单账号上限100限制</x:v>
      </x:c>
      <x:c r="H415" s="4" t="str">
        <x:v>单账号上限100限制</x:v>
      </x:c>
      <x:c r="I415" s="4" t="str">
        <x:v>1. 已登录平台管理员账号
2. 公会本月已发100，单账号最高已发50，公会配置总上限100</x:v>
      </x:c>
      <x:c r="J415" s="4" t="str">
        <x:v>1. 进入「额度限制-52」页
2. 设置单账号上限为100
3. 保存</x:v>
      </x:c>
      <x:c r="K415" s="4" t="str">
        <x:v>上限可保存</x:v>
      </x:c>
      <x:c r="L415" s="4" t="str"/>
      <x:c r="M415" s="4" t="str">
        <x:v>未测</x:v>
      </x:c>
      <x:c r="N415" s="4" t="str"/>
      <x:c r="O415" s="4" t="str">
        <x:v>1. 来源：MainBasis/统一需求文档.md；A-admin-operation-guild-controls-010、A-admin-operation-guild-controls-011、D-SYS-181
2. 场景：SC-91f771aa203abf</x:v>
      </x:c>
    </x:row>
    <x:row r="416" ht="68" customHeight="1">
      <x:c r="A416" s="4" t="n">
        <x:v>415</x:v>
      </x:c>
      <x:c r="B416" s="4" t="str">
        <x:v>ADMIN-0415</x:v>
      </x:c>
      <x:c r="C416" s="4" t="str">
        <x:v>M09 运营账号、虚拟金币与公会消息</x:v>
      </x:c>
      <x:c r="D416" s="4" t="str">
        <x:v>额度限制-52（平台管理员视角）</x:v>
      </x:c>
      <x:c r="E416" s="4" t="str">
        <x:v>功能需求</x:v>
      </x:c>
      <x:c r="F416" s="4" t="str">
        <x:v>P1</x:v>
      </x:c>
      <x:c r="G416" s="4" t="str">
        <x:v>验证单账号上限101限制</x:v>
      </x:c>
      <x:c r="H416" s="4" t="str">
        <x:v>单账号上限101限制</x:v>
      </x:c>
      <x:c r="I416" s="4" t="str">
        <x:v>1. 已登录平台管理员账号
2. 公会本月已发100，单账号最高已发50，公会配置总上限100</x:v>
      </x:c>
      <x:c r="J416" s="4" t="str">
        <x:v>1. 进入「额度限制-52」页
2. 设置单账号上限为101
3. 保存</x:v>
      </x:c>
      <x:c r="K416" s="4" t="str">
        <x:v>不满足单账号下限或公会上限，不能保存</x:v>
      </x:c>
      <x:c r="L416" s="4" t="str"/>
      <x:c r="M416" s="4" t="str">
        <x:v>未测</x:v>
      </x:c>
      <x:c r="N416" s="4" t="str"/>
      <x:c r="O416" s="4" t="str">
        <x:v>1. 来源：MainBasis/统一需求文档.md；A-admin-operation-guild-controls-010、A-admin-operation-guild-controls-011、D-SYS-181
2. 场景：SC-34a6a52e791e58</x:v>
      </x:c>
    </x:row>
    <x:row r="417" ht="54" customHeight="1">
      <x:c r="A417" s="4" t="n">
        <x:v>416</x:v>
      </x:c>
      <x:c r="B417" s="4" t="str">
        <x:v>ADMIN-0416</x:v>
      </x:c>
      <x:c r="C417" s="4" t="str">
        <x:v>M09 运营账号、虚拟金币与公会消息</x:v>
      </x:c>
      <x:c r="D417" s="4" t="str">
        <x:v>额度限制-52（平台管理员视角）</x:v>
      </x:c>
      <x:c r="E417" s="4" t="str">
        <x:v>功能需求</x:v>
      </x:c>
      <x:c r="F417" s="4" t="str">
        <x:v>P1</x:v>
      </x:c>
      <x:c r="G417" s="4" t="str">
        <x:v>验证公会剩余额度下限0</x:v>
      </x:c>
      <x:c r="H417" s="4" t="str">
        <x:v>公会剩余额度下限0</x:v>
      </x:c>
      <x:c r="I417" s="4" t="str">
        <x:v>1. 已登录平台管理员账号
2. 公会额度100，本月累计已发100</x:v>
      </x:c>
      <x:c r="J417" s="4" t="str">
        <x:v>1. 进入「额度限制-52」页
2. 查看公会剩余额度下限0</x:v>
      </x:c>
      <x:c r="K417" s="4" t="str">
        <x:v>本月剩余额度为0</x:v>
      </x:c>
      <x:c r="L417" s="4" t="str"/>
      <x:c r="M417" s="4" t="str">
        <x:v>未测</x:v>
      </x:c>
      <x:c r="N417" s="4" t="str"/>
      <x:c r="O417" s="4" t="str">
        <x:v>1. 来源：MainBasis/统一需求文档.md；A-admin-operation-guild-controls-008
2. 场景：SC-e0076afe6e6176</x:v>
      </x:c>
    </x:row>
    <x:row r="418" ht="54" customHeight="1">
      <x:c r="A418" s="4" t="n">
        <x:v>417</x:v>
      </x:c>
      <x:c r="B418" s="4" t="str">
        <x:v>ADMIN-0417</x:v>
      </x:c>
      <x:c r="C418" s="4" t="str">
        <x:v>M09 运营账号、虚拟金币与公会消息</x:v>
      </x:c>
      <x:c r="D418" s="4" t="str">
        <x:v>额度限制-52（平台管理员视角）</x:v>
      </x:c>
      <x:c r="E418" s="4" t="str">
        <x:v>功能需求</x:v>
      </x:c>
      <x:c r="F418" s="4" t="str">
        <x:v>P1</x:v>
      </x:c>
      <x:c r="G418" s="4" t="str">
        <x:v>验证公会虚拟月消费汇总</x:v>
      </x:c>
      <x:c r="H418" s="4" t="str">
        <x:v>公会虚拟月消费汇总</x:v>
      </x:c>
      <x:c r="I418" s="4" t="str">
        <x:v>1. 已登录平台管理员账号
2. 当前公会本月两账号成功消费10和20，另一公会50</x:v>
      </x:c>
      <x:c r="J418" s="4" t="str">
        <x:v>1. 进入「额度限制-52」页
2. 查看公会虚拟月消费汇总</x:v>
      </x:c>
      <x:c r="K418" s="4" t="str">
        <x:v>本月累计消费30虚拟金币</x:v>
      </x:c>
      <x:c r="L418" s="4" t="str"/>
      <x:c r="M418" s="4" t="str">
        <x:v>未测</x:v>
      </x:c>
      <x:c r="N418" s="4" t="str"/>
      <x:c r="O418" s="4" t="str">
        <x:v>1. 来源：MainBasis/统一需求文档.md；A-admin-operation-guild-controls-007
2. 场景：SC-2307d8accd7d59</x:v>
      </x:c>
    </x:row>
    <x:row r="419" ht="54" customHeight="1">
      <x:c r="A419" s="4" t="n">
        <x:v>418</x:v>
      </x:c>
      <x:c r="B419" s="4" t="str">
        <x:v>ADMIN-0418</x:v>
      </x:c>
      <x:c r="C419" s="4" t="str">
        <x:v>M10 用户管理、审核、举报与巡房</x:v>
      </x:c>
      <x:c r="D419" s="4" t="str">
        <x:v>用户列表-02（平台管理员视角）</x:v>
      </x:c>
      <x:c r="E419" s="4" t="str">
        <x:v>功能需求</x:v>
      </x:c>
      <x:c r="F419" s="4" t="str">
        <x:v>P2</x:v>
      </x:c>
      <x:c r="G419" s="4" t="str">
        <x:v>验证账号状态回显</x:v>
      </x:c>
      <x:c r="H419" s="4" t="str">
        <x:v>账号状态回显</x:v>
      </x:c>
      <x:c r="I419" s="4" t="str">
        <x:v>1. 已登录平台管理员账号
2. 所选对象存在，已记录该对象的账号状态值</x:v>
      </x:c>
      <x:c r="J419" s="4" t="str">
        <x:v>1. 进入「用户列表-02」页
2. 查看账号状态回显</x:v>
      </x:c>
      <x:c r="K419" s="4" t="str">
        <x:v>「账号状态」内容与所选对象的该项资料一致</x:v>
      </x:c>
      <x:c r="L419" s="4" t="str"/>
      <x:c r="M419" s="4" t="str">
        <x:v>未测</x:v>
      </x:c>
      <x:c r="N419" s="4" t="str"/>
      <x:c r="O419" s="4" t="str">
        <x:v>1. 来源：MainBasis/统一需求文档.md；A-admin-user-list-003
2. 场景：SC-37772a0d6a17b0</x:v>
      </x:c>
    </x:row>
    <x:row r="420" ht="54" customHeight="1">
      <x:c r="A420" s="4" t="n">
        <x:v>419</x:v>
      </x:c>
      <x:c r="B420" s="4" t="str">
        <x:v>ADMIN-0419</x:v>
      </x:c>
      <x:c r="C420" s="4" t="str">
        <x:v>M10 用户管理、审核、举报与巡房</x:v>
      </x:c>
      <x:c r="D420" s="4" t="str">
        <x:v>用户列表-02（平台管理员视角）</x:v>
      </x:c>
      <x:c r="E420" s="4" t="str">
        <x:v>功能需求</x:v>
      </x:c>
      <x:c r="F420" s="4" t="str">
        <x:v>P2</x:v>
      </x:c>
      <x:c r="G420" s="4" t="str">
        <x:v>验证所属公会回显</x:v>
      </x:c>
      <x:c r="H420" s="4" t="str">
        <x:v>所属公会回显</x:v>
      </x:c>
      <x:c r="I420" s="4" t="str">
        <x:v>1. 已登录平台管理员账号
2. 所选对象存在，已记录该对象的所属公会值</x:v>
      </x:c>
      <x:c r="J420" s="4" t="str">
        <x:v>1. 进入「用户列表-02」页
2. 查看所属公会回显</x:v>
      </x:c>
      <x:c r="K420" s="4" t="str">
        <x:v>「所属公会」内容与所选对象的该项资料一致</x:v>
      </x:c>
      <x:c r="L420" s="4" t="str"/>
      <x:c r="M420" s="4" t="str">
        <x:v>未测</x:v>
      </x:c>
      <x:c r="N420" s="4" t="str"/>
      <x:c r="O420" s="4" t="str">
        <x:v>1. 来源：MainBasis/统一需求文档.md；A-admin-user-list-008
2. 场景：SC-333f746680fe48</x:v>
      </x:c>
    </x:row>
    <x:row r="421" ht="54" customHeight="1">
      <x:c r="A421" s="4" t="n">
        <x:v>420</x:v>
      </x:c>
      <x:c r="B421" s="4" t="str">
        <x:v>ADMIN-0420</x:v>
      </x:c>
      <x:c r="C421" s="4" t="str">
        <x:v>M10 用户管理、审核、举报与巡房</x:v>
      </x:c>
      <x:c r="D421" s="4" t="str">
        <x:v>用户列表-02（平台管理员视角）</x:v>
      </x:c>
      <x:c r="E421" s="4" t="str">
        <x:v>功能需求</x:v>
      </x:c>
      <x:c r="F421" s="4" t="str">
        <x:v>P1</x:v>
      </x:c>
      <x:c r="G421" s="4" t="str">
        <x:v>验证财富筛选下限-1</x:v>
      </x:c>
      <x:c r="H421" s="4" t="str">
        <x:v>财富筛选下限-1</x:v>
      </x:c>
      <x:c r="I421" s="4" t="str">
        <x:v>1. 已登录平台管理员账号
2. 上限设为10</x:v>
      </x:c>
      <x:c r="J421" s="4" t="str">
        <x:v>1. 进入「用户列表-02」页
2. 输入财富等级下限-1
3. 查询</x:v>
      </x:c>
      <x:c r="K421" s="4" t="str">
        <x:v>非负整数校验失败</x:v>
      </x:c>
      <x:c r="L421" s="4" t="str"/>
      <x:c r="M421" s="4" t="str">
        <x:v>未测</x:v>
      </x:c>
      <x:c r="N421" s="4" t="str"/>
      <x:c r="O421" s="4" t="str">
        <x:v>1. 来源：MainBasis/统一需求文档.md；A-admin-user-list-004
2. 场景：SC-e83d7d3831061e</x:v>
      </x:c>
    </x:row>
    <x:row r="422" ht="54" customHeight="1">
      <x:c r="A422" s="4" t="n">
        <x:v>421</x:v>
      </x:c>
      <x:c r="B422" s="4" t="str">
        <x:v>ADMIN-0421</x:v>
      </x:c>
      <x:c r="C422" s="4" t="str">
        <x:v>M10 用户管理、审核、举报与巡房</x:v>
      </x:c>
      <x:c r="D422" s="4" t="str">
        <x:v>用户列表-02（平台管理员视角）</x:v>
      </x:c>
      <x:c r="E422" s="4" t="str">
        <x:v>功能需求</x:v>
      </x:c>
      <x:c r="F422" s="4" t="str">
        <x:v>P1</x:v>
      </x:c>
      <x:c r="G422" s="4" t="str">
        <x:v>验证财富筛选下限0</x:v>
      </x:c>
      <x:c r="H422" s="4" t="str">
        <x:v>财富筛选下限0</x:v>
      </x:c>
      <x:c r="I422" s="4" t="str">
        <x:v>1. 已登录平台管理员账号
2. 上限设为10</x:v>
      </x:c>
      <x:c r="J422" s="4" t="str">
        <x:v>1. 进入「用户列表-02」页
2. 输入财富等级下限0
3. 查询</x:v>
      </x:c>
      <x:c r="K422" s="4" t="str">
        <x:v>等级筛选生效</x:v>
      </x:c>
      <x:c r="L422" s="4" t="str"/>
      <x:c r="M422" s="4" t="str">
        <x:v>未测</x:v>
      </x:c>
      <x:c r="N422" s="4" t="str"/>
      <x:c r="O422" s="4" t="str">
        <x:v>1. 来源：MainBasis/统一需求文档.md；A-admin-user-list-004
2. 场景：SC-127517b236bccb</x:v>
      </x:c>
    </x:row>
    <x:row r="423" ht="54" customHeight="1">
      <x:c r="A423" s="4" t="n">
        <x:v>422</x:v>
      </x:c>
      <x:c r="B423" s="4" t="str">
        <x:v>ADMIN-0422</x:v>
      </x:c>
      <x:c r="C423" s="4" t="str">
        <x:v>M10 用户管理、审核、举报与巡房</x:v>
      </x:c>
      <x:c r="D423" s="4" t="str">
        <x:v>用户列表-02（平台管理员视角）</x:v>
      </x:c>
      <x:c r="E423" s="4" t="str">
        <x:v>功能需求</x:v>
      </x:c>
      <x:c r="F423" s="4" t="str">
        <x:v>P1</x:v>
      </x:c>
      <x:c r="G423" s="4" t="str">
        <x:v>验证财富筛选下限1</x:v>
      </x:c>
      <x:c r="H423" s="4" t="str">
        <x:v>财富筛选下限1</x:v>
      </x:c>
      <x:c r="I423" s="4" t="str">
        <x:v>1. 已登录平台管理员账号
2. 上限设为10</x:v>
      </x:c>
      <x:c r="J423" s="4" t="str">
        <x:v>1. 进入「用户列表-02」页
2. 输入财富等级下限1
3. 查询</x:v>
      </x:c>
      <x:c r="K423" s="4" t="str">
        <x:v>等级筛选生效</x:v>
      </x:c>
      <x:c r="L423" s="4" t="str"/>
      <x:c r="M423" s="4" t="str">
        <x:v>未测</x:v>
      </x:c>
      <x:c r="N423" s="4" t="str"/>
      <x:c r="O423" s="4" t="str">
        <x:v>1. 来源：MainBasis/统一需求文档.md；A-admin-user-list-004
2. 场景：SC-1fe14fb3f03c7d</x:v>
      </x:c>
    </x:row>
    <x:row r="424" ht="54" customHeight="1">
      <x:c r="A424" s="4" t="n">
        <x:v>423</x:v>
      </x:c>
      <x:c r="B424" s="4" t="str">
        <x:v>ADMIN-0423</x:v>
      </x:c>
      <x:c r="C424" s="4" t="str">
        <x:v>M10 用户管理、审核、举报与巡房</x:v>
      </x:c>
      <x:c r="D424" s="4" t="str">
        <x:v>用户列表-02（平台管理员视角）</x:v>
      </x:c>
      <x:c r="E424" s="4" t="str">
        <x:v>功能需求</x:v>
      </x:c>
      <x:c r="F424" s="4" t="str">
        <x:v>P1</x:v>
      </x:c>
      <x:c r="G424" s="4" t="str">
        <x:v>验证财富筛选下限1.5</x:v>
      </x:c>
      <x:c r="H424" s="4" t="str">
        <x:v>财富筛选下限1.5</x:v>
      </x:c>
      <x:c r="I424" s="4" t="str">
        <x:v>1. 已登录平台管理员账号
2. 上限设为10</x:v>
      </x:c>
      <x:c r="J424" s="4" t="str">
        <x:v>1. 进入「用户列表-02」页
2. 输入财富等级下限1.5
3. 查询</x:v>
      </x:c>
      <x:c r="K424" s="4" t="str">
        <x:v>非负整数校验失败</x:v>
      </x:c>
      <x:c r="L424" s="4" t="str"/>
      <x:c r="M424" s="4" t="str">
        <x:v>未测</x:v>
      </x:c>
      <x:c r="N424" s="4" t="str"/>
      <x:c r="O424" s="4" t="str">
        <x:v>1. 来源：MainBasis/统一需求文档.md；A-admin-user-list-004
2. 场景：SC-9edcda1ecca8a3</x:v>
      </x:c>
    </x:row>
    <x:row r="425" ht="54" customHeight="1">
      <x:c r="A425" s="4" t="n">
        <x:v>424</x:v>
      </x:c>
      <x:c r="B425" s="4" t="str">
        <x:v>ADMIN-0424</x:v>
      </x:c>
      <x:c r="C425" s="4" t="str">
        <x:v>M10 用户管理、审核、举报与巡房</x:v>
      </x:c>
      <x:c r="D425" s="4" t="str">
        <x:v>用户列表-02（平台管理员视角）</x:v>
      </x:c>
      <x:c r="E425" s="4" t="str">
        <x:v>功能需求</x:v>
      </x:c>
      <x:c r="F425" s="4" t="str">
        <x:v>P1</x:v>
      </x:c>
      <x:c r="G425" s="4" t="str">
        <x:v>验证财富上限小于下限</x:v>
      </x:c>
      <x:c r="H425" s="4" t="str">
        <x:v>财富上限小于下限</x:v>
      </x:c>
      <x:c r="I425" s="4" t="str">
        <x:v>1. 已登录平台管理员账号
2. 下限5</x:v>
      </x:c>
      <x:c r="J425" s="4" t="str">
        <x:v>1. 进入「用户列表-02」页
2. 上限填4
3. 查询</x:v>
      </x:c>
      <x:c r="K425" s="4" t="str">
        <x:v>拒绝该等级范围</x:v>
      </x:c>
      <x:c r="L425" s="4" t="str"/>
      <x:c r="M425" s="4" t="str">
        <x:v>未测</x:v>
      </x:c>
      <x:c r="N425" s="4" t="str"/>
      <x:c r="O425" s="4" t="str">
        <x:v>1. 来源：MainBasis/统一需求文档.md；A-admin-user-list-004
2. 场景：SC-724f61e7aa7666</x:v>
      </x:c>
    </x:row>
    <x:row r="426" ht="82" customHeight="1">
      <x:c r="A426" s="4" t="n">
        <x:v>425</x:v>
      </x:c>
      <x:c r="B426" s="4" t="str">
        <x:v>ADMIN-0425</x:v>
      </x:c>
      <x:c r="C426" s="4" t="str">
        <x:v>M10 用户管理、审核、举报与巡房</x:v>
      </x:c>
      <x:c r="D426" s="4" t="str">
        <x:v>用户列表-02（平台管理员视角）</x:v>
      </x:c>
      <x:c r="E426" s="4" t="str">
        <x:v>功能需求</x:v>
      </x:c>
      <x:c r="F426" s="4" t="str">
        <x:v>P1</x:v>
      </x:c>
      <x:c r="G426" s="4" t="str">
        <x:v>验证后台账号封禁</x:v>
      </x:c>
      <x:c r="H426" s="4" t="str">
        <x:v>后台账号封禁</x:v>
      </x:c>
      <x:c r="I426" s="4" t="str">
        <x:v>1. 已登录平台管理员账号
2. 目标账号状态满足该操作</x:v>
      </x:c>
      <x:c r="J426" s="4" t="str">
        <x:v>1. 进入「用户列表-02」页
2. 选择封禁
3. 填写原因并确认</x:v>
      </x:c>
      <x:c r="K426" s="4" t="str">
        <x:v>目标账号变为封禁并记录操作人时间</x:v>
      </x:c>
      <x:c r="L426" s="4" t="str">
        <x:v>FLOW-082EDB69</x:v>
      </x:c>
      <x:c r="M426" s="4" t="str">
        <x:v>未测</x:v>
      </x:c>
      <x:c r="N426" s="4" t="str"/>
      <x:c r="O426" s="4" t="str">
        <x:v>1. 来源：MainBasis/统一需求文档.md；A-admin-user-list-012、A-admin-user-detail-011、D-SYS-120
2. 场景：SC-b752a60048f989
3. 状态转换：ST-AC22AC8ED4A1</x:v>
      </x:c>
    </x:row>
    <x:row r="427" ht="82" customHeight="1">
      <x:c r="A427" s="4" t="n">
        <x:v>426</x:v>
      </x:c>
      <x:c r="B427" s="4" t="str">
        <x:v>ADMIN-0426</x:v>
      </x:c>
      <x:c r="C427" s="4" t="str">
        <x:v>M10 用户管理、审核、举报与巡房</x:v>
      </x:c>
      <x:c r="D427" s="4" t="str">
        <x:v>用户列表-02（平台管理员视角）</x:v>
      </x:c>
      <x:c r="E427" s="4" t="str">
        <x:v>功能需求</x:v>
      </x:c>
      <x:c r="F427" s="4" t="str">
        <x:v>P1</x:v>
      </x:c>
      <x:c r="G427" s="4" t="str">
        <x:v>验证后台账号解封</x:v>
      </x:c>
      <x:c r="H427" s="4" t="str">
        <x:v>后台账号解封</x:v>
      </x:c>
      <x:c r="I427" s="4" t="str">
        <x:v>1. 已登录平台管理员账号
2. 目标账号状态满足该操作</x:v>
      </x:c>
      <x:c r="J427" s="4" t="str">
        <x:v>1. 进入「用户列表-02」页
2. 选择解封
3. 填写原因并确认</x:v>
      </x:c>
      <x:c r="K427" s="4" t="str">
        <x:v>目标账号变为正常并记录操作人时间</x:v>
      </x:c>
      <x:c r="L427" s="4" t="str">
        <x:v>FLOW-082EDB69</x:v>
      </x:c>
      <x:c r="M427" s="4" t="str">
        <x:v>未测</x:v>
      </x:c>
      <x:c r="N427" s="4" t="str"/>
      <x:c r="O427" s="4" t="str">
        <x:v>1. 来源：MainBasis/统一需求文档.md；A-admin-user-list-012、A-admin-user-detail-011、D-SYS-120
2. 场景：SC-0e8e48fabd3eb9
3. 状态转换：ST-782E85466F8F</x:v>
      </x:c>
    </x:row>
    <x:row r="428" ht="82" customHeight="1">
      <x:c r="A428" s="4" t="n">
        <x:v>427</x:v>
      </x:c>
      <x:c r="B428" s="4" t="str">
        <x:v>ADMIN-0427</x:v>
      </x:c>
      <x:c r="C428" s="4" t="str">
        <x:v>M10 用户管理、审核、举报与巡房</x:v>
      </x:c>
      <x:c r="D428" s="4" t="str">
        <x:v>用户列表-02（平台管理员视角）</x:v>
      </x:c>
      <x:c r="E428" s="4" t="str">
        <x:v>功能需求</x:v>
      </x:c>
      <x:c r="F428" s="4" t="str">
        <x:v>P1</x:v>
      </x:c>
      <x:c r="G428" s="4" t="str">
        <x:v>验证封禁立即踢下线关播</x:v>
      </x:c>
      <x:c r="H428" s="4" t="str">
        <x:v>封禁立即踢下线关播</x:v>
      </x:c>
      <x:c r="I428" s="4" t="str">
        <x:v>1. 已登录平台管理员账号
2. 目标账号正在直播并已有登录会话，平台已封禁</x:v>
      </x:c>
      <x:c r="J428" s="4" t="str">
        <x:v>1. 进入「用户列表-02」页
2. 查看封禁立即踢下线关播</x:v>
      </x:c>
      <x:c r="K428" s="4" t="str">
        <x:v>目标会话立即下线且本场结束</x:v>
      </x:c>
      <x:c r="L428" s="4" t="str">
        <x:v>FLOW-082EDB69</x:v>
      </x:c>
      <x:c r="M428" s="4" t="str">
        <x:v>未测</x:v>
      </x:c>
      <x:c r="N428" s="4" t="str"/>
      <x:c r="O428" s="4" t="str">
        <x:v>1. 来源：MainBasis/统一需求文档.md；A-admin-user-list-010、D-SYS-122、G-guild-all-violations-007
2. 场景：SC-4e05b11ec6b35c
3. 状态转换：ST-AC22AC8ED4A1</x:v>
      </x:c>
    </x:row>
    <x:row r="429" ht="68" customHeight="1">
      <x:c r="A429" s="4" t="n">
        <x:v>428</x:v>
      </x:c>
      <x:c r="B429" s="4" t="str">
        <x:v>ADMIN-0428</x:v>
      </x:c>
      <x:c r="C429" s="4" t="str">
        <x:v>M10 用户管理、审核、举报与巡房</x:v>
      </x:c>
      <x:c r="D429" s="4" t="str">
        <x:v>用户列表-02（平台管理员视角）</x:v>
      </x:c>
      <x:c r="E429" s="4" t="str">
        <x:v>逻辑校验</x:v>
      </x:c>
      <x:c r="F429" s="4" t="str">
        <x:v>P1</x:v>
      </x:c>
      <x:c r="G429" s="4" t="str">
        <x:v>验证累计消费使用用户净消耗</x:v>
      </x:c>
      <x:c r="H429" s="4" t="str">
        <x:v>累计消费使用用户净消耗</x:v>
      </x:c>
      <x:c r="I429" s="4" t="str">
        <x:v>1. 已登录平台管理员账号
2. 普通100、定制200、门票50、幸运投入1000返奖900，另有虚拟礼物300</x:v>
      </x:c>
      <x:c r="J429" s="4" t="str">
        <x:v>1. 进入「用户列表-02」页
2. 查看累计消费使用用户净消耗</x:v>
      </x:c>
      <x:c r="K429" s="4" t="str">
        <x:v>累计消费 = 100 + 200 + 50 + 1000 - 900 = 450金币</x:v>
      </x:c>
      <x:c r="L429" s="4" t="str"/>
      <x:c r="M429" s="4" t="str">
        <x:v>未测</x:v>
      </x:c>
      <x:c r="N429" s="4" t="str"/>
      <x:c r="O429" s="4" t="str">
        <x:v>1. 来源：MainBasis/统一需求文档.md；A-admin-user-list-006
2. 场景：SC-8c63a3e55c2b2a</x:v>
      </x:c>
    </x:row>
    <x:row r="430" ht="54" customHeight="1">
      <x:c r="A430" s="4" t="n">
        <x:v>429</x:v>
      </x:c>
      <x:c r="B430" s="4" t="str">
        <x:v>ADMIN-0429</x:v>
      </x:c>
      <x:c r="C430" s="4" t="str">
        <x:v>M10 用户管理、审核、举报与巡房</x:v>
      </x:c>
      <x:c r="D430" s="4" t="str">
        <x:v>用户列表-02（平台管理员视角）</x:v>
      </x:c>
      <x:c r="E430" s="4" t="str">
        <x:v>功能需求</x:v>
      </x:c>
      <x:c r="F430" s="4" t="str">
        <x:v>P2</x:v>
      </x:c>
      <x:c r="G430" s="4" t="str">
        <x:v>验证导出仅包含当前查询结果</x:v>
      </x:c>
      <x:c r="H430" s="4" t="str">
        <x:v>导出仅包含当前查询结果</x:v>
      </x:c>
      <x:c r="I430" s="4" t="str">
        <x:v>1. 已登录平台管理员账号
2. 当前查询命中记录甲、乙，记录丙不满足当前筛选</x:v>
      </x:c>
      <x:c r="J430" s="4" t="str">
        <x:v>1. 进入「用户列表-02」页
2. 点击导出
3. 打开下载的结果文件</x:v>
      </x:c>
      <x:c r="K430" s="4" t="str">
        <x:v>导出记录为甲、乙，不包含丙</x:v>
      </x:c>
      <x:c r="L430" s="4" t="str"/>
      <x:c r="M430" s="4" t="str">
        <x:v>未测</x:v>
      </x:c>
      <x:c r="N430" s="4" t="str"/>
      <x:c r="O430" s="4" t="str">
        <x:v>1. 来源：MainBasis/统一需求文档.md；A-admin-user-list-011
2. 场景：SC-8017f5a5c40a91</x:v>
      </x:c>
    </x:row>
    <x:row r="431" ht="54" customHeight="1">
      <x:c r="A431" s="4" t="n">
        <x:v>430</x:v>
      </x:c>
      <x:c r="B431" s="4" t="str">
        <x:v>ADMIN-0430</x:v>
      </x:c>
      <x:c r="C431" s="4" t="str">
        <x:v>M10 用户管理、审核、举报与巡房</x:v>
      </x:c>
      <x:c r="D431" s="4" t="str">
        <x:v>用户列表-02（平台管理员视角）</x:v>
      </x:c>
      <x:c r="E431" s="4" t="str">
        <x:v>功能需求</x:v>
      </x:c>
      <x:c r="F431" s="4" t="str">
        <x:v>P1</x:v>
      </x:c>
      <x:c r="G431" s="4" t="str">
        <x:v>验证用户累计充值成功实付</x:v>
      </x:c>
      <x:c r="H431" s="4" t="str">
        <x:v>用户累计充值成功实付</x:v>
      </x:c>
      <x:c r="I431" s="4" t="str">
        <x:v>1. 已登录平台管理员账号
2. 用户两笔成功充值10和20USD，失败50USD</x:v>
      </x:c>
      <x:c r="J431" s="4" t="str">
        <x:v>1. 进入「用户列表-02」页
2. 查看用户累计充值成功实付</x:v>
      </x:c>
      <x:c r="K431" s="4" t="str">
        <x:v>累计充值30USD</x:v>
      </x:c>
      <x:c r="L431" s="4" t="str"/>
      <x:c r="M431" s="4" t="str">
        <x:v>未测</x:v>
      </x:c>
      <x:c r="N431" s="4" t="str"/>
      <x:c r="O431" s="4" t="str">
        <x:v>1. 来源：MainBasis/统一需求文档.md；A-admin-user-list-005
2. 场景：SC-135d47754a0462</x:v>
      </x:c>
    </x:row>
    <x:row r="432" ht="54" customHeight="1">
      <x:c r="A432" s="4" t="n">
        <x:v>431</x:v>
      </x:c>
      <x:c r="B432" s="4" t="str">
        <x:v>ADMIN-0431</x:v>
      </x:c>
      <x:c r="C432" s="4" t="str">
        <x:v>M10 用户管理、审核、举报与巡房</x:v>
      </x:c>
      <x:c r="D432" s="4" t="str">
        <x:v>用户列表-02（平台管理员视角）</x:v>
      </x:c>
      <x:c r="E432" s="4" t="str">
        <x:v>功能需求</x:v>
      </x:c>
      <x:c r="F432" s="4" t="str">
        <x:v>P1</x:v>
      </x:c>
      <x:c r="G432" s="4" t="str">
        <x:v>验证用户列表可显示负金币</x:v>
      </x:c>
      <x:c r="H432" s="4" t="str">
        <x:v>用户列表可显示负金币</x:v>
      </x:c>
      <x:c r="I432" s="4" t="str">
        <x:v>1. 已登录平台管理员账号
2. 后台退款后用户真实金币余额为-100</x:v>
      </x:c>
      <x:c r="J432" s="4" t="str">
        <x:v>1. 进入「用户列表-02」页
2. 查看用户列表可显示负金币</x:v>
      </x:c>
      <x:c r="K432" s="4" t="str">
        <x:v>金币余额显示-100</x:v>
      </x:c>
      <x:c r="L432" s="4" t="str"/>
      <x:c r="M432" s="4" t="str">
        <x:v>未测</x:v>
      </x:c>
      <x:c r="N432" s="4" t="str"/>
      <x:c r="O432" s="4" t="str">
        <x:v>1. 来源：MainBasis/统一需求文档.md；A-admin-user-list-007
2. 场景：SC-8c1066abaec205</x:v>
      </x:c>
    </x:row>
    <x:row r="433" ht="54" customHeight="1">
      <x:c r="A433" s="4" t="n">
        <x:v>432</x:v>
      </x:c>
      <x:c r="B433" s="4" t="str">
        <x:v>ADMIN-0432</x:v>
      </x:c>
      <x:c r="C433" s="4" t="str">
        <x:v>M10 用户管理、审核、举报与巡房</x:v>
      </x:c>
      <x:c r="D433" s="4" t="str">
        <x:v>用户列表-02（平台管理员视角）</x:v>
      </x:c>
      <x:c r="E433" s="4" t="str">
        <x:v>功能需求</x:v>
      </x:c>
      <x:c r="F433" s="4" t="str">
        <x:v>P1</x:v>
      </x:c>
      <x:c r="G433" s="4" t="str">
        <x:v>验证注册时间包含起止</x:v>
      </x:c>
      <x:c r="H433" s="4" t="str">
        <x:v>注册时间包含起止</x:v>
      </x:c>
      <x:c r="I433" s="4" t="str">
        <x:v>1. 已登录平台管理员账号
2. 用户甲注册于9月1日00:00、乙9月2日23:59、丙9月3日</x:v>
      </x:c>
      <x:c r="J433" s="4" t="str">
        <x:v>1. 进入「用户列表-02」页
2. 筛选9月1日至2日
3. 查询</x:v>
      </x:c>
      <x:c r="K433" s="4" t="str">
        <x:v>包含甲和乙，不包含丙</x:v>
      </x:c>
      <x:c r="L433" s="4" t="str"/>
      <x:c r="M433" s="4" t="str">
        <x:v>未测</x:v>
      </x:c>
      <x:c r="N433" s="4" t="str"/>
      <x:c r="O433" s="4" t="str">
        <x:v>1. 来源：MainBasis/统一需求文档.md；A-admin-user-list-009
2. 场景：SC-585d804f7b6165</x:v>
      </x:c>
    </x:row>
    <x:row r="434" ht="54" customHeight="1">
      <x:c r="A434" s="4" t="n">
        <x:v>433</x:v>
      </x:c>
      <x:c r="B434" s="4" t="str">
        <x:v>ADMIN-0433</x:v>
      </x:c>
      <x:c r="C434" s="4" t="str">
        <x:v>M10 用户管理、审核、举报与巡房</x:v>
      </x:c>
      <x:c r="D434" s="4" t="str">
        <x:v>用户列表-02（平台管理员视角）</x:v>
      </x:c>
      <x:c r="E434" s="4" t="str">
        <x:v>功能需求</x:v>
      </x:c>
      <x:c r="F434" s="4" t="str">
        <x:v>P1</x:v>
      </x:c>
      <x:c r="G434" s="4" t="str">
        <x:v>验证用户列表身份</x:v>
      </x:c>
      <x:c r="H434" s="4" t="str">
        <x:v>用户列表身份</x:v>
      </x:c>
      <x:c r="I434" s="4" t="str">
        <x:v>1. 已登录平台管理员账号
2. 存在两个ID不同的用户，已记录各自头像与昵称</x:v>
      </x:c>
      <x:c r="J434" s="4" t="str">
        <x:v>1. 进入「用户列表-02」页
2. 查看用户列表身份</x:v>
      </x:c>
      <x:c r="K434" s="4" t="str">
        <x:v>每行头像、昵称与ID对应同一个用户</x:v>
      </x:c>
      <x:c r="L434" s="4" t="str"/>
      <x:c r="M434" s="4" t="str">
        <x:v>未测</x:v>
      </x:c>
      <x:c r="N434" s="4" t="str"/>
      <x:c r="O434" s="4" t="str">
        <x:v>1. 来源：MainBasis/统一需求文档.md；A-admin-user-list-002
2. 场景：SC-3c765ee0e07339</x:v>
      </x:c>
    </x:row>
    <x:row r="435" ht="54" customHeight="1">
      <x:c r="A435" s="4" t="n">
        <x:v>434</x:v>
      </x:c>
      <x:c r="B435" s="4" t="str">
        <x:v>ADMIN-0434</x:v>
      </x:c>
      <x:c r="C435" s="4" t="str">
        <x:v>M10 用户管理、审核、举报与巡房</x:v>
      </x:c>
      <x:c r="D435" s="4" t="str">
        <x:v>用户详情（平台管理员视角）</x:v>
      </x:c>
      <x:c r="E435" s="4" t="str">
        <x:v>功能需求</x:v>
      </x:c>
      <x:c r="F435" s="4" t="str">
        <x:v>P2</x:v>
      </x:c>
      <x:c r="G435" s="4" t="str">
        <x:v>验证基础资料回显</x:v>
      </x:c>
      <x:c r="H435" s="4" t="str">
        <x:v>基础资料回显</x:v>
      </x:c>
      <x:c r="I435" s="4" t="str">
        <x:v>1. 已登录平台管理员账号
2. 所选对象存在，已记录该对象的基础资料值</x:v>
      </x:c>
      <x:c r="J435" s="4" t="str">
        <x:v>1. 进入「用户详情」页
2. 查看基础资料回显</x:v>
      </x:c>
      <x:c r="K435" s="4" t="str">
        <x:v>「基础资料」内容与所选对象的该项资料一致</x:v>
      </x:c>
      <x:c r="L435" s="4" t="str"/>
      <x:c r="M435" s="4" t="str">
        <x:v>未测</x:v>
      </x:c>
      <x:c r="N435" s="4" t="str"/>
      <x:c r="O435" s="4" t="str">
        <x:v>1. 来源：MainBasis/统一需求文档.md；A-admin-user-detail-002
2. 场景：SC-0fc2663fe4192e</x:v>
      </x:c>
    </x:row>
    <x:row r="436" ht="54" customHeight="1">
      <x:c r="A436" s="4" t="n">
        <x:v>435</x:v>
      </x:c>
      <x:c r="B436" s="4" t="str">
        <x:v>ADMIN-0435</x:v>
      </x:c>
      <x:c r="C436" s="4" t="str">
        <x:v>M10 用户管理、审核、举报与巡房</x:v>
      </x:c>
      <x:c r="D436" s="4" t="str">
        <x:v>用户详情（平台管理员视角）</x:v>
      </x:c>
      <x:c r="E436" s="4" t="str">
        <x:v>功能需求</x:v>
      </x:c>
      <x:c r="F436" s="4" t="str">
        <x:v>P2</x:v>
      </x:c>
      <x:c r="G436" s="4" t="str">
        <x:v>验证充值流水回显</x:v>
      </x:c>
      <x:c r="H436" s="4" t="str">
        <x:v>充值流水回显</x:v>
      </x:c>
      <x:c r="I436" s="4" t="str">
        <x:v>1. 已登录平台管理员账号
2. 所选对象存在，已记录该对象的充值流水值</x:v>
      </x:c>
      <x:c r="J436" s="4" t="str">
        <x:v>1. 进入「用户详情」页
2. 查看充值流水回显</x:v>
      </x:c>
      <x:c r="K436" s="4" t="str">
        <x:v>「充值流水」内容与所选对象的该项资料一致</x:v>
      </x:c>
      <x:c r="L436" s="4" t="str"/>
      <x:c r="M436" s="4" t="str">
        <x:v>未测</x:v>
      </x:c>
      <x:c r="N436" s="4" t="str"/>
      <x:c r="O436" s="4" t="str">
        <x:v>1. 来源：MainBasis/统一需求文档.md；A-admin-user-detail-004
2. 场景：SC-cedbe5f10fef91</x:v>
      </x:c>
    </x:row>
    <x:row r="437" ht="54" customHeight="1">
      <x:c r="A437" s="4" t="n">
        <x:v>436</x:v>
      </x:c>
      <x:c r="B437" s="4" t="str">
        <x:v>ADMIN-0436</x:v>
      </x:c>
      <x:c r="C437" s="4" t="str">
        <x:v>M10 用户管理、审核、举报与巡房</x:v>
      </x:c>
      <x:c r="D437" s="4" t="str">
        <x:v>用户详情（平台管理员视角）</x:v>
      </x:c>
      <x:c r="E437" s="4" t="str">
        <x:v>功能需求</x:v>
      </x:c>
      <x:c r="F437" s="4" t="str">
        <x:v>P2</x:v>
      </x:c>
      <x:c r="G437" s="4" t="str">
        <x:v>验证登录设备回显</x:v>
      </x:c>
      <x:c r="H437" s="4" t="str">
        <x:v>登录设备回显</x:v>
      </x:c>
      <x:c r="I437" s="4" t="str">
        <x:v>1. 已登录平台管理员账号
2. 所选对象存在，已记录该对象的登录设备值</x:v>
      </x:c>
      <x:c r="J437" s="4" t="str">
        <x:v>1. 进入「用户详情」页
2. 查看登录设备回显</x:v>
      </x:c>
      <x:c r="K437" s="4" t="str">
        <x:v>「登录设备」内容与所选对象的该项资料一致</x:v>
      </x:c>
      <x:c r="L437" s="4" t="str"/>
      <x:c r="M437" s="4" t="str">
        <x:v>未测</x:v>
      </x:c>
      <x:c r="N437" s="4" t="str"/>
      <x:c r="O437" s="4" t="str">
        <x:v>1. 来源：MainBasis/统一需求文档.md；A-admin-user-detail-006
2. 场景：SC-fc392665a2bc24</x:v>
      </x:c>
    </x:row>
    <x:row r="438" ht="54" customHeight="1">
      <x:c r="A438" s="4" t="n">
        <x:v>437</x:v>
      </x:c>
      <x:c r="B438" s="4" t="str">
        <x:v>ADMIN-0437</x:v>
      </x:c>
      <x:c r="C438" s="4" t="str">
        <x:v>M10 用户管理、审核、举报与巡房</x:v>
      </x:c>
      <x:c r="D438" s="4" t="str">
        <x:v>用户详情（平台管理员视角）</x:v>
      </x:c>
      <x:c r="E438" s="4" t="str">
        <x:v>功能需求</x:v>
      </x:c>
      <x:c r="F438" s="4" t="str">
        <x:v>P2</x:v>
      </x:c>
      <x:c r="G438" s="4" t="str">
        <x:v>验证关注、粉丝回显</x:v>
      </x:c>
      <x:c r="H438" s="4" t="str">
        <x:v>关注、粉丝回显</x:v>
      </x:c>
      <x:c r="I438" s="4" t="str">
        <x:v>1. 已登录平台管理员账号
2. 所选对象存在，已记录该对象的关注 / 粉丝值</x:v>
      </x:c>
      <x:c r="J438" s="4" t="str">
        <x:v>1. 进入「用户详情」页
2. 查看关注、粉丝回显</x:v>
      </x:c>
      <x:c r="K438" s="4" t="str">
        <x:v>「关注 / 粉丝」内容与所选对象的该项资料一致</x:v>
      </x:c>
      <x:c r="L438" s="4" t="str"/>
      <x:c r="M438" s="4" t="str">
        <x:v>未测</x:v>
      </x:c>
      <x:c r="N438" s="4" t="str"/>
      <x:c r="O438" s="4" t="str">
        <x:v>1. 来源：MainBasis/统一需求文档.md；A-admin-user-detail-007
2. 场景：SC-5aca7745e85f9b</x:v>
      </x:c>
    </x:row>
    <x:row r="439" ht="54" customHeight="1">
      <x:c r="A439" s="4" t="n">
        <x:v>438</x:v>
      </x:c>
      <x:c r="B439" s="4" t="str">
        <x:v>ADMIN-0438</x:v>
      </x:c>
      <x:c r="C439" s="4" t="str">
        <x:v>M10 用户管理、审核、举报与巡房</x:v>
      </x:c>
      <x:c r="D439" s="4" t="str">
        <x:v>用户详情（平台管理员视角）</x:v>
      </x:c>
      <x:c r="E439" s="4" t="str">
        <x:v>功能需求</x:v>
      </x:c>
      <x:c r="F439" s="4" t="str">
        <x:v>P2</x:v>
      </x:c>
      <x:c r="G439" s="4" t="str">
        <x:v>验证违规记录回显</x:v>
      </x:c>
      <x:c r="H439" s="4" t="str">
        <x:v>违规记录回显</x:v>
      </x:c>
      <x:c r="I439" s="4" t="str">
        <x:v>1. 已登录平台管理员账号
2. 所选对象存在，已记录该对象的违规记录值</x:v>
      </x:c>
      <x:c r="J439" s="4" t="str">
        <x:v>1. 进入「用户详情」页
2. 查看违规记录回显</x:v>
      </x:c>
      <x:c r="K439" s="4" t="str">
        <x:v>「违规记录」内容与所选对象的该项资料一致</x:v>
      </x:c>
      <x:c r="L439" s="4" t="str"/>
      <x:c r="M439" s="4" t="str">
        <x:v>未测</x:v>
      </x:c>
      <x:c r="N439" s="4" t="str"/>
      <x:c r="O439" s="4" t="str">
        <x:v>1. 来源：MainBasis/统一需求文档.md；A-admin-user-detail-008
2. 场景：SC-69469276c540d1</x:v>
      </x:c>
    </x:row>
    <x:row r="440" ht="54" customHeight="1">
      <x:c r="A440" s="4" t="n">
        <x:v>439</x:v>
      </x:c>
      <x:c r="B440" s="4" t="str">
        <x:v>ADMIN-0439</x:v>
      </x:c>
      <x:c r="C440" s="4" t="str">
        <x:v>M10 用户管理、审核、举报与巡房</x:v>
      </x:c>
      <x:c r="D440" s="4" t="str">
        <x:v>用户详情（平台管理员视角）</x:v>
      </x:c>
      <x:c r="E440" s="4" t="str">
        <x:v>功能需求</x:v>
      </x:c>
      <x:c r="F440" s="4" t="str">
        <x:v>P1</x:v>
      </x:c>
      <x:c r="G440" s="4" t="str">
        <x:v>验证负金币用户不可消费</x:v>
      </x:c>
      <x:c r="H440" s="4" t="str">
        <x:v>负金币用户不可消费</x:v>
      </x:c>
      <x:c r="I440" s="4" t="str">
        <x:v>1. 已登录平台管理员账号
2. 所查看用户余额为-100</x:v>
      </x:c>
      <x:c r="J440" s="4" t="str">
        <x:v>1. 进入「用户详情」页
2. 查看负金币用户不可消费</x:v>
      </x:c>
      <x:c r="K440" s="4" t="str">
        <x:v>该真实金币账户不可继续消费</x:v>
      </x:c>
      <x:c r="L440" s="4" t="str"/>
      <x:c r="M440" s="4" t="str">
        <x:v>未测</x:v>
      </x:c>
      <x:c r="N440" s="4" t="str"/>
      <x:c r="O440" s="4" t="str">
        <x:v>1. 来源：MainBasis/统一需求文档.md；A-admin-user-detail-003
2. 场景：SC-1b667ed7633d06</x:v>
      </x:c>
    </x:row>
    <x:row r="441" ht="54" customHeight="1">
      <x:c r="A441" s="4" t="n">
        <x:v>440</x:v>
      </x:c>
      <x:c r="B441" s="4" t="str">
        <x:v>ADMIN-0440</x:v>
      </x:c>
      <x:c r="C441" s="4" t="str">
        <x:v>M10 用户管理、审核、举报与巡房</x:v>
      </x:c>
      <x:c r="D441" s="4" t="str">
        <x:v>用户详情（平台管理员视角）</x:v>
      </x:c>
      <x:c r="E441" s="4" t="str">
        <x:v>功能需求</x:v>
      </x:c>
      <x:c r="F441" s="4" t="str">
        <x:v>P1</x:v>
      </x:c>
      <x:c r="G441" s="4" t="str">
        <x:v>验证消费流水商品只读</x:v>
      </x:c>
      <x:c r="H441" s="4" t="str">
        <x:v>消费流水商品只读</x:v>
      </x:c>
      <x:c r="I441" s="4" t="str">
        <x:v>1. 已登录平台管理员账号
2. 所选用户存在成功消费记录，已记录该笔商品</x:v>
      </x:c>
      <x:c r="J441" s="4" t="str">
        <x:v>1. 进入「用户详情」页
2. 查看消费流水商品只读</x:v>
      </x:c>
      <x:c r="K441" s="4" t="str">
        <x:v>商品与该笔消费一致且不可编辑</x:v>
      </x:c>
      <x:c r="L441" s="4" t="str"/>
      <x:c r="M441" s="4" t="str">
        <x:v>未测</x:v>
      </x:c>
      <x:c r="N441" s="4" t="str"/>
      <x:c r="O441" s="4" t="str">
        <x:v>1. 来源：MainBasis/统一需求文档.md；A-admin-user-detail-005
2. 场景：SC-41d226bb0a3c90</x:v>
      </x:c>
    </x:row>
    <x:row r="442" ht="54" customHeight="1">
      <x:c r="A442" s="4" t="n">
        <x:v>441</x:v>
      </x:c>
      <x:c r="B442" s="4" t="str">
        <x:v>ADMIN-0441</x:v>
      </x:c>
      <x:c r="C442" s="4" t="str">
        <x:v>M10 用户管理、审核、举报与巡房</x:v>
      </x:c>
      <x:c r="D442" s="4" t="str">
        <x:v>用户详情（平台管理员视角）</x:v>
      </x:c>
      <x:c r="E442" s="4" t="str">
        <x:v>功能需求</x:v>
      </x:c>
      <x:c r="F442" s="4" t="str">
        <x:v>P1</x:v>
      </x:c>
      <x:c r="G442" s="4" t="str">
        <x:v>验证消费流水数量只读</x:v>
      </x:c>
      <x:c r="H442" s="4" t="str">
        <x:v>消费流水数量只读</x:v>
      </x:c>
      <x:c r="I442" s="4" t="str">
        <x:v>1. 已登录平台管理员账号
2. 所选用户存在成功消费记录，已记录该笔数量</x:v>
      </x:c>
      <x:c r="J442" s="4" t="str">
        <x:v>1. 进入「用户详情」页
2. 查看消费流水数量只读</x:v>
      </x:c>
      <x:c r="K442" s="4" t="str">
        <x:v>数量与该笔消费一致且不可编辑</x:v>
      </x:c>
      <x:c r="L442" s="4" t="str"/>
      <x:c r="M442" s="4" t="str">
        <x:v>未测</x:v>
      </x:c>
      <x:c r="N442" s="4" t="str"/>
      <x:c r="O442" s="4" t="str">
        <x:v>1. 来源：MainBasis/统一需求文档.md；A-admin-user-detail-005
2. 场景：SC-73c48e75dfbb9d</x:v>
      </x:c>
    </x:row>
    <x:row r="443" ht="54" customHeight="1">
      <x:c r="A443" s="4" t="n">
        <x:v>442</x:v>
      </x:c>
      <x:c r="B443" s="4" t="str">
        <x:v>ADMIN-0442</x:v>
      </x:c>
      <x:c r="C443" s="4" t="str">
        <x:v>M10 用户管理、审核、举报与巡房</x:v>
      </x:c>
      <x:c r="D443" s="4" t="str">
        <x:v>用户详情（平台管理员视角）</x:v>
      </x:c>
      <x:c r="E443" s="4" t="str">
        <x:v>功能需求</x:v>
      </x:c>
      <x:c r="F443" s="4" t="str">
        <x:v>P1</x:v>
      </x:c>
      <x:c r="G443" s="4" t="str">
        <x:v>验证消费流水扣减金币只读</x:v>
      </x:c>
      <x:c r="H443" s="4" t="str">
        <x:v>消费流水扣减金币只读</x:v>
      </x:c>
      <x:c r="I443" s="4" t="str">
        <x:v>1. 已登录平台管理员账号
2. 所选用户存在成功消费记录，已记录该笔扣减金币</x:v>
      </x:c>
      <x:c r="J443" s="4" t="str">
        <x:v>1. 进入「用户详情」页
2. 查看消费流水扣减金币只读</x:v>
      </x:c>
      <x:c r="K443" s="4" t="str">
        <x:v>扣减金币与该笔消费一致且不可编辑</x:v>
      </x:c>
      <x:c r="L443" s="4" t="str"/>
      <x:c r="M443" s="4" t="str">
        <x:v>未测</x:v>
      </x:c>
      <x:c r="N443" s="4" t="str"/>
      <x:c r="O443" s="4" t="str">
        <x:v>1. 来源：MainBasis/统一需求文档.md；A-admin-user-detail-005
2. 场景：SC-72c85ef00340ba</x:v>
      </x:c>
    </x:row>
    <x:row r="444" ht="54" customHeight="1">
      <x:c r="A444" s="4" t="n">
        <x:v>443</x:v>
      </x:c>
      <x:c r="B444" s="4" t="str">
        <x:v>ADMIN-0443</x:v>
      </x:c>
      <x:c r="C444" s="4" t="str">
        <x:v>M10 用户管理、审核、举报与巡房</x:v>
      </x:c>
      <x:c r="D444" s="4" t="str">
        <x:v>用户详情（平台管理员视角）</x:v>
      </x:c>
      <x:c r="E444" s="4" t="str">
        <x:v>功能需求</x:v>
      </x:c>
      <x:c r="F444" s="4" t="str">
        <x:v>P1</x:v>
      </x:c>
      <x:c r="G444" s="4" t="str">
        <x:v>验证消费流水主播只读</x:v>
      </x:c>
      <x:c r="H444" s="4" t="str">
        <x:v>消费流水主播只读</x:v>
      </x:c>
      <x:c r="I444" s="4" t="str">
        <x:v>1. 已登录平台管理员账号
2. 所选用户存在成功消费记录，已记录该笔主播</x:v>
      </x:c>
      <x:c r="J444" s="4" t="str">
        <x:v>1. 进入「用户详情」页
2. 查看消费流水主播只读</x:v>
      </x:c>
      <x:c r="K444" s="4" t="str">
        <x:v>主播与该笔消费一致且不可编辑</x:v>
      </x:c>
      <x:c r="L444" s="4" t="str"/>
      <x:c r="M444" s="4" t="str">
        <x:v>未测</x:v>
      </x:c>
      <x:c r="N444" s="4" t="str"/>
      <x:c r="O444" s="4" t="str">
        <x:v>1. 来源：MainBasis/统一需求文档.md；A-admin-user-detail-005
2. 场景：SC-000dc0a2ed1324</x:v>
      </x:c>
    </x:row>
    <x:row r="445" ht="54" customHeight="1">
      <x:c r="A445" s="4" t="n">
        <x:v>444</x:v>
      </x:c>
      <x:c r="B445" s="4" t="str">
        <x:v>ADMIN-0444</x:v>
      </x:c>
      <x:c r="C445" s="4" t="str">
        <x:v>M10 用户管理、审核、举报与巡房</x:v>
      </x:c>
      <x:c r="D445" s="4" t="str">
        <x:v>用户详情（平台管理员视角）</x:v>
      </x:c>
      <x:c r="E445" s="4" t="str">
        <x:v>功能需求</x:v>
      </x:c>
      <x:c r="F445" s="4" t="str">
        <x:v>P1</x:v>
      </x:c>
      <x:c r="G445" s="4" t="str">
        <x:v>验证消费流水直播场次只读</x:v>
      </x:c>
      <x:c r="H445" s="4" t="str">
        <x:v>消费流水直播场次只读</x:v>
      </x:c>
      <x:c r="I445" s="4" t="str">
        <x:v>1. 已登录平台管理员账号
2. 所选用户存在成功消费记录，已记录该笔直播场次</x:v>
      </x:c>
      <x:c r="J445" s="4" t="str">
        <x:v>1. 进入「用户详情」页
2. 查看消费流水直播场次只读</x:v>
      </x:c>
      <x:c r="K445" s="4" t="str">
        <x:v>直播场次与该笔消费一致且不可编辑</x:v>
      </x:c>
      <x:c r="L445" s="4" t="str"/>
      <x:c r="M445" s="4" t="str">
        <x:v>未测</x:v>
      </x:c>
      <x:c r="N445" s="4" t="str"/>
      <x:c r="O445" s="4" t="str">
        <x:v>1. 来源：MainBasis/统一需求文档.md；A-admin-user-detail-005
2. 场景：SC-717237dd81205c</x:v>
      </x:c>
    </x:row>
    <x:row r="446" ht="54" customHeight="1">
      <x:c r="A446" s="4" t="n">
        <x:v>445</x:v>
      </x:c>
      <x:c r="B446" s="4" t="str">
        <x:v>ADMIN-0445</x:v>
      </x:c>
      <x:c r="C446" s="4" t="str">
        <x:v>M10 用户管理、审核、举报与巡房</x:v>
      </x:c>
      <x:c r="D446" s="4" t="str">
        <x:v>直播场次-05（平台管理员视角）</x:v>
      </x:c>
      <x:c r="E446" s="4" t="str">
        <x:v>功能需求</x:v>
      </x:c>
      <x:c r="F446" s="4" t="str">
        <x:v>P2</x:v>
      </x:c>
      <x:c r="G446" s="4" t="str">
        <x:v>验证房型回显</x:v>
      </x:c>
      <x:c r="H446" s="4" t="str">
        <x:v>房型回显</x:v>
      </x:c>
      <x:c r="I446" s="4" t="str">
        <x:v>1. 已登录平台管理员账号
2. 所选对象存在，已记录该对象的房型值</x:v>
      </x:c>
      <x:c r="J446" s="4" t="str">
        <x:v>1. 进入「直播场次-05」页
2. 查看房型回显</x:v>
      </x:c>
      <x:c r="K446" s="4" t="str">
        <x:v>「房型」内容与所选对象的该项资料一致</x:v>
      </x:c>
      <x:c r="L446" s="4" t="str"/>
      <x:c r="M446" s="4" t="str">
        <x:v>未测</x:v>
      </x:c>
      <x:c r="N446" s="4" t="str"/>
      <x:c r="O446" s="4" t="str">
        <x:v>1. 来源：MainBasis/统一需求文档.md；A-admin-live-management-003
2. 场景：SC-4d79ce15733177</x:v>
      </x:c>
    </x:row>
    <x:row r="447" ht="54" customHeight="1">
      <x:c r="A447" s="4" t="n">
        <x:v>446</x:v>
      </x:c>
      <x:c r="B447" s="4" t="str">
        <x:v>ADMIN-0446</x:v>
      </x:c>
      <x:c r="C447" s="4" t="str">
        <x:v>M10 用户管理、审核、举报与巡房</x:v>
      </x:c>
      <x:c r="D447" s="4" t="str">
        <x:v>直播场次-05（平台管理员视角）</x:v>
      </x:c>
      <x:c r="E447" s="4" t="str">
        <x:v>功能需求</x:v>
      </x:c>
      <x:c r="F447" s="4" t="str">
        <x:v>P2</x:v>
      </x:c>
      <x:c r="G447" s="4" t="str">
        <x:v>验证观众人数回显</x:v>
      </x:c>
      <x:c r="H447" s="4" t="str">
        <x:v>观众人数回显</x:v>
      </x:c>
      <x:c r="I447" s="4" t="str">
        <x:v>1. 已登录平台管理员账号
2. 所选对象存在，已记录该对象的观众人数值</x:v>
      </x:c>
      <x:c r="J447" s="4" t="str">
        <x:v>1. 进入「直播场次-05」页
2. 查看观众人数回显</x:v>
      </x:c>
      <x:c r="K447" s="4" t="str">
        <x:v>「观众人数」内容与所选对象的该项资料一致</x:v>
      </x:c>
      <x:c r="L447" s="4" t="str"/>
      <x:c r="M447" s="4" t="str">
        <x:v>未测</x:v>
      </x:c>
      <x:c r="N447" s="4" t="str"/>
      <x:c r="O447" s="4" t="str">
        <x:v>1. 来源：MainBasis/统一需求文档.md；A-admin-live-management-004
2. 场景：SC-6ba6e676b86dc0</x:v>
      </x:c>
    </x:row>
    <x:row r="448" ht="54" customHeight="1">
      <x:c r="A448" s="4" t="n">
        <x:v>447</x:v>
      </x:c>
      <x:c r="B448" s="4" t="str">
        <x:v>ADMIN-0447</x:v>
      </x:c>
      <x:c r="C448" s="4" t="str">
        <x:v>M10 用户管理、审核、举报与巡房</x:v>
      </x:c>
      <x:c r="D448" s="4" t="str">
        <x:v>直播场次-05（平台管理员视角）</x:v>
      </x:c>
      <x:c r="E448" s="4" t="str">
        <x:v>功能需求</x:v>
      </x:c>
      <x:c r="F448" s="4" t="str">
        <x:v>P1</x:v>
      </x:c>
      <x:c r="G448" s="4" t="str">
        <x:v>验证历史场次不能重开</x:v>
      </x:c>
      <x:c r="H448" s="4" t="str">
        <x:v>历史场次不能重开</x:v>
      </x:c>
      <x:c r="I448" s="4" t="str">
        <x:v>1. 已登录平台管理员账号
2. 当前场次已结束</x:v>
      </x:c>
      <x:c r="J448" s="4" t="str">
        <x:v>1. 进入「直播场次-05」页
2. 查看历史场次不能重开</x:v>
      </x:c>
      <x:c r="K448" s="4" t="str">
        <x:v>不能将该历史场次重新开启</x:v>
      </x:c>
      <x:c r="L448" s="4" t="str"/>
      <x:c r="M448" s="4" t="str">
        <x:v>未测</x:v>
      </x:c>
      <x:c r="N448" s="4" t="str"/>
      <x:c r="O448" s="4" t="str">
        <x:v>1. 来源：MainBasis/统一需求文档.md；A-admin-live-management-009
2. 场景：SC-60673aa2be8100</x:v>
      </x:c>
    </x:row>
    <x:row r="449" ht="82" customHeight="1">
      <x:c r="A449" s="4" t="n">
        <x:v>448</x:v>
      </x:c>
      <x:c r="B449" s="4" t="str">
        <x:v>ADMIN-0448</x:v>
      </x:c>
      <x:c r="C449" s="4" t="str">
        <x:v>M10 用户管理、审核、举报与巡房</x:v>
      </x:c>
      <x:c r="D449" s="4" t="str">
        <x:v>直播场次-05（平台管理员视角）</x:v>
      </x:c>
      <x:c r="E449" s="4" t="str">
        <x:v>逻辑校验</x:v>
      </x:c>
      <x:c r="F449" s="4" t="str">
        <x:v>P1</x:v>
      </x:c>
      <x:c r="G449" s="4" t="str">
        <x:v>验证后台场次主播收益区分幸运赠礼</x:v>
      </x:c>
      <x:c r="H449" s="4" t="str">
        <x:v>后台场次主播收益区分幸运赠礼</x:v>
      </x:c>
      <x:c r="I449" s="4" t="str">
        <x:v>1. 已登录平台管理员账号
2. 范围内普通礼物100、定制礼物200、幸运礼物1000且赠送时比例1%，返奖900
3. 另有门票50</x:v>
      </x:c>
      <x:c r="J449" s="4" t="str">
        <x:v>1. 进入「直播场次-05」页
2. 查看后台场次主播收益区分幸运赠礼</x:v>
      </x:c>
      <x:c r="K449" s="4" t="str">
        <x:v>后台场次主播收益 = 100 + 200 + 1000 × 1% + 50 = 360金币</x:v>
      </x:c>
      <x:c r="L449" s="4" t="str"/>
      <x:c r="M449" s="4" t="str">
        <x:v>未测</x:v>
      </x:c>
      <x:c r="N449" s="4" t="str"/>
      <x:c r="O449" s="4" t="str">
        <x:v>1. 来源：MainBasis/统一需求文档.md；A-admin-live-management-008
2. 场景：SC-d8627c4863e024</x:v>
      </x:c>
    </x:row>
    <x:row r="450" ht="54" customHeight="1">
      <x:c r="A450" s="4" t="n">
        <x:v>449</x:v>
      </x:c>
      <x:c r="B450" s="4" t="str">
        <x:v>ADMIN-0449</x:v>
      </x:c>
      <x:c r="C450" s="4" t="str">
        <x:v>M10 用户管理、审核、举报与巡房</x:v>
      </x:c>
      <x:c r="D450" s="4" t="str">
        <x:v>直播场次-05（平台管理员视角）</x:v>
      </x:c>
      <x:c r="E450" s="4" t="str">
        <x:v>逻辑校验</x:v>
      </x:c>
      <x:c r="F450" s="4" t="str">
        <x:v>P1</x:v>
      </x:c>
      <x:c r="G450" s="4" t="str">
        <x:v>验证后台场次主播收益排除虚拟和失败</x:v>
      </x:c>
      <x:c r="H450" s="4" t="str">
        <x:v>后台场次主播收益排除虚拟和失败</x:v>
      </x:c>
      <x:c r="I450" s="4" t="str">
        <x:v>1. 已登录平台管理员账号
2. 范围内真实成功普通礼物100，另有虚拟礼物100、失败礼物50</x:v>
      </x:c>
      <x:c r="J450" s="4" t="str">
        <x:v>1. 进入「直播场次-05」页
2. 查看后台场次主播收益排除虚拟和失败</x:v>
      </x:c>
      <x:c r="K450" s="4" t="str">
        <x:v>后台场次主播收益 = 100金币</x:v>
      </x:c>
      <x:c r="L450" s="4" t="str"/>
      <x:c r="M450" s="4" t="str">
        <x:v>未测</x:v>
      </x:c>
      <x:c r="N450" s="4" t="str"/>
      <x:c r="O450" s="4" t="str">
        <x:v>1. 来源：MainBasis/统一需求文档.md；A-admin-live-management-008
2. 场景：SC-904a8d63fbf310</x:v>
      </x:c>
    </x:row>
    <x:row r="451" ht="68" customHeight="1">
      <x:c r="A451" s="4" t="n">
        <x:v>450</x:v>
      </x:c>
      <x:c r="B451" s="4" t="str">
        <x:v>ADMIN-0450</x:v>
      </x:c>
      <x:c r="C451" s="4" t="str">
        <x:v>M10 用户管理、审核、举报与巡房</x:v>
      </x:c>
      <x:c r="D451" s="4" t="str">
        <x:v>直播场次-05（平台管理员视角）</x:v>
      </x:c>
      <x:c r="E451" s="4" t="str">
        <x:v>逻辑校验</x:v>
      </x:c>
      <x:c r="F451" s="4" t="str">
        <x:v>P1</x:v>
      </x:c>
      <x:c r="G451" s="4" t="str">
        <x:v>验证场次消费金币使用用户净消耗</x:v>
      </x:c>
      <x:c r="H451" s="4" t="str">
        <x:v>场次消费金币使用用户净消耗</x:v>
      </x:c>
      <x:c r="I451" s="4" t="str">
        <x:v>1. 已登录平台管理员账号
2. 普通100、定制200、门票50、幸运投入1000返奖900，另有虚拟礼物300</x:v>
      </x:c>
      <x:c r="J451" s="4" t="str">
        <x:v>1. 进入「直播场次-05」页
2. 查看场次消费金币使用用户净消耗</x:v>
      </x:c>
      <x:c r="K451" s="4" t="str">
        <x:v>场次消费金币 = 100 + 200 + 50 + 1000 - 900 = 450金币</x:v>
      </x:c>
      <x:c r="L451" s="4" t="str"/>
      <x:c r="M451" s="4" t="str">
        <x:v>未测</x:v>
      </x:c>
      <x:c r="N451" s="4" t="str"/>
      <x:c r="O451" s="4" t="str">
        <x:v>1. 来源：MainBasis/统一需求文档.md；A-admin-live-management-005
2. 场景：SC-82fb725b71f610</x:v>
      </x:c>
    </x:row>
    <x:row r="452" ht="54" customHeight="1">
      <x:c r="A452" s="4" t="n">
        <x:v>451</x:v>
      </x:c>
      <x:c r="B452" s="4" t="str">
        <x:v>ADMIN-0451</x:v>
      </x:c>
      <x:c r="C452" s="4" t="str">
        <x:v>M10 用户管理、审核、举报与巡房</x:v>
      </x:c>
      <x:c r="D452" s="4" t="str">
        <x:v>直播场次-05（平台管理员视角）</x:v>
      </x:c>
      <x:c r="E452" s="4" t="str">
        <x:v>功能需求</x:v>
      </x:c>
      <x:c r="F452" s="4" t="str">
        <x:v>P1</x:v>
      </x:c>
      <x:c r="G452" s="4" t="str">
        <x:v>验证同用户重复进场观众去重</x:v>
      </x:c>
      <x:c r="H452" s="4" t="str">
        <x:v>同用户重复进场观众去重</x:v>
      </x:c>
      <x:c r="I452" s="4" t="str">
        <x:v>1. 已登录平台管理员账号
2. 同一场次用户甲进入2次，乙进入1次</x:v>
      </x:c>
      <x:c r="J452" s="4" t="str">
        <x:v>1. 进入「直播场次-05」页
2. 查看同用户重复进场观众去重</x:v>
      </x:c>
      <x:c r="K452" s="4" t="str">
        <x:v>该场观众人数为2</x:v>
      </x:c>
      <x:c r="L452" s="4" t="str"/>
      <x:c r="M452" s="4" t="str">
        <x:v>未测</x:v>
      </x:c>
      <x:c r="N452" s="4" t="str"/>
      <x:c r="O452" s="4" t="str">
        <x:v>1. 来源：MainBasis/统一需求文档.md；A-admin-live-management-004
2. 场景：SC-8acf70914b74cf</x:v>
      </x:c>
    </x:row>
    <x:row r="453" ht="54" customHeight="1">
      <x:c r="A453" s="4" t="n">
        <x:v>452</x:v>
      </x:c>
      <x:c r="B453" s="4" t="str">
        <x:v>ADMIN-0452</x:v>
      </x:c>
      <x:c r="C453" s="4" t="str">
        <x:v>M10 用户管理、审核、举报与巡房</x:v>
      </x:c>
      <x:c r="D453" s="4" t="str">
        <x:v>直播场次-05（平台管理员视角）</x:v>
      </x:c>
      <x:c r="E453" s="4" t="str">
        <x:v>功能需求</x:v>
      </x:c>
      <x:c r="F453" s="4" t="str">
        <x:v>P1</x:v>
      </x:c>
      <x:c r="G453" s="4" t="str">
        <x:v>验证礼物件数连送累计</x:v>
      </x:c>
      <x:c r="H453" s="4" t="str">
        <x:v>礼物件数连送累计</x:v>
      </x:c>
      <x:c r="I453" s="4" t="str">
        <x:v>1. 已登录平台管理员账号
2. 成功赠礼数量2和3，另有一张门票和失败赠礼4件</x:v>
      </x:c>
      <x:c r="J453" s="4" t="str">
        <x:v>1. 进入「直播场次-05」页
2. 查看礼物件数连送累计</x:v>
      </x:c>
      <x:c r="K453" s="4" t="str">
        <x:v>收礼数量 = 2 + 3 = 5</x:v>
      </x:c>
      <x:c r="L453" s="4" t="str"/>
      <x:c r="M453" s="4" t="str">
        <x:v>未测</x:v>
      </x:c>
      <x:c r="N453" s="4" t="str"/>
      <x:c r="O453" s="4" t="str">
        <x:v>1. 来源：MainBasis/统一需求文档.md；A-admin-live-management-007
2. 场景：SC-36e40d8266457d</x:v>
      </x:c>
    </x:row>
    <x:row r="454" ht="54" customHeight="1">
      <x:c r="A454" s="4" t="n">
        <x:v>453</x:v>
      </x:c>
      <x:c r="B454" s="4" t="str">
        <x:v>ADMIN-0453</x:v>
      </x:c>
      <x:c r="C454" s="4" t="str">
        <x:v>M10 用户管理、审核、举报与巡房</x:v>
      </x:c>
      <x:c r="D454" s="4" t="str">
        <x:v>直播场次-05（平台管理员视角）</x:v>
      </x:c>
      <x:c r="E454" s="4" t="str">
        <x:v>功能需求</x:v>
      </x:c>
      <x:c r="F454" s="4" t="str">
        <x:v>P1</x:v>
      </x:c>
      <x:c r="G454" s="4" t="str">
        <x:v>验证场次时长直播中</x:v>
      </x:c>
      <x:c r="H454" s="4" t="str">
        <x:v>场次时长直播中</x:v>
      </x:c>
      <x:c r="I454" s="4" t="str">
        <x:v>1. 已登录平台管理员账号
2. 开播10:00，当前时间10:30</x:v>
      </x:c>
      <x:c r="J454" s="4" t="str">
        <x:v>1. 进入「直播场次-05」页
2. 查看场次时长直播中</x:v>
      </x:c>
      <x:c r="K454" s="4" t="str">
        <x:v>场次时长30分钟</x:v>
      </x:c>
      <x:c r="L454" s="4" t="str"/>
      <x:c r="M454" s="4" t="str">
        <x:v>未测</x:v>
      </x:c>
      <x:c r="N454" s="4" t="str"/>
      <x:c r="O454" s="4" t="str">
        <x:v>1. 来源：MainBasis/统一需求文档.md；A-admin-live-management-006
2. 场景：SC-776fdcea169bdc</x:v>
      </x:c>
    </x:row>
    <x:row r="455" ht="54" customHeight="1">
      <x:c r="A455" s="4" t="n">
        <x:v>454</x:v>
      </x:c>
      <x:c r="B455" s="4" t="str">
        <x:v>ADMIN-0454</x:v>
      </x:c>
      <x:c r="C455" s="4" t="str">
        <x:v>M10 用户管理、审核、举报与巡房</x:v>
      </x:c>
      <x:c r="D455" s="4" t="str">
        <x:v>直播场次-05（平台管理员视角）</x:v>
      </x:c>
      <x:c r="E455" s="4" t="str">
        <x:v>功能需求</x:v>
      </x:c>
      <x:c r="F455" s="4" t="str">
        <x:v>P1</x:v>
      </x:c>
      <x:c r="G455" s="4" t="str">
        <x:v>验证场次时长已结束</x:v>
      </x:c>
      <x:c r="H455" s="4" t="str">
        <x:v>场次时长已结束</x:v>
      </x:c>
      <x:c r="I455" s="4" t="str">
        <x:v>1. 已登录平台管理员账号
2. 开播10:00，结束时间10:30</x:v>
      </x:c>
      <x:c r="J455" s="4" t="str">
        <x:v>1. 进入「直播场次-05」页
2. 查看场次时长已结束</x:v>
      </x:c>
      <x:c r="K455" s="4" t="str">
        <x:v>场次时长30分钟</x:v>
      </x:c>
      <x:c r="L455" s="4" t="str"/>
      <x:c r="M455" s="4" t="str">
        <x:v>未测</x:v>
      </x:c>
      <x:c r="N455" s="4" t="str"/>
      <x:c r="O455" s="4" t="str">
        <x:v>1. 来源：MainBasis/统一需求文档.md；A-admin-live-management-006
2. 场景：SC-078ff7d4143a0a</x:v>
      </x:c>
    </x:row>
    <x:row r="456" ht="54" customHeight="1">
      <x:c r="A456" s="4" t="n">
        <x:v>455</x:v>
      </x:c>
      <x:c r="B456" s="4" t="str">
        <x:v>ADMIN-0455</x:v>
      </x:c>
      <x:c r="C456" s="4" t="str">
        <x:v>M10 用户管理、审核、举报与巡房</x:v>
      </x:c>
      <x:c r="D456" s="4" t="str">
        <x:v>直播详情（平台管理员视角）</x:v>
      </x:c>
      <x:c r="E456" s="4" t="str">
        <x:v>功能需求</x:v>
      </x:c>
      <x:c r="F456" s="4" t="str">
        <x:v>P2</x:v>
      </x:c>
      <x:c r="G456" s="4" t="str">
        <x:v>验证场次信息回显</x:v>
      </x:c>
      <x:c r="H456" s="4" t="str">
        <x:v>场次信息回显</x:v>
      </x:c>
      <x:c r="I456" s="4" t="str">
        <x:v>1. 已登录平台管理员账号
2. 所选对象存在，已记录该对象的场次信息值</x:v>
      </x:c>
      <x:c r="J456" s="4" t="str">
        <x:v>1. 进入「直播详情」页
2. 查看场次信息回显</x:v>
      </x:c>
      <x:c r="K456" s="4" t="str">
        <x:v>「场次信息」内容与所选对象的该项资料一致</x:v>
      </x:c>
      <x:c r="L456" s="4" t="str"/>
      <x:c r="M456" s="4" t="str">
        <x:v>未测</x:v>
      </x:c>
      <x:c r="N456" s="4" t="str"/>
      <x:c r="O456" s="4" t="str">
        <x:v>1. 来源：MainBasis/统一需求文档.md；A-admin-live-detail-002
2. 场景：SC-ccd808a4328e3b</x:v>
      </x:c>
    </x:row>
    <x:row r="457" ht="54" customHeight="1">
      <x:c r="A457" s="4" t="n">
        <x:v>456</x:v>
      </x:c>
      <x:c r="B457" s="4" t="str">
        <x:v>ADMIN-0456</x:v>
      </x:c>
      <x:c r="C457" s="4" t="str">
        <x:v>M10 用户管理、审核、举报与巡房</x:v>
      </x:c>
      <x:c r="D457" s="4" t="str">
        <x:v>直播详情（平台管理员视角）</x:v>
      </x:c>
      <x:c r="E457" s="4" t="str">
        <x:v>功能需求</x:v>
      </x:c>
      <x:c r="F457" s="4" t="str">
        <x:v>P2</x:v>
      </x:c>
      <x:c r="G457" s="4" t="str">
        <x:v>验证观众人数回显</x:v>
      </x:c>
      <x:c r="H457" s="4" t="str">
        <x:v>观众人数回显</x:v>
      </x:c>
      <x:c r="I457" s="4" t="str">
        <x:v>1. 已登录平台管理员账号
2. 所选对象存在，已记录该对象的观众人数值</x:v>
      </x:c>
      <x:c r="J457" s="4" t="str">
        <x:v>1. 进入「直播详情」页
2. 查看观众人数回显</x:v>
      </x:c>
      <x:c r="K457" s="4" t="str">
        <x:v>「观众人数」内容与所选对象的该项资料一致</x:v>
      </x:c>
      <x:c r="L457" s="4" t="str"/>
      <x:c r="M457" s="4" t="str">
        <x:v>未测</x:v>
      </x:c>
      <x:c r="N457" s="4" t="str"/>
      <x:c r="O457" s="4" t="str">
        <x:v>1. 来源：MainBasis/统一需求文档.md；A-admin-live-detail-003
2. 场景：SC-8a1a1d7836ff81</x:v>
      </x:c>
    </x:row>
    <x:row r="458" ht="54" customHeight="1">
      <x:c r="A458" s="4" t="n">
        <x:v>457</x:v>
      </x:c>
      <x:c r="B458" s="4" t="str">
        <x:v>ADMIN-0457</x:v>
      </x:c>
      <x:c r="C458" s="4" t="str">
        <x:v>M10 用户管理、审核、举报与巡房</x:v>
      </x:c>
      <x:c r="D458" s="4" t="str">
        <x:v>直播详情（平台管理员视角）</x:v>
      </x:c>
      <x:c r="E458" s="4" t="str">
        <x:v>功能需求</x:v>
      </x:c>
      <x:c r="F458" s="4" t="str">
        <x:v>P2</x:v>
      </x:c>
      <x:c r="G458" s="4" t="str">
        <x:v>验证巡房记录回显</x:v>
      </x:c>
      <x:c r="H458" s="4" t="str">
        <x:v>巡房记录回显</x:v>
      </x:c>
      <x:c r="I458" s="4" t="str">
        <x:v>1. 已登录平台管理员账号
2. 所选对象存在，已记录该对象的巡房记录值</x:v>
      </x:c>
      <x:c r="J458" s="4" t="str">
        <x:v>1. 进入「直播详情」页
2. 查看巡房记录回显</x:v>
      </x:c>
      <x:c r="K458" s="4" t="str">
        <x:v>「巡房记录」内容与所选对象的该项资料一致</x:v>
      </x:c>
      <x:c r="L458" s="4" t="str"/>
      <x:c r="M458" s="4" t="str">
        <x:v>未测</x:v>
      </x:c>
      <x:c r="N458" s="4" t="str"/>
      <x:c r="O458" s="4" t="str">
        <x:v>1. 来源：MainBasis/统一需求文档.md；A-admin-live-detail-006
2. 场景：SC-23ec2d4cd9c06a</x:v>
      </x:c>
    </x:row>
    <x:row r="459" ht="96" customHeight="1">
      <x:c r="A459" s="4" t="n">
        <x:v>458</x:v>
      </x:c>
      <x:c r="B459" s="4" t="str">
        <x:v>ADMIN-0458</x:v>
      </x:c>
      <x:c r="C459" s="4" t="str">
        <x:v>M10 用户管理、审核、举报与巡房</x:v>
      </x:c>
      <x:c r="D459" s="4" t="str">
        <x:v>直播详情（平台管理员视角）</x:v>
      </x:c>
      <x:c r="E459" s="4" t="str">
        <x:v>功能需求</x:v>
      </x:c>
      <x:c r="F459" s="4" t="str">
        <x:v>P1</x:v>
      </x:c>
      <x:c r="G459" s="4" t="str">
        <x:v>验证场次警告</x:v>
      </x:c>
      <x:c r="H459" s="4" t="str">
        <x:v>场次警告</x:v>
      </x:c>
      <x:c r="I459" s="4" t="str">
        <x:v>1. 已登录平台管理员账号
2. 目标场次直播中</x:v>
      </x:c>
      <x:c r="J459" s="4" t="str">
        <x:v>1. 进入「直播详情」页
2. 选择警告
3. 填写原因并确认</x:v>
      </x:c>
      <x:c r="K459" s="4" t="str">
        <x:v>发送警告，直播继续</x:v>
      </x:c>
      <x:c r="L459" s="4" t="str"/>
      <x:c r="M459" s="4" t="str">
        <x:v>未测</x:v>
      </x:c>
      <x:c r="N459" s="4" t="str"/>
      <x:c r="O459" s="4" t="str">
        <x:v>1. 来源：MainBasis/统一需求文档.md；A-admin-live-detail-009、A-admin-live-management-010、A-admin-live-detail-008、A-admin-report-detail-007、G-guild-all-violations-006
2. 场景：SC-cc3ce63de88092</x:v>
      </x:c>
    </x:row>
    <x:row r="460" ht="96" customHeight="1">
      <x:c r="A460" s="4" t="n">
        <x:v>459</x:v>
      </x:c>
      <x:c r="B460" s="4" t="str">
        <x:v>ADMIN-0459</x:v>
      </x:c>
      <x:c r="C460" s="4" t="str">
        <x:v>M10 用户管理、审核、举报与巡房</x:v>
      </x:c>
      <x:c r="D460" s="4" t="str">
        <x:v>直播详情（平台管理员视角）</x:v>
      </x:c>
      <x:c r="E460" s="4" t="str">
        <x:v>功能需求</x:v>
      </x:c>
      <x:c r="F460" s="4" t="str">
        <x:v>P1</x:v>
      </x:c>
      <x:c r="G460" s="4" t="str">
        <x:v>验证场次关播</x:v>
      </x:c>
      <x:c r="H460" s="4" t="str">
        <x:v>场次关播</x:v>
      </x:c>
      <x:c r="I460" s="4" t="str">
        <x:v>1. 已登录平台管理员账号
2. 目标场次直播中</x:v>
      </x:c>
      <x:c r="J460" s="4" t="str">
        <x:v>1. 进入「直播详情」页
2. 选择关播
3. 填写原因并确认</x:v>
      </x:c>
      <x:c r="K460" s="4" t="str">
        <x:v>本场立即结束并通知主播</x:v>
      </x:c>
      <x:c r="L460" s="4" t="str"/>
      <x:c r="M460" s="4" t="str">
        <x:v>未测</x:v>
      </x:c>
      <x:c r="N460" s="4" t="str"/>
      <x:c r="O460" s="4" t="str">
        <x:v>1. 来源：MainBasis/统一需求文档.md；A-admin-live-detail-009、A-admin-live-management-010、A-admin-live-detail-008、A-admin-report-detail-007、G-guild-all-violations-006
2. 场景：SC-659210769ea495</x:v>
      </x:c>
    </x:row>
    <x:row r="461" ht="96" customHeight="1">
      <x:c r="A461" s="4" t="n">
        <x:v>460</x:v>
      </x:c>
      <x:c r="B461" s="4" t="str">
        <x:v>ADMIN-0460</x:v>
      </x:c>
      <x:c r="C461" s="4" t="str">
        <x:v>M10 用户管理、审核、举报与巡房</x:v>
      </x:c>
      <x:c r="D461" s="4" t="str">
        <x:v>直播详情（平台管理员视角）</x:v>
      </x:c>
      <x:c r="E461" s="4" t="str">
        <x:v>功能需求</x:v>
      </x:c>
      <x:c r="F461" s="4" t="str">
        <x:v>P1</x:v>
      </x:c>
      <x:c r="G461" s="4" t="str">
        <x:v>验证结束场次无即时处置</x:v>
      </x:c>
      <x:c r="H461" s="4" t="str">
        <x:v>结束场次无即时处置</x:v>
      </x:c>
      <x:c r="I461" s="4" t="str">
        <x:v>1. 已登录平台管理员账号
2. 当前场次已结束</x:v>
      </x:c>
      <x:c r="J461" s="4" t="str">
        <x:v>1. 进入「直播详情」页
2. 查看结束场次无即时处置</x:v>
      </x:c>
      <x:c r="K461" s="4" t="str">
        <x:v>不提供警告或关播操作</x:v>
      </x:c>
      <x:c r="L461" s="4" t="str"/>
      <x:c r="M461" s="4" t="str">
        <x:v>未测</x:v>
      </x:c>
      <x:c r="N461" s="4" t="str"/>
      <x:c r="O461" s="4" t="str">
        <x:v>1. 来源：MainBasis/统一需求文档.md；A-admin-live-detail-009、A-admin-live-management-010、A-admin-live-detail-008、A-admin-report-detail-007、G-guild-all-violations-006
2. 场景：SC-955bb75e501219</x:v>
      </x:c>
    </x:row>
    <x:row r="462" ht="68" customHeight="1">
      <x:c r="A462" s="4" t="n">
        <x:v>461</x:v>
      </x:c>
      <x:c r="B462" s="4" t="str">
        <x:v>ADMIN-0461</x:v>
      </x:c>
      <x:c r="C462" s="4" t="str">
        <x:v>M10 用户管理、审核、举报与巡房</x:v>
      </x:c>
      <x:c r="D462" s="4" t="str">
        <x:v>直播详情（平台管理员视角）</x:v>
      </x:c>
      <x:c r="E462" s="4" t="str">
        <x:v>逻辑校验</x:v>
      </x:c>
      <x:c r="F462" s="4" t="str">
        <x:v>P1</x:v>
      </x:c>
      <x:c r="G462" s="4" t="str">
        <x:v>验证直播详情金币收益字段使用用户净消耗</x:v>
      </x:c>
      <x:c r="H462" s="4" t="str">
        <x:v>直播详情金币收益字段使用用户净消耗</x:v>
      </x:c>
      <x:c r="I462" s="4" t="str">
        <x:v>1. 已登录平台管理员账号
2. 普通100、定制200、门票50、幸运投入1000返奖900，另有虚拟礼物300</x:v>
      </x:c>
      <x:c r="J462" s="4" t="str">
        <x:v>1. 进入「直播详情」页
2. 查看直播详情金币收益字段使用用户净消耗</x:v>
      </x:c>
      <x:c r="K462" s="4" t="str">
        <x:v>直播详情金币收益字段 = 100 + 200 + 50 + 1000 - 900 = 450金币</x:v>
      </x:c>
      <x:c r="L462" s="4" t="str"/>
      <x:c r="M462" s="4" t="str">
        <x:v>未测</x:v>
      </x:c>
      <x:c r="N462" s="4" t="str"/>
      <x:c r="O462" s="4" t="str">
        <x:v>1. 来源：MainBasis/统一需求文档.md；A-admin-live-detail-004
2. 场景：SC-8aac8df551fbac</x:v>
      </x:c>
    </x:row>
    <x:row r="463" ht="54" customHeight="1">
      <x:c r="A463" s="4" t="n">
        <x:v>462</x:v>
      </x:c>
      <x:c r="B463" s="4" t="str">
        <x:v>ADMIN-0462</x:v>
      </x:c>
      <x:c r="C463" s="4" t="str">
        <x:v>M10 用户管理、审核、举报与巡房</x:v>
      </x:c>
      <x:c r="D463" s="4" t="str">
        <x:v>直播详情（平台管理员视角）</x:v>
      </x:c>
      <x:c r="E463" s="4" t="str">
        <x:v>功能需求</x:v>
      </x:c>
      <x:c r="F463" s="4" t="str">
        <x:v>P1</x:v>
      </x:c>
      <x:c r="G463" s="4" t="str">
        <x:v>验证同用户重复进场观众去重</x:v>
      </x:c>
      <x:c r="H463" s="4" t="str">
        <x:v>同用户重复进场观众去重</x:v>
      </x:c>
      <x:c r="I463" s="4" t="str">
        <x:v>1. 已登录平台管理员账号
2. 同一场次用户甲进入2次，乙进入1次</x:v>
      </x:c>
      <x:c r="J463" s="4" t="str">
        <x:v>1. 进入「直播详情」页
2. 查看同用户重复进场观众去重</x:v>
      </x:c>
      <x:c r="K463" s="4" t="str">
        <x:v>该场观众人数为2</x:v>
      </x:c>
      <x:c r="L463" s="4" t="str"/>
      <x:c r="M463" s="4" t="str">
        <x:v>未测</x:v>
      </x:c>
      <x:c r="N463" s="4" t="str"/>
      <x:c r="O463" s="4" t="str">
        <x:v>1. 来源：MainBasis/统一需求文档.md；A-admin-live-detail-003
2. 场景：SC-e7638e4b90f1fa</x:v>
      </x:c>
    </x:row>
    <x:row r="464" ht="54" customHeight="1">
      <x:c r="A464" s="4" t="n">
        <x:v>463</x:v>
      </x:c>
      <x:c r="B464" s="4" t="str">
        <x:v>ADMIN-0463</x:v>
      </x:c>
      <x:c r="C464" s="4" t="str">
        <x:v>M10 用户管理、审核、举报与巡房</x:v>
      </x:c>
      <x:c r="D464" s="4" t="str">
        <x:v>直播详情（平台管理员视角）</x:v>
      </x:c>
      <x:c r="E464" s="4" t="str">
        <x:v>功能需求</x:v>
      </x:c>
      <x:c r="F464" s="4" t="str">
        <x:v>P1</x:v>
      </x:c>
      <x:c r="G464" s="4" t="str">
        <x:v>验证礼物件数连送累计</x:v>
      </x:c>
      <x:c r="H464" s="4" t="str">
        <x:v>礼物件数连送累计</x:v>
      </x:c>
      <x:c r="I464" s="4" t="str">
        <x:v>1. 已登录平台管理员账号
2. 成功赠礼数量2和3，另有一张门票和失败赠礼4件</x:v>
      </x:c>
      <x:c r="J464" s="4" t="str">
        <x:v>1. 进入「直播详情」页
2. 查看礼物件数连送累计</x:v>
      </x:c>
      <x:c r="K464" s="4" t="str">
        <x:v>收礼数量 = 2 + 3 = 5</x:v>
      </x:c>
      <x:c r="L464" s="4" t="str"/>
      <x:c r="M464" s="4" t="str">
        <x:v>未测</x:v>
      </x:c>
      <x:c r="N464" s="4" t="str"/>
      <x:c r="O464" s="4" t="str">
        <x:v>1. 来源：MainBasis/统一需求文档.md；A-admin-live-detail-005
2. 场景：SC-ac66ec5e23d53b</x:v>
      </x:c>
    </x:row>
    <x:row r="465" ht="54" customHeight="1">
      <x:c r="A465" s="4" t="n">
        <x:v>464</x:v>
      </x:c>
      <x:c r="B465" s="4" t="str">
        <x:v>ADMIN-0464</x:v>
      </x:c>
      <x:c r="C465" s="4" t="str">
        <x:v>M10 用户管理、审核、举报与巡房</x:v>
      </x:c>
      <x:c r="D465" s="4" t="str">
        <x:v>直播详情（平台管理员视角）</x:v>
      </x:c>
      <x:c r="E465" s="4" t="str">
        <x:v>功能需求</x:v>
      </x:c>
      <x:c r="F465" s="4" t="str">
        <x:v>P2</x:v>
      </x:c>
      <x:c r="G465" s="4" t="str">
        <x:v>验证直播状态直播中回显</x:v>
      </x:c>
      <x:c r="H465" s="4" t="str">
        <x:v>直播状态直播中回显</x:v>
      </x:c>
      <x:c r="I465" s="4" t="str">
        <x:v>1. 已登录平台管理员账号
2. 所选记录直播状态为直播中</x:v>
      </x:c>
      <x:c r="J465" s="4" t="str">
        <x:v>1. 进入「直播详情」页
2. 查看直播状态直播中回显</x:v>
      </x:c>
      <x:c r="K465" s="4" t="str">
        <x:v>直播状态显示直播中</x:v>
      </x:c>
      <x:c r="L465" s="4" t="str"/>
      <x:c r="M465" s="4" t="str">
        <x:v>未测</x:v>
      </x:c>
      <x:c r="N465" s="4" t="str"/>
      <x:c r="O465" s="4" t="str">
        <x:v>1. 来源：MainBasis/统一需求文档.md；A-admin-live-detail-007
2. 场景：SC-8e64bb80ed7136</x:v>
      </x:c>
    </x:row>
    <x:row r="466" ht="54" customHeight="1">
      <x:c r="A466" s="4" t="n">
        <x:v>465</x:v>
      </x:c>
      <x:c r="B466" s="4" t="str">
        <x:v>ADMIN-0465</x:v>
      </x:c>
      <x:c r="C466" s="4" t="str">
        <x:v>M10 用户管理、审核、举报与巡房</x:v>
      </x:c>
      <x:c r="D466" s="4" t="str">
        <x:v>直播详情（平台管理员视角）</x:v>
      </x:c>
      <x:c r="E466" s="4" t="str">
        <x:v>功能需求</x:v>
      </x:c>
      <x:c r="F466" s="4" t="str">
        <x:v>P2</x:v>
      </x:c>
      <x:c r="G466" s="4" t="str">
        <x:v>验证直播状态已结束回显</x:v>
      </x:c>
      <x:c r="H466" s="4" t="str">
        <x:v>直播状态已结束回显</x:v>
      </x:c>
      <x:c r="I466" s="4" t="str">
        <x:v>1. 已登录平台管理员账号
2. 所选记录直播状态为已结束</x:v>
      </x:c>
      <x:c r="J466" s="4" t="str">
        <x:v>1. 进入「直播详情」页
2. 查看直播状态已结束回显</x:v>
      </x:c>
      <x:c r="K466" s="4" t="str">
        <x:v>直播状态显示已结束</x:v>
      </x:c>
      <x:c r="L466" s="4" t="str"/>
      <x:c r="M466" s="4" t="str">
        <x:v>未测</x:v>
      </x:c>
      <x:c r="N466" s="4" t="str"/>
      <x:c r="O466" s="4" t="str">
        <x:v>1. 来源：MainBasis/统一需求文档.md；A-admin-live-detail-007
2. 场景：SC-a557f3cbe9c641</x:v>
      </x:c>
    </x:row>
    <x:row r="467" ht="54" customHeight="1">
      <x:c r="A467" s="4" t="n">
        <x:v>466</x:v>
      </x:c>
      <x:c r="B467" s="4" t="str">
        <x:v>ADMIN-0466</x:v>
      </x:c>
      <x:c r="C467" s="4" t="str">
        <x:v>M10 用户管理、审核、举报与巡房</x:v>
      </x:c>
      <x:c r="D467" s="4" t="str">
        <x:v>巡房排班-06（平台管理员视角）</x:v>
      </x:c>
      <x:c r="E467" s="4" t="str">
        <x:v>功能需求</x:v>
      </x:c>
      <x:c r="F467" s="4" t="str">
        <x:v>P2</x:v>
      </x:c>
      <x:c r="G467" s="4" t="str">
        <x:v>验证状态待生效回显</x:v>
      </x:c>
      <x:c r="H467" s="4" t="str">
        <x:v>状态待生效回显</x:v>
      </x:c>
      <x:c r="I467" s="4" t="str">
        <x:v>1. 已登录平台管理员账号
2. 所选记录状态为待生效</x:v>
      </x:c>
      <x:c r="J467" s="4" t="str">
        <x:v>1. 进入「巡房排班-06」页
2. 查看状态待生效回显</x:v>
      </x:c>
      <x:c r="K467" s="4" t="str">
        <x:v>状态显示待生效</x:v>
      </x:c>
      <x:c r="L467" s="4" t="str"/>
      <x:c r="M467" s="4" t="str">
        <x:v>未测</x:v>
      </x:c>
      <x:c r="N467" s="4" t="str"/>
      <x:c r="O467" s="4" t="str">
        <x:v>1. 来源：MainBasis/统一需求文档.md；A-admin-inspection-schedule-005
2. 场景：SC-f94283c9e5caca</x:v>
      </x:c>
    </x:row>
    <x:row r="468" ht="54" customHeight="1">
      <x:c r="A468" s="4" t="n">
        <x:v>467</x:v>
      </x:c>
      <x:c r="B468" s="4" t="str">
        <x:v>ADMIN-0467</x:v>
      </x:c>
      <x:c r="C468" s="4" t="str">
        <x:v>M10 用户管理、审核、举报与巡房</x:v>
      </x:c>
      <x:c r="D468" s="4" t="str">
        <x:v>巡房排班-06（平台管理员视角）</x:v>
      </x:c>
      <x:c r="E468" s="4" t="str">
        <x:v>功能需求</x:v>
      </x:c>
      <x:c r="F468" s="4" t="str">
        <x:v>P2</x:v>
      </x:c>
      <x:c r="G468" s="4" t="str">
        <x:v>验证状态生效中回显</x:v>
      </x:c>
      <x:c r="H468" s="4" t="str">
        <x:v>状态生效中回显</x:v>
      </x:c>
      <x:c r="I468" s="4" t="str">
        <x:v>1. 已登录平台管理员账号
2. 所选记录状态为生效中</x:v>
      </x:c>
      <x:c r="J468" s="4" t="str">
        <x:v>1. 进入「巡房排班-06」页
2. 查看状态生效中回显</x:v>
      </x:c>
      <x:c r="K468" s="4" t="str">
        <x:v>状态显示生效中</x:v>
      </x:c>
      <x:c r="L468" s="4" t="str"/>
      <x:c r="M468" s="4" t="str">
        <x:v>未测</x:v>
      </x:c>
      <x:c r="N468" s="4" t="str"/>
      <x:c r="O468" s="4" t="str">
        <x:v>1. 来源：MainBasis/统一需求文档.md；A-admin-inspection-schedule-005
2. 场景：SC-af53ad05b44b96</x:v>
      </x:c>
    </x:row>
    <x:row r="469" ht="54" customHeight="1">
      <x:c r="A469" s="4" t="n">
        <x:v>468</x:v>
      </x:c>
      <x:c r="B469" s="4" t="str">
        <x:v>ADMIN-0468</x:v>
      </x:c>
      <x:c r="C469" s="4" t="str">
        <x:v>M10 用户管理、审核、举报与巡房</x:v>
      </x:c>
      <x:c r="D469" s="4" t="str">
        <x:v>巡房排班-06（平台管理员视角）</x:v>
      </x:c>
      <x:c r="E469" s="4" t="str">
        <x:v>功能需求</x:v>
      </x:c>
      <x:c r="F469" s="4" t="str">
        <x:v>P2</x:v>
      </x:c>
      <x:c r="G469" s="4" t="str">
        <x:v>验证状态已停用回显</x:v>
      </x:c>
      <x:c r="H469" s="4" t="str">
        <x:v>状态已停用回显</x:v>
      </x:c>
      <x:c r="I469" s="4" t="str">
        <x:v>1. 已登录平台管理员账号
2. 所选记录状态为已停用</x:v>
      </x:c>
      <x:c r="J469" s="4" t="str">
        <x:v>1. 进入「巡房排班-06」页
2. 查看状态已停用回显</x:v>
      </x:c>
      <x:c r="K469" s="4" t="str">
        <x:v>状态显示已停用</x:v>
      </x:c>
      <x:c r="L469" s="4" t="str"/>
      <x:c r="M469" s="4" t="str">
        <x:v>未测</x:v>
      </x:c>
      <x:c r="N469" s="4" t="str"/>
      <x:c r="O469" s="4" t="str">
        <x:v>1. 来源：MainBasis/统一需求文档.md；A-admin-inspection-schedule-005
2. 场景：SC-fe8e9550e7af03</x:v>
      </x:c>
    </x:row>
    <x:row r="470" ht="54" customHeight="1">
      <x:c r="A470" s="4" t="n">
        <x:v>469</x:v>
      </x:c>
      <x:c r="B470" s="4" t="str">
        <x:v>ADMIN-0469</x:v>
      </x:c>
      <x:c r="C470" s="4" t="str">
        <x:v>M10 用户管理、审核、举报与巡房</x:v>
      </x:c>
      <x:c r="D470" s="4" t="str">
        <x:v>巡房排班-06（平台管理员视角）</x:v>
      </x:c>
      <x:c r="E470" s="4" t="str">
        <x:v>功能需求</x:v>
      </x:c>
      <x:c r="F470" s="4" t="str">
        <x:v>P2</x:v>
      </x:c>
      <x:c r="G470" s="4" t="str">
        <x:v>验证状态已结束回显</x:v>
      </x:c>
      <x:c r="H470" s="4" t="str">
        <x:v>状态已结束回显</x:v>
      </x:c>
      <x:c r="I470" s="4" t="str">
        <x:v>1. 已登录平台管理员账号
2. 所选记录状态为已结束</x:v>
      </x:c>
      <x:c r="J470" s="4" t="str">
        <x:v>1. 进入「巡房排班-06」页
2. 查看状态已结束回显</x:v>
      </x:c>
      <x:c r="K470" s="4" t="str">
        <x:v>状态显示已结束</x:v>
      </x:c>
      <x:c r="L470" s="4" t="str"/>
      <x:c r="M470" s="4" t="str">
        <x:v>未测</x:v>
      </x:c>
      <x:c r="N470" s="4" t="str"/>
      <x:c r="O470" s="4" t="str">
        <x:v>1. 来源：MainBasis/统一需求文档.md；A-admin-inspection-schedule-005
2. 场景：SC-caf5d584801b07</x:v>
      </x:c>
    </x:row>
    <x:row r="471" ht="68" customHeight="1">
      <x:c r="A471" s="4" t="n">
        <x:v>470</x:v>
      </x:c>
      <x:c r="B471" s="4" t="str">
        <x:v>ADMIN-0470</x:v>
      </x:c>
      <x:c r="C471" s="4" t="str">
        <x:v>M10 用户管理、审核、举报与巡房</x:v>
      </x:c>
      <x:c r="D471" s="4" t="str">
        <x:v>巡房排班-06（平台管理员视角）</x:v>
      </x:c>
      <x:c r="E471" s="4" t="str">
        <x:v>功能需求</x:v>
      </x:c>
      <x:c r="F471" s="4" t="str">
        <x:v>P1</x:v>
      </x:c>
      <x:c r="G471" s="4" t="str">
        <x:v>验证巡房人数有效人员行数</x:v>
      </x:c>
      <x:c r="H471" s="4" t="str">
        <x:v>巡房人数有效人员行数</x:v>
      </x:c>
      <x:c r="I471" s="4" t="str">
        <x:v>1. 已登录平台管理员账号
2. 排班有3个不重复的有效巡房人员</x:v>
      </x:c>
      <x:c r="J471" s="4" t="str">
        <x:v>1. 进入「巡房排班-06」页
2. 查看巡房人数有效人员行数</x:v>
      </x:c>
      <x:c r="K471" s="4" t="str">
        <x:v>排班人数3</x:v>
      </x:c>
      <x:c r="L471" s="4" t="str"/>
      <x:c r="M471" s="4" t="str">
        <x:v>未测</x:v>
      </x:c>
      <x:c r="N471" s="4" t="str"/>
      <x:c r="O471" s="4" t="str">
        <x:v>1. 来源：MainBasis/统一需求文档.md；A-admin-inspection-schedule-004、A-admin-inspection-schedule-detail-003
2. 场景：SC-03cb8488d9b83d</x:v>
      </x:c>
    </x:row>
    <x:row r="472" ht="54" customHeight="1">
      <x:c r="A472" s="4" t="n">
        <x:v>471</x:v>
      </x:c>
      <x:c r="B472" s="4" t="str">
        <x:v>ADMIN-0471</x:v>
      </x:c>
      <x:c r="C472" s="4" t="str">
        <x:v>M10 用户管理、审核、举报与巡房</x:v>
      </x:c>
      <x:c r="D472" s="4" t="str">
        <x:v>巡房排班-06（平台管理员视角）</x:v>
      </x:c>
      <x:c r="E472" s="4" t="str">
        <x:v>功能需求</x:v>
      </x:c>
      <x:c r="F472" s="4" t="str">
        <x:v>P1</x:v>
      </x:c>
      <x:c r="G472" s="4" t="str">
        <x:v>验证排班重新启用重算</x:v>
      </x:c>
      <x:c r="H472" s="4" t="str">
        <x:v>排班重新启用重算</x:v>
      </x:c>
      <x:c r="I472" s="4" t="str">
        <x:v>1. 已登录平台管理员账号
2. 排班已停用且当前位于原有效时段</x:v>
      </x:c>
      <x:c r="J472" s="4" t="str">
        <x:v>1. 进入「巡房排班-06」页
2. 重新启用</x:v>
      </x:c>
      <x:c r="K472" s="4" t="str">
        <x:v>状态为生效中</x:v>
      </x:c>
      <x:c r="L472" s="4" t="str"/>
      <x:c r="M472" s="4" t="str">
        <x:v>未测</x:v>
      </x:c>
      <x:c r="N472" s="4" t="str"/>
      <x:c r="O472" s="4" t="str">
        <x:v>1. 来源：MainBasis/统一需求文档.md；A-admin-inspection-schedule-009
2. 场景：SC-221a392cd1467c</x:v>
      </x:c>
    </x:row>
    <x:row r="473" ht="54" customHeight="1">
      <x:c r="A473" s="4" t="n">
        <x:v>472</x:v>
      </x:c>
      <x:c r="B473" s="4" t="str">
        <x:v>ADMIN-0472</x:v>
      </x:c>
      <x:c r="C473" s="4" t="str">
        <x:v>M10 用户管理、审核、举报与巡房</x:v>
      </x:c>
      <x:c r="D473" s="4" t="str">
        <x:v>巡房排班-06（平台管理员视角）</x:v>
      </x:c>
      <x:c r="E473" s="4" t="str">
        <x:v>功能需求</x:v>
      </x:c>
      <x:c r="F473" s="4" t="str">
        <x:v>P1</x:v>
      </x:c>
      <x:c r="G473" s="4" t="str">
        <x:v>验证排班过期启用不生效</x:v>
      </x:c>
      <x:c r="H473" s="4" t="str">
        <x:v>排班过期启用不生效</x:v>
      </x:c>
      <x:c r="I473" s="4" t="str">
        <x:v>1. 已登录平台管理员账号
2. 排班已停用且原时段已经结束</x:v>
      </x:c>
      <x:c r="J473" s="4" t="str">
        <x:v>1. 进入「巡房排班-06」页
2. 重新启用</x:v>
      </x:c>
      <x:c r="K473" s="4" t="str">
        <x:v>按当前时间显示已结束</x:v>
      </x:c>
      <x:c r="L473" s="4" t="str"/>
      <x:c r="M473" s="4" t="str">
        <x:v>未测</x:v>
      </x:c>
      <x:c r="N473" s="4" t="str"/>
      <x:c r="O473" s="4" t="str">
        <x:v>1. 来源：MainBasis/统一需求文档.md；A-admin-inspection-schedule-009
2. 场景：SC-845dbc8791ade9</x:v>
      </x:c>
    </x:row>
    <x:row r="474" ht="54" customHeight="1">
      <x:c r="A474" s="4" t="n">
        <x:v>473</x:v>
      </x:c>
      <x:c r="B474" s="4" t="str">
        <x:v>ADMIN-0473</x:v>
      </x:c>
      <x:c r="C474" s="4" t="str">
        <x:v>M10 用户管理、审核、举报与巡房</x:v>
      </x:c>
      <x:c r="D474" s="4" t="str">
        <x:v>巡房排班-06（平台管理员视角）</x:v>
      </x:c>
      <x:c r="E474" s="4" t="str">
        <x:v>功能需求</x:v>
      </x:c>
      <x:c r="F474" s="4" t="str">
        <x:v>P1</x:v>
      </x:c>
      <x:c r="G474" s="4" t="str">
        <x:v>验证排班编号唯一</x:v>
      </x:c>
      <x:c r="H474" s="4" t="str">
        <x:v>排班编号唯一</x:v>
      </x:c>
      <x:c r="I474" s="4" t="str">
        <x:v>1. 已登录平台管理员账号
2. 已经创建两条排班记录</x:v>
      </x:c>
      <x:c r="J474" s="4" t="str">
        <x:v>1. 进入「巡房排班-06」页
2. 查看排班编号唯一</x:v>
      </x:c>
      <x:c r="K474" s="4" t="str">
        <x:v>两条排班的编号均非空且互不相同</x:v>
      </x:c>
      <x:c r="L474" s="4" t="str"/>
      <x:c r="M474" s="4" t="str">
        <x:v>未测</x:v>
      </x:c>
      <x:c r="N474" s="4" t="str"/>
      <x:c r="O474" s="4" t="str">
        <x:v>1. 来源：MainBasis/统一需求文档.md；A-admin-inspection-schedule-002
2. 场景：SC-9abc7e5eaa39d8</x:v>
      </x:c>
    </x:row>
    <x:row r="475" ht="54" customHeight="1">
      <x:c r="A475" s="4" t="n">
        <x:v>474</x:v>
      </x:c>
      <x:c r="B475" s="4" t="str">
        <x:v>ADMIN-0474</x:v>
      </x:c>
      <x:c r="C475" s="4" t="str">
        <x:v>M10 用户管理、审核、举报与巡房</x:v>
      </x:c>
      <x:c r="D475" s="4" t="str">
        <x:v>新建排班（平台管理员视角）</x:v>
      </x:c>
      <x:c r="E475" s="4" t="str">
        <x:v>功能需求</x:v>
      </x:c>
      <x:c r="F475" s="4" t="str">
        <x:v>P1</x:v>
      </x:c>
      <x:c r="G475" s="4" t="str">
        <x:v>验证排班日期昨日</x:v>
      </x:c>
      <x:c r="H475" s="4" t="str">
        <x:v>排班日期昨日</x:v>
      </x:c>
      <x:c r="I475" s="4" t="str">
        <x:v>1. 已登录平台管理员账号
2. 时段和人员合法</x:v>
      </x:c>
      <x:c r="J475" s="4" t="str">
        <x:v>1. 进入「新建排班」页
2. 选择昨日
3. 保存</x:v>
      </x:c>
      <x:c r="K475" s="4" t="str">
        <x:v>日期不允许保存</x:v>
      </x:c>
      <x:c r="L475" s="4" t="str"/>
      <x:c r="M475" s="4" t="str">
        <x:v>未测</x:v>
      </x:c>
      <x:c r="N475" s="4" t="str"/>
      <x:c r="O475" s="4" t="str">
        <x:v>1. 来源：MainBasis/统一需求文档.md；A-admin-inspection-schedule-create-002
2. 场景：SC-18aee763ca7307</x:v>
      </x:c>
    </x:row>
    <x:row r="476" ht="54" customHeight="1">
      <x:c r="A476" s="4" t="n">
        <x:v>475</x:v>
      </x:c>
      <x:c r="B476" s="4" t="str">
        <x:v>ADMIN-0475</x:v>
      </x:c>
      <x:c r="C476" s="4" t="str">
        <x:v>M10 用户管理、审核、举报与巡房</x:v>
      </x:c>
      <x:c r="D476" s="4" t="str">
        <x:v>新建排班（平台管理员视角）</x:v>
      </x:c>
      <x:c r="E476" s="4" t="str">
        <x:v>功能需求</x:v>
      </x:c>
      <x:c r="F476" s="4" t="str">
        <x:v>P1</x:v>
      </x:c>
      <x:c r="G476" s="4" t="str">
        <x:v>验证排班日期今日</x:v>
      </x:c>
      <x:c r="H476" s="4" t="str">
        <x:v>排班日期今日</x:v>
      </x:c>
      <x:c r="I476" s="4" t="str">
        <x:v>1. 已登录平台管理员账号
2. 时段和人员合法</x:v>
      </x:c>
      <x:c r="J476" s="4" t="str">
        <x:v>1. 进入「新建排班」页
2. 选择今日
3. 保存</x:v>
      </x:c>
      <x:c r="K476" s="4" t="str">
        <x:v>排班日期校验通过</x:v>
      </x:c>
      <x:c r="L476" s="4" t="str"/>
      <x:c r="M476" s="4" t="str">
        <x:v>未测</x:v>
      </x:c>
      <x:c r="N476" s="4" t="str"/>
      <x:c r="O476" s="4" t="str">
        <x:v>1. 来源：MainBasis/统一需求文档.md；A-admin-inspection-schedule-create-002
2. 场景：SC-999889cbfc67d7</x:v>
      </x:c>
    </x:row>
    <x:row r="477" ht="54" customHeight="1">
      <x:c r="A477" s="4" t="n">
        <x:v>476</x:v>
      </x:c>
      <x:c r="B477" s="4" t="str">
        <x:v>ADMIN-0476</x:v>
      </x:c>
      <x:c r="C477" s="4" t="str">
        <x:v>M10 用户管理、审核、举报与巡房</x:v>
      </x:c>
      <x:c r="D477" s="4" t="str">
        <x:v>新建排班（平台管理员视角）</x:v>
      </x:c>
      <x:c r="E477" s="4" t="str">
        <x:v>功能需求</x:v>
      </x:c>
      <x:c r="F477" s="4" t="str">
        <x:v>P1</x:v>
      </x:c>
      <x:c r="G477" s="4" t="str">
        <x:v>验证排班日期明日</x:v>
      </x:c>
      <x:c r="H477" s="4" t="str">
        <x:v>排班日期明日</x:v>
      </x:c>
      <x:c r="I477" s="4" t="str">
        <x:v>1. 已登录平台管理员账号
2. 时段和人员合法</x:v>
      </x:c>
      <x:c r="J477" s="4" t="str">
        <x:v>1. 进入「新建排班」页
2. 选择明日
3. 保存</x:v>
      </x:c>
      <x:c r="K477" s="4" t="str">
        <x:v>排班日期校验通过</x:v>
      </x:c>
      <x:c r="L477" s="4" t="str"/>
      <x:c r="M477" s="4" t="str">
        <x:v>未测</x:v>
      </x:c>
      <x:c r="N477" s="4" t="str"/>
      <x:c r="O477" s="4" t="str">
        <x:v>1. 来源：MainBasis/统一需求文档.md；A-admin-inspection-schedule-create-002
2. 场景：SC-8e41a0b99c0fa9</x:v>
      </x:c>
    </x:row>
    <x:row r="478" ht="68" customHeight="1">
      <x:c r="A478" s="4" t="n">
        <x:v>477</x:v>
      </x:c>
      <x:c r="B478" s="4" t="str">
        <x:v>ADMIN-0477</x:v>
      </x:c>
      <x:c r="C478" s="4" t="str">
        <x:v>M10 用户管理、审核、举报与巡房</x:v>
      </x:c>
      <x:c r="D478" s="4" t="str">
        <x:v>新建排班（平台管理员视角）</x:v>
      </x:c>
      <x:c r="E478" s="4" t="str">
        <x:v>功能需求</x:v>
      </x:c>
      <x:c r="F478" s="4" t="str">
        <x:v>P1</x:v>
      </x:c>
      <x:c r="G478" s="4" t="str">
        <x:v>验证排班结束相对开始-1</x:v>
      </x:c>
      <x:c r="H478" s="4" t="str">
        <x:v>排班结束相对开始-1</x:v>
      </x:c>
      <x:c r="I478" s="4" t="str">
        <x:v>1. 已登录平台管理员账号
2. 开始10:00，日期和人员有效</x:v>
      </x:c>
      <x:c r="J478" s="4" t="str">
        <x:v>1. 进入「新建排班」页
2. 结束选择09:59
3. 保存</x:v>
      </x:c>
      <x:c r="K478" s="4" t="str">
        <x:v>结束必须晚于开始，不能保存</x:v>
      </x:c>
      <x:c r="L478" s="4" t="str"/>
      <x:c r="M478" s="4" t="str">
        <x:v>未测</x:v>
      </x:c>
      <x:c r="N478" s="4" t="str"/>
      <x:c r="O478" s="4" t="str">
        <x:v>1. 来源：MainBasis/统一需求文档.md；A-admin-inspection-schedule-create-003、A-admin-inspection-schedule-003
2. 场景：SC-3b37c59b4b65d3</x:v>
      </x:c>
    </x:row>
    <x:row r="479" ht="68" customHeight="1">
      <x:c r="A479" s="4" t="n">
        <x:v>478</x:v>
      </x:c>
      <x:c r="B479" s="4" t="str">
        <x:v>ADMIN-0478</x:v>
      </x:c>
      <x:c r="C479" s="4" t="str">
        <x:v>M10 用户管理、审核、举报与巡房</x:v>
      </x:c>
      <x:c r="D479" s="4" t="str">
        <x:v>新建排班（平台管理员视角）</x:v>
      </x:c>
      <x:c r="E479" s="4" t="str">
        <x:v>功能需求</x:v>
      </x:c>
      <x:c r="F479" s="4" t="str">
        <x:v>P1</x:v>
      </x:c>
      <x:c r="G479" s="4" t="str">
        <x:v>验证排班结束相对开始0</x:v>
      </x:c>
      <x:c r="H479" s="4" t="str">
        <x:v>排班结束相对开始0</x:v>
      </x:c>
      <x:c r="I479" s="4" t="str">
        <x:v>1. 已登录平台管理员账号
2. 开始10:00，日期和人员有效</x:v>
      </x:c>
      <x:c r="J479" s="4" t="str">
        <x:v>1. 进入「新建排班」页
2. 结束选择10:00
3. 保存</x:v>
      </x:c>
      <x:c r="K479" s="4" t="str">
        <x:v>结束必须晚于开始，不能保存</x:v>
      </x:c>
      <x:c r="L479" s="4" t="str"/>
      <x:c r="M479" s="4" t="str">
        <x:v>未测</x:v>
      </x:c>
      <x:c r="N479" s="4" t="str"/>
      <x:c r="O479" s="4" t="str">
        <x:v>1. 来源：MainBasis/统一需求文档.md；A-admin-inspection-schedule-create-003、A-admin-inspection-schedule-003
2. 场景：SC-cbed3bbda41278</x:v>
      </x:c>
    </x:row>
    <x:row r="480" ht="68" customHeight="1">
      <x:c r="A480" s="4" t="n">
        <x:v>479</x:v>
      </x:c>
      <x:c r="B480" s="4" t="str">
        <x:v>ADMIN-0479</x:v>
      </x:c>
      <x:c r="C480" s="4" t="str">
        <x:v>M10 用户管理、审核、举报与巡房</x:v>
      </x:c>
      <x:c r="D480" s="4" t="str">
        <x:v>新建排班（平台管理员视角）</x:v>
      </x:c>
      <x:c r="E480" s="4" t="str">
        <x:v>功能需求</x:v>
      </x:c>
      <x:c r="F480" s="4" t="str">
        <x:v>P1</x:v>
      </x:c>
      <x:c r="G480" s="4" t="str">
        <x:v>验证排班结束相对开始1</x:v>
      </x:c>
      <x:c r="H480" s="4" t="str">
        <x:v>排班结束相对开始1</x:v>
      </x:c>
      <x:c r="I480" s="4" t="str">
        <x:v>1. 已登录平台管理员账号
2. 开始10:00，日期和人员有效</x:v>
      </x:c>
      <x:c r="J480" s="4" t="str">
        <x:v>1. 进入「新建排班」页
2. 结束选择10:01
3. 保存</x:v>
      </x:c>
      <x:c r="K480" s="4" t="str">
        <x:v>时段可保存</x:v>
      </x:c>
      <x:c r="L480" s="4" t="str"/>
      <x:c r="M480" s="4" t="str">
        <x:v>未测</x:v>
      </x:c>
      <x:c r="N480" s="4" t="str"/>
      <x:c r="O480" s="4" t="str">
        <x:v>1. 来源：MainBasis/统一需求文档.md；A-admin-inspection-schedule-create-003、A-admin-inspection-schedule-003
2. 场景：SC-268c3153089121</x:v>
      </x:c>
    </x:row>
    <x:row r="481" ht="68" customHeight="1">
      <x:c r="A481" s="4" t="n">
        <x:v>480</x:v>
      </x:c>
      <x:c r="B481" s="4" t="str">
        <x:v>ADMIN-0480</x:v>
      </x:c>
      <x:c r="C481" s="4" t="str">
        <x:v>M10 用户管理、审核、举报与巡房</x:v>
      </x:c>
      <x:c r="D481" s="4" t="str">
        <x:v>新建排班（平台管理员视角）</x:v>
      </x:c>
      <x:c r="E481" s="4" t="str">
        <x:v>功能需求</x:v>
      </x:c>
      <x:c r="F481" s="4" t="str">
        <x:v>P1</x:v>
      </x:c>
      <x:c r="G481" s="4" t="str">
        <x:v>验证排班人员无人</x:v>
      </x:c>
      <x:c r="H481" s="4" t="str">
        <x:v>排班人员无人</x:v>
      </x:c>
      <x:c r="I481" s="4" t="str">
        <x:v>1. 已登录平台管理员账号
2. 日期时段合法</x:v>
      </x:c>
      <x:c r="J481" s="4" t="str">
        <x:v>1. 进入「新建排班」页
2. 配置人员为无人
3. 保存</x:v>
      </x:c>
      <x:c r="K481" s="4" t="str">
        <x:v>不能创建该人员名单的排班</x:v>
      </x:c>
      <x:c r="L481" s="4" t="str"/>
      <x:c r="M481" s="4" t="str">
        <x:v>未测</x:v>
      </x:c>
      <x:c r="N481" s="4" t="str"/>
      <x:c r="O481" s="4" t="str">
        <x:v>1. 来源：MainBasis/统一需求文档.md；A-admin-inspection-schedule-create-004、A-admin-inspection-schedule-create-005
2. 场景：SC-d67a7d72ed1397</x:v>
      </x:c>
    </x:row>
    <x:row r="482" ht="68" customHeight="1">
      <x:c r="A482" s="4" t="n">
        <x:v>481</x:v>
      </x:c>
      <x:c r="B482" s="4" t="str">
        <x:v>ADMIN-0481</x:v>
      </x:c>
      <x:c r="C482" s="4" t="str">
        <x:v>M10 用户管理、审核、举报与巡房</x:v>
      </x:c>
      <x:c r="D482" s="4" t="str">
        <x:v>新建排班（平台管理员视角）</x:v>
      </x:c>
      <x:c r="E482" s="4" t="str">
        <x:v>功能需求</x:v>
      </x:c>
      <x:c r="F482" s="4" t="str">
        <x:v>P1</x:v>
      </x:c>
      <x:c r="G482" s="4" t="str">
        <x:v>验证排班人员重复人员</x:v>
      </x:c>
      <x:c r="H482" s="4" t="str">
        <x:v>排班人员重复人员</x:v>
      </x:c>
      <x:c r="I482" s="4" t="str">
        <x:v>1. 已登录平台管理员账号
2. 日期时段合法</x:v>
      </x:c>
      <x:c r="J482" s="4" t="str">
        <x:v>1. 进入「新建排班」页
2. 配置人员为重复人员
3. 保存</x:v>
      </x:c>
      <x:c r="K482" s="4" t="str">
        <x:v>不能创建该人员名单的排班</x:v>
      </x:c>
      <x:c r="L482" s="4" t="str"/>
      <x:c r="M482" s="4" t="str">
        <x:v>未测</x:v>
      </x:c>
      <x:c r="N482" s="4" t="str"/>
      <x:c r="O482" s="4" t="str">
        <x:v>1. 来源：MainBasis/统一需求文档.md；A-admin-inspection-schedule-create-004、A-admin-inspection-schedule-create-005
2. 场景：SC-ac4400651338f7</x:v>
      </x:c>
    </x:row>
    <x:row r="483" ht="68" customHeight="1">
      <x:c r="A483" s="4" t="n">
        <x:v>482</x:v>
      </x:c>
      <x:c r="B483" s="4" t="str">
        <x:v>ADMIN-0482</x:v>
      </x:c>
      <x:c r="C483" s="4" t="str">
        <x:v>M10 用户管理、审核、举报与巡房</x:v>
      </x:c>
      <x:c r="D483" s="4" t="str">
        <x:v>新建排班（平台管理员视角）</x:v>
      </x:c>
      <x:c r="E483" s="4" t="str">
        <x:v>功能需求</x:v>
      </x:c>
      <x:c r="F483" s="4" t="str">
        <x:v>P1</x:v>
      </x:c>
      <x:c r="G483" s="4" t="str">
        <x:v>验证排班人员封禁账号</x:v>
      </x:c>
      <x:c r="H483" s="4" t="str">
        <x:v>排班人员封禁账号</x:v>
      </x:c>
      <x:c r="I483" s="4" t="str">
        <x:v>1. 已登录平台管理员账号
2. 日期时段合法</x:v>
      </x:c>
      <x:c r="J483" s="4" t="str">
        <x:v>1. 进入「新建排班」页
2. 配置人员为封禁账号
3. 保存</x:v>
      </x:c>
      <x:c r="K483" s="4" t="str">
        <x:v>不能创建该人员名单的排班</x:v>
      </x:c>
      <x:c r="L483" s="4" t="str"/>
      <x:c r="M483" s="4" t="str">
        <x:v>未测</x:v>
      </x:c>
      <x:c r="N483" s="4" t="str"/>
      <x:c r="O483" s="4" t="str">
        <x:v>1. 来源：MainBasis/统一需求文档.md；A-admin-inspection-schedule-create-004、A-admin-inspection-schedule-create-005
2. 场景：SC-db054d5921ee21</x:v>
      </x:c>
    </x:row>
    <x:row r="484" ht="54" customHeight="1">
      <x:c r="A484" s="4" t="n">
        <x:v>483</x:v>
      </x:c>
      <x:c r="B484" s="4" t="str">
        <x:v>ADMIN-0483</x:v>
      </x:c>
      <x:c r="C484" s="4" t="str">
        <x:v>M10 用户管理、审核、举报与巡房</x:v>
      </x:c>
      <x:c r="D484" s="4" t="str">
        <x:v>新建排班（平台管理员视角）</x:v>
      </x:c>
      <x:c r="E484" s="4" t="str">
        <x:v>功能需求</x:v>
      </x:c>
      <x:c r="F484" s="4" t="str">
        <x:v>P1</x:v>
      </x:c>
      <x:c r="G484" s="4" t="str">
        <x:v>验证巡房人员全选当前结果</x:v>
      </x:c>
      <x:c r="H484" s="4" t="str">
        <x:v>巡房人员全选当前结果</x:v>
      </x:c>
      <x:c r="I484" s="4" t="str">
        <x:v>1. 已登录平台管理员账号
2. 存在5个可用账号，搜索命中2个</x:v>
      </x:c>
      <x:c r="J484" s="4" t="str">
        <x:v>1. 进入「新建排班」页
2. 点击全选</x:v>
      </x:c>
      <x:c r="K484" s="4" t="str">
        <x:v>只选中当前搜索命中的2个账号</x:v>
      </x:c>
      <x:c r="L484" s="4" t="str"/>
      <x:c r="M484" s="4" t="str">
        <x:v>未测</x:v>
      </x:c>
      <x:c r="N484" s="4" t="str"/>
      <x:c r="O484" s="4" t="str">
        <x:v>1. 来源：MainBasis/统一需求文档.md；A-admin-inspection-schedule-create-006
2. 场景：SC-974d67763746a6</x:v>
      </x:c>
    </x:row>
    <x:row r="485" ht="54" customHeight="1">
      <x:c r="A485" s="4" t="n">
        <x:v>484</x:v>
      </x:c>
      <x:c r="B485" s="4" t="str">
        <x:v>ADMIN-0484</x:v>
      </x:c>
      <x:c r="C485" s="4" t="str">
        <x:v>M10 用户管理、审核、举报与巡房</x:v>
      </x:c>
      <x:c r="D485" s="4" t="str">
        <x:v>排班详情（平台管理员视角）</x:v>
      </x:c>
      <x:c r="E485" s="4" t="str">
        <x:v>功能需求</x:v>
      </x:c>
      <x:c r="F485" s="4" t="str">
        <x:v>P1</x:v>
      </x:c>
      <x:c r="G485" s="4" t="str">
        <x:v>验证巡房账号后续封禁保留名单</x:v>
      </x:c>
      <x:c r="H485" s="4" t="str">
        <x:v>巡房账号后续封禁保留名单</x:v>
      </x:c>
      <x:c r="I485" s="4" t="str">
        <x:v>1. 已登录平台管理员账号
2. 账号已在历史排班中，后来被平台封禁</x:v>
      </x:c>
      <x:c r="J485" s="4" t="str">
        <x:v>1. 进入「排班详情」页
2. 查看巡房账号后续封禁保留名单</x:v>
      </x:c>
      <x:c r="K485" s="4" t="str">
        <x:v>历史名单保留该账号，但不能再巡房</x:v>
      </x:c>
      <x:c r="L485" s="4" t="str"/>
      <x:c r="M485" s="4" t="str">
        <x:v>未测</x:v>
      </x:c>
      <x:c r="N485" s="4" t="str"/>
      <x:c r="O485" s="4" t="str">
        <x:v>1. 来源：MainBasis/统一需求文档.md；A-admin-inspection-schedule-detail-004
2. 场景：SC-c4272d54726c28</x:v>
      </x:c>
    </x:row>
    <x:row r="486" ht="68" customHeight="1">
      <x:c r="A486" s="4" t="n">
        <x:v>485</x:v>
      </x:c>
      <x:c r="B486" s="4" t="str">
        <x:v>ADMIN-0485</x:v>
      </x:c>
      <x:c r="C486" s="4" t="str">
        <x:v>M10 用户管理、审核、举报与巡房</x:v>
      </x:c>
      <x:c r="D486" s="4" t="str">
        <x:v>排班详情（平台管理员视角）</x:v>
      </x:c>
      <x:c r="E486" s="4" t="str">
        <x:v>功能需求</x:v>
      </x:c>
      <x:c r="F486" s="4" t="str">
        <x:v>P1</x:v>
      </x:c>
      <x:c r="G486" s="4" t="str">
        <x:v>验证排班详情快照</x:v>
      </x:c>
      <x:c r="H486" s="4" t="str">
        <x:v>排班详情快照</x:v>
      </x:c>
      <x:c r="I486" s="4" t="str">
        <x:v>1. 已登录平台管理员账号
2. 已记录所选排班的编号、日期、起止时间、人数、状态和创建时间</x:v>
      </x:c>
      <x:c r="J486" s="4" t="str">
        <x:v>1. 进入「排班详情」页
2. 查看排班详情快照</x:v>
      </x:c>
      <x:c r="K486" s="4" t="str">
        <x:v>排班详情上述字段与该创建记录一致</x:v>
      </x:c>
      <x:c r="L486" s="4" t="str"/>
      <x:c r="M486" s="4" t="str">
        <x:v>未测</x:v>
      </x:c>
      <x:c r="N486" s="4" t="str"/>
      <x:c r="O486" s="4" t="str">
        <x:v>1. 来源：MainBasis/统一需求文档.md；A-admin-inspection-schedule-detail-002
2. 场景：SC-fe9febbcf038bd</x:v>
      </x:c>
    </x:row>
    <x:row r="487" ht="54" customHeight="1">
      <x:c r="A487" s="4" t="n">
        <x:v>486</x:v>
      </x:c>
      <x:c r="B487" s="4" t="str">
        <x:v>ADMIN-0486</x:v>
      </x:c>
      <x:c r="C487" s="4" t="str">
        <x:v>M10 用户管理、审核、举报与巡房</x:v>
      </x:c>
      <x:c r="D487" s="4" t="str">
        <x:v>内容审核-07（平台管理员视角）</x:v>
      </x:c>
      <x:c r="E487" s="4" t="str">
        <x:v>功能需求</x:v>
      </x:c>
      <x:c r="F487" s="4" t="str">
        <x:v>P2</x:v>
      </x:c>
      <x:c r="G487" s="4" t="str">
        <x:v>验证命中类型、风险等级回显</x:v>
      </x:c>
      <x:c r="H487" s="4" t="str">
        <x:v>命中类型、风险等级回显</x:v>
      </x:c>
      <x:c r="I487" s="4" t="str">
        <x:v>1. 已登录平台管理员账号
2. 所选对象存在，已记录该对象的命中类型 / 风险等级值</x:v>
      </x:c>
      <x:c r="J487" s="4" t="str">
        <x:v>1. 进入「内容审核-07」页
2. 查看命中类型、风险等级回显</x:v>
      </x:c>
      <x:c r="K487" s="4" t="str">
        <x:v>「命中类型 / 风险等级」内容与所选对象的该项资料一致</x:v>
      </x:c>
      <x:c r="L487" s="4" t="str"/>
      <x:c r="M487" s="4" t="str">
        <x:v>未测</x:v>
      </x:c>
      <x:c r="N487" s="4" t="str"/>
      <x:c r="O487" s="4" t="str">
        <x:v>1. 来源：MainBasis/统一需求文档.md；A-admin-content-audit-003
2. 场景：SC-c5b435a473862d</x:v>
      </x:c>
    </x:row>
    <x:row r="488" ht="54" customHeight="1">
      <x:c r="A488" s="4" t="n">
        <x:v>487</x:v>
      </x:c>
      <x:c r="B488" s="4" t="str">
        <x:v>ADMIN-0487</x:v>
      </x:c>
      <x:c r="C488" s="4" t="str">
        <x:v>M10 用户管理、审核、举报与巡房</x:v>
      </x:c>
      <x:c r="D488" s="4" t="str">
        <x:v>内容审核-07（平台管理员视角）</x:v>
      </x:c>
      <x:c r="E488" s="4" t="str">
        <x:v>功能需求</x:v>
      </x:c>
      <x:c r="F488" s="4" t="str">
        <x:v>P2</x:v>
      </x:c>
      <x:c r="G488" s="4" t="str">
        <x:v>验证告警截图回显</x:v>
      </x:c>
      <x:c r="H488" s="4" t="str">
        <x:v>告警截图回显</x:v>
      </x:c>
      <x:c r="I488" s="4" t="str">
        <x:v>1. 已登录平台管理员账号
2. 所选对象存在，已记录该对象的告警截图值</x:v>
      </x:c>
      <x:c r="J488" s="4" t="str">
        <x:v>1. 进入「内容审核-07」页
2. 查看告警截图回显</x:v>
      </x:c>
      <x:c r="K488" s="4" t="str">
        <x:v>「告警截图」内容与所选对象的该项资料一致</x:v>
      </x:c>
      <x:c r="L488" s="4" t="str"/>
      <x:c r="M488" s="4" t="str">
        <x:v>未测</x:v>
      </x:c>
      <x:c r="N488" s="4" t="str"/>
      <x:c r="O488" s="4" t="str">
        <x:v>1. 来源：MainBasis/统一需求文档.md；A-admin-content-audit-004
2. 场景：SC-ec48886c73e346</x:v>
      </x:c>
    </x:row>
    <x:row r="489" ht="54" customHeight="1">
      <x:c r="A489" s="4" t="n">
        <x:v>488</x:v>
      </x:c>
      <x:c r="B489" s="4" t="str">
        <x:v>ADMIN-0488</x:v>
      </x:c>
      <x:c r="C489" s="4" t="str">
        <x:v>M10 用户管理、审核、举报与巡房</x:v>
      </x:c>
      <x:c r="D489" s="4" t="str">
        <x:v>内容审核-07（平台管理员视角）</x:v>
      </x:c>
      <x:c r="E489" s="4" t="str">
        <x:v>功能需求</x:v>
      </x:c>
      <x:c r="F489" s="4" t="str">
        <x:v>P2</x:v>
      </x:c>
      <x:c r="G489" s="4" t="str">
        <x:v>验证审核状态回显</x:v>
      </x:c>
      <x:c r="H489" s="4" t="str">
        <x:v>审核状态回显</x:v>
      </x:c>
      <x:c r="I489" s="4" t="str">
        <x:v>1. 已登录平台管理员账号
2. 所选对象存在，已记录该对象的审核状态值</x:v>
      </x:c>
      <x:c r="J489" s="4" t="str">
        <x:v>1. 进入「内容审核-07」页
2. 查看审核状态回显</x:v>
      </x:c>
      <x:c r="K489" s="4" t="str">
        <x:v>「审核状态」内容与所选对象的该项资料一致</x:v>
      </x:c>
      <x:c r="L489" s="4" t="str"/>
      <x:c r="M489" s="4" t="str">
        <x:v>未测</x:v>
      </x:c>
      <x:c r="N489" s="4" t="str"/>
      <x:c r="O489" s="4" t="str">
        <x:v>1. 来源：MainBasis/统一需求文档.md；A-admin-content-audit-005
2. 场景：SC-a49cc0f8dbba1a</x:v>
      </x:c>
    </x:row>
    <x:row r="490" ht="68" customHeight="1">
      <x:c r="A490" s="4" t="n">
        <x:v>489</x:v>
      </x:c>
      <x:c r="B490" s="4" t="str">
        <x:v>ADMIN-0489</x:v>
      </x:c>
      <x:c r="C490" s="4" t="str">
        <x:v>M10 用户管理、审核、举报与巡房</x:v>
      </x:c>
      <x:c r="D490" s="4" t="str">
        <x:v>内容审核-07（平台管理员视角）</x:v>
      </x:c>
      <x:c r="E490" s="4" t="str">
        <x:v>功能需求</x:v>
      </x:c>
      <x:c r="F490" s="4" t="str">
        <x:v>P1</x:v>
      </x:c>
      <x:c r="G490" s="4" t="str">
        <x:v>验证机审告警忽略</x:v>
      </x:c>
      <x:c r="H490" s="4" t="str">
        <x:v>机审告警忽略</x:v>
      </x:c>
      <x:c r="I490" s="4" t="str">
        <x:v>1. 已登录平台管理员账号
2. 告警待处理，直播和账号均未处置</x:v>
      </x:c>
      <x:c r="J490" s="4" t="str">
        <x:v>1. 进入「内容审核-07」页
2. 选择忽略
3. 填写原因后提交</x:v>
      </x:c>
      <x:c r="K490" s="4" t="str">
        <x:v>告警变为已忽略，直播与账号不变</x:v>
      </x:c>
      <x:c r="L490" s="4" t="str"/>
      <x:c r="M490" s="4" t="str">
        <x:v>未测</x:v>
      </x:c>
      <x:c r="N490" s="4" t="str"/>
      <x:c r="O490" s="4" t="str">
        <x:v>1. 来源：MainBasis/统一需求文档.md；A-admin-content-audit-007、A-admin-content-audit-008
2. 场景：SC-1e35f298e72025</x:v>
      </x:c>
    </x:row>
    <x:row r="491" ht="68" customHeight="1">
      <x:c r="A491" s="4" t="n">
        <x:v>490</x:v>
      </x:c>
      <x:c r="B491" s="4" t="str">
        <x:v>ADMIN-0490</x:v>
      </x:c>
      <x:c r="C491" s="4" t="str">
        <x:v>M10 用户管理、审核、举报与巡房</x:v>
      </x:c>
      <x:c r="D491" s="4" t="str">
        <x:v>内容审核-07（平台管理员视角）</x:v>
      </x:c>
      <x:c r="E491" s="4" t="str">
        <x:v>功能需求</x:v>
      </x:c>
      <x:c r="F491" s="4" t="str">
        <x:v>P1</x:v>
      </x:c>
      <x:c r="G491" s="4" t="str">
        <x:v>验证机审告警转人工复审</x:v>
      </x:c>
      <x:c r="H491" s="4" t="str">
        <x:v>机审告警转人工复审</x:v>
      </x:c>
      <x:c r="I491" s="4" t="str">
        <x:v>1. 已登录平台管理员账号
2. 告警待处理，直播和账号均未处置</x:v>
      </x:c>
      <x:c r="J491" s="4" t="str">
        <x:v>1. 进入「内容审核-07」页
2. 选择转人工复审
3. 填写原因后提交</x:v>
      </x:c>
      <x:c r="K491" s="4" t="str">
        <x:v>告警变为人工复审中</x:v>
      </x:c>
      <x:c r="L491" s="4" t="str"/>
      <x:c r="M491" s="4" t="str">
        <x:v>未测</x:v>
      </x:c>
      <x:c r="N491" s="4" t="str"/>
      <x:c r="O491" s="4" t="str">
        <x:v>1. 来源：MainBasis/统一需求文档.md；A-admin-content-audit-007、A-admin-content-audit-008
2. 场景：SC-587d6fff8b6bfe</x:v>
      </x:c>
    </x:row>
    <x:row r="492" ht="54" customHeight="1">
      <x:c r="A492" s="4" t="n">
        <x:v>491</x:v>
      </x:c>
      <x:c r="B492" s="4" t="str">
        <x:v>ADMIN-0491</x:v>
      </x:c>
      <x:c r="C492" s="4" t="str">
        <x:v>M10 用户管理、审核、举报与巡房</x:v>
      </x:c>
      <x:c r="D492" s="4" t="str">
        <x:v>内容审核-07（平台管理员视角）</x:v>
      </x:c>
      <x:c r="E492" s="4" t="str">
        <x:v>功能需求</x:v>
      </x:c>
      <x:c r="F492" s="4" t="str">
        <x:v>P1</x:v>
      </x:c>
      <x:c r="G492" s="4" t="str">
        <x:v>验证机审命中不直接处罚</x:v>
      </x:c>
      <x:c r="H492" s="4" t="str">
        <x:v>机审命中不直接处罚</x:v>
      </x:c>
      <x:c r="I492" s="4" t="str">
        <x:v>1. 已登录平台管理员账号
2. 新产生高风险机审告警但未人工处置</x:v>
      </x:c>
      <x:c r="J492" s="4" t="str">
        <x:v>1. 进入「内容审核-07」页
2. 查看机审命中不直接处罚</x:v>
      </x:c>
      <x:c r="K492" s="4" t="str">
        <x:v>账号和直播状态不因告警自动处罚</x:v>
      </x:c>
      <x:c r="L492" s="4" t="str"/>
      <x:c r="M492" s="4" t="str">
        <x:v>未测</x:v>
      </x:c>
      <x:c r="N492" s="4" t="str"/>
      <x:c r="O492" s="4" t="str">
        <x:v>1. 来源：MainBasis/统一需求文档.md；A-admin-content-audit-003
2. 场景：SC-16940293e4e634</x:v>
      </x:c>
    </x:row>
    <x:row r="493" ht="54" customHeight="1">
      <x:c r="A493" s="4" t="n">
        <x:v>492</x:v>
      </x:c>
      <x:c r="B493" s="4" t="str">
        <x:v>ADMIN-0492</x:v>
      </x:c>
      <x:c r="C493" s="4" t="str">
        <x:v>M10 用户管理、审核、举报与巡房</x:v>
      </x:c>
      <x:c r="D493" s="4" t="str">
        <x:v>内容审核-07（平台管理员视角）</x:v>
      </x:c>
      <x:c r="E493" s="4" t="str">
        <x:v>功能需求</x:v>
      </x:c>
      <x:c r="F493" s="4" t="str">
        <x:v>P1</x:v>
      </x:c>
      <x:c r="G493" s="4" t="str">
        <x:v>验证待处理告警结果占位</x:v>
      </x:c>
      <x:c r="H493" s="4" t="str">
        <x:v>待处理告警结果占位</x:v>
      </x:c>
      <x:c r="I493" s="4" t="str">
        <x:v>1. 已登录平台管理员账号
2. 告警未处理</x:v>
      </x:c>
      <x:c r="J493" s="4" t="str">
        <x:v>1. 进入「内容审核-07」页
2. 查看待处理告警结果占位</x:v>
      </x:c>
      <x:c r="K493" s="4" t="str">
        <x:v>处置结果显示“-”</x:v>
      </x:c>
      <x:c r="L493" s="4" t="str"/>
      <x:c r="M493" s="4" t="str">
        <x:v>未测</x:v>
      </x:c>
      <x:c r="N493" s="4" t="str"/>
      <x:c r="O493" s="4" t="str">
        <x:v>1. 来源：MainBasis/统一需求文档.md；A-admin-content-audit-006
2. 场景：SC-4e5518bfabcf07</x:v>
      </x:c>
    </x:row>
    <x:row r="494" ht="54" customHeight="1">
      <x:c r="A494" s="4" t="n">
        <x:v>493</x:v>
      </x:c>
      <x:c r="B494" s="4" t="str">
        <x:v>ADMIN-0493</x:v>
      </x:c>
      <x:c r="C494" s="4" t="str">
        <x:v>M10 用户管理、审核、举报与巡房</x:v>
      </x:c>
      <x:c r="D494" s="4" t="str">
        <x:v>内容审核-07（平台管理员视角）</x:v>
      </x:c>
      <x:c r="E494" s="4" t="str">
        <x:v>功能需求</x:v>
      </x:c>
      <x:c r="F494" s="4" t="str">
        <x:v>P1</x:v>
      </x:c>
      <x:c r="G494" s="4" t="str">
        <x:v>验证机审告警单号唯一</x:v>
      </x:c>
      <x:c r="H494" s="4" t="str">
        <x:v>机审告警单号唯一</x:v>
      </x:c>
      <x:c r="I494" s="4" t="str">
        <x:v>1. 已登录平台管理员账号
2. 系统形成两条不同机审告警</x:v>
      </x:c>
      <x:c r="J494" s="4" t="str">
        <x:v>1. 进入「内容审核-07」页
2. 查看机审告警单号唯一</x:v>
      </x:c>
      <x:c r="K494" s="4" t="str">
        <x:v>两条告警的审核单号均非空且互不相同</x:v>
      </x:c>
      <x:c r="L494" s="4" t="str"/>
      <x:c r="M494" s="4" t="str">
        <x:v>未测</x:v>
      </x:c>
      <x:c r="N494" s="4" t="str"/>
      <x:c r="O494" s="4" t="str">
        <x:v>1. 来源：MainBasis/统一需求文档.md；A-admin-content-audit-002
2. 场景：SC-85c8a95ecf4a55</x:v>
      </x:c>
    </x:row>
    <x:row r="495" ht="54" customHeight="1">
      <x:c r="A495" s="4" t="n">
        <x:v>494</x:v>
      </x:c>
      <x:c r="B495" s="4" t="str">
        <x:v>ADMIN-0494</x:v>
      </x:c>
      <x:c r="C495" s="4" t="str">
        <x:v>M10 用户管理、审核、举报与巡房</x:v>
      </x:c>
      <x:c r="D495" s="4" t="str">
        <x:v>内容审核详情（平台管理员视角）</x:v>
      </x:c>
      <x:c r="E495" s="4" t="str">
        <x:v>功能需求</x:v>
      </x:c>
      <x:c r="F495" s="4" t="str">
        <x:v>P2</x:v>
      </x:c>
      <x:c r="G495" s="4" t="str">
        <x:v>验证告警材料回显</x:v>
      </x:c>
      <x:c r="H495" s="4" t="str">
        <x:v>告警材料回显</x:v>
      </x:c>
      <x:c r="I495" s="4" t="str">
        <x:v>1. 已登录平台管理员账号
2. 所选对象存在，已记录该对象的告警材料值</x:v>
      </x:c>
      <x:c r="J495" s="4" t="str">
        <x:v>1. 进入「内容审核详情」页
2. 查看告警材料回显</x:v>
      </x:c>
      <x:c r="K495" s="4" t="str">
        <x:v>「告警材料」内容与所选对象的该项资料一致</x:v>
      </x:c>
      <x:c r="L495" s="4" t="str"/>
      <x:c r="M495" s="4" t="str">
        <x:v>未测</x:v>
      </x:c>
      <x:c r="N495" s="4" t="str"/>
      <x:c r="O495" s="4" t="str">
        <x:v>1. 来源：MainBasis/统一需求文档.md；A-admin-content-audit-detail-003
2. 场景：SC-67dd6406906eb1</x:v>
      </x:c>
    </x:row>
    <x:row r="496" ht="54" customHeight="1">
      <x:c r="A496" s="4" t="n">
        <x:v>495</x:v>
      </x:c>
      <x:c r="B496" s="4" t="str">
        <x:v>ADMIN-0495</x:v>
      </x:c>
      <x:c r="C496" s="4" t="str">
        <x:v>M10 用户管理、审核、举报与巡房</x:v>
      </x:c>
      <x:c r="D496" s="4" t="str">
        <x:v>内容审核详情（平台管理员视角）</x:v>
      </x:c>
      <x:c r="E496" s="4" t="str">
        <x:v>功能需求</x:v>
      </x:c>
      <x:c r="F496" s="4" t="str">
        <x:v>P2</x:v>
      </x:c>
      <x:c r="G496" s="4" t="str">
        <x:v>验证处置类型回显</x:v>
      </x:c>
      <x:c r="H496" s="4" t="str">
        <x:v>处置类型回显</x:v>
      </x:c>
      <x:c r="I496" s="4" t="str">
        <x:v>1. 已登录平台管理员账号
2. 所选对象存在，已记录该对象的处置类型值</x:v>
      </x:c>
      <x:c r="J496" s="4" t="str">
        <x:v>1. 进入「内容审核详情」页
2. 查看处置类型回显</x:v>
      </x:c>
      <x:c r="K496" s="4" t="str">
        <x:v>「处置类型」内容与所选对象的该项资料一致</x:v>
      </x:c>
      <x:c r="L496" s="4" t="str"/>
      <x:c r="M496" s="4" t="str">
        <x:v>未测</x:v>
      </x:c>
      <x:c r="N496" s="4" t="str"/>
      <x:c r="O496" s="4" t="str">
        <x:v>1. 来源：MainBasis/统一需求文档.md；A-admin-content-audit-detail-004
2. 场景：SC-de50c6589989b8</x:v>
      </x:c>
    </x:row>
    <x:row r="497" ht="68" customHeight="1">
      <x:c r="A497" s="4" t="n">
        <x:v>496</x:v>
      </x:c>
      <x:c r="B497" s="4" t="str">
        <x:v>ADMIN-0496</x:v>
      </x:c>
      <x:c r="C497" s="4" t="str">
        <x:v>M10 用户管理、审核、举报与巡房</x:v>
      </x:c>
      <x:c r="D497" s="4" t="str">
        <x:v>内容审核详情（平台管理员视角）</x:v>
      </x:c>
      <x:c r="E497" s="4" t="str">
        <x:v>异常用例</x:v>
      </x:c>
      <x:c r="F497" s="4" t="str">
        <x:v>P1</x:v>
      </x:c>
      <x:c r="G497" s="4" t="str">
        <x:v>验证处置原因缺失限制</x:v>
      </x:c>
      <x:c r="H497" s="4" t="str">
        <x:v>处置原因缺失限制</x:v>
      </x:c>
      <x:c r="I497" s="4" t="str">
        <x:v>1. 已登录平台管理员账号
2. 其他必填字段为合法值</x:v>
      </x:c>
      <x:c r="J497" s="4" t="str">
        <x:v>1. 进入「内容审核详情」页
2. 清空「处置原因」
3. 点击「提交」</x:v>
      </x:c>
      <x:c r="K497" s="4" t="str">
        <x:v>处置原因未填写，无法提交</x:v>
      </x:c>
      <x:c r="L497" s="4" t="str"/>
      <x:c r="M497" s="4" t="str">
        <x:v>未测</x:v>
      </x:c>
      <x:c r="N497" s="4" t="str"/>
      <x:c r="O497" s="4" t="str">
        <x:v>1. 来源：MainBasis/统一需求文档.md；A-admin-content-audit-detail-005、A-admin-content-audit-detail-007
2. 场景：SC-0b305285744d5b</x:v>
      </x:c>
    </x:row>
    <x:row r="498" ht="54" customHeight="1">
      <x:c r="A498" s="4" t="n">
        <x:v>497</x:v>
      </x:c>
      <x:c r="B498" s="4" t="str">
        <x:v>ADMIN-0497</x:v>
      </x:c>
      <x:c r="C498" s="4" t="str">
        <x:v>M10 用户管理、审核、举报与巡房</x:v>
      </x:c>
      <x:c r="D498" s="4" t="str">
        <x:v>内容审核详情（平台管理员视角）</x:v>
      </x:c>
      <x:c r="E498" s="4" t="str">
        <x:v>功能需求</x:v>
      </x:c>
      <x:c r="F498" s="4" t="str">
        <x:v>P1</x:v>
      </x:c>
      <x:c r="G498" s="4" t="str">
        <x:v>验证内容审核已忽略终态</x:v>
      </x:c>
      <x:c r="H498" s="4" t="str">
        <x:v>内容审核已忽略终态</x:v>
      </x:c>
      <x:c r="I498" s="4" t="str">
        <x:v>1. 已登录平台管理员账号
2. 当前告警已忽略</x:v>
      </x:c>
      <x:c r="J498" s="4" t="str">
        <x:v>1. 进入「内容审核详情」页
2. 查看内容审核已忽略终态</x:v>
      </x:c>
      <x:c r="K498" s="4" t="str">
        <x:v>不能再次处理</x:v>
      </x:c>
      <x:c r="L498" s="4" t="str"/>
      <x:c r="M498" s="4" t="str">
        <x:v>未测</x:v>
      </x:c>
      <x:c r="N498" s="4" t="str"/>
      <x:c r="O498" s="4" t="str">
        <x:v>1. 来源：MainBasis/统一需求文档.md；A-admin-content-audit-detail-006
2. 场景：SC-a81ae2ec527bef</x:v>
      </x:c>
    </x:row>
    <x:row r="499" ht="54" customHeight="1">
      <x:c r="A499" s="4" t="n">
        <x:v>498</x:v>
      </x:c>
      <x:c r="B499" s="4" t="str">
        <x:v>ADMIN-0498</x:v>
      </x:c>
      <x:c r="C499" s="4" t="str">
        <x:v>M10 用户管理、审核、举报与巡房</x:v>
      </x:c>
      <x:c r="D499" s="4" t="str">
        <x:v>内容审核详情（平台管理员视角）</x:v>
      </x:c>
      <x:c r="E499" s="4" t="str">
        <x:v>功能需求</x:v>
      </x:c>
      <x:c r="F499" s="4" t="str">
        <x:v>P1</x:v>
      </x:c>
      <x:c r="G499" s="4" t="str">
        <x:v>验证内容审核已处置终态</x:v>
      </x:c>
      <x:c r="H499" s="4" t="str">
        <x:v>内容审核已处置终态</x:v>
      </x:c>
      <x:c r="I499" s="4" t="str">
        <x:v>1. 已登录平台管理员账号
2. 当前告警已处置</x:v>
      </x:c>
      <x:c r="J499" s="4" t="str">
        <x:v>1. 进入「内容审核详情」页
2. 查看内容审核已处置终态</x:v>
      </x:c>
      <x:c r="K499" s="4" t="str">
        <x:v>不能再次处理</x:v>
      </x:c>
      <x:c r="L499" s="4" t="str"/>
      <x:c r="M499" s="4" t="str">
        <x:v>未测</x:v>
      </x:c>
      <x:c r="N499" s="4" t="str"/>
      <x:c r="O499" s="4" t="str">
        <x:v>1. 来源：MainBasis/统一需求文档.md；A-admin-content-audit-detail-006
2. 场景：SC-bf7c0b967291d3</x:v>
      </x:c>
    </x:row>
    <x:row r="500" ht="54" customHeight="1">
      <x:c r="A500" s="4" t="n">
        <x:v>499</x:v>
      </x:c>
      <x:c r="B500" s="4" t="str">
        <x:v>ADMIN-0499</x:v>
      </x:c>
      <x:c r="C500" s="4" t="str">
        <x:v>M10 用户管理、审核、举报与巡房</x:v>
      </x:c>
      <x:c r="D500" s="4" t="str">
        <x:v>内容审核详情（平台管理员视角）</x:v>
      </x:c>
      <x:c r="E500" s="4" t="str">
        <x:v>功能需求</x:v>
      </x:c>
      <x:c r="F500" s="4" t="str">
        <x:v>P2</x:v>
      </x:c>
      <x:c r="G500" s="4" t="str">
        <x:v>验证基础信息资料对应</x:v>
      </x:c>
      <x:c r="H500" s="4" t="str">
        <x:v>基础信息资料对应</x:v>
      </x:c>
      <x:c r="I500" s="4" t="str">
        <x:v>1. 已登录平台管理员账号
2. 已选中一条已存在记录，已记录其基础信息原始值</x:v>
      </x:c>
      <x:c r="J500" s="4" t="str">
        <x:v>1. 进入「内容审核详情」页
2. 查看基础信息资料对应</x:v>
      </x:c>
      <x:c r="K500" s="4" t="str">
        <x:v>页面基础信息与所选记录一致：审核单、场次、主播、命中类型、风险和时间只读</x:v>
      </x:c>
      <x:c r="L500" s="4" t="str"/>
      <x:c r="M500" s="4" t="str">
        <x:v>未测</x:v>
      </x:c>
      <x:c r="N500" s="4" t="str"/>
      <x:c r="O500" s="4" t="str">
        <x:v>1. 来源：MainBasis/统一需求文档.md；A-admin-content-audit-detail-002
2. 场景：SC-651398ecb04104</x:v>
      </x:c>
    </x:row>
    <x:row r="501" ht="54" customHeight="1">
      <x:c r="A501" s="4" t="n">
        <x:v>500</x:v>
      </x:c>
      <x:c r="B501" s="4" t="str">
        <x:v>ADMIN-0500</x:v>
      </x:c>
      <x:c r="C501" s="4" t="str">
        <x:v>M10 用户管理、审核、举报与巡房</x:v>
      </x:c>
      <x:c r="D501" s="4" t="str">
        <x:v>账号违规-08（平台管理员视角）</x:v>
      </x:c>
      <x:c r="E501" s="4" t="str">
        <x:v>功能需求</x:v>
      </x:c>
      <x:c r="F501" s="4" t="str">
        <x:v>P2</x:v>
      </x:c>
      <x:c r="G501" s="4" t="str">
        <x:v>验证被举报账号回显</x:v>
      </x:c>
      <x:c r="H501" s="4" t="str">
        <x:v>被举报账号回显</x:v>
      </x:c>
      <x:c r="I501" s="4" t="str">
        <x:v>1. 已登录平台管理员账号
2. 所选对象存在，已记录该对象的被举报账号值</x:v>
      </x:c>
      <x:c r="J501" s="4" t="str">
        <x:v>1. 进入「账号违规-08」页
2. 查看被举报账号回显</x:v>
      </x:c>
      <x:c r="K501" s="4" t="str">
        <x:v>「被举报账号」内容与所选对象的该项资料一致</x:v>
      </x:c>
      <x:c r="L501" s="4" t="str"/>
      <x:c r="M501" s="4" t="str">
        <x:v>未测</x:v>
      </x:c>
      <x:c r="N501" s="4" t="str"/>
      <x:c r="O501" s="4" t="str">
        <x:v>1. 来源：MainBasis/统一需求文档.md；A-admin-account-violation-002
2. 场景：SC-1143af1b72cfbd</x:v>
      </x:c>
    </x:row>
    <x:row r="502" ht="54" customHeight="1">
      <x:c r="A502" s="4" t="n">
        <x:v>501</x:v>
      </x:c>
      <x:c r="B502" s="4" t="str">
        <x:v>ADMIN-0501</x:v>
      </x:c>
      <x:c r="C502" s="4" t="str">
        <x:v>M10 用户管理、审核、举报与巡房</x:v>
      </x:c>
      <x:c r="D502" s="4" t="str">
        <x:v>账号违规-08（平台管理员视角）</x:v>
      </x:c>
      <x:c r="E502" s="4" t="str">
        <x:v>功能需求</x:v>
      </x:c>
      <x:c r="F502" s="4" t="str">
        <x:v>P2</x:v>
      </x:c>
      <x:c r="G502" s="4" t="str">
        <x:v>验证账号状态回显</x:v>
      </x:c>
      <x:c r="H502" s="4" t="str">
        <x:v>账号状态回显</x:v>
      </x:c>
      <x:c r="I502" s="4" t="str">
        <x:v>1. 已登录平台管理员账号
2. 所选对象存在，已记录该对象的账号状态值</x:v>
      </x:c>
      <x:c r="J502" s="4" t="str">
        <x:v>1. 进入「账号违规-08」页
2. 查看账号状态回显</x:v>
      </x:c>
      <x:c r="K502" s="4" t="str">
        <x:v>「账号状态」内容与所选对象的该项资料一致</x:v>
      </x:c>
      <x:c r="L502" s="4" t="str"/>
      <x:c r="M502" s="4" t="str">
        <x:v>未测</x:v>
      </x:c>
      <x:c r="N502" s="4" t="str"/>
      <x:c r="O502" s="4" t="str">
        <x:v>1. 来源：MainBasis/统一需求文档.md；A-admin-account-violation-004
2. 场景：SC-9567ccfcf26b9a</x:v>
      </x:c>
    </x:row>
    <x:row r="503" ht="54" customHeight="1">
      <x:c r="A503" s="4" t="n">
        <x:v>502</x:v>
      </x:c>
      <x:c r="B503" s="4" t="str">
        <x:v>ADMIN-0502</x:v>
      </x:c>
      <x:c r="C503" s="4" t="str">
        <x:v>M10 用户管理、审核、举报与巡房</x:v>
      </x:c>
      <x:c r="D503" s="4" t="str">
        <x:v>账号违规-08（平台管理员视角）</x:v>
      </x:c>
      <x:c r="E503" s="4" t="str">
        <x:v>功能需求</x:v>
      </x:c>
      <x:c r="F503" s="4" t="str">
        <x:v>P2</x:v>
      </x:c>
      <x:c r="G503" s="4" t="str">
        <x:v>验证提交时间回显</x:v>
      </x:c>
      <x:c r="H503" s="4" t="str">
        <x:v>提交时间回显</x:v>
      </x:c>
      <x:c r="I503" s="4" t="str">
        <x:v>1. 已登录平台管理员账号
2. 所选对象存在，已记录该对象的提交时间值</x:v>
      </x:c>
      <x:c r="J503" s="4" t="str">
        <x:v>1. 进入「账号违规-08」页
2. 查看提交时间回显</x:v>
      </x:c>
      <x:c r="K503" s="4" t="str">
        <x:v>「提交时间」内容与所选对象的该项资料一致</x:v>
      </x:c>
      <x:c r="L503" s="4" t="str"/>
      <x:c r="M503" s="4" t="str">
        <x:v>未测</x:v>
      </x:c>
      <x:c r="N503" s="4" t="str"/>
      <x:c r="O503" s="4" t="str">
        <x:v>1. 来源：MainBasis/统一需求文档.md；A-admin-account-violation-006
2. 场景：SC-045c2f395fde4a</x:v>
      </x:c>
    </x:row>
    <x:row r="504" ht="54" customHeight="1">
      <x:c r="A504" s="4" t="n">
        <x:v>503</x:v>
      </x:c>
      <x:c r="B504" s="4" t="str">
        <x:v>ADMIN-0503</x:v>
      </x:c>
      <x:c r="C504" s="4" t="str">
        <x:v>M10 用户管理、审核、举报与巡房</x:v>
      </x:c>
      <x:c r="D504" s="4" t="str">
        <x:v>账号违规-08（平台管理员视角）</x:v>
      </x:c>
      <x:c r="E504" s="4" t="str">
        <x:v>功能需求</x:v>
      </x:c>
      <x:c r="F504" s="4" t="str">
        <x:v>P2</x:v>
      </x:c>
      <x:c r="G504" s="4" t="str">
        <x:v>验证处理状态待处理回显</x:v>
      </x:c>
      <x:c r="H504" s="4" t="str">
        <x:v>处理状态待处理回显</x:v>
      </x:c>
      <x:c r="I504" s="4" t="str">
        <x:v>1. 已登录平台管理员账号
2. 所选记录处理状态为待处理</x:v>
      </x:c>
      <x:c r="J504" s="4" t="str">
        <x:v>1. 进入「账号违规-08」页
2. 查看处理状态待处理回显</x:v>
      </x:c>
      <x:c r="K504" s="4" t="str">
        <x:v>处理状态显示待处理</x:v>
      </x:c>
      <x:c r="L504" s="4" t="str"/>
      <x:c r="M504" s="4" t="str">
        <x:v>未测</x:v>
      </x:c>
      <x:c r="N504" s="4" t="str"/>
      <x:c r="O504" s="4" t="str">
        <x:v>1. 来源：MainBasis/统一需求文档.md；A-admin-account-violation-005
2. 场景：SC-f26e6436178ec0</x:v>
      </x:c>
    </x:row>
    <x:row r="505" ht="54" customHeight="1">
      <x:c r="A505" s="4" t="n">
        <x:v>504</x:v>
      </x:c>
      <x:c r="B505" s="4" t="str">
        <x:v>ADMIN-0504</x:v>
      </x:c>
      <x:c r="C505" s="4" t="str">
        <x:v>M10 用户管理、审核、举报与巡房</x:v>
      </x:c>
      <x:c r="D505" s="4" t="str">
        <x:v>账号违规-08（平台管理员视角）</x:v>
      </x:c>
      <x:c r="E505" s="4" t="str">
        <x:v>功能需求</x:v>
      </x:c>
      <x:c r="F505" s="4" t="str">
        <x:v>P2</x:v>
      </x:c>
      <x:c r="G505" s="4" t="str">
        <x:v>验证处理状态已处理回显</x:v>
      </x:c>
      <x:c r="H505" s="4" t="str">
        <x:v>处理状态已处理回显</x:v>
      </x:c>
      <x:c r="I505" s="4" t="str">
        <x:v>1. 已登录平台管理员账号
2. 所选记录处理状态为已处理</x:v>
      </x:c>
      <x:c r="J505" s="4" t="str">
        <x:v>1. 进入「账号违规-08」页
2. 查看处理状态已处理回显</x:v>
      </x:c>
      <x:c r="K505" s="4" t="str">
        <x:v>处理状态显示已处理</x:v>
      </x:c>
      <x:c r="L505" s="4" t="str"/>
      <x:c r="M505" s="4" t="str">
        <x:v>未测</x:v>
      </x:c>
      <x:c r="N505" s="4" t="str"/>
      <x:c r="O505" s="4" t="str">
        <x:v>1. 来源：MainBasis/统一需求文档.md；A-admin-account-violation-005
2. 场景：SC-c2634ad801043a</x:v>
      </x:c>
    </x:row>
    <x:row r="506" ht="54" customHeight="1">
      <x:c r="A506" s="4" t="n">
        <x:v>505</x:v>
      </x:c>
      <x:c r="B506" s="4" t="str">
        <x:v>ADMIN-0505</x:v>
      </x:c>
      <x:c r="C506" s="4" t="str">
        <x:v>M10 用户管理、审核、举报与巡房</x:v>
      </x:c>
      <x:c r="D506" s="4" t="str">
        <x:v>账号违规-08（平台管理员视角）</x:v>
      </x:c>
      <x:c r="E506" s="4" t="str">
        <x:v>功能需求</x:v>
      </x:c>
      <x:c r="F506" s="4" t="str">
        <x:v>P1</x:v>
      </x:c>
      <x:c r="G506" s="4" t="str">
        <x:v>验证举报本身不封禁</x:v>
      </x:c>
      <x:c r="H506" s="4" t="str">
        <x:v>举报本身不封禁</x:v>
      </x:c>
      <x:c r="I506" s="4" t="str">
        <x:v>1. 已登录平台管理员账号
2. 正常账号刚被举报但尚未处置</x:v>
      </x:c>
      <x:c r="J506" s="4" t="str">
        <x:v>1. 进入「账号违规-08」页
2. 查看举报本身不封禁</x:v>
      </x:c>
      <x:c r="K506" s="4" t="str">
        <x:v>账号仍为正常</x:v>
      </x:c>
      <x:c r="L506" s="4" t="str"/>
      <x:c r="M506" s="4" t="str">
        <x:v>未测</x:v>
      </x:c>
      <x:c r="N506" s="4" t="str"/>
      <x:c r="O506" s="4" t="str">
        <x:v>1. 来源：MainBasis/统一需求文档.md；A-admin-account-violation-007
2. 场景：SC-2bad0ff3888d42</x:v>
      </x:c>
    </x:row>
    <x:row r="507" ht="54" customHeight="1">
      <x:c r="A507" s="4" t="n">
        <x:v>506</x:v>
      </x:c>
      <x:c r="B507" s="4" t="str">
        <x:v>ADMIN-0506</x:v>
      </x:c>
      <x:c r="C507" s="4" t="str">
        <x:v>M10 用户管理、审核、举报与巡房</x:v>
      </x:c>
      <x:c r="D507" s="4" t="str">
        <x:v>账号违规-08（平台管理员视角）</x:v>
      </x:c>
      <x:c r="E507" s="4" t="str">
        <x:v>功能需求</x:v>
      </x:c>
      <x:c r="F507" s="4" t="str">
        <x:v>P1</x:v>
      </x:c>
      <x:c r="G507" s="4" t="str">
        <x:v>验证查看所选记录详情</x:v>
      </x:c>
      <x:c r="H507" s="4" t="str">
        <x:v>查看所选记录详情</x:v>
      </x:c>
      <x:c r="I507" s="4" t="str">
        <x:v>1. 已登录平台管理员账号
2. 当前列表存在一条属于查询范围的记录</x:v>
      </x:c>
      <x:c r="J507" s="4" t="str">
        <x:v>1. 进入「账号违规-08」页
2. 选择该记录
3. 打开详情</x:v>
      </x:c>
      <x:c r="K507" s="4" t="str">
        <x:v>详情对象与所选记录一致</x:v>
      </x:c>
      <x:c r="L507" s="4" t="str"/>
      <x:c r="M507" s="4" t="str">
        <x:v>未测</x:v>
      </x:c>
      <x:c r="N507" s="4" t="str"/>
      <x:c r="O507" s="4" t="str">
        <x:v>1. 来源：MainBasis/统一需求文档.md；A-admin-account-violation-008
2. 场景：SC-1ff54700bc25ca</x:v>
      </x:c>
    </x:row>
    <x:row r="508" ht="54" customHeight="1">
      <x:c r="A508" s="4" t="n">
        <x:v>507</x:v>
      </x:c>
      <x:c r="B508" s="4" t="str">
        <x:v>ADMIN-0507</x:v>
      </x:c>
      <x:c r="C508" s="4" t="str">
        <x:v>M10 用户管理、审核、举报与巡房</x:v>
      </x:c>
      <x:c r="D508" s="4" t="str">
        <x:v>直播间违规-09（平台管理员视角）</x:v>
      </x:c>
      <x:c r="E508" s="4" t="str">
        <x:v>功能需求</x:v>
      </x:c>
      <x:c r="F508" s="4" t="str">
        <x:v>P2</x:v>
      </x:c>
      <x:c r="G508" s="4" t="str">
        <x:v>验证直播场次 ID回显</x:v>
      </x:c>
      <x:c r="H508" s="4" t="str">
        <x:v>直播场次 ID回显</x:v>
      </x:c>
      <x:c r="I508" s="4" t="str">
        <x:v>1. 已登录平台管理员账号
2. 所选对象存在，已记录该对象的直播场次 ID值</x:v>
      </x:c>
      <x:c r="J508" s="4" t="str">
        <x:v>1. 进入「直播间违规-09」页
2. 查看直播场次 ID回显</x:v>
      </x:c>
      <x:c r="K508" s="4" t="str">
        <x:v>「直播场次 ID」内容与所选对象的该项资料一致</x:v>
      </x:c>
      <x:c r="L508" s="4" t="str"/>
      <x:c r="M508" s="4" t="str">
        <x:v>未测</x:v>
      </x:c>
      <x:c r="N508" s="4" t="str"/>
      <x:c r="O508" s="4" t="str">
        <x:v>1. 来源：MainBasis/统一需求文档.md；A-admin-report-handling-002
2. 场景：SC-3348f2e2255e6d</x:v>
      </x:c>
    </x:row>
    <x:row r="509" ht="54" customHeight="1">
      <x:c r="A509" s="4" t="n">
        <x:v>508</x:v>
      </x:c>
      <x:c r="B509" s="4" t="str">
        <x:v>ADMIN-0508</x:v>
      </x:c>
      <x:c r="C509" s="4" t="str">
        <x:v>M10 用户管理、审核、举报与巡房</x:v>
      </x:c>
      <x:c r="D509" s="4" t="str">
        <x:v>直播间违规-09（平台管理员视角）</x:v>
      </x:c>
      <x:c r="E509" s="4" t="str">
        <x:v>功能需求</x:v>
      </x:c>
      <x:c r="F509" s="4" t="str">
        <x:v>P2</x:v>
      </x:c>
      <x:c r="G509" s="4" t="str">
        <x:v>验证举报类型回显</x:v>
      </x:c>
      <x:c r="H509" s="4" t="str">
        <x:v>举报类型回显</x:v>
      </x:c>
      <x:c r="I509" s="4" t="str">
        <x:v>1. 已登录平台管理员账号
2. 所选对象存在，已记录该对象的举报类型值</x:v>
      </x:c>
      <x:c r="J509" s="4" t="str">
        <x:v>1. 进入「直播间违规-09」页
2. 查看举报类型回显</x:v>
      </x:c>
      <x:c r="K509" s="4" t="str">
        <x:v>「举报类型」内容与所选对象的该项资料一致</x:v>
      </x:c>
      <x:c r="L509" s="4" t="str"/>
      <x:c r="M509" s="4" t="str">
        <x:v>未测</x:v>
      </x:c>
      <x:c r="N509" s="4" t="str"/>
      <x:c r="O509" s="4" t="str">
        <x:v>1. 来源：MainBasis/统一需求文档.md；A-admin-report-handling-003
2. 场景：SC-70288eb67db8c9</x:v>
      </x:c>
    </x:row>
    <x:row r="510" ht="54" customHeight="1">
      <x:c r="A510" s="4" t="n">
        <x:v>509</x:v>
      </x:c>
      <x:c r="B510" s="4" t="str">
        <x:v>ADMIN-0509</x:v>
      </x:c>
      <x:c r="C510" s="4" t="str">
        <x:v>M10 用户管理、审核、举报与巡房</x:v>
      </x:c>
      <x:c r="D510" s="4" t="str">
        <x:v>直播间违规-09（平台管理员视角）</x:v>
      </x:c>
      <x:c r="E510" s="4" t="str">
        <x:v>功能需求</x:v>
      </x:c>
      <x:c r="F510" s="4" t="str">
        <x:v>P2</x:v>
      </x:c>
      <x:c r="G510" s="4" t="str">
        <x:v>验证直播状态回显</x:v>
      </x:c>
      <x:c r="H510" s="4" t="str">
        <x:v>直播状态回显</x:v>
      </x:c>
      <x:c r="I510" s="4" t="str">
        <x:v>1. 已登录平台管理员账号
2. 所选对象存在，已记录该对象的直播状态值</x:v>
      </x:c>
      <x:c r="J510" s="4" t="str">
        <x:v>1. 进入「直播间违规-09」页
2. 查看直播状态回显</x:v>
      </x:c>
      <x:c r="K510" s="4" t="str">
        <x:v>「直播状态」内容与所选对象的该项资料一致</x:v>
      </x:c>
      <x:c r="L510" s="4" t="str"/>
      <x:c r="M510" s="4" t="str">
        <x:v>未测</x:v>
      </x:c>
      <x:c r="N510" s="4" t="str"/>
      <x:c r="O510" s="4" t="str">
        <x:v>1. 来源：MainBasis/统一需求文档.md；A-admin-report-handling-004
2. 场景：SC-d7ab468504c8d5</x:v>
      </x:c>
    </x:row>
    <x:row r="511" ht="54" customHeight="1">
      <x:c r="A511" s="4" t="n">
        <x:v>510</x:v>
      </x:c>
      <x:c r="B511" s="4" t="str">
        <x:v>ADMIN-0510</x:v>
      </x:c>
      <x:c r="C511" s="4" t="str">
        <x:v>M10 用户管理、审核、举报与巡房</x:v>
      </x:c>
      <x:c r="D511" s="4" t="str">
        <x:v>直播间违规-09（平台管理员视角）</x:v>
      </x:c>
      <x:c r="E511" s="4" t="str">
        <x:v>功能需求</x:v>
      </x:c>
      <x:c r="F511" s="4" t="str">
        <x:v>P2</x:v>
      </x:c>
      <x:c r="G511" s="4" t="str">
        <x:v>验证处理状态回显</x:v>
      </x:c>
      <x:c r="H511" s="4" t="str">
        <x:v>处理状态回显</x:v>
      </x:c>
      <x:c r="I511" s="4" t="str">
        <x:v>1. 已登录平台管理员账号
2. 所选对象存在，已记录该对象的处理状态值</x:v>
      </x:c>
      <x:c r="J511" s="4" t="str">
        <x:v>1. 进入「直播间违规-09」页
2. 查看处理状态回显</x:v>
      </x:c>
      <x:c r="K511" s="4" t="str">
        <x:v>「处理状态」内容与所选对象的该项资料一致</x:v>
      </x:c>
      <x:c r="L511" s="4" t="str"/>
      <x:c r="M511" s="4" t="str">
        <x:v>未测</x:v>
      </x:c>
      <x:c r="N511" s="4" t="str"/>
      <x:c r="O511" s="4" t="str">
        <x:v>1. 来源：MainBasis/统一需求文档.md；A-admin-report-handling-005
2. 场景：SC-393c6e455c5ad4</x:v>
      </x:c>
    </x:row>
    <x:row r="512" ht="54" customHeight="1">
      <x:c r="A512" s="4" t="n">
        <x:v>511</x:v>
      </x:c>
      <x:c r="B512" s="4" t="str">
        <x:v>ADMIN-0511</x:v>
      </x:c>
      <x:c r="C512" s="4" t="str">
        <x:v>M10 用户管理、审核、举报与巡房</x:v>
      </x:c>
      <x:c r="D512" s="4" t="str">
        <x:v>直播间违规-09（平台管理员视角）</x:v>
      </x:c>
      <x:c r="E512" s="4" t="str">
        <x:v>功能需求</x:v>
      </x:c>
      <x:c r="F512" s="4" t="str">
        <x:v>P2</x:v>
      </x:c>
      <x:c r="G512" s="4" t="str">
        <x:v>验证提交时间回显</x:v>
      </x:c>
      <x:c r="H512" s="4" t="str">
        <x:v>提交时间回显</x:v>
      </x:c>
      <x:c r="I512" s="4" t="str">
        <x:v>1. 已登录平台管理员账号
2. 所选对象存在，已记录该对象的提交时间值</x:v>
      </x:c>
      <x:c r="J512" s="4" t="str">
        <x:v>1. 进入「直播间违规-09」页
2. 查看提交时间回显</x:v>
      </x:c>
      <x:c r="K512" s="4" t="str">
        <x:v>「提交时间」内容与所选对象的该项资料一致</x:v>
      </x:c>
      <x:c r="L512" s="4" t="str"/>
      <x:c r="M512" s="4" t="str">
        <x:v>未测</x:v>
      </x:c>
      <x:c r="N512" s="4" t="str"/>
      <x:c r="O512" s="4" t="str">
        <x:v>1. 来源：MainBasis/统一需求文档.md；A-admin-report-handling-006
2. 场景：SC-c07e5c6dd9ff4f</x:v>
      </x:c>
    </x:row>
    <x:row r="513" ht="54" customHeight="1">
      <x:c r="A513" s="4" t="n">
        <x:v>512</x:v>
      </x:c>
      <x:c r="B513" s="4" t="str">
        <x:v>ADMIN-0512</x:v>
      </x:c>
      <x:c r="C513" s="4" t="str">
        <x:v>M10 用户管理、审核、举报与巡房</x:v>
      </x:c>
      <x:c r="D513" s="4" t="str">
        <x:v>直播间违规-09（平台管理员视角）</x:v>
      </x:c>
      <x:c r="E513" s="4" t="str">
        <x:v>功能需求</x:v>
      </x:c>
      <x:c r="F513" s="4" t="str">
        <x:v>P1</x:v>
      </x:c>
      <x:c r="G513" s="4" t="str">
        <x:v>验证直播举报已处理只读</x:v>
      </x:c>
      <x:c r="H513" s="4" t="str">
        <x:v>直播举报已处理只读</x:v>
      </x:c>
      <x:c r="I513" s="4" t="str">
        <x:v>1. 已登录平台管理员账号
2. 工单已处理</x:v>
      </x:c>
      <x:c r="J513" s="4" t="str">
        <x:v>1. 进入「直播间违规-09」页
2. 查看直播举报已处理只读</x:v>
      </x:c>
      <x:c r="K513" s="4" t="str">
        <x:v>不提供再次处置</x:v>
      </x:c>
      <x:c r="L513" s="4" t="str"/>
      <x:c r="M513" s="4" t="str">
        <x:v>未测</x:v>
      </x:c>
      <x:c r="N513" s="4" t="str"/>
      <x:c r="O513" s="4" t="str">
        <x:v>1. 来源：MainBasis/统一需求文档.md；A-admin-report-handling-008
2. 场景：SC-d7e1b672b9e3d8</x:v>
      </x:c>
    </x:row>
    <x:row r="514" ht="54" customHeight="1">
      <x:c r="A514" s="4" t="n">
        <x:v>513</x:v>
      </x:c>
      <x:c r="B514" s="4" t="str">
        <x:v>ADMIN-0513</x:v>
      </x:c>
      <x:c r="C514" s="4" t="str">
        <x:v>M10 用户管理、审核、举报与巡房</x:v>
      </x:c>
      <x:c r="D514" s="4" t="str">
        <x:v>直播间违规-09（平台管理员视角）</x:v>
      </x:c>
      <x:c r="E514" s="4" t="str">
        <x:v>功能需求</x:v>
      </x:c>
      <x:c r="F514" s="4" t="str">
        <x:v>P1</x:v>
      </x:c>
      <x:c r="G514" s="4" t="str">
        <x:v>验证直播举报已作废只读</x:v>
      </x:c>
      <x:c r="H514" s="4" t="str">
        <x:v>直播举报已作废只读</x:v>
      </x:c>
      <x:c r="I514" s="4" t="str">
        <x:v>1. 已登录平台管理员账号
2. 工单已作废</x:v>
      </x:c>
      <x:c r="J514" s="4" t="str">
        <x:v>1. 进入「直播间违规-09」页
2. 查看直播举报已作废只读</x:v>
      </x:c>
      <x:c r="K514" s="4" t="str">
        <x:v>不提供再次处置</x:v>
      </x:c>
      <x:c r="L514" s="4" t="str"/>
      <x:c r="M514" s="4" t="str">
        <x:v>未测</x:v>
      </x:c>
      <x:c r="N514" s="4" t="str"/>
      <x:c r="O514" s="4" t="str">
        <x:v>1. 来源：MainBasis/统一需求文档.md；A-admin-report-handling-008
2. 场景：SC-3f47338c5a263d</x:v>
      </x:c>
    </x:row>
    <x:row r="515" ht="82" customHeight="1">
      <x:c r="A515" s="4" t="n">
        <x:v>514</x:v>
      </x:c>
      <x:c r="B515" s="4" t="str">
        <x:v>ADMIN-0514</x:v>
      </x:c>
      <x:c r="C515" s="4" t="str">
        <x:v>M10 用户管理、审核、举报与巡房</x:v>
      </x:c>
      <x:c r="D515" s="4" t="str">
        <x:v>直播间违规-09（平台管理员视角）</x:v>
      </x:c>
      <x:c r="E515" s="4" t="str">
        <x:v>功能需求</x:v>
      </x:c>
      <x:c r="F515" s="4" t="str">
        <x:v>P1</x:v>
      </x:c>
      <x:c r="G515" s="4" t="str">
        <x:v>验证直播结束待处理工单作废</x:v>
      </x:c>
      <x:c r="H515" s="4" t="str">
        <x:v>直播结束待处理工单作废</x:v>
      </x:c>
      <x:c r="I515" s="4" t="str">
        <x:v>1. 已登录平台管理员账号
2. 举报工单待处理，其直播场次已结束</x:v>
      </x:c>
      <x:c r="J515" s="4" t="str">
        <x:v>1. 进入「直播间违规-09」页
2. 查看直播结束待处理工单作废</x:v>
      </x:c>
      <x:c r="K515" s="4" t="str">
        <x:v>工单自动变为已作废</x:v>
      </x:c>
      <x:c r="L515" s="4" t="str">
        <x:v>FLOW-C83DBB68</x:v>
      </x:c>
      <x:c r="M515" s="4" t="str">
        <x:v>未测</x:v>
      </x:c>
      <x:c r="N515" s="4" t="str"/>
      <x:c r="O515" s="4" t="str">
        <x:v>1. 来源：MainBasis/统一需求文档.md；A-admin-report-handling-007、U-live-room-report-003、D-SYS-119
2. 场景：SC-bd6d285dce6930
3. 状态转换：ST-16D5E78C7908</x:v>
      </x:c>
    </x:row>
    <x:row r="516" ht="54" customHeight="1">
      <x:c r="A516" s="4" t="n">
        <x:v>515</x:v>
      </x:c>
      <x:c r="B516" s="4" t="str">
        <x:v>ADMIN-0515</x:v>
      </x:c>
      <x:c r="C516" s="4" t="str">
        <x:v>M10 用户管理、审核、举报与巡房</x:v>
      </x:c>
      <x:c r="D516" s="4" t="str">
        <x:v>举报详情（平台管理员视角）</x:v>
      </x:c>
      <x:c r="E516" s="4" t="str">
        <x:v>功能需求</x:v>
      </x:c>
      <x:c r="F516" s="4" t="str">
        <x:v>P2</x:v>
      </x:c>
      <x:c r="G516" s="4" t="str">
        <x:v>验证内容、证据回显</x:v>
      </x:c>
      <x:c r="H516" s="4" t="str">
        <x:v>内容、证据回显</x:v>
      </x:c>
      <x:c r="I516" s="4" t="str">
        <x:v>1. 已登录平台管理员账号
2. 所选对象存在，已记录该对象的内容 / 证据值</x:v>
      </x:c>
      <x:c r="J516" s="4" t="str">
        <x:v>1. 进入「举报详情」页
2. 查看内容、证据回显</x:v>
      </x:c>
      <x:c r="K516" s="4" t="str">
        <x:v>「内容 / 证据」内容与所选对象的该项资料一致</x:v>
      </x:c>
      <x:c r="L516" s="4" t="str"/>
      <x:c r="M516" s="4" t="str">
        <x:v>未测</x:v>
      </x:c>
      <x:c r="N516" s="4" t="str"/>
      <x:c r="O516" s="4" t="str">
        <x:v>1. 来源：MainBasis/统一需求文档.md；A-admin-report-detail-003
2. 场景：SC-9a1c1d1cd7f4c6</x:v>
      </x:c>
    </x:row>
    <x:row r="517" ht="82" customHeight="1">
      <x:c r="A517" s="4" t="n">
        <x:v>516</x:v>
      </x:c>
      <x:c r="B517" s="4" t="str">
        <x:v>ADMIN-0516</x:v>
      </x:c>
      <x:c r="C517" s="4" t="str">
        <x:v>M10 用户管理、审核、举报与巡房</x:v>
      </x:c>
      <x:c r="D517" s="4" t="str">
        <x:v>举报详情（平台管理员视角）</x:v>
      </x:c>
      <x:c r="E517" s="4" t="str">
        <x:v>功能需求</x:v>
      </x:c>
      <x:c r="F517" s="4" t="str">
        <x:v>P1</x:v>
      </x:c>
      <x:c r="G517" s="4" t="str">
        <x:v>验证账号举报不处置</x:v>
      </x:c>
      <x:c r="H517" s="4" t="str">
        <x:v>账号举报不处置</x:v>
      </x:c>
      <x:c r="I517" s="4" t="str">
        <x:v>1. 已登录平台管理员账号
2. 当前工单待处理
3. 工单类型账号且关联场次仍在播</x:v>
      </x:c>
      <x:c r="J517" s="4" t="str">
        <x:v>1. 进入「举报详情」页
2. 选择不处置
3. 确认处理</x:v>
      </x:c>
      <x:c r="K517" s="4" t="str">
        <x:v>工单更新已处理并按所选动作执行</x:v>
      </x:c>
      <x:c r="L517" s="4" t="str">
        <x:v>FLOW-C83DBB68</x:v>
      </x:c>
      <x:c r="M517" s="4" t="str">
        <x:v>未测</x:v>
      </x:c>
      <x:c r="N517" s="4" t="str"/>
      <x:c r="O517" s="4" t="str">
        <x:v>1. 来源：MainBasis/统一需求文档.md；A-admin-report-detail-004、A-admin-report-detail-009
2. 场景：SC-75377cfbf41cf2
3. 状态转换：ST-3561F5C8C4FF</x:v>
      </x:c>
    </x:row>
    <x:row r="518" ht="82" customHeight="1">
      <x:c r="A518" s="4" t="n">
        <x:v>517</x:v>
      </x:c>
      <x:c r="B518" s="4" t="str">
        <x:v>ADMIN-0517</x:v>
      </x:c>
      <x:c r="C518" s="4" t="str">
        <x:v>M10 用户管理、审核、举报与巡房</x:v>
      </x:c>
      <x:c r="D518" s="4" t="str">
        <x:v>举报详情（平台管理员视角）</x:v>
      </x:c>
      <x:c r="E518" s="4" t="str">
        <x:v>功能需求</x:v>
      </x:c>
      <x:c r="F518" s="4" t="str">
        <x:v>P0</x:v>
      </x:c>
      <x:c r="G518" s="4" t="str">
        <x:v>验证账号举报封禁</x:v>
      </x:c>
      <x:c r="H518" s="4" t="str">
        <x:v>账号举报封禁</x:v>
      </x:c>
      <x:c r="I518" s="4" t="str">
        <x:v>1. 已登录平台管理员账号
2. 当前工单待处理
3. 工单类型账号且关联场次仍在播</x:v>
      </x:c>
      <x:c r="J518" s="4" t="str">
        <x:v>1. 进入「举报详情」页
2. 选择封禁
3. 填写原因并确认</x:v>
      </x:c>
      <x:c r="K518" s="4" t="str">
        <x:v>工单更新已处理并按所选动作执行</x:v>
      </x:c>
      <x:c r="L518" s="4" t="str">
        <x:v>FLOW-C83DBB68</x:v>
      </x:c>
      <x:c r="M518" s="4" t="str">
        <x:v>未测</x:v>
      </x:c>
      <x:c r="N518" s="4" t="str"/>
      <x:c r="O518" s="4" t="str">
        <x:v>1. 来源：MainBasis/统一需求文档.md；A-admin-report-detail-004、A-admin-report-detail-009
2. 场景：SC-efbca953320c02
3. 状态转换：ST-3561F5C8C4FF</x:v>
      </x:c>
    </x:row>
    <x:row r="519" ht="82" customHeight="1">
      <x:c r="A519" s="4" t="n">
        <x:v>518</x:v>
      </x:c>
      <x:c r="B519" s="4" t="str">
        <x:v>ADMIN-0518</x:v>
      </x:c>
      <x:c r="C519" s="4" t="str">
        <x:v>M10 用户管理、审核、举报与巡房</x:v>
      </x:c>
      <x:c r="D519" s="4" t="str">
        <x:v>举报详情（平台管理员视角）</x:v>
      </x:c>
      <x:c r="E519" s="4" t="str">
        <x:v>功能需求</x:v>
      </x:c>
      <x:c r="F519" s="4" t="str">
        <x:v>P1</x:v>
      </x:c>
      <x:c r="G519" s="4" t="str">
        <x:v>验证直播举报不处置</x:v>
      </x:c>
      <x:c r="H519" s="4" t="str">
        <x:v>直播举报不处置</x:v>
      </x:c>
      <x:c r="I519" s="4" t="str">
        <x:v>1. 已登录平台管理员账号
2. 当前工单待处理
3. 工单类型直播且关联场次仍在播</x:v>
      </x:c>
      <x:c r="J519" s="4" t="str">
        <x:v>1. 进入「举报详情」页
2. 选择不处置
3. 确认处理</x:v>
      </x:c>
      <x:c r="K519" s="4" t="str">
        <x:v>工单更新已处理并按所选动作执行</x:v>
      </x:c>
      <x:c r="L519" s="4" t="str">
        <x:v>FLOW-C83DBB68</x:v>
      </x:c>
      <x:c r="M519" s="4" t="str">
        <x:v>未测</x:v>
      </x:c>
      <x:c r="N519" s="4" t="str"/>
      <x:c r="O519" s="4" t="str">
        <x:v>1. 来源：MainBasis/统一需求文档.md；A-admin-report-detail-004、A-admin-report-detail-009
2. 场景：SC-c2ec1fb2884884
3. 状态转换：ST-3561F5C8C4FF</x:v>
      </x:c>
    </x:row>
    <x:row r="520" ht="82" customHeight="1">
      <x:c r="A520" s="4" t="n">
        <x:v>519</x:v>
      </x:c>
      <x:c r="B520" s="4" t="str">
        <x:v>ADMIN-0519</x:v>
      </x:c>
      <x:c r="C520" s="4" t="str">
        <x:v>M10 用户管理、审核、举报与巡房</x:v>
      </x:c>
      <x:c r="D520" s="4" t="str">
        <x:v>举报详情（平台管理员视角）</x:v>
      </x:c>
      <x:c r="E520" s="4" t="str">
        <x:v>功能需求</x:v>
      </x:c>
      <x:c r="F520" s="4" t="str">
        <x:v>P1</x:v>
      </x:c>
      <x:c r="G520" s="4" t="str">
        <x:v>验证直播举报警告</x:v>
      </x:c>
      <x:c r="H520" s="4" t="str">
        <x:v>直播举报警告</x:v>
      </x:c>
      <x:c r="I520" s="4" t="str">
        <x:v>1. 已登录平台管理员账号
2. 当前工单待处理
3. 工单类型直播且关联场次仍在播</x:v>
      </x:c>
      <x:c r="J520" s="4" t="str">
        <x:v>1. 进入「举报详情」页
2. 选择警告
3. 填写原因并确认</x:v>
      </x:c>
      <x:c r="K520" s="4" t="str">
        <x:v>工单更新已处理并按所选动作执行</x:v>
      </x:c>
      <x:c r="L520" s="4" t="str">
        <x:v>FLOW-C83DBB68</x:v>
      </x:c>
      <x:c r="M520" s="4" t="str">
        <x:v>未测</x:v>
      </x:c>
      <x:c r="N520" s="4" t="str"/>
      <x:c r="O520" s="4" t="str">
        <x:v>1. 来源：MainBasis/统一需求文档.md；A-admin-report-detail-004、A-admin-report-detail-009
2. 场景：SC-287cddb30fa5dc
3. 状态转换：ST-3561F5C8C4FF</x:v>
      </x:c>
    </x:row>
    <x:row r="521" ht="82" customHeight="1">
      <x:c r="A521" s="4" t="n">
        <x:v>520</x:v>
      </x:c>
      <x:c r="B521" s="4" t="str">
        <x:v>ADMIN-0520</x:v>
      </x:c>
      <x:c r="C521" s="4" t="str">
        <x:v>M10 用户管理、审核、举报与巡房</x:v>
      </x:c>
      <x:c r="D521" s="4" t="str">
        <x:v>举报详情（平台管理员视角）</x:v>
      </x:c>
      <x:c r="E521" s="4" t="str">
        <x:v>功能需求</x:v>
      </x:c>
      <x:c r="F521" s="4" t="str">
        <x:v>P1</x:v>
      </x:c>
      <x:c r="G521" s="4" t="str">
        <x:v>验证直播举报关播</x:v>
      </x:c>
      <x:c r="H521" s="4" t="str">
        <x:v>直播举报关播</x:v>
      </x:c>
      <x:c r="I521" s="4" t="str">
        <x:v>1. 已登录平台管理员账号
2. 当前工单待处理
3. 工单类型直播且关联场次仍在播</x:v>
      </x:c>
      <x:c r="J521" s="4" t="str">
        <x:v>1. 进入「举报详情」页
2. 选择关播
3. 填写原因并确认</x:v>
      </x:c>
      <x:c r="K521" s="4" t="str">
        <x:v>工单更新已处理并按所选动作执行</x:v>
      </x:c>
      <x:c r="L521" s="4" t="str">
        <x:v>FLOW-C83DBB68</x:v>
      </x:c>
      <x:c r="M521" s="4" t="str">
        <x:v>未测</x:v>
      </x:c>
      <x:c r="N521" s="4" t="str"/>
      <x:c r="O521" s="4" t="str">
        <x:v>1. 来源：MainBasis/统一需求文档.md；A-admin-report-detail-004、A-admin-report-detail-009
2. 场景：SC-b54f7c29b42f40
3. 状态转换：ST-3561F5C8C4FF</x:v>
      </x:c>
    </x:row>
    <x:row r="522" ht="82" customHeight="1">
      <x:c r="A522" s="4" t="n">
        <x:v>521</x:v>
      </x:c>
      <x:c r="B522" s="4" t="str">
        <x:v>ADMIN-0521</x:v>
      </x:c>
      <x:c r="C522" s="4" t="str">
        <x:v>M10 用户管理、审核、举报与巡房</x:v>
      </x:c>
      <x:c r="D522" s="4" t="str">
        <x:v>举报详情（平台管理员视角）</x:v>
      </x:c>
      <x:c r="E522" s="4" t="str">
        <x:v>功能需求</x:v>
      </x:c>
      <x:c r="F522" s="4" t="str">
        <x:v>P1</x:v>
      </x:c>
      <x:c r="G522" s="4" t="str">
        <x:v>验证直播举报关闭直播权限</x:v>
      </x:c>
      <x:c r="H522" s="4" t="str">
        <x:v>直播举报关闭直播权限</x:v>
      </x:c>
      <x:c r="I522" s="4" t="str">
        <x:v>1. 已登录平台管理员账号
2. 当前工单待处理
3. 工单类型直播且关联场次仍在播</x:v>
      </x:c>
      <x:c r="J522" s="4" t="str">
        <x:v>1. 进入「举报详情」页
2. 选择关闭直播权限
3. 填写原因并确认</x:v>
      </x:c>
      <x:c r="K522" s="4" t="str">
        <x:v>工单更新已处理并按所选动作执行</x:v>
      </x:c>
      <x:c r="L522" s="4" t="str">
        <x:v>FLOW-C83DBB68</x:v>
      </x:c>
      <x:c r="M522" s="4" t="str">
        <x:v>未测</x:v>
      </x:c>
      <x:c r="N522" s="4" t="str"/>
      <x:c r="O522" s="4" t="str">
        <x:v>1. 来源：MainBasis/统一需求文档.md；A-admin-report-detail-004、A-admin-report-detail-009
2. 场景：SC-fe13226dd3121f
3. 状态转换：ST-3561F5C8C4FF</x:v>
      </x:c>
    </x:row>
    <x:row r="523" ht="54" customHeight="1">
      <x:c r="A523" s="4" t="n">
        <x:v>522</x:v>
      </x:c>
      <x:c r="B523" s="4" t="str">
        <x:v>ADMIN-0522</x:v>
      </x:c>
      <x:c r="C523" s="4" t="str">
        <x:v>M10 用户管理、审核、举报与巡房</x:v>
      </x:c>
      <x:c r="D523" s="4" t="str">
        <x:v>举报详情（平台管理员视角）</x:v>
      </x:c>
      <x:c r="E523" s="4" t="str">
        <x:v>功能需求</x:v>
      </x:c>
      <x:c r="F523" s="4" t="str">
        <x:v>P1</x:v>
      </x:c>
      <x:c r="G523" s="4" t="str">
        <x:v>验证关播后其他待处理举报失效</x:v>
      </x:c>
      <x:c r="H523" s="4" t="str">
        <x:v>关播后其他待处理举报失效</x:v>
      </x:c>
      <x:c r="I523" s="4" t="str">
        <x:v>1. 已登录平台管理员账号
2. 同场有两个待处理工单，其中一个已经关播处理</x:v>
      </x:c>
      <x:c r="J523" s="4" t="str">
        <x:v>1. 进入「举报详情」页
2. 查看关播后其他待处理举报失效</x:v>
      </x:c>
      <x:c r="K523" s="4" t="str">
        <x:v>其余待处理工单显示已作废</x:v>
      </x:c>
      <x:c r="L523" s="4" t="str"/>
      <x:c r="M523" s="4" t="str">
        <x:v>未测</x:v>
      </x:c>
      <x:c r="N523" s="4" t="str"/>
      <x:c r="O523" s="4" t="str">
        <x:v>1. 来源：MainBasis/统一需求文档.md；A-admin-report-detail-008
2. 场景：SC-62fdcc293192e4</x:v>
      </x:c>
    </x:row>
    <x:row r="524" ht="54" customHeight="1">
      <x:c r="A524" s="4" t="n">
        <x:v>523</x:v>
      </x:c>
      <x:c r="B524" s="4" t="str">
        <x:v>ADMIN-0523</x:v>
      </x:c>
      <x:c r="C524" s="4" t="str">
        <x:v>M10 用户管理、审核、举报与巡房</x:v>
      </x:c>
      <x:c r="D524" s="4" t="str">
        <x:v>举报详情（平台管理员视角）</x:v>
      </x:c>
      <x:c r="E524" s="4" t="str">
        <x:v>功能需求</x:v>
      </x:c>
      <x:c r="F524" s="4" t="str">
        <x:v>P1</x:v>
      </x:c>
      <x:c r="G524" s="4" t="str">
        <x:v>验证举报对象按工单关联</x:v>
      </x:c>
      <x:c r="H524" s="4" t="str">
        <x:v>举报对象按工单关联</x:v>
      </x:c>
      <x:c r="I524" s="4" t="str">
        <x:v>1. 已登录平台管理员账号
2. 当前打开账号举报工单，目标用户甲</x:v>
      </x:c>
      <x:c r="J524" s="4" t="str">
        <x:v>1. 进入「举报详情」页
2. 查看举报对象按工单关联</x:v>
      </x:c>
      <x:c r="K524" s="4" t="str">
        <x:v>对象关联用户甲，不误关联直播场次</x:v>
      </x:c>
      <x:c r="L524" s="4" t="str"/>
      <x:c r="M524" s="4" t="str">
        <x:v>未测</x:v>
      </x:c>
      <x:c r="N524" s="4" t="str"/>
      <x:c r="O524" s="4" t="str">
        <x:v>1. 来源：MainBasis/统一需求文档.md；A-admin-report-detail-002
2. 场景：SC-5e9ac55b2a1d91</x:v>
      </x:c>
    </x:row>
    <x:row r="525" ht="54" customHeight="1">
      <x:c r="A525" s="4" t="n">
        <x:v>524</x:v>
      </x:c>
      <x:c r="B525" s="4" t="str">
        <x:v>ADMIN-0524</x:v>
      </x:c>
      <x:c r="C525" s="4" t="str">
        <x:v>M10 用户管理、审核、举报与巡房</x:v>
      </x:c>
      <x:c r="D525" s="4" t="str">
        <x:v>举报详情（平台管理员视角）</x:v>
      </x:c>
      <x:c r="E525" s="4" t="str">
        <x:v>异常用例</x:v>
      </x:c>
      <x:c r="F525" s="4" t="str">
        <x:v>P1</x:v>
      </x:c>
      <x:c r="G525" s="4" t="str">
        <x:v>验证处置原因缺失限制</x:v>
      </x:c>
      <x:c r="H525" s="4" t="str">
        <x:v>处置原因缺失限制</x:v>
      </x:c>
      <x:c r="I525" s="4" t="str">
        <x:v>1. 已登录平台管理员账号
2. 其他必填字段为合法值</x:v>
      </x:c>
      <x:c r="J525" s="4" t="str">
        <x:v>1. 进入「举报详情」页
2. 清空「处置原因」
3. 点击「确认」</x:v>
      </x:c>
      <x:c r="K525" s="4" t="str">
        <x:v>处置原因未填写，无法确认</x:v>
      </x:c>
      <x:c r="L525" s="4" t="str"/>
      <x:c r="M525" s="4" t="str">
        <x:v>未测</x:v>
      </x:c>
      <x:c r="N525" s="4" t="str"/>
      <x:c r="O525" s="4" t="str">
        <x:v>1. 来源：MainBasis/统一需求文档.md；A-admin-report-detail-005
2. 场景：SC-59c70d62cd5647</x:v>
      </x:c>
    </x:row>
    <x:row r="526" ht="54" customHeight="1">
      <x:c r="A526" s="4" t="n">
        <x:v>525</x:v>
      </x:c>
      <x:c r="B526" s="4" t="str">
        <x:v>ADMIN-0525</x:v>
      </x:c>
      <x:c r="C526" s="4" t="str">
        <x:v>M10 用户管理、审核、举报与巡房</x:v>
      </x:c>
      <x:c r="D526" s="4" t="str">
        <x:v>违规类型-10（平台管理员视角）</x:v>
      </x:c>
      <x:c r="E526" s="4" t="str">
        <x:v>功能需求</x:v>
      </x:c>
      <x:c r="F526" s="4" t="str">
        <x:v>P2</x:v>
      </x:c>
      <x:c r="G526" s="4" t="str">
        <x:v>验证多语言名称回显</x:v>
      </x:c>
      <x:c r="H526" s="4" t="str">
        <x:v>多语言名称回显</x:v>
      </x:c>
      <x:c r="I526" s="4" t="str">
        <x:v>1. 已登录平台管理员账号
2. 所选对象存在，已记录该对象的多语言名称值</x:v>
      </x:c>
      <x:c r="J526" s="4" t="str">
        <x:v>1. 进入「违规类型-10」页
2. 查看多语言名称回显</x:v>
      </x:c>
      <x:c r="K526" s="4" t="str">
        <x:v>「多语言名称」内容与所选对象的该项资料一致</x:v>
      </x:c>
      <x:c r="L526" s="4" t="str"/>
      <x:c r="M526" s="4" t="str">
        <x:v>未测</x:v>
      </x:c>
      <x:c r="N526" s="4" t="str"/>
      <x:c r="O526" s="4" t="str">
        <x:v>1. 来源：MainBasis/统一需求文档.md；A-admin-violation-types-004
2. 场景：SC-adbfece43eae5c</x:v>
      </x:c>
    </x:row>
    <x:row r="527" ht="82" customHeight="1">
      <x:c r="A527" s="4" t="n">
        <x:v>526</x:v>
      </x:c>
      <x:c r="B527" s="4" t="str">
        <x:v>ADMIN-0526</x:v>
      </x:c>
      <x:c r="C527" s="4" t="str">
        <x:v>M10 用户管理、审核、举报与巡房</x:v>
      </x:c>
      <x:c r="D527" s="4" t="str">
        <x:v>违规类型-10（平台管理员视角）</x:v>
      </x:c>
      <x:c r="E527" s="4" t="str">
        <x:v>功能需求</x:v>
      </x:c>
      <x:c r="F527" s="4" t="str">
        <x:v>P1</x:v>
      </x:c>
      <x:c r="G527" s="4" t="str">
        <x:v>验证预置违规类型不可删除</x:v>
      </x:c>
      <x:c r="H527" s="4" t="str">
        <x:v>预置违规类型不可删除</x:v>
      </x:c>
      <x:c r="I527" s="4" t="str">
        <x:v>1. 已登录平台管理员账号
2. 目标为系统预置类型</x:v>
      </x:c>
      <x:c r="J527" s="4" t="str">
        <x:v>1. 进入「违规类型-10」页
2. 查看预置违规类型不可删除</x:v>
      </x:c>
      <x:c r="K527" s="4" t="str">
        <x:v>无删除该类型能力</x:v>
      </x:c>
      <x:c r="L527" s="4" t="str"/>
      <x:c r="M527" s="4" t="str">
        <x:v>未测</x:v>
      </x:c>
      <x:c r="N527" s="4" t="str"/>
      <x:c r="O527" s="4" t="str">
        <x:v>1. 来源：MainBasis/统一需求文档.md；A-admin-violation-types-005、A-admin-violation-types-006、A-admin-violation-type-detail-006、A-admin-violation-types-008
2. 场景：SC-cf07e25afbf9f2</x:v>
      </x:c>
    </x:row>
    <x:row r="528" ht="68" customHeight="1">
      <x:c r="A528" s="4" t="n">
        <x:v>527</x:v>
      </x:c>
      <x:c r="B528" s="4" t="str">
        <x:v>ADMIN-0527</x:v>
      </x:c>
      <x:c r="C528" s="4" t="str">
        <x:v>M10 用户管理、审核、举报与巡房</x:v>
      </x:c>
      <x:c r="D528" s="4" t="str">
        <x:v>违规类型-10（平台管理员视角）</x:v>
      </x:c>
      <x:c r="E528" s="4" t="str">
        <x:v>功能需求</x:v>
      </x:c>
      <x:c r="F528" s="4" t="str">
        <x:v>P1</x:v>
      </x:c>
      <x:c r="G528" s="4" t="str">
        <x:v>验证停用违规类型保留历史名称</x:v>
      </x:c>
      <x:c r="H528" s="4" t="str">
        <x:v>停用违规类型保留历史名称</x:v>
      </x:c>
      <x:c r="I528" s="4" t="str">
        <x:v>1. 已登录平台管理员账号
2. 历史举报类型为“旧名”，该类型已停用或删除</x:v>
      </x:c>
      <x:c r="J528" s="4" t="str">
        <x:v>1. 进入「违规类型-10」页
2. 查看停用违规类型保留历史名称</x:v>
      </x:c>
      <x:c r="K528" s="4" t="str">
        <x:v>历史工单仍显示提交时“旧名”，新举报不提供该类型</x:v>
      </x:c>
      <x:c r="L528" s="4" t="str"/>
      <x:c r="M528" s="4" t="str">
        <x:v>未测</x:v>
      </x:c>
      <x:c r="N528" s="4" t="str"/>
      <x:c r="O528" s="4" t="str">
        <x:v>1. 来源：MainBasis/统一需求文档.md；A-admin-violation-types-007、A-admin-account-violation-003
2. 场景：SC-e1e9953cb3bc81</x:v>
      </x:c>
    </x:row>
    <x:row r="529" ht="54" customHeight="1">
      <x:c r="A529" s="4" t="n">
        <x:v>528</x:v>
      </x:c>
      <x:c r="B529" s="4" t="str">
        <x:v>ADMIN-0528</x:v>
      </x:c>
      <x:c r="C529" s="4" t="str">
        <x:v>M10 用户管理、审核、举报与巡房</x:v>
      </x:c>
      <x:c r="D529" s="4" t="str">
        <x:v>违规类型-10（平台管理员视角）</x:v>
      </x:c>
      <x:c r="E529" s="4" t="str">
        <x:v>功能需求</x:v>
      </x:c>
      <x:c r="F529" s="4" t="str">
        <x:v>P2</x:v>
      </x:c>
      <x:c r="G529" s="4" t="str">
        <x:v>验证类型 ID标识不可编辑</x:v>
      </x:c>
      <x:c r="H529" s="4" t="str">
        <x:v>类型 ID标识不可编辑</x:v>
      </x:c>
      <x:c r="I529" s="4" t="str">
        <x:v>1. 已登录平台管理员账号
2. 目标记录已创建</x:v>
      </x:c>
      <x:c r="J529" s="4" t="str">
        <x:v>1. 进入「违规类型-10」页
2. 查看类型 ID标识不可编辑</x:v>
      </x:c>
      <x:c r="K529" s="4" t="str">
        <x:v>已生成的类型 ID可查看但不可编辑</x:v>
      </x:c>
      <x:c r="L529" s="4" t="str"/>
      <x:c r="M529" s="4" t="str">
        <x:v>未测</x:v>
      </x:c>
      <x:c r="N529" s="4" t="str"/>
      <x:c r="O529" s="4" t="str">
        <x:v>1. 来源：MainBasis/统一需求文档.md；A-admin-violation-types-002
2. 场景：SC-dc7e58b167cda3</x:v>
      </x:c>
    </x:row>
    <x:row r="530" ht="54" customHeight="1">
      <x:c r="A530" s="4" t="n">
        <x:v>529</x:v>
      </x:c>
      <x:c r="B530" s="4" t="str">
        <x:v>ADMIN-0529</x:v>
      </x:c>
      <x:c r="C530" s="4" t="str">
        <x:v>M10 用户管理、审核、举报与巡房</x:v>
      </x:c>
      <x:c r="D530" s="4" t="str">
        <x:v>违规类型-10（平台管理员视角）</x:v>
      </x:c>
      <x:c r="E530" s="4" t="str">
        <x:v>功能需求</x:v>
      </x:c>
      <x:c r="F530" s="4" t="str">
        <x:v>P1</x:v>
      </x:c>
      <x:c r="G530" s="4" t="str">
        <x:v>验证违规排序0</x:v>
      </x:c>
      <x:c r="H530" s="4" t="str">
        <x:v>违规排序0</x:v>
      </x:c>
      <x:c r="I530" s="4" t="str">
        <x:v>1. 已登录平台管理员账号
2. 其余字段合法</x:v>
      </x:c>
      <x:c r="J530" s="4" t="str">
        <x:v>1. 进入「违规类型-10」页
2. 填写排序0
3. 保存</x:v>
      </x:c>
      <x:c r="K530" s="4" t="str">
        <x:v>排序必须为正整数，不能保存</x:v>
      </x:c>
      <x:c r="L530" s="4" t="str"/>
      <x:c r="M530" s="4" t="str">
        <x:v>未测</x:v>
      </x:c>
      <x:c r="N530" s="4" t="str"/>
      <x:c r="O530" s="4" t="str">
        <x:v>1. 来源：MainBasis/统一需求文档.md；A-admin-violation-types-003
2. 场景：SC-4bb8bd36163c72</x:v>
      </x:c>
    </x:row>
    <x:row r="531" ht="54" customHeight="1">
      <x:c r="A531" s="4" t="n">
        <x:v>530</x:v>
      </x:c>
      <x:c r="B531" s="4" t="str">
        <x:v>ADMIN-0530</x:v>
      </x:c>
      <x:c r="C531" s="4" t="str">
        <x:v>M10 用户管理、审核、举报与巡房</x:v>
      </x:c>
      <x:c r="D531" s="4" t="str">
        <x:v>违规类型-10（平台管理员视角）</x:v>
      </x:c>
      <x:c r="E531" s="4" t="str">
        <x:v>功能需求</x:v>
      </x:c>
      <x:c r="F531" s="4" t="str">
        <x:v>P1</x:v>
      </x:c>
      <x:c r="G531" s="4" t="str">
        <x:v>验证违规排序1</x:v>
      </x:c>
      <x:c r="H531" s="4" t="str">
        <x:v>违规排序1</x:v>
      </x:c>
      <x:c r="I531" s="4" t="str">
        <x:v>1. 已登录平台管理员账号
2. 其余字段合法</x:v>
      </x:c>
      <x:c r="J531" s="4" t="str">
        <x:v>1. 进入「违规类型-10」页
2. 填写排序1
3. 保存</x:v>
      </x:c>
      <x:c r="K531" s="4" t="str">
        <x:v>排序可保存</x:v>
      </x:c>
      <x:c r="L531" s="4" t="str"/>
      <x:c r="M531" s="4" t="str">
        <x:v>未测</x:v>
      </x:c>
      <x:c r="N531" s="4" t="str"/>
      <x:c r="O531" s="4" t="str">
        <x:v>1. 来源：MainBasis/统一需求文档.md；A-admin-violation-types-003
2. 场景：SC-37602172fefa7a</x:v>
      </x:c>
    </x:row>
    <x:row r="532" ht="54" customHeight="1">
      <x:c r="A532" s="4" t="n">
        <x:v>531</x:v>
      </x:c>
      <x:c r="B532" s="4" t="str">
        <x:v>ADMIN-0531</x:v>
      </x:c>
      <x:c r="C532" s="4" t="str">
        <x:v>M10 用户管理、审核、举报与巡房</x:v>
      </x:c>
      <x:c r="D532" s="4" t="str">
        <x:v>违规类型-10（平台管理员视角）</x:v>
      </x:c>
      <x:c r="E532" s="4" t="str">
        <x:v>功能需求</x:v>
      </x:c>
      <x:c r="F532" s="4" t="str">
        <x:v>P1</x:v>
      </x:c>
      <x:c r="G532" s="4" t="str">
        <x:v>验证违规排序-1</x:v>
      </x:c>
      <x:c r="H532" s="4" t="str">
        <x:v>违规排序-1</x:v>
      </x:c>
      <x:c r="I532" s="4" t="str">
        <x:v>1. 已登录平台管理员账号
2. 其余字段合法</x:v>
      </x:c>
      <x:c r="J532" s="4" t="str">
        <x:v>1. 进入「违规类型-10」页
2. 填写排序-1
3. 保存</x:v>
      </x:c>
      <x:c r="K532" s="4" t="str">
        <x:v>排序必须为正整数，不能保存</x:v>
      </x:c>
      <x:c r="L532" s="4" t="str"/>
      <x:c r="M532" s="4" t="str">
        <x:v>未测</x:v>
      </x:c>
      <x:c r="N532" s="4" t="str"/>
      <x:c r="O532" s="4" t="str">
        <x:v>1. 来源：MainBasis/统一需求文档.md；A-admin-violation-types-003
2. 场景：SC-cf44a9134b5ac3</x:v>
      </x:c>
    </x:row>
    <x:row r="533" ht="54" customHeight="1">
      <x:c r="A533" s="4" t="n">
        <x:v>532</x:v>
      </x:c>
      <x:c r="B533" s="4" t="str">
        <x:v>ADMIN-0532</x:v>
      </x:c>
      <x:c r="C533" s="4" t="str">
        <x:v>M10 用户管理、审核、举报与巡房</x:v>
      </x:c>
      <x:c r="D533" s="4" t="str">
        <x:v>违规类型-10（平台管理员视角）</x:v>
      </x:c>
      <x:c r="E533" s="4" t="str">
        <x:v>功能需求</x:v>
      </x:c>
      <x:c r="F533" s="4" t="str">
        <x:v>P1</x:v>
      </x:c>
      <x:c r="G533" s="4" t="str">
        <x:v>验证违规排序1.5</x:v>
      </x:c>
      <x:c r="H533" s="4" t="str">
        <x:v>违规排序1.5</x:v>
      </x:c>
      <x:c r="I533" s="4" t="str">
        <x:v>1. 已登录平台管理员账号
2. 其余字段合法</x:v>
      </x:c>
      <x:c r="J533" s="4" t="str">
        <x:v>1. 进入「违规类型-10」页
2. 填写排序1.5
3. 保存</x:v>
      </x:c>
      <x:c r="K533" s="4" t="str">
        <x:v>排序必须为正整数，不能保存</x:v>
      </x:c>
      <x:c r="L533" s="4" t="str"/>
      <x:c r="M533" s="4" t="str">
        <x:v>未测</x:v>
      </x:c>
      <x:c r="N533" s="4" t="str"/>
      <x:c r="O533" s="4" t="str">
        <x:v>1. 来源：MainBasis/统一需求文档.md；A-admin-violation-types-003
2. 场景：SC-e3e3cbee6b3c7d</x:v>
      </x:c>
    </x:row>
    <x:row r="534" ht="68" customHeight="1">
      <x:c r="A534" s="4" t="n">
        <x:v>533</x:v>
      </x:c>
      <x:c r="B534" s="4" t="str">
        <x:v>ADMIN-0533</x:v>
      </x:c>
      <x:c r="C534" s="4" t="str">
        <x:v>M10 用户管理、审核、举报与巡房</x:v>
      </x:c>
      <x:c r="D534" s="4" t="str">
        <x:v>违规类型编辑（平台管理员视角）</x:v>
      </x:c>
      <x:c r="E534" s="4" t="str">
        <x:v>异常用例</x:v>
      </x:c>
      <x:c r="F534" s="4" t="str">
        <x:v>P1</x:v>
      </x:c>
      <x:c r="G534" s="4" t="str">
        <x:v>验证中文名称缺失限制</x:v>
      </x:c>
      <x:c r="H534" s="4" t="str">
        <x:v>中文名称缺失限制</x:v>
      </x:c>
      <x:c r="I534" s="4" t="str">
        <x:v>1. 已登录平台管理员账号
2. 其他必填字段为合法值</x:v>
      </x:c>
      <x:c r="J534" s="4" t="str">
        <x:v>1. 进入「违规类型编辑」页
2. 清空「中文名称」
3. 点击「保存」</x:v>
      </x:c>
      <x:c r="K534" s="4" t="str">
        <x:v>中文名称未填写，无法保存</x:v>
      </x:c>
      <x:c r="L534" s="4" t="str"/>
      <x:c r="M534" s="4" t="str">
        <x:v>未测</x:v>
      </x:c>
      <x:c r="N534" s="4" t="str"/>
      <x:c r="O534" s="4" t="str">
        <x:v>1. 来源：MainBasis/统一需求文档.md；A-admin-violation-type-detail-003、A-admin-violation-type-detail-007
2. 场景：SC-9dbb67a9b0c17e</x:v>
      </x:c>
    </x:row>
    <x:row r="535" ht="68" customHeight="1">
      <x:c r="A535" s="4" t="n">
        <x:v>534</x:v>
      </x:c>
      <x:c r="B535" s="4" t="str">
        <x:v>ADMIN-0534</x:v>
      </x:c>
      <x:c r="C535" s="4" t="str">
        <x:v>M10 用户管理、审核、举报与巡房</x:v>
      </x:c>
      <x:c r="D535" s="4" t="str">
        <x:v>违规类型编辑（平台管理员视角）</x:v>
      </x:c>
      <x:c r="E535" s="4" t="str">
        <x:v>功能需求</x:v>
      </x:c>
      <x:c r="F535" s="4" t="str">
        <x:v>P1</x:v>
      </x:c>
      <x:c r="G535" s="4" t="str">
        <x:v>验证中文类型名称重复</x:v>
      </x:c>
      <x:c r="H535" s="4" t="str">
        <x:v>中文类型名称重复</x:v>
      </x:c>
      <x:c r="I535" s="4" t="str">
        <x:v>1. 已登录平台管理员账号
2. 已存在该语言名称“示例”</x:v>
      </x:c>
      <x:c r="J535" s="4" t="str">
        <x:v>1. 进入「违规类型编辑」页
2. 将中文名称填写“示例”
3. 保存</x:v>
      </x:c>
      <x:c r="K535" s="4" t="str">
        <x:v>同语言重复名称不能保存</x:v>
      </x:c>
      <x:c r="L535" s="4" t="str"/>
      <x:c r="M535" s="4" t="str">
        <x:v>未测</x:v>
      </x:c>
      <x:c r="N535" s="4" t="str"/>
      <x:c r="O535" s="4" t="str">
        <x:v>1. 来源：MainBasis/统一需求文档.md；A-admin-violation-type-detail-003、A-admin-violation-type-detail-007
2. 场景：SC-6b39602ba8c46e</x:v>
      </x:c>
    </x:row>
    <x:row r="536" ht="68" customHeight="1">
      <x:c r="A536" s="4" t="n">
        <x:v>535</x:v>
      </x:c>
      <x:c r="B536" s="4" t="str">
        <x:v>ADMIN-0535</x:v>
      </x:c>
      <x:c r="C536" s="4" t="str">
        <x:v>M10 用户管理、审核、举报与巡房</x:v>
      </x:c>
      <x:c r="D536" s="4" t="str">
        <x:v>违规类型编辑（平台管理员视角）</x:v>
      </x:c>
      <x:c r="E536" s="4" t="str">
        <x:v>异常用例</x:v>
      </x:c>
      <x:c r="F536" s="4" t="str">
        <x:v>P1</x:v>
      </x:c>
      <x:c r="G536" s="4" t="str">
        <x:v>验证英语名称缺失限制</x:v>
      </x:c>
      <x:c r="H536" s="4" t="str">
        <x:v>英语名称缺失限制</x:v>
      </x:c>
      <x:c r="I536" s="4" t="str">
        <x:v>1. 已登录平台管理员账号
2. 其他必填字段为合法值</x:v>
      </x:c>
      <x:c r="J536" s="4" t="str">
        <x:v>1. 进入「违规类型编辑」页
2. 清空「英语名称」
3. 点击「保存」</x:v>
      </x:c>
      <x:c r="K536" s="4" t="str">
        <x:v>英语名称未填写，无法保存</x:v>
      </x:c>
      <x:c r="L536" s="4" t="str"/>
      <x:c r="M536" s="4" t="str">
        <x:v>未测</x:v>
      </x:c>
      <x:c r="N536" s="4" t="str"/>
      <x:c r="O536" s="4" t="str">
        <x:v>1. 来源：MainBasis/统一需求文档.md；A-admin-violation-type-detail-003、A-admin-violation-type-detail-007
2. 场景：SC-a53bb3fa8a8f4d</x:v>
      </x:c>
    </x:row>
    <x:row r="537" ht="68" customHeight="1">
      <x:c r="A537" s="4" t="n">
        <x:v>536</x:v>
      </x:c>
      <x:c r="B537" s="4" t="str">
        <x:v>ADMIN-0536</x:v>
      </x:c>
      <x:c r="C537" s="4" t="str">
        <x:v>M10 用户管理、审核、举报与巡房</x:v>
      </x:c>
      <x:c r="D537" s="4" t="str">
        <x:v>违规类型编辑（平台管理员视角）</x:v>
      </x:c>
      <x:c r="E537" s="4" t="str">
        <x:v>功能需求</x:v>
      </x:c>
      <x:c r="F537" s="4" t="str">
        <x:v>P1</x:v>
      </x:c>
      <x:c r="G537" s="4" t="str">
        <x:v>验证英语类型名称重复</x:v>
      </x:c>
      <x:c r="H537" s="4" t="str">
        <x:v>英语类型名称重复</x:v>
      </x:c>
      <x:c r="I537" s="4" t="str">
        <x:v>1. 已登录平台管理员账号
2. 已存在该语言名称“示例”</x:v>
      </x:c>
      <x:c r="J537" s="4" t="str">
        <x:v>1. 进入「违规类型编辑」页
2. 将英语名称填写“示例”
3. 保存</x:v>
      </x:c>
      <x:c r="K537" s="4" t="str">
        <x:v>同语言重复名称不能保存</x:v>
      </x:c>
      <x:c r="L537" s="4" t="str"/>
      <x:c r="M537" s="4" t="str">
        <x:v>未测</x:v>
      </x:c>
      <x:c r="N537" s="4" t="str"/>
      <x:c r="O537" s="4" t="str">
        <x:v>1. 来源：MainBasis/统一需求文档.md；A-admin-violation-type-detail-003、A-admin-violation-type-detail-007
2. 场景：SC-43242993013466</x:v>
      </x:c>
    </x:row>
    <x:row r="538" ht="68" customHeight="1">
      <x:c r="A538" s="4" t="n">
        <x:v>537</x:v>
      </x:c>
      <x:c r="B538" s="4" t="str">
        <x:v>ADMIN-0537</x:v>
      </x:c>
      <x:c r="C538" s="4" t="str">
        <x:v>M10 用户管理、审核、举报与巡房</x:v>
      </x:c>
      <x:c r="D538" s="4" t="str">
        <x:v>违规类型编辑（平台管理员视角）</x:v>
      </x:c>
      <x:c r="E538" s="4" t="str">
        <x:v>异常用例</x:v>
      </x:c>
      <x:c r="F538" s="4" t="str">
        <x:v>P1</x:v>
      </x:c>
      <x:c r="G538" s="4" t="str">
        <x:v>验证印尼语名称缺失限制</x:v>
      </x:c>
      <x:c r="H538" s="4" t="str">
        <x:v>印尼语名称缺失限制</x:v>
      </x:c>
      <x:c r="I538" s="4" t="str">
        <x:v>1. 已登录平台管理员账号
2. 其他必填字段为合法值</x:v>
      </x:c>
      <x:c r="J538" s="4" t="str">
        <x:v>1. 进入「违规类型编辑」页
2. 清空「印尼语名称」
3. 点击「保存」</x:v>
      </x:c>
      <x:c r="K538" s="4" t="str">
        <x:v>印尼语名称未填写，无法保存</x:v>
      </x:c>
      <x:c r="L538" s="4" t="str"/>
      <x:c r="M538" s="4" t="str">
        <x:v>未测</x:v>
      </x:c>
      <x:c r="N538" s="4" t="str"/>
      <x:c r="O538" s="4" t="str">
        <x:v>1. 来源：MainBasis/统一需求文档.md；A-admin-violation-type-detail-003、A-admin-violation-type-detail-007
2. 场景：SC-b460b1c7413145</x:v>
      </x:c>
    </x:row>
    <x:row r="539" ht="68" customHeight="1">
      <x:c r="A539" s="4" t="n">
        <x:v>538</x:v>
      </x:c>
      <x:c r="B539" s="4" t="str">
        <x:v>ADMIN-0538</x:v>
      </x:c>
      <x:c r="C539" s="4" t="str">
        <x:v>M10 用户管理、审核、举报与巡房</x:v>
      </x:c>
      <x:c r="D539" s="4" t="str">
        <x:v>违规类型编辑（平台管理员视角）</x:v>
      </x:c>
      <x:c r="E539" s="4" t="str">
        <x:v>功能需求</x:v>
      </x:c>
      <x:c r="F539" s="4" t="str">
        <x:v>P1</x:v>
      </x:c>
      <x:c r="G539" s="4" t="str">
        <x:v>验证印尼语类型名称重复</x:v>
      </x:c>
      <x:c r="H539" s="4" t="str">
        <x:v>印尼语类型名称重复</x:v>
      </x:c>
      <x:c r="I539" s="4" t="str">
        <x:v>1. 已登录平台管理员账号
2. 已存在该语言名称“示例”</x:v>
      </x:c>
      <x:c r="J539" s="4" t="str">
        <x:v>1. 进入「违规类型编辑」页
2. 将印尼语名称填写“示例”
3. 保存</x:v>
      </x:c>
      <x:c r="K539" s="4" t="str">
        <x:v>同语言重复名称不能保存</x:v>
      </x:c>
      <x:c r="L539" s="4" t="str"/>
      <x:c r="M539" s="4" t="str">
        <x:v>未测</x:v>
      </x:c>
      <x:c r="N539" s="4" t="str"/>
      <x:c r="O539" s="4" t="str">
        <x:v>1. 来源：MainBasis/统一需求文档.md；A-admin-violation-type-detail-003、A-admin-violation-type-detail-007
2. 场景：SC-ada13ccc4d0eda</x:v>
      </x:c>
    </x:row>
    <x:row r="540" ht="68" customHeight="1">
      <x:c r="A540" s="4" t="n">
        <x:v>539</x:v>
      </x:c>
      <x:c r="B540" s="4" t="str">
        <x:v>ADMIN-0539</x:v>
      </x:c>
      <x:c r="C540" s="4" t="str">
        <x:v>M10 用户管理、审核、举报与巡房</x:v>
      </x:c>
      <x:c r="D540" s="4" t="str">
        <x:v>违规类型编辑（平台管理员视角）</x:v>
      </x:c>
      <x:c r="E540" s="4" t="str">
        <x:v>异常用例</x:v>
      </x:c>
      <x:c r="F540" s="4" t="str">
        <x:v>P1</x:v>
      </x:c>
      <x:c r="G540" s="4" t="str">
        <x:v>验证马来语名称缺失限制</x:v>
      </x:c>
      <x:c r="H540" s="4" t="str">
        <x:v>马来语名称缺失限制</x:v>
      </x:c>
      <x:c r="I540" s="4" t="str">
        <x:v>1. 已登录平台管理员账号
2. 其他必填字段为合法值</x:v>
      </x:c>
      <x:c r="J540" s="4" t="str">
        <x:v>1. 进入「违规类型编辑」页
2. 清空「马来语名称」
3. 点击「保存」</x:v>
      </x:c>
      <x:c r="K540" s="4" t="str">
        <x:v>马来语名称未填写，无法保存</x:v>
      </x:c>
      <x:c r="L540" s="4" t="str"/>
      <x:c r="M540" s="4" t="str">
        <x:v>未测</x:v>
      </x:c>
      <x:c r="N540" s="4" t="str"/>
      <x:c r="O540" s="4" t="str">
        <x:v>1. 来源：MainBasis/统一需求文档.md；A-admin-violation-type-detail-003、A-admin-violation-type-detail-007
2. 场景：SC-0fadafb3f3a245</x:v>
      </x:c>
    </x:row>
    <x:row r="541" ht="68" customHeight="1">
      <x:c r="A541" s="4" t="n">
        <x:v>540</x:v>
      </x:c>
      <x:c r="B541" s="4" t="str">
        <x:v>ADMIN-0540</x:v>
      </x:c>
      <x:c r="C541" s="4" t="str">
        <x:v>M10 用户管理、审核、举报与巡房</x:v>
      </x:c>
      <x:c r="D541" s="4" t="str">
        <x:v>违规类型编辑（平台管理员视角）</x:v>
      </x:c>
      <x:c r="E541" s="4" t="str">
        <x:v>功能需求</x:v>
      </x:c>
      <x:c r="F541" s="4" t="str">
        <x:v>P1</x:v>
      </x:c>
      <x:c r="G541" s="4" t="str">
        <x:v>验证马来语类型名称重复</x:v>
      </x:c>
      <x:c r="H541" s="4" t="str">
        <x:v>马来语类型名称重复</x:v>
      </x:c>
      <x:c r="I541" s="4" t="str">
        <x:v>1. 已登录平台管理员账号
2. 已存在该语言名称“示例”</x:v>
      </x:c>
      <x:c r="J541" s="4" t="str">
        <x:v>1. 进入「违规类型编辑」页
2. 将马来语名称填写“示例”
3. 保存</x:v>
      </x:c>
      <x:c r="K541" s="4" t="str">
        <x:v>同语言重复名称不能保存</x:v>
      </x:c>
      <x:c r="L541" s="4" t="str"/>
      <x:c r="M541" s="4" t="str">
        <x:v>未测</x:v>
      </x:c>
      <x:c r="N541" s="4" t="str"/>
      <x:c r="O541" s="4" t="str">
        <x:v>1. 来源：MainBasis/统一需求文档.md；A-admin-violation-type-detail-003、A-admin-violation-type-detail-007
2. 场景：SC-5ed3a25116e701</x:v>
      </x:c>
    </x:row>
    <x:row r="542" ht="54" customHeight="1">
      <x:c r="A542" s="4" t="n">
        <x:v>541</x:v>
      </x:c>
      <x:c r="B542" s="4" t="str">
        <x:v>ADMIN-0541</x:v>
      </x:c>
      <x:c r="C542" s="4" t="str">
        <x:v>M10 用户管理、审核、举报与巡房</x:v>
      </x:c>
      <x:c r="D542" s="4" t="str">
        <x:v>违规类型编辑（平台管理员视角）</x:v>
      </x:c>
      <x:c r="E542" s="4" t="str">
        <x:v>功能需求</x:v>
      </x:c>
      <x:c r="F542" s="4" t="str">
        <x:v>P1</x:v>
      </x:c>
      <x:c r="G542" s="4" t="str">
        <x:v>验证类型属性创建后不能切换</x:v>
      </x:c>
      <x:c r="H542" s="4" t="str">
        <x:v>类型属性创建后不能切换</x:v>
      </x:c>
      <x:c r="I542" s="4" t="str">
        <x:v>1. 已登录平台管理员账号
2. 当前类型已创建为自定义</x:v>
      </x:c>
      <x:c r="J542" s="4" t="str">
        <x:v>1. 进入「违规类型编辑」页
2. 查看类型属性创建后不能切换</x:v>
      </x:c>
      <x:c r="K542" s="4" t="str">
        <x:v>不能修改为系统预置</x:v>
      </x:c>
      <x:c r="L542" s="4" t="str"/>
      <x:c r="M542" s="4" t="str">
        <x:v>未测</x:v>
      </x:c>
      <x:c r="N542" s="4" t="str"/>
      <x:c r="O542" s="4" t="str">
        <x:v>1. 来源：MainBasis/统一需求文档.md；A-admin-violation-type-detail-005
2. 场景：SC-51769d0a396adc</x:v>
      </x:c>
    </x:row>
    <x:row r="543" ht="54" customHeight="1">
      <x:c r="A543" s="4" t="n">
        <x:v>542</x:v>
      </x:c>
      <x:c r="B543" s="4" t="str">
        <x:v>ADMIN-0542</x:v>
      </x:c>
      <x:c r="C543" s="4" t="str">
        <x:v>M10 用户管理、审核、举报与巡房</x:v>
      </x:c>
      <x:c r="D543" s="4" t="str">
        <x:v>违规类型编辑（平台管理员视角）</x:v>
      </x:c>
      <x:c r="E543" s="4" t="str">
        <x:v>功能需求</x:v>
      </x:c>
      <x:c r="F543" s="4" t="str">
        <x:v>P2</x:v>
      </x:c>
      <x:c r="G543" s="4" t="str">
        <x:v>验证类型 ID标识不可编辑</x:v>
      </x:c>
      <x:c r="H543" s="4" t="str">
        <x:v>类型 ID标识不可编辑</x:v>
      </x:c>
      <x:c r="I543" s="4" t="str">
        <x:v>1. 已登录平台管理员账号
2. 目标记录已创建</x:v>
      </x:c>
      <x:c r="J543" s="4" t="str">
        <x:v>1. 进入「违规类型编辑」页
2. 查看类型 ID标识不可编辑</x:v>
      </x:c>
      <x:c r="K543" s="4" t="str">
        <x:v>已生成的类型 ID可查看但不可编辑</x:v>
      </x:c>
      <x:c r="L543" s="4" t="str"/>
      <x:c r="M543" s="4" t="str">
        <x:v>未测</x:v>
      </x:c>
      <x:c r="N543" s="4" t="str"/>
      <x:c r="O543" s="4" t="str">
        <x:v>1. 来源：MainBasis/统一需求文档.md；A-admin-violation-type-detail-002
2. 场景：SC-a47e66c341230a</x:v>
      </x:c>
    </x:row>
    <x:row r="544" ht="54" customHeight="1">
      <x:c r="A544" s="4" t="n">
        <x:v>543</x:v>
      </x:c>
      <x:c r="B544" s="4" t="str">
        <x:v>ADMIN-0543</x:v>
      </x:c>
      <x:c r="C544" s="4" t="str">
        <x:v>M10 用户管理、审核、举报与巡房</x:v>
      </x:c>
      <x:c r="D544" s="4" t="str">
        <x:v>违规类型编辑（平台管理员视角）</x:v>
      </x:c>
      <x:c r="E544" s="4" t="str">
        <x:v>功能需求</x:v>
      </x:c>
      <x:c r="F544" s="4" t="str">
        <x:v>P1</x:v>
      </x:c>
      <x:c r="G544" s="4" t="str">
        <x:v>验证违规排序0</x:v>
      </x:c>
      <x:c r="H544" s="4" t="str">
        <x:v>违规排序0</x:v>
      </x:c>
      <x:c r="I544" s="4" t="str">
        <x:v>1. 已登录平台管理员账号
2. 其余字段合法</x:v>
      </x:c>
      <x:c r="J544" s="4" t="str">
        <x:v>1. 进入「违规类型编辑」页
2. 填写排序0
3. 保存</x:v>
      </x:c>
      <x:c r="K544" s="4" t="str">
        <x:v>排序必须为正整数，不能保存</x:v>
      </x:c>
      <x:c r="L544" s="4" t="str"/>
      <x:c r="M544" s="4" t="str">
        <x:v>未测</x:v>
      </x:c>
      <x:c r="N544" s="4" t="str"/>
      <x:c r="O544" s="4" t="str">
        <x:v>1. 来源：MainBasis/统一需求文档.md；A-admin-violation-type-detail-004
2. 场景：SC-8249b11b3844ca</x:v>
      </x:c>
    </x:row>
    <x:row r="545" ht="54" customHeight="1">
      <x:c r="A545" s="4" t="n">
        <x:v>544</x:v>
      </x:c>
      <x:c r="B545" s="4" t="str">
        <x:v>ADMIN-0544</x:v>
      </x:c>
      <x:c r="C545" s="4" t="str">
        <x:v>M10 用户管理、审核、举报与巡房</x:v>
      </x:c>
      <x:c r="D545" s="4" t="str">
        <x:v>违规类型编辑（平台管理员视角）</x:v>
      </x:c>
      <x:c r="E545" s="4" t="str">
        <x:v>功能需求</x:v>
      </x:c>
      <x:c r="F545" s="4" t="str">
        <x:v>P1</x:v>
      </x:c>
      <x:c r="G545" s="4" t="str">
        <x:v>验证违规排序1</x:v>
      </x:c>
      <x:c r="H545" s="4" t="str">
        <x:v>违规排序1</x:v>
      </x:c>
      <x:c r="I545" s="4" t="str">
        <x:v>1. 已登录平台管理员账号
2. 其余字段合法</x:v>
      </x:c>
      <x:c r="J545" s="4" t="str">
        <x:v>1. 进入「违规类型编辑」页
2. 填写排序1
3. 保存</x:v>
      </x:c>
      <x:c r="K545" s="4" t="str">
        <x:v>排序可保存</x:v>
      </x:c>
      <x:c r="L545" s="4" t="str"/>
      <x:c r="M545" s="4" t="str">
        <x:v>未测</x:v>
      </x:c>
      <x:c r="N545" s="4" t="str"/>
      <x:c r="O545" s="4" t="str">
        <x:v>1. 来源：MainBasis/统一需求文档.md；A-admin-violation-type-detail-004
2. 场景：SC-46ee2dbcd98fd9</x:v>
      </x:c>
    </x:row>
    <x:row r="546" ht="54" customHeight="1">
      <x:c r="A546" s="4" t="n">
        <x:v>545</x:v>
      </x:c>
      <x:c r="B546" s="4" t="str">
        <x:v>ADMIN-0545</x:v>
      </x:c>
      <x:c r="C546" s="4" t="str">
        <x:v>M10 用户管理、审核、举报与巡房</x:v>
      </x:c>
      <x:c r="D546" s="4" t="str">
        <x:v>违规类型编辑（平台管理员视角）</x:v>
      </x:c>
      <x:c r="E546" s="4" t="str">
        <x:v>功能需求</x:v>
      </x:c>
      <x:c r="F546" s="4" t="str">
        <x:v>P1</x:v>
      </x:c>
      <x:c r="G546" s="4" t="str">
        <x:v>验证违规排序-1</x:v>
      </x:c>
      <x:c r="H546" s="4" t="str">
        <x:v>违规排序-1</x:v>
      </x:c>
      <x:c r="I546" s="4" t="str">
        <x:v>1. 已登录平台管理员账号
2. 其余字段合法</x:v>
      </x:c>
      <x:c r="J546" s="4" t="str">
        <x:v>1. 进入「违规类型编辑」页
2. 填写排序-1
3. 保存</x:v>
      </x:c>
      <x:c r="K546" s="4" t="str">
        <x:v>排序必须为正整数，不能保存</x:v>
      </x:c>
      <x:c r="L546" s="4" t="str"/>
      <x:c r="M546" s="4" t="str">
        <x:v>未测</x:v>
      </x:c>
      <x:c r="N546" s="4" t="str"/>
      <x:c r="O546" s="4" t="str">
        <x:v>1. 来源：MainBasis/统一需求文档.md；A-admin-violation-type-detail-004
2. 场景：SC-cac706ec4f4ac4</x:v>
      </x:c>
    </x:row>
    <x:row r="547" ht="54" customHeight="1">
      <x:c r="A547" s="4" t="n">
        <x:v>546</x:v>
      </x:c>
      <x:c r="B547" s="4" t="str">
        <x:v>ADMIN-0546</x:v>
      </x:c>
      <x:c r="C547" s="4" t="str">
        <x:v>M10 用户管理、审核、举报与巡房</x:v>
      </x:c>
      <x:c r="D547" s="4" t="str">
        <x:v>违规类型编辑（平台管理员视角）</x:v>
      </x:c>
      <x:c r="E547" s="4" t="str">
        <x:v>功能需求</x:v>
      </x:c>
      <x:c r="F547" s="4" t="str">
        <x:v>P1</x:v>
      </x:c>
      <x:c r="G547" s="4" t="str">
        <x:v>验证违规排序1.5</x:v>
      </x:c>
      <x:c r="H547" s="4" t="str">
        <x:v>违规排序1.5</x:v>
      </x:c>
      <x:c r="I547" s="4" t="str">
        <x:v>1. 已登录平台管理员账号
2. 其余字段合法</x:v>
      </x:c>
      <x:c r="J547" s="4" t="str">
        <x:v>1. 进入「违规类型编辑」页
2. 填写排序1.5
3. 保存</x:v>
      </x:c>
      <x:c r="K547" s="4" t="str">
        <x:v>排序必须为正整数，不能保存</x:v>
      </x:c>
      <x:c r="L547" s="4" t="str"/>
      <x:c r="M547" s="4" t="str">
        <x:v>未测</x:v>
      </x:c>
      <x:c r="N547" s="4" t="str"/>
      <x:c r="O547" s="4" t="str">
        <x:v>1. 来源：MainBasis/统一需求文档.md；A-admin-violation-type-detail-004
2. 场景：SC-90e55cb9408225</x:v>
      </x:c>
    </x:row>
    <x:row r="548" ht="54" customHeight="1">
      <x:c r="A548" s="4" t="n">
        <x:v>547</x:v>
      </x:c>
      <x:c r="B548" s="4" t="str">
        <x:v>ADMIN-0547</x:v>
      </x:c>
      <x:c r="C548" s="4" t="str">
        <x:v>M10 用户管理、审核、举报与巡房</x:v>
      </x:c>
      <x:c r="D548" s="4" t="str">
        <x:v>直播类型-22（平台管理员视角）</x:v>
      </x:c>
      <x:c r="E548" s="4" t="str">
        <x:v>异常用例</x:v>
      </x:c>
      <x:c r="F548" s="4" t="str">
        <x:v>P1</x:v>
      </x:c>
      <x:c r="G548" s="4" t="str">
        <x:v>验证中文名称缺失限制</x:v>
      </x:c>
      <x:c r="H548" s="4" t="str">
        <x:v>中文名称缺失限制</x:v>
      </x:c>
      <x:c r="I548" s="4" t="str">
        <x:v>1. 已登录平台管理员账号
2. 其他必填字段为合法值</x:v>
      </x:c>
      <x:c r="J548" s="4" t="str">
        <x:v>1. 进入「直播类型-22」页
2. 清空「中文名称」
3. 点击「保存」</x:v>
      </x:c>
      <x:c r="K548" s="4" t="str">
        <x:v>中文名称未填写，无法保存</x:v>
      </x:c>
      <x:c r="L548" s="4" t="str"/>
      <x:c r="M548" s="4" t="str">
        <x:v>未测</x:v>
      </x:c>
      <x:c r="N548" s="4" t="str"/>
      <x:c r="O548" s="4" t="str">
        <x:v>1. 来源：MainBasis/统一需求文档.md；A-admin-live-type-003
2. 场景：SC-24ed294843d9a0</x:v>
      </x:c>
    </x:row>
    <x:row r="549" ht="54" customHeight="1">
      <x:c r="A549" s="4" t="n">
        <x:v>548</x:v>
      </x:c>
      <x:c r="B549" s="4" t="str">
        <x:v>ADMIN-0548</x:v>
      </x:c>
      <x:c r="C549" s="4" t="str">
        <x:v>M10 用户管理、审核、举报与巡房</x:v>
      </x:c>
      <x:c r="D549" s="4" t="str">
        <x:v>直播类型-22（平台管理员视角）</x:v>
      </x:c>
      <x:c r="E549" s="4" t="str">
        <x:v>功能需求</x:v>
      </x:c>
      <x:c r="F549" s="4" t="str">
        <x:v>P1</x:v>
      </x:c>
      <x:c r="G549" s="4" t="str">
        <x:v>验证中文类型名称重复</x:v>
      </x:c>
      <x:c r="H549" s="4" t="str">
        <x:v>中文类型名称重复</x:v>
      </x:c>
      <x:c r="I549" s="4" t="str">
        <x:v>1. 已登录平台管理员账号
2. 已存在该语言名称“示例”</x:v>
      </x:c>
      <x:c r="J549" s="4" t="str">
        <x:v>1. 进入「直播类型-22」页
2. 将中文名称填写“示例”
3. 保存</x:v>
      </x:c>
      <x:c r="K549" s="4" t="str">
        <x:v>同语言重复名称不能保存</x:v>
      </x:c>
      <x:c r="L549" s="4" t="str"/>
      <x:c r="M549" s="4" t="str">
        <x:v>未测</x:v>
      </x:c>
      <x:c r="N549" s="4" t="str"/>
      <x:c r="O549" s="4" t="str">
        <x:v>1. 来源：MainBasis/统一需求文档.md；A-admin-live-type-003
2. 场景：SC-7f4da8b4c71adb</x:v>
      </x:c>
    </x:row>
    <x:row r="550" ht="54" customHeight="1">
      <x:c r="A550" s="4" t="n">
        <x:v>549</x:v>
      </x:c>
      <x:c r="B550" s="4" t="str">
        <x:v>ADMIN-0549</x:v>
      </x:c>
      <x:c r="C550" s="4" t="str">
        <x:v>M10 用户管理、审核、举报与巡房</x:v>
      </x:c>
      <x:c r="D550" s="4" t="str">
        <x:v>直播类型-22（平台管理员视角）</x:v>
      </x:c>
      <x:c r="E550" s="4" t="str">
        <x:v>异常用例</x:v>
      </x:c>
      <x:c r="F550" s="4" t="str">
        <x:v>P1</x:v>
      </x:c>
      <x:c r="G550" s="4" t="str">
        <x:v>验证英语名称缺失限制</x:v>
      </x:c>
      <x:c r="H550" s="4" t="str">
        <x:v>英语名称缺失限制</x:v>
      </x:c>
      <x:c r="I550" s="4" t="str">
        <x:v>1. 已登录平台管理员账号
2. 其他必填字段为合法值</x:v>
      </x:c>
      <x:c r="J550" s="4" t="str">
        <x:v>1. 进入「直播类型-22」页
2. 清空「英语名称」
3. 点击「保存」</x:v>
      </x:c>
      <x:c r="K550" s="4" t="str">
        <x:v>英语名称未填写，无法保存</x:v>
      </x:c>
      <x:c r="L550" s="4" t="str"/>
      <x:c r="M550" s="4" t="str">
        <x:v>未测</x:v>
      </x:c>
      <x:c r="N550" s="4" t="str"/>
      <x:c r="O550" s="4" t="str">
        <x:v>1. 来源：MainBasis/统一需求文档.md；A-admin-live-type-003
2. 场景：SC-ab818c5f610db4</x:v>
      </x:c>
    </x:row>
    <x:row r="551" ht="54" customHeight="1">
      <x:c r="A551" s="4" t="n">
        <x:v>550</x:v>
      </x:c>
      <x:c r="B551" s="4" t="str">
        <x:v>ADMIN-0550</x:v>
      </x:c>
      <x:c r="C551" s="4" t="str">
        <x:v>M10 用户管理、审核、举报与巡房</x:v>
      </x:c>
      <x:c r="D551" s="4" t="str">
        <x:v>直播类型-22（平台管理员视角）</x:v>
      </x:c>
      <x:c r="E551" s="4" t="str">
        <x:v>功能需求</x:v>
      </x:c>
      <x:c r="F551" s="4" t="str">
        <x:v>P1</x:v>
      </x:c>
      <x:c r="G551" s="4" t="str">
        <x:v>验证英语类型名称重复</x:v>
      </x:c>
      <x:c r="H551" s="4" t="str">
        <x:v>英语类型名称重复</x:v>
      </x:c>
      <x:c r="I551" s="4" t="str">
        <x:v>1. 已登录平台管理员账号
2. 已存在该语言名称“示例”</x:v>
      </x:c>
      <x:c r="J551" s="4" t="str">
        <x:v>1. 进入「直播类型-22」页
2. 将英语名称填写“示例”
3. 保存</x:v>
      </x:c>
      <x:c r="K551" s="4" t="str">
        <x:v>同语言重复名称不能保存</x:v>
      </x:c>
      <x:c r="L551" s="4" t="str"/>
      <x:c r="M551" s="4" t="str">
        <x:v>未测</x:v>
      </x:c>
      <x:c r="N551" s="4" t="str"/>
      <x:c r="O551" s="4" t="str">
        <x:v>1. 来源：MainBasis/统一需求文档.md；A-admin-live-type-003
2. 场景：SC-08acf61930ff53</x:v>
      </x:c>
    </x:row>
    <x:row r="552" ht="54" customHeight="1">
      <x:c r="A552" s="4" t="n">
        <x:v>551</x:v>
      </x:c>
      <x:c r="B552" s="4" t="str">
        <x:v>ADMIN-0551</x:v>
      </x:c>
      <x:c r="C552" s="4" t="str">
        <x:v>M10 用户管理、审核、举报与巡房</x:v>
      </x:c>
      <x:c r="D552" s="4" t="str">
        <x:v>直播类型-22（平台管理员视角）</x:v>
      </x:c>
      <x:c r="E552" s="4" t="str">
        <x:v>异常用例</x:v>
      </x:c>
      <x:c r="F552" s="4" t="str">
        <x:v>P1</x:v>
      </x:c>
      <x:c r="G552" s="4" t="str">
        <x:v>验证印尼语名称缺失限制</x:v>
      </x:c>
      <x:c r="H552" s="4" t="str">
        <x:v>印尼语名称缺失限制</x:v>
      </x:c>
      <x:c r="I552" s="4" t="str">
        <x:v>1. 已登录平台管理员账号
2. 其他必填字段为合法值</x:v>
      </x:c>
      <x:c r="J552" s="4" t="str">
        <x:v>1. 进入「直播类型-22」页
2. 清空「印尼语名称」
3. 点击「保存」</x:v>
      </x:c>
      <x:c r="K552" s="4" t="str">
        <x:v>印尼语名称未填写，无法保存</x:v>
      </x:c>
      <x:c r="L552" s="4" t="str"/>
      <x:c r="M552" s="4" t="str">
        <x:v>未测</x:v>
      </x:c>
      <x:c r="N552" s="4" t="str"/>
      <x:c r="O552" s="4" t="str">
        <x:v>1. 来源：MainBasis/统一需求文档.md；A-admin-live-type-003
2. 场景：SC-3e11a3b9644311</x:v>
      </x:c>
    </x:row>
    <x:row r="553" ht="54" customHeight="1">
      <x:c r="A553" s="4" t="n">
        <x:v>552</x:v>
      </x:c>
      <x:c r="B553" s="4" t="str">
        <x:v>ADMIN-0552</x:v>
      </x:c>
      <x:c r="C553" s="4" t="str">
        <x:v>M10 用户管理、审核、举报与巡房</x:v>
      </x:c>
      <x:c r="D553" s="4" t="str">
        <x:v>直播类型-22（平台管理员视角）</x:v>
      </x:c>
      <x:c r="E553" s="4" t="str">
        <x:v>功能需求</x:v>
      </x:c>
      <x:c r="F553" s="4" t="str">
        <x:v>P1</x:v>
      </x:c>
      <x:c r="G553" s="4" t="str">
        <x:v>验证印尼语类型名称重复</x:v>
      </x:c>
      <x:c r="H553" s="4" t="str">
        <x:v>印尼语类型名称重复</x:v>
      </x:c>
      <x:c r="I553" s="4" t="str">
        <x:v>1. 已登录平台管理员账号
2. 已存在该语言名称“示例”</x:v>
      </x:c>
      <x:c r="J553" s="4" t="str">
        <x:v>1. 进入「直播类型-22」页
2. 将印尼语名称填写“示例”
3. 保存</x:v>
      </x:c>
      <x:c r="K553" s="4" t="str">
        <x:v>同语言重复名称不能保存</x:v>
      </x:c>
      <x:c r="L553" s="4" t="str"/>
      <x:c r="M553" s="4" t="str">
        <x:v>未测</x:v>
      </x:c>
      <x:c r="N553" s="4" t="str"/>
      <x:c r="O553" s="4" t="str">
        <x:v>1. 来源：MainBasis/统一需求文档.md；A-admin-live-type-003
2. 场景：SC-d077cbe5cce5f9</x:v>
      </x:c>
    </x:row>
    <x:row r="554" ht="54" customHeight="1">
      <x:c r="A554" s="4" t="n">
        <x:v>553</x:v>
      </x:c>
      <x:c r="B554" s="4" t="str">
        <x:v>ADMIN-0553</x:v>
      </x:c>
      <x:c r="C554" s="4" t="str">
        <x:v>M10 用户管理、审核、举报与巡房</x:v>
      </x:c>
      <x:c r="D554" s="4" t="str">
        <x:v>直播类型-22（平台管理员视角）</x:v>
      </x:c>
      <x:c r="E554" s="4" t="str">
        <x:v>异常用例</x:v>
      </x:c>
      <x:c r="F554" s="4" t="str">
        <x:v>P1</x:v>
      </x:c>
      <x:c r="G554" s="4" t="str">
        <x:v>验证马来语名称缺失限制</x:v>
      </x:c>
      <x:c r="H554" s="4" t="str">
        <x:v>马来语名称缺失限制</x:v>
      </x:c>
      <x:c r="I554" s="4" t="str">
        <x:v>1. 已登录平台管理员账号
2. 其他必填字段为合法值</x:v>
      </x:c>
      <x:c r="J554" s="4" t="str">
        <x:v>1. 进入「直播类型-22」页
2. 清空「马来语名称」
3. 点击「保存」</x:v>
      </x:c>
      <x:c r="K554" s="4" t="str">
        <x:v>马来语名称未填写，无法保存</x:v>
      </x:c>
      <x:c r="L554" s="4" t="str"/>
      <x:c r="M554" s="4" t="str">
        <x:v>未测</x:v>
      </x:c>
      <x:c r="N554" s="4" t="str"/>
      <x:c r="O554" s="4" t="str">
        <x:v>1. 来源：MainBasis/统一需求文档.md；A-admin-live-type-003
2. 场景：SC-525ea493c71414</x:v>
      </x:c>
    </x:row>
    <x:row r="555" ht="54" customHeight="1">
      <x:c r="A555" s="4" t="n">
        <x:v>554</x:v>
      </x:c>
      <x:c r="B555" s="4" t="str">
        <x:v>ADMIN-0554</x:v>
      </x:c>
      <x:c r="C555" s="4" t="str">
        <x:v>M10 用户管理、审核、举报与巡房</x:v>
      </x:c>
      <x:c r="D555" s="4" t="str">
        <x:v>直播类型-22（平台管理员视角）</x:v>
      </x:c>
      <x:c r="E555" s="4" t="str">
        <x:v>功能需求</x:v>
      </x:c>
      <x:c r="F555" s="4" t="str">
        <x:v>P1</x:v>
      </x:c>
      <x:c r="G555" s="4" t="str">
        <x:v>验证马来语类型名称重复</x:v>
      </x:c>
      <x:c r="H555" s="4" t="str">
        <x:v>马来语类型名称重复</x:v>
      </x:c>
      <x:c r="I555" s="4" t="str">
        <x:v>1. 已登录平台管理员账号
2. 已存在该语言名称“示例”</x:v>
      </x:c>
      <x:c r="J555" s="4" t="str">
        <x:v>1. 进入「直播类型-22」页
2. 将马来语名称填写“示例”
3. 保存</x:v>
      </x:c>
      <x:c r="K555" s="4" t="str">
        <x:v>同语言重复名称不能保存</x:v>
      </x:c>
      <x:c r="L555" s="4" t="str"/>
      <x:c r="M555" s="4" t="str">
        <x:v>未测</x:v>
      </x:c>
      <x:c r="N555" s="4" t="str"/>
      <x:c r="O555" s="4" t="str">
        <x:v>1. 来源：MainBasis/统一需求文档.md；A-admin-live-type-003
2. 场景：SC-f4eb94539c0cab</x:v>
      </x:c>
    </x:row>
    <x:row r="556" ht="54" customHeight="1">
      <x:c r="A556" s="4" t="n">
        <x:v>555</x:v>
      </x:c>
      <x:c r="B556" s="4" t="str">
        <x:v>ADMIN-0555</x:v>
      </x:c>
      <x:c r="C556" s="4" t="str">
        <x:v>M10 用户管理、审核、举报与巡房</x:v>
      </x:c>
      <x:c r="D556" s="4" t="str">
        <x:v>直播类型-22（平台管理员视角）</x:v>
      </x:c>
      <x:c r="E556" s="4" t="str">
        <x:v>功能需求</x:v>
      </x:c>
      <x:c r="F556" s="4" t="str">
        <x:v>P1</x:v>
      </x:c>
      <x:c r="G556" s="4" t="str">
        <x:v>验证停用直播类型不改进行历史场次</x:v>
      </x:c>
      <x:c r="H556" s="4" t="str">
        <x:v>停用直播类型不改进行历史场次</x:v>
      </x:c>
      <x:c r="I556" s="4" t="str">
        <x:v>1. 已登录平台管理员账号
2. 目标分类已被进行中及历史场次引用，平台已停用</x:v>
      </x:c>
      <x:c r="J556" s="4" t="str">
        <x:v>1. 进入「直播类型-22」页
2. 查看停用直播类型不改进行历史场次</x:v>
      </x:c>
      <x:c r="K556" s="4" t="str">
        <x:v>原场次类型快照保留，不能用于新开播</x:v>
      </x:c>
      <x:c r="L556" s="4" t="str"/>
      <x:c r="M556" s="4" t="str">
        <x:v>未测</x:v>
      </x:c>
      <x:c r="N556" s="4" t="str"/>
      <x:c r="O556" s="4" t="str">
        <x:v>1. 来源：MainBasis/统一需求文档.md；A-admin-live-type-005
2. 场景：SC-76bfe4fd7f2aa9</x:v>
      </x:c>
    </x:row>
    <x:row r="557" ht="54" customHeight="1">
      <x:c r="A557" s="4" t="n">
        <x:v>556</x:v>
      </x:c>
      <x:c r="B557" s="4" t="str">
        <x:v>ADMIN-0556</x:v>
      </x:c>
      <x:c r="C557" s="4" t="str">
        <x:v>M10 用户管理、审核、举报与巡房</x:v>
      </x:c>
      <x:c r="D557" s="4" t="str">
        <x:v>直播类型-22（平台管理员视角）</x:v>
      </x:c>
      <x:c r="E557" s="4" t="str">
        <x:v>功能需求</x:v>
      </x:c>
      <x:c r="F557" s="4" t="str">
        <x:v>P2</x:v>
      </x:c>
      <x:c r="G557" s="4" t="str">
        <x:v>验证类型 ID标识不可编辑</x:v>
      </x:c>
      <x:c r="H557" s="4" t="str">
        <x:v>类型 ID标识不可编辑</x:v>
      </x:c>
      <x:c r="I557" s="4" t="str">
        <x:v>1. 已登录平台管理员账号
2. 目标记录已创建</x:v>
      </x:c>
      <x:c r="J557" s="4" t="str">
        <x:v>1. 进入「直播类型-22」页
2. 查看类型 ID标识不可编辑</x:v>
      </x:c>
      <x:c r="K557" s="4" t="str">
        <x:v>已生成的类型 ID可查看但不可编辑</x:v>
      </x:c>
      <x:c r="L557" s="4" t="str"/>
      <x:c r="M557" s="4" t="str">
        <x:v>未测</x:v>
      </x:c>
      <x:c r="N557" s="4" t="str"/>
      <x:c r="O557" s="4" t="str">
        <x:v>1. 来源：MainBasis/统一需求文档.md；A-admin-live-type-002
2. 场景：SC-a15ccce0357903</x:v>
      </x:c>
    </x:row>
    <x:row r="558" ht="54" customHeight="1">
      <x:c r="A558" s="4" t="n">
        <x:v>557</x:v>
      </x:c>
      <x:c r="B558" s="4" t="str">
        <x:v>ADMIN-0557</x:v>
      </x:c>
      <x:c r="C558" s="4" t="str">
        <x:v>M10 用户管理、审核、举报与巡房</x:v>
      </x:c>
      <x:c r="D558" s="4" t="str">
        <x:v>直播类型-22（平台管理员视角）</x:v>
      </x:c>
      <x:c r="E558" s="4" t="str">
        <x:v>功能需求</x:v>
      </x:c>
      <x:c r="F558" s="4" t="str">
        <x:v>P2</x:v>
      </x:c>
      <x:c r="G558" s="4" t="str">
        <x:v>验证状态启用回显</x:v>
      </x:c>
      <x:c r="H558" s="4" t="str">
        <x:v>状态启用回显</x:v>
      </x:c>
      <x:c r="I558" s="4" t="str">
        <x:v>1. 已登录平台管理员账号
2. 所选记录状态为启用</x:v>
      </x:c>
      <x:c r="J558" s="4" t="str">
        <x:v>1. 进入「直播类型-22」页
2. 查看状态启用回显</x:v>
      </x:c>
      <x:c r="K558" s="4" t="str">
        <x:v>状态显示启用</x:v>
      </x:c>
      <x:c r="L558" s="4" t="str"/>
      <x:c r="M558" s="4" t="str">
        <x:v>未测</x:v>
      </x:c>
      <x:c r="N558" s="4" t="str"/>
      <x:c r="O558" s="4" t="str">
        <x:v>1. 来源：MainBasis/统一需求文档.md；A-admin-live-type-004
2. 场景：SC-b85c93fae76221</x:v>
      </x:c>
    </x:row>
    <x:row r="559" ht="54" customHeight="1">
      <x:c r="A559" s="4" t="n">
        <x:v>558</x:v>
      </x:c>
      <x:c r="B559" s="4" t="str">
        <x:v>ADMIN-0558</x:v>
      </x:c>
      <x:c r="C559" s="4" t="str">
        <x:v>M10 用户管理、审核、举报与巡房</x:v>
      </x:c>
      <x:c r="D559" s="4" t="str">
        <x:v>直播类型-22（平台管理员视角）</x:v>
      </x:c>
      <x:c r="E559" s="4" t="str">
        <x:v>功能需求</x:v>
      </x:c>
      <x:c r="F559" s="4" t="str">
        <x:v>P2</x:v>
      </x:c>
      <x:c r="G559" s="4" t="str">
        <x:v>验证状态停用回显</x:v>
      </x:c>
      <x:c r="H559" s="4" t="str">
        <x:v>状态停用回显</x:v>
      </x:c>
      <x:c r="I559" s="4" t="str">
        <x:v>1. 已登录平台管理员账号
2. 所选记录状态为停用</x:v>
      </x:c>
      <x:c r="J559" s="4" t="str">
        <x:v>1. 进入「直播类型-22」页
2. 查看状态停用回显</x:v>
      </x:c>
      <x:c r="K559" s="4" t="str">
        <x:v>状态显示停用</x:v>
      </x:c>
      <x:c r="L559" s="4" t="str"/>
      <x:c r="M559" s="4" t="str">
        <x:v>未测</x:v>
      </x:c>
      <x:c r="N559" s="4" t="str"/>
      <x:c r="O559" s="4" t="str">
        <x:v>1. 来源：MainBasis/统一需求文档.md；A-admin-live-type-004
2. 场景：SC-0855c357e28a5c</x:v>
      </x:c>
    </x:row>
    <x:row r="560" ht="82" customHeight="1">
      <x:c r="A560" s="4" t="n">
        <x:v>559</x:v>
      </x:c>
      <x:c r="B560" s="4" t="str">
        <x:v>ADMIN-0559</x:v>
      </x:c>
      <x:c r="C560" s="4" t="str">
        <x:v>M10 用户管理、审核、举报与巡房</x:v>
      </x:c>
      <x:c r="D560" s="4" t="str">
        <x:v>直播类型-22（平台管理员视角）</x:v>
      </x:c>
      <x:c r="E560" s="4" t="str">
        <x:v>功能需求</x:v>
      </x:c>
      <x:c r="F560" s="4" t="str">
        <x:v>P1</x:v>
      </x:c>
      <x:c r="G560" s="4" t="str">
        <x:v>验证新增直播类型保存</x:v>
      </x:c>
      <x:c r="H560" s="4" t="str">
        <x:v>新增直播类型保存</x:v>
      </x:c>
      <x:c r="I560" s="4" t="str">
        <x:v>1. 已登录平台管理员账号
2. 四语名称均未被占用，状态选择启用</x:v>
      </x:c>
      <x:c r="J560" s="4" t="str">
        <x:v>1. 进入「直播类型-22」页
2. 点击新建
3. 填写四语名称
4. 选择启用
5. 保存</x:v>
      </x:c>
      <x:c r="K560" s="4" t="str">
        <x:v>列表新增该直播类型，四语名称和启用状态与提交值一致</x:v>
      </x:c>
      <x:c r="L560" s="4" t="str"/>
      <x:c r="M560" s="4" t="str">
        <x:v>未测</x:v>
      </x:c>
      <x:c r="N560" s="4" t="str"/>
      <x:c r="O560" s="4" t="str">
        <x:v>1. 来源：MainBasis/统一需求文档.md；A-admin-live-type-006
2. 场景：SC-a1570a54921582</x:v>
      </x:c>
    </x:row>
    <x:row r="561" ht="54" customHeight="1">
      <x:c r="A561" s="4" t="n">
        <x:v>560</x:v>
      </x:c>
      <x:c r="B561" s="4" t="str">
        <x:v>ADMIN-0560</x:v>
      </x:c>
      <x:c r="C561" s="4" t="str">
        <x:v>M10 用户管理、审核、举报与巡房</x:v>
      </x:c>
      <x:c r="D561" s="4" t="str">
        <x:v>敏感词库-24（平台管理员视角）</x:v>
      </x:c>
      <x:c r="E561" s="4" t="str">
        <x:v>功能需求</x:v>
      </x:c>
      <x:c r="F561" s="4" t="str">
        <x:v>P2</x:v>
      </x:c>
      <x:c r="G561" s="4" t="str">
        <x:v>验证敏感词、分类回显</x:v>
      </x:c>
      <x:c r="H561" s="4" t="str">
        <x:v>敏感词、分类回显</x:v>
      </x:c>
      <x:c r="I561" s="4" t="str">
        <x:v>1. 已登录平台管理员账号
2. 所选对象存在，已记录该对象的敏感词 / 分类值</x:v>
      </x:c>
      <x:c r="J561" s="4" t="str">
        <x:v>1. 进入「敏感词库-24」页
2. 查看敏感词、分类回显</x:v>
      </x:c>
      <x:c r="K561" s="4" t="str">
        <x:v>「敏感词 / 分类」内容与所选对象的该项资料一致</x:v>
      </x:c>
      <x:c r="L561" s="4" t="str"/>
      <x:c r="M561" s="4" t="str">
        <x:v>未测</x:v>
      </x:c>
      <x:c r="N561" s="4" t="str"/>
      <x:c r="O561" s="4" t="str">
        <x:v>1. 来源：MainBasis/统一需求文档.md；A-admin-sensitive-words-002
2. 场景：SC-f15c310d0b93ec</x:v>
      </x:c>
    </x:row>
    <x:row r="562" ht="54" customHeight="1">
      <x:c r="A562" s="4" t="n">
        <x:v>561</x:v>
      </x:c>
      <x:c r="B562" s="4" t="str">
        <x:v>ADMIN-0561</x:v>
      </x:c>
      <x:c r="C562" s="4" t="str">
        <x:v>M10 用户管理、审核、举报与巡房</x:v>
      </x:c>
      <x:c r="D562" s="4" t="str">
        <x:v>敏感词库-24（平台管理员视角）</x:v>
      </x:c>
      <x:c r="E562" s="4" t="str">
        <x:v>功能需求</x:v>
      </x:c>
      <x:c r="F562" s="4" t="str">
        <x:v>P2</x:v>
      </x:c>
      <x:c r="G562" s="4" t="str">
        <x:v>验证匹配规则回显</x:v>
      </x:c>
      <x:c r="H562" s="4" t="str">
        <x:v>匹配规则回显</x:v>
      </x:c>
      <x:c r="I562" s="4" t="str">
        <x:v>1. 已登录平台管理员账号
2. 所选对象存在，已记录该对象的匹配规则值</x:v>
      </x:c>
      <x:c r="J562" s="4" t="str">
        <x:v>1. 进入「敏感词库-24」页
2. 查看匹配规则回显</x:v>
      </x:c>
      <x:c r="K562" s="4" t="str">
        <x:v>「匹配规则」内容与所选对象的该项资料一致</x:v>
      </x:c>
      <x:c r="L562" s="4" t="str"/>
      <x:c r="M562" s="4" t="str">
        <x:v>未测</x:v>
      </x:c>
      <x:c r="N562" s="4" t="str"/>
      <x:c r="O562" s="4" t="str">
        <x:v>1. 来源：MainBasis/统一需求文档.md；A-admin-sensitive-words-004
2. 场景：SC-39332d23b8b674</x:v>
      </x:c>
    </x:row>
    <x:row r="563" ht="54" customHeight="1">
      <x:c r="A563" s="4" t="n">
        <x:v>562</x:v>
      </x:c>
      <x:c r="B563" s="4" t="str">
        <x:v>ADMIN-0562</x:v>
      </x:c>
      <x:c r="C563" s="4" t="str">
        <x:v>M10 用户管理、审核、举报与巡房</x:v>
      </x:c>
      <x:c r="D563" s="4" t="str">
        <x:v>敏感词库-24（平台管理员视角）</x:v>
      </x:c>
      <x:c r="E563" s="4" t="str">
        <x:v>功能需求</x:v>
      </x:c>
      <x:c r="F563" s="4" t="str">
        <x:v>P2</x:v>
      </x:c>
      <x:c r="G563" s="4" t="str">
        <x:v>验证替换内容回显</x:v>
      </x:c>
      <x:c r="H563" s="4" t="str">
        <x:v>替换内容回显</x:v>
      </x:c>
      <x:c r="I563" s="4" t="str">
        <x:v>1. 已登录平台管理员账号
2. 所选对象存在，已记录该对象的替换内容值</x:v>
      </x:c>
      <x:c r="J563" s="4" t="str">
        <x:v>1. 进入「敏感词库-24」页
2. 查看替换内容回显</x:v>
      </x:c>
      <x:c r="K563" s="4" t="str">
        <x:v>「替换内容」内容与所选对象的该项资料一致</x:v>
      </x:c>
      <x:c r="L563" s="4" t="str"/>
      <x:c r="M563" s="4" t="str">
        <x:v>未测</x:v>
      </x:c>
      <x:c r="N563" s="4" t="str"/>
      <x:c r="O563" s="4" t="str">
        <x:v>1. 来源：MainBasis/统一需求文档.md；A-admin-sensitive-words-005
2. 场景：SC-52f68b4e48c0d5</x:v>
      </x:c>
    </x:row>
    <x:row r="564" ht="54" customHeight="1">
      <x:c r="A564" s="4" t="n">
        <x:v>563</x:v>
      </x:c>
      <x:c r="B564" s="4" t="str">
        <x:v>ADMIN-0563</x:v>
      </x:c>
      <x:c r="C564" s="4" t="str">
        <x:v>M10 用户管理、审核、举报与巡房</x:v>
      </x:c>
      <x:c r="D564" s="4" t="str">
        <x:v>敏感词库-24（平台管理员视角）</x:v>
      </x:c>
      <x:c r="E564" s="4" t="str">
        <x:v>功能需求</x:v>
      </x:c>
      <x:c r="F564" s="4" t="str">
        <x:v>P2</x:v>
      </x:c>
      <x:c r="G564" s="4" t="str">
        <x:v>验证使用场景资料对应</x:v>
      </x:c>
      <x:c r="H564" s="4" t="str">
        <x:v>使用场景资料对应</x:v>
      </x:c>
      <x:c r="I564" s="4" t="str">
        <x:v>1. 已登录平台管理员账号
2. 已选中一条已存在记录，已记录其使用场景原始值</x:v>
      </x:c>
      <x:c r="J564" s="4" t="str">
        <x:v>1. 进入「敏感词库-24」页
2. 查看使用场景资料对应</x:v>
      </x:c>
      <x:c r="K564" s="4" t="str">
        <x:v>页面使用场景与所选记录一致：公屏、私信、昵称、动态，可多选</x:v>
      </x:c>
      <x:c r="L564" s="4" t="str"/>
      <x:c r="M564" s="4" t="str">
        <x:v>未测</x:v>
      </x:c>
      <x:c r="N564" s="4" t="str"/>
      <x:c r="O564" s="4" t="str">
        <x:v>1. 来源：MainBasis/统一需求文档.md；A-admin-sensitive-words-003
2. 场景：SC-2e7532bdff0a03</x:v>
      </x:c>
    </x:row>
    <x:row r="565" ht="54" customHeight="1">
      <x:c r="A565" s="4" t="n">
        <x:v>564</x:v>
      </x:c>
      <x:c r="B565" s="4" t="str">
        <x:v>ADMIN-0564</x:v>
      </x:c>
      <x:c r="C565" s="4" t="str">
        <x:v>M10 用户管理、审核、举报与巡房</x:v>
      </x:c>
      <x:c r="D565" s="4" t="str">
        <x:v>敏感词库-24（平台管理员视角）</x:v>
      </x:c>
      <x:c r="E565" s="4" t="str">
        <x:v>功能需求</x:v>
      </x:c>
      <x:c r="F565" s="4" t="str">
        <x:v>P2</x:v>
      </x:c>
      <x:c r="G565" s="4" t="str">
        <x:v>验证状态启用回显</x:v>
      </x:c>
      <x:c r="H565" s="4" t="str">
        <x:v>状态启用回显</x:v>
      </x:c>
      <x:c r="I565" s="4" t="str">
        <x:v>1. 已登录平台管理员账号
2. 所选记录状态为启用</x:v>
      </x:c>
      <x:c r="J565" s="4" t="str">
        <x:v>1. 进入「敏感词库-24」页
2. 查看状态启用回显</x:v>
      </x:c>
      <x:c r="K565" s="4" t="str">
        <x:v>状态显示启用</x:v>
      </x:c>
      <x:c r="L565" s="4" t="str"/>
      <x:c r="M565" s="4" t="str">
        <x:v>未测</x:v>
      </x:c>
      <x:c r="N565" s="4" t="str"/>
      <x:c r="O565" s="4" t="str">
        <x:v>1. 来源：MainBasis/统一需求文档.md；A-admin-sensitive-words-006
2. 场景：SC-8cc0a3e7abb15e</x:v>
      </x:c>
    </x:row>
    <x:row r="566" ht="54" customHeight="1">
      <x:c r="A566" s="4" t="n">
        <x:v>565</x:v>
      </x:c>
      <x:c r="B566" s="4" t="str">
        <x:v>ADMIN-0565</x:v>
      </x:c>
      <x:c r="C566" s="4" t="str">
        <x:v>M10 用户管理、审核、举报与巡房</x:v>
      </x:c>
      <x:c r="D566" s="4" t="str">
        <x:v>敏感词库-24（平台管理员视角）</x:v>
      </x:c>
      <x:c r="E566" s="4" t="str">
        <x:v>功能需求</x:v>
      </x:c>
      <x:c r="F566" s="4" t="str">
        <x:v>P2</x:v>
      </x:c>
      <x:c r="G566" s="4" t="str">
        <x:v>验证状态停用回显</x:v>
      </x:c>
      <x:c r="H566" s="4" t="str">
        <x:v>状态停用回显</x:v>
      </x:c>
      <x:c r="I566" s="4" t="str">
        <x:v>1. 已登录平台管理员账号
2. 所选记录状态为停用</x:v>
      </x:c>
      <x:c r="J566" s="4" t="str">
        <x:v>1. 进入「敏感词库-24」页
2. 查看状态停用回显</x:v>
      </x:c>
      <x:c r="K566" s="4" t="str">
        <x:v>状态显示停用</x:v>
      </x:c>
      <x:c r="L566" s="4" t="str"/>
      <x:c r="M566" s="4" t="str">
        <x:v>未测</x:v>
      </x:c>
      <x:c r="N566" s="4" t="str"/>
      <x:c r="O566" s="4" t="str">
        <x:v>1. 来源：MainBasis/统一需求文档.md；A-admin-sensitive-words-006
2. 场景：SC-f311b38301810e</x:v>
      </x:c>
    </x:row>
    <x:row r="567" ht="54" customHeight="1">
      <x:c r="A567" s="4" t="n">
        <x:v>566</x:v>
      </x:c>
      <x:c r="B567" s="4" t="str">
        <x:v>ADMIN-0566</x:v>
      </x:c>
      <x:c r="C567" s="4" t="str">
        <x:v>M10 用户管理、审核、举报与巡房</x:v>
      </x:c>
      <x:c r="D567" s="4" t="str">
        <x:v>敏感词库-24（平台管理员视角）</x:v>
      </x:c>
      <x:c r="E567" s="4" t="str">
        <x:v>功能需求</x:v>
      </x:c>
      <x:c r="F567" s="4" t="str">
        <x:v>P1</x:v>
      </x:c>
      <x:c r="G567" s="4" t="str">
        <x:v>验证删词保留历史命中</x:v>
      </x:c>
      <x:c r="H567" s="4" t="str">
        <x:v>删词保留历史命中</x:v>
      </x:c>
      <x:c r="I567" s="4" t="str">
        <x:v>1. 已登录平台管理员账号
2. 敏感词已有历史命中和处置，现已删除</x:v>
      </x:c>
      <x:c r="J567" s="4" t="str">
        <x:v>1. 进入「敏感词库-24」页
2. 查看删词保留历史命中</x:v>
      </x:c>
      <x:c r="K567" s="4" t="str">
        <x:v>历史命中及处置记录保留</x:v>
      </x:c>
      <x:c r="L567" s="4" t="str"/>
      <x:c r="M567" s="4" t="str">
        <x:v>未测</x:v>
      </x:c>
      <x:c r="N567" s="4" t="str"/>
      <x:c r="O567" s="4" t="str">
        <x:v>1. 来源：MainBasis/统一需求文档.md；A-admin-sensitive-words-007
2. 场景：SC-5f37e86ab0e6ba</x:v>
      </x:c>
    </x:row>
    <x:row r="568" ht="54" customHeight="1">
      <x:c r="A568" s="4" t="n">
        <x:v>567</x:v>
      </x:c>
      <x:c r="B568" s="4" t="str">
        <x:v>ADMIN-0567</x:v>
      </x:c>
      <x:c r="C568" s="4" t="str">
        <x:v>M10 用户管理、审核、举报与巡房</x:v>
      </x:c>
      <x:c r="D568" s="4" t="str">
        <x:v>敏感词编辑（平台管理员视角）</x:v>
      </x:c>
      <x:c r="E568" s="4" t="str">
        <x:v>功能需求</x:v>
      </x:c>
      <x:c r="F568" s="4" t="str">
        <x:v>P2</x:v>
      </x:c>
      <x:c r="G568" s="4" t="str">
        <x:v>验证匹配规则回显</x:v>
      </x:c>
      <x:c r="H568" s="4" t="str">
        <x:v>匹配规则回显</x:v>
      </x:c>
      <x:c r="I568" s="4" t="str">
        <x:v>1. 已登录平台管理员账号
2. 所选对象存在，已记录该对象的匹配规则值</x:v>
      </x:c>
      <x:c r="J568" s="4" t="str">
        <x:v>1. 进入「敏感词编辑」页
2. 查看匹配规则回显</x:v>
      </x:c>
      <x:c r="K568" s="4" t="str">
        <x:v>「匹配规则」内容与所选对象的该项资料一致</x:v>
      </x:c>
      <x:c r="L568" s="4" t="str"/>
      <x:c r="M568" s="4" t="str">
        <x:v>未测</x:v>
      </x:c>
      <x:c r="N568" s="4" t="str"/>
      <x:c r="O568" s="4" t="str">
        <x:v>1. 来源：MainBasis/统一需求文档.md；A-admin-sensitive-words-detail-004
2. 场景：SC-ffe2da83dc00be</x:v>
      </x:c>
    </x:row>
    <x:row r="569" ht="68" customHeight="1">
      <x:c r="A569" s="4" t="n">
        <x:v>568</x:v>
      </x:c>
      <x:c r="B569" s="4" t="str">
        <x:v>ADMIN-0568</x:v>
      </x:c>
      <x:c r="C569" s="4" t="str">
        <x:v>M10 用户管理、审核、举报与巡房</x:v>
      </x:c>
      <x:c r="D569" s="4" t="str">
        <x:v>敏感词编辑（平台管理员视角）</x:v>
      </x:c>
      <x:c r="E569" s="4" t="str">
        <x:v>异常用例</x:v>
      </x:c>
      <x:c r="F569" s="4" t="str">
        <x:v>P1</x:v>
      </x:c>
      <x:c r="G569" s="4" t="str">
        <x:v>验证敏感词缺失限制</x:v>
      </x:c>
      <x:c r="H569" s="4" t="str">
        <x:v>敏感词缺失限制</x:v>
      </x:c>
      <x:c r="I569" s="4" t="str">
        <x:v>1. 已登录平台管理员账号
2. 其他必填字段为合法值</x:v>
      </x:c>
      <x:c r="J569" s="4" t="str">
        <x:v>1. 进入「敏感词编辑」页
2. 清空「敏感词」
3. 点击「保存」</x:v>
      </x:c>
      <x:c r="K569" s="4" t="str">
        <x:v>敏感词未填写，无法保存</x:v>
      </x:c>
      <x:c r="L569" s="4" t="str"/>
      <x:c r="M569" s="4" t="str">
        <x:v>未测</x:v>
      </x:c>
      <x:c r="N569" s="4" t="str"/>
      <x:c r="O569" s="4" t="str">
        <x:v>1. 来源：MainBasis/统一需求文档.md；A-admin-sensitive-words-detail-003、A-admin-sensitive-words-detail-008
2. 场景：SC-a94fb547a146ee</x:v>
      </x:c>
    </x:row>
    <x:row r="570" ht="68" customHeight="1">
      <x:c r="A570" s="4" t="n">
        <x:v>569</x:v>
      </x:c>
      <x:c r="B570" s="4" t="str">
        <x:v>ADMIN-0569</x:v>
      </x:c>
      <x:c r="C570" s="4" t="str">
        <x:v>M10 用户管理、审核、举报与巡房</x:v>
      </x:c>
      <x:c r="D570" s="4" t="str">
        <x:v>敏感词编辑（平台管理员视角）</x:v>
      </x:c>
      <x:c r="E570" s="4" t="str">
        <x:v>异常用例</x:v>
      </x:c>
      <x:c r="F570" s="4" t="str">
        <x:v>P1</x:v>
      </x:c>
      <x:c r="G570" s="4" t="str">
        <x:v>验证分类缺失限制</x:v>
      </x:c>
      <x:c r="H570" s="4" t="str">
        <x:v>分类缺失限制</x:v>
      </x:c>
      <x:c r="I570" s="4" t="str">
        <x:v>1. 已登录平台管理员账号
2. 其他必填字段为合法值</x:v>
      </x:c>
      <x:c r="J570" s="4" t="str">
        <x:v>1. 进入「敏感词编辑」页
2. 清空「分类」
3. 点击「保存」</x:v>
      </x:c>
      <x:c r="K570" s="4" t="str">
        <x:v>分类未填写，无法保存</x:v>
      </x:c>
      <x:c r="L570" s="4" t="str"/>
      <x:c r="M570" s="4" t="str">
        <x:v>未测</x:v>
      </x:c>
      <x:c r="N570" s="4" t="str"/>
      <x:c r="O570" s="4" t="str">
        <x:v>1. 来源：MainBasis/统一需求文档.md；A-admin-sensitive-words-detail-003、A-admin-sensitive-words-detail-008
2. 场景：SC-74df9a5f09d11d</x:v>
      </x:c>
    </x:row>
    <x:row r="571" ht="54" customHeight="1">
      <x:c r="A571" s="4" t="n">
        <x:v>570</x:v>
      </x:c>
      <x:c r="B571" s="4" t="str">
        <x:v>ADMIN-0570</x:v>
      </x:c>
      <x:c r="C571" s="4" t="str">
        <x:v>M10 用户管理、审核、举报与巡房</x:v>
      </x:c>
      <x:c r="D571" s="4" t="str">
        <x:v>敏感词编辑（平台管理员视角）</x:v>
      </x:c>
      <x:c r="E571" s="4" t="str">
        <x:v>异常用例</x:v>
      </x:c>
      <x:c r="F571" s="4" t="str">
        <x:v>P1</x:v>
      </x:c>
      <x:c r="G571" s="4" t="str">
        <x:v>验证替换内容缺失限制</x:v>
      </x:c>
      <x:c r="H571" s="4" t="str">
        <x:v>替换内容缺失限制</x:v>
      </x:c>
      <x:c r="I571" s="4" t="str">
        <x:v>1. 已登录平台管理员账号
2. 其他必填字段为合法值</x:v>
      </x:c>
      <x:c r="J571" s="4" t="str">
        <x:v>1. 进入「敏感词编辑」页
2. 清空「替换内容」
3. 点击「保存」</x:v>
      </x:c>
      <x:c r="K571" s="4" t="str">
        <x:v>替换内容未填写，无法保存</x:v>
      </x:c>
      <x:c r="L571" s="4" t="str"/>
      <x:c r="M571" s="4" t="str">
        <x:v>未测</x:v>
      </x:c>
      <x:c r="N571" s="4" t="str"/>
      <x:c r="O571" s="4" t="str">
        <x:v>1. 来源：MainBasis/统一需求文档.md；A-admin-sensitive-words-detail-006
2. 场景：SC-df05f6ed19f4a4</x:v>
      </x:c>
    </x:row>
    <x:row r="572" ht="54" customHeight="1">
      <x:c r="A572" s="4" t="n">
        <x:v>571</x:v>
      </x:c>
      <x:c r="B572" s="4" t="str">
        <x:v>ADMIN-0571</x:v>
      </x:c>
      <x:c r="C572" s="4" t="str">
        <x:v>M10 用户管理、审核、举报与巡房</x:v>
      </x:c>
      <x:c r="D572" s="4" t="str">
        <x:v>敏感词编辑（平台管理员视角）</x:v>
      </x:c>
      <x:c r="E572" s="4" t="str">
        <x:v>功能需求</x:v>
      </x:c>
      <x:c r="F572" s="4" t="str">
        <x:v>P1</x:v>
      </x:c>
      <x:c r="G572" s="4" t="str">
        <x:v>验证敏感词无使用场景</x:v>
      </x:c>
      <x:c r="H572" s="4" t="str">
        <x:v>敏感词无使用场景</x:v>
      </x:c>
      <x:c r="I572" s="4" t="str">
        <x:v>1. 已登录平台管理员账号
2. 其他字段合法</x:v>
      </x:c>
      <x:c r="J572" s="4" t="str">
        <x:v>1. 进入「敏感词编辑」页
2. 取消全部使用场景
3. 保存</x:v>
      </x:c>
      <x:c r="K572" s="4" t="str">
        <x:v>至少一个场景校验失败</x:v>
      </x:c>
      <x:c r="L572" s="4" t="str"/>
      <x:c r="M572" s="4" t="str">
        <x:v>未测</x:v>
      </x:c>
      <x:c r="N572" s="4" t="str"/>
      <x:c r="O572" s="4" t="str">
        <x:v>1. 来源：MainBasis/统一需求文档.md；A-admin-sensitive-words-detail-005
2. 场景：SC-bb3f32cacb18f5</x:v>
      </x:c>
    </x:row>
    <x:row r="573" ht="68" customHeight="1">
      <x:c r="A573" s="4" t="n">
        <x:v>572</x:v>
      </x:c>
      <x:c r="B573" s="4" t="str">
        <x:v>ADMIN-0572</x:v>
      </x:c>
      <x:c r="C573" s="4" t="str">
        <x:v>M10 用户管理、审核、举报与巡房</x:v>
      </x:c>
      <x:c r="D573" s="4" t="str">
        <x:v>敏感词编辑（平台管理员视角）</x:v>
      </x:c>
      <x:c r="E573" s="4" t="str">
        <x:v>功能需求</x:v>
      </x:c>
      <x:c r="F573" s="4" t="str">
        <x:v>P1</x:v>
      </x:c>
      <x:c r="G573" s="4" t="str">
        <x:v>验证同匹配规则重复词</x:v>
      </x:c>
      <x:c r="H573" s="4" t="str">
        <x:v>同匹配规则重复词</x:v>
      </x:c>
      <x:c r="I573" s="4" t="str">
        <x:v>1. 已登录平台管理员账号
2. 已有包含匹配词“广告”</x:v>
      </x:c>
      <x:c r="J573" s="4" t="str">
        <x:v>1. 进入「敏感词编辑」页
2. 新增同为包含匹配的“广告”
3. 保存</x:v>
      </x:c>
      <x:c r="K573" s="4" t="str">
        <x:v>重复词不能保存</x:v>
      </x:c>
      <x:c r="L573" s="4" t="str"/>
      <x:c r="M573" s="4" t="str">
        <x:v>未测</x:v>
      </x:c>
      <x:c r="N573" s="4" t="str"/>
      <x:c r="O573" s="4" t="str">
        <x:v>1. 来源：MainBasis/统一需求文档.md；A-admin-sensitive-words-detail-003、A-admin-sensitive-words-detail-008
2. 场景：SC-bb0b4ff77bce4c</x:v>
      </x:c>
    </x:row>
    <x:row r="574" ht="54" customHeight="1">
      <x:c r="A574" s="4" t="n">
        <x:v>573</x:v>
      </x:c>
      <x:c r="B574" s="4" t="str">
        <x:v>ADMIN-0573</x:v>
      </x:c>
      <x:c r="C574" s="4" t="str">
        <x:v>M10 用户管理、审核、举报与巡房</x:v>
      </x:c>
      <x:c r="D574" s="4" t="str">
        <x:v>敏感词编辑（平台管理员视角）</x:v>
      </x:c>
      <x:c r="E574" s="4" t="str">
        <x:v>功能需求</x:v>
      </x:c>
      <x:c r="F574" s="4" t="str">
        <x:v>P1</x:v>
      </x:c>
      <x:c r="G574" s="4" t="str">
        <x:v>验证敏感词配置包含匹配</x:v>
      </x:c>
      <x:c r="H574" s="4" t="str">
        <x:v>敏感词配置包含匹配</x:v>
      </x:c>
      <x:c r="I574" s="4" t="str">
        <x:v>1. 已登录平台管理员账号
2. 词条、场景及替换内容合法</x:v>
      </x:c>
      <x:c r="J574" s="4" t="str">
        <x:v>1. 进入「敏感词编辑」页
2. 选择包含匹配
3. 保存</x:v>
      </x:c>
      <x:c r="K574" s="4" t="str">
        <x:v>规则保存为包含匹配</x:v>
      </x:c>
      <x:c r="L574" s="4" t="str"/>
      <x:c r="M574" s="4" t="str">
        <x:v>未测</x:v>
      </x:c>
      <x:c r="N574" s="4" t="str"/>
      <x:c r="O574" s="4" t="str">
        <x:v>1. 来源：MainBasis/统一需求文档.md；A-admin-sensitive-words-detail-004
2. 场景：SC-428303135a8271</x:v>
      </x:c>
    </x:row>
    <x:row r="575" ht="54" customHeight="1">
      <x:c r="A575" s="4" t="n">
        <x:v>574</x:v>
      </x:c>
      <x:c r="B575" s="4" t="str">
        <x:v>ADMIN-0574</x:v>
      </x:c>
      <x:c r="C575" s="4" t="str">
        <x:v>M10 用户管理、审核、举报与巡房</x:v>
      </x:c>
      <x:c r="D575" s="4" t="str">
        <x:v>敏感词编辑（平台管理员视角）</x:v>
      </x:c>
      <x:c r="E575" s="4" t="str">
        <x:v>功能需求</x:v>
      </x:c>
      <x:c r="F575" s="4" t="str">
        <x:v>P1</x:v>
      </x:c>
      <x:c r="G575" s="4" t="str">
        <x:v>验证敏感词配置精确匹配</x:v>
      </x:c>
      <x:c r="H575" s="4" t="str">
        <x:v>敏感词配置精确匹配</x:v>
      </x:c>
      <x:c r="I575" s="4" t="str">
        <x:v>1. 已登录平台管理员账号
2. 词条、场景及替换内容合法</x:v>
      </x:c>
      <x:c r="J575" s="4" t="str">
        <x:v>1. 进入「敏感词编辑」页
2. 选择精确匹配
3. 保存</x:v>
      </x:c>
      <x:c r="K575" s="4" t="str">
        <x:v>规则保存为精确匹配</x:v>
      </x:c>
      <x:c r="L575" s="4" t="str"/>
      <x:c r="M575" s="4" t="str">
        <x:v>未测</x:v>
      </x:c>
      <x:c r="N575" s="4" t="str"/>
      <x:c r="O575" s="4" t="str">
        <x:v>1. 来源：MainBasis/统一需求文档.md；A-admin-sensitive-words-detail-004
2. 场景：SC-08a85458bfad35</x:v>
      </x:c>
    </x:row>
    <x:row r="576" ht="54" customHeight="1">
      <x:c r="A576" s="4" t="n">
        <x:v>575</x:v>
      </x:c>
      <x:c r="B576" s="4" t="str">
        <x:v>ADMIN-0575</x:v>
      </x:c>
      <x:c r="C576" s="4" t="str">
        <x:v>M10 用户管理、审核、举报与巡房</x:v>
      </x:c>
      <x:c r="D576" s="4" t="str">
        <x:v>敏感词编辑（平台管理员视角）</x:v>
      </x:c>
      <x:c r="E576" s="4" t="str">
        <x:v>功能需求</x:v>
      </x:c>
      <x:c r="F576" s="4" t="str">
        <x:v>P2</x:v>
      </x:c>
      <x:c r="G576" s="4" t="str">
        <x:v>验证词条 ID标识不可编辑</x:v>
      </x:c>
      <x:c r="H576" s="4" t="str">
        <x:v>词条 ID标识不可编辑</x:v>
      </x:c>
      <x:c r="I576" s="4" t="str">
        <x:v>1. 已登录平台管理员账号
2. 目标记录已创建</x:v>
      </x:c>
      <x:c r="J576" s="4" t="str">
        <x:v>1. 进入「敏感词编辑」页
2. 查看词条 ID标识不可编辑</x:v>
      </x:c>
      <x:c r="K576" s="4" t="str">
        <x:v>已生成的词条 ID可查看但不可编辑</x:v>
      </x:c>
      <x:c r="L576" s="4" t="str"/>
      <x:c r="M576" s="4" t="str">
        <x:v>未测</x:v>
      </x:c>
      <x:c r="N576" s="4" t="str"/>
      <x:c r="O576" s="4" t="str">
        <x:v>1. 来源：MainBasis/统一需求文档.md；A-admin-sensitive-words-detail-002
2. 场景：SC-f988cf1aeb371b</x:v>
      </x:c>
    </x:row>
    <x:row r="577" ht="54" customHeight="1">
      <x:c r="A577" s="4" t="n">
        <x:v>576</x:v>
      </x:c>
      <x:c r="B577" s="4" t="str">
        <x:v>ADMIN-0576</x:v>
      </x:c>
      <x:c r="C577" s="4" t="str">
        <x:v>M10 用户管理、审核、举报与巡房</x:v>
      </x:c>
      <x:c r="D577" s="4" t="str">
        <x:v>敏感词编辑（平台管理员视角）</x:v>
      </x:c>
      <x:c r="E577" s="4" t="str">
        <x:v>功能需求</x:v>
      </x:c>
      <x:c r="F577" s="4" t="str">
        <x:v>P2</x:v>
      </x:c>
      <x:c r="G577" s="4" t="str">
        <x:v>验证启用状态启用后用于新内容检测回显</x:v>
      </x:c>
      <x:c r="H577" s="4" t="str">
        <x:v>启用状态启用后用于新内容检测回显</x:v>
      </x:c>
      <x:c r="I577" s="4" t="str">
        <x:v>1. 已登录平台管理员账号
2. 所选记录启用状态为启用后用于新内容检测</x:v>
      </x:c>
      <x:c r="J577" s="4" t="str">
        <x:v>1. 进入「敏感词编辑」页
2. 查看启用状态启用后用于新内容检测回显</x:v>
      </x:c>
      <x:c r="K577" s="4" t="str">
        <x:v>启用状态显示启用后用于新内容检测</x:v>
      </x:c>
      <x:c r="L577" s="4" t="str"/>
      <x:c r="M577" s="4" t="str">
        <x:v>未测</x:v>
      </x:c>
      <x:c r="N577" s="4" t="str"/>
      <x:c r="O577" s="4" t="str">
        <x:v>1. 来源：MainBasis/统一需求文档.md；A-admin-sensitive-words-detail-007
2. 场景：SC-fc879603429b18</x:v>
      </x:c>
    </x:row>
    <x:row r="578" ht="68" customHeight="1">
      <x:c r="A578" s="4" t="n">
        <x:v>577</x:v>
      </x:c>
      <x:c r="B578" s="4" t="str">
        <x:v>ADMIN-0577</x:v>
      </x:c>
      <x:c r="C578" s="4" t="str">
        <x:v>M11 财务、退款、结算上传与账户调整</x:v>
      </x:c>
      <x:c r="D578" s="4" t="str">
        <x:v>主播分成记录-28（平台管理员视角）</x:v>
      </x:c>
      <x:c r="E578" s="4" t="str">
        <x:v>功能需求</x:v>
      </x:c>
      <x:c r="F578" s="4" t="str">
        <x:v>P2</x:v>
      </x:c>
      <x:c r="G578" s="4" t="str">
        <x:v>验证主播人数回显</x:v>
      </x:c>
      <x:c r="H578" s="4" t="str">
        <x:v>主播人数回显</x:v>
      </x:c>
      <x:c r="I578" s="4" t="str">
        <x:v>1. 已登录平台管理员账号
2. 所选对象存在，已记录该对象的主播人数值</x:v>
      </x:c>
      <x:c r="J578" s="4" t="str">
        <x:v>1. 进入「主播分成记录-28」页
2. 查看主播人数回显</x:v>
      </x:c>
      <x:c r="K578" s="4" t="str">
        <x:v>「主播人数」内容与所选对象的该项资料一致</x:v>
      </x:c>
      <x:c r="L578" s="4" t="str"/>
      <x:c r="M578" s="4" t="str">
        <x:v>未测</x:v>
      </x:c>
      <x:c r="N578" s="4" t="str"/>
      <x:c r="O578" s="4" t="str">
        <x:v>1. 来源：MainBasis/统一需求文档.md；A-admin-settlement-record-003
2. 场景：SC-67f1f762951500</x:v>
      </x:c>
    </x:row>
    <x:row r="579" ht="68" customHeight="1">
      <x:c r="A579" s="4" t="n">
        <x:v>578</x:v>
      </x:c>
      <x:c r="B579" s="4" t="str">
        <x:v>ADMIN-0578</x:v>
      </x:c>
      <x:c r="C579" s="4" t="str">
        <x:v>M11 财务、退款、结算上传与账户调整</x:v>
      </x:c>
      <x:c r="D579" s="4" t="str">
        <x:v>主播分成记录-28（平台管理员视角）</x:v>
      </x:c>
      <x:c r="E579" s="4" t="str">
        <x:v>功能需求</x:v>
      </x:c>
      <x:c r="F579" s="4" t="str">
        <x:v>P2</x:v>
      </x:c>
      <x:c r="G579" s="4" t="str">
        <x:v>验证上传文件回显</x:v>
      </x:c>
      <x:c r="H579" s="4" t="str">
        <x:v>上传文件回显</x:v>
      </x:c>
      <x:c r="I579" s="4" t="str">
        <x:v>1. 已登录平台管理员账号
2. 所选对象存在，已记录该对象的上传文件值</x:v>
      </x:c>
      <x:c r="J579" s="4" t="str">
        <x:v>1. 进入「主播分成记录-28」页
2. 查看上传文件回显</x:v>
      </x:c>
      <x:c r="K579" s="4" t="str">
        <x:v>「上传文件」内容与所选对象的该项资料一致</x:v>
      </x:c>
      <x:c r="L579" s="4" t="str"/>
      <x:c r="M579" s="4" t="str">
        <x:v>未测</x:v>
      </x:c>
      <x:c r="N579" s="4" t="str"/>
      <x:c r="O579" s="4" t="str">
        <x:v>1. 来源：MainBasis/统一需求文档.md；A-admin-settlement-record-005
2. 场景：SC-e033daaa84a15c</x:v>
      </x:c>
    </x:row>
    <x:row r="580" ht="68" customHeight="1">
      <x:c r="A580" s="4" t="n">
        <x:v>579</x:v>
      </x:c>
      <x:c r="B580" s="4" t="str">
        <x:v>ADMIN-0579</x:v>
      </x:c>
      <x:c r="C580" s="4" t="str">
        <x:v>M11 财务、退款、结算上传与账户调整</x:v>
      </x:c>
      <x:c r="D580" s="4" t="str">
        <x:v>主播分成记录-28（平台管理员视角）</x:v>
      </x:c>
      <x:c r="E580" s="4" t="str">
        <x:v>功能需求</x:v>
      </x:c>
      <x:c r="F580" s="4" t="str">
        <x:v>P2</x:v>
      </x:c>
      <x:c r="G580" s="4" t="str">
        <x:v>验证上传人、时间回显</x:v>
      </x:c>
      <x:c r="H580" s="4" t="str">
        <x:v>上传人、时间回显</x:v>
      </x:c>
      <x:c r="I580" s="4" t="str">
        <x:v>1. 已登录平台管理员账号
2. 所选对象存在，已记录该对象的上传人 / 时间值</x:v>
      </x:c>
      <x:c r="J580" s="4" t="str">
        <x:v>1. 进入「主播分成记录-28」页
2. 查看上传人、时间回显</x:v>
      </x:c>
      <x:c r="K580" s="4" t="str">
        <x:v>「上传人 / 时间」内容与所选对象的该项资料一致</x:v>
      </x:c>
      <x:c r="L580" s="4" t="str"/>
      <x:c r="M580" s="4" t="str">
        <x:v>未测</x:v>
      </x:c>
      <x:c r="N580" s="4" t="str"/>
      <x:c r="O580" s="4" t="str">
        <x:v>1. 来源：MainBasis/统一需求文档.md；A-admin-settlement-record-006
2. 场景：SC-b4ac8588652755</x:v>
      </x:c>
    </x:row>
    <x:row r="581" ht="68" customHeight="1">
      <x:c r="A581" s="4" t="n">
        <x:v>580</x:v>
      </x:c>
      <x:c r="B581" s="4" t="str">
        <x:v>ADMIN-0580</x:v>
      </x:c>
      <x:c r="C581" s="4" t="str">
        <x:v>M11 财务、退款、结算上传与账户调整</x:v>
      </x:c>
      <x:c r="D581" s="4" t="str">
        <x:v>主播分成记录-28（平台管理员视角）</x:v>
      </x:c>
      <x:c r="E581" s="4" t="str">
        <x:v>异常用例</x:v>
      </x:c>
      <x:c r="F581" s="4" t="str">
        <x:v>P1</x:v>
      </x:c>
      <x:c r="G581" s="4" t="str">
        <x:v>验证分成备注0字符限制</x:v>
      </x:c>
      <x:c r="H581" s="4" t="str">
        <x:v>分成备注0字符限制</x:v>
      </x:c>
      <x:c r="I581" s="4" t="str">
        <x:v>1. 已登录平台管理员账号
2. 其他必填字段为合法值</x:v>
      </x:c>
      <x:c r="J581" s="4" t="str">
        <x:v>1. 进入「主播分成记录-28」页
2. 清空「分成备注」
3. 点击「确认导入」</x:v>
      </x:c>
      <x:c r="K581" s="4" t="str">
        <x:v>分成备注未通过校验，无法确认导入</x:v>
      </x:c>
      <x:c r="L581" s="4" t="str"/>
      <x:c r="M581" s="4" t="str">
        <x:v>未测</x:v>
      </x:c>
      <x:c r="N581" s="4" t="str"/>
      <x:c r="O581" s="4" t="str">
        <x:v>1. 来源：MainBasis/统一需求文档.md；A-admin-settlement-record-002
2. 场景：SC-17ac867a1f274b</x:v>
      </x:c>
    </x:row>
    <x:row r="582" ht="68" customHeight="1">
      <x:c r="A582" s="4" t="n">
        <x:v>581</x:v>
      </x:c>
      <x:c r="B582" s="4" t="str">
        <x:v>ADMIN-0581</x:v>
      </x:c>
      <x:c r="C582" s="4" t="str">
        <x:v>M11 财务、退款、结算上传与账户调整</x:v>
      </x:c>
      <x:c r="D582" s="4" t="str">
        <x:v>主播分成记录-28（平台管理员视角）</x:v>
      </x:c>
      <x:c r="E582" s="4" t="str">
        <x:v>逻辑校验</x:v>
      </x:c>
      <x:c r="F582" s="4" t="str">
        <x:v>P1</x:v>
      </x:c>
      <x:c r="G582" s="4" t="str">
        <x:v>验证分成备注1字符可填写</x:v>
      </x:c>
      <x:c r="H582" s="4" t="str">
        <x:v>分成备注1字符可填写</x:v>
      </x:c>
      <x:c r="I582" s="4" t="str">
        <x:v>1. 已登录平台管理员账号
2. 其他必填字段为合法值</x:v>
      </x:c>
      <x:c r="J582" s="4" t="str">
        <x:v>1. 进入「主播分成记录-28」页
2. 在「分成备注」输入1个「测」字符
3. 点击「确认导入」</x:v>
      </x:c>
      <x:c r="K582" s="4" t="str">
        <x:v>「分成备注」保留1个字符</x:v>
      </x:c>
      <x:c r="L582" s="4" t="str"/>
      <x:c r="M582" s="4" t="str">
        <x:v>未测</x:v>
      </x:c>
      <x:c r="N582" s="4" t="str"/>
      <x:c r="O582" s="4" t="str">
        <x:v>1. 来源：MainBasis/统一需求文档.md；A-admin-settlement-record-002
2. 场景：SC-7537ac6e129520</x:v>
      </x:c>
    </x:row>
    <x:row r="583" ht="68" customHeight="1">
      <x:c r="A583" s="4" t="n">
        <x:v>582</x:v>
      </x:c>
      <x:c r="B583" s="4" t="str">
        <x:v>ADMIN-0582</x:v>
      </x:c>
      <x:c r="C583" s="4" t="str">
        <x:v>M11 财务、退款、结算上传与账户调整</x:v>
      </x:c>
      <x:c r="D583" s="4" t="str">
        <x:v>主播分成记录-28（平台管理员视角）</x:v>
      </x:c>
      <x:c r="E583" s="4" t="str">
        <x:v>逻辑校验</x:v>
      </x:c>
      <x:c r="F583" s="4" t="str">
        <x:v>P1</x:v>
      </x:c>
      <x:c r="G583" s="4" t="str">
        <x:v>验证分成备注99字符可填写</x:v>
      </x:c>
      <x:c r="H583" s="4" t="str">
        <x:v>分成备注99字符可填写</x:v>
      </x:c>
      <x:c r="I583" s="4" t="str">
        <x:v>1. 已登录平台管理员账号
2. 其他必填字段为合法值</x:v>
      </x:c>
      <x:c r="J583" s="4" t="str">
        <x:v>1. 进入「主播分成记录-28」页
2. 在「分成备注」输入99个「测」字符
3. 点击「确认导入」</x:v>
      </x:c>
      <x:c r="K583" s="4" t="str">
        <x:v>「分成备注」保留99个字符</x:v>
      </x:c>
      <x:c r="L583" s="4" t="str"/>
      <x:c r="M583" s="4" t="str">
        <x:v>未测</x:v>
      </x:c>
      <x:c r="N583" s="4" t="str"/>
      <x:c r="O583" s="4" t="str">
        <x:v>1. 来源：MainBasis/统一需求文档.md；A-admin-settlement-record-002
2. 场景：SC-0e302eaee25781</x:v>
      </x:c>
    </x:row>
    <x:row r="584" ht="68" customHeight="1">
      <x:c r="A584" s="4" t="n">
        <x:v>583</x:v>
      </x:c>
      <x:c r="B584" s="4" t="str">
        <x:v>ADMIN-0583</x:v>
      </x:c>
      <x:c r="C584" s="4" t="str">
        <x:v>M11 财务、退款、结算上传与账户调整</x:v>
      </x:c>
      <x:c r="D584" s="4" t="str">
        <x:v>主播分成记录-28（平台管理员视角）</x:v>
      </x:c>
      <x:c r="E584" s="4" t="str">
        <x:v>逻辑校验</x:v>
      </x:c>
      <x:c r="F584" s="4" t="str">
        <x:v>P1</x:v>
      </x:c>
      <x:c r="G584" s="4" t="str">
        <x:v>验证分成备注100字符可填写</x:v>
      </x:c>
      <x:c r="H584" s="4" t="str">
        <x:v>分成备注100字符可填写</x:v>
      </x:c>
      <x:c r="I584" s="4" t="str">
        <x:v>1. 已登录平台管理员账号
2. 其他必填字段为合法值</x:v>
      </x:c>
      <x:c r="J584" s="4" t="str">
        <x:v>1. 进入「主播分成记录-28」页
2. 在「分成备注」输入100个「测」字符
3. 点击「确认导入」</x:v>
      </x:c>
      <x:c r="K584" s="4" t="str">
        <x:v>「分成备注」保留100个字符</x:v>
      </x:c>
      <x:c r="L584" s="4" t="str"/>
      <x:c r="M584" s="4" t="str">
        <x:v>未测</x:v>
      </x:c>
      <x:c r="N584" s="4" t="str"/>
      <x:c r="O584" s="4" t="str">
        <x:v>1. 来源：MainBasis/统一需求文档.md；A-admin-settlement-record-002
2. 场景：SC-dd361563102794</x:v>
      </x:c>
    </x:row>
    <x:row r="585" ht="68" customHeight="1">
      <x:c r="A585" s="4" t="n">
        <x:v>584</x:v>
      </x:c>
      <x:c r="B585" s="4" t="str">
        <x:v>ADMIN-0584</x:v>
      </x:c>
      <x:c r="C585" s="4" t="str">
        <x:v>M11 财务、退款、结算上传与账户调整</x:v>
      </x:c>
      <x:c r="D585" s="4" t="str">
        <x:v>主播分成记录-28（平台管理员视角）</x:v>
      </x:c>
      <x:c r="E585" s="4" t="str">
        <x:v>异常用例</x:v>
      </x:c>
      <x:c r="F585" s="4" t="str">
        <x:v>P1</x:v>
      </x:c>
      <x:c r="G585" s="4" t="str">
        <x:v>验证分成备注101字符限制</x:v>
      </x:c>
      <x:c r="H585" s="4" t="str">
        <x:v>分成备注101字符限制</x:v>
      </x:c>
      <x:c r="I585" s="4" t="str">
        <x:v>1. 已登录平台管理员账号
2. 其他必填字段为合法值</x:v>
      </x:c>
      <x:c r="J585" s="4" t="str">
        <x:v>1. 进入「主播分成记录-28」页
2. 在「分成备注」输入101个「测」字符
3. 点击「确认导入」</x:v>
      </x:c>
      <x:c r="K585" s="4" t="str">
        <x:v>分成备注未通过校验，无法确认导入</x:v>
      </x:c>
      <x:c r="L585" s="4" t="str"/>
      <x:c r="M585" s="4" t="str">
        <x:v>未测</x:v>
      </x:c>
      <x:c r="N585" s="4" t="str"/>
      <x:c r="O585" s="4" t="str">
        <x:v>1. 来源：MainBasis/统一需求文档.md；A-admin-settlement-record-002
2. 场景：SC-12d7ea210069c9</x:v>
      </x:c>
    </x:row>
    <x:row r="586" ht="68" customHeight="1">
      <x:c r="A586" s="4" t="n">
        <x:v>585</x:v>
      </x:c>
      <x:c r="B586" s="4" t="str">
        <x:v>ADMIN-0585</x:v>
      </x:c>
      <x:c r="C586" s="4" t="str">
        <x:v>M11 财务、退款、结算上传与账户调整</x:v>
      </x:c>
      <x:c r="D586" s="4" t="str">
        <x:v>主播分成记录-28（平台管理员视角）</x:v>
      </x:c>
      <x:c r="E586" s="4" t="str">
        <x:v>功能需求</x:v>
      </x:c>
      <x:c r="F586" s="4" t="str">
        <x:v>P1</x:v>
      </x:c>
      <x:c r="G586" s="4" t="str">
        <x:v>验证已导入分成锁定</x:v>
      </x:c>
      <x:c r="H586" s="4" t="str">
        <x:v>已导入分成锁定</x:v>
      </x:c>
      <x:c r="I586" s="4" t="str">
        <x:v>1. 已登录平台管理员账号
2. 当前批次已成功导入</x:v>
      </x:c>
      <x:c r="J586" s="4" t="str">
        <x:v>1. 进入「主播分成记录-28」页
2. 查看已导入分成锁定</x:v>
      </x:c>
      <x:c r="K586" s="4" t="str">
        <x:v>批次不可编辑或删除</x:v>
      </x:c>
      <x:c r="L586" s="4" t="str"/>
      <x:c r="M586" s="4" t="str">
        <x:v>未测</x:v>
      </x:c>
      <x:c r="N586" s="4" t="str"/>
      <x:c r="O586" s="4" t="str">
        <x:v>1. 来源：MainBasis/统一需求文档.md；A-admin-settlement-record-008、A-admin-settlement-record-detail-006
2. 场景：SC-c8603012799b86</x:v>
      </x:c>
    </x:row>
    <x:row r="587" ht="68" customHeight="1">
      <x:c r="A587" s="4" t="n">
        <x:v>586</x:v>
      </x:c>
      <x:c r="B587" s="4" t="str">
        <x:v>ADMIN-0586</x:v>
      </x:c>
      <x:c r="C587" s="4" t="str">
        <x:v>M11 财务、退款、结算上传与账户调整</x:v>
      </x:c>
      <x:c r="D587" s="4" t="str">
        <x:v>主播分成记录-28（平台管理员视角）</x:v>
      </x:c>
      <x:c r="E587" s="4" t="str">
        <x:v>功能需求</x:v>
      </x:c>
      <x:c r="F587" s="4" t="str">
        <x:v>P1</x:v>
      </x:c>
      <x:c r="G587" s="4" t="str">
        <x:v>验证分成上传拒绝非表格</x:v>
      </x:c>
      <x:c r="H587" s="4" t="str">
        <x:v>分成上传拒绝非表格</x:v>
      </x:c>
      <x:c r="I587" s="4" t="str">
        <x:v>1. 已登录平台管理员账号
2. 已填写分成备注</x:v>
      </x:c>
      <x:c r="J587" s="4" t="str">
        <x:v>1. 进入「主播分成记录-28」页
2. 选择一个PNG文件上传</x:v>
      </x:c>
      <x:c r="K587" s="4" t="str">
        <x:v>不接受该非XLSX/XLS/CSV文件</x:v>
      </x:c>
      <x:c r="L587" s="4" t="str"/>
      <x:c r="M587" s="4" t="str">
        <x:v>未测</x:v>
      </x:c>
      <x:c r="N587" s="4" t="str"/>
      <x:c r="O587" s="4" t="str">
        <x:v>1. 来源：MainBasis/统一需求文档.md；A-admin-settlement-record-005
2. 场景：SC-ee560cfc7aa620</x:v>
      </x:c>
    </x:row>
    <x:row r="588" ht="68" customHeight="1">
      <x:c r="A588" s="4" t="n">
        <x:v>587</x:v>
      </x:c>
      <x:c r="B588" s="4" t="str">
        <x:v>ADMIN-0587</x:v>
      </x:c>
      <x:c r="C588" s="4" t="str">
        <x:v>M11 财务、退款、结算上传与账户调整</x:v>
      </x:c>
      <x:c r="D588" s="4" t="str">
        <x:v>主播分成记录详情（平台管理员视角）</x:v>
      </x:c>
      <x:c r="E588" s="4" t="str">
        <x:v>功能需求</x:v>
      </x:c>
      <x:c r="F588" s="4" t="str">
        <x:v>P2</x:v>
      </x:c>
      <x:c r="G588" s="4" t="str">
        <x:v>验证批次信息回显</x:v>
      </x:c>
      <x:c r="H588" s="4" t="str">
        <x:v>批次信息回显</x:v>
      </x:c>
      <x:c r="I588" s="4" t="str">
        <x:v>1. 已登录平台管理员账号
2. 所选对象存在，已记录该对象的批次信息值</x:v>
      </x:c>
      <x:c r="J588" s="4" t="str">
        <x:v>1. 进入「主播分成记录详情」页
2. 查看批次信息回显</x:v>
      </x:c>
      <x:c r="K588" s="4" t="str">
        <x:v>「批次信息」内容与所选对象的该项资料一致</x:v>
      </x:c>
      <x:c r="L588" s="4" t="str"/>
      <x:c r="M588" s="4" t="str">
        <x:v>未测</x:v>
      </x:c>
      <x:c r="N588" s="4" t="str"/>
      <x:c r="O588" s="4" t="str">
        <x:v>1. 来源：MainBasis/统一需求文档.md；A-admin-settlement-record-detail-002
2. 场景：SC-8586465387d430</x:v>
      </x:c>
    </x:row>
    <x:row r="589" ht="68" customHeight="1">
      <x:c r="A589" s="4" t="n">
        <x:v>588</x:v>
      </x:c>
      <x:c r="B589" s="4" t="str">
        <x:v>ADMIN-0588</x:v>
      </x:c>
      <x:c r="C589" s="4" t="str">
        <x:v>M11 财务、退款、结算上传与账户调整</x:v>
      </x:c>
      <x:c r="D589" s="4" t="str">
        <x:v>主播分成记录详情（平台管理员视角）</x:v>
      </x:c>
      <x:c r="E589" s="4" t="str">
        <x:v>功能需求</x:v>
      </x:c>
      <x:c r="F589" s="4" t="str">
        <x:v>P2</x:v>
      </x:c>
      <x:c r="G589" s="4" t="str">
        <x:v>验证主播人数回显</x:v>
      </x:c>
      <x:c r="H589" s="4" t="str">
        <x:v>主播人数回显</x:v>
      </x:c>
      <x:c r="I589" s="4" t="str">
        <x:v>1. 已登录平台管理员账号
2. 所选对象存在，已记录该对象的主播人数值</x:v>
      </x:c>
      <x:c r="J589" s="4" t="str">
        <x:v>1. 进入「主播分成记录详情」页
2. 查看主播人数回显</x:v>
      </x:c>
      <x:c r="K589" s="4" t="str">
        <x:v>「主播人数」内容与所选对象的该项资料一致</x:v>
      </x:c>
      <x:c r="L589" s="4" t="str"/>
      <x:c r="M589" s="4" t="str">
        <x:v>未测</x:v>
      </x:c>
      <x:c r="N589" s="4" t="str"/>
      <x:c r="O589" s="4" t="str">
        <x:v>1. 来源：MainBasis/统一需求文档.md；A-admin-settlement-record-detail-003
2. 场景：SC-07e6532f758140</x:v>
      </x:c>
    </x:row>
    <x:row r="590" ht="68" customHeight="1">
      <x:c r="A590" s="4" t="n">
        <x:v>589</x:v>
      </x:c>
      <x:c r="B590" s="4" t="str">
        <x:v>ADMIN-0589</x:v>
      </x:c>
      <x:c r="C590" s="4" t="str">
        <x:v>M11 财务、退款、结算上传与账户调整</x:v>
      </x:c>
      <x:c r="D590" s="4" t="str">
        <x:v>主播分成记录详情（平台管理员视角）</x:v>
      </x:c>
      <x:c r="E590" s="4" t="str">
        <x:v>逻辑校验</x:v>
      </x:c>
      <x:c r="F590" s="4" t="str">
        <x:v>P1</x:v>
      </x:c>
      <x:c r="G590" s="4" t="str">
        <x:v>验证分成批次明细总额</x:v>
      </x:c>
      <x:c r="H590" s="4" t="str">
        <x:v>分成批次明细总额</x:v>
      </x:c>
      <x:c r="I590" s="4" t="str">
        <x:v>1. 已登录平台管理员账号
2. 已成功导入两条不同对象明细，金额100和50</x:v>
      </x:c>
      <x:c r="J590" s="4" t="str">
        <x:v>1. 进入「主播分成记录详情」页
2. 查看分成批次明细总额</x:v>
      </x:c>
      <x:c r="K590" s="4" t="str">
        <x:v>明细总额 = 100 + 50 = 150，与批次总额一致</x:v>
      </x:c>
      <x:c r="L590" s="4" t="str"/>
      <x:c r="M590" s="4" t="str">
        <x:v>未测</x:v>
      </x:c>
      <x:c r="N590" s="4" t="str"/>
      <x:c r="O590" s="4" t="str">
        <x:v>1. 来源：MainBasis/统一需求文档.md；A-admin-settlement-record-detail-005、A-admin-settlement-record-004
2. 场景：SC-3681f2709f4afa</x:v>
      </x:c>
    </x:row>
    <x:row r="591" ht="68" customHeight="1">
      <x:c r="A591" s="4" t="n">
        <x:v>590</x:v>
      </x:c>
      <x:c r="B591" s="4" t="str">
        <x:v>ADMIN-0590</x:v>
      </x:c>
      <x:c r="C591" s="4" t="str">
        <x:v>M11 财务、退款、结算上传与账户调整</x:v>
      </x:c>
      <x:c r="D591" s="4" t="str">
        <x:v>主播分成记录详情（平台管理员视角）</x:v>
      </x:c>
      <x:c r="E591" s="4" t="str">
        <x:v>功能需求</x:v>
      </x:c>
      <x:c r="F591" s="4" t="str">
        <x:v>P1</x:v>
      </x:c>
      <x:c r="G591" s="4" t="str">
        <x:v>验证主播分成明细归属</x:v>
      </x:c>
      <x:c r="H591" s="4" t="str">
        <x:v>主播分成明细归属</x:v>
      </x:c>
      <x:c r="I591" s="4" t="str">
        <x:v>1. 已登录平台管理员账号
2. 所选结算记录有主播甲、所属公会乙、分成金额100</x:v>
      </x:c>
      <x:c r="J591" s="4" t="str">
        <x:v>1. 进入「主播分成记录详情」页
2. 查看主播分成明细归属</x:v>
      </x:c>
      <x:c r="K591" s="4" t="str">
        <x:v>主播明细显示甲、公会乙及金额100</x:v>
      </x:c>
      <x:c r="L591" s="4" t="str"/>
      <x:c r="M591" s="4" t="str">
        <x:v>未测</x:v>
      </x:c>
      <x:c r="N591" s="4" t="str"/>
      <x:c r="O591" s="4" t="str">
        <x:v>1. 来源：MainBasis/统一需求文档.md；A-admin-settlement-record-detail-004
2. 场景：SC-88f31758baaf82</x:v>
      </x:c>
    </x:row>
    <x:row r="592" ht="68" customHeight="1">
      <x:c r="A592" s="4" t="n">
        <x:v>591</x:v>
      </x:c>
      <x:c r="B592" s="4" t="str">
        <x:v>ADMIN-0591</x:v>
      </x:c>
      <x:c r="C592" s="4" t="str">
        <x:v>M11 财务、退款、结算上传与账户调整</x:v>
      </x:c>
      <x:c r="D592" s="4" t="str">
        <x:v>主播账户余额-29（平台管理员视角）</x:v>
      </x:c>
      <x:c r="E592" s="4" t="str">
        <x:v>逻辑校验</x:v>
      </x:c>
      <x:c r="F592" s="4" t="str">
        <x:v>P1</x:v>
      </x:c>
      <x:c r="G592" s="4" t="str">
        <x:v>验证主播结算余额计算</x:v>
      </x:c>
      <x:c r="H592" s="4" t="str">
        <x:v>主播结算余额计算</x:v>
      </x:c>
      <x:c r="I592" s="4" t="str">
        <x:v>1. 已登录平台管理员账号
2. 已上传分成100，正向修正20，负向修正30</x:v>
      </x:c>
      <x:c r="J592" s="4" t="str">
        <x:v>1. 进入「主播账户余额-29」页
2. 查看主播结算余额计算</x:v>
      </x:c>
      <x:c r="K592" s="4" t="str">
        <x:v>账户余额 = 100 + 20 - 30 = 90 USD</x:v>
      </x:c>
      <x:c r="L592" s="4" t="str"/>
      <x:c r="M592" s="4" t="str">
        <x:v>未测</x:v>
      </x:c>
      <x:c r="N592" s="4" t="str"/>
      <x:c r="O592" s="4" t="str">
        <x:v>1. 来源：MainBasis/统一需求文档.md；A-admin-host-account-balance-002
2. 场景：SC-efa0da8236175e</x:v>
      </x:c>
    </x:row>
    <x:row r="593" ht="68" customHeight="1">
      <x:c r="A593" s="4" t="n">
        <x:v>592</x:v>
      </x:c>
      <x:c r="B593" s="4" t="str">
        <x:v>ADMIN-0592</x:v>
      </x:c>
      <x:c r="C593" s="4" t="str">
        <x:v>M11 财务、退款、结算上传与账户调整</x:v>
      </x:c>
      <x:c r="D593" s="4" t="str">
        <x:v>主播账户余额-29（平台管理员视角）</x:v>
      </x:c>
      <x:c r="E593" s="4" t="str">
        <x:v>逻辑校验</x:v>
      </x:c>
      <x:c r="F593" s="4" t="str">
        <x:v>P1</x:v>
      </x:c>
      <x:c r="G593" s="4" t="str">
        <x:v>验证主播筛选余额汇总</x:v>
      </x:c>
      <x:c r="H593" s="4" t="str">
        <x:v>主播筛选余额汇总</x:v>
      </x:c>
      <x:c r="I593" s="4" t="str">
        <x:v>1. 已登录平台管理员账号
2. 当前筛选仅命中余额100和50的两个账户，范围外另有余额200</x:v>
      </x:c>
      <x:c r="J593" s="4" t="str">
        <x:v>1. 进入「主播账户余额-29」页
2. 查看主播筛选余额汇总</x:v>
      </x:c>
      <x:c r="K593" s="4" t="str">
        <x:v>汇总余额 = 100 + 50 = 150 USD</x:v>
      </x:c>
      <x:c r="L593" s="4" t="str"/>
      <x:c r="M593" s="4" t="str">
        <x:v>未测</x:v>
      </x:c>
      <x:c r="N593" s="4" t="str"/>
      <x:c r="O593" s="4" t="str">
        <x:v>1. 来源：MainBasis/统一需求文档.md；A-admin-host-account-balance-003
2. 场景：SC-abb2cd72ed13c4</x:v>
      </x:c>
    </x:row>
    <x:row r="594" ht="68" customHeight="1">
      <x:c r="A594" s="4" t="n">
        <x:v>593</x:v>
      </x:c>
      <x:c r="B594" s="4" t="str">
        <x:v>ADMIN-0593</x:v>
      </x:c>
      <x:c r="C594" s="4" t="str">
        <x:v>M11 财务、退款、结算上传与账户调整</x:v>
      </x:c>
      <x:c r="D594" s="4" t="str">
        <x:v>主播账户余额-29（平台管理员视角）</x:v>
      </x:c>
      <x:c r="E594" s="4" t="str">
        <x:v>功能需求</x:v>
      </x:c>
      <x:c r="F594" s="4" t="str">
        <x:v>P1</x:v>
      </x:c>
      <x:c r="G594" s="4" t="str">
        <x:v>验证主播余额下钻</x:v>
      </x:c>
      <x:c r="H594" s="4" t="str">
        <x:v>主播余额下钻</x:v>
      </x:c>
      <x:c r="I594" s="4" t="str">
        <x:v>1. 已登录平台管理员账号
2. 当前列表为主播甲</x:v>
      </x:c>
      <x:c r="J594" s="4" t="str">
        <x:v>1. 进入「主播账户余额-29」页
2. 点击甲余额</x:v>
      </x:c>
      <x:c r="K594" s="4" t="str">
        <x:v>进入甲余额变更流水</x:v>
      </x:c>
      <x:c r="L594" s="4" t="str"/>
      <x:c r="M594" s="4" t="str">
        <x:v>未测</x:v>
      </x:c>
      <x:c r="N594" s="4" t="str"/>
      <x:c r="O594" s="4" t="str">
        <x:v>1. 来源：MainBasis/统一需求文档.md；A-admin-host-account-balance-004
2. 场景：SC-6ca9cfeac520b3</x:v>
      </x:c>
    </x:row>
    <x:row r="595" ht="68" customHeight="1">
      <x:c r="A595" s="4" t="n">
        <x:v>594</x:v>
      </x:c>
      <x:c r="B595" s="4" t="str">
        <x:v>ADMIN-0594</x:v>
      </x:c>
      <x:c r="C595" s="4" t="str">
        <x:v>M11 财务、退款、结算上传与账户调整</x:v>
      </x:c>
      <x:c r="D595" s="4" t="str">
        <x:v>主播余额变更记录（平台管理员视角）</x:v>
      </x:c>
      <x:c r="E595" s="4" t="str">
        <x:v>功能需求</x:v>
      </x:c>
      <x:c r="F595" s="4" t="str">
        <x:v>P2</x:v>
      </x:c>
      <x:c r="G595" s="4" t="str">
        <x:v>验证操作信息回显</x:v>
      </x:c>
      <x:c r="H595" s="4" t="str">
        <x:v>操作信息回显</x:v>
      </x:c>
      <x:c r="I595" s="4" t="str">
        <x:v>1. 已登录平台管理员账号
2. 所选对象存在，已记录该对象的操作信息值</x:v>
      </x:c>
      <x:c r="J595" s="4" t="str">
        <x:v>1. 进入「主播余额变更记录」页
2. 查看操作信息回显</x:v>
      </x:c>
      <x:c r="K595" s="4" t="str">
        <x:v>「操作信息」内容与所选对象的该项资料一致</x:v>
      </x:c>
      <x:c r="L595" s="4" t="str"/>
      <x:c r="M595" s="4" t="str">
        <x:v>未测</x:v>
      </x:c>
      <x:c r="N595" s="4" t="str"/>
      <x:c r="O595" s="4" t="str">
        <x:v>1. 来源：MainBasis/统一需求文档.md；A-admin-host-balance-change-record-006
2. 场景：SC-43d1827be83bf8</x:v>
      </x:c>
    </x:row>
    <x:row r="596" ht="82" customHeight="1">
      <x:c r="A596" s="4" t="n">
        <x:v>595</x:v>
      </x:c>
      <x:c r="B596" s="4" t="str">
        <x:v>ADMIN-0595</x:v>
      </x:c>
      <x:c r="C596" s="4" t="str">
        <x:v>M11 财务、退款、结算上传与账户调整</x:v>
      </x:c>
      <x:c r="D596" s="4" t="str">
        <x:v>主播余额变更记录（平台管理员视角）</x:v>
      </x:c>
      <x:c r="E596" s="4" t="str">
        <x:v>逻辑校验</x:v>
      </x:c>
      <x:c r="F596" s="4" t="str">
        <x:v>P1</x:v>
      </x:c>
      <x:c r="G596" s="4" t="str">
        <x:v>验证主播余额修正-101</x:v>
      </x:c>
      <x:c r="H596" s="4" t="str">
        <x:v>主播余额修正-101</x:v>
      </x:c>
      <x:c r="I596" s="4" t="str">
        <x:v>1. 已登录平台管理员账号
2. 当前结算账户余额100，原因已填</x:v>
      </x:c>
      <x:c r="J596" s="4" t="str">
        <x:v>1. 进入「主播余额变更记录」页
2. 输入有符号金额-101
3. 确认变更</x:v>
      </x:c>
      <x:c r="K596" s="4" t="str">
        <x:v>不能生成该金额修正流水</x:v>
      </x:c>
      <x:c r="L596" s="4" t="str"/>
      <x:c r="M596" s="4" t="str">
        <x:v>未测</x:v>
      </x:c>
      <x:c r="N596" s="4" t="str"/>
      <x:c r="O596" s="4" t="str">
        <x:v>1. 来源：MainBasis/统一需求文档.md；A-admin-host-balance-change-record-003、A-admin-host-balance-change-record-004、A-admin-host-balance-change-record-007
2. 场景：SC-17dae35871cb3d</x:v>
      </x:c>
    </x:row>
    <x:row r="597" ht="82" customHeight="1">
      <x:c r="A597" s="4" t="n">
        <x:v>596</x:v>
      </x:c>
      <x:c r="B597" s="4" t="str">
        <x:v>ADMIN-0596</x:v>
      </x:c>
      <x:c r="C597" s="4" t="str">
        <x:v>M11 财务、退款、结算上传与账户调整</x:v>
      </x:c>
      <x:c r="D597" s="4" t="str">
        <x:v>主播余额变更记录（平台管理员视角）</x:v>
      </x:c>
      <x:c r="E597" s="4" t="str">
        <x:v>逻辑校验</x:v>
      </x:c>
      <x:c r="F597" s="4" t="str">
        <x:v>P1</x:v>
      </x:c>
      <x:c r="G597" s="4" t="str">
        <x:v>验证主播余额修正-100</x:v>
      </x:c>
      <x:c r="H597" s="4" t="str">
        <x:v>主播余额修正-100</x:v>
      </x:c>
      <x:c r="I597" s="4" t="str">
        <x:v>1. 已登录平台管理员账号
2. 当前结算账户余额100，原因已填</x:v>
      </x:c>
      <x:c r="J597" s="4" t="str">
        <x:v>1. 进入「主播余额变更记录」页
2. 输入有符号金额-100
3. 确认变更</x:v>
      </x:c>
      <x:c r="K597" s="4" t="str">
        <x:v>新余额 = 100 + (-100) = 0</x:v>
      </x:c>
      <x:c r="L597" s="4" t="str"/>
      <x:c r="M597" s="4" t="str">
        <x:v>未测</x:v>
      </x:c>
      <x:c r="N597" s="4" t="str"/>
      <x:c r="O597" s="4" t="str">
        <x:v>1. 来源：MainBasis/统一需求文档.md；A-admin-host-balance-change-record-003、A-admin-host-balance-change-record-004、A-admin-host-balance-change-record-007
2. 场景：SC-2b9b6857516dbc</x:v>
      </x:c>
    </x:row>
    <x:row r="598" ht="82" customHeight="1">
      <x:c r="A598" s="4" t="n">
        <x:v>597</x:v>
      </x:c>
      <x:c r="B598" s="4" t="str">
        <x:v>ADMIN-0597</x:v>
      </x:c>
      <x:c r="C598" s="4" t="str">
        <x:v>M11 财务、退款、结算上传与账户调整</x:v>
      </x:c>
      <x:c r="D598" s="4" t="str">
        <x:v>主播余额变更记录（平台管理员视角）</x:v>
      </x:c>
      <x:c r="E598" s="4" t="str">
        <x:v>逻辑校验</x:v>
      </x:c>
      <x:c r="F598" s="4" t="str">
        <x:v>P1</x:v>
      </x:c>
      <x:c r="G598" s="4" t="str">
        <x:v>验证主播余额修正-99</x:v>
      </x:c>
      <x:c r="H598" s="4" t="str">
        <x:v>主播余额修正-99</x:v>
      </x:c>
      <x:c r="I598" s="4" t="str">
        <x:v>1. 已登录平台管理员账号
2. 当前结算账户余额100，原因已填</x:v>
      </x:c>
      <x:c r="J598" s="4" t="str">
        <x:v>1. 进入「主播余额变更记录」页
2. 输入有符号金额-99
3. 确认变更</x:v>
      </x:c>
      <x:c r="K598" s="4" t="str">
        <x:v>新余额 = 100 + (-99) = 1</x:v>
      </x:c>
      <x:c r="L598" s="4" t="str"/>
      <x:c r="M598" s="4" t="str">
        <x:v>未测</x:v>
      </x:c>
      <x:c r="N598" s="4" t="str"/>
      <x:c r="O598" s="4" t="str">
        <x:v>1. 来源：MainBasis/统一需求文档.md；A-admin-host-balance-change-record-003、A-admin-host-balance-change-record-004、A-admin-host-balance-change-record-007
2. 场景：SC-8be617cacdcef8</x:v>
      </x:c>
    </x:row>
    <x:row r="599" ht="82" customHeight="1">
      <x:c r="A599" s="4" t="n">
        <x:v>598</x:v>
      </x:c>
      <x:c r="B599" s="4" t="str">
        <x:v>ADMIN-0598</x:v>
      </x:c>
      <x:c r="C599" s="4" t="str">
        <x:v>M11 财务、退款、结算上传与账户调整</x:v>
      </x:c>
      <x:c r="D599" s="4" t="str">
        <x:v>主播余额变更记录（平台管理员视角）</x:v>
      </x:c>
      <x:c r="E599" s="4" t="str">
        <x:v>逻辑校验</x:v>
      </x:c>
      <x:c r="F599" s="4" t="str">
        <x:v>P1</x:v>
      </x:c>
      <x:c r="G599" s="4" t="str">
        <x:v>验证主播余额修正0</x:v>
      </x:c>
      <x:c r="H599" s="4" t="str">
        <x:v>主播余额修正0</x:v>
      </x:c>
      <x:c r="I599" s="4" t="str">
        <x:v>1. 已登录平台管理员账号
2. 当前结算账户余额100，原因已填</x:v>
      </x:c>
      <x:c r="J599" s="4" t="str">
        <x:v>1. 进入「主播余额变更记录」页
2. 输入有符号金额0
3. 确认变更</x:v>
      </x:c>
      <x:c r="K599" s="4" t="str">
        <x:v>不能生成该金额修正流水</x:v>
      </x:c>
      <x:c r="L599" s="4" t="str"/>
      <x:c r="M599" s="4" t="str">
        <x:v>未测</x:v>
      </x:c>
      <x:c r="N599" s="4" t="str"/>
      <x:c r="O599" s="4" t="str">
        <x:v>1. 来源：MainBasis/统一需求文档.md；A-admin-host-balance-change-record-003、A-admin-host-balance-change-record-004、A-admin-host-balance-change-record-007
2. 场景：SC-545e1832e65ec3</x:v>
      </x:c>
    </x:row>
    <x:row r="600" ht="82" customHeight="1">
      <x:c r="A600" s="4" t="n">
        <x:v>599</x:v>
      </x:c>
      <x:c r="B600" s="4" t="str">
        <x:v>ADMIN-0599</x:v>
      </x:c>
      <x:c r="C600" s="4" t="str">
        <x:v>M11 财务、退款、结算上传与账户调整</x:v>
      </x:c>
      <x:c r="D600" s="4" t="str">
        <x:v>主播余额变更记录（平台管理员视角）</x:v>
      </x:c>
      <x:c r="E600" s="4" t="str">
        <x:v>逻辑校验</x:v>
      </x:c>
      <x:c r="F600" s="4" t="str">
        <x:v>P1</x:v>
      </x:c>
      <x:c r="G600" s="4" t="str">
        <x:v>验证主播余额修正0.01</x:v>
      </x:c>
      <x:c r="H600" s="4" t="str">
        <x:v>主播余额修正0.01</x:v>
      </x:c>
      <x:c r="I600" s="4" t="str">
        <x:v>1. 已登录平台管理员账号
2. 当前结算账户余额100，原因已填</x:v>
      </x:c>
      <x:c r="J600" s="4" t="str">
        <x:v>1. 进入「主播余额变更记录」页
2. 输入有符号金额0.01
3. 确认变更</x:v>
      </x:c>
      <x:c r="K600" s="4" t="str">
        <x:v>新余额 = 100 + (0.01) = 100.01</x:v>
      </x:c>
      <x:c r="L600" s="4" t="str"/>
      <x:c r="M600" s="4" t="str">
        <x:v>未测</x:v>
      </x:c>
      <x:c r="N600" s="4" t="str"/>
      <x:c r="O600" s="4" t="str">
        <x:v>1. 来源：MainBasis/统一需求文档.md；A-admin-host-balance-change-record-003、A-admin-host-balance-change-record-004、A-admin-host-balance-change-record-007
2. 场景：SC-42bd91aa6d2872</x:v>
      </x:c>
    </x:row>
    <x:row r="601" ht="82" customHeight="1">
      <x:c r="A601" s="4" t="n">
        <x:v>600</x:v>
      </x:c>
      <x:c r="B601" s="4" t="str">
        <x:v>ADMIN-0600</x:v>
      </x:c>
      <x:c r="C601" s="4" t="str">
        <x:v>M11 财务、退款、结算上传与账户调整</x:v>
      </x:c>
      <x:c r="D601" s="4" t="str">
        <x:v>主播余额变更记录（平台管理员视角）</x:v>
      </x:c>
      <x:c r="E601" s="4" t="str">
        <x:v>逻辑校验</x:v>
      </x:c>
      <x:c r="F601" s="4" t="str">
        <x:v>P1</x:v>
      </x:c>
      <x:c r="G601" s="4" t="str">
        <x:v>验证主播余额修正1.001</x:v>
      </x:c>
      <x:c r="H601" s="4" t="str">
        <x:v>主播余额修正1.001</x:v>
      </x:c>
      <x:c r="I601" s="4" t="str">
        <x:v>1. 已登录平台管理员账号
2. 当前结算账户余额100，原因已填</x:v>
      </x:c>
      <x:c r="J601" s="4" t="str">
        <x:v>1. 进入「主播余额变更记录」页
2. 输入有符号金额1.001
3. 确认变更</x:v>
      </x:c>
      <x:c r="K601" s="4" t="str">
        <x:v>不能生成该金额修正流水</x:v>
      </x:c>
      <x:c r="L601" s="4" t="str"/>
      <x:c r="M601" s="4" t="str">
        <x:v>未测</x:v>
      </x:c>
      <x:c r="N601" s="4" t="str"/>
      <x:c r="O601" s="4" t="str">
        <x:v>1. 来源：MainBasis/统一需求文档.md；A-admin-host-balance-change-record-003、A-admin-host-balance-change-record-004、A-admin-host-balance-change-record-007
2. 场景：SC-1688c8978d1d7c</x:v>
      </x:c>
    </x:row>
    <x:row r="602" ht="82" customHeight="1">
      <x:c r="A602" s="4" t="n">
        <x:v>601</x:v>
      </x:c>
      <x:c r="B602" s="4" t="str">
        <x:v>ADMIN-0601</x:v>
      </x:c>
      <x:c r="C602" s="4" t="str">
        <x:v>M11 财务、退款、结算上传与账户调整</x:v>
      </x:c>
      <x:c r="D602" s="4" t="str">
        <x:v>主播余额变更记录（平台管理员视角）</x:v>
      </x:c>
      <x:c r="E602" s="4" t="str">
        <x:v>逻辑校验</x:v>
      </x:c>
      <x:c r="F602" s="4" t="str">
        <x:v>P1</x:v>
      </x:c>
      <x:c r="G602" s="4" t="str">
        <x:v>验证主播余额修正100</x:v>
      </x:c>
      <x:c r="H602" s="4" t="str">
        <x:v>主播余额修正100</x:v>
      </x:c>
      <x:c r="I602" s="4" t="str">
        <x:v>1. 已登录平台管理员账号
2. 当前结算账户余额100，原因已填</x:v>
      </x:c>
      <x:c r="J602" s="4" t="str">
        <x:v>1. 进入「主播余额变更记录」页
2. 输入有符号金额100
3. 确认变更</x:v>
      </x:c>
      <x:c r="K602" s="4" t="str">
        <x:v>新余额 = 100 + (100) = 200</x:v>
      </x:c>
      <x:c r="L602" s="4" t="str"/>
      <x:c r="M602" s="4" t="str">
        <x:v>未测</x:v>
      </x:c>
      <x:c r="N602" s="4" t="str"/>
      <x:c r="O602" s="4" t="str">
        <x:v>1. 来源：MainBasis/统一需求文档.md；A-admin-host-balance-change-record-003、A-admin-host-balance-change-record-004、A-admin-host-balance-change-record-007
2. 场景：SC-bb9c9c994ac490</x:v>
      </x:c>
    </x:row>
    <x:row r="603" ht="68" customHeight="1">
      <x:c r="A603" s="4" t="n">
        <x:v>602</x:v>
      </x:c>
      <x:c r="B603" s="4" t="str">
        <x:v>ADMIN-0602</x:v>
      </x:c>
      <x:c r="C603" s="4" t="str">
        <x:v>M11 财务、退款、结算上传与账户调整</x:v>
      </x:c>
      <x:c r="D603" s="4" t="str">
        <x:v>主播余额变更记录（平台管理员视角）</x:v>
      </x:c>
      <x:c r="E603" s="4" t="str">
        <x:v>异常用例</x:v>
      </x:c>
      <x:c r="F603" s="4" t="str">
        <x:v>P1</x:v>
      </x:c>
      <x:c r="G603" s="4" t="str">
        <x:v>验证备注缺失限制</x:v>
      </x:c>
      <x:c r="H603" s="4" t="str">
        <x:v>备注缺失限制</x:v>
      </x:c>
      <x:c r="I603" s="4" t="str">
        <x:v>1. 已登录平台管理员账号
2. 其他必填字段为合法值</x:v>
      </x:c>
      <x:c r="J603" s="4" t="str">
        <x:v>1. 进入「主播余额变更记录」页
2. 清空「备注」
3. 点击「确认」</x:v>
      </x:c>
      <x:c r="K603" s="4" t="str">
        <x:v>备注未填写，无法确认</x:v>
      </x:c>
      <x:c r="L603" s="4" t="str"/>
      <x:c r="M603" s="4" t="str">
        <x:v>未测</x:v>
      </x:c>
      <x:c r="N603" s="4" t="str"/>
      <x:c r="O603" s="4" t="str">
        <x:v>1. 来源：MainBasis/统一需求文档.md；A-admin-host-balance-change-record-005
2. 场景：SC-f31eeb39576656</x:v>
      </x:c>
    </x:row>
    <x:row r="604" ht="68" customHeight="1">
      <x:c r="A604" s="4" t="n">
        <x:v>603</x:v>
      </x:c>
      <x:c r="B604" s="4" t="str">
        <x:v>ADMIN-0603</x:v>
      </x:c>
      <x:c r="C604" s="4" t="str">
        <x:v>M11 财务、退款、结算上传与账户调整</x:v>
      </x:c>
      <x:c r="D604" s="4" t="str">
        <x:v>主播余额变更记录（平台管理员视角）</x:v>
      </x:c>
      <x:c r="E604" s="4" t="str">
        <x:v>功能需求</x:v>
      </x:c>
      <x:c r="F604" s="4" t="str">
        <x:v>P1</x:v>
      </x:c>
      <x:c r="G604" s="4" t="str">
        <x:v>验证主播修正流水不可修改</x:v>
      </x:c>
      <x:c r="H604" s="4" t="str">
        <x:v>主播修正流水不可修改</x:v>
      </x:c>
      <x:c r="I604" s="4" t="str">
        <x:v>1. 已登录平台管理员账号
2. 已经完成一笔修正</x:v>
      </x:c>
      <x:c r="J604" s="4" t="str">
        <x:v>1. 进入「主播余额变更记录」页
2. 查看主播修正流水不可修改</x:v>
      </x:c>
      <x:c r="K604" s="4" t="str">
        <x:v>该修正流水只读</x:v>
      </x:c>
      <x:c r="L604" s="4" t="str"/>
      <x:c r="M604" s="4" t="str">
        <x:v>未测</x:v>
      </x:c>
      <x:c r="N604" s="4" t="str"/>
      <x:c r="O604" s="4" t="str">
        <x:v>1. 来源：MainBasis/统一需求文档.md；A-admin-host-balance-change-record-008
2. 场景：SC-125a71d8471416</x:v>
      </x:c>
    </x:row>
    <x:row r="605" ht="68" customHeight="1">
      <x:c r="A605" s="4" t="n">
        <x:v>604</x:v>
      </x:c>
      <x:c r="B605" s="4" t="str">
        <x:v>ADMIN-0604</x:v>
      </x:c>
      <x:c r="C605" s="4" t="str">
        <x:v>M11 财务、退款、结算上传与账户调整</x:v>
      </x:c>
      <x:c r="D605" s="4" t="str">
        <x:v>主播余额变更记录（平台管理员视角）</x:v>
      </x:c>
      <x:c r="E605" s="4" t="str">
        <x:v>异常用例</x:v>
      </x:c>
      <x:c r="F605" s="4" t="str">
        <x:v>P1</x:v>
      </x:c>
      <x:c r="G605" s="4" t="str">
        <x:v>验证备注0字符限制</x:v>
      </x:c>
      <x:c r="H605" s="4" t="str">
        <x:v>备注0字符限制</x:v>
      </x:c>
      <x:c r="I605" s="4" t="str">
        <x:v>1. 已登录平台管理员账号
2. 其他必填字段为合法值</x:v>
      </x:c>
      <x:c r="J605" s="4" t="str">
        <x:v>1. 进入「主播余额变更记录」页
2. 清空「备注」
3. 点击「确认」</x:v>
      </x:c>
      <x:c r="K605" s="4" t="str">
        <x:v>备注未通过校验，无法确认</x:v>
      </x:c>
      <x:c r="L605" s="4" t="str"/>
      <x:c r="M605" s="4" t="str">
        <x:v>未测</x:v>
      </x:c>
      <x:c r="N605" s="4" t="str"/>
      <x:c r="O605" s="4" t="str">
        <x:v>1. 来源：MainBasis/统一需求文档.md；A-admin-host-balance-change-record-005
2. 场景：SC-f3257d4fba156b</x:v>
      </x:c>
    </x:row>
    <x:row r="606" ht="68" customHeight="1">
      <x:c r="A606" s="4" t="n">
        <x:v>605</x:v>
      </x:c>
      <x:c r="B606" s="4" t="str">
        <x:v>ADMIN-0605</x:v>
      </x:c>
      <x:c r="C606" s="4" t="str">
        <x:v>M11 财务、退款、结算上传与账户调整</x:v>
      </x:c>
      <x:c r="D606" s="4" t="str">
        <x:v>主播余额变更记录（平台管理员视角）</x:v>
      </x:c>
      <x:c r="E606" s="4" t="str">
        <x:v>逻辑校验</x:v>
      </x:c>
      <x:c r="F606" s="4" t="str">
        <x:v>P1</x:v>
      </x:c>
      <x:c r="G606" s="4" t="str">
        <x:v>验证备注1字符可填写</x:v>
      </x:c>
      <x:c r="H606" s="4" t="str">
        <x:v>备注1字符可填写</x:v>
      </x:c>
      <x:c r="I606" s="4" t="str">
        <x:v>1. 已登录平台管理员账号
2. 其他必填字段为合法值</x:v>
      </x:c>
      <x:c r="J606" s="4" t="str">
        <x:v>1. 进入「主播余额变更记录」页
2. 在「备注」输入1个「测」字符
3. 点击「确认」</x:v>
      </x:c>
      <x:c r="K606" s="4" t="str">
        <x:v>「备注」保留1个字符</x:v>
      </x:c>
      <x:c r="L606" s="4" t="str"/>
      <x:c r="M606" s="4" t="str">
        <x:v>未测</x:v>
      </x:c>
      <x:c r="N606" s="4" t="str"/>
      <x:c r="O606" s="4" t="str">
        <x:v>1. 来源：MainBasis/统一需求文档.md；A-admin-host-balance-change-record-005
2. 场景：SC-1335ab0cb34a58</x:v>
      </x:c>
    </x:row>
    <x:row r="607" ht="68" customHeight="1">
      <x:c r="A607" s="4" t="n">
        <x:v>606</x:v>
      </x:c>
      <x:c r="B607" s="4" t="str">
        <x:v>ADMIN-0606</x:v>
      </x:c>
      <x:c r="C607" s="4" t="str">
        <x:v>M11 财务、退款、结算上传与账户调整</x:v>
      </x:c>
      <x:c r="D607" s="4" t="str">
        <x:v>主播余额变更记录（平台管理员视角）</x:v>
      </x:c>
      <x:c r="E607" s="4" t="str">
        <x:v>逻辑校验</x:v>
      </x:c>
      <x:c r="F607" s="4" t="str">
        <x:v>P1</x:v>
      </x:c>
      <x:c r="G607" s="4" t="str">
        <x:v>验证备注99字符可填写</x:v>
      </x:c>
      <x:c r="H607" s="4" t="str">
        <x:v>备注99字符可填写</x:v>
      </x:c>
      <x:c r="I607" s="4" t="str">
        <x:v>1. 已登录平台管理员账号
2. 其他必填字段为合法值</x:v>
      </x:c>
      <x:c r="J607" s="4" t="str">
        <x:v>1. 进入「主播余额变更记录」页
2. 在「备注」输入99个「测」字符
3. 点击「确认」</x:v>
      </x:c>
      <x:c r="K607" s="4" t="str">
        <x:v>「备注」保留99个字符</x:v>
      </x:c>
      <x:c r="L607" s="4" t="str"/>
      <x:c r="M607" s="4" t="str">
        <x:v>未测</x:v>
      </x:c>
      <x:c r="N607" s="4" t="str"/>
      <x:c r="O607" s="4" t="str">
        <x:v>1. 来源：MainBasis/统一需求文档.md；A-admin-host-balance-change-record-005
2. 场景：SC-b27ba18fff19c7</x:v>
      </x:c>
    </x:row>
    <x:row r="608" ht="68" customHeight="1">
      <x:c r="A608" s="4" t="n">
        <x:v>607</x:v>
      </x:c>
      <x:c r="B608" s="4" t="str">
        <x:v>ADMIN-0607</x:v>
      </x:c>
      <x:c r="C608" s="4" t="str">
        <x:v>M11 财务、退款、结算上传与账户调整</x:v>
      </x:c>
      <x:c r="D608" s="4" t="str">
        <x:v>主播余额变更记录（平台管理员视角）</x:v>
      </x:c>
      <x:c r="E608" s="4" t="str">
        <x:v>逻辑校验</x:v>
      </x:c>
      <x:c r="F608" s="4" t="str">
        <x:v>P1</x:v>
      </x:c>
      <x:c r="G608" s="4" t="str">
        <x:v>验证备注100字符可填写</x:v>
      </x:c>
      <x:c r="H608" s="4" t="str">
        <x:v>备注100字符可填写</x:v>
      </x:c>
      <x:c r="I608" s="4" t="str">
        <x:v>1. 已登录平台管理员账号
2. 其他必填字段为合法值</x:v>
      </x:c>
      <x:c r="J608" s="4" t="str">
        <x:v>1. 进入「主播余额变更记录」页
2. 在「备注」输入100个「测」字符
3. 点击「确认」</x:v>
      </x:c>
      <x:c r="K608" s="4" t="str">
        <x:v>「备注」保留100个字符</x:v>
      </x:c>
      <x:c r="L608" s="4" t="str"/>
      <x:c r="M608" s="4" t="str">
        <x:v>未测</x:v>
      </x:c>
      <x:c r="N608" s="4" t="str"/>
      <x:c r="O608" s="4" t="str">
        <x:v>1. 来源：MainBasis/统一需求文档.md；A-admin-host-balance-change-record-005
2. 场景：SC-6b8fe5395d5788</x:v>
      </x:c>
    </x:row>
    <x:row r="609" ht="68" customHeight="1">
      <x:c r="A609" s="4" t="n">
        <x:v>608</x:v>
      </x:c>
      <x:c r="B609" s="4" t="str">
        <x:v>ADMIN-0608</x:v>
      </x:c>
      <x:c r="C609" s="4" t="str">
        <x:v>M11 财务、退款、结算上传与账户调整</x:v>
      </x:c>
      <x:c r="D609" s="4" t="str">
        <x:v>主播余额变更记录（平台管理员视角）</x:v>
      </x:c>
      <x:c r="E609" s="4" t="str">
        <x:v>异常用例</x:v>
      </x:c>
      <x:c r="F609" s="4" t="str">
        <x:v>P1</x:v>
      </x:c>
      <x:c r="G609" s="4" t="str">
        <x:v>验证备注101字符限制</x:v>
      </x:c>
      <x:c r="H609" s="4" t="str">
        <x:v>备注101字符限制</x:v>
      </x:c>
      <x:c r="I609" s="4" t="str">
        <x:v>1. 已登录平台管理员账号
2. 其他必填字段为合法值</x:v>
      </x:c>
      <x:c r="J609" s="4" t="str">
        <x:v>1. 进入「主播余额变更记录」页
2. 在「备注」输入101个「测」字符
3. 点击「确认」</x:v>
      </x:c>
      <x:c r="K609" s="4" t="str">
        <x:v>备注未通过校验，无法确认</x:v>
      </x:c>
      <x:c r="L609" s="4" t="str"/>
      <x:c r="M609" s="4" t="str">
        <x:v>未测</x:v>
      </x:c>
      <x:c r="N609" s="4" t="str"/>
      <x:c r="O609" s="4" t="str">
        <x:v>1. 来源：MainBasis/统一需求文档.md；A-admin-host-balance-change-record-005
2. 场景：SC-41ae7c75c94601</x:v>
      </x:c>
    </x:row>
    <x:row r="610" ht="68" customHeight="1">
      <x:c r="A610" s="4" t="n">
        <x:v>609</x:v>
      </x:c>
      <x:c r="B610" s="4" t="str">
        <x:v>ADMIN-0609</x:v>
      </x:c>
      <x:c r="C610" s="4" t="str">
        <x:v>M11 财务、退款、结算上传与账户调整</x:v>
      </x:c>
      <x:c r="D610" s="4" t="str">
        <x:v>主播余额变更记录（平台管理员视角）</x:v>
      </x:c>
      <x:c r="E610" s="4" t="str">
        <x:v>功能需求</x:v>
      </x:c>
      <x:c r="F610" s="4" t="str">
        <x:v>P1</x:v>
      </x:c>
      <x:c r="G610" s="4" t="str">
        <x:v>验证收益分成变更类型</x:v>
      </x:c>
      <x:c r="H610" s="4" t="str">
        <x:v>收益分成变更类型</x:v>
      </x:c>
      <x:c r="I610" s="4" t="str">
        <x:v>1. 已登录平台管理员账号
2. 所选余额变更由收益分成形成</x:v>
      </x:c>
      <x:c r="J610" s="4" t="str">
        <x:v>1. 进入「主播余额变更记录」页
2. 查看收益分成变更类型</x:v>
      </x:c>
      <x:c r="K610" s="4" t="str">
        <x:v>变更类型显示收益分成</x:v>
      </x:c>
      <x:c r="L610" s="4" t="str"/>
      <x:c r="M610" s="4" t="str">
        <x:v>未测</x:v>
      </x:c>
      <x:c r="N610" s="4" t="str"/>
      <x:c r="O610" s="4" t="str">
        <x:v>1. 来源：MainBasis/统一需求文档.md；A-admin-host-balance-change-record-002
2. 场景：SC-d133cb9a870cf9</x:v>
      </x:c>
    </x:row>
    <x:row r="611" ht="68" customHeight="1">
      <x:c r="A611" s="4" t="n">
        <x:v>610</x:v>
      </x:c>
      <x:c r="B611" s="4" t="str">
        <x:v>ADMIN-0610</x:v>
      </x:c>
      <x:c r="C611" s="4" t="str">
        <x:v>M11 财务、退款、结算上传与账户调整</x:v>
      </x:c>
      <x:c r="D611" s="4" t="str">
        <x:v>主播余额变更记录（平台管理员视角）</x:v>
      </x:c>
      <x:c r="E611" s="4" t="str">
        <x:v>功能需求</x:v>
      </x:c>
      <x:c r="F611" s="4" t="str">
        <x:v>P1</x:v>
      </x:c>
      <x:c r="G611" s="4" t="str">
        <x:v>验证分成修正变更类型</x:v>
      </x:c>
      <x:c r="H611" s="4" t="str">
        <x:v>分成修正变更类型</x:v>
      </x:c>
      <x:c r="I611" s="4" t="str">
        <x:v>1. 已登录平台管理员账号
2. 所选余额变更由分成修正形成</x:v>
      </x:c>
      <x:c r="J611" s="4" t="str">
        <x:v>1. 进入「主播余额变更记录」页
2. 查看分成修正变更类型</x:v>
      </x:c>
      <x:c r="K611" s="4" t="str">
        <x:v>变更类型显示分成修正</x:v>
      </x:c>
      <x:c r="L611" s="4" t="str"/>
      <x:c r="M611" s="4" t="str">
        <x:v>未测</x:v>
      </x:c>
      <x:c r="N611" s="4" t="str"/>
      <x:c r="O611" s="4" t="str">
        <x:v>1. 来源：MainBasis/统一需求文档.md；A-admin-host-balance-change-record-002
2. 场景：SC-fa310987cd9961</x:v>
      </x:c>
    </x:row>
    <x:row r="612" ht="68" customHeight="1">
      <x:c r="A612" s="4" t="n">
        <x:v>611</x:v>
      </x:c>
      <x:c r="B612" s="4" t="str">
        <x:v>ADMIN-0611</x:v>
      </x:c>
      <x:c r="C612" s="4" t="str">
        <x:v>M11 财务、退款、结算上传与账户调整</x:v>
      </x:c>
      <x:c r="D612" s="4" t="str">
        <x:v>公会分成记录-30（平台管理员视角）</x:v>
      </x:c>
      <x:c r="E612" s="4" t="str">
        <x:v>功能需求</x:v>
      </x:c>
      <x:c r="F612" s="4" t="str">
        <x:v>P2</x:v>
      </x:c>
      <x:c r="G612" s="4" t="str">
        <x:v>验证公会数量回显</x:v>
      </x:c>
      <x:c r="H612" s="4" t="str">
        <x:v>公会数量回显</x:v>
      </x:c>
      <x:c r="I612" s="4" t="str">
        <x:v>1. 已登录平台管理员账号
2. 所选对象存在，已记录该对象的公会数量值</x:v>
      </x:c>
      <x:c r="J612" s="4" t="str">
        <x:v>1. 进入「公会分成记录-30」页
2. 查看公会数量回显</x:v>
      </x:c>
      <x:c r="K612" s="4" t="str">
        <x:v>「公会数量」内容与所选对象的该项资料一致</x:v>
      </x:c>
      <x:c r="L612" s="4" t="str"/>
      <x:c r="M612" s="4" t="str">
        <x:v>未测</x:v>
      </x:c>
      <x:c r="N612" s="4" t="str"/>
      <x:c r="O612" s="4" t="str">
        <x:v>1. 来源：MainBasis/统一需求文档.md；A-admin-guild-settlement-record-003
2. 场景：SC-ead45f07a74aba</x:v>
      </x:c>
    </x:row>
    <x:row r="613" ht="68" customHeight="1">
      <x:c r="A613" s="4" t="n">
        <x:v>612</x:v>
      </x:c>
      <x:c r="B613" s="4" t="str">
        <x:v>ADMIN-0612</x:v>
      </x:c>
      <x:c r="C613" s="4" t="str">
        <x:v>M11 财务、退款、结算上传与账户调整</x:v>
      </x:c>
      <x:c r="D613" s="4" t="str">
        <x:v>公会分成记录-30（平台管理员视角）</x:v>
      </x:c>
      <x:c r="E613" s="4" t="str">
        <x:v>功能需求</x:v>
      </x:c>
      <x:c r="F613" s="4" t="str">
        <x:v>P2</x:v>
      </x:c>
      <x:c r="G613" s="4" t="str">
        <x:v>验证上传文件回显</x:v>
      </x:c>
      <x:c r="H613" s="4" t="str">
        <x:v>上传文件回显</x:v>
      </x:c>
      <x:c r="I613" s="4" t="str">
        <x:v>1. 已登录平台管理员账号
2. 所选对象存在，已记录该对象的上传文件值</x:v>
      </x:c>
      <x:c r="J613" s="4" t="str">
        <x:v>1. 进入「公会分成记录-30」页
2. 查看上传文件回显</x:v>
      </x:c>
      <x:c r="K613" s="4" t="str">
        <x:v>「上传文件」内容与所选对象的该项资料一致</x:v>
      </x:c>
      <x:c r="L613" s="4" t="str"/>
      <x:c r="M613" s="4" t="str">
        <x:v>未测</x:v>
      </x:c>
      <x:c r="N613" s="4" t="str"/>
      <x:c r="O613" s="4" t="str">
        <x:v>1. 来源：MainBasis/统一需求文档.md；A-admin-guild-settlement-record-005
2. 场景：SC-eca996214be788</x:v>
      </x:c>
    </x:row>
    <x:row r="614" ht="68" customHeight="1">
      <x:c r="A614" s="4" t="n">
        <x:v>613</x:v>
      </x:c>
      <x:c r="B614" s="4" t="str">
        <x:v>ADMIN-0613</x:v>
      </x:c>
      <x:c r="C614" s="4" t="str">
        <x:v>M11 财务、退款、结算上传与账户调整</x:v>
      </x:c>
      <x:c r="D614" s="4" t="str">
        <x:v>公会分成记录-30（平台管理员视角）</x:v>
      </x:c>
      <x:c r="E614" s="4" t="str">
        <x:v>功能需求</x:v>
      </x:c>
      <x:c r="F614" s="4" t="str">
        <x:v>P2</x:v>
      </x:c>
      <x:c r="G614" s="4" t="str">
        <x:v>验证上传人、时间回显</x:v>
      </x:c>
      <x:c r="H614" s="4" t="str">
        <x:v>上传人、时间回显</x:v>
      </x:c>
      <x:c r="I614" s="4" t="str">
        <x:v>1. 已登录平台管理员账号
2. 所选对象存在，已记录该对象的上传人 / 时间值</x:v>
      </x:c>
      <x:c r="J614" s="4" t="str">
        <x:v>1. 进入「公会分成记录-30」页
2. 查看上传人、时间回显</x:v>
      </x:c>
      <x:c r="K614" s="4" t="str">
        <x:v>「上传人 / 时间」内容与所选对象的该项资料一致</x:v>
      </x:c>
      <x:c r="L614" s="4" t="str"/>
      <x:c r="M614" s="4" t="str">
        <x:v>未测</x:v>
      </x:c>
      <x:c r="N614" s="4" t="str"/>
      <x:c r="O614" s="4" t="str">
        <x:v>1. 来源：MainBasis/统一需求文档.md；A-admin-guild-settlement-record-006
2. 场景：SC-5707a302887c7f</x:v>
      </x:c>
    </x:row>
    <x:row r="615" ht="68" customHeight="1">
      <x:c r="A615" s="4" t="n">
        <x:v>614</x:v>
      </x:c>
      <x:c r="B615" s="4" t="str">
        <x:v>ADMIN-0614</x:v>
      </x:c>
      <x:c r="C615" s="4" t="str">
        <x:v>M11 财务、退款、结算上传与账户调整</x:v>
      </x:c>
      <x:c r="D615" s="4" t="str">
        <x:v>公会分成记录-30（平台管理员视角）</x:v>
      </x:c>
      <x:c r="E615" s="4" t="str">
        <x:v>异常用例</x:v>
      </x:c>
      <x:c r="F615" s="4" t="str">
        <x:v>P1</x:v>
      </x:c>
      <x:c r="G615" s="4" t="str">
        <x:v>验证分成备注0字符限制</x:v>
      </x:c>
      <x:c r="H615" s="4" t="str">
        <x:v>分成备注0字符限制</x:v>
      </x:c>
      <x:c r="I615" s="4" t="str">
        <x:v>1. 已登录平台管理员账号
2. 其他必填字段为合法值</x:v>
      </x:c>
      <x:c r="J615" s="4" t="str">
        <x:v>1. 进入「公会分成记录-30」页
2. 清空「分成备注」
3. 点击「确认导入」</x:v>
      </x:c>
      <x:c r="K615" s="4" t="str">
        <x:v>分成备注未通过校验，无法确认导入</x:v>
      </x:c>
      <x:c r="L615" s="4" t="str"/>
      <x:c r="M615" s="4" t="str">
        <x:v>未测</x:v>
      </x:c>
      <x:c r="N615" s="4" t="str"/>
      <x:c r="O615" s="4" t="str">
        <x:v>1. 来源：MainBasis/统一需求文档.md；A-admin-guild-settlement-record-002
2. 场景：SC-7b0a1cd9755648</x:v>
      </x:c>
    </x:row>
    <x:row r="616" ht="68" customHeight="1">
      <x:c r="A616" s="4" t="n">
        <x:v>615</x:v>
      </x:c>
      <x:c r="B616" s="4" t="str">
        <x:v>ADMIN-0615</x:v>
      </x:c>
      <x:c r="C616" s="4" t="str">
        <x:v>M11 财务、退款、结算上传与账户调整</x:v>
      </x:c>
      <x:c r="D616" s="4" t="str">
        <x:v>公会分成记录-30（平台管理员视角）</x:v>
      </x:c>
      <x:c r="E616" s="4" t="str">
        <x:v>逻辑校验</x:v>
      </x:c>
      <x:c r="F616" s="4" t="str">
        <x:v>P1</x:v>
      </x:c>
      <x:c r="G616" s="4" t="str">
        <x:v>验证分成备注1字符可填写</x:v>
      </x:c>
      <x:c r="H616" s="4" t="str">
        <x:v>分成备注1字符可填写</x:v>
      </x:c>
      <x:c r="I616" s="4" t="str">
        <x:v>1. 已登录平台管理员账号
2. 其他必填字段为合法值</x:v>
      </x:c>
      <x:c r="J616" s="4" t="str">
        <x:v>1. 进入「公会分成记录-30」页
2. 在「分成备注」输入1个「测」字符
3. 点击「确认导入」</x:v>
      </x:c>
      <x:c r="K616" s="4" t="str">
        <x:v>「分成备注」保留1个字符</x:v>
      </x:c>
      <x:c r="L616" s="4" t="str"/>
      <x:c r="M616" s="4" t="str">
        <x:v>未测</x:v>
      </x:c>
      <x:c r="N616" s="4" t="str"/>
      <x:c r="O616" s="4" t="str">
        <x:v>1. 来源：MainBasis/统一需求文档.md；A-admin-guild-settlement-record-002
2. 场景：SC-bd633d8132e7f4</x:v>
      </x:c>
    </x:row>
    <x:row r="617" ht="68" customHeight="1">
      <x:c r="A617" s="4" t="n">
        <x:v>616</x:v>
      </x:c>
      <x:c r="B617" s="4" t="str">
        <x:v>ADMIN-0616</x:v>
      </x:c>
      <x:c r="C617" s="4" t="str">
        <x:v>M11 财务、退款、结算上传与账户调整</x:v>
      </x:c>
      <x:c r="D617" s="4" t="str">
        <x:v>公会分成记录-30（平台管理员视角）</x:v>
      </x:c>
      <x:c r="E617" s="4" t="str">
        <x:v>逻辑校验</x:v>
      </x:c>
      <x:c r="F617" s="4" t="str">
        <x:v>P1</x:v>
      </x:c>
      <x:c r="G617" s="4" t="str">
        <x:v>验证分成备注99字符可填写</x:v>
      </x:c>
      <x:c r="H617" s="4" t="str">
        <x:v>分成备注99字符可填写</x:v>
      </x:c>
      <x:c r="I617" s="4" t="str">
        <x:v>1. 已登录平台管理员账号
2. 其他必填字段为合法值</x:v>
      </x:c>
      <x:c r="J617" s="4" t="str">
        <x:v>1. 进入「公会分成记录-30」页
2. 在「分成备注」输入99个「测」字符
3. 点击「确认导入」</x:v>
      </x:c>
      <x:c r="K617" s="4" t="str">
        <x:v>「分成备注」保留99个字符</x:v>
      </x:c>
      <x:c r="L617" s="4" t="str"/>
      <x:c r="M617" s="4" t="str">
        <x:v>未测</x:v>
      </x:c>
      <x:c r="N617" s="4" t="str"/>
      <x:c r="O617" s="4" t="str">
        <x:v>1. 来源：MainBasis/统一需求文档.md；A-admin-guild-settlement-record-002
2. 场景：SC-5066b221137840</x:v>
      </x:c>
    </x:row>
    <x:row r="618" ht="68" customHeight="1">
      <x:c r="A618" s="4" t="n">
        <x:v>617</x:v>
      </x:c>
      <x:c r="B618" s="4" t="str">
        <x:v>ADMIN-0617</x:v>
      </x:c>
      <x:c r="C618" s="4" t="str">
        <x:v>M11 财务、退款、结算上传与账户调整</x:v>
      </x:c>
      <x:c r="D618" s="4" t="str">
        <x:v>公会分成记录-30（平台管理员视角）</x:v>
      </x:c>
      <x:c r="E618" s="4" t="str">
        <x:v>逻辑校验</x:v>
      </x:c>
      <x:c r="F618" s="4" t="str">
        <x:v>P1</x:v>
      </x:c>
      <x:c r="G618" s="4" t="str">
        <x:v>验证分成备注100字符可填写</x:v>
      </x:c>
      <x:c r="H618" s="4" t="str">
        <x:v>分成备注100字符可填写</x:v>
      </x:c>
      <x:c r="I618" s="4" t="str">
        <x:v>1. 已登录平台管理员账号
2. 其他必填字段为合法值</x:v>
      </x:c>
      <x:c r="J618" s="4" t="str">
        <x:v>1. 进入「公会分成记录-30」页
2. 在「分成备注」输入100个「测」字符
3. 点击「确认导入」</x:v>
      </x:c>
      <x:c r="K618" s="4" t="str">
        <x:v>「分成备注」保留100个字符</x:v>
      </x:c>
      <x:c r="L618" s="4" t="str"/>
      <x:c r="M618" s="4" t="str">
        <x:v>未测</x:v>
      </x:c>
      <x:c r="N618" s="4" t="str"/>
      <x:c r="O618" s="4" t="str">
        <x:v>1. 来源：MainBasis/统一需求文档.md；A-admin-guild-settlement-record-002
2. 场景：SC-11a2527252a5b6</x:v>
      </x:c>
    </x:row>
    <x:row r="619" ht="68" customHeight="1">
      <x:c r="A619" s="4" t="n">
        <x:v>618</x:v>
      </x:c>
      <x:c r="B619" s="4" t="str">
        <x:v>ADMIN-0618</x:v>
      </x:c>
      <x:c r="C619" s="4" t="str">
        <x:v>M11 财务、退款、结算上传与账户调整</x:v>
      </x:c>
      <x:c r="D619" s="4" t="str">
        <x:v>公会分成记录-30（平台管理员视角）</x:v>
      </x:c>
      <x:c r="E619" s="4" t="str">
        <x:v>异常用例</x:v>
      </x:c>
      <x:c r="F619" s="4" t="str">
        <x:v>P1</x:v>
      </x:c>
      <x:c r="G619" s="4" t="str">
        <x:v>验证分成备注101字符限制</x:v>
      </x:c>
      <x:c r="H619" s="4" t="str">
        <x:v>分成备注101字符限制</x:v>
      </x:c>
      <x:c r="I619" s="4" t="str">
        <x:v>1. 已登录平台管理员账号
2. 其他必填字段为合法值</x:v>
      </x:c>
      <x:c r="J619" s="4" t="str">
        <x:v>1. 进入「公会分成记录-30」页
2. 在「分成备注」输入101个「测」字符
3. 点击「确认导入」</x:v>
      </x:c>
      <x:c r="K619" s="4" t="str">
        <x:v>分成备注未通过校验，无法确认导入</x:v>
      </x:c>
      <x:c r="L619" s="4" t="str"/>
      <x:c r="M619" s="4" t="str">
        <x:v>未测</x:v>
      </x:c>
      <x:c r="N619" s="4" t="str"/>
      <x:c r="O619" s="4" t="str">
        <x:v>1. 来源：MainBasis/统一需求文档.md；A-admin-guild-settlement-record-002
2. 场景：SC-2b781b2558e851</x:v>
      </x:c>
    </x:row>
    <x:row r="620" ht="68" customHeight="1">
      <x:c r="A620" s="4" t="n">
        <x:v>619</x:v>
      </x:c>
      <x:c r="B620" s="4" t="str">
        <x:v>ADMIN-0619</x:v>
      </x:c>
      <x:c r="C620" s="4" t="str">
        <x:v>M11 财务、退款、结算上传与账户调整</x:v>
      </x:c>
      <x:c r="D620" s="4" t="str">
        <x:v>公会分成记录-30（平台管理员视角）</x:v>
      </x:c>
      <x:c r="E620" s="4" t="str">
        <x:v>功能需求</x:v>
      </x:c>
      <x:c r="F620" s="4" t="str">
        <x:v>P1</x:v>
      </x:c>
      <x:c r="G620" s="4" t="str">
        <x:v>验证已导入分成锁定</x:v>
      </x:c>
      <x:c r="H620" s="4" t="str">
        <x:v>已导入分成锁定</x:v>
      </x:c>
      <x:c r="I620" s="4" t="str">
        <x:v>1. 已登录平台管理员账号
2. 当前批次已成功导入</x:v>
      </x:c>
      <x:c r="J620" s="4" t="str">
        <x:v>1. 进入「公会分成记录-30」页
2. 查看已导入分成锁定</x:v>
      </x:c>
      <x:c r="K620" s="4" t="str">
        <x:v>批次不可编辑或删除</x:v>
      </x:c>
      <x:c r="L620" s="4" t="str"/>
      <x:c r="M620" s="4" t="str">
        <x:v>未测</x:v>
      </x:c>
      <x:c r="N620" s="4" t="str"/>
      <x:c r="O620" s="4" t="str">
        <x:v>1. 来源：MainBasis/统一需求文档.md；A-admin-guild-settlement-record-007、A-admin-guild-settlement-record-detail-006
2. 场景：SC-9c2836e092d602</x:v>
      </x:c>
    </x:row>
    <x:row r="621" ht="68" customHeight="1">
      <x:c r="A621" s="4" t="n">
        <x:v>620</x:v>
      </x:c>
      <x:c r="B621" s="4" t="str">
        <x:v>ADMIN-0620</x:v>
      </x:c>
      <x:c r="C621" s="4" t="str">
        <x:v>M11 财务、退款、结算上传与账户调整</x:v>
      </x:c>
      <x:c r="D621" s="4" t="str">
        <x:v>公会分成记录-30（平台管理员视角）</x:v>
      </x:c>
      <x:c r="E621" s="4" t="str">
        <x:v>功能需求</x:v>
      </x:c>
      <x:c r="F621" s="4" t="str">
        <x:v>P1</x:v>
      </x:c>
      <x:c r="G621" s="4" t="str">
        <x:v>验证分成上传拒绝非表格</x:v>
      </x:c>
      <x:c r="H621" s="4" t="str">
        <x:v>分成上传拒绝非表格</x:v>
      </x:c>
      <x:c r="I621" s="4" t="str">
        <x:v>1. 已登录平台管理员账号
2. 已填写分成备注</x:v>
      </x:c>
      <x:c r="J621" s="4" t="str">
        <x:v>1. 进入「公会分成记录-30」页
2. 选择一个PNG文件上传</x:v>
      </x:c>
      <x:c r="K621" s="4" t="str">
        <x:v>不接受该非XLSX/XLS/CSV文件</x:v>
      </x:c>
      <x:c r="L621" s="4" t="str"/>
      <x:c r="M621" s="4" t="str">
        <x:v>未测</x:v>
      </x:c>
      <x:c r="N621" s="4" t="str"/>
      <x:c r="O621" s="4" t="str">
        <x:v>1. 来源：MainBasis/统一需求文档.md；A-admin-guild-settlement-record-005
2. 场景：SC-7f6425db9988e8</x:v>
      </x:c>
    </x:row>
    <x:row r="622" ht="68" customHeight="1">
      <x:c r="A622" s="4" t="n">
        <x:v>621</x:v>
      </x:c>
      <x:c r="B622" s="4" t="str">
        <x:v>ADMIN-0621</x:v>
      </x:c>
      <x:c r="C622" s="4" t="str">
        <x:v>M11 财务、退款、结算上传与账户调整</x:v>
      </x:c>
      <x:c r="D622" s="4" t="str">
        <x:v>公会分成记录详情（平台管理员视角）</x:v>
      </x:c>
      <x:c r="E622" s="4" t="str">
        <x:v>功能需求</x:v>
      </x:c>
      <x:c r="F622" s="4" t="str">
        <x:v>P2</x:v>
      </x:c>
      <x:c r="G622" s="4" t="str">
        <x:v>验证批次信息回显</x:v>
      </x:c>
      <x:c r="H622" s="4" t="str">
        <x:v>批次信息回显</x:v>
      </x:c>
      <x:c r="I622" s="4" t="str">
        <x:v>1. 已登录平台管理员账号
2. 所选对象存在，已记录该对象的批次信息值</x:v>
      </x:c>
      <x:c r="J622" s="4" t="str">
        <x:v>1. 进入「公会分成记录详情」页
2. 查看批次信息回显</x:v>
      </x:c>
      <x:c r="K622" s="4" t="str">
        <x:v>「批次信息」内容与所选对象的该项资料一致</x:v>
      </x:c>
      <x:c r="L622" s="4" t="str"/>
      <x:c r="M622" s="4" t="str">
        <x:v>未测</x:v>
      </x:c>
      <x:c r="N622" s="4" t="str"/>
      <x:c r="O622" s="4" t="str">
        <x:v>1. 来源：MainBasis/统一需求文档.md；A-admin-guild-settlement-record-detail-002
2. 场景：SC-225ed9282c107c</x:v>
      </x:c>
    </x:row>
    <x:row r="623" ht="68" customHeight="1">
      <x:c r="A623" s="4" t="n">
        <x:v>622</x:v>
      </x:c>
      <x:c r="B623" s="4" t="str">
        <x:v>ADMIN-0622</x:v>
      </x:c>
      <x:c r="C623" s="4" t="str">
        <x:v>M11 财务、退款、结算上传与账户调整</x:v>
      </x:c>
      <x:c r="D623" s="4" t="str">
        <x:v>公会分成记录详情（平台管理员视角）</x:v>
      </x:c>
      <x:c r="E623" s="4" t="str">
        <x:v>功能需求</x:v>
      </x:c>
      <x:c r="F623" s="4" t="str">
        <x:v>P2</x:v>
      </x:c>
      <x:c r="G623" s="4" t="str">
        <x:v>验证公会数量回显</x:v>
      </x:c>
      <x:c r="H623" s="4" t="str">
        <x:v>公会数量回显</x:v>
      </x:c>
      <x:c r="I623" s="4" t="str">
        <x:v>1. 已登录平台管理员账号
2. 所选对象存在，已记录该对象的公会数量值</x:v>
      </x:c>
      <x:c r="J623" s="4" t="str">
        <x:v>1. 进入「公会分成记录详情」页
2. 查看公会数量回显</x:v>
      </x:c>
      <x:c r="K623" s="4" t="str">
        <x:v>「公会数量」内容与所选对象的该项资料一致</x:v>
      </x:c>
      <x:c r="L623" s="4" t="str"/>
      <x:c r="M623" s="4" t="str">
        <x:v>未测</x:v>
      </x:c>
      <x:c r="N623" s="4" t="str"/>
      <x:c r="O623" s="4" t="str">
        <x:v>1. 来源：MainBasis/统一需求文档.md；A-admin-guild-settlement-record-detail-003
2. 场景：SC-38ec315cef8836</x:v>
      </x:c>
    </x:row>
    <x:row r="624" ht="68" customHeight="1">
      <x:c r="A624" s="4" t="n">
        <x:v>623</x:v>
      </x:c>
      <x:c r="B624" s="4" t="str">
        <x:v>ADMIN-0623</x:v>
      </x:c>
      <x:c r="C624" s="4" t="str">
        <x:v>M11 财务、退款、结算上传与账户调整</x:v>
      </x:c>
      <x:c r="D624" s="4" t="str">
        <x:v>公会分成记录详情（平台管理员视角）</x:v>
      </x:c>
      <x:c r="E624" s="4" t="str">
        <x:v>逻辑校验</x:v>
      </x:c>
      <x:c r="F624" s="4" t="str">
        <x:v>P1</x:v>
      </x:c>
      <x:c r="G624" s="4" t="str">
        <x:v>验证分成批次明细总额</x:v>
      </x:c>
      <x:c r="H624" s="4" t="str">
        <x:v>分成批次明细总额</x:v>
      </x:c>
      <x:c r="I624" s="4" t="str">
        <x:v>1. 已登录平台管理员账号
2. 已成功导入两条不同对象明细，金额100和50</x:v>
      </x:c>
      <x:c r="J624" s="4" t="str">
        <x:v>1. 进入「公会分成记录详情」页
2. 查看分成批次明细总额</x:v>
      </x:c>
      <x:c r="K624" s="4" t="str">
        <x:v>明细总额 = 100 + 50 = 150，与批次总额一致</x:v>
      </x:c>
      <x:c r="L624" s="4" t="str"/>
      <x:c r="M624" s="4" t="str">
        <x:v>未测</x:v>
      </x:c>
      <x:c r="N624" s="4" t="str"/>
      <x:c r="O624" s="4" t="str">
        <x:v>1. 来源：MainBasis/统一需求文档.md；A-admin-guild-settlement-record-detail-005、A-admin-guild-settlement-record-004
2. 场景：SC-8ef029dbd836e5</x:v>
      </x:c>
    </x:row>
    <x:row r="625" ht="68" customHeight="1">
      <x:c r="A625" s="4" t="n">
        <x:v>624</x:v>
      </x:c>
      <x:c r="B625" s="4" t="str">
        <x:v>ADMIN-0624</x:v>
      </x:c>
      <x:c r="C625" s="4" t="str">
        <x:v>M11 财务、退款、结算上传与账户调整</x:v>
      </x:c>
      <x:c r="D625" s="4" t="str">
        <x:v>公会分成记录详情（平台管理员视角）</x:v>
      </x:c>
      <x:c r="E625" s="4" t="str">
        <x:v>功能需求</x:v>
      </x:c>
      <x:c r="F625" s="4" t="str">
        <x:v>P1</x:v>
      </x:c>
      <x:c r="G625" s="4" t="str">
        <x:v>验证公会分成明细归属</x:v>
      </x:c>
      <x:c r="H625" s="4" t="str">
        <x:v>公会分成明细归属</x:v>
      </x:c>
      <x:c r="I625" s="4" t="str">
        <x:v>1. 已登录平台管理员账号
2. 所选结算记录包含公会甲及分成金额100，已记录甲ID</x:v>
      </x:c>
      <x:c r="J625" s="4" t="str">
        <x:v>1. 进入「公会分成记录详情」页
2. 查看公会分成明细归属</x:v>
      </x:c>
      <x:c r="K625" s="4" t="str">
        <x:v>公会明细显示甲名称、甲ID及金额100</x:v>
      </x:c>
      <x:c r="L625" s="4" t="str"/>
      <x:c r="M625" s="4" t="str">
        <x:v>未测</x:v>
      </x:c>
      <x:c r="N625" s="4" t="str"/>
      <x:c r="O625" s="4" t="str">
        <x:v>1. 来源：MainBasis/统一需求文档.md；A-admin-guild-settlement-record-detail-004
2. 场景：SC-71457093ce9391</x:v>
      </x:c>
    </x:row>
    <x:row r="626" ht="68" customHeight="1">
      <x:c r="A626" s="4" t="n">
        <x:v>625</x:v>
      </x:c>
      <x:c r="B626" s="4" t="str">
        <x:v>ADMIN-0625</x:v>
      </x:c>
      <x:c r="C626" s="4" t="str">
        <x:v>M11 财务、退款、结算上传与账户调整</x:v>
      </x:c>
      <x:c r="D626" s="4" t="str">
        <x:v>公会账户余额-31（平台管理员视角）</x:v>
      </x:c>
      <x:c r="E626" s="4" t="str">
        <x:v>逻辑校验</x:v>
      </x:c>
      <x:c r="F626" s="4" t="str">
        <x:v>P1</x:v>
      </x:c>
      <x:c r="G626" s="4" t="str">
        <x:v>验证公会结算余额计算</x:v>
      </x:c>
      <x:c r="H626" s="4" t="str">
        <x:v>公会结算余额计算</x:v>
      </x:c>
      <x:c r="I626" s="4" t="str">
        <x:v>1. 已登录平台管理员账号
2. 已上传分成100，正向修正20，负向修正30</x:v>
      </x:c>
      <x:c r="J626" s="4" t="str">
        <x:v>1. 进入「公会账户余额-31」页
2. 查看公会结算余额计算</x:v>
      </x:c>
      <x:c r="K626" s="4" t="str">
        <x:v>账户余额 = 100 + 20 - 30 = 90 USD</x:v>
      </x:c>
      <x:c r="L626" s="4" t="str"/>
      <x:c r="M626" s="4" t="str">
        <x:v>未测</x:v>
      </x:c>
      <x:c r="N626" s="4" t="str"/>
      <x:c r="O626" s="4" t="str">
        <x:v>1. 来源：MainBasis/统一需求文档.md；A-admin-guild-account-balance-002
2. 场景：SC-a7dfe09e63af0c</x:v>
      </x:c>
    </x:row>
    <x:row r="627" ht="68" customHeight="1">
      <x:c r="A627" s="4" t="n">
        <x:v>626</x:v>
      </x:c>
      <x:c r="B627" s="4" t="str">
        <x:v>ADMIN-0626</x:v>
      </x:c>
      <x:c r="C627" s="4" t="str">
        <x:v>M11 财务、退款、结算上传与账户调整</x:v>
      </x:c>
      <x:c r="D627" s="4" t="str">
        <x:v>公会账户余额-31（平台管理员视角）</x:v>
      </x:c>
      <x:c r="E627" s="4" t="str">
        <x:v>逻辑校验</x:v>
      </x:c>
      <x:c r="F627" s="4" t="str">
        <x:v>P1</x:v>
      </x:c>
      <x:c r="G627" s="4" t="str">
        <x:v>验证公会筛选余额汇总</x:v>
      </x:c>
      <x:c r="H627" s="4" t="str">
        <x:v>公会筛选余额汇总</x:v>
      </x:c>
      <x:c r="I627" s="4" t="str">
        <x:v>1. 已登录平台管理员账号
2. 当前筛选仅命中余额100和50的两个账户，范围外另有余额200</x:v>
      </x:c>
      <x:c r="J627" s="4" t="str">
        <x:v>1. 进入「公会账户余额-31」页
2. 查看公会筛选余额汇总</x:v>
      </x:c>
      <x:c r="K627" s="4" t="str">
        <x:v>汇总余额 = 100 + 50 = 150 USD</x:v>
      </x:c>
      <x:c r="L627" s="4" t="str"/>
      <x:c r="M627" s="4" t="str">
        <x:v>未测</x:v>
      </x:c>
      <x:c r="N627" s="4" t="str"/>
      <x:c r="O627" s="4" t="str">
        <x:v>1. 来源：MainBasis/统一需求文档.md；A-admin-guild-account-balance-003
2. 场景：SC-28c58268b87fcd</x:v>
      </x:c>
    </x:row>
    <x:row r="628" ht="68" customHeight="1">
      <x:c r="A628" s="4" t="n">
        <x:v>627</x:v>
      </x:c>
      <x:c r="B628" s="4" t="str">
        <x:v>ADMIN-0627</x:v>
      </x:c>
      <x:c r="C628" s="4" t="str">
        <x:v>M11 财务、退款、结算上传与账户调整</x:v>
      </x:c>
      <x:c r="D628" s="4" t="str">
        <x:v>公会账户余额-31（平台管理员视角）</x:v>
      </x:c>
      <x:c r="E628" s="4" t="str">
        <x:v>功能需求</x:v>
      </x:c>
      <x:c r="F628" s="4" t="str">
        <x:v>P1</x:v>
      </x:c>
      <x:c r="G628" s="4" t="str">
        <x:v>验证公会余额下钻</x:v>
      </x:c>
      <x:c r="H628" s="4" t="str">
        <x:v>公会余额下钻</x:v>
      </x:c>
      <x:c r="I628" s="4" t="str">
        <x:v>1. 已登录平台管理员账号
2. 当前列表为公会甲</x:v>
      </x:c>
      <x:c r="J628" s="4" t="str">
        <x:v>1. 进入「公会账户余额-31」页
2. 点击甲余额</x:v>
      </x:c>
      <x:c r="K628" s="4" t="str">
        <x:v>进入甲余额变更流水</x:v>
      </x:c>
      <x:c r="L628" s="4" t="str"/>
      <x:c r="M628" s="4" t="str">
        <x:v>未测</x:v>
      </x:c>
      <x:c r="N628" s="4" t="str"/>
      <x:c r="O628" s="4" t="str">
        <x:v>1. 来源：MainBasis/统一需求文档.md；A-admin-guild-account-balance-004
2. 场景：SC-6fdd9419452ac7</x:v>
      </x:c>
    </x:row>
    <x:row r="629" ht="68" customHeight="1">
      <x:c r="A629" s="4" t="n">
        <x:v>628</x:v>
      </x:c>
      <x:c r="B629" s="4" t="str">
        <x:v>ADMIN-0628</x:v>
      </x:c>
      <x:c r="C629" s="4" t="str">
        <x:v>M11 财务、退款、结算上传与账户调整</x:v>
      </x:c>
      <x:c r="D629" s="4" t="str">
        <x:v>公会余额变更记录（平台管理员视角）</x:v>
      </x:c>
      <x:c r="E629" s="4" t="str">
        <x:v>功能需求</x:v>
      </x:c>
      <x:c r="F629" s="4" t="str">
        <x:v>P2</x:v>
      </x:c>
      <x:c r="G629" s="4" t="str">
        <x:v>验证操作信息回显</x:v>
      </x:c>
      <x:c r="H629" s="4" t="str">
        <x:v>操作信息回显</x:v>
      </x:c>
      <x:c r="I629" s="4" t="str">
        <x:v>1. 已登录平台管理员账号
2. 所选对象存在，已记录该对象的操作信息值</x:v>
      </x:c>
      <x:c r="J629" s="4" t="str">
        <x:v>1. 进入「公会余额变更记录」页
2. 查看操作信息回显</x:v>
      </x:c>
      <x:c r="K629" s="4" t="str">
        <x:v>「操作信息」内容与所选对象的该项资料一致</x:v>
      </x:c>
      <x:c r="L629" s="4" t="str"/>
      <x:c r="M629" s="4" t="str">
        <x:v>未测</x:v>
      </x:c>
      <x:c r="N629" s="4" t="str"/>
      <x:c r="O629" s="4" t="str">
        <x:v>1. 来源：MainBasis/统一需求文档.md；A-admin-guild-balance-change-record-006
2. 场景：SC-393639056c23df</x:v>
      </x:c>
    </x:row>
    <x:row r="630" ht="82" customHeight="1">
      <x:c r="A630" s="4" t="n">
        <x:v>629</x:v>
      </x:c>
      <x:c r="B630" s="4" t="str">
        <x:v>ADMIN-0629</x:v>
      </x:c>
      <x:c r="C630" s="4" t="str">
        <x:v>M11 财务、退款、结算上传与账户调整</x:v>
      </x:c>
      <x:c r="D630" s="4" t="str">
        <x:v>公会余额变更记录（平台管理员视角）</x:v>
      </x:c>
      <x:c r="E630" s="4" t="str">
        <x:v>逻辑校验</x:v>
      </x:c>
      <x:c r="F630" s="4" t="str">
        <x:v>P1</x:v>
      </x:c>
      <x:c r="G630" s="4" t="str">
        <x:v>验证公会余额修正-101</x:v>
      </x:c>
      <x:c r="H630" s="4" t="str">
        <x:v>公会余额修正-101</x:v>
      </x:c>
      <x:c r="I630" s="4" t="str">
        <x:v>1. 已登录平台管理员账号
2. 当前结算账户余额100，原因已填</x:v>
      </x:c>
      <x:c r="J630" s="4" t="str">
        <x:v>1. 进入「公会余额变更记录」页
2. 输入有符号金额-101
3. 确认变更</x:v>
      </x:c>
      <x:c r="K630" s="4" t="str">
        <x:v>不能生成该金额修正流水</x:v>
      </x:c>
      <x:c r="L630" s="4" t="str"/>
      <x:c r="M630" s="4" t="str">
        <x:v>未测</x:v>
      </x:c>
      <x:c r="N630" s="4" t="str"/>
      <x:c r="O630" s="4" t="str">
        <x:v>1. 来源：MainBasis/统一需求文档.md；A-admin-guild-balance-change-record-003、A-admin-guild-balance-change-record-004、A-admin-guild-balance-change-record-007
2. 场景：SC-cbd5d6e055052a</x:v>
      </x:c>
    </x:row>
    <x:row r="631" ht="82" customHeight="1">
      <x:c r="A631" s="4" t="n">
        <x:v>630</x:v>
      </x:c>
      <x:c r="B631" s="4" t="str">
        <x:v>ADMIN-0630</x:v>
      </x:c>
      <x:c r="C631" s="4" t="str">
        <x:v>M11 财务、退款、结算上传与账户调整</x:v>
      </x:c>
      <x:c r="D631" s="4" t="str">
        <x:v>公会余额变更记录（平台管理员视角）</x:v>
      </x:c>
      <x:c r="E631" s="4" t="str">
        <x:v>逻辑校验</x:v>
      </x:c>
      <x:c r="F631" s="4" t="str">
        <x:v>P1</x:v>
      </x:c>
      <x:c r="G631" s="4" t="str">
        <x:v>验证公会余额修正-100</x:v>
      </x:c>
      <x:c r="H631" s="4" t="str">
        <x:v>公会余额修正-100</x:v>
      </x:c>
      <x:c r="I631" s="4" t="str">
        <x:v>1. 已登录平台管理员账号
2. 当前结算账户余额100，原因已填</x:v>
      </x:c>
      <x:c r="J631" s="4" t="str">
        <x:v>1. 进入「公会余额变更记录」页
2. 输入有符号金额-100
3. 确认变更</x:v>
      </x:c>
      <x:c r="K631" s="4" t="str">
        <x:v>新余额 = 100 + (-100) = 0</x:v>
      </x:c>
      <x:c r="L631" s="4" t="str"/>
      <x:c r="M631" s="4" t="str">
        <x:v>未测</x:v>
      </x:c>
      <x:c r="N631" s="4" t="str"/>
      <x:c r="O631" s="4" t="str">
        <x:v>1. 来源：MainBasis/统一需求文档.md；A-admin-guild-balance-change-record-003、A-admin-guild-balance-change-record-004、A-admin-guild-balance-change-record-007
2. 场景：SC-89204c4001c96c</x:v>
      </x:c>
    </x:row>
    <x:row r="632" ht="82" customHeight="1">
      <x:c r="A632" s="4" t="n">
        <x:v>631</x:v>
      </x:c>
      <x:c r="B632" s="4" t="str">
        <x:v>ADMIN-0631</x:v>
      </x:c>
      <x:c r="C632" s="4" t="str">
        <x:v>M11 财务、退款、结算上传与账户调整</x:v>
      </x:c>
      <x:c r="D632" s="4" t="str">
        <x:v>公会余额变更记录（平台管理员视角）</x:v>
      </x:c>
      <x:c r="E632" s="4" t="str">
        <x:v>逻辑校验</x:v>
      </x:c>
      <x:c r="F632" s="4" t="str">
        <x:v>P1</x:v>
      </x:c>
      <x:c r="G632" s="4" t="str">
        <x:v>验证公会余额修正-99</x:v>
      </x:c>
      <x:c r="H632" s="4" t="str">
        <x:v>公会余额修正-99</x:v>
      </x:c>
      <x:c r="I632" s="4" t="str">
        <x:v>1. 已登录平台管理员账号
2. 当前结算账户余额100，原因已填</x:v>
      </x:c>
      <x:c r="J632" s="4" t="str">
        <x:v>1. 进入「公会余额变更记录」页
2. 输入有符号金额-99
3. 确认变更</x:v>
      </x:c>
      <x:c r="K632" s="4" t="str">
        <x:v>新余额 = 100 + (-99) = 1</x:v>
      </x:c>
      <x:c r="L632" s="4" t="str"/>
      <x:c r="M632" s="4" t="str">
        <x:v>未测</x:v>
      </x:c>
      <x:c r="N632" s="4" t="str"/>
      <x:c r="O632" s="4" t="str">
        <x:v>1. 来源：MainBasis/统一需求文档.md；A-admin-guild-balance-change-record-003、A-admin-guild-balance-change-record-004、A-admin-guild-balance-change-record-007
2. 场景：SC-3c0f1a481702b7</x:v>
      </x:c>
    </x:row>
    <x:row r="633" ht="82" customHeight="1">
      <x:c r="A633" s="4" t="n">
        <x:v>632</x:v>
      </x:c>
      <x:c r="B633" s="4" t="str">
        <x:v>ADMIN-0632</x:v>
      </x:c>
      <x:c r="C633" s="4" t="str">
        <x:v>M11 财务、退款、结算上传与账户调整</x:v>
      </x:c>
      <x:c r="D633" s="4" t="str">
        <x:v>公会余额变更记录（平台管理员视角）</x:v>
      </x:c>
      <x:c r="E633" s="4" t="str">
        <x:v>逻辑校验</x:v>
      </x:c>
      <x:c r="F633" s="4" t="str">
        <x:v>P1</x:v>
      </x:c>
      <x:c r="G633" s="4" t="str">
        <x:v>验证公会余额修正0</x:v>
      </x:c>
      <x:c r="H633" s="4" t="str">
        <x:v>公会余额修正0</x:v>
      </x:c>
      <x:c r="I633" s="4" t="str">
        <x:v>1. 已登录平台管理员账号
2. 当前结算账户余额100，原因已填</x:v>
      </x:c>
      <x:c r="J633" s="4" t="str">
        <x:v>1. 进入「公会余额变更记录」页
2. 输入有符号金额0
3. 确认变更</x:v>
      </x:c>
      <x:c r="K633" s="4" t="str">
        <x:v>不能生成该金额修正流水</x:v>
      </x:c>
      <x:c r="L633" s="4" t="str"/>
      <x:c r="M633" s="4" t="str">
        <x:v>未测</x:v>
      </x:c>
      <x:c r="N633" s="4" t="str"/>
      <x:c r="O633" s="4" t="str">
        <x:v>1. 来源：MainBasis/统一需求文档.md；A-admin-guild-balance-change-record-003、A-admin-guild-balance-change-record-004、A-admin-guild-balance-change-record-007
2. 场景：SC-80d7a9523ea36e</x:v>
      </x:c>
    </x:row>
    <x:row r="634" ht="82" customHeight="1">
      <x:c r="A634" s="4" t="n">
        <x:v>633</x:v>
      </x:c>
      <x:c r="B634" s="4" t="str">
        <x:v>ADMIN-0633</x:v>
      </x:c>
      <x:c r="C634" s="4" t="str">
        <x:v>M11 财务、退款、结算上传与账户调整</x:v>
      </x:c>
      <x:c r="D634" s="4" t="str">
        <x:v>公会余额变更记录（平台管理员视角）</x:v>
      </x:c>
      <x:c r="E634" s="4" t="str">
        <x:v>逻辑校验</x:v>
      </x:c>
      <x:c r="F634" s="4" t="str">
        <x:v>P1</x:v>
      </x:c>
      <x:c r="G634" s="4" t="str">
        <x:v>验证公会余额修正0.01</x:v>
      </x:c>
      <x:c r="H634" s="4" t="str">
        <x:v>公会余额修正0.01</x:v>
      </x:c>
      <x:c r="I634" s="4" t="str">
        <x:v>1. 已登录平台管理员账号
2. 当前结算账户余额100，原因已填</x:v>
      </x:c>
      <x:c r="J634" s="4" t="str">
        <x:v>1. 进入「公会余额变更记录」页
2. 输入有符号金额0.01
3. 确认变更</x:v>
      </x:c>
      <x:c r="K634" s="4" t="str">
        <x:v>新余额 = 100 + (0.01) = 100.01</x:v>
      </x:c>
      <x:c r="L634" s="4" t="str"/>
      <x:c r="M634" s="4" t="str">
        <x:v>未测</x:v>
      </x:c>
      <x:c r="N634" s="4" t="str"/>
      <x:c r="O634" s="4" t="str">
        <x:v>1. 来源：MainBasis/统一需求文档.md；A-admin-guild-balance-change-record-003、A-admin-guild-balance-change-record-004、A-admin-guild-balance-change-record-007
2. 场景：SC-887a1bfab2529e</x:v>
      </x:c>
    </x:row>
    <x:row r="635" ht="82" customHeight="1">
      <x:c r="A635" s="4" t="n">
        <x:v>634</x:v>
      </x:c>
      <x:c r="B635" s="4" t="str">
        <x:v>ADMIN-0634</x:v>
      </x:c>
      <x:c r="C635" s="4" t="str">
        <x:v>M11 财务、退款、结算上传与账户调整</x:v>
      </x:c>
      <x:c r="D635" s="4" t="str">
        <x:v>公会余额变更记录（平台管理员视角）</x:v>
      </x:c>
      <x:c r="E635" s="4" t="str">
        <x:v>逻辑校验</x:v>
      </x:c>
      <x:c r="F635" s="4" t="str">
        <x:v>P1</x:v>
      </x:c>
      <x:c r="G635" s="4" t="str">
        <x:v>验证公会余额修正1.001</x:v>
      </x:c>
      <x:c r="H635" s="4" t="str">
        <x:v>公会余额修正1.001</x:v>
      </x:c>
      <x:c r="I635" s="4" t="str">
        <x:v>1. 已登录平台管理员账号
2. 当前结算账户余额100，原因已填</x:v>
      </x:c>
      <x:c r="J635" s="4" t="str">
        <x:v>1. 进入「公会余额变更记录」页
2. 输入有符号金额1.001
3. 确认变更</x:v>
      </x:c>
      <x:c r="K635" s="4" t="str">
        <x:v>不能生成该金额修正流水</x:v>
      </x:c>
      <x:c r="L635" s="4" t="str"/>
      <x:c r="M635" s="4" t="str">
        <x:v>未测</x:v>
      </x:c>
      <x:c r="N635" s="4" t="str"/>
      <x:c r="O635" s="4" t="str">
        <x:v>1. 来源：MainBasis/统一需求文档.md；A-admin-guild-balance-change-record-003、A-admin-guild-balance-change-record-004、A-admin-guild-balance-change-record-007
2. 场景：SC-3261763490bd4f</x:v>
      </x:c>
    </x:row>
    <x:row r="636" ht="82" customHeight="1">
      <x:c r="A636" s="4" t="n">
        <x:v>635</x:v>
      </x:c>
      <x:c r="B636" s="4" t="str">
        <x:v>ADMIN-0635</x:v>
      </x:c>
      <x:c r="C636" s="4" t="str">
        <x:v>M11 财务、退款、结算上传与账户调整</x:v>
      </x:c>
      <x:c r="D636" s="4" t="str">
        <x:v>公会余额变更记录（平台管理员视角）</x:v>
      </x:c>
      <x:c r="E636" s="4" t="str">
        <x:v>逻辑校验</x:v>
      </x:c>
      <x:c r="F636" s="4" t="str">
        <x:v>P1</x:v>
      </x:c>
      <x:c r="G636" s="4" t="str">
        <x:v>验证公会余额修正100</x:v>
      </x:c>
      <x:c r="H636" s="4" t="str">
        <x:v>公会余额修正100</x:v>
      </x:c>
      <x:c r="I636" s="4" t="str">
        <x:v>1. 已登录平台管理员账号
2. 当前结算账户余额100，原因已填</x:v>
      </x:c>
      <x:c r="J636" s="4" t="str">
        <x:v>1. 进入「公会余额变更记录」页
2. 输入有符号金额100
3. 确认变更</x:v>
      </x:c>
      <x:c r="K636" s="4" t="str">
        <x:v>新余额 = 100 + (100) = 200</x:v>
      </x:c>
      <x:c r="L636" s="4" t="str"/>
      <x:c r="M636" s="4" t="str">
        <x:v>未测</x:v>
      </x:c>
      <x:c r="N636" s="4" t="str"/>
      <x:c r="O636" s="4" t="str">
        <x:v>1. 来源：MainBasis/统一需求文档.md；A-admin-guild-balance-change-record-003、A-admin-guild-balance-change-record-004、A-admin-guild-balance-change-record-007
2. 场景：SC-8572c241b30314</x:v>
      </x:c>
    </x:row>
    <x:row r="637" ht="68" customHeight="1">
      <x:c r="A637" s="4" t="n">
        <x:v>636</x:v>
      </x:c>
      <x:c r="B637" s="4" t="str">
        <x:v>ADMIN-0636</x:v>
      </x:c>
      <x:c r="C637" s="4" t="str">
        <x:v>M11 财务、退款、结算上传与账户调整</x:v>
      </x:c>
      <x:c r="D637" s="4" t="str">
        <x:v>公会余额变更记录（平台管理员视角）</x:v>
      </x:c>
      <x:c r="E637" s="4" t="str">
        <x:v>异常用例</x:v>
      </x:c>
      <x:c r="F637" s="4" t="str">
        <x:v>P1</x:v>
      </x:c>
      <x:c r="G637" s="4" t="str">
        <x:v>验证备注缺失限制</x:v>
      </x:c>
      <x:c r="H637" s="4" t="str">
        <x:v>备注缺失限制</x:v>
      </x:c>
      <x:c r="I637" s="4" t="str">
        <x:v>1. 已登录平台管理员账号
2. 其他必填字段为合法值</x:v>
      </x:c>
      <x:c r="J637" s="4" t="str">
        <x:v>1. 进入「公会余额变更记录」页
2. 清空「备注」
3. 点击「确认」</x:v>
      </x:c>
      <x:c r="K637" s="4" t="str">
        <x:v>备注未填写，无法确认</x:v>
      </x:c>
      <x:c r="L637" s="4" t="str"/>
      <x:c r="M637" s="4" t="str">
        <x:v>未测</x:v>
      </x:c>
      <x:c r="N637" s="4" t="str"/>
      <x:c r="O637" s="4" t="str">
        <x:v>1. 来源：MainBasis/统一需求文档.md；A-admin-guild-balance-change-record-005
2. 场景：SC-99b979080a828c</x:v>
      </x:c>
    </x:row>
    <x:row r="638" ht="68" customHeight="1">
      <x:c r="A638" s="4" t="n">
        <x:v>637</x:v>
      </x:c>
      <x:c r="B638" s="4" t="str">
        <x:v>ADMIN-0637</x:v>
      </x:c>
      <x:c r="C638" s="4" t="str">
        <x:v>M11 财务、退款、结算上传与账户调整</x:v>
      </x:c>
      <x:c r="D638" s="4" t="str">
        <x:v>公会余额变更记录（平台管理员视角）</x:v>
      </x:c>
      <x:c r="E638" s="4" t="str">
        <x:v>功能需求</x:v>
      </x:c>
      <x:c r="F638" s="4" t="str">
        <x:v>P1</x:v>
      </x:c>
      <x:c r="G638" s="4" t="str">
        <x:v>验证公会修正流水不可修改</x:v>
      </x:c>
      <x:c r="H638" s="4" t="str">
        <x:v>公会修正流水不可修改</x:v>
      </x:c>
      <x:c r="I638" s="4" t="str">
        <x:v>1. 已登录平台管理员账号
2. 已经完成一笔修正</x:v>
      </x:c>
      <x:c r="J638" s="4" t="str">
        <x:v>1. 进入「公会余额变更记录」页
2. 查看公会修正流水不可修改</x:v>
      </x:c>
      <x:c r="K638" s="4" t="str">
        <x:v>该修正流水只读</x:v>
      </x:c>
      <x:c r="L638" s="4" t="str"/>
      <x:c r="M638" s="4" t="str">
        <x:v>未测</x:v>
      </x:c>
      <x:c r="N638" s="4" t="str"/>
      <x:c r="O638" s="4" t="str">
        <x:v>1. 来源：MainBasis/统一需求文档.md；A-admin-guild-balance-change-record-008
2. 场景：SC-690b3f5818fa77</x:v>
      </x:c>
    </x:row>
    <x:row r="639" ht="68" customHeight="1">
      <x:c r="A639" s="4" t="n">
        <x:v>638</x:v>
      </x:c>
      <x:c r="B639" s="4" t="str">
        <x:v>ADMIN-0638</x:v>
      </x:c>
      <x:c r="C639" s="4" t="str">
        <x:v>M11 财务、退款、结算上传与账户调整</x:v>
      </x:c>
      <x:c r="D639" s="4" t="str">
        <x:v>公会余额变更记录（平台管理员视角）</x:v>
      </x:c>
      <x:c r="E639" s="4" t="str">
        <x:v>功能需求</x:v>
      </x:c>
      <x:c r="F639" s="4" t="str">
        <x:v>P1</x:v>
      </x:c>
      <x:c r="G639" s="4" t="str">
        <x:v>验证收益分成变更类型</x:v>
      </x:c>
      <x:c r="H639" s="4" t="str">
        <x:v>收益分成变更类型</x:v>
      </x:c>
      <x:c r="I639" s="4" t="str">
        <x:v>1. 已登录平台管理员账号
2. 所选余额变更由收益分成形成</x:v>
      </x:c>
      <x:c r="J639" s="4" t="str">
        <x:v>1. 进入「公会余额变更记录」页
2. 查看收益分成变更类型</x:v>
      </x:c>
      <x:c r="K639" s="4" t="str">
        <x:v>变更类型显示收益分成</x:v>
      </x:c>
      <x:c r="L639" s="4" t="str"/>
      <x:c r="M639" s="4" t="str">
        <x:v>未测</x:v>
      </x:c>
      <x:c r="N639" s="4" t="str"/>
      <x:c r="O639" s="4" t="str">
        <x:v>1. 来源：MainBasis/统一需求文档.md；A-admin-guild-balance-change-record-002
2. 场景：SC-6291978617f866</x:v>
      </x:c>
    </x:row>
    <x:row r="640" ht="68" customHeight="1">
      <x:c r="A640" s="4" t="n">
        <x:v>639</x:v>
      </x:c>
      <x:c r="B640" s="4" t="str">
        <x:v>ADMIN-0639</x:v>
      </x:c>
      <x:c r="C640" s="4" t="str">
        <x:v>M11 财务、退款、结算上传与账户调整</x:v>
      </x:c>
      <x:c r="D640" s="4" t="str">
        <x:v>公会余额变更记录（平台管理员视角）</x:v>
      </x:c>
      <x:c r="E640" s="4" t="str">
        <x:v>功能需求</x:v>
      </x:c>
      <x:c r="F640" s="4" t="str">
        <x:v>P1</x:v>
      </x:c>
      <x:c r="G640" s="4" t="str">
        <x:v>验证分成修正变更类型</x:v>
      </x:c>
      <x:c r="H640" s="4" t="str">
        <x:v>分成修正变更类型</x:v>
      </x:c>
      <x:c r="I640" s="4" t="str">
        <x:v>1. 已登录平台管理员账号
2. 所选余额变更由分成修正形成</x:v>
      </x:c>
      <x:c r="J640" s="4" t="str">
        <x:v>1. 进入「公会余额变更记录」页
2. 查看分成修正变更类型</x:v>
      </x:c>
      <x:c r="K640" s="4" t="str">
        <x:v>变更类型显示分成修正</x:v>
      </x:c>
      <x:c r="L640" s="4" t="str"/>
      <x:c r="M640" s="4" t="str">
        <x:v>未测</x:v>
      </x:c>
      <x:c r="N640" s="4" t="str"/>
      <x:c r="O640" s="4" t="str">
        <x:v>1. 来源：MainBasis/统一需求文档.md；A-admin-guild-balance-change-record-002
2. 场景：SC-61d772ea711b6c</x:v>
      </x:c>
    </x:row>
    <x:row r="641" ht="68" customHeight="1">
      <x:c r="A641" s="4" t="n">
        <x:v>640</x:v>
      </x:c>
      <x:c r="B641" s="4" t="str">
        <x:v>ADMIN-0640</x:v>
      </x:c>
      <x:c r="C641" s="4" t="str">
        <x:v>M11 财务、退款、结算上传与账户调整</x:v>
      </x:c>
      <x:c r="D641" s="4" t="str">
        <x:v>充值订单-25（平台管理员视角）</x:v>
      </x:c>
      <x:c r="E641" s="4" t="str">
        <x:v>功能需求</x:v>
      </x:c>
      <x:c r="F641" s="4" t="str">
        <x:v>P2</x:v>
      </x:c>
      <x:c r="G641" s="4" t="str">
        <x:v>验证充值金额回显</x:v>
      </x:c>
      <x:c r="H641" s="4" t="str">
        <x:v>充值金额回显</x:v>
      </x:c>
      <x:c r="I641" s="4" t="str">
        <x:v>1. 已登录平台管理员账号
2. 所选对象存在，已记录该对象的充值金额值</x:v>
      </x:c>
      <x:c r="J641" s="4" t="str">
        <x:v>1. 进入「充值订单-25」页
2. 查看充值金额回显</x:v>
      </x:c>
      <x:c r="K641" s="4" t="str">
        <x:v>「充值金额」内容与所选对象的该项资料一致</x:v>
      </x:c>
      <x:c r="L641" s="4" t="str"/>
      <x:c r="M641" s="4" t="str">
        <x:v>未测</x:v>
      </x:c>
      <x:c r="N641" s="4" t="str"/>
      <x:c r="O641" s="4" t="str">
        <x:v>1. 来源：MainBasis/统一需求文档.md；A-admin-recharge-order-003
2. 场景：SC-279dd36c719de9</x:v>
      </x:c>
    </x:row>
    <x:row r="642" ht="68" customHeight="1">
      <x:c r="A642" s="4" t="n">
        <x:v>641</x:v>
      </x:c>
      <x:c r="B642" s="4" t="str">
        <x:v>ADMIN-0641</x:v>
      </x:c>
      <x:c r="C642" s="4" t="str">
        <x:v>M11 财务、退款、结算上传与账户调整</x:v>
      </x:c>
      <x:c r="D642" s="4" t="str">
        <x:v>充值订单-25（平台管理员视角）</x:v>
      </x:c>
      <x:c r="E642" s="4" t="str">
        <x:v>功能需求</x:v>
      </x:c>
      <x:c r="F642" s="4" t="str">
        <x:v>P2</x:v>
      </x:c>
      <x:c r="G642" s="4" t="str">
        <x:v>验证基础、赠送金币回显</x:v>
      </x:c>
      <x:c r="H642" s="4" t="str">
        <x:v>基础、赠送金币回显</x:v>
      </x:c>
      <x:c r="I642" s="4" t="str">
        <x:v>1. 已登录平台管理员账号
2. 所选对象存在，已记录该对象的基础 / 赠送金币值</x:v>
      </x:c>
      <x:c r="J642" s="4" t="str">
        <x:v>1. 进入「充值订单-25」页
2. 查看基础、赠送金币回显</x:v>
      </x:c>
      <x:c r="K642" s="4" t="str">
        <x:v>「基础 / 赠送金币」内容与所选对象的该项资料一致</x:v>
      </x:c>
      <x:c r="L642" s="4" t="str"/>
      <x:c r="M642" s="4" t="str">
        <x:v>未测</x:v>
      </x:c>
      <x:c r="N642" s="4" t="str"/>
      <x:c r="O642" s="4" t="str">
        <x:v>1. 来源：MainBasis/统一需求文档.md；A-admin-recharge-order-004
2. 场景：SC-9e2cf9d7351231</x:v>
      </x:c>
    </x:row>
    <x:row r="643" ht="68" customHeight="1">
      <x:c r="A643" s="4" t="n">
        <x:v>642</x:v>
      </x:c>
      <x:c r="B643" s="4" t="str">
        <x:v>ADMIN-0642</x:v>
      </x:c>
      <x:c r="C643" s="4" t="str">
        <x:v>M11 财务、退款、结算上传与账户调整</x:v>
      </x:c>
      <x:c r="D643" s="4" t="str">
        <x:v>充值订单-25（平台管理员视角）</x:v>
      </x:c>
      <x:c r="E643" s="4" t="str">
        <x:v>功能需求</x:v>
      </x:c>
      <x:c r="F643" s="4" t="str">
        <x:v>P2</x:v>
      </x:c>
      <x:c r="G643" s="4" t="str">
        <x:v>验证到账金币回显</x:v>
      </x:c>
      <x:c r="H643" s="4" t="str">
        <x:v>到账金币回显</x:v>
      </x:c>
      <x:c r="I643" s="4" t="str">
        <x:v>1. 已登录平台管理员账号
2. 所选对象存在，已记录该对象的到账金币值</x:v>
      </x:c>
      <x:c r="J643" s="4" t="str">
        <x:v>1. 进入「充值订单-25」页
2. 查看到账金币回显</x:v>
      </x:c>
      <x:c r="K643" s="4" t="str">
        <x:v>「到账金币」内容与所选对象的该项资料一致</x:v>
      </x:c>
      <x:c r="L643" s="4" t="str"/>
      <x:c r="M643" s="4" t="str">
        <x:v>未测</x:v>
      </x:c>
      <x:c r="N643" s="4" t="str"/>
      <x:c r="O643" s="4" t="str">
        <x:v>1. 来源：MainBasis/统一需求文档.md；A-admin-recharge-order-005
2. 场景：SC-7dc3b4019d83b7</x:v>
      </x:c>
    </x:row>
    <x:row r="644" ht="68" customHeight="1">
      <x:c r="A644" s="4" t="n">
        <x:v>643</x:v>
      </x:c>
      <x:c r="B644" s="4" t="str">
        <x:v>ADMIN-0643</x:v>
      </x:c>
      <x:c r="C644" s="4" t="str">
        <x:v>M11 财务、退款、结算上传与账户调整</x:v>
      </x:c>
      <x:c r="D644" s="4" t="str">
        <x:v>充值订单-25（平台管理员视角）</x:v>
      </x:c>
      <x:c r="E644" s="4" t="str">
        <x:v>功能需求</x:v>
      </x:c>
      <x:c r="F644" s="4" t="str">
        <x:v>P2</x:v>
      </x:c>
      <x:c r="G644" s="4" t="str">
        <x:v>验证成功时间回显</x:v>
      </x:c>
      <x:c r="H644" s="4" t="str">
        <x:v>成功时间回显</x:v>
      </x:c>
      <x:c r="I644" s="4" t="str">
        <x:v>1. 已登录平台管理员账号
2. 所选对象存在，已记录该对象的成功时间值</x:v>
      </x:c>
      <x:c r="J644" s="4" t="str">
        <x:v>1. 进入「充值订单-25」页
2. 查看成功时间回显</x:v>
      </x:c>
      <x:c r="K644" s="4" t="str">
        <x:v>「成功时间」内容与所选对象的该项资料一致</x:v>
      </x:c>
      <x:c r="L644" s="4" t="str"/>
      <x:c r="M644" s="4" t="str">
        <x:v>未测</x:v>
      </x:c>
      <x:c r="N644" s="4" t="str"/>
      <x:c r="O644" s="4" t="str">
        <x:v>1. 来源：MainBasis/统一需求文档.md；A-admin-recharge-order-007
2. 场景：SC-11da2b1fed37a3</x:v>
      </x:c>
    </x:row>
    <x:row r="645" ht="68" customHeight="1">
      <x:c r="A645" s="4" t="n">
        <x:v>644</x:v>
      </x:c>
      <x:c r="B645" s="4" t="str">
        <x:v>ADMIN-0644</x:v>
      </x:c>
      <x:c r="C645" s="4" t="str">
        <x:v>M11 财务、退款、结算上传与账户调整</x:v>
      </x:c>
      <x:c r="D645" s="4" t="str">
        <x:v>充值订单-25（平台管理员视角）</x:v>
      </x:c>
      <x:c r="E645" s="4" t="str">
        <x:v>功能需求</x:v>
      </x:c>
      <x:c r="F645" s="4" t="str">
        <x:v>P2</x:v>
      </x:c>
      <x:c r="G645" s="4" t="str">
        <x:v>验证状态充值成功回显</x:v>
      </x:c>
      <x:c r="H645" s="4" t="str">
        <x:v>状态充值成功回显</x:v>
      </x:c>
      <x:c r="I645" s="4" t="str">
        <x:v>1. 已登录平台管理员账号
2. 所选记录状态为充值成功</x:v>
      </x:c>
      <x:c r="J645" s="4" t="str">
        <x:v>1. 进入「充值订单-25」页
2. 查看状态充值成功回显</x:v>
      </x:c>
      <x:c r="K645" s="4" t="str">
        <x:v>状态显示充值成功</x:v>
      </x:c>
      <x:c r="L645" s="4" t="str"/>
      <x:c r="M645" s="4" t="str">
        <x:v>未测</x:v>
      </x:c>
      <x:c r="N645" s="4" t="str"/>
      <x:c r="O645" s="4" t="str">
        <x:v>1. 来源：MainBasis/统一需求文档.md；A-admin-recharge-order-006
2. 场景：SC-d55521187a13d8</x:v>
      </x:c>
    </x:row>
    <x:row r="646" ht="68" customHeight="1">
      <x:c r="A646" s="4" t="n">
        <x:v>645</x:v>
      </x:c>
      <x:c r="B646" s="4" t="str">
        <x:v>ADMIN-0645</x:v>
      </x:c>
      <x:c r="C646" s="4" t="str">
        <x:v>M11 财务、退款、结算上传与账户调整</x:v>
      </x:c>
      <x:c r="D646" s="4" t="str">
        <x:v>充值订单-25（平台管理员视角）</x:v>
      </x:c>
      <x:c r="E646" s="4" t="str">
        <x:v>功能需求</x:v>
      </x:c>
      <x:c r="F646" s="4" t="str">
        <x:v>P2</x:v>
      </x:c>
      <x:c r="G646" s="4" t="str">
        <x:v>验证状态已退款回显</x:v>
      </x:c>
      <x:c r="H646" s="4" t="str">
        <x:v>状态已退款回显</x:v>
      </x:c>
      <x:c r="I646" s="4" t="str">
        <x:v>1. 已登录平台管理员账号
2. 所选记录状态为已退款</x:v>
      </x:c>
      <x:c r="J646" s="4" t="str">
        <x:v>1. 进入「充值订单-25」页
2. 查看状态已退款回显</x:v>
      </x:c>
      <x:c r="K646" s="4" t="str">
        <x:v>状态显示已退款</x:v>
      </x:c>
      <x:c r="L646" s="4" t="str"/>
      <x:c r="M646" s="4" t="str">
        <x:v>未测</x:v>
      </x:c>
      <x:c r="N646" s="4" t="str"/>
      <x:c r="O646" s="4" t="str">
        <x:v>1. 来源：MainBasis/统一需求文档.md；A-admin-recharge-order-006
2. 场景：SC-fc4751dc8923b6</x:v>
      </x:c>
    </x:row>
    <x:row r="647" ht="68" customHeight="1">
      <x:c r="A647" s="4" t="n">
        <x:v>646</x:v>
      </x:c>
      <x:c r="B647" s="4" t="str">
        <x:v>ADMIN-0646</x:v>
      </x:c>
      <x:c r="C647" s="4" t="str">
        <x:v>M11 财务、退款、结算上传与账户调整</x:v>
      </x:c>
      <x:c r="D647" s="4" t="str">
        <x:v>充值订单-25（平台管理员视角）</x:v>
      </x:c>
      <x:c r="E647" s="4" t="str">
        <x:v>功能需求</x:v>
      </x:c>
      <x:c r="F647" s="4" t="str">
        <x:v>P2</x:v>
      </x:c>
      <x:c r="G647" s="4" t="str">
        <x:v>验证导出仅包含当前查询结果</x:v>
      </x:c>
      <x:c r="H647" s="4" t="str">
        <x:v>导出仅包含当前查询结果</x:v>
      </x:c>
      <x:c r="I647" s="4" t="str">
        <x:v>1. 已登录平台管理员账号
2. 当前查询命中记录甲、乙，记录丙不满足当前筛选</x:v>
      </x:c>
      <x:c r="J647" s="4" t="str">
        <x:v>1. 进入「充值订单-25」页
2. 点击导出
3. 打开下载的结果文件</x:v>
      </x:c>
      <x:c r="K647" s="4" t="str">
        <x:v>导出记录为甲、乙，不包含丙</x:v>
      </x:c>
      <x:c r="L647" s="4" t="str"/>
      <x:c r="M647" s="4" t="str">
        <x:v>未测</x:v>
      </x:c>
      <x:c r="N647" s="4" t="str"/>
      <x:c r="O647" s="4" t="str">
        <x:v>1. 来源：MainBasis/统一需求文档.md；A-admin-recharge-order-009
2. 场景：SC-6e3daaea14556d</x:v>
      </x:c>
    </x:row>
    <x:row r="648" ht="68" customHeight="1">
      <x:c r="A648" s="4" t="n">
        <x:v>647</x:v>
      </x:c>
      <x:c r="B648" s="4" t="str">
        <x:v>ADMIN-0647</x:v>
      </x:c>
      <x:c r="C648" s="4" t="str">
        <x:v>M11 财务、退款、结算上传与账户调整</x:v>
      </x:c>
      <x:c r="D648" s="4" t="str">
        <x:v>充值订单-25（平台管理员视角）</x:v>
      </x:c>
      <x:c r="E648" s="4" t="str">
        <x:v>功能需求</x:v>
      </x:c>
      <x:c r="F648" s="4" t="str">
        <x:v>P1</x:v>
      </x:c>
      <x:c r="G648" s="4" t="str">
        <x:v>验证充值交易标识关联</x:v>
      </x:c>
      <x:c r="H648" s="4" t="str">
        <x:v>充值交易标识关联</x:v>
      </x:c>
      <x:c r="I648" s="4" t="str">
        <x:v>1. 已登录平台管理员账号
2. 有两笔成功充值，已记录各自平台订单号与渠道交易号</x:v>
      </x:c>
      <x:c r="J648" s="4" t="str">
        <x:v>1. 进入「充值订单-25」页
2. 查看充值交易标识关联</x:v>
      </x:c>
      <x:c r="K648" s="4" t="str">
        <x:v>两行平台订单号互不相同，渠道交易号各自对应原渠道交易</x:v>
      </x:c>
      <x:c r="L648" s="4" t="str"/>
      <x:c r="M648" s="4" t="str">
        <x:v>未测</x:v>
      </x:c>
      <x:c r="N648" s="4" t="str"/>
      <x:c r="O648" s="4" t="str">
        <x:v>1. 来源：MainBasis/统一需求文档.md；A-admin-recharge-order-002
2. 场景：SC-7d6ca576889940</x:v>
      </x:c>
    </x:row>
    <x:row r="649" ht="68" customHeight="1">
      <x:c r="A649" s="4" t="n">
        <x:v>648</x:v>
      </x:c>
      <x:c r="B649" s="4" t="str">
        <x:v>ADMIN-0648</x:v>
      </x:c>
      <x:c r="C649" s="4" t="str">
        <x:v>M11 财务、退款、结算上传与账户调整</x:v>
      </x:c>
      <x:c r="D649" s="4" t="str">
        <x:v>充值订单详情（平台管理员视角）</x:v>
      </x:c>
      <x:c r="E649" s="4" t="str">
        <x:v>功能需求</x:v>
      </x:c>
      <x:c r="F649" s="4" t="str">
        <x:v>P2</x:v>
      </x:c>
      <x:c r="G649" s="4" t="str">
        <x:v>验证订单金额、实付金额回显</x:v>
      </x:c>
      <x:c r="H649" s="4" t="str">
        <x:v>订单金额、实付金额回显</x:v>
      </x:c>
      <x:c r="I649" s="4" t="str">
        <x:v>1. 已登录平台管理员账号
2. 所选对象存在，已记录该对象的订单金额 / 实付金额值</x:v>
      </x:c>
      <x:c r="J649" s="4" t="str">
        <x:v>1. 进入「充值订单详情」页
2. 查看订单金额、实付金额回显</x:v>
      </x:c>
      <x:c r="K649" s="4" t="str">
        <x:v>「订单金额 / 实付金额」内容与所选对象的该项资料一致</x:v>
      </x:c>
      <x:c r="L649" s="4" t="str"/>
      <x:c r="M649" s="4" t="str">
        <x:v>未测</x:v>
      </x:c>
      <x:c r="N649" s="4" t="str"/>
      <x:c r="O649" s="4" t="str">
        <x:v>1. 来源：MainBasis/统一需求文档.md；A-admin-recharge-order-detail-003
2. 场景：SC-1a208ddff49f1a</x:v>
      </x:c>
    </x:row>
    <x:row r="650" ht="68" customHeight="1">
      <x:c r="A650" s="4" t="n">
        <x:v>649</x:v>
      </x:c>
      <x:c r="B650" s="4" t="str">
        <x:v>ADMIN-0649</x:v>
      </x:c>
      <x:c r="C650" s="4" t="str">
        <x:v>M11 财务、退款、结算上传与账户调整</x:v>
      </x:c>
      <x:c r="D650" s="4" t="str">
        <x:v>充值订单详情（平台管理员视角）</x:v>
      </x:c>
      <x:c r="E650" s="4" t="str">
        <x:v>功能需求</x:v>
      </x:c>
      <x:c r="F650" s="4" t="str">
        <x:v>P2</x:v>
      </x:c>
      <x:c r="G650" s="4" t="str">
        <x:v>验证总到账金币回显</x:v>
      </x:c>
      <x:c r="H650" s="4" t="str">
        <x:v>总到账金币回显</x:v>
      </x:c>
      <x:c r="I650" s="4" t="str">
        <x:v>1. 已登录平台管理员账号
2. 所选对象存在，已记录该对象的总到账金币值</x:v>
      </x:c>
      <x:c r="J650" s="4" t="str">
        <x:v>1. 进入「充值订单详情」页
2. 查看总到账金币回显</x:v>
      </x:c>
      <x:c r="K650" s="4" t="str">
        <x:v>「总到账金币」内容与所选对象的该项资料一致</x:v>
      </x:c>
      <x:c r="L650" s="4" t="str"/>
      <x:c r="M650" s="4" t="str">
        <x:v>未测</x:v>
      </x:c>
      <x:c r="N650" s="4" t="str"/>
      <x:c r="O650" s="4" t="str">
        <x:v>1. 来源：MainBasis/统一需求文档.md；A-admin-recharge-order-detail-004
2. 场景：SC-4935026f1f235d</x:v>
      </x:c>
    </x:row>
    <x:row r="651" ht="68" customHeight="1">
      <x:c r="A651" s="4" t="n">
        <x:v>650</x:v>
      </x:c>
      <x:c r="B651" s="4" t="str">
        <x:v>ADMIN-0650</x:v>
      </x:c>
      <x:c r="C651" s="4" t="str">
        <x:v>M11 财务、退款、结算上传与账户调整</x:v>
      </x:c>
      <x:c r="D651" s="4" t="str">
        <x:v>充值订单详情（平台管理员视角）</x:v>
      </x:c>
      <x:c r="E651" s="4" t="str">
        <x:v>功能需求</x:v>
      </x:c>
      <x:c r="F651" s="4" t="str">
        <x:v>P2</x:v>
      </x:c>
      <x:c r="G651" s="4" t="str">
        <x:v>验证退款金额回显</x:v>
      </x:c>
      <x:c r="H651" s="4" t="str">
        <x:v>退款金额回显</x:v>
      </x:c>
      <x:c r="I651" s="4" t="str">
        <x:v>1. 已登录平台管理员账号
2. 所选对象存在，已记录该对象的退款金额值</x:v>
      </x:c>
      <x:c r="J651" s="4" t="str">
        <x:v>1. 进入「充值订单详情」页
2. 查看退款金额回显</x:v>
      </x:c>
      <x:c r="K651" s="4" t="str">
        <x:v>「退款金额」内容与所选对象的该项资料一致</x:v>
      </x:c>
      <x:c r="L651" s="4" t="str"/>
      <x:c r="M651" s="4" t="str">
        <x:v>未测</x:v>
      </x:c>
      <x:c r="N651" s="4" t="str"/>
      <x:c r="O651" s="4" t="str">
        <x:v>1. 来源：MainBasis/统一需求文档.md；A-admin-recharge-order-detail-005
2. 场景：SC-5addbf654ad449</x:v>
      </x:c>
    </x:row>
    <x:row r="652" ht="68" customHeight="1">
      <x:c r="A652" s="4" t="n">
        <x:v>651</x:v>
      </x:c>
      <x:c r="B652" s="4" t="str">
        <x:v>ADMIN-0651</x:v>
      </x:c>
      <x:c r="C652" s="4" t="str">
        <x:v>M11 财务、退款、结算上传与账户调整</x:v>
      </x:c>
      <x:c r="D652" s="4" t="str">
        <x:v>充值订单详情（平台管理员视角）</x:v>
      </x:c>
      <x:c r="E652" s="4" t="str">
        <x:v>功能需求</x:v>
      </x:c>
      <x:c r="F652" s="4" t="str">
        <x:v>P2</x:v>
      </x:c>
      <x:c r="G652" s="4" t="str">
        <x:v>验证扣回金币回显</x:v>
      </x:c>
      <x:c r="H652" s="4" t="str">
        <x:v>扣回金币回显</x:v>
      </x:c>
      <x:c r="I652" s="4" t="str">
        <x:v>1. 已登录平台管理员账号
2. 所选对象存在，已记录该对象的扣回金币值</x:v>
      </x:c>
      <x:c r="J652" s="4" t="str">
        <x:v>1. 进入「充值订单详情」页
2. 查看扣回金币回显</x:v>
      </x:c>
      <x:c r="K652" s="4" t="str">
        <x:v>「扣回金币」内容与所选对象的该项资料一致</x:v>
      </x:c>
      <x:c r="L652" s="4" t="str"/>
      <x:c r="M652" s="4" t="str">
        <x:v>未测</x:v>
      </x:c>
      <x:c r="N652" s="4" t="str"/>
      <x:c r="O652" s="4" t="str">
        <x:v>1. 来源：MainBasis/统一需求文档.md；A-admin-recharge-order-detail-006
2. 场景：SC-241b130651b7b0</x:v>
      </x:c>
    </x:row>
    <x:row r="653" ht="68" customHeight="1">
      <x:c r="A653" s="4" t="n">
        <x:v>652</x:v>
      </x:c>
      <x:c r="B653" s="4" t="str">
        <x:v>ADMIN-0652</x:v>
      </x:c>
      <x:c r="C653" s="4" t="str">
        <x:v>M11 财务、退款、结算上传与账户调整</x:v>
      </x:c>
      <x:c r="D653" s="4" t="str">
        <x:v>充值订单详情（平台管理员视角）</x:v>
      </x:c>
      <x:c r="E653" s="4" t="str">
        <x:v>功能需求</x:v>
      </x:c>
      <x:c r="F653" s="4" t="str">
        <x:v>P2</x:v>
      </x:c>
      <x:c r="G653" s="4" t="str">
        <x:v>验证退款记录回显</x:v>
      </x:c>
      <x:c r="H653" s="4" t="str">
        <x:v>退款记录回显</x:v>
      </x:c>
      <x:c r="I653" s="4" t="str">
        <x:v>1. 已登录平台管理员账号
2. 所选对象存在，已记录该对象的退款记录值</x:v>
      </x:c>
      <x:c r="J653" s="4" t="str">
        <x:v>1. 进入「充值订单详情」页
2. 查看退款记录回显</x:v>
      </x:c>
      <x:c r="K653" s="4" t="str">
        <x:v>「退款记录」内容与所选对象的该项资料一致</x:v>
      </x:c>
      <x:c r="L653" s="4" t="str"/>
      <x:c r="M653" s="4" t="str">
        <x:v>未测</x:v>
      </x:c>
      <x:c r="N653" s="4" t="str"/>
      <x:c r="O653" s="4" t="str">
        <x:v>1. 来源：MainBasis/统一需求文档.md；A-admin-recharge-order-detail-007
2. 场景：SC-e1f9f43763a2d6</x:v>
      </x:c>
    </x:row>
    <x:row r="654" ht="68" customHeight="1">
      <x:c r="A654" s="4" t="n">
        <x:v>653</x:v>
      </x:c>
      <x:c r="B654" s="4" t="str">
        <x:v>ADMIN-0653</x:v>
      </x:c>
      <x:c r="C654" s="4" t="str">
        <x:v>M11 财务、退款、结算上传与账户调整</x:v>
      </x:c>
      <x:c r="D654" s="4" t="str">
        <x:v>充值订单详情（平台管理员视角）</x:v>
      </x:c>
      <x:c r="E654" s="4" t="str">
        <x:v>功能需求</x:v>
      </x:c>
      <x:c r="F654" s="4" t="str">
        <x:v>P1</x:v>
      </x:c>
      <x:c r="G654" s="4" t="str">
        <x:v>验证未支付成功订单不可退款</x:v>
      </x:c>
      <x:c r="H654" s="4" t="str">
        <x:v>未支付成功订单不可退款</x:v>
      </x:c>
      <x:c r="I654" s="4" t="str">
        <x:v>1. 已登录平台管理员账号
2. 当前订单未支付成功</x:v>
      </x:c>
      <x:c r="J654" s="4" t="str">
        <x:v>1. 进入「充值订单详情」页
2. 查看未支付成功订单不可退款</x:v>
      </x:c>
      <x:c r="K654" s="4" t="str">
        <x:v>不能发起退款</x:v>
      </x:c>
      <x:c r="L654" s="4" t="str"/>
      <x:c r="M654" s="4" t="str">
        <x:v>未测</x:v>
      </x:c>
      <x:c r="N654" s="4" t="str"/>
      <x:c r="O654" s="4" t="str">
        <x:v>1. 来源：MainBasis/统一需求文档.md；A-admin-recharge-order-detail-008
2. 场景：SC-20895d93f56dba</x:v>
      </x:c>
    </x:row>
    <x:row r="655" ht="68" customHeight="1">
      <x:c r="A655" s="4" t="n">
        <x:v>654</x:v>
      </x:c>
      <x:c r="B655" s="4" t="str">
        <x:v>ADMIN-0654</x:v>
      </x:c>
      <x:c r="C655" s="4" t="str">
        <x:v>M11 财务、退款、结算上传与账户调整</x:v>
      </x:c>
      <x:c r="D655" s="4" t="str">
        <x:v>充值订单详情（平台管理员视角）</x:v>
      </x:c>
      <x:c r="E655" s="4" t="str">
        <x:v>功能需求</x:v>
      </x:c>
      <x:c r="F655" s="4" t="str">
        <x:v>P1</x:v>
      </x:c>
      <x:c r="G655" s="4" t="str">
        <x:v>验证已退款订单不可退款</x:v>
      </x:c>
      <x:c r="H655" s="4" t="str">
        <x:v>已退款订单不可退款</x:v>
      </x:c>
      <x:c r="I655" s="4" t="str">
        <x:v>1. 已登录平台管理员账号
2. 当前订单已退款</x:v>
      </x:c>
      <x:c r="J655" s="4" t="str">
        <x:v>1. 进入「充值订单详情」页
2. 查看已退款订单不可退款</x:v>
      </x:c>
      <x:c r="K655" s="4" t="str">
        <x:v>不能发起退款</x:v>
      </x:c>
      <x:c r="L655" s="4" t="str"/>
      <x:c r="M655" s="4" t="str">
        <x:v>未测</x:v>
      </x:c>
      <x:c r="N655" s="4" t="str"/>
      <x:c r="O655" s="4" t="str">
        <x:v>1. 来源：MainBasis/统一需求文档.md；A-admin-recharge-order-detail-008
2. 场景：SC-aafc90d445c858</x:v>
      </x:c>
    </x:row>
    <x:row r="656" ht="68" customHeight="1">
      <x:c r="A656" s="4" t="n">
        <x:v>655</x:v>
      </x:c>
      <x:c r="B656" s="4" t="str">
        <x:v>ADMIN-0655</x:v>
      </x:c>
      <x:c r="C656" s="4" t="str">
        <x:v>M11 财务、退款、结算上传与账户调整</x:v>
      </x:c>
      <x:c r="D656" s="4" t="str">
        <x:v>充值订单详情（平台管理员视角）</x:v>
      </x:c>
      <x:c r="E656" s="4" t="str">
        <x:v>功能需求</x:v>
      </x:c>
      <x:c r="F656" s="4" t="str">
        <x:v>P0</x:v>
      </x:c>
      <x:c r="G656" s="4" t="str">
        <x:v>验证后台整单退款</x:v>
      </x:c>
      <x:c r="H656" s="4" t="str">
        <x:v>后台整单退款</x:v>
      </x:c>
      <x:c r="I656" s="4" t="str">
        <x:v>1. 已登录平台管理员账号
2. 订单支付成功且未退款，实付10USD，原到账120，现余额20</x:v>
      </x:c>
      <x:c r="J656" s="4" t="str">
        <x:v>1. 进入「充值订单详情」页
2. 选择手动退款
3. 填写原因并确认</x:v>
      </x:c>
      <x:c r="K656" s="4" t="str">
        <x:v>原渠道退10USD并生成退款单，扣回120金币，余额-100</x:v>
      </x:c>
      <x:c r="L656" s="4" t="str">
        <x:v>FLOW-2BA2481A</x:v>
      </x:c>
      <x:c r="M656" s="4" t="str">
        <x:v>未测</x:v>
      </x:c>
      <x:c r="N656" s="4" t="str"/>
      <x:c r="O656" s="4" t="str">
        <x:v>1. 来源：MainBasis/统一需求文档.md；A-admin-recharge-order-detail-011
2. 场景：SC-604a0656ec4cdd
3. 状态转换：ST-DF452BCC4832</x:v>
      </x:c>
    </x:row>
    <x:row r="657" ht="68" customHeight="1">
      <x:c r="A657" s="4" t="n">
        <x:v>656</x:v>
      </x:c>
      <x:c r="B657" s="4" t="str">
        <x:v>ADMIN-0656</x:v>
      </x:c>
      <x:c r="C657" s="4" t="str">
        <x:v>M11 财务、退款、结算上传与账户调整</x:v>
      </x:c>
      <x:c r="D657" s="4" t="str">
        <x:v>充值订单详情（平台管理员视角）</x:v>
      </x:c>
      <x:c r="E657" s="4" t="str">
        <x:v>功能需求</x:v>
      </x:c>
      <x:c r="F657" s="4" t="str">
        <x:v>P1</x:v>
      </x:c>
      <x:c r="G657" s="4" t="str">
        <x:v>验证充值不支持部分退款</x:v>
      </x:c>
      <x:c r="H657" s="4" t="str">
        <x:v>充值不支持部分退款</x:v>
      </x:c>
      <x:c r="I657" s="4" t="str">
        <x:v>1. 已登录平台管理员账号
2. 原订单实付10USD</x:v>
      </x:c>
      <x:c r="J657" s="4" t="str">
        <x:v>1. 进入「充值订单详情」页
2. 查看充值不支持部分退款</x:v>
      </x:c>
      <x:c r="K657" s="4" t="str">
        <x:v>只能全额退10USD，不可填写部分退款金额</x:v>
      </x:c>
      <x:c r="L657" s="4" t="str"/>
      <x:c r="M657" s="4" t="str">
        <x:v>未测</x:v>
      </x:c>
      <x:c r="N657" s="4" t="str"/>
      <x:c r="O657" s="4" t="str">
        <x:v>1. 来源：MainBasis/统一需求文档.md；A-admin-recharge-order-detail-005
2. 场景：SC-7bcd650278d97f</x:v>
      </x:c>
    </x:row>
    <x:row r="658" ht="96" customHeight="1">
      <x:c r="A658" s="4" t="n">
        <x:v>657</x:v>
      </x:c>
      <x:c r="B658" s="4" t="str">
        <x:v>ADMIN-0657</x:v>
      </x:c>
      <x:c r="C658" s="4" t="str">
        <x:v>M11 财务、退款、结算上传与账户调整</x:v>
      </x:c>
      <x:c r="D658" s="4" t="str">
        <x:v>充值订单详情（平台管理员视角）</x:v>
      </x:c>
      <x:c r="E658" s="4" t="str">
        <x:v>功能需求</x:v>
      </x:c>
      <x:c r="F658" s="4" t="str">
        <x:v>P1</x:v>
      </x:c>
      <x:c r="G658" s="4" t="str">
        <x:v>验证充值退款不撤销礼物消费</x:v>
      </x:c>
      <x:c r="H658" s="4" t="str">
        <x:v>充值退款不撤销礼物消费</x:v>
      </x:c>
      <x:c r="I658" s="4" t="str">
        <x:v>1. 已登录平台管理员账号
2. 已完成充值退款，此前存在礼物消费</x:v>
      </x:c>
      <x:c r="J658" s="4" t="str">
        <x:v>1. 进入「充值订单详情」页
2. 查看充值退款不撤销礼物消费</x:v>
      </x:c>
      <x:c r="K658" s="4" t="str">
        <x:v>原礼物消费保留，不被回滚</x:v>
      </x:c>
      <x:c r="L658" s="4" t="str"/>
      <x:c r="M658" s="4" t="str">
        <x:v>未测</x:v>
      </x:c>
      <x:c r="N658" s="4" t="str"/>
      <x:c r="O658" s="4" t="str">
        <x:v>1. 来源：MainBasis/统一需求文档.md；A-admin-recharge-order-detail-010、A-admin-monthly-income-expense-006、U-recharge-007、A-admin-refund-order-008、D-SYS-134、D-SYS-168
2. 场景：SC-6e618d7db403c7</x:v>
      </x:c>
    </x:row>
    <x:row r="659" ht="96" customHeight="1">
      <x:c r="A659" s="4" t="n">
        <x:v>658</x:v>
      </x:c>
      <x:c r="B659" s="4" t="str">
        <x:v>ADMIN-0658</x:v>
      </x:c>
      <x:c r="C659" s="4" t="str">
        <x:v>M11 财务、退款、结算上传与账户调整</x:v>
      </x:c>
      <x:c r="D659" s="4" t="str">
        <x:v>充值订单详情（平台管理员视角）</x:v>
      </x:c>
      <x:c r="E659" s="4" t="str">
        <x:v>功能需求</x:v>
      </x:c>
      <x:c r="F659" s="4" t="str">
        <x:v>P1</x:v>
      </x:c>
      <x:c r="G659" s="4" t="str">
        <x:v>验证充值退款不撤销门票消费</x:v>
      </x:c>
      <x:c r="H659" s="4" t="str">
        <x:v>充值退款不撤销门票消费</x:v>
      </x:c>
      <x:c r="I659" s="4" t="str">
        <x:v>1. 已登录平台管理员账号
2. 已完成充值退款，此前存在门票消费</x:v>
      </x:c>
      <x:c r="J659" s="4" t="str">
        <x:v>1. 进入「充值订单详情」页
2. 查看充值退款不撤销门票消费</x:v>
      </x:c>
      <x:c r="K659" s="4" t="str">
        <x:v>原门票消费保留，不被回滚</x:v>
      </x:c>
      <x:c r="L659" s="4" t="str"/>
      <x:c r="M659" s="4" t="str">
        <x:v>未测</x:v>
      </x:c>
      <x:c r="N659" s="4" t="str"/>
      <x:c r="O659" s="4" t="str">
        <x:v>1. 来源：MainBasis/统一需求文档.md；A-admin-recharge-order-detail-010、A-admin-monthly-income-expense-006、U-recharge-007、A-admin-refund-order-008、D-SYS-134、D-SYS-168
2. 场景：SC-9c9d67900dd141</x:v>
      </x:c>
    </x:row>
    <x:row r="660" ht="96" customHeight="1">
      <x:c r="A660" s="4" t="n">
        <x:v>659</x:v>
      </x:c>
      <x:c r="B660" s="4" t="str">
        <x:v>ADMIN-0659</x:v>
      </x:c>
      <x:c r="C660" s="4" t="str">
        <x:v>M11 财务、退款、结算上传与账户调整</x:v>
      </x:c>
      <x:c r="D660" s="4" t="str">
        <x:v>充值订单详情（平台管理员视角）</x:v>
      </x:c>
      <x:c r="E660" s="4" t="str">
        <x:v>功能需求</x:v>
      </x:c>
      <x:c r="F660" s="4" t="str">
        <x:v>P1</x:v>
      </x:c>
      <x:c r="G660" s="4" t="str">
        <x:v>验证充值退款不撤销主播收益</x:v>
      </x:c>
      <x:c r="H660" s="4" t="str">
        <x:v>充值退款不撤销主播收益</x:v>
      </x:c>
      <x:c r="I660" s="4" t="str">
        <x:v>1. 已登录平台管理员账号
2. 已完成充值退款，此前存在主播收益</x:v>
      </x:c>
      <x:c r="J660" s="4" t="str">
        <x:v>1. 进入「充值订单详情」页
2. 查看充值退款不撤销主播收益</x:v>
      </x:c>
      <x:c r="K660" s="4" t="str">
        <x:v>原主播收益保留，不被回滚</x:v>
      </x:c>
      <x:c r="L660" s="4" t="str"/>
      <x:c r="M660" s="4" t="str">
        <x:v>未测</x:v>
      </x:c>
      <x:c r="N660" s="4" t="str"/>
      <x:c r="O660" s="4" t="str">
        <x:v>1. 来源：MainBasis/统一需求文档.md；A-admin-recharge-order-detail-010、A-admin-monthly-income-expense-006、U-recharge-007、A-admin-refund-order-008、D-SYS-134、D-SYS-168
2. 场景：SC-f92587b7af4d62</x:v>
      </x:c>
    </x:row>
    <x:row r="661" ht="96" customHeight="1">
      <x:c r="A661" s="4" t="n">
        <x:v>660</x:v>
      </x:c>
      <x:c r="B661" s="4" t="str">
        <x:v>ADMIN-0660</x:v>
      </x:c>
      <x:c r="C661" s="4" t="str">
        <x:v>M11 财务、退款、结算上传与账户调整</x:v>
      </x:c>
      <x:c r="D661" s="4" t="str">
        <x:v>充值订单详情（平台管理员视角）</x:v>
      </x:c>
      <x:c r="E661" s="4" t="str">
        <x:v>功能需求</x:v>
      </x:c>
      <x:c r="F661" s="4" t="str">
        <x:v>P1</x:v>
      </x:c>
      <x:c r="G661" s="4" t="str">
        <x:v>验证充值退款不撤销分成结果</x:v>
      </x:c>
      <x:c r="H661" s="4" t="str">
        <x:v>充值退款不撤销分成结果</x:v>
      </x:c>
      <x:c r="I661" s="4" t="str">
        <x:v>1. 已登录平台管理员账号
2. 已完成充值退款，此前存在分成结果</x:v>
      </x:c>
      <x:c r="J661" s="4" t="str">
        <x:v>1. 进入「充值订单详情」页
2. 查看充值退款不撤销分成结果</x:v>
      </x:c>
      <x:c r="K661" s="4" t="str">
        <x:v>原分成结果保留，不被回滚</x:v>
      </x:c>
      <x:c r="L661" s="4" t="str"/>
      <x:c r="M661" s="4" t="str">
        <x:v>未测</x:v>
      </x:c>
      <x:c r="N661" s="4" t="str"/>
      <x:c r="O661" s="4" t="str">
        <x:v>1. 来源：MainBasis/统一需求文档.md；A-admin-recharge-order-detail-010、A-admin-monthly-income-expense-006、U-recharge-007、A-admin-refund-order-008、D-SYS-134、D-SYS-168
2. 场景：SC-2137f7829bb5d8</x:v>
      </x:c>
    </x:row>
    <x:row r="662" ht="68" customHeight="1">
      <x:c r="A662" s="4" t="n">
        <x:v>661</x:v>
      </x:c>
      <x:c r="B662" s="4" t="str">
        <x:v>ADMIN-0661</x:v>
      </x:c>
      <x:c r="C662" s="4" t="str">
        <x:v>M11 财务、退款、结算上传与账户调整</x:v>
      </x:c>
      <x:c r="D662" s="4" t="str">
        <x:v>充值订单详情（平台管理员视角）</x:v>
      </x:c>
      <x:c r="E662" s="4" t="str">
        <x:v>功能需求</x:v>
      </x:c>
      <x:c r="F662" s="4" t="str">
        <x:v>P2</x:v>
      </x:c>
      <x:c r="G662" s="4" t="str">
        <x:v>验证订单 / 渠道信息资料对应</x:v>
      </x:c>
      <x:c r="H662" s="4" t="str">
        <x:v>订单 / 渠道信息资料对应</x:v>
      </x:c>
      <x:c r="I662" s="4" t="str">
        <x:v>1. 已登录平台管理员账号
2. 已选中一条已存在记录，已记录其订单 / 渠道信息原始值</x:v>
      </x:c>
      <x:c r="J662" s="4" t="str">
        <x:v>1. 进入「充值订单详情」页
2. 查看订单 / 渠道信息资料对应</x:v>
      </x:c>
      <x:c r="K662" s="4" t="str">
        <x:v>页面订单 / 渠道信息与所选记录一致：订单号、渠道交易号、支付渠道和时间只读</x:v>
      </x:c>
      <x:c r="L662" s="4" t="str"/>
      <x:c r="M662" s="4" t="str">
        <x:v>未测</x:v>
      </x:c>
      <x:c r="N662" s="4" t="str"/>
      <x:c r="O662" s="4" t="str">
        <x:v>1. 来源：MainBasis/统一需求文档.md；A-admin-recharge-order-detail-002
2. 场景：SC-c31b782f07c10f</x:v>
      </x:c>
    </x:row>
    <x:row r="663" ht="68" customHeight="1">
      <x:c r="A663" s="4" t="n">
        <x:v>662</x:v>
      </x:c>
      <x:c r="B663" s="4" t="str">
        <x:v>ADMIN-0662</x:v>
      </x:c>
      <x:c r="C663" s="4" t="str">
        <x:v>M11 财务、退款、结算上传与账户调整</x:v>
      </x:c>
      <x:c r="D663" s="4" t="str">
        <x:v>消费订单-26（平台管理员视角）</x:v>
      </x:c>
      <x:c r="E663" s="4" t="str">
        <x:v>功能需求</x:v>
      </x:c>
      <x:c r="F663" s="4" t="str">
        <x:v>P2</x:v>
      </x:c>
      <x:c r="G663" s="4" t="str">
        <x:v>验证消费类型回显</x:v>
      </x:c>
      <x:c r="H663" s="4" t="str">
        <x:v>消费类型回显</x:v>
      </x:c>
      <x:c r="I663" s="4" t="str">
        <x:v>1. 已登录平台管理员账号
2. 所选对象存在，已记录该对象的消费类型值</x:v>
      </x:c>
      <x:c r="J663" s="4" t="str">
        <x:v>1. 进入「消费订单-26」页
2. 查看消费类型回显</x:v>
      </x:c>
      <x:c r="K663" s="4" t="str">
        <x:v>「消费类型」内容与所选对象的该项资料一致</x:v>
      </x:c>
      <x:c r="L663" s="4" t="str"/>
      <x:c r="M663" s="4" t="str">
        <x:v>未测</x:v>
      </x:c>
      <x:c r="N663" s="4" t="str"/>
      <x:c r="O663" s="4" t="str">
        <x:v>1. 来源：MainBasis/统一需求文档.md；A-admin-consumption-order-002
2. 场景：SC-ee6054654b0f3c</x:v>
      </x:c>
    </x:row>
    <x:row r="664" ht="68" customHeight="1">
      <x:c r="A664" s="4" t="n">
        <x:v>663</x:v>
      </x:c>
      <x:c r="B664" s="4" t="str">
        <x:v>ADMIN-0663</x:v>
      </x:c>
      <x:c r="C664" s="4" t="str">
        <x:v>M11 财务、退款、结算上传与账户调整</x:v>
      </x:c>
      <x:c r="D664" s="4" t="str">
        <x:v>消费订单-26（平台管理员视角）</x:v>
      </x:c>
      <x:c r="E664" s="4" t="str">
        <x:v>功能需求</x:v>
      </x:c>
      <x:c r="F664" s="4" t="str">
        <x:v>P2</x:v>
      </x:c>
      <x:c r="G664" s="4" t="str">
        <x:v>验证主播信息回显</x:v>
      </x:c>
      <x:c r="H664" s="4" t="str">
        <x:v>主播信息回显</x:v>
      </x:c>
      <x:c r="I664" s="4" t="str">
        <x:v>1. 已登录平台管理员账号
2. 所选对象存在，已记录该对象的主播信息值</x:v>
      </x:c>
      <x:c r="J664" s="4" t="str">
        <x:v>1. 进入「消费订单-26」页
2. 查看主播信息回显</x:v>
      </x:c>
      <x:c r="K664" s="4" t="str">
        <x:v>「主播信息」内容与所选对象的该项资料一致</x:v>
      </x:c>
      <x:c r="L664" s="4" t="str"/>
      <x:c r="M664" s="4" t="str">
        <x:v>未测</x:v>
      </x:c>
      <x:c r="N664" s="4" t="str"/>
      <x:c r="O664" s="4" t="str">
        <x:v>1. 来源：MainBasis/统一需求文档.md；A-admin-consumption-order-007
2. 场景：SC-5f7ac2ee3e499c</x:v>
      </x:c>
    </x:row>
    <x:row r="665" ht="68" customHeight="1">
      <x:c r="A665" s="4" t="n">
        <x:v>664</x:v>
      </x:c>
      <x:c r="B665" s="4" t="str">
        <x:v>ADMIN-0664</x:v>
      </x:c>
      <x:c r="C665" s="4" t="str">
        <x:v>M11 财务、退款、结算上传与账户调整</x:v>
      </x:c>
      <x:c r="D665" s="4" t="str">
        <x:v>消费订单-26（平台管理员视角）</x:v>
      </x:c>
      <x:c r="E665" s="4" t="str">
        <x:v>功能需求</x:v>
      </x:c>
      <x:c r="F665" s="4" t="str">
        <x:v>P2</x:v>
      </x:c>
      <x:c r="G665" s="4" t="str">
        <x:v>验证状态已支付回显</x:v>
      </x:c>
      <x:c r="H665" s="4" t="str">
        <x:v>状态已支付回显</x:v>
      </x:c>
      <x:c r="I665" s="4" t="str">
        <x:v>1. 已登录平台管理员账号
2. 所选记录状态为已支付</x:v>
      </x:c>
      <x:c r="J665" s="4" t="str">
        <x:v>1. 进入「消费订单-26」页
2. 查看状态已支付回显</x:v>
      </x:c>
      <x:c r="K665" s="4" t="str">
        <x:v>状态显示已支付</x:v>
      </x:c>
      <x:c r="L665" s="4" t="str"/>
      <x:c r="M665" s="4" t="str">
        <x:v>未测</x:v>
      </x:c>
      <x:c r="N665" s="4" t="str"/>
      <x:c r="O665" s="4" t="str">
        <x:v>1. 来源：MainBasis/统一需求文档.md；A-admin-consumption-order-006
2. 场景：SC-30929fb800f752</x:v>
      </x:c>
    </x:row>
    <x:row r="666" ht="68" customHeight="1">
      <x:c r="A666" s="4" t="n">
        <x:v>665</x:v>
      </x:c>
      <x:c r="B666" s="4" t="str">
        <x:v>ADMIN-0665</x:v>
      </x:c>
      <x:c r="C666" s="4" t="str">
        <x:v>M11 财务、退款、结算上传与账户调整</x:v>
      </x:c>
      <x:c r="D666" s="4" t="str">
        <x:v>消费订单-26（平台管理员视角）</x:v>
      </x:c>
      <x:c r="E666" s="4" t="str">
        <x:v>功能需求</x:v>
      </x:c>
      <x:c r="F666" s="4" t="str">
        <x:v>P2</x:v>
      </x:c>
      <x:c r="G666" s="4" t="str">
        <x:v>验证导出仅包含当前查询结果</x:v>
      </x:c>
      <x:c r="H666" s="4" t="str">
        <x:v>导出仅包含当前查询结果</x:v>
      </x:c>
      <x:c r="I666" s="4" t="str">
        <x:v>1. 已登录平台管理员账号
2. 当前查询命中记录甲、乙，记录丙不满足当前筛选</x:v>
      </x:c>
      <x:c r="J666" s="4" t="str">
        <x:v>1. 进入「消费订单-26」页
2. 点击导出
3. 打开下载的结果文件</x:v>
      </x:c>
      <x:c r="K666" s="4" t="str">
        <x:v>导出记录为甲、乙，不包含丙</x:v>
      </x:c>
      <x:c r="L666" s="4" t="str"/>
      <x:c r="M666" s="4" t="str">
        <x:v>未测</x:v>
      </x:c>
      <x:c r="N666" s="4" t="str"/>
      <x:c r="O666" s="4" t="str">
        <x:v>1. 来源：MainBasis/统一需求文档.md；A-admin-consumption-order-010
2. 场景：SC-c8872f8440506b</x:v>
      </x:c>
    </x:row>
    <x:row r="667" ht="68" customHeight="1">
      <x:c r="A667" s="4" t="n">
        <x:v>666</x:v>
      </x:c>
      <x:c r="B667" s="4" t="str">
        <x:v>ADMIN-0666</x:v>
      </x:c>
      <x:c r="C667" s="4" t="str">
        <x:v>M11 财务、退款、结算上传与账户调整</x:v>
      </x:c>
      <x:c r="D667" s="4" t="str">
        <x:v>消费订单-26（平台管理员视角）</x:v>
      </x:c>
      <x:c r="E667" s="4" t="str">
        <x:v>功能需求</x:v>
      </x:c>
      <x:c r="F667" s="4" t="str">
        <x:v>P2</x:v>
      </x:c>
      <x:c r="G667" s="4" t="str">
        <x:v>验证详情入口</x:v>
      </x:c>
      <x:c r="H667" s="4" t="str">
        <x:v>详情入口</x:v>
      </x:c>
      <x:c r="I667" s="4" t="str">
        <x:v>1. 已登录平台管理员账号</x:v>
      </x:c>
      <x:c r="J667" s="4" t="str">
        <x:v>1. 进入「消费订单-26」页
2. 点击「详情」</x:v>
      </x:c>
      <x:c r="K667" s="4" t="str">
        <x:v>页面进入「只读订单」</x:v>
      </x:c>
      <x:c r="L667" s="4" t="str"/>
      <x:c r="M667" s="4" t="str">
        <x:v>未测</x:v>
      </x:c>
      <x:c r="N667" s="4" t="str"/>
      <x:c r="O667" s="4" t="str">
        <x:v>1. 来源：MainBasis/统一需求文档.md；A-admin-consumption-order-010
2. 场景：SC-108c80ebbdb1ba</x:v>
      </x:c>
    </x:row>
    <x:row r="668" ht="68" customHeight="1">
      <x:c r="A668" s="4" t="n">
        <x:v>667</x:v>
      </x:c>
      <x:c r="B668" s="4" t="str">
        <x:v>ADMIN-0667</x:v>
      </x:c>
      <x:c r="C668" s="4" t="str">
        <x:v>M11 财务、退款、结算上传与账户调整</x:v>
      </x:c>
      <x:c r="D668" s="4" t="str">
        <x:v>消费订单-26（平台管理员视角）</x:v>
      </x:c>
      <x:c r="E668" s="4" t="str">
        <x:v>功能需求</x:v>
      </x:c>
      <x:c r="F668" s="4" t="str">
        <x:v>P1</x:v>
      </x:c>
      <x:c r="G668" s="4" t="str">
        <x:v>验证连送份数统计</x:v>
      </x:c>
      <x:c r="H668" s="4" t="str">
        <x:v>连送份数统计</x:v>
      </x:c>
      <x:c r="I668" s="4" t="str">
        <x:v>1. 已登录平台管理员账号
2. 当前订单成功连续赠送3个礼物</x:v>
      </x:c>
      <x:c r="J668" s="4" t="str">
        <x:v>1. 进入「消费订单-26」页
2. 查看连送份数统计</x:v>
      </x:c>
      <x:c r="K668" s="4" t="str">
        <x:v>消费数量显示3</x:v>
      </x:c>
      <x:c r="L668" s="4" t="str"/>
      <x:c r="M668" s="4" t="str">
        <x:v>未测</x:v>
      </x:c>
      <x:c r="N668" s="4" t="str"/>
      <x:c r="O668" s="4" t="str">
        <x:v>1. 来源：MainBasis/统一需求文档.md；A-admin-consumption-order-003
2. 场景：SC-d3add5c85a0a82</x:v>
      </x:c>
    </x:row>
    <x:row r="669" ht="68" customHeight="1">
      <x:c r="A669" s="4" t="n">
        <x:v>668</x:v>
      </x:c>
      <x:c r="B669" s="4" t="str">
        <x:v>ADMIN-0668</x:v>
      </x:c>
      <x:c r="C669" s="4" t="str">
        <x:v>M11 财务、退款、结算上传与账户调整</x:v>
      </x:c>
      <x:c r="D669" s="4" t="str">
        <x:v>消费订单详情（平台管理员视角）</x:v>
      </x:c>
      <x:c r="E669" s="4" t="str">
        <x:v>功能需求</x:v>
      </x:c>
      <x:c r="F669" s="4" t="str">
        <x:v>P2</x:v>
      </x:c>
      <x:c r="G669" s="4" t="str">
        <x:v>验证用户净消耗回显</x:v>
      </x:c>
      <x:c r="H669" s="4" t="str">
        <x:v>用户净消耗回显</x:v>
      </x:c>
      <x:c r="I669" s="4" t="str">
        <x:v>1. 已登录平台管理员账号
2. 所选对象存在，已记录该对象的用户净消耗值</x:v>
      </x:c>
      <x:c r="J669" s="4" t="str">
        <x:v>1. 进入「消费订单详情」页
2. 查看用户净消耗回显</x:v>
      </x:c>
      <x:c r="K669" s="4" t="str">
        <x:v>「用户净消耗」内容与所选对象的该项资料一致</x:v>
      </x:c>
      <x:c r="L669" s="4" t="str"/>
      <x:c r="M669" s="4" t="str">
        <x:v>未测</x:v>
      </x:c>
      <x:c r="N669" s="4" t="str"/>
      <x:c r="O669" s="4" t="str">
        <x:v>1. 来源：MainBasis/统一需求文档.md；A-admin-consumption-order-detail-005、A-admin-consumption-order-005
2. 场景：SC-3208a86ace8e5f</x:v>
      </x:c>
    </x:row>
    <x:row r="670" ht="68" customHeight="1">
      <x:c r="A670" s="4" t="n">
        <x:v>669</x:v>
      </x:c>
      <x:c r="B670" s="4" t="str">
        <x:v>ADMIN-0669</x:v>
      </x:c>
      <x:c r="C670" s="4" t="str">
        <x:v>M11 财务、退款、结算上传与账户调整</x:v>
      </x:c>
      <x:c r="D670" s="4" t="str">
        <x:v>消费订单详情（平台管理员视角）</x:v>
      </x:c>
      <x:c r="E670" s="4" t="str">
        <x:v>功能需求</x:v>
      </x:c>
      <x:c r="F670" s="4" t="str">
        <x:v>P2</x:v>
      </x:c>
      <x:c r="G670" s="4" t="str">
        <x:v>验证消费去向回显</x:v>
      </x:c>
      <x:c r="H670" s="4" t="str">
        <x:v>消费去向回显</x:v>
      </x:c>
      <x:c r="I670" s="4" t="str">
        <x:v>1. 已登录平台管理员账号
2. 所选对象存在，已记录该对象的消费去向值</x:v>
      </x:c>
      <x:c r="J670" s="4" t="str">
        <x:v>1. 进入「消费订单详情」页
2. 查看消费去向回显</x:v>
      </x:c>
      <x:c r="K670" s="4" t="str">
        <x:v>「消费去向」内容与所选对象的该项资料一致</x:v>
      </x:c>
      <x:c r="L670" s="4" t="str"/>
      <x:c r="M670" s="4" t="str">
        <x:v>未测</x:v>
      </x:c>
      <x:c r="N670" s="4" t="str"/>
      <x:c r="O670" s="4" t="str">
        <x:v>1. 来源：MainBasis/统一需求文档.md；A-admin-consumption-order-detail-007
2. 场景：SC-342fe3df03d626</x:v>
      </x:c>
    </x:row>
    <x:row r="671" ht="96" customHeight="1">
      <x:c r="A671" s="4" t="n">
        <x:v>670</x:v>
      </x:c>
      <x:c r="B671" s="4" t="str">
        <x:v>ADMIN-0670</x:v>
      </x:c>
      <x:c r="C671" s="4" t="str">
        <x:v>M11 财务、退款、结算上传与账户调整</x:v>
      </x:c>
      <x:c r="D671" s="4" t="str">
        <x:v>消费订单详情（平台管理员视角）</x:v>
      </x:c>
      <x:c r="E671" s="4" t="str">
        <x:v>功能需求</x:v>
      </x:c>
      <x:c r="F671" s="4" t="str">
        <x:v>P1</x:v>
      </x:c>
      <x:c r="G671" s="4" t="str">
        <x:v>验证消费订单无退款能力</x:v>
      </x:c>
      <x:c r="H671" s="4" t="str">
        <x:v>消费订单无退款能力</x:v>
      </x:c>
      <x:c r="I671" s="4" t="str">
        <x:v>1. 已登录平台管理员账号
2. 当前已支付普通礼物订单</x:v>
      </x:c>
      <x:c r="J671" s="4" t="str">
        <x:v>1. 进入「消费订单详情」页
2. 查看消费订单无退款能力</x:v>
      </x:c>
      <x:c r="K671" s="4" t="str">
        <x:v>订单只读且不提供退款</x:v>
      </x:c>
      <x:c r="L671" s="4" t="str"/>
      <x:c r="M671" s="4" t="str">
        <x:v>未测</x:v>
      </x:c>
      <x:c r="N671" s="4" t="str"/>
      <x:c r="O671" s="4" t="str">
        <x:v>1. 来源：MainBasis/统一需求文档.md；A-admin-consumption-order-detail-008、A-admin-recharge-order-008、A-admin-consumption-order-009、A-admin-consumption-order-detail-009、D-SYS-158
2. 场景：SC-fd06e291603c36</x:v>
      </x:c>
    </x:row>
    <x:row r="672" ht="68" customHeight="1">
      <x:c r="A672" s="4" t="n">
        <x:v>671</x:v>
      </x:c>
      <x:c r="B672" s="4" t="str">
        <x:v>ADMIN-0671</x:v>
      </x:c>
      <x:c r="C672" s="4" t="str">
        <x:v>M11 财务、退款、结算上传与账户调整</x:v>
      </x:c>
      <x:c r="D672" s="4" t="str">
        <x:v>消费订单详情（平台管理员视角）</x:v>
      </x:c>
      <x:c r="E672" s="4" t="str">
        <x:v>逻辑校验</x:v>
      </x:c>
      <x:c r="F672" s="4" t="str">
        <x:v>P1</x:v>
      </x:c>
      <x:c r="G672" s="4" t="str">
        <x:v>验证幸运用户净消耗</x:v>
      </x:c>
      <x:c r="H672" s="4" t="str">
        <x:v>幸运用户净消耗</x:v>
      </x:c>
      <x:c r="I672" s="4" t="str">
        <x:v>1. 已登录平台管理员账号
2. 订单扣减100，实际返奖30</x:v>
      </x:c>
      <x:c r="J672" s="4" t="str">
        <x:v>1. 进入「消费订单详情」页
2. 查看幸运用户净消耗</x:v>
      </x:c>
      <x:c r="K672" s="4" t="str">
        <x:v>净消耗 = 100 - 30 = 70金币</x:v>
      </x:c>
      <x:c r="L672" s="4" t="str"/>
      <x:c r="M672" s="4" t="str">
        <x:v>未测</x:v>
      </x:c>
      <x:c r="N672" s="4" t="str"/>
      <x:c r="O672" s="4" t="str">
        <x:v>1. 来源：MainBasis/统一需求文档.md；A-admin-consumption-order-detail-005、A-admin-consumption-order-005
2. 场景：SC-5d4a1dfc03d453</x:v>
      </x:c>
    </x:row>
    <x:row r="673" ht="68" customHeight="1">
      <x:c r="A673" s="4" t="n">
        <x:v>672</x:v>
      </x:c>
      <x:c r="B673" s="4" t="str">
        <x:v>ADMIN-0672</x:v>
      </x:c>
      <x:c r="C673" s="4" t="str">
        <x:v>M11 财务、退款、结算上传与账户调整</x:v>
      </x:c>
      <x:c r="D673" s="4" t="str">
        <x:v>消费订单详情（平台管理员视角）</x:v>
      </x:c>
      <x:c r="E673" s="4" t="str">
        <x:v>逻辑校验</x:v>
      </x:c>
      <x:c r="F673" s="4" t="str">
        <x:v>P1</x:v>
      </x:c>
      <x:c r="G673" s="4" t="str">
        <x:v>验证幸运主播收益独立</x:v>
      </x:c>
      <x:c r="H673" s="4" t="str">
        <x:v>幸运主播收益独立</x:v>
      </x:c>
      <x:c r="I673" s="4" t="str">
        <x:v>1. 已登录平台管理员账号
2. 幸运礼物价值1000，比例1%，返奖900</x:v>
      </x:c>
      <x:c r="J673" s="4" t="str">
        <x:v>1. 进入「消费订单详情」页
2. 查看幸运主播收益独立</x:v>
      </x:c>
      <x:c r="K673" s="4" t="str">
        <x:v>主播收益 = 1000 × 1% = 10金币</x:v>
      </x:c>
      <x:c r="L673" s="4" t="str"/>
      <x:c r="M673" s="4" t="str">
        <x:v>未测</x:v>
      </x:c>
      <x:c r="N673" s="4" t="str"/>
      <x:c r="O673" s="4" t="str">
        <x:v>1. 来源：MainBasis/统一需求文档.md；A-admin-consumption-order-detail-006、A-admin-consumption-order-detail-report-005
2. 场景：SC-75fbc13ed2dcb6</x:v>
      </x:c>
    </x:row>
    <x:row r="674" ht="68" customHeight="1">
      <x:c r="A674" s="4" t="n">
        <x:v>673</x:v>
      </x:c>
      <x:c r="B674" s="4" t="str">
        <x:v>ADMIN-0673</x:v>
      </x:c>
      <x:c r="C674" s="4" t="str">
        <x:v>M11 财务、退款、结算上传与账户调整</x:v>
      </x:c>
      <x:c r="D674" s="4" t="str">
        <x:v>消费订单详情（平台管理员视角）</x:v>
      </x:c>
      <x:c r="E674" s="4" t="str">
        <x:v>逻辑校验</x:v>
      </x:c>
      <x:c r="F674" s="4" t="str">
        <x:v>P1</x:v>
      </x:c>
      <x:c r="G674" s="4" t="str">
        <x:v>验证单价与数量乘积</x:v>
      </x:c>
      <x:c r="H674" s="4" t="str">
        <x:v>单价与数量乘积</x:v>
      </x:c>
      <x:c r="I674" s="4" t="str">
        <x:v>1. 已登录平台管理员账号
2. 本笔记录单价10、数量3</x:v>
      </x:c>
      <x:c r="J674" s="4" t="str">
        <x:v>1. 进入「消费订单详情」页
2. 查看单价与数量乘积</x:v>
      </x:c>
      <x:c r="K674" s="4" t="str">
        <x:v>金额 = 10 × 3 = 30金币</x:v>
      </x:c>
      <x:c r="L674" s="4" t="str"/>
      <x:c r="M674" s="4" t="str">
        <x:v>未测</x:v>
      </x:c>
      <x:c r="N674" s="4" t="str"/>
      <x:c r="O674" s="4" t="str">
        <x:v>1. 来源：MainBasis/统一需求文档.md；A-admin-consumption-order-detail-003、A-admin-consumption-order-004
2. 场景：SC-c1103e9470c0da</x:v>
      </x:c>
    </x:row>
    <x:row r="675" ht="68" customHeight="1">
      <x:c r="A675" s="4" t="n">
        <x:v>674</x:v>
      </x:c>
      <x:c r="B675" s="4" t="str">
        <x:v>ADMIN-0674</x:v>
      </x:c>
      <x:c r="C675" s="4" t="str">
        <x:v>M11 财务、退款、结算上传与账户调整</x:v>
      </x:c>
      <x:c r="D675" s="4" t="str">
        <x:v>消费订单详情（平台管理员视角）</x:v>
      </x:c>
      <x:c r="E675" s="4" t="str">
        <x:v>功能需求</x:v>
      </x:c>
      <x:c r="F675" s="4" t="str">
        <x:v>P1</x:v>
      </x:c>
      <x:c r="G675" s="4" t="str">
        <x:v>验证多次实际返奖求和</x:v>
      </x:c>
      <x:c r="H675" s="4" t="str">
        <x:v>多次实际返奖求和</x:v>
      </x:c>
      <x:c r="I675" s="4" t="str">
        <x:v>1. 已登录平台管理员账号
2. 当前幸运消费独立开奖实际返奖0、10、20</x:v>
      </x:c>
      <x:c r="J675" s="4" t="str">
        <x:v>1. 进入「消费订单详情」页
2. 查看多次实际返奖求和</x:v>
      </x:c>
      <x:c r="K675" s="4" t="str">
        <x:v>返奖合计30，单独记入用户收入</x:v>
      </x:c>
      <x:c r="L675" s="4" t="str"/>
      <x:c r="M675" s="4" t="str">
        <x:v>未测</x:v>
      </x:c>
      <x:c r="N675" s="4" t="str"/>
      <x:c r="O675" s="4" t="str">
        <x:v>1. 来源：MainBasis/统一需求文档.md；A-admin-consumption-order-detail-004
2. 场景：SC-8a39df8ece482b</x:v>
      </x:c>
    </x:row>
    <x:row r="676" ht="68" customHeight="1">
      <x:c r="A676" s="4" t="n">
        <x:v>675</x:v>
      </x:c>
      <x:c r="B676" s="4" t="str">
        <x:v>ADMIN-0675</x:v>
      </x:c>
      <x:c r="C676" s="4" t="str">
        <x:v>M11 财务、退款、结算上传与账户调整</x:v>
      </x:c>
      <x:c r="D676" s="4" t="str">
        <x:v>退款订单-27（平台管理员视角）</x:v>
      </x:c>
      <x:c r="E676" s="4" t="str">
        <x:v>功能需求</x:v>
      </x:c>
      <x:c r="F676" s="4" t="str">
        <x:v>P2</x:v>
      </x:c>
      <x:c r="G676" s="4" t="str">
        <x:v>验证原充值订单回显</x:v>
      </x:c>
      <x:c r="H676" s="4" t="str">
        <x:v>原充值订单回显</x:v>
      </x:c>
      <x:c r="I676" s="4" t="str">
        <x:v>1. 已登录平台管理员账号
2. 所选对象存在，已记录该对象的原充值订单值</x:v>
      </x:c>
      <x:c r="J676" s="4" t="str">
        <x:v>1. 进入「退款订单-27」页
2. 查看原充值订单回显</x:v>
      </x:c>
      <x:c r="K676" s="4" t="str">
        <x:v>「原充值订单」内容与所选对象的该项资料一致</x:v>
      </x:c>
      <x:c r="L676" s="4" t="str"/>
      <x:c r="M676" s="4" t="str">
        <x:v>未测</x:v>
      </x:c>
      <x:c r="N676" s="4" t="str"/>
      <x:c r="O676" s="4" t="str">
        <x:v>1. 来源：MainBasis/统一需求文档.md；A-admin-refund-order-003
2. 场景：SC-d18a22697f935c</x:v>
      </x:c>
    </x:row>
    <x:row r="677" ht="68" customHeight="1">
      <x:c r="A677" s="4" t="n">
        <x:v>676</x:v>
      </x:c>
      <x:c r="B677" s="4" t="str">
        <x:v>ADMIN-0676</x:v>
      </x:c>
      <x:c r="C677" s="4" t="str">
        <x:v>M11 财务、退款、结算上传与账户调整</x:v>
      </x:c>
      <x:c r="D677" s="4" t="str">
        <x:v>退款订单-27（平台管理员视角）</x:v>
      </x:c>
      <x:c r="E677" s="4" t="str">
        <x:v>功能需求</x:v>
      </x:c>
      <x:c r="F677" s="4" t="str">
        <x:v>P2</x:v>
      </x:c>
      <x:c r="G677" s="4" t="str">
        <x:v>验证退款金额回显</x:v>
      </x:c>
      <x:c r="H677" s="4" t="str">
        <x:v>退款金额回显</x:v>
      </x:c>
      <x:c r="I677" s="4" t="str">
        <x:v>1. 已登录平台管理员账号
2. 所选对象存在，已记录该对象的退款金额值</x:v>
      </x:c>
      <x:c r="J677" s="4" t="str">
        <x:v>1. 进入「退款订单-27」页
2. 查看退款金额回显</x:v>
      </x:c>
      <x:c r="K677" s="4" t="str">
        <x:v>「退款金额」内容与所选对象的该项资料一致</x:v>
      </x:c>
      <x:c r="L677" s="4" t="str"/>
      <x:c r="M677" s="4" t="str">
        <x:v>未测</x:v>
      </x:c>
      <x:c r="N677" s="4" t="str"/>
      <x:c r="O677" s="4" t="str">
        <x:v>1. 来源：MainBasis/统一需求文档.md；A-admin-refund-order-005
2. 场景：SC-04ab5a8fb6af72</x:v>
      </x:c>
    </x:row>
    <x:row r="678" ht="68" customHeight="1">
      <x:c r="A678" s="4" t="n">
        <x:v>677</x:v>
      </x:c>
      <x:c r="B678" s="4" t="str">
        <x:v>ADMIN-0677</x:v>
      </x:c>
      <x:c r="C678" s="4" t="str">
        <x:v>M11 财务、退款、结算上传与账户调整</x:v>
      </x:c>
      <x:c r="D678" s="4" t="str">
        <x:v>退款订单-27（平台管理员视角）</x:v>
      </x:c>
      <x:c r="E678" s="4" t="str">
        <x:v>功能需求</x:v>
      </x:c>
      <x:c r="F678" s="4" t="str">
        <x:v>P2</x:v>
      </x:c>
      <x:c r="G678" s="4" t="str">
        <x:v>验证状态、时间回显</x:v>
      </x:c>
      <x:c r="H678" s="4" t="str">
        <x:v>状态、时间回显</x:v>
      </x:c>
      <x:c r="I678" s="4" t="str">
        <x:v>1. 已登录平台管理员账号
2. 所选对象存在，已记录该对象的状态 / 时间值</x:v>
      </x:c>
      <x:c r="J678" s="4" t="str">
        <x:v>1. 进入「退款订单-27」页
2. 查看状态、时间回显</x:v>
      </x:c>
      <x:c r="K678" s="4" t="str">
        <x:v>「状态 / 时间」内容与所选对象的该项资料一致</x:v>
      </x:c>
      <x:c r="L678" s="4" t="str"/>
      <x:c r="M678" s="4" t="str">
        <x:v>未测</x:v>
      </x:c>
      <x:c r="N678" s="4" t="str"/>
      <x:c r="O678" s="4" t="str">
        <x:v>1. 来源：MainBasis/统一需求文档.md；A-admin-refund-order-006
2. 场景：SC-2acf55718029f1</x:v>
      </x:c>
    </x:row>
    <x:row r="679" ht="68" customHeight="1">
      <x:c r="A679" s="4" t="n">
        <x:v>678</x:v>
      </x:c>
      <x:c r="B679" s="4" t="str">
        <x:v>ADMIN-0678</x:v>
      </x:c>
      <x:c r="C679" s="4" t="str">
        <x:v>M11 财务、退款、结算上传与账户调整</x:v>
      </x:c>
      <x:c r="D679" s="4" t="str">
        <x:v>退款订单-27（平台管理员视角）</x:v>
      </x:c>
      <x:c r="E679" s="4" t="str">
        <x:v>功能需求</x:v>
      </x:c>
      <x:c r="F679" s="4" t="str">
        <x:v>P1</x:v>
      </x:c>
      <x:c r="G679" s="4" t="str">
        <x:v>验证退款类型手动退款</x:v>
      </x:c>
      <x:c r="H679" s="4" t="str">
        <x:v>退款类型手动退款</x:v>
      </x:c>
      <x:c r="I679" s="4" t="str">
        <x:v>1. 已登录平台管理员账号
2. 原充值已完成手动退款</x:v>
      </x:c>
      <x:c r="J679" s="4" t="str">
        <x:v>1. 进入「退款订单-27」页
2. 查看退款类型手动退款</x:v>
      </x:c>
      <x:c r="K679" s="4" t="str">
        <x:v>退款记录标记为手动退款</x:v>
      </x:c>
      <x:c r="L679" s="4" t="str"/>
      <x:c r="M679" s="4" t="str">
        <x:v>未测</x:v>
      </x:c>
      <x:c r="N679" s="4" t="str"/>
      <x:c r="O679" s="4" t="str">
        <x:v>1. 来源：MainBasis/统一需求文档.md；A-admin-refund-order-004
2. 场景：SC-c1e23f6b35f36c</x:v>
      </x:c>
    </x:row>
    <x:row r="680" ht="68" customHeight="1">
      <x:c r="A680" s="4" t="n">
        <x:v>679</x:v>
      </x:c>
      <x:c r="B680" s="4" t="str">
        <x:v>ADMIN-0679</x:v>
      </x:c>
      <x:c r="C680" s="4" t="str">
        <x:v>M11 财务、退款、结算上传与账户调整</x:v>
      </x:c>
      <x:c r="D680" s="4" t="str">
        <x:v>退款订单-27（平台管理员视角）</x:v>
      </x:c>
      <x:c r="E680" s="4" t="str">
        <x:v>功能需求</x:v>
      </x:c>
      <x:c r="F680" s="4" t="str">
        <x:v>P1</x:v>
      </x:c>
      <x:c r="G680" s="4" t="str">
        <x:v>验证退款类型支付渠道退款</x:v>
      </x:c>
      <x:c r="H680" s="4" t="str">
        <x:v>退款类型支付渠道退款</x:v>
      </x:c>
      <x:c r="I680" s="4" t="str">
        <x:v>1. 已登录平台管理员账号
2. 原充值已完成支付渠道退款</x:v>
      </x:c>
      <x:c r="J680" s="4" t="str">
        <x:v>1. 进入「退款订单-27」页
2. 查看退款类型支付渠道退款</x:v>
      </x:c>
      <x:c r="K680" s="4" t="str">
        <x:v>退款记录标记为被动退款</x:v>
      </x:c>
      <x:c r="L680" s="4" t="str"/>
      <x:c r="M680" s="4" t="str">
        <x:v>未测</x:v>
      </x:c>
      <x:c r="N680" s="4" t="str"/>
      <x:c r="O680" s="4" t="str">
        <x:v>1. 来源：MainBasis/统一需求文档.md；A-admin-refund-order-004
2. 场景：SC-897d142344242b</x:v>
      </x:c>
    </x:row>
    <x:row r="681" ht="68" customHeight="1">
      <x:c r="A681" s="4" t="n">
        <x:v>680</x:v>
      </x:c>
      <x:c r="B681" s="4" t="str">
        <x:v>ADMIN-0680</x:v>
      </x:c>
      <x:c r="C681" s="4" t="str">
        <x:v>M11 财务、退款、结算上传与账户调整</x:v>
      </x:c>
      <x:c r="D681" s="4" t="str">
        <x:v>退款订单-27（平台管理员视角）</x:v>
      </x:c>
      <x:c r="E681" s="4" t="str">
        <x:v>功能需求</x:v>
      </x:c>
      <x:c r="F681" s="4" t="str">
        <x:v>P2</x:v>
      </x:c>
      <x:c r="G681" s="4" t="str">
        <x:v>验证查看退款入口</x:v>
      </x:c>
      <x:c r="H681" s="4" t="str">
        <x:v>查看退款入口</x:v>
      </x:c>
      <x:c r="I681" s="4" t="str">
        <x:v>1. 已登录平台管理员账号</x:v>
      </x:c>
      <x:c r="J681" s="4" t="str">
        <x:v>1. 进入「退款订单-27」页
2. 点击「查看退款」</x:v>
      </x:c>
      <x:c r="K681" s="4" t="str">
        <x:v>页面进入「原充值订单详情」</x:v>
      </x:c>
      <x:c r="L681" s="4" t="str"/>
      <x:c r="M681" s="4" t="str">
        <x:v>未测</x:v>
      </x:c>
      <x:c r="N681" s="4" t="str"/>
      <x:c r="O681" s="4" t="str">
        <x:v>1. 来源：MainBasis/统一需求文档.md；A-admin-refund-order-009
2. 场景：SC-d75144ad73a13f</x:v>
      </x:c>
    </x:row>
    <x:row r="682" ht="68" customHeight="1">
      <x:c r="A682" s="4" t="n">
        <x:v>681</x:v>
      </x:c>
      <x:c r="B682" s="4" t="str">
        <x:v>ADMIN-0681</x:v>
      </x:c>
      <x:c r="C682" s="4" t="str">
        <x:v>M11 财务、退款、结算上传与账户调整</x:v>
      </x:c>
      <x:c r="D682" s="4" t="str">
        <x:v>退款订单-27（平台管理员视角）</x:v>
      </x:c>
      <x:c r="E682" s="4" t="str">
        <x:v>功能需求</x:v>
      </x:c>
      <x:c r="F682" s="4" t="str">
        <x:v>P2</x:v>
      </x:c>
      <x:c r="G682" s="4" t="str">
        <x:v>验证导出仅包含当前查询结果</x:v>
      </x:c>
      <x:c r="H682" s="4" t="str">
        <x:v>导出仅包含当前查询结果</x:v>
      </x:c>
      <x:c r="I682" s="4" t="str">
        <x:v>1. 已登录平台管理员账号
2. 当前查询命中记录甲、乙，记录丙不满足当前筛选</x:v>
      </x:c>
      <x:c r="J682" s="4" t="str">
        <x:v>1. 进入「退款订单-27」页
2. 点击导出
3. 打开下载的结果文件</x:v>
      </x:c>
      <x:c r="K682" s="4" t="str">
        <x:v>导出记录为甲、乙，不包含丙</x:v>
      </x:c>
      <x:c r="L682" s="4" t="str"/>
      <x:c r="M682" s="4" t="str">
        <x:v>未测</x:v>
      </x:c>
      <x:c r="N682" s="4" t="str"/>
      <x:c r="O682" s="4" t="str">
        <x:v>1. 来源：MainBasis/统一需求文档.md；A-admin-refund-order-009
2. 场景：SC-623201b9c2cc1d</x:v>
      </x:c>
    </x:row>
    <x:row r="683" ht="68" customHeight="1">
      <x:c r="A683" s="4" t="n">
        <x:v>682</x:v>
      </x:c>
      <x:c r="B683" s="4" t="str">
        <x:v>ADMIN-0682</x:v>
      </x:c>
      <x:c r="C683" s="4" t="str">
        <x:v>M11 财务、退款、结算上传与账户调整</x:v>
      </x:c>
      <x:c r="D683" s="4" t="str">
        <x:v>退款订单-27（平台管理员视角）</x:v>
      </x:c>
      <x:c r="E683" s="4" t="str">
        <x:v>功能需求</x:v>
      </x:c>
      <x:c r="F683" s="4" t="str">
        <x:v>P1</x:v>
      </x:c>
      <x:c r="G683" s="4" t="str">
        <x:v>验证已完成退款单号唯一</x:v>
      </x:c>
      <x:c r="H683" s="4" t="str">
        <x:v>已完成退款单号唯一</x:v>
      </x:c>
      <x:c r="I683" s="4" t="str">
        <x:v>1. 已登录平台管理员账号
2. 两笔不同充值的退款均已完成</x:v>
      </x:c>
      <x:c r="J683" s="4" t="str">
        <x:v>1. 进入「退款订单-27」页
2. 查看已完成退款单号唯一</x:v>
      </x:c>
      <x:c r="K683" s="4" t="str">
        <x:v>各退款记录均有退款单号且两个单号不同</x:v>
      </x:c>
      <x:c r="L683" s="4" t="str"/>
      <x:c r="M683" s="4" t="str">
        <x:v>未测</x:v>
      </x:c>
      <x:c r="N683" s="4" t="str"/>
      <x:c r="O683" s="4" t="str">
        <x:v>1. 来源：MainBasis/统一需求文档.md；A-admin-refund-order-002
2. 场景：SC-7be2e8f0ff5070</x:v>
      </x:c>
    </x:row>
    <x:row r="684" ht="54" customHeight="1">
      <x:c r="A684" s="4" t="n">
        <x:v>683</x:v>
      </x:c>
      <x:c r="B684" s="4" t="str">
        <x:v>ADMIN-0683</x:v>
      </x:c>
      <x:c r="C684" s="4" t="str">
        <x:v>M12 直播业绩、增长与统计报表</x:v>
      </x:c>
      <x:c r="D684" s="4" t="str">
        <x:v>工作台-01（平台管理员视角）</x:v>
      </x:c>
      <x:c r="E684" s="4" t="str">
        <x:v>功能需求</x:v>
      </x:c>
      <x:c r="F684" s="4" t="str">
        <x:v>P2</x:v>
      </x:c>
      <x:c r="G684" s="4" t="str">
        <x:v>验证活跃用户、新增用户回显</x:v>
      </x:c>
      <x:c r="H684" s="4" t="str">
        <x:v>活跃用户、新增用户回显</x:v>
      </x:c>
      <x:c r="I684" s="4" t="str">
        <x:v>1. 已登录平台管理员账号
2. 所选对象存在，已记录该对象的活跃用户 / 新增用户值</x:v>
      </x:c>
      <x:c r="J684" s="4" t="str">
        <x:v>1. 进入「工作台-01」页
2. 查看活跃用户、新增用户回显</x:v>
      </x:c>
      <x:c r="K684" s="4" t="str">
        <x:v>「活跃用户 / 新增用户」内容与所选对象的该项资料一致</x:v>
      </x:c>
      <x:c r="L684" s="4" t="str"/>
      <x:c r="M684" s="4" t="str">
        <x:v>未测</x:v>
      </x:c>
      <x:c r="N684" s="4" t="str"/>
      <x:c r="O684" s="4" t="str">
        <x:v>1. 来源：MainBasis/统一需求文档.md；A-admin-dashboard-002
2. 场景：SC-23fbd9844e00ca</x:v>
      </x:c>
    </x:row>
    <x:row r="685" ht="54" customHeight="1">
      <x:c r="A685" s="4" t="n">
        <x:v>684</x:v>
      </x:c>
      <x:c r="B685" s="4" t="str">
        <x:v>ADMIN-0684</x:v>
      </x:c>
      <x:c r="C685" s="4" t="str">
        <x:v>M12 直播业绩、增长与统计报表</x:v>
      </x:c>
      <x:c r="D685" s="4" t="str">
        <x:v>工作台-01（平台管理员视角）</x:v>
      </x:c>
      <x:c r="E685" s="4" t="str">
        <x:v>功能需求</x:v>
      </x:c>
      <x:c r="F685" s="4" t="str">
        <x:v>P2</x:v>
      </x:c>
      <x:c r="G685" s="4" t="str">
        <x:v>验证被动退款回显</x:v>
      </x:c>
      <x:c r="H685" s="4" t="str">
        <x:v>被动退款回显</x:v>
      </x:c>
      <x:c r="I685" s="4" t="str">
        <x:v>1. 已登录平台管理员账号
2. 所选对象存在，已记录该对象的被动退款值</x:v>
      </x:c>
      <x:c r="J685" s="4" t="str">
        <x:v>1. 进入「工作台-01」页
2. 查看被动退款回显</x:v>
      </x:c>
      <x:c r="K685" s="4" t="str">
        <x:v>「被动退款」内容与所选对象的该项资料一致</x:v>
      </x:c>
      <x:c r="L685" s="4" t="str"/>
      <x:c r="M685" s="4" t="str">
        <x:v>未测</x:v>
      </x:c>
      <x:c r="N685" s="4" t="str"/>
      <x:c r="O685" s="4" t="str">
        <x:v>1. 来源：MainBasis/统一需求文档.md；A-admin-dashboard-007
2. 场景：SC-788213582462b8</x:v>
      </x:c>
    </x:row>
    <x:row r="686" ht="82" customHeight="1">
      <x:c r="A686" s="4" t="n">
        <x:v>685</x:v>
      </x:c>
      <x:c r="B686" s="4" t="str">
        <x:v>ADMIN-0685</x:v>
      </x:c>
      <x:c r="C686" s="4" t="str">
        <x:v>M12 直播业绩、增长与统计报表</x:v>
      </x:c>
      <x:c r="D686" s="4" t="str">
        <x:v>工作台-01（平台管理员视角）</x:v>
      </x:c>
      <x:c r="E686" s="4" t="str">
        <x:v>逻辑校验</x:v>
      </x:c>
      <x:c r="F686" s="4" t="str">
        <x:v>P1</x:v>
      </x:c>
      <x:c r="G686" s="4" t="str">
        <x:v>验证工作台有效天人数10799秒</x:v>
      </x:c>
      <x:c r="H686" s="4" t="str">
        <x:v>工作台有效天人数10799秒</x:v>
      </x:c>
      <x:c r="I686" s="4" t="str">
        <x:v>1. 已登录平台管理员账号
2. 当前范围仅一名主播、同一个已确定自然日
3. 该日累计有效直播时长10799秒</x:v>
      </x:c>
      <x:c r="J686" s="4" t="str">
        <x:v>1. 进入「工作台-01」页
2. 查看工作台有效天人数10799秒</x:v>
      </x:c>
      <x:c r="K686" s="4" t="str">
        <x:v>工作台有效天人数 = 0</x:v>
      </x:c>
      <x:c r="L686" s="4" t="str"/>
      <x:c r="M686" s="4" t="str">
        <x:v>未测</x:v>
      </x:c>
      <x:c r="N686" s="4" t="str"/>
      <x:c r="O686" s="4" t="str">
        <x:v>1. 来源：MainBasis/统一需求文档.md；A-admin-dashboard-006
2. 场景：SC-d7085570d674d8</x:v>
      </x:c>
    </x:row>
    <x:row r="687" ht="82" customHeight="1">
      <x:c r="A687" s="4" t="n">
        <x:v>686</x:v>
      </x:c>
      <x:c r="B687" s="4" t="str">
        <x:v>ADMIN-0686</x:v>
      </x:c>
      <x:c r="C687" s="4" t="str">
        <x:v>M12 直播业绩、增长与统计报表</x:v>
      </x:c>
      <x:c r="D687" s="4" t="str">
        <x:v>工作台-01（平台管理员视角）</x:v>
      </x:c>
      <x:c r="E687" s="4" t="str">
        <x:v>逻辑校验</x:v>
      </x:c>
      <x:c r="F687" s="4" t="str">
        <x:v>P1</x:v>
      </x:c>
      <x:c r="G687" s="4" t="str">
        <x:v>验证工作台有效天人数10800秒</x:v>
      </x:c>
      <x:c r="H687" s="4" t="str">
        <x:v>工作台有效天人数10800秒</x:v>
      </x:c>
      <x:c r="I687" s="4" t="str">
        <x:v>1. 已登录平台管理员账号
2. 当前范围仅一名主播、同一个已确定自然日
3. 该日累计有效直播时长10800秒</x:v>
      </x:c>
      <x:c r="J687" s="4" t="str">
        <x:v>1. 进入「工作台-01」页
2. 查看工作台有效天人数10800秒</x:v>
      </x:c>
      <x:c r="K687" s="4" t="str">
        <x:v>工作台有效天人数 = 1</x:v>
      </x:c>
      <x:c r="L687" s="4" t="str"/>
      <x:c r="M687" s="4" t="str">
        <x:v>未测</x:v>
      </x:c>
      <x:c r="N687" s="4" t="str"/>
      <x:c r="O687" s="4" t="str">
        <x:v>1. 来源：MainBasis/统一需求文档.md；A-admin-dashboard-006
2. 场景：SC-36d4e11f069846</x:v>
      </x:c>
    </x:row>
    <x:row r="688" ht="82" customHeight="1">
      <x:c r="A688" s="4" t="n">
        <x:v>687</x:v>
      </x:c>
      <x:c r="B688" s="4" t="str">
        <x:v>ADMIN-0687</x:v>
      </x:c>
      <x:c r="C688" s="4" t="str">
        <x:v>M12 直播业绩、增长与统计报表</x:v>
      </x:c>
      <x:c r="D688" s="4" t="str">
        <x:v>工作台-01（平台管理员视角）</x:v>
      </x:c>
      <x:c r="E688" s="4" t="str">
        <x:v>逻辑校验</x:v>
      </x:c>
      <x:c r="F688" s="4" t="str">
        <x:v>P1</x:v>
      </x:c>
      <x:c r="G688" s="4" t="str">
        <x:v>验证工作台有效天人数10801秒</x:v>
      </x:c>
      <x:c r="H688" s="4" t="str">
        <x:v>工作台有效天人数10801秒</x:v>
      </x:c>
      <x:c r="I688" s="4" t="str">
        <x:v>1. 已登录平台管理员账号
2. 当前范围仅一名主播、同一个已确定自然日
3. 该日累计有效直播时长10801秒</x:v>
      </x:c>
      <x:c r="J688" s="4" t="str">
        <x:v>1. 进入「工作台-01」页
2. 查看工作台有效天人数10801秒</x:v>
      </x:c>
      <x:c r="K688" s="4" t="str">
        <x:v>工作台有效天人数 = 1</x:v>
      </x:c>
      <x:c r="L688" s="4" t="str"/>
      <x:c r="M688" s="4" t="str">
        <x:v>未测</x:v>
      </x:c>
      <x:c r="N688" s="4" t="str"/>
      <x:c r="O688" s="4" t="str">
        <x:v>1. 来源：MainBasis/统一需求文档.md；A-admin-dashboard-006
2. 场景：SC-cf4f8ad717e278</x:v>
      </x:c>
    </x:row>
    <x:row r="689" ht="82" customHeight="1">
      <x:c r="A689" s="4" t="n">
        <x:v>688</x:v>
      </x:c>
      <x:c r="B689" s="4" t="str">
        <x:v>ADMIN-0688</x:v>
      </x:c>
      <x:c r="C689" s="4" t="str">
        <x:v>M12 直播业绩、增长与统计报表</x:v>
      </x:c>
      <x:c r="D689" s="4" t="str">
        <x:v>工作台-01（平台管理员视角）</x:v>
      </x:c>
      <x:c r="E689" s="4" t="str">
        <x:v>逻辑校验</x:v>
      </x:c>
      <x:c r="F689" s="4" t="str">
        <x:v>P1</x:v>
      </x:c>
      <x:c r="G689" s="4" t="str">
        <x:v>验证工作台有效天人数21600秒</x:v>
      </x:c>
      <x:c r="H689" s="4" t="str">
        <x:v>工作台有效天人数21600秒</x:v>
      </x:c>
      <x:c r="I689" s="4" t="str">
        <x:v>1. 已登录平台管理员账号
2. 当前范围仅一名主播、同一个已确定自然日
3. 该日累计有效直播时长21600秒</x:v>
      </x:c>
      <x:c r="J689" s="4" t="str">
        <x:v>1. 进入「工作台-01」页
2. 查看工作台有效天人数21600秒</x:v>
      </x:c>
      <x:c r="K689" s="4" t="str">
        <x:v>工作台有效天人数 = 1</x:v>
      </x:c>
      <x:c r="L689" s="4" t="str"/>
      <x:c r="M689" s="4" t="str">
        <x:v>未测</x:v>
      </x:c>
      <x:c r="N689" s="4" t="str"/>
      <x:c r="O689" s="4" t="str">
        <x:v>1. 来源：MainBasis/统一需求文档.md；A-admin-dashboard-006
2. 场景：SC-a302b216cd94a7</x:v>
      </x:c>
    </x:row>
    <x:row r="690" ht="54" customHeight="1">
      <x:c r="A690" s="4" t="n">
        <x:v>689</x:v>
      </x:c>
      <x:c r="B690" s="4" t="str">
        <x:v>ADMIN-0689</x:v>
      </x:c>
      <x:c r="C690" s="4" t="str">
        <x:v>M12 直播业绩、增长与统计报表</x:v>
      </x:c>
      <x:c r="D690" s="4" t="str">
        <x:v>工作台-01（平台管理员视角）</x:v>
      </x:c>
      <x:c r="E690" s="4" t="str">
        <x:v>逻辑校验</x:v>
      </x:c>
      <x:c r="F690" s="4" t="str">
        <x:v>P1</x:v>
      </x:c>
      <x:c r="G690" s="4" t="str">
        <x:v>验证新用户ARPU分母0</x:v>
      </x:c>
      <x:c r="H690" s="4" t="str">
        <x:v>新用户ARPU分母0</x:v>
      </x:c>
      <x:c r="I690" s="4" t="str">
        <x:v>1. 已登录平台管理员账号
2. 对应充值用户数0，对应支付成功金额0USD</x:v>
      </x:c>
      <x:c r="J690" s="4" t="str">
        <x:v>1. 进入「工作台-01」页
2. 查看新用户ARPU分母0</x:v>
      </x:c>
      <x:c r="K690" s="4" t="str">
        <x:v>新用户ARPU = 0USD</x:v>
      </x:c>
      <x:c r="L690" s="4" t="str"/>
      <x:c r="M690" s="4" t="str">
        <x:v>未测</x:v>
      </x:c>
      <x:c r="N690" s="4" t="str"/>
      <x:c r="O690" s="4" t="str">
        <x:v>1. 来源：MainBasis/统一需求文档.md；A-admin-dashboard-005
2. 场景：SC-c78c7ee95d0474</x:v>
      </x:c>
    </x:row>
    <x:row r="691" ht="54" customHeight="1">
      <x:c r="A691" s="4" t="n">
        <x:v>690</x:v>
      </x:c>
      <x:c r="B691" s="4" t="str">
        <x:v>ADMIN-0690</x:v>
      </x:c>
      <x:c r="C691" s="4" t="str">
        <x:v>M12 直播业绩、增长与统计报表</x:v>
      </x:c>
      <x:c r="D691" s="4" t="str">
        <x:v>工作台-01（平台管理员视角）</x:v>
      </x:c>
      <x:c r="E691" s="4" t="str">
        <x:v>逻辑校验</x:v>
      </x:c>
      <x:c r="F691" s="4" t="str">
        <x:v>P1</x:v>
      </x:c>
      <x:c r="G691" s="4" t="str">
        <x:v>验证新用户ARPU分母2</x:v>
      </x:c>
      <x:c r="H691" s="4" t="str">
        <x:v>新用户ARPU分母2</x:v>
      </x:c>
      <x:c r="I691" s="4" t="str">
        <x:v>1. 已登录平台管理员账号
2. 对应充值用户数2，对应支付成功金额30USD</x:v>
      </x:c>
      <x:c r="J691" s="4" t="str">
        <x:v>1. 进入「工作台-01」页
2. 查看新用户ARPU分母2</x:v>
      </x:c>
      <x:c r="K691" s="4" t="str">
        <x:v>新用户ARPU = 30 ÷ 2 = 15USD</x:v>
      </x:c>
      <x:c r="L691" s="4" t="str"/>
      <x:c r="M691" s="4" t="str">
        <x:v>未测</x:v>
      </x:c>
      <x:c r="N691" s="4" t="str"/>
      <x:c r="O691" s="4" t="str">
        <x:v>1. 来源：MainBasis/统一需求文档.md；A-admin-dashboard-005
2. 场景：SC-5d307e66638ea3</x:v>
      </x:c>
    </x:row>
    <x:row r="692" ht="68" customHeight="1">
      <x:c r="A692" s="4" t="n">
        <x:v>691</x:v>
      </x:c>
      <x:c r="B692" s="4" t="str">
        <x:v>ADMIN-0691</x:v>
      </x:c>
      <x:c r="C692" s="4" t="str">
        <x:v>M12 直播业绩、增长与统计报表</x:v>
      </x:c>
      <x:c r="D692" s="4" t="str">
        <x:v>工作台-01（平台管理员视角）</x:v>
      </x:c>
      <x:c r="E692" s="4" t="str">
        <x:v>功能需求</x:v>
      </x:c>
      <x:c r="F692" s="4" t="str">
        <x:v>P1</x:v>
      </x:c>
      <x:c r="G692" s="4" t="str">
        <x:v>验证活跃用户打开事件去重</x:v>
      </x:c>
      <x:c r="H692" s="4" t="str">
        <x:v>活跃用户打开事件去重</x:v>
      </x:c>
      <x:c r="I692" s="4" t="str">
        <x:v>1. 已登录平台管理员账号
2. 同日登录用户甲启动2次且后台切前台1次，用户乙启动1次，游客启动3次</x:v>
      </x:c>
      <x:c r="J692" s="4" t="str">
        <x:v>1. 进入「工作台-01」页
2. 查看活跃用户打开事件去重</x:v>
      </x:c>
      <x:c r="K692" s="4" t="str">
        <x:v>活跃用户数为2</x:v>
      </x:c>
      <x:c r="L692" s="4" t="str"/>
      <x:c r="M692" s="4" t="str">
        <x:v>未测</x:v>
      </x:c>
      <x:c r="N692" s="4" t="str"/>
      <x:c r="O692" s="4" t="str">
        <x:v>1. 来源：MainBasis/统一需求文档.md；A-admin-dashboard-002
2. 场景：SC-1bce479db89be6</x:v>
      </x:c>
    </x:row>
    <x:row r="693" ht="68" customHeight="1">
      <x:c r="A693" s="4" t="n">
        <x:v>692</x:v>
      </x:c>
      <x:c r="B693" s="4" t="str">
        <x:v>ADMIN-0692</x:v>
      </x:c>
      <x:c r="C693" s="4" t="str">
        <x:v>M12 直播业绩、增长与统计报表</x:v>
      </x:c>
      <x:c r="D693" s="4" t="str">
        <x:v>工作台-01（平台管理员视角）</x:v>
      </x:c>
      <x:c r="E693" s="4" t="str">
        <x:v>功能需求</x:v>
      </x:c>
      <x:c r="F693" s="4" t="str">
        <x:v>P1</x:v>
      </x:c>
      <x:c r="G693" s="4" t="str">
        <x:v>验证充值金额人数订单区分</x:v>
      </x:c>
      <x:c r="H693" s="4" t="str">
        <x:v>充值金额人数订单区分</x:v>
      </x:c>
      <x:c r="I693" s="4" t="str">
        <x:v>1. 已登录平台管理员账号
2. 当日甲成功支付10USD与20USD，乙成功支付30USD，丙40USD支付失败</x:v>
      </x:c>
      <x:c r="J693" s="4" t="str">
        <x:v>1. 进入「工作台-01」页
2. 查看充值金额人数订单区分</x:v>
      </x:c>
      <x:c r="K693" s="4" t="str">
        <x:v>成功金额60USD、去重充值人数2；有订单指标时为3笔</x:v>
      </x:c>
      <x:c r="L693" s="4" t="str"/>
      <x:c r="M693" s="4" t="str">
        <x:v>未测</x:v>
      </x:c>
      <x:c r="N693" s="4" t="str"/>
      <x:c r="O693" s="4" t="str">
        <x:v>1. 来源：MainBasis/统一需求文档.md；A-admin-dashboard-003
2. 场景：SC-d2cf3d061af1e5</x:v>
      </x:c>
    </x:row>
    <x:row r="694" ht="54" customHeight="1">
      <x:c r="A694" s="4" t="n">
        <x:v>693</x:v>
      </x:c>
      <x:c r="B694" s="4" t="str">
        <x:v>ADMIN-0693</x:v>
      </x:c>
      <x:c r="C694" s="4" t="str">
        <x:v>M12 直播业绩、增长与统计报表</x:v>
      </x:c>
      <x:c r="D694" s="4" t="str">
        <x:v>工作台-01（平台管理员视角）</x:v>
      </x:c>
      <x:c r="E694" s="4" t="str">
        <x:v>功能需求</x:v>
      </x:c>
      <x:c r="F694" s="4" t="str">
        <x:v>P1</x:v>
      </x:c>
      <x:c r="G694" s="4" t="str">
        <x:v>验证新用户充值只计注册当日</x:v>
      </x:c>
      <x:c r="H694" s="4" t="str">
        <x:v>新用户充值只计注册当日</x:v>
      </x:c>
      <x:c r="I694" s="4" t="str">
        <x:v>1. 已登录平台管理员账号
2. 当日新注册用户甲充值10USD，昨日注册乙今日充值20USD</x:v>
      </x:c>
      <x:c r="J694" s="4" t="str">
        <x:v>1. 进入「工作台-01」页
2. 查看新用户充值只计注册当日</x:v>
      </x:c>
      <x:c r="K694" s="4" t="str">
        <x:v>新用户充值金额10USD</x:v>
      </x:c>
      <x:c r="L694" s="4" t="str"/>
      <x:c r="M694" s="4" t="str">
        <x:v>未测</x:v>
      </x:c>
      <x:c r="N694" s="4" t="str"/>
      <x:c r="O694" s="4" t="str">
        <x:v>1. 来源：MainBasis/统一需求文档.md；A-admin-dashboard-004
2. 场景：SC-361b71a82d6a32</x:v>
      </x:c>
    </x:row>
    <x:row r="695" ht="54" customHeight="1">
      <x:c r="A695" s="4" t="n">
        <x:v>694</x:v>
      </x:c>
      <x:c r="B695" s="4" t="str">
        <x:v>ADMIN-0694</x:v>
      </x:c>
      <x:c r="C695" s="4" t="str">
        <x:v>M12 直播业绩、增长与统计报表</x:v>
      </x:c>
      <x:c r="D695" s="4" t="str">
        <x:v>工作台-01（平台管理员视角）</x:v>
      </x:c>
      <x:c r="E695" s="4" t="str">
        <x:v>功能需求</x:v>
      </x:c>
      <x:c r="F695" s="4" t="str">
        <x:v>P1</x:v>
      </x:c>
      <x:c r="G695" s="4" t="str">
        <x:v>验证工作台最新日与近7日</x:v>
      </x:c>
      <x:c r="H695" s="4" t="str">
        <x:v>工作台最新日与近7日</x:v>
      </x:c>
      <x:c r="I695" s="4" t="str">
        <x:v>1. 已登录平台管理员账号
2. 已记录最新可用自然日为9月10日</x:v>
      </x:c>
      <x:c r="J695" s="4" t="str">
        <x:v>1. 进入「工作台-01」页
2. 查看工作台最新日与近7日</x:v>
      </x:c>
      <x:c r="K695" s="4" t="str">
        <x:v>指标使用9月10日，趋势使用9月4日至10日</x:v>
      </x:c>
      <x:c r="L695" s="4" t="str"/>
      <x:c r="M695" s="4" t="str">
        <x:v>未测</x:v>
      </x:c>
      <x:c r="N695" s="4" t="str"/>
      <x:c r="O695" s="4" t="str">
        <x:v>1. 来源：MainBasis/统一需求文档.md；A-admin-dashboard-008
2. 场景：SC-df936e6b3c88eb</x:v>
      </x:c>
    </x:row>
    <x:row r="696" ht="54" customHeight="1">
      <x:c r="A696" s="4" t="n">
        <x:v>695</x:v>
      </x:c>
      <x:c r="B696" s="4" t="str">
        <x:v>ADMIN-0695</x:v>
      </x:c>
      <x:c r="C696" s="4" t="str">
        <x:v>M12 直播业绩、增长与统计报表</x:v>
      </x:c>
      <x:c r="D696" s="4" t="str">
        <x:v>工作台-01（平台管理员视角）</x:v>
      </x:c>
      <x:c r="E696" s="4" t="str">
        <x:v>功能需求</x:v>
      </x:c>
      <x:c r="F696" s="4" t="str">
        <x:v>P1</x:v>
      </x:c>
      <x:c r="G696" s="4" t="str">
        <x:v>验证后台使用中文</x:v>
      </x:c>
      <x:c r="H696" s="4" t="str">
        <x:v>后台使用中文</x:v>
      </x:c>
      <x:c r="I696" s="4" t="str">
        <x:v>1. 已登录平台管理员账号</x:v>
      </x:c>
      <x:c r="J696" s="4" t="str">
        <x:v>1. 进入「工作台-01」页
2. 查看后台使用中文</x:v>
      </x:c>
      <x:c r="K696" s="4" t="str">
        <x:v>管理后台界面文案使用中文</x:v>
      </x:c>
      <x:c r="L696" s="4" t="str"/>
      <x:c r="M696" s="4" t="str">
        <x:v>未测</x:v>
      </x:c>
      <x:c r="N696" s="4" t="str"/>
      <x:c r="O696" s="4" t="str">
        <x:v>1. 来源：MainBasis/统一需求文档.md；D-SYS-007、A-admin-dashboard-001
2. 场景：SC-d88e393c227c0e</x:v>
      </x:c>
    </x:row>
    <x:row r="697" ht="54" customHeight="1">
      <x:c r="A697" s="4" t="n">
        <x:v>696</x:v>
      </x:c>
      <x:c r="B697" s="4" t="str">
        <x:v>ADMIN-0696</x:v>
      </x:c>
      <x:c r="C697" s="4" t="str">
        <x:v>M12 直播业绩、增长与统计报表</x:v>
      </x:c>
      <x:c r="D697" s="4" t="str">
        <x:v>工作台-01（平台管理员视角）</x:v>
      </x:c>
      <x:c r="E697" s="4" t="str">
        <x:v>功能需求</x:v>
      </x:c>
      <x:c r="F697" s="4" t="str">
        <x:v>P1</x:v>
      </x:c>
      <x:c r="G697" s="4" t="str">
        <x:v>验证工作台刷新数据</x:v>
      </x:c>
      <x:c r="H697" s="4" t="str">
        <x:v>工作台刷新数据</x:v>
      </x:c>
      <x:c r="I697" s="4" t="str">
        <x:v>1. 已登录平台管理员账号
2. 后台已产生一笔新成功充值</x:v>
      </x:c>
      <x:c r="J697" s="4" t="str">
        <x:v>1. 进入「工作台-01」页
2. 点击刷新</x:v>
      </x:c>
      <x:c r="K697" s="4" t="str">
        <x:v>充值指标包含新增成功充值</x:v>
      </x:c>
      <x:c r="L697" s="4" t="str"/>
      <x:c r="M697" s="4" t="str">
        <x:v>未测</x:v>
      </x:c>
      <x:c r="N697" s="4" t="str"/>
      <x:c r="O697" s="4" t="str">
        <x:v>1. 来源：MainBasis/统一需求文档.md；A-admin-dashboard-009
2. 场景：SC-d648668fc15c89</x:v>
      </x:c>
    </x:row>
    <x:row r="698" ht="54" customHeight="1">
      <x:c r="A698" s="4" t="n">
        <x:v>697</x:v>
      </x:c>
      <x:c r="B698" s="4" t="str">
        <x:v>ADMIN-0697</x:v>
      </x:c>
      <x:c r="C698" s="4" t="str">
        <x:v>M12 直播业绩、增长与统计报表</x:v>
      </x:c>
      <x:c r="D698" s="4" t="str">
        <x:v>报表中心-32（平台管理员视角）</x:v>
      </x:c>
      <x:c r="E698" s="4" t="str">
        <x:v>功能需求</x:v>
      </x:c>
      <x:c r="F698" s="4" t="str">
        <x:v>P2</x:v>
      </x:c>
      <x:c r="G698" s="4" t="str">
        <x:v>验证财务对账回显</x:v>
      </x:c>
      <x:c r="H698" s="4" t="str">
        <x:v>财务对账回显</x:v>
      </x:c>
      <x:c r="I698" s="4" t="str">
        <x:v>1. 已登录平台管理员账号
2. 所选对象存在，已记录该对象的财务对账值</x:v>
      </x:c>
      <x:c r="J698" s="4" t="str">
        <x:v>1. 进入「报表中心-32」页
2. 查看财务对账回显</x:v>
      </x:c>
      <x:c r="K698" s="4" t="str">
        <x:v>「财务对账」内容与所选对象的该项资料一致</x:v>
      </x:c>
      <x:c r="L698" s="4" t="str"/>
      <x:c r="M698" s="4" t="str">
        <x:v>未测</x:v>
      </x:c>
      <x:c r="N698" s="4" t="str"/>
      <x:c r="O698" s="4" t="str">
        <x:v>1. 来源：MainBasis/统一需求文档.md；A-admin-report-center-003
2. 场景：SC-266c0147215c96</x:v>
      </x:c>
    </x:row>
    <x:row r="699" ht="54" customHeight="1">
      <x:c r="A699" s="4" t="n">
        <x:v>698</x:v>
      </x:c>
      <x:c r="B699" s="4" t="str">
        <x:v>ADMIN-0698</x:v>
      </x:c>
      <x:c r="C699" s="4" t="str">
        <x:v>M12 直播业绩、增长与统计报表</x:v>
      </x:c>
      <x:c r="D699" s="4" t="str">
        <x:v>报表中心-32（平台管理员视角）</x:v>
      </x:c>
      <x:c r="E699" s="4" t="str">
        <x:v>功能需求</x:v>
      </x:c>
      <x:c r="F699" s="4" t="str">
        <x:v>P1</x:v>
      </x:c>
      <x:c r="G699" s="4" t="str">
        <x:v>验证报表入口按角色授权</x:v>
      </x:c>
      <x:c r="H699" s="4" t="str">
        <x:v>报表入口按角色授权</x:v>
      </x:c>
      <x:c r="I699" s="4" t="str">
        <x:v>1. 已登录平台管理员账号
2. 当前账号仅获用户活跃报表查询权限，无其他报表权限</x:v>
      </x:c>
      <x:c r="J699" s="4" t="str">
        <x:v>1. 进入「报表中心-32」页
2. 查看报表入口按角色授权</x:v>
      </x:c>
      <x:c r="K699" s="4" t="str">
        <x:v>只显示获授权报表入口</x:v>
      </x:c>
      <x:c r="L699" s="4" t="str"/>
      <x:c r="M699" s="4" t="str">
        <x:v>未测</x:v>
      </x:c>
      <x:c r="N699" s="4" t="str"/>
      <x:c r="O699" s="4" t="str">
        <x:v>1. 来源：MainBasis/统一需求文档.md；A-admin-report-center-004
2. 场景：SC-989503201b0d73</x:v>
      </x:c>
    </x:row>
    <x:row r="700" ht="68" customHeight="1">
      <x:c r="A700" s="4" t="n">
        <x:v>699</x:v>
      </x:c>
      <x:c r="B700" s="4" t="str">
        <x:v>ADMIN-0699</x:v>
      </x:c>
      <x:c r="C700" s="4" t="str">
        <x:v>M12 直播业绩、增长与统计报表</x:v>
      </x:c>
      <x:c r="D700" s="4" t="str">
        <x:v>报表中心-32（平台管理员视角）</x:v>
      </x:c>
      <x:c r="E700" s="4" t="str">
        <x:v>功能需求</x:v>
      </x:c>
      <x:c r="F700" s="4" t="str">
        <x:v>P2</x:v>
      </x:c>
      <x:c r="G700" s="4" t="str">
        <x:v>验证每日统计入口</x:v>
      </x:c>
      <x:c r="H700" s="4" t="str">
        <x:v>每日统计入口</x:v>
      </x:c>
      <x:c r="I700" s="4" t="str">
        <x:v>1. 已登录平台管理员账号
2. 当前角色有对应报表权限</x:v>
      </x:c>
      <x:c r="J700" s="4" t="str">
        <x:v>1. 进入「报表中心-32」页
2. 点击「每日统计」</x:v>
      </x:c>
      <x:c r="K700" s="4" t="str">
        <x:v>页面进入「每日统计」</x:v>
      </x:c>
      <x:c r="L700" s="4" t="str"/>
      <x:c r="M700" s="4" t="str">
        <x:v>未测</x:v>
      </x:c>
      <x:c r="N700" s="4" t="str"/>
      <x:c r="O700" s="4" t="str">
        <x:v>1. 来源：MainBasis/统一需求文档.md；A-admin-report-center-002、A-admin-report-center-006
2. 场景：SC-44c065425ea5f2</x:v>
      </x:c>
    </x:row>
    <x:row r="701" ht="68" customHeight="1">
      <x:c r="A701" s="4" t="n">
        <x:v>700</x:v>
      </x:c>
      <x:c r="B701" s="4" t="str">
        <x:v>ADMIN-0700</x:v>
      </x:c>
      <x:c r="C701" s="4" t="str">
        <x:v>M12 直播业绩、增长与统计报表</x:v>
      </x:c>
      <x:c r="D701" s="4" t="str">
        <x:v>报表中心-32（平台管理员视角）</x:v>
      </x:c>
      <x:c r="E701" s="4" t="str">
        <x:v>功能需求</x:v>
      </x:c>
      <x:c r="F701" s="4" t="str">
        <x:v>P2</x:v>
      </x:c>
      <x:c r="G701" s="4" t="str">
        <x:v>验证用户活跃入口</x:v>
      </x:c>
      <x:c r="H701" s="4" t="str">
        <x:v>用户活跃入口</x:v>
      </x:c>
      <x:c r="I701" s="4" t="str">
        <x:v>1. 已登录平台管理员账号
2. 当前角色有对应报表权限</x:v>
      </x:c>
      <x:c r="J701" s="4" t="str">
        <x:v>1. 进入「报表中心-32」页
2. 点击「用户活跃」</x:v>
      </x:c>
      <x:c r="K701" s="4" t="str">
        <x:v>页面进入「用户活跃」</x:v>
      </x:c>
      <x:c r="L701" s="4" t="str"/>
      <x:c r="M701" s="4" t="str">
        <x:v>未测</x:v>
      </x:c>
      <x:c r="N701" s="4" t="str"/>
      <x:c r="O701" s="4" t="str">
        <x:v>1. 来源：MainBasis/统一需求文档.md；A-admin-report-center-002、A-admin-report-center-006
2. 场景：SC-97b56f065d702e</x:v>
      </x:c>
    </x:row>
    <x:row r="702" ht="68" customHeight="1">
      <x:c r="A702" s="4" t="n">
        <x:v>701</x:v>
      </x:c>
      <x:c r="B702" s="4" t="str">
        <x:v>ADMIN-0701</x:v>
      </x:c>
      <x:c r="C702" s="4" t="str">
        <x:v>M12 直播业绩、增长与统计报表</x:v>
      </x:c>
      <x:c r="D702" s="4" t="str">
        <x:v>报表中心-32（平台管理员视角）</x:v>
      </x:c>
      <x:c r="E702" s="4" t="str">
        <x:v>功能需求</x:v>
      </x:c>
      <x:c r="F702" s="4" t="str">
        <x:v>P2</x:v>
      </x:c>
      <x:c r="G702" s="4" t="str">
        <x:v>验证主播活跃入口</x:v>
      </x:c>
      <x:c r="H702" s="4" t="str">
        <x:v>主播活跃入口</x:v>
      </x:c>
      <x:c r="I702" s="4" t="str">
        <x:v>1. 已登录平台管理员账号
2. 当前角色有对应报表权限</x:v>
      </x:c>
      <x:c r="J702" s="4" t="str">
        <x:v>1. 进入「报表中心-32」页
2. 点击「主播活跃」</x:v>
      </x:c>
      <x:c r="K702" s="4" t="str">
        <x:v>页面进入「主播活跃」</x:v>
      </x:c>
      <x:c r="L702" s="4" t="str"/>
      <x:c r="M702" s="4" t="str">
        <x:v>未测</x:v>
      </x:c>
      <x:c r="N702" s="4" t="str"/>
      <x:c r="O702" s="4" t="str">
        <x:v>1. 来源：MainBasis/统一需求文档.md；A-admin-report-center-002、A-admin-report-center-006
2. 场景：SC-86591d6062e6c6</x:v>
      </x:c>
    </x:row>
    <x:row r="703" ht="68" customHeight="1">
      <x:c r="A703" s="4" t="n">
        <x:v>702</x:v>
      </x:c>
      <x:c r="B703" s="4" t="str">
        <x:v>ADMIN-0702</x:v>
      </x:c>
      <x:c r="C703" s="4" t="str">
        <x:v>M12 直播业绩、增长与统计报表</x:v>
      </x:c>
      <x:c r="D703" s="4" t="str">
        <x:v>报表中心-32（平台管理员视角）</x:v>
      </x:c>
      <x:c r="E703" s="4" t="str">
        <x:v>功能需求</x:v>
      </x:c>
      <x:c r="F703" s="4" t="str">
        <x:v>P2</x:v>
      </x:c>
      <x:c r="G703" s="4" t="str">
        <x:v>验证直播互动入口</x:v>
      </x:c>
      <x:c r="H703" s="4" t="str">
        <x:v>直播互动入口</x:v>
      </x:c>
      <x:c r="I703" s="4" t="str">
        <x:v>1. 已登录平台管理员账号
2. 当前角色有对应报表权限</x:v>
      </x:c>
      <x:c r="J703" s="4" t="str">
        <x:v>1. 进入「报表中心-32」页
2. 点击「直播互动」</x:v>
      </x:c>
      <x:c r="K703" s="4" t="str">
        <x:v>页面进入「直播互动」</x:v>
      </x:c>
      <x:c r="L703" s="4" t="str"/>
      <x:c r="M703" s="4" t="str">
        <x:v>未测</x:v>
      </x:c>
      <x:c r="N703" s="4" t="str"/>
      <x:c r="O703" s="4" t="str">
        <x:v>1. 来源：MainBasis/统一需求文档.md；A-admin-report-center-002、A-admin-report-center-006
2. 场景：SC-830d19ae4a03c0</x:v>
      </x:c>
    </x:row>
    <x:row r="704" ht="68" customHeight="1">
      <x:c r="A704" s="4" t="n">
        <x:v>703</x:v>
      </x:c>
      <x:c r="B704" s="4" t="str">
        <x:v>ADMIN-0703</x:v>
      </x:c>
      <x:c r="C704" s="4" t="str">
        <x:v>M12 直播业绩、增长与统计报表</x:v>
      </x:c>
      <x:c r="D704" s="4" t="str">
        <x:v>报表中心-32（平台管理员视角）</x:v>
      </x:c>
      <x:c r="E704" s="4" t="str">
        <x:v>功能需求</x:v>
      </x:c>
      <x:c r="F704" s="4" t="str">
        <x:v>P2</x:v>
      </x:c>
      <x:c r="G704" s="4" t="str">
        <x:v>验证充值消费入口</x:v>
      </x:c>
      <x:c r="H704" s="4" t="str">
        <x:v>充值消费入口</x:v>
      </x:c>
      <x:c r="I704" s="4" t="str">
        <x:v>1. 已登录平台管理员账号
2. 当前角色有对应报表权限</x:v>
      </x:c>
      <x:c r="J704" s="4" t="str">
        <x:v>1. 进入「报表中心-32」页
2. 点击「充值消费」</x:v>
      </x:c>
      <x:c r="K704" s="4" t="str">
        <x:v>页面进入「充值消费」</x:v>
      </x:c>
      <x:c r="L704" s="4" t="str"/>
      <x:c r="M704" s="4" t="str">
        <x:v>未测</x:v>
      </x:c>
      <x:c r="N704" s="4" t="str"/>
      <x:c r="O704" s="4" t="str">
        <x:v>1. 来源：MainBasis/统一需求文档.md；A-admin-report-center-002、A-admin-report-center-006
2. 场景：SC-3164d4589fe438</x:v>
      </x:c>
    </x:row>
    <x:row r="705" ht="68" customHeight="1">
      <x:c r="A705" s="4" t="n">
        <x:v>704</x:v>
      </x:c>
      <x:c r="B705" s="4" t="str">
        <x:v>ADMIN-0704</x:v>
      </x:c>
      <x:c r="C705" s="4" t="str">
        <x:v>M12 直播业绩、增长与统计报表</x:v>
      </x:c>
      <x:c r="D705" s="4" t="str">
        <x:v>报表中心-32（平台管理员视角）</x:v>
      </x:c>
      <x:c r="E705" s="4" t="str">
        <x:v>功能需求</x:v>
      </x:c>
      <x:c r="F705" s="4" t="str">
        <x:v>P2</x:v>
      </x:c>
      <x:c r="G705" s="4" t="str">
        <x:v>验证充值用户分层入口</x:v>
      </x:c>
      <x:c r="H705" s="4" t="str">
        <x:v>充值用户分层入口</x:v>
      </x:c>
      <x:c r="I705" s="4" t="str">
        <x:v>1. 已登录平台管理员账号
2. 当前角色有对应报表权限</x:v>
      </x:c>
      <x:c r="J705" s="4" t="str">
        <x:v>1. 进入「报表中心-32」页
2. 点击「充值用户分层」</x:v>
      </x:c>
      <x:c r="K705" s="4" t="str">
        <x:v>页面进入「充值用户分层」</x:v>
      </x:c>
      <x:c r="L705" s="4" t="str"/>
      <x:c r="M705" s="4" t="str">
        <x:v>未测</x:v>
      </x:c>
      <x:c r="N705" s="4" t="str"/>
      <x:c r="O705" s="4" t="str">
        <x:v>1. 来源：MainBasis/统一需求文档.md；A-admin-report-center-002、A-admin-report-center-006
2. 场景：SC-7b901560f02911</x:v>
      </x:c>
    </x:row>
    <x:row r="706" ht="54" customHeight="1">
      <x:c r="A706" s="4" t="n">
        <x:v>705</x:v>
      </x:c>
      <x:c r="B706" s="4" t="str">
        <x:v>ADMIN-0705</x:v>
      </x:c>
      <x:c r="C706" s="4" t="str">
        <x:v>M12 直播业绩、增长与统计报表</x:v>
      </x:c>
      <x:c r="D706" s="4" t="str">
        <x:v>数据概览-33（平台管理员视角）</x:v>
      </x:c>
      <x:c r="E706" s="4" t="str">
        <x:v>逻辑校验</x:v>
      </x:c>
      <x:c r="F706" s="4" t="str">
        <x:v>P1</x:v>
      </x:c>
      <x:c r="G706" s="4" t="str">
        <x:v>验证新用户ARPU分母0</x:v>
      </x:c>
      <x:c r="H706" s="4" t="str">
        <x:v>新用户ARPU分母0</x:v>
      </x:c>
      <x:c r="I706" s="4" t="str">
        <x:v>1. 已登录平台管理员账号
2. 对应充值用户数0，对应支付成功金额0USD</x:v>
      </x:c>
      <x:c r="J706" s="4" t="str">
        <x:v>1. 进入「数据概览-33」页
2. 查看新用户ARPU分母0</x:v>
      </x:c>
      <x:c r="K706" s="4" t="str">
        <x:v>新用户ARPU = 0USD</x:v>
      </x:c>
      <x:c r="L706" s="4" t="str"/>
      <x:c r="M706" s="4" t="str">
        <x:v>未测</x:v>
      </x:c>
      <x:c r="N706" s="4" t="str"/>
      <x:c r="O706" s="4" t="str">
        <x:v>1. 来源：MainBasis/统一需求文档.md；A-admin-data-overview-006
2. 场景：SC-e79404277caa67</x:v>
      </x:c>
    </x:row>
    <x:row r="707" ht="54" customHeight="1">
      <x:c r="A707" s="4" t="n">
        <x:v>706</x:v>
      </x:c>
      <x:c r="B707" s="4" t="str">
        <x:v>ADMIN-0706</x:v>
      </x:c>
      <x:c r="C707" s="4" t="str">
        <x:v>M12 直播业绩、增长与统计报表</x:v>
      </x:c>
      <x:c r="D707" s="4" t="str">
        <x:v>数据概览-33（平台管理员视角）</x:v>
      </x:c>
      <x:c r="E707" s="4" t="str">
        <x:v>逻辑校验</x:v>
      </x:c>
      <x:c r="F707" s="4" t="str">
        <x:v>P1</x:v>
      </x:c>
      <x:c r="G707" s="4" t="str">
        <x:v>验证新用户ARPU分母2</x:v>
      </x:c>
      <x:c r="H707" s="4" t="str">
        <x:v>新用户ARPU分母2</x:v>
      </x:c>
      <x:c r="I707" s="4" t="str">
        <x:v>1. 已登录平台管理员账号
2. 对应充值用户数2，对应支付成功金额30USD</x:v>
      </x:c>
      <x:c r="J707" s="4" t="str">
        <x:v>1. 进入「数据概览-33」页
2. 查看新用户ARPU分母2</x:v>
      </x:c>
      <x:c r="K707" s="4" t="str">
        <x:v>新用户ARPU = 30 ÷ 2 = 15USD</x:v>
      </x:c>
      <x:c r="L707" s="4" t="str"/>
      <x:c r="M707" s="4" t="str">
        <x:v>未测</x:v>
      </x:c>
      <x:c r="N707" s="4" t="str"/>
      <x:c r="O707" s="4" t="str">
        <x:v>1. 来源：MainBasis/统一需求文档.md；A-admin-data-overview-006
2. 场景：SC-e119280e1b949d</x:v>
      </x:c>
    </x:row>
    <x:row r="708" ht="54" customHeight="1">
      <x:c r="A708" s="4" t="n">
        <x:v>707</x:v>
      </x:c>
      <x:c r="B708" s="4" t="str">
        <x:v>ADMIN-0707</x:v>
      </x:c>
      <x:c r="C708" s="4" t="str">
        <x:v>M12 直播业绩、增长与统计报表</x:v>
      </x:c>
      <x:c r="D708" s="4" t="str">
        <x:v>数据概览-33（平台管理员视角）</x:v>
      </x:c>
      <x:c r="E708" s="4" t="str">
        <x:v>功能需求</x:v>
      </x:c>
      <x:c r="F708" s="4" t="str">
        <x:v>P1</x:v>
      </x:c>
      <x:c r="G708" s="4" t="str">
        <x:v>验证概览活跃按日求和</x:v>
      </x:c>
      <x:c r="H708" s="4" t="str">
        <x:v>概览活跃按日求和</x:v>
      </x:c>
      <x:c r="I708" s="4" t="str">
        <x:v>1. 已登录平台管理员账号
2. 同一登录用户在所选两日均打开App，其他用户无活动</x:v>
      </x:c>
      <x:c r="J708" s="4" t="str">
        <x:v>1. 进入「数据概览-33」页
2. 查看概览活跃按日求和</x:v>
      </x:c>
      <x:c r="K708" s="4" t="str">
        <x:v>活跃汇总为2</x:v>
      </x:c>
      <x:c r="L708" s="4" t="str"/>
      <x:c r="M708" s="4" t="str">
        <x:v>未测</x:v>
      </x:c>
      <x:c r="N708" s="4" t="str"/>
      <x:c r="O708" s="4" t="str">
        <x:v>1. 来源：MainBasis/统一需求文档.md；A-admin-data-overview-003
2. 场景：SC-247b2a62c53414</x:v>
      </x:c>
    </x:row>
    <x:row r="709" ht="54" customHeight="1">
      <x:c r="A709" s="4" t="n">
        <x:v>708</x:v>
      </x:c>
      <x:c r="B709" s="4" t="str">
        <x:v>ADMIN-0708</x:v>
      </x:c>
      <x:c r="C709" s="4" t="str">
        <x:v>M12 直播业绩、增长与统计报表</x:v>
      </x:c>
      <x:c r="D709" s="4" t="str">
        <x:v>数据概览-33（平台管理员视角）</x:v>
      </x:c>
      <x:c r="E709" s="4" t="str">
        <x:v>功能需求</x:v>
      </x:c>
      <x:c r="F709" s="4" t="str">
        <x:v>P1</x:v>
      </x:c>
      <x:c r="G709" s="4" t="str">
        <x:v>验证概览充值人数按日求和</x:v>
      </x:c>
      <x:c r="H709" s="4" t="str">
        <x:v>概览充值人数按日求和</x:v>
      </x:c>
      <x:c r="I709" s="4" t="str">
        <x:v>1. 已登录平台管理员账号
2. 同一用户所选两日各成功充值一次</x:v>
      </x:c>
      <x:c r="J709" s="4" t="str">
        <x:v>1. 进入「数据概览-33」页
2. 查看概览充值人数按日求和</x:v>
      </x:c>
      <x:c r="K709" s="4" t="str">
        <x:v>充值人数汇总为2</x:v>
      </x:c>
      <x:c r="L709" s="4" t="str"/>
      <x:c r="M709" s="4" t="str">
        <x:v>未测</x:v>
      </x:c>
      <x:c r="N709" s="4" t="str"/>
      <x:c r="O709" s="4" t="str">
        <x:v>1. 来源：MainBasis/统一需求文档.md；A-admin-data-overview-004
2. 场景：SC-da8f9a6565e8e4</x:v>
      </x:c>
    </x:row>
    <x:row r="710" ht="54" customHeight="1">
      <x:c r="A710" s="4" t="n">
        <x:v>709</x:v>
      </x:c>
      <x:c r="B710" s="4" t="str">
        <x:v>ADMIN-0709</x:v>
      </x:c>
      <x:c r="C710" s="4" t="str">
        <x:v>M12 直播业绩、增长与统计报表</x:v>
      </x:c>
      <x:c r="D710" s="4" t="str">
        <x:v>数据概览-33（平台管理员视角）</x:v>
      </x:c>
      <x:c r="E710" s="4" t="str">
        <x:v>功能需求</x:v>
      </x:c>
      <x:c r="F710" s="4" t="str">
        <x:v>P1</x:v>
      </x:c>
      <x:c r="G710" s="4" t="str">
        <x:v>验证新用户充值只计注册当日</x:v>
      </x:c>
      <x:c r="H710" s="4" t="str">
        <x:v>新用户充值只计注册当日</x:v>
      </x:c>
      <x:c r="I710" s="4" t="str">
        <x:v>1. 已登录平台管理员账号
2. 当日新注册用户甲充值10USD，昨日注册乙今日充值20USD</x:v>
      </x:c>
      <x:c r="J710" s="4" t="str">
        <x:v>1. 进入「数据概览-33」页
2. 查看新用户充值只计注册当日</x:v>
      </x:c>
      <x:c r="K710" s="4" t="str">
        <x:v>新用户充值金额10USD</x:v>
      </x:c>
      <x:c r="L710" s="4" t="str"/>
      <x:c r="M710" s="4" t="str">
        <x:v>未测</x:v>
      </x:c>
      <x:c r="N710" s="4" t="str"/>
      <x:c r="O710" s="4" t="str">
        <x:v>1. 来源：MainBasis/统一需求文档.md；A-admin-data-overview-005
2. 场景：SC-cd151ae7f2fdd4</x:v>
      </x:c>
    </x:row>
    <x:row r="711" ht="54" customHeight="1">
      <x:c r="A711" s="4" t="n">
        <x:v>710</x:v>
      </x:c>
      <x:c r="B711" s="4" t="str">
        <x:v>ADMIN-0710</x:v>
      </x:c>
      <x:c r="C711" s="4" t="str">
        <x:v>M12 直播业绩、增长与统计报表</x:v>
      </x:c>
      <x:c r="D711" s="4" t="str">
        <x:v>数据概览-33（平台管理员视角）</x:v>
      </x:c>
      <x:c r="E711" s="4" t="str">
        <x:v>功能需求</x:v>
      </x:c>
      <x:c r="F711" s="4" t="str">
        <x:v>P1</x:v>
      </x:c>
      <x:c r="G711" s="4" t="str">
        <x:v>验证报表结束早于开始</x:v>
      </x:c>
      <x:c r="H711" s="4" t="str">
        <x:v>报表结束早于开始</x:v>
      </x:c>
      <x:c r="I711" s="4" t="str">
        <x:v>1. 已登录平台管理员账号
2. 开始9月2日，结束9月1日</x:v>
      </x:c>
      <x:c r="J711" s="4" t="str">
        <x:v>1. 进入「数据概览-33」页
2. 点击查询</x:v>
      </x:c>
      <x:c r="K711" s="4" t="str">
        <x:v>不能按反向日期范围查询</x:v>
      </x:c>
      <x:c r="L711" s="4" t="str"/>
      <x:c r="M711" s="4" t="str">
        <x:v>未测</x:v>
      </x:c>
      <x:c r="N711" s="4" t="str"/>
      <x:c r="O711" s="4" t="str">
        <x:v>1. 来源：MainBasis/统一需求文档.md；A-admin-data-overview-009
2. 场景：SC-98d1b66e2d0535</x:v>
      </x:c>
    </x:row>
    <x:row r="712" ht="54" customHeight="1">
      <x:c r="A712" s="4" t="n">
        <x:v>711</x:v>
      </x:c>
      <x:c r="B712" s="4" t="str">
        <x:v>ADMIN-0711</x:v>
      </x:c>
      <x:c r="C712" s="4" t="str">
        <x:v>M12 直播业绩、增长与统计报表</x:v>
      </x:c>
      <x:c r="D712" s="4" t="str">
        <x:v>数据概览-33（平台管理员视角）</x:v>
      </x:c>
      <x:c r="E712" s="4" t="str">
        <x:v>功能需求</x:v>
      </x:c>
      <x:c r="F712" s="4" t="str">
        <x:v>P1</x:v>
      </x:c>
      <x:c r="G712" s="4" t="str">
        <x:v>验证有效天主播按日累加</x:v>
      </x:c>
      <x:c r="H712" s="4" t="str">
        <x:v>有效天主播按日累加</x:v>
      </x:c>
      <x:c r="I712" s="4" t="str">
        <x:v>1. 已登录平台管理员账号
2. 同一主播所选两日均达到3小时</x:v>
      </x:c>
      <x:c r="J712" s="4" t="str">
        <x:v>1. 进入「数据概览-33」页
2. 查看有效天主播按日累加</x:v>
      </x:c>
      <x:c r="K712" s="4" t="str">
        <x:v>有效天主播人次2</x:v>
      </x:c>
      <x:c r="L712" s="4" t="str"/>
      <x:c r="M712" s="4" t="str">
        <x:v>未测</x:v>
      </x:c>
      <x:c r="N712" s="4" t="str"/>
      <x:c r="O712" s="4" t="str">
        <x:v>1. 来源：MainBasis/统一需求文档.md；A-admin-data-overview-007
2. 场景：SC-b9e84eaa440530</x:v>
      </x:c>
    </x:row>
    <x:row r="713" ht="54" customHeight="1">
      <x:c r="A713" s="4" t="n">
        <x:v>712</x:v>
      </x:c>
      <x:c r="B713" s="4" t="str">
        <x:v>ADMIN-0712</x:v>
      </x:c>
      <x:c r="C713" s="4" t="str">
        <x:v>M12 直播业绩、增长与统计报表</x:v>
      </x:c>
      <x:c r="D713" s="4" t="str">
        <x:v>数据概览-33（平台管理员视角）</x:v>
      </x:c>
      <x:c r="E713" s="4" t="str">
        <x:v>功能需求</x:v>
      </x:c>
      <x:c r="F713" s="4" t="str">
        <x:v>P1</x:v>
      </x:c>
      <x:c r="G713" s="4" t="str">
        <x:v>验证概览同日范围</x:v>
      </x:c>
      <x:c r="H713" s="4" t="str">
        <x:v>概览同日范围</x:v>
      </x:c>
      <x:c r="I713" s="4" t="str">
        <x:v>1. 已登录平台管理员账号
2. 开始及结束均选9月1日</x:v>
      </x:c>
      <x:c r="J713" s="4" t="str">
        <x:v>1. 进入「数据概览-33」页
2. 查看概览同日范围</x:v>
      </x:c>
      <x:c r="K713" s="4" t="str">
        <x:v>指标和趋势仅使用9月1日</x:v>
      </x:c>
      <x:c r="L713" s="4" t="str"/>
      <x:c r="M713" s="4" t="str">
        <x:v>未测</x:v>
      </x:c>
      <x:c r="N713" s="4" t="str"/>
      <x:c r="O713" s="4" t="str">
        <x:v>1. 来源：MainBasis/统一需求文档.md；A-admin-data-overview-008
2. 场景：SC-b7e6c5a9fa2b46</x:v>
      </x:c>
    </x:row>
    <x:row r="714" ht="54" customHeight="1">
      <x:c r="A714" s="4" t="n">
        <x:v>713</x:v>
      </x:c>
      <x:c r="B714" s="4" t="str">
        <x:v>ADMIN-0713</x:v>
      </x:c>
      <x:c r="C714" s="4" t="str">
        <x:v>M12 直播业绩、增长与统计报表</x:v>
      </x:c>
      <x:c r="D714" s="4" t="str">
        <x:v>每日统计-34（平台管理员视角）</x:v>
      </x:c>
      <x:c r="E714" s="4" t="str">
        <x:v>功能需求</x:v>
      </x:c>
      <x:c r="F714" s="4" t="str">
        <x:v>P2</x:v>
      </x:c>
      <x:c r="G714" s="4" t="str">
        <x:v>验证活跃、新增用户回显</x:v>
      </x:c>
      <x:c r="H714" s="4" t="str">
        <x:v>活跃、新增用户回显</x:v>
      </x:c>
      <x:c r="I714" s="4" t="str">
        <x:v>1. 已登录平台管理员账号
2. 所选对象存在，已记录该对象的活跃 / 新增用户值</x:v>
      </x:c>
      <x:c r="J714" s="4" t="str">
        <x:v>1. 进入「每日统计-34」页
2. 查看活跃、新增用户回显</x:v>
      </x:c>
      <x:c r="K714" s="4" t="str">
        <x:v>「活跃 / 新增用户」内容与所选对象的该项资料一致</x:v>
      </x:c>
      <x:c r="L714" s="4" t="str"/>
      <x:c r="M714" s="4" t="str">
        <x:v>未测</x:v>
      </x:c>
      <x:c r="N714" s="4" t="str"/>
      <x:c r="O714" s="4" t="str">
        <x:v>1. 来源：MainBasis/统一需求文档.md；A-admin-daily-statistics-003
2. 场景：SC-adf43742225402</x:v>
      </x:c>
    </x:row>
    <x:row r="715" ht="54" customHeight="1">
      <x:c r="A715" s="4" t="n">
        <x:v>714</x:v>
      </x:c>
      <x:c r="B715" s="4" t="str">
        <x:v>ADMIN-0714</x:v>
      </x:c>
      <x:c r="C715" s="4" t="str">
        <x:v>M12 直播业绩、增长与统计报表</x:v>
      </x:c>
      <x:c r="D715" s="4" t="str">
        <x:v>每日统计-34（平台管理员视角）</x:v>
      </x:c>
      <x:c r="E715" s="4" t="str">
        <x:v>功能需求</x:v>
      </x:c>
      <x:c r="F715" s="4" t="str">
        <x:v>P2</x:v>
      </x:c>
      <x:c r="G715" s="4" t="str">
        <x:v>验证开播人数回显</x:v>
      </x:c>
      <x:c r="H715" s="4" t="str">
        <x:v>开播人数回显</x:v>
      </x:c>
      <x:c r="I715" s="4" t="str">
        <x:v>1. 已登录平台管理员账号
2. 所选对象存在，已记录该对象的开播人数值</x:v>
      </x:c>
      <x:c r="J715" s="4" t="str">
        <x:v>1. 进入「每日统计-34」页
2. 查看开播人数回显</x:v>
      </x:c>
      <x:c r="K715" s="4" t="str">
        <x:v>「开播人数」内容与所选对象的该项资料一致</x:v>
      </x:c>
      <x:c r="L715" s="4" t="str"/>
      <x:c r="M715" s="4" t="str">
        <x:v>未测</x:v>
      </x:c>
      <x:c r="N715" s="4" t="str"/>
      <x:c r="O715" s="4" t="str">
        <x:v>1. 来源：MainBasis/统一需求文档.md；A-admin-daily-statistics-007
2. 场景：SC-25ae3d5d828608</x:v>
      </x:c>
    </x:row>
    <x:row r="716" ht="82" customHeight="1">
      <x:c r="A716" s="4" t="n">
        <x:v>715</x:v>
      </x:c>
      <x:c r="B716" s="4" t="str">
        <x:v>ADMIN-0715</x:v>
      </x:c>
      <x:c r="C716" s="4" t="str">
        <x:v>M12 直播业绩、增长与统计报表</x:v>
      </x:c>
      <x:c r="D716" s="4" t="str">
        <x:v>每日统计-34（平台管理员视角）</x:v>
      </x:c>
      <x:c r="E716" s="4" t="str">
        <x:v>逻辑校验</x:v>
      </x:c>
      <x:c r="F716" s="4" t="str">
        <x:v>P1</x:v>
      </x:c>
      <x:c r="G716" s="4" t="str">
        <x:v>验证每日统计有效天人数10799秒</x:v>
      </x:c>
      <x:c r="H716" s="4" t="str">
        <x:v>每日统计有效天人数10799秒</x:v>
      </x:c>
      <x:c r="I716" s="4" t="str">
        <x:v>1. 已登录平台管理员账号
2. 当前范围仅一名主播、同一个已确定自然日
3. 该日累计有效直播时长10799秒</x:v>
      </x:c>
      <x:c r="J716" s="4" t="str">
        <x:v>1. 进入「每日统计-34」页
2. 查看每日统计有效天人数10799秒</x:v>
      </x:c>
      <x:c r="K716" s="4" t="str">
        <x:v>每日统计有效天人数 = 0</x:v>
      </x:c>
      <x:c r="L716" s="4" t="str"/>
      <x:c r="M716" s="4" t="str">
        <x:v>未测</x:v>
      </x:c>
      <x:c r="N716" s="4" t="str"/>
      <x:c r="O716" s="4" t="str">
        <x:v>1. 来源：MainBasis/统一需求文档.md；A-admin-daily-statistics-008
2. 场景：SC-eeb1c643dadb59</x:v>
      </x:c>
    </x:row>
    <x:row r="717" ht="82" customHeight="1">
      <x:c r="A717" s="4" t="n">
        <x:v>716</x:v>
      </x:c>
      <x:c r="B717" s="4" t="str">
        <x:v>ADMIN-0716</x:v>
      </x:c>
      <x:c r="C717" s="4" t="str">
        <x:v>M12 直播业绩、增长与统计报表</x:v>
      </x:c>
      <x:c r="D717" s="4" t="str">
        <x:v>每日统计-34（平台管理员视角）</x:v>
      </x:c>
      <x:c r="E717" s="4" t="str">
        <x:v>逻辑校验</x:v>
      </x:c>
      <x:c r="F717" s="4" t="str">
        <x:v>P1</x:v>
      </x:c>
      <x:c r="G717" s="4" t="str">
        <x:v>验证每日统计有效天人数10800秒</x:v>
      </x:c>
      <x:c r="H717" s="4" t="str">
        <x:v>每日统计有效天人数10800秒</x:v>
      </x:c>
      <x:c r="I717" s="4" t="str">
        <x:v>1. 已登录平台管理员账号
2. 当前范围仅一名主播、同一个已确定自然日
3. 该日累计有效直播时长10800秒</x:v>
      </x:c>
      <x:c r="J717" s="4" t="str">
        <x:v>1. 进入「每日统计-34」页
2. 查看每日统计有效天人数10800秒</x:v>
      </x:c>
      <x:c r="K717" s="4" t="str">
        <x:v>每日统计有效天人数 = 1</x:v>
      </x:c>
      <x:c r="L717" s="4" t="str"/>
      <x:c r="M717" s="4" t="str">
        <x:v>未测</x:v>
      </x:c>
      <x:c r="N717" s="4" t="str"/>
      <x:c r="O717" s="4" t="str">
        <x:v>1. 来源：MainBasis/统一需求文档.md；A-admin-daily-statistics-008
2. 场景：SC-f55e1b9981660f</x:v>
      </x:c>
    </x:row>
    <x:row r="718" ht="82" customHeight="1">
      <x:c r="A718" s="4" t="n">
        <x:v>717</x:v>
      </x:c>
      <x:c r="B718" s="4" t="str">
        <x:v>ADMIN-0717</x:v>
      </x:c>
      <x:c r="C718" s="4" t="str">
        <x:v>M12 直播业绩、增长与统计报表</x:v>
      </x:c>
      <x:c r="D718" s="4" t="str">
        <x:v>每日统计-34（平台管理员视角）</x:v>
      </x:c>
      <x:c r="E718" s="4" t="str">
        <x:v>逻辑校验</x:v>
      </x:c>
      <x:c r="F718" s="4" t="str">
        <x:v>P1</x:v>
      </x:c>
      <x:c r="G718" s="4" t="str">
        <x:v>验证每日统计有效天人数10801秒</x:v>
      </x:c>
      <x:c r="H718" s="4" t="str">
        <x:v>每日统计有效天人数10801秒</x:v>
      </x:c>
      <x:c r="I718" s="4" t="str">
        <x:v>1. 已登录平台管理员账号
2. 当前范围仅一名主播、同一个已确定自然日
3. 该日累计有效直播时长10801秒</x:v>
      </x:c>
      <x:c r="J718" s="4" t="str">
        <x:v>1. 进入「每日统计-34」页
2. 查看每日统计有效天人数10801秒</x:v>
      </x:c>
      <x:c r="K718" s="4" t="str">
        <x:v>每日统计有效天人数 = 1</x:v>
      </x:c>
      <x:c r="L718" s="4" t="str"/>
      <x:c r="M718" s="4" t="str">
        <x:v>未测</x:v>
      </x:c>
      <x:c r="N718" s="4" t="str"/>
      <x:c r="O718" s="4" t="str">
        <x:v>1. 来源：MainBasis/统一需求文档.md；A-admin-daily-statistics-008
2. 场景：SC-fec5355276de58</x:v>
      </x:c>
    </x:row>
    <x:row r="719" ht="82" customHeight="1">
      <x:c r="A719" s="4" t="n">
        <x:v>718</x:v>
      </x:c>
      <x:c r="B719" s="4" t="str">
        <x:v>ADMIN-0718</x:v>
      </x:c>
      <x:c r="C719" s="4" t="str">
        <x:v>M12 直播业绩、增长与统计报表</x:v>
      </x:c>
      <x:c r="D719" s="4" t="str">
        <x:v>每日统计-34（平台管理员视角）</x:v>
      </x:c>
      <x:c r="E719" s="4" t="str">
        <x:v>逻辑校验</x:v>
      </x:c>
      <x:c r="F719" s="4" t="str">
        <x:v>P1</x:v>
      </x:c>
      <x:c r="G719" s="4" t="str">
        <x:v>验证每日统计有效天人数21600秒</x:v>
      </x:c>
      <x:c r="H719" s="4" t="str">
        <x:v>每日统计有效天人数21600秒</x:v>
      </x:c>
      <x:c r="I719" s="4" t="str">
        <x:v>1. 已登录平台管理员账号
2. 当前范围仅一名主播、同一个已确定自然日
3. 该日累计有效直播时长21600秒</x:v>
      </x:c>
      <x:c r="J719" s="4" t="str">
        <x:v>1. 进入「每日统计-34」页
2. 查看每日统计有效天人数21600秒</x:v>
      </x:c>
      <x:c r="K719" s="4" t="str">
        <x:v>每日统计有效天人数 = 1</x:v>
      </x:c>
      <x:c r="L719" s="4" t="str"/>
      <x:c r="M719" s="4" t="str">
        <x:v>未测</x:v>
      </x:c>
      <x:c r="N719" s="4" t="str"/>
      <x:c r="O719" s="4" t="str">
        <x:v>1. 来源：MainBasis/统一需求文档.md；A-admin-daily-statistics-008
2. 场景：SC-362977d1615004</x:v>
      </x:c>
    </x:row>
    <x:row r="720" ht="54" customHeight="1">
      <x:c r="A720" s="4" t="n">
        <x:v>719</x:v>
      </x:c>
      <x:c r="B720" s="4" t="str">
        <x:v>ADMIN-0719</x:v>
      </x:c>
      <x:c r="C720" s="4" t="str">
        <x:v>M12 直播业绩、增长与统计报表</x:v>
      </x:c>
      <x:c r="D720" s="4" t="str">
        <x:v>每日统计-34（平台管理员视角）</x:v>
      </x:c>
      <x:c r="E720" s="4" t="str">
        <x:v>逻辑校验</x:v>
      </x:c>
      <x:c r="F720" s="4" t="str">
        <x:v>P1</x:v>
      </x:c>
      <x:c r="G720" s="4" t="str">
        <x:v>验证直播时长3项中位数</x:v>
      </x:c>
      <x:c r="H720" s="4" t="str">
        <x:v>直播时长3项中位数</x:v>
      </x:c>
      <x:c r="I720" s="4" t="str">
        <x:v>1. 已登录平台管理员账号
2. 当前有效场次时长为10、30、20分钟</x:v>
      </x:c>
      <x:c r="J720" s="4" t="str">
        <x:v>1. 进入「每日统计-34」页
2. 查看直播时长3项中位数</x:v>
      </x:c>
      <x:c r="K720" s="4" t="str">
        <x:v>开播时长中位数 = 20分钟</x:v>
      </x:c>
      <x:c r="L720" s="4" t="str"/>
      <x:c r="M720" s="4" t="str">
        <x:v>未测</x:v>
      </x:c>
      <x:c r="N720" s="4" t="str"/>
      <x:c r="O720" s="4" t="str">
        <x:v>1. 来源：MainBasis/统一需求文档.md；A-admin-daily-statistics-009
2. 场景：SC-d0e9ca671cf653</x:v>
      </x:c>
    </x:row>
    <x:row r="721" ht="54" customHeight="1">
      <x:c r="A721" s="4" t="n">
        <x:v>720</x:v>
      </x:c>
      <x:c r="B721" s="4" t="str">
        <x:v>ADMIN-0720</x:v>
      </x:c>
      <x:c r="C721" s="4" t="str">
        <x:v>M12 直播业绩、增长与统计报表</x:v>
      </x:c>
      <x:c r="D721" s="4" t="str">
        <x:v>每日统计-34（平台管理员视角）</x:v>
      </x:c>
      <x:c r="E721" s="4" t="str">
        <x:v>逻辑校验</x:v>
      </x:c>
      <x:c r="F721" s="4" t="str">
        <x:v>P1</x:v>
      </x:c>
      <x:c r="G721" s="4" t="str">
        <x:v>验证直播时长4项中位数</x:v>
      </x:c>
      <x:c r="H721" s="4" t="str">
        <x:v>直播时长4项中位数</x:v>
      </x:c>
      <x:c r="I721" s="4" t="str">
        <x:v>1. 已登录平台管理员账号
2. 当前有效场次时长为10、20、30、40分钟</x:v>
      </x:c>
      <x:c r="J721" s="4" t="str">
        <x:v>1. 进入「每日统计-34」页
2. 查看直播时长4项中位数</x:v>
      </x:c>
      <x:c r="K721" s="4" t="str">
        <x:v>开播时长中位数 = 25分钟</x:v>
      </x:c>
      <x:c r="L721" s="4" t="str"/>
      <x:c r="M721" s="4" t="str">
        <x:v>未测</x:v>
      </x:c>
      <x:c r="N721" s="4" t="str"/>
      <x:c r="O721" s="4" t="str">
        <x:v>1. 来源：MainBasis/统一需求文档.md；A-admin-daily-statistics-009
2. 场景：SC-b0ad36ecdd9a1e</x:v>
      </x:c>
    </x:row>
    <x:row r="722" ht="54" customHeight="1">
      <x:c r="A722" s="4" t="n">
        <x:v>721</x:v>
      </x:c>
      <x:c r="B722" s="4" t="str">
        <x:v>ADMIN-0721</x:v>
      </x:c>
      <x:c r="C722" s="4" t="str">
        <x:v>M12 直播业绩、增长与统计报表</x:v>
      </x:c>
      <x:c r="D722" s="4" t="str">
        <x:v>每日统计-34（平台管理员视角）</x:v>
      </x:c>
      <x:c r="E722" s="4" t="str">
        <x:v>功能需求</x:v>
      </x:c>
      <x:c r="F722" s="4" t="str">
        <x:v>P1</x:v>
      </x:c>
      <x:c r="G722" s="4" t="str">
        <x:v>验证无场次时长中位数0</x:v>
      </x:c>
      <x:c r="H722" s="4" t="str">
        <x:v>无场次时长中位数0</x:v>
      </x:c>
      <x:c r="I722" s="4" t="str">
        <x:v>1. 已登录平台管理员账号
2. 统计日没有有效场次</x:v>
      </x:c>
      <x:c r="J722" s="4" t="str">
        <x:v>1. 进入「每日统计-34」页
2. 查看无场次时长中位数0</x:v>
      </x:c>
      <x:c r="K722" s="4" t="str">
        <x:v>开播时长中位数为0</x:v>
      </x:c>
      <x:c r="L722" s="4" t="str"/>
      <x:c r="M722" s="4" t="str">
        <x:v>未测</x:v>
      </x:c>
      <x:c r="N722" s="4" t="str"/>
      <x:c r="O722" s="4" t="str">
        <x:v>1. 来源：MainBasis/统一需求文档.md；A-admin-daily-statistics-009
2. 场景：SC-6fb0cddb78d222</x:v>
      </x:c>
    </x:row>
    <x:row r="723" ht="54" customHeight="1">
      <x:c r="A723" s="4" t="n">
        <x:v>722</x:v>
      </x:c>
      <x:c r="B723" s="4" t="str">
        <x:v>ADMIN-0722</x:v>
      </x:c>
      <x:c r="C723" s="4" t="str">
        <x:v>M12 直播业绩、增长与统计报表</x:v>
      </x:c>
      <x:c r="D723" s="4" t="str">
        <x:v>每日统计-34（平台管理员视角）</x:v>
      </x:c>
      <x:c r="E723" s="4" t="str">
        <x:v>逻辑校验</x:v>
      </x:c>
      <x:c r="F723" s="4" t="str">
        <x:v>P1</x:v>
      </x:c>
      <x:c r="G723" s="4" t="str">
        <x:v>验证新用户ARPU分母0</x:v>
      </x:c>
      <x:c r="H723" s="4" t="str">
        <x:v>新用户ARPU分母0</x:v>
      </x:c>
      <x:c r="I723" s="4" t="str">
        <x:v>1. 已登录平台管理员账号
2. 对应充值用户数0，对应支付成功金额0USD</x:v>
      </x:c>
      <x:c r="J723" s="4" t="str">
        <x:v>1. 进入「每日统计-34」页
2. 查看新用户ARPU分母0</x:v>
      </x:c>
      <x:c r="K723" s="4" t="str">
        <x:v>新用户ARPU = 0USD</x:v>
      </x:c>
      <x:c r="L723" s="4" t="str"/>
      <x:c r="M723" s="4" t="str">
        <x:v>未测</x:v>
      </x:c>
      <x:c r="N723" s="4" t="str"/>
      <x:c r="O723" s="4" t="str">
        <x:v>1. 来源：MainBasis/统一需求文档.md；A-admin-daily-statistics-006
2. 场景：SC-8edc9209174b95</x:v>
      </x:c>
    </x:row>
    <x:row r="724" ht="54" customHeight="1">
      <x:c r="A724" s="4" t="n">
        <x:v>723</x:v>
      </x:c>
      <x:c r="B724" s="4" t="str">
        <x:v>ADMIN-0723</x:v>
      </x:c>
      <x:c r="C724" s="4" t="str">
        <x:v>M12 直播业绩、增长与统计报表</x:v>
      </x:c>
      <x:c r="D724" s="4" t="str">
        <x:v>每日统计-34（平台管理员视角）</x:v>
      </x:c>
      <x:c r="E724" s="4" t="str">
        <x:v>逻辑校验</x:v>
      </x:c>
      <x:c r="F724" s="4" t="str">
        <x:v>P1</x:v>
      </x:c>
      <x:c r="G724" s="4" t="str">
        <x:v>验证新用户ARPU分母2</x:v>
      </x:c>
      <x:c r="H724" s="4" t="str">
        <x:v>新用户ARPU分母2</x:v>
      </x:c>
      <x:c r="I724" s="4" t="str">
        <x:v>1. 已登录平台管理员账号
2. 对应充值用户数2，对应支付成功金额30USD</x:v>
      </x:c>
      <x:c r="J724" s="4" t="str">
        <x:v>1. 进入「每日统计-34」页
2. 查看新用户ARPU分母2</x:v>
      </x:c>
      <x:c r="K724" s="4" t="str">
        <x:v>新用户ARPU = 30 ÷ 2 = 15USD</x:v>
      </x:c>
      <x:c r="L724" s="4" t="str"/>
      <x:c r="M724" s="4" t="str">
        <x:v>未测</x:v>
      </x:c>
      <x:c r="N724" s="4" t="str"/>
      <x:c r="O724" s="4" t="str">
        <x:v>1. 来源：MainBasis/统一需求文档.md；A-admin-daily-statistics-006
2. 场景：SC-d2fab941191ca0</x:v>
      </x:c>
    </x:row>
    <x:row r="725" ht="68" customHeight="1">
      <x:c r="A725" s="4" t="n">
        <x:v>724</x:v>
      </x:c>
      <x:c r="B725" s="4" t="str">
        <x:v>ADMIN-0724</x:v>
      </x:c>
      <x:c r="C725" s="4" t="str">
        <x:v>M12 直播业绩、增长与统计报表</x:v>
      </x:c>
      <x:c r="D725" s="4" t="str">
        <x:v>每日统计-34（平台管理员视角）</x:v>
      </x:c>
      <x:c r="E725" s="4" t="str">
        <x:v>功能需求</x:v>
      </x:c>
      <x:c r="F725" s="4" t="str">
        <x:v>P1</x:v>
      </x:c>
      <x:c r="G725" s="4" t="str">
        <x:v>验证活跃用户打开事件去重</x:v>
      </x:c>
      <x:c r="H725" s="4" t="str">
        <x:v>活跃用户打开事件去重</x:v>
      </x:c>
      <x:c r="I725" s="4" t="str">
        <x:v>1. 已登录平台管理员账号
2. 同日登录用户甲启动2次且后台切前台1次，用户乙启动1次，游客启动3次</x:v>
      </x:c>
      <x:c r="J725" s="4" t="str">
        <x:v>1. 进入「每日统计-34」页
2. 查看活跃用户打开事件去重</x:v>
      </x:c>
      <x:c r="K725" s="4" t="str">
        <x:v>活跃用户数为2</x:v>
      </x:c>
      <x:c r="L725" s="4" t="str"/>
      <x:c r="M725" s="4" t="str">
        <x:v>未测</x:v>
      </x:c>
      <x:c r="N725" s="4" t="str"/>
      <x:c r="O725" s="4" t="str">
        <x:v>1. 来源：MainBasis/统一需求文档.md；A-admin-daily-statistics-003
2. 场景：SC-ab6b956c60b11f</x:v>
      </x:c>
    </x:row>
    <x:row r="726" ht="68" customHeight="1">
      <x:c r="A726" s="4" t="n">
        <x:v>725</x:v>
      </x:c>
      <x:c r="B726" s="4" t="str">
        <x:v>ADMIN-0725</x:v>
      </x:c>
      <x:c r="C726" s="4" t="str">
        <x:v>M12 直播业绩、增长与统计报表</x:v>
      </x:c>
      <x:c r="D726" s="4" t="str">
        <x:v>每日统计-34（平台管理员视角）</x:v>
      </x:c>
      <x:c r="E726" s="4" t="str">
        <x:v>功能需求</x:v>
      </x:c>
      <x:c r="F726" s="4" t="str">
        <x:v>P1</x:v>
      </x:c>
      <x:c r="G726" s="4" t="str">
        <x:v>验证充值金额人数订单区分</x:v>
      </x:c>
      <x:c r="H726" s="4" t="str">
        <x:v>充值金额人数订单区分</x:v>
      </x:c>
      <x:c r="I726" s="4" t="str">
        <x:v>1. 已登录平台管理员账号
2. 当日甲成功支付10USD与20USD，乙成功支付30USD，丙40USD支付失败</x:v>
      </x:c>
      <x:c r="J726" s="4" t="str">
        <x:v>1. 进入「每日统计-34」页
2. 查看充值金额人数订单区分</x:v>
      </x:c>
      <x:c r="K726" s="4" t="str">
        <x:v>成功金额60USD、去重充值人数2；有订单指标时为3笔</x:v>
      </x:c>
      <x:c r="L726" s="4" t="str"/>
      <x:c r="M726" s="4" t="str">
        <x:v>未测</x:v>
      </x:c>
      <x:c r="N726" s="4" t="str"/>
      <x:c r="O726" s="4" t="str">
        <x:v>1. 来源：MainBasis/统一需求文档.md；A-admin-daily-statistics-004
2. 场景：SC-cf5fffa192e132</x:v>
      </x:c>
    </x:row>
    <x:row r="727" ht="54" customHeight="1">
      <x:c r="A727" s="4" t="n">
        <x:v>726</x:v>
      </x:c>
      <x:c r="B727" s="4" t="str">
        <x:v>ADMIN-0726</x:v>
      </x:c>
      <x:c r="C727" s="4" t="str">
        <x:v>M12 直播业绩、增长与统计报表</x:v>
      </x:c>
      <x:c r="D727" s="4" t="str">
        <x:v>每日统计-34（平台管理员视角）</x:v>
      </x:c>
      <x:c r="E727" s="4" t="str">
        <x:v>功能需求</x:v>
      </x:c>
      <x:c r="F727" s="4" t="str">
        <x:v>P1</x:v>
      </x:c>
      <x:c r="G727" s="4" t="str">
        <x:v>验证新用户充值只计注册当日</x:v>
      </x:c>
      <x:c r="H727" s="4" t="str">
        <x:v>新用户充值只计注册当日</x:v>
      </x:c>
      <x:c r="I727" s="4" t="str">
        <x:v>1. 已登录平台管理员账号
2. 当日新注册用户甲充值10USD，昨日注册乙今日充值20USD</x:v>
      </x:c>
      <x:c r="J727" s="4" t="str">
        <x:v>1. 进入「每日统计-34」页
2. 查看新用户充值只计注册当日</x:v>
      </x:c>
      <x:c r="K727" s="4" t="str">
        <x:v>新用户充值金额10USD</x:v>
      </x:c>
      <x:c r="L727" s="4" t="str"/>
      <x:c r="M727" s="4" t="str">
        <x:v>未测</x:v>
      </x:c>
      <x:c r="N727" s="4" t="str"/>
      <x:c r="O727" s="4" t="str">
        <x:v>1. 来源：MainBasis/统一需求文档.md；A-admin-daily-statistics-005
2. 场景：SC-bb03726d0a3df2</x:v>
      </x:c>
    </x:row>
    <x:row r="728" ht="54" customHeight="1">
      <x:c r="A728" s="4" t="n">
        <x:v>727</x:v>
      </x:c>
      <x:c r="B728" s="4" t="str">
        <x:v>ADMIN-0727</x:v>
      </x:c>
      <x:c r="C728" s="4" t="str">
        <x:v>M12 直播业绩、增长与统计报表</x:v>
      </x:c>
      <x:c r="D728" s="4" t="str">
        <x:v>每日统计-34（平台管理员视角）</x:v>
      </x:c>
      <x:c r="E728" s="4" t="str">
        <x:v>功能需求</x:v>
      </x:c>
      <x:c r="F728" s="4" t="str">
        <x:v>P1</x:v>
      </x:c>
      <x:c r="G728" s="4" t="str">
        <x:v>验证多场开播主播去重</x:v>
      </x:c>
      <x:c r="H728" s="4" t="str">
        <x:v>多场开播主播去重</x:v>
      </x:c>
      <x:c r="I728" s="4" t="str">
        <x:v>1. 已登录平台管理员账号
2. 主播甲当日开播2场、乙开播1场</x:v>
      </x:c>
      <x:c r="J728" s="4" t="str">
        <x:v>1. 进入「每日统计-34」页
2. 查看多场开播主播去重</x:v>
      </x:c>
      <x:c r="K728" s="4" t="str">
        <x:v>开播人数2，有场次指标时场次为3</x:v>
      </x:c>
      <x:c r="L728" s="4" t="str"/>
      <x:c r="M728" s="4" t="str">
        <x:v>未测</x:v>
      </x:c>
      <x:c r="N728" s="4" t="str"/>
      <x:c r="O728" s="4" t="str">
        <x:v>1. 来源：MainBasis/统一需求文档.md；A-admin-daily-statistics-007
2. 场景：SC-bcce46238f3b0e</x:v>
      </x:c>
    </x:row>
    <x:row r="729" ht="68" customHeight="1">
      <x:c r="A729" s="4" t="n">
        <x:v>728</x:v>
      </x:c>
      <x:c r="B729" s="4" t="str">
        <x:v>ADMIN-0728</x:v>
      </x:c>
      <x:c r="C729" s="4" t="str">
        <x:v>M12 直播业绩、增长与统计报表</x:v>
      </x:c>
      <x:c r="D729" s="4" t="str">
        <x:v>每日统计-34（平台管理员视角）</x:v>
      </x:c>
      <x:c r="E729" s="4" t="str">
        <x:v>功能需求</x:v>
      </x:c>
      <x:c r="F729" s="4" t="str">
        <x:v>P1</x:v>
      </x:c>
      <x:c r="G729" s="4" t="str">
        <x:v>验证退款按完成日统计</x:v>
      </x:c>
      <x:c r="H729" s="4" t="str">
        <x:v>退款按完成日统计</x:v>
      </x:c>
      <x:c r="I729" s="4" t="str">
        <x:v>1. 已登录平台管理员账号
2. 两笔充值分别前月发生，今日退款完成10和20USD</x:v>
      </x:c>
      <x:c r="J729" s="4" t="str">
        <x:v>1. 进入「每日统计-34」页
2. 查看退款按完成日统计</x:v>
      </x:c>
      <x:c r="K729" s="4" t="str">
        <x:v>今日退款订单2，退款金额30USD</x:v>
      </x:c>
      <x:c r="L729" s="4" t="str"/>
      <x:c r="M729" s="4" t="str">
        <x:v>未测</x:v>
      </x:c>
      <x:c r="N729" s="4" t="str"/>
      <x:c r="O729" s="4" t="str">
        <x:v>1. 来源：MainBasis/统一需求文档.md；A-admin-daily-statistics-010、A-admin-daily-statistics-011
2. 场景：SC-ed64a6ea601119</x:v>
      </x:c>
    </x:row>
    <x:row r="730" ht="54" customHeight="1">
      <x:c r="A730" s="4" t="n">
        <x:v>729</x:v>
      </x:c>
      <x:c r="B730" s="4" t="str">
        <x:v>ADMIN-0729</x:v>
      </x:c>
      <x:c r="C730" s="4" t="str">
        <x:v>M12 直播业绩、增长与统计报表</x:v>
      </x:c>
      <x:c r="D730" s="4" t="str">
        <x:v>每日统计-34（平台管理员视角）</x:v>
      </x:c>
      <x:c r="E730" s="4" t="str">
        <x:v>功能需求</x:v>
      </x:c>
      <x:c r="F730" s="4" t="str">
        <x:v>P2</x:v>
      </x:c>
      <x:c r="G730" s="4" t="str">
        <x:v>验证导出仅包含当前查询结果</x:v>
      </x:c>
      <x:c r="H730" s="4" t="str">
        <x:v>导出仅包含当前查询结果</x:v>
      </x:c>
      <x:c r="I730" s="4" t="str">
        <x:v>1. 已登录平台管理员账号
2. 当前查询命中记录甲、乙，记录丙不满足当前筛选</x:v>
      </x:c>
      <x:c r="J730" s="4" t="str">
        <x:v>1. 进入「每日统计-34」页
2. 点击导出
3. 打开下载的结果文件</x:v>
      </x:c>
      <x:c r="K730" s="4" t="str">
        <x:v>导出记录为甲、乙，不包含丙</x:v>
      </x:c>
      <x:c r="L730" s="4" t="str"/>
      <x:c r="M730" s="4" t="str">
        <x:v>未测</x:v>
      </x:c>
      <x:c r="N730" s="4" t="str"/>
      <x:c r="O730" s="4" t="str">
        <x:v>1. 来源：MainBasis/统一需求文档.md；A-admin-daily-statistics-012
2. 场景：SC-6f2e6b6391b8fc</x:v>
      </x:c>
    </x:row>
    <x:row r="731" ht="54" customHeight="1">
      <x:c r="A731" s="4" t="n">
        <x:v>730</x:v>
      </x:c>
      <x:c r="B731" s="4" t="str">
        <x:v>ADMIN-0730</x:v>
      </x:c>
      <x:c r="C731" s="4" t="str">
        <x:v>M12 直播业绩、增长与统计报表</x:v>
      </x:c>
      <x:c r="D731" s="4" t="str">
        <x:v>用户活跃汇总（每日）-35（平台管理员视角）</x:v>
      </x:c>
      <x:c r="E731" s="4" t="str">
        <x:v>功能需求</x:v>
      </x:c>
      <x:c r="F731" s="4" t="str">
        <x:v>P2</x:v>
      </x:c>
      <x:c r="G731" s="4" t="str">
        <x:v>验证新用户回显</x:v>
      </x:c>
      <x:c r="H731" s="4" t="str">
        <x:v>新用户回显</x:v>
      </x:c>
      <x:c r="I731" s="4" t="str">
        <x:v>1. 已登录平台管理员账号
2. 所选对象存在，已记录该对象的新用户值</x:v>
      </x:c>
      <x:c r="J731" s="4" t="str">
        <x:v>1. 进入「用户活跃汇总（每日）-35」页
2. 查看新用户回显</x:v>
      </x:c>
      <x:c r="K731" s="4" t="str">
        <x:v>「新用户」内容与所选对象的该项资料一致</x:v>
      </x:c>
      <x:c r="L731" s="4" t="str"/>
      <x:c r="M731" s="4" t="str">
        <x:v>未测</x:v>
      </x:c>
      <x:c r="N731" s="4" t="str"/>
      <x:c r="O731" s="4" t="str">
        <x:v>1. 来源：MainBasis/统一需求文档.md；A-admin-user-active-statistics-004
2. 场景：SC-15e68dd35cef50</x:v>
      </x:c>
    </x:row>
    <x:row r="732" ht="54" customHeight="1">
      <x:c r="A732" s="4" t="n">
        <x:v>731</x:v>
      </x:c>
      <x:c r="B732" s="4" t="str">
        <x:v>ADMIN-0731</x:v>
      </x:c>
      <x:c r="C732" s="4" t="str">
        <x:v>M12 直播业绩、增长与统计报表</x:v>
      </x:c>
      <x:c r="D732" s="4" t="str">
        <x:v>用户活跃汇总（每日）-35（平台管理员视角）</x:v>
      </x:c>
      <x:c r="E732" s="4" t="str">
        <x:v>功能需求</x:v>
      </x:c>
      <x:c r="F732" s="4" t="str">
        <x:v>P2</x:v>
      </x:c>
      <x:c r="G732" s="4" t="str">
        <x:v>验证汇总卡回显</x:v>
      </x:c>
      <x:c r="H732" s="4" t="str">
        <x:v>汇总卡回显</x:v>
      </x:c>
      <x:c r="I732" s="4" t="str">
        <x:v>1. 已登录平台管理员账号
2. 所选对象存在，已记录该对象的汇总卡值</x:v>
      </x:c>
      <x:c r="J732" s="4" t="str">
        <x:v>1. 进入「用户活跃汇总（每日）-35」页
2. 查看汇总卡回显</x:v>
      </x:c>
      <x:c r="K732" s="4" t="str">
        <x:v>「汇总卡」内容与所选对象的该项资料一致</x:v>
      </x:c>
      <x:c r="L732" s="4" t="str"/>
      <x:c r="M732" s="4" t="str">
        <x:v>未测</x:v>
      </x:c>
      <x:c r="N732" s="4" t="str"/>
      <x:c r="O732" s="4" t="str">
        <x:v>1. 来源：MainBasis/统一需求文档.md；A-admin-user-active-statistics-007
2. 场景：SC-76f4948afc4421</x:v>
      </x:c>
    </x:row>
    <x:row r="733" ht="54" customHeight="1">
      <x:c r="A733" s="4" t="n">
        <x:v>732</x:v>
      </x:c>
      <x:c r="B733" s="4" t="str">
        <x:v>ADMIN-0732</x:v>
      </x:c>
      <x:c r="C733" s="4" t="str">
        <x:v>M12 直播业绩、增长与统计报表</x:v>
      </x:c>
      <x:c r="D733" s="4" t="str">
        <x:v>用户活跃汇总（每日）-35（平台管理员视角）</x:v>
      </x:c>
      <x:c r="E733" s="4" t="str">
        <x:v>功能需求</x:v>
      </x:c>
      <x:c r="F733" s="4" t="str">
        <x:v>P1</x:v>
      </x:c>
      <x:c r="G733" s="4" t="str">
        <x:v>验证登录用户按登录去重</x:v>
      </x:c>
      <x:c r="H733" s="4" t="str">
        <x:v>登录用户按登录去重</x:v>
      </x:c>
      <x:c r="I733" s="4" t="str">
        <x:v>1. 已登录平台管理员账号
2. 同日甲成功登录3次、乙1次、丙登录失败</x:v>
      </x:c>
      <x:c r="J733" s="4" t="str">
        <x:v>1. 进入「用户活跃汇总（每日）-35」页
2. 查看登录用户按登录去重</x:v>
      </x:c>
      <x:c r="K733" s="4" t="str">
        <x:v>登录用户为2</x:v>
      </x:c>
      <x:c r="L733" s="4" t="str"/>
      <x:c r="M733" s="4" t="str">
        <x:v>未测</x:v>
      </x:c>
      <x:c r="N733" s="4" t="str"/>
      <x:c r="O733" s="4" t="str">
        <x:v>1. 来源：MainBasis/统一需求文档.md；A-admin-user-active-statistics-003
2. 场景：SC-d0ed4b14ebbfbb</x:v>
      </x:c>
    </x:row>
    <x:row r="734" ht="54" customHeight="1">
      <x:c r="A734" s="4" t="n">
        <x:v>733</x:v>
      </x:c>
      <x:c r="B734" s="4" t="str">
        <x:v>ADMIN-0733</x:v>
      </x:c>
      <x:c r="C734" s="4" t="str">
        <x:v>M12 直播业绩、增长与统计报表</x:v>
      </x:c>
      <x:c r="D734" s="4" t="str">
        <x:v>用户活跃汇总（每日）-35（平台管理员视角）</x:v>
      </x:c>
      <x:c r="E734" s="4" t="str">
        <x:v>功能需求</x:v>
      </x:c>
      <x:c r="F734" s="4" t="str">
        <x:v>P1</x:v>
      </x:c>
      <x:c r="G734" s="4" t="str">
        <x:v>验证新老用户互斥汇总</x:v>
      </x:c>
      <x:c r="H734" s="4" t="str">
        <x:v>新老用户互斥汇总</x:v>
      </x:c>
      <x:c r="I734" s="4" t="str">
        <x:v>1. 已登录平台管理员账号
2. 当日登录用户中2人当日注册、3人在统计日前注册</x:v>
      </x:c>
      <x:c r="J734" s="4" t="str">
        <x:v>1. 进入「用户活跃汇总（每日）-35」页
2. 查看新老用户互斥汇总</x:v>
      </x:c>
      <x:c r="K734" s="4" t="str">
        <x:v>新用户2、老用户3，登录用户 = 2 + 3 = 5</x:v>
      </x:c>
      <x:c r="L734" s="4" t="str"/>
      <x:c r="M734" s="4" t="str">
        <x:v>未测</x:v>
      </x:c>
      <x:c r="N734" s="4" t="str"/>
      <x:c r="O734" s="4" t="str">
        <x:v>1. 来源：MainBasis/统一需求文档.md；A-admin-user-active-statistics-005
2. 场景：SC-24227930034f18</x:v>
      </x:c>
    </x:row>
    <x:row r="735" ht="54" customHeight="1">
      <x:c r="A735" s="4" t="n">
        <x:v>734</x:v>
      </x:c>
      <x:c r="B735" s="4" t="str">
        <x:v>ADMIN-0734</x:v>
      </x:c>
      <x:c r="C735" s="4" t="str">
        <x:v>M12 直播业绩、增长与统计报表</x:v>
      </x:c>
      <x:c r="D735" s="4" t="str">
        <x:v>用户活跃汇总（每日）-35（平台管理员视角）</x:v>
      </x:c>
      <x:c r="E735" s="4" t="str">
        <x:v>功能需求</x:v>
      </x:c>
      <x:c r="F735" s="4" t="str">
        <x:v>P1</x:v>
      </x:c>
      <x:c r="G735" s="4" t="str">
        <x:v>验证每日求和不跨日去重</x:v>
      </x:c>
      <x:c r="H735" s="4" t="str">
        <x:v>每日求和不跨日去重</x:v>
      </x:c>
      <x:c r="I735" s="4" t="str">
        <x:v>1. 已登录平台管理员账号
2. 同一用户连续两天各登录一次，范围仅这两日</x:v>
      </x:c>
      <x:c r="J735" s="4" t="str">
        <x:v>1. 进入「用户活跃汇总（每日）-35」页
2. 查看每日求和不跨日去重</x:v>
      </x:c>
      <x:c r="K735" s="4" t="str">
        <x:v>汇总登录用户为2</x:v>
      </x:c>
      <x:c r="L735" s="4" t="str"/>
      <x:c r="M735" s="4" t="str">
        <x:v>未测</x:v>
      </x:c>
      <x:c r="N735" s="4" t="str"/>
      <x:c r="O735" s="4" t="str">
        <x:v>1. 来源：MainBasis/统一需求文档.md；A-admin-user-active-statistics-007
2. 场景：SC-dc12c5a5f7b158</x:v>
      </x:c>
    </x:row>
    <x:row r="736" ht="68" customHeight="1">
      <x:c r="A736" s="4" t="n">
        <x:v>735</x:v>
      </x:c>
      <x:c r="B736" s="4" t="str">
        <x:v>ADMIN-0735</x:v>
      </x:c>
      <x:c r="C736" s="4" t="str">
        <x:v>M12 直播业绩、增长与统计报表</x:v>
      </x:c>
      <x:c r="D736" s="4" t="str">
        <x:v>用户活跃汇总（每日）-35（平台管理员视角）</x:v>
      </x:c>
      <x:c r="E736" s="4" t="str">
        <x:v>功能需求</x:v>
      </x:c>
      <x:c r="F736" s="4" t="str">
        <x:v>P2</x:v>
      </x:c>
      <x:c r="G736" s="4" t="str">
        <x:v>验证导出仅包含当前查询结果</x:v>
      </x:c>
      <x:c r="H736" s="4" t="str">
        <x:v>导出仅包含当前查询结果</x:v>
      </x:c>
      <x:c r="I736" s="4" t="str">
        <x:v>1. 已登录平台管理员账号
2. 当前查询命中记录甲、乙，记录丙不满足当前筛选</x:v>
      </x:c>
      <x:c r="J736" s="4" t="str">
        <x:v>1. 进入「用户活跃汇总（每日）-35」页
2. 点击导出
3. 打开下载的结果文件</x:v>
      </x:c>
      <x:c r="K736" s="4" t="str">
        <x:v>导出记录为甲、乙，不包含丙</x:v>
      </x:c>
      <x:c r="L736" s="4" t="str"/>
      <x:c r="M736" s="4" t="str">
        <x:v>未测</x:v>
      </x:c>
      <x:c r="N736" s="4" t="str"/>
      <x:c r="O736" s="4" t="str">
        <x:v>1. 来源：MainBasis/统一需求文档.md；A-admin-user-active-statistics-008
2. 场景：SC-56e7241f2934c2</x:v>
      </x:c>
    </x:row>
    <x:row r="737" ht="68" customHeight="1">
      <x:c r="A737" s="4" t="n">
        <x:v>736</x:v>
      </x:c>
      <x:c r="B737" s="4" t="str">
        <x:v>ADMIN-0736</x:v>
      </x:c>
      <x:c r="C737" s="4" t="str">
        <x:v>M12 直播业绩、增长与统计报表</x:v>
      </x:c>
      <x:c r="D737" s="4" t="str">
        <x:v>用户活跃汇总（每日）-35（平台管理员视角）</x:v>
      </x:c>
      <x:c r="E737" s="4" t="str">
        <x:v>功能需求</x:v>
      </x:c>
      <x:c r="F737" s="4" t="str">
        <x:v>P1</x:v>
      </x:c>
      <x:c r="G737" s="4" t="str">
        <x:v>验证日期共同筛选</x:v>
      </x:c>
      <x:c r="H737" s="4" t="str">
        <x:v>日期共同筛选</x:v>
      </x:c>
      <x:c r="I737" s="4" t="str">
        <x:v>1. 已登录平台管理员账号
2. 记录甲满足日期条件，记录乙与丙均不满足</x:v>
      </x:c>
      <x:c r="J737" s="4" t="str">
        <x:v>1. 进入「用户活跃汇总（每日）-35」页
2. 选择日期为记录甲对应值
3. 点击查询</x:v>
      </x:c>
      <x:c r="K737" s="4" t="str">
        <x:v>结果仅包含记录甲</x:v>
      </x:c>
      <x:c r="L737" s="4" t="str"/>
      <x:c r="M737" s="4" t="str">
        <x:v>未测</x:v>
      </x:c>
      <x:c r="N737" s="4" t="str"/>
      <x:c r="O737" s="4" t="str">
        <x:v>1. 来源：MainBasis/统一需求文档.md；A-admin-user-active-statistics-008
2. 场景：SC-a62943fc888ea9</x:v>
      </x:c>
    </x:row>
    <x:row r="738" ht="54" customHeight="1">
      <x:c r="A738" s="4" t="n">
        <x:v>737</x:v>
      </x:c>
      <x:c r="B738" s="4" t="str">
        <x:v>ADMIN-0737</x:v>
      </x:c>
      <x:c r="C738" s="4" t="str">
        <x:v>M12 直播业绩、增长与统计报表</x:v>
      </x:c>
      <x:c r="D738" s="4" t="str">
        <x:v>用户活跃汇总（每日）-35（平台管理员视角）</x:v>
      </x:c>
      <x:c r="E738" s="4" t="str">
        <x:v>功能需求</x:v>
      </x:c>
      <x:c r="F738" s="4" t="str">
        <x:v>P1</x:v>
      </x:c>
      <x:c r="G738" s="4" t="str">
        <x:v>验证付费用户按成功用户去重</x:v>
      </x:c>
      <x:c r="H738" s="4" t="str">
        <x:v>付费用户按成功用户去重</x:v>
      </x:c>
      <x:c r="I738" s="4" t="str">
        <x:v>1. 已登录平台管理员账号
2. 甲同日支付成功2笔、乙失败1笔</x:v>
      </x:c>
      <x:c r="J738" s="4" t="str">
        <x:v>1. 进入「用户活跃汇总（每日）-35」页
2. 查看付费用户按成功用户去重</x:v>
      </x:c>
      <x:c r="K738" s="4" t="str">
        <x:v>付费用户数1</x:v>
      </x:c>
      <x:c r="L738" s="4" t="str"/>
      <x:c r="M738" s="4" t="str">
        <x:v>未测</x:v>
      </x:c>
      <x:c r="N738" s="4" t="str"/>
      <x:c r="O738" s="4" t="str">
        <x:v>1. 来源：MainBasis/统一需求文档.md；A-admin-user-active-statistics-006
2. 场景：SC-960dd2b8f8b483</x:v>
      </x:c>
    </x:row>
    <x:row r="739" ht="54" customHeight="1">
      <x:c r="A739" s="4" t="n">
        <x:v>738</x:v>
      </x:c>
      <x:c r="B739" s="4" t="str">
        <x:v>ADMIN-0738</x:v>
      </x:c>
      <x:c r="C739" s="4" t="str">
        <x:v>M12 直播业绩、增长与统计报表</x:v>
      </x:c>
      <x:c r="D739" s="4" t="str">
        <x:v>主播活跃汇总（每日）-36（平台管理员视角）</x:v>
      </x:c>
      <x:c r="E739" s="4" t="str">
        <x:v>功能需求</x:v>
      </x:c>
      <x:c r="F739" s="4" t="str">
        <x:v>P2</x:v>
      </x:c>
      <x:c r="G739" s="4" t="str">
        <x:v>验证新增主播回显</x:v>
      </x:c>
      <x:c r="H739" s="4" t="str">
        <x:v>新增主播回显</x:v>
      </x:c>
      <x:c r="I739" s="4" t="str">
        <x:v>1. 已登录平台管理员账号
2. 所选对象存在，已记录该对象的新增主播值</x:v>
      </x:c>
      <x:c r="J739" s="4" t="str">
        <x:v>1. 进入「主播活跃汇总（每日）-36」页
2. 查看新增主播回显</x:v>
      </x:c>
      <x:c r="K739" s="4" t="str">
        <x:v>「新增主播」内容与所选对象的该项资料一致</x:v>
      </x:c>
      <x:c r="L739" s="4" t="str"/>
      <x:c r="M739" s="4" t="str">
        <x:v>未测</x:v>
      </x:c>
      <x:c r="N739" s="4" t="str"/>
      <x:c r="O739" s="4" t="str">
        <x:v>1. 来源：MainBasis/统一需求文档.md；A-admin-host-statistics-003
2. 场景：SC-d54c712b13b0e8</x:v>
      </x:c>
    </x:row>
    <x:row r="740" ht="54" customHeight="1">
      <x:c r="A740" s="4" t="n">
        <x:v>739</x:v>
      </x:c>
      <x:c r="B740" s="4" t="str">
        <x:v>ADMIN-0739</x:v>
      </x:c>
      <x:c r="C740" s="4" t="str">
        <x:v>M12 直播业绩、增长与统计报表</x:v>
      </x:c>
      <x:c r="D740" s="4" t="str">
        <x:v>主播活跃汇总（每日）-36（平台管理员视角）</x:v>
      </x:c>
      <x:c r="E740" s="4" t="str">
        <x:v>功能需求</x:v>
      </x:c>
      <x:c r="F740" s="4" t="str">
        <x:v>P2</x:v>
      </x:c>
      <x:c r="G740" s="4" t="str">
        <x:v>验证开播人数、场次回显</x:v>
      </x:c>
      <x:c r="H740" s="4" t="str">
        <x:v>开播人数、场次回显</x:v>
      </x:c>
      <x:c r="I740" s="4" t="str">
        <x:v>1. 已登录平台管理员账号
2. 所选对象存在，已记录该对象的开播人数 / 场次值</x:v>
      </x:c>
      <x:c r="J740" s="4" t="str">
        <x:v>1. 进入「主播活跃汇总（每日）-36」页
2. 查看开播人数、场次回显</x:v>
      </x:c>
      <x:c r="K740" s="4" t="str">
        <x:v>「开播人数 / 场次」内容与所选对象的该项资料一致</x:v>
      </x:c>
      <x:c r="L740" s="4" t="str"/>
      <x:c r="M740" s="4" t="str">
        <x:v>未测</x:v>
      </x:c>
      <x:c r="N740" s="4" t="str"/>
      <x:c r="O740" s="4" t="str">
        <x:v>1. 来源：MainBasis/统一需求文档.md；A-admin-host-statistics-004
2. 场景：SC-364776483636be</x:v>
      </x:c>
    </x:row>
    <x:row r="741" ht="54" customHeight="1">
      <x:c r="A741" s="4" t="n">
        <x:v>740</x:v>
      </x:c>
      <x:c r="B741" s="4" t="str">
        <x:v>ADMIN-0740</x:v>
      </x:c>
      <x:c r="C741" s="4" t="str">
        <x:v>M12 直播业绩、增长与统计报表</x:v>
      </x:c>
      <x:c r="D741" s="4" t="str">
        <x:v>主播活跃汇总（每日）-36（平台管理员视角）</x:v>
      </x:c>
      <x:c r="E741" s="4" t="str">
        <x:v>功能需求</x:v>
      </x:c>
      <x:c r="F741" s="4" t="str">
        <x:v>P2</x:v>
      </x:c>
      <x:c r="G741" s="4" t="str">
        <x:v>验证违规主播、场次回显</x:v>
      </x:c>
      <x:c r="H741" s="4" t="str">
        <x:v>违规主播、场次回显</x:v>
      </x:c>
      <x:c r="I741" s="4" t="str">
        <x:v>1. 已登录平台管理员账号
2. 所选对象存在，已记录该对象的违规主播 / 场次值</x:v>
      </x:c>
      <x:c r="J741" s="4" t="str">
        <x:v>1. 进入「主播活跃汇总（每日）-36」页
2. 查看违规主播、场次回显</x:v>
      </x:c>
      <x:c r="K741" s="4" t="str">
        <x:v>「违规主播 / 场次」内容与所选对象的该项资料一致</x:v>
      </x:c>
      <x:c r="L741" s="4" t="str"/>
      <x:c r="M741" s="4" t="str">
        <x:v>未测</x:v>
      </x:c>
      <x:c r="N741" s="4" t="str"/>
      <x:c r="O741" s="4" t="str">
        <x:v>1. 来源：MainBasis/统一需求文档.md；A-admin-host-statistics-009
2. 场景：SC-1ee91d51c85746</x:v>
      </x:c>
    </x:row>
    <x:row r="742" ht="82" customHeight="1">
      <x:c r="A742" s="4" t="n">
        <x:v>741</x:v>
      </x:c>
      <x:c r="B742" s="4" t="str">
        <x:v>ADMIN-0741</x:v>
      </x:c>
      <x:c r="C742" s="4" t="str">
        <x:v>M12 直播业绩、增长与统计报表</x:v>
      </x:c>
      <x:c r="D742" s="4" t="str">
        <x:v>主播活跃汇总（每日）-36（平台管理员视角）</x:v>
      </x:c>
      <x:c r="E742" s="4" t="str">
        <x:v>逻辑校验</x:v>
      </x:c>
      <x:c r="F742" s="4" t="str">
        <x:v>P1</x:v>
      </x:c>
      <x:c r="G742" s="4" t="str">
        <x:v>验证主播统计有效天人数10799秒</x:v>
      </x:c>
      <x:c r="H742" s="4" t="str">
        <x:v>主播统计有效天人数10799秒</x:v>
      </x:c>
      <x:c r="I742" s="4" t="str">
        <x:v>1. 已登录平台管理员账号
2. 当前范围仅一名主播、同一个已确定自然日
3. 该日累计有效直播时长10799秒</x:v>
      </x:c>
      <x:c r="J742" s="4" t="str">
        <x:v>1. 进入「主播活跃汇总（每日）-36」页
2. 查看主播统计有效天人数10799秒</x:v>
      </x:c>
      <x:c r="K742" s="4" t="str">
        <x:v>主播统计有效天人数 = 0</x:v>
      </x:c>
      <x:c r="L742" s="4" t="str"/>
      <x:c r="M742" s="4" t="str">
        <x:v>未测</x:v>
      </x:c>
      <x:c r="N742" s="4" t="str"/>
      <x:c r="O742" s="4" t="str">
        <x:v>1. 来源：MainBasis/统一需求文档.md；A-admin-host-statistics-006
2. 场景：SC-46559a43918b21</x:v>
      </x:c>
    </x:row>
    <x:row r="743" ht="82" customHeight="1">
      <x:c r="A743" s="4" t="n">
        <x:v>742</x:v>
      </x:c>
      <x:c r="B743" s="4" t="str">
        <x:v>ADMIN-0742</x:v>
      </x:c>
      <x:c r="C743" s="4" t="str">
        <x:v>M12 直播业绩、增长与统计报表</x:v>
      </x:c>
      <x:c r="D743" s="4" t="str">
        <x:v>主播活跃汇总（每日）-36（平台管理员视角）</x:v>
      </x:c>
      <x:c r="E743" s="4" t="str">
        <x:v>逻辑校验</x:v>
      </x:c>
      <x:c r="F743" s="4" t="str">
        <x:v>P1</x:v>
      </x:c>
      <x:c r="G743" s="4" t="str">
        <x:v>验证主播统计有效天人数10800秒</x:v>
      </x:c>
      <x:c r="H743" s="4" t="str">
        <x:v>主播统计有效天人数10800秒</x:v>
      </x:c>
      <x:c r="I743" s="4" t="str">
        <x:v>1. 已登录平台管理员账号
2. 当前范围仅一名主播、同一个已确定自然日
3. 该日累计有效直播时长10800秒</x:v>
      </x:c>
      <x:c r="J743" s="4" t="str">
        <x:v>1. 进入「主播活跃汇总（每日）-36」页
2. 查看主播统计有效天人数10800秒</x:v>
      </x:c>
      <x:c r="K743" s="4" t="str">
        <x:v>主播统计有效天人数 = 1</x:v>
      </x:c>
      <x:c r="L743" s="4" t="str"/>
      <x:c r="M743" s="4" t="str">
        <x:v>未测</x:v>
      </x:c>
      <x:c r="N743" s="4" t="str"/>
      <x:c r="O743" s="4" t="str">
        <x:v>1. 来源：MainBasis/统一需求文档.md；A-admin-host-statistics-006
2. 场景：SC-d96f2184b386a9</x:v>
      </x:c>
    </x:row>
    <x:row r="744" ht="82" customHeight="1">
      <x:c r="A744" s="4" t="n">
        <x:v>743</x:v>
      </x:c>
      <x:c r="B744" s="4" t="str">
        <x:v>ADMIN-0743</x:v>
      </x:c>
      <x:c r="C744" s="4" t="str">
        <x:v>M12 直播业绩、增长与统计报表</x:v>
      </x:c>
      <x:c r="D744" s="4" t="str">
        <x:v>主播活跃汇总（每日）-36（平台管理员视角）</x:v>
      </x:c>
      <x:c r="E744" s="4" t="str">
        <x:v>逻辑校验</x:v>
      </x:c>
      <x:c r="F744" s="4" t="str">
        <x:v>P1</x:v>
      </x:c>
      <x:c r="G744" s="4" t="str">
        <x:v>验证主播统计有效天人数10801秒</x:v>
      </x:c>
      <x:c r="H744" s="4" t="str">
        <x:v>主播统计有效天人数10801秒</x:v>
      </x:c>
      <x:c r="I744" s="4" t="str">
        <x:v>1. 已登录平台管理员账号
2. 当前范围仅一名主播、同一个已确定自然日
3. 该日累计有效直播时长10801秒</x:v>
      </x:c>
      <x:c r="J744" s="4" t="str">
        <x:v>1. 进入「主播活跃汇总（每日）-36」页
2. 查看主播统计有效天人数10801秒</x:v>
      </x:c>
      <x:c r="K744" s="4" t="str">
        <x:v>主播统计有效天人数 = 1</x:v>
      </x:c>
      <x:c r="L744" s="4" t="str"/>
      <x:c r="M744" s="4" t="str">
        <x:v>未测</x:v>
      </x:c>
      <x:c r="N744" s="4" t="str"/>
      <x:c r="O744" s="4" t="str">
        <x:v>1. 来源：MainBasis/统一需求文档.md；A-admin-host-statistics-006
2. 场景：SC-7786a2bf68f7c9</x:v>
      </x:c>
    </x:row>
    <x:row r="745" ht="82" customHeight="1">
      <x:c r="A745" s="4" t="n">
        <x:v>744</x:v>
      </x:c>
      <x:c r="B745" s="4" t="str">
        <x:v>ADMIN-0744</x:v>
      </x:c>
      <x:c r="C745" s="4" t="str">
        <x:v>M12 直播业绩、增长与统计报表</x:v>
      </x:c>
      <x:c r="D745" s="4" t="str">
        <x:v>主播活跃汇总（每日）-36（平台管理员视角）</x:v>
      </x:c>
      <x:c r="E745" s="4" t="str">
        <x:v>逻辑校验</x:v>
      </x:c>
      <x:c r="F745" s="4" t="str">
        <x:v>P1</x:v>
      </x:c>
      <x:c r="G745" s="4" t="str">
        <x:v>验证主播统计有效天人数21600秒</x:v>
      </x:c>
      <x:c r="H745" s="4" t="str">
        <x:v>主播统计有效天人数21600秒</x:v>
      </x:c>
      <x:c r="I745" s="4" t="str">
        <x:v>1. 已登录平台管理员账号
2. 当前范围仅一名主播、同一个已确定自然日
3. 该日累计有效直播时长21600秒</x:v>
      </x:c>
      <x:c r="J745" s="4" t="str">
        <x:v>1. 进入「主播活跃汇总（每日）-36」页
2. 查看主播统计有效天人数21600秒</x:v>
      </x:c>
      <x:c r="K745" s="4" t="str">
        <x:v>主播统计有效天人数 = 1</x:v>
      </x:c>
      <x:c r="L745" s="4" t="str"/>
      <x:c r="M745" s="4" t="str">
        <x:v>未测</x:v>
      </x:c>
      <x:c r="N745" s="4" t="str"/>
      <x:c r="O745" s="4" t="str">
        <x:v>1. 来源：MainBasis/统一需求文档.md；A-admin-host-statistics-006
2. 场景：SC-274a04aec48fee</x:v>
      </x:c>
    </x:row>
    <x:row r="746" ht="54" customHeight="1">
      <x:c r="A746" s="4" t="n">
        <x:v>745</x:v>
      </x:c>
      <x:c r="B746" s="4" t="str">
        <x:v>ADMIN-0745</x:v>
      </x:c>
      <x:c r="C746" s="4" t="str">
        <x:v>M12 直播业绩、增长与统计报表</x:v>
      </x:c>
      <x:c r="D746" s="4" t="str">
        <x:v>主播活跃汇总（每日）-36（平台管理员视角）</x:v>
      </x:c>
      <x:c r="E746" s="4" t="str">
        <x:v>逻辑校验</x:v>
      </x:c>
      <x:c r="F746" s="4" t="str">
        <x:v>P1</x:v>
      </x:c>
      <x:c r="G746" s="4" t="str">
        <x:v>验证直播时长3项中位数</x:v>
      </x:c>
      <x:c r="H746" s="4" t="str">
        <x:v>直播时长3项中位数</x:v>
      </x:c>
      <x:c r="I746" s="4" t="str">
        <x:v>1. 已登录平台管理员账号
2. 当前有效场次时长为10、30、20分钟</x:v>
      </x:c>
      <x:c r="J746" s="4" t="str">
        <x:v>1. 进入「主播活跃汇总（每日）-36」页
2. 查看直播时长3项中位数</x:v>
      </x:c>
      <x:c r="K746" s="4" t="str">
        <x:v>开播时长中位数 = 20分钟</x:v>
      </x:c>
      <x:c r="L746" s="4" t="str"/>
      <x:c r="M746" s="4" t="str">
        <x:v>未测</x:v>
      </x:c>
      <x:c r="N746" s="4" t="str"/>
      <x:c r="O746" s="4" t="str">
        <x:v>1. 来源：MainBasis/统一需求文档.md；A-admin-host-statistics-007
2. 场景：SC-e531c352786996</x:v>
      </x:c>
    </x:row>
    <x:row r="747" ht="54" customHeight="1">
      <x:c r="A747" s="4" t="n">
        <x:v>746</x:v>
      </x:c>
      <x:c r="B747" s="4" t="str">
        <x:v>ADMIN-0746</x:v>
      </x:c>
      <x:c r="C747" s="4" t="str">
        <x:v>M12 直播业绩、增长与统计报表</x:v>
      </x:c>
      <x:c r="D747" s="4" t="str">
        <x:v>主播活跃汇总（每日）-36（平台管理员视角）</x:v>
      </x:c>
      <x:c r="E747" s="4" t="str">
        <x:v>逻辑校验</x:v>
      </x:c>
      <x:c r="F747" s="4" t="str">
        <x:v>P1</x:v>
      </x:c>
      <x:c r="G747" s="4" t="str">
        <x:v>验证直播时长4项中位数</x:v>
      </x:c>
      <x:c r="H747" s="4" t="str">
        <x:v>直播时长4项中位数</x:v>
      </x:c>
      <x:c r="I747" s="4" t="str">
        <x:v>1. 已登录平台管理员账号
2. 当前有效场次时长为10、20、30、40分钟</x:v>
      </x:c>
      <x:c r="J747" s="4" t="str">
        <x:v>1. 进入「主播活跃汇总（每日）-36」页
2. 查看直播时长4项中位数</x:v>
      </x:c>
      <x:c r="K747" s="4" t="str">
        <x:v>开播时长中位数 = 25分钟</x:v>
      </x:c>
      <x:c r="L747" s="4" t="str"/>
      <x:c r="M747" s="4" t="str">
        <x:v>未测</x:v>
      </x:c>
      <x:c r="N747" s="4" t="str"/>
      <x:c r="O747" s="4" t="str">
        <x:v>1. 来源：MainBasis/统一需求文档.md；A-admin-host-statistics-007
2. 场景：SC-b6ecc6f5ae7017</x:v>
      </x:c>
    </x:row>
    <x:row r="748" ht="54" customHeight="1">
      <x:c r="A748" s="4" t="n">
        <x:v>747</x:v>
      </x:c>
      <x:c r="B748" s="4" t="str">
        <x:v>ADMIN-0747</x:v>
      </x:c>
      <x:c r="C748" s="4" t="str">
        <x:v>M12 直播业绩、增长与统计报表</x:v>
      </x:c>
      <x:c r="D748" s="4" t="str">
        <x:v>主播活跃汇总（每日）-36（平台管理员视角）</x:v>
      </x:c>
      <x:c r="E748" s="4" t="str">
        <x:v>逻辑校验</x:v>
      </x:c>
      <x:c r="F748" s="4" t="str">
        <x:v>P1</x:v>
      </x:c>
      <x:c r="G748" s="4" t="str">
        <x:v>验证开播率分母0</x:v>
      </x:c>
      <x:c r="H748" s="4" t="str">
        <x:v>开播率分母0</x:v>
      </x:c>
      <x:c r="I748" s="4" t="str">
        <x:v>1. 已登录平台管理员账号
2. 当日有效主播0，成功开播0</x:v>
      </x:c>
      <x:c r="J748" s="4" t="str">
        <x:v>1. 进入「主播活跃汇总（每日）-36」页
2. 查看开播率分母0</x:v>
      </x:c>
      <x:c r="K748" s="4" t="str">
        <x:v>开播率 = 0%</x:v>
      </x:c>
      <x:c r="L748" s="4" t="str"/>
      <x:c r="M748" s="4" t="str">
        <x:v>未测</x:v>
      </x:c>
      <x:c r="N748" s="4" t="str"/>
      <x:c r="O748" s="4" t="str">
        <x:v>1. 来源：MainBasis/统一需求文档.md；A-admin-host-statistics-005
2. 场景：SC-80ff35d3b0656d</x:v>
      </x:c>
    </x:row>
    <x:row r="749" ht="54" customHeight="1">
      <x:c r="A749" s="4" t="n">
        <x:v>748</x:v>
      </x:c>
      <x:c r="B749" s="4" t="str">
        <x:v>ADMIN-0748</x:v>
      </x:c>
      <x:c r="C749" s="4" t="str">
        <x:v>M12 直播业绩、增长与统计报表</x:v>
      </x:c>
      <x:c r="D749" s="4" t="str">
        <x:v>主播活跃汇总（每日）-36（平台管理员视角）</x:v>
      </x:c>
      <x:c r="E749" s="4" t="str">
        <x:v>逻辑校验</x:v>
      </x:c>
      <x:c r="F749" s="4" t="str">
        <x:v>P1</x:v>
      </x:c>
      <x:c r="G749" s="4" t="str">
        <x:v>验证开播率分母4</x:v>
      </x:c>
      <x:c r="H749" s="4" t="str">
        <x:v>开播率分母4</x:v>
      </x:c>
      <x:c r="I749" s="4" t="str">
        <x:v>1. 已登录平台管理员账号
2. 当日有效主播4，成功开播1</x:v>
      </x:c>
      <x:c r="J749" s="4" t="str">
        <x:v>1. 进入「主播活跃汇总（每日）-36」页
2. 查看开播率分母4</x:v>
      </x:c>
      <x:c r="K749" s="4" t="str">
        <x:v>开播率 = 25%</x:v>
      </x:c>
      <x:c r="L749" s="4" t="str"/>
      <x:c r="M749" s="4" t="str">
        <x:v>未测</x:v>
      </x:c>
      <x:c r="N749" s="4" t="str"/>
      <x:c r="O749" s="4" t="str">
        <x:v>1. 来源：MainBasis/统一需求文档.md；A-admin-host-statistics-005
2. 场景：SC-9a615bb45ce17b</x:v>
      </x:c>
    </x:row>
    <x:row r="750" ht="54" customHeight="1">
      <x:c r="A750" s="4" t="n">
        <x:v>749</x:v>
      </x:c>
      <x:c r="B750" s="4" t="str">
        <x:v>ADMIN-0749</x:v>
      </x:c>
      <x:c r="C750" s="4" t="str">
        <x:v>M12 直播业绩、增长与统计报表</x:v>
      </x:c>
      <x:c r="D750" s="4" t="str">
        <x:v>主播活跃汇总（每日）-36（平台管理员视角）</x:v>
      </x:c>
      <x:c r="E750" s="4" t="str">
        <x:v>功能需求</x:v>
      </x:c>
      <x:c r="F750" s="4" t="str">
        <x:v>P1</x:v>
      </x:c>
      <x:c r="G750" s="4" t="str">
        <x:v>验证多场开播主播去重</x:v>
      </x:c>
      <x:c r="H750" s="4" t="str">
        <x:v>多场开播主播去重</x:v>
      </x:c>
      <x:c r="I750" s="4" t="str">
        <x:v>1. 已登录平台管理员账号
2. 主播甲当日开播2场、乙开播1场</x:v>
      </x:c>
      <x:c r="J750" s="4" t="str">
        <x:v>1. 进入「主播活跃汇总（每日）-36」页
2. 查看多场开播主播去重</x:v>
      </x:c>
      <x:c r="K750" s="4" t="str">
        <x:v>开播人数2，有场次指标时场次为3</x:v>
      </x:c>
      <x:c r="L750" s="4" t="str"/>
      <x:c r="M750" s="4" t="str">
        <x:v>未测</x:v>
      </x:c>
      <x:c r="N750" s="4" t="str"/>
      <x:c r="O750" s="4" t="str">
        <x:v>1. 来源：MainBasis/统一需求文档.md；A-admin-host-statistics-004
2. 场景：SC-efcb8baef03167</x:v>
      </x:c>
    </x:row>
    <x:row r="751" ht="54" customHeight="1">
      <x:c r="A751" s="4" t="n">
        <x:v>750</x:v>
      </x:c>
      <x:c r="B751" s="4" t="str">
        <x:v>ADMIN-0750</x:v>
      </x:c>
      <x:c r="C751" s="4" t="str">
        <x:v>M12 直播业绩、增长与统计报表</x:v>
      </x:c>
      <x:c r="D751" s="4" t="str">
        <x:v>主播活跃汇总（每日）-36（平台管理员视角）</x:v>
      </x:c>
      <x:c r="E751" s="4" t="str">
        <x:v>功能需求</x:v>
      </x:c>
      <x:c r="F751" s="4" t="str">
        <x:v>P1</x:v>
      </x:c>
      <x:c r="G751" s="4" t="str">
        <x:v>验证连麦场次按场次去重</x:v>
      </x:c>
      <x:c r="H751" s="4" t="str">
        <x:v>连麦场次按场次去重</x:v>
      </x:c>
      <x:c r="I751" s="4" t="str">
        <x:v>1. 已登录平台管理员账号
2. 同一场直播发生两次有效连麦，另一场无连麦</x:v>
      </x:c>
      <x:c r="J751" s="4" t="str">
        <x:v>1. 进入「主播活跃汇总（每日）-36」页
2. 查看连麦场次按场次去重</x:v>
      </x:c>
      <x:c r="K751" s="4" t="str">
        <x:v>连麦场次数为1</x:v>
      </x:c>
      <x:c r="L751" s="4" t="str"/>
      <x:c r="M751" s="4" t="str">
        <x:v>未测</x:v>
      </x:c>
      <x:c r="N751" s="4" t="str"/>
      <x:c r="O751" s="4" t="str">
        <x:v>1. 来源：MainBasis/统一需求文档.md；A-admin-host-statistics-008
2. 场景：SC-88425d6c5e33e2</x:v>
      </x:c>
    </x:row>
    <x:row r="752" ht="68" customHeight="1">
      <x:c r="A752" s="4" t="n">
        <x:v>751</x:v>
      </x:c>
      <x:c r="B752" s="4" t="str">
        <x:v>ADMIN-0751</x:v>
      </x:c>
      <x:c r="C752" s="4" t="str">
        <x:v>M12 直播业绩、增长与统计报表</x:v>
      </x:c>
      <x:c r="D752" s="4" t="str">
        <x:v>主播活跃汇总（每日）-36（平台管理员视角）</x:v>
      </x:c>
      <x:c r="E752" s="4" t="str">
        <x:v>功能需求</x:v>
      </x:c>
      <x:c r="F752" s="4" t="str">
        <x:v>P1</x:v>
      </x:c>
      <x:c r="G752" s="4" t="str">
        <x:v>验证确认违规去重主播及场次</x:v>
      </x:c>
      <x:c r="H752" s="4" t="str">
        <x:v>确认违规去重主播及场次</x:v>
      </x:c>
      <x:c r="I752" s="4" t="str">
        <x:v>1. 已登录平台管理员账号
2. 同主播在同场有两条确认违规，另一场有一条确认违规，另有一条误报</x:v>
      </x:c>
      <x:c r="J752" s="4" t="str">
        <x:v>1. 进入「主播活跃汇总（每日）-36」页
2. 查看确认违规去重主播及场次</x:v>
      </x:c>
      <x:c r="K752" s="4" t="str">
        <x:v>违规主播1，违规场次2</x:v>
      </x:c>
      <x:c r="L752" s="4" t="str"/>
      <x:c r="M752" s="4" t="str">
        <x:v>未测</x:v>
      </x:c>
      <x:c r="N752" s="4" t="str"/>
      <x:c r="O752" s="4" t="str">
        <x:v>1. 来源：MainBasis/统一需求文档.md；A-admin-host-statistics-009
2. 场景：SC-b38b1b3f3c67bb</x:v>
      </x:c>
    </x:row>
    <x:row r="753" ht="68" customHeight="1">
      <x:c r="A753" s="4" t="n">
        <x:v>752</x:v>
      </x:c>
      <x:c r="B753" s="4" t="str">
        <x:v>ADMIN-0752</x:v>
      </x:c>
      <x:c r="C753" s="4" t="str">
        <x:v>M12 直播业绩、增长与统计报表</x:v>
      </x:c>
      <x:c r="D753" s="4" t="str">
        <x:v>主播活跃汇总（每日）-36（平台管理员视角）</x:v>
      </x:c>
      <x:c r="E753" s="4" t="str">
        <x:v>功能需求</x:v>
      </x:c>
      <x:c r="F753" s="4" t="str">
        <x:v>P2</x:v>
      </x:c>
      <x:c r="G753" s="4" t="str">
        <x:v>验证导出仅包含当前查询结果</x:v>
      </x:c>
      <x:c r="H753" s="4" t="str">
        <x:v>导出仅包含当前查询结果</x:v>
      </x:c>
      <x:c r="I753" s="4" t="str">
        <x:v>1. 已登录平台管理员账号
2. 当前查询命中记录甲、乙，记录丙不满足当前筛选</x:v>
      </x:c>
      <x:c r="J753" s="4" t="str">
        <x:v>1. 进入「主播活跃汇总（每日）-36」页
2. 点击导出
3. 打开下载的结果文件</x:v>
      </x:c>
      <x:c r="K753" s="4" t="str">
        <x:v>导出记录为甲、乙，不包含丙</x:v>
      </x:c>
      <x:c r="L753" s="4" t="str"/>
      <x:c r="M753" s="4" t="str">
        <x:v>未测</x:v>
      </x:c>
      <x:c r="N753" s="4" t="str"/>
      <x:c r="O753" s="4" t="str">
        <x:v>1. 来源：MainBasis/统一需求文档.md；A-admin-host-statistics-010
2. 场景：SC-76311dce31a1ab</x:v>
      </x:c>
    </x:row>
    <x:row r="754" ht="54" customHeight="1">
      <x:c r="A754" s="4" t="n">
        <x:v>753</x:v>
      </x:c>
      <x:c r="B754" s="4" t="str">
        <x:v>ADMIN-0753</x:v>
      </x:c>
      <x:c r="C754" s="4" t="str">
        <x:v>M12 直播业绩、增长与统计报表</x:v>
      </x:c>
      <x:c r="D754" s="4" t="str">
        <x:v>直播间互动汇总（每日）-37（平台管理员视角）</x:v>
      </x:c>
      <x:c r="E754" s="4" t="str">
        <x:v>功能需求</x:v>
      </x:c>
      <x:c r="F754" s="4" t="str">
        <x:v>P2</x:v>
      </x:c>
      <x:c r="G754" s="4" t="str">
        <x:v>验证观众人数回显</x:v>
      </x:c>
      <x:c r="H754" s="4" t="str">
        <x:v>观众人数回显</x:v>
      </x:c>
      <x:c r="I754" s="4" t="str">
        <x:v>1. 已登录平台管理员账号
2. 所选对象存在，已记录该对象的观众人数值</x:v>
      </x:c>
      <x:c r="J754" s="4" t="str">
        <x:v>1. 进入「直播间互动汇总（每日）-37」页
2. 查看观众人数回显</x:v>
      </x:c>
      <x:c r="K754" s="4" t="str">
        <x:v>「观众人数」内容与所选对象的该项资料一致</x:v>
      </x:c>
      <x:c r="L754" s="4" t="str"/>
      <x:c r="M754" s="4" t="str">
        <x:v>未测</x:v>
      </x:c>
      <x:c r="N754" s="4" t="str"/>
      <x:c r="O754" s="4" t="str">
        <x:v>1. 来源：MainBasis/统一需求文档.md；A-admin-live-statistics-003
2. 场景：SC-efdda776eae2ef</x:v>
      </x:c>
    </x:row>
    <x:row r="755" ht="54" customHeight="1">
      <x:c r="A755" s="4" t="n">
        <x:v>754</x:v>
      </x:c>
      <x:c r="B755" s="4" t="str">
        <x:v>ADMIN-0754</x:v>
      </x:c>
      <x:c r="C755" s="4" t="str">
        <x:v>M12 直播业绩、增长与统计报表</x:v>
      </x:c>
      <x:c r="D755" s="4" t="str">
        <x:v>直播间互动汇总（每日）-37（平台管理员视角）</x:v>
      </x:c>
      <x:c r="E755" s="4" t="str">
        <x:v>逻辑校验</x:v>
      </x:c>
      <x:c r="F755" s="4" t="str">
        <x:v>P1</x:v>
      </x:c>
      <x:c r="G755" s="4" t="str">
        <x:v>验证观看时长29秒取整</x:v>
      </x:c>
      <x:c r="H755" s="4" t="str">
        <x:v>观看时长29秒取整</x:v>
      </x:c>
      <x:c r="I755" s="4" t="str">
        <x:v>1. 已登录平台管理员账号
2. 当天有效观看秒数合计29</x:v>
      </x:c>
      <x:c r="J755" s="4" t="str">
        <x:v>1. 进入「直播间互动汇总（每日）-37」页
2. 查看观看时长29秒取整</x:v>
      </x:c>
      <x:c r="K755" s="4" t="str">
        <x:v>观看时长 = 0分钟</x:v>
      </x:c>
      <x:c r="L755" s="4" t="str"/>
      <x:c r="M755" s="4" t="str">
        <x:v>未测</x:v>
      </x:c>
      <x:c r="N755" s="4" t="str"/>
      <x:c r="O755" s="4" t="str">
        <x:v>1. 来源：MainBasis/统一需求文档.md；A-admin-live-statistics-004
2. 场景：SC-27b13a9b987499</x:v>
      </x:c>
    </x:row>
    <x:row r="756" ht="54" customHeight="1">
      <x:c r="A756" s="4" t="n">
        <x:v>755</x:v>
      </x:c>
      <x:c r="B756" s="4" t="str">
        <x:v>ADMIN-0755</x:v>
      </x:c>
      <x:c r="C756" s="4" t="str">
        <x:v>M12 直播业绩、增长与统计报表</x:v>
      </x:c>
      <x:c r="D756" s="4" t="str">
        <x:v>直播间互动汇总（每日）-37（平台管理员视角）</x:v>
      </x:c>
      <x:c r="E756" s="4" t="str">
        <x:v>逻辑校验</x:v>
      </x:c>
      <x:c r="F756" s="4" t="str">
        <x:v>P1</x:v>
      </x:c>
      <x:c r="G756" s="4" t="str">
        <x:v>验证观看时长30秒取整</x:v>
      </x:c>
      <x:c r="H756" s="4" t="str">
        <x:v>观看时长30秒取整</x:v>
      </x:c>
      <x:c r="I756" s="4" t="str">
        <x:v>1. 已登录平台管理员账号
2. 当天有效观看秒数合计30</x:v>
      </x:c>
      <x:c r="J756" s="4" t="str">
        <x:v>1. 进入「直播间互动汇总（每日）-37」页
2. 查看观看时长30秒取整</x:v>
      </x:c>
      <x:c r="K756" s="4" t="str">
        <x:v>观看时长 = 1分钟</x:v>
      </x:c>
      <x:c r="L756" s="4" t="str"/>
      <x:c r="M756" s="4" t="str">
        <x:v>未测</x:v>
      </x:c>
      <x:c r="N756" s="4" t="str"/>
      <x:c r="O756" s="4" t="str">
        <x:v>1. 来源：MainBasis/统一需求文档.md；A-admin-live-statistics-004
2. 场景：SC-e1b4ede27112cf</x:v>
      </x:c>
    </x:row>
    <x:row r="757" ht="54" customHeight="1">
      <x:c r="A757" s="4" t="n">
        <x:v>756</x:v>
      </x:c>
      <x:c r="B757" s="4" t="str">
        <x:v>ADMIN-0756</x:v>
      </x:c>
      <x:c r="C757" s="4" t="str">
        <x:v>M12 直播业绩、增长与统计报表</x:v>
      </x:c>
      <x:c r="D757" s="4" t="str">
        <x:v>直播间互动汇总（每日）-37（平台管理员视角）</x:v>
      </x:c>
      <x:c r="E757" s="4" t="str">
        <x:v>逻辑校验</x:v>
      </x:c>
      <x:c r="F757" s="4" t="str">
        <x:v>P1</x:v>
      </x:c>
      <x:c r="G757" s="4" t="str">
        <x:v>验证观看时长31秒取整</x:v>
      </x:c>
      <x:c r="H757" s="4" t="str">
        <x:v>观看时长31秒取整</x:v>
      </x:c>
      <x:c r="I757" s="4" t="str">
        <x:v>1. 已登录平台管理员账号
2. 当天有效观看秒数合计31</x:v>
      </x:c>
      <x:c r="J757" s="4" t="str">
        <x:v>1. 进入「直播间互动汇总（每日）-37」页
2. 查看观看时长31秒取整</x:v>
      </x:c>
      <x:c r="K757" s="4" t="str">
        <x:v>观看时长 = 1分钟</x:v>
      </x:c>
      <x:c r="L757" s="4" t="str"/>
      <x:c r="M757" s="4" t="str">
        <x:v>未测</x:v>
      </x:c>
      <x:c r="N757" s="4" t="str"/>
      <x:c r="O757" s="4" t="str">
        <x:v>1. 来源：MainBasis/统一需求文档.md；A-admin-live-statistics-004
2. 场景：SC-8043ed53e7220a</x:v>
      </x:c>
    </x:row>
    <x:row r="758" ht="54" customHeight="1">
      <x:c r="A758" s="4" t="n">
        <x:v>757</x:v>
      </x:c>
      <x:c r="B758" s="4" t="str">
        <x:v>ADMIN-0757</x:v>
      </x:c>
      <x:c r="C758" s="4" t="str">
        <x:v>M12 直播业绩、增长与统计报表</x:v>
      </x:c>
      <x:c r="D758" s="4" t="str">
        <x:v>直播间互动汇总（每日）-37（平台管理员视角）</x:v>
      </x:c>
      <x:c r="E758" s="4" t="str">
        <x:v>逻辑校验</x:v>
      </x:c>
      <x:c r="F758" s="4" t="str">
        <x:v>P1</x:v>
      </x:c>
      <x:c r="G758" s="4" t="str">
        <x:v>验证观看时长89秒取整</x:v>
      </x:c>
      <x:c r="H758" s="4" t="str">
        <x:v>观看时长89秒取整</x:v>
      </x:c>
      <x:c r="I758" s="4" t="str">
        <x:v>1. 已登录平台管理员账号
2. 当天有效观看秒数合计89</x:v>
      </x:c>
      <x:c r="J758" s="4" t="str">
        <x:v>1. 进入「直播间互动汇总（每日）-37」页
2. 查看观看时长89秒取整</x:v>
      </x:c>
      <x:c r="K758" s="4" t="str">
        <x:v>观看时长 = 1分钟</x:v>
      </x:c>
      <x:c r="L758" s="4" t="str"/>
      <x:c r="M758" s="4" t="str">
        <x:v>未测</x:v>
      </x:c>
      <x:c r="N758" s="4" t="str"/>
      <x:c r="O758" s="4" t="str">
        <x:v>1. 来源：MainBasis/统一需求文档.md；A-admin-live-statistics-004
2. 场景：SC-ffc44853156bef</x:v>
      </x:c>
    </x:row>
    <x:row r="759" ht="54" customHeight="1">
      <x:c r="A759" s="4" t="n">
        <x:v>758</x:v>
      </x:c>
      <x:c r="B759" s="4" t="str">
        <x:v>ADMIN-0758</x:v>
      </x:c>
      <x:c r="C759" s="4" t="str">
        <x:v>M12 直播业绩、增长与统计报表</x:v>
      </x:c>
      <x:c r="D759" s="4" t="str">
        <x:v>直播间互动汇总（每日）-37（平台管理员视角）</x:v>
      </x:c>
      <x:c r="E759" s="4" t="str">
        <x:v>逻辑校验</x:v>
      </x:c>
      <x:c r="F759" s="4" t="str">
        <x:v>P1</x:v>
      </x:c>
      <x:c r="G759" s="4" t="str">
        <x:v>验证观看时长90秒取整</x:v>
      </x:c>
      <x:c r="H759" s="4" t="str">
        <x:v>观看时长90秒取整</x:v>
      </x:c>
      <x:c r="I759" s="4" t="str">
        <x:v>1. 已登录平台管理员账号
2. 当天有效观看秒数合计90</x:v>
      </x:c>
      <x:c r="J759" s="4" t="str">
        <x:v>1. 进入「直播间互动汇总（每日）-37」页
2. 查看观看时长90秒取整</x:v>
      </x:c>
      <x:c r="K759" s="4" t="str">
        <x:v>观看时长 = 2分钟</x:v>
      </x:c>
      <x:c r="L759" s="4" t="str"/>
      <x:c r="M759" s="4" t="str">
        <x:v>未测</x:v>
      </x:c>
      <x:c r="N759" s="4" t="str"/>
      <x:c r="O759" s="4" t="str">
        <x:v>1. 来源：MainBasis/统一需求文档.md；A-admin-live-statistics-004
2. 场景：SC-a2d80a2889e7ba</x:v>
      </x:c>
    </x:row>
    <x:row r="760" ht="54" customHeight="1">
      <x:c r="A760" s="4" t="n">
        <x:v>759</x:v>
      </x:c>
      <x:c r="B760" s="4" t="str">
        <x:v>ADMIN-0759</x:v>
      </x:c>
      <x:c r="C760" s="4" t="str">
        <x:v>M12 直播业绩、增长与统计报表</x:v>
      </x:c>
      <x:c r="D760" s="4" t="str">
        <x:v>直播间互动汇总（每日）-37（平台管理员视角）</x:v>
      </x:c>
      <x:c r="E760" s="4" t="str">
        <x:v>逻辑校验</x:v>
      </x:c>
      <x:c r="F760" s="4" t="str">
        <x:v>P1</x:v>
      </x:c>
      <x:c r="G760" s="4" t="str">
        <x:v>验证人均观看分母0</x:v>
      </x:c>
      <x:c r="H760" s="4" t="str">
        <x:v>人均观看分母0</x:v>
      </x:c>
      <x:c r="I760" s="4" t="str">
        <x:v>1. 已登录平台管理员账号
2. 当天观众0人，有效观看0秒</x:v>
      </x:c>
      <x:c r="J760" s="4" t="str">
        <x:v>1. 进入「直播间互动汇总（每日）-37」页
2. 查看人均观看分母0</x:v>
      </x:c>
      <x:c r="K760" s="4" t="str">
        <x:v>人均观看时长 = 0分钟</x:v>
      </x:c>
      <x:c r="L760" s="4" t="str"/>
      <x:c r="M760" s="4" t="str">
        <x:v>未测</x:v>
      </x:c>
      <x:c r="N760" s="4" t="str"/>
      <x:c r="O760" s="4" t="str">
        <x:v>1. 来源：MainBasis/统一需求文档.md；A-admin-live-statistics-005
2. 场景：SC-552da80eb9847c</x:v>
      </x:c>
    </x:row>
    <x:row r="761" ht="54" customHeight="1">
      <x:c r="A761" s="4" t="n">
        <x:v>760</x:v>
      </x:c>
      <x:c r="B761" s="4" t="str">
        <x:v>ADMIN-0760</x:v>
      </x:c>
      <x:c r="C761" s="4" t="str">
        <x:v>M12 直播业绩、增长与统计报表</x:v>
      </x:c>
      <x:c r="D761" s="4" t="str">
        <x:v>直播间互动汇总（每日）-37（平台管理员视角）</x:v>
      </x:c>
      <x:c r="E761" s="4" t="str">
        <x:v>逻辑校验</x:v>
      </x:c>
      <x:c r="F761" s="4" t="str">
        <x:v>P1</x:v>
      </x:c>
      <x:c r="G761" s="4" t="str">
        <x:v>验证人均观看分母2</x:v>
      </x:c>
      <x:c r="H761" s="4" t="str">
        <x:v>人均观看分母2</x:v>
      </x:c>
      <x:c r="I761" s="4" t="str">
        <x:v>1. 已登录平台管理员账号
2. 当天观众2人，有效观看180秒</x:v>
      </x:c>
      <x:c r="J761" s="4" t="str">
        <x:v>1. 进入「直播间互动汇总（每日）-37」页
2. 查看人均观看分母2</x:v>
      </x:c>
      <x:c r="K761" s="4" t="str">
        <x:v>人均观看时长 = 2分钟</x:v>
      </x:c>
      <x:c r="L761" s="4" t="str"/>
      <x:c r="M761" s="4" t="str">
        <x:v>未测</x:v>
      </x:c>
      <x:c r="N761" s="4" t="str"/>
      <x:c r="O761" s="4" t="str">
        <x:v>1. 来源：MainBasis/统一需求文档.md；A-admin-live-statistics-005
2. 场景：SC-a0494504f69d1a</x:v>
      </x:c>
    </x:row>
    <x:row r="762" ht="54" customHeight="1">
      <x:c r="A762" s="4" t="n">
        <x:v>761</x:v>
      </x:c>
      <x:c r="B762" s="4" t="str">
        <x:v>ADMIN-0761</x:v>
      </x:c>
      <x:c r="C762" s="4" t="str">
        <x:v>M12 直播业绩、增长与统计报表</x:v>
      </x:c>
      <x:c r="D762" s="4" t="str">
        <x:v>直播间互动汇总（每日）-37（平台管理员视角）</x:v>
      </x:c>
      <x:c r="E762" s="4" t="str">
        <x:v>逻辑校验</x:v>
      </x:c>
      <x:c r="F762" s="4" t="str">
        <x:v>P1</x:v>
      </x:c>
      <x:c r="G762" s="4" t="str">
        <x:v>验证访问率分母0</x:v>
      </x:c>
      <x:c r="H762" s="4" t="str">
        <x:v>访问率分母0</x:v>
      </x:c>
      <x:c r="I762" s="4" t="str">
        <x:v>1. 已登录平台管理员账号
2. 成功进入观众0人，访问次数0</x:v>
      </x:c>
      <x:c r="J762" s="4" t="str">
        <x:v>1. 进入「直播间互动汇总（每日）-37」页
2. 查看访问率分母0</x:v>
      </x:c>
      <x:c r="K762" s="4" t="str">
        <x:v>访问率 = 0%</x:v>
      </x:c>
      <x:c r="L762" s="4" t="str"/>
      <x:c r="M762" s="4" t="str">
        <x:v>未测</x:v>
      </x:c>
      <x:c r="N762" s="4" t="str"/>
      <x:c r="O762" s="4" t="str">
        <x:v>1. 来源：MainBasis/统一需求文档.md；A-admin-live-statistics-006
2. 场景：SC-78b7ca524c7837</x:v>
      </x:c>
    </x:row>
    <x:row r="763" ht="54" customHeight="1">
      <x:c r="A763" s="4" t="n">
        <x:v>762</x:v>
      </x:c>
      <x:c r="B763" s="4" t="str">
        <x:v>ADMIN-0762</x:v>
      </x:c>
      <x:c r="C763" s="4" t="str">
        <x:v>M12 直播业绩、增长与统计报表</x:v>
      </x:c>
      <x:c r="D763" s="4" t="str">
        <x:v>直播间互动汇总（每日）-37（平台管理员视角）</x:v>
      </x:c>
      <x:c r="E763" s="4" t="str">
        <x:v>逻辑校验</x:v>
      </x:c>
      <x:c r="F763" s="4" t="str">
        <x:v>P1</x:v>
      </x:c>
      <x:c r="G763" s="4" t="str">
        <x:v>验证访问率分母3</x:v>
      </x:c>
      <x:c r="H763" s="4" t="str">
        <x:v>访问率分母3</x:v>
      </x:c>
      <x:c r="I763" s="4" t="str">
        <x:v>1. 已登录平台管理员账号
2. 成功进入观众1人，访问次数3</x:v>
      </x:c>
      <x:c r="J763" s="4" t="str">
        <x:v>1. 进入「直播间互动汇总（每日）-37」页
2. 查看访问率分母3</x:v>
      </x:c>
      <x:c r="K763" s="4" t="str">
        <x:v>访问率 = 33.3%</x:v>
      </x:c>
      <x:c r="L763" s="4" t="str"/>
      <x:c r="M763" s="4" t="str">
        <x:v>未测</x:v>
      </x:c>
      <x:c r="N763" s="4" t="str"/>
      <x:c r="O763" s="4" t="str">
        <x:v>1. 来源：MainBasis/统一需求文档.md；A-admin-live-statistics-006
2. 场景：SC-c263c0191c3afb</x:v>
      </x:c>
    </x:row>
    <x:row r="764" ht="68" customHeight="1">
      <x:c r="A764" s="4" t="n">
        <x:v>763</x:v>
      </x:c>
      <x:c r="B764" s="4" t="str">
        <x:v>ADMIN-0763</x:v>
      </x:c>
      <x:c r="C764" s="4" t="str">
        <x:v>M12 直播业绩、增长与统计报表</x:v>
      </x:c>
      <x:c r="D764" s="4" t="str">
        <x:v>直播间互动汇总（每日）-37（平台管理员视角）</x:v>
      </x:c>
      <x:c r="E764" s="4" t="str">
        <x:v>功能需求</x:v>
      </x:c>
      <x:c r="F764" s="4" t="str">
        <x:v>P2</x:v>
      </x:c>
      <x:c r="G764" s="4" t="str">
        <x:v>验证导出仅包含当前查询结果</x:v>
      </x:c>
      <x:c r="H764" s="4" t="str">
        <x:v>导出仅包含当前查询结果</x:v>
      </x:c>
      <x:c r="I764" s="4" t="str">
        <x:v>1. 已登录平台管理员账号
2. 当前查询命中记录甲、乙，记录丙不满足当前筛选</x:v>
      </x:c>
      <x:c r="J764" s="4" t="str">
        <x:v>1. 进入「直播间互动汇总（每日）-37」页
2. 点击导出
3. 打开下载的结果文件</x:v>
      </x:c>
      <x:c r="K764" s="4" t="str">
        <x:v>导出记录为甲、乙，不包含丙</x:v>
      </x:c>
      <x:c r="L764" s="4" t="str"/>
      <x:c r="M764" s="4" t="str">
        <x:v>未测</x:v>
      </x:c>
      <x:c r="N764" s="4" t="str"/>
      <x:c r="O764" s="4" t="str">
        <x:v>1. 来源：MainBasis/统一需求文档.md；A-admin-live-statistics-007
2. 场景：SC-236a5aa4e7074e</x:v>
      </x:c>
    </x:row>
    <x:row r="765" ht="68" customHeight="1">
      <x:c r="A765" s="4" t="n">
        <x:v>764</x:v>
      </x:c>
      <x:c r="B765" s="4" t="str">
        <x:v>ADMIN-0764</x:v>
      </x:c>
      <x:c r="C765" s="4" t="str">
        <x:v>M12 直播业绩、增长与统计报表</x:v>
      </x:c>
      <x:c r="D765" s="4" t="str">
        <x:v>直播间互动汇总（每日）-37（平台管理员视角）</x:v>
      </x:c>
      <x:c r="E765" s="4" t="str">
        <x:v>功能需求</x:v>
      </x:c>
      <x:c r="F765" s="4" t="str">
        <x:v>P1</x:v>
      </x:c>
      <x:c r="G765" s="4" t="str">
        <x:v>验证日期共同筛选</x:v>
      </x:c>
      <x:c r="H765" s="4" t="str">
        <x:v>日期共同筛选</x:v>
      </x:c>
      <x:c r="I765" s="4" t="str">
        <x:v>1. 已登录平台管理员账号
2. 记录甲满足日期条件，记录乙与丙均不满足</x:v>
      </x:c>
      <x:c r="J765" s="4" t="str">
        <x:v>1. 进入「直播间互动汇总（每日）-37」页
2. 选择日期为记录甲对应值
3. 点击查询</x:v>
      </x:c>
      <x:c r="K765" s="4" t="str">
        <x:v>结果仅包含记录甲</x:v>
      </x:c>
      <x:c r="L765" s="4" t="str"/>
      <x:c r="M765" s="4" t="str">
        <x:v>未测</x:v>
      </x:c>
      <x:c r="N765" s="4" t="str"/>
      <x:c r="O765" s="4" t="str">
        <x:v>1. 来源：MainBasis/统一需求文档.md；A-admin-live-statistics-007
2. 场景：SC-a6b847bb3c6e76</x:v>
      </x:c>
    </x:row>
    <x:row r="766" ht="54" customHeight="1">
      <x:c r="A766" s="4" t="n">
        <x:v>765</x:v>
      </x:c>
      <x:c r="B766" s="4" t="str">
        <x:v>ADMIN-0765</x:v>
      </x:c>
      <x:c r="C766" s="4" t="str">
        <x:v>M12 直播业绩、增长与统计报表</x:v>
      </x:c>
      <x:c r="D766" s="4" t="str">
        <x:v>直播记录明细报表-38（平台管理员视角）</x:v>
      </x:c>
      <x:c r="E766" s="4" t="str">
        <x:v>功能需求</x:v>
      </x:c>
      <x:c r="F766" s="4" t="str">
        <x:v>P2</x:v>
      </x:c>
      <x:c r="G766" s="4" t="str">
        <x:v>验证房型回显</x:v>
      </x:c>
      <x:c r="H766" s="4" t="str">
        <x:v>房型回显</x:v>
      </x:c>
      <x:c r="I766" s="4" t="str">
        <x:v>1. 已登录平台管理员账号
2. 所选对象存在，已记录该对象的房型值</x:v>
      </x:c>
      <x:c r="J766" s="4" t="str">
        <x:v>1. 进入「直播记录明细报表-38」页
2. 查看房型回显</x:v>
      </x:c>
      <x:c r="K766" s="4" t="str">
        <x:v>「房型」内容与所选对象的该项资料一致</x:v>
      </x:c>
      <x:c r="L766" s="4" t="str"/>
      <x:c r="M766" s="4" t="str">
        <x:v>未测</x:v>
      </x:c>
      <x:c r="N766" s="4" t="str"/>
      <x:c r="O766" s="4" t="str">
        <x:v>1. 来源：MainBasis/统一需求文档.md；A-admin-host-live-record-report-003
2. 场景：SC-ef613c61c22864</x:v>
      </x:c>
    </x:row>
    <x:row r="767" ht="54" customHeight="1">
      <x:c r="A767" s="4" t="n">
        <x:v>766</x:v>
      </x:c>
      <x:c r="B767" s="4" t="str">
        <x:v>ADMIN-0766</x:v>
      </x:c>
      <x:c r="C767" s="4" t="str">
        <x:v>M12 直播业绩、增长与统计报表</x:v>
      </x:c>
      <x:c r="D767" s="4" t="str">
        <x:v>直播记录明细报表-38（平台管理员视角）</x:v>
      </x:c>
      <x:c r="E767" s="4" t="str">
        <x:v>功能需求</x:v>
      </x:c>
      <x:c r="F767" s="4" t="str">
        <x:v>P2</x:v>
      </x:c>
      <x:c r="G767" s="4" t="str">
        <x:v>验证时长回显</x:v>
      </x:c>
      <x:c r="H767" s="4" t="str">
        <x:v>时长回显</x:v>
      </x:c>
      <x:c r="I767" s="4" t="str">
        <x:v>1. 已登录平台管理员账号
2. 所选对象存在，已记录该对象的时长值</x:v>
      </x:c>
      <x:c r="J767" s="4" t="str">
        <x:v>1. 进入「直播记录明细报表-38」页
2. 查看时长回显</x:v>
      </x:c>
      <x:c r="K767" s="4" t="str">
        <x:v>「时长」内容与所选对象的该项资料一致</x:v>
      </x:c>
      <x:c r="L767" s="4" t="str"/>
      <x:c r="M767" s="4" t="str">
        <x:v>未测</x:v>
      </x:c>
      <x:c r="N767" s="4" t="str"/>
      <x:c r="O767" s="4" t="str">
        <x:v>1. 来源：MainBasis/统一需求文档.md；A-admin-host-live-record-report-004
2. 场景：SC-ca396b07f1ea63</x:v>
      </x:c>
    </x:row>
    <x:row r="768" ht="54" customHeight="1">
      <x:c r="A768" s="4" t="n">
        <x:v>767</x:v>
      </x:c>
      <x:c r="B768" s="4" t="str">
        <x:v>ADMIN-0767</x:v>
      </x:c>
      <x:c r="C768" s="4" t="str">
        <x:v>M12 直播业绩、增长与统计报表</x:v>
      </x:c>
      <x:c r="D768" s="4" t="str">
        <x:v>直播记录明细报表-38（平台管理员视角）</x:v>
      </x:c>
      <x:c r="E768" s="4" t="str">
        <x:v>功能需求</x:v>
      </x:c>
      <x:c r="F768" s="4" t="str">
        <x:v>P1</x:v>
      </x:c>
      <x:c r="G768" s="4" t="str">
        <x:v>验证达标累计多场不按单场</x:v>
      </x:c>
      <x:c r="H768" s="4" t="str">
        <x:v>达标累计多场不按单场</x:v>
      </x:c>
      <x:c r="I768" s="4" t="str">
        <x:v>1. 已登录平台管理员账号
2. 同一主播同一自然日已完成两场各90分钟直播</x:v>
      </x:c>
      <x:c r="J768" s="4" t="str">
        <x:v>1. 进入「直播记录明细报表-38」页
2. 查看达标累计多场不按单场</x:v>
      </x:c>
      <x:c r="K768" s="4" t="str">
        <x:v>该自然日累计180分钟，两条场次记录的是否达标均为是</x:v>
      </x:c>
      <x:c r="L768" s="4" t="str"/>
      <x:c r="M768" s="4" t="str">
        <x:v>未测</x:v>
      </x:c>
      <x:c r="N768" s="4" t="str"/>
      <x:c r="O768" s="4" t="str">
        <x:v>1. 来源：MainBasis/统一需求文档.md；A-admin-host-live-record-report-005
2. 场景：SC-dde22cd4d5b821</x:v>
      </x:c>
    </x:row>
    <x:row r="769" ht="68" customHeight="1">
      <x:c r="A769" s="4" t="n">
        <x:v>768</x:v>
      </x:c>
      <x:c r="B769" s="4" t="str">
        <x:v>ADMIN-0768</x:v>
      </x:c>
      <x:c r="C769" s="4" t="str">
        <x:v>M12 直播业绩、增长与统计报表</x:v>
      </x:c>
      <x:c r="D769" s="4" t="str">
        <x:v>直播记录明细报表-38（平台管理员视角）</x:v>
      </x:c>
      <x:c r="E769" s="4" t="str">
        <x:v>逻辑校验</x:v>
      </x:c>
      <x:c r="F769" s="4" t="str">
        <x:v>P1</x:v>
      </x:c>
      <x:c r="G769" s="4" t="str">
        <x:v>验证场次报表消费金币使用用户净消耗</x:v>
      </x:c>
      <x:c r="H769" s="4" t="str">
        <x:v>场次报表消费金币使用用户净消耗</x:v>
      </x:c>
      <x:c r="I769" s="4" t="str">
        <x:v>1. 已登录平台管理员账号
2. 普通100、定制200、门票50、幸运投入1000返奖900，另有虚拟礼物300</x:v>
      </x:c>
      <x:c r="J769" s="4" t="str">
        <x:v>1. 进入「直播记录明细报表-38」页
2. 查看场次报表消费金币使用用户净消耗</x:v>
      </x:c>
      <x:c r="K769" s="4" t="str">
        <x:v>场次报表消费金币 = 100 + 200 + 50 + 1000 - 900 = 450金币</x:v>
      </x:c>
      <x:c r="L769" s="4" t="str"/>
      <x:c r="M769" s="4" t="str">
        <x:v>未测</x:v>
      </x:c>
      <x:c r="N769" s="4" t="str"/>
      <x:c r="O769" s="4" t="str">
        <x:v>1. 来源：MainBasis/统一需求文档.md；A-admin-host-live-record-report-007
2. 场景：SC-c71907c760ee2b</x:v>
      </x:c>
    </x:row>
    <x:row r="770" ht="54" customHeight="1">
      <x:c r="A770" s="4" t="n">
        <x:v>769</x:v>
      </x:c>
      <x:c r="B770" s="4" t="str">
        <x:v>ADMIN-0769</x:v>
      </x:c>
      <x:c r="C770" s="4" t="str">
        <x:v>M12 直播业绩、增长与统计报表</x:v>
      </x:c>
      <x:c r="D770" s="4" t="str">
        <x:v>直播记录明细报表-38（平台管理员视角）</x:v>
      </x:c>
      <x:c r="E770" s="4" t="str">
        <x:v>功能需求</x:v>
      </x:c>
      <x:c r="F770" s="4" t="str">
        <x:v>P1</x:v>
      </x:c>
      <x:c r="G770" s="4" t="str">
        <x:v>验证场次起止时长</x:v>
      </x:c>
      <x:c r="H770" s="4" t="str">
        <x:v>场次起止时长</x:v>
      </x:c>
      <x:c r="I770" s="4" t="str">
        <x:v>1. 已登录平台管理员账号
2. 开播10:00，结束11:30</x:v>
      </x:c>
      <x:c r="J770" s="4" t="str">
        <x:v>1. 进入「直播记录明细报表-38」页
2. 查看场次起止时长</x:v>
      </x:c>
      <x:c r="K770" s="4" t="str">
        <x:v>时长90分钟</x:v>
      </x:c>
      <x:c r="L770" s="4" t="str"/>
      <x:c r="M770" s="4" t="str">
        <x:v>未测</x:v>
      </x:c>
      <x:c r="N770" s="4" t="str"/>
      <x:c r="O770" s="4" t="str">
        <x:v>1. 来源：MainBasis/统一需求文档.md；A-admin-host-live-record-report-004
2. 场景：SC-da9618b5595c7c</x:v>
      </x:c>
    </x:row>
    <x:row r="771" ht="54" customHeight="1">
      <x:c r="A771" s="4" t="n">
        <x:v>770</x:v>
      </x:c>
      <x:c r="B771" s="4" t="str">
        <x:v>ADMIN-0770</x:v>
      </x:c>
      <x:c r="C771" s="4" t="str">
        <x:v>M12 直播业绩、增长与统计报表</x:v>
      </x:c>
      <x:c r="D771" s="4" t="str">
        <x:v>直播记录明细报表-38（平台管理员视角）</x:v>
      </x:c>
      <x:c r="E771" s="4" t="str">
        <x:v>功能需求</x:v>
      </x:c>
      <x:c r="F771" s="4" t="str">
        <x:v>P2</x:v>
      </x:c>
      <x:c r="G771" s="4" t="str">
        <x:v>验证导出仅包含当前查询结果</x:v>
      </x:c>
      <x:c r="H771" s="4" t="str">
        <x:v>导出仅包含当前查询结果</x:v>
      </x:c>
      <x:c r="I771" s="4" t="str">
        <x:v>1. 已登录平台管理员账号
2. 当前查询命中记录甲、乙，记录丙不满足当前筛选</x:v>
      </x:c>
      <x:c r="J771" s="4" t="str">
        <x:v>1. 进入「直播记录明细报表-38」页
2. 点击导出
3. 打开下载的结果文件</x:v>
      </x:c>
      <x:c r="K771" s="4" t="str">
        <x:v>导出记录为甲、乙，不包含丙</x:v>
      </x:c>
      <x:c r="L771" s="4" t="str"/>
      <x:c r="M771" s="4" t="str">
        <x:v>未测</x:v>
      </x:c>
      <x:c r="N771" s="4" t="str"/>
      <x:c r="O771" s="4" t="str">
        <x:v>1. 来源：MainBasis/统一需求文档.md；A-admin-host-live-record-report-009
2. 场景：SC-ad9922a564fb7e</x:v>
      </x:c>
    </x:row>
    <x:row r="772" ht="54" customHeight="1">
      <x:c r="A772" s="4" t="n">
        <x:v>771</x:v>
      </x:c>
      <x:c r="B772" s="4" t="str">
        <x:v>ADMIN-0771</x:v>
      </x:c>
      <x:c r="C772" s="4" t="str">
        <x:v>M12 直播业绩、增长与统计报表</x:v>
      </x:c>
      <x:c r="D772" s="4" t="str">
        <x:v>充值消费汇总（每日）-39（平台管理员视角）</x:v>
      </x:c>
      <x:c r="E772" s="4" t="str">
        <x:v>功能需求</x:v>
      </x:c>
      <x:c r="F772" s="4" t="str">
        <x:v>P2</x:v>
      </x:c>
      <x:c r="G772" s="4" t="str">
        <x:v>验证消费金币回显</x:v>
      </x:c>
      <x:c r="H772" s="4" t="str">
        <x:v>消费金币回显</x:v>
      </x:c>
      <x:c r="I772" s="4" t="str">
        <x:v>1. 已登录平台管理员账号
2. 所选对象存在，已记录该对象的消费金币值</x:v>
      </x:c>
      <x:c r="J772" s="4" t="str">
        <x:v>1. 进入「充值消费汇总（每日）-39」页
2. 查看消费金币回显</x:v>
      </x:c>
      <x:c r="K772" s="4" t="str">
        <x:v>「消费金币」内容与所选对象的该项资料一致</x:v>
      </x:c>
      <x:c r="L772" s="4" t="str"/>
      <x:c r="M772" s="4" t="str">
        <x:v>未测</x:v>
      </x:c>
      <x:c r="N772" s="4" t="str"/>
      <x:c r="O772" s="4" t="str">
        <x:v>1. 来源：MainBasis/统一需求文档.md；A-admin-recharge-statistics-007
2. 场景：SC-e99ef6f9756ae7</x:v>
      </x:c>
    </x:row>
    <x:row r="773" ht="68" customHeight="1">
      <x:c r="A773" s="4" t="n">
        <x:v>772</x:v>
      </x:c>
      <x:c r="B773" s="4" t="str">
        <x:v>ADMIN-0772</x:v>
      </x:c>
      <x:c r="C773" s="4" t="str">
        <x:v>M12 直播业绩、增长与统计报表</x:v>
      </x:c>
      <x:c r="D773" s="4" t="str">
        <x:v>充值消费汇总（每日）-39（平台管理员视角）</x:v>
      </x:c>
      <x:c r="E773" s="4" t="str">
        <x:v>逻辑校验</x:v>
      </x:c>
      <x:c r="F773" s="4" t="str">
        <x:v>P1</x:v>
      </x:c>
      <x:c r="G773" s="4" t="str">
        <x:v>验证充值消费汇总消费金币使用用户净消耗</x:v>
      </x:c>
      <x:c r="H773" s="4" t="str">
        <x:v>充值消费汇总消费金币使用用户净消耗</x:v>
      </x:c>
      <x:c r="I773" s="4" t="str">
        <x:v>1. 已登录平台管理员账号
2. 普通100、定制200、门票50、幸运投入1000返奖900，另有虚拟礼物300</x:v>
      </x:c>
      <x:c r="J773" s="4" t="str">
        <x:v>1. 进入「充值消费汇总（每日）-39」页
2. 查看充值消费汇总消费金币使用用户净消耗</x:v>
      </x:c>
      <x:c r="K773" s="4" t="str">
        <x:v>充值消费汇总消费金币 = 100 + 200 + 50 + 1000 - 900 = 450金币</x:v>
      </x:c>
      <x:c r="L773" s="4" t="str"/>
      <x:c r="M773" s="4" t="str">
        <x:v>未测</x:v>
      </x:c>
      <x:c r="N773" s="4" t="str"/>
      <x:c r="O773" s="4" t="str">
        <x:v>1. 来源：MainBasis/统一需求文档.md；A-admin-recharge-statistics-007
2. 场景：SC-f5152f2ec9fa0f</x:v>
      </x:c>
    </x:row>
    <x:row r="774" ht="54" customHeight="1">
      <x:c r="A774" s="4" t="n">
        <x:v>773</x:v>
      </x:c>
      <x:c r="B774" s="4" t="str">
        <x:v>ADMIN-0773</x:v>
      </x:c>
      <x:c r="C774" s="4" t="str">
        <x:v>M12 直播业绩、增长与统计报表</x:v>
      </x:c>
      <x:c r="D774" s="4" t="str">
        <x:v>充值消费汇总（每日）-39（平台管理员视角）</x:v>
      </x:c>
      <x:c r="E774" s="4" t="str">
        <x:v>逻辑校验</x:v>
      </x:c>
      <x:c r="F774" s="4" t="str">
        <x:v>P1</x:v>
      </x:c>
      <x:c r="G774" s="4" t="str">
        <x:v>验证客单价分母0</x:v>
      </x:c>
      <x:c r="H774" s="4" t="str">
        <x:v>客单价分母0</x:v>
      </x:c>
      <x:c r="I774" s="4" t="str">
        <x:v>1. 已登录平台管理员账号
2. 对应充值用户数0，对应支付成功金额0USD</x:v>
      </x:c>
      <x:c r="J774" s="4" t="str">
        <x:v>1. 进入「充值消费汇总（每日）-39」页
2. 查看客单价分母0</x:v>
      </x:c>
      <x:c r="K774" s="4" t="str">
        <x:v>客单价 = 0USD</x:v>
      </x:c>
      <x:c r="L774" s="4" t="str"/>
      <x:c r="M774" s="4" t="str">
        <x:v>未测</x:v>
      </x:c>
      <x:c r="N774" s="4" t="str"/>
      <x:c r="O774" s="4" t="str">
        <x:v>1. 来源：MainBasis/统一需求文档.md；A-admin-recharge-statistics-004
2. 场景：SC-de8ab32e3485cc</x:v>
      </x:c>
    </x:row>
    <x:row r="775" ht="54" customHeight="1">
      <x:c r="A775" s="4" t="n">
        <x:v>774</x:v>
      </x:c>
      <x:c r="B775" s="4" t="str">
        <x:v>ADMIN-0774</x:v>
      </x:c>
      <x:c r="C775" s="4" t="str">
        <x:v>M12 直播业绩、增长与统计报表</x:v>
      </x:c>
      <x:c r="D775" s="4" t="str">
        <x:v>充值消费汇总（每日）-39（平台管理员视角）</x:v>
      </x:c>
      <x:c r="E775" s="4" t="str">
        <x:v>逻辑校验</x:v>
      </x:c>
      <x:c r="F775" s="4" t="str">
        <x:v>P1</x:v>
      </x:c>
      <x:c r="G775" s="4" t="str">
        <x:v>验证客单价分母2</x:v>
      </x:c>
      <x:c r="H775" s="4" t="str">
        <x:v>客单价分母2</x:v>
      </x:c>
      <x:c r="I775" s="4" t="str">
        <x:v>1. 已登录平台管理员账号
2. 对应充值用户数2，对应支付成功金额30USD</x:v>
      </x:c>
      <x:c r="J775" s="4" t="str">
        <x:v>1. 进入「充值消费汇总（每日）-39」页
2. 查看客单价分母2</x:v>
      </x:c>
      <x:c r="K775" s="4" t="str">
        <x:v>客单价 = 30 ÷ 2 = 15USD</x:v>
      </x:c>
      <x:c r="L775" s="4" t="str"/>
      <x:c r="M775" s="4" t="str">
        <x:v>未测</x:v>
      </x:c>
      <x:c r="N775" s="4" t="str"/>
      <x:c r="O775" s="4" t="str">
        <x:v>1. 来源：MainBasis/统一需求文档.md；A-admin-recharge-statistics-004
2. 场景：SC-19feab6bb3313b</x:v>
      </x:c>
    </x:row>
    <x:row r="776" ht="68" customHeight="1">
      <x:c r="A776" s="4" t="n">
        <x:v>775</x:v>
      </x:c>
      <x:c r="B776" s="4" t="str">
        <x:v>ADMIN-0775</x:v>
      </x:c>
      <x:c r="C776" s="4" t="str">
        <x:v>M12 直播业绩、增长与统计报表</x:v>
      </x:c>
      <x:c r="D776" s="4" t="str">
        <x:v>充值消费汇总（每日）-39（平台管理员视角）</x:v>
      </x:c>
      <x:c r="E776" s="4" t="str">
        <x:v>功能需求</x:v>
      </x:c>
      <x:c r="F776" s="4" t="str">
        <x:v>P1</x:v>
      </x:c>
      <x:c r="G776" s="4" t="str">
        <x:v>验证充值金额人数订单区分</x:v>
      </x:c>
      <x:c r="H776" s="4" t="str">
        <x:v>充值金额人数订单区分</x:v>
      </x:c>
      <x:c r="I776" s="4" t="str">
        <x:v>1. 已登录平台管理员账号
2. 当日甲成功支付10USD与20USD，乙成功支付30USD，丙40USD支付失败</x:v>
      </x:c>
      <x:c r="J776" s="4" t="str">
        <x:v>1. 进入「充值消费汇总（每日）-39」页
2. 查看充值金额人数订单区分</x:v>
      </x:c>
      <x:c r="K776" s="4" t="str">
        <x:v>成功金额60USD、去重充值人数2；有订单指标时为3笔</x:v>
      </x:c>
      <x:c r="L776" s="4" t="str"/>
      <x:c r="M776" s="4" t="str">
        <x:v>未测</x:v>
      </x:c>
      <x:c r="N776" s="4" t="str"/>
      <x:c r="O776" s="4" t="str">
        <x:v>1. 来源：MainBasis/统一需求文档.md；A-admin-recharge-statistics-003
2. 场景：SC-dde16cb774e627</x:v>
      </x:c>
    </x:row>
    <x:row r="777" ht="54" customHeight="1">
      <x:c r="A777" s="4" t="n">
        <x:v>776</x:v>
      </x:c>
      <x:c r="B777" s="4" t="str">
        <x:v>ADMIN-0776</x:v>
      </x:c>
      <x:c r="C777" s="4" t="str">
        <x:v>M12 直播业绩、增长与统计报表</x:v>
      </x:c>
      <x:c r="D777" s="4" t="str">
        <x:v>充值消费汇总（每日）-39（平台管理员视角）</x:v>
      </x:c>
      <x:c r="E777" s="4" t="str">
        <x:v>功能需求</x:v>
      </x:c>
      <x:c r="F777" s="4" t="str">
        <x:v>P1</x:v>
      </x:c>
      <x:c r="G777" s="4" t="str">
        <x:v>验证充值金币不混赠币</x:v>
      </x:c>
      <x:c r="H777" s="4" t="str">
        <x:v>充值金币不混赠币</x:v>
      </x:c>
      <x:c r="I777" s="4" t="str">
        <x:v>1. 已登录平台管理员账号
2. 成功充值两笔基础100和200、赠送20和30</x:v>
      </x:c>
      <x:c r="J777" s="4" t="str">
        <x:v>1. 进入「充值消费汇总（每日）-39」页
2. 查看充值金币不混赠币</x:v>
      </x:c>
      <x:c r="K777" s="4" t="str">
        <x:v>充值金币 = 100 + 200 = 300</x:v>
      </x:c>
      <x:c r="L777" s="4" t="str"/>
      <x:c r="M777" s="4" t="str">
        <x:v>未测</x:v>
      </x:c>
      <x:c r="N777" s="4" t="str"/>
      <x:c r="O777" s="4" t="str">
        <x:v>1. 来源：MainBasis/统一需求文档.md；A-admin-recharge-statistics-005
2. 场景：SC-ca467edc823d51</x:v>
      </x:c>
    </x:row>
    <x:row r="778" ht="54" customHeight="1">
      <x:c r="A778" s="4" t="n">
        <x:v>777</x:v>
      </x:c>
      <x:c r="B778" s="4" t="str">
        <x:v>ADMIN-0777</x:v>
      </x:c>
      <x:c r="C778" s="4" t="str">
        <x:v>M12 直播业绩、增长与统计报表</x:v>
      </x:c>
      <x:c r="D778" s="4" t="str">
        <x:v>充值消费汇总（每日）-39（平台管理员视角）</x:v>
      </x:c>
      <x:c r="E778" s="4" t="str">
        <x:v>功能需求</x:v>
      </x:c>
      <x:c r="F778" s="4" t="str">
        <x:v>P1</x:v>
      </x:c>
      <x:c r="G778" s="4" t="str">
        <x:v>验证套餐与系统赠币分别统计</x:v>
      </x:c>
      <x:c r="H778" s="4" t="str">
        <x:v>套餐与系统赠币分别统计</x:v>
      </x:c>
      <x:c r="I778" s="4" t="str">
        <x:v>1. 已登录平台管理员账号
2. 套餐赠币20，签到10，任务30</x:v>
      </x:c>
      <x:c r="J778" s="4" t="str">
        <x:v>1. 进入「充值消费汇总（每日）-39」页
2. 查看套餐与系统赠币分别统计</x:v>
      </x:c>
      <x:c r="K778" s="4" t="str">
        <x:v>充值赠送20，系统赠送40</x:v>
      </x:c>
      <x:c r="L778" s="4" t="str"/>
      <x:c r="M778" s="4" t="str">
        <x:v>未测</x:v>
      </x:c>
      <x:c r="N778" s="4" t="str"/>
      <x:c r="O778" s="4" t="str">
        <x:v>1. 来源：MainBasis/统一需求文档.md；A-admin-recharge-statistics-006
2. 场景：SC-e1d5c5888ebaf4</x:v>
      </x:c>
    </x:row>
    <x:row r="779" ht="54" customHeight="1">
      <x:c r="A779" s="4" t="n">
        <x:v>778</x:v>
      </x:c>
      <x:c r="B779" s="4" t="str">
        <x:v>ADMIN-0778</x:v>
      </x:c>
      <x:c r="C779" s="4" t="str">
        <x:v>M12 直播业绩、增长与统计报表</x:v>
      </x:c>
      <x:c r="D779" s="4" t="str">
        <x:v>充值消费汇总（每日）-39（平台管理员视角）</x:v>
      </x:c>
      <x:c r="E779" s="4" t="str">
        <x:v>功能需求</x:v>
      </x:c>
      <x:c r="F779" s="4" t="str">
        <x:v>P1</x:v>
      </x:c>
      <x:c r="G779" s="4" t="str">
        <x:v>验证退款扣回不算消费</x:v>
      </x:c>
      <x:c r="H779" s="4" t="str">
        <x:v>退款扣回不算消费</x:v>
      </x:c>
      <x:c r="I779" s="4" t="str">
        <x:v>1. 已登录平台管理员账号
2. 退款扣回120，成功普通礼物消费10</x:v>
      </x:c>
      <x:c r="J779" s="4" t="str">
        <x:v>1. 进入「充值消费汇总（每日）-39」页
2. 查看退款扣回不算消费</x:v>
      </x:c>
      <x:c r="K779" s="4" t="str">
        <x:v>退款资产扣回120单列，消费金币10</x:v>
      </x:c>
      <x:c r="L779" s="4" t="str"/>
      <x:c r="M779" s="4" t="str">
        <x:v>未测</x:v>
      </x:c>
      <x:c r="N779" s="4" t="str"/>
      <x:c r="O779" s="4" t="str">
        <x:v>1. 来源：MainBasis/统一需求文档.md；A-admin-recharge-statistics-009
2. 场景：SC-858561aea8b7da</x:v>
      </x:c>
    </x:row>
    <x:row r="780" ht="68" customHeight="1">
      <x:c r="A780" s="4" t="n">
        <x:v>779</x:v>
      </x:c>
      <x:c r="B780" s="4" t="str">
        <x:v>ADMIN-0779</x:v>
      </x:c>
      <x:c r="C780" s="4" t="str">
        <x:v>M12 直播业绩、增长与统计报表</x:v>
      </x:c>
      <x:c r="D780" s="4" t="str">
        <x:v>充值消费汇总（每日）-39（平台管理员视角）</x:v>
      </x:c>
      <x:c r="E780" s="4" t="str">
        <x:v>功能需求</x:v>
      </x:c>
      <x:c r="F780" s="4" t="str">
        <x:v>P2</x:v>
      </x:c>
      <x:c r="G780" s="4" t="str">
        <x:v>验证导出仅包含当前查询结果</x:v>
      </x:c>
      <x:c r="H780" s="4" t="str">
        <x:v>导出仅包含当前查询结果</x:v>
      </x:c>
      <x:c r="I780" s="4" t="str">
        <x:v>1. 已登录平台管理员账号
2. 当前查询命中记录甲、乙，记录丙不满足当前筛选</x:v>
      </x:c>
      <x:c r="J780" s="4" t="str">
        <x:v>1. 进入「充值消费汇总（每日）-39」页
2. 点击导出
3. 打开下载的结果文件</x:v>
      </x:c>
      <x:c r="K780" s="4" t="str">
        <x:v>导出记录为甲、乙，不包含丙</x:v>
      </x:c>
      <x:c r="L780" s="4" t="str"/>
      <x:c r="M780" s="4" t="str">
        <x:v>未测</x:v>
      </x:c>
      <x:c r="N780" s="4" t="str"/>
      <x:c r="O780" s="4" t="str">
        <x:v>1. 来源：MainBasis/统一需求文档.md；A-admin-recharge-statistics-010
2. 场景：SC-987cf202177851</x:v>
      </x:c>
    </x:row>
    <x:row r="781" ht="54" customHeight="1">
      <x:c r="A781" s="4" t="n">
        <x:v>780</x:v>
      </x:c>
      <x:c r="B781" s="4" t="str">
        <x:v>ADMIN-0780</x:v>
      </x:c>
      <x:c r="C781" s="4" t="str">
        <x:v>M12 直播业绩、增长与统计报表</x:v>
      </x:c>
      <x:c r="D781" s="4" t="str">
        <x:v>充值用户分层汇总（每日）-40（平台管理员视角）</x:v>
      </x:c>
      <x:c r="E781" s="4" t="str">
        <x:v>功能需求</x:v>
      </x:c>
      <x:c r="F781" s="4" t="str">
        <x:v>P2</x:v>
      </x:c>
      <x:c r="G781" s="4" t="str">
        <x:v>验证总充值金额回显</x:v>
      </x:c>
      <x:c r="H781" s="4" t="str">
        <x:v>总充值金额回显</x:v>
      </x:c>
      <x:c r="I781" s="4" t="str">
        <x:v>1. 已登录平台管理员账号
2. 所选对象存在，已记录该对象的总充值金额值</x:v>
      </x:c>
      <x:c r="J781" s="4" t="str">
        <x:v>1. 进入「充值用户分层汇总（每日）-40」页
2. 查看总充值金额回显</x:v>
      </x:c>
      <x:c r="K781" s="4" t="str">
        <x:v>「总充值金额」内容与所选对象的该项资料一致</x:v>
      </x:c>
      <x:c r="L781" s="4" t="str"/>
      <x:c r="M781" s="4" t="str">
        <x:v>未测</x:v>
      </x:c>
      <x:c r="N781" s="4" t="str"/>
      <x:c r="O781" s="4" t="str">
        <x:v>1. 来源：MainBasis/统一需求文档.md；A-admin-user-activity-statistics-003
2. 场景：SC-178790bfba3f56</x:v>
      </x:c>
    </x:row>
    <x:row r="782" ht="54" customHeight="1">
      <x:c r="A782" s="4" t="n">
        <x:v>781</x:v>
      </x:c>
      <x:c r="B782" s="4" t="str">
        <x:v>ADMIN-0781</x:v>
      </x:c>
      <x:c r="C782" s="4" t="str">
        <x:v>M12 直播业绩、增长与统计报表</x:v>
      </x:c>
      <x:c r="D782" s="4" t="str">
        <x:v>充值用户分层汇总（每日）-40（平台管理员视角）</x:v>
      </x:c>
      <x:c r="E782" s="4" t="str">
        <x:v>功能需求</x:v>
      </x:c>
      <x:c r="F782" s="4" t="str">
        <x:v>P2</x:v>
      </x:c>
      <x:c r="G782" s="4" t="str">
        <x:v>验证新、老用户回显</x:v>
      </x:c>
      <x:c r="H782" s="4" t="str">
        <x:v>新、老用户回显</x:v>
      </x:c>
      <x:c r="I782" s="4" t="str">
        <x:v>1. 已登录平台管理员账号
2. 所选对象存在，已记录该对象的新 / 老用户值</x:v>
      </x:c>
      <x:c r="J782" s="4" t="str">
        <x:v>1. 进入「充值用户分层汇总（每日）-40」页
2. 查看新、老用户回显</x:v>
      </x:c>
      <x:c r="K782" s="4" t="str">
        <x:v>「新 / 老用户」内容与所选对象的该项资料一致</x:v>
      </x:c>
      <x:c r="L782" s="4" t="str"/>
      <x:c r="M782" s="4" t="str">
        <x:v>未测</x:v>
      </x:c>
      <x:c r="N782" s="4" t="str"/>
      <x:c r="O782" s="4" t="str">
        <x:v>1. 来源：MainBasis/统一需求文档.md；A-admin-user-activity-statistics-005
2. 场景：SC-a46bfafac4e264</x:v>
      </x:c>
    </x:row>
    <x:row r="783" ht="54" customHeight="1">
      <x:c r="A783" s="4" t="n">
        <x:v>782</x:v>
      </x:c>
      <x:c r="B783" s="4" t="str">
        <x:v>ADMIN-0782</x:v>
      </x:c>
      <x:c r="C783" s="4" t="str">
        <x:v>M12 直播业绩、增长与统计报表</x:v>
      </x:c>
      <x:c r="D783" s="4" t="str">
        <x:v>充值用户分层汇总（每日）-40（平台管理员视角）</x:v>
      </x:c>
      <x:c r="E783" s="4" t="str">
        <x:v>逻辑校验</x:v>
      </x:c>
      <x:c r="F783" s="4" t="str">
        <x:v>P1</x:v>
      </x:c>
      <x:c r="G783" s="4" t="str">
        <x:v>验证新用户ARPU分母0</x:v>
      </x:c>
      <x:c r="H783" s="4" t="str">
        <x:v>新用户ARPU分母0</x:v>
      </x:c>
      <x:c r="I783" s="4" t="str">
        <x:v>1. 已登录平台管理员账号
2. 对应充值用户数0，对应支付成功金额0USD</x:v>
      </x:c>
      <x:c r="J783" s="4" t="str">
        <x:v>1. 进入「充值用户分层汇总（每日）-40」页
2. 查看新用户ARPU分母0</x:v>
      </x:c>
      <x:c r="K783" s="4" t="str">
        <x:v>新用户ARPU = 0USD</x:v>
      </x:c>
      <x:c r="L783" s="4" t="str"/>
      <x:c r="M783" s="4" t="str">
        <x:v>未测</x:v>
      </x:c>
      <x:c r="N783" s="4" t="str"/>
      <x:c r="O783" s="4" t="str">
        <x:v>1. 来源：MainBasis/统一需求文档.md；A-admin-user-activity-statistics-006
2. 场景：SC-5aa62ccbae4257</x:v>
      </x:c>
    </x:row>
    <x:row r="784" ht="54" customHeight="1">
      <x:c r="A784" s="4" t="n">
        <x:v>783</x:v>
      </x:c>
      <x:c r="B784" s="4" t="str">
        <x:v>ADMIN-0783</x:v>
      </x:c>
      <x:c r="C784" s="4" t="str">
        <x:v>M12 直播业绩、增长与统计报表</x:v>
      </x:c>
      <x:c r="D784" s="4" t="str">
        <x:v>充值用户分层汇总（每日）-40（平台管理员视角）</x:v>
      </x:c>
      <x:c r="E784" s="4" t="str">
        <x:v>逻辑校验</x:v>
      </x:c>
      <x:c r="F784" s="4" t="str">
        <x:v>P1</x:v>
      </x:c>
      <x:c r="G784" s="4" t="str">
        <x:v>验证新用户ARPU分母2</x:v>
      </x:c>
      <x:c r="H784" s="4" t="str">
        <x:v>新用户ARPU分母2</x:v>
      </x:c>
      <x:c r="I784" s="4" t="str">
        <x:v>1. 已登录平台管理员账号
2. 对应充值用户数2，对应支付成功金额30USD</x:v>
      </x:c>
      <x:c r="J784" s="4" t="str">
        <x:v>1. 进入「充值用户分层汇总（每日）-40」页
2. 查看新用户ARPU分母2</x:v>
      </x:c>
      <x:c r="K784" s="4" t="str">
        <x:v>新用户ARPU = 30 ÷ 2 = 15USD</x:v>
      </x:c>
      <x:c r="L784" s="4" t="str"/>
      <x:c r="M784" s="4" t="str">
        <x:v>未测</x:v>
      </x:c>
      <x:c r="N784" s="4" t="str"/>
      <x:c r="O784" s="4" t="str">
        <x:v>1. 来源：MainBasis/统一需求文档.md；A-admin-user-activity-statistics-006
2. 场景：SC-8d858ee251be85</x:v>
      </x:c>
    </x:row>
    <x:row r="785" ht="54" customHeight="1">
      <x:c r="A785" s="4" t="n">
        <x:v>784</x:v>
      </x:c>
      <x:c r="B785" s="4" t="str">
        <x:v>ADMIN-0784</x:v>
      </x:c>
      <x:c r="C785" s="4" t="str">
        <x:v>M12 直播业绩、增长与统计报表</x:v>
      </x:c>
      <x:c r="D785" s="4" t="str">
        <x:v>充值用户分层汇总（每日）-40（平台管理员视角）</x:v>
      </x:c>
      <x:c r="E785" s="4" t="str">
        <x:v>逻辑校验</x:v>
      </x:c>
      <x:c r="F785" s="4" t="str">
        <x:v>P1</x:v>
      </x:c>
      <x:c r="G785" s="4" t="str">
        <x:v>验证老用户ARPU分母0</x:v>
      </x:c>
      <x:c r="H785" s="4" t="str">
        <x:v>老用户ARPU分母0</x:v>
      </x:c>
      <x:c r="I785" s="4" t="str">
        <x:v>1. 已登录平台管理员账号
2. 对应充值用户数0，对应支付成功金额0USD</x:v>
      </x:c>
      <x:c r="J785" s="4" t="str">
        <x:v>1. 进入「充值用户分层汇总（每日）-40」页
2. 查看老用户ARPU分母0</x:v>
      </x:c>
      <x:c r="K785" s="4" t="str">
        <x:v>老用户ARPU = 0USD</x:v>
      </x:c>
      <x:c r="L785" s="4" t="str"/>
      <x:c r="M785" s="4" t="str">
        <x:v>未测</x:v>
      </x:c>
      <x:c r="N785" s="4" t="str"/>
      <x:c r="O785" s="4" t="str">
        <x:v>1. 来源：MainBasis/统一需求文档.md；A-admin-user-activity-statistics-007
2. 场景：SC-7a560dcc774cd2</x:v>
      </x:c>
    </x:row>
    <x:row r="786" ht="54" customHeight="1">
      <x:c r="A786" s="4" t="n">
        <x:v>785</x:v>
      </x:c>
      <x:c r="B786" s="4" t="str">
        <x:v>ADMIN-0785</x:v>
      </x:c>
      <x:c r="C786" s="4" t="str">
        <x:v>M12 直播业绩、增长与统计报表</x:v>
      </x:c>
      <x:c r="D786" s="4" t="str">
        <x:v>充值用户分层汇总（每日）-40（平台管理员视角）</x:v>
      </x:c>
      <x:c r="E786" s="4" t="str">
        <x:v>逻辑校验</x:v>
      </x:c>
      <x:c r="F786" s="4" t="str">
        <x:v>P1</x:v>
      </x:c>
      <x:c r="G786" s="4" t="str">
        <x:v>验证老用户ARPU分母2</x:v>
      </x:c>
      <x:c r="H786" s="4" t="str">
        <x:v>老用户ARPU分母2</x:v>
      </x:c>
      <x:c r="I786" s="4" t="str">
        <x:v>1. 已登录平台管理员账号
2. 对应充值用户数2，对应支付成功金额30USD</x:v>
      </x:c>
      <x:c r="J786" s="4" t="str">
        <x:v>1. 进入「充值用户分层汇总（每日）-40」页
2. 查看老用户ARPU分母2</x:v>
      </x:c>
      <x:c r="K786" s="4" t="str">
        <x:v>老用户ARPU = 30 ÷ 2 = 15USD</x:v>
      </x:c>
      <x:c r="L786" s="4" t="str"/>
      <x:c r="M786" s="4" t="str">
        <x:v>未测</x:v>
      </x:c>
      <x:c r="N786" s="4" t="str"/>
      <x:c r="O786" s="4" t="str">
        <x:v>1. 来源：MainBasis/统一需求文档.md；A-admin-user-activity-statistics-007
2. 场景：SC-2f4dce440975ba</x:v>
      </x:c>
    </x:row>
    <x:row r="787" ht="54" customHeight="1">
      <x:c r="A787" s="4" t="n">
        <x:v>786</x:v>
      </x:c>
      <x:c r="B787" s="4" t="str">
        <x:v>ADMIN-0786</x:v>
      </x:c>
      <x:c r="C787" s="4" t="str">
        <x:v>M12 直播业绩、增长与统计报表</x:v>
      </x:c>
      <x:c r="D787" s="4" t="str">
        <x:v>充值用户分层汇总（每日）-40（平台管理员视角）</x:v>
      </x:c>
      <x:c r="E787" s="4" t="str">
        <x:v>功能需求</x:v>
      </x:c>
      <x:c r="F787" s="4" t="str">
        <x:v>P1</x:v>
      </x:c>
      <x:c r="G787" s="4" t="str">
        <x:v>验证新老充值金额汇总</x:v>
      </x:c>
      <x:c r="H787" s="4" t="str">
        <x:v>新老充值金额汇总</x:v>
      </x:c>
      <x:c r="I787" s="4" t="str">
        <x:v>1. 已登录平台管理员账号
2. 新用户成功充值10，老用户成功充值20</x:v>
      </x:c>
      <x:c r="J787" s="4" t="str">
        <x:v>1. 进入「充值用户分层汇总（每日）-40」页
2. 查看新老充值金额汇总</x:v>
      </x:c>
      <x:c r="K787" s="4" t="str">
        <x:v>总充值金额30</x:v>
      </x:c>
      <x:c r="L787" s="4" t="str"/>
      <x:c r="M787" s="4" t="str">
        <x:v>未测</x:v>
      </x:c>
      <x:c r="N787" s="4" t="str"/>
      <x:c r="O787" s="4" t="str">
        <x:v>1. 来源：MainBasis/统一需求文档.md；A-admin-user-activity-statistics-003
2. 场景：SC-a8d0313746206d</x:v>
      </x:c>
    </x:row>
    <x:row r="788" ht="54" customHeight="1">
      <x:c r="A788" s="4" t="n">
        <x:v>787</x:v>
      </x:c>
      <x:c r="B788" s="4" t="str">
        <x:v>ADMIN-0787</x:v>
      </x:c>
      <x:c r="C788" s="4" t="str">
        <x:v>M12 直播业绩、增长与统计报表</x:v>
      </x:c>
      <x:c r="D788" s="4" t="str">
        <x:v>充值用户分层汇总（每日）-40（平台管理员视角）</x:v>
      </x:c>
      <x:c r="E788" s="4" t="str">
        <x:v>功能需求</x:v>
      </x:c>
      <x:c r="F788" s="4" t="str">
        <x:v>P1</x:v>
      </x:c>
      <x:c r="G788" s="4" t="str">
        <x:v>验证新老充值人数汇总</x:v>
      </x:c>
      <x:c r="H788" s="4" t="str">
        <x:v>新老充值人数汇总</x:v>
      </x:c>
      <x:c r="I788" s="4" t="str">
        <x:v>1. 已登录平台管理员账号
2. 新充值用户2，老充值用户3</x:v>
      </x:c>
      <x:c r="J788" s="4" t="str">
        <x:v>1. 进入「充值用户分层汇总（每日）-40」页
2. 查看新老充值人数汇总</x:v>
      </x:c>
      <x:c r="K788" s="4" t="str">
        <x:v>总充值人数5</x:v>
      </x:c>
      <x:c r="L788" s="4" t="str"/>
      <x:c r="M788" s="4" t="str">
        <x:v>未测</x:v>
      </x:c>
      <x:c r="N788" s="4" t="str"/>
      <x:c r="O788" s="4" t="str">
        <x:v>1. 来源：MainBasis/统一需求文档.md；A-admin-user-activity-statistics-004
2. 场景：SC-1a3c011412dc9d</x:v>
      </x:c>
    </x:row>
    <x:row r="789" ht="68" customHeight="1">
      <x:c r="A789" s="4" t="n">
        <x:v>788</x:v>
      </x:c>
      <x:c r="B789" s="4" t="str">
        <x:v>ADMIN-0788</x:v>
      </x:c>
      <x:c r="C789" s="4" t="str">
        <x:v>M12 直播业绩、增长与统计报表</x:v>
      </x:c>
      <x:c r="D789" s="4" t="str">
        <x:v>充值用户分层汇总（每日）-40（平台管理员视角）</x:v>
      </x:c>
      <x:c r="E789" s="4" t="str">
        <x:v>功能需求</x:v>
      </x:c>
      <x:c r="F789" s="4" t="str">
        <x:v>P2</x:v>
      </x:c>
      <x:c r="G789" s="4" t="str">
        <x:v>验证导出仅包含当前查询结果</x:v>
      </x:c>
      <x:c r="H789" s="4" t="str">
        <x:v>导出仅包含当前查询结果</x:v>
      </x:c>
      <x:c r="I789" s="4" t="str">
        <x:v>1. 已登录平台管理员账号
2. 当前查询命中记录甲、乙，记录丙不满足当前筛选</x:v>
      </x:c>
      <x:c r="J789" s="4" t="str">
        <x:v>1. 进入「充值用户分层汇总（每日）-40」页
2. 点击导出
3. 打开下载的结果文件</x:v>
      </x:c>
      <x:c r="K789" s="4" t="str">
        <x:v>导出记录为甲、乙，不包含丙</x:v>
      </x:c>
      <x:c r="L789" s="4" t="str"/>
      <x:c r="M789" s="4" t="str">
        <x:v>未测</x:v>
      </x:c>
      <x:c r="N789" s="4" t="str"/>
      <x:c r="O789" s="4" t="str">
        <x:v>1. 来源：MainBasis/统一需求文档.md；A-admin-user-activity-statistics-008
2. 场景：SC-55af03253e0d07</x:v>
      </x:c>
    </x:row>
    <x:row r="790" ht="68" customHeight="1">
      <x:c r="A790" s="4" t="n">
        <x:v>789</x:v>
      </x:c>
      <x:c r="B790" s="4" t="str">
        <x:v>ADMIN-0789</x:v>
      </x:c>
      <x:c r="C790" s="4" t="str">
        <x:v>M12 直播业绩、增长与统计报表</x:v>
      </x:c>
      <x:c r="D790" s="4" t="str">
        <x:v>充值用户分层汇总（每日）-40（平台管理员视角）</x:v>
      </x:c>
      <x:c r="E790" s="4" t="str">
        <x:v>功能需求</x:v>
      </x:c>
      <x:c r="F790" s="4" t="str">
        <x:v>P1</x:v>
      </x:c>
      <x:c r="G790" s="4" t="str">
        <x:v>验证日期共同筛选</x:v>
      </x:c>
      <x:c r="H790" s="4" t="str">
        <x:v>日期共同筛选</x:v>
      </x:c>
      <x:c r="I790" s="4" t="str">
        <x:v>1. 已登录平台管理员账号
2. 记录甲满足日期条件，记录乙与丙均不满足</x:v>
      </x:c>
      <x:c r="J790" s="4" t="str">
        <x:v>1. 进入「充值用户分层汇总（每日）-40」页
2. 选择日期为记录甲对应值
3. 点击查询</x:v>
      </x:c>
      <x:c r="K790" s="4" t="str">
        <x:v>结果仅包含记录甲</x:v>
      </x:c>
      <x:c r="L790" s="4" t="str"/>
      <x:c r="M790" s="4" t="str">
        <x:v>未测</x:v>
      </x:c>
      <x:c r="N790" s="4" t="str"/>
      <x:c r="O790" s="4" t="str">
        <x:v>1. 来源：MainBasis/统一需求文档.md；A-admin-user-activity-statistics-008
2. 场景：SC-f6df7bdd0d8ae5</x:v>
      </x:c>
    </x:row>
    <x:row r="791" ht="82" customHeight="1">
      <x:c r="A791" s="4" t="n">
        <x:v>790</x:v>
      </x:c>
      <x:c r="B791" s="4" t="str">
        <x:v>ADMIN-0790</x:v>
      </x:c>
      <x:c r="C791" s="4" t="str">
        <x:v>M12 直播业绩、增长与统计报表</x:v>
      </x:c>
      <x:c r="D791" s="4" t="str">
        <x:v>月度收益支出汇总-41（平台管理员视角）</x:v>
      </x:c>
      <x:c r="E791" s="4" t="str">
        <x:v>逻辑校验</x:v>
      </x:c>
      <x:c r="F791" s="4" t="str">
        <x:v>P1</x:v>
      </x:c>
      <x:c r="G791" s="4" t="str">
        <x:v>验证月度主播收益区分幸运赠礼</x:v>
      </x:c>
      <x:c r="H791" s="4" t="str">
        <x:v>月度主播收益区分幸运赠礼</x:v>
      </x:c>
      <x:c r="I791" s="4" t="str">
        <x:v>1. 已登录平台管理员账号
2. 范围内普通礼物100、定制礼物200、幸运礼物1000且赠送时比例1%，返奖900
3. 另有门票50</x:v>
      </x:c>
      <x:c r="J791" s="4" t="str">
        <x:v>1. 进入「月度收益支出汇总-41」页
2. 查看月度主播收益区分幸运赠礼</x:v>
      </x:c>
      <x:c r="K791" s="4" t="str">
        <x:v>月度主播收益 = 100 + 200 + 1000 × 1% + 50 = 360金币</x:v>
      </x:c>
      <x:c r="L791" s="4" t="str"/>
      <x:c r="M791" s="4" t="str">
        <x:v>未测</x:v>
      </x:c>
      <x:c r="N791" s="4" t="str"/>
      <x:c r="O791" s="4" t="str">
        <x:v>1. 来源：MainBasis/统一需求文档.md；A-admin-monthly-income-expense-003
2. 场景：SC-962e53fc8c8a66</x:v>
      </x:c>
    </x:row>
    <x:row r="792" ht="54" customHeight="1">
      <x:c r="A792" s="4" t="n">
        <x:v>791</x:v>
      </x:c>
      <x:c r="B792" s="4" t="str">
        <x:v>ADMIN-0791</x:v>
      </x:c>
      <x:c r="C792" s="4" t="str">
        <x:v>M12 直播业绩、增长与统计报表</x:v>
      </x:c>
      <x:c r="D792" s="4" t="str">
        <x:v>月度收益支出汇总-41（平台管理员视角）</x:v>
      </x:c>
      <x:c r="E792" s="4" t="str">
        <x:v>逻辑校验</x:v>
      </x:c>
      <x:c r="F792" s="4" t="str">
        <x:v>P1</x:v>
      </x:c>
      <x:c r="G792" s="4" t="str">
        <x:v>验证月度主播收益排除虚拟和失败</x:v>
      </x:c>
      <x:c r="H792" s="4" t="str">
        <x:v>月度主播收益排除虚拟和失败</x:v>
      </x:c>
      <x:c r="I792" s="4" t="str">
        <x:v>1. 已登录平台管理员账号
2. 范围内真实成功普通礼物100，另有虚拟礼物100、失败礼物50</x:v>
      </x:c>
      <x:c r="J792" s="4" t="str">
        <x:v>1. 进入「月度收益支出汇总-41」页
2. 查看月度主播收益排除虚拟和失败</x:v>
      </x:c>
      <x:c r="K792" s="4" t="str">
        <x:v>月度主播收益 = 100金币</x:v>
      </x:c>
      <x:c r="L792" s="4" t="str"/>
      <x:c r="M792" s="4" t="str">
        <x:v>未测</x:v>
      </x:c>
      <x:c r="N792" s="4" t="str"/>
      <x:c r="O792" s="4" t="str">
        <x:v>1. 来源：MainBasis/统一需求文档.md；A-admin-monthly-income-expense-003
2. 场景：SC-918cfe8f1174c8</x:v>
      </x:c>
    </x:row>
    <x:row r="793" ht="54" customHeight="1">
      <x:c r="A793" s="4" t="n">
        <x:v>792</x:v>
      </x:c>
      <x:c r="B793" s="4" t="str">
        <x:v>ADMIN-0792</x:v>
      </x:c>
      <x:c r="C793" s="4" t="str">
        <x:v>M12 直播业绩、增长与统计报表</x:v>
      </x:c>
      <x:c r="D793" s="4" t="str">
        <x:v>月度收益支出汇总-41（平台管理员视角）</x:v>
      </x:c>
      <x:c r="E793" s="4" t="str">
        <x:v>功能需求</x:v>
      </x:c>
      <x:c r="F793" s="4" t="str">
        <x:v>P1</x:v>
      </x:c>
      <x:c r="G793" s="4" t="str">
        <x:v>验证月度退款不按原支付月</x:v>
      </x:c>
      <x:c r="H793" s="4" t="str">
        <x:v>月度退款不按原支付月</x:v>
      </x:c>
      <x:c r="I793" s="4" t="str">
        <x:v>1. 已登录平台管理员账号
2. 8月支付10USD，9月全额退款完成</x:v>
      </x:c>
      <x:c r="J793" s="4" t="str">
        <x:v>1. 进入「月度收益支出汇总-41」页
2. 查看月度退款不按原支付月</x:v>
      </x:c>
      <x:c r="K793" s="4" t="str">
        <x:v>10USD退款计入9月</x:v>
      </x:c>
      <x:c r="L793" s="4" t="str"/>
      <x:c r="M793" s="4" t="str">
        <x:v>未测</x:v>
      </x:c>
      <x:c r="N793" s="4" t="str"/>
      <x:c r="O793" s="4" t="str">
        <x:v>1. 来源：MainBasis/统一需求文档.md；A-admin-monthly-income-expense-005
2. 场景：SC-5a55874b790774</x:v>
      </x:c>
    </x:row>
    <x:row r="794" ht="54" customHeight="1">
      <x:c r="A794" s="4" t="n">
        <x:v>793</x:v>
      </x:c>
      <x:c r="B794" s="4" t="str">
        <x:v>ADMIN-0793</x:v>
      </x:c>
      <x:c r="C794" s="4" t="str">
        <x:v>M12 直播业绩、增长与统计报表</x:v>
      </x:c>
      <x:c r="D794" s="4" t="str">
        <x:v>月度收益支出汇总-41（平台管理员视角）</x:v>
      </x:c>
      <x:c r="E794" s="4" t="str">
        <x:v>功能需求</x:v>
      </x:c>
      <x:c r="F794" s="4" t="str">
        <x:v>P2</x:v>
      </x:c>
      <x:c r="G794" s="4" t="str">
        <x:v>验证导出仅包含当前查询结果</x:v>
      </x:c>
      <x:c r="H794" s="4" t="str">
        <x:v>导出仅包含当前查询结果</x:v>
      </x:c>
      <x:c r="I794" s="4" t="str">
        <x:v>1. 已登录平台管理员账号
2. 当前查询命中记录甲、乙，记录丙不满足当前筛选</x:v>
      </x:c>
      <x:c r="J794" s="4" t="str">
        <x:v>1. 进入「月度收益支出汇总-41」页
2. 点击导出
3. 打开下载的结果文件</x:v>
      </x:c>
      <x:c r="K794" s="4" t="str">
        <x:v>导出记录为甲、乙，不包含丙</x:v>
      </x:c>
      <x:c r="L794" s="4" t="str"/>
      <x:c r="M794" s="4" t="str">
        <x:v>未测</x:v>
      </x:c>
      <x:c r="N794" s="4" t="str"/>
      <x:c r="O794" s="4" t="str">
        <x:v>1. 来源：MainBasis/统一需求文档.md；A-admin-monthly-income-expense-007
2. 场景：SC-f0a419bc222948</x:v>
      </x:c>
    </x:row>
    <x:row r="795" ht="54" customHeight="1">
      <x:c r="A795" s="4" t="n">
        <x:v>794</x:v>
      </x:c>
      <x:c r="B795" s="4" t="str">
        <x:v>ADMIN-0794</x:v>
      </x:c>
      <x:c r="C795" s="4" t="str">
        <x:v>M12 直播业绩、增长与统计报表</x:v>
      </x:c>
      <x:c r="D795" s="4" t="str">
        <x:v>月度收益支出汇总-41（平台管理员视角）</x:v>
      </x:c>
      <x:c r="E795" s="4" t="str">
        <x:v>功能需求</x:v>
      </x:c>
      <x:c r="F795" s="4" t="str">
        <x:v>P1</x:v>
      </x:c>
      <x:c r="G795" s="4" t="str">
        <x:v>验证月充值按成功实付</x:v>
      </x:c>
      <x:c r="H795" s="4" t="str">
        <x:v>月充值按成功实付</x:v>
      </x:c>
      <x:c r="I795" s="4" t="str">
        <x:v>1. 已登录平台管理员账号
2. 本月成功10和20USD，失败30USD</x:v>
      </x:c>
      <x:c r="J795" s="4" t="str">
        <x:v>1. 进入「月度收益支出汇总-41」页
2. 查看月充值按成功实付</x:v>
      </x:c>
      <x:c r="K795" s="4" t="str">
        <x:v>累计充值30USD</x:v>
      </x:c>
      <x:c r="L795" s="4" t="str"/>
      <x:c r="M795" s="4" t="str">
        <x:v>未测</x:v>
      </x:c>
      <x:c r="N795" s="4" t="str"/>
      <x:c r="O795" s="4" t="str">
        <x:v>1. 来源：MainBasis/统一需求文档.md；A-admin-monthly-income-expense-004
2. 场景：SC-d1caa991f501ef</x:v>
      </x:c>
    </x:row>
    <x:row r="796" ht="54" customHeight="1">
      <x:c r="A796" s="4" t="n">
        <x:v>795</x:v>
      </x:c>
      <x:c r="B796" s="4" t="str">
        <x:v>ADMIN-0795</x:v>
      </x:c>
      <x:c r="C796" s="4" t="str">
        <x:v>M12 直播业绩、增长与统计报表</x:v>
      </x:c>
      <x:c r="D796" s="4" t="str">
        <x:v>主播业绩分成报表-42（平台管理员视角）</x:v>
      </x:c>
      <x:c r="E796" s="4" t="str">
        <x:v>功能需求</x:v>
      </x:c>
      <x:c r="F796" s="4" t="str">
        <x:v>P2</x:v>
      </x:c>
      <x:c r="G796" s="4" t="str">
        <x:v>验证统计天数回显</x:v>
      </x:c>
      <x:c r="H796" s="4" t="str">
        <x:v>统计天数回显</x:v>
      </x:c>
      <x:c r="I796" s="4" t="str">
        <x:v>1. 已登录平台管理员账号
2. 所选对象存在，已记录该对象的统计天数值</x:v>
      </x:c>
      <x:c r="J796" s="4" t="str">
        <x:v>1. 进入「主播业绩分成报表-42」页
2. 查看统计天数回显</x:v>
      </x:c>
      <x:c r="K796" s="4" t="str">
        <x:v>「统计天数」内容与所选对象的该项资料一致</x:v>
      </x:c>
      <x:c r="L796" s="4" t="str"/>
      <x:c r="M796" s="4" t="str">
        <x:v>未测</x:v>
      </x:c>
      <x:c r="N796" s="4" t="str"/>
      <x:c r="O796" s="4" t="str">
        <x:v>1. 来源：MainBasis/统一需求文档.md；A-admin-monthly-host-share-003
2. 场景：SC-0ef65099f2f403</x:v>
      </x:c>
    </x:row>
    <x:row r="797" ht="54" customHeight="1">
      <x:c r="A797" s="4" t="n">
        <x:v>796</x:v>
      </x:c>
      <x:c r="B797" s="4" t="str">
        <x:v>ADMIN-0796</x:v>
      </x:c>
      <x:c r="C797" s="4" t="str">
        <x:v>M12 直播业绩、增长与统计报表</x:v>
      </x:c>
      <x:c r="D797" s="4" t="str">
        <x:v>主播业绩分成报表-42（平台管理员视角）</x:v>
      </x:c>
      <x:c r="E797" s="4" t="str">
        <x:v>功能需求</x:v>
      </x:c>
      <x:c r="F797" s="4" t="str">
        <x:v>P2</x:v>
      </x:c>
      <x:c r="G797" s="4" t="str">
        <x:v>验证直播场次回显</x:v>
      </x:c>
      <x:c r="H797" s="4" t="str">
        <x:v>直播场次回显</x:v>
      </x:c>
      <x:c r="I797" s="4" t="str">
        <x:v>1. 已登录平台管理员账号
2. 所选对象存在，已记录该对象的直播场次值</x:v>
      </x:c>
      <x:c r="J797" s="4" t="str">
        <x:v>1. 进入「主播业绩分成报表-42」页
2. 查看直播场次回显</x:v>
      </x:c>
      <x:c r="K797" s="4" t="str">
        <x:v>「直播场次」内容与所选对象的该项资料一致</x:v>
      </x:c>
      <x:c r="L797" s="4" t="str"/>
      <x:c r="M797" s="4" t="str">
        <x:v>未测</x:v>
      </x:c>
      <x:c r="N797" s="4" t="str"/>
      <x:c r="O797" s="4" t="str">
        <x:v>1. 来源：MainBasis/统一需求文档.md；A-admin-monthly-host-share-005
2. 场景：SC-e33174a601a6f0</x:v>
      </x:c>
    </x:row>
    <x:row r="798" ht="82" customHeight="1">
      <x:c r="A798" s="4" t="n">
        <x:v>797</x:v>
      </x:c>
      <x:c r="B798" s="4" t="str">
        <x:v>ADMIN-0797</x:v>
      </x:c>
      <x:c r="C798" s="4" t="str">
        <x:v>M12 直播业绩、增长与统计报表</x:v>
      </x:c>
      <x:c r="D798" s="4" t="str">
        <x:v>主播业绩分成报表-42（平台管理员视角）</x:v>
      </x:c>
      <x:c r="E798" s="4" t="str">
        <x:v>逻辑校验</x:v>
      </x:c>
      <x:c r="F798" s="4" t="str">
        <x:v>P1</x:v>
      </x:c>
      <x:c r="G798" s="4" t="str">
        <x:v>验证主播业绩达标天数10799秒</x:v>
      </x:c>
      <x:c r="H798" s="4" t="str">
        <x:v>主播业绩达标天数10799秒</x:v>
      </x:c>
      <x:c r="I798" s="4" t="str">
        <x:v>1. 已登录平台管理员账号
2. 当前范围仅一名主播、同一个已确定自然日
3. 该日累计有效直播时长10799秒</x:v>
      </x:c>
      <x:c r="J798" s="4" t="str">
        <x:v>1. 进入「主播业绩分成报表-42」页
2. 查看主播业绩达标天数10799秒</x:v>
      </x:c>
      <x:c r="K798" s="4" t="str">
        <x:v>主播业绩达标天数 = 0</x:v>
      </x:c>
      <x:c r="L798" s="4" t="str"/>
      <x:c r="M798" s="4" t="str">
        <x:v>未测</x:v>
      </x:c>
      <x:c r="N798" s="4" t="str"/>
      <x:c r="O798" s="4" t="str">
        <x:v>1. 来源：MainBasis/统一需求文档.md；A-admin-monthly-host-share-004
2. 场景：SC-132d5dc5bf953b</x:v>
      </x:c>
    </x:row>
    <x:row r="799" ht="82" customHeight="1">
      <x:c r="A799" s="4" t="n">
        <x:v>798</x:v>
      </x:c>
      <x:c r="B799" s="4" t="str">
        <x:v>ADMIN-0798</x:v>
      </x:c>
      <x:c r="C799" s="4" t="str">
        <x:v>M12 直播业绩、增长与统计报表</x:v>
      </x:c>
      <x:c r="D799" s="4" t="str">
        <x:v>主播业绩分成报表-42（平台管理员视角）</x:v>
      </x:c>
      <x:c r="E799" s="4" t="str">
        <x:v>逻辑校验</x:v>
      </x:c>
      <x:c r="F799" s="4" t="str">
        <x:v>P1</x:v>
      </x:c>
      <x:c r="G799" s="4" t="str">
        <x:v>验证主播业绩达标天数10800秒</x:v>
      </x:c>
      <x:c r="H799" s="4" t="str">
        <x:v>主播业绩达标天数10800秒</x:v>
      </x:c>
      <x:c r="I799" s="4" t="str">
        <x:v>1. 已登录平台管理员账号
2. 当前范围仅一名主播、同一个已确定自然日
3. 该日累计有效直播时长10800秒</x:v>
      </x:c>
      <x:c r="J799" s="4" t="str">
        <x:v>1. 进入「主播业绩分成报表-42」页
2. 查看主播业绩达标天数10800秒</x:v>
      </x:c>
      <x:c r="K799" s="4" t="str">
        <x:v>主播业绩达标天数 = 1</x:v>
      </x:c>
      <x:c r="L799" s="4" t="str"/>
      <x:c r="M799" s="4" t="str">
        <x:v>未测</x:v>
      </x:c>
      <x:c r="N799" s="4" t="str"/>
      <x:c r="O799" s="4" t="str">
        <x:v>1. 来源：MainBasis/统一需求文档.md；A-admin-monthly-host-share-004
2. 场景：SC-706b4b882bc5f3</x:v>
      </x:c>
    </x:row>
    <x:row r="800" ht="82" customHeight="1">
      <x:c r="A800" s="4" t="n">
        <x:v>799</x:v>
      </x:c>
      <x:c r="B800" s="4" t="str">
        <x:v>ADMIN-0799</x:v>
      </x:c>
      <x:c r="C800" s="4" t="str">
        <x:v>M12 直播业绩、增长与统计报表</x:v>
      </x:c>
      <x:c r="D800" s="4" t="str">
        <x:v>主播业绩分成报表-42（平台管理员视角）</x:v>
      </x:c>
      <x:c r="E800" s="4" t="str">
        <x:v>逻辑校验</x:v>
      </x:c>
      <x:c r="F800" s="4" t="str">
        <x:v>P1</x:v>
      </x:c>
      <x:c r="G800" s="4" t="str">
        <x:v>验证主播业绩达标天数10801秒</x:v>
      </x:c>
      <x:c r="H800" s="4" t="str">
        <x:v>主播业绩达标天数10801秒</x:v>
      </x:c>
      <x:c r="I800" s="4" t="str">
        <x:v>1. 已登录平台管理员账号
2. 当前范围仅一名主播、同一个已确定自然日
3. 该日累计有效直播时长10801秒</x:v>
      </x:c>
      <x:c r="J800" s="4" t="str">
        <x:v>1. 进入「主播业绩分成报表-42」页
2. 查看主播业绩达标天数10801秒</x:v>
      </x:c>
      <x:c r="K800" s="4" t="str">
        <x:v>主播业绩达标天数 = 1</x:v>
      </x:c>
      <x:c r="L800" s="4" t="str"/>
      <x:c r="M800" s="4" t="str">
        <x:v>未测</x:v>
      </x:c>
      <x:c r="N800" s="4" t="str"/>
      <x:c r="O800" s="4" t="str">
        <x:v>1. 来源：MainBasis/统一需求文档.md；A-admin-monthly-host-share-004
2. 场景：SC-b6e63320046a1d</x:v>
      </x:c>
    </x:row>
    <x:row r="801" ht="82" customHeight="1">
      <x:c r="A801" s="4" t="n">
        <x:v>800</x:v>
      </x:c>
      <x:c r="B801" s="4" t="str">
        <x:v>ADMIN-0800</x:v>
      </x:c>
      <x:c r="C801" s="4" t="str">
        <x:v>M12 直播业绩、增长与统计报表</x:v>
      </x:c>
      <x:c r="D801" s="4" t="str">
        <x:v>主播业绩分成报表-42（平台管理员视角）</x:v>
      </x:c>
      <x:c r="E801" s="4" t="str">
        <x:v>逻辑校验</x:v>
      </x:c>
      <x:c r="F801" s="4" t="str">
        <x:v>P1</x:v>
      </x:c>
      <x:c r="G801" s="4" t="str">
        <x:v>验证主播业绩达标天数21600秒</x:v>
      </x:c>
      <x:c r="H801" s="4" t="str">
        <x:v>主播业绩达标天数21600秒</x:v>
      </x:c>
      <x:c r="I801" s="4" t="str">
        <x:v>1. 已登录平台管理员账号
2. 当前范围仅一名主播、同一个已确定自然日
3. 该日累计有效直播时长21600秒</x:v>
      </x:c>
      <x:c r="J801" s="4" t="str">
        <x:v>1. 进入「主播业绩分成报表-42」页
2. 查看主播业绩达标天数21600秒</x:v>
      </x:c>
      <x:c r="K801" s="4" t="str">
        <x:v>主播业绩达标天数 = 1</x:v>
      </x:c>
      <x:c r="L801" s="4" t="str"/>
      <x:c r="M801" s="4" t="str">
        <x:v>未测</x:v>
      </x:c>
      <x:c r="N801" s="4" t="str"/>
      <x:c r="O801" s="4" t="str">
        <x:v>1. 来源：MainBasis/统一需求文档.md；A-admin-monthly-host-share-004
2. 场景：SC-646e099bdc39c8</x:v>
      </x:c>
    </x:row>
    <x:row r="802" ht="82" customHeight="1">
      <x:c r="A802" s="4" t="n">
        <x:v>801</x:v>
      </x:c>
      <x:c r="B802" s="4" t="str">
        <x:v>ADMIN-0801</x:v>
      </x:c>
      <x:c r="C802" s="4" t="str">
        <x:v>M12 直播业绩、增长与统计报表</x:v>
      </x:c>
      <x:c r="D802" s="4" t="str">
        <x:v>主播业绩分成报表-42（平台管理员视角）</x:v>
      </x:c>
      <x:c r="E802" s="4" t="str">
        <x:v>逻辑校验</x:v>
      </x:c>
      <x:c r="F802" s="4" t="str">
        <x:v>P1</x:v>
      </x:c>
      <x:c r="G802" s="4" t="str">
        <x:v>验证主播业绩总收益区分幸运赠礼</x:v>
      </x:c>
      <x:c r="H802" s="4" t="str">
        <x:v>主播业绩总收益区分幸运赠礼</x:v>
      </x:c>
      <x:c r="I802" s="4" t="str">
        <x:v>1. 已登录平台管理员账号
2. 范围内普通礼物100、定制礼物200、幸运礼物1000且赠送时比例1%，返奖900
3. 另有门票50</x:v>
      </x:c>
      <x:c r="J802" s="4" t="str">
        <x:v>1. 进入「主播业绩分成报表-42」页
2. 查看主播业绩总收益区分幸运赠礼</x:v>
      </x:c>
      <x:c r="K802" s="4" t="str">
        <x:v>主播业绩总收益 = 100 + 200 + 1000 × 1% + 50 = 360金币</x:v>
      </x:c>
      <x:c r="L802" s="4" t="str"/>
      <x:c r="M802" s="4" t="str">
        <x:v>未测</x:v>
      </x:c>
      <x:c r="N802" s="4" t="str"/>
      <x:c r="O802" s="4" t="str">
        <x:v>1. 来源：MainBasis/统一需求文档.md；A-admin-monthly-host-share-008
2. 场景：SC-3c88a004d8cb89</x:v>
      </x:c>
    </x:row>
    <x:row r="803" ht="54" customHeight="1">
      <x:c r="A803" s="4" t="n">
        <x:v>802</x:v>
      </x:c>
      <x:c r="B803" s="4" t="str">
        <x:v>ADMIN-0802</x:v>
      </x:c>
      <x:c r="C803" s="4" t="str">
        <x:v>M12 直播业绩、增长与统计报表</x:v>
      </x:c>
      <x:c r="D803" s="4" t="str">
        <x:v>主播业绩分成报表-42（平台管理员视角）</x:v>
      </x:c>
      <x:c r="E803" s="4" t="str">
        <x:v>逻辑校验</x:v>
      </x:c>
      <x:c r="F803" s="4" t="str">
        <x:v>P1</x:v>
      </x:c>
      <x:c r="G803" s="4" t="str">
        <x:v>验证主播业绩总收益排除虚拟和失败</x:v>
      </x:c>
      <x:c r="H803" s="4" t="str">
        <x:v>主播业绩总收益排除虚拟和失败</x:v>
      </x:c>
      <x:c r="I803" s="4" t="str">
        <x:v>1. 已登录平台管理员账号
2. 范围内真实成功普通礼物100，另有虚拟礼物100、失败礼物50</x:v>
      </x:c>
      <x:c r="J803" s="4" t="str">
        <x:v>1. 进入「主播业绩分成报表-42」页
2. 查看主播业绩总收益排除虚拟和失败</x:v>
      </x:c>
      <x:c r="K803" s="4" t="str">
        <x:v>主播业绩总收益 = 100金币</x:v>
      </x:c>
      <x:c r="L803" s="4" t="str"/>
      <x:c r="M803" s="4" t="str">
        <x:v>未测</x:v>
      </x:c>
      <x:c r="N803" s="4" t="str"/>
      <x:c r="O803" s="4" t="str">
        <x:v>1. 来源：MainBasis/统一需求文档.md；A-admin-monthly-host-share-008
2. 场景：SC-54efddef42aea7</x:v>
      </x:c>
    </x:row>
    <x:row r="804" ht="68" customHeight="1">
      <x:c r="A804" s="4" t="n">
        <x:v>803</x:v>
      </x:c>
      <x:c r="B804" s="4" t="str">
        <x:v>ADMIN-0803</x:v>
      </x:c>
      <x:c r="C804" s="4" t="str">
        <x:v>M12 直播业绩、增长与统计报表</x:v>
      </x:c>
      <x:c r="D804" s="4" t="str">
        <x:v>主播业绩分成报表-42（平台管理员视角）</x:v>
      </x:c>
      <x:c r="E804" s="4" t="str">
        <x:v>逻辑校验</x:v>
      </x:c>
      <x:c r="F804" s="4" t="str">
        <x:v>P1</x:v>
      </x:c>
      <x:c r="G804" s="4" t="str">
        <x:v>验证幸运礼物按赠送比例快照</x:v>
      </x:c>
      <x:c r="H804" s="4" t="str">
        <x:v>幸运礼物按赠送比例快照</x:v>
      </x:c>
      <x:c r="I804" s="4" t="str">
        <x:v>1. 已登录平台管理员账号
2. 第一笔价值1000比例1%，第二笔价值1000比例2%，之后全局比例修改为3%</x:v>
      </x:c>
      <x:c r="J804" s="4" t="str">
        <x:v>1. 进入「主播业绩分成报表-42」页
2. 查看幸运礼物按赠送比例快照</x:v>
      </x:c>
      <x:c r="K804" s="4" t="str">
        <x:v>收益 = 1000 × 1% + 1000 × 2% = 30金币</x:v>
      </x:c>
      <x:c r="L804" s="4" t="str"/>
      <x:c r="M804" s="4" t="str">
        <x:v>未测</x:v>
      </x:c>
      <x:c r="N804" s="4" t="str"/>
      <x:c r="O804" s="4" t="str">
        <x:v>1. 来源：MainBasis/统一需求文档.md；A-admin-monthly-host-share-007
2. 场景：SC-f60cd3f09c14fa</x:v>
      </x:c>
    </x:row>
    <x:row r="805" ht="54" customHeight="1">
      <x:c r="A805" s="4" t="n">
        <x:v>804</x:v>
      </x:c>
      <x:c r="B805" s="4" t="str">
        <x:v>ADMIN-0804</x:v>
      </x:c>
      <x:c r="C805" s="4" t="str">
        <x:v>M12 直播业绩、增长与统计报表</x:v>
      </x:c>
      <x:c r="D805" s="4" t="str">
        <x:v>主播业绩分成报表-42（平台管理员视角）</x:v>
      </x:c>
      <x:c r="E805" s="4" t="str">
        <x:v>逻辑校验</x:v>
      </x:c>
      <x:c r="F805" s="4" t="str">
        <x:v>P1</x:v>
      </x:c>
      <x:c r="G805" s="4" t="str">
        <x:v>验证统计天数包含首尾</x:v>
      </x:c>
      <x:c r="H805" s="4" t="str">
        <x:v>统计天数包含首尾</x:v>
      </x:c>
      <x:c r="I805" s="4" t="str">
        <x:v>1. 已登录平台管理员账号
2. 筛选开始9月1日、结束9月3日</x:v>
      </x:c>
      <x:c r="J805" s="4" t="str">
        <x:v>1. 进入「主播业绩分成报表-42」页
2. 查看统计天数包含首尾</x:v>
      </x:c>
      <x:c r="K805" s="4" t="str">
        <x:v>统计天数 = 3 - 1 + 1 = 3天</x:v>
      </x:c>
      <x:c r="L805" s="4" t="str"/>
      <x:c r="M805" s="4" t="str">
        <x:v>未测</x:v>
      </x:c>
      <x:c r="N805" s="4" t="str"/>
      <x:c r="O805" s="4" t="str">
        <x:v>1. 来源：MainBasis/统一需求文档.md；A-admin-monthly-host-share-003
2. 场景：SC-6edf19d42cab64</x:v>
      </x:c>
    </x:row>
    <x:row r="806" ht="54" customHeight="1">
      <x:c r="A806" s="4" t="n">
        <x:v>805</x:v>
      </x:c>
      <x:c r="B806" s="4" t="str">
        <x:v>ADMIN-0805</x:v>
      </x:c>
      <x:c r="C806" s="4" t="str">
        <x:v>M12 直播业绩、增长与统计报表</x:v>
      </x:c>
      <x:c r="D806" s="4" t="str">
        <x:v>主播业绩分成报表-42（平台管理员视角）</x:v>
      </x:c>
      <x:c r="E806" s="4" t="str">
        <x:v>功能需求</x:v>
      </x:c>
      <x:c r="F806" s="4" t="str">
        <x:v>P1</x:v>
      </x:c>
      <x:c r="G806" s="4" t="str">
        <x:v>验证同日统计1天</x:v>
      </x:c>
      <x:c r="H806" s="4" t="str">
        <x:v>同日统计1天</x:v>
      </x:c>
      <x:c r="I806" s="4" t="str">
        <x:v>1. 已登录平台管理员账号
2. 开始和结束均为9月1日</x:v>
      </x:c>
      <x:c r="J806" s="4" t="str">
        <x:v>1. 进入「主播业绩分成报表-42」页
2. 查看同日统计1天</x:v>
      </x:c>
      <x:c r="K806" s="4" t="str">
        <x:v>统计天数为1</x:v>
      </x:c>
      <x:c r="L806" s="4" t="str"/>
      <x:c r="M806" s="4" t="str">
        <x:v>未测</x:v>
      </x:c>
      <x:c r="N806" s="4" t="str"/>
      <x:c r="O806" s="4" t="str">
        <x:v>1. 来源：MainBasis/统一需求文档.md；A-admin-monthly-host-share-003
2. 场景：SC-4ebb4f3f046a4f</x:v>
      </x:c>
    </x:row>
    <x:row r="807" ht="54" customHeight="1">
      <x:c r="A807" s="4" t="n">
        <x:v>806</x:v>
      </x:c>
      <x:c r="B807" s="4" t="str">
        <x:v>ADMIN-0806</x:v>
      </x:c>
      <x:c r="C807" s="4" t="str">
        <x:v>M12 直播业绩、增长与统计报表</x:v>
      </x:c>
      <x:c r="D807" s="4" t="str">
        <x:v>主播业绩分成报表-42（平台管理员视角）</x:v>
      </x:c>
      <x:c r="E807" s="4" t="str">
        <x:v>功能需求</x:v>
      </x:c>
      <x:c r="F807" s="4" t="str">
        <x:v>P2</x:v>
      </x:c>
      <x:c r="G807" s="4" t="str">
        <x:v>验证导出仅包含当前查询结果</x:v>
      </x:c>
      <x:c r="H807" s="4" t="str">
        <x:v>导出仅包含当前查询结果</x:v>
      </x:c>
      <x:c r="I807" s="4" t="str">
        <x:v>1. 已登录平台管理员账号
2. 当前查询命中记录甲、乙，记录丙不满足当前筛选</x:v>
      </x:c>
      <x:c r="J807" s="4" t="str">
        <x:v>1. 进入「主播业绩分成报表-42」页
2. 点击导出
3. 打开下载的结果文件</x:v>
      </x:c>
      <x:c r="K807" s="4" t="str">
        <x:v>导出记录为甲、乙，不包含丙</x:v>
      </x:c>
      <x:c r="L807" s="4" t="str"/>
      <x:c r="M807" s="4" t="str">
        <x:v>未测</x:v>
      </x:c>
      <x:c r="N807" s="4" t="str"/>
      <x:c r="O807" s="4" t="str">
        <x:v>1. 来源：MainBasis/统一需求文档.md；A-admin-monthly-host-share-010
2. 场景：SC-edbd166815d873</x:v>
      </x:c>
    </x:row>
    <x:row r="808" ht="82" customHeight="1">
      <x:c r="A808" s="4" t="n">
        <x:v>807</x:v>
      </x:c>
      <x:c r="B808" s="4" t="str">
        <x:v>ADMIN-0807</x:v>
      </x:c>
      <x:c r="C808" s="4" t="str">
        <x:v>M12 直播业绩、增长与统计报表</x:v>
      </x:c>
      <x:c r="D808" s="4" t="str">
        <x:v>主播业绩分成报表-42（平台管理员视角）</x:v>
      </x:c>
      <x:c r="E808" s="4" t="str">
        <x:v>功能需求</x:v>
      </x:c>
      <x:c r="F808" s="4" t="str">
        <x:v>P1</x:v>
      </x:c>
      <x:c r="G808" s="4" t="str">
        <x:v>验证日期与主播与公会共同筛选</x:v>
      </x:c>
      <x:c r="H808" s="4" t="str">
        <x:v>日期与主播与公会共同筛选</x:v>
      </x:c>
      <x:c r="I808" s="4" t="str">
        <x:v>1. 已登录平台管理员账号
2. 记录甲满足日期与主播与公会全部条件，记录乙仅满足其中部分条件，记录丙全不满足</x:v>
      </x:c>
      <x:c r="J808" s="4" t="str">
        <x:v>1. 进入「主播业绩分成报表-42」页
2. 选择日期为记录甲对应值
3. 选择主播为记录甲对应值
4. 选择公会为记录甲对应值
5. 点击查询</x:v>
      </x:c>
      <x:c r="K808" s="4" t="str">
        <x:v>结果仅包含记录甲</x:v>
      </x:c>
      <x:c r="L808" s="4" t="str"/>
      <x:c r="M808" s="4" t="str">
        <x:v>未测</x:v>
      </x:c>
      <x:c r="N808" s="4" t="str"/>
      <x:c r="O808" s="4" t="str">
        <x:v>1. 来源：MainBasis/统一需求文档.md；A-admin-monthly-host-share-010
2. 场景：SC-6d910509a9d2df</x:v>
      </x:c>
    </x:row>
    <x:row r="809" ht="54" customHeight="1">
      <x:c r="A809" s="4" t="n">
        <x:v>808</x:v>
      </x:c>
      <x:c r="B809" s="4" t="str">
        <x:v>ADMIN-0808</x:v>
      </x:c>
      <x:c r="C809" s="4" t="str">
        <x:v>M12 直播业绩、增长与统计报表</x:v>
      </x:c>
      <x:c r="D809" s="4" t="str">
        <x:v>主播礼物打赏明细报表-43（平台管理员视角）</x:v>
      </x:c>
      <x:c r="E809" s="4" t="str">
        <x:v>功能需求</x:v>
      </x:c>
      <x:c r="F809" s="4" t="str">
        <x:v>P2</x:v>
      </x:c>
      <x:c r="G809" s="4" t="str">
        <x:v>验证虚拟金币记录回显</x:v>
      </x:c>
      <x:c r="H809" s="4" t="str">
        <x:v>虚拟金币记录回显</x:v>
      </x:c>
      <x:c r="I809" s="4" t="str">
        <x:v>1. 已登录平台管理员账号
2. 所选对象存在，已记录该对象的虚拟金币记录值</x:v>
      </x:c>
      <x:c r="J809" s="4" t="str">
        <x:v>1. 进入「主播礼物打赏明细报表-43」页
2. 查看虚拟金币记录回显</x:v>
      </x:c>
      <x:c r="K809" s="4" t="str">
        <x:v>「虚拟金币记录」内容与所选对象的该项资料一致</x:v>
      </x:c>
      <x:c r="L809" s="4" t="str"/>
      <x:c r="M809" s="4" t="str">
        <x:v>未测</x:v>
      </x:c>
      <x:c r="N809" s="4" t="str"/>
      <x:c r="O809" s="4" t="str">
        <x:v>1. 来源：MainBasis/统一需求文档.md；A-admin-monthly-host-earnings-006、D-SYS-167
2. 场景：SC-5cdc04d1c99ab9</x:v>
      </x:c>
    </x:row>
    <x:row r="810" ht="68" customHeight="1">
      <x:c r="A810" s="4" t="n">
        <x:v>809</x:v>
      </x:c>
      <x:c r="B810" s="4" t="str">
        <x:v>ADMIN-0809</x:v>
      </x:c>
      <x:c r="C810" s="4" t="str">
        <x:v>M12 直播业绩、增长与统计报表</x:v>
      </x:c>
      <x:c r="D810" s="4" t="str">
        <x:v>主播礼物打赏明细报表-43（平台管理员视角）</x:v>
      </x:c>
      <x:c r="E810" s="4" t="str">
        <x:v>逻辑校验</x:v>
      </x:c>
      <x:c r="F810" s="4" t="str">
        <x:v>P1</x:v>
      </x:c>
      <x:c r="G810" s="4" t="str">
        <x:v>验证幸运礼物按赠送比例快照</x:v>
      </x:c>
      <x:c r="H810" s="4" t="str">
        <x:v>幸运礼物按赠送比例快照</x:v>
      </x:c>
      <x:c r="I810" s="4" t="str">
        <x:v>1. 已登录平台管理员账号
2. 第一笔价值1000比例1%，第二笔价值1000比例2%，之后全局比例修改为3%</x:v>
      </x:c>
      <x:c r="J810" s="4" t="str">
        <x:v>1. 进入「主播礼物打赏明细报表-43」页
2. 查看幸运礼物按赠送比例快照</x:v>
      </x:c>
      <x:c r="K810" s="4" t="str">
        <x:v>收益 = 1000 × 1% + 1000 × 2% = 30金币</x:v>
      </x:c>
      <x:c r="L810" s="4" t="str"/>
      <x:c r="M810" s="4" t="str">
        <x:v>未测</x:v>
      </x:c>
      <x:c r="N810" s="4" t="str"/>
      <x:c r="O810" s="4" t="str">
        <x:v>1. 来源：MainBasis/统一需求文档.md；A-admin-monthly-host-earnings-005
2. 场景：SC-f92f0c958c8e35</x:v>
      </x:c>
    </x:row>
    <x:row r="811" ht="82" customHeight="1">
      <x:c r="A811" s="4" t="n">
        <x:v>810</x:v>
      </x:c>
      <x:c r="B811" s="4" t="str">
        <x:v>ADMIN-0810</x:v>
      </x:c>
      <x:c r="C811" s="4" t="str">
        <x:v>M12 直播业绩、增长与统计报表</x:v>
      </x:c>
      <x:c r="D811" s="4" t="str">
        <x:v>主播礼物打赏明细报表-43（平台管理员视角）</x:v>
      </x:c>
      <x:c r="E811" s="4" t="str">
        <x:v>逻辑校验</x:v>
      </x:c>
      <x:c r="F811" s="4" t="str">
        <x:v>P1</x:v>
      </x:c>
      <x:c r="G811" s="4" t="str">
        <x:v>验证普通定制收益单价乘份数</x:v>
      </x:c>
      <x:c r="H811" s="4" t="str">
        <x:v>普通定制收益单价乘份数</x:v>
      </x:c>
      <x:c r="I811" s="4" t="str">
        <x:v>1. 已登录平台管理员账号
2. 普通礼物单价10成功份数3</x:v>
      </x:c>
      <x:c r="J811" s="4" t="str">
        <x:v>1. 进入「主播礼物打赏明细报表-43」页
2. 查看普通定制收益单价乘份数</x:v>
      </x:c>
      <x:c r="K811" s="4" t="str">
        <x:v>收益 = 10 × 3 = 30金币</x:v>
      </x:c>
      <x:c r="L811" s="4" t="str"/>
      <x:c r="M811" s="4" t="str">
        <x:v>未测</x:v>
      </x:c>
      <x:c r="N811" s="4" t="str"/>
      <x:c r="O811" s="4" t="str">
        <x:v>1. 来源：MainBasis/统一需求文档.md；A-admin-monthly-host-earnings-004、A-admin-monthly-host-share-006、D-SYS-163、D-SYS-164、D-SYS-166
2. 场景：SC-0a4b725c0e65ec</x:v>
      </x:c>
    </x:row>
    <x:row r="812" ht="54" customHeight="1">
      <x:c r="A812" s="4" t="n">
        <x:v>811</x:v>
      </x:c>
      <x:c r="B812" s="4" t="str">
        <x:v>ADMIN-0811</x:v>
      </x:c>
      <x:c r="C812" s="4" t="str">
        <x:v>M12 直播业绩、增长与统计报表</x:v>
      </x:c>
      <x:c r="D812" s="4" t="str">
        <x:v>主播礼物打赏明细报表-43（平台管理员视角）</x:v>
      </x:c>
      <x:c r="E812" s="4" t="str">
        <x:v>功能需求</x:v>
      </x:c>
      <x:c r="F812" s="4" t="str">
        <x:v>P1</x:v>
      </x:c>
      <x:c r="G812" s="4" t="str">
        <x:v>验证报表排除运营虚拟赠礼</x:v>
      </x:c>
      <x:c r="H812" s="4" t="str">
        <x:v>报表排除运营虚拟赠礼</x:v>
      </x:c>
      <x:c r="I812" s="4" t="str">
        <x:v>1. 已登录平台管理员账号
2. 当前范围有一筆真实金币赠礼和一笔虚拟金币赠礼</x:v>
      </x:c>
      <x:c r="J812" s="4" t="str">
        <x:v>1. 进入「主播礼物打赏明细报表-43」页
2. 查看报表排除运营虚拟赠礼</x:v>
      </x:c>
      <x:c r="K812" s="4" t="str">
        <x:v>本报表只纳入成功真实金币赠礼</x:v>
      </x:c>
      <x:c r="L812" s="4" t="str"/>
      <x:c r="M812" s="4" t="str">
        <x:v>未测</x:v>
      </x:c>
      <x:c r="N812" s="4" t="str"/>
      <x:c r="O812" s="4" t="str">
        <x:v>1. 来源：MainBasis/统一需求文档.md；A-admin-monthly-host-earnings-006、D-SYS-167
2. 场景：SC-fa44f4f70e237d</x:v>
      </x:c>
    </x:row>
    <x:row r="813" ht="68" customHeight="1">
      <x:c r="A813" s="4" t="n">
        <x:v>812</x:v>
      </x:c>
      <x:c r="B813" s="4" t="str">
        <x:v>ADMIN-0812</x:v>
      </x:c>
      <x:c r="C813" s="4" t="str">
        <x:v>M12 直播业绩、增长与统计报表</x:v>
      </x:c>
      <x:c r="D813" s="4" t="str">
        <x:v>主播礼物打赏明细报表-43（平台管理员视角）</x:v>
      </x:c>
      <x:c r="E813" s="4" t="str">
        <x:v>功能需求</x:v>
      </x:c>
      <x:c r="F813" s="4" t="str">
        <x:v>P2</x:v>
      </x:c>
      <x:c r="G813" s="4" t="str">
        <x:v>验证导出仅包含当前查询结果</x:v>
      </x:c>
      <x:c r="H813" s="4" t="str">
        <x:v>导出仅包含当前查询结果</x:v>
      </x:c>
      <x:c r="I813" s="4" t="str">
        <x:v>1. 已登录平台管理员账号
2. 当前查询命中记录甲、乙，记录丙不满足当前筛选</x:v>
      </x:c>
      <x:c r="J813" s="4" t="str">
        <x:v>1. 进入「主播礼物打赏明细报表-43」页
2. 点击导出
3. 打开下载的结果文件</x:v>
      </x:c>
      <x:c r="K813" s="4" t="str">
        <x:v>导出记录为甲、乙，不包含丙</x:v>
      </x:c>
      <x:c r="L813" s="4" t="str"/>
      <x:c r="M813" s="4" t="str">
        <x:v>未测</x:v>
      </x:c>
      <x:c r="N813" s="4" t="str"/>
      <x:c r="O813" s="4" t="str">
        <x:v>1. 来源：MainBasis/统一需求文档.md；A-admin-monthly-host-earnings-007
2. 场景：SC-79fc8d6df88051</x:v>
      </x:c>
    </x:row>
    <x:row r="814" ht="110" customHeight="1">
      <x:c r="A814" s="4" t="n">
        <x:v>813</x:v>
      </x:c>
      <x:c r="B814" s="4" t="str">
        <x:v>ADMIN-0813</x:v>
      </x:c>
      <x:c r="C814" s="4" t="str">
        <x:v>M12 直播业绩、增长与统计报表</x:v>
      </x:c>
      <x:c r="D814" s="4" t="str">
        <x:v>主播礼物打赏明细报表-43（平台管理员视角）</x:v>
      </x:c>
      <x:c r="E814" s="4" t="str">
        <x:v>功能需求</x:v>
      </x:c>
      <x:c r="F814" s="4" t="str">
        <x:v>P1</x:v>
      </x:c>
      <x:c r="G814" s="4" t="str">
        <x:v>验证日期与主播与礼物与类型共同筛选</x:v>
      </x:c>
      <x:c r="H814" s="4" t="str">
        <x:v>日期与主播与礼物与类型共同筛选</x:v>
      </x:c>
      <x:c r="I814" s="4" t="str">
        <x:v>1. 已登录平台管理员账号
2. 记录甲满足日期与主播与礼物与类型全部条件，记录乙仅满足其中部分条件，记录丙全不满足</x:v>
      </x:c>
      <x:c r="J814" s="4" t="str">
        <x:v>1. 进入「主播礼物打赏明细报表-43」页
2. 选择日期为记录甲对应值
3. 选择主播为记录甲对应值
4. 选择礼物为记录甲对应值
5. 选择类型为记录甲对应值
6. 点击查询</x:v>
      </x:c>
      <x:c r="K814" s="4" t="str">
        <x:v>结果仅包含记录甲</x:v>
      </x:c>
      <x:c r="L814" s="4" t="str"/>
      <x:c r="M814" s="4" t="str">
        <x:v>未测</x:v>
      </x:c>
      <x:c r="N814" s="4" t="str"/>
      <x:c r="O814" s="4" t="str">
        <x:v>1. 来源：MainBasis/统一需求文档.md；A-admin-monthly-host-earnings-007
2. 场景：SC-651db45a4136d0</x:v>
      </x:c>
    </x:row>
    <x:row r="815" ht="54" customHeight="1">
      <x:c r="A815" s="4" t="n">
        <x:v>814</x:v>
      </x:c>
      <x:c r="B815" s="4" t="str">
        <x:v>ADMIN-0814</x:v>
      </x:c>
      <x:c r="C815" s="4" t="str">
        <x:v>M12 直播业绩、增长与统计报表</x:v>
      </x:c>
      <x:c r="D815" s="4" t="str">
        <x:v>用户消费汇总报表-44（平台管理员视角）</x:v>
      </x:c>
      <x:c r="E815" s="4" t="str">
        <x:v>功能需求</x:v>
      </x:c>
      <x:c r="F815" s="4" t="str">
        <x:v>P2</x:v>
      </x:c>
      <x:c r="G815" s="4" t="str">
        <x:v>验证幸运礼物回显</x:v>
      </x:c>
      <x:c r="H815" s="4" t="str">
        <x:v>幸运礼物回显</x:v>
      </x:c>
      <x:c r="I815" s="4" t="str">
        <x:v>1. 已登录平台管理员账号
2. 所选对象存在，已记录该对象的幸运礼物值</x:v>
      </x:c>
      <x:c r="J815" s="4" t="str">
        <x:v>1. 进入「用户消费汇总报表-44」页
2. 查看幸运礼物回显</x:v>
      </x:c>
      <x:c r="K815" s="4" t="str">
        <x:v>「幸运礼物」内容与所选对象的该项资料一致</x:v>
      </x:c>
      <x:c r="L815" s="4" t="str"/>
      <x:c r="M815" s="4" t="str">
        <x:v>未测</x:v>
      </x:c>
      <x:c r="N815" s="4" t="str"/>
      <x:c r="O815" s="4" t="str">
        <x:v>1. 来源：MainBasis/统一需求文档.md；A-admin-monthly-viewer-consumption-004
2. 场景：SC-78fe6c1b2bcdfd</x:v>
      </x:c>
    </x:row>
    <x:row r="816" ht="68" customHeight="1">
      <x:c r="A816" s="4" t="n">
        <x:v>815</x:v>
      </x:c>
      <x:c r="B816" s="4" t="str">
        <x:v>ADMIN-0815</x:v>
      </x:c>
      <x:c r="C816" s="4" t="str">
        <x:v>M12 直播业绩、增长与统计报表</x:v>
      </x:c>
      <x:c r="D816" s="4" t="str">
        <x:v>用户消费汇总报表-44（平台管理员视角）</x:v>
      </x:c>
      <x:c r="E816" s="4" t="str">
        <x:v>功能需求</x:v>
      </x:c>
      <x:c r="F816" s="4" t="str">
        <x:v>P2</x:v>
      </x:c>
      <x:c r="G816" s="4" t="str">
        <x:v>验证累计消费回显</x:v>
      </x:c>
      <x:c r="H816" s="4" t="str">
        <x:v>累计消费回显</x:v>
      </x:c>
      <x:c r="I816" s="4" t="str">
        <x:v>1. 已登录平台管理员账号
2. 所选对象存在，已记录该对象的累计消费值</x:v>
      </x:c>
      <x:c r="J816" s="4" t="str">
        <x:v>1. 进入「用户消费汇总报表-44」页
2. 查看累计消费回显</x:v>
      </x:c>
      <x:c r="K816" s="4" t="str">
        <x:v>「累计消费」内容与所选对象的该项资料一致</x:v>
      </x:c>
      <x:c r="L816" s="4" t="str"/>
      <x:c r="M816" s="4" t="str">
        <x:v>未测</x:v>
      </x:c>
      <x:c r="N816" s="4" t="str"/>
      <x:c r="O816" s="4" t="str">
        <x:v>1. 来源：MainBasis/统一需求文档.md；A-admin-monthly-viewer-consumption-005、A-admin-monthly-viewer-consumption-003
2. 场景：SC-067c2e60d552cf</x:v>
      </x:c>
    </x:row>
    <x:row r="817" ht="68" customHeight="1">
      <x:c r="A817" s="4" t="n">
        <x:v>816</x:v>
      </x:c>
      <x:c r="B817" s="4" t="str">
        <x:v>ADMIN-0816</x:v>
      </x:c>
      <x:c r="C817" s="4" t="str">
        <x:v>M12 直播业绩、增长与统计报表</x:v>
      </x:c>
      <x:c r="D817" s="4" t="str">
        <x:v>用户消费汇总报表-44（平台管理员视角）</x:v>
      </x:c>
      <x:c r="E817" s="4" t="str">
        <x:v>逻辑校验</x:v>
      </x:c>
      <x:c r="F817" s="4" t="str">
        <x:v>P1</x:v>
      </x:c>
      <x:c r="G817" s="4" t="str">
        <x:v>验证用户累计消费使用用户净消耗</x:v>
      </x:c>
      <x:c r="H817" s="4" t="str">
        <x:v>用户累计消费使用用户净消耗</x:v>
      </x:c>
      <x:c r="I817" s="4" t="str">
        <x:v>1. 已登录平台管理员账号
2. 普通100、定制200、门票50、幸运投入1000返奖900，另有虚拟礼物300</x:v>
      </x:c>
      <x:c r="J817" s="4" t="str">
        <x:v>1. 进入「用户消费汇总报表-44」页
2. 查看用户累计消费使用用户净消耗</x:v>
      </x:c>
      <x:c r="K817" s="4" t="str">
        <x:v>用户累计消费 = 100 + 200 + 50 + 1000 - 900 = 450金币</x:v>
      </x:c>
      <x:c r="L817" s="4" t="str"/>
      <x:c r="M817" s="4" t="str">
        <x:v>未测</x:v>
      </x:c>
      <x:c r="N817" s="4" t="str"/>
      <x:c r="O817" s="4" t="str">
        <x:v>1. 来源：MainBasis/统一需求文档.md；A-admin-monthly-viewer-consumption-005、A-admin-monthly-viewer-consumption-003
2. 场景：SC-180dbba5362539</x:v>
      </x:c>
    </x:row>
    <x:row r="818" ht="54" customHeight="1">
      <x:c r="A818" s="4" t="n">
        <x:v>817</x:v>
      </x:c>
      <x:c r="B818" s="4" t="str">
        <x:v>ADMIN-0817</x:v>
      </x:c>
      <x:c r="C818" s="4" t="str">
        <x:v>M12 直播业绩、增长与统计报表</x:v>
      </x:c>
      <x:c r="D818" s="4" t="str">
        <x:v>用户消费汇总报表-44（平台管理员视角）</x:v>
      </x:c>
      <x:c r="E818" s="4" t="str">
        <x:v>功能需求</x:v>
      </x:c>
      <x:c r="F818" s="4" t="str">
        <x:v>P1</x:v>
      </x:c>
      <x:c r="G818" s="4" t="str">
        <x:v>验证报表排除运营虚拟赠礼</x:v>
      </x:c>
      <x:c r="H818" s="4" t="str">
        <x:v>报表排除运营虚拟赠礼</x:v>
      </x:c>
      <x:c r="I818" s="4" t="str">
        <x:v>1. 已登录平台管理员账号
2. 当前范围有一筆真实金币赠礼和一笔虚拟金币赠礼</x:v>
      </x:c>
      <x:c r="J818" s="4" t="str">
        <x:v>1. 进入「用户消费汇总报表-44」页
2. 查看报表排除运营虚拟赠礼</x:v>
      </x:c>
      <x:c r="K818" s="4" t="str">
        <x:v>本报表只纳入成功真实金币赠礼</x:v>
      </x:c>
      <x:c r="L818" s="4" t="str"/>
      <x:c r="M818" s="4" t="str">
        <x:v>未测</x:v>
      </x:c>
      <x:c r="N818" s="4" t="str"/>
      <x:c r="O818" s="4" t="str">
        <x:v>1. 来源：MainBasis/统一需求文档.md；A-admin-monthly-viewer-consumption-006
2. 场景：SC-0b4b4940d9d9c5</x:v>
      </x:c>
    </x:row>
    <x:row r="819" ht="54" customHeight="1">
      <x:c r="A819" s="4" t="n">
        <x:v>818</x:v>
      </x:c>
      <x:c r="B819" s="4" t="str">
        <x:v>ADMIN-0818</x:v>
      </x:c>
      <x:c r="C819" s="4" t="str">
        <x:v>M12 直播业绩、增长与统计报表</x:v>
      </x:c>
      <x:c r="D819" s="4" t="str">
        <x:v>用户消费汇总报表-44（平台管理员视角）</x:v>
      </x:c>
      <x:c r="E819" s="4" t="str">
        <x:v>功能需求</x:v>
      </x:c>
      <x:c r="F819" s="4" t="str">
        <x:v>P2</x:v>
      </x:c>
      <x:c r="G819" s="4" t="str">
        <x:v>验证导出仅包含当前查询结果</x:v>
      </x:c>
      <x:c r="H819" s="4" t="str">
        <x:v>导出仅包含当前查询结果</x:v>
      </x:c>
      <x:c r="I819" s="4" t="str">
        <x:v>1. 已登录平台管理员账号
2. 当前查询命中记录甲、乙，记录丙不满足当前筛选</x:v>
      </x:c>
      <x:c r="J819" s="4" t="str">
        <x:v>1. 进入「用户消费汇总报表-44」页
2. 点击导出
3. 打开下载的结果文件</x:v>
      </x:c>
      <x:c r="K819" s="4" t="str">
        <x:v>导出记录为甲、乙，不包含丙</x:v>
      </x:c>
      <x:c r="L819" s="4" t="str"/>
      <x:c r="M819" s="4" t="str">
        <x:v>未测</x:v>
      </x:c>
      <x:c r="N819" s="4" t="str"/>
      <x:c r="O819" s="4" t="str">
        <x:v>1. 来源：MainBasis/统一需求文档.md；A-admin-monthly-viewer-consumption-007
2. 场景：SC-23dcba0bc2bc5d</x:v>
      </x:c>
    </x:row>
    <x:row r="820" ht="68" customHeight="1">
      <x:c r="A820" s="4" t="n">
        <x:v>819</x:v>
      </x:c>
      <x:c r="B820" s="4" t="str">
        <x:v>ADMIN-0819</x:v>
      </x:c>
      <x:c r="C820" s="4" t="str">
        <x:v>M12 直播业绩、增长与统计报表</x:v>
      </x:c>
      <x:c r="D820" s="4" t="str">
        <x:v>用户消费汇总报表-44（平台管理员视角）</x:v>
      </x:c>
      <x:c r="E820" s="4" t="str">
        <x:v>功能需求</x:v>
      </x:c>
      <x:c r="F820" s="4" t="str">
        <x:v>P1</x:v>
      </x:c>
      <x:c r="G820" s="4" t="str">
        <x:v>验证日期与用户共同筛选</x:v>
      </x:c>
      <x:c r="H820" s="4" t="str">
        <x:v>日期与用户共同筛选</x:v>
      </x:c>
      <x:c r="I820" s="4" t="str">
        <x:v>1. 已登录平台管理员账号
2. 记录甲满足日期与用户全部条件，记录乙仅满足其中部分条件，记录丙全不满足</x:v>
      </x:c>
      <x:c r="J820" s="4" t="str">
        <x:v>1. 进入「用户消费汇总报表-44」页
2. 选择日期为记录甲对应值
3. 选择用户为记录甲对应值
4. 点击查询</x:v>
      </x:c>
      <x:c r="K820" s="4" t="str">
        <x:v>结果仅包含记录甲</x:v>
      </x:c>
      <x:c r="L820" s="4" t="str"/>
      <x:c r="M820" s="4" t="str">
        <x:v>未测</x:v>
      </x:c>
      <x:c r="N820" s="4" t="str"/>
      <x:c r="O820" s="4" t="str">
        <x:v>1. 来源：MainBasis/统一需求文档.md；A-admin-monthly-viewer-consumption-007
2. 场景：SC-2bc9fe6381b817</x:v>
      </x:c>
    </x:row>
    <x:row r="821" ht="54" customHeight="1">
      <x:c r="A821" s="4" t="n">
        <x:v>820</x:v>
      </x:c>
      <x:c r="B821" s="4" t="str">
        <x:v>ADMIN-0820</x:v>
      </x:c>
      <x:c r="C821" s="4" t="str">
        <x:v>M12 直播业绩、增长与统计报表</x:v>
      </x:c>
      <x:c r="D821" s="4" t="str">
        <x:v>礼物消费汇总报表-45（平台管理员视角）</x:v>
      </x:c>
      <x:c r="E821" s="4" t="str">
        <x:v>功能需求</x:v>
      </x:c>
      <x:c r="F821" s="4" t="str">
        <x:v>P2</x:v>
      </x:c>
      <x:c r="G821" s="4" t="str">
        <x:v>验证单价回显</x:v>
      </x:c>
      <x:c r="H821" s="4" t="str">
        <x:v>单价回显</x:v>
      </x:c>
      <x:c r="I821" s="4" t="str">
        <x:v>1. 已登录平台管理员账号
2. 所选对象存在，已记录该对象的单价值</x:v>
      </x:c>
      <x:c r="J821" s="4" t="str">
        <x:v>1. 进入「礼物消费汇总报表-45」页
2. 查看单价回显</x:v>
      </x:c>
      <x:c r="K821" s="4" t="str">
        <x:v>「单价」内容与所选对象的该项资料一致</x:v>
      </x:c>
      <x:c r="L821" s="4" t="str"/>
      <x:c r="M821" s="4" t="str">
        <x:v>未测</x:v>
      </x:c>
      <x:c r="N821" s="4" t="str"/>
      <x:c r="O821" s="4" t="str">
        <x:v>1. 来源：MainBasis/统一需求文档.md；A-admin-monthly-gift-sales-003
2. 场景：SC-408a760d377f85</x:v>
      </x:c>
    </x:row>
    <x:row r="822" ht="54" customHeight="1">
      <x:c r="A822" s="4" t="n">
        <x:v>821</x:v>
      </x:c>
      <x:c r="B822" s="4" t="str">
        <x:v>ADMIN-0821</x:v>
      </x:c>
      <x:c r="C822" s="4" t="str">
        <x:v>M12 直播业绩、增长与统计报表</x:v>
      </x:c>
      <x:c r="D822" s="4" t="str">
        <x:v>礼物消费汇总报表-45（平台管理员视角）</x:v>
      </x:c>
      <x:c r="E822" s="4" t="str">
        <x:v>逻辑校验</x:v>
      </x:c>
      <x:c r="F822" s="4" t="str">
        <x:v>P1</x:v>
      </x:c>
      <x:c r="G822" s="4" t="str">
        <x:v>验证礼物销售额不减返奖</x:v>
      </x:c>
      <x:c r="H822" s="4" t="str">
        <x:v>礼物销售额不减返奖</x:v>
      </x:c>
      <x:c r="I822" s="4" t="str">
        <x:v>1. 已登录平台管理员账号
2. 成功真实金币幸运礼物单价10数量100，返奖900</x:v>
      </x:c>
      <x:c r="J822" s="4" t="str">
        <x:v>1. 进入「礼物消费汇总报表-45」页
2. 查看礼物销售额不减返奖</x:v>
      </x:c>
      <x:c r="K822" s="4" t="str">
        <x:v>销售额 = 10 × 100 = 1000金币</x:v>
      </x:c>
      <x:c r="L822" s="4" t="str"/>
      <x:c r="M822" s="4" t="str">
        <x:v>未测</x:v>
      </x:c>
      <x:c r="N822" s="4" t="str"/>
      <x:c r="O822" s="4" t="str">
        <x:v>1. 来源：MainBasis/统一需求文档.md；A-admin-monthly-gift-sales-005
2. 场景：SC-b7c1f62ca5e4a6</x:v>
      </x:c>
    </x:row>
    <x:row r="823" ht="54" customHeight="1">
      <x:c r="A823" s="4" t="n">
        <x:v>822</x:v>
      </x:c>
      <x:c r="B823" s="4" t="str">
        <x:v>ADMIN-0822</x:v>
      </x:c>
      <x:c r="C823" s="4" t="str">
        <x:v>M12 直播业绩、增长与统计报表</x:v>
      </x:c>
      <x:c r="D823" s="4" t="str">
        <x:v>礼物消费汇总报表-45（平台管理员视角）</x:v>
      </x:c>
      <x:c r="E823" s="4" t="str">
        <x:v>功能需求</x:v>
      </x:c>
      <x:c r="F823" s="4" t="str">
        <x:v>P1</x:v>
      </x:c>
      <x:c r="G823" s="4" t="str">
        <x:v>验证报表排除运营虚拟赠礼</x:v>
      </x:c>
      <x:c r="H823" s="4" t="str">
        <x:v>报表排除运营虚拟赠礼</x:v>
      </x:c>
      <x:c r="I823" s="4" t="str">
        <x:v>1. 已登录平台管理员账号
2. 当前范围有一筆真实金币赠礼和一笔虚拟金币赠礼</x:v>
      </x:c>
      <x:c r="J823" s="4" t="str">
        <x:v>1. 进入「礼物消费汇总报表-45」页
2. 查看报表排除运营虚拟赠礼</x:v>
      </x:c>
      <x:c r="K823" s="4" t="str">
        <x:v>本报表只纳入成功真实金币赠礼</x:v>
      </x:c>
      <x:c r="L823" s="4" t="str"/>
      <x:c r="M823" s="4" t="str">
        <x:v>未测</x:v>
      </x:c>
      <x:c r="N823" s="4" t="str"/>
      <x:c r="O823" s="4" t="str">
        <x:v>1. 来源：MainBasis/统一需求文档.md；A-admin-monthly-gift-sales-006
2. 场景：SC-dd425319e88ded</x:v>
      </x:c>
    </x:row>
    <x:row r="824" ht="54" customHeight="1">
      <x:c r="A824" s="4" t="n">
        <x:v>823</x:v>
      </x:c>
      <x:c r="B824" s="4" t="str">
        <x:v>ADMIN-0823</x:v>
      </x:c>
      <x:c r="C824" s="4" t="str">
        <x:v>M12 直播业绩、增长与统计报表</x:v>
      </x:c>
      <x:c r="D824" s="4" t="str">
        <x:v>礼物消费汇总报表-45（平台管理员视角）</x:v>
      </x:c>
      <x:c r="E824" s="4" t="str">
        <x:v>功能需求</x:v>
      </x:c>
      <x:c r="F824" s="4" t="str">
        <x:v>P2</x:v>
      </x:c>
      <x:c r="G824" s="4" t="str">
        <x:v>验证导出仅包含当前查询结果</x:v>
      </x:c>
      <x:c r="H824" s="4" t="str">
        <x:v>导出仅包含当前查询结果</x:v>
      </x:c>
      <x:c r="I824" s="4" t="str">
        <x:v>1. 已登录平台管理员账号
2. 当前查询命中记录甲、乙，记录丙不满足当前筛选</x:v>
      </x:c>
      <x:c r="J824" s="4" t="str">
        <x:v>1. 进入「礼物消费汇总报表-45」页
2. 点击导出
3. 打开下载的结果文件</x:v>
      </x:c>
      <x:c r="K824" s="4" t="str">
        <x:v>导出记录为甲、乙，不包含丙</x:v>
      </x:c>
      <x:c r="L824" s="4" t="str"/>
      <x:c r="M824" s="4" t="str">
        <x:v>未测</x:v>
      </x:c>
      <x:c r="N824" s="4" t="str"/>
      <x:c r="O824" s="4" t="str">
        <x:v>1. 来源：MainBasis/统一需求文档.md；A-admin-monthly-gift-sales-007
2. 场景：SC-38487686f73515</x:v>
      </x:c>
    </x:row>
    <x:row r="825" ht="82" customHeight="1">
      <x:c r="A825" s="4" t="n">
        <x:v>824</x:v>
      </x:c>
      <x:c r="B825" s="4" t="str">
        <x:v>ADMIN-0824</x:v>
      </x:c>
      <x:c r="C825" s="4" t="str">
        <x:v>M12 直播业绩、增长与统计报表</x:v>
      </x:c>
      <x:c r="D825" s="4" t="str">
        <x:v>礼物消费汇总报表-45（平台管理员视角）</x:v>
      </x:c>
      <x:c r="E825" s="4" t="str">
        <x:v>功能需求</x:v>
      </x:c>
      <x:c r="F825" s="4" t="str">
        <x:v>P1</x:v>
      </x:c>
      <x:c r="G825" s="4" t="str">
        <x:v>验证日期与礼物与类型共同筛选</x:v>
      </x:c>
      <x:c r="H825" s="4" t="str">
        <x:v>日期与礼物与类型共同筛选</x:v>
      </x:c>
      <x:c r="I825" s="4" t="str">
        <x:v>1. 已登录平台管理员账号
2. 记录甲满足日期与礼物与类型全部条件，记录乙仅满足其中部分条件，记录丙全不满足</x:v>
      </x:c>
      <x:c r="J825" s="4" t="str">
        <x:v>1. 进入「礼物消费汇总报表-45」页
2. 选择日期为记录甲对应值
3. 选择礼物为记录甲对应值
4. 选择类型为记录甲对应值
5. 点击查询</x:v>
      </x:c>
      <x:c r="K825" s="4" t="str">
        <x:v>结果仅包含记录甲</x:v>
      </x:c>
      <x:c r="L825" s="4" t="str"/>
      <x:c r="M825" s="4" t="str">
        <x:v>未测</x:v>
      </x:c>
      <x:c r="N825" s="4" t="str"/>
      <x:c r="O825" s="4" t="str">
        <x:v>1. 来源：MainBasis/统一需求文档.md；A-admin-monthly-gift-sales-007
2. 场景：SC-b326c0eaded2e4</x:v>
      </x:c>
    </x:row>
    <x:row r="826" ht="54" customHeight="1">
      <x:c r="A826" s="4" t="n">
        <x:v>825</x:v>
      </x:c>
      <x:c r="B826" s="4" t="str">
        <x:v>ADMIN-0825</x:v>
      </x:c>
      <x:c r="C826" s="4" t="str">
        <x:v>M12 直播业绩、增长与统计报表</x:v>
      </x:c>
      <x:c r="D826" s="4" t="str">
        <x:v>礼物消费汇总报表-45（平台管理员视角）</x:v>
      </x:c>
      <x:c r="E826" s="4" t="str">
        <x:v>功能需求</x:v>
      </x:c>
      <x:c r="F826" s="4" t="str">
        <x:v>P1</x:v>
      </x:c>
      <x:c r="G826" s="4" t="str">
        <x:v>验证礼物销量成功件数</x:v>
      </x:c>
      <x:c r="H826" s="4" t="str">
        <x:v>礼物销量成功件数</x:v>
      </x:c>
      <x:c r="I826" s="4" t="str">
        <x:v>1. 已登录平台管理员账号
2. 范围内成功赠礼2及3件，失败4件</x:v>
      </x:c>
      <x:c r="J826" s="4" t="str">
        <x:v>1. 进入「礼物消费汇总报表-45」页
2. 查看礼物销量成功件数</x:v>
      </x:c>
      <x:c r="K826" s="4" t="str">
        <x:v>销量5件</x:v>
      </x:c>
      <x:c r="L826" s="4" t="str"/>
      <x:c r="M826" s="4" t="str">
        <x:v>未测</x:v>
      </x:c>
      <x:c r="N826" s="4" t="str"/>
      <x:c r="O826" s="4" t="str">
        <x:v>1. 来源：MainBasis/统一需求文档.md；A-admin-monthly-gift-sales-004
2. 场景：SC-ecabe89b66e28d</x:v>
      </x:c>
    </x:row>
    <x:row r="827" ht="54" customHeight="1">
      <x:c r="A827" s="4" t="n">
        <x:v>826</x:v>
      </x:c>
      <x:c r="B827" s="4" t="str">
        <x:v>ADMIN-0826</x:v>
      </x:c>
      <x:c r="C827" s="4" t="str">
        <x:v>M12 直播业绩、增长与统计报表</x:v>
      </x:c>
      <x:c r="D827" s="4" t="str">
        <x:v>消费订单明细-46（平台管理员视角）</x:v>
      </x:c>
      <x:c r="E827" s="4" t="str">
        <x:v>逻辑校验</x:v>
      </x:c>
      <x:c r="F827" s="4" t="str">
        <x:v>P1</x:v>
      </x:c>
      <x:c r="G827" s="4" t="str">
        <x:v>验证单价与数量乘积</x:v>
      </x:c>
      <x:c r="H827" s="4" t="str">
        <x:v>单价与数量乘积</x:v>
      </x:c>
      <x:c r="I827" s="4" t="str">
        <x:v>1. 已登录平台管理员账号
2. 本笔记录单价10、数量3</x:v>
      </x:c>
      <x:c r="J827" s="4" t="str">
        <x:v>1. 进入「消费订单明细-46」页
2. 查看单价与数量乘积</x:v>
      </x:c>
      <x:c r="K827" s="4" t="str">
        <x:v>金额 = 10 × 3 = 30金币</x:v>
      </x:c>
      <x:c r="L827" s="4" t="str"/>
      <x:c r="M827" s="4" t="str">
        <x:v>未测</x:v>
      </x:c>
      <x:c r="N827" s="4" t="str"/>
      <x:c r="O827" s="4" t="str">
        <x:v>1. 来源：MainBasis/统一需求文档.md；A-admin-consumption-order-detail-report-004
2. 场景：SC-5e15eb6aa4417c</x:v>
      </x:c>
    </x:row>
    <x:row r="828" ht="54" customHeight="1">
      <x:c r="A828" s="4" t="n">
        <x:v>827</x:v>
      </x:c>
      <x:c r="B828" s="4" t="str">
        <x:v>ADMIN-0827</x:v>
      </x:c>
      <x:c r="C828" s="4" t="str">
        <x:v>M12 直播业绩、增长与统计报表</x:v>
      </x:c>
      <x:c r="D828" s="4" t="str">
        <x:v>消费订单明细-46（平台管理员视角）</x:v>
      </x:c>
      <x:c r="E828" s="4" t="str">
        <x:v>功能需求</x:v>
      </x:c>
      <x:c r="F828" s="4" t="str">
        <x:v>P1</x:v>
      </x:c>
      <x:c r="G828" s="4" t="str">
        <x:v>验证报表排除运营虚拟赠礼</x:v>
      </x:c>
      <x:c r="H828" s="4" t="str">
        <x:v>报表排除运营虚拟赠礼</x:v>
      </x:c>
      <x:c r="I828" s="4" t="str">
        <x:v>1. 已登录平台管理员账号
2. 当前范围有一筆真实金币赠礼和一笔虚拟金币赠礼</x:v>
      </x:c>
      <x:c r="J828" s="4" t="str">
        <x:v>1. 进入「消费订单明细-46」页
2. 查看报表排除运营虚拟赠礼</x:v>
      </x:c>
      <x:c r="K828" s="4" t="str">
        <x:v>本报表只纳入成功真实金币赠礼</x:v>
      </x:c>
      <x:c r="L828" s="4" t="str"/>
      <x:c r="M828" s="4" t="str">
        <x:v>未测</x:v>
      </x:c>
      <x:c r="N828" s="4" t="str"/>
      <x:c r="O828" s="4" t="str">
        <x:v>1. 来源：MainBasis/统一需求文档.md；A-admin-consumption-order-detail-report-007
2. 场景：SC-d3427d0d18d200</x:v>
      </x:c>
    </x:row>
    <x:row r="829" ht="54" customHeight="1">
      <x:c r="A829" s="4" t="n">
        <x:v>828</x:v>
      </x:c>
      <x:c r="B829" s="4" t="str">
        <x:v>ADMIN-0828</x:v>
      </x:c>
      <x:c r="C829" s="4" t="str">
        <x:v>M12 直播业绩、增长与统计报表</x:v>
      </x:c>
      <x:c r="D829" s="4" t="str">
        <x:v>消费订单明细-46（平台管理员视角）</x:v>
      </x:c>
      <x:c r="E829" s="4" t="str">
        <x:v>功能需求</x:v>
      </x:c>
      <x:c r="F829" s="4" t="str">
        <x:v>P2</x:v>
      </x:c>
      <x:c r="G829" s="4" t="str">
        <x:v>验证导出仅包含当前查询结果</x:v>
      </x:c>
      <x:c r="H829" s="4" t="str">
        <x:v>导出仅包含当前查询结果</x:v>
      </x:c>
      <x:c r="I829" s="4" t="str">
        <x:v>1. 已登录平台管理员账号
2. 当前查询命中记录甲、乙，记录丙不满足当前筛选</x:v>
      </x:c>
      <x:c r="J829" s="4" t="str">
        <x:v>1. 进入「消费订单明细-46」页
2. 点击导出
3. 打开下载的结果文件</x:v>
      </x:c>
      <x:c r="K829" s="4" t="str">
        <x:v>导出记录为甲、乙，不包含丙</x:v>
      </x:c>
      <x:c r="L829" s="4" t="str"/>
      <x:c r="M829" s="4" t="str">
        <x:v>未测</x:v>
      </x:c>
      <x:c r="N829" s="4" t="str"/>
      <x:c r="O829" s="4" t="str">
        <x:v>1. 来源：MainBasis/统一需求文档.md；A-admin-consumption-order-detail-report-008
2. 场景：SC-04e8b4b87b9e8a</x:v>
      </x:c>
    </x:row>
    <x:row r="830" ht="68" customHeight="1">
      <x:c r="A830" s="4" t="n">
        <x:v>829</x:v>
      </x:c>
      <x:c r="B830" s="4" t="str">
        <x:v>ADMIN-0829</x:v>
      </x:c>
      <x:c r="C830" s="4" t="str">
        <x:v>M12 直播业绩、增长与统计报表</x:v>
      </x:c>
      <x:c r="D830" s="4" t="str">
        <x:v>消费订单明细-46（平台管理员视角）</x:v>
      </x:c>
      <x:c r="E830" s="4" t="str">
        <x:v>功能需求</x:v>
      </x:c>
      <x:c r="F830" s="4" t="str">
        <x:v>P1</x:v>
      </x:c>
      <x:c r="G830" s="4" t="str">
        <x:v>验证时间与关键字共同筛选</x:v>
      </x:c>
      <x:c r="H830" s="4" t="str">
        <x:v>时间与关键字共同筛选</x:v>
      </x:c>
      <x:c r="I830" s="4" t="str">
        <x:v>1. 已登录平台管理员账号
2. 记录甲满足时间与关键字全部条件，记录乙仅满足其中部分条件，记录丙全不满足</x:v>
      </x:c>
      <x:c r="J830" s="4" t="str">
        <x:v>1. 进入「消费订单明细-46」页
2. 选择时间为记录甲对应值
3. 选择关键字为记录甲对应值
4. 点击查询</x:v>
      </x:c>
      <x:c r="K830" s="4" t="str">
        <x:v>结果仅包含记录甲</x:v>
      </x:c>
      <x:c r="L830" s="4" t="str"/>
      <x:c r="M830" s="4" t="str">
        <x:v>未测</x:v>
      </x:c>
      <x:c r="N830" s="4" t="str"/>
      <x:c r="O830" s="4" t="str">
        <x:v>1. 来源：MainBasis/统一需求文档.md；A-admin-consumption-order-detail-report-008
2. 场景：SC-f04dfba700415c</x:v>
      </x:c>
    </x:row>
    <x:row r="831" ht="54" customHeight="1">
      <x:c r="A831" s="4" t="n">
        <x:v>830</x:v>
      </x:c>
      <x:c r="B831" s="4" t="str">
        <x:v>ADMIN-0830</x:v>
      </x:c>
      <x:c r="C831" s="4" t="str">
        <x:v>M12 直播业绩、增长与统计报表</x:v>
      </x:c>
      <x:c r="D831" s="4" t="str">
        <x:v>消费订单明细-46（平台管理员视角）</x:v>
      </x:c>
      <x:c r="E831" s="4" t="str">
        <x:v>功能需求</x:v>
      </x:c>
      <x:c r="F831" s="4" t="str">
        <x:v>P1</x:v>
      </x:c>
      <x:c r="G831" s="4" t="str">
        <x:v>验证消费场次归属</x:v>
      </x:c>
      <x:c r="H831" s="4" t="str">
        <x:v>消费场次归属</x:v>
      </x:c>
      <x:c r="I831" s="4" t="str">
        <x:v>1. 已登录平台管理员账号
2. 主播甲有两场直播，当前消费发生在第二场</x:v>
      </x:c>
      <x:c r="J831" s="4" t="str">
        <x:v>1. 进入「消费订单明细-46」页
2. 查看消费场次归属</x:v>
      </x:c>
      <x:c r="K831" s="4" t="str">
        <x:v>场次ID显示第二场ID</x:v>
      </x:c>
      <x:c r="L831" s="4" t="str"/>
      <x:c r="M831" s="4" t="str">
        <x:v>未测</x:v>
      </x:c>
      <x:c r="N831" s="4" t="str"/>
      <x:c r="O831" s="4" t="str">
        <x:v>1. 来源：MainBasis/统一需求文档.md；A-admin-consumption-order-detail-report-006
2. 场景：SC-2d192c44222117</x:v>
      </x:c>
    </x:row>
    <x:row r="832" ht="54" customHeight="1">
      <x:c r="A832" s="4" t="n">
        <x:v>831</x:v>
      </x:c>
      <x:c r="B832" s="4" t="str">
        <x:v>ADMIN-0831</x:v>
      </x:c>
      <x:c r="C832" s="4" t="str">
        <x:v>M12 直播业绩、增长与统计报表</x:v>
      </x:c>
      <x:c r="D832" s="4" t="str">
        <x:v>退款订单明细-47（平台管理员视角）</x:v>
      </x:c>
      <x:c r="E832" s="4" t="str">
        <x:v>功能需求</x:v>
      </x:c>
      <x:c r="F832" s="4" t="str">
        <x:v>P2</x:v>
      </x:c>
      <x:c r="G832" s="4" t="str">
        <x:v>验证退款时间回显</x:v>
      </x:c>
      <x:c r="H832" s="4" t="str">
        <x:v>退款时间回显</x:v>
      </x:c>
      <x:c r="I832" s="4" t="str">
        <x:v>1. 已登录平台管理员账号
2. 所选对象存在，已记录该对象的退款时间值</x:v>
      </x:c>
      <x:c r="J832" s="4" t="str">
        <x:v>1. 进入「退款订单明细-47」页
2. 查看退款时间回显</x:v>
      </x:c>
      <x:c r="K832" s="4" t="str">
        <x:v>「退款时间」内容与所选对象的该项资料一致</x:v>
      </x:c>
      <x:c r="L832" s="4" t="str"/>
      <x:c r="M832" s="4" t="str">
        <x:v>未测</x:v>
      </x:c>
      <x:c r="N832" s="4" t="str"/>
      <x:c r="O832" s="4" t="str">
        <x:v>1. 来源：MainBasis/统一需求文档.md；A-admin-refund-order-detail-report-002
2. 场景：SC-57ffde8030212b</x:v>
      </x:c>
    </x:row>
    <x:row r="833" ht="54" customHeight="1">
      <x:c r="A833" s="4" t="n">
        <x:v>832</x:v>
      </x:c>
      <x:c r="B833" s="4" t="str">
        <x:v>ADMIN-0832</x:v>
      </x:c>
      <x:c r="C833" s="4" t="str">
        <x:v>M12 直播业绩、增长与统计报表</x:v>
      </x:c>
      <x:c r="D833" s="4" t="str">
        <x:v>退款订单明细-47（平台管理员视角）</x:v>
      </x:c>
      <x:c r="E833" s="4" t="str">
        <x:v>功能需求</x:v>
      </x:c>
      <x:c r="F833" s="4" t="str">
        <x:v>P2</x:v>
      </x:c>
      <x:c r="G833" s="4" t="str">
        <x:v>验证退款用户、商品回显</x:v>
      </x:c>
      <x:c r="H833" s="4" t="str">
        <x:v>退款用户、商品回显</x:v>
      </x:c>
      <x:c r="I833" s="4" t="str">
        <x:v>1. 已登录平台管理员账号
2. 所选对象存在，已记录该对象的退款用户 / 商品值</x:v>
      </x:c>
      <x:c r="J833" s="4" t="str">
        <x:v>1. 进入「退款订单明细-47」页
2. 查看退款用户、商品回显</x:v>
      </x:c>
      <x:c r="K833" s="4" t="str">
        <x:v>「退款用户 / 商品」内容与所选对象的该项资料一致</x:v>
      </x:c>
      <x:c r="L833" s="4" t="str"/>
      <x:c r="M833" s="4" t="str">
        <x:v>未测</x:v>
      </x:c>
      <x:c r="N833" s="4" t="str"/>
      <x:c r="O833" s="4" t="str">
        <x:v>1. 来源：MainBasis/统一需求文档.md；A-admin-refund-order-detail-report-003
2. 场景：SC-9f8afedf27d36a</x:v>
      </x:c>
    </x:row>
    <x:row r="834" ht="54" customHeight="1">
      <x:c r="A834" s="4" t="n">
        <x:v>833</x:v>
      </x:c>
      <x:c r="B834" s="4" t="str">
        <x:v>ADMIN-0833</x:v>
      </x:c>
      <x:c r="C834" s="4" t="str">
        <x:v>M12 直播业绩、增长与统计报表</x:v>
      </x:c>
      <x:c r="D834" s="4" t="str">
        <x:v>退款订单明细-47（平台管理员视角）</x:v>
      </x:c>
      <x:c r="E834" s="4" t="str">
        <x:v>功能需求</x:v>
      </x:c>
      <x:c r="F834" s="4" t="str">
        <x:v>P2</x:v>
      </x:c>
      <x:c r="G834" s="4" t="str">
        <x:v>验证退款金额回显</x:v>
      </x:c>
      <x:c r="H834" s="4" t="str">
        <x:v>退款金额回显</x:v>
      </x:c>
      <x:c r="I834" s="4" t="str">
        <x:v>1. 已登录平台管理员账号
2. 所选对象存在，已记录该对象的退款金额值</x:v>
      </x:c>
      <x:c r="J834" s="4" t="str">
        <x:v>1. 进入「退款订单明细-47」页
2. 查看退款金额回显</x:v>
      </x:c>
      <x:c r="K834" s="4" t="str">
        <x:v>「退款金额」内容与所选对象的该项资料一致</x:v>
      </x:c>
      <x:c r="L834" s="4" t="str"/>
      <x:c r="M834" s="4" t="str">
        <x:v>未测</x:v>
      </x:c>
      <x:c r="N834" s="4" t="str"/>
      <x:c r="O834" s="4" t="str">
        <x:v>1. 来源：MainBasis/统一需求文档.md；A-admin-refund-order-detail-report-004
2. 场景：SC-2f2cc5bd439f1e</x:v>
      </x:c>
    </x:row>
    <x:row r="835" ht="54" customHeight="1">
      <x:c r="A835" s="4" t="n">
        <x:v>834</x:v>
      </x:c>
      <x:c r="B835" s="4" t="str">
        <x:v>ADMIN-0834</x:v>
      </x:c>
      <x:c r="C835" s="4" t="str">
        <x:v>M12 直播业绩、增长与统计报表</x:v>
      </x:c>
      <x:c r="D835" s="4" t="str">
        <x:v>退款订单明细-47（平台管理员视角）</x:v>
      </x:c>
      <x:c r="E835" s="4" t="str">
        <x:v>功能需求</x:v>
      </x:c>
      <x:c r="F835" s="4" t="str">
        <x:v>P1</x:v>
      </x:c>
      <x:c r="G835" s="4" t="str">
        <x:v>验证退款明细仅充值退款</x:v>
      </x:c>
      <x:c r="H835" s="4" t="str">
        <x:v>退款明细仅充值退款</x:v>
      </x:c>
      <x:c r="I835" s="4" t="str">
        <x:v>1. 已登录平台管理员账号
2. 存在完成的充值退款，以及原成功礼物与门票消费</x:v>
      </x:c>
      <x:c r="J835" s="4" t="str">
        <x:v>1. 进入「退款订单明细-47」页
2. 查看退款明细仅充值退款</x:v>
      </x:c>
      <x:c r="K835" s="4" t="str">
        <x:v>退款报表仅包含充值退款记录</x:v>
      </x:c>
      <x:c r="L835" s="4" t="str"/>
      <x:c r="M835" s="4" t="str">
        <x:v>未测</x:v>
      </x:c>
      <x:c r="N835" s="4" t="str"/>
      <x:c r="O835" s="4" t="str">
        <x:v>1. 来源：MainBasis/统一需求文档.md；A-admin-refund-order-detail-report-005
2. 场景：SC-4fa84539e9509d</x:v>
      </x:c>
    </x:row>
    <x:row r="836" ht="54" customHeight="1">
      <x:c r="A836" s="4" t="n">
        <x:v>835</x:v>
      </x:c>
      <x:c r="B836" s="4" t="str">
        <x:v>ADMIN-0835</x:v>
      </x:c>
      <x:c r="C836" s="4" t="str">
        <x:v>M12 直播业绩、增长与统计报表</x:v>
      </x:c>
      <x:c r="D836" s="4" t="str">
        <x:v>退款订单明细-47（平台管理员视角）</x:v>
      </x:c>
      <x:c r="E836" s="4" t="str">
        <x:v>功能需求</x:v>
      </x:c>
      <x:c r="F836" s="4" t="str">
        <x:v>P2</x:v>
      </x:c>
      <x:c r="G836" s="4" t="str">
        <x:v>验证导出仅包含当前查询结果</x:v>
      </x:c>
      <x:c r="H836" s="4" t="str">
        <x:v>导出仅包含当前查询结果</x:v>
      </x:c>
      <x:c r="I836" s="4" t="str">
        <x:v>1. 已登录平台管理员账号
2. 当前查询命中记录甲、乙，记录丙不满足当前筛选</x:v>
      </x:c>
      <x:c r="J836" s="4" t="str">
        <x:v>1. 进入「退款订单明细-47」页
2. 点击导出
3. 打开下载的结果文件</x:v>
      </x:c>
      <x:c r="K836" s="4" t="str">
        <x:v>导出记录为甲、乙，不包含丙</x:v>
      </x:c>
      <x:c r="L836" s="4" t="str"/>
      <x:c r="M836" s="4" t="str">
        <x:v>未测</x:v>
      </x:c>
      <x:c r="N836" s="4" t="str"/>
      <x:c r="O836" s="4" t="str">
        <x:v>1. 来源：MainBasis/统一需求文档.md；A-admin-refund-order-detail-report-006
2. 场景：SC-0bfe73ee6b311b</x:v>
      </x:c>
    </x:row>
    <x:row r="837" ht="68" customHeight="1">
      <x:c r="A837" s="4" t="n">
        <x:v>836</x:v>
      </x:c>
      <x:c r="B837" s="4" t="str">
        <x:v>ADMIN-0836</x:v>
      </x:c>
      <x:c r="C837" s="4" t="str">
        <x:v>M12 直播业绩、增长与统计报表</x:v>
      </x:c>
      <x:c r="D837" s="4" t="str">
        <x:v>退款订单明细-47（平台管理员视角）</x:v>
      </x:c>
      <x:c r="E837" s="4" t="str">
        <x:v>功能需求</x:v>
      </x:c>
      <x:c r="F837" s="4" t="str">
        <x:v>P1</x:v>
      </x:c>
      <x:c r="G837" s="4" t="str">
        <x:v>验证时间与用户共同筛选</x:v>
      </x:c>
      <x:c r="H837" s="4" t="str">
        <x:v>时间与用户共同筛选</x:v>
      </x:c>
      <x:c r="I837" s="4" t="str">
        <x:v>1. 已登录平台管理员账号
2. 记录甲满足时间与用户全部条件，记录乙仅满足其中部分条件，记录丙全不满足</x:v>
      </x:c>
      <x:c r="J837" s="4" t="str">
        <x:v>1. 进入「退款订单明细-47」页
2. 选择时间为记录甲对应值
3. 选择用户为记录甲对应值
4. 点击查询</x:v>
      </x:c>
      <x:c r="K837" s="4" t="str">
        <x:v>结果仅包含记录甲</x:v>
      </x:c>
      <x:c r="L837" s="4" t="str"/>
      <x:c r="M837" s="4" t="str">
        <x:v>未测</x:v>
      </x:c>
      <x:c r="N837" s="4" t="str"/>
      <x:c r="O837" s="4" t="str">
        <x:v>1. 来源：MainBasis/统一需求文档.md；A-admin-refund-order-detail-report-006
2. 场景：SC-5f463696887f0e</x:v>
      </x:c>
    </x:row>
    <x:row r="838" ht="54" customHeight="1">
      <x:c r="A838" s="4" t="n">
        <x:v>837</x:v>
      </x:c>
      <x:c r="B838" s="4" t="str">
        <x:v>ADMIN-0837</x:v>
      </x:c>
      <x:c r="C838" s="4" t="str">
        <x:v>M12 直播业绩、增长与统计报表</x:v>
      </x:c>
      <x:c r="D838" s="4" t="str">
        <x:v>充值订单明细-48（平台管理员视角）</x:v>
      </x:c>
      <x:c r="E838" s="4" t="str">
        <x:v>功能需求</x:v>
      </x:c>
      <x:c r="F838" s="4" t="str">
        <x:v>P2</x:v>
      </x:c>
      <x:c r="G838" s="4" t="str">
        <x:v>验证充值时间回显</x:v>
      </x:c>
      <x:c r="H838" s="4" t="str">
        <x:v>充值时间回显</x:v>
      </x:c>
      <x:c r="I838" s="4" t="str">
        <x:v>1. 已登录平台管理员账号
2. 所选对象存在，已记录该对象的充值时间值</x:v>
      </x:c>
      <x:c r="J838" s="4" t="str">
        <x:v>1. 进入「充值订单明细-48」页
2. 查看充值时间回显</x:v>
      </x:c>
      <x:c r="K838" s="4" t="str">
        <x:v>「充值时间」内容与所选对象的该项资料一致</x:v>
      </x:c>
      <x:c r="L838" s="4" t="str"/>
      <x:c r="M838" s="4" t="str">
        <x:v>未测</x:v>
      </x:c>
      <x:c r="N838" s="4" t="str"/>
      <x:c r="O838" s="4" t="str">
        <x:v>1. 来源：MainBasis/统一需求文档.md；A-admin-recharge-order-detail-report-002
2. 场景：SC-114d6dbf9e3c8c</x:v>
      </x:c>
    </x:row>
    <x:row r="839" ht="54" customHeight="1">
      <x:c r="A839" s="4" t="n">
        <x:v>838</x:v>
      </x:c>
      <x:c r="B839" s="4" t="str">
        <x:v>ADMIN-0838</x:v>
      </x:c>
      <x:c r="C839" s="4" t="str">
        <x:v>M12 直播业绩、增长与统计报表</x:v>
      </x:c>
      <x:c r="D839" s="4" t="str">
        <x:v>充值订单明细-48（平台管理员视角）</x:v>
      </x:c>
      <x:c r="E839" s="4" t="str">
        <x:v>功能需求</x:v>
      </x:c>
      <x:c r="F839" s="4" t="str">
        <x:v>P2</x:v>
      </x:c>
      <x:c r="G839" s="4" t="str">
        <x:v>验证充值用户、套餐回显</x:v>
      </x:c>
      <x:c r="H839" s="4" t="str">
        <x:v>充值用户、套餐回显</x:v>
      </x:c>
      <x:c r="I839" s="4" t="str">
        <x:v>1. 已登录平台管理员账号
2. 所选对象存在，已记录该对象的充值用户 / 套餐值</x:v>
      </x:c>
      <x:c r="J839" s="4" t="str">
        <x:v>1. 进入「充值订单明细-48」页
2. 查看充值用户、套餐回显</x:v>
      </x:c>
      <x:c r="K839" s="4" t="str">
        <x:v>「充值用户 / 套餐」内容与所选对象的该项资料一致</x:v>
      </x:c>
      <x:c r="L839" s="4" t="str"/>
      <x:c r="M839" s="4" t="str">
        <x:v>未测</x:v>
      </x:c>
      <x:c r="N839" s="4" t="str"/>
      <x:c r="O839" s="4" t="str">
        <x:v>1. 来源：MainBasis/统一需求文档.md；A-admin-recharge-order-detail-report-003
2. 场景：SC-d3c93f6454fbba</x:v>
      </x:c>
    </x:row>
    <x:row r="840" ht="54" customHeight="1">
      <x:c r="A840" s="4" t="n">
        <x:v>839</x:v>
      </x:c>
      <x:c r="B840" s="4" t="str">
        <x:v>ADMIN-0839</x:v>
      </x:c>
      <x:c r="C840" s="4" t="str">
        <x:v>M12 直播业绩、增长与统计报表</x:v>
      </x:c>
      <x:c r="D840" s="4" t="str">
        <x:v>充值订单明细-48（平台管理员视角）</x:v>
      </x:c>
      <x:c r="E840" s="4" t="str">
        <x:v>功能需求</x:v>
      </x:c>
      <x:c r="F840" s="4" t="str">
        <x:v>P2</x:v>
      </x:c>
      <x:c r="G840" s="4" t="str">
        <x:v>验证支付渠道回显</x:v>
      </x:c>
      <x:c r="H840" s="4" t="str">
        <x:v>支付渠道回显</x:v>
      </x:c>
      <x:c r="I840" s="4" t="str">
        <x:v>1. 已登录平台管理员账号
2. 所选对象存在，已记录该对象的支付渠道值</x:v>
      </x:c>
      <x:c r="J840" s="4" t="str">
        <x:v>1. 进入「充值订单明细-48」页
2. 查看支付渠道回显</x:v>
      </x:c>
      <x:c r="K840" s="4" t="str">
        <x:v>「支付渠道」内容与所选对象的该项资料一致</x:v>
      </x:c>
      <x:c r="L840" s="4" t="str"/>
      <x:c r="M840" s="4" t="str">
        <x:v>未测</x:v>
      </x:c>
      <x:c r="N840" s="4" t="str"/>
      <x:c r="O840" s="4" t="str">
        <x:v>1. 来源：MainBasis/统一需求文档.md；A-admin-recharge-order-detail-report-004
2. 场景：SC-94a6d23faec6a6</x:v>
      </x:c>
    </x:row>
    <x:row r="841" ht="54" customHeight="1">
      <x:c r="A841" s="4" t="n">
        <x:v>840</x:v>
      </x:c>
      <x:c r="B841" s="4" t="str">
        <x:v>ADMIN-0840</x:v>
      </x:c>
      <x:c r="C841" s="4" t="str">
        <x:v>M12 直播业绩、增长与统计报表</x:v>
      </x:c>
      <x:c r="D841" s="4" t="str">
        <x:v>充值订单明细-48（平台管理员视角）</x:v>
      </x:c>
      <x:c r="E841" s="4" t="str">
        <x:v>功能需求</x:v>
      </x:c>
      <x:c r="F841" s="4" t="str">
        <x:v>P2</x:v>
      </x:c>
      <x:c r="G841" s="4" t="str">
        <x:v>验证充值金额回显</x:v>
      </x:c>
      <x:c r="H841" s="4" t="str">
        <x:v>充值金额回显</x:v>
      </x:c>
      <x:c r="I841" s="4" t="str">
        <x:v>1. 已登录平台管理员账号
2. 所选对象存在，已记录该对象的充值金额值</x:v>
      </x:c>
      <x:c r="J841" s="4" t="str">
        <x:v>1. 进入「充值订单明细-48」页
2. 查看充值金额回显</x:v>
      </x:c>
      <x:c r="K841" s="4" t="str">
        <x:v>「充值金额」内容与所选对象的该项资料一致</x:v>
      </x:c>
      <x:c r="L841" s="4" t="str"/>
      <x:c r="M841" s="4" t="str">
        <x:v>未测</x:v>
      </x:c>
      <x:c r="N841" s="4" t="str"/>
      <x:c r="O841" s="4" t="str">
        <x:v>1. 来源：MainBasis/统一需求文档.md；A-admin-recharge-order-detail-report-005
2. 场景：SC-ab0bea4da9b64e</x:v>
      </x:c>
    </x:row>
    <x:row r="842" ht="54" customHeight="1">
      <x:c r="A842" s="4" t="n">
        <x:v>841</x:v>
      </x:c>
      <x:c r="B842" s="4" t="str">
        <x:v>ADMIN-0841</x:v>
      </x:c>
      <x:c r="C842" s="4" t="str">
        <x:v>M12 直播业绩、增长与统计报表</x:v>
      </x:c>
      <x:c r="D842" s="4" t="str">
        <x:v>充值订单明细-48（平台管理员视角）</x:v>
      </x:c>
      <x:c r="E842" s="4" t="str">
        <x:v>功能需求</x:v>
      </x:c>
      <x:c r="F842" s="4" t="str">
        <x:v>P1</x:v>
      </x:c>
      <x:c r="G842" s="4" t="str">
        <x:v>验证充值明细排除失败</x:v>
      </x:c>
      <x:c r="H842" s="4" t="str">
        <x:v>充值明细排除失败</x:v>
      </x:c>
      <x:c r="I842" s="4" t="str">
        <x:v>1. 已登录平台管理员账号
2. 范围内一笔支付成功、一笔失败</x:v>
      </x:c>
      <x:c r="J842" s="4" t="str">
        <x:v>1. 进入「充值订单明细-48」页
2. 查看充值明细排除失败</x:v>
      </x:c>
      <x:c r="K842" s="4" t="str">
        <x:v>充值报表仅包含成功订单</x:v>
      </x:c>
      <x:c r="L842" s="4" t="str"/>
      <x:c r="M842" s="4" t="str">
        <x:v>未测</x:v>
      </x:c>
      <x:c r="N842" s="4" t="str"/>
      <x:c r="O842" s="4" t="str">
        <x:v>1. 来源：MainBasis/统一需求文档.md；A-admin-recharge-order-detail-report-006
2. 场景：SC-62579e261fe129</x:v>
      </x:c>
    </x:row>
    <x:row r="843" ht="54" customHeight="1">
      <x:c r="A843" s="4" t="n">
        <x:v>842</x:v>
      </x:c>
      <x:c r="B843" s="4" t="str">
        <x:v>ADMIN-0842</x:v>
      </x:c>
      <x:c r="C843" s="4" t="str">
        <x:v>M12 直播业绩、增长与统计报表</x:v>
      </x:c>
      <x:c r="D843" s="4" t="str">
        <x:v>充值订单明细-48（平台管理员视角）</x:v>
      </x:c>
      <x:c r="E843" s="4" t="str">
        <x:v>功能需求</x:v>
      </x:c>
      <x:c r="F843" s="4" t="str">
        <x:v>P2</x:v>
      </x:c>
      <x:c r="G843" s="4" t="str">
        <x:v>验证导出仅包含当前查询结果</x:v>
      </x:c>
      <x:c r="H843" s="4" t="str">
        <x:v>导出仅包含当前查询结果</x:v>
      </x:c>
      <x:c r="I843" s="4" t="str">
        <x:v>1. 已登录平台管理员账号
2. 当前查询命中记录甲、乙，记录丙不满足当前筛选</x:v>
      </x:c>
      <x:c r="J843" s="4" t="str">
        <x:v>1. 进入「充值订单明细-48」页
2. 点击导出
3. 打开下载的结果文件</x:v>
      </x:c>
      <x:c r="K843" s="4" t="str">
        <x:v>导出记录为甲、乙，不包含丙</x:v>
      </x:c>
      <x:c r="L843" s="4" t="str"/>
      <x:c r="M843" s="4" t="str">
        <x:v>未测</x:v>
      </x:c>
      <x:c r="N843" s="4" t="str"/>
      <x:c r="O843" s="4" t="str">
        <x:v>1. 来源：MainBasis/统一需求文档.md；A-admin-recharge-order-detail-report-007
2. 场景：SC-8674b3a03f67f2</x:v>
      </x:c>
    </x:row>
    <x:row r="844" ht="68" customHeight="1">
      <x:c r="A844" s="4" t="n">
        <x:v>843</x:v>
      </x:c>
      <x:c r="B844" s="4" t="str">
        <x:v>ADMIN-0843</x:v>
      </x:c>
      <x:c r="C844" s="4" t="str">
        <x:v>M12 直播业绩、增长与统计报表</x:v>
      </x:c>
      <x:c r="D844" s="4" t="str">
        <x:v>充值订单明细-48（平台管理员视角）</x:v>
      </x:c>
      <x:c r="E844" s="4" t="str">
        <x:v>功能需求</x:v>
      </x:c>
      <x:c r="F844" s="4" t="str">
        <x:v>P1</x:v>
      </x:c>
      <x:c r="G844" s="4" t="str">
        <x:v>验证时间与用户共同筛选</x:v>
      </x:c>
      <x:c r="H844" s="4" t="str">
        <x:v>时间与用户共同筛选</x:v>
      </x:c>
      <x:c r="I844" s="4" t="str">
        <x:v>1. 已登录平台管理员账号
2. 记录甲满足时间与用户全部条件，记录乙仅满足其中部分条件，记录丙全不满足</x:v>
      </x:c>
      <x:c r="J844" s="4" t="str">
        <x:v>1. 进入「充值订单明细-48」页
2. 选择时间为记录甲对应值
3. 选择用户为记录甲对应值
4. 点击查询</x:v>
      </x:c>
      <x:c r="K844" s="4" t="str">
        <x:v>结果仅包含记录甲</x:v>
      </x:c>
      <x:c r="L844" s="4" t="str"/>
      <x:c r="M844" s="4" t="str">
        <x:v>未测</x:v>
      </x:c>
      <x:c r="N844" s="4" t="str"/>
      <x:c r="O844" s="4" t="str">
        <x:v>1. 来源：MainBasis/统一需求文档.md；A-admin-recharge-order-detail-report-007
2. 场景：SC-98337b7668e7cc</x:v>
      </x:c>
    </x:row>
    <x:row r="845" ht="68" customHeight="1">
      <x:c r="A845" s="4" t="n">
        <x:v>844</x:v>
      </x:c>
      <x:c r="B845" s="4" t="str">
        <x:v>ADMIN-0844</x:v>
      </x:c>
      <x:c r="C845" s="4" t="str">
        <x:v>M13 后台系统、通用配置与其他已登记页面</x:v>
      </x:c>
      <x:c r="D845" s="4" t="str">
        <x:v>后台账号-53（超级管理员视角）</x:v>
      </x:c>
      <x:c r="E845" s="4" t="str">
        <x:v>功能需求</x:v>
      </x:c>
      <x:c r="F845" s="4" t="str">
        <x:v>P2</x:v>
      </x:c>
      <x:c r="G845" s="4" t="str">
        <x:v>验证登录、更新时间回显</x:v>
      </x:c>
      <x:c r="H845" s="4" t="str">
        <x:v>登录、更新时间回显</x:v>
      </x:c>
      <x:c r="I845" s="4" t="str">
        <x:v>1. 已登录超级管理员账号
2. 所选对象存在，已记录该对象的登录 / 更新时间值</x:v>
      </x:c>
      <x:c r="J845" s="4" t="str">
        <x:v>1. 进入「后台账号-53」页
2. 查看登录、更新时间回显</x:v>
      </x:c>
      <x:c r="K845" s="4" t="str">
        <x:v>「登录 / 更新时间」内容与所选对象的该项资料一致</x:v>
      </x:c>
      <x:c r="L845" s="4" t="str"/>
      <x:c r="M845" s="4" t="str">
        <x:v>未测</x:v>
      </x:c>
      <x:c r="N845" s="4" t="str"/>
      <x:c r="O845" s="4" t="str">
        <x:v>1. 来源：MainBasis/统一需求文档.md；A-admin-system-account-006
2. 场景：SC-e1b64063db6949</x:v>
      </x:c>
    </x:row>
    <x:row r="846" ht="68" customHeight="1">
      <x:c r="A846" s="4" t="n">
        <x:v>845</x:v>
      </x:c>
      <x:c r="B846" s="4" t="str">
        <x:v>ADMIN-0845</x:v>
      </x:c>
      <x:c r="C846" s="4" t="str">
        <x:v>M13 后台系统、通用配置与其他已登记页面</x:v>
      </x:c>
      <x:c r="D846" s="4" t="str">
        <x:v>后台账号-53（超级管理员视角）</x:v>
      </x:c>
      <x:c r="E846" s="4" t="str">
        <x:v>功能需求</x:v>
      </x:c>
      <x:c r="F846" s="4" t="str">
        <x:v>P1</x:v>
      </x:c>
      <x:c r="G846" s="4" t="str">
        <x:v>验证内置超级管理员不能停用</x:v>
      </x:c>
      <x:c r="H846" s="4" t="str">
        <x:v>内置超级管理员不能停用</x:v>
      </x:c>
      <x:c r="I846" s="4" t="str">
        <x:v>1. 已登录超级管理员账号
2. 目标是内置超级管理员账号</x:v>
      </x:c>
      <x:c r="J846" s="4" t="str">
        <x:v>1. 进入「后台账号-53」页
2. 查看内置超级管理员不能停用</x:v>
      </x:c>
      <x:c r="K846" s="4" t="str">
        <x:v>账号状态不允许停用</x:v>
      </x:c>
      <x:c r="L846" s="4" t="str"/>
      <x:c r="M846" s="4" t="str">
        <x:v>未测</x:v>
      </x:c>
      <x:c r="N846" s="4" t="str"/>
      <x:c r="O846" s="4" t="str">
        <x:v>1. 来源：MainBasis/统一需求文档.md；A-admin-system-account-007
2. 场景：SC-7a9a5d7757706f</x:v>
      </x:c>
    </x:row>
    <x:row r="847" ht="68" customHeight="1">
      <x:c r="A847" s="4" t="n">
        <x:v>846</x:v>
      </x:c>
      <x:c r="B847" s="4" t="str">
        <x:v>ADMIN-0846</x:v>
      </x:c>
      <x:c r="C847" s="4" t="str">
        <x:v>M13 后台系统、通用配置与其他已登记页面</x:v>
      </x:c>
      <x:c r="D847" s="4" t="str">
        <x:v>后台账号-53（超级管理员视角）</x:v>
      </x:c>
      <x:c r="E847" s="4" t="str">
        <x:v>功能需求</x:v>
      </x:c>
      <x:c r="F847" s="4" t="str">
        <x:v>P1</x:v>
      </x:c>
      <x:c r="G847" s="4" t="str">
        <x:v>验证停用后台账号</x:v>
      </x:c>
      <x:c r="H847" s="4" t="str">
        <x:v>停用后台账号</x:v>
      </x:c>
      <x:c r="I847" s="4" t="str">
        <x:v>1. 已登录超级管理员账号
2. 目标为启用非内置账号</x:v>
      </x:c>
      <x:c r="J847" s="4" t="str">
        <x:v>1. 进入「后台账号-53」页
2. 停用账号
3. 填写原因并确认</x:v>
      </x:c>
      <x:c r="K847" s="4" t="str">
        <x:v>目标账号立即禁止登录并保留操作记录</x:v>
      </x:c>
      <x:c r="L847" s="4" t="str"/>
      <x:c r="M847" s="4" t="str">
        <x:v>未测</x:v>
      </x:c>
      <x:c r="N847" s="4" t="str"/>
      <x:c r="O847" s="4" t="str">
        <x:v>1. 来源：MainBasis/统一需求文档.md；A-admin-system-account-008
2. 场景：SC-e1ec2cb441ce7f</x:v>
      </x:c>
    </x:row>
    <x:row r="848" ht="68" customHeight="1">
      <x:c r="A848" s="4" t="n">
        <x:v>847</x:v>
      </x:c>
      <x:c r="B848" s="4" t="str">
        <x:v>ADMIN-0847</x:v>
      </x:c>
      <x:c r="C848" s="4" t="str">
        <x:v>M13 后台系统、通用配置与其他已登记页面</x:v>
      </x:c>
      <x:c r="D848" s="4" t="str">
        <x:v>后台账号-53（超级管理员视角）</x:v>
      </x:c>
      <x:c r="E848" s="4" t="str">
        <x:v>功能需求</x:v>
      </x:c>
      <x:c r="F848" s="4" t="str">
        <x:v>P2</x:v>
      </x:c>
      <x:c r="G848" s="4" t="str">
        <x:v>验证账号 ID标识不可编辑</x:v>
      </x:c>
      <x:c r="H848" s="4" t="str">
        <x:v>账号 ID标识不可编辑</x:v>
      </x:c>
      <x:c r="I848" s="4" t="str">
        <x:v>1. 已登录超级管理员账号
2. 目标记录已创建</x:v>
      </x:c>
      <x:c r="J848" s="4" t="str">
        <x:v>1. 进入「后台账号-53」页
2. 查看账号 ID标识不可编辑</x:v>
      </x:c>
      <x:c r="K848" s="4" t="str">
        <x:v>已生成的账号 ID可查看但不可编辑</x:v>
      </x:c>
      <x:c r="L848" s="4" t="str"/>
      <x:c r="M848" s="4" t="str">
        <x:v>未测</x:v>
      </x:c>
      <x:c r="N848" s="4" t="str"/>
      <x:c r="O848" s="4" t="str">
        <x:v>1. 来源：MainBasis/统一需求文档.md；A-admin-system-account-002
2. 场景：SC-93b9132bb7533b</x:v>
      </x:c>
    </x:row>
    <x:row r="849" ht="68" customHeight="1">
      <x:c r="A849" s="4" t="n">
        <x:v>848</x:v>
      </x:c>
      <x:c r="B849" s="4" t="str">
        <x:v>ADMIN-0848</x:v>
      </x:c>
      <x:c r="C849" s="4" t="str">
        <x:v>M13 后台系统、通用配置与其他已登记页面</x:v>
      </x:c>
      <x:c r="D849" s="4" t="str">
        <x:v>后台账号-53（超级管理员视角）</x:v>
      </x:c>
      <x:c r="E849" s="4" t="str">
        <x:v>功能需求</x:v>
      </x:c>
      <x:c r="F849" s="4" t="str">
        <x:v>P2</x:v>
      </x:c>
      <x:c r="G849" s="4" t="str">
        <x:v>验证状态启用回显</x:v>
      </x:c>
      <x:c r="H849" s="4" t="str">
        <x:v>状态启用回显</x:v>
      </x:c>
      <x:c r="I849" s="4" t="str">
        <x:v>1. 已登录超级管理员账号
2. 所选记录状态为启用</x:v>
      </x:c>
      <x:c r="J849" s="4" t="str">
        <x:v>1. 进入「后台账号-53」页
2. 查看状态启用回显</x:v>
      </x:c>
      <x:c r="K849" s="4" t="str">
        <x:v>状态显示启用</x:v>
      </x:c>
      <x:c r="L849" s="4" t="str"/>
      <x:c r="M849" s="4" t="str">
        <x:v>未测</x:v>
      </x:c>
      <x:c r="N849" s="4" t="str"/>
      <x:c r="O849" s="4" t="str">
        <x:v>1. 来源：MainBasis/统一需求文档.md；A-admin-system-account-005
2. 场景：SC-750d1236024232</x:v>
      </x:c>
    </x:row>
    <x:row r="850" ht="68" customHeight="1">
      <x:c r="A850" s="4" t="n">
        <x:v>849</x:v>
      </x:c>
      <x:c r="B850" s="4" t="str">
        <x:v>ADMIN-0849</x:v>
      </x:c>
      <x:c r="C850" s="4" t="str">
        <x:v>M13 后台系统、通用配置与其他已登记页面</x:v>
      </x:c>
      <x:c r="D850" s="4" t="str">
        <x:v>后台账号-53（超级管理员视角）</x:v>
      </x:c>
      <x:c r="E850" s="4" t="str">
        <x:v>功能需求</x:v>
      </x:c>
      <x:c r="F850" s="4" t="str">
        <x:v>P2</x:v>
      </x:c>
      <x:c r="G850" s="4" t="str">
        <x:v>验证状态停用回显</x:v>
      </x:c>
      <x:c r="H850" s="4" t="str">
        <x:v>状态停用回显</x:v>
      </x:c>
      <x:c r="I850" s="4" t="str">
        <x:v>1. 已登录超级管理员账号
2. 所选记录状态为停用</x:v>
      </x:c>
      <x:c r="J850" s="4" t="str">
        <x:v>1. 进入「后台账号-53」页
2. 查看状态停用回显</x:v>
      </x:c>
      <x:c r="K850" s="4" t="str">
        <x:v>状态显示停用</x:v>
      </x:c>
      <x:c r="L850" s="4" t="str"/>
      <x:c r="M850" s="4" t="str">
        <x:v>未测</x:v>
      </x:c>
      <x:c r="N850" s="4" t="str"/>
      <x:c r="O850" s="4" t="str">
        <x:v>1. 来源：MainBasis/统一需求文档.md；A-admin-system-account-005
2. 场景：SC-b3fa673244c6eb</x:v>
      </x:c>
    </x:row>
    <x:row r="851" ht="68" customHeight="1">
      <x:c r="A851" s="4" t="n">
        <x:v>850</x:v>
      </x:c>
      <x:c r="B851" s="4" t="str">
        <x:v>ADMIN-0850</x:v>
      </x:c>
      <x:c r="C851" s="4" t="str">
        <x:v>M13 后台系统、通用配置与其他已登记页面</x:v>
      </x:c>
      <x:c r="D851" s="4" t="str">
        <x:v>账号编辑（超级管理员视角）</x:v>
      </x:c>
      <x:c r="E851" s="4" t="str">
        <x:v>功能需求</x:v>
      </x:c>
      <x:c r="F851" s="4" t="str">
        <x:v>P2</x:v>
      </x:c>
      <x:c r="G851" s="4" t="str">
        <x:v>验证新密码、确认回显</x:v>
      </x:c>
      <x:c r="H851" s="4" t="str">
        <x:v>新密码、确认回显</x:v>
      </x:c>
      <x:c r="I851" s="4" t="str">
        <x:v>1. 已登录超级管理员账号
2. 所选对象存在，已记录该对象的新密码 / 确认值</x:v>
      </x:c>
      <x:c r="J851" s="4" t="str">
        <x:v>1. 进入「账号编辑」页
2. 查看新密码、确认回显</x:v>
      </x:c>
      <x:c r="K851" s="4" t="str">
        <x:v>「新密码 / 确认」内容与所选对象的该项资料一致</x:v>
      </x:c>
      <x:c r="L851" s="4" t="str"/>
      <x:c r="M851" s="4" t="str">
        <x:v>未测</x:v>
      </x:c>
      <x:c r="N851" s="4" t="str"/>
      <x:c r="O851" s="4" t="str">
        <x:v>1. 来源：MainBasis/统一需求文档.md；A-admin-system-account-detail-006、A-admin-system-account-detail-009
2. 场景：SC-63fbdb08035956</x:v>
      </x:c>
    </x:row>
    <x:row r="852" ht="82" customHeight="1">
      <x:c r="A852" s="4" t="n">
        <x:v>851</x:v>
      </x:c>
      <x:c r="B852" s="4" t="str">
        <x:v>ADMIN-0851</x:v>
      </x:c>
      <x:c r="C852" s="4" t="str">
        <x:v>M13 后台系统、通用配置与其他已登记页面</x:v>
      </x:c>
      <x:c r="D852" s="4" t="str">
        <x:v>账号编辑（超级管理员视角）</x:v>
      </x:c>
      <x:c r="E852" s="4" t="str">
        <x:v>异常用例</x:v>
      </x:c>
      <x:c r="F852" s="4" t="str">
        <x:v>P1</x:v>
      </x:c>
      <x:c r="G852" s="4" t="str">
        <x:v>验证后台账号缺失限制</x:v>
      </x:c>
      <x:c r="H852" s="4" t="str">
        <x:v>后台账号缺失限制</x:v>
      </x:c>
      <x:c r="I852" s="4" t="str">
        <x:v>1. 已登录超级管理员账号
2. 其他必填字段为合法值</x:v>
      </x:c>
      <x:c r="J852" s="4" t="str">
        <x:v>1. 进入「账号编辑」页
2. 清空「后台账号」
3. 点击「保存」</x:v>
      </x:c>
      <x:c r="K852" s="4" t="str">
        <x:v>后台账号未填写，无法保存</x:v>
      </x:c>
      <x:c r="L852" s="4" t="str"/>
      <x:c r="M852" s="4" t="str">
        <x:v>未测</x:v>
      </x:c>
      <x:c r="N852" s="4" t="str"/>
      <x:c r="O852" s="4" t="str">
        <x:v>1. 来源：MainBasis/统一需求文档.md；A-admin-system-account-detail-003、A-admin-system-account-003、A-admin-system-account-004
2. 场景：SC-8edc8985fcbda1</x:v>
      </x:c>
    </x:row>
    <x:row r="853" ht="82" customHeight="1">
      <x:c r="A853" s="4" t="n">
        <x:v>852</x:v>
      </x:c>
      <x:c r="B853" s="4" t="str">
        <x:v>ADMIN-0852</x:v>
      </x:c>
      <x:c r="C853" s="4" t="str">
        <x:v>M13 后台系统、通用配置与其他已登记页面</x:v>
      </x:c>
      <x:c r="D853" s="4" t="str">
        <x:v>账号编辑（超级管理员视角）</x:v>
      </x:c>
      <x:c r="E853" s="4" t="str">
        <x:v>异常用例</x:v>
      </x:c>
      <x:c r="F853" s="4" t="str">
        <x:v>P1</x:v>
      </x:c>
      <x:c r="G853" s="4" t="str">
        <x:v>验证姓名缺失限制</x:v>
      </x:c>
      <x:c r="H853" s="4" t="str">
        <x:v>姓名缺失限制</x:v>
      </x:c>
      <x:c r="I853" s="4" t="str">
        <x:v>1. 已登录超级管理员账号
2. 其他必填字段为合法值</x:v>
      </x:c>
      <x:c r="J853" s="4" t="str">
        <x:v>1. 进入「账号编辑」页
2. 清空「姓名」
3. 点击「保存」</x:v>
      </x:c>
      <x:c r="K853" s="4" t="str">
        <x:v>姓名未填写，无法保存</x:v>
      </x:c>
      <x:c r="L853" s="4" t="str"/>
      <x:c r="M853" s="4" t="str">
        <x:v>未测</x:v>
      </x:c>
      <x:c r="N853" s="4" t="str"/>
      <x:c r="O853" s="4" t="str">
        <x:v>1. 来源：MainBasis/统一需求文档.md；A-admin-system-account-detail-003、A-admin-system-account-003、A-admin-system-account-004
2. 场景：SC-c9128fd10db6cc</x:v>
      </x:c>
    </x:row>
    <x:row r="854" ht="82" customHeight="1">
      <x:c r="A854" s="4" t="n">
        <x:v>853</x:v>
      </x:c>
      <x:c r="B854" s="4" t="str">
        <x:v>ADMIN-0853</x:v>
      </x:c>
      <x:c r="C854" s="4" t="str">
        <x:v>M13 后台系统、通用配置与其他已登记页面</x:v>
      </x:c>
      <x:c r="D854" s="4" t="str">
        <x:v>账号编辑（超级管理员视角）</x:v>
      </x:c>
      <x:c r="E854" s="4" t="str">
        <x:v>功能需求</x:v>
      </x:c>
      <x:c r="F854" s="4" t="str">
        <x:v>P1</x:v>
      </x:c>
      <x:c r="G854" s="4" t="str">
        <x:v>验证后台登录名重复</x:v>
      </x:c>
      <x:c r="H854" s="4" t="str">
        <x:v>后台登录名重复</x:v>
      </x:c>
      <x:c r="I854" s="4" t="str">
        <x:v>1. 已登录超级管理员账号
2. 另一记录已使用“tester”</x:v>
      </x:c>
      <x:c r="J854" s="4" t="str">
        <x:v>1. 进入「账号编辑」页
2. 填写后台账号tester
3. 保存</x:v>
      </x:c>
      <x:c r="K854" s="4" t="str">
        <x:v>唯一性校验失败，不能保存</x:v>
      </x:c>
      <x:c r="L854" s="4" t="str"/>
      <x:c r="M854" s="4" t="str">
        <x:v>未测</x:v>
      </x:c>
      <x:c r="N854" s="4" t="str"/>
      <x:c r="O854" s="4" t="str">
        <x:v>1. 来源：MainBasis/统一需求文档.md；A-admin-system-account-detail-003、A-admin-system-account-003、A-admin-system-account-004
2. 场景：SC-410189c0bdf823</x:v>
      </x:c>
    </x:row>
    <x:row r="855" ht="68" customHeight="1">
      <x:c r="A855" s="4" t="n">
        <x:v>854</x:v>
      </x:c>
      <x:c r="B855" s="4" t="str">
        <x:v>ADMIN-0854</x:v>
      </x:c>
      <x:c r="C855" s="4" t="str">
        <x:v>M13 后台系统、通用配置与其他已登记页面</x:v>
      </x:c>
      <x:c r="D855" s="4" t="str">
        <x:v>账号编辑（超级管理员视角）</x:v>
      </x:c>
      <x:c r="E855" s="4" t="str">
        <x:v>功能需求</x:v>
      </x:c>
      <x:c r="F855" s="4" t="str">
        <x:v>P1</x:v>
      </x:c>
      <x:c r="G855" s="4" t="str">
        <x:v>验证后台账号ID编辑只读</x:v>
      </x:c>
      <x:c r="H855" s="4" t="str">
        <x:v>后台账号ID编辑只读</x:v>
      </x:c>
      <x:c r="I855" s="4" t="str">
        <x:v>1. 已登录超级管理员账号
2. 当前编辑已存在记录</x:v>
      </x:c>
      <x:c r="J855" s="4" t="str">
        <x:v>1. 进入「账号编辑」页
2. 查看后台账号ID编辑只读</x:v>
      </x:c>
      <x:c r="K855" s="4" t="str">
        <x:v>ID不可编辑</x:v>
      </x:c>
      <x:c r="L855" s="4" t="str"/>
      <x:c r="M855" s="4" t="str">
        <x:v>未测</x:v>
      </x:c>
      <x:c r="N855" s="4" t="str"/>
      <x:c r="O855" s="4" t="str">
        <x:v>1. 来源：MainBasis/统一需求文档.md；A-admin-system-account-detail-002
2. 场景：SC-3d27ffbc8a6e83</x:v>
      </x:c>
    </x:row>
    <x:row r="856" ht="68" customHeight="1">
      <x:c r="A856" s="4" t="n">
        <x:v>855</x:v>
      </x:c>
      <x:c r="B856" s="4" t="str">
        <x:v>ADMIN-0855</x:v>
      </x:c>
      <x:c r="C856" s="4" t="str">
        <x:v>M13 后台系统、通用配置与其他已登记页面</x:v>
      </x:c>
      <x:c r="D856" s="4" t="str">
        <x:v>账号编辑（超级管理员视角）</x:v>
      </x:c>
      <x:c r="E856" s="4" t="str">
        <x:v>功能需求</x:v>
      </x:c>
      <x:c r="F856" s="4" t="str">
        <x:v>P1</x:v>
      </x:c>
      <x:c r="G856" s="4" t="str">
        <x:v>验证内置超级管理员关键字段只读</x:v>
      </x:c>
      <x:c r="H856" s="4" t="str">
        <x:v>内置超级管理员关键字段只读</x:v>
      </x:c>
      <x:c r="I856" s="4" t="str">
        <x:v>1. 已登录超级管理员账号
2. 目标是内置超级管理员账号</x:v>
      </x:c>
      <x:c r="J856" s="4" t="str">
        <x:v>1. 进入「账号编辑」页
2. 查看内置超级管理员关键字段只读</x:v>
      </x:c>
      <x:c r="K856" s="4" t="str">
        <x:v>账号、角色和状态不可修改</x:v>
      </x:c>
      <x:c r="L856" s="4" t="str"/>
      <x:c r="M856" s="4" t="str">
        <x:v>未测</x:v>
      </x:c>
      <x:c r="N856" s="4" t="str"/>
      <x:c r="O856" s="4" t="str">
        <x:v>1. 来源：MainBasis/统一需求文档.md；A-admin-system-account-detail-008
2. 场景：SC-cea2c36c8da192</x:v>
      </x:c>
    </x:row>
    <x:row r="857" ht="68" customHeight="1">
      <x:c r="A857" s="4" t="n">
        <x:v>856</x:v>
      </x:c>
      <x:c r="B857" s="4" t="str">
        <x:v>ADMIN-0856</x:v>
      </x:c>
      <x:c r="C857" s="4" t="str">
        <x:v>M13 后台系统、通用配置与其他已登记页面</x:v>
      </x:c>
      <x:c r="D857" s="4" t="str">
        <x:v>账号编辑（超级管理员视角）</x:v>
      </x:c>
      <x:c r="E857" s="4" t="str">
        <x:v>异常用例</x:v>
      </x:c>
      <x:c r="F857" s="4" t="str">
        <x:v>P1</x:v>
      </x:c>
      <x:c r="G857" s="4" t="str">
        <x:v>验证初始密码缺失限制</x:v>
      </x:c>
      <x:c r="H857" s="4" t="str">
        <x:v>初始密码缺失限制</x:v>
      </x:c>
      <x:c r="I857" s="4" t="str">
        <x:v>1. 已登录超级管理员账号
2. 其他必填字段为合法值</x:v>
      </x:c>
      <x:c r="J857" s="4" t="str">
        <x:v>1. 进入「账号编辑」页
2. 清空「初始密码」
3. 点击「保存」</x:v>
      </x:c>
      <x:c r="K857" s="4" t="str">
        <x:v>初始密码未填写，无法保存</x:v>
      </x:c>
      <x:c r="L857" s="4" t="str"/>
      <x:c r="M857" s="4" t="str">
        <x:v>未测</x:v>
      </x:c>
      <x:c r="N857" s="4" t="str"/>
      <x:c r="O857" s="4" t="str">
        <x:v>1. 来源：MainBasis/统一需求文档.md；A-admin-system-account-detail-005
2. 场景：SC-75aafd270cac6c</x:v>
      </x:c>
    </x:row>
    <x:row r="858" ht="68" customHeight="1">
      <x:c r="A858" s="4" t="n">
        <x:v>857</x:v>
      </x:c>
      <x:c r="B858" s="4" t="str">
        <x:v>ADMIN-0857</x:v>
      </x:c>
      <x:c r="C858" s="4" t="str">
        <x:v>M13 后台系统、通用配置与其他已登记页面</x:v>
      </x:c>
      <x:c r="D858" s="4" t="str">
        <x:v>账号编辑（超级管理员视角）</x:v>
      </x:c>
      <x:c r="E858" s="4" t="str">
        <x:v>功能需求</x:v>
      </x:c>
      <x:c r="F858" s="4" t="str">
        <x:v>P1</x:v>
      </x:c>
      <x:c r="G858" s="4" t="str">
        <x:v>验证后台两次密码不同</x:v>
      </x:c>
      <x:c r="H858" s="4" t="str">
        <x:v>后台两次密码不同</x:v>
      </x:c>
      <x:c r="I858" s="4" t="str">
        <x:v>1. 已登录超级管理员账号
2. 新密码符合已有密码策略</x:v>
      </x:c>
      <x:c r="J858" s="4" t="str">
        <x:v>1. 进入「账号编辑」页
2. 确认密码填不同值
3. 保存</x:v>
      </x:c>
      <x:c r="K858" s="4" t="str">
        <x:v>不能替换旧密码</x:v>
      </x:c>
      <x:c r="L858" s="4" t="str"/>
      <x:c r="M858" s="4" t="str">
        <x:v>未测</x:v>
      </x:c>
      <x:c r="N858" s="4" t="str"/>
      <x:c r="O858" s="4" t="str">
        <x:v>1. 来源：MainBasis/统一需求文档.md；A-admin-system-account-detail-006、A-admin-system-account-detail-009
2. 场景：SC-cb06bd5ebe7db0</x:v>
      </x:c>
    </x:row>
    <x:row r="859" ht="68" customHeight="1">
      <x:c r="A859" s="4" t="n">
        <x:v>858</x:v>
      </x:c>
      <x:c r="B859" s="4" t="str">
        <x:v>ADMIN-0858</x:v>
      </x:c>
      <x:c r="C859" s="4" t="str">
        <x:v>M13 后台系统、通用配置与其他已登记页面</x:v>
      </x:c>
      <x:c r="D859" s="4" t="str">
        <x:v>账号编辑（超级管理员视角）</x:v>
      </x:c>
      <x:c r="E859" s="4" t="str">
        <x:v>功能需求</x:v>
      </x:c>
      <x:c r="F859" s="4" t="str">
        <x:v>P2</x:v>
      </x:c>
      <x:c r="G859" s="4" t="str">
        <x:v>验证状态启用回显</x:v>
      </x:c>
      <x:c r="H859" s="4" t="str">
        <x:v>状态启用回显</x:v>
      </x:c>
      <x:c r="I859" s="4" t="str">
        <x:v>1. 已登录超级管理员账号
2. 所选记录状态为启用</x:v>
      </x:c>
      <x:c r="J859" s="4" t="str">
        <x:v>1. 进入「账号编辑」页
2. 查看状态启用回显</x:v>
      </x:c>
      <x:c r="K859" s="4" t="str">
        <x:v>状态显示启用</x:v>
      </x:c>
      <x:c r="L859" s="4" t="str"/>
      <x:c r="M859" s="4" t="str">
        <x:v>未测</x:v>
      </x:c>
      <x:c r="N859" s="4" t="str"/>
      <x:c r="O859" s="4" t="str">
        <x:v>1. 来源：MainBasis/统一需求文档.md；A-admin-system-account-detail-007
2. 场景：SC-dc7b95a1aec964</x:v>
      </x:c>
    </x:row>
    <x:row r="860" ht="68" customHeight="1">
      <x:c r="A860" s="4" t="n">
        <x:v>859</x:v>
      </x:c>
      <x:c r="B860" s="4" t="str">
        <x:v>ADMIN-0859</x:v>
      </x:c>
      <x:c r="C860" s="4" t="str">
        <x:v>M13 后台系统、通用配置与其他已登记页面</x:v>
      </x:c>
      <x:c r="D860" s="4" t="str">
        <x:v>账号编辑（超级管理员视角）</x:v>
      </x:c>
      <x:c r="E860" s="4" t="str">
        <x:v>功能需求</x:v>
      </x:c>
      <x:c r="F860" s="4" t="str">
        <x:v>P2</x:v>
      </x:c>
      <x:c r="G860" s="4" t="str">
        <x:v>验证状态停用回显</x:v>
      </x:c>
      <x:c r="H860" s="4" t="str">
        <x:v>状态停用回显</x:v>
      </x:c>
      <x:c r="I860" s="4" t="str">
        <x:v>1. 已登录超级管理员账号
2. 所选记录状态为停用</x:v>
      </x:c>
      <x:c r="J860" s="4" t="str">
        <x:v>1. 进入「账号编辑」页
2. 查看状态停用回显</x:v>
      </x:c>
      <x:c r="K860" s="4" t="str">
        <x:v>状态显示停用</x:v>
      </x:c>
      <x:c r="L860" s="4" t="str"/>
      <x:c r="M860" s="4" t="str">
        <x:v>未测</x:v>
      </x:c>
      <x:c r="N860" s="4" t="str"/>
      <x:c r="O860" s="4" t="str">
        <x:v>1. 来源：MainBasis/统一需求文档.md；A-admin-system-account-detail-007
2. 场景：SC-c11fcba9e05820</x:v>
      </x:c>
    </x:row>
    <x:row r="861" ht="68" customHeight="1">
      <x:c r="A861" s="4" t="n">
        <x:v>860</x:v>
      </x:c>
      <x:c r="B861" s="4" t="str">
        <x:v>ADMIN-0860</x:v>
      </x:c>
      <x:c r="C861" s="4" t="str">
        <x:v>M13 后台系统、通用配置与其他已登记页面</x:v>
      </x:c>
      <x:c r="D861" s="4" t="str">
        <x:v>账号编辑（超级管理员视角）</x:v>
      </x:c>
      <x:c r="E861" s="4" t="str">
        <x:v>功能需求</x:v>
      </x:c>
      <x:c r="F861" s="4" t="str">
        <x:v>P1</x:v>
      </x:c>
      <x:c r="G861" s="4" t="str">
        <x:v>验证账号不能选停用角色</x:v>
      </x:c>
      <x:c r="H861" s="4" t="str">
        <x:v>账号不能选停用角色</x:v>
      </x:c>
      <x:c r="I861" s="4" t="str">
        <x:v>1. 已登录超级管理员账号
2. 后台有启用角色甲和停用角色乙</x:v>
      </x:c>
      <x:c r="J861" s="4" t="str">
        <x:v>1. 进入「账号编辑」页
2. 编辑账号所属角色</x:v>
      </x:c>
      <x:c r="K861" s="4" t="str">
        <x:v>仅可选启用角色甲</x:v>
      </x:c>
      <x:c r="L861" s="4" t="str"/>
      <x:c r="M861" s="4" t="str">
        <x:v>未测</x:v>
      </x:c>
      <x:c r="N861" s="4" t="str"/>
      <x:c r="O861" s="4" t="str">
        <x:v>1. 来源：MainBasis/统一需求文档.md；A-admin-system-account-detail-004
2. 场景：SC-a44df054884e3a</x:v>
      </x:c>
    </x:row>
    <x:row r="862" ht="68" customHeight="1">
      <x:c r="A862" s="4" t="n">
        <x:v>861</x:v>
      </x:c>
      <x:c r="B862" s="4" t="str">
        <x:v>ADMIN-0861</x:v>
      </x:c>
      <x:c r="C862" s="4" t="str">
        <x:v>M13 后台系统、通用配置与其他已登记页面</x:v>
      </x:c>
      <x:c r="D862" s="4" t="str">
        <x:v>角色管理-54（超级管理员视角）</x:v>
      </x:c>
      <x:c r="E862" s="4" t="str">
        <x:v>功能需求</x:v>
      </x:c>
      <x:c r="F862" s="4" t="str">
        <x:v>P2</x:v>
      </x:c>
      <x:c r="G862" s="4" t="str">
        <x:v>验证关联账号回显</x:v>
      </x:c>
      <x:c r="H862" s="4" t="str">
        <x:v>关联账号回显</x:v>
      </x:c>
      <x:c r="I862" s="4" t="str">
        <x:v>1. 已登录超级管理员账号
2. 所选对象存在，已记录该对象的关联账号值</x:v>
      </x:c>
      <x:c r="J862" s="4" t="str">
        <x:v>1. 进入「角色管理-54」页
2. 查看关联账号回显</x:v>
      </x:c>
      <x:c r="K862" s="4" t="str">
        <x:v>「关联账号」内容与所选对象的该项资料一致</x:v>
      </x:c>
      <x:c r="L862" s="4" t="str"/>
      <x:c r="M862" s="4" t="str">
        <x:v>未测</x:v>
      </x:c>
      <x:c r="N862" s="4" t="str"/>
      <x:c r="O862" s="4" t="str">
        <x:v>1. 来源：MainBasis/统一需求文档.md；A-admin-system-role-004
2. 场景：SC-a041bfca36892b</x:v>
      </x:c>
    </x:row>
    <x:row r="863" ht="68" customHeight="1">
      <x:c r="A863" s="4" t="n">
        <x:v>862</x:v>
      </x:c>
      <x:c r="B863" s="4" t="str">
        <x:v>ADMIN-0862</x:v>
      </x:c>
      <x:c r="C863" s="4" t="str">
        <x:v>M13 后台系统、通用配置与其他已登记页面</x:v>
      </x:c>
      <x:c r="D863" s="4" t="str">
        <x:v>角色管理-54（超级管理员视角）</x:v>
      </x:c>
      <x:c r="E863" s="4" t="str">
        <x:v>功能需求</x:v>
      </x:c>
      <x:c r="F863" s="4" t="str">
        <x:v>P1</x:v>
      </x:c>
      <x:c r="G863" s="4" t="str">
        <x:v>验证内置超级管理员角色保护</x:v>
      </x:c>
      <x:c r="H863" s="4" t="str">
        <x:v>内置超级管理员角色保护</x:v>
      </x:c>
      <x:c r="I863" s="4" t="str">
        <x:v>1. 已登录超级管理员账号
2. 目标为内置超级管理员角色</x:v>
      </x:c>
      <x:c r="J863" s="4" t="str">
        <x:v>1. 进入「角色管理-54」页
2. 查看内置超级管理员角色保护</x:v>
      </x:c>
      <x:c r="K863" s="4" t="str">
        <x:v>拥有全部权限且不可修改或停用</x:v>
      </x:c>
      <x:c r="L863" s="4" t="str"/>
      <x:c r="M863" s="4" t="str">
        <x:v>未测</x:v>
      </x:c>
      <x:c r="N863" s="4" t="str"/>
      <x:c r="O863" s="4" t="str">
        <x:v>1. 来源：MainBasis/统一需求文档.md；A-admin-system-role-006、A-admin-system-role-detail-007
2. 场景：SC-9be1b57018b3fe</x:v>
      </x:c>
    </x:row>
    <x:row r="864" ht="68" customHeight="1">
      <x:c r="A864" s="4" t="n">
        <x:v>863</x:v>
      </x:c>
      <x:c r="B864" s="4" t="str">
        <x:v>ADMIN-0863</x:v>
      </x:c>
      <x:c r="C864" s="4" t="str">
        <x:v>M13 后台系统、通用配置与其他已登记页面</x:v>
      </x:c>
      <x:c r="D864" s="4" t="str">
        <x:v>角色管理-54（超级管理员视角）</x:v>
      </x:c>
      <x:c r="E864" s="4" t="str">
        <x:v>功能需求</x:v>
      </x:c>
      <x:c r="F864" s="4" t="str">
        <x:v>P1</x:v>
      </x:c>
      <x:c r="G864" s="4" t="str">
        <x:v>验证停用角色回收权限</x:v>
      </x:c>
      <x:c r="H864" s="4" t="str">
        <x:v>停用角色回收权限</x:v>
      </x:c>
      <x:c r="I864" s="4" t="str">
        <x:v>1. 已登录超级管理员账号
2. 目标非内置角色有一个绑定账号</x:v>
      </x:c>
      <x:c r="J864" s="4" t="str">
        <x:v>1. 进入「角色管理-54」页
2. 停用角色
3. 确认影响范围</x:v>
      </x:c>
      <x:c r="K864" s="4" t="str">
        <x:v>绑定账号立即失去该角色权限</x:v>
      </x:c>
      <x:c r="L864" s="4" t="str"/>
      <x:c r="M864" s="4" t="str">
        <x:v>未测</x:v>
      </x:c>
      <x:c r="N864" s="4" t="str"/>
      <x:c r="O864" s="4" t="str">
        <x:v>1. 来源：MainBasis/统一需求文档.md；A-admin-system-role-005、A-admin-system-role-007
2. 场景：SC-2ab976600b5376</x:v>
      </x:c>
    </x:row>
    <x:row r="865" ht="68" customHeight="1">
      <x:c r="A865" s="4" t="n">
        <x:v>864</x:v>
      </x:c>
      <x:c r="B865" s="4" t="str">
        <x:v>ADMIN-0864</x:v>
      </x:c>
      <x:c r="C865" s="4" t="str">
        <x:v>M13 后台系统、通用配置与其他已登记页面</x:v>
      </x:c>
      <x:c r="D865" s="4" t="str">
        <x:v>角色管理-54（超级管理员视角）</x:v>
      </x:c>
      <x:c r="E865" s="4" t="str">
        <x:v>功能需求</x:v>
      </x:c>
      <x:c r="F865" s="4" t="str">
        <x:v>P2</x:v>
      </x:c>
      <x:c r="G865" s="4" t="str">
        <x:v>验证角色 ID标识不可编辑</x:v>
      </x:c>
      <x:c r="H865" s="4" t="str">
        <x:v>角色 ID标识不可编辑</x:v>
      </x:c>
      <x:c r="I865" s="4" t="str">
        <x:v>1. 已登录超级管理员账号
2. 目标记录已创建</x:v>
      </x:c>
      <x:c r="J865" s="4" t="str">
        <x:v>1. 进入「角色管理-54」页
2. 查看角色 ID标识不可编辑</x:v>
      </x:c>
      <x:c r="K865" s="4" t="str">
        <x:v>已生成的角色 ID可查看但不可编辑</x:v>
      </x:c>
      <x:c r="L865" s="4" t="str"/>
      <x:c r="M865" s="4" t="str">
        <x:v>未测</x:v>
      </x:c>
      <x:c r="N865" s="4" t="str"/>
      <x:c r="O865" s="4" t="str">
        <x:v>1. 来源：MainBasis/统一需求文档.md；A-admin-system-role-002
2. 场景：SC-5db410d017f3b2</x:v>
      </x:c>
    </x:row>
    <x:row r="866" ht="68" customHeight="1">
      <x:c r="A866" s="4" t="n">
        <x:v>865</x:v>
      </x:c>
      <x:c r="B866" s="4" t="str">
        <x:v>ADMIN-0865</x:v>
      </x:c>
      <x:c r="C866" s="4" t="str">
        <x:v>M13 后台系统、通用配置与其他已登记页面</x:v>
      </x:c>
      <x:c r="D866" s="4" t="str">
        <x:v>角色管理-54（超级管理员视角）</x:v>
      </x:c>
      <x:c r="E866" s="4" t="str">
        <x:v>功能需求</x:v>
      </x:c>
      <x:c r="F866" s="4" t="str">
        <x:v>P2</x:v>
      </x:c>
      <x:c r="G866" s="4" t="str">
        <x:v>验证角色名称资料对应</x:v>
      </x:c>
      <x:c r="H866" s="4" t="str">
        <x:v>角色名称资料对应</x:v>
      </x:c>
      <x:c r="I866" s="4" t="str">
        <x:v>1. 已登录超级管理员账号
2. 已选中一条已存在记录，已记录其角色名称原始值</x:v>
      </x:c>
      <x:c r="J866" s="4" t="str">
        <x:v>1. 进入「角色管理-54」页
2. 查看角色名称资料对应</x:v>
      </x:c>
      <x:c r="K866" s="4" t="str">
        <x:v>页面角色名称与所选记录一致：全局不可重复</x:v>
      </x:c>
      <x:c r="L866" s="4" t="str"/>
      <x:c r="M866" s="4" t="str">
        <x:v>未测</x:v>
      </x:c>
      <x:c r="N866" s="4" t="str"/>
      <x:c r="O866" s="4" t="str">
        <x:v>1. 来源：MainBasis/统一需求文档.md；A-admin-system-role-003
2. 场景：SC-95174dd435fd76</x:v>
      </x:c>
    </x:row>
    <x:row r="867" ht="68" customHeight="1">
      <x:c r="A867" s="4" t="n">
        <x:v>866</x:v>
      </x:c>
      <x:c r="B867" s="4" t="str">
        <x:v>ADMIN-0866</x:v>
      </x:c>
      <x:c r="C867" s="4" t="str">
        <x:v>M13 后台系统、通用配置与其他已登记页面</x:v>
      </x:c>
      <x:c r="D867" s="4" t="str">
        <x:v>角色编辑（超级管理员视角）</x:v>
      </x:c>
      <x:c r="E867" s="4" t="str">
        <x:v>异常用例</x:v>
      </x:c>
      <x:c r="F867" s="4" t="str">
        <x:v>P1</x:v>
      </x:c>
      <x:c r="G867" s="4" t="str">
        <x:v>验证角色名称缺失限制</x:v>
      </x:c>
      <x:c r="H867" s="4" t="str">
        <x:v>角色名称缺失限制</x:v>
      </x:c>
      <x:c r="I867" s="4" t="str">
        <x:v>1. 已登录超级管理员账号
2. 其他必填字段为合法值</x:v>
      </x:c>
      <x:c r="J867" s="4" t="str">
        <x:v>1. 进入「角色编辑」页
2. 清空「角色名称」
3. 点击「保存」</x:v>
      </x:c>
      <x:c r="K867" s="4" t="str">
        <x:v>角色名称未填写，无法保存</x:v>
      </x:c>
      <x:c r="L867" s="4" t="str"/>
      <x:c r="M867" s="4" t="str">
        <x:v>未测</x:v>
      </x:c>
      <x:c r="N867" s="4" t="str"/>
      <x:c r="O867" s="4" t="str">
        <x:v>1. 来源：MainBasis/统一需求文档.md；A-admin-system-role-detail-003
2. 场景：SC-eab97e8b94baed</x:v>
      </x:c>
    </x:row>
    <x:row r="868" ht="68" customHeight="1">
      <x:c r="A868" s="4" t="n">
        <x:v>867</x:v>
      </x:c>
      <x:c r="B868" s="4" t="str">
        <x:v>ADMIN-0867</x:v>
      </x:c>
      <x:c r="C868" s="4" t="str">
        <x:v>M13 后台系统、通用配置与其他已登记页面</x:v>
      </x:c>
      <x:c r="D868" s="4" t="str">
        <x:v>角色编辑（超级管理员视角）</x:v>
      </x:c>
      <x:c r="E868" s="4" t="str">
        <x:v>功能需求</x:v>
      </x:c>
      <x:c r="F868" s="4" t="str">
        <x:v>P1</x:v>
      </x:c>
      <x:c r="G868" s="4" t="str">
        <x:v>验证角色名称重复</x:v>
      </x:c>
      <x:c r="H868" s="4" t="str">
        <x:v>角色名称重复</x:v>
      </x:c>
      <x:c r="I868" s="4" t="str">
        <x:v>1. 已登录超级管理员账号
2. 另一记录已使用“tester”</x:v>
      </x:c>
      <x:c r="J868" s="4" t="str">
        <x:v>1. 进入「角色编辑」页
2. 填写角色名称tester
3. 保存</x:v>
      </x:c>
      <x:c r="K868" s="4" t="str">
        <x:v>唯一性校验失败，不能保存</x:v>
      </x:c>
      <x:c r="L868" s="4" t="str"/>
      <x:c r="M868" s="4" t="str">
        <x:v>未测</x:v>
      </x:c>
      <x:c r="N868" s="4" t="str"/>
      <x:c r="O868" s="4" t="str">
        <x:v>1. 来源：MainBasis/统一需求文档.md；A-admin-system-role-detail-003
2. 场景：SC-c5d941ff3ac6b0</x:v>
      </x:c>
    </x:row>
    <x:row r="869" ht="68" customHeight="1">
      <x:c r="A869" s="4" t="n">
        <x:v>868</x:v>
      </x:c>
      <x:c r="B869" s="4" t="str">
        <x:v>ADMIN-0868</x:v>
      </x:c>
      <x:c r="C869" s="4" t="str">
        <x:v>M13 后台系统、通用配置与其他已登记页面</x:v>
      </x:c>
      <x:c r="D869" s="4" t="str">
        <x:v>角色编辑（超级管理员视角）</x:v>
      </x:c>
      <x:c r="E869" s="4" t="str">
        <x:v>功能需求</x:v>
      </x:c>
      <x:c r="F869" s="4" t="str">
        <x:v>P1</x:v>
      </x:c>
      <x:c r="G869" s="4" t="str">
        <x:v>验证角色ID编辑只读</x:v>
      </x:c>
      <x:c r="H869" s="4" t="str">
        <x:v>角色ID编辑只读</x:v>
      </x:c>
      <x:c r="I869" s="4" t="str">
        <x:v>1. 已登录超级管理员账号
2. 当前编辑已存在记录</x:v>
      </x:c>
      <x:c r="J869" s="4" t="str">
        <x:v>1. 进入「角色编辑」页
2. 查看角色ID编辑只读</x:v>
      </x:c>
      <x:c r="K869" s="4" t="str">
        <x:v>ID不可编辑</x:v>
      </x:c>
      <x:c r="L869" s="4" t="str"/>
      <x:c r="M869" s="4" t="str">
        <x:v>未测</x:v>
      </x:c>
      <x:c r="N869" s="4" t="str"/>
      <x:c r="O869" s="4" t="str">
        <x:v>1. 来源：MainBasis/统一需求文档.md；A-admin-system-role-detail-002
2. 场景：SC-c75acfafc77687</x:v>
      </x:c>
    </x:row>
    <x:row r="870" ht="68" customHeight="1">
      <x:c r="A870" s="4" t="n">
        <x:v>869</x:v>
      </x:c>
      <x:c r="B870" s="4" t="str">
        <x:v>ADMIN-0869</x:v>
      </x:c>
      <x:c r="C870" s="4" t="str">
        <x:v>M13 后台系统、通用配置与其他已登记页面</x:v>
      </x:c>
      <x:c r="D870" s="4" t="str">
        <x:v>角色编辑（超级管理员视角）</x:v>
      </x:c>
      <x:c r="E870" s="4" t="str">
        <x:v>功能需求</x:v>
      </x:c>
      <x:c r="F870" s="4" t="str">
        <x:v>P1</x:v>
      </x:c>
      <x:c r="G870" s="4" t="str">
        <x:v>验证勾选父级联动子级</x:v>
      </x:c>
      <x:c r="H870" s="4" t="str">
        <x:v>勾选父级联动子级</x:v>
      </x:c>
      <x:c r="I870" s="4" t="str">
        <x:v>1. 已登录超级管理员账号
2. 父级下有3个未选叶子权限</x:v>
      </x:c>
      <x:c r="J870" s="4" t="str">
        <x:v>1. 进入「角色编辑」页
2. 勾选父级</x:v>
      </x:c>
      <x:c r="K870" s="4" t="str">
        <x:v>3个子级全部选中</x:v>
      </x:c>
      <x:c r="L870" s="4" t="str"/>
      <x:c r="M870" s="4" t="str">
        <x:v>未测</x:v>
      </x:c>
      <x:c r="N870" s="4" t="str"/>
      <x:c r="O870" s="4" t="str">
        <x:v>1. 来源：MainBasis/统一需求文档.md；A-admin-system-role-detail-006
2. 场景：SC-aaa06b5328d6ea</x:v>
      </x:c>
    </x:row>
    <x:row r="871" ht="68" customHeight="1">
      <x:c r="A871" s="4" t="n">
        <x:v>870</x:v>
      </x:c>
      <x:c r="B871" s="4" t="str">
        <x:v>ADMIN-0870</x:v>
      </x:c>
      <x:c r="C871" s="4" t="str">
        <x:v>M13 后台系统、通用配置与其他已登记页面</x:v>
      </x:c>
      <x:c r="D871" s="4" t="str">
        <x:v>角色编辑（超级管理员视角）</x:v>
      </x:c>
      <x:c r="E871" s="4" t="str">
        <x:v>功能需求</x:v>
      </x:c>
      <x:c r="F871" s="4" t="str">
        <x:v>P1</x:v>
      </x:c>
      <x:c r="G871" s="4" t="str">
        <x:v>验证取消所有子级联动父级</x:v>
      </x:c>
      <x:c r="H871" s="4" t="str">
        <x:v>取消所有子级联动父级</x:v>
      </x:c>
      <x:c r="I871" s="4" t="str">
        <x:v>1. 已登录超级管理员账号
2. 父级及3个子级已选</x:v>
      </x:c>
      <x:c r="J871" s="4" t="str">
        <x:v>1. 进入「角色编辑」页
2. 逐一取消全部子级</x:v>
      </x:c>
      <x:c r="K871" s="4" t="str">
        <x:v>父级同步取消选择</x:v>
      </x:c>
      <x:c r="L871" s="4" t="str"/>
      <x:c r="M871" s="4" t="str">
        <x:v>未测</x:v>
      </x:c>
      <x:c r="N871" s="4" t="str"/>
      <x:c r="O871" s="4" t="str">
        <x:v>1. 来源：MainBasis/统一需求文档.md；A-admin-system-role-detail-006
2. 场景：SC-461a5e14447a67</x:v>
      </x:c>
    </x:row>
    <x:row r="872" ht="68" customHeight="1">
      <x:c r="A872" s="4" t="n">
        <x:v>871</x:v>
      </x:c>
      <x:c r="B872" s="4" t="str">
        <x:v>ADMIN-0871</x:v>
      </x:c>
      <x:c r="C872" s="4" t="str">
        <x:v>M13 后台系统、通用配置与其他已登记页面</x:v>
      </x:c>
      <x:c r="D872" s="4" t="str">
        <x:v>角色编辑（超级管理员视角）</x:v>
      </x:c>
      <x:c r="E872" s="4" t="str">
        <x:v>功能需求</x:v>
      </x:c>
      <x:c r="F872" s="4" t="str">
        <x:v>P1</x:v>
      </x:c>
      <x:c r="G872" s="4" t="str">
        <x:v>验证权限已选计叶子数</x:v>
      </x:c>
      <x:c r="H872" s="4" t="str">
        <x:v>权限已选计叶子数</x:v>
      </x:c>
      <x:c r="I872" s="4" t="str">
        <x:v>1. 已登录超级管理员账号
2. 已勾选1个父级及其3个叶子权限</x:v>
      </x:c>
      <x:c r="J872" s="4" t="str">
        <x:v>1. 进入「角色编辑」页
2. 查看权限已选计叶子数</x:v>
      </x:c>
      <x:c r="K872" s="4" t="str">
        <x:v>已选择数为3</x:v>
      </x:c>
      <x:c r="L872" s="4" t="str"/>
      <x:c r="M872" s="4" t="str">
        <x:v>未测</x:v>
      </x:c>
      <x:c r="N872" s="4" t="str"/>
      <x:c r="O872" s="4" t="str">
        <x:v>1. 来源：MainBasis/统一需求文档.md；A-admin-system-role-detail-005
2. 场景：SC-11bb2837817044</x:v>
      </x:c>
    </x:row>
    <x:row r="873" ht="68" customHeight="1">
      <x:c r="A873" s="4" t="n">
        <x:v>872</x:v>
      </x:c>
      <x:c r="B873" s="4" t="str">
        <x:v>ADMIN-0872</x:v>
      </x:c>
      <x:c r="C873" s="4" t="str">
        <x:v>M13 后台系统、通用配置与其他已登记页面</x:v>
      </x:c>
      <x:c r="D873" s="4" t="str">
        <x:v>角色编辑（超级管理员视角）</x:v>
      </x:c>
      <x:c r="E873" s="4" t="str">
        <x:v>功能需求</x:v>
      </x:c>
      <x:c r="F873" s="4" t="str">
        <x:v>P1</x:v>
      </x:c>
      <x:c r="G873" s="4" t="str">
        <x:v>验证权限树全选</x:v>
      </x:c>
      <x:c r="H873" s="4" t="str">
        <x:v>权限树全选</x:v>
      </x:c>
      <x:c r="I873" s="4" t="str">
        <x:v>1. 已登录超级管理员账号
2. 当前编辑非内置角色</x:v>
      </x:c>
      <x:c r="J873" s="4" t="str">
        <x:v>1. 进入「角色编辑」页
2. 点击全选</x:v>
      </x:c>
      <x:c r="K873" s="4" t="str">
        <x:v>所有叶子权限选中</x:v>
      </x:c>
      <x:c r="L873" s="4" t="str"/>
      <x:c r="M873" s="4" t="str">
        <x:v>未测</x:v>
      </x:c>
      <x:c r="N873" s="4" t="str"/>
      <x:c r="O873" s="4" t="str">
        <x:v>1. 来源：MainBasis/统一需求文档.md；A-admin-system-role-detail-008
2. 场景：SC-794312e7514ca5</x:v>
      </x:c>
    </x:row>
    <x:row r="874" ht="68" customHeight="1">
      <x:c r="A874" s="4" t="n">
        <x:v>873</x:v>
      </x:c>
      <x:c r="B874" s="4" t="str">
        <x:v>ADMIN-0873</x:v>
      </x:c>
      <x:c r="C874" s="4" t="str">
        <x:v>M13 后台系统、通用配置与其他已登记页面</x:v>
      </x:c>
      <x:c r="D874" s="4" t="str">
        <x:v>角色编辑（超级管理员视角）</x:v>
      </x:c>
      <x:c r="E874" s="4" t="str">
        <x:v>功能需求</x:v>
      </x:c>
      <x:c r="F874" s="4" t="str">
        <x:v>P1</x:v>
      </x:c>
      <x:c r="G874" s="4" t="str">
        <x:v>验证权限树全不选</x:v>
      </x:c>
      <x:c r="H874" s="4" t="str">
        <x:v>权限树全不选</x:v>
      </x:c>
      <x:c r="I874" s="4" t="str">
        <x:v>1. 已登录超级管理员账号
2. 当前编辑非内置角色</x:v>
      </x:c>
      <x:c r="J874" s="4" t="str">
        <x:v>1. 进入「角色编辑」页
2. 点击全不选</x:v>
      </x:c>
      <x:c r="K874" s="4" t="str">
        <x:v>全部权限取消选择</x:v>
      </x:c>
      <x:c r="L874" s="4" t="str"/>
      <x:c r="M874" s="4" t="str">
        <x:v>未测</x:v>
      </x:c>
      <x:c r="N874" s="4" t="str"/>
      <x:c r="O874" s="4" t="str">
        <x:v>1. 来源：MainBasis/统一需求文档.md；A-admin-system-role-detail-008
2. 场景：SC-4d8f775f874303</x:v>
      </x:c>
    </x:row>
    <x:row r="875" ht="68" customHeight="1">
      <x:c r="A875" s="4" t="n">
        <x:v>874</x:v>
      </x:c>
      <x:c r="B875" s="4" t="str">
        <x:v>ADMIN-0874</x:v>
      </x:c>
      <x:c r="C875" s="4" t="str">
        <x:v>M13 后台系统、通用配置与其他已登记页面</x:v>
      </x:c>
      <x:c r="D875" s="4" t="str">
        <x:v>角色编辑（超级管理员视角）</x:v>
      </x:c>
      <x:c r="E875" s="4" t="str">
        <x:v>功能需求</x:v>
      </x:c>
      <x:c r="F875" s="4" t="str">
        <x:v>P2</x:v>
      </x:c>
      <x:c r="G875" s="4" t="str">
        <x:v>验证角色状态启用回显</x:v>
      </x:c>
      <x:c r="H875" s="4" t="str">
        <x:v>角色状态启用回显</x:v>
      </x:c>
      <x:c r="I875" s="4" t="str">
        <x:v>1. 已登录超级管理员账号
2. 所选记录角色状态为启用</x:v>
      </x:c>
      <x:c r="J875" s="4" t="str">
        <x:v>1. 进入「角色编辑」页
2. 查看角色状态启用回显</x:v>
      </x:c>
      <x:c r="K875" s="4" t="str">
        <x:v>角色状态显示启用</x:v>
      </x:c>
      <x:c r="L875" s="4" t="str"/>
      <x:c r="M875" s="4" t="str">
        <x:v>未测</x:v>
      </x:c>
      <x:c r="N875" s="4" t="str"/>
      <x:c r="O875" s="4" t="str">
        <x:v>1. 来源：MainBasis/统一需求文档.md；A-admin-system-role-detail-004
2. 场景：SC-42ff14a00ab31f</x:v>
      </x:c>
    </x:row>
    <x:row r="876" ht="68" customHeight="1">
      <x:c r="A876" s="4" t="n">
        <x:v>875</x:v>
      </x:c>
      <x:c r="B876" s="4" t="str">
        <x:v>ADMIN-0875</x:v>
      </x:c>
      <x:c r="C876" s="4" t="str">
        <x:v>M13 后台系统、通用配置与其他已登记页面</x:v>
      </x:c>
      <x:c r="D876" s="4" t="str">
        <x:v>角色编辑（超级管理员视角）</x:v>
      </x:c>
      <x:c r="E876" s="4" t="str">
        <x:v>功能需求</x:v>
      </x:c>
      <x:c r="F876" s="4" t="str">
        <x:v>P2</x:v>
      </x:c>
      <x:c r="G876" s="4" t="str">
        <x:v>验证角色状态停用回显</x:v>
      </x:c>
      <x:c r="H876" s="4" t="str">
        <x:v>角色状态停用回显</x:v>
      </x:c>
      <x:c r="I876" s="4" t="str">
        <x:v>1. 已登录超级管理员账号
2. 所选记录角色状态为停用</x:v>
      </x:c>
      <x:c r="J876" s="4" t="str">
        <x:v>1. 进入「角色编辑」页
2. 查看角色状态停用回显</x:v>
      </x:c>
      <x:c r="K876" s="4" t="str">
        <x:v>角色状态显示停用</x:v>
      </x:c>
      <x:c r="L876" s="4" t="str"/>
      <x:c r="M876" s="4" t="str">
        <x:v>未测</x:v>
      </x:c>
      <x:c r="N876" s="4" t="str"/>
      <x:c r="O876" s="4" t="str">
        <x:v>1. 来源：MainBasis/统一需求文档.md；A-admin-system-role-detail-004
2. 场景：SC-e3063f1cb2e2bd</x:v>
      </x:c>
    </x:row>
  </x:sheetData>
  <x:dataValidations count="3">
    <x:dataValidation type="list" sqref="E2:E876">
      <x:formula1>"功能需求,业务流程,逻辑校验,异常用例"</x:formula1>
    </x:dataValidation>
    <x:dataValidation type="list" sqref="F2:F876">
      <x:formula1>"P0,P1,P2,P3"</x:formula1>
    </x:dataValidation>
    <x:dataValidation type="list" sqref="M2:M876">
      <x:formula1>"未测,通过,不通过,阻塞,不适用"</x:formula1>
    </x:dataValidation>
  </x:dataValidations>
  <x:pageMargins left="0.7" right="0.7" top="0.75" bottom="0.75" header="0.3" footer="0.3"/>
  <x:tableParts count="1">
    <x:tablePart xmlns:r="http://schemas.openxmlformats.org/officeDocument/2006/relationships" r:id="R61f8f52789b2449d"/>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96" customHeight="1">
      <x:c r="A2" s="4" t="str">
        <x:v>Q-001</x:v>
      </x:c>
      <x:c r="B2" s="4" t="str">
        <x:v>RQ-001</x:v>
      </x:c>
      <x:c r="C2" s="4" t="str"/>
      <x:c r="D2" s="4" t="str"/>
      <x:c r="E2" s="4" t="str">
        <x:v>阻塞测试</x:v>
      </x:c>
      <x:c r="F2" s="4" t="str">
        <x:v>M05 公会申请·认证·组织与权限</x:v>
      </x:c>
      <x:c r="G2" s="4" t="str">
        <x:v>申请人提交入会材料后由公会审核</x:v>
      </x:c>
      <x:c r="H2" s="4" t="str">
        <x:v>业务规则</x:v>
      </x:c>
      <x:c r="I2" s="4" t="str">
        <x:v>公会初审通过时是否立即建立公会关系？</x:v>
      </x:c>
      <x:c r="J2" s="4" t="str">
        <x:v>A. 立即建立关系；主播身份在平台认证通过后生效
B. 公会初审及平台终审均通过后才建立关系和主播身份</x:v>
      </x:c>
      <x:c r="K2" s="4" t="str">
        <x:v>建议优先评估A：明确申请人提交入会材料后由公会审核的唯一处理口径后，可构造确定的输入和结果；此建议不代表产品结论</x:v>
      </x:c>
      <x:c r="L2" s="8" t="str"/>
      <x:c r="M2" s="8" t="str"/>
      <x:c r="N2" s="4" t="str">
        <x:v>1. MainBasis/需求待确认清单.md#Q001：入会、主播认证与身份生效顺序
2. 主文档关联：D-SYS-041、U-guild-application-form-010、G-guild-notifications-005、A-admin-host-review-001</x:v>
      </x:c>
      <x:c r="O2" s="4" t="str">
        <x:v>1. 用户App：申请人提交入会材料后由公会审核
2. 公会App：申请人提交入会材料后由公会审核
3. 管理后台：申请人提交入会材料后由公会审核</x:v>
      </x:c>
      <x:c r="P2" s="4" t="str"/>
      <x:c r="Q2" s="4" t="str">
        <x:v>1. 公会初审通过时是否立即建立公会关系的正向、边界及异常场景</x:v>
      </x:c>
      <x:c r="R2" s="4" t="str">
        <x:v>产品</x:v>
      </x:c>
      <x:c r="S2" s="4" t="str">
        <x:v>进入对应功能测试前</x:v>
      </x:c>
      <x:c r="T2" s="4" t="str">
        <x:v>待确认</x:v>
      </x:c>
    </x:row>
    <x:row r="3" ht="96" customHeight="1">
      <x:c r="A3" s="4" t="str">
        <x:v>Q-002</x:v>
      </x:c>
      <x:c r="B3" s="4" t="str">
        <x:v>RQ-001</x:v>
      </x:c>
      <x:c r="C3" s="4" t="str"/>
      <x:c r="D3" s="4" t="str"/>
      <x:c r="E3" s="4" t="str">
        <x:v>阻塞测试</x:v>
      </x:c>
      <x:c r="F3" s="4" t="str">
        <x:v>M05 公会申请·认证·组织与权限</x:v>
      </x:c>
      <x:c r="G3" s="4" t="str">
        <x:v>平台驳回认证后申请人再次申请</x:v>
      </x:c>
      <x:c r="H3" s="4" t="str">
        <x:v>业务规则</x:v>
      </x:c>
      <x:c r="I3" s="4" t="str">
        <x:v>再次提交是否创建新的申请单？</x:v>
      </x:c>
      <x:c r="J3" s="4" t="str">
        <x:v>A. 创建新单，旧单保持驳回快照
B. 重开原单，保留各次提交和审核版本</x:v>
      </x:c>
      <x:c r="K3" s="4" t="str">
        <x:v>建议优先评估A：明确平台驳回认证后申请人再次申请的唯一处理口径后，可构造确定的输入和结果；此建议不代表产品结论</x:v>
      </x:c>
      <x:c r="L3" s="8" t="str"/>
      <x:c r="M3" s="8" t="str"/>
      <x:c r="N3" s="4" t="str">
        <x:v>1. MainBasis/需求待确认清单.md#Q001：入会、主播认证与身份生效顺序
2. 主文档关联：D-SYS-041、U-guild-application-form-010、G-guild-notifications-005、A-admin-host-review-001</x:v>
      </x:c>
      <x:c r="O3" s="4" t="str">
        <x:v>1. 用户App：平台驳回认证后申请人再次申请
2. 公会App：平台驳回认证后申请人再次申请
3. 管理后台：平台驳回认证后申请人再次申请</x:v>
      </x:c>
      <x:c r="P3" s="4" t="str"/>
      <x:c r="Q3" s="4" t="str">
        <x:v>1. 再次提交是否创建新的申请单的正向、边界及异常场景</x:v>
      </x:c>
      <x:c r="R3" s="4" t="str">
        <x:v>产品</x:v>
      </x:c>
      <x:c r="S3" s="4" t="str">
        <x:v>进入对应功能测试前</x:v>
      </x:c>
      <x:c r="T3" s="4" t="str">
        <x:v>待确认</x:v>
      </x:c>
    </x:row>
    <x:row r="4" ht="96" customHeight="1">
      <x:c r="A4" s="4" t="str">
        <x:v>Q-011</x:v>
      </x:c>
      <x:c r="B4" s="4" t="str">
        <x:v>RQ-006</x:v>
      </x:c>
      <x:c r="C4" s="4" t="str"/>
      <x:c r="D4" s="4" t="str"/>
      <x:c r="E4" s="4" t="str">
        <x:v>阻塞测试</x:v>
      </x:c>
      <x:c r="F4" s="4" t="str">
        <x:v>M12 直播业绩·增长与统计报表</x:v>
      </x:c>
      <x:c r="G4" s="4" t="str">
        <x:v>用户充值，后台和财务查看实际支付金额</x:v>
      </x:c>
      <x:c r="H4" s="4" t="str">
        <x:v>业务规则</x:v>
      </x:c>
      <x:c r="I4" s="4" t="str">
        <x:v>本期充值支付以哪种货币记账？</x:v>
      </x:c>
      <x:c r="J4" s="4" t="str">
        <x:v>A. USD；保留渠道原币和实际汇率快照
B. IDR；保留渠道原币和实际汇率快照</x:v>
      </x:c>
      <x:c r="K4" s="4" t="str">
        <x:v>建议优先评估A：明确用户充值，后台和财务查看实际支付金额的唯一处理口径后，可构造确定的输入和结果；此建议不代表产品结论</x:v>
      </x:c>
      <x:c r="L4" s="8" t="str"/>
      <x:c r="M4" s="8" t="str"/>
      <x:c r="N4" s="4" t="str">
        <x:v>1. MainBasis/需求待确认清单.md#Q006：金币、支付货币、收益与结算币种换算
2. 主文档关联：D-SYS-172、U-income-sharing-003、A-admin-recharge-package-003、A-admin-recharge-package-detail-004</x:v>
      </x:c>
      <x:c r="O4" s="4" t="str">
        <x:v>1. 用户App：用户充值，后台和财务查看实际支付金额
2. 公会App：用户充值，后台和财务查看实际支付金额
3. 管理后台：用户充值，后台和财务查看实际支付金额</x:v>
      </x:c>
      <x:c r="P4" s="4" t="str"/>
      <x:c r="Q4" s="4" t="str">
        <x:v>1. 本期充值支付以哪种货币记账的正向、边界及异常场景</x:v>
      </x:c>
      <x:c r="R4" s="4" t="str">
        <x:v>产品</x:v>
      </x:c>
      <x:c r="S4" s="4" t="str">
        <x:v>进入对应功能测试前</x:v>
      </x:c>
      <x:c r="T4" s="4" t="str">
        <x:v>待确认</x:v>
      </x:c>
    </x:row>
    <x:row r="5" ht="96" customHeight="1">
      <x:c r="A5" s="4" t="str">
        <x:v>Q-012</x:v>
      </x:c>
      <x:c r="B5" s="4" t="str">
        <x:v>RQ-006</x:v>
      </x:c>
      <x:c r="C5" s="4" t="str"/>
      <x:c r="D5" s="4" t="str"/>
      <x:c r="E5" s="4" t="str">
        <x:v>阻塞测试</x:v>
      </x:c>
      <x:c r="F5" s="4" t="str">
        <x:v>M12 直播业绩·增长与统计报表</x:v>
      </x:c>
      <x:c r="G5" s="4" t="str">
        <x:v>财务录入主播或公会结算结果</x:v>
      </x:c>
      <x:c r="H5" s="4" t="str">
        <x:v>业务规则</x:v>
      </x:c>
      <x:c r="I5" s="4" t="str">
        <x:v>结算结果采用哪种金额币种？</x:v>
      </x:c>
      <x:c r="J5" s="4" t="str">
        <x:v>A. USD，上传文件每行必须带USD币种
B. IDR，上传文件每行必须带IDR币种</x:v>
      </x:c>
      <x:c r="K5" s="4" t="str">
        <x:v>建议优先评估A：明确财务录入主播或公会结算结果的唯一处理口径后，可构造确定的输入和结果；此建议不代表产品结论</x:v>
      </x:c>
      <x:c r="L5" s="8" t="str"/>
      <x:c r="M5" s="8" t="str"/>
      <x:c r="N5" s="4" t="str">
        <x:v>1. MainBasis/需求待确认清单.md#Q006：金币、支付货币、收益与结算币种换算
2. 主文档关联：D-SYS-172、U-income-sharing-003、A-admin-recharge-package-003、A-admin-recharge-package-detail-004</x:v>
      </x:c>
      <x:c r="O5" s="4" t="str">
        <x:v>1. 用户App：财务录入主播或公会结算结果
2. 公会App：财务录入主播或公会结算结果
3. 管理后台：财务录入主播或公会结算结果</x:v>
      </x:c>
      <x:c r="P5" s="4" t="str"/>
      <x:c r="Q5" s="4" t="str">
        <x:v>1. 结算结果采用哪种金额币种的正向、边界及异常场景</x:v>
      </x:c>
      <x:c r="R5" s="4" t="str">
        <x:v>产品</x:v>
      </x:c>
      <x:c r="S5" s="4" t="str">
        <x:v>进入对应功能测试前</x:v>
      </x:c>
      <x:c r="T5" s="4" t="str">
        <x:v>待确认</x:v>
      </x:c>
    </x:row>
    <x:row r="6" ht="96" customHeight="1">
      <x:c r="A6" s="4" t="str">
        <x:v>Q-013</x:v>
      </x:c>
      <x:c r="B6" s="4" t="str">
        <x:v>RQ-006</x:v>
      </x:c>
      <x:c r="C6" s="4" t="str"/>
      <x:c r="D6" s="4" t="str"/>
      <x:c r="E6" s="4" t="str">
        <x:v>阻塞测试</x:v>
      </x:c>
      <x:c r="F6" s="4" t="str">
        <x:v>M12 直播业绩·增长与统计报表</x:v>
      </x:c>
      <x:c r="G6" s="4" t="str">
        <x:v>订单支付日与结算日的汇率不同</x:v>
      </x:c>
      <x:c r="H6" s="4" t="str">
        <x:v>业务规则</x:v>
      </x:c>
      <x:c r="I6" s="4" t="str">
        <x:v>币种换算使用哪个时点的汇率？</x:v>
      </x:c>
      <x:c r="J6" s="4" t="str">
        <x:v>A. 使用订单支付成功时冻结的渠道汇率
B. 使用结算批次确认时冻结的财务汇率</x:v>
      </x:c>
      <x:c r="K6" s="4" t="str">
        <x:v>建议优先评估A：明确订单支付日与结算日的汇率不同的唯一处理口径后，可构造确定的输入和结果；此建议不代表产品结论</x:v>
      </x:c>
      <x:c r="L6" s="8" t="str"/>
      <x:c r="M6" s="8" t="str"/>
      <x:c r="N6" s="4" t="str">
        <x:v>1. MainBasis/需求待确认清单.md#Q006：金币、支付货币、收益与结算币种换算
2. 主文档关联：D-SYS-172、U-income-sharing-003、A-admin-recharge-package-003、A-admin-recharge-package-detail-004</x:v>
      </x:c>
      <x:c r="O6" s="4" t="str">
        <x:v>1. 用户App：订单支付日与结算日的汇率不同
2. 公会App：订单支付日与结算日的汇率不同
3. 管理后台：订单支付日与结算日的汇率不同</x:v>
      </x:c>
      <x:c r="P6" s="4" t="str"/>
      <x:c r="Q6" s="4" t="str">
        <x:v>1. 币种换算使用哪个时点的汇率的正向、边界及异常场景</x:v>
      </x:c>
      <x:c r="R6" s="4" t="str">
        <x:v>产品</x:v>
      </x:c>
      <x:c r="S6" s="4" t="str">
        <x:v>进入对应功能测试前</x:v>
      </x:c>
      <x:c r="T6" s="4" t="str">
        <x:v>待确认</x:v>
      </x:c>
    </x:row>
    <x:row r="7" ht="96" customHeight="1">
      <x:c r="A7" s="4" t="str">
        <x:v>Q-018</x:v>
      </x:c>
      <x:c r="B7" s="4" t="str">
        <x:v>RQ-010</x:v>
      </x:c>
      <x:c r="C7" s="4" t="str"/>
      <x:c r="D7" s="4" t="str"/>
      <x:c r="E7" s="4" t="str">
        <x:v>阻塞测试</x:v>
      </x:c>
      <x:c r="F7" s="4" t="str">
        <x:v>M06 开播·房型·观看·连麦与房内管理</x:v>
      </x:c>
      <x:c r="G7" s="4" t="str">
        <x:v>管理员配置幸运礼物价格</x:v>
      </x:c>
      <x:c r="H7" s="4" t="str">
        <x:v>业务规则</x:v>
      </x:c>
      <x:c r="I7" s="4" t="str">
        <x:v>每次独立开奖的消耗是否固定10金币？</x:v>
      </x:c>
      <x:c r="J7" s="4" t="str">
        <x:v>A. 固定10金币，其他值禁止保存
B. 读取每个SKU的正整数单次消耗配置</x:v>
      </x:c>
      <x:c r="K7" s="4" t="str">
        <x:v>建议优先评估A：明确管理员配置幸运礼物价格的唯一处理口径后，可构造确定的输入和结果；此建议不代表产品结论</x:v>
      </x:c>
      <x:c r="L7" s="8" t="str"/>
      <x:c r="M7" s="8" t="str"/>
      <x:c r="N7" s="4" t="str">
        <x:v>1. MainBasis/需求待确认清单.md#Q010：幸运礼物单次成本、数量档位、概率和上架验证
2. 主文档关联：D-SYS-137、U-live-room-011、A-admin-lucky-gift-config-003、U-views_live-room_gift-002</x:v>
      </x:c>
      <x:c r="O7" s="4" t="str">
        <x:v>1. 用户App：管理员配置幸运礼物价格
2. 公会App：管理员配置幸运礼物价格
3. 管理后台：管理员配置幸运礼物价格</x:v>
      </x:c>
      <x:c r="P7" s="4" t="str"/>
      <x:c r="Q7" s="4" t="str">
        <x:v>1. 每次独立开奖的消耗是否固定10金币的正向、边界及异常场景</x:v>
      </x:c>
      <x:c r="R7" s="4" t="str">
        <x:v>产品</x:v>
      </x:c>
      <x:c r="S7" s="4" t="str">
        <x:v>进入对应功能测试前</x:v>
      </x:c>
      <x:c r="T7" s="4" t="str">
        <x:v>待确认</x:v>
      </x:c>
    </x:row>
    <x:row r="8" ht="96" customHeight="1">
      <x:c r="A8" s="4" t="str">
        <x:v>Q-019</x:v>
      </x:c>
      <x:c r="B8" s="4" t="str">
        <x:v>RQ-010</x:v>
      </x:c>
      <x:c r="C8" s="4" t="str"/>
      <x:c r="D8" s="4" t="str"/>
      <x:c r="E8" s="4" t="str">
        <x:v>阻塞测试</x:v>
      </x:c>
      <x:c r="F8" s="4" t="str">
        <x:v>M06 开播·房型·观看·连麦与房内管理</x:v>
      </x:c>
      <x:c r="G8" s="4" t="str">
        <x:v>用户一次赠送数量为2至9的幸运礼物</x:v>
      </x:c>
      <x:c r="H8" s="4" t="str">
        <x:v>业务规则</x:v>
      </x:c>
      <x:c r="I8" s="4" t="str">
        <x:v>2至9个礼物采用哪套概率？</x:v>
      </x:c>
      <x:c r="J8" s="4" t="str">
        <x:v>A. 每个礼物均使用1个档的概率独立开奖
B. 每个礼物均使用10个档的概率独立开奖</x:v>
      </x:c>
      <x:c r="K8" s="4" t="str">
        <x:v>建议优先评估A：明确用户一次赠送数量为2至9的幸运礼物的唯一处理口径后，可构造确定的输入和结果；此建议不代表产品结论</x:v>
      </x:c>
      <x:c r="L8" s="8" t="str"/>
      <x:c r="M8" s="8" t="str"/>
      <x:c r="N8" s="4" t="str">
        <x:v>1. MainBasis/需求待确认清单.md#Q010：幸运礼物单次成本、数量档位、概率和上架验证
2. 主文档关联：D-SYS-137、U-live-room-011、A-admin-lucky-gift-config-003、U-views_live-room_gift-002</x:v>
      </x:c>
      <x:c r="O8" s="4" t="str">
        <x:v>1. 用户App：用户一次赠送数量为2至9的幸运礼物
2. 公会App：用户一次赠送数量为2至9的幸运礼物
3. 管理后台：用户一次赠送数量为2至9的幸运礼物</x:v>
      </x:c>
      <x:c r="P8" s="4" t="str"/>
      <x:c r="Q8" s="4" t="str">
        <x:v>1. 2至9个礼物采用哪套概率的正向、边界及异常场景</x:v>
      </x:c>
      <x:c r="R8" s="4" t="str">
        <x:v>产品</x:v>
      </x:c>
      <x:c r="S8" s="4" t="str">
        <x:v>进入对应功能测试前</x:v>
      </x:c>
      <x:c r="T8" s="4" t="str">
        <x:v>待确认</x:v>
      </x:c>
    </x:row>
    <x:row r="9" ht="96" customHeight="1">
      <x:c r="A9" s="4" t="str">
        <x:v>Q-020</x:v>
      </x:c>
      <x:c r="B9" s="4" t="str">
        <x:v>RQ-010</x:v>
      </x:c>
      <x:c r="C9" s="4" t="str"/>
      <x:c r="D9" s="4" t="str"/>
      <x:c r="E9" s="4" t="str">
        <x:v>阻塞测试</x:v>
      </x:c>
      <x:c r="F9" s="4" t="str">
        <x:v>M06 开播·房型·观看·连麦与房内管理</x:v>
      </x:c>
      <x:c r="G9" s="4" t="str">
        <x:v>用户一次赠送数量为11至99的幸运礼物</x:v>
      </x:c>
      <x:c r="H9" s="4" t="str">
        <x:v>业务规则</x:v>
      </x:c>
      <x:c r="I9" s="4" t="str">
        <x:v>11至99个礼物采用哪套概率？</x:v>
      </x:c>
      <x:c r="J9" s="4" t="str">
        <x:v>A. 每个礼物均使用10个档的概率独立开奖
B. 每个礼物均使用100个档的概率独立开奖</x:v>
      </x:c>
      <x:c r="K9" s="4" t="str">
        <x:v>建议优先评估A：明确用户一次赠送数量为11至99的幸运礼物的唯一处理口径后，可构造确定的输入和结果；此建议不代表产品结论</x:v>
      </x:c>
      <x:c r="L9" s="8" t="str"/>
      <x:c r="M9" s="8" t="str"/>
      <x:c r="N9" s="4" t="str">
        <x:v>1. MainBasis/需求待确认清单.md#Q010：幸运礼物单次成本、数量档位、概率和上架验证
2. 主文档关联：D-SYS-137、U-live-room-011、A-admin-lucky-gift-config-003、U-views_live-room_gift-002</x:v>
      </x:c>
      <x:c r="O9" s="4" t="str">
        <x:v>1. 用户App：用户一次赠送数量为11至99的幸运礼物
2. 公会App：用户一次赠送数量为11至99的幸运礼物
3. 管理后台：用户一次赠送数量为11至99的幸运礼物</x:v>
      </x:c>
      <x:c r="P9" s="4" t="str"/>
      <x:c r="Q9" s="4" t="str">
        <x:v>1. 11至99个礼物采用哪套概率的正向、边界及异常场景</x:v>
      </x:c>
      <x:c r="R9" s="4" t="str">
        <x:v>产品</x:v>
      </x:c>
      <x:c r="S9" s="4" t="str">
        <x:v>进入对应功能测试前</x:v>
      </x:c>
      <x:c r="T9" s="4" t="str">
        <x:v>待确认</x:v>
      </x:c>
    </x:row>
    <x:row r="10" ht="96" customHeight="1">
      <x:c r="A10" s="4" t="str">
        <x:v>Q-021</x:v>
      </x:c>
      <x:c r="B10" s="4" t="str">
        <x:v>RQ-010</x:v>
      </x:c>
      <x:c r="C10" s="4" t="str"/>
      <x:c r="D10" s="4" t="str"/>
      <x:c r="E10" s="4" t="str">
        <x:v>阻塞测试</x:v>
      </x:c>
      <x:c r="F10" s="4" t="str">
        <x:v>M06 开播·房型·观看·连麦与房内管理</x:v>
      </x:c>
      <x:c r="G10" s="4" t="str">
        <x:v>管理员验证幸运礼物配置后上架</x:v>
      </x:c>
      <x:c r="H10" s="4" t="str">
        <x:v>业务规则</x:v>
      </x:c>
      <x:c r="I10" s="4" t="str">
        <x:v>上架是否以统计抽样结果作为强制门槛？</x:v>
      </x:c>
      <x:c r="J10" s="4" t="str">
        <x:v>A. 不作为强制门槛，仅校验配置公式，抽样另作发布报告
B. 作为门槛，样本量和允许误差必须读取有版本的发布配置</x:v>
      </x:c>
      <x:c r="K10" s="4" t="str">
        <x:v>建议优先评估A：明确管理员验证幸运礼物配置后上架的唯一处理口径后，可构造确定的输入和结果；此建议不代表产品结论</x:v>
      </x:c>
      <x:c r="L10" s="8" t="str"/>
      <x:c r="M10" s="8" t="str"/>
      <x:c r="N10" s="4" t="str">
        <x:v>1. MainBasis/需求待确认清单.md#Q010：幸运礼物单次成本、数量档位、概率和上架验证
2. 主文档关联：D-SYS-137、U-live-room-011、A-admin-lucky-gift-config-003、U-views_live-room_gift-002</x:v>
      </x:c>
      <x:c r="O10" s="4" t="str">
        <x:v>1. 用户App：管理员验证幸运礼物配置后上架
2. 公会App：管理员验证幸运礼物配置后上架
3. 管理后台：管理员验证幸运礼物配置后上架</x:v>
      </x:c>
      <x:c r="P10" s="4" t="str"/>
      <x:c r="Q10" s="4" t="str">
        <x:v>1. 上架是否以统计抽样结果作为强制门槛的正向、边界及异常场景</x:v>
      </x:c>
      <x:c r="R10" s="4" t="str">
        <x:v>产品</x:v>
      </x:c>
      <x:c r="S10" s="4" t="str">
        <x:v>进入对应功能测试前</x:v>
      </x:c>
      <x:c r="T10" s="4" t="str">
        <x:v>待确认</x:v>
      </x:c>
    </x:row>
    <x:row r="11" ht="110" customHeight="1">
      <x:c r="A11" s="4" t="str">
        <x:v>Q-060</x:v>
      </x:c>
      <x:c r="B11" s="4" t="str">
        <x:v>RQ-028</x:v>
      </x:c>
      <x:c r="C11" s="4" t="str"/>
      <x:c r="D11" s="4" t="str"/>
      <x:c r="E11" s="4" t="str">
        <x:v>阻塞测试</x:v>
      </x:c>
      <x:c r="F11" s="4" t="str">
        <x:v>M11 财务·退款·结算上传与账户调整</x:v>
      </x:c>
      <x:c r="G11" s="4" t="str">
        <x:v>财务导入包含一行无效数据的结算文件</x:v>
      </x:c>
      <x:c r="H11" s="4" t="str">
        <x:v>异常处理</x:v>
      </x:c>
      <x:c r="I11" s="4" t="str">
        <x:v>是否允许部分行导入成功？</x:v>
      </x:c>
      <x:c r="J11" s="4" t="str">
        <x:v>A. 整批拒绝，修正后重新上传
B. 有效行成功，无效行返回失败明细</x:v>
      </x:c>
      <x:c r="K11" s="4" t="str">
        <x:v>建议优先评估A：明确财务导入包含一行无效数据的结算文件的唯一处理口径后，可构造确定的输入和结果；此建议不代表产品结论</x:v>
      </x:c>
      <x:c r="L11" s="8" t="str"/>
      <x:c r="M11" s="8" t="str"/>
      <x:c r="N11" s="4" t="str">
        <x:v>1. MainBasis/需求待确认清单.md#Q028：财务上传模板、错误处理与重复导入
2. 主文档关联：A-admin-settlement-record-003、A-admin-settlement-record-detail-001、A-admin-guild-settlement-record-003、A-admin-guild-settlement-record-detail-001</x:v>
      </x:c>
      <x:c r="O11" s="4" t="str">
        <x:v>1. 管理后台：财务导入包含一行无效数据的结算文件
2. 公会App：财务导入包含一行无效数据的结算文件</x:v>
      </x:c>
      <x:c r="P11" s="4" t="str"/>
      <x:c r="Q11" s="4" t="str">
        <x:v>1. 是否允许部分行导入成功的正向、边界及异常场景</x:v>
      </x:c>
      <x:c r="R11" s="4" t="str">
        <x:v>多方确认</x:v>
      </x:c>
      <x:c r="S11" s="4" t="str">
        <x:v>进入对应功能测试前</x:v>
      </x:c>
      <x:c r="T11" s="4" t="str">
        <x:v>待确认</x:v>
      </x:c>
    </x:row>
    <x:row r="12" ht="110" customHeight="1">
      <x:c r="A12" s="4" t="str">
        <x:v>Q-061</x:v>
      </x:c>
      <x:c r="B12" s="4" t="str">
        <x:v>RQ-028</x:v>
      </x:c>
      <x:c r="C12" s="4" t="str"/>
      <x:c r="D12" s="4" t="str"/>
      <x:c r="E12" s="4" t="str">
        <x:v>阻塞测试</x:v>
      </x:c>
      <x:c r="F12" s="4" t="str">
        <x:v>M11 财务·退款·结算上传与账户调整</x:v>
      </x:c>
      <x:c r="G12" s="4" t="str">
        <x:v>财务重复上传同一批结算结果</x:v>
      </x:c>
      <x:c r="H12" s="4" t="str">
        <x:v>异常处理</x:v>
      </x:c>
      <x:c r="I12" s="4" t="str">
        <x:v>重复批次应如何处理？</x:v>
      </x:c>
      <x:c r="J12" s="4" t="str">
        <x:v>A. 按唯一批次号拒绝重复导入
B. 按唯一明细键只导入此前未入账的行</x:v>
      </x:c>
      <x:c r="K12" s="4" t="str">
        <x:v>建议优先评估A：明确财务重复上传同一批结算结果的唯一处理口径后，可构造确定的输入和结果；此建议不代表产品结论</x:v>
      </x:c>
      <x:c r="L12" s="8" t="str"/>
      <x:c r="M12" s="8" t="str"/>
      <x:c r="N12" s="4" t="str">
        <x:v>1. MainBasis/需求待确认清单.md#Q028：财务上传模板、错误处理与重复导入
2. 主文档关联：A-admin-settlement-record-003、A-admin-settlement-record-detail-001、A-admin-guild-settlement-record-003、A-admin-guild-settlement-record-detail-001</x:v>
      </x:c>
      <x:c r="O12" s="4" t="str">
        <x:v>1. 管理后台：财务重复上传同一批结算结果
2. 公会App：财务重复上传同一批结算结果</x:v>
      </x:c>
      <x:c r="P12" s="4" t="str"/>
      <x:c r="Q12" s="4" t="str">
        <x:v>1. 重复批次应如何处理的正向、边界及异常场景</x:v>
      </x:c>
      <x:c r="R12" s="4" t="str">
        <x:v>多方确认</x:v>
      </x:c>
      <x:c r="S12" s="4" t="str">
        <x:v>进入对应功能测试前</x:v>
      </x:c>
      <x:c r="T12" s="4" t="str">
        <x:v>待确认</x:v>
      </x:c>
    </x:row>
    <x:row r="13" ht="110" customHeight="1">
      <x:c r="A13" s="4" t="str">
        <x:v>Q-062</x:v>
      </x:c>
      <x:c r="B13" s="4" t="str">
        <x:v>RQ-029</x:v>
      </x:c>
      <x:c r="C13" s="4" t="str"/>
      <x:c r="D13" s="4" t="str"/>
      <x:c r="E13" s="4" t="str">
        <x:v>阻塞测试</x:v>
      </x:c>
      <x:c r="F13" s="4" t="str">
        <x:v>M11 财务·退款·结算上传与账户调整</x:v>
      </x:c>
      <x:c r="G13" s="4" t="str">
        <x:v>财务上传结果后查看主播或公会薪资账户</x:v>
      </x:c>
      <x:c r="H13" s="4" t="str">
        <x:v>业务规则</x:v>
      </x:c>
      <x:c r="I13" s="4" t="str">
        <x:v>薪资账户余额表示哪种业务数值？</x:v>
      </x:c>
      <x:c r="J13" s="4" t="str">
        <x:v>A. 累计已结算金额，线下付款不再扣减
B. 应付未付金额，线下付款需扣减
C. 已实际到账且可支取余额，支取后扣减</x:v>
      </x:c>
      <x:c r="K13" s="4" t="str">
        <x:v>建议优先评估A：明确财务上传结果后查看主播或公会薪资账户的唯一处理口径后，可构造确定的输入和结果；此建议不代表产品结论</x:v>
      </x:c>
      <x:c r="L13" s="8" t="str"/>
      <x:c r="M13" s="8" t="str"/>
      <x:c r="N13" s="4" t="str">
        <x:v>1. MainBasis/需求待确认清单.md#Q029：薪资账户、调整记录与线下实付的含义
2. 主文档关联：A-admin-host-account-balance-002、A-admin-guild-account-balance-002、A-admin-host-account-balance-003、A-admin-guild-account-balance-003</x:v>
      </x:c>
      <x:c r="O13" s="4" t="str">
        <x:v>1. 用户App：财务上传结果后查看主播或公会薪资账户
2. 公会App：财务上传结果后查看主播或公会薪资账户
3. 管理后台：财务上传结果后查看主播或公会薪资账户</x:v>
      </x:c>
      <x:c r="P13" s="4" t="str"/>
      <x:c r="Q13" s="4" t="str">
        <x:v>1. 薪资账户余额表示哪种业务数值的正向、边界及异常场景</x:v>
      </x:c>
      <x:c r="R13" s="4" t="str">
        <x:v>产品</x:v>
      </x:c>
      <x:c r="S13" s="4" t="str">
        <x:v>进入对应功能测试前</x:v>
      </x:c>
      <x:c r="T13" s="4" t="str">
        <x:v>待确认</x:v>
      </x:c>
    </x:row>
    <x:row r="14" ht="68" customHeight="1">
      <x:c r="A14" s="4" t="str">
        <x:v>Q-063</x:v>
      </x:c>
      <x:c r="B14" s="4" t="str">
        <x:v>RQ-030</x:v>
      </x:c>
      <x:c r="C14" s="4" t="str"/>
      <x:c r="D14" s="4" t="str"/>
      <x:c r="E14" s="4" t="str">
        <x:v>阻塞测试</x:v>
      </x:c>
      <x:c r="F14" s="4" t="str">
        <x:v>跨模块需求</x:v>
      </x:c>
      <x:c r="G14" s="4" t="str">
        <x:v>支付渠道重复发送成功通知</x:v>
      </x:c>
      <x:c r="H14" s="4" t="str">
        <x:v>异常处理</x:v>
      </x:c>
      <x:c r="I14" s="4" t="str">
        <x:v>重复回调如何识别同一笔入账？</x:v>
      </x:c>
      <x:c r="J14" s="4" t="str">
        <x:v>A. 以渠道交易号与订单号联合去重
B. 以平台订单号去重，渠道交易号仅作核对</x:v>
      </x:c>
      <x:c r="K14" s="4" t="str">
        <x:v>建议优先评估A：明确支付渠道重复发送成功通知的唯一处理口径后，可构造确定的输入和结果；此建议不代表产品结论</x:v>
      </x:c>
      <x:c r="L14" s="8" t="str"/>
      <x:c r="M14" s="8" t="str"/>
      <x:c r="N14" s="4" t="str">
        <x:v>1. MainBasis/需求待确认清单.md#Q030：支付与退款异步状态
2. 主文档关联：见风险来源中的来源异常范围</x:v>
      </x:c>
      <x:c r="O14" s="4" t="str">
        <x:v>1. 用户App：支付渠道重复发送成功通知
2. 管理后台：支付渠道重复发送成功通知</x:v>
      </x:c>
      <x:c r="P14" s="4" t="str"/>
      <x:c r="Q14" s="4" t="str">
        <x:v>1. 重复回调如何识别同一笔入账的正向、边界及异常场景</x:v>
      </x:c>
      <x:c r="R14" s="4" t="str">
        <x:v>多方确认</x:v>
      </x:c>
      <x:c r="S14" s="4" t="str">
        <x:v>进入对应功能测试前</x:v>
      </x:c>
      <x:c r="T14" s="4" t="str">
        <x:v>待确认</x:v>
      </x:c>
    </x:row>
    <x:row r="15" ht="68" customHeight="1">
      <x:c r="A15" s="4" t="str">
        <x:v>Q-064</x:v>
      </x:c>
      <x:c r="B15" s="4" t="str">
        <x:v>RQ-030</x:v>
      </x:c>
      <x:c r="C15" s="4" t="str"/>
      <x:c r="D15" s="4" t="str"/>
      <x:c r="E15" s="4" t="str">
        <x:v>阻塞测试</x:v>
      </x:c>
      <x:c r="F15" s="4" t="str">
        <x:v>跨模块需求</x:v>
      </x:c>
      <x:c r="G15" s="4" t="str">
        <x:v>订单超时后收到真实支付成功通知</x:v>
      </x:c>
      <x:c r="H15" s="4" t="str">
        <x:v>异常处理</x:v>
      </x:c>
      <x:c r="I15" s="4" t="str">
        <x:v>迟到成功回调是否补记充值？</x:v>
      </x:c>
      <x:c r="J15" s="4" t="str">
        <x:v>A. 补记一次到账并恢复成功状态
B. 不补记金币，发起原渠道退回</x:v>
      </x:c>
      <x:c r="K15" s="4" t="str">
        <x:v>建议优先评估A：明确订单超时后收到真实支付成功通知的唯一处理口径后，可构造确定的输入和结果；此建议不代表产品结论</x:v>
      </x:c>
      <x:c r="L15" s="8" t="str"/>
      <x:c r="M15" s="8" t="str"/>
      <x:c r="N15" s="4" t="str">
        <x:v>1. MainBasis/需求待确认清单.md#Q030：支付与退款异步状态
2. 主文档关联：见风险来源中的来源异常范围</x:v>
      </x:c>
      <x:c r="O15" s="4" t="str">
        <x:v>1. 用户App：订单超时后收到真实支付成功通知
2. 管理后台：订单超时后收到真实支付成功通知</x:v>
      </x:c>
      <x:c r="P15" s="4" t="str"/>
      <x:c r="Q15" s="4" t="str">
        <x:v>1. 迟到成功回调是否补记充值的正向、边界及异常场景</x:v>
      </x:c>
      <x:c r="R15" s="4" t="str">
        <x:v>多方确认</x:v>
      </x:c>
      <x:c r="S15" s="4" t="str">
        <x:v>进入对应功能测试前</x:v>
      </x:c>
      <x:c r="T15" s="4" t="str">
        <x:v>待确认</x:v>
      </x:c>
    </x:row>
    <x:row r="16" ht="96" customHeight="1">
      <x:c r="A16" s="4" t="str">
        <x:v>Q-003</x:v>
      </x:c>
      <x:c r="B16" s="4" t="str">
        <x:v>RQ-002</x:v>
      </x:c>
      <x:c r="C16" s="4" t="str"/>
      <x:c r="D16" s="4" t="str"/>
      <x:c r="E16" s="4" t="str">
        <x:v>部分阻塞</x:v>
      </x:c>
      <x:c r="F16" s="4" t="str">
        <x:v>M05 公会申请·认证·组织与权限</x:v>
      </x:c>
      <x:c r="G16" s="4" t="str">
        <x:v>管理员重新启用曾停用的公会</x:v>
      </x:c>
      <x:c r="H16" s="4" t="str">
        <x:v>业务规则</x:v>
      </x:c>
      <x:c r="I16" s="4" t="str">
        <x:v>恢复启用是否自动恢复停用时解除的主播关系？</x:v>
      </x:c>
      <x:c r="J16" s="4" t="str">
        <x:v>A. 不恢复，主播须重新申请
B. 仅恢复未加入其他公会且账号有效的原成员</x:v>
      </x:c>
      <x:c r="K16" s="4" t="str">
        <x:v>建议优先评估A：明确管理员重新启用曾停用的公会的唯一处理口径后，可构造确定的输入和结果；此建议不代表产品结论</x:v>
      </x:c>
      <x:c r="L16" s="8" t="str"/>
      <x:c r="M16" s="8" t="str"/>
      <x:c r="N16" s="4" t="str">
        <x:v>1. MainBasis/需求待确认清单.md#Q002：公会停用与解散的关系后果
2. 主文档关联：D-SYS-066、U-guild-management-007、G-guild-switch-003、A-admin-guild-list-005</x:v>
      </x:c>
      <x:c r="O16" s="4" t="str">
        <x:v>1. 用户App：管理员重新启用曾停用的公会
2. 公会App：管理员重新启用曾停用的公会
3. 管理后台：管理员重新启用曾停用的公会</x:v>
      </x:c>
      <x:c r="P16" s="4" t="str"/>
      <x:c r="Q16" s="4" t="str">
        <x:v>1. 恢复启用是否自动恢复停用时解除的主播关系的正向、边界及异常场景</x:v>
      </x:c>
      <x:c r="R16" s="4" t="str">
        <x:v>产品</x:v>
      </x:c>
      <x:c r="S16" s="4" t="str">
        <x:v>进入对应功能测试前</x:v>
      </x:c>
      <x:c r="T16" s="4" t="str">
        <x:v>待确认</x:v>
      </x:c>
    </x:row>
    <x:row r="17" ht="96" customHeight="1">
      <x:c r="A17" s="4" t="str">
        <x:v>Q-004</x:v>
      </x:c>
      <x:c r="B17" s="4" t="str">
        <x:v>RQ-002</x:v>
      </x:c>
      <x:c r="C17" s="4" t="str"/>
      <x:c r="D17" s="4" t="str"/>
      <x:c r="E17" s="4" t="str">
        <x:v>部分阻塞</x:v>
      </x:c>
      <x:c r="F17" s="4" t="str">
        <x:v>M05 公会申请·认证·组织与权限</x:v>
      </x:c>
      <x:c r="G17" s="4" t="str">
        <x:v>管理员停用公会时仍有未处理入会申请</x:v>
      </x:c>
      <x:c r="H17" s="4" t="str">
        <x:v>业务规则</x:v>
      </x:c>
      <x:c r="I17" s="4" t="str">
        <x:v>未处理申请是否自动终止？</x:v>
      </x:c>
      <x:c r="J17" s="4" t="str">
        <x:v>A. 终止并标记公会停用
B. 暂停处理，公会恢复后可继续审核</x:v>
      </x:c>
      <x:c r="K17" s="4" t="str">
        <x:v>建议优先评估A：明确管理员停用公会时仍有未处理入会申请的唯一处理口径后，可构造确定的输入和结果；此建议不代表产品结论</x:v>
      </x:c>
      <x:c r="L17" s="8" t="str"/>
      <x:c r="M17" s="8" t="str"/>
      <x:c r="N17" s="4" t="str">
        <x:v>1. MainBasis/需求待确认清单.md#Q002：公会停用与解散的关系后果
2. 主文档关联：D-SYS-066、U-guild-management-007、G-guild-switch-003、A-admin-guild-list-005</x:v>
      </x:c>
      <x:c r="O17" s="4" t="str">
        <x:v>1. 用户App：管理员停用公会时仍有未处理入会申请
2. 公会App：管理员停用公会时仍有未处理入会申请
3. 管理后台：管理员停用公会时仍有未处理入会申请</x:v>
      </x:c>
      <x:c r="P17" s="4" t="str"/>
      <x:c r="Q17" s="4" t="str">
        <x:v>1. 未处理申请是否自动终止的正向、边界及异常场景</x:v>
      </x:c>
      <x:c r="R17" s="4" t="str">
        <x:v>产品</x:v>
      </x:c>
      <x:c r="S17" s="4" t="str">
        <x:v>进入对应功能测试前</x:v>
      </x:c>
      <x:c r="T17" s="4" t="str">
        <x:v>待确认</x:v>
      </x:c>
    </x:row>
    <x:row r="18" ht="96" customHeight="1">
      <x:c r="A18" s="4" t="str">
        <x:v>Q-005</x:v>
      </x:c>
      <x:c r="B18" s="4" t="str">
        <x:v>RQ-002</x:v>
      </x:c>
      <x:c r="C18" s="4" t="str"/>
      <x:c r="D18" s="4" t="str"/>
      <x:c r="E18" s="4" t="str">
        <x:v>部分阻塞</x:v>
      </x:c>
      <x:c r="F18" s="4" t="str">
        <x:v>M05 公会申请·认证·组织与权限</x:v>
      </x:c>
      <x:c r="G18" s="4" t="str">
        <x:v>公会长有多个可管理公会，其中一个停用</x:v>
      </x:c>
      <x:c r="H18" s="4" t="str">
        <x:v>业务规则</x:v>
      </x:c>
      <x:c r="I18" s="4" t="str">
        <x:v>公会切换列表是否显示停用公会？</x:v>
      </x:c>
      <x:c r="J18" s="4" t="str">
        <x:v>A. 隐藏停用公会
B. 显示停用标记但禁止切入</x:v>
      </x:c>
      <x:c r="K18" s="4" t="str">
        <x:v>建议优先评估A：明确公会长有多个可管理公会，其中一个停用的唯一处理口径后，可构造确定的输入和结果；此建议不代表产品结论</x:v>
      </x:c>
      <x:c r="L18" s="8" t="str"/>
      <x:c r="M18" s="8" t="str"/>
      <x:c r="N18" s="4" t="str">
        <x:v>1. MainBasis/需求待确认清单.md#Q002：公会停用与解散的关系后果
2. 主文档关联：D-SYS-066、U-guild-management-007、G-guild-switch-003、A-admin-guild-list-005</x:v>
      </x:c>
      <x:c r="O18" s="4" t="str">
        <x:v>1. 用户App：公会长有多个可管理公会，其中一个停用
2. 公会App：公会长有多个可管理公会，其中一个停用
3. 管理后台：公会长有多个可管理公会，其中一个停用</x:v>
      </x:c>
      <x:c r="P18" s="4" t="str"/>
      <x:c r="Q18" s="4" t="str">
        <x:v>1. 公会切换列表是否显示停用公会的正向、边界及异常场景</x:v>
      </x:c>
      <x:c r="R18" s="4" t="str">
        <x:v>产品</x:v>
      </x:c>
      <x:c r="S18" s="4" t="str">
        <x:v>进入对应功能测试前</x:v>
      </x:c>
      <x:c r="T18" s="4" t="str">
        <x:v>待确认</x:v>
      </x:c>
    </x:row>
    <x:row r="19" ht="96" customHeight="1">
      <x:c r="A19" s="4" t="str">
        <x:v>Q-006</x:v>
      </x:c>
      <x:c r="B19" s="4" t="str">
        <x:v>RQ-003</x:v>
      </x:c>
      <x:c r="C19" s="4" t="str"/>
      <x:c r="D19" s="4" t="str"/>
      <x:c r="E19" s="4" t="str">
        <x:v>部分阻塞</x:v>
      </x:c>
      <x:c r="F19" s="4" t="str">
        <x:v>M05 公会申请·认证·组织与权限</x:v>
      </x:c>
      <x:c r="G19" s="4" t="str">
        <x:v>平台关闭开播权限但锁定标志未开启</x:v>
      </x:c>
      <x:c r="H19" s="4" t="str">
        <x:v>业务规则</x:v>
      </x:c>
      <x:c r="I19" s="4" t="str">
        <x:v>公会端是否仍显示权限已锁定？</x:v>
      </x:c>
      <x:c r="J19" s="4" t="str">
        <x:v>A. 显示平台已关闭，只禁用控制，不显示已锁定
B. 显示已锁定，平台关闭隐含锁定效果</x:v>
      </x:c>
      <x:c r="K19" s="4" t="str">
        <x:v>建议优先评估A：明确平台关闭开播权限但锁定标志未开启的唯一处理口径后，可构造确定的输入和结果；此建议不代表产品结论</x:v>
      </x:c>
      <x:c r="L19" s="8" t="str"/>
      <x:c r="M19" s="8" t="str"/>
      <x:c r="N19" s="4" t="str">
        <x:v>1. MainBasis/需求待确认清单.md#Q003：平台锁定与公会原权限的完整真值表
2. 主文档关联：D-SYS-083、G-guild-host-detail-006、A-admin-host-list-008、A-admin-host-detail-003</x:v>
      </x:c>
      <x:c r="O19" s="4" t="str">
        <x:v>1. 用户App：平台关闭开播权限但锁定标志未开启
2. 公会App：平台关闭开播权限但锁定标志未开启
3. 管理后台：平台关闭开播权限但锁定标志未开启</x:v>
      </x:c>
      <x:c r="P19" s="4" t="str"/>
      <x:c r="Q19" s="4" t="str">
        <x:v>1. 公会端是否仍显示权限已锁定的正向、边界及异常场景</x:v>
      </x:c>
      <x:c r="R19" s="4" t="str">
        <x:v>产品</x:v>
      </x:c>
      <x:c r="S19" s="4" t="str">
        <x:v>进入对应功能测试前</x:v>
      </x:c>
      <x:c r="T19" s="4" t="str">
        <x:v>待确认</x:v>
      </x:c>
    </x:row>
    <x:row r="20" ht="96" customHeight="1">
      <x:c r="A20" s="4" t="str">
        <x:v>Q-007</x:v>
      </x:c>
      <x:c r="B20" s="4" t="str">
        <x:v>RQ-003</x:v>
      </x:c>
      <x:c r="C20" s="4" t="str"/>
      <x:c r="D20" s="4" t="str"/>
      <x:c r="E20" s="4" t="str">
        <x:v>部分阻塞</x:v>
      </x:c>
      <x:c r="F20" s="4" t="str">
        <x:v>M05 公会申请·认证·组织与权限</x:v>
      </x:c>
      <x:c r="G20" s="4" t="str">
        <x:v>平台先关闭再开启主播开播权限</x:v>
      </x:c>
      <x:c r="H20" s="4" t="str">
        <x:v>业务规则</x:v>
      </x:c>
      <x:c r="I20" s="4" t="str">
        <x:v>重新开启时是否保留操作前的锁定标志？</x:v>
      </x:c>
      <x:c r="J20" s="4" t="str">
        <x:v>A. 保留锁定标志，并按该标志重算最终权限
B. 开启时清除锁定，按原公会权限重算</x:v>
      </x:c>
      <x:c r="K20" s="4" t="str">
        <x:v>建议优先评估A：明确平台先关闭再开启主播开播权限的唯一处理口径后，可构造确定的输入和结果；此建议不代表产品结论</x:v>
      </x:c>
      <x:c r="L20" s="8" t="str"/>
      <x:c r="M20" s="8" t="str"/>
      <x:c r="N20" s="4" t="str">
        <x:v>1. MainBasis/需求待确认清单.md#Q003：平台锁定与公会原权限的完整真值表
2. 主文档关联：D-SYS-083、G-guild-host-detail-006、A-admin-host-list-008、A-admin-host-detail-003</x:v>
      </x:c>
      <x:c r="O20" s="4" t="str">
        <x:v>1. 用户App：平台先关闭再开启主播开播权限
2. 公会App：平台先关闭再开启主播开播权限
3. 管理后台：平台先关闭再开启主播开播权限</x:v>
      </x:c>
      <x:c r="P20" s="4" t="str"/>
      <x:c r="Q20" s="4" t="str">
        <x:v>1. 重新开启时是否保留操作前的锁定标志的正向、边界及异常场景</x:v>
      </x:c>
      <x:c r="R20" s="4" t="str">
        <x:v>产品</x:v>
      </x:c>
      <x:c r="S20" s="4" t="str">
        <x:v>进入对应功能测试前</x:v>
      </x:c>
      <x:c r="T20" s="4" t="str">
        <x:v>待确认</x:v>
      </x:c>
    </x:row>
    <x:row r="21" ht="96" customHeight="1">
      <x:c r="A21" s="4" t="str">
        <x:v>Q-008</x:v>
      </x:c>
      <x:c r="B21" s="4" t="str">
        <x:v>RQ-004</x:v>
      </x:c>
      <x:c r="C21" s="4" t="str"/>
      <x:c r="D21" s="4" t="str"/>
      <x:c r="E21" s="4" t="str">
        <x:v>部分阻塞</x:v>
      </x:c>
      <x:c r="F21" s="4" t="str">
        <x:v>M05 公会申请·认证·组织与权限</x:v>
      </x:c>
      <x:c r="G21" s="4" t="str">
        <x:v>主播有未结收益时提交退会申请</x:v>
      </x:c>
      <x:c r="H21" s="4" t="str">
        <x:v>业务规则</x:v>
      </x:c>
      <x:c r="I21" s="4" t="str">
        <x:v>有未结收益时是否允许提交退会申请？</x:v>
      </x:c>
      <x:c r="J21" s="4" t="str">
        <x:v>A. 不允许，收益结清后再办理
B. 允许，旧公会收益归属保留至线下结清</x:v>
      </x:c>
      <x:c r="K21" s="4" t="str">
        <x:v>建议优先评估A：明确主播有未结收益时提交退会申请的唯一处理口径后，可构造确定的输入和结果；此建议不代表产品结论</x:v>
      </x:c>
      <x:c r="L21" s="8" t="str"/>
      <x:c r="M21" s="8" t="str"/>
      <x:c r="N21" s="4" t="str">
        <x:v>1. MainBasis/需求待确认清单.md#Q004：未结算收益是否阻止退会或移除
2. 主文档关联：G-guild-host-detail-009、A-admin-guild-detail-012</x:v>
      </x:c>
      <x:c r="O21" s="4" t="str">
        <x:v>1. 用户App：主播有未结收益时提交退会申请
2. 公会App：主播有未结收益时提交退会申请
3. 管理后台：主播有未结收益时提交退会申请</x:v>
      </x:c>
      <x:c r="P21" s="4" t="str"/>
      <x:c r="Q21" s="4" t="str">
        <x:v>1. 有未结收益时是否允许提交退会申请的正向、边界及异常场景</x:v>
      </x:c>
      <x:c r="R21" s="4" t="str">
        <x:v>产品</x:v>
      </x:c>
      <x:c r="S21" s="4" t="str">
        <x:v>进入对应功能测试前</x:v>
      </x:c>
      <x:c r="T21" s="4" t="str">
        <x:v>待确认</x:v>
      </x:c>
    </x:row>
    <x:row r="22" ht="96" customHeight="1">
      <x:c r="A22" s="4" t="str">
        <x:v>Q-009</x:v>
      </x:c>
      <x:c r="B22" s="4" t="str">
        <x:v>RQ-004</x:v>
      </x:c>
      <x:c r="C22" s="4" t="str"/>
      <x:c r="D22" s="4" t="str"/>
      <x:c r="E22" s="4" t="str">
        <x:v>部分阻塞</x:v>
      </x:c>
      <x:c r="F22" s="4" t="str">
        <x:v>M05 公会申请·认证·组织与权限</x:v>
      </x:c>
      <x:c r="G22" s="4" t="str">
        <x:v>主播有未结收益时通过退会申请</x:v>
      </x:c>
      <x:c r="H22" s="4" t="str">
        <x:v>业务规则</x:v>
      </x:c>
      <x:c r="I22" s="4" t="str">
        <x:v>有未结收益时是否允许通过退会申请？</x:v>
      </x:c>
      <x:c r="J22" s="4" t="str">
        <x:v>A. 不允许，收益结清后再办理
B. 允许，旧公会收益归属保留至线下结清</x:v>
      </x:c>
      <x:c r="K22" s="4" t="str">
        <x:v>建议优先评估A：明确主播有未结收益时通过退会申请的唯一处理口径后，可构造确定的输入和结果；此建议不代表产品结论</x:v>
      </x:c>
      <x:c r="L22" s="8" t="str"/>
      <x:c r="M22" s="8" t="str"/>
      <x:c r="N22" s="4" t="str">
        <x:v>1. MainBasis/需求待确认清单.md#Q004：未结算收益是否阻止退会或移除
2. 主文档关联：G-guild-host-detail-009、A-admin-guild-detail-012</x:v>
      </x:c>
      <x:c r="O22" s="4" t="str">
        <x:v>1. 用户App：主播有未结收益时通过退会申请
2. 公会App：主播有未结收益时通过退会申请
3. 管理后台：主播有未结收益时通过退会申请</x:v>
      </x:c>
      <x:c r="P22" s="4" t="str"/>
      <x:c r="Q22" s="4" t="str">
        <x:v>1. 有未结收益时是否允许通过退会申请的正向、边界及异常场景</x:v>
      </x:c>
      <x:c r="R22" s="4" t="str">
        <x:v>产品</x:v>
      </x:c>
      <x:c r="S22" s="4" t="str">
        <x:v>进入对应功能测试前</x:v>
      </x:c>
      <x:c r="T22" s="4" t="str">
        <x:v>待确认</x:v>
      </x:c>
    </x:row>
    <x:row r="23" ht="96" customHeight="1">
      <x:c r="A23" s="4" t="str">
        <x:v>Q-010</x:v>
      </x:c>
      <x:c r="B23" s="4" t="str">
        <x:v>RQ-005</x:v>
      </x:c>
      <x:c r="C23" s="4" t="str"/>
      <x:c r="D23" s="4" t="str"/>
      <x:c r="E23" s="4" t="str">
        <x:v>部分阻塞</x:v>
      </x:c>
      <x:c r="F23" s="4" t="str">
        <x:v>M11 财务·退款·结算上传与账户调整</x:v>
      </x:c>
      <x:c r="G23" s="4" t="str">
        <x:v>财务改为线下核算后维护商品分成规则</x:v>
      </x:c>
      <x:c r="H23" s="4" t="str">
        <x:v>业务规则</x:v>
      </x:c>
      <x:c r="I23" s="4" t="str">
        <x:v>是否继续维护和绑定SKU分成比例？</x:v>
      </x:c>
      <x:c r="J23" s="4" t="str">
        <x:v>A. 保留配置与历史比例快照，系统不计算分成金额
B. 停止新增和修改配置，历史配置只读归档</x:v>
      </x:c>
      <x:c r="K23" s="4" t="str">
        <x:v>建议优先评估A：明确财务改为线下核算后维护商品分成规则的唯一处理口径后，可构造确定的输入和结果；此建议不代表产品结论</x:v>
      </x:c>
      <x:c r="L23" s="8" t="str"/>
      <x:c r="M23" s="8" t="str"/>
      <x:c r="N23" s="4" t="str">
        <x:v>1. MainBasis/需求待确认清单.md#Q005：SKU 分成配置是否保留及系统计算边界
2. 主文档关联：D-SYS-036、G-guild-share-ledger-005、A-admin-settlement-record-001、A-admin-settlement-record-detail-006</x:v>
      </x:c>
      <x:c r="O23" s="4" t="str">
        <x:v>1. 用户App：财务改为线下核算后维护商品分成规则
2. 公会App：财务改为线下核算后维护商品分成规则
3. 管理后台：财务改为线下核算后维护商品分成规则</x:v>
      </x:c>
      <x:c r="P23" s="4" t="str"/>
      <x:c r="Q23" s="4" t="str">
        <x:v>1. 是否继续维护和绑定SKU分成比例的正向、边界及异常场景</x:v>
      </x:c>
      <x:c r="R23" s="4" t="str">
        <x:v>产品</x:v>
      </x:c>
      <x:c r="S23" s="4" t="str">
        <x:v>进入对应功能测试前</x:v>
      </x:c>
      <x:c r="T23" s="4" t="str">
        <x:v>待确认</x:v>
      </x:c>
    </x:row>
    <x:row r="24" ht="96" customHeight="1">
      <x:c r="A24" s="4" t="str">
        <x:v>Q-014</x:v>
      </x:c>
      <x:c r="B24" s="4" t="str">
        <x:v>RQ-007</x:v>
      </x:c>
      <x:c r="C24" s="4" t="str"/>
      <x:c r="D24" s="4" t="str"/>
      <x:c r="E24" s="4" t="str">
        <x:v>部分阻塞</x:v>
      </x:c>
      <x:c r="F24" s="4" t="str">
        <x:v>M04 粉丝团·房管与成长等级</x:v>
      </x:c>
      <x:c r="G24" s="4" t="str">
        <x:v>十笔幸运礼物各产生0.1金币收益</x:v>
      </x:c>
      <x:c r="H24" s="4" t="str">
        <x:v>业务规则</x:v>
      </x:c>
      <x:c r="I24" s="4" t="str">
        <x:v>幸运收益在哪个粒度舍去不足1金币的部分？</x:v>
      </x:c>
      <x:c r="J24" s="4" t="str">
        <x:v>A. 每笔赠送分别舍去，此例收益0金币
B. 按场次汇总后舍去，此例收益1金币</x:v>
      </x:c>
      <x:c r="K24" s="4" t="str">
        <x:v>建议优先评估A：明确十笔幸运礼物各产生0.1金币收益的唯一处理口径后，可构造确定的输入和结果；此建议不代表产品结论</x:v>
      </x:c>
      <x:c r="L24" s="8" t="str"/>
      <x:c r="M24" s="8" t="str"/>
      <x:c r="N24" s="4" t="str">
        <x:v>1. MainBasis/需求待确认清单.md#Q007：幸运收益与各类金额的精度和取整时点
2. 主文档关联：A-admin-level-config-022</x:v>
      </x:c>
      <x:c r="O24" s="4" t="str">
        <x:v>1. 用户App：十笔幸运礼物各产生0.1金币收益
2. 公会App：十笔幸运礼物各产生0.1金币收益
3. 管理后台：十笔幸运礼物各产生0.1金币收益</x:v>
      </x:c>
      <x:c r="P24" s="4" t="str"/>
      <x:c r="Q24" s="4" t="str">
        <x:v>1. 幸运收益在哪个粒度舍去不足1金币的部分的正向、边界及异常场景</x:v>
      </x:c>
      <x:c r="R24" s="4" t="str">
        <x:v>产品</x:v>
      </x:c>
      <x:c r="S24" s="4" t="str">
        <x:v>进入对应功能测试前</x:v>
      </x:c>
      <x:c r="T24" s="4" t="str">
        <x:v>待确认</x:v>
      </x:c>
    </x:row>
    <x:row r="25" ht="96" customHeight="1">
      <x:c r="A25" s="4" t="str">
        <x:v>Q-015</x:v>
      </x:c>
      <x:c r="B25" s="4" t="str">
        <x:v>RQ-007</x:v>
      </x:c>
      <x:c r="C25" s="4" t="str"/>
      <x:c r="D25" s="4" t="str"/>
      <x:c r="E25" s="4" t="str">
        <x:v>部分阻塞</x:v>
      </x:c>
      <x:c r="F25" s="4" t="str">
        <x:v>M04 粉丝团·房管与成长等级</x:v>
      </x:c>
      <x:c r="G25" s="4" t="str">
        <x:v>后台编辑幸运礼物收益比例</x:v>
      </x:c>
      <x:c r="H25" s="4" t="str">
        <x:v>业务规则</x:v>
      </x:c>
      <x:c r="I25" s="4" t="str">
        <x:v>比例允许的小数位数以何为准？</x:v>
      </x:c>
      <x:c r="J25" s="4" t="str">
        <x:v>A. 最多两位小数，多余精度拒绝保存
B. 仅允许整数百分比</x:v>
      </x:c>
      <x:c r="K25" s="4" t="str">
        <x:v>建议优先评估A：明确后台编辑幸运礼物收益比例的唯一处理口径后，可构造确定的输入和结果；此建议不代表产品结论</x:v>
      </x:c>
      <x:c r="L25" s="8" t="str"/>
      <x:c r="M25" s="8" t="str"/>
      <x:c r="N25" s="4" t="str">
        <x:v>1. MainBasis/需求待确认清单.md#Q007：幸运收益与各类金额的精度和取整时点
2. 主文档关联：A-admin-level-config-022</x:v>
      </x:c>
      <x:c r="O25" s="4" t="str">
        <x:v>1. 用户App：后台编辑幸运礼物收益比例
2. 公会App：后台编辑幸运礼物收益比例
3. 管理后台：后台编辑幸运礼物收益比例</x:v>
      </x:c>
      <x:c r="P25" s="4" t="str"/>
      <x:c r="Q25" s="4" t="str">
        <x:v>1. 比例允许的小数位数以何为准的正向、边界及异常场景</x:v>
      </x:c>
      <x:c r="R25" s="4" t="str">
        <x:v>产品</x:v>
      </x:c>
      <x:c r="S25" s="4" t="str">
        <x:v>进入对应功能测试前</x:v>
      </x:c>
      <x:c r="T25" s="4" t="str">
        <x:v>待确认</x:v>
      </x:c>
    </x:row>
    <x:row r="26" ht="96" customHeight="1">
      <x:c r="A26" s="4" t="str">
        <x:v>Q-016</x:v>
      </x:c>
      <x:c r="B26" s="4" t="str">
        <x:v>RQ-008</x:v>
      </x:c>
      <x:c r="C26" s="4" t="str"/>
      <x:c r="D26" s="4" t="str"/>
      <x:c r="E26" s="4" t="str">
        <x:v>部分阻塞</x:v>
      </x:c>
      <x:c r="F26" s="4" t="str">
        <x:v>M02 发现·搜索·主页与平台榜单</x:v>
      </x:c>
      <x:c r="G26" s="4" t="str">
        <x:v>已成功消费订单发生业务纠错</x:v>
      </x:c>
      <x:c r="H26" s="4" t="str">
        <x:v>业务规则</x:v>
      </x:c>
      <x:c r="I26" s="4" t="str">
        <x:v>本期是否支持消费冲正？</x:v>
      </x:c>
      <x:c r="J26" s="4" t="str">
        <x:v>A. 支持，仅管理后台授权财务可发起，并保留原单
B. 不支持，礼物和门票消费成功后无冲正入口</x:v>
      </x:c>
      <x:c r="K26" s="4" t="str">
        <x:v>建议优先评估A：明确已成功消费订单发生业务纠错的唯一处理口径后，可构造确定的输入和结果；此建议不代表产品结论</x:v>
      </x:c>
      <x:c r="L26" s="8" t="str"/>
      <x:c r="M26" s="8" t="str"/>
      <x:c r="N26" s="4" t="str">
        <x:v>1. MainBasis/需求待确认清单.md#Q008：充值退款与消费冲正的适用范围
2. 主文档关联：D-SYS-134、U-host-ranking-009、A-admin-recharge-order-008、U-contribution-ranking-009</x:v>
      </x:c>
      <x:c r="O26" s="4" t="str">
        <x:v>1. 用户App：已成功消费订单发生业务纠错
2. 公会App：已成功消费订单发生业务纠错
3. 管理后台：已成功消费订单发生业务纠错</x:v>
      </x:c>
      <x:c r="P26" s="4" t="str"/>
      <x:c r="Q26" s="4" t="str">
        <x:v>1. 本期是否支持消费冲正的正向、边界及异常场景</x:v>
      </x:c>
      <x:c r="R26" s="4" t="str">
        <x:v>产品</x:v>
      </x:c>
      <x:c r="S26" s="4" t="str">
        <x:v>进入对应功能测试前</x:v>
      </x:c>
      <x:c r="T26" s="4" t="str">
        <x:v>待确认</x:v>
      </x:c>
    </x:row>
    <x:row r="27" ht="96" customHeight="1">
      <x:c r="A27" s="4" t="str">
        <x:v>Q-017</x:v>
      </x:c>
      <x:c r="B27" s="4" t="str">
        <x:v>RQ-009</x:v>
      </x:c>
      <x:c r="C27" s="4" t="str"/>
      <x:c r="D27" s="4" t="str"/>
      <x:c r="E27" s="4" t="str">
        <x:v>部分阻塞</x:v>
      </x:c>
      <x:c r="F27" s="4" t="str">
        <x:v>M04 粉丝团·房管与成长等级</x:v>
      </x:c>
      <x:c r="G27" s="4" t="str">
        <x:v>充值退款发生但此前赠送的礼物保留</x:v>
      </x:c>
      <x:c r="H27" s="4" t="str">
        <x:v>业务规则</x:v>
      </x:c>
      <x:c r="I27" s="4" t="str">
        <x:v>是否扣减财富等级成长值？</x:v>
      </x:c>
      <x:c r="J27" s="4" t="str">
        <x:v>A. 不扣减，财富成长仍按成功赠礼贡献
B. 按退款回收金币等额扣减财富成长，最低回到1级</x:v>
      </x:c>
      <x:c r="K27" s="4" t="str">
        <x:v>建议优先评估A：明确充值退款发生但此前赠送的礼物保留的唯一处理口径后，可构造确定的输入和结果；此建议不代表产品结论</x:v>
      </x:c>
      <x:c r="L27" s="8" t="str"/>
      <x:c r="M27" s="8" t="str"/>
      <x:c r="N27" s="4" t="str">
        <x:v>1. MainBasis/需求待确认清单.md#Q009：充值退款如何影响以送礼贡献计算的财富等级
2. 主文档关联：U-my-fan-clubs-015、A-admin-level-config-010、A-admin-level-config-023</x:v>
      </x:c>
      <x:c r="O27" s="4" t="str">
        <x:v>1. 用户App：充值退款发生但此前赠送的礼物保留
2. 公会App：充值退款发生但此前赠送的礼物保留
3. 管理后台：充值退款发生但此前赠送的礼物保留</x:v>
      </x:c>
      <x:c r="P27" s="4" t="str"/>
      <x:c r="Q27" s="4" t="str">
        <x:v>1. 是否扣减财富等级成长值的正向、边界及异常场景</x:v>
      </x:c>
      <x:c r="R27" s="4" t="str">
        <x:v>产品</x:v>
      </x:c>
      <x:c r="S27" s="4" t="str">
        <x:v>进入对应功能测试前</x:v>
      </x:c>
      <x:c r="T27" s="4" t="str">
        <x:v>待确认</x:v>
      </x:c>
    </x:row>
    <x:row r="28" ht="110" customHeight="1">
      <x:c r="A28" s="4" t="str">
        <x:v>Q-022</x:v>
      </x:c>
      <x:c r="B28" s="4" t="str">
        <x:v>RQ-011</x:v>
      </x:c>
      <x:c r="C28" s="4" t="str"/>
      <x:c r="D28" s="4" t="str"/>
      <x:c r="E28" s="4" t="str">
        <x:v>部分阻塞</x:v>
      </x:c>
      <x:c r="F28" s="4" t="str">
        <x:v>M08 礼物·道具·任务·邀请与运营配置</x:v>
      </x:c>
      <x:c r="G28" s="4" t="str">
        <x:v>管理员创建任务并选择奖励</x:v>
      </x:c>
      <x:c r="H28" s="4" t="str">
        <x:v>业务规则</x:v>
      </x:c>
      <x:c r="I28" s="4" t="str">
        <x:v>任务奖励是否允许道具？</x:v>
      </x:c>
      <x:c r="J28" s="4" t="str">
        <x:v>A. 仅金币；现有道具视图从本期任务流程移除
B. 允许金币或道具单选；已发出的奖励保持原类型</x:v>
      </x:c>
      <x:c r="K28" s="4" t="str">
        <x:v>建议优先评估A：明确管理员创建任务并选择奖励的唯一处理口径后，可构造确定的输入和结果；此建议不代表产品结论</x:v>
      </x:c>
      <x:c r="L28" s="8" t="str"/>
      <x:c r="M28" s="8" t="str"/>
      <x:c r="N28" s="4" t="str">
        <x:v>1. MainBasis/需求待确认清单.md#Q011：签到、任务与道具奖励的类型和领取方式
2. 主文档关联：U-welfare-center-007、A-admin-task-config-006、U-my-decoration-004、U-views_welfare-center_claimed-005</x:v>
      </x:c>
      <x:c r="O28" s="4" t="str">
        <x:v>1. 用户App：管理员创建任务并选择奖励
2. 公会App：管理员创建任务并选择奖励
3. 管理后台：管理员创建任务并选择奖励</x:v>
      </x:c>
      <x:c r="P28" s="4" t="str"/>
      <x:c r="Q28" s="4" t="str">
        <x:v>1. 任务奖励是否允许道具的正向、边界及异常场景</x:v>
      </x:c>
      <x:c r="R28" s="4" t="str">
        <x:v>产品</x:v>
      </x:c>
      <x:c r="S28" s="4" t="str">
        <x:v>进入对应功能测试前</x:v>
      </x:c>
      <x:c r="T28" s="4" t="str">
        <x:v>待确认</x:v>
      </x:c>
    </x:row>
    <x:row r="29" ht="110" customHeight="1">
      <x:c r="A29" s="4" t="str">
        <x:v>Q-023</x:v>
      </x:c>
      <x:c r="B29" s="4" t="str">
        <x:v>RQ-011</x:v>
      </x:c>
      <x:c r="C29" s="4" t="str"/>
      <x:c r="D29" s="4" t="str"/>
      <x:c r="E29" s="4" t="str">
        <x:v>部分阻塞</x:v>
      </x:c>
      <x:c r="F29" s="4" t="str">
        <x:v>M08 礼物·道具·任务·邀请与运营配置</x:v>
      </x:c>
      <x:c r="G29" s="4" t="str">
        <x:v>用户断签后返回每日签到</x:v>
      </x:c>
      <x:c r="H29" s="4" t="str">
        <x:v>业务规则</x:v>
      </x:c>
      <x:c r="I29" s="4" t="str">
        <x:v>是否允许补签？</x:v>
      </x:c>
      <x:c r="J29" s="4" t="str">
        <x:v>A. 不允许，断签后从第1天重新累计
B. 允许使用补签功能，补签价格及次数以公开配置为准</x:v>
      </x:c>
      <x:c r="K29" s="4" t="str">
        <x:v>建议优先评估A：明确用户断签后返回每日签到的唯一处理口径后，可构造确定的输入和结果；此建议不代表产品结论</x:v>
      </x:c>
      <x:c r="L29" s="8" t="str"/>
      <x:c r="M29" s="8" t="str"/>
      <x:c r="N29" s="4" t="str">
        <x:v>1. MainBasis/需求待确认清单.md#Q011：签到、任务与道具奖励的类型和领取方式
2. 主文档关联：U-welfare-center-007、A-admin-task-config-006、U-my-decoration-004、U-views_welfare-center_claimed-005</x:v>
      </x:c>
      <x:c r="O29" s="4" t="str">
        <x:v>1. 用户App：用户断签后返回每日签到
2. 公会App：用户断签后返回每日签到
3. 管理后台：用户断签后返回每日签到</x:v>
      </x:c>
      <x:c r="P29" s="4" t="str"/>
      <x:c r="Q29" s="4" t="str">
        <x:v>1. 是否允许补签的正向、边界及异常场景</x:v>
      </x:c>
      <x:c r="R29" s="4" t="str">
        <x:v>产品</x:v>
      </x:c>
      <x:c r="S29" s="4" t="str">
        <x:v>进入对应功能测试前</x:v>
      </x:c>
      <x:c r="T29" s="4" t="str">
        <x:v>待确认</x:v>
      </x:c>
    </x:row>
    <x:row r="30" ht="110" customHeight="1">
      <x:c r="A30" s="4" t="str">
        <x:v>Q-024</x:v>
      </x:c>
      <x:c r="B30" s="4" t="str">
        <x:v>RQ-011</x:v>
      </x:c>
      <x:c r="C30" s="4" t="str"/>
      <x:c r="D30" s="4" t="str"/>
      <x:c r="E30" s="4" t="str">
        <x:v>部分阻塞</x:v>
      </x:c>
      <x:c r="F30" s="4" t="str">
        <x:v>M08 礼物·道具·任务·邀请与运营配置</x:v>
      </x:c>
      <x:c r="G30" s="4" t="str">
        <x:v>任务被停用时用户已达标但尚未领取</x:v>
      </x:c>
      <x:c r="H30" s="4" t="str">
        <x:v>业务规则</x:v>
      </x:c>
      <x:c r="I30" s="4" t="str">
        <x:v>停用前已达标且未过领取期限的奖励能否领取？</x:v>
      </x:c>
      <x:c r="J30" s="4" t="str">
        <x:v>A. 可以，按达标时奖励快照领取至原领取期限
B. 不可以，停用起关闭所有未领取奖励</x:v>
      </x:c>
      <x:c r="K30" s="4" t="str">
        <x:v>建议优先评估A：明确任务被停用时用户已达标但尚未领取的唯一处理口径后，可构造确定的输入和结果；此建议不代表产品结论</x:v>
      </x:c>
      <x:c r="L30" s="8" t="str"/>
      <x:c r="M30" s="8" t="str"/>
      <x:c r="N30" s="4" t="str">
        <x:v>1. MainBasis/需求待确认清单.md#Q011：签到、任务与道具奖励的类型和领取方式
2. 主文档关联：U-welfare-center-007、A-admin-task-config-006、U-my-decoration-004、U-views_welfare-center_claimed-005</x:v>
      </x:c>
      <x:c r="O30" s="4" t="str">
        <x:v>1. 用户App：任务被停用时用户已达标但尚未领取
2. 公会App：任务被停用时用户已达标但尚未领取
3. 管理后台：任务被停用时用户已达标但尚未领取</x:v>
      </x:c>
      <x:c r="P30" s="4" t="str"/>
      <x:c r="Q30" s="4" t="str">
        <x:v>1. 停用前已达标且未过领取期限的奖励能否领取的正向、边界及异常场景</x:v>
      </x:c>
      <x:c r="R30" s="4" t="str">
        <x:v>产品</x:v>
      </x:c>
      <x:c r="S30" s="4" t="str">
        <x:v>进入对应功能测试前</x:v>
      </x:c>
      <x:c r="T30" s="4" t="str">
        <x:v>待确认</x:v>
      </x:c>
    </x:row>
    <x:row r="31" ht="96" customHeight="1">
      <x:c r="A31" s="4" t="str">
        <x:v>Q-025</x:v>
      </x:c>
      <x:c r="B31" s="4" t="str">
        <x:v>RQ-012</x:v>
      </x:c>
      <x:c r="C31" s="4" t="str"/>
      <x:c r="D31" s="4" t="str"/>
      <x:c r="E31" s="4" t="str">
        <x:v>部分阻塞</x:v>
      </x:c>
      <x:c r="F31" s="4" t="str">
        <x:v>M08 礼物·道具·任务·邀请与运营配置</x:v>
      </x:c>
      <x:c r="G31" s="4" t="str">
        <x:v>受邀用户首次完成注册绑定</x:v>
      </x:c>
      <x:c r="H31" s="4" t="str">
        <x:v>业务规则</x:v>
      </x:c>
      <x:c r="I31" s="4" t="str">
        <x:v>注册邀请奖励数量采用哪个来源？</x:v>
      </x:c>
      <x:c r="J31" s="4" t="str">
        <x:v>A. 每次固定10金币
B. 按绑定时生效的后台邀请奖励配置</x:v>
      </x:c>
      <x:c r="K31" s="4" t="str">
        <x:v>建议优先评估A：明确受邀用户首次完成注册绑定的唯一处理口径后，可构造确定的输入和结果；此建议不代表产品结论</x:v>
      </x:c>
      <x:c r="L31" s="8" t="str"/>
      <x:c r="M31" s="8" t="str"/>
      <x:c r="N31" s="4" t="str">
        <x:v>1. MainBasis/需求待确认清单.md#Q012：邀请奖励固定值、后台配置与返利范围
2. 主文档关联：U-welfare-center-003、U-invite-friends-005、U-invite-friends-006、U-invite-friends-007</x:v>
      </x:c>
      <x:c r="O31" s="4" t="str">
        <x:v>1. 用户App：受邀用户首次完成注册绑定
2. 公会App：受邀用户首次完成注册绑定
3. 管理后台：受邀用户首次完成注册绑定</x:v>
      </x:c>
      <x:c r="P31" s="4" t="str"/>
      <x:c r="Q31" s="4" t="str">
        <x:v>1. 注册邀请奖励数量采用哪个来源的正向、边界及异常场景</x:v>
      </x:c>
      <x:c r="R31" s="4" t="str">
        <x:v>产品</x:v>
      </x:c>
      <x:c r="S31" s="4" t="str">
        <x:v>进入对应功能测试前</x:v>
      </x:c>
      <x:c r="T31" s="4" t="str">
        <x:v>待确认</x:v>
      </x:c>
    </x:row>
    <x:row r="32" ht="96" customHeight="1">
      <x:c r="A32" s="4" t="str">
        <x:v>Q-026</x:v>
      </x:c>
      <x:c r="B32" s="4" t="str">
        <x:v>RQ-012</x:v>
      </x:c>
      <x:c r="C32" s="4" t="str"/>
      <x:c r="D32" s="4" t="str"/>
      <x:c r="E32" s="4" t="str">
        <x:v>部分阻塞</x:v>
      </x:c>
      <x:c r="F32" s="4" t="str">
        <x:v>M08 礼物·道具·任务·邀请与运营配置</x:v>
      </x:c>
      <x:c r="G32" s="4" t="str">
        <x:v>受邀用户首次完成有效注册绑定</x:v>
      </x:c>
      <x:c r="H32" s="4" t="str">
        <x:v>业务规则</x:v>
      </x:c>
      <x:c r="I32" s="4" t="str">
        <x:v>注册奖励发给谁？</x:v>
      </x:c>
      <x:c r="J32" s="4" t="str">
        <x:v>A. 仅邀请人
B. 邀请人与受邀人各获得一份</x:v>
      </x:c>
      <x:c r="K32" s="4" t="str">
        <x:v>建议优先评估A：明确受邀用户首次完成有效注册绑定的唯一处理口径后，可构造确定的输入和结果；此建议不代表产品结论</x:v>
      </x:c>
      <x:c r="L32" s="8" t="str"/>
      <x:c r="M32" s="8" t="str"/>
      <x:c r="N32" s="4" t="str">
        <x:v>1. MainBasis/需求待确认清单.md#Q012：邀请奖励固定值、后台配置与返利范围
2. 主文档关联：U-welfare-center-003、U-invite-friends-005、U-invite-friends-006、U-invite-friends-007</x:v>
      </x:c>
      <x:c r="O32" s="4" t="str">
        <x:v>1. 用户App：受邀用户首次完成有效注册绑定
2. 公会App：受邀用户首次完成有效注册绑定
3. 管理后台：受邀用户首次完成有效注册绑定</x:v>
      </x:c>
      <x:c r="P32" s="4" t="str"/>
      <x:c r="Q32" s="4" t="str">
        <x:v>1. 注册奖励发给谁的正向、边界及异常场景</x:v>
      </x:c>
      <x:c r="R32" s="4" t="str">
        <x:v>产品</x:v>
      </x:c>
      <x:c r="S32" s="4" t="str">
        <x:v>进入对应功能测试前</x:v>
      </x:c>
      <x:c r="T32" s="4" t="str">
        <x:v>待确认</x:v>
      </x:c>
    </x:row>
    <x:row r="33" ht="96" customHeight="1">
      <x:c r="A33" s="4" t="str">
        <x:v>Q-027</x:v>
      </x:c>
      <x:c r="B33" s="4" t="str">
        <x:v>RQ-012</x:v>
      </x:c>
      <x:c r="C33" s="4" t="str"/>
      <x:c r="D33" s="4" t="str"/>
      <x:c r="E33" s="4" t="str">
        <x:v>部分阻塞</x:v>
      </x:c>
      <x:c r="F33" s="4" t="str">
        <x:v>M08 礼物·道具·任务·邀请与运营配置</x:v>
      </x:c>
      <x:c r="G33" s="4" t="str">
        <x:v>受邀用户后续充值成功</x:v>
      </x:c>
      <x:c r="H33" s="4" t="str">
        <x:v>业务规则</x:v>
      </x:c>
      <x:c r="I33" s="4" t="str">
        <x:v>本期是否提供充值邀请返利？</x:v>
      </x:c>
      <x:c r="J33" s="4" t="str">
        <x:v>A. 不提供，邀请收益仅来自注册绑定
B. 提供，按充值成功时生效的返利比例配置结算</x:v>
      </x:c>
      <x:c r="K33" s="4" t="str">
        <x:v>建议优先评估A：明确受邀用户后续充值成功的唯一处理口径后，可构造确定的输入和结果；此建议不代表产品结论</x:v>
      </x:c>
      <x:c r="L33" s="8" t="str"/>
      <x:c r="M33" s="8" t="str"/>
      <x:c r="N33" s="4" t="str">
        <x:v>1. MainBasis/需求待确认清单.md#Q012：邀请奖励固定值、后台配置与返利范围
2. 主文档关联：U-welfare-center-003、U-invite-friends-005、U-invite-friends-006、U-invite-friends-007</x:v>
      </x:c>
      <x:c r="O33" s="4" t="str">
        <x:v>1. 用户App：受邀用户后续充值成功
2. 公会App：受邀用户后续充值成功
3. 管理后台：受邀用户后续充值成功</x:v>
      </x:c>
      <x:c r="P33" s="4" t="str"/>
      <x:c r="Q33" s="4" t="str">
        <x:v>1. 本期是否提供充值邀请返利的正向、边界及异常场景</x:v>
      </x:c>
      <x:c r="R33" s="4" t="str">
        <x:v>产品</x:v>
      </x:c>
      <x:c r="S33" s="4" t="str">
        <x:v>进入对应功能测试前</x:v>
      </x:c>
      <x:c r="T33" s="4" t="str">
        <x:v>待确认</x:v>
      </x:c>
    </x:row>
    <x:row r="34" ht="96" customHeight="1">
      <x:c r="A34" s="4" t="str">
        <x:v>Q-028</x:v>
      </x:c>
      <x:c r="B34" s="4" t="str">
        <x:v>RQ-013</x:v>
      </x:c>
      <x:c r="C34" s="4" t="str"/>
      <x:c r="D34" s="4" t="str"/>
      <x:c r="E34" s="4" t="str">
        <x:v>部分阻塞</x:v>
      </x:c>
      <x:c r="F34" s="4" t="str">
        <x:v>M04 粉丝团·房管与成长等级</x:v>
      </x:c>
      <x:c r="G34" s="4" t="str">
        <x:v>用户加入主播粉丝团前已向该主播送礼</x:v>
      </x:c>
      <x:c r="H34" s="4" t="str">
        <x:v>业务规则</x:v>
      </x:c>
      <x:c r="I34" s="4" t="str">
        <x:v>入团前礼物是否计入首次粉丝等级？</x:v>
      </x:c>
      <x:c r="J34" s="4" t="str">
        <x:v>A. 不计入，从本次入团时点累计
B. 计入该用户对该主播的全部历史成功赠礼</x:v>
      </x:c>
      <x:c r="K34" s="4" t="str">
        <x:v>建议优先评估A：明确用户加入主播粉丝团前已向该主播送礼的唯一处理口径后，可构造确定的输入和结果；此建议不代表产品结论</x:v>
      </x:c>
      <x:c r="L34" s="8" t="str"/>
      <x:c r="M34" s="8" t="str"/>
      <x:c r="N34" s="4" t="str">
        <x:v>1. MainBasis/需求待确认清单.md#Q013：粉丝等级、团等级与亲密度的统计归属
2. 主文档关联：U-my-fan-clubs-009、A-admin-level-config-022、U-my-fan-clubs-020</x:v>
      </x:c>
      <x:c r="O34" s="4" t="str">
        <x:v>1. 用户App：用户加入主播粉丝团前已向该主播送礼
2. 公会App：用户加入主播粉丝团前已向该主播送礼
3. 管理后台：用户加入主播粉丝团前已向该主播送礼</x:v>
      </x:c>
      <x:c r="P34" s="4" t="str"/>
      <x:c r="Q34" s="4" t="str">
        <x:v>1. 入团前礼物是否计入首次粉丝等级的正向、边界及异常场景</x:v>
      </x:c>
      <x:c r="R34" s="4" t="str">
        <x:v>产品</x:v>
      </x:c>
      <x:c r="S34" s="4" t="str">
        <x:v>进入对应功能测试前</x:v>
      </x:c>
      <x:c r="T34" s="4" t="str">
        <x:v>待确认</x:v>
      </x:c>
    </x:row>
    <x:row r="35" ht="96" customHeight="1">
      <x:c r="A35" s="4" t="str">
        <x:v>Q-029</x:v>
      </x:c>
      <x:c r="B35" s="4" t="str">
        <x:v>RQ-013</x:v>
      </x:c>
      <x:c r="C35" s="4" t="str"/>
      <x:c r="D35" s="4" t="str"/>
      <x:c r="E35" s="4" t="str">
        <x:v>部分阻塞</x:v>
      </x:c>
      <x:c r="F35" s="4" t="str">
        <x:v>M04 粉丝团·房管与成长等级</x:v>
      </x:c>
      <x:c r="G35" s="4" t="str">
        <x:v>粉丝团成员长期未互动但仍保有团籍</x:v>
      </x:c>
      <x:c r="H35" s="4" t="str">
        <x:v>业务规则</x:v>
      </x:c>
      <x:c r="I35" s="4" t="str">
        <x:v>长期不活跃是否降低粉丝团等级？</x:v>
      </x:c>
      <x:c r="J35" s="4" t="str">
        <x:v>A. 不降低，仅按累计有效收礼计算
B. 按后台公开的不活跃周期和降级规则配置调整</x:v>
      </x:c>
      <x:c r="K35" s="4" t="str">
        <x:v>建议优先评估A：明确粉丝团成员长期未互动但仍保有团籍的唯一处理口径后，可构造确定的输入和结果；此建议不代表产品结论</x:v>
      </x:c>
      <x:c r="L35" s="8" t="str"/>
      <x:c r="M35" s="8" t="str"/>
      <x:c r="N35" s="4" t="str">
        <x:v>1. MainBasis/需求待确认清单.md#Q013：粉丝等级、团等级与亲密度的统计归属
2. 主文档关联：U-my-fan-clubs-009、A-admin-level-config-022、U-my-fan-clubs-020</x:v>
      </x:c>
      <x:c r="O35" s="4" t="str">
        <x:v>1. 用户App：粉丝团成员长期未互动但仍保有团籍
2. 公会App：粉丝团成员长期未互动但仍保有团籍
3. 管理后台：粉丝团成员长期未互动但仍保有团籍</x:v>
      </x:c>
      <x:c r="P35" s="4" t="str"/>
      <x:c r="Q35" s="4" t="str">
        <x:v>1. 长期不活跃是否降低粉丝团等级的正向、边界及异常场景</x:v>
      </x:c>
      <x:c r="R35" s="4" t="str">
        <x:v>产品</x:v>
      </x:c>
      <x:c r="S35" s="4" t="str">
        <x:v>进入对应功能测试前</x:v>
      </x:c>
      <x:c r="T35" s="4" t="str">
        <x:v>待确认</x:v>
      </x:c>
    </x:row>
    <x:row r="36" ht="96" customHeight="1">
      <x:c r="A36" s="4" t="str">
        <x:v>Q-030</x:v>
      </x:c>
      <x:c r="B36" s="4" t="str">
        <x:v>RQ-014</x:v>
      </x:c>
      <x:c r="C36" s="4" t="str"/>
      <x:c r="D36" s="4" t="str"/>
      <x:c r="E36" s="4" t="str">
        <x:v>部分阻塞</x:v>
      </x:c>
      <x:c r="F36" s="4" t="str">
        <x:v>M04 粉丝团·房管与成长等级</x:v>
      </x:c>
      <x:c r="G36" s="4" t="str">
        <x:v>已退团用户重新加入后查看贡献榜</x:v>
      </x:c>
      <x:c r="H36" s="4" t="str">
        <x:v>业务规则</x:v>
      </x:c>
      <x:c r="I36" s="4" t="str">
        <x:v>历史团籍贡献是否继续计入榜单？</x:v>
      </x:c>
      <x:c r="J36" s="4" t="str">
        <x:v>A. 只统计当前团籍有效期间的贡献
B. 统计该用户历史全部团籍期间的贡献</x:v>
      </x:c>
      <x:c r="K36" s="4" t="str">
        <x:v>建议优先评估A：明确已退团用户重新加入后查看贡献榜的唯一处理口径后，可构造确定的输入和结果；此建议不代表产品结论</x:v>
      </x:c>
      <x:c r="L36" s="8" t="str"/>
      <x:c r="M36" s="8" t="str"/>
      <x:c r="N36" s="4" t="str">
        <x:v>1. MainBasis/需求待确认清单.md#Q014：粉丝团贡献榜、成员榜与个人卡片的口径
2. 主文档关联：U-my-fan-clubs-010、U-fan-contribution-ranking-002、U-my-fan-clubs-011、U-my-fan-clubs-012</x:v>
      </x:c>
      <x:c r="O36" s="4" t="str">
        <x:v>1. 用户App：已退团用户重新加入后查看贡献榜
2. 公会App：已退团用户重新加入后查看贡献榜
3. 管理后台：已退团用户重新加入后查看贡献榜</x:v>
      </x:c>
      <x:c r="P36" s="4" t="str"/>
      <x:c r="Q36" s="4" t="str">
        <x:v>1. 历史团籍贡献是否继续计入榜单的正向、边界及异常场景</x:v>
      </x:c>
      <x:c r="R36" s="4" t="str">
        <x:v>产品</x:v>
      </x:c>
      <x:c r="S36" s="4" t="str">
        <x:v>进入对应功能测试前</x:v>
      </x:c>
      <x:c r="T36" s="4" t="str">
        <x:v>待确认</x:v>
      </x:c>
    </x:row>
    <x:row r="37" ht="96" customHeight="1">
      <x:c r="A37" s="4" t="str">
        <x:v>Q-031</x:v>
      </x:c>
      <x:c r="B37" s="4" t="str">
        <x:v>RQ-014</x:v>
      </x:c>
      <x:c r="C37" s="4" t="str"/>
      <x:c r="D37" s="4" t="str"/>
      <x:c r="E37" s="4" t="str">
        <x:v>部分阻塞</x:v>
      </x:c>
      <x:c r="F37" s="4" t="str">
        <x:v>M04 粉丝团·房管与成长等级</x:v>
      </x:c>
      <x:c r="G37" s="4" t="str">
        <x:v>当前用户未进入粉丝团贡献前三名</x:v>
      </x:c>
      <x:c r="H37" s="4" t="str">
        <x:v>业务规则</x:v>
      </x:c>
      <x:c r="I37" s="4" t="str">
        <x:v>我的粉丝团卡片的头像位置如何分配？</x:v>
      </x:c>
      <x:c r="J37" s="4" t="str">
        <x:v>A. 本人固定占1位，另2位按贡献排序
B. 仅显示贡献前三名，本人未入前三则不显示本人</x:v>
      </x:c>
      <x:c r="K37" s="4" t="str">
        <x:v>建议优先评估A：明确当前用户未进入粉丝团贡献前三名的唯一处理口径后，可构造确定的输入和结果；此建议不代表产品结论</x:v>
      </x:c>
      <x:c r="L37" s="8" t="str"/>
      <x:c r="M37" s="8" t="str"/>
      <x:c r="N37" s="4" t="str">
        <x:v>1. MainBasis/需求待确认清单.md#Q014：粉丝团贡献榜、成员榜与个人卡片的口径
2. 主文档关联：U-my-fan-clubs-010、U-fan-contribution-ranking-002、U-my-fan-clubs-011、U-my-fan-clubs-012</x:v>
      </x:c>
      <x:c r="O37" s="4" t="str">
        <x:v>1. 用户App：当前用户未进入粉丝团贡献前三名
2. 公会App：当前用户未进入粉丝团贡献前三名
3. 管理后台：当前用户未进入粉丝团贡献前三名</x:v>
      </x:c>
      <x:c r="P37" s="4" t="str"/>
      <x:c r="Q37" s="4" t="str">
        <x:v>1. 我的粉丝团卡片的头像位置如何分配的正向、边界及异常场景</x:v>
      </x:c>
      <x:c r="R37" s="4" t="str">
        <x:v>产品</x:v>
      </x:c>
      <x:c r="S37" s="4" t="str">
        <x:v>进入对应功能测试前</x:v>
      </x:c>
      <x:c r="T37" s="4" t="str">
        <x:v>待确认</x:v>
      </x:c>
    </x:row>
    <x:row r="38" ht="96" customHeight="1">
      <x:c r="A38" s="4" t="str">
        <x:v>Q-032</x:v>
      </x:c>
      <x:c r="B38" s="4" t="str">
        <x:v>RQ-015</x:v>
      </x:c>
      <x:c r="C38" s="4" t="str"/>
      <x:c r="D38" s="4" t="str"/>
      <x:c r="E38" s="4" t="str">
        <x:v>部分阻塞</x:v>
      </x:c>
      <x:c r="F38" s="4" t="str">
        <x:v>M04 粉丝团·房管与成长等级</x:v>
      </x:c>
      <x:c r="G38" s="4" t="str">
        <x:v>管理员编辑连续等级的成长门槛</x:v>
      </x:c>
      <x:c r="H38" s="4" t="str">
        <x:v>业务规则</x:v>
      </x:c>
      <x:c r="I38" s="4" t="str">
        <x:v>相邻等级门槛是否必须严格递增？</x:v>
      </x:c>
      <x:c r="J38" s="4" t="str">
        <x:v>A. 必须严格递增，相同或倒置拒绝保存
B. 允许相同门槛，达标时取其中最高等级</x:v>
      </x:c>
      <x:c r="K38" s="4" t="str">
        <x:v>建议优先评估A：明确管理员编辑连续等级的成长门槛的唯一处理口径后，可构造确定的输入和结果；此建议不代表产品结论</x:v>
      </x:c>
      <x:c r="L38" s="8" t="str"/>
      <x:c r="M38" s="8" t="str"/>
      <x:c r="N38" s="4" t="str">
        <x:v>1. MainBasis/需求待确认清单.md#Q015：等级门槛、保存并发和勋章展示边界
2. 主文档关联：A-admin-level-config-019、A-admin-level-config-020、A-admin-level-config-021、A-admin-level-config-022</x:v>
      </x:c>
      <x:c r="O38" s="4" t="str">
        <x:v>1. 用户App：管理员编辑连续等级的成长门槛
2. 公会App：管理员编辑连续等级的成长门槛
3. 管理后台：管理员编辑连续等级的成长门槛</x:v>
      </x:c>
      <x:c r="P38" s="4" t="str"/>
      <x:c r="Q38" s="4" t="str">
        <x:v>1. 相邻等级门槛是否必须严格递增的正向、边界及异常场景</x:v>
      </x:c>
      <x:c r="R38" s="4" t="str">
        <x:v>产品</x:v>
      </x:c>
      <x:c r="S38" s="4" t="str">
        <x:v>进入对应功能测试前</x:v>
      </x:c>
      <x:c r="T38" s="4" t="str">
        <x:v>待确认</x:v>
      </x:c>
    </x:row>
    <x:row r="39" ht="96" customHeight="1">
      <x:c r="A39" s="4" t="str">
        <x:v>Q-033</x:v>
      </x:c>
      <x:c r="B39" s="4" t="str">
        <x:v>RQ-015</x:v>
      </x:c>
      <x:c r="C39" s="4" t="str"/>
      <x:c r="D39" s="4" t="str"/>
      <x:c r="E39" s="4" t="str">
        <x:v>部分阻塞</x:v>
      </x:c>
      <x:c r="F39" s="4" t="str">
        <x:v>M04 粉丝团·房管与成长等级</x:v>
      </x:c>
      <x:c r="G39" s="4" t="str">
        <x:v>两位管理员同时编辑同一等级配置</x:v>
      </x:c>
      <x:c r="H39" s="4" t="str">
        <x:v>业务规则</x:v>
      </x:c>
      <x:c r="I39" s="4" t="str">
        <x:v>后提交者如何处理版本冲突？</x:v>
      </x:c>
      <x:c r="J39" s="4" t="str">
        <x:v>A. 拒绝旧版本提交并要求刷新
B. 以最后一次成功提交的整组配置为准</x:v>
      </x:c>
      <x:c r="K39" s="4" t="str">
        <x:v>建议优先评估A：明确两位管理员同时编辑同一等级配置的唯一处理口径后，可构造确定的输入和结果；此建议不代表产品结论</x:v>
      </x:c>
      <x:c r="L39" s="8" t="str"/>
      <x:c r="M39" s="8" t="str"/>
      <x:c r="N39" s="4" t="str">
        <x:v>1. MainBasis/需求待确认清单.md#Q015：等级门槛、保存并发和勋章展示边界
2. 主文档关联：A-admin-level-config-019、A-admin-level-config-020、A-admin-level-config-021、A-admin-level-config-022</x:v>
      </x:c>
      <x:c r="O39" s="4" t="str">
        <x:v>1. 用户App：两位管理员同时编辑同一等级配置
2. 公会App：两位管理员同时编辑同一等级配置
3. 管理后台：两位管理员同时编辑同一等级配置</x:v>
      </x:c>
      <x:c r="P39" s="4" t="str"/>
      <x:c r="Q39" s="4" t="str">
        <x:v>1. 后提交者如何处理版本冲突的正向、边界及异常场景</x:v>
      </x:c>
      <x:c r="R39" s="4" t="str">
        <x:v>产品</x:v>
      </x:c>
      <x:c r="S39" s="4" t="str">
        <x:v>进入对应功能测试前</x:v>
      </x:c>
      <x:c r="T39" s="4" t="str">
        <x:v>待确认</x:v>
      </x:c>
    </x:row>
    <x:row r="40" ht="96" customHeight="1">
      <x:c r="A40" s="4" t="str">
        <x:v>Q-034</x:v>
      </x:c>
      <x:c r="B40" s="4" t="str">
        <x:v>RQ-015</x:v>
      </x:c>
      <x:c r="C40" s="4" t="str"/>
      <x:c r="D40" s="4" t="str"/>
      <x:c r="E40" s="4" t="str">
        <x:v>部分阻塞</x:v>
      </x:c>
      <x:c r="F40" s="4" t="str">
        <x:v>M04 粉丝团·房管与成长等级</x:v>
      </x:c>
      <x:c r="G40" s="4" t="str">
        <x:v>用户成长后获得更高等级勋章</x:v>
      </x:c>
      <x:c r="H40" s="4" t="str">
        <x:v>业务规则</x:v>
      </x:c>
      <x:c r="I40" s="4" t="str">
        <x:v>新等级勋章是否自动替换已佩戴的旧等级勋章？</x:v>
      </x:c>
      <x:c r="J40" s="4" t="str">
        <x:v>A. 自动替换同系列旧勋章
B. 仅发入背包，由用户手动佩戴</x:v>
      </x:c>
      <x:c r="K40" s="4" t="str">
        <x:v>建议优先评估A：明确用户成长后获得更高等级勋章的唯一处理口径后，可构造确定的输入和结果；此建议不代表产品结论</x:v>
      </x:c>
      <x:c r="L40" s="8" t="str"/>
      <x:c r="M40" s="8" t="str"/>
      <x:c r="N40" s="4" t="str">
        <x:v>1. MainBasis/需求待确认清单.md#Q015：等级门槛、保存并发和勋章展示边界
2. 主文档关联：A-admin-level-config-019、A-admin-level-config-020、A-admin-level-config-021、A-admin-level-config-022</x:v>
      </x:c>
      <x:c r="O40" s="4" t="str">
        <x:v>1. 用户App：用户成长后获得更高等级勋章
2. 公会App：用户成长后获得更高等级勋章
3. 管理后台：用户成长后获得更高等级勋章</x:v>
      </x:c>
      <x:c r="P40" s="4" t="str"/>
      <x:c r="Q40" s="4" t="str">
        <x:v>1. 新等级勋章是否自动替换已佩戴的旧等级勋章的正向、边界及异常场景</x:v>
      </x:c>
      <x:c r="R40" s="4" t="str">
        <x:v>产品</x:v>
      </x:c>
      <x:c r="S40" s="4" t="str">
        <x:v>进入对应功能测试前</x:v>
      </x:c>
      <x:c r="T40" s="4" t="str">
        <x:v>待确认</x:v>
      </x:c>
    </x:row>
    <x:row r="41" ht="96" customHeight="1">
      <x:c r="A41" s="4" t="str">
        <x:v>Q-035</x:v>
      </x:c>
      <x:c r="B41" s="4" t="str">
        <x:v>RQ-016</x:v>
      </x:c>
      <x:c r="C41" s="4" t="str"/>
      <x:c r="D41" s="4" t="str"/>
      <x:c r="E41" s="4" t="str">
        <x:v>部分阻塞</x:v>
      </x:c>
      <x:c r="F41" s="4" t="str">
        <x:v>M06 开播·房型·观看·连麦与房内管理</x:v>
      </x:c>
      <x:c r="G41" s="4" t="str">
        <x:v>主播接受一条连麦邀请且还有其他已收到邀请</x:v>
      </x:c>
      <x:c r="H41" s="4" t="str">
        <x:v>业务规则</x:v>
      </x:c>
      <x:c r="I41" s="4" t="str">
        <x:v>接受后其他已收到邀请是否失效？</x:v>
      </x:c>
      <x:c r="J41" s="4" t="str">
        <x:v>A. 保留，恢复单播后在原有效期内可继续处理
B. 全部失效，不再允许接受</x:v>
      </x:c>
      <x:c r="K41" s="4" t="str">
        <x:v>建议优先评估A：明确主播接受一条连麦邀请且还有其他已收到邀请的唯一处理口径后，可构造确定的输入和结果；此建议不代表产品结论</x:v>
      </x:c>
      <x:c r="L41" s="8" t="str"/>
      <x:c r="M41" s="8" t="str"/>
      <x:c r="N41" s="4" t="str">
        <x:v>1. MainBasis/需求待确认清单.md#Q016：接受连麦后其他收到的邀请是否保留
2. 主文档关联：D-SYS-110、U-views_live-room-host_cohost-hosts-006、U-views_live-room-host_cohost-invite-notice-005</x:v>
      </x:c>
      <x:c r="O41" s="4" t="str">
        <x:v>1. 用户App：主播接受一条连麦邀请且还有其他已收到邀请
2. 公会App：主播接受一条连麦邀请且还有其他已收到邀请
3. 管理后台：主播接受一条连麦邀请且还有其他已收到邀请</x:v>
      </x:c>
      <x:c r="P41" s="4" t="str"/>
      <x:c r="Q41" s="4" t="str">
        <x:v>1. 接受后其他已收到邀请是否失效的正向、边界及异常场景</x:v>
      </x:c>
      <x:c r="R41" s="4" t="str">
        <x:v>产品</x:v>
      </x:c>
      <x:c r="S41" s="4" t="str">
        <x:v>进入对应功能测试前</x:v>
      </x:c>
      <x:c r="T41" s="4" t="str">
        <x:v>待确认</x:v>
      </x:c>
    </x:row>
    <x:row r="42" ht="82" customHeight="1">
      <x:c r="A42" s="4" t="str">
        <x:v>Q-036</x:v>
      </x:c>
      <x:c r="B42" s="4" t="str">
        <x:v>RQ-017</x:v>
      </x:c>
      <x:c r="C42" s="4" t="str"/>
      <x:c r="D42" s="4" t="str"/>
      <x:c r="E42" s="4" t="str">
        <x:v>部分阻塞</x:v>
      </x:c>
      <x:c r="F42" s="4" t="str">
        <x:v>M06 开播·房型·观看·连麦与房内管理</x:v>
      </x:c>
      <x:c r="G42" s="4" t="str">
        <x:v>主播在直播间清屏</x:v>
      </x:c>
      <x:c r="H42" s="4" t="str">
        <x:v>跨端与跨模块一致性</x:v>
      </x:c>
      <x:c r="I42" s="4" t="str">
        <x:v>主播清屏是否影响其他设备的评论？</x:v>
      </x:c>
      <x:c r="J42" s="4" t="str">
        <x:v>A. 仅清除当前设备已展示的评论
B. 同步清除本场所有在线设备已展示的评论</x:v>
      </x:c>
      <x:c r="K42" s="4" t="str">
        <x:v>建议优先评估A：明确主播在直播间清屏的唯一处理口径后，可构造确定的输入和结果；此建议不代表产品结论</x:v>
      </x:c>
      <x:c r="L42" s="8" t="str"/>
      <x:c r="M42" s="8" t="str"/>
      <x:c r="N42" s="4" t="str">
        <x:v>1. MainBasis/需求待确认清单.md#Q017：清屏的作用范围
2. 主文档关联：D-SYS-102、U-live-room-017、U-live-room-host-013、U-views_live-room_more-actions-003</x:v>
      </x:c>
      <x:c r="O42" s="4" t="str">
        <x:v>1. 用户App：主播在直播间清屏
2. 管理后台：主播在直播间清屏</x:v>
      </x:c>
      <x:c r="P42" s="4" t="str"/>
      <x:c r="Q42" s="4" t="str">
        <x:v>1. 主播清屏是否影响其他设备的评论的正向、边界及异常场景</x:v>
      </x:c>
      <x:c r="R42" s="4" t="str">
        <x:v>产品</x:v>
      </x:c>
      <x:c r="S42" s="4" t="str">
        <x:v>进入对应功能测试前</x:v>
      </x:c>
      <x:c r="T42" s="4" t="str">
        <x:v>待确认</x:v>
      </x:c>
    </x:row>
    <x:row r="43" ht="82" customHeight="1">
      <x:c r="A43" s="4" t="str">
        <x:v>Q-037</x:v>
      </x:c>
      <x:c r="B43" s="4" t="str">
        <x:v>RQ-017</x:v>
      </x:c>
      <x:c r="C43" s="4" t="str"/>
      <x:c r="D43" s="4" t="str"/>
      <x:c r="E43" s="4" t="str">
        <x:v>部分阻塞</x:v>
      </x:c>
      <x:c r="F43" s="4" t="str">
        <x:v>M06 开播·房型·观看·连麦与房内管理</x:v>
      </x:c>
      <x:c r="G43" s="4" t="str">
        <x:v>观众在直播间清屏</x:v>
      </x:c>
      <x:c r="H43" s="4" t="str">
        <x:v>跨端与跨模块一致性</x:v>
      </x:c>
      <x:c r="I43" s="4" t="str">
        <x:v>观众清屏是否影响其他设备的评论？</x:v>
      </x:c>
      <x:c r="J43" s="4" t="str">
        <x:v>A. 仅清除当前设备已展示的评论
B. 同步清除本场所有在线设备已展示的评论</x:v>
      </x:c>
      <x:c r="K43" s="4" t="str">
        <x:v>建议优先评估A：明确观众在直播间清屏的唯一处理口径后，可构造确定的输入和结果；此建议不代表产品结论</x:v>
      </x:c>
      <x:c r="L43" s="8" t="str"/>
      <x:c r="M43" s="8" t="str"/>
      <x:c r="N43" s="4" t="str">
        <x:v>1. MainBasis/需求待确认清单.md#Q017：清屏的作用范围
2. 主文档关联：D-SYS-102、U-live-room-017、U-live-room-host-013、U-views_live-room_more-actions-003</x:v>
      </x:c>
      <x:c r="O43" s="4" t="str">
        <x:v>1. 用户App：观众在直播间清屏
2. 管理后台：观众在直播间清屏</x:v>
      </x:c>
      <x:c r="P43" s="4" t="str"/>
      <x:c r="Q43" s="4" t="str">
        <x:v>1. 观众清屏是否影响其他设备的评论的正向、边界及异常场景</x:v>
      </x:c>
      <x:c r="R43" s="4" t="str">
        <x:v>产品</x:v>
      </x:c>
      <x:c r="S43" s="4" t="str">
        <x:v>进入对应功能测试前</x:v>
      </x:c>
      <x:c r="T43" s="4" t="str">
        <x:v>待确认</x:v>
      </x:c>
    </x:row>
    <x:row r="44" ht="96" customHeight="1">
      <x:c r="A44" s="4" t="str">
        <x:v>Q-038</x:v>
      </x:c>
      <x:c r="B44" s="4" t="str">
        <x:v>RQ-018</x:v>
      </x:c>
      <x:c r="C44" s="4" t="str"/>
      <x:c r="D44" s="4" t="str"/>
      <x:c r="E44" s="4" t="str">
        <x:v>部分阻塞</x:v>
      </x:c>
      <x:c r="F44" s="4" t="str">
        <x:v>M02 发现·搜索·主页与平台榜单</x:v>
      </x:c>
      <x:c r="G44" s="4" t="str">
        <x:v>用户金币余额为负数并发起注销</x:v>
      </x:c>
      <x:c r="H44" s="4" t="str">
        <x:v>业务规则</x:v>
      </x:c>
      <x:c r="I44" s="4" t="str">
        <x:v>负余额是否满足小于100金币的注销条件？</x:v>
      </x:c>
      <x:c r="J44" s="4" t="str">
        <x:v>A. 不满足，负余额结清至非负后才能申请
B. 满足，余额小于100即可申请</x:v>
      </x:c>
      <x:c r="K44" s="4" t="str">
        <x:v>建议优先评估A：明确用户金币余额为负数并发起注销的唯一处理口径后，可构造确定的输入和结果；此建议不代表产品结论</x:v>
      </x:c>
      <x:c r="L44" s="8" t="str"/>
      <x:c r="M44" s="8" t="str"/>
      <x:c r="N44" s="4" t="str">
        <x:v>1. MainBasis/需求待确认清单.md#Q018：注销资产门槛和冷静期后数据留存
2. 主文档关联：U-host-ranking-009、U-contribution-ranking-009、U-fan-contribution-ranking-009、U-auth-login-register-014</x:v>
      </x:c>
      <x:c r="O44" s="4" t="str">
        <x:v>1. 用户App：用户金币余额为负数并发起注销
2. 公会App：用户金币余额为负数并发起注销
3. 管理后台：用户金币余额为负数并发起注销</x:v>
      </x:c>
      <x:c r="P44" s="4" t="str"/>
      <x:c r="Q44" s="4" t="str">
        <x:v>1. 负余额是否满足小于100金币的注销条件的正向、边界及异常场景</x:v>
      </x:c>
      <x:c r="R44" s="4" t="str">
        <x:v>产品</x:v>
      </x:c>
      <x:c r="S44" s="4" t="str">
        <x:v>进入对应功能测试前</x:v>
      </x:c>
      <x:c r="T44" s="4" t="str">
        <x:v>待确认</x:v>
      </x:c>
    </x:row>
    <x:row r="45" ht="96" customHeight="1">
      <x:c r="A45" s="4" t="str">
        <x:v>Q-039</x:v>
      </x:c>
      <x:c r="B45" s="4" t="str">
        <x:v>RQ-018</x:v>
      </x:c>
      <x:c r="C45" s="4" t="str"/>
      <x:c r="D45" s="4" t="str"/>
      <x:c r="E45" s="4" t="str">
        <x:v>部分阻塞</x:v>
      </x:c>
      <x:c r="F45" s="4" t="str">
        <x:v>M02 发现·搜索·主页与平台榜单</x:v>
      </x:c>
      <x:c r="G45" s="4" t="str">
        <x:v>主播仍有未结收益并发起注销</x:v>
      </x:c>
      <x:c r="H45" s="4" t="str">
        <x:v>业务规则</x:v>
      </x:c>
      <x:c r="I45" s="4" t="str">
        <x:v>未结收益是否阻止注销申请？</x:v>
      </x:c>
      <x:c r="J45" s="4" t="str">
        <x:v>A. 阻止，结清后才能提交
B. 不阻止，保留财务身份与债权记录至结清</x:v>
      </x:c>
      <x:c r="K45" s="4" t="str">
        <x:v>建议优先评估A：明确主播仍有未结收益并发起注销的唯一处理口径后，可构造确定的输入和结果；此建议不代表产品结论</x:v>
      </x:c>
      <x:c r="L45" s="8" t="str"/>
      <x:c r="M45" s="8" t="str"/>
      <x:c r="N45" s="4" t="str">
        <x:v>1. MainBasis/需求待确认清单.md#Q018：注销资产门槛和冷静期后数据留存
2. 主文档关联：U-host-ranking-009、U-contribution-ranking-009、U-fan-contribution-ranking-009、U-auth-login-register-014</x:v>
      </x:c>
      <x:c r="O45" s="4" t="str">
        <x:v>1. 用户App：主播仍有未结收益并发起注销
2. 公会App：主播仍有未结收益并发起注销
3. 管理后台：主播仍有未结收益并发起注销</x:v>
      </x:c>
      <x:c r="P45" s="4" t="str"/>
      <x:c r="Q45" s="4" t="str">
        <x:v>1. 未结收益是否阻止注销申请的正向、边界及异常场景</x:v>
      </x:c>
      <x:c r="R45" s="4" t="str">
        <x:v>产品</x:v>
      </x:c>
      <x:c r="S45" s="4" t="str">
        <x:v>进入对应功能测试前</x:v>
      </x:c>
      <x:c r="T45" s="4" t="str">
        <x:v>待确认</x:v>
      </x:c>
    </x:row>
    <x:row r="46" ht="96" customHeight="1">
      <x:c r="A46" s="4" t="str">
        <x:v>Q-040</x:v>
      </x:c>
      <x:c r="B46" s="4" t="str">
        <x:v>RQ-018</x:v>
      </x:c>
      <x:c r="C46" s="4" t="str"/>
      <x:c r="D46" s="4" t="str"/>
      <x:c r="E46" s="4" t="str">
        <x:v>部分阻塞</x:v>
      </x:c>
      <x:c r="F46" s="4" t="str">
        <x:v>M02 发现·搜索·主页与平台榜单</x:v>
      </x:c>
      <x:c r="G46" s="4" t="str">
        <x:v>七日冷静期结束，账号最终注销</x:v>
      </x:c>
      <x:c r="H46" s="4" t="str">
        <x:v>业务规则</x:v>
      </x:c>
      <x:c r="I46" s="4" t="str">
        <x:v>财务及榜单历史是否保留？</x:v>
      </x:c>
      <x:c r="J46" s="4" t="str">
        <x:v>A. 保留去标识历史记录，名称统一为账号已注销
B. 删除个人展示历史，财务凭证按独立留存规则保留</x:v>
      </x:c>
      <x:c r="K46" s="4" t="str">
        <x:v>建议优先评估A：明确七日冷静期结束，账号最终注销的唯一处理口径后，可构造确定的输入和结果；此建议不代表产品结论</x:v>
      </x:c>
      <x:c r="L46" s="8" t="str"/>
      <x:c r="M46" s="8" t="str"/>
      <x:c r="N46" s="4" t="str">
        <x:v>1. MainBasis/需求待确认清单.md#Q018：注销资产门槛和冷静期后数据留存
2. 主文档关联：U-host-ranking-009、U-contribution-ranking-009、U-fan-contribution-ranking-009、U-auth-login-register-014</x:v>
      </x:c>
      <x:c r="O46" s="4" t="str">
        <x:v>1. 用户App：七日冷静期结束，账号最终注销
2. 公会App：七日冷静期结束，账号最终注销
3. 管理后台：七日冷静期结束，账号最终注销</x:v>
      </x:c>
      <x:c r="P46" s="4" t="str"/>
      <x:c r="Q46" s="4" t="str">
        <x:v>1. 财务及榜单历史是否保留的正向、边界及异常场景</x:v>
      </x:c>
      <x:c r="R46" s="4" t="str">
        <x:v>产品</x:v>
      </x:c>
      <x:c r="S46" s="4" t="str">
        <x:v>进入对应功能测试前</x:v>
      </x:c>
      <x:c r="T46" s="4" t="str">
        <x:v>待确认</x:v>
      </x:c>
    </x:row>
    <x:row r="47" ht="96" customHeight="1">
      <x:c r="A47" s="4" t="str">
        <x:v>Q-043</x:v>
      </x:c>
      <x:c r="B47" s="4" t="str">
        <x:v>RQ-019</x:v>
      </x:c>
      <x:c r="C47" s="4" t="str"/>
      <x:c r="D47" s="4" t="str"/>
      <x:c r="E47" s="4" t="str">
        <x:v>部分阻塞</x:v>
      </x:c>
      <x:c r="F47" s="4" t="str">
        <x:v>M01 账号·登录·资料与设置</x:v>
      </x:c>
      <x:c r="G47" s="4" t="str">
        <x:v>手机号已被另一账号绑定，当前用户申请绑定</x:v>
      </x:c>
      <x:c r="H47" s="4" t="str">
        <x:v>业务规则</x:v>
      </x:c>
      <x:c r="I47" s="4" t="str">
        <x:v>发生手机号绑定冲突时如何处理？</x:v>
      </x:c>
      <x:c r="J47" s="4" t="str">
        <x:v>A. 拒绝绑定，不合并账号
B. 验证原账号所有权后执行账号合并</x:v>
      </x:c>
      <x:c r="K47" s="4" t="str">
        <x:v>建议优先评估A：明确手机号已被另一账号绑定，当前用户申请绑定的唯一处理口径后，可构造确定的输入和结果；此建议不代表产品结论</x:v>
      </x:c>
      <x:c r="L47" s="8" t="str"/>
      <x:c r="M47" s="8" t="str"/>
      <x:c r="N47" s="4" t="str">
        <x:v>1. MainBasis/需求待确认清单.md#Q019：手机号/邮箱账号建立、找回和绑定
2. 主文档关联：U-auth-login-register-011</x:v>
      </x:c>
      <x:c r="O47" s="4" t="str">
        <x:v>1. 用户App：手机号已被另一账号绑定，当前用户申请绑定
2. 公会App：手机号已被另一账号绑定，当前用户申请绑定
3. 管理后台：手机号已被另一账号绑定，当前用户申请绑定</x:v>
      </x:c>
      <x:c r="P47" s="4" t="str"/>
      <x:c r="Q47" s="4" t="str">
        <x:v>1. 发生手机号绑定冲突时如何处理的正向、边界及异常场景</x:v>
      </x:c>
      <x:c r="R47" s="4" t="str">
        <x:v>产品</x:v>
      </x:c>
      <x:c r="S47" s="4" t="str">
        <x:v>进入对应功能测试前</x:v>
      </x:c>
      <x:c r="T47" s="4" t="str">
        <x:v>待确认</x:v>
      </x:c>
    </x:row>
    <x:row r="48" ht="82" customHeight="1">
      <x:c r="A48" s="4" t="str">
        <x:v>Q-044</x:v>
      </x:c>
      <x:c r="B48" s="4" t="str">
        <x:v>RQ-020</x:v>
      </x:c>
      <x:c r="C48" s="4" t="str"/>
      <x:c r="D48" s="4" t="str"/>
      <x:c r="E48" s="4" t="str">
        <x:v>部分阻塞</x:v>
      </x:c>
      <x:c r="F48" s="4" t="str">
        <x:v>M01 账号·登录·资料与设置</x:v>
      </x:c>
      <x:c r="G48" s="4" t="str">
        <x:v>新用户首次保存头像和昵称</x:v>
      </x:c>
      <x:c r="H48" s="4" t="str">
        <x:v>业务规则</x:v>
      </x:c>
      <x:c r="I48" s="4" t="str">
        <x:v>首次资料保存是否执行修改资料相同的风控？</x:v>
      </x:c>
      <x:c r="J48" s="4" t="str">
        <x:v>A. 执行同一风控，不通过时保留默认资料
B. 首次不检测，仅后续修改时检测</x:v>
      </x:c>
      <x:c r="K48" s="4" t="str">
        <x:v>建议优先评估A：明确新用户首次保存头像和昵称的唯一处理口径后，可构造确定的输入和结果；此建议不代表产品结论</x:v>
      </x:c>
      <x:c r="L48" s="8" t="str"/>
      <x:c r="M48" s="8" t="str"/>
      <x:c r="N48" s="4" t="str">
        <x:v>1. MainBasis/需求待确认清单.md#Q020：首次完善资料是否走相同风控
2. 主文档关联：U-auth-profile-completion-004、U-auth-profile-completion-005</x:v>
      </x:c>
      <x:c r="O48" s="4" t="str">
        <x:v>1. 用户App：新用户首次保存头像和昵称
2. 管理后台：新用户首次保存头像和昵称</x:v>
      </x:c>
      <x:c r="P48" s="4" t="str"/>
      <x:c r="Q48" s="4" t="str">
        <x:v>1. 首次资料保存是否执行修改资料相同的风控的正向、边界及异常场景</x:v>
      </x:c>
      <x:c r="R48" s="4" t="str">
        <x:v>产品</x:v>
      </x:c>
      <x:c r="S48" s="4" t="str">
        <x:v>进入对应功能测试前</x:v>
      </x:c>
      <x:c r="T48" s="4" t="str">
        <x:v>待确认</x:v>
      </x:c>
    </x:row>
    <x:row r="49" ht="68" customHeight="1">
      <x:c r="A49" s="4" t="str">
        <x:v>Q-051</x:v>
      </x:c>
      <x:c r="B49" s="4" t="str">
        <x:v>RQ-024</x:v>
      </x:c>
      <x:c r="C49" s="4" t="str"/>
      <x:c r="D49" s="4" t="str"/>
      <x:c r="E49" s="4" t="str">
        <x:v>部分阻塞</x:v>
      </x:c>
      <x:c r="F49" s="4" t="str">
        <x:v>跨模块需求</x:v>
      </x:c>
      <x:c r="G49" s="4" t="str">
        <x:v>主播在普通房选择PK入口</x:v>
      </x:c>
      <x:c r="H49" s="4" t="str">
        <x:v>需求范围</x:v>
      </x:c>
      <x:c r="I49" s="4" t="str">
        <x:v>本期PK是否包含独立比分和胜负业务？</x:v>
      </x:c>
      <x:c r="J49" s="4" t="str">
        <x:v>A. 不包含，入口仅用于双主播连麦
B. 包含，须补充比分计分和胜负结算需求</x:v>
      </x:c>
      <x:c r="K49" s="4" t="str">
        <x:v>建议优先评估A：明确主播在普通房选择PK入口的唯一处理口径后，可构造确定的输入和结果；此建议不代表产品结论</x:v>
      </x:c>
      <x:c r="L49" s="8" t="str"/>
      <x:c r="M49" s="8" t="str"/>
      <x:c r="N49" s="4" t="str">
        <x:v>1. MainBasis/需求待确认清单.md#Q024：本期范围、房型/幸运开关与 PK
2. 主文档关联：见风险来源中的来源异常范围</x:v>
      </x:c>
      <x:c r="O49" s="4" t="str">
        <x:v>1. 用户App：主播在普通房选择PK入口
2. 管理后台：主播在普通房选择PK入口</x:v>
      </x:c>
      <x:c r="P49" s="4" t="str"/>
      <x:c r="Q49" s="4" t="str">
        <x:v>1. 本期PK是否包含独立比分和胜负业务的正向、边界及异常场景</x:v>
      </x:c>
      <x:c r="R49" s="4" t="str">
        <x:v>产品</x:v>
      </x:c>
      <x:c r="S49" s="4" t="str">
        <x:v>进入对应功能测试前</x:v>
      </x:c>
      <x:c r="T49" s="4" t="str">
        <x:v>待确认</x:v>
      </x:c>
    </x:row>
    <x:row r="50" ht="96" customHeight="1">
      <x:c r="A50" s="4" t="str">
        <x:v>Q-052</x:v>
      </x:c>
      <x:c r="B50" s="4" t="str">
        <x:v>RQ-024</x:v>
      </x:c>
      <x:c r="C50" s="4" t="str"/>
      <x:c r="D50" s="4" t="str"/>
      <x:c r="E50" s="4" t="str">
        <x:v>部分阻塞</x:v>
      </x:c>
      <x:c r="F50" s="4" t="str">
        <x:v>跨模块需求</x:v>
      </x:c>
      <x:c r="G50" s="4" t="str">
        <x:v>平台关闭幸运礼物功能时赠送请求正在处理</x:v>
      </x:c>
      <x:c r="H50" s="4" t="str">
        <x:v>业务规则</x:v>
      </x:c>
      <x:c r="I50" s="4" t="str">
        <x:v>已受理的赠送按哪个开关版本处理？</x:v>
      </x:c>
      <x:c r="J50" s="4" t="str">
        <x:v>A. 按受理时快照完成，本次关闭只拦截后续请求
B. 关闭后未扣款请求取消，已扣款请求完成</x:v>
      </x:c>
      <x:c r="K50" s="4" t="str">
        <x:v>建议优先评估A：明确平台关闭幸运礼物功能时赠送请求正在处理的唯一处理口径后，可构造确定的输入和结果；此建议不代表产品结论</x:v>
      </x:c>
      <x:c r="L50" s="8" t="str"/>
      <x:c r="M50" s="8" t="str"/>
      <x:c r="N50" s="4" t="str">
        <x:v>1. MainBasis/需求待确认清单.md#Q024：本期范围、房型/幸运开关与 PK
2. 主文档关联：见风险来源中的来源异常范围</x:v>
      </x:c>
      <x:c r="O50" s="4" t="str">
        <x:v>1. 用户App：平台关闭幸运礼物功能时赠送请求正在处理
2. 公会App：平台关闭幸运礼物功能时赠送请求正在处理
3. 管理后台：平台关闭幸运礼物功能时赠送请求正在处理</x:v>
      </x:c>
      <x:c r="P50" s="4" t="str"/>
      <x:c r="Q50" s="4" t="str">
        <x:v>1. 已受理的赠送按哪个开关版本处理的正向、边界及异常场景</x:v>
      </x:c>
      <x:c r="R50" s="4" t="str">
        <x:v>产品</x:v>
      </x:c>
      <x:c r="S50" s="4" t="str">
        <x:v>进入对应功能测试前</x:v>
      </x:c>
      <x:c r="T50" s="4" t="str">
        <x:v>待确认</x:v>
      </x:c>
    </x:row>
    <x:row r="51" ht="96" customHeight="1">
      <x:c r="A51" s="4" t="str">
        <x:v>Q-053</x:v>
      </x:c>
      <x:c r="B51" s="4" t="str">
        <x:v>RQ-025</x:v>
      </x:c>
      <x:c r="C51" s="4" t="str"/>
      <x:c r="D51" s="4" t="str"/>
      <x:c r="E51" s="4" t="str">
        <x:v>部分阻塞</x:v>
      </x:c>
      <x:c r="F51" s="4" t="str">
        <x:v>M02 发现·搜索·主页与平台榜单</x:v>
      </x:c>
      <x:c r="G51" s="4" t="str">
        <x:v>主播场次跨越当地午夜</x:v>
      </x:c>
      <x:c r="H51" s="4" t="str">
        <x:v>计算与统计口径</x:v>
      </x:c>
      <x:c r="I51" s="4" t="str">
        <x:v>统计自然日使用哪个时区？</x:v>
      </x:c>
      <x:c r="J51" s="4" t="str">
        <x:v>A. 统一使用Asia/Jakarta
B. 统一使用UTC</x:v>
      </x:c>
      <x:c r="K51" s="4" t="str">
        <x:v>建议优先评估A：明确主播场次跨越当地午夜的唯一处理口径后，可构造确定的输入和结果；此建议不代表产品结论</x:v>
      </x:c>
      <x:c r="L51" s="8" t="str"/>
      <x:c r="M51" s="8" t="str"/>
      <x:c r="N51" s="4" t="str">
        <x:v>1. MainBasis/需求待确认清单.md#Q025：业务时区、跨日场次和有效直播时长
2. 主文档关联：U-host-ranking-002、G-guild-income-002、A-admin-data-overview-007、U-contribution-ranking-002</x:v>
      </x:c>
      <x:c r="O51" s="4" t="str">
        <x:v>1. 用户App：主播场次跨越当地午夜
2. 公会App：主播场次跨越当地午夜
3. 管理后台：主播场次跨越当地午夜</x:v>
      </x:c>
      <x:c r="P51" s="4" t="str"/>
      <x:c r="Q51" s="4" t="str">
        <x:v>1. 统计自然日使用哪个时区的正向、边界及异常场景</x:v>
      </x:c>
      <x:c r="R51" s="4" t="str">
        <x:v>产品</x:v>
      </x:c>
      <x:c r="S51" s="4" t="str">
        <x:v>进入对应功能测试前</x:v>
      </x:c>
      <x:c r="T51" s="4" t="str">
        <x:v>待确认</x:v>
      </x:c>
    </x:row>
    <x:row r="52" ht="96" customHeight="1">
      <x:c r="A52" s="4" t="str">
        <x:v>Q-054</x:v>
      </x:c>
      <x:c r="B52" s="4" t="str">
        <x:v>RQ-025</x:v>
      </x:c>
      <x:c r="C52" s="4" t="str"/>
      <x:c r="D52" s="4" t="str"/>
      <x:c r="E52" s="4" t="str">
        <x:v>部分阻塞</x:v>
      </x:c>
      <x:c r="F52" s="4" t="str">
        <x:v>M02 发现·搜索·主页与平台榜单</x:v>
      </x:c>
      <x:c r="G52" s="4" t="str">
        <x:v>主播一场直播跨越统计日边界</x:v>
      </x:c>
      <x:c r="H52" s="4" t="str">
        <x:v>业务规则</x:v>
      </x:c>
      <x:c r="I52" s="4" t="str">
        <x:v>跨日直播时长如何归属日期？</x:v>
      </x:c>
      <x:c r="J52" s="4" t="str">
        <x:v>A. 按实际时间切分到各自然日
B. 全部归入开播所在自然日</x:v>
      </x:c>
      <x:c r="K52" s="4" t="str">
        <x:v>建议优先评估A：明确主播一场直播跨越统计日边界的唯一处理口径后，可构造确定的输入和结果；此建议不代表产品结论</x:v>
      </x:c>
      <x:c r="L52" s="8" t="str"/>
      <x:c r="M52" s="8" t="str"/>
      <x:c r="N52" s="4" t="str">
        <x:v>1. MainBasis/需求待确认清单.md#Q025：业务时区、跨日场次和有效直播时长
2. 主文档关联：U-host-ranking-002、G-guild-income-002、A-admin-data-overview-007、U-contribution-ranking-002</x:v>
      </x:c>
      <x:c r="O52" s="4" t="str">
        <x:v>1. 用户App：主播一场直播跨越统计日边界
2. 公会App：主播一场直播跨越统计日边界
3. 管理后台：主播一场直播跨越统计日边界</x:v>
      </x:c>
      <x:c r="P52" s="4" t="str"/>
      <x:c r="Q52" s="4" t="str">
        <x:v>1. 跨日直播时长如何归属日期的正向、边界及异常场景</x:v>
      </x:c>
      <x:c r="R52" s="4" t="str">
        <x:v>产品</x:v>
      </x:c>
      <x:c r="S52" s="4" t="str">
        <x:v>进入对应功能测试前</x:v>
      </x:c>
      <x:c r="T52" s="4" t="str">
        <x:v>待确认</x:v>
      </x:c>
    </x:row>
    <x:row r="53" ht="96" customHeight="1">
      <x:c r="A53" s="4" t="str">
        <x:v>Q-055</x:v>
      </x:c>
      <x:c r="B53" s="4" t="str">
        <x:v>RQ-025</x:v>
      </x:c>
      <x:c r="C53" s="4" t="str"/>
      <x:c r="D53" s="4" t="str"/>
      <x:c r="E53" s="4" t="str">
        <x:v>部分阻塞</x:v>
      </x:c>
      <x:c r="F53" s="4" t="str">
        <x:v>M02 发现·搜索·主页与平台榜单</x:v>
      </x:c>
      <x:c r="G53" s="4" t="str">
        <x:v>直播因网络中断暂停推流但场次未结束</x:v>
      </x:c>
      <x:c r="H53" s="4" t="str">
        <x:v>业务规则</x:v>
      </x:c>
      <x:c r="I53" s="4" t="str">
        <x:v>断流时间是否计入有效直播时长？</x:v>
      </x:c>
      <x:c r="J53" s="4" t="str">
        <x:v>A. 不计入，以有效推流区间累计
B. 计入，以场次开始至结束累计</x:v>
      </x:c>
      <x:c r="K53" s="4" t="str">
        <x:v>建议优先评估A：明确直播因网络中断暂停推流但场次未结束的唯一处理口径后，可构造确定的输入和结果；此建议不代表产品结论</x:v>
      </x:c>
      <x:c r="L53" s="8" t="str"/>
      <x:c r="M53" s="8" t="str"/>
      <x:c r="N53" s="4" t="str">
        <x:v>1. MainBasis/需求待确认清单.md#Q025：业务时区、跨日场次和有效直播时长
2. 主文档关联：U-host-ranking-002、G-guild-income-002、A-admin-data-overview-007、U-contribution-ranking-002</x:v>
      </x:c>
      <x:c r="O53" s="4" t="str">
        <x:v>1. 用户App：直播因网络中断暂停推流但场次未结束
2. 公会App：直播因网络中断暂停推流但场次未结束
3. 管理后台：直播因网络中断暂停推流但场次未结束</x:v>
      </x:c>
      <x:c r="P53" s="4" t="str"/>
      <x:c r="Q53" s="4" t="str">
        <x:v>1. 断流时间是否计入有效直播时长的正向、边界及异常场景</x:v>
      </x:c>
      <x:c r="R53" s="4" t="str">
        <x:v>产品</x:v>
      </x:c>
      <x:c r="S53" s="4" t="str">
        <x:v>进入对应功能测试前</x:v>
      </x:c>
      <x:c r="T53" s="4" t="str">
        <x:v>待确认</x:v>
      </x:c>
    </x:row>
    <x:row r="54" ht="96" customHeight="1">
      <x:c r="A54" s="4" t="str">
        <x:v>Q-057</x:v>
      </x:c>
      <x:c r="B54" s="4" t="str">
        <x:v>RQ-026</x:v>
      </x:c>
      <x:c r="C54" s="4" t="str"/>
      <x:c r="D54" s="4" t="str"/>
      <x:c r="E54" s="4" t="str">
        <x:v>部分阻塞</x:v>
      </x:c>
      <x:c r="F54" s="4" t="str">
        <x:v>M06 开播·房型·观看·连麦与房内管理</x:v>
      </x:c>
      <x:c r="G54" s="4" t="str">
        <x:v>用户在同一场次关注、取关后再次关注</x:v>
      </x:c>
      <x:c r="H54" s="4" t="str">
        <x:v>业务规则</x:v>
      </x:c>
      <x:c r="I54" s="4" t="str">
        <x:v>新增粉丝指标如何计数？</x:v>
      </x:c>
      <x:c r="J54" s="4" t="str">
        <x:v>A. 只计本场首次新增关注账号且去重
B. 每次关注成功事件均累计</x:v>
      </x:c>
      <x:c r="K54" s="4" t="str">
        <x:v>建议优先评估A：明确用户在同一场次关注、取关后再次关注的唯一处理口径后，可构造确定的输入和结果；此建议不代表产品结论</x:v>
      </x:c>
      <x:c r="L54" s="8" t="str"/>
      <x:c r="M54" s="8" t="str"/>
      <x:c r="N54" s="4" t="str">
        <x:v>1. MainBasis/需求待确认清单.md#Q026：观众人数、人次、访问次数与新增粉丝
2. 主文档关联：U-live-end-host-002、G-guild-host-summary-004、A-admin-live-statistics-003、U-host-center-005</x:v>
      </x:c>
      <x:c r="O54" s="4" t="str">
        <x:v>1. 用户App：用户在同一场次关注、取关后再次关注
2. 公会App：用户在同一场次关注、取关后再次关注
3. 管理后台：用户在同一场次关注、取关后再次关注</x:v>
      </x:c>
      <x:c r="P54" s="4" t="str"/>
      <x:c r="Q54" s="4" t="str">
        <x:v>1. 新增粉丝指标如何计数的正向、边界及异常场景</x:v>
      </x:c>
      <x:c r="R54" s="4" t="str">
        <x:v>产品</x:v>
      </x:c>
      <x:c r="S54" s="4" t="str">
        <x:v>进入对应功能测试前</x:v>
      </x:c>
      <x:c r="T54" s="4" t="str">
        <x:v>待确认</x:v>
      </x:c>
    </x:row>
    <x:row r="55" ht="96" customHeight="1">
      <x:c r="A55" s="4" t="str">
        <x:v>Q-058</x:v>
      </x:c>
      <x:c r="B55" s="4" t="str">
        <x:v>RQ-027</x:v>
      </x:c>
      <x:c r="C55" s="4" t="str"/>
      <x:c r="D55" s="4" t="str"/>
      <x:c r="E55" s="4" t="str">
        <x:v>部分阻塞</x:v>
      </x:c>
      <x:c r="F55" s="4" t="str">
        <x:v>M12 直播业绩·增长与统计报表</x:v>
      </x:c>
      <x:c r="G55" s="4" t="str">
        <x:v>后台统计金币净增量，期间有充值退款回收金币</x:v>
      </x:c>
      <x:c r="H55" s="4" t="str">
        <x:v>计算与统计口径</x:v>
      </x:c>
      <x:c r="I55" s="4" t="str">
        <x:v>金币净增量是否扣除退款回收金币？</x:v>
      </x:c>
      <x:c r="J55" s="4" t="str">
        <x:v>A. 扣除当期成功退款回收金币
B. 不扣除，退款回收金币在独立指标展示</x:v>
      </x:c>
      <x:c r="K55" s="4" t="str">
        <x:v>建议优先评估A：明确后台统计金币净增量，期间有充值退款回收金币的唯一处理口径后，可构造确定的输入和结果；此建议不代表产品结论</x:v>
      </x:c>
      <x:c r="L55" s="8" t="str"/>
      <x:c r="M55" s="8" t="str"/>
      <x:c r="N55" s="4" t="str">
        <x:v>1. MainBasis/需求待确认清单.md#Q027：报表净增量、付费指标及历史扩展统计
2. 主文档关联：A-admin-dashboard-005、A-admin-daily-statistics-006、A-admin-recharge-statistics-008、A-admin-user-activity-statistics-006</x:v>
      </x:c>
      <x:c r="O55" s="4" t="str">
        <x:v>1. 管理后台：后台统计金币净增量，期间有充值退款回收金币</x:v>
      </x:c>
      <x:c r="P55" s="4" t="str"/>
      <x:c r="Q55" s="4" t="str">
        <x:v>1. 金币净增量是否扣除退款回收金币的正向、边界及异常场景</x:v>
      </x:c>
      <x:c r="R55" s="4" t="str">
        <x:v>产品</x:v>
      </x:c>
      <x:c r="S55" s="4" t="str">
        <x:v>进入对应功能测试前</x:v>
      </x:c>
      <x:c r="T55" s="4" t="str">
        <x:v>待确认</x:v>
      </x:c>
    </x:row>
    <x:row r="56" ht="96" customHeight="1">
      <x:c r="A56" s="4" t="str">
        <x:v>Q-059</x:v>
      </x:c>
      <x:c r="B56" s="4" t="str">
        <x:v>RQ-027</x:v>
      </x:c>
      <x:c r="C56" s="4" t="str"/>
      <x:c r="D56" s="4" t="str"/>
      <x:c r="E56" s="4" t="str">
        <x:v>部分阻塞</x:v>
      </x:c>
      <x:c r="F56" s="4" t="str">
        <x:v>M12 直播业绩·增长与统计报表</x:v>
      </x:c>
      <x:c r="G56" s="4" t="str">
        <x:v>后台查看ARPU指标</x:v>
      </x:c>
      <x:c r="H56" s="4" t="str">
        <x:v>计算与统计口径</x:v>
      </x:c>
      <x:c r="I56" s="4" t="str">
        <x:v>ARPU分母采用哪类用户？</x:v>
      </x:c>
      <x:c r="J56" s="4" t="str">
        <x:v>A. 所选期间活跃去重用户数
B. 所选期间充值成功去重用户数</x:v>
      </x:c>
      <x:c r="K56" s="4" t="str">
        <x:v>建议优先评估A：明确后台查看ARPU指标的唯一处理口径后，可构造确定的输入和结果；此建议不代表产品结论</x:v>
      </x:c>
      <x:c r="L56" s="8" t="str"/>
      <x:c r="M56" s="8" t="str"/>
      <x:c r="N56" s="4" t="str">
        <x:v>1. MainBasis/需求待确认清单.md#Q027：报表净增量、付费指标及历史扩展统计
2. 主文档关联：A-admin-dashboard-005、A-admin-daily-statistics-006、A-admin-recharge-statistics-008、A-admin-user-activity-statistics-006</x:v>
      </x:c>
      <x:c r="O56" s="4" t="str">
        <x:v>1. 管理后台：后台查看ARPU指标</x:v>
      </x:c>
      <x:c r="P56" s="4" t="str"/>
      <x:c r="Q56" s="4" t="str">
        <x:v>1. ARPU分母采用哪类用户的正向、边界及异常场景</x:v>
      </x:c>
      <x:c r="R56" s="4" t="str">
        <x:v>产品</x:v>
      </x:c>
      <x:c r="S56" s="4" t="str">
        <x:v>进入对应功能测试前</x:v>
      </x:c>
      <x:c r="T56" s="4" t="str">
        <x:v>待确认</x:v>
      </x:c>
    </x:row>
    <x:row r="57" ht="96" customHeight="1">
      <x:c r="A57" s="4" t="str">
        <x:v>Q-065</x:v>
      </x:c>
      <x:c r="B57" s="4" t="str">
        <x:v>RQ-031</x:v>
      </x:c>
      <x:c r="C57" s="4" t="str"/>
      <x:c r="D57" s="4" t="str"/>
      <x:c r="E57" s="4" t="str">
        <x:v>部分阻塞</x:v>
      </x:c>
      <x:c r="F57" s="4" t="str">
        <x:v>M07 金币·充值·消费与客户端账单</x:v>
      </x:c>
      <x:c r="G57" s="4" t="str">
        <x:v>用户在App内充值</x:v>
      </x:c>
      <x:c r="H57" s="4" t="str">
        <x:v>需求范围</x:v>
      </x:c>
      <x:c r="I57" s="4" t="str">
        <x:v>本期是否支持跳转外部H5支付？</x:v>
      </x:c>
      <x:c r="J57" s="4" t="str">
        <x:v>A. 支持，支付渠道以当前平台配置为准
B. 不支持，仅使用App内已登记支付渠道</x:v>
      </x:c>
      <x:c r="K57" s="4" t="str">
        <x:v>建议优先评估A：明确用户在App内充值的唯一处理口径后，可构造确定的输入和结果；此建议不代表产品结论</x:v>
      </x:c>
      <x:c r="L57" s="8" t="str"/>
      <x:c r="M57" s="8" t="str"/>
      <x:c r="N57" s="4" t="str">
        <x:v>1. MainBasis/需求待确认清单.md#Q031：支付渠道与 H5 充值范围
2. 主文档关联：U-recharge-003、A-admin-recharge-order-008、U-views_live-room_gift-recharge-002、A-admin-recharge-order-detail-002</x:v>
      </x:c>
      <x:c r="O57" s="4" t="str">
        <x:v>1. 用户App：用户在App内充值
2. 管理后台：用户在App内充值</x:v>
      </x:c>
      <x:c r="P57" s="4" t="str"/>
      <x:c r="Q57" s="4" t="str">
        <x:v>1. 本期是否支持跳转外部H5支付的正向、边界及异常场景</x:v>
      </x:c>
      <x:c r="R57" s="4" t="str">
        <x:v>产品</x:v>
      </x:c>
      <x:c r="S57" s="4" t="str">
        <x:v>进入对应功能测试前</x:v>
      </x:c>
      <x:c r="T57" s="4" t="str">
        <x:v>待确认</x:v>
      </x:c>
    </x:row>
    <x:row r="58" ht="96" customHeight="1">
      <x:c r="A58" s="4" t="str">
        <x:v>Q-066</x:v>
      </x:c>
      <x:c r="B58" s="4" t="str">
        <x:v>RQ-032</x:v>
      </x:c>
      <x:c r="C58" s="4" t="str"/>
      <x:c r="D58" s="4" t="str"/>
      <x:c r="E58" s="4" t="str">
        <x:v>部分阻塞</x:v>
      </x:c>
      <x:c r="F58" s="4" t="str">
        <x:v>M10 用户管理·审核·举报与巡房</x:v>
      </x:c>
      <x:c r="G58" s="4" t="str">
        <x:v>管理员封禁用户账号</x:v>
      </x:c>
      <x:c r="H58" s="4" t="str">
        <x:v>角色与权限</x:v>
      </x:c>
      <x:c r="I58" s="4" t="str">
        <x:v>封禁期限采用什么方式？</x:v>
      </x:c>
      <x:c r="J58" s="4" t="str">
        <x:v>A. 仅永久封禁，管理员解封后恢复
B. 允许定时或永久，定时时长以后台可选配置为准</x:v>
      </x:c>
      <x:c r="K58" s="4" t="str">
        <x:v>建议优先评估A：明确管理员封禁用户账号的唯一处理口径后，可构造确定的输入和结果；此建议不代表产品结论</x:v>
      </x:c>
      <x:c r="L58" s="8" t="str"/>
      <x:c r="M58" s="8" t="str"/>
      <x:c r="N58" s="4" t="str">
        <x:v>1. MainBasis/需求待确认清单.md#Q032：封禁、申诉和账号/直播工单生命周期
2. 主文档关联：A-admin-report-handling-005、A-admin-report-detail-008、A-admin-report-handling-007、A-admin-report-handling-008</x:v>
      </x:c>
      <x:c r="O58" s="4" t="str">
        <x:v>1. 用户App：管理员封禁用户账号
2. 管理后台：管理员封禁用户账号</x:v>
      </x:c>
      <x:c r="P58" s="4" t="str"/>
      <x:c r="Q58" s="4" t="str">
        <x:v>1. 封禁期限采用什么方式的正向、边界及异常场景</x:v>
      </x:c>
      <x:c r="R58" s="4" t="str">
        <x:v>产品</x:v>
      </x:c>
      <x:c r="S58" s="4" t="str">
        <x:v>进入对应功能测试前</x:v>
      </x:c>
      <x:c r="T58" s="4" t="str">
        <x:v>待确认</x:v>
      </x:c>
    </x:row>
    <x:row r="59" ht="110" customHeight="1">
      <x:c r="A59" s="4" t="str">
        <x:v>Q-067</x:v>
      </x:c>
      <x:c r="B59" s="4" t="str">
        <x:v>RQ-033</x:v>
      </x:c>
      <x:c r="C59" s="4" t="str"/>
      <x:c r="D59" s="4" t="str"/>
      <x:c r="E59" s="4" t="str">
        <x:v>部分阻塞</x:v>
      </x:c>
      <x:c r="F59" s="4" t="str">
        <x:v>M06 开播·房型·观看·连麦与房内管理</x:v>
      </x:c>
      <x:c r="G59" s="4" t="str">
        <x:v>巡房人员的排班结束但直播间仍在线</x:v>
      </x:c>
      <x:c r="H59" s="4" t="str">
        <x:v>角色与权限</x:v>
      </x:c>
      <x:c r="I59" s="4" t="str">
        <x:v>巡房保护是否在排班结束时失效？</x:v>
      </x:c>
      <x:c r="J59" s="4" t="str">
        <x:v>A. 排班结束即失效
B. 保留至当前直播场次结束</x:v>
      </x:c>
      <x:c r="K59" s="4" t="str">
        <x:v>建议优先评估A：明确巡房人员的排班结束但直播间仍在线的唯一处理口径后，可构造确定的输入和结果；此建议不代表产品结论</x:v>
      </x:c>
      <x:c r="L59" s="8" t="str"/>
      <x:c r="M59" s="8" t="str"/>
      <x:c r="N59" s="4" t="str">
        <x:v>1. MainBasis/需求待确认清单.md#Q033：后台角色权限和巡房授权时效
2. 主文档关联：U-views_live-room_patrol-room-allowed-001、A-admin-inspection-schedule-006、A-admin-inspection-schedule-detail-005、A-admin-system-account-004</x:v>
      </x:c>
      <x:c r="O59" s="4" t="str">
        <x:v>1. 用户App：巡房人员的排班结束但直播间仍在线
2. 管理后台：巡房人员的排班结束但直播间仍在线</x:v>
      </x:c>
      <x:c r="P59" s="4" t="str"/>
      <x:c r="Q59" s="4" t="str">
        <x:v>1. 巡房保护是否在排班结束时失效的正向、边界及异常场景</x:v>
      </x:c>
      <x:c r="R59" s="4" t="str">
        <x:v>产品</x:v>
      </x:c>
      <x:c r="S59" s="4" t="str">
        <x:v>进入对应功能测试前</x:v>
      </x:c>
      <x:c r="T59" s="4" t="str">
        <x:v>待确认</x:v>
      </x:c>
    </x:row>
    <x:row r="60" ht="96" customHeight="1">
      <x:c r="A60" s="4" t="str">
        <x:v>Q-068</x:v>
      </x:c>
      <x:c r="B60" s="4" t="str">
        <x:v>RQ-034</x:v>
      </x:c>
      <x:c r="C60" s="4" t="str"/>
      <x:c r="D60" s="4" t="str"/>
      <x:c r="E60" s="4" t="str">
        <x:v>部分阻塞</x:v>
      </x:c>
      <x:c r="F60" s="4" t="str">
        <x:v>M10 用户管理·审核·举报与巡房</x:v>
      </x:c>
      <x:c r="G60" s="4" t="str">
        <x:v>三端上传图片资源</x:v>
      </x:c>
      <x:c r="H60" s="4" t="str">
        <x:v>字段与数据校验</x:v>
      </x:c>
      <x:c r="I60" s="4" t="str">
        <x:v>图片大小限制采用什么依据？</x:v>
      </x:c>
      <x:c r="J60" s="4" t="str">
        <x:v>A. 每个上传字段读取平台发布的资源限制配置
B. 全部图片统一最大5MB</x:v>
      </x:c>
      <x:c r="K60" s="4" t="str">
        <x:v>建议优先评估A：明确三端上传图片资源的唯一处理口径后，可构造确定的输入和结果；此建议不代表产品结论</x:v>
      </x:c>
      <x:c r="L60" s="8" t="str"/>
      <x:c r="M60" s="8" t="str"/>
      <x:c r="N60" s="4" t="str">
        <x:v>1. MainBasis/需求待确认清单.md#Q034：内容风控、敏感词和上传资源约束
2. 主文档关联：A-admin-sensitive-words-001、A-admin-sensitive-words-detail-001、A-admin-sensitive-words-002、A-admin-sensitive-words-005</x:v>
      </x:c>
      <x:c r="O60" s="4" t="str">
        <x:v>1. 用户App：三端上传图片资源
2. 公会App：三端上传图片资源
3. 管理后台：三端上传图片资源</x:v>
      </x:c>
      <x:c r="P60" s="4" t="str"/>
      <x:c r="Q60" s="4" t="str">
        <x:v>1. 图片大小限制采用什么依据的正向、边界及异常场景</x:v>
      </x:c>
      <x:c r="R60" s="4" t="str">
        <x:v>技术</x:v>
      </x:c>
      <x:c r="S60" s="4" t="str">
        <x:v>进入对应功能测试前</x:v>
      </x:c>
      <x:c r="T60" s="4" t="str">
        <x:v>待确认</x:v>
      </x:c>
    </x:row>
    <x:row r="61" ht="68" customHeight="1">
      <x:c r="A61" s="4" t="str">
        <x:v>Q-069</x:v>
      </x:c>
      <x:c r="B61" s="4" t="str">
        <x:v>RQ-035</x:v>
      </x:c>
      <x:c r="C61" s="4" t="str"/>
      <x:c r="D61" s="4" t="str"/>
      <x:c r="E61" s="4" t="str">
        <x:v>部分阻塞</x:v>
      </x:c>
      <x:c r="F61" s="4" t="str">
        <x:v>M01 账号·登录·资料与设置</x:v>
      </x:c>
      <x:c r="G61" s="4" t="str">
        <x:v>用户未达到平台规定年龄尝试注册</x:v>
      </x:c>
      <x:c r="H61" s="4" t="str">
        <x:v>需求范围</x:v>
      </x:c>
      <x:c r="I61" s="4" t="str">
        <x:v>本期是否拦截未成年人注册？</x:v>
      </x:c>
      <x:c r="J61" s="4" t="str">
        <x:v>A. 根据产品明确的年龄门槛配置执行拦截
B. 本期不按年龄拦截，仅展示适龄说明</x:v>
      </x:c>
      <x:c r="K61" s="4" t="str">
        <x:v>建议优先评估A：明确用户未达到平台规定年龄尝试注册的唯一处理口径后，可构造确定的输入和结果；此建议不代表产品结论</x:v>
      </x:c>
      <x:c r="L61" s="8" t="str"/>
      <x:c r="M61" s="8" t="str"/>
      <x:c r="N61" s="4" t="str">
        <x:v>1. MainBasis/需求待确认清单.md#Q035：协议、隐私、帮助与年龄准入
2. 主文档关联：U-settings-006</x:v>
      </x:c>
      <x:c r="O61" s="4" t="str">
        <x:v>1. 用户App：用户未达到平台规定年龄尝试注册
2. 管理后台：用户未达到平台规定年龄尝试注册</x:v>
      </x:c>
      <x:c r="P61" s="4" t="str"/>
      <x:c r="Q61" s="4" t="str">
        <x:v>1. 本期是否拦截未成年人注册的正向、边界及异常场景</x:v>
      </x:c>
      <x:c r="R61" s="4" t="str">
        <x:v>多方确认</x:v>
      </x:c>
      <x:c r="S61" s="4" t="str">
        <x:v>进入对应功能测试前</x:v>
      </x:c>
      <x:c r="T61" s="4" t="str">
        <x:v>待确认</x:v>
      </x:c>
    </x:row>
    <x:row r="62" ht="82" customHeight="1">
      <x:c r="A62" s="4" t="str">
        <x:v>Q-070</x:v>
      </x:c>
      <x:c r="B62" s="4" t="str">
        <x:v>RQ-036</x:v>
      </x:c>
      <x:c r="C62" s="4" t="str"/>
      <x:c r="D62" s="4" t="str"/>
      <x:c r="E62" s="4" t="str">
        <x:v>部分阻塞</x:v>
      </x:c>
      <x:c r="F62" s="4" t="str">
        <x:v>M01 账号·登录·资料与设置</x:v>
      </x:c>
      <x:c r="G62" s="4" t="str">
        <x:v>当前头像框到期且用户还持有其他有效头像框</x:v>
      </x:c>
      <x:c r="H62" s="4" t="str">
        <x:v>业务规则</x:v>
      </x:c>
      <x:c r="I62" s="4" t="str">
        <x:v>失效头像框停止展示后采用哪个回退样式？</x:v>
      </x:c>
      <x:c r="J62" s="4" t="str">
        <x:v>A. 显示当前头像，不带任何头像框
B. 自动佩戴最近使用的仍有效头像框，无有效项则只显示头像</x:v>
      </x:c>
      <x:c r="K62" s="4" t="str">
        <x:v>建议优先评估A：明确当前头像框到期且用户还持有其他有效头像框的唯一处理口径后，可构造确定的输入和结果；此建议不代表产品结论</x:v>
      </x:c>
      <x:c r="L62" s="8" t="str"/>
      <x:c r="M62" s="8" t="str"/>
      <x:c r="N62" s="4" t="str">
        <x:v>1. MainBasis/需求待确认清单.md#Q036：装扮获取、佩戴位与到期处理
2. 主文档关联：D-SYS-155、U-profile-003、U-my-decoration-medal-004、U-my-decoration-medal-007</x:v>
      </x:c>
      <x:c r="O62" s="4" t="str">
        <x:v>1. 用户App：当前头像框到期且用户还持有其他有效头像框
2. 管理后台：当前头像框到期且用户还持有其他有效头像框</x:v>
      </x:c>
      <x:c r="P62" s="4" t="str"/>
      <x:c r="Q62" s="4" t="str">
        <x:v>1. 失效头像框停止展示后采用哪个回退样式的正向、边界及异常场景</x:v>
      </x:c>
      <x:c r="R62" s="4" t="str">
        <x:v>产品</x:v>
      </x:c>
      <x:c r="S62" s="4" t="str">
        <x:v>进入对应功能测试前</x:v>
      </x:c>
      <x:c r="T62" s="4" t="str">
        <x:v>待确认</x:v>
      </x:c>
    </x:row>
    <x:row r="63" ht="96" customHeight="1">
      <x:c r="A63" s="4" t="str">
        <x:v>Q-071</x:v>
      </x:c>
      <x:c r="B63" s="4" t="str">
        <x:v>RQ-038</x:v>
      </x:c>
      <x:c r="C63" s="4" t="str"/>
      <x:c r="D63" s="4" t="str"/>
      <x:c r="E63" s="4" t="str">
        <x:v>部分阻塞</x:v>
      </x:c>
      <x:c r="F63" s="4" t="str">
        <x:v>跨模块需求</x:v>
      </x:c>
      <x:c r="G63" s="4" t="str">
        <x:v>旧资料出现现行主文档未确认的功能</x:v>
      </x:c>
      <x:c r="H63" s="4" t="str">
        <x:v>需求范围</x:v>
      </x:c>
      <x:c r="I63" s="4" t="str">
        <x:v>旧功能是否进入本期验收范围？</x:v>
      </x:c>
      <x:c r="J63" s="4" t="str">
        <x:v>A. 不进入，以当前MainBasis已明确功能验收
B. 进入，须逐项补齐正式规则后再纳入</x:v>
      </x:c>
      <x:c r="K63" s="4" t="str">
        <x:v>建议优先评估A：明确旧资料出现现行主文档未确认的功能的唯一处理口径后，可构造确定的输入和结果；此建议不代表产品结论</x:v>
      </x:c>
      <x:c r="L63" s="8" t="str"/>
      <x:c r="M63" s="8" t="str"/>
      <x:c r="N63" s="4" t="str">
        <x:v>1. MainBasis/需求待确认清单.md#Q038：主基准之外的运营配置与其他功能是否纳入本期
2. 主文档关联：见风险来源中的来源异常范围</x:v>
      </x:c>
      <x:c r="O63" s="4" t="str">
        <x:v>1. 用户App：旧资料出现现行主文档未确认的功能
2. 公会App：旧资料出现现行主文档未确认的功能
3. 管理后台：旧资料出现现行主文档未确认的功能</x:v>
      </x:c>
      <x:c r="P63" s="4" t="str"/>
      <x:c r="Q63" s="4" t="str">
        <x:v>1. 旧功能是否进入本期验收范围的正向、边界及异常场景</x:v>
      </x:c>
      <x:c r="R63" s="4" t="str">
        <x:v>产品</x:v>
      </x:c>
      <x:c r="S63" s="4" t="str">
        <x:v>进入对应功能测试前</x:v>
      </x:c>
      <x:c r="T63" s="4" t="str">
        <x:v>待确认</x:v>
      </x:c>
    </x:row>
    <x:row r="64" ht="68" customHeight="1">
      <x:c r="A64" s="4" t="str">
        <x:v>Q-072</x:v>
      </x:c>
      <x:c r="B64" s="4" t="str">
        <x:v>RQ-039</x:v>
      </x:c>
      <x:c r="C64" s="4" t="str"/>
      <x:c r="D64" s="4" t="str"/>
      <x:c r="E64" s="4" t="str">
        <x:v>部分阻塞</x:v>
      </x:c>
      <x:c r="F64" s="4" t="str">
        <x:v>跨模块需求</x:v>
      </x:c>
      <x:c r="G64" s="4" t="str">
        <x:v>直播过程中切换网络并发生连接中断</x:v>
      </x:c>
      <x:c r="H64" s="4" t="str">
        <x:v>流程与状态</x:v>
      </x:c>
      <x:c r="I64" s="4" t="str">
        <x:v>恢复后是否继续原场次？</x:v>
      </x:c>
      <x:c r="J64" s="4" t="str">
        <x:v>A. 原场次未结束则恢复原场次，结束后不得恢复
B. 任何网络中断均结束原场次，恢复后重新开播</x:v>
      </x:c>
      <x:c r="K64" s="4" t="str">
        <x:v>建议优先评估A：明确直播过程中切换网络并发生连接中断的唯一处理口径后，可构造确定的输入和结果；此建议不代表产品结论</x:v>
      </x:c>
      <x:c r="L64" s="8" t="str"/>
      <x:c r="M64" s="8" t="str"/>
      <x:c r="N64" s="4" t="str">
        <x:v>1. MainBasis/需求待确认清单.md#Q039：直播和 IM 的实际技术验收指标
2. 主文档关联：见风险来源中的来源异常范围</x:v>
      </x:c>
      <x:c r="O64" s="4" t="str">
        <x:v>1. 用户App：直播过程中切换网络并发生连接中断
2. 管理后台：直播过程中切换网络并发生连接中断</x:v>
      </x:c>
      <x:c r="P64" s="4" t="str"/>
      <x:c r="Q64" s="4" t="str">
        <x:v>1. 恢复后是否继续原场次的正向、边界及异常场景</x:v>
      </x:c>
      <x:c r="R64" s="4" t="str">
        <x:v>多方确认</x:v>
      </x:c>
      <x:c r="S64" s="4" t="str">
        <x:v>进入对应功能测试前</x:v>
      </x:c>
      <x:c r="T64" s="4" t="str">
        <x:v>待确认</x:v>
      </x:c>
    </x:row>
    <x:row r="65" ht="68" customHeight="1">
      <x:c r="A65" s="4" t="str">
        <x:v>Q-074</x:v>
      </x:c>
      <x:c r="B65" s="4" t="str">
        <x:v>RQ-040</x:v>
      </x:c>
      <x:c r="C65" s="4" t="str"/>
      <x:c r="D65" s="4" t="str"/>
      <x:c r="E65" s="4" t="str">
        <x:v>部分阻塞</x:v>
      </x:c>
      <x:c r="F65" s="4" t="str">
        <x:v>跨模块需求</x:v>
      </x:c>
      <x:c r="G65" s="4" t="str">
        <x:v>当前索引未登记的系统审计详情</x:v>
      </x:c>
      <x:c r="H65" s="4" t="str">
        <x:v>需求范围</x:v>
      </x:c>
      <x:c r="I65" s="4" t="str">
        <x:v>系统审计详情是否属于本期范围？</x:v>
      </x:c>
      <x:c r="J65" s="4" t="str">
        <x:v>A. 排除，只保留为历史资料
B. 纳入，补齐本页规则与角色后生成用例</x:v>
      </x:c>
      <x:c r="K65" s="4" t="str">
        <x:v>建议优先评估A：明确当前索引未登记的系统审计详情的唯一处理口径后，可构造确定的输入和结果；此建议不代表产品结论</x:v>
      </x:c>
      <x:c r="L65" s="8" t="str"/>
      <x:c r="M65" s="8" t="str"/>
      <x:c r="N65" s="4" t="str">
        <x:v>1. MainBasis/需求待确认清单.md#Q040：未登记页面和缺失来源的范围归属
2. 主文档关联：见风险来源中的来源异常范围</x:v>
      </x:c>
      <x:c r="O65" s="4" t="str">
        <x:v>1. 管理后台：当前索引未登记的系统审计详情</x:v>
      </x:c>
      <x:c r="P65" s="4" t="str"/>
      <x:c r="Q65" s="4" t="str">
        <x:v>1. 系统审计详情是否属于本期范围的正向、边界及异常场景</x:v>
      </x:c>
      <x:c r="R65" s="4" t="str">
        <x:v>产品</x:v>
      </x:c>
      <x:c r="S65" s="4" t="str">
        <x:v>进入对应功能测试前</x:v>
      </x:c>
      <x:c r="T65" s="4" t="str">
        <x:v>待确认</x:v>
      </x:c>
    </x:row>
    <x:row r="66" ht="68" customHeight="1">
      <x:c r="A66" s="4" t="str">
        <x:v>Q-075</x:v>
      </x:c>
      <x:c r="B66" s="4" t="str">
        <x:v>RQ-040</x:v>
      </x:c>
      <x:c r="C66" s="4" t="str"/>
      <x:c r="D66" s="4" t="str"/>
      <x:c r="E66" s="4" t="str">
        <x:v>部分阻塞</x:v>
      </x:c>
      <x:c r="F66" s="4" t="str">
        <x:v>跨模块需求</x:v>
      </x:c>
      <x:c r="G66" s="4" t="str">
        <x:v>当前索引未登记的系统审计列表</x:v>
      </x:c>
      <x:c r="H66" s="4" t="str">
        <x:v>需求范围</x:v>
      </x:c>
      <x:c r="I66" s="4" t="str">
        <x:v>系统审计列表是否属于本期范围？</x:v>
      </x:c>
      <x:c r="J66" s="4" t="str">
        <x:v>A. 排除，只保留为历史资料
B. 纳入，补齐本页规则与角色后生成用例</x:v>
      </x:c>
      <x:c r="K66" s="4" t="str">
        <x:v>建议优先评估A：明确当前索引未登记的系统审计列表的唯一处理口径后，可构造确定的输入和结果；此建议不代表产品结论</x:v>
      </x:c>
      <x:c r="L66" s="8" t="str"/>
      <x:c r="M66" s="8" t="str"/>
      <x:c r="N66" s="4" t="str">
        <x:v>1. MainBasis/需求待确认清单.md#Q040：未登记页面和缺失来源的范围归属
2. 主文档关联：见风险来源中的来源异常范围</x:v>
      </x:c>
      <x:c r="O66" s="4" t="str">
        <x:v>1. 管理后台：当前索引未登记的系统审计列表</x:v>
      </x:c>
      <x:c r="P66" s="4" t="str"/>
      <x:c r="Q66" s="4" t="str">
        <x:v>1. 系统审计列表是否属于本期范围的正向、边界及异常场景</x:v>
      </x:c>
      <x:c r="R66" s="4" t="str">
        <x:v>产品</x:v>
      </x:c>
      <x:c r="S66" s="4" t="str">
        <x:v>进入对应功能测试前</x:v>
      </x:c>
      <x:c r="T66" s="4" t="str">
        <x:v>待确认</x:v>
      </x:c>
    </x:row>
    <x:row r="67" ht="68" customHeight="1">
      <x:c r="A67" s="4" t="str">
        <x:v>Q-076</x:v>
      </x:c>
      <x:c r="B67" s="4" t="str">
        <x:v>RQ-040</x:v>
      </x:c>
      <x:c r="C67" s="4" t="str"/>
      <x:c r="D67" s="4" t="str"/>
      <x:c r="E67" s="4" t="str">
        <x:v>部分阻塞</x:v>
      </x:c>
      <x:c r="F67" s="4" t="str">
        <x:v>跨模块需求</x:v>
      </x:c>
      <x:c r="G67" s="4" t="str">
        <x:v>当前索引未登记的系统参数详情</x:v>
      </x:c>
      <x:c r="H67" s="4" t="str">
        <x:v>需求范围</x:v>
      </x:c>
      <x:c r="I67" s="4" t="str">
        <x:v>系统参数详情是否属于本期范围？</x:v>
      </x:c>
      <x:c r="J67" s="4" t="str">
        <x:v>A. 排除，只保留为历史资料
B. 纳入，补齐本页规则与角色后生成用例</x:v>
      </x:c>
      <x:c r="K67" s="4" t="str">
        <x:v>建议优先评估A：明确当前索引未登记的系统参数详情的唯一处理口径后，可构造确定的输入和结果；此建议不代表产品结论</x:v>
      </x:c>
      <x:c r="L67" s="8" t="str"/>
      <x:c r="M67" s="8" t="str"/>
      <x:c r="N67" s="4" t="str">
        <x:v>1. MainBasis/需求待确认清单.md#Q040：未登记页面和缺失来源的范围归属
2. 主文档关联：见风险来源中的来源异常范围</x:v>
      </x:c>
      <x:c r="O67" s="4" t="str">
        <x:v>1. 管理后台：当前索引未登记的系统参数详情</x:v>
      </x:c>
      <x:c r="P67" s="4" t="str"/>
      <x:c r="Q67" s="4" t="str">
        <x:v>1. 系统参数详情是否属于本期范围的正向、边界及异常场景</x:v>
      </x:c>
      <x:c r="R67" s="4" t="str">
        <x:v>产品</x:v>
      </x:c>
      <x:c r="S67" s="4" t="str">
        <x:v>进入对应功能测试前</x:v>
      </x:c>
      <x:c r="T67" s="4" t="str">
        <x:v>待确认</x:v>
      </x:c>
    </x:row>
    <x:row r="68" ht="68" customHeight="1">
      <x:c r="A68" s="4" t="str">
        <x:v>Q-077</x:v>
      </x:c>
      <x:c r="B68" s="4" t="str">
        <x:v>RQ-040</x:v>
      </x:c>
      <x:c r="C68" s="4" t="str"/>
      <x:c r="D68" s="4" t="str"/>
      <x:c r="E68" s="4" t="str">
        <x:v>部分阻塞</x:v>
      </x:c>
      <x:c r="F68" s="4" t="str">
        <x:v>跨模块需求</x:v>
      </x:c>
      <x:c r="G68" s="4" t="str">
        <x:v>当前索引未登记的系统参数列表</x:v>
      </x:c>
      <x:c r="H68" s="4" t="str">
        <x:v>需求范围</x:v>
      </x:c>
      <x:c r="I68" s="4" t="str">
        <x:v>系统参数列表是否属于本期范围？</x:v>
      </x:c>
      <x:c r="J68" s="4" t="str">
        <x:v>A. 排除，只保留为历史资料
B. 纳入，补齐本页规则与角色后生成用例</x:v>
      </x:c>
      <x:c r="K68" s="4" t="str">
        <x:v>建议优先评估A：明确当前索引未登记的系统参数列表的唯一处理口径后，可构造确定的输入和结果；此建议不代表产品结论</x:v>
      </x:c>
      <x:c r="L68" s="8" t="str"/>
      <x:c r="M68" s="8" t="str"/>
      <x:c r="N68" s="4" t="str">
        <x:v>1. MainBasis/需求待确认清单.md#Q040：未登记页面和缺失来源的范围归属
2. 主文档关联：见风险来源中的来源异常范围</x:v>
      </x:c>
      <x:c r="O68" s="4" t="str">
        <x:v>1. 管理后台：当前索引未登记的系统参数列表</x:v>
      </x:c>
      <x:c r="P68" s="4" t="str"/>
      <x:c r="Q68" s="4" t="str">
        <x:v>1. 系统参数列表是否属于本期范围的正向、边界及异常场景</x:v>
      </x:c>
      <x:c r="R68" s="4" t="str">
        <x:v>产品</x:v>
      </x:c>
      <x:c r="S68" s="4" t="str">
        <x:v>进入对应功能测试前</x:v>
      </x:c>
      <x:c r="T68" s="4" t="str">
        <x:v>待确认</x:v>
      </x:c>
    </x:row>
    <x:row r="69" ht="68" customHeight="1">
      <x:c r="A69" s="4" t="str">
        <x:v>Q-078</x:v>
      </x:c>
      <x:c r="B69" s="4" t="str">
        <x:v>RQ-040</x:v>
      </x:c>
      <x:c r="C69" s="4" t="str"/>
      <x:c r="D69" s="4" t="str"/>
      <x:c r="E69" s="4" t="str">
        <x:v>部分阻塞</x:v>
      </x:c>
      <x:c r="F69" s="4" t="str">
        <x:v>跨模块需求</x:v>
      </x:c>
      <x:c r="G69" s="4" t="str">
        <x:v>当前索引未登记的系统权限页</x:v>
      </x:c>
      <x:c r="H69" s="4" t="str">
        <x:v>需求范围</x:v>
      </x:c>
      <x:c r="I69" s="4" t="str">
        <x:v>系统权限页是否属于本期范围？</x:v>
      </x:c>
      <x:c r="J69" s="4" t="str">
        <x:v>A. 排除，只保留为历史资料
B. 纳入，补齐本页规则与角色后生成用例</x:v>
      </x:c>
      <x:c r="K69" s="4" t="str">
        <x:v>建议优先评估A：明确当前索引未登记的系统权限页的唯一处理口径后，可构造确定的输入和结果；此建议不代表产品结论</x:v>
      </x:c>
      <x:c r="L69" s="8" t="str"/>
      <x:c r="M69" s="8" t="str"/>
      <x:c r="N69" s="4" t="str">
        <x:v>1. MainBasis/需求待确认清单.md#Q040：未登记页面和缺失来源的范围归属
2. 主文档关联：见风险来源中的来源异常范围</x:v>
      </x:c>
      <x:c r="O69" s="4" t="str">
        <x:v>1. 管理后台：当前索引未登记的系统权限页</x:v>
      </x:c>
      <x:c r="P69" s="4" t="str"/>
      <x:c r="Q69" s="4" t="str">
        <x:v>1. 系统权限页是否属于本期范围的正向、边界及异常场景</x:v>
      </x:c>
      <x:c r="R69" s="4" t="str">
        <x:v>产品</x:v>
      </x:c>
      <x:c r="S69" s="4" t="str">
        <x:v>进入对应功能测试前</x:v>
      </x:c>
      <x:c r="T69" s="4" t="str">
        <x:v>待确认</x:v>
      </x:c>
    </x:row>
    <x:row r="70" ht="96" customHeight="1">
      <x:c r="A70" s="4" t="str">
        <x:v>Q-080</x:v>
      </x:c>
      <x:c r="B70" s="4" t="str">
        <x:v>RQ-041</x:v>
      </x:c>
      <x:c r="C70" s="4" t="str"/>
      <x:c r="D70" s="4" t="str"/>
      <x:c r="E70" s="4" t="str">
        <x:v>部分阻塞</x:v>
      </x:c>
      <x:c r="F70" s="4" t="str">
        <x:v>M09 运营账号·虚拟金币与公会消息</x:v>
      </x:c>
      <x:c r="G70" s="4" t="str">
        <x:v>公会或平台发起运营账号创建</x:v>
      </x:c>
      <x:c r="H70" s="4" t="str">
        <x:v>角色与权限</x:v>
      </x:c>
      <x:c r="I70" s="4" t="str">
        <x:v>本期由谁创建运营账号？</x:v>
      </x:c>
      <x:c r="J70" s="4" t="str">
        <x:v>A. 仅所属公会创建，平台只控制启停与额度
B. 仅平台创建并分配至公会，公会维护分配后资料</x:v>
      </x:c>
      <x:c r="K70" s="4" t="str">
        <x:v>建议优先评估A：明确公会或平台发起运营账号创建的唯一处理口径后，可构造确定的输入和结果；此建议不代表产品结论</x:v>
      </x:c>
      <x:c r="L70" s="8" t="str"/>
      <x:c r="M70" s="8" t="str"/>
      <x:c r="N70" s="4" t="str">
        <x:v>1. MainBasis/需求待确认清单.md#Q041：运营账号管理责任的概要内部矛盾
2. 主文档关联：D-SYS-040、G-guild-operation-accounts-005、A-admin-operation-accounts-002、A-admin-operation-issue-records-007</x:v>
      </x:c>
      <x:c r="O70" s="4" t="str">
        <x:v>1. 公会App：公会或平台发起运营账号创建
2. 管理后台：公会或平台发起运营账号创建</x:v>
      </x:c>
      <x:c r="P70" s="4" t="str"/>
      <x:c r="Q70" s="4" t="str">
        <x:v>1. 本期由谁创建运营账号的正向、边界及异常场景</x:v>
      </x:c>
      <x:c r="R70" s="4" t="str">
        <x:v>产品</x:v>
      </x:c>
      <x:c r="S70" s="4" t="str">
        <x:v>进入对应功能测试前</x:v>
      </x:c>
      <x:c r="T70" s="4" t="str">
        <x:v>待确认</x:v>
      </x:c>
    </x:row>
    <x:row r="71" ht="96" customHeight="1">
      <x:c r="A71" s="4" t="str">
        <x:v>Q-081</x:v>
      </x:c>
      <x:c r="B71" s="4" t="str">
        <x:v>RQ-042</x:v>
      </x:c>
      <x:c r="C71" s="4" t="str"/>
      <x:c r="D71" s="4" t="str"/>
      <x:c r="E71" s="4" t="str">
        <x:v>部分阻塞</x:v>
      </x:c>
      <x:c r="F71" s="4" t="str">
        <x:v>跨模块需求</x:v>
      </x:c>
      <x:c r="G71" s="4" t="str">
        <x:v>客户端展示超过1000的大数</x:v>
      </x:c>
      <x:c r="H71" s="4" t="str">
        <x:v>交互与文案规则</x:v>
      </x:c>
      <x:c r="I71" s="4" t="str">
        <x:v>数字展示是否使用缩写？</x:v>
      </x:c>
      <x:c r="J71" s="4" t="str">
        <x:v>A. 显示完整数值，按当前语言设置分组符
B. 使用K和M缩写，保留1位小数向下截断</x:v>
      </x:c>
      <x:c r="K71" s="4" t="str">
        <x:v>建议优先评估A：明确客户端展示超过1000的大数的唯一处理口径后，可构造确定的输入和结果；此建议不代表产品结论</x:v>
      </x:c>
      <x:c r="L71" s="8" t="str"/>
      <x:c r="M71" s="8" t="str"/>
      <x:c r="N71" s="4" t="str">
        <x:v>1. MainBasis/需求待确认清单.md#Q042：大数缩写与精确值显示
2. 主文档关联：见风险来源中的来源异常范围</x:v>
      </x:c>
      <x:c r="O71" s="4" t="str">
        <x:v>1. 用户App：客户端展示超过1000的大数
2. 公会App：客户端展示超过1000的大数
3. 管理后台：客户端展示超过1000的大数</x:v>
      </x:c>
      <x:c r="P71" s="4" t="str"/>
      <x:c r="Q71" s="4" t="str">
        <x:v>1. 数字展示是否使用缩写的正向、边界及异常场景</x:v>
      </x:c>
      <x:c r="R71" s="4" t="str">
        <x:v>交互</x:v>
      </x:c>
      <x:c r="S71" s="4" t="str">
        <x:v>进入对应功能测试前</x:v>
      </x:c>
      <x:c r="T71" s="4" t="str">
        <x:v>待确认</x:v>
      </x:c>
    </x:row>
  </x:sheetData>
  <x:dataValidations count="5">
    <x:dataValidation type="list" sqref="E2:E71">
      <x:formula1>"阻塞测试,部分阻塞,不阻塞"</x:formula1>
    </x:dataValidation>
    <x:dataValidation type="list" sqref="H2:H71">
      <x:formula1>"需求范围,业务规则,角色与权限,流程与状态,字段与数据校验,计算与统计口径,异常处理,跨端与跨模块一致性,配置和历史数据影响,交互与文案规则"</x:formula1>
    </x:dataValidation>
    <x:dataValidation type="list" sqref="L2:L71">
      <x:formula1>"A,B,C,D,其他"</x:formula1>
    </x:dataValidation>
    <x:dataValidation type="list" sqref="R2:R71">
      <x:formula1>"产品,交互,技术,多方确认"</x:formula1>
    </x:dataValidation>
    <x:dataValidation type="list" sqref="T2:T71">
      <x:formula1>"待前置结论,待确认,确认中,已确认,无需处理"</x:formula1>
    </x:dataValidation>
  </x:dataValidations>
  <x:pageMargins left="0.7" right="0.7" top="0.75" bottom="0.75" header="0.3" footer="0.3"/>
  <x:tableParts count="1">
    <x:tablePart xmlns:r="http://schemas.openxmlformats.org/officeDocument/2006/relationships" r:id="R1485695e961a46d8"/>
  </x:tableParts>
</x:worksheet>
</file>