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5608ea803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72cf5eb8045d493d"/>
    <x:sheet xmlns:r="http://schemas.openxmlformats.org/officeDocument/2006/relationships" name="功能测试用例" sheetId="2" r:id="R8638f7c78355486f"/>
    <x:sheet xmlns:r="http://schemas.openxmlformats.org/officeDocument/2006/relationships" name="需求待确认" sheetId="3" r:id="R3e0a36aea551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6828858454e32" /><Relationship Type="http://schemas.openxmlformats.org/officeDocument/2006/relationships/theme" Target="/xl/theme/theme1.xml" Id="R5a0e2f2c600b4ffd" /><Relationship Type="http://schemas.openxmlformats.org/officeDocument/2006/relationships/sharedStrings" Target="/xl/sharedStrings.xml" Id="R89640f9c961d4608" /><Relationship Type="http://schemas.openxmlformats.org/officeDocument/2006/relationships/worksheet" Target="/xl/worksheets/sheet1.xml" Id="R72cf5eb8045d493d" /><Relationship Type="http://schemas.openxmlformats.org/officeDocument/2006/relationships/worksheet" Target="/xl/worksheets/sheet2.xml" Id="R8638f7c78355486f" /><Relationship Type="http://schemas.openxmlformats.org/officeDocument/2006/relationships/worksheet" Target="/xl/worksheets/sheet3.xml" Id="R3e0a36aea551413a" /></Relationships>
</file>

<file path=xl/tables/table1.xml><?xml version="1.0" encoding="utf-8"?>
<x:table xmlns:x="http://schemas.openxmlformats.org/spreadsheetml/2006/main" id="1" name="LiveCasesTable" displayName="LiveCasesTable" ref="A1:O704" headerRowCount="1" totalsRowCount="0" totalsRowShown="0">
  <x:autoFilter ref="A1:O70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33" headerRowCount="1" totalsRowCount="0" totalsRowShown="0">
  <x:autoFilter ref="A1:T3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8086a4989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6037f090ee41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inlineStr">
        <x:is>
          <x:t>阶段性-管理后台-全部模块-260915-002 产品决策概览</x:t>
        </x:is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COUNTA('需求待确认'!$A$2:$A$33)</x:f>
        <x:v>32</x:v>
      </x:c>
      <x:c r="C5" s="13"/>
      <x:c r="D5" s="20" t="str">
        <x:v>阻塞测试</x:v>
      </x:c>
      <x:c r="E5" s="22" t="n">
        <x:f>COUNTIFS('需求待确认'!$E$2:$E$33,"阻塞测试",'需求待确认'!$T$2:$T$33,"待确认")</x:f>
        <x:v>0</x:v>
      </x:c>
      <x:c r="F5" s="13"/>
      <x:c r="G5" s="20" t="str">
        <x:v>产品</x:v>
      </x:c>
      <x:c r="H5" s="22" t="n">
        <x:f>COUNTIFS('需求待确认'!$R$2:$R$33,"产品",'需求待确认'!$T$2:$T$33,"待确认")</x:f>
        <x:v>29</x:v>
      </x:c>
    </x:row>
    <x:row r="6">
      <x:c r="A6" s="20" t="str">
        <x:v>当前可回答</x:v>
      </x:c>
      <x:c r="B6" s="22" t="n">
        <x:f>COUNTIF('需求待确认'!$T$2:$T$33,"待确认")</x:f>
        <x:v>32</x:v>
      </x:c>
      <x:c r="C6" s="13"/>
      <x:c r="D6" s="20" t="str">
        <x:v>部分阻塞</x:v>
      </x:c>
      <x:c r="E6" s="22" t="n">
        <x:f>COUNTIFS('需求待确认'!$E$2:$E$33,"部分阻塞",'需求待确认'!$T$2:$T$33,"待确认")</x:f>
        <x:v>32</x:v>
      </x:c>
      <x:c r="F6" s="13"/>
      <x:c r="G6" s="20" t="str">
        <x:v>交互</x:v>
      </x:c>
      <x:c r="H6" s="22" t="n">
        <x:f>COUNTIFS('需求待确认'!$R$2:$R$33,"交互",'需求待确认'!$T$2:$T$33,"待确认")</x:f>
        <x:v>0</x:v>
      </x:c>
    </x:row>
    <x:row r="7">
      <x:c r="A7" s="20" t="str">
        <x:v>待前置结论</x:v>
      </x:c>
      <x:c r="B7" s="22" t="n">
        <x:f>COUNTIF('需求待确认'!$T$2:$T$33,"待前置结论")</x:f>
        <x:v>0</x:v>
      </x:c>
      <x:c r="C7" s="13"/>
      <x:c r="D7" s="20" t="str">
        <x:v>不阻塞</x:v>
      </x:c>
      <x:c r="E7" s="22" t="n">
        <x:f>COUNTIFS('需求待确认'!$E$2:$E$33,"不阻塞",'需求待确认'!$T$2:$T$33,"待确认")</x:f>
        <x:v>0</x:v>
      </x:c>
      <x:c r="F7" s="13"/>
      <x:c r="G7" s="20" t="str">
        <x:v>技术</x:v>
      </x:c>
      <x:c r="H7" s="22" t="n">
        <x:f>COUNTIFS('需求待确认'!$R$2:$R$33,"技术",'需求待确认'!$T$2:$T$33,"待确认")</x:f>
        <x:v>0</x:v>
      </x:c>
    </x:row>
    <x:row r="8">
      <x:c r="A8" s="20" t="str">
        <x:v>确认中</x:v>
      </x:c>
      <x:c r="B8" s="22" t="n">
        <x:f>COUNTIF('需求待确认'!$T$2:$T$33,"确认中")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COUNTIFS('需求待确认'!$R$2:$R$33,"多方确认",'需求待确认'!$T$2:$T$33,"待确认")</x:f>
        <x:v>3</x:v>
      </x:c>
    </x:row>
    <x:row r="9">
      <x:c r="A9" s="20" t="str">
        <x:v>已确认</x:v>
      </x:c>
      <x:c r="B9" s="22" t="n">
        <x:f>COUNTIF('需求待确认'!$T$2:$T$33,"已确认")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COUNTIF('需求待确认'!$T$2:$T$33,"无需处理")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</x:v>
      </x:c>
      <x:c r="E2" s="10" t="str">
        <x:v>功能需求</x:v>
      </x:c>
      <x:c r="F2" s="10" t="str">
        <x:v>P1</x:v>
      </x:c>
      <x:c r="G2" s="9" t="str">
        <x:v>验证工作台读取经营时间范围</x:v>
      </x:c>
      <x:c r="H2" s="9" t="str">
        <x:v>经营时间范围字段来源</x:v>
      </x:c>
      <x:c r="I2" s="9" t="str">
        <x:v>1. 平台管理员账号可用
2. 平台最新自然日有经营数据，之前6日及更早日期也有数据</x:v>
      </x:c>
      <x:c r="J2" s="9" t="str">
        <x:v>1. 打开工作台</x:v>
      </x:c>
      <x:c r="K2" s="9" t="str">
        <x:v>指标卡采用最新自然日，趋势仅展示截至该日近7个自然日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来源（当前证据）：liveshow-proto/MainBasis/统一需求文档.md；位置：第2530行、第2532行 REQ-f3b7305ac172、第2533行 REQ-413049d77e2d、第2534行 REQ-90a0a7b45506、第2536行 REQ-fdfa9dfde671、第2538行 REQ-2296a76e69d6
2. 规则：BR-cd49ac8be46a6a95
3. 未动态验证</x:v>
      </x:c>
    </x:row>
    <x:row r="3" ht="10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</x:v>
      </x:c>
      <x:c r="E3" s="10" t="str">
        <x:v>功能需求</x:v>
      </x:c>
      <x:c r="F3" s="10" t="str">
        <x:v>P1</x:v>
      </x:c>
      <x:c r="G3" s="9" t="str">
        <x:v>验证切换工作台趋势指标</x:v>
      </x:c>
      <x:c r="H3" s="9" t="str">
        <x:v>工作台趋势绑定</x:v>
      </x:c>
      <x:c r="I3" s="9" t="str">
        <x:v>1. 平台管理员账号可用
2. 工作台有充值与活跃数据</x:v>
      </x:c>
      <x:c r="J3" s="9" t="str">
        <x:v>1. 打开工作台
2. 点击总充值金额指标卡</x:v>
      </x:c>
      <x:c r="K3" s="9" t="str">
        <x:v>趋势切换为总充值金额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来源（当前证据）：liveshow-proto/MainBasis/统一需求文档.md；位置：第2530行、第2537行 REQ-62a781f27e21、第2539行 REQ-552798316bec
2. 规则：BR-5740fd60eeb38ff5
3. 未动态验证</x:v>
      </x:c>
    </x:row>
    <x:row r="4" ht="100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</x:v>
      </x:c>
      <x:c r="E4" s="10" t="str">
        <x:v>功能需求</x:v>
      </x:c>
      <x:c r="F4" s="10" t="str">
        <x:v>P1</x:v>
      </x:c>
      <x:c r="G4" s="9" t="str">
        <x:v>验证工作台被动退款列表</x:v>
      </x:c>
      <x:c r="H4" s="9" t="str">
        <x:v>被动退款时间排序</x:v>
      </x:c>
      <x:c r="I4" s="9" t="str">
        <x:v>1. 平台管理员账号可用
2. 存在3笔渠道发起且退款时间不同的被动退款</x:v>
      </x:c>
      <x:c r="J4" s="9" t="str">
        <x:v>1. 打开工作台</x:v>
      </x:c>
      <x:c r="K4" s="9" t="str">
        <x:v>被动退款按退款时间倒序排列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来源（当前证据）：liveshow-proto/MainBasis/统一需求文档.md；位置：第2530行、第2537行 REQ-62a781f27e21、第2539行 REQ-552798316bec
2. 规则：BR-4aca28c1d87a14cd
3. 未动态验证</x:v>
      </x:c>
    </x:row>
    <x:row r="5" ht="10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</x:v>
      </x:c>
      <x:c r="E5" s="10" t="str">
        <x:v>功能需求</x:v>
      </x:c>
      <x:c r="F5" s="10" t="str">
        <x:v>P1</x:v>
      </x:c>
      <x:c r="G5" s="9" t="str">
        <x:v>验证查看被动退款详情</x:v>
      </x:c>
      <x:c r="H5" s="9" t="str">
        <x:v>退款记录入口</x:v>
      </x:c>
      <x:c r="I5" s="9" t="str">
        <x:v>1. 平台管理员账号可用
2. 存在一笔被动退款记录</x:v>
      </x:c>
      <x:c r="J5" s="9" t="str">
        <x:v>1. 打开工作台
2. 点击该退款记录</x:v>
      </x:c>
      <x:c r="K5" s="9" t="str">
        <x:v>进入对应退款记录页面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来源（当前证据）：liveshow-proto/MainBasis/统一需求文档.md；位置：第2530行、第2537行 REQ-62a781f27e21、第2539行 REQ-552798316bec
2. 规则：BR-4c6b25460f52b6fa
3. 未动态验证</x:v>
      </x:c>
    </x:row>
    <x:row r="6" ht="8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</x:v>
      </x:c>
      <x:c r="E6" s="10" t="str">
        <x:v>功能需求</x:v>
      </x:c>
      <x:c r="F6" s="10" t="str">
        <x:v>P1</x:v>
      </x:c>
      <x:c r="G6" s="9" t="str">
        <x:v>验证同日启动与回前台去重</x:v>
      </x:c>
      <x:c r="H6" s="9" t="str">
        <x:v>活跃用户去重</x:v>
      </x:c>
      <x:c r="I6" s="9" t="str">
        <x:v>1. 平台管理员账号可用
2. 最新自然日同一已登录用户启动1次、回前台2次，另1名已登录用户启动1次</x:v>
      </x:c>
      <x:c r="J6" s="9" t="str">
        <x:v>1. 打开工作台</x:v>
      </x:c>
      <x:c r="K6" s="9" t="str">
        <x:v>活跃用户显示2人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来源（当前证据）：liveshow-proto/MainBasis/统一需求文档.md；位置：第2530行、第2532行 REQ-f3b7305ac172
2. 规则：BR-5889302f823f9c28
3. 未动态验证</x:v>
      </x:c>
    </x:row>
    <x:row r="7" ht="85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</x:v>
      </x:c>
      <x:c r="E7" s="10" t="str">
        <x:v>逻辑校验</x:v>
      </x:c>
      <x:c r="F7" s="10" t="str">
        <x:v>P1</x:v>
      </x:c>
      <x:c r="G7" s="9" t="str">
        <x:v>验证新用户充值ARPU</x:v>
      </x:c>
      <x:c r="H7" s="9" t="str">
        <x:v>新用户ARPU计算</x:v>
      </x:c>
      <x:c r="I7" s="9" t="str">
        <x:v>1. 平台管理员账号可用
2. 最新自然日新注册且充值成功的2名用户合计充值30USD；其他老用户充值20USD</x:v>
      </x:c>
      <x:c r="J7" s="9" t="str">
        <x:v>1. 打开工作台</x:v>
      </x:c>
      <x:c r="K7" s="9" t="str">
        <x:v>计算结果：新用户ARPU=30÷2=15USD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来源（当前证据）：liveshow-proto/MainBasis/统一需求文档.md；位置：第2530行、第2535行 REQ-cb8d0881029d
2. 规则：BR-4ee9ddd80ecc4d9f
3. 未动态验证</x:v>
      </x:c>
    </x:row>
    <x:row r="8" ht="85" customHeight="1">
      <x:c r="A8" s="10" t="n">
        <x:v>7</x:v>
      </x:c>
      <x:c r="B8" s="10" t="str">
        <x:v>ADMIN-01-0007</x:v>
      </x:c>
      <x:c r="C8" s="10" t="str">
        <x:v>工作台</x:v>
      </x:c>
      <x:c r="D8" s="10" t="str">
        <x:v>工作台</x:v>
      </x:c>
      <x:c r="E8" s="10" t="str">
        <x:v>功能需求</x:v>
      </x:c>
      <x:c r="F8" s="10" t="str">
        <x:v>P1</x:v>
      </x:c>
      <x:c r="G8" s="9" t="str">
        <x:v>验证没有新用户充值</x:v>
      </x:c>
      <x:c r="H8" s="9" t="str">
        <x:v>ARPU零分母</x:v>
      </x:c>
      <x:c r="I8" s="9" t="str">
        <x:v>1. 平台管理员账号可用
2. 最新自然日新用户成功充值人数为0</x:v>
      </x:c>
      <x:c r="J8" s="9" t="str">
        <x:v>1. 打开工作台</x:v>
      </x:c>
      <x:c r="K8" s="9" t="str">
        <x:v>新用户ARPU显示0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来源（当前证据）：liveshow-proto/MainBasis/统一需求文档.md；位置：第2530行、第2535行 REQ-cb8d0881029d
2. 规则：BR-ade3776454de40b1
3. 未动态验证</x:v>
      </x:c>
    </x:row>
    <x:row r="9" ht="85" customHeight="1">
      <x:c r="A9" s="10" t="n">
        <x:v>8</x:v>
      </x:c>
      <x:c r="B9" s="10" t="str">
        <x:v>ADMIN-01-0008</x:v>
      </x:c>
      <x:c r="C9" s="10" t="str">
        <x:v>工作台</x:v>
      </x:c>
      <x:c r="D9" s="10" t="str">
        <x:v>工作台</x:v>
      </x:c>
      <x:c r="E9" s="10" t="str">
        <x:v>功能需求</x:v>
      </x:c>
      <x:c r="F9" s="10" t="str">
        <x:v>P1</x:v>
      </x:c>
      <x:c r="G9" s="9" t="str">
        <x:v>验证中文后台工作台</x:v>
      </x:c>
      <x:c r="H9" s="9" t="str">
        <x:v>后台首期语言</x:v>
      </x:c>
      <x:c r="I9" s="9" t="str">
        <x:v>1. 平台管理员账号可用
2. 管理员打开一期后台工作台</x:v>
      </x:c>
      <x:c r="J9" s="9" t="str">
        <x:v>1. 打开工作台</x:v>
      </x:c>
      <x:c r="K9" s="9" t="str">
        <x:v>功能名称及操作文案采用中文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来源（当前证据）：liveshow-proto/MainBasis/统一需求文档.md；位置：第2530行、第2511行 COMMON-language
2. 规则：BR-f1d02acd18fc6631
3. 未动态验证</x:v>
      </x:c>
    </x:row>
    <x:row r="10" ht="145" customHeight="1">
      <x:c r="A10" s="10" t="n">
        <x:v>9</x:v>
      </x:c>
      <x:c r="B10" s="10" t="str">
        <x:v>ADMIN-02-0001</x:v>
      </x:c>
      <x:c r="C10" s="10" t="str">
        <x:v>用户管理</x:v>
      </x:c>
      <x:c r="D10" s="10" t="str">
        <x:v>用户详情</x:v>
      </x:c>
      <x:c r="E10" s="10" t="str">
        <x:v>功能需求</x:v>
      </x:c>
      <x:c r="F10" s="10" t="str">
        <x:v>P1</x:v>
      </x:c>
      <x:c r="G10" s="9" t="str">
        <x:v>验证用户详情读取账号关联记录</x:v>
      </x:c>
      <x:c r="H10" s="9" t="str">
        <x:v>账号关联记录字段来源</x:v>
      </x:c>
      <x:c r="I10" s="9" t="str">
        <x:v>1. 平台管理员账号可用
2. 所选用户有充值、消费、设备和违规记录，另一个用户也有记录</x:v>
      </x:c>
      <x:c r="J10" s="9" t="str">
        <x:v>1. 打开用户详情
2. 切换充值、消费、登录设备和违规记录Tab</x:v>
      </x:c>
      <x:c r="K10" s="9" t="str">
        <x:v>各详情Tab仅展示所选用户对应的记录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来源（当前证据）：liveshow-proto/MainBasis/统一需求文档.md；位置：第2557行、第2559行 REQ-12e618050f4f、第2561行 REQ-3af999bfb7bf、第2562行 REQ-65ddebbc43ee、第2563行 REQ-3dbf46afe8f8、第2564行 REQ-10179ab8e45b、第2565行 REQ-6940ba9f6543
2. 规则：BR-933092cc29a95ae9
3. 未动态验证</x:v>
      </x:c>
    </x:row>
    <x:row r="11" ht="115" customHeight="1">
      <x:c r="A11" s="10" t="n">
        <x:v>10</x:v>
      </x:c>
      <x:c r="B11" s="10" t="str">
        <x:v>ADMIN-02-0002</x:v>
      </x:c>
      <x:c r="C11" s="10" t="str">
        <x:v>用户管理</x:v>
      </x:c>
      <x:c r="D11" s="10" t="str">
        <x:v>用户详情</x:v>
      </x:c>
      <x:c r="E11" s="10" t="str">
        <x:v>功能需求</x:v>
      </x:c>
      <x:c r="F11" s="10" t="str">
        <x:v>P1</x:v>
      </x:c>
      <x:c r="G11" s="9" t="str">
        <x:v>验证解封不恢复直播权限</x:v>
      </x:c>
      <x:c r="H11" s="9" t="str">
        <x:v>账号与直播权限隔离</x:v>
      </x:c>
      <x:c r="I11" s="9" t="str">
        <x:v>1. 平台管理员账号可用
2. 目标主播账号封禁且直播权限已关闭</x:v>
      </x:c>
      <x:c r="J11" s="9" t="str">
        <x:v>1. 打开用户详情
2. 点击解封
3. 输入原因为复核解除
4. 确认处置
5. 打开该用户对应的主播详情</x:v>
      </x:c>
      <x:c r="K11" s="9" t="str">
        <x:v>直播权限仍为关闭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来源（当前证据）：liveshow-proto/MainBasis/统一需求文档.md；位置：第2557行、第2566行 REQ-9cc42d630910、第2568行 REQ-26dd9c9cba99、第2560行 REQ-34da8515065e
2. 规则：BR-c12359dfedc2d594
3. 未动态验证</x:v>
      </x:c>
    </x:row>
    <x:row r="12" ht="115" customHeight="1">
      <x:c r="A12" s="10" t="n">
        <x:v>11</x:v>
      </x:c>
      <x:c r="B12" s="10" t="str">
        <x:v>ADMIN-02-0003</x:v>
      </x:c>
      <x:c r="C12" s="10" t="str">
        <x:v>用户管理</x:v>
      </x:c>
      <x:c r="D12" s="10" t="str">
        <x:v>用户详情</x:v>
      </x:c>
      <x:c r="E12" s="10" t="str">
        <x:v>功能需求</x:v>
      </x:c>
      <x:c r="F12" s="10" t="str">
        <x:v>P1</x:v>
      </x:c>
      <x:c r="G12" s="9" t="str">
        <x:v>验证负金币余额展示</x:v>
      </x:c>
      <x:c r="H12" s="9" t="str">
        <x:v>负余额保留</x:v>
      </x:c>
      <x:c r="I12" s="9" t="str">
        <x:v>1. 平台管理员账号可用
2. 目标账号退款后真实金币余额为-100</x:v>
      </x:c>
      <x:c r="J12" s="9" t="str">
        <x:v>1. 打开用户详情</x:v>
      </x:c>
      <x:c r="K12" s="9" t="str">
        <x:v>金币余额显示-100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来源（当前证据）：liveshow-proto/MainBasis/统一需求文档.md；位置：第2557行、第2566行 REQ-9cc42d630910、第2568行 REQ-26dd9c9cba99、第2560行 REQ-34da8515065e
2. 规则：BR-56e0d38ba584c1ab
3. 未动态验证</x:v>
      </x:c>
    </x:row>
    <x:row r="13" ht="115" customHeight="1">
      <x:c r="A13" s="10" t="n">
        <x:v>12</x:v>
      </x:c>
      <x:c r="B13" s="10" t="str">
        <x:v>ADMIN-02-0004</x:v>
      </x:c>
      <x:c r="C13" s="10" t="str">
        <x:v>用户管理</x:v>
      </x:c>
      <x:c r="D13" s="10" t="str">
        <x:v>用户详情</x:v>
      </x:c>
      <x:c r="E13" s="10" t="str">
        <x:v>功能需求</x:v>
      </x:c>
      <x:c r="F13" s="10" t="str">
        <x:v>P1</x:v>
      </x:c>
      <x:c r="G13" s="9" t="str">
        <x:v>验证账号处置留痕</x:v>
      </x:c>
      <x:c r="H13" s="9" t="str">
        <x:v>用户处置审计记录</x:v>
      </x:c>
      <x:c r="I13" s="9" t="str">
        <x:v>1. 平台管理员账号可用
2. 目标用户正常，已记录操作前状态</x:v>
      </x:c>
      <x:c r="J13" s="9" t="str">
        <x:v>1. 打开用户详情
2. 点击封禁
3. 输入原因为账号违规
4. 确认处置
5. 切换违规记录</x:v>
      </x:c>
      <x:c r="K13" s="9" t="str">
        <x:v>记录包含本次处置原因、操作账号和时间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来源（当前证据）：liveshow-proto/MainBasis/统一需求文档.md；位置：第2557行、第2566行 REQ-9cc42d630910、第2568行 REQ-26dd9c9cba99、第2560行 REQ-34da8515065e
2. 规则：BR-b451c9f7b5acd405
3. 未动态验证</x:v>
      </x:c>
    </x:row>
    <x:row r="14" ht="85" customHeight="1">
      <x:c r="A14" s="10" t="n">
        <x:v>13</x:v>
      </x:c>
      <x:c r="B14" s="10" t="str">
        <x:v>ADMIN-02-0005</x:v>
      </x:c>
      <x:c r="C14" s="10" t="str">
        <x:v>用户管理</x:v>
      </x:c>
      <x:c r="D14" s="10" t="str">
        <x:v>用户详情</x:v>
      </x:c>
      <x:c r="E14" s="10" t="str">
        <x:v>功能需求</x:v>
      </x:c>
      <x:c r="F14" s="10" t="str">
        <x:v>P1</x:v>
      </x:c>
      <x:c r="G14" s="9" t="str">
        <x:v>验证退款后消费记录继续存在</x:v>
      </x:c>
      <x:c r="H14" s="9" t="str">
        <x:v>已完成消费保留</x:v>
      </x:c>
      <x:c r="I14" s="9" t="str">
        <x:v>1. 平台管理员账号可用
2. 当前用户曾成功赠送普通礼物，随后原充值订单已全额退款</x:v>
      </x:c>
      <x:c r="J14" s="9" t="str">
        <x:v>1. 打开用户详情
2. 查看该用户消费记录</x:v>
      </x:c>
      <x:c r="K14" s="9" t="str">
        <x:v>原成功消费记录仍保留</x:v>
      </x:c>
      <x:c r="L14" s="10" t="str">
        <x:v>FLOW-RECHARGE</x:v>
      </x:c>
      <x:c r="M14" s="10" t="str">
        <x:v>未测</x:v>
      </x:c>
      <x:c r="N14" s="10" t="str"/>
      <x:c r="O14" s="9" t="str">
        <x:v>1. 来源（当前证据）：liveshow-proto/MainBasis/统一需求文档.md；位置：第2557行、第2567行 REQ-62408ea5498f
2. 规则：BR-1b5fd0039c9f74d7
3. 未动态验证</x:v>
      </x:c>
    </x:row>
    <x:row r="15" ht="85" customHeight="1">
      <x:c r="A15" s="10" t="n">
        <x:v>14</x:v>
      </x:c>
      <x:c r="B15" s="10" t="str">
        <x:v>ADMIN-02-0006</x:v>
      </x:c>
      <x:c r="C15" s="10" t="str">
        <x:v>用户管理</x:v>
      </x:c>
      <x:c r="D15" s="10" t="str">
        <x:v>用户详情</x:v>
      </x:c>
      <x:c r="E15" s="10" t="str">
        <x:v>功能需求</x:v>
      </x:c>
      <x:c r="F15" s="10" t="str">
        <x:v>P1</x:v>
      </x:c>
      <x:c r="G15" s="9" t="str">
        <x:v>验证没有脱敏要求的展示值</x:v>
      </x:c>
      <x:c r="H15" s="9" t="str">
        <x:v>默认完整字段值</x:v>
      </x:c>
      <x:c r="I15" s="9" t="str">
        <x:v>1. 平台管理员账号可用
2. 用户手机号已知，当前字段没有专门脱敏要求</x:v>
      </x:c>
      <x:c r="J15" s="9" t="str">
        <x:v>1. 打开用户详情</x:v>
      </x:c>
      <x:c r="K15" s="9" t="str">
        <x:v>该展示字段保留完整值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来源（当前证据）：liveshow-proto/MainBasis/统一需求文档.md；位置：第2557行、第2509行 COMMON-admin-field-label
2. 规则：BR-0121ba062268dd05
3. 未动态验证</x:v>
      </x:c>
    </x:row>
    <x:row r="16" ht="145" customHeight="1">
      <x:c r="A16" s="10" t="n">
        <x:v>15</x:v>
      </x:c>
      <x:c r="B16" s="10" t="str">
        <x:v>ADMIN-02-0007</x:v>
      </x:c>
      <x:c r="C16" s="10" t="str">
        <x:v>用户管理</x:v>
      </x:c>
      <x:c r="D16" s="10" t="str">
        <x:v>用户列表</x:v>
      </x:c>
      <x:c r="E16" s="10" t="str">
        <x:v>功能需求</x:v>
      </x:c>
      <x:c r="F16" s="10" t="str">
        <x:v>P1</x:v>
      </x:c>
      <x:c r="G16" s="9" t="str">
        <x:v>验证账号状态枚举</x:v>
      </x:c>
      <x:c r="H16" s="9" t="str">
        <x:v>账号状态范围</x:v>
      </x:c>
      <x:c r="I16" s="9" t="str">
        <x:v>1. 平台管理员账号可用
2. 存在未封禁和封禁用户，其中未封禁用户曾被直播禁言</x:v>
      </x:c>
      <x:c r="J16" s="9" t="str">
        <x:v>1. 打开用户列表</x:v>
      </x:c>
      <x:c r="K16" s="9" t="str">
        <x:v>账号状态只包含正常和封禁，不以禁言作为账号状态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规则：BR-4331ce1629c69d13
3. 未动态验证</x:v>
      </x:c>
    </x:row>
    <x:row r="17" ht="145" customHeight="1">
      <x:c r="A17" s="10" t="n">
        <x:v>16</x:v>
      </x:c>
      <x:c r="B17" s="10" t="str">
        <x:v>ADMIN-02-0008</x:v>
      </x:c>
      <x:c r="C17" s="10" t="str">
        <x:v>用户管理</x:v>
      </x:c>
      <x:c r="D17" s="10" t="str">
        <x:v>用户列表</x:v>
      </x:c>
      <x:c r="E17" s="10" t="str">
        <x:v>功能需求</x:v>
      </x:c>
      <x:c r="F17" s="10" t="str">
        <x:v>P1</x:v>
      </x:c>
      <x:c r="G17" s="9" t="str">
        <x:v>验证无所属公会</x:v>
      </x:c>
      <x:c r="H17" s="9" t="str">
        <x:v>公会空值显示</x:v>
      </x:c>
      <x:c r="I17" s="9" t="str">
        <x:v>1. 平台管理员账号可用
2. 目标普通用户无有效公会关系</x:v>
      </x:c>
      <x:c r="J17" s="9" t="str">
        <x:v>1. 打开用户列表</x:v>
      </x:c>
      <x:c r="K17" s="9" t="str">
        <x:v>所属公会显示“-”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规则：BR-a4dc3e8d8b96152f
3. 未动态验证</x:v>
      </x:c>
    </x:row>
    <x:row r="18" ht="145" customHeight="1">
      <x:c r="A18" s="10" t="n">
        <x:v>17</x:v>
      </x:c>
      <x:c r="B18" s="10" t="str">
        <x:v>ADMIN-02-0009</x:v>
      </x:c>
      <x:c r="C18" s="10" t="str">
        <x:v>用户管理</x:v>
      </x:c>
      <x:c r="D18" s="10" t="str">
        <x:v>用户列表</x:v>
      </x:c>
      <x:c r="E18" s="10" t="str">
        <x:v>功能需求</x:v>
      </x:c>
      <x:c r="F18" s="10" t="str">
        <x:v>P1</x:v>
      </x:c>
      <x:c r="G18" s="9" t="str">
        <x:v>验证财富等级负下限</x:v>
      </x:c>
      <x:c r="H18" s="9" t="str">
        <x:v>等级筛选非负限制</x:v>
      </x:c>
      <x:c r="I18" s="9" t="str">
        <x:v>1. 平台管理员账号可用
2. 当前列表可查询</x:v>
      </x:c>
      <x:c r="J18" s="9" t="str">
        <x:v>1. 打开用户列表
2. 输入财富等级下限为-1
3. 点击查询</x:v>
      </x:c>
      <x:c r="K18" s="9" t="str">
        <x:v>负数等级条件不能用于查询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规则：BR-36a663e28235203f
3. 未动态验证</x:v>
      </x:c>
    </x:row>
    <x:row r="19" ht="145" customHeight="1">
      <x:c r="A19" s="10" t="n">
        <x:v>18</x:v>
      </x:c>
      <x:c r="B19" s="10" t="str">
        <x:v>ADMIN-02-0010</x:v>
      </x:c>
      <x:c r="C19" s="10" t="str">
        <x:v>用户管理</x:v>
      </x:c>
      <x:c r="D19" s="10" t="str">
        <x:v>用户列表</x:v>
      </x:c>
      <x:c r="E19" s="10" t="str">
        <x:v>功能需求</x:v>
      </x:c>
      <x:c r="F19" s="10" t="str">
        <x:v>P1</x:v>
      </x:c>
      <x:c r="G19" s="9" t="str">
        <x:v>验证等级上下限倒置</x:v>
      </x:c>
      <x:c r="H19" s="9" t="str">
        <x:v>等级区间顺序</x:v>
      </x:c>
      <x:c r="I19" s="9" t="str">
        <x:v>1. 平台管理员账号可用
2. 当前列表可查询</x:v>
      </x:c>
      <x:c r="J19" s="9" t="str">
        <x:v>1. 打开用户列表
2. 输入财富等级下限为5、上限为4
3. 点击查询</x:v>
      </x:c>
      <x:c r="K19" s="9" t="str">
        <x:v>倒置等级区间不能用于查询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规则：BR-057f7b0d05b753bf
3. 未动态验证</x:v>
      </x:c>
    </x:row>
    <x:row r="20" ht="145" customHeight="1">
      <x:c r="A20" s="10" t="n">
        <x:v>19</x:v>
      </x:c>
      <x:c r="B20" s="10" t="str">
        <x:v>ADMIN-02-0011</x:v>
      </x:c>
      <x:c r="C20" s="10" t="str">
        <x:v>用户管理</x:v>
      </x:c>
      <x:c r="D20" s="10" t="str">
        <x:v>用户列表</x:v>
      </x:c>
      <x:c r="E20" s="10" t="str">
        <x:v>功能需求</x:v>
      </x:c>
      <x:c r="F20" s="10" t="str">
        <x:v>P1</x:v>
      </x:c>
      <x:c r="G20" s="9" t="str">
        <x:v>验证等级相等边界</x:v>
      </x:c>
      <x:c r="H20" s="9" t="str">
        <x:v>等级闭区间</x:v>
      </x:c>
      <x:c r="I20" s="9" t="str">
        <x:v>1. 平台管理员账号可用
2. 存在等级4、5、6的用户各1名</x:v>
      </x:c>
      <x:c r="J20" s="9" t="str">
        <x:v>1. 打开用户列表
2. 输入财富等级下限和上限均为5
3. 点击查询</x:v>
      </x:c>
      <x:c r="K20" s="9" t="str">
        <x:v>仅返回等级5的用户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规则：BR-e5fcd0476426128b
3. 未动态验证</x:v>
      </x:c>
    </x:row>
    <x:row r="21" ht="145" customHeight="1">
      <x:c r="A21" s="10" t="n">
        <x:v>20</x:v>
      </x:c>
      <x:c r="B21" s="10" t="str">
        <x:v>ADMIN-02-0012</x:v>
      </x:c>
      <x:c r="C21" s="10" t="str">
        <x:v>用户管理</x:v>
      </x:c>
      <x:c r="D21" s="10" t="str">
        <x:v>用户列表</x:v>
      </x:c>
      <x:c r="E21" s="10" t="str">
        <x:v>功能需求</x:v>
      </x:c>
      <x:c r="F21" s="10" t="str">
        <x:v>P1</x:v>
      </x:c>
      <x:c r="G21" s="9" t="str">
        <x:v>验证筛选取交集</x:v>
      </x:c>
      <x:c r="H21" s="9" t="str">
        <x:v>用户复合查询</x:v>
      </x:c>
      <x:c r="I21" s="9" t="str">
        <x:v>1. 平台管理员账号可用
2. 有符合状态但等级不符、等级符合但状态不符、两者都符合各1名用户</x:v>
      </x:c>
      <x:c r="J21" s="9" t="str">
        <x:v>1. 打开用户列表
2. 选择封禁状态
3. 输入目标等级范围
4. 点击查询</x:v>
      </x:c>
      <x:c r="K21" s="9" t="str">
        <x:v>仅返回同时符合状态和等级范围的用户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规则：BR-8974a324fedb0b8b
3. 未动态验证</x:v>
      </x:c>
    </x:row>
    <x:row r="22" ht="145" customHeight="1">
      <x:c r="A22" s="10" t="n">
        <x:v>21</x:v>
      </x:c>
      <x:c r="B22" s="10" t="str">
        <x:v>ADMIN-02-0013</x:v>
      </x:c>
      <x:c r="C22" s="10" t="str">
        <x:v>用户管理</x:v>
      </x:c>
      <x:c r="D22" s="10" t="str">
        <x:v>用户列表</x:v>
      </x:c>
      <x:c r="E22" s="10" t="str">
        <x:v>功能需求</x:v>
      </x:c>
      <x:c r="F22" s="10" t="str">
        <x:v>P1</x:v>
      </x:c>
      <x:c r="G22" s="9" t="str">
        <x:v>验证导出当前查询</x:v>
      </x:c>
      <x:c r="H22" s="9" t="str">
        <x:v>用户导出范围</x:v>
      </x:c>
      <x:c r="I22" s="9" t="str">
        <x:v>1. 平台管理员账号可用
2. 当前查询结果只有2名用户</x:v>
      </x:c>
      <x:c r="J22" s="9" t="str">
        <x:v>1. 打开用户列表
2. 点击导出</x:v>
      </x:c>
      <x:c r="K22" s="9" t="str">
        <x:v>导出结果仅包含当前筛选的2名用户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规则：BR-1a9cdb068a2283a7
3. 未动态验证</x:v>
      </x:c>
    </x:row>
    <x:row r="23" ht="145" customHeight="1">
      <x:c r="A23" s="10" t="n">
        <x:v>22</x:v>
      </x:c>
      <x:c r="B23" s="10" t="str">
        <x:v>ADMIN-02-0014</x:v>
      </x:c>
      <x:c r="C23" s="10" t="str">
        <x:v>用户管理</x:v>
      </x:c>
      <x:c r="D23" s="10" t="str">
        <x:v>用户列表</x:v>
      </x:c>
      <x:c r="E23" s="10" t="str">
        <x:v>功能需求</x:v>
      </x:c>
      <x:c r="F23" s="10" t="str">
        <x:v>P1</x:v>
      </x:c>
      <x:c r="G23" s="9" t="str">
        <x:v>验证封禁用户</x:v>
      </x:c>
      <x:c r="H23" s="9" t="str">
        <x:v>账号封禁状态</x:v>
      </x:c>
      <x:c r="I23" s="9" t="str">
        <x:v>1. 平台管理员账号可用
2. 目标用户当前正常</x:v>
      </x:c>
      <x:c r="J23" s="9" t="str">
        <x:v>1. 打开用户列表
2. 点击封禁
3. 输入原因为账号违规
4. 确认处置</x:v>
      </x:c>
      <x:c r="K23" s="9" t="str">
        <x:v>目标用户账号状态显示封禁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规则：BR-75e1bda5f685d578
3. 未动态验证</x:v>
      </x:c>
    </x:row>
    <x:row r="24" ht="145" customHeight="1">
      <x:c r="A24" s="10" t="n">
        <x:v>23</x:v>
      </x:c>
      <x:c r="B24" s="10" t="str">
        <x:v>ADMIN-02-0015</x:v>
      </x:c>
      <x:c r="C24" s="10" t="str">
        <x:v>用户管理</x:v>
      </x:c>
      <x:c r="D24" s="10" t="str">
        <x:v>用户列表</x:v>
      </x:c>
      <x:c r="E24" s="10" t="str">
        <x:v>功能需求</x:v>
      </x:c>
      <x:c r="F24" s="10" t="str">
        <x:v>P1</x:v>
      </x:c>
      <x:c r="G24" s="9" t="str">
        <x:v>验证解封用户</x:v>
      </x:c>
      <x:c r="H24" s="9" t="str">
        <x:v>账号解封状态</x:v>
      </x:c>
      <x:c r="I24" s="9" t="str">
        <x:v>1. 平台管理员账号可用
2. 目标用户当前封禁</x:v>
      </x:c>
      <x:c r="J24" s="9" t="str">
        <x:v>1. 打开用户列表
2. 点击解封
3. 输入原因为复核解除
4. 确认处置</x:v>
      </x:c>
      <x:c r="K24" s="9" t="str">
        <x:v>目标用户账号状态显示正常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规则：BR-3ca482a02d9d72f8
3. 未动态验证</x:v>
      </x:c>
    </x:row>
    <x:row r="25" ht="100" customHeight="1">
      <x:c r="A25" s="10" t="n">
        <x:v>24</x:v>
      </x:c>
      <x:c r="B25" s="10" t="str">
        <x:v>ADMIN-02-0016</x:v>
      </x:c>
      <x:c r="C25" s="10" t="str">
        <x:v>用户管理</x:v>
      </x:c>
      <x:c r="D25" s="10" t="str">
        <x:v>用户列表</x:v>
      </x:c>
      <x:c r="E25" s="10" t="str">
        <x:v>功能需求</x:v>
      </x:c>
      <x:c r="F25" s="10" t="str">
        <x:v>P1</x:v>
      </x:c>
      <x:c r="G25" s="9" t="str">
        <x:v>验证用户列表读取用户身份与余额</x:v>
      </x:c>
      <x:c r="H25" s="9" t="str">
        <x:v>用户身份与余额字段来源</x:v>
      </x:c>
      <x:c r="I25" s="9" t="str">
        <x:v>1. 平台管理员账号可用
2. 已知所选用户ID，充值退款已使其真实金币余额为-100</x:v>
      </x:c>
      <x:c r="J25" s="9" t="str">
        <x:v>1. 打开用户列表</x:v>
      </x:c>
      <x:c r="K25" s="9" t="str">
        <x:v>该用户行显示其实际ID及-100金币余额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来源（当前证据）：liveshow-proto/MainBasis/统一需求文档.md；位置：第2542行、第2544行 REQ-169616c64c54、第2549行 REQ-23a3faa539fa
2. 规则：BR-9fb3c05dea566ba1
3. 未动态验证</x:v>
      </x:c>
    </x:row>
    <x:row r="26" ht="85" customHeight="1">
      <x:c r="A26" s="10" t="n">
        <x:v>25</x:v>
      </x:c>
      <x:c r="B26" s="10" t="str">
        <x:v>ADMIN-02-0017</x:v>
      </x:c>
      <x:c r="C26" s="10" t="str">
        <x:v>用户管理</x:v>
      </x:c>
      <x:c r="D26" s="10" t="str">
        <x:v>用户列表</x:v>
      </x:c>
      <x:c r="E26" s="10" t="str">
        <x:v>逻辑校验</x:v>
      </x:c>
      <x:c r="F26" s="10" t="str">
        <x:v>P1</x:v>
      </x:c>
      <x:c r="G26" s="9" t="str">
        <x:v>验证累计充值数值核算</x:v>
      </x:c>
      <x:c r="H26" s="9" t="str">
        <x:v>累计充值计算口径</x:v>
      </x:c>
      <x:c r="I26" s="9" t="str">
        <x:v>1. 平台管理员账号可用
2. 所选用户成功充值10和20USD，失败30USD</x:v>
      </x:c>
      <x:c r="J26" s="9" t="str">
        <x:v>1. 打开用户列表</x:v>
      </x:c>
      <x:c r="K26" s="9" t="str">
        <x:v>累计充值计算结果=30USD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来源（当前证据）：liveshow-proto/MainBasis/统一需求文档.md；位置：第2542行、第2547行 REQ-33a581e8cc89
2. 规则：BR-0adaa8a56f09ef8f
3. 未动态验证</x:v>
      </x:c>
    </x:row>
    <x:row r="27" ht="85" customHeight="1">
      <x:c r="A27" s="10" t="n">
        <x:v>26</x:v>
      </x:c>
      <x:c r="B27" s="10" t="str">
        <x:v>ADMIN-02-0018</x:v>
      </x:c>
      <x:c r="C27" s="10" t="str">
        <x:v>用户管理</x:v>
      </x:c>
      <x:c r="D27" s="10" t="str">
        <x:v>用户列表</x:v>
      </x:c>
      <x:c r="E27" s="10" t="str">
        <x:v>逻辑校验</x:v>
      </x:c>
      <x:c r="F27" s="10" t="str">
        <x:v>P1</x:v>
      </x:c>
      <x:c r="G27" s="9" t="str">
        <x:v>验证累计消费数值核算</x:v>
      </x:c>
      <x:c r="H27" s="9" t="str">
        <x:v>累计消费计算口径</x:v>
      </x:c>
      <x:c r="I27" s="9" t="str">
        <x:v>1. 平台管理员账号可用
2. 普通100、定制200、门票100、幸运1000金币扣款，返奖500；另有失败、撤销、虚拟各100</x:v>
      </x:c>
      <x:c r="J27" s="9" t="str">
        <x:v>1. 打开用户列表</x:v>
      </x:c>
      <x:c r="K27" s="9" t="str">
        <x:v>累计消费计算结果=900金币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来源（当前证据）：liveshow-proto/MainBasis/统一需求文档.md；位置：第2542行、第2548行 REQ-63a48e394be8
2. 规则：BR-36d02a65f68e767a
3. 未动态验证</x:v>
      </x:c>
    </x:row>
    <x:row r="28" ht="85" customHeight="1">
      <x:c r="A28" s="10" t="n">
        <x:v>27</x:v>
      </x:c>
      <x:c r="B28" s="10" t="str">
        <x:v>ADMIN-02-0019</x:v>
      </x:c>
      <x:c r="C28" s="10" t="str">
        <x:v>用户管理</x:v>
      </x:c>
      <x:c r="D28" s="10" t="str">
        <x:v>用户列表</x:v>
      </x:c>
      <x:c r="E28" s="10" t="str">
        <x:v>功能需求</x:v>
      </x:c>
      <x:c r="F28" s="10" t="str">
        <x:v>P1</x:v>
      </x:c>
      <x:c r="G28" s="9" t="str">
        <x:v>验证无标签数值的字段提示</x:v>
      </x:c>
      <x:c r="H28" s="9" t="str">
        <x:v>字段提示内容</x:v>
      </x:c>
      <x:c r="I28" s="9" t="str">
        <x:v>1. 平台管理员账号可用
2. 目标用户行有未明确显示字段名的值，已知实际字段名与值</x:v>
      </x:c>
      <x:c r="J28" s="9" t="str">
        <x:v>1. 打开用户列表
2. 查看该数值的悬停提示（将鼠标移入该值）</x:v>
      </x:c>
      <x:c r="K28" s="9" t="str">
        <x:v>提示采用“字段名：值”且对应当前悬停数据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来源（当前证据）：liveshow-proto/MainBasis/统一需求文档.md；位置：第2542行、第2509行 COMMON-admin-field-label
2. 规则：BR-13655c533587bc9b
3. 未动态验证</x:v>
      </x:c>
    </x:row>
    <x:row r="29" ht="100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内容审核详情</x:v>
      </x:c>
      <x:c r="E29" s="10" t="str">
        <x:v>功能需求</x:v>
      </x:c>
      <x:c r="F29" s="10" t="str">
        <x:v>P1</x:v>
      </x:c>
      <x:c r="G29" s="9" t="str">
        <x:v>验证内容审核详情读取告警证据</x:v>
      </x:c>
      <x:c r="H29" s="9" t="str">
        <x:v>告警证据字段来源</x:v>
      </x:c>
      <x:c r="I29" s="9" t="str">
        <x:v>1. 平台管理员账号可用
2. 目标告警已经处置，原截图或视频可用</x:v>
      </x:c>
      <x:c r="J29" s="9" t="str">
        <x:v>1. 打开内容审核详情</x:v>
      </x:c>
      <x:c r="K29" s="9" t="str">
        <x:v>详情仍保留该告警命中时的截图或视频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来源（当前证据）：liveshow-proto/MainBasis/统一需求文档.md；位置：第2682行、第2684行 REQ-83fb7ce28bb4、第2685行 REQ-d061042c7110
2. 规则：BR-aefad5d73ee87f56
3. 未动态验证</x:v>
      </x:c>
    </x:row>
    <x:row r="30" ht="115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内容审核详情</x:v>
      </x:c>
      <x:c r="E30" s="10" t="str">
        <x:v>功能需求</x:v>
      </x:c>
      <x:c r="F30" s="10" t="str">
        <x:v>P1</x:v>
      </x:c>
      <x:c r="G30" s="9" t="str">
        <x:v>验证处置原因必填</x:v>
      </x:c>
      <x:c r="H30" s="9" t="str">
        <x:v>机审处置原因校验</x:v>
      </x:c>
      <x:c r="I30" s="9" t="str">
        <x:v>1. 平台管理员账号可用
2. 告警待处理</x:v>
      </x:c>
      <x:c r="J30" s="9" t="str">
        <x:v>1. 打开内容审核详情
2. 选择忽略
3. 清空处置原因
4. 点击提交</x:v>
      </x:c>
      <x:c r="K30" s="9" t="str">
        <x:v>无原因的处置不能提交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来源（当前证据）：liveshow-proto/MainBasis/统一需求文档.md；位置：第2682行、第2686行 REQ-2c663e157c36、第2687行 REQ-3a23551c0f84、第2688行 REQ-973c254c9cab、第2689行 REQ-2fb22ff7daa9
2. 规则：BR-3c18a2f21de70183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内容审核详情</x:v>
      </x:c>
      <x:c r="E31" s="10" t="str">
        <x:v>功能需求</x:v>
      </x:c>
      <x:c r="F31" s="10" t="str">
        <x:v>P1</x:v>
      </x:c>
      <x:c r="G31" s="9" t="str">
        <x:v>验证复审中继续处理</x:v>
      </x:c>
      <x:c r="H31" s="9" t="str">
        <x:v>复审后终态</x:v>
      </x:c>
      <x:c r="I31" s="9" t="str">
        <x:v>1. 平台管理员账号可用
2. 告警为人工复审中</x:v>
      </x:c>
      <x:c r="J31" s="9" t="str">
        <x:v>1. 打开内容审核详情
2. 选择忽略
3. 输入原因为人工核验未违规
4. 点击提交</x:v>
      </x:c>
      <x:c r="K31" s="9" t="str">
        <x:v>告警状态显示已忽略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来源（当前证据）：liveshow-proto/MainBasis/统一需求文档.md；位置：第2682行、第2686行 REQ-2c663e157c36、第2687行 REQ-3a23551c0f84、第2688行 REQ-973c254c9cab、第2689行 REQ-2fb22ff7daa9
2. 规则：BR-95afc15a63cd1d26
3. 未动态验证</x:v>
      </x:c>
    </x:row>
    <x:row r="32" ht="115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内容审核详情</x:v>
      </x:c>
      <x:c r="E32" s="10" t="str">
        <x:v>功能需求</x:v>
      </x:c>
      <x:c r="F32" s="10" t="str">
        <x:v>P1</x:v>
      </x:c>
      <x:c r="G32" s="9" t="str">
        <x:v>验证已忽略不能再处理</x:v>
      </x:c>
      <x:c r="H32" s="9" t="str">
        <x:v>忽略终态只读</x:v>
      </x:c>
      <x:c r="I32" s="9" t="str">
        <x:v>1. 平台管理员账号可用
2. 告警已忽略</x:v>
      </x:c>
      <x:c r="J32" s="9" t="str">
        <x:v>1. 打开内容审核详情</x:v>
      </x:c>
      <x:c r="K32" s="9" t="str">
        <x:v>不能再次提交处置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来源（当前证据）：liveshow-proto/MainBasis/统一需求文档.md；位置：第2682行、第2686行 REQ-2c663e157c36、第2687行 REQ-3a23551c0f84、第2688行 REQ-973c254c9cab、第2689行 REQ-2fb22ff7daa9
2. 规则：BR-2cc2d3702ebf0136
3. 未动态验证</x:v>
      </x:c>
    </x:row>
    <x:row r="33" ht="115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内容审核详情</x:v>
      </x:c>
      <x:c r="E33" s="10" t="str">
        <x:v>功能需求</x:v>
      </x:c>
      <x:c r="F33" s="10" t="str">
        <x:v>P1</x:v>
      </x:c>
      <x:c r="G33" s="9" t="str">
        <x:v>验证已处置不能再处理</x:v>
      </x:c>
      <x:c r="H33" s="9" t="str">
        <x:v>处置终态只读</x:v>
      </x:c>
      <x:c r="I33" s="9" t="str">
        <x:v>1. 平台管理员账号可用
2. 告警已处置</x:v>
      </x:c>
      <x:c r="J33" s="9" t="str">
        <x:v>1. 打开内容审核详情</x:v>
      </x:c>
      <x:c r="K33" s="9" t="str">
        <x:v>不能再次提交处置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来源（当前证据）：liveshow-proto/MainBasis/统一需求文档.md；位置：第2682行、第2686行 REQ-2c663e157c36、第2687行 REQ-3a23551c0f84、第2688行 REQ-973c254c9cab、第2689行 REQ-2fb22ff7daa9
2. 规则：BR-dfc69c5be66e8e19
3. 未动态验证</x:v>
      </x:c>
    </x:row>
    <x:row r="34" ht="115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内容审核详情</x:v>
      </x:c>
      <x:c r="E34" s="10" t="str">
        <x:v>功能需求</x:v>
      </x:c>
      <x:c r="F34" s="10" t="str">
        <x:v>P1</x:v>
      </x:c>
      <x:c r="G34" s="9" t="str">
        <x:v>验证忽略保留直播状态</x:v>
      </x:c>
      <x:c r="H34" s="9" t="str">
        <x:v>误报不改变场次</x:v>
      </x:c>
      <x:c r="I34" s="9" t="str">
        <x:v>1. 平台管理员账号可用
2. 告警对应直播场次仍在播</x:v>
      </x:c>
      <x:c r="J34" s="9" t="str">
        <x:v>1. 打开内容审核详情
2. 选择忽略
3. 输入原因为误报
4. 点击提交</x:v>
      </x:c>
      <x:c r="K34" s="9" t="str">
        <x:v>关联直播状态保持直播中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来源（当前证据）：liveshow-proto/MainBasis/统一需求文档.md；位置：第2682行、第2686行 REQ-2c663e157c36、第2687行 REQ-3a23551c0f84、第2688行 REQ-973c254c9cab、第2689行 REQ-2fb22ff7daa9
2. 规则：BR-b3eab45a08a33317
3. 未动态验证</x:v>
      </x:c>
    </x:row>
    <x:row r="35" ht="130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内容审核</x:v>
      </x:c>
      <x:c r="E35" s="10" t="str">
        <x:v>功能需求</x:v>
      </x:c>
      <x:c r="F35" s="10" t="str">
        <x:v>P1</x:v>
      </x:c>
      <x:c r="G35" s="9" t="str">
        <x:v>验证未处理机审告警</x:v>
      </x:c>
      <x:c r="H35" s="9" t="str">
        <x:v>告警默认处置结果</x:v>
      </x:c>
      <x:c r="I35" s="9" t="str">
        <x:v>1. 平台管理员账号可用
2. 机审已生成尚未处理的告警</x:v>
      </x:c>
      <x:c r="J35" s="9" t="str">
        <x:v>1. 打开内容审核</x:v>
      </x:c>
      <x:c r="K35" s="9" t="str">
        <x:v>处置结果显示“-”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规则：BR-501846f7ef130df7
3. 未动态验证</x:v>
      </x:c>
    </x:row>
    <x:row r="36" ht="130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内容审核</x:v>
      </x:c>
      <x:c r="E36" s="10" t="str">
        <x:v>功能需求</x:v>
      </x:c>
      <x:c r="F36" s="10" t="str">
        <x:v>P1</x:v>
      </x:c>
      <x:c r="G36" s="9" t="str">
        <x:v>验证快捷忽略告警</x:v>
      </x:c>
      <x:c r="H36" s="9" t="str">
        <x:v>忽略告警终态</x:v>
      </x:c>
      <x:c r="I36" s="9" t="str">
        <x:v>1. 平台管理员账号可用
2. 机审告警待处理</x:v>
      </x:c>
      <x:c r="J36" s="9" t="str">
        <x:v>1. 打开内容审核
2. 点击快捷忽略</x:v>
      </x:c>
      <x:c r="K36" s="9" t="str">
        <x:v>告警状态显示已忽略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规则：BR-3d62056909e7da2d
3. 未动态验证</x:v>
      </x:c>
    </x:row>
    <x:row r="37" ht="130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内容审核</x:v>
      </x:c>
      <x:c r="E37" s="10" t="str">
        <x:v>功能需求</x:v>
      </x:c>
      <x:c r="F37" s="10" t="str">
        <x:v>P1</x:v>
      </x:c>
      <x:c r="G37" s="9" t="str">
        <x:v>验证转人工复审</x:v>
      </x:c>
      <x:c r="H37" s="9" t="str">
        <x:v>人工复审中间态</x:v>
      </x:c>
      <x:c r="I37" s="9" t="str">
        <x:v>1. 平台管理员账号可用
2. 机审告警待处理</x:v>
      </x:c>
      <x:c r="J37" s="9" t="str">
        <x:v>1. 打开内容审核
2. 点击处理
3. 选择转人工复审
4. 输入原因为需要人工核验
5. 点击提交</x:v>
      </x:c>
      <x:c r="K37" s="9" t="str">
        <x:v>告警状态显示人工复审中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规则：BR-909cbbc12e8506ea
3. 未动态验证</x:v>
      </x:c>
    </x:row>
    <x:row r="38" ht="130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内容审核</x:v>
      </x:c>
      <x:c r="E38" s="10" t="str">
        <x:v>功能需求</x:v>
      </x:c>
      <x:c r="F38" s="10" t="str">
        <x:v>P1</x:v>
      </x:c>
      <x:c r="G38" s="9" t="str">
        <x:v>验证机审命中不自动处罚</x:v>
      </x:c>
      <x:c r="H38" s="9" t="str">
        <x:v>机审与处罚隔离</x:v>
      </x:c>
      <x:c r="I38" s="9" t="str">
        <x:v>1. 平台管理员账号可用
2. 已生成高风险机审告警但无人处置</x:v>
      </x:c>
      <x:c r="J38" s="9" t="str">
        <x:v>1. 打开内容审核</x:v>
      </x:c>
      <x:c r="K38" s="9" t="str">
        <x:v>处置记录仍为空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规则：BR-a2c88467be8b3b22
3. 未动态验证</x:v>
      </x:c>
    </x:row>
    <x:row r="39" ht="85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内容审核</x:v>
      </x:c>
      <x:c r="E39" s="10" t="str">
        <x:v>功能需求</x:v>
      </x:c>
      <x:c r="F39" s="10" t="str">
        <x:v>P1</x:v>
      </x:c>
      <x:c r="G39" s="9" t="str">
        <x:v>验证不同机审告警单号</x:v>
      </x:c>
      <x:c r="H39" s="9" t="str">
        <x:v>审核单ID唯一性</x:v>
      </x:c>
      <x:c r="I39" s="9" t="str">
        <x:v>1. 平台管理员账号可用
2. 同场次产生两条独立机审告警</x:v>
      </x:c>
      <x:c r="J39" s="9" t="str">
        <x:v>1. 打开内容审核</x:v>
      </x:c>
      <x:c r="K39" s="9" t="str">
        <x:v>两条审核单号不同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来源（当前证据）：liveshow-proto/MainBasis/统一需求文档.md；位置：第2671行、第2673行 REQ-e590d8c206ba
2. 规则：BR-882744cc4739234d
3. 未动态验证</x:v>
      </x:c>
    </x:row>
    <x:row r="40" ht="85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内容审核</x:v>
      </x:c>
      <x:c r="E40" s="10" t="str">
        <x:v>功能需求</x:v>
      </x:c>
      <x:c r="F40" s="10" t="str">
        <x:v>P1</x:v>
      </x:c>
      <x:c r="G40" s="9" t="str">
        <x:v>验证命中时画面不同于当前</x:v>
      </x:c>
      <x:c r="H40" s="9" t="str">
        <x:v>告警图片快照</x:v>
      </x:c>
      <x:c r="I40" s="9" t="str">
        <x:v>1. 平台管理员账号可用
2. 告警命中画面已保存，直播画面随后改变</x:v>
      </x:c>
      <x:c r="J40" s="9" t="str">
        <x:v>1. 打开内容审核</x:v>
      </x:c>
      <x:c r="K40" s="9" t="str">
        <x:v>告警截图仍为命中时快照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来源（当前证据）：liveshow-proto/MainBasis/统一需求文档.md；位置：第2671行、第2675行 REQ-85d55cf81d3e
2. 规则：BR-52fce95f92d21fc7
3. 未动态验证</x:v>
      </x:c>
    </x:row>
    <x:row r="41" ht="130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主播详情</x:v>
      </x:c>
      <x:c r="E41" s="10" t="str">
        <x:v>功能需求</x:v>
      </x:c>
      <x:c r="F41" s="10" t="str">
        <x:v>P1</x:v>
      </x:c>
      <x:c r="G41" s="9" t="str">
        <x:v>验证平台关闭主播直播权限</x:v>
      </x:c>
      <x:c r="H41" s="9" t="str">
        <x:v>平台关闭后的最终权限</x:v>
      </x:c>
      <x:c r="I41" s="9" t="str">
        <x:v>1. 平台管理员账号可用
2. 主播账号可用、公会有效、认证通过且直播权限开启</x:v>
      </x:c>
      <x:c r="J41" s="9" t="str">
        <x:v>1. 打开主播详情
2. 关闭平台直播权限
3. 输入原因为平台风控
4. 确认处置</x:v>
      </x:c>
      <x:c r="K41" s="9" t="str">
        <x:v>最终直播权限显示关闭</x:v>
      </x:c>
      <x:c r="L41" s="10" t="str">
        <x:v>FLOW-LIVE-PERMISSION</x:v>
      </x:c>
      <x:c r="M41" s="10" t="str">
        <x:v>未测</x:v>
      </x:c>
      <x:c r="N41" s="10" t="str"/>
      <x:c r="O41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规则：BR-542c23c4a239d69f
3. 未动态验证</x:v>
      </x:c>
    </x:row>
    <x:row r="42" ht="130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主播详情</x:v>
      </x:c>
      <x:c r="E42" s="10" t="str">
        <x:v>功能需求</x:v>
      </x:c>
      <x:c r="F42" s="10" t="str">
        <x:v>P1</x:v>
      </x:c>
      <x:c r="G42" s="9" t="str">
        <x:v>验证平台开启并锁定公会</x:v>
      </x:c>
      <x:c r="H42" s="9" t="str">
        <x:v>锁定后的最终权限</x:v>
      </x:c>
      <x:c r="I42" s="9" t="str">
        <x:v>1. 平台管理员账号可用
2. 平台开启，原公会开关关闭</x:v>
      </x:c>
      <x:c r="J42" s="9" t="str">
        <x:v>1. 打开主播详情
2. 锁定公会管理权限
3. 输入原因为平台统一管理
4. 确认处置</x:v>
      </x:c>
      <x:c r="K42" s="9" t="str">
        <x:v>最终直播权限显示开启</x:v>
      </x:c>
      <x:c r="L42" s="10" t="str">
        <x:v>FLOW-LIVE-PERMISSION</x:v>
      </x:c>
      <x:c r="M42" s="10" t="str">
        <x:v>未测</x:v>
      </x:c>
      <x:c r="N42" s="10" t="str"/>
      <x:c r="O42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规则：BR-5c98bf99baf7cab3
3. 未动态验证</x:v>
      </x:c>
    </x:row>
    <x:row r="43" ht="130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主播详情</x:v>
      </x:c>
      <x:c r="E43" s="10" t="str">
        <x:v>功能需求</x:v>
      </x:c>
      <x:c r="F43" s="10" t="str">
        <x:v>P1</x:v>
      </x:c>
      <x:c r="G43" s="9" t="str">
        <x:v>验证解锁恢复公会原值</x:v>
      </x:c>
      <x:c r="H43" s="9" t="str">
        <x:v>公会权限原值恢复</x:v>
      </x:c>
      <x:c r="I43" s="9" t="str">
        <x:v>1. 平台管理员账号可用
2. 锁定前公会关闭，平台当前开启并锁定</x:v>
      </x:c>
      <x:c r="J43" s="9" t="str">
        <x:v>1. 打开主播详情
2. 解锁公会管理权限
3. 输入原因为恢复公会管理
4. 确认处置</x:v>
      </x:c>
      <x:c r="K43" s="9" t="str">
        <x:v>最终直播权限恢复关闭</x:v>
      </x:c>
      <x:c r="L43" s="10" t="str">
        <x:v>FLOW-LIVE-PERMISSION</x:v>
      </x:c>
      <x:c r="M43" s="10" t="str">
        <x:v>未测</x:v>
      </x:c>
      <x:c r="N43" s="10" t="str"/>
      <x:c r="O43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规则：BR-47077d3cf6a1bcd7
3. 未动态验证</x:v>
      </x:c>
    </x:row>
    <x:row r="44" ht="130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主播详情</x:v>
      </x:c>
      <x:c r="E44" s="10" t="str">
        <x:v>功能需求</x:v>
      </x:c>
      <x:c r="F44" s="10" t="str">
        <x:v>P1</x:v>
      </x:c>
      <x:c r="G44" s="9" t="str">
        <x:v>验证公会关闭后的后台观察</x:v>
      </x:c>
      <x:c r="H44" s="9" t="str">
        <x:v>公会侧权限同步</x:v>
      </x:c>
      <x:c r="I44" s="9" t="str">
        <x:v>1. 平台管理员账号可用
2. 平台开启未锁定，公会已关闭主播权限</x:v>
      </x:c>
      <x:c r="J44" s="9" t="str">
        <x:v>1. 打开主播详情
2. 刷新主播记录</x:v>
      </x:c>
      <x:c r="K44" s="9" t="str">
        <x:v>最终直播权限显示关闭</x:v>
      </x:c>
      <x:c r="L44" s="10" t="str">
        <x:v>FLOW-LIVE-PERMISSION</x:v>
      </x:c>
      <x:c r="M44" s="10" t="str">
        <x:v>未测</x:v>
      </x:c>
      <x:c r="N44" s="10" t="str"/>
      <x:c r="O44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规则：BR-3af4b682de12c163
3. 未动态验证</x:v>
      </x:c>
    </x:row>
    <x:row r="45" ht="100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主播详情</x:v>
      </x:c>
      <x:c r="E45" s="10" t="str">
        <x:v>功能需求</x:v>
      </x:c>
      <x:c r="F45" s="10" t="str">
        <x:v>P1</x:v>
      </x:c>
      <x:c r="G45" s="9" t="str">
        <x:v>验证主播详情读取主播历史明细</x:v>
      </x:c>
      <x:c r="H45" s="9" t="str">
        <x:v>主播历史明细字段来源</x:v>
      </x:c>
      <x:c r="I45" s="9" t="str">
        <x:v>1. 平台管理员账号可用
2. 目标主播有两个已结束场次和已确认违规记录</x:v>
      </x:c>
      <x:c r="J45" s="9" t="str">
        <x:v>1. 打开主播详情
2. 切换直播记录和违规记录Tab</x:v>
      </x:c>
      <x:c r="K45" s="9" t="str">
        <x:v>详情Tab显示该主播各独立场次快照与违规处置时间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来源（当前证据）：liveshow-proto/MainBasis/统一需求文档.md；位置：第2583行、第2587行 REQ-0d2ec2b17807、第2589行 REQ-7fafa048e2f6
2. 规则：BR-24172d0fb70fafe3
3. 未动态验证</x:v>
      </x:c>
    </x:row>
    <x:row r="46" ht="8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主播详情</x:v>
      </x:c>
      <x:c r="E46" s="10" t="str">
        <x:v>逻辑校验</x:v>
      </x:c>
      <x:c r="F46" s="10" t="str">
        <x:v>P1</x:v>
      </x:c>
      <x:c r="G46" s="9" t="str">
        <x:v>验证收益数值核算</x:v>
      </x:c>
      <x:c r="H46" s="9" t="str">
        <x:v>收益计算口径</x:v>
      </x:c>
      <x:c r="I46" s="9" t="str">
        <x:v>1. 平台管理员账号可用
2. 成功真实普通100、定制200、门票100、幸运1000金币且比例1%，另有虚拟500</x:v>
      </x:c>
      <x:c r="J46" s="9" t="str">
        <x:v>1. 打开主播详情</x:v>
      </x:c>
      <x:c r="K46" s="9" t="str">
        <x:v>收益计算结果=410金币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来源（当前证据）：liveshow-proto/MainBasis/统一需求文档.md；位置：第2583行、第2588行 REQ-16afc0c47b28
2. 规则：BR-a98702dcb79dd722
3. 未动态验证</x:v>
      </x:c>
    </x:row>
    <x:row r="47" ht="130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主播列表</x:v>
      </x:c>
      <x:c r="E47" s="10" t="str">
        <x:v>功能需求</x:v>
      </x:c>
      <x:c r="F47" s="10" t="str">
        <x:v>P1</x:v>
      </x:c>
      <x:c r="G47" s="9" t="str">
        <x:v>验证平台关闭主播直播权限</x:v>
      </x:c>
      <x:c r="H47" s="9" t="str">
        <x:v>平台关闭后的最终权限</x:v>
      </x:c>
      <x:c r="I47" s="9" t="str">
        <x:v>1. 平台管理员账号可用
2. 主播账号可用、公会有效、认证通过且直播权限开启</x:v>
      </x:c>
      <x:c r="J47" s="9" t="str">
        <x:v>1. 打开主播列表
2. 关闭平台直播权限
3. 输入原因为平台风控
4. 确认处置</x:v>
      </x:c>
      <x:c r="K47" s="9" t="str">
        <x:v>最终直播权限显示关闭</x:v>
      </x:c>
      <x:c r="L47" s="10" t="str">
        <x:v>FLOW-LIVE-PERMISSION</x:v>
      </x:c>
      <x:c r="M47" s="10" t="str">
        <x:v>未测</x:v>
      </x:c>
      <x:c r="N47" s="10" t="str"/>
      <x:c r="O47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规则：BR-a889c90a84d30826
3. 未动态验证</x:v>
      </x:c>
    </x:row>
    <x:row r="48" ht="130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</x:v>
      </x:c>
      <x:c r="E48" s="10" t="str">
        <x:v>功能需求</x:v>
      </x:c>
      <x:c r="F48" s="10" t="str">
        <x:v>P1</x:v>
      </x:c>
      <x:c r="G48" s="9" t="str">
        <x:v>验证平台开启并锁定公会</x:v>
      </x:c>
      <x:c r="H48" s="9" t="str">
        <x:v>锁定后的最终权限</x:v>
      </x:c>
      <x:c r="I48" s="9" t="str">
        <x:v>1. 平台管理员账号可用
2. 平台开启，原公会开关关闭</x:v>
      </x:c>
      <x:c r="J48" s="9" t="str">
        <x:v>1. 打开主播列表
2. 锁定公会管理权限
3. 输入原因为平台统一管理
4. 确认处置</x:v>
      </x:c>
      <x:c r="K48" s="9" t="str">
        <x:v>最终直播权限显示开启</x:v>
      </x:c>
      <x:c r="L48" s="10" t="str">
        <x:v>FLOW-LIVE-PERMISSION</x:v>
      </x:c>
      <x:c r="M48" s="10" t="str">
        <x:v>未测</x:v>
      </x:c>
      <x:c r="N48" s="10" t="str"/>
      <x:c r="O48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规则：BR-168ec7e31dc91bce
3. 未动态验证</x:v>
      </x:c>
    </x:row>
    <x:row r="49" ht="13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</x:v>
      </x:c>
      <x:c r="E49" s="10" t="str">
        <x:v>功能需求</x:v>
      </x:c>
      <x:c r="F49" s="10" t="str">
        <x:v>P1</x:v>
      </x:c>
      <x:c r="G49" s="9" t="str">
        <x:v>验证解锁恢复公会原值</x:v>
      </x:c>
      <x:c r="H49" s="9" t="str">
        <x:v>公会权限原值恢复</x:v>
      </x:c>
      <x:c r="I49" s="9" t="str">
        <x:v>1. 平台管理员账号可用
2. 锁定前公会关闭，平台当前开启并锁定</x:v>
      </x:c>
      <x:c r="J49" s="9" t="str">
        <x:v>1. 打开主播列表
2. 解锁公会管理权限
3. 输入原因为恢复公会管理
4. 确认处置</x:v>
      </x:c>
      <x:c r="K49" s="9" t="str">
        <x:v>最终直播权限恢复关闭</x:v>
      </x:c>
      <x:c r="L49" s="10" t="str">
        <x:v>FLOW-LIVE-PERMISSION</x:v>
      </x:c>
      <x:c r="M49" s="10" t="str">
        <x:v>未测</x:v>
      </x:c>
      <x:c r="N49" s="10" t="str"/>
      <x:c r="O49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规则：BR-97d1f247e7897792
3. 未动态验证</x:v>
      </x:c>
    </x:row>
    <x:row r="50" ht="13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</x:v>
      </x:c>
      <x:c r="E50" s="10" t="str">
        <x:v>功能需求</x:v>
      </x:c>
      <x:c r="F50" s="10" t="str">
        <x:v>P1</x:v>
      </x:c>
      <x:c r="G50" s="9" t="str">
        <x:v>验证公会关闭后的后台观察</x:v>
      </x:c>
      <x:c r="H50" s="9" t="str">
        <x:v>公会侧权限同步</x:v>
      </x:c>
      <x:c r="I50" s="9" t="str">
        <x:v>1. 平台管理员账号可用
2. 平台开启未锁定，公会已关闭主播权限</x:v>
      </x:c>
      <x:c r="J50" s="9" t="str">
        <x:v>1. 打开主播列表
2. 刷新主播记录</x:v>
      </x:c>
      <x:c r="K50" s="9" t="str">
        <x:v>最终直播权限显示关闭</x:v>
      </x:c>
      <x:c r="L50" s="10" t="str">
        <x:v>FLOW-LIVE-PERMISSION</x:v>
      </x:c>
      <x:c r="M50" s="10" t="str">
        <x:v>未测</x:v>
      </x:c>
      <x:c r="N50" s="10" t="str"/>
      <x:c r="O50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规则：BR-d28b01299e657a37
3. 未动态验证</x:v>
      </x:c>
    </x:row>
    <x:row r="51" ht="115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</x:v>
      </x:c>
      <x:c r="E51" s="10" t="str">
        <x:v>功能需求</x:v>
      </x:c>
      <x:c r="F51" s="10" t="str">
        <x:v>P1</x:v>
      </x:c>
      <x:c r="G51" s="9" t="str">
        <x:v>验证认证前不列为主播</x:v>
      </x:c>
      <x:c r="H51" s="9" t="str">
        <x:v>主播身份范围</x:v>
      </x:c>
      <x:c r="I51" s="9" t="str">
        <x:v>1. 平台管理员账号可用
2. 一名用户仍在平台审核中，另一名已通过</x:v>
      </x:c>
      <x:c r="J51" s="9" t="str">
        <x:v>1. 打开主播列表</x:v>
      </x:c>
      <x:c r="K51" s="9" t="str">
        <x:v>主播列表仅包含已认证通过者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来源（当前证据）：liveshow-proto/MainBasis/统一需求文档.md；位置：第2571行、第2573行 REQ-592c886af0ed、第2577行 REQ-84a6a44ee1be、第2580行 REQ-c3c43cdfeffa、第2512行 COMMON-identity
2. 规则：BR-19b4265012d72f08
3. 未动态验证</x:v>
      </x:c>
    </x:row>
    <x:row r="52" ht="115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</x:v>
      </x:c>
      <x:c r="E52" s="10" t="str">
        <x:v>功能需求</x:v>
      </x:c>
      <x:c r="F52" s="10" t="str">
        <x:v>P1</x:v>
      </x:c>
      <x:c r="G52" s="9" t="str">
        <x:v>验证无效举报不算违规次数</x:v>
      </x:c>
      <x:c r="H52" s="9" t="str">
        <x:v>确认违规统计</x:v>
      </x:c>
      <x:c r="I52" s="9" t="str">
        <x:v>1. 平台管理员账号可用
2. 目标主播有已确认违规2条、不成立1条、已作废1条</x:v>
      </x:c>
      <x:c r="J52" s="9" t="str">
        <x:v>1. 打开主播列表</x:v>
      </x:c>
      <x:c r="K52" s="9" t="str">
        <x:v>违规次数显示2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来源（当前证据）：liveshow-proto/MainBasis/统一需求文档.md；位置：第2571行、第2573行 REQ-592c886af0ed、第2577行 REQ-84a6a44ee1be、第2580行 REQ-c3c43cdfeffa、第2512行 COMMON-identity
2. 规则：BR-4a84955ed6223e4d
3. 未动态验证</x:v>
      </x:c>
    </x:row>
    <x:row r="53" ht="115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</x:v>
      </x:c>
      <x:c r="E53" s="10" t="str">
        <x:v>功能需求</x:v>
      </x:c>
      <x:c r="F53" s="10" t="str">
        <x:v>P1</x:v>
      </x:c>
      <x:c r="G53" s="9" t="str">
        <x:v>验证主播导出当前筛选</x:v>
      </x:c>
      <x:c r="H53" s="9" t="str">
        <x:v>主播导出范围</x:v>
      </x:c>
      <x:c r="I53" s="9" t="str">
        <x:v>1. 平台管理员账号可用
2. 当前筛选仅命中2名主播</x:v>
      </x:c>
      <x:c r="J53" s="9" t="str">
        <x:v>1. 打开主播列表
2. 点击导出</x:v>
      </x:c>
      <x:c r="K53" s="9" t="str">
        <x:v>导出结果仅包含这2名主播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来源（当前证据）：liveshow-proto/MainBasis/统一需求文档.md；位置：第2571行、第2573行 REQ-592c886af0ed、第2577行 REQ-84a6a44ee1be、第2580行 REQ-c3c43cdfeffa、第2512行 COMMON-identity
2. 规则：BR-616cd96fd080cfbc
3. 未动态验证</x:v>
      </x:c>
    </x:row>
    <x:row r="54" ht="115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</x:v>
      </x:c>
      <x:c r="E54" s="10" t="str">
        <x:v>功能需求</x:v>
      </x:c>
      <x:c r="F54" s="10" t="str">
        <x:v>P1</x:v>
      </x:c>
      <x:c r="G54" s="9" t="str">
        <x:v>验证退会后后台公会关系</x:v>
      </x:c>
      <x:c r="H54" s="9" t="str">
        <x:v>退会关系同步</x:v>
      </x:c>
      <x:c r="I54" s="9" t="str">
        <x:v>1. 平台管理员账号可用
2. 公会已通过目标主播的退会申请</x:v>
      </x:c>
      <x:c r="J54" s="9" t="str">
        <x:v>1. 打开主播列表
2. 刷新主播列表</x:v>
      </x:c>
      <x:c r="K54" s="9" t="str">
        <x:v>目标主播不再具有原公会的有效主播关系</x:v>
      </x:c>
      <x:c r="L54" s="10" t="str">
        <x:v>FLOW-LEAVE</x:v>
      </x:c>
      <x:c r="M54" s="10" t="str">
        <x:v>未测</x:v>
      </x:c>
      <x:c r="N54" s="10" t="str"/>
      <x:c r="O54" s="9" t="str">
        <x:v>1. 来源（当前证据）：liveshow-proto/MainBasis/统一需求文档.md；位置：第2571行、第2573行 REQ-592c886af0ed、第2577行 REQ-84a6a44ee1be、第2580行 REQ-c3c43cdfeffa、第2512行 COMMON-identity
2. 规则：BR-8e8af489963d7f3f
3. 未动态验证</x:v>
      </x:c>
    </x:row>
    <x:row r="55" ht="115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</x:v>
      </x:c>
      <x:c r="E55" s="10" t="str">
        <x:v>功能需求</x:v>
      </x:c>
      <x:c r="F55" s="10" t="str">
        <x:v>P1</x:v>
      </x:c>
      <x:c r="G55" s="9" t="str">
        <x:v>验证移出后后台公会关系</x:v>
      </x:c>
      <x:c r="H55" s="9" t="str">
        <x:v>移出关系同步</x:v>
      </x:c>
      <x:c r="I55" s="9" t="str">
        <x:v>1. 平台管理员账号可用
2. 公会已将无未结收益的目标主播移出</x:v>
      </x:c>
      <x:c r="J55" s="9" t="str">
        <x:v>1. 打开主播列表
2. 刷新主播列表</x:v>
      </x:c>
      <x:c r="K55" s="9" t="str">
        <x:v>目标账号不再具有原公会的有效主播关系</x:v>
      </x:c>
      <x:c r="L55" s="10" t="str">
        <x:v>FLOW-LEAVE</x:v>
      </x:c>
      <x:c r="M55" s="10" t="str">
        <x:v>未测</x:v>
      </x:c>
      <x:c r="N55" s="10" t="str"/>
      <x:c r="O55" s="9" t="str">
        <x:v>1. 来源（当前证据）：liveshow-proto/MainBasis/统一需求文档.md；位置：第2571行、第2573行 REQ-592c886af0ed、第2577行 REQ-84a6a44ee1be、第2580行 REQ-c3c43cdfeffa、第2512行 COMMON-identity
2. 规则：BR-084a3b23fa242cd6
3. 未动态验证</x:v>
      </x:c>
    </x:row>
    <x:row r="56" ht="85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</x:v>
      </x:c>
      <x:c r="E56" s="10" t="str">
        <x:v>逻辑校验</x:v>
      </x:c>
      <x:c r="F56" s="10" t="str">
        <x:v>P1</x:v>
      </x:c>
      <x:c r="G56" s="9" t="str">
        <x:v>验证金币收益数值核算</x:v>
      </x:c>
      <x:c r="H56" s="9" t="str">
        <x:v>金币收益计算口径</x:v>
      </x:c>
      <x:c r="I56" s="9" t="str">
        <x:v>1. 平台管理员账号可用
2. 成功真实普通100、定制200、门票100、幸运1000金币且比例1%，另有虚拟500</x:v>
      </x:c>
      <x:c r="J56" s="9" t="str">
        <x:v>1. 打开主播列表</x:v>
      </x:c>
      <x:c r="K56" s="9" t="str">
        <x:v>金币收益计算结果=410金币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来源（当前证据）：liveshow-proto/MainBasis/统一需求文档.md；位置：第2571行、第2576行 REQ-cb2ee54a238a
2. 规则：BR-9bd655496312b6af
3. 未动态验证</x:v>
      </x:c>
    </x:row>
    <x:row r="57" ht="8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</x:v>
      </x:c>
      <x:c r="E57" s="10" t="str">
        <x:v>功能需求</x:v>
      </x:c>
      <x:c r="F57" s="10" t="str">
        <x:v>P1</x:v>
      </x:c>
      <x:c r="G57" s="9" t="str">
        <x:v>验证账号封禁与权限关闭不同</x:v>
      </x:c>
      <x:c r="H57" s="9" t="str">
        <x:v>主播账号状态独立</x:v>
      </x:c>
      <x:c r="I57" s="9" t="str">
        <x:v>1. 平台管理员账号可用
2. 目标主播账号正常，直播权限已关闭</x:v>
      </x:c>
      <x:c r="J57" s="9" t="str">
        <x:v>1. 打开主播列表</x:v>
      </x:c>
      <x:c r="K57" s="9" t="str">
        <x:v>账号状态仍显示正常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来源（当前证据）：liveshow-proto/MainBasis/统一需求文档.md；位置：第2571行、第2574行 REQ-1d332a93d537
2. 规则：BR-039a0d4a844aa670
3. 未动态验证</x:v>
      </x:c>
    </x:row>
    <x:row r="58" ht="10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审核详情</x:v>
      </x:c>
      <x:c r="E58" s="10" t="str">
        <x:v>功能需求</x:v>
      </x:c>
      <x:c r="F58" s="10" t="str">
        <x:v>P1</x:v>
      </x:c>
      <x:c r="G58" s="9" t="str">
        <x:v>验证审核详情读取认证材料快照</x:v>
      </x:c>
      <x:c r="H58" s="9" t="str">
        <x:v>认证材料快照字段来源</x:v>
      </x:c>
      <x:c r="I58" s="9" t="str">
        <x:v>1. 平台管理员账号可用
2. 目标申请材料已记录，用户随后修改了个人资料</x:v>
      </x:c>
      <x:c r="J58" s="9" t="str">
        <x:v>1. 打开审核详情</x:v>
      </x:c>
      <x:c r="K58" s="9" t="str">
        <x:v>认证材料保留该笔申请提交时的证件与实名快照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来源（当前证据）：liveshow-proto/MainBasis/统一需求文档.md；位置：第2605行、第2607行 REQ-589b4efd18cb、第2608行 REQ-239b36943cc7
2. 规则：BR-69eb9f48d370b111
3. 未动态验证</x:v>
      </x:c>
    </x:row>
    <x:row r="59" ht="145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审核详情</x:v>
      </x:c>
      <x:c r="E59" s="10" t="str">
        <x:v>功能需求</x:v>
      </x:c>
      <x:c r="F59" s="10" t="str">
        <x:v>P1</x:v>
      </x:c>
      <x:c r="G59" s="9" t="str">
        <x:v>验证平台终审通过</x:v>
      </x:c>
      <x:c r="H59" s="9" t="str">
        <x:v>认证通过终态</x:v>
      </x:c>
      <x:c r="I59" s="9" t="str">
        <x:v>1. 平台管理员账号可用
2. 申请已完成公会初审且待平台审核</x:v>
      </x:c>
      <x:c r="J59" s="9" t="str">
        <x:v>1. 打开审核详情
2. 选择通过
3. 选择平台直播权限开启和允许公会管理
4. 点击确认</x:v>
      </x:c>
      <x:c r="K59" s="9" t="str">
        <x:v>申请状态显示已通过</x:v>
      </x:c>
      <x:c r="L59" s="10" t="str">
        <x:v>FLOW-JOIN</x:v>
      </x:c>
      <x:c r="M59" s="10" t="str">
        <x:v>未测</x:v>
      </x:c>
      <x:c r="N59" s="10" t="str"/>
      <x:c r="O59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规则：BR-d23f8020a7b6ac34
3. 未动态验证</x:v>
      </x:c>
    </x:row>
    <x:row r="60" ht="145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审核详情</x:v>
      </x:c>
      <x:c r="E60" s="10" t="str">
        <x:v>功能需求</x:v>
      </x:c>
      <x:c r="F60" s="10" t="str">
        <x:v>P1</x:v>
      </x:c>
      <x:c r="G60" s="9" t="str">
        <x:v>验证平台终审驳回</x:v>
      </x:c>
      <x:c r="H60" s="9" t="str">
        <x:v>认证驳回终态</x:v>
      </x:c>
      <x:c r="I60" s="9" t="str">
        <x:v>1. 平台管理员账号可用
2. 申请待平台审核</x:v>
      </x:c>
      <x:c r="J60" s="9" t="str">
        <x:v>1. 打开审核详情
2. 选择驳回
3. 输入驳回原因为认证材料不完整
4. 点击确认</x:v>
      </x:c>
      <x:c r="K60" s="9" t="str">
        <x:v>申请状态显示已驳回</x:v>
      </x:c>
      <x:c r="L60" s="10" t="str">
        <x:v>FLOW-JOIN</x:v>
      </x:c>
      <x:c r="M60" s="10" t="str">
        <x:v>未测</x:v>
      </x:c>
      <x:c r="N60" s="10" t="str"/>
      <x:c r="O60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规则：BR-95fbb6fd78430d1a
3. 未动态验证</x:v>
      </x:c>
    </x:row>
    <x:row r="61" ht="14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审核详情</x:v>
      </x:c>
      <x:c r="E61" s="10" t="str">
        <x:v>功能需求</x:v>
      </x:c>
      <x:c r="F61" s="10" t="str">
        <x:v>P1</x:v>
      </x:c>
      <x:c r="G61" s="9" t="str">
        <x:v>验证驳回原因留空</x:v>
      </x:c>
      <x:c r="H61" s="9" t="str">
        <x:v>平台驳回必填原因</x:v>
      </x:c>
      <x:c r="I61" s="9" t="str">
        <x:v>1. 平台管理员账号可用
2. 申请待平台审核</x:v>
      </x:c>
      <x:c r="J61" s="9" t="str">
        <x:v>1. 打开审核详情
2. 选择驳回
3. 清空驳回原因
4. 点击确认</x:v>
      </x:c>
      <x:c r="K61" s="9" t="str">
        <x:v>未填写原因的驳回不能提交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规则：BR-8279a0e7203a8c1d
3. 未动态验证</x:v>
      </x:c>
    </x:row>
    <x:row r="62" ht="145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审核详情</x:v>
      </x:c>
      <x:c r="E62" s="10" t="str">
        <x:v>功能需求</x:v>
      </x:c>
      <x:c r="F62" s="10" t="str">
        <x:v>P1</x:v>
      </x:c>
      <x:c r="G62" s="9" t="str">
        <x:v>验证认证通过后重复提交</x:v>
      </x:c>
      <x:c r="H62" s="9" t="str">
        <x:v>通过终态只读</x:v>
      </x:c>
      <x:c r="I62" s="9" t="str">
        <x:v>1. 平台管理员账号可用
2. 申请已通过</x:v>
      </x:c>
      <x:c r="J62" s="9" t="str">
        <x:v>1. 打开审核详情</x:v>
      </x:c>
      <x:c r="K62" s="9" t="str">
        <x:v>审核结果只读且不能再次提交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规则：BR-08d138c300ad10bc
3. 未动态验证</x:v>
      </x:c>
    </x:row>
    <x:row r="63" ht="14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审核详情</x:v>
      </x:c>
      <x:c r="E63" s="10" t="str">
        <x:v>功能需求</x:v>
      </x:c>
      <x:c r="F63" s="10" t="str">
        <x:v>P1</x:v>
      </x:c>
      <x:c r="G63" s="9" t="str">
        <x:v>验证认证驳回后重复提交</x:v>
      </x:c>
      <x:c r="H63" s="9" t="str">
        <x:v>驳回终态只读</x:v>
      </x:c>
      <x:c r="I63" s="9" t="str">
        <x:v>1. 平台管理员账号可用
2. 申请已驳回</x:v>
      </x:c>
      <x:c r="J63" s="9" t="str">
        <x:v>1. 打开审核详情</x:v>
      </x:c>
      <x:c r="K63" s="9" t="str">
        <x:v>审核结果只读且不能再次提交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规则：BR-975406a6aebeb67a
3. 未动态验证</x:v>
      </x:c>
    </x:row>
    <x:row r="64" ht="145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审核详情</x:v>
      </x:c>
      <x:c r="E64" s="10" t="str">
        <x:v>功能需求</x:v>
      </x:c>
      <x:c r="F64" s="10" t="str">
        <x:v>P1</x:v>
      </x:c>
      <x:c r="G64" s="9" t="str">
        <x:v>验证通过时关闭平台开播权限</x:v>
      </x:c>
      <x:c r="H64" s="9" t="str">
        <x:v>身份与权限分离</x:v>
      </x:c>
      <x:c r="I64" s="9" t="str">
        <x:v>1. 平台管理员账号可用
2. 申请待平台审核</x:v>
      </x:c>
      <x:c r="J64" s="9" t="str">
        <x:v>1. 打开审核详情
2. 选择通过
3. 选择平台直播权限关闭
4. 点击确认</x:v>
      </x:c>
      <x:c r="K64" s="9" t="str">
        <x:v>认证通过但平台直播权限为关闭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规则：BR-131bb30e9891669f
3. 未动态验证</x:v>
      </x:c>
    </x:row>
    <x:row r="65" ht="145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主播审核</x:v>
      </x:c>
      <x:c r="E65" s="10" t="str">
        <x:v>功能需求</x:v>
      </x:c>
      <x:c r="F65" s="10" t="str">
        <x:v>P1</x:v>
      </x:c>
      <x:c r="G65" s="9" t="str">
        <x:v>验证公会初审通过进入平台队列</x:v>
      </x:c>
      <x:c r="H65" s="9" t="str">
        <x:v>平台审核接单</x:v>
      </x:c>
      <x:c r="I65" s="9" t="str">
        <x:v>1. 平台管理员账号可用
2. 公会已通过该用户申请并自动提交平台</x:v>
      </x:c>
      <x:c r="J65" s="9" t="str">
        <x:v>1. 打开主播审核
2. 刷新主播审核列表</x:v>
      </x:c>
      <x:c r="K65" s="9" t="str">
        <x:v>列表存在这笔待平台审核申请</x:v>
      </x:c>
      <x:c r="L65" s="10" t="str">
        <x:v>FLOW-JOIN</x:v>
      </x:c>
      <x:c r="M65" s="10" t="str">
        <x:v>未测</x:v>
      </x:c>
      <x:c r="N65" s="10" t="str"/>
      <x:c r="O65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规则：BR-d4e388629c3916b9
3. 未动态验证</x:v>
      </x:c>
    </x:row>
    <x:row r="66" ht="14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主播审核</x:v>
      </x:c>
      <x:c r="E66" s="10" t="str">
        <x:v>功能需求</x:v>
      </x:c>
      <x:c r="F66" s="10" t="str">
        <x:v>P1</x:v>
      </x:c>
      <x:c r="G66" s="9" t="str">
        <x:v>验证仅查询待审核申请</x:v>
      </x:c>
      <x:c r="H66" s="9" t="str">
        <x:v>认证状态筛选</x:v>
      </x:c>
      <x:c r="I66" s="9" t="str">
        <x:v>1. 平台管理员账号可用
2. 待审核、已通过、已驳回各有1笔</x:v>
      </x:c>
      <x:c r="J66" s="9" t="str">
        <x:v>1. 打开主播审核
2. 选择待审核
3. 点击查询</x:v>
      </x:c>
      <x:c r="K66" s="9" t="str">
        <x:v>仅返回待审核的1笔申请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规则：BR-8daba7d7ab06557f
3. 未动态验证</x:v>
      </x:c>
    </x:row>
    <x:row r="67" ht="145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主播审核</x:v>
      </x:c>
      <x:c r="E67" s="10" t="str">
        <x:v>功能需求</x:v>
      </x:c>
      <x:c r="F67" s="10" t="str">
        <x:v>P1</x:v>
      </x:c>
      <x:c r="G67" s="9" t="str">
        <x:v>验证审核列表联合筛选</x:v>
      </x:c>
      <x:c r="H67" s="9" t="str">
        <x:v>公会主体交集</x:v>
      </x:c>
      <x:c r="I67" s="9" t="str">
        <x:v>1. 平台管理员账号可用
2. 两个公会各有申请且状态不同</x:v>
      </x:c>
      <x:c r="J67" s="9" t="str">
        <x:v>1. 打开主播审核
2. 选择目标公会及待审核
3. 点击查询</x:v>
      </x:c>
      <x:c r="K67" s="9" t="str">
        <x:v>仅返回该公会的待审核申请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规则：BR-00c6354cff27f10d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主播审核</x:v>
      </x:c>
      <x:c r="E68" s="10" t="str">
        <x:v>功能需求</x:v>
      </x:c>
      <x:c r="F68" s="10" t="str">
        <x:v>P1</x:v>
      </x:c>
      <x:c r="G68" s="9" t="str">
        <x:v>验证申请时间采用平台接单时点</x:v>
      </x:c>
      <x:c r="H68" s="9" t="str">
        <x:v>提交平台时间来源</x:v>
      </x:c>
      <x:c r="I68" s="9" t="str">
        <x:v>1. 平台管理员账号可用
2. 用户提交时间与公会初审通过时间不同</x:v>
      </x:c>
      <x:c r="J68" s="9" t="str">
        <x:v>1. 打开主播审核</x:v>
      </x:c>
      <x:c r="K68" s="9" t="str">
        <x:v>提交时间显示公会初审通过并提交平台的时间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规则：BR-7011869d277cad35
3. 未动态验证</x:v>
      </x:c>
    </x:row>
    <x:row r="69" ht="145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主播审核</x:v>
      </x:c>
      <x:c r="E69" s="10" t="str">
        <x:v>功能需求</x:v>
      </x:c>
      <x:c r="F69" s="10" t="str">
        <x:v>P1</x:v>
      </x:c>
      <x:c r="G69" s="9" t="str">
        <x:v>验证重新申请使用新单</x:v>
      </x:c>
      <x:c r="H69" s="9" t="str">
        <x:v>申请单号唯一</x:v>
      </x:c>
      <x:c r="I69" s="9" t="str">
        <x:v>1. 平台管理员账号可用
2. 同一用户原申请已驳回，新申请又经公会初审通过</x:v>
      </x:c>
      <x:c r="J69" s="9" t="str">
        <x:v>1. 打开主播审核</x:v>
      </x:c>
      <x:c r="K69" s="9" t="str">
        <x:v>新申请单号与原已驳回申请不同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规则：BR-b900172967e60c5a
3. 未动态验证</x:v>
      </x:c>
    </x:row>
    <x:row r="70" ht="130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新建排班</x:v>
      </x:c>
      <x:c r="E70" s="10" t="str">
        <x:v>功能需求</x:v>
      </x:c>
      <x:c r="F70" s="10" t="str">
        <x:v>P1</x:v>
      </x:c>
      <x:c r="G70" s="9" t="str">
        <x:v>验证保存有效巡房排班</x:v>
      </x:c>
      <x:c r="H70" s="9" t="str">
        <x:v>排班创建</x:v>
      </x:c>
      <x:c r="I70" s="9" t="str">
        <x:v>1. 平台管理员账号可用
2. 至少有1个可用用户账号</x:v>
      </x:c>
      <x:c r="J70" s="9" t="str">
        <x:v>1. 打开新建排班
2. 选择明日日期
3. 输入时间段为10:00至11:00
4. 选择1个可用巡房人员
5. 点击保存</x:v>
      </x:c>
      <x:c r="K70" s="9" t="str">
        <x:v>列表新增对应日期和人员的排班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规则：BR-3ad4bca9e1b80301
3. 未动态验证</x:v>
      </x:c>
    </x:row>
    <x:row r="71" ht="130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新建排班</x:v>
      </x:c>
      <x:c r="E71" s="10" t="str">
        <x:v>功能需求</x:v>
      </x:c>
      <x:c r="F71" s="10" t="str">
        <x:v>P1</x:v>
      </x:c>
      <x:c r="G71" s="9" t="str">
        <x:v>验证日期早于今天</x:v>
      </x:c>
      <x:c r="H71" s="9" t="str">
        <x:v>排班过去日期拒绝</x:v>
      </x:c>
      <x:c r="I71" s="9" t="str">
        <x:v>1. 平台管理员账号可用
2. 其他字段有效</x:v>
      </x:c>
      <x:c r="J71" s="9" t="str">
        <x:v>1. 打开新建排班
2. 选择昨天日期
3. 点击保存</x:v>
      </x:c>
      <x:c r="K71" s="9" t="str">
        <x:v>过去日期的排班不能保存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规则：BR-09380c5bc497de7c
3. 未动态验证</x:v>
      </x:c>
    </x:row>
    <x:row r="72" ht="130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新建排班</x:v>
      </x:c>
      <x:c r="E72" s="10" t="str">
        <x:v>功能需求</x:v>
      </x:c>
      <x:c r="F72" s="10" t="str">
        <x:v>P1</x:v>
      </x:c>
      <x:c r="G72" s="9" t="str">
        <x:v>验证结束时间等于开始</x:v>
      </x:c>
      <x:c r="H72" s="9" t="str">
        <x:v>时间区间零长度</x:v>
      </x:c>
      <x:c r="I72" s="9" t="str">
        <x:v>1. 平台管理员账号可用
2. 日期为明日且人员有效</x:v>
      </x:c>
      <x:c r="J72" s="9" t="str">
        <x:v>1. 打开新建排班
2. 输入开始与结束时间均为10:00
3. 点击保存</x:v>
      </x:c>
      <x:c r="K72" s="9" t="str">
        <x:v>结束等于开始的排班不能保存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规则：BR-f6ed18889ba55342
3. 未动态验证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新建排班</x:v>
      </x:c>
      <x:c r="E73" s="10" t="str">
        <x:v>功能需求</x:v>
      </x:c>
      <x:c r="F73" s="10" t="str">
        <x:v>P1</x:v>
      </x:c>
      <x:c r="G73" s="9" t="str">
        <x:v>验证结束时间早于开始</x:v>
      </x:c>
      <x:c r="H73" s="9" t="str">
        <x:v>时间区间倒置</x:v>
      </x:c>
      <x:c r="I73" s="9" t="str">
        <x:v>1. 平台管理员账号可用
2. 日期为明日且人员有效</x:v>
      </x:c>
      <x:c r="J73" s="9" t="str">
        <x:v>1. 打开新建排班
2. 输入开始11:00和结束10:00
3. 点击保存</x:v>
      </x:c>
      <x:c r="K73" s="9" t="str">
        <x:v>倒置时间段不能保存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规则：BR-3d880025e42e4643
3. 未动态验证</x:v>
      </x:c>
    </x:row>
    <x:row r="74" ht="130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新建排班</x:v>
      </x:c>
      <x:c r="E74" s="10" t="str">
        <x:v>功能需求</x:v>
      </x:c>
      <x:c r="F74" s="10" t="str">
        <x:v>P1</x:v>
      </x:c>
      <x:c r="G74" s="9" t="str">
        <x:v>验证未选择巡房人员</x:v>
      </x:c>
      <x:c r="H74" s="9" t="str">
        <x:v>巡房人员必选</x:v>
      </x:c>
      <x:c r="I74" s="9" t="str">
        <x:v>1. 平台管理员账号可用
2. 日期时间有效</x:v>
      </x:c>
      <x:c r="J74" s="9" t="str">
        <x:v>1. 打开新建排班
2. 清空巡房人员
3. 点击保存</x:v>
      </x:c>
      <x:c r="K74" s="9" t="str">
        <x:v>无巡房人员的排班不能保存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规则：BR-9adf6d8869db0c43
3. 未动态验证</x:v>
      </x:c>
    </x:row>
    <x:row r="75" ht="13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新建排班</x:v>
      </x:c>
      <x:c r="E75" s="10" t="str">
        <x:v>功能需求</x:v>
      </x:c>
      <x:c r="F75" s="10" t="str">
        <x:v>P1</x:v>
      </x:c>
      <x:c r="G75" s="9" t="str">
        <x:v>验证重复选择相同人员</x:v>
      </x:c>
      <x:c r="H75" s="9" t="str">
        <x:v>巡房人员去重</x:v>
      </x:c>
      <x:c r="I75" s="9" t="str">
        <x:v>1. 平台管理员账号可用
2. 日期时间有效</x:v>
      </x:c>
      <x:c r="J75" s="9" t="str">
        <x:v>1. 打开新建排班
2. 选择同一用户账号两次</x:v>
      </x:c>
      <x:c r="K75" s="9" t="str">
        <x:v>名单仅保留该账号1条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规则：BR-67de2f49b1f578d2
3. 未动态验证</x:v>
      </x:c>
    </x:row>
    <x:row r="76" ht="130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新建排班</x:v>
      </x:c>
      <x:c r="E76" s="10" t="str">
        <x:v>功能需求</x:v>
      </x:c>
      <x:c r="F76" s="10" t="str">
        <x:v>P1</x:v>
      </x:c>
      <x:c r="G76" s="9" t="str">
        <x:v>验证封禁账号不可排班</x:v>
      </x:c>
      <x:c r="H76" s="9" t="str">
        <x:v>巡房账号可用性</x:v>
      </x:c>
      <x:c r="I76" s="9" t="str">
        <x:v>1. 平台管理员账号可用
2. 平台有已封禁用户账号</x:v>
      </x:c>
      <x:c r="J76" s="9" t="str">
        <x:v>1. 打开新建排班
2. 点击添加人员
3. 输入该用户实际ID查询</x:v>
      </x:c>
      <x:c r="K76" s="9" t="str">
        <x:v>封禁账号不可加入巡房人员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规则：BR-275cffea9fd0d8c9
3. 未动态验证</x:v>
      </x:c>
    </x:row>
    <x:row r="77" ht="13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新建排班</x:v>
      </x:c>
      <x:c r="E77" s="10" t="str">
        <x:v>功能需求</x:v>
      </x:c>
      <x:c r="F77" s="10" t="str">
        <x:v>P1</x:v>
      </x:c>
      <x:c r="G77" s="9" t="str">
        <x:v>验证搜索后全选人员</x:v>
      </x:c>
      <x:c r="H77" s="9" t="str">
        <x:v>全选当前结果</x:v>
      </x:c>
      <x:c r="I77" s="9" t="str">
        <x:v>1. 平台管理员账号可用
2. 可用账号共3个，搜索仅匹配2个</x:v>
      </x:c>
      <x:c r="J77" s="9" t="str">
        <x:v>1. 打开新建排班
2. 点击添加人员
3. 输入匹配2人的关键词
4. 点击全选</x:v>
      </x:c>
      <x:c r="K77" s="9" t="str">
        <x:v>仅当前搜索命中的2个账号被选中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规则：BR-1f741819f406ad99
3. 未动态验证</x:v>
      </x:c>
    </x:row>
    <x:row r="78" ht="8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排班详情</x:v>
      </x:c>
      <x:c r="E78" s="10" t="str">
        <x:v>功能需求</x:v>
      </x:c>
      <x:c r="F78" s="10" t="str">
        <x:v>P1</x:v>
      </x:c>
      <x:c r="G78" s="9" t="str">
        <x:v>验证人员后续被封禁</x:v>
      </x:c>
      <x:c r="H78" s="9" t="str">
        <x:v>历史排班名单保留</x:v>
      </x:c>
      <x:c r="I78" s="9" t="str">
        <x:v>1. 平台管理员账号可用
2. 排班创建后其中一名人员被平台封禁</x:v>
      </x:c>
      <x:c r="J78" s="9" t="str">
        <x:v>1. 打开排班详情</x:v>
      </x:c>
      <x:c r="K78" s="9" t="str">
        <x:v>历史名单仍保留该人员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来源（当前证据）：liveshow-proto/MainBasis/统一需求文档.md；位置：第2663行、第2667行 REQ-ad9d0491ab56
2. 规则：BR-99522a8ee36d52bd
3. 未动态验证</x:v>
      </x:c>
    </x:row>
    <x:row r="79" ht="100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排班详情</x:v>
      </x:c>
      <x:c r="E79" s="10" t="str">
        <x:v>功能需求</x:v>
      </x:c>
      <x:c r="F79" s="10" t="str">
        <x:v>P1</x:v>
      </x:c>
      <x:c r="G79" s="9" t="str">
        <x:v>验证排班详情读取排班详情：排班编号</x:v>
      </x:c>
      <x:c r="H79" s="9" t="str">
        <x:v>排班编号</x:v>
      </x:c>
      <x:c r="I79" s="9" t="str">
        <x:v>1. 平台管理员账号可用
2. 已知目标排班时间和2名有效人员</x:v>
      </x:c>
      <x:c r="J79" s="9" t="str">
        <x:v>1. 打开排班详情</x:v>
      </x:c>
      <x:c r="K79" s="9" t="str">
        <x:v>详情编号等于所选排班编号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来源（当前证据）：liveshow-proto/MainBasis/统一需求文档.md；位置：第2663行、第2665行 REQ-640bbcd5f0a0、第2666行 REQ-c4861b72cb0c
2. 规则：BR-12671db15cc8805c
3. 未动态验证</x:v>
      </x:c>
    </x:row>
    <x:row r="80" ht="10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排班详情</x:v>
      </x:c>
      <x:c r="E80" s="10" t="str">
        <x:v>功能需求</x:v>
      </x:c>
      <x:c r="F80" s="10" t="str">
        <x:v>P1</x:v>
      </x:c>
      <x:c r="G80" s="9" t="str">
        <x:v>验证排班详情读取排班详情：排班有效时间</x:v>
      </x:c>
      <x:c r="H80" s="9" t="str">
        <x:v>排班有效时间</x:v>
      </x:c>
      <x:c r="I80" s="9" t="str">
        <x:v>1. 平台管理员账号可用
2. 已知目标排班时间和2名有效人员</x:v>
      </x:c>
      <x:c r="J80" s="9" t="str">
        <x:v>1. 打开排班详情</x:v>
      </x:c>
      <x:c r="K80" s="9" t="str">
        <x:v>详情时间段等于创建时选定时间段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来源（当前证据）：liveshow-proto/MainBasis/统一需求文档.md；位置：第2663行、第2665行 REQ-640bbcd5f0a0、第2666行 REQ-c4861b72cb0c
2. 规则：BR-e542884644adb34a
3. 未动态验证</x:v>
      </x:c>
    </x:row>
    <x:row r="81" ht="10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排班详情</x:v>
      </x:c>
      <x:c r="E81" s="10" t="str">
        <x:v>功能需求</x:v>
      </x:c>
      <x:c r="F81" s="10" t="str">
        <x:v>P1</x:v>
      </x:c>
      <x:c r="G81" s="9" t="str">
        <x:v>验证排班详情读取排班详情：排班人员名单</x:v>
      </x:c>
      <x:c r="H81" s="9" t="str">
        <x:v>排班人员名单</x:v>
      </x:c>
      <x:c r="I81" s="9" t="str">
        <x:v>1. 平台管理员账号可用
2. 已知目标排班时间和2名有效人员</x:v>
      </x:c>
      <x:c r="J81" s="9" t="str">
        <x:v>1. 打开排班详情</x:v>
      </x:c>
      <x:c r="K81" s="9" t="str">
        <x:v>名单包含配置的2名有效人员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来源（当前证据）：liveshow-proto/MainBasis/统一需求文档.md；位置：第2663行、第2665行 REQ-640bbcd5f0a0、第2666行 REQ-c4861b72cb0c
2. 规则：BR-726b7bb9d904da6e
3. 未动态验证</x:v>
      </x:c>
    </x:row>
    <x:row r="82" ht="100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</x:v>
      </x:c>
      <x:c r="E82" s="10" t="str">
        <x:v>功能需求</x:v>
      </x:c>
      <x:c r="F82" s="10" t="str">
        <x:v>P1</x:v>
      </x:c>
      <x:c r="G82" s="9" t="str">
        <x:v>验证未来排班状态</x:v>
      </x:c>
      <x:c r="H82" s="9" t="str">
        <x:v>排班待生效</x:v>
      </x:c>
      <x:c r="I82" s="9" t="str">
        <x:v>1. 平台管理员账号可用
2. 排班已启用且时间在未来</x:v>
      </x:c>
      <x:c r="J82" s="9" t="str">
        <x:v>1. 打开巡房排班</x:v>
      </x:c>
      <x:c r="K82" s="9" t="str">
        <x:v>排班状态显示待生效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来源（当前证据）：liveshow-proto/MainBasis/统一需求文档.md；位置：第2642行、第2647行 REQ-6de4b78ca972、第2651行 REQ-b45ed8c90d87
2. 规则：BR-3ddfa11250f48f6d
3. 未动态验证</x:v>
      </x:c>
    </x:row>
    <x:row r="83" ht="10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巡房排班</x:v>
      </x:c>
      <x:c r="E83" s="10" t="str">
        <x:v>功能需求</x:v>
      </x:c>
      <x:c r="F83" s="10" t="str">
        <x:v>P1</x:v>
      </x:c>
      <x:c r="G83" s="9" t="str">
        <x:v>验证有效期内排班状态</x:v>
      </x:c>
      <x:c r="H83" s="9" t="str">
        <x:v>排班生效中</x:v>
      </x:c>
      <x:c r="I83" s="9" t="str">
        <x:v>1. 平台管理员账号可用
2. 排班已启用且当前时间位于起止之间</x:v>
      </x:c>
      <x:c r="J83" s="9" t="str">
        <x:v>1. 打开巡房排班</x:v>
      </x:c>
      <x:c r="K83" s="9" t="str">
        <x:v>排班状态显示生效中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来源（当前证据）：liveshow-proto/MainBasis/统一需求文档.md；位置：第2642行、第2647行 REQ-6de4b78ca972、第2651行 REQ-b45ed8c90d87
2. 规则：BR-00a40defbd4149c9
3. 未动态验证</x:v>
      </x:c>
    </x:row>
    <x:row r="84" ht="100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巡房排班</x:v>
      </x:c>
      <x:c r="E84" s="10" t="str">
        <x:v>功能需求</x:v>
      </x:c>
      <x:c r="F84" s="10" t="str">
        <x:v>P1</x:v>
      </x:c>
      <x:c r="G84" s="9" t="str">
        <x:v>验证到期排班状态</x:v>
      </x:c>
      <x:c r="H84" s="9" t="str">
        <x:v>排班结束状态</x:v>
      </x:c>
      <x:c r="I84" s="9" t="str">
        <x:v>1. 平台管理员账号可用
2. 当前时间晚于排班结束时间</x:v>
      </x:c>
      <x:c r="J84" s="9" t="str">
        <x:v>1. 打开巡房排班</x:v>
      </x:c>
      <x:c r="K84" s="9" t="str">
        <x:v>排班状态显示已结束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来源（当前证据）：liveshow-proto/MainBasis/统一需求文档.md；位置：第2642行、第2647行 REQ-6de4b78ca972、第2651行 REQ-b45ed8c90d87
2. 规则：BR-490b543d386e1093
3. 未动态验证</x:v>
      </x:c>
    </x:row>
    <x:row r="85" ht="100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巡房排班</x:v>
      </x:c>
      <x:c r="E85" s="10" t="str">
        <x:v>功能需求</x:v>
      </x:c>
      <x:c r="F85" s="10" t="str">
        <x:v>P1</x:v>
      </x:c>
      <x:c r="G85" s="9" t="str">
        <x:v>验证停用正在生效排班</x:v>
      </x:c>
      <x:c r="H85" s="9" t="str">
        <x:v>排班停用状态</x:v>
      </x:c>
      <x:c r="I85" s="9" t="str">
        <x:v>1. 平台管理员账号可用
2. 排班当前生效中</x:v>
      </x:c>
      <x:c r="J85" s="9" t="str">
        <x:v>1. 打开巡房排班
2. 点击停用
3. 确认停用</x:v>
      </x:c>
      <x:c r="K85" s="9" t="str">
        <x:v>排班状态显示已停用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来源（当前证据）：liveshow-proto/MainBasis/统一需求文档.md；位置：第2642行、第2647行 REQ-6de4b78ca972、第2651行 REQ-b45ed8c90d87
2. 规则：BR-1d04627ebd8b791a
3. 未动态验证</x:v>
      </x:c>
    </x:row>
    <x:row r="86" ht="10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巡房排班</x:v>
      </x:c>
      <x:c r="E86" s="10" t="str">
        <x:v>功能需求</x:v>
      </x:c>
      <x:c r="F86" s="10" t="str">
        <x:v>P1</x:v>
      </x:c>
      <x:c r="G86" s="9" t="str">
        <x:v>验证重新启用过期排班</x:v>
      </x:c>
      <x:c r="H86" s="9" t="str">
        <x:v>重启按当前时间计算</x:v>
      </x:c>
      <x:c r="I86" s="9" t="str">
        <x:v>1. 平台管理员账号可用
2. 排班已停用且原结束时间已过去</x:v>
      </x:c>
      <x:c r="J86" s="9" t="str">
        <x:v>1. 打开巡房排班
2. 点击启用
3. 确认启用</x:v>
      </x:c>
      <x:c r="K86" s="9" t="str">
        <x:v>状态按当前时间显示已结束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来源（当前证据）：liveshow-proto/MainBasis/统一需求文档.md；位置：第2642行、第2647行 REQ-6de4b78ca972、第2651行 REQ-b45ed8c90d87
2. 规则：BR-3e5eac5931375502
3. 未动态验证</x:v>
      </x:c>
    </x:row>
    <x:row r="87" ht="8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巡房排班</x:v>
      </x:c>
      <x:c r="E87" s="10" t="str">
        <x:v>功能需求</x:v>
      </x:c>
      <x:c r="F87" s="10" t="str">
        <x:v>P1</x:v>
      </x:c>
      <x:c r="G87" s="9" t="str">
        <x:v>验证不同排班编号</x:v>
      </x:c>
      <x:c r="H87" s="9" t="str">
        <x:v>排班ID唯一性</x:v>
      </x:c>
      <x:c r="I87" s="9" t="str">
        <x:v>1. 平台管理员账号可用
2. 已成功创建两条排班</x:v>
      </x:c>
      <x:c r="J87" s="9" t="str">
        <x:v>1. 打开巡房排班</x:v>
      </x:c>
      <x:c r="K87" s="9" t="str">
        <x:v>两条排班编号不同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来源（当前证据）：liveshow-proto/MainBasis/统一需求文档.md；位置：第2642行、第2644行 REQ-5f386a705f5e
2. 规则：BR-0f6003ec4b10606d
3. 未动态验证</x:v>
      </x:c>
    </x:row>
    <x:row r="88" ht="8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巡房排班</x:v>
      </x:c>
      <x:c r="E88" s="10" t="str">
        <x:v>功能需求</x:v>
      </x:c>
      <x:c r="F88" s="10" t="str">
        <x:v>P1</x:v>
      </x:c>
      <x:c r="G88" s="9" t="str">
        <x:v>验证排班有效人数</x:v>
      </x:c>
      <x:c r="H88" s="9" t="str">
        <x:v>巡房人员计数</x:v>
      </x:c>
      <x:c r="I88" s="9" t="str">
        <x:v>1. 平台管理员账号可用
2. 排班包含2名有效巡房人员</x:v>
      </x:c>
      <x:c r="J88" s="9" t="str">
        <x:v>1. 打开巡房排班</x:v>
      </x:c>
      <x:c r="K88" s="9" t="str">
        <x:v>排班人数显示2人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来源（当前证据）：liveshow-proto/MainBasis/统一需求文档.md；位置：第2642行、第2646行 REQ-2db231775368
2. 规则：BR-7aea49f26d9daef3
3. 未动态验证</x:v>
      </x:c>
    </x:row>
    <x:row r="89" ht="130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直播详情</x:v>
      </x:c>
      <x:c r="E89" s="10" t="str">
        <x:v>功能需求</x:v>
      </x:c>
      <x:c r="F89" s="10" t="str">
        <x:v>P1</x:v>
      </x:c>
      <x:c r="G89" s="9" t="str">
        <x:v>验证结束场次详情只读</x:v>
      </x:c>
      <x:c r="H89" s="9" t="str">
        <x:v>历史场次处置限制</x:v>
      </x:c>
      <x:c r="I89" s="9" t="str">
        <x:v>1. 平台管理员账号可用
2. 场次已结束</x:v>
      </x:c>
      <x:c r="J89" s="9" t="str">
        <x:v>1. 打开直播详情</x:v>
      </x:c>
      <x:c r="K89" s="9" t="str">
        <x:v>详情不显示即时警告或关播操作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规则：BR-43fd86fdd22fc9cd
3. 未动态验证</x:v>
      </x:c>
    </x:row>
    <x:row r="90" ht="130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直播详情</x:v>
      </x:c>
      <x:c r="E90" s="10" t="str">
        <x:v>功能需求</x:v>
      </x:c>
      <x:c r="F90" s="10" t="str">
        <x:v>P1</x:v>
      </x:c>
      <x:c r="G90" s="9" t="str">
        <x:v>验证详情警告不中断直播</x:v>
      </x:c>
      <x:c r="H90" s="9" t="str">
        <x:v>详情警告状态</x:v>
      </x:c>
      <x:c r="I90" s="9" t="str">
        <x:v>1. 平台管理员账号可用
2. 场次正在直播</x:v>
      </x:c>
      <x:c r="J90" s="9" t="str">
        <x:v>1. 打开直播详情
2. 点击警告
3. 输入原因为内容提醒
4. 确认处置</x:v>
      </x:c>
      <x:c r="K90" s="9" t="str">
        <x:v>场次仍为直播中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规则：BR-cf4cb43e48a582c4
3. 未动态验证</x:v>
      </x:c>
    </x:row>
    <x:row r="91" ht="13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直播详情</x:v>
      </x:c>
      <x:c r="E91" s="10" t="str">
        <x:v>功能需求</x:v>
      </x:c>
      <x:c r="F91" s="10" t="str">
        <x:v>P1</x:v>
      </x:c>
      <x:c r="G91" s="9" t="str">
        <x:v>验证详情关播</x:v>
      </x:c>
      <x:c r="H91" s="9" t="str">
        <x:v>详情关播状态</x:v>
      </x:c>
      <x:c r="I91" s="9" t="str">
        <x:v>1. 平台管理员账号可用
2. 场次正在直播</x:v>
      </x:c>
      <x:c r="J91" s="9" t="str">
        <x:v>1. 打开直播详情
2. 点击关播
3. 输入原因为直播违规
4. 确认处置</x:v>
      </x:c>
      <x:c r="K91" s="9" t="str">
        <x:v>当前场次显示已结束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规则：BR-3d76ceebf0e9820e
3. 未动态验证</x:v>
      </x:c>
    </x:row>
    <x:row r="92" ht="85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直播详情</x:v>
      </x:c>
      <x:c r="E92" s="10" t="str">
        <x:v>逻辑校验</x:v>
      </x:c>
      <x:c r="F92" s="10" t="str">
        <x:v>P1</x:v>
      </x:c>
      <x:c r="G92" s="9" t="str">
        <x:v>验证金币收益字段采用用户净消费</x:v>
      </x:c>
      <x:c r="H92" s="9" t="str">
        <x:v>直播净消费口径</x:v>
      </x:c>
      <x:c r="I92" s="9" t="str">
        <x:v>1. 平台管理员账号可用
2. 本场普通消费100、定制200、门票100、幸运扣款1000和返奖500金币，另有虚拟300金币</x:v>
      </x:c>
      <x:c r="J92" s="9" t="str">
        <x:v>1. 打开直播详情</x:v>
      </x:c>
      <x:c r="K92" s="9" t="str">
        <x:v>计算结果：金币收益字段=100+200+100+1000-500=900金币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来源（当前证据）：liveshow-proto/MainBasis/统一需求文档.md；位置：第2630行、第2634行 REQ-977ef65dd5aa
2. 规则：BR-b4b173006cae203f
3. 未动态验证</x:v>
      </x:c>
    </x:row>
    <x:row r="93" ht="8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直播详情</x:v>
      </x:c>
      <x:c r="E93" s="10" t="str">
        <x:v>功能需求</x:v>
      </x:c>
      <x:c r="F93" s="10" t="str">
        <x:v>P1</x:v>
      </x:c>
      <x:c r="G93" s="9" t="str">
        <x:v>验证单场观众反复进房</x:v>
      </x:c>
      <x:c r="H93" s="9" t="str">
        <x:v>场次观众去重</x:v>
      </x:c>
      <x:c r="I93" s="9" t="str">
        <x:v>1. 平台管理员账号可用
2. 本场两名用户，用户一进入3次</x:v>
      </x:c>
      <x:c r="J93" s="9" t="str">
        <x:v>1. 打开直播详情</x:v>
      </x:c>
      <x:c r="K93" s="9" t="str">
        <x:v>观众人数显示2人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来源（当前证据）：liveshow-proto/MainBasis/统一需求文档.md；位置：第2630行、第2633行 REQ-ce619832ef38
2. 规则：BR-16741acbad7011fc
3. 未动态验证</x:v>
      </x:c>
    </x:row>
    <x:row r="94" ht="85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直播详情</x:v>
      </x:c>
      <x:c r="E94" s="10" t="str">
        <x:v>功能需求</x:v>
      </x:c>
      <x:c r="F94" s="10" t="str">
        <x:v>P1</x:v>
      </x:c>
      <x:c r="G94" s="9" t="str">
        <x:v>验证礼物数量排除门票</x:v>
      </x:c>
      <x:c r="H94" s="9" t="str">
        <x:v>收礼数量范围</x:v>
      </x:c>
      <x:c r="I94" s="9" t="str">
        <x:v>1. 平台管理员账号可用
2. 本场成功礼物2件和3件，另有门票1张及失败礼物4件</x:v>
      </x:c>
      <x:c r="J94" s="9" t="str">
        <x:v>1. 打开直播详情</x:v>
      </x:c>
      <x:c r="K94" s="9" t="str">
        <x:v>收礼数量显示5件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来源（当前证据）：liveshow-proto/MainBasis/统一需求文档.md；位置：第2630行、第2635行 REQ-ad22be919d87
2. 规则：BR-e2ba6e2fdf9dfd8e
3. 未动态验证</x:v>
      </x:c>
    </x:row>
    <x:row r="95" ht="130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直播详情</x:v>
      </x:c>
      <x:c r="E95" s="10" t="str">
        <x:v>功能需求</x:v>
      </x:c>
      <x:c r="F95" s="10" t="str">
        <x:v>P1</x:v>
      </x:c>
      <x:c r="G95" s="9" t="str">
        <x:v>验证巡房记录保留：巡房执行人员</x:v>
      </x:c>
      <x:c r="H95" s="9" t="str">
        <x:v>巡房执行人员</x:v>
      </x:c>
      <x:c r="I95" s="9" t="str">
        <x:v>1. 平台管理员账号可用
2. 本场次已有巡房处置记录</x:v>
      </x:c>
      <x:c r="J95" s="9" t="str">
        <x:v>1. 打开直播详情
2. 查看巡房记录</x:v>
      </x:c>
      <x:c r="K95" s="9" t="str">
        <x:v>巡房人员对应实际处置账号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规则：BR-fc108be2f35f2db3
3. 未动态验证</x:v>
      </x:c>
    </x:row>
    <x:row r="96" ht="13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直播详情</x:v>
      </x:c>
      <x:c r="E96" s="10" t="str">
        <x:v>功能需求</x:v>
      </x:c>
      <x:c r="F96" s="10" t="str">
        <x:v>P1</x:v>
      </x:c>
      <x:c r="G96" s="9" t="str">
        <x:v>验证巡房记录保留：巡房进入时间</x:v>
      </x:c>
      <x:c r="H96" s="9" t="str">
        <x:v>巡房进入时间</x:v>
      </x:c>
      <x:c r="I96" s="9" t="str">
        <x:v>1. 平台管理员账号可用
2. 本场次已有巡房处置记录</x:v>
      </x:c>
      <x:c r="J96" s="9" t="str">
        <x:v>1. 打开直播详情
2. 查看巡房记录</x:v>
      </x:c>
      <x:c r="K96" s="9" t="str">
        <x:v>进入时间等于该次巡房进入时刻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规则：BR-300d847ecb202e08
3. 未动态验证</x:v>
      </x:c>
    </x:row>
    <x:row r="97" ht="13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直播详情</x:v>
      </x:c>
      <x:c r="E97" s="10" t="str">
        <x:v>功能需求</x:v>
      </x:c>
      <x:c r="F97" s="10" t="str">
        <x:v>P1</x:v>
      </x:c>
      <x:c r="G97" s="9" t="str">
        <x:v>验证巡房记录保留：巡房处理记录</x:v>
      </x:c>
      <x:c r="H97" s="9" t="str">
        <x:v>巡房处理记录</x:v>
      </x:c>
      <x:c r="I97" s="9" t="str">
        <x:v>1. 平台管理员账号可用
2. 本场次已有巡房处置记录</x:v>
      </x:c>
      <x:c r="J97" s="9" t="str">
        <x:v>1. 打开直播详情
2. 查看巡房记录</x:v>
      </x:c>
      <x:c r="K97" s="9" t="str">
        <x:v>处置记录与实际处置动作一致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规则：BR-f27ed6fe0ce348a1
3. 未动态验证</x:v>
      </x:c>
    </x:row>
    <x:row r="98" ht="130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直播详情</x:v>
      </x:c>
      <x:c r="E98" s="10" t="str">
        <x:v>功能需求</x:v>
      </x:c>
      <x:c r="F98" s="10" t="str">
        <x:v>P1</x:v>
      </x:c>
      <x:c r="G98" s="9" t="str">
        <x:v>验证巡房记录保留：巡房备注</x:v>
      </x:c>
      <x:c r="H98" s="9" t="str">
        <x:v>巡房备注</x:v>
      </x:c>
      <x:c r="I98" s="9" t="str">
        <x:v>1. 平台管理员账号可用
2. 本场次已有巡房处置记录</x:v>
      </x:c>
      <x:c r="J98" s="9" t="str">
        <x:v>1. 打开直播详情
2. 查看巡房记录</x:v>
      </x:c>
      <x:c r="K98" s="9" t="str">
        <x:v>备注保留巡房人员填写内容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规则：BR-ab1c76bcbe05ca07
3. 未动态验证</x:v>
      </x:c>
    </x:row>
    <x:row r="99" ht="115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直播场次</x:v>
      </x:c>
      <x:c r="E99" s="10" t="str">
        <x:v>功能需求</x:v>
      </x:c>
      <x:c r="F99" s="10" t="str">
        <x:v>P1</x:v>
      </x:c>
      <x:c r="G99" s="9" t="str">
        <x:v>验证同主播两个直播场次</x:v>
      </x:c>
      <x:c r="H99" s="9" t="str">
        <x:v>房间与场次标识</x:v>
      </x:c>
      <x:c r="I99" s="9" t="str">
        <x:v>1. 平台管理员账号可用
2. 同一主播先后完成两场直播</x:v>
      </x:c>
      <x:c r="J99" s="9" t="str">
        <x:v>1. 打开直播场次</x:v>
      </x:c>
      <x:c r="K99" s="9" t="str">
        <x:v>两场直播场次ID不同而主播直播间ID相同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来源（当前证据）：liveshow-proto/MainBasis/统一需求文档.md；位置：第2617行、第2619行 REQ-2d6daad85499、第2620行 REQ-76fc57485e31、第2626行 REQ-01bfb061e40d、第2627行 REQ-5486bbbe8ae4
2. 规则：BR-28c41c772a547741
3. 未动态验证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直播场次</x:v>
      </x:c>
      <x:c r="E100" s="10" t="str">
        <x:v>功能需求</x:v>
      </x:c>
      <x:c r="F100" s="10" t="str">
        <x:v>P1</x:v>
      </x:c>
      <x:c r="G100" s="9" t="str">
        <x:v>验证历史房型保持</x:v>
      </x:c>
      <x:c r="H100" s="9" t="str">
        <x:v>房型快照</x:v>
      </x:c>
      <x:c r="I100" s="9" t="str">
        <x:v>1. 平台管理员账号可用
2. 已结束场次是普通房，主播后续改用门票房</x:v>
      </x:c>
      <x:c r="J100" s="9" t="str">
        <x:v>1. 打开直播场次</x:v>
      </x:c>
      <x:c r="K100" s="9" t="str">
        <x:v>已结束场次仍显示普通房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来源（当前证据）：liveshow-proto/MainBasis/统一需求文档.md；位置：第2617行、第2619行 REQ-2d6daad85499、第2620行 REQ-76fc57485e31、第2626行 REQ-01bfb061e40d、第2627行 REQ-5486bbbe8ae4
2. 规则：BR-d53c71c735d599d6
3. 未动态验证</x:v>
      </x:c>
    </x:row>
    <x:row r="101" ht="115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直播场次</x:v>
      </x:c>
      <x:c r="E101" s="10" t="str">
        <x:v>功能需求</x:v>
      </x:c>
      <x:c r="F101" s="10" t="str">
        <x:v>P1</x:v>
      </x:c>
      <x:c r="G101" s="9" t="str">
        <x:v>验证警告直播场次</x:v>
      </x:c>
      <x:c r="H101" s="9" t="str">
        <x:v>警告不关播</x:v>
      </x:c>
      <x:c r="I101" s="9" t="str">
        <x:v>1. 平台管理员账号可用
2. 目标场次正在直播</x:v>
      </x:c>
      <x:c r="J101" s="9" t="str">
        <x:v>1. 打开直播场次
2. 点击警告
3. 输入原因为内容提醒
4. 确认处置</x:v>
      </x:c>
      <x:c r="K101" s="9" t="str">
        <x:v>场次状态仍为直播中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来源（当前证据）：liveshow-proto/MainBasis/统一需求文档.md；位置：第2617行、第2619行 REQ-2d6daad85499、第2620行 REQ-76fc57485e31、第2626行 REQ-01bfb061e40d、第2627行 REQ-5486bbbe8ae4
2. 规则：BR-61a249b346bf5a57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直播场次</x:v>
      </x:c>
      <x:c r="E102" s="10" t="str">
        <x:v>功能需求</x:v>
      </x:c>
      <x:c r="F102" s="10" t="str">
        <x:v>P1</x:v>
      </x:c>
      <x:c r="G102" s="9" t="str">
        <x:v>验证关闭当前场次</x:v>
      </x:c>
      <x:c r="H102" s="9" t="str">
        <x:v>当前场次终止</x:v>
      </x:c>
      <x:c r="I102" s="9" t="str">
        <x:v>1. 平台管理员账号可用
2. 目标场次正在直播</x:v>
      </x:c>
      <x:c r="J102" s="9" t="str">
        <x:v>1. 打开直播场次
2. 点击关播
3. 输入原因为直播违规
4. 确认处置</x:v>
      </x:c>
      <x:c r="K102" s="9" t="str">
        <x:v>所选场次状态显示已结束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来源（当前证据）：liveshow-proto/MainBasis/统一需求文档.md；位置：第2617行、第2619行 REQ-2d6daad85499、第2620行 REQ-76fc57485e31、第2626行 REQ-01bfb061e40d、第2627行 REQ-5486bbbe8ae4
2. 规则：BR-f8b535210c506f47
3. 未动态验证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直播场次</x:v>
      </x:c>
      <x:c r="E103" s="10" t="str">
        <x:v>功能需求</x:v>
      </x:c>
      <x:c r="F103" s="10" t="str">
        <x:v>P1</x:v>
      </x:c>
      <x:c r="G103" s="9" t="str">
        <x:v>验证已结束场次不可重开</x:v>
      </x:c>
      <x:c r="H103" s="9" t="str">
        <x:v>场次终态限制</x:v>
      </x:c>
      <x:c r="I103" s="9" t="str">
        <x:v>1. 平台管理员账号可用
2. 目标场次已结束</x:v>
      </x:c>
      <x:c r="J103" s="9" t="str">
        <x:v>1. 打开直播场次</x:v>
      </x:c>
      <x:c r="K103" s="9" t="str">
        <x:v>不存在重新打开该历史场次的操作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来源（当前证据）：liveshow-proto/MainBasis/统一需求文档.md；位置：第2617行、第2619行 REQ-2d6daad85499、第2620行 REQ-76fc57485e31、第2626行 REQ-01bfb061e40d、第2627行 REQ-5486bbbe8ae4
2. 规则：BR-184a93d6c5811494
3. 未动态验证</x:v>
      </x:c>
    </x:row>
    <x:row r="104" ht="8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直播场次</x:v>
      </x:c>
      <x:c r="E104" s="10" t="str">
        <x:v>功能需求</x:v>
      </x:c>
      <x:c r="F104" s="10" t="str">
        <x:v>P1</x:v>
      </x:c>
      <x:c r="G104" s="9" t="str">
        <x:v>验证真实观众去重</x:v>
      </x:c>
      <x:c r="H104" s="9" t="str">
        <x:v>真实观众人数</x:v>
      </x:c>
      <x:c r="I104" s="9" t="str">
        <x:v>1. 平台管理员账号可用
2. 同一真实用户进入3次，另一真实用户进入1次，运营账号进入1次</x:v>
      </x:c>
      <x:c r="J104" s="9" t="str">
        <x:v>1. 打开直播场次</x:v>
      </x:c>
      <x:c r="K104" s="9" t="str">
        <x:v>观众人数显示2人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来源（当前证据）：liveshow-proto/MainBasis/统一需求文档.md；位置：第2617行、第2621行 REQ-bee71d656e69
2. 规则：BR-fd16db142be4609b
3. 未动态验证</x:v>
      </x:c>
    </x:row>
    <x:row r="105" ht="8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直播场次</x:v>
      </x:c>
      <x:c r="E105" s="10" t="str">
        <x:v>功能需求</x:v>
      </x:c>
      <x:c r="F105" s="10" t="str">
        <x:v>P1</x:v>
      </x:c>
      <x:c r="G105" s="9" t="str">
        <x:v>验证连送按件数累计</x:v>
      </x:c>
      <x:c r="H105" s="9" t="str">
        <x:v>直播礼物件数</x:v>
      </x:c>
      <x:c r="I105" s="9" t="str">
        <x:v>1. 平台管理员账号可用
2. 本场成功连送3件及单送2件，另有失败4件</x:v>
      </x:c>
      <x:c r="J105" s="9" t="str">
        <x:v>1. 打开直播场次</x:v>
      </x:c>
      <x:c r="K105" s="9" t="str">
        <x:v>收礼数量显示5件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来源（当前证据）：liveshow-proto/MainBasis/统一需求文档.md；位置：第2617行、第2624行 REQ-aaaa6591179f
2. 规则：BR-7c0abaf946eac040
3. 未动态验证</x:v>
      </x:c>
    </x:row>
    <x:row r="106" ht="85" customHeight="1">
      <x:c r="A106" s="10" t="n">
        <x:v>105</x:v>
      </x:c>
      <x:c r="B106" s="10" t="str">
        <x:v>ADMIN-03-0078</x:v>
      </x:c>
      <x:c r="C106" s="10" t="str">
        <x:v>主播管理</x:v>
      </x:c>
      <x:c r="D106" s="10" t="str">
        <x:v>直播场次</x:v>
      </x:c>
      <x:c r="E106" s="10" t="str">
        <x:v>功能需求</x:v>
      </x:c>
      <x:c r="F106" s="10" t="str">
        <x:v>P1</x:v>
      </x:c>
      <x:c r="G106" s="9" t="str">
        <x:v>验证已结束场次时长</x:v>
      </x:c>
      <x:c r="H106" s="9" t="str">
        <x:v>场次时间差</x:v>
      </x:c>
      <x:c r="I106" s="9" t="str">
        <x:v>1. 平台管理员账号可用
2. 场次同日10:00开始、11:30结束</x:v>
      </x:c>
      <x:c r="J106" s="9" t="str">
        <x:v>1. 打开直播场次</x:v>
      </x:c>
      <x:c r="K106" s="9" t="str">
        <x:v>直播时长为1小时30分钟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来源（当前证据）：liveshow-proto/MainBasis/统一需求文档.md；位置：第2617行、第2623行 REQ-c9620f5ed80f
2. 规则：BR-adff0124e51906f6
3. 未动态验证</x:v>
      </x:c>
    </x:row>
    <x:row r="107" ht="85" customHeight="1">
      <x:c r="A107" s="10" t="n">
        <x:v>106</x:v>
      </x:c>
      <x:c r="B107" s="10" t="str">
        <x:v>ADMIN-03-0079</x:v>
      </x:c>
      <x:c r="C107" s="10" t="str">
        <x:v>主播管理</x:v>
      </x:c>
      <x:c r="D107" s="10" t="str">
        <x:v>直播场次</x:v>
      </x:c>
      <x:c r="E107" s="10" t="str">
        <x:v>逻辑校验</x:v>
      </x:c>
      <x:c r="F107" s="10" t="str">
        <x:v>P1</x:v>
      </x:c>
      <x:c r="G107" s="9" t="str">
        <x:v>验证消费金币数值核算</x:v>
      </x:c>
      <x:c r="H107" s="9" t="str">
        <x:v>消费金币计算口径</x:v>
      </x:c>
      <x:c r="I107" s="9" t="str">
        <x:v>1. 平台管理员账号可用
2. 本场普通100、定制200、门票100、幸运1000金币扣款，返奖500；另有虚拟100</x:v>
      </x:c>
      <x:c r="J107" s="9" t="str">
        <x:v>1. 打开直播场次</x:v>
      </x:c>
      <x:c r="K107" s="9" t="str">
        <x:v>消费金币计算结果=900金币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来源（当前证据）：liveshow-proto/MainBasis/统一需求文档.md；位置：第2617行、第2622行 REQ-a2374b2652c3
2. 规则：BR-9057f957d1fd2077
3. 未动态验证</x:v>
      </x:c>
    </x:row>
    <x:row r="108" ht="85" customHeight="1">
      <x:c r="A108" s="10" t="n">
        <x:v>107</x:v>
      </x:c>
      <x:c r="B108" s="10" t="str">
        <x:v>ADMIN-03-0080</x:v>
      </x:c>
      <x:c r="C108" s="10" t="str">
        <x:v>主播管理</x:v>
      </x:c>
      <x:c r="D108" s="10" t="str">
        <x:v>直播场次</x:v>
      </x:c>
      <x:c r="E108" s="10" t="str">
        <x:v>逻辑校验</x:v>
      </x:c>
      <x:c r="F108" s="10" t="str">
        <x:v>P1</x:v>
      </x:c>
      <x:c r="G108" s="9" t="str">
        <x:v>验证主播收益数值核算</x:v>
      </x:c>
      <x:c r="H108" s="9" t="str">
        <x:v>主播收益计算口径</x:v>
      </x:c>
      <x:c r="I108" s="9" t="str">
        <x:v>1. 平台管理员账号可用
2. 本场成功普通100、定制200、门票100、幸运1000金币且比例1%；虚拟500不计</x:v>
      </x:c>
      <x:c r="J108" s="9" t="str">
        <x:v>1. 打开直播场次</x:v>
      </x:c>
      <x:c r="K108" s="9" t="str">
        <x:v>主播收益计算结果=410金币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来源（当前证据）：liveshow-proto/MainBasis/统一需求文档.md；位置：第2617行、第2625行 REQ-34b65e1d70aa
2. 规则：BR-bacfc250520a1245
3. 未动态验证</x:v>
      </x:c>
    </x:row>
    <x:row r="109" ht="85" customHeight="1">
      <x:c r="A109" s="10" t="n">
        <x:v>108</x:v>
      </x:c>
      <x:c r="B109" s="10" t="str">
        <x:v>ADMIN-03-0081</x:v>
      </x:c>
      <x:c r="C109" s="10" t="str">
        <x:v>主播管理</x:v>
      </x:c>
      <x:c r="D109" s="10" t="str">
        <x:v>直播场次</x:v>
      </x:c>
      <x:c r="E109" s="10" t="str">
        <x:v>功能需求</x:v>
      </x:c>
      <x:c r="F109" s="10" t="str">
        <x:v>P1</x:v>
      </x:c>
      <x:c r="G109" s="9" t="str">
        <x:v>验证直播中账号封禁后查看场次</x:v>
      </x:c>
      <x:c r="H109" s="9" t="str">
        <x:v>封禁后的场次结束</x:v>
      </x:c>
      <x:c r="I109" s="9" t="str">
        <x:v>1. 平台管理员账号可用
2. 目标主播刚被平台封禁，封禁时存在正在直播的场次</x:v>
      </x:c>
      <x:c r="J109" s="9" t="str">
        <x:v>1. 打开直播场次
2. 刷新直播管理列表</x:v>
      </x:c>
      <x:c r="K109" s="9" t="str">
        <x:v>该场次显示已结束</x:v>
      </x:c>
      <x:c r="L109" s="10" t="str">
        <x:v>FLOW-ACCOUNT-REPORT</x:v>
      </x:c>
      <x:c r="M109" s="10" t="str">
        <x:v>未测</x:v>
      </x:c>
      <x:c r="N109" s="10" t="str"/>
      <x:c r="O109" s="9" t="str">
        <x:v>1. 来源（当前证据）：liveshow-proto/MainBasis/统一需求文档.md；位置：第2617行、第2552行 REQ-d7c78e90d406
2. 规则：BR-8c34ea99630abd39
3. 未动态验证</x:v>
      </x:c>
    </x:row>
    <x:row r="110" ht="130" customHeight="1">
      <x:c r="A110" s="10" t="n">
        <x:v>109</x:v>
      </x:c>
      <x:c r="B110" s="10" t="str">
        <x:v>ADMIN-04-0001</x:v>
      </x:c>
      <x:c r="C110" s="10" t="str">
        <x:v>举报处理</x:v>
      </x:c>
      <x:c r="D110" s="10" t="str">
        <x:v>账号违规</x:v>
      </x:c>
      <x:c r="E110" s="10" t="str">
        <x:v>功能需求</x:v>
      </x:c>
      <x:c r="F110" s="10" t="str">
        <x:v>P1</x:v>
      </x:c>
      <x:c r="G110" s="9" t="str">
        <x:v>验证账号违规读取账号举报快照</x:v>
      </x:c>
      <x:c r="H110" s="9" t="str">
        <x:v>账号举报快照字段来源</x:v>
      </x:c>
      <x:c r="I110" s="9" t="str">
        <x:v>1. 平台管理员账号可用
2. 已有账号举报，违规类型配置之后改名</x:v>
      </x:c>
      <x:c r="J110" s="9" t="str">
        <x:v>1. 打开账号违规</x:v>
      </x:c>
      <x:c r="K110" s="9" t="str">
        <x:v>历史举报类型仍显示提交时名称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来源（当前证据）：liveshow-proto/MainBasis/统一需求文档.md；位置：第2692行、第2694行 REQ-e0185a0c0619、第2695行 REQ-e7cdc0ea287b、第2696行 REQ-b296a3eca354、第2697行 REQ-0e054b28a40e、第2698行 REQ-c68999cd5a4d
2. 规则：BR-5822a354a428be03
3. 未动态验证</x:v>
      </x:c>
    </x:row>
    <x:row r="111" ht="85" customHeight="1">
      <x:c r="A111" s="10" t="n">
        <x:v>110</x:v>
      </x:c>
      <x:c r="B111" s="10" t="str">
        <x:v>ADMIN-04-0002</x:v>
      </x:c>
      <x:c r="C111" s="10" t="str">
        <x:v>举报处理</x:v>
      </x:c>
      <x:c r="D111" s="10" t="str">
        <x:v>账号违规</x:v>
      </x:c>
      <x:c r="E111" s="10" t="str">
        <x:v>功能需求</x:v>
      </x:c>
      <x:c r="F111" s="10" t="str">
        <x:v>P1</x:v>
      </x:c>
      <x:c r="G111" s="9" t="str">
        <x:v>验证账号举报尚未处置</x:v>
      </x:c>
      <x:c r="H111" s="9" t="str">
        <x:v>举报不自动封禁</x:v>
      </x:c>
      <x:c r="I111" s="9" t="str">
        <x:v>1. 平台管理员账号可用
2. 一个正常账号被举报但工单未处理</x:v>
      </x:c>
      <x:c r="J111" s="9" t="str">
        <x:v>1. 打开账号违规</x:v>
      </x:c>
      <x:c r="K111" s="9" t="str">
        <x:v>被举报账号状态仍为正常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来源（当前证据）：liveshow-proto/MainBasis/统一需求文档.md；位置：第2692行、第2699行 REQ-386f25a3a85a
2. 规则：BR-5ea66bf66a816a76
3. 未动态验证</x:v>
      </x:c>
    </x:row>
    <x:row r="112" ht="85" customHeight="1">
      <x:c r="A112" s="10" t="n">
        <x:v>111</x:v>
      </x:c>
      <x:c r="B112" s="10" t="str">
        <x:v>ADMIN-04-0003</x:v>
      </x:c>
      <x:c r="C112" s="10" t="str">
        <x:v>举报处理</x:v>
      </x:c>
      <x:c r="D112" s="10" t="str">
        <x:v>账号违规</x:v>
      </x:c>
      <x:c r="E112" s="10" t="str">
        <x:v>功能需求</x:v>
      </x:c>
      <x:c r="F112" s="10" t="str">
        <x:v>P1</x:v>
      </x:c>
      <x:c r="G112" s="9" t="str">
        <x:v>验证账号举报联合筛选</x:v>
      </x:c>
      <x:c r="H112" s="9" t="str">
        <x:v>账号举报条件交集</x:v>
      </x:c>
      <x:c r="I112" s="9" t="str">
        <x:v>1. 平台管理员账号可用
2. 有用户甲两条不同状态举报及用户乙举报</x:v>
      </x:c>
      <x:c r="J112" s="9" t="str">
        <x:v>1. 打开账号违规
2. 输入用户甲ID
3. 选择待处理
4. 点击查询</x:v>
      </x:c>
      <x:c r="K112" s="9" t="str">
        <x:v>仅显示用户甲待处理的举报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来源（当前证据）：liveshow-proto/MainBasis/统一需求文档.md；位置：第2692行、第2700行 REQ-bc718c5754c4
2. 规则：BR-e57ba7e3019fc658
3. 未动态验证</x:v>
      </x:c>
    </x:row>
    <x:row r="113" ht="85" customHeight="1">
      <x:c r="A113" s="10" t="n">
        <x:v>112</x:v>
      </x:c>
      <x:c r="B113" s="10" t="str">
        <x:v>ADMIN-04-0004</x:v>
      </x:c>
      <x:c r="C113" s="10" t="str">
        <x:v>举报处理</x:v>
      </x:c>
      <x:c r="D113" s="10" t="str">
        <x:v>账号违规</x:v>
      </x:c>
      <x:c r="E113" s="10" t="str">
        <x:v>功能需求</x:v>
      </x:c>
      <x:c r="F113" s="10" t="str">
        <x:v>P1</x:v>
      </x:c>
      <x:c r="G113" s="9" t="str">
        <x:v>验证账号举报打开详情</x:v>
      </x:c>
      <x:c r="H113" s="9" t="str">
        <x:v>举报单身份透传</x:v>
      </x:c>
      <x:c r="I113" s="9" t="str">
        <x:v>1. 平台管理员账号可用
2. 列表两条举报针对不同用户</x:v>
      </x:c>
      <x:c r="J113" s="9" t="str">
        <x:v>1. 打开账号违规
2. 点击一条举报的查看</x:v>
      </x:c>
      <x:c r="K113" s="9" t="str">
        <x:v>进入所选举报单详情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来源（当前证据）：liveshow-proto/MainBasis/统一需求文档.md；位置：第2692行、第2700行 REQ-bc718c5754c4
2. 规则：BR-8e98a4cc1f6259de
3. 未动态验证</x:v>
      </x:c>
    </x:row>
    <x:row r="114" ht="145" customHeight="1">
      <x:c r="A114" s="10" t="n">
        <x:v>113</x:v>
      </x:c>
      <x:c r="B114" s="10" t="str">
        <x:v>ADMIN-04-0005</x:v>
      </x:c>
      <x:c r="C114" s="10" t="str">
        <x:v>举报处理</x:v>
      </x:c>
      <x:c r="D114" s="10" t="str">
        <x:v>举报详情</x:v>
      </x:c>
      <x:c r="E114" s="10" t="str">
        <x:v>功能需求</x:v>
      </x:c>
      <x:c r="F114" s="10" t="str">
        <x:v>P1</x:v>
      </x:c>
      <x:c r="G114" s="9" t="str">
        <x:v>验证账号举报选择不处置</x:v>
      </x:c>
      <x:c r="H114" s="9" t="str">
        <x:v>账号举报处置结果</x:v>
      </x:c>
      <x:c r="I114" s="9" t="str">
        <x:v>1. 平台管理员账号可用
2. 一笔待处理账号举报，账号可用且关联直播场次正在直播</x:v>
      </x:c>
      <x:c r="J114" s="9" t="str">
        <x:v>1. 打开举报详情
2. 选择不处置
3. 输入原因为本次举报核验结论
4. 点击处理</x:v>
      </x:c>
      <x:c r="K114" s="9" t="str">
        <x:v>举报状态显示已处理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规则：BR-c8bbbe512ca56055
3. 未动态验证</x:v>
      </x:c>
    </x:row>
    <x:row r="115" ht="145" customHeight="1">
      <x:c r="A115" s="10" t="n">
        <x:v>114</x:v>
      </x:c>
      <x:c r="B115" s="10" t="str">
        <x:v>ADMIN-04-0006</x:v>
      </x:c>
      <x:c r="C115" s="10" t="str">
        <x:v>举报处理</x:v>
      </x:c>
      <x:c r="D115" s="10" t="str">
        <x:v>举报详情</x:v>
      </x:c>
      <x:c r="E115" s="10" t="str">
        <x:v>功能需求</x:v>
      </x:c>
      <x:c r="F115" s="10" t="str">
        <x:v>P1</x:v>
      </x:c>
      <x:c r="G115" s="9" t="str">
        <x:v>验证账号举报选择封禁</x:v>
      </x:c>
      <x:c r="H115" s="9" t="str">
        <x:v>账号举报处置结果</x:v>
      </x:c>
      <x:c r="I115" s="9" t="str">
        <x:v>1. 平台管理员账号可用
2. 一笔待处理账号举报，账号可用且关联直播场次正在直播</x:v>
      </x:c>
      <x:c r="J115" s="9" t="str">
        <x:v>1. 打开举报详情
2. 选择封禁
3. 输入原因为本次举报核验结论
4. 点击处理</x:v>
      </x:c>
      <x:c r="K115" s="9" t="str">
        <x:v>被举报账号状态显示封禁</x:v>
      </x:c>
      <x:c r="L115" s="10" t="str">
        <x:v>FLOW-ACCOUNT-REPORT</x:v>
      </x:c>
      <x:c r="M115" s="10" t="str">
        <x:v>未测</x:v>
      </x:c>
      <x:c r="N115" s="10" t="str"/>
      <x:c r="O115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规则：BR-e630ad107ff2069e
3. 未动态验证</x:v>
      </x:c>
    </x:row>
    <x:row r="116" ht="145" customHeight="1">
      <x:c r="A116" s="10" t="n">
        <x:v>115</x:v>
      </x:c>
      <x:c r="B116" s="10" t="str">
        <x:v>ADMIN-04-0007</x:v>
      </x:c>
      <x:c r="C116" s="10" t="str">
        <x:v>举报处理</x:v>
      </x:c>
      <x:c r="D116" s="10" t="str">
        <x:v>举报详情</x:v>
      </x:c>
      <x:c r="E116" s="10" t="str">
        <x:v>功能需求</x:v>
      </x:c>
      <x:c r="F116" s="10" t="str">
        <x:v>P1</x:v>
      </x:c>
      <x:c r="G116" s="9" t="str">
        <x:v>验证直播举报选择不处置</x:v>
      </x:c>
      <x:c r="H116" s="9" t="str">
        <x:v>直播举报处置结果</x:v>
      </x:c>
      <x:c r="I116" s="9" t="str">
        <x:v>1. 平台管理员账号可用
2. 一笔待处理直播举报，账号可用且关联直播场次正在直播</x:v>
      </x:c>
      <x:c r="J116" s="9" t="str">
        <x:v>1. 打开举报详情
2. 选择不处置
3. 输入原因为本次举报核验结论
4. 点击处理</x:v>
      </x:c>
      <x:c r="K116" s="9" t="str">
        <x:v>举报状态显示已处理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规则：BR-2ebaf0b117cdd8e1
3. 未动态验证</x:v>
      </x:c>
    </x:row>
    <x:row r="117" ht="145" customHeight="1">
      <x:c r="A117" s="10" t="n">
        <x:v>116</x:v>
      </x:c>
      <x:c r="B117" s="10" t="str">
        <x:v>ADMIN-04-0008</x:v>
      </x:c>
      <x:c r="C117" s="10" t="str">
        <x:v>举报处理</x:v>
      </x:c>
      <x:c r="D117" s="10" t="str">
        <x:v>举报详情</x:v>
      </x:c>
      <x:c r="E117" s="10" t="str">
        <x:v>功能需求</x:v>
      </x:c>
      <x:c r="F117" s="10" t="str">
        <x:v>P1</x:v>
      </x:c>
      <x:c r="G117" s="9" t="str">
        <x:v>验证直播举报选择警告</x:v>
      </x:c>
      <x:c r="H117" s="9" t="str">
        <x:v>直播举报处置结果</x:v>
      </x:c>
      <x:c r="I117" s="9" t="str">
        <x:v>1. 平台管理员账号可用
2. 一笔待处理直播举报，账号可用且关联直播场次正在直播</x:v>
      </x:c>
      <x:c r="J117" s="9" t="str">
        <x:v>1. 打开举报详情
2. 选择警告
3. 输入原因为本次举报核验结论
4. 点击处理</x:v>
      </x:c>
      <x:c r="K117" s="9" t="str">
        <x:v>被举报场次仍为直播中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规则：BR-b9c04b94f942151b
3. 未动态验证</x:v>
      </x:c>
    </x:row>
    <x:row r="118" ht="145" customHeight="1">
      <x:c r="A118" s="10" t="n">
        <x:v>117</x:v>
      </x:c>
      <x:c r="B118" s="10" t="str">
        <x:v>ADMIN-04-0009</x:v>
      </x:c>
      <x:c r="C118" s="10" t="str">
        <x:v>举报处理</x:v>
      </x:c>
      <x:c r="D118" s="10" t="str">
        <x:v>举报详情</x:v>
      </x:c>
      <x:c r="E118" s="10" t="str">
        <x:v>功能需求</x:v>
      </x:c>
      <x:c r="F118" s="10" t="str">
        <x:v>P1</x:v>
      </x:c>
      <x:c r="G118" s="9" t="str">
        <x:v>验证直播举报选择关播</x:v>
      </x:c>
      <x:c r="H118" s="9" t="str">
        <x:v>直播举报处置结果</x:v>
      </x:c>
      <x:c r="I118" s="9" t="str">
        <x:v>1. 平台管理员账号可用
2. 一笔待处理直播举报，账号可用且关联直播场次正在直播</x:v>
      </x:c>
      <x:c r="J118" s="9" t="str">
        <x:v>1. 打开举报详情
2. 选择关播
3. 输入原因为本次举报核验结论
4. 点击处理</x:v>
      </x:c>
      <x:c r="K118" s="9" t="str">
        <x:v>被举报场次显示已结束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规则：BR-aac249712a2bac91
3. 未动态验证</x:v>
      </x:c>
    </x:row>
    <x:row r="119" ht="145" customHeight="1">
      <x:c r="A119" s="10" t="n">
        <x:v>118</x:v>
      </x:c>
      <x:c r="B119" s="10" t="str">
        <x:v>ADMIN-04-0010</x:v>
      </x:c>
      <x:c r="C119" s="10" t="str">
        <x:v>举报处理</x:v>
      </x:c>
      <x:c r="D119" s="10" t="str">
        <x:v>举报详情</x:v>
      </x:c>
      <x:c r="E119" s="10" t="str">
        <x:v>功能需求</x:v>
      </x:c>
      <x:c r="F119" s="10" t="str">
        <x:v>P1</x:v>
      </x:c>
      <x:c r="G119" s="9" t="str">
        <x:v>验证直播举报选择关闭直播权限</x:v>
      </x:c>
      <x:c r="H119" s="9" t="str">
        <x:v>直播举报处置结果</x:v>
      </x:c>
      <x:c r="I119" s="9" t="str">
        <x:v>1. 平台管理员账号可用
2. 一笔待处理直播举报，账号可用且关联直播场次正在直播</x:v>
      </x:c>
      <x:c r="J119" s="9" t="str">
        <x:v>1. 打开举报详情
2. 选择关闭直播权限
3. 输入原因为本次举报核验结论
4. 点击处理</x:v>
      </x:c>
      <x:c r="K119" s="9" t="str">
        <x:v>主播直播权限显示关闭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规则：BR-cad50a2965da2480
3. 未动态验证</x:v>
      </x:c>
    </x:row>
    <x:row r="120" ht="115" customHeight="1">
      <x:c r="A120" s="10" t="n">
        <x:v>119</x:v>
      </x:c>
      <x:c r="B120" s="10" t="str">
        <x:v>ADMIN-04-0011</x:v>
      </x:c>
      <x:c r="C120" s="10" t="str">
        <x:v>举报处理</x:v>
      </x:c>
      <x:c r="D120" s="10" t="str">
        <x:v>举报详情</x:v>
      </x:c>
      <x:c r="E120" s="10" t="str">
        <x:v>功能需求</x:v>
      </x:c>
      <x:c r="F120" s="10" t="str">
        <x:v>P1</x:v>
      </x:c>
      <x:c r="G120" s="9" t="str">
        <x:v>验证处罚缺少原因</x:v>
      </x:c>
      <x:c r="H120" s="9" t="str">
        <x:v>处罚原因必填</x:v>
      </x:c>
      <x:c r="I120" s="9" t="str">
        <x:v>1. 平台管理员账号可用
2. 目标举报待处理</x:v>
      </x:c>
      <x:c r="J120" s="9" t="str">
        <x:v>1. 打开举报详情
2. 选择封禁
3. 清空处置原因
4. 点击处理</x:v>
      </x:c>
      <x:c r="K120" s="9" t="str">
        <x:v>缺少原因的处罚不能提交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来源（当前证据）：liveshow-proto/MainBasis/统一需求文档.md；位置：第2714行、第2719行 REQ-2f6fe86ea691、第2717行 REQ-798608c0ef64、第2723行 REQ-741630d0f3d0、第2722行 REQ-839dd56e82e3
2. 规则：BR-ed174bb3f46048aa
3. 未动态验证</x:v>
      </x:c>
    </x:row>
    <x:row r="121" ht="115" customHeight="1">
      <x:c r="A121" s="10" t="n">
        <x:v>120</x:v>
      </x:c>
      <x:c r="B121" s="10" t="str">
        <x:v>ADMIN-04-0012</x:v>
      </x:c>
      <x:c r="C121" s="10" t="str">
        <x:v>举报处理</x:v>
      </x:c>
      <x:c r="D121" s="10" t="str">
        <x:v>举报详情</x:v>
      </x:c>
      <x:c r="E121" s="10" t="str">
        <x:v>功能需求</x:v>
      </x:c>
      <x:c r="F121" s="10" t="str">
        <x:v>P1</x:v>
      </x:c>
      <x:c r="G121" s="9" t="str">
        <x:v>验证作废详情禁止处罚</x:v>
      </x:c>
      <x:c r="H121" s="9" t="str">
        <x:v>作废举报只读</x:v>
      </x:c>
      <x:c r="I121" s="9" t="str">
        <x:v>1. 平台管理员账号可用
2. 举报对应场次已结束且工单作废</x:v>
      </x:c>
      <x:c r="J121" s="9" t="str">
        <x:v>1. 打开举报详情</x:v>
      </x:c>
      <x:c r="K121" s="9" t="str">
        <x:v>不再提供可提交的处罚操作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来源（当前证据）：liveshow-proto/MainBasis/统一需求文档.md；位置：第2714行、第2719行 REQ-2f6fe86ea691、第2717行 REQ-798608c0ef64、第2723行 REQ-741630d0f3d0、第2722行 REQ-839dd56e82e3
2. 规则：BR-ed25f32f6bab1d34
3. 未动态验证</x:v>
      </x:c>
    </x:row>
    <x:row r="122" ht="115" customHeight="1">
      <x:c r="A122" s="10" t="n">
        <x:v>121</x:v>
      </x:c>
      <x:c r="B122" s="10" t="str">
        <x:v>ADMIN-04-0013</x:v>
      </x:c>
      <x:c r="C122" s="10" t="str">
        <x:v>举报处理</x:v>
      </x:c>
      <x:c r="D122" s="10" t="str">
        <x:v>举报详情</x:v>
      </x:c>
      <x:c r="E122" s="10" t="str">
        <x:v>功能需求</x:v>
      </x:c>
      <x:c r="F122" s="10" t="str">
        <x:v>P1</x:v>
      </x:c>
      <x:c r="G122" s="9" t="str">
        <x:v>验证已处理举报保留证据：举报说明保留</x:v>
      </x:c>
      <x:c r="H122" s="9" t="str">
        <x:v>举报说明保留</x:v>
      </x:c>
      <x:c r="I122" s="9" t="str">
        <x:v>1. 平台管理员账号可用
2. 举报已处理，提交说明及图片已记录</x:v>
      </x:c>
      <x:c r="J122" s="9" t="str">
        <x:v>1. 打开举报详情</x:v>
      </x:c>
      <x:c r="K122" s="9" t="str">
        <x:v>处理后用户原始说明仍保留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来源（当前证据）：liveshow-proto/MainBasis/统一需求文档.md；位置：第2714行、第2719行 REQ-2f6fe86ea691、第2717行 REQ-798608c0ef64、第2723行 REQ-741630d0f3d0、第2722行 REQ-839dd56e82e3
2. 规则：BR-06938d0737dd9a57
3. 未动态验证</x:v>
      </x:c>
    </x:row>
    <x:row r="123" ht="115" customHeight="1">
      <x:c r="A123" s="10" t="n">
        <x:v>122</x:v>
      </x:c>
      <x:c r="B123" s="10" t="str">
        <x:v>ADMIN-04-0014</x:v>
      </x:c>
      <x:c r="C123" s="10" t="str">
        <x:v>举报处理</x:v>
      </x:c>
      <x:c r="D123" s="10" t="str">
        <x:v>举报详情</x:v>
      </x:c>
      <x:c r="E123" s="10" t="str">
        <x:v>功能需求</x:v>
      </x:c>
      <x:c r="F123" s="10" t="str">
        <x:v>P1</x:v>
      </x:c>
      <x:c r="G123" s="9" t="str">
        <x:v>验证已处理举报保留证据：举报图片保留</x:v>
      </x:c>
      <x:c r="H123" s="9" t="str">
        <x:v>举报图片保留</x:v>
      </x:c>
      <x:c r="I123" s="9" t="str">
        <x:v>1. 平台管理员账号可用
2. 举报已处理，提交说明及图片已记录</x:v>
      </x:c>
      <x:c r="J123" s="9" t="str">
        <x:v>1. 打开举报详情</x:v>
      </x:c>
      <x:c r="K123" s="9" t="str">
        <x:v>处理后用户原始证据图片仍保留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来源（当前证据）：liveshow-proto/MainBasis/统一需求文档.md；位置：第2714行、第2719行 REQ-2f6fe86ea691、第2717行 REQ-798608c0ef64、第2723行 REQ-741630d0f3d0、第2722行 REQ-839dd56e82e3
2. 规则：BR-3390c7b718491069
3. 未动态验证</x:v>
      </x:c>
    </x:row>
    <x:row r="124" ht="115" customHeight="1">
      <x:c r="A124" s="10" t="n">
        <x:v>123</x:v>
      </x:c>
      <x:c r="B124" s="10" t="str">
        <x:v>ADMIN-04-0015</x:v>
      </x:c>
      <x:c r="C124" s="10" t="str">
        <x:v>举报处理</x:v>
      </x:c>
      <x:c r="D124" s="10" t="str">
        <x:v>直播间违规</x:v>
      </x:c>
      <x:c r="E124" s="10" t="str">
        <x:v>功能需求</x:v>
      </x:c>
      <x:c r="F124" s="10" t="str">
        <x:v>P1</x:v>
      </x:c>
      <x:c r="G124" s="9" t="str">
        <x:v>验证待处理直播结束</x:v>
      </x:c>
      <x:c r="H124" s="9" t="str">
        <x:v>结束工单作废</x:v>
      </x:c>
      <x:c r="I124" s="9" t="str">
        <x:v>1. 平台管理员账号可用
2. 目标举报待处理，对应主播已结束被举报场次</x:v>
      </x:c>
      <x:c r="J124" s="9" t="str">
        <x:v>1. 打开直播间违规
2. 刷新违规列表</x:v>
      </x:c>
      <x:c r="K124" s="9" t="str">
        <x:v>该举报状态显示已作废</x:v>
      </x:c>
      <x:c r="L124" s="10" t="str">
        <x:v>FLOW-LIVE-REPORT</x:v>
      </x:c>
      <x:c r="M124" s="10" t="str">
        <x:v>未测</x:v>
      </x:c>
      <x:c r="N124" s="10" t="str"/>
      <x:c r="O124" s="9" t="str">
        <x:v>1. 来源（当前证据）：liveshow-proto/MainBasis/统一需求文档.md；位置：第2703行、第2705行 REQ-6e2a33b6f15d、第2708行 REQ-120aae3c03ed、第2710行 REQ-1fb3044e702c、第2711行 REQ-abe02c005d26
2. 规则：BR-c5959aa96f1f14ee
3. 未动态验证</x:v>
      </x:c>
    </x:row>
    <x:row r="125" ht="115" customHeight="1">
      <x:c r="A125" s="10" t="n">
        <x:v>124</x:v>
      </x:c>
      <x:c r="B125" s="10" t="str">
        <x:v>ADMIN-04-0016</x:v>
      </x:c>
      <x:c r="C125" s="10" t="str">
        <x:v>举报处理</x:v>
      </x:c>
      <x:c r="D125" s="10" t="str">
        <x:v>直播间违规</x:v>
      </x:c>
      <x:c r="E125" s="10" t="str">
        <x:v>功能需求</x:v>
      </x:c>
      <x:c r="F125" s="10" t="str">
        <x:v>P1</x:v>
      </x:c>
      <x:c r="G125" s="9" t="str">
        <x:v>验证作废工单不影响新场次</x:v>
      </x:c>
      <x:c r="H125" s="9" t="str">
        <x:v>举报场次绑定</x:v>
      </x:c>
      <x:c r="I125" s="9" t="str">
        <x:v>1. 平台管理员账号可用
2. 原被举报场次结束，主播已新开另一场</x:v>
      </x:c>
      <x:c r="J125" s="9" t="str">
        <x:v>1. 打开直播间违规
2. 点击原举报记录</x:v>
      </x:c>
      <x:c r="K125" s="9" t="str">
        <x:v>原举报仍绑定旧场次且只读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来源（当前证据）：liveshow-proto/MainBasis/统一需求文档.md；位置：第2703行、第2705行 REQ-6e2a33b6f15d、第2708行 REQ-120aae3c03ed、第2710行 REQ-1fb3044e702c、第2711行 REQ-abe02c005d26
2. 规则：BR-9004151e98f40746
3. 未动态验证</x:v>
      </x:c>
    </x:row>
    <x:row r="126" ht="115" customHeight="1">
      <x:c r="A126" s="10" t="n">
        <x:v>125</x:v>
      </x:c>
      <x:c r="B126" s="10" t="str">
        <x:v>ADMIN-04-0017</x:v>
      </x:c>
      <x:c r="C126" s="10" t="str">
        <x:v>举报处理</x:v>
      </x:c>
      <x:c r="D126" s="10" t="str">
        <x:v>直播间违规</x:v>
      </x:c>
      <x:c r="E126" s="10" t="str">
        <x:v>功能需求</x:v>
      </x:c>
      <x:c r="F126" s="10" t="str">
        <x:v>P1</x:v>
      </x:c>
      <x:c r="G126" s="9" t="str">
        <x:v>验证已处理举报只读</x:v>
      </x:c>
      <x:c r="H126" s="9" t="str">
        <x:v>举报处理终态</x:v>
      </x:c>
      <x:c r="I126" s="9" t="str">
        <x:v>1. 平台管理员账号可用
2. 目标举报已处理</x:v>
      </x:c>
      <x:c r="J126" s="9" t="str">
        <x:v>1. 打开直播间违规
2. 点击查看</x:v>
      </x:c>
      <x:c r="K126" s="9" t="str">
        <x:v>详情不可再次提交处置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来源（当前证据）：liveshow-proto/MainBasis/统一需求文档.md；位置：第2703行、第2705行 REQ-6e2a33b6f15d、第2708行 REQ-120aae3c03ed、第2710行 REQ-1fb3044e702c、第2711行 REQ-abe02c005d26
2. 规则：BR-19f4236c87ca4f3a
3. 未动态验证</x:v>
      </x:c>
    </x:row>
    <x:row r="127" ht="85" customHeight="1">
      <x:c r="A127" s="10" t="n">
        <x:v>126</x:v>
      </x:c>
      <x:c r="B127" s="10" t="str">
        <x:v>ADMIN-04-0018</x:v>
      </x:c>
      <x:c r="C127" s="10" t="str">
        <x:v>举报处理</x:v>
      </x:c>
      <x:c r="D127" s="10" t="str">
        <x:v>直播间违规</x:v>
      </x:c>
      <x:c r="E127" s="10" t="str">
        <x:v>功能需求</x:v>
      </x:c>
      <x:c r="F127" s="10" t="str">
        <x:v>P1</x:v>
      </x:c>
      <x:c r="G127" s="9" t="str">
        <x:v>验证违规类型修改后查看旧举报</x:v>
      </x:c>
      <x:c r="H127" s="9" t="str">
        <x:v>举报类型快照</x:v>
      </x:c>
      <x:c r="I127" s="9" t="str">
        <x:v>1. 平台管理员账号可用
2. 举报提交后后台已修改类型名称</x:v>
      </x:c>
      <x:c r="J127" s="9" t="str">
        <x:v>1. 打开直播间违规</x:v>
      </x:c>
      <x:c r="K127" s="9" t="str">
        <x:v>旧举报保留提交时举报类型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来源（当前证据）：liveshow-proto/MainBasis/统一需求文档.md；位置：第2703行、第2706行 REQ-4d96b77b512a
2. 规则：BR-655d336affc535d0
3. 未动态验证</x:v>
      </x:c>
    </x:row>
    <x:row r="128" ht="85" customHeight="1">
      <x:c r="A128" s="10" t="n">
        <x:v>127</x:v>
      </x:c>
      <x:c r="B128" s="10" t="str">
        <x:v>ADMIN-04-0019</x:v>
      </x:c>
      <x:c r="C128" s="10" t="str">
        <x:v>举报处理</x:v>
      </x:c>
      <x:c r="D128" s="10" t="str">
        <x:v>直播间违规</x:v>
      </x:c>
      <x:c r="E128" s="10" t="str">
        <x:v>功能需求</x:v>
      </x:c>
      <x:c r="F128" s="10" t="str">
        <x:v>P1</x:v>
      </x:c>
      <x:c r="G128" s="9" t="str">
        <x:v>验证直播结束后查询举报</x:v>
      </x:c>
      <x:c r="H128" s="9" t="str">
        <x:v>举报关联场次状态</x:v>
      </x:c>
      <x:c r="I128" s="9" t="str">
        <x:v>1. 平台管理员账号可用
2. 举报关联场次已结束</x:v>
      </x:c>
      <x:c r="J128" s="9" t="str">
        <x:v>1. 打开直播间违规</x:v>
      </x:c>
      <x:c r="K128" s="9" t="str">
        <x:v>直播状态显示已结束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来源（当前证据）：liveshow-proto/MainBasis/统一需求文档.md；位置：第2703行、第2707行 REQ-023ad4e2285f
2. 规则：BR-0ff24897a4fc9ad7
3. 未动态验证</x:v>
      </x:c>
    </x:row>
    <x:row r="129" ht="85" customHeight="1">
      <x:c r="A129" s="10" t="n">
        <x:v>128</x:v>
      </x:c>
      <x:c r="B129" s="10" t="str">
        <x:v>ADMIN-04-0020</x:v>
      </x:c>
      <x:c r="C129" s="10" t="str">
        <x:v>举报处理</x:v>
      </x:c>
      <x:c r="D129" s="10" t="str">
        <x:v>直播间违规</x:v>
      </x:c>
      <x:c r="E129" s="10" t="str">
        <x:v>功能需求</x:v>
      </x:c>
      <x:c r="F129" s="10" t="str">
        <x:v>P1</x:v>
      </x:c>
      <x:c r="G129" s="9" t="str">
        <x:v>验证举报提交与处理日不同</x:v>
      </x:c>
      <x:c r="H129" s="9" t="str">
        <x:v>举报提交时间归属</x:v>
      </x:c>
      <x:c r="I129" s="9" t="str">
        <x:v>1. 平台管理员账号可用
2. 举报9月1日提交、9月2日处理</x:v>
      </x:c>
      <x:c r="J129" s="9" t="str">
        <x:v>1. 打开直播间违规</x:v>
      </x:c>
      <x:c r="K129" s="9" t="str">
        <x:v>提交时间显示9月1日对应的提交时刻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来源（当前证据）：liveshow-proto/MainBasis/统一需求文档.md；位置：第2703行、第2709行 REQ-a893b2deecb9
2. 规则：BR-b98abd6781bf2e6f
3. 未动态验证</x:v>
      </x:c>
    </x:row>
    <x:row r="130" ht="100" customHeight="1">
      <x:c r="A130" s="10" t="n">
        <x:v>129</x:v>
      </x:c>
      <x:c r="B130" s="10" t="str">
        <x:v>ADMIN-04-0021</x:v>
      </x:c>
      <x:c r="C130" s="10" t="str">
        <x:v>举报处理</x:v>
      </x:c>
      <x:c r="D130" s="10" t="str">
        <x:v>违规类型编辑</x:v>
      </x:c>
      <x:c r="E130" s="10" t="str">
        <x:v>功能需求</x:v>
      </x:c>
      <x:c r="F130" s="10" t="str">
        <x:v>P1</x:v>
      </x:c>
      <x:c r="G130" s="9" t="str">
        <x:v>验证中文类型名缺失</x:v>
      </x:c>
      <x:c r="H130" s="9" t="str">
        <x:v>四语名称必填</x:v>
      </x:c>
      <x:c r="I130" s="9" t="str">
        <x:v>1. 平台管理员账号可用
2. 其他语言名称及排序有效</x:v>
      </x:c>
      <x:c r="J130" s="9" t="str">
        <x:v>1. 打开违规类型编辑
2. 清空中文名称
3. 点击保存</x:v>
      </x:c>
      <x:c r="K130" s="9" t="str">
        <x:v>缺少中文名称时不能保存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来源（当前证据）：liveshow-proto/MainBasis/统一需求文档.md；位置：第2737行、第2740行 REQ-fbad1e81adb3、第2744行 REQ-27a9d32696ea
2. 规则：BR-7e25f1f4aa23992d
3. 未动态验证</x:v>
      </x:c>
    </x:row>
    <x:row r="131" ht="100" customHeight="1">
      <x:c r="A131" s="10" t="n">
        <x:v>130</x:v>
      </x:c>
      <x:c r="B131" s="10" t="str">
        <x:v>ADMIN-04-0022</x:v>
      </x:c>
      <x:c r="C131" s="10" t="str">
        <x:v>举报处理</x:v>
      </x:c>
      <x:c r="D131" s="10" t="str">
        <x:v>违规类型编辑</x:v>
      </x:c>
      <x:c r="E131" s="10" t="str">
        <x:v>功能需求</x:v>
      </x:c>
      <x:c r="F131" s="10" t="str">
        <x:v>P1</x:v>
      </x:c>
      <x:c r="G131" s="9" t="str">
        <x:v>验证英语类型名缺失</x:v>
      </x:c>
      <x:c r="H131" s="9" t="str">
        <x:v>四语名称必填</x:v>
      </x:c>
      <x:c r="I131" s="9" t="str">
        <x:v>1. 平台管理员账号可用
2. 其他语言名称及排序有效</x:v>
      </x:c>
      <x:c r="J131" s="9" t="str">
        <x:v>1. 打开违规类型编辑
2. 清空英语名称
3. 点击保存</x:v>
      </x:c>
      <x:c r="K131" s="9" t="str">
        <x:v>缺少英语名称时不能保存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来源（当前证据）：liveshow-proto/MainBasis/统一需求文档.md；位置：第2737行、第2740行 REQ-fbad1e81adb3、第2744行 REQ-27a9d32696ea
2. 规则：BR-76f10a308a9398d7
3. 未动态验证</x:v>
      </x:c>
    </x:row>
    <x:row r="132" ht="100" customHeight="1">
      <x:c r="A132" s="10" t="n">
        <x:v>131</x:v>
      </x:c>
      <x:c r="B132" s="10" t="str">
        <x:v>ADMIN-04-0023</x:v>
      </x:c>
      <x:c r="C132" s="10" t="str">
        <x:v>举报处理</x:v>
      </x:c>
      <x:c r="D132" s="10" t="str">
        <x:v>违规类型编辑</x:v>
      </x:c>
      <x:c r="E132" s="10" t="str">
        <x:v>功能需求</x:v>
      </x:c>
      <x:c r="F132" s="10" t="str">
        <x:v>P1</x:v>
      </x:c>
      <x:c r="G132" s="9" t="str">
        <x:v>验证印尼语类型名缺失</x:v>
      </x:c>
      <x:c r="H132" s="9" t="str">
        <x:v>四语名称必填</x:v>
      </x:c>
      <x:c r="I132" s="9" t="str">
        <x:v>1. 平台管理员账号可用
2. 其他语言名称及排序有效</x:v>
      </x:c>
      <x:c r="J132" s="9" t="str">
        <x:v>1. 打开违规类型编辑
2. 清空印尼语名称
3. 点击保存</x:v>
      </x:c>
      <x:c r="K132" s="9" t="str">
        <x:v>缺少印尼语名称时不能保存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来源（当前证据）：liveshow-proto/MainBasis/统一需求文档.md；位置：第2737行、第2740行 REQ-fbad1e81adb3、第2744行 REQ-27a9d32696ea
2. 规则：BR-d6a75f58c295c00a
3. 未动态验证</x:v>
      </x:c>
    </x:row>
    <x:row r="133" ht="100" customHeight="1">
      <x:c r="A133" s="10" t="n">
        <x:v>132</x:v>
      </x:c>
      <x:c r="B133" s="10" t="str">
        <x:v>ADMIN-04-0024</x:v>
      </x:c>
      <x:c r="C133" s="10" t="str">
        <x:v>举报处理</x:v>
      </x:c>
      <x:c r="D133" s="10" t="str">
        <x:v>违规类型编辑</x:v>
      </x:c>
      <x:c r="E133" s="10" t="str">
        <x:v>功能需求</x:v>
      </x:c>
      <x:c r="F133" s="10" t="str">
        <x:v>P1</x:v>
      </x:c>
      <x:c r="G133" s="9" t="str">
        <x:v>验证马来语类型名缺失</x:v>
      </x:c>
      <x:c r="H133" s="9" t="str">
        <x:v>四语名称必填</x:v>
      </x:c>
      <x:c r="I133" s="9" t="str">
        <x:v>1. 平台管理员账号可用
2. 其他语言名称及排序有效</x:v>
      </x:c>
      <x:c r="J133" s="9" t="str">
        <x:v>1. 打开违规类型编辑
2. 清空马来语名称
3. 点击保存</x:v>
      </x:c>
      <x:c r="K133" s="9" t="str">
        <x:v>缺少马来语名称时不能保存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来源（当前证据）：liveshow-proto/MainBasis/统一需求文档.md；位置：第2737行、第2740行 REQ-fbad1e81adb3、第2744行 REQ-27a9d32696ea
2. 规则：BR-55bc72e2089d50fa
3. 未动态验证</x:v>
      </x:c>
    </x:row>
    <x:row r="134" ht="145" customHeight="1">
      <x:c r="A134" s="10" t="n">
        <x:v>133</x:v>
      </x:c>
      <x:c r="B134" s="10" t="str">
        <x:v>ADMIN-04-0025</x:v>
      </x:c>
      <x:c r="C134" s="10" t="str">
        <x:v>举报处理</x:v>
      </x:c>
      <x:c r="D134" s="10" t="str">
        <x:v>违规类型编辑</x:v>
      </x:c>
      <x:c r="E134" s="10" t="str">
        <x:v>功能需求</x:v>
      </x:c>
      <x:c r="F134" s="10" t="str">
        <x:v>P1</x:v>
      </x:c>
      <x:c r="G134" s="9" t="str">
        <x:v>验证同语言类型名重复</x:v>
      </x:c>
      <x:c r="H134" s="9" t="str">
        <x:v>违规名称唯一性</x:v>
      </x:c>
      <x:c r="I134" s="9" t="str">
        <x:v>1. 平台管理员账号可用
2. 已有同一语言名称，其他字段有效</x:v>
      </x:c>
      <x:c r="J134" s="9" t="str">
        <x:v>1. 打开违规类型编辑
2. 输入该语言名称为已有类型名
3. 点击保存</x:v>
      </x:c>
      <x:c r="K134" s="9" t="str">
        <x:v>同语言重复名称不能保存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规则：BR-0958b29e83d75605
3. 未动态验证</x:v>
      </x:c>
    </x:row>
    <x:row r="135" ht="145" customHeight="1">
      <x:c r="A135" s="10" t="n">
        <x:v>134</x:v>
      </x:c>
      <x:c r="B135" s="10" t="str">
        <x:v>ADMIN-04-0026</x:v>
      </x:c>
      <x:c r="C135" s="10" t="str">
        <x:v>举报处理</x:v>
      </x:c>
      <x:c r="D135" s="10" t="str">
        <x:v>违规类型编辑</x:v>
      </x:c>
      <x:c r="E135" s="10" t="str">
        <x:v>功能需求</x:v>
      </x:c>
      <x:c r="F135" s="10" t="str">
        <x:v>P1</x:v>
      </x:c>
      <x:c r="G135" s="9" t="str">
        <x:v>验证排序为0</x:v>
      </x:c>
      <x:c r="H135" s="9" t="str">
        <x:v>违规排序正数限制</x:v>
      </x:c>
      <x:c r="I135" s="9" t="str">
        <x:v>1. 平台管理员账号可用
2. 名称均有效</x:v>
      </x:c>
      <x:c r="J135" s="9" t="str">
        <x:v>1. 打开违规类型编辑
2. 输入排序为0
3. 点击保存</x:v>
      </x:c>
      <x:c r="K135" s="9" t="str">
        <x:v>排序0不能保存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规则：BR-531317484a8de473
3. 未动态验证</x:v>
      </x:c>
    </x:row>
    <x:row r="136" ht="145" customHeight="1">
      <x:c r="A136" s="10" t="n">
        <x:v>135</x:v>
      </x:c>
      <x:c r="B136" s="10" t="str">
        <x:v>ADMIN-04-0027</x:v>
      </x:c>
      <x:c r="C136" s="10" t="str">
        <x:v>举报处理</x:v>
      </x:c>
      <x:c r="D136" s="10" t="str">
        <x:v>违规类型编辑</x:v>
      </x:c>
      <x:c r="E136" s="10" t="str">
        <x:v>功能需求</x:v>
      </x:c>
      <x:c r="F136" s="10" t="str">
        <x:v>P1</x:v>
      </x:c>
      <x:c r="G136" s="9" t="str">
        <x:v>验证排序为小数</x:v>
      </x:c>
      <x:c r="H136" s="9" t="str">
        <x:v>违规排序整数限制</x:v>
      </x:c>
      <x:c r="I136" s="9" t="str">
        <x:v>1. 平台管理员账号可用
2. 名称均有效</x:v>
      </x:c>
      <x:c r="J136" s="9" t="str">
        <x:v>1. 打开违规类型编辑
2. 输入排序为1,5
3. 点击保存</x:v>
      </x:c>
      <x:c r="K136" s="9" t="str">
        <x:v>非整数排序不能保存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规则：BR-e29359e1fae657df
3. 未动态验证</x:v>
      </x:c>
    </x:row>
    <x:row r="137" ht="145" customHeight="1">
      <x:c r="A137" s="10" t="n">
        <x:v>136</x:v>
      </x:c>
      <x:c r="B137" s="10" t="str">
        <x:v>ADMIN-04-0028</x:v>
      </x:c>
      <x:c r="C137" s="10" t="str">
        <x:v>举报处理</x:v>
      </x:c>
      <x:c r="D137" s="10" t="str">
        <x:v>违规类型编辑</x:v>
      </x:c>
      <x:c r="E137" s="10" t="str">
        <x:v>功能需求</x:v>
      </x:c>
      <x:c r="F137" s="10" t="str">
        <x:v>P1</x:v>
      </x:c>
      <x:c r="G137" s="9" t="str">
        <x:v>验证编辑类型ID</x:v>
      </x:c>
      <x:c r="H137" s="9" t="str">
        <x:v>类型ID只读</x:v>
      </x:c>
      <x:c r="I137" s="9" t="str">
        <x:v>1. 平台管理员账号可用
2. 当前为已创建自定义类型</x:v>
      </x:c>
      <x:c r="J137" s="9" t="str">
        <x:v>1. 打开违规类型编辑</x:v>
      </x:c>
      <x:c r="K137" s="9" t="str">
        <x:v>类型ID不可编辑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规则：BR-09fb64dad7a7b117
3. 未动态验证</x:v>
      </x:c>
    </x:row>
    <x:row r="138" ht="145" customHeight="1">
      <x:c r="A138" s="10" t="n">
        <x:v>137</x:v>
      </x:c>
      <x:c r="B138" s="10" t="str">
        <x:v>ADMIN-04-0029</x:v>
      </x:c>
      <x:c r="C138" s="10" t="str">
        <x:v>举报处理</x:v>
      </x:c>
      <x:c r="D138" s="10" t="str">
        <x:v>违规类型编辑</x:v>
      </x:c>
      <x:c r="E138" s="10" t="str">
        <x:v>功能需求</x:v>
      </x:c>
      <x:c r="F138" s="10" t="str">
        <x:v>P1</x:v>
      </x:c>
      <x:c r="G138" s="9" t="str">
        <x:v>验证创建后类型属性固定</x:v>
      </x:c>
      <x:c r="H138" s="9" t="str">
        <x:v>类型属性不可切换</x:v>
      </x:c>
      <x:c r="I138" s="9" t="str">
        <x:v>1. 平台管理员账号可用
2. 当前为已创建自定义类型</x:v>
      </x:c>
      <x:c r="J138" s="9" t="str">
        <x:v>1. 打开违规类型编辑</x:v>
      </x:c>
      <x:c r="K138" s="9" t="str">
        <x:v>不能切换为系统预置类型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规则：BR-3592fc26a34111d3
3. 未动态验证</x:v>
      </x:c>
    </x:row>
    <x:row r="139" ht="145" customHeight="1">
      <x:c r="A139" s="10" t="n">
        <x:v>138</x:v>
      </x:c>
      <x:c r="B139" s="10" t="str">
        <x:v>ADMIN-04-0030</x:v>
      </x:c>
      <x:c r="C139" s="10" t="str">
        <x:v>举报处理</x:v>
      </x:c>
      <x:c r="D139" s="10" t="str">
        <x:v>违规类型编辑</x:v>
      </x:c>
      <x:c r="E139" s="10" t="str">
        <x:v>功能需求</x:v>
      </x:c>
      <x:c r="F139" s="10" t="str">
        <x:v>P1</x:v>
      </x:c>
      <x:c r="G139" s="9" t="str">
        <x:v>验证保存有效类型</x:v>
      </x:c>
      <x:c r="H139" s="9" t="str">
        <x:v>违规类型保存</x:v>
      </x:c>
      <x:c r="I139" s="9" t="str">
        <x:v>1. 平台管理员账号可用
2. 四语名称未被占用，排序为1</x:v>
      </x:c>
      <x:c r="J139" s="9" t="str">
        <x:v>1. 打开违规类型编辑
2. 填写四语名称
3. 输入排序为1
4. 点击保存</x:v>
      </x:c>
      <x:c r="K139" s="9" t="str">
        <x:v>新类型出现在违规类型列表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规则：BR-a9cebcc826d6b7aa
3. 未动态验证</x:v>
      </x:c>
    </x:row>
    <x:row r="140" ht="130" customHeight="1">
      <x:c r="A140" s="10" t="n">
        <x:v>139</x:v>
      </x:c>
      <x:c r="B140" s="10" t="str">
        <x:v>ADMIN-04-0031</x:v>
      </x:c>
      <x:c r="C140" s="10" t="str">
        <x:v>举报处理</x:v>
      </x:c>
      <x:c r="D140" s="10" t="str">
        <x:v>违规类型</x:v>
      </x:c>
      <x:c r="E140" s="10" t="str">
        <x:v>功能需求</x:v>
      </x:c>
      <x:c r="F140" s="10" t="str">
        <x:v>P1</x:v>
      </x:c>
      <x:c r="G140" s="9" t="str">
        <x:v>验证系统预置类型不可删除</x:v>
      </x:c>
      <x:c r="H140" s="9" t="str">
        <x:v>预置类型删除限制</x:v>
      </x:c>
      <x:c r="I140" s="9" t="str">
        <x:v>1. 平台管理员账号可用
2. 目标类型为系统预置</x:v>
      </x:c>
      <x:c r="J140" s="9" t="str">
        <x:v>1. 打开违规类型</x:v>
      </x:c>
      <x:c r="K140" s="9" t="str">
        <x:v>系统预置类型无可执行删除操作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规则：BR-30cfa279b2e556bc
3. 未动态验证</x:v>
      </x:c>
    </x:row>
    <x:row r="141" ht="130" customHeight="1">
      <x:c r="A141" s="10" t="n">
        <x:v>140</x:v>
      </x:c>
      <x:c r="B141" s="10" t="str">
        <x:v>ADMIN-04-0032</x:v>
      </x:c>
      <x:c r="C141" s="10" t="str">
        <x:v>举报处理</x:v>
      </x:c>
      <x:c r="D141" s="10" t="str">
        <x:v>违规类型</x:v>
      </x:c>
      <x:c r="E141" s="10" t="str">
        <x:v>功能需求</x:v>
      </x:c>
      <x:c r="F141" s="10" t="str">
        <x:v>P1</x:v>
      </x:c>
      <x:c r="G141" s="9" t="str">
        <x:v>验证系统预置保持启用</x:v>
      </x:c>
      <x:c r="H141" s="9" t="str">
        <x:v>预置类型状态限制</x:v>
      </x:c>
      <x:c r="I141" s="9" t="str">
        <x:v>1. 平台管理员账号可用
2. 目标类型为系统预置</x:v>
      </x:c>
      <x:c r="J141" s="9" t="str">
        <x:v>1. 打开违规类型</x:v>
      </x:c>
      <x:c r="K141" s="9" t="str">
        <x:v>系统预置类型固定启用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规则：BR-6aff1cc10bb790ad
3. 未动态验证</x:v>
      </x:c>
    </x:row>
    <x:row r="142" ht="130" customHeight="1">
      <x:c r="A142" s="10" t="n">
        <x:v>141</x:v>
      </x:c>
      <x:c r="B142" s="10" t="str">
        <x:v>ADMIN-04-0033</x:v>
      </x:c>
      <x:c r="C142" s="10" t="str">
        <x:v>举报处理</x:v>
      </x:c>
      <x:c r="D142" s="10" t="str">
        <x:v>违规类型</x:v>
      </x:c>
      <x:c r="E142" s="10" t="str">
        <x:v>功能需求</x:v>
      </x:c>
      <x:c r="F142" s="10" t="str">
        <x:v>P1</x:v>
      </x:c>
      <x:c r="G142" s="9" t="str">
        <x:v>验证停用自定义类型</x:v>
      </x:c>
      <x:c r="H142" s="9" t="str">
        <x:v>自定义类型停用</x:v>
      </x:c>
      <x:c r="I142" s="9" t="str">
        <x:v>1. 平台管理员账号可用
2. 目标类型为已启用自定义类型</x:v>
      </x:c>
      <x:c r="J142" s="9" t="str">
        <x:v>1. 打开违规类型
2. 点击停用
3. 确认停用</x:v>
      </x:c>
      <x:c r="K142" s="9" t="str">
        <x:v>类型状态显示停用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规则：BR-b3f5d226289f5585
3. 未动态验证</x:v>
      </x:c>
    </x:row>
    <x:row r="143" ht="130" customHeight="1">
      <x:c r="A143" s="10" t="n">
        <x:v>142</x:v>
      </x:c>
      <x:c r="B143" s="10" t="str">
        <x:v>ADMIN-04-0034</x:v>
      </x:c>
      <x:c r="C143" s="10" t="str">
        <x:v>举报处理</x:v>
      </x:c>
      <x:c r="D143" s="10" t="str">
        <x:v>违规类型</x:v>
      </x:c>
      <x:c r="E143" s="10" t="str">
        <x:v>功能需求</x:v>
      </x:c>
      <x:c r="F143" s="10" t="str">
        <x:v>P1</x:v>
      </x:c>
      <x:c r="G143" s="9" t="str">
        <x:v>验证删除自定义类型</x:v>
      </x:c>
      <x:c r="H143" s="9" t="str">
        <x:v>自定义类型删除</x:v>
      </x:c>
      <x:c r="I143" s="9" t="str">
        <x:v>1. 平台管理员账号可用
2. 目标类型为自定义类型</x:v>
      </x:c>
      <x:c r="J143" s="9" t="str">
        <x:v>1. 打开违规类型
2. 点击删除
3. 确认删除</x:v>
      </x:c>
      <x:c r="K143" s="9" t="str">
        <x:v>列表不再展示该自定义类型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规则：BR-b90dfeb37fc4f889
3. 未动态验证</x:v>
      </x:c>
    </x:row>
    <x:row r="144" ht="130" customHeight="1">
      <x:c r="A144" s="10" t="n">
        <x:v>143</x:v>
      </x:c>
      <x:c r="B144" s="10" t="str">
        <x:v>ADMIN-04-0035</x:v>
      </x:c>
      <x:c r="C144" s="10" t="str">
        <x:v>举报处理</x:v>
      </x:c>
      <x:c r="D144" s="10" t="str">
        <x:v>违规类型</x:v>
      </x:c>
      <x:c r="E144" s="10" t="str">
        <x:v>功能需求</x:v>
      </x:c>
      <x:c r="F144" s="10" t="str">
        <x:v>P1</x:v>
      </x:c>
      <x:c r="G144" s="9" t="str">
        <x:v>验证取消删除自定义类型</x:v>
      </x:c>
      <x:c r="H144" s="9" t="str">
        <x:v>类型删除取消</x:v>
      </x:c>
      <x:c r="I144" s="9" t="str">
        <x:v>1. 平台管理员账号可用
2. 目标类型为自定义类型</x:v>
      </x:c>
      <x:c r="J144" s="9" t="str">
        <x:v>1. 打开违规类型
2. 点击删除
3. 取消确认弹窗</x:v>
      </x:c>
      <x:c r="K144" s="9" t="str">
        <x:v>列表仍保留该自定义类型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规则：BR-40c33cc25e751e63
3. 未动态验证</x:v>
      </x:c>
    </x:row>
    <x:row r="145" ht="130" customHeight="1">
      <x:c r="A145" s="10" t="n">
        <x:v>144</x:v>
      </x:c>
      <x:c r="B145" s="10" t="str">
        <x:v>ADMIN-04-0036</x:v>
      </x:c>
      <x:c r="C145" s="10" t="str">
        <x:v>举报处理</x:v>
      </x:c>
      <x:c r="D145" s="10" t="str">
        <x:v>违规类型</x:v>
      </x:c>
      <x:c r="E145" s="10" t="str">
        <x:v>功能需求</x:v>
      </x:c>
      <x:c r="F145" s="10" t="str">
        <x:v>P1</x:v>
      </x:c>
      <x:c r="G145" s="9" t="str">
        <x:v>验证类型排序数字较小在前</x:v>
      </x:c>
      <x:c r="H145" s="9" t="str">
        <x:v>违规类型排序方向</x:v>
      </x:c>
      <x:c r="I145" s="9" t="str">
        <x:v>1. 平台管理员账号可用
2. 两个类型排序值分别1与2</x:v>
      </x:c>
      <x:c r="J145" s="9" t="str">
        <x:v>1. 打开违规类型</x:v>
      </x:c>
      <x:c r="K145" s="9" t="str">
        <x:v>排序1的类型在排序2之前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规则：BR-431ebf8422f29c9b
3. 未动态验证</x:v>
      </x:c>
    </x:row>
    <x:row r="146" ht="85" customHeight="1">
      <x:c r="A146" s="10" t="n">
        <x:v>145</x:v>
      </x:c>
      <x:c r="B146" s="10" t="str">
        <x:v>ADMIN-04-0037</x:v>
      </x:c>
      <x:c r="C146" s="10" t="str">
        <x:v>举报处理</x:v>
      </x:c>
      <x:c r="D146" s="10" t="str">
        <x:v>违规类型</x:v>
      </x:c>
      <x:c r="E146" s="10" t="str">
        <x:v>功能需求</x:v>
      </x:c>
      <x:c r="F146" s="10" t="str">
        <x:v>P1</x:v>
      </x:c>
      <x:c r="G146" s="9" t="str">
        <x:v>验证两种违规类型编号</x:v>
      </x:c>
      <x:c r="H146" s="9" t="str">
        <x:v>违规类型ID唯一性</x:v>
      </x:c>
      <x:c r="I146" s="9" t="str">
        <x:v>1. 平台管理员账号可用
2. 已创建两种违规类型</x:v>
      </x:c>
      <x:c r="J146" s="9" t="str">
        <x:v>1. 打开违规类型</x:v>
      </x:c>
      <x:c r="K146" s="9" t="str">
        <x:v>两种类型ID不同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来源（当前证据）：liveshow-proto/MainBasis/统一需求文档.md；位置：第2726行、第2728行 REQ-adc7433c0f2b
2. 规则：BR-efae38d0e8173f47
3. 未动态验证</x:v>
      </x:c>
    </x:row>
    <x:row r="147" ht="85" customHeight="1">
      <x:c r="A147" s="10" t="n">
        <x:v>146</x:v>
      </x:c>
      <x:c r="B147" s="10" t="str">
        <x:v>ADMIN-04-0038</x:v>
      </x:c>
      <x:c r="C147" s="10" t="str">
        <x:v>举报处理</x:v>
      </x:c>
      <x:c r="D147" s="10" t="str">
        <x:v>违规类型</x:v>
      </x:c>
      <x:c r="E147" s="10" t="str">
        <x:v>功能需求</x:v>
      </x:c>
      <x:c r="F147" s="10" t="str">
        <x:v>P1</x:v>
      </x:c>
      <x:c r="G147" s="9" t="str">
        <x:v>验证中文后台类型名称</x:v>
      </x:c>
      <x:c r="H147" s="9" t="str">
        <x:v>违规类型显示语言</x:v>
      </x:c>
      <x:c r="I147" s="9" t="str">
        <x:v>1. 平台管理员账号可用
2. 同一类型四语名称不同且均已配置</x:v>
      </x:c>
      <x:c r="J147" s="9" t="str">
        <x:v>1. 打开违规类型</x:v>
      </x:c>
      <x:c r="K147" s="9" t="str">
        <x:v>列表显示该类型中文名称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来源（当前证据）：liveshow-proto/MainBasis/统一需求文档.md；位置：第2726行、第2730行 REQ-de91d123b531
2. 规则：BR-f42c49d4fa01eb69
3. 未动态验证</x:v>
      </x:c>
    </x:row>
    <x:row r="148" ht="160" customHeight="1">
      <x:c r="A148" s="10" t="n">
        <x:v>147</x:v>
      </x:c>
      <x:c r="B148" s="10" t="str">
        <x:v>ADMIN-05-0001</x:v>
      </x:c>
      <x:c r="C148" s="10" t="str">
        <x:v>公会管理</x:v>
      </x:c>
      <x:c r="D148" s="10" t="str">
        <x:v>公会详情</x:v>
      </x:c>
      <x:c r="E148" s="10" t="str">
        <x:v>功能需求</x:v>
      </x:c>
      <x:c r="F148" s="10" t="str">
        <x:v>P1</x:v>
      </x:c>
      <x:c r="G148" s="9" t="str">
        <x:v>验证公会ID创建后只读</x:v>
      </x:c>
      <x:c r="H148" s="9" t="str">
        <x:v>公会ID不可修改</x:v>
      </x:c>
      <x:c r="I148" s="9" t="str">
        <x:v>1. 平台管理员账号可用
2. 已有公会</x:v>
      </x:c>
      <x:c r="J148" s="9" t="str">
        <x:v>1. 打开公会详情</x:v>
      </x:c>
      <x:c r="K148" s="9" t="str">
        <x:v>公会ID不可编辑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规则：BR-3f0d84a3e7538549
3. 未动态验证</x:v>
      </x:c>
    </x:row>
    <x:row r="149" ht="160" customHeight="1">
      <x:c r="A149" s="10" t="n">
        <x:v>148</x:v>
      </x:c>
      <x:c r="B149" s="10" t="str">
        <x:v>ADMIN-05-0002</x:v>
      </x:c>
      <x:c r="C149" s="10" t="str">
        <x:v>公会管理</x:v>
      </x:c>
      <x:c r="D149" s="10" t="str">
        <x:v>公会详情</x:v>
      </x:c>
      <x:c r="E149" s="10" t="str">
        <x:v>功能需求</x:v>
      </x:c>
      <x:c r="F149" s="10" t="str">
        <x:v>P1</x:v>
      </x:c>
      <x:c r="G149" s="9" t="str">
        <x:v>验证公会名称缺失</x:v>
      </x:c>
      <x:c r="H149" s="9" t="str">
        <x:v>新建公会名称必填</x:v>
      </x:c>
      <x:c r="I149" s="9" t="str">
        <x:v>1. 平台管理员账号可用
2. 当前新建公会且其他必填字段有效</x:v>
      </x:c>
      <x:c r="J149" s="9" t="str">
        <x:v>1. 打开公会详情
2. 清空公会名称
3. 点击保存</x:v>
      </x:c>
      <x:c r="K149" s="9" t="str">
        <x:v>空名称公会不能保存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规则：BR-abe43ad157e56423
3. 未动态验证</x:v>
      </x:c>
    </x:row>
    <x:row r="150" ht="160" customHeight="1">
      <x:c r="A150" s="10" t="n">
        <x:v>149</x:v>
      </x:c>
      <x:c r="B150" s="10" t="str">
        <x:v>ADMIN-05-0003</x:v>
      </x:c>
      <x:c r="C150" s="10" t="str">
        <x:v>公会管理</x:v>
      </x:c>
      <x:c r="D150" s="10" t="str">
        <x:v>公会详情</x:v>
      </x:c>
      <x:c r="E150" s="10" t="str">
        <x:v>功能需求</x:v>
      </x:c>
      <x:c r="F150" s="10" t="str">
        <x:v>P1</x:v>
      </x:c>
      <x:c r="G150" s="9" t="str">
        <x:v>验证公会Logo缺失</x:v>
      </x:c>
      <x:c r="H150" s="9" t="str">
        <x:v>新建公会Logo必填</x:v>
      </x:c>
      <x:c r="I150" s="9" t="str">
        <x:v>1. 平台管理员账号可用
2. 当前新建公会且其他必填字段有效</x:v>
      </x:c>
      <x:c r="J150" s="9" t="str">
        <x:v>1. 打开公会详情
2. 删除公会Logo
3. 点击保存</x:v>
      </x:c>
      <x:c r="K150" s="9" t="str">
        <x:v>没有Logo的公会不能保存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规则：BR-a241aa70342ce0db
3. 未动态验证</x:v>
      </x:c>
    </x:row>
    <x:row r="151" ht="160" customHeight="1">
      <x:c r="A151" s="10" t="n">
        <x:v>150</x:v>
      </x:c>
      <x:c r="B151" s="10" t="str">
        <x:v>ADMIN-05-0004</x:v>
      </x:c>
      <x:c r="C151" s="10" t="str">
        <x:v>公会管理</x:v>
      </x:c>
      <x:c r="D151" s="10" t="str">
        <x:v>公会详情</x:v>
      </x:c>
      <x:c r="E151" s="10" t="str">
        <x:v>功能需求</x:v>
      </x:c>
      <x:c r="F151" s="10" t="str">
        <x:v>P1</x:v>
      </x:c>
      <x:c r="G151" s="9" t="str">
        <x:v>验证管理账号重复</x:v>
      </x:c>
      <x:c r="H151" s="9" t="str">
        <x:v>公会管理账号唯一性</x:v>
      </x:c>
      <x:c r="I151" s="9" t="str">
        <x:v>1. 平台管理员账号可用
2. 另一公会已使用该管理登录账号</x:v>
      </x:c>
      <x:c r="J151" s="9" t="str">
        <x:v>1. 打开公会详情
2. 输入管理账号为已使用的账号
3. 点击保存</x:v>
      </x:c>
      <x:c r="K151" s="9" t="str">
        <x:v>重复管理账号不能保存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规则：BR-d08c590e67c45f42
3. 未动态验证</x:v>
      </x:c>
    </x:row>
    <x:row r="152" ht="160" customHeight="1">
      <x:c r="A152" s="10" t="n">
        <x:v>151</x:v>
      </x:c>
      <x:c r="B152" s="10" t="str">
        <x:v>ADMIN-05-0005</x:v>
      </x:c>
      <x:c r="C152" s="10" t="str">
        <x:v>公会管理</x:v>
      </x:c>
      <x:c r="D152" s="10" t="str">
        <x:v>公会详情</x:v>
      </x:c>
      <x:c r="E152" s="10" t="str">
        <x:v>功能需求</x:v>
      </x:c>
      <x:c r="F152" s="10" t="str">
        <x:v>P1</x:v>
      </x:c>
      <x:c r="G152" s="9" t="str">
        <x:v>验证新建密码缺失</x:v>
      </x:c>
      <x:c r="H152" s="9" t="str">
        <x:v>公会初始密码必填</x:v>
      </x:c>
      <x:c r="I152" s="9" t="str">
        <x:v>1. 平台管理员账号可用
2. 当前新建公会且其他必填字段有效</x:v>
      </x:c>
      <x:c r="J152" s="9" t="str">
        <x:v>1. 打开公会详情
2. 清空初始密码
3. 点击保存</x:v>
      </x:c>
      <x:c r="K152" s="9" t="str">
        <x:v>未提供初始密码不能保存新公会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规则：BR-c2d0f54e0bdc0ab6
3. 未动态验证</x:v>
      </x:c>
    </x:row>
    <x:row r="153" ht="160" customHeight="1">
      <x:c r="A153" s="10" t="n">
        <x:v>152</x:v>
      </x:c>
      <x:c r="B153" s="10" t="str">
        <x:v>ADMIN-05-0006</x:v>
      </x:c>
      <x:c r="C153" s="10" t="str">
        <x:v>公会管理</x:v>
      </x:c>
      <x:c r="D153" s="10" t="str">
        <x:v>公会详情</x:v>
      </x:c>
      <x:c r="E153" s="10" t="str">
        <x:v>功能需求</x:v>
      </x:c>
      <x:c r="F153" s="10" t="str">
        <x:v>P1</x:v>
      </x:c>
      <x:c r="G153" s="9" t="str">
        <x:v>验证公会详情主播范围</x:v>
      </x:c>
      <x:c r="H153" s="9" t="str">
        <x:v>公会详情关系隔离</x:v>
      </x:c>
      <x:c r="I153" s="9" t="str">
        <x:v>1. 平台管理员账号可用
2. 平台有本会和其他公会主播</x:v>
      </x:c>
      <x:c r="J153" s="9" t="str">
        <x:v>1. 打开公会详情
2. 切换主播列表</x:v>
      </x:c>
      <x:c r="K153" s="9" t="str">
        <x:v>仅显示本会主播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规则：BR-b33b82c30ec27842
3. 未动态验证</x:v>
      </x:c>
    </x:row>
    <x:row r="154" ht="160" customHeight="1">
      <x:c r="A154" s="10" t="n">
        <x:v>153</x:v>
      </x:c>
      <x:c r="B154" s="10" t="str">
        <x:v>ADMIN-05-0007</x:v>
      </x:c>
      <x:c r="C154" s="10" t="str">
        <x:v>公会管理</x:v>
      </x:c>
      <x:c r="D154" s="10" t="str">
        <x:v>公会详情</x:v>
      </x:c>
      <x:c r="E154" s="10" t="str">
        <x:v>功能需求</x:v>
      </x:c>
      <x:c r="F154" s="10" t="str">
        <x:v>P1</x:v>
      </x:c>
      <x:c r="G154" s="9" t="str">
        <x:v>验证停用公会长账号</x:v>
      </x:c>
      <x:c r="H154" s="9" t="str">
        <x:v>管理账号状态保存</x:v>
      </x:c>
      <x:c r="I154" s="9" t="str">
        <x:v>1. 平台管理员账号可用
2. 公会和管理账号均启用</x:v>
      </x:c>
      <x:c r="J154" s="9" t="str">
        <x:v>1. 打开公会详情
2. 禁用公会长账号状态开关
3. 确认停用</x:v>
      </x:c>
      <x:c r="K154" s="9" t="str">
        <x:v>公会长账号状态显示停用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规则：BR-b73bb8282f937e05
3. 未动态验证</x:v>
      </x:c>
    </x:row>
    <x:row r="155" ht="160" customHeight="1">
      <x:c r="A155" s="10" t="n">
        <x:v>154</x:v>
      </x:c>
      <x:c r="B155" s="10" t="str">
        <x:v>ADMIN-05-0008</x:v>
      </x:c>
      <x:c r="C155" s="10" t="str">
        <x:v>公会管理</x:v>
      </x:c>
      <x:c r="D155" s="10" t="str">
        <x:v>公会详情</x:v>
      </x:c>
      <x:c r="E155" s="10" t="str">
        <x:v>功能需求</x:v>
      </x:c>
      <x:c r="F155" s="10" t="str">
        <x:v>P1</x:v>
      </x:c>
      <x:c r="G155" s="9" t="str">
        <x:v>验证重置密码保留账号</x:v>
      </x:c>
      <x:c r="H155" s="9" t="str">
        <x:v>管理账号标识保持</x:v>
      </x:c>
      <x:c r="I155" s="9" t="str">
        <x:v>1. 平台管理员账号可用
2. 已知当前管理登录账号</x:v>
      </x:c>
      <x:c r="J155" s="9" t="str">
        <x:v>1. 打开公会详情
2. 点击重置密码
3. 输入新密码
4. 确认重置</x:v>
      </x:c>
      <x:c r="K155" s="9" t="str">
        <x:v>管理登录账号保持原值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规则：BR-c1c31b3b6e657189
3. 未动态验证</x:v>
      </x:c>
    </x:row>
    <x:row r="156" ht="85" customHeight="1">
      <x:c r="A156" s="10" t="n">
        <x:v>155</x:v>
      </x:c>
      <x:c r="B156" s="10" t="str">
        <x:v>ADMIN-05-0009</x:v>
      </x:c>
      <x:c r="C156" s="10" t="str">
        <x:v>公会管理</x:v>
      </x:c>
      <x:c r="D156" s="10" t="str">
        <x:v>公会详情</x:v>
      </x:c>
      <x:c r="E156" s="10" t="str">
        <x:v>逻辑校验</x:v>
      </x:c>
      <x:c r="F156" s="10" t="str">
        <x:v>P1</x:v>
      </x:c>
      <x:c r="G156" s="9" t="str">
        <x:v>验证累计收益数值核算</x:v>
      </x:c>
      <x:c r="H156" s="9" t="str">
        <x:v>累计收益计算口径</x:v>
      </x:c>
      <x:c r="I156" s="9" t="str">
        <x:v>1. 平台管理员账号可用
2. 本会两名主播收益100及200金币，其他公会主播500</x:v>
      </x:c>
      <x:c r="J156" s="9" t="str">
        <x:v>1. 打开公会详情</x:v>
      </x:c>
      <x:c r="K156" s="9" t="str">
        <x:v>累计收益计算结果=300金币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来源（当前证据）：liveshow-proto/MainBasis/统一需求文档.md；位置：第2759行、第2767行 REQ-a7d89bf6f91b
2. 规则：BR-5e01f1a758db3660
3. 未动态验证</x:v>
      </x:c>
    </x:row>
    <x:row r="157" ht="145" customHeight="1">
      <x:c r="A157" s="10" t="n">
        <x:v>156</x:v>
      </x:c>
      <x:c r="B157" s="10" t="str">
        <x:v>ADMIN-05-0010</x:v>
      </x:c>
      <x:c r="C157" s="10" t="str">
        <x:v>公会管理</x:v>
      </x:c>
      <x:c r="D157" s="10" t="str">
        <x:v>公会列表</x:v>
      </x:c>
      <x:c r="E157" s="10" t="str">
        <x:v>功能需求</x:v>
      </x:c>
      <x:c r="F157" s="10" t="str">
        <x:v>P1</x:v>
      </x:c>
      <x:c r="G157" s="9" t="str">
        <x:v>验证公会人数按有效关系统计</x:v>
      </x:c>
      <x:c r="H157" s="9" t="str">
        <x:v>在会主播人数</x:v>
      </x:c>
      <x:c r="I157" s="9" t="str">
        <x:v>1. 平台管理员账号可用
2. 当前公会有2名在会主播、1名已退会主播</x:v>
      </x:c>
      <x:c r="J157" s="9" t="str">
        <x:v>1. 打开公会列表</x:v>
      </x:c>
      <x:c r="K157" s="9" t="str">
        <x:v>主播人数显示2人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规则：BR-1600ed7cdce8023b
3. 未动态验证</x:v>
      </x:c>
    </x:row>
    <x:row r="158" ht="145" customHeight="1">
      <x:c r="A158" s="10" t="n">
        <x:v>157</x:v>
      </x:c>
      <x:c r="B158" s="10" t="str">
        <x:v>ADMIN-05-0011</x:v>
      </x:c>
      <x:c r="C158" s="10" t="str">
        <x:v>公会管理</x:v>
      </x:c>
      <x:c r="D158" s="10" t="str">
        <x:v>公会列表</x:v>
      </x:c>
      <x:c r="E158" s="10" t="str">
        <x:v>功能需求</x:v>
      </x:c>
      <x:c r="F158" s="10" t="str">
        <x:v>P1</x:v>
      </x:c>
      <x:c r="G158" s="9" t="str">
        <x:v>验证平台停用公会</x:v>
      </x:c>
      <x:c r="H158" s="9" t="str">
        <x:v>公会停用终态</x:v>
      </x:c>
      <x:c r="I158" s="9" t="str">
        <x:v>1. 平台管理员账号可用
2. 公会当前启用</x:v>
      </x:c>
      <x:c r="J158" s="9" t="str">
        <x:v>1. 打开公会列表
2. 点击停用公会
3. 确认停用</x:v>
      </x:c>
      <x:c r="K158" s="9" t="str">
        <x:v>公会状态显示停用</x:v>
      </x:c>
      <x:c r="L158" s="10" t="str">
        <x:v>FLOW-GUILD</x:v>
      </x:c>
      <x:c r="M158" s="10" t="str">
        <x:v>未测</x:v>
      </x:c>
      <x:c r="N158" s="10" t="str"/>
      <x:c r="O158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规则：BR-03c80d23c2803aac
3. 未动态验证</x:v>
      </x:c>
    </x:row>
    <x:row r="159" ht="145" customHeight="1">
      <x:c r="A159" s="10" t="n">
        <x:v>158</x:v>
      </x:c>
      <x:c r="B159" s="10" t="str">
        <x:v>ADMIN-05-0012</x:v>
      </x:c>
      <x:c r="C159" s="10" t="str">
        <x:v>公会管理</x:v>
      </x:c>
      <x:c r="D159" s="10" t="str">
        <x:v>公会列表</x:v>
      </x:c>
      <x:c r="E159" s="10" t="str">
        <x:v>功能需求</x:v>
      </x:c>
      <x:c r="F159" s="10" t="str">
        <x:v>P1</x:v>
      </x:c>
      <x:c r="G159" s="9" t="str">
        <x:v>验证未结收益阻止解散</x:v>
      </x:c>
      <x:c r="H159" s="9" t="str">
        <x:v>公会解散资金条件</x:v>
      </x:c>
      <x:c r="I159" s="9" t="str">
        <x:v>1. 平台管理员账号可用
2. 公会旗下主播存在未结收益</x:v>
      </x:c>
      <x:c r="J159" s="9" t="str">
        <x:v>1. 打开公会列表
2. 点击解散公会
3. 确认解散</x:v>
      </x:c>
      <x:c r="K159" s="9" t="str">
        <x:v>该公会不能解散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规则：BR-ef53258c351ca076
3. 未动态验证</x:v>
      </x:c>
    </x:row>
    <x:row r="160" ht="145" customHeight="1">
      <x:c r="A160" s="10" t="n">
        <x:v>159</x:v>
      </x:c>
      <x:c r="B160" s="10" t="str">
        <x:v>ADMIN-05-0013</x:v>
      </x:c>
      <x:c r="C160" s="10" t="str">
        <x:v>公会管理</x:v>
      </x:c>
      <x:c r="D160" s="10" t="str">
        <x:v>公会列表</x:v>
      </x:c>
      <x:c r="E160" s="10" t="str">
        <x:v>功能需求</x:v>
      </x:c>
      <x:c r="F160" s="10" t="str">
        <x:v>P1</x:v>
      </x:c>
      <x:c r="G160" s="9" t="str">
        <x:v>验证收益结清后解散</x:v>
      </x:c>
      <x:c r="H160" s="9" t="str">
        <x:v>公会解散状态</x:v>
      </x:c>
      <x:c r="I160" s="9" t="str">
        <x:v>1. 平台管理员账号可用
2. 全部主播收益已结清</x:v>
      </x:c>
      <x:c r="J160" s="9" t="str">
        <x:v>1. 打开公会列表
2. 点击解散公会
3. 确认解散</x:v>
      </x:c>
      <x:c r="K160" s="9" t="str">
        <x:v>公会状态显示已解散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规则：BR-deaa9a4d0c355aef
3. 未动态验证</x:v>
      </x:c>
    </x:row>
    <x:row r="161" ht="145" customHeight="1">
      <x:c r="A161" s="10" t="n">
        <x:v>160</x:v>
      </x:c>
      <x:c r="B161" s="10" t="str">
        <x:v>ADMIN-05-0014</x:v>
      </x:c>
      <x:c r="C161" s="10" t="str">
        <x:v>公会管理</x:v>
      </x:c>
      <x:c r="D161" s="10" t="str">
        <x:v>公会列表</x:v>
      </x:c>
      <x:c r="E161" s="10" t="str">
        <x:v>功能需求</x:v>
      </x:c>
      <x:c r="F161" s="10" t="str">
        <x:v>P1</x:v>
      </x:c>
      <x:c r="G161" s="9" t="str">
        <x:v>验证取消解散公会</x:v>
      </x:c>
      <x:c r="H161" s="9" t="str">
        <x:v>解散取消状态</x:v>
      </x:c>
      <x:c r="I161" s="9" t="str">
        <x:v>1. 平台管理员账号可用
2. 公会启用且全部收益结清</x:v>
      </x:c>
      <x:c r="J161" s="9" t="str">
        <x:v>1. 打开公会列表
2. 点击解散公会
3. 取消确认弹窗</x:v>
      </x:c>
      <x:c r="K161" s="9" t="str">
        <x:v>公会保持原启用状态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规则：BR-198b0f006722e8d3
3. 未动态验证</x:v>
      </x:c>
    </x:row>
    <x:row r="162" ht="145" customHeight="1">
      <x:c r="A162" s="10" t="n">
        <x:v>161</x:v>
      </x:c>
      <x:c r="B162" s="10" t="str">
        <x:v>ADMIN-05-0015</x:v>
      </x:c>
      <x:c r="C162" s="10" t="str">
        <x:v>公会管理</x:v>
      </x:c>
      <x:c r="D162" s="10" t="str">
        <x:v>公会列表</x:v>
      </x:c>
      <x:c r="E162" s="10" t="str">
        <x:v>功能需求</x:v>
      </x:c>
      <x:c r="F162" s="10" t="str">
        <x:v>P1</x:v>
      </x:c>
      <x:c r="G162" s="9" t="str">
        <x:v>验证解散公会终态</x:v>
      </x:c>
      <x:c r="H162" s="9" t="str">
        <x:v>解散后启用限制</x:v>
      </x:c>
      <x:c r="I162" s="9" t="str">
        <x:v>1. 平台管理员账号可用
2. 公会已解散</x:v>
      </x:c>
      <x:c r="J162" s="9" t="str">
        <x:v>1. 打开公会列表</x:v>
      </x:c>
      <x:c r="K162" s="9" t="str">
        <x:v>已解散公会不能重新启用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规则：BR-f3c2eb78c10245a9
3. 未动态验证</x:v>
      </x:c>
    </x:row>
    <x:row r="163" ht="145" customHeight="1">
      <x:c r="A163" s="10" t="n">
        <x:v>162</x:v>
      </x:c>
      <x:c r="B163" s="10" t="str">
        <x:v>ADMIN-05-0016</x:v>
      </x:c>
      <x:c r="C163" s="10" t="str">
        <x:v>公会管理</x:v>
      </x:c>
      <x:c r="D163" s="10" t="str">
        <x:v>公会列表</x:v>
      </x:c>
      <x:c r="E163" s="10" t="str">
        <x:v>功能需求</x:v>
      </x:c>
      <x:c r="F163" s="10" t="str">
        <x:v>P1</x:v>
      </x:c>
      <x:c r="G163" s="9" t="str">
        <x:v>验证公会长账号独立停用</x:v>
      </x:c>
      <x:c r="H163" s="9" t="str">
        <x:v>公会状态独立</x:v>
      </x:c>
      <x:c r="I163" s="9" t="str">
        <x:v>1. 平台管理员账号可用
2. 仅公会长账号已停用，公会未被停用</x:v>
      </x:c>
      <x:c r="J163" s="9" t="str">
        <x:v>1. 打开公会列表
2. 刷新公会列表</x:v>
      </x:c>
      <x:c r="K163" s="9" t="str">
        <x:v>公会状态仍为启用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规则：BR-3980cf19ed97428e
3. 未动态验证</x:v>
      </x:c>
    </x:row>
    <x:row r="164" ht="85" customHeight="1">
      <x:c r="A164" s="10" t="n">
        <x:v>163</x:v>
      </x:c>
      <x:c r="B164" s="10" t="str">
        <x:v>ADMIN-05-0017</x:v>
      </x:c>
      <x:c r="C164" s="10" t="str">
        <x:v>公会管理</x:v>
      </x:c>
      <x:c r="D164" s="10" t="str">
        <x:v>公会列表</x:v>
      </x:c>
      <x:c r="E164" s="10" t="str">
        <x:v>功能需求</x:v>
      </x:c>
      <x:c r="F164" s="10" t="str">
        <x:v>P1</x:v>
      </x:c>
      <x:c r="G164" s="9" t="str">
        <x:v>验证后台日期时间显示</x:v>
      </x:c>
      <x:c r="H164" s="9" t="str">
        <x:v>后台日期格式</x:v>
      </x:c>
      <x:c r="I164" s="9" t="str">
        <x:v>1. 平台管理员账号可用
2. 一个公会记录时间为2026年9月5日14点03分</x:v>
      </x:c>
      <x:c r="J164" s="9" t="str">
        <x:v>1. 打开公会列表</x:v>
      </x:c>
      <x:c r="K164" s="9" t="str">
        <x:v>日期时间显示5/9/2026 14.03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来源（当前证据）：liveshow-proto/MainBasis/统一需求文档.md；位置：第2747行、第2507行 COMMON-admin-date-format
2. 规则：BR-095400d088ff6478
3. 未动态验证</x:v>
      </x:c>
    </x:row>
    <x:row r="165" ht="85" customHeight="1">
      <x:c r="A165" s="10" t="n">
        <x:v>164</x:v>
      </x:c>
      <x:c r="B165" s="10" t="str">
        <x:v>ADMIN-05-0018</x:v>
      </x:c>
      <x:c r="C165" s="10" t="str">
        <x:v>公会管理</x:v>
      </x:c>
      <x:c r="D165" s="10" t="str">
        <x:v>公会列表</x:v>
      </x:c>
      <x:c r="E165" s="10" t="str">
        <x:v>功能需求</x:v>
      </x:c>
      <x:c r="F165" s="10" t="str">
        <x:v>P1</x:v>
      </x:c>
      <x:c r="G165" s="9" t="str">
        <x:v>验证公会身份核对</x:v>
      </x:c>
      <x:c r="H165" s="9" t="str">
        <x:v>公会标识归属</x:v>
      </x:c>
      <x:c r="I165" s="9" t="str">
        <x:v>1. 平台管理员账号可用
2. 已知两家公会真实ID、名称与Logo</x:v>
      </x:c>
      <x:c r="J165" s="9" t="str">
        <x:v>1. 打开公会列表</x:v>
      </x:c>
      <x:c r="K165" s="9" t="str">
        <x:v>每行ID、名称、Logo对应同一公会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来源（当前证据）：liveshow-proto/MainBasis/统一需求文档.md；位置：第2747行、第2749行 REQ-233ac94a1aae
2. 规则：BR-bde7e52455bc30d1
3. 未动态验证</x:v>
      </x:c>
    </x:row>
    <x:row r="166" ht="85" customHeight="1">
      <x:c r="A166" s="10" t="n">
        <x:v>165</x:v>
      </x:c>
      <x:c r="B166" s="10" t="str">
        <x:v>ADMIN-05-0019</x:v>
      </x:c>
      <x:c r="C166" s="10" t="str">
        <x:v>公会管理</x:v>
      </x:c>
      <x:c r="D166" s="10" t="str">
        <x:v>公会列表</x:v>
      </x:c>
      <x:c r="E166" s="10" t="str">
        <x:v>功能需求</x:v>
      </x:c>
      <x:c r="F166" s="10" t="str">
        <x:v>P1</x:v>
      </x:c>
      <x:c r="G166" s="9" t="str">
        <x:v>验证公会长账号区分昵称</x:v>
      </x:c>
      <x:c r="H166" s="9" t="str">
        <x:v>公会长账号归属</x:v>
      </x:c>
      <x:c r="I166" s="9" t="str">
        <x:v>1. 平台管理员账号可用
2. 目标公会长昵称与登录账号不同</x:v>
      </x:c>
      <x:c r="J166" s="9" t="str">
        <x:v>1. 打开公会列表</x:v>
      </x:c>
      <x:c r="K166" s="9" t="str">
        <x:v>公会长列保留该昵称对应的真实管理账号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来源（当前证据）：liveshow-proto/MainBasis/统一需求文档.md；位置：第2747行、第2750行 REQ-869d538c363d
2. 规则：BR-e02c47738d83b1d0
3. 未动态验证</x:v>
      </x:c>
    </x:row>
    <x:row r="167" ht="115" customHeight="1">
      <x:c r="A167" s="10" t="n">
        <x:v>166</x:v>
      </x:c>
      <x:c r="B167" s="10" t="str">
        <x:v>ADMIN-06-0001</x:v>
      </x:c>
      <x:c r="C167" s="10" t="str">
        <x:v>礼物道具</x:v>
      </x:c>
      <x:c r="D167" s="10" t="str">
        <x:v>定制礼物</x:v>
      </x:c>
      <x:c r="E167" s="10" t="str">
        <x:v>功能需求</x:v>
      </x:c>
      <x:c r="F167" s="10" t="str">
        <x:v>P1</x:v>
      </x:c>
      <x:c r="G167" s="9" t="str">
        <x:v>验证定制礼物尚未生效</x:v>
      </x:c>
      <x:c r="H167" s="9" t="str">
        <x:v>未生效排期状态</x:v>
      </x:c>
      <x:c r="I167" s="9" t="str">
        <x:v>1. 平台管理员账号可用
2. 当前时间早于目标礼物生效时间</x:v>
      </x:c>
      <x:c r="J167" s="9" t="str">
        <x:v>1. 打开定制礼物</x:v>
      </x:c>
      <x:c r="K167" s="9" t="str">
        <x:v>礼物显示未生效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来源（当前证据）：liveshow-proto/MainBasis/统一需求文档.md；位置：第2799行、第2802行 REQ-8195acc4e3f3、第2803行 REQ-b51fad04bcba、第2804行 REQ-562867635933、第2805行 REQ-f76e2fa7c445
2. 规则：BR-32c537b4b571403e
3. 未动态验证</x:v>
      </x:c>
    </x:row>
    <x:row r="168" ht="115" customHeight="1">
      <x:c r="A168" s="10" t="n">
        <x:v>167</x:v>
      </x:c>
      <x:c r="B168" s="10" t="str">
        <x:v>ADMIN-06-0002</x:v>
      </x:c>
      <x:c r="C168" s="10" t="str">
        <x:v>礼物道具</x:v>
      </x:c>
      <x:c r="D168" s="10" t="str">
        <x:v>定制礼物</x:v>
      </x:c>
      <x:c r="E168" s="10" t="str">
        <x:v>功能需求</x:v>
      </x:c>
      <x:c r="F168" s="10" t="str">
        <x:v>P1</x:v>
      </x:c>
      <x:c r="G168" s="9" t="str">
        <x:v>验证定制礼物到达生效点</x:v>
      </x:c>
      <x:c r="H168" s="9" t="str">
        <x:v>自动上架时间边界</x:v>
      </x:c>
      <x:c r="I168" s="9" t="str">
        <x:v>1. 平台管理员账号可用
2. 当前时间已到达配置生效时间，尚未到失效时间且未提前下架</x:v>
      </x:c>
      <x:c r="J168" s="9" t="str">
        <x:v>1. 打开定制礼物
2. 刷新定制礼物列表</x:v>
      </x:c>
      <x:c r="K168" s="9" t="str">
        <x:v>礼物状态显示上架中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来源（当前证据）：liveshow-proto/MainBasis/统一需求文档.md；位置：第2799行、第2802行 REQ-8195acc4e3f3、第2803行 REQ-b51fad04bcba、第2804行 REQ-562867635933、第2805行 REQ-f76e2fa7c445
2. 规则：BR-41b7a7e3549d1c18
3. 未动态验证</x:v>
      </x:c>
    </x:row>
    <x:row r="169" ht="115" customHeight="1">
      <x:c r="A169" s="10" t="n">
        <x:v>168</x:v>
      </x:c>
      <x:c r="B169" s="10" t="str">
        <x:v>ADMIN-06-0003</x:v>
      </x:c>
      <x:c r="C169" s="10" t="str">
        <x:v>礼物道具</x:v>
      </x:c>
      <x:c r="D169" s="10" t="str">
        <x:v>定制礼物</x:v>
      </x:c>
      <x:c r="E169" s="10" t="str">
        <x:v>功能需求</x:v>
      </x:c>
      <x:c r="F169" s="10" t="str">
        <x:v>P1</x:v>
      </x:c>
      <x:c r="G169" s="9" t="str">
        <x:v>验证定制礼物到达失效点</x:v>
      </x:c>
      <x:c r="H169" s="9" t="str">
        <x:v>自动下架时间边界</x:v>
      </x:c>
      <x:c r="I169" s="9" t="str">
        <x:v>1. 平台管理员账号可用
2. 当前时间已到达配置失效时间</x:v>
      </x:c>
      <x:c r="J169" s="9" t="str">
        <x:v>1. 打开定制礼物
2. 刷新定制礼物列表</x:v>
      </x:c>
      <x:c r="K169" s="9" t="str">
        <x:v>礼物状态显示已下架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来源（当前证据）：liveshow-proto/MainBasis/统一需求文档.md；位置：第2799行、第2802行 REQ-8195acc4e3f3、第2803行 REQ-b51fad04bcba、第2804行 REQ-562867635933、第2805行 REQ-f76e2fa7c445
2. 规则：BR-2e6bfeaafca5138b
3. 未动态验证</x:v>
      </x:c>
    </x:row>
    <x:row r="170" ht="115" customHeight="1">
      <x:c r="A170" s="10" t="n">
        <x:v>169</x:v>
      </x:c>
      <x:c r="B170" s="10" t="str">
        <x:v>ADMIN-06-0004</x:v>
      </x:c>
      <x:c r="C170" s="10" t="str">
        <x:v>礼物道具</x:v>
      </x:c>
      <x:c r="D170" s="10" t="str">
        <x:v>定制礼物</x:v>
      </x:c>
      <x:c r="E170" s="10" t="str">
        <x:v>功能需求</x:v>
      </x:c>
      <x:c r="F170" s="10" t="str">
        <x:v>P1</x:v>
      </x:c>
      <x:c r="G170" s="9" t="str">
        <x:v>验证定制礼物提前下架</x:v>
      </x:c>
      <x:c r="H170" s="9" t="str">
        <x:v>人工优先于排期</x:v>
      </x:c>
      <x:c r="I170" s="9" t="str">
        <x:v>1. 平台管理员账号可用
2. 当前仍在投放有效期且礼物上架</x:v>
      </x:c>
      <x:c r="J170" s="9" t="str">
        <x:v>1. 打开定制礼物
2. 点击提前下架
3. 确认下架</x:v>
      </x:c>
      <x:c r="K170" s="9" t="str">
        <x:v>礼物显示已下架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来源（当前证据）：liveshow-proto/MainBasis/统一需求文档.md；位置：第2799行、第2802行 REQ-8195acc4e3f3、第2803行 REQ-b51fad04bcba、第2804行 REQ-562867635933、第2805行 REQ-f76e2fa7c445
2. 规则：BR-859f75c7114a21d4
3. 未动态验证</x:v>
      </x:c>
    </x:row>
    <x:row r="171" ht="115" customHeight="1">
      <x:c r="A171" s="10" t="n">
        <x:v>170</x:v>
      </x:c>
      <x:c r="B171" s="10" t="str">
        <x:v>ADMIN-06-0005</x:v>
      </x:c>
      <x:c r="C171" s="10" t="str">
        <x:v>礼物道具</x:v>
      </x:c>
      <x:c r="D171" s="10" t="str">
        <x:v>定制礼物</x:v>
      </x:c>
      <x:c r="E171" s="10" t="str">
        <x:v>功能需求</x:v>
      </x:c>
      <x:c r="F171" s="10" t="str">
        <x:v>P1</x:v>
      </x:c>
      <x:c r="G171" s="9" t="str">
        <x:v>验证编辑定制礼物</x:v>
      </x:c>
      <x:c r="H171" s="9" t="str">
        <x:v>定制编辑入口</x:v>
      </x:c>
      <x:c r="I171" s="9" t="str">
        <x:v>1. 平台管理员账号可用
2. 列表有定制礼物</x:v>
      </x:c>
      <x:c r="J171" s="9" t="str">
        <x:v>1. 打开定制礼物
2. 点击编辑</x:v>
      </x:c>
      <x:c r="K171" s="9" t="str">
        <x:v>进入该礼物详情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来源（当前证据）：liveshow-proto/MainBasis/统一需求文档.md；位置：第2799行、第2802行 REQ-8195acc4e3f3、第2803行 REQ-b51fad04bcba、第2804行 REQ-562867635933、第2805行 REQ-f76e2fa7c445
2. 规则：BR-04dcf7b3b0159b09
3. 未动态验证</x:v>
      </x:c>
    </x:row>
    <x:row r="172" ht="100" customHeight="1">
      <x:c r="A172" s="10" t="n">
        <x:v>171</x:v>
      </x:c>
      <x:c r="B172" s="10" t="str">
        <x:v>ADMIN-06-0006</x:v>
      </x:c>
      <x:c r="C172" s="10" t="str">
        <x:v>礼物道具</x:v>
      </x:c>
      <x:c r="D172" s="10" t="str">
        <x:v>礼物详情</x:v>
      </x:c>
      <x:c r="E172" s="10" t="str">
        <x:v>异常用例</x:v>
      </x:c>
      <x:c r="F172" s="10" t="str">
        <x:v>P1</x:v>
      </x:c>
      <x:c r="G172" s="9" t="str">
        <x:v>验证单价输入-1</x:v>
      </x:c>
      <x:c r="H172" s="9" t="str">
        <x:v>单价数值边界</x:v>
      </x:c>
      <x:c r="I172" s="9" t="str">
        <x:v>1. 平台管理员账号可用
2. 当前编辑表单的其他必填字段有效</x:v>
      </x:c>
      <x:c r="J172" s="9" t="str">
        <x:v>1. 打开礼物详情
2. 输入单价为-1
3. 点击保存</x:v>
      </x:c>
      <x:c r="K172" s="9" t="str">
        <x:v>单价为-1时不能保存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来源（当前证据）：liveshow-proto/MainBasis/统一需求文档.md；位置：第2786行、第2791行 REQ-f8be2dc459e3、第2796行 REQ-4b0c27781a7e
2. 规则：BR-1b00c1ebce656d74
3. 未动态验证</x:v>
      </x:c>
    </x:row>
    <x:row r="173" ht="100" customHeight="1">
      <x:c r="A173" s="10" t="n">
        <x:v>172</x:v>
      </x:c>
      <x:c r="B173" s="10" t="str">
        <x:v>ADMIN-06-0007</x:v>
      </x:c>
      <x:c r="C173" s="10" t="str">
        <x:v>礼物道具</x:v>
      </x:c>
      <x:c r="D173" s="10" t="str">
        <x:v>礼物详情</x:v>
      </x:c>
      <x:c r="E173" s="10" t="str">
        <x:v>异常用例</x:v>
      </x:c>
      <x:c r="F173" s="10" t="str">
        <x:v>P1</x:v>
      </x:c>
      <x:c r="G173" s="9" t="str">
        <x:v>验证单价输入0</x:v>
      </x:c>
      <x:c r="H173" s="9" t="str">
        <x:v>单价数值边界</x:v>
      </x:c>
      <x:c r="I173" s="9" t="str">
        <x:v>1. 平台管理员账号可用
2. 当前编辑表单的其他必填字段有效</x:v>
      </x:c>
      <x:c r="J173" s="9" t="str">
        <x:v>1. 打开礼物详情
2. 输入单价为0
3. 点击保存</x:v>
      </x:c>
      <x:c r="K173" s="9" t="str">
        <x:v>单价为0时不能保存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来源（当前证据）：liveshow-proto/MainBasis/统一需求文档.md；位置：第2786行、第2791行 REQ-f8be2dc459e3、第2796行 REQ-4b0c27781a7e
2. 规则：BR-5c2a51e8e2e90362
3. 未动态验证</x:v>
      </x:c>
    </x:row>
    <x:row r="174" ht="100" customHeight="1">
      <x:c r="A174" s="10" t="n">
        <x:v>173</x:v>
      </x:c>
      <x:c r="B174" s="10" t="str">
        <x:v>ADMIN-06-0008</x:v>
      </x:c>
      <x:c r="C174" s="10" t="str">
        <x:v>礼物道具</x:v>
      </x:c>
      <x:c r="D174" s="10" t="str">
        <x:v>礼物详情</x:v>
      </x:c>
      <x:c r="E174" s="10" t="str">
        <x:v>异常用例</x:v>
      </x:c>
      <x:c r="F174" s="10" t="str">
        <x:v>P1</x:v>
      </x:c>
      <x:c r="G174" s="9" t="str">
        <x:v>验证单价输入1,5</x:v>
      </x:c>
      <x:c r="H174" s="9" t="str">
        <x:v>单价数值边界</x:v>
      </x:c>
      <x:c r="I174" s="9" t="str">
        <x:v>1. 平台管理员账号可用
2. 当前编辑表单的其他必填字段有效</x:v>
      </x:c>
      <x:c r="J174" s="9" t="str">
        <x:v>1. 打开礼物详情
2. 输入单价为1,5
3. 点击保存</x:v>
      </x:c>
      <x:c r="K174" s="9" t="str">
        <x:v>单价为1,5时不能保存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来源（当前证据）：liveshow-proto/MainBasis/统一需求文档.md；位置：第2786行、第2791行 REQ-f8be2dc459e3、第2796行 REQ-4b0c27781a7e
2. 规则：BR-0242d7c612d4f3e7
3. 未动态验证</x:v>
      </x:c>
    </x:row>
    <x:row r="175" ht="100" customHeight="1">
      <x:c r="A175" s="10" t="n">
        <x:v>174</x:v>
      </x:c>
      <x:c r="B175" s="10" t="str">
        <x:v>ADMIN-06-0009</x:v>
      </x:c>
      <x:c r="C175" s="10" t="str">
        <x:v>礼物道具</x:v>
      </x:c>
      <x:c r="D175" s="10" t="str">
        <x:v>礼物详情</x:v>
      </x:c>
      <x:c r="E175" s="10" t="str">
        <x:v>逻辑校验</x:v>
      </x:c>
      <x:c r="F175" s="10" t="str">
        <x:v>P1</x:v>
      </x:c>
      <x:c r="G175" s="9" t="str">
        <x:v>验证单价输入1</x:v>
      </x:c>
      <x:c r="H175" s="9" t="str">
        <x:v>单价数值边界</x:v>
      </x:c>
      <x:c r="I175" s="9" t="str">
        <x:v>1. 平台管理员账号可用
2. 当前编辑表单的其他必填字段有效</x:v>
      </x:c>
      <x:c r="J175" s="9" t="str">
        <x:v>1. 打开礼物详情
2. 输入单价为1
3. 点击保存</x:v>
      </x:c>
      <x:c r="K175" s="9" t="str">
        <x:v>单价为1时通过数值校验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来源（当前证据）：liveshow-proto/MainBasis/统一需求文档.md；位置：第2786行、第2791行 REQ-f8be2dc459e3、第2796行 REQ-4b0c27781a7e
2. 规则：BR-f2759e9bc5fd88ed
3. 未动态验证</x:v>
      </x:c>
    </x:row>
    <x:row r="176" ht="100" customHeight="1">
      <x:c r="A176" s="10" t="n">
        <x:v>175</x:v>
      </x:c>
      <x:c r="B176" s="10" t="str">
        <x:v>ADMIN-06-0010</x:v>
      </x:c>
      <x:c r="C176" s="10" t="str">
        <x:v>礼物道具</x:v>
      </x:c>
      <x:c r="D176" s="10" t="str">
        <x:v>礼物详情</x:v>
      </x:c>
      <x:c r="E176" s="10" t="str">
        <x:v>功能需求</x:v>
      </x:c>
      <x:c r="F176" s="10" t="str">
        <x:v>P1</x:v>
      </x:c>
      <x:c r="G176" s="9" t="str">
        <x:v>验证中文名称缺失</x:v>
      </x:c>
      <x:c r="H176" s="9" t="str">
        <x:v>中文名称必填</x:v>
      </x:c>
      <x:c r="I176" s="9" t="str">
        <x:v>1. 平台管理员账号可用
2. 其他必填字段和其他语言均有效</x:v>
      </x:c>
      <x:c r="J176" s="9" t="str">
        <x:v>1. 打开礼物详情
2. 清空中文名称
3. 点击保存</x:v>
      </x:c>
      <x:c r="K176" s="9" t="str">
        <x:v>缺少中文名称不能保存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来源（当前证据）：liveshow-proto/MainBasis/统一需求文档.md；位置：第2786行、第2789行 REQ-8da0d37a183a、第2796行 REQ-4b0c27781a7e
2. 规则：BR-56933b2a80d24238
3. 未动态验证</x:v>
      </x:c>
    </x:row>
    <x:row r="177" ht="100" customHeight="1">
      <x:c r="A177" s="10" t="n">
        <x:v>176</x:v>
      </x:c>
      <x:c r="B177" s="10" t="str">
        <x:v>ADMIN-06-0011</x:v>
      </x:c>
      <x:c r="C177" s="10" t="str">
        <x:v>礼物道具</x:v>
      </x:c>
      <x:c r="D177" s="10" t="str">
        <x:v>礼物详情</x:v>
      </x:c>
      <x:c r="E177" s="10" t="str">
        <x:v>功能需求</x:v>
      </x:c>
      <x:c r="F177" s="10" t="str">
        <x:v>P1</x:v>
      </x:c>
      <x:c r="G177" s="9" t="str">
        <x:v>验证英语名称缺失</x:v>
      </x:c>
      <x:c r="H177" s="9" t="str">
        <x:v>英语名称必填</x:v>
      </x:c>
      <x:c r="I177" s="9" t="str">
        <x:v>1. 平台管理员账号可用
2. 其他必填字段和其他语言均有效</x:v>
      </x:c>
      <x:c r="J177" s="9" t="str">
        <x:v>1. 打开礼物详情
2. 清空英语名称
3. 点击保存</x:v>
      </x:c>
      <x:c r="K177" s="9" t="str">
        <x:v>缺少英语名称不能保存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来源（当前证据）：liveshow-proto/MainBasis/统一需求文档.md；位置：第2786行、第2789行 REQ-8da0d37a183a、第2796行 REQ-4b0c27781a7e
2. 规则：BR-70e770017808915e
3. 未动态验证</x:v>
      </x:c>
    </x:row>
    <x:row r="178" ht="100" customHeight="1">
      <x:c r="A178" s="10" t="n">
        <x:v>177</x:v>
      </x:c>
      <x:c r="B178" s="10" t="str">
        <x:v>ADMIN-06-0012</x:v>
      </x:c>
      <x:c r="C178" s="10" t="str">
        <x:v>礼物道具</x:v>
      </x:c>
      <x:c r="D178" s="10" t="str">
        <x:v>礼物详情</x:v>
      </x:c>
      <x:c r="E178" s="10" t="str">
        <x:v>功能需求</x:v>
      </x:c>
      <x:c r="F178" s="10" t="str">
        <x:v>P1</x:v>
      </x:c>
      <x:c r="G178" s="9" t="str">
        <x:v>验证印尼语名称缺失</x:v>
      </x:c>
      <x:c r="H178" s="9" t="str">
        <x:v>印尼语名称必填</x:v>
      </x:c>
      <x:c r="I178" s="9" t="str">
        <x:v>1. 平台管理员账号可用
2. 其他必填字段和其他语言均有效</x:v>
      </x:c>
      <x:c r="J178" s="9" t="str">
        <x:v>1. 打开礼物详情
2. 清空印尼语名称
3. 点击保存</x:v>
      </x:c>
      <x:c r="K178" s="9" t="str">
        <x:v>缺少印尼语名称不能保存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来源（当前证据）：liveshow-proto/MainBasis/统一需求文档.md；位置：第2786行、第2789行 REQ-8da0d37a183a、第2796行 REQ-4b0c27781a7e
2. 规则：BR-5c51dea76ffcaacf
3. 未动态验证</x:v>
      </x:c>
    </x:row>
    <x:row r="179" ht="100" customHeight="1">
      <x:c r="A179" s="10" t="n">
        <x:v>178</x:v>
      </x:c>
      <x:c r="B179" s="10" t="str">
        <x:v>ADMIN-06-0013</x:v>
      </x:c>
      <x:c r="C179" s="10" t="str">
        <x:v>礼物道具</x:v>
      </x:c>
      <x:c r="D179" s="10" t="str">
        <x:v>礼物详情</x:v>
      </x:c>
      <x:c r="E179" s="10" t="str">
        <x:v>功能需求</x:v>
      </x:c>
      <x:c r="F179" s="10" t="str">
        <x:v>P1</x:v>
      </x:c>
      <x:c r="G179" s="9" t="str">
        <x:v>验证马来语名称缺失</x:v>
      </x:c>
      <x:c r="H179" s="9" t="str">
        <x:v>马来语名称必填</x:v>
      </x:c>
      <x:c r="I179" s="9" t="str">
        <x:v>1. 平台管理员账号可用
2. 其他必填字段和其他语言均有效</x:v>
      </x:c>
      <x:c r="J179" s="9" t="str">
        <x:v>1. 打开礼物详情
2. 清空马来语名称
3. 点击保存</x:v>
      </x:c>
      <x:c r="K179" s="9" t="str">
        <x:v>缺少马来语名称不能保存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来源（当前证据）：liveshow-proto/MainBasis/统一需求文档.md；位置：第2786行、第2789行 REQ-8da0d37a183a、第2796行 REQ-4b0c27781a7e
2. 规则：BR-5685e6b841c87a40
3. 未动态验证</x:v>
      </x:c>
    </x:row>
    <x:row r="180" ht="145" customHeight="1">
      <x:c r="A180" s="10" t="n">
        <x:v>179</x:v>
      </x:c>
      <x:c r="B180" s="10" t="str">
        <x:v>ADMIN-06-0014</x:v>
      </x:c>
      <x:c r="C180" s="10" t="str">
        <x:v>礼物道具</x:v>
      </x:c>
      <x:c r="D180" s="10" t="str">
        <x:v>礼物详情</x:v>
      </x:c>
      <x:c r="E180" s="10" t="str">
        <x:v>功能需求</x:v>
      </x:c>
      <x:c r="F180" s="10" t="str">
        <x:v>P1</x:v>
      </x:c>
      <x:c r="G180" s="9" t="str">
        <x:v>验证编辑礼物ID只读</x:v>
      </x:c>
      <x:c r="H180" s="9" t="str">
        <x:v>礼物ID不可修改</x:v>
      </x:c>
      <x:c r="I180" s="9" t="str">
        <x:v>1. 平台管理员账号可用
2. 目标礼物已创建</x:v>
      </x:c>
      <x:c r="J180" s="9" t="str">
        <x:v>1. 打开礼物详情</x:v>
      </x:c>
      <x:c r="K180" s="9" t="str">
        <x:v>礼物ID不可编辑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规则：BR-b01a15d4380eac9a
3. 未动态验证</x:v>
      </x:c>
    </x:row>
    <x:row r="181" ht="145" customHeight="1">
      <x:c r="A181" s="10" t="n">
        <x:v>180</x:v>
      </x:c>
      <x:c r="B181" s="10" t="str">
        <x:v>ADMIN-06-0015</x:v>
      </x:c>
      <x:c r="C181" s="10" t="str">
        <x:v>礼物道具</x:v>
      </x:c>
      <x:c r="D181" s="10" t="str">
        <x:v>礼物详情</x:v>
      </x:c>
      <x:c r="E181" s="10" t="str">
        <x:v>功能需求</x:v>
      </x:c>
      <x:c r="F181" s="10" t="str">
        <x:v>P1</x:v>
      </x:c>
      <x:c r="G181" s="9" t="str">
        <x:v>验证移除必填图标后保存</x:v>
      </x:c>
      <x:c r="H181" s="9" t="str">
        <x:v>礼物图标必填</x:v>
      </x:c>
      <x:c r="I181" s="9" t="str">
        <x:v>1. 平台管理员账号可用
2. 当前已有图标，其他字段有效</x:v>
      </x:c>
      <x:c r="J181" s="9" t="str">
        <x:v>1. 打开礼物详情
2. 删除图标
3. 点击保存</x:v>
      </x:c>
      <x:c r="K181" s="9" t="str">
        <x:v>缺少图标不能保存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规则：BR-a6982591f3ba791e
3. 未动态验证</x:v>
      </x:c>
    </x:row>
    <x:row r="182" ht="145" customHeight="1">
      <x:c r="A182" s="10" t="n">
        <x:v>181</x:v>
      </x:c>
      <x:c r="B182" s="10" t="str">
        <x:v>ADMIN-06-0016</x:v>
      </x:c>
      <x:c r="C182" s="10" t="str">
        <x:v>礼物道具</x:v>
      </x:c>
      <x:c r="D182" s="10" t="str">
        <x:v>礼物详情</x:v>
      </x:c>
      <x:c r="E182" s="10" t="str">
        <x:v>功能需求</x:v>
      </x:c>
      <x:c r="F182" s="10" t="str">
        <x:v>P1</x:v>
      </x:c>
      <x:c r="G182" s="9" t="str">
        <x:v>验证定制礼物时间相等</x:v>
      </x:c>
      <x:c r="H182" s="9" t="str">
        <x:v>定制投放时间顺序</x:v>
      </x:c>
      <x:c r="I182" s="9" t="str">
        <x:v>1. 平台管理员账号可用
2. 当前为定制礼物且其他字段有效</x:v>
      </x:c>
      <x:c r="J182" s="9" t="str">
        <x:v>1. 打开礼物详情
2. 输入生效与失效时间为同一时间
3. 点击保存</x:v>
      </x:c>
      <x:c r="K182" s="9" t="str">
        <x:v>失效时间不晚于生效时不能保存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规则：BR-f51f78aa252e98f7
3. 未动态验证</x:v>
      </x:c>
    </x:row>
    <x:row r="183" ht="145" customHeight="1">
      <x:c r="A183" s="10" t="n">
        <x:v>182</x:v>
      </x:c>
      <x:c r="B183" s="10" t="str">
        <x:v>ADMIN-06-0017</x:v>
      </x:c>
      <x:c r="C183" s="10" t="str">
        <x:v>礼物道具</x:v>
      </x:c>
      <x:c r="D183" s="10" t="str">
        <x:v>礼物详情</x:v>
      </x:c>
      <x:c r="E183" s="10" t="str">
        <x:v>功能需求</x:v>
      </x:c>
      <x:c r="F183" s="10" t="str">
        <x:v>P1</x:v>
      </x:c>
      <x:c r="G183" s="9" t="str">
        <x:v>验证定制礼物失效早于生效</x:v>
      </x:c>
      <x:c r="H183" s="9" t="str">
        <x:v>定制时间倒置</x:v>
      </x:c>
      <x:c r="I183" s="9" t="str">
        <x:v>1. 平台管理员账号可用
2. 当前为定制礼物且其他字段有效</x:v>
      </x:c>
      <x:c r="J183" s="9" t="str">
        <x:v>1. 打开礼物详情
2. 输入失效时间早于生效时间1小时
3. 点击保存</x:v>
      </x:c>
      <x:c r="K183" s="9" t="str">
        <x:v>倒置生效时间不能保存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规则：BR-150833a8705065dd
3. 未动态验证</x:v>
      </x:c>
    </x:row>
    <x:row r="184" ht="145" customHeight="1">
      <x:c r="A184" s="10" t="n">
        <x:v>183</x:v>
      </x:c>
      <x:c r="B184" s="10" t="str">
        <x:v>ADMIN-06-0018</x:v>
      </x:c>
      <x:c r="C184" s="10" t="str">
        <x:v>礼物道具</x:v>
      </x:c>
      <x:c r="D184" s="10" t="str">
        <x:v>礼物详情</x:v>
      </x:c>
      <x:c r="E184" s="10" t="str">
        <x:v>功能需求</x:v>
      </x:c>
      <x:c r="F184" s="10" t="str">
        <x:v>P1</x:v>
      </x:c>
      <x:c r="G184" s="9" t="str">
        <x:v>验证保存礼物保留详情</x:v>
      </x:c>
      <x:c r="H184" s="9" t="str">
        <x:v>礼物保存页面</x:v>
      </x:c>
      <x:c r="I184" s="9" t="str">
        <x:v>1. 平台管理员账号可用
2. 当前礼物四语、图标、单价均有效</x:v>
      </x:c>
      <x:c r="J184" s="9" t="str">
        <x:v>1. 打开礼物详情
2. 点击保存</x:v>
      </x:c>
      <x:c r="K184" s="9" t="str">
        <x:v>保存后仍停留当前礼物详情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规则：BR-e4e5812eff17a43a
3. 未动态验证</x:v>
      </x:c>
    </x:row>
    <x:row r="185" ht="145" customHeight="1">
      <x:c r="A185" s="10" t="n">
        <x:v>184</x:v>
      </x:c>
      <x:c r="B185" s="10" t="str">
        <x:v>ADMIN-06-0019</x:v>
      </x:c>
      <x:c r="C185" s="10" t="str">
        <x:v>礼物道具</x:v>
      </x:c>
      <x:c r="D185" s="10" t="str">
        <x:v>礼物详情</x:v>
      </x:c>
      <x:c r="E185" s="10" t="str">
        <x:v>功能需求</x:v>
      </x:c>
      <x:c r="F185" s="10" t="str">
        <x:v>P1</x:v>
      </x:c>
      <x:c r="G185" s="9" t="str">
        <x:v>验证礼物保存留痕</x:v>
      </x:c>
      <x:c r="H185" s="9" t="str">
        <x:v>礼物变更记录</x:v>
      </x:c>
      <x:c r="I185" s="9" t="str">
        <x:v>1. 平台管理员账号可用
2. 已创建礼物允许编辑</x:v>
      </x:c>
      <x:c r="J185" s="9" t="str">
        <x:v>1. 打开礼物详情
2. 修改排序权重为2
3. 点击保存</x:v>
      </x:c>
      <x:c r="K185" s="9" t="str">
        <x:v>操作记录新增本次变更的操作人和时间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规则：BR-b7b17d973f7623ea
3. 未动态验证</x:v>
      </x:c>
    </x:row>
    <x:row r="186" ht="145" customHeight="1">
      <x:c r="A186" s="10" t="n">
        <x:v>185</x:v>
      </x:c>
      <x:c r="B186" s="10" t="str">
        <x:v>ADMIN-06-0020</x:v>
      </x:c>
      <x:c r="C186" s="10" t="str">
        <x:v>礼物道具</x:v>
      </x:c>
      <x:c r="D186" s="10" t="str">
        <x:v>礼物详情</x:v>
      </x:c>
      <x:c r="E186" s="10" t="str">
        <x:v>功能需求</x:v>
      </x:c>
      <x:c r="F186" s="10" t="str">
        <x:v>P1</x:v>
      </x:c>
      <x:c r="G186" s="9" t="str">
        <x:v>验证删除礼物确认</x:v>
      </x:c>
      <x:c r="H186" s="9" t="str">
        <x:v>礼物删除路由</x:v>
      </x:c>
      <x:c r="I186" s="9" t="str">
        <x:v>1. 平台管理员账号可用
2. 当前礼物满足可删除条件</x:v>
      </x:c>
      <x:c r="J186" s="9" t="str">
        <x:v>1. 打开礼物详情
2. 点击删除
3. 确认删除</x:v>
      </x:c>
      <x:c r="K186" s="9" t="str">
        <x:v>删除后返回礼物列表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规则：BR-50aaa64e8581e363
3. 未动态验证</x:v>
      </x:c>
    </x:row>
    <x:row r="187" ht="85" customHeight="1">
      <x:c r="A187" s="10" t="n">
        <x:v>186</x:v>
      </x:c>
      <x:c r="B187" s="10" t="str">
        <x:v>ADMIN-06-0021</x:v>
      </x:c>
      <x:c r="C187" s="10" t="str">
        <x:v>礼物道具</x:v>
      </x:c>
      <x:c r="D187" s="10" t="str">
        <x:v>礼物详情</x:v>
      </x:c>
      <x:c r="E187" s="10" t="str">
        <x:v>功能需求</x:v>
      </x:c>
      <x:c r="F187" s="10" t="str">
        <x:v>P1</x:v>
      </x:c>
      <x:c r="G187" s="9" t="str">
        <x:v>验证权重不接受小数</x:v>
      </x:c>
      <x:c r="H187" s="9" t="str">
        <x:v>排序整数限制</x:v>
      </x:c>
      <x:c r="I187" s="9" t="str">
        <x:v>1. 平台管理员账号可用
2. 其他必填配置有效</x:v>
      </x:c>
      <x:c r="J187" s="9" t="str">
        <x:v>1. 打开礼物详情
2. 输入排序权重为1,5
3. 点击保存</x:v>
      </x:c>
      <x:c r="K187" s="9" t="str">
        <x:v>小数权重不能保存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来源（当前证据）：liveshow-proto/MainBasis/统一需求文档.md；位置：第2786行、第2792行 REQ-78f436fbafe6
2. 规则：BR-18b5e0e7f55e91db
3. 未动态验证</x:v>
      </x:c>
    </x:row>
    <x:row r="188" ht="85" customHeight="1">
      <x:c r="A188" s="10" t="n">
        <x:v>187</x:v>
      </x:c>
      <x:c r="B188" s="10" t="str">
        <x:v>ADMIN-06-0022</x:v>
      </x:c>
      <x:c r="C188" s="10" t="str">
        <x:v>礼物道具</x:v>
      </x:c>
      <x:c r="D188" s="10" t="str">
        <x:v>礼物详情</x:v>
      </x:c>
      <x:c r="E188" s="10" t="str">
        <x:v>功能需求</x:v>
      </x:c>
      <x:c r="F188" s="10" t="str">
        <x:v>P1</x:v>
      </x:c>
      <x:c r="G188" s="9" t="str">
        <x:v>验证较大排序权重在前</x:v>
      </x:c>
      <x:c r="H188" s="9" t="str">
        <x:v>排序权重方向</x:v>
      </x:c>
      <x:c r="I188" s="9" t="str">
        <x:v>1. 平台管理员账号可用
2. 同类两个上架项目权重分别1和2，已保存</x:v>
      </x:c>
      <x:c r="J188" s="9" t="str">
        <x:v>1. 打开礼物详情
2. 返回列表</x:v>
      </x:c>
      <x:c r="K188" s="9" t="str">
        <x:v>权重2的项目排列在权重1之前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来源（当前证据）：liveshow-proto/MainBasis/统一需求文档.md；位置：第2786行、第2792行 REQ-78f436fbafe6
2. 规则：BR-410e686185249f37
3. 未动态验证</x:v>
      </x:c>
    </x:row>
    <x:row r="189" ht="85" customHeight="1">
      <x:c r="A189" s="10" t="n">
        <x:v>188</x:v>
      </x:c>
      <x:c r="B189" s="10" t="str">
        <x:v>ADMIN-06-0023</x:v>
      </x:c>
      <x:c r="C189" s="10" t="str">
        <x:v>礼物道具</x:v>
      </x:c>
      <x:c r="D189" s="10" t="str">
        <x:v>礼物详情</x:v>
      </x:c>
      <x:c r="E189" s="10" t="str">
        <x:v>功能需求</x:v>
      </x:c>
      <x:c r="F189" s="10" t="str">
        <x:v>P1</x:v>
      </x:c>
      <x:c r="G189" s="9" t="str">
        <x:v>验证单礼物无端内灰度状态</x:v>
      </x:c>
      <x:c r="H189" s="9" t="str">
        <x:v>礼物状态范围</x:v>
      </x:c>
      <x:c r="I189" s="9" t="str">
        <x:v>1. 平台管理员账号可用
2. 当前后台可编辑礼物</x:v>
      </x:c>
      <x:c r="J189" s="9" t="str">
        <x:v>1. 打开礼物详情
2. 展开礼物状态</x:v>
      </x:c>
      <x:c r="K189" s="9" t="str">
        <x:v>礼物状态不增加App审核灰度选项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来源（当前证据）：liveshow-proto/MainBasis/统一需求文档.md；位置：第2786行、第2510行 COMMON-admin-review-gray
2. 规则：BR-30eaef193d1ecc05
3. 未动态验证</x:v>
      </x:c>
    </x:row>
    <x:row r="190" ht="130" customHeight="1">
      <x:c r="A190" s="10" t="n">
        <x:v>189</x:v>
      </x:c>
      <x:c r="B190" s="10" t="str">
        <x:v>ADMIN-06-0024</x:v>
      </x:c>
      <x:c r="C190" s="10" t="str">
        <x:v>礼物道具</x:v>
      </x:c>
      <x:c r="D190" s="10" t="str">
        <x:v>普通礼物</x:v>
      </x:c>
      <x:c r="E190" s="10" t="str">
        <x:v>功能需求</x:v>
      </x:c>
      <x:c r="F190" s="10" t="str">
        <x:v>P1</x:v>
      </x:c>
      <x:c r="G190" s="9" t="str">
        <x:v>验证普通礼物手动下架</x:v>
      </x:c>
      <x:c r="H190" s="9" t="str">
        <x:v>普通礼物下架状态</x:v>
      </x:c>
      <x:c r="I190" s="9" t="str">
        <x:v>1. 平台管理员账号可用
2. 目标普通礼物已上架</x:v>
      </x:c>
      <x:c r="J190" s="9" t="str">
        <x:v>1. 打开普通礼物
2. 点击下架
3. 确认下架</x:v>
      </x:c>
      <x:c r="K190" s="9" t="str">
        <x:v>礼物状态显示下架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规则：BR-ca9913f28f75ceb5
3. 未动态验证</x:v>
      </x:c>
    </x:row>
    <x:row r="191" ht="130" customHeight="1">
      <x:c r="A191" s="10" t="n">
        <x:v>190</x:v>
      </x:c>
      <x:c r="B191" s="10" t="str">
        <x:v>ADMIN-06-0025</x:v>
      </x:c>
      <x:c r="C191" s="10" t="str">
        <x:v>礼物道具</x:v>
      </x:c>
      <x:c r="D191" s="10" t="str">
        <x:v>普通礼物</x:v>
      </x:c>
      <x:c r="E191" s="10" t="str">
        <x:v>功能需求</x:v>
      </x:c>
      <x:c r="F191" s="10" t="str">
        <x:v>P1</x:v>
      </x:c>
      <x:c r="G191" s="9" t="str">
        <x:v>验证普通礼物重新上架</x:v>
      </x:c>
      <x:c r="H191" s="9" t="str">
        <x:v>普通礼物上架状态</x:v>
      </x:c>
      <x:c r="I191" s="9" t="str">
        <x:v>1. 平台管理员账号可用
2. 目标普通礼物已下架</x:v>
      </x:c>
      <x:c r="J191" s="9" t="str">
        <x:v>1. 打开普通礼物
2. 点击上架
3. 确认上架</x:v>
      </x:c>
      <x:c r="K191" s="9" t="str">
        <x:v>礼物状态显示上架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规则：BR-4d9b38bd50acd82f
3. 未动态验证</x:v>
      </x:c>
    </x:row>
    <x:row r="192" ht="130" customHeight="1">
      <x:c r="A192" s="10" t="n">
        <x:v>191</x:v>
      </x:c>
      <x:c r="B192" s="10" t="str">
        <x:v>ADMIN-06-0026</x:v>
      </x:c>
      <x:c r="C192" s="10" t="str">
        <x:v>礼物道具</x:v>
      </x:c>
      <x:c r="D192" s="10" t="str">
        <x:v>普通礼物</x:v>
      </x:c>
      <x:c r="E192" s="10" t="str">
        <x:v>功能需求</x:v>
      </x:c>
      <x:c r="F192" s="10" t="str">
        <x:v>P1</x:v>
      </x:c>
      <x:c r="G192" s="9" t="str">
        <x:v>验证取消普通礼物下架</x:v>
      </x:c>
      <x:c r="H192" s="9" t="str">
        <x:v>普通礼物取消变更</x:v>
      </x:c>
      <x:c r="I192" s="9" t="str">
        <x:v>1. 平台管理员账号可用
2. 目标礼物已上架</x:v>
      </x:c>
      <x:c r="J192" s="9" t="str">
        <x:v>1. 打开普通礼物
2. 点击下架
3. 取消确认弹窗</x:v>
      </x:c>
      <x:c r="K192" s="9" t="str">
        <x:v>礼物状态保持上架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规则：BR-574f44d1a69bde27
3. 未动态验证</x:v>
      </x:c>
    </x:row>
    <x:row r="193" ht="130" customHeight="1">
      <x:c r="A193" s="10" t="n">
        <x:v>192</x:v>
      </x:c>
      <x:c r="B193" s="10" t="str">
        <x:v>ADMIN-06-0027</x:v>
      </x:c>
      <x:c r="C193" s="10" t="str">
        <x:v>礼物道具</x:v>
      </x:c>
      <x:c r="D193" s="10" t="str">
        <x:v>普通礼物</x:v>
      </x:c>
      <x:c r="E193" s="10" t="str">
        <x:v>功能需求</x:v>
      </x:c>
      <x:c r="F193" s="10" t="str">
        <x:v>P1</x:v>
      </x:c>
      <x:c r="G193" s="9" t="str">
        <x:v>验证普通礼物权重排序</x:v>
      </x:c>
      <x:c r="H193" s="9" t="str">
        <x:v>礼物排序方向</x:v>
      </x:c>
      <x:c r="I193" s="9" t="str">
        <x:v>1. 平台管理员账号可用
2. 两个礼物权重分别1和2</x:v>
      </x:c>
      <x:c r="J193" s="9" t="str">
        <x:v>1. 打开普通礼物</x:v>
      </x:c>
      <x:c r="K193" s="9" t="str">
        <x:v>权重2的礼物排列在权重1之前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规则：BR-a2f973981bbc8528
3. 未动态验证</x:v>
      </x:c>
    </x:row>
    <x:row r="194" ht="130" customHeight="1">
      <x:c r="A194" s="10" t="n">
        <x:v>193</x:v>
      </x:c>
      <x:c r="B194" s="10" t="str">
        <x:v>ADMIN-06-0028</x:v>
      </x:c>
      <x:c r="C194" s="10" t="str">
        <x:v>礼物道具</x:v>
      </x:c>
      <x:c r="D194" s="10" t="str">
        <x:v>普通礼物</x:v>
      </x:c>
      <x:c r="E194" s="10" t="str">
        <x:v>功能需求</x:v>
      </x:c>
      <x:c r="F194" s="10" t="str">
        <x:v>P1</x:v>
      </x:c>
      <x:c r="G194" s="9" t="str">
        <x:v>验证下架后历史记录保留</x:v>
      </x:c>
      <x:c r="H194" s="9" t="str">
        <x:v>普通礼物历史消费</x:v>
      </x:c>
      <x:c r="I194" s="9" t="str">
        <x:v>1. 平台管理员账号可用
2. 目标礼物已经下架且以前有成功赠送</x:v>
      </x:c>
      <x:c r="J194" s="9" t="str">
        <x:v>1. 打开普通礼物
2. 查看消费订单中该礼物的原成功订单</x:v>
      </x:c>
      <x:c r="K194" s="9" t="str">
        <x:v>原成功消费记录仍然保留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规则：BR-8fe737febfcacc24
3. 未动态验证</x:v>
      </x:c>
    </x:row>
    <x:row r="195" ht="85" customHeight="1">
      <x:c r="A195" s="10" t="n">
        <x:v>194</x:v>
      </x:c>
      <x:c r="B195" s="10" t="str">
        <x:v>ADMIN-06-0029</x:v>
      </x:c>
      <x:c r="C195" s="10" t="str">
        <x:v>礼物道具</x:v>
      </x:c>
      <x:c r="D195" s="10" t="str">
        <x:v>普通礼物</x:v>
      </x:c>
      <x:c r="E195" s="10" t="str">
        <x:v>功能需求</x:v>
      </x:c>
      <x:c r="F195" s="10" t="str">
        <x:v>P1</x:v>
      </x:c>
      <x:c r="G195" s="9" t="str">
        <x:v>验证App审核灰度不改变礼物配置</x:v>
      </x:c>
      <x:c r="H195" s="9" t="str">
        <x:v>审核灰度配置隔离</x:v>
      </x:c>
      <x:c r="I195" s="9" t="str">
        <x:v>1. 平台管理员账号可用
2. App端已进入上架审核灰度；后台某礼物原为上架</x:v>
      </x:c>
      <x:c r="J195" s="9" t="str">
        <x:v>1. 打开普通礼物
2. 刷新礼物列表</x:v>
      </x:c>
      <x:c r="K195" s="9" t="str">
        <x:v>该礼物后台状态仍为上架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来源（当前证据）：liveshow-proto/MainBasis/统一需求文档.md；位置：第2774行、第2510行 COMMON-admin-review-gray
2. 规则：BR-3815d99b53373ebf
3. 未动态验证</x:v>
      </x:c>
    </x:row>
    <x:row r="196" ht="130" customHeight="1">
      <x:c r="A196" s="10" t="n">
        <x:v>195</x:v>
      </x:c>
      <x:c r="B196" s="10" t="str">
        <x:v>ADMIN-06-0030</x:v>
      </x:c>
      <x:c r="C196" s="10" t="str">
        <x:v>礼物道具</x:v>
      </x:c>
      <x:c r="D196" s="10" t="str">
        <x:v>购买份数配置详情</x:v>
      </x:c>
      <x:c r="E196" s="10" t="str">
        <x:v>功能需求</x:v>
      </x:c>
      <x:c r="F196" s="10" t="str">
        <x:v>P1</x:v>
      </x:c>
      <x:c r="G196" s="9" t="str">
        <x:v>验证没有赠送数量</x:v>
      </x:c>
      <x:c r="H196" s="9" t="str">
        <x:v>数量列表必填</x:v>
      </x:c>
      <x:c r="I196" s="9" t="str">
        <x:v>1. 平台管理员账号可用
2. 其他字段有效</x:v>
      </x:c>
      <x:c r="J196" s="9" t="str">
        <x:v>1. 打开购买份数配置详情
2. 清空赠送数量列表
3. 点击保存</x:v>
      </x:c>
      <x:c r="K196" s="9" t="str">
        <x:v>至少1个赠送数量才能保存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规则：BR-91ba4f6e0d81d170
3. 未动态验证</x:v>
      </x:c>
    </x:row>
    <x:row r="197" ht="130" customHeight="1">
      <x:c r="A197" s="10" t="n">
        <x:v>196</x:v>
      </x:c>
      <x:c r="B197" s="10" t="str">
        <x:v>ADMIN-06-0031</x:v>
      </x:c>
      <x:c r="C197" s="10" t="str">
        <x:v>礼物道具</x:v>
      </x:c>
      <x:c r="D197" s="10" t="str">
        <x:v>购买份数配置详情</x:v>
      </x:c>
      <x:c r="E197" s="10" t="str">
        <x:v>功能需求</x:v>
      </x:c>
      <x:c r="F197" s="10" t="str">
        <x:v>P1</x:v>
      </x:c>
      <x:c r="G197" s="9" t="str">
        <x:v>验证赠送数量重复</x:v>
      </x:c>
      <x:c r="H197" s="9" t="str">
        <x:v>数量列表去重</x:v>
      </x:c>
      <x:c r="I197" s="9" t="str">
        <x:v>1. 平台管理员账号可用
2. 其他字段有效</x:v>
      </x:c>
      <x:c r="J197" s="9" t="str">
        <x:v>1. 打开购买份数配置详情
2. 输入赠送数量为1、1
3. 点击保存</x:v>
      </x:c>
      <x:c r="K197" s="9" t="str">
        <x:v>重复数量不能保存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规则：BR-7cf3182ca809948c
3. 未动态验证</x:v>
      </x:c>
    </x:row>
    <x:row r="198" ht="130" customHeight="1">
      <x:c r="A198" s="10" t="n">
        <x:v>197</x:v>
      </x:c>
      <x:c r="B198" s="10" t="str">
        <x:v>ADMIN-06-0032</x:v>
      </x:c>
      <x:c r="C198" s="10" t="str">
        <x:v>礼物道具</x:v>
      </x:c>
      <x:c r="D198" s="10" t="str">
        <x:v>购买份数配置详情</x:v>
      </x:c>
      <x:c r="E198" s="10" t="str">
        <x:v>功能需求</x:v>
      </x:c>
      <x:c r="F198" s="10" t="str">
        <x:v>P1</x:v>
      </x:c>
      <x:c r="G198" s="9" t="str">
        <x:v>验证赠送数量包含0</x:v>
      </x:c>
      <x:c r="H198" s="9" t="str">
        <x:v>数量正数限制</x:v>
      </x:c>
      <x:c r="I198" s="9" t="str">
        <x:v>1. 平台管理员账号可用
2. 其他字段有效</x:v>
      </x:c>
      <x:c r="J198" s="9" t="str">
        <x:v>1. 打开购买份数配置详情
2. 输入赠送数量为0、1
3. 点击保存</x:v>
      </x:c>
      <x:c r="K198" s="9" t="str">
        <x:v>包含0的数量列表不能保存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规则：BR-7686cfc59544a8ba
3. 未动态验证</x:v>
      </x:c>
    </x:row>
    <x:row r="199" ht="130" customHeight="1">
      <x:c r="A199" s="10" t="n">
        <x:v>198</x:v>
      </x:c>
      <x:c r="B199" s="10" t="str">
        <x:v>ADMIN-06-0033</x:v>
      </x:c>
      <x:c r="C199" s="10" t="str">
        <x:v>礼物道具</x:v>
      </x:c>
      <x:c r="D199" s="10" t="str">
        <x:v>购买份数配置详情</x:v>
      </x:c>
      <x:c r="E199" s="10" t="str">
        <x:v>功能需求</x:v>
      </x:c>
      <x:c r="F199" s="10" t="str">
        <x:v>P1</x:v>
      </x:c>
      <x:c r="G199" s="9" t="str">
        <x:v>验证赠送数量含小数</x:v>
      </x:c>
      <x:c r="H199" s="9" t="str">
        <x:v>数量整数限制</x:v>
      </x:c>
      <x:c r="I199" s="9" t="str">
        <x:v>1. 平台管理员账号可用
2. 其他字段有效</x:v>
      </x:c>
      <x:c r="J199" s="9" t="str">
        <x:v>1. 打开购买份数配置详情
2. 输入赠送数量为1,5
3. 点击保存</x:v>
      </x:c>
      <x:c r="K199" s="9" t="str">
        <x:v>非整数赠送数量不能保存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规则：BR-85066b58649d785c
3. 未动态验证</x:v>
      </x:c>
    </x:row>
    <x:row r="200" ht="130" customHeight="1">
      <x:c r="A200" s="10" t="n">
        <x:v>199</x:v>
      </x:c>
      <x:c r="B200" s="10" t="str">
        <x:v>ADMIN-06-0034</x:v>
      </x:c>
      <x:c r="C200" s="10" t="str">
        <x:v>礼物道具</x:v>
      </x:c>
      <x:c r="D200" s="10" t="str">
        <x:v>购买份数配置详情</x:v>
      </x:c>
      <x:c r="E200" s="10" t="str">
        <x:v>功能需求</x:v>
      </x:c>
      <x:c r="F200" s="10" t="str">
        <x:v>P1</x:v>
      </x:c>
      <x:c r="G200" s="9" t="str">
        <x:v>验证默认值必须在列表</x:v>
      </x:c>
      <x:c r="H200" s="9" t="str">
        <x:v>默认数量选项范围</x:v>
      </x:c>
      <x:c r="I200" s="9" t="str">
        <x:v>1. 平台管理员账号可用
2. 当前数量列表为1、5、10</x:v>
      </x:c>
      <x:c r="J200" s="9" t="str">
        <x:v>1. 打开购买份数配置详情
2. 打开默认数量选项</x:v>
      </x:c>
      <x:c r="K200" s="9" t="str">
        <x:v>默认数量仅可选择1、5、10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规则：BR-34fb05fa2a3114ed
3. 未动态验证</x:v>
      </x:c>
    </x:row>
    <x:row r="201" ht="130" customHeight="1">
      <x:c r="A201" s="10" t="n">
        <x:v>200</x:v>
      </x:c>
      <x:c r="B201" s="10" t="str">
        <x:v>ADMIN-06-0035</x:v>
      </x:c>
      <x:c r="C201" s="10" t="str">
        <x:v>礼物道具</x:v>
      </x:c>
      <x:c r="D201" s="10" t="str">
        <x:v>购买份数配置详情</x:v>
      </x:c>
      <x:c r="E201" s="10" t="str">
        <x:v>功能需求</x:v>
      </x:c>
      <x:c r="F201" s="10" t="str">
        <x:v>P1</x:v>
      </x:c>
      <x:c r="G201" s="9" t="str">
        <x:v>验证删除数量更新默认选项</x:v>
      </x:c>
      <x:c r="H201" s="9" t="str">
        <x:v>数量选项联动</x:v>
      </x:c>
      <x:c r="I201" s="9" t="str">
        <x:v>1. 平台管理员账号可用
2. 数量列表为1、5、10</x:v>
      </x:c>
      <x:c r="J201" s="9" t="str">
        <x:v>1. 打开购买份数配置详情
2. 删除赠送数量5
3. 打开默认数量选项</x:v>
      </x:c>
      <x:c r="K201" s="9" t="str">
        <x:v>默认选项不再包含5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规则：BR-9640040fb6f5bf2a
3. 未动态验证</x:v>
      </x:c>
    </x:row>
    <x:row r="202" ht="130" customHeight="1">
      <x:c r="A202" s="10" t="n">
        <x:v>201</x:v>
      </x:c>
      <x:c r="B202" s="10" t="str">
        <x:v>ADMIN-06-0036</x:v>
      </x:c>
      <x:c r="C202" s="10" t="str">
        <x:v>礼物道具</x:v>
      </x:c>
      <x:c r="D202" s="10" t="str">
        <x:v>购买份数配置详情</x:v>
      </x:c>
      <x:c r="E202" s="10" t="str">
        <x:v>功能需求</x:v>
      </x:c>
      <x:c r="F202" s="10" t="str">
        <x:v>P1</x:v>
      </x:c>
      <x:c r="G202" s="9" t="str">
        <x:v>验证未关联礼物保存</x:v>
      </x:c>
      <x:c r="H202" s="9" t="str">
        <x:v>适用礼物必选</x:v>
      </x:c>
      <x:c r="I202" s="9" t="str">
        <x:v>1. 平台管理员账号可用
2. 数量和默认数量有效</x:v>
      </x:c>
      <x:c r="J202" s="9" t="str">
        <x:v>1. 打开购买份数配置详情
2. 清空适用礼物
3. 点击保存</x:v>
      </x:c>
      <x:c r="K202" s="9" t="str">
        <x:v>未关联任何礼物不能保存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规则：BR-93c3714be613f749
3. 未动态验证</x:v>
      </x:c>
    </x:row>
    <x:row r="203" ht="130" customHeight="1">
      <x:c r="A203" s="10" t="n">
        <x:v>202</x:v>
      </x:c>
      <x:c r="B203" s="10" t="str">
        <x:v>ADMIN-06-0037</x:v>
      </x:c>
      <x:c r="C203" s="10" t="str">
        <x:v>礼物道具</x:v>
      </x:c>
      <x:c r="D203" s="10" t="str">
        <x:v>购买份数配置详情</x:v>
      </x:c>
      <x:c r="E203" s="10" t="str">
        <x:v>功能需求</x:v>
      </x:c>
      <x:c r="F203" s="10" t="str">
        <x:v>P1</x:v>
      </x:c>
      <x:c r="G203" s="9" t="str">
        <x:v>验证保存无冲突规则：数量配置持久化</x:v>
      </x:c>
      <x:c r="H203" s="9" t="str">
        <x:v>数量配置持久化</x:v>
      </x:c>
      <x:c r="I203" s="9" t="str">
        <x:v>1. 平台管理员账号可用
2. 数量1、5、10且默认1，关联礼物未被其他启用规则占用</x:v>
      </x:c>
      <x:c r="J203" s="9" t="str">
        <x:v>1. 打开购买份数配置详情
2. 点击保存</x:v>
      </x:c>
      <x:c r="K203" s="9" t="str">
        <x:v>保存的数量依次为1、5、10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规则：BR-9d522cdfe6019afa
3. 未动态验证</x:v>
      </x:c>
    </x:row>
    <x:row r="204" ht="130" customHeight="1">
      <x:c r="A204" s="10" t="n">
        <x:v>203</x:v>
      </x:c>
      <x:c r="B204" s="10" t="str">
        <x:v>ADMIN-06-0038</x:v>
      </x:c>
      <x:c r="C204" s="10" t="str">
        <x:v>礼物道具</x:v>
      </x:c>
      <x:c r="D204" s="10" t="str">
        <x:v>购买份数配置详情</x:v>
      </x:c>
      <x:c r="E204" s="10" t="str">
        <x:v>功能需求</x:v>
      </x:c>
      <x:c r="F204" s="10" t="str">
        <x:v>P1</x:v>
      </x:c>
      <x:c r="G204" s="9" t="str">
        <x:v>验证保存无冲突规则：默认份数持久化</x:v>
      </x:c>
      <x:c r="H204" s="9" t="str">
        <x:v>默认份数持久化</x:v>
      </x:c>
      <x:c r="I204" s="9" t="str">
        <x:v>1. 平台管理员账号可用
2. 数量1、5、10且默认1，关联礼物未被其他启用规则占用</x:v>
      </x:c>
      <x:c r="J204" s="9" t="str">
        <x:v>1. 打开购买份数配置详情
2. 点击保存</x:v>
      </x:c>
      <x:c r="K204" s="9" t="str">
        <x:v>默认数量保存为1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规则：BR-44041f92a31c17c1
3. 未动态验证</x:v>
      </x:c>
    </x:row>
    <x:row r="205" ht="130" customHeight="1">
      <x:c r="A205" s="10" t="n">
        <x:v>204</x:v>
      </x:c>
      <x:c r="B205" s="10" t="str">
        <x:v>ADMIN-06-0039</x:v>
      </x:c>
      <x:c r="C205" s="10" t="str">
        <x:v>礼物道具</x:v>
      </x:c>
      <x:c r="D205" s="10" t="str">
        <x:v>购买份数配置</x:v>
      </x:c>
      <x:c r="E205" s="10" t="str">
        <x:v>功能需求</x:v>
      </x:c>
      <x:c r="F205" s="10" t="str">
        <x:v>P1</x:v>
      </x:c>
      <x:c r="G205" s="9" t="str">
        <x:v>验证启用已被占用的礼物规则</x:v>
      </x:c>
      <x:c r="H205" s="9" t="str">
        <x:v>启用规则关联冲突</x:v>
      </x:c>
      <x:c r="I205" s="9" t="str">
        <x:v>1. 平台管理员账号可用
2. 目标礼物已关联另一条启用规则</x:v>
      </x:c>
      <x:c r="J205" s="9" t="str">
        <x:v>1. 打开购买份数配置
2. 启用当前规则</x:v>
      </x:c>
      <x:c r="K205" s="9" t="str">
        <x:v>冲突规则不能同时启用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规则：BR-2c5a93381f8023c3
3. 未动态验证</x:v>
      </x:c>
    </x:row>
    <x:row r="206" ht="130" customHeight="1">
      <x:c r="A206" s="10" t="n">
        <x:v>205</x:v>
      </x:c>
      <x:c r="B206" s="10" t="str">
        <x:v>ADMIN-06-0040</x:v>
      </x:c>
      <x:c r="C206" s="10" t="str">
        <x:v>礼物道具</x:v>
      </x:c>
      <x:c r="D206" s="10" t="str">
        <x:v>购买份数配置</x:v>
      </x:c>
      <x:c r="E206" s="10" t="str">
        <x:v>功能需求</x:v>
      </x:c>
      <x:c r="F206" s="10" t="str">
        <x:v>P1</x:v>
      </x:c>
      <x:c r="G206" s="9" t="str">
        <x:v>验证停用数量规则</x:v>
      </x:c>
      <x:c r="H206" s="9" t="str">
        <x:v>数量规则停用状态</x:v>
      </x:c>
      <x:c r="I206" s="9" t="str">
        <x:v>1. 平台管理员账号可用
2. 规则已启用</x:v>
      </x:c>
      <x:c r="J206" s="9" t="str">
        <x:v>1. 打开购买份数配置
2. 点击停用
3. 确认停用</x:v>
      </x:c>
      <x:c r="K206" s="9" t="str">
        <x:v>规则状态显示停用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规则：BR-e5347e8b299854c5
3. 未动态验证</x:v>
      </x:c>
    </x:row>
    <x:row r="207" ht="130" customHeight="1">
      <x:c r="A207" s="10" t="n">
        <x:v>206</x:v>
      </x:c>
      <x:c r="B207" s="10" t="str">
        <x:v>ADMIN-06-0041</x:v>
      </x:c>
      <x:c r="C207" s="10" t="str">
        <x:v>礼物道具</x:v>
      </x:c>
      <x:c r="D207" s="10" t="str">
        <x:v>购买份数配置</x:v>
      </x:c>
      <x:c r="E207" s="10" t="str">
        <x:v>功能需求</x:v>
      </x:c>
      <x:c r="F207" s="10" t="str">
        <x:v>P1</x:v>
      </x:c>
      <x:c r="G207" s="9" t="str">
        <x:v>验证数量列表保留配置顺序</x:v>
      </x:c>
      <x:c r="H207" s="9" t="str">
        <x:v>赠送数量顺序</x:v>
      </x:c>
      <x:c r="I207" s="9" t="str">
        <x:v>1. 平台管理员账号可用
2. 配置数量依次为1、10、5</x:v>
      </x:c>
      <x:c r="J207" s="9" t="str">
        <x:v>1. 打开购买份数配置</x:v>
      </x:c>
      <x:c r="K207" s="9" t="str">
        <x:v>数量排列次序保持1→10→5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规则：BR-d55925b15821fa58
3. 未动态验证</x:v>
      </x:c>
    </x:row>
    <x:row r="208" ht="85" customHeight="1">
      <x:c r="A208" s="10" t="n">
        <x:v>207</x:v>
      </x:c>
      <x:c r="B208" s="10" t="str">
        <x:v>ADMIN-06-0042</x:v>
      </x:c>
      <x:c r="C208" s="10" t="str">
        <x:v>礼物道具</x:v>
      </x:c>
      <x:c r="D208" s="10" t="str">
        <x:v>购买份数配置</x:v>
      </x:c>
      <x:c r="E208" s="10" t="str">
        <x:v>功能需求</x:v>
      </x:c>
      <x:c r="F208" s="10" t="str">
        <x:v>P1</x:v>
      </x:c>
      <x:c r="G208" s="9" t="str">
        <x:v>验证多个数量规则编号</x:v>
      </x:c>
      <x:c r="H208" s="9" t="str">
        <x:v>数量规则ID唯一性</x:v>
      </x:c>
      <x:c r="I208" s="9" t="str">
        <x:v>1. 平台管理员账号可用
2. 已创建两条数量规则</x:v>
      </x:c>
      <x:c r="J208" s="9" t="str">
        <x:v>1. 打开购买份数配置</x:v>
      </x:c>
      <x:c r="K208" s="9" t="str">
        <x:v>两条规则ID不同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来源（当前证据）：liveshow-proto/MainBasis/统一需求文档.md；位置：第2867行、第2869行 REQ-6acc2c6b9807
2. 规则：BR-7b6b39750c123151
3. 未动态验证</x:v>
      </x:c>
    </x:row>
    <x:row r="209" ht="100" customHeight="1">
      <x:c r="A209" s="10" t="n">
        <x:v>208</x:v>
      </x:c>
      <x:c r="B209" s="10" t="str">
        <x:v>ADMIN-06-0043</x:v>
      </x:c>
      <x:c r="C209" s="10" t="str">
        <x:v>礼物道具</x:v>
      </x:c>
      <x:c r="D209" s="10" t="str">
        <x:v>幸运礼物</x:v>
      </x:c>
      <x:c r="E209" s="10" t="str">
        <x:v>异常用例</x:v>
      </x:c>
      <x:c r="F209" s="10" t="str">
        <x:v>P1</x:v>
      </x:c>
      <x:c r="G209" s="9" t="str">
        <x:v>验证幸运礼物收益比例-1</x:v>
      </x:c>
      <x:c r="H209" s="9" t="str">
        <x:v>全局收益比例范围</x:v>
      </x:c>
      <x:c r="I209" s="9" t="str">
        <x:v>1. 平台管理员账号可用
2. 幸运礼物配置可编辑</x:v>
      </x:c>
      <x:c r="J209" s="9" t="str">
        <x:v>1. 打开幸运礼物
2. 点击收益比例编辑
3. 输入收益比例为-1
4. 点击保存</x:v>
      </x:c>
      <x:c r="K209" s="9" t="str">
        <x:v>收益比例不能保存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来源（当前证据）：liveshow-proto/MainBasis/统一需求文档.md；位置：第2808行、第2810行 REQ-a1f4600567d4、第2820行 REQ-a1b754aa5dd9
2. 规则：BR-83905ffd7b5dc360
3. 未动态验证</x:v>
      </x:c>
    </x:row>
    <x:row r="210" ht="100" customHeight="1">
      <x:c r="A210" s="10" t="n">
        <x:v>209</x:v>
      </x:c>
      <x:c r="B210" s="10" t="str">
        <x:v>ADMIN-06-0044</x:v>
      </x:c>
      <x:c r="C210" s="10" t="str">
        <x:v>礼物道具</x:v>
      </x:c>
      <x:c r="D210" s="10" t="str">
        <x:v>幸运礼物</x:v>
      </x:c>
      <x:c r="E210" s="10" t="str">
        <x:v>逻辑校验</x:v>
      </x:c>
      <x:c r="F210" s="10" t="str">
        <x:v>P1</x:v>
      </x:c>
      <x:c r="G210" s="9" t="str">
        <x:v>验证幸运礼物收益比例0</x:v>
      </x:c>
      <x:c r="H210" s="9" t="str">
        <x:v>全局收益比例范围</x:v>
      </x:c>
      <x:c r="I210" s="9" t="str">
        <x:v>1. 平台管理员账号可用
2. 幸运礼物配置可编辑</x:v>
      </x:c>
      <x:c r="J210" s="9" t="str">
        <x:v>1. 打开幸运礼物
2. 点击收益比例编辑
3. 输入收益比例为0
4. 点击保存</x:v>
      </x:c>
      <x:c r="K210" s="9" t="str">
        <x:v>收益比例保存为0%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来源（当前证据）：liveshow-proto/MainBasis/统一需求文档.md；位置：第2808行、第2810行 REQ-a1f4600567d4、第2820行 REQ-a1b754aa5dd9
2. 规则：BR-31bba97268e152bd
3. 未动态验证</x:v>
      </x:c>
    </x:row>
    <x:row r="211" ht="100" customHeight="1">
      <x:c r="A211" s="10" t="n">
        <x:v>210</x:v>
      </x:c>
      <x:c r="B211" s="10" t="str">
        <x:v>ADMIN-06-0045</x:v>
      </x:c>
      <x:c r="C211" s="10" t="str">
        <x:v>礼物道具</x:v>
      </x:c>
      <x:c r="D211" s="10" t="str">
        <x:v>幸运礼物</x:v>
      </x:c>
      <x:c r="E211" s="10" t="str">
        <x:v>逻辑校验</x:v>
      </x:c>
      <x:c r="F211" s="10" t="str">
        <x:v>P1</x:v>
      </x:c>
      <x:c r="G211" s="9" t="str">
        <x:v>验证幸运礼物收益比例1</x:v>
      </x:c>
      <x:c r="H211" s="9" t="str">
        <x:v>全局收益比例范围</x:v>
      </x:c>
      <x:c r="I211" s="9" t="str">
        <x:v>1. 平台管理员账号可用
2. 幸运礼物配置可编辑</x:v>
      </x:c>
      <x:c r="J211" s="9" t="str">
        <x:v>1. 打开幸运礼物
2. 点击收益比例编辑
3. 输入收益比例为1
4. 点击保存</x:v>
      </x:c>
      <x:c r="K211" s="9" t="str">
        <x:v>收益比例保存为1%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来源（当前证据）：liveshow-proto/MainBasis/统一需求文档.md；位置：第2808行、第2810行 REQ-a1f4600567d4、第2820行 REQ-a1b754aa5dd9
2. 规则：BR-5b6675da40f2d237
3. 未动态验证</x:v>
      </x:c>
    </x:row>
    <x:row r="212" ht="100" customHeight="1">
      <x:c r="A212" s="10" t="n">
        <x:v>211</x:v>
      </x:c>
      <x:c r="B212" s="10" t="str">
        <x:v>ADMIN-06-0046</x:v>
      </x:c>
      <x:c r="C212" s="10" t="str">
        <x:v>礼物道具</x:v>
      </x:c>
      <x:c r="D212" s="10" t="str">
        <x:v>幸运礼物</x:v>
      </x:c>
      <x:c r="E212" s="10" t="str">
        <x:v>逻辑校验</x:v>
      </x:c>
      <x:c r="F212" s="10" t="str">
        <x:v>P1</x:v>
      </x:c>
      <x:c r="G212" s="9" t="str">
        <x:v>验证幸运礼物收益比例100</x:v>
      </x:c>
      <x:c r="H212" s="9" t="str">
        <x:v>全局收益比例范围</x:v>
      </x:c>
      <x:c r="I212" s="9" t="str">
        <x:v>1. 平台管理员账号可用
2. 幸运礼物配置可编辑</x:v>
      </x:c>
      <x:c r="J212" s="9" t="str">
        <x:v>1. 打开幸运礼物
2. 点击收益比例编辑
3. 输入收益比例为100
4. 点击保存</x:v>
      </x:c>
      <x:c r="K212" s="9" t="str">
        <x:v>收益比例保存为100%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来源（当前证据）：liveshow-proto/MainBasis/统一需求文档.md；位置：第2808行、第2810行 REQ-a1f4600567d4、第2820行 REQ-a1b754aa5dd9
2. 规则：BR-2cb8cc714f9e7610
3. 未动态验证</x:v>
      </x:c>
    </x:row>
    <x:row r="213" ht="100" customHeight="1">
      <x:c r="A213" s="10" t="n">
        <x:v>212</x:v>
      </x:c>
      <x:c r="B213" s="10" t="str">
        <x:v>ADMIN-06-0047</x:v>
      </x:c>
      <x:c r="C213" s="10" t="str">
        <x:v>礼物道具</x:v>
      </x:c>
      <x:c r="D213" s="10" t="str">
        <x:v>幸运礼物</x:v>
      </x:c>
      <x:c r="E213" s="10" t="str">
        <x:v>异常用例</x:v>
      </x:c>
      <x:c r="F213" s="10" t="str">
        <x:v>P1</x:v>
      </x:c>
      <x:c r="G213" s="9" t="str">
        <x:v>验证幸运礼物收益比例101</x:v>
      </x:c>
      <x:c r="H213" s="9" t="str">
        <x:v>全局收益比例范围</x:v>
      </x:c>
      <x:c r="I213" s="9" t="str">
        <x:v>1. 平台管理员账号可用
2. 幸运礼物配置可编辑</x:v>
      </x:c>
      <x:c r="J213" s="9" t="str">
        <x:v>1. 打开幸运礼物
2. 点击收益比例编辑
3. 输入收益比例为101
4. 点击保存</x:v>
      </x:c>
      <x:c r="K213" s="9" t="str">
        <x:v>收益比例不能保存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来源（当前证据）：liveshow-proto/MainBasis/统一需求文档.md；位置：第2808行、第2810行 REQ-a1f4600567d4、第2820行 REQ-a1b754aa5dd9
2. 规则：BR-a5fd58668f083fac
3. 未动态验证</x:v>
      </x:c>
    </x:row>
    <x:row r="214" ht="115" customHeight="1">
      <x:c r="A214" s="10" t="n">
        <x:v>213</x:v>
      </x:c>
      <x:c r="B214" s="10" t="str">
        <x:v>ADMIN-06-0048</x:v>
      </x:c>
      <x:c r="C214" s="10" t="str">
        <x:v>礼物道具</x:v>
      </x:c>
      <x:c r="D214" s="10" t="str">
        <x:v>幸运礼物</x:v>
      </x:c>
      <x:c r="E214" s="10" t="str">
        <x:v>功能需求</x:v>
      </x:c>
      <x:c r="F214" s="10" t="str">
        <x:v>P1</x:v>
      </x:c>
      <x:c r="G214" s="9" t="str">
        <x:v>验证修改比例不重算历史</x:v>
      </x:c>
      <x:c r="H214" s="9" t="str">
        <x:v>收益比例历史快照</x:v>
      </x:c>
      <x:c r="I214" s="9" t="str">
        <x:v>1. 平台管理员账号可用
2. 历史赠礼时比例1%，当前已修改为2%</x:v>
      </x:c>
      <x:c r="J214" s="9" t="str">
        <x:v>1. 打开幸运礼物
2. 查看消费订单详情中该礼物的原成功订单</x:v>
      </x:c>
      <x:c r="K214" s="9" t="str">
        <x:v>历史收益仍采用赠送时1%的比例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来源（当前证据）：liveshow-proto/MainBasis/统一需求文档.md；位置：第2808行、第2818行 REQ-274973e3fdbe、第2819行 REQ-dddfd85c2847、第2821行 REQ-6acdc4af1dee
2. 规则：BR-f8dc0e2220c9b03c
3. 未动态验证</x:v>
      </x:c>
    </x:row>
    <x:row r="215" ht="115" customHeight="1">
      <x:c r="A215" s="10" t="n">
        <x:v>214</x:v>
      </x:c>
      <x:c r="B215" s="10" t="str">
        <x:v>ADMIN-06-0049</x:v>
      </x:c>
      <x:c r="C215" s="10" t="str">
        <x:v>礼物道具</x:v>
      </x:c>
      <x:c r="D215" s="10" t="str">
        <x:v>幸运礼物</x:v>
      </x:c>
      <x:c r="E215" s="10" t="str">
        <x:v>功能需求</x:v>
      </x:c>
      <x:c r="F215" s="10" t="str">
        <x:v>P1</x:v>
      </x:c>
      <x:c r="G215" s="9" t="str">
        <x:v>验证下架幸运礼物</x:v>
      </x:c>
      <x:c r="H215" s="9" t="str">
        <x:v>幸运礼物下架</x:v>
      </x:c>
      <x:c r="I215" s="9" t="str">
        <x:v>1. 平台管理员账号可用
2. 目标幸运礼物上架</x:v>
      </x:c>
      <x:c r="J215" s="9" t="str">
        <x:v>1. 打开幸运礼物
2. 点击下架
3. 确认下架</x:v>
      </x:c>
      <x:c r="K215" s="9" t="str">
        <x:v>该幸运礼物状态显示下架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来源（当前证据）：liveshow-proto/MainBasis/统一需求文档.md；位置：第2808行、第2818行 REQ-274973e3fdbe、第2819行 REQ-dddfd85c2847、第2821行 REQ-6acdc4af1dee
2. 规则：BR-fa8b497c1b926414
3. 未动态验证</x:v>
      </x:c>
    </x:row>
    <x:row r="216" ht="115" customHeight="1">
      <x:c r="A216" s="10" t="n">
        <x:v>215</x:v>
      </x:c>
      <x:c r="B216" s="10" t="str">
        <x:v>ADMIN-06-0050</x:v>
      </x:c>
      <x:c r="C216" s="10" t="str">
        <x:v>礼物道具</x:v>
      </x:c>
      <x:c r="D216" s="10" t="str">
        <x:v>幸运礼物</x:v>
      </x:c>
      <x:c r="E216" s="10" t="str">
        <x:v>功能需求</x:v>
      </x:c>
      <x:c r="F216" s="10" t="str">
        <x:v>P1</x:v>
      </x:c>
      <x:c r="G216" s="9" t="str">
        <x:v>验证进入幸运礼物编辑</x:v>
      </x:c>
      <x:c r="H216" s="9" t="str">
        <x:v>开奖配置入口</x:v>
      </x:c>
      <x:c r="I216" s="9" t="str">
        <x:v>1. 平台管理员账号可用
2. 目标幸运礼物存在</x:v>
      </x:c>
      <x:c r="J216" s="9" t="str">
        <x:v>1. 打开幸运礼物
2. 点击礼物编辑</x:v>
      </x:c>
      <x:c r="K216" s="9" t="str">
        <x:v>进入对应幸运礼物配置详情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来源（当前证据）：liveshow-proto/MainBasis/统一需求文档.md；位置：第2808行、第2818行 REQ-274973e3fdbe、第2819行 REQ-dddfd85c2847、第2821行 REQ-6acdc4af1dee
2. 规则：BR-1a1ad19e7c3ba6b7
3. 未动态验证</x:v>
      </x:c>
    </x:row>
    <x:row r="217" ht="100" customHeight="1">
      <x:c r="A217" s="10" t="n">
        <x:v>216</x:v>
      </x:c>
      <x:c r="B217" s="10" t="str">
        <x:v>ADMIN-06-0051</x:v>
      </x:c>
      <x:c r="C217" s="10" t="str">
        <x:v>礼物道具</x:v>
      </x:c>
      <x:c r="D217" s="10" t="str">
        <x:v>幸运礼物编辑</x:v>
      </x:c>
      <x:c r="E217" s="10" t="str">
        <x:v>异常用例</x:v>
      </x:c>
      <x:c r="F217" s="10" t="str">
        <x:v>P1</x:v>
      </x:c>
      <x:c r="G217" s="9" t="str">
        <x:v>验证单次消耗输入-1</x:v>
      </x:c>
      <x:c r="H217" s="9" t="str">
        <x:v>单次消耗数值边界</x:v>
      </x:c>
      <x:c r="I217" s="9" t="str">
        <x:v>1. 平台管理员账号可用
2. 当前编辑表单的其他必填字段有效</x:v>
      </x:c>
      <x:c r="J217" s="9" t="str">
        <x:v>1. 打开幸运礼物编辑
2. 输入单次消耗为-1
3. 点击保存</x:v>
      </x:c>
      <x:c r="K217" s="9" t="str">
        <x:v>单次消耗为-1时不能保存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来源（当前证据）：liveshow-proto/MainBasis/统一需求文档.md；位置：第2824行、第2827行 REQ-c7aee56192e1、第2835行 REQ-12dcff94a116
2. 规则：BR-cfe9185eada90a2b
3. 未动态验证</x:v>
      </x:c>
    </x:row>
    <x:row r="218" ht="100" customHeight="1">
      <x:c r="A218" s="10" t="n">
        <x:v>217</x:v>
      </x:c>
      <x:c r="B218" s="10" t="str">
        <x:v>ADMIN-06-0052</x:v>
      </x:c>
      <x:c r="C218" s="10" t="str">
        <x:v>礼物道具</x:v>
      </x:c>
      <x:c r="D218" s="10" t="str">
        <x:v>幸运礼物编辑</x:v>
      </x:c>
      <x:c r="E218" s="10" t="str">
        <x:v>异常用例</x:v>
      </x:c>
      <x:c r="F218" s="10" t="str">
        <x:v>P1</x:v>
      </x:c>
      <x:c r="G218" s="9" t="str">
        <x:v>验证单次消耗输入0</x:v>
      </x:c>
      <x:c r="H218" s="9" t="str">
        <x:v>单次消耗数值边界</x:v>
      </x:c>
      <x:c r="I218" s="9" t="str">
        <x:v>1. 平台管理员账号可用
2. 当前编辑表单的其他必填字段有效</x:v>
      </x:c>
      <x:c r="J218" s="9" t="str">
        <x:v>1. 打开幸运礼物编辑
2. 输入单次消耗为0
3. 点击保存</x:v>
      </x:c>
      <x:c r="K218" s="9" t="str">
        <x:v>单次消耗为0时不能保存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来源（当前证据）：liveshow-proto/MainBasis/统一需求文档.md；位置：第2824行、第2827行 REQ-c7aee56192e1、第2835行 REQ-12dcff94a116
2. 规则：BR-8aa46116ec7f9ed4
3. 未动态验证</x:v>
      </x:c>
    </x:row>
    <x:row r="219" ht="100" customHeight="1">
      <x:c r="A219" s="10" t="n">
        <x:v>218</x:v>
      </x:c>
      <x:c r="B219" s="10" t="str">
        <x:v>ADMIN-06-0053</x:v>
      </x:c>
      <x:c r="C219" s="10" t="str">
        <x:v>礼物道具</x:v>
      </x:c>
      <x:c r="D219" s="10" t="str">
        <x:v>幸运礼物编辑</x:v>
      </x:c>
      <x:c r="E219" s="10" t="str">
        <x:v>异常用例</x:v>
      </x:c>
      <x:c r="F219" s="10" t="str">
        <x:v>P1</x:v>
      </x:c>
      <x:c r="G219" s="9" t="str">
        <x:v>验证单次消耗输入1,5</x:v>
      </x:c>
      <x:c r="H219" s="9" t="str">
        <x:v>单次消耗数值边界</x:v>
      </x:c>
      <x:c r="I219" s="9" t="str">
        <x:v>1. 平台管理员账号可用
2. 当前编辑表单的其他必填字段有效</x:v>
      </x:c>
      <x:c r="J219" s="9" t="str">
        <x:v>1. 打开幸运礼物编辑
2. 输入单次消耗为1,5
3. 点击保存</x:v>
      </x:c>
      <x:c r="K219" s="9" t="str">
        <x:v>单次消耗为1,5时不能保存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来源（当前证据）：liveshow-proto/MainBasis/统一需求文档.md；位置：第2824行、第2827行 REQ-c7aee56192e1、第2835行 REQ-12dcff94a116
2. 规则：BR-5af6887175994106
3. 未动态验证</x:v>
      </x:c>
    </x:row>
    <x:row r="220" ht="100" customHeight="1">
      <x:c r="A220" s="10" t="n">
        <x:v>219</x:v>
      </x:c>
      <x:c r="B220" s="10" t="str">
        <x:v>ADMIN-06-0054</x:v>
      </x:c>
      <x:c r="C220" s="10" t="str">
        <x:v>礼物道具</x:v>
      </x:c>
      <x:c r="D220" s="10" t="str">
        <x:v>幸运礼物编辑</x:v>
      </x:c>
      <x:c r="E220" s="10" t="str">
        <x:v>逻辑校验</x:v>
      </x:c>
      <x:c r="F220" s="10" t="str">
        <x:v>P1</x:v>
      </x:c>
      <x:c r="G220" s="9" t="str">
        <x:v>验证单次消耗输入1</x:v>
      </x:c>
      <x:c r="H220" s="9" t="str">
        <x:v>单次消耗数值边界</x:v>
      </x:c>
      <x:c r="I220" s="9" t="str">
        <x:v>1. 平台管理员账号可用
2. 当前编辑表单的其他必填字段有效</x:v>
      </x:c>
      <x:c r="J220" s="9" t="str">
        <x:v>1. 打开幸运礼物编辑
2. 输入单次消耗为1
3. 点击保存</x:v>
      </x:c>
      <x:c r="K220" s="9" t="str">
        <x:v>单次消耗为1时通过数值校验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来源（当前证据）：liveshow-proto/MainBasis/统一需求文档.md；位置：第2824行、第2827行 REQ-c7aee56192e1、第2835行 REQ-12dcff94a116
2. 规则：BR-320f50bc62aada0c
3. 未动态验证</x:v>
      </x:c>
    </x:row>
    <x:row r="221" ht="100" customHeight="1">
      <x:c r="A221" s="10" t="n">
        <x:v>220</x:v>
      </x:c>
      <x:c r="B221" s="10" t="str">
        <x:v>ADMIN-06-0055</x:v>
      </x:c>
      <x:c r="C221" s="10" t="str">
        <x:v>礼物道具</x:v>
      </x:c>
      <x:c r="D221" s="10" t="str">
        <x:v>幸运礼物编辑</x:v>
      </x:c>
      <x:c r="E221" s="10" t="str">
        <x:v>异常用例</x:v>
      </x:c>
      <x:c r="F221" s="10" t="str">
        <x:v>P1</x:v>
      </x:c>
      <x:c r="G221" s="9" t="str">
        <x:v>验证开奖次数输入-1</x:v>
      </x:c>
      <x:c r="H221" s="9" t="str">
        <x:v>开奖次数数值边界</x:v>
      </x:c>
      <x:c r="I221" s="9" t="str">
        <x:v>1. 平台管理员账号可用
2. 当前编辑表单的其他必填字段有效</x:v>
      </x:c>
      <x:c r="J221" s="9" t="str">
        <x:v>1. 打开幸运礼物编辑
2. 输入开奖次数为-1
3. 点击保存</x:v>
      </x:c>
      <x:c r="K221" s="9" t="str">
        <x:v>开奖次数为-1时不能保存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来源（当前证据）：liveshow-proto/MainBasis/统一需求文档.md；位置：第2824行、第2828行 REQ-5c817820e007、第2835行 REQ-12dcff94a116
2. 规则：BR-c21b15f5f1562664
3. 未动态验证</x:v>
      </x:c>
    </x:row>
    <x:row r="222" ht="100" customHeight="1">
      <x:c r="A222" s="10" t="n">
        <x:v>221</x:v>
      </x:c>
      <x:c r="B222" s="10" t="str">
        <x:v>ADMIN-06-0056</x:v>
      </x:c>
      <x:c r="C222" s="10" t="str">
        <x:v>礼物道具</x:v>
      </x:c>
      <x:c r="D222" s="10" t="str">
        <x:v>幸运礼物编辑</x:v>
      </x:c>
      <x:c r="E222" s="10" t="str">
        <x:v>异常用例</x:v>
      </x:c>
      <x:c r="F222" s="10" t="str">
        <x:v>P1</x:v>
      </x:c>
      <x:c r="G222" s="9" t="str">
        <x:v>验证开奖次数输入0</x:v>
      </x:c>
      <x:c r="H222" s="9" t="str">
        <x:v>开奖次数数值边界</x:v>
      </x:c>
      <x:c r="I222" s="9" t="str">
        <x:v>1. 平台管理员账号可用
2. 当前编辑表单的其他必填字段有效</x:v>
      </x:c>
      <x:c r="J222" s="9" t="str">
        <x:v>1. 打开幸运礼物编辑
2. 输入开奖次数为0
3. 点击保存</x:v>
      </x:c>
      <x:c r="K222" s="9" t="str">
        <x:v>开奖次数为0时不能保存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来源（当前证据）：liveshow-proto/MainBasis/统一需求文档.md；位置：第2824行、第2828行 REQ-5c817820e007、第2835行 REQ-12dcff94a116
2. 规则：BR-077492e826dedcd6
3. 未动态验证</x:v>
      </x:c>
    </x:row>
    <x:row r="223" ht="100" customHeight="1">
      <x:c r="A223" s="10" t="n">
        <x:v>222</x:v>
      </x:c>
      <x:c r="B223" s="10" t="str">
        <x:v>ADMIN-06-0057</x:v>
      </x:c>
      <x:c r="C223" s="10" t="str">
        <x:v>礼物道具</x:v>
      </x:c>
      <x:c r="D223" s="10" t="str">
        <x:v>幸运礼物编辑</x:v>
      </x:c>
      <x:c r="E223" s="10" t="str">
        <x:v>异常用例</x:v>
      </x:c>
      <x:c r="F223" s="10" t="str">
        <x:v>P1</x:v>
      </x:c>
      <x:c r="G223" s="9" t="str">
        <x:v>验证开奖次数输入1,5</x:v>
      </x:c>
      <x:c r="H223" s="9" t="str">
        <x:v>开奖次数数值边界</x:v>
      </x:c>
      <x:c r="I223" s="9" t="str">
        <x:v>1. 平台管理员账号可用
2. 当前编辑表单的其他必填字段有效</x:v>
      </x:c>
      <x:c r="J223" s="9" t="str">
        <x:v>1. 打开幸运礼物编辑
2. 输入开奖次数为1,5
3. 点击保存</x:v>
      </x:c>
      <x:c r="K223" s="9" t="str">
        <x:v>开奖次数为1,5时不能保存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来源（当前证据）：liveshow-proto/MainBasis/统一需求文档.md；位置：第2824行、第2828行 REQ-5c817820e007、第2835行 REQ-12dcff94a116
2. 规则：BR-ae5cec735ee46619
3. 未动态验证</x:v>
      </x:c>
    </x:row>
    <x:row r="224" ht="100" customHeight="1">
      <x:c r="A224" s="10" t="n">
        <x:v>223</x:v>
      </x:c>
      <x:c r="B224" s="10" t="str">
        <x:v>ADMIN-06-0058</x:v>
      </x:c>
      <x:c r="C224" s="10" t="str">
        <x:v>礼物道具</x:v>
      </x:c>
      <x:c r="D224" s="10" t="str">
        <x:v>幸运礼物编辑</x:v>
      </x:c>
      <x:c r="E224" s="10" t="str">
        <x:v>逻辑校验</x:v>
      </x:c>
      <x:c r="F224" s="10" t="str">
        <x:v>P1</x:v>
      </x:c>
      <x:c r="G224" s="9" t="str">
        <x:v>验证开奖次数输入1</x:v>
      </x:c>
      <x:c r="H224" s="9" t="str">
        <x:v>开奖次数数值边界</x:v>
      </x:c>
      <x:c r="I224" s="9" t="str">
        <x:v>1. 平台管理员账号可用
2. 当前编辑表单的其他必填字段有效</x:v>
      </x:c>
      <x:c r="J224" s="9" t="str">
        <x:v>1. 打开幸运礼物编辑
2. 输入开奖次数为1
3. 点击保存</x:v>
      </x:c>
      <x:c r="K224" s="9" t="str">
        <x:v>开奖次数为1时通过数值校验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来源（当前证据）：liveshow-proto/MainBasis/统一需求文档.md；位置：第2824行、第2828行 REQ-5c817820e007、第2835行 REQ-12dcff94a116
2. 规则：BR-2ef9693f14f9edc3
3. 未动态验证</x:v>
      </x:c>
    </x:row>
    <x:row r="225" ht="100" customHeight="1">
      <x:c r="A225" s="10" t="n">
        <x:v>224</x:v>
      </x:c>
      <x:c r="B225" s="10" t="str">
        <x:v>ADMIN-06-0059</x:v>
      </x:c>
      <x:c r="C225" s="10" t="str">
        <x:v>礼物道具</x:v>
      </x:c>
      <x:c r="D225" s="10" t="str">
        <x:v>幸运礼物编辑</x:v>
      </x:c>
      <x:c r="E225" s="10" t="str">
        <x:v>异常用例</x:v>
      </x:c>
      <x:c r="F225" s="10" t="str">
        <x:v>P1</x:v>
      </x:c>
      <x:c r="G225" s="9" t="str">
        <x:v>验证奖励金币输入-1</x:v>
      </x:c>
      <x:c r="H225" s="9" t="str">
        <x:v>奖励金币数值边界</x:v>
      </x:c>
      <x:c r="I225" s="9" t="str">
        <x:v>1. 平台管理员账号可用
2. 当前编辑表单的其他必填字段有效</x:v>
      </x:c>
      <x:c r="J225" s="9" t="str">
        <x:v>1. 打开幸运礼物编辑
2. 输入奖励金币为-1
3. 点击保存</x:v>
      </x:c>
      <x:c r="K225" s="9" t="str">
        <x:v>奖励金币为-1时不能保存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来源（当前证据）：liveshow-proto/MainBasis/统一需求文档.md；位置：第2824行、第2829行 REQ-5e443ac8ff7a、第2835行 REQ-12dcff94a116
2. 规则：BR-36707c0ec67a2990
3. 未动态验证</x:v>
      </x:c>
    </x:row>
    <x:row r="226" ht="100" customHeight="1">
      <x:c r="A226" s="10" t="n">
        <x:v>225</x:v>
      </x:c>
      <x:c r="B226" s="10" t="str">
        <x:v>ADMIN-06-0060</x:v>
      </x:c>
      <x:c r="C226" s="10" t="str">
        <x:v>礼物道具</x:v>
      </x:c>
      <x:c r="D226" s="10" t="str">
        <x:v>幸运礼物编辑</x:v>
      </x:c>
      <x:c r="E226" s="10" t="str">
        <x:v>逻辑校验</x:v>
      </x:c>
      <x:c r="F226" s="10" t="str">
        <x:v>P1</x:v>
      </x:c>
      <x:c r="G226" s="9" t="str">
        <x:v>验证奖励金币输入0</x:v>
      </x:c>
      <x:c r="H226" s="9" t="str">
        <x:v>奖励金币数值边界</x:v>
      </x:c>
      <x:c r="I226" s="9" t="str">
        <x:v>1. 平台管理员账号可用
2. 当前编辑表单的其他必填字段有效</x:v>
      </x:c>
      <x:c r="J226" s="9" t="str">
        <x:v>1. 打开幸运礼物编辑
2. 输入奖励金币为0
3. 点击保存</x:v>
      </x:c>
      <x:c r="K226" s="9" t="str">
        <x:v>奖励金币为0时通过数值校验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来源（当前证据）：liveshow-proto/MainBasis/统一需求文档.md；位置：第2824行、第2829行 REQ-5e443ac8ff7a、第2835行 REQ-12dcff94a116
2. 规则：BR-5056f56c71075b5b
3. 未动态验证</x:v>
      </x:c>
    </x:row>
    <x:row r="227" ht="100" customHeight="1">
      <x:c r="A227" s="10" t="n">
        <x:v>226</x:v>
      </x:c>
      <x:c r="B227" s="10" t="str">
        <x:v>ADMIN-06-0061</x:v>
      </x:c>
      <x:c r="C227" s="10" t="str">
        <x:v>礼物道具</x:v>
      </x:c>
      <x:c r="D227" s="10" t="str">
        <x:v>幸运礼物编辑</x:v>
      </x:c>
      <x:c r="E227" s="10" t="str">
        <x:v>异常用例</x:v>
      </x:c>
      <x:c r="F227" s="10" t="str">
        <x:v>P1</x:v>
      </x:c>
      <x:c r="G227" s="9" t="str">
        <x:v>验证奖励金币输入1,5</x:v>
      </x:c>
      <x:c r="H227" s="9" t="str">
        <x:v>奖励金币数值边界</x:v>
      </x:c>
      <x:c r="I227" s="9" t="str">
        <x:v>1. 平台管理员账号可用
2. 当前编辑表单的其他必填字段有效</x:v>
      </x:c>
      <x:c r="J227" s="9" t="str">
        <x:v>1. 打开幸运礼物编辑
2. 输入奖励金币为1,5
3. 点击保存</x:v>
      </x:c>
      <x:c r="K227" s="9" t="str">
        <x:v>奖励金币为1,5时不能保存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来源（当前证据）：liveshow-proto/MainBasis/统一需求文档.md；位置：第2824行、第2829行 REQ-5e443ac8ff7a、第2835行 REQ-12dcff94a116
2. 规则：BR-506b37b56a42ae9b
3. 未动态验证</x:v>
      </x:c>
    </x:row>
    <x:row r="228" ht="100" customHeight="1">
      <x:c r="A228" s="10" t="n">
        <x:v>227</x:v>
      </x:c>
      <x:c r="B228" s="10" t="str">
        <x:v>ADMIN-06-0062</x:v>
      </x:c>
      <x:c r="C228" s="10" t="str">
        <x:v>礼物道具</x:v>
      </x:c>
      <x:c r="D228" s="10" t="str">
        <x:v>幸运礼物编辑</x:v>
      </x:c>
      <x:c r="E228" s="10" t="str">
        <x:v>逻辑校验</x:v>
      </x:c>
      <x:c r="F228" s="10" t="str">
        <x:v>P1</x:v>
      </x:c>
      <x:c r="G228" s="9" t="str">
        <x:v>验证奖励金币输入1</x:v>
      </x:c>
      <x:c r="H228" s="9" t="str">
        <x:v>奖励金币数值边界</x:v>
      </x:c>
      <x:c r="I228" s="9" t="str">
        <x:v>1. 平台管理员账号可用
2. 当前编辑表单的其他必填字段有效</x:v>
      </x:c>
      <x:c r="J228" s="9" t="str">
        <x:v>1. 打开幸运礼物编辑
2. 输入奖励金币为1
3. 点击保存</x:v>
      </x:c>
      <x:c r="K228" s="9" t="str">
        <x:v>奖励金币为1时通过数值校验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来源（当前证据）：liveshow-proto/MainBasis/统一需求文档.md；位置：第2824行、第2829行 REQ-5e443ac8ff7a、第2835行 REQ-12dcff94a116
2. 规则：BR-4664c812aaf56f98
3. 未动态验证</x:v>
      </x:c>
    </x:row>
    <x:row r="229" ht="100" customHeight="1">
      <x:c r="A229" s="10" t="n">
        <x:v>228</x:v>
      </x:c>
      <x:c r="B229" s="10" t="str">
        <x:v>ADMIN-06-0063</x:v>
      </x:c>
      <x:c r="C229" s="10" t="str">
        <x:v>礼物道具</x:v>
      </x:c>
      <x:c r="D229" s="10" t="str">
        <x:v>幸运礼物编辑</x:v>
      </x:c>
      <x:c r="E229" s="10" t="str">
        <x:v>功能需求</x:v>
      </x:c>
      <x:c r="F229" s="10" t="str">
        <x:v>P1</x:v>
      </x:c>
      <x:c r="G229" s="9" t="str">
        <x:v>验证中文名称缺失</x:v>
      </x:c>
      <x:c r="H229" s="9" t="str">
        <x:v>中文名称必填</x:v>
      </x:c>
      <x:c r="I229" s="9" t="str">
        <x:v>1. 平台管理员账号可用
2. 其他必填字段和其他语言均有效</x:v>
      </x:c>
      <x:c r="J229" s="9" t="str">
        <x:v>1. 打开幸运礼物编辑
2. 清空中文名称
3. 点击保存</x:v>
      </x:c>
      <x:c r="K229" s="9" t="str">
        <x:v>缺少中文名称不能保存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来源（当前证据）：liveshow-proto/MainBasis/统一需求文档.md；位置：第2824行、第2826行 REQ-b86c882650ec、第2835行 REQ-12dcff94a116
2. 规则：BR-df184e8a2f477b03
3. 未动态验证</x:v>
      </x:c>
    </x:row>
    <x:row r="230" ht="100" customHeight="1">
      <x:c r="A230" s="10" t="n">
        <x:v>229</x:v>
      </x:c>
      <x:c r="B230" s="10" t="str">
        <x:v>ADMIN-06-0064</x:v>
      </x:c>
      <x:c r="C230" s="10" t="str">
        <x:v>礼物道具</x:v>
      </x:c>
      <x:c r="D230" s="10" t="str">
        <x:v>幸运礼物编辑</x:v>
      </x:c>
      <x:c r="E230" s="10" t="str">
        <x:v>功能需求</x:v>
      </x:c>
      <x:c r="F230" s="10" t="str">
        <x:v>P1</x:v>
      </x:c>
      <x:c r="G230" s="9" t="str">
        <x:v>验证英语名称缺失</x:v>
      </x:c>
      <x:c r="H230" s="9" t="str">
        <x:v>英语名称必填</x:v>
      </x:c>
      <x:c r="I230" s="9" t="str">
        <x:v>1. 平台管理员账号可用
2. 其他必填字段和其他语言均有效</x:v>
      </x:c>
      <x:c r="J230" s="9" t="str">
        <x:v>1. 打开幸运礼物编辑
2. 清空英语名称
3. 点击保存</x:v>
      </x:c>
      <x:c r="K230" s="9" t="str">
        <x:v>缺少英语名称不能保存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来源（当前证据）：liveshow-proto/MainBasis/统一需求文档.md；位置：第2824行、第2826行 REQ-b86c882650ec、第2835行 REQ-12dcff94a116
2. 规则：BR-a874dff89c2f1c73
3. 未动态验证</x:v>
      </x:c>
    </x:row>
    <x:row r="231" ht="100" customHeight="1">
      <x:c r="A231" s="10" t="n">
        <x:v>230</x:v>
      </x:c>
      <x:c r="B231" s="10" t="str">
        <x:v>ADMIN-06-0065</x:v>
      </x:c>
      <x:c r="C231" s="10" t="str">
        <x:v>礼物道具</x:v>
      </x:c>
      <x:c r="D231" s="10" t="str">
        <x:v>幸运礼物编辑</x:v>
      </x:c>
      <x:c r="E231" s="10" t="str">
        <x:v>功能需求</x:v>
      </x:c>
      <x:c r="F231" s="10" t="str">
        <x:v>P1</x:v>
      </x:c>
      <x:c r="G231" s="9" t="str">
        <x:v>验证印尼语名称缺失</x:v>
      </x:c>
      <x:c r="H231" s="9" t="str">
        <x:v>印尼语名称必填</x:v>
      </x:c>
      <x:c r="I231" s="9" t="str">
        <x:v>1. 平台管理员账号可用
2. 其他必填字段和其他语言均有效</x:v>
      </x:c>
      <x:c r="J231" s="9" t="str">
        <x:v>1. 打开幸运礼物编辑
2. 清空印尼语名称
3. 点击保存</x:v>
      </x:c>
      <x:c r="K231" s="9" t="str">
        <x:v>缺少印尼语名称不能保存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来源（当前证据）：liveshow-proto/MainBasis/统一需求文档.md；位置：第2824行、第2826行 REQ-b86c882650ec、第2835行 REQ-12dcff94a116
2. 规则：BR-a412cb8455d893ee
3. 未动态验证</x:v>
      </x:c>
    </x:row>
    <x:row r="232" ht="100" customHeight="1">
      <x:c r="A232" s="10" t="n">
        <x:v>231</x:v>
      </x:c>
      <x:c r="B232" s="10" t="str">
        <x:v>ADMIN-06-0066</x:v>
      </x:c>
      <x:c r="C232" s="10" t="str">
        <x:v>礼物道具</x:v>
      </x:c>
      <x:c r="D232" s="10" t="str">
        <x:v>幸运礼物编辑</x:v>
      </x:c>
      <x:c r="E232" s="10" t="str">
        <x:v>功能需求</x:v>
      </x:c>
      <x:c r="F232" s="10" t="str">
        <x:v>P1</x:v>
      </x:c>
      <x:c r="G232" s="9" t="str">
        <x:v>验证马来语名称缺失</x:v>
      </x:c>
      <x:c r="H232" s="9" t="str">
        <x:v>马来语名称必填</x:v>
      </x:c>
      <x:c r="I232" s="9" t="str">
        <x:v>1. 平台管理员账号可用
2. 其他必填字段和其他语言均有效</x:v>
      </x:c>
      <x:c r="J232" s="9" t="str">
        <x:v>1. 打开幸运礼物编辑
2. 清空马来语名称
3. 点击保存</x:v>
      </x:c>
      <x:c r="K232" s="9" t="str">
        <x:v>缺少马来语名称不能保存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来源（当前证据）：liveshow-proto/MainBasis/统一需求文档.md；位置：第2824行、第2826行 REQ-b86c882650ec、第2835行 REQ-12dcff94a116
2. 规则：BR-174f0b3c95a74e2c
3. 未动态验证</x:v>
      </x:c>
    </x:row>
    <x:row r="233" ht="85" customHeight="1">
      <x:c r="A233" s="10" t="n">
        <x:v>232</x:v>
      </x:c>
      <x:c r="B233" s="10" t="str">
        <x:v>ADMIN-06-0067</x:v>
      </x:c>
      <x:c r="C233" s="10" t="str">
        <x:v>礼物道具</x:v>
      </x:c>
      <x:c r="D233" s="10" t="str">
        <x:v>幸运礼物编辑</x:v>
      </x:c>
      <x:c r="E233" s="10" t="str">
        <x:v>逻辑校验</x:v>
      </x:c>
      <x:c r="F233" s="10" t="str">
        <x:v>P1</x:v>
      </x:c>
      <x:c r="G233" s="9" t="str">
        <x:v>验证幸运礼物单价</x:v>
      </x:c>
      <x:c r="H233" s="9" t="str">
        <x:v>独立开奖总价格</x:v>
      </x:c>
      <x:c r="I233" s="9" t="str">
        <x:v>1. 平台管理员账号可用
2. 其他配置有效</x:v>
      </x:c>
      <x:c r="J233" s="9" t="str">
        <x:v>1. 打开幸运礼物编辑
2. 输入单次消耗为10
3. 输入开奖次数为3</x:v>
      </x:c>
      <x:c r="K233" s="9" t="str">
        <x:v>计算结果：礼物单价=10×3=30金币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来源（当前证据）：liveshow-proto/MainBasis/统一需求文档.md；位置：第2824行、第2828行 REQ-5c817820e007
2. 规则：BR-bbfcd98f2416a687
3. 未动态验证</x:v>
      </x:c>
    </x:row>
    <x:row r="234" ht="130" customHeight="1">
      <x:c r="A234" s="10" t="n">
        <x:v>233</x:v>
      </x:c>
      <x:c r="B234" s="10" t="str">
        <x:v>ADMIN-06-0068</x:v>
      </x:c>
      <x:c r="C234" s="10" t="str">
        <x:v>礼物道具</x:v>
      </x:c>
      <x:c r="D234" s="10" t="str">
        <x:v>幸运礼物编辑</x:v>
      </x:c>
      <x:c r="E234" s="10" t="str">
        <x:v>功能需求</x:v>
      </x:c>
      <x:c r="F234" s="10" t="str">
        <x:v>P1</x:v>
      </x:c>
      <x:c r="G234" s="9" t="str">
        <x:v>验证奖励档位重复</x:v>
      </x:c>
      <x:c r="H234" s="9" t="str">
        <x:v>奖励档位唯一性</x:v>
      </x:c>
      <x:c r="I234" s="9" t="str">
        <x:v>1. 平台管理员账号可用
2. 其他字段有效</x:v>
      </x:c>
      <x:c r="J234" s="9" t="str">
        <x:v>1. 打开幸运礼物编辑
2. 输入两个奖励金币均为100的档位
3. 点击保存</x:v>
      </x:c>
      <x:c r="K234" s="9" t="str">
        <x:v>重复奖励金币档位不能保存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规则：BR-bc2ffc0d57bf12cc
3. 未动态验证</x:v>
      </x:c>
    </x:row>
    <x:row r="235" ht="130" customHeight="1">
      <x:c r="A235" s="10" t="n">
        <x:v>234</x:v>
      </x:c>
      <x:c r="B235" s="10" t="str">
        <x:v>ADMIN-06-0069</x:v>
      </x:c>
      <x:c r="C235" s="10" t="str">
        <x:v>礼物道具</x:v>
      </x:c>
      <x:c r="D235" s="10" t="str">
        <x:v>幸运礼物编辑</x:v>
      </x:c>
      <x:c r="E235" s="10" t="str">
        <x:v>功能需求</x:v>
      </x:c>
      <x:c r="F235" s="10" t="str">
        <x:v>P1</x:v>
      </x:c>
      <x:c r="G235" s="9" t="str">
        <x:v>验证概率合计不足100</x:v>
      </x:c>
      <x:c r="H235" s="9" t="str">
        <x:v>概率总和下界</x:v>
      </x:c>
      <x:c r="I235" s="9" t="str">
        <x:v>1. 平台管理员账号可用
2. 单次消耗与图片均有效</x:v>
      </x:c>
      <x:c r="J235" s="9" t="str">
        <x:v>1. 打开幸运礼物编辑
2. 输入两个档位概率为40%和50%
3. 点击保存</x:v>
      </x:c>
      <x:c r="K235" s="9" t="str">
        <x:v>概率合计90%不能生效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规则：BR-a55f306f6e9f5398
3. 未动态验证</x:v>
      </x:c>
    </x:row>
    <x:row r="236" ht="130" customHeight="1">
      <x:c r="A236" s="10" t="n">
        <x:v>235</x:v>
      </x:c>
      <x:c r="B236" s="10" t="str">
        <x:v>ADMIN-06-0070</x:v>
      </x:c>
      <x:c r="C236" s="10" t="str">
        <x:v>礼物道具</x:v>
      </x:c>
      <x:c r="D236" s="10" t="str">
        <x:v>幸运礼物编辑</x:v>
      </x:c>
      <x:c r="E236" s="10" t="str">
        <x:v>功能需求</x:v>
      </x:c>
      <x:c r="F236" s="10" t="str">
        <x:v>P1</x:v>
      </x:c>
      <x:c r="G236" s="9" t="str">
        <x:v>验证概率合计超过100</x:v>
      </x:c>
      <x:c r="H236" s="9" t="str">
        <x:v>概率总和上界</x:v>
      </x:c>
      <x:c r="I236" s="9" t="str">
        <x:v>1. 平台管理员账号可用
2. 单次消耗与图片均有效</x:v>
      </x:c>
      <x:c r="J236" s="9" t="str">
        <x:v>1. 打开幸运礼物编辑
2. 输入两个档位概率为60%和50%
3. 点击保存</x:v>
      </x:c>
      <x:c r="K236" s="9" t="str">
        <x:v>概率合计110%不能生效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规则：BR-bcc6e05462e53a05
3. 未动态验证</x:v>
      </x:c>
    </x:row>
    <x:row r="237" ht="130" customHeight="1">
      <x:c r="A237" s="10" t="n">
        <x:v>236</x:v>
      </x:c>
      <x:c r="B237" s="10" t="str">
        <x:v>ADMIN-06-0071</x:v>
      </x:c>
      <x:c r="C237" s="10" t="str">
        <x:v>礼物道具</x:v>
      </x:c>
      <x:c r="D237" s="10" t="str">
        <x:v>幸运礼物编辑</x:v>
      </x:c>
      <x:c r="E237" s="10" t="str">
        <x:v>功能需求</x:v>
      </x:c>
      <x:c r="F237" s="10" t="str">
        <x:v>P1</x:v>
      </x:c>
      <x:c r="G237" s="9" t="str">
        <x:v>验证单档概率为负</x:v>
      </x:c>
      <x:c r="H237" s="9" t="str">
        <x:v>概率负数限制</x:v>
      </x:c>
      <x:c r="I237" s="9" t="str">
        <x:v>1. 平台管理员账号可用
2. 其余字段有效</x:v>
      </x:c>
      <x:c r="J237" s="9" t="str">
        <x:v>1. 打开幸运礼物编辑
2. 输入一个档位概率为-1%
3. 点击保存</x:v>
      </x:c>
      <x:c r="K237" s="9" t="str">
        <x:v>负数概率不能保存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规则：BR-348ae3689239a028
3. 未动态验证</x:v>
      </x:c>
    </x:row>
    <x:row r="238" ht="130" customHeight="1">
      <x:c r="A238" s="10" t="n">
        <x:v>237</x:v>
      </x:c>
      <x:c r="B238" s="10" t="str">
        <x:v>ADMIN-06-0072</x:v>
      </x:c>
      <x:c r="C238" s="10" t="str">
        <x:v>礼物道具</x:v>
      </x:c>
      <x:c r="D238" s="10" t="str">
        <x:v>幸运礼物编辑</x:v>
      </x:c>
      <x:c r="E238" s="10" t="str">
        <x:v>功能需求</x:v>
      </x:c>
      <x:c r="F238" s="10" t="str">
        <x:v>P1</x:v>
      </x:c>
      <x:c r="G238" s="9" t="str">
        <x:v>验证单档概率超100</x:v>
      </x:c>
      <x:c r="H238" s="9" t="str">
        <x:v>单档概率上界</x:v>
      </x:c>
      <x:c r="I238" s="9" t="str">
        <x:v>1. 平台管理员账号可用
2. 其余字段有效</x:v>
      </x:c>
      <x:c r="J238" s="9" t="str">
        <x:v>1. 打开幸运礼物编辑
2. 输入一个档位概率为101%
3. 点击保存</x:v>
      </x:c>
      <x:c r="K238" s="9" t="str">
        <x:v>超过100%的单档概率不能保存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规则：BR-9052e44e2051a6c1
3. 未动态验证</x:v>
      </x:c>
    </x:row>
    <x:row r="239" ht="130" customHeight="1">
      <x:c r="A239" s="10" t="n">
        <x:v>238</x:v>
      </x:c>
      <x:c r="B239" s="10" t="str">
        <x:v>ADMIN-06-0073</x:v>
      </x:c>
      <x:c r="C239" s="10" t="str">
        <x:v>礼物道具</x:v>
      </x:c>
      <x:c r="D239" s="10" t="str">
        <x:v>幸运礼物编辑</x:v>
      </x:c>
      <x:c r="E239" s="10" t="str">
        <x:v>功能需求</x:v>
      </x:c>
      <x:c r="F239" s="10" t="str">
        <x:v>P1</x:v>
      </x:c>
      <x:c r="G239" s="9" t="str">
        <x:v>验证修改概率实时重算</x:v>
      </x:c>
      <x:c r="H239" s="9" t="str">
        <x:v>RTP实时计算</x:v>
      </x:c>
      <x:c r="I239" s="9" t="str">
        <x:v>1. 平台管理员账号可用
2. 单次消耗10金币，两个奖励档位为0和20金币</x:v>
      </x:c>
      <x:c r="J239" s="9" t="str">
        <x:v>1. 打开幸运礼物编辑
2. 输入两个档位概率均为50%</x:v>
      </x:c>
      <x:c r="K239" s="9" t="str">
        <x:v>RTP显示100%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规则：BR-e8e3b72db00bcc3e
3. 未动态验证</x:v>
      </x:c>
    </x:row>
    <x:row r="240" ht="190" customHeight="1">
      <x:c r="A240" s="10" t="n">
        <x:v>239</x:v>
      </x:c>
      <x:c r="B240" s="10" t="str">
        <x:v>ADMIN-06-0074</x:v>
      </x:c>
      <x:c r="C240" s="10" t="str">
        <x:v>礼物道具</x:v>
      </x:c>
      <x:c r="D240" s="10" t="str">
        <x:v>幸运礼物编辑</x:v>
      </x:c>
      <x:c r="E240" s="10" t="str">
        <x:v>功能需求</x:v>
      </x:c>
      <x:c r="F240" s="10" t="str">
        <x:v>P1</x:v>
      </x:c>
      <x:c r="G240" s="9" t="str">
        <x:v>验证RTP向上保留一位小数</x:v>
      </x:c>
      <x:c r="H240" s="9" t="str">
        <x:v>RTP进位方向</x:v>
      </x:c>
      <x:c r="I240" s="9" t="str">
        <x:v>1. 平台管理员账号可用
2. 单次消耗3金币，奖励档位0和1金币，概率均为50%</x:v>
      </x:c>
      <x:c r="J240" s="9" t="str">
        <x:v>1. 打开幸运礼物编辑
2. 输入单次消耗为3
3. 输入奖励档位为0和1金币
4. 输入两档概率均为50%
5. 查看RTP</x:v>
      </x:c>
      <x:c r="K240" s="9" t="str">
        <x:v>RTP=向上保留1位小数[(0×50%+1×50%)÷3×100%]=16.7%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规则：BR-e041d36c4114fd67
3. 未动态验证
4. 独立复算：Math.ceil((0×0.5+1×0.5)/3×100×10)/10=16.7；当前共享表达式不支持向上取整，数值在本次生成脚本中独立断言。</x:v>
      </x:c>
    </x:row>
    <x:row r="241" ht="130" customHeight="1">
      <x:c r="A241" s="10" t="n">
        <x:v>240</x:v>
      </x:c>
      <x:c r="B241" s="10" t="str">
        <x:v>ADMIN-06-0075</x:v>
      </x:c>
      <x:c r="C241" s="10" t="str">
        <x:v>礼物道具</x:v>
      </x:c>
      <x:c r="D241" s="10" t="str">
        <x:v>幸运礼物编辑</x:v>
      </x:c>
      <x:c r="E241" s="10" t="str">
        <x:v>功能需求</x:v>
      </x:c>
      <x:c r="F241" s="10" t="str">
        <x:v>P1</x:v>
      </x:c>
      <x:c r="G241" s="9" t="str">
        <x:v>验证概率端点允许零</x:v>
      </x:c>
      <x:c r="H241" s="9" t="str">
        <x:v>零中奖概率合法</x:v>
      </x:c>
      <x:c r="I241" s="9" t="str">
        <x:v>1. 平台管理员账号可用
2. 奖励0金币概率0%，奖励10金币概率100%，其他字段有效</x:v>
      </x:c>
      <x:c r="J241" s="9" t="str">
        <x:v>1. 打开幸运礼物编辑
2. 点击保存</x:v>
      </x:c>
      <x:c r="K241" s="9" t="str">
        <x:v>概率0%和100%的配置通过概率校验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规则：BR-3ae809f52a9881e1
3. 未动态验证</x:v>
      </x:c>
    </x:row>
    <x:row r="242" ht="100" customHeight="1">
      <x:c r="A242" s="10" t="n">
        <x:v>241</x:v>
      </x:c>
      <x:c r="B242" s="10" t="str">
        <x:v>ADMIN-06-0076</x:v>
      </x:c>
      <x:c r="C242" s="10" t="str">
        <x:v>礼物道具</x:v>
      </x:c>
      <x:c r="D242" s="10" t="str">
        <x:v>道具详情</x:v>
      </x:c>
      <x:c r="E242" s="10" t="str">
        <x:v>异常用例</x:v>
      </x:c>
      <x:c r="F242" s="10" t="str">
        <x:v>P1</x:v>
      </x:c>
      <x:c r="G242" s="9" t="str">
        <x:v>验证单价输入-1</x:v>
      </x:c>
      <x:c r="H242" s="9" t="str">
        <x:v>单价数值边界</x:v>
      </x:c>
      <x:c r="I242" s="9" t="str">
        <x:v>1. 平台管理员账号可用
2. 当前编辑表单的其他必填字段有效</x:v>
      </x:c>
      <x:c r="J242" s="9" t="str">
        <x:v>1. 打开道具详情
2. 输入单价为-1
3. 点击保存</x:v>
      </x:c>
      <x:c r="K242" s="9" t="str">
        <x:v>单价为-1时不能保存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来源（当前证据）：liveshow-proto/MainBasis/统一需求文档.md；位置：第2852行、第2857行 REQ-bc9f5b9f1671、第2864行 REQ-536bd55c4469
2. 规则：BR-f86ca386e99207f8
3. 未动态验证</x:v>
      </x:c>
    </x:row>
    <x:row r="243" ht="100" customHeight="1">
      <x:c r="A243" s="10" t="n">
        <x:v>242</x:v>
      </x:c>
      <x:c r="B243" s="10" t="str">
        <x:v>ADMIN-06-0077</x:v>
      </x:c>
      <x:c r="C243" s="10" t="str">
        <x:v>礼物道具</x:v>
      </x:c>
      <x:c r="D243" s="10" t="str">
        <x:v>道具详情</x:v>
      </x:c>
      <x:c r="E243" s="10" t="str">
        <x:v>异常用例</x:v>
      </x:c>
      <x:c r="F243" s="10" t="str">
        <x:v>P1</x:v>
      </x:c>
      <x:c r="G243" s="9" t="str">
        <x:v>验证单价输入0</x:v>
      </x:c>
      <x:c r="H243" s="9" t="str">
        <x:v>单价数值边界</x:v>
      </x:c>
      <x:c r="I243" s="9" t="str">
        <x:v>1. 平台管理员账号可用
2. 当前编辑表单的其他必填字段有效</x:v>
      </x:c>
      <x:c r="J243" s="9" t="str">
        <x:v>1. 打开道具详情
2. 输入单价为0
3. 点击保存</x:v>
      </x:c>
      <x:c r="K243" s="9" t="str">
        <x:v>单价为0时不能保存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来源（当前证据）：liveshow-proto/MainBasis/统一需求文档.md；位置：第2852行、第2857行 REQ-bc9f5b9f1671、第2864行 REQ-536bd55c4469
2. 规则：BR-1bc58029c88ab7e7
3. 未动态验证</x:v>
      </x:c>
    </x:row>
    <x:row r="244" ht="100" customHeight="1">
      <x:c r="A244" s="10" t="n">
        <x:v>243</x:v>
      </x:c>
      <x:c r="B244" s="10" t="str">
        <x:v>ADMIN-06-0078</x:v>
      </x:c>
      <x:c r="C244" s="10" t="str">
        <x:v>礼物道具</x:v>
      </x:c>
      <x:c r="D244" s="10" t="str">
        <x:v>道具详情</x:v>
      </x:c>
      <x:c r="E244" s="10" t="str">
        <x:v>异常用例</x:v>
      </x:c>
      <x:c r="F244" s="10" t="str">
        <x:v>P1</x:v>
      </x:c>
      <x:c r="G244" s="9" t="str">
        <x:v>验证单价输入1,5</x:v>
      </x:c>
      <x:c r="H244" s="9" t="str">
        <x:v>单价数值边界</x:v>
      </x:c>
      <x:c r="I244" s="9" t="str">
        <x:v>1. 平台管理员账号可用
2. 当前编辑表单的其他必填字段有效</x:v>
      </x:c>
      <x:c r="J244" s="9" t="str">
        <x:v>1. 打开道具详情
2. 输入单价为1,5
3. 点击保存</x:v>
      </x:c>
      <x:c r="K244" s="9" t="str">
        <x:v>单价为1,5时不能保存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来源（当前证据）：liveshow-proto/MainBasis/统一需求文档.md；位置：第2852行、第2857行 REQ-bc9f5b9f1671、第2864行 REQ-536bd55c4469
2. 规则：BR-8f9b0aedfe3348c5
3. 未动态验证</x:v>
      </x:c>
    </x:row>
    <x:row r="245" ht="100" customHeight="1">
      <x:c r="A245" s="10" t="n">
        <x:v>244</x:v>
      </x:c>
      <x:c r="B245" s="10" t="str">
        <x:v>ADMIN-06-0079</x:v>
      </x:c>
      <x:c r="C245" s="10" t="str">
        <x:v>礼物道具</x:v>
      </x:c>
      <x:c r="D245" s="10" t="str">
        <x:v>道具详情</x:v>
      </x:c>
      <x:c r="E245" s="10" t="str">
        <x:v>逻辑校验</x:v>
      </x:c>
      <x:c r="F245" s="10" t="str">
        <x:v>P1</x:v>
      </x:c>
      <x:c r="G245" s="9" t="str">
        <x:v>验证单价输入1</x:v>
      </x:c>
      <x:c r="H245" s="9" t="str">
        <x:v>单价数值边界</x:v>
      </x:c>
      <x:c r="I245" s="9" t="str">
        <x:v>1. 平台管理员账号可用
2. 当前编辑表单的其他必填字段有效</x:v>
      </x:c>
      <x:c r="J245" s="9" t="str">
        <x:v>1. 打开道具详情
2. 输入单价为1
3. 点击保存</x:v>
      </x:c>
      <x:c r="K245" s="9" t="str">
        <x:v>单价为1时通过数值校验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来源（当前证据）：liveshow-proto/MainBasis/统一需求文档.md；位置：第2852行、第2857行 REQ-bc9f5b9f1671、第2864行 REQ-536bd55c4469
2. 规则：BR-704cb5cfda8ab05f
3. 未动态验证</x:v>
      </x:c>
    </x:row>
    <x:row r="246" ht="100" customHeight="1">
      <x:c r="A246" s="10" t="n">
        <x:v>245</x:v>
      </x:c>
      <x:c r="B246" s="10" t="str">
        <x:v>ADMIN-06-0080</x:v>
      </x:c>
      <x:c r="C246" s="10" t="str">
        <x:v>礼物道具</x:v>
      </x:c>
      <x:c r="D246" s="10" t="str">
        <x:v>道具详情</x:v>
      </x:c>
      <x:c r="E246" s="10" t="str">
        <x:v>功能需求</x:v>
      </x:c>
      <x:c r="F246" s="10" t="str">
        <x:v>P1</x:v>
      </x:c>
      <x:c r="G246" s="9" t="str">
        <x:v>验证中文名称缺失</x:v>
      </x:c>
      <x:c r="H246" s="9" t="str">
        <x:v>中文名称必填</x:v>
      </x:c>
      <x:c r="I246" s="9" t="str">
        <x:v>1. 平台管理员账号可用
2. 其他必填字段和其他语言均有效</x:v>
      </x:c>
      <x:c r="J246" s="9" t="str">
        <x:v>1. 打开道具详情
2. 清空中文名称
3. 点击保存</x:v>
      </x:c>
      <x:c r="K246" s="9" t="str">
        <x:v>缺少中文名称不能保存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来源（当前证据）：liveshow-proto/MainBasis/统一需求文档.md；位置：第2852行、第2855行 REQ-33906d76fdac、第2864行 REQ-536bd55c4469
2. 规则：BR-8e22b97a145fa8c4
3. 未动态验证</x:v>
      </x:c>
    </x:row>
    <x:row r="247" ht="100" customHeight="1">
      <x:c r="A247" s="10" t="n">
        <x:v>246</x:v>
      </x:c>
      <x:c r="B247" s="10" t="str">
        <x:v>ADMIN-06-0081</x:v>
      </x:c>
      <x:c r="C247" s="10" t="str">
        <x:v>礼物道具</x:v>
      </x:c>
      <x:c r="D247" s="10" t="str">
        <x:v>道具详情</x:v>
      </x:c>
      <x:c r="E247" s="10" t="str">
        <x:v>功能需求</x:v>
      </x:c>
      <x:c r="F247" s="10" t="str">
        <x:v>P1</x:v>
      </x:c>
      <x:c r="G247" s="9" t="str">
        <x:v>验证英语名称缺失</x:v>
      </x:c>
      <x:c r="H247" s="9" t="str">
        <x:v>英语名称必填</x:v>
      </x:c>
      <x:c r="I247" s="9" t="str">
        <x:v>1. 平台管理员账号可用
2. 其他必填字段和其他语言均有效</x:v>
      </x:c>
      <x:c r="J247" s="9" t="str">
        <x:v>1. 打开道具详情
2. 清空英语名称
3. 点击保存</x:v>
      </x:c>
      <x:c r="K247" s="9" t="str">
        <x:v>缺少英语名称不能保存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来源（当前证据）：liveshow-proto/MainBasis/统一需求文档.md；位置：第2852行、第2855行 REQ-33906d76fdac、第2864行 REQ-536bd55c4469
2. 规则：BR-15565486783d935f
3. 未动态验证</x:v>
      </x:c>
    </x:row>
    <x:row r="248" ht="100" customHeight="1">
      <x:c r="A248" s="10" t="n">
        <x:v>247</x:v>
      </x:c>
      <x:c r="B248" s="10" t="str">
        <x:v>ADMIN-06-0082</x:v>
      </x:c>
      <x:c r="C248" s="10" t="str">
        <x:v>礼物道具</x:v>
      </x:c>
      <x:c r="D248" s="10" t="str">
        <x:v>道具详情</x:v>
      </x:c>
      <x:c r="E248" s="10" t="str">
        <x:v>功能需求</x:v>
      </x:c>
      <x:c r="F248" s="10" t="str">
        <x:v>P1</x:v>
      </x:c>
      <x:c r="G248" s="9" t="str">
        <x:v>验证印尼语名称缺失</x:v>
      </x:c>
      <x:c r="H248" s="9" t="str">
        <x:v>印尼语名称必填</x:v>
      </x:c>
      <x:c r="I248" s="9" t="str">
        <x:v>1. 平台管理员账号可用
2. 其他必填字段和其他语言均有效</x:v>
      </x:c>
      <x:c r="J248" s="9" t="str">
        <x:v>1. 打开道具详情
2. 清空印尼语名称
3. 点击保存</x:v>
      </x:c>
      <x:c r="K248" s="9" t="str">
        <x:v>缺少印尼语名称不能保存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来源（当前证据）：liveshow-proto/MainBasis/统一需求文档.md；位置：第2852行、第2855行 REQ-33906d76fdac、第2864行 REQ-536bd55c4469
2. 规则：BR-1f40d753d5aeb823
3. 未动态验证</x:v>
      </x:c>
    </x:row>
    <x:row r="249" ht="100" customHeight="1">
      <x:c r="A249" s="10" t="n">
        <x:v>248</x:v>
      </x:c>
      <x:c r="B249" s="10" t="str">
        <x:v>ADMIN-06-0083</x:v>
      </x:c>
      <x:c r="C249" s="10" t="str">
        <x:v>礼物道具</x:v>
      </x:c>
      <x:c r="D249" s="10" t="str">
        <x:v>道具详情</x:v>
      </x:c>
      <x:c r="E249" s="10" t="str">
        <x:v>功能需求</x:v>
      </x:c>
      <x:c r="F249" s="10" t="str">
        <x:v>P1</x:v>
      </x:c>
      <x:c r="G249" s="9" t="str">
        <x:v>验证马来语名称缺失</x:v>
      </x:c>
      <x:c r="H249" s="9" t="str">
        <x:v>马来语名称必填</x:v>
      </x:c>
      <x:c r="I249" s="9" t="str">
        <x:v>1. 平台管理员账号可用
2. 其他必填字段和其他语言均有效</x:v>
      </x:c>
      <x:c r="J249" s="9" t="str">
        <x:v>1. 打开道具详情
2. 清空马来语名称
3. 点击保存</x:v>
      </x:c>
      <x:c r="K249" s="9" t="str">
        <x:v>缺少马来语名称不能保存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来源（当前证据）：liveshow-proto/MainBasis/统一需求文档.md；位置：第2852行、第2855行 REQ-33906d76fdac、第2864行 REQ-536bd55c4469
2. 规则：BR-b0908d1713f97948
3. 未动态验证</x:v>
      </x:c>
    </x:row>
    <x:row r="250" ht="130" customHeight="1">
      <x:c r="A250" s="10" t="n">
        <x:v>249</x:v>
      </x:c>
      <x:c r="B250" s="10" t="str">
        <x:v>ADMIN-06-0084</x:v>
      </x:c>
      <x:c r="C250" s="10" t="str">
        <x:v>礼物道具</x:v>
      </x:c>
      <x:c r="D250" s="10" t="str">
        <x:v>道具详情</x:v>
      </x:c>
      <x:c r="E250" s="10" t="str">
        <x:v>功能需求</x:v>
      </x:c>
      <x:c r="F250" s="10" t="str">
        <x:v>P1</x:v>
      </x:c>
      <x:c r="G250" s="9" t="str">
        <x:v>验证道具ID只读</x:v>
      </x:c>
      <x:c r="H250" s="9" t="str">
        <x:v>道具ID编辑限制</x:v>
      </x:c>
      <x:c r="I250" s="9" t="str">
        <x:v>1. 平台管理员账号可用
2. 已有道具</x:v>
      </x:c>
      <x:c r="J250" s="9" t="str">
        <x:v>1. 打开道具详情</x:v>
      </x:c>
      <x:c r="K250" s="9" t="str">
        <x:v>道具ID不可编辑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规则：BR-65ee30686217444a
3. 未动态验证</x:v>
      </x:c>
    </x:row>
    <x:row r="251" ht="130" customHeight="1">
      <x:c r="A251" s="10" t="n">
        <x:v>250</x:v>
      </x:c>
      <x:c r="B251" s="10" t="str">
        <x:v>ADMIN-06-0085</x:v>
      </x:c>
      <x:c r="C251" s="10" t="str">
        <x:v>礼物道具</x:v>
      </x:c>
      <x:c r="D251" s="10" t="str">
        <x:v>道具详情</x:v>
      </x:c>
      <x:c r="E251" s="10" t="str">
        <x:v>功能需求</x:v>
      </x:c>
      <x:c r="F251" s="10" t="str">
        <x:v>P1</x:v>
      </x:c>
      <x:c r="G251" s="9" t="str">
        <x:v>验证缺少道具素材</x:v>
      </x:c>
      <x:c r="H251" s="9" t="str">
        <x:v>道具素材必填</x:v>
      </x:c>
      <x:c r="I251" s="9" t="str">
        <x:v>1. 平台管理员账号可用
2. 其他字段有效</x:v>
      </x:c>
      <x:c r="J251" s="9" t="str">
        <x:v>1. 打开道具详情
2. 删除素材
3. 点击保存</x:v>
      </x:c>
      <x:c r="K251" s="9" t="str">
        <x:v>无素材不能保存道具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规则：BR-08174f3f2ac7da87
3. 未动态验证</x:v>
      </x:c>
    </x:row>
    <x:row r="252" ht="130" customHeight="1">
      <x:c r="A252" s="10" t="n">
        <x:v>251</x:v>
      </x:c>
      <x:c r="B252" s="10" t="str">
        <x:v>ADMIN-06-0086</x:v>
      </x:c>
      <x:c r="C252" s="10" t="str">
        <x:v>礼物道具</x:v>
      </x:c>
      <x:c r="D252" s="10" t="str">
        <x:v>道具详情</x:v>
      </x:c>
      <x:c r="E252" s="10" t="str">
        <x:v>功能需求</x:v>
      </x:c>
      <x:c r="F252" s="10" t="str">
        <x:v>P1</x:v>
      </x:c>
      <x:c r="G252" s="9" t="str">
        <x:v>验证默认可佩戴期限</x:v>
      </x:c>
      <x:c r="H252" s="9" t="str">
        <x:v>道具默认期限</x:v>
      </x:c>
      <x:c r="I252" s="9" t="str">
        <x:v>1. 平台管理员账号可用
2. 新建道具表单</x:v>
      </x:c>
      <x:c r="J252" s="9" t="str">
        <x:v>1. 打开道具详情</x:v>
      </x:c>
      <x:c r="K252" s="9" t="str">
        <x:v>默认期限为当天至当天后第30天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规则：BR-01ee9dadbd016a69
3. 未动态验证</x:v>
      </x:c>
    </x:row>
    <x:row r="253" ht="130" customHeight="1">
      <x:c r="A253" s="10" t="n">
        <x:v>252</x:v>
      </x:c>
      <x:c r="B253" s="10" t="str">
        <x:v>ADMIN-06-0087</x:v>
      </x:c>
      <x:c r="C253" s="10" t="str">
        <x:v>礼物道具</x:v>
      </x:c>
      <x:c r="D253" s="10" t="str">
        <x:v>道具详情</x:v>
      </x:c>
      <x:c r="E253" s="10" t="str">
        <x:v>功能需求</x:v>
      </x:c>
      <x:c r="F253" s="10" t="str">
        <x:v>P1</x:v>
      </x:c>
      <x:c r="G253" s="9" t="str">
        <x:v>验证开始日期在过去</x:v>
      </x:c>
      <x:c r="H253" s="9" t="str">
        <x:v>道具开始日期限制</x:v>
      </x:c>
      <x:c r="I253" s="9" t="str">
        <x:v>1. 平台管理员账号可用
2. 其他字段有效</x:v>
      </x:c>
      <x:c r="J253" s="9" t="str">
        <x:v>1. 打开道具详情
2. 选择开始日期为昨天
3. 点击保存</x:v>
      </x:c>
      <x:c r="K253" s="9" t="str">
        <x:v>开始日期早于当天不能保存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规则：BR-fdeb16c435bfb6fc
3. 未动态验证</x:v>
      </x:c>
    </x:row>
    <x:row r="254" ht="130" customHeight="1">
      <x:c r="A254" s="10" t="n">
        <x:v>253</x:v>
      </x:c>
      <x:c r="B254" s="10" t="str">
        <x:v>ADMIN-06-0088</x:v>
      </x:c>
      <x:c r="C254" s="10" t="str">
        <x:v>礼物道具</x:v>
      </x:c>
      <x:c r="D254" s="10" t="str">
        <x:v>道具详情</x:v>
      </x:c>
      <x:c r="E254" s="10" t="str">
        <x:v>功能需求</x:v>
      </x:c>
      <x:c r="F254" s="10" t="str">
        <x:v>P1</x:v>
      </x:c>
      <x:c r="G254" s="9" t="str">
        <x:v>验证结束与开始同日</x:v>
      </x:c>
      <x:c r="H254" s="9" t="str">
        <x:v>道具结束日期限制</x:v>
      </x:c>
      <x:c r="I254" s="9" t="str">
        <x:v>1. 平台管理员账号可用
2. 其他字段有效</x:v>
      </x:c>
      <x:c r="J254" s="9" t="str">
        <x:v>1. 打开道具详情
2. 选择开始和结束日期均为今天
3. 点击保存</x:v>
      </x:c>
      <x:c r="K254" s="9" t="str">
        <x:v>结束日期不晚于开始日期不能保存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规则：BR-fdb4f8c9d94f35e5
3. 未动态验证</x:v>
      </x:c>
    </x:row>
    <x:row r="255" ht="130" customHeight="1">
      <x:c r="A255" s="10" t="n">
        <x:v>254</x:v>
      </x:c>
      <x:c r="B255" s="10" t="str">
        <x:v>ADMIN-06-0089</x:v>
      </x:c>
      <x:c r="C255" s="10" t="str">
        <x:v>礼物道具</x:v>
      </x:c>
      <x:c r="D255" s="10" t="str">
        <x:v>道具详情</x:v>
      </x:c>
      <x:c r="E255" s="10" t="str">
        <x:v>功能需求</x:v>
      </x:c>
      <x:c r="F255" s="10" t="str">
        <x:v>P1</x:v>
      </x:c>
      <x:c r="G255" s="9" t="str">
        <x:v>验证道具永久有效</x:v>
      </x:c>
      <x:c r="H255" s="9" t="str">
        <x:v>不限期限保存</x:v>
      </x:c>
      <x:c r="I255" s="9" t="str">
        <x:v>1. 平台管理员账号可用
2. 必填名称、图标、素材和单价有效</x:v>
      </x:c>
      <x:c r="J255" s="9" t="str">
        <x:v>1. 打开道具详情
2. 选择可佩戴期限为不限
3. 点击保存</x:v>
      </x:c>
      <x:c r="K255" s="9" t="str">
        <x:v>期限保存为永久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规则：BR-8174d324db0d1535
3. 未动态验证</x:v>
      </x:c>
    </x:row>
    <x:row r="256" ht="130" customHeight="1">
      <x:c r="A256" s="10" t="n">
        <x:v>255</x:v>
      </x:c>
      <x:c r="B256" s="10" t="str">
        <x:v>ADMIN-06-0090</x:v>
      </x:c>
      <x:c r="C256" s="10" t="str">
        <x:v>礼物道具</x:v>
      </x:c>
      <x:c r="D256" s="10" t="str">
        <x:v>道具详情</x:v>
      </x:c>
      <x:c r="E256" s="10" t="str">
        <x:v>功能需求</x:v>
      </x:c>
      <x:c r="F256" s="10" t="str">
        <x:v>P1</x:v>
      </x:c>
      <x:c r="G256" s="9" t="str">
        <x:v>验证道具编辑留痕</x:v>
      </x:c>
      <x:c r="H256" s="9" t="str">
        <x:v>道具操作记录</x:v>
      </x:c>
      <x:c r="I256" s="9" t="str">
        <x:v>1. 平台管理员账号可用
2. 已有道具可编辑</x:v>
      </x:c>
      <x:c r="J256" s="9" t="str">
        <x:v>1. 打开道具详情
2. 修改排序权重为2
3. 点击保存</x:v>
      </x:c>
      <x:c r="K256" s="9" t="str">
        <x:v>操作记录包含本次变更说明、操作人及时间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规则：BR-25a61858f4c52e43
3. 未动态验证</x:v>
      </x:c>
    </x:row>
    <x:row r="257" ht="85" customHeight="1">
      <x:c r="A257" s="10" t="n">
        <x:v>256</x:v>
      </x:c>
      <x:c r="B257" s="10" t="str">
        <x:v>ADMIN-06-0091</x:v>
      </x:c>
      <x:c r="C257" s="10" t="str">
        <x:v>礼物道具</x:v>
      </x:c>
      <x:c r="D257" s="10" t="str">
        <x:v>道具详情</x:v>
      </x:c>
      <x:c r="E257" s="10" t="str">
        <x:v>功能需求</x:v>
      </x:c>
      <x:c r="F257" s="10" t="str">
        <x:v>P1</x:v>
      </x:c>
      <x:c r="G257" s="9" t="str">
        <x:v>验证权重不接受小数</x:v>
      </x:c>
      <x:c r="H257" s="9" t="str">
        <x:v>排序整数限制</x:v>
      </x:c>
      <x:c r="I257" s="9" t="str">
        <x:v>1. 平台管理员账号可用
2. 其他必填配置有效</x:v>
      </x:c>
      <x:c r="J257" s="9" t="str">
        <x:v>1. 打开道具详情
2. 输入排序权重为1,5
3. 点击保存</x:v>
      </x:c>
      <x:c r="K257" s="9" t="str">
        <x:v>小数权重不能保存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来源（当前证据）：liveshow-proto/MainBasis/统一需求文档.md；位置：第2852行、第2859行 REQ-94868bc2521f
2. 规则：BR-9fb106028ce3f409
3. 未动态验证</x:v>
      </x:c>
    </x:row>
    <x:row r="258" ht="85" customHeight="1">
      <x:c r="A258" s="10" t="n">
        <x:v>257</x:v>
      </x:c>
      <x:c r="B258" s="10" t="str">
        <x:v>ADMIN-06-0092</x:v>
      </x:c>
      <x:c r="C258" s="10" t="str">
        <x:v>礼物道具</x:v>
      </x:c>
      <x:c r="D258" s="10" t="str">
        <x:v>道具详情</x:v>
      </x:c>
      <x:c r="E258" s="10" t="str">
        <x:v>功能需求</x:v>
      </x:c>
      <x:c r="F258" s="10" t="str">
        <x:v>P1</x:v>
      </x:c>
      <x:c r="G258" s="9" t="str">
        <x:v>验证较大排序权重在前</x:v>
      </x:c>
      <x:c r="H258" s="9" t="str">
        <x:v>排序权重方向</x:v>
      </x:c>
      <x:c r="I258" s="9" t="str">
        <x:v>1. 平台管理员账号可用
2. 同类两个上架项目权重分别1和2，已保存</x:v>
      </x:c>
      <x:c r="J258" s="9" t="str">
        <x:v>1. 打开道具详情
2. 返回列表</x:v>
      </x:c>
      <x:c r="K258" s="9" t="str">
        <x:v>权重2的项目排列在权重1之前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来源（当前证据）：liveshow-proto/MainBasis/统一需求文档.md；位置：第2852行、第2859行 REQ-94868bc2521f
2. 规则：BR-3949d5b9aa77da78
3. 未动态验证</x:v>
      </x:c>
    </x:row>
    <x:row r="259" ht="85" customHeight="1">
      <x:c r="A259" s="10" t="n">
        <x:v>258</x:v>
      </x:c>
      <x:c r="B259" s="10" t="str">
        <x:v>ADMIN-06-0093</x:v>
      </x:c>
      <x:c r="C259" s="10" t="str">
        <x:v>礼物道具</x:v>
      </x:c>
      <x:c r="D259" s="10" t="str">
        <x:v>道具详情</x:v>
      </x:c>
      <x:c r="E259" s="10" t="str">
        <x:v>功能需求</x:v>
      </x:c>
      <x:c r="F259" s="10" t="str">
        <x:v>P1</x:v>
      </x:c>
      <x:c r="G259" s="9" t="str">
        <x:v>验证道具固定类型限制</x:v>
      </x:c>
      <x:c r="H259" s="9" t="str">
        <x:v>支持类型范围</x:v>
      </x:c>
      <x:c r="I259" s="9" t="str">
        <x:v>1. 平台管理员账号可用
2. 已记录本期App支持的固定道具类型</x:v>
      </x:c>
      <x:c r="J259" s="9" t="str">
        <x:v>1. 打开道具详情
2. 展开道具类型</x:v>
      </x:c>
      <x:c r="K259" s="9" t="str">
        <x:v>可选项只包含本期已支持的道具类型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来源（当前证据）：liveshow-proto/MainBasis/统一需求文档.md；位置：第2852行、第2856行 REQ-dd209e012169
2. 规则：BR-718837ec6c7c7cf3
3. 未动态验证</x:v>
      </x:c>
    </x:row>
    <x:row r="260" ht="100" customHeight="1">
      <x:c r="A260" s="10" t="n">
        <x:v>259</x:v>
      </x:c>
      <x:c r="B260" s="10" t="str">
        <x:v>ADMIN-06-0094</x:v>
      </x:c>
      <x:c r="C260" s="10" t="str">
        <x:v>礼物道具</x:v>
      </x:c>
      <x:c r="D260" s="10" t="str">
        <x:v>道具配置</x:v>
      </x:c>
      <x:c r="E260" s="10" t="str">
        <x:v>功能需求</x:v>
      </x:c>
      <x:c r="F260" s="10" t="str">
        <x:v>P1</x:v>
      </x:c>
      <x:c r="G260" s="9" t="str">
        <x:v>验证查询勋章道具</x:v>
      </x:c>
      <x:c r="H260" s="9" t="str">
        <x:v>固定道具类型筛选</x:v>
      </x:c>
      <x:c r="I260" s="9" t="str">
        <x:v>1. 平台管理员账号可用
2. 平台存在不同类型道具</x:v>
      </x:c>
      <x:c r="J260" s="9" t="str">
        <x:v>1. 打开道具配置
2. 切换勋章Tab</x:v>
      </x:c>
      <x:c r="K260" s="9" t="str">
        <x:v>列表仅展示勋章道具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来源（当前证据）：liveshow-proto/MainBasis/统一需求文档.md；位置：第2838行、第2840行 REQ-beec626ff0b1、第2849行 REQ-8bd8b19dd398
2. 规则：BR-e6c78af66b77ef54
3. 未动态验证</x:v>
      </x:c>
    </x:row>
    <x:row r="261" ht="100" customHeight="1">
      <x:c r="A261" s="10" t="n">
        <x:v>260</x:v>
      </x:c>
      <x:c r="B261" s="10" t="str">
        <x:v>ADMIN-06-0095</x:v>
      </x:c>
      <x:c r="C261" s="10" t="str">
        <x:v>礼物道具</x:v>
      </x:c>
      <x:c r="D261" s="10" t="str">
        <x:v>道具配置</x:v>
      </x:c>
      <x:c r="E261" s="10" t="str">
        <x:v>功能需求</x:v>
      </x:c>
      <x:c r="F261" s="10" t="str">
        <x:v>P1</x:v>
      </x:c>
      <x:c r="G261" s="9" t="str">
        <x:v>验证查询气泡道具</x:v>
      </x:c>
      <x:c r="H261" s="9" t="str">
        <x:v>固定道具类型筛选</x:v>
      </x:c>
      <x:c r="I261" s="9" t="str">
        <x:v>1. 平台管理员账号可用
2. 平台存在不同类型道具</x:v>
      </x:c>
      <x:c r="J261" s="9" t="str">
        <x:v>1. 打开道具配置
2. 切换气泡Tab</x:v>
      </x:c>
      <x:c r="K261" s="9" t="str">
        <x:v>列表仅展示气泡道具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来源（当前证据）：liveshow-proto/MainBasis/统一需求文档.md；位置：第2838行、第2840行 REQ-beec626ff0b1、第2849行 REQ-8bd8b19dd398
2. 规则：BR-e183c9fa72ad78d9
3. 未动态验证</x:v>
      </x:c>
    </x:row>
    <x:row r="262" ht="100" customHeight="1">
      <x:c r="A262" s="10" t="n">
        <x:v>261</x:v>
      </x:c>
      <x:c r="B262" s="10" t="str">
        <x:v>ADMIN-06-0096</x:v>
      </x:c>
      <x:c r="C262" s="10" t="str">
        <x:v>礼物道具</x:v>
      </x:c>
      <x:c r="D262" s="10" t="str">
        <x:v>道具配置</x:v>
      </x:c>
      <x:c r="E262" s="10" t="str">
        <x:v>功能需求</x:v>
      </x:c>
      <x:c r="F262" s="10" t="str">
        <x:v>P1</x:v>
      </x:c>
      <x:c r="G262" s="9" t="str">
        <x:v>验证查询头像框道具</x:v>
      </x:c>
      <x:c r="H262" s="9" t="str">
        <x:v>固定道具类型筛选</x:v>
      </x:c>
      <x:c r="I262" s="9" t="str">
        <x:v>1. 平台管理员账号可用
2. 平台存在不同类型道具</x:v>
      </x:c>
      <x:c r="J262" s="9" t="str">
        <x:v>1. 打开道具配置
2. 切换头像框Tab</x:v>
      </x:c>
      <x:c r="K262" s="9" t="str">
        <x:v>列表仅展示头像框道具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来源（当前证据）：liveshow-proto/MainBasis/统一需求文档.md；位置：第2838行、第2840行 REQ-beec626ff0b1、第2849行 REQ-8bd8b19dd398
2. 规则：BR-d33675b13fa9f83e
3. 未动态验证</x:v>
      </x:c>
    </x:row>
    <x:row r="263" ht="115" customHeight="1">
      <x:c r="A263" s="10" t="n">
        <x:v>262</x:v>
      </x:c>
      <x:c r="B263" s="10" t="str">
        <x:v>ADMIN-06-0097</x:v>
      </x:c>
      <x:c r="C263" s="10" t="str">
        <x:v>礼物道具</x:v>
      </x:c>
      <x:c r="D263" s="10" t="str">
        <x:v>道具配置</x:v>
      </x:c>
      <x:c r="E263" s="10" t="str">
        <x:v>功能需求</x:v>
      </x:c>
      <x:c r="F263" s="10" t="str">
        <x:v>P1</x:v>
      </x:c>
      <x:c r="G263" s="9" t="str">
        <x:v>验证道具类型不可新增</x:v>
      </x:c>
      <x:c r="H263" s="9" t="str">
        <x:v>固定类型范围</x:v>
      </x:c>
      <x:c r="I263" s="9" t="str">
        <x:v>1. 平台管理员账号可用
2. 当前后台道具管理可访问</x:v>
      </x:c>
      <x:c r="J263" s="9" t="str">
        <x:v>1. 打开道具配置</x:v>
      </x:c>
      <x:c r="K263" s="9" t="str">
        <x:v>不存在新增道具类型入口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来源（当前证据）：liveshow-proto/MainBasis/统一需求文档.md；位置：第2838行、第2840行 REQ-beec626ff0b1、第2847行 REQ-d6bd53bfa7de、第2849行 REQ-8bd8b19dd398
2. 规则：BR-e1d3379ec897c4a0
3. 未动态验证</x:v>
      </x:c>
    </x:row>
    <x:row r="264" ht="115" customHeight="1">
      <x:c r="A264" s="10" t="n">
        <x:v>263</x:v>
      </x:c>
      <x:c r="B264" s="10" t="str">
        <x:v>ADMIN-06-0098</x:v>
      </x:c>
      <x:c r="C264" s="10" t="str">
        <x:v>礼物道具</x:v>
      </x:c>
      <x:c r="D264" s="10" t="str">
        <x:v>道具配置</x:v>
      </x:c>
      <x:c r="E264" s="10" t="str">
        <x:v>功能需求</x:v>
      </x:c>
      <x:c r="F264" s="10" t="str">
        <x:v>P1</x:v>
      </x:c>
      <x:c r="G264" s="9" t="str">
        <x:v>验证道具下架不删除条目</x:v>
      </x:c>
      <x:c r="H264" s="9" t="str">
        <x:v>道具下架状态</x:v>
      </x:c>
      <x:c r="I264" s="9" t="str">
        <x:v>1. 平台管理员账号可用
2. 目标道具已上架</x:v>
      </x:c>
      <x:c r="J264" s="9" t="str">
        <x:v>1. 打开道具配置
2. 点击下架
3. 确认下架</x:v>
      </x:c>
      <x:c r="K264" s="9" t="str">
        <x:v>道具保留在后台且状态为下架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来源（当前证据）：liveshow-proto/MainBasis/统一需求文档.md；位置：第2838行、第2840行 REQ-beec626ff0b1、第2847行 REQ-d6bd53bfa7de、第2849行 REQ-8bd8b19dd398
2. 规则：BR-50d77769186ff5f2
3. 未动态验证</x:v>
      </x:c>
    </x:row>
    <x:row r="265" ht="115" customHeight="1">
      <x:c r="A265" s="10" t="n">
        <x:v>264</x:v>
      </x:c>
      <x:c r="B265" s="10" t="str">
        <x:v>ADMIN-06-0099</x:v>
      </x:c>
      <x:c r="C265" s="10" t="str">
        <x:v>礼物道具</x:v>
      </x:c>
      <x:c r="D265" s="10" t="str">
        <x:v>道具配置</x:v>
      </x:c>
      <x:c r="E265" s="10" t="str">
        <x:v>功能需求</x:v>
      </x:c>
      <x:c r="F265" s="10" t="str">
        <x:v>P1</x:v>
      </x:c>
      <x:c r="G265" s="9" t="str">
        <x:v>验证编辑道具入口</x:v>
      </x:c>
      <x:c r="H265" s="9" t="str">
        <x:v>道具编辑定位</x:v>
      </x:c>
      <x:c r="I265" s="9" t="str">
        <x:v>1. 平台管理员账号可用
2. 列表有目标道具</x:v>
      </x:c>
      <x:c r="J265" s="9" t="str">
        <x:v>1. 打开道具配置
2. 点击编辑</x:v>
      </x:c>
      <x:c r="K265" s="9" t="str">
        <x:v>进入该道具详情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来源（当前证据）：liveshow-proto/MainBasis/统一需求文档.md；位置：第2838行、第2840行 REQ-beec626ff0b1、第2847行 REQ-d6bd53bfa7de、第2849行 REQ-8bd8b19dd398
2. 规则：BR-6b11b5139405a8a8
3. 未动态验证</x:v>
      </x:c>
    </x:row>
    <x:row r="266" ht="85" customHeight="1">
      <x:c r="A266" s="10" t="n">
        <x:v>265</x:v>
      </x:c>
      <x:c r="B266" s="10" t="str">
        <x:v>ADMIN-06-0100</x:v>
      </x:c>
      <x:c r="C266" s="10" t="str">
        <x:v>礼物道具</x:v>
      </x:c>
      <x:c r="D266" s="10" t="str">
        <x:v>道具配置</x:v>
      </x:c>
      <x:c r="E266" s="10" t="str">
        <x:v>功能需求</x:v>
      </x:c>
      <x:c r="F266" s="10" t="str">
        <x:v>P1</x:v>
      </x:c>
      <x:c r="G266" s="9" t="str">
        <x:v>验证多个道具编号</x:v>
      </x:c>
      <x:c r="H266" s="9" t="str">
        <x:v>道具ID唯一性</x:v>
      </x:c>
      <x:c r="I266" s="9" t="str">
        <x:v>1. 平台管理员账号可用
2. 已创建两个不同类型道具</x:v>
      </x:c>
      <x:c r="J266" s="9" t="str">
        <x:v>1. 打开道具配置</x:v>
      </x:c>
      <x:c r="K266" s="9" t="str">
        <x:v>两个道具ID不同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来源（当前证据）：liveshow-proto/MainBasis/统一需求文档.md；位置：第2838行、第2841行 REQ-c9fd2890d1af
2. 规则：BR-f6be1b6b1eba60ef
3. 未动态验证</x:v>
      </x:c>
    </x:row>
    <x:row r="267" ht="100" customHeight="1">
      <x:c r="A267" s="10" t="n">
        <x:v>266</x:v>
      </x:c>
      <x:c r="B267" s="10" t="str">
        <x:v>ADMIN-07-0001</x:v>
      </x:c>
      <x:c r="C267" s="10" t="str">
        <x:v>运营配置</x:v>
      </x:c>
      <x:c r="D267" s="10" t="str">
        <x:v>直播房型</x:v>
      </x:c>
      <x:c r="E267" s="10" t="str">
        <x:v>功能需求</x:v>
      </x:c>
      <x:c r="F267" s="10" t="str">
        <x:v>P1</x:v>
      </x:c>
      <x:c r="G267" s="9" t="str">
        <x:v>验证关闭门票房</x:v>
      </x:c>
      <x:c r="H267" s="9" t="str">
        <x:v>房型开关状态</x:v>
      </x:c>
      <x:c r="I267" s="9" t="str">
        <x:v>1. 平台管理员账号可用
2. 该房型当前开启</x:v>
      </x:c>
      <x:c r="J267" s="9" t="str">
        <x:v>1. 打开直播房型
2. 关闭门票房开关</x:v>
      </x:c>
      <x:c r="K267" s="9" t="str">
        <x:v>该房型状态显示关闭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来源（当前证据）：liveshow-proto/MainBasis/统一需求文档.md；位置：第3024行、第3027行 REQ-316080ff6aed、第3030行 REQ-9fddd63a4147
2. 规则：BR-ba77b12d3bb1255a
3. 未动态验证</x:v>
      </x:c>
    </x:row>
    <x:row r="268" ht="100" customHeight="1">
      <x:c r="A268" s="10" t="n">
        <x:v>267</x:v>
      </x:c>
      <x:c r="B268" s="10" t="str">
        <x:v>ADMIN-07-0002</x:v>
      </x:c>
      <x:c r="C268" s="10" t="str">
        <x:v>运营配置</x:v>
      </x:c>
      <x:c r="D268" s="10" t="str">
        <x:v>直播房型</x:v>
      </x:c>
      <x:c r="E268" s="10" t="str">
        <x:v>功能需求</x:v>
      </x:c>
      <x:c r="F268" s="10" t="str">
        <x:v>P1</x:v>
      </x:c>
      <x:c r="G268" s="9" t="str">
        <x:v>验证关闭密码房</x:v>
      </x:c>
      <x:c r="H268" s="9" t="str">
        <x:v>房型开关状态</x:v>
      </x:c>
      <x:c r="I268" s="9" t="str">
        <x:v>1. 平台管理员账号可用
2. 该房型当前开启</x:v>
      </x:c>
      <x:c r="J268" s="9" t="str">
        <x:v>1. 打开直播房型
2. 关闭密码房开关</x:v>
      </x:c>
      <x:c r="K268" s="9" t="str">
        <x:v>该房型状态显示关闭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来源（当前证据）：liveshow-proto/MainBasis/统一需求文档.md；位置：第3024行、第3027行 REQ-316080ff6aed、第3030行 REQ-9fddd63a4147
2. 规则：BR-adf036354aac0c3f
3. 未动态验证</x:v>
      </x:c>
    </x:row>
    <x:row r="269" ht="115" customHeight="1">
      <x:c r="A269" s="10" t="n">
        <x:v>268</x:v>
      </x:c>
      <x:c r="B269" s="10" t="str">
        <x:v>ADMIN-07-0003</x:v>
      </x:c>
      <x:c r="C269" s="10" t="str">
        <x:v>运营配置</x:v>
      </x:c>
      <x:c r="D269" s="10" t="str">
        <x:v>直播房型</x:v>
      </x:c>
      <x:c r="E269" s="10" t="str">
        <x:v>功能需求</x:v>
      </x:c>
      <x:c r="F269" s="10" t="str">
        <x:v>P1</x:v>
      </x:c>
      <x:c r="G269" s="9" t="str">
        <x:v>验证系统房型不可新增</x:v>
      </x:c>
      <x:c r="H269" s="9" t="str">
        <x:v>房型配置范围</x:v>
      </x:c>
      <x:c r="I269" s="9" t="str">
        <x:v>1. 平台管理员账号可用
2. 房型列表可访问</x:v>
      </x:c>
      <x:c r="J269" s="9" t="str">
        <x:v>1. 打开直播房型</x:v>
      </x:c>
      <x:c r="K269" s="9" t="str">
        <x:v>不提供新增或编辑房型名称入口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来源（当前证据）：liveshow-proto/MainBasis/统一需求文档.md；位置：第3024行、第3026行 REQ-093ef08f208c、第3029行 REQ-cfe379ad1ee1、第3030行 REQ-9fddd63a4147
2. 规则：BR-d051664befcd754b
3. 未动态验证</x:v>
      </x:c>
    </x:row>
    <x:row r="270" ht="115" customHeight="1">
      <x:c r="A270" s="10" t="n">
        <x:v>269</x:v>
      </x:c>
      <x:c r="B270" s="10" t="str">
        <x:v>ADMIN-07-0004</x:v>
      </x:c>
      <x:c r="C270" s="10" t="str">
        <x:v>运营配置</x:v>
      </x:c>
      <x:c r="D270" s="10" t="str">
        <x:v>直播房型</x:v>
      </x:c>
      <x:c r="E270" s="10" t="str">
        <x:v>功能需求</x:v>
      </x:c>
      <x:c r="F270" s="10" t="str">
        <x:v>P1</x:v>
      </x:c>
      <x:c r="G270" s="9" t="str">
        <x:v>验证关闭房型保留已有场次</x:v>
      </x:c>
      <x:c r="H270" s="9" t="str">
        <x:v>房型与场次隔离</x:v>
      </x:c>
      <x:c r="I270" s="9" t="str">
        <x:v>1. 平台管理员账号可用
2. 一个门票房场次已经开始</x:v>
      </x:c>
      <x:c r="J270" s="9" t="str">
        <x:v>1. 打开直播房型
2. 关闭门票房开关
3. 打开直播场次</x:v>
      </x:c>
      <x:c r="K270" s="9" t="str">
        <x:v>既有门票房场次仍为直播中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来源（当前证据）：liveshow-proto/MainBasis/统一需求文档.md；位置：第3024行、第3026行 REQ-093ef08f208c、第3029行 REQ-cfe379ad1ee1、第3030行 REQ-9fddd63a4147
2. 规则：BR-684672a187472783
3. 未动态验证</x:v>
      </x:c>
    </x:row>
    <x:row r="271" ht="115" customHeight="1">
      <x:c r="A271" s="10" t="n">
        <x:v>270</x:v>
      </x:c>
      <x:c r="B271" s="10" t="str">
        <x:v>ADMIN-07-0005</x:v>
      </x:c>
      <x:c r="C271" s="10" t="str">
        <x:v>运营配置</x:v>
      </x:c>
      <x:c r="D271" s="10" t="str">
        <x:v>直播房型</x:v>
      </x:c>
      <x:c r="E271" s="10" t="str">
        <x:v>功能需求</x:v>
      </x:c>
      <x:c r="F271" s="10" t="str">
        <x:v>P1</x:v>
      </x:c>
      <x:c r="G271" s="9" t="str">
        <x:v>验证门票房价格配置入口</x:v>
      </x:c>
      <x:c r="H271" s="9" t="str">
        <x:v>门票档位入口</x:v>
      </x:c>
      <x:c r="I271" s="9" t="str">
        <x:v>1. 平台管理员账号可用
2. 房型列表存在门票房</x:v>
      </x:c>
      <x:c r="J271" s="9" t="str">
        <x:v>1. 打开直播房型
2. 点击门票房价格配置</x:v>
      </x:c>
      <x:c r="K271" s="9" t="str">
        <x:v>进入门票价格档位列表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来源（当前证据）：liveshow-proto/MainBasis/统一需求文档.md；位置：第3024行、第3026行 REQ-093ef08f208c、第3029行 REQ-cfe379ad1ee1、第3030行 REQ-9fddd63a4147
2. 规则：BR-1283b4f61b29ecc9
3. 未动态验证</x:v>
      </x:c>
    </x:row>
    <x:row r="272" ht="85" customHeight="1">
      <x:c r="A272" s="10" t="n">
        <x:v>271</x:v>
      </x:c>
      <x:c r="B272" s="10" t="str">
        <x:v>ADMIN-07-0006</x:v>
      </x:c>
      <x:c r="C272" s="10" t="str">
        <x:v>运营配置</x:v>
      </x:c>
      <x:c r="D272" s="10" t="str">
        <x:v>直播房型</x:v>
      </x:c>
      <x:c r="E272" s="10" t="str">
        <x:v>功能需求</x:v>
      </x:c>
      <x:c r="F272" s="10" t="str">
        <x:v>P1</x:v>
      </x:c>
      <x:c r="G272" s="9" t="str">
        <x:v>验证功能开关修改留痕</x:v>
      </x:c>
      <x:c r="H272" s="9" t="str">
        <x:v>开关操作人归属</x:v>
      </x:c>
      <x:c r="I272" s="9" t="str">
        <x:v>1. 平台管理员账号可用
2. 已知当前管理员账号</x:v>
      </x:c>
      <x:c r="J272" s="9" t="str">
        <x:v>1. 打开直播房型</x:v>
      </x:c>
      <x:c r="K272" s="9" t="str">
        <x:v>最后操作人显示最近完成开关修改的管理员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来源（当前证据）：liveshow-proto/MainBasis/统一需求文档.md；位置：第3024行、第3028行 REQ-05b0b9fc4ecb
2. 规则：BR-df4561637f9a10ec
3. 未动态验证</x:v>
      </x:c>
    </x:row>
    <x:row r="273" ht="100" customHeight="1">
      <x:c r="A273" s="10" t="n">
        <x:v>272</x:v>
      </x:c>
      <x:c r="B273" s="10" t="str">
        <x:v>ADMIN-07-0007</x:v>
      </x:c>
      <x:c r="C273" s="10" t="str">
        <x:v>运营配置</x:v>
      </x:c>
      <x:c r="D273" s="10" t="str">
        <x:v>公会推荐编辑</x:v>
      </x:c>
      <x:c r="E273" s="10" t="str">
        <x:v>异常用例</x:v>
      </x:c>
      <x:c r="F273" s="10" t="str">
        <x:v>P1</x:v>
      </x:c>
      <x:c r="G273" s="9" t="str">
        <x:v>验证排序权重输入-1</x:v>
      </x:c>
      <x:c r="H273" s="9" t="str">
        <x:v>排序权重数值边界</x:v>
      </x:c>
      <x:c r="I273" s="9" t="str">
        <x:v>1. 平台管理员账号可用
2. 当前编辑表单的其他必填字段有效</x:v>
      </x:c>
      <x:c r="J273" s="9" t="str">
        <x:v>1. 打开公会推荐编辑
2. 输入排序权重为-1
3. 点击保存</x:v>
      </x:c>
      <x:c r="K273" s="9" t="str">
        <x:v>排序权重为-1时不能保存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来源（当前证据）：liveshow-proto/MainBasis/统一需求文档.md；位置：第2986行、第2989行 REQ-4ad383f1de8a、第2990行 REQ-7b7c882d1216
2. 规则：BR-ee09392895e3f5aa
3. 未动态验证</x:v>
      </x:c>
    </x:row>
    <x:row r="274" ht="100" customHeight="1">
      <x:c r="A274" s="10" t="n">
        <x:v>273</x:v>
      </x:c>
      <x:c r="B274" s="10" t="str">
        <x:v>ADMIN-07-0008</x:v>
      </x:c>
      <x:c r="C274" s="10" t="str">
        <x:v>运营配置</x:v>
      </x:c>
      <x:c r="D274" s="10" t="str">
        <x:v>公会推荐编辑</x:v>
      </x:c>
      <x:c r="E274" s="10" t="str">
        <x:v>异常用例</x:v>
      </x:c>
      <x:c r="F274" s="10" t="str">
        <x:v>P1</x:v>
      </x:c>
      <x:c r="G274" s="9" t="str">
        <x:v>验证排序权重输入0</x:v>
      </x:c>
      <x:c r="H274" s="9" t="str">
        <x:v>排序权重数值边界</x:v>
      </x:c>
      <x:c r="I274" s="9" t="str">
        <x:v>1. 平台管理员账号可用
2. 当前编辑表单的其他必填字段有效</x:v>
      </x:c>
      <x:c r="J274" s="9" t="str">
        <x:v>1. 打开公会推荐编辑
2. 输入排序权重为0
3. 点击保存</x:v>
      </x:c>
      <x:c r="K274" s="9" t="str">
        <x:v>排序权重为0时不能保存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来源（当前证据）：liveshow-proto/MainBasis/统一需求文档.md；位置：第2986行、第2989行 REQ-4ad383f1de8a、第2990行 REQ-7b7c882d1216
2. 规则：BR-b570eb6f5260f59d
3. 未动态验证</x:v>
      </x:c>
    </x:row>
    <x:row r="275" ht="100" customHeight="1">
      <x:c r="A275" s="10" t="n">
        <x:v>274</x:v>
      </x:c>
      <x:c r="B275" s="10" t="str">
        <x:v>ADMIN-07-0009</x:v>
      </x:c>
      <x:c r="C275" s="10" t="str">
        <x:v>运营配置</x:v>
      </x:c>
      <x:c r="D275" s="10" t="str">
        <x:v>公会推荐编辑</x:v>
      </x:c>
      <x:c r="E275" s="10" t="str">
        <x:v>异常用例</x:v>
      </x:c>
      <x:c r="F275" s="10" t="str">
        <x:v>P1</x:v>
      </x:c>
      <x:c r="G275" s="9" t="str">
        <x:v>验证排序权重输入1,5</x:v>
      </x:c>
      <x:c r="H275" s="9" t="str">
        <x:v>排序权重数值边界</x:v>
      </x:c>
      <x:c r="I275" s="9" t="str">
        <x:v>1. 平台管理员账号可用
2. 当前编辑表单的其他必填字段有效</x:v>
      </x:c>
      <x:c r="J275" s="9" t="str">
        <x:v>1. 打开公会推荐编辑
2. 输入排序权重为1,5
3. 点击保存</x:v>
      </x:c>
      <x:c r="K275" s="9" t="str">
        <x:v>排序权重为1,5时不能保存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来源（当前证据）：liveshow-proto/MainBasis/统一需求文档.md；位置：第2986行、第2989行 REQ-4ad383f1de8a、第2990行 REQ-7b7c882d1216
2. 规则：BR-eef305b191bb4e93
3. 未动态验证</x:v>
      </x:c>
    </x:row>
    <x:row r="276" ht="100" customHeight="1">
      <x:c r="A276" s="10" t="n">
        <x:v>275</x:v>
      </x:c>
      <x:c r="B276" s="10" t="str">
        <x:v>ADMIN-07-0010</x:v>
      </x:c>
      <x:c r="C276" s="10" t="str">
        <x:v>运营配置</x:v>
      </x:c>
      <x:c r="D276" s="10" t="str">
        <x:v>公会推荐编辑</x:v>
      </x:c>
      <x:c r="E276" s="10" t="str">
        <x:v>逻辑校验</x:v>
      </x:c>
      <x:c r="F276" s="10" t="str">
        <x:v>P1</x:v>
      </x:c>
      <x:c r="G276" s="9" t="str">
        <x:v>验证排序权重输入1</x:v>
      </x:c>
      <x:c r="H276" s="9" t="str">
        <x:v>排序权重数值边界</x:v>
      </x:c>
      <x:c r="I276" s="9" t="str">
        <x:v>1. 平台管理员账号可用
2. 当前编辑表单的其他必填字段有效</x:v>
      </x:c>
      <x:c r="J276" s="9" t="str">
        <x:v>1. 打开公会推荐编辑
2. 输入排序权重为1
3. 点击保存</x:v>
      </x:c>
      <x:c r="K276" s="9" t="str">
        <x:v>排序权重为1时通过数值校验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来源（当前证据）：liveshow-proto/MainBasis/统一需求文档.md；位置：第2986行、第2989行 REQ-4ad383f1de8a、第2990行 REQ-7b7c882d1216
2. 规则：BR-1ae81021bb26cea6
3. 未动态验证</x:v>
      </x:c>
    </x:row>
    <x:row r="277" ht="115" customHeight="1">
      <x:c r="A277" s="10" t="n">
        <x:v>276</x:v>
      </x:c>
      <x:c r="B277" s="10" t="str">
        <x:v>ADMIN-07-0011</x:v>
      </x:c>
      <x:c r="C277" s="10" t="str">
        <x:v>运营配置</x:v>
      </x:c>
      <x:c r="D277" s="10" t="str">
        <x:v>公会推荐编辑</x:v>
      </x:c>
      <x:c r="E277" s="10" t="str">
        <x:v>功能需求</x:v>
      </x:c>
      <x:c r="F277" s="10" t="str">
        <x:v>P1</x:v>
      </x:c>
      <x:c r="G277" s="9" t="str">
        <x:v>验证不能重复推荐公会</x:v>
      </x:c>
      <x:c r="H277" s="9" t="str">
        <x:v>公会推荐唯一性</x:v>
      </x:c>
      <x:c r="I277" s="9" t="str">
        <x:v>1. 平台管理员账号可用
2. 目标公会已有推荐配置</x:v>
      </x:c>
      <x:c r="J277" s="9" t="str">
        <x:v>1. 打开公会推荐编辑
2. 选择该公会
3. 点击保存</x:v>
      </x:c>
      <x:c r="K277" s="9" t="str">
        <x:v>重复公会不能保存推荐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来源（当前证据）：liveshow-proto/MainBasis/统一需求文档.md；位置：第2986行、第2988行 REQ-6147649b32d7、第2989行 REQ-4ad383f1de8a、第2990行 REQ-7b7c882d1216
2. 规则：BR-4432bd99cecf4c5f
3. 未动态验证</x:v>
      </x:c>
    </x:row>
    <x:row r="278" ht="115" customHeight="1">
      <x:c r="A278" s="10" t="n">
        <x:v>277</x:v>
      </x:c>
      <x:c r="B278" s="10" t="str">
        <x:v>ADMIN-07-0012</x:v>
      </x:c>
      <x:c r="C278" s="10" t="str">
        <x:v>运营配置</x:v>
      </x:c>
      <x:c r="D278" s="10" t="str">
        <x:v>公会推荐编辑</x:v>
      </x:c>
      <x:c r="E278" s="10" t="str">
        <x:v>功能需求</x:v>
      </x:c>
      <x:c r="F278" s="10" t="str">
        <x:v>P1</x:v>
      </x:c>
      <x:c r="G278" s="9" t="str">
        <x:v>验证不选择推荐公会</x:v>
      </x:c>
      <x:c r="H278" s="9" t="str">
        <x:v>推荐公会必选</x:v>
      </x:c>
      <x:c r="I278" s="9" t="str">
        <x:v>1. 平台管理员账号可用
2. 排序权重有效</x:v>
      </x:c>
      <x:c r="J278" s="9" t="str">
        <x:v>1. 打开公会推荐编辑
2. 清空推荐公会
3. 点击保存</x:v>
      </x:c>
      <x:c r="K278" s="9" t="str">
        <x:v>无公会不能保存推荐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来源（当前证据）：liveshow-proto/MainBasis/统一需求文档.md；位置：第2986行、第2988行 REQ-6147649b32d7、第2989行 REQ-4ad383f1de8a、第2990行 REQ-7b7c882d1216
2. 规则：BR-a61de4f21c055baf
3. 未动态验证</x:v>
      </x:c>
    </x:row>
    <x:row r="279" ht="115" customHeight="1">
      <x:c r="A279" s="10" t="n">
        <x:v>278</x:v>
      </x:c>
      <x:c r="B279" s="10" t="str">
        <x:v>ADMIN-07-0013</x:v>
      </x:c>
      <x:c r="C279" s="10" t="str">
        <x:v>运营配置</x:v>
      </x:c>
      <x:c r="D279" s="10" t="str">
        <x:v>公会推荐编辑</x:v>
      </x:c>
      <x:c r="E279" s="10" t="str">
        <x:v>功能需求</x:v>
      </x:c>
      <x:c r="F279" s="10" t="str">
        <x:v>P1</x:v>
      </x:c>
      <x:c r="G279" s="9" t="str">
        <x:v>验证停用公会不可推荐</x:v>
      </x:c>
      <x:c r="H279" s="9" t="str">
        <x:v>推荐对象有效性</x:v>
      </x:c>
      <x:c r="I279" s="9" t="str">
        <x:v>1. 平台管理员账号可用
2. 目标公会已停用</x:v>
      </x:c>
      <x:c r="J279" s="9" t="str">
        <x:v>1. 打开公会推荐编辑
2. 打开推荐公会选择器</x:v>
      </x:c>
      <x:c r="K279" s="9" t="str">
        <x:v>已停用公会不可选择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来源（当前证据）：liveshow-proto/MainBasis/统一需求文档.md；位置：第2986行、第2988行 REQ-6147649b32d7、第2989行 REQ-4ad383f1de8a、第2990行 REQ-7b7c882d1216
2. 规则：BR-a66c5868bb2d8c3e
3. 未动态验证</x:v>
      </x:c>
    </x:row>
    <x:row r="280" ht="115" customHeight="1">
      <x:c r="A280" s="10" t="n">
        <x:v>279</x:v>
      </x:c>
      <x:c r="B280" s="10" t="str">
        <x:v>ADMIN-07-0014</x:v>
      </x:c>
      <x:c r="C280" s="10" t="str">
        <x:v>运营配置</x:v>
      </x:c>
      <x:c r="D280" s="10" t="str">
        <x:v>公会推荐编辑</x:v>
      </x:c>
      <x:c r="E280" s="10" t="str">
        <x:v>功能需求</x:v>
      </x:c>
      <x:c r="F280" s="10" t="str">
        <x:v>P1</x:v>
      </x:c>
      <x:c r="G280" s="9" t="str">
        <x:v>验证相同推荐权重排序</x:v>
      </x:c>
      <x:c r="H280" s="9" t="str">
        <x:v>同权重更新时间次序</x:v>
      </x:c>
      <x:c r="I280" s="9" t="str">
        <x:v>1. 平台管理员账号可用
2. 两个推荐权重相同，更新时间不同</x:v>
      </x:c>
      <x:c r="J280" s="9" t="str">
        <x:v>1. 打开公会推荐编辑
2. 返回公会推荐</x:v>
      </x:c>
      <x:c r="K280" s="9" t="str">
        <x:v>较晚更新的公会排列在前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来源（当前证据）：liveshow-proto/MainBasis/统一需求文档.md；位置：第2986行、第2988行 REQ-6147649b32d7、第2989行 REQ-4ad383f1de8a、第2990行 REQ-7b7c882d1216
2. 规则：BR-7f4c314de5839073
3. 未动态验证</x:v>
      </x:c>
    </x:row>
    <x:row r="281" ht="115" customHeight="1">
      <x:c r="A281" s="10" t="n">
        <x:v>280</x:v>
      </x:c>
      <x:c r="B281" s="10" t="str">
        <x:v>ADMIN-07-0015</x:v>
      </x:c>
      <x:c r="C281" s="10" t="str">
        <x:v>运营配置</x:v>
      </x:c>
      <x:c r="D281" s="10" t="str">
        <x:v>公会推荐</x:v>
      </x:c>
      <x:c r="E281" s="10" t="str">
        <x:v>功能需求</x:v>
      </x:c>
      <x:c r="F281" s="10" t="str">
        <x:v>P1</x:v>
      </x:c>
      <x:c r="G281" s="9" t="str">
        <x:v>验证推荐顺序按高权重</x:v>
      </x:c>
      <x:c r="H281" s="9" t="str">
        <x:v>公会推荐排序方向</x:v>
      </x:c>
      <x:c r="I281" s="9" t="str">
        <x:v>1. 平台管理员账号可用
2. 推荐公会权重分别1和2</x:v>
      </x:c>
      <x:c r="J281" s="9" t="str">
        <x:v>1. 打开公会推荐</x:v>
      </x:c>
      <x:c r="K281" s="9" t="str">
        <x:v>权重2的公会排列在权重1之前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来源（当前证据）：liveshow-proto/MainBasis/统一需求文档.md；位置：第2977行、第2979行 REQ-bc454b5fd930、第2980行 REQ-e944ca487c15、第2982行 REQ-a0ce9338e420、第2983行 REQ-1c5f3251e17f
2. 规则：BR-7c3bc6c5519dab88
3. 未动态验证</x:v>
      </x:c>
    </x:row>
    <x:row r="282" ht="115" customHeight="1">
      <x:c r="A282" s="10" t="n">
        <x:v>281</x:v>
      </x:c>
      <x:c r="B282" s="10" t="str">
        <x:v>ADMIN-07-0016</x:v>
      </x:c>
      <x:c r="C282" s="10" t="str">
        <x:v>运营配置</x:v>
      </x:c>
      <x:c r="D282" s="10" t="str">
        <x:v>公会推荐</x:v>
      </x:c>
      <x:c r="E282" s="10" t="str">
        <x:v>功能需求</x:v>
      </x:c>
      <x:c r="F282" s="10" t="str">
        <x:v>P1</x:v>
      </x:c>
      <x:c r="G282" s="9" t="str">
        <x:v>验证移除推荐</x:v>
      </x:c>
      <x:c r="H282" s="9" t="str">
        <x:v>推荐关系移除</x:v>
      </x:c>
      <x:c r="I282" s="9" t="str">
        <x:v>1. 平台管理员账号可用
2. 某有效公会已在推荐列表</x:v>
      </x:c>
      <x:c r="J282" s="9" t="str">
        <x:v>1. 打开公会推荐
2. 点击移除
3. 确认移除</x:v>
      </x:c>
      <x:c r="K282" s="9" t="str">
        <x:v>该公会不再出现在推荐列表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来源（当前证据）：liveshow-proto/MainBasis/统一需求文档.md；位置：第2977行、第2979行 REQ-bc454b5fd930、第2980行 REQ-e944ca487c15、第2982行 REQ-a0ce9338e420、第2983行 REQ-1c5f3251e17f
2. 规则：BR-a6a5654718023e70
3. 未动态验证</x:v>
      </x:c>
    </x:row>
    <x:row r="283" ht="115" customHeight="1">
      <x:c r="A283" s="10" t="n">
        <x:v>282</x:v>
      </x:c>
      <x:c r="B283" s="10" t="str">
        <x:v>ADMIN-07-0017</x:v>
      </x:c>
      <x:c r="C283" s="10" t="str">
        <x:v>运营配置</x:v>
      </x:c>
      <x:c r="D283" s="10" t="str">
        <x:v>公会推荐</x:v>
      </x:c>
      <x:c r="E283" s="10" t="str">
        <x:v>功能需求</x:v>
      </x:c>
      <x:c r="F283" s="10" t="str">
        <x:v>P1</x:v>
      </x:c>
      <x:c r="G283" s="9" t="str">
        <x:v>验证移除不改变公会状态</x:v>
      </x:c>
      <x:c r="H283" s="9" t="str">
        <x:v>推荐与公会状态隔离</x:v>
      </x:c>
      <x:c r="I283" s="9" t="str">
        <x:v>1. 平台管理员账号可用
2. 公会启用且已推荐</x:v>
      </x:c>
      <x:c r="J283" s="9" t="str">
        <x:v>1. 打开公会推荐
2. 点击移除
3. 确认移除
4. 打开公会列表</x:v>
      </x:c>
      <x:c r="K283" s="9" t="str">
        <x:v>该公会状态仍为启用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来源（当前证据）：liveshow-proto/MainBasis/统一需求文档.md；位置：第2977行、第2979行 REQ-bc454b5fd930、第2980行 REQ-e944ca487c15、第2982行 REQ-a0ce9338e420、第2983行 REQ-1c5f3251e17f
2. 规则：BR-dbb2d58942439303
3. 未动态验证</x:v>
      </x:c>
    </x:row>
    <x:row r="284" ht="85" customHeight="1">
      <x:c r="A284" s="10" t="n">
        <x:v>283</x:v>
      </x:c>
      <x:c r="B284" s="10" t="str">
        <x:v>ADMIN-07-0018</x:v>
      </x:c>
      <x:c r="C284" s="10" t="str">
        <x:v>运营配置</x:v>
      </x:c>
      <x:c r="D284" s="10" t="str">
        <x:v>公会推荐</x:v>
      </x:c>
      <x:c r="E284" s="10" t="str">
        <x:v>功能需求</x:v>
      </x:c>
      <x:c r="F284" s="10" t="str">
        <x:v>P1</x:v>
      </x:c>
      <x:c r="G284" s="9" t="str">
        <x:v>验证编辑推荐后重新读取</x:v>
      </x:c>
      <x:c r="H284" s="9" t="str">
        <x:v>推荐更新时间</x:v>
      </x:c>
      <x:c r="I284" s="9" t="str">
        <x:v>1. 平台管理员账号可用
2. 该推荐上次更新时间早于本次操作</x:v>
      </x:c>
      <x:c r="J284" s="9" t="str">
        <x:v>1. 打开公会推荐
2. 点击编辑
3. 输入排序权重为2
4. 点击保存
5. 返回列表</x:v>
      </x:c>
      <x:c r="K284" s="9" t="str">
        <x:v>更新时间更新为本次保存时刻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来源（当前证据）：liveshow-proto/MainBasis/统一需求文档.md；位置：第2977行、第2981行 REQ-4a4ab5c8a860
2. 规则：BR-7730d935350e34f7
3. 未动态验证</x:v>
      </x:c>
    </x:row>
    <x:row r="285" ht="145" customHeight="1">
      <x:c r="A285" s="10" t="n">
        <x:v>284</x:v>
      </x:c>
      <x:c r="B285" s="10" t="str">
        <x:v>ADMIN-07-0019</x:v>
      </x:c>
      <x:c r="C285" s="10" t="str">
        <x:v>运营配置</x:v>
      </x:c>
      <x:c r="D285" s="10" t="str">
        <x:v>等级配置</x:v>
      </x:c>
      <x:c r="E285" s="10" t="str">
        <x:v>功能需求</x:v>
      </x:c>
      <x:c r="F285" s="10" t="str">
        <x:v>P1</x:v>
      </x:c>
      <x:c r="G285" s="9" t="str">
        <x:v>验证主播等级新增等级</x:v>
      </x:c>
      <x:c r="H285" s="9" t="str">
        <x:v>主播等级连续编号</x:v>
      </x:c>
      <x:c r="I285" s="9" t="str">
        <x:v>1. 平台管理员账号可用
2. 当前该类型最高等级为2</x:v>
      </x:c>
      <x:c r="J285" s="9" t="str">
        <x:v>1. 打开等级配置
2. 切换主播等级
3. 点击新增等级</x:v>
      </x:c>
      <x:c r="K285" s="9" t="str">
        <x:v>新增等级编号为3且门槛留空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规则：BR-e75791cb0d5d4492
3. 未动态验证</x:v>
      </x:c>
    </x:row>
    <x:row r="286" ht="145" customHeight="1">
      <x:c r="A286" s="10" t="n">
        <x:v>285</x:v>
      </x:c>
      <x:c r="B286" s="10" t="str">
        <x:v>ADMIN-07-0020</x:v>
      </x:c>
      <x:c r="C286" s="10" t="str">
        <x:v>运营配置</x:v>
      </x:c>
      <x:c r="D286" s="10" t="str">
        <x:v>等级配置</x:v>
      </x:c>
      <x:c r="E286" s="10" t="str">
        <x:v>功能需求</x:v>
      </x:c>
      <x:c r="F286" s="10" t="str">
        <x:v>P1</x:v>
      </x:c>
      <x:c r="G286" s="9" t="str">
        <x:v>验证主播等级门槛等于上一级</x:v>
      </x:c>
      <x:c r="H286" s="9" t="str">
        <x:v>主播等级递增门槛</x:v>
      </x:c>
      <x:c r="I286" s="9" t="str">
        <x:v>1. 平台管理员账号可用
2. 上一等级门槛为100，图标有效</x:v>
      </x:c>
      <x:c r="J286" s="9" t="str">
        <x:v>1. 打开等级配置
2. 切换主播等级
3. 输入下一等级门槛为100
4. 点击保存</x:v>
      </x:c>
      <x:c r="K286" s="9" t="str">
        <x:v>保存被阻止并定位到该错误等级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规则：BR-3af93727bca9bec6
3. 未动态验证</x:v>
      </x:c>
    </x:row>
    <x:row r="287" ht="145" customHeight="1">
      <x:c r="A287" s="10" t="n">
        <x:v>286</x:v>
      </x:c>
      <x:c r="B287" s="10" t="str">
        <x:v>ADMIN-07-0021</x:v>
      </x:c>
      <x:c r="C287" s="10" t="str">
        <x:v>运营配置</x:v>
      </x:c>
      <x:c r="D287" s="10" t="str">
        <x:v>等级配置</x:v>
      </x:c>
      <x:c r="E287" s="10" t="str">
        <x:v>功能需求</x:v>
      </x:c>
      <x:c r="F287" s="10" t="str">
        <x:v>P1</x:v>
      </x:c>
      <x:c r="G287" s="9" t="str">
        <x:v>验证财富等级新增等级</x:v>
      </x:c>
      <x:c r="H287" s="9" t="str">
        <x:v>财富等级连续编号</x:v>
      </x:c>
      <x:c r="I287" s="9" t="str">
        <x:v>1. 平台管理员账号可用
2. 当前该类型最高等级为2</x:v>
      </x:c>
      <x:c r="J287" s="9" t="str">
        <x:v>1. 打开等级配置
2. 切换财富等级
3. 点击新增等级</x:v>
      </x:c>
      <x:c r="K287" s="9" t="str">
        <x:v>新增等级编号为3且门槛留空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规则：BR-e9ea16672a2efa75
3. 未动态验证</x:v>
      </x:c>
    </x:row>
    <x:row r="288" ht="145" customHeight="1">
      <x:c r="A288" s="10" t="n">
        <x:v>287</x:v>
      </x:c>
      <x:c r="B288" s="10" t="str">
        <x:v>ADMIN-07-0022</x:v>
      </x:c>
      <x:c r="C288" s="10" t="str">
        <x:v>运营配置</x:v>
      </x:c>
      <x:c r="D288" s="10" t="str">
        <x:v>等级配置</x:v>
      </x:c>
      <x:c r="E288" s="10" t="str">
        <x:v>功能需求</x:v>
      </x:c>
      <x:c r="F288" s="10" t="str">
        <x:v>P1</x:v>
      </x:c>
      <x:c r="G288" s="9" t="str">
        <x:v>验证财富等级门槛等于上一级</x:v>
      </x:c>
      <x:c r="H288" s="9" t="str">
        <x:v>财富等级递增门槛</x:v>
      </x:c>
      <x:c r="I288" s="9" t="str">
        <x:v>1. 平台管理员账号可用
2. 上一等级门槛为100，图标有效</x:v>
      </x:c>
      <x:c r="J288" s="9" t="str">
        <x:v>1. 打开等级配置
2. 切换财富等级
3. 输入下一等级门槛为100
4. 点击保存</x:v>
      </x:c>
      <x:c r="K288" s="9" t="str">
        <x:v>保存被阻止并定位到该错误等级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规则：BR-a766e268f67f2da6
3. 未动态验证</x:v>
      </x:c>
    </x:row>
    <x:row r="289" ht="145" customHeight="1">
      <x:c r="A289" s="10" t="n">
        <x:v>288</x:v>
      </x:c>
      <x:c r="B289" s="10" t="str">
        <x:v>ADMIN-07-0023</x:v>
      </x:c>
      <x:c r="C289" s="10" t="str">
        <x:v>运营配置</x:v>
      </x:c>
      <x:c r="D289" s="10" t="str">
        <x:v>等级配置</x:v>
      </x:c>
      <x:c r="E289" s="10" t="str">
        <x:v>功能需求</x:v>
      </x:c>
      <x:c r="F289" s="10" t="str">
        <x:v>P1</x:v>
      </x:c>
      <x:c r="G289" s="9" t="str">
        <x:v>验证粉丝等级新增等级</x:v>
      </x:c>
      <x:c r="H289" s="9" t="str">
        <x:v>粉丝等级连续编号</x:v>
      </x:c>
      <x:c r="I289" s="9" t="str">
        <x:v>1. 平台管理员账号可用
2. 当前该类型最高等级为2</x:v>
      </x:c>
      <x:c r="J289" s="9" t="str">
        <x:v>1. 打开等级配置
2. 切换粉丝等级
3. 点击新增等级</x:v>
      </x:c>
      <x:c r="K289" s="9" t="str">
        <x:v>新增等级编号为3且门槛留空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规则：BR-2b6ffbbf8f8b9f4d
3. 未动态验证</x:v>
      </x:c>
    </x:row>
    <x:row r="290" ht="145" customHeight="1">
      <x:c r="A290" s="10" t="n">
        <x:v>289</x:v>
      </x:c>
      <x:c r="B290" s="10" t="str">
        <x:v>ADMIN-07-0024</x:v>
      </x:c>
      <x:c r="C290" s="10" t="str">
        <x:v>运营配置</x:v>
      </x:c>
      <x:c r="D290" s="10" t="str">
        <x:v>等级配置</x:v>
      </x:c>
      <x:c r="E290" s="10" t="str">
        <x:v>功能需求</x:v>
      </x:c>
      <x:c r="F290" s="10" t="str">
        <x:v>P1</x:v>
      </x:c>
      <x:c r="G290" s="9" t="str">
        <x:v>验证粉丝等级门槛等于上一级</x:v>
      </x:c>
      <x:c r="H290" s="9" t="str">
        <x:v>粉丝等级递增门槛</x:v>
      </x:c>
      <x:c r="I290" s="9" t="str">
        <x:v>1. 平台管理员账号可用
2. 上一等级门槛为100，图标有效</x:v>
      </x:c>
      <x:c r="J290" s="9" t="str">
        <x:v>1. 打开等级配置
2. 切换粉丝等级
3. 输入下一等级门槛为100
4. 点击保存</x:v>
      </x:c>
      <x:c r="K290" s="9" t="str">
        <x:v>保存被阻止并定位到该错误等级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规则：BR-b210589c1bcf10bc
3. 未动态验证</x:v>
      </x:c>
    </x:row>
    <x:row r="291" ht="145" customHeight="1">
      <x:c r="A291" s="10" t="n">
        <x:v>290</x:v>
      </x:c>
      <x:c r="B291" s="10" t="str">
        <x:v>ADMIN-07-0025</x:v>
      </x:c>
      <x:c r="C291" s="10" t="str">
        <x:v>运营配置</x:v>
      </x:c>
      <x:c r="D291" s="10" t="str">
        <x:v>等级配置</x:v>
      </x:c>
      <x:c r="E291" s="10" t="str">
        <x:v>功能需求</x:v>
      </x:c>
      <x:c r="F291" s="10" t="str">
        <x:v>P1</x:v>
      </x:c>
      <x:c r="G291" s="9" t="str">
        <x:v>验证粉丝团等级新增等级</x:v>
      </x:c>
      <x:c r="H291" s="9" t="str">
        <x:v>粉丝团等级连续编号</x:v>
      </x:c>
      <x:c r="I291" s="9" t="str">
        <x:v>1. 平台管理员账号可用
2. 当前该类型最高等级为2</x:v>
      </x:c>
      <x:c r="J291" s="9" t="str">
        <x:v>1. 打开等级配置
2. 切换粉丝团等级
3. 点击新增等级</x:v>
      </x:c>
      <x:c r="K291" s="9" t="str">
        <x:v>新增等级编号为3且门槛留空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规则：BR-88a3c62483d20fe4
3. 未动态验证</x:v>
      </x:c>
    </x:row>
    <x:row r="292" ht="145" customHeight="1">
      <x:c r="A292" s="10" t="n">
        <x:v>291</x:v>
      </x:c>
      <x:c r="B292" s="10" t="str">
        <x:v>ADMIN-07-0026</x:v>
      </x:c>
      <x:c r="C292" s="10" t="str">
        <x:v>运营配置</x:v>
      </x:c>
      <x:c r="D292" s="10" t="str">
        <x:v>等级配置</x:v>
      </x:c>
      <x:c r="E292" s="10" t="str">
        <x:v>功能需求</x:v>
      </x:c>
      <x:c r="F292" s="10" t="str">
        <x:v>P1</x:v>
      </x:c>
      <x:c r="G292" s="9" t="str">
        <x:v>验证粉丝团等级门槛等于上一级</x:v>
      </x:c>
      <x:c r="H292" s="9" t="str">
        <x:v>粉丝团等级递增门槛</x:v>
      </x:c>
      <x:c r="I292" s="9" t="str">
        <x:v>1. 平台管理员账号可用
2. 上一等级门槛为100，图标有效</x:v>
      </x:c>
      <x:c r="J292" s="9" t="str">
        <x:v>1. 打开等级配置
2. 切换粉丝团等级
3. 输入下一等级门槛为100
4. 点击保存</x:v>
      </x:c>
      <x:c r="K292" s="9" t="str">
        <x:v>保存被阻止并定位到该错误等级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规则：BR-ee29ccb987b22944
3. 未动态验证</x:v>
      </x:c>
    </x:row>
    <x:row r="293" ht="130" customHeight="1">
      <x:c r="A293" s="10" t="n">
        <x:v>292</x:v>
      </x:c>
      <x:c r="B293" s="10" t="str">
        <x:v>ADMIN-07-0027</x:v>
      </x:c>
      <x:c r="C293" s="10" t="str">
        <x:v>运营配置</x:v>
      </x:c>
      <x:c r="D293" s="10" t="str">
        <x:v>等级配置</x:v>
      </x:c>
      <x:c r="E293" s="10" t="str">
        <x:v>功能需求</x:v>
      </x:c>
      <x:c r="F293" s="10" t="str">
        <x:v>P1</x:v>
      </x:c>
      <x:c r="G293" s="9" t="str">
        <x:v>验证切换Tab保持草稿</x:v>
      </x:c>
      <x:c r="H293" s="9" t="str">
        <x:v>等级草稿独立保存</x:v>
      </x:c>
      <x:c r="I293" s="9" t="str">
        <x:v>1. 平台管理员账号可用
2. 当前主播等级输入尚未保存</x:v>
      </x:c>
      <x:c r="J293" s="9" t="str">
        <x:v>1. 打开等级配置
2. 切换财富等级
3. 切换主播等级</x:v>
      </x:c>
      <x:c r="K293" s="9" t="str">
        <x:v>主播等级保留原未保存输入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规则：BR-926c8c1f0b714ffb
3. 未动态验证</x:v>
      </x:c>
    </x:row>
    <x:row r="294" ht="130" customHeight="1">
      <x:c r="A294" s="10" t="n">
        <x:v>293</x:v>
      </x:c>
      <x:c r="B294" s="10" t="str">
        <x:v>ADMIN-07-0028</x:v>
      </x:c>
      <x:c r="C294" s="10" t="str">
        <x:v>运营配置</x:v>
      </x:c>
      <x:c r="D294" s="10" t="str">
        <x:v>等级配置</x:v>
      </x:c>
      <x:c r="E294" s="10" t="str">
        <x:v>功能需求</x:v>
      </x:c>
      <x:c r="F294" s="10" t="str">
        <x:v>P1</x:v>
      </x:c>
      <x:c r="G294" s="9" t="str">
        <x:v>验证只校验当前Tab</x:v>
      </x:c>
      <x:c r="H294" s="9" t="str">
        <x:v>等级提交范围</x:v>
      </x:c>
      <x:c r="I294" s="9" t="str">
        <x:v>1. 平台管理员账号可用
2. 主播等级配置有效，财富等级存在未填门槛</x:v>
      </x:c>
      <x:c r="J294" s="9" t="str">
        <x:v>1. 打开等级配置
2. 切换主播等级
3. 点击保存</x:v>
      </x:c>
      <x:c r="K294" s="9" t="str">
        <x:v>主播等级可以保存且不受财富等级草稿错误阻断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规则：BR-06b137d240c1c2e1
3. 未动态验证</x:v>
      </x:c>
    </x:row>
    <x:row r="295" ht="130" customHeight="1">
      <x:c r="A295" s="10" t="n">
        <x:v>294</x:v>
      </x:c>
      <x:c r="B295" s="10" t="str">
        <x:v>ADMIN-07-0029</x:v>
      </x:c>
      <x:c r="C295" s="10" t="str">
        <x:v>运营配置</x:v>
      </x:c>
      <x:c r="D295" s="10" t="str">
        <x:v>等级配置</x:v>
      </x:c>
      <x:c r="E295" s="10" t="str">
        <x:v>功能需求</x:v>
      </x:c>
      <x:c r="F295" s="10" t="str">
        <x:v>P1</x:v>
      </x:c>
      <x:c r="G295" s="9" t="str">
        <x:v>验证等级编号只读</x:v>
      </x:c>
      <x:c r="H295" s="9" t="str">
        <x:v>等级编号不可编辑</x:v>
      </x:c>
      <x:c r="I295" s="9" t="str">
        <x:v>1. 平台管理员账号可用
2. 当前已有多个等级</x:v>
      </x:c>
      <x:c r="J295" s="9" t="str">
        <x:v>1. 打开等级配置</x:v>
      </x:c>
      <x:c r="K295" s="9" t="str">
        <x:v>等级编号不可手动修改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规则：BR-87907fc5f2672827
3. 未动态验证</x:v>
      </x:c>
    </x:row>
    <x:row r="296" ht="130" customHeight="1">
      <x:c r="A296" s="10" t="n">
        <x:v>295</x:v>
      </x:c>
      <x:c r="B296" s="10" t="str">
        <x:v>ADMIN-07-0030</x:v>
      </x:c>
      <x:c r="C296" s="10" t="str">
        <x:v>运营配置</x:v>
      </x:c>
      <x:c r="D296" s="10" t="str">
        <x:v>等级配置</x:v>
      </x:c>
      <x:c r="E296" s="10" t="str">
        <x:v>功能需求</x:v>
      </x:c>
      <x:c r="F296" s="10" t="str">
        <x:v>P1</x:v>
      </x:c>
      <x:c r="G296" s="9" t="str">
        <x:v>验证等级无删除入口</x:v>
      </x:c>
      <x:c r="H296" s="9" t="str">
        <x:v>等级删除边界</x:v>
      </x:c>
      <x:c r="I296" s="9" t="str">
        <x:v>1. 平台管理员账号可用
2. 当前有3个等级</x:v>
      </x:c>
      <x:c r="J296" s="9" t="str">
        <x:v>1. 打开等级配置</x:v>
      </x:c>
      <x:c r="K296" s="9" t="str">
        <x:v>页面不提供删除等级入口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规则：BR-333c83a4f7383c64
3. 未动态验证</x:v>
      </x:c>
    </x:row>
    <x:row r="297" ht="130" customHeight="1">
      <x:c r="A297" s="10" t="n">
        <x:v>296</x:v>
      </x:c>
      <x:c r="B297" s="10" t="str">
        <x:v>ADMIN-07-0031</x:v>
      </x:c>
      <x:c r="C297" s="10" t="str">
        <x:v>运营配置</x:v>
      </x:c>
      <x:c r="D297" s="10" t="str">
        <x:v>等级配置</x:v>
      </x:c>
      <x:c r="E297" s="10" t="str">
        <x:v>功能需求</x:v>
      </x:c>
      <x:c r="F297" s="10" t="str">
        <x:v>P1</x:v>
      </x:c>
      <x:c r="G297" s="9" t="str">
        <x:v>验证取消选择勋章图片</x:v>
      </x:c>
      <x:c r="H297" s="9" t="str">
        <x:v>原勋章图保留</x:v>
      </x:c>
      <x:c r="I297" s="9" t="str">
        <x:v>1. 平台管理员账号可用
2. 某等级已有有效图片</x:v>
      </x:c>
      <x:c r="J297" s="9" t="str">
        <x:v>1. 打开等级配置
2. 点击更换勋章图
3. 取消文件选择</x:v>
      </x:c>
      <x:c r="K297" s="9" t="str">
        <x:v>该等级保留原图片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规则：BR-6228504a6186466b
3. 未动态验证</x:v>
      </x:c>
    </x:row>
    <x:row r="298" ht="130" customHeight="1">
      <x:c r="A298" s="10" t="n">
        <x:v>297</x:v>
      </x:c>
      <x:c r="B298" s="10" t="str">
        <x:v>ADMIN-07-0032</x:v>
      </x:c>
      <x:c r="C298" s="10" t="str">
        <x:v>运营配置</x:v>
      </x:c>
      <x:c r="D298" s="10" t="str">
        <x:v>等级配置</x:v>
      </x:c>
      <x:c r="E298" s="10" t="str">
        <x:v>功能需求</x:v>
      </x:c>
      <x:c r="F298" s="10" t="str">
        <x:v>P1</x:v>
      </x:c>
      <x:c r="G298" s="9" t="str">
        <x:v>验证跨Tab图片隔离</x:v>
      </x:c>
      <x:c r="H298" s="9" t="str">
        <x:v>等级图片作用范围</x:v>
      </x:c>
      <x:c r="I298" s="9" t="str">
        <x:v>1. 平台管理员账号可用
2. 两个Tab相同等级均有图片</x:v>
      </x:c>
      <x:c r="J298" s="9" t="str">
        <x:v>1. 打开等级配置
2. 切换主播等级
3. 上传新的有效勋章图片
4. 切换财富等级</x:v>
      </x:c>
      <x:c r="K298" s="9" t="str">
        <x:v>财富等级对应图片保持原值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规则：BR-313e993b014edd33
3. 未动态验证</x:v>
      </x:c>
    </x:row>
    <x:row r="299" ht="85" customHeight="1">
      <x:c r="A299" s="10" t="n">
        <x:v>298</x:v>
      </x:c>
      <x:c r="B299" s="10" t="str">
        <x:v>ADMIN-07-0033</x:v>
      </x:c>
      <x:c r="C299" s="10" t="str">
        <x:v>运营配置</x:v>
      </x:c>
      <x:c r="D299" s="10" t="str">
        <x:v>等级配置</x:v>
      </x:c>
      <x:c r="E299" s="10" t="str">
        <x:v>功能需求</x:v>
      </x:c>
      <x:c r="F299" s="10" t="str">
        <x:v>P1</x:v>
      </x:c>
      <x:c r="G299" s="9" t="str">
        <x:v>验证切换主播等级配置对象</x:v>
      </x:c>
      <x:c r="H299" s="9" t="str">
        <x:v>主播等级阈值归属</x:v>
      </x:c>
      <x:c r="I299" s="9" t="str">
        <x:v>1. 平台管理员账号可用
2. 四类等级已分别保存不同的2级阈值</x:v>
      </x:c>
      <x:c r="J299" s="9" t="str">
        <x:v>1. 打开等级配置
2. 切换主播等级</x:v>
      </x:c>
      <x:c r="K299" s="9" t="str">
        <x:v>2级阈值显示该类型保存值，不使用其他等级类型配置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来源（当前证据）：liveshow-proto/MainBasis/统一需求文档.md；位置：第2993行、第2995行 REQ-e0ca23f64a01
2. 规则：BR-70e7b8d21a98d9e6
3. 未动态验证</x:v>
      </x:c>
    </x:row>
    <x:row r="300" ht="85" customHeight="1">
      <x:c r="A300" s="10" t="n">
        <x:v>299</x:v>
      </x:c>
      <x:c r="B300" s="10" t="str">
        <x:v>ADMIN-07-0034</x:v>
      </x:c>
      <x:c r="C300" s="10" t="str">
        <x:v>运营配置</x:v>
      </x:c>
      <x:c r="D300" s="10" t="str">
        <x:v>等级配置</x:v>
      </x:c>
      <x:c r="E300" s="10" t="str">
        <x:v>功能需求</x:v>
      </x:c>
      <x:c r="F300" s="10" t="str">
        <x:v>P1</x:v>
      </x:c>
      <x:c r="G300" s="9" t="str">
        <x:v>验证切换财富等级配置对象</x:v>
      </x:c>
      <x:c r="H300" s="9" t="str">
        <x:v>财富等级阈值归属</x:v>
      </x:c>
      <x:c r="I300" s="9" t="str">
        <x:v>1. 平台管理员账号可用
2. 四类等级已分别保存不同的2级阈值</x:v>
      </x:c>
      <x:c r="J300" s="9" t="str">
        <x:v>1. 打开等级配置
2. 切换财富等级</x:v>
      </x:c>
      <x:c r="K300" s="9" t="str">
        <x:v>2级阈值显示该类型保存值，不使用其他等级类型配置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来源（当前证据）：liveshow-proto/MainBasis/统一需求文档.md；位置：第2993行、第2996行 REQ-295ff7b3ed75
2. 规则：BR-d5cee74b60cab35a
3. 未动态验证</x:v>
      </x:c>
    </x:row>
    <x:row r="301" ht="85" customHeight="1">
      <x:c r="A301" s="10" t="n">
        <x:v>300</x:v>
      </x:c>
      <x:c r="B301" s="10" t="str">
        <x:v>ADMIN-07-0035</x:v>
      </x:c>
      <x:c r="C301" s="10" t="str">
        <x:v>运营配置</x:v>
      </x:c>
      <x:c r="D301" s="10" t="str">
        <x:v>等级配置</x:v>
      </x:c>
      <x:c r="E301" s="10" t="str">
        <x:v>功能需求</x:v>
      </x:c>
      <x:c r="F301" s="10" t="str">
        <x:v>P1</x:v>
      </x:c>
      <x:c r="G301" s="9" t="str">
        <x:v>验证切换粉丝等级配置对象</x:v>
      </x:c>
      <x:c r="H301" s="9" t="str">
        <x:v>粉丝等级阈值归属</x:v>
      </x:c>
      <x:c r="I301" s="9" t="str">
        <x:v>1. 平台管理员账号可用
2. 四类等级已分别保存不同的2级阈值</x:v>
      </x:c>
      <x:c r="J301" s="9" t="str">
        <x:v>1. 打开等级配置
2. 切换粉丝等级</x:v>
      </x:c>
      <x:c r="K301" s="9" t="str">
        <x:v>2级阈值显示该类型保存值，不使用其他等级类型配置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来源（当前证据）：liveshow-proto/MainBasis/统一需求文档.md；位置：第2993行、第2997行 REQ-47e024b25fbc
2. 规则：BR-4458be87366db9e7
3. 未动态验证</x:v>
      </x:c>
    </x:row>
    <x:row r="302" ht="85" customHeight="1">
      <x:c r="A302" s="10" t="n">
        <x:v>301</x:v>
      </x:c>
      <x:c r="B302" s="10" t="str">
        <x:v>ADMIN-07-0036</x:v>
      </x:c>
      <x:c r="C302" s="10" t="str">
        <x:v>运营配置</x:v>
      </x:c>
      <x:c r="D302" s="10" t="str">
        <x:v>等级配置</x:v>
      </x:c>
      <x:c r="E302" s="10" t="str">
        <x:v>功能需求</x:v>
      </x:c>
      <x:c r="F302" s="10" t="str">
        <x:v>P1</x:v>
      </x:c>
      <x:c r="G302" s="9" t="str">
        <x:v>验证切换粉丝团等级配置对象</x:v>
      </x:c>
      <x:c r="H302" s="9" t="str">
        <x:v>粉丝团等级阈值归属</x:v>
      </x:c>
      <x:c r="I302" s="9" t="str">
        <x:v>1. 平台管理员账号可用
2. 四类等级已分别保存不同的2级阈值</x:v>
      </x:c>
      <x:c r="J302" s="9" t="str">
        <x:v>1. 打开等级配置
2. 切换粉丝团等级</x:v>
      </x:c>
      <x:c r="K302" s="9" t="str">
        <x:v>2级阈值显示该类型保存值，不使用其他等级类型配置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来源（当前证据）：liveshow-proto/MainBasis/统一需求文档.md；位置：第2993行、第2998行 REQ-2fe37a75330f
2. 规则：BR-91ddd641b8d9cd2d
3. 未动态验证</x:v>
      </x:c>
    </x:row>
    <x:row r="303" ht="145" customHeight="1">
      <x:c r="A303" s="10" t="n">
        <x:v>302</x:v>
      </x:c>
      <x:c r="B303" s="10" t="str">
        <x:v>ADMIN-07-0037</x:v>
      </x:c>
      <x:c r="C303" s="10" t="str">
        <x:v>运营配置</x:v>
      </x:c>
      <x:c r="D303" s="10" t="str">
        <x:v>等级配置</x:v>
      </x:c>
      <x:c r="E303" s="10" t="str">
        <x:v>功能需求</x:v>
      </x:c>
      <x:c r="F303" s="10" t="str">
        <x:v>P1</x:v>
      </x:c>
      <x:c r="G303" s="9" t="str">
        <x:v>验证主播等级一级固定值：主播等级一级数值</x:v>
      </x:c>
      <x:c r="H303" s="9" t="str">
        <x:v>主播等级一级数值</x:v>
      </x:c>
      <x:c r="I303" s="9" t="str">
        <x:v>1. 平台管理员账号可用
2. 当前可编辑等级配置</x:v>
      </x:c>
      <x:c r="J303" s="9" t="str">
        <x:v>1. 打开等级配置
2. 切换主播等级</x:v>
      </x:c>
      <x:c r="K303" s="9" t="str">
        <x:v>1级门槛显示0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规则：BR-4478aa054066a96f
3. 未动态验证</x:v>
      </x:c>
    </x:row>
    <x:row r="304" ht="145" customHeight="1">
      <x:c r="A304" s="10" t="n">
        <x:v>303</x:v>
      </x:c>
      <x:c r="B304" s="10" t="str">
        <x:v>ADMIN-07-0038</x:v>
      </x:c>
      <x:c r="C304" s="10" t="str">
        <x:v>运营配置</x:v>
      </x:c>
      <x:c r="D304" s="10" t="str">
        <x:v>等级配置</x:v>
      </x:c>
      <x:c r="E304" s="10" t="str">
        <x:v>功能需求</x:v>
      </x:c>
      <x:c r="F304" s="10" t="str">
        <x:v>P1</x:v>
      </x:c>
      <x:c r="G304" s="9" t="str">
        <x:v>验证主播等级一级固定值：主播等级一级只读</x:v>
      </x:c>
      <x:c r="H304" s="9" t="str">
        <x:v>主播等级一级只读</x:v>
      </x:c>
      <x:c r="I304" s="9" t="str">
        <x:v>1. 平台管理员账号可用
2. 当前可编辑等级配置</x:v>
      </x:c>
      <x:c r="J304" s="9" t="str">
        <x:v>1. 打开等级配置
2. 切换主播等级</x:v>
      </x:c>
      <x:c r="K304" s="9" t="str">
        <x:v>1级门槛不可修改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规则：BR-3bb3ebf764f9bc91
3. 未动态验证</x:v>
      </x:c>
    </x:row>
    <x:row r="305" ht="145" customHeight="1">
      <x:c r="A305" s="10" t="n">
        <x:v>304</x:v>
      </x:c>
      <x:c r="B305" s="10" t="str">
        <x:v>ADMIN-07-0039</x:v>
      </x:c>
      <x:c r="C305" s="10" t="str">
        <x:v>运营配置</x:v>
      </x:c>
      <x:c r="D305" s="10" t="str">
        <x:v>等级配置</x:v>
      </x:c>
      <x:c r="E305" s="10" t="str">
        <x:v>功能需求</x:v>
      </x:c>
      <x:c r="F305" s="10" t="str">
        <x:v>P1</x:v>
      </x:c>
      <x:c r="G305" s="9" t="str">
        <x:v>验证主播等级缺少勋章图：主播等级图片必填拦截</x:v>
      </x:c>
      <x:c r="H305" s="9" t="str">
        <x:v>主播等级图片必填拦截</x:v>
      </x:c>
      <x:c r="I305" s="9" t="str">
        <x:v>1. 平台管理员账号可用
2. 当前等级门槛有效但一档缺少图片</x:v>
      </x:c>
      <x:c r="J305" s="9" t="str">
        <x:v>1. 打开等级配置
2. 切换主播等级
3. 点击保存</x:v>
      </x:c>
      <x:c r="K305" s="9" t="str">
        <x:v>缺少勋章图的配置不能保存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规则：BR-dc209ba49f81e31f
3. 未动态验证</x:v>
      </x:c>
    </x:row>
    <x:row r="306" ht="145" customHeight="1">
      <x:c r="A306" s="10" t="n">
        <x:v>305</x:v>
      </x:c>
      <x:c r="B306" s="10" t="str">
        <x:v>ADMIN-07-0040</x:v>
      </x:c>
      <x:c r="C306" s="10" t="str">
        <x:v>运营配置</x:v>
      </x:c>
      <x:c r="D306" s="10" t="str">
        <x:v>等级配置</x:v>
      </x:c>
      <x:c r="E306" s="10" t="str">
        <x:v>功能需求</x:v>
      </x:c>
      <x:c r="F306" s="10" t="str">
        <x:v>P1</x:v>
      </x:c>
      <x:c r="G306" s="9" t="str">
        <x:v>验证主播等级缺少勋章图：主播等级缺图定位</x:v>
      </x:c>
      <x:c r="H306" s="9" t="str">
        <x:v>主播等级缺图定位</x:v>
      </x:c>
      <x:c r="I306" s="9" t="str">
        <x:v>1. 平台管理员账号可用
2. 当前等级门槛有效但一档缺少图片</x:v>
      </x:c>
      <x:c r="J306" s="9" t="str">
        <x:v>1. 打开等级配置
2. 切换主播等级
3. 点击保存</x:v>
      </x:c>
      <x:c r="K306" s="9" t="str">
        <x:v>提示缺少图片的等级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规则：BR-8d4da85d18633eb3
3. 未动态验证</x:v>
      </x:c>
    </x:row>
    <x:row r="307" ht="145" customHeight="1">
      <x:c r="A307" s="10" t="n">
        <x:v>306</x:v>
      </x:c>
      <x:c r="B307" s="10" t="str">
        <x:v>ADMIN-07-0041</x:v>
      </x:c>
      <x:c r="C307" s="10" t="str">
        <x:v>运营配置</x:v>
      </x:c>
      <x:c r="D307" s="10" t="str">
        <x:v>等级配置</x:v>
      </x:c>
      <x:c r="E307" s="10" t="str">
        <x:v>功能需求</x:v>
      </x:c>
      <x:c r="F307" s="10" t="str">
        <x:v>P1</x:v>
      </x:c>
      <x:c r="G307" s="9" t="str">
        <x:v>验证财富等级一级固定值：财富等级一级数值</x:v>
      </x:c>
      <x:c r="H307" s="9" t="str">
        <x:v>财富等级一级数值</x:v>
      </x:c>
      <x:c r="I307" s="9" t="str">
        <x:v>1. 平台管理员账号可用
2. 当前可编辑等级配置</x:v>
      </x:c>
      <x:c r="J307" s="9" t="str">
        <x:v>1. 打开等级配置
2. 切换财富等级</x:v>
      </x:c>
      <x:c r="K307" s="9" t="str">
        <x:v>1级门槛显示0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规则：BR-1aab64e71ccb186f
3. 未动态验证</x:v>
      </x:c>
    </x:row>
    <x:row r="308" ht="145" customHeight="1">
      <x:c r="A308" s="10" t="n">
        <x:v>307</x:v>
      </x:c>
      <x:c r="B308" s="10" t="str">
        <x:v>ADMIN-07-0042</x:v>
      </x:c>
      <x:c r="C308" s="10" t="str">
        <x:v>运营配置</x:v>
      </x:c>
      <x:c r="D308" s="10" t="str">
        <x:v>等级配置</x:v>
      </x:c>
      <x:c r="E308" s="10" t="str">
        <x:v>功能需求</x:v>
      </x:c>
      <x:c r="F308" s="10" t="str">
        <x:v>P1</x:v>
      </x:c>
      <x:c r="G308" s="9" t="str">
        <x:v>验证财富等级一级固定值：财富等级一级只读</x:v>
      </x:c>
      <x:c r="H308" s="9" t="str">
        <x:v>财富等级一级只读</x:v>
      </x:c>
      <x:c r="I308" s="9" t="str">
        <x:v>1. 平台管理员账号可用
2. 当前可编辑等级配置</x:v>
      </x:c>
      <x:c r="J308" s="9" t="str">
        <x:v>1. 打开等级配置
2. 切换财富等级</x:v>
      </x:c>
      <x:c r="K308" s="9" t="str">
        <x:v>1级门槛不可修改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规则：BR-07581c37c3af644a
3. 未动态验证</x:v>
      </x:c>
    </x:row>
    <x:row r="309" ht="145" customHeight="1">
      <x:c r="A309" s="10" t="n">
        <x:v>308</x:v>
      </x:c>
      <x:c r="B309" s="10" t="str">
        <x:v>ADMIN-07-0043</x:v>
      </x:c>
      <x:c r="C309" s="10" t="str">
        <x:v>运营配置</x:v>
      </x:c>
      <x:c r="D309" s="10" t="str">
        <x:v>等级配置</x:v>
      </x:c>
      <x:c r="E309" s="10" t="str">
        <x:v>功能需求</x:v>
      </x:c>
      <x:c r="F309" s="10" t="str">
        <x:v>P1</x:v>
      </x:c>
      <x:c r="G309" s="9" t="str">
        <x:v>验证财富等级缺少勋章图：财富等级图片必填拦截</x:v>
      </x:c>
      <x:c r="H309" s="9" t="str">
        <x:v>财富等级图片必填拦截</x:v>
      </x:c>
      <x:c r="I309" s="9" t="str">
        <x:v>1. 平台管理员账号可用
2. 当前等级门槛有效但一档缺少图片</x:v>
      </x:c>
      <x:c r="J309" s="9" t="str">
        <x:v>1. 打开等级配置
2. 切换财富等级
3. 点击保存</x:v>
      </x:c>
      <x:c r="K309" s="9" t="str">
        <x:v>缺少勋章图的配置不能保存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规则：BR-c8da7f8f5aa9452a
3. 未动态验证</x:v>
      </x:c>
    </x:row>
    <x:row r="310" ht="145" customHeight="1">
      <x:c r="A310" s="10" t="n">
        <x:v>309</x:v>
      </x:c>
      <x:c r="B310" s="10" t="str">
        <x:v>ADMIN-07-0044</x:v>
      </x:c>
      <x:c r="C310" s="10" t="str">
        <x:v>运营配置</x:v>
      </x:c>
      <x:c r="D310" s="10" t="str">
        <x:v>等级配置</x:v>
      </x:c>
      <x:c r="E310" s="10" t="str">
        <x:v>功能需求</x:v>
      </x:c>
      <x:c r="F310" s="10" t="str">
        <x:v>P1</x:v>
      </x:c>
      <x:c r="G310" s="9" t="str">
        <x:v>验证财富等级缺少勋章图：财富等级缺图定位</x:v>
      </x:c>
      <x:c r="H310" s="9" t="str">
        <x:v>财富等级缺图定位</x:v>
      </x:c>
      <x:c r="I310" s="9" t="str">
        <x:v>1. 平台管理员账号可用
2. 当前等级门槛有效但一档缺少图片</x:v>
      </x:c>
      <x:c r="J310" s="9" t="str">
        <x:v>1. 打开等级配置
2. 切换财富等级
3. 点击保存</x:v>
      </x:c>
      <x:c r="K310" s="9" t="str">
        <x:v>提示缺少图片的等级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规则：BR-c17971f40d4be07d
3. 未动态验证</x:v>
      </x:c>
    </x:row>
    <x:row r="311" ht="145" customHeight="1">
      <x:c r="A311" s="10" t="n">
        <x:v>310</x:v>
      </x:c>
      <x:c r="B311" s="10" t="str">
        <x:v>ADMIN-07-0045</x:v>
      </x:c>
      <x:c r="C311" s="10" t="str">
        <x:v>运营配置</x:v>
      </x:c>
      <x:c r="D311" s="10" t="str">
        <x:v>等级配置</x:v>
      </x:c>
      <x:c r="E311" s="10" t="str">
        <x:v>功能需求</x:v>
      </x:c>
      <x:c r="F311" s="10" t="str">
        <x:v>P1</x:v>
      </x:c>
      <x:c r="G311" s="9" t="str">
        <x:v>验证粉丝等级一级固定值：粉丝等级一级数值</x:v>
      </x:c>
      <x:c r="H311" s="9" t="str">
        <x:v>粉丝等级一级数值</x:v>
      </x:c>
      <x:c r="I311" s="9" t="str">
        <x:v>1. 平台管理员账号可用
2. 当前可编辑等级配置</x:v>
      </x:c>
      <x:c r="J311" s="9" t="str">
        <x:v>1. 打开等级配置
2. 切换粉丝等级</x:v>
      </x:c>
      <x:c r="K311" s="9" t="str">
        <x:v>1级门槛显示0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规则：BR-c1fe1fc44c935e64
3. 未动态验证</x:v>
      </x:c>
    </x:row>
    <x:row r="312" ht="145" customHeight="1">
      <x:c r="A312" s="10" t="n">
        <x:v>311</x:v>
      </x:c>
      <x:c r="B312" s="10" t="str">
        <x:v>ADMIN-07-0046</x:v>
      </x:c>
      <x:c r="C312" s="10" t="str">
        <x:v>运营配置</x:v>
      </x:c>
      <x:c r="D312" s="10" t="str">
        <x:v>等级配置</x:v>
      </x:c>
      <x:c r="E312" s="10" t="str">
        <x:v>功能需求</x:v>
      </x:c>
      <x:c r="F312" s="10" t="str">
        <x:v>P1</x:v>
      </x:c>
      <x:c r="G312" s="9" t="str">
        <x:v>验证粉丝等级一级固定值：粉丝等级一级只读</x:v>
      </x:c>
      <x:c r="H312" s="9" t="str">
        <x:v>粉丝等级一级只读</x:v>
      </x:c>
      <x:c r="I312" s="9" t="str">
        <x:v>1. 平台管理员账号可用
2. 当前可编辑等级配置</x:v>
      </x:c>
      <x:c r="J312" s="9" t="str">
        <x:v>1. 打开等级配置
2. 切换粉丝等级</x:v>
      </x:c>
      <x:c r="K312" s="9" t="str">
        <x:v>1级门槛不可修改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规则：BR-f19e5bb6fbed12a3
3. 未动态验证</x:v>
      </x:c>
    </x:row>
    <x:row r="313" ht="145" customHeight="1">
      <x:c r="A313" s="10" t="n">
        <x:v>312</x:v>
      </x:c>
      <x:c r="B313" s="10" t="str">
        <x:v>ADMIN-07-0047</x:v>
      </x:c>
      <x:c r="C313" s="10" t="str">
        <x:v>运营配置</x:v>
      </x:c>
      <x:c r="D313" s="10" t="str">
        <x:v>等级配置</x:v>
      </x:c>
      <x:c r="E313" s="10" t="str">
        <x:v>功能需求</x:v>
      </x:c>
      <x:c r="F313" s="10" t="str">
        <x:v>P1</x:v>
      </x:c>
      <x:c r="G313" s="9" t="str">
        <x:v>验证粉丝等级缺少勋章图：粉丝等级图片必填拦截</x:v>
      </x:c>
      <x:c r="H313" s="9" t="str">
        <x:v>粉丝等级图片必填拦截</x:v>
      </x:c>
      <x:c r="I313" s="9" t="str">
        <x:v>1. 平台管理员账号可用
2. 当前等级门槛有效但一档缺少图片</x:v>
      </x:c>
      <x:c r="J313" s="9" t="str">
        <x:v>1. 打开等级配置
2. 切换粉丝等级
3. 点击保存</x:v>
      </x:c>
      <x:c r="K313" s="9" t="str">
        <x:v>缺少勋章图的配置不能保存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规则：BR-aa83c5f496634e23
3. 未动态验证</x:v>
      </x:c>
    </x:row>
    <x:row r="314" ht="145" customHeight="1">
      <x:c r="A314" s="10" t="n">
        <x:v>313</x:v>
      </x:c>
      <x:c r="B314" s="10" t="str">
        <x:v>ADMIN-07-0048</x:v>
      </x:c>
      <x:c r="C314" s="10" t="str">
        <x:v>运营配置</x:v>
      </x:c>
      <x:c r="D314" s="10" t="str">
        <x:v>等级配置</x:v>
      </x:c>
      <x:c r="E314" s="10" t="str">
        <x:v>功能需求</x:v>
      </x:c>
      <x:c r="F314" s="10" t="str">
        <x:v>P1</x:v>
      </x:c>
      <x:c r="G314" s="9" t="str">
        <x:v>验证粉丝等级缺少勋章图：粉丝等级缺图定位</x:v>
      </x:c>
      <x:c r="H314" s="9" t="str">
        <x:v>粉丝等级缺图定位</x:v>
      </x:c>
      <x:c r="I314" s="9" t="str">
        <x:v>1. 平台管理员账号可用
2. 当前等级门槛有效但一档缺少图片</x:v>
      </x:c>
      <x:c r="J314" s="9" t="str">
        <x:v>1. 打开等级配置
2. 切换粉丝等级
3. 点击保存</x:v>
      </x:c>
      <x:c r="K314" s="9" t="str">
        <x:v>提示缺少图片的等级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规则：BR-cf7025fc746d84b6
3. 未动态验证</x:v>
      </x:c>
    </x:row>
    <x:row r="315" ht="145" customHeight="1">
      <x:c r="A315" s="10" t="n">
        <x:v>314</x:v>
      </x:c>
      <x:c r="B315" s="10" t="str">
        <x:v>ADMIN-07-0049</x:v>
      </x:c>
      <x:c r="C315" s="10" t="str">
        <x:v>运营配置</x:v>
      </x:c>
      <x:c r="D315" s="10" t="str">
        <x:v>等级配置</x:v>
      </x:c>
      <x:c r="E315" s="10" t="str">
        <x:v>功能需求</x:v>
      </x:c>
      <x:c r="F315" s="10" t="str">
        <x:v>P1</x:v>
      </x:c>
      <x:c r="G315" s="9" t="str">
        <x:v>验证粉丝团等级一级固定值：粉丝团等级一级数值</x:v>
      </x:c>
      <x:c r="H315" s="9" t="str">
        <x:v>粉丝团等级一级数值</x:v>
      </x:c>
      <x:c r="I315" s="9" t="str">
        <x:v>1. 平台管理员账号可用
2. 当前可编辑等级配置</x:v>
      </x:c>
      <x:c r="J315" s="9" t="str">
        <x:v>1. 打开等级配置
2. 切换粉丝团等级</x:v>
      </x:c>
      <x:c r="K315" s="9" t="str">
        <x:v>1级门槛显示0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规则：BR-f52973390a000f65
3. 未动态验证</x:v>
      </x:c>
    </x:row>
    <x:row r="316" ht="145" customHeight="1">
      <x:c r="A316" s="10" t="n">
        <x:v>315</x:v>
      </x:c>
      <x:c r="B316" s="10" t="str">
        <x:v>ADMIN-07-0050</x:v>
      </x:c>
      <x:c r="C316" s="10" t="str">
        <x:v>运营配置</x:v>
      </x:c>
      <x:c r="D316" s="10" t="str">
        <x:v>等级配置</x:v>
      </x:c>
      <x:c r="E316" s="10" t="str">
        <x:v>功能需求</x:v>
      </x:c>
      <x:c r="F316" s="10" t="str">
        <x:v>P1</x:v>
      </x:c>
      <x:c r="G316" s="9" t="str">
        <x:v>验证粉丝团等级一级固定值：粉丝团等级一级只读</x:v>
      </x:c>
      <x:c r="H316" s="9" t="str">
        <x:v>粉丝团等级一级只读</x:v>
      </x:c>
      <x:c r="I316" s="9" t="str">
        <x:v>1. 平台管理员账号可用
2. 当前可编辑等级配置</x:v>
      </x:c>
      <x:c r="J316" s="9" t="str">
        <x:v>1. 打开等级配置
2. 切换粉丝团等级</x:v>
      </x:c>
      <x:c r="K316" s="9" t="str">
        <x:v>1级门槛不可修改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规则：BR-8c6b45aaa52e6cdc
3. 未动态验证</x:v>
      </x:c>
    </x:row>
    <x:row r="317" ht="145" customHeight="1">
      <x:c r="A317" s="10" t="n">
        <x:v>316</x:v>
      </x:c>
      <x:c r="B317" s="10" t="str">
        <x:v>ADMIN-07-0051</x:v>
      </x:c>
      <x:c r="C317" s="10" t="str">
        <x:v>运营配置</x:v>
      </x:c>
      <x:c r="D317" s="10" t="str">
        <x:v>等级配置</x:v>
      </x:c>
      <x:c r="E317" s="10" t="str">
        <x:v>功能需求</x:v>
      </x:c>
      <x:c r="F317" s="10" t="str">
        <x:v>P1</x:v>
      </x:c>
      <x:c r="G317" s="9" t="str">
        <x:v>验证粉丝团等级缺少勋章图：粉丝团等级图片必填拦截</x:v>
      </x:c>
      <x:c r="H317" s="9" t="str">
        <x:v>粉丝团等级图片必填拦截</x:v>
      </x:c>
      <x:c r="I317" s="9" t="str">
        <x:v>1. 平台管理员账号可用
2. 当前等级门槛有效但一档缺少图片</x:v>
      </x:c>
      <x:c r="J317" s="9" t="str">
        <x:v>1. 打开等级配置
2. 切换粉丝团等级
3. 点击保存</x:v>
      </x:c>
      <x:c r="K317" s="9" t="str">
        <x:v>缺少勋章图的配置不能保存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规则：BR-3444b00018aef4e3
3. 未动态验证</x:v>
      </x:c>
    </x:row>
    <x:row r="318" ht="145" customHeight="1">
      <x:c r="A318" s="10" t="n">
        <x:v>317</x:v>
      </x:c>
      <x:c r="B318" s="10" t="str">
        <x:v>ADMIN-07-0052</x:v>
      </x:c>
      <x:c r="C318" s="10" t="str">
        <x:v>运营配置</x:v>
      </x:c>
      <x:c r="D318" s="10" t="str">
        <x:v>等级配置</x:v>
      </x:c>
      <x:c r="E318" s="10" t="str">
        <x:v>功能需求</x:v>
      </x:c>
      <x:c r="F318" s="10" t="str">
        <x:v>P1</x:v>
      </x:c>
      <x:c r="G318" s="9" t="str">
        <x:v>验证粉丝团等级缺少勋章图：粉丝团等级缺图定位</x:v>
      </x:c>
      <x:c r="H318" s="9" t="str">
        <x:v>粉丝团等级缺图定位</x:v>
      </x:c>
      <x:c r="I318" s="9" t="str">
        <x:v>1. 平台管理员账号可用
2. 当前等级门槛有效但一档缺少图片</x:v>
      </x:c>
      <x:c r="J318" s="9" t="str">
        <x:v>1. 打开等级配置
2. 切换粉丝团等级
3. 点击保存</x:v>
      </x:c>
      <x:c r="K318" s="9" t="str">
        <x:v>提示缺少图片的等级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规则：BR-bc7e0cc25d505967
3. 未动态验证</x:v>
      </x:c>
    </x:row>
    <x:row r="319" ht="130" customHeight="1">
      <x:c r="A319" s="10" t="n">
        <x:v>318</x:v>
      </x:c>
      <x:c r="B319" s="10" t="str">
        <x:v>ADMIN-07-0053</x:v>
      </x:c>
      <x:c r="C319" s="10" t="str">
        <x:v>运营配置</x:v>
      </x:c>
      <x:c r="D319" s="10" t="str">
        <x:v>等级配置</x:v>
      </x:c>
      <x:c r="E319" s="10" t="str">
        <x:v>功能需求</x:v>
      </x:c>
      <x:c r="F319" s="10" t="str">
        <x:v>P1</x:v>
      </x:c>
      <x:c r="G319" s="9" t="str">
        <x:v>验证损坏图片替换：损坏图片提示</x:v>
      </x:c>
      <x:c r="H319" s="9" t="str">
        <x:v>损坏图片提示</x:v>
      </x:c>
      <x:c r="I319" s="9" t="str">
        <x:v>1. 平台管理员账号可用
2. 某等级已有有效图片，准备不可解码的图片文件</x:v>
      </x:c>
      <x:c r="J319" s="9" t="str">
        <x:v>1. 打开等级配置
2. 上传该损坏图片</x:v>
      </x:c>
      <x:c r="K319" s="9" t="str">
        <x:v>提示重新选择图片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规则：BR-5b0dbdcb7ca2e00c
3. 未动态验证</x:v>
      </x:c>
    </x:row>
    <x:row r="320" ht="130" customHeight="1">
      <x:c r="A320" s="10" t="n">
        <x:v>319</x:v>
      </x:c>
      <x:c r="B320" s="10" t="str">
        <x:v>ADMIN-07-0054</x:v>
      </x:c>
      <x:c r="C320" s="10" t="str">
        <x:v>运营配置</x:v>
      </x:c>
      <x:c r="D320" s="10" t="str">
        <x:v>等级配置</x:v>
      </x:c>
      <x:c r="E320" s="10" t="str">
        <x:v>功能需求</x:v>
      </x:c>
      <x:c r="F320" s="10" t="str">
        <x:v>P1</x:v>
      </x:c>
      <x:c r="G320" s="9" t="str">
        <x:v>验证损坏图片替换：原勋章图保留</x:v>
      </x:c>
      <x:c r="H320" s="9" t="str">
        <x:v>原勋章图保留</x:v>
      </x:c>
      <x:c r="I320" s="9" t="str">
        <x:v>1. 平台管理员账号可用
2. 某等级已有有效图片，准备不可解码的图片文件</x:v>
      </x:c>
      <x:c r="J320" s="9" t="str">
        <x:v>1. 打开等级配置
2. 上传该损坏图片</x:v>
      </x:c>
      <x:c r="K320" s="9" t="str">
        <x:v>原有效图片保留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规则：BR-c49be6bdd06a39ca
3. 未动态验证</x:v>
      </x:c>
    </x:row>
    <x:row r="321" ht="115" customHeight="1">
      <x:c r="A321" s="10" t="n">
        <x:v>320</x:v>
      </x:c>
      <x:c r="B321" s="10" t="str">
        <x:v>ADMIN-07-0055</x:v>
      </x:c>
      <x:c r="C321" s="10" t="str">
        <x:v>运营配置</x:v>
      </x:c>
      <x:c r="D321" s="10" t="str">
        <x:v>直播类型</x:v>
      </x:c>
      <x:c r="E321" s="10" t="str">
        <x:v>功能需求</x:v>
      </x:c>
      <x:c r="F321" s="10" t="str">
        <x:v>P1</x:v>
      </x:c>
      <x:c r="G321" s="9" t="str">
        <x:v>验证停用直播类型</x:v>
      </x:c>
      <x:c r="H321" s="9" t="str">
        <x:v>直播类型停用</x:v>
      </x:c>
      <x:c r="I321" s="9" t="str">
        <x:v>1. 平台管理员账号可用
2. 目标类型启用</x:v>
      </x:c>
      <x:c r="J321" s="9" t="str">
        <x:v>1. 打开直播类型
2. 点击停用
3. 确认停用</x:v>
      </x:c>
      <x:c r="K321" s="9" t="str">
        <x:v>类型状态显示停用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来源（当前证据）：liveshow-proto/MainBasis/统一需求文档.md；位置：第3015行、第3018行 REQ-515194e9e61f、第3019行 REQ-bab220e1fbde、第3020行 REQ-84f6a9cbd6a1、第3021行 REQ-7f2bc8565bae
2. 规则：BR-d05b1e781320e347
3. 未动态验证</x:v>
      </x:c>
    </x:row>
    <x:row r="322" ht="115" customHeight="1">
      <x:c r="A322" s="10" t="n">
        <x:v>321</x:v>
      </x:c>
      <x:c r="B322" s="10" t="str">
        <x:v>ADMIN-07-0056</x:v>
      </x:c>
      <x:c r="C322" s="10" t="str">
        <x:v>运营配置</x:v>
      </x:c>
      <x:c r="D322" s="10" t="str">
        <x:v>直播类型</x:v>
      </x:c>
      <x:c r="E322" s="10" t="str">
        <x:v>功能需求</x:v>
      </x:c>
      <x:c r="F322" s="10" t="str">
        <x:v>P1</x:v>
      </x:c>
      <x:c r="G322" s="9" t="str">
        <x:v>验证类型修改不改历史</x:v>
      </x:c>
      <x:c r="H322" s="9" t="str">
        <x:v>历史直播类型快照</x:v>
      </x:c>
      <x:c r="I322" s="9" t="str">
        <x:v>1. 平台管理员账号可用
2. 一个已结束场次使用原类型名称，后台修改了该类型</x:v>
      </x:c>
      <x:c r="J322" s="9" t="str">
        <x:v>1. 打开直播类型
2. 打开直播场次
3. 查看该历史场次</x:v>
      </x:c>
      <x:c r="K322" s="9" t="str">
        <x:v>历史场次仍显示原类型快照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来源（当前证据）：liveshow-proto/MainBasis/统一需求文档.md；位置：第3015行、第3018行 REQ-515194e9e61f、第3019行 REQ-bab220e1fbde、第3020行 REQ-84f6a9cbd6a1、第3021行 REQ-7f2bc8565bae
2. 规则：BR-5061fe37e599b573
3. 未动态验证</x:v>
      </x:c>
    </x:row>
    <x:row r="323" ht="115" customHeight="1">
      <x:c r="A323" s="10" t="n">
        <x:v>322</x:v>
      </x:c>
      <x:c r="B323" s="10" t="str">
        <x:v>ADMIN-07-0057</x:v>
      </x:c>
      <x:c r="C323" s="10" t="str">
        <x:v>运营配置</x:v>
      </x:c>
      <x:c r="D323" s="10" t="str">
        <x:v>直播类型</x:v>
      </x:c>
      <x:c r="E323" s="10" t="str">
        <x:v>功能需求</x:v>
      </x:c>
      <x:c r="F323" s="10" t="str">
        <x:v>P1</x:v>
      </x:c>
      <x:c r="G323" s="9" t="str">
        <x:v>验证同语言类型名重复</x:v>
      </x:c>
      <x:c r="H323" s="9" t="str">
        <x:v>直播类型名称唯一</x:v>
      </x:c>
      <x:c r="I323" s="9" t="str">
        <x:v>1. 平台管理员账号可用
2. 当前已有同语言类型名称</x:v>
      </x:c>
      <x:c r="J323" s="9" t="str">
        <x:v>1. 打开直播类型
2. 点击新建
3. 输入该语言名称为已有值
4. 点击保存</x:v>
      </x:c>
      <x:c r="K323" s="9" t="str">
        <x:v>同语言重复名称不能保存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来源（当前证据）：liveshow-proto/MainBasis/统一需求文档.md；位置：第3015行、第3018行 REQ-515194e9e61f、第3019行 REQ-bab220e1fbde、第3020行 REQ-84f6a9cbd6a1、第3021行 REQ-7f2bc8565bae
2. 规则：BR-202b5f1db78b6f8b
3. 未动态验证</x:v>
      </x:c>
    </x:row>
    <x:row r="324" ht="85" customHeight="1">
      <x:c r="A324" s="10" t="n">
        <x:v>323</x:v>
      </x:c>
      <x:c r="B324" s="10" t="str">
        <x:v>ADMIN-07-0058</x:v>
      </x:c>
      <x:c r="C324" s="10" t="str">
        <x:v>运营配置</x:v>
      </x:c>
      <x:c r="D324" s="10" t="str">
        <x:v>直播类型</x:v>
      </x:c>
      <x:c r="E324" s="10" t="str">
        <x:v>功能需求</x:v>
      </x:c>
      <x:c r="F324" s="10" t="str">
        <x:v>P1</x:v>
      </x:c>
      <x:c r="G324" s="9" t="str">
        <x:v>验证不同直播类型编号</x:v>
      </x:c>
      <x:c r="H324" s="9" t="str">
        <x:v>直播类型ID唯一性</x:v>
      </x:c>
      <x:c r="I324" s="9" t="str">
        <x:v>1. 平台管理员账号可用
2. 已创建两个直播类型</x:v>
      </x:c>
      <x:c r="J324" s="9" t="str">
        <x:v>1. 打开直播类型</x:v>
      </x:c>
      <x:c r="K324" s="9" t="str">
        <x:v>两个类型ID不同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来源（当前证据）：liveshow-proto/MainBasis/统一需求文档.md；位置：第3015行、第3017行 REQ-e875cd2ebc54
2. 规则：BR-997a6c4f1b4255a7
3. 未动态验证</x:v>
      </x:c>
    </x:row>
    <x:row r="325" ht="115" customHeight="1">
      <x:c r="A325" s="10" t="n">
        <x:v>324</x:v>
      </x:c>
      <x:c r="B325" s="10" t="str">
        <x:v>ADMIN-07-0059</x:v>
      </x:c>
      <x:c r="C325" s="10" t="str">
        <x:v>运营配置</x:v>
      </x:c>
      <x:c r="D325" s="10" t="str">
        <x:v>展位配置</x:v>
      </x:c>
      <x:c r="E325" s="10" t="str">
        <x:v>功能需求</x:v>
      </x:c>
      <x:c r="F325" s="10" t="str">
        <x:v>P1</x:v>
      </x:c>
      <x:c r="G325" s="9" t="str">
        <x:v>验证配置已启用且在周期内</x:v>
      </x:c>
      <x:c r="H325" s="9" t="str">
        <x:v>展位展示状态</x:v>
      </x:c>
      <x:c r="I325" s="9" t="str">
        <x:v>1. 平台管理员账号可用
2. 当前日期在展示周期内且该配置启用</x:v>
      </x:c>
      <x:c r="J325" s="9" t="str">
        <x:v>1. 打开展位配置</x:v>
      </x:c>
      <x:c r="K325" s="9" t="str">
        <x:v>状态显示展示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来源（当前证据）：liveshow-proto/MainBasis/统一需求文档.md；位置：第2887行、第2889行 REQ-ffb51cbd2a29、第2892行 REQ-20a3dc63c0ad、第2893行 REQ-9c07482a9462、第2894行 REQ-5360ed395f1b
2. 规则：BR-5ae84e305b52130c
3. 未动态验证</x:v>
      </x:c>
    </x:row>
    <x:row r="326" ht="115" customHeight="1">
      <x:c r="A326" s="10" t="n">
        <x:v>325</x:v>
      </x:c>
      <x:c r="B326" s="10" t="str">
        <x:v>ADMIN-07-0060</x:v>
      </x:c>
      <x:c r="C326" s="10" t="str">
        <x:v>运营配置</x:v>
      </x:c>
      <x:c r="D326" s="10" t="str">
        <x:v>展位配置</x:v>
      </x:c>
      <x:c r="E326" s="10" t="str">
        <x:v>功能需求</x:v>
      </x:c>
      <x:c r="F326" s="10" t="str">
        <x:v>P1</x:v>
      </x:c>
      <x:c r="G326" s="9" t="str">
        <x:v>验证配置关闭但日期有效</x:v>
      </x:c>
      <x:c r="H326" s="9" t="str">
        <x:v>展位停用优先</x:v>
      </x:c>
      <x:c r="I326" s="9" t="str">
        <x:v>1. 平台管理员账号可用
2. 当前日期在展示周期内但配置关闭</x:v>
      </x:c>
      <x:c r="J326" s="9" t="str">
        <x:v>1. 打开展位配置</x:v>
      </x:c>
      <x:c r="K326" s="9" t="str">
        <x:v>状态显示隐藏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来源（当前证据）：liveshow-proto/MainBasis/统一需求文档.md；位置：第2887行、第2889行 REQ-ffb51cbd2a29、第2892行 REQ-20a3dc63c0ad、第2893行 REQ-9c07482a9462、第2894行 REQ-5360ed395f1b
2. 规则：BR-1562993f49d3b863
3. 未动态验证</x:v>
      </x:c>
    </x:row>
    <x:row r="327" ht="115" customHeight="1">
      <x:c r="A327" s="10" t="n">
        <x:v>326</x:v>
      </x:c>
      <x:c r="B327" s="10" t="str">
        <x:v>ADMIN-07-0061</x:v>
      </x:c>
      <x:c r="C327" s="10" t="str">
        <x:v>运营配置</x:v>
      </x:c>
      <x:c r="D327" s="10" t="str">
        <x:v>展位配置</x:v>
      </x:c>
      <x:c r="E327" s="10" t="str">
        <x:v>功能需求</x:v>
      </x:c>
      <x:c r="F327" s="10" t="str">
        <x:v>P1</x:v>
      </x:c>
      <x:c r="G327" s="9" t="str">
        <x:v>验证删除展示计划</x:v>
      </x:c>
      <x:c r="H327" s="9" t="str">
        <x:v>展位删除状态</x:v>
      </x:c>
      <x:c r="I327" s="9" t="str">
        <x:v>1. 平台管理员账号可用
2. 已有一条展示计划</x:v>
      </x:c>
      <x:c r="J327" s="9" t="str">
        <x:v>1. 打开展位配置
2. 点击删除
3. 确认删除</x:v>
      </x:c>
      <x:c r="K327" s="9" t="str">
        <x:v>该展示计划从列表移除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来源（当前证据）：liveshow-proto/MainBasis/统一需求文档.md；位置：第2887行、第2889行 REQ-ffb51cbd2a29、第2892行 REQ-20a3dc63c0ad、第2893行 REQ-9c07482a9462、第2894行 REQ-5360ed395f1b
2. 规则：BR-141d9da1f0c8c843
3. 未动态验证</x:v>
      </x:c>
    </x:row>
    <x:row r="328" ht="85" customHeight="1">
      <x:c r="A328" s="10" t="n">
        <x:v>327</x:v>
      </x:c>
      <x:c r="B328" s="10" t="str">
        <x:v>ADMIN-07-0062</x:v>
      </x:c>
      <x:c r="C328" s="10" t="str">
        <x:v>运营配置</x:v>
      </x:c>
      <x:c r="D328" s="10" t="str">
        <x:v>展位配置</x:v>
      </x:c>
      <x:c r="E328" s="10" t="str">
        <x:v>功能需求</x:v>
      </x:c>
      <x:c r="F328" s="10" t="str">
        <x:v>P1</x:v>
      </x:c>
      <x:c r="G328" s="9" t="str">
        <x:v>验证多素材展示位</x:v>
      </x:c>
      <x:c r="H328" s="9" t="str">
        <x:v>轮播素材计数</x:v>
      </x:c>
      <x:c r="I328" s="9" t="str">
        <x:v>1. 平台管理员账号可用
2. 某展示位已配置3项素材</x:v>
      </x:c>
      <x:c r="J328" s="9" t="str">
        <x:v>1. 打开展位配置</x:v>
      </x:c>
      <x:c r="K328" s="9" t="str">
        <x:v>素材数量显示3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来源（当前证据）：liveshow-proto/MainBasis/统一需求文档.md；位置：第2887行、第2890行 REQ-89ac12a5971f
2. 规则：BR-bd17f090bb186e20
3. 未动态验证</x:v>
      </x:c>
    </x:row>
    <x:row r="329" ht="190" customHeight="1">
      <x:c r="A329" s="10" t="n">
        <x:v>328</x:v>
      </x:c>
      <x:c r="B329" s="10" t="str">
        <x:v>ADMIN-07-0063</x:v>
      </x:c>
      <x:c r="C329" s="10" t="str">
        <x:v>运营配置</x:v>
      </x:c>
      <x:c r="D329" s="10" t="str">
        <x:v>展示素材编辑</x:v>
      </x:c>
      <x:c r="E329" s="10" t="str">
        <x:v>功能需求</x:v>
      </x:c>
      <x:c r="F329" s="10" t="str">
        <x:v>P1</x:v>
      </x:c>
      <x:c r="G329" s="9" t="str">
        <x:v>验证轮播最多5项</x:v>
      </x:c>
      <x:c r="H329" s="9" t="str">
        <x:v>轮播数量上界</x:v>
      </x:c>
      <x:c r="I329" s="9" t="str">
        <x:v>1. 平台管理员账号可用
2. 已有5项轮播内容</x:v>
      </x:c>
      <x:c r="J329" s="9" t="str">
        <x:v>1. 打开展示素材编辑
2. 点击添加轮播</x:v>
      </x:c>
      <x:c r="K329" s="9" t="str">
        <x:v>不能新增第6项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规则：BR-6ce855459e01ecda
3. 未动态验证</x:v>
      </x:c>
    </x:row>
    <x:row r="330" ht="190" customHeight="1">
      <x:c r="A330" s="10" t="n">
        <x:v>329</x:v>
      </x:c>
      <x:c r="B330" s="10" t="str">
        <x:v>ADMIN-07-0064</x:v>
      </x:c>
      <x:c r="C330" s="10" t="str">
        <x:v>运营配置</x:v>
      </x:c>
      <x:c r="D330" s="10" t="str">
        <x:v>展示素材编辑</x:v>
      </x:c>
      <x:c r="E330" s="10" t="str">
        <x:v>功能需求</x:v>
      </x:c>
      <x:c r="F330" s="10" t="str">
        <x:v>P1</x:v>
      </x:c>
      <x:c r="G330" s="9" t="str">
        <x:v>验证轮播至少保留1项</x:v>
      </x:c>
      <x:c r="H330" s="9" t="str">
        <x:v>最后轮播项保护</x:v>
      </x:c>
      <x:c r="I330" s="9" t="str">
        <x:v>1. 平台管理员账号可用
2. 仅有1项轮播内容</x:v>
      </x:c>
      <x:c r="J330" s="9" t="str">
        <x:v>1. 打开展示素材编辑
2. 点击删除该项</x:v>
      </x:c>
      <x:c r="K330" s="9" t="str">
        <x:v>最后1项不能删除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规则：BR-9af06e1b17c20da3
3. 未动态验证</x:v>
      </x:c>
    </x:row>
    <x:row r="331" ht="190" customHeight="1">
      <x:c r="A331" s="10" t="n">
        <x:v>330</x:v>
      </x:c>
      <x:c r="B331" s="10" t="str">
        <x:v>ADMIN-07-0065</x:v>
      </x:c>
      <x:c r="C331" s="10" t="str">
        <x:v>运营配置</x:v>
      </x:c>
      <x:c r="D331" s="10" t="str">
        <x:v>展示素材编辑</x:v>
      </x:c>
      <x:c r="E331" s="10" t="str">
        <x:v>功能需求</x:v>
      </x:c>
      <x:c r="F331" s="10" t="str">
        <x:v>P1</x:v>
      </x:c>
      <x:c r="G331" s="9" t="str">
        <x:v>验证缺少轮播图片</x:v>
      </x:c>
      <x:c r="H331" s="9" t="str">
        <x:v>逐行素材必填</x:v>
      </x:c>
      <x:c r="I331" s="9" t="str">
        <x:v>1. 平台管理员账号可用
2. 第2项缺少展示图片，其余内容合法</x:v>
      </x:c>
      <x:c r="J331" s="9" t="str">
        <x:v>1. 打开展示素材编辑
2. 点击保存</x:v>
      </x:c>
      <x:c r="K331" s="9" t="str">
        <x:v>错误定位到第2项展示素材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规则：BR-ddd77f612d88b2a0
3. 未动态验证</x:v>
      </x:c>
    </x:row>
    <x:row r="332" ht="190" customHeight="1">
      <x:c r="A332" s="10" t="n">
        <x:v>331</x:v>
      </x:c>
      <x:c r="B332" s="10" t="str">
        <x:v>ADMIN-07-0066</x:v>
      </x:c>
      <x:c r="C332" s="10" t="str">
        <x:v>运营配置</x:v>
      </x:c>
      <x:c r="D332" s="10" t="str">
        <x:v>展示素材编辑</x:v>
      </x:c>
      <x:c r="E332" s="10" t="str">
        <x:v>功能需求</x:v>
      </x:c>
      <x:c r="F332" s="10" t="str">
        <x:v>P1</x:v>
      </x:c>
      <x:c r="G332" s="9" t="str">
        <x:v>验证APP跳转未指定页面</x:v>
      </x:c>
      <x:c r="H332" s="9" t="str">
        <x:v>APP目标必填</x:v>
      </x:c>
      <x:c r="I332" s="9" t="str">
        <x:v>1. 平台管理员账号可用
2. 展示图片有效且跳转类型为APP已有页面</x:v>
      </x:c>
      <x:c r="J332" s="9" t="str">
        <x:v>1. 打开展示素材编辑
2. 清空目标页面
3. 点击保存</x:v>
      </x:c>
      <x:c r="K332" s="9" t="str">
        <x:v>未指定目标页面的轮播项不能保存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规则：BR-07e405063dd6bb63
3. 未动态验证</x:v>
      </x:c>
    </x:row>
    <x:row r="333" ht="190" customHeight="1">
      <x:c r="A333" s="10" t="n">
        <x:v>332</x:v>
      </x:c>
      <x:c r="B333" s="10" t="str">
        <x:v>ADMIN-07-0067</x:v>
      </x:c>
      <x:c r="C333" s="10" t="str">
        <x:v>运营配置</x:v>
      </x:c>
      <x:c r="D333" s="10" t="str">
        <x:v>展示素材编辑</x:v>
      </x:c>
      <x:c r="E333" s="10" t="str">
        <x:v>功能需求</x:v>
      </x:c>
      <x:c r="F333" s="10" t="str">
        <x:v>P1</x:v>
      </x:c>
      <x:c r="G333" s="9" t="str">
        <x:v>验证长图跳转未上传详情</x:v>
      </x:c>
      <x:c r="H333" s="9" t="str">
        <x:v>长图目标必填</x:v>
      </x:c>
      <x:c r="I333" s="9" t="str">
        <x:v>1. 平台管理员账号可用
2. 跳转类型为活动长图且展示图片有效</x:v>
      </x:c>
      <x:c r="J333" s="9" t="str">
        <x:v>1. 打开展示素材编辑
2. 删除详情长图
3. 点击保存</x:v>
      </x:c>
      <x:c r="K333" s="9" t="str">
        <x:v>未上传详情长图不能保存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规则：BR-574a99b643578aa5
3. 未动态验证</x:v>
      </x:c>
    </x:row>
    <x:row r="334" ht="190" customHeight="1">
      <x:c r="A334" s="10" t="n">
        <x:v>333</x:v>
      </x:c>
      <x:c r="B334" s="10" t="str">
        <x:v>ADMIN-07-0068</x:v>
      </x:c>
      <x:c r="C334" s="10" t="str">
        <x:v>运营配置</x:v>
      </x:c>
      <x:c r="D334" s="10" t="str">
        <x:v>展示素材编辑</x:v>
      </x:c>
      <x:c r="E334" s="10" t="str">
        <x:v>功能需求</x:v>
      </x:c>
      <x:c r="F334" s="10" t="str">
        <x:v>P1</x:v>
      </x:c>
      <x:c r="G334" s="9" t="str">
        <x:v>验证切换跳转类型</x:v>
      </x:c>
      <x:c r="H334" s="9" t="str">
        <x:v>目标输入联动</x:v>
      </x:c>
      <x:c r="I334" s="9" t="str">
        <x:v>1. 平台管理员账号可用
2. 当前跳转类型为APP页面</x:v>
      </x:c>
      <x:c r="J334" s="9" t="str">
        <x:v>1. 打开展示素材编辑
2. 选择活动长图页面</x:v>
      </x:c>
      <x:c r="K334" s="9" t="str">
        <x:v>目标输入切换为详情长图上传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规则：BR-76c6310ca2a3048d
3. 未动态验证</x:v>
      </x:c>
    </x:row>
    <x:row r="335" ht="190" customHeight="1">
      <x:c r="A335" s="10" t="n">
        <x:v>334</x:v>
      </x:c>
      <x:c r="B335" s="10" t="str">
        <x:v>ADMIN-07-0069</x:v>
      </x:c>
      <x:c r="C335" s="10" t="str">
        <x:v>运营配置</x:v>
      </x:c>
      <x:c r="D335" s="10" t="str">
        <x:v>展示素材编辑</x:v>
      </x:c>
      <x:c r="E335" s="10" t="str">
        <x:v>功能需求</x:v>
      </x:c>
      <x:c r="F335" s="10" t="str">
        <x:v>P1</x:v>
      </x:c>
      <x:c r="G335" s="9" t="str">
        <x:v>验证同配置多项共享周期</x:v>
      </x:c>
      <x:c r="H335" s="9" t="str">
        <x:v>配置内轮播排期</x:v>
      </x:c>
      <x:c r="I335" s="9" t="str">
        <x:v>1. 平台管理员账号可用
2. 两项素材及目标均有效且共用同一周期</x:v>
      </x:c>
      <x:c r="J335" s="9" t="str">
        <x:v>1. 打开展示素材编辑
2. 点击保存</x:v>
      </x:c>
      <x:c r="K335" s="9" t="str">
        <x:v>两项内容共同保存且不判定彼此排期冲突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规则：BR-69cf7d41d37a44c4
3. 未动态验证</x:v>
      </x:c>
    </x:row>
    <x:row r="336" ht="190" customHeight="1">
      <x:c r="A336" s="10" t="n">
        <x:v>335</x:v>
      </x:c>
      <x:c r="B336" s="10" t="str">
        <x:v>ADMIN-07-0070</x:v>
      </x:c>
      <x:c r="C336" s="10" t="str">
        <x:v>运营配置</x:v>
      </x:c>
      <x:c r="D336" s="10" t="str">
        <x:v>展示素材编辑</x:v>
      </x:c>
      <x:c r="E336" s="10" t="str">
        <x:v>功能需求</x:v>
      </x:c>
      <x:c r="F336" s="10" t="str">
        <x:v>P1</x:v>
      </x:c>
      <x:c r="G336" s="9" t="str">
        <x:v>验证同展位不同配置周期重叠</x:v>
      </x:c>
      <x:c r="H336" s="9" t="str">
        <x:v>跨配置排期冲突</x:v>
      </x:c>
      <x:c r="I336" s="9" t="str">
        <x:v>1. 平台管理员账号可用
2. 该展位已有9月1日至10日配置，当前新配置周期为9月10日至15日</x:v>
      </x:c>
      <x:c r="J336" s="9" t="str">
        <x:v>1. 打开展示素材编辑
2. 点击保存</x:v>
      </x:c>
      <x:c r="K336" s="9" t="str">
        <x:v>相同展示位包含共同日期的配置不能保存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规则：BR-874aea95b8733f79
3. 未动态验证</x:v>
      </x:c>
    </x:row>
    <x:row r="337" ht="190" customHeight="1">
      <x:c r="A337" s="10" t="n">
        <x:v>336</x:v>
      </x:c>
      <x:c r="B337" s="10" t="str">
        <x:v>ADMIN-07-0071</x:v>
      </x:c>
      <x:c r="C337" s="10" t="str">
        <x:v>运营配置</x:v>
      </x:c>
      <x:c r="D337" s="10" t="str">
        <x:v>展示素材编辑</x:v>
      </x:c>
      <x:c r="E337" s="10" t="str">
        <x:v>功能需求</x:v>
      </x:c>
      <x:c r="F337" s="10" t="str">
        <x:v>P1</x:v>
      </x:c>
      <x:c r="G337" s="9" t="str">
        <x:v>验证不同展位相同周期</x:v>
      </x:c>
      <x:c r="H337" s="9" t="str">
        <x:v>展位排期隔离</x:v>
      </x:c>
      <x:c r="I337" s="9" t="str">
        <x:v>1. 平台管理员账号可用
2. 直播广场已有同日期配置，当前为福利中心且其他字段有效</x:v>
      </x:c>
      <x:c r="J337" s="9" t="str">
        <x:v>1. 打开展示素材编辑
2. 点击保存</x:v>
      </x:c>
      <x:c r="K337" s="9" t="str">
        <x:v>不同展示位相同周期允许保存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规则：BR-56d274c719ba6f3e
3. 未动态验证</x:v>
      </x:c>
    </x:row>
    <x:row r="338" ht="190" customHeight="1">
      <x:c r="A338" s="10" t="n">
        <x:v>337</x:v>
      </x:c>
      <x:c r="B338" s="10" t="str">
        <x:v>ADMIN-07-0072</x:v>
      </x:c>
      <x:c r="C338" s="10" t="str">
        <x:v>运营配置</x:v>
      </x:c>
      <x:c r="D338" s="10" t="str">
        <x:v>展示素材编辑</x:v>
      </x:c>
      <x:c r="E338" s="10" t="str">
        <x:v>功能需求</x:v>
      </x:c>
      <x:c r="F338" s="10" t="str">
        <x:v>P1</x:v>
      </x:c>
      <x:c r="G338" s="9" t="str">
        <x:v>验证删除已保存轮播项</x:v>
      </x:c>
      <x:c r="H338" s="9" t="str">
        <x:v>已保存轮播删除确认</x:v>
      </x:c>
      <x:c r="I338" s="9" t="str">
        <x:v>1. 平台管理员账号可用
2. 已有2项保存过的内容</x:v>
      </x:c>
      <x:c r="J338" s="9" t="str">
        <x:v>1. 打开展示素材编辑
2. 点击删除其中一项</x:v>
      </x:c>
      <x:c r="K338" s="9" t="str">
        <x:v>出现删除确认弹窗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规则：BR-13c8886d4b32ce0d
3. 未动态验证</x:v>
      </x:c>
    </x:row>
    <x:row r="339" ht="190" customHeight="1">
      <x:c r="A339" s="10" t="n">
        <x:v>338</x:v>
      </x:c>
      <x:c r="B339" s="10" t="str">
        <x:v>ADMIN-07-0073</x:v>
      </x:c>
      <x:c r="C339" s="10" t="str">
        <x:v>运营配置</x:v>
      </x:c>
      <x:c r="D339" s="10" t="str">
        <x:v>展示素材编辑</x:v>
      </x:c>
      <x:c r="E339" s="10" t="str">
        <x:v>功能需求</x:v>
      </x:c>
      <x:c r="F339" s="10" t="str">
        <x:v>P1</x:v>
      </x:c>
      <x:c r="G339" s="9" t="str">
        <x:v>验证取消删除已保存项</x:v>
      </x:c>
      <x:c r="H339" s="9" t="str">
        <x:v>轮播删除取消</x:v>
      </x:c>
      <x:c r="I339" s="9" t="str">
        <x:v>1. 平台管理员账号可用
2. 已有2项保存过的内容</x:v>
      </x:c>
      <x:c r="J339" s="9" t="str">
        <x:v>1. 打开展示素材编辑
2. 点击删除其中一项
3. 取消确认弹窗</x:v>
      </x:c>
      <x:c r="K339" s="9" t="str">
        <x:v>原2项轮播仍保留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规则：BR-24966cb71e52095a
3. 未动态验证</x:v>
      </x:c>
    </x:row>
    <x:row r="340" ht="190" customHeight="1">
      <x:c r="A340" s="10" t="n">
        <x:v>339</x:v>
      </x:c>
      <x:c r="B340" s="10" t="str">
        <x:v>ADMIN-07-0074</x:v>
      </x:c>
      <x:c r="C340" s="10" t="str">
        <x:v>运营配置</x:v>
      </x:c>
      <x:c r="D340" s="10" t="str">
        <x:v>展示素材编辑</x:v>
      </x:c>
      <x:c r="E340" s="10" t="str">
        <x:v>功能需求</x:v>
      </x:c>
      <x:c r="F340" s="10" t="str">
        <x:v>P1</x:v>
      </x:c>
      <x:c r="G340" s="9" t="str">
        <x:v>验证删除未保存轮播项</x:v>
      </x:c>
      <x:c r="H340" s="9" t="str">
        <x:v>草稿轮播删除</x:v>
      </x:c>
      <x:c r="I340" s="9" t="str">
        <x:v>1. 平台管理员账号可用
2. 已有1项保存项和1项刚添加的未保存项</x:v>
      </x:c>
      <x:c r="J340" s="9" t="str">
        <x:v>1. 打开展示素材编辑
2. 点击删除未保存项</x:v>
      </x:c>
      <x:c r="K340" s="9" t="str">
        <x:v>未保存项直接移除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规则：BR-39d66c346f8f8faa
3. 未动态验证</x:v>
      </x:c>
    </x:row>
    <x:row r="341" ht="85" customHeight="1">
      <x:c r="A341" s="10" t="n">
        <x:v>340</x:v>
      </x:c>
      <x:c r="B341" s="10" t="str">
        <x:v>ADMIN-07-0075</x:v>
      </x:c>
      <x:c r="C341" s="10" t="str">
        <x:v>运营配置</x:v>
      </x:c>
      <x:c r="D341" s="10" t="str">
        <x:v>展示素材编辑</x:v>
      </x:c>
      <x:c r="E341" s="10" t="str">
        <x:v>功能需求</x:v>
      </x:c>
      <x:c r="F341" s="10" t="str">
        <x:v>P1</x:v>
      </x:c>
      <x:c r="G341" s="9" t="str">
        <x:v>验证展示周期只占一个自然日</x:v>
      </x:c>
      <x:c r="H341" s="9" t="str">
        <x:v>起止日闭区间</x:v>
      </x:c>
      <x:c r="I341" s="9" t="str">
        <x:v>1. 平台管理员账号可用
2. 其他展示位字段有效</x:v>
      </x:c>
      <x:c r="J341" s="9" t="str">
        <x:v>1. 打开展示素材编辑
2. 选择开始日和结束日均为同一未来日期
3. 点击保存</x:v>
      </x:c>
      <x:c r="K341" s="9" t="str">
        <x:v>仅包含所选自然日的展示周期可保存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来源（当前证据）：liveshow-proto/MainBasis/统一需求文档.md；位置：第2897行、第2891行 REQ-1545c71e3e17
2. 规则：BR-a6dbb5e69d9f3620
3. 未动态验证</x:v>
      </x:c>
    </x:row>
    <x:row r="342" ht="100" customHeight="1">
      <x:c r="A342" s="10" t="n">
        <x:v>341</x:v>
      </x:c>
      <x:c r="B342" s="10" t="str">
        <x:v>ADMIN-07-0076</x:v>
      </x:c>
      <x:c r="C342" s="10" t="str">
        <x:v>运营配置</x:v>
      </x:c>
      <x:c r="D342" s="10" t="str">
        <x:v>推送配置</x:v>
      </x:c>
      <x:c r="E342" s="10" t="str">
        <x:v>功能需求</x:v>
      </x:c>
      <x:c r="F342" s="10" t="str">
        <x:v>P1</x:v>
      </x:c>
      <x:c r="G342" s="9" t="str">
        <x:v>验证中文标题未填</x:v>
      </x:c>
      <x:c r="H342" s="9" t="str">
        <x:v>推送中文标题必填</x:v>
      </x:c>
      <x:c r="I342" s="9" t="str">
        <x:v>1. 平台管理员账号可用
2. 其余必填文案和目标有效</x:v>
      </x:c>
      <x:c r="J342" s="9" t="str">
        <x:v>1. 打开推送配置
2. 清空中文标题
3. 点击立即发送</x:v>
      </x:c>
      <x:c r="K342" s="9" t="str">
        <x:v>缺少中文标题时不能发送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来源（当前证据）：liveshow-proto/MainBasis/统一需求文档.md；位置：第2922行、第2925行 REQ-f03d71c2f957、第2928行 REQ-404a398cccfb
2. 规则：BR-78317206c2338803
3. 未动态验证</x:v>
      </x:c>
    </x:row>
    <x:row r="343" ht="100" customHeight="1">
      <x:c r="A343" s="10" t="n">
        <x:v>342</x:v>
      </x:c>
      <x:c r="B343" s="10" t="str">
        <x:v>ADMIN-07-0077</x:v>
      </x:c>
      <x:c r="C343" s="10" t="str">
        <x:v>运营配置</x:v>
      </x:c>
      <x:c r="D343" s="10" t="str">
        <x:v>推送配置</x:v>
      </x:c>
      <x:c r="E343" s="10" t="str">
        <x:v>功能需求</x:v>
      </x:c>
      <x:c r="F343" s="10" t="str">
        <x:v>P1</x:v>
      </x:c>
      <x:c r="G343" s="9" t="str">
        <x:v>验证中文内容未填</x:v>
      </x:c>
      <x:c r="H343" s="9" t="str">
        <x:v>推送中文内容必填</x:v>
      </x:c>
      <x:c r="I343" s="9" t="str">
        <x:v>1. 平台管理员账号可用
2. 其余必填文案和目标有效</x:v>
      </x:c>
      <x:c r="J343" s="9" t="str">
        <x:v>1. 打开推送配置
2. 清空中文内容
3. 点击立即发送</x:v>
      </x:c>
      <x:c r="K343" s="9" t="str">
        <x:v>缺少中文内容时不能发送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来源（当前证据）：liveshow-proto/MainBasis/统一需求文档.md；位置：第2922行、第2925行 REQ-f03d71c2f957、第2928行 REQ-404a398cccfb
2. 规则：BR-78ef5c31004255db
3. 未动态验证</x:v>
      </x:c>
    </x:row>
    <x:row r="344" ht="100" customHeight="1">
      <x:c r="A344" s="10" t="n">
        <x:v>343</x:v>
      </x:c>
      <x:c r="B344" s="10" t="str">
        <x:v>ADMIN-07-0078</x:v>
      </x:c>
      <x:c r="C344" s="10" t="str">
        <x:v>运营配置</x:v>
      </x:c>
      <x:c r="D344" s="10" t="str">
        <x:v>推送配置</x:v>
      </x:c>
      <x:c r="E344" s="10" t="str">
        <x:v>功能需求</x:v>
      </x:c>
      <x:c r="F344" s="10" t="str">
        <x:v>P1</x:v>
      </x:c>
      <x:c r="G344" s="9" t="str">
        <x:v>验证英语标题未填</x:v>
      </x:c>
      <x:c r="H344" s="9" t="str">
        <x:v>推送英语标题必填</x:v>
      </x:c>
      <x:c r="I344" s="9" t="str">
        <x:v>1. 平台管理员账号可用
2. 其余必填文案和目标有效</x:v>
      </x:c>
      <x:c r="J344" s="9" t="str">
        <x:v>1. 打开推送配置
2. 清空英语标题
3. 点击立即发送</x:v>
      </x:c>
      <x:c r="K344" s="9" t="str">
        <x:v>缺少英语标题时不能发送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来源（当前证据）：liveshow-proto/MainBasis/统一需求文档.md；位置：第2922行、第2925行 REQ-f03d71c2f957、第2928行 REQ-404a398cccfb
2. 规则：BR-5627a2c885c92d42
3. 未动态验证</x:v>
      </x:c>
    </x:row>
    <x:row r="345" ht="100" customHeight="1">
      <x:c r="A345" s="10" t="n">
        <x:v>344</x:v>
      </x:c>
      <x:c r="B345" s="10" t="str">
        <x:v>ADMIN-07-0079</x:v>
      </x:c>
      <x:c r="C345" s="10" t="str">
        <x:v>运营配置</x:v>
      </x:c>
      <x:c r="D345" s="10" t="str">
        <x:v>推送配置</x:v>
      </x:c>
      <x:c r="E345" s="10" t="str">
        <x:v>功能需求</x:v>
      </x:c>
      <x:c r="F345" s="10" t="str">
        <x:v>P1</x:v>
      </x:c>
      <x:c r="G345" s="9" t="str">
        <x:v>验证英语内容未填</x:v>
      </x:c>
      <x:c r="H345" s="9" t="str">
        <x:v>推送英语内容必填</x:v>
      </x:c>
      <x:c r="I345" s="9" t="str">
        <x:v>1. 平台管理员账号可用
2. 其余必填文案和目标有效</x:v>
      </x:c>
      <x:c r="J345" s="9" t="str">
        <x:v>1. 打开推送配置
2. 清空英语内容
3. 点击立即发送</x:v>
      </x:c>
      <x:c r="K345" s="9" t="str">
        <x:v>缺少英语内容时不能发送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来源（当前证据）：liveshow-proto/MainBasis/统一需求文档.md；位置：第2922行、第2925行 REQ-f03d71c2f957、第2928行 REQ-404a398cccfb
2. 规则：BR-950ca1a9ae716d6b
3. 未动态验证</x:v>
      </x:c>
    </x:row>
    <x:row r="346" ht="100" customHeight="1">
      <x:c r="A346" s="10" t="n">
        <x:v>345</x:v>
      </x:c>
      <x:c r="B346" s="10" t="str">
        <x:v>ADMIN-07-0080</x:v>
      </x:c>
      <x:c r="C346" s="10" t="str">
        <x:v>运营配置</x:v>
      </x:c>
      <x:c r="D346" s="10" t="str">
        <x:v>推送配置</x:v>
      </x:c>
      <x:c r="E346" s="10" t="str">
        <x:v>功能需求</x:v>
      </x:c>
      <x:c r="F346" s="10" t="str">
        <x:v>P1</x:v>
      </x:c>
      <x:c r="G346" s="9" t="str">
        <x:v>验证印尼语标题未填</x:v>
      </x:c>
      <x:c r="H346" s="9" t="str">
        <x:v>推送印尼语标题必填</x:v>
      </x:c>
      <x:c r="I346" s="9" t="str">
        <x:v>1. 平台管理员账号可用
2. 其余必填文案和目标有效</x:v>
      </x:c>
      <x:c r="J346" s="9" t="str">
        <x:v>1. 打开推送配置
2. 清空印尼语标题
3. 点击立即发送</x:v>
      </x:c>
      <x:c r="K346" s="9" t="str">
        <x:v>缺少印尼语标题时不能发送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来源（当前证据）：liveshow-proto/MainBasis/统一需求文档.md；位置：第2922行、第2925行 REQ-f03d71c2f957、第2928行 REQ-404a398cccfb
2. 规则：BR-736f0e3e8a4be614
3. 未动态验证</x:v>
      </x:c>
    </x:row>
    <x:row r="347" ht="100" customHeight="1">
      <x:c r="A347" s="10" t="n">
        <x:v>346</x:v>
      </x:c>
      <x:c r="B347" s="10" t="str">
        <x:v>ADMIN-07-0081</x:v>
      </x:c>
      <x:c r="C347" s="10" t="str">
        <x:v>运营配置</x:v>
      </x:c>
      <x:c r="D347" s="10" t="str">
        <x:v>推送配置</x:v>
      </x:c>
      <x:c r="E347" s="10" t="str">
        <x:v>功能需求</x:v>
      </x:c>
      <x:c r="F347" s="10" t="str">
        <x:v>P1</x:v>
      </x:c>
      <x:c r="G347" s="9" t="str">
        <x:v>验证印尼语内容未填</x:v>
      </x:c>
      <x:c r="H347" s="9" t="str">
        <x:v>推送印尼语内容必填</x:v>
      </x:c>
      <x:c r="I347" s="9" t="str">
        <x:v>1. 平台管理员账号可用
2. 其余必填文案和目标有效</x:v>
      </x:c>
      <x:c r="J347" s="9" t="str">
        <x:v>1. 打开推送配置
2. 清空印尼语内容
3. 点击立即发送</x:v>
      </x:c>
      <x:c r="K347" s="9" t="str">
        <x:v>缺少印尼语内容时不能发送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来源（当前证据）：liveshow-proto/MainBasis/统一需求文档.md；位置：第2922行、第2925行 REQ-f03d71c2f957、第2928行 REQ-404a398cccfb
2. 规则：BR-fcdbbf357d92d1ce
3. 未动态验证</x:v>
      </x:c>
    </x:row>
    <x:row r="348" ht="100" customHeight="1">
      <x:c r="A348" s="10" t="n">
        <x:v>347</x:v>
      </x:c>
      <x:c r="B348" s="10" t="str">
        <x:v>ADMIN-07-0082</x:v>
      </x:c>
      <x:c r="C348" s="10" t="str">
        <x:v>运营配置</x:v>
      </x:c>
      <x:c r="D348" s="10" t="str">
        <x:v>推送配置</x:v>
      </x:c>
      <x:c r="E348" s="10" t="str">
        <x:v>功能需求</x:v>
      </x:c>
      <x:c r="F348" s="10" t="str">
        <x:v>P1</x:v>
      </x:c>
      <x:c r="G348" s="9" t="str">
        <x:v>验证马来语标题未填</x:v>
      </x:c>
      <x:c r="H348" s="9" t="str">
        <x:v>推送马来语标题必填</x:v>
      </x:c>
      <x:c r="I348" s="9" t="str">
        <x:v>1. 平台管理员账号可用
2. 其余必填文案和目标有效</x:v>
      </x:c>
      <x:c r="J348" s="9" t="str">
        <x:v>1. 打开推送配置
2. 清空马来语标题
3. 点击立即发送</x:v>
      </x:c>
      <x:c r="K348" s="9" t="str">
        <x:v>缺少马来语标题时不能发送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来源（当前证据）：liveshow-proto/MainBasis/统一需求文档.md；位置：第2922行、第2925行 REQ-f03d71c2f957、第2928行 REQ-404a398cccfb
2. 规则：BR-39f942f68000eba6
3. 未动态验证</x:v>
      </x:c>
    </x:row>
    <x:row r="349" ht="100" customHeight="1">
      <x:c r="A349" s="10" t="n">
        <x:v>348</x:v>
      </x:c>
      <x:c r="B349" s="10" t="str">
        <x:v>ADMIN-07-0083</x:v>
      </x:c>
      <x:c r="C349" s="10" t="str">
        <x:v>运营配置</x:v>
      </x:c>
      <x:c r="D349" s="10" t="str">
        <x:v>推送配置</x:v>
      </x:c>
      <x:c r="E349" s="10" t="str">
        <x:v>功能需求</x:v>
      </x:c>
      <x:c r="F349" s="10" t="str">
        <x:v>P1</x:v>
      </x:c>
      <x:c r="G349" s="9" t="str">
        <x:v>验证马来语内容未填</x:v>
      </x:c>
      <x:c r="H349" s="9" t="str">
        <x:v>推送马来语内容必填</x:v>
      </x:c>
      <x:c r="I349" s="9" t="str">
        <x:v>1. 平台管理员账号可用
2. 其余必填文案和目标有效</x:v>
      </x:c>
      <x:c r="J349" s="9" t="str">
        <x:v>1. 打开推送配置
2. 清空马来语内容
3. 点击立即发送</x:v>
      </x:c>
      <x:c r="K349" s="9" t="str">
        <x:v>缺少马来语内容时不能发送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来源（当前证据）：liveshow-proto/MainBasis/统一需求文档.md；位置：第2922行、第2925行 REQ-f03d71c2f957、第2928行 REQ-404a398cccfb
2. 规则：BR-e1022fb2f4ff0fad
3. 未动态验证</x:v>
      </x:c>
    </x:row>
    <x:row r="350" ht="115" customHeight="1">
      <x:c r="A350" s="10" t="n">
        <x:v>349</x:v>
      </x:c>
      <x:c r="B350" s="10" t="str">
        <x:v>ADMIN-07-0084</x:v>
      </x:c>
      <x:c r="C350" s="10" t="str">
        <x:v>运营配置</x:v>
      </x:c>
      <x:c r="D350" s="10" t="str">
        <x:v>推送配置</x:v>
      </x:c>
      <x:c r="E350" s="10" t="str">
        <x:v>功能需求</x:v>
      </x:c>
      <x:c r="F350" s="10" t="str">
        <x:v>P1</x:v>
      </x:c>
      <x:c r="G350" s="9" t="str">
        <x:v>验证推送至有效公会</x:v>
      </x:c>
      <x:c r="H350" s="9" t="str">
        <x:v>推送目标范围</x:v>
      </x:c>
      <x:c r="I350" s="9" t="str">
        <x:v>1. 平台管理员账号可用
2. 四语标题和内容均有效，目标公会启用</x:v>
      </x:c>
      <x:c r="J350" s="9" t="str">
        <x:v>1. 打开推送配置
2. 选择指定公会
3. 选择该有效公会
4. 点击立即发送</x:v>
      </x:c>
      <x:c r="K350" s="9" t="str">
        <x:v>推送状态变为已发送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来源（当前证据）：liveshow-proto/MainBasis/统一需求文档.md；位置：第2922行、第2924行 REQ-685198724a03、第2926行 REQ-32bff220e773、第2927行 REQ-e06fac70e31d、第2928行 REQ-404a398cccfb
2. 规则：BR-431dd2c96c09a235
3. 未动态验证</x:v>
      </x:c>
    </x:row>
    <x:row r="351" ht="115" customHeight="1">
      <x:c r="A351" s="10" t="n">
        <x:v>350</x:v>
      </x:c>
      <x:c r="B351" s="10" t="str">
        <x:v>ADMIN-07-0085</x:v>
      </x:c>
      <x:c r="C351" s="10" t="str">
        <x:v>运营配置</x:v>
      </x:c>
      <x:c r="D351" s="10" t="str">
        <x:v>推送配置</x:v>
      </x:c>
      <x:c r="E351" s="10" t="str">
        <x:v>功能需求</x:v>
      </x:c>
      <x:c r="F351" s="10" t="str">
        <x:v>P1</x:v>
      </x:c>
      <x:c r="G351" s="9" t="str">
        <x:v>验证发送完成后只读</x:v>
      </x:c>
      <x:c r="H351" s="9" t="str">
        <x:v>推送提交后编辑限制</x:v>
      </x:c>
      <x:c r="I351" s="9" t="str">
        <x:v>1. 平台管理员账号可用
2. 四语内容及目标有效</x:v>
      </x:c>
      <x:c r="J351" s="9" t="str">
        <x:v>1. 打开推送配置
2. 点击立即发送</x:v>
      </x:c>
      <x:c r="K351" s="9" t="str">
        <x:v>发送后的当前页为只读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来源（当前证据）：liveshow-proto/MainBasis/统一需求文档.md；位置：第2922行、第2924行 REQ-685198724a03、第2926行 REQ-32bff220e773、第2927行 REQ-e06fac70e31d、第2928行 REQ-404a398cccfb
2. 规则：BR-30751c3b6b4f1cea
3. 未动态验证</x:v>
      </x:c>
    </x:row>
    <x:row r="352" ht="115" customHeight="1">
      <x:c r="A352" s="10" t="n">
        <x:v>351</x:v>
      </x:c>
      <x:c r="B352" s="10" t="str">
        <x:v>ADMIN-07-0086</x:v>
      </x:c>
      <x:c r="C352" s="10" t="str">
        <x:v>运营配置</x:v>
      </x:c>
      <x:c r="D352" s="10" t="str">
        <x:v>推送配置</x:v>
      </x:c>
      <x:c r="E352" s="10" t="str">
        <x:v>功能需求</x:v>
      </x:c>
      <x:c r="F352" s="10" t="str">
        <x:v>P1</x:v>
      </x:c>
      <x:c r="G352" s="9" t="str">
        <x:v>验证已有推送任务的编号编辑限制</x:v>
      </x:c>
      <x:c r="H352" s="9" t="str">
        <x:v>推送ID保持</x:v>
      </x:c>
      <x:c r="I352" s="9" t="str">
        <x:v>1. 平台管理员账号可用
2. 已存在推送任务</x:v>
      </x:c>
      <x:c r="J352" s="9" t="str">
        <x:v>1. 打开推送配置</x:v>
      </x:c>
      <x:c r="K352" s="9" t="str">
        <x:v>推送ID不可编辑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来源（当前证据）：liveshow-proto/MainBasis/统一需求文档.md；位置：第2922行、第2924行 REQ-685198724a03、第2926行 REQ-32bff220e773、第2927行 REQ-e06fac70e31d、第2928行 REQ-404a398cccfb
2. 规则：BR-11c2461de92725d0
3. 未动态验证</x:v>
      </x:c>
    </x:row>
    <x:row r="353" ht="115" customHeight="1">
      <x:c r="A353" s="10" t="n">
        <x:v>352</x:v>
      </x:c>
      <x:c r="B353" s="10" t="str">
        <x:v>ADMIN-07-0087</x:v>
      </x:c>
      <x:c r="C353" s="10" t="str">
        <x:v>运营配置</x:v>
      </x:c>
      <x:c r="D353" s="10" t="str">
        <x:v>推送管理</x:v>
      </x:c>
      <x:c r="E353" s="10" t="str">
        <x:v>功能需求</x:v>
      </x:c>
      <x:c r="F353" s="10" t="str">
        <x:v>P1</x:v>
      </x:c>
      <x:c r="G353" s="9" t="str">
        <x:v>验证已发送任务只读</x:v>
      </x:c>
      <x:c r="H353" s="9" t="str">
        <x:v>推送发送终态</x:v>
      </x:c>
      <x:c r="I353" s="9" t="str">
        <x:v>1. 平台管理员账号可用
2. 推送任务已发送</x:v>
      </x:c>
      <x:c r="J353" s="9" t="str">
        <x:v>1. 打开推送管理
2. 点击该任务</x:v>
      </x:c>
      <x:c r="K353" s="9" t="str">
        <x:v>已发送任务不可编辑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来源（当前证据）：liveshow-proto/MainBasis/统一需求文档.md；位置：第2912行、第2914行 REQ-bef1af8737bc、第2916行 REQ-ac67336f4d47、第2918行 REQ-99290002a192、第2919行 REQ-7621feb18712
2. 规则：BR-63dd222c3b8fa854
3. 未动态验证</x:v>
      </x:c>
    </x:row>
    <x:row r="354" ht="115" customHeight="1">
      <x:c r="A354" s="10" t="n">
        <x:v>353</x:v>
      </x:c>
      <x:c r="B354" s="10" t="str">
        <x:v>ADMIN-07-0088</x:v>
      </x:c>
      <x:c r="C354" s="10" t="str">
        <x:v>运营配置</x:v>
      </x:c>
      <x:c r="D354" s="10" t="str">
        <x:v>推送管理</x:v>
      </x:c>
      <x:c r="E354" s="10" t="str">
        <x:v>功能需求</x:v>
      </x:c>
      <x:c r="F354" s="10" t="str">
        <x:v>P1</x:v>
      </x:c>
      <x:c r="G354" s="9" t="str">
        <x:v>验证发送人数去重</x:v>
      </x:c>
      <x:c r="H354" s="9" t="str">
        <x:v>实际发送人数</x:v>
      </x:c>
      <x:c r="I354" s="9" t="str">
        <x:v>1. 平台管理员账号可用
2. 同一用户成功发送记录出现重复回执，另有1名不同用户成功</x:v>
      </x:c>
      <x:c r="J354" s="9" t="str">
        <x:v>1. 打开推送管理</x:v>
      </x:c>
      <x:c r="K354" s="9" t="str">
        <x:v>发送人数按2个用户计数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来源（当前证据）：liveshow-proto/MainBasis/统一需求文档.md；位置：第2912行、第2914行 REQ-bef1af8737bc、第2916行 REQ-ac67336f4d47、第2918行 REQ-99290002a192、第2919行 REQ-7621feb18712
2. 规则：BR-eb1a1ddee8387b85
3. 未动态验证</x:v>
      </x:c>
    </x:row>
    <x:row r="355" ht="115" customHeight="1">
      <x:c r="A355" s="10" t="n">
        <x:v>354</x:v>
      </x:c>
      <x:c r="B355" s="10" t="str">
        <x:v>ADMIN-07-0089</x:v>
      </x:c>
      <x:c r="C355" s="10" t="str">
        <x:v>运营配置</x:v>
      </x:c>
      <x:c r="D355" s="10" t="str">
        <x:v>推送管理</x:v>
      </x:c>
      <x:c r="E355" s="10" t="str">
        <x:v>功能需求</x:v>
      </x:c>
      <x:c r="F355" s="10" t="str">
        <x:v>P1</x:v>
      </x:c>
      <x:c r="G355" s="9" t="str">
        <x:v>验证新建推送入口</x:v>
      </x:c>
      <x:c r="H355" s="9" t="str">
        <x:v>推送配置入口</x:v>
      </x:c>
      <x:c r="I355" s="9" t="str">
        <x:v>1. 平台管理员账号可用
2. 当前后台可管理推送</x:v>
      </x:c>
      <x:c r="J355" s="9" t="str">
        <x:v>1. 打开推送管理
2. 点击新建</x:v>
      </x:c>
      <x:c r="K355" s="9" t="str">
        <x:v>进入推送配置页面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来源（当前证据）：liveshow-proto/MainBasis/统一需求文档.md；位置：第2912行、第2914行 REQ-bef1af8737bc、第2916行 REQ-ac67336f4d47、第2918行 REQ-99290002a192、第2919行 REQ-7621feb18712
2. 规则：BR-2cc52d716813051c
3. 未动态验证</x:v>
      </x:c>
    </x:row>
    <x:row r="356" ht="85" customHeight="1">
      <x:c r="A356" s="10" t="n">
        <x:v>355</x:v>
      </x:c>
      <x:c r="B356" s="10" t="str">
        <x:v>ADMIN-07-0090</x:v>
      </x:c>
      <x:c r="C356" s="10" t="str">
        <x:v>运营配置</x:v>
      </x:c>
      <x:c r="D356" s="10" t="str">
        <x:v>推送管理</x:v>
      </x:c>
      <x:c r="E356" s="10" t="str">
        <x:v>功能需求</x:v>
      </x:c>
      <x:c r="F356" s="10" t="str">
        <x:v>P1</x:v>
      </x:c>
      <x:c r="G356" s="9" t="str">
        <x:v>验证指定公会推送范围</x:v>
      </x:c>
      <x:c r="H356" s="9" t="str">
        <x:v>推送受众归属</x:v>
      </x:c>
      <x:c r="I356" s="9" t="str">
        <x:v>1. 平台管理员账号可用
2. 存在面向指定公会的推送任务</x:v>
      </x:c>
      <x:c r="J356" s="9" t="str">
        <x:v>1. 打开推送管理</x:v>
      </x:c>
      <x:c r="K356" s="9" t="str">
        <x:v>目标用户显示该指定公会用户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来源（当前证据）：liveshow-proto/MainBasis/统一需求文档.md；位置：第2912行、第2915行 REQ-f7780237be26
2. 规则：BR-f5064a602ef4baa8
3. 未动态验证</x:v>
      </x:c>
    </x:row>
    <x:row r="357" ht="85" customHeight="1">
      <x:c r="A357" s="10" t="n">
        <x:v>356</x:v>
      </x:c>
      <x:c r="B357" s="10" t="str">
        <x:v>ADMIN-07-0091</x:v>
      </x:c>
      <x:c r="C357" s="10" t="str">
        <x:v>运营配置</x:v>
      </x:c>
      <x:c r="D357" s="10" t="str">
        <x:v>推送管理</x:v>
      </x:c>
      <x:c r="E357" s="10" t="str">
        <x:v>功能需求</x:v>
      </x:c>
      <x:c r="F357" s="10" t="str">
        <x:v>P1</x:v>
      </x:c>
      <x:c r="G357" s="9" t="str">
        <x:v>验证已执行推送查看时间</x:v>
      </x:c>
      <x:c r="H357" s="9" t="str">
        <x:v>推送执行记录</x:v>
      </x:c>
      <x:c r="I357" s="9" t="str">
        <x:v>1. 平台管理员账号可用
2. 计划时间与实际发送时间不同，任务已执行</x:v>
      </x:c>
      <x:c r="J357" s="9" t="str">
        <x:v>1. 打开推送管理</x:v>
      </x:c>
      <x:c r="K357" s="9" t="str">
        <x:v>已发送记录保留实际执行结果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来源（当前证据）：liveshow-proto/MainBasis/统一需求文档.md；位置：第2912行、第2917行 REQ-2dd362e08d82
2. 规则：BR-c07b23a05bba5192
3. 未动态验证</x:v>
      </x:c>
    </x:row>
    <x:row r="358" ht="100" customHeight="1">
      <x:c r="A358" s="10" t="n">
        <x:v>357</x:v>
      </x:c>
      <x:c r="B358" s="10" t="str">
        <x:v>ADMIN-07-0092</x:v>
      </x:c>
      <x:c r="C358" s="10" t="str">
        <x:v>运营配置</x:v>
      </x:c>
      <x:c r="D358" s="10" t="str">
        <x:v>充值套餐编辑</x:v>
      </x:c>
      <x:c r="E358" s="10" t="str">
        <x:v>异常用例</x:v>
      </x:c>
      <x:c r="F358" s="10" t="str">
        <x:v>P1</x:v>
      </x:c>
      <x:c r="G358" s="9" t="str">
        <x:v>验证充值金币输入-1</x:v>
      </x:c>
      <x:c r="H358" s="9" t="str">
        <x:v>充值金币数值边界</x:v>
      </x:c>
      <x:c r="I358" s="9" t="str">
        <x:v>1. 平台管理员账号可用
2. 当前编辑表单的其他必填字段有效</x:v>
      </x:c>
      <x:c r="J358" s="9" t="str">
        <x:v>1. 打开充值套餐编辑
2. 输入充值金币为-1
3. 点击保存</x:v>
      </x:c>
      <x:c r="K358" s="9" t="str">
        <x:v>充值金币为-1时不能保存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来源（当前证据）：liveshow-proto/MainBasis/统一需求文档.md；位置：第2942行、第2947行 REQ-54fe7fbda407、第2952行 REQ-f799cc33e317
2. 规则：BR-691e1ecd82d0fe0e
3. 未动态验证</x:v>
      </x:c>
    </x:row>
    <x:row r="359" ht="100" customHeight="1">
      <x:c r="A359" s="10" t="n">
        <x:v>358</x:v>
      </x:c>
      <x:c r="B359" s="10" t="str">
        <x:v>ADMIN-07-0093</x:v>
      </x:c>
      <x:c r="C359" s="10" t="str">
        <x:v>运营配置</x:v>
      </x:c>
      <x:c r="D359" s="10" t="str">
        <x:v>充值套餐编辑</x:v>
      </x:c>
      <x:c r="E359" s="10" t="str">
        <x:v>异常用例</x:v>
      </x:c>
      <x:c r="F359" s="10" t="str">
        <x:v>P1</x:v>
      </x:c>
      <x:c r="G359" s="9" t="str">
        <x:v>验证充值金币输入0</x:v>
      </x:c>
      <x:c r="H359" s="9" t="str">
        <x:v>充值金币数值边界</x:v>
      </x:c>
      <x:c r="I359" s="9" t="str">
        <x:v>1. 平台管理员账号可用
2. 当前编辑表单的其他必填字段有效</x:v>
      </x:c>
      <x:c r="J359" s="9" t="str">
        <x:v>1. 打开充值套餐编辑
2. 输入充值金币为0
3. 点击保存</x:v>
      </x:c>
      <x:c r="K359" s="9" t="str">
        <x:v>充值金币为0时不能保存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来源（当前证据）：liveshow-proto/MainBasis/统一需求文档.md；位置：第2942行、第2947行 REQ-54fe7fbda407、第2952行 REQ-f799cc33e317
2. 规则：BR-ebd4d958a19c4f15
3. 未动态验证</x:v>
      </x:c>
    </x:row>
    <x:row r="360" ht="100" customHeight="1">
      <x:c r="A360" s="10" t="n">
        <x:v>359</x:v>
      </x:c>
      <x:c r="B360" s="10" t="str">
        <x:v>ADMIN-07-0094</x:v>
      </x:c>
      <x:c r="C360" s="10" t="str">
        <x:v>运营配置</x:v>
      </x:c>
      <x:c r="D360" s="10" t="str">
        <x:v>充值套餐编辑</x:v>
      </x:c>
      <x:c r="E360" s="10" t="str">
        <x:v>异常用例</x:v>
      </x:c>
      <x:c r="F360" s="10" t="str">
        <x:v>P1</x:v>
      </x:c>
      <x:c r="G360" s="9" t="str">
        <x:v>验证充值金币输入1,5</x:v>
      </x:c>
      <x:c r="H360" s="9" t="str">
        <x:v>充值金币数值边界</x:v>
      </x:c>
      <x:c r="I360" s="9" t="str">
        <x:v>1. 平台管理员账号可用
2. 当前编辑表单的其他必填字段有效</x:v>
      </x:c>
      <x:c r="J360" s="9" t="str">
        <x:v>1. 打开充值套餐编辑
2. 输入充值金币为1,5
3. 点击保存</x:v>
      </x:c>
      <x:c r="K360" s="9" t="str">
        <x:v>充值金币为1,5时不能保存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来源（当前证据）：liveshow-proto/MainBasis/统一需求文档.md；位置：第2942行、第2947行 REQ-54fe7fbda407、第2952行 REQ-f799cc33e317
2. 规则：BR-b1dba77520c2f513
3. 未动态验证</x:v>
      </x:c>
    </x:row>
    <x:row r="361" ht="100" customHeight="1">
      <x:c r="A361" s="10" t="n">
        <x:v>360</x:v>
      </x:c>
      <x:c r="B361" s="10" t="str">
        <x:v>ADMIN-07-0095</x:v>
      </x:c>
      <x:c r="C361" s="10" t="str">
        <x:v>运营配置</x:v>
      </x:c>
      <x:c r="D361" s="10" t="str">
        <x:v>充值套餐编辑</x:v>
      </x:c>
      <x:c r="E361" s="10" t="str">
        <x:v>逻辑校验</x:v>
      </x:c>
      <x:c r="F361" s="10" t="str">
        <x:v>P1</x:v>
      </x:c>
      <x:c r="G361" s="9" t="str">
        <x:v>验证充值金币输入1</x:v>
      </x:c>
      <x:c r="H361" s="9" t="str">
        <x:v>充值金币数值边界</x:v>
      </x:c>
      <x:c r="I361" s="9" t="str">
        <x:v>1. 平台管理员账号可用
2. 当前编辑表单的其他必填字段有效</x:v>
      </x:c>
      <x:c r="J361" s="9" t="str">
        <x:v>1. 打开充值套餐编辑
2. 输入充值金币为1
3. 点击保存</x:v>
      </x:c>
      <x:c r="K361" s="9" t="str">
        <x:v>充值金币为1时通过数值校验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来源（当前证据）：liveshow-proto/MainBasis/统一需求文档.md；位置：第2942行、第2947行 REQ-54fe7fbda407、第2952行 REQ-f799cc33e317
2. 规则：BR-e43030f8d38fe5f9
3. 未动态验证</x:v>
      </x:c>
    </x:row>
    <x:row r="362" ht="100" customHeight="1">
      <x:c r="A362" s="10" t="n">
        <x:v>361</x:v>
      </x:c>
      <x:c r="B362" s="10" t="str">
        <x:v>ADMIN-07-0096</x:v>
      </x:c>
      <x:c r="C362" s="10" t="str">
        <x:v>运营配置</x:v>
      </x:c>
      <x:c r="D362" s="10" t="str">
        <x:v>充值套餐编辑</x:v>
      </x:c>
      <x:c r="E362" s="10" t="str">
        <x:v>异常用例</x:v>
      </x:c>
      <x:c r="F362" s="10" t="str">
        <x:v>P1</x:v>
      </x:c>
      <x:c r="G362" s="9" t="str">
        <x:v>验证赠送金币输入-1</x:v>
      </x:c>
      <x:c r="H362" s="9" t="str">
        <x:v>赠送金币数值边界</x:v>
      </x:c>
      <x:c r="I362" s="9" t="str">
        <x:v>1. 平台管理员账号可用
2. 当前编辑表单的其他必填字段有效</x:v>
      </x:c>
      <x:c r="J362" s="9" t="str">
        <x:v>1. 打开充值套餐编辑
2. 输入赠送金币为-1
3. 点击保存</x:v>
      </x:c>
      <x:c r="K362" s="9" t="str">
        <x:v>赠送金币为-1时不能保存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来源（当前证据）：liveshow-proto/MainBasis/统一需求文档.md；位置：第2942行、第2947行 REQ-54fe7fbda407、第2952行 REQ-f799cc33e317
2. 规则：BR-71fe6767749b218f
3. 未动态验证</x:v>
      </x:c>
    </x:row>
    <x:row r="363" ht="100" customHeight="1">
      <x:c r="A363" s="10" t="n">
        <x:v>362</x:v>
      </x:c>
      <x:c r="B363" s="10" t="str">
        <x:v>ADMIN-07-0097</x:v>
      </x:c>
      <x:c r="C363" s="10" t="str">
        <x:v>运营配置</x:v>
      </x:c>
      <x:c r="D363" s="10" t="str">
        <x:v>充值套餐编辑</x:v>
      </x:c>
      <x:c r="E363" s="10" t="str">
        <x:v>逻辑校验</x:v>
      </x:c>
      <x:c r="F363" s="10" t="str">
        <x:v>P1</x:v>
      </x:c>
      <x:c r="G363" s="9" t="str">
        <x:v>验证赠送金币输入0</x:v>
      </x:c>
      <x:c r="H363" s="9" t="str">
        <x:v>赠送金币数值边界</x:v>
      </x:c>
      <x:c r="I363" s="9" t="str">
        <x:v>1. 平台管理员账号可用
2. 当前编辑表单的其他必填字段有效</x:v>
      </x:c>
      <x:c r="J363" s="9" t="str">
        <x:v>1. 打开充值套餐编辑
2. 输入赠送金币为0
3. 点击保存</x:v>
      </x:c>
      <x:c r="K363" s="9" t="str">
        <x:v>赠送金币为0时通过数值校验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来源（当前证据）：liveshow-proto/MainBasis/统一需求文档.md；位置：第2942行、第2947行 REQ-54fe7fbda407、第2952行 REQ-f799cc33e317
2. 规则：BR-20d3e9f542d8602f
3. 未动态验证</x:v>
      </x:c>
    </x:row>
    <x:row r="364" ht="100" customHeight="1">
      <x:c r="A364" s="10" t="n">
        <x:v>363</x:v>
      </x:c>
      <x:c r="B364" s="10" t="str">
        <x:v>ADMIN-07-0098</x:v>
      </x:c>
      <x:c r="C364" s="10" t="str">
        <x:v>运营配置</x:v>
      </x:c>
      <x:c r="D364" s="10" t="str">
        <x:v>充值套餐编辑</x:v>
      </x:c>
      <x:c r="E364" s="10" t="str">
        <x:v>异常用例</x:v>
      </x:c>
      <x:c r="F364" s="10" t="str">
        <x:v>P1</x:v>
      </x:c>
      <x:c r="G364" s="9" t="str">
        <x:v>验证赠送金币输入1,5</x:v>
      </x:c>
      <x:c r="H364" s="9" t="str">
        <x:v>赠送金币数值边界</x:v>
      </x:c>
      <x:c r="I364" s="9" t="str">
        <x:v>1. 平台管理员账号可用
2. 当前编辑表单的其他必填字段有效</x:v>
      </x:c>
      <x:c r="J364" s="9" t="str">
        <x:v>1. 打开充值套餐编辑
2. 输入赠送金币为1,5
3. 点击保存</x:v>
      </x:c>
      <x:c r="K364" s="9" t="str">
        <x:v>赠送金币为1,5时不能保存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来源（当前证据）：liveshow-proto/MainBasis/统一需求文档.md；位置：第2942行、第2947行 REQ-54fe7fbda407、第2952行 REQ-f799cc33e317
2. 规则：BR-1b9ccf22c9083dce
3. 未动态验证</x:v>
      </x:c>
    </x:row>
    <x:row r="365" ht="100" customHeight="1">
      <x:c r="A365" s="10" t="n">
        <x:v>364</x:v>
      </x:c>
      <x:c r="B365" s="10" t="str">
        <x:v>ADMIN-07-0099</x:v>
      </x:c>
      <x:c r="C365" s="10" t="str">
        <x:v>运营配置</x:v>
      </x:c>
      <x:c r="D365" s="10" t="str">
        <x:v>充值套餐编辑</x:v>
      </x:c>
      <x:c r="E365" s="10" t="str">
        <x:v>逻辑校验</x:v>
      </x:c>
      <x:c r="F365" s="10" t="str">
        <x:v>P1</x:v>
      </x:c>
      <x:c r="G365" s="9" t="str">
        <x:v>验证赠送金币输入1</x:v>
      </x:c>
      <x:c r="H365" s="9" t="str">
        <x:v>赠送金币数值边界</x:v>
      </x:c>
      <x:c r="I365" s="9" t="str">
        <x:v>1. 平台管理员账号可用
2. 当前编辑表单的其他必填字段有效</x:v>
      </x:c>
      <x:c r="J365" s="9" t="str">
        <x:v>1. 打开充值套餐编辑
2. 输入赠送金币为1
3. 点击保存</x:v>
      </x:c>
      <x:c r="K365" s="9" t="str">
        <x:v>赠送金币为1时通过数值校验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来源（当前证据）：liveshow-proto/MainBasis/统一需求文档.md；位置：第2942行、第2947行 REQ-54fe7fbda407、第2952行 REQ-f799cc33e317
2. 规则：BR-c394e650d8c3008c
3. 未动态验证</x:v>
      </x:c>
    </x:row>
    <x:row r="366" ht="100" customHeight="1">
      <x:c r="A366" s="10" t="n">
        <x:v>365</x:v>
      </x:c>
      <x:c r="B366" s="10" t="str">
        <x:v>ADMIN-07-0100</x:v>
      </x:c>
      <x:c r="C366" s="10" t="str">
        <x:v>运营配置</x:v>
      </x:c>
      <x:c r="D366" s="10" t="str">
        <x:v>充值套餐编辑</x:v>
      </x:c>
      <x:c r="E366" s="10" t="str">
        <x:v>异常用例</x:v>
      </x:c>
      <x:c r="F366" s="10" t="str">
        <x:v>P1</x:v>
      </x:c>
      <x:c r="G366" s="9" t="str">
        <x:v>验证限购次数输入-1</x:v>
      </x:c>
      <x:c r="H366" s="9" t="str">
        <x:v>限购次数数值边界</x:v>
      </x:c>
      <x:c r="I366" s="9" t="str">
        <x:v>1. 平台管理员账号可用
2. 当前编辑表单的其他必填字段有效</x:v>
      </x:c>
      <x:c r="J366" s="9" t="str">
        <x:v>1. 打开充值套餐编辑
2. 输入限购次数为-1
3. 点击保存</x:v>
      </x:c>
      <x:c r="K366" s="9" t="str">
        <x:v>限购次数为-1时不能保存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来源（当前证据）：liveshow-proto/MainBasis/统一需求文档.md；位置：第2942行、第2948行 REQ-e66ef76860a4、第2952行 REQ-f799cc33e317
2. 规则：BR-6bac74c31d1b5e9b
3. 未动态验证</x:v>
      </x:c>
    </x:row>
    <x:row r="367" ht="100" customHeight="1">
      <x:c r="A367" s="10" t="n">
        <x:v>366</x:v>
      </x:c>
      <x:c r="B367" s="10" t="str">
        <x:v>ADMIN-07-0101</x:v>
      </x:c>
      <x:c r="C367" s="10" t="str">
        <x:v>运营配置</x:v>
      </x:c>
      <x:c r="D367" s="10" t="str">
        <x:v>充值套餐编辑</x:v>
      </x:c>
      <x:c r="E367" s="10" t="str">
        <x:v>逻辑校验</x:v>
      </x:c>
      <x:c r="F367" s="10" t="str">
        <x:v>P1</x:v>
      </x:c>
      <x:c r="G367" s="9" t="str">
        <x:v>验证限购次数输入0</x:v>
      </x:c>
      <x:c r="H367" s="9" t="str">
        <x:v>限购次数数值边界</x:v>
      </x:c>
      <x:c r="I367" s="9" t="str">
        <x:v>1. 平台管理员账号可用
2. 当前编辑表单的其他必填字段有效</x:v>
      </x:c>
      <x:c r="J367" s="9" t="str">
        <x:v>1. 打开充值套餐编辑
2. 输入限购次数为0
3. 点击保存</x:v>
      </x:c>
      <x:c r="K367" s="9" t="str">
        <x:v>限购次数为0时通过数值校验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来源（当前证据）：liveshow-proto/MainBasis/统一需求文档.md；位置：第2942行、第2948行 REQ-e66ef76860a4、第2952行 REQ-f799cc33e317
2. 规则：BR-3a8b7df0ed9d1e6f
3. 未动态验证</x:v>
      </x:c>
    </x:row>
    <x:row r="368" ht="100" customHeight="1">
      <x:c r="A368" s="10" t="n">
        <x:v>367</x:v>
      </x:c>
      <x:c r="B368" s="10" t="str">
        <x:v>ADMIN-07-0102</x:v>
      </x:c>
      <x:c r="C368" s="10" t="str">
        <x:v>运营配置</x:v>
      </x:c>
      <x:c r="D368" s="10" t="str">
        <x:v>充值套餐编辑</x:v>
      </x:c>
      <x:c r="E368" s="10" t="str">
        <x:v>异常用例</x:v>
      </x:c>
      <x:c r="F368" s="10" t="str">
        <x:v>P1</x:v>
      </x:c>
      <x:c r="G368" s="9" t="str">
        <x:v>验证限购次数输入1,5</x:v>
      </x:c>
      <x:c r="H368" s="9" t="str">
        <x:v>限购次数数值边界</x:v>
      </x:c>
      <x:c r="I368" s="9" t="str">
        <x:v>1. 平台管理员账号可用
2. 当前编辑表单的其他必填字段有效</x:v>
      </x:c>
      <x:c r="J368" s="9" t="str">
        <x:v>1. 打开充值套餐编辑
2. 输入限购次数为1,5
3. 点击保存</x:v>
      </x:c>
      <x:c r="K368" s="9" t="str">
        <x:v>限购次数为1,5时不能保存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来源（当前证据）：liveshow-proto/MainBasis/统一需求文档.md；位置：第2942行、第2948行 REQ-e66ef76860a4、第2952行 REQ-f799cc33e317
2. 规则：BR-477e4562525d58a4
3. 未动态验证</x:v>
      </x:c>
    </x:row>
    <x:row r="369" ht="100" customHeight="1">
      <x:c r="A369" s="10" t="n">
        <x:v>368</x:v>
      </x:c>
      <x:c r="B369" s="10" t="str">
        <x:v>ADMIN-07-0103</x:v>
      </x:c>
      <x:c r="C369" s="10" t="str">
        <x:v>运营配置</x:v>
      </x:c>
      <x:c r="D369" s="10" t="str">
        <x:v>充值套餐编辑</x:v>
      </x:c>
      <x:c r="E369" s="10" t="str">
        <x:v>逻辑校验</x:v>
      </x:c>
      <x:c r="F369" s="10" t="str">
        <x:v>P1</x:v>
      </x:c>
      <x:c r="G369" s="9" t="str">
        <x:v>验证限购次数输入1</x:v>
      </x:c>
      <x:c r="H369" s="9" t="str">
        <x:v>限购次数数值边界</x:v>
      </x:c>
      <x:c r="I369" s="9" t="str">
        <x:v>1. 平台管理员账号可用
2. 当前编辑表单的其他必填字段有效</x:v>
      </x:c>
      <x:c r="J369" s="9" t="str">
        <x:v>1. 打开充值套餐编辑
2. 输入限购次数为1
3. 点击保存</x:v>
      </x:c>
      <x:c r="K369" s="9" t="str">
        <x:v>限购次数为1时通过数值校验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来源（当前证据）：liveshow-proto/MainBasis/统一需求文档.md；位置：第2942行、第2948行 REQ-e66ef76860a4、第2952行 REQ-f799cc33e317
2. 规则：BR-adbea0497ff830c1
3. 未动态验证</x:v>
      </x:c>
    </x:row>
    <x:row r="370" ht="145" customHeight="1">
      <x:c r="A370" s="10" t="n">
        <x:v>369</x:v>
      </x:c>
      <x:c r="B370" s="10" t="str">
        <x:v>ADMIN-07-0104</x:v>
      </x:c>
      <x:c r="C370" s="10" t="str">
        <x:v>运营配置</x:v>
      </x:c>
      <x:c r="D370" s="10" t="str">
        <x:v>充值套餐编辑</x:v>
      </x:c>
      <x:c r="E370" s="10" t="str">
        <x:v>功能需求</x:v>
      </x:c>
      <x:c r="F370" s="10" t="str">
        <x:v>P1</x:v>
      </x:c>
      <x:c r="G370" s="9" t="str">
        <x:v>验证销售价格为0</x:v>
      </x:c>
      <x:c r="H370" s="9" t="str">
        <x:v>充值价格正数限制</x:v>
      </x:c>
      <x:c r="I370" s="9" t="str">
        <x:v>1. 平台管理员账号可用
2. 其他字段有效</x:v>
      </x:c>
      <x:c r="J370" s="9" t="str">
        <x:v>1. 打开充值套餐编辑
2. 输入销售价格为0
3. 点击保存</x:v>
      </x:c>
      <x:c r="K370" s="9" t="str">
        <x:v>零价格不能保存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规则：BR-03f5155929765176
3. 未动态验证</x:v>
      </x:c>
    </x:row>
    <x:row r="371" ht="145" customHeight="1">
      <x:c r="A371" s="10" t="n">
        <x:v>370</x:v>
      </x:c>
      <x:c r="B371" s="10" t="str">
        <x:v>ADMIN-07-0105</x:v>
      </x:c>
      <x:c r="C371" s="10" t="str">
        <x:v>运营配置</x:v>
      </x:c>
      <x:c r="D371" s="10" t="str">
        <x:v>充值套餐编辑</x:v>
      </x:c>
      <x:c r="E371" s="10" t="str">
        <x:v>功能需求</x:v>
      </x:c>
      <x:c r="F371" s="10" t="str">
        <x:v>P1</x:v>
      </x:c>
      <x:c r="G371" s="9" t="str">
        <x:v>验证销售价格两位小数</x:v>
      </x:c>
      <x:c r="H371" s="9" t="str">
        <x:v>充值金额小数精度</x:v>
      </x:c>
      <x:c r="I371" s="9" t="str">
        <x:v>1. 平台管理员账号可用
2. 其他字段有效</x:v>
      </x:c>
      <x:c r="J371" s="9" t="str">
        <x:v>1. 打开充值套餐编辑
2. 输入销售价格为1,01
3. 点击保存</x:v>
      </x:c>
      <x:c r="K371" s="9" t="str">
        <x:v>销售价格1.01USD通过校验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规则：BR-54d4f6fa2d4ad05a
3. 未动态验证</x:v>
      </x:c>
    </x:row>
    <x:row r="372" ht="145" customHeight="1">
      <x:c r="A372" s="10" t="n">
        <x:v>371</x:v>
      </x:c>
      <x:c r="B372" s="10" t="str">
        <x:v>ADMIN-07-0106</x:v>
      </x:c>
      <x:c r="C372" s="10" t="str">
        <x:v>运营配置</x:v>
      </x:c>
      <x:c r="D372" s="10" t="str">
        <x:v>充值套餐编辑</x:v>
      </x:c>
      <x:c r="E372" s="10" t="str">
        <x:v>功能需求</x:v>
      </x:c>
      <x:c r="F372" s="10" t="str">
        <x:v>P1</x:v>
      </x:c>
      <x:c r="G372" s="9" t="str">
        <x:v>验证销售价格三位小数</x:v>
      </x:c>
      <x:c r="H372" s="9" t="str">
        <x:v>充值金额超精度</x:v>
      </x:c>
      <x:c r="I372" s="9" t="str">
        <x:v>1. 平台管理员账号可用
2. 其他字段有效</x:v>
      </x:c>
      <x:c r="J372" s="9" t="str">
        <x:v>1. 打开充值套餐编辑
2. 输入销售价格为1,001
3. 点击保存</x:v>
      </x:c>
      <x:c r="K372" s="9" t="str">
        <x:v>超过两位小数的销售价格不能保存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规则：BR-3dcbec5c020c5779
3. 未动态验证</x:v>
      </x:c>
    </x:row>
    <x:row r="373" ht="145" customHeight="1">
      <x:c r="A373" s="10" t="n">
        <x:v>372</x:v>
      </x:c>
      <x:c r="B373" s="10" t="str">
        <x:v>ADMIN-07-0107</x:v>
      </x:c>
      <x:c r="C373" s="10" t="str">
        <x:v>运营配置</x:v>
      </x:c>
      <x:c r="D373" s="10" t="str">
        <x:v>充值套餐编辑</x:v>
      </x:c>
      <x:c r="E373" s="10" t="str">
        <x:v>功能需求</x:v>
      </x:c>
      <x:c r="F373" s="10" t="str">
        <x:v>P1</x:v>
      </x:c>
      <x:c r="G373" s="9" t="str">
        <x:v>验证活动时间倒置</x:v>
      </x:c>
      <x:c r="H373" s="9" t="str">
        <x:v>活动结束时间限制</x:v>
      </x:c>
      <x:c r="I373" s="9" t="str">
        <x:v>1. 平台管理员账号可用
2. 当前为活动套餐且其他字段有效</x:v>
      </x:c>
      <x:c r="J373" s="9" t="str">
        <x:v>1. 打开充值套餐编辑
2. 输入结束时间早于开始时间
3. 点击保存</x:v>
      </x:c>
      <x:c r="K373" s="9" t="str">
        <x:v>倒置活动时间不能保存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规则：BR-61e6cd380a4bf2d5
3. 未动态验证</x:v>
      </x:c>
    </x:row>
    <x:row r="374" ht="145" customHeight="1">
      <x:c r="A374" s="10" t="n">
        <x:v>373</x:v>
      </x:c>
      <x:c r="B374" s="10" t="str">
        <x:v>ADMIN-07-0108</x:v>
      </x:c>
      <x:c r="C374" s="10" t="str">
        <x:v>运营配置</x:v>
      </x:c>
      <x:c r="D374" s="10" t="str">
        <x:v>充值套餐编辑</x:v>
      </x:c>
      <x:c r="E374" s="10" t="str">
        <x:v>功能需求</x:v>
      </x:c>
      <x:c r="F374" s="10" t="str">
        <x:v>P1</x:v>
      </x:c>
      <x:c r="G374" s="9" t="str">
        <x:v>验证活动类型字段联动</x:v>
      </x:c>
      <x:c r="H374" s="9" t="str">
        <x:v>活动套餐输入项</x:v>
      </x:c>
      <x:c r="I374" s="9" t="str">
        <x:v>1. 平台管理员账号可用
2. 当前为常规套餐</x:v>
      </x:c>
      <x:c r="J374" s="9" t="str">
        <x:v>1. 打开充值套餐编辑
2. 选择活动套餐</x:v>
      </x:c>
      <x:c r="K374" s="9" t="str">
        <x:v>显示限购次数及有效时间字段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规则：BR-f5ad4a7b90ae9afa
3. 未动态验证</x:v>
      </x:c>
    </x:row>
    <x:row r="375" ht="145" customHeight="1">
      <x:c r="A375" s="10" t="n">
        <x:v>374</x:v>
      </x:c>
      <x:c r="B375" s="10" t="str">
        <x:v>ADMIN-07-0109</x:v>
      </x:c>
      <x:c r="C375" s="10" t="str">
        <x:v>运营配置</x:v>
      </x:c>
      <x:c r="D375" s="10" t="str">
        <x:v>充值套餐编辑</x:v>
      </x:c>
      <x:c r="E375" s="10" t="str">
        <x:v>功能需求</x:v>
      </x:c>
      <x:c r="F375" s="10" t="str">
        <x:v>P1</x:v>
      </x:c>
      <x:c r="G375" s="9" t="str">
        <x:v>验证活动限购缺失</x:v>
      </x:c>
      <x:c r="H375" s="9" t="str">
        <x:v>活动限购必填</x:v>
      </x:c>
      <x:c r="I375" s="9" t="str">
        <x:v>1. 平台管理员账号可用
2. 当前为活动套餐且其他字段有效</x:v>
      </x:c>
      <x:c r="J375" s="9" t="str">
        <x:v>1. 打开充值套餐编辑
2. 清空限购次数
3. 点击保存</x:v>
      </x:c>
      <x:c r="K375" s="9" t="str">
        <x:v>缺少限购次数不能保存活动套餐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规则：BR-e5ed46093e19f60c
3. 未动态验证</x:v>
      </x:c>
    </x:row>
    <x:row r="376" ht="145" customHeight="1">
      <x:c r="A376" s="10" t="n">
        <x:v>375</x:v>
      </x:c>
      <x:c r="B376" s="10" t="str">
        <x:v>ADMIN-07-0110</x:v>
      </x:c>
      <x:c r="C376" s="10" t="str">
        <x:v>运营配置</x:v>
      </x:c>
      <x:c r="D376" s="10" t="str">
        <x:v>充值套餐编辑</x:v>
      </x:c>
      <x:c r="E376" s="10" t="str">
        <x:v>功能需求</x:v>
      </x:c>
      <x:c r="F376" s="10" t="str">
        <x:v>P1</x:v>
      </x:c>
      <x:c r="G376" s="9" t="str">
        <x:v>验证套餐封面缺失</x:v>
      </x:c>
      <x:c r="H376" s="9" t="str">
        <x:v>套餐封面必填</x:v>
      </x:c>
      <x:c r="I376" s="9" t="str">
        <x:v>1. 平台管理员账号可用
2. 其他必填字段有效</x:v>
      </x:c>
      <x:c r="J376" s="9" t="str">
        <x:v>1. 打开充值套餐编辑
2. 删除封面
3. 点击保存</x:v>
      </x:c>
      <x:c r="K376" s="9" t="str">
        <x:v>无封面不能保存套餐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规则：BR-b02253b52648085a
3. 未动态验证</x:v>
      </x:c>
    </x:row>
    <x:row r="377" ht="145" customHeight="1">
      <x:c r="A377" s="10" t="n">
        <x:v>376</x:v>
      </x:c>
      <x:c r="B377" s="10" t="str">
        <x:v>ADMIN-07-0111</x:v>
      </x:c>
      <x:c r="C377" s="10" t="str">
        <x:v>运营配置</x:v>
      </x:c>
      <x:c r="D377" s="10" t="str">
        <x:v>充值套餐编辑</x:v>
      </x:c>
      <x:c r="E377" s="10" t="str">
        <x:v>功能需求</x:v>
      </x:c>
      <x:c r="F377" s="10" t="str">
        <x:v>P1</x:v>
      </x:c>
      <x:c r="G377" s="9" t="str">
        <x:v>验证充值套餐ID只读</x:v>
      </x:c>
      <x:c r="H377" s="9" t="str">
        <x:v>套餐ID不可修改</x:v>
      </x:c>
      <x:c r="I377" s="9" t="str">
        <x:v>1. 平台管理员账号可用
2. 正在编辑已创建套餐</x:v>
      </x:c>
      <x:c r="J377" s="9" t="str">
        <x:v>1. 打开充值套餐编辑</x:v>
      </x:c>
      <x:c r="K377" s="9" t="str">
        <x:v>套餐ID不可编辑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规则：BR-1e50ea25bc4761d8
3. 未动态验证</x:v>
      </x:c>
    </x:row>
    <x:row r="378" ht="85" customHeight="1">
      <x:c r="A378" s="10" t="n">
        <x:v>377</x:v>
      </x:c>
      <x:c r="B378" s="10" t="str">
        <x:v>ADMIN-07-0112</x:v>
      </x:c>
      <x:c r="C378" s="10" t="str">
        <x:v>运营配置</x:v>
      </x:c>
      <x:c r="D378" s="10" t="str">
        <x:v>充值套餐编辑</x:v>
      </x:c>
      <x:c r="E378" s="10" t="str">
        <x:v>逻辑校验</x:v>
      </x:c>
      <x:c r="F378" s="10" t="str">
        <x:v>P1</x:v>
      </x:c>
      <x:c r="G378" s="9" t="str">
        <x:v>验证配置充值到账金币</x:v>
      </x:c>
      <x:c r="H378" s="9" t="str">
        <x:v>套餐到账计算</x:v>
      </x:c>
      <x:c r="I378" s="9" t="str">
        <x:v>1. 平台管理员账号可用
2. 其他字段有效</x:v>
      </x:c>
      <x:c r="J378" s="9" t="str">
        <x:v>1. 打开充值套餐编辑
2. 输入充值金币为100
3. 输入赠送金币为20</x:v>
      </x:c>
      <x:c r="K378" s="9" t="str">
        <x:v>计算结果：到账金币=100+20=120金币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来源（当前证据）：liveshow-proto/MainBasis/统一需求文档.md；位置：第2942行、第2947行 REQ-54fe7fbda407
2. 规则：BR-5c9109d6709b50b7
3. 未动态验证</x:v>
      </x:c>
    </x:row>
    <x:row r="379" ht="100" customHeight="1">
      <x:c r="A379" s="10" t="n">
        <x:v>378</x:v>
      </x:c>
      <x:c r="B379" s="10" t="str">
        <x:v>ADMIN-07-0113</x:v>
      </x:c>
      <x:c r="C379" s="10" t="str">
        <x:v>运营配置</x:v>
      </x:c>
      <x:c r="D379" s="10" t="str">
        <x:v>充值套餐编辑</x:v>
      </x:c>
      <x:c r="E379" s="10" t="str">
        <x:v>功能需求</x:v>
      </x:c>
      <x:c r="F379" s="10" t="str">
        <x:v>P1</x:v>
      </x:c>
      <x:c r="G379" s="9" t="str">
        <x:v>验证后台逗号小数输入</x:v>
      </x:c>
      <x:c r="H379" s="9" t="str">
        <x:v>小数分隔符解析</x:v>
      </x:c>
      <x:c r="I379" s="9" t="str">
        <x:v>1. 平台管理员账号可用
2. 套餐其他字段有效</x:v>
      </x:c>
      <x:c r="J379" s="9" t="str">
        <x:v>1. 打开充值套餐编辑
2. 输入销售价格为10,4
3. 点击保存</x:v>
      </x:c>
      <x:c r="K379" s="9" t="str">
        <x:v>销售价格保存为10.40USD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来源（当前证据）：liveshow-proto/MainBasis/统一需求文档.md；位置：第2942行、第2508行 COMMON-admin-decimal-input、第2946行 REQ-042dc71d2e4d
2. 规则：BR-7325aba53e27219b
3. 未动态验证</x:v>
      </x:c>
    </x:row>
    <x:row r="380" ht="85" customHeight="1">
      <x:c r="A380" s="10" t="n">
        <x:v>379</x:v>
      </x:c>
      <x:c r="B380" s="10" t="str">
        <x:v>ADMIN-07-0114</x:v>
      </x:c>
      <x:c r="C380" s="10" t="str">
        <x:v>运营配置</x:v>
      </x:c>
      <x:c r="D380" s="10" t="str">
        <x:v>充值套餐编辑</x:v>
      </x:c>
      <x:c r="E380" s="10" t="str">
        <x:v>功能需求</x:v>
      </x:c>
      <x:c r="F380" s="10" t="str">
        <x:v>P1</x:v>
      </x:c>
      <x:c r="G380" s="9" t="str">
        <x:v>验证套餐排序输入小数</x:v>
      </x:c>
      <x:c r="H380" s="9" t="str">
        <x:v>套餐排序整数限制</x:v>
      </x:c>
      <x:c r="I380" s="9" t="str">
        <x:v>1. 平台管理员账号可用
2. 其他字段有效</x:v>
      </x:c>
      <x:c r="J380" s="9" t="str">
        <x:v>1. 打开充值套餐编辑
2. 输入排序权重为1,5
3. 点击保存</x:v>
      </x:c>
      <x:c r="K380" s="9" t="str">
        <x:v>小数排序权重不能保存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来源（当前证据）：liveshow-proto/MainBasis/统一需求文档.md；位置：第2942行、第2950行 REQ-ed49dba31267
2. 规则：BR-514e961ce7f4ba9b
3. 未动态验证</x:v>
      </x:c>
    </x:row>
    <x:row r="381" ht="115" customHeight="1">
      <x:c r="A381" s="10" t="n">
        <x:v>380</x:v>
      </x:c>
      <x:c r="B381" s="10" t="str">
        <x:v>ADMIN-07-0115</x:v>
      </x:c>
      <x:c r="C381" s="10" t="str">
        <x:v>运营配置</x:v>
      </x:c>
      <x:c r="D381" s="10" t="str">
        <x:v>充值套餐</x:v>
      </x:c>
      <x:c r="E381" s="10" t="str">
        <x:v>功能需求</x:v>
      </x:c>
      <x:c r="F381" s="10" t="str">
        <x:v>P1</x:v>
      </x:c>
      <x:c r="G381" s="9" t="str">
        <x:v>验证下架充值套餐</x:v>
      </x:c>
      <x:c r="H381" s="9" t="str">
        <x:v>充值套餐下架</x:v>
      </x:c>
      <x:c r="I381" s="9" t="str">
        <x:v>1. 平台管理员账号可用
2. 目标套餐已上架</x:v>
      </x:c>
      <x:c r="J381" s="9" t="str">
        <x:v>1. 打开充值套餐
2. 点击下架
3. 确认下架</x:v>
      </x:c>
      <x:c r="K381" s="9" t="str">
        <x:v>套餐状态显示下架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来源（当前证据）：liveshow-proto/MainBasis/统一需求文档.md；位置：第2931行、第2933行 REQ-010960cb74a4、第2937行 REQ-32780c56961b、第2938行 REQ-754fce9c7aa4、第2939行 REQ-c58f68590221
2. 规则：BR-d155cf009c06b69c
3. 未动态验证</x:v>
      </x:c>
    </x:row>
    <x:row r="382" ht="115" customHeight="1">
      <x:c r="A382" s="10" t="n">
        <x:v>381</x:v>
      </x:c>
      <x:c r="B382" s="10" t="str">
        <x:v>ADMIN-07-0116</x:v>
      </x:c>
      <x:c r="C382" s="10" t="str">
        <x:v>运营配置</x:v>
      </x:c>
      <x:c r="D382" s="10" t="str">
        <x:v>充值套餐</x:v>
      </x:c>
      <x:c r="E382" s="10" t="str">
        <x:v>功能需求</x:v>
      </x:c>
      <x:c r="F382" s="10" t="str">
        <x:v>P1</x:v>
      </x:c>
      <x:c r="G382" s="9" t="str">
        <x:v>验证套餐修改不改已支付订单</x:v>
      </x:c>
      <x:c r="H382" s="9" t="str">
        <x:v>充值套餐历史快照</x:v>
      </x:c>
      <x:c r="I382" s="9" t="str">
        <x:v>1. 平台管理员账号可用
2. 用户已按旧价格购买并支付，后台之后修改套餐价格</x:v>
      </x:c>
      <x:c r="J382" s="9" t="str">
        <x:v>1. 打开充值套餐
2. 查看该套餐历史充值订单</x:v>
      </x:c>
      <x:c r="K382" s="9" t="str">
        <x:v>已支付订单仍保留原购买价格与金币快照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来源（当前证据）：liveshow-proto/MainBasis/统一需求文档.md；位置：第2931行、第2933行 REQ-010960cb74a4、第2937行 REQ-32780c56961b、第2938行 REQ-754fce9c7aa4、第2939行 REQ-c58f68590221
2. 规则：BR-b132e9bd36764266
3. 未动态验证</x:v>
      </x:c>
    </x:row>
    <x:row r="383" ht="115" customHeight="1">
      <x:c r="A383" s="10" t="n">
        <x:v>382</x:v>
      </x:c>
      <x:c r="B383" s="10" t="str">
        <x:v>ADMIN-07-0117</x:v>
      </x:c>
      <x:c r="C383" s="10" t="str">
        <x:v>运营配置</x:v>
      </x:c>
      <x:c r="D383" s="10" t="str">
        <x:v>充值套餐</x:v>
      </x:c>
      <x:c r="E383" s="10" t="str">
        <x:v>功能需求</x:v>
      </x:c>
      <x:c r="F383" s="10" t="str">
        <x:v>P1</x:v>
      </x:c>
      <x:c r="G383" s="9" t="str">
        <x:v>验证编辑充值套餐</x:v>
      </x:c>
      <x:c r="H383" s="9" t="str">
        <x:v>套餐详情入口</x:v>
      </x:c>
      <x:c r="I383" s="9" t="str">
        <x:v>1. 平台管理员账号可用
2. 套餐存在</x:v>
      </x:c>
      <x:c r="J383" s="9" t="str">
        <x:v>1. 打开充值套餐
2. 点击编辑</x:v>
      </x:c>
      <x:c r="K383" s="9" t="str">
        <x:v>进入对应充值套餐详情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来源（当前证据）：liveshow-proto/MainBasis/统一需求文档.md；位置：第2931行、第2933行 REQ-010960cb74a4、第2937行 REQ-32780c56961b、第2938行 REQ-754fce9c7aa4、第2939行 REQ-c58f68590221
2. 规则：BR-c51f0118379adc85
3. 未动态验证</x:v>
      </x:c>
    </x:row>
    <x:row r="384" ht="145" customHeight="1">
      <x:c r="A384" s="10" t="n">
        <x:v>383</x:v>
      </x:c>
      <x:c r="B384" s="10" t="str">
        <x:v>ADMIN-07-0118</x:v>
      </x:c>
      <x:c r="C384" s="10" t="str">
        <x:v>运营配置</x:v>
      </x:c>
      <x:c r="D384" s="10" t="str">
        <x:v>敏感词编辑</x:v>
      </x:c>
      <x:c r="E384" s="10" t="str">
        <x:v>功能需求</x:v>
      </x:c>
      <x:c r="F384" s="10" t="str">
        <x:v>P1</x:v>
      </x:c>
      <x:c r="G384" s="9" t="str">
        <x:v>验证敏感词留空</x:v>
      </x:c>
      <x:c r="H384" s="9" t="str">
        <x:v>敏感词必填</x:v>
      </x:c>
      <x:c r="I384" s="9" t="str">
        <x:v>1. 平台管理员账号可用
2. 其他字段有效</x:v>
      </x:c>
      <x:c r="J384" s="9" t="str">
        <x:v>1. 打开敏感词编辑
2. 清空敏感词
3. 点击保存</x:v>
      </x:c>
      <x:c r="K384" s="9" t="str">
        <x:v>空敏感词不能保存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规则：BR-78cf00718cee8a11
3. 未动态验证</x:v>
      </x:c>
    </x:row>
    <x:row r="385" ht="145" customHeight="1">
      <x:c r="A385" s="10" t="n">
        <x:v>384</x:v>
      </x:c>
      <x:c r="B385" s="10" t="str">
        <x:v>ADMIN-07-0119</x:v>
      </x:c>
      <x:c r="C385" s="10" t="str">
        <x:v>运营配置</x:v>
      </x:c>
      <x:c r="D385" s="10" t="str">
        <x:v>敏感词编辑</x:v>
      </x:c>
      <x:c r="E385" s="10" t="str">
        <x:v>功能需求</x:v>
      </x:c>
      <x:c r="F385" s="10" t="str">
        <x:v>P1</x:v>
      </x:c>
      <x:c r="G385" s="9" t="str">
        <x:v>验证场景全不选</x:v>
      </x:c>
      <x:c r="H385" s="9" t="str">
        <x:v>敏感词场景必选</x:v>
      </x:c>
      <x:c r="I385" s="9" t="str">
        <x:v>1. 平台管理员账号可用
2. 词条及替换内容有效</x:v>
      </x:c>
      <x:c r="J385" s="9" t="str">
        <x:v>1. 打开敏感词编辑
2. 取消勾选全部使用场景
3. 点击保存</x:v>
      </x:c>
      <x:c r="K385" s="9" t="str">
        <x:v>未选场景不能保存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规则：BR-10279452313add3d
3. 未动态验证</x:v>
      </x:c>
    </x:row>
    <x:row r="386" ht="145" customHeight="1">
      <x:c r="A386" s="10" t="n">
        <x:v>385</x:v>
      </x:c>
      <x:c r="B386" s="10" t="str">
        <x:v>ADMIN-07-0120</x:v>
      </x:c>
      <x:c r="C386" s="10" t="str">
        <x:v>运营配置</x:v>
      </x:c>
      <x:c r="D386" s="10" t="str">
        <x:v>敏感词编辑</x:v>
      </x:c>
      <x:c r="E386" s="10" t="str">
        <x:v>功能需求</x:v>
      </x:c>
      <x:c r="F386" s="10" t="str">
        <x:v>P1</x:v>
      </x:c>
      <x:c r="G386" s="9" t="str">
        <x:v>验证替换内容留空</x:v>
      </x:c>
      <x:c r="H386" s="9" t="str">
        <x:v>替换文本必填</x:v>
      </x:c>
      <x:c r="I386" s="9" t="str">
        <x:v>1. 平台管理员账号可用
2. 词条和场景有效</x:v>
      </x:c>
      <x:c r="J386" s="9" t="str">
        <x:v>1. 打开敏感词编辑
2. 清空替换内容
3. 点击保存</x:v>
      </x:c>
      <x:c r="K386" s="9" t="str">
        <x:v>空替换内容不能保存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规则：BR-053a91964f596d42
3. 未动态验证</x:v>
      </x:c>
    </x:row>
    <x:row r="387" ht="145" customHeight="1">
      <x:c r="A387" s="10" t="n">
        <x:v>386</x:v>
      </x:c>
      <x:c r="B387" s="10" t="str">
        <x:v>ADMIN-07-0121</x:v>
      </x:c>
      <x:c r="C387" s="10" t="str">
        <x:v>运营配置</x:v>
      </x:c>
      <x:c r="D387" s="10" t="str">
        <x:v>敏感词编辑</x:v>
      </x:c>
      <x:c r="E387" s="10" t="str">
        <x:v>功能需求</x:v>
      </x:c>
      <x:c r="F387" s="10" t="str">
        <x:v>P1</x:v>
      </x:c>
      <x:c r="G387" s="9" t="str">
        <x:v>验证相同规则重复词条</x:v>
      </x:c>
      <x:c r="H387" s="9" t="str">
        <x:v>同匹配规则唯一性</x:v>
      </x:c>
      <x:c r="I387" s="9" t="str">
        <x:v>1. 平台管理员账号可用
2. 已有一个包含匹配词条</x:v>
      </x:c>
      <x:c r="J387" s="9" t="str">
        <x:v>1. 打开敏感词编辑
2. 输入同一敏感词
3. 选择包含匹配
4. 点击保存</x:v>
      </x:c>
      <x:c r="K387" s="9" t="str">
        <x:v>同规则重复词条不能保存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规则：BR-628b5915e776da83
3. 未动态验证</x:v>
      </x:c>
    </x:row>
    <x:row r="388" ht="145" customHeight="1">
      <x:c r="A388" s="10" t="n">
        <x:v>387</x:v>
      </x:c>
      <x:c r="B388" s="10" t="str">
        <x:v>ADMIN-07-0122</x:v>
      </x:c>
      <x:c r="C388" s="10" t="str">
        <x:v>运营配置</x:v>
      </x:c>
      <x:c r="D388" s="10" t="str">
        <x:v>敏感词编辑</x:v>
      </x:c>
      <x:c r="E388" s="10" t="str">
        <x:v>功能需求</x:v>
      </x:c>
      <x:c r="F388" s="10" t="str">
        <x:v>P1</x:v>
      </x:c>
      <x:c r="G388" s="9" t="str">
        <x:v>验证多场景敏感词保存</x:v>
      </x:c>
      <x:c r="H388" s="9" t="str">
        <x:v>使用场景多选</x:v>
      </x:c>
      <x:c r="I388" s="9" t="str">
        <x:v>1. 平台管理员账号可用
2. 词条未被同规则使用，替换内容有效</x:v>
      </x:c>
      <x:c r="J388" s="9" t="str">
        <x:v>1. 打开敏感词编辑
2. 勾选公屏和私信
3. 点击保存</x:v>
      </x:c>
      <x:c r="K388" s="9" t="str">
        <x:v>该词条保留公屏与私信两个使用场景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规则：BR-3472c2b3f709fc4b
3. 未动态验证</x:v>
      </x:c>
    </x:row>
    <x:row r="389" ht="145" customHeight="1">
      <x:c r="A389" s="10" t="n">
        <x:v>388</x:v>
      </x:c>
      <x:c r="B389" s="10" t="str">
        <x:v>ADMIN-07-0123</x:v>
      </x:c>
      <x:c r="C389" s="10" t="str">
        <x:v>运营配置</x:v>
      </x:c>
      <x:c r="D389" s="10" t="str">
        <x:v>敏感词编辑</x:v>
      </x:c>
      <x:c r="E389" s="10" t="str">
        <x:v>功能需求</x:v>
      </x:c>
      <x:c r="F389" s="10" t="str">
        <x:v>P1</x:v>
      </x:c>
      <x:c r="G389" s="9" t="str">
        <x:v>验证敏感词ID只读</x:v>
      </x:c>
      <x:c r="H389" s="9" t="str">
        <x:v>词条ID编辑限制</x:v>
      </x:c>
      <x:c r="I389" s="9" t="str">
        <x:v>1. 平台管理员账号可用
2. 正在编辑已有词条</x:v>
      </x:c>
      <x:c r="J389" s="9" t="str">
        <x:v>1. 打开敏感词编辑</x:v>
      </x:c>
      <x:c r="K389" s="9" t="str">
        <x:v>词条ID不可编辑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规则：BR-61f1911f74584a4f
3. 未动态验证</x:v>
      </x:c>
    </x:row>
    <x:row r="390" ht="130" customHeight="1">
      <x:c r="A390" s="10" t="n">
        <x:v>389</x:v>
      </x:c>
      <x:c r="B390" s="10" t="str">
        <x:v>ADMIN-07-0124</x:v>
      </x:c>
      <x:c r="C390" s="10" t="str">
        <x:v>运营配置</x:v>
      </x:c>
      <x:c r="D390" s="10" t="str">
        <x:v>敏感词库</x:v>
      </x:c>
      <x:c r="E390" s="10" t="str">
        <x:v>功能需求</x:v>
      </x:c>
      <x:c r="F390" s="10" t="str">
        <x:v>P1</x:v>
      </x:c>
      <x:c r="G390" s="9" t="str">
        <x:v>验证停用敏感词</x:v>
      </x:c>
      <x:c r="H390" s="9" t="str">
        <x:v>敏感词停用</x:v>
      </x:c>
      <x:c r="I390" s="9" t="str">
        <x:v>1. 平台管理员账号可用
2. 已有启用词条</x:v>
      </x:c>
      <x:c r="J390" s="9" t="str">
        <x:v>1. 打开敏感词库
2. 点击停用
3. 确认停用</x:v>
      </x:c>
      <x:c r="K390" s="9" t="str">
        <x:v>该词条状态显示停用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规则：BR-93718819517c5398
3. 未动态验证</x:v>
      </x:c>
    </x:row>
    <x:row r="391" ht="130" customHeight="1">
      <x:c r="A391" s="10" t="n">
        <x:v>390</x:v>
      </x:c>
      <x:c r="B391" s="10" t="str">
        <x:v>ADMIN-07-0125</x:v>
      </x:c>
      <x:c r="C391" s="10" t="str">
        <x:v>运营配置</x:v>
      </x:c>
      <x:c r="D391" s="10" t="str">
        <x:v>敏感词库</x:v>
      </x:c>
      <x:c r="E391" s="10" t="str">
        <x:v>功能需求</x:v>
      </x:c>
      <x:c r="F391" s="10" t="str">
        <x:v>P1</x:v>
      </x:c>
      <x:c r="G391" s="9" t="str">
        <x:v>验证导入重复敏感词</x:v>
      </x:c>
      <x:c r="H391" s="9" t="str">
        <x:v>敏感词导入去重</x:v>
      </x:c>
      <x:c r="I391" s="9" t="str">
        <x:v>1. 平台管理员账号可用
2. 导入内容在相同匹配规则下包含已存在词条</x:v>
      </x:c>
      <x:c r="J391" s="9" t="str">
        <x:v>1. 打开敏感词库
2. 点击导入
3. 上传含重复词条的导入文件</x:v>
      </x:c>
      <x:c r="K391" s="9" t="str">
        <x:v>重复词条不能作为新的相同规则重复保存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规则：BR-851050893016c1bb
3. 未动态验证</x:v>
      </x:c>
    </x:row>
    <x:row r="392" ht="130" customHeight="1">
      <x:c r="A392" s="10" t="n">
        <x:v>391</x:v>
      </x:c>
      <x:c r="B392" s="10" t="str">
        <x:v>ADMIN-07-0126</x:v>
      </x:c>
      <x:c r="C392" s="10" t="str">
        <x:v>运营配置</x:v>
      </x:c>
      <x:c r="D392" s="10" t="str">
        <x:v>敏感词库</x:v>
      </x:c>
      <x:c r="E392" s="10" t="str">
        <x:v>功能需求</x:v>
      </x:c>
      <x:c r="F392" s="10" t="str">
        <x:v>P1</x:v>
      </x:c>
      <x:c r="G392" s="9" t="str">
        <x:v>验证删除敏感词</x:v>
      </x:c>
      <x:c r="H392" s="9" t="str">
        <x:v>敏感词删除</x:v>
      </x:c>
      <x:c r="I392" s="9" t="str">
        <x:v>1. 平台管理员账号可用
2. 已有词条</x:v>
      </x:c>
      <x:c r="J392" s="9" t="str">
        <x:v>1. 打开敏感词库
2. 点击删除
3. 确认删除</x:v>
      </x:c>
      <x:c r="K392" s="9" t="str">
        <x:v>词条从当前列表移除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规则：BR-34acd995b22175c3
3. 未动态验证</x:v>
      </x:c>
    </x:row>
    <x:row r="393" ht="85" customHeight="1">
      <x:c r="A393" s="10" t="n">
        <x:v>392</x:v>
      </x:c>
      <x:c r="B393" s="10" t="str">
        <x:v>ADMIN-07-0127</x:v>
      </x:c>
      <x:c r="C393" s="10" t="str">
        <x:v>运营配置</x:v>
      </x:c>
      <x:c r="D393" s="10" t="str">
        <x:v>敏感词库</x:v>
      </x:c>
      <x:c r="E393" s="10" t="str">
        <x:v>功能需求</x:v>
      </x:c>
      <x:c r="F393" s="10" t="str">
        <x:v>P1</x:v>
      </x:c>
      <x:c r="G393" s="9" t="str">
        <x:v>验证不同词条分类核对</x:v>
      </x:c>
      <x:c r="H393" s="9" t="str">
        <x:v>敏感词分类归属</x:v>
      </x:c>
      <x:c r="I393" s="9" t="str">
        <x:v>1. 平台管理员账号可用
2. 存在违法违规和广告引流两个分类的词条</x:v>
      </x:c>
      <x:c r="J393" s="9" t="str">
        <x:v>1. 打开敏感词库</x:v>
      </x:c>
      <x:c r="K393" s="9" t="str">
        <x:v>每条词条保留其已配置分类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来源（当前证据）：liveshow-proto/MainBasis/统一需求文档.md；位置：第3052行、第3054行 REQ-28e6cec9a590
2. 规则：BR-28f29150cf1a5681
3. 未动态验证</x:v>
      </x:c>
    </x:row>
    <x:row r="394" ht="85" customHeight="1">
      <x:c r="A394" s="10" t="n">
        <x:v>393</x:v>
      </x:c>
      <x:c r="B394" s="10" t="str">
        <x:v>ADMIN-07-0128</x:v>
      </x:c>
      <x:c r="C394" s="10" t="str">
        <x:v>运营配置</x:v>
      </x:c>
      <x:c r="D394" s="10" t="str">
        <x:v>敏感词库</x:v>
      </x:c>
      <x:c r="E394" s="10" t="str">
        <x:v>功能需求</x:v>
      </x:c>
      <x:c r="F394" s="10" t="str">
        <x:v>P1</x:v>
      </x:c>
      <x:c r="G394" s="9" t="str">
        <x:v>验证词条替换内容核对</x:v>
      </x:c>
      <x:c r="H394" s="9" t="str">
        <x:v>替换文案配置快照</x:v>
      </x:c>
      <x:c r="I394" s="9" t="str">
        <x:v>1. 平台管理员账号可用
2. 目标词条替换内容已配置为***</x:v>
      </x:c>
      <x:c r="J394" s="9" t="str">
        <x:v>1. 打开敏感词库</x:v>
      </x:c>
      <x:c r="K394" s="9" t="str">
        <x:v>替换内容列显示***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来源（当前证据）：liveshow-proto/MainBasis/统一需求文档.md；位置：第3052行、第3057行 REQ-8b3680ae62c2
2. 规则：BR-8d2f9af013cf32bf
3. 未动态验证</x:v>
      </x:c>
    </x:row>
    <x:row r="395" ht="115" customHeight="1">
      <x:c r="A395" s="10" t="n">
        <x:v>394</x:v>
      </x:c>
      <x:c r="B395" s="10" t="str">
        <x:v>ADMIN-07-0129</x:v>
      </x:c>
      <x:c r="C395" s="10" t="str">
        <x:v>运营配置</x:v>
      </x:c>
      <x:c r="D395" s="10" t="str">
        <x:v>任务配置</x:v>
      </x:c>
      <x:c r="E395" s="10" t="str">
        <x:v>功能需求</x:v>
      </x:c>
      <x:c r="F395" s="10" t="str">
        <x:v>P1</x:v>
      </x:c>
      <x:c r="G395" s="9" t="str">
        <x:v>验证停用任务</x:v>
      </x:c>
      <x:c r="H395" s="9" t="str">
        <x:v>任务停用状态</x:v>
      </x:c>
      <x:c r="I395" s="9" t="str">
        <x:v>1. 平台管理员账号可用
2. 目标任务启用</x:v>
      </x:c>
      <x:c r="J395" s="9" t="str">
        <x:v>1. 打开任务配置
2. 点击停用
3. 确认停用</x:v>
      </x:c>
      <x:c r="K395" s="9" t="str">
        <x:v>任务状态显示停用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来源（当前证据）：liveshow-proto/MainBasis/统一需求文档.md；位置：第2955行、第2958行 REQ-d5bb7032b797、第2960行 REQ-04b2225dbcd5、第2961行 REQ-9f619fd02712、第2962行 REQ-b4e9502d62fc
2. 规则：BR-66d88ed7bd97fac5
3. 未动态验证</x:v>
      </x:c>
    </x:row>
    <x:row r="396" ht="115" customHeight="1">
      <x:c r="A396" s="10" t="n">
        <x:v>395</x:v>
      </x:c>
      <x:c r="B396" s="10" t="str">
        <x:v>ADMIN-07-0130</x:v>
      </x:c>
      <x:c r="C396" s="10" t="str">
        <x:v>运营配置</x:v>
      </x:c>
      <x:c r="D396" s="10" t="str">
        <x:v>任务配置</x:v>
      </x:c>
      <x:c r="E396" s="10" t="str">
        <x:v>功能需求</x:v>
      </x:c>
      <x:c r="F396" s="10" t="str">
        <x:v>P1</x:v>
      </x:c>
      <x:c r="G396" s="9" t="str">
        <x:v>验证任务动作预置</x:v>
      </x:c>
      <x:c r="H396" s="9" t="str">
        <x:v>动作配置边界</x:v>
      </x:c>
      <x:c r="I396" s="9" t="str">
        <x:v>1. 平台管理员账号可用
2. 当前任务管理可访问</x:v>
      </x:c>
      <x:c r="J396" s="9" t="str">
        <x:v>1. 打开任务配置</x:v>
      </x:c>
      <x:c r="K396" s="9" t="str">
        <x:v>不能新增系统未提供的用户动作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来源（当前证据）：liveshow-proto/MainBasis/统一需求文档.md；位置：第2955行、第2958行 REQ-d5bb7032b797、第2960行 REQ-04b2225dbcd5、第2961行 REQ-9f619fd02712、第2962行 REQ-b4e9502d62fc
2. 规则：BR-d5ee6cf3e7d97882
3. 未动态验证</x:v>
      </x:c>
    </x:row>
    <x:row r="397" ht="115" customHeight="1">
      <x:c r="A397" s="10" t="n">
        <x:v>396</x:v>
      </x:c>
      <x:c r="B397" s="10" t="str">
        <x:v>ADMIN-07-0131</x:v>
      </x:c>
      <x:c r="C397" s="10" t="str">
        <x:v>运营配置</x:v>
      </x:c>
      <x:c r="D397" s="10" t="str">
        <x:v>任务配置</x:v>
      </x:c>
      <x:c r="E397" s="10" t="str">
        <x:v>功能需求</x:v>
      </x:c>
      <x:c r="F397" s="10" t="str">
        <x:v>P1</x:v>
      </x:c>
      <x:c r="G397" s="9" t="str">
        <x:v>验证编辑任务入口</x:v>
      </x:c>
      <x:c r="H397" s="9" t="str">
        <x:v>任务配置入口</x:v>
      </x:c>
      <x:c r="I397" s="9" t="str">
        <x:v>1. 平台管理员账号可用
2. 当前任务存在</x:v>
      </x:c>
      <x:c r="J397" s="9" t="str">
        <x:v>1. 打开任务配置
2. 点击编辑</x:v>
      </x:c>
      <x:c r="K397" s="9" t="str">
        <x:v>进入对应通用任务编辑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来源（当前证据）：liveshow-proto/MainBasis/统一需求文档.md；位置：第2955行、第2958行 REQ-d5bb7032b797、第2960行 REQ-04b2225dbcd5、第2961行 REQ-9f619fd02712、第2962行 REQ-b4e9502d62fc
2. 规则：BR-425a26c8bfa9442b
3. 未动态验证</x:v>
      </x:c>
    </x:row>
    <x:row r="398" ht="85" customHeight="1">
      <x:c r="A398" s="10" t="n">
        <x:v>397</x:v>
      </x:c>
      <x:c r="B398" s="10" t="str">
        <x:v>ADMIN-07-0132</x:v>
      </x:c>
      <x:c r="C398" s="10" t="str">
        <x:v>运营配置</x:v>
      </x:c>
      <x:c r="D398" s="10" t="str">
        <x:v>任务配置</x:v>
      </x:c>
      <x:c r="E398" s="10" t="str">
        <x:v>功能需求</x:v>
      </x:c>
      <x:c r="F398" s="10" t="str">
        <x:v>P1</x:v>
      </x:c>
      <x:c r="G398" s="9" t="str">
        <x:v>验证不同任务使用独立编号</x:v>
      </x:c>
      <x:c r="H398" s="9" t="str">
        <x:v>任务ID唯一性</x:v>
      </x:c>
      <x:c r="I398" s="9" t="str">
        <x:v>1. 平台管理员账号可用
2. 已创建两个名称相同但配置不同的任务</x:v>
      </x:c>
      <x:c r="J398" s="9" t="str">
        <x:v>1. 打开任务配置</x:v>
      </x:c>
      <x:c r="K398" s="9" t="str">
        <x:v>两条任务ID不同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来源（当前证据）：liveshow-proto/MainBasis/统一需求文档.md；位置：第2955行、第2957行 REQ-315ec2f293f7
2. 规则：BR-d280a97e1a2d52ee
3. 未动态验证</x:v>
      </x:c>
    </x:row>
    <x:row r="399" ht="100" customHeight="1">
      <x:c r="A399" s="10" t="n">
        <x:v>398</x:v>
      </x:c>
      <x:c r="B399" s="10" t="str">
        <x:v>ADMIN-07-0133</x:v>
      </x:c>
      <x:c r="C399" s="10" t="str">
        <x:v>运营配置</x:v>
      </x:c>
      <x:c r="D399" s="10" t="str">
        <x:v>通用任务编辑</x:v>
      </x:c>
      <x:c r="E399" s="10" t="str">
        <x:v>异常用例</x:v>
      </x:c>
      <x:c r="F399" s="10" t="str">
        <x:v>P1</x:v>
      </x:c>
      <x:c r="G399" s="9" t="str">
        <x:v>验证达成奖励输入-1</x:v>
      </x:c>
      <x:c r="H399" s="9" t="str">
        <x:v>达成奖励数值边界</x:v>
      </x:c>
      <x:c r="I399" s="9" t="str">
        <x:v>1. 平台管理员账号可用
2. 当前编辑表单的其他必填字段有效</x:v>
      </x:c>
      <x:c r="J399" s="9" t="str">
        <x:v>1. 打开通用任务编辑
2. 输入达成奖励为-1
3. 点击保存</x:v>
      </x:c>
      <x:c r="K399" s="9" t="str">
        <x:v>达成奖励为-1时不能保存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来源（当前证据）：liveshow-proto/MainBasis/统一需求文档.md；位置：第2965行、第2972行 REQ-b2777c1adc0e、第2974行 REQ-6bc38b535564
2. 规则：BR-44c56f9474ef8ab8
3. 未动态验证</x:v>
      </x:c>
    </x:row>
    <x:row r="400" ht="100" customHeight="1">
      <x:c r="A400" s="10" t="n">
        <x:v>399</x:v>
      </x:c>
      <x:c r="B400" s="10" t="str">
        <x:v>ADMIN-07-0134</x:v>
      </x:c>
      <x:c r="C400" s="10" t="str">
        <x:v>运营配置</x:v>
      </x:c>
      <x:c r="D400" s="10" t="str">
        <x:v>通用任务编辑</x:v>
      </x:c>
      <x:c r="E400" s="10" t="str">
        <x:v>异常用例</x:v>
      </x:c>
      <x:c r="F400" s="10" t="str">
        <x:v>P1</x:v>
      </x:c>
      <x:c r="G400" s="9" t="str">
        <x:v>验证达成奖励输入0</x:v>
      </x:c>
      <x:c r="H400" s="9" t="str">
        <x:v>达成奖励数值边界</x:v>
      </x:c>
      <x:c r="I400" s="9" t="str">
        <x:v>1. 平台管理员账号可用
2. 当前编辑表单的其他必填字段有效</x:v>
      </x:c>
      <x:c r="J400" s="9" t="str">
        <x:v>1. 打开通用任务编辑
2. 输入达成奖励为0
3. 点击保存</x:v>
      </x:c>
      <x:c r="K400" s="9" t="str">
        <x:v>达成奖励为0时不能保存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来源（当前证据）：liveshow-proto/MainBasis/统一需求文档.md；位置：第2965行、第2972行 REQ-b2777c1adc0e、第2974行 REQ-6bc38b535564
2. 规则：BR-e967969846fd979a
3. 未动态验证</x:v>
      </x:c>
    </x:row>
    <x:row r="401" ht="100" customHeight="1">
      <x:c r="A401" s="10" t="n">
        <x:v>400</x:v>
      </x:c>
      <x:c r="B401" s="10" t="str">
        <x:v>ADMIN-07-0135</x:v>
      </x:c>
      <x:c r="C401" s="10" t="str">
        <x:v>运营配置</x:v>
      </x:c>
      <x:c r="D401" s="10" t="str">
        <x:v>通用任务编辑</x:v>
      </x:c>
      <x:c r="E401" s="10" t="str">
        <x:v>异常用例</x:v>
      </x:c>
      <x:c r="F401" s="10" t="str">
        <x:v>P1</x:v>
      </x:c>
      <x:c r="G401" s="9" t="str">
        <x:v>验证达成奖励输入1,5</x:v>
      </x:c>
      <x:c r="H401" s="9" t="str">
        <x:v>达成奖励数值边界</x:v>
      </x:c>
      <x:c r="I401" s="9" t="str">
        <x:v>1. 平台管理员账号可用
2. 当前编辑表单的其他必填字段有效</x:v>
      </x:c>
      <x:c r="J401" s="9" t="str">
        <x:v>1. 打开通用任务编辑
2. 输入达成奖励为1,5
3. 点击保存</x:v>
      </x:c>
      <x:c r="K401" s="9" t="str">
        <x:v>达成奖励为1,5时不能保存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来源（当前证据）：liveshow-proto/MainBasis/统一需求文档.md；位置：第2965行、第2972行 REQ-b2777c1adc0e、第2974行 REQ-6bc38b535564
2. 规则：BR-d92733f76a209b86
3. 未动态验证</x:v>
      </x:c>
    </x:row>
    <x:row r="402" ht="100" customHeight="1">
      <x:c r="A402" s="10" t="n">
        <x:v>401</x:v>
      </x:c>
      <x:c r="B402" s="10" t="str">
        <x:v>ADMIN-07-0136</x:v>
      </x:c>
      <x:c r="C402" s="10" t="str">
        <x:v>运营配置</x:v>
      </x:c>
      <x:c r="D402" s="10" t="str">
        <x:v>通用任务编辑</x:v>
      </x:c>
      <x:c r="E402" s="10" t="str">
        <x:v>逻辑校验</x:v>
      </x:c>
      <x:c r="F402" s="10" t="str">
        <x:v>P1</x:v>
      </x:c>
      <x:c r="G402" s="9" t="str">
        <x:v>验证达成奖励输入1</x:v>
      </x:c>
      <x:c r="H402" s="9" t="str">
        <x:v>达成奖励数值边界</x:v>
      </x:c>
      <x:c r="I402" s="9" t="str">
        <x:v>1. 平台管理员账号可用
2. 当前编辑表单的其他必填字段有效</x:v>
      </x:c>
      <x:c r="J402" s="9" t="str">
        <x:v>1. 打开通用任务编辑
2. 输入达成奖励为1
3. 点击保存</x:v>
      </x:c>
      <x:c r="K402" s="9" t="str">
        <x:v>达成奖励为1时通过数值校验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来源（当前证据）：liveshow-proto/MainBasis/统一需求文档.md；位置：第2965行、第2972行 REQ-b2777c1adc0e、第2974行 REQ-6bc38b535564
2. 规则：BR-144d55163473b02b
3. 未动态验证</x:v>
      </x:c>
    </x:row>
    <x:row r="403" ht="100" customHeight="1">
      <x:c r="A403" s="10" t="n">
        <x:v>402</x:v>
      </x:c>
      <x:c r="B403" s="10" t="str">
        <x:v>ADMIN-07-0137</x:v>
      </x:c>
      <x:c r="C403" s="10" t="str">
        <x:v>运营配置</x:v>
      </x:c>
      <x:c r="D403" s="10" t="str">
        <x:v>通用任务编辑</x:v>
      </x:c>
      <x:c r="E403" s="10" t="str">
        <x:v>功能需求</x:v>
      </x:c>
      <x:c r="F403" s="10" t="str">
        <x:v>P1</x:v>
      </x:c>
      <x:c r="G403" s="9" t="str">
        <x:v>验证中文名称缺失</x:v>
      </x:c>
      <x:c r="H403" s="9" t="str">
        <x:v>中文名称必填</x:v>
      </x:c>
      <x:c r="I403" s="9" t="str">
        <x:v>1. 平台管理员账号可用
2. 其他必填字段和其他语言均有效</x:v>
      </x:c>
      <x:c r="J403" s="9" t="str">
        <x:v>1. 打开通用任务编辑
2. 清空中文名称
3. 点击保存</x:v>
      </x:c>
      <x:c r="K403" s="9" t="str">
        <x:v>缺少中文名称不能保存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来源（当前证据）：liveshow-proto/MainBasis/统一需求文档.md；位置：第2965行、第2967行 REQ-1132b8ac8e9c、第2974行 REQ-6bc38b535564
2. 规则：BR-5a620822f3be60e3
3. 未动态验证</x:v>
      </x:c>
    </x:row>
    <x:row r="404" ht="100" customHeight="1">
      <x:c r="A404" s="10" t="n">
        <x:v>403</x:v>
      </x:c>
      <x:c r="B404" s="10" t="str">
        <x:v>ADMIN-07-0138</x:v>
      </x:c>
      <x:c r="C404" s="10" t="str">
        <x:v>运营配置</x:v>
      </x:c>
      <x:c r="D404" s="10" t="str">
        <x:v>通用任务编辑</x:v>
      </x:c>
      <x:c r="E404" s="10" t="str">
        <x:v>功能需求</x:v>
      </x:c>
      <x:c r="F404" s="10" t="str">
        <x:v>P1</x:v>
      </x:c>
      <x:c r="G404" s="9" t="str">
        <x:v>验证英语名称缺失</x:v>
      </x:c>
      <x:c r="H404" s="9" t="str">
        <x:v>英语名称必填</x:v>
      </x:c>
      <x:c r="I404" s="9" t="str">
        <x:v>1. 平台管理员账号可用
2. 其他必填字段和其他语言均有效</x:v>
      </x:c>
      <x:c r="J404" s="9" t="str">
        <x:v>1. 打开通用任务编辑
2. 清空英语名称
3. 点击保存</x:v>
      </x:c>
      <x:c r="K404" s="9" t="str">
        <x:v>缺少英语名称不能保存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来源（当前证据）：liveshow-proto/MainBasis/统一需求文档.md；位置：第2965行、第2967行 REQ-1132b8ac8e9c、第2974行 REQ-6bc38b535564
2. 规则：BR-07cacc832a1a71c8
3. 未动态验证</x:v>
      </x:c>
    </x:row>
    <x:row r="405" ht="100" customHeight="1">
      <x:c r="A405" s="10" t="n">
        <x:v>404</x:v>
      </x:c>
      <x:c r="B405" s="10" t="str">
        <x:v>ADMIN-07-0139</x:v>
      </x:c>
      <x:c r="C405" s="10" t="str">
        <x:v>运营配置</x:v>
      </x:c>
      <x:c r="D405" s="10" t="str">
        <x:v>通用任务编辑</x:v>
      </x:c>
      <x:c r="E405" s="10" t="str">
        <x:v>功能需求</x:v>
      </x:c>
      <x:c r="F405" s="10" t="str">
        <x:v>P1</x:v>
      </x:c>
      <x:c r="G405" s="9" t="str">
        <x:v>验证印尼语名称缺失</x:v>
      </x:c>
      <x:c r="H405" s="9" t="str">
        <x:v>印尼语名称必填</x:v>
      </x:c>
      <x:c r="I405" s="9" t="str">
        <x:v>1. 平台管理员账号可用
2. 其他必填字段和其他语言均有效</x:v>
      </x:c>
      <x:c r="J405" s="9" t="str">
        <x:v>1. 打开通用任务编辑
2. 清空印尼语名称
3. 点击保存</x:v>
      </x:c>
      <x:c r="K405" s="9" t="str">
        <x:v>缺少印尼语名称不能保存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来源（当前证据）：liveshow-proto/MainBasis/统一需求文档.md；位置：第2965行、第2967行 REQ-1132b8ac8e9c、第2974行 REQ-6bc38b535564
2. 规则：BR-4f9451625ac4d02c
3. 未动态验证</x:v>
      </x:c>
    </x:row>
    <x:row r="406" ht="100" customHeight="1">
      <x:c r="A406" s="10" t="n">
        <x:v>405</x:v>
      </x:c>
      <x:c r="B406" s="10" t="str">
        <x:v>ADMIN-07-0140</x:v>
      </x:c>
      <x:c r="C406" s="10" t="str">
        <x:v>运营配置</x:v>
      </x:c>
      <x:c r="D406" s="10" t="str">
        <x:v>通用任务编辑</x:v>
      </x:c>
      <x:c r="E406" s="10" t="str">
        <x:v>功能需求</x:v>
      </x:c>
      <x:c r="F406" s="10" t="str">
        <x:v>P1</x:v>
      </x:c>
      <x:c r="G406" s="9" t="str">
        <x:v>验证马来语名称缺失</x:v>
      </x:c>
      <x:c r="H406" s="9" t="str">
        <x:v>马来语名称必填</x:v>
      </x:c>
      <x:c r="I406" s="9" t="str">
        <x:v>1. 平台管理员账号可用
2. 其他必填字段和其他语言均有效</x:v>
      </x:c>
      <x:c r="J406" s="9" t="str">
        <x:v>1. 打开通用任务编辑
2. 清空马来语名称
3. 点击保存</x:v>
      </x:c>
      <x:c r="K406" s="9" t="str">
        <x:v>缺少马来语名称不能保存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来源（当前证据）：liveshow-proto/MainBasis/统一需求文档.md；位置：第2965行、第2967行 REQ-1132b8ac8e9c、第2974行 REQ-6bc38b535564
2. 规则：BR-9780c006a1552356
3. 未动态验证</x:v>
      </x:c>
    </x:row>
    <x:row r="407" ht="145" customHeight="1">
      <x:c r="A407" s="10" t="n">
        <x:v>406</x:v>
      </x:c>
      <x:c r="B407" s="10" t="str">
        <x:v>ADMIN-07-0141</x:v>
      </x:c>
      <x:c r="C407" s="10" t="str">
        <x:v>运营配置</x:v>
      </x:c>
      <x:c r="D407" s="10" t="str">
        <x:v>通用任务编辑</x:v>
      </x:c>
      <x:c r="E407" s="10" t="str">
        <x:v>功能需求</x:v>
      </x:c>
      <x:c r="F407" s="10" t="str">
        <x:v>P1</x:v>
      </x:c>
      <x:c r="G407" s="9" t="str">
        <x:v>验证修改动作重置指标</x:v>
      </x:c>
      <x:c r="H407" s="9" t="str">
        <x:v>动作指标联动</x:v>
      </x:c>
      <x:c r="I407" s="9" t="str">
        <x:v>1. 平台管理员账号可用
2. 已选择一种动作及其指标</x:v>
      </x:c>
      <x:c r="J407" s="9" t="str">
        <x:v>1. 打开通用任务编辑
2. 选择另一用户动作</x:v>
      </x:c>
      <x:c r="K407" s="9" t="str">
        <x:v>可选指标更新为新动作支持的指标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规则：BR-700294fcb6d04b40
3. 未动态验证</x:v>
      </x:c>
    </x:row>
    <x:row r="408" ht="145" customHeight="1">
      <x:c r="A408" s="10" t="n">
        <x:v>407</x:v>
      </x:c>
      <x:c r="B408" s="10" t="str">
        <x:v>ADMIN-07-0142</x:v>
      </x:c>
      <x:c r="C408" s="10" t="str">
        <x:v>运营配置</x:v>
      </x:c>
      <x:c r="D408" s="10" t="str">
        <x:v>通用任务编辑</x:v>
      </x:c>
      <x:c r="E408" s="10" t="str">
        <x:v>功能需求</x:v>
      </x:c>
      <x:c r="F408" s="10" t="str">
        <x:v>P1</x:v>
      </x:c>
      <x:c r="G408" s="9" t="str">
        <x:v>验证指标支持的统计周期</x:v>
      </x:c>
      <x:c r="H408" s="9" t="str">
        <x:v>统计周期合法集合</x:v>
      </x:c>
      <x:c r="I408" s="9" t="str">
        <x:v>1. 平台管理员账号可用
2. 已选定一个预置指标</x:v>
      </x:c>
      <x:c r="J408" s="9" t="str">
        <x:v>1. 打开通用任务编辑
2. 打开统计周期选项</x:v>
      </x:c>
      <x:c r="K408" s="9" t="str">
        <x:v>仅展示该指标支持的统计周期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规则：BR-835e670e05fc2b80
3. 未动态验证</x:v>
      </x:c>
    </x:row>
    <x:row r="409" ht="145" customHeight="1">
      <x:c r="A409" s="10" t="n">
        <x:v>408</x:v>
      </x:c>
      <x:c r="B409" s="10" t="str">
        <x:v>ADMIN-07-0143</x:v>
      </x:c>
      <x:c r="C409" s="10" t="str">
        <x:v>运营配置</x:v>
      </x:c>
      <x:c r="D409" s="10" t="str">
        <x:v>通用任务编辑</x:v>
      </x:c>
      <x:c r="E409" s="10" t="str">
        <x:v>功能需求</x:v>
      </x:c>
      <x:c r="F409" s="10" t="str">
        <x:v>P1</x:v>
      </x:c>
      <x:c r="G409" s="9" t="str">
        <x:v>验证达成条件为空</x:v>
      </x:c>
      <x:c r="H409" s="9" t="str">
        <x:v>任务至少一个条件</x:v>
      </x:c>
      <x:c r="I409" s="9" t="str">
        <x:v>1. 平台管理员账号可用
2. 其他字段有效</x:v>
      </x:c>
      <x:c r="J409" s="9" t="str">
        <x:v>1. 打开通用任务编辑
2. 删除全部达成条件
3. 点击保存</x:v>
      </x:c>
      <x:c r="K409" s="9" t="str">
        <x:v>没有达成条件的任务不能保存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规则：BR-58ade81289dd0543
3. 未动态验证</x:v>
      </x:c>
    </x:row>
    <x:row r="410" ht="145" customHeight="1">
      <x:c r="A410" s="10" t="n">
        <x:v>409</x:v>
      </x:c>
      <x:c r="B410" s="10" t="str">
        <x:v>ADMIN-07-0144</x:v>
      </x:c>
      <x:c r="C410" s="10" t="str">
        <x:v>运营配置</x:v>
      </x:c>
      <x:c r="D410" s="10" t="str">
        <x:v>通用任务编辑</x:v>
      </x:c>
      <x:c r="E410" s="10" t="str">
        <x:v>功能需求</x:v>
      </x:c>
      <x:c r="F410" s="10" t="str">
        <x:v>P1</x:v>
      </x:c>
      <x:c r="G410" s="9" t="str">
        <x:v>验证同任务阈值重复</x:v>
      </x:c>
      <x:c r="H410" s="9" t="str">
        <x:v>任务阈值唯一性</x:v>
      </x:c>
      <x:c r="I410" s="9" t="str">
        <x:v>1. 平台管理员账号可用
2. 其他字段有效</x:v>
      </x:c>
      <x:c r="J410" s="9" t="str">
        <x:v>1. 打开通用任务编辑
2. 输入两个达成条件阈值均为10
3. 点击保存</x:v>
      </x:c>
      <x:c r="K410" s="9" t="str">
        <x:v>重复阈值不能保存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规则：BR-3f78fc704b61fa51
3. 未动态验证</x:v>
      </x:c>
    </x:row>
    <x:row r="411" ht="145" customHeight="1">
      <x:c r="A411" s="10" t="n">
        <x:v>410</x:v>
      </x:c>
      <x:c r="B411" s="10" t="str">
        <x:v>ADMIN-07-0145</x:v>
      </x:c>
      <x:c r="C411" s="10" t="str">
        <x:v>运营配置</x:v>
      </x:c>
      <x:c r="D411" s="10" t="str">
        <x:v>通用任务编辑</x:v>
      </x:c>
      <x:c r="E411" s="10" t="str">
        <x:v>功能需求</x:v>
      </x:c>
      <x:c r="F411" s="10" t="str">
        <x:v>P1</x:v>
      </x:c>
      <x:c r="G411" s="9" t="str">
        <x:v>验证阈值为0</x:v>
      </x:c>
      <x:c r="H411" s="9" t="str">
        <x:v>任务阈值正数限制</x:v>
      </x:c>
      <x:c r="I411" s="9" t="str">
        <x:v>1. 平台管理员账号可用
2. 其他字段有效</x:v>
      </x:c>
      <x:c r="J411" s="9" t="str">
        <x:v>1. 打开通用任务编辑
2. 输入达成阈值为0
3. 点击保存</x:v>
      </x:c>
      <x:c r="K411" s="9" t="str">
        <x:v>零阈值不能保存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规则：BR-8c92da20db1a9300
3. 未动态验证</x:v>
      </x:c>
    </x:row>
    <x:row r="412" ht="145" customHeight="1">
      <x:c r="A412" s="10" t="n">
        <x:v>411</x:v>
      </x:c>
      <x:c r="B412" s="10" t="str">
        <x:v>ADMIN-07-0146</x:v>
      </x:c>
      <x:c r="C412" s="10" t="str">
        <x:v>运营配置</x:v>
      </x:c>
      <x:c r="D412" s="10" t="str">
        <x:v>通用任务编辑</x:v>
      </x:c>
      <x:c r="E412" s="10" t="str">
        <x:v>功能需求</x:v>
      </x:c>
      <x:c r="F412" s="10" t="str">
        <x:v>P1</x:v>
      </x:c>
      <x:c r="G412" s="9" t="str">
        <x:v>验证任务开始结束相同</x:v>
      </x:c>
      <x:c r="H412" s="9" t="str">
        <x:v>任务有效时间顺序</x:v>
      </x:c>
      <x:c r="I412" s="9" t="str">
        <x:v>1. 平台管理员账号可用
2. 其他字段有效</x:v>
      </x:c>
      <x:c r="J412" s="9" t="str">
        <x:v>1. 打开通用任务编辑
2. 输入相同的开始和结束时间
3. 点击保存</x:v>
      </x:c>
      <x:c r="K412" s="9" t="str">
        <x:v>零长度任务周期不能保存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规则：BR-9687db63563c599e
3. 未动态验证</x:v>
      </x:c>
    </x:row>
    <x:row r="413" ht="100" customHeight="1">
      <x:c r="A413" s="10" t="n">
        <x:v>412</x:v>
      </x:c>
      <x:c r="B413" s="10" t="str">
        <x:v>ADMIN-07-0147</x:v>
      </x:c>
      <x:c r="C413" s="10" t="str">
        <x:v>运营配置</x:v>
      </x:c>
      <x:c r="D413" s="10" t="str">
        <x:v>门票价格档位编辑</x:v>
      </x:c>
      <x:c r="E413" s="10" t="str">
        <x:v>异常用例</x:v>
      </x:c>
      <x:c r="F413" s="10" t="str">
        <x:v>P1</x:v>
      </x:c>
      <x:c r="G413" s="9" t="str">
        <x:v>验证门票价格输入-1</x:v>
      </x:c>
      <x:c r="H413" s="9" t="str">
        <x:v>门票价格数值边界</x:v>
      </x:c>
      <x:c r="I413" s="9" t="str">
        <x:v>1. 平台管理员账号可用
2. 当前编辑表单的其他必填字段有效</x:v>
      </x:c>
      <x:c r="J413" s="9" t="str">
        <x:v>1. 打开门票价格档位编辑
2. 输入门票价格为-1
3. 点击保存</x:v>
      </x:c>
      <x:c r="K413" s="9" t="str">
        <x:v>门票价格为-1时不能保存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来源（当前证据）：liveshow-proto/MainBasis/统一需求文档.md；位置：第3043行、第3046行 REQ-de186d221f4a、第3049行 REQ-ea95fe209223
2. 规则：BR-e9d2358e5d765f46
3. 未动态验证</x:v>
      </x:c>
    </x:row>
    <x:row r="414" ht="100" customHeight="1">
      <x:c r="A414" s="10" t="n">
        <x:v>413</x:v>
      </x:c>
      <x:c r="B414" s="10" t="str">
        <x:v>ADMIN-07-0148</x:v>
      </x:c>
      <x:c r="C414" s="10" t="str">
        <x:v>运营配置</x:v>
      </x:c>
      <x:c r="D414" s="10" t="str">
        <x:v>门票价格档位编辑</x:v>
      </x:c>
      <x:c r="E414" s="10" t="str">
        <x:v>异常用例</x:v>
      </x:c>
      <x:c r="F414" s="10" t="str">
        <x:v>P1</x:v>
      </x:c>
      <x:c r="G414" s="9" t="str">
        <x:v>验证门票价格输入0</x:v>
      </x:c>
      <x:c r="H414" s="9" t="str">
        <x:v>门票价格数值边界</x:v>
      </x:c>
      <x:c r="I414" s="9" t="str">
        <x:v>1. 平台管理员账号可用
2. 当前编辑表单的其他必填字段有效</x:v>
      </x:c>
      <x:c r="J414" s="9" t="str">
        <x:v>1. 打开门票价格档位编辑
2. 输入门票价格为0
3. 点击保存</x:v>
      </x:c>
      <x:c r="K414" s="9" t="str">
        <x:v>门票价格为0时不能保存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来源（当前证据）：liveshow-proto/MainBasis/统一需求文档.md；位置：第3043行、第3046行 REQ-de186d221f4a、第3049行 REQ-ea95fe209223
2. 规则：BR-79c3cac616c7b49d
3. 未动态验证</x:v>
      </x:c>
    </x:row>
    <x:row r="415" ht="100" customHeight="1">
      <x:c r="A415" s="10" t="n">
        <x:v>414</x:v>
      </x:c>
      <x:c r="B415" s="10" t="str">
        <x:v>ADMIN-07-0149</x:v>
      </x:c>
      <x:c r="C415" s="10" t="str">
        <x:v>运营配置</x:v>
      </x:c>
      <x:c r="D415" s="10" t="str">
        <x:v>门票价格档位编辑</x:v>
      </x:c>
      <x:c r="E415" s="10" t="str">
        <x:v>异常用例</x:v>
      </x:c>
      <x:c r="F415" s="10" t="str">
        <x:v>P1</x:v>
      </x:c>
      <x:c r="G415" s="9" t="str">
        <x:v>验证门票价格输入1,5</x:v>
      </x:c>
      <x:c r="H415" s="9" t="str">
        <x:v>门票价格数值边界</x:v>
      </x:c>
      <x:c r="I415" s="9" t="str">
        <x:v>1. 平台管理员账号可用
2. 当前编辑表单的其他必填字段有效</x:v>
      </x:c>
      <x:c r="J415" s="9" t="str">
        <x:v>1. 打开门票价格档位编辑
2. 输入门票价格为1,5
3. 点击保存</x:v>
      </x:c>
      <x:c r="K415" s="9" t="str">
        <x:v>门票价格为1,5时不能保存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来源（当前证据）：liveshow-proto/MainBasis/统一需求文档.md；位置：第3043行、第3046行 REQ-de186d221f4a、第3049行 REQ-ea95fe209223
2. 规则：BR-8b395911f8c4831b
3. 未动态验证</x:v>
      </x:c>
    </x:row>
    <x:row r="416" ht="100" customHeight="1">
      <x:c r="A416" s="10" t="n">
        <x:v>415</x:v>
      </x:c>
      <x:c r="B416" s="10" t="str">
        <x:v>ADMIN-07-0150</x:v>
      </x:c>
      <x:c r="C416" s="10" t="str">
        <x:v>运营配置</x:v>
      </x:c>
      <x:c r="D416" s="10" t="str">
        <x:v>门票价格档位编辑</x:v>
      </x:c>
      <x:c r="E416" s="10" t="str">
        <x:v>逻辑校验</x:v>
      </x:c>
      <x:c r="F416" s="10" t="str">
        <x:v>P1</x:v>
      </x:c>
      <x:c r="G416" s="9" t="str">
        <x:v>验证门票价格输入1</x:v>
      </x:c>
      <x:c r="H416" s="9" t="str">
        <x:v>门票价格数值边界</x:v>
      </x:c>
      <x:c r="I416" s="9" t="str">
        <x:v>1. 平台管理员账号可用
2. 当前编辑表单的其他必填字段有效</x:v>
      </x:c>
      <x:c r="J416" s="9" t="str">
        <x:v>1. 打开门票价格档位编辑
2. 输入门票价格为1
3. 点击保存</x:v>
      </x:c>
      <x:c r="K416" s="9" t="str">
        <x:v>门票价格为1时通过数值校验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来源（当前证据）：liveshow-proto/MainBasis/统一需求文档.md；位置：第3043行、第3046行 REQ-de186d221f4a、第3049行 REQ-ea95fe209223
2. 规则：BR-cf90ef40a896dc2e
3. 未动态验证</x:v>
      </x:c>
    </x:row>
    <x:row r="417" ht="100" customHeight="1">
      <x:c r="A417" s="10" t="n">
        <x:v>416</x:v>
      </x:c>
      <x:c r="B417" s="10" t="str">
        <x:v>ADMIN-07-0151</x:v>
      </x:c>
      <x:c r="C417" s="10" t="str">
        <x:v>运营配置</x:v>
      </x:c>
      <x:c r="D417" s="10" t="str">
        <x:v>门票价格档位编辑</x:v>
      </x:c>
      <x:c r="E417" s="10" t="str">
        <x:v>异常用例</x:v>
      </x:c>
      <x:c r="F417" s="10" t="str">
        <x:v>P1</x:v>
      </x:c>
      <x:c r="G417" s="9" t="str">
        <x:v>验证排序输入-1</x:v>
      </x:c>
      <x:c r="H417" s="9" t="str">
        <x:v>排序数值边界</x:v>
      </x:c>
      <x:c r="I417" s="9" t="str">
        <x:v>1. 平台管理员账号可用
2. 当前编辑表单的其他必填字段有效</x:v>
      </x:c>
      <x:c r="J417" s="9" t="str">
        <x:v>1. 打开门票价格档位编辑
2. 输入排序为-1
3. 点击保存</x:v>
      </x:c>
      <x:c r="K417" s="9" t="str">
        <x:v>排序为-1时不能保存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来源（当前证据）：liveshow-proto/MainBasis/统一需求文档.md；位置：第3043行、第3047行 REQ-498b2f58533c、第3049行 REQ-ea95fe209223
2. 规则：BR-23786953a1bdc342
3. 未动态验证</x:v>
      </x:c>
    </x:row>
    <x:row r="418" ht="100" customHeight="1">
      <x:c r="A418" s="10" t="n">
        <x:v>417</x:v>
      </x:c>
      <x:c r="B418" s="10" t="str">
        <x:v>ADMIN-07-0152</x:v>
      </x:c>
      <x:c r="C418" s="10" t="str">
        <x:v>运营配置</x:v>
      </x:c>
      <x:c r="D418" s="10" t="str">
        <x:v>门票价格档位编辑</x:v>
      </x:c>
      <x:c r="E418" s="10" t="str">
        <x:v>异常用例</x:v>
      </x:c>
      <x:c r="F418" s="10" t="str">
        <x:v>P1</x:v>
      </x:c>
      <x:c r="G418" s="9" t="str">
        <x:v>验证排序输入0</x:v>
      </x:c>
      <x:c r="H418" s="9" t="str">
        <x:v>排序数值边界</x:v>
      </x:c>
      <x:c r="I418" s="9" t="str">
        <x:v>1. 平台管理员账号可用
2. 当前编辑表单的其他必填字段有效</x:v>
      </x:c>
      <x:c r="J418" s="9" t="str">
        <x:v>1. 打开门票价格档位编辑
2. 输入排序为0
3. 点击保存</x:v>
      </x:c>
      <x:c r="K418" s="9" t="str">
        <x:v>排序为0时不能保存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来源（当前证据）：liveshow-proto/MainBasis/统一需求文档.md；位置：第3043行、第3047行 REQ-498b2f58533c、第3049行 REQ-ea95fe209223
2. 规则：BR-535f41eed693b807
3. 未动态验证</x:v>
      </x:c>
    </x:row>
    <x:row r="419" ht="100" customHeight="1">
      <x:c r="A419" s="10" t="n">
        <x:v>418</x:v>
      </x:c>
      <x:c r="B419" s="10" t="str">
        <x:v>ADMIN-07-0153</x:v>
      </x:c>
      <x:c r="C419" s="10" t="str">
        <x:v>运营配置</x:v>
      </x:c>
      <x:c r="D419" s="10" t="str">
        <x:v>门票价格档位编辑</x:v>
      </x:c>
      <x:c r="E419" s="10" t="str">
        <x:v>异常用例</x:v>
      </x:c>
      <x:c r="F419" s="10" t="str">
        <x:v>P1</x:v>
      </x:c>
      <x:c r="G419" s="9" t="str">
        <x:v>验证排序输入1,5</x:v>
      </x:c>
      <x:c r="H419" s="9" t="str">
        <x:v>排序数值边界</x:v>
      </x:c>
      <x:c r="I419" s="9" t="str">
        <x:v>1. 平台管理员账号可用
2. 当前编辑表单的其他必填字段有效</x:v>
      </x:c>
      <x:c r="J419" s="9" t="str">
        <x:v>1. 打开门票价格档位编辑
2. 输入排序为1,5
3. 点击保存</x:v>
      </x:c>
      <x:c r="K419" s="9" t="str">
        <x:v>排序为1,5时不能保存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来源（当前证据）：liveshow-proto/MainBasis/统一需求文档.md；位置：第3043行、第3047行 REQ-498b2f58533c、第3049行 REQ-ea95fe209223
2. 规则：BR-6f04445162a2f0ac
3. 未动态验证</x:v>
      </x:c>
    </x:row>
    <x:row r="420" ht="100" customHeight="1">
      <x:c r="A420" s="10" t="n">
        <x:v>419</x:v>
      </x:c>
      <x:c r="B420" s="10" t="str">
        <x:v>ADMIN-07-0154</x:v>
      </x:c>
      <x:c r="C420" s="10" t="str">
        <x:v>运营配置</x:v>
      </x:c>
      <x:c r="D420" s="10" t="str">
        <x:v>门票价格档位编辑</x:v>
      </x:c>
      <x:c r="E420" s="10" t="str">
        <x:v>逻辑校验</x:v>
      </x:c>
      <x:c r="F420" s="10" t="str">
        <x:v>P1</x:v>
      </x:c>
      <x:c r="G420" s="9" t="str">
        <x:v>验证排序输入1</x:v>
      </x:c>
      <x:c r="H420" s="9" t="str">
        <x:v>排序数值边界</x:v>
      </x:c>
      <x:c r="I420" s="9" t="str">
        <x:v>1. 平台管理员账号可用
2. 当前编辑表单的其他必填字段有效</x:v>
      </x:c>
      <x:c r="J420" s="9" t="str">
        <x:v>1. 打开门票价格档位编辑
2. 输入排序为1
3. 点击保存</x:v>
      </x:c>
      <x:c r="K420" s="9" t="str">
        <x:v>排序为1时通过数值校验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来源（当前证据）：liveshow-proto/MainBasis/统一需求文档.md；位置：第3043行、第3047行 REQ-498b2f58533c、第3049行 REQ-ea95fe209223
2. 规则：BR-eaad249907992577
3. 未动态验证</x:v>
      </x:c>
    </x:row>
    <x:row r="421" ht="115" customHeight="1">
      <x:c r="A421" s="10" t="n">
        <x:v>420</x:v>
      </x:c>
      <x:c r="B421" s="10" t="str">
        <x:v>ADMIN-07-0155</x:v>
      </x:c>
      <x:c r="C421" s="10" t="str">
        <x:v>运营配置</x:v>
      </x:c>
      <x:c r="D421" s="10" t="str">
        <x:v>门票价格档位编辑</x:v>
      </x:c>
      <x:c r="E421" s="10" t="str">
        <x:v>功能需求</x:v>
      </x:c>
      <x:c r="F421" s="10" t="str">
        <x:v>P1</x:v>
      </x:c>
      <x:c r="G421" s="9" t="str">
        <x:v>验证门票价格重复</x:v>
      </x:c>
      <x:c r="H421" s="9" t="str">
        <x:v>门票价格唯一性</x:v>
      </x:c>
      <x:c r="I421" s="9" t="str">
        <x:v>1. 平台管理员账号可用
2. 平台已有100金币档位</x:v>
      </x:c>
      <x:c r="J421" s="9" t="str">
        <x:v>1. 打开门票价格档位编辑
2. 输入门票价格为100
3. 点击保存</x:v>
      </x:c>
      <x:c r="K421" s="9" t="str">
        <x:v>重复价格不能保存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来源（当前证据）：liveshow-proto/MainBasis/统一需求文档.md；位置：第3043行、第3045行 REQ-ca00aa6fe9cf、第3046行 REQ-de186d221f4a、第3048行 REQ-c7752bf5571a、第3049行 REQ-ea95fe209223
2. 规则：BR-e10bf6c3b2a0b8dd
3. 未动态验证</x:v>
      </x:c>
    </x:row>
    <x:row r="422" ht="115" customHeight="1">
      <x:c r="A422" s="10" t="n">
        <x:v>421</x:v>
      </x:c>
      <x:c r="B422" s="10" t="str">
        <x:v>ADMIN-07-0156</x:v>
      </x:c>
      <x:c r="C422" s="10" t="str">
        <x:v>运营配置</x:v>
      </x:c>
      <x:c r="D422" s="10" t="str">
        <x:v>门票价格档位编辑</x:v>
      </x:c>
      <x:c r="E422" s="10" t="str">
        <x:v>功能需求</x:v>
      </x:c>
      <x:c r="F422" s="10" t="str">
        <x:v>P1</x:v>
      </x:c>
      <x:c r="G422" s="9" t="str">
        <x:v>验证编辑最后档位为停用</x:v>
      </x:c>
      <x:c r="H422" s="9" t="str">
        <x:v>详情最低启用数量</x:v>
      </x:c>
      <x:c r="I422" s="9" t="str">
        <x:v>1. 平台管理员账号可用
2. 当前为唯一启用档位</x:v>
      </x:c>
      <x:c r="J422" s="9" t="str">
        <x:v>1. 打开门票价格档位编辑
2. 选择停用状态
3. 点击保存</x:v>
      </x:c>
      <x:c r="K422" s="9" t="str">
        <x:v>不能将最后启用档位保存为停用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来源（当前证据）：liveshow-proto/MainBasis/统一需求文档.md；位置：第3043行、第3045行 REQ-ca00aa6fe9cf、第3046行 REQ-de186d221f4a、第3048行 REQ-c7752bf5571a、第3049行 REQ-ea95fe209223
2. 规则：BR-368ab38870574853
3. 未动态验证</x:v>
      </x:c>
    </x:row>
    <x:row r="423" ht="115" customHeight="1">
      <x:c r="A423" s="10" t="n">
        <x:v>422</x:v>
      </x:c>
      <x:c r="B423" s="10" t="str">
        <x:v>ADMIN-07-0157</x:v>
      </x:c>
      <x:c r="C423" s="10" t="str">
        <x:v>运营配置</x:v>
      </x:c>
      <x:c r="D423" s="10" t="str">
        <x:v>门票价格档位编辑</x:v>
      </x:c>
      <x:c r="E423" s="10" t="str">
        <x:v>功能需求</x:v>
      </x:c>
      <x:c r="F423" s="10" t="str">
        <x:v>P1</x:v>
      </x:c>
      <x:c r="G423" s="9" t="str">
        <x:v>验证门票档位ID只读</x:v>
      </x:c>
      <x:c r="H423" s="9" t="str">
        <x:v>门票档位ID保持</x:v>
      </x:c>
      <x:c r="I423" s="9" t="str">
        <x:v>1. 平台管理员账号可用
2. 正在编辑已有档位</x:v>
      </x:c>
      <x:c r="J423" s="9" t="str">
        <x:v>1. 打开门票价格档位编辑</x:v>
      </x:c>
      <x:c r="K423" s="9" t="str">
        <x:v>档位ID不可编辑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来源（当前证据）：liveshow-proto/MainBasis/统一需求文档.md；位置：第3043行、第3045行 REQ-ca00aa6fe9cf、第3046行 REQ-de186d221f4a、第3048行 REQ-c7752bf5571a、第3049行 REQ-ea95fe209223
2. 规则：BR-4cecc042a3933d82
3. 未动态验证</x:v>
      </x:c>
    </x:row>
    <x:row r="424" ht="115" customHeight="1">
      <x:c r="A424" s="10" t="n">
        <x:v>423</x:v>
      </x:c>
      <x:c r="B424" s="10" t="str">
        <x:v>ADMIN-07-0158</x:v>
      </x:c>
      <x:c r="C424" s="10" t="str">
        <x:v>运营配置</x:v>
      </x:c>
      <x:c r="D424" s="10" t="str">
        <x:v>门票价格档位</x:v>
      </x:c>
      <x:c r="E424" s="10" t="str">
        <x:v>功能需求</x:v>
      </x:c>
      <x:c r="F424" s="10" t="str">
        <x:v>P1</x:v>
      </x:c>
      <x:c r="G424" s="9" t="str">
        <x:v>验证最后一个启用档位保护</x:v>
      </x:c>
      <x:c r="H424" s="9" t="str">
        <x:v>门票档位最低保留</x:v>
      </x:c>
      <x:c r="I424" s="9" t="str">
        <x:v>1. 平台管理员账号可用
2. 仅有1个启用门票档位</x:v>
      </x:c>
      <x:c r="J424" s="9" t="str">
        <x:v>1. 打开门票价格档位
2. 点击停用该档位</x:v>
      </x:c>
      <x:c r="K424" s="9" t="str">
        <x:v>最后1个启用档位不能停用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来源（当前证据）：liveshow-proto/MainBasis/统一需求文档.md；位置：第3033行、第3037行 REQ-2993b51cd24d、第3038行 REQ-71028bd5e006、第3040行 REQ-f9a33c640318
2. 规则：BR-a095a371be03640a
3. 未动态验证</x:v>
      </x:c>
    </x:row>
    <x:row r="425" ht="115" customHeight="1">
      <x:c r="A425" s="10" t="n">
        <x:v>424</x:v>
      </x:c>
      <x:c r="B425" s="10" t="str">
        <x:v>ADMIN-07-0159</x:v>
      </x:c>
      <x:c r="C425" s="10" t="str">
        <x:v>运营配置</x:v>
      </x:c>
      <x:c r="D425" s="10" t="str">
        <x:v>门票价格档位</x:v>
      </x:c>
      <x:c r="E425" s="10" t="str">
        <x:v>功能需求</x:v>
      </x:c>
      <x:c r="F425" s="10" t="str">
        <x:v>P1</x:v>
      </x:c>
      <x:c r="G425" s="9" t="str">
        <x:v>验证多个档位停用一个</x:v>
      </x:c>
      <x:c r="H425" s="9" t="str">
        <x:v>门票档位停用</x:v>
      </x:c>
      <x:c r="I425" s="9" t="str">
        <x:v>1. 平台管理员账号可用
2. 当前有2个启用档位</x:v>
      </x:c>
      <x:c r="J425" s="9" t="str">
        <x:v>1. 打开门票价格档位
2. 点击停用其中一个
3. 确认停用</x:v>
      </x:c>
      <x:c r="K425" s="9" t="str">
        <x:v>所选档位显示停用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来源（当前证据）：liveshow-proto/MainBasis/统一需求文档.md；位置：第3033行、第3037行 REQ-2993b51cd24d、第3038行 REQ-71028bd5e006、第3040行 REQ-f9a33c640318
2. 规则：BR-75412a57425bdbc9
3. 未动态验证</x:v>
      </x:c>
    </x:row>
    <x:row r="426" ht="115" customHeight="1">
      <x:c r="A426" s="10" t="n">
        <x:v>425</x:v>
      </x:c>
      <x:c r="B426" s="10" t="str">
        <x:v>ADMIN-07-0160</x:v>
      </x:c>
      <x:c r="C426" s="10" t="str">
        <x:v>运营配置</x:v>
      </x:c>
      <x:c r="D426" s="10" t="str">
        <x:v>门票价格档位</x:v>
      </x:c>
      <x:c r="E426" s="10" t="str">
        <x:v>功能需求</x:v>
      </x:c>
      <x:c r="F426" s="10" t="str">
        <x:v>P1</x:v>
      </x:c>
      <x:c r="G426" s="9" t="str">
        <x:v>验证档位排序数字越小在前</x:v>
      </x:c>
      <x:c r="H426" s="9" t="str">
        <x:v>门票价格排序方向</x:v>
      </x:c>
      <x:c r="I426" s="9" t="str">
        <x:v>1. 平台管理员账号可用
2. 两个档位排序分别1和2</x:v>
      </x:c>
      <x:c r="J426" s="9" t="str">
        <x:v>1. 打开门票价格档位</x:v>
      </x:c>
      <x:c r="K426" s="9" t="str">
        <x:v>排序1的档位排列在排序2之前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来源（当前证据）：liveshow-proto/MainBasis/统一需求文档.md；位置：第3033行、第3037行 REQ-2993b51cd24d、第3038行 REQ-71028bd5e006、第3040行 REQ-f9a33c640318
2. 规则：BR-556089449cc646e9
3. 未动态验证</x:v>
      </x:c>
    </x:row>
    <x:row r="427" ht="85" customHeight="1">
      <x:c r="A427" s="10" t="n">
        <x:v>426</x:v>
      </x:c>
      <x:c r="B427" s="10" t="str">
        <x:v>ADMIN-07-0161</x:v>
      </x:c>
      <x:c r="C427" s="10" t="str">
        <x:v>运营配置</x:v>
      </x:c>
      <x:c r="D427" s="10" t="str">
        <x:v>门票价格档位</x:v>
      </x:c>
      <x:c r="E427" s="10" t="str">
        <x:v>功能需求</x:v>
      </x:c>
      <x:c r="F427" s="10" t="str">
        <x:v>P1</x:v>
      </x:c>
      <x:c r="G427" s="9" t="str">
        <x:v>验证不同门票档位编号</x:v>
      </x:c>
      <x:c r="H427" s="9" t="str">
        <x:v>门票档位ID唯一性</x:v>
      </x:c>
      <x:c r="I427" s="9" t="str">
        <x:v>1. 平台管理员账号可用
2. 已创建两个不同价格档位</x:v>
      </x:c>
      <x:c r="J427" s="9" t="str">
        <x:v>1. 打开门票价格档位</x:v>
      </x:c>
      <x:c r="K427" s="9" t="str">
        <x:v>两个档位ID不同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来源（当前证据）：liveshow-proto/MainBasis/统一需求文档.md；位置：第3033行、第3035行 REQ-b5fe3b90da8c
2. 规则：BR-50d06ca716b42248
3. 未动态验证</x:v>
      </x:c>
    </x:row>
    <x:row r="428" ht="100" customHeight="1">
      <x:c r="A428" s="10" t="n">
        <x:v>427</x:v>
      </x:c>
      <x:c r="B428" s="10" t="str">
        <x:v>ADMIN-08-0001</x:v>
      </x:c>
      <x:c r="C428" s="10" t="str">
        <x:v>订单管理</x:v>
      </x:c>
      <x:c r="D428" s="10" t="str">
        <x:v>消费订单详情</x:v>
      </x:c>
      <x:c r="E428" s="10" t="str">
        <x:v>功能需求</x:v>
      </x:c>
      <x:c r="F428" s="10" t="str">
        <x:v>P1</x:v>
      </x:c>
      <x:c r="G428" s="9" t="str">
        <x:v>验证消费订单不可退款</x:v>
      </x:c>
      <x:c r="H428" s="9" t="str">
        <x:v>消费退款入口限制</x:v>
      </x:c>
      <x:c r="I428" s="9" t="str">
        <x:v>1. 平台管理员账号可用
2. 所选礼物或门票消费已成功</x:v>
      </x:c>
      <x:c r="J428" s="9" t="str">
        <x:v>1. 打开消费订单详情</x:v>
      </x:c>
      <x:c r="K428" s="9" t="str">
        <x:v>不提供消费退款操作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来源（当前证据）：liveshow-proto/MainBasis/统一需求文档.md；位置：第3113行、第3121行 REQ-8d2e4d06ac40、第3122行 REQ-6a1fb3fe1f22
2. 规则：BR-96f00759748a3067
3. 未动态验证</x:v>
      </x:c>
    </x:row>
    <x:row r="429" ht="100" customHeight="1">
      <x:c r="A429" s="10" t="n">
        <x:v>428</x:v>
      </x:c>
      <x:c r="B429" s="10" t="str">
        <x:v>ADMIN-08-0002</x:v>
      </x:c>
      <x:c r="C429" s="10" t="str">
        <x:v>订单管理</x:v>
      </x:c>
      <x:c r="D429" s="10" t="str">
        <x:v>消费订单详情</x:v>
      </x:c>
      <x:c r="E429" s="10" t="str">
        <x:v>功能需求</x:v>
      </x:c>
      <x:c r="F429" s="10" t="str">
        <x:v>P1</x:v>
      </x:c>
      <x:c r="G429" s="9" t="str">
        <x:v>验证消费订单详情读取消费快照</x:v>
      </x:c>
      <x:c r="H429" s="9" t="str">
        <x:v>消费快照字段来源</x:v>
      </x:c>
      <x:c r="I429" s="9" t="str">
        <x:v>1. 平台管理员账号可用
2. 已知购买时价格、数量、主播、公会及场次，商品之后改价</x:v>
      </x:c>
      <x:c r="J429" s="9" t="str">
        <x:v>1. 打开消费订单详情</x:v>
      </x:c>
      <x:c r="K429" s="9" t="str">
        <x:v>详情仍采用消费发生时商品与去向快照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来源（当前证据）：liveshow-proto/MainBasis/统一需求文档.md；位置：第3113行、第3115行 REQ-9f3617171eac、第3120行 REQ-88567f103f20
2. 规则：BR-a1eb231c970c16bc
3. 未动态验证</x:v>
      </x:c>
    </x:row>
    <x:row r="430" ht="85" customHeight="1">
      <x:c r="A430" s="10" t="n">
        <x:v>429</x:v>
      </x:c>
      <x:c r="B430" s="10" t="str">
        <x:v>ADMIN-08-0003</x:v>
      </x:c>
      <x:c r="C430" s="10" t="str">
        <x:v>订单管理</x:v>
      </x:c>
      <x:c r="D430" s="10" t="str">
        <x:v>消费订单详情</x:v>
      </x:c>
      <x:c r="E430" s="10" t="str">
        <x:v>逻辑校验</x:v>
      </x:c>
      <x:c r="F430" s="10" t="str">
        <x:v>P1</x:v>
      </x:c>
      <x:c r="G430" s="9" t="str">
        <x:v>验证普通消费扣减金币</x:v>
      </x:c>
      <x:c r="H430" s="9" t="str">
        <x:v>消费价格计算</x:v>
      </x:c>
      <x:c r="I430" s="9" t="str">
        <x:v>1. 平台管理员账号可用
2. 成功普通礼物订单单价10金币，数量3件</x:v>
      </x:c>
      <x:c r="J430" s="9" t="str">
        <x:v>1. 打开消费订单详情</x:v>
      </x:c>
      <x:c r="K430" s="9" t="str">
        <x:v>计算结果：扣减金币=10×3=30金币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来源（当前证据）：liveshow-proto/MainBasis/统一需求文档.md；位置：第3113行、第3116行 REQ-32cfa21e1600
2. 规则：BR-1f6d2b0761380ab3
3. 未动态验证</x:v>
      </x:c>
    </x:row>
    <x:row r="431" ht="100" customHeight="1">
      <x:c r="A431" s="10" t="n">
        <x:v>430</x:v>
      </x:c>
      <x:c r="B431" s="10" t="str">
        <x:v>ADMIN-08-0004</x:v>
      </x:c>
      <x:c r="C431" s="10" t="str">
        <x:v>订单管理</x:v>
      </x:c>
      <x:c r="D431" s="10" t="str">
        <x:v>消费订单详情</x:v>
      </x:c>
      <x:c r="E431" s="10" t="str">
        <x:v>逻辑校验</x:v>
      </x:c>
      <x:c r="F431" s="10" t="str">
        <x:v>P1</x:v>
      </x:c>
      <x:c r="G431" s="9" t="str">
        <x:v>验证幸运礼物用户净消耗</x:v>
      </x:c>
      <x:c r="H431" s="9" t="str">
        <x:v>幸运消费净额</x:v>
      </x:c>
      <x:c r="I431" s="9" t="str">
        <x:v>1. 平台管理员账号可用
2. 订单扣款100金币，独立开奖结果返奖30金币</x:v>
      </x:c>
      <x:c r="J431" s="9" t="str">
        <x:v>1. 打开消费订单详情</x:v>
      </x:c>
      <x:c r="K431" s="9" t="str">
        <x:v>计算结果：用户净消耗=100-30=70金币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来源（当前证据）：liveshow-proto/MainBasis/统一需求文档.md；位置：第3113行、第3117行 REQ-2d5ab0589ad9、第3118行 REQ-e665eb3315b7
2. 规则：BR-ec34c677a0580012
3. 未动态验证</x:v>
      </x:c>
    </x:row>
    <x:row r="432" ht="85" customHeight="1">
      <x:c r="A432" s="10" t="n">
        <x:v>431</x:v>
      </x:c>
      <x:c r="B432" s="10" t="str">
        <x:v>ADMIN-08-0005</x:v>
      </x:c>
      <x:c r="C432" s="10" t="str">
        <x:v>订单管理</x:v>
      </x:c>
      <x:c r="D432" s="10" t="str">
        <x:v>消费订单详情</x:v>
      </x:c>
      <x:c r="E432" s="10" t="str">
        <x:v>逻辑校验</x:v>
      </x:c>
      <x:c r="F432" s="10" t="str">
        <x:v>P1</x:v>
      </x:c>
      <x:c r="G432" s="9" t="str">
        <x:v>验证幸运礼物主播收益</x:v>
      </x:c>
      <x:c r="H432" s="9" t="str">
        <x:v>主播比例收益</x:v>
      </x:c>
      <x:c r="I432" s="9" t="str">
        <x:v>1. 平台管理员账号可用
2. 幸运礼物价值1000金币，赠送时比例1%，实际返奖500金币</x:v>
      </x:c>
      <x:c r="J432" s="9" t="str">
        <x:v>1. 打开消费订单详情</x:v>
      </x:c>
      <x:c r="K432" s="9" t="str">
        <x:v>计算结果：主播收益=1000×0.01=10金币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来源（当前证据）：liveshow-proto/MainBasis/统一需求文档.md；位置：第3113行、第3119行 REQ-8c5a8dc8cf15
2. 规则：BR-131f2b525a77583f
3. 未动态验证</x:v>
      </x:c>
    </x:row>
    <x:row r="433" ht="85" customHeight="1">
      <x:c r="A433" s="10" t="n">
        <x:v>432</x:v>
      </x:c>
      <x:c r="B433" s="10" t="str">
        <x:v>ADMIN-08-0006</x:v>
      </x:c>
      <x:c r="C433" s="10" t="str">
        <x:v>订单管理</x:v>
      </x:c>
      <x:c r="D433" s="10" t="str">
        <x:v>消费订单</x:v>
      </x:c>
      <x:c r="E433" s="10" t="str">
        <x:v>功能需求</x:v>
      </x:c>
      <x:c r="F433" s="10" t="str">
        <x:v>P1</x:v>
      </x:c>
      <x:c r="G433" s="9" t="str">
        <x:v>验证订单查询条件交集</x:v>
      </x:c>
      <x:c r="H433" s="9" t="str">
        <x:v>订单复合筛选</x:v>
      </x:c>
      <x:c r="I433" s="9" t="str">
        <x:v>1. 平台管理员账号可用
2. 目标用户指定时间内1笔，其他用户同时间及目标用户范围外各1笔</x:v>
      </x:c>
      <x:c r="J433" s="9" t="str">
        <x:v>1. 打开消费订单
2. 选择目标用户与指定时间范围
3. 点击查询</x:v>
      </x:c>
      <x:c r="K433" s="9" t="str">
        <x:v>仅返回同时符合用户和时间的1笔订单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来源（当前证据）：liveshow-proto/MainBasis/统一需求文档.md；位置：第3100行、第3110行 REQ-e73bc1482a71
2. 规则：BR-694f636e14b50ea3
3. 未动态验证</x:v>
      </x:c>
    </x:row>
    <x:row r="434" ht="85" customHeight="1">
      <x:c r="A434" s="10" t="n">
        <x:v>433</x:v>
      </x:c>
      <x:c r="B434" s="10" t="str">
        <x:v>ADMIN-08-0007</x:v>
      </x:c>
      <x:c r="C434" s="10" t="str">
        <x:v>订单管理</x:v>
      </x:c>
      <x:c r="D434" s="10" t="str">
        <x:v>消费订单</x:v>
      </x:c>
      <x:c r="E434" s="10" t="str">
        <x:v>功能需求</x:v>
      </x:c>
      <x:c r="F434" s="10" t="str">
        <x:v>P1</x:v>
      </x:c>
      <x:c r="G434" s="9" t="str">
        <x:v>验证导出已筛选订单</x:v>
      </x:c>
      <x:c r="H434" s="9" t="str">
        <x:v>订单导出范围</x:v>
      </x:c>
      <x:c r="I434" s="9" t="str">
        <x:v>1. 平台管理员账号可用
2. 当前筛选结果2笔，另有范围外订单</x:v>
      </x:c>
      <x:c r="J434" s="9" t="str">
        <x:v>1. 打开消费订单
2. 点击导出</x:v>
      </x:c>
      <x:c r="K434" s="9" t="str">
        <x:v>导出仅包含当前2笔订单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来源（当前证据）：liveshow-proto/MainBasis/统一需求文档.md；位置：第3100行、第3110行 REQ-e73bc1482a71
2. 规则：BR-8781b5f7e8994ad0
3. 未动态验证</x:v>
      </x:c>
    </x:row>
    <x:row r="435" ht="85" customHeight="1">
      <x:c r="A435" s="10" t="n">
        <x:v>434</x:v>
      </x:c>
      <x:c r="B435" s="10" t="str">
        <x:v>ADMIN-08-0008</x:v>
      </x:c>
      <x:c r="C435" s="10" t="str">
        <x:v>订单管理</x:v>
      </x:c>
      <x:c r="D435" s="10" t="str">
        <x:v>消费订单</x:v>
      </x:c>
      <x:c r="E435" s="10" t="str">
        <x:v>功能需求</x:v>
      </x:c>
      <x:c r="F435" s="10" t="str">
        <x:v>P1</x:v>
      </x:c>
      <x:c r="G435" s="9" t="str">
        <x:v>验证查看订单明细</x:v>
      </x:c>
      <x:c r="H435" s="9" t="str">
        <x:v>订单详情定位</x:v>
      </x:c>
      <x:c r="I435" s="9" t="str">
        <x:v>1. 平台管理员账号可用
2. 当前有多笔订单</x:v>
      </x:c>
      <x:c r="J435" s="9" t="str">
        <x:v>1. 打开消费订单
2. 点击其中一笔订单详情</x:v>
      </x:c>
      <x:c r="K435" s="9" t="str">
        <x:v>详情对应所选订单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来源（当前证据）：liveshow-proto/MainBasis/统一需求文档.md；位置：第3100行、第3110行 REQ-e73bc1482a71
2. 规则：BR-9b9ad0d3425881ae
3. 未动态验证</x:v>
      </x:c>
    </x:row>
    <x:row r="436" ht="100" customHeight="1">
      <x:c r="A436" s="10" t="n">
        <x:v>435</x:v>
      </x:c>
      <x:c r="B436" s="10" t="str">
        <x:v>ADMIN-08-0009</x:v>
      </x:c>
      <x:c r="C436" s="10" t="str">
        <x:v>订单管理</x:v>
      </x:c>
      <x:c r="D436" s="10" t="str">
        <x:v>消费订单</x:v>
      </x:c>
      <x:c r="E436" s="10" t="str">
        <x:v>功能需求</x:v>
      </x:c>
      <x:c r="F436" s="10" t="str">
        <x:v>P1</x:v>
      </x:c>
      <x:c r="G436" s="9" t="str">
        <x:v>验证消费订单不可退款</x:v>
      </x:c>
      <x:c r="H436" s="9" t="str">
        <x:v>消费退款入口限制</x:v>
      </x:c>
      <x:c r="I436" s="9" t="str">
        <x:v>1. 平台管理员账号可用
2. 所选礼物或门票消费已成功</x:v>
      </x:c>
      <x:c r="J436" s="9" t="str">
        <x:v>1. 打开消费订单</x:v>
      </x:c>
      <x:c r="K436" s="9" t="str">
        <x:v>不提供消费退款操作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来源（当前证据）：liveshow-proto/MainBasis/统一需求文档.md；位置：第3100行、第3106行 REQ-d4f480f23cac、第3109行 REQ-290d7b832404
2. 规则：BR-23cf7b52dc648e66
3. 未动态验证</x:v>
      </x:c>
    </x:row>
    <x:row r="437" ht="85" customHeight="1">
      <x:c r="A437" s="10" t="n">
        <x:v>436</x:v>
      </x:c>
      <x:c r="B437" s="10" t="str">
        <x:v>ADMIN-08-0010</x:v>
      </x:c>
      <x:c r="C437" s="10" t="str">
        <x:v>订单管理</x:v>
      </x:c>
      <x:c r="D437" s="10" t="str">
        <x:v>消费订单</x:v>
      </x:c>
      <x:c r="E437" s="10" t="str">
        <x:v>逻辑校验</x:v>
      </x:c>
      <x:c r="F437" s="10" t="str">
        <x:v>P1</x:v>
      </x:c>
      <x:c r="G437" s="9" t="str">
        <x:v>验证消费金币数值核算</x:v>
      </x:c>
      <x:c r="H437" s="9" t="str">
        <x:v>消费金币计算口径</x:v>
      </x:c>
      <x:c r="I437" s="9" t="str">
        <x:v>1. 平台管理员账号可用
2. 订单赠送时单价10金币、成功数量3件，当前配置价已改为20</x:v>
      </x:c>
      <x:c r="J437" s="9" t="str">
        <x:v>1. 打开消费订单</x:v>
      </x:c>
      <x:c r="K437" s="9" t="str">
        <x:v>消费金币计算结果=30金币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来源（当前证据）：liveshow-proto/MainBasis/统一需求文档.md；位置：第3100行、第3104行 REQ-ce5a3ea958dd
2. 规则：BR-5cbe69c696f487db
3. 未动态验证</x:v>
      </x:c>
    </x:row>
    <x:row r="438" ht="85" customHeight="1">
      <x:c r="A438" s="10" t="n">
        <x:v>437</x:v>
      </x:c>
      <x:c r="B438" s="10" t="str">
        <x:v>ADMIN-08-0011</x:v>
      </x:c>
      <x:c r="C438" s="10" t="str">
        <x:v>订单管理</x:v>
      </x:c>
      <x:c r="D438" s="10" t="str">
        <x:v>消费订单</x:v>
      </x:c>
      <x:c r="E438" s="10" t="str">
        <x:v>逻辑校验</x:v>
      </x:c>
      <x:c r="F438" s="10" t="str">
        <x:v>P1</x:v>
      </x:c>
      <x:c r="G438" s="9" t="str">
        <x:v>验证用户净消耗数值核算</x:v>
      </x:c>
      <x:c r="H438" s="9" t="str">
        <x:v>用户净消耗计算口径</x:v>
      </x:c>
      <x:c r="I438" s="9" t="str">
        <x:v>1. 平台管理员账号可用
2. 当前幸运订单扣款100金币、返奖30金币</x:v>
      </x:c>
      <x:c r="J438" s="9" t="str">
        <x:v>1. 打开消费订单</x:v>
      </x:c>
      <x:c r="K438" s="9" t="str">
        <x:v>用户净消耗计算结果=70金币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来源（当前证据）：liveshow-proto/MainBasis/统一需求文档.md；位置：第3100行、第3105行 REQ-1c89bea50533
2. 规则：BR-40ddcabcf7fc42e1
3. 未动态验证</x:v>
      </x:c>
    </x:row>
    <x:row r="439" ht="85" customHeight="1">
      <x:c r="A439" s="10" t="n">
        <x:v>438</x:v>
      </x:c>
      <x:c r="B439" s="10" t="str">
        <x:v>ADMIN-08-0012</x:v>
      </x:c>
      <x:c r="C439" s="10" t="str">
        <x:v>订单管理</x:v>
      </x:c>
      <x:c r="D439" s="10" t="str">
        <x:v>消费订单</x:v>
      </x:c>
      <x:c r="E439" s="10" t="str">
        <x:v>功能需求</x:v>
      </x:c>
      <x:c r="F439" s="10" t="str">
        <x:v>P1</x:v>
      </x:c>
      <x:c r="G439" s="9" t="str">
        <x:v>验证四类成功消费查询</x:v>
      </x:c>
      <x:c r="H439" s="9" t="str">
        <x:v>订单消费类型</x:v>
      </x:c>
      <x:c r="I439" s="9" t="str">
        <x:v>1. 平台管理员账号可用
2. 普通、定制、幸运礼物和门票各有成功订单</x:v>
      </x:c>
      <x:c r="J439" s="9" t="str">
        <x:v>1. 打开消费订单</x:v>
      </x:c>
      <x:c r="K439" s="9" t="str">
        <x:v>每笔订单消费类型与实际业务一致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来源（当前证据）：liveshow-proto/MainBasis/统一需求文档.md；位置：第3100行、第3102行 REQ-dc9baeddde27
2. 规则：BR-c2d2a38777567902
3. 未动态验证</x:v>
      </x:c>
    </x:row>
    <x:row r="440" ht="85" customHeight="1">
      <x:c r="A440" s="10" t="n">
        <x:v>439</x:v>
      </x:c>
      <x:c r="B440" s="10" t="str">
        <x:v>ADMIN-08-0013</x:v>
      </x:c>
      <x:c r="C440" s="10" t="str">
        <x:v>订单管理</x:v>
      </x:c>
      <x:c r="D440" s="10" t="str">
        <x:v>消费订单</x:v>
      </x:c>
      <x:c r="E440" s="10" t="str">
        <x:v>功能需求</x:v>
      </x:c>
      <x:c r="F440" s="10" t="str">
        <x:v>P1</x:v>
      </x:c>
      <x:c r="G440" s="9" t="str">
        <x:v>验证连送按件数累计</x:v>
      </x:c>
      <x:c r="H440" s="9" t="str">
        <x:v>订单赠送份数</x:v>
      </x:c>
      <x:c r="I440" s="9" t="str">
        <x:v>1. 平台管理员账号可用
2. 一笔成功连送包含3件礼物</x:v>
      </x:c>
      <x:c r="J440" s="9" t="str">
        <x:v>1. 打开消费订单</x:v>
      </x:c>
      <x:c r="K440" s="9" t="str">
        <x:v>数量显示3件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来源（当前证据）：liveshow-proto/MainBasis/统一需求文档.md；位置：第3100行、第3103行 REQ-fa2f2cd06047
2. 规则：BR-7b9e419d4a30bdce
3. 未动态验证</x:v>
      </x:c>
    </x:row>
    <x:row r="441" ht="85" customHeight="1">
      <x:c r="A441" s="10" t="n">
        <x:v>440</x:v>
      </x:c>
      <x:c r="B441" s="10" t="str">
        <x:v>ADMIN-08-0014</x:v>
      </x:c>
      <x:c r="C441" s="10" t="str">
        <x:v>订单管理</x:v>
      </x:c>
      <x:c r="D441" s="10" t="str">
        <x:v>消费订单</x:v>
      </x:c>
      <x:c r="E441" s="10" t="str">
        <x:v>功能需求</x:v>
      </x:c>
      <x:c r="F441" s="10" t="str">
        <x:v>P1</x:v>
      </x:c>
      <x:c r="G441" s="9" t="str">
        <x:v>验证接收主播与支付用户不同</x:v>
      </x:c>
      <x:c r="H441" s="9" t="str">
        <x:v>消费归属主播</x:v>
      </x:c>
      <x:c r="I441" s="9" t="str">
        <x:v>1. 平台管理员账号可用
2. 用户甲向主播乙赠礼，已知双方ID</x:v>
      </x:c>
      <x:c r="J441" s="9" t="str">
        <x:v>1. 打开消费订单</x:v>
      </x:c>
      <x:c r="K441" s="9" t="str">
        <x:v>主播信息对应接收礼物的主播乙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来源（当前证据）：liveshow-proto/MainBasis/统一需求文档.md；位置：第3100行、第3107行 REQ-c53594bd8972
2. 规则：BR-1a169cba9a74b8d5
3. 未动态验证</x:v>
      </x:c>
    </x:row>
    <x:row r="442" ht="85" customHeight="1">
      <x:c r="A442" s="10" t="n">
        <x:v>441</x:v>
      </x:c>
      <x:c r="B442" s="10" t="str">
        <x:v>ADMIN-08-0015</x:v>
      </x:c>
      <x:c r="C442" s="10" t="str">
        <x:v>订单管理</x:v>
      </x:c>
      <x:c r="D442" s="10" t="str">
        <x:v>消费订单</x:v>
      </x:c>
      <x:c r="E442" s="10" t="str">
        <x:v>功能需求</x:v>
      </x:c>
      <x:c r="F442" s="10" t="str">
        <x:v>P1</x:v>
      </x:c>
      <x:c r="G442" s="9" t="str">
        <x:v>验证余额不足的消费结果</x:v>
      </x:c>
      <x:c r="H442" s="9" t="str">
        <x:v>失败消费订单隔离</x:v>
      </x:c>
      <x:c r="I442" s="9" t="str">
        <x:v>1. 平台管理员账号可用
2. 用户余额不足的赠礼请求已失败</x:v>
      </x:c>
      <x:c r="J442" s="9" t="str">
        <x:v>1. 打开消费订单</x:v>
      </x:c>
      <x:c r="K442" s="9" t="str">
        <x:v>列表不出现该请求的成功消费订单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来源（当前证据）：liveshow-proto/MainBasis/统一需求文档.md；位置：第3100行、第3108行 REQ-ad02ff530d39
2. 规则：BR-7bc399d22da04b4b
3. 未动态验证</x:v>
      </x:c>
    </x:row>
    <x:row r="443" ht="145" customHeight="1">
      <x:c r="A443" s="10" t="n">
        <x:v>442</x:v>
      </x:c>
      <x:c r="B443" s="10" t="str">
        <x:v>ADMIN-08-0016</x:v>
      </x:c>
      <x:c r="C443" s="10" t="str">
        <x:v>订单管理</x:v>
      </x:c>
      <x:c r="D443" s="10" t="str">
        <x:v>充值订单详情</x:v>
      </x:c>
      <x:c r="E443" s="10" t="str">
        <x:v>功能需求</x:v>
      </x:c>
      <x:c r="F443" s="10" t="str">
        <x:v>P1</x:v>
      </x:c>
      <x:c r="G443" s="9" t="str">
        <x:v>验证完成充值订单退款</x:v>
      </x:c>
      <x:c r="H443" s="9" t="str">
        <x:v>充值全额退款状态</x:v>
      </x:c>
      <x:c r="I443" s="9" t="str">
        <x:v>1. 平台管理员账号可用
2. 订单支付成功且未退款，实付10USD，到账100金币</x:v>
      </x:c>
      <x:c r="J443" s="9" t="str">
        <x:v>1. 打开充值订单详情
2. 点击手动退款
3. 输入原因为用户退款申请
4. 确认退款</x:v>
      </x:c>
      <x:c r="K443" s="9" t="str">
        <x:v>原订单状态显示已退款</x:v>
      </x:c>
      <x:c r="L443" s="10" t="str">
        <x:v>FLOW-RECHARGE</x:v>
      </x:c>
      <x:c r="M443" s="10" t="str">
        <x:v>未测</x:v>
      </x:c>
      <x:c r="N443" s="10" t="str"/>
      <x:c r="O443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规则：BR-ae8be3be646adb73
3. 未动态验证</x:v>
      </x:c>
    </x:row>
    <x:row r="444" ht="145" customHeight="1">
      <x:c r="A444" s="10" t="n">
        <x:v>443</x:v>
      </x:c>
      <x:c r="B444" s="10" t="str">
        <x:v>ADMIN-08-0017</x:v>
      </x:c>
      <x:c r="C444" s="10" t="str">
        <x:v>订单管理</x:v>
      </x:c>
      <x:c r="D444" s="10" t="str">
        <x:v>充值订单详情</x:v>
      </x:c>
      <x:c r="E444" s="10" t="str">
        <x:v>功能需求</x:v>
      </x:c>
      <x:c r="F444" s="10" t="str">
        <x:v>P1</x:v>
      </x:c>
      <x:c r="G444" s="9" t="str">
        <x:v>验证已退款不能再次退</x:v>
      </x:c>
      <x:c r="H444" s="9" t="str">
        <x:v>充值退款幂等</x:v>
      </x:c>
      <x:c r="I444" s="9" t="str">
        <x:v>1. 平台管理员账号可用
2. 订单已完成一次全额退款</x:v>
      </x:c>
      <x:c r="J444" s="9" t="str">
        <x:v>1. 打开充值订单详情</x:v>
      </x:c>
      <x:c r="K444" s="9" t="str">
        <x:v>不提供可执行的再次退款操作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规则：BR-ab4efa26ba9639d2
3. 未动态验证</x:v>
      </x:c>
    </x:row>
    <x:row r="445" ht="145" customHeight="1">
      <x:c r="A445" s="10" t="n">
        <x:v>444</x:v>
      </x:c>
      <x:c r="B445" s="10" t="str">
        <x:v>ADMIN-08-0018</x:v>
      </x:c>
      <x:c r="C445" s="10" t="str">
        <x:v>订单管理</x:v>
      </x:c>
      <x:c r="D445" s="10" t="str">
        <x:v>充值订单详情</x:v>
      </x:c>
      <x:c r="E445" s="10" t="str">
        <x:v>功能需求</x:v>
      </x:c>
      <x:c r="F445" s="10" t="str">
        <x:v>P1</x:v>
      </x:c>
      <x:c r="G445" s="9" t="str">
        <x:v>验证失败订单不能退款</x:v>
      </x:c>
      <x:c r="H445" s="9" t="str">
        <x:v>充值退款来源状态</x:v>
      </x:c>
      <x:c r="I445" s="9" t="str">
        <x:v>1. 平台管理员账号可用
2. 订单未支付成功</x:v>
      </x:c>
      <x:c r="J445" s="9" t="str">
        <x:v>1. 打开充值订单详情</x:v>
      </x:c>
      <x:c r="K445" s="9" t="str">
        <x:v>不提供可执行退款操作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规则：BR-be5e66ebaec89d2a
3. 未动态验证</x:v>
      </x:c>
    </x:row>
    <x:row r="446" ht="145" customHeight="1">
      <x:c r="A446" s="10" t="n">
        <x:v>445</x:v>
      </x:c>
      <x:c r="B446" s="10" t="str">
        <x:v>ADMIN-08-0019</x:v>
      </x:c>
      <x:c r="C446" s="10" t="str">
        <x:v>订单管理</x:v>
      </x:c>
      <x:c r="D446" s="10" t="str">
        <x:v>充值订单详情</x:v>
      </x:c>
      <x:c r="E446" s="10" t="str">
        <x:v>功能需求</x:v>
      </x:c>
      <x:c r="F446" s="10" t="str">
        <x:v>P1</x:v>
      </x:c>
      <x:c r="G446" s="9" t="str">
        <x:v>验证取消退款确认</x:v>
      </x:c>
      <x:c r="H446" s="9" t="str">
        <x:v>退款取消不改订单</x:v>
      </x:c>
      <x:c r="I446" s="9" t="str">
        <x:v>1. 平台管理员账号可用
2. 订单成功且未退</x:v>
      </x:c>
      <x:c r="J446" s="9" t="str">
        <x:v>1. 打开充值订单详情
2. 点击手动退款
3. 输入原因为申请退款
4. 取消确认弹窗</x:v>
      </x:c>
      <x:c r="K446" s="9" t="str">
        <x:v>原订单仍为充值成功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规则：BR-962c66c4935d62fe
3. 未动态验证</x:v>
      </x:c>
    </x:row>
    <x:row r="447" ht="145" customHeight="1">
      <x:c r="A447" s="10" t="n">
        <x:v>446</x:v>
      </x:c>
      <x:c r="B447" s="10" t="str">
        <x:v>ADMIN-08-0020</x:v>
      </x:c>
      <x:c r="C447" s="10" t="str">
        <x:v>订单管理</x:v>
      </x:c>
      <x:c r="D447" s="10" t="str">
        <x:v>充值订单详情</x:v>
      </x:c>
      <x:c r="E447" s="10" t="str">
        <x:v>逻辑校验</x:v>
      </x:c>
      <x:c r="F447" s="10" t="str">
        <x:v>P1</x:v>
      </x:c>
      <x:c r="G447" s="9" t="str">
        <x:v>验证退款后允许负余额</x:v>
      </x:c>
      <x:c r="H447" s="9" t="str">
        <x:v>退款资产负余额</x:v>
      </x:c>
      <x:c r="I447" s="9" t="str">
        <x:v>1. 平台管理员账号可用
2. 退款前余额20金币，原订单基础100和赠送20金币</x:v>
      </x:c>
      <x:c r="J447" s="9" t="str">
        <x:v>1. 打开充值订单详情
2. 点击手动退款
3. 输入原因为申请退款
4. 确认退款</x:v>
      </x:c>
      <x:c r="K447" s="9" t="str">
        <x:v>计算结果：退款后余额=20-120=-100金币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规则：BR-be0cc1dbec4f776e
3. 未动态验证</x:v>
      </x:c>
    </x:row>
    <x:row r="448" ht="145" customHeight="1">
      <x:c r="A448" s="10" t="n">
        <x:v>447</x:v>
      </x:c>
      <x:c r="B448" s="10" t="str">
        <x:v>ADMIN-08-0021</x:v>
      </x:c>
      <x:c r="C448" s="10" t="str">
        <x:v>订单管理</x:v>
      </x:c>
      <x:c r="D448" s="10" t="str">
        <x:v>充值订单详情</x:v>
      </x:c>
      <x:c r="E448" s="10" t="str">
        <x:v>功能需求</x:v>
      </x:c>
      <x:c r="F448" s="10" t="str">
        <x:v>P1</x:v>
      </x:c>
      <x:c r="G448" s="9" t="str">
        <x:v>验证退款不撤销消费</x:v>
      </x:c>
      <x:c r="H448" s="9" t="str">
        <x:v>充值与消费隔离</x:v>
      </x:c>
      <x:c r="I448" s="9" t="str">
        <x:v>1. 平台管理员账号可用
2. 原充值金币已用于成功送礼，订单尚未退</x:v>
      </x:c>
      <x:c r="J448" s="9" t="str">
        <x:v>1. 打开充值订单详情
2. 点击手动退款
3. 输入原因为申请退款
4. 确认退款
5. 打开消费订单</x:v>
      </x:c>
      <x:c r="K448" s="9" t="str">
        <x:v>原成功礼物消费订单仍保留已支付状态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规则：BR-b135eca61871c25f
3. 未动态验证</x:v>
      </x:c>
    </x:row>
    <x:row r="449" ht="85" customHeight="1">
      <x:c r="A449" s="10" t="n">
        <x:v>448</x:v>
      </x:c>
      <x:c r="B449" s="10" t="str">
        <x:v>ADMIN-08-0022</x:v>
      </x:c>
      <x:c r="C449" s="10" t="str">
        <x:v>订单管理</x:v>
      </x:c>
      <x:c r="D449" s="10" t="str">
        <x:v>充值订单详情</x:v>
      </x:c>
      <x:c r="E449" s="10" t="str">
        <x:v>逻辑校验</x:v>
      </x:c>
      <x:c r="F449" s="10" t="str">
        <x:v>P1</x:v>
      </x:c>
      <x:c r="G449" s="9" t="str">
        <x:v>验证总到账金币数值核算</x:v>
      </x:c>
      <x:c r="H449" s="9" t="str">
        <x:v>总到账金币计算口径</x:v>
      </x:c>
      <x:c r="I449" s="9" t="str">
        <x:v>1. 平台管理员账号可用
2. 该订单基础100金币、赠送20金币，已支付成功</x:v>
      </x:c>
      <x:c r="J449" s="9" t="str">
        <x:v>1. 打开充值订单详情</x:v>
      </x:c>
      <x:c r="K449" s="9" t="str">
        <x:v>总到账金币计算结果=120金币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来源（当前证据）：liveshow-proto/MainBasis/统一需求文档.md；位置：第3086行、第3090行 REQ-eeb7b92fa90a
2. 规则：BR-d87a331ff8da5e7a
3. 未动态验证</x:v>
      </x:c>
    </x:row>
    <x:row r="450" ht="115" customHeight="1">
      <x:c r="A450" s="10" t="n">
        <x:v>449</x:v>
      </x:c>
      <x:c r="B450" s="10" t="str">
        <x:v>ADMIN-08-0023</x:v>
      </x:c>
      <x:c r="C450" s="10" t="str">
        <x:v>订单管理</x:v>
      </x:c>
      <x:c r="D450" s="10" t="str">
        <x:v>充值订单详情</x:v>
      </x:c>
      <x:c r="E450" s="10" t="str">
        <x:v>功能需求</x:v>
      </x:c>
      <x:c r="F450" s="10" t="str">
        <x:v>P1</x:v>
      </x:c>
      <x:c r="G450" s="9" t="str">
        <x:v>验证充值订单详情读取充值订单快照：渠道交易号</x:v>
      </x:c>
      <x:c r="H450" s="9" t="str">
        <x:v>渠道交易号</x:v>
      </x:c>
      <x:c r="I450" s="9" t="str">
        <x:v>1. 平台管理员账号可用
2. 已知订单号、渠道交易号、套餐标价及实际支付金额</x:v>
      </x:c>
      <x:c r="J450" s="9" t="str">
        <x:v>1. 打开充值订单详情</x:v>
      </x:c>
      <x:c r="K450" s="9" t="str">
        <x:v>详情渠道交易号等于渠道实际交易号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来源（当前证据）：liveshow-proto/MainBasis/统一需求文档.md；位置：第3086行、第3088行 REQ-0c87fdb74717、第3089行 REQ-2f0d96574cf7、第3093行 REQ-6966dbae4720
2. 规则：BR-e6fb1446ed14edf0
3. 未动态验证</x:v>
      </x:c>
    </x:row>
    <x:row r="451" ht="115" customHeight="1">
      <x:c r="A451" s="10" t="n">
        <x:v>450</x:v>
      </x:c>
      <x:c r="B451" s="10" t="str">
        <x:v>ADMIN-08-0024</x:v>
      </x:c>
      <x:c r="C451" s="10" t="str">
        <x:v>订单管理</x:v>
      </x:c>
      <x:c r="D451" s="10" t="str">
        <x:v>充值订单详情</x:v>
      </x:c>
      <x:c r="E451" s="10" t="str">
        <x:v>功能需求</x:v>
      </x:c>
      <x:c r="F451" s="10" t="str">
        <x:v>P1</x:v>
      </x:c>
      <x:c r="G451" s="9" t="str">
        <x:v>验证充值订单详情读取充值订单快照：实际支付渠道</x:v>
      </x:c>
      <x:c r="H451" s="9" t="str">
        <x:v>实际支付渠道</x:v>
      </x:c>
      <x:c r="I451" s="9" t="str">
        <x:v>1. 平台管理员账号可用
2. 已知订单号、渠道交易号、套餐标价及实际支付金额</x:v>
      </x:c>
      <x:c r="J451" s="9" t="str">
        <x:v>1. 打开充值订单详情</x:v>
      </x:c>
      <x:c r="K451" s="9" t="str">
        <x:v>支付渠道等于订单实际使用渠道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来源（当前证据）：liveshow-proto/MainBasis/统一需求文档.md；位置：第3086行、第3088行 REQ-0c87fdb74717、第3089行 REQ-2f0d96574cf7、第3093行 REQ-6966dbae4720
2. 规则：BR-ead53ce9010385f4
3. 未动态验证</x:v>
      </x:c>
    </x:row>
    <x:row r="452" ht="115" customHeight="1">
      <x:c r="A452" s="10" t="n">
        <x:v>451</x:v>
      </x:c>
      <x:c r="B452" s="10" t="str">
        <x:v>ADMIN-08-0025</x:v>
      </x:c>
      <x:c r="C452" s="10" t="str">
        <x:v>订单管理</x:v>
      </x:c>
      <x:c r="D452" s="10" t="str">
        <x:v>充值订单详情</x:v>
      </x:c>
      <x:c r="E452" s="10" t="str">
        <x:v>功能需求</x:v>
      </x:c>
      <x:c r="F452" s="10" t="str">
        <x:v>P1</x:v>
      </x:c>
      <x:c r="G452" s="9" t="str">
        <x:v>验证充值订单详情读取充值订单快照：实际支付金额</x:v>
      </x:c>
      <x:c r="H452" s="9" t="str">
        <x:v>实际支付金额</x:v>
      </x:c>
      <x:c r="I452" s="9" t="str">
        <x:v>1. 平台管理员账号可用
2. 已知订单号、渠道交易号、套餐标价及实际支付金额</x:v>
      </x:c>
      <x:c r="J452" s="9" t="str">
        <x:v>1. 打开充值订单详情</x:v>
      </x:c>
      <x:c r="K452" s="9" t="str">
        <x:v>金额取自支付成功实付金额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来源（当前证据）：liveshow-proto/MainBasis/统一需求文档.md；位置：第3086行、第3088行 REQ-0c87fdb74717、第3089行 REQ-2f0d96574cf7、第3093行 REQ-6966dbae4720
2. 规则：BR-3c875faa093f784f
3. 未动态验证</x:v>
      </x:c>
    </x:row>
    <x:row r="453" ht="145" customHeight="1">
      <x:c r="A453" s="10" t="n">
        <x:v>452</x:v>
      </x:c>
      <x:c r="B453" s="10" t="str">
        <x:v>ADMIN-08-0026</x:v>
      </x:c>
      <x:c r="C453" s="10" t="str">
        <x:v>订单管理</x:v>
      </x:c>
      <x:c r="D453" s="10" t="str">
        <x:v>充值订单详情</x:v>
      </x:c>
      <x:c r="E453" s="10" t="str">
        <x:v>功能需求</x:v>
      </x:c>
      <x:c r="F453" s="10" t="str">
        <x:v>P1</x:v>
      </x:c>
      <x:c r="G453" s="9" t="str">
        <x:v>验证仅允许全额退款：退款金额快照</x:v>
      </x:c>
      <x:c r="H453" s="9" t="str">
        <x:v>退款金额快照</x:v>
      </x:c>
      <x:c r="I453" s="9" t="str">
        <x:v>1. 平台管理员账号可用
2. 成功未退订单实付10USD</x:v>
      </x:c>
      <x:c r="J453" s="9" t="str">
        <x:v>1. 打开充值订单详情
2. 点击手动退款</x:v>
      </x:c>
      <x:c r="K453" s="9" t="str">
        <x:v>退款金额固定为原实付10USD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规则：BR-9e1eb502737e56bc
3. 未动态验证</x:v>
      </x:c>
    </x:row>
    <x:row r="454" ht="145" customHeight="1">
      <x:c r="A454" s="10" t="n">
        <x:v>453</x:v>
      </x:c>
      <x:c r="B454" s="10" t="str">
        <x:v>ADMIN-08-0027</x:v>
      </x:c>
      <x:c r="C454" s="10" t="str">
        <x:v>订单管理</x:v>
      </x:c>
      <x:c r="D454" s="10" t="str">
        <x:v>充值订单详情</x:v>
      </x:c>
      <x:c r="E454" s="10" t="str">
        <x:v>功能需求</x:v>
      </x:c>
      <x:c r="F454" s="10" t="str">
        <x:v>P1</x:v>
      </x:c>
      <x:c r="G454" s="9" t="str">
        <x:v>验证仅允许全额退款：部分退款入口限制</x:v>
      </x:c>
      <x:c r="H454" s="9" t="str">
        <x:v>部分退款入口限制</x:v>
      </x:c>
      <x:c r="I454" s="9" t="str">
        <x:v>1. 平台管理员账号可用
2. 成功未退订单实付10USD</x:v>
      </x:c>
      <x:c r="J454" s="9" t="str">
        <x:v>1. 打开充值订单详情
2. 点击手动退款</x:v>
      </x:c>
      <x:c r="K454" s="9" t="str">
        <x:v>不提供部分退款金额输入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规则：BR-86ddcab9b2ac2a56
3. 未动态验证</x:v>
      </x:c>
    </x:row>
    <x:row r="455" ht="85" customHeight="1">
      <x:c r="A455" s="10" t="n">
        <x:v>454</x:v>
      </x:c>
      <x:c r="B455" s="10" t="str">
        <x:v>ADMIN-08-0028</x:v>
      </x:c>
      <x:c r="C455" s="10" t="str">
        <x:v>订单管理</x:v>
      </x:c>
      <x:c r="D455" s="10" t="str">
        <x:v>充值订单</x:v>
      </x:c>
      <x:c r="E455" s="10" t="str">
        <x:v>功能需求</x:v>
      </x:c>
      <x:c r="F455" s="10" t="str">
        <x:v>P1</x:v>
      </x:c>
      <x:c r="G455" s="9" t="str">
        <x:v>验证订单查询条件交集</x:v>
      </x:c>
      <x:c r="H455" s="9" t="str">
        <x:v>订单复合筛选</x:v>
      </x:c>
      <x:c r="I455" s="9" t="str">
        <x:v>1. 平台管理员账号可用
2. 目标用户指定时间内1笔，其他用户同时间及目标用户范围外各1笔</x:v>
      </x:c>
      <x:c r="J455" s="9" t="str">
        <x:v>1. 打开充值订单
2. 选择目标用户与指定时间范围
3. 点击查询</x:v>
      </x:c>
      <x:c r="K455" s="9" t="str">
        <x:v>仅返回同时符合用户和时间的1笔订单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来源（当前证据）：liveshow-proto/MainBasis/统一需求文档.md；位置：第3074行、第3083行 REQ-e0a0df62d471
2. 规则：BR-ed6b7f0e74f8f8b1
3. 未动态验证</x:v>
      </x:c>
    </x:row>
    <x:row r="456" ht="85" customHeight="1">
      <x:c r="A456" s="10" t="n">
        <x:v>455</x:v>
      </x:c>
      <x:c r="B456" s="10" t="str">
        <x:v>ADMIN-08-0029</x:v>
      </x:c>
      <x:c r="C456" s="10" t="str">
        <x:v>订单管理</x:v>
      </x:c>
      <x:c r="D456" s="10" t="str">
        <x:v>充值订单</x:v>
      </x:c>
      <x:c r="E456" s="10" t="str">
        <x:v>功能需求</x:v>
      </x:c>
      <x:c r="F456" s="10" t="str">
        <x:v>P1</x:v>
      </x:c>
      <x:c r="G456" s="9" t="str">
        <x:v>验证导出已筛选订单</x:v>
      </x:c>
      <x:c r="H456" s="9" t="str">
        <x:v>订单导出范围</x:v>
      </x:c>
      <x:c r="I456" s="9" t="str">
        <x:v>1. 平台管理员账号可用
2. 当前筛选结果2笔，另有范围外订单</x:v>
      </x:c>
      <x:c r="J456" s="9" t="str">
        <x:v>1. 打开充值订单
2. 点击导出</x:v>
      </x:c>
      <x:c r="K456" s="9" t="str">
        <x:v>导出仅包含当前2笔订单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来源（当前证据）：liveshow-proto/MainBasis/统一需求文档.md；位置：第3074行、第3083行 REQ-e0a0df62d471
2. 规则：BR-85f125d9b47b681a
3. 未动态验证</x:v>
      </x:c>
    </x:row>
    <x:row r="457" ht="85" customHeight="1">
      <x:c r="A457" s="10" t="n">
        <x:v>456</x:v>
      </x:c>
      <x:c r="B457" s="10" t="str">
        <x:v>ADMIN-08-0030</x:v>
      </x:c>
      <x:c r="C457" s="10" t="str">
        <x:v>订单管理</x:v>
      </x:c>
      <x:c r="D457" s="10" t="str">
        <x:v>充值订单</x:v>
      </x:c>
      <x:c r="E457" s="10" t="str">
        <x:v>功能需求</x:v>
      </x:c>
      <x:c r="F457" s="10" t="str">
        <x:v>P1</x:v>
      </x:c>
      <x:c r="G457" s="9" t="str">
        <x:v>验证查看订单明细</x:v>
      </x:c>
      <x:c r="H457" s="9" t="str">
        <x:v>订单详情定位</x:v>
      </x:c>
      <x:c r="I457" s="9" t="str">
        <x:v>1. 平台管理员账号可用
2. 当前有多笔订单</x:v>
      </x:c>
      <x:c r="J457" s="9" t="str">
        <x:v>1. 打开充值订单
2. 点击其中一笔订单详情</x:v>
      </x:c>
      <x:c r="K457" s="9" t="str">
        <x:v>详情对应所选订单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来源（当前证据）：liveshow-proto/MainBasis/统一需求文档.md；位置：第3074行、第3083行 REQ-e0a0df62d471
2. 规则：BR-9cd415e4c5d0e5d5
3. 未动态验证</x:v>
      </x:c>
    </x:row>
    <x:row r="458" ht="85" customHeight="1">
      <x:c r="A458" s="10" t="n">
        <x:v>457</x:v>
      </x:c>
      <x:c r="B458" s="10" t="str">
        <x:v>ADMIN-08-0031</x:v>
      </x:c>
      <x:c r="C458" s="10" t="str">
        <x:v>订单管理</x:v>
      </x:c>
      <x:c r="D458" s="10" t="str">
        <x:v>充值订单</x:v>
      </x:c>
      <x:c r="E458" s="10" t="str">
        <x:v>逻辑校验</x:v>
      </x:c>
      <x:c r="F458" s="10" t="str">
        <x:v>P1</x:v>
      </x:c>
      <x:c r="G458" s="9" t="str">
        <x:v>验证到账包含赠送金币</x:v>
      </x:c>
      <x:c r="H458" s="9" t="str">
        <x:v>充值到账汇总</x:v>
      </x:c>
      <x:c r="I458" s="9" t="str">
        <x:v>1. 平台管理员账号可用
2. 成功订单基础100金币和赠送20金币</x:v>
      </x:c>
      <x:c r="J458" s="9" t="str">
        <x:v>1. 打开充值订单</x:v>
      </x:c>
      <x:c r="K458" s="9" t="str">
        <x:v>计算结果：到账金币=100+20=120金币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来源（当前证据）：liveshow-proto/MainBasis/统一需求文档.md；位置：第3074行、第3079行 REQ-968f7abf9780
2. 规则：BR-ea60c38620fc7241
3. 未动态验证</x:v>
      </x:c>
    </x:row>
    <x:row r="459" ht="85" customHeight="1">
      <x:c r="A459" s="10" t="n">
        <x:v>458</x:v>
      </x:c>
      <x:c r="B459" s="10" t="str">
        <x:v>ADMIN-08-0032</x:v>
      </x:c>
      <x:c r="C459" s="10" t="str">
        <x:v>订单管理</x:v>
      </x:c>
      <x:c r="D459" s="10" t="str">
        <x:v>充值订单</x:v>
      </x:c>
      <x:c r="E459" s="10" t="str">
        <x:v>功能需求</x:v>
      </x:c>
      <x:c r="F459" s="10" t="str">
        <x:v>P1</x:v>
      </x:c>
      <x:c r="G459" s="9" t="str">
        <x:v>验证两笔渠道交易核对</x:v>
      </x:c>
      <x:c r="H459" s="9" t="str">
        <x:v>订单渠道交易归属</x:v>
      </x:c>
      <x:c r="I459" s="9" t="str">
        <x:v>1. 平台管理员账号可用
2. 用户有两笔不同渠道交易，已知各自平台订单号</x:v>
      </x:c>
      <x:c r="J459" s="9" t="str">
        <x:v>1. 打开充值订单</x:v>
      </x:c>
      <x:c r="K459" s="9" t="str">
        <x:v>平台订单号对应各自渠道交易号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来源（当前证据）：liveshow-proto/MainBasis/统一需求文档.md；位置：第3074行、第3076行 REQ-7c224188f2bc
2. 规则：BR-133e48cc3f1e0680
3. 未动态验证</x:v>
      </x:c>
    </x:row>
    <x:row r="460" ht="85" customHeight="1">
      <x:c r="A460" s="10" t="n">
        <x:v>459</x:v>
      </x:c>
      <x:c r="B460" s="10" t="str">
        <x:v>ADMIN-08-0033</x:v>
      </x:c>
      <x:c r="C460" s="10" t="str">
        <x:v>订单管理</x:v>
      </x:c>
      <x:c r="D460" s="10" t="str">
        <x:v>充值订单</x:v>
      </x:c>
      <x:c r="E460" s="10" t="str">
        <x:v>功能需求</x:v>
      </x:c>
      <x:c r="F460" s="10" t="str">
        <x:v>P1</x:v>
      </x:c>
      <x:c r="G460" s="9" t="str">
        <x:v>验证套餐标价不同于实付</x:v>
      </x:c>
      <x:c r="H460" s="9" t="str">
        <x:v>充值实付金额</x:v>
      </x:c>
      <x:c r="I460" s="9" t="str">
        <x:v>1. 平台管理员账号可用
2. 成功订单套餐标价10USD、实际支付8USD</x:v>
      </x:c>
      <x:c r="J460" s="9" t="str">
        <x:v>1. 打开充值订单</x:v>
      </x:c>
      <x:c r="K460" s="9" t="str">
        <x:v>充值金额显示8USD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来源（当前证据）：liveshow-proto/MainBasis/统一需求文档.md；位置：第3074行、第3077行 REQ-3d354bb90a70
2. 规则：BR-3e56b8d3a156c3b0
3. 未动态验证</x:v>
      </x:c>
    </x:row>
    <x:row r="461" ht="85" customHeight="1">
      <x:c r="A461" s="10" t="n">
        <x:v>460</x:v>
      </x:c>
      <x:c r="B461" s="10" t="str">
        <x:v>ADMIN-08-0034</x:v>
      </x:c>
      <x:c r="C461" s="10" t="str">
        <x:v>订单管理</x:v>
      </x:c>
      <x:c r="D461" s="10" t="str">
        <x:v>充值订单</x:v>
      </x:c>
      <x:c r="E461" s="10" t="str">
        <x:v>功能需求</x:v>
      </x:c>
      <x:c r="F461" s="10" t="str">
        <x:v>P1</x:v>
      </x:c>
      <x:c r="G461" s="9" t="str">
        <x:v>验证套餐赠送区别基础</x:v>
      </x:c>
      <x:c r="H461" s="9" t="str">
        <x:v>充值金币分类</x:v>
      </x:c>
      <x:c r="I461" s="9" t="str">
        <x:v>1. 平台管理员账号可用
2. 成功订单基础100金币、活动赠送20金币</x:v>
      </x:c>
      <x:c r="J461" s="9" t="str">
        <x:v>1. 打开充值订单</x:v>
      </x:c>
      <x:c r="K461" s="9" t="str">
        <x:v>基础金币列显示100金币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来源（当前证据）：liveshow-proto/MainBasis/统一需求文档.md；位置：第3074行、第3078行 REQ-772e68079212
2. 规则：BR-494dc4171d5f3193
3. 未动态验证</x:v>
      </x:c>
    </x:row>
    <x:row r="462" ht="85" customHeight="1">
      <x:c r="A462" s="10" t="n">
        <x:v>461</x:v>
      </x:c>
      <x:c r="B462" s="10" t="str">
        <x:v>ADMIN-08-0035</x:v>
      </x:c>
      <x:c r="C462" s="10" t="str">
        <x:v>订单管理</x:v>
      </x:c>
      <x:c r="D462" s="10" t="str">
        <x:v>充值订单</x:v>
      </x:c>
      <x:c r="E462" s="10" t="str">
        <x:v>功能需求</x:v>
      </x:c>
      <x:c r="F462" s="10" t="str">
        <x:v>P1</x:v>
      </x:c>
      <x:c r="G462" s="9" t="str">
        <x:v>验证下单时间不同于成功时间</x:v>
      </x:c>
      <x:c r="H462" s="9" t="str">
        <x:v>支付成功时间</x:v>
      </x:c>
      <x:c r="I462" s="9" t="str">
        <x:v>1. 平台管理员账号可用
2. 订单下单与支付到账时刻不同</x:v>
      </x:c>
      <x:c r="J462" s="9" t="str">
        <x:v>1. 打开充值订单</x:v>
      </x:c>
      <x:c r="K462" s="9" t="str">
        <x:v>成功时间采用支付成功且完成入账的时刻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来源（当前证据）：liveshow-proto/MainBasis/统一需求文档.md；位置：第3074行、第3081行 REQ-63c70e1efb57
2. 规则：BR-800fc913d31f68b5
3. 未动态验证</x:v>
      </x:c>
    </x:row>
    <x:row r="463" ht="85" customHeight="1">
      <x:c r="A463" s="10" t="n">
        <x:v>462</x:v>
      </x:c>
      <x:c r="B463" s="10" t="str">
        <x:v>ADMIN-08-0036</x:v>
      </x:c>
      <x:c r="C463" s="10" t="str">
        <x:v>订单管理</x:v>
      </x:c>
      <x:c r="D463" s="10" t="str">
        <x:v>退款订单</x:v>
      </x:c>
      <x:c r="E463" s="10" t="str">
        <x:v>功能需求</x:v>
      </x:c>
      <x:c r="F463" s="10" t="str">
        <x:v>P1</x:v>
      </x:c>
      <x:c r="G463" s="9" t="str">
        <x:v>验证订单查询条件交集</x:v>
      </x:c>
      <x:c r="H463" s="9" t="str">
        <x:v>订单复合筛选</x:v>
      </x:c>
      <x:c r="I463" s="9" t="str">
        <x:v>1. 平台管理员账号可用
2. 目标用户指定时间内1笔，其他用户同时间及目标用户范围外各1笔</x:v>
      </x:c>
      <x:c r="J463" s="9" t="str">
        <x:v>1. 打开退款订单
2. 选择目标用户与指定时间范围
3. 点击查询</x:v>
      </x:c>
      <x:c r="K463" s="9" t="str">
        <x:v>仅返回同时符合用户和时间的1笔订单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来源（当前证据）：liveshow-proto/MainBasis/统一需求文档.md；位置：第3125行、第3134行 REQ-58fa55dda2a3
2. 规则：BR-565368cb82dc9096
3. 未动态验证</x:v>
      </x:c>
    </x:row>
    <x:row r="464" ht="85" customHeight="1">
      <x:c r="A464" s="10" t="n">
        <x:v>463</x:v>
      </x:c>
      <x:c r="B464" s="10" t="str">
        <x:v>ADMIN-08-0037</x:v>
      </x:c>
      <x:c r="C464" s="10" t="str">
        <x:v>订单管理</x:v>
      </x:c>
      <x:c r="D464" s="10" t="str">
        <x:v>退款订单</x:v>
      </x:c>
      <x:c r="E464" s="10" t="str">
        <x:v>功能需求</x:v>
      </x:c>
      <x:c r="F464" s="10" t="str">
        <x:v>P1</x:v>
      </x:c>
      <x:c r="G464" s="9" t="str">
        <x:v>验证导出已筛选订单</x:v>
      </x:c>
      <x:c r="H464" s="9" t="str">
        <x:v>订单导出范围</x:v>
      </x:c>
      <x:c r="I464" s="9" t="str">
        <x:v>1. 平台管理员账号可用
2. 当前筛选结果2笔，另有范围外订单</x:v>
      </x:c>
      <x:c r="J464" s="9" t="str">
        <x:v>1. 打开退款订单
2. 点击导出</x:v>
      </x:c>
      <x:c r="K464" s="9" t="str">
        <x:v>导出仅包含当前2笔订单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来源（当前证据）：liveshow-proto/MainBasis/统一需求文档.md；位置：第3125行、第3134行 REQ-58fa55dda2a3
2. 规则：BR-e2d9cdd054cb94b8
3. 未动态验证</x:v>
      </x:c>
    </x:row>
    <x:row r="465" ht="85" customHeight="1">
      <x:c r="A465" s="10" t="n">
        <x:v>464</x:v>
      </x:c>
      <x:c r="B465" s="10" t="str">
        <x:v>ADMIN-08-0038</x:v>
      </x:c>
      <x:c r="C465" s="10" t="str">
        <x:v>订单管理</x:v>
      </x:c>
      <x:c r="D465" s="10" t="str">
        <x:v>退款订单</x:v>
      </x:c>
      <x:c r="E465" s="10" t="str">
        <x:v>功能需求</x:v>
      </x:c>
      <x:c r="F465" s="10" t="str">
        <x:v>P1</x:v>
      </x:c>
      <x:c r="G465" s="9" t="str">
        <x:v>验证查看订单明细</x:v>
      </x:c>
      <x:c r="H465" s="9" t="str">
        <x:v>订单详情定位</x:v>
      </x:c>
      <x:c r="I465" s="9" t="str">
        <x:v>1. 平台管理员账号可用
2. 当前有多笔订单</x:v>
      </x:c>
      <x:c r="J465" s="9" t="str">
        <x:v>1. 打开退款订单
2. 点击其中一笔订单详情</x:v>
      </x:c>
      <x:c r="K465" s="9" t="str">
        <x:v>详情对应所选订单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来源（当前证据）：liveshow-proto/MainBasis/统一需求文档.md；位置：第3125行、第3134行 REQ-58fa55dda2a3
2. 规则：BR-796e9e3d8803767d
3. 未动态验证</x:v>
      </x:c>
    </x:row>
    <x:row r="466" ht="85" customHeight="1">
      <x:c r="A466" s="10" t="n">
        <x:v>465</x:v>
      </x:c>
      <x:c r="B466" s="10" t="str">
        <x:v>ADMIN-08-0039</x:v>
      </x:c>
      <x:c r="C466" s="10" t="str">
        <x:v>订单管理</x:v>
      </x:c>
      <x:c r="D466" s="10" t="str">
        <x:v>退款订单</x:v>
      </x:c>
      <x:c r="E466" s="10" t="str">
        <x:v>逻辑校验</x:v>
      </x:c>
      <x:c r="F466" s="10" t="str">
        <x:v>P1</x:v>
      </x:c>
      <x:c r="G466" s="9" t="str">
        <x:v>验证扣回金币数值核算</x:v>
      </x:c>
      <x:c r="H466" s="9" t="str">
        <x:v>扣回金币计算口径</x:v>
      </x:c>
      <x:c r="I466" s="9" t="str">
        <x:v>1. 平台管理员账号可用
2. 原充值订单到账基础100及赠送20金币，退款已完成</x:v>
      </x:c>
      <x:c r="J466" s="9" t="str">
        <x:v>1. 打开退款订单</x:v>
      </x:c>
      <x:c r="K466" s="9" t="str">
        <x:v>扣回金币计算结果=120金币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来源（当前证据）：liveshow-proto/MainBasis/统一需求文档.md；位置：第3125行、第3132行 REQ-27321fae974e
2. 规则：BR-832bf72b29b3699d
3. 未动态验证</x:v>
      </x:c>
    </x:row>
    <x:row r="467" ht="130" customHeight="1">
      <x:c r="A467" s="10" t="n">
        <x:v>466</x:v>
      </x:c>
      <x:c r="B467" s="10" t="str">
        <x:v>ADMIN-08-0040</x:v>
      </x:c>
      <x:c r="C467" s="10" t="str">
        <x:v>订单管理</x:v>
      </x:c>
      <x:c r="D467" s="10" t="str">
        <x:v>退款订单</x:v>
      </x:c>
      <x:c r="E467" s="10" t="str">
        <x:v>功能需求</x:v>
      </x:c>
      <x:c r="F467" s="10" t="str">
        <x:v>P1</x:v>
      </x:c>
      <x:c r="G467" s="9" t="str">
        <x:v>验证退款订单读取退款完成记录：退款单号唯一</x:v>
      </x:c>
      <x:c r="H467" s="9" t="str">
        <x:v>退款单号唯一</x:v>
      </x:c>
      <x:c r="I467" s="9" t="str">
        <x:v>1. 平台管理员账号可用
2. 存在主动和渠道被动退款各1笔，已知原实付金额</x:v>
      </x:c>
      <x:c r="J467" s="9" t="str">
        <x:v>1. 打开退款订单</x:v>
      </x:c>
      <x:c r="K467" s="9" t="str">
        <x:v>不同退款记录使用不同退款单号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规则：BR-e1e355ea0b05ab01
3. 未动态验证</x:v>
      </x:c>
    </x:row>
    <x:row r="468" ht="130" customHeight="1">
      <x:c r="A468" s="10" t="n">
        <x:v>467</x:v>
      </x:c>
      <x:c r="B468" s="10" t="str">
        <x:v>ADMIN-08-0041</x:v>
      </x:c>
      <x:c r="C468" s="10" t="str">
        <x:v>订单管理</x:v>
      </x:c>
      <x:c r="D468" s="10" t="str">
        <x:v>退款订单</x:v>
      </x:c>
      <x:c r="E468" s="10" t="str">
        <x:v>功能需求</x:v>
      </x:c>
      <x:c r="F468" s="10" t="str">
        <x:v>P1</x:v>
      </x:c>
      <x:c r="G468" s="9" t="str">
        <x:v>验证退款订单读取退款完成记录：退款原订单归属</x:v>
      </x:c>
      <x:c r="H468" s="9" t="str">
        <x:v>退款原订单归属</x:v>
      </x:c>
      <x:c r="I468" s="9" t="str">
        <x:v>1. 平台管理员账号可用
2. 存在主动和渠道被动退款各1笔，已知原实付金额</x:v>
      </x:c>
      <x:c r="J468" s="9" t="str">
        <x:v>1. 打开退款订单</x:v>
      </x:c>
      <x:c r="K468" s="9" t="str">
        <x:v>退款记录关联原充值订单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规则：BR-0023b65f882634c0
3. 未动态验证</x:v>
      </x:c>
    </x:row>
    <x:row r="469" ht="130" customHeight="1">
      <x:c r="A469" s="10" t="n">
        <x:v>468</x:v>
      </x:c>
      <x:c r="B469" s="10" t="str">
        <x:v>ADMIN-08-0042</x:v>
      </x:c>
      <x:c r="C469" s="10" t="str">
        <x:v>订单管理</x:v>
      </x:c>
      <x:c r="D469" s="10" t="str">
        <x:v>退款订单</x:v>
      </x:c>
      <x:c r="E469" s="10" t="str">
        <x:v>功能需求</x:v>
      </x:c>
      <x:c r="F469" s="10" t="str">
        <x:v>P1</x:v>
      </x:c>
      <x:c r="G469" s="9" t="str">
        <x:v>验证退款订单读取退款完成记录：退款渠道类型</x:v>
      </x:c>
      <x:c r="H469" s="9" t="str">
        <x:v>退款渠道类型</x:v>
      </x:c>
      <x:c r="I469" s="9" t="str">
        <x:v>1. 平台管理员账号可用
2. 存在主动和渠道被动退款各1笔，已知原实付金额</x:v>
      </x:c>
      <x:c r="J469" s="9" t="str">
        <x:v>1. 打开退款订单</x:v>
      </x:c>
      <x:c r="K469" s="9" t="str">
        <x:v>类型与主动或渠道被动退款来源一致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规则：BR-ba811146f9fe2afd
3. 未动态验证</x:v>
      </x:c>
    </x:row>
    <x:row r="470" ht="130" customHeight="1">
      <x:c r="A470" s="10" t="n">
        <x:v>469</x:v>
      </x:c>
      <x:c r="B470" s="10" t="str">
        <x:v>ADMIN-08-0043</x:v>
      </x:c>
      <x:c r="C470" s="10" t="str">
        <x:v>订单管理</x:v>
      </x:c>
      <x:c r="D470" s="10" t="str">
        <x:v>退款订单</x:v>
      </x:c>
      <x:c r="E470" s="10" t="str">
        <x:v>功能需求</x:v>
      </x:c>
      <x:c r="F470" s="10" t="str">
        <x:v>P1</x:v>
      </x:c>
      <x:c r="G470" s="9" t="str">
        <x:v>验证退款订单读取退款完成记录：退款全额金额</x:v>
      </x:c>
      <x:c r="H470" s="9" t="str">
        <x:v>退款全额金额</x:v>
      </x:c>
      <x:c r="I470" s="9" t="str">
        <x:v>1. 平台管理员账号可用
2. 存在主动和渠道被动退款各1笔，已知原实付金额</x:v>
      </x:c>
      <x:c r="J470" s="9" t="str">
        <x:v>1. 打开退款订单</x:v>
      </x:c>
      <x:c r="K470" s="9" t="str">
        <x:v>退款金额等于原订单实付金额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规则：BR-7070c359d1a5c233
3. 未动态验证</x:v>
      </x:c>
    </x:row>
    <x:row r="471" ht="130" customHeight="1">
      <x:c r="A471" s="10" t="n">
        <x:v>470</x:v>
      </x:c>
      <x:c r="B471" s="10" t="str">
        <x:v>ADMIN-08-0044</x:v>
      </x:c>
      <x:c r="C471" s="10" t="str">
        <x:v>订单管理</x:v>
      </x:c>
      <x:c r="D471" s="10" t="str">
        <x:v>退款订单</x:v>
      </x:c>
      <x:c r="E471" s="10" t="str">
        <x:v>功能需求</x:v>
      </x:c>
      <x:c r="F471" s="10" t="str">
        <x:v>P1</x:v>
      </x:c>
      <x:c r="G471" s="9" t="str">
        <x:v>验证退款订单读取退款完成记录：退款完成时刻</x:v>
      </x:c>
      <x:c r="H471" s="9" t="str">
        <x:v>退款完成时刻</x:v>
      </x:c>
      <x:c r="I471" s="9" t="str">
        <x:v>1. 平台管理员账号可用
2. 存在主动和渠道被动退款各1笔，已知原实付金额</x:v>
      </x:c>
      <x:c r="J471" s="9" t="str">
        <x:v>1. 打开退款订单</x:v>
      </x:c>
      <x:c r="K471" s="9" t="str">
        <x:v>时间取自退款实际完成时刻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规则：BR-b09c803e144f84b8
3. 未动态验证</x:v>
      </x:c>
    </x:row>
    <x:row r="472" ht="115" customHeight="1">
      <x:c r="A472" s="10" t="n">
        <x:v>471</x:v>
      </x:c>
      <x:c r="B472" s="10" t="str">
        <x:v>ADMIN-09-0001</x:v>
      </x:c>
      <x:c r="C472" s="10" t="str">
        <x:v>财务分成</x:v>
      </x:c>
      <x:c r="D472" s="10" t="str">
        <x:v>公会账户余额</x:v>
      </x:c>
      <x:c r="E472" s="10" t="str">
        <x:v>逻辑校验</x:v>
      </x:c>
      <x:c r="F472" s="10" t="str">
        <x:v>P1</x:v>
      </x:c>
      <x:c r="G472" s="9" t="str">
        <x:v>验证公会账户余额范围汇总</x:v>
      </x:c>
      <x:c r="H472" s="9" t="str">
        <x:v>筛选余额汇总</x:v>
      </x:c>
      <x:c r="I472" s="9" t="str">
        <x:v>1. 平台管理员账号可用
2. 当前筛选两个公会余额100USD及200USD，另有范围外余额500USD</x:v>
      </x:c>
      <x:c r="J472" s="9" t="str">
        <x:v>1. 打开公会账户余额
2. 点击查询</x:v>
      </x:c>
      <x:c r="K472" s="9" t="str">
        <x:v>计算结果：汇总余额=100+200=300USD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来源（当前证据）：liveshow-proto/MainBasis/统一需求文档.md；位置：第3199行、第3201行 REQ-d2e248a00baa、第3202行 REQ-e90da016773a、第3203行 REQ-73d39f66e389
2. 规则：BR-fe696397dc50a881
3. 未动态验证</x:v>
      </x:c>
    </x:row>
    <x:row r="473" ht="115" customHeight="1">
      <x:c r="A473" s="10" t="n">
        <x:v>472</x:v>
      </x:c>
      <x:c r="B473" s="10" t="str">
        <x:v>ADMIN-09-0002</x:v>
      </x:c>
      <x:c r="C473" s="10" t="str">
        <x:v>财务分成</x:v>
      </x:c>
      <x:c r="D473" s="10" t="str">
        <x:v>公会账户余额</x:v>
      </x:c>
      <x:c r="E473" s="10" t="str">
        <x:v>功能需求</x:v>
      </x:c>
      <x:c r="F473" s="10" t="str">
        <x:v>P1</x:v>
      </x:c>
      <x:c r="G473" s="9" t="str">
        <x:v>验证公会余额进入流水</x:v>
      </x:c>
      <x:c r="H473" s="9" t="str">
        <x:v>余额流水归属</x:v>
      </x:c>
      <x:c r="I473" s="9" t="str">
        <x:v>1. 平台管理员账号可用
2. 存在两个不同公会账户</x:v>
      </x:c>
      <x:c r="J473" s="9" t="str">
        <x:v>1. 打开公会账户余额
2. 点击其中一个账户余额</x:v>
      </x:c>
      <x:c r="K473" s="9" t="str">
        <x:v>进入所选公会余额变更记录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来源（当前证据）：liveshow-proto/MainBasis/统一需求文档.md；位置：第3199行、第3201行 REQ-d2e248a00baa、第3202行 REQ-e90da016773a、第3203行 REQ-73d39f66e389
2. 规则：BR-45976ffef03e3efd
3. 未动态验证</x:v>
      </x:c>
    </x:row>
    <x:row r="474" ht="145" customHeight="1">
      <x:c r="A474" s="10" t="n">
        <x:v>473</x:v>
      </x:c>
      <x:c r="B474" s="10" t="str">
        <x:v>ADMIN-09-0003</x:v>
      </x:c>
      <x:c r="C474" s="10" t="str">
        <x:v>财务分成</x:v>
      </x:c>
      <x:c r="D474" s="10" t="str">
        <x:v>余额变更记录（公会账户）</x:v>
      </x:c>
      <x:c r="E474" s="10" t="str">
        <x:v>功能需求</x:v>
      </x:c>
      <x:c r="F474" s="10" t="str">
        <x:v>P1</x:v>
      </x:c>
      <x:c r="G474" s="9" t="str">
        <x:v>验证公会零金额修正</x:v>
      </x:c>
      <x:c r="H474" s="9" t="str">
        <x:v>修正金额非零</x:v>
      </x:c>
      <x:c r="I474" s="9" t="str">
        <x:v>1. 平台管理员账号可用
2. 当前余额100USD
3. 当前选定待核对公会的唯一ID</x:v>
      </x:c>
      <x:c r="J474" s="9" t="str">
        <x:v>1. 打开公会账户余额列表中该ID的余额变更记录
2. 点击余额变更
3. 输入变更金额为0
4. 输入备注为账务修正
5. 点击确认</x:v>
      </x:c>
      <x:c r="K474" s="9" t="str">
        <x:v>零金额修正不能保存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规则：BR-d7eef11691b9b935
3. 未动态验证</x:v>
      </x:c>
    </x:row>
    <x:row r="475" ht="145" customHeight="1">
      <x:c r="A475" s="10" t="n">
        <x:v>474</x:v>
      </x:c>
      <x:c r="B475" s="10" t="str">
        <x:v>ADMIN-09-0004</x:v>
      </x:c>
      <x:c r="C475" s="10" t="str">
        <x:v>财务分成</x:v>
      </x:c>
      <x:c r="D475" s="10" t="str">
        <x:v>余额变更记录（公会账户）</x:v>
      </x:c>
      <x:c r="E475" s="10" t="str">
        <x:v>功能需求</x:v>
      </x:c>
      <x:c r="F475" s="10" t="str">
        <x:v>P1</x:v>
      </x:c>
      <x:c r="G475" s="9" t="str">
        <x:v>验证公会超额扣减</x:v>
      </x:c>
      <x:c r="H475" s="9" t="str">
        <x:v>手工修正负余额保护</x:v>
      </x:c>
      <x:c r="I475" s="9" t="str">
        <x:v>1. 平台管理员账号可用
2. 当前余额100USD
3. 当前选定待核对公会的唯一ID</x:v>
      </x:c>
      <x:c r="J475" s="9" t="str">
        <x:v>1. 打开公会账户余额列表中该ID的余额变更记录
2. 点击余额变更
3. 输入变更金额为-100,01
4. 输入备注为账务修正
5. 点击确认</x:v>
      </x:c>
      <x:c r="K475" s="9" t="str">
        <x:v>超出余额的负向修正不能保存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规则：BR-04692d14717b6c06
3. 未动态验证</x:v>
      </x:c>
    </x:row>
    <x:row r="476" ht="145" customHeight="1">
      <x:c r="A476" s="10" t="n">
        <x:v>475</x:v>
      </x:c>
      <x:c r="B476" s="10" t="str">
        <x:v>ADMIN-09-0005</x:v>
      </x:c>
      <x:c r="C476" s="10" t="str">
        <x:v>财务分成</x:v>
      </x:c>
      <x:c r="D476" s="10" t="str">
        <x:v>余额变更记录（公会账户）</x:v>
      </x:c>
      <x:c r="E476" s="10" t="str">
        <x:v>功能需求</x:v>
      </x:c>
      <x:c r="F476" s="10" t="str">
        <x:v>P1</x:v>
      </x:c>
      <x:c r="G476" s="9" t="str">
        <x:v>验证公会足额扣减至零</x:v>
      </x:c>
      <x:c r="H476" s="9" t="str">
        <x:v>修正扣减上界</x:v>
      </x:c>
      <x:c r="I476" s="9" t="str">
        <x:v>1. 平台管理员账号可用
2. 当前余额100USD
3. 当前选定待核对公会的唯一ID</x:v>
      </x:c>
      <x:c r="J476" s="9" t="str">
        <x:v>1. 打开公会账户余额列表中该ID的余额变更记录
2. 点击余额变更
3. 输入变更金额为-100
4. 输入备注为账务修正
5. 点击确认</x:v>
      </x:c>
      <x:c r="K476" s="9" t="str">
        <x:v>变更后余额显示0USD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规则：BR-95ace35ed9e21d45
3. 未动态验证</x:v>
      </x:c>
    </x:row>
    <x:row r="477" ht="145" customHeight="1">
      <x:c r="A477" s="10" t="n">
        <x:v>476</x:v>
      </x:c>
      <x:c r="B477" s="10" t="str">
        <x:v>ADMIN-09-0006</x:v>
      </x:c>
      <x:c r="C477" s="10" t="str">
        <x:v>财务分成</x:v>
      </x:c>
      <x:c r="D477" s="10" t="str">
        <x:v>余额变更记录（公会账户）</x:v>
      </x:c>
      <x:c r="E477" s="10" t="str">
        <x:v>逻辑校验</x:v>
      </x:c>
      <x:c r="F477" s="10" t="str">
        <x:v>P1</x:v>
      </x:c>
      <x:c r="G477" s="9" t="str">
        <x:v>验证公会正向增加余额</x:v>
      </x:c>
      <x:c r="H477" s="9" t="str">
        <x:v>正向修正余额</x:v>
      </x:c>
      <x:c r="I477" s="9" t="str">
        <x:v>1. 平台管理员账号可用
2. 当前余额100USD
3. 当前选定待核对公会的唯一ID</x:v>
      </x:c>
      <x:c r="J477" s="9" t="str">
        <x:v>1. 打开公会账户余额列表中该ID的余额变更记录
2. 点击余额变更
3. 输入变更金额为20
4. 输入备注为账务修正
5. 点击确认</x:v>
      </x:c>
      <x:c r="K477" s="9" t="str">
        <x:v>计算结果：变更后余额=100+20=120USD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规则：BR-3b7b79df670916f3
3. 未动态验证</x:v>
      </x:c>
    </x:row>
    <x:row r="478" ht="145" customHeight="1">
      <x:c r="A478" s="10" t="n">
        <x:v>477</x:v>
      </x:c>
      <x:c r="B478" s="10" t="str">
        <x:v>ADMIN-09-0007</x:v>
      </x:c>
      <x:c r="C478" s="10" t="str">
        <x:v>财务分成</x:v>
      </x:c>
      <x:c r="D478" s="10" t="str">
        <x:v>余额变更记录（公会账户）</x:v>
      </x:c>
      <x:c r="E478" s="10" t="str">
        <x:v>功能需求</x:v>
      </x:c>
      <x:c r="F478" s="10" t="str">
        <x:v>P1</x:v>
      </x:c>
      <x:c r="G478" s="9" t="str">
        <x:v>验证公会三位小数修正</x:v>
      </x:c>
      <x:c r="H478" s="9" t="str">
        <x:v>余额修正精度</x:v>
      </x:c>
      <x:c r="I478" s="9" t="str">
        <x:v>1. 平台管理员账号可用
2. 当前余额100USD
3. 当前选定待核对公会的唯一ID</x:v>
      </x:c>
      <x:c r="J478" s="9" t="str">
        <x:v>1. 打开公会账户余额列表中该ID的余额变更记录
2. 点击余额变更
3. 输入变更金额为1,001
4. 输入备注为账务修正
5. 点击确认</x:v>
      </x:c>
      <x:c r="K478" s="9" t="str">
        <x:v>超过两位小数的金额不能保存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规则：BR-3c99f49652076414
3. 未动态验证</x:v>
      </x:c>
    </x:row>
    <x:row r="479" ht="145" customHeight="1">
      <x:c r="A479" s="10" t="n">
        <x:v>478</x:v>
      </x:c>
      <x:c r="B479" s="10" t="str">
        <x:v>ADMIN-09-0008</x:v>
      </x:c>
      <x:c r="C479" s="10" t="str">
        <x:v>财务分成</x:v>
      </x:c>
      <x:c r="D479" s="10" t="str">
        <x:v>余额变更记录（公会账户）</x:v>
      </x:c>
      <x:c r="E479" s="10" t="str">
        <x:v>功能需求</x:v>
      </x:c>
      <x:c r="F479" s="10" t="str">
        <x:v>P1</x:v>
      </x:c>
      <x:c r="G479" s="9" t="str">
        <x:v>验证公会备注未填</x:v>
      </x:c>
      <x:c r="H479" s="9" t="str">
        <x:v>修正原因必填</x:v>
      </x:c>
      <x:c r="I479" s="9" t="str">
        <x:v>1. 平台管理员账号可用
2. 当前余额100USD
3. 当前选定待核对公会的唯一ID</x:v>
      </x:c>
      <x:c r="J479" s="9" t="str">
        <x:v>1. 打开公会账户余额列表中该ID的余额变更记录
2. 点击余额变更
3. 输入变更金额为1
4. 清空备注
5. 点击确认</x:v>
      </x:c>
      <x:c r="K479" s="9" t="str">
        <x:v>无备注的修正不能保存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规则：BR-bf0f0671f0324b83
3. 未动态验证</x:v>
      </x:c>
    </x:row>
    <x:row r="480" ht="145" customHeight="1">
      <x:c r="A480" s="10" t="n">
        <x:v>479</x:v>
      </x:c>
      <x:c r="B480" s="10" t="str">
        <x:v>ADMIN-09-0009</x:v>
      </x:c>
      <x:c r="C480" s="10" t="str">
        <x:v>财务分成</x:v>
      </x:c>
      <x:c r="D480" s="10" t="str">
        <x:v>余额变更记录（公会账户）</x:v>
      </x:c>
      <x:c r="E480" s="10" t="str">
        <x:v>功能需求</x:v>
      </x:c>
      <x:c r="F480" s="10" t="str">
        <x:v>P1</x:v>
      </x:c>
      <x:c r="G480" s="9" t="str">
        <x:v>验证公会修正流水不可改</x:v>
      </x:c>
      <x:c r="H480" s="9" t="str">
        <x:v>修正流水只读</x:v>
      </x:c>
      <x:c r="I480" s="9" t="str">
        <x:v>1. 平台管理员账号可用
2. 已有成功分成修正流水
3. 当前选定待核对公会的唯一ID</x:v>
      </x:c>
      <x:c r="J480" s="9" t="str">
        <x:v>1. 打开公会账户余额列表中该ID的余额变更记录</x:v>
      </x:c>
      <x:c r="K480" s="9" t="str">
        <x:v>已生成的修正流水不可修改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规则：BR-a3b711f88226f7a5
3. 未动态验证</x:v>
      </x:c>
    </x:row>
    <x:row r="481" ht="130" customHeight="1">
      <x:c r="A481" s="10" t="n">
        <x:v>480</x:v>
      </x:c>
      <x:c r="B481" s="10" t="str">
        <x:v>ADMIN-09-0010</x:v>
      </x:c>
      <x:c r="C481" s="10" t="str">
        <x:v>财务分成</x:v>
      </x:c>
      <x:c r="D481" s="10" t="str">
        <x:v>公会分成记录详情</x:v>
      </x:c>
      <x:c r="E481" s="10" t="str">
        <x:v>功能需求</x:v>
      </x:c>
      <x:c r="F481" s="10" t="str">
        <x:v>P1</x:v>
      </x:c>
      <x:c r="G481" s="9" t="str">
        <x:v>验证公会分成详情只读</x:v>
      </x:c>
      <x:c r="H481" s="9" t="str">
        <x:v>分成审批边界</x:v>
      </x:c>
      <x:c r="I481" s="9" t="str">
        <x:v>1. 平台管理员账号可用
2. 已上传结果批次</x:v>
      </x:c>
      <x:c r="J481" s="9" t="str">
        <x:v>1. 打开公会分成记录详情</x:v>
      </x:c>
      <x:c r="K481" s="9" t="str">
        <x:v>详情不提供线上审批或编辑操作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规则：BR-f8cadca00921262f
3. 未动态验证</x:v>
      </x:c>
    </x:row>
    <x:row r="482" ht="130" customHeight="1">
      <x:c r="A482" s="10" t="n">
        <x:v>481</x:v>
      </x:c>
      <x:c r="B482" s="10" t="str">
        <x:v>ADMIN-09-0011</x:v>
      </x:c>
      <x:c r="C482" s="10" t="str">
        <x:v>财务分成</x:v>
      </x:c>
      <x:c r="D482" s="10" t="str">
        <x:v>公会分成记录详情</x:v>
      </x:c>
      <x:c r="E482" s="10" t="str">
        <x:v>逻辑校验</x:v>
      </x:c>
      <x:c r="F482" s="10" t="str">
        <x:v>P1</x:v>
      </x:c>
      <x:c r="G482" s="9" t="str">
        <x:v>验证公会分成批次总额</x:v>
      </x:c>
      <x:c r="H482" s="9" t="str">
        <x:v>分成批次金额一致性</x:v>
      </x:c>
      <x:c r="I482" s="9" t="str">
        <x:v>1. 平台管理员账号可用
2. 批次中两条不同公会金额分别100USD和200USD</x:v>
      </x:c>
      <x:c r="J482" s="9" t="str">
        <x:v>1. 打开公会分成记录详情</x:v>
      </x:c>
      <x:c r="K482" s="9" t="str">
        <x:v>计算结果：批次总金额=100+200=300USD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规则：BR-b5df8e5b4e6c58c1
3. 未动态验证</x:v>
      </x:c>
    </x:row>
    <x:row r="483" ht="130" customHeight="1">
      <x:c r="A483" s="10" t="n">
        <x:v>482</x:v>
      </x:c>
      <x:c r="B483" s="10" t="str">
        <x:v>ADMIN-09-0012</x:v>
      </x:c>
      <x:c r="C483" s="10" t="str">
        <x:v>财务分成</x:v>
      </x:c>
      <x:c r="D483" s="10" t="str">
        <x:v>公会分成记录详情</x:v>
      </x:c>
      <x:c r="E483" s="10" t="str">
        <x:v>功能需求</x:v>
      </x:c>
      <x:c r="F483" s="10" t="str">
        <x:v>P1</x:v>
      </x:c>
      <x:c r="G483" s="9" t="str">
        <x:v>验证公会分成记录详情读取分成批次快照：公会批次记录ID</x:v>
      </x:c>
      <x:c r="H483" s="9" t="str">
        <x:v>公会批次记录ID</x:v>
      </x:c>
      <x:c r="I483" s="9" t="str">
        <x:v>1. 平台管理员账号可用
2. 所选批次包含2个不同公会，已知上传备注、上传人和时间</x:v>
      </x:c>
      <x:c r="J483" s="9" t="str">
        <x:v>1. 打开公会分成记录详情</x:v>
      </x:c>
      <x:c r="K483" s="9" t="str">
        <x:v>记录ID对应所选公会分成批次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规则：BR-a1ced8977145c06e
3. 未动态验证</x:v>
      </x:c>
    </x:row>
    <x:row r="484" ht="130" customHeight="1">
      <x:c r="A484" s="10" t="n">
        <x:v>483</x:v>
      </x:c>
      <x:c r="B484" s="10" t="str">
        <x:v>ADMIN-09-0013</x:v>
      </x:c>
      <x:c r="C484" s="10" t="str">
        <x:v>财务分成</x:v>
      </x:c>
      <x:c r="D484" s="10" t="str">
        <x:v>公会分成记录详情</x:v>
      </x:c>
      <x:c r="E484" s="10" t="str">
        <x:v>功能需求</x:v>
      </x:c>
      <x:c r="F484" s="10" t="str">
        <x:v>P1</x:v>
      </x:c>
      <x:c r="G484" s="9" t="str">
        <x:v>验证公会分成记录详情读取分成批次快照：公会批次上传人</x:v>
      </x:c>
      <x:c r="H484" s="9" t="str">
        <x:v>公会批次上传人</x:v>
      </x:c>
      <x:c r="I484" s="9" t="str">
        <x:v>1. 平台管理员账号可用
2. 所选批次包含2个不同公会，已知上传备注、上传人和时间</x:v>
      </x:c>
      <x:c r="J484" s="9" t="str">
        <x:v>1. 打开公会分成记录详情</x:v>
      </x:c>
      <x:c r="K484" s="9" t="str">
        <x:v>上传人对应实际上传该批次的账号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规则：BR-ee245f61844a2e3f
3. 未动态验证</x:v>
      </x:c>
    </x:row>
    <x:row r="485" ht="130" customHeight="1">
      <x:c r="A485" s="10" t="n">
        <x:v>484</x:v>
      </x:c>
      <x:c r="B485" s="10" t="str">
        <x:v>ADMIN-09-0014</x:v>
      </x:c>
      <x:c r="C485" s="10" t="str">
        <x:v>财务分成</x:v>
      </x:c>
      <x:c r="D485" s="10" t="str">
        <x:v>公会分成记录详情</x:v>
      </x:c>
      <x:c r="E485" s="10" t="str">
        <x:v>功能需求</x:v>
      </x:c>
      <x:c r="F485" s="10" t="str">
        <x:v>P1</x:v>
      </x:c>
      <x:c r="G485" s="9" t="str">
        <x:v>验证公会分成记录详情读取分成批次快照：公会批次明细归属</x:v>
      </x:c>
      <x:c r="H485" s="9" t="str">
        <x:v>公会批次明细归属</x:v>
      </x:c>
      <x:c r="I485" s="9" t="str">
        <x:v>1. 平台管理员账号可用
2. 所选批次包含2个不同公会，已知上传备注、上传人和时间</x:v>
      </x:c>
      <x:c r="J485" s="9" t="str">
        <x:v>1. 打开公会分成记录详情</x:v>
      </x:c>
      <x:c r="K485" s="9" t="str">
        <x:v>两条分成明细均属于所选批次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规则：BR-d97a0b4808e7b6f7
3. 未动态验证</x:v>
      </x:c>
    </x:row>
    <x:row r="486" ht="160" customHeight="1">
      <x:c r="A486" s="10" t="n">
        <x:v>485</x:v>
      </x:c>
      <x:c r="B486" s="10" t="str">
        <x:v>ADMIN-09-0015</x:v>
      </x:c>
      <x:c r="C486" s="10" t="str">
        <x:v>财务分成</x:v>
      </x:c>
      <x:c r="D486" s="10" t="str">
        <x:v>公会分成记录</x:v>
      </x:c>
      <x:c r="E486" s="10" t="str">
        <x:v>功能需求</x:v>
      </x:c>
      <x:c r="F486" s="10" t="str">
        <x:v>P1</x:v>
      </x:c>
      <x:c r="G486" s="9" t="str">
        <x:v>验证公会分成模板下载</x:v>
      </x:c>
      <x:c r="H486" s="9" t="str">
        <x:v>分成模板表头</x:v>
      </x:c>
      <x:c r="I486" s="9" t="str">
        <x:v>1. 平台管理员账号可用
2. 当前财务账号有上传权限</x:v>
      </x:c>
      <x:c r="J486" s="9" t="str">
        <x:v>1. 打开公会分成记录
2. 点击上传
3. 点击下载模板</x:v>
      </x:c>
      <x:c r="K486" s="9" t="str">
        <x:v>下载CSV表头依次为公会名称、公会ID、分成金额(USD)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规则：BR-c95f86bfcf417c63
3. 未动态验证</x:v>
      </x:c>
    </x:row>
    <x:row r="487" ht="160" customHeight="1">
      <x:c r="A487" s="10" t="n">
        <x:v>486</x:v>
      </x:c>
      <x:c r="B487" s="10" t="str">
        <x:v>ADMIN-09-0016</x:v>
      </x:c>
      <x:c r="C487" s="10" t="str">
        <x:v>财务分成</x:v>
      </x:c>
      <x:c r="D487" s="10" t="str">
        <x:v>公会分成记录</x:v>
      </x:c>
      <x:c r="E487" s="10" t="str">
        <x:v>功能需求</x:v>
      </x:c>
      <x:c r="F487" s="10" t="str">
        <x:v>P1</x:v>
      </x:c>
      <x:c r="G487" s="9" t="str">
        <x:v>验证公会分成预览来源</x:v>
      </x:c>
      <x:c r="H487" s="9" t="str">
        <x:v>上传文件明细解析</x:v>
      </x:c>
      <x:c r="I487" s="9" t="str">
        <x:v>1. 平台管理员账号可用
2. 按下载模板准备2条不同公会有效记录，金额100和200USD</x:v>
      </x:c>
      <x:c r="J487" s="9" t="str">
        <x:v>1. 打开公会分成记录
2. 点击上传
3. 输入分成备注为本月线下结算
4. 上传该文件</x:v>
      </x:c>
      <x:c r="K487" s="9" t="str">
        <x:v>预览仅显示文件中的2条明细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规则：BR-ea0309e00c7651f3
3. 未动态验证</x:v>
      </x:c>
    </x:row>
    <x:row r="488" ht="160" customHeight="1">
      <x:c r="A488" s="10" t="n">
        <x:v>487</x:v>
      </x:c>
      <x:c r="B488" s="10" t="str">
        <x:v>ADMIN-09-0017</x:v>
      </x:c>
      <x:c r="C488" s="10" t="str">
        <x:v>财务分成</x:v>
      </x:c>
      <x:c r="D488" s="10" t="str">
        <x:v>公会分成记录</x:v>
      </x:c>
      <x:c r="E488" s="10" t="str">
        <x:v>功能需求</x:v>
      </x:c>
      <x:c r="F488" s="10" t="str">
        <x:v>P1</x:v>
      </x:c>
      <x:c r="G488" s="9" t="str">
        <x:v>验证公会分成确认导入</x:v>
      </x:c>
      <x:c r="H488" s="9" t="str">
        <x:v>分成导入锁定</x:v>
      </x:c>
      <x:c r="I488" s="9" t="str">
        <x:v>1. 平台管理员账号可用
2. 模板文件含2条有效公会分成且线下核算完成</x:v>
      </x:c>
      <x:c r="J488" s="9" t="str">
        <x:v>1. 打开公会分成记录
2. 点击上传
3. 输入分成备注为本月线下结算
4. 上传该文件
5. 点击确认导入</x:v>
      </x:c>
      <x:c r="K488" s="9" t="str">
        <x:v>生成不可编辑或删除的分成记录</x:v>
      </x:c>
      <x:c r="L488" s="10" t="str">
        <x:v>FLOW-FINANCE-GUILD</x:v>
      </x:c>
      <x:c r="M488" s="10" t="str">
        <x:v>未测</x:v>
      </x:c>
      <x:c r="N488" s="10" t="str"/>
      <x:c r="O488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规则：BR-41cb326e3956be4a
3. 未动态验证</x:v>
      </x:c>
    </x:row>
    <x:row r="489" ht="160" customHeight="1">
      <x:c r="A489" s="10" t="n">
        <x:v>488</x:v>
      </x:c>
      <x:c r="B489" s="10" t="str">
        <x:v>ADMIN-09-0018</x:v>
      </x:c>
      <x:c r="C489" s="10" t="str">
        <x:v>财务分成</x:v>
      </x:c>
      <x:c r="D489" s="10" t="str">
        <x:v>公会分成记录</x:v>
      </x:c>
      <x:c r="E489" s="10" t="str">
        <x:v>功能需求</x:v>
      </x:c>
      <x:c r="F489" s="10" t="str">
        <x:v>P1</x:v>
      </x:c>
      <x:c r="G489" s="9" t="str">
        <x:v>验证公会分成取消预览</x:v>
      </x:c>
      <x:c r="H489" s="9" t="str">
        <x:v>导入取消无记录</x:v>
      </x:c>
      <x:c r="I489" s="9" t="str">
        <x:v>1. 平台管理员账号可用
2. 文件与备注均有效且已进入预览</x:v>
      </x:c>
      <x:c r="J489" s="9" t="str">
        <x:v>1. 打开公会分成记录
2. 关闭预览弹窗</x:v>
      </x:c>
      <x:c r="K489" s="9" t="str">
        <x:v>不生成本次分成导入记录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规则：BR-5e75f29b2e9eb044
3. 未动态验证</x:v>
      </x:c>
    </x:row>
    <x:row r="490" ht="160" customHeight="1">
      <x:c r="A490" s="10" t="n">
        <x:v>489</x:v>
      </x:c>
      <x:c r="B490" s="10" t="str">
        <x:v>ADMIN-09-0019</x:v>
      </x:c>
      <x:c r="C490" s="10" t="str">
        <x:v>财务分成</x:v>
      </x:c>
      <x:c r="D490" s="10" t="str">
        <x:v>公会分成记录</x:v>
      </x:c>
      <x:c r="E490" s="10" t="str">
        <x:v>功能需求</x:v>
      </x:c>
      <x:c r="F490" s="10" t="str">
        <x:v>P1</x:v>
      </x:c>
      <x:c r="G490" s="9" t="str">
        <x:v>验证公会分成缺少备注</x:v>
      </x:c>
      <x:c r="H490" s="9" t="str">
        <x:v>导入备注必填</x:v>
      </x:c>
      <x:c r="I490" s="9" t="str">
        <x:v>1. 平台管理员账号可用
2. 文件符合模板</x:v>
      </x:c>
      <x:c r="J490" s="9" t="str">
        <x:v>1. 打开公会分成记录
2. 点击上传
3. 清空分成备注
4. 上传该文件
5. 点击确认导入</x:v>
      </x:c>
      <x:c r="K490" s="9" t="str">
        <x:v>没有备注的导入不能提交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规则：BR-660c4c2e4829bf0f
3. 未动态验证</x:v>
      </x:c>
    </x:row>
    <x:row r="491" ht="160" customHeight="1">
      <x:c r="A491" s="10" t="n">
        <x:v>490</x:v>
      </x:c>
      <x:c r="B491" s="10" t="str">
        <x:v>ADMIN-09-0020</x:v>
      </x:c>
      <x:c r="C491" s="10" t="str">
        <x:v>财务分成</x:v>
      </x:c>
      <x:c r="D491" s="10" t="str">
        <x:v>公会分成记录</x:v>
      </x:c>
      <x:c r="E491" s="10" t="str">
        <x:v>功能需求</x:v>
      </x:c>
      <x:c r="F491" s="10" t="str">
        <x:v>P1</x:v>
      </x:c>
      <x:c r="G491" s="9" t="str">
        <x:v>验证公会分成备注超长</x:v>
      </x:c>
      <x:c r="H491" s="9" t="str">
        <x:v>导入备注长度上限</x:v>
      </x:c>
      <x:c r="I491" s="9" t="str">
        <x:v>1. 平台管理员账号可用
2. 文件符合模板</x:v>
      </x:c>
      <x:c r="J491" s="9" t="str">
        <x:v>1. 打开公会分成记录
2. 点击上传
3. 输入分成备注为101个汉字
4. 上传该文件
5. 点击确认导入</x:v>
      </x:c>
      <x:c r="K491" s="9" t="str">
        <x:v>超过100字备注不能保存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规则：BR-8a2ddf89d5bb8eb7
3. 未动态验证</x:v>
      </x:c>
    </x:row>
    <x:row r="492" ht="160" customHeight="1">
      <x:c r="A492" s="10" t="n">
        <x:v>491</x:v>
      </x:c>
      <x:c r="B492" s="10" t="str">
        <x:v>ADMIN-09-0021</x:v>
      </x:c>
      <x:c r="C492" s="10" t="str">
        <x:v>财务分成</x:v>
      </x:c>
      <x:c r="D492" s="10" t="str">
        <x:v>公会分成记录</x:v>
      </x:c>
      <x:c r="E492" s="10" t="str">
        <x:v>功能需求</x:v>
      </x:c>
      <x:c r="F492" s="10" t="str">
        <x:v>P1</x:v>
      </x:c>
      <x:c r="G492" s="9" t="str">
        <x:v>验证公会分成上传人记录</x:v>
      </x:c>
      <x:c r="H492" s="9" t="str">
        <x:v>导入操作者归属</x:v>
      </x:c>
      <x:c r="I492" s="9" t="str">
        <x:v>1. 平台管理员账号可用
2. 当前后台账号已知，文件与备注有效</x:v>
      </x:c>
      <x:c r="J492" s="9" t="str">
        <x:v>1. 打开公会分成记录
2. 点击上传
3. 输入分成备注为本月线下结算
4. 上传该文件
5. 点击确认导入</x:v>
      </x:c>
      <x:c r="K492" s="9" t="str">
        <x:v>上传人记录为当前后台账号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规则：BR-e3236768a4036104
3. 未动态验证</x:v>
      </x:c>
    </x:row>
    <x:row r="493" ht="160" customHeight="1">
      <x:c r="A493" s="10" t="n">
        <x:v>492</x:v>
      </x:c>
      <x:c r="B493" s="10" t="str">
        <x:v>ADMIN-09-0022</x:v>
      </x:c>
      <x:c r="C493" s="10" t="str">
        <x:v>财务分成</x:v>
      </x:c>
      <x:c r="D493" s="10" t="str">
        <x:v>公会分成记录</x:v>
      </x:c>
      <x:c r="E493" s="10" t="str">
        <x:v>逻辑校验</x:v>
      </x:c>
      <x:c r="F493" s="10" t="str">
        <x:v>P1</x:v>
      </x:c>
      <x:c r="G493" s="9" t="str">
        <x:v>验证公会分成总额预览</x:v>
      </x:c>
      <x:c r="H493" s="9" t="str">
        <x:v>导入金额合计</x:v>
      </x:c>
      <x:c r="I493" s="9" t="str">
        <x:v>1. 平台管理员账号可用
2. 文件两条不同公会有效明细分别100和200USD</x:v>
      </x:c>
      <x:c r="J493" s="9" t="str">
        <x:v>1. 打开公会分成记录
2. 点击上传
3. 输入分成备注为本月线下结算
4. 上传该文件</x:v>
      </x:c>
      <x:c r="K493" s="9" t="str">
        <x:v>计算结果：分成总金额=100+200=300USD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规则：BR-849498c009871e3a
3. 未动态验证</x:v>
      </x:c>
    </x:row>
    <x:row r="494" ht="160" customHeight="1">
      <x:c r="A494" s="10" t="n">
        <x:v>493</x:v>
      </x:c>
      <x:c r="B494" s="10" t="str">
        <x:v>ADMIN-09-0023</x:v>
      </x:c>
      <x:c r="C494" s="10" t="str">
        <x:v>财务分成</x:v>
      </x:c>
      <x:c r="D494" s="10" t="str">
        <x:v>公会分成记录</x:v>
      </x:c>
      <x:c r="E494" s="10" t="str">
        <x:v>功能需求</x:v>
      </x:c>
      <x:c r="F494" s="10" t="str">
        <x:v>P1</x:v>
      </x:c>
      <x:c r="G494" s="9" t="str">
        <x:v>验证公会分成导入XLSX</x:v>
      </x:c>
      <x:c r="H494" s="9" t="str">
        <x:v>分成文件格式</x:v>
      </x:c>
      <x:c r="I494" s="9" t="str">
        <x:v>1. 平台管理员账号可用
2. 按下载模板准备1条有效公会记录，保存为XLSX，备注有效</x:v>
      </x:c>
      <x:c r="J494" s="9" t="str">
        <x:v>1. 打开公会分成记录
2. 点击上传
3. 输入分成备注为线下结算
4. 上传该XLSX文件</x:v>
      </x:c>
      <x:c r="K494" s="9" t="str">
        <x:v>可进入该文件明细预览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规则：BR-2baac6f24d9c4289
3. 未动态验证</x:v>
      </x:c>
    </x:row>
    <x:row r="495" ht="160" customHeight="1">
      <x:c r="A495" s="10" t="n">
        <x:v>494</x:v>
      </x:c>
      <x:c r="B495" s="10" t="str">
        <x:v>ADMIN-09-0024</x:v>
      </x:c>
      <x:c r="C495" s="10" t="str">
        <x:v>财务分成</x:v>
      </x:c>
      <x:c r="D495" s="10" t="str">
        <x:v>公会分成记录</x:v>
      </x:c>
      <x:c r="E495" s="10" t="str">
        <x:v>功能需求</x:v>
      </x:c>
      <x:c r="F495" s="10" t="str">
        <x:v>P1</x:v>
      </x:c>
      <x:c r="G495" s="9" t="str">
        <x:v>验证公会分成导入XLS</x:v>
      </x:c>
      <x:c r="H495" s="9" t="str">
        <x:v>分成文件格式</x:v>
      </x:c>
      <x:c r="I495" s="9" t="str">
        <x:v>1. 平台管理员账号可用
2. 按下载模板准备1条有效公会记录，保存为XLS，备注有效</x:v>
      </x:c>
      <x:c r="J495" s="9" t="str">
        <x:v>1. 打开公会分成记录
2. 点击上传
3. 输入分成备注为线下结算
4. 上传该XLS文件</x:v>
      </x:c>
      <x:c r="K495" s="9" t="str">
        <x:v>可进入该文件明细预览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规则：BR-e5e96d712dd3a998
3. 未动态验证</x:v>
      </x:c>
    </x:row>
    <x:row r="496" ht="160" customHeight="1">
      <x:c r="A496" s="10" t="n">
        <x:v>495</x:v>
      </x:c>
      <x:c r="B496" s="10" t="str">
        <x:v>ADMIN-09-0025</x:v>
      </x:c>
      <x:c r="C496" s="10" t="str">
        <x:v>财务分成</x:v>
      </x:c>
      <x:c r="D496" s="10" t="str">
        <x:v>公会分成记录</x:v>
      </x:c>
      <x:c r="E496" s="10" t="str">
        <x:v>功能需求</x:v>
      </x:c>
      <x:c r="F496" s="10" t="str">
        <x:v>P1</x:v>
      </x:c>
      <x:c r="G496" s="9" t="str">
        <x:v>验证公会分成导入CSV</x:v>
      </x:c>
      <x:c r="H496" s="9" t="str">
        <x:v>分成文件格式</x:v>
      </x:c>
      <x:c r="I496" s="9" t="str">
        <x:v>1. 平台管理员账号可用
2. 按下载模板准备1条有效公会记录，保存为CSV，备注有效</x:v>
      </x:c>
      <x:c r="J496" s="9" t="str">
        <x:v>1. 打开公会分成记录
2. 点击上传
3. 输入分成备注为线下结算
4. 上传该CSV文件</x:v>
      </x:c>
      <x:c r="K496" s="9" t="str">
        <x:v>可进入该文件明细预览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规则：BR-c0b6dda21d009219
3. 未动态验证</x:v>
      </x:c>
    </x:row>
    <x:row r="497" ht="115" customHeight="1">
      <x:c r="A497" s="10" t="n">
        <x:v>496</x:v>
      </x:c>
      <x:c r="B497" s="10" t="str">
        <x:v>ADMIN-09-0026</x:v>
      </x:c>
      <x:c r="C497" s="10" t="str">
        <x:v>财务分成</x:v>
      </x:c>
      <x:c r="D497" s="10" t="str">
        <x:v>主播账户余额</x:v>
      </x:c>
      <x:c r="E497" s="10" t="str">
        <x:v>逻辑校验</x:v>
      </x:c>
      <x:c r="F497" s="10" t="str">
        <x:v>P1</x:v>
      </x:c>
      <x:c r="G497" s="9" t="str">
        <x:v>验证主播账户余额范围汇总</x:v>
      </x:c>
      <x:c r="H497" s="9" t="str">
        <x:v>筛选余额汇总</x:v>
      </x:c>
      <x:c r="I497" s="9" t="str">
        <x:v>1. 平台管理员账号可用
2. 当前筛选两个主播余额100USD及200USD，另有范围外余额500USD</x:v>
      </x:c>
      <x:c r="J497" s="9" t="str">
        <x:v>1. 打开主播账户余额
2. 点击查询</x:v>
      </x:c>
      <x:c r="K497" s="9" t="str">
        <x:v>计算结果：汇总余额=100+200=300USD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来源（当前证据）：liveshow-proto/MainBasis/统一需求文档.md；位置：第3159行、第3161行 REQ-b47afd31b70e、第3162行 REQ-3494e1a0c32d、第3163行 REQ-6d05478dbf53
2. 规则：BR-f37fb1ed13b2d7b7
3. 未动态验证</x:v>
      </x:c>
    </x:row>
    <x:row r="498" ht="115" customHeight="1">
      <x:c r="A498" s="10" t="n">
        <x:v>497</x:v>
      </x:c>
      <x:c r="B498" s="10" t="str">
        <x:v>ADMIN-09-0027</x:v>
      </x:c>
      <x:c r="C498" s="10" t="str">
        <x:v>财务分成</x:v>
      </x:c>
      <x:c r="D498" s="10" t="str">
        <x:v>主播账户余额</x:v>
      </x:c>
      <x:c r="E498" s="10" t="str">
        <x:v>功能需求</x:v>
      </x:c>
      <x:c r="F498" s="10" t="str">
        <x:v>P1</x:v>
      </x:c>
      <x:c r="G498" s="9" t="str">
        <x:v>验证主播余额进入流水</x:v>
      </x:c>
      <x:c r="H498" s="9" t="str">
        <x:v>余额流水归属</x:v>
      </x:c>
      <x:c r="I498" s="9" t="str">
        <x:v>1. 平台管理员账号可用
2. 存在两个不同主播账户</x:v>
      </x:c>
      <x:c r="J498" s="9" t="str">
        <x:v>1. 打开主播账户余额
2. 点击其中一个账户余额</x:v>
      </x:c>
      <x:c r="K498" s="9" t="str">
        <x:v>进入所选主播余额变更记录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来源（当前证据）：liveshow-proto/MainBasis/统一需求文档.md；位置：第3159行、第3161行 REQ-b47afd31b70e、第3162行 REQ-3494e1a0c32d、第3163行 REQ-6d05478dbf53
2. 规则：BR-4fcf900a92c18da6
3. 未动态验证</x:v>
      </x:c>
    </x:row>
    <x:row r="499" ht="145" customHeight="1">
      <x:c r="A499" s="10" t="n">
        <x:v>498</x:v>
      </x:c>
      <x:c r="B499" s="10" t="str">
        <x:v>ADMIN-09-0028</x:v>
      </x:c>
      <x:c r="C499" s="10" t="str">
        <x:v>财务分成</x:v>
      </x:c>
      <x:c r="D499" s="10" t="str">
        <x:v>余额变更记录（主播账户）</x:v>
      </x:c>
      <x:c r="E499" s="10" t="str">
        <x:v>功能需求</x:v>
      </x:c>
      <x:c r="F499" s="10" t="str">
        <x:v>P1</x:v>
      </x:c>
      <x:c r="G499" s="9" t="str">
        <x:v>验证主播零金额修正</x:v>
      </x:c>
      <x:c r="H499" s="9" t="str">
        <x:v>修正金额非零</x:v>
      </x:c>
      <x:c r="I499" s="9" t="str">
        <x:v>1. 平台管理员账号可用
2. 当前余额100USD
3. 当前选定待核对主播的唯一ID</x:v>
      </x:c>
      <x:c r="J499" s="9" t="str">
        <x:v>1. 打开主播账户余额列表中该ID的余额变更记录
2. 点击余额变更
3. 输入变更金额为0
4. 输入备注为账务修正
5. 点击确认</x:v>
      </x:c>
      <x:c r="K499" s="9" t="str">
        <x:v>零金额修正不能保存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规则：BR-3116657534eabd85
3. 未动态验证</x:v>
      </x:c>
    </x:row>
    <x:row r="500" ht="145" customHeight="1">
      <x:c r="A500" s="10" t="n">
        <x:v>499</x:v>
      </x:c>
      <x:c r="B500" s="10" t="str">
        <x:v>ADMIN-09-0029</x:v>
      </x:c>
      <x:c r="C500" s="10" t="str">
        <x:v>财务分成</x:v>
      </x:c>
      <x:c r="D500" s="10" t="str">
        <x:v>余额变更记录（主播账户）</x:v>
      </x:c>
      <x:c r="E500" s="10" t="str">
        <x:v>功能需求</x:v>
      </x:c>
      <x:c r="F500" s="10" t="str">
        <x:v>P1</x:v>
      </x:c>
      <x:c r="G500" s="9" t="str">
        <x:v>验证主播超额扣减</x:v>
      </x:c>
      <x:c r="H500" s="9" t="str">
        <x:v>手工修正负余额保护</x:v>
      </x:c>
      <x:c r="I500" s="9" t="str">
        <x:v>1. 平台管理员账号可用
2. 当前余额100USD
3. 当前选定待核对主播的唯一ID</x:v>
      </x:c>
      <x:c r="J500" s="9" t="str">
        <x:v>1. 打开主播账户余额列表中该ID的余额变更记录
2. 点击余额变更
3. 输入变更金额为-100,01
4. 输入备注为账务修正
5. 点击确认</x:v>
      </x:c>
      <x:c r="K500" s="9" t="str">
        <x:v>超出余额的负向修正不能保存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规则：BR-884769e37f1ff8d7
3. 未动态验证</x:v>
      </x:c>
    </x:row>
    <x:row r="501" ht="145" customHeight="1">
      <x:c r="A501" s="10" t="n">
        <x:v>500</x:v>
      </x:c>
      <x:c r="B501" s="10" t="str">
        <x:v>ADMIN-09-0030</x:v>
      </x:c>
      <x:c r="C501" s="10" t="str">
        <x:v>财务分成</x:v>
      </x:c>
      <x:c r="D501" s="10" t="str">
        <x:v>余额变更记录（主播账户）</x:v>
      </x:c>
      <x:c r="E501" s="10" t="str">
        <x:v>功能需求</x:v>
      </x:c>
      <x:c r="F501" s="10" t="str">
        <x:v>P1</x:v>
      </x:c>
      <x:c r="G501" s="9" t="str">
        <x:v>验证主播足额扣减至零</x:v>
      </x:c>
      <x:c r="H501" s="9" t="str">
        <x:v>修正扣减上界</x:v>
      </x:c>
      <x:c r="I501" s="9" t="str">
        <x:v>1. 平台管理员账号可用
2. 当前余额100USD
3. 当前选定待核对主播的唯一ID</x:v>
      </x:c>
      <x:c r="J501" s="9" t="str">
        <x:v>1. 打开主播账户余额列表中该ID的余额变更记录
2. 点击余额变更
3. 输入变更金额为-100
4. 输入备注为账务修正
5. 点击确认</x:v>
      </x:c>
      <x:c r="K501" s="9" t="str">
        <x:v>变更后余额显示0USD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规则：BR-0c781bd6870b2c2d
3. 未动态验证</x:v>
      </x:c>
    </x:row>
    <x:row r="502" ht="145" customHeight="1">
      <x:c r="A502" s="10" t="n">
        <x:v>501</x:v>
      </x:c>
      <x:c r="B502" s="10" t="str">
        <x:v>ADMIN-09-0031</x:v>
      </x:c>
      <x:c r="C502" s="10" t="str">
        <x:v>财务分成</x:v>
      </x:c>
      <x:c r="D502" s="10" t="str">
        <x:v>余额变更记录（主播账户）</x:v>
      </x:c>
      <x:c r="E502" s="10" t="str">
        <x:v>逻辑校验</x:v>
      </x:c>
      <x:c r="F502" s="10" t="str">
        <x:v>P1</x:v>
      </x:c>
      <x:c r="G502" s="9" t="str">
        <x:v>验证主播正向增加余额</x:v>
      </x:c>
      <x:c r="H502" s="9" t="str">
        <x:v>正向修正余额</x:v>
      </x:c>
      <x:c r="I502" s="9" t="str">
        <x:v>1. 平台管理员账号可用
2. 当前余额100USD
3. 当前选定待核对主播的唯一ID</x:v>
      </x:c>
      <x:c r="J502" s="9" t="str">
        <x:v>1. 打开主播账户余额列表中该ID的余额变更记录
2. 点击余额变更
3. 输入变更金额为20
4. 输入备注为账务修正
5. 点击确认</x:v>
      </x:c>
      <x:c r="K502" s="9" t="str">
        <x:v>计算结果：变更后余额=100+20=120USD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规则：BR-2e51b81b411b9d18
3. 未动态验证</x:v>
      </x:c>
    </x:row>
    <x:row r="503" ht="145" customHeight="1">
      <x:c r="A503" s="10" t="n">
        <x:v>502</x:v>
      </x:c>
      <x:c r="B503" s="10" t="str">
        <x:v>ADMIN-09-0032</x:v>
      </x:c>
      <x:c r="C503" s="10" t="str">
        <x:v>财务分成</x:v>
      </x:c>
      <x:c r="D503" s="10" t="str">
        <x:v>余额变更记录（主播账户）</x:v>
      </x:c>
      <x:c r="E503" s="10" t="str">
        <x:v>功能需求</x:v>
      </x:c>
      <x:c r="F503" s="10" t="str">
        <x:v>P1</x:v>
      </x:c>
      <x:c r="G503" s="9" t="str">
        <x:v>验证主播三位小数修正</x:v>
      </x:c>
      <x:c r="H503" s="9" t="str">
        <x:v>余额修正精度</x:v>
      </x:c>
      <x:c r="I503" s="9" t="str">
        <x:v>1. 平台管理员账号可用
2. 当前余额100USD
3. 当前选定待核对主播的唯一ID</x:v>
      </x:c>
      <x:c r="J503" s="9" t="str">
        <x:v>1. 打开主播账户余额列表中该ID的余额变更记录
2. 点击余额变更
3. 输入变更金额为1,001
4. 输入备注为账务修正
5. 点击确认</x:v>
      </x:c>
      <x:c r="K503" s="9" t="str">
        <x:v>超过两位小数的金额不能保存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规则：BR-cab9744dd2c758e9
3. 未动态验证</x:v>
      </x:c>
    </x:row>
    <x:row r="504" ht="145" customHeight="1">
      <x:c r="A504" s="10" t="n">
        <x:v>503</x:v>
      </x:c>
      <x:c r="B504" s="10" t="str">
        <x:v>ADMIN-09-0033</x:v>
      </x:c>
      <x:c r="C504" s="10" t="str">
        <x:v>财务分成</x:v>
      </x:c>
      <x:c r="D504" s="10" t="str">
        <x:v>余额变更记录（主播账户）</x:v>
      </x:c>
      <x:c r="E504" s="10" t="str">
        <x:v>功能需求</x:v>
      </x:c>
      <x:c r="F504" s="10" t="str">
        <x:v>P1</x:v>
      </x:c>
      <x:c r="G504" s="9" t="str">
        <x:v>验证主播备注未填</x:v>
      </x:c>
      <x:c r="H504" s="9" t="str">
        <x:v>修正原因必填</x:v>
      </x:c>
      <x:c r="I504" s="9" t="str">
        <x:v>1. 平台管理员账号可用
2. 当前余额100USD
3. 当前选定待核对主播的唯一ID</x:v>
      </x:c>
      <x:c r="J504" s="9" t="str">
        <x:v>1. 打开主播账户余额列表中该ID的余额变更记录
2. 点击余额变更
3. 输入变更金额为1
4. 清空备注
5. 点击确认</x:v>
      </x:c>
      <x:c r="K504" s="9" t="str">
        <x:v>无备注的修正不能保存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规则：BR-a1622b32a9fd19a7
3. 未动态验证</x:v>
      </x:c>
    </x:row>
    <x:row r="505" ht="145" customHeight="1">
      <x:c r="A505" s="10" t="n">
        <x:v>504</x:v>
      </x:c>
      <x:c r="B505" s="10" t="str">
        <x:v>ADMIN-09-0034</x:v>
      </x:c>
      <x:c r="C505" s="10" t="str">
        <x:v>财务分成</x:v>
      </x:c>
      <x:c r="D505" s="10" t="str">
        <x:v>余额变更记录（主播账户）</x:v>
      </x:c>
      <x:c r="E505" s="10" t="str">
        <x:v>功能需求</x:v>
      </x:c>
      <x:c r="F505" s="10" t="str">
        <x:v>P1</x:v>
      </x:c>
      <x:c r="G505" s="9" t="str">
        <x:v>验证主播修正流水不可改</x:v>
      </x:c>
      <x:c r="H505" s="9" t="str">
        <x:v>修正流水只读</x:v>
      </x:c>
      <x:c r="I505" s="9" t="str">
        <x:v>1. 平台管理员账号可用
2. 已有成功分成修正流水
3. 当前选定待核对主播的唯一ID</x:v>
      </x:c>
      <x:c r="J505" s="9" t="str">
        <x:v>1. 打开主播账户余额列表中该ID的余额变更记录</x:v>
      </x:c>
      <x:c r="K505" s="9" t="str">
        <x:v>已生成的修正流水不可修改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规则：BR-127d08f8d5c80e1a
3. 未动态验证</x:v>
      </x:c>
    </x:row>
    <x:row r="506" ht="130" customHeight="1">
      <x:c r="A506" s="10" t="n">
        <x:v>505</x:v>
      </x:c>
      <x:c r="B506" s="10" t="str">
        <x:v>ADMIN-09-0035</x:v>
      </x:c>
      <x:c r="C506" s="10" t="str">
        <x:v>财务分成</x:v>
      </x:c>
      <x:c r="D506" s="10" t="str">
        <x:v>主播分成记录详情</x:v>
      </x:c>
      <x:c r="E506" s="10" t="str">
        <x:v>功能需求</x:v>
      </x:c>
      <x:c r="F506" s="10" t="str">
        <x:v>P1</x:v>
      </x:c>
      <x:c r="G506" s="9" t="str">
        <x:v>验证主播分成详情只读</x:v>
      </x:c>
      <x:c r="H506" s="9" t="str">
        <x:v>分成审批边界</x:v>
      </x:c>
      <x:c r="I506" s="9" t="str">
        <x:v>1. 平台管理员账号可用
2. 已上传结果批次</x:v>
      </x:c>
      <x:c r="J506" s="9" t="str">
        <x:v>1. 打开主播分成记录详情</x:v>
      </x:c>
      <x:c r="K506" s="9" t="str">
        <x:v>详情不提供线上审批或编辑操作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规则：BR-e7bdb5aef559e47f
3. 未动态验证</x:v>
      </x:c>
    </x:row>
    <x:row r="507" ht="130" customHeight="1">
      <x:c r="A507" s="10" t="n">
        <x:v>506</x:v>
      </x:c>
      <x:c r="B507" s="10" t="str">
        <x:v>ADMIN-09-0036</x:v>
      </x:c>
      <x:c r="C507" s="10" t="str">
        <x:v>财务分成</x:v>
      </x:c>
      <x:c r="D507" s="10" t="str">
        <x:v>主播分成记录详情</x:v>
      </x:c>
      <x:c r="E507" s="10" t="str">
        <x:v>逻辑校验</x:v>
      </x:c>
      <x:c r="F507" s="10" t="str">
        <x:v>P1</x:v>
      </x:c>
      <x:c r="G507" s="9" t="str">
        <x:v>验证主播分成批次总额</x:v>
      </x:c>
      <x:c r="H507" s="9" t="str">
        <x:v>分成批次金额一致性</x:v>
      </x:c>
      <x:c r="I507" s="9" t="str">
        <x:v>1. 平台管理员账号可用
2. 批次中两条不同主播金额分别100USD和200USD</x:v>
      </x:c>
      <x:c r="J507" s="9" t="str">
        <x:v>1. 打开主播分成记录详情</x:v>
      </x:c>
      <x:c r="K507" s="9" t="str">
        <x:v>计算结果：批次总金额=100+200=300USD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规则：BR-f1d6de19912fce06
3. 未动态验证</x:v>
      </x:c>
    </x:row>
    <x:row r="508" ht="130" customHeight="1">
      <x:c r="A508" s="10" t="n">
        <x:v>507</x:v>
      </x:c>
      <x:c r="B508" s="10" t="str">
        <x:v>ADMIN-09-0037</x:v>
      </x:c>
      <x:c r="C508" s="10" t="str">
        <x:v>财务分成</x:v>
      </x:c>
      <x:c r="D508" s="10" t="str">
        <x:v>主播分成记录详情</x:v>
      </x:c>
      <x:c r="E508" s="10" t="str">
        <x:v>功能需求</x:v>
      </x:c>
      <x:c r="F508" s="10" t="str">
        <x:v>P1</x:v>
      </x:c>
      <x:c r="G508" s="9" t="str">
        <x:v>验证主播分成记录详情读取分成批次快照：主播批次记录ID</x:v>
      </x:c>
      <x:c r="H508" s="9" t="str">
        <x:v>主播批次记录ID</x:v>
      </x:c>
      <x:c r="I508" s="9" t="str">
        <x:v>1. 平台管理员账号可用
2. 所选批次包含2个不同主播，已知上传备注、上传人和时间</x:v>
      </x:c>
      <x:c r="J508" s="9" t="str">
        <x:v>1. 打开主播分成记录详情</x:v>
      </x:c>
      <x:c r="K508" s="9" t="str">
        <x:v>记录ID对应所选主播分成批次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规则：BR-5bffee450cffa23a
3. 未动态验证</x:v>
      </x:c>
    </x:row>
    <x:row r="509" ht="130" customHeight="1">
      <x:c r="A509" s="10" t="n">
        <x:v>508</x:v>
      </x:c>
      <x:c r="B509" s="10" t="str">
        <x:v>ADMIN-09-0038</x:v>
      </x:c>
      <x:c r="C509" s="10" t="str">
        <x:v>财务分成</x:v>
      </x:c>
      <x:c r="D509" s="10" t="str">
        <x:v>主播分成记录详情</x:v>
      </x:c>
      <x:c r="E509" s="10" t="str">
        <x:v>功能需求</x:v>
      </x:c>
      <x:c r="F509" s="10" t="str">
        <x:v>P1</x:v>
      </x:c>
      <x:c r="G509" s="9" t="str">
        <x:v>验证主播分成记录详情读取分成批次快照：主播批次上传人</x:v>
      </x:c>
      <x:c r="H509" s="9" t="str">
        <x:v>主播批次上传人</x:v>
      </x:c>
      <x:c r="I509" s="9" t="str">
        <x:v>1. 平台管理员账号可用
2. 所选批次包含2个不同主播，已知上传备注、上传人和时间</x:v>
      </x:c>
      <x:c r="J509" s="9" t="str">
        <x:v>1. 打开主播分成记录详情</x:v>
      </x:c>
      <x:c r="K509" s="9" t="str">
        <x:v>上传人对应实际上传该批次的账号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规则：BR-954dbe25cbd0700d
3. 未动态验证</x:v>
      </x:c>
    </x:row>
    <x:row r="510" ht="130" customHeight="1">
      <x:c r="A510" s="10" t="n">
        <x:v>509</x:v>
      </x:c>
      <x:c r="B510" s="10" t="str">
        <x:v>ADMIN-09-0039</x:v>
      </x:c>
      <x:c r="C510" s="10" t="str">
        <x:v>财务分成</x:v>
      </x:c>
      <x:c r="D510" s="10" t="str">
        <x:v>主播分成记录详情</x:v>
      </x:c>
      <x:c r="E510" s="10" t="str">
        <x:v>功能需求</x:v>
      </x:c>
      <x:c r="F510" s="10" t="str">
        <x:v>P1</x:v>
      </x:c>
      <x:c r="G510" s="9" t="str">
        <x:v>验证主播分成记录详情读取分成批次快照：主播批次明细归属</x:v>
      </x:c>
      <x:c r="H510" s="9" t="str">
        <x:v>主播批次明细归属</x:v>
      </x:c>
      <x:c r="I510" s="9" t="str">
        <x:v>1. 平台管理员账号可用
2. 所选批次包含2个不同主播，已知上传备注、上传人和时间</x:v>
      </x:c>
      <x:c r="J510" s="9" t="str">
        <x:v>1. 打开主播分成记录详情</x:v>
      </x:c>
      <x:c r="K510" s="9" t="str">
        <x:v>两条分成明细均属于所选批次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规则：BR-624fb6fd99d93b91
3. 未动态验证</x:v>
      </x:c>
    </x:row>
    <x:row r="511" ht="160" customHeight="1">
      <x:c r="A511" s="10" t="n">
        <x:v>510</x:v>
      </x:c>
      <x:c r="B511" s="10" t="str">
        <x:v>ADMIN-09-0040</x:v>
      </x:c>
      <x:c r="C511" s="10" t="str">
        <x:v>财务分成</x:v>
      </x:c>
      <x:c r="D511" s="10" t="str">
        <x:v>主播分成记录</x:v>
      </x:c>
      <x:c r="E511" s="10" t="str">
        <x:v>功能需求</x:v>
      </x:c>
      <x:c r="F511" s="10" t="str">
        <x:v>P1</x:v>
      </x:c>
      <x:c r="G511" s="9" t="str">
        <x:v>验证主播分成模板下载</x:v>
      </x:c>
      <x:c r="H511" s="9" t="str">
        <x:v>分成模板表头</x:v>
      </x:c>
      <x:c r="I511" s="9" t="str">
        <x:v>1. 平台管理员账号可用
2. 当前财务账号有上传权限</x:v>
      </x:c>
      <x:c r="J511" s="9" t="str">
        <x:v>1. 打开主播分成记录
2. 点击上传
3. 点击下载模板</x:v>
      </x:c>
      <x:c r="K511" s="9" t="str">
        <x:v>下载CSV表头依次为主播名称、主播ID、公会名称、公会ID、分成金额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规则：BR-88ee80b538e2fe79
3. 未动态验证</x:v>
      </x:c>
    </x:row>
    <x:row r="512" ht="160" customHeight="1">
      <x:c r="A512" s="10" t="n">
        <x:v>511</x:v>
      </x:c>
      <x:c r="B512" s="10" t="str">
        <x:v>ADMIN-09-0041</x:v>
      </x:c>
      <x:c r="C512" s="10" t="str">
        <x:v>财务分成</x:v>
      </x:c>
      <x:c r="D512" s="10" t="str">
        <x:v>主播分成记录</x:v>
      </x:c>
      <x:c r="E512" s="10" t="str">
        <x:v>功能需求</x:v>
      </x:c>
      <x:c r="F512" s="10" t="str">
        <x:v>P1</x:v>
      </x:c>
      <x:c r="G512" s="9" t="str">
        <x:v>验证主播分成预览来源</x:v>
      </x:c>
      <x:c r="H512" s="9" t="str">
        <x:v>上传文件明细解析</x:v>
      </x:c>
      <x:c r="I512" s="9" t="str">
        <x:v>1. 平台管理员账号可用
2. 按下载模板准备2条不同主播有效记录，金额100和200USD</x:v>
      </x:c>
      <x:c r="J512" s="9" t="str">
        <x:v>1. 打开主播分成记录
2. 点击上传
3. 输入分成备注为本月线下结算
4. 上传该文件</x:v>
      </x:c>
      <x:c r="K512" s="9" t="str">
        <x:v>预览仅显示文件中的2条明细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规则：BR-a230ab3612c5f178
3. 未动态验证</x:v>
      </x:c>
    </x:row>
    <x:row r="513" ht="160" customHeight="1">
      <x:c r="A513" s="10" t="n">
        <x:v>512</x:v>
      </x:c>
      <x:c r="B513" s="10" t="str">
        <x:v>ADMIN-09-0042</x:v>
      </x:c>
      <x:c r="C513" s="10" t="str">
        <x:v>财务分成</x:v>
      </x:c>
      <x:c r="D513" s="10" t="str">
        <x:v>主播分成记录</x:v>
      </x:c>
      <x:c r="E513" s="10" t="str">
        <x:v>功能需求</x:v>
      </x:c>
      <x:c r="F513" s="10" t="str">
        <x:v>P1</x:v>
      </x:c>
      <x:c r="G513" s="9" t="str">
        <x:v>验证主播分成确认导入</x:v>
      </x:c>
      <x:c r="H513" s="9" t="str">
        <x:v>分成导入锁定</x:v>
      </x:c>
      <x:c r="I513" s="9" t="str">
        <x:v>1. 平台管理员账号可用
2. 模板文件含2条有效主播分成且线下核算完成</x:v>
      </x:c>
      <x:c r="J513" s="9" t="str">
        <x:v>1. 打开主播分成记录
2. 点击上传
3. 输入分成备注为本月线下结算
4. 上传该文件
5. 点击确认导入</x:v>
      </x:c>
      <x:c r="K513" s="9" t="str">
        <x:v>生成不可编辑或删除的分成记录</x:v>
      </x:c>
      <x:c r="L513" s="10" t="str">
        <x:v>FLOW-FINANCE-HOST</x:v>
      </x:c>
      <x:c r="M513" s="10" t="str">
        <x:v>未测</x:v>
      </x:c>
      <x:c r="N513" s="10" t="str"/>
      <x:c r="O513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规则：BR-eed3ee9d929f5542
3. 未动态验证</x:v>
      </x:c>
    </x:row>
    <x:row r="514" ht="160" customHeight="1">
      <x:c r="A514" s="10" t="n">
        <x:v>513</x:v>
      </x:c>
      <x:c r="B514" s="10" t="str">
        <x:v>ADMIN-09-0043</x:v>
      </x:c>
      <x:c r="C514" s="10" t="str">
        <x:v>财务分成</x:v>
      </x:c>
      <x:c r="D514" s="10" t="str">
        <x:v>主播分成记录</x:v>
      </x:c>
      <x:c r="E514" s="10" t="str">
        <x:v>功能需求</x:v>
      </x:c>
      <x:c r="F514" s="10" t="str">
        <x:v>P1</x:v>
      </x:c>
      <x:c r="G514" s="9" t="str">
        <x:v>验证主播分成取消预览</x:v>
      </x:c>
      <x:c r="H514" s="9" t="str">
        <x:v>导入取消无记录</x:v>
      </x:c>
      <x:c r="I514" s="9" t="str">
        <x:v>1. 平台管理员账号可用
2. 文件与备注均有效且已进入预览</x:v>
      </x:c>
      <x:c r="J514" s="9" t="str">
        <x:v>1. 打开主播分成记录
2. 关闭预览弹窗</x:v>
      </x:c>
      <x:c r="K514" s="9" t="str">
        <x:v>不生成本次分成导入记录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规则：BR-4aca02950e14af37
3. 未动态验证</x:v>
      </x:c>
    </x:row>
    <x:row r="515" ht="160" customHeight="1">
      <x:c r="A515" s="10" t="n">
        <x:v>514</x:v>
      </x:c>
      <x:c r="B515" s="10" t="str">
        <x:v>ADMIN-09-0044</x:v>
      </x:c>
      <x:c r="C515" s="10" t="str">
        <x:v>财务分成</x:v>
      </x:c>
      <x:c r="D515" s="10" t="str">
        <x:v>主播分成记录</x:v>
      </x:c>
      <x:c r="E515" s="10" t="str">
        <x:v>功能需求</x:v>
      </x:c>
      <x:c r="F515" s="10" t="str">
        <x:v>P1</x:v>
      </x:c>
      <x:c r="G515" s="9" t="str">
        <x:v>验证主播分成缺少备注</x:v>
      </x:c>
      <x:c r="H515" s="9" t="str">
        <x:v>导入备注必填</x:v>
      </x:c>
      <x:c r="I515" s="9" t="str">
        <x:v>1. 平台管理员账号可用
2. 文件符合模板</x:v>
      </x:c>
      <x:c r="J515" s="9" t="str">
        <x:v>1. 打开主播分成记录
2. 点击上传
3. 清空分成备注
4. 上传该文件
5. 点击确认导入</x:v>
      </x:c>
      <x:c r="K515" s="9" t="str">
        <x:v>没有备注的导入不能提交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规则：BR-a6e5e72157e1a366
3. 未动态验证</x:v>
      </x:c>
    </x:row>
    <x:row r="516" ht="160" customHeight="1">
      <x:c r="A516" s="10" t="n">
        <x:v>515</x:v>
      </x:c>
      <x:c r="B516" s="10" t="str">
        <x:v>ADMIN-09-0045</x:v>
      </x:c>
      <x:c r="C516" s="10" t="str">
        <x:v>财务分成</x:v>
      </x:c>
      <x:c r="D516" s="10" t="str">
        <x:v>主播分成记录</x:v>
      </x:c>
      <x:c r="E516" s="10" t="str">
        <x:v>功能需求</x:v>
      </x:c>
      <x:c r="F516" s="10" t="str">
        <x:v>P1</x:v>
      </x:c>
      <x:c r="G516" s="9" t="str">
        <x:v>验证主播分成备注超长</x:v>
      </x:c>
      <x:c r="H516" s="9" t="str">
        <x:v>导入备注长度上限</x:v>
      </x:c>
      <x:c r="I516" s="9" t="str">
        <x:v>1. 平台管理员账号可用
2. 文件符合模板</x:v>
      </x:c>
      <x:c r="J516" s="9" t="str">
        <x:v>1. 打开主播分成记录
2. 点击上传
3. 输入分成备注为101个汉字
4. 上传该文件
5. 点击确认导入</x:v>
      </x:c>
      <x:c r="K516" s="9" t="str">
        <x:v>超过100字备注不能保存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规则：BR-2fb1630cf4cbb61a
3. 未动态验证</x:v>
      </x:c>
    </x:row>
    <x:row r="517" ht="160" customHeight="1">
      <x:c r="A517" s="10" t="n">
        <x:v>516</x:v>
      </x:c>
      <x:c r="B517" s="10" t="str">
        <x:v>ADMIN-09-0046</x:v>
      </x:c>
      <x:c r="C517" s="10" t="str">
        <x:v>财务分成</x:v>
      </x:c>
      <x:c r="D517" s="10" t="str">
        <x:v>主播分成记录</x:v>
      </x:c>
      <x:c r="E517" s="10" t="str">
        <x:v>功能需求</x:v>
      </x:c>
      <x:c r="F517" s="10" t="str">
        <x:v>P1</x:v>
      </x:c>
      <x:c r="G517" s="9" t="str">
        <x:v>验证主播分成上传人记录</x:v>
      </x:c>
      <x:c r="H517" s="9" t="str">
        <x:v>导入操作者归属</x:v>
      </x:c>
      <x:c r="I517" s="9" t="str">
        <x:v>1. 平台管理员账号可用
2. 当前后台账号已知，文件与备注有效</x:v>
      </x:c>
      <x:c r="J517" s="9" t="str">
        <x:v>1. 打开主播分成记录
2. 点击上传
3. 输入分成备注为本月线下结算
4. 上传该文件
5. 点击确认导入</x:v>
      </x:c>
      <x:c r="K517" s="9" t="str">
        <x:v>上传人记录为当前后台账号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规则：BR-11cdfee1f6612237
3. 未动态验证</x:v>
      </x:c>
    </x:row>
    <x:row r="518" ht="160" customHeight="1">
      <x:c r="A518" s="10" t="n">
        <x:v>517</x:v>
      </x:c>
      <x:c r="B518" s="10" t="str">
        <x:v>ADMIN-09-0047</x:v>
      </x:c>
      <x:c r="C518" s="10" t="str">
        <x:v>财务分成</x:v>
      </x:c>
      <x:c r="D518" s="10" t="str">
        <x:v>主播分成记录</x:v>
      </x:c>
      <x:c r="E518" s="10" t="str">
        <x:v>逻辑校验</x:v>
      </x:c>
      <x:c r="F518" s="10" t="str">
        <x:v>P1</x:v>
      </x:c>
      <x:c r="G518" s="9" t="str">
        <x:v>验证主播分成总额预览</x:v>
      </x:c>
      <x:c r="H518" s="9" t="str">
        <x:v>导入金额合计</x:v>
      </x:c>
      <x:c r="I518" s="9" t="str">
        <x:v>1. 平台管理员账号可用
2. 文件两条不同主播有效明细分别100和200USD</x:v>
      </x:c>
      <x:c r="J518" s="9" t="str">
        <x:v>1. 打开主播分成记录
2. 点击上传
3. 输入分成备注为本月线下结算
4. 上传该文件</x:v>
      </x:c>
      <x:c r="K518" s="9" t="str">
        <x:v>计算结果：分成总金额=100+200=300USD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规则：BR-e33b9834daf73ae9
3. 未动态验证</x:v>
      </x:c>
    </x:row>
    <x:row r="519" ht="160" customHeight="1">
      <x:c r="A519" s="10" t="n">
        <x:v>518</x:v>
      </x:c>
      <x:c r="B519" s="10" t="str">
        <x:v>ADMIN-09-0048</x:v>
      </x:c>
      <x:c r="C519" s="10" t="str">
        <x:v>财务分成</x:v>
      </x:c>
      <x:c r="D519" s="10" t="str">
        <x:v>主播分成记录</x:v>
      </x:c>
      <x:c r="E519" s="10" t="str">
        <x:v>功能需求</x:v>
      </x:c>
      <x:c r="F519" s="10" t="str">
        <x:v>P1</x:v>
      </x:c>
      <x:c r="G519" s="9" t="str">
        <x:v>验证主播分成导入XLSX</x:v>
      </x:c>
      <x:c r="H519" s="9" t="str">
        <x:v>分成文件格式</x:v>
      </x:c>
      <x:c r="I519" s="9" t="str">
        <x:v>1. 平台管理员账号可用
2. 按下载模板准备1条有效主播记录，保存为XLSX，备注有效</x:v>
      </x:c>
      <x:c r="J519" s="9" t="str">
        <x:v>1. 打开主播分成记录
2. 点击上传
3. 输入分成备注为线下结算
4. 上传该XLSX文件</x:v>
      </x:c>
      <x:c r="K519" s="9" t="str">
        <x:v>可进入该文件明细预览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规则：BR-a57816fdb1222c40
3. 未动态验证</x:v>
      </x:c>
    </x:row>
    <x:row r="520" ht="160" customHeight="1">
      <x:c r="A520" s="10" t="n">
        <x:v>519</x:v>
      </x:c>
      <x:c r="B520" s="10" t="str">
        <x:v>ADMIN-09-0049</x:v>
      </x:c>
      <x:c r="C520" s="10" t="str">
        <x:v>财务分成</x:v>
      </x:c>
      <x:c r="D520" s="10" t="str">
        <x:v>主播分成记录</x:v>
      </x:c>
      <x:c r="E520" s="10" t="str">
        <x:v>功能需求</x:v>
      </x:c>
      <x:c r="F520" s="10" t="str">
        <x:v>P1</x:v>
      </x:c>
      <x:c r="G520" s="9" t="str">
        <x:v>验证主播分成导入XLS</x:v>
      </x:c>
      <x:c r="H520" s="9" t="str">
        <x:v>分成文件格式</x:v>
      </x:c>
      <x:c r="I520" s="9" t="str">
        <x:v>1. 平台管理员账号可用
2. 按下载模板准备1条有效主播记录，保存为XLS，备注有效</x:v>
      </x:c>
      <x:c r="J520" s="9" t="str">
        <x:v>1. 打开主播分成记录
2. 点击上传
3. 输入分成备注为线下结算
4. 上传该XLS文件</x:v>
      </x:c>
      <x:c r="K520" s="9" t="str">
        <x:v>可进入该文件明细预览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规则：BR-65cd8acbef453285
3. 未动态验证</x:v>
      </x:c>
    </x:row>
    <x:row r="521" ht="160" customHeight="1">
      <x:c r="A521" s="10" t="n">
        <x:v>520</x:v>
      </x:c>
      <x:c r="B521" s="10" t="str">
        <x:v>ADMIN-09-0050</x:v>
      </x:c>
      <x:c r="C521" s="10" t="str">
        <x:v>财务分成</x:v>
      </x:c>
      <x:c r="D521" s="10" t="str">
        <x:v>主播分成记录</x:v>
      </x:c>
      <x:c r="E521" s="10" t="str">
        <x:v>功能需求</x:v>
      </x:c>
      <x:c r="F521" s="10" t="str">
        <x:v>P1</x:v>
      </x:c>
      <x:c r="G521" s="9" t="str">
        <x:v>验证主播分成导入CSV</x:v>
      </x:c>
      <x:c r="H521" s="9" t="str">
        <x:v>分成文件格式</x:v>
      </x:c>
      <x:c r="I521" s="9" t="str">
        <x:v>1. 平台管理员账号可用
2. 按下载模板准备1条有效主播记录，保存为CSV，备注有效</x:v>
      </x:c>
      <x:c r="J521" s="9" t="str">
        <x:v>1. 打开主播分成记录
2. 点击上传
3. 输入分成备注为线下结算
4. 上传该CSV文件</x:v>
      </x:c>
      <x:c r="K521" s="9" t="str">
        <x:v>可进入该文件明细预览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规则：BR-434c4fa24d47beb3
3. 未动态验证</x:v>
      </x:c>
    </x:row>
    <x:row r="522" ht="85" customHeight="1">
      <x:c r="A522" s="10" t="n">
        <x:v>521</x:v>
      </x:c>
      <x:c r="B522" s="10" t="str">
        <x:v>ADMIN-10-0001</x:v>
      </x:c>
      <x:c r="C522" s="10" t="str">
        <x:v>数据分析</x:v>
      </x:c>
      <x:c r="D522" s="10" t="str">
        <x:v>消费订单明细</x:v>
      </x:c>
      <x:c r="E522" s="10" t="str">
        <x:v>功能需求</x:v>
      </x:c>
      <x:c r="F522" s="10" t="str">
        <x:v>P1</x:v>
      </x:c>
      <x:c r="G522" s="9" t="str">
        <x:v>验证按日期过滤消费订单明细</x:v>
      </x:c>
      <x:c r="H522" s="9" t="str">
        <x:v>报表日期范围</x:v>
      </x:c>
      <x:c r="I522" s="9" t="str">
        <x:v>1. 平台管理员账号可用
2. 所选起止日内有2条可计入记录，结束日次日有1条</x:v>
      </x:c>
      <x:c r="J522" s="9" t="str">
        <x:v>1. 打开消费订单明细
2. 选择起止日期
3. 点击查询</x:v>
      </x:c>
      <x:c r="K522" s="9" t="str">
        <x:v>结果只包含所选日期内可计入的2条记录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来源（当前证据）：liveshow-proto/MainBasis/统一需求文档.md；位置：第3364行、第3371行 REQ-b92fb474b07f
2. 规则：BR-93d39a6f5e4c7165
3. 未动态验证</x:v>
      </x:c>
    </x:row>
    <x:row r="523" ht="85" customHeight="1">
      <x:c r="A523" s="10" t="n">
        <x:v>522</x:v>
      </x:c>
      <x:c r="B523" s="10" t="str">
        <x:v>ADMIN-10-0002</x:v>
      </x:c>
      <x:c r="C523" s="10" t="str">
        <x:v>数据分析</x:v>
      </x:c>
      <x:c r="D523" s="10" t="str">
        <x:v>消费订单明细</x:v>
      </x:c>
      <x:c r="E523" s="10" t="str">
        <x:v>功能需求</x:v>
      </x:c>
      <x:c r="F523" s="10" t="str">
        <x:v>P1</x:v>
      </x:c>
      <x:c r="G523" s="9" t="str">
        <x:v>验证导出消费订单明细</x:v>
      </x:c>
      <x:c r="H523" s="9" t="str">
        <x:v>报表导出范围</x:v>
      </x:c>
      <x:c r="I523" s="9" t="str">
        <x:v>1. 平台管理员账号可用
2. 当前筛选只包含2条明细，另有范围外明细</x:v>
      </x:c>
      <x:c r="J523" s="9" t="str">
        <x:v>1. 打开消费订单明细
2. 点击导出</x:v>
      </x:c>
      <x:c r="K523" s="9" t="str">
        <x:v>导出仅包含当前筛选的2条明细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来源（当前证据）：liveshow-proto/MainBasis/统一需求文档.md；位置：第3364行、第3371行 REQ-b92fb474b07f
2. 规则：BR-d368784af84d3d8f
3. 未动态验证</x:v>
      </x:c>
    </x:row>
    <x:row r="524" ht="115" customHeight="1">
      <x:c r="A524" s="10" t="n">
        <x:v>523</x:v>
      </x:c>
      <x:c r="B524" s="10" t="str">
        <x:v>ADMIN-10-0003</x:v>
      </x:c>
      <x:c r="C524" s="10" t="str">
        <x:v>数据分析</x:v>
      </x:c>
      <x:c r="D524" s="10" t="str">
        <x:v>消费订单明细</x:v>
      </x:c>
      <x:c r="E524" s="10" t="str">
        <x:v>功能需求</x:v>
      </x:c>
      <x:c r="F524" s="10" t="str">
        <x:v>P1</x:v>
      </x:c>
      <x:c r="G524" s="9" t="str">
        <x:v>验证消费订单明细读取成功真实消费明细</x:v>
      </x:c>
      <x:c r="H524" s="9" t="str">
        <x:v>成功真实消费明细字段来源</x:v>
      </x:c>
      <x:c r="I524" s="9" t="str">
        <x:v>1. 平台管理员账号可用
2. 范围内有成功真实、失败真实和成功虚拟订单各1笔</x:v>
      </x:c>
      <x:c r="J524" s="9" t="str">
        <x:v>1. 打开消费订单明细</x:v>
      </x:c>
      <x:c r="K524" s="9" t="str">
        <x:v>只显示成功真实金币订单及其消费场次ID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来源（当前证据）：liveshow-proto/MainBasis/统一需求文档.md；位置：第3364行、第3366行 REQ-4b8afc2fd892、第3369行 REQ-ab4321fab6cd、第3370行 REQ-177d4598c99c
2. 规则：BR-c5a79f15b6a11093
3. 未动态验证</x:v>
      </x:c>
    </x:row>
    <x:row r="525" ht="85" customHeight="1">
      <x:c r="A525" s="10" t="n">
        <x:v>524</x:v>
      </x:c>
      <x:c r="B525" s="10" t="str">
        <x:v>ADMIN-10-0004</x:v>
      </x:c>
      <x:c r="C525" s="10" t="str">
        <x:v>数据分析</x:v>
      </x:c>
      <x:c r="D525" s="10" t="str">
        <x:v>消费订单明细</x:v>
      </x:c>
      <x:c r="E525" s="10" t="str">
        <x:v>逻辑校验</x:v>
      </x:c>
      <x:c r="F525" s="10" t="str">
        <x:v>P1</x:v>
      </x:c>
      <x:c r="G525" s="9" t="str">
        <x:v>验证消费金币数值核算</x:v>
      </x:c>
      <x:c r="H525" s="9" t="str">
        <x:v>消费金币计算口径</x:v>
      </x:c>
      <x:c r="I525" s="9" t="str">
        <x:v>1. 平台管理员账号可用
2. 成功幸运礼物快照单价100金币、3件，返奖200另记</x:v>
      </x:c>
      <x:c r="J525" s="9" t="str">
        <x:v>1. 打开消费订单明细</x:v>
      </x:c>
      <x:c r="K525" s="9" t="str">
        <x:v>消费金币计算结果=300金币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来源（当前证据）：liveshow-proto/MainBasis/统一需求文档.md；位置：第3364行、第3367行 REQ-e744c2638e3b
2. 规则：BR-d590abeb6be5b9d5
3. 未动态验证</x:v>
      </x:c>
    </x:row>
    <x:row r="526" ht="85" customHeight="1">
      <x:c r="A526" s="10" t="n">
        <x:v>525</x:v>
      </x:c>
      <x:c r="B526" s="10" t="str">
        <x:v>ADMIN-10-0005</x:v>
      </x:c>
      <x:c r="C526" s="10" t="str">
        <x:v>数据分析</x:v>
      </x:c>
      <x:c r="D526" s="10" t="str">
        <x:v>消费订单明细</x:v>
      </x:c>
      <x:c r="E526" s="10" t="str">
        <x:v>功能需求</x:v>
      </x:c>
      <x:c r="F526" s="10" t="str">
        <x:v>P1</x:v>
      </x:c>
      <x:c r="G526" s="9" t="str">
        <x:v>验证普通礼物收益口径</x:v>
      </x:c>
      <x:c r="H526" s="9" t="str">
        <x:v>普通礼物主播收益</x:v>
      </x:c>
      <x:c r="I526" s="9" t="str">
        <x:v>1. 平台管理员账号可用
2. 成功普通礼物消费价值100金币；幸运赠送时配置比例1%，虚拟金币不计</x:v>
      </x:c>
      <x:c r="J526" s="9" t="str">
        <x:v>1. 打开消费订单明细</x:v>
      </x:c>
      <x:c r="K526" s="9" t="str">
        <x:v>主播收益计算结果=100×1=100金币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来源（当前证据）：liveshow-proto/MainBasis/统一需求文档.md；位置：第3364行、第3368行 REQ-656f13f679bf
2. 规则：BR-d7c407ac67ed0bf1
3. 未动态验证</x:v>
      </x:c>
    </x:row>
    <x:row r="527" ht="85" customHeight="1">
      <x:c r="A527" s="10" t="n">
        <x:v>526</x:v>
      </x:c>
      <x:c r="B527" s="10" t="str">
        <x:v>ADMIN-10-0006</x:v>
      </x:c>
      <x:c r="C527" s="10" t="str">
        <x:v>数据分析</x:v>
      </x:c>
      <x:c r="D527" s="10" t="str">
        <x:v>消费订单明细</x:v>
      </x:c>
      <x:c r="E527" s="10" t="str">
        <x:v>功能需求</x:v>
      </x:c>
      <x:c r="F527" s="10" t="str">
        <x:v>P1</x:v>
      </x:c>
      <x:c r="G527" s="9" t="str">
        <x:v>验证定制礼物收益口径</x:v>
      </x:c>
      <x:c r="H527" s="9" t="str">
        <x:v>定制礼物主播收益</x:v>
      </x:c>
      <x:c r="I527" s="9" t="str">
        <x:v>1. 平台管理员账号可用
2. 成功定制礼物消费价值100金币；幸运赠送时配置比例1%，虚拟金币不计</x:v>
      </x:c>
      <x:c r="J527" s="9" t="str">
        <x:v>1. 打开消费订单明细</x:v>
      </x:c>
      <x:c r="K527" s="9" t="str">
        <x:v>主播收益计算结果=100×1=100金币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来源（当前证据）：liveshow-proto/MainBasis/统一需求文档.md；位置：第3364行、第3368行 REQ-656f13f679bf
2. 规则：BR-76c95960ffb90f5b
3. 未动态验证</x:v>
      </x:c>
    </x:row>
    <x:row r="528" ht="85" customHeight="1">
      <x:c r="A528" s="10" t="n">
        <x:v>527</x:v>
      </x:c>
      <x:c r="B528" s="10" t="str">
        <x:v>ADMIN-10-0007</x:v>
      </x:c>
      <x:c r="C528" s="10" t="str">
        <x:v>数据分析</x:v>
      </x:c>
      <x:c r="D528" s="10" t="str">
        <x:v>消费订单明细</x:v>
      </x:c>
      <x:c r="E528" s="10" t="str">
        <x:v>功能需求</x:v>
      </x:c>
      <x:c r="F528" s="10" t="str">
        <x:v>P1</x:v>
      </x:c>
      <x:c r="G528" s="9" t="str">
        <x:v>验证门票收益口径</x:v>
      </x:c>
      <x:c r="H528" s="9" t="str">
        <x:v>门票主播收益</x:v>
      </x:c>
      <x:c r="I528" s="9" t="str">
        <x:v>1. 平台管理员账号可用
2. 成功门票消费价值100金币；幸运赠送时配置比例1%，虚拟金币不计</x:v>
      </x:c>
      <x:c r="J528" s="9" t="str">
        <x:v>1. 打开消费订单明细</x:v>
      </x:c>
      <x:c r="K528" s="9" t="str">
        <x:v>主播收益计算结果=100×1=100金币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来源（当前证据）：liveshow-proto/MainBasis/统一需求文档.md；位置：第3364行、第3368行 REQ-656f13f679bf
2. 规则：BR-f42509448a32b36e
3. 未动态验证</x:v>
      </x:c>
    </x:row>
    <x:row r="529" ht="85" customHeight="1">
      <x:c r="A529" s="10" t="n">
        <x:v>528</x:v>
      </x:c>
      <x:c r="B529" s="10" t="str">
        <x:v>ADMIN-10-0008</x:v>
      </x:c>
      <x:c r="C529" s="10" t="str">
        <x:v>数据分析</x:v>
      </x:c>
      <x:c r="D529" s="10" t="str">
        <x:v>消费订单明细</x:v>
      </x:c>
      <x:c r="E529" s="10" t="str">
        <x:v>功能需求</x:v>
      </x:c>
      <x:c r="F529" s="10" t="str">
        <x:v>P1</x:v>
      </x:c>
      <x:c r="G529" s="9" t="str">
        <x:v>验证幸运礼物收益口径</x:v>
      </x:c>
      <x:c r="H529" s="9" t="str">
        <x:v>幸运礼物主播收益</x:v>
      </x:c>
      <x:c r="I529" s="9" t="str">
        <x:v>1. 平台管理员账号可用
2. 成功幸运礼物消费价值1000金币；幸运赠送时配置比例1%，虚拟金币不计</x:v>
      </x:c>
      <x:c r="J529" s="9" t="str">
        <x:v>1. 打开消费订单明细</x:v>
      </x:c>
      <x:c r="K529" s="9" t="str">
        <x:v>主播收益计算结果=1000×0.01=10金币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来源（当前证据）：liveshow-proto/MainBasis/统一需求文档.md；位置：第3364行、第3368行 REQ-656f13f679bf
2. 规则：BR-0d60154ad7d19b60
3. 未动态验证</x:v>
      </x:c>
    </x:row>
    <x:row r="530" ht="85" customHeight="1">
      <x:c r="A530" s="10" t="n">
        <x:v>529</x:v>
      </x:c>
      <x:c r="B530" s="10" t="str">
        <x:v>ADMIN-10-0009</x:v>
      </x:c>
      <x:c r="C530" s="10" t="str">
        <x:v>数据分析</x:v>
      </x:c>
      <x:c r="D530" s="10" t="str">
        <x:v>每日统计</x:v>
      </x:c>
      <x:c r="E530" s="10" t="str">
        <x:v>功能需求</x:v>
      </x:c>
      <x:c r="F530" s="10" t="str">
        <x:v>P1</x:v>
      </x:c>
      <x:c r="G530" s="9" t="str">
        <x:v>验证按日期过滤每日统计</x:v>
      </x:c>
      <x:c r="H530" s="9" t="str">
        <x:v>报表日期范围</x:v>
      </x:c>
      <x:c r="I530" s="9" t="str">
        <x:v>1. 平台管理员账号可用
2. 所选起止日内有2条可计入记录，结束日次日有1条</x:v>
      </x:c>
      <x:c r="J530" s="9" t="str">
        <x:v>1. 打开每日统计
2. 选择起止日期
3. 点击查询</x:v>
      </x:c>
      <x:c r="K530" s="9" t="str">
        <x:v>结果只包含所选日期内可计入的2条记录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来源（当前证据）：liveshow-proto/MainBasis/统一需求文档.md；位置：第3237行、第3248行 REQ-1cbd7234444c
2. 规则：BR-1a7ef407f5ff93d4
3. 未动态验证</x:v>
      </x:c>
    </x:row>
    <x:row r="531" ht="85" customHeight="1">
      <x:c r="A531" s="10" t="n">
        <x:v>530</x:v>
      </x:c>
      <x:c r="B531" s="10" t="str">
        <x:v>ADMIN-10-0010</x:v>
      </x:c>
      <x:c r="C531" s="10" t="str">
        <x:v>数据分析</x:v>
      </x:c>
      <x:c r="D531" s="10" t="str">
        <x:v>每日统计</x:v>
      </x:c>
      <x:c r="E531" s="10" t="str">
        <x:v>功能需求</x:v>
      </x:c>
      <x:c r="F531" s="10" t="str">
        <x:v>P1</x:v>
      </x:c>
      <x:c r="G531" s="9" t="str">
        <x:v>验证导出每日统计</x:v>
      </x:c>
      <x:c r="H531" s="9" t="str">
        <x:v>报表导出范围</x:v>
      </x:c>
      <x:c r="I531" s="9" t="str">
        <x:v>1. 平台管理员账号可用
2. 当前筛选只包含2条明细，另有范围外明细</x:v>
      </x:c>
      <x:c r="J531" s="9" t="str">
        <x:v>1. 打开每日统计
2. 点击导出</x:v>
      </x:c>
      <x:c r="K531" s="9" t="str">
        <x:v>导出仅包含当前筛选的2条明细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来源（当前证据）：liveshow-proto/MainBasis/统一需求文档.md；位置：第3237行、第3248行 REQ-1cbd7234444c
2. 规则：BR-6101bae6ac9867a3
3. 未动态验证</x:v>
      </x:c>
    </x:row>
    <x:row r="532" ht="85" customHeight="1">
      <x:c r="A532" s="10" t="n">
        <x:v>531</x:v>
      </x:c>
      <x:c r="B532" s="10" t="str">
        <x:v>ADMIN-10-0011</x:v>
      </x:c>
      <x:c r="C532" s="10" t="str">
        <x:v>数据分析</x:v>
      </x:c>
      <x:c r="D532" s="10" t="str">
        <x:v>每日统计</x:v>
      </x:c>
      <x:c r="E532" s="10" t="str">
        <x:v>逻辑校验</x:v>
      </x:c>
      <x:c r="F532" s="10" t="str">
        <x:v>P1</x:v>
      </x:c>
      <x:c r="G532" s="9" t="str">
        <x:v>验证新用户ARPU有充值数据</x:v>
      </x:c>
      <x:c r="H532" s="9" t="str">
        <x:v>新用户ARPU金额人数口径</x:v>
      </x:c>
      <x:c r="I532" s="9" t="str">
        <x:v>1. 平台管理员账号可用
2. 本项所需用户群在选定日内成功充值2人，共30USD，失败订单不计</x:v>
      </x:c>
      <x:c r="J532" s="9" t="str">
        <x:v>1. 打开每日统计</x:v>
      </x:c>
      <x:c r="K532" s="9" t="str">
        <x:v>计算结果：新用户ARPU=30÷2=15USD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来源（当前证据）：liveshow-proto/MainBasis/统一需求文档.md；位置：第3237行、第3242行 REQ-8246fdfc3d89
2. 规则：BR-e61dd07c7f6f229e
3. 未动态验证</x:v>
      </x:c>
    </x:row>
    <x:row r="533" ht="85" customHeight="1">
      <x:c r="A533" s="10" t="n">
        <x:v>532</x:v>
      </x:c>
      <x:c r="B533" s="10" t="str">
        <x:v>ADMIN-10-0012</x:v>
      </x:c>
      <x:c r="C533" s="10" t="str">
        <x:v>数据分析</x:v>
      </x:c>
      <x:c r="D533" s="10" t="str">
        <x:v>每日统计</x:v>
      </x:c>
      <x:c r="E533" s="10" t="str">
        <x:v>功能需求</x:v>
      </x:c>
      <x:c r="F533" s="10" t="str">
        <x:v>P1</x:v>
      </x:c>
      <x:c r="G533" s="9" t="str">
        <x:v>验证新用户ARPU无人充值</x:v>
      </x:c>
      <x:c r="H533" s="9" t="str">
        <x:v>新用户ARPU零分母</x:v>
      </x:c>
      <x:c r="I533" s="9" t="str">
        <x:v>1. 平台管理员账号可用
2. 对应用户群成功充值人数为0</x:v>
      </x:c>
      <x:c r="J533" s="9" t="str">
        <x:v>1. 打开每日统计</x:v>
      </x:c>
      <x:c r="K533" s="9" t="str">
        <x:v>新用户ARPU显示0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来源（当前证据）：liveshow-proto/MainBasis/统一需求文档.md；位置：第3237行、第3242行 REQ-8246fdfc3d89
2. 规则：BR-4efa6bfdbfff57a8
3. 未动态验证</x:v>
      </x:c>
    </x:row>
    <x:row r="534" ht="85" customHeight="1">
      <x:c r="A534" s="10" t="n">
        <x:v>533</x:v>
      </x:c>
      <x:c r="B534" s="10" t="str">
        <x:v>ADMIN-10-0013</x:v>
      </x:c>
      <x:c r="C534" s="10" t="str">
        <x:v>数据分析</x:v>
      </x:c>
      <x:c r="D534" s="10" t="str">
        <x:v>每日统计</x:v>
      </x:c>
      <x:c r="E534" s="10" t="str">
        <x:v>功能需求</x:v>
      </x:c>
      <x:c r="F534" s="10" t="str">
        <x:v>P1</x:v>
      </x:c>
      <x:c r="G534" s="9" t="str">
        <x:v>验证偶数场次开播时长中位数</x:v>
      </x:c>
      <x:c r="H534" s="9" t="str">
        <x:v>偶数中位数</x:v>
      </x:c>
      <x:c r="I534" s="9" t="str">
        <x:v>1. 平台管理员账号可用
2. 所选日有效场次时长为10、20、30、100分钟</x:v>
      </x:c>
      <x:c r="J534" s="9" t="str">
        <x:v>1. 打开每日统计</x:v>
      </x:c>
      <x:c r="K534" s="9" t="str">
        <x:v>中位数计算结果=(20+30)÷2=25分钟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来源（当前证据）：liveshow-proto/MainBasis/统一需求文档.md；位置：第3237行、第3245行 REQ-adce72086458
2. 规则：BR-737ac93a2bf7acdf
3. 未动态验证</x:v>
      </x:c>
    </x:row>
    <x:row r="535" ht="85" customHeight="1">
      <x:c r="A535" s="10" t="n">
        <x:v>534</x:v>
      </x:c>
      <x:c r="B535" s="10" t="str">
        <x:v>ADMIN-10-0014</x:v>
      </x:c>
      <x:c r="C535" s="10" t="str">
        <x:v>数据分析</x:v>
      </x:c>
      <x:c r="D535" s="10" t="str">
        <x:v>每日统计</x:v>
      </x:c>
      <x:c r="E535" s="10" t="str">
        <x:v>功能需求</x:v>
      </x:c>
      <x:c r="F535" s="10" t="str">
        <x:v>P1</x:v>
      </x:c>
      <x:c r="G535" s="9" t="str">
        <x:v>验证奇数场次开播时长中位数</x:v>
      </x:c>
      <x:c r="H535" s="9" t="str">
        <x:v>奇数中位数</x:v>
      </x:c>
      <x:c r="I535" s="9" t="str">
        <x:v>1. 平台管理员账号可用
2. 所选日有效场次时长为10、20、100分钟</x:v>
      </x:c>
      <x:c r="J535" s="9" t="str">
        <x:v>1. 打开每日统计</x:v>
      </x:c>
      <x:c r="K535" s="9" t="str">
        <x:v>排序10、20、100后，中间第2项为20分钟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来源（当前证据）：liveshow-proto/MainBasis/统一需求文档.md；位置：第3237行、第3245行 REQ-adce72086458
2. 规则：BR-2c51b44a11c979f4
3. 未动态验证</x:v>
      </x:c>
    </x:row>
    <x:row r="536" ht="85" customHeight="1">
      <x:c r="A536" s="10" t="n">
        <x:v>535</x:v>
      </x:c>
      <x:c r="B536" s="10" t="str">
        <x:v>ADMIN-10-0015</x:v>
      </x:c>
      <x:c r="C536" s="10" t="str">
        <x:v>数据分析</x:v>
      </x:c>
      <x:c r="D536" s="10" t="str">
        <x:v>每日统计</x:v>
      </x:c>
      <x:c r="E536" s="10" t="str">
        <x:v>功能需求</x:v>
      </x:c>
      <x:c r="F536" s="10" t="str">
        <x:v>P1</x:v>
      </x:c>
      <x:c r="G536" s="9" t="str">
        <x:v>验证无直播场次中位数</x:v>
      </x:c>
      <x:c r="H536" s="9" t="str">
        <x:v>空时长中位数</x:v>
      </x:c>
      <x:c r="I536" s="9" t="str">
        <x:v>1. 平台管理员账号可用
2. 所选日没有有效直播场次</x:v>
      </x:c>
      <x:c r="J536" s="9" t="str">
        <x:v>1. 打开每日统计</x:v>
      </x:c>
      <x:c r="K536" s="9" t="str">
        <x:v>开播时长中位数显示0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来源（当前证据）：liveshow-proto/MainBasis/统一需求文档.md；位置：第3237行、第3245行 REQ-adce72086458
2. 规则：BR-41e0d5909eb210e5
3. 未动态验证</x:v>
      </x:c>
    </x:row>
    <x:row r="537" ht="100" customHeight="1">
      <x:c r="A537" s="10" t="n">
        <x:v>536</x:v>
      </x:c>
      <x:c r="B537" s="10" t="str">
        <x:v>ADMIN-10-0016</x:v>
      </x:c>
      <x:c r="C537" s="10" t="str">
        <x:v>数据分析</x:v>
      </x:c>
      <x:c r="D537" s="10" t="str">
        <x:v>每日统计</x:v>
      </x:c>
      <x:c r="E537" s="10" t="str">
        <x:v>逻辑校验</x:v>
      </x:c>
      <x:c r="F537" s="10" t="str">
        <x:v>P1</x:v>
      </x:c>
      <x:c r="G537" s="9" t="str">
        <x:v>验证退款按完成日统计</x:v>
      </x:c>
      <x:c r="H537" s="9" t="str">
        <x:v>每日退款日期归属</x:v>
      </x:c>
      <x:c r="I537" s="9" t="str">
        <x:v>1. 平台管理员账号可用
2. 9月5日充值，9月6日主动退款10USD及渠道退款20USD均已完成</x:v>
      </x:c>
      <x:c r="J537" s="9" t="str">
        <x:v>1. 打开每日统计
2. 选择9月6日
3. 点击查询</x:v>
      </x:c>
      <x:c r="K537" s="9" t="str">
        <x:v>计算结果：退款金额=10+20=30USD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来源（当前证据）：liveshow-proto/MainBasis/统一需求文档.md；位置：第3237行、第3246行 REQ-96a5d9ecb620、第3247行 REQ-f63dfe18b6a2
2. 规则：BR-55a51b2fe56bf61c
3. 未动态验证</x:v>
      </x:c>
    </x:row>
    <x:row r="538" ht="85" customHeight="1">
      <x:c r="A538" s="10" t="n">
        <x:v>537</x:v>
      </x:c>
      <x:c r="B538" s="10" t="str">
        <x:v>ADMIN-10-0017</x:v>
      </x:c>
      <x:c r="C538" s="10" t="str">
        <x:v>数据分析</x:v>
      </x:c>
      <x:c r="D538" s="10" t="str">
        <x:v>每日统计</x:v>
      </x:c>
      <x:c r="E538" s="10" t="str">
        <x:v>功能需求</x:v>
      </x:c>
      <x:c r="F538" s="10" t="str">
        <x:v>P1</x:v>
      </x:c>
      <x:c r="G538" s="9" t="str">
        <x:v>验证反复切到前台</x:v>
      </x:c>
      <x:c r="H538" s="9" t="str">
        <x:v>日活跃账号去重</x:v>
      </x:c>
      <x:c r="I538" s="9" t="str">
        <x:v>1. 平台管理员账号可用
2. 同日两名登录用户各启动或切回前台3次</x:v>
      </x:c>
      <x:c r="J538" s="9" t="str">
        <x:v>1. 打开每日统计</x:v>
      </x:c>
      <x:c r="K538" s="9" t="str">
        <x:v>活跃用户显示2人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来源（当前证据）：liveshow-proto/MainBasis/统一需求文档.md；位置：第3237行、第3239行 REQ-48996c6b8991
2. 规则：BR-57a8bb8515b8298c
3. 未动态验证</x:v>
      </x:c>
    </x:row>
    <x:row r="539" ht="85" customHeight="1">
      <x:c r="A539" s="10" t="n">
        <x:v>538</x:v>
      </x:c>
      <x:c r="B539" s="10" t="str">
        <x:v>ADMIN-10-0018</x:v>
      </x:c>
      <x:c r="C539" s="10" t="str">
        <x:v>数据分析</x:v>
      </x:c>
      <x:c r="D539" s="10" t="str">
        <x:v>每日统计</x:v>
      </x:c>
      <x:c r="E539" s="10" t="str">
        <x:v>功能需求</x:v>
      </x:c>
      <x:c r="F539" s="10" t="str">
        <x:v>P1</x:v>
      </x:c>
      <x:c r="G539" s="9" t="str">
        <x:v>验证同一主播开播多场</x:v>
      </x:c>
      <x:c r="H539" s="9" t="str">
        <x:v>日开播主体去重</x:v>
      </x:c>
      <x:c r="I539" s="9" t="str">
        <x:v>1. 平台管理员账号可用
2. 当日一名主播成功开播3场</x:v>
      </x:c>
      <x:c r="J539" s="9" t="str">
        <x:v>1. 打开每日统计</x:v>
      </x:c>
      <x:c r="K539" s="9" t="str">
        <x:v>开播人数显示1人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来源（当前证据）：liveshow-proto/MainBasis/统一需求文档.md；位置：第3237行、第3243行 REQ-55f7ff02cf61
2. 规则：BR-b8701861b8930d7b
3. 未动态验证</x:v>
      </x:c>
    </x:row>
    <x:row r="540" ht="85" customHeight="1">
      <x:c r="A540" s="10" t="n">
        <x:v>539</x:v>
      </x:c>
      <x:c r="B540" s="10" t="str">
        <x:v>ADMIN-10-0019</x:v>
      </x:c>
      <x:c r="C540" s="10" t="str">
        <x:v>数据分析</x:v>
      </x:c>
      <x:c r="D540" s="10" t="str">
        <x:v>每日统计</x:v>
      </x:c>
      <x:c r="E540" s="10" t="str">
        <x:v>功能需求</x:v>
      </x:c>
      <x:c r="F540" s="10" t="str">
        <x:v>P1</x:v>
      </x:c>
      <x:c r="G540" s="9" t="str">
        <x:v>验证有效直播179分钟</x:v>
      </x:c>
      <x:c r="H540" s="9" t="str">
        <x:v>日有效天人数边界</x:v>
      </x:c>
      <x:c r="I540" s="9" t="str">
        <x:v>1. 平台管理员账号可用
2. 当日仅一名主播，累计有效时长179分钟，无跨日中断</x:v>
      </x:c>
      <x:c r="J540" s="9" t="str">
        <x:v>1. 打开每日统计</x:v>
      </x:c>
      <x:c r="K540" s="9" t="str">
        <x:v>有效天达标人数显示0人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来源（当前证据）：liveshow-proto/MainBasis/统一需求文档.md；位置：第3237行、第3244行 REQ-d2d60905bd17
2. 规则：BR-a5a0c3a3fe6c3020
3. 未动态验证</x:v>
      </x:c>
    </x:row>
    <x:row r="541" ht="85" customHeight="1">
      <x:c r="A541" s="10" t="n">
        <x:v>540</x:v>
      </x:c>
      <x:c r="B541" s="10" t="str">
        <x:v>ADMIN-10-0020</x:v>
      </x:c>
      <x:c r="C541" s="10" t="str">
        <x:v>数据分析</x:v>
      </x:c>
      <x:c r="D541" s="10" t="str">
        <x:v>每日统计</x:v>
      </x:c>
      <x:c r="E541" s="10" t="str">
        <x:v>功能需求</x:v>
      </x:c>
      <x:c r="F541" s="10" t="str">
        <x:v>P1</x:v>
      </x:c>
      <x:c r="G541" s="9" t="str">
        <x:v>验证有效直播180分钟</x:v>
      </x:c>
      <x:c r="H541" s="9" t="str">
        <x:v>日有效天人数边界</x:v>
      </x:c>
      <x:c r="I541" s="9" t="str">
        <x:v>1. 平台管理员账号可用
2. 当日仅一名主播，累计有效时长180分钟，无跨日中断</x:v>
      </x:c>
      <x:c r="J541" s="9" t="str">
        <x:v>1. 打开每日统计</x:v>
      </x:c>
      <x:c r="K541" s="9" t="str">
        <x:v>有效天达标人数显示1人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来源（当前证据）：liveshow-proto/MainBasis/统一需求文档.md；位置：第3237行、第3244行 REQ-d2d60905bd17
2. 规则：BR-fec26c2c6fec130d
3. 未动态验证</x:v>
      </x:c>
    </x:row>
    <x:row r="542" ht="85" customHeight="1">
      <x:c r="A542" s="10" t="n">
        <x:v>541</x:v>
      </x:c>
      <x:c r="B542" s="10" t="str">
        <x:v>ADMIN-10-0021</x:v>
      </x:c>
      <x:c r="C542" s="10" t="str">
        <x:v>数据分析</x:v>
      </x:c>
      <x:c r="D542" s="10" t="str">
        <x:v>每日统计</x:v>
      </x:c>
      <x:c r="E542" s="10" t="str">
        <x:v>功能需求</x:v>
      </x:c>
      <x:c r="F542" s="10" t="str">
        <x:v>P1</x:v>
      </x:c>
      <x:c r="G542" s="9" t="str">
        <x:v>验证有效直播181分钟</x:v>
      </x:c>
      <x:c r="H542" s="9" t="str">
        <x:v>日有效天人数边界</x:v>
      </x:c>
      <x:c r="I542" s="9" t="str">
        <x:v>1. 平台管理员账号可用
2. 当日仅一名主播，累计有效时长181分钟，无跨日中断</x:v>
      </x:c>
      <x:c r="J542" s="9" t="str">
        <x:v>1. 打开每日统计</x:v>
      </x:c>
      <x:c r="K542" s="9" t="str">
        <x:v>有效天达标人数显示1人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来源（当前证据）：liveshow-proto/MainBasis/统一需求文档.md；位置：第3237行、第3244行 REQ-d2d60905bd17
2. 规则：BR-f736f57dcc8199d2
3. 未动态验证</x:v>
      </x:c>
    </x:row>
    <x:row r="543" ht="85" customHeight="1">
      <x:c r="A543" s="10" t="n">
        <x:v>542</x:v>
      </x:c>
      <x:c r="B543" s="10" t="str">
        <x:v>ADMIN-10-0022</x:v>
      </x:c>
      <x:c r="C543" s="10" t="str">
        <x:v>数据分析</x:v>
      </x:c>
      <x:c r="D543" s="10" t="str">
        <x:v>每日统计</x:v>
      </x:c>
      <x:c r="E543" s="10" t="str">
        <x:v>功能需求</x:v>
      </x:c>
      <x:c r="F543" s="10" t="str">
        <x:v>P1</x:v>
      </x:c>
      <x:c r="G543" s="9" t="str">
        <x:v>验证成功实付金额汇总</x:v>
      </x:c>
      <x:c r="H543" s="9" t="str">
        <x:v>充值金额去向</x:v>
      </x:c>
      <x:c r="I543" s="9" t="str">
        <x:v>1. 平台管理员账号可用
2. 所选自然日两笔成功实付10和20USD，另有失败30USD</x:v>
      </x:c>
      <x:c r="J543" s="9" t="str">
        <x:v>1. 打开每日统计</x:v>
      </x:c>
      <x:c r="K543" s="9" t="str">
        <x:v>总充值金额计算结果=10+20=30USD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来源（当前证据）：liveshow-proto/MainBasis/统一需求文档.md；位置：第3237行、第3240行 REQ-8781b01f2d8b
2. 规则：BR-2911f44e8ef1f8fa
3. 未动态验证</x:v>
      </x:c>
    </x:row>
    <x:row r="544" ht="85" customHeight="1">
      <x:c r="A544" s="10" t="n">
        <x:v>543</x:v>
      </x:c>
      <x:c r="B544" s="10" t="str">
        <x:v>ADMIN-10-0023</x:v>
      </x:c>
      <x:c r="C544" s="10" t="str">
        <x:v>数据分析</x:v>
      </x:c>
      <x:c r="D544" s="10" t="str">
        <x:v>每日统计</x:v>
      </x:c>
      <x:c r="E544" s="10" t="str">
        <x:v>功能需求</x:v>
      </x:c>
      <x:c r="F544" s="10" t="str">
        <x:v>P1</x:v>
      </x:c>
      <x:c r="G544" s="9" t="str">
        <x:v>验证同人充值次数区别人数</x:v>
      </x:c>
      <x:c r="H544" s="9" t="str">
        <x:v>充值人数统计口径</x:v>
      </x:c>
      <x:c r="I544" s="9" t="str">
        <x:v>1. 平台管理员账号可用
2. 所选自然日同一账号在每一日成功充值两笔</x:v>
      </x:c>
      <x:c r="J544" s="9" t="str">
        <x:v>1. 打开每日统计</x:v>
      </x:c>
      <x:c r="K544" s="9" t="str">
        <x:v>总充值人数显示1人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来源（当前证据）：liveshow-proto/MainBasis/统一需求文档.md；位置：第3237行、第3240行 REQ-8781b01f2d8b
2. 规则：BR-2b7bf1a1cf9fdc39
3. 未动态验证</x:v>
      </x:c>
    </x:row>
    <x:row r="545" ht="85" customHeight="1">
      <x:c r="A545" s="10" t="n">
        <x:v>544</x:v>
      </x:c>
      <x:c r="B545" s="10" t="str">
        <x:v>ADMIN-10-0024</x:v>
      </x:c>
      <x:c r="C545" s="10" t="str">
        <x:v>数据分析</x:v>
      </x:c>
      <x:c r="D545" s="10" t="str">
        <x:v>每日统计</x:v>
      </x:c>
      <x:c r="E545" s="10" t="str">
        <x:v>功能需求</x:v>
      </x:c>
      <x:c r="F545" s="10" t="str">
        <x:v>P1</x:v>
      </x:c>
      <x:c r="G545" s="9" t="str">
        <x:v>验证注册当天成功充值</x:v>
      </x:c>
      <x:c r="H545" s="9" t="str">
        <x:v>新用户充值金额范围</x:v>
      </x:c>
      <x:c r="I545" s="9" t="str">
        <x:v>1. 平台管理员账号可用
2. 用户甲当日注册且成功充值10USD、乙此前注册当日充值20USD</x:v>
      </x:c>
      <x:c r="J545" s="9" t="str">
        <x:v>1. 打开每日统计</x:v>
      </x:c>
      <x:c r="K545" s="9" t="str">
        <x:v>新用户充值金额显示10USD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来源（当前证据）：liveshow-proto/MainBasis/统一需求文档.md；位置：第3237行、第3241行 REQ-31d2771015bf
2. 规则：BR-28887e72a326c771
3. 未动态验证</x:v>
      </x:c>
    </x:row>
    <x:row r="546" ht="85" customHeight="1">
      <x:c r="A546" s="10" t="n">
        <x:v>545</x:v>
      </x:c>
      <x:c r="B546" s="10" t="str">
        <x:v>ADMIN-10-0025</x:v>
      </x:c>
      <x:c r="C546" s="10" t="str">
        <x:v>数据分析</x:v>
      </x:c>
      <x:c r="D546" s="10" t="str">
        <x:v>每日统计</x:v>
      </x:c>
      <x:c r="E546" s="10" t="str">
        <x:v>功能需求</x:v>
      </x:c>
      <x:c r="F546" s="10" t="str">
        <x:v>P1</x:v>
      </x:c>
      <x:c r="G546" s="9" t="str">
        <x:v>验证新用户多笔充值</x:v>
      </x:c>
      <x:c r="H546" s="9" t="str">
        <x:v>新充值用户去重</x:v>
      </x:c>
      <x:c r="I546" s="9" t="str">
        <x:v>1. 平台管理员账号可用
2. 当日注册用户甲成功充值2笔、用户乙仅充值失败</x:v>
      </x:c>
      <x:c r="J546" s="9" t="str">
        <x:v>1. 打开每日统计</x:v>
      </x:c>
      <x:c r="K546" s="9" t="str">
        <x:v>新用户充值人数显示1人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来源（当前证据）：liveshow-proto/MainBasis/统一需求文档.md；位置：第3237行、第3241行 REQ-31d2771015bf
2. 规则：BR-765a95aa09b786dd
3. 未动态验证</x:v>
      </x:c>
    </x:row>
    <x:row r="547" ht="100" customHeight="1">
      <x:c r="A547" s="10" t="n">
        <x:v>546</x:v>
      </x:c>
      <x:c r="B547" s="10" t="str">
        <x:v>ADMIN-10-0026</x:v>
      </x:c>
      <x:c r="C547" s="10" t="str">
        <x:v>数据分析</x:v>
      </x:c>
      <x:c r="D547" s="10" t="str">
        <x:v>数据概览</x:v>
      </x:c>
      <x:c r="E547" s="10" t="str">
        <x:v>功能需求</x:v>
      </x:c>
      <x:c r="F547" s="10" t="str">
        <x:v>P1</x:v>
      </x:c>
      <x:c r="G547" s="9" t="str">
        <x:v>验证概览单日查询</x:v>
      </x:c>
      <x:c r="H547" s="9" t="str">
        <x:v>单日日期范围</x:v>
      </x:c>
      <x:c r="I547" s="9" t="str">
        <x:v>1. 平台管理员账号可用
2. 某日有已知经营数据</x:v>
      </x:c>
      <x:c r="J547" s="9" t="str">
        <x:v>1. 打开数据概览
2. 选择开始和结束为同一日期
3. 点击查询</x:v>
      </x:c>
      <x:c r="K547" s="9" t="str">
        <x:v>指标和趋势仅使用该日数据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来源（当前证据）：liveshow-proto/MainBasis/统一需求文档.md；位置：第3226行、第3233行 REQ-50568e6b68cc、第3234行 REQ-30f6f5704285
2. 规则：BR-eef461d87f12f4a4
3. 未动态验证</x:v>
      </x:c>
    </x:row>
    <x:row r="548" ht="100" customHeight="1">
      <x:c r="A548" s="10" t="n">
        <x:v>547</x:v>
      </x:c>
      <x:c r="B548" s="10" t="str">
        <x:v>ADMIN-10-0027</x:v>
      </x:c>
      <x:c r="C548" s="10" t="str">
        <x:v>数据分析</x:v>
      </x:c>
      <x:c r="D548" s="10" t="str">
        <x:v>数据概览</x:v>
      </x:c>
      <x:c r="E548" s="10" t="str">
        <x:v>功能需求</x:v>
      </x:c>
      <x:c r="F548" s="10" t="str">
        <x:v>P1</x:v>
      </x:c>
      <x:c r="G548" s="9" t="str">
        <x:v>验证概览日期倒置</x:v>
      </x:c>
      <x:c r="H548" s="9" t="str">
        <x:v>概览日期顺序</x:v>
      </x:c>
      <x:c r="I548" s="9" t="str">
        <x:v>1. 平台管理员账号可用
2. 日期选择器可用</x:v>
      </x:c>
      <x:c r="J548" s="9" t="str">
        <x:v>1. 打开数据概览
2. 选择结束日期早于开始日期
3. 点击查询</x:v>
      </x:c>
      <x:c r="K548" s="9" t="str">
        <x:v>倒置日期不能查询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来源（当前证据）：liveshow-proto/MainBasis/统一需求文档.md；位置：第3226行、第3233行 REQ-50568e6b68cc、第3234行 REQ-30f6f5704285
2. 规则：BR-239980a53478a925
3. 未动态验证</x:v>
      </x:c>
    </x:row>
    <x:row r="549" ht="100" customHeight="1">
      <x:c r="A549" s="10" t="n">
        <x:v>548</x:v>
      </x:c>
      <x:c r="B549" s="10" t="str">
        <x:v>ADMIN-10-0028</x:v>
      </x:c>
      <x:c r="C549" s="10" t="str">
        <x:v>数据分析</x:v>
      </x:c>
      <x:c r="D549" s="10" t="str">
        <x:v>数据概览</x:v>
      </x:c>
      <x:c r="E549" s="10" t="str">
        <x:v>功能需求</x:v>
      </x:c>
      <x:c r="F549" s="10" t="str">
        <x:v>P1</x:v>
      </x:c>
      <x:c r="G549" s="9" t="str">
        <x:v>验证切换概览指标</x:v>
      </x:c>
      <x:c r="H549" s="9" t="str">
        <x:v>概览趋势切换</x:v>
      </x:c>
      <x:c r="I549" s="9" t="str">
        <x:v>1. 平台管理员账号可用
2. 范围内有活跃与充值数据</x:v>
      </x:c>
      <x:c r="J549" s="9" t="str">
        <x:v>1. 打开数据概览
2. 点击总充值金额指标卡</x:v>
      </x:c>
      <x:c r="K549" s="9" t="str">
        <x:v>趋势切换为总充值金额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来源（当前证据）：liveshow-proto/MainBasis/统一需求文档.md；位置：第3226行、第3233行 REQ-50568e6b68cc、第3234行 REQ-30f6f5704285
2. 规则：BR-50868dc81e9e5188
3. 未动态验证</x:v>
      </x:c>
    </x:row>
    <x:row r="550" ht="85" customHeight="1">
      <x:c r="A550" s="10" t="n">
        <x:v>549</x:v>
      </x:c>
      <x:c r="B550" s="10" t="str">
        <x:v>ADMIN-10-0029</x:v>
      </x:c>
      <x:c r="C550" s="10" t="str">
        <x:v>数据分析</x:v>
      </x:c>
      <x:c r="D550" s="10" t="str">
        <x:v>数据概览</x:v>
      </x:c>
      <x:c r="E550" s="10" t="str">
        <x:v>功能需求</x:v>
      </x:c>
      <x:c r="F550" s="10" t="str">
        <x:v>P1</x:v>
      </x:c>
      <x:c r="G550" s="9" t="str">
        <x:v>验证跨日活跃按日累加</x:v>
      </x:c>
      <x:c r="H550" s="9" t="str">
        <x:v>概览活跃人次</x:v>
      </x:c>
      <x:c r="I550" s="9" t="str">
        <x:v>1. 平台管理员账号可用
2. 同一用户在所选两日均打开App，每日各计1名</x:v>
      </x:c>
      <x:c r="J550" s="9" t="str">
        <x:v>1. 打开数据概览</x:v>
      </x:c>
      <x:c r="K550" s="9" t="str">
        <x:v>活跃用户汇总显示2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来源（当前证据）：liveshow-proto/MainBasis/统一需求文档.md；位置：第3226行、第3228行 REQ-0f01cdb0c92c
2. 规则：BR-ce7e60e51794dba1
3. 未动态验证</x:v>
      </x:c>
    </x:row>
    <x:row r="551" ht="85" customHeight="1">
      <x:c r="A551" s="10" t="n">
        <x:v>550</x:v>
      </x:c>
      <x:c r="B551" s="10" t="str">
        <x:v>ADMIN-10-0030</x:v>
      </x:c>
      <x:c r="C551" s="10" t="str">
        <x:v>数据分析</x:v>
      </x:c>
      <x:c r="D551" s="10" t="str">
        <x:v>数据概览</x:v>
      </x:c>
      <x:c r="E551" s="10" t="str">
        <x:v>逻辑校验</x:v>
      </x:c>
      <x:c r="F551" s="10" t="str">
        <x:v>P1</x:v>
      </x:c>
      <x:c r="G551" s="9" t="str">
        <x:v>验证新用户ARPU有充值数据</x:v>
      </x:c>
      <x:c r="H551" s="9" t="str">
        <x:v>新用户ARPU金额人数口径</x:v>
      </x:c>
      <x:c r="I551" s="9" t="str">
        <x:v>1. 平台管理员账号可用
2. 本项所需用户群在选定日内成功充值2人，共30USD，失败订单不计</x:v>
      </x:c>
      <x:c r="J551" s="9" t="str">
        <x:v>1. 打开数据概览</x:v>
      </x:c>
      <x:c r="K551" s="9" t="str">
        <x:v>计算结果：新用户ARPU=30÷2=15USD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来源（当前证据）：liveshow-proto/MainBasis/统一需求文档.md；位置：第3226行、第3231行 REQ-48d665272914
2. 规则：BR-3f3663bf68713a9e
3. 未动态验证</x:v>
      </x:c>
    </x:row>
    <x:row r="552" ht="85" customHeight="1">
      <x:c r="A552" s="10" t="n">
        <x:v>551</x:v>
      </x:c>
      <x:c r="B552" s="10" t="str">
        <x:v>ADMIN-10-0031</x:v>
      </x:c>
      <x:c r="C552" s="10" t="str">
        <x:v>数据分析</x:v>
      </x:c>
      <x:c r="D552" s="10" t="str">
        <x:v>数据概览</x:v>
      </x:c>
      <x:c r="E552" s="10" t="str">
        <x:v>功能需求</x:v>
      </x:c>
      <x:c r="F552" s="10" t="str">
        <x:v>P1</x:v>
      </x:c>
      <x:c r="G552" s="9" t="str">
        <x:v>验证新用户ARPU无人充值</x:v>
      </x:c>
      <x:c r="H552" s="9" t="str">
        <x:v>新用户ARPU零分母</x:v>
      </x:c>
      <x:c r="I552" s="9" t="str">
        <x:v>1. 平台管理员账号可用
2. 对应用户群成功充值人数为0</x:v>
      </x:c>
      <x:c r="J552" s="9" t="str">
        <x:v>1. 打开数据概览</x:v>
      </x:c>
      <x:c r="K552" s="9" t="str">
        <x:v>新用户ARPU显示0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来源（当前证据）：liveshow-proto/MainBasis/统一需求文档.md；位置：第3226行、第3231行 REQ-48d665272914
2. 规则：BR-bbc497245af3df1d
3. 未动态验证</x:v>
      </x:c>
    </x:row>
    <x:row r="553" ht="85" customHeight="1">
      <x:c r="A553" s="10" t="n">
        <x:v>552</x:v>
      </x:c>
      <x:c r="B553" s="10" t="str">
        <x:v>ADMIN-10-0032</x:v>
      </x:c>
      <x:c r="C553" s="10" t="str">
        <x:v>数据分析</x:v>
      </x:c>
      <x:c r="D553" s="10" t="str">
        <x:v>数据概览</x:v>
      </x:c>
      <x:c r="E553" s="10" t="str">
        <x:v>功能需求</x:v>
      </x:c>
      <x:c r="F553" s="10" t="str">
        <x:v>P1</x:v>
      </x:c>
      <x:c r="G553" s="9" t="str">
        <x:v>验证有效天主播跨日统计</x:v>
      </x:c>
      <x:c r="H553" s="9" t="str">
        <x:v>有效天主播人次</x:v>
      </x:c>
      <x:c r="I553" s="9" t="str">
        <x:v>1. 平台管理员账号可用
2. 同一主播两日均累计直播满3小时</x:v>
      </x:c>
      <x:c r="J553" s="9" t="str">
        <x:v>1. 打开数据概览</x:v>
      </x:c>
      <x:c r="K553" s="9" t="str">
        <x:v>汇总达成有效天主播显示2人次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来源（当前证据）：liveshow-proto/MainBasis/统一需求文档.md；位置：第3226行、第3232行 REQ-18bcd1c76b11
2. 规则：BR-ec9d4170d8b09169
3. 未动态验证</x:v>
      </x:c>
    </x:row>
    <x:row r="554" ht="85" customHeight="1">
      <x:c r="A554" s="10" t="n">
        <x:v>553</x:v>
      </x:c>
      <x:c r="B554" s="10" t="str">
        <x:v>ADMIN-10-0033</x:v>
      </x:c>
      <x:c r="C554" s="10" t="str">
        <x:v>数据分析</x:v>
      </x:c>
      <x:c r="D554" s="10" t="str">
        <x:v>数据概览</x:v>
      </x:c>
      <x:c r="E554" s="10" t="str">
        <x:v>功能需求</x:v>
      </x:c>
      <x:c r="F554" s="10" t="str">
        <x:v>P1</x:v>
      </x:c>
      <x:c r="G554" s="9" t="str">
        <x:v>验证成功实付金额汇总</x:v>
      </x:c>
      <x:c r="H554" s="9" t="str">
        <x:v>充值金额去向</x:v>
      </x:c>
      <x:c r="I554" s="9" t="str">
        <x:v>1. 平台管理员账号可用
2. 所选两日两笔成功实付10和20USD，另有失败30USD</x:v>
      </x:c>
      <x:c r="J554" s="9" t="str">
        <x:v>1. 打开数据概览</x:v>
      </x:c>
      <x:c r="K554" s="9" t="str">
        <x:v>总充值金额计算结果=10+20=30USD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来源（当前证据）：liveshow-proto/MainBasis/统一需求文档.md；位置：第3226行、第3229行 REQ-91fd6701b329
2. 规则：BR-45270bbe73e63906
3. 未动态验证</x:v>
      </x:c>
    </x:row>
    <x:row r="555" ht="85" customHeight="1">
      <x:c r="A555" s="10" t="n">
        <x:v>554</x:v>
      </x:c>
      <x:c r="B555" s="10" t="str">
        <x:v>ADMIN-10-0034</x:v>
      </x:c>
      <x:c r="C555" s="10" t="str">
        <x:v>数据分析</x:v>
      </x:c>
      <x:c r="D555" s="10" t="str">
        <x:v>数据概览</x:v>
      </x:c>
      <x:c r="E555" s="10" t="str">
        <x:v>功能需求</x:v>
      </x:c>
      <x:c r="F555" s="10" t="str">
        <x:v>P1</x:v>
      </x:c>
      <x:c r="G555" s="9" t="str">
        <x:v>验证同人充值次数区别人数</x:v>
      </x:c>
      <x:c r="H555" s="9" t="str">
        <x:v>充值人数统计口径</x:v>
      </x:c>
      <x:c r="I555" s="9" t="str">
        <x:v>1. 平台管理员账号可用
2. 所选两日同一账号在每一日成功充值两笔</x:v>
      </x:c>
      <x:c r="J555" s="9" t="str">
        <x:v>1. 打开数据概览</x:v>
      </x:c>
      <x:c r="K555" s="9" t="str">
        <x:v>所选两日充值人数汇总显示2人次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来源（当前证据）：liveshow-proto/MainBasis/统一需求文档.md；位置：第3226行、第3229行 REQ-91fd6701b329
2. 规则：BR-e25877f7f8ca3774
3. 未动态验证</x:v>
      </x:c>
    </x:row>
    <x:row r="556" ht="85" customHeight="1">
      <x:c r="A556" s="10" t="n">
        <x:v>555</x:v>
      </x:c>
      <x:c r="B556" s="10" t="str">
        <x:v>ADMIN-10-0035</x:v>
      </x:c>
      <x:c r="C556" s="10" t="str">
        <x:v>数据分析</x:v>
      </x:c>
      <x:c r="D556" s="10" t="str">
        <x:v>数据概览</x:v>
      </x:c>
      <x:c r="E556" s="10" t="str">
        <x:v>功能需求</x:v>
      </x:c>
      <x:c r="F556" s="10" t="str">
        <x:v>P1</x:v>
      </x:c>
      <x:c r="G556" s="9" t="str">
        <x:v>验证注册当天成功充值</x:v>
      </x:c>
      <x:c r="H556" s="9" t="str">
        <x:v>新用户充值金额范围</x:v>
      </x:c>
      <x:c r="I556" s="9" t="str">
        <x:v>1. 平台管理员账号可用
2. 用户甲当日注册且成功充值10USD、乙此前注册当日充值20USD</x:v>
      </x:c>
      <x:c r="J556" s="9" t="str">
        <x:v>1. 打开数据概览</x:v>
      </x:c>
      <x:c r="K556" s="9" t="str">
        <x:v>新用户充值金额显示10USD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来源（当前证据）：liveshow-proto/MainBasis/统一需求文档.md；位置：第3226行、第3230行 REQ-8b7a0351fdf4
2. 规则：BR-4a87ad4a4b41b00f
3. 未动态验证</x:v>
      </x:c>
    </x:row>
    <x:row r="557" ht="85" customHeight="1">
      <x:c r="A557" s="10" t="n">
        <x:v>556</x:v>
      </x:c>
      <x:c r="B557" s="10" t="str">
        <x:v>ADMIN-10-0036</x:v>
      </x:c>
      <x:c r="C557" s="10" t="str">
        <x:v>数据分析</x:v>
      </x:c>
      <x:c r="D557" s="10" t="str">
        <x:v>直播记录明细报表</x:v>
      </x:c>
      <x:c r="E557" s="10" t="str">
        <x:v>功能需求</x:v>
      </x:c>
      <x:c r="F557" s="10" t="str">
        <x:v>P1</x:v>
      </x:c>
      <x:c r="G557" s="9" t="str">
        <x:v>验证按日期过滤直播记录明细报表</x:v>
      </x:c>
      <x:c r="H557" s="9" t="str">
        <x:v>报表日期范围</x:v>
      </x:c>
      <x:c r="I557" s="9" t="str">
        <x:v>1. 平台管理员账号可用
2. 所选起止日内有2条可计入记录，结束日次日有1条</x:v>
      </x:c>
      <x:c r="J557" s="9" t="str">
        <x:v>1. 打开直播记录明细报表
2. 选择起止日期
3. 点击查询</x:v>
      </x:c>
      <x:c r="K557" s="9" t="str">
        <x:v>结果只包含所选日期内可计入的2条记录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来源（当前证据）：liveshow-proto/MainBasis/统一需求文档.md；位置：第3282行、第3291行 REQ-5f7de1e55706
2. 规则：BR-c837d6f88fdc0192
3. 未动态验证</x:v>
      </x:c>
    </x:row>
    <x:row r="558" ht="85" customHeight="1">
      <x:c r="A558" s="10" t="n">
        <x:v>557</x:v>
      </x:c>
      <x:c r="B558" s="10" t="str">
        <x:v>ADMIN-10-0037</x:v>
      </x:c>
      <x:c r="C558" s="10" t="str">
        <x:v>数据分析</x:v>
      </x:c>
      <x:c r="D558" s="10" t="str">
        <x:v>直播记录明细报表</x:v>
      </x:c>
      <x:c r="E558" s="10" t="str">
        <x:v>功能需求</x:v>
      </x:c>
      <x:c r="F558" s="10" t="str">
        <x:v>P1</x:v>
      </x:c>
      <x:c r="G558" s="9" t="str">
        <x:v>验证导出直播记录明细报表</x:v>
      </x:c>
      <x:c r="H558" s="9" t="str">
        <x:v>报表导出范围</x:v>
      </x:c>
      <x:c r="I558" s="9" t="str">
        <x:v>1. 平台管理员账号可用
2. 当前筛选只包含2条明细，另有范围外明细</x:v>
      </x:c>
      <x:c r="J558" s="9" t="str">
        <x:v>1. 打开直播记录明细报表
2. 点击导出</x:v>
      </x:c>
      <x:c r="K558" s="9" t="str">
        <x:v>导出仅包含当前筛选的2条明细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来源（当前证据）：liveshow-proto/MainBasis/统一需求文档.md；位置：第3282行、第3291行 REQ-5f7de1e55706
2. 规则：BR-d55d45cfa0b0729a
3. 未动态验证</x:v>
      </x:c>
    </x:row>
    <x:row r="559" ht="85" customHeight="1">
      <x:c r="A559" s="10" t="n">
        <x:v>558</x:v>
      </x:c>
      <x:c r="B559" s="10" t="str">
        <x:v>ADMIN-10-0038</x:v>
      </x:c>
      <x:c r="C559" s="10" t="str">
        <x:v>数据分析</x:v>
      </x:c>
      <x:c r="D559" s="10" t="str">
        <x:v>直播记录明细报表</x:v>
      </x:c>
      <x:c r="E559" s="10" t="str">
        <x:v>功能需求</x:v>
      </x:c>
      <x:c r="F559" s="10" t="str">
        <x:v>P1</x:v>
      </x:c>
      <x:c r="G559" s="9" t="str">
        <x:v>验证同日多场累计达标</x:v>
      </x:c>
      <x:c r="H559" s="9" t="str">
        <x:v>自然日有效天判定</x:v>
      </x:c>
      <x:c r="I559" s="9" t="str">
        <x:v>1. 平台管理员账号可用
2. 同一主播当日两场分别有效直播90分钟且没有断流</x:v>
      </x:c>
      <x:c r="J559" s="9" t="str">
        <x:v>1. 打开直播记录明细报表</x:v>
      </x:c>
      <x:c r="K559" s="9" t="str">
        <x:v>两场对应的自然日均判定为达标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来源（当前证据）：liveshow-proto/MainBasis/统一需求文档.md；位置：第3282行、第3287行 REQ-7d90dc36d4a2
2. 规则：BR-30f0ad3f60ab1668
3. 未动态验证</x:v>
      </x:c>
    </x:row>
    <x:row r="560" ht="85" customHeight="1">
      <x:c r="A560" s="10" t="n">
        <x:v>559</x:v>
      </x:c>
      <x:c r="B560" s="10" t="str">
        <x:v>ADMIN-10-0039</x:v>
      </x:c>
      <x:c r="C560" s="10" t="str">
        <x:v>数据分析</x:v>
      </x:c>
      <x:c r="D560" s="10" t="str">
        <x:v>直播记录明细报表</x:v>
      </x:c>
      <x:c r="E560" s="10" t="str">
        <x:v>逻辑校验</x:v>
      </x:c>
      <x:c r="F560" s="10" t="str">
        <x:v>P1</x:v>
      </x:c>
      <x:c r="G560" s="9" t="str">
        <x:v>验证消费金币数值核算</x:v>
      </x:c>
      <x:c r="H560" s="9" t="str">
        <x:v>消费金币计算口径</x:v>
      </x:c>
      <x:c r="I560" s="9" t="str">
        <x:v>1. 平台管理员账号可用
2. 本场普通100、定制200、门票100、幸运1000金币扣款，返奖500，虚拟500不计</x:v>
      </x:c>
      <x:c r="J560" s="9" t="str">
        <x:v>1. 打开直播记录明细报表</x:v>
      </x:c>
      <x:c r="K560" s="9" t="str">
        <x:v>消费金币计算结果=900金币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来源（当前证据）：liveshow-proto/MainBasis/统一需求文档.md；位置：第3282行、第3289行 REQ-be31da7b2eeb
2. 规则：BR-814b17f8ec8df6cf
3. 未动态验证</x:v>
      </x:c>
    </x:row>
    <x:row r="561" ht="85" customHeight="1">
      <x:c r="A561" s="10" t="n">
        <x:v>560</x:v>
      </x:c>
      <x:c r="B561" s="10" t="str">
        <x:v>ADMIN-10-0040</x:v>
      </x:c>
      <x:c r="C561" s="10" t="str">
        <x:v>数据分析</x:v>
      </x:c>
      <x:c r="D561" s="10" t="str">
        <x:v>直播记录明细报表</x:v>
      </x:c>
      <x:c r="E561" s="10" t="str">
        <x:v>功能需求</x:v>
      </x:c>
      <x:c r="F561" s="10" t="str">
        <x:v>P1</x:v>
      </x:c>
      <x:c r="G561" s="9" t="str">
        <x:v>验证同主播多场固定房号</x:v>
      </x:c>
      <x:c r="H561" s="9" t="str">
        <x:v>长期直播间ID</x:v>
      </x:c>
      <x:c r="I561" s="9" t="str">
        <x:v>1. 平台管理员账号可用
2. 同一主播先后完成两场直播</x:v>
      </x:c>
      <x:c r="J561" s="9" t="str">
        <x:v>1. 打开直播记录明细报表</x:v>
      </x:c>
      <x:c r="K561" s="9" t="str">
        <x:v>两条场次记录使用同一长期直播间ID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来源（当前证据）：liveshow-proto/MainBasis/统一需求文档.md；位置：第3282行、第3284行 REQ-0b2daeef07ef
2. 规则：BR-7a4562475efbfe49
3. 未动态验证</x:v>
      </x:c>
    </x:row>
    <x:row r="562" ht="85" customHeight="1">
      <x:c r="A562" s="10" t="n">
        <x:v>561</x:v>
      </x:c>
      <x:c r="B562" s="10" t="str">
        <x:v>ADMIN-10-0041</x:v>
      </x:c>
      <x:c r="C562" s="10" t="str">
        <x:v>数据分析</x:v>
      </x:c>
      <x:c r="D562" s="10" t="str">
        <x:v>直播记录明细报表</x:v>
      </x:c>
      <x:c r="E562" s="10" t="str">
        <x:v>功能需求</x:v>
      </x:c>
      <x:c r="F562" s="10" t="str">
        <x:v>P1</x:v>
      </x:c>
      <x:c r="G562" s="9" t="str">
        <x:v>验证主播下场更换房型</x:v>
      </x:c>
      <x:c r="H562" s="9" t="str">
        <x:v>历史房型快照</x:v>
      </x:c>
      <x:c r="I562" s="9" t="str">
        <x:v>1. 平台管理员账号可用
2. 当前场次为普通房，上一场为门票房</x:v>
      </x:c>
      <x:c r="J562" s="9" t="str">
        <x:v>1. 打开直播记录明细报表</x:v>
      </x:c>
      <x:c r="K562" s="9" t="str">
        <x:v>上一场仍显示门票房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来源（当前证据）：liveshow-proto/MainBasis/统一需求文档.md；位置：第3282行、第3285行 REQ-18e4ad700223
2. 规则：BR-a2e6ad2794771c4a
3. 未动态验证</x:v>
      </x:c>
    </x:row>
    <x:row r="563" ht="85" customHeight="1">
      <x:c r="A563" s="10" t="n">
        <x:v>562</x:v>
      </x:c>
      <x:c r="B563" s="10" t="str">
        <x:v>ADMIN-10-0042</x:v>
      </x:c>
      <x:c r="C563" s="10" t="str">
        <x:v>数据分析</x:v>
      </x:c>
      <x:c r="D563" s="10" t="str">
        <x:v>直播记录明细报表</x:v>
      </x:c>
      <x:c r="E563" s="10" t="str">
        <x:v>功能需求</x:v>
      </x:c>
      <x:c r="F563" s="10" t="str">
        <x:v>P1</x:v>
      </x:c>
      <x:c r="G563" s="9" t="str">
        <x:v>验证场次首尾时刻计算</x:v>
      </x:c>
      <x:c r="H563" s="9" t="str">
        <x:v>直播时长差值</x:v>
      </x:c>
      <x:c r="I563" s="9" t="str">
        <x:v>1. 平台管理员账号可用
2. 目标已结束场次同日10:00开播、10:45结束</x:v>
      </x:c>
      <x:c r="J563" s="9" t="str">
        <x:v>1. 打开直播记录明细报表</x:v>
      </x:c>
      <x:c r="K563" s="9" t="str">
        <x:v>时长显示45分钟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来源（当前证据）：liveshow-proto/MainBasis/统一需求文档.md；位置：第3282行、第3286行 REQ-ed3244207fd4
2. 规则：BR-61a60ba3d3fdaf45
3. 未动态验证</x:v>
      </x:c>
    </x:row>
    <x:row r="564" ht="85" customHeight="1">
      <x:c r="A564" s="10" t="n">
        <x:v>563</x:v>
      </x:c>
      <x:c r="B564" s="10" t="str">
        <x:v>ADMIN-10-0043</x:v>
      </x:c>
      <x:c r="C564" s="10" t="str">
        <x:v>数据分析</x:v>
      </x:c>
      <x:c r="D564" s="10" t="str">
        <x:v>直播记录明细报表</x:v>
      </x:c>
      <x:c r="E564" s="10" t="str">
        <x:v>功能需求</x:v>
      </x:c>
      <x:c r="F564" s="10" t="str">
        <x:v>P1</x:v>
      </x:c>
      <x:c r="G564" s="9" t="str">
        <x:v>验证真实观众进出多次</x:v>
      </x:c>
      <x:c r="H564" s="9" t="str">
        <x:v>真实观众去重</x:v>
      </x:c>
      <x:c r="I564" s="9" t="str">
        <x:v>1. 平台管理员账号可用
2. 真实用户甲进入3次、乙进入1次，另有运营号进房</x:v>
      </x:c>
      <x:c r="J564" s="9" t="str">
        <x:v>1. 打开直播记录明细报表</x:v>
      </x:c>
      <x:c r="K564" s="9" t="str">
        <x:v>观众人数显示2人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来源（当前证据）：liveshow-proto/MainBasis/统一需求文档.md；位置：第3282行、第3288行 REQ-0d89bdb920c1
2. 规则：BR-e4a12aea473d3b3d
3. 未动态验证</x:v>
      </x:c>
    </x:row>
    <x:row r="565" ht="85" customHeight="1">
      <x:c r="A565" s="10" t="n">
        <x:v>564</x:v>
      </x:c>
      <x:c r="B565" s="10" t="str">
        <x:v>ADMIN-10-0044</x:v>
      </x:c>
      <x:c r="C565" s="10" t="str">
        <x:v>数据分析</x:v>
      </x:c>
      <x:c r="D565" s="10" t="str">
        <x:v>主播活跃汇总（每日）</x:v>
      </x:c>
      <x:c r="E565" s="10" t="str">
        <x:v>功能需求</x:v>
      </x:c>
      <x:c r="F565" s="10" t="str">
        <x:v>P1</x:v>
      </x:c>
      <x:c r="G565" s="9" t="str">
        <x:v>验证按日期过滤主播活跃汇总（每日）</x:v>
      </x:c>
      <x:c r="H565" s="9" t="str">
        <x:v>报表日期范围</x:v>
      </x:c>
      <x:c r="I565" s="9" t="str">
        <x:v>1. 平台管理员账号可用
2. 所选起止日内有2条可计入记录，结束日次日有1条</x:v>
      </x:c>
      <x:c r="J565" s="9" t="str">
        <x:v>1. 打开主播活跃汇总（每日）
2. 选择起止日期
3. 点击查询</x:v>
      </x:c>
      <x:c r="K565" s="9" t="str">
        <x:v>结果只包含所选日期内可计入的2条记录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来源（当前证据）：liveshow-proto/MainBasis/统一需求文档.md；位置：第3261行、第3270行 REQ-a68fc6d9d8fa
2. 规则：BR-0da38c2f1bb58707
3. 未动态验证</x:v>
      </x:c>
    </x:row>
    <x:row r="566" ht="85" customHeight="1">
      <x:c r="A566" s="10" t="n">
        <x:v>565</x:v>
      </x:c>
      <x:c r="B566" s="10" t="str">
        <x:v>ADMIN-10-0045</x:v>
      </x:c>
      <x:c r="C566" s="10" t="str">
        <x:v>数据分析</x:v>
      </x:c>
      <x:c r="D566" s="10" t="str">
        <x:v>主播活跃汇总（每日）</x:v>
      </x:c>
      <x:c r="E566" s="10" t="str">
        <x:v>功能需求</x:v>
      </x:c>
      <x:c r="F566" s="10" t="str">
        <x:v>P1</x:v>
      </x:c>
      <x:c r="G566" s="9" t="str">
        <x:v>验证导出主播活跃汇总（每日）</x:v>
      </x:c>
      <x:c r="H566" s="9" t="str">
        <x:v>报表导出范围</x:v>
      </x:c>
      <x:c r="I566" s="9" t="str">
        <x:v>1. 平台管理员账号可用
2. 当前筛选只包含2条明细，另有范围外明细</x:v>
      </x:c>
      <x:c r="J566" s="9" t="str">
        <x:v>1. 打开主播活跃汇总（每日）
2. 点击导出</x:v>
      </x:c>
      <x:c r="K566" s="9" t="str">
        <x:v>导出仅包含当前筛选的2条明细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来源（当前证据）：liveshow-proto/MainBasis/统一需求文档.md；位置：第3261行、第3270行 REQ-a68fc6d9d8fa
2. 规则：BR-702db73135c10412
3. 未动态验证</x:v>
      </x:c>
    </x:row>
    <x:row r="567" ht="85" customHeight="1">
      <x:c r="A567" s="10" t="n">
        <x:v>566</x:v>
      </x:c>
      <x:c r="B567" s="10" t="str">
        <x:v>ADMIN-10-0046</x:v>
      </x:c>
      <x:c r="C567" s="10" t="str">
        <x:v>数据分析</x:v>
      </x:c>
      <x:c r="D567" s="10" t="str">
        <x:v>主播活跃汇总（每日）</x:v>
      </x:c>
      <x:c r="E567" s="10" t="str">
        <x:v>功能需求</x:v>
      </x:c>
      <x:c r="F567" s="10" t="str">
        <x:v>P1</x:v>
      </x:c>
      <x:c r="G567" s="9" t="str">
        <x:v>验证偶数场次开播时长中位数</x:v>
      </x:c>
      <x:c r="H567" s="9" t="str">
        <x:v>偶数中位数</x:v>
      </x:c>
      <x:c r="I567" s="9" t="str">
        <x:v>1. 平台管理员账号可用
2. 所选日有效场次时长为10、20、30、100分钟</x:v>
      </x:c>
      <x:c r="J567" s="9" t="str">
        <x:v>1. 打开主播活跃汇总（每日）</x:v>
      </x:c>
      <x:c r="K567" s="9" t="str">
        <x:v>中位数计算结果=(20+30)÷2=25分钟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来源（当前证据）：liveshow-proto/MainBasis/统一需求文档.md；位置：第3261行、第3267行 REQ-6415332bcd64
2. 规则：BR-2ab71c2f49ae1d39
3. 未动态验证</x:v>
      </x:c>
    </x:row>
    <x:row r="568" ht="85" customHeight="1">
      <x:c r="A568" s="10" t="n">
        <x:v>567</x:v>
      </x:c>
      <x:c r="B568" s="10" t="str">
        <x:v>ADMIN-10-0047</x:v>
      </x:c>
      <x:c r="C568" s="10" t="str">
        <x:v>数据分析</x:v>
      </x:c>
      <x:c r="D568" s="10" t="str">
        <x:v>主播活跃汇总（每日）</x:v>
      </x:c>
      <x:c r="E568" s="10" t="str">
        <x:v>功能需求</x:v>
      </x:c>
      <x:c r="F568" s="10" t="str">
        <x:v>P1</x:v>
      </x:c>
      <x:c r="G568" s="9" t="str">
        <x:v>验证奇数场次开播时长中位数</x:v>
      </x:c>
      <x:c r="H568" s="9" t="str">
        <x:v>奇数中位数</x:v>
      </x:c>
      <x:c r="I568" s="9" t="str">
        <x:v>1. 平台管理员账号可用
2. 所选日有效场次时长为10、20、100分钟</x:v>
      </x:c>
      <x:c r="J568" s="9" t="str">
        <x:v>1. 打开主播活跃汇总（每日）</x:v>
      </x:c>
      <x:c r="K568" s="9" t="str">
        <x:v>排序10、20、100后，中间第2项为20分钟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来源（当前证据）：liveshow-proto/MainBasis/统一需求文档.md；位置：第3261行、第3267行 REQ-6415332bcd64
2. 规则：BR-10f643ae60b1280a
3. 未动态验证</x:v>
      </x:c>
    </x:row>
    <x:row r="569" ht="130" customHeight="1">
      <x:c r="A569" s="10" t="n">
        <x:v>568</x:v>
      </x:c>
      <x:c r="B569" s="10" t="str">
        <x:v>ADMIN-10-0048</x:v>
      </x:c>
      <x:c r="C569" s="10" t="str">
        <x:v>数据分析</x:v>
      </x:c>
      <x:c r="D569" s="10" t="str">
        <x:v>主播活跃汇总（每日）</x:v>
      </x:c>
      <x:c r="E569" s="10" t="str">
        <x:v>功能需求</x:v>
      </x:c>
      <x:c r="F569" s="10" t="str">
        <x:v>P1</x:v>
      </x:c>
      <x:c r="G569" s="9" t="str">
        <x:v>验证主播按认证通过日新增</x:v>
      </x:c>
      <x:c r="H569" s="9" t="str">
        <x:v>新增主播日期归属</x:v>
      </x:c>
      <x:c r="I569" s="9" t="str">
        <x:v>1. 平台管理员账号可用
2. 申请昨日提交但今日平台通过</x:v>
      </x:c>
      <x:c r="J569" s="9" t="str">
        <x:v>1. 打开主播活跃汇总（每日）
2. 选择今日
3. 点击查询</x:v>
      </x:c>
      <x:c r="K569" s="9" t="str">
        <x:v>该主播计入今日新增主播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规则：BR-ab2ee1234bb4ad66
3. 未动态验证</x:v>
      </x:c>
    </x:row>
    <x:row r="570" ht="130" customHeight="1">
      <x:c r="A570" s="10" t="n">
        <x:v>569</x:v>
      </x:c>
      <x:c r="B570" s="10" t="str">
        <x:v>ADMIN-10-0049</x:v>
      </x:c>
      <x:c r="C570" s="10" t="str">
        <x:v>数据分析</x:v>
      </x:c>
      <x:c r="D570" s="10" t="str">
        <x:v>主播活跃汇总（每日）</x:v>
      </x:c>
      <x:c r="E570" s="10" t="str">
        <x:v>功能需求</x:v>
      </x:c>
      <x:c r="F570" s="10" t="str">
        <x:v>P1</x:v>
      </x:c>
      <x:c r="G570" s="9" t="str">
        <x:v>验证没有有效主播</x:v>
      </x:c>
      <x:c r="H570" s="9" t="str">
        <x:v>开播率零分母</x:v>
      </x:c>
      <x:c r="I570" s="9" t="str">
        <x:v>1. 平台管理员账号可用
2. 当日有效主播总数为0</x:v>
      </x:c>
      <x:c r="J570" s="9" t="str">
        <x:v>1. 打开主播活跃汇总（每日）</x:v>
      </x:c>
      <x:c r="K570" s="9" t="str">
        <x:v>开播率显示0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规则：BR-b85cd9c64b051235
3. 未动态验证</x:v>
      </x:c>
    </x:row>
    <x:row r="571" ht="130" customHeight="1">
      <x:c r="A571" s="10" t="n">
        <x:v>570</x:v>
      </x:c>
      <x:c r="B571" s="10" t="str">
        <x:v>ADMIN-10-0050</x:v>
      </x:c>
      <x:c r="C571" s="10" t="str">
        <x:v>数据分析</x:v>
      </x:c>
      <x:c r="D571" s="10" t="str">
        <x:v>主播活跃汇总（每日）</x:v>
      </x:c>
      <x:c r="E571" s="10" t="str">
        <x:v>功能需求</x:v>
      </x:c>
      <x:c r="F571" s="10" t="str">
        <x:v>P1</x:v>
      </x:c>
      <x:c r="G571" s="9" t="str">
        <x:v>验证同场多次连麦</x:v>
      </x:c>
      <x:c r="H571" s="9" t="str">
        <x:v>连麦场次去重</x:v>
      </x:c>
      <x:c r="I571" s="9" t="str">
        <x:v>1. 平台管理员账号可用
2. 一个场次有2次有效连麦，另一场没有连麦</x:v>
      </x:c>
      <x:c r="J571" s="9" t="str">
        <x:v>1. 打开主播活跃汇总（每日）</x:v>
      </x:c>
      <x:c r="K571" s="9" t="str">
        <x:v>连麦场次显示1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规则：BR-77bf7ccd63fad5d9
3. 未动态验证</x:v>
      </x:c>
    </x:row>
    <x:row r="572" ht="85" customHeight="1">
      <x:c r="A572" s="10" t="n">
        <x:v>571</x:v>
      </x:c>
      <x:c r="B572" s="10" t="str">
        <x:v>ADMIN-10-0051</x:v>
      </x:c>
      <x:c r="C572" s="10" t="str">
        <x:v>数据分析</x:v>
      </x:c>
      <x:c r="D572" s="10" t="str">
        <x:v>主播活跃汇总（每日）</x:v>
      </x:c>
      <x:c r="E572" s="10" t="str">
        <x:v>功能需求</x:v>
      </x:c>
      <x:c r="F572" s="10" t="str">
        <x:v>P1</x:v>
      </x:c>
      <x:c r="G572" s="9" t="str">
        <x:v>验证有效直播179分钟</x:v>
      </x:c>
      <x:c r="H572" s="9" t="str">
        <x:v>日有效天人数边界</x:v>
      </x:c>
      <x:c r="I572" s="9" t="str">
        <x:v>1. 平台管理员账号可用
2. 当日仅一名主播，累计有效时长179分钟，无跨日中断</x:v>
      </x:c>
      <x:c r="J572" s="9" t="str">
        <x:v>1. 打开主播活跃汇总（每日）</x:v>
      </x:c>
      <x:c r="K572" s="9" t="str">
        <x:v>有效天达标人数显示0人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来源（当前证据）：liveshow-proto/MainBasis/统一需求文档.md；位置：第3261行、第3266行 REQ-d549c0e4c62c
2. 规则：BR-f6df1d51c8fd89a9
3. 未动态验证</x:v>
      </x:c>
    </x:row>
    <x:row r="573" ht="85" customHeight="1">
      <x:c r="A573" s="10" t="n">
        <x:v>572</x:v>
      </x:c>
      <x:c r="B573" s="10" t="str">
        <x:v>ADMIN-10-0052</x:v>
      </x:c>
      <x:c r="C573" s="10" t="str">
        <x:v>数据分析</x:v>
      </x:c>
      <x:c r="D573" s="10" t="str">
        <x:v>主播活跃汇总（每日）</x:v>
      </x:c>
      <x:c r="E573" s="10" t="str">
        <x:v>功能需求</x:v>
      </x:c>
      <x:c r="F573" s="10" t="str">
        <x:v>P1</x:v>
      </x:c>
      <x:c r="G573" s="9" t="str">
        <x:v>验证有效直播180分钟</x:v>
      </x:c>
      <x:c r="H573" s="9" t="str">
        <x:v>日有效天人数边界</x:v>
      </x:c>
      <x:c r="I573" s="9" t="str">
        <x:v>1. 平台管理员账号可用
2. 当日仅一名主播，累计有效时长180分钟，无跨日中断</x:v>
      </x:c>
      <x:c r="J573" s="9" t="str">
        <x:v>1. 打开主播活跃汇总（每日）</x:v>
      </x:c>
      <x:c r="K573" s="9" t="str">
        <x:v>有效天达标人数显示1人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来源（当前证据）：liveshow-proto/MainBasis/统一需求文档.md；位置：第3261行、第3266行 REQ-d549c0e4c62c
2. 规则：BR-f69a3cc160bea02b
3. 未动态验证</x:v>
      </x:c>
    </x:row>
    <x:row r="574" ht="85" customHeight="1">
      <x:c r="A574" s="10" t="n">
        <x:v>573</x:v>
      </x:c>
      <x:c r="B574" s="10" t="str">
        <x:v>ADMIN-10-0053</x:v>
      </x:c>
      <x:c r="C574" s="10" t="str">
        <x:v>数据分析</x:v>
      </x:c>
      <x:c r="D574" s="10" t="str">
        <x:v>主播活跃汇总（每日）</x:v>
      </x:c>
      <x:c r="E574" s="10" t="str">
        <x:v>功能需求</x:v>
      </x:c>
      <x:c r="F574" s="10" t="str">
        <x:v>P1</x:v>
      </x:c>
      <x:c r="G574" s="9" t="str">
        <x:v>验证有效直播181分钟</x:v>
      </x:c>
      <x:c r="H574" s="9" t="str">
        <x:v>日有效天人数边界</x:v>
      </x:c>
      <x:c r="I574" s="9" t="str">
        <x:v>1. 平台管理员账号可用
2. 当日仅一名主播，累计有效时长181分钟，无跨日中断</x:v>
      </x:c>
      <x:c r="J574" s="9" t="str">
        <x:v>1. 打开主播活跃汇总（每日）</x:v>
      </x:c>
      <x:c r="K574" s="9" t="str">
        <x:v>有效天达标人数显示1人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来源（当前证据）：liveshow-proto/MainBasis/统一需求文档.md；位置：第3261行、第3266行 REQ-d549c0e4c62c
2. 规则：BR-25ac65be64fcbc88
3. 未动态验证</x:v>
      </x:c>
    </x:row>
    <x:row r="575" ht="130" customHeight="1">
      <x:c r="A575" s="10" t="n">
        <x:v>574</x:v>
      </x:c>
      <x:c r="B575" s="10" t="str">
        <x:v>ADMIN-10-0054</x:v>
      </x:c>
      <x:c r="C575" s="10" t="str">
        <x:v>数据分析</x:v>
      </x:c>
      <x:c r="D575" s="10" t="str">
        <x:v>主播活跃汇总（每日）</x:v>
      </x:c>
      <x:c r="E575" s="10" t="str">
        <x:v>功能需求</x:v>
      </x:c>
      <x:c r="F575" s="10" t="str">
        <x:v>P1</x:v>
      </x:c>
      <x:c r="G575" s="9" t="str">
        <x:v>验证一名主播开两场：开播主播人数</x:v>
      </x:c>
      <x:c r="H575" s="9" t="str">
        <x:v>开播主播人数</x:v>
      </x:c>
      <x:c r="I575" s="9" t="str">
        <x:v>1. 平台管理员账号可用
2. 同一主播在所选日成功开播2场</x:v>
      </x:c>
      <x:c r="J575" s="9" t="str">
        <x:v>1. 打开主播活跃汇总（每日）</x:v>
      </x:c>
      <x:c r="K575" s="9" t="str">
        <x:v>开播人数显示1人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规则：BR-c6094779d85fbb57
3. 未动态验证</x:v>
      </x:c>
    </x:row>
    <x:row r="576" ht="130" customHeight="1">
      <x:c r="A576" s="10" t="n">
        <x:v>575</x:v>
      </x:c>
      <x:c r="B576" s="10" t="str">
        <x:v>ADMIN-10-0055</x:v>
      </x:c>
      <x:c r="C576" s="10" t="str">
        <x:v>数据分析</x:v>
      </x:c>
      <x:c r="D576" s="10" t="str">
        <x:v>主播活跃汇总（每日）</x:v>
      </x:c>
      <x:c r="E576" s="10" t="str">
        <x:v>功能需求</x:v>
      </x:c>
      <x:c r="F576" s="10" t="str">
        <x:v>P1</x:v>
      </x:c>
      <x:c r="G576" s="9" t="str">
        <x:v>验证一名主播开两场：成功开播场次数</x:v>
      </x:c>
      <x:c r="H576" s="9" t="str">
        <x:v>成功开播场次数</x:v>
      </x:c>
      <x:c r="I576" s="9" t="str">
        <x:v>1. 平台管理员账号可用
2. 同一主播在所选日成功开播2场</x:v>
      </x:c>
      <x:c r="J576" s="9" t="str">
        <x:v>1. 打开主播活跃汇总（每日）</x:v>
      </x:c>
      <x:c r="K576" s="9" t="str">
        <x:v>直播场次显示2场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规则：BR-b700040870845dc2
3. 未动态验证</x:v>
      </x:c>
    </x:row>
    <x:row r="577" ht="130" customHeight="1">
      <x:c r="A577" s="10" t="n">
        <x:v>576</x:v>
      </x:c>
      <x:c r="B577" s="10" t="str">
        <x:v>ADMIN-10-0056</x:v>
      </x:c>
      <x:c r="C577" s="10" t="str">
        <x:v>数据分析</x:v>
      </x:c>
      <x:c r="D577" s="10" t="str">
        <x:v>主播活跃汇总（每日）</x:v>
      </x:c>
      <x:c r="E577" s="10" t="str">
        <x:v>功能需求</x:v>
      </x:c>
      <x:c r="F577" s="10" t="str">
        <x:v>P1</x:v>
      </x:c>
      <x:c r="G577" s="9" t="str">
        <x:v>验证违规主播去重：违规主播人数</x:v>
      </x:c>
      <x:c r="H577" s="9" t="str">
        <x:v>违规主播人数</x:v>
      </x:c>
      <x:c r="I577" s="9" t="str">
        <x:v>1. 平台管理员账号可用
2. 同一主播两场均确认违规</x:v>
      </x:c>
      <x:c r="J577" s="9" t="str">
        <x:v>1. 打开主播活跃汇总（每日）</x:v>
      </x:c>
      <x:c r="K577" s="9" t="str">
        <x:v>违规主播显示1人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规则：BR-b9ecef838074a83d
3. 未动态验证</x:v>
      </x:c>
    </x:row>
    <x:row r="578" ht="130" customHeight="1">
      <x:c r="A578" s="10" t="n">
        <x:v>577</x:v>
      </x:c>
      <x:c r="B578" s="10" t="str">
        <x:v>ADMIN-10-0057</x:v>
      </x:c>
      <x:c r="C578" s="10" t="str">
        <x:v>数据分析</x:v>
      </x:c>
      <x:c r="D578" s="10" t="str">
        <x:v>主播活跃汇总（每日）</x:v>
      </x:c>
      <x:c r="E578" s="10" t="str">
        <x:v>功能需求</x:v>
      </x:c>
      <x:c r="F578" s="10" t="str">
        <x:v>P1</x:v>
      </x:c>
      <x:c r="G578" s="9" t="str">
        <x:v>验证违规主播去重：违规场次计数</x:v>
      </x:c>
      <x:c r="H578" s="9" t="str">
        <x:v>违规场次计数</x:v>
      </x:c>
      <x:c r="I578" s="9" t="str">
        <x:v>1. 平台管理员账号可用
2. 同一主播两场均确认违规</x:v>
      </x:c>
      <x:c r="J578" s="9" t="str">
        <x:v>1. 打开主播活跃汇总（每日）</x:v>
      </x:c>
      <x:c r="K578" s="9" t="str">
        <x:v>违规场次显示2场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规则：BR-b730f3987460f79b
3. 未动态验证</x:v>
      </x:c>
    </x:row>
    <x:row r="579" ht="85" customHeight="1">
      <x:c r="A579" s="10" t="n">
        <x:v>578</x:v>
      </x:c>
      <x:c r="B579" s="10" t="str">
        <x:v>ADMIN-10-0058</x:v>
      </x:c>
      <x:c r="C579" s="10" t="str">
        <x:v>数据分析</x:v>
      </x:c>
      <x:c r="D579" s="10" t="str">
        <x:v>直播间互动汇总（每日）</x:v>
      </x:c>
      <x:c r="E579" s="10" t="str">
        <x:v>功能需求</x:v>
      </x:c>
      <x:c r="F579" s="10" t="str">
        <x:v>P1</x:v>
      </x:c>
      <x:c r="G579" s="9" t="str">
        <x:v>验证按日期过滤直播间互动汇总（每日）</x:v>
      </x:c>
      <x:c r="H579" s="9" t="str">
        <x:v>报表日期范围</x:v>
      </x:c>
      <x:c r="I579" s="9" t="str">
        <x:v>1. 平台管理员账号可用
2. 所选起止日内有2条可计入记录，结束日次日有1条</x:v>
      </x:c>
      <x:c r="J579" s="9" t="str">
        <x:v>1. 打开直播间互动汇总（每日）
2. 选择起止日期
3. 点击查询</x:v>
      </x:c>
      <x:c r="K579" s="9" t="str">
        <x:v>结果只包含所选日期内可计入的2条记录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来源（当前证据）：liveshow-proto/MainBasis/统一需求文档.md；位置：第3273行、第3279行 REQ-5fee0db13b2f
2. 规则：BR-f8359025d62b658a
3. 未动态验证</x:v>
      </x:c>
    </x:row>
    <x:row r="580" ht="85" customHeight="1">
      <x:c r="A580" s="10" t="n">
        <x:v>579</x:v>
      </x:c>
      <x:c r="B580" s="10" t="str">
        <x:v>ADMIN-10-0059</x:v>
      </x:c>
      <x:c r="C580" s="10" t="str">
        <x:v>数据分析</x:v>
      </x:c>
      <x:c r="D580" s="10" t="str">
        <x:v>直播间互动汇总（每日）</x:v>
      </x:c>
      <x:c r="E580" s="10" t="str">
        <x:v>功能需求</x:v>
      </x:c>
      <x:c r="F580" s="10" t="str">
        <x:v>P1</x:v>
      </x:c>
      <x:c r="G580" s="9" t="str">
        <x:v>验证导出直播间互动汇总（每日）</x:v>
      </x:c>
      <x:c r="H580" s="9" t="str">
        <x:v>报表导出范围</x:v>
      </x:c>
      <x:c r="I580" s="9" t="str">
        <x:v>1. 平台管理员账号可用
2. 当前筛选只包含2条明细，另有范围外明细</x:v>
      </x:c>
      <x:c r="J580" s="9" t="str">
        <x:v>1. 打开直播间互动汇总（每日）
2. 点击导出</x:v>
      </x:c>
      <x:c r="K580" s="9" t="str">
        <x:v>导出仅包含当前筛选的2条明细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来源（当前证据）：liveshow-proto/MainBasis/统一需求文档.md；位置：第3273行、第3279行 REQ-5fee0db13b2f
2. 规则：BR-37cffe28e9d34d6f
3. 未动态验证</x:v>
      </x:c>
    </x:row>
    <x:row r="581" ht="115" customHeight="1">
      <x:c r="A581" s="10" t="n">
        <x:v>580</x:v>
      </x:c>
      <x:c r="B581" s="10" t="str">
        <x:v>ADMIN-10-0060</x:v>
      </x:c>
      <x:c r="C581" s="10" t="str">
        <x:v>数据分析</x:v>
      </x:c>
      <x:c r="D581" s="10" t="str">
        <x:v>直播间互动汇总（每日）</x:v>
      </x:c>
      <x:c r="E581" s="10" t="str">
        <x:v>功能需求</x:v>
      </x:c>
      <x:c r="F581" s="10" t="str">
        <x:v>P1</x:v>
      </x:c>
      <x:c r="G581" s="9" t="str">
        <x:v>验证观众多次访问</x:v>
      </x:c>
      <x:c r="H581" s="9" t="str">
        <x:v>互动观众去重</x:v>
      </x:c>
      <x:c r="I581" s="9" t="str">
        <x:v>1. 平台管理员账号可用
2. 当日同一真实用户进入两个直播间</x:v>
      </x:c>
      <x:c r="J581" s="9" t="str">
        <x:v>1. 打开直播间互动汇总（每日）</x:v>
      </x:c>
      <x:c r="K581" s="9" t="str">
        <x:v>观众人数显示1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来源（当前证据）：liveshow-proto/MainBasis/统一需求文档.md；位置：第3273行、第3275行 REQ-a58ace341446、第3276行 REQ-4ff72f9d6077、第3277行 REQ-231162c6d51d、第3278行 REQ-0a2cea75b254
2. 规则：BR-d72b8c43b458e9b9
3. 未动态验证</x:v>
      </x:c>
    </x:row>
    <x:row r="582" ht="115" customHeight="1">
      <x:c r="A582" s="10" t="n">
        <x:v>581</x:v>
      </x:c>
      <x:c r="B582" s="10" t="str">
        <x:v>ADMIN-10-0061</x:v>
      </x:c>
      <x:c r="C582" s="10" t="str">
        <x:v>数据分析</x:v>
      </x:c>
      <x:c r="D582" s="10" t="str">
        <x:v>直播间互动汇总（每日）</x:v>
      </x:c>
      <x:c r="E582" s="10" t="str">
        <x:v>功能需求</x:v>
      </x:c>
      <x:c r="F582" s="10" t="str">
        <x:v>P1</x:v>
      </x:c>
      <x:c r="G582" s="9" t="str">
        <x:v>验证观看秒数换算分钟</x:v>
      </x:c>
      <x:c r="H582" s="9" t="str">
        <x:v>观看时长四舍五入</x:v>
      </x:c>
      <x:c r="I582" s="9" t="str">
        <x:v>1. 平台管理员账号可用
2. 当日有效观看累计90秒</x:v>
      </x:c>
      <x:c r="J582" s="9" t="str">
        <x:v>1. 打开直播间互动汇总（每日）</x:v>
      </x:c>
      <x:c r="K582" s="9" t="str">
        <x:v>观看时长显示2分钟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来源（当前证据）：liveshow-proto/MainBasis/统一需求文档.md；位置：第3273行、第3275行 REQ-a58ace341446、第3276行 REQ-4ff72f9d6077、第3277行 REQ-231162c6d51d、第3278行 REQ-0a2cea75b254
2. 规则：BR-781ed425ac4c6e29
3. 未动态验证</x:v>
      </x:c>
    </x:row>
    <x:row r="583" ht="115" customHeight="1">
      <x:c r="A583" s="10" t="n">
        <x:v>582</x:v>
      </x:c>
      <x:c r="B583" s="10" t="str">
        <x:v>ADMIN-10-0062</x:v>
      </x:c>
      <x:c r="C583" s="10" t="str">
        <x:v>数据分析</x:v>
      </x:c>
      <x:c r="D583" s="10" t="str">
        <x:v>直播间互动汇总（每日）</x:v>
      </x:c>
      <x:c r="E583" s="10" t="str">
        <x:v>功能需求</x:v>
      </x:c>
      <x:c r="F583" s="10" t="str">
        <x:v>P1</x:v>
      </x:c>
      <x:c r="G583" s="9" t="str">
        <x:v>验证人均观看零分母</x:v>
      </x:c>
      <x:c r="H583" s="9" t="str">
        <x:v>人均时长空数据</x:v>
      </x:c>
      <x:c r="I583" s="9" t="str">
        <x:v>1. 平台管理员账号可用
2. 当日观众人数为0</x:v>
      </x:c>
      <x:c r="J583" s="9" t="str">
        <x:v>1. 打开直播间互动汇总（每日）</x:v>
      </x:c>
      <x:c r="K583" s="9" t="str">
        <x:v>人均观看时长显示0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来源（当前证据）：liveshow-proto/MainBasis/统一需求文档.md；位置：第3273行、第3275行 REQ-a58ace341446、第3276行 REQ-4ff72f9d6077、第3277行 REQ-231162c6d51d、第3278行 REQ-0a2cea75b254
2. 规则：BR-c2ca5f4d1e48cb28
3. 未动态验证</x:v>
      </x:c>
    </x:row>
    <x:row r="584" ht="115" customHeight="1">
      <x:c r="A584" s="10" t="n">
        <x:v>583</x:v>
      </x:c>
      <x:c r="B584" s="10" t="str">
        <x:v>ADMIN-10-0063</x:v>
      </x:c>
      <x:c r="C584" s="10" t="str">
        <x:v>数据分析</x:v>
      </x:c>
      <x:c r="D584" s="10" t="str">
        <x:v>直播间互动汇总（每日）</x:v>
      </x:c>
      <x:c r="E584" s="10" t="str">
        <x:v>功能需求</x:v>
      </x:c>
      <x:c r="F584" s="10" t="str">
        <x:v>P1</x:v>
      </x:c>
      <x:c r="G584" s="9" t="str">
        <x:v>验证没有访问次数</x:v>
      </x:c>
      <x:c r="H584" s="9" t="str">
        <x:v>访问率空数据</x:v>
      </x:c>
      <x:c r="I584" s="9" t="str">
        <x:v>1. 平台管理员账号可用
2. 当日直播间访问次数为0</x:v>
      </x:c>
      <x:c r="J584" s="9" t="str">
        <x:v>1. 打开直播间互动汇总（每日）</x:v>
      </x:c>
      <x:c r="K584" s="9" t="str">
        <x:v>直播间访问率显示0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来源（当前证据）：liveshow-proto/MainBasis/统一需求文档.md；位置：第3273行、第3275行 REQ-a58ace341446、第3276行 REQ-4ff72f9d6077、第3277行 REQ-231162c6d51d、第3278行 REQ-0a2cea75b254
2. 规则：BR-b7272716f59cee8e
3. 未动态验证</x:v>
      </x:c>
    </x:row>
    <x:row r="585" ht="115" customHeight="1">
      <x:c r="A585" s="10" t="n">
        <x:v>584</x:v>
      </x:c>
      <x:c r="B585" s="10" t="str">
        <x:v>ADMIN-10-0064</x:v>
      </x:c>
      <x:c r="C585" s="10" t="str">
        <x:v>数据分析</x:v>
      </x:c>
      <x:c r="D585" s="10" t="str">
        <x:v>直播间互动汇总（每日）</x:v>
      </x:c>
      <x:c r="E585" s="10" t="str">
        <x:v>功能需求</x:v>
      </x:c>
      <x:c r="F585" s="10" t="str">
        <x:v>P1</x:v>
      </x:c>
      <x:c r="G585" s="9" t="str">
        <x:v>验证访问率保留一位小数</x:v>
      </x:c>
      <x:c r="H585" s="9" t="str">
        <x:v>访问率精度</x:v>
      </x:c>
      <x:c r="I585" s="9" t="str">
        <x:v>1. 平台管理员账号可用
2. 当日去重真实观众1人、直播间访问3次</x:v>
      </x:c>
      <x:c r="J585" s="9" t="str">
        <x:v>1. 打开直播间互动汇总（每日）</x:v>
      </x:c>
      <x:c r="K585" s="9" t="str">
        <x:v>直播间访问率显示33.3%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来源（当前证据）：liveshow-proto/MainBasis/统一需求文档.md；位置：第3273行、第3275行 REQ-a58ace341446、第3276行 REQ-4ff72f9d6077、第3277行 REQ-231162c6d51d、第3278行 REQ-0a2cea75b254
2. 规则：BR-be5d25e729712b67
3. 未动态验证</x:v>
      </x:c>
    </x:row>
    <x:row r="586" ht="85" customHeight="1">
      <x:c r="A586" s="10" t="n">
        <x:v>585</x:v>
      </x:c>
      <x:c r="B586" s="10" t="str">
        <x:v>ADMIN-10-0065</x:v>
      </x:c>
      <x:c r="C586" s="10" t="str">
        <x:v>数据分析</x:v>
      </x:c>
      <x:c r="D586" s="10" t="str">
        <x:v>礼物消费汇总报表</x:v>
      </x:c>
      <x:c r="E586" s="10" t="str">
        <x:v>功能需求</x:v>
      </x:c>
      <x:c r="F586" s="10" t="str">
        <x:v>P1</x:v>
      </x:c>
      <x:c r="G586" s="9" t="str">
        <x:v>验证按日期过滤礼物消费汇总报表</x:v>
      </x:c>
      <x:c r="H586" s="9" t="str">
        <x:v>报表日期范围</x:v>
      </x:c>
      <x:c r="I586" s="9" t="str">
        <x:v>1. 平台管理员账号可用
2. 所选起止日内有2条可计入记录，结束日次日有1条</x:v>
      </x:c>
      <x:c r="J586" s="9" t="str">
        <x:v>1. 打开礼物消费汇总报表
2. 选择起止日期
3. 点击查询</x:v>
      </x:c>
      <x:c r="K586" s="9" t="str">
        <x:v>结果只包含所选日期内可计入的2条记录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来源（当前证据）：liveshow-proto/MainBasis/统一需求文档.md；位置：第3355行、第3361行 REQ-2ad4961f0c54
2. 规则：BR-9d696618ff45b139
3. 未动态验证</x:v>
      </x:c>
    </x:row>
    <x:row r="587" ht="85" customHeight="1">
      <x:c r="A587" s="10" t="n">
        <x:v>586</x:v>
      </x:c>
      <x:c r="B587" s="10" t="str">
        <x:v>ADMIN-10-0066</x:v>
      </x:c>
      <x:c r="C587" s="10" t="str">
        <x:v>数据分析</x:v>
      </x:c>
      <x:c r="D587" s="10" t="str">
        <x:v>礼物消费汇总报表</x:v>
      </x:c>
      <x:c r="E587" s="10" t="str">
        <x:v>功能需求</x:v>
      </x:c>
      <x:c r="F587" s="10" t="str">
        <x:v>P1</x:v>
      </x:c>
      <x:c r="G587" s="9" t="str">
        <x:v>验证导出礼物消费汇总报表</x:v>
      </x:c>
      <x:c r="H587" s="9" t="str">
        <x:v>报表导出范围</x:v>
      </x:c>
      <x:c r="I587" s="9" t="str">
        <x:v>1. 平台管理员账号可用
2. 当前筛选只包含2条明细，另有范围外明细</x:v>
      </x:c>
      <x:c r="J587" s="9" t="str">
        <x:v>1. 打开礼物消费汇总报表
2. 点击导出</x:v>
      </x:c>
      <x:c r="K587" s="9" t="str">
        <x:v>导出仅包含当前筛选的2条明细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来源（当前证据）：liveshow-proto/MainBasis/统一需求文档.md；位置：第3355行、第3361行 REQ-2ad4961f0c54
2. 规则：BR-3dd00dedf39f7321
3. 未动态验证</x:v>
      </x:c>
    </x:row>
    <x:row r="588" ht="115" customHeight="1">
      <x:c r="A588" s="10" t="n">
        <x:v>587</x:v>
      </x:c>
      <x:c r="B588" s="10" t="str">
        <x:v>ADMIN-10-0067</x:v>
      </x:c>
      <x:c r="C588" s="10" t="str">
        <x:v>数据分析</x:v>
      </x:c>
      <x:c r="D588" s="10" t="str">
        <x:v>礼物消费汇总报表</x:v>
      </x:c>
      <x:c r="E588" s="10" t="str">
        <x:v>逻辑校验</x:v>
      </x:c>
      <x:c r="F588" s="10" t="str">
        <x:v>P1</x:v>
      </x:c>
      <x:c r="G588" s="9" t="str">
        <x:v>验证礼物销售额不扣返奖</x:v>
      </x:c>
      <x:c r="H588" s="9" t="str">
        <x:v>礼物价值统计</x:v>
      </x:c>
      <x:c r="I588" s="9" t="str">
        <x:v>1. 平台管理员账号可用
2. 成功真实幸运礼物单价100金币、3件，返奖200金币；另有虚拟赠送</x:v>
      </x:c>
      <x:c r="J588" s="9" t="str">
        <x:v>1. 打开礼物消费汇总报表</x:v>
      </x:c>
      <x:c r="K588" s="9" t="str">
        <x:v>计算结果：销售额=100×3=300金币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来源（当前证据）：liveshow-proto/MainBasis/统一需求文档.md；位置：第3355行、第3357行 REQ-6299c7e767e5、第3358行 REQ-96b3556b2fe6、第3359行 REQ-b9a83a6c0ae8、第3360行 REQ-c7ee99eb0761
2. 规则：BR-03ccd5f2d811eaa6
3. 未动态验证</x:v>
      </x:c>
    </x:row>
    <x:row r="589" ht="85" customHeight="1">
      <x:c r="A589" s="10" t="n">
        <x:v>588</x:v>
      </x:c>
      <x:c r="B589" s="10" t="str">
        <x:v>ADMIN-10-0068</x:v>
      </x:c>
      <x:c r="C589" s="10" t="str">
        <x:v>数据分析</x:v>
      </x:c>
      <x:c r="D589" s="10" t="str">
        <x:v>主播礼物打赏明细报表</x:v>
      </x:c>
      <x:c r="E589" s="10" t="str">
        <x:v>功能需求</x:v>
      </x:c>
      <x:c r="F589" s="10" t="str">
        <x:v>P1</x:v>
      </x:c>
      <x:c r="G589" s="9" t="str">
        <x:v>验证按日期过滤主播礼物打赏明细报表</x:v>
      </x:c>
      <x:c r="H589" s="9" t="str">
        <x:v>报表日期范围</x:v>
      </x:c>
      <x:c r="I589" s="9" t="str">
        <x:v>1. 平台管理员账号可用
2. 所选起止日内有2条可计入记录，结束日次日有1条</x:v>
      </x:c>
      <x:c r="J589" s="9" t="str">
        <x:v>1. 打开主播礼物打赏明细报表
2. 选择起止日期
3. 点击查询</x:v>
      </x:c>
      <x:c r="K589" s="9" t="str">
        <x:v>结果只包含所选日期内可计入的2条记录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来源（当前证据）：liveshow-proto/MainBasis/统一需求文档.md；位置：第3337行、第3343行 REQ-03268afd04f5
2. 规则：BR-cd8cd9381ba8143f
3. 未动态验证</x:v>
      </x:c>
    </x:row>
    <x:row r="590" ht="85" customHeight="1">
      <x:c r="A590" s="10" t="n">
        <x:v>589</x:v>
      </x:c>
      <x:c r="B590" s="10" t="str">
        <x:v>ADMIN-10-0069</x:v>
      </x:c>
      <x:c r="C590" s="10" t="str">
        <x:v>数据分析</x:v>
      </x:c>
      <x:c r="D590" s="10" t="str">
        <x:v>主播礼物打赏明细报表</x:v>
      </x:c>
      <x:c r="E590" s="10" t="str">
        <x:v>功能需求</x:v>
      </x:c>
      <x:c r="F590" s="10" t="str">
        <x:v>P1</x:v>
      </x:c>
      <x:c r="G590" s="9" t="str">
        <x:v>验证导出主播礼物打赏明细报表</x:v>
      </x:c>
      <x:c r="H590" s="9" t="str">
        <x:v>报表导出范围</x:v>
      </x:c>
      <x:c r="I590" s="9" t="str">
        <x:v>1. 平台管理员账号可用
2. 当前筛选只包含2条明细，另有范围外明细</x:v>
      </x:c>
      <x:c r="J590" s="9" t="str">
        <x:v>1. 打开主播礼物打赏明细报表
2. 点击导出</x:v>
      </x:c>
      <x:c r="K590" s="9" t="str">
        <x:v>导出仅包含当前筛选的2条明细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来源（当前证据）：liveshow-proto/MainBasis/统一需求文档.md；位置：第3337行、第3343行 REQ-03268afd04f5
2. 规则：BR-1b97b9ab8f1d7a92
3. 未动态验证</x:v>
      </x:c>
    </x:row>
    <x:row r="591" ht="100" customHeight="1">
      <x:c r="A591" s="10" t="n">
        <x:v>590</x:v>
      </x:c>
      <x:c r="B591" s="10" t="str">
        <x:v>ADMIN-10-0070</x:v>
      </x:c>
      <x:c r="C591" s="10" t="str">
        <x:v>数据分析</x:v>
      </x:c>
      <x:c r="D591" s="10" t="str">
        <x:v>主播礼物打赏明细报表</x:v>
      </x:c>
      <x:c r="E591" s="10" t="str">
        <x:v>功能需求</x:v>
      </x:c>
      <x:c r="F591" s="10" t="str">
        <x:v>P1</x:v>
      </x:c>
      <x:c r="G591" s="9" t="str">
        <x:v>验证幸运打赏分成前收益</x:v>
      </x:c>
      <x:c r="H591" s="9" t="str">
        <x:v>幸运赠礼比例快照</x:v>
      </x:c>
      <x:c r="I591" s="9" t="str">
        <x:v>1. 平台管理员账号可用
2. 成功真实幸运礼物单价100金币共3件，比例1%，期间另有虚拟礼物</x:v>
      </x:c>
      <x:c r="J591" s="9" t="str">
        <x:v>1. 打开主播礼物打赏明细报表</x:v>
      </x:c>
      <x:c r="K591" s="9" t="str">
        <x:v>幸运礼物收益计算结果=100×3×0.01=3金币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来源（当前证据）：liveshow-proto/MainBasis/统一需求文档.md；位置：第3337行、第3341行 REQ-a91c778f4cc5、第3342行 REQ-903be88d06c7
2. 规则：BR-34415a856b7e3912
3. 未动态验证</x:v>
      </x:c>
    </x:row>
    <x:row r="592" ht="100" customHeight="1">
      <x:c r="A592" s="10" t="n">
        <x:v>591</x:v>
      </x:c>
      <x:c r="B592" s="10" t="str">
        <x:v>ADMIN-10-0071</x:v>
      </x:c>
      <x:c r="C592" s="10" t="str">
        <x:v>数据分析</x:v>
      </x:c>
      <x:c r="D592" s="10" t="str">
        <x:v>主播礼物打赏明细报表</x:v>
      </x:c>
      <x:c r="E592" s="10" t="str">
        <x:v>逻辑校验</x:v>
      </x:c>
      <x:c r="F592" s="10" t="str">
        <x:v>P1</x:v>
      </x:c>
      <x:c r="G592" s="9" t="str">
        <x:v>验证普通礼物收益数值核算</x:v>
      </x:c>
      <x:c r="H592" s="9" t="str">
        <x:v>普通礼物收益计算口径</x:v>
      </x:c>
      <x:c r="I592" s="9" t="str">
        <x:v>1. 平台管理员账号可用
2. 所选主播普通礼物赠送时单价100金币、成功3件，当前价格已改为200</x:v>
      </x:c>
      <x:c r="J592" s="9" t="str">
        <x:v>1. 打开主播礼物打赏明细报表</x:v>
      </x:c>
      <x:c r="K592" s="9" t="str">
        <x:v>普通礼物收益计算结果=300金币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来源（当前证据）：liveshow-proto/MainBasis/统一需求文档.md；位置：第3337行、第3340行 REQ-1828b7702c16、第3339行 REQ-6b1e8290c6b3
2. 规则：BR-ca7913818e2dc811
3. 未动态验证</x:v>
      </x:c>
    </x:row>
    <x:row r="593" ht="85" customHeight="1">
      <x:c r="A593" s="10" t="n">
        <x:v>592</x:v>
      </x:c>
      <x:c r="B593" s="10" t="str">
        <x:v>ADMIN-10-0072</x:v>
      </x:c>
      <x:c r="C593" s="10" t="str">
        <x:v>数据分析</x:v>
      </x:c>
      <x:c r="D593" s="10" t="str">
        <x:v>主播业绩分成报表</x:v>
      </x:c>
      <x:c r="E593" s="10" t="str">
        <x:v>功能需求</x:v>
      </x:c>
      <x:c r="F593" s="10" t="str">
        <x:v>P1</x:v>
      </x:c>
      <x:c r="G593" s="9" t="str">
        <x:v>验证按日期过滤主播业绩分成报表</x:v>
      </x:c>
      <x:c r="H593" s="9" t="str">
        <x:v>报表日期范围</x:v>
      </x:c>
      <x:c r="I593" s="9" t="str">
        <x:v>1. 平台管理员账号可用
2. 所选起止日内有2条可计入记录，结束日次日有1条</x:v>
      </x:c>
      <x:c r="J593" s="9" t="str">
        <x:v>1. 打开主播业绩分成报表
2. 选择起止日期
3. 点击查询</x:v>
      </x:c>
      <x:c r="K593" s="9" t="str">
        <x:v>结果只包含所选日期内可计入的2条记录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来源（当前证据）：liveshow-proto/MainBasis/统一需求文档.md；位置：第3325行、第3334行 REQ-12688b2ebff8
2. 规则：BR-00f4d672cb7053ab
3. 未动态验证</x:v>
      </x:c>
    </x:row>
    <x:row r="594" ht="85" customHeight="1">
      <x:c r="A594" s="10" t="n">
        <x:v>593</x:v>
      </x:c>
      <x:c r="B594" s="10" t="str">
        <x:v>ADMIN-10-0073</x:v>
      </x:c>
      <x:c r="C594" s="10" t="str">
        <x:v>数据分析</x:v>
      </x:c>
      <x:c r="D594" s="10" t="str">
        <x:v>主播业绩分成报表</x:v>
      </x:c>
      <x:c r="E594" s="10" t="str">
        <x:v>功能需求</x:v>
      </x:c>
      <x:c r="F594" s="10" t="str">
        <x:v>P1</x:v>
      </x:c>
      <x:c r="G594" s="9" t="str">
        <x:v>验证导出主播业绩分成报表</x:v>
      </x:c>
      <x:c r="H594" s="9" t="str">
        <x:v>报表导出范围</x:v>
      </x:c>
      <x:c r="I594" s="9" t="str">
        <x:v>1. 平台管理员账号可用
2. 当前筛选只包含2条明细，另有范围外明细</x:v>
      </x:c>
      <x:c r="J594" s="9" t="str">
        <x:v>1. 打开主播业绩分成报表
2. 点击导出</x:v>
      </x:c>
      <x:c r="K594" s="9" t="str">
        <x:v>导出仅包含当前筛选的2条明细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来源（当前证据）：liveshow-proto/MainBasis/统一需求文档.md；位置：第3325行、第3334行 REQ-12688b2ebff8
2. 规则：BR-a6a382446b28ec98
3. 未动态验证</x:v>
      </x:c>
    </x:row>
    <x:row r="595" ht="85" customHeight="1">
      <x:c r="A595" s="10" t="n">
        <x:v>594</x:v>
      </x:c>
      <x:c r="B595" s="10" t="str">
        <x:v>ADMIN-10-0074</x:v>
      </x:c>
      <x:c r="C595" s="10" t="str">
        <x:v>数据分析</x:v>
      </x:c>
      <x:c r="D595" s="10" t="str">
        <x:v>主播业绩分成报表</x:v>
      </x:c>
      <x:c r="E595" s="10" t="str">
        <x:v>功能需求</x:v>
      </x:c>
      <x:c r="F595" s="10" t="str">
        <x:v>P1</x:v>
      </x:c>
      <x:c r="G595" s="9" t="str">
        <x:v>验证起止日含首尾</x:v>
      </x:c>
      <x:c r="H595" s="9" t="str">
        <x:v>统计天数闭区间</x:v>
      </x:c>
      <x:c r="I595" s="9" t="str">
        <x:v>1. 平台管理员账号可用
2. 开始日期9月1日，结束日期9月3日</x:v>
      </x:c>
      <x:c r="J595" s="9" t="str">
        <x:v>1. 打开主播业绩分成报表
2. 点击查询</x:v>
      </x:c>
      <x:c r="K595" s="9" t="str">
        <x:v>统计天数为3天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来源（当前证据）：liveshow-proto/MainBasis/统一需求文档.md；位置：第3325行、第3327行 REQ-3b3683ac9f93
2. 规则：BR-953a986451a5b663
3. 未动态验证</x:v>
      </x:c>
    </x:row>
    <x:row r="596" ht="85" customHeight="1">
      <x:c r="A596" s="10" t="n">
        <x:v>595</x:v>
      </x:c>
      <x:c r="B596" s="10" t="str">
        <x:v>ADMIN-10-0075</x:v>
      </x:c>
      <x:c r="C596" s="10" t="str">
        <x:v>数据分析</x:v>
      </x:c>
      <x:c r="D596" s="10" t="str">
        <x:v>主播业绩分成报表</x:v>
      </x:c>
      <x:c r="E596" s="10" t="str">
        <x:v>功能需求</x:v>
      </x:c>
      <x:c r="F596" s="10" t="str">
        <x:v>P1</x:v>
      </x:c>
      <x:c r="G596" s="9" t="str">
        <x:v>验证达标天数每日封顶</x:v>
      </x:c>
      <x:c r="H596" s="9" t="str">
        <x:v>有效天每日上限</x:v>
      </x:c>
      <x:c r="I596" s="9" t="str">
        <x:v>1. 平台管理员账号可用
2. 同一主播某日有效直播6小时，另一日不足3小时</x:v>
      </x:c>
      <x:c r="J596" s="9" t="str">
        <x:v>1. 打开主播业绩分成报表</x:v>
      </x:c>
      <x:c r="K596" s="9" t="str">
        <x:v>达标天数显示1天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来源（当前证据）：liveshow-proto/MainBasis/统一需求文档.md；位置：第3325行、第3328行 REQ-8c1da7d90b54
2. 规则：BR-3667afc31b3e2d89
3. 未动态验证</x:v>
      </x:c>
    </x:row>
    <x:row r="597" ht="115" customHeight="1">
      <x:c r="A597" s="10" t="n">
        <x:v>596</x:v>
      </x:c>
      <x:c r="B597" s="10" t="str">
        <x:v>ADMIN-10-0076</x:v>
      </x:c>
      <x:c r="C597" s="10" t="str">
        <x:v>数据分析</x:v>
      </x:c>
      <x:c r="D597" s="10" t="str">
        <x:v>主播业绩分成报表</x:v>
      </x:c>
      <x:c r="E597" s="10" t="str">
        <x:v>逻辑校验</x:v>
      </x:c>
      <x:c r="F597" s="10" t="str">
        <x:v>P1</x:v>
      </x:c>
      <x:c r="G597" s="9" t="str">
        <x:v>验证主播不同消费收益合计</x:v>
      </x:c>
      <x:c r="H597" s="9" t="str">
        <x:v>主播收益四类组成</x:v>
      </x:c>
      <x:c r="I597" s="9" t="str">
        <x:v>1. 平台管理员账号可用
2. 真实普通100、定制200、门票100、幸运价值1000金币按1%计收益；虚拟礼物500和失败100金币</x:v>
      </x:c>
      <x:c r="J597" s="9" t="str">
        <x:v>1. 打开主播业绩分成报表</x:v>
      </x:c>
      <x:c r="K597" s="9" t="str">
        <x:v>计算结果：主播收益=100+200+100+10=410金币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来源（当前证据）：liveshow-proto/MainBasis/统一需求文档.md；位置：第3325行、第3330行 REQ-940b4d75815c、第3331行 REQ-9ece8049f49d、第3332行 REQ-46bc78a812fc、第3333行 REQ-23c71c983b11
2. 规则：BR-6b6734a7dc474aa6
3. 未动态验证</x:v>
      </x:c>
    </x:row>
    <x:row r="598" ht="85" customHeight="1">
      <x:c r="A598" s="10" t="n">
        <x:v>597</x:v>
      </x:c>
      <x:c r="B598" s="10" t="str">
        <x:v>ADMIN-10-0077</x:v>
      </x:c>
      <x:c r="C598" s="10" t="str">
        <x:v>数据分析</x:v>
      </x:c>
      <x:c r="D598" s="10" t="str">
        <x:v>主播业绩分成报表</x:v>
      </x:c>
      <x:c r="E598" s="10" t="str">
        <x:v>功能需求</x:v>
      </x:c>
      <x:c r="F598" s="10" t="str">
        <x:v>P1</x:v>
      </x:c>
      <x:c r="G598" s="9" t="str">
        <x:v>验证范围内成功开播场次</x:v>
      </x:c>
      <x:c r="H598" s="9" t="str">
        <x:v>分成报表场次数</x:v>
      </x:c>
      <x:c r="I598" s="9" t="str">
        <x:v>1. 平台管理员账号可用
2. 所选主播周期内成功开播3场，另有失败开播1次</x:v>
      </x:c>
      <x:c r="J598" s="9" t="str">
        <x:v>1. 打开主播业绩分成报表</x:v>
      </x:c>
      <x:c r="K598" s="9" t="str">
        <x:v>直播场次显示3场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来源（当前证据）：liveshow-proto/MainBasis/统一需求文档.md；位置：第3325行、第3329行 REQ-18c35f8e5fcf
2. 规则：BR-c95a7f25e81e9762
3. 未动态验证</x:v>
      </x:c>
    </x:row>
    <x:row r="599" ht="85" customHeight="1">
      <x:c r="A599" s="10" t="n">
        <x:v>598</x:v>
      </x:c>
      <x:c r="B599" s="10" t="str">
        <x:v>ADMIN-10-0078</x:v>
      </x:c>
      <x:c r="C599" s="10" t="str">
        <x:v>数据分析</x:v>
      </x:c>
      <x:c r="D599" s="10" t="str">
        <x:v>月度收益支出汇总</x:v>
      </x:c>
      <x:c r="E599" s="10" t="str">
        <x:v>功能需求</x:v>
      </x:c>
      <x:c r="F599" s="10" t="str">
        <x:v>P1</x:v>
      </x:c>
      <x:c r="G599" s="9" t="str">
        <x:v>验证月收益报表导出</x:v>
      </x:c>
      <x:c r="H599" s="9" t="str">
        <x:v>月份导出范围</x:v>
      </x:c>
      <x:c r="I599" s="9" t="str">
        <x:v>1. 平台管理员账号可用
2. 列表展示2个月份</x:v>
      </x:c>
      <x:c r="J599" s="9" t="str">
        <x:v>1. 打开月度收益支出汇总
2. 点击导出</x:v>
      </x:c>
      <x:c r="K599" s="9" t="str">
        <x:v>导出包含当前2个月份结果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来源（当前证据）：liveshow-proto/MainBasis/统一需求文档.md；位置：第3316行、第3322行 REQ-e96a0f4c2a19
2. 规则：BR-16f18d9e3f5e6d4f
3. 未动态验证</x:v>
      </x:c>
    </x:row>
    <x:row r="600" ht="115" customHeight="1">
      <x:c r="A600" s="10" t="n">
        <x:v>599</x:v>
      </x:c>
      <x:c r="B600" s="10" t="str">
        <x:v>ADMIN-10-0079</x:v>
      </x:c>
      <x:c r="C600" s="10" t="str">
        <x:v>数据分析</x:v>
      </x:c>
      <x:c r="D600" s="10" t="str">
        <x:v>月度收益支出汇总</x:v>
      </x:c>
      <x:c r="E600" s="10" t="str">
        <x:v>功能需求</x:v>
      </x:c>
      <x:c r="F600" s="10" t="str">
        <x:v>P1</x:v>
      </x:c>
      <x:c r="G600" s="9" t="str">
        <x:v>验证月度收益支出汇总读取自然月财务范围：月收益所属期间</x:v>
      </x:c>
      <x:c r="H600" s="9" t="str">
        <x:v>月收益所属期间</x:v>
      </x:c>
      <x:c r="I600" s="9" t="str">
        <x:v>1. 平台管理员账号可用
2. 有两个不同月份已核对数据</x:v>
      </x:c>
      <x:c r="J600" s="9" t="str">
        <x:v>1. 打开月度收益支出汇总</x:v>
      </x:c>
      <x:c r="K600" s="9" t="str">
        <x:v>每行收益取自对应自然月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来源（当前证据）：liveshow-proto/MainBasis/统一需求文档.md；位置：第3316行、第3318行 REQ-45090472f985、第3319行 REQ-b45a2cc7e99c、第3320行 REQ-0ec32e1d8c1b、第3322行 REQ-e96a0f4c2a19
2. 规则：BR-2cf59136e2b915b3
3. 未动态验证</x:v>
      </x:c>
    </x:row>
    <x:row r="601" ht="115" customHeight="1">
      <x:c r="A601" s="10" t="n">
        <x:v>600</x:v>
      </x:c>
      <x:c r="B601" s="10" t="str">
        <x:v>ADMIN-10-0080</x:v>
      </x:c>
      <x:c r="C601" s="10" t="str">
        <x:v>数据分析</x:v>
      </x:c>
      <x:c r="D601" s="10" t="str">
        <x:v>月度收益支出汇总</x:v>
      </x:c>
      <x:c r="E601" s="10" t="str">
        <x:v>功能需求</x:v>
      </x:c>
      <x:c r="F601" s="10" t="str">
        <x:v>P1</x:v>
      </x:c>
      <x:c r="G601" s="9" t="str">
        <x:v>验证月度收益支出汇总读取自然月财务范围：月充值所属期间</x:v>
      </x:c>
      <x:c r="H601" s="9" t="str">
        <x:v>月充值所属期间</x:v>
      </x:c>
      <x:c r="I601" s="9" t="str">
        <x:v>1. 平台管理员账号可用
2. 有两个不同月份已核对数据</x:v>
      </x:c>
      <x:c r="J601" s="9" t="str">
        <x:v>1. 打开月度收益支出汇总</x:v>
      </x:c>
      <x:c r="K601" s="9" t="str">
        <x:v>每行充值取自对应自然月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来源（当前证据）：liveshow-proto/MainBasis/统一需求文档.md；位置：第3316行、第3318行 REQ-45090472f985、第3319行 REQ-b45a2cc7e99c、第3320行 REQ-0ec32e1d8c1b、第3322行 REQ-e96a0f4c2a19
2. 规则：BR-58755adb63ef75dd
3. 未动态验证</x:v>
      </x:c>
    </x:row>
    <x:row r="602" ht="115" customHeight="1">
      <x:c r="A602" s="10" t="n">
        <x:v>601</x:v>
      </x:c>
      <x:c r="B602" s="10" t="str">
        <x:v>ADMIN-10-0081</x:v>
      </x:c>
      <x:c r="C602" s="10" t="str">
        <x:v>数据分析</x:v>
      </x:c>
      <x:c r="D602" s="10" t="str">
        <x:v>月度收益支出汇总</x:v>
      </x:c>
      <x:c r="E602" s="10" t="str">
        <x:v>功能需求</x:v>
      </x:c>
      <x:c r="F602" s="10" t="str">
        <x:v>P1</x:v>
      </x:c>
      <x:c r="G602" s="9" t="str">
        <x:v>验证月度收益支出汇总读取自然月财务范围：月退款所属期间</x:v>
      </x:c>
      <x:c r="H602" s="9" t="str">
        <x:v>月退款所属期间</x:v>
      </x:c>
      <x:c r="I602" s="9" t="str">
        <x:v>1. 平台管理员账号可用
2. 有两个不同月份已核对数据</x:v>
      </x:c>
      <x:c r="J602" s="9" t="str">
        <x:v>1. 打开月度收益支出汇总</x:v>
      </x:c>
      <x:c r="K602" s="9" t="str">
        <x:v>每行退款取自对应自然月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来源（当前证据）：liveshow-proto/MainBasis/统一需求文档.md；位置：第3316行、第3318行 REQ-45090472f985、第3319行 REQ-b45a2cc7e99c、第3320行 REQ-0ec32e1d8c1b、第3322行 REQ-e96a0f4c2a19
2. 规则：BR-ad0183aed7401363
3. 未动态验证</x:v>
      </x:c>
    </x:row>
    <x:row r="603" ht="85" customHeight="1">
      <x:c r="A603" s="10" t="n">
        <x:v>602</x:v>
      </x:c>
      <x:c r="B603" s="10" t="str">
        <x:v>ADMIN-10-0082</x:v>
      </x:c>
      <x:c r="C603" s="10" t="str">
        <x:v>数据分析</x:v>
      </x:c>
      <x:c r="D603" s="10" t="str">
        <x:v>用户消费汇总报表</x:v>
      </x:c>
      <x:c r="E603" s="10" t="str">
        <x:v>功能需求</x:v>
      </x:c>
      <x:c r="F603" s="10" t="str">
        <x:v>P1</x:v>
      </x:c>
      <x:c r="G603" s="9" t="str">
        <x:v>验证按日期过滤用户消费汇总报表</x:v>
      </x:c>
      <x:c r="H603" s="9" t="str">
        <x:v>报表日期范围</x:v>
      </x:c>
      <x:c r="I603" s="9" t="str">
        <x:v>1. 平台管理员账号可用
2. 所选起止日内有2条可计入记录，结束日次日有1条</x:v>
      </x:c>
      <x:c r="J603" s="9" t="str">
        <x:v>1. 打开用户消费汇总报表
2. 选择起止日期
3. 点击查询</x:v>
      </x:c>
      <x:c r="K603" s="9" t="str">
        <x:v>结果只包含所选日期内可计入的2条记录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来源（当前证据）：liveshow-proto/MainBasis/统一需求文档.md；位置：第3346行、第3352行 REQ-ba1a1a3c1e74
2. 规则：BR-447965f3180edb12
3. 未动态验证</x:v>
      </x:c>
    </x:row>
    <x:row r="604" ht="85" customHeight="1">
      <x:c r="A604" s="10" t="n">
        <x:v>603</x:v>
      </x:c>
      <x:c r="B604" s="10" t="str">
        <x:v>ADMIN-10-0083</x:v>
      </x:c>
      <x:c r="C604" s="10" t="str">
        <x:v>数据分析</x:v>
      </x:c>
      <x:c r="D604" s="10" t="str">
        <x:v>用户消费汇总报表</x:v>
      </x:c>
      <x:c r="E604" s="10" t="str">
        <x:v>功能需求</x:v>
      </x:c>
      <x:c r="F604" s="10" t="str">
        <x:v>P1</x:v>
      </x:c>
      <x:c r="G604" s="9" t="str">
        <x:v>验证导出用户消费汇总报表</x:v>
      </x:c>
      <x:c r="H604" s="9" t="str">
        <x:v>报表导出范围</x:v>
      </x:c>
      <x:c r="I604" s="9" t="str">
        <x:v>1. 平台管理员账号可用
2. 当前筛选只包含2条明细，另有范围外明细</x:v>
      </x:c>
      <x:c r="J604" s="9" t="str">
        <x:v>1. 打开用户消费汇总报表
2. 点击导出</x:v>
      </x:c>
      <x:c r="K604" s="9" t="str">
        <x:v>导出仅包含当前筛选的2条明细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来源（当前证据）：liveshow-proto/MainBasis/统一需求文档.md；位置：第3346行、第3352行 REQ-ba1a1a3c1e74
2. 规则：BR-b47d3013da26f8e9
3. 未动态验证</x:v>
      </x:c>
    </x:row>
    <x:row r="605" ht="115" customHeight="1">
      <x:c r="A605" s="10" t="n">
        <x:v>604</x:v>
      </x:c>
      <x:c r="B605" s="10" t="str">
        <x:v>ADMIN-10-0084</x:v>
      </x:c>
      <x:c r="C605" s="10" t="str">
        <x:v>数据分析</x:v>
      </x:c>
      <x:c r="D605" s="10" t="str">
        <x:v>用户消费汇总报表</x:v>
      </x:c>
      <x:c r="E605" s="10" t="str">
        <x:v>逻辑校验</x:v>
      </x:c>
      <x:c r="F605" s="10" t="str">
        <x:v>P1</x:v>
      </x:c>
      <x:c r="G605" s="9" t="str">
        <x:v>验证用户消费汇总</x:v>
      </x:c>
      <x:c r="H605" s="9" t="str">
        <x:v>用户净消耗四类合计</x:v>
      </x:c>
      <x:c r="I605" s="9" t="str">
        <x:v>1. 平台管理员账号可用
2. 普通100、定制200、门票100、幸运扣款1000返奖500金币；虚拟礼物不计</x:v>
      </x:c>
      <x:c r="J605" s="9" t="str">
        <x:v>1. 打开用户消费汇总报表</x:v>
      </x:c>
      <x:c r="K605" s="9" t="str">
        <x:v>计算结果：累计消费=100+200+100+500=900金币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来源（当前证据）：liveshow-proto/MainBasis/统一需求文档.md；位置：第3346行、第3348行 REQ-5871d4610f86、第3349行 REQ-66deadf015b8、第3350行 REQ-1f464119f351、第3351行 REQ-05211b79e1de
2. 规则：BR-871d3ca1efb1a679
3. 未动态验证</x:v>
      </x:c>
    </x:row>
    <x:row r="606" ht="85" customHeight="1">
      <x:c r="A606" s="10" t="n">
        <x:v>605</x:v>
      </x:c>
      <x:c r="B606" s="10" t="str">
        <x:v>ADMIN-10-0085</x:v>
      </x:c>
      <x:c r="C606" s="10" t="str">
        <x:v>数据分析</x:v>
      </x:c>
      <x:c r="D606" s="10" t="str">
        <x:v>充值订单明细</x:v>
      </x:c>
      <x:c r="E606" s="10" t="str">
        <x:v>功能需求</x:v>
      </x:c>
      <x:c r="F606" s="10" t="str">
        <x:v>P1</x:v>
      </x:c>
      <x:c r="G606" s="9" t="str">
        <x:v>验证按日期过滤充值订单明细</x:v>
      </x:c>
      <x:c r="H606" s="9" t="str">
        <x:v>报表日期范围</x:v>
      </x:c>
      <x:c r="I606" s="9" t="str">
        <x:v>1. 平台管理员账号可用
2. 所选起止日内有2条可计入记录，结束日次日有1条</x:v>
      </x:c>
      <x:c r="J606" s="9" t="str">
        <x:v>1. 打开充值订单明细
2. 选择起止日期
3. 点击查询</x:v>
      </x:c>
      <x:c r="K606" s="9" t="str">
        <x:v>结果只包含所选日期内可计入的2条记录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来源（当前证据）：liveshow-proto/MainBasis/统一需求文档.md；位置：第3383行、第3390行 REQ-c2caa13dc866
2. 规则：BR-c07d3b5af2ea1fe1
3. 未动态验证</x:v>
      </x:c>
    </x:row>
    <x:row r="607" ht="85" customHeight="1">
      <x:c r="A607" s="10" t="n">
        <x:v>606</x:v>
      </x:c>
      <x:c r="B607" s="10" t="str">
        <x:v>ADMIN-10-0086</x:v>
      </x:c>
      <x:c r="C607" s="10" t="str">
        <x:v>数据分析</x:v>
      </x:c>
      <x:c r="D607" s="10" t="str">
        <x:v>充值订单明细</x:v>
      </x:c>
      <x:c r="E607" s="10" t="str">
        <x:v>功能需求</x:v>
      </x:c>
      <x:c r="F607" s="10" t="str">
        <x:v>P1</x:v>
      </x:c>
      <x:c r="G607" s="9" t="str">
        <x:v>验证导出充值订单明细</x:v>
      </x:c>
      <x:c r="H607" s="9" t="str">
        <x:v>报表导出范围</x:v>
      </x:c>
      <x:c r="I607" s="9" t="str">
        <x:v>1. 平台管理员账号可用
2. 当前筛选只包含2条明细，另有范围外明细</x:v>
      </x:c>
      <x:c r="J607" s="9" t="str">
        <x:v>1. 打开充值订单明细
2. 点击导出</x:v>
      </x:c>
      <x:c r="K607" s="9" t="str">
        <x:v>导出仅包含当前筛选的2条明细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来源（当前证据）：liveshow-proto/MainBasis/统一需求文档.md；位置：第3383行、第3390行 REQ-c2caa13dc866
2. 规则：BR-7bb67593b76277e5
3. 未动态验证</x:v>
      </x:c>
    </x:row>
    <x:row r="608" ht="130" customHeight="1">
      <x:c r="A608" s="10" t="n">
        <x:v>607</x:v>
      </x:c>
      <x:c r="B608" s="10" t="str">
        <x:v>ADMIN-10-0087</x:v>
      </x:c>
      <x:c r="C608" s="10" t="str">
        <x:v>数据分析</x:v>
      </x:c>
      <x:c r="D608" s="10" t="str">
        <x:v>充值订单明细</x:v>
      </x:c>
      <x:c r="E608" s="10" t="str">
        <x:v>功能需求</x:v>
      </x:c>
      <x:c r="F608" s="10" t="str">
        <x:v>P1</x:v>
      </x:c>
      <x:c r="G608" s="9" t="str">
        <x:v>验证充值订单明细读取成功充值明细：失败订单排除</x:v>
      </x:c>
      <x:c r="H608" s="9" t="str">
        <x:v>失败订单排除</x:v>
      </x:c>
      <x:c r="I608" s="9" t="str">
        <x:v>1. 平台管理员账号可用
2. 成功充值及失败充值各1笔，成功订单实际渠道和金额已记录</x:v>
      </x:c>
      <x:c r="J608" s="9" t="str">
        <x:v>1. 打开充值订单明细</x:v>
      </x:c>
      <x:c r="K608" s="9" t="str">
        <x:v>失败充值订单不在报表中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规则：BR-012b265fef526fbf
3. 未动态验证</x:v>
      </x:c>
    </x:row>
    <x:row r="609" ht="130" customHeight="1">
      <x:c r="A609" s="10" t="n">
        <x:v>608</x:v>
      </x:c>
      <x:c r="B609" s="10" t="str">
        <x:v>ADMIN-10-0088</x:v>
      </x:c>
      <x:c r="C609" s="10" t="str">
        <x:v>数据分析</x:v>
      </x:c>
      <x:c r="D609" s="10" t="str">
        <x:v>充值订单明细</x:v>
      </x:c>
      <x:c r="E609" s="10" t="str">
        <x:v>功能需求</x:v>
      </x:c>
      <x:c r="F609" s="10" t="str">
        <x:v>P1</x:v>
      </x:c>
      <x:c r="G609" s="9" t="str">
        <x:v>验证充值订单明细读取成功充值明细：成功充值套餐快照</x:v>
      </x:c>
      <x:c r="H609" s="9" t="str">
        <x:v>成功充值套餐快照</x:v>
      </x:c>
      <x:c r="I609" s="9" t="str">
        <x:v>1. 平台管理员账号可用
2. 成功充值及失败充值各1笔，成功订单实际渠道和金额已记录</x:v>
      </x:c>
      <x:c r="J609" s="9" t="str">
        <x:v>1. 打开充值订单明细</x:v>
      </x:c>
      <x:c r="K609" s="9" t="str">
        <x:v>成功订单套餐沿用下单时快照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规则：BR-9de976b3a228cfbd
3. 未动态验证</x:v>
      </x:c>
    </x:row>
    <x:row r="610" ht="130" customHeight="1">
      <x:c r="A610" s="10" t="n">
        <x:v>609</x:v>
      </x:c>
      <x:c r="B610" s="10" t="str">
        <x:v>ADMIN-10-0089</x:v>
      </x:c>
      <x:c r="C610" s="10" t="str">
        <x:v>数据分析</x:v>
      </x:c>
      <x:c r="D610" s="10" t="str">
        <x:v>充值订单明细</x:v>
      </x:c>
      <x:c r="E610" s="10" t="str">
        <x:v>功能需求</x:v>
      </x:c>
      <x:c r="F610" s="10" t="str">
        <x:v>P1</x:v>
      </x:c>
      <x:c r="G610" s="9" t="str">
        <x:v>验证充值订单明细读取成功充值明细：成功充值实付金额</x:v>
      </x:c>
      <x:c r="H610" s="9" t="str">
        <x:v>成功充值实付金额</x:v>
      </x:c>
      <x:c r="I610" s="9" t="str">
        <x:v>1. 平台管理员账号可用
2. 成功充值及失败充值各1笔，成功订单实际渠道和金额已记录</x:v>
      </x:c>
      <x:c r="J610" s="9" t="str">
        <x:v>1. 打开充值订单明细</x:v>
      </x:c>
      <x:c r="K610" s="9" t="str">
        <x:v>成功订单实付金额与实际渠道支付一致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规则：BR-b61d7611b4acbb2e
3. 未动态验证</x:v>
      </x:c>
    </x:row>
    <x:row r="611" ht="85" customHeight="1">
      <x:c r="A611" s="10" t="n">
        <x:v>610</x:v>
      </x:c>
      <x:c r="B611" s="10" t="str">
        <x:v>ADMIN-10-0090</x:v>
      </x:c>
      <x:c r="C611" s="10" t="str">
        <x:v>数据分析</x:v>
      </x:c>
      <x:c r="D611" s="10" t="str">
        <x:v>充值消费汇总（每日）</x:v>
      </x:c>
      <x:c r="E611" s="10" t="str">
        <x:v>功能需求</x:v>
      </x:c>
      <x:c r="F611" s="10" t="str">
        <x:v>P1</x:v>
      </x:c>
      <x:c r="G611" s="9" t="str">
        <x:v>验证按日期过滤充值消费汇总（每日）</x:v>
      </x:c>
      <x:c r="H611" s="9" t="str">
        <x:v>报表日期范围</x:v>
      </x:c>
      <x:c r="I611" s="9" t="str">
        <x:v>1. 平台管理员账号可用
2. 所选起止日内有2条可计入记录，结束日次日有1条</x:v>
      </x:c>
      <x:c r="J611" s="9" t="str">
        <x:v>1. 打开充值消费汇总（每日）
2. 选择起止日期
3. 点击查询</x:v>
      </x:c>
      <x:c r="K611" s="9" t="str">
        <x:v>结果只包含所选日期内可计入的2条记录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来源（当前证据）：liveshow-proto/MainBasis/统一需求文档.md；位置：第3294行、第3303行 REQ-4d3be4596be3
2. 规则：BR-33a54c7db7f427cb
3. 未动态验证</x:v>
      </x:c>
    </x:row>
    <x:row r="612" ht="85" customHeight="1">
      <x:c r="A612" s="10" t="n">
        <x:v>611</x:v>
      </x:c>
      <x:c r="B612" s="10" t="str">
        <x:v>ADMIN-10-0091</x:v>
      </x:c>
      <x:c r="C612" s="10" t="str">
        <x:v>数据分析</x:v>
      </x:c>
      <x:c r="D612" s="10" t="str">
        <x:v>充值消费汇总（每日）</x:v>
      </x:c>
      <x:c r="E612" s="10" t="str">
        <x:v>功能需求</x:v>
      </x:c>
      <x:c r="F612" s="10" t="str">
        <x:v>P1</x:v>
      </x:c>
      <x:c r="G612" s="9" t="str">
        <x:v>验证导出充值消费汇总（每日）</x:v>
      </x:c>
      <x:c r="H612" s="9" t="str">
        <x:v>报表导出范围</x:v>
      </x:c>
      <x:c r="I612" s="9" t="str">
        <x:v>1. 平台管理员账号可用
2. 当前筛选只包含2条明细，另有范围外明细</x:v>
      </x:c>
      <x:c r="J612" s="9" t="str">
        <x:v>1. 打开充值消费汇总（每日）
2. 点击导出</x:v>
      </x:c>
      <x:c r="K612" s="9" t="str">
        <x:v>导出仅包含当前筛选的2条明细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来源（当前证据）：liveshow-proto/MainBasis/统一需求文档.md；位置：第3294行、第3303行 REQ-4d3be4596be3
2. 规则：BR-c7b0dfc19214a4ed
3. 未动态验证</x:v>
      </x:c>
    </x:row>
    <x:row r="613" ht="85" customHeight="1">
      <x:c r="A613" s="10" t="n">
        <x:v>612</x:v>
      </x:c>
      <x:c r="B613" s="10" t="str">
        <x:v>ADMIN-10-0092</x:v>
      </x:c>
      <x:c r="C613" s="10" t="str">
        <x:v>数据分析</x:v>
      </x:c>
      <x:c r="D613" s="10" t="str">
        <x:v>充值消费汇总（每日）</x:v>
      </x:c>
      <x:c r="E613" s="10" t="str">
        <x:v>逻辑校验</x:v>
      </x:c>
      <x:c r="F613" s="10" t="str">
        <x:v>P1</x:v>
      </x:c>
      <x:c r="G613" s="9" t="str">
        <x:v>验证客单价有充值数据</x:v>
      </x:c>
      <x:c r="H613" s="9" t="str">
        <x:v>客单价金额人数口径</x:v>
      </x:c>
      <x:c r="I613" s="9" t="str">
        <x:v>1. 平台管理员账号可用
2. 本项所需用户群在选定日内成功充值2人，共30USD，失败订单不计</x:v>
      </x:c>
      <x:c r="J613" s="9" t="str">
        <x:v>1. 打开充值消费汇总（每日）</x:v>
      </x:c>
      <x:c r="K613" s="9" t="str">
        <x:v>计算结果：客单价=30÷2=15USD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来源（当前证据）：liveshow-proto/MainBasis/统一需求文档.md；位置：第3294行、第3297行 REQ-341c058a6425
2. 规则：BR-4a2fd58aa97ea85f
3. 未动态验证</x:v>
      </x:c>
    </x:row>
    <x:row r="614" ht="85" customHeight="1">
      <x:c r="A614" s="10" t="n">
        <x:v>613</x:v>
      </x:c>
      <x:c r="B614" s="10" t="str">
        <x:v>ADMIN-10-0093</x:v>
      </x:c>
      <x:c r="C614" s="10" t="str">
        <x:v>数据分析</x:v>
      </x:c>
      <x:c r="D614" s="10" t="str">
        <x:v>充值消费汇总（每日）</x:v>
      </x:c>
      <x:c r="E614" s="10" t="str">
        <x:v>功能需求</x:v>
      </x:c>
      <x:c r="F614" s="10" t="str">
        <x:v>P1</x:v>
      </x:c>
      <x:c r="G614" s="9" t="str">
        <x:v>验证客单价无人充值</x:v>
      </x:c>
      <x:c r="H614" s="9" t="str">
        <x:v>客单价零分母</x:v>
      </x:c>
      <x:c r="I614" s="9" t="str">
        <x:v>1. 平台管理员账号可用
2. 对应用户群成功充值人数为0</x:v>
      </x:c>
      <x:c r="J614" s="9" t="str">
        <x:v>1. 打开充值消费汇总（每日）</x:v>
      </x:c>
      <x:c r="K614" s="9" t="str">
        <x:v>客单价显示0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来源（当前证据）：liveshow-proto/MainBasis/统一需求文档.md；位置：第3294行、第3297行 REQ-341c058a6425
2. 规则：BR-5642b6ed3defdb18
3. 未动态验证</x:v>
      </x:c>
    </x:row>
    <x:row r="615" ht="85" customHeight="1">
      <x:c r="A615" s="10" t="n">
        <x:v>614</x:v>
      </x:c>
      <x:c r="B615" s="10" t="str">
        <x:v>ADMIN-10-0094</x:v>
      </x:c>
      <x:c r="C615" s="10" t="str">
        <x:v>数据分析</x:v>
      </x:c>
      <x:c r="D615" s="10" t="str">
        <x:v>充值消费汇总（每日）</x:v>
      </x:c>
      <x:c r="E615" s="10" t="str">
        <x:v>逻辑校验</x:v>
      </x:c>
      <x:c r="F615" s="10" t="str">
        <x:v>P1</x:v>
      </x:c>
      <x:c r="G615" s="9" t="str">
        <x:v>验证金币净增量计算</x:v>
      </x:c>
      <x:c r="H615" s="9" t="str">
        <x:v>真实金币净增量</x:v>
      </x:c>
      <x:c r="I615" s="9" t="str">
        <x:v>1. 平台管理员账号可用
2. 所选日充值100、充值赠送20、系统赠送10、实际消费50金币</x:v>
      </x:c>
      <x:c r="J615" s="9" t="str">
        <x:v>1. 打开充值消费汇总（每日）</x:v>
      </x:c>
      <x:c r="K615" s="9" t="str">
        <x:v>计算结果：金币净增量=100+20+10-50=80金币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来源（当前证据）：liveshow-proto/MainBasis/统一需求文档.md；位置：第3294行、第3301行 REQ-07896c71f018
2. 规则：BR-7084ea8956d65f0d
3. 未动态验证</x:v>
      </x:c>
    </x:row>
    <x:row r="616" ht="85" customHeight="1">
      <x:c r="A616" s="10" t="n">
        <x:v>615</x:v>
      </x:c>
      <x:c r="B616" s="10" t="str">
        <x:v>ADMIN-10-0095</x:v>
      </x:c>
      <x:c r="C616" s="10" t="str">
        <x:v>数据分析</x:v>
      </x:c>
      <x:c r="D616" s="10" t="str">
        <x:v>充值消费汇总（每日）</x:v>
      </x:c>
      <x:c r="E616" s="10" t="str">
        <x:v>功能需求</x:v>
      </x:c>
      <x:c r="F616" s="10" t="str">
        <x:v>P1</x:v>
      </x:c>
      <x:c r="G616" s="9" t="str">
        <x:v>验证充值退款不并入消费</x:v>
      </x:c>
      <x:c r="H616" s="9" t="str">
        <x:v>退款资产分类</x:v>
      </x:c>
      <x:c r="I616" s="9" t="str">
        <x:v>1. 平台管理员账号可用
2. 所选日成功消费50金币，退款扣回100金币</x:v>
      </x:c>
      <x:c r="J616" s="9" t="str">
        <x:v>1. 打开充值消费汇总（每日）</x:v>
      </x:c>
      <x:c r="K616" s="9" t="str">
        <x:v>消费金币仍为50金币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来源（当前证据）：liveshow-proto/MainBasis/统一需求文档.md；位置：第3294行、第3302行 REQ-6743a0d2126a
2. 规则：BR-8be1660942e445c6
3. 未动态验证</x:v>
      </x:c>
    </x:row>
    <x:row r="617" ht="85" customHeight="1">
      <x:c r="A617" s="10" t="n">
        <x:v>616</x:v>
      </x:c>
      <x:c r="B617" s="10" t="str">
        <x:v>ADMIN-10-0096</x:v>
      </x:c>
      <x:c r="C617" s="10" t="str">
        <x:v>数据分析</x:v>
      </x:c>
      <x:c r="D617" s="10" t="str">
        <x:v>充值消费汇总（每日）</x:v>
      </x:c>
      <x:c r="E617" s="10" t="str">
        <x:v>逻辑校验</x:v>
      </x:c>
      <x:c r="F617" s="10" t="str">
        <x:v>P1</x:v>
      </x:c>
      <x:c r="G617" s="9" t="str">
        <x:v>验证充值金币数值核算</x:v>
      </x:c>
      <x:c r="H617" s="9" t="str">
        <x:v>充值金币计算口径</x:v>
      </x:c>
      <x:c r="I617" s="9" t="str">
        <x:v>1. 平台管理员账号可用
2. 当日成功订单基础金币100和200，赠送50金币，失败100金币</x:v>
      </x:c>
      <x:c r="J617" s="9" t="str">
        <x:v>1. 打开充值消费汇总（每日）</x:v>
      </x:c>
      <x:c r="K617" s="9" t="str">
        <x:v>充值金币计算结果=300金币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来源（当前证据）：liveshow-proto/MainBasis/统一需求文档.md；位置：第3294行、第3298行 REQ-744564064a24
2. 规则：BR-9b37655df49cc545
3. 未动态验证</x:v>
      </x:c>
    </x:row>
    <x:row r="618" ht="85" customHeight="1">
      <x:c r="A618" s="10" t="n">
        <x:v>617</x:v>
      </x:c>
      <x:c r="B618" s="10" t="str">
        <x:v>ADMIN-10-0097</x:v>
      </x:c>
      <x:c r="C618" s="10" t="str">
        <x:v>数据分析</x:v>
      </x:c>
      <x:c r="D618" s="10" t="str">
        <x:v>充值消费汇总（每日）</x:v>
      </x:c>
      <x:c r="E618" s="10" t="str">
        <x:v>逻辑校验</x:v>
      </x:c>
      <x:c r="F618" s="10" t="str">
        <x:v>P1</x:v>
      </x:c>
      <x:c r="G618" s="9" t="str">
        <x:v>验证消费金币数值核算</x:v>
      </x:c>
      <x:c r="H618" s="9" t="str">
        <x:v>消费金币计算口径</x:v>
      </x:c>
      <x:c r="I618" s="9" t="str">
        <x:v>1. 平台管理员账号可用
2. 当日普通100、定制200、门票100、幸运1000金币扣款，返奖500，虚拟500不计</x:v>
      </x:c>
      <x:c r="J618" s="9" t="str">
        <x:v>1. 打开充值消费汇总（每日）</x:v>
      </x:c>
      <x:c r="K618" s="9" t="str">
        <x:v>消费金币计算结果=900金币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来源（当前证据）：liveshow-proto/MainBasis/统一需求文档.md；位置：第3294行、第3300行 REQ-d34b8527989d
2. 规则：BR-814d2343b2798d37
3. 未动态验证</x:v>
      </x:c>
    </x:row>
    <x:row r="619" ht="85" customHeight="1">
      <x:c r="A619" s="10" t="n">
        <x:v>618</x:v>
      </x:c>
      <x:c r="B619" s="10" t="str">
        <x:v>ADMIN-10-0098</x:v>
      </x:c>
      <x:c r="C619" s="10" t="str">
        <x:v>数据分析</x:v>
      </x:c>
      <x:c r="D619" s="10" t="str">
        <x:v>充值消费汇总（每日）</x:v>
      </x:c>
      <x:c r="E619" s="10" t="str">
        <x:v>功能需求</x:v>
      </x:c>
      <x:c r="F619" s="10" t="str">
        <x:v>P1</x:v>
      </x:c>
      <x:c r="G619" s="9" t="str">
        <x:v>验证成功实付金额汇总</x:v>
      </x:c>
      <x:c r="H619" s="9" t="str">
        <x:v>充值金额去向</x:v>
      </x:c>
      <x:c r="I619" s="9" t="str">
        <x:v>1. 平台管理员账号可用
2. 所选自然日两笔成功实付10和20USD，另有失败30USD</x:v>
      </x:c>
      <x:c r="J619" s="9" t="str">
        <x:v>1. 打开充值消费汇总（每日）</x:v>
      </x:c>
      <x:c r="K619" s="9" t="str">
        <x:v>总充值金额计算结果=10+20=30USD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来源（当前证据）：liveshow-proto/MainBasis/统一需求文档.md；位置：第3294行、第3296行 REQ-65f55f1ab8b0
2. 规则：BR-948cdb7a5fb813e6
3. 未动态验证</x:v>
      </x:c>
    </x:row>
    <x:row r="620" ht="85" customHeight="1">
      <x:c r="A620" s="10" t="n">
        <x:v>619</x:v>
      </x:c>
      <x:c r="B620" s="10" t="str">
        <x:v>ADMIN-10-0099</x:v>
      </x:c>
      <x:c r="C620" s="10" t="str">
        <x:v>数据分析</x:v>
      </x:c>
      <x:c r="D620" s="10" t="str">
        <x:v>充值消费汇总（每日）</x:v>
      </x:c>
      <x:c r="E620" s="10" t="str">
        <x:v>功能需求</x:v>
      </x:c>
      <x:c r="F620" s="10" t="str">
        <x:v>P1</x:v>
      </x:c>
      <x:c r="G620" s="9" t="str">
        <x:v>验证同人充值次数区别人数</x:v>
      </x:c>
      <x:c r="H620" s="9" t="str">
        <x:v>充值人数统计口径</x:v>
      </x:c>
      <x:c r="I620" s="9" t="str">
        <x:v>1. 平台管理员账号可用
2. 所选自然日同一账号在每一日成功充值两笔</x:v>
      </x:c>
      <x:c r="J620" s="9" t="str">
        <x:v>1. 打开充值消费汇总（每日）</x:v>
      </x:c>
      <x:c r="K620" s="9" t="str">
        <x:v>总充值人数显示1人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来源（当前证据）：liveshow-proto/MainBasis/统一需求文档.md；位置：第3294行、第3296行 REQ-65f55f1ab8b0
2. 规则：BR-43882ed0c048af68
3. 未动态验证</x:v>
      </x:c>
    </x:row>
    <x:row r="621" ht="85" customHeight="1">
      <x:c r="A621" s="10" t="n">
        <x:v>620</x:v>
      </x:c>
      <x:c r="B621" s="10" t="str">
        <x:v>ADMIN-10-0100</x:v>
      </x:c>
      <x:c r="C621" s="10" t="str">
        <x:v>数据分析</x:v>
      </x:c>
      <x:c r="D621" s="10" t="str">
        <x:v>充值消费汇总（每日）</x:v>
      </x:c>
      <x:c r="E621" s="10" t="str">
        <x:v>功能需求</x:v>
      </x:c>
      <x:c r="F621" s="10" t="str">
        <x:v>P1</x:v>
      </x:c>
      <x:c r="G621" s="9" t="str">
        <x:v>验证一个用户两笔成功订单</x:v>
      </x:c>
      <x:c r="H621" s="9" t="str">
        <x:v>成功订单计数</x:v>
      </x:c>
      <x:c r="I621" s="9" t="str">
        <x:v>1. 平台管理员账号可用
2. 同一账号当日成功充值2笔、失败1笔</x:v>
      </x:c>
      <x:c r="J621" s="9" t="str">
        <x:v>1. 打开充值消费汇总（每日）</x:v>
      </x:c>
      <x:c r="K621" s="9" t="str">
        <x:v>充值订单数显示2笔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来源（当前证据）：liveshow-proto/MainBasis/统一需求文档.md；位置：第3294行、第3296行 REQ-65f55f1ab8b0
2. 规则：BR-821a8e67160f171a
3. 未动态验证</x:v>
      </x:c>
    </x:row>
    <x:row r="622" ht="85" customHeight="1">
      <x:c r="A622" s="10" t="n">
        <x:v>621</x:v>
      </x:c>
      <x:c r="B622" s="10" t="str">
        <x:v>ADMIN-10-0101</x:v>
      </x:c>
      <x:c r="C622" s="10" t="str">
        <x:v>数据分析</x:v>
      </x:c>
      <x:c r="D622" s="10" t="str">
        <x:v>充值消费汇总（每日）</x:v>
      </x:c>
      <x:c r="E622" s="10" t="str">
        <x:v>功能需求</x:v>
      </x:c>
      <x:c r="F622" s="10" t="str">
        <x:v>P1</x:v>
      </x:c>
      <x:c r="G622" s="9" t="str">
        <x:v>验证充值赠送分类汇总</x:v>
      </x:c>
      <x:c r="H622" s="9" t="str">
        <x:v>充值赠送币源隔离</x:v>
      </x:c>
      <x:c r="I622" s="9" t="str">
        <x:v>1. 平台管理员账号可用
2. 当日成功套餐赠送10和20金币，任务另赠送50金币</x:v>
      </x:c>
      <x:c r="J622" s="9" t="str">
        <x:v>1. 打开充值消费汇总（每日）</x:v>
      </x:c>
      <x:c r="K622" s="9" t="str">
        <x:v>充值赠送金币显示30金币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来源（当前证据）：liveshow-proto/MainBasis/统一需求文档.md；位置：第3294行、第3299行 REQ-d4b1fac84335
2. 规则：BR-50811fcb881dba9d
3. 未动态验证</x:v>
      </x:c>
    </x:row>
    <x:row r="623" ht="85" customHeight="1">
      <x:c r="A623" s="10" t="n">
        <x:v>622</x:v>
      </x:c>
      <x:c r="B623" s="10" t="str">
        <x:v>ADMIN-10-0102</x:v>
      </x:c>
      <x:c r="C623" s="10" t="str">
        <x:v>数据分析</x:v>
      </x:c>
      <x:c r="D623" s="10" t="str">
        <x:v>充值消费汇总（每日）</x:v>
      </x:c>
      <x:c r="E623" s="10" t="str">
        <x:v>功能需求</x:v>
      </x:c>
      <x:c r="F623" s="10" t="str">
        <x:v>P1</x:v>
      </x:c>
      <x:c r="G623" s="9" t="str">
        <x:v>验证系统赠送分类汇总</x:v>
      </x:c>
      <x:c r="H623" s="9" t="str">
        <x:v>系统赠送币源隔离</x:v>
      </x:c>
      <x:c r="I623" s="9" t="str">
        <x:v>1. 平台管理员账号可用
2. 当日签到10、任务20、活动30金币，充值套餐另赠送50金币</x:v>
      </x:c>
      <x:c r="J623" s="9" t="str">
        <x:v>1. 打开充值消费汇总（每日）</x:v>
      </x:c>
      <x:c r="K623" s="9" t="str">
        <x:v>系统赠送金币显示60金币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来源（当前证据）：liveshow-proto/MainBasis/统一需求文档.md；位置：第3294行、第3299行 REQ-d4b1fac84335
2. 规则：BR-ac6f58369275b337
3. 未动态验证</x:v>
      </x:c>
    </x:row>
    <x:row r="624" ht="85" customHeight="1">
      <x:c r="A624" s="10" t="n">
        <x:v>623</x:v>
      </x:c>
      <x:c r="B624" s="10" t="str">
        <x:v>ADMIN-10-0103</x:v>
      </x:c>
      <x:c r="C624" s="10" t="str">
        <x:v>数据分析</x:v>
      </x:c>
      <x:c r="D624" s="10" t="str">
        <x:v>退款订单明细</x:v>
      </x:c>
      <x:c r="E624" s="10" t="str">
        <x:v>功能需求</x:v>
      </x:c>
      <x:c r="F624" s="10" t="str">
        <x:v>P1</x:v>
      </x:c>
      <x:c r="G624" s="9" t="str">
        <x:v>验证按日期过滤退款订单明细</x:v>
      </x:c>
      <x:c r="H624" s="9" t="str">
        <x:v>报表日期范围</x:v>
      </x:c>
      <x:c r="I624" s="9" t="str">
        <x:v>1. 平台管理员账号可用
2. 所选起止日内有2条可计入记录，结束日次日有1条</x:v>
      </x:c>
      <x:c r="J624" s="9" t="str">
        <x:v>1. 打开退款订单明细
2. 选择起止日期
3. 点击查询</x:v>
      </x:c>
      <x:c r="K624" s="9" t="str">
        <x:v>结果只包含所选日期内可计入的2条记录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来源（当前证据）：liveshow-proto/MainBasis/统一需求文档.md；位置：第3374行、第3380行 REQ-d7522df0db9e
2. 规则：BR-1e34d5b86e621718
3. 未动态验证</x:v>
      </x:c>
    </x:row>
    <x:row r="625" ht="85" customHeight="1">
      <x:c r="A625" s="10" t="n">
        <x:v>624</x:v>
      </x:c>
      <x:c r="B625" s="10" t="str">
        <x:v>ADMIN-10-0104</x:v>
      </x:c>
      <x:c r="C625" s="10" t="str">
        <x:v>数据分析</x:v>
      </x:c>
      <x:c r="D625" s="10" t="str">
        <x:v>退款订单明细</x:v>
      </x:c>
      <x:c r="E625" s="10" t="str">
        <x:v>功能需求</x:v>
      </x:c>
      <x:c r="F625" s="10" t="str">
        <x:v>P1</x:v>
      </x:c>
      <x:c r="G625" s="9" t="str">
        <x:v>验证导出退款订单明细</x:v>
      </x:c>
      <x:c r="H625" s="9" t="str">
        <x:v>报表导出范围</x:v>
      </x:c>
      <x:c r="I625" s="9" t="str">
        <x:v>1. 平台管理员账号可用
2. 当前筛选只包含2条明细，另有范围外明细</x:v>
      </x:c>
      <x:c r="J625" s="9" t="str">
        <x:v>1. 打开退款订单明细
2. 点击导出</x:v>
      </x:c>
      <x:c r="K625" s="9" t="str">
        <x:v>导出仅包含当前筛选的2条明细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来源（当前证据）：liveshow-proto/MainBasis/统一需求文档.md；位置：第3374行、第3380行 REQ-d7522df0db9e
2. 规则：BR-360a44f4a59c7c61
3. 未动态验证</x:v>
      </x:c>
    </x:row>
    <x:row r="626" ht="115" customHeight="1">
      <x:c r="A626" s="10" t="n">
        <x:v>625</x:v>
      </x:c>
      <x:c r="B626" s="10" t="str">
        <x:v>ADMIN-10-0105</x:v>
      </x:c>
      <x:c r="C626" s="10" t="str">
        <x:v>数据分析</x:v>
      </x:c>
      <x:c r="D626" s="10" t="str">
        <x:v>退款订单明细</x:v>
      </x:c>
      <x:c r="E626" s="10" t="str">
        <x:v>功能需求</x:v>
      </x:c>
      <x:c r="F626" s="10" t="str">
        <x:v>P1</x:v>
      </x:c>
      <x:c r="G626" s="9" t="str">
        <x:v>验证退款订单明细读取充值退款明细：退款用户归属</x:v>
      </x:c>
      <x:c r="H626" s="9" t="str">
        <x:v>退款用户归属</x:v>
      </x:c>
      <x:c r="I626" s="9" t="str">
        <x:v>1. 平台管理员账号可用
2. 原充值订单实付10USD并完成全额退款</x:v>
      </x:c>
      <x:c r="J626" s="9" t="str">
        <x:v>1. 打开退款订单明细</x:v>
      </x:c>
      <x:c r="K626" s="9" t="str">
        <x:v>退款用户与原充值用户一致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来源（当前证据）：liveshow-proto/MainBasis/统一需求文档.md；位置：第3374行、第3376行 REQ-4073f5d10f84、第3377行 REQ-7826de3051d7、第3378行 REQ-0b9cd1485c6d、第3379行 REQ-1270986ff2f3
2. 规则：BR-628c679f4c4d5147
3. 未动态验证</x:v>
      </x:c>
    </x:row>
    <x:row r="627" ht="115" customHeight="1">
      <x:c r="A627" s="10" t="n">
        <x:v>626</x:v>
      </x:c>
      <x:c r="B627" s="10" t="str">
        <x:v>ADMIN-10-0106</x:v>
      </x:c>
      <x:c r="C627" s="10" t="str">
        <x:v>数据分析</x:v>
      </x:c>
      <x:c r="D627" s="10" t="str">
        <x:v>退款订单明细</x:v>
      </x:c>
      <x:c r="E627" s="10" t="str">
        <x:v>功能需求</x:v>
      </x:c>
      <x:c r="F627" s="10" t="str">
        <x:v>P1</x:v>
      </x:c>
      <x:c r="G627" s="9" t="str">
        <x:v>验证退款订单明细读取充值退款明细：退款套餐快照</x:v>
      </x:c>
      <x:c r="H627" s="9" t="str">
        <x:v>退款套餐快照</x:v>
      </x:c>
      <x:c r="I627" s="9" t="str">
        <x:v>1. 平台管理员账号可用
2. 原充值订单实付10USD并完成全额退款</x:v>
      </x:c>
      <x:c r="J627" s="9" t="str">
        <x:v>1. 打开退款订单明细</x:v>
      </x:c>
      <x:c r="K627" s="9" t="str">
        <x:v>套餐取自原充值订单快照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来源（当前证据）：liveshow-proto/MainBasis/统一需求文档.md；位置：第3374行、第3376行 REQ-4073f5d10f84、第3377行 REQ-7826de3051d7、第3378行 REQ-0b9cd1485c6d、第3379行 REQ-1270986ff2f3
2. 规则：BR-4598e1881e5d1085
3. 未动态验证</x:v>
      </x:c>
    </x:row>
    <x:row r="628" ht="115" customHeight="1">
      <x:c r="A628" s="10" t="n">
        <x:v>627</x:v>
      </x:c>
      <x:c r="B628" s="10" t="str">
        <x:v>ADMIN-10-0107</x:v>
      </x:c>
      <x:c r="C628" s="10" t="str">
        <x:v>数据分析</x:v>
      </x:c>
      <x:c r="D628" s="10" t="str">
        <x:v>退款订单明细</x:v>
      </x:c>
      <x:c r="E628" s="10" t="str">
        <x:v>功能需求</x:v>
      </x:c>
      <x:c r="F628" s="10" t="str">
        <x:v>P1</x:v>
      </x:c>
      <x:c r="G628" s="9" t="str">
        <x:v>验证退款订单明细读取充值退款明细：退款明细金额</x:v>
      </x:c>
      <x:c r="H628" s="9" t="str">
        <x:v>退款明细金额</x:v>
      </x:c>
      <x:c r="I628" s="9" t="str">
        <x:v>1. 平台管理员账号可用
2. 原充值订单实付10USD并完成全额退款</x:v>
      </x:c>
      <x:c r="J628" s="9" t="str">
        <x:v>1. 打开退款订单明细</x:v>
      </x:c>
      <x:c r="K628" s="9" t="str">
        <x:v>退款金额显示10USD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来源（当前证据）：liveshow-proto/MainBasis/统一需求文档.md；位置：第3374行、第3376行 REQ-4073f5d10f84、第3377行 REQ-7826de3051d7、第3378行 REQ-0b9cd1485c6d、第3379行 REQ-1270986ff2f3
2. 规则：BR-1c2cefb38e9b846f
3. 未动态验证</x:v>
      </x:c>
    </x:row>
    <x:row r="629" ht="130" customHeight="1">
      <x:c r="A629" s="10" t="n">
        <x:v>628</x:v>
      </x:c>
      <x:c r="B629" s="10" t="str">
        <x:v>ADMIN-10-0108</x:v>
      </x:c>
      <x:c r="C629" s="10" t="str">
        <x:v>数据分析</x:v>
      </x:c>
      <x:c r="D629" s="10" t="str">
        <x:v>报表中心</x:v>
      </x:c>
      <x:c r="E629" s="10" t="str">
        <x:v>功能需求</x:v>
      </x:c>
      <x:c r="F629" s="10" t="str">
        <x:v>P1</x:v>
      </x:c>
      <x:c r="G629" s="9" t="str">
        <x:v>验证打开每日统计</x:v>
      </x:c>
      <x:c r="H629" s="9" t="str">
        <x:v>基础报表入口</x:v>
      </x:c>
      <x:c r="I629" s="9" t="str">
        <x:v>1. 平台管理员账号可用
2. 当前角色有每日统计权限</x:v>
      </x:c>
      <x:c r="J629" s="9" t="str">
        <x:v>1. 打开报表中心
2. 点击每日统计</x:v>
      </x:c>
      <x:c r="K629" s="9" t="str">
        <x:v>进入每日统计报表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规则：BR-24aff8154c7a177a
3. 未动态验证</x:v>
      </x:c>
    </x:row>
    <x:row r="630" ht="130" customHeight="1">
      <x:c r="A630" s="10" t="n">
        <x:v>629</x:v>
      </x:c>
      <x:c r="B630" s="10" t="str">
        <x:v>ADMIN-10-0109</x:v>
      </x:c>
      <x:c r="C630" s="10" t="str">
        <x:v>数据分析</x:v>
      </x:c>
      <x:c r="D630" s="10" t="str">
        <x:v>报表中心</x:v>
      </x:c>
      <x:c r="E630" s="10" t="str">
        <x:v>功能需求</x:v>
      </x:c>
      <x:c r="F630" s="10" t="str">
        <x:v>P1</x:v>
      </x:c>
      <x:c r="G630" s="9" t="str">
        <x:v>验证打开财务对账报表</x:v>
      </x:c>
      <x:c r="H630" s="9" t="str">
        <x:v>对账报表入口</x:v>
      </x:c>
      <x:c r="I630" s="9" t="str">
        <x:v>1. 平台管理员账号可用
2. 当前角色有主播业绩报表权限</x:v>
      </x:c>
      <x:c r="J630" s="9" t="str">
        <x:v>1. 打开报表中心
2. 点击主播业绩分成报表</x:v>
      </x:c>
      <x:c r="K630" s="9" t="str">
        <x:v>进入主播业绩分成报表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规则：BR-499dafefdf073f69
3. 未动态验证</x:v>
      </x:c>
    </x:row>
    <x:row r="631" ht="130" customHeight="1">
      <x:c r="A631" s="10" t="n">
        <x:v>630</x:v>
      </x:c>
      <x:c r="B631" s="10" t="str">
        <x:v>ADMIN-10-0110</x:v>
      </x:c>
      <x:c r="C631" s="10" t="str">
        <x:v>数据分析</x:v>
      </x:c>
      <x:c r="D631" s="10" t="str">
        <x:v>报表中心</x:v>
      </x:c>
      <x:c r="E631" s="10" t="str">
        <x:v>功能需求</x:v>
      </x:c>
      <x:c r="F631" s="10" t="str">
        <x:v>P1</x:v>
      </x:c>
      <x:c r="G631" s="9" t="str">
        <x:v>验证无权限报表入口</x:v>
      </x:c>
      <x:c r="H631" s="9" t="str">
        <x:v>报表菜单授权</x:v>
      </x:c>
      <x:c r="I631" s="9" t="str">
        <x:v>1. 平台管理员账号可用
2. 当前角色没有财务对账报表权限</x:v>
      </x:c>
      <x:c r="J631" s="9" t="str">
        <x:v>1. 打开报表中心</x:v>
      </x:c>
      <x:c r="K631" s="9" t="str">
        <x:v>不显示无权限财务报表入口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规则：BR-c2b7802463cd09a6
3. 未动态验证</x:v>
      </x:c>
    </x:row>
    <x:row r="632" ht="130" customHeight="1">
      <x:c r="A632" s="10" t="n">
        <x:v>631</x:v>
      </x:c>
      <x:c r="B632" s="10" t="str">
        <x:v>ADMIN-10-0111</x:v>
      </x:c>
      <x:c r="C632" s="10" t="str">
        <x:v>数据分析</x:v>
      </x:c>
      <x:c r="D632" s="10" t="str">
        <x:v>报表中心</x:v>
      </x:c>
      <x:c r="E632" s="10" t="str">
        <x:v>功能需求</x:v>
      </x:c>
      <x:c r="F632" s="10" t="str">
        <x:v>P1</x:v>
      </x:c>
      <x:c r="G632" s="9" t="str">
        <x:v>验证报表不执行结算审批</x:v>
      </x:c>
      <x:c r="H632" s="9" t="str">
        <x:v>报表职责边界</x:v>
      </x:c>
      <x:c r="I632" s="9" t="str">
        <x:v>1. 平台管理员账号可用
2. 当前角色有全部报表权限</x:v>
      </x:c>
      <x:c r="J632" s="9" t="str">
        <x:v>1. 打开报表中心</x:v>
      </x:c>
      <x:c r="K632" s="9" t="str">
        <x:v>报表中心不提供具体分成计算或结算审批入口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规则：BR-52e1828d92ef5e2b
3. 未动态验证</x:v>
      </x:c>
    </x:row>
    <x:row r="633" ht="85" customHeight="1">
      <x:c r="A633" s="10" t="n">
        <x:v>632</x:v>
      </x:c>
      <x:c r="B633" s="10" t="str">
        <x:v>ADMIN-10-0112</x:v>
      </x:c>
      <x:c r="C633" s="10" t="str">
        <x:v>数据分析</x:v>
      </x:c>
      <x:c r="D633" s="10" t="str">
        <x:v>用户活跃汇总（每日）</x:v>
      </x:c>
      <x:c r="E633" s="10" t="str">
        <x:v>功能需求</x:v>
      </x:c>
      <x:c r="F633" s="10" t="str">
        <x:v>P1</x:v>
      </x:c>
      <x:c r="G633" s="9" t="str">
        <x:v>验证按日期过滤用户活跃汇总（每日）</x:v>
      </x:c>
      <x:c r="H633" s="9" t="str">
        <x:v>报表日期范围</x:v>
      </x:c>
      <x:c r="I633" s="9" t="str">
        <x:v>1. 平台管理员账号可用
2. 所选起止日内有2条可计入记录，结束日次日有1条</x:v>
      </x:c>
      <x:c r="J633" s="9" t="str">
        <x:v>1. 打开用户活跃汇总（每日）
2. 选择起止日期
3. 点击查询</x:v>
      </x:c>
      <x:c r="K633" s="9" t="str">
        <x:v>结果只包含所选日期内可计入的2条记录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来源（当前证据）：liveshow-proto/MainBasis/统一需求文档.md；位置：第3251行、第3258行 REQ-19ef02cb77b2
2. 规则：BR-38dfdbbbad612163
3. 未动态验证</x:v>
      </x:c>
    </x:row>
    <x:row r="634" ht="85" customHeight="1">
      <x:c r="A634" s="10" t="n">
        <x:v>633</x:v>
      </x:c>
      <x:c r="B634" s="10" t="str">
        <x:v>ADMIN-10-0113</x:v>
      </x:c>
      <x:c r="C634" s="10" t="str">
        <x:v>数据分析</x:v>
      </x:c>
      <x:c r="D634" s="10" t="str">
        <x:v>用户活跃汇总（每日）</x:v>
      </x:c>
      <x:c r="E634" s="10" t="str">
        <x:v>功能需求</x:v>
      </x:c>
      <x:c r="F634" s="10" t="str">
        <x:v>P1</x:v>
      </x:c>
      <x:c r="G634" s="9" t="str">
        <x:v>验证导出用户活跃汇总（每日）</x:v>
      </x:c>
      <x:c r="H634" s="9" t="str">
        <x:v>报表导出范围</x:v>
      </x:c>
      <x:c r="I634" s="9" t="str">
        <x:v>1. 平台管理员账号可用
2. 当前筛选只包含2条明细，另有范围外明细</x:v>
      </x:c>
      <x:c r="J634" s="9" t="str">
        <x:v>1. 打开用户活跃汇总（每日）
2. 点击导出</x:v>
      </x:c>
      <x:c r="K634" s="9" t="str">
        <x:v>导出仅包含当前筛选的2条明细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来源（当前证据）：liveshow-proto/MainBasis/统一需求文档.md；位置：第3251行、第3258行 REQ-19ef02cb77b2
2. 规则：BR-45bd223959e2e35f
3. 未动态验证</x:v>
      </x:c>
    </x:row>
    <x:row r="635" ht="115" customHeight="1">
      <x:c r="A635" s="10" t="n">
        <x:v>634</x:v>
      </x:c>
      <x:c r="B635" s="10" t="str">
        <x:v>ADMIN-10-0114</x:v>
      </x:c>
      <x:c r="C635" s="10" t="str">
        <x:v>数据分析</x:v>
      </x:c>
      <x:c r="D635" s="10" t="str">
        <x:v>用户活跃汇总（每日）</x:v>
      </x:c>
      <x:c r="E635" s="10" t="str">
        <x:v>逻辑校验</x:v>
      </x:c>
      <x:c r="F635" s="10" t="str">
        <x:v>P1</x:v>
      </x:c>
      <x:c r="G635" s="9" t="str">
        <x:v>验证新老登录人数组成</x:v>
      </x:c>
      <x:c r="H635" s="9" t="str">
        <x:v>登录分层合计</x:v>
      </x:c>
      <x:c r="I635" s="9" t="str">
        <x:v>1. 平台管理员账号可用
2. 当日注册登录2人，此前注册登录3人，同人重复登录只计一次</x:v>
      </x:c>
      <x:c r="J635" s="9" t="str">
        <x:v>1. 打开用户活跃汇总（每日）</x:v>
      </x:c>
      <x:c r="K635" s="9" t="str">
        <x:v>计算结果：登录用户=2+3=5人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来源（当前证据）：liveshow-proto/MainBasis/统一需求文档.md；位置：第3251行、第3253行 REQ-d01d2788d078、第3254行 REQ-5c345dc600bc、第3255行 REQ-ef094ab51c2e
2. 规则：BR-3492899d6b43ba94
3. 未动态验证</x:v>
      </x:c>
    </x:row>
    <x:row r="636" ht="85" customHeight="1">
      <x:c r="A636" s="10" t="n">
        <x:v>635</x:v>
      </x:c>
      <x:c r="B636" s="10" t="str">
        <x:v>ADMIN-10-0115</x:v>
      </x:c>
      <x:c r="C636" s="10" t="str">
        <x:v>数据分析</x:v>
      </x:c>
      <x:c r="D636" s="10" t="str">
        <x:v>用户活跃汇总（每日）</x:v>
      </x:c>
      <x:c r="E636" s="10" t="str">
        <x:v>功能需求</x:v>
      </x:c>
      <x:c r="F636" s="10" t="str">
        <x:v>P1</x:v>
      </x:c>
      <x:c r="G636" s="9" t="str">
        <x:v>验证跨日登录人数不再去重</x:v>
      </x:c>
      <x:c r="H636" s="9" t="str">
        <x:v>登录人次汇总</x:v>
      </x:c>
      <x:c r="I636" s="9" t="str">
        <x:v>1. 平台管理员账号可用
2. 同一账号在所选两天均成功登录</x:v>
      </x:c>
      <x:c r="J636" s="9" t="str">
        <x:v>1. 打开用户活跃汇总（每日）</x:v>
      </x:c>
      <x:c r="K636" s="9" t="str">
        <x:v>汇总登录用户显示2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来源（当前证据）：liveshow-proto/MainBasis/统一需求文档.md；位置：第3251行、第3257行 REQ-b3a45ea748b5
2. 规则：BR-be08c0263bb31d56
3. 未动态验证</x:v>
      </x:c>
    </x:row>
    <x:row r="637" ht="85" customHeight="1">
      <x:c r="A637" s="10" t="n">
        <x:v>636</x:v>
      </x:c>
      <x:c r="B637" s="10" t="str">
        <x:v>ADMIN-10-0116</x:v>
      </x:c>
      <x:c r="C637" s="10" t="str">
        <x:v>数据分析</x:v>
      </x:c>
      <x:c r="D637" s="10" t="str">
        <x:v>用户活跃汇总（每日）</x:v>
      </x:c>
      <x:c r="E637" s="10" t="str">
        <x:v>功能需求</x:v>
      </x:c>
      <x:c r="F637" s="10" t="str">
        <x:v>P1</x:v>
      </x:c>
      <x:c r="G637" s="9" t="str">
        <x:v>验证一人多笔成功充值</x:v>
      </x:c>
      <x:c r="H637" s="9" t="str">
        <x:v>付费人数去重</x:v>
      </x:c>
      <x:c r="I637" s="9" t="str">
        <x:v>1. 平台管理员账号可用
2. 当日用户甲成功充值3笔，用户乙仅充值失败</x:v>
      </x:c>
      <x:c r="J637" s="9" t="str">
        <x:v>1. 打开用户活跃汇总（每日）</x:v>
      </x:c>
      <x:c r="K637" s="9" t="str">
        <x:v>付费用户显示1人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来源（当前证据）：liveshow-proto/MainBasis/统一需求文档.md；位置：第3251行、第3256行 REQ-6c5623b4402b
2. 规则：BR-b345b4a393b4977e
3. 未动态验证</x:v>
      </x:c>
    </x:row>
    <x:row r="638" ht="85" customHeight="1">
      <x:c r="A638" s="10" t="n">
        <x:v>637</x:v>
      </x:c>
      <x:c r="B638" s="10" t="str">
        <x:v>ADMIN-10-0117</x:v>
      </x:c>
      <x:c r="C638" s="10" t="str">
        <x:v>数据分析</x:v>
      </x:c>
      <x:c r="D638" s="10" t="str">
        <x:v>充值用户分层汇总（每日）</x:v>
      </x:c>
      <x:c r="E638" s="10" t="str">
        <x:v>功能需求</x:v>
      </x:c>
      <x:c r="F638" s="10" t="str">
        <x:v>P1</x:v>
      </x:c>
      <x:c r="G638" s="9" t="str">
        <x:v>验证按日期过滤充值用户分层汇总（每日）</x:v>
      </x:c>
      <x:c r="H638" s="9" t="str">
        <x:v>报表日期范围</x:v>
      </x:c>
      <x:c r="I638" s="9" t="str">
        <x:v>1. 平台管理员账号可用
2. 所选起止日内有2条可计入记录，结束日次日有1条</x:v>
      </x:c>
      <x:c r="J638" s="9" t="str">
        <x:v>1. 打开充值用户分层汇总（每日）
2. 选择起止日期
3. 点击查询</x:v>
      </x:c>
      <x:c r="K638" s="9" t="str">
        <x:v>结果只包含所选日期内可计入的2条记录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来源（当前证据）：liveshow-proto/MainBasis/统一需求文档.md；位置：第3306行、第3313行 REQ-230a928751c0
2. 规则：BR-a9edfb089b408cf3
3. 未动态验证</x:v>
      </x:c>
    </x:row>
    <x:row r="639" ht="85" customHeight="1">
      <x:c r="A639" s="10" t="n">
        <x:v>638</x:v>
      </x:c>
      <x:c r="B639" s="10" t="str">
        <x:v>ADMIN-10-0118</x:v>
      </x:c>
      <x:c r="C639" s="10" t="str">
        <x:v>数据分析</x:v>
      </x:c>
      <x:c r="D639" s="10" t="str">
        <x:v>充值用户分层汇总（每日）</x:v>
      </x:c>
      <x:c r="E639" s="10" t="str">
        <x:v>功能需求</x:v>
      </x:c>
      <x:c r="F639" s="10" t="str">
        <x:v>P1</x:v>
      </x:c>
      <x:c r="G639" s="9" t="str">
        <x:v>验证导出充值用户分层汇总（每日）</x:v>
      </x:c>
      <x:c r="H639" s="9" t="str">
        <x:v>报表导出范围</x:v>
      </x:c>
      <x:c r="I639" s="9" t="str">
        <x:v>1. 平台管理员账号可用
2. 当前筛选只包含2条明细，另有范围外明细</x:v>
      </x:c>
      <x:c r="J639" s="9" t="str">
        <x:v>1. 打开充值用户分层汇总（每日）
2. 点击导出</x:v>
      </x:c>
      <x:c r="K639" s="9" t="str">
        <x:v>导出仅包含当前筛选的2条明细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来源（当前证据）：liveshow-proto/MainBasis/统一需求文档.md；位置：第3306行、第3313行 REQ-230a928751c0
2. 规则：BR-39fbe2b49fc1cb26
3. 未动态验证</x:v>
      </x:c>
    </x:row>
    <x:row r="640" ht="85" customHeight="1">
      <x:c r="A640" s="10" t="n">
        <x:v>639</x:v>
      </x:c>
      <x:c r="B640" s="10" t="str">
        <x:v>ADMIN-10-0119</x:v>
      </x:c>
      <x:c r="C640" s="10" t="str">
        <x:v>数据分析</x:v>
      </x:c>
      <x:c r="D640" s="10" t="str">
        <x:v>充值用户分层汇总（每日）</x:v>
      </x:c>
      <x:c r="E640" s="10" t="str">
        <x:v>逻辑校验</x:v>
      </x:c>
      <x:c r="F640" s="10" t="str">
        <x:v>P1</x:v>
      </x:c>
      <x:c r="G640" s="9" t="str">
        <x:v>验证新用户ARPU有充值数据</x:v>
      </x:c>
      <x:c r="H640" s="9" t="str">
        <x:v>新用户ARPU金额人数口径</x:v>
      </x:c>
      <x:c r="I640" s="9" t="str">
        <x:v>1. 平台管理员账号可用
2. 本项所需用户群在选定日内成功充值2人，共30USD，失败订单不计</x:v>
      </x:c>
      <x:c r="J640" s="9" t="str">
        <x:v>1. 打开充值用户分层汇总（每日）</x:v>
      </x:c>
      <x:c r="K640" s="9" t="str">
        <x:v>计算结果：新用户ARPU=30÷2=15USD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来源（当前证据）：liveshow-proto/MainBasis/统一需求文档.md；位置：第3306行、第3311行 REQ-09403e05a182
2. 规则：BR-b725d835dc7bd2dd
3. 未动态验证</x:v>
      </x:c>
    </x:row>
    <x:row r="641" ht="85" customHeight="1">
      <x:c r="A641" s="10" t="n">
        <x:v>640</x:v>
      </x:c>
      <x:c r="B641" s="10" t="str">
        <x:v>ADMIN-10-0120</x:v>
      </x:c>
      <x:c r="C641" s="10" t="str">
        <x:v>数据分析</x:v>
      </x:c>
      <x:c r="D641" s="10" t="str">
        <x:v>充值用户分层汇总（每日）</x:v>
      </x:c>
      <x:c r="E641" s="10" t="str">
        <x:v>功能需求</x:v>
      </x:c>
      <x:c r="F641" s="10" t="str">
        <x:v>P1</x:v>
      </x:c>
      <x:c r="G641" s="9" t="str">
        <x:v>验证新用户ARPU无人充值</x:v>
      </x:c>
      <x:c r="H641" s="9" t="str">
        <x:v>新用户ARPU零分母</x:v>
      </x:c>
      <x:c r="I641" s="9" t="str">
        <x:v>1. 平台管理员账号可用
2. 对应用户群成功充值人数为0</x:v>
      </x:c>
      <x:c r="J641" s="9" t="str">
        <x:v>1. 打开充值用户分层汇总（每日）</x:v>
      </x:c>
      <x:c r="K641" s="9" t="str">
        <x:v>新用户ARPU显示0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来源（当前证据）：liveshow-proto/MainBasis/统一需求文档.md；位置：第3306行、第3311行 REQ-09403e05a182
2. 规则：BR-347bde7f6498f453
3. 未动态验证</x:v>
      </x:c>
    </x:row>
    <x:row r="642" ht="85" customHeight="1">
      <x:c r="A642" s="10" t="n">
        <x:v>641</x:v>
      </x:c>
      <x:c r="B642" s="10" t="str">
        <x:v>ADMIN-10-0121</x:v>
      </x:c>
      <x:c r="C642" s="10" t="str">
        <x:v>数据分析</x:v>
      </x:c>
      <x:c r="D642" s="10" t="str">
        <x:v>充值用户分层汇总（每日）</x:v>
      </x:c>
      <x:c r="E642" s="10" t="str">
        <x:v>逻辑校验</x:v>
      </x:c>
      <x:c r="F642" s="10" t="str">
        <x:v>P1</x:v>
      </x:c>
      <x:c r="G642" s="9" t="str">
        <x:v>验证老用户ARPU有充值数据</x:v>
      </x:c>
      <x:c r="H642" s="9" t="str">
        <x:v>老用户ARPU金额人数口径</x:v>
      </x:c>
      <x:c r="I642" s="9" t="str">
        <x:v>1. 平台管理员账号可用
2. 本项所需用户群在选定日内成功充值2人，共30USD，失败订单不计</x:v>
      </x:c>
      <x:c r="J642" s="9" t="str">
        <x:v>1. 打开充值用户分层汇总（每日）</x:v>
      </x:c>
      <x:c r="K642" s="9" t="str">
        <x:v>计算结果：老用户ARPU=30÷2=15USD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来源（当前证据）：liveshow-proto/MainBasis/统一需求文档.md；位置：第3306行、第3312行 REQ-dd86c8adf58f
2. 规则：BR-93227ae7feeba126
3. 未动态验证</x:v>
      </x:c>
    </x:row>
    <x:row r="643" ht="85" customHeight="1">
      <x:c r="A643" s="10" t="n">
        <x:v>642</x:v>
      </x:c>
      <x:c r="B643" s="10" t="str">
        <x:v>ADMIN-10-0122</x:v>
      </x:c>
      <x:c r="C643" s="10" t="str">
        <x:v>数据分析</x:v>
      </x:c>
      <x:c r="D643" s="10" t="str">
        <x:v>充值用户分层汇总（每日）</x:v>
      </x:c>
      <x:c r="E643" s="10" t="str">
        <x:v>功能需求</x:v>
      </x:c>
      <x:c r="F643" s="10" t="str">
        <x:v>P1</x:v>
      </x:c>
      <x:c r="G643" s="9" t="str">
        <x:v>验证老用户ARPU无人充值</x:v>
      </x:c>
      <x:c r="H643" s="9" t="str">
        <x:v>老用户ARPU零分母</x:v>
      </x:c>
      <x:c r="I643" s="9" t="str">
        <x:v>1. 平台管理员账号可用
2. 对应用户群成功充值人数为0</x:v>
      </x:c>
      <x:c r="J643" s="9" t="str">
        <x:v>1. 打开充值用户分层汇总（每日）</x:v>
      </x:c>
      <x:c r="K643" s="9" t="str">
        <x:v>老用户ARPU显示0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来源（当前证据）：liveshow-proto/MainBasis/统一需求文档.md；位置：第3306行、第3312行 REQ-dd86c8adf58f
2. 规则：BR-b4f2a923a9141da3
3. 未动态验证</x:v>
      </x:c>
    </x:row>
    <x:row r="644" ht="85" customHeight="1">
      <x:c r="A644" s="10" t="n">
        <x:v>643</x:v>
      </x:c>
      <x:c r="B644" s="10" t="str">
        <x:v>ADMIN-10-0123</x:v>
      </x:c>
      <x:c r="C644" s="10" t="str">
        <x:v>数据分析</x:v>
      </x:c>
      <x:c r="D644" s="10" t="str">
        <x:v>充值用户分层汇总（每日）</x:v>
      </x:c>
      <x:c r="E644" s="10" t="str">
        <x:v>逻辑校验</x:v>
      </x:c>
      <x:c r="F644" s="10" t="str">
        <x:v>P1</x:v>
      </x:c>
      <x:c r="G644" s="9" t="str">
        <x:v>验证总充值金额数值核算</x:v>
      </x:c>
      <x:c r="H644" s="9" t="str">
        <x:v>总充值金额计算口径</x:v>
      </x:c>
      <x:c r="I644" s="9" t="str">
        <x:v>1. 平台管理员账号可用
2. 当日新用户充值10USD、老用户充值20USD，均支付成功</x:v>
      </x:c>
      <x:c r="J644" s="9" t="str">
        <x:v>1. 打开充值用户分层汇总（每日）</x:v>
      </x:c>
      <x:c r="K644" s="9" t="str">
        <x:v>总充值金额计算结果=30USD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来源（当前证据）：liveshow-proto/MainBasis/统一需求文档.md；位置：第3306行、第3308行 REQ-23e37fab7ffe
2. 规则：BR-29dd902f1967e710
3. 未动态验证</x:v>
      </x:c>
    </x:row>
    <x:row r="645" ht="85" customHeight="1">
      <x:c r="A645" s="10" t="n">
        <x:v>644</x:v>
      </x:c>
      <x:c r="B645" s="10" t="str">
        <x:v>ADMIN-10-0124</x:v>
      </x:c>
      <x:c r="C645" s="10" t="str">
        <x:v>数据分析</x:v>
      </x:c>
      <x:c r="D645" s="10" t="str">
        <x:v>充值用户分层汇总（每日）</x:v>
      </x:c>
      <x:c r="E645" s="10" t="str">
        <x:v>逻辑校验</x:v>
      </x:c>
      <x:c r="F645" s="10" t="str">
        <x:v>P1</x:v>
      </x:c>
      <x:c r="G645" s="9" t="str">
        <x:v>验证总充值人数数值核算</x:v>
      </x:c>
      <x:c r="H645" s="9" t="str">
        <x:v>总充值人数计算口径</x:v>
      </x:c>
      <x:c r="I645" s="9" t="str">
        <x:v>1. 平台管理员账号可用
2. 当日新用户2人、老用户3人成功充值，重复充值按用户去重</x:v>
      </x:c>
      <x:c r="J645" s="9" t="str">
        <x:v>1. 打开充值用户分层汇总（每日）</x:v>
      </x:c>
      <x:c r="K645" s="9" t="str">
        <x:v>总充值人数计算结果=5人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来源（当前证据）：liveshow-proto/MainBasis/统一需求文档.md；位置：第3306行、第3309行 REQ-cc7c6eee1660
2. 规则：BR-0ada2b857036588e
3. 未动态验证</x:v>
      </x:c>
    </x:row>
    <x:row r="646" ht="85" customHeight="1">
      <x:c r="A646" s="10" t="n">
        <x:v>645</x:v>
      </x:c>
      <x:c r="B646" s="10" t="str">
        <x:v>ADMIN-10-0125</x:v>
      </x:c>
      <x:c r="C646" s="10" t="str">
        <x:v>数据分析</x:v>
      </x:c>
      <x:c r="D646" s="10" t="str">
        <x:v>充值用户分层汇总（每日）</x:v>
      </x:c>
      <x:c r="E646" s="10" t="str">
        <x:v>功能需求</x:v>
      </x:c>
      <x:c r="F646" s="10" t="str">
        <x:v>P1</x:v>
      </x:c>
      <x:c r="G646" s="9" t="str">
        <x:v>验证注册日与充值日划分新老</x:v>
      </x:c>
      <x:c r="H646" s="9" t="str">
        <x:v>老充值用户判定</x:v>
      </x:c>
      <x:c r="I646" s="9" t="str">
        <x:v>1. 平台管理员账号可用
2. 用户昨日注册、今日首次成功充值</x:v>
      </x:c>
      <x:c r="J646" s="9" t="str">
        <x:v>1. 打开充值用户分层汇总（每日）
2. 选择今日
3. 点击查询</x:v>
      </x:c>
      <x:c r="K646" s="9" t="str">
        <x:v>该用户计入今日老用户充值人数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来源（当前证据）：liveshow-proto/MainBasis/统一需求文档.md；位置：第3306行、第3310行 REQ-b60963ee1f46
2. 规则：BR-cc756f792c4dbde9
3. 未动态验证</x:v>
      </x:c>
    </x:row>
    <x:row r="647" ht="115" customHeight="1">
      <x:c r="A647" s="10" t="n">
        <x:v>646</x:v>
      </x:c>
      <x:c r="B647" s="10" t="str">
        <x:v>ADMIN-11-0001</x:v>
      </x:c>
      <x:c r="C647" s="10" t="str">
        <x:v>运营账号</x:v>
      </x:c>
      <x:c r="D647" s="10" t="str">
        <x:v>运营账号主页</x:v>
      </x:c>
      <x:c r="E647" s="10" t="str">
        <x:v>功能需求</x:v>
      </x:c>
      <x:c r="F647" s="10" t="str">
        <x:v>P1</x:v>
      </x:c>
      <x:c r="G647" s="9" t="str">
        <x:v>验证平台禁用运营账号</x:v>
      </x:c>
      <x:c r="H647" s="9" t="str">
        <x:v>平台运营账号停用</x:v>
      </x:c>
      <x:c r="I647" s="9" t="str">
        <x:v>1. 平台管理员账号可用
2. 运营账号启用</x:v>
      </x:c>
      <x:c r="J647" s="9" t="str">
        <x:v>1. 打开运营账号主页
2. 点击停用
3. 确认停用</x:v>
      </x:c>
      <x:c r="K647" s="9" t="str">
        <x:v>运营账号状态显示停用</x:v>
      </x:c>
      <x:c r="L647" s="10" t="str">
        <x:v>FLOW-OPERATION</x:v>
      </x:c>
      <x:c r="M647" s="10" t="str">
        <x:v>未测</x:v>
      </x:c>
      <x:c r="N647" s="10" t="str"/>
      <x:c r="O647" s="9" t="str">
        <x:v>1. 来源（当前证据）：liveshow-proto/MainBasis/统一需求文档.md；位置：第3405行、第3407行 REQ-8a8242292a6c、第3413行 REQ-3c38a2058ee6、第3414行 REQ-0d54971d26fc
2. 规则：BR-cbeeb528227a09c1
3. 未动态验证</x:v>
      </x:c>
    </x:row>
    <x:row r="648" ht="115" customHeight="1">
      <x:c r="A648" s="10" t="n">
        <x:v>647</x:v>
      </x:c>
      <x:c r="B648" s="10" t="str">
        <x:v>ADMIN-11-0002</x:v>
      </x:c>
      <x:c r="C648" s="10" t="str">
        <x:v>运营账号</x:v>
      </x:c>
      <x:c r="D648" s="10" t="str">
        <x:v>运营账号主页</x:v>
      </x:c>
      <x:c r="E648" s="10" t="str">
        <x:v>功能需求</x:v>
      </x:c>
      <x:c r="F648" s="10" t="str">
        <x:v>P1</x:v>
      </x:c>
      <x:c r="G648" s="9" t="str">
        <x:v>验证平台锁定公会操作</x:v>
      </x:c>
      <x:c r="H648" s="9" t="str">
        <x:v>平台运营管理锁定</x:v>
      </x:c>
      <x:c r="I648" s="9" t="str">
        <x:v>1. 平台管理员账号可用
2. 公会当前可管理运营账号</x:v>
      </x:c>
      <x:c r="J648" s="9" t="str">
        <x:v>1. 打开运营账号主页
2. 锁定公会管理权限
3. 确认锁定</x:v>
      </x:c>
      <x:c r="K648" s="9" t="str">
        <x:v>公会管理权限显示锁定</x:v>
      </x:c>
      <x:c r="L648" s="10" t="str">
        <x:v>FLOW-OPERATION</x:v>
      </x:c>
      <x:c r="M648" s="10" t="str">
        <x:v>未测</x:v>
      </x:c>
      <x:c r="N648" s="10" t="str"/>
      <x:c r="O648" s="9" t="str">
        <x:v>1. 来源（当前证据）：liveshow-proto/MainBasis/统一需求文档.md；位置：第3405行、第3407行 REQ-8a8242292a6c、第3413行 REQ-3c38a2058ee6、第3414行 REQ-0d54971d26fc
2. 规则：BR-327226dcce1cbe59
3. 未动态验证</x:v>
      </x:c>
    </x:row>
    <x:row r="649" ht="115" customHeight="1">
      <x:c r="A649" s="10" t="n">
        <x:v>648</x:v>
      </x:c>
      <x:c r="B649" s="10" t="str">
        <x:v>ADMIN-11-0003</x:v>
      </x:c>
      <x:c r="C649" s="10" t="str">
        <x:v>运营账号</x:v>
      </x:c>
      <x:c r="D649" s="10" t="str">
        <x:v>运营账号主页</x:v>
      </x:c>
      <x:c r="E649" s="10" t="str">
        <x:v>功能需求</x:v>
      </x:c>
      <x:c r="F649" s="10" t="str">
        <x:v>P1</x:v>
      </x:c>
      <x:c r="G649" s="9" t="str">
        <x:v>验证平台不能编辑公会账号资料</x:v>
      </x:c>
      <x:c r="H649" s="9" t="str">
        <x:v>运营资料权限边界</x:v>
      </x:c>
      <x:c r="I649" s="9" t="str">
        <x:v>1. 平台管理员账号可用
2. 目标运营账号由公会创建</x:v>
      </x:c>
      <x:c r="J649" s="9" t="str">
        <x:v>1. 打开运营账号主页</x:v>
      </x:c>
      <x:c r="K649" s="9" t="str">
        <x:v>平台不可执行编辑资料或重置密码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来源（当前证据）：liveshow-proto/MainBasis/统一需求文档.md；位置：第3405行、第3407行 REQ-8a8242292a6c、第3413行 REQ-3c38a2058ee6、第3414行 REQ-0d54971d26fc
2. 规则：BR-84148b648b65c966
3. 未动态验证</x:v>
      </x:c>
    </x:row>
    <x:row r="650" ht="115" customHeight="1">
      <x:c r="A650" s="10" t="n">
        <x:v>649</x:v>
      </x:c>
      <x:c r="B650" s="10" t="str">
        <x:v>ADMIN-11-0004</x:v>
      </x:c>
      <x:c r="C650" s="10" t="str">
        <x:v>运营账号</x:v>
      </x:c>
      <x:c r="D650" s="10" t="str">
        <x:v>运营账号主页</x:v>
      </x:c>
      <x:c r="E650" s="10" t="str">
        <x:v>功能需求</x:v>
      </x:c>
      <x:c r="F650" s="10" t="str">
        <x:v>P1</x:v>
      </x:c>
      <x:c r="G650" s="9" t="str">
        <x:v>验证查看账号发放记录</x:v>
      </x:c>
      <x:c r="H650" s="9" t="str">
        <x:v>运营发放Tab归属</x:v>
      </x:c>
      <x:c r="I650" s="9" t="str">
        <x:v>1. 平台管理员账号可用
2. 目标账号有发放记录</x:v>
      </x:c>
      <x:c r="J650" s="9" t="str">
        <x:v>1. 打开运营账号主页
2. 切换发放记录</x:v>
      </x:c>
      <x:c r="K650" s="9" t="str">
        <x:v>仅加载该账号的发放记录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来源（当前证据）：liveshow-proto/MainBasis/统一需求文档.md；位置：第3405行、第3407行 REQ-8a8242292a6c、第3413行 REQ-3c38a2058ee6、第3414行 REQ-0d54971d26fc
2. 规则：BR-120e0d3f1e7415b8
3. 未动态验证</x:v>
      </x:c>
    </x:row>
    <x:row r="651" ht="115" customHeight="1">
      <x:c r="A651" s="10" t="n">
        <x:v>650</x:v>
      </x:c>
      <x:c r="B651" s="10" t="str">
        <x:v>ADMIN-11-0005</x:v>
      </x:c>
      <x:c r="C651" s="10" t="str">
        <x:v>运营账号</x:v>
      </x:c>
      <x:c r="D651" s="10" t="str">
        <x:v>运营账号主页</x:v>
      </x:c>
      <x:c r="E651" s="10" t="str">
        <x:v>功能需求</x:v>
      </x:c>
      <x:c r="F651" s="10" t="str">
        <x:v>P1</x:v>
      </x:c>
      <x:c r="G651" s="9" t="str">
        <x:v>验证查看账号消费记录</x:v>
      </x:c>
      <x:c r="H651" s="9" t="str">
        <x:v>运营送礼Tab归属</x:v>
      </x:c>
      <x:c r="I651" s="9" t="str">
        <x:v>1. 平台管理员账号可用
2. 目标账号有送礼记录</x:v>
      </x:c>
      <x:c r="J651" s="9" t="str">
        <x:v>1. 打开运营账号主页
2. 切换送礼记录</x:v>
      </x:c>
      <x:c r="K651" s="9" t="str">
        <x:v>仅加载该账号的送礼记录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来源（当前证据）：liveshow-proto/MainBasis/统一需求文档.md；位置：第3405行、第3407行 REQ-8a8242292a6c、第3413行 REQ-3c38a2058ee6、第3414行 REQ-0d54971d26fc
2. 规则：BR-b3e66f564166d397
3. 未动态验证</x:v>
      </x:c>
    </x:row>
    <x:row r="652" ht="85" customHeight="1">
      <x:c r="A652" s="10" t="n">
        <x:v>651</x:v>
      </x:c>
      <x:c r="B652" s="10" t="str">
        <x:v>ADMIN-11-0006</x:v>
      </x:c>
      <x:c r="C652" s="10" t="str">
        <x:v>运营账号</x:v>
      </x:c>
      <x:c r="D652" s="10" t="str">
        <x:v>运营账号主页</x:v>
      </x:c>
      <x:c r="E652" s="10" t="str">
        <x:v>逻辑校验</x:v>
      </x:c>
      <x:c r="F652" s="10" t="str">
        <x:v>P1</x:v>
      </x:c>
      <x:c r="G652" s="9" t="str">
        <x:v>验证运营虚拟余额</x:v>
      </x:c>
      <x:c r="H652" s="9" t="str">
        <x:v>运营账号余额计算</x:v>
      </x:c>
      <x:c r="I652" s="9" t="str">
        <x:v>1. 平台管理员账号可用
2. 该账号累计公会发放500金币，成功虚拟消费200金币，失败消费50金币</x:v>
      </x:c>
      <x:c r="J652" s="9" t="str">
        <x:v>1. 打开运营账号主页</x:v>
      </x:c>
      <x:c r="K652" s="9" t="str">
        <x:v>计算结果：虚拟金币余额=500-200=300金币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来源（当前证据）：liveshow-proto/MainBasis/统一需求文档.md；位置：第3405行、第3408行 REQ-5efca74d9782
2. 规则：BR-a65925e4e4d73137
3. 未动态验证</x:v>
      </x:c>
    </x:row>
    <x:row r="653" ht="85" customHeight="1">
      <x:c r="A653" s="10" t="n">
        <x:v>652</x:v>
      </x:c>
      <x:c r="B653" s="10" t="str">
        <x:v>ADMIN-11-0007</x:v>
      </x:c>
      <x:c r="C653" s="10" t="str">
        <x:v>运营账号</x:v>
      </x:c>
      <x:c r="D653" s="10" t="str">
        <x:v>运营账号主页</x:v>
      </x:c>
      <x:c r="E653" s="10" t="str">
        <x:v>逻辑校验</x:v>
      </x:c>
      <x:c r="F653" s="10" t="str">
        <x:v>P1</x:v>
      </x:c>
      <x:c r="G653" s="9" t="str">
        <x:v>验证发放后余额数值核算</x:v>
      </x:c>
      <x:c r="H653" s="9" t="str">
        <x:v>发放后余额计算口径</x:v>
      </x:c>
      <x:c r="I653" s="9" t="str">
        <x:v>1. 平台管理员账号可用
2. 成功发放记录的发放前余额100、当次发放200虚拟金币</x:v>
      </x:c>
      <x:c r="J653" s="9" t="str">
        <x:v>1. 打开运营账号主页</x:v>
      </x:c>
      <x:c r="K653" s="9" t="str">
        <x:v>发放后余额计算结果=300金币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来源（当前证据）：liveshow-proto/MainBasis/统一需求文档.md；位置：第3405行、第3409行 REQ-fcdd1d15e729
2. 规则：BR-29f9e128069fa415
3. 未动态验证</x:v>
      </x:c>
    </x:row>
    <x:row r="654" ht="85" customHeight="1">
      <x:c r="A654" s="10" t="n">
        <x:v>653</x:v>
      </x:c>
      <x:c r="B654" s="10" t="str">
        <x:v>ADMIN-11-0008</x:v>
      </x:c>
      <x:c r="C654" s="10" t="str">
        <x:v>运营账号</x:v>
      </x:c>
      <x:c r="D654" s="10" t="str">
        <x:v>运营账号主页</x:v>
      </x:c>
      <x:c r="E654" s="10" t="str">
        <x:v>逻辑校验</x:v>
      </x:c>
      <x:c r="F654" s="10" t="str">
        <x:v>P1</x:v>
      </x:c>
      <x:c r="G654" s="9" t="str">
        <x:v>验证消费金币数值核算</x:v>
      </x:c>
      <x:c r="H654" s="9" t="str">
        <x:v>消费金币计算口径</x:v>
      </x:c>
      <x:c r="I654" s="9" t="str">
        <x:v>1. 平台管理员账号可用
2. 目标送礼记录快照单价100金币、数量3件</x:v>
      </x:c>
      <x:c r="J654" s="9" t="str">
        <x:v>1. 打开运营账号主页</x:v>
      </x:c>
      <x:c r="K654" s="9" t="str">
        <x:v>消费金币计算结果=300金币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来源（当前证据）：liveshow-proto/MainBasis/统一需求文档.md；位置：第3405行、第3410行 REQ-4a613da41048
2. 规则：BR-67e6d8c92642c602
3. 未动态验证</x:v>
      </x:c>
    </x:row>
    <x:row r="655" ht="115" customHeight="1">
      <x:c r="A655" s="10" t="n">
        <x:v>654</x:v>
      </x:c>
      <x:c r="B655" s="10" t="str">
        <x:v>ADMIN-11-0009</x:v>
      </x:c>
      <x:c r="C655" s="10" t="str">
        <x:v>运营账号</x:v>
      </x:c>
      <x:c r="D655" s="10" t="str">
        <x:v>账号列表</x:v>
      </x:c>
      <x:c r="E655" s="10" t="str">
        <x:v>功能需求</x:v>
      </x:c>
      <x:c r="F655" s="10" t="str">
        <x:v>P1</x:v>
      </x:c>
      <x:c r="G655" s="9" t="str">
        <x:v>验证平台不创建运营账号</x:v>
      </x:c>
      <x:c r="H655" s="9" t="str">
        <x:v>平台创建权限边界</x:v>
      </x:c>
      <x:c r="I655" s="9" t="str">
        <x:v>1. 平台管理员账号可用
2. 当前平台账号可管理运营账号</x:v>
      </x:c>
      <x:c r="J655" s="9" t="str">
        <x:v>1. 打开账号列表</x:v>
      </x:c>
      <x:c r="K655" s="9" t="str">
        <x:v>列表不提供平台创建或分配运营账号操作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来源（当前证据）：liveshow-proto/MainBasis/统一需求文档.md；位置：第3393行、第3395行 REQ-6c44a6da64d1、第3399行 REQ-cf7ea44b32ed、第3400行 REQ-d0b3e7f8f26e、第3402行 REQ-733df3fd18c3
2. 规则：BR-9e643f922b780e7d
3. 未动态验证</x:v>
      </x:c>
    </x:row>
    <x:row r="656" ht="115" customHeight="1">
      <x:c r="A656" s="10" t="n">
        <x:v>655</x:v>
      </x:c>
      <x:c r="B656" s="10" t="str">
        <x:v>ADMIN-11-0010</x:v>
      </x:c>
      <x:c r="C656" s="10" t="str">
        <x:v>运营账号</x:v>
      </x:c>
      <x:c r="D656" s="10" t="str">
        <x:v>账号列表</x:v>
      </x:c>
      <x:c r="E656" s="10" t="str">
        <x:v>功能需求</x:v>
      </x:c>
      <x:c r="F656" s="10" t="str">
        <x:v>P1</x:v>
      </x:c>
      <x:c r="G656" s="9" t="str">
        <x:v>验证运营账号由公会新增</x:v>
      </x:c>
      <x:c r="H656" s="9" t="str">
        <x:v>运营账号公会归属</x:v>
      </x:c>
      <x:c r="I656" s="9" t="str">
        <x:v>1. 平台管理员账号可用
2. 公会已创建一个运营账号</x:v>
      </x:c>
      <x:c r="J656" s="9" t="str">
        <x:v>1. 打开账号列表
2. 刷新账号列表</x:v>
      </x:c>
      <x:c r="K656" s="9" t="str">
        <x:v>新账号显示所属创建公会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来源（当前证据）：liveshow-proto/MainBasis/统一需求文档.md；位置：第3393行、第3395行 REQ-6c44a6da64d1、第3399行 REQ-cf7ea44b32ed、第3400行 REQ-d0b3e7f8f26e、第3402行 REQ-733df3fd18c3
2. 规则：BR-ba7b4158e1b881ae
3. 未动态验证</x:v>
      </x:c>
    </x:row>
    <x:row r="657" ht="115" customHeight="1">
      <x:c r="A657" s="10" t="n">
        <x:v>656</x:v>
      </x:c>
      <x:c r="B657" s="10" t="str">
        <x:v>ADMIN-11-0011</x:v>
      </x:c>
      <x:c r="C657" s="10" t="str">
        <x:v>运营账号</x:v>
      </x:c>
      <x:c r="D657" s="10" t="str">
        <x:v>账号列表</x:v>
      </x:c>
      <x:c r="E657" s="10" t="str">
        <x:v>功能需求</x:v>
      </x:c>
      <x:c r="F657" s="10" t="str">
        <x:v>P1</x:v>
      </x:c>
      <x:c r="G657" s="9" t="str">
        <x:v>验证平台查看运营详情</x:v>
      </x:c>
      <x:c r="H657" s="9" t="str">
        <x:v>运营详情入口</x:v>
      </x:c>
      <x:c r="I657" s="9" t="str">
        <x:v>1. 平台管理员账号可用
2. 账号列表存在目标账号</x:v>
      </x:c>
      <x:c r="J657" s="9" t="str">
        <x:v>1. 打开账号列表
2. 点击详情</x:v>
      </x:c>
      <x:c r="K657" s="9" t="str">
        <x:v>进入该运营账号主页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来源（当前证据）：liveshow-proto/MainBasis/统一需求文档.md；位置：第3393行、第3395行 REQ-6c44a6da64d1、第3399行 REQ-cf7ea44b32ed、第3400行 REQ-d0b3e7f8f26e、第3402行 REQ-733df3fd18c3
2. 规则：BR-ceb05dbc1e7f3019
3. 未动态验证</x:v>
      </x:c>
    </x:row>
    <x:row r="658" ht="85" customHeight="1">
      <x:c r="A658" s="10" t="n">
        <x:v>657</x:v>
      </x:c>
      <x:c r="B658" s="10" t="str">
        <x:v>ADMIN-11-0012</x:v>
      </x:c>
      <x:c r="C658" s="10" t="str">
        <x:v>运营账号</x:v>
      </x:c>
      <x:c r="D658" s="10" t="str">
        <x:v>账号列表</x:v>
      </x:c>
      <x:c r="E658" s="10" t="str">
        <x:v>逻辑校验</x:v>
      </x:c>
      <x:c r="F658" s="10" t="str">
        <x:v>P1</x:v>
      </x:c>
      <x:c r="G658" s="9" t="str">
        <x:v>验证账户余额数值核算</x:v>
      </x:c>
      <x:c r="H658" s="9" t="str">
        <x:v>账户余额计算口径</x:v>
      </x:c>
      <x:c r="I658" s="9" t="str">
        <x:v>1. 平台管理员账号可用
2. 运营账号历史发放500虚拟金币、成功消费200，失败消费50不计</x:v>
      </x:c>
      <x:c r="J658" s="9" t="str">
        <x:v>1. 打开账号列表</x:v>
      </x:c>
      <x:c r="K658" s="9" t="str">
        <x:v>账户余额计算结果=300金币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来源（当前证据）：liveshow-proto/MainBasis/统一需求文档.md；位置：第3393行、第3397行 REQ-86cc5bde0a36
2. 规则：BR-084722164c767dca
3. 未动态验证</x:v>
      </x:c>
    </x:row>
    <x:row r="659" ht="85" customHeight="1">
      <x:c r="A659" s="10" t="n">
        <x:v>658</x:v>
      </x:c>
      <x:c r="B659" s="10" t="str">
        <x:v>ADMIN-11-0013</x:v>
      </x:c>
      <x:c r="C659" s="10" t="str">
        <x:v>运营账号</x:v>
      </x:c>
      <x:c r="D659" s="10" t="str">
        <x:v>账号列表</x:v>
      </x:c>
      <x:c r="E659" s="10" t="str">
        <x:v>功能需求</x:v>
      </x:c>
      <x:c r="F659" s="10" t="str">
        <x:v>P1</x:v>
      </x:c>
      <x:c r="G659" s="9" t="str">
        <x:v>验证本月发放所属公会隔离</x:v>
      </x:c>
      <x:c r="H659" s="9" t="str">
        <x:v>本月发放汇总</x:v>
      </x:c>
      <x:c r="I659" s="9" t="str">
        <x:v>1. 平台管理员账号可用
2. 目标范围内两条可计入虚拟记录100和200金币，其他公会500金币、失败50金币、非当前自然月80金币均不计</x:v>
      </x:c>
      <x:c r="J659" s="9" t="str">
        <x:v>1. 打开账号列表</x:v>
      </x:c>
      <x:c r="K659" s="9" t="str">
        <x:v>本月发放计算结果=100+200=300金币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来源（当前证据）：liveshow-proto/MainBasis/统一需求文档.md；位置：第3393行、第3398行 REQ-26286348d506
2. 规则：BR-246dbc7dc57da5c5
3. 未动态验证</x:v>
      </x:c>
    </x:row>
    <x:row r="660" ht="85" customHeight="1">
      <x:c r="A660" s="10" t="n">
        <x:v>659</x:v>
      </x:c>
      <x:c r="B660" s="10" t="str">
        <x:v>ADMIN-11-0014</x:v>
      </x:c>
      <x:c r="C660" s="10" t="str">
        <x:v>运营账号</x:v>
      </x:c>
      <x:c r="D660" s="10" t="str">
        <x:v>账号列表</x:v>
      </x:c>
      <x:c r="E660" s="10" t="str">
        <x:v>功能需求</x:v>
      </x:c>
      <x:c r="F660" s="10" t="str">
        <x:v>P1</x:v>
      </x:c>
      <x:c r="G660" s="9" t="str">
        <x:v>验证本月消费所属公会隔离</x:v>
      </x:c>
      <x:c r="H660" s="9" t="str">
        <x:v>本月消费汇总</x:v>
      </x:c>
      <x:c r="I660" s="9" t="str">
        <x:v>1. 平台管理员账号可用
2. 目标范围内两条可计入虚拟记录100和200金币，其他公会500金币、失败50金币、非当前自然月80金币均不计</x:v>
      </x:c>
      <x:c r="J660" s="9" t="str">
        <x:v>1. 打开账号列表</x:v>
      </x:c>
      <x:c r="K660" s="9" t="str">
        <x:v>本月消费计算结果=100+200=300金币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来源（当前证据）：liveshow-proto/MainBasis/统一需求文档.md；位置：第3393行、第3396行 REQ-d0e6f8d8c385
2. 规则：BR-dac85218e0edb1ca
3. 未动态验证</x:v>
      </x:c>
    </x:row>
    <x:row r="661" ht="85" customHeight="1">
      <x:c r="A661" s="10" t="n">
        <x:v>660</x:v>
      </x:c>
      <x:c r="B661" s="10" t="str">
        <x:v>ADMIN-11-0015</x:v>
      </x:c>
      <x:c r="C661" s="10" t="str">
        <x:v>运营账号</x:v>
      </x:c>
      <x:c r="D661" s="10" t="str">
        <x:v>送礼记录</x:v>
      </x:c>
      <x:c r="E661" s="10" t="str">
        <x:v>逻辑校验</x:v>
      </x:c>
      <x:c r="F661" s="10" t="str">
        <x:v>P1</x:v>
      </x:c>
      <x:c r="G661" s="9" t="str">
        <x:v>验证后台运营消费金额</x:v>
      </x:c>
      <x:c r="H661" s="9" t="str">
        <x:v>虚拟赠礼金额</x:v>
      </x:c>
      <x:c r="I661" s="9" t="str">
        <x:v>1. 平台管理员账号可用
2. 单笔虚拟礼物单价100金币，数量3件</x:v>
      </x:c>
      <x:c r="J661" s="9" t="str">
        <x:v>1. 打开送礼记录</x:v>
      </x:c>
      <x:c r="K661" s="9" t="str">
        <x:v>计算结果：消费金币=100×3=300金币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来源（当前证据）：liveshow-proto/MainBasis/统一需求文档.md；位置：第3428行、第3431行 REQ-4377db69a883
2. 规则：BR-4661123fe7952385
3. 未动态验证</x:v>
      </x:c>
    </x:row>
    <x:row r="662" ht="115" customHeight="1">
      <x:c r="A662" s="10" t="n">
        <x:v>661</x:v>
      </x:c>
      <x:c r="B662" s="10" t="str">
        <x:v>ADMIN-11-0016</x:v>
      </x:c>
      <x:c r="C662" s="10" t="str">
        <x:v>运营账号</x:v>
      </x:c>
      <x:c r="D662" s="10" t="str">
        <x:v>送礼记录</x:v>
      </x:c>
      <x:c r="E662" s="10" t="str">
        <x:v>功能需求</x:v>
      </x:c>
      <x:c r="F662" s="10" t="str">
        <x:v>P1</x:v>
      </x:c>
      <x:c r="G662" s="9" t="str">
        <x:v>验证送礼记录读取虚拟赠礼快照：赠礼价格快照</x:v>
      </x:c>
      <x:c r="H662" s="9" t="str">
        <x:v>赠礼价格快照</x:v>
      </x:c>
      <x:c r="I662" s="9" t="str">
        <x:v>1. 平台管理员账号可用
2. 目标运营账号有一笔普通礼物成功赠送</x:v>
      </x:c>
      <x:c r="J662" s="9" t="str">
        <x:v>1. 打开送礼记录
2. 点击该记录详情</x:v>
      </x:c>
      <x:c r="K662" s="9" t="str">
        <x:v>详情单价等于赠送时单价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来源（当前证据）：liveshow-proto/MainBasis/统一需求文档.md；位置：第3428行、第3430行 REQ-f9a5f9da2625、第3432行 REQ-5110e5c8c3c2、第3433行 REQ-4db94c851285、第3435行 REQ-94a2c5066a44
2. 规则：BR-a755b84b80ae8d1c
3. 未动态验证</x:v>
      </x:c>
    </x:row>
    <x:row r="663" ht="115" customHeight="1">
      <x:c r="A663" s="10" t="n">
        <x:v>662</x:v>
      </x:c>
      <x:c r="B663" s="10" t="str">
        <x:v>ADMIN-11-0017</x:v>
      </x:c>
      <x:c r="C663" s="10" t="str">
        <x:v>运营账号</x:v>
      </x:c>
      <x:c r="D663" s="10" t="str">
        <x:v>送礼记录</x:v>
      </x:c>
      <x:c r="E663" s="10" t="str">
        <x:v>功能需求</x:v>
      </x:c>
      <x:c r="F663" s="10" t="str">
        <x:v>P1</x:v>
      </x:c>
      <x:c r="G663" s="9" t="str">
        <x:v>验证送礼记录读取虚拟赠礼快照：赠礼数量快照</x:v>
      </x:c>
      <x:c r="H663" s="9" t="str">
        <x:v>赠礼数量快照</x:v>
      </x:c>
      <x:c r="I663" s="9" t="str">
        <x:v>1. 平台管理员账号可用
2. 目标运营账号有一笔普通礼物成功赠送</x:v>
      </x:c>
      <x:c r="J663" s="9" t="str">
        <x:v>1. 打开送礼记录
2. 点击该记录详情</x:v>
      </x:c>
      <x:c r="K663" s="9" t="str">
        <x:v>数量等于当次成功赠送件数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来源（当前证据）：liveshow-proto/MainBasis/统一需求文档.md；位置：第3428行、第3430行 REQ-f9a5f9da2625、第3432行 REQ-5110e5c8c3c2、第3433行 REQ-4db94c851285、第3435行 REQ-94a2c5066a44
2. 规则：BR-73822b40e07cdcfc
3. 未动态验证</x:v>
      </x:c>
    </x:row>
    <x:row r="664" ht="115" customHeight="1">
      <x:c r="A664" s="10" t="n">
        <x:v>663</x:v>
      </x:c>
      <x:c r="B664" s="10" t="str">
        <x:v>ADMIN-11-0018</x:v>
      </x:c>
      <x:c r="C664" s="10" t="str">
        <x:v>运营账号</x:v>
      </x:c>
      <x:c r="D664" s="10" t="str">
        <x:v>送礼记录</x:v>
      </x:c>
      <x:c r="E664" s="10" t="str">
        <x:v>功能需求</x:v>
      </x:c>
      <x:c r="F664" s="10" t="str">
        <x:v>P1</x:v>
      </x:c>
      <x:c r="G664" s="9" t="str">
        <x:v>验证送礼记录读取虚拟赠礼快照：赠礼接收主播</x:v>
      </x:c>
      <x:c r="H664" s="9" t="str">
        <x:v>赠礼接收主播</x:v>
      </x:c>
      <x:c r="I664" s="9" t="str">
        <x:v>1. 平台管理员账号可用
2. 目标运营账号有一笔普通礼物成功赠送</x:v>
      </x:c>
      <x:c r="J664" s="9" t="str">
        <x:v>1. 打开送礼记录
2. 点击该记录详情</x:v>
      </x:c>
      <x:c r="K664" s="9" t="str">
        <x:v>接收主播为当次实际赠礼对象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来源（当前证据）：liveshow-proto/MainBasis/统一需求文档.md；位置：第3428行、第3430行 REQ-f9a5f9da2625、第3432行 REQ-5110e5c8c3c2、第3433行 REQ-4db94c851285、第3435行 REQ-94a2c5066a44
2. 规则：BR-4e25db8fc7d2fc85
3. 未动态验证</x:v>
      </x:c>
    </x:row>
    <x:row r="665" ht="115" customHeight="1">
      <x:c r="A665" s="10" t="n">
        <x:v>664</x:v>
      </x:c>
      <x:c r="B665" s="10" t="str">
        <x:v>ADMIN-11-0019</x:v>
      </x:c>
      <x:c r="C665" s="10" t="str">
        <x:v>运营账号</x:v>
      </x:c>
      <x:c r="D665" s="10" t="str">
        <x:v>送礼记录</x:v>
      </x:c>
      <x:c r="E665" s="10" t="str">
        <x:v>功能需求</x:v>
      </x:c>
      <x:c r="F665" s="10" t="str">
        <x:v>P1</x:v>
      </x:c>
      <x:c r="G665" s="9" t="str">
        <x:v>验证送礼记录读取虚拟赠礼快照：赠礼时间快照</x:v>
      </x:c>
      <x:c r="H665" s="9" t="str">
        <x:v>赠礼时间快照</x:v>
      </x:c>
      <x:c r="I665" s="9" t="str">
        <x:v>1. 平台管理员账号可用
2. 目标运营账号有一笔普通礼物成功赠送</x:v>
      </x:c>
      <x:c r="J665" s="9" t="str">
        <x:v>1. 打开送礼记录
2. 点击该记录详情</x:v>
      </x:c>
      <x:c r="K665" s="9" t="str">
        <x:v>赠送时间等于当次成功赠送时间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来源（当前证据）：liveshow-proto/MainBasis/统一需求文档.md；位置：第3428行、第3430行 REQ-f9a5f9da2625、第3432行 REQ-5110e5c8c3c2、第3433行 REQ-4db94c851285、第3435行 REQ-94a2c5066a44
2. 规则：BR-f9ade182872da8eb
3. 未动态验证</x:v>
      </x:c>
    </x:row>
    <x:row r="666" ht="115" customHeight="1">
      <x:c r="A666" s="10" t="n">
        <x:v>665</x:v>
      </x:c>
      <x:c r="B666" s="10" t="str">
        <x:v>ADMIN-11-0020</x:v>
      </x:c>
      <x:c r="C666" s="10" t="str">
        <x:v>运营账号</x:v>
      </x:c>
      <x:c r="D666" s="10" t="str">
        <x:v>额度限制</x:v>
      </x:c>
      <x:c r="E666" s="10" t="str">
        <x:v>功能需求</x:v>
      </x:c>
      <x:c r="F666" s="10" t="str">
        <x:v>P1</x:v>
      </x:c>
      <x:c r="G666" s="9" t="str">
        <x:v>验证公会额度低于已发放</x:v>
      </x:c>
      <x:c r="H666" s="9" t="str">
        <x:v>公会月额度下界</x:v>
      </x:c>
      <x:c r="I666" s="9" t="str">
        <x:v>1. 平台管理员账号可用
2. 本月公会已发放400金币，单账号最高已发放200金币</x:v>
      </x:c>
      <x:c r="J666" s="9" t="str">
        <x:v>1. 打开额度限制
2. 输入公会月度额度为399
3. 点击保存</x:v>
      </x:c>
      <x:c r="K666" s="9" t="str">
        <x:v>低于已发放总额的公会额度不能保存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来源（当前证据）：liveshow-proto/MainBasis/统一需求文档.md；位置：第3438行、第3440行 REQ-798b76fd95eb、第3441行 REQ-447dfc0a3f6d、第3447行 REQ-c0c7aca5f686、第3448行 REQ-a3aa02a63b14
2. 规则：BR-95433aa7b6781877
3. 未动态验证</x:v>
      </x:c>
    </x:row>
    <x:row r="667" ht="115" customHeight="1">
      <x:c r="A667" s="10" t="n">
        <x:v>666</x:v>
      </x:c>
      <x:c r="B667" s="10" t="str">
        <x:v>ADMIN-11-0021</x:v>
      </x:c>
      <x:c r="C667" s="10" t="str">
        <x:v>运营账号</x:v>
      </x:c>
      <x:c r="D667" s="10" t="str">
        <x:v>额度限制</x:v>
      </x:c>
      <x:c r="E667" s="10" t="str">
        <x:v>功能需求</x:v>
      </x:c>
      <x:c r="F667" s="10" t="str">
        <x:v>P1</x:v>
      </x:c>
      <x:c r="G667" s="9" t="str">
        <x:v>验证单账号额度低于最高发放</x:v>
      </x:c>
      <x:c r="H667" s="9" t="str">
        <x:v>单账号额度下界</x:v>
      </x:c>
      <x:c r="I667" s="9" t="str">
        <x:v>1. 平台管理员账号可用
2. 本月某运营账号已发放200金币，公会上限1000金币</x:v>
      </x:c>
      <x:c r="J667" s="9" t="str">
        <x:v>1. 打开额度限制
2. 输入单账号月度额度为199
3. 点击保存</x:v>
      </x:c>
      <x:c r="K667" s="9" t="str">
        <x:v>低于本月最高单账号已发放的额度不能保存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来源（当前证据）：liveshow-proto/MainBasis/统一需求文档.md；位置：第3438行、第3440行 REQ-798b76fd95eb、第3441行 REQ-447dfc0a3f6d、第3447行 REQ-c0c7aca5f686、第3448行 REQ-a3aa02a63b14
2. 规则：BR-c7e146c8acf3b441
3. 未动态验证</x:v>
      </x:c>
    </x:row>
    <x:row r="668" ht="115" customHeight="1">
      <x:c r="A668" s="10" t="n">
        <x:v>667</x:v>
      </x:c>
      <x:c r="B668" s="10" t="str">
        <x:v>ADMIN-11-0022</x:v>
      </x:c>
      <x:c r="C668" s="10" t="str">
        <x:v>运营账号</x:v>
      </x:c>
      <x:c r="D668" s="10" t="str">
        <x:v>额度限制</x:v>
      </x:c>
      <x:c r="E668" s="10" t="str">
        <x:v>功能需求</x:v>
      </x:c>
      <x:c r="F668" s="10" t="str">
        <x:v>P1</x:v>
      </x:c>
      <x:c r="G668" s="9" t="str">
        <x:v>验证单账号额度超过公会</x:v>
      </x:c>
      <x:c r="H668" s="9" t="str">
        <x:v>两层额度大小关系</x:v>
      </x:c>
      <x:c r="I668" s="9" t="str">
        <x:v>1. 平台管理员账号可用
2. 公会总上限1000金币</x:v>
      </x:c>
      <x:c r="J668" s="9" t="str">
        <x:v>1. 打开额度限制
2. 输入单账号月度额度为1001
3. 点击保存</x:v>
      </x:c>
      <x:c r="K668" s="9" t="str">
        <x:v>高于公会总上限的单账号额度不能保存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来源（当前证据）：liveshow-proto/MainBasis/统一需求文档.md；位置：第3438行、第3440行 REQ-798b76fd95eb、第3441行 REQ-447dfc0a3f6d、第3447行 REQ-c0c7aca5f686、第3448行 REQ-a3aa02a63b14
2. 规则：BR-3d4d8bf49b810886
3. 未动态验证</x:v>
      </x:c>
    </x:row>
    <x:row r="669" ht="115" customHeight="1">
      <x:c r="A669" s="10" t="n">
        <x:v>668</x:v>
      </x:c>
      <x:c r="B669" s="10" t="str">
        <x:v>ADMIN-11-0023</x:v>
      </x:c>
      <x:c r="C669" s="10" t="str">
        <x:v>运营账号</x:v>
      </x:c>
      <x:c r="D669" s="10" t="str">
        <x:v>额度限制</x:v>
      </x:c>
      <x:c r="E669" s="10" t="str">
        <x:v>功能需求</x:v>
      </x:c>
      <x:c r="F669" s="10" t="str">
        <x:v>P1</x:v>
      </x:c>
      <x:c r="G669" s="9" t="str">
        <x:v>验证额度等于已发放边界</x:v>
      </x:c>
      <x:c r="H669" s="9" t="str">
        <x:v>额度相等合法边界</x:v>
      </x:c>
      <x:c r="I669" s="9" t="str">
        <x:v>1. 平台管理员账号可用
2. 公会已发放400金币，单账号最高200金币</x:v>
      </x:c>
      <x:c r="J669" s="9" t="str">
        <x:v>1. 打开额度限制
2. 输入公会额度为400及单账号额度为200
3. 点击保存</x:v>
      </x:c>
      <x:c r="K669" s="9" t="str">
        <x:v>配置保留公会400及单账号200金币额度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来源（当前证据）：liveshow-proto/MainBasis/统一需求文档.md；位置：第3438行、第3440行 REQ-798b76fd95eb、第3441行 REQ-447dfc0a3f6d、第3447行 REQ-c0c7aca5f686、第3448行 REQ-a3aa02a63b14
2. 规则：BR-c22b643463f05139
3. 未动态验证</x:v>
      </x:c>
    </x:row>
    <x:row r="670" ht="85" customHeight="1">
      <x:c r="A670" s="10" t="n">
        <x:v>669</x:v>
      </x:c>
      <x:c r="B670" s="10" t="str">
        <x:v>ADMIN-11-0024</x:v>
      </x:c>
      <x:c r="C670" s="10" t="str">
        <x:v>运营账号</x:v>
      </x:c>
      <x:c r="D670" s="10" t="str">
        <x:v>额度限制</x:v>
      </x:c>
      <x:c r="E670" s="10" t="str">
        <x:v>逻辑校验</x:v>
      </x:c>
      <x:c r="F670" s="10" t="str">
        <x:v>P1</x:v>
      </x:c>
      <x:c r="G670" s="9" t="str">
        <x:v>验证后台公会剩余可发</x:v>
      </x:c>
      <x:c r="H670" s="9" t="str">
        <x:v>公会额度剩余</x:v>
      </x:c>
      <x:c r="I670" s="9" t="str">
        <x:v>1. 平台管理员账号可用
2. 公会月上限1000金币、本月累计已发放400金币</x:v>
      </x:c>
      <x:c r="J670" s="9" t="str">
        <x:v>1. 打开额度限制</x:v>
      </x:c>
      <x:c r="K670" s="9" t="str">
        <x:v>计算结果：本月剩余额度=1000-400=600金币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来源（当前证据）：liveshow-proto/MainBasis/统一需求文档.md；位置：第3438行、第3445行 REQ-a5aeac0c3e04
2. 规则：BR-d0d035838c4a4bc2
3. 未动态验证</x:v>
      </x:c>
    </x:row>
    <x:row r="671" ht="85" customHeight="1">
      <x:c r="A671" s="10" t="n">
        <x:v>670</x:v>
      </x:c>
      <x:c r="B671" s="10" t="str">
        <x:v>ADMIN-11-0025</x:v>
      </x:c>
      <x:c r="C671" s="10" t="str">
        <x:v>运营账号</x:v>
      </x:c>
      <x:c r="D671" s="10" t="str">
        <x:v>额度限制</x:v>
      </x:c>
      <x:c r="E671" s="10" t="str">
        <x:v>功能需求</x:v>
      </x:c>
      <x:c r="F671" s="10" t="str">
        <x:v>P1</x:v>
      </x:c>
      <x:c r="G671" s="9" t="str">
        <x:v>验证本月累计已发放所属公会隔离</x:v>
      </x:c>
      <x:c r="H671" s="9" t="str">
        <x:v>本月累计已发放汇总</x:v>
      </x:c>
      <x:c r="I671" s="9" t="str">
        <x:v>1. 平台管理员账号可用
2. 目标范围内两条可计入虚拟记录100和200金币，其他公会500金币、失败50金币、非当前自然月80金币均不计</x:v>
      </x:c>
      <x:c r="J671" s="9" t="str">
        <x:v>1. 打开额度限制</x:v>
      </x:c>
      <x:c r="K671" s="9" t="str">
        <x:v>本月累计已发放计算结果=100+200=300金币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来源（当前证据）：liveshow-proto/MainBasis/统一需求文档.md；位置：第3438行、第3442行 REQ-36053d84572c
2. 规则：BR-0c664be51a223846
3. 未动态验证</x:v>
      </x:c>
    </x:row>
    <x:row r="672" ht="85" customHeight="1">
      <x:c r="A672" s="10" t="n">
        <x:v>671</x:v>
      </x:c>
      <x:c r="B672" s="10" t="str">
        <x:v>ADMIN-11-0026</x:v>
      </x:c>
      <x:c r="C672" s="10" t="str">
        <x:v>运营账号</x:v>
      </x:c>
      <x:c r="D672" s="10" t="str">
        <x:v>额度限制</x:v>
      </x:c>
      <x:c r="E672" s="10" t="str">
        <x:v>功能需求</x:v>
      </x:c>
      <x:c r="F672" s="10" t="str">
        <x:v>P1</x:v>
      </x:c>
      <x:c r="G672" s="9" t="str">
        <x:v>验证账户余额累计所属公会隔离</x:v>
      </x:c>
      <x:c r="H672" s="9" t="str">
        <x:v>账户余额累计汇总</x:v>
      </x:c>
      <x:c r="I672" s="9" t="str">
        <x:v>1. 平台管理员账号可用
2. 目标范围内两条可计入虚拟记录100和200金币，其他公会500金币、失败50金币、非当前自然月80金币均不计</x:v>
      </x:c>
      <x:c r="J672" s="9" t="str">
        <x:v>1. 打开额度限制</x:v>
      </x:c>
      <x:c r="K672" s="9" t="str">
        <x:v>账户余额累计计算结果=100+200=300金币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来源（当前证据）：liveshow-proto/MainBasis/统一需求文档.md；位置：第3438行、第3443行 REQ-427b8bb7cc2a
2. 规则：BR-07f835aa95b33732
3. 未动态验证</x:v>
      </x:c>
    </x:row>
    <x:row r="673" ht="85" customHeight="1">
      <x:c r="A673" s="10" t="n">
        <x:v>672</x:v>
      </x:c>
      <x:c r="B673" s="10" t="str">
        <x:v>ADMIN-11-0027</x:v>
      </x:c>
      <x:c r="C673" s="10" t="str">
        <x:v>运营账号</x:v>
      </x:c>
      <x:c r="D673" s="10" t="str">
        <x:v>额度限制</x:v>
      </x:c>
      <x:c r="E673" s="10" t="str">
        <x:v>功能需求</x:v>
      </x:c>
      <x:c r="F673" s="10" t="str">
        <x:v>P1</x:v>
      </x:c>
      <x:c r="G673" s="9" t="str">
        <x:v>验证本月累计消费所属公会隔离</x:v>
      </x:c>
      <x:c r="H673" s="9" t="str">
        <x:v>本月累计消费汇总</x:v>
      </x:c>
      <x:c r="I673" s="9" t="str">
        <x:v>1. 平台管理员账号可用
2. 目标范围内两条可计入虚拟记录100和200金币，其他公会500金币、失败50金币、非当前自然月80金币均不计</x:v>
      </x:c>
      <x:c r="J673" s="9" t="str">
        <x:v>1. 打开额度限制</x:v>
      </x:c>
      <x:c r="K673" s="9" t="str">
        <x:v>本月累计消费计算结果=100+200=300金币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来源（当前证据）：liveshow-proto/MainBasis/统一需求文档.md；位置：第3438行、第3444行 REQ-20c0aeada4ca
2. 规则：BR-0b706d50cad958e4
3. 未动态验证</x:v>
      </x:c>
    </x:row>
    <x:row r="674" ht="145" customHeight="1">
      <x:c r="A674" s="10" t="n">
        <x:v>673</x:v>
      </x:c>
      <x:c r="B674" s="10" t="str">
        <x:v>ADMIN-11-0028</x:v>
      </x:c>
      <x:c r="C674" s="10" t="str">
        <x:v>运营账号</x:v>
      </x:c>
      <x:c r="D674" s="10" t="str">
        <x:v>发放记录</x:v>
      </x:c>
      <x:c r="E674" s="10" t="str">
        <x:v>功能需求</x:v>
      </x:c>
      <x:c r="F674" s="10" t="str">
        <x:v>P1</x:v>
      </x:c>
      <x:c r="G674" s="9" t="str">
        <x:v>验证公会发放后后台可查</x:v>
      </x:c>
      <x:c r="H674" s="9" t="str">
        <x:v>发放记录跨端观察</x:v>
      </x:c>
      <x:c r="I674" s="9" t="str">
        <x:v>1. 平台管理员账号可用
2. 公会已向目标运营账号成功发放100金币</x:v>
      </x:c>
      <x:c r="J674" s="9" t="str">
        <x:v>1. 打开发放记录
2. 选择所属公会及目标账号
3. 点击查询</x:v>
      </x:c>
      <x:c r="K674" s="9" t="str">
        <x:v>列表出现这笔100虚拟金币发放记录</x:v>
      </x:c>
      <x:c r="L674" s="10" t="str">
        <x:v>FLOW-OPERATION</x:v>
      </x:c>
      <x:c r="M674" s="10" t="str">
        <x:v>未测</x:v>
      </x:c>
      <x:c r="N674" s="10" t="str"/>
      <x:c r="O674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规则：BR-c516d1d44a3f6c8e
3. 未动态验证</x:v>
      </x:c>
    </x:row>
    <x:row r="675" ht="145" customHeight="1">
      <x:c r="A675" s="10" t="n">
        <x:v>674</x:v>
      </x:c>
      <x:c r="B675" s="10" t="str">
        <x:v>ADMIN-11-0029</x:v>
      </x:c>
      <x:c r="C675" s="10" t="str">
        <x:v>运营账号</x:v>
      </x:c>
      <x:c r="D675" s="10" t="str">
        <x:v>发放记录</x:v>
      </x:c>
      <x:c r="E675" s="10" t="str">
        <x:v>功能需求</x:v>
      </x:c>
      <x:c r="F675" s="10" t="str">
        <x:v>P1</x:v>
      </x:c>
      <x:c r="G675" s="9" t="str">
        <x:v>验证实际发放人归属</x:v>
      </x:c>
      <x:c r="H675" s="9" t="str">
        <x:v>发放操作者记录</x:v>
      </x:c>
      <x:c r="I675" s="9" t="str">
        <x:v>1. 平台管理员账号可用
2. 目标记录由公会长成功发放</x:v>
      </x:c>
      <x:c r="J675" s="9" t="str">
        <x:v>1. 打开发放记录</x:v>
      </x:c>
      <x:c r="K675" s="9" t="str">
        <x:v>操作人显示实际公会发放账号而非后台查看账号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规则：BR-e76f1b9cbe41cb08
3. 未动态验证</x:v>
      </x:c>
    </x:row>
    <x:row r="676" ht="145" customHeight="1">
      <x:c r="A676" s="10" t="n">
        <x:v>675</x:v>
      </x:c>
      <x:c r="B676" s="10" t="str">
        <x:v>ADMIN-11-0030</x:v>
      </x:c>
      <x:c r="C676" s="10" t="str">
        <x:v>运营账号</x:v>
      </x:c>
      <x:c r="D676" s="10" t="str">
        <x:v>发放记录</x:v>
      </x:c>
      <x:c r="E676" s="10" t="str">
        <x:v>功能需求</x:v>
      </x:c>
      <x:c r="F676" s="10" t="str">
        <x:v>P1</x:v>
      </x:c>
      <x:c r="G676" s="9" t="str">
        <x:v>验证平台不能发币</x:v>
      </x:c>
      <x:c r="H676" s="9" t="str">
        <x:v>平台发放权限边界</x:v>
      </x:c>
      <x:c r="I676" s="9" t="str">
        <x:v>1. 平台管理员账号可用
2. 当前后台可查看发放记录</x:v>
      </x:c>
      <x:c r="J676" s="9" t="str">
        <x:v>1. 打开发放记录</x:v>
      </x:c>
      <x:c r="K676" s="9" t="str">
        <x:v>页面不提供发放虚拟金币操作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规则：BR-5b02441463e82981
3. 未动态验证</x:v>
      </x:c>
    </x:row>
    <x:row r="677" ht="145" customHeight="1">
      <x:c r="A677" s="10" t="n">
        <x:v>676</x:v>
      </x:c>
      <x:c r="B677" s="10" t="str">
        <x:v>ADMIN-11-0031</x:v>
      </x:c>
      <x:c r="C677" s="10" t="str">
        <x:v>运营账号</x:v>
      </x:c>
      <x:c r="D677" s="10" t="str">
        <x:v>发放记录</x:v>
      </x:c>
      <x:c r="E677" s="10" t="str">
        <x:v>功能需求</x:v>
      </x:c>
      <x:c r="F677" s="10" t="str">
        <x:v>P1</x:v>
      </x:c>
      <x:c r="G677" s="9" t="str">
        <x:v>验证发放条件交集</x:v>
      </x:c>
      <x:c r="H677" s="9" t="str">
        <x:v>发放筛选归属</x:v>
      </x:c>
      <x:c r="I677" s="9" t="str">
        <x:v>1. 平台管理员账号可用
2. 两个公会各有两名运营账号及不同日期记录</x:v>
      </x:c>
      <x:c r="J677" s="9" t="str">
        <x:v>1. 打开发放记录
2. 选择目标公会、账号与日期
3. 点击查询</x:v>
      </x:c>
      <x:c r="K677" s="9" t="str">
        <x:v>仅显示同时满足三项条件的发放记录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规则：BR-67dbaffcb3ed3ff4
3. 未动态验证</x:v>
      </x:c>
    </x:row>
    <x:row r="678" ht="160" customHeight="1">
      <x:c r="A678" s="10" t="n">
        <x:v>677</x:v>
      </x:c>
      <x:c r="B678" s="10" t="str">
        <x:v>ADMIN-12-0001</x:v>
      </x:c>
      <x:c r="C678" s="10" t="str">
        <x:v>系统配置</x:v>
      </x:c>
      <x:c r="D678" s="10" t="str">
        <x:v>账号编辑</x:v>
      </x:c>
      <x:c r="E678" s="10" t="str">
        <x:v>功能需求</x:v>
      </x:c>
      <x:c r="F678" s="10" t="str">
        <x:v>P1</x:v>
      </x:c>
      <x:c r="G678" s="9" t="str">
        <x:v>验证后台登录名重复</x:v>
      </x:c>
      <x:c r="H678" s="9" t="str">
        <x:v>后台账号全局唯一</x:v>
      </x:c>
      <x:c r="I678" s="9" t="str">
        <x:v>1. 超级管理员账号可用
2. 另一个后台账号已使用目标登录名</x:v>
      </x:c>
      <x:c r="J678" s="9" t="str">
        <x:v>1. 打开账号编辑
2. 输入后台账号为已有登录名
3. 点击保存</x:v>
      </x:c>
      <x:c r="K678" s="9" t="str">
        <x:v>重复后台登录名不能保存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规则：BR-61bcaa86409f8839
3. 未动态验证</x:v>
      </x:c>
    </x:row>
    <x:row r="679" ht="160" customHeight="1">
      <x:c r="A679" s="10" t="n">
        <x:v>678</x:v>
      </x:c>
      <x:c r="B679" s="10" t="str">
        <x:v>ADMIN-12-0002</x:v>
      </x:c>
      <x:c r="C679" s="10" t="str">
        <x:v>系统配置</x:v>
      </x:c>
      <x:c r="D679" s="10" t="str">
        <x:v>账号编辑</x:v>
      </x:c>
      <x:c r="E679" s="10" t="str">
        <x:v>功能需求</x:v>
      </x:c>
      <x:c r="F679" s="10" t="str">
        <x:v>P1</x:v>
      </x:c>
      <x:c r="G679" s="9" t="str">
        <x:v>验证后台姓名为空</x:v>
      </x:c>
      <x:c r="H679" s="9" t="str">
        <x:v>后台账号姓名必填</x:v>
      </x:c>
      <x:c r="I679" s="9" t="str">
        <x:v>1. 超级管理员账号可用
2. 其他字段有效</x:v>
      </x:c>
      <x:c r="J679" s="9" t="str">
        <x:v>1. 打开账号编辑
2. 清空姓名
3. 点击保存</x:v>
      </x:c>
      <x:c r="K679" s="9" t="str">
        <x:v>缺少姓名不能保存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规则：BR-bb81375fae297164
3. 未动态验证</x:v>
      </x:c>
    </x:row>
    <x:row r="680" ht="160" customHeight="1">
      <x:c r="A680" s="10" t="n">
        <x:v>679</x:v>
      </x:c>
      <x:c r="B680" s="10" t="str">
        <x:v>ADMIN-12-0003</x:v>
      </x:c>
      <x:c r="C680" s="10" t="str">
        <x:v>系统配置</x:v>
      </x:c>
      <x:c r="D680" s="10" t="str">
        <x:v>账号编辑</x:v>
      </x:c>
      <x:c r="E680" s="10" t="str">
        <x:v>功能需求</x:v>
      </x:c>
      <x:c r="F680" s="10" t="str">
        <x:v>P1</x:v>
      </x:c>
      <x:c r="G680" s="9" t="str">
        <x:v>验证所属角色未选</x:v>
      </x:c>
      <x:c r="H680" s="9" t="str">
        <x:v>后台角色必选</x:v>
      </x:c>
      <x:c r="I680" s="9" t="str">
        <x:v>1. 超级管理员账号可用
2. 其他字段有效</x:v>
      </x:c>
      <x:c r="J680" s="9" t="str">
        <x:v>1. 打开账号编辑
2. 清空所属角色
3. 点击保存</x:v>
      </x:c>
      <x:c r="K680" s="9" t="str">
        <x:v>未选择启用角色不能保存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规则：BR-f870ee176c94b15d
3. 未动态验证</x:v>
      </x:c>
    </x:row>
    <x:row r="681" ht="160" customHeight="1">
      <x:c r="A681" s="10" t="n">
        <x:v>680</x:v>
      </x:c>
      <x:c r="B681" s="10" t="str">
        <x:v>ADMIN-12-0004</x:v>
      </x:c>
      <x:c r="C681" s="10" t="str">
        <x:v>系统配置</x:v>
      </x:c>
      <x:c r="D681" s="10" t="str">
        <x:v>账号编辑</x:v>
      </x:c>
      <x:c r="E681" s="10" t="str">
        <x:v>功能需求</x:v>
      </x:c>
      <x:c r="F681" s="10" t="str">
        <x:v>P1</x:v>
      </x:c>
      <x:c r="G681" s="9" t="str">
        <x:v>验证停用角色不可分配</x:v>
      </x:c>
      <x:c r="H681" s="9" t="str">
        <x:v>角色启用限制</x:v>
      </x:c>
      <x:c r="I681" s="9" t="str">
        <x:v>1. 超级管理员账号可用
2. 平台存在停用角色</x:v>
      </x:c>
      <x:c r="J681" s="9" t="str">
        <x:v>1. 打开账号编辑
2. 打开所属角色选择器</x:v>
      </x:c>
      <x:c r="K681" s="9" t="str">
        <x:v>停用角色不可选为所属角色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规则：BR-3d8efd4008dab8f7
3. 未动态验证</x:v>
      </x:c>
    </x:row>
    <x:row r="682" ht="160" customHeight="1">
      <x:c r="A682" s="10" t="n">
        <x:v>681</x:v>
      </x:c>
      <x:c r="B682" s="10" t="str">
        <x:v>ADMIN-12-0005</x:v>
      </x:c>
      <x:c r="C682" s="10" t="str">
        <x:v>系统配置</x:v>
      </x:c>
      <x:c r="D682" s="10" t="str">
        <x:v>账号编辑</x:v>
      </x:c>
      <x:c r="E682" s="10" t="str">
        <x:v>功能需求</x:v>
      </x:c>
      <x:c r="F682" s="10" t="str">
        <x:v>P1</x:v>
      </x:c>
      <x:c r="G682" s="9" t="str">
        <x:v>验证两次新密码不一致</x:v>
      </x:c>
      <x:c r="H682" s="9" t="str">
        <x:v>后台密码确认一致性</x:v>
      </x:c>
      <x:c r="I682" s="9" t="str">
        <x:v>1. 超级管理员账号可用
2. 账号为非内置且已有可用密码策略</x:v>
      </x:c>
      <x:c r="J682" s="9" t="str">
        <x:v>1. 打开账号编辑
2. 输入符合策略的新密码
3. 输入不同的确认密码
4. 点击重置密码</x:v>
      </x:c>
      <x:c r="K682" s="9" t="str">
        <x:v>两次密码不一致不能重置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规则：BR-f7d6c17853cdb18c
3. 未动态验证</x:v>
      </x:c>
    </x:row>
    <x:row r="683" ht="160" customHeight="1">
      <x:c r="A683" s="10" t="n">
        <x:v>682</x:v>
      </x:c>
      <x:c r="B683" s="10" t="str">
        <x:v>ADMIN-12-0006</x:v>
      </x:c>
      <x:c r="C683" s="10" t="str">
        <x:v>系统配置</x:v>
      </x:c>
      <x:c r="D683" s="10" t="str">
        <x:v>账号编辑</x:v>
      </x:c>
      <x:c r="E683" s="10" t="str">
        <x:v>功能需求</x:v>
      </x:c>
      <x:c r="F683" s="10" t="str">
        <x:v>P1</x:v>
      </x:c>
      <x:c r="G683" s="9" t="str">
        <x:v>验证内置账号字段保护</x:v>
      </x:c>
      <x:c r="H683" s="9" t="str">
        <x:v>内置账号关键字段只读</x:v>
      </x:c>
      <x:c r="I683" s="9" t="str">
        <x:v>1. 超级管理员账号可用
2. 当前为内置超级管理员账号</x:v>
      </x:c>
      <x:c r="J683" s="9" t="str">
        <x:v>1. 打开账号编辑</x:v>
      </x:c>
      <x:c r="K683" s="9" t="str">
        <x:v>账号、角色及状态不可修改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规则：BR-0b0740f24fe47c6c
3. 未动态验证</x:v>
      </x:c>
    </x:row>
    <x:row r="684" ht="160" customHeight="1">
      <x:c r="A684" s="10" t="n">
        <x:v>683</x:v>
      </x:c>
      <x:c r="B684" s="10" t="str">
        <x:v>ADMIN-12-0007</x:v>
      </x:c>
      <x:c r="C684" s="10" t="str">
        <x:v>系统配置</x:v>
      </x:c>
      <x:c r="D684" s="10" t="str">
        <x:v>账号编辑</x:v>
      </x:c>
      <x:c r="E684" s="10" t="str">
        <x:v>功能需求</x:v>
      </x:c>
      <x:c r="F684" s="10" t="str">
        <x:v>P1</x:v>
      </x:c>
      <x:c r="G684" s="9" t="str">
        <x:v>验证后台账号ID只读</x:v>
      </x:c>
      <x:c r="H684" s="9" t="str">
        <x:v>后台账号ID保持</x:v>
      </x:c>
      <x:c r="I684" s="9" t="str">
        <x:v>1. 超级管理员账号可用
2. 正在编辑已有后台账号</x:v>
      </x:c>
      <x:c r="J684" s="9" t="str">
        <x:v>1. 打开账号编辑</x:v>
      </x:c>
      <x:c r="K684" s="9" t="str">
        <x:v>账号ID不可编辑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规则：BR-24d3ff935d944cd3
3. 未动态验证</x:v>
      </x:c>
    </x:row>
    <x:row r="685" ht="115" customHeight="1">
      <x:c r="A685" s="10" t="n">
        <x:v>684</x:v>
      </x:c>
      <x:c r="B685" s="10" t="str">
        <x:v>ADMIN-12-0008</x:v>
      </x:c>
      <x:c r="C685" s="10" t="str">
        <x:v>系统配置</x:v>
      </x:c>
      <x:c r="D685" s="10" t="str">
        <x:v>后台账号</x:v>
      </x:c>
      <x:c r="E685" s="10" t="str">
        <x:v>功能需求</x:v>
      </x:c>
      <x:c r="F685" s="10" t="str">
        <x:v>P1</x:v>
      </x:c>
      <x:c r="G685" s="9" t="str">
        <x:v>验证内置账号不能停用</x:v>
      </x:c>
      <x:c r="H685" s="9" t="str">
        <x:v>内置管理员保护</x:v>
      </x:c>
      <x:c r="I685" s="9" t="str">
        <x:v>1. 超级管理员账号可用
2. 目标为内置超级管理员账号</x:v>
      </x:c>
      <x:c r="J685" s="9" t="str">
        <x:v>1. 打开后台账号</x:v>
      </x:c>
      <x:c r="K685" s="9" t="str">
        <x:v>该账号不提供可执行停用操作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来源（当前证据）：liveshow-proto/MainBasis/统一需求文档.md；位置：第3451行、第3454行 REQ-d936eada9733、第3456行 REQ-5029922bf8b4、第3458行 REQ-0489ca1388d8、第3459行 REQ-c0bc774f5482
2. 规则：BR-644895352c930911
3. 未动态验证</x:v>
      </x:c>
    </x:row>
    <x:row r="686" ht="115" customHeight="1">
      <x:c r="A686" s="10" t="n">
        <x:v>685</x:v>
      </x:c>
      <x:c r="B686" s="10" t="str">
        <x:v>ADMIN-12-0009</x:v>
      </x:c>
      <x:c r="C686" s="10" t="str">
        <x:v>系统配置</x:v>
      </x:c>
      <x:c r="D686" s="10" t="str">
        <x:v>后台账号</x:v>
      </x:c>
      <x:c r="E686" s="10" t="str">
        <x:v>功能需求</x:v>
      </x:c>
      <x:c r="F686" s="10" t="str">
        <x:v>P1</x:v>
      </x:c>
      <x:c r="G686" s="9" t="str">
        <x:v>验证普通后台账号停用</x:v>
      </x:c>
      <x:c r="H686" s="9" t="str">
        <x:v>后台账号停用状态</x:v>
      </x:c>
      <x:c r="I686" s="9" t="str">
        <x:v>1. 超级管理员账号可用
2. 目标为启用的非内置后台账号</x:v>
      </x:c>
      <x:c r="J686" s="9" t="str">
        <x:v>1. 打开后台账号
2. 点击停用
3. 输入原因为人员离职
4. 确认停用</x:v>
      </x:c>
      <x:c r="K686" s="9" t="str">
        <x:v>目标后台账号状态显示停用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来源（当前证据）：liveshow-proto/MainBasis/统一需求文档.md；位置：第3451行、第3454行 REQ-d936eada9733、第3456行 REQ-5029922bf8b4、第3458行 REQ-0489ca1388d8、第3459行 REQ-c0bc774f5482
2. 规则：BR-c7a72270d7fcb5ee
3. 未动态验证</x:v>
      </x:c>
    </x:row>
    <x:row r="687" ht="115" customHeight="1">
      <x:c r="A687" s="10" t="n">
        <x:v>686</x:v>
      </x:c>
      <x:c r="B687" s="10" t="str">
        <x:v>ADMIN-12-0010</x:v>
      </x:c>
      <x:c r="C687" s="10" t="str">
        <x:v>系统配置</x:v>
      </x:c>
      <x:c r="D687" s="10" t="str">
        <x:v>后台账号</x:v>
      </x:c>
      <x:c r="E687" s="10" t="str">
        <x:v>功能需求</x:v>
      </x:c>
      <x:c r="F687" s="10" t="str">
        <x:v>P1</x:v>
      </x:c>
      <x:c r="G687" s="9" t="str">
        <x:v>验证后台账号处置取消</x:v>
      </x:c>
      <x:c r="H687" s="9" t="str">
        <x:v>后台启停取消</x:v>
      </x:c>
      <x:c r="I687" s="9" t="str">
        <x:v>1. 超级管理员账号可用
2. 目标为启用的非内置账号</x:v>
      </x:c>
      <x:c r="J687" s="9" t="str">
        <x:v>1. 打开后台账号
2. 点击停用
3. 输入原因为人员离职
4. 取消确认弹窗</x:v>
      </x:c>
      <x:c r="K687" s="9" t="str">
        <x:v>目标账号仍为启用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来源（当前证据）：liveshow-proto/MainBasis/统一需求文档.md；位置：第3451行、第3454行 REQ-d936eada9733、第3456行 REQ-5029922bf8b4、第3458行 REQ-0489ca1388d8、第3459行 REQ-c0bc774f5482
2. 规则：BR-f6a7eeaa996fa26f
3. 未动态验证</x:v>
      </x:c>
    </x:row>
    <x:row r="688" ht="115" customHeight="1">
      <x:c r="A688" s="10" t="n">
        <x:v>687</x:v>
      </x:c>
      <x:c r="B688" s="10" t="str">
        <x:v>ADMIN-12-0011</x:v>
      </x:c>
      <x:c r="C688" s="10" t="str">
        <x:v>系统配置</x:v>
      </x:c>
      <x:c r="D688" s="10" t="str">
        <x:v>后台账号</x:v>
      </x:c>
      <x:c r="E688" s="10" t="str">
        <x:v>功能需求</x:v>
      </x:c>
      <x:c r="F688" s="10" t="str">
        <x:v>P1</x:v>
      </x:c>
      <x:c r="G688" s="9" t="str">
        <x:v>验证编辑后台账号入口</x:v>
      </x:c>
      <x:c r="H688" s="9" t="str">
        <x:v>后台账号编辑定位</x:v>
      </x:c>
      <x:c r="I688" s="9" t="str">
        <x:v>1. 超级管理员账号可用
2. 目标后台账号存在</x:v>
      </x:c>
      <x:c r="J688" s="9" t="str">
        <x:v>1. 打开后台账号
2. 点击编辑</x:v>
      </x:c>
      <x:c r="K688" s="9" t="str">
        <x:v>进入所选账号编辑页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来源（当前证据）：liveshow-proto/MainBasis/统一需求文档.md；位置：第3451行、第3454行 REQ-d936eada9733、第3456行 REQ-5029922bf8b4、第3458行 REQ-0489ca1388d8、第3459行 REQ-c0bc774f5482
2. 规则：BR-79ebea2279b63333
3. 未动态验证</x:v>
      </x:c>
    </x:row>
    <x:row r="689" ht="85" customHeight="1">
      <x:c r="A689" s="10" t="n">
        <x:v>688</x:v>
      </x:c>
      <x:c r="B689" s="10" t="str">
        <x:v>ADMIN-12-0012</x:v>
      </x:c>
      <x:c r="C689" s="10" t="str">
        <x:v>系统配置</x:v>
      </x:c>
      <x:c r="D689" s="10" t="str">
        <x:v>后台账号</x:v>
      </x:c>
      <x:c r="E689" s="10" t="str">
        <x:v>功能需求</x:v>
      </x:c>
      <x:c r="F689" s="10" t="str">
        <x:v>P1</x:v>
      </x:c>
      <x:c r="G689" s="9" t="str">
        <x:v>验证后台账号独立编号</x:v>
      </x:c>
      <x:c r="H689" s="9" t="str">
        <x:v>后台账号ID唯一性</x:v>
      </x:c>
      <x:c r="I689" s="9" t="str">
        <x:v>1. 超级管理员账号可用
2. 已新建两个后台账号</x:v>
      </x:c>
      <x:c r="J689" s="9" t="str">
        <x:v>1. 打开后台账号</x:v>
      </x:c>
      <x:c r="K689" s="9" t="str">
        <x:v>两个账号ID不同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来源（当前证据）：liveshow-proto/MainBasis/统一需求文档.md；位置：第3451行、第3453行 REQ-89676cf95254
2. 规则：BR-a955f70519ce0f67
3. 未动态验证</x:v>
      </x:c>
    </x:row>
    <x:row r="690" ht="85" customHeight="1">
      <x:c r="A690" s="10" t="n">
        <x:v>689</x:v>
      </x:c>
      <x:c r="B690" s="10" t="str">
        <x:v>ADMIN-12-0013</x:v>
      </x:c>
      <x:c r="C690" s="10" t="str">
        <x:v>系统配置</x:v>
      </x:c>
      <x:c r="D690" s="10" t="str">
        <x:v>后台账号</x:v>
      </x:c>
      <x:c r="E690" s="10" t="str">
        <x:v>功能需求</x:v>
      </x:c>
      <x:c r="F690" s="10" t="str">
        <x:v>P1</x:v>
      </x:c>
      <x:c r="G690" s="9" t="str">
        <x:v>验证登录成功时间区别失败尝试</x:v>
      </x:c>
      <x:c r="H690" s="9" t="str">
        <x:v>账号最近登录时间</x:v>
      </x:c>
      <x:c r="I690" s="9" t="str">
        <x:v>1. 超级管理员账号可用
2. 某账号成功登录后又发生一次登录失败</x:v>
      </x:c>
      <x:c r="J690" s="9" t="str">
        <x:v>1. 打开后台账号</x:v>
      </x:c>
      <x:c r="K690" s="9" t="str">
        <x:v>最近登录时间保持最后成功登录时刻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来源（当前证据）：liveshow-proto/MainBasis/统一需求文档.md；位置：第3451行、第3457行 REQ-2bb34a782f2b
2. 规则：BR-db7086d9019e9428
3. 未动态验证</x:v>
      </x:c>
    </x:row>
    <x:row r="691" ht="85" customHeight="1">
      <x:c r="A691" s="10" t="n">
        <x:v>690</x:v>
      </x:c>
      <x:c r="B691" s="10" t="str">
        <x:v>ADMIN-12-0014</x:v>
      </x:c>
      <x:c r="C691" s="10" t="str">
        <x:v>系统配置</x:v>
      </x:c>
      <x:c r="D691" s="10" t="str">
        <x:v>后台账号</x:v>
      </x:c>
      <x:c r="E691" s="10" t="str">
        <x:v>功能需求</x:v>
      </x:c>
      <x:c r="F691" s="10" t="str">
        <x:v>P1</x:v>
      </x:c>
      <x:c r="G691" s="9" t="str">
        <x:v>验证账号角色资料核对</x:v>
      </x:c>
      <x:c r="H691" s="9" t="str">
        <x:v>后台账号角色归属</x:v>
      </x:c>
      <x:c r="I691" s="9" t="str">
        <x:v>1. 超级管理员账号可用
2. 两个账号分配不同角色</x:v>
      </x:c>
      <x:c r="J691" s="9" t="str">
        <x:v>1. 打开后台账号</x:v>
      </x:c>
      <x:c r="K691" s="9" t="str">
        <x:v>每行角色对应实际分配给该账号的角色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来源（当前证据）：liveshow-proto/MainBasis/统一需求文档.md；位置：第3451行、第3455行 REQ-5a7a4e85264d
2. 规则：BR-617a89a9f6ce54ab
3. 未动态验证</x:v>
      </x:c>
    </x:row>
    <x:row r="692" ht="145" customHeight="1">
      <x:c r="A692" s="10" t="n">
        <x:v>691</x:v>
      </x:c>
      <x:c r="B692" s="10" t="str">
        <x:v>ADMIN-12-0015</x:v>
      </x:c>
      <x:c r="C692" s="10" t="str">
        <x:v>系统配置</x:v>
      </x:c>
      <x:c r="D692" s="10" t="str">
        <x:v>角色编辑</x:v>
      </x:c>
      <x:c r="E692" s="10" t="str">
        <x:v>功能需求</x:v>
      </x:c>
      <x:c r="F692" s="10" t="str">
        <x:v>P1</x:v>
      </x:c>
      <x:c r="G692" s="9" t="str">
        <x:v>验证角色名称为空</x:v>
      </x:c>
      <x:c r="H692" s="9" t="str">
        <x:v>角色名称必填</x:v>
      </x:c>
      <x:c r="I692" s="9" t="str">
        <x:v>1. 超级管理员账号可用
2. 其他字段有效</x:v>
      </x:c>
      <x:c r="J692" s="9" t="str">
        <x:v>1. 打开角色编辑
2. 清空角色名称
3. 点击保存</x:v>
      </x:c>
      <x:c r="K692" s="9" t="str">
        <x:v>空角色名称不能保存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规则：BR-58957c73a203dd36
3. 未动态验证</x:v>
      </x:c>
    </x:row>
    <x:row r="693" ht="145" customHeight="1">
      <x:c r="A693" s="10" t="n">
        <x:v>692</x:v>
      </x:c>
      <x:c r="B693" s="10" t="str">
        <x:v>ADMIN-12-0016</x:v>
      </x:c>
      <x:c r="C693" s="10" t="str">
        <x:v>系统配置</x:v>
      </x:c>
      <x:c r="D693" s="10" t="str">
        <x:v>角色编辑</x:v>
      </x:c>
      <x:c r="E693" s="10" t="str">
        <x:v>功能需求</x:v>
      </x:c>
      <x:c r="F693" s="10" t="str">
        <x:v>P1</x:v>
      </x:c>
      <x:c r="G693" s="9" t="str">
        <x:v>验证角色名称重复</x:v>
      </x:c>
      <x:c r="H693" s="9" t="str">
        <x:v>角色名称唯一</x:v>
      </x:c>
      <x:c r="I693" s="9" t="str">
        <x:v>1. 超级管理员账号可用
2. 已有另一个同名角色</x:v>
      </x:c>
      <x:c r="J693" s="9" t="str">
        <x:v>1. 打开角色编辑
2. 输入角色名称为已有角色名称
3. 点击保存</x:v>
      </x:c>
      <x:c r="K693" s="9" t="str">
        <x:v>重复角色名称不能保存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规则：BR-f8f17d9fa5252d84
3. 未动态验证</x:v>
      </x:c>
    </x:row>
    <x:row r="694" ht="145" customHeight="1">
      <x:c r="A694" s="10" t="n">
        <x:v>693</x:v>
      </x:c>
      <x:c r="B694" s="10" t="str">
        <x:v>ADMIN-12-0017</x:v>
      </x:c>
      <x:c r="C694" s="10" t="str">
        <x:v>系统配置</x:v>
      </x:c>
      <x:c r="D694" s="10" t="str">
        <x:v>角色编辑</x:v>
      </x:c>
      <x:c r="E694" s="10" t="str">
        <x:v>功能需求</x:v>
      </x:c>
      <x:c r="F694" s="10" t="str">
        <x:v>P1</x:v>
      </x:c>
      <x:c r="G694" s="9" t="str">
        <x:v>验证父权限带动子权限</x:v>
      </x:c>
      <x:c r="H694" s="9" t="str">
        <x:v>父子权限勾选</x:v>
      </x:c>
      <x:c r="I694" s="9" t="str">
        <x:v>1. 超级管理员账号可用
2. 某父菜单有3个叶子权限且均未选</x:v>
      </x:c>
      <x:c r="J694" s="9" t="str">
        <x:v>1. 打开角色编辑
2. 勾选该父菜单</x:v>
      </x:c>
      <x:c r="K694" s="9" t="str">
        <x:v>该父菜单的3个叶子权限全部勾选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规则：BR-b72d068c26cc135f
3. 未动态验证</x:v>
      </x:c>
    </x:row>
    <x:row r="695" ht="145" customHeight="1">
      <x:c r="A695" s="10" t="n">
        <x:v>694</x:v>
      </x:c>
      <x:c r="B695" s="10" t="str">
        <x:v>ADMIN-12-0018</x:v>
      </x:c>
      <x:c r="C695" s="10" t="str">
        <x:v>系统配置</x:v>
      </x:c>
      <x:c r="D695" s="10" t="str">
        <x:v>角色编辑</x:v>
      </x:c>
      <x:c r="E695" s="10" t="str">
        <x:v>功能需求</x:v>
      </x:c>
      <x:c r="F695" s="10" t="str">
        <x:v>P1</x:v>
      </x:c>
      <x:c r="G695" s="9" t="str">
        <x:v>验证取消全部子权限</x:v>
      </x:c>
      <x:c r="H695" s="9" t="str">
        <x:v>父权限取消联动</x:v>
      </x:c>
      <x:c r="I695" s="9" t="str">
        <x:v>1. 超级管理员账号可用
2. 某父菜单及其全部子权限已勾选</x:v>
      </x:c>
      <x:c r="J695" s="9" t="str">
        <x:v>1. 打开角色编辑
2. 取消勾选全部子权限</x:v>
      </x:c>
      <x:c r="K695" s="9" t="str">
        <x:v>父菜单同步取消勾选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规则：BR-04a5e324c963b0da
3. 未动态验证</x:v>
      </x:c>
    </x:row>
    <x:row r="696" ht="145" customHeight="1">
      <x:c r="A696" s="10" t="n">
        <x:v>695</x:v>
      </x:c>
      <x:c r="B696" s="10" t="str">
        <x:v>ADMIN-12-0019</x:v>
      </x:c>
      <x:c r="C696" s="10" t="str">
        <x:v>系统配置</x:v>
      </x:c>
      <x:c r="D696" s="10" t="str">
        <x:v>角色编辑</x:v>
      </x:c>
      <x:c r="E696" s="10" t="str">
        <x:v>功能需求</x:v>
      </x:c>
      <x:c r="F696" s="10" t="str">
        <x:v>P1</x:v>
      </x:c>
      <x:c r="G696" s="9" t="str">
        <x:v>验证已选数量按叶子统计</x:v>
      </x:c>
      <x:c r="H696" s="9" t="str">
        <x:v>权限数量计数</x:v>
      </x:c>
      <x:c r="I696" s="9" t="str">
        <x:v>1. 超级管理员账号可用
2. 一个父菜单包含3个叶子权限</x:v>
      </x:c>
      <x:c r="J696" s="9" t="str">
        <x:v>1. 打开角色编辑
2. 勾选该父菜单</x:v>
      </x:c>
      <x:c r="K696" s="9" t="str">
        <x:v>已选择数为3而不是4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规则：BR-370b3cf32acfcc55
3. 未动态验证</x:v>
      </x:c>
    </x:row>
    <x:row r="697" ht="145" customHeight="1">
      <x:c r="A697" s="10" t="n">
        <x:v>696</x:v>
      </x:c>
      <x:c r="B697" s="10" t="str">
        <x:v>ADMIN-12-0020</x:v>
      </x:c>
      <x:c r="C697" s="10" t="str">
        <x:v>系统配置</x:v>
      </x:c>
      <x:c r="D697" s="10" t="str">
        <x:v>角色编辑</x:v>
      </x:c>
      <x:c r="E697" s="10" t="str">
        <x:v>功能需求</x:v>
      </x:c>
      <x:c r="F697" s="10" t="str">
        <x:v>P1</x:v>
      </x:c>
      <x:c r="G697" s="9" t="str">
        <x:v>验证权限全部不选</x:v>
      </x:c>
      <x:c r="H697" s="9" t="str">
        <x:v>权限清空</x:v>
      </x:c>
      <x:c r="I697" s="9" t="str">
        <x:v>1. 超级管理员账号可用
2. 已有多个叶子权限选中</x:v>
      </x:c>
      <x:c r="J697" s="9" t="str">
        <x:v>1. 打开角色编辑
2. 点击全不选</x:v>
      </x:c>
      <x:c r="K697" s="9" t="str">
        <x:v>已选择数显示0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规则：BR-c0f9f658a6697bca
3. 未动态验证</x:v>
      </x:c>
    </x:row>
    <x:row r="698" ht="145" customHeight="1">
      <x:c r="A698" s="10" t="n">
        <x:v>697</x:v>
      </x:c>
      <x:c r="B698" s="10" t="str">
        <x:v>ADMIN-12-0021</x:v>
      </x:c>
      <x:c r="C698" s="10" t="str">
        <x:v>系统配置</x:v>
      </x:c>
      <x:c r="D698" s="10" t="str">
        <x:v>角色编辑</x:v>
      </x:c>
      <x:c r="E698" s="10" t="str">
        <x:v>功能需求</x:v>
      </x:c>
      <x:c r="F698" s="10" t="str">
        <x:v>P1</x:v>
      </x:c>
      <x:c r="G698" s="9" t="str">
        <x:v>验证内置角色全权限只读</x:v>
      </x:c>
      <x:c r="H698" s="9" t="str">
        <x:v>超级管理员权限保护</x:v>
      </x:c>
      <x:c r="I698" s="9" t="str">
        <x:v>1. 超级管理员账号可用
2. 当前为内置超级管理员角色</x:v>
      </x:c>
      <x:c r="J698" s="9" t="str">
        <x:v>1. 打开角色编辑</x:v>
      </x:c>
      <x:c r="K698" s="9" t="str">
        <x:v>全部权限已选且不可修改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规则：BR-f0e213730adc582d
3. 未动态验证</x:v>
      </x:c>
    </x:row>
    <x:row r="699" ht="85" customHeight="1">
      <x:c r="A699" s="10" t="n">
        <x:v>698</x:v>
      </x:c>
      <x:c r="B699" s="10" t="str">
        <x:v>ADMIN-12-0022</x:v>
      </x:c>
      <x:c r="C699" s="10" t="str">
        <x:v>系统配置</x:v>
      </x:c>
      <x:c r="D699" s="10" t="str">
        <x:v>角色编辑</x:v>
      </x:c>
      <x:c r="E699" s="10" t="str">
        <x:v>功能需求</x:v>
      </x:c>
      <x:c r="F699" s="10" t="str">
        <x:v>P1</x:v>
      </x:c>
      <x:c r="G699" s="9" t="str">
        <x:v>验证保存角色为停用</x:v>
      </x:c>
      <x:c r="H699" s="9" t="str">
        <x:v>角色停用状态</x:v>
      </x:c>
      <x:c r="I699" s="9" t="str">
        <x:v>1. 超级管理员账号可用
2. 目标角色存在，其他字段合法</x:v>
      </x:c>
      <x:c r="J699" s="9" t="str">
        <x:v>1. 打开角色编辑
2. 选择角色状态为停用
3. 点击保存
4. 打开该角色详情</x:v>
      </x:c>
      <x:c r="K699" s="9" t="str">
        <x:v>角色状态显示停用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来源（当前证据）：liveshow-proto/MainBasis/统一需求文档.md；位置：第3484行、第3488行 REQ-e526fd25c280
2. 规则：BR-0b033b24218334c6
3. 未动态验证</x:v>
      </x:c>
    </x:row>
    <x:row r="700" ht="130" customHeight="1">
      <x:c r="A700" s="10" t="n">
        <x:v>699</x:v>
      </x:c>
      <x:c r="B700" s="10" t="str">
        <x:v>ADMIN-12-0023</x:v>
      </x:c>
      <x:c r="C700" s="10" t="str">
        <x:v>系统配置</x:v>
      </x:c>
      <x:c r="D700" s="10" t="str">
        <x:v>角色管理</x:v>
      </x:c>
      <x:c r="E700" s="10" t="str">
        <x:v>功能需求</x:v>
      </x:c>
      <x:c r="F700" s="10" t="str">
        <x:v>P1</x:v>
      </x:c>
      <x:c r="G700" s="9" t="str">
        <x:v>验证角色关联账号计数</x:v>
      </x:c>
      <x:c r="H700" s="9" t="str">
        <x:v>角色绑定人数</x:v>
      </x:c>
      <x:c r="I700" s="9" t="str">
        <x:v>1. 超级管理员账号可用
2. 当前角色关联2个后台账号</x:v>
      </x:c>
      <x:c r="J700" s="9" t="str">
        <x:v>1. 打开角色管理</x:v>
      </x:c>
      <x:c r="K700" s="9" t="str">
        <x:v>关联账号数显示2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规则：BR-48c98164e53efc0c
3. 未动态验证</x:v>
      </x:c>
    </x:row>
    <x:row r="701" ht="130" customHeight="1">
      <x:c r="A701" s="10" t="n">
        <x:v>700</x:v>
      </x:c>
      <x:c r="B701" s="10" t="str">
        <x:v>ADMIN-12-0024</x:v>
      </x:c>
      <x:c r="C701" s="10" t="str">
        <x:v>系统配置</x:v>
      </x:c>
      <x:c r="D701" s="10" t="str">
        <x:v>角色管理</x:v>
      </x:c>
      <x:c r="E701" s="10" t="str">
        <x:v>功能需求</x:v>
      </x:c>
      <x:c r="F701" s="10" t="str">
        <x:v>P1</x:v>
      </x:c>
      <x:c r="G701" s="9" t="str">
        <x:v>验证内置角色不可停用</x:v>
      </x:c>
      <x:c r="H701" s="9" t="str">
        <x:v>内置角色保护</x:v>
      </x:c>
      <x:c r="I701" s="9" t="str">
        <x:v>1. 超级管理员账号可用
2. 目标为内置超级管理员角色</x:v>
      </x:c>
      <x:c r="J701" s="9" t="str">
        <x:v>1. 打开角色管理</x:v>
      </x:c>
      <x:c r="K701" s="9" t="str">
        <x:v>角色不可修改或停用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规则：BR-55b1254c9360a5c9
3. 未动态验证</x:v>
      </x:c>
    </x:row>
    <x:row r="702" ht="130" customHeight="1">
      <x:c r="A702" s="10" t="n">
        <x:v>701</x:v>
      </x:c>
      <x:c r="B702" s="10" t="str">
        <x:v>ADMIN-12-0025</x:v>
      </x:c>
      <x:c r="C702" s="10" t="str">
        <x:v>系统配置</x:v>
      </x:c>
      <x:c r="D702" s="10" t="str">
        <x:v>角色管理</x:v>
      </x:c>
      <x:c r="E702" s="10" t="str">
        <x:v>功能需求</x:v>
      </x:c>
      <x:c r="F702" s="10" t="str">
        <x:v>P1</x:v>
      </x:c>
      <x:c r="G702" s="9" t="str">
        <x:v>验证停用自定义角色确认</x:v>
      </x:c>
      <x:c r="H702" s="9" t="str">
        <x:v>角色停用影响范围</x:v>
      </x:c>
      <x:c r="I702" s="9" t="str">
        <x:v>1. 超级管理员账号可用
2. 自定义角色关联2个账号</x:v>
      </x:c>
      <x:c r="J702" s="9" t="str">
        <x:v>1. 打开角色管理
2. 点击停用</x:v>
      </x:c>
      <x:c r="K702" s="9" t="str">
        <x:v>确认信息包含受影响的2个账号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规则：BR-1840271e16de5d97
3. 未动态验证</x:v>
      </x:c>
    </x:row>
    <x:row r="703" ht="130" customHeight="1">
      <x:c r="A703" s="10" t="n">
        <x:v>702</x:v>
      </x:c>
      <x:c r="B703" s="10" t="str">
        <x:v>ADMIN-12-0026</x:v>
      </x:c>
      <x:c r="C703" s="10" t="str">
        <x:v>系统配置</x:v>
      </x:c>
      <x:c r="D703" s="10" t="str">
        <x:v>角色管理</x:v>
      </x:c>
      <x:c r="E703" s="10" t="str">
        <x:v>功能需求</x:v>
      </x:c>
      <x:c r="F703" s="10" t="str">
        <x:v>P1</x:v>
      </x:c>
      <x:c r="G703" s="9" t="str">
        <x:v>验证停用自定义角色</x:v>
      </x:c>
      <x:c r="H703" s="9" t="str">
        <x:v>自定义角色停用</x:v>
      </x:c>
      <x:c r="I703" s="9" t="str">
        <x:v>1. 超级管理员账号可用
2. 目标角色已启用</x:v>
      </x:c>
      <x:c r="J703" s="9" t="str">
        <x:v>1. 打开角色管理
2. 点击停用
3. 确认影响账号</x:v>
      </x:c>
      <x:c r="K703" s="9" t="str">
        <x:v>角色状态显示停用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规则：BR-6b314438f956daa9
3. 未动态验证</x:v>
      </x:c>
    </x:row>
    <x:row r="704" ht="85" customHeight="1">
      <x:c r="A704" s="10" t="n">
        <x:v>703</x:v>
      </x:c>
      <x:c r="B704" s="10" t="str">
        <x:v>ADMIN-12-0027</x:v>
      </x:c>
      <x:c r="C704" s="10" t="str">
        <x:v>系统配置</x:v>
      </x:c>
      <x:c r="D704" s="10" t="str">
        <x:v>角色管理</x:v>
      </x:c>
      <x:c r="E704" s="10" t="str">
        <x:v>功能需求</x:v>
      </x:c>
      <x:c r="F704" s="10" t="str">
        <x:v>P1</x:v>
      </x:c>
      <x:c r="G704" s="9" t="str">
        <x:v>验证后台角色独立编号</x:v>
      </x:c>
      <x:c r="H704" s="9" t="str">
        <x:v>角色ID唯一性</x:v>
      </x:c>
      <x:c r="I704" s="9" t="str">
        <x:v>1. 超级管理员账号可用
2. 已新建两个角色</x:v>
      </x:c>
      <x:c r="J704" s="9" t="str">
        <x:v>1. 打开角色管理</x:v>
      </x:c>
      <x:c r="K704" s="9" t="str">
        <x:v>两个角色ID不同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来源（当前证据）：liveshow-proto/MainBasis/统一需求文档.md；位置：第3474行、第3476行 REQ-b6e2cc2a69a9
2. 规则：BR-6c8682664d99c320
3. 未动态验证</x:v>
      </x:c>
    </x:row>
  </x:sheetData>
  <x:dataValidations count="3">
    <x:dataValidation type="list" sqref="E2:E704">
      <x:formula1>"功能需求,业务流程,逻辑校验,异常用例"</x:formula1>
    </x:dataValidation>
    <x:dataValidation type="list" sqref="F2:F704">
      <x:formula1>"P0,P1,P2,P3"</x:formula1>
    </x:dataValidation>
    <x:dataValidation type="list" sqref="M2:M70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8086a498946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运营配置中，升级勋章自动替换发生时的结果判定</x:v>
      </x:c>
      <x:c r="H2" s="9" t="str">
        <x:v>业务规则</x:v>
      </x:c>
      <x:c r="I2" s="9" t="str">
        <x:v>等级变化后是否自动替换该类型勋章？</x:v>
      </x:c>
      <x:c r="J2" s="9" t="str">
        <x:v>A. 立即自动替换
B. 获得新勋章后保留原佩戴状态</x:v>
      </x:c>
      <x:c r="K2" s="9" t="str">
        <x:v>建议 A：采用首项所述明确口径，便于准备数据和复算；产品确认前仅作为候选，不据此验收。</x:v>
      </x:c>
      <x:c r="L2" s="12" t="str"/>
      <x:c r="M2" s="12" t="str"/>
      <x:c r="N2" s="10" t="str">
        <x:v>1. liveshow-proto/MainBasis/需求待确认清单.md 第18行：- [PENDING-badge-auto] 升级勋章自动替换：等级变化后是否自动替换该类型勋章？ 影响端：用户App、管理后台。依据：AN-f205606825f1。</x:v>
      </x:c>
      <x:c r="O2" s="9" t="str">
        <x:v>1. 管理后台：运营配置
2. 仅隔离该未确认分支，其他已确认规则继续测试</x:v>
      </x:c>
      <x:c r="P2" s="9" t="str"/>
      <x:c r="Q2" s="9" t="str">
        <x:v>1. 补充升级勋章自动替换在已选方案下的正常、边界及异常结果</x:v>
      </x:c>
      <x:c r="R2" s="9" t="str">
        <x:v>产品</x:v>
      </x:c>
      <x:c r="S2" s="9" t="str">
        <x:v>版本验收前</x:v>
      </x:c>
      <x:c r="T2" s="9" t="str">
        <x:v>待确认</x:v>
      </x:c>
    </x:row>
    <x:row r="3" ht="10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运营配置中，等级勋章图片缺失发生时的结果判定</x:v>
      </x:c>
      <x:c r="H3" s="9" t="str">
        <x:v>异常处理</x:v>
      </x:c>
      <x:c r="I3" s="9" t="str">
        <x:v>等级勋章图无法加载时客户端显示什么？</x:v>
      </x:c>
      <x:c r="J3" s="9" t="str">
        <x:v>A. 显示默认等级图
B. 只显示等级文字</x:v>
      </x:c>
      <x:c r="K3" s="9" t="str">
        <x:v>建议 A：采用首项所述明确口径，便于准备数据和复算；产品确认前仅作为候选，不据此验收。</x:v>
      </x:c>
      <x:c r="L3" s="12" t="str"/>
      <x:c r="M3" s="12" t="str"/>
      <x:c r="N3" s="10" t="str">
        <x:v>1. liveshow-proto/MainBasis/需求待确认清单.md 第154行：- [PENDING-badge-fallback] 等级勋章图片缺失：等级勋章图无法加载时客户端显示什么？ 影响端：用户App、管理后台。依据：AN-d8d7a1c44fc2。</x:v>
      </x:c>
      <x:c r="O3" s="9" t="str">
        <x:v>1. 管理后台：运营配置
2. 仅隔离该未确认分支，其他已确认规则继续测试</x:v>
      </x:c>
      <x:c r="P3" s="9" t="str"/>
      <x:c r="Q3" s="9" t="str">
        <x:v>1. 补充等级勋章图片缺失在已选方案下的正常、边界及异常结果</x:v>
      </x:c>
      <x:c r="R3" s="9" t="str">
        <x:v>产品</x:v>
      </x:c>
      <x:c r="S3" s="9" t="str">
        <x:v>版本验收前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运营配置中，等级勋章展示位置发生时的结果判定</x:v>
      </x:c>
      <x:c r="H4" s="9" t="str">
        <x:v>业务规则</x:v>
      </x:c>
      <x:c r="I4" s="9" t="str">
        <x:v>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建议 A：采用首项所述明确口径，便于准备数据和复算；产品确认前仅作为候选，不据此验收。</x:v>
      </x:c>
      <x:c r="L4" s="12" t="str"/>
      <x:c r="M4" s="12" t="str"/>
      <x:c r="N4" s="10" t="str">
        <x:v>1. liveshow-proto/MainBasis/需求待确认清单.md 第14行：- [PENDING-badge-location] 等级勋章展示位置：等级勋章在用户App的哪些位置展示？ 影响端：用户App、管理后台。依据：AN-f205606825f1。</x:v>
      </x:c>
      <x:c r="O4" s="9" t="str">
        <x:v>1. 管理后台：运营配置
2. 仅隔离该未确认分支，其他已确认规则继续测试</x:v>
      </x:c>
      <x:c r="P4" s="9" t="str"/>
      <x:c r="Q4" s="9" t="str">
        <x:v>1. 补充等级勋章展示位置在已选方案下的正常、边界及异常结果</x:v>
      </x:c>
      <x:c r="R4" s="9" t="str">
        <x:v>产品</x:v>
      </x:c>
      <x:c r="S4" s="9" t="str">
        <x:v>版本验收前</x:v>
      </x:c>
      <x:c r="T4" s="9" t="str">
        <x:v>待确认</x:v>
      </x:c>
    </x:row>
    <x:row r="5" ht="100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运营配置中，等级勋章图刷新发生时的结果判定</x:v>
      </x:c>
      <x:c r="H5" s="9" t="str">
        <x:v>业务规则</x:v>
      </x:c>
      <x:c r="I5" s="9" t="str">
        <x:v>后台修改等级勋章图后，客户端何时刷新？</x:v>
      </x:c>
      <x:c r="J5" s="9" t="str">
        <x:v>A. 保存后下一次加载资料时显示新图
B. 仅重新登录后显示新图
C. 最多缓存 5 分钟，缓存过期后的首次加载显示新图</x:v>
      </x:c>
      <x:c r="K5" s="9" t="str">
        <x:v>建议 A：采用首项所述明确口径，便于准备数据和复算；产品确认前仅作为候选，不据此验收。</x:v>
      </x:c>
      <x:c r="L5" s="12" t="str"/>
      <x:c r="M5" s="12" t="str"/>
      <x:c r="N5" s="10" t="str">
        <x:v>1. liveshow-proto/MainBasis/需求待确认清单.md 第150行：- [PENDING-badge-refresh] 等级勋章图刷新：后台修改等级勋章图后，客户端何时刷新？ 影响端：用户App、管理后台。依据：AN-10e4cbde5c33。</x:v>
      </x:c>
      <x:c r="O5" s="9" t="str">
        <x:v>1. 管理后台：运营配置
2. 仅隔离该未确认分支，其他已确认规则继续测试</x:v>
      </x:c>
      <x:c r="P5" s="9" t="str"/>
      <x:c r="Q5" s="9" t="str">
        <x:v>1. 补充等级勋章图刷新在已选方案下的正常、边界及异常结果</x:v>
      </x:c>
      <x:c r="R5" s="9" t="str">
        <x:v>产品</x:v>
      </x:c>
      <x:c r="S5" s="9" t="str">
        <x:v>版本验收前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运营配置中，等级勋章资源限制发生时的结果判定</x:v>
      </x:c>
      <x:c r="H6" s="9" t="str">
        <x:v>字段与数据校验</x:v>
      </x:c>
      <x:c r="I6" s="9" t="str">
        <x:v>等级勋章图片允许哪些文件格式？</x:v>
      </x:c>
      <x:c r="J6" s="9" t="str">
        <x:v>A. 只允许 PNG
B. 允许 PNG、JPG、WebP</x:v>
      </x:c>
      <x:c r="K6" s="9" t="str">
        <x:v>建议 A：采用首项所述明确口径，便于准备数据和复算；产品确认前仅作为候选，不据此验收。</x:v>
      </x:c>
      <x:c r="L6" s="12" t="str"/>
      <x:c r="M6" s="12" t="str"/>
      <x:c r="N6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6" s="9" t="str">
        <x:v>1. 管理后台：运营配置
2. 仅隔离该未确认分支，其他已确认规则继续测试</x:v>
      </x:c>
      <x:c r="P6" s="9" t="str"/>
      <x:c r="Q6" s="9" t="str">
        <x:v>1. 补充等级勋章资源限制在已选方案下的正常、边界及异常结果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100" customHeight="1">
      <x:c r="A7" s="10" t="str">
        <x:v>Q-006</x:v>
      </x:c>
      <x:c r="B7" s="10" t="str">
        <x:v>RQ-005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运营配置中，等级勋章资源限制发生时的结果判定</x:v>
      </x:c>
      <x:c r="H7" s="9" t="str">
        <x:v>字段与数据校验</x:v>
      </x:c>
      <x:c r="I7" s="9" t="str">
        <x:v>等级勋章图允许哪些像素尺寸？</x:v>
      </x:c>
      <x:c r="J7" s="9" t="str">
        <x:v>A. 固定 128×128 像素
B. 宽高均为 64 至 512 像素且必须正方形</x:v>
      </x:c>
      <x:c r="K7" s="9" t="str">
        <x:v>建议 A：采用首项所述明确口径，便于准备数据和复算；产品确认前仅作为候选，不据此验收。</x:v>
      </x:c>
      <x:c r="L7" s="12" t="str"/>
      <x:c r="M7" s="12" t="str"/>
      <x:c r="N7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7" s="9" t="str">
        <x:v>1. 管理后台：运营配置
2. 仅隔离该未确认分支，其他已确认规则继续测试</x:v>
      </x:c>
      <x:c r="P7" s="9" t="str"/>
      <x:c r="Q7" s="9" t="str">
        <x:v>1. 等级勋章图允许哪些像素尺寸的边界与失败分支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100" customHeight="1">
      <x:c r="A8" s="10" t="str">
        <x:v>Q-007</x:v>
      </x:c>
      <x:c r="B8" s="10" t="str">
        <x:v>RQ-005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运营配置中，等级勋章资源限制发生时的结果判定</x:v>
      </x:c>
      <x:c r="H8" s="9" t="str">
        <x:v>字段与数据校验</x:v>
      </x:c>
      <x:c r="I8" s="9" t="str">
        <x:v>单张等级勋章图文件大小上限是多少？</x:v>
      </x:c>
      <x:c r="J8" s="9" t="str">
        <x:v>A. 不超过 2 MiB
B. 不超过 5 MiB</x:v>
      </x:c>
      <x:c r="K8" s="9" t="str">
        <x:v>建议 A：采用首项所述明确口径，便于准备数据和复算；产品确认前仅作为候选，不据此验收。</x:v>
      </x:c>
      <x:c r="L8" s="12" t="str"/>
      <x:c r="M8" s="12" t="str"/>
      <x:c r="N8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8" s="9" t="str">
        <x:v>1. 管理后台：运营配置
2. 仅隔离该未确认分支，其他已确认规则继续测试</x:v>
      </x:c>
      <x:c r="P8" s="9" t="str"/>
      <x:c r="Q8" s="9" t="str">
        <x:v>1. 单张等级勋章图文件大小上限是多少的边界与失败分支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100" customHeight="1">
      <x:c r="A9" s="10" t="str">
        <x:v>Q-008</x:v>
      </x:c>
      <x:c r="B9" s="10" t="str">
        <x:v>RQ-006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运营配置中，等级勋章手动佩戴发生时的结果判定</x:v>
      </x:c>
      <x:c r="H9" s="9" t="str">
        <x:v>业务规则</x:v>
      </x:c>
      <x:c r="I9" s="9" t="str">
        <x:v>等级勋章是否允许用户手动佩戴和卸下？</x:v>
      </x:c>
      <x:c r="J9" s="9" t="str">
        <x:v>A. 自动展示且不能手动操作
B. 可手动佩戴和卸下</x:v>
      </x:c>
      <x:c r="K9" s="9" t="str">
        <x:v>建议 A：采用首项所述明确口径，便于准备数据和复算；产品确认前仅作为候选，不据此验收。</x:v>
      </x:c>
      <x:c r="L9" s="12" t="str"/>
      <x:c r="M9" s="12" t="str"/>
      <x:c r="N9" s="10" t="str">
        <x:v>1. liveshow-proto/MainBasis/需求待确认清单.md 第22行：- [PENDING-badge-wear] 等级勋章手动佩戴：等级勋章是否允许用户手动佩戴和卸下？ 影响端：用户App、管理后台。依据：AN-f205606825f1。</x:v>
      </x:c>
      <x:c r="O9" s="9" t="str">
        <x:v>1. 管理后台：运营配置
2. 仅隔离该未确认分支，其他已确认规则继续测试</x:v>
      </x:c>
      <x:c r="P9" s="9" t="str"/>
      <x:c r="Q9" s="9" t="str">
        <x:v>1. 补充等级勋章手动佩戴在已选方案下的正常、边界及异常结果</x:v>
      </x:c>
      <x:c r="R9" s="9" t="str">
        <x:v>产品</x:v>
      </x:c>
      <x:c r="S9" s="9" t="str">
        <x:v>版本验收前</x:v>
      </x:c>
      <x:c r="T9" s="9" t="str">
        <x:v>待确认</x:v>
      </x:c>
    </x:row>
    <x:row r="10" ht="145" customHeight="1">
      <x:c r="A10" s="10" t="str">
        <x:v>Q-009</x:v>
      </x:c>
      <x:c r="B10" s="10" t="str">
        <x:v>RQ-007</x:v>
      </x:c>
      <x:c r="C10" s="10" t="str"/>
      <x:c r="D10" s="10" t="str"/>
      <x:c r="E10" s="10" t="str">
        <x:v>部分阻塞</x:v>
      </x:c>
      <x:c r="F10" s="10" t="str">
        <x:v>数据分析</x:v>
      </x:c>
      <x:c r="G10" s="9" t="str">
        <x:v>数据分析中，业务日和周界限发生时的结果判定</x:v>
      </x:c>
      <x:c r="H10" s="9" t="str">
        <x:v>计算与统计口径</x:v>
      </x:c>
      <x:c r="I10" s="9" t="str">
        <x:v>签到、任务、榜单、直播有效天和报表，是否统一采用印尼雅加达时间 UTC+7？</x:v>
      </x:c>
      <x:c r="J10" s="9" t="str">
        <x:v>A. 全部统一采用 UTC+7，按该时区切分自然日
B. 全部统一采用 UTC，按 UTC 切分自然日
C. 全部统一采用 UTC+8，按该时区切分自然日</x:v>
      </x:c>
      <x:c r="K10" s="9" t="str">
        <x:v>建议 A：采用首项所述明确口径，便于准备数据和复算；产品确认前仅作为候选，不据此验收。</x:v>
      </x:c>
      <x:c r="L10" s="12" t="str"/>
      <x:c r="M10" s="12" t="str"/>
      <x:c r="N10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10" s="9" t="str">
        <x:v>1. 管理后台：数据分析
2. 仅隔离该未确认分支，其他已确认规则继续测试</x:v>
      </x:c>
      <x:c r="P10" s="9" t="str"/>
      <x:c r="Q10" s="9" t="str">
        <x:v>1. 补充业务日和周界限在已选方案下的正常、边界及异常结果</x:v>
      </x:c>
      <x:c r="R10" s="9" t="str">
        <x:v>产品</x:v>
      </x:c>
      <x:c r="S10" s="9" t="str">
        <x:v>版本验收前</x:v>
      </x:c>
      <x:c r="T10" s="9" t="str">
        <x:v>待确认</x:v>
      </x:c>
    </x:row>
    <x:row r="11" ht="145" customHeight="1">
      <x:c r="A11" s="10" t="str">
        <x:v>Q-010</x:v>
      </x:c>
      <x:c r="B11" s="10" t="str">
        <x:v>RQ-007</x:v>
      </x:c>
      <x:c r="C11" s="10" t="str"/>
      <x:c r="D11" s="10" t="str"/>
      <x:c r="E11" s="10" t="str">
        <x:v>部分阻塞</x:v>
      </x:c>
      <x:c r="F11" s="10" t="str">
        <x:v>数据分析</x:v>
      </x:c>
      <x:c r="G11" s="9" t="str">
        <x:v>数据分析中，业务日和周界限发生时的结果判定</x:v>
      </x:c>
      <x:c r="H11" s="9" t="str">
        <x:v>计算与统计口径</x:v>
      </x:c>
      <x:c r="I11" s="9" t="str">
        <x:v>任务的统计周从哪一天开始？</x:v>
      </x:c>
      <x:c r="J11" s="9" t="str">
        <x:v>A. 周一 00:00 至下周一 00:00 前
B. 周日 00:00 至下周日 00:00 前</x:v>
      </x:c>
      <x:c r="K11" s="9" t="str">
        <x:v>建议 A：采用首项所述明确口径，便于准备数据和复算；产品确认前仅作为候选，不据此验收。</x:v>
      </x:c>
      <x:c r="L11" s="12" t="str"/>
      <x:c r="M11" s="12" t="str"/>
      <x:c r="N11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11" s="9" t="str">
        <x:v>1. 管理后台：数据分析
2. 仅隔离该未确认分支，其他已确认规则继续测试</x:v>
      </x:c>
      <x:c r="P11" s="9" t="str"/>
      <x:c r="Q11" s="9" t="str">
        <x:v>1. 任务的统计周从哪一天开始的边界与失败分支</x:v>
      </x:c>
      <x:c r="R11" s="9" t="str">
        <x:v>产品</x:v>
      </x:c>
      <x:c r="S11" s="9" t="str">
        <x:v>版本验收前</x:v>
      </x:c>
      <x:c r="T11" s="9" t="str">
        <x:v>待确认</x:v>
      </x:c>
    </x:row>
    <x:row r="12" ht="100" customHeight="1">
      <x:c r="A12" s="10" t="str">
        <x:v>Q-011</x:v>
      </x:c>
      <x:c r="B12" s="10" t="str">
        <x:v>RQ-008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运营配置中，补签发生时的结果判定</x:v>
      </x:c>
      <x:c r="H12" s="9" t="str">
        <x:v>业务规则</x:v>
      </x:c>
      <x:c r="I12" s="9" t="str">
        <x:v>是否支持对漏签日期进行补签？</x:v>
      </x:c>
      <x:c r="J12" s="9" t="str">
        <x:v>A. 不支持补签
B. 支持按配置补签</x:v>
      </x:c>
      <x:c r="K12" s="9" t="str">
        <x:v>建议 A：采用首项所述明确口径，便于准备数据和复算；产品确认前仅作为候选，不据此验收。</x:v>
      </x:c>
      <x:c r="L12" s="12" t="str"/>
      <x:c r="M12" s="12" t="str"/>
      <x:c r="N12" s="10" t="str">
        <x:v>1. liveshow-proto/MainBasis/需求待确认清单.md 第90行：- [PENDING-checkin-repair] 补签：是否支持对漏签日期进行补签？ 影响端：用户App、管理后台。依据：AN-5ea05985e150。</x:v>
      </x:c>
      <x:c r="O12" s="9" t="str">
        <x:v>1. 管理后台：运营配置
2. 仅隔离该未确认分支，其他已确认规则继续测试</x:v>
      </x:c>
      <x:c r="P12" s="9" t="str"/>
      <x:c r="Q12" s="9" t="str">
        <x:v>1. 补充补签在已选方案下的正常、边界及异常结果</x:v>
      </x:c>
      <x:c r="R12" s="9" t="str">
        <x:v>产品</x:v>
      </x:c>
      <x:c r="S12" s="9" t="str">
        <x:v>版本验收前</x:v>
      </x:c>
      <x:c r="T12" s="9" t="str">
        <x:v>待确认</x:v>
      </x:c>
    </x:row>
    <x:row r="13" ht="115" customHeight="1">
      <x:c r="A13" s="10" t="str">
        <x:v>Q-012</x:v>
      </x:c>
      <x:c r="B13" s="10" t="str">
        <x:v>RQ-009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运营配置中，粉丝团累计收礼归属发生时的结果判定</x:v>
      </x:c>
      <x:c r="H13" s="9" t="str">
        <x:v>计算与统计口径</x:v>
      </x:c>
      <x:c r="I13" s="9" t="str">
        <x:v>粉丝团等级累计收礼是否只计有效团员在入团期间的赠礼？</x:v>
      </x:c>
      <x:c r="J13" s="9" t="str">
        <x:v>A. 只计有效团员在团期间赠礼
B. 计入该主播的全部有效收礼</x:v>
      </x:c>
      <x:c r="K13" s="9" t="str">
        <x:v>建议 A：采用首项所述明确口径，便于准备数据和复算；产品确认前仅作为候选，不据此验收。</x:v>
      </x:c>
      <x:c r="L13" s="12" t="str"/>
      <x:c r="M13" s="12" t="str"/>
      <x:c r="N13" s="10" t="str">
        <x:v>1. liveshow-proto/MainBasis/需求待确认清单.md 第134行：- [PENDING-club-level-attribution] 粉丝团累计收礼归属：粉丝团等级累计收礼是否只计有效团员在入团期间的赠礼？ 影响端：用户App、管理后台。依据：AN-3839cfde3299。</x:v>
      </x:c>
      <x:c r="O13" s="9" t="str">
        <x:v>1. 管理后台：运营配置
2. 仅隔离该未确认分支，其他已确认规则继续测试</x:v>
      </x:c>
      <x:c r="P13" s="9" t="str"/>
      <x:c r="Q13" s="9" t="str">
        <x:v>1. 补充粉丝团累计收礼归属在已选方案下的正常、边界及异常结果</x:v>
      </x:c>
      <x:c r="R13" s="9" t="str">
        <x:v>产品</x:v>
      </x:c>
      <x:c r="S13" s="9" t="str">
        <x:v>版本验收前</x:v>
      </x:c>
      <x:c r="T13" s="9" t="str">
        <x:v>待确认</x:v>
      </x:c>
    </x:row>
    <x:row r="14" ht="115" customHeight="1">
      <x:c r="A14" s="10" t="str">
        <x:v>Q-013</x:v>
      </x:c>
      <x:c r="B14" s="10" t="str">
        <x:v>RQ-010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数据分析中，金币和收益精度发生时的结果判定</x:v>
      </x:c>
      <x:c r="H14" s="9" t="str">
        <x:v>计算与统计口径</x:v>
      </x:c>
      <x:c r="I14" s="9" t="str">
        <x:v>不足 1 金币的单笔幸运收益，采用哪种存储与累计口径？</x:v>
      </x:c>
      <x:c r="J14" s="9" t="str">
        <x:v>A. 每笔截断为整数后累计
B. 保留至 6 位小数，累计后再按展示精度显示
C. 每笔四舍五入为整数后累计</x:v>
      </x:c>
      <x:c r="K14" s="9" t="str">
        <x:v>建议 A：采用首项所述明确口径，便于准备数据和复算；产品确认前仅作为候选，不据此验收。</x:v>
      </x:c>
      <x:c r="L14" s="12" t="str"/>
      <x:c r="M14" s="12" t="str"/>
      <x:c r="N14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14" s="9" t="str">
        <x:v>1. 管理后台：数据分析
2. 仅隔离该未确认分支，其他已确认规则继续测试</x:v>
      </x:c>
      <x:c r="P14" s="9" t="str"/>
      <x:c r="Q14" s="9" t="str">
        <x:v>1. 补充金币和收益精度在已选方案下的正常、边界及异常结果</x:v>
      </x:c>
      <x:c r="R14" s="9" t="str">
        <x:v>产品</x:v>
      </x:c>
      <x:c r="S14" s="9" t="str">
        <x:v>版本验收前</x:v>
      </x:c>
      <x:c r="T14" s="9" t="str">
        <x:v>待确认</x:v>
      </x:c>
    </x:row>
    <x:row r="15" ht="115" customHeight="1">
      <x:c r="A15" s="10" t="str">
        <x:v>Q-014</x:v>
      </x:c>
      <x:c r="B15" s="10" t="str">
        <x:v>RQ-010</x:v>
      </x:c>
      <x:c r="C15" s="10" t="str"/>
      <x:c r="D15" s="10" t="str"/>
      <x:c r="E15" s="10" t="str">
        <x:v>部分阻塞</x:v>
      </x:c>
      <x:c r="F15" s="10" t="str">
        <x:v>数据分析</x:v>
      </x:c>
      <x:c r="G15" s="9" t="str">
        <x:v>数据分析中，金币和收益精度发生时的结果判定</x:v>
      </x:c>
      <x:c r="H15" s="9" t="str">
        <x:v>计算与统计口径</x:v>
      </x:c>
      <x:c r="I15" s="9" t="str">
        <x:v>金币收益含小数时，页面显示几位小数？</x:v>
      </x:c>
      <x:c r="J15" s="9" t="str">
        <x:v>A. 显示 2 位小数，四舍五入
B. 显示 6 位小数，末尾零省略</x:v>
      </x:c>
      <x:c r="K15" s="9" t="str">
        <x:v>建议 A：采用首项所述明确口径，便于准备数据和复算；产品确认前仅作为候选，不据此验收。</x:v>
      </x:c>
      <x:c r="L15" s="12" t="str"/>
      <x:c r="M15" s="12" t="str"/>
      <x:c r="N15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15" s="9" t="str">
        <x:v>1. 管理后台：数据分析
2. 仅隔离该未确认分支，其他已确认规则继续测试</x:v>
      </x:c>
      <x:c r="P15" s="9" t="str"/>
      <x:c r="Q15" s="9" t="str">
        <x:v>1. 金币收益含小数时，页面显示几位小数的边界与失败分支</x:v>
      </x:c>
      <x:c r="R15" s="9" t="str">
        <x:v>产品</x:v>
      </x:c>
      <x:c r="S15" s="9" t="str">
        <x:v>版本验收前</x:v>
      </x:c>
      <x:c r="T15" s="9" t="str">
        <x:v>待确认</x:v>
      </x:c>
    </x:row>
    <x:row r="16" ht="115" customHeight="1">
      <x:c r="A16" s="10" t="str">
        <x:v>Q-015</x:v>
      </x:c>
      <x:c r="B16" s="10" t="str">
        <x:v>RQ-011</x:v>
      </x:c>
      <x:c r="C16" s="10" t="str"/>
      <x:c r="D16" s="10" t="str"/>
      <x:c r="E16" s="10" t="str">
        <x:v>部分阻塞</x:v>
      </x:c>
      <x:c r="F16" s="10" t="str">
        <x:v>数据分析</x:v>
      </x:c>
      <x:c r="G16" s="9" t="str">
        <x:v>数据分析中，跨日直播时长分配发生时的结果判定</x:v>
      </x:c>
      <x:c r="H16" s="9" t="str">
        <x:v>计算与统计口径</x:v>
      </x:c>
      <x:c r="I16" s="9" t="str">
        <x:v>跨自然日的一场直播如何分配每天的有效时长及收益？</x:v>
      </x:c>
      <x:c r="J16" s="9" t="str">
        <x:v>A. 按事件发生时间切分到各日
B. 全部归入开播日</x:v>
      </x:c>
      <x:c r="K16" s="9" t="str">
        <x:v>建议 A：采用首项所述明确口径，便于准备数据和复算；产品确认前仅作为候选，不据此验收。</x:v>
      </x:c>
      <x:c r="L16" s="12" t="str"/>
      <x:c r="M16" s="12" t="str"/>
      <x:c r="N16" s="10" t="str">
        <x:v>1. liveshow-proto/MainBasis/需求待确认清单.md 第106行：- [PENDING-cross-day-live] 跨日直播时长分配：跨自然日的一场直播如何分配每天的有效时长及收益？ 影响端：用户App、公会App、管理后台。依据：AN-2d643ddb84e1。</x:v>
      </x:c>
      <x:c r="O16" s="9" t="str">
        <x:v>1. 管理后台：数据分析
2. 仅隔离该未确认分支，其他已确认规则继续测试</x:v>
      </x:c>
      <x:c r="P16" s="9" t="str"/>
      <x:c r="Q16" s="9" t="str">
        <x:v>1. 补充跨日直播时长分配在已选方案下的正常、边界及异常结果</x:v>
      </x:c>
      <x:c r="R16" s="9" t="str">
        <x:v>产品</x:v>
      </x:c>
      <x:c r="S16" s="9" t="str">
        <x:v>版本验收前</x:v>
      </x:c>
      <x:c r="T16" s="9" t="str">
        <x:v>待确认</x:v>
      </x:c>
    </x:row>
    <x:row r="17" ht="115" customHeight="1">
      <x:c r="A17" s="10" t="str">
        <x:v>Q-016</x:v>
      </x:c>
      <x:c r="B17" s="10" t="str">
        <x:v>RQ-012</x:v>
      </x:c>
      <x:c r="C17" s="10" t="str"/>
      <x:c r="D17" s="10" t="str"/>
      <x:c r="E17" s="10" t="str">
        <x:v>部分阻塞</x:v>
      </x:c>
      <x:c r="F17" s="10" t="str">
        <x:v>数据分析</x:v>
      </x:c>
      <x:c r="G17" s="9" t="str">
        <x:v>数据分析中，有效时长排除条件发生时的结果判定</x:v>
      </x:c>
      <x:c r="H17" s="9" t="str">
        <x:v>计算与统计口径</x:v>
      </x:c>
      <x:c r="I17" s="9" t="str">
        <x:v>断流、后台挂起和暂停期间哪些时长计入每日 3 小时门槛？</x:v>
      </x:c>
      <x:c r="J17" s="9" t="str">
        <x:v>A. 仅累计服务端确认成功推流的时段，断流、后台挂起和暂停不计入
B. 按直播会话持续时间累计，断流、后台挂起和暂停仍计入至场次结束</x:v>
      </x:c>
      <x:c r="K17" s="9" t="str">
        <x:v>建议 A：采用首项所述明确口径，便于准备数据和复算；产品确认前仅作为候选，不据此验收。</x:v>
      </x:c>
      <x:c r="L17" s="12" t="str"/>
      <x:c r="M17" s="12" t="str"/>
      <x:c r="N17" s="10" t="str">
        <x:v>1. liveshow-proto/MainBasis/需求待确认清单.md 第102行：- [PENDING-effective-duration] 有效时长排除条件：断流、后台挂起和暂停期间哪些时长计入每日 3 小时门槛？ 影响端：用户App、公会App、管理后台。依据：AN-2d643ddb84e1。</x:v>
      </x:c>
      <x:c r="O17" s="9" t="str">
        <x:v>1. 管理后台：数据分析
2. 仅隔离该未确认分支，其他已确认规则继续测试</x:v>
      </x:c>
      <x:c r="P17" s="9" t="str"/>
      <x:c r="Q17" s="9" t="str">
        <x:v>1. 补充有效时长排除条件在已选方案下的正常、边界及异常结果</x:v>
      </x:c>
      <x:c r="R17" s="9" t="str">
        <x:v>产品</x:v>
      </x:c>
      <x:c r="S17" s="9" t="str">
        <x:v>版本验收前</x:v>
      </x:c>
      <x:c r="T17" s="9" t="str">
        <x:v>待确认</x:v>
      </x:c>
    </x:row>
    <x:row r="18" ht="100" customHeight="1">
      <x:c r="A18" s="10" t="str">
        <x:v>Q-017</x:v>
      </x:c>
      <x:c r="B18" s="10" t="str">
        <x:v>RQ-013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运营配置中，首充资格发生时的结果判定</x:v>
      </x:c>
      <x:c r="H18" s="9" t="str">
        <x:v>业务规则</x:v>
      </x:c>
      <x:c r="I18" s="9" t="str">
        <x:v>首充资格按哪种充值成功记录判定？</x:v>
      </x:c>
      <x:c r="J18" s="9" t="str">
        <x:v>A. 账号首次任意渠道成功充值
B. 各活动分别以首次购买判定</x:v>
      </x:c>
      <x:c r="K18" s="9" t="str">
        <x:v>建议 A：采用首项所述明确口径，便于准备数据和复算；产品确认前仅作为候选，不据此验收。</x:v>
      </x:c>
      <x:c r="L18" s="12" t="str"/>
      <x:c r="M18" s="12" t="str"/>
      <x:c r="N18" s="10" t="str">
        <x:v>1. liveshow-proto/MainBasis/需求待确认清单.md 第114行：- [PENDING-first-recharge] 首充资格：首充资格按哪种充值成功记录判定？ 影响端：用户App、管理后台。依据：AN-b13d526e82bf。</x:v>
      </x:c>
      <x:c r="O18" s="9" t="str">
        <x:v>1. 管理后台：运营配置
2. 仅隔离该未确认分支，其他已确认规则继续测试</x:v>
      </x:c>
      <x:c r="P18" s="9" t="str"/>
      <x:c r="Q18" s="9" t="str">
        <x:v>1. 补充首充资格在已选方案下的正常、边界及异常结果</x:v>
      </x:c>
      <x:c r="R18" s="9" t="str">
        <x:v>产品</x:v>
      </x:c>
      <x:c r="S18" s="9" t="str">
        <x:v>版本验收前</x:v>
      </x:c>
      <x:c r="T18" s="9" t="str">
        <x:v>待确认</x:v>
      </x:c>
    </x:row>
    <x:row r="19" ht="100" customHeight="1">
      <x:c r="A19" s="10" t="str">
        <x:v>Q-018</x:v>
      </x:c>
      <x:c r="B19" s="10" t="str">
        <x:v>RQ-014</x:v>
      </x:c>
      <x:c r="C19" s="10" t="str"/>
      <x:c r="D19" s="10" t="str"/>
      <x:c r="E19" s="10" t="str">
        <x:v>部分阻塞</x:v>
      </x:c>
      <x:c r="F19" s="10" t="str">
        <x:v>举报处理</x:v>
      </x:c>
      <x:c r="G19" s="9" t="str">
        <x:v>举报处理中，粉丝群举报对象发生时的结果判定</x:v>
      </x:c>
      <x:c r="H19" s="9" t="str">
        <x:v>业务规则</x:v>
      </x:c>
      <x:c r="I19" s="9" t="str">
        <x:v>群管理的举报针对群、群主还是具体消息？</x:v>
      </x:c>
      <x:c r="J19" s="9" t="str">
        <x:v>A. 举报群主账号
B. 举报指定消息及其发送者
C. 单独举报粉丝群</x:v>
      </x:c>
      <x:c r="K19" s="9" t="str">
        <x:v>建议 A：采用首项所述明确口径，便于准备数据和复算；产品确认前仅作为候选，不据此验收。</x:v>
      </x:c>
      <x:c r="L19" s="12" t="str"/>
      <x:c r="M19" s="12" t="str"/>
      <x:c r="N19" s="10" t="str">
        <x:v>1. liveshow-proto/MainBasis/需求待确认清单.md 第162行：- [PENDING-group-report] 粉丝群举报对象：群管理的举报针对群、群主还是具体消息？ 影响端：用户App、管理后台。依据：AN-3bc6aef15073。</x:v>
      </x:c>
      <x:c r="O19" s="9" t="str">
        <x:v>1. 管理后台：举报处理
2. 仅隔离该未确认分支，其他已确认规则继续测试</x:v>
      </x:c>
      <x:c r="P19" s="9" t="str"/>
      <x:c r="Q19" s="9" t="str">
        <x:v>1. 补充粉丝群举报对象在已选方案下的正常、边界及异常结果</x:v>
      </x:c>
      <x:c r="R19" s="9" t="str">
        <x:v>产品</x:v>
      </x:c>
      <x:c r="S19" s="9" t="str">
        <x:v>版本验收前</x:v>
      </x:c>
      <x:c r="T19" s="9" t="str">
        <x:v>待确认</x:v>
      </x:c>
    </x:row>
    <x:row r="20" ht="115" customHeight="1">
      <x:c r="A20" s="10" t="str">
        <x:v>Q-019</x:v>
      </x:c>
      <x:c r="B20" s="10" t="str">
        <x:v>RQ-015</x:v>
      </x:c>
      <x:c r="C20" s="10" t="str"/>
      <x:c r="D20" s="10" t="str"/>
      <x:c r="E20" s="10" t="str">
        <x:v>部分阻塞</x:v>
      </x:c>
      <x:c r="F20" s="10" t="str">
        <x:v>运营配置</x:v>
      </x:c>
      <x:c r="G20" s="9" t="str">
        <x:v>运营配置中，亲密度计算发生时的结果判定</x:v>
      </x:c>
      <x:c r="H20" s="9" t="str">
        <x:v>计算与统计口径</x:v>
      </x:c>
      <x:c r="I20" s="9" t="str">
        <x:v>亲密度由哪些行为累计，采用什么单位？</x:v>
      </x:c>
      <x:c r="J20" s="9" t="str">
        <x:v>A. 有效送礼金币累计
B. 按行为配置独立积分</x:v>
      </x:c>
      <x:c r="K20" s="9" t="str">
        <x:v>建议 A：采用首项所述明确口径，便于准备数据和复算；产品确认前仅作为候选，不据此验收。</x:v>
      </x:c>
      <x:c r="L20" s="12" t="str"/>
      <x:c r="M20" s="12" t="str"/>
      <x:c r="N20" s="10" t="str">
        <x:v>1. liveshow-proto/MainBasis/需求待确认清单.md 第74行：- [PENDING-intimacy] 亲密度计算：亲密度由哪些行为累计，采用什么单位？ 影响端：用户App、管理后台。依据：AN-88f3346c11fe、AN-73b3892baa6f。</x:v>
      </x:c>
      <x:c r="O20" s="9" t="str">
        <x:v>1. 管理后台：运营配置
2. 仅隔离该未确认分支，其他已确认规则继续测试</x:v>
      </x:c>
      <x:c r="P20" s="9" t="str"/>
      <x:c r="Q20" s="9" t="str">
        <x:v>1. 补充亲密度计算在已选方案下的正常、边界及异常结果</x:v>
      </x:c>
      <x:c r="R20" s="9" t="str">
        <x:v>产品</x:v>
      </x:c>
      <x:c r="S20" s="9" t="str">
        <x:v>版本验收前</x:v>
      </x:c>
      <x:c r="T20" s="9" t="str">
        <x:v>待确认</x:v>
      </x:c>
    </x:row>
    <x:row r="21" ht="100" customHeight="1">
      <x:c r="A21" s="10" t="str">
        <x:v>Q-020</x:v>
      </x:c>
      <x:c r="B21" s="10" t="str">
        <x:v>RQ-016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运营配置中，亲密度衰减发生时的结果判定</x:v>
      </x:c>
      <x:c r="H21" s="9" t="str">
        <x:v>业务规则</x:v>
      </x:c>
      <x:c r="I21" s="9" t="str">
        <x:v>除退团清零外，是否按不活跃时间衰减亲密度？</x:v>
      </x:c>
      <x:c r="J21" s="9" t="str">
        <x:v>A. 不衰减，仅退团按已确认规则清零
B. 连续 7 个业务日无互动时，从第 8 日开始每天扣当前积分的 10%，向下取整</x:v>
      </x:c>
      <x:c r="K21" s="9" t="str">
        <x:v>建议 A：采用首项所述明确口径，便于准备数据和复算；产品确认前仅作为候选，不据此验收。</x:v>
      </x:c>
      <x:c r="L21" s="12" t="str"/>
      <x:c r="M21" s="12" t="str"/>
      <x:c r="N21" s="10" t="str">
        <x:v>1. liveshow-proto/MainBasis/需求待确认清单.md 第78行：- [PENDING-intimacy-decay] 亲密度衰减：除退团清零外，是否按不活跃时间衰减亲密度？ 影响端：用户App、管理后台。依据：AN-88f3346c11fe。</x:v>
      </x:c>
      <x:c r="O21" s="9" t="str">
        <x:v>1. 管理后台：运营配置
2. 仅隔离该未确认分支，其他已确认规则继续测试</x:v>
      </x:c>
      <x:c r="P21" s="9" t="str"/>
      <x:c r="Q21" s="9" t="str">
        <x:v>1. 补充亲密度衰减在已选方案下的正常、边界及异常结果</x:v>
      </x:c>
      <x:c r="R21" s="9" t="str">
        <x:v>产品</x:v>
      </x:c>
      <x:c r="S21" s="9" t="str">
        <x:v>版本验收前</x:v>
      </x:c>
      <x:c r="T21" s="9" t="str">
        <x:v>待确认</x:v>
      </x:c>
    </x:row>
    <x:row r="22" ht="115" customHeight="1">
      <x:c r="A22" s="10" t="str">
        <x:v>Q-021</x:v>
      </x:c>
      <x:c r="B22" s="10" t="str">
        <x:v>RQ-017</x:v>
      </x:c>
      <x:c r="C22" s="10" t="str"/>
      <x:c r="D22" s="10" t="str"/>
      <x:c r="E22" s="10" t="str">
        <x:v>部分阻塞</x:v>
      </x:c>
      <x:c r="F22" s="10" t="str">
        <x:v>运营配置</x:v>
      </x:c>
      <x:c r="G22" s="9" t="str">
        <x:v>运营配置中，等级配置并发编辑发生时的结果判定</x:v>
      </x:c>
      <x:c r="H22" s="9" t="str">
        <x:v>异常处理</x:v>
      </x:c>
      <x:c r="I22" s="9" t="str">
        <x:v>多位管理员同时修改同一类等级时如何防止覆盖？</x:v>
      </x:c>
      <x:c r="J22" s="9" t="str">
        <x:v>A. 版本冲突拒绝后提交者
B. 显示差异并要求重新确认</x:v>
      </x:c>
      <x:c r="K22" s="9" t="str">
        <x:v>建议 A：采用首项所述明确口径，便于准备数据和复算；产品确认前仅作为候选，不据此验收。</x:v>
      </x:c>
      <x:c r="L22" s="12" t="str"/>
      <x:c r="M22" s="12" t="str"/>
      <x:c r="N22" s="10" t="str">
        <x:v>1. liveshow-proto/MainBasis/需求待确认清单.md 第170行：- [PENDING-level-concurrency] 等级配置并发编辑：多位管理员同时修改同一类等级时如何防止覆盖？ 影响端：管理后台。依据：AN-e4e4872e0998。</x:v>
      </x:c>
      <x:c r="O22" s="9" t="str">
        <x:v>1. 管理后台：运营配置
2. 仅隔离该未确认分支，其他已确认规则继续测试</x:v>
      </x:c>
      <x:c r="P22" s="9" t="str"/>
      <x:c r="Q22" s="9" t="str">
        <x:v>1. 补充等级配置并发编辑在已选方案下的正常、边界及异常结果</x:v>
      </x:c>
      <x:c r="R22" s="9" t="str">
        <x:v>多方确认</x:v>
      </x:c>
      <x:c r="S22" s="9" t="str">
        <x:v>版本验收前</x:v>
      </x:c>
      <x:c r="T22" s="9" t="str">
        <x:v>待确认</x:v>
      </x:c>
    </x:row>
    <x:row r="23" ht="115" customHeight="1">
      <x:c r="A23" s="10" t="str">
        <x:v>Q-022</x:v>
      </x:c>
      <x:c r="B23" s="10" t="str">
        <x:v>RQ-018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运营配置中，等级贡献计入类型发生时的结果判定</x:v>
      </x:c>
      <x:c r="H23" s="9" t="str">
        <x:v>计算与统计口径</x:v>
      </x:c>
      <x:c r="I23" s="9" t="str">
        <x:v>财富等级和粉丝等级分别计入哪些礼物类型，幸运礼物按何种价值计入？</x:v>
      </x:c>
      <x:c r="J23" s="9" t="str">
        <x:v>A. 全部真实礼物按送出价值
B. 全部真实礼物按扣除返奖后的净消耗
C. 由等级类型分别配置</x:v>
      </x:c>
      <x:c r="K23" s="9" t="str">
        <x:v>建议 A：采用首项所述明确口径，便于准备数据和复算；产品确认前仅作为候选，不据此验收。</x:v>
      </x:c>
      <x:c r="L23" s="12" t="str"/>
      <x:c r="M23" s="12" t="str"/>
      <x:c r="N23" s="10" t="str">
        <x:v>1. liveshow-proto/MainBasis/需求待确认清单.md 第130行：- [PENDING-level-gift-scope] 等级贡献计入类型：财富等级和粉丝等级分别计入哪些礼物类型，幸运礼物按何种价值计入？ 影响端：用户App、管理后台。依据：AN-3839cfde3299。</x:v>
      </x:c>
      <x:c r="O23" s="9" t="str">
        <x:v>1. 管理后台：运营配置
2. 仅隔离该未确认分支，其他已确认规则继续测试</x:v>
      </x:c>
      <x:c r="P23" s="9" t="str"/>
      <x:c r="Q23" s="9" t="str">
        <x:v>1. 补充等级贡献计入类型在已选方案下的正常、边界及异常结果</x:v>
      </x:c>
      <x:c r="R23" s="9" t="str">
        <x:v>产品</x:v>
      </x:c>
      <x:c r="S23" s="9" t="str">
        <x:v>版本验收前</x:v>
      </x:c>
      <x:c r="T23" s="9" t="str">
        <x:v>待确认</x:v>
      </x:c>
    </x:row>
    <x:row r="24" ht="115" customHeight="1">
      <x:c r="A24" s="10" t="str">
        <x:v>Q-023</x:v>
      </x:c>
      <x:c r="B24" s="10" t="str">
        <x:v>RQ-019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运营配置中，历史等级快照发生时的结果判定</x:v>
      </x:c>
      <x:c r="H24" s="9" t="str">
        <x:v>业务规则</x:v>
      </x:c>
      <x:c r="I24" s="9" t="str">
        <x:v>调整等级阈值后历史记录展示原等级还是重算等级？</x:v>
      </x:c>
      <x:c r="J24" s="9" t="str">
        <x:v>A. 保留事件发生时等级
B. 显示当前重算等级</x:v>
      </x:c>
      <x:c r="K24" s="9" t="str">
        <x:v>建议 A：采用首项所述明确口径，便于准备数据和复算；产品确认前仅作为候选，不据此验收。</x:v>
      </x:c>
      <x:c r="L24" s="12" t="str"/>
      <x:c r="M24" s="12" t="str"/>
      <x:c r="N24" s="10" t="str">
        <x:v>1. liveshow-proto/MainBasis/需求待确认清单.md 第146行：- [PENDING-level-history] 历史等级快照：调整等级阈值后历史记录展示原等级还是重算等级？ 影响端：用户App、公会App、管理后台。依据：AN-10e4cbde5c33。</x:v>
      </x:c>
      <x:c r="O24" s="9" t="str">
        <x:v>1. 管理后台：运营配置
2. 仅隔离该未确认分支，其他已确认规则继续测试</x:v>
      </x:c>
      <x:c r="P24" s="9" t="str"/>
      <x:c r="Q24" s="9" t="str">
        <x:v>1. 补充历史等级快照在已选方案下的正常、边界及异常结果</x:v>
      </x:c>
      <x:c r="R24" s="9" t="str">
        <x:v>产品</x:v>
      </x:c>
      <x:c r="S24" s="9" t="str">
        <x:v>版本验收前</x:v>
      </x:c>
      <x:c r="T24" s="9" t="str">
        <x:v>待确认</x:v>
      </x:c>
    </x:row>
    <x:row r="25" ht="100" customHeight="1">
      <x:c r="A25" s="10" t="str">
        <x:v>Q-024</x:v>
      </x:c>
      <x:c r="B25" s="10" t="str">
        <x:v>RQ-020</x:v>
      </x:c>
      <x:c r="C25" s="10" t="str"/>
      <x:c r="D25" s="10" t="str"/>
      <x:c r="E25" s="10" t="str">
        <x:v>部分阻塞</x:v>
      </x:c>
      <x:c r="F25" s="10" t="str">
        <x:v>运营配置</x:v>
      </x:c>
      <x:c r="G25" s="9" t="str">
        <x:v>运营配置中，等级阈值上限发生时的结果判定</x:v>
      </x:c>
      <x:c r="H25" s="9" t="str">
        <x:v>字段与数据校验</x:v>
      </x:c>
      <x:c r="I25" s="9" t="str">
        <x:v>等级阈值与累计成长值的最大允许数值是多少？</x:v>
      </x:c>
      <x:c r="J25" s="9" t="str">
        <x:v>A. 四类等级阈值与累计值统一不超过 2147483647
B. 四类等级阈值与累计值统一不超过 9007199254740991</x:v>
      </x:c>
      <x:c r="K25" s="9" t="str">
        <x:v>建议 A：采用首项所述明确口径，便于准备数据和复算；产品确认前仅作为候选，不据此验收。</x:v>
      </x:c>
      <x:c r="L25" s="12" t="str"/>
      <x:c r="M25" s="12" t="str"/>
      <x:c r="N25" s="10" t="str">
        <x:v>1. liveshow-proto/MainBasis/需求待确认清单.md 第174行：- [PENDING-level-limit] 等级阈值上限：等级阈值与累计成长值的最大允许数值是多少？ 影响端：管理后台。依据：AN-3839cfde3299。</x:v>
      </x:c>
      <x:c r="O25" s="9" t="str">
        <x:v>1. 管理后台：运营配置
2. 仅隔离该未确认分支，其他已确认规则继续测试</x:v>
      </x:c>
      <x:c r="P25" s="9" t="str"/>
      <x:c r="Q25" s="9" t="str">
        <x:v>1. 补充等级阈值上限在已选方案下的正常、边界及异常结果</x:v>
      </x:c>
      <x:c r="R25" s="9" t="str">
        <x:v>多方确认</x:v>
      </x:c>
      <x:c r="S25" s="9" t="str">
        <x:v>版本验收前</x:v>
      </x:c>
      <x:c r="T25" s="9" t="str">
        <x:v>待确认</x:v>
      </x:c>
    </x:row>
    <x:row r="26" ht="115" customHeight="1">
      <x:c r="A26" s="10" t="str">
        <x:v>Q-025</x:v>
      </x:c>
      <x:c r="B26" s="10" t="str">
        <x:v>RQ-021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运营配置中，等级冲正与降级发生时的结果判定</x:v>
      </x:c>
      <x:c r="H26" s="9" t="str">
        <x:v>业务规则</x:v>
      </x:c>
      <x:c r="I26" s="9" t="str">
        <x:v>充值退款、消费冲正或撤销分别是否回扣成长值，以及是否降级？</x:v>
      </x:c>
      <x:c r="J26" s="9" t="str">
        <x:v>A. 按被撤销的有效赠礼回扣并重算等级
B. 回扣成长值但保留已达等级</x:v>
      </x:c>
      <x:c r="K26" s="9" t="str">
        <x:v>建议 A：采用首项所述明确口径，便于准备数据和复算；产品确认前仅作为候选，不据此验收。</x:v>
      </x:c>
      <x:c r="L26" s="12" t="str"/>
      <x:c r="M26" s="12" t="str"/>
      <x:c r="N26" s="10" t="str">
        <x:v>1. liveshow-proto/MainBasis/需求待确认清单.md 第142行：- [PENDING-level-reversal] 等级冲正与降级：充值退款、消费冲正或撤销分别是否回扣成长值，以及是否降级？ 影响端：用户App、管理后台。依据：AN-4c265a228f16。</x:v>
      </x:c>
      <x:c r="O26" s="9" t="str">
        <x:v>1. 管理后台：运营配置
2. 仅隔离该未确认分支，其他已确认规则继续测试</x:v>
      </x:c>
      <x:c r="P26" s="9" t="str"/>
      <x:c r="Q26" s="9" t="str">
        <x:v>1. 补充等级冲正与降级在已选方案下的正常、边界及异常结果</x:v>
      </x:c>
      <x:c r="R26" s="9" t="str">
        <x:v>产品</x:v>
      </x:c>
      <x:c r="S26" s="9" t="str">
        <x:v>版本验收前</x:v>
      </x:c>
      <x:c r="T26" s="9" t="str">
        <x:v>待确认</x:v>
      </x:c>
    </x:row>
    <x:row r="27" ht="115" customHeight="1">
      <x:c r="A27" s="10" t="str">
        <x:v>Q-026</x:v>
      </x:c>
      <x:c r="B27" s="10" t="str">
        <x:v>RQ-022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运营配置中，等级整组保存失败发生时的结果判定</x:v>
      </x:c>
      <x:c r="H27" s="9" t="str">
        <x:v>异常处理</x:v>
      </x:c>
      <x:c r="I27" s="9" t="str">
        <x:v>等级配置一组中部分行保存失败时，是否整体回滚？</x:v>
      </x:c>
      <x:c r="J27" s="9" t="str">
        <x:v>A. 全部成功或全部失败
B. 允许逐行保存并逐行反馈</x:v>
      </x:c>
      <x:c r="K27" s="9" t="str">
        <x:v>建议 A：采用首项所述明确口径，便于准备数据和复算；产品确认前仅作为候选，不据此验收。</x:v>
      </x:c>
      <x:c r="L27" s="12" t="str"/>
      <x:c r="M27" s="12" t="str"/>
      <x:c r="N27" s="10" t="str">
        <x:v>1. liveshow-proto/MainBasis/需求待确认清单.md 第166行：- [PENDING-level-save-atomic] 等级整组保存失败：等级配置一组中部分行保存失败时，是否整体回滚？ 影响端：管理后台。依据：AN-e4e4872e0998。</x:v>
      </x:c>
      <x:c r="O27" s="9" t="str">
        <x:v>1. 管理后台：运营配置
2. 仅隔离该未确认分支，其他已确认规则继续测试</x:v>
      </x:c>
      <x:c r="P27" s="9" t="str"/>
      <x:c r="Q27" s="9" t="str">
        <x:v>1. 补充等级整组保存失败在已选方案下的正常、边界及异常结果</x:v>
      </x:c>
      <x:c r="R27" s="9" t="str">
        <x:v>产品</x:v>
      </x:c>
      <x:c r="S27" s="9" t="str">
        <x:v>版本验收前</x:v>
      </x:c>
      <x:c r="T27" s="9" t="str">
        <x:v>待确认</x:v>
      </x:c>
    </x:row>
    <x:row r="28" ht="130" customHeight="1">
      <x:c r="A28" s="10" t="str">
        <x:v>Q-027</x:v>
      </x:c>
      <x:c r="B28" s="10" t="str">
        <x:v>RQ-023</x:v>
      </x:c>
      <x:c r="C28" s="10" t="str"/>
      <x:c r="D28" s="10" t="str"/>
      <x:c r="E28" s="10" t="str">
        <x:v>部分阻塞</x:v>
      </x:c>
      <x:c r="F28" s="10" t="str">
        <x:v>数据分析</x:v>
      </x:c>
      <x:c r="G28" s="9" t="str">
        <x:v>数据分析中，指标刷新时效发生时的结果判定</x:v>
      </x:c>
      <x:c r="H28" s="9" t="str">
        <x:v>业务规则</x:v>
      </x:c>
      <x:c r="I28" s="9" t="str">
        <x:v>直播、收益和等级变动后，各端指标最迟何时应更新？</x:v>
      </x:c>
      <x:c r="J28" s="9" t="str">
        <x:v>A. 业务提交成功后 5 秒内更新对应指标
B. 每 5 分钟汇总一次，汇总完成后展示新指标</x:v>
      </x:c>
      <x:c r="K28" s="9" t="str">
        <x:v>建议 A：采用首项所述明确口径，便于准备数据和复算；产品确认前仅作为候选，不据此验收。</x:v>
      </x:c>
      <x:c r="L28" s="12" t="str"/>
      <x:c r="M28" s="12" t="str"/>
      <x:c r="N28" s="10" t="str">
        <x:v>1. liveshow-proto/MainBasis/需求待确认清单.md 第110行：- [PENDING-metric-latency] 指标刷新时效：直播、收益和等级变动后，各端指标最迟何时应更新？ 影响端：用户App、公会App、管理后台。依据：AN-2d643ddb84e1、AN-4c265a228f16。</x:v>
      </x:c>
      <x:c r="O28" s="9" t="str">
        <x:v>1. 管理后台：数据分析
2. 仅隔离该未确认分支，其他已确认规则继续测试</x:v>
      </x:c>
      <x:c r="P28" s="9" t="str"/>
      <x:c r="Q28" s="9" t="str">
        <x:v>1. 补充指标刷新时效在已选方案下的正常、边界及异常结果</x:v>
      </x:c>
      <x:c r="R28" s="9" t="str">
        <x:v>多方确认</x:v>
      </x:c>
      <x:c r="S28" s="9" t="str">
        <x:v>版本验收前</x:v>
      </x:c>
      <x:c r="T28" s="9" t="str">
        <x:v>待确认</x:v>
      </x:c>
    </x:row>
    <x:row r="29" ht="130" customHeight="1">
      <x:c r="A29" s="10" t="str">
        <x:v>Q-028</x:v>
      </x:c>
      <x:c r="B29" s="10" t="str">
        <x:v>RQ-024</x:v>
      </x:c>
      <x:c r="C29" s="10" t="str"/>
      <x:c r="D29" s="10" t="str"/>
      <x:c r="E29" s="10" t="str">
        <x:v>部分阻塞</x:v>
      </x:c>
      <x:c r="F29" s="10" t="str">
        <x:v>运营账号</x:v>
      </x:c>
      <x:c r="G29" s="9" t="str">
        <x:v>运营账号中，运营账号登录格式发生时的结果判定</x:v>
      </x:c>
      <x:c r="H29" s="9" t="str">
        <x:v>字段与数据校验</x:v>
      </x:c>
      <x:c r="I29" s="9" t="str">
        <x:v>运营账号必须是可接收验证码的邮箱，还是允许普通登录名？</x:v>
      </x:c>
      <x:c r="J29" s="9" t="str">
        <x:v>A. 必须为有效邮箱地址
B. 允许普通登录名并使用密码登录</x:v>
      </x:c>
      <x:c r="K29" s="9" t="str">
        <x:v>建议 A：采用首项所述明确口径，便于准备数据和复算；产品确认前仅作为候选，不据此验收。</x:v>
      </x:c>
      <x:c r="L29" s="12" t="str"/>
      <x:c r="M29" s="12" t="str"/>
      <x:c r="N29" s="10" t="str">
        <x:v>1. liveshow-proto/MainBasis/需求待确认清单.md 第70行：- [PENDING-operation-login-format] 运营账号登录格式：运营账号必须是可接收验证码的邮箱，还是允许普通登录名？ 影响端：用户App、公会App、管理后台。依据：AN-ff08deec1174、AN-053fd74e2f42。</x:v>
      </x:c>
      <x:c r="O29" s="9" t="str">
        <x:v>1. 管理后台：运营账号
2. 仅隔离该未确认分支，其他已确认规则继续测试</x:v>
      </x:c>
      <x:c r="P29" s="9" t="str"/>
      <x:c r="Q29" s="9" t="str">
        <x:v>1. 补充运营账号登录格式在已选方案下的正常、边界及异常结果</x:v>
      </x:c>
      <x:c r="R29" s="9" t="str">
        <x:v>产品</x:v>
      </x:c>
      <x:c r="S29" s="9" t="str">
        <x:v>版本验收前</x:v>
      </x:c>
      <x:c r="T29" s="9" t="str">
        <x:v>待确认</x:v>
      </x:c>
    </x:row>
    <x:row r="30" ht="115" customHeight="1">
      <x:c r="A30" s="10" t="str">
        <x:v>Q-029</x:v>
      </x:c>
      <x:c r="B30" s="10" t="str">
        <x:v>RQ-025</x:v>
      </x:c>
      <x:c r="C30" s="10" t="str"/>
      <x:c r="D30" s="10" t="str"/>
      <x:c r="E30" s="10" t="str">
        <x:v>部分阻塞</x:v>
      </x:c>
      <x:c r="F30" s="10" t="str">
        <x:v>运营配置</x:v>
      </x:c>
      <x:c r="G30" s="9" t="str">
        <x:v>运营配置中，支付中套餐过期发生时的结果判定</x:v>
      </x:c>
      <x:c r="H30" s="9" t="str">
        <x:v>业务规则</x:v>
      </x:c>
      <x:c r="I30" s="9" t="str">
        <x:v>支付已经发起但尚未完成时套餐过期，订单能否按快照继续完成？</x:v>
      </x:c>
      <x:c r="J30" s="9" t="str">
        <x:v>A. 在原订单有效期内继续支付
B. 过期即取消未支付订单</x:v>
      </x:c>
      <x:c r="K30" s="9" t="str">
        <x:v>建议 A：采用首项所述明确口径，便于准备数据和复算；产品确认前仅作为候选，不据此验收。</x:v>
      </x:c>
      <x:c r="L30" s="12" t="str"/>
      <x:c r="M30" s="12" t="str"/>
      <x:c r="N30" s="10" t="str">
        <x:v>1. liveshow-proto/MainBasis/需求待确认清单.md 第122行：- [PENDING-recharge-expiry] 支付中套餐过期：支付已经发起但尚未完成时套餐过期，订单能否按快照继续完成？ 影响端：用户App、管理后台。依据：AN-b13d526e82bf。</x:v>
      </x:c>
      <x:c r="O30" s="9" t="str">
        <x:v>1. 管理后台：运营配置
2. 仅隔离该未确认分支，其他已确认规则继续测试</x:v>
      </x:c>
      <x:c r="P30" s="9" t="str"/>
      <x:c r="Q30" s="9" t="str">
        <x:v>1. 补充支付中套餐过期在已选方案下的正常、边界及异常结果</x:v>
      </x:c>
      <x:c r="R30" s="9" t="str">
        <x:v>产品</x:v>
      </x:c>
      <x:c r="S30" s="9" t="str">
        <x:v>版本验收前</x:v>
      </x:c>
      <x:c r="T30" s="9" t="str">
        <x:v>待确认</x:v>
      </x:c>
    </x:row>
    <x:row r="31" ht="130" customHeight="1">
      <x:c r="A31" s="10" t="str">
        <x:v>Q-030</x:v>
      </x:c>
      <x:c r="B31" s="10" t="str">
        <x:v>RQ-026</x:v>
      </x:c>
      <x:c r="C31" s="10" t="str"/>
      <x:c r="D31" s="10" t="str"/>
      <x:c r="E31" s="10" t="str">
        <x:v>部分阻塞</x:v>
      </x:c>
      <x:c r="F31" s="10" t="str">
        <x:v>运营配置</x:v>
      </x:c>
      <x:c r="G31" s="9" t="str">
        <x:v>运营配置中，任务关闭后的待领奖励发生时的结果判定</x:v>
      </x:c>
      <x:c r="H31" s="9" t="str">
        <x:v>业务规则</x:v>
      </x:c>
      <x:c r="I31" s="9" t="str">
        <x:v>任务到期或停用时，当天已达成且未超过领取截止时间的奖励是否还能领取？</x:v>
      </x:c>
      <x:c r="J31" s="9" t="str">
        <x:v>A. 仍可在原截止时间前领取
B. 任务到期或停用立即失效</x:v>
      </x:c>
      <x:c r="K31" s="9" t="str">
        <x:v>建议 A：采用首项所述明确口径，便于准备数据和复算；产品确认前仅作为候选，不据此验收。</x:v>
      </x:c>
      <x:c r="L31" s="12" t="str"/>
      <x:c r="M31" s="12" t="str"/>
      <x:c r="N31" s="10" t="str">
        <x:v>1. liveshow-proto/MainBasis/需求待确认清单.md 第98行：- [PENDING-reward-disabled] 任务关闭后的待领奖励：任务到期或停用时，当天已达成且未超过领取截止时间的奖励是否还能领取？ 影响端：用户App、管理后台。依据：AN-6162c5b34166。</x:v>
      </x:c>
      <x:c r="O31" s="9" t="str">
        <x:v>1. 管理后台：运营配置
2. 仅隔离该未确认分支，其他已确认规则继续测试</x:v>
      </x:c>
      <x:c r="P31" s="9" t="str"/>
      <x:c r="Q31" s="9" t="str">
        <x:v>1. 补充任务关闭后的待领奖励在已选方案下的正常、边界及异常结果</x:v>
      </x:c>
      <x:c r="R31" s="9" t="str">
        <x:v>产品</x:v>
      </x:c>
      <x:c r="S31" s="9" t="str">
        <x:v>版本验收前</x:v>
      </x:c>
      <x:c r="T31" s="9" t="str">
        <x:v>待确认</x:v>
      </x:c>
    </x:row>
    <x:row r="32" ht="130" customHeight="1">
      <x:c r="A32" s="10" t="str">
        <x:v>Q-031</x:v>
      </x:c>
      <x:c r="B32" s="10" t="str">
        <x:v>RQ-027</x:v>
      </x:c>
      <x:c r="C32" s="10" t="str"/>
      <x:c r="D32" s="10" t="str"/>
      <x:c r="E32" s="10" t="str">
        <x:v>部分阻塞</x:v>
      </x:c>
      <x:c r="F32" s="10" t="str">
        <x:v>运营配置</x:v>
      </x:c>
      <x:c r="G32" s="9" t="str">
        <x:v>运营配置中，任务道具奖励冲突发生时的结果判定</x:v>
      </x:c>
      <x:c r="H32" s="9" t="str">
        <x:v>业务规则</x:v>
      </x:c>
      <x:c r="I32" s="9" t="str">
        <x:v>任务配置及福利页说明仅奖励金币，但已领取视图仍写道具入背包；本期是否允许任务奖励道具？</x:v>
      </x:c>
      <x:c r="J32" s="9" t="str">
        <x:v>A. 本期只支持金币并修正领取视图
B. 增加道具奖励并补充后台配置规则</x:v>
      </x:c>
      <x:c r="K32" s="9" t="str">
        <x:v>建议 A：采用首项所述明确口径，便于准备数据和复算；产品确认前仅作为候选，不据此验收。</x:v>
      </x:c>
      <x:c r="L32" s="12" t="str"/>
      <x:c r="M32" s="12" t="str"/>
      <x:c r="N32" s="10" t="str">
        <x:v>1. liveshow-proto/MainBasis/需求待确认清单.md 第26行：- [PENDING-reward-prop-conflict] 任务道具奖励冲突：任务配置及福利页说明仅奖励金币，但已领取视图仍写道具入背包；本期是否允许任务奖励道具？ 影响端：用户App、管理后台。依据：AN-a7de732767b6。</x:v>
      </x:c>
      <x:c r="O32" s="9" t="str">
        <x:v>1. 管理后台：运营配置
2. 仅隔离该未确认分支，其他已确认规则继续测试</x:v>
      </x:c>
      <x:c r="P32" s="9" t="str"/>
      <x:c r="Q32" s="9" t="str">
        <x:v>1. 补充任务道具奖励冲突在已选方案下的正常、边界及异常结果</x:v>
      </x:c>
      <x:c r="R32" s="9" t="str">
        <x:v>产品</x:v>
      </x:c>
      <x:c r="S32" s="9" t="str">
        <x:v>版本验收前</x:v>
      </x:c>
      <x:c r="T32" s="9" t="str">
        <x:v>待确认</x:v>
      </x:c>
    </x:row>
    <x:row r="33" ht="145" customHeight="1">
      <x:c r="A33" s="10" t="str">
        <x:v>Q-032</x:v>
      </x:c>
      <x:c r="B33" s="10" t="str">
        <x:v>RQ-028</x:v>
      </x:c>
      <x:c r="C33" s="10" t="str"/>
      <x:c r="D33" s="10" t="str"/>
      <x:c r="E33" s="10" t="str">
        <x:v>部分阻塞</x:v>
      </x:c>
      <x:c r="F33" s="10" t="str">
        <x:v>运营配置</x:v>
      </x:c>
      <x:c r="G33" s="9" t="str">
        <x:v>运营配置中，虚拟金币榜单范围发生时的结果判定</x:v>
      </x:c>
      <x:c r="H33" s="9" t="str">
        <x:v>业务规则</x:v>
      </x:c>
      <x:c r="I33" s="9" t="str">
        <x:v>系统概要允许虚拟赠礼计入榜单展示，具体适用于哪些榜单？</x:v>
      </x:c>
      <x:c r="J33" s="9" t="str">
        <x:v>A. 仅本场氛围榜
B. 本场榜及平台双榜
C. 由后台逐榜配置</x:v>
      </x:c>
      <x:c r="K33" s="9" t="str">
        <x:v>建议 A：采用首项所述明确口径，便于准备数据和复算；产品确认前仅作为候选，不据此验收。</x:v>
      </x:c>
      <x:c r="L33" s="12" t="str"/>
      <x:c r="M33" s="12" t="str"/>
      <x:c r="N33" s="10" t="str">
        <x:v>1. liveshow-proto/MainBasis/需求待确认清单.md 第30行：- [PENDING-virtual-board] 虚拟金币榜单范围：系统概要允许虚拟赠礼计入榜单展示，具体适用于哪些榜单？ 影响端：用户App、公会App、管理后台。依据：AN-58bdfd055651、AN-9076ce003939、AN-ba0acac09cff、AN-bbb10e3b591b、AN-7861fb19ad1a。</x:v>
      </x:c>
      <x:c r="O33" s="9" t="str">
        <x:v>1. 管理后台：运营配置
2. 仅隔离该未确认分支，其他已确认规则继续测试</x:v>
      </x:c>
      <x:c r="P33" s="9" t="str"/>
      <x:c r="Q33" s="9" t="str">
        <x:v>1. 补充虚拟金币榜单范围在已选方案下的正常、边界及异常结果</x:v>
      </x:c>
      <x:c r="R33" s="9" t="str">
        <x:v>产品</x:v>
      </x:c>
      <x:c r="S33" s="9" t="str">
        <x:v>版本验收前</x:v>
      </x:c>
      <x:c r="T33" s="9" t="str">
        <x:v>待确认</x:v>
      </x:c>
    </x:row>
  </x:sheetData>
  <x:dataValidations count="5">
    <x:dataValidation type="list" sqref="E2:E33">
      <x:formula1>"阻塞测试,部分阻塞,不阻塞"</x:formula1>
    </x:dataValidation>
    <x:dataValidation type="list" sqref="H2:H3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33">
      <x:formula1>"A,B,C,D,其他"</x:formula1>
    </x:dataValidation>
    <x:dataValidation type="list" sqref="R2:R33">
      <x:formula1>"产品,交互,技术,多方确认"</x:formula1>
    </x:dataValidation>
    <x:dataValidation type="list" sqref="T2:T3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6037f090ee41bc"/>
  </x:tableParts>
</x:worksheet>
</file>