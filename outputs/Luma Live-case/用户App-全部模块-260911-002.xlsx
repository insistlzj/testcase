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7b833d7ded4430a" /></Relationships>
</file>

<file path=xl/workbook.xml><?xml version="1.0" encoding="utf-8"?>
<x:workbook xmlns:x="http://schemas.openxmlformats.org/spreadsheetml/2006/main">
  <x:sheets>
    <x:sheet xmlns:r="http://schemas.openxmlformats.org/officeDocument/2006/relationships" name="产品决策概览" sheetId="1" r:id="Rb79e457a249c40ef"/>
    <x:sheet xmlns:r="http://schemas.openxmlformats.org/officeDocument/2006/relationships" name="功能测试用例" sheetId="2" r:id="R42d9cfb8d5074e9f"/>
    <x:sheet xmlns:r="http://schemas.openxmlformats.org/officeDocument/2006/relationships" name="需求待确认" sheetId="3" r:id="Rec1e1eaeeb6448de"/>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11827"/>
      <x:name val="Arial"/>
    </x:font>
    <x:font>
      <x:b/>
      <x:sz val="10"/>
      <x:color rgb="FFFFFFFF"/>
      <x:name val="Arial"/>
    </x:font>
    <x:font>
      <x:b/>
      <x:sz val="15"/>
      <x:color rgb="FF111827"/>
      <x:name val="Arial"/>
    </x:font>
    <x:font>
      <x:i/>
      <x:sz val="10"/>
      <x:color rgb="FF64748B"/>
      <x:name val="Arial"/>
    </x:font>
  </x:fonts>
  <x:fills count="5">
    <x:fill>
      <x:patternFill patternType="none"/>
    </x:fill>
    <x:fill>
      <x:patternFill patternType="gray125"/>
    </x:fill>
    <x:fill>
      <x:patternFill patternType="solid">
        <x:fgColor rgb="FF243447"/>
      </x:patternFill>
    </x:fill>
    <x:fill>
      <x:patternFill patternType="solid">
        <x:fgColor rgb="FFFFF4CC"/>
      </x:patternFill>
    </x:fill>
    <x:fill>
      <x:patternFill patternType="solid">
        <x:fgColor rgb="FFFFF4CC"/>
      </x:patternFill>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center" wrapText="1"/>
    </x:xf>
    <x:xf numFmtId="0" fontId="1" fillId="2" borderId="1"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0" fontId="1" fillId="3" borderId="1" xfId="0" applyNumberFormat="1" applyFont="1" applyFill="1" applyBorder="1" applyAlignment="1">
      <x:alignment vertical="center" wrapText="1"/>
    </x:xf>
    <x:xf numFmtId="0"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0" fillId="0" borderId="0" xfId="0" applyNumberFormat="1" applyFont="1" applyFill="1" applyBorder="1" applyAlignment="1">
      <x:alignment vertical="top"/>
    </x:xf>
    <x:xf numFmtId="0" fontId="0" fillId="4"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efe3007b02c46c7" /><Relationship Type="http://schemas.openxmlformats.org/officeDocument/2006/relationships/theme" Target="/xl/theme/theme1.xml" Id="R4f633bd13c014e5e" /><Relationship Type="http://schemas.openxmlformats.org/officeDocument/2006/relationships/sharedStrings" Target="/xl/sharedStrings.xml" Id="R58272edba13c4d03" /><Relationship Type="http://schemas.openxmlformats.org/officeDocument/2006/relationships/worksheet" Target="/xl/worksheets/sheet1.xml" Id="Rb79e457a249c40ef" /><Relationship Type="http://schemas.openxmlformats.org/officeDocument/2006/relationships/worksheet" Target="/xl/worksheets/sheet2.xml" Id="R42d9cfb8d5074e9f" /><Relationship Type="http://schemas.openxmlformats.org/officeDocument/2006/relationships/worksheet" Target="/xl/worksheets/sheet3.xml" Id="Rec1e1eaeeb6448de" /></Relationships>
</file>

<file path=xl/tables/table1.xml><?xml version="1.0" encoding="utf-8"?>
<x:table xmlns:x="http://schemas.openxmlformats.org/spreadsheetml/2006/main" id="1" name="UserAllCases" displayName="UserAllCases" ref="A1:O1117" headerRowCount="1" totalsRowCount="0" totalsRowShown="0">
  <x:autoFilter ref="A1:O1117"/>
  <x:tableColumns count="15">
    <x:tableColumn id="1" name="序号"/>
    <x:tableColumn id="2" name="用例编号"/>
    <x:tableColumn id="3" name="功能模块"/>
    <x:tableColumn id="4" name="功能结构"/>
    <x:tableColumn id="5" name="用例类型"/>
    <x:tableColumn id="6" name="优先级"/>
    <x:tableColumn id="7" name="用例描述"/>
    <x:tableColumn id="8" name="验证用例子项"/>
    <x:tableColumn id="9" name="前置条件"/>
    <x:tableColumn id="10" name="操作步骤"/>
    <x:tableColumn id="11" name="预期结果"/>
    <x:tableColumn id="12" name="流程编号"/>
    <x:tableColumn id="13" name="测试结果"/>
    <x:tableColumn id="14" name="测试人员"/>
    <x:tableColumn id="15" name="备注"/>
  </x:tableColumns>
  <x:tableStyleInfo name="TableStyleMedium2" showFirstColumn="0" showLastColumn="0" showRowStripes="1" showColumnStripes="0"/>
</x:table>
</file>

<file path=xl/tables/table2.xml><?xml version="1.0" encoding="utf-8"?>
<x:table xmlns:x="http://schemas.openxmlformats.org/spreadsheetml/2006/main" id="2" name="UserAllPending" displayName="UserAllPending" ref="A1:T65" headerRowCount="1" totalsRowCount="0" totalsRowShown="0">
  <x:autoFilter ref="A1:T65"/>
  <x:tableColumns count="20">
    <x:tableColumn id="1" name="问题编号"/>
    <x:tableColumn id="2" name="需求组编号"/>
    <x:tableColumn id="3" name="父问题编号"/>
    <x:tableColumn id="4" name="追问触发条件"/>
    <x:tableColumn id="5" name="阻塞等级"/>
    <x:tableColumn id="6" name="功能模块"/>
    <x:tableColumn id="7" name="具体场景"/>
    <x:tableColumn id="8" name="问题分类"/>
    <x:tableColumn id="9" name="待决策问题"/>
    <x:tableColumn id="10" name="可选方案"/>
    <x:tableColumn id="11" name="测试建议"/>
    <x:tableColumn id="12" name="产品结论"/>
    <x:tableColumn id="13" name="结论补充"/>
    <x:tableColumn id="14" name="已知依据"/>
    <x:tableColumn id="15" name="影响范围"/>
    <x:tableColumn id="16" name="已有用例编号"/>
    <x:tableColumn id="17" name="确认后待补用例"/>
    <x:tableColumn id="18" name="负责人"/>
    <x:tableColumn id="19" name="期望确认时间"/>
    <x:tableColumn id="20" name="确认状态"/>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ee6a5a5c72e4931" /></Relationships>
</file>

<file path=xl/worksheets/_rels/sheet3.xml.rels>&#65279;<?xml version="1.0" encoding="utf-8"?><Relationships xmlns="http://schemas.openxmlformats.org/package/2006/relationships"><Relationship Type="http://schemas.openxmlformats.org/officeDocument/2006/relationships/table" Target="/xl/tables/table2.xml" Id="R43d4bc5da715499b" /></Relationships>
</file>

<file path=xl/worksheets/sheet1.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2" hidden="0" customWidth="1"/>
    <x:col min="2" max="2" width="12" hidden="0" customWidth="1"/>
    <x:col min="3" max="3" width="4" hidden="0" customWidth="1"/>
    <x:col min="4" max="4" width="18" hidden="0" customWidth="1"/>
    <x:col min="5" max="5" width="14" hidden="0" customWidth="1"/>
    <x:col min="6" max="6" width="4" hidden="0" customWidth="1"/>
    <x:col min="7" max="7" width="18" hidden="0" customWidth="1"/>
    <x:col min="8" max="8" width="14" hidden="0" customWidth="1"/>
  </x:cols>
  <x:sheetData>
    <x:row r="1" ht="30" customHeight="1">
      <x:c r="A1" s="10" t="str">
        <x:v>用户App-全部模块 产品决策概览</x:v>
      </x:c>
      <x:c r="B1" s="9"/>
      <x:c r="C1" s="9"/>
      <x:c r="D1" s="9"/>
      <x:c r="E1" s="9"/>
      <x:c r="F1" s="9"/>
      <x:c r="G1" s="9"/>
      <x:c r="H1" s="9"/>
    </x:row>
    <x:row r="2">
      <x:c r="A2" s="11" t="str">
        <x:v>数量由“需求待确认”工作表实时汇总</x:v>
      </x:c>
      <x:c r="B2" s="9"/>
      <x:c r="C2" s="9"/>
      <x:c r="D2" s="9"/>
      <x:c r="E2" s="9"/>
      <x:c r="F2" s="9"/>
      <x:c r="G2" s="9"/>
      <x:c r="H2" s="9"/>
    </x:row>
    <x:row r="3">
      <x:c r="A3" s="9"/>
      <x:c r="B3" s="9"/>
      <x:c r="C3" s="9"/>
      <x:c r="D3" s="9"/>
      <x:c r="E3" s="9"/>
      <x:c r="F3" s="9"/>
      <x:c r="G3" s="9"/>
      <x:c r="H3" s="9"/>
    </x:row>
    <x:row r="4">
      <x:c r="A4" s="7" t="str">
        <x:v>状态</x:v>
      </x:c>
      <x:c r="B4" s="7" t="str">
        <x:v>数量</x:v>
      </x:c>
      <x:c r="C4" s="9"/>
      <x:c r="D4" s="7" t="str">
        <x:v>阻塞等级</x:v>
      </x:c>
      <x:c r="E4" s="7" t="str">
        <x:v>当前待确认</x:v>
      </x:c>
      <x:c r="F4" s="9"/>
      <x:c r="G4" s="7" t="str">
        <x:v>负责人</x:v>
      </x:c>
      <x:c r="H4" s="7" t="str">
        <x:v>当前待确认</x:v>
      </x:c>
    </x:row>
    <x:row r="5">
      <x:c r="A5" s="12" t="str">
        <x:v>问题总数</x:v>
      </x:c>
      <x:c r="B5" s="12" t="n">
        <x:f>COUNTA('需求待确认'!$A$2:$A$65)</x:f>
        <x:v>64</x:v>
      </x:c>
      <x:c r="C5" s="9"/>
      <x:c r="D5" s="12" t="str">
        <x:v>阻塞测试</x:v>
      </x:c>
      <x:c r="E5" s="12" t="n">
        <x:f>COUNTIFS('需求待确认'!$E$2:$E$65,"阻塞测试",'需求待确认'!$T$2:$T$65,"待确认")</x:f>
        <x:v>0</x:v>
      </x:c>
      <x:c r="F5" s="9"/>
      <x:c r="G5" s="12" t="str">
        <x:v>产品</x:v>
      </x:c>
      <x:c r="H5" s="12" t="n">
        <x:f>COUNTIFS('需求待确认'!$R$2:$R$65,"产品",'需求待确认'!$T$2:$T$65,"待确认")</x:f>
        <x:v>64</x:v>
      </x:c>
    </x:row>
    <x:row r="6">
      <x:c r="A6" s="12" t="str">
        <x:v>当前可回答</x:v>
      </x:c>
      <x:c r="B6" s="12" t="n">
        <x:f>COUNTIF('需求待确认'!$T$2:$T$65,"待确认")</x:f>
        <x:v>64</x:v>
      </x:c>
      <x:c r="C6" s="9"/>
      <x:c r="D6" s="12" t="str">
        <x:v>部分阻塞</x:v>
      </x:c>
      <x:c r="E6" s="12" t="n">
        <x:f>COUNTIFS('需求待确认'!$E$2:$E$65,"部分阻塞",'需求待确认'!$T$2:$T$65,"待确认")</x:f>
        <x:v>25</x:v>
      </x:c>
      <x:c r="F6" s="9"/>
      <x:c r="G6" s="12" t="str">
        <x:v>交互</x:v>
      </x:c>
      <x:c r="H6" s="12" t="n">
        <x:f>COUNTIFS('需求待确认'!$R$2:$R$65,"交互",'需求待确认'!$T$2:$T$65,"待确认")</x:f>
        <x:v>0</x:v>
      </x:c>
    </x:row>
    <x:row r="7">
      <x:c r="A7" s="12" t="str">
        <x:v>待前置结论</x:v>
      </x:c>
      <x:c r="B7" s="12" t="n">
        <x:f>COUNTIF('需求待确认'!$T$2:$T$65,"待前置结论")</x:f>
        <x:v>0</x:v>
      </x:c>
      <x:c r="C7" s="9"/>
      <x:c r="D7" s="12" t="str">
        <x:v>不阻塞</x:v>
      </x:c>
      <x:c r="E7" s="12" t="n">
        <x:f>COUNTIFS('需求待确认'!$E$2:$E$65,"不阻塞",'需求待确认'!$T$2:$T$65,"待确认")</x:f>
        <x:v>39</x:v>
      </x:c>
      <x:c r="F7" s="9"/>
      <x:c r="G7" s="12" t="str">
        <x:v>技术</x:v>
      </x:c>
      <x:c r="H7" s="12" t="n">
        <x:f>COUNTIFS('需求待确认'!$R$2:$R$65,"技术",'需求待确认'!$T$2:$T$65,"待确认")</x:f>
        <x:v>0</x:v>
      </x:c>
    </x:row>
    <x:row r="8">
      <x:c r="A8" s="12" t="str">
        <x:v>确认中</x:v>
      </x:c>
      <x:c r="B8" s="12" t="n">
        <x:f>COUNTIF('需求待确认'!$T$2:$T$65,"确认中")</x:f>
        <x:v>0</x:v>
      </x:c>
      <x:c r="C8" s="9"/>
      <x:c r="D8" s="9"/>
      <x:c r="E8" s="9"/>
      <x:c r="F8" s="9"/>
      <x:c r="G8" s="12" t="str">
        <x:v>多方确认</x:v>
      </x:c>
      <x:c r="H8" s="12" t="n">
        <x:f>COUNTIFS('需求待确认'!$R$2:$R$65,"多方确认",'需求待确认'!$T$2:$T$65,"待确认")</x:f>
        <x:v>0</x:v>
      </x:c>
    </x:row>
    <x:row r="9">
      <x:c r="A9" s="12" t="str">
        <x:v>已确认</x:v>
      </x:c>
      <x:c r="B9" s="12" t="n">
        <x:f>COUNTIF('需求待确认'!$T$2:$T$65,"已确认")</x:f>
        <x:v>0</x:v>
      </x:c>
      <x:c r="C9" s="9"/>
      <x:c r="D9" s="9"/>
      <x:c r="E9" s="9"/>
      <x:c r="F9" s="9"/>
      <x:c r="G9" s="9"/>
      <x:c r="H9" s="9"/>
    </x:row>
    <x:row r="10">
      <x:c r="A10" s="12" t="str">
        <x:v>无需处理</x:v>
      </x:c>
      <x:c r="B10" s="12" t="n">
        <x:f>COUNTIF('需求待确认'!$T$2:$T$65,"无需处理")</x:f>
        <x:v>0</x:v>
      </x:c>
      <x:c r="C10" s="9"/>
      <x:c r="D10" s="9"/>
      <x:c r="E10" s="9"/>
      <x:c r="F10" s="9"/>
      <x:c r="G10" s="9"/>
      <x:c r="H10" s="9"/>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 hidden="0" customWidth="1"/>
    <x:col min="2" max="2" width="14" hidden="0" customWidth="1"/>
    <x:col min="3" max="3" width="13" hidden="0" customWidth="1"/>
    <x:col min="4" max="4" width="25" hidden="0" customWidth="1"/>
    <x:col min="5" max="5" width="12" hidden="0" customWidth="1"/>
    <x:col min="6" max="6" width="8" hidden="0" customWidth="1"/>
    <x:col min="7" max="7" width="29" hidden="0" customWidth="1"/>
    <x:col min="8" max="8" width="22" hidden="0" customWidth="1"/>
    <x:col min="9" max="9" width="31" hidden="0" customWidth="1"/>
    <x:col min="10" max="10" width="34" hidden="0" customWidth="1"/>
    <x:col min="11" max="11" width="39" hidden="0" customWidth="1"/>
    <x:col min="12" max="12" width="18" hidden="0" customWidth="1"/>
    <x:col min="13" max="13" width="10" hidden="0" customWidth="1"/>
    <x:col min="14" max="14" width="12" hidden="0" customWidth="1"/>
    <x:col min="15" max="15" width="43" hidden="0" customWidth="1"/>
  </x:cols>
  <x:sheetData>
    <x:row r="1" ht="34" customHeight="1">
      <x:c r="A1" s="7" t="str">
        <x:v>序号</x:v>
      </x:c>
      <x:c r="B1" s="7" t="str">
        <x:v>用例编号</x:v>
      </x:c>
      <x:c r="C1" s="7" t="str">
        <x:v>功能模块</x:v>
      </x:c>
      <x:c r="D1" s="7" t="str">
        <x:v>功能结构</x:v>
      </x:c>
      <x:c r="E1" s="7" t="str">
        <x:v>用例类型</x:v>
      </x:c>
      <x:c r="F1" s="7" t="str">
        <x:v>优先级</x:v>
      </x:c>
      <x:c r="G1" s="7" t="str">
        <x:v>用例描述</x:v>
      </x:c>
      <x:c r="H1" s="7" t="str">
        <x:v>验证用例子项</x:v>
      </x:c>
      <x:c r="I1" s="7" t="str">
        <x:v>前置条件</x:v>
      </x:c>
      <x:c r="J1" s="7" t="str">
        <x:v>操作步骤</x:v>
      </x:c>
      <x:c r="K1" s="7" t="str">
        <x:v>预期结果</x:v>
      </x:c>
      <x:c r="L1" s="7" t="str">
        <x:v>流程编号</x:v>
      </x:c>
      <x:c r="M1" s="7" t="str">
        <x:v>测试结果</x:v>
      </x:c>
      <x:c r="N1" s="7" t="str">
        <x:v>测试人员</x:v>
      </x:c>
      <x:c r="O1" s="7" t="str">
        <x:v>备注</x:v>
      </x:c>
    </x:row>
    <x:row r="2" ht="54" customHeight="1">
      <x:c r="A2" s="4" t="n">
        <x:v>1</x:v>
      </x:c>
      <x:c r="B2" s="4" t="str">
        <x:v>UFAN-0001</x:v>
      </x:c>
      <x:c r="C2" s="4" t="str">
        <x:v>粉丝团</x:v>
      </x:c>
      <x:c r="D2" s="4" t="str">
        <x:v>贡献榜（用户视角）</x:v>
      </x:c>
      <x:c r="E2" s="4" t="str">
        <x:v>功能需求</x:v>
      </x:c>
      <x:c r="F2" s="4" t="str">
        <x:v>P2</x:v>
      </x:c>
      <x:c r="G2" s="4" t="str">
        <x:v>验证按平台业务时的贡献榜结果</x:v>
      </x:c>
      <x:c r="H2" s="4" t="str">
        <x:v>贡献榜条件结果</x:v>
      </x:c>
      <x:c r="I2" s="4" t="str">
        <x:v>1. 用户账号已登录且具备当前页面权限
2. 按平台业务</x:v>
      </x:c>
      <x:c r="J2" s="4" t="str">
        <x:v>1. 进入贡献榜
2. 查看贡献榜</x:v>
      </x:c>
      <x:c r="K2" s="4" t="str">
        <x:v>区计算，本周从周一 00:00 开始，本月从每月 1 日 00:00 开始，累计统计全部历史有效贡献</x:v>
      </x:c>
      <x:c r="L2" s="4" t="str"/>
      <x:c r="M2" s="4" t="str">
        <x:v>未测</x:v>
      </x:c>
      <x:c r="N2" s="4" t="str"/>
      <x:c r="O2" s="4" t="str">
        <x:v>1. 来源（原型批注）：liveshow-proto/prototype/annotations/user.js；fan-contribution-ranking.html
2. 页面：fan-contribution-ranking.html
3. 规则：BR-34D285BF29FE92
4. 场景：SC-F9945398E67417
5. 未动态验证</x:v>
      </x:c>
    </x:row>
    <x:row r="3" ht="54" customHeight="1">
      <x:c r="A3" s="4" t="n">
        <x:v>2</x:v>
      </x:c>
      <x:c r="B3" s="4" t="str">
        <x:v>UFAN-0002</x:v>
      </x:c>
      <x:c r="C3" s="4" t="str">
        <x:v>粉丝团</x:v>
      </x:c>
      <x:c r="D3" s="4" t="str">
        <x:v>贡献榜（用户视角）</x:v>
      </x:c>
      <x:c r="E3" s="4" t="str">
        <x:v>功能需求</x:v>
      </x:c>
      <x:c r="F3" s="4" t="str">
        <x:v>P2</x:v>
      </x:c>
      <x:c r="G3" s="4" t="str">
        <x:v>验证当前用户无有效贡献时的贡献榜结果</x:v>
      </x:c>
      <x:c r="H3" s="4" t="str">
        <x:v>贡献榜条件结果</x:v>
      </x:c>
      <x:c r="I3" s="4" t="str">
        <x:v>1. 用户账号已登录且具备当前页面权限
2. 当前用户无有效贡献</x:v>
      </x:c>
      <x:c r="J3" s="4" t="str">
        <x:v>1. 进入贡献榜
2. 查看贡献榜</x:v>
      </x:c>
      <x:c r="K3" s="4" t="str">
        <x:v>显示未上榜</x:v>
      </x:c>
      <x:c r="L3" s="4" t="str"/>
      <x:c r="M3" s="4" t="str">
        <x:v>未测</x:v>
      </x:c>
      <x:c r="N3" s="4" t="str"/>
      <x:c r="O3" s="4" t="str">
        <x:v>1. 来源（原型批注）：liveshow-proto/prototype/annotations/user.js；fan-contribution-ranking.html
2. 页面：fan-contribution-ranking.html
3. 规则：BR-AD8892CF53AD60
4. 场景：SC-18F09A77E80F9C
5. 未动态验证</x:v>
      </x:c>
    </x:row>
    <x:row r="4" ht="54" customHeight="1">
      <x:c r="A4" s="4" t="n">
        <x:v>3</x:v>
      </x:c>
      <x:c r="B4" s="4" t="str">
        <x:v>UFAN-0003</x:v>
      </x:c>
      <x:c r="C4" s="4" t="str">
        <x:v>粉丝团</x:v>
      </x:c>
      <x:c r="D4" s="4" t="str">
        <x:v>贡献榜（用户视角）</x:v>
      </x:c>
      <x:c r="E4" s="4" t="str">
        <x:v>业务流程</x:v>
      </x:c>
      <x:c r="F4" s="4" t="str">
        <x:v>P2</x:v>
      </x:c>
      <x:c r="G4" s="4" t="str">
        <x:v>验证点击用户后的贡献榜状态</x:v>
      </x:c>
      <x:c r="H4" s="4" t="str">
        <x:v>贡献榜状态</x:v>
      </x:c>
      <x:c r="I4" s="4" t="str">
        <x:v>1. 用户账号已登录且具备当前页面权限</x:v>
      </x:c>
      <x:c r="J4" s="4" t="str">
        <x:v>1. 进入贡献榜
2. 点击用户</x:v>
      </x:c>
      <x:c r="K4" s="4" t="str">
        <x:v>进入对应主页</x:v>
      </x:c>
      <x:c r="L4" s="4" t="str"/>
      <x:c r="M4" s="4" t="str">
        <x:v>未测</x:v>
      </x:c>
      <x:c r="N4" s="4" t="str"/>
      <x:c r="O4" s="4" t="str">
        <x:v>1. 来源（原型批注）：liveshow-proto/prototype/annotations/user.js；fan-contribution-ranking.html
2. 页面：fan-contribution-ranking.html
3. 规则：BR-8DEA976176FCC3
4. 场景：SC-8FDA4BE4C013F8
5. 未动态验证</x:v>
      </x:c>
    </x:row>
    <x:row r="5" ht="54" customHeight="1">
      <x:c r="A5" s="4" t="n">
        <x:v>4</x:v>
      </x:c>
      <x:c r="B5" s="4" t="str">
        <x:v>UFAN-0004</x:v>
      </x:c>
      <x:c r="C5" s="4" t="str">
        <x:v>粉丝团</x:v>
      </x:c>
      <x:c r="D5" s="4" t="str">
        <x:v>贡献榜（用户视角）</x:v>
      </x:c>
      <x:c r="E5" s="4" t="str">
        <x:v>逻辑校验</x:v>
      </x:c>
      <x:c r="F5" s="4" t="str">
        <x:v>P2</x:v>
      </x:c>
      <x:c r="G5" s="4" t="str">
        <x:v>验证贡献榜按指定范围筛选</x:v>
      </x:c>
      <x:c r="H5" s="4" t="str">
        <x:v>贡献榜数据范围</x:v>
      </x:c>
      <x:c r="I5" s="4" t="str">
        <x:v>1. 用户账号已登录且具备当前页面权限
2. 存在符合和不符合“当前所选主播粉丝团的本周、本月或累计贡献”的记录</x:v>
      </x:c>
      <x:c r="J5" s="4" t="str">
        <x:v>1. 进入贡献榜
2. 查看贡献榜</x:v>
      </x:c>
      <x:c r="K5" s="4" t="str">
        <x:v>数据范围：当前所选主播粉丝团的本周、本月或累计贡献</x:v>
      </x:c>
      <x:c r="L5" s="4" t="str"/>
      <x:c r="M5" s="4" t="str">
        <x:v>未测</x:v>
      </x:c>
      <x:c r="N5" s="4" t="str"/>
      <x:c r="O5" s="4" t="str">
        <x:v>1. 来源（原型批注）：liveshow-proto/prototype/annotations/user.js；fan-contribution-ranking.html
2. 页面：fan-contribution-ranking.html
3. 规则：BR-C2D39DB8931862
4. 场景：SC-AE0D3D53FC23B3
5. 未动态验证</x:v>
      </x:c>
    </x:row>
    <x:row r="6" ht="54" customHeight="1">
      <x:c r="A6" s="4" t="n">
        <x:v>5</x:v>
      </x:c>
      <x:c r="B6" s="4" t="str">
        <x:v>UFAN-0005</x:v>
      </x:c>
      <x:c r="C6" s="4" t="str">
        <x:v>粉丝团</x:v>
      </x:c>
      <x:c r="D6" s="4" t="str">
        <x:v>贡献榜（用户视角）</x:v>
      </x:c>
      <x:c r="E6" s="4" t="str">
        <x:v>功能需求</x:v>
      </x:c>
      <x:c r="F6" s="4" t="str">
        <x:v>P2</x:v>
      </x:c>
      <x:c r="G6" s="4" t="str">
        <x:v>验证贡献榜可查看榜单数量</x:v>
      </x:c>
      <x:c r="H6" s="4" t="str">
        <x:v>榜单数量展示</x:v>
      </x:c>
      <x:c r="I6" s="4" t="str">
        <x:v>1. 用户账号已登录且具备当前页面权限</x:v>
      </x:c>
      <x:c r="J6" s="4" t="str">
        <x:v>1. 进入贡献榜
2. 查看榜单数量</x:v>
      </x:c>
      <x:c r="K6" s="4" t="str">
        <x:v>贡献榜显示“榜单数量”</x:v>
      </x:c>
      <x:c r="L6" s="4" t="str"/>
      <x:c r="M6" s="4" t="str">
        <x:v>未测</x:v>
      </x:c>
      <x:c r="N6" s="4" t="str"/>
      <x:c r="O6" s="4" t="str">
        <x:v>1. 来源（原型批注）：liveshow-proto/prototype/annotations/user.js；contribution-ranking.html、fan-contribution-ranking.html
2. 页面：fan-contribution-ranking.html
3. 规则：BR-670FCBC8198873、BR-986F6BEBA9F6DE
4. 场景：SC-9F0528C2643AF3
5. 未动态验证</x:v>
      </x:c>
    </x:row>
    <x:row r="7" ht="54" customHeight="1">
      <x:c r="A7" s="4" t="n">
        <x:v>6</x:v>
      </x:c>
      <x:c r="B7" s="4" t="str">
        <x:v>UFAN-0006</x:v>
      </x:c>
      <x:c r="C7" s="4" t="str">
        <x:v>粉丝团</x:v>
      </x:c>
      <x:c r="D7" s="4" t="str">
        <x:v>贡献榜（用户视角）</x:v>
      </x:c>
      <x:c r="E7" s="4" t="str">
        <x:v>功能需求</x:v>
      </x:c>
      <x:c r="F7" s="4" t="str">
        <x:v>P2</x:v>
      </x:c>
      <x:c r="G7" s="4" t="str">
        <x:v>验证贡献榜可查看贡献值</x:v>
      </x:c>
      <x:c r="H7" s="4" t="str">
        <x:v>贡献值展示</x:v>
      </x:c>
      <x:c r="I7" s="4" t="str">
        <x:v>1. 用户账号已登录且具备当前页面权限</x:v>
      </x:c>
      <x:c r="J7" s="4" t="str">
        <x:v>1. 进入贡献榜
2. 查看贡献值</x:v>
      </x:c>
      <x:c r="K7" s="4" t="str">
        <x:v>贡献榜显示“贡献值”</x:v>
      </x:c>
      <x:c r="L7" s="4" t="str"/>
      <x:c r="M7" s="4" t="str">
        <x:v>未测</x:v>
      </x:c>
      <x:c r="N7" s="4" t="str"/>
      <x:c r="O7" s="4" t="str">
        <x:v>1. 来源（原型批注）：liveshow-proto/prototype/annotations/user.js；contribution-ranking.html、fan-contribution-ranking.html
2. 页面：fan-contribution-ranking.html
3. 规则：BR-898B2511D69CB9、BR-5B081496AEC44D、BR-7750CD2B436402
4. 场景：SC-731397201F0B66
5. 未动态验证</x:v>
      </x:c>
    </x:row>
    <x:row r="8" ht="54" customHeight="1">
      <x:c r="A8" s="4" t="n">
        <x:v>7</x:v>
      </x:c>
      <x:c r="B8" s="4" t="str">
        <x:v>UFAN-0007</x:v>
      </x:c>
      <x:c r="C8" s="4" t="str">
        <x:v>粉丝团</x:v>
      </x:c>
      <x:c r="D8" s="4" t="str">
        <x:v>贡献榜（用户视角）</x:v>
      </x:c>
      <x:c r="E8" s="4" t="str">
        <x:v>功能需求</x:v>
      </x:c>
      <x:c r="F8" s="4" t="str">
        <x:v>P2</x:v>
      </x:c>
      <x:c r="G8" s="4" t="str">
        <x:v>验证贡献榜可查看排名</x:v>
      </x:c>
      <x:c r="H8" s="4" t="str">
        <x:v>排名展示</x:v>
      </x:c>
      <x:c r="I8" s="4" t="str">
        <x:v>1. 用户账号已登录且具备当前页面权限</x:v>
      </x:c>
      <x:c r="J8" s="4" t="str">
        <x:v>1. 进入贡献榜
2. 查看排名</x:v>
      </x:c>
      <x:c r="K8" s="4" t="str">
        <x:v>贡献榜显示“排名”</x:v>
      </x:c>
      <x:c r="L8" s="4" t="str"/>
      <x:c r="M8" s="4" t="str">
        <x:v>未测</x:v>
      </x:c>
      <x:c r="N8" s="4" t="str"/>
      <x:c r="O8" s="4" t="str">
        <x:v>1. 来源（原型批注）：liveshow-proto/prototype/annotations/user.js；contribution-ranking.html、fan-contribution-ranking.html
2. 页面：fan-contribution-ranking.html
3. 规则：BR-979310BA14E193、BR-D32F477D4DA8C2
4. 场景：SC-91625B29A8C4EA
5. 未动态验证</x:v>
      </x:c>
    </x:row>
    <x:row r="9" ht="54" customHeight="1">
      <x:c r="A9" s="4" t="n">
        <x:v>8</x:v>
      </x:c>
      <x:c r="B9" s="4" t="str">
        <x:v>UFAN-0008</x:v>
      </x:c>
      <x:c r="C9" s="4" t="str">
        <x:v>粉丝团</x:v>
      </x:c>
      <x:c r="D9" s="4" t="str">
        <x:v>贡献榜（用户视角）</x:v>
      </x:c>
      <x:c r="E9" s="4" t="str">
        <x:v>功能需求</x:v>
      </x:c>
      <x:c r="F9" s="4" t="str">
        <x:v>P2</x:v>
      </x:c>
      <x:c r="G9" s="4" t="str">
        <x:v>验证贡献榜可查看我的排名</x:v>
      </x:c>
      <x:c r="H9" s="4" t="str">
        <x:v>我的排名展示</x:v>
      </x:c>
      <x:c r="I9" s="4" t="str">
        <x:v>1. 用户账号已登录且具备当前页面权限</x:v>
      </x:c>
      <x:c r="J9" s="4" t="str">
        <x:v>1. 进入贡献榜
2. 查看我的排名</x:v>
      </x:c>
      <x:c r="K9" s="4" t="str">
        <x:v>贡献榜显示“我的排名”</x:v>
      </x:c>
      <x:c r="L9" s="4" t="str"/>
      <x:c r="M9" s="4" t="str">
        <x:v>未测</x:v>
      </x:c>
      <x:c r="N9" s="4" t="str"/>
      <x:c r="O9" s="4" t="str">
        <x:v>1. 来源（原型批注）：liveshow-proto/prototype/annotations/user.js；fan-contribution-ranking.html
2. 页面：fan-contribution-ranking.html
3. 规则：BR-AD8892CF53AD60
4. 场景：SC-88E72170FFEE18
5. 未动态验证</x:v>
      </x:c>
    </x:row>
    <x:row r="10" ht="54" customHeight="1">
      <x:c r="A10" s="4" t="n">
        <x:v>9</x:v>
      </x:c>
      <x:c r="B10" s="4" t="str">
        <x:v>UFAN-0009</x:v>
      </x:c>
      <x:c r="C10" s="4" t="str">
        <x:v>粉丝团</x:v>
      </x:c>
      <x:c r="D10" s="4" t="str">
        <x:v>贡献榜（用户视角）</x:v>
      </x:c>
      <x:c r="E10" s="4" t="str">
        <x:v>功能需求</x:v>
      </x:c>
      <x:c r="F10" s="4" t="str">
        <x:v>P2</x:v>
      </x:c>
      <x:c r="G10" s="4" t="str">
        <x:v>验证贡献榜可查看周期</x:v>
      </x:c>
      <x:c r="H10" s="4" t="str">
        <x:v>周期展示</x:v>
      </x:c>
      <x:c r="I10" s="4" t="str">
        <x:v>1. 用户账号已登录且具备当前页面权限</x:v>
      </x:c>
      <x:c r="J10" s="4" t="str">
        <x:v>1. 进入贡献榜
2. 查看周期</x:v>
      </x:c>
      <x:c r="K10" s="4" t="str">
        <x:v>贡献榜显示“周期”</x:v>
      </x:c>
      <x:c r="L10" s="4" t="str"/>
      <x:c r="M10" s="4" t="str">
        <x:v>未测</x:v>
      </x:c>
      <x:c r="N10" s="4" t="str"/>
      <x:c r="O10" s="4" t="str">
        <x:v>1. 来源（原型批注）：liveshow-proto/prototype/annotations/user.js；fan-contribution-ranking.html
2. 页面：fan-contribution-ranking.html
3. 规则：BR-2980B7F258A530、BR-34D285BF29FE92
4. 场景：SC-0021569CAC20E8
5. 未动态验证</x:v>
      </x:c>
    </x:row>
    <x:row r="11" ht="54" customHeight="1">
      <x:c r="A11" s="4" t="n">
        <x:v>10</x:v>
      </x:c>
      <x:c r="B11" s="4" t="str">
        <x:v>UFAN-0010</x:v>
      </x:c>
      <x:c r="C11" s="4" t="str">
        <x:v>粉丝团</x:v>
      </x:c>
      <x:c r="D11" s="4" t="str">
        <x:v>贡献榜（用户视角）</x:v>
      </x:c>
      <x:c r="E11" s="4" t="str">
        <x:v>业务流程</x:v>
      </x:c>
      <x:c r="F11" s="4" t="str">
        <x:v>P2</x:v>
      </x:c>
      <x:c r="G11" s="4" t="str">
        <x:v>验证退出粉丝团后的贡献榜状态</x:v>
      </x:c>
      <x:c r="H11" s="4" t="str">
        <x:v>贡献榜状态</x:v>
      </x:c>
      <x:c r="I11" s="4" t="str">
        <x:v>1. 用户账号已登录且具备当前页面权限</x:v>
      </x:c>
      <x:c r="J11" s="4" t="str">
        <x:v>1. 进入贡献榜
2. 退出粉丝团</x:v>
      </x:c>
      <x:c r="K11" s="4" t="str">
        <x:v>历史贡献账务保留</x:v>
      </x:c>
      <x:c r="L11" s="4" t="str"/>
      <x:c r="M11" s="4" t="str">
        <x:v>未测</x:v>
      </x:c>
      <x:c r="N11" s="4" t="str"/>
      <x:c r="O11" s="4" t="str">
        <x:v>1. 来源（原型批注）：liveshow-proto/prototype/annotations/user.js；fan-contribution-ranking.html
2. 页面：fan-contribution-ranking.html
3. 规则：BR-E5A400590BCDE6
4. 场景：SC-6F99C7B36A67DD
5. 未动态验证</x:v>
      </x:c>
    </x:row>
    <x:row r="12" ht="54" customHeight="1">
      <x:c r="A12" s="4" t="n">
        <x:v>11</x:v>
      </x:c>
      <x:c r="B12" s="4" t="str">
        <x:v>UFAN-0011</x:v>
      </x:c>
      <x:c r="C12" s="4" t="str">
        <x:v>粉丝团</x:v>
      </x:c>
      <x:c r="D12" s="4" t="str">
        <x:v>贡献榜（用户视角）</x:v>
      </x:c>
      <x:c r="E12" s="4" t="str">
        <x:v>功能需求</x:v>
      </x:c>
      <x:c r="F12" s="4" t="str">
        <x:v>P2</x:v>
      </x:c>
      <x:c r="G12" s="4" t="str">
        <x:v>验证周期的默认状态</x:v>
      </x:c>
      <x:c r="H12" s="4" t="str">
        <x:v>周期默认值</x:v>
      </x:c>
      <x:c r="I12" s="4" t="str">
        <x:v>1. 用户账号已登录且具备当前页面权限</x:v>
      </x:c>
      <x:c r="J12" s="4" t="str">
        <x:v>1. 进入贡献榜
2. 查看周期</x:v>
      </x:c>
      <x:c r="K12" s="4" t="str">
        <x:v>默认本月</x:v>
      </x:c>
      <x:c r="L12" s="4" t="str"/>
      <x:c r="M12" s="4" t="str">
        <x:v>未测</x:v>
      </x:c>
      <x:c r="N12" s="4" t="str"/>
      <x:c r="O12" s="4" t="str">
        <x:v>1. 来源（原型批注）：liveshow-proto/prototype/annotations/user.js；fan-contribution-ranking.html
2. 页面：fan-contribution-ranking.html
3. 规则：BR-2980B7F258A530
4. 场景：SC-BFCC874DC78BEC
5. 未动态验证</x:v>
      </x:c>
    </x:row>
    <x:row r="13" ht="54" customHeight="1">
      <x:c r="A13" s="4" t="n">
        <x:v>12</x:v>
      </x:c>
      <x:c r="B13" s="4" t="str">
        <x:v>UFAN-0012</x:v>
      </x:c>
      <x:c r="C13" s="4" t="str">
        <x:v>粉丝团</x:v>
      </x:c>
      <x:c r="D13" s="4" t="str">
        <x:v>我的粉丝团（用户视角）</x:v>
      </x:c>
      <x:c r="E13" s="4" t="str">
        <x:v>业务流程</x:v>
      </x:c>
      <x:c r="F13" s="4" t="str">
        <x:v>P2</x:v>
      </x:c>
      <x:c r="G13" s="4" t="str">
        <x:v>验证被移出后的我的粉丝团状态</x:v>
      </x:c>
      <x:c r="H13" s="4" t="str">
        <x:v>我的粉丝团状态</x:v>
      </x:c>
      <x:c r="I13" s="4" t="str">
        <x:v>1. 用户账号已登录且具备当前页面权限
2. 被移出</x:v>
      </x:c>
      <x:c r="J13" s="4" t="str">
        <x:v>1. 进入我的粉丝团
2. 刷新我的粉丝团</x:v>
      </x:c>
      <x:c r="K13" s="4" t="str">
        <x:v>重新加入不恢复</x:v>
      </x:c>
      <x:c r="L13" s="4" t="str"/>
      <x:c r="M13" s="4" t="str">
        <x:v>未测</x:v>
      </x:c>
      <x:c r="N13" s="4" t="str"/>
      <x:c r="O13" s="4" t="str">
        <x:v>1. 来源（原型批注）：liveshow-proto/prototype/annotations/user.js；my-fan-clubs.html
2. 页面：my-fan-clubs.html
3. 规则：BR-3049A48493152A
4. 场景：SC-2480099C8ECF3E
5. 未动态验证</x:v>
      </x:c>
    </x:row>
    <x:row r="14" ht="54" customHeight="1">
      <x:c r="A14" s="4" t="n">
        <x:v>13</x:v>
      </x:c>
      <x:c r="B14" s="4" t="str">
        <x:v>UFAN-0013</x:v>
      </x:c>
      <x:c r="C14" s="4" t="str">
        <x:v>粉丝团</x:v>
      </x:c>
      <x:c r="D14" s="4" t="str">
        <x:v>我的粉丝团（用户视角）</x:v>
      </x:c>
      <x:c r="E14" s="4" t="str">
        <x:v>业务流程</x:v>
      </x:c>
      <x:c r="F14" s="4" t="str">
        <x:v>P2</x:v>
      </x:c>
      <x:c r="G14" s="4" t="str">
        <x:v>验证点击粉丝团后的我的粉丝团状态</x:v>
      </x:c>
      <x:c r="H14" s="4" t="str">
        <x:v>我的粉丝团状态</x:v>
      </x:c>
      <x:c r="I14" s="4" t="str">
        <x:v>1. 用户账号已登录且具备当前页面权限</x:v>
      </x:c>
      <x:c r="J14" s="4" t="str">
        <x:v>1. 进入我的粉丝团
2. 点击粉丝团</x:v>
      </x:c>
      <x:c r="K14" s="4" t="str">
        <x:v>进入贡献榜或群聊</x:v>
      </x:c>
      <x:c r="L14" s="4" t="str"/>
      <x:c r="M14" s="4" t="str">
        <x:v>未测</x:v>
      </x:c>
      <x:c r="N14" s="4" t="str"/>
      <x:c r="O14" s="4" t="str">
        <x:v>1. 来源（原型批注）：liveshow-proto/prototype/annotations/user.js；my-fan-clubs.html
2. 页面：my-fan-clubs.html
3. 规则：BR-5C5CB8941BF71B
4. 场景：SC-95F57748821979
5. 未动态验证</x:v>
      </x:c>
    </x:row>
    <x:row r="15" ht="54" customHeight="1">
      <x:c r="A15" s="4" t="n">
        <x:v>14</x:v>
      </x:c>
      <x:c r="B15" s="4" t="str">
        <x:v>UFAN-0014</x:v>
      </x:c>
      <x:c r="C15" s="4" t="str">
        <x:v>粉丝团</x:v>
      </x:c>
      <x:c r="D15" s="4" t="str">
        <x:v>我的粉丝团（用户视角）</x:v>
      </x:c>
      <x:c r="E15" s="4" t="str">
        <x:v>功能需求</x:v>
      </x:c>
      <x:c r="F15" s="4" t="str">
        <x:v>P2</x:v>
      </x:c>
      <x:c r="G15" s="4" t="str">
        <x:v>验证团籍与群籍同步，列表只时的我的粉丝团结果</x:v>
      </x:c>
      <x:c r="H15" s="4" t="str">
        <x:v>我的粉丝团条件结果</x:v>
      </x:c>
      <x:c r="I15" s="4" t="str">
        <x:v>1. 用户账号已登录且具备当前页面权限
2. 团籍与群籍同步，列表只</x:v>
      </x:c>
      <x:c r="J15" s="4" t="str">
        <x:v>1. 进入我的粉丝团
2. 查看我的粉丝团</x:v>
      </x:c>
      <x:c r="K15" s="4" t="str">
        <x:v>团籍与群籍同步，列表只展示当前有效团籍</x:v>
      </x:c>
      <x:c r="L15" s="4" t="str"/>
      <x:c r="M15" s="4" t="str">
        <x:v>未测</x:v>
      </x:c>
      <x:c r="N15" s="4" t="str"/>
      <x:c r="O15" s="4" t="str">
        <x:v>1. 来源（原型批注）：liveshow-proto/prototype/annotations/user.js；my-fan-clubs.html
2. 页面：my-fan-clubs.html
3. 规则：BR-808762E32AB683
4. 场景：SC-08B1C6DE2DC0C7
5. 未动态验证</x:v>
      </x:c>
    </x:row>
    <x:row r="16" ht="54" customHeight="1">
      <x:c r="A16" s="4" t="n">
        <x:v>15</x:v>
      </x:c>
      <x:c r="B16" s="4" t="str">
        <x:v>UFAN-0015</x:v>
      </x:c>
      <x:c r="C16" s="4" t="str">
        <x:v>粉丝团</x:v>
      </x:c>
      <x:c r="D16" s="4" t="str">
        <x:v>我的粉丝团（用户视角）</x:v>
      </x:c>
      <x:c r="E16" s="4" t="str">
        <x:v>业务流程</x:v>
      </x:c>
      <x:c r="F16" s="4" t="str">
        <x:v>P2</x:v>
      </x:c>
      <x:c r="G16" s="4" t="str">
        <x:v>验证退出成功后的我的粉丝团状态</x:v>
      </x:c>
      <x:c r="H16" s="4" t="str">
        <x:v>我的粉丝团状态</x:v>
      </x:c>
      <x:c r="I16" s="4" t="str">
        <x:v>1. 用户账号已登录且具备当前页面权限</x:v>
      </x:c>
      <x:c r="J16" s="4" t="str">
        <x:v>1. 进入我的粉丝团
2. 退出成功</x:v>
      </x:c>
      <x:c r="K16" s="4" t="str">
        <x:v>关闭对应群聊权限</x:v>
      </x:c>
      <x:c r="L16" s="4" t="str"/>
      <x:c r="M16" s="4" t="str">
        <x:v>未测</x:v>
      </x:c>
      <x:c r="N16" s="4" t="str"/>
      <x:c r="O16" s="4" t="str">
        <x:v>1. 来源（原型批注）：liveshow-proto/prototype/annotations/user.js；my-fan-clubs.html
2. 页面：my-fan-clubs.html
3. 规则：BR-000CDA370F94CD
4. 场景：SC-998E5AB8674E0F
5. 未动态验证</x:v>
      </x:c>
    </x:row>
    <x:row r="17" ht="54" customHeight="1">
      <x:c r="A17" s="4" t="n">
        <x:v>16</x:v>
      </x:c>
      <x:c r="B17" s="4" t="str">
        <x:v>UFAN-0016</x:v>
      </x:c>
      <x:c r="C17" s="4" t="str">
        <x:v>粉丝团</x:v>
      </x:c>
      <x:c r="D17" s="4" t="str">
        <x:v>我的粉丝团（用户视角）</x:v>
      </x:c>
      <x:c r="E17" s="4" t="str">
        <x:v>功能需求</x:v>
      </x:c>
      <x:c r="F17" s="4" t="str">
        <x:v>P2</x:v>
      </x:c>
      <x:c r="G17" s="4" t="str">
        <x:v>验证我的粉丝团可查看粉丝等级 / 亲密度</x:v>
      </x:c>
      <x:c r="H17" s="4" t="str">
        <x:v>粉丝等级 / 亲密度展示</x:v>
      </x:c>
      <x:c r="I17" s="4" t="str">
        <x:v>1. 用户账号已登录且具备当前页面权限</x:v>
      </x:c>
      <x:c r="J17" s="4" t="str">
        <x:v>1. 进入我的粉丝团
2. 查看粉丝等级 / 亲密度</x:v>
      </x:c>
      <x:c r="K17" s="4" t="str">
        <x:v>我的粉丝团显示“粉丝等级 / 亲密度”</x:v>
      </x:c>
      <x:c r="L17" s="4" t="str"/>
      <x:c r="M17" s="4" t="str">
        <x:v>未测</x:v>
      </x:c>
      <x:c r="N17" s="4" t="str"/>
      <x:c r="O17" s="4" t="str">
        <x:v>1. 来源（原型批注）：liveshow-proto/prototype/annotations/user.js；my-fan-clubs.html
2. 页面：my-fan-clubs.html
3. 规则：BR-0AA3AD1D9069B1
4. 场景：SC-8EF9AF62AD38FE
5. 未动态验证</x:v>
      </x:c>
    </x:row>
    <x:row r="18" ht="54" customHeight="1">
      <x:c r="A18" s="4" t="n">
        <x:v>17</x:v>
      </x:c>
      <x:c r="B18" s="4" t="str">
        <x:v>UFAN-0017</x:v>
      </x:c>
      <x:c r="C18" s="4" t="str">
        <x:v>粉丝团</x:v>
      </x:c>
      <x:c r="D18" s="4" t="str">
        <x:v>我的粉丝团（用户视角）</x:v>
      </x:c>
      <x:c r="E18" s="4" t="str">
        <x:v>功能需求</x:v>
      </x:c>
      <x:c r="F18" s="4" t="str">
        <x:v>P2</x:v>
      </x:c>
      <x:c r="G18" s="4" t="str">
        <x:v>验证我的粉丝团可查看粉丝团资料</x:v>
      </x:c>
      <x:c r="H18" s="4" t="str">
        <x:v>粉丝团资料展示</x:v>
      </x:c>
      <x:c r="I18" s="4" t="str">
        <x:v>1. 用户账号已登录且具备当前页面权限</x:v>
      </x:c>
      <x:c r="J18" s="4" t="str">
        <x:v>1. 进入我的粉丝团
2. 查看粉丝团资料</x:v>
      </x:c>
      <x:c r="K18" s="4" t="str">
        <x:v>我的粉丝团显示“粉丝团资料”</x:v>
      </x:c>
      <x:c r="L18" s="4" t="str"/>
      <x:c r="M18" s="4" t="str">
        <x:v>未测</x:v>
      </x:c>
      <x:c r="N18" s="4" t="str"/>
      <x:c r="O18" s="4" t="str">
        <x:v>1. 来源（原型批注）：liveshow-proto/prototype/annotations/user.js；my-fan-clubs.html
2. 页面：my-fan-clubs.html
3. 规则：BR-84A88D6501270C
4. 场景：SC-E6125526821902
5. 未动态验证</x:v>
      </x:c>
    </x:row>
    <x:row r="19" ht="54" customHeight="1">
      <x:c r="A19" s="4" t="n">
        <x:v>18</x:v>
      </x:c>
      <x:c r="B19" s="4" t="str">
        <x:v>UFAN-0018</x:v>
      </x:c>
      <x:c r="C19" s="4" t="str">
        <x:v>粉丝团</x:v>
      </x:c>
      <x:c r="D19" s="4" t="str">
        <x:v>我的粉丝团（用户视角）</x:v>
      </x:c>
      <x:c r="E19" s="4" t="str">
        <x:v>功能需求</x:v>
      </x:c>
      <x:c r="F19" s="4" t="str">
        <x:v>P2</x:v>
      </x:c>
      <x:c r="G19" s="4" t="str">
        <x:v>验证我的粉丝团可查看开播状态</x:v>
      </x:c>
      <x:c r="H19" s="4" t="str">
        <x:v>开播状态展示</x:v>
      </x:c>
      <x:c r="I19" s="4" t="str">
        <x:v>1. 用户账号已登录且具备当前页面权限</x:v>
      </x:c>
      <x:c r="J19" s="4" t="str">
        <x:v>1. 进入我的粉丝团
2. 查看开播状态</x:v>
      </x:c>
      <x:c r="K19" s="4" t="str">
        <x:v>我的粉丝团显示“开播状态”</x:v>
      </x:c>
      <x:c r="L19" s="4" t="str"/>
      <x:c r="M19" s="4" t="str">
        <x:v>未测</x:v>
      </x:c>
      <x:c r="N19" s="4" t="str"/>
      <x:c r="O19" s="4" t="str">
        <x:v>1. 来源（原型批注）：liveshow-proto/prototype/annotations/user.js；my-fan-clubs.html
2. 页面：my-fan-clubs.html
3. 规则：BR-0A504488FCDFC0
4. 场景：SC-9A3D574A4BAB51
5. 未动态验证</x:v>
      </x:c>
    </x:row>
    <x:row r="20" ht="54" customHeight="1">
      <x:c r="A20" s="4" t="n">
        <x:v>19</x:v>
      </x:c>
      <x:c r="B20" s="4" t="str">
        <x:v>UFAN-0019</x:v>
      </x:c>
      <x:c r="C20" s="4" t="str">
        <x:v>粉丝团</x:v>
      </x:c>
      <x:c r="D20" s="4" t="str">
        <x:v>我的粉丝团（用户视角）</x:v>
      </x:c>
      <x:c r="E20" s="4" t="str">
        <x:v>功能需求</x:v>
      </x:c>
      <x:c r="F20" s="4" t="str">
        <x:v>P2</x:v>
      </x:c>
      <x:c r="G20" s="4" t="str">
        <x:v>验证我的粉丝团可查看总贡献</x:v>
      </x:c>
      <x:c r="H20" s="4" t="str">
        <x:v>总贡献展示</x:v>
      </x:c>
      <x:c r="I20" s="4" t="str">
        <x:v>1. 用户账号已登录且具备当前页面权限</x:v>
      </x:c>
      <x:c r="J20" s="4" t="str">
        <x:v>1. 进入我的粉丝团
2. 查看总贡献</x:v>
      </x:c>
      <x:c r="K20" s="4" t="str">
        <x:v>我的粉丝团显示“总贡献”</x:v>
      </x:c>
      <x:c r="L20" s="4" t="str"/>
      <x:c r="M20" s="4" t="str">
        <x:v>未测</x:v>
      </x:c>
      <x:c r="N20" s="4" t="str"/>
      <x:c r="O20" s="4" t="str">
        <x:v>1. 来源（原型批注）：liveshow-proto/prototype/annotations/user.js；my-fan-clubs.html
2. 页面：my-fan-clubs.html
3. 规则：BR-ED5B4D2AC03A12
4. 场景：SC-C8100632519704
5. 未动态验证</x:v>
      </x:c>
    </x:row>
    <x:row r="21" ht="54" customHeight="1">
      <x:c r="A21" s="4" t="n">
        <x:v>20</x:v>
      </x:c>
      <x:c r="B21" s="4" t="str">
        <x:v>UFAN-0020</x:v>
      </x:c>
      <x:c r="C21" s="4" t="str">
        <x:v>粉丝团</x:v>
      </x:c>
      <x:c r="D21" s="4" t="str">
        <x:v>我的粉丝团（用户视角）</x:v>
      </x:c>
      <x:c r="E21" s="4" t="str">
        <x:v>功能需求</x:v>
      </x:c>
      <x:c r="F21" s="4" t="str">
        <x:v>P2</x:v>
      </x:c>
      <x:c r="G21" s="4" t="str">
        <x:v>验证主播直播中时的我的粉丝团结果</x:v>
      </x:c>
      <x:c r="H21" s="4" t="str">
        <x:v>我的粉丝团条件结果</x:v>
      </x:c>
      <x:c r="I21" s="4" t="str">
        <x:v>1. 用户账号已登录且具备当前页面权限
2. 主播直播中</x:v>
      </x:c>
      <x:c r="J21" s="4" t="str">
        <x:v>1. 进入我的粉丝团
2. 查看我的粉丝团</x:v>
      </x:c>
      <x:c r="K21" s="4" t="str">
        <x:v>显示直播入口</x:v>
      </x:c>
      <x:c r="L21" s="4" t="str"/>
      <x:c r="M21" s="4" t="str">
        <x:v>未测</x:v>
      </x:c>
      <x:c r="N21" s="4" t="str"/>
      <x:c r="O21" s="4" t="str">
        <x:v>1. 来源（原型批注）：liveshow-proto/prototype/annotations/user.js；my-fan-clubs.html
2. 页面：my-fan-clubs.html
3. 规则：BR-0A504488FCDFC0
4. 场景：SC-46F5803B4CA5B3
5. 未动态验证</x:v>
      </x:c>
    </x:row>
    <x:row r="22" ht="54" customHeight="1">
      <x:c r="A22" s="4" t="n">
        <x:v>21</x:v>
      </x:c>
      <x:c r="B22" s="4" t="str">
        <x:v>UFAN-0021</x:v>
      </x:c>
      <x:c r="C22" s="4" t="str">
        <x:v>粉丝团</x:v>
      </x:c>
      <x:c r="D22" s="4" t="str">
        <x:v>我的粉丝团（用户视角）</x:v>
      </x:c>
      <x:c r="E22" s="4" t="str">
        <x:v>业务流程</x:v>
      </x:c>
      <x:c r="F22" s="4" t="str">
        <x:v>P2</x:v>
      </x:c>
      <x:c r="G22" s="4" t="str">
        <x:v>验证主动退出后的我的粉丝团状态</x:v>
      </x:c>
      <x:c r="H22" s="4" t="str">
        <x:v>我的粉丝团状态</x:v>
      </x:c>
      <x:c r="I22" s="4" t="str">
        <x:v>1. 用户账号已登录且具备当前页面权限
2. 主动退出</x:v>
      </x:c>
      <x:c r="J22" s="4" t="str">
        <x:v>1. 进入我的粉丝团
2. 刷新我的粉丝团</x:v>
      </x:c>
      <x:c r="K22" s="4" t="str">
        <x:v>重新加入不恢复</x:v>
      </x:c>
      <x:c r="L22" s="4" t="str"/>
      <x:c r="M22" s="4" t="str">
        <x:v>未测</x:v>
      </x:c>
      <x:c r="N22" s="4" t="str"/>
      <x:c r="O22" s="4" t="str">
        <x:v>1. 来源（原型批注）：liveshow-proto/prototype/annotations/user.js；my-fan-clubs.html
2. 页面：my-fan-clubs.html
3. 规则：BR-3049A48493152A
4. 场景：SC-162EEFDADF1455
5. 未动态验证</x:v>
      </x:c>
    </x:row>
    <x:row r="23" ht="54" customHeight="1">
      <x:c r="A23" s="4" t="n">
        <x:v>22</x:v>
      </x:c>
      <x:c r="B23" s="4" t="str">
        <x:v>UPROF-0001</x:v>
      </x:c>
      <x:c r="C23" s="4" t="str">
        <x:v>个人中心</x:v>
      </x:c>
      <x:c r="D23" s="4" t="str">
        <x:v>黑名单管理（用户视角）</x:v>
      </x:c>
      <x:c r="E23" s="4" t="str">
        <x:v>功能需求</x:v>
      </x:c>
      <x:c r="F23" s="4" t="str">
        <x:v>P2</x:v>
      </x:c>
      <x:c r="G23" s="4" t="str">
        <x:v>验证处于同一第三方粉丝团时的黑名单管理结果</x:v>
      </x:c>
      <x:c r="H23" s="4" t="str">
        <x:v>黑名单管理条件结果</x:v>
      </x:c>
      <x:c r="I23" s="4" t="str">
        <x:v>1. 用户账号已登录且具备当前页面权限
2. 处于同一第三方粉丝团</x:v>
      </x:c>
      <x:c r="J23" s="4" t="str">
        <x:v>1. 进入黑名单管理
2. 查看黑名单管理</x:v>
      </x:c>
      <x:c r="K23" s="4" t="str">
        <x:v>不能点击查看对方主页</x:v>
      </x:c>
      <x:c r="L23" s="4" t="str"/>
      <x:c r="M23" s="4" t="str">
        <x:v>未测</x:v>
      </x:c>
      <x:c r="N23" s="4" t="str"/>
      <x:c r="O23" s="4" t="str">
        <x:v>1. 来源（原型批注）：liveshow-proto/prototype/annotations/user.js；blacklist-management.html
2. 页面：blacklist-management.html
3. 规则：BR-7132242ED8076A
4. 场景：SC-D515F7280CDADA
5. 未动态验证</x:v>
      </x:c>
    </x:row>
    <x:row r="24" ht="54" customHeight="1">
      <x:c r="A24" s="4" t="n">
        <x:v>23</x:v>
      </x:c>
      <x:c r="B24" s="4" t="str">
        <x:v>UPROF-0002</x:v>
      </x:c>
      <x:c r="C24" s="4" t="str">
        <x:v>个人中心</x:v>
      </x:c>
      <x:c r="D24" s="4" t="str">
        <x:v>黑名单管理（用户视角）</x:v>
      </x:c>
      <x:c r="E24" s="4" t="str">
        <x:v>业务流程</x:v>
      </x:c>
      <x:c r="F24" s="4" t="str">
        <x:v>P2</x:v>
      </x:c>
      <x:c r="G24" s="4" t="str">
        <x:v>验证从用户主页后的黑名单管理状态</x:v>
      </x:c>
      <x:c r="H24" s="4" t="str">
        <x:v>黑名单管理状态</x:v>
      </x:c>
      <x:c r="I24" s="4" t="str">
        <x:v>1. 用户账号已登录且具备当前页面权限
2. 从用户主页</x:v>
      </x:c>
      <x:c r="J24" s="4" t="str">
        <x:v>1. 进入黑名单管理
2. 刷新黑名单管理</x:v>
      </x:c>
      <x:c r="K24" s="4" t="str">
        <x:v>显示确认弹窗</x:v>
      </x:c>
      <x:c r="L24" s="4" t="str"/>
      <x:c r="M24" s="4" t="str">
        <x:v>未测</x:v>
      </x:c>
      <x:c r="N24" s="4" t="str"/>
      <x:c r="O24" s="4" t="str">
        <x:v>1. 来源（原型批注）：liveshow-proto/prototype/annotations/user.js；blacklist-management.html
2. 页面：blacklist-management.html
3. 规则：BR-5006F2F4982946
4. 场景：SC-C5B71E43B6E354
5. 未动态验证</x:v>
      </x:c>
    </x:row>
    <x:row r="25" ht="54" customHeight="1">
      <x:c r="A25" s="4" t="n">
        <x:v>24</x:v>
      </x:c>
      <x:c r="B25" s="4" t="str">
        <x:v>UPROF-0003</x:v>
      </x:c>
      <x:c r="C25" s="4" t="str">
        <x:v>个人中心</x:v>
      </x:c>
      <x:c r="D25" s="4" t="str">
        <x:v>黑名单管理（用户视角）</x:v>
      </x:c>
      <x:c r="E25" s="4" t="str">
        <x:v>逻辑校验</x:v>
      </x:c>
      <x:c r="F25" s="4" t="str">
        <x:v>P2</x:v>
      </x:c>
      <x:c r="G25" s="4" t="str">
        <x:v>验证黑名单管理按指定范围筛选</x:v>
      </x:c>
      <x:c r="H25" s="4" t="str">
        <x:v>黑名单管理数据范围</x:v>
      </x:c>
      <x:c r="I25" s="4" t="str">
        <x:v>1. 用户账号已登录且具备当前页面权限
2. 存在符合和不符合“当前账号主动拉黑且尚未解除的账号，不列出仅拉黑了当前用户的账号”的记录</x:v>
      </x:c>
      <x:c r="J25" s="4" t="str">
        <x:v>1. 进入黑名单管理
2. 查看黑名单管理</x:v>
      </x:c>
      <x:c r="K25" s="4" t="str">
        <x:v>数据范围：当前账号主动拉黑且尚未解除的账号，不列出仅拉黑了当前用户的账号</x:v>
      </x:c>
      <x:c r="L25" s="4" t="str"/>
      <x:c r="M25" s="4" t="str">
        <x:v>未测</x:v>
      </x:c>
      <x:c r="N25" s="4" t="str"/>
      <x:c r="O25" s="4" t="str">
        <x:v>1. 来源（原型批注）：liveshow-proto/prototype/annotations/user.js；blacklist-management.html
2. 页面：blacklist-management.html
3. 规则：BR-62B4E7499880AE
4. 场景：SC-DAF463A5513E4D
5. 未动态验证</x:v>
      </x:c>
    </x:row>
    <x:row r="26" ht="54" customHeight="1">
      <x:c r="A26" s="4" t="n">
        <x:v>25</x:v>
      </x:c>
      <x:c r="B26" s="4" t="str">
        <x:v>UPROF-0004</x:v>
      </x:c>
      <x:c r="C26" s="4" t="str">
        <x:v>个人中心</x:v>
      </x:c>
      <x:c r="D26" s="4" t="str">
        <x:v>黑名单管理（用户视角）</x:v>
      </x:c>
      <x:c r="E26" s="4" t="str">
        <x:v>功能需求</x:v>
      </x:c>
      <x:c r="F26" s="4" t="str">
        <x:v>P2</x:v>
      </x:c>
      <x:c r="G26" s="4" t="str">
        <x:v>验证黑名单管理可查看黑名单用户</x:v>
      </x:c>
      <x:c r="H26" s="4" t="str">
        <x:v>黑名单用户展示</x:v>
      </x:c>
      <x:c r="I26" s="4" t="str">
        <x:v>1. 用户账号已登录且具备当前页面权限</x:v>
      </x:c>
      <x:c r="J26" s="4" t="str">
        <x:v>1. 进入黑名单管理
2. 查看黑名单用户</x:v>
      </x:c>
      <x:c r="K26" s="4" t="str">
        <x:v>黑名单管理显示“黑名单用户”</x:v>
      </x:c>
      <x:c r="L26" s="4" t="str"/>
      <x:c r="M26" s="4" t="str">
        <x:v>未测</x:v>
      </x:c>
      <x:c r="N26" s="4" t="str"/>
      <x:c r="O26" s="4" t="str">
        <x:v>1. 来源（原型批注）：liveshow-proto/prototype/annotations/user.js；blacklist-management.html
2. 页面：blacklist-management.html
3. 规则：BR-9AAF0D72839D3B
4. 场景：SC-F4A0729FAFC943
5. 未动态验证</x:v>
      </x:c>
    </x:row>
    <x:row r="27" ht="54" customHeight="1">
      <x:c r="A27" s="4" t="n">
        <x:v>26</x:v>
      </x:c>
      <x:c r="B27" s="4" t="str">
        <x:v>UPROF-0005</x:v>
      </x:c>
      <x:c r="C27" s="4" t="str">
        <x:v>个人中心</x:v>
      </x:c>
      <x:c r="D27" s="4" t="str">
        <x:v>黑名单管理（用户视角）</x:v>
      </x:c>
      <x:c r="E27" s="4" t="str">
        <x:v>业务流程</x:v>
      </x:c>
      <x:c r="F27" s="4" t="str">
        <x:v>P2</x:v>
      </x:c>
      <x:c r="G27" s="4" t="str">
        <x:v>验证拉黑后的黑名单管理状态</x:v>
      </x:c>
      <x:c r="H27" s="4" t="str">
        <x:v>黑名单管理状态</x:v>
      </x:c>
      <x:c r="I27" s="4" t="str">
        <x:v>1. 用户账号已登录且具备当前页面权限
2. 拉黑</x:v>
      </x:c>
      <x:c r="J27" s="4" t="str">
        <x:v>1. 进入黑名单管理
2. 刷新黑名单管理</x:v>
      </x:c>
      <x:c r="K27" s="4" t="str">
        <x:v>双向解除关注和好友关系</x:v>
      </x:c>
      <x:c r="L27" s="4" t="str"/>
      <x:c r="M27" s="4" t="str">
        <x:v>未测</x:v>
      </x:c>
      <x:c r="N27" s="4" t="str"/>
      <x:c r="O27" s="4" t="str">
        <x:v>1. 来源（原型批注）：liveshow-proto/prototype/annotations/user.js；blacklist-management.html
2. 页面：blacklist-management.html
3. 规则：BR-49C1BD0E5EAB18
4. 场景：SC-E2C12E0D0BD511
5. 未动态验证</x:v>
      </x:c>
    </x:row>
    <x:row r="28" ht="54" customHeight="1">
      <x:c r="A28" s="4" t="n">
        <x:v>27</x:v>
      </x:c>
      <x:c r="B28" s="4" t="str">
        <x:v>UPROF-0006</x:v>
      </x:c>
      <x:c r="C28" s="4" t="str">
        <x:v>个人中心</x:v>
      </x:c>
      <x:c r="D28" s="4" t="str">
        <x:v>黑名单管理（用户视角）</x:v>
      </x:c>
      <x:c r="E28" s="4" t="str">
        <x:v>业务流程</x:v>
      </x:c>
      <x:c r="F28" s="4" t="str">
        <x:v>P2</x:v>
      </x:c>
      <x:c r="G28" s="4" t="str">
        <x:v>验证聊天设置点击拉黑后的黑名单管理状态</x:v>
      </x:c>
      <x:c r="H28" s="4" t="str">
        <x:v>黑名单管理状态</x:v>
      </x:c>
      <x:c r="I28" s="4" t="str">
        <x:v>1. 用户账号已登录且具备当前页面权限
2. 聊天设置点击拉黑</x:v>
      </x:c>
      <x:c r="J28" s="4" t="str">
        <x:v>1. 进入黑名单管理
2. 刷新黑名单管理</x:v>
      </x:c>
      <x:c r="K28" s="4" t="str">
        <x:v>显示确认弹窗</x:v>
      </x:c>
      <x:c r="L28" s="4" t="str"/>
      <x:c r="M28" s="4" t="str">
        <x:v>未测</x:v>
      </x:c>
      <x:c r="N28" s="4" t="str"/>
      <x:c r="O28" s="4" t="str">
        <x:v>1. 来源（原型批注）：liveshow-proto/prototype/annotations/user.js；blacklist-management.html
2. 页面：blacklist-management.html
3. 规则：BR-5006F2F4982946
4. 场景：SC-B8D0E842D45447
5. 未动态验证</x:v>
      </x:c>
    </x:row>
    <x:row r="29" ht="54" customHeight="1">
      <x:c r="A29" s="4" t="n">
        <x:v>28</x:v>
      </x:c>
      <x:c r="B29" s="4" t="str">
        <x:v>UPROF-0007</x:v>
      </x:c>
      <x:c r="C29" s="4" t="str">
        <x:v>个人中心</x:v>
      </x:c>
      <x:c r="D29" s="4" t="str">
        <x:v>黑名单管理（用户视角）</x:v>
      </x:c>
      <x:c r="E29" s="4" t="str">
        <x:v>异常用例</x:v>
      </x:c>
      <x:c r="F29" s="4" t="str">
        <x:v>P2</x:v>
      </x:c>
      <x:c r="G29" s="4" t="str">
        <x:v>验证请求失败后的黑名单管理状态</x:v>
      </x:c>
      <x:c r="H29" s="4" t="str">
        <x:v>黑名单管理状态</x:v>
      </x:c>
      <x:c r="I29" s="4" t="str">
        <x:v>1. 用户账号已登录且具备当前页面权限
2. 请求失败</x:v>
      </x:c>
      <x:c r="J29" s="4" t="str">
        <x:v>1. 进入黑名单管理
2. 刷新黑名单管理</x:v>
      </x:c>
      <x:c r="K29" s="4" t="str">
        <x:v>保持原状态</x:v>
      </x:c>
      <x:c r="L29" s="4" t="str"/>
      <x:c r="M29" s="4" t="str">
        <x:v>未测</x:v>
      </x:c>
      <x:c r="N29" s="4" t="str"/>
      <x:c r="O29" s="4" t="str">
        <x:v>1. 来源（原型批注）：liveshow-proto/prototype/annotations/user.js；blacklist-management.html
2. 页面：blacklist-management.html
3. 规则：BR-DBB7E226FC3B21
4. 场景：SC-38726605F2F242
5. 未动态验证</x:v>
      </x:c>
    </x:row>
    <x:row r="30" ht="54" customHeight="1">
      <x:c r="A30" s="4" t="n">
        <x:v>29</x:v>
      </x:c>
      <x:c r="B30" s="4" t="str">
        <x:v>UPROF-0008</x:v>
      </x:c>
      <x:c r="C30" s="4" t="str">
        <x:v>个人中心</x:v>
      </x:c>
      <x:c r="D30" s="4" t="str">
        <x:v>黑名单管理（用户视角）</x:v>
      </x:c>
      <x:c r="E30" s="4" t="str">
        <x:v>业务流程</x:v>
      </x:c>
      <x:c r="F30" s="4" t="str">
        <x:v>P2</x:v>
      </x:c>
      <x:c r="G30" s="4" t="str">
        <x:v>验证确认后的黑名单管理状态</x:v>
      </x:c>
      <x:c r="H30" s="4" t="str">
        <x:v>黑名单管理状态</x:v>
      </x:c>
      <x:c r="I30" s="4" t="str">
        <x:v>1. 用户账号已登录且具备当前页面权限</x:v>
      </x:c>
      <x:c r="J30" s="4" t="str">
        <x:v>1. 进入黑名单管理
2. 确认</x:v>
      </x:c>
      <x:c r="K30" s="4" t="str">
        <x:v>取消不改变状态</x:v>
      </x:c>
      <x:c r="L30" s="4" t="str"/>
      <x:c r="M30" s="4" t="str">
        <x:v>未测</x:v>
      </x:c>
      <x:c r="N30" s="4" t="str"/>
      <x:c r="O30" s="4" t="str">
        <x:v>1. 来源（原型批注）：liveshow-proto/prototype/annotations/user.js；blacklist-management.html
2. 页面：blacklist-management.html
3. 规则：BR-1C7F8AC23E8393
4. 场景：SC-CBED1E8D426D10
5. 未动态验证</x:v>
      </x:c>
    </x:row>
    <x:row r="31" ht="54" customHeight="1">
      <x:c r="A31" s="4" t="n">
        <x:v>30</x:v>
      </x:c>
      <x:c r="B31" s="4" t="str">
        <x:v>UPROF-0009</x:v>
      </x:c>
      <x:c r="C31" s="4" t="str">
        <x:v>个人中心</x:v>
      </x:c>
      <x:c r="D31" s="4" t="str">
        <x:v>黑名单管理（用户视角）</x:v>
      </x:c>
      <x:c r="E31" s="4" t="str">
        <x:v>功能需求</x:v>
      </x:c>
      <x:c r="F31" s="4" t="str">
        <x:v>P2</x:v>
      </x:c>
      <x:c r="G31" s="4" t="str">
        <x:v>验证首页、分类、搜索和推荐时的黑名单管理结果</x:v>
      </x:c>
      <x:c r="H31" s="4" t="str">
        <x:v>黑名单管理条件结果</x:v>
      </x:c>
      <x:c r="I31" s="4" t="str">
        <x:v>1. 用户账号已登录且具备当前页面权限
2. 首页、分类、搜索和推荐</x:v>
      </x:c>
      <x:c r="J31" s="4" t="str">
        <x:v>1. 进入黑名单管理
2. 查看黑名单管理</x:v>
      </x:c>
      <x:c r="K31" s="4" t="str">
        <x:v>首页、分类、搜索和推荐不展示对方的直播间卡片</x:v>
      </x:c>
      <x:c r="L31" s="4" t="str"/>
      <x:c r="M31" s="4" t="str">
        <x:v>未测</x:v>
      </x:c>
      <x:c r="N31" s="4" t="str"/>
      <x:c r="O31" s="4" t="str">
        <x:v>1. 来源（原型批注）：liveshow-proto/prototype/annotations/user.js；blacklist-management.html
2. 页面：blacklist-management.html
3. 规则：BR-6FCE062019F40B
4. 场景：SC-6B2F160A4EF3F5
5. 未动态验证</x:v>
      </x:c>
    </x:row>
    <x:row r="32" ht="54" customHeight="1">
      <x:c r="A32" s="4" t="n">
        <x:v>31</x:v>
      </x:c>
      <x:c r="B32" s="4" t="str">
        <x:v>UPROF-0010</x:v>
      </x:c>
      <x:c r="C32" s="4" t="str">
        <x:v>个人中心</x:v>
      </x:c>
      <x:c r="D32" s="4" t="str">
        <x:v>黑名单管理（用户视角）</x:v>
      </x:c>
      <x:c r="E32" s="4" t="str">
        <x:v>功能需求</x:v>
      </x:c>
      <x:c r="F32" s="4" t="str">
        <x:v>P2</x:v>
      </x:c>
      <x:c r="G32" s="4" t="str">
        <x:v>验证双方处于同一第三方直播间时的黑名单管理结果</x:v>
      </x:c>
      <x:c r="H32" s="4" t="str">
        <x:v>黑名单管理条件结果</x:v>
      </x:c>
      <x:c r="I32" s="4" t="str">
        <x:v>1. 用户账号已登录且具备当前页面权限
2. 双方处于同一第三方直播间</x:v>
      </x:c>
      <x:c r="J32" s="4" t="str">
        <x:v>1. 进入黑名单管理
2. 查看黑名单管理</x:v>
      </x:c>
      <x:c r="K32" s="4" t="str">
        <x:v>不能查看对方主页或 @ 对方</x:v>
      </x:c>
      <x:c r="L32" s="4" t="str"/>
      <x:c r="M32" s="4" t="str">
        <x:v>未测</x:v>
      </x:c>
      <x:c r="N32" s="4" t="str"/>
      <x:c r="O32" s="4" t="str">
        <x:v>1. 来源（原型批注）：liveshow-proto/prototype/annotations/user.js；blacklist-management.html
2. 页面：blacklist-management.html
3. 规则：BR-D2EDF8E620AA09
4. 场景：SC-FE867CEDDDCF3F
5. 未动态验证</x:v>
      </x:c>
    </x:row>
    <x:row r="33" ht="54" customHeight="1">
      <x:c r="A33" s="4" t="n">
        <x:v>32</x:v>
      </x:c>
      <x:c r="B33" s="4" t="str">
        <x:v>UPROF-0011</x:v>
      </x:c>
      <x:c r="C33" s="4" t="str">
        <x:v>个人中心</x:v>
      </x:c>
      <x:c r="D33" s="4" t="str">
        <x:v>黑名单管理（用户视角）</x:v>
      </x:c>
      <x:c r="E33" s="4" t="str">
        <x:v>业务流程</x:v>
      </x:c>
      <x:c r="F33" s="4" t="str">
        <x:v>P2</x:v>
      </x:c>
      <x:c r="G33" s="4" t="str">
        <x:v>验证巡房结束后的黑名单管理状态</x:v>
      </x:c>
      <x:c r="H33" s="4" t="str">
        <x:v>黑名单管理状态</x:v>
      </x:c>
      <x:c r="I33" s="4" t="str">
        <x:v>1. 用户账号已登录且具备当前页面权限
2. 巡房结束</x:v>
      </x:c>
      <x:c r="J33" s="4" t="str">
        <x:v>1. 进入黑名单管理
2. 刷新黑名单管理</x:v>
      </x:c>
      <x:c r="K33" s="4" t="str">
        <x:v>恢复限制</x:v>
      </x:c>
      <x:c r="L33" s="4" t="str"/>
      <x:c r="M33" s="4" t="str">
        <x:v>未测</x:v>
      </x:c>
      <x:c r="N33" s="4" t="str"/>
      <x:c r="O33" s="4" t="str">
        <x:v>1. 来源（原型批注）：liveshow-proto/prototype/annotations/user.js；blacklist-management.html
2. 页面：blacklist-management.html
3. 规则：BR-7ACED06A679723
4. 场景：SC-BBC6A63BEFB2A4
5. 未动态验证</x:v>
      </x:c>
    </x:row>
    <x:row r="34" ht="54" customHeight="1">
      <x:c r="A34" s="4" t="n">
        <x:v>33</x:v>
      </x:c>
      <x:c r="B34" s="4" t="str">
        <x:v>UPROF-0012</x:v>
      </x:c>
      <x:c r="C34" s="4" t="str">
        <x:v>个人中心</x:v>
      </x:c>
      <x:c r="D34" s="4" t="str">
        <x:v>黑名单管理（用户视角）</x:v>
      </x:c>
      <x:c r="E34" s="4" t="str">
        <x:v>功能需求</x:v>
      </x:c>
      <x:c r="F34" s="4" t="str">
        <x:v>P2</x:v>
      </x:c>
      <x:c r="G34" s="4" t="str">
        <x:v>验证主播拉黑直播间内的对方时的黑名单管理结果</x:v>
      </x:c>
      <x:c r="H34" s="4" t="str">
        <x:v>黑名单管理条件结果</x:v>
      </x:c>
      <x:c r="I34" s="4" t="str">
        <x:v>1. 用户账号已登录且具备当前页面权限
2. 主播拉黑直播间内的对方</x:v>
      </x:c>
      <x:c r="J34" s="4" t="str">
        <x:v>1. 进入黑名单管理
2. 查看黑名单管理</x:v>
      </x:c>
      <x:c r="K34" s="4" t="str">
        <x:v>对方立即退出</x:v>
      </x:c>
      <x:c r="L34" s="4" t="str"/>
      <x:c r="M34" s="4" t="str">
        <x:v>未测</x:v>
      </x:c>
      <x:c r="N34" s="4" t="str"/>
      <x:c r="O34" s="4" t="str">
        <x:v>1. 来源（原型批注）：liveshow-proto/prototype/annotations/user.js；blacklist-management.html
2. 页面：blacklist-management.html
3. 规则：BR-AB121B52AD73B3
4. 场景：SC-3212FF2CBEB0C2
5. 未动态验证</x:v>
      </x:c>
    </x:row>
    <x:row r="35" ht="54" customHeight="1">
      <x:c r="A35" s="4" t="n">
        <x:v>34</x:v>
      </x:c>
      <x:c r="B35" s="4" t="str">
        <x:v>UPROF-0013</x:v>
      </x:c>
      <x:c r="C35" s="4" t="str">
        <x:v>个人中心</x:v>
      </x:c>
      <x:c r="D35" s="4" t="str">
        <x:v>黑名单管理（用户视角）</x:v>
      </x:c>
      <x:c r="E35" s="4" t="str">
        <x:v>业务流程</x:v>
      </x:c>
      <x:c r="F35" s="4" t="str">
        <x:v>P2</x:v>
      </x:c>
      <x:c r="G35" s="4" t="str">
        <x:v>验证主播主页后的黑名单管理状态</x:v>
      </x:c>
      <x:c r="H35" s="4" t="str">
        <x:v>黑名单管理状态</x:v>
      </x:c>
      <x:c r="I35" s="4" t="str">
        <x:v>1. 用户账号已登录且具备当前页面权限
2. 主播主页</x:v>
      </x:c>
      <x:c r="J35" s="4" t="str">
        <x:v>1. 进入黑名单管理
2. 刷新黑名单管理</x:v>
      </x:c>
      <x:c r="K35" s="4" t="str">
        <x:v>显示确认弹窗</x:v>
      </x:c>
      <x:c r="L35" s="4" t="str"/>
      <x:c r="M35" s="4" t="str">
        <x:v>未测</x:v>
      </x:c>
      <x:c r="N35" s="4" t="str"/>
      <x:c r="O35" s="4" t="str">
        <x:v>1. 来源（原型批注）：liveshow-proto/prototype/annotations/user.js；blacklist-management.html
2. 页面：blacklist-management.html
3. 规则：BR-5006F2F4982946
4. 场景：SC-C26A82A0036F62
5. 未动态验证</x:v>
      </x:c>
    </x:row>
    <x:row r="36" ht="54" customHeight="1">
      <x:c r="A36" s="4" t="n">
        <x:v>35</x:v>
      </x:c>
      <x:c r="B36" s="4" t="str">
        <x:v>UPROF-0014</x:v>
      </x:c>
      <x:c r="C36" s="4" t="str">
        <x:v>个人中心</x:v>
      </x:c>
      <x:c r="D36" s="4" t="str">
        <x:v>黑名单管理（用户视角）</x:v>
      </x:c>
      <x:c r="E36" s="4" t="str">
        <x:v>业务流程</x:v>
      </x:c>
      <x:c r="F36" s="4" t="str">
        <x:v>P2</x:v>
      </x:c>
      <x:c r="G36" s="4" t="str">
        <x:v>验证A 拉黑 B后的黑名单管理状态</x:v>
      </x:c>
      <x:c r="H36" s="4" t="str">
        <x:v>黑名单管理状态</x:v>
      </x:c>
      <x:c r="I36" s="4" t="str">
        <x:v>1. 用户账号已登录且具备当前页面权限
2. A 拉黑 B</x:v>
      </x:c>
      <x:c r="J36" s="4" t="str">
        <x:v>1. 进入黑名单管理
2. 刷新黑名单管理</x:v>
      </x:c>
      <x:c r="K36" s="4" t="str">
        <x:v>B 进入 A 的黑名单</x:v>
      </x:c>
      <x:c r="L36" s="4" t="str"/>
      <x:c r="M36" s="4" t="str">
        <x:v>未测</x:v>
      </x:c>
      <x:c r="N36" s="4" t="str"/>
      <x:c r="O36" s="4" t="str">
        <x:v>1. 来源（原型批注）：liveshow-proto/prototype/annotations/user.js；blacklist-management.html
2. 页面：blacklist-management.html
3. 规则：BR-38D350BAA695DB
4. 场景：SC-87EF876B138C26
5. 未动态验证</x:v>
      </x:c>
    </x:row>
    <x:row r="37" ht="54" customHeight="1">
      <x:c r="A37" s="4" t="n">
        <x:v>36</x:v>
      </x:c>
      <x:c r="B37" s="4" t="str">
        <x:v>UPROF-0015</x:v>
      </x:c>
      <x:c r="C37" s="4" t="str">
        <x:v>个人中心</x:v>
      </x:c>
      <x:c r="D37" s="4" t="str">
        <x:v>聊天气泡（用户视角）</x:v>
      </x:c>
      <x:c r="E37" s="4" t="str">
        <x:v>业务流程</x:v>
      </x:c>
      <x:c r="F37" s="4" t="str">
        <x:v>P2</x:v>
      </x:c>
      <x:c r="G37" s="4" t="str">
        <x:v>验证被回收后的聊天气泡状态</x:v>
      </x:c>
      <x:c r="H37" s="4" t="str">
        <x:v>聊天气泡状态</x:v>
      </x:c>
      <x:c r="I37" s="4" t="str">
        <x:v>1. 用户账号已登录且具备当前页面权限
2. 被回收</x:v>
      </x:c>
      <x:c r="J37" s="4" t="str">
        <x:v>1. 进入聊天气泡
2. 刷新聊天气泡</x:v>
      </x:c>
      <x:c r="K37" s="4" t="str">
        <x:v>立即停止在私信、群聊和直播公屏展示</x:v>
      </x:c>
      <x:c r="L37" s="4" t="str"/>
      <x:c r="M37" s="4" t="str">
        <x:v>未测</x:v>
      </x:c>
      <x:c r="N37" s="4" t="str"/>
      <x:c r="O37" s="4" t="str">
        <x:v>1. 来源（原型批注）：liveshow-proto/prototype/annotations/user.js；my-decoration-chat-bubble.html
2. 页面：my-decoration-chat-bubble.html
3. 规则：BR-6843093AD01873
4. 场景：SC-E8208B1736CFE5
5. 未动态验证</x:v>
      </x:c>
    </x:row>
    <x:row r="38" ht="54" customHeight="1">
      <x:c r="A38" s="4" t="n">
        <x:v>37</x:v>
      </x:c>
      <x:c r="B38" s="4" t="str">
        <x:v>UPROF-0016</x:v>
      </x:c>
      <x:c r="C38" s="4" t="str">
        <x:v>个人中心</x:v>
      </x:c>
      <x:c r="D38" s="4" t="str">
        <x:v>聊天气泡（用户视角）</x:v>
      </x:c>
      <x:c r="E38" s="4" t="str">
        <x:v>业务流程</x:v>
      </x:c>
      <x:c r="F38" s="4" t="str">
        <x:v>P2</x:v>
      </x:c>
      <x:c r="G38" s="4" t="str">
        <x:v>验证穿戴后的聊天气泡状态</x:v>
      </x:c>
      <x:c r="H38" s="4" t="str">
        <x:v>聊天气泡状态</x:v>
      </x:c>
      <x:c r="I38" s="4" t="str">
        <x:v>1. 用户账号已登录且具备当前页面权限
2. 穿戴</x:v>
      </x:c>
      <x:c r="J38" s="4" t="str">
        <x:v>1. 进入聊天气泡
2. 刷新聊天气泡</x:v>
      </x:c>
      <x:c r="K38" s="4" t="str">
        <x:v>更新后续消息样式</x:v>
      </x:c>
      <x:c r="L38" s="4" t="str"/>
      <x:c r="M38" s="4" t="str">
        <x:v>未测</x:v>
      </x:c>
      <x:c r="N38" s="4" t="str"/>
      <x:c r="O38" s="4" t="str">
        <x:v>1. 来源（原型批注）：liveshow-proto/prototype/annotations/user.js；my-decoration-chat-bubble.html
2. 页面：my-decoration-chat-bubble.html
3. 规则：BR-119D10C4C61F59
4. 场景：SC-463F05E9464790
5. 未动态验证</x:v>
      </x:c>
    </x:row>
    <x:row r="39" ht="54" customHeight="1">
      <x:c r="A39" s="4" t="n">
        <x:v>38</x:v>
      </x:c>
      <x:c r="B39" s="4" t="str">
        <x:v>UPROF-0017</x:v>
      </x:c>
      <x:c r="C39" s="4" t="str">
        <x:v>个人中心</x:v>
      </x:c>
      <x:c r="D39" s="4" t="str">
        <x:v>聊天气泡（用户视角）</x:v>
      </x:c>
      <x:c r="E39" s="4" t="str">
        <x:v>业务流程</x:v>
      </x:c>
      <x:c r="F39" s="4" t="str">
        <x:v>P2</x:v>
      </x:c>
      <x:c r="G39" s="4" t="str">
        <x:v>验证过期后的聊天气泡状态</x:v>
      </x:c>
      <x:c r="H39" s="4" t="str">
        <x:v>聊天气泡状态</x:v>
      </x:c>
      <x:c r="I39" s="4" t="str">
        <x:v>1. 用户账号已登录且具备当前页面权限
2. 过期</x:v>
      </x:c>
      <x:c r="J39" s="4" t="str">
        <x:v>1. 进入聊天气泡
2. 刷新聊天气泡</x:v>
      </x:c>
      <x:c r="K39" s="4" t="str">
        <x:v>立即停止在私信、群聊和直播公屏展示</x:v>
      </x:c>
      <x:c r="L39" s="4" t="str"/>
      <x:c r="M39" s="4" t="str">
        <x:v>未测</x:v>
      </x:c>
      <x:c r="N39" s="4" t="str"/>
      <x:c r="O39" s="4" t="str">
        <x:v>1. 来源（原型批注）：liveshow-proto/prototype/annotations/user.js；my-decoration-chat-bubble.html
2. 页面：my-decoration-chat-bubble.html
3. 规则：BR-6843093AD01873
4. 场景：SC-8745969E810086
5. 未动态验证</x:v>
      </x:c>
    </x:row>
    <x:row r="40" ht="54" customHeight="1">
      <x:c r="A40" s="4" t="n">
        <x:v>39</x:v>
      </x:c>
      <x:c r="B40" s="4" t="str">
        <x:v>UPROF-0018</x:v>
      </x:c>
      <x:c r="C40" s="4" t="str">
        <x:v>个人中心</x:v>
      </x:c>
      <x:c r="D40" s="4" t="str">
        <x:v>聊天气泡（用户视角）</x:v>
      </x:c>
      <x:c r="E40" s="4" t="str">
        <x:v>逻辑校验</x:v>
      </x:c>
      <x:c r="F40" s="4" t="str">
        <x:v>P2</x:v>
      </x:c>
      <x:c r="G40" s="4" t="str">
        <x:v>验证聊天气泡按指定范围筛选</x:v>
      </x:c>
      <x:c r="H40" s="4" t="str">
        <x:v>聊天气泡数据范围</x:v>
      </x:c>
      <x:c r="I40" s="4" t="str">
        <x:v>1. 用户账号已登录且具备当前页面权限
2. 存在符合和不符合“当前账号持有的聊天气泡”的记录</x:v>
      </x:c>
      <x:c r="J40" s="4" t="str">
        <x:v>1. 进入聊天气泡
2. 查看聊天气泡</x:v>
      </x:c>
      <x:c r="K40" s="4" t="str">
        <x:v>数据范围：当前账号持有的聊天气泡</x:v>
      </x:c>
      <x:c r="L40" s="4" t="str"/>
      <x:c r="M40" s="4" t="str">
        <x:v>未测</x:v>
      </x:c>
      <x:c r="N40" s="4" t="str"/>
      <x:c r="O40" s="4" t="str">
        <x:v>1. 来源（原型批注）：liveshow-proto/prototype/annotations/user.js；my-decoration-chat-bubble.html
2. 页面：my-decoration-chat-bubble.html
3. 规则：BR-A2D44637B550F7
4. 场景：SC-B3EFE517D34ADE
5. 未动态验证</x:v>
      </x:c>
    </x:row>
    <x:row r="41" ht="54" customHeight="1">
      <x:c r="A41" s="4" t="n">
        <x:v>40</x:v>
      </x:c>
      <x:c r="B41" s="4" t="str">
        <x:v>UPROF-0019</x:v>
      </x:c>
      <x:c r="C41" s="4" t="str">
        <x:v>个人中心</x:v>
      </x:c>
      <x:c r="D41" s="4" t="str">
        <x:v>聊天气泡（用户视角）</x:v>
      </x:c>
      <x:c r="E41" s="4" t="str">
        <x:v>功能需求</x:v>
      </x:c>
      <x:c r="F41" s="4" t="str">
        <x:v>P2</x:v>
      </x:c>
      <x:c r="G41" s="4" t="str">
        <x:v>验证聊天气泡可查看聊天气泡预览 / 名称</x:v>
      </x:c>
      <x:c r="H41" s="4" t="str">
        <x:v>聊天气泡预览 / 名称展示</x:v>
      </x:c>
      <x:c r="I41" s="4" t="str">
        <x:v>1. 用户账号已登录且具备当前页面权限</x:v>
      </x:c>
      <x:c r="J41" s="4" t="str">
        <x:v>1. 进入聊天气泡
2. 查看聊天气泡预览 / 名称</x:v>
      </x:c>
      <x:c r="K41" s="4" t="str">
        <x:v>聊天气泡显示“聊天气泡预览 / 名称”</x:v>
      </x:c>
      <x:c r="L41" s="4" t="str"/>
      <x:c r="M41" s="4" t="str">
        <x:v>未测</x:v>
      </x:c>
      <x:c r="N41" s="4" t="str"/>
      <x:c r="O41" s="4" t="str">
        <x:v>1. 来源（原型批注）：liveshow-proto/prototype/annotations/user.js；my-decoration-chat-bubble.html
2. 页面：my-decoration-chat-bubble.html
3. 规则：BR-E9CBE6363A354C
4. 场景：SC-7006C2F5205DB4
5. 未动态验证</x:v>
      </x:c>
    </x:row>
    <x:row r="42" ht="54" customHeight="1">
      <x:c r="A42" s="4" t="n">
        <x:v>41</x:v>
      </x:c>
      <x:c r="B42" s="4" t="str">
        <x:v>UPROF-0020</x:v>
      </x:c>
      <x:c r="C42" s="4" t="str">
        <x:v>个人中心</x:v>
      </x:c>
      <x:c r="D42" s="4" t="str">
        <x:v>聊天气泡（用户视角）</x:v>
      </x:c>
      <x:c r="E42" s="4" t="str">
        <x:v>功能需求</x:v>
      </x:c>
      <x:c r="F42" s="4" t="str">
        <x:v>P2</x:v>
      </x:c>
      <x:c r="G42" s="4" t="str">
        <x:v>验证聊天气泡可查看佩戴状态</x:v>
      </x:c>
      <x:c r="H42" s="4" t="str">
        <x:v>佩戴状态展示</x:v>
      </x:c>
      <x:c r="I42" s="4" t="str">
        <x:v>1. 用户账号已登录且具备当前页面权限</x:v>
      </x:c>
      <x:c r="J42" s="4" t="str">
        <x:v>1. 进入聊天气泡
2. 查看佩戴状态</x:v>
      </x:c>
      <x:c r="K42" s="4" t="str">
        <x:v>聊天气泡显示“佩戴状态”</x:v>
      </x:c>
      <x:c r="L42" s="4" t="str"/>
      <x:c r="M42" s="4" t="str">
        <x:v>未测</x:v>
      </x:c>
      <x:c r="N42" s="4" t="str"/>
      <x:c r="O42" s="4" t="str">
        <x:v>1. 来源（原型批注）：liveshow-proto/prototype/annotations/user.js；my-decoration-chat-bubble.html
2. 页面：my-decoration-chat-bubble.html
3. 规则：BR-2889E5ECF24956、BR-92C7A6117512E8
4. 场景：SC-0C1EAB862532FA
5. 未动态验证</x:v>
      </x:c>
    </x:row>
    <x:row r="43" ht="54" customHeight="1">
      <x:c r="A43" s="4" t="n">
        <x:v>42</x:v>
      </x:c>
      <x:c r="B43" s="4" t="str">
        <x:v>UPROF-0021</x:v>
      </x:c>
      <x:c r="C43" s="4" t="str">
        <x:v>个人中心</x:v>
      </x:c>
      <x:c r="D43" s="4" t="str">
        <x:v>聊天气泡（用户视角）</x:v>
      </x:c>
      <x:c r="E43" s="4" t="str">
        <x:v>业务流程</x:v>
      </x:c>
      <x:c r="F43" s="4" t="str">
        <x:v>P2</x:v>
      </x:c>
      <x:c r="G43" s="4" t="str">
        <x:v>验证卸下后的聊天气泡状态</x:v>
      </x:c>
      <x:c r="H43" s="4" t="str">
        <x:v>聊天气泡状态</x:v>
      </x:c>
      <x:c r="I43" s="4" t="str">
        <x:v>1. 用户账号已登录且具备当前页面权限
2. 卸下</x:v>
      </x:c>
      <x:c r="J43" s="4" t="str">
        <x:v>1. 进入聊天气泡
2. 刷新聊天气泡</x:v>
      </x:c>
      <x:c r="K43" s="4" t="str">
        <x:v>后续消息恢复默认样式</x:v>
      </x:c>
      <x:c r="L43" s="4" t="str"/>
      <x:c r="M43" s="4" t="str">
        <x:v>未测</x:v>
      </x:c>
      <x:c r="N43" s="4" t="str"/>
      <x:c r="O43" s="4" t="str">
        <x:v>1. 来源（原型批注）：liveshow-proto/prototype/annotations/user.js；my-decoration-chat-bubble.html
2. 页面：my-decoration-chat-bubble.html
3. 规则：BR-175B73AA4CFD78
4. 场景：SC-BDE53921C9178E
5. 未动态验证</x:v>
      </x:c>
    </x:row>
    <x:row r="44" ht="54" customHeight="1">
      <x:c r="A44" s="4" t="n">
        <x:v>43</x:v>
      </x:c>
      <x:c r="B44" s="4" t="str">
        <x:v>UPROF-0022</x:v>
      </x:c>
      <x:c r="C44" s="4" t="str">
        <x:v>个人中心</x:v>
      </x:c>
      <x:c r="D44" s="4" t="str">
        <x:v>设置（用户视角）</x:v>
      </x:c>
      <x:c r="E44" s="4" t="str">
        <x:v>业务流程</x:v>
      </x:c>
      <x:c r="F44" s="4" t="str">
        <x:v>P2</x:v>
      </x:c>
      <x:c r="G44" s="4" t="str">
        <x:v>验证倒计时结束后的设置状态</x:v>
      </x:c>
      <x:c r="H44" s="4" t="str">
        <x:v>设置状态</x:v>
      </x:c>
      <x:c r="I44" s="4" t="str">
        <x:v>1. 用户账号已登录且具备当前页面权限
2. 倒计时结束</x:v>
      </x:c>
      <x:c r="J44" s="4" t="str">
        <x:v>1. 进入设置
2. 刷新设置</x:v>
      </x:c>
      <x:c r="K44" s="4" t="str">
        <x:v>记录七日后的最终删除时间</x:v>
      </x:c>
      <x:c r="L44" s="4" t="str"/>
      <x:c r="M44" s="4" t="str">
        <x:v>未测</x:v>
      </x:c>
      <x:c r="N44" s="4" t="str"/>
      <x:c r="O44" s="4" t="str">
        <x:v>1. 来源（原型批注）：liveshow-proto/prototype/annotations/user.js；settings.html
2. 页面：settings.html
3. 规则：BR-EB1393B8423144
4. 场景：SC-9D964705EAAFB6
5. 未动态验证</x:v>
      </x:c>
    </x:row>
    <x:row r="45" ht="54" customHeight="1">
      <x:c r="A45" s="4" t="n">
        <x:v>44</x:v>
      </x:c>
      <x:c r="B45" s="4" t="str">
        <x:v>UPROF-0023</x:v>
      </x:c>
      <x:c r="C45" s="4" t="str">
        <x:v>个人中心</x:v>
      </x:c>
      <x:c r="D45" s="4" t="str">
        <x:v>设置（用户视角）</x:v>
      </x:c>
      <x:c r="E45" s="4" t="str">
        <x:v>业务流程</x:v>
      </x:c>
      <x:c r="F45" s="4" t="str">
        <x:v>P2</x:v>
      </x:c>
      <x:c r="G45" s="4" t="str">
        <x:v>验证点击确认注销后的设置状态</x:v>
      </x:c>
      <x:c r="H45" s="4" t="str">
        <x:v>设置状态</x:v>
      </x:c>
      <x:c r="I45" s="4" t="str">
        <x:v>1. 用户账号已登录且具备当前页面权限</x:v>
      </x:c>
      <x:c r="J45" s="4" t="str">
        <x:v>1. 进入设置
2. 点击确认注销</x:v>
      </x:c>
      <x:c r="K45" s="4" t="str">
        <x:v>仅显示取消按钮</x:v>
      </x:c>
      <x:c r="L45" s="4" t="str"/>
      <x:c r="M45" s="4" t="str">
        <x:v>未测</x:v>
      </x:c>
      <x:c r="N45" s="4" t="str"/>
      <x:c r="O45" s="4" t="str">
        <x:v>1. 来源（原型批注）：liveshow-proto/prototype/annotations/user.js；settings.html
2. 页面：settings.html
3. 规则：BR-F9CC50DFEE7EFF
4. 场景：SC-BC145AF5956E3C
5. 未动态验证</x:v>
      </x:c>
    </x:row>
    <x:row r="46" ht="54" customHeight="1">
      <x:c r="A46" s="4" t="n">
        <x:v>45</x:v>
      </x:c>
      <x:c r="B46" s="4" t="str">
        <x:v>UPROF-0024</x:v>
      </x:c>
      <x:c r="C46" s="4" t="str">
        <x:v>个人中心</x:v>
      </x:c>
      <x:c r="D46" s="4" t="str">
        <x:v>设置（用户视角）</x:v>
      </x:c>
      <x:c r="E46" s="4" t="str">
        <x:v>业务流程</x:v>
      </x:c>
      <x:c r="F46" s="4" t="str">
        <x:v>P2</x:v>
      </x:c>
      <x:c r="G46" s="4" t="str">
        <x:v>验证点击语言后的设置状态</x:v>
      </x:c>
      <x:c r="H46" s="4" t="str">
        <x:v>设置状态</x:v>
      </x:c>
      <x:c r="I46" s="4" t="str">
        <x:v>1. 用户账号已登录且具备当前页面权限</x:v>
      </x:c>
      <x:c r="J46" s="4" t="str">
        <x:v>1. 进入设置
2. 点击语言</x:v>
      </x:c>
      <x:c r="K46" s="4" t="str">
        <x:v>从页面底部打开语言选择抽屉</x:v>
      </x:c>
      <x:c r="L46" s="4" t="str"/>
      <x:c r="M46" s="4" t="str">
        <x:v>未测</x:v>
      </x:c>
      <x:c r="N46" s="4" t="str"/>
      <x:c r="O46" s="4" t="str">
        <x:v>1. 来源（原型批注）：liveshow-proto/prototype/annotations/user.js；settings.html
2. 页面：settings.html
3. 规则：BR-801ED7643B2F28
4. 场景：SC-47CE6209124A21
5. 未动态验证</x:v>
      </x:c>
    </x:row>
    <x:row r="47" ht="54" customHeight="1">
      <x:c r="A47" s="4" t="n">
        <x:v>46</x:v>
      </x:c>
      <x:c r="B47" s="4" t="str">
        <x:v>UPROF-0025</x:v>
      </x:c>
      <x:c r="C47" s="4" t="str">
        <x:v>个人中心</x:v>
      </x:c>
      <x:c r="D47" s="4" t="str">
        <x:v>设置（用户视角）</x:v>
      </x:c>
      <x:c r="E47" s="4" t="str">
        <x:v>功能需求</x:v>
      </x:c>
      <x:c r="F47" s="4" t="str">
        <x:v>P2</x:v>
      </x:c>
      <x:c r="G47" s="4" t="str">
        <x:v>验证金币余额不少于 100时的设置结果</x:v>
      </x:c>
      <x:c r="H47" s="4" t="str">
        <x:v>设置条件结果</x:v>
      </x:c>
      <x:c r="I47" s="4" t="str">
        <x:v>1. 用户账号已登录且具备当前页面权限
2. 金币余额不少于 100</x:v>
      </x:c>
      <x:c r="J47" s="4" t="str">
        <x:v>1. 进入设置
2. 查看设置</x:v>
      </x:c>
      <x:c r="K47" s="4" t="str">
        <x:v>不可注销</x:v>
      </x:c>
      <x:c r="L47" s="4" t="str"/>
      <x:c r="M47" s="4" t="str">
        <x:v>未测</x:v>
      </x:c>
      <x:c r="N47" s="4" t="str"/>
      <x:c r="O47" s="4" t="str">
        <x:v>1. 来源（原型批注）：liveshow-proto/prototype/annotations/user.js；settings.html
2. 页面：settings.html
3. 规则：BR-38974FD360EE4D
4. 场景：SC-150C58A9D19783
5. 未动态验证</x:v>
      </x:c>
    </x:row>
    <x:row r="48" ht="54" customHeight="1">
      <x:c r="A48" s="4" t="n">
        <x:v>47</x:v>
      </x:c>
      <x:c r="B48" s="4" t="str">
        <x:v>UPROF-0026</x:v>
      </x:c>
      <x:c r="C48" s="4" t="str">
        <x:v>个人中心</x:v>
      </x:c>
      <x:c r="D48" s="4" t="str">
        <x:v>设置（用户视角）</x:v>
      </x:c>
      <x:c r="E48" s="4" t="str">
        <x:v>异常用例</x:v>
      </x:c>
      <x:c r="F48" s="4" t="str">
        <x:v>P2</x:v>
      </x:c>
      <x:c r="G48" s="4" t="str">
        <x:v>验证拒绝后的设置状态</x:v>
      </x:c>
      <x:c r="H48" s="4" t="str">
        <x:v>设置状态</x:v>
      </x:c>
      <x:c r="I48" s="4" t="str">
        <x:v>1. 用户账号已登录且具备当前页面权限</x:v>
      </x:c>
      <x:c r="J48" s="4" t="str">
        <x:v>1. 进入设置
2. 拒绝</x:v>
      </x:c>
      <x:c r="K48" s="4" t="str">
        <x:v>状态改为已拒绝</x:v>
      </x:c>
      <x:c r="L48" s="4" t="str"/>
      <x:c r="M48" s="4" t="str">
        <x:v>未测</x:v>
      </x:c>
      <x:c r="N48" s="4" t="str"/>
      <x:c r="O48" s="4" t="str">
        <x:v>1. 来源（原型批注）：liveshow-proto/prototype/annotations/user.js；settings.html
2. 页面：settings.html
3. 规则：BR-247DDD4701D0C9
4. 场景：SC-7E84B023F4E3A6
5. 未动态验证</x:v>
      </x:c>
    </x:row>
    <x:row r="49" ht="54" customHeight="1">
      <x:c r="A49" s="4" t="n">
        <x:v>48</x:v>
      </x:c>
      <x:c r="B49" s="4" t="str">
        <x:v>UPROF-0027</x:v>
      </x:c>
      <x:c r="C49" s="4" t="str">
        <x:v>个人中心</x:v>
      </x:c>
      <x:c r="D49" s="4" t="str">
        <x:v>设置（用户视角）</x:v>
      </x:c>
      <x:c r="E49" s="4" t="str">
        <x:v>业务流程</x:v>
      </x:c>
      <x:c r="F49" s="4" t="str">
        <x:v>P2</x:v>
      </x:c>
      <x:c r="G49" s="4" t="str">
        <x:v>验证冷静期内重新登录后的设置状态</x:v>
      </x:c>
      <x:c r="H49" s="4" t="str">
        <x:v>设置状态</x:v>
      </x:c>
      <x:c r="I49" s="4" t="str">
        <x:v>1. 用户账号已登录且具备当前页面权限
2. 冷静期内重新登录</x:v>
      </x:c>
      <x:c r="J49" s="4" t="str">
        <x:v>1. 进入设置
2. 刷新设置</x:v>
      </x:c>
      <x:c r="K49" s="4" t="str">
        <x:v>在登录与注册页展示可操作弹窗</x:v>
      </x:c>
      <x:c r="L49" s="4" t="str"/>
      <x:c r="M49" s="4" t="str">
        <x:v>未测</x:v>
      </x:c>
      <x:c r="N49" s="4" t="str"/>
      <x:c r="O49" s="4" t="str">
        <x:v>1. 来源（原型批注）：liveshow-proto/prototype/annotations/user.js；settings.html
2. 页面：settings.html
3. 规则：BR-3D3301CEF7F065
4. 场景：SC-E051B08EFA1512
5. 未动态验证</x:v>
      </x:c>
    </x:row>
    <x:row r="50" ht="54" customHeight="1">
      <x:c r="A50" s="4" t="n">
        <x:v>49</x:v>
      </x:c>
      <x:c r="B50" s="4" t="str">
        <x:v>UPROF-0028</x:v>
      </x:c>
      <x:c r="C50" s="4" t="str">
        <x:v>个人中心</x:v>
      </x:c>
      <x:c r="D50" s="4" t="str">
        <x:v>设置（用户视角）</x:v>
      </x:c>
      <x:c r="E50" s="4" t="str">
        <x:v>业务流程</x:v>
      </x:c>
      <x:c r="F50" s="4" t="str">
        <x:v>P2</x:v>
      </x:c>
      <x:c r="G50" s="4" t="str">
        <x:v>验证两种弹窗均显示三条提示：余额低于 100 可注销、最终注销后的设置状态</x:v>
      </x:c>
      <x:c r="H50" s="4" t="str">
        <x:v>设置状态</x:v>
      </x:c>
      <x:c r="I50" s="4" t="str">
        <x:v>1. 用户账号已登录且具备当前页面权限
2. 两种弹窗均显示三条提示：余额低于 100 可注销、最终注销</x:v>
      </x:c>
      <x:c r="J50" s="4" t="str">
        <x:v>1. 进入设置
2. 刷新设置</x:v>
      </x:c>
      <x:c r="K50" s="4" t="str">
        <x:v>解除全部社交关系并解散粉丝团、注销后七日内可取消注销</x:v>
      </x:c>
      <x:c r="L50" s="4" t="str"/>
      <x:c r="M50" s="4" t="str">
        <x:v>未测</x:v>
      </x:c>
      <x:c r="N50" s="4" t="str"/>
      <x:c r="O50" s="4" t="str">
        <x:v>1. 来源（原型批注）：liveshow-proto/prototype/annotations/user.js；settings.html
2. 页面：settings.html
3. 规则：BR-0C73BE4DE73776
4. 场景：SC-14470C7372E9A9
5. 未动态验证</x:v>
      </x:c>
    </x:row>
    <x:row r="51" ht="54" customHeight="1">
      <x:c r="A51" s="4" t="n">
        <x:v>50</x:v>
      </x:c>
      <x:c r="B51" s="4" t="str">
        <x:v>UPROF-0029</x:v>
      </x:c>
      <x:c r="C51" s="4" t="str">
        <x:v>个人中心</x:v>
      </x:c>
      <x:c r="D51" s="4" t="str">
        <x:v>设置（用户视角）</x:v>
      </x:c>
      <x:c r="E51" s="4" t="str">
        <x:v>业务流程</x:v>
      </x:c>
      <x:c r="F51" s="4" t="str">
        <x:v>P2</x:v>
      </x:c>
      <x:c r="G51" s="4" t="str">
        <x:v>验证取消注销后的设置状态</x:v>
      </x:c>
      <x:c r="H51" s="4" t="str">
        <x:v>设置状态</x:v>
      </x:c>
      <x:c r="I51" s="4" t="str">
        <x:v>1. 用户账号已登录且具备当前页面权限</x:v>
      </x:c>
      <x:c r="J51" s="4" t="str">
        <x:v>1. 进入设置
2. 取消注销</x:v>
      </x:c>
      <x:c r="K51" s="4" t="str">
        <x:v>进入首页</x:v>
      </x:c>
      <x:c r="L51" s="4" t="str"/>
      <x:c r="M51" s="4" t="str">
        <x:v>未测</x:v>
      </x:c>
      <x:c r="N51" s="4" t="str"/>
      <x:c r="O51" s="4" t="str">
        <x:v>1. 来源（原型批注）：liveshow-proto/prototype/annotations/user.js；settings.html
2. 页面：settings.html
3. 规则：BR-5C5B2FF908F936
4. 场景：SC-5E6E29A65AD501
5. 未动态验证</x:v>
      </x:c>
    </x:row>
    <x:row r="52" ht="54" customHeight="1">
      <x:c r="A52" s="4" t="n">
        <x:v>51</x:v>
      </x:c>
      <x:c r="B52" s="4" t="str">
        <x:v>UPROF-0030</x:v>
      </x:c>
      <x:c r="C52" s="4" t="str">
        <x:v>个人中心</x:v>
      </x:c>
      <x:c r="D52" s="4" t="str">
        <x:v>设置（用户视角）</x:v>
      </x:c>
      <x:c r="E52" s="4" t="str">
        <x:v>业务流程</x:v>
      </x:c>
      <x:c r="F52" s="4" t="str">
        <x:v>P2</x:v>
      </x:c>
      <x:c r="G52" s="4" t="str">
        <x:v>验证确认后的设置状态</x:v>
      </x:c>
      <x:c r="H52" s="4" t="str">
        <x:v>设置状态</x:v>
      </x:c>
      <x:c r="I52" s="4" t="str">
        <x:v>1. 用户账号已登录且具备当前页面权限</x:v>
      </x:c>
      <x:c r="J52" s="4" t="str">
        <x:v>1. 进入设置
2. 确认</x:v>
      </x:c>
      <x:c r="K52" s="4" t="str">
        <x:v>返回登录页</x:v>
      </x:c>
      <x:c r="L52" s="4" t="str"/>
      <x:c r="M52" s="4" t="str">
        <x:v>未测</x:v>
      </x:c>
      <x:c r="N52" s="4" t="str"/>
      <x:c r="O52" s="4" t="str">
        <x:v>1. 来源（原型批注）：liveshow-proto/prototype/annotations/user.js；settings.html
2. 页面：settings.html
3. 规则：BR-EFCBC994FC8521
4. 场景：SC-64FC6C0134A547
5. 未动态验证</x:v>
      </x:c>
    </x:row>
    <x:row r="53" ht="54" customHeight="1">
      <x:c r="A53" s="4" t="n">
        <x:v>52</x:v>
      </x:c>
      <x:c r="B53" s="4" t="str">
        <x:v>UPROF-0031</x:v>
      </x:c>
      <x:c r="C53" s="4" t="str">
        <x:v>个人中心</x:v>
      </x:c>
      <x:c r="D53" s="4" t="str">
        <x:v>设置（用户视角）</x:v>
      </x:c>
      <x:c r="E53" s="4" t="str">
        <x:v>功能需求</x:v>
      </x:c>
      <x:c r="F53" s="4" t="str">
        <x:v>P2</x:v>
      </x:c>
      <x:c r="G53" s="4" t="str">
        <x:v>验证设置可查看系统通知</x:v>
      </x:c>
      <x:c r="H53" s="4" t="str">
        <x:v>系统通知展示</x:v>
      </x:c>
      <x:c r="I53" s="4" t="str">
        <x:v>1. 用户账号已登录且具备当前页面权限</x:v>
      </x:c>
      <x:c r="J53" s="4" t="str">
        <x:v>1. 进入设置
2. 查看系统通知</x:v>
      </x:c>
      <x:c r="K53" s="4" t="str">
        <x:v>设置显示“系统通知”</x:v>
      </x:c>
      <x:c r="L53" s="4" t="str"/>
      <x:c r="M53" s="4" t="str">
        <x:v>未测</x:v>
      </x:c>
      <x:c r="N53" s="4" t="str"/>
      <x:c r="O53" s="4" t="str">
        <x:v>1. 来源（原型批注）：liveshow-proto/prototype/annotations/user.js；settings.html
2. 页面：settings.html
3. 规则：BR-8DFB831A94199C
4. 场景：SC-9EE979AC495514
5. 未动态验证</x:v>
      </x:c>
    </x:row>
    <x:row r="54" ht="54" customHeight="1">
      <x:c r="A54" s="4" t="n">
        <x:v>53</x:v>
      </x:c>
      <x:c r="B54" s="4" t="str">
        <x:v>UPROF-0032</x:v>
      </x:c>
      <x:c r="C54" s="4" t="str">
        <x:v>个人中心</x:v>
      </x:c>
      <x:c r="D54" s="4" t="str">
        <x:v>设置（用户视角）</x:v>
      </x:c>
      <x:c r="E54" s="4" t="str">
        <x:v>功能需求</x:v>
      </x:c>
      <x:c r="F54" s="4" t="str">
        <x:v>P2</x:v>
      </x:c>
      <x:c r="G54" s="4" t="str">
        <x:v>验证设置可查看协议入口</x:v>
      </x:c>
      <x:c r="H54" s="4" t="str">
        <x:v>协议入口展示</x:v>
      </x:c>
      <x:c r="I54" s="4" t="str">
        <x:v>1. 用户账号已登录且具备当前页面权限</x:v>
      </x:c>
      <x:c r="J54" s="4" t="str">
        <x:v>1. 进入设置
2. 查看协议入口</x:v>
      </x:c>
      <x:c r="K54" s="4" t="str">
        <x:v>设置显示“协议入口”</x:v>
      </x:c>
      <x:c r="L54" s="4" t="str"/>
      <x:c r="M54" s="4" t="str">
        <x:v>未测</x:v>
      </x:c>
      <x:c r="N54" s="4" t="str"/>
      <x:c r="O54" s="4" t="str">
        <x:v>1. 来源（原型批注）：liveshow-proto/prototype/annotations/user.js；settings.html
2. 页面：settings.html
3. 规则：BR-F5772B312CA307
4. 场景：SC-30C198DFF44BBA
5. 未动态验证</x:v>
      </x:c>
    </x:row>
    <x:row r="55" ht="54" customHeight="1">
      <x:c r="A55" s="4" t="n">
        <x:v>54</x:v>
      </x:c>
      <x:c r="B55" s="4" t="str">
        <x:v>UPROF-0033</x:v>
      </x:c>
      <x:c r="C55" s="4" t="str">
        <x:v>个人中心</x:v>
      </x:c>
      <x:c r="D55" s="4" t="str">
        <x:v>设置（用户视角）</x:v>
      </x:c>
      <x:c r="E55" s="4" t="str">
        <x:v>功能需求</x:v>
      </x:c>
      <x:c r="F55" s="4" t="str">
        <x:v>P2</x:v>
      </x:c>
      <x:c r="G55" s="4" t="str">
        <x:v>验证设置可查看语言</x:v>
      </x:c>
      <x:c r="H55" s="4" t="str">
        <x:v>语言展示</x:v>
      </x:c>
      <x:c r="I55" s="4" t="str">
        <x:v>1. 用户账号已登录且具备当前页面权限</x:v>
      </x:c>
      <x:c r="J55" s="4" t="str">
        <x:v>1. 进入设置
2. 查看语言</x:v>
      </x:c>
      <x:c r="K55" s="4" t="str">
        <x:v>设置显示“语言”</x:v>
      </x:c>
      <x:c r="L55" s="4" t="str"/>
      <x:c r="M55" s="4" t="str">
        <x:v>未测</x:v>
      </x:c>
      <x:c r="N55" s="4" t="str"/>
      <x:c r="O55" s="4" t="str">
        <x:v>1. 来源（原型批注）：liveshow-proto/prototype/annotations/user.js；settings.html
2. 页面：settings.html
3. 规则：BR-26EF3A7BFDF8B7
4. 场景：SC-0C24498059A41D
5. 未动态验证</x:v>
      </x:c>
    </x:row>
    <x:row r="56" ht="54" customHeight="1">
      <x:c r="A56" s="4" t="n">
        <x:v>55</x:v>
      </x:c>
      <x:c r="B56" s="4" t="str">
        <x:v>UPROF-0034</x:v>
      </x:c>
      <x:c r="C56" s="4" t="str">
        <x:v>个人中心</x:v>
      </x:c>
      <x:c r="D56" s="4" t="str">
        <x:v>设置（用户视角）</x:v>
      </x:c>
      <x:c r="E56" s="4" t="str">
        <x:v>功能需求</x:v>
      </x:c>
      <x:c r="F56" s="4" t="str">
        <x:v>P2</x:v>
      </x:c>
      <x:c r="G56" s="4" t="str">
        <x:v>验证设置可查看账号</x:v>
      </x:c>
      <x:c r="H56" s="4" t="str">
        <x:v>账号展示</x:v>
      </x:c>
      <x:c r="I56" s="4" t="str">
        <x:v>1. 用户账号已登录且具备当前页面权限</x:v>
      </x:c>
      <x:c r="J56" s="4" t="str">
        <x:v>1. 进入设置
2. 查看账号</x:v>
      </x:c>
      <x:c r="K56" s="4" t="str">
        <x:v>设置显示“账号”</x:v>
      </x:c>
      <x:c r="L56" s="4" t="str"/>
      <x:c r="M56" s="4" t="str">
        <x:v>未测</x:v>
      </x:c>
      <x:c r="N56" s="4" t="str"/>
      <x:c r="O56" s="4" t="str">
        <x:v>1. 来源（原型批注）：liveshow-proto/prototype/annotations/user.js；settings.html
2. 页面：settings.html
3. 规则：BR-6AFA4134F43BC0
4. 场景：SC-8B0D01D95E1900
5. 未动态验证</x:v>
      </x:c>
    </x:row>
    <x:row r="57" ht="54" customHeight="1">
      <x:c r="A57" s="4" t="n">
        <x:v>56</x:v>
      </x:c>
      <x:c r="B57" s="4" t="str">
        <x:v>UPROF-0035</x:v>
      </x:c>
      <x:c r="C57" s="4" t="str">
        <x:v>个人中心</x:v>
      </x:c>
      <x:c r="D57" s="4" t="str">
        <x:v>设置（用户视角）</x:v>
      </x:c>
      <x:c r="E57" s="4" t="str">
        <x:v>功能需求</x:v>
      </x:c>
      <x:c r="F57" s="4" t="str">
        <x:v>P2</x:v>
      </x:c>
      <x:c r="G57" s="4" t="str">
        <x:v>验证设置可查看注销条件</x:v>
      </x:c>
      <x:c r="H57" s="4" t="str">
        <x:v>注销条件展示</x:v>
      </x:c>
      <x:c r="I57" s="4" t="str">
        <x:v>1. 用户账号已登录且具备当前页面权限</x:v>
      </x:c>
      <x:c r="J57" s="4" t="str">
        <x:v>1. 进入设置
2. 查看注销条件</x:v>
      </x:c>
      <x:c r="K57" s="4" t="str">
        <x:v>设置显示“注销条件”</x:v>
      </x:c>
      <x:c r="L57" s="4" t="str"/>
      <x:c r="M57" s="4" t="str">
        <x:v>未测</x:v>
      </x:c>
      <x:c r="N57" s="4" t="str"/>
      <x:c r="O57" s="4" t="str">
        <x:v>1. 来源（原型批注）：liveshow-proto/prototype/annotations/user.js；settings.html
2. 页面：settings.html
3. 规则：BR-C2F3887854C9BA
4. 场景：SC-E514A9BB942E8E
5. 未动态验证</x:v>
      </x:c>
    </x:row>
    <x:row r="58" ht="54" customHeight="1">
      <x:c r="A58" s="4" t="n">
        <x:v>57</x:v>
      </x:c>
      <x:c r="B58" s="4" t="str">
        <x:v>UPROF-0036</x:v>
      </x:c>
      <x:c r="C58" s="4" t="str">
        <x:v>个人中心</x:v>
      </x:c>
      <x:c r="D58" s="4" t="str">
        <x:v>设置（用户视角）</x:v>
      </x:c>
      <x:c r="E58" s="4" t="str">
        <x:v>功能需求</x:v>
      </x:c>
      <x:c r="F58" s="4" t="str">
        <x:v>P2</x:v>
      </x:c>
      <x:c r="G58" s="4" t="str">
        <x:v>验证设置可查看注销状态</x:v>
      </x:c>
      <x:c r="H58" s="4" t="str">
        <x:v>注销状态展示</x:v>
      </x:c>
      <x:c r="I58" s="4" t="str">
        <x:v>1. 用户账号已登录且具备当前页面权限</x:v>
      </x:c>
      <x:c r="J58" s="4" t="str">
        <x:v>1. 进入设置
2. 查看注销状态</x:v>
      </x:c>
      <x:c r="K58" s="4" t="str">
        <x:v>设置显示“注销状态”</x:v>
      </x:c>
      <x:c r="L58" s="4" t="str"/>
      <x:c r="M58" s="4" t="str">
        <x:v>未测</x:v>
      </x:c>
      <x:c r="N58" s="4" t="str"/>
      <x:c r="O58" s="4" t="str">
        <x:v>1. 来源（原型批注）：liveshow-proto/prototype/annotations/user.js；settings.html
2. 页面：settings.html
3. 规则：BR-06518F4EED5503
4. 场景：SC-F482098368EB62
5. 未动态验证</x:v>
      </x:c>
    </x:row>
    <x:row r="59" ht="54" customHeight="1">
      <x:c r="A59" s="4" t="n">
        <x:v>58</x:v>
      </x:c>
      <x:c r="B59" s="4" t="str">
        <x:v>UPROF-0037</x:v>
      </x:c>
      <x:c r="C59" s="4" t="str">
        <x:v>个人中心</x:v>
      </x:c>
      <x:c r="D59" s="4" t="str">
        <x:v>设置（用户视角）</x:v>
      </x:c>
      <x:c r="E59" s="4" t="str">
        <x:v>业务流程</x:v>
      </x:c>
      <x:c r="F59" s="4" t="str">
        <x:v>P2</x:v>
      </x:c>
      <x:c r="G59" s="4" t="str">
        <x:v>验证提交注销申请后的设置状态</x:v>
      </x:c>
      <x:c r="H59" s="4" t="str">
        <x:v>设置状态</x:v>
      </x:c>
      <x:c r="I59" s="4" t="str">
        <x:v>1. 用户账号已登录且具备当前页面权限</x:v>
      </x:c>
      <x:c r="J59" s="4" t="str">
        <x:v>1. 进入设置
2. 提交注销申请</x:v>
      </x:c>
      <x:c r="K59" s="4" t="str">
        <x:v>进入七日冷静期</x:v>
      </x:c>
      <x:c r="L59" s="4" t="str"/>
      <x:c r="M59" s="4" t="str">
        <x:v>未测</x:v>
      </x:c>
      <x:c r="N59" s="4" t="str"/>
      <x:c r="O59" s="4" t="str">
        <x:v>1. 来源（原型批注）：liveshow-proto/prototype/annotations/user.js；settings.html
2. 页面：settings.html
3. 规则：BR-597597FDB1B01F
4. 场景：SC-4C6A6289F23209
5. 未动态验证</x:v>
      </x:c>
    </x:row>
    <x:row r="60" ht="54" customHeight="1">
      <x:c r="A60" s="4" t="n">
        <x:v>59</x:v>
      </x:c>
      <x:c r="B60" s="4" t="str">
        <x:v>UPROF-0038</x:v>
      </x:c>
      <x:c r="C60" s="4" t="str">
        <x:v>个人中心</x:v>
      </x:c>
      <x:c r="D60" s="4" t="str">
        <x:v>设置（用户视角）</x:v>
      </x:c>
      <x:c r="E60" s="4" t="str">
        <x:v>功能需求</x:v>
      </x:c>
      <x:c r="F60" s="4" t="str">
        <x:v>P2</x:v>
      </x:c>
      <x:c r="G60" s="4" t="str">
        <x:v>验证系统通知未开启时的设置结果</x:v>
      </x:c>
      <x:c r="H60" s="4" t="str">
        <x:v>设置条件结果</x:v>
      </x:c>
      <x:c r="I60" s="4" t="str">
        <x:v>1. 用户账号已登录且具备当前页面权限
2. 系统通知未开启</x:v>
      </x:c>
      <x:c r="J60" s="4" t="str">
        <x:v>1. 进入设置
2. 查看设置</x:v>
      </x:c>
      <x:c r="K60" s="4" t="str">
        <x:v>不展示站外推送</x:v>
      </x:c>
      <x:c r="L60" s="4" t="str"/>
      <x:c r="M60" s="4" t="str">
        <x:v>未测</x:v>
      </x:c>
      <x:c r="N60" s="4" t="str"/>
      <x:c r="O60" s="4" t="str">
        <x:v>1. 来源（原型批注）：liveshow-proto/prototype/annotations/user.js；settings.html
2. 页面：settings.html
3. 规则：BR-B32474489E552B
4. 场景：SC-AE75336B5D4F1F
5. 未动态验证</x:v>
      </x:c>
    </x:row>
    <x:row r="61" ht="54" customHeight="1">
      <x:c r="A61" s="4" t="n">
        <x:v>60</x:v>
      </x:c>
      <x:c r="B61" s="4" t="str">
        <x:v>UPROF-0039</x:v>
      </x:c>
      <x:c r="C61" s="4" t="str">
        <x:v>个人中心</x:v>
      </x:c>
      <x:c r="D61" s="4" t="str">
        <x:v>设置（用户视角）</x:v>
      </x:c>
      <x:c r="E61" s="4" t="str">
        <x:v>异常用例</x:v>
      </x:c>
      <x:c r="F61" s="4" t="str">
        <x:v>P2</x:v>
      </x:c>
      <x:c r="G61" s="4" t="str">
        <x:v>验证系统通知已拒绝后的设置状态</x:v>
      </x:c>
      <x:c r="H61" s="4" t="str">
        <x:v>设置状态</x:v>
      </x:c>
      <x:c r="I61" s="4" t="str">
        <x:v>1. 用户账号已登录且具备当前页面权限
2. 系统通知已拒绝</x:v>
      </x:c>
      <x:c r="J61" s="4" t="str">
        <x:v>1. 进入设置
2. 刷新设置</x:v>
      </x:c>
      <x:c r="K61" s="4" t="str">
        <x:v>点击后提示前往手机系统设置</x:v>
      </x:c>
      <x:c r="L61" s="4" t="str"/>
      <x:c r="M61" s="4" t="str">
        <x:v>未测</x:v>
      </x:c>
      <x:c r="N61" s="4" t="str"/>
      <x:c r="O61" s="4" t="str">
        <x:v>1. 来源（原型批注）：liveshow-proto/prototype/annotations/user.js；settings.html
2. 页面：settings.html
3. 规则：BR-386E2F9352D9D4
4. 场景：SC-BC8BD1C79F48A4
5. 未动态验证</x:v>
      </x:c>
    </x:row>
    <x:row r="62" ht="54" customHeight="1">
      <x:c r="A62" s="4" t="n">
        <x:v>61</x:v>
      </x:c>
      <x:c r="B62" s="4" t="str">
        <x:v>UPROF-0040</x:v>
      </x:c>
      <x:c r="C62" s="4" t="str">
        <x:v>个人中心</x:v>
      </x:c>
      <x:c r="D62" s="4" t="str">
        <x:v>设置（用户视角）</x:v>
      </x:c>
      <x:c r="E62" s="4" t="str">
        <x:v>业务流程</x:v>
      </x:c>
      <x:c r="F62" s="4" t="str">
        <x:v>P2</x:v>
      </x:c>
      <x:c r="G62" s="4" t="str">
        <x:v>验证选择后的设置状态</x:v>
      </x:c>
      <x:c r="H62" s="4" t="str">
        <x:v>设置状态</x:v>
      </x:c>
      <x:c r="I62" s="4" t="str">
        <x:v>1. 用户账号已登录且具备当前页面权限</x:v>
      </x:c>
      <x:c r="J62" s="4" t="str">
        <x:v>1. 进入设置
2. 选择</x:v>
      </x:c>
      <x:c r="K62" s="4" t="str">
        <x:v>立即更新当前语言</x:v>
      </x:c>
      <x:c r="L62" s="4" t="str"/>
      <x:c r="M62" s="4" t="str">
        <x:v>未测</x:v>
      </x:c>
      <x:c r="N62" s="4" t="str"/>
      <x:c r="O62" s="4" t="str">
        <x:v>1. 来源（原型批注）：liveshow-proto/prototype/annotations/user.js；settings.html
2. 页面：settings.html
3. 规则：BR-D57B4C521A7AF1
4. 场景：SC-1BF8B1CB2EB0F3
5. 未动态验证</x:v>
      </x:c>
    </x:row>
    <x:row r="63" ht="54" customHeight="1">
      <x:c r="A63" s="4" t="n">
        <x:v>62</x:v>
      </x:c>
      <x:c r="B63" s="4" t="str">
        <x:v>UPROF-0041</x:v>
      </x:c>
      <x:c r="C63" s="4" t="str">
        <x:v>个人中心</x:v>
      </x:c>
      <x:c r="D63" s="4" t="str">
        <x:v>设置（用户视角）</x:v>
      </x:c>
      <x:c r="E63" s="4" t="str">
        <x:v>功能需求</x:v>
      </x:c>
      <x:c r="F63" s="4" t="str">
        <x:v>P2</x:v>
      </x:c>
      <x:c r="G63" s="4" t="str">
        <x:v>验证已授权时的设置结果</x:v>
      </x:c>
      <x:c r="H63" s="4" t="str">
        <x:v>设置条件结果</x:v>
      </x:c>
      <x:c r="I63" s="4" t="str">
        <x:v>1. 用户账号已登录且具备当前页面权限
2. 已授权</x:v>
      </x:c>
      <x:c r="J63" s="4" t="str">
        <x:v>1. 进入设置
2. 查看设置</x:v>
      </x:c>
      <x:c r="K63" s="4" t="str">
        <x:v>显示已开启</x:v>
      </x:c>
      <x:c r="L63" s="4" t="str"/>
      <x:c r="M63" s="4" t="str">
        <x:v>未测</x:v>
      </x:c>
      <x:c r="N63" s="4" t="str"/>
      <x:c r="O63" s="4" t="str">
        <x:v>1. 来源（原型批注）：liveshow-proto/prototype/annotations/user.js；settings.html
2. 页面：settings.html
3. 规则：BR-1A1BDA774AE862
4. 场景：SC-BF386097970F37
5. 未动态验证</x:v>
      </x:c>
    </x:row>
    <x:row r="64" ht="54" customHeight="1">
      <x:c r="A64" s="4" t="n">
        <x:v>63</x:v>
      </x:c>
      <x:c r="B64" s="4" t="str">
        <x:v>UPROF-0042</x:v>
      </x:c>
      <x:c r="C64" s="4" t="str">
        <x:v>个人中心</x:v>
      </x:c>
      <x:c r="D64" s="4" t="str">
        <x:v>设置（用户视角）</x:v>
      </x:c>
      <x:c r="E64" s="4" t="str">
        <x:v>功能需求</x:v>
      </x:c>
      <x:c r="F64" s="4" t="str">
        <x:v>P2</x:v>
      </x:c>
      <x:c r="G64" s="4" t="str">
        <x:v>验证余额低于 100时的设置结果</x:v>
      </x:c>
      <x:c r="H64" s="4" t="str">
        <x:v>设置条件结果</x:v>
      </x:c>
      <x:c r="I64" s="4" t="str">
        <x:v>1. 用户账号已登录且具备当前页面权限
2. 余额低于 100</x:v>
      </x:c>
      <x:c r="J64" s="4" t="str">
        <x:v>1. 进入设置
2. 查看设置</x:v>
      </x:c>
      <x:c r="K64" s="4" t="str">
        <x:v>可进入确认流程</x:v>
      </x:c>
      <x:c r="L64" s="4" t="str"/>
      <x:c r="M64" s="4" t="str">
        <x:v>未测</x:v>
      </x:c>
      <x:c r="N64" s="4" t="str"/>
      <x:c r="O64" s="4" t="str">
        <x:v>1. 来源（原型批注）：liveshow-proto/prototype/annotations/user.js；settings.html
2. 页面：settings.html
3. 规则：BR-4415345EF71ED2
4. 场景：SC-77753D6D544D36
5. 未动态验证</x:v>
      </x:c>
    </x:row>
    <x:row r="65" ht="54" customHeight="1">
      <x:c r="A65" s="4" t="n">
        <x:v>64</x:v>
      </x:c>
      <x:c r="B65" s="4" t="str">
        <x:v>UPROF-0043</x:v>
      </x:c>
      <x:c r="C65" s="4" t="str">
        <x:v>个人中心</x:v>
      </x:c>
      <x:c r="D65" s="4" t="str">
        <x:v>设置（用户视角）</x:v>
      </x:c>
      <x:c r="E65" s="4" t="str">
        <x:v>功能需求</x:v>
      </x:c>
      <x:c r="F65" s="4" t="str">
        <x:v>P2</x:v>
      </x:c>
      <x:c r="G65" s="4" t="str">
        <x:v>验证语言的默认状态</x:v>
      </x:c>
      <x:c r="H65" s="4" t="str">
        <x:v>语言默认值</x:v>
      </x:c>
      <x:c r="I65" s="4" t="str">
        <x:v>1. 用户账号已登录且具备当前页面权限</x:v>
      </x:c>
      <x:c r="J65" s="4" t="str">
        <x:v>1. 进入设置
2. 查看语言</x:v>
      </x:c>
      <x:c r="K65" s="4" t="str">
        <x:v>用户端与主播端均支持中文、English、Bahasa Indonesia、Bahasa Melayu，默认 Bahasa Indonesia</x:v>
      </x:c>
      <x:c r="L65" s="4" t="str"/>
      <x:c r="M65" s="4" t="str">
        <x:v>未测</x:v>
      </x:c>
      <x:c r="N65" s="4" t="str"/>
      <x:c r="O65" s="4" t="str">
        <x:v>1. 来源（原型批注）：liveshow-proto/prototype/annotations/user.js；settings.html
2. 页面：settings.html
3. 规则：BR-26EF3A7BFDF8B7
4. 场景：SC-CCF845449DB05D
5. 未动态验证</x:v>
      </x:c>
    </x:row>
    <x:row r="66" ht="54" customHeight="1">
      <x:c r="A66" s="4" t="n">
        <x:v>65</x:v>
      </x:c>
      <x:c r="B66" s="4" t="str">
        <x:v>UPROF-0044</x:v>
      </x:c>
      <x:c r="C66" s="4" t="str">
        <x:v>个人中心</x:v>
      </x:c>
      <x:c r="D66" s="4" t="str">
        <x:v>头像框（用户视角）</x:v>
      </x:c>
      <x:c r="E66" s="4" t="str">
        <x:v>业务流程</x:v>
      </x:c>
      <x:c r="F66" s="4" t="str">
        <x:v>P2</x:v>
      </x:c>
      <x:c r="G66" s="4" t="str">
        <x:v>验证被回收后的头像框状态</x:v>
      </x:c>
      <x:c r="H66" s="4" t="str">
        <x:v>头像框状态</x:v>
      </x:c>
      <x:c r="I66" s="4" t="str">
        <x:v>1. 用户账号已登录且具备当前页面权限
2. 被回收</x:v>
      </x:c>
      <x:c r="J66" s="4" t="str">
        <x:v>1. 进入头像框
2. 刷新头像框</x:v>
      </x:c>
      <x:c r="K66" s="4" t="str">
        <x:v>立即停止展示</x:v>
      </x:c>
      <x:c r="L66" s="4" t="str"/>
      <x:c r="M66" s="4" t="str">
        <x:v>未测</x:v>
      </x:c>
      <x:c r="N66" s="4" t="str"/>
      <x:c r="O66" s="4" t="str">
        <x:v>1. 来源（原型批注）：liveshow-proto/prototype/annotations/user.js；my-decoration-avatar-frame.html
2. 页面：my-decoration-avatar-frame.html
3. 规则：BR-30324C96D668D6
4. 场景：SC-9E797FE03E7D89
5. 未动态验证</x:v>
      </x:c>
    </x:row>
    <x:row r="67" ht="54" customHeight="1">
      <x:c r="A67" s="4" t="n">
        <x:v>66</x:v>
      </x:c>
      <x:c r="B67" s="4" t="str">
        <x:v>UPROF-0045</x:v>
      </x:c>
      <x:c r="C67" s="4" t="str">
        <x:v>个人中心</x:v>
      </x:c>
      <x:c r="D67" s="4" t="str">
        <x:v>头像框（用户视角）</x:v>
      </x:c>
      <x:c r="E67" s="4" t="str">
        <x:v>业务流程</x:v>
      </x:c>
      <x:c r="F67" s="4" t="str">
        <x:v>P2</x:v>
      </x:c>
      <x:c r="G67" s="4" t="str">
        <x:v>验证过期后的头像框状态</x:v>
      </x:c>
      <x:c r="H67" s="4" t="str">
        <x:v>头像框状态</x:v>
      </x:c>
      <x:c r="I67" s="4" t="str">
        <x:v>1. 用户账号已登录且具备当前页面权限
2. 过期</x:v>
      </x:c>
      <x:c r="J67" s="4" t="str">
        <x:v>1. 进入头像框
2. 刷新头像框</x:v>
      </x:c>
      <x:c r="K67" s="4" t="str">
        <x:v>立即停止展示</x:v>
      </x:c>
      <x:c r="L67" s="4" t="str"/>
      <x:c r="M67" s="4" t="str">
        <x:v>未测</x:v>
      </x:c>
      <x:c r="N67" s="4" t="str"/>
      <x:c r="O67" s="4" t="str">
        <x:v>1. 来源（原型批注）：liveshow-proto/prototype/annotations/user.js；my-decoration-avatar-frame.html
2. 页面：my-decoration-avatar-frame.html
3. 规则：BR-30324C96D668D6
4. 场景：SC-58296D07EC05AA
5. 未动态验证</x:v>
      </x:c>
    </x:row>
    <x:row r="68" ht="54" customHeight="1">
      <x:c r="A68" s="4" t="n">
        <x:v>67</x:v>
      </x:c>
      <x:c r="B68" s="4" t="str">
        <x:v>UPROF-0046</x:v>
      </x:c>
      <x:c r="C68" s="4" t="str">
        <x:v>个人中心</x:v>
      </x:c>
      <x:c r="D68" s="4" t="str">
        <x:v>头像框（用户视角）</x:v>
      </x:c>
      <x:c r="E68" s="4" t="str">
        <x:v>逻辑校验</x:v>
      </x:c>
      <x:c r="F68" s="4" t="str">
        <x:v>P2</x:v>
      </x:c>
      <x:c r="G68" s="4" t="str">
        <x:v>验证头像框按指定范围筛选</x:v>
      </x:c>
      <x:c r="H68" s="4" t="str">
        <x:v>头像框数据范围</x:v>
      </x:c>
      <x:c r="I68" s="4" t="str">
        <x:v>1. 用户账号已登录且具备当前页面权限
2. 存在符合和不符合“当前账号持有的头像框”的记录</x:v>
      </x:c>
      <x:c r="J68" s="4" t="str">
        <x:v>1. 进入头像框
2. 查看头像框</x:v>
      </x:c>
      <x:c r="K68" s="4" t="str">
        <x:v>数据范围：当前账号持有的头像框</x:v>
      </x:c>
      <x:c r="L68" s="4" t="str"/>
      <x:c r="M68" s="4" t="str">
        <x:v>未测</x:v>
      </x:c>
      <x:c r="N68" s="4" t="str"/>
      <x:c r="O68" s="4" t="str">
        <x:v>1. 来源（原型批注）：liveshow-proto/prototype/annotations/user.js；my-decoration-avatar-frame.html
2. 页面：my-decoration-avatar-frame.html
3. 规则：BR-337CF4FA4A2259
4. 场景：SC-CEC527D66EBF39
5. 未动态验证</x:v>
      </x:c>
    </x:row>
    <x:row r="69" ht="54" customHeight="1">
      <x:c r="A69" s="4" t="n">
        <x:v>68</x:v>
      </x:c>
      <x:c r="B69" s="4" t="str">
        <x:v>UPROF-0047</x:v>
      </x:c>
      <x:c r="C69" s="4" t="str">
        <x:v>个人中心</x:v>
      </x:c>
      <x:c r="D69" s="4" t="str">
        <x:v>头像框（用户视角）</x:v>
      </x:c>
      <x:c r="E69" s="4" t="str">
        <x:v>功能需求</x:v>
      </x:c>
      <x:c r="F69" s="4" t="str">
        <x:v>P2</x:v>
      </x:c>
      <x:c r="G69" s="4" t="str">
        <x:v>验证头像框可查看佩戴状态</x:v>
      </x:c>
      <x:c r="H69" s="4" t="str">
        <x:v>佩戴状态展示</x:v>
      </x:c>
      <x:c r="I69" s="4" t="str">
        <x:v>1. 用户账号已登录且具备当前页面权限</x:v>
      </x:c>
      <x:c r="J69" s="4" t="str">
        <x:v>1. 进入头像框
2. 查看佩戴状态</x:v>
      </x:c>
      <x:c r="K69" s="4" t="str">
        <x:v>头像框显示“佩戴状态”</x:v>
      </x:c>
      <x:c r="L69" s="4" t="str"/>
      <x:c r="M69" s="4" t="str">
        <x:v>未测</x:v>
      </x:c>
      <x:c r="N69" s="4" t="str"/>
      <x:c r="O69" s="4" t="str">
        <x:v>1. 来源（原型批注）：liveshow-proto/prototype/annotations/user.js；my-decoration-avatar-frame.html
2. 页面：my-decoration-avatar-frame.html
3. 规则：BR-EAC1C4A3E8ED25、BR-921657EB2C858E
4. 场景：SC-9D47688713A880
5. 未动态验证</x:v>
      </x:c>
    </x:row>
    <x:row r="70" ht="54" customHeight="1">
      <x:c r="A70" s="4" t="n">
        <x:v>69</x:v>
      </x:c>
      <x:c r="B70" s="4" t="str">
        <x:v>UPROF-0048</x:v>
      </x:c>
      <x:c r="C70" s="4" t="str">
        <x:v>个人中心</x:v>
      </x:c>
      <x:c r="D70" s="4" t="str">
        <x:v>头像框（用户视角）</x:v>
      </x:c>
      <x:c r="E70" s="4" t="str">
        <x:v>功能需求</x:v>
      </x:c>
      <x:c r="F70" s="4" t="str">
        <x:v>P2</x:v>
      </x:c>
      <x:c r="G70" s="4" t="str">
        <x:v>验证头像框可查看头像框预览 / 名称</x:v>
      </x:c>
      <x:c r="H70" s="4" t="str">
        <x:v>头像框预览 / 名称展示</x:v>
      </x:c>
      <x:c r="I70" s="4" t="str">
        <x:v>1. 用户账号已登录且具备当前页面权限</x:v>
      </x:c>
      <x:c r="J70" s="4" t="str">
        <x:v>1. 进入头像框
2. 查看头像框预览 / 名称</x:v>
      </x:c>
      <x:c r="K70" s="4" t="str">
        <x:v>头像框显示“头像框预览 / 名称”</x:v>
      </x:c>
      <x:c r="L70" s="4" t="str"/>
      <x:c r="M70" s="4" t="str">
        <x:v>未测</x:v>
      </x:c>
      <x:c r="N70" s="4" t="str"/>
      <x:c r="O70" s="4" t="str">
        <x:v>1. 来源（原型批注）：liveshow-proto/prototype/annotations/user.js；my-decoration-avatar-frame.html
2. 页面：my-decoration-avatar-frame.html
3. 规则：BR-92B995138C4D8D
4. 场景：SC-5EEC3BC223A49A
5. 未动态验证</x:v>
      </x:c>
    </x:row>
    <x:row r="71" ht="54" customHeight="1">
      <x:c r="A71" s="4" t="n">
        <x:v>70</x:v>
      </x:c>
      <x:c r="B71" s="4" t="str">
        <x:v>UPROF-0049</x:v>
      </x:c>
      <x:c r="C71" s="4" t="str">
        <x:v>个人中心</x:v>
      </x:c>
      <x:c r="D71" s="4" t="str">
        <x:v>头像框（用户视角）</x:v>
      </x:c>
      <x:c r="E71" s="4" t="str">
        <x:v>业务流程</x:v>
      </x:c>
      <x:c r="F71" s="4" t="str">
        <x:v>P2</x:v>
      </x:c>
      <x:c r="G71" s="4" t="str">
        <x:v>验证卸下后的头像框状态</x:v>
      </x:c>
      <x:c r="H71" s="4" t="str">
        <x:v>头像框状态</x:v>
      </x:c>
      <x:c r="I71" s="4" t="str">
        <x:v>1. 用户账号已登录且具备当前页面权限
2. 卸下</x:v>
      </x:c>
      <x:c r="J71" s="4" t="str">
        <x:v>1. 进入头像框
2. 刷新头像框</x:v>
      </x:c>
      <x:c r="K71" s="4" t="str">
        <x:v>恢复默认头像样式</x:v>
      </x:c>
      <x:c r="L71" s="4" t="str"/>
      <x:c r="M71" s="4" t="str">
        <x:v>未测</x:v>
      </x:c>
      <x:c r="N71" s="4" t="str"/>
      <x:c r="O71" s="4" t="str">
        <x:v>1. 来源（原型批注）：liveshow-proto/prototype/annotations/user.js；my-decoration-avatar-frame.html
2. 页面：my-decoration-avatar-frame.html
3. 规则：BR-1DEA91CAE62008
4. 场景：SC-A1FAB86201C07F
5. 未动态验证</x:v>
      </x:c>
    </x:row>
    <x:row r="72" ht="54" customHeight="1">
      <x:c r="A72" s="4" t="n">
        <x:v>71</x:v>
      </x:c>
      <x:c r="B72" s="4" t="str">
        <x:v>UPROF-0050</x:v>
      </x:c>
      <x:c r="C72" s="4" t="str">
        <x:v>个人中心</x:v>
      </x:c>
      <x:c r="D72" s="4" t="str">
        <x:v>我的（用户视角）</x:v>
      </x:c>
      <x:c r="E72" s="4" t="str">
        <x:v>功能需求</x:v>
      </x:c>
      <x:c r="F72" s="4" t="str">
        <x:v>P2</x:v>
      </x:c>
      <x:c r="G72" s="4" t="str">
        <x:v>验证不足 10 枚不占位，没有可展示勋章时的我的结果</x:v>
      </x:c>
      <x:c r="H72" s="4" t="str">
        <x:v>我的条件结果</x:v>
      </x:c>
      <x:c r="I72" s="4" t="str">
        <x:v>1. 用户账号已登录且具备当前页面权限
2. 不足 10 枚不占位，没有可展示勋章</x:v>
      </x:c>
      <x:c r="J72" s="4" t="str">
        <x:v>1. 进入我的
2. 查看我的</x:v>
      </x:c>
      <x:c r="K72" s="4" t="str">
        <x:v>隐藏该区域</x:v>
      </x:c>
      <x:c r="L72" s="4" t="str"/>
      <x:c r="M72" s="4" t="str">
        <x:v>未测</x:v>
      </x:c>
      <x:c r="N72" s="4" t="str"/>
      <x:c r="O72" s="4" t="str">
        <x:v>1. 来源（原型批注）：liveshow-proto/prototype/annotations/user.js；profile.html
2. 页面：profile.html
3. 规则：BR-9F9F1B03A945CE
4. 场景：SC-A3DEE209EB1823
5. 未动态验证</x:v>
      </x:c>
    </x:row>
    <x:row r="73" ht="54" customHeight="1">
      <x:c r="A73" s="4" t="n">
        <x:v>72</x:v>
      </x:c>
      <x:c r="B73" s="4" t="str">
        <x:v>UPROF-0051</x:v>
      </x:c>
      <x:c r="C73" s="4" t="str">
        <x:v>个人中心</x:v>
      </x:c>
      <x:c r="D73" s="4" t="str">
        <x:v>我的（用户视角）</x:v>
      </x:c>
      <x:c r="E73" s="4" t="str">
        <x:v>业务流程</x:v>
      </x:c>
      <x:c r="F73" s="4" t="str">
        <x:v>P2</x:v>
      </x:c>
      <x:c r="G73" s="4" t="str">
        <x:v>验证充值后的我的状态</x:v>
      </x:c>
      <x:c r="H73" s="4" t="str">
        <x:v>我的状态</x:v>
      </x:c>
      <x:c r="I73" s="4" t="str">
        <x:v>1. 用户账号已登录且具备当前页面权限
2. 充值</x:v>
      </x:c>
      <x:c r="J73" s="4" t="str">
        <x:v>1. 进入我的
2. 刷新我的</x:v>
      </x:c>
      <x:c r="K73" s="4" t="str">
        <x:v>进入充值流程</x:v>
      </x:c>
      <x:c r="L73" s="4" t="str"/>
      <x:c r="M73" s="4" t="str">
        <x:v>未测</x:v>
      </x:c>
      <x:c r="N73" s="4" t="str"/>
      <x:c r="O73" s="4" t="str">
        <x:v>1. 来源（原型批注）：liveshow-proto/prototype/annotations/user.js；profile.html
2. 页面：profile.html
3. 规则：BR-FFCE5DF3F56672
4. 场景：SC-1AD7485E6DEEC9
5. 未动态验证</x:v>
      </x:c>
    </x:row>
    <x:row r="74" ht="54" customHeight="1">
      <x:c r="A74" s="4" t="n">
        <x:v>73</x:v>
      </x:c>
      <x:c r="B74" s="4" t="str">
        <x:v>UPROF-0052</x:v>
      </x:c>
      <x:c r="C74" s="4" t="str">
        <x:v>个人中心</x:v>
      </x:c>
      <x:c r="D74" s="4" t="str">
        <x:v>我的（用户视角）</x:v>
      </x:c>
      <x:c r="E74" s="4" t="str">
        <x:v>业务流程</x:v>
      </x:c>
      <x:c r="F74" s="4" t="str">
        <x:v>P2</x:v>
      </x:c>
      <x:c r="G74" s="4" t="str">
        <x:v>验证点击粉丝数后的我的状态</x:v>
      </x:c>
      <x:c r="H74" s="4" t="str">
        <x:v>我的状态</x:v>
      </x:c>
      <x:c r="I74" s="4" t="str">
        <x:v>1. 用户账号已登录且具备当前页面权限</x:v>
      </x:c>
      <x:c r="J74" s="4" t="str">
        <x:v>1. 进入我的
2. 点击粉丝数</x:v>
      </x:c>
      <x:c r="K74" s="4" t="str">
        <x:v>进入粉丝列表 P045</x:v>
      </x:c>
      <x:c r="L74" s="4" t="str"/>
      <x:c r="M74" s="4" t="str">
        <x:v>未测</x:v>
      </x:c>
      <x:c r="N74" s="4" t="str"/>
      <x:c r="O74" s="4" t="str">
        <x:v>1. 来源（原型批注）：liveshow-proto/prototype/annotations/user.js；profile.html
2. 页面：profile.html
3. 规则：BR-B9B663D087B6B6
4. 场景：SC-565A40C0F0F7D5
5. 未动态验证</x:v>
      </x:c>
    </x:row>
    <x:row r="75" ht="54" customHeight="1">
      <x:c r="A75" s="4" t="n">
        <x:v>74</x:v>
      </x:c>
      <x:c r="B75" s="4" t="str">
        <x:v>UPROF-0053</x:v>
      </x:c>
      <x:c r="C75" s="4" t="str">
        <x:v>个人中心</x:v>
      </x:c>
      <x:c r="D75" s="4" t="str">
        <x:v>我的（用户视角）</x:v>
      </x:c>
      <x:c r="E75" s="4" t="str">
        <x:v>业务流程</x:v>
      </x:c>
      <x:c r="F75" s="4" t="str">
        <x:v>P2</x:v>
      </x:c>
      <x:c r="G75" s="4" t="str">
        <x:v>验证点击好友数后的我的状态</x:v>
      </x:c>
      <x:c r="H75" s="4" t="str">
        <x:v>我的状态</x:v>
      </x:c>
      <x:c r="I75" s="4" t="str">
        <x:v>1. 用户账号已登录且具备当前页面权限</x:v>
      </x:c>
      <x:c r="J75" s="4" t="str">
        <x:v>1. 进入我的
2. 点击好友数</x:v>
      </x:c>
      <x:c r="K75" s="4" t="str">
        <x:v>进入好友列表 P043</x:v>
      </x:c>
      <x:c r="L75" s="4" t="str"/>
      <x:c r="M75" s="4" t="str">
        <x:v>未测</x:v>
      </x:c>
      <x:c r="N75" s="4" t="str"/>
      <x:c r="O75" s="4" t="str">
        <x:v>1. 来源（原型批注）：liveshow-proto/prototype/annotations/user.js；profile.html
2. 页面：profile.html
3. 规则：BR-0F4226E4AAC54F
4. 场景：SC-6A0DE0D74D8CB7
5. 未动态验证</x:v>
      </x:c>
    </x:row>
    <x:row r="76" ht="54" customHeight="1">
      <x:c r="A76" s="4" t="n">
        <x:v>75</x:v>
      </x:c>
      <x:c r="B76" s="4" t="str">
        <x:v>UPROF-0054</x:v>
      </x:c>
      <x:c r="C76" s="4" t="str">
        <x:v>个人中心</x:v>
      </x:c>
      <x:c r="D76" s="4" t="str">
        <x:v>我的（用户视角）</x:v>
      </x:c>
      <x:c r="E76" s="4" t="str">
        <x:v>功能需求</x:v>
      </x:c>
      <x:c r="F76" s="4" t="str">
        <x:v>P2</x:v>
      </x:c>
      <x:c r="G76" s="4" t="str">
        <x:v>验证负余额时的我的结果</x:v>
      </x:c>
      <x:c r="H76" s="4" t="str">
        <x:v>我的条件结果</x:v>
      </x:c>
      <x:c r="I76" s="4" t="str">
        <x:v>1. 用户账号已登录且具备当前页面权限
2. 负余额</x:v>
      </x:c>
      <x:c r="J76" s="4" t="str">
        <x:v>1. 进入我的
2. 查看我的</x:v>
      </x:c>
      <x:c r="K76" s="4" t="str">
        <x:v>不可消费</x:v>
      </x:c>
      <x:c r="L76" s="4" t="str"/>
      <x:c r="M76" s="4" t="str">
        <x:v>未测</x:v>
      </x:c>
      <x:c r="N76" s="4" t="str"/>
      <x:c r="O76" s="4" t="str">
        <x:v>1. 来源（原型批注）：liveshow-proto/prototype/annotations/user.js；profile.html
2. 页面：profile.html
3. 规则：BR-67BE6AB2FC605C
4. 场景：SC-7CBD210EDB726E
5. 未动态验证</x:v>
      </x:c>
    </x:row>
    <x:row r="77" ht="54" customHeight="1">
      <x:c r="A77" s="4" t="n">
        <x:v>76</x:v>
      </x:c>
      <x:c r="B77" s="4" t="str">
        <x:v>UPROF-0055</x:v>
      </x:c>
      <x:c r="C77" s="4" t="str">
        <x:v>个人中心</x:v>
      </x:c>
      <x:c r="D77" s="4" t="str">
        <x:v>我的（用户视角）</x:v>
      </x:c>
      <x:c r="E77" s="4" t="str">
        <x:v>业务流程</x:v>
      </x:c>
      <x:c r="F77" s="4" t="str">
        <x:v>P2</x:v>
      </x:c>
      <x:c r="G77" s="4" t="str">
        <x:v>验证进入社交数据后的我的状态</x:v>
      </x:c>
      <x:c r="H77" s="4" t="str">
        <x:v>我的状态</x:v>
      </x:c>
      <x:c r="I77" s="4" t="str">
        <x:v>1. 用户账号已登录且具备当前页面权限</x:v>
      </x:c>
      <x:c r="J77" s="4" t="str">
        <x:v>1. 进入我的
2. 进入社交数据</x:v>
      </x:c>
      <x:c r="K77" s="4" t="str">
        <x:v>打开对应关系列表</x:v>
      </x:c>
      <x:c r="L77" s="4" t="str"/>
      <x:c r="M77" s="4" t="str">
        <x:v>未测</x:v>
      </x:c>
      <x:c r="N77" s="4" t="str"/>
      <x:c r="O77" s="4" t="str">
        <x:v>1. 来源（原型批注）：liveshow-proto/prototype/annotations/user.js；profile.html
2. 页面：profile.html
3. 规则：BR-DF575435DB414D
4. 场景：SC-0388ED1C1C188F
5. 未动态验证</x:v>
      </x:c>
    </x:row>
    <x:row r="78" ht="54" customHeight="1">
      <x:c r="A78" s="4" t="n">
        <x:v>77</x:v>
      </x:c>
      <x:c r="B78" s="4" t="str">
        <x:v>UPROF-0056</x:v>
      </x:c>
      <x:c r="C78" s="4" t="str">
        <x:v>个人中心</x:v>
      </x:c>
      <x:c r="D78" s="4" t="str">
        <x:v>我的（用户视角）</x:v>
      </x:c>
      <x:c r="E78" s="4" t="str">
        <x:v>业务流程</x:v>
      </x:c>
      <x:c r="F78" s="4" t="str">
        <x:v>P2</x:v>
      </x:c>
      <x:c r="G78" s="4" t="str">
        <x:v>验证进入主播中心后的我的状态</x:v>
      </x:c>
      <x:c r="H78" s="4" t="str">
        <x:v>我的状态</x:v>
      </x:c>
      <x:c r="I78" s="4" t="str">
        <x:v>1. 用户账号已登录且具备当前页面权限</x:v>
      </x:c>
      <x:c r="J78" s="4" t="str">
        <x:v>1. 进入我的
2. 进入主播中心</x:v>
      </x:c>
      <x:c r="K78" s="4" t="str">
        <x:v>按主播身份和权限展示申请或主播工具</x:v>
      </x:c>
      <x:c r="L78" s="4" t="str"/>
      <x:c r="M78" s="4" t="str">
        <x:v>未测</x:v>
      </x:c>
      <x:c r="N78" s="4" t="str"/>
      <x:c r="O78" s="4" t="str">
        <x:v>1. 来源（原型批注）：liveshow-proto/prototype/annotations/user.js；profile.html
2. 页面：profile.html
3. 规则：BR-FC6994B41DB0F5
4. 场景：SC-85E424C35D5C94
5. 未动态验证</x:v>
      </x:c>
    </x:row>
    <x:row r="79" ht="54" customHeight="1">
      <x:c r="A79" s="4" t="n">
        <x:v>78</x:v>
      </x:c>
      <x:c r="B79" s="4" t="str">
        <x:v>UPROF-0057</x:v>
      </x:c>
      <x:c r="C79" s="4" t="str">
        <x:v>个人中心</x:v>
      </x:c>
      <x:c r="D79" s="4" t="str">
        <x:v>我的（用户视角）</x:v>
      </x:c>
      <x:c r="E79" s="4" t="str">
        <x:v>功能需求</x:v>
      </x:c>
      <x:c r="F79" s="4" t="str">
        <x:v>P2</x:v>
      </x:c>
      <x:c r="G79" s="4" t="str">
        <x:v>验证未获得主播身份时的我的结果</x:v>
      </x:c>
      <x:c r="H79" s="4" t="str">
        <x:v>我的条件结果</x:v>
      </x:c>
      <x:c r="I79" s="4" t="str">
        <x:v>1. 用户账号已登录且具备当前页面权限
2. 未获得主播身份</x:v>
      </x:c>
      <x:c r="J79" s="4" t="str">
        <x:v>1. 进入我的
2. 查看我的</x:v>
      </x:c>
      <x:c r="K79" s="4" t="str">
        <x:v>进入主播申请流程</x:v>
      </x:c>
      <x:c r="L79" s="4" t="str"/>
      <x:c r="M79" s="4" t="str">
        <x:v>未测</x:v>
      </x:c>
      <x:c r="N79" s="4" t="str"/>
      <x:c r="O79" s="4" t="str">
        <x:v>1. 来源（原型批注）：liveshow-proto/prototype/annotations/user.js；profile.html
2. 页面：profile.html
3. 规则：BR-645B6E62974991
4. 场景：SC-CCB1E67CDDD8EA
5. 未动态验证</x:v>
      </x:c>
    </x:row>
    <x:row r="80" ht="54" customHeight="1">
      <x:c r="A80" s="4" t="n">
        <x:v>79</x:v>
      </x:c>
      <x:c r="B80" s="4" t="str">
        <x:v>UPROF-0058</x:v>
      </x:c>
      <x:c r="C80" s="4" t="str">
        <x:v>个人中心</x:v>
      </x:c>
      <x:c r="D80" s="4" t="str">
        <x:v>我的（用户视角）</x:v>
      </x:c>
      <x:c r="E80" s="4" t="str">
        <x:v>功能需求</x:v>
      </x:c>
      <x:c r="F80" s="4" t="str">
        <x:v>P2</x:v>
      </x:c>
      <x:c r="G80" s="4" t="str">
        <x:v>验证我的可查看编辑资料</x:v>
      </x:c>
      <x:c r="H80" s="4" t="str">
        <x:v>编辑资料展示</x:v>
      </x:c>
      <x:c r="I80" s="4" t="str">
        <x:v>1. 用户账号已登录且具备当前页面权限</x:v>
      </x:c>
      <x:c r="J80" s="4" t="str">
        <x:v>1. 进入我的
2. 查看编辑资料</x:v>
      </x:c>
      <x:c r="K80" s="4" t="str">
        <x:v>我的显示“编辑资料”</x:v>
      </x:c>
      <x:c r="L80" s="4" t="str"/>
      <x:c r="M80" s="4" t="str">
        <x:v>未测</x:v>
      </x:c>
      <x:c r="N80" s="4" t="str"/>
      <x:c r="O80" s="4" t="str">
        <x:v>1. 来源（原型批注）：liveshow-proto/prototype/annotations/user.js；profile.html
2. 页面：profile.html
3. 规则：BR-B5F24442E586D2
4. 场景：SC-769401551D8AC5
5. 未动态验证</x:v>
      </x:c>
    </x:row>
    <x:row r="81" ht="54" customHeight="1">
      <x:c r="A81" s="4" t="n">
        <x:v>80</x:v>
      </x:c>
      <x:c r="B81" s="4" t="str">
        <x:v>UPROF-0059</x:v>
      </x:c>
      <x:c r="C81" s="4" t="str">
        <x:v>个人中心</x:v>
      </x:c>
      <x:c r="D81" s="4" t="str">
        <x:v>我的（用户视角）</x:v>
      </x:c>
      <x:c r="E81" s="4" t="str">
        <x:v>功能需求</x:v>
      </x:c>
      <x:c r="F81" s="4" t="str">
        <x:v>P2</x:v>
      </x:c>
      <x:c r="G81" s="4" t="str">
        <x:v>验证我的可查看充值</x:v>
      </x:c>
      <x:c r="H81" s="4" t="str">
        <x:v>充值展示</x:v>
      </x:c>
      <x:c r="I81" s="4" t="str">
        <x:v>1. 用户账号已登录且具备当前页面权限</x:v>
      </x:c>
      <x:c r="J81" s="4" t="str">
        <x:v>1. 进入我的
2. 查看充值</x:v>
      </x:c>
      <x:c r="K81" s="4" t="str">
        <x:v>我的显示“充值”</x:v>
      </x:c>
      <x:c r="L81" s="4" t="str"/>
      <x:c r="M81" s="4" t="str">
        <x:v>未测</x:v>
      </x:c>
      <x:c r="N81" s="4" t="str"/>
      <x:c r="O81" s="4" t="str">
        <x:v>1. 来源（原型批注）：liveshow-proto/prototype/annotations/user.js；profile.html
2. 页面：profile.html
3. 规则：BR-69AE1AEC32CFB0
4. 场景：SC-7301A46133BA9D
5. 未动态验证</x:v>
      </x:c>
    </x:row>
    <x:row r="82" ht="54" customHeight="1">
      <x:c r="A82" s="4" t="n">
        <x:v>81</x:v>
      </x:c>
      <x:c r="B82" s="4" t="str">
        <x:v>UPROF-0060</x:v>
      </x:c>
      <x:c r="C82" s="4" t="str">
        <x:v>个人中心</x:v>
      </x:c>
      <x:c r="D82" s="4" t="str">
        <x:v>我的（用户视角）</x:v>
      </x:c>
      <x:c r="E82" s="4" t="str">
        <x:v>功能需求</x:v>
      </x:c>
      <x:c r="F82" s="4" t="str">
        <x:v>P2</x:v>
      </x:c>
      <x:c r="G82" s="4" t="str">
        <x:v>验证我的可查看粉丝团</x:v>
      </x:c>
      <x:c r="H82" s="4" t="str">
        <x:v>粉丝团展示</x:v>
      </x:c>
      <x:c r="I82" s="4" t="str">
        <x:v>1. 用户账号已登录且具备当前页面权限</x:v>
      </x:c>
      <x:c r="J82" s="4" t="str">
        <x:v>1. 进入我的
2. 查看粉丝团</x:v>
      </x:c>
      <x:c r="K82" s="4" t="str">
        <x:v>我的显示“粉丝团”</x:v>
      </x:c>
      <x:c r="L82" s="4" t="str"/>
      <x:c r="M82" s="4" t="str">
        <x:v>未测</x:v>
      </x:c>
      <x:c r="N82" s="4" t="str"/>
      <x:c r="O82" s="4" t="str">
        <x:v>1. 来源（原型批注）：liveshow-proto/prototype/annotations/user.js；profile.html
2. 页面：profile.html
3. 规则：BR-3E6685FA4C46CC
4. 场景：SC-D5A17F6E045662
5. 未动态验证</x:v>
      </x:c>
    </x:row>
    <x:row r="83" ht="54" customHeight="1">
      <x:c r="A83" s="4" t="n">
        <x:v>82</x:v>
      </x:c>
      <x:c r="B83" s="4" t="str">
        <x:v>UPROF-0061</x:v>
      </x:c>
      <x:c r="C83" s="4" t="str">
        <x:v>个人中心</x:v>
      </x:c>
      <x:c r="D83" s="4" t="str">
        <x:v>我的（用户视角）</x:v>
      </x:c>
      <x:c r="E83" s="4" t="str">
        <x:v>功能需求</x:v>
      </x:c>
      <x:c r="F83" s="4" t="str">
        <x:v>P2</x:v>
      </x:c>
      <x:c r="G83" s="4" t="str">
        <x:v>验证我的可查看公会中心</x:v>
      </x:c>
      <x:c r="H83" s="4" t="str">
        <x:v>公会中心展示</x:v>
      </x:c>
      <x:c r="I83" s="4" t="str">
        <x:v>1. 用户账号已登录且具备当前页面权限</x:v>
      </x:c>
      <x:c r="J83" s="4" t="str">
        <x:v>1. 进入我的
2. 查看公会中心</x:v>
      </x:c>
      <x:c r="K83" s="4" t="str">
        <x:v>我的显示“公会中心”</x:v>
      </x:c>
      <x:c r="L83" s="4" t="str"/>
      <x:c r="M83" s="4" t="str">
        <x:v>未测</x:v>
      </x:c>
      <x:c r="N83" s="4" t="str"/>
      <x:c r="O83" s="4" t="str">
        <x:v>1. 来源（原型批注）：liveshow-proto/prototype/annotations/user.js；profile.html
2. 页面：profile.html
3. 规则：BR-9EF666C8081C65
4. 场景：SC-28A9F43E67178E
5. 未动态验证</x:v>
      </x:c>
    </x:row>
    <x:row r="84" ht="54" customHeight="1">
      <x:c r="A84" s="4" t="n">
        <x:v>83</x:v>
      </x:c>
      <x:c r="B84" s="4" t="str">
        <x:v>UPROF-0062</x:v>
      </x:c>
      <x:c r="C84" s="4" t="str">
        <x:v>个人中心</x:v>
      </x:c>
      <x:c r="D84" s="4" t="str">
        <x:v>我的（用户视角）</x:v>
      </x:c>
      <x:c r="E84" s="4" t="str">
        <x:v>功能需求</x:v>
      </x:c>
      <x:c r="F84" s="4" t="str">
        <x:v>P2</x:v>
      </x:c>
      <x:c r="G84" s="4" t="str">
        <x:v>验证我的可查看黑名单</x:v>
      </x:c>
      <x:c r="H84" s="4" t="str">
        <x:v>黑名单展示</x:v>
      </x:c>
      <x:c r="I84" s="4" t="str">
        <x:v>1. 用户账号已登录且具备当前页面权限</x:v>
      </x:c>
      <x:c r="J84" s="4" t="str">
        <x:v>1. 进入我的
2. 查看黑名单</x:v>
      </x:c>
      <x:c r="K84" s="4" t="str">
        <x:v>我的显示“黑名单”</x:v>
      </x:c>
      <x:c r="L84" s="4" t="str"/>
      <x:c r="M84" s="4" t="str">
        <x:v>未测</x:v>
      </x:c>
      <x:c r="N84" s="4" t="str"/>
      <x:c r="O84" s="4" t="str">
        <x:v>1. 来源（原型批注）：liveshow-proto/prototype/annotations/user.js；profile.html
2. 页面：profile.html
3. 规则：BR-F1E84D12AC733D
4. 场景：SC-68647FA969CBC8
5. 未动态验证</x:v>
      </x:c>
    </x:row>
    <x:row r="85" ht="54" customHeight="1">
      <x:c r="A85" s="4" t="n">
        <x:v>84</x:v>
      </x:c>
      <x:c r="B85" s="4" t="str">
        <x:v>UPROF-0063</x:v>
      </x:c>
      <x:c r="C85" s="4" t="str">
        <x:v>个人中心</x:v>
      </x:c>
      <x:c r="D85" s="4" t="str">
        <x:v>我的（用户视角）</x:v>
      </x:c>
      <x:c r="E85" s="4" t="str">
        <x:v>功能需求</x:v>
      </x:c>
      <x:c r="F85" s="4" t="str">
        <x:v>P2</x:v>
      </x:c>
      <x:c r="G85" s="4" t="str">
        <x:v>验证我的可查看金币余额</x:v>
      </x:c>
      <x:c r="H85" s="4" t="str">
        <x:v>金币余额展示</x:v>
      </x:c>
      <x:c r="I85" s="4" t="str">
        <x:v>1. 用户账号已登录且具备当前页面权限</x:v>
      </x:c>
      <x:c r="J85" s="4" t="str">
        <x:v>1. 进入我的
2. 查看金币余额</x:v>
      </x:c>
      <x:c r="K85" s="4" t="str">
        <x:v>我的显示“金币余额”</x:v>
      </x:c>
      <x:c r="L85" s="4" t="str"/>
      <x:c r="M85" s="4" t="str">
        <x:v>未测</x:v>
      </x:c>
      <x:c r="N85" s="4" t="str"/>
      <x:c r="O85" s="4" t="str">
        <x:v>1. 来源（原型批注）：liveshow-proto/prototype/annotations/user.js；profile.html
2. 页面：profile.html
3. 规则：BR-62BA6FC15825B3、BR-67BE6AB2FC605C
4. 场景：SC-CDDC7B5F30B3F9
5. 未动态验证</x:v>
      </x:c>
    </x:row>
    <x:row r="86" ht="54" customHeight="1">
      <x:c r="A86" s="4" t="n">
        <x:v>85</x:v>
      </x:c>
      <x:c r="B86" s="4" t="str">
        <x:v>UPROF-0064</x:v>
      </x:c>
      <x:c r="C86" s="4" t="str">
        <x:v>个人中心</x:v>
      </x:c>
      <x:c r="D86" s="4" t="str">
        <x:v>我的（用户视角）</x:v>
      </x:c>
      <x:c r="E86" s="4" t="str">
        <x:v>功能需求</x:v>
      </x:c>
      <x:c r="F86" s="4" t="str">
        <x:v>P2</x:v>
      </x:c>
      <x:c r="G86" s="4" t="str">
        <x:v>验证我的可查看开始直播</x:v>
      </x:c>
      <x:c r="H86" s="4" t="str">
        <x:v>开始直播展示</x:v>
      </x:c>
      <x:c r="I86" s="4" t="str">
        <x:v>1. 用户账号已登录且具备当前页面权限</x:v>
      </x:c>
      <x:c r="J86" s="4" t="str">
        <x:v>1. 进入我的
2. 查看开始直播</x:v>
      </x:c>
      <x:c r="K86" s="4" t="str">
        <x:v>我的显示“开始直播”</x:v>
      </x:c>
      <x:c r="L86" s="4" t="str"/>
      <x:c r="M86" s="4" t="str">
        <x:v>未测</x:v>
      </x:c>
      <x:c r="N86" s="4" t="str"/>
      <x:c r="O86" s="4" t="str">
        <x:v>1. 来源（原型批注）：liveshow-proto/prototype/annotations/user.js；profile.html
2. 页面：profile.html
3. 规则：BR-88FC9AB9E825ED
4. 场景：SC-FD308C99DAA783
5. 未动态验证</x:v>
      </x:c>
    </x:row>
    <x:row r="87" ht="54" customHeight="1">
      <x:c r="A87" s="4" t="n">
        <x:v>86</x:v>
      </x:c>
      <x:c r="B87" s="4" t="str">
        <x:v>UPROF-0065</x:v>
      </x:c>
      <x:c r="C87" s="4" t="str">
        <x:v>个人中心</x:v>
      </x:c>
      <x:c r="D87" s="4" t="str">
        <x:v>我的（用户视角）</x:v>
      </x:c>
      <x:c r="E87" s="4" t="str">
        <x:v>功能需求</x:v>
      </x:c>
      <x:c r="F87" s="4" t="str">
        <x:v>P2</x:v>
      </x:c>
      <x:c r="G87" s="4" t="str">
        <x:v>验证我的可查看联系客服</x:v>
      </x:c>
      <x:c r="H87" s="4" t="str">
        <x:v>联系客服展示</x:v>
      </x:c>
      <x:c r="I87" s="4" t="str">
        <x:v>1. 用户账号已登录且具备当前页面权限</x:v>
      </x:c>
      <x:c r="J87" s="4" t="str">
        <x:v>1. 进入我的
2. 查看联系客服</x:v>
      </x:c>
      <x:c r="K87" s="4" t="str">
        <x:v>我的显示“联系客服”</x:v>
      </x:c>
      <x:c r="L87" s="4" t="str"/>
      <x:c r="M87" s="4" t="str">
        <x:v>未测</x:v>
      </x:c>
      <x:c r="N87" s="4" t="str"/>
      <x:c r="O87" s="4" t="str">
        <x:v>1. 来源（原型批注）：liveshow-proto/prototype/annotations/user.js；profile.html
2. 页面：profile.html
3. 规则：BR-241745CCB51214
4. 场景：SC-10A6030314C568
5. 未动态验证</x:v>
      </x:c>
    </x:row>
    <x:row r="88" ht="54" customHeight="1">
      <x:c r="A88" s="4" t="n">
        <x:v>87</x:v>
      </x:c>
      <x:c r="B88" s="4" t="str">
        <x:v>UPROF-0066</x:v>
      </x:c>
      <x:c r="C88" s="4" t="str">
        <x:v>个人中心</x:v>
      </x:c>
      <x:c r="D88" s="4" t="str">
        <x:v>我的（用户视角）</x:v>
      </x:c>
      <x:c r="E88" s="4" t="str">
        <x:v>功能需求</x:v>
      </x:c>
      <x:c r="F88" s="4" t="str">
        <x:v>P2</x:v>
      </x:c>
      <x:c r="G88" s="4" t="str">
        <x:v>验证我的可查看设置</x:v>
      </x:c>
      <x:c r="H88" s="4" t="str">
        <x:v>设置展示</x:v>
      </x:c>
      <x:c r="I88" s="4" t="str">
        <x:v>1. 用户账号已登录且具备当前页面权限</x:v>
      </x:c>
      <x:c r="J88" s="4" t="str">
        <x:v>1. 进入我的
2. 查看设置</x:v>
      </x:c>
      <x:c r="K88" s="4" t="str">
        <x:v>我的显示“设置”</x:v>
      </x:c>
      <x:c r="L88" s="4" t="str"/>
      <x:c r="M88" s="4" t="str">
        <x:v>未测</x:v>
      </x:c>
      <x:c r="N88" s="4" t="str"/>
      <x:c r="O88" s="4" t="str">
        <x:v>1. 来源（原型批注）：liveshow-proto/prototype/annotations/user.js；profile.html
2. 页面：profile.html
3. 规则：BR-16DB6BC46F76EE
4. 场景：SC-514B98CF7A022E
5. 未动态验证</x:v>
      </x:c>
    </x:row>
    <x:row r="89" ht="54" customHeight="1">
      <x:c r="A89" s="4" t="n">
        <x:v>88</x:v>
      </x:c>
      <x:c r="B89" s="4" t="str">
        <x:v>UPROF-0067</x:v>
      </x:c>
      <x:c r="C89" s="4" t="str">
        <x:v>个人中心</x:v>
      </x:c>
      <x:c r="D89" s="4" t="str">
        <x:v>我的（用户视角）</x:v>
      </x:c>
      <x:c r="E89" s="4" t="str">
        <x:v>功能需求</x:v>
      </x:c>
      <x:c r="F89" s="4" t="str">
        <x:v>P2</x:v>
      </x:c>
      <x:c r="G89" s="4" t="str">
        <x:v>验证我的可查看社交数据</x:v>
      </x:c>
      <x:c r="H89" s="4" t="str">
        <x:v>社交数据展示</x:v>
      </x:c>
      <x:c r="I89" s="4" t="str">
        <x:v>1. 用户账号已登录且具备当前页面权限</x:v>
      </x:c>
      <x:c r="J89" s="4" t="str">
        <x:v>1. 进入我的
2. 查看社交数据</x:v>
      </x:c>
      <x:c r="K89" s="4" t="str">
        <x:v>我的显示“社交数据”</x:v>
      </x:c>
      <x:c r="L89" s="4" t="str"/>
      <x:c r="M89" s="4" t="str">
        <x:v>未测</x:v>
      </x:c>
      <x:c r="N89" s="4" t="str"/>
      <x:c r="O89" s="4" t="str">
        <x:v>1. 来源（原型批注）：liveshow-proto/prototype/annotations/user.js；profile.html
2. 页面：profile.html
3. 规则：BR-9F6B7A53289C88、BR-7A804E0D5599C4、BR-49BA760C8482E9
4. 场景：SC-49541A5F84BFB4
5. 未动态验证</x:v>
      </x:c>
    </x:row>
    <x:row r="90" ht="54" customHeight="1">
      <x:c r="A90" s="4" t="n">
        <x:v>89</x:v>
      </x:c>
      <x:c r="B90" s="4" t="str">
        <x:v>UPROF-0068</x:v>
      </x:c>
      <x:c r="C90" s="4" t="str">
        <x:v>个人中心</x:v>
      </x:c>
      <x:c r="D90" s="4" t="str">
        <x:v>我的（用户视角）</x:v>
      </x:c>
      <x:c r="E90" s="4" t="str">
        <x:v>功能需求</x:v>
      </x:c>
      <x:c r="F90" s="4" t="str">
        <x:v>P2</x:v>
      </x:c>
      <x:c r="G90" s="4" t="str">
        <x:v>验证我的可查看我的装扮</x:v>
      </x:c>
      <x:c r="H90" s="4" t="str">
        <x:v>我的装扮展示</x:v>
      </x:c>
      <x:c r="I90" s="4" t="str">
        <x:v>1. 用户账号已登录且具备当前页面权限</x:v>
      </x:c>
      <x:c r="J90" s="4" t="str">
        <x:v>1. 进入我的
2. 查看我的装扮</x:v>
      </x:c>
      <x:c r="K90" s="4" t="str">
        <x:v>我的显示“我的装扮”</x:v>
      </x:c>
      <x:c r="L90" s="4" t="str"/>
      <x:c r="M90" s="4" t="str">
        <x:v>未测</x:v>
      </x:c>
      <x:c r="N90" s="4" t="str"/>
      <x:c r="O90" s="4" t="str">
        <x:v>1. 来源（原型批注）：liveshow-proto/prototype/annotations/user.js；profile.html
2. 页面：profile.html
3. 规则：BR-F176BB4BB43B63
4. 场景：SC-2D2A739138329D
5. 未动态验证</x:v>
      </x:c>
    </x:row>
    <x:row r="91" ht="54" customHeight="1">
      <x:c r="A91" s="4" t="n">
        <x:v>90</x:v>
      </x:c>
      <x:c r="B91" s="4" t="str">
        <x:v>UPROF-0069</x:v>
      </x:c>
      <x:c r="C91" s="4" t="str">
        <x:v>个人中心</x:v>
      </x:c>
      <x:c r="D91" s="4" t="str">
        <x:v>我的（用户视角）</x:v>
      </x:c>
      <x:c r="E91" s="4" t="str">
        <x:v>功能需求</x:v>
      </x:c>
      <x:c r="F91" s="4" t="str">
        <x:v>P2</x:v>
      </x:c>
      <x:c r="G91" s="4" t="str">
        <x:v>验证我的可查看勋章</x:v>
      </x:c>
      <x:c r="H91" s="4" t="str">
        <x:v>勋章展示</x:v>
      </x:c>
      <x:c r="I91" s="4" t="str">
        <x:v>1. 用户账号已登录且具备当前页面权限</x:v>
      </x:c>
      <x:c r="J91" s="4" t="str">
        <x:v>1. 进入我的
2. 查看勋章</x:v>
      </x:c>
      <x:c r="K91" s="4" t="str">
        <x:v>我的显示“勋章”</x:v>
      </x:c>
      <x:c r="L91" s="4" t="str"/>
      <x:c r="M91" s="4" t="str">
        <x:v>未测</x:v>
      </x:c>
      <x:c r="N91" s="4" t="str"/>
      <x:c r="O91" s="4" t="str">
        <x:v>1. 来源（原型批注）：liveshow-proto/prototype/annotations/user.js；profile.html
2. 页面：profile.html
3. 规则：BR-355DFFD426E642、BR-9F9F1B03A945CE
4. 场景：SC-D1FBD615C3829E
5. 未动态验证</x:v>
      </x:c>
    </x:row>
    <x:row r="92" ht="54" customHeight="1">
      <x:c r="A92" s="4" t="n">
        <x:v>91</x:v>
      </x:c>
      <x:c r="B92" s="4" t="str">
        <x:v>UPROF-0070</x:v>
      </x:c>
      <x:c r="C92" s="4" t="str">
        <x:v>个人中心</x:v>
      </x:c>
      <x:c r="D92" s="4" t="str">
        <x:v>我的（用户视角）</x:v>
      </x:c>
      <x:c r="E92" s="4" t="str">
        <x:v>功能需求</x:v>
      </x:c>
      <x:c r="F92" s="4" t="str">
        <x:v>P2</x:v>
      </x:c>
      <x:c r="G92" s="4" t="str">
        <x:v>验证我的可查看邀请奖励</x:v>
      </x:c>
      <x:c r="H92" s="4" t="str">
        <x:v>邀请奖励展示</x:v>
      </x:c>
      <x:c r="I92" s="4" t="str">
        <x:v>1. 用户账号已登录且具备当前页面权限</x:v>
      </x:c>
      <x:c r="J92" s="4" t="str">
        <x:v>1. 进入我的
2. 查看邀请奖励</x:v>
      </x:c>
      <x:c r="K92" s="4" t="str">
        <x:v>我的显示“邀请奖励”</x:v>
      </x:c>
      <x:c r="L92" s="4" t="str"/>
      <x:c r="M92" s="4" t="str">
        <x:v>未测</x:v>
      </x:c>
      <x:c r="N92" s="4" t="str"/>
      <x:c r="O92" s="4" t="str">
        <x:v>1. 来源（原型批注）：liveshow-proto/prototype/annotations/user.js；profile.html
2. 页面：profile.html
3. 规则：BR-E0F2C0883A6E7E
4. 场景：SC-9F85D48C4CDAA0
5. 未动态验证</x:v>
      </x:c>
    </x:row>
    <x:row r="93" ht="54" customHeight="1">
      <x:c r="A93" s="4" t="n">
        <x:v>92</x:v>
      </x:c>
      <x:c r="B93" s="4" t="str">
        <x:v>UPROF-0071</x:v>
      </x:c>
      <x:c r="C93" s="4" t="str">
        <x:v>个人中心</x:v>
      </x:c>
      <x:c r="D93" s="4" t="str">
        <x:v>我的（用户视角）</x:v>
      </x:c>
      <x:c r="E93" s="4" t="str">
        <x:v>功能需求</x:v>
      </x:c>
      <x:c r="F93" s="4" t="str">
        <x:v>P2</x:v>
      </x:c>
      <x:c r="G93" s="4" t="str">
        <x:v>验证我的可查看用户资料</x:v>
      </x:c>
      <x:c r="H93" s="4" t="str">
        <x:v>用户资料展示</x:v>
      </x:c>
      <x:c r="I93" s="4" t="str">
        <x:v>1. 用户账号已登录且具备当前页面权限</x:v>
      </x:c>
      <x:c r="J93" s="4" t="str">
        <x:v>1. 进入我的
2. 查看用户资料</x:v>
      </x:c>
      <x:c r="K93" s="4" t="str">
        <x:v>我的显示“用户资料”</x:v>
      </x:c>
      <x:c r="L93" s="4" t="str"/>
      <x:c r="M93" s="4" t="str">
        <x:v>未测</x:v>
      </x:c>
      <x:c r="N93" s="4" t="str"/>
      <x:c r="O93" s="4" t="str">
        <x:v>1. 来源（原型批注）：liveshow-proto/prototype/annotations/user.js；profile.html
2. 页面：profile.html
3. 规则：BR-DDCEE2D65BB89F
4. 场景：SC-E43DD268145061
5. 未动态验证</x:v>
      </x:c>
    </x:row>
    <x:row r="94" ht="54" customHeight="1">
      <x:c r="A94" s="4" t="n">
        <x:v>93</x:v>
      </x:c>
      <x:c r="B94" s="4" t="str">
        <x:v>UPROF-0072</x:v>
      </x:c>
      <x:c r="C94" s="4" t="str">
        <x:v>个人中心</x:v>
      </x:c>
      <x:c r="D94" s="4" t="str">
        <x:v>我的（用户视角）</x:v>
      </x:c>
      <x:c r="E94" s="4" t="str">
        <x:v>功能需求</x:v>
      </x:c>
      <x:c r="F94" s="4" t="str">
        <x:v>P2</x:v>
      </x:c>
      <x:c r="G94" s="4" t="str">
        <x:v>验证我的可查看主播中心</x:v>
      </x:c>
      <x:c r="H94" s="4" t="str">
        <x:v>主播中心展示</x:v>
      </x:c>
      <x:c r="I94" s="4" t="str">
        <x:v>1. 用户账号已登录且具备当前页面权限</x:v>
      </x:c>
      <x:c r="J94" s="4" t="str">
        <x:v>1. 进入我的
2. 查看主播中心</x:v>
      </x:c>
      <x:c r="K94" s="4" t="str">
        <x:v>我的显示“主播中心”</x:v>
      </x:c>
      <x:c r="L94" s="4" t="str"/>
      <x:c r="M94" s="4" t="str">
        <x:v>未测</x:v>
      </x:c>
      <x:c r="N94" s="4" t="str"/>
      <x:c r="O94" s="4" t="str">
        <x:v>1. 来源（原型批注）：liveshow-proto/prototype/annotations/user.js；profile.html
2. 页面：profile.html
3. 规则：BR-929542CD3C168B
4. 场景：SC-14F67C8888D4FA
5. 未动态验证</x:v>
      </x:c>
    </x:row>
    <x:row r="95" ht="54" customHeight="1">
      <x:c r="A95" s="4" t="n">
        <x:v>94</x:v>
      </x:c>
      <x:c r="B95" s="4" t="str">
        <x:v>UPROF-0073</x:v>
      </x:c>
      <x:c r="C95" s="4" t="str">
        <x:v>个人中心</x:v>
      </x:c>
      <x:c r="D95" s="4" t="str">
        <x:v>我的关注（用户视角）</x:v>
      </x:c>
      <x:c r="E95" s="4" t="str">
        <x:v>业务流程</x:v>
      </x:c>
      <x:c r="F95" s="4" t="str">
        <x:v>P2</x:v>
      </x:c>
      <x:c r="G95" s="4" t="str">
        <x:v>验证开播主播后的我的关注状态</x:v>
      </x:c>
      <x:c r="H95" s="4" t="str">
        <x:v>我的关注状态</x:v>
      </x:c>
      <x:c r="I95" s="4" t="str">
        <x:v>1. 用户账号已登录且具备当前页面权限
2. 开播主播</x:v>
      </x:c>
      <x:c r="J95" s="4" t="str">
        <x:v>1. 进入我的关注
2. 刷新我的关注</x:v>
      </x:c>
      <x:c r="K95" s="4" t="str">
        <x:v>按房间准入规则进入当前直播间</x:v>
      </x:c>
      <x:c r="L95" s="4" t="str"/>
      <x:c r="M95" s="4" t="str">
        <x:v>未测</x:v>
      </x:c>
      <x:c r="N95" s="4" t="str"/>
      <x:c r="O95" s="4" t="str">
        <x:v>1. 来源（原型批注）：liveshow-proto/prototype/annotations/user.js；my-following.html
2. 页面：my-following.html
3. 规则：BR-FD5EA465FAF0AB
4. 场景：SC-40789D45C2CF60
5. 未动态验证</x:v>
      </x:c>
    </x:row>
    <x:row r="96" ht="54" customHeight="1">
      <x:c r="A96" s="4" t="n">
        <x:v>95</x:v>
      </x:c>
      <x:c r="B96" s="4" t="str">
        <x:v>UPROF-0074</x:v>
      </x:c>
      <x:c r="C96" s="4" t="str">
        <x:v>个人中心</x:v>
      </x:c>
      <x:c r="D96" s="4" t="str">
        <x:v>我的关注（用户视角）</x:v>
      </x:c>
      <x:c r="E96" s="4" t="str">
        <x:v>业务流程</x:v>
      </x:c>
      <x:c r="F96" s="4" t="str">
        <x:v>P2</x:v>
      </x:c>
      <x:c r="G96" s="4" t="str">
        <x:v>验证列表为空后的我的关注状态</x:v>
      </x:c>
      <x:c r="H96" s="4" t="str">
        <x:v>我的关注状态</x:v>
      </x:c>
      <x:c r="I96" s="4" t="str">
        <x:v>1. 用户账号已登录且具备当前页面权限
2. 列表为空</x:v>
      </x:c>
      <x:c r="J96" s="4" t="str">
        <x:v>1. 进入我的关注
2. 刷新我的关注</x:v>
      </x:c>
      <x:c r="K96" s="4" t="str">
        <x:v>展示空状态</x:v>
      </x:c>
      <x:c r="L96" s="4" t="str"/>
      <x:c r="M96" s="4" t="str">
        <x:v>未测</x:v>
      </x:c>
      <x:c r="N96" s="4" t="str"/>
      <x:c r="O96" s="4" t="str">
        <x:v>1. 来源（原型批注）：liveshow-proto/prototype/annotations/user.js；my-following.html
2. 页面：my-following.html
3. 规则：BR-059263352AFA8B
4. 场景：SC-5390CAF6449335
5. 未动态验证</x:v>
      </x:c>
    </x:row>
    <x:row r="97" ht="54" customHeight="1">
      <x:c r="A97" s="4" t="n">
        <x:v>96</x:v>
      </x:c>
      <x:c r="B97" s="4" t="str">
        <x:v>UPROF-0075</x:v>
      </x:c>
      <x:c r="C97" s="4" t="str">
        <x:v>个人中心</x:v>
      </x:c>
      <x:c r="D97" s="4" t="str">
        <x:v>我的关注（用户视角）</x:v>
      </x:c>
      <x:c r="E97" s="4" t="str">
        <x:v>业务流程</x:v>
      </x:c>
      <x:c r="F97" s="4" t="str">
        <x:v>P2</x:v>
      </x:c>
      <x:c r="G97" s="4" t="str">
        <x:v>验证取消关注后的我的关注状态</x:v>
      </x:c>
      <x:c r="H97" s="4" t="str">
        <x:v>我的关注状态</x:v>
      </x:c>
      <x:c r="I97" s="4" t="str">
        <x:v>1. 用户账号已登录且具备当前页面权限</x:v>
      </x:c>
      <x:c r="J97" s="4" t="str">
        <x:v>1. 进入我的关注
2. 取消关注</x:v>
      </x:c>
      <x:c r="K97" s="4" t="str">
        <x:v>立即移出</x:v>
      </x:c>
      <x:c r="L97" s="4" t="str"/>
      <x:c r="M97" s="4" t="str">
        <x:v>未测</x:v>
      </x:c>
      <x:c r="N97" s="4" t="str"/>
      <x:c r="O97" s="4" t="str">
        <x:v>1. 来源（原型批注）：liveshow-proto/prototype/annotations/user.js；my-following.html
2. 页面：my-following.html
3. 规则：BR-050FE720B2E148
4. 场景：SC-B71B7C6F4747A8
5. 未动态验证</x:v>
      </x:c>
    </x:row>
    <x:row r="98" ht="54" customHeight="1">
      <x:c r="A98" s="4" t="n">
        <x:v>97</x:v>
      </x:c>
      <x:c r="B98" s="4" t="str">
        <x:v>UPROF-0076</x:v>
      </x:c>
      <x:c r="C98" s="4" t="str">
        <x:v>个人中心</x:v>
      </x:c>
      <x:c r="D98" s="4" t="str">
        <x:v>我的关注（用户视角）</x:v>
      </x:c>
      <x:c r="E98" s="4" t="str">
        <x:v>业务流程</x:v>
      </x:c>
      <x:c r="F98" s="4" t="str">
        <x:v>P2</x:v>
      </x:c>
      <x:c r="G98" s="4" t="str">
        <x:v>验证取消拉黑后的我的关注状态</x:v>
      </x:c>
      <x:c r="H98" s="4" t="str">
        <x:v>我的关注状态</x:v>
      </x:c>
      <x:c r="I98" s="4" t="str">
        <x:v>1. 用户账号已登录且具备当前页面权限</x:v>
      </x:c>
      <x:c r="J98" s="4" t="str">
        <x:v>1. 进入我的关注
2. 取消拉黑</x:v>
      </x:c>
      <x:c r="K98" s="4" t="str">
        <x:v>立即移出</x:v>
      </x:c>
      <x:c r="L98" s="4" t="str"/>
      <x:c r="M98" s="4" t="str">
        <x:v>未测</x:v>
      </x:c>
      <x:c r="N98" s="4" t="str"/>
      <x:c r="O98" s="4" t="str">
        <x:v>1. 来源（原型批注）：liveshow-proto/prototype/annotations/user.js；my-following.html
2. 页面：my-following.html
3. 规则：BR-050FE720B2E148
4. 场景：SC-CC161E603DCBBE
5. 未动态验证</x:v>
      </x:c>
    </x:row>
    <x:row r="99" ht="54" customHeight="1">
      <x:c r="A99" s="4" t="n">
        <x:v>98</x:v>
      </x:c>
      <x:c r="B99" s="4" t="str">
        <x:v>UPROF-0077</x:v>
      </x:c>
      <x:c r="C99" s="4" t="str">
        <x:v>个人中心</x:v>
      </x:c>
      <x:c r="D99" s="4" t="str">
        <x:v>我的关注（用户视角）</x:v>
      </x:c>
      <x:c r="E99" s="4" t="str">
        <x:v>业务流程</x:v>
      </x:c>
      <x:c r="F99" s="4" t="str">
        <x:v>P2</x:v>
      </x:c>
      <x:c r="G99" s="4" t="str">
        <x:v>验证未开播主播后的我的关注状态</x:v>
      </x:c>
      <x:c r="H99" s="4" t="str">
        <x:v>我的关注状态</x:v>
      </x:c>
      <x:c r="I99" s="4" t="str">
        <x:v>1. 用户账号已登录且具备当前页面权限
2. 未开播主播</x:v>
      </x:c>
      <x:c r="J99" s="4" t="str">
        <x:v>1. 进入我的关注
2. 刷新我的关注</x:v>
      </x:c>
      <x:c r="K99" s="4" t="str">
        <x:v>进入主播主页</x:v>
      </x:c>
      <x:c r="L99" s="4" t="str"/>
      <x:c r="M99" s="4" t="str">
        <x:v>未测</x:v>
      </x:c>
      <x:c r="N99" s="4" t="str"/>
      <x:c r="O99" s="4" t="str">
        <x:v>1. 来源（原型批注）：liveshow-proto/prototype/annotations/user.js；my-following.html
2. 页面：my-following.html
3. 规则：BR-4368703C536F9A
4. 场景：SC-1369E948BE8BF8
5. 未动态验证</x:v>
      </x:c>
    </x:row>
    <x:row r="100" ht="54" customHeight="1">
      <x:c r="A100" s="4" t="n">
        <x:v>99</x:v>
      </x:c>
      <x:c r="B100" s="4" t="str">
        <x:v>UPROF-0078</x:v>
      </x:c>
      <x:c r="C100" s="4" t="str">
        <x:v>个人中心</x:v>
      </x:c>
      <x:c r="D100" s="4" t="str">
        <x:v>我的关注（用户视角）</x:v>
      </x:c>
      <x:c r="E100" s="4" t="str">
        <x:v>逻辑校验</x:v>
      </x:c>
      <x:c r="F100" s="4" t="str">
        <x:v>P2</x:v>
      </x:c>
      <x:c r="G100" s="4" t="str">
        <x:v>验证我的关注按指定范围筛选</x:v>
      </x:c>
      <x:c r="H100" s="4" t="str">
        <x:v>我的关注数据范围</x:v>
      </x:c>
      <x:c r="I100" s="4" t="str">
        <x:v>1. 用户账号已登录且具备当前页面权限
2. 存在符合和不符合“当前有效关注关系”的记录</x:v>
      </x:c>
      <x:c r="J100" s="4" t="str">
        <x:v>1. 进入我的关注
2. 查看我的关注</x:v>
      </x:c>
      <x:c r="K100" s="4" t="str">
        <x:v>仅展示当前有效关注关系</x:v>
      </x:c>
      <x:c r="L100" s="4" t="str"/>
      <x:c r="M100" s="4" t="str">
        <x:v>未测</x:v>
      </x:c>
      <x:c r="N100" s="4" t="str"/>
      <x:c r="O100" s="4" t="str">
        <x:v>1. 来源（原型批注）：liveshow-proto/prototype/annotations/user.js；my-following.html
2. 页面：my-following.html
3. 规则：BR-454FC854CF8D49
4. 场景：SC-9C9BE2CF6E32E6
5. 未动态验证</x:v>
      </x:c>
    </x:row>
    <x:row r="101" ht="54" customHeight="1">
      <x:c r="A101" s="4" t="n">
        <x:v>100</x:v>
      </x:c>
      <x:c r="B101" s="4" t="str">
        <x:v>UPROF-0079</x:v>
      </x:c>
      <x:c r="C101" s="4" t="str">
        <x:v>个人中心</x:v>
      </x:c>
      <x:c r="D101" s="4" t="str">
        <x:v>我的关注（用户视角）</x:v>
      </x:c>
      <x:c r="E101" s="4" t="str">
        <x:v>功能需求</x:v>
      </x:c>
      <x:c r="F101" s="4" t="str">
        <x:v>P2</x:v>
      </x:c>
      <x:c r="G101" s="4" t="str">
        <x:v>验证我的关注可查看关注账号</x:v>
      </x:c>
      <x:c r="H101" s="4" t="str">
        <x:v>关注账号展示</x:v>
      </x:c>
      <x:c r="I101" s="4" t="str">
        <x:v>1. 用户账号已登录且具备当前页面权限</x:v>
      </x:c>
      <x:c r="J101" s="4" t="str">
        <x:v>1. 进入我的关注
2. 查看关注账号</x:v>
      </x:c>
      <x:c r="K101" s="4" t="str">
        <x:v>我的关注显示“关注账号”</x:v>
      </x:c>
      <x:c r="L101" s="4" t="str"/>
      <x:c r="M101" s="4" t="str">
        <x:v>未测</x:v>
      </x:c>
      <x:c r="N101" s="4" t="str"/>
      <x:c r="O101" s="4" t="str">
        <x:v>1. 来源（原型批注）：liveshow-proto/prototype/annotations/user.js；my-following.html
2. 页面：my-following.html
3. 规则：BR-F95875F880645C
4. 场景：SC-D6F5253110ED5F
5. 未动态验证</x:v>
      </x:c>
    </x:row>
    <x:row r="102" ht="54" customHeight="1">
      <x:c r="A102" s="4" t="n">
        <x:v>101</x:v>
      </x:c>
      <x:c r="B102" s="4" t="str">
        <x:v>UPROF-0080</x:v>
      </x:c>
      <x:c r="C102" s="4" t="str">
        <x:v>个人中心</x:v>
      </x:c>
      <x:c r="D102" s="4" t="str">
        <x:v>我的关注（用户视角）</x:v>
      </x:c>
      <x:c r="E102" s="4" t="str">
        <x:v>功能需求</x:v>
      </x:c>
      <x:c r="F102" s="4" t="str">
        <x:v>P2</x:v>
      </x:c>
      <x:c r="G102" s="4" t="str">
        <x:v>验证我的关注可查看开播状态</x:v>
      </x:c>
      <x:c r="H102" s="4" t="str">
        <x:v>开播状态展示</x:v>
      </x:c>
      <x:c r="I102" s="4" t="str">
        <x:v>1. 用户账号已登录且具备当前页面权限</x:v>
      </x:c>
      <x:c r="J102" s="4" t="str">
        <x:v>1. 进入我的关注
2. 查看开播状态</x:v>
      </x:c>
      <x:c r="K102" s="4" t="str">
        <x:v>我的关注显示“开播状态”</x:v>
      </x:c>
      <x:c r="L102" s="4" t="str"/>
      <x:c r="M102" s="4" t="str">
        <x:v>未测</x:v>
      </x:c>
      <x:c r="N102" s="4" t="str"/>
      <x:c r="O102" s="4" t="str">
        <x:v>1. 来源（原型批注）：liveshow-proto/prototype/annotations/user.js；my-following.html
2. 页面：my-following.html
3. 规则：BR-2EF050595607A0
4. 场景：SC-5DDA71F89A2FAC
5. 未动态验证</x:v>
      </x:c>
    </x:row>
    <x:row r="103" ht="54" customHeight="1">
      <x:c r="A103" s="4" t="n">
        <x:v>102</x:v>
      </x:c>
      <x:c r="B103" s="4" t="str">
        <x:v>UPROF-0081</x:v>
      </x:c>
      <x:c r="C103" s="4" t="str">
        <x:v>个人中心</x:v>
      </x:c>
      <x:c r="D103" s="4" t="str">
        <x:v>我的装扮（用户视角）</x:v>
      </x:c>
      <x:c r="E103" s="4" t="str">
        <x:v>业务流程</x:v>
      </x:c>
      <x:c r="F103" s="4" t="str">
        <x:v>P2</x:v>
      </x:c>
      <x:c r="G103" s="4" t="str">
        <x:v>验证道具下架后的我的装扮状态</x:v>
      </x:c>
      <x:c r="H103" s="4" t="str">
        <x:v>我的装扮状态</x:v>
      </x:c>
      <x:c r="I103" s="4" t="str">
        <x:v>1. 用户账号已登录且具备当前页面权限
2. 道具下架</x:v>
      </x:c>
      <x:c r="J103" s="4" t="str">
        <x:v>1. 进入我的装扮
2. 刷新我的装扮</x:v>
      </x:c>
      <x:c r="K103" s="4" t="str">
        <x:v>不再新发放</x:v>
      </x:c>
      <x:c r="L103" s="4" t="str"/>
      <x:c r="M103" s="4" t="str">
        <x:v>未测</x:v>
      </x:c>
      <x:c r="N103" s="4" t="str"/>
      <x:c r="O103" s="4" t="str">
        <x:v>1. 来源（原型批注）：liveshow-proto/prototype/annotations/user.js；my-decoration.html
2. 页面：my-decoration.html
3. 规则：BR-9A4CC8F7044FB0
4. 场景：SC-2D3558781E1CB5
5. 未动态验证</x:v>
      </x:c>
    </x:row>
    <x:row r="104" ht="54" customHeight="1">
      <x:c r="A104" s="4" t="n">
        <x:v>103</x:v>
      </x:c>
      <x:c r="B104" s="4" t="str">
        <x:v>UPROF-0082</x:v>
      </x:c>
      <x:c r="C104" s="4" t="str">
        <x:v>个人中心</x:v>
      </x:c>
      <x:c r="D104" s="4" t="str">
        <x:v>我的装扮（用户视角）</x:v>
      </x:c>
      <x:c r="E104" s="4" t="str">
        <x:v>功能需求</x:v>
      </x:c>
      <x:c r="F104" s="4" t="str">
        <x:v>P2</x:v>
      </x:c>
      <x:c r="G104" s="4" t="str">
        <x:v>验证分类固定按头像框、聊天气泡、勋章顺序时的我的装扮结果</x:v>
      </x:c>
      <x:c r="H104" s="4" t="str">
        <x:v>我的装扮条件结果</x:v>
      </x:c>
      <x:c r="I104" s="4" t="str">
        <x:v>1. 用户账号已登录且具备当前页面权限
2. 分类固定按头像框、聊天气泡、勋章顺序</x:v>
      </x:c>
      <x:c r="J104" s="4" t="str">
        <x:v>1. 进入我的装扮
2. 查看我的装扮</x:v>
      </x:c>
      <x:c r="K104" s="4" t="str">
        <x:v>分类固定按头像框、聊天气泡、勋章顺序展示</x:v>
      </x:c>
      <x:c r="L104" s="4" t="str"/>
      <x:c r="M104" s="4" t="str">
        <x:v>未测</x:v>
      </x:c>
      <x:c r="N104" s="4" t="str"/>
      <x:c r="O104" s="4" t="str">
        <x:v>1. 来源（原型批注）：liveshow-proto/prototype/annotations/user.js；my-decoration.html
2. 页面：my-decoration.html
3. 规则：BR-C422BCCEA3E312
4. 场景：SC-5A0C7B12BD9164
5. 未动态验证</x:v>
      </x:c>
    </x:row>
    <x:row r="105" ht="54" customHeight="1">
      <x:c r="A105" s="4" t="n">
        <x:v>104</x:v>
      </x:c>
      <x:c r="B105" s="4" t="str">
        <x:v>UPROF-0083</x:v>
      </x:c>
      <x:c r="C105" s="4" t="str">
        <x:v>个人中心</x:v>
      </x:c>
      <x:c r="D105" s="4" t="str">
        <x:v>我的装扮（用户视角）</x:v>
      </x:c>
      <x:c r="E105" s="4" t="str">
        <x:v>业务流程</x:v>
      </x:c>
      <x:c r="F105" s="4" t="str">
        <x:v>P2</x:v>
      </x:c>
      <x:c r="G105" s="4" t="str">
        <x:v>验证进入分类后的我的装扮状态</x:v>
      </x:c>
      <x:c r="H105" s="4" t="str">
        <x:v>我的装扮状态</x:v>
      </x:c>
      <x:c r="I105" s="4" t="str">
        <x:v>1. 用户账号已登录且具备当前页面权限</x:v>
      </x:c>
      <x:c r="J105" s="4" t="str">
        <x:v>1. 进入我的装扮
2. 进入分类</x:v>
      </x:c>
      <x:c r="K105" s="4" t="str">
        <x:v>展示该类全部有效及已过期道具</x:v>
      </x:c>
      <x:c r="L105" s="4" t="str"/>
      <x:c r="M105" s="4" t="str">
        <x:v>未测</x:v>
      </x:c>
      <x:c r="N105" s="4" t="str"/>
      <x:c r="O105" s="4" t="str">
        <x:v>1. 来源（原型批注）：liveshow-proto/prototype/annotations/user.js；my-decoration.html
2. 页面：my-decoration.html
3. 规则：BR-E74B5F784E9A26
4. 场景：SC-317EE665622768
5. 未动态验证</x:v>
      </x:c>
    </x:row>
    <x:row r="106" ht="54" customHeight="1">
      <x:c r="A106" s="4" t="n">
        <x:v>105</x:v>
      </x:c>
      <x:c r="B106" s="4" t="str">
        <x:v>UPROF-0084</x:v>
      </x:c>
      <x:c r="C106" s="4" t="str">
        <x:v>个人中心</x:v>
      </x:c>
      <x:c r="D106" s="4" t="str">
        <x:v>我的装扮（用户视角）</x:v>
      </x:c>
      <x:c r="E106" s="4" t="str">
        <x:v>逻辑校验</x:v>
      </x:c>
      <x:c r="F106" s="4" t="str">
        <x:v>P2</x:v>
      </x:c>
      <x:c r="G106" s="4" t="str">
        <x:v>验证我的装扮按指定范围筛选</x:v>
      </x:c>
      <x:c r="H106" s="4" t="str">
        <x:v>我的装扮数据范围</x:v>
      </x:c>
      <x:c r="I106" s="4" t="str">
        <x:v>1. 用户账号已登录且具备当前页面权限
2. 存在符合和不符合“当前账号持有的装扮”的记录</x:v>
      </x:c>
      <x:c r="J106" s="4" t="str">
        <x:v>1. 进入我的装扮
2. 查看我的装扮</x:v>
      </x:c>
      <x:c r="K106" s="4" t="str">
        <x:v>数据范围：当前账号持有的装扮</x:v>
      </x:c>
      <x:c r="L106" s="4" t="str"/>
      <x:c r="M106" s="4" t="str">
        <x:v>未测</x:v>
      </x:c>
      <x:c r="N106" s="4" t="str"/>
      <x:c r="O106" s="4" t="str">
        <x:v>1. 来源（原型批注）：liveshow-proto/prototype/annotations/user.js；my-decoration.html
2. 页面：my-decoration.html
3. 规则：BR-D2D8AA747ACF01
4. 场景：SC-245A3894B6E842
5. 未动态验证</x:v>
      </x:c>
    </x:row>
    <x:row r="107" ht="54" customHeight="1">
      <x:c r="A107" s="4" t="n">
        <x:v>106</x:v>
      </x:c>
      <x:c r="B107" s="4" t="str">
        <x:v>UPROF-0085</x:v>
      </x:c>
      <x:c r="C107" s="4" t="str">
        <x:v>个人中心</x:v>
      </x:c>
      <x:c r="D107" s="4" t="str">
        <x:v>我的装扮（用户视角）</x:v>
      </x:c>
      <x:c r="E107" s="4" t="str">
        <x:v>功能需求</x:v>
      </x:c>
      <x:c r="F107" s="4" t="str">
        <x:v>P2</x:v>
      </x:c>
      <x:c r="G107" s="4" t="str">
        <x:v>验证我的装扮可查看当前头像 / 勋章</x:v>
      </x:c>
      <x:c r="H107" s="4" t="str">
        <x:v>当前头像 / 勋章展示</x:v>
      </x:c>
      <x:c r="I107" s="4" t="str">
        <x:v>1. 用户账号已登录且具备当前页面权限</x:v>
      </x:c>
      <x:c r="J107" s="4" t="str">
        <x:v>1. 进入我的装扮
2. 查看当前头像 / 勋章</x:v>
      </x:c>
      <x:c r="K107" s="4" t="str">
        <x:v>我的装扮显示“当前头像 / 勋章”</x:v>
      </x:c>
      <x:c r="L107" s="4" t="str"/>
      <x:c r="M107" s="4" t="str">
        <x:v>未测</x:v>
      </x:c>
      <x:c r="N107" s="4" t="str"/>
      <x:c r="O107" s="4" t="str">
        <x:v>1. 来源（原型批注）：liveshow-proto/prototype/annotations/user.js；my-decoration.html
2. 页面：my-decoration.html
3. 规则：BR-EC920F4E9B8EE3
4. 场景：SC-5D0BDEA6E9A5F9
5. 未动态验证</x:v>
      </x:c>
    </x:row>
    <x:row r="108" ht="54" customHeight="1">
      <x:c r="A108" s="4" t="n">
        <x:v>107</x:v>
      </x:c>
      <x:c r="B108" s="4" t="str">
        <x:v>UPROF-0086</x:v>
      </x:c>
      <x:c r="C108" s="4" t="str">
        <x:v>个人中心</x:v>
      </x:c>
      <x:c r="D108" s="4" t="str">
        <x:v>我的装扮（用户视角）</x:v>
      </x:c>
      <x:c r="E108" s="4" t="str">
        <x:v>功能需求</x:v>
      </x:c>
      <x:c r="F108" s="4" t="str">
        <x:v>P2</x:v>
      </x:c>
      <x:c r="G108" s="4" t="str">
        <x:v>验证我的装扮可查看装扮分类</x:v>
      </x:c>
      <x:c r="H108" s="4" t="str">
        <x:v>装扮分类展示</x:v>
      </x:c>
      <x:c r="I108" s="4" t="str">
        <x:v>1. 用户账号已登录且具备当前页面权限</x:v>
      </x:c>
      <x:c r="J108" s="4" t="str">
        <x:v>1. 进入我的装扮
2. 查看装扮分类</x:v>
      </x:c>
      <x:c r="K108" s="4" t="str">
        <x:v>我的装扮显示“装扮分类”</x:v>
      </x:c>
      <x:c r="L108" s="4" t="str"/>
      <x:c r="M108" s="4" t="str">
        <x:v>未测</x:v>
      </x:c>
      <x:c r="N108" s="4" t="str"/>
      <x:c r="O108" s="4" t="str">
        <x:v>1. 来源（原型批注）：liveshow-proto/prototype/annotations/user.js；my-decoration.html
2. 页面：my-decoration.html
3. 规则：BR-4886491DEC2004
4. 场景：SC-8001D868198BC7
5. 未动态验证</x:v>
      </x:c>
    </x:row>
    <x:row r="109" ht="54" customHeight="1">
      <x:c r="A109" s="4" t="n">
        <x:v>108</x:v>
      </x:c>
      <x:c r="B109" s="4" t="str">
        <x:v>UPROF-0087</x:v>
      </x:c>
      <x:c r="C109" s="4" t="str">
        <x:v>个人中心</x:v>
      </x:c>
      <x:c r="D109" s="4" t="str">
        <x:v>系统通知-从未申请（用户视角）</x:v>
      </x:c>
      <x:c r="E109" s="4" t="str">
        <x:v>功能需求</x:v>
      </x:c>
      <x:c r="F109" s="4" t="str">
        <x:v>P2</x:v>
      </x:c>
      <x:c r="G109" s="4" t="str">
        <x:v>验证未获授权时的系统通知-从未申请结果</x:v>
      </x:c>
      <x:c r="H109" s="4" t="str">
        <x:v>系统通知-从未申请条件结果</x:v>
      </x:c>
      <x:c r="I109" s="4" t="str">
        <x:v>1. 用户账号已登录且具备当前页面权限
2. 未获授权</x:v>
      </x:c>
      <x:c r="J109" s="4" t="str">
        <x:v>1. 打开系统通知-从未申请
2. 查看系统通知-从未申请</x:v>
      </x:c>
      <x:c r="K109" s="4" t="str">
        <x:v>不发送站外推送，站内通知仍保留</x:v>
      </x:c>
      <x:c r="L109" s="4" t="str"/>
      <x:c r="M109" s="4" t="str">
        <x:v>未测</x:v>
      </x:c>
      <x:c r="N109" s="4" t="str"/>
      <x:c r="O109" s="4" t="str">
        <x:v>1. 来源（原型批注）：liveshow-proto/prototype/annotations/user.js；views/settings/notification-default.html
2. 页面：views/settings/notification-default.html
3. 规则：BR-F2F060E8C0AC14
4. 场景：SC-D53D5290340D0E
5. 未动态验证</x:v>
      </x:c>
    </x:row>
    <x:row r="110" ht="54" customHeight="1">
      <x:c r="A110" s="4" t="n">
        <x:v>109</x:v>
      </x:c>
      <x:c r="B110" s="4" t="str">
        <x:v>UPROF-0088</x:v>
      </x:c>
      <x:c r="C110" s="4" t="str">
        <x:v>个人中心</x:v>
      </x:c>
      <x:c r="D110" s="4" t="str">
        <x:v>系统通知-从未申请（用户视角）</x:v>
      </x:c>
      <x:c r="E110" s="4" t="str">
        <x:v>功能需求</x:v>
      </x:c>
      <x:c r="F110" s="4" t="str">
        <x:v>P2</x:v>
      </x:c>
      <x:c r="G110" s="4" t="str">
        <x:v>验证系统通知-从未申请可查看系统通知</x:v>
      </x:c>
      <x:c r="H110" s="4" t="str">
        <x:v>系统通知展示</x:v>
      </x:c>
      <x:c r="I110" s="4" t="str">
        <x:v>1. 用户账号已登录且具备当前页面权限</x:v>
      </x:c>
      <x:c r="J110" s="4" t="str">
        <x:v>1. 打开系统通知-从未申请
2. 查看系统通知</x:v>
      </x:c>
      <x:c r="K110" s="4" t="str">
        <x:v>系统通知-从未申请显示“系统通知”</x:v>
      </x:c>
      <x:c r="L110" s="4" t="str"/>
      <x:c r="M110" s="4" t="str">
        <x:v>未测</x:v>
      </x:c>
      <x:c r="N110" s="4" t="str"/>
      <x:c r="O110" s="4" t="str">
        <x:v>1. 来源（原型批注）：liveshow-proto/prototype/annotations/user.js；views/settings/notification-default.html
2. 页面：views/settings/notification-default.html
3. 规则：BR-A13C5EFE9FDF7F
4. 场景：SC-0F29ED6AAD2B9C
5. 未动态验证</x:v>
      </x:c>
    </x:row>
    <x:row r="111" ht="54" customHeight="1">
      <x:c r="A111" s="4" t="n">
        <x:v>110</x:v>
      </x:c>
      <x:c r="B111" s="4" t="str">
        <x:v>UPROF-0089</x:v>
      </x:c>
      <x:c r="C111" s="4" t="str">
        <x:v>个人中心</x:v>
      </x:c>
      <x:c r="D111" s="4" t="str">
        <x:v>系统通知-已拒绝（用户视角）</x:v>
      </x:c>
      <x:c r="E111" s="4" t="str">
        <x:v>功能需求</x:v>
      </x:c>
      <x:c r="F111" s="4" t="str">
        <x:v>P2</x:v>
      </x:c>
      <x:c r="G111" s="4" t="str">
        <x:v>验证系统通知-已拒绝可查看系统通知</x:v>
      </x:c>
      <x:c r="H111" s="4" t="str">
        <x:v>系统通知展示</x:v>
      </x:c>
      <x:c r="I111" s="4" t="str">
        <x:v>1. 用户账号已登录且具备当前页面权限</x:v>
      </x:c>
      <x:c r="J111" s="4" t="str">
        <x:v>1. 打开系统通知-已拒绝
2. 查看系统通知</x:v>
      </x:c>
      <x:c r="K111" s="4" t="str">
        <x:v>系统通知-已拒绝显示“系统通知”</x:v>
      </x:c>
      <x:c r="L111" s="4" t="str"/>
      <x:c r="M111" s="4" t="str">
        <x:v>未测</x:v>
      </x:c>
      <x:c r="N111" s="4" t="str"/>
      <x:c r="O111" s="4" t="str">
        <x:v>1. 来源（原型批注）：liveshow-proto/prototype/annotations/user.js；views/settings/notification-denied.html
2. 页面：views/settings/notification-denied.html
3. 规则：BR-F3B1EA04F23FB2
4. 场景：SC-B1A30FD84238CC
5. 未动态验证</x:v>
      </x:c>
    </x:row>
    <x:row r="112" ht="54" customHeight="1">
      <x:c r="A112" s="4" t="n">
        <x:v>111</x:v>
      </x:c>
      <x:c r="B112" s="4" t="str">
        <x:v>UPROF-0090</x:v>
      </x:c>
      <x:c r="C112" s="4" t="str">
        <x:v>个人中心</x:v>
      </x:c>
      <x:c r="D112" s="4" t="str">
        <x:v>系统通知-已拒绝（用户视角）</x:v>
      </x:c>
      <x:c r="E112" s="4" t="str">
        <x:v>功能需求</x:v>
      </x:c>
      <x:c r="F112" s="4" t="str">
        <x:v>P2</x:v>
      </x:c>
      <x:c r="G112" s="4" t="str">
        <x:v>验证系统通知已拒绝时的系统通知-已拒绝结果</x:v>
      </x:c>
      <x:c r="H112" s="4" t="str">
        <x:v>系统通知-已拒绝条件结果</x:v>
      </x:c>
      <x:c r="I112" s="4" t="str">
        <x:v>1. 用户账号已登录且具备当前页面权限
2. 系统通知已拒绝</x:v>
      </x:c>
      <x:c r="J112" s="4" t="str">
        <x:v>1. 打开系统通知-已拒绝
2. 查看系统通知-已拒绝</x:v>
      </x:c>
      <x:c r="K112" s="4" t="str">
        <x:v>点击入口提示前往手机系统设置，提供暂不开启和前往设置</x:v>
      </x:c>
      <x:c r="L112" s="4" t="str"/>
      <x:c r="M112" s="4" t="str">
        <x:v>未测</x:v>
      </x:c>
      <x:c r="N112" s="4" t="str"/>
      <x:c r="O112" s="4" t="str">
        <x:v>1. 来源（原型批注）：liveshow-proto/prototype/annotations/user.js；views/settings/notification-denied.html
2. 页面：views/settings/notification-denied.html
3. 规则：BR-0F823E0FFC2394
4. 场景：SC-7CC0B81BB67FC8
5. 未动态验证</x:v>
      </x:c>
    </x:row>
    <x:row r="113" ht="54" customHeight="1">
      <x:c r="A113" s="4" t="n">
        <x:v>112</x:v>
      </x:c>
      <x:c r="B113" s="4" t="str">
        <x:v>UPROF-0091</x:v>
      </x:c>
      <x:c r="C113" s="4" t="str">
        <x:v>个人中心</x:v>
      </x:c>
      <x:c r="D113" s="4" t="str">
        <x:v>系统通知-已授权（用户视角）</x:v>
      </x:c>
      <x:c r="E113" s="4" t="str">
        <x:v>业务流程</x:v>
      </x:c>
      <x:c r="F113" s="4" t="str">
        <x:v>P2</x:v>
      </x:c>
      <x:c r="G113" s="4" t="str">
        <x:v>验证点击系统通知后的系统通知-已授权状态</x:v>
      </x:c>
      <x:c r="H113" s="4" t="str">
        <x:v>系统通知-已授权状态</x:v>
      </x:c>
      <x:c r="I113" s="4" t="str">
        <x:v>1. 用户账号已登录且具备当前页面权限</x:v>
      </x:c>
      <x:c r="J113" s="4" t="str">
        <x:v>1. 打开系统通知-已授权
2. 点击系统通知</x:v>
      </x:c>
      <x:c r="K113" s="4" t="str">
        <x:v>提示“系统通知已开启”</x:v>
      </x:c>
      <x:c r="L113" s="4" t="str"/>
      <x:c r="M113" s="4" t="str">
        <x:v>未测</x:v>
      </x:c>
      <x:c r="N113" s="4" t="str"/>
      <x:c r="O113" s="4" t="str">
        <x:v>1. 来源（原型批注）：liveshow-proto/prototype/annotations/user.js；views/settings/notification-granted.html
2. 页面：views/settings/notification-granted.html
3. 规则：BR-917187A931743E
4. 场景：SC-57350A1786CEDE
5. 未动态验证</x:v>
      </x:c>
    </x:row>
    <x:row r="114" ht="54" customHeight="1">
      <x:c r="A114" s="4" t="n">
        <x:v>113</x:v>
      </x:c>
      <x:c r="B114" s="4" t="str">
        <x:v>UPROF-0092</x:v>
      </x:c>
      <x:c r="C114" s="4" t="str">
        <x:v>个人中心</x:v>
      </x:c>
      <x:c r="D114" s="4" t="str">
        <x:v>系统通知-已授权（用户视角）</x:v>
      </x:c>
      <x:c r="E114" s="4" t="str">
        <x:v>功能需求</x:v>
      </x:c>
      <x:c r="F114" s="4" t="str">
        <x:v>P2</x:v>
      </x:c>
      <x:c r="G114" s="4" t="str">
        <x:v>验证系统通知-已授权可查看开播提醒 / 互动通知</x:v>
      </x:c>
      <x:c r="H114" s="4" t="str">
        <x:v>开播提醒 / 互动通知展示</x:v>
      </x:c>
      <x:c r="I114" s="4" t="str">
        <x:v>1. 用户账号已登录且具备当前页面权限</x:v>
      </x:c>
      <x:c r="J114" s="4" t="str">
        <x:v>1. 打开系统通知-已授权
2. 查看开播提醒 / 互动通知</x:v>
      </x:c>
      <x:c r="K114" s="4" t="str">
        <x:v>系统通知-已授权显示“开播提醒 / 互动通知”</x:v>
      </x:c>
      <x:c r="L114" s="4" t="str"/>
      <x:c r="M114" s="4" t="str">
        <x:v>未测</x:v>
      </x:c>
      <x:c r="N114" s="4" t="str"/>
      <x:c r="O114" s="4" t="str">
        <x:v>1. 来源（原型批注）：liveshow-proto/prototype/annotations/user.js；views/settings/notification-granted.html
2. 页面：views/settings/notification-granted.html
3. 规则：BR-255BEF6D3980EB
4. 场景：SC-C4334AE61B50B9
5. 未动态验证</x:v>
      </x:c>
    </x:row>
    <x:row r="115" ht="54" customHeight="1">
      <x:c r="A115" s="4" t="n">
        <x:v>114</x:v>
      </x:c>
      <x:c r="B115" s="4" t="str">
        <x:v>UPROF-0093</x:v>
      </x:c>
      <x:c r="C115" s="4" t="str">
        <x:v>个人中心</x:v>
      </x:c>
      <x:c r="D115" s="4" t="str">
        <x:v>系统通知-已授权（用户视角）</x:v>
      </x:c>
      <x:c r="E115" s="4" t="str">
        <x:v>功能需求</x:v>
      </x:c>
      <x:c r="F115" s="4" t="str">
        <x:v>P2</x:v>
      </x:c>
      <x:c r="G115" s="4" t="str">
        <x:v>验证系统通知-已授权可查看系统通知</x:v>
      </x:c>
      <x:c r="H115" s="4" t="str">
        <x:v>系统通知展示</x:v>
      </x:c>
      <x:c r="I115" s="4" t="str">
        <x:v>1. 用户账号已登录且具备当前页面权限</x:v>
      </x:c>
      <x:c r="J115" s="4" t="str">
        <x:v>1. 打开系统通知-已授权
2. 查看系统通知</x:v>
      </x:c>
      <x:c r="K115" s="4" t="str">
        <x:v>系统通知-已授权显示“系统通知”</x:v>
      </x:c>
      <x:c r="L115" s="4" t="str"/>
      <x:c r="M115" s="4" t="str">
        <x:v>未测</x:v>
      </x:c>
      <x:c r="N115" s="4" t="str"/>
      <x:c r="O115" s="4" t="str">
        <x:v>1. 来源（原型批注）：liveshow-proto/prototype/annotations/user.js；views/settings/notification-granted.html
2. 页面：views/settings/notification-granted.html
3. 规则：BR-D7A0DDF0D963C4
4. 场景：SC-FE0F7E37C7258F
5. 未动态验证</x:v>
      </x:c>
    </x:row>
    <x:row r="116" ht="54" customHeight="1">
      <x:c r="A116" s="4" t="n">
        <x:v>115</x:v>
      </x:c>
      <x:c r="B116" s="4" t="str">
        <x:v>UPROF-0094</x:v>
      </x:c>
      <x:c r="C116" s="4" t="str">
        <x:v>个人中心</x:v>
      </x:c>
      <x:c r="D116" s="4" t="str">
        <x:v>勋章（用户视角）</x:v>
      </x:c>
      <x:c r="E116" s="4" t="str">
        <x:v>功能需求</x:v>
      </x:c>
      <x:c r="F116" s="4" t="str">
        <x:v>P2</x:v>
      </x:c>
      <x:c r="G116" s="4" t="str">
        <x:v>验证财富等级与粉丝团等级勋章分位置时的勋章结果</x:v>
      </x:c>
      <x:c r="H116" s="4" t="str">
        <x:v>勋章条件结果</x:v>
      </x:c>
      <x:c r="I116" s="4" t="str">
        <x:v>1. 用户账号已登录且具备当前页面权限
2. 财富等级与粉丝团等级勋章分位置</x:v>
      </x:c>
      <x:c r="J116" s="4" t="str">
        <x:v>1. 进入勋章
2. 查看勋章</x:v>
      </x:c>
      <x:c r="K116" s="4" t="str">
        <x:v>财富等级与粉丝团等级勋章分位置展示</x:v>
      </x:c>
      <x:c r="L116" s="4" t="str"/>
      <x:c r="M116" s="4" t="str">
        <x:v>未测</x:v>
      </x:c>
      <x:c r="N116" s="4" t="str"/>
      <x:c r="O116" s="4" t="str">
        <x:v>1. 来源（原型批注）：liveshow-proto/prototype/annotations/user.js；my-decoration-medal.html
2. 页面：my-decoration-medal.html
3. 规则：BR-4F46EE1C76F9CE
4. 场景：SC-3D1F65D502F1DD
5. 未动态验证</x:v>
      </x:c>
    </x:row>
    <x:row r="117" ht="54" customHeight="1">
      <x:c r="A117" s="4" t="n">
        <x:v>116</x:v>
      </x:c>
      <x:c r="B117" s="4" t="str">
        <x:v>UPROF-0095</x:v>
      </x:c>
      <x:c r="C117" s="4" t="str">
        <x:v>个人中心</x:v>
      </x:c>
      <x:c r="D117" s="4" t="str">
        <x:v>勋章（用户视角）</x:v>
      </x:c>
      <x:c r="E117" s="4" t="str">
        <x:v>功能需求</x:v>
      </x:c>
      <x:c r="F117" s="4" t="str">
        <x:v>P2</x:v>
      </x:c>
      <x:c r="G117" s="4" t="str">
        <x:v>验证每枚勋章时的勋章结果</x:v>
      </x:c>
      <x:c r="H117" s="4" t="str">
        <x:v>勋章条件结果</x:v>
      </x:c>
      <x:c r="I117" s="4" t="str">
        <x:v>1. 用户账号已登录且具备当前页面权限
2. 每枚勋章</x:v>
      </x:c>
      <x:c r="J117" s="4" t="str">
        <x:v>1. 进入勋章
2. 查看勋章</x:v>
      </x:c>
      <x:c r="K117" s="4" t="str">
        <x:v>每枚勋章显示佩戴或已佩戴</x:v>
      </x:c>
      <x:c r="L117" s="4" t="str"/>
      <x:c r="M117" s="4" t="str">
        <x:v>未测</x:v>
      </x:c>
      <x:c r="N117" s="4" t="str"/>
      <x:c r="O117" s="4" t="str">
        <x:v>1. 来源（原型批注）：liveshow-proto/prototype/annotations/user.js；my-decoration-medal.html
2. 页面：my-decoration-medal.html
3. 规则：BR-2D4458AA70440F
4. 场景：SC-6DFE235020E9FB
5. 未动态验证</x:v>
      </x:c>
    </x:row>
    <x:row r="118" ht="54" customHeight="1">
      <x:c r="A118" s="4" t="n">
        <x:v>117</x:v>
      </x:c>
      <x:c r="B118" s="4" t="str">
        <x:v>UPROF-0096</x:v>
      </x:c>
      <x:c r="C118" s="4" t="str">
        <x:v>个人中心</x:v>
      </x:c>
      <x:c r="D118" s="4" t="str">
        <x:v>勋章（用户视角）</x:v>
      </x:c>
      <x:c r="E118" s="4" t="str">
        <x:v>逻辑校验</x:v>
      </x:c>
      <x:c r="F118" s="4" t="str">
        <x:v>P2</x:v>
      </x:c>
      <x:c r="G118" s="4" t="str">
        <x:v>验证勋章按指定范围筛选</x:v>
      </x:c>
      <x:c r="H118" s="4" t="str">
        <x:v>勋章数据范围</x:v>
      </x:c>
      <x:c r="I118" s="4" t="str">
        <x:v>1. 用户账号已登录且具备当前页面权限
2. 存在符合和不符合“当前账号持有的勋章”的记录</x:v>
      </x:c>
      <x:c r="J118" s="4" t="str">
        <x:v>1. 进入勋章
2. 查看勋章</x:v>
      </x:c>
      <x:c r="K118" s="4" t="str">
        <x:v>数据范围：当前账号持有的勋章</x:v>
      </x:c>
      <x:c r="L118" s="4" t="str"/>
      <x:c r="M118" s="4" t="str">
        <x:v>未测</x:v>
      </x:c>
      <x:c r="N118" s="4" t="str"/>
      <x:c r="O118" s="4" t="str">
        <x:v>1. 来源（原型批注）：liveshow-proto/prototype/annotations/user.js；my-decoration-medal.html
2. 页面：my-decoration-medal.html
3. 规则：BR-D1CB936769A6FB
4. 场景：SC-4F271E27B501EF
5. 未动态验证</x:v>
      </x:c>
    </x:row>
    <x:row r="119" ht="54" customHeight="1">
      <x:c r="A119" s="4" t="n">
        <x:v>118</x:v>
      </x:c>
      <x:c r="B119" s="4" t="str">
        <x:v>UPROF-0097</x:v>
      </x:c>
      <x:c r="C119" s="4" t="str">
        <x:v>个人中心</x:v>
      </x:c>
      <x:c r="D119" s="4" t="str">
        <x:v>勋章（用户视角）</x:v>
      </x:c>
      <x:c r="E119" s="4" t="str">
        <x:v>功能需求</x:v>
      </x:c>
      <x:c r="F119" s="4" t="str">
        <x:v>P2</x:v>
      </x:c>
      <x:c r="G119" s="4" t="str">
        <x:v>验证勋章可查看佩戴状态</x:v>
      </x:c>
      <x:c r="H119" s="4" t="str">
        <x:v>佩戴状态展示</x:v>
      </x:c>
      <x:c r="I119" s="4" t="str">
        <x:v>1. 用户账号已登录且具备当前页面权限</x:v>
      </x:c>
      <x:c r="J119" s="4" t="str">
        <x:v>1. 进入勋章
2. 查看佩戴状态</x:v>
      </x:c>
      <x:c r="K119" s="4" t="str">
        <x:v>勋章显示“佩戴状态”</x:v>
      </x:c>
      <x:c r="L119" s="4" t="str"/>
      <x:c r="M119" s="4" t="str">
        <x:v>未测</x:v>
      </x:c>
      <x:c r="N119" s="4" t="str"/>
      <x:c r="O119" s="4" t="str">
        <x:v>1. 来源（原型批注）：liveshow-proto/prototype/annotations/user.js；my-decoration-medal.html
2. 页面：my-decoration-medal.html
3. 规则：BR-2D4458AA70440F
4. 场景：SC-3F12781F61FA19
5. 未动态验证</x:v>
      </x:c>
    </x:row>
    <x:row r="120" ht="54" customHeight="1">
      <x:c r="A120" s="4" t="n">
        <x:v>119</x:v>
      </x:c>
      <x:c r="B120" s="4" t="str">
        <x:v>UPROF-0098</x:v>
      </x:c>
      <x:c r="C120" s="4" t="str">
        <x:v>个人中心</x:v>
      </x:c>
      <x:c r="D120" s="4" t="str">
        <x:v>勋章（用户视角）</x:v>
      </x:c>
      <x:c r="E120" s="4" t="str">
        <x:v>功能需求</x:v>
      </x:c>
      <x:c r="F120" s="4" t="str">
        <x:v>P2</x:v>
      </x:c>
      <x:c r="G120" s="4" t="str">
        <x:v>验证勋章可查看勋章图标 / 名称</x:v>
      </x:c>
      <x:c r="H120" s="4" t="str">
        <x:v>勋章图标 / 名称展示</x:v>
      </x:c>
      <x:c r="I120" s="4" t="str">
        <x:v>1. 用户账号已登录且具备当前页面权限</x:v>
      </x:c>
      <x:c r="J120" s="4" t="str">
        <x:v>1. 进入勋章
2. 查看勋章图标 / 名称</x:v>
      </x:c>
      <x:c r="K120" s="4" t="str">
        <x:v>勋章显示“勋章图标 / 名称”</x:v>
      </x:c>
      <x:c r="L120" s="4" t="str"/>
      <x:c r="M120" s="4" t="str">
        <x:v>未测</x:v>
      </x:c>
      <x:c r="N120" s="4" t="str"/>
      <x:c r="O120" s="4" t="str">
        <x:v>1. 来源（原型批注）：liveshow-proto/prototype/annotations/user.js；my-decoration-medal.html
2. 页面：my-decoration-medal.html
3. 规则：BR-C2497D62337DD5
4. 场景：SC-5EAC95ACE3DBBE
5. 未动态验证</x:v>
      </x:c>
    </x:row>
    <x:row r="121" ht="54" customHeight="1">
      <x:c r="A121" s="4" t="n">
        <x:v>120</x:v>
      </x:c>
      <x:c r="B121" s="4" t="str">
        <x:v>UPROF-0099</x:v>
      </x:c>
      <x:c r="C121" s="4" t="str">
        <x:v>个人中心</x:v>
      </x:c>
      <x:c r="D121" s="4" t="str">
        <x:v>勋章（用户视角）</x:v>
      </x:c>
      <x:c r="E121" s="4" t="str">
        <x:v>功能需求</x:v>
      </x:c>
      <x:c r="F121" s="4" t="str">
        <x:v>P2</x:v>
      </x:c>
      <x:c r="G121" s="4" t="str">
        <x:v>验证勋章可查看已佩戴数量</x:v>
      </x:c>
      <x:c r="H121" s="4" t="str">
        <x:v>已佩戴数量展示</x:v>
      </x:c>
      <x:c r="I121" s="4" t="str">
        <x:v>1. 用户账号已登录且具备当前页面权限</x:v>
      </x:c>
      <x:c r="J121" s="4" t="str">
        <x:v>1. 进入勋章
2. 查看已佩戴数量</x:v>
      </x:c>
      <x:c r="K121" s="4" t="str">
        <x:v>勋章显示“已佩戴数量”</x:v>
      </x:c>
      <x:c r="L121" s="4" t="str"/>
      <x:c r="M121" s="4" t="str">
        <x:v>未测</x:v>
      </x:c>
      <x:c r="N121" s="4" t="str"/>
      <x:c r="O121" s="4" t="str">
        <x:v>1. 来源（原型批注）：liveshow-proto/prototype/annotations/user.js；my-decoration-medal.html
2. 页面：my-decoration-medal.html
3. 规则：BR-7E4D1B93F43A9F、BR-FCF8D3922FB3E5
4. 场景：SC-F3AF62633BB3E0
5. 未动态验证</x:v>
      </x:c>
    </x:row>
    <x:row r="122" ht="54" customHeight="1">
      <x:c r="A122" s="4" t="n">
        <x:v>121</x:v>
      </x:c>
      <x:c r="B122" s="4" t="str">
        <x:v>UPROF-0100</x:v>
      </x:c>
      <x:c r="C122" s="4" t="str">
        <x:v>个人中心</x:v>
      </x:c>
      <x:c r="D122" s="4" t="str">
        <x:v>资料编辑（用户视角）</x:v>
      </x:c>
      <x:c r="E122" s="4" t="str">
        <x:v>业务流程</x:v>
      </x:c>
      <x:c r="F122" s="4" t="str">
        <x:v>P2</x:v>
      </x:c>
      <x:c r="G122" s="4" t="str">
        <x:v>验证地区达到最大长度后的资料编辑状态</x:v>
      </x:c>
      <x:c r="H122" s="4" t="str">
        <x:v>资料编辑状态</x:v>
      </x:c>
      <x:c r="I122" s="4" t="str">
        <x:v>1. 用户账号已登录且具备当前页面权限
2. 地区达到最大长度</x:v>
      </x:c>
      <x:c r="J122" s="4" t="str">
        <x:v>1. 进入资料编辑
2. 刷新资料编辑</x:v>
      </x:c>
      <x:c r="K122" s="4" t="str">
        <x:v>不增加提示</x:v>
      </x:c>
      <x:c r="L122" s="4" t="str"/>
      <x:c r="M122" s="4" t="str">
        <x:v>未测</x:v>
      </x:c>
      <x:c r="N122" s="4" t="str"/>
      <x:c r="O122" s="4" t="str">
        <x:v>1. 来源（原型批注）：liveshow-proto/prototype/annotations/user.js；profile-edit.html
2. 页面：profile-edit.html
3. 规则：BR-68E6FC087E5174
4. 场景：SC-5E9D264AAC9D30
5. 未动态验证</x:v>
      </x:c>
    </x:row>
    <x:row r="123" ht="54" customHeight="1">
      <x:c r="A123" s="4" t="n">
        <x:v>122</x:v>
      </x:c>
      <x:c r="B123" s="4" t="str">
        <x:v>UPROF-0101</x:v>
      </x:c>
      <x:c r="C123" s="4" t="str">
        <x:v>个人中心</x:v>
      </x:c>
      <x:c r="D123" s="4" t="str">
        <x:v>资料编辑（用户视角）</x:v>
      </x:c>
      <x:c r="E123" s="4" t="str">
        <x:v>逻辑校验</x:v>
      </x:c>
      <x:c r="F123" s="4" t="str">
        <x:v>P2</x:v>
      </x:c>
      <x:c r="G123" s="4" t="str">
        <x:v>验证地区输入0个字符</x:v>
      </x:c>
      <x:c r="H123" s="4" t="str">
        <x:v>地区长度边界</x:v>
      </x:c>
      <x:c r="I123" s="4" t="str">
        <x:v>1. 用户账号已登录且具备当前页面权限</x:v>
      </x:c>
      <x:c r="J123" s="4" t="str">
        <x:v>1. 进入资料编辑
2. 清空地区</x:v>
      </x:c>
      <x:c r="K123" s="4" t="str">
        <x:v>地区保留0个字符</x:v>
      </x:c>
      <x:c r="L123" s="4" t="str"/>
      <x:c r="M123" s="4" t="str">
        <x:v>未测</x:v>
      </x:c>
      <x:c r="N123" s="4" t="str"/>
      <x:c r="O123" s="4" t="str">
        <x:v>1. 来源（原型批注）：liveshow-proto/prototype/annotations/user.js；profile-edit.html
2. 页面：profile-edit.html
3. 规则：BR-0596E3BB9CAF5C
4. 场景：SC-E5C3342E56FC02
5. 未动态验证</x:v>
      </x:c>
    </x:row>
    <x:row r="124" ht="54" customHeight="1">
      <x:c r="A124" s="4" t="n">
        <x:v>123</x:v>
      </x:c>
      <x:c r="B124" s="4" t="str">
        <x:v>UPROF-0102</x:v>
      </x:c>
      <x:c r="C124" s="4" t="str">
        <x:v>个人中心</x:v>
      </x:c>
      <x:c r="D124" s="4" t="str">
        <x:v>资料编辑（用户视角）</x:v>
      </x:c>
      <x:c r="E124" s="4" t="str">
        <x:v>逻辑校验</x:v>
      </x:c>
      <x:c r="F124" s="4" t="str">
        <x:v>P2</x:v>
      </x:c>
      <x:c r="G124" s="4" t="str">
        <x:v>验证地区输入30个字符</x:v>
      </x:c>
      <x:c r="H124" s="4" t="str">
        <x:v>地区长度边界</x:v>
      </x:c>
      <x:c r="I124" s="4" t="str">
        <x:v>1. 用户账号已登录且具备当前页面权限</x:v>
      </x:c>
      <x:c r="J124" s="4" t="str">
        <x:v>1. 进入资料编辑
2. 输入由30个“测”组成的地区</x:v>
      </x:c>
      <x:c r="K124" s="4" t="str">
        <x:v>地区保留30个字符</x:v>
      </x:c>
      <x:c r="L124" s="4" t="str"/>
      <x:c r="M124" s="4" t="str">
        <x:v>未测</x:v>
      </x:c>
      <x:c r="N124" s="4" t="str"/>
      <x:c r="O124" s="4" t="str">
        <x:v>1. 来源（原型批注）：liveshow-proto/prototype/annotations/user.js；profile-edit.html
2. 页面：profile-edit.html
3. 规则：BR-0596E3BB9CAF5C
4. 场景：SC-856B2C865DB74C
5. 未动态验证</x:v>
      </x:c>
    </x:row>
    <x:row r="125" ht="54" customHeight="1">
      <x:c r="A125" s="4" t="n">
        <x:v>124</x:v>
      </x:c>
      <x:c r="B125" s="4" t="str">
        <x:v>UPROF-0103</x:v>
      </x:c>
      <x:c r="C125" s="4" t="str">
        <x:v>个人中心</x:v>
      </x:c>
      <x:c r="D125" s="4" t="str">
        <x:v>资料编辑（用户视角）</x:v>
      </x:c>
      <x:c r="E125" s="4" t="str">
        <x:v>异常用例</x:v>
      </x:c>
      <x:c r="F125" s="4" t="str">
        <x:v>P2</x:v>
      </x:c>
      <x:c r="G125" s="4" t="str">
        <x:v>验证地区输入31个字符</x:v>
      </x:c>
      <x:c r="H125" s="4" t="str">
        <x:v>地区长度边界</x:v>
      </x:c>
      <x:c r="I125" s="4" t="str">
        <x:v>1. 用户账号已登录且具备当前页面权限</x:v>
      </x:c>
      <x:c r="J125" s="4" t="str">
        <x:v>1. 进入资料编辑
2. 输入由31个“测”组成的地区</x:v>
      </x:c>
      <x:c r="K125" s="4" t="str">
        <x:v>地区不能保留31个字符</x:v>
      </x:c>
      <x:c r="L125" s="4" t="str"/>
      <x:c r="M125" s="4" t="str">
        <x:v>未测</x:v>
      </x:c>
      <x:c r="N125" s="4" t="str"/>
      <x:c r="O125" s="4" t="str">
        <x:v>1. 来源（原型批注）：liveshow-proto/prototype/annotations/user.js；profile-edit.html
2. 页面：profile-edit.html
3. 规则：BR-0596E3BB9CAF5C
4. 场景：SC-0BD375370B779F
5. 未动态验证</x:v>
      </x:c>
    </x:row>
    <x:row r="126" ht="54" customHeight="1">
      <x:c r="A126" s="4" t="n">
        <x:v>125</x:v>
      </x:c>
      <x:c r="B126" s="4" t="str">
        <x:v>UPROF-0104</x:v>
      </x:c>
      <x:c r="C126" s="4" t="str">
        <x:v>个人中心</x:v>
      </x:c>
      <x:c r="D126" s="4" t="str">
        <x:v>资料编辑（用户视角）</x:v>
      </x:c>
      <x:c r="E126" s="4" t="str">
        <x:v>业务流程</x:v>
      </x:c>
      <x:c r="F126" s="4" t="str">
        <x:v>P2</x:v>
      </x:c>
      <x:c r="G126" s="4" t="str">
        <x:v>验证昵称后的资料编辑状态</x:v>
      </x:c>
      <x:c r="H126" s="4" t="str">
        <x:v>资料编辑状态</x:v>
      </x:c>
      <x:c r="I126" s="4" t="str">
        <x:v>1. 用户账号已登录且具备当前页面权限
2. 昵称</x:v>
      </x:c>
      <x:c r="J126" s="4" t="str">
        <x:v>1. 进入资料编辑
2. 刷新资料编辑</x:v>
      </x:c>
      <x:c r="K126" s="4" t="str">
        <x:v>不增加提示</x:v>
      </x:c>
      <x:c r="L126" s="4" t="str"/>
      <x:c r="M126" s="4" t="str">
        <x:v>未测</x:v>
      </x:c>
      <x:c r="N126" s="4" t="str"/>
      <x:c r="O126" s="4" t="str">
        <x:v>1. 来源（原型批注）：liveshow-proto/prototype/annotations/user.js；profile-edit.html
2. 页面：profile-edit.html
3. 规则：BR-68E6FC087E5174
4. 场景：SC-BF82AA29F4178F
5. 未动态验证</x:v>
      </x:c>
    </x:row>
    <x:row r="127" ht="54" customHeight="1">
      <x:c r="A127" s="4" t="n">
        <x:v>126</x:v>
      </x:c>
      <x:c r="B127" s="4" t="str">
        <x:v>UPROF-0105</x:v>
      </x:c>
      <x:c r="C127" s="4" t="str">
        <x:v>个人中心</x:v>
      </x:c>
      <x:c r="D127" s="4" t="str">
        <x:v>资料编辑（用户视角）</x:v>
      </x:c>
      <x:c r="E127" s="4" t="str">
        <x:v>异常用例</x:v>
      </x:c>
      <x:c r="F127" s="4" t="str">
        <x:v>P2</x:v>
      </x:c>
      <x:c r="G127" s="4" t="str">
        <x:v>验证昵称输入0个字符</x:v>
      </x:c>
      <x:c r="H127" s="4" t="str">
        <x:v>昵称长度边界</x:v>
      </x:c>
      <x:c r="I127" s="4" t="str">
        <x:v>1. 用户账号已登录且具备当前页面权限</x:v>
      </x:c>
      <x:c r="J127" s="4" t="str">
        <x:v>1. 进入资料编辑
2. 清空昵称</x:v>
      </x:c>
      <x:c r="K127" s="4" t="str">
        <x:v>昵称不能保留0个字符</x:v>
      </x:c>
      <x:c r="L127" s="4" t="str"/>
      <x:c r="M127" s="4" t="str">
        <x:v>未测</x:v>
      </x:c>
      <x:c r="N127" s="4" t="str"/>
      <x:c r="O127" s="4" t="str">
        <x:v>1. 来源（原型批注）：liveshow-proto/prototype/annotations/user.js；profile-edit.html
2. 页面：profile-edit.html
3. 规则：BR-EED7D73F05B252
4. 场景：SC-745C2154EAEC23
5. 未动态验证</x:v>
      </x:c>
    </x:row>
    <x:row r="128" ht="54" customHeight="1">
      <x:c r="A128" s="4" t="n">
        <x:v>127</x:v>
      </x:c>
      <x:c r="B128" s="4" t="str">
        <x:v>UPROF-0106</x:v>
      </x:c>
      <x:c r="C128" s="4" t="str">
        <x:v>个人中心</x:v>
      </x:c>
      <x:c r="D128" s="4" t="str">
        <x:v>资料编辑（用户视角）</x:v>
      </x:c>
      <x:c r="E128" s="4" t="str">
        <x:v>逻辑校验</x:v>
      </x:c>
      <x:c r="F128" s="4" t="str">
        <x:v>P2</x:v>
      </x:c>
      <x:c r="G128" s="4" t="str">
        <x:v>验证昵称输入20个字符</x:v>
      </x:c>
      <x:c r="H128" s="4" t="str">
        <x:v>昵称长度边界</x:v>
      </x:c>
      <x:c r="I128" s="4" t="str">
        <x:v>1. 用户账号已登录且具备当前页面权限</x:v>
      </x:c>
      <x:c r="J128" s="4" t="str">
        <x:v>1. 进入资料编辑
2. 输入由20个“测”组成的昵称</x:v>
      </x:c>
      <x:c r="K128" s="4" t="str">
        <x:v>昵称保留20个字符</x:v>
      </x:c>
      <x:c r="L128" s="4" t="str"/>
      <x:c r="M128" s="4" t="str">
        <x:v>未测</x:v>
      </x:c>
      <x:c r="N128" s="4" t="str"/>
      <x:c r="O128" s="4" t="str">
        <x:v>1. 来源（原型批注）：liveshow-proto/prototype/annotations/user.js；profile-edit.html
2. 页面：profile-edit.html
3. 规则：BR-EED7D73F05B252
4. 场景：SC-5B8157B3547507
5. 未动态验证</x:v>
      </x:c>
    </x:row>
    <x:row r="129" ht="54" customHeight="1">
      <x:c r="A129" s="4" t="n">
        <x:v>128</x:v>
      </x:c>
      <x:c r="B129" s="4" t="str">
        <x:v>UPROF-0107</x:v>
      </x:c>
      <x:c r="C129" s="4" t="str">
        <x:v>个人中心</x:v>
      </x:c>
      <x:c r="D129" s="4" t="str">
        <x:v>资料编辑（用户视角）</x:v>
      </x:c>
      <x:c r="E129" s="4" t="str">
        <x:v>异常用例</x:v>
      </x:c>
      <x:c r="F129" s="4" t="str">
        <x:v>P2</x:v>
      </x:c>
      <x:c r="G129" s="4" t="str">
        <x:v>验证昵称输入21个字符</x:v>
      </x:c>
      <x:c r="H129" s="4" t="str">
        <x:v>昵称长度边界</x:v>
      </x:c>
      <x:c r="I129" s="4" t="str">
        <x:v>1. 用户账号已登录且具备当前页面权限</x:v>
      </x:c>
      <x:c r="J129" s="4" t="str">
        <x:v>1. 进入资料编辑
2. 输入由21个“测”组成的昵称</x:v>
      </x:c>
      <x:c r="K129" s="4" t="str">
        <x:v>昵称不能保留21个字符</x:v>
      </x:c>
      <x:c r="L129" s="4" t="str"/>
      <x:c r="M129" s="4" t="str">
        <x:v>未测</x:v>
      </x:c>
      <x:c r="N129" s="4" t="str"/>
      <x:c r="O129" s="4" t="str">
        <x:v>1. 来源（原型批注）：liveshow-proto/prototype/annotations/user.js；profile-edit.html
2. 页面：profile-edit.html
3. 规则：BR-EED7D73F05B252
4. 场景：SC-3D7E4ABAB78339
5. 未动态验证</x:v>
      </x:c>
    </x:row>
    <x:row r="130" ht="54" customHeight="1">
      <x:c r="A130" s="4" t="n">
        <x:v>129</x:v>
      </x:c>
      <x:c r="B130" s="4" t="str">
        <x:v>UPROF-0108</x:v>
      </x:c>
      <x:c r="C130" s="4" t="str">
        <x:v>个人中心</x:v>
      </x:c>
      <x:c r="D130" s="4" t="str">
        <x:v>资料编辑（用户视角）</x:v>
      </x:c>
      <x:c r="E130" s="4" t="str">
        <x:v>异常用例</x:v>
      </x:c>
      <x:c r="F130" s="4" t="str">
        <x:v>P2</x:v>
      </x:c>
      <x:c r="G130" s="4" t="str">
        <x:v>验证昵称为空后的资料编辑状态</x:v>
      </x:c>
      <x:c r="H130" s="4" t="str">
        <x:v>资料编辑状态</x:v>
      </x:c>
      <x:c r="I130" s="4" t="str">
        <x:v>1. 用户账号已登录且具备当前页面权限
2. 昵称为空</x:v>
      </x:c>
      <x:c r="J130" s="4" t="str">
        <x:v>1. 进入资料编辑
2. 刷新资料编辑</x:v>
      </x:c>
      <x:c r="K130" s="4" t="str">
        <x:v>保存按钮不可用</x:v>
      </x:c>
      <x:c r="L130" s="4" t="str"/>
      <x:c r="M130" s="4" t="str">
        <x:v>未测</x:v>
      </x:c>
      <x:c r="N130" s="4" t="str"/>
      <x:c r="O130" s="4" t="str">
        <x:v>1. 来源（原型批注）：liveshow-proto/prototype/annotations/user.js；profile-edit.html
2. 页面：profile-edit.html
3. 规则：BR-411442E126D378
4. 场景：SC-7CDC997F8EBDB8
5. 未动态验证</x:v>
      </x:c>
    </x:row>
    <x:row r="131" ht="54" customHeight="1">
      <x:c r="A131" s="4" t="n">
        <x:v>130</x:v>
      </x:c>
      <x:c r="B131" s="4" t="str">
        <x:v>UPROF-0109</x:v>
      </x:c>
      <x:c r="C131" s="4" t="str">
        <x:v>个人中心</x:v>
      </x:c>
      <x:c r="D131" s="4" t="str">
        <x:v>资料编辑（用户视角）</x:v>
      </x:c>
      <x:c r="E131" s="4" t="str">
        <x:v>业务流程</x:v>
      </x:c>
      <x:c r="F131" s="4" t="str">
        <x:v>P2</x:v>
      </x:c>
      <x:c r="G131" s="4" t="str">
        <x:v>验证昵称修改后的资料编辑状态</x:v>
      </x:c>
      <x:c r="H131" s="4" t="str">
        <x:v>资料编辑状态</x:v>
      </x:c>
      <x:c r="I131" s="4" t="str">
        <x:v>1. 用户账号已登录且具备当前页面权限
2. 昵称修改</x:v>
      </x:c>
      <x:c r="J131" s="4" t="str">
        <x:v>1. 进入资料编辑
2. 刷新资料编辑</x:v>
      </x:c>
      <x:c r="K131" s="4" t="str">
        <x:v>保存须进行合规校验</x:v>
      </x:c>
      <x:c r="L131" s="4" t="str"/>
      <x:c r="M131" s="4" t="str">
        <x:v>未测</x:v>
      </x:c>
      <x:c r="N131" s="4" t="str"/>
      <x:c r="O131" s="4" t="str">
        <x:v>1. 来源（原型批注）：liveshow-proto/prototype/annotations/user.js；profile-edit.html
2. 页面：profile-edit.html
3. 规则：BR-8B4CF4EF1C0ACB
4. 场景：SC-5B6EC84BED2B05
5. 未动态验证</x:v>
      </x:c>
    </x:row>
    <x:row r="132" ht="54" customHeight="1">
      <x:c r="A132" s="4" t="n">
        <x:v>131</x:v>
      </x:c>
      <x:c r="B132" s="4" t="str">
        <x:v>UPROF-0110</x:v>
      </x:c>
      <x:c r="C132" s="4" t="str">
        <x:v>个人中心</x:v>
      </x:c>
      <x:c r="D132" s="4" t="str">
        <x:v>资料编辑（用户视角）</x:v>
      </x:c>
      <x:c r="E132" s="4" t="str">
        <x:v>业务流程</x:v>
      </x:c>
      <x:c r="F132" s="4" t="str">
        <x:v>P2</x:v>
      </x:c>
      <x:c r="G132" s="4" t="str">
        <x:v>验证昵称有修改后的资料编辑状态</x:v>
      </x:c>
      <x:c r="H132" s="4" t="str">
        <x:v>资料编辑状态</x:v>
      </x:c>
      <x:c r="I132" s="4" t="str">
        <x:v>1. 用户账号已登录且具备当前页面权限
2. 昵称有修改</x:v>
      </x:c>
      <x:c r="J132" s="4" t="str">
        <x:v>1. 进入资料编辑
2. 刷新资料编辑</x:v>
      </x:c>
      <x:c r="K132" s="4" t="str">
        <x:v>点击保存后显示 loading 并进行合规校验</x:v>
      </x:c>
      <x:c r="L132" s="4" t="str"/>
      <x:c r="M132" s="4" t="str">
        <x:v>未测</x:v>
      </x:c>
      <x:c r="N132" s="4" t="str"/>
      <x:c r="O132" s="4" t="str">
        <x:v>1. 来源（原型批注）：liveshow-proto/prototype/annotations/user.js；profile-edit.html
2. 页面：profile-edit.html
3. 规则：BR-C750ED24FF670E
4. 场景：SC-FD998E6817EDDC
5. 未动态验证</x:v>
      </x:c>
    </x:row>
    <x:row r="133" ht="54" customHeight="1">
      <x:c r="A133" s="4" t="n">
        <x:v>132</x:v>
      </x:c>
      <x:c r="B133" s="4" t="str">
        <x:v>UPROF-0111</x:v>
      </x:c>
      <x:c r="C133" s="4" t="str">
        <x:v>个人中心</x:v>
      </x:c>
      <x:c r="D133" s="4" t="str">
        <x:v>资料编辑（用户视角）</x:v>
      </x:c>
      <x:c r="E133" s="4" t="str">
        <x:v>业务流程</x:v>
      </x:c>
      <x:c r="F133" s="4" t="str">
        <x:v>P2</x:v>
      </x:c>
      <x:c r="G133" s="4" t="str">
        <x:v>验证签名后的资料编辑状态</x:v>
      </x:c>
      <x:c r="H133" s="4" t="str">
        <x:v>资料编辑状态</x:v>
      </x:c>
      <x:c r="I133" s="4" t="str">
        <x:v>1. 用户账号已登录且具备当前页面权限
2. 签名</x:v>
      </x:c>
      <x:c r="J133" s="4" t="str">
        <x:v>1. 进入资料编辑
2. 刷新资料编辑</x:v>
      </x:c>
      <x:c r="K133" s="4" t="str">
        <x:v>不增加提示</x:v>
      </x:c>
      <x:c r="L133" s="4" t="str"/>
      <x:c r="M133" s="4" t="str">
        <x:v>未测</x:v>
      </x:c>
      <x:c r="N133" s="4" t="str"/>
      <x:c r="O133" s="4" t="str">
        <x:v>1. 来源（原型批注）：liveshow-proto/prototype/annotations/user.js；profile-edit.html
2. 页面：profile-edit.html
3. 规则：BR-68E6FC087E5174
4. 场景：SC-4A34F7ECD98E56
5. 未动态验证</x:v>
      </x:c>
    </x:row>
    <x:row r="134" ht="54" customHeight="1">
      <x:c r="A134" s="4" t="n">
        <x:v>133</x:v>
      </x:c>
      <x:c r="B134" s="4" t="str">
        <x:v>UPROF-0112</x:v>
      </x:c>
      <x:c r="C134" s="4" t="str">
        <x:v>个人中心</x:v>
      </x:c>
      <x:c r="D134" s="4" t="str">
        <x:v>资料编辑（用户视角）</x:v>
      </x:c>
      <x:c r="E134" s="4" t="str">
        <x:v>逻辑校验</x:v>
      </x:c>
      <x:c r="F134" s="4" t="str">
        <x:v>P2</x:v>
      </x:c>
      <x:c r="G134" s="4" t="str">
        <x:v>验证签名输入0个字符</x:v>
      </x:c>
      <x:c r="H134" s="4" t="str">
        <x:v>签名长度边界</x:v>
      </x:c>
      <x:c r="I134" s="4" t="str">
        <x:v>1. 用户账号已登录且具备当前页面权限</x:v>
      </x:c>
      <x:c r="J134" s="4" t="str">
        <x:v>1. 进入资料编辑
2. 清空签名</x:v>
      </x:c>
      <x:c r="K134" s="4" t="str">
        <x:v>签名保留0个字符</x:v>
      </x:c>
      <x:c r="L134" s="4" t="str"/>
      <x:c r="M134" s="4" t="str">
        <x:v>未测</x:v>
      </x:c>
      <x:c r="N134" s="4" t="str"/>
      <x:c r="O134" s="4" t="str">
        <x:v>1. 来源（原型批注）：liveshow-proto/prototype/annotations/user.js；profile-edit.html
2. 页面：profile-edit.html
3. 规则：BR-27B90AD4AECEC5
4. 场景：SC-297B30E5E5C159
5. 未动态验证</x:v>
      </x:c>
    </x:row>
    <x:row r="135" ht="54" customHeight="1">
      <x:c r="A135" s="4" t="n">
        <x:v>134</x:v>
      </x:c>
      <x:c r="B135" s="4" t="str">
        <x:v>UPROF-0113</x:v>
      </x:c>
      <x:c r="C135" s="4" t="str">
        <x:v>个人中心</x:v>
      </x:c>
      <x:c r="D135" s="4" t="str">
        <x:v>资料编辑（用户视角）</x:v>
      </x:c>
      <x:c r="E135" s="4" t="str">
        <x:v>逻辑校验</x:v>
      </x:c>
      <x:c r="F135" s="4" t="str">
        <x:v>P2</x:v>
      </x:c>
      <x:c r="G135" s="4" t="str">
        <x:v>验证签名输入80个字符</x:v>
      </x:c>
      <x:c r="H135" s="4" t="str">
        <x:v>签名长度边界</x:v>
      </x:c>
      <x:c r="I135" s="4" t="str">
        <x:v>1. 用户账号已登录且具备当前页面权限</x:v>
      </x:c>
      <x:c r="J135" s="4" t="str">
        <x:v>1. 进入资料编辑
2. 输入由80个“测”组成的签名</x:v>
      </x:c>
      <x:c r="K135" s="4" t="str">
        <x:v>签名保留80个字符</x:v>
      </x:c>
      <x:c r="L135" s="4" t="str"/>
      <x:c r="M135" s="4" t="str">
        <x:v>未测</x:v>
      </x:c>
      <x:c r="N135" s="4" t="str"/>
      <x:c r="O135" s="4" t="str">
        <x:v>1. 来源（原型批注）：liveshow-proto/prototype/annotations/user.js；profile-edit.html
2. 页面：profile-edit.html
3. 规则：BR-27B90AD4AECEC5
4. 场景：SC-DF1CC750E48C17
5. 未动态验证</x:v>
      </x:c>
    </x:row>
    <x:row r="136" ht="54" customHeight="1">
      <x:c r="A136" s="4" t="n">
        <x:v>135</x:v>
      </x:c>
      <x:c r="B136" s="4" t="str">
        <x:v>UPROF-0114</x:v>
      </x:c>
      <x:c r="C136" s="4" t="str">
        <x:v>个人中心</x:v>
      </x:c>
      <x:c r="D136" s="4" t="str">
        <x:v>资料编辑（用户视角）</x:v>
      </x:c>
      <x:c r="E136" s="4" t="str">
        <x:v>异常用例</x:v>
      </x:c>
      <x:c r="F136" s="4" t="str">
        <x:v>P2</x:v>
      </x:c>
      <x:c r="G136" s="4" t="str">
        <x:v>验证签名输入81个字符</x:v>
      </x:c>
      <x:c r="H136" s="4" t="str">
        <x:v>签名长度边界</x:v>
      </x:c>
      <x:c r="I136" s="4" t="str">
        <x:v>1. 用户账号已登录且具备当前页面权限</x:v>
      </x:c>
      <x:c r="J136" s="4" t="str">
        <x:v>1. 进入资料编辑
2. 输入由81个“测”组成的签名</x:v>
      </x:c>
      <x:c r="K136" s="4" t="str">
        <x:v>签名不能保留81个字符</x:v>
      </x:c>
      <x:c r="L136" s="4" t="str"/>
      <x:c r="M136" s="4" t="str">
        <x:v>未测</x:v>
      </x:c>
      <x:c r="N136" s="4" t="str"/>
      <x:c r="O136" s="4" t="str">
        <x:v>1. 来源（原型批注）：liveshow-proto/prototype/annotations/user.js；profile-edit.html
2. 页面：profile-edit.html
3. 规则：BR-27B90AD4AECEC5
4. 场景：SC-A01F7FCE132FD9
5. 未动态验证</x:v>
      </x:c>
    </x:row>
    <x:row r="137" ht="54" customHeight="1">
      <x:c r="A137" s="4" t="n">
        <x:v>136</x:v>
      </x:c>
      <x:c r="B137" s="4" t="str">
        <x:v>UPROF-0115</x:v>
      </x:c>
      <x:c r="C137" s="4" t="str">
        <x:v>个人中心</x:v>
      </x:c>
      <x:c r="D137" s="4" t="str">
        <x:v>资料编辑（用户视角）</x:v>
      </x:c>
      <x:c r="E137" s="4" t="str">
        <x:v>业务流程</x:v>
      </x:c>
      <x:c r="F137" s="4" t="str">
        <x:v>P2</x:v>
      </x:c>
      <x:c r="G137" s="4" t="str">
        <x:v>验证头像后的资料编辑状态</x:v>
      </x:c>
      <x:c r="H137" s="4" t="str">
        <x:v>资料编辑状态</x:v>
      </x:c>
      <x:c r="I137" s="4" t="str">
        <x:v>1. 用户账号已登录且具备当前页面权限
2. 头像</x:v>
      </x:c>
      <x:c r="J137" s="4" t="str">
        <x:v>1. 进入资料编辑
2. 刷新资料编辑</x:v>
      </x:c>
      <x:c r="K137" s="4" t="str">
        <x:v>保存须进行合规校验</x:v>
      </x:c>
      <x:c r="L137" s="4" t="str"/>
      <x:c r="M137" s="4" t="str">
        <x:v>未测</x:v>
      </x:c>
      <x:c r="N137" s="4" t="str"/>
      <x:c r="O137" s="4" t="str">
        <x:v>1. 来源（原型批注）：liveshow-proto/prototype/annotations/user.js；profile-edit.html
2. 页面：profile-edit.html
3. 规则：BR-8B4CF4EF1C0ACB
4. 场景：SC-A2A55E59F1C533
5. 未动态验证</x:v>
      </x:c>
    </x:row>
    <x:row r="138" ht="54" customHeight="1">
      <x:c r="A138" s="4" t="n">
        <x:v>137</x:v>
      </x:c>
      <x:c r="B138" s="4" t="str">
        <x:v>UPROF-0116</x:v>
      </x:c>
      <x:c r="C138" s="4" t="str">
        <x:v>个人中心</x:v>
      </x:c>
      <x:c r="D138" s="4" t="str">
        <x:v>资料编辑（用户视角）</x:v>
      </x:c>
      <x:c r="E138" s="4" t="str">
        <x:v>业务流程</x:v>
      </x:c>
      <x:c r="F138" s="4" t="str">
        <x:v>P2</x:v>
      </x:c>
      <x:c r="G138" s="4" t="str">
        <x:v>验证校验成功后的资料编辑状态</x:v>
      </x:c>
      <x:c r="H138" s="4" t="str">
        <x:v>资料编辑状态</x:v>
      </x:c>
      <x:c r="I138" s="4" t="str">
        <x:v>1. 用户账号已登录且具备当前页面权限
2. 校验成功</x:v>
      </x:c>
      <x:c r="J138" s="4" t="str">
        <x:v>1. 进入资料编辑
2. 刷新资料编辑</x:v>
      </x:c>
      <x:c r="K138" s="4" t="str">
        <x:v>直接保存</x:v>
      </x:c>
      <x:c r="L138" s="4" t="str"/>
      <x:c r="M138" s="4" t="str">
        <x:v>未测</x:v>
      </x:c>
      <x:c r="N138" s="4" t="str"/>
      <x:c r="O138" s="4" t="str">
        <x:v>1. 来源（原型批注）：liveshow-proto/prototype/annotations/user.js；profile-edit.html
2. 页面：profile-edit.html
3. 规则：BR-34F014D8980BF6、BR-0FB9D1126B5EA4
4. 场景：SC-6D1621BE931FBB
5. 未动态验证</x:v>
      </x:c>
    </x:row>
    <x:row r="139" ht="54" customHeight="1">
      <x:c r="A139" s="4" t="n">
        <x:v>138</x:v>
      </x:c>
      <x:c r="B139" s="4" t="str">
        <x:v>UPROF-0117</x:v>
      </x:c>
      <x:c r="C139" s="4" t="str">
        <x:v>个人中心</x:v>
      </x:c>
      <x:c r="D139" s="4" t="str">
        <x:v>资料编辑（用户视角）</x:v>
      </x:c>
      <x:c r="E139" s="4" t="str">
        <x:v>异常用例</x:v>
      </x:c>
      <x:c r="F139" s="4" t="str">
        <x:v>P2</x:v>
      </x:c>
      <x:c r="G139" s="4" t="str">
        <x:v>验证校验失败后的资料编辑状态</x:v>
      </x:c>
      <x:c r="H139" s="4" t="str">
        <x:v>资料编辑状态</x:v>
      </x:c>
      <x:c r="I139" s="4" t="str">
        <x:v>1. 用户账号已登录且具备当前页面权限
2. 校验失败</x:v>
      </x:c>
      <x:c r="J139" s="4" t="str">
        <x:v>1. 进入资料编辑
2. 刷新资料编辑</x:v>
      </x:c>
      <x:c r="K139" s="4" t="str">
        <x:v>提示“头像或昵称不合规”</x:v>
      </x:c>
      <x:c r="L139" s="4" t="str"/>
      <x:c r="M139" s="4" t="str">
        <x:v>未测</x:v>
      </x:c>
      <x:c r="N139" s="4" t="str"/>
      <x:c r="O139" s="4" t="str">
        <x:v>1. 来源（原型批注）：liveshow-proto/prototype/annotations/user.js；profile-edit.html
2. 页面：profile-edit.html
3. 规则：BR-CACFC546874CD5
4. 场景：SC-B794590348F533
5. 未动态验证</x:v>
      </x:c>
    </x:row>
    <x:row r="140" ht="54" customHeight="1">
      <x:c r="A140" s="4" t="n">
        <x:v>139</x:v>
      </x:c>
      <x:c r="B140" s="4" t="str">
        <x:v>UPROF-0118</x:v>
      </x:c>
      <x:c r="C140" s="4" t="str">
        <x:v>个人中心</x:v>
      </x:c>
      <x:c r="D140" s="4" t="str">
        <x:v>资料编辑（用户视角）</x:v>
      </x:c>
      <x:c r="E140" s="4" t="str">
        <x:v>业务流程</x:v>
      </x:c>
      <x:c r="F140" s="4" t="str">
        <x:v>P2</x:v>
      </x:c>
      <x:c r="G140" s="4" t="str">
        <x:v>验证原型中头像后的资料编辑状态</x:v>
      </x:c>
      <x:c r="H140" s="4" t="str">
        <x:v>资料编辑状态</x:v>
      </x:c>
      <x:c r="I140" s="4" t="str">
        <x:v>1. 用户账号已登录且具备当前页面权限
2. 原型中头像</x:v>
      </x:c>
      <x:c r="J140" s="4" t="str">
        <x:v>1. 进入资料编辑
2. 刷新资料编辑</x:v>
      </x:c>
      <x:c r="K140" s="4" t="str">
        <x:v>每次点击保存均按成功、不合规、网络异常依次循环</x:v>
      </x:c>
      <x:c r="L140" s="4" t="str"/>
      <x:c r="M140" s="4" t="str">
        <x:v>未测</x:v>
      </x:c>
      <x:c r="N140" s="4" t="str"/>
      <x:c r="O140" s="4" t="str">
        <x:v>1. 来源（原型批注）：liveshow-proto/prototype/annotations/user.js；profile-edit.html
2. 页面：profile-edit.html
3. 规则：BR-339582AD3EFB78
4. 场景：SC-5716834E46C99A
5. 未动态验证</x:v>
      </x:c>
    </x:row>
    <x:row r="141" ht="54" customHeight="1">
      <x:c r="A141" s="4" t="n">
        <x:v>140</x:v>
      </x:c>
      <x:c r="B141" s="4" t="str">
        <x:v>UPROF-0119</x:v>
      </x:c>
      <x:c r="C141" s="4" t="str">
        <x:v>个人中心</x:v>
      </x:c>
      <x:c r="D141" s="4" t="str">
        <x:v>资料编辑（用户视角）</x:v>
      </x:c>
      <x:c r="E141" s="4" t="str">
        <x:v>功能需求</x:v>
      </x:c>
      <x:c r="F141" s="4" t="str">
        <x:v>P2</x:v>
      </x:c>
      <x:c r="G141" s="4" t="str">
        <x:v>验证资料编辑可查看背景图</x:v>
      </x:c>
      <x:c r="H141" s="4" t="str">
        <x:v>背景图展示</x:v>
      </x:c>
      <x:c r="I141" s="4" t="str">
        <x:v>1. 用户账号已登录且具备当前页面权限</x:v>
      </x:c>
      <x:c r="J141" s="4" t="str">
        <x:v>1. 进入资料编辑
2. 查看背景图</x:v>
      </x:c>
      <x:c r="K141" s="4" t="str">
        <x:v>资料编辑显示“背景图”</x:v>
      </x:c>
      <x:c r="L141" s="4" t="str"/>
      <x:c r="M141" s="4" t="str">
        <x:v>未测</x:v>
      </x:c>
      <x:c r="N141" s="4" t="str"/>
      <x:c r="O141" s="4" t="str">
        <x:v>1. 来源（原型批注）：liveshow-proto/prototype/annotations/user.js；profile-edit.html
2. 页面：profile-edit.html
3. 规则：BR-6A6C8B004C02D7
4. 场景：SC-AA36DEDBA7CE40
5. 未动态验证</x:v>
      </x:c>
    </x:row>
    <x:row r="142" ht="54" customHeight="1">
      <x:c r="A142" s="4" t="n">
        <x:v>141</x:v>
      </x:c>
      <x:c r="B142" s="4" t="str">
        <x:v>UPROF-0120</x:v>
      </x:c>
      <x:c r="C142" s="4" t="str">
        <x:v>个人中心</x:v>
      </x:c>
      <x:c r="D142" s="4" t="str">
        <x:v>资料编辑（用户视角）</x:v>
      </x:c>
      <x:c r="E142" s="4" t="str">
        <x:v>功能需求</x:v>
      </x:c>
      <x:c r="F142" s="4" t="str">
        <x:v>P2</x:v>
      </x:c>
      <x:c r="G142" s="4" t="str">
        <x:v>验证资料编辑可查看地区</x:v>
      </x:c>
      <x:c r="H142" s="4" t="str">
        <x:v>地区展示</x:v>
      </x:c>
      <x:c r="I142" s="4" t="str">
        <x:v>1. 用户账号已登录且具备当前页面权限</x:v>
      </x:c>
      <x:c r="J142" s="4" t="str">
        <x:v>1. 进入资料编辑
2. 查看地区</x:v>
      </x:c>
      <x:c r="K142" s="4" t="str">
        <x:v>资料编辑显示“地区”</x:v>
      </x:c>
      <x:c r="L142" s="4" t="str"/>
      <x:c r="M142" s="4" t="str">
        <x:v>未测</x:v>
      </x:c>
      <x:c r="N142" s="4" t="str"/>
      <x:c r="O142" s="4" t="str">
        <x:v>1. 来源（原型批注）：liveshow-proto/prototype/annotations/user.js；profile-edit.html
2. 页面：profile-edit.html
3. 规则：BR-0596E3BB9CAF5C
4. 场景：SC-4D96220A809609
5. 未动态验证</x:v>
      </x:c>
    </x:row>
    <x:row r="143" ht="54" customHeight="1">
      <x:c r="A143" s="4" t="n">
        <x:v>142</x:v>
      </x:c>
      <x:c r="B143" s="4" t="str">
        <x:v>UPROF-0121</x:v>
      </x:c>
      <x:c r="C143" s="4" t="str">
        <x:v>个人中心</x:v>
      </x:c>
      <x:c r="D143" s="4" t="str">
        <x:v>资料编辑（用户视角）</x:v>
      </x:c>
      <x:c r="E143" s="4" t="str">
        <x:v>功能需求</x:v>
      </x:c>
      <x:c r="F143" s="4" t="str">
        <x:v>P2</x:v>
      </x:c>
      <x:c r="G143" s="4" t="str">
        <x:v>验证资料编辑可查看昵称</x:v>
      </x:c>
      <x:c r="H143" s="4" t="str">
        <x:v>昵称展示</x:v>
      </x:c>
      <x:c r="I143" s="4" t="str">
        <x:v>1. 用户账号已登录且具备当前页面权限</x:v>
      </x:c>
      <x:c r="J143" s="4" t="str">
        <x:v>1. 进入资料编辑
2. 查看昵称</x:v>
      </x:c>
      <x:c r="K143" s="4" t="str">
        <x:v>资料编辑显示“昵称”</x:v>
      </x:c>
      <x:c r="L143" s="4" t="str"/>
      <x:c r="M143" s="4" t="str">
        <x:v>未测</x:v>
      </x:c>
      <x:c r="N143" s="4" t="str"/>
      <x:c r="O143" s="4" t="str">
        <x:v>1. 来源（原型批注）：liveshow-proto/prototype/annotations/user.js；profile-edit.html
2. 页面：profile-edit.html
3. 规则：BR-EED7D73F05B252、BR-264E0340268CC5
4. 场景：SC-E2E2739D2602DC
5. 未动态验证</x:v>
      </x:c>
    </x:row>
    <x:row r="144" ht="54" customHeight="1">
      <x:c r="A144" s="4" t="n">
        <x:v>143</x:v>
      </x:c>
      <x:c r="B144" s="4" t="str">
        <x:v>UPROF-0122</x:v>
      </x:c>
      <x:c r="C144" s="4" t="str">
        <x:v>个人中心</x:v>
      </x:c>
      <x:c r="D144" s="4" t="str">
        <x:v>资料编辑（用户视角）</x:v>
      </x:c>
      <x:c r="E144" s="4" t="str">
        <x:v>功能需求</x:v>
      </x:c>
      <x:c r="F144" s="4" t="str">
        <x:v>P2</x:v>
      </x:c>
      <x:c r="G144" s="4" t="str">
        <x:v>验证资料编辑可查看签名</x:v>
      </x:c>
      <x:c r="H144" s="4" t="str">
        <x:v>签名展示</x:v>
      </x:c>
      <x:c r="I144" s="4" t="str">
        <x:v>1. 用户账号已登录且具备当前页面权限</x:v>
      </x:c>
      <x:c r="J144" s="4" t="str">
        <x:v>1. 进入资料编辑
2. 查看签名</x:v>
      </x:c>
      <x:c r="K144" s="4" t="str">
        <x:v>资料编辑显示“签名”</x:v>
      </x:c>
      <x:c r="L144" s="4" t="str"/>
      <x:c r="M144" s="4" t="str">
        <x:v>未测</x:v>
      </x:c>
      <x:c r="N144" s="4" t="str"/>
      <x:c r="O144" s="4" t="str">
        <x:v>1. 来源（原型批注）：liveshow-proto/prototype/annotations/user.js；profile-edit.html
2. 页面：profile-edit.html
3. 规则：BR-27B90AD4AECEC5
4. 场景：SC-85DEF7BEC2FE61
5. 未动态验证</x:v>
      </x:c>
    </x:row>
    <x:row r="145" ht="54" customHeight="1">
      <x:c r="A145" s="4" t="n">
        <x:v>144</x:v>
      </x:c>
      <x:c r="B145" s="4" t="str">
        <x:v>UPROF-0123</x:v>
      </x:c>
      <x:c r="C145" s="4" t="str">
        <x:v>个人中心</x:v>
      </x:c>
      <x:c r="D145" s="4" t="str">
        <x:v>资料编辑（用户视角）</x:v>
      </x:c>
      <x:c r="E145" s="4" t="str">
        <x:v>功能需求</x:v>
      </x:c>
      <x:c r="F145" s="4" t="str">
        <x:v>P2</x:v>
      </x:c>
      <x:c r="G145" s="4" t="str">
        <x:v>验证资料编辑可查看生日</x:v>
      </x:c>
      <x:c r="H145" s="4" t="str">
        <x:v>生日展示</x:v>
      </x:c>
      <x:c r="I145" s="4" t="str">
        <x:v>1. 用户账号已登录且具备当前页面权限</x:v>
      </x:c>
      <x:c r="J145" s="4" t="str">
        <x:v>1. 进入资料编辑
2. 查看生日</x:v>
      </x:c>
      <x:c r="K145" s="4" t="str">
        <x:v>资料编辑显示“生日”</x:v>
      </x:c>
      <x:c r="L145" s="4" t="str"/>
      <x:c r="M145" s="4" t="str">
        <x:v>未测</x:v>
      </x:c>
      <x:c r="N145" s="4" t="str"/>
      <x:c r="O145" s="4" t="str">
        <x:v>1. 来源（原型批注）：liveshow-proto/prototype/annotations/user.js；profile-edit.html
2. 页面：profile-edit.html
3. 规则：BR-A16953CDF2C463
4. 场景：SC-43708DD8788F58
5. 未动态验证</x:v>
      </x:c>
    </x:row>
    <x:row r="146" ht="54" customHeight="1">
      <x:c r="A146" s="4" t="n">
        <x:v>145</x:v>
      </x:c>
      <x:c r="B146" s="4" t="str">
        <x:v>UPROF-0124</x:v>
      </x:c>
      <x:c r="C146" s="4" t="str">
        <x:v>个人中心</x:v>
      </x:c>
      <x:c r="D146" s="4" t="str">
        <x:v>资料编辑（用户视角）</x:v>
      </x:c>
      <x:c r="E146" s="4" t="str">
        <x:v>功能需求</x:v>
      </x:c>
      <x:c r="F146" s="4" t="str">
        <x:v>P2</x:v>
      </x:c>
      <x:c r="G146" s="4" t="str">
        <x:v>验证资料编辑可查看头像</x:v>
      </x:c>
      <x:c r="H146" s="4" t="str">
        <x:v>头像展示</x:v>
      </x:c>
      <x:c r="I146" s="4" t="str">
        <x:v>1. 用户账号已登录且具备当前页面权限</x:v>
      </x:c>
      <x:c r="J146" s="4" t="str">
        <x:v>1. 进入资料编辑
2. 查看头像</x:v>
      </x:c>
      <x:c r="K146" s="4" t="str">
        <x:v>资料编辑显示“头像”</x:v>
      </x:c>
      <x:c r="L146" s="4" t="str"/>
      <x:c r="M146" s="4" t="str">
        <x:v>未测</x:v>
      </x:c>
      <x:c r="N146" s="4" t="str"/>
      <x:c r="O146" s="4" t="str">
        <x:v>1. 来源（原型批注）：liveshow-proto/prototype/annotations/user.js；profile-edit.html
2. 页面：profile-edit.html
3. 规则：BR-6C0E2A28C6809E、BR-651D6D18270D50
4. 场景：SC-FEAFB9E5B1F7ED
5. 未动态验证</x:v>
      </x:c>
    </x:row>
    <x:row r="147" ht="54" customHeight="1">
      <x:c r="A147" s="4" t="n">
        <x:v>146</x:v>
      </x:c>
      <x:c r="B147" s="4" t="str">
        <x:v>UPROF-0125</x:v>
      </x:c>
      <x:c r="C147" s="4" t="str">
        <x:v>个人中心</x:v>
      </x:c>
      <x:c r="D147" s="4" t="str">
        <x:v>资料编辑（用户视角）</x:v>
      </x:c>
      <x:c r="E147" s="4" t="str">
        <x:v>功能需求</x:v>
      </x:c>
      <x:c r="F147" s="4" t="str">
        <x:v>P2</x:v>
      </x:c>
      <x:c r="G147" s="4" t="str">
        <x:v>验证资料编辑可查看性别</x:v>
      </x:c>
      <x:c r="H147" s="4" t="str">
        <x:v>性别展示</x:v>
      </x:c>
      <x:c r="I147" s="4" t="str">
        <x:v>1. 用户账号已登录且具备当前页面权限</x:v>
      </x:c>
      <x:c r="J147" s="4" t="str">
        <x:v>1. 进入资料编辑
2. 查看性别</x:v>
      </x:c>
      <x:c r="K147" s="4" t="str">
        <x:v>资料编辑显示“性别”</x:v>
      </x:c>
      <x:c r="L147" s="4" t="str"/>
      <x:c r="M147" s="4" t="str">
        <x:v>未测</x:v>
      </x:c>
      <x:c r="N147" s="4" t="str"/>
      <x:c r="O147" s="4" t="str">
        <x:v>1. 来源（原型批注）：liveshow-proto/prototype/annotations/user.js；profile-edit.html
2. 页面：profile-edit.html
3. 规则：BR-C7B08F1AE2142A
4. 场景：SC-9143F3778453C4
5. 未动态验证</x:v>
      </x:c>
    </x:row>
    <x:row r="148" ht="54" customHeight="1">
      <x:c r="A148" s="4" t="n">
        <x:v>147</x:v>
      </x:c>
      <x:c r="B148" s="4" t="str">
        <x:v>UPROF-0126</x:v>
      </x:c>
      <x:c r="C148" s="4" t="str">
        <x:v>个人中心</x:v>
      </x:c>
      <x:c r="D148" s="4" t="str">
        <x:v>资料编辑（用户视角）</x:v>
      </x:c>
      <x:c r="E148" s="4" t="str">
        <x:v>功能需求</x:v>
      </x:c>
      <x:c r="F148" s="4" t="str">
        <x:v>P2</x:v>
      </x:c>
      <x:c r="G148" s="4" t="str">
        <x:v>验证资料编辑可查看用户 ID</x:v>
      </x:c>
      <x:c r="H148" s="4" t="str">
        <x:v>用户 ID展示</x:v>
      </x:c>
      <x:c r="I148" s="4" t="str">
        <x:v>1. 用户账号已登录且具备当前页面权限</x:v>
      </x:c>
      <x:c r="J148" s="4" t="str">
        <x:v>1. 进入资料编辑
2. 查看用户 ID</x:v>
      </x:c>
      <x:c r="K148" s="4" t="str">
        <x:v>资料编辑显示“用户 ID”</x:v>
      </x:c>
      <x:c r="L148" s="4" t="str"/>
      <x:c r="M148" s="4" t="str">
        <x:v>未测</x:v>
      </x:c>
      <x:c r="N148" s="4" t="str"/>
      <x:c r="O148" s="4" t="str">
        <x:v>1. 来源（原型批注）：liveshow-proto/prototype/annotations/user.js；profile-edit.html
2. 页面：profile-edit.html
3. 规则：BR-A0C589FDEB9914
4. 场景：SC-F8F5525C23CB10
5. 未动态验证</x:v>
      </x:c>
    </x:row>
    <x:row r="149" ht="54" customHeight="1">
      <x:c r="A149" s="4" t="n">
        <x:v>148</x:v>
      </x:c>
      <x:c r="B149" s="4" t="str">
        <x:v>UGUILD-0001</x:v>
      </x:c>
      <x:c r="C149" s="4" t="str">
        <x:v>公会</x:v>
      </x:c>
      <x:c r="D149" s="4" t="str">
        <x:v>公会详情（用户视角）</x:v>
      </x:c>
      <x:c r="E149" s="4" t="str">
        <x:v>业务流程</x:v>
      </x:c>
      <x:c r="F149" s="4" t="str">
        <x:v>P2</x:v>
      </x:c>
      <x:c r="G149" s="4" t="str">
        <x:v>验证点击返回后的公会详情状态</x:v>
      </x:c>
      <x:c r="H149" s="4" t="str">
        <x:v>公会详情状态</x:v>
      </x:c>
      <x:c r="I149" s="4" t="str">
        <x:v>1. 用户账号已登录且具备当前页面权限</x:v>
      </x:c>
      <x:c r="J149" s="4" t="str">
        <x:v>1. 进入公会详情
2. 点击返回</x:v>
      </x:c>
      <x:c r="K149" s="4" t="str">
        <x:v>进入我的公会 P032</x:v>
      </x:c>
      <x:c r="L149" s="4" t="str"/>
      <x:c r="M149" s="4" t="str">
        <x:v>未测</x:v>
      </x:c>
      <x:c r="N149" s="4" t="str"/>
      <x:c r="O149" s="4" t="str">
        <x:v>1. 来源（原型批注）：liveshow-proto/prototype/annotations/user.js；guild-detail.html
2. 页面：guild-detail.html
3. 规则：BR-AEC9C1B8E14A58
4. 场景：SC-BA7734F58CAFF8
5. 未动态验证</x:v>
      </x:c>
    </x:row>
    <x:row r="150" ht="54" customHeight="1">
      <x:c r="A150" s="4" t="n">
        <x:v>149</x:v>
      </x:c>
      <x:c r="B150" s="4" t="str">
        <x:v>UGUILD-0002</x:v>
      </x:c>
      <x:c r="C150" s="4" t="str">
        <x:v>公会</x:v>
      </x:c>
      <x:c r="D150" s="4" t="str">
        <x:v>公会详情（用户视角）</x:v>
      </x:c>
      <x:c r="E150" s="4" t="str">
        <x:v>逻辑校验</x:v>
      </x:c>
      <x:c r="F150" s="4" t="str">
        <x:v>P2</x:v>
      </x:c>
      <x:c r="G150" s="4" t="str">
        <x:v>验证公会详情按指定范围筛选</x:v>
      </x:c>
      <x:c r="H150" s="4" t="str">
        <x:v>公会详情数据范围</x:v>
      </x:c>
      <x:c r="I150" s="4" t="str">
        <x:v>1. 用户账号已登录且具备当前页面权限
2. 存在符合和不符合“当前账号与所选公会的关系及全部入会、退出申请”的记录</x:v>
      </x:c>
      <x:c r="J150" s="4" t="str">
        <x:v>1. 进入公会详情
2. 查看公会详情</x:v>
      </x:c>
      <x:c r="K150" s="4" t="str">
        <x:v>数据范围：当前账号与所选公会的关系及全部入会、退出申请</x:v>
      </x:c>
      <x:c r="L150" s="4" t="str"/>
      <x:c r="M150" s="4" t="str">
        <x:v>未测</x:v>
      </x:c>
      <x:c r="N150" s="4" t="str"/>
      <x:c r="O150" s="4" t="str">
        <x:v>1. 来源（原型批注）：liveshow-proto/prototype/annotations/user.js；guild-detail.html
2. 页面：guild-detail.html
3. 规则：BR-341B6B9815E7FA
4. 场景：SC-7BF30548C85CE3
5. 未动态验证</x:v>
      </x:c>
    </x:row>
    <x:row r="151" ht="54" customHeight="1">
      <x:c r="A151" s="4" t="n">
        <x:v>150</x:v>
      </x:c>
      <x:c r="B151" s="4" t="str">
        <x:v>UGUILD-0003</x:v>
      </x:c>
      <x:c r="C151" s="4" t="str">
        <x:v>公会</x:v>
      </x:c>
      <x:c r="D151" s="4" t="str">
        <x:v>公会详情（用户视角）</x:v>
      </x:c>
      <x:c r="E151" s="4" t="str">
        <x:v>功能需求</x:v>
      </x:c>
      <x:c r="F151" s="4" t="str">
        <x:v>P2</x:v>
      </x:c>
      <x:c r="G151" s="4" t="str">
        <x:v>验证公会详情的默认状态</x:v>
      </x:c>
      <x:c r="H151" s="4" t="str">
        <x:v>公会详情默认值</x:v>
      </x:c>
      <x:c r="I151" s="4" t="str">
        <x:v>1. 用户账号已登录且具备当前页面权限</x:v>
      </x:c>
      <x:c r="J151" s="4" t="str">
        <x:v>1. 进入公会详情
2. 查看公会详情</x:v>
      </x:c>
      <x:c r="K151" s="4" t="str">
        <x:v>每张加入申请单的申请资料默认收起</x:v>
      </x:c>
      <x:c r="L151" s="4" t="str"/>
      <x:c r="M151" s="4" t="str">
        <x:v>未测</x:v>
      </x:c>
      <x:c r="N151" s="4" t="str"/>
      <x:c r="O151" s="4" t="str">
        <x:v>1. 来源（原型批注）：liveshow-proto/prototype/annotations/user.js；guild-detail.html
2. 页面：guild-detail.html
3. 规则：BR-10E59C90196660
4. 场景：SC-A3C9B24DFF0F01
5. 未动态验证</x:v>
      </x:c>
    </x:row>
    <x:row r="152" ht="54" customHeight="1">
      <x:c r="A152" s="4" t="n">
        <x:v>151</x:v>
      </x:c>
      <x:c r="B152" s="4" t="str">
        <x:v>UGUILD-0004</x:v>
      </x:c>
      <x:c r="C152" s="4" t="str">
        <x:v>公会</x:v>
      </x:c>
      <x:c r="D152" s="4" t="str">
        <x:v>公会详情（用户视角）</x:v>
      </x:c>
      <x:c r="E152" s="4" t="str">
        <x:v>功能需求</x:v>
      </x:c>
      <x:c r="F152" s="4" t="str">
        <x:v>P2</x:v>
      </x:c>
      <x:c r="G152" s="4" t="str">
        <x:v>验证公会详情可查看本人照片</x:v>
      </x:c>
      <x:c r="H152" s="4" t="str">
        <x:v>本人照片展示</x:v>
      </x:c>
      <x:c r="I152" s="4" t="str">
        <x:v>1. 用户账号已登录且具备当前页面权限</x:v>
      </x:c>
      <x:c r="J152" s="4" t="str">
        <x:v>1. 进入公会详情
2. 查看本人照片</x:v>
      </x:c>
      <x:c r="K152" s="4" t="str">
        <x:v>公会详情显示“本人照片”</x:v>
      </x:c>
      <x:c r="L152" s="4" t="str"/>
      <x:c r="M152" s="4" t="str">
        <x:v>未测</x:v>
      </x:c>
      <x:c r="N152" s="4" t="str"/>
      <x:c r="O152" s="4" t="str">
        <x:v>1. 来源（原型批注）：liveshow-proto/prototype/annotations/user.js；guild-detail.html
2. 页面：guild-detail.html
3. 规则：BR-5F094008A684C4
4. 场景：SC-FCAFF754D92987
5. 未动态验证</x:v>
      </x:c>
    </x:row>
    <x:row r="153" ht="54" customHeight="1">
      <x:c r="A153" s="4" t="n">
        <x:v>152</x:v>
      </x:c>
      <x:c r="B153" s="4" t="str">
        <x:v>UGUILD-0005</x:v>
      </x:c>
      <x:c r="C153" s="4" t="str">
        <x:v>公会</x:v>
      </x:c>
      <x:c r="D153" s="4" t="str">
        <x:v>公会详情（用户视角）</x:v>
      </x:c>
      <x:c r="E153" s="4" t="str">
        <x:v>功能需求</x:v>
      </x:c>
      <x:c r="F153" s="4" t="str">
        <x:v>P2</x:v>
      </x:c>
      <x:c r="G153" s="4" t="str">
        <x:v>验证公会详情可查看驳回</x:v>
      </x:c>
      <x:c r="H153" s="4" t="str">
        <x:v>驳回展示</x:v>
      </x:c>
      <x:c r="I153" s="4" t="str">
        <x:v>1. 用户账号已登录且具备当前页面权限</x:v>
      </x:c>
      <x:c r="J153" s="4" t="str">
        <x:v>1. 进入公会详情
2. 查看驳回</x:v>
      </x:c>
      <x:c r="K153" s="4" t="str">
        <x:v>公会详情显示“驳回”</x:v>
      </x:c>
      <x:c r="L153" s="4" t="str"/>
      <x:c r="M153" s="4" t="str">
        <x:v>未测</x:v>
      </x:c>
      <x:c r="N153" s="4" t="str"/>
      <x:c r="O153" s="4" t="str">
        <x:v>1. 来源（原型批注）：liveshow-proto/prototype/annotations/user.js；guild-detail.html
2. 页面：guild-detail.html
3. 规则：BR-4BD38DA781543D
4. 场景：SC-DDC3651339DFCA
5. 未动态验证</x:v>
      </x:c>
    </x:row>
    <x:row r="154" ht="54" customHeight="1">
      <x:c r="A154" s="4" t="n">
        <x:v>153</x:v>
      </x:c>
      <x:c r="B154" s="4" t="str">
        <x:v>UGUILD-0006</x:v>
      </x:c>
      <x:c r="C154" s="4" t="str">
        <x:v>公会</x:v>
      </x:c>
      <x:c r="D154" s="4" t="str">
        <x:v>公会详情（用户视角）</x:v>
      </x:c>
      <x:c r="E154" s="4" t="str">
        <x:v>功能需求</x:v>
      </x:c>
      <x:c r="F154" s="4" t="str">
        <x:v>P2</x:v>
      </x:c>
      <x:c r="G154" s="4" t="str">
        <x:v>验证公会详情可查看处理时间</x:v>
      </x:c>
      <x:c r="H154" s="4" t="str">
        <x:v>处理时间展示</x:v>
      </x:c>
      <x:c r="I154" s="4" t="str">
        <x:v>1. 用户账号已登录且具备当前页面权限</x:v>
      </x:c>
      <x:c r="J154" s="4" t="str">
        <x:v>1. 进入公会详情
2. 查看处理时间</x:v>
      </x:c>
      <x:c r="K154" s="4" t="str">
        <x:v>公会详情显示“处理时间”</x:v>
      </x:c>
      <x:c r="L154" s="4" t="str"/>
      <x:c r="M154" s="4" t="str">
        <x:v>未测</x:v>
      </x:c>
      <x:c r="N154" s="4" t="str"/>
      <x:c r="O154" s="4" t="str">
        <x:v>1. 来源（原型批注）：liveshow-proto/prototype/annotations/user.js；guild-detail.html
2. 页面：guild-detail.html
3. 规则：BR-0CFF66AB60C1AF
4. 场景：SC-66AAFE488AA1E5
5. 未动态验证</x:v>
      </x:c>
    </x:row>
    <x:row r="155" ht="54" customHeight="1">
      <x:c r="A155" s="4" t="n">
        <x:v>154</x:v>
      </x:c>
      <x:c r="B155" s="4" t="str">
        <x:v>UGUILD-0007</x:v>
      </x:c>
      <x:c r="C155" s="4" t="str">
        <x:v>公会</x:v>
      </x:c>
      <x:c r="D155" s="4" t="str">
        <x:v>公会详情（用户视角）</x:v>
      </x:c>
      <x:c r="E155" s="4" t="str">
        <x:v>功能需求</x:v>
      </x:c>
      <x:c r="F155" s="4" t="str">
        <x:v>P2</x:v>
      </x:c>
      <x:c r="G155" s="4" t="str">
        <x:v>验证公会详情可查看公会头像 / 名称 / ID</x:v>
      </x:c>
      <x:c r="H155" s="4" t="str">
        <x:v>公会头像 / 名称 / ID展示</x:v>
      </x:c>
      <x:c r="I155" s="4" t="str">
        <x:v>1. 用户账号已登录且具备当前页面权限</x:v>
      </x:c>
      <x:c r="J155" s="4" t="str">
        <x:v>1. 进入公会详情
2. 查看公会头像 / 名称 / ID</x:v>
      </x:c>
      <x:c r="K155" s="4" t="str">
        <x:v>公会详情显示“公会头像 / 名称 / ID”</x:v>
      </x:c>
      <x:c r="L155" s="4" t="str"/>
      <x:c r="M155" s="4" t="str">
        <x:v>未测</x:v>
      </x:c>
      <x:c r="N155" s="4" t="str"/>
      <x:c r="O155" s="4" t="str">
        <x:v>1. 来源（原型批注）：liveshow-proto/prototype/annotations/user.js；guild-detail.html
2. 页面：guild-detail.html
3. 规则：BR-DDD90AB3800114
4. 场景：SC-5F3440BF51C74D
5. 未动态验证</x:v>
      </x:c>
    </x:row>
    <x:row r="156" ht="54" customHeight="1">
      <x:c r="A156" s="4" t="n">
        <x:v>155</x:v>
      </x:c>
      <x:c r="B156" s="4" t="str">
        <x:v>UGUILD-0008</x:v>
      </x:c>
      <x:c r="C156" s="4" t="str">
        <x:v>公会</x:v>
      </x:c>
      <x:c r="D156" s="4" t="str">
        <x:v>公会详情（用户视角）</x:v>
      </x:c>
      <x:c r="E156" s="4" t="str">
        <x:v>功能需求</x:v>
      </x:c>
      <x:c r="F156" s="4" t="str">
        <x:v>P2</x:v>
      </x:c>
      <x:c r="G156" s="4" t="str">
        <x:v>验证公会详情可查看关系状态</x:v>
      </x:c>
      <x:c r="H156" s="4" t="str">
        <x:v>关系状态展示</x:v>
      </x:c>
      <x:c r="I156" s="4" t="str">
        <x:v>1. 用户账号已登录且具备当前页面权限</x:v>
      </x:c>
      <x:c r="J156" s="4" t="str">
        <x:v>1. 进入公会详情
2. 查看关系状态</x:v>
      </x:c>
      <x:c r="K156" s="4" t="str">
        <x:v>公会详情显示“关系状态”</x:v>
      </x:c>
      <x:c r="L156" s="4" t="str"/>
      <x:c r="M156" s="4" t="str">
        <x:v>未测</x:v>
      </x:c>
      <x:c r="N156" s="4" t="str"/>
      <x:c r="O156" s="4" t="str">
        <x:v>1. 来源（原型批注）：liveshow-proto/prototype/annotations/user.js；guild-detail.html
2. 页面：guild-detail.html
3. 规则：BR-64C8493644D711
4. 场景：SC-4EFEF87C0188CE
5. 未动态验证</x:v>
      </x:c>
    </x:row>
    <x:row r="157" ht="54" customHeight="1">
      <x:c r="A157" s="4" t="n">
        <x:v>156</x:v>
      </x:c>
      <x:c r="B157" s="4" t="str">
        <x:v>UGUILD-0009</x:v>
      </x:c>
      <x:c r="C157" s="4" t="str">
        <x:v>公会</x:v>
      </x:c>
      <x:c r="D157" s="4" t="str">
        <x:v>公会详情（用户视角）</x:v>
      </x:c>
      <x:c r="E157" s="4" t="str">
        <x:v>功能需求</x:v>
      </x:c>
      <x:c r="F157" s="4" t="str">
        <x:v>P2</x:v>
      </x:c>
      <x:c r="G157" s="4" t="str">
        <x:v>验证公会详情可查看申请</x:v>
      </x:c>
      <x:c r="H157" s="4" t="str">
        <x:v>申请展示</x:v>
      </x:c>
      <x:c r="I157" s="4" t="str">
        <x:v>1. 用户账号已登录且具备当前页面权限</x:v>
      </x:c>
      <x:c r="J157" s="4" t="str">
        <x:v>1. 进入公会详情
2. 查看申请</x:v>
      </x:c>
      <x:c r="K157" s="4" t="str">
        <x:v>公会详情显示“申请”</x:v>
      </x:c>
      <x:c r="L157" s="4" t="str"/>
      <x:c r="M157" s="4" t="str">
        <x:v>未测</x:v>
      </x:c>
      <x:c r="N157" s="4" t="str"/>
      <x:c r="O157" s="4" t="str">
        <x:v>1. 来源（原型批注）：liveshow-proto/prototype/annotations/user.js；guild-detail.html
2. 页面：guild-detail.html
3. 规则：BR-DBAB814684AD0D、BR-E2E135A12254F5
4. 场景：SC-84685175D6AD44
5. 未动态验证</x:v>
      </x:c>
    </x:row>
    <x:row r="158" ht="54" customHeight="1">
      <x:c r="A158" s="4" t="n">
        <x:v>157</x:v>
      </x:c>
      <x:c r="B158" s="4" t="str">
        <x:v>UGUILD-0010</x:v>
      </x:c>
      <x:c r="C158" s="4" t="str">
        <x:v>公会</x:v>
      </x:c>
      <x:c r="D158" s="4" t="str">
        <x:v>公会详情（用户视角）</x:v>
      </x:c>
      <x:c r="E158" s="4" t="str">
        <x:v>功能需求</x:v>
      </x:c>
      <x:c r="F158" s="4" t="str">
        <x:v>P2</x:v>
      </x:c>
      <x:c r="G158" s="4" t="str">
        <x:v>验证公会详情可查看申请类型 / 状态</x:v>
      </x:c>
      <x:c r="H158" s="4" t="str">
        <x:v>申请类型 / 状态展示</x:v>
      </x:c>
      <x:c r="I158" s="4" t="str">
        <x:v>1. 用户账号已登录且具备当前页面权限</x:v>
      </x:c>
      <x:c r="J158" s="4" t="str">
        <x:v>1. 进入公会详情
2. 查看申请类型 / 状态</x:v>
      </x:c>
      <x:c r="K158" s="4" t="str">
        <x:v>公会详情显示“申请类型 / 状态”</x:v>
      </x:c>
      <x:c r="L158" s="4" t="str"/>
      <x:c r="M158" s="4" t="str">
        <x:v>未测</x:v>
      </x:c>
      <x:c r="N158" s="4" t="str"/>
      <x:c r="O158" s="4" t="str">
        <x:v>1. 来源（原型批注）：liveshow-proto/prototype/annotations/user.js；guild-detail.html
2. 页面：guild-detail.html
3. 规则：BR-2F819D9D2BEEF5
4. 场景：SC-EB63362AB0BF7B
5. 未动态验证</x:v>
      </x:c>
    </x:row>
    <x:row r="159" ht="54" customHeight="1">
      <x:c r="A159" s="4" t="n">
        <x:v>158</x:v>
      </x:c>
      <x:c r="B159" s="4" t="str">
        <x:v>UGUILD-0011</x:v>
      </x:c>
      <x:c r="C159" s="4" t="str">
        <x:v>公会</x:v>
      </x:c>
      <x:c r="D159" s="4" t="str">
        <x:v>公会详情（用户视角）</x:v>
      </x:c>
      <x:c r="E159" s="4" t="str">
        <x:v>功能需求</x:v>
      </x:c>
      <x:c r="F159" s="4" t="str">
        <x:v>P2</x:v>
      </x:c>
      <x:c r="G159" s="4" t="str">
        <x:v>验证公会详情可查看提交时间</x:v>
      </x:c>
      <x:c r="H159" s="4" t="str">
        <x:v>提交时间展示</x:v>
      </x:c>
      <x:c r="I159" s="4" t="str">
        <x:v>1. 用户账号已登录且具备当前页面权限</x:v>
      </x:c>
      <x:c r="J159" s="4" t="str">
        <x:v>1. 进入公会详情
2. 查看提交时间</x:v>
      </x:c>
      <x:c r="K159" s="4" t="str">
        <x:v>公会详情显示“提交时间”</x:v>
      </x:c>
      <x:c r="L159" s="4" t="str"/>
      <x:c r="M159" s="4" t="str">
        <x:v>未测</x:v>
      </x:c>
      <x:c r="N159" s="4" t="str"/>
      <x:c r="O159" s="4" t="str">
        <x:v>1. 来源（原型批注）：liveshow-proto/prototype/annotations/user.js；guild-detail.html
2. 页面：guild-detail.html
3. 规则：BR-B80A0DDA7BD528
4. 场景：SC-693898EDDD0AE8
5. 未动态验证</x:v>
      </x:c>
    </x:row>
    <x:row r="160" ht="54" customHeight="1">
      <x:c r="A160" s="4" t="n">
        <x:v>159</x:v>
      </x:c>
      <x:c r="B160" s="4" t="str">
        <x:v>UGUILD-0012</x:v>
      </x:c>
      <x:c r="C160" s="4" t="str">
        <x:v>公会</x:v>
      </x:c>
      <x:c r="D160" s="4" t="str">
        <x:v>公会详情（用户视角）</x:v>
      </x:c>
      <x:c r="E160" s="4" t="str">
        <x:v>功能需求</x:v>
      </x:c>
      <x:c r="F160" s="4" t="str">
        <x:v>P2</x:v>
      </x:c>
      <x:c r="G160" s="4" t="str">
        <x:v>验证公会详情可查看姓名 / 电话</x:v>
      </x:c>
      <x:c r="H160" s="4" t="str">
        <x:v>姓名 / 电话展示</x:v>
      </x:c>
      <x:c r="I160" s="4" t="str">
        <x:v>1. 用户账号已登录且具备当前页面权限</x:v>
      </x:c>
      <x:c r="J160" s="4" t="str">
        <x:v>1. 进入公会详情
2. 查看姓名 / 电话</x:v>
      </x:c>
      <x:c r="K160" s="4" t="str">
        <x:v>公会详情显示“姓名 / 电话”</x:v>
      </x:c>
      <x:c r="L160" s="4" t="str"/>
      <x:c r="M160" s="4" t="str">
        <x:v>未测</x:v>
      </x:c>
      <x:c r="N160" s="4" t="str"/>
      <x:c r="O160" s="4" t="str">
        <x:v>1. 来源（原型批注）：liveshow-proto/prototype/annotations/user.js；guild-detail.html
2. 页面：guild-detail.html
3. 规则：BR-862E0C6ACAF4AF
4. 场景：SC-E7CA2F5A50853F
5. 未动态验证</x:v>
      </x:c>
    </x:row>
    <x:row r="161" ht="54" customHeight="1">
      <x:c r="A161" s="4" t="n">
        <x:v>160</x:v>
      </x:c>
      <x:c r="B161" s="4" t="str">
        <x:v>UGUILD-0013</x:v>
      </x:c>
      <x:c r="C161" s="4" t="str">
        <x:v>公会</x:v>
      </x:c>
      <x:c r="D161" s="4" t="str">
        <x:v>公会详情（用户视角）</x:v>
      </x:c>
      <x:c r="E161" s="4" t="str">
        <x:v>功能需求</x:v>
      </x:c>
      <x:c r="F161" s="4" t="str">
        <x:v>P2</x:v>
      </x:c>
      <x:c r="G161" s="4" t="str">
        <x:v>验证公会详情可查看证件类型 / 正反面照片</x:v>
      </x:c>
      <x:c r="H161" s="4" t="str">
        <x:v>证件类型 / 正反面照片展示</x:v>
      </x:c>
      <x:c r="I161" s="4" t="str">
        <x:v>1. 用户账号已登录且具备当前页面权限</x:v>
      </x:c>
      <x:c r="J161" s="4" t="str">
        <x:v>1. 进入公会详情
2. 查看证件类型 / 正反面照片</x:v>
      </x:c>
      <x:c r="K161" s="4" t="str">
        <x:v>公会详情显示“证件类型 / 正反面照片”</x:v>
      </x:c>
      <x:c r="L161" s="4" t="str"/>
      <x:c r="M161" s="4" t="str">
        <x:v>未测</x:v>
      </x:c>
      <x:c r="N161" s="4" t="str"/>
      <x:c r="O161" s="4" t="str">
        <x:v>1. 来源（原型批注）：liveshow-proto/prototype/annotations/user.js；guild-detail.html
2. 页面：guild-detail.html
3. 规则：BR-EA3F95D49DE93C
4. 场景：SC-DC25D50D9C13F5
5. 未动态验证</x:v>
      </x:c>
    </x:row>
    <x:row r="162" ht="54" customHeight="1">
      <x:c r="A162" s="4" t="n">
        <x:v>161</x:v>
      </x:c>
      <x:c r="B162" s="4" t="str">
        <x:v>UGUILD-0014</x:v>
      </x:c>
      <x:c r="C162" s="4" t="str">
        <x:v>公会</x:v>
      </x:c>
      <x:c r="D162" s="4" t="str">
        <x:v>公会详情（用户视角）</x:v>
      </x:c>
      <x:c r="E162" s="4" t="str">
        <x:v>功能需求</x:v>
      </x:c>
      <x:c r="F162" s="4" t="str">
        <x:v>P2</x:v>
      </x:c>
      <x:c r="G162" s="4" t="str">
        <x:v>验证每条时间轴卡片时的公会详情结果</x:v>
      </x:c>
      <x:c r="H162" s="4" t="str">
        <x:v>公会详情条件结果</x:v>
      </x:c>
      <x:c r="I162" s="4" t="str">
        <x:v>1. 用户账号已登录且具备当前页面权限
2. 每条时间轴卡片</x:v>
      </x:c>
      <x:c r="J162" s="4" t="str">
        <x:v>1. 进入公会详情
2. 查看公会详情</x:v>
      </x:c>
      <x:c r="K162" s="4" t="str">
        <x:v>每条时间轴卡片展示加入或退出申请及其处理状态</x:v>
      </x:c>
      <x:c r="L162" s="4" t="str"/>
      <x:c r="M162" s="4" t="str">
        <x:v>未测</x:v>
      </x:c>
      <x:c r="N162" s="4" t="str"/>
      <x:c r="O162" s="4" t="str">
        <x:v>1. 来源（原型批注）：liveshow-proto/prototype/annotations/user.js；guild-detail.html
2. 页面：guild-detail.html
3. 规则：BR-2F819D9D2BEEF5
4. 场景：SC-23F5212A06BD5F
5. 未动态验证</x:v>
      </x:c>
    </x:row>
    <x:row r="163" ht="54" customHeight="1">
      <x:c r="A163" s="4" t="n">
        <x:v>162</x:v>
      </x:c>
      <x:c r="B163" s="4" t="str">
        <x:v>UGUILD-0015</x:v>
      </x:c>
      <x:c r="C163" s="4" t="str">
        <x:v>公会</x:v>
      </x:c>
      <x:c r="D163" s="4" t="str">
        <x:v>公会详情（用户视角）</x:v>
      </x:c>
      <x:c r="E163" s="4" t="str">
        <x:v>功能需求</x:v>
      </x:c>
      <x:c r="F163" s="4" t="str">
        <x:v>P2</x:v>
      </x:c>
      <x:c r="G163" s="4" t="str">
        <x:v>验证排序：申请时间轴按提交时间倒序时的公会详情结果</x:v>
      </x:c>
      <x:c r="H163" s="4" t="str">
        <x:v>公会详情条件结果</x:v>
      </x:c>
      <x:c r="I163" s="4" t="str">
        <x:v>1. 用户账号已登录且具备当前页面权限
2. 排序：申请时间轴按提交时间倒序</x:v>
      </x:c>
      <x:c r="J163" s="4" t="str">
        <x:v>1. 进入公会详情
2. 查看公会详情</x:v>
      </x:c>
      <x:c r="K163" s="4" t="str">
        <x:v>排序：申请时间轴按提交时间倒序展示</x:v>
      </x:c>
      <x:c r="L163" s="4" t="str"/>
      <x:c r="M163" s="4" t="str">
        <x:v>未测</x:v>
      </x:c>
      <x:c r="N163" s="4" t="str"/>
      <x:c r="O163" s="4" t="str">
        <x:v>1. 来源（原型批注）：liveshow-proto/prototype/annotations/user.js；guild-detail.html
2. 页面：guild-detail.html
3. 规则：BR-306EA5A992AE1D
4. 场景：SC-19FDCCEE1EFFF9
5. 未动态验证</x:v>
      </x:c>
    </x:row>
    <x:row r="164" ht="54" customHeight="1">
      <x:c r="A164" s="4" t="n">
        <x:v>163</x:v>
      </x:c>
      <x:c r="B164" s="4" t="str">
        <x:v>UGUILD-0016</x:v>
      </x:c>
      <x:c r="C164" s="4" t="str">
        <x:v>公会</x:v>
      </x:c>
      <x:c r="D164" s="4" t="str">
        <x:v>公会详情（用户视角）</x:v>
      </x:c>
      <x:c r="E164" s="4" t="str">
        <x:v>功能需求</x:v>
      </x:c>
      <x:c r="F164" s="4" t="str">
        <x:v>P2</x:v>
      </x:c>
      <x:c r="G164" s="4" t="str">
        <x:v>验证其他状态时的公会详情结果</x:v>
      </x:c>
      <x:c r="H164" s="4" t="str">
        <x:v>公会详情条件结果</x:v>
      </x:c>
      <x:c r="I164" s="4" t="str">
        <x:v>1. 用户账号已登录且具备当前页面权限
2. 其他状态</x:v>
      </x:c>
      <x:c r="J164" s="4" t="str">
        <x:v>1. 进入公会详情
2. 查看公会详情</x:v>
      </x:c>
      <x:c r="K164" s="4" t="str">
        <x:v>其他状态不展示该入口</x:v>
      </x:c>
      <x:c r="L164" s="4" t="str"/>
      <x:c r="M164" s="4" t="str">
        <x:v>未测</x:v>
      </x:c>
      <x:c r="N164" s="4" t="str"/>
      <x:c r="O164" s="4" t="str">
        <x:v>1. 来源（原型批注）：liveshow-proto/prototype/annotations/user.js；guild-detail.html
2. 页面：guild-detail.html
3. 规则：BR-8230CE42C842AA
4. 场景：SC-10591173DD448F
5. 未动态验证</x:v>
      </x:c>
    </x:row>
    <x:row r="165" ht="54" customHeight="1">
      <x:c r="A165" s="4" t="n">
        <x:v>164</x:v>
      </x:c>
      <x:c r="B165" s="4" t="str">
        <x:v>UGUILD-0017</x:v>
      </x:c>
      <x:c r="C165" s="4" t="str">
        <x:v>公会</x:v>
      </x:c>
      <x:c r="D165" s="4" t="str">
        <x:v>公会详情（用户视角）</x:v>
      </x:c>
      <x:c r="E165" s="4" t="str">
        <x:v>业务流程</x:v>
      </x:c>
      <x:c r="F165" s="4" t="str">
        <x:v>P2</x:v>
      </x:c>
      <x:c r="G165" s="4" t="str">
        <x:v>验证退会通过后的公会详情状态</x:v>
      </x:c>
      <x:c r="H165" s="4" t="str">
        <x:v>公会详情状态</x:v>
      </x:c>
      <x:c r="I165" s="4" t="str">
        <x:v>1. 用户账号已登录且具备当前页面权限
2. 退会通过</x:v>
      </x:c>
      <x:c r="J165" s="4" t="str">
        <x:v>1. 进入公会详情
2. 刷新公会详情</x:v>
      </x:c>
      <x:c r="K165" s="4" t="str">
        <x:v>才变为已退出</x:v>
      </x:c>
      <x:c r="L165" s="4" t="str"/>
      <x:c r="M165" s="4" t="str">
        <x:v>未测</x:v>
      </x:c>
      <x:c r="N165" s="4" t="str"/>
      <x:c r="O165" s="4" t="str">
        <x:v>1. 来源（原型批注）：liveshow-proto/prototype/annotations/user.js；guild-detail.html
2. 页面：guild-detail.html
3. 规则：BR-C5E60045015074
4. 场景：SC-D5676501D5AD95
5. 未动态验证</x:v>
      </x:c>
    </x:row>
    <x:row r="166" ht="54" customHeight="1">
      <x:c r="A166" s="4" t="n">
        <x:v>165</x:v>
      </x:c>
      <x:c r="B166" s="4" t="str">
        <x:v>UGUILD-0018</x:v>
      </x:c>
      <x:c r="C166" s="4" t="str">
        <x:v>公会</x:v>
      </x:c>
      <x:c r="D166" s="4" t="str">
        <x:v>公会详情（用户视角）</x:v>
      </x:c>
      <x:c r="E166" s="4" t="str">
        <x:v>功能需求</x:v>
      </x:c>
      <x:c r="F166" s="4" t="str">
        <x:v>P2</x:v>
      </x:c>
      <x:c r="G166" s="4" t="str">
        <x:v>验证无内容时的公会详情结果</x:v>
      </x:c>
      <x:c r="H166" s="4" t="str">
        <x:v>公会详情条件结果</x:v>
      </x:c>
      <x:c r="I166" s="4" t="str">
        <x:v>1. 用户账号已登录且具备当前页面权限
2. 无内容</x:v>
      </x:c>
      <x:c r="J166" s="4" t="str">
        <x:v>1. 进入公会详情
2. 查看公会详情</x:v>
      </x:c>
      <x:c r="K166" s="4" t="str">
        <x:v>隐藏</x:v>
      </x:c>
      <x:c r="L166" s="4" t="str"/>
      <x:c r="M166" s="4" t="str">
        <x:v>未测</x:v>
      </x:c>
      <x:c r="N166" s="4" t="str"/>
      <x:c r="O166" s="4" t="str">
        <x:v>1. 来源（原型批注）：liveshow-proto/prototype/annotations/user.js；guild-detail.html
2. 页面：guild-detail.html
3. 规则：BR-E2E135A12254F5
4. 场景：SC-93658789B4E7BE
5. 未动态验证</x:v>
      </x:c>
    </x:row>
    <x:row r="167" ht="54" customHeight="1">
      <x:c r="A167" s="4" t="n">
        <x:v>166</x:v>
      </x:c>
      <x:c r="B167" s="4" t="str">
        <x:v>UGUILD-0019</x:v>
      </x:c>
      <x:c r="C167" s="4" t="str">
        <x:v>公会</x:v>
      </x:c>
      <x:c r="D167" s="4" t="str">
        <x:v>公会详情（用户视角）</x:v>
      </x:c>
      <x:c r="E167" s="4" t="str">
        <x:v>业务流程</x:v>
      </x:c>
      <x:c r="F167" s="4" t="str">
        <x:v>P2</x:v>
      </x:c>
      <x:c r="G167" s="4" t="str">
        <x:v>验证已加入且无处理中退会申请后的公会详情状态</x:v>
      </x:c>
      <x:c r="H167" s="4" t="str">
        <x:v>公会详情状态</x:v>
      </x:c>
      <x:c r="I167" s="4" t="str">
        <x:v>1. 用户账号已登录且具备当前页面权限
2. 已加入且无处理中退会申请</x:v>
      </x:c>
      <x:c r="J167" s="4" t="str">
        <x:v>1. 进入公会详情
2. 刷新公会详情</x:v>
      </x:c>
      <x:c r="K167" s="4" t="str">
        <x:v>展示“申请退出”</x:v>
      </x:c>
      <x:c r="L167" s="4" t="str"/>
      <x:c r="M167" s="4" t="str">
        <x:v>未测</x:v>
      </x:c>
      <x:c r="N167" s="4" t="str"/>
      <x:c r="O167" s="4" t="str">
        <x:v>1. 来源（原型批注）：liveshow-proto/prototype/annotations/user.js；guild-detail.html
2. 页面：guild-detail.html
3. 规则：BR-3DF423C52C2C25
4. 场景：SC-B0970A4B32AF36
5. 未动态验证</x:v>
      </x:c>
    </x:row>
    <x:row r="168" ht="54" customHeight="1">
      <x:c r="A168" s="4" t="n">
        <x:v>167</x:v>
      </x:c>
      <x:c r="B168" s="4" t="str">
        <x:v>UGUILD-0020</x:v>
      </x:c>
      <x:c r="C168" s="4" t="str">
        <x:v>公会</x:v>
      </x:c>
      <x:c r="D168" s="4" t="str">
        <x:v>公会中心（用户视角）</x:v>
      </x:c>
      <x:c r="E168" s="4" t="str">
        <x:v>功能需求</x:v>
      </x:c>
      <x:c r="F168" s="4" t="str">
        <x:v>P2</x:v>
      </x:c>
      <x:c r="G168" s="4" t="str">
        <x:v>验证存在处理中入会申请时的公会中心结果</x:v>
      </x:c>
      <x:c r="H168" s="4" t="str">
        <x:v>公会中心条件结果</x:v>
      </x:c>
      <x:c r="I168" s="4" t="str">
        <x:v>1. 用户账号已登录且具备当前页面权限
2. 存在处理中入会申请</x:v>
      </x:c>
      <x:c r="J168" s="4" t="str">
        <x:v>1. 进入公会中心
2. 查看公会中心</x:v>
      </x:c>
      <x:c r="K168" s="4" t="str">
        <x:v>不可再次申请其他公会</x:v>
      </x:c>
      <x:c r="L168" s="4" t="str"/>
      <x:c r="M168" s="4" t="str">
        <x:v>未测</x:v>
      </x:c>
      <x:c r="N168" s="4" t="str"/>
      <x:c r="O168" s="4" t="str">
        <x:v>1. 来源（原型批注）：liveshow-proto/prototype/annotations/user.js；guild-management.html
2. 页面：guild-management.html
3. 规则：BR-D6F7722E71A885
4. 场景：SC-2ED7147228B3FE
5. 未动态验证</x:v>
      </x:c>
    </x:row>
    <x:row r="169" ht="54" customHeight="1">
      <x:c r="A169" s="4" t="n">
        <x:v>168</x:v>
      </x:c>
      <x:c r="B169" s="4" t="str">
        <x:v>UGUILD-0021</x:v>
      </x:c>
      <x:c r="C169" s="4" t="str">
        <x:v>公会</x:v>
      </x:c>
      <x:c r="D169" s="4" t="str">
        <x:v>公会中心（用户视角）</x:v>
      </x:c>
      <x:c r="E169" s="4" t="str">
        <x:v>业务流程</x:v>
      </x:c>
      <x:c r="F169" s="4" t="str">
        <x:v>P2</x:v>
      </x:c>
      <x:c r="G169" s="4" t="str">
        <x:v>验证点击“申请”后的公会中心状态</x:v>
      </x:c>
      <x:c r="H169" s="4" t="str">
        <x:v>公会中心状态</x:v>
      </x:c>
      <x:c r="I169" s="4" t="str">
        <x:v>1. 用户账号已登录且具备当前页面权限</x:v>
      </x:c>
      <x:c r="J169" s="4" t="str">
        <x:v>1. 进入公会中心
2. 点击“申请”</x:v>
      </x:c>
      <x:c r="K169" s="4" t="str">
        <x:v>携带所选公会进入填写申请单 P030-1</x:v>
      </x:c>
      <x:c r="L169" s="4" t="str"/>
      <x:c r="M169" s="4" t="str">
        <x:v>未测</x:v>
      </x:c>
      <x:c r="N169" s="4" t="str"/>
      <x:c r="O169" s="4" t="str">
        <x:v>1. 来源（原型批注）：liveshow-proto/prototype/annotations/user.js；guild-management.html
2. 页面：guild-management.html
3. 规则：BR-94556D787022FC
4. 场景：SC-75526423FB5F34
5. 未动态验证</x:v>
      </x:c>
    </x:row>
    <x:row r="170" ht="54" customHeight="1">
      <x:c r="A170" s="4" t="n">
        <x:v>169</x:v>
      </x:c>
      <x:c r="B170" s="4" t="str">
        <x:v>UGUILD-0022</x:v>
      </x:c>
      <x:c r="C170" s="4" t="str">
        <x:v>公会</x:v>
      </x:c>
      <x:c r="D170" s="4" t="str">
        <x:v>公会中心（用户视角）</x:v>
      </x:c>
      <x:c r="E170" s="4" t="str">
        <x:v>业务流程</x:v>
      </x:c>
      <x:c r="F170" s="4" t="str">
        <x:v>P2</x:v>
      </x:c>
      <x:c r="G170" s="4" t="str">
        <x:v>验证点击“我的”后的公会中心状态</x:v>
      </x:c>
      <x:c r="H170" s="4" t="str">
        <x:v>公会中心状态</x:v>
      </x:c>
      <x:c r="I170" s="4" t="str">
        <x:v>1. 用户账号已登录且具备当前页面权限</x:v>
      </x:c>
      <x:c r="J170" s="4" t="str">
        <x:v>1. 进入公会中心
2. 点击“我的”</x:v>
      </x:c>
      <x:c r="K170" s="4" t="str">
        <x:v>进入我的公会 P032</x:v>
      </x:c>
      <x:c r="L170" s="4" t="str"/>
      <x:c r="M170" s="4" t="str">
        <x:v>未测</x:v>
      </x:c>
      <x:c r="N170" s="4" t="str"/>
      <x:c r="O170" s="4" t="str">
        <x:v>1. 来源（原型批注）：liveshow-proto/prototype/annotations/user.js；guild-management.html
2. 页面：guild-management.html
3. 规则：BR-F837B18DF71158
4. 场景：SC-DBB7EA851AB8CE
5. 未动态验证</x:v>
      </x:c>
    </x:row>
    <x:row r="171" ht="54" customHeight="1">
      <x:c r="A171" s="4" t="n">
        <x:v>170</x:v>
      </x:c>
      <x:c r="B171" s="4" t="str">
        <x:v>UGUILD-0023</x:v>
      </x:c>
      <x:c r="C171" s="4" t="str">
        <x:v>公会</x:v>
      </x:c>
      <x:c r="D171" s="4" t="str">
        <x:v>公会中心（用户视角）</x:v>
      </x:c>
      <x:c r="E171" s="4" t="str">
        <x:v>逻辑校验</x:v>
      </x:c>
      <x:c r="F171" s="4" t="str">
        <x:v>P2</x:v>
      </x:c>
      <x:c r="G171" s="4" t="str">
        <x:v>验证公会中心按指定范围筛选</x:v>
      </x:c>
      <x:c r="H171" s="4" t="str">
        <x:v>公会中心数据范围</x:v>
      </x:c>
      <x:c r="I171" s="4" t="str">
        <x:v>1. 用户账号已登录且具备当前页面权限
2. 存在符合和不符合“展示平台后台配置为本页展示的公会”的记录</x:v>
      </x:c>
      <x:c r="J171" s="4" t="str">
        <x:v>1. 进入公会中心
2. 查看公会中心</x:v>
      </x:c>
      <x:c r="K171" s="4" t="str">
        <x:v>数据范围：展示平台后台配置为本页展示的公会</x:v>
      </x:c>
      <x:c r="L171" s="4" t="str"/>
      <x:c r="M171" s="4" t="str">
        <x:v>未测</x:v>
      </x:c>
      <x:c r="N171" s="4" t="str"/>
      <x:c r="O171" s="4" t="str">
        <x:v>1. 来源（原型批注）：liveshow-proto/prototype/annotations/user.js；guild-management.html
2. 页面：guild-management.html
3. 规则：BR-23E08225079A9F
4. 场景：SC-4B9C540017F7CC
5. 未动态验证</x:v>
      </x:c>
    </x:row>
    <x:row r="172" ht="54" customHeight="1">
      <x:c r="A172" s="4" t="n">
        <x:v>171</x:v>
      </x:c>
      <x:c r="B172" s="4" t="str">
        <x:v>UGUILD-0024</x:v>
      </x:c>
      <x:c r="C172" s="4" t="str">
        <x:v>公会</x:v>
      </x:c>
      <x:c r="D172" s="4" t="str">
        <x:v>公会中心（用户视角）</x:v>
      </x:c>
      <x:c r="E172" s="4" t="str">
        <x:v>功能需求</x:v>
      </x:c>
      <x:c r="F172" s="4" t="str">
        <x:v>P2</x:v>
      </x:c>
      <x:c r="G172" s="4" t="str">
        <x:v>验证公会中心可查看公会简介</x:v>
      </x:c>
      <x:c r="H172" s="4" t="str">
        <x:v>公会简介展示</x:v>
      </x:c>
      <x:c r="I172" s="4" t="str">
        <x:v>1. 用户账号已登录且具备当前页面权限</x:v>
      </x:c>
      <x:c r="J172" s="4" t="str">
        <x:v>1. 进入公会中心
2. 查看公会简介</x:v>
      </x:c>
      <x:c r="K172" s="4" t="str">
        <x:v>公会中心显示“公会简介”</x:v>
      </x:c>
      <x:c r="L172" s="4" t="str"/>
      <x:c r="M172" s="4" t="str">
        <x:v>未测</x:v>
      </x:c>
      <x:c r="N172" s="4" t="str"/>
      <x:c r="O172" s="4" t="str">
        <x:v>1. 来源（原型批注）：liveshow-proto/prototype/annotations/user.js；guild-management.html
2. 页面：guild-management.html
3. 规则：BR-A0CA4DC2463766、BR-9321EA4F3BB5D7
4. 场景：SC-E0522F63522490
5. 未动态验证</x:v>
      </x:c>
    </x:row>
    <x:row r="173" ht="54" customHeight="1">
      <x:c r="A173" s="4" t="n">
        <x:v>172</x:v>
      </x:c>
      <x:c r="B173" s="4" t="str">
        <x:v>UGUILD-0025</x:v>
      </x:c>
      <x:c r="C173" s="4" t="str">
        <x:v>公会</x:v>
      </x:c>
      <x:c r="D173" s="4" t="str">
        <x:v>公会中心（用户视角）</x:v>
      </x:c>
      <x:c r="E173" s="4" t="str">
        <x:v>功能需求</x:v>
      </x:c>
      <x:c r="F173" s="4" t="str">
        <x:v>P2</x:v>
      </x:c>
      <x:c r="G173" s="4" t="str">
        <x:v>验证公会中心可查看公会头像 / 名称 / ID</x:v>
      </x:c>
      <x:c r="H173" s="4" t="str">
        <x:v>公会头像 / 名称 / ID展示</x:v>
      </x:c>
      <x:c r="I173" s="4" t="str">
        <x:v>1. 用户账号已登录且具备当前页面权限</x:v>
      </x:c>
      <x:c r="J173" s="4" t="str">
        <x:v>1. 进入公会中心
2. 查看公会头像 / 名称 / ID</x:v>
      </x:c>
      <x:c r="K173" s="4" t="str">
        <x:v>公会中心显示“公会头像 / 名称 / ID”</x:v>
      </x:c>
      <x:c r="L173" s="4" t="str"/>
      <x:c r="M173" s="4" t="str">
        <x:v>未测</x:v>
      </x:c>
      <x:c r="N173" s="4" t="str"/>
      <x:c r="O173" s="4" t="str">
        <x:v>1. 来源（原型批注）：liveshow-proto/prototype/annotations/user.js；guild-management.html
2. 页面：guild-management.html
3. 规则：BR-A64435758E455A
4. 场景：SC-84E0F6A493CCF2
5. 未动态验证</x:v>
      </x:c>
    </x:row>
    <x:row r="174" ht="54" customHeight="1">
      <x:c r="A174" s="4" t="n">
        <x:v>173</x:v>
      </x:c>
      <x:c r="B174" s="4" t="str">
        <x:v>UGUILD-0026</x:v>
      </x:c>
      <x:c r="C174" s="4" t="str">
        <x:v>公会</x:v>
      </x:c>
      <x:c r="D174" s="4" t="str">
        <x:v>公会中心（用户视角）</x:v>
      </x:c>
      <x:c r="E174" s="4" t="str">
        <x:v>功能需求</x:v>
      </x:c>
      <x:c r="F174" s="4" t="str">
        <x:v>P2</x:v>
      </x:c>
      <x:c r="G174" s="4" t="str">
        <x:v>验证公会中心可查看申请状态</x:v>
      </x:c>
      <x:c r="H174" s="4" t="str">
        <x:v>申请状态展示</x:v>
      </x:c>
      <x:c r="I174" s="4" t="str">
        <x:v>1. 用户账号已登录且具备当前页面权限</x:v>
      </x:c>
      <x:c r="J174" s="4" t="str">
        <x:v>1. 进入公会中心
2. 查看申请状态</x:v>
      </x:c>
      <x:c r="K174" s="4" t="str">
        <x:v>公会中心显示“申请状态”</x:v>
      </x:c>
      <x:c r="L174" s="4" t="str"/>
      <x:c r="M174" s="4" t="str">
        <x:v>未测</x:v>
      </x:c>
      <x:c r="N174" s="4" t="str"/>
      <x:c r="O174" s="4" t="str">
        <x:v>1. 来源（原型批注）：liveshow-proto/prototype/annotations/user.js；guild-management.html
2. 页面：guild-management.html
3. 规则：BR-9CB1C14EF852FE、BR-A714CEEF342220
4. 场景：SC-385B32FC924501
5. 未动态验证</x:v>
      </x:c>
    </x:row>
    <x:row r="175" ht="54" customHeight="1">
      <x:c r="A175" s="4" t="n">
        <x:v>174</x:v>
      </x:c>
      <x:c r="B175" s="4" t="str">
        <x:v>UGUILD-0027</x:v>
      </x:c>
      <x:c r="C175" s="4" t="str">
        <x:v>公会</x:v>
      </x:c>
      <x:c r="D175" s="4" t="str">
        <x:v>公会中心（用户视角）</x:v>
      </x:c>
      <x:c r="E175" s="4" t="str">
        <x:v>功能需求</x:v>
      </x:c>
      <x:c r="F175" s="4" t="str">
        <x:v>P2</x:v>
      </x:c>
      <x:c r="G175" s="4" t="str">
        <x:v>验证公会中心可查看搜索关键词</x:v>
      </x:c>
      <x:c r="H175" s="4" t="str">
        <x:v>搜索关键词展示</x:v>
      </x:c>
      <x:c r="I175" s="4" t="str">
        <x:v>1. 用户账号已登录且具备当前页面权限</x:v>
      </x:c>
      <x:c r="J175" s="4" t="str">
        <x:v>1. 进入公会中心
2. 查看搜索关键词</x:v>
      </x:c>
      <x:c r="K175" s="4" t="str">
        <x:v>公会中心显示“搜索关键词”</x:v>
      </x:c>
      <x:c r="L175" s="4" t="str"/>
      <x:c r="M175" s="4" t="str">
        <x:v>未测</x:v>
      </x:c>
      <x:c r="N175" s="4" t="str"/>
      <x:c r="O175" s="4" t="str">
        <x:v>1. 来源（原型批注）：liveshow-proto/prototype/annotations/user.js；guild-management.html
2. 页面：guild-management.html
3. 规则：BR-66A7720656BBC6、BR-7604A1441294BB
4. 场景：SC-5B19668E916B98
5. 未动态验证</x:v>
      </x:c>
    </x:row>
    <x:row r="176" ht="54" customHeight="1">
      <x:c r="A176" s="4" t="n">
        <x:v>175</x:v>
      </x:c>
      <x:c r="B176" s="4" t="str">
        <x:v>UGUILD-0028</x:v>
      </x:c>
      <x:c r="C176" s="4" t="str">
        <x:v>公会</x:v>
      </x:c>
      <x:c r="D176" s="4" t="str">
        <x:v>公会中心（用户视角）</x:v>
      </x:c>
      <x:c r="E176" s="4" t="str">
        <x:v>功能需求</x:v>
      </x:c>
      <x:c r="F176" s="4" t="str">
        <x:v>P2</x:v>
      </x:c>
      <x:c r="G176" s="4" t="str">
        <x:v>验证公会中心可查看主播人数</x:v>
      </x:c>
      <x:c r="H176" s="4" t="str">
        <x:v>主播人数展示</x:v>
      </x:c>
      <x:c r="I176" s="4" t="str">
        <x:v>1. 用户账号已登录且具备当前页面权限</x:v>
      </x:c>
      <x:c r="J176" s="4" t="str">
        <x:v>1. 进入公会中心
2. 查看主播人数</x:v>
      </x:c>
      <x:c r="K176" s="4" t="str">
        <x:v>公会中心显示“主播人数”</x:v>
      </x:c>
      <x:c r="L176" s="4" t="str"/>
      <x:c r="M176" s="4" t="str">
        <x:v>未测</x:v>
      </x:c>
      <x:c r="N176" s="4" t="str"/>
      <x:c r="O176" s="4" t="str">
        <x:v>1. 来源（原型批注）：liveshow-proto/prototype/annotations/user.js；guild-management.html
2. 页面：guild-management.html
3. 规则：BR-245D982D8B40FD
4. 场景：SC-8117D41BB4D46A
5. 未动态验证</x:v>
      </x:c>
    </x:row>
    <x:row r="177" ht="54" customHeight="1">
      <x:c r="A177" s="4" t="n">
        <x:v>176</x:v>
      </x:c>
      <x:c r="B177" s="4" t="str">
        <x:v>UGUILD-0029</x:v>
      </x:c>
      <x:c r="C177" s="4" t="str">
        <x:v>公会</x:v>
      </x:c>
      <x:c r="D177" s="4" t="str">
        <x:v>公会中心（用户视角）</x:v>
      </x:c>
      <x:c r="E177" s="4" t="str">
        <x:v>功能需求</x:v>
      </x:c>
      <x:c r="F177" s="4" t="str">
        <x:v>P2</x:v>
      </x:c>
      <x:c r="G177" s="4" t="str">
        <x:v>验证关键词为空时的公会中心结果</x:v>
      </x:c>
      <x:c r="H177" s="4" t="str">
        <x:v>公会中心条件结果</x:v>
      </x:c>
      <x:c r="I177" s="4" t="str">
        <x:v>1. 用户账号已登录且具备当前页面权限
2. 关键词为空</x:v>
      </x:c>
      <x:c r="J177" s="4" t="str">
        <x:v>1. 进入公会中心
2. 查看公会中心</x:v>
      </x:c>
      <x:c r="K177" s="4" t="str">
        <x:v>展示全部，包含已加入或申请中的公会</x:v>
      </x:c>
      <x:c r="L177" s="4" t="str"/>
      <x:c r="M177" s="4" t="str">
        <x:v>未测</x:v>
      </x:c>
      <x:c r="N177" s="4" t="str"/>
      <x:c r="O177" s="4" t="str">
        <x:v>1. 来源（原型批注）：liveshow-proto/prototype/annotations/user.js；guild-management.html
2. 页面：guild-management.html
3. 规则：BR-4D9BB3E2D26B06
4. 场景：SC-EC1CC21E62B168
5. 未动态验证</x:v>
      </x:c>
    </x:row>
    <x:row r="178" ht="54" customHeight="1">
      <x:c r="A178" s="4" t="n">
        <x:v>177</x:v>
      </x:c>
      <x:c r="B178" s="4" t="str">
        <x:v>UGUILD-0030</x:v>
      </x:c>
      <x:c r="C178" s="4" t="str">
        <x:v>公会</x:v>
      </x:c>
      <x:c r="D178" s="4" t="str">
        <x:v>公会中心（用户视角）</x:v>
      </x:c>
      <x:c r="E178" s="4" t="str">
        <x:v>功能需求</x:v>
      </x:c>
      <x:c r="F178" s="4" t="str">
        <x:v>P2</x:v>
      </x:c>
      <x:c r="G178" s="4" t="str">
        <x:v>验证空值时的公会中心结果</x:v>
      </x:c>
      <x:c r="H178" s="4" t="str">
        <x:v>公会中心条件结果</x:v>
      </x:c>
      <x:c r="I178" s="4" t="str">
        <x:v>1. 用户账号已登录且具备当前页面权限
2. 空值</x:v>
      </x:c>
      <x:c r="J178" s="4" t="str">
        <x:v>1. 进入公会中心
2. 查看公会中心</x:v>
      </x:c>
      <x:c r="K178" s="4" t="str">
        <x:v>空值展示本页配置范围内全部公会</x:v>
      </x:c>
      <x:c r="L178" s="4" t="str"/>
      <x:c r="M178" s="4" t="str">
        <x:v>未测</x:v>
      </x:c>
      <x:c r="N178" s="4" t="str"/>
      <x:c r="O178" s="4" t="str">
        <x:v>1. 来源（原型批注）：liveshow-proto/prototype/annotations/user.js；guild-management.html
2. 页面：guild-management.html
3. 规则：BR-7604A1441294BB
4. 场景：SC-DED38A03630ACB
5. 未动态验证</x:v>
      </x:c>
    </x:row>
    <x:row r="179" ht="54" customHeight="1">
      <x:c r="A179" s="4" t="n">
        <x:v>178</x:v>
      </x:c>
      <x:c r="B179" s="4" t="str">
        <x:v>UGUILD-0031</x:v>
      </x:c>
      <x:c r="C179" s="4" t="str">
        <x:v>公会</x:v>
      </x:c>
      <x:c r="D179" s="4" t="str">
        <x:v>公会中心（用户视角）</x:v>
      </x:c>
      <x:c r="E179" s="4" t="str">
        <x:v>功能需求</x:v>
      </x:c>
      <x:c r="F179" s="4" t="str">
        <x:v>P2</x:v>
      </x:c>
      <x:c r="G179" s="4" t="str">
        <x:v>验证停用公会时的公会中心结果</x:v>
      </x:c>
      <x:c r="H179" s="4" t="str">
        <x:v>公会中心条件结果</x:v>
      </x:c>
      <x:c r="I179" s="4" t="str">
        <x:v>1. 用户账号已登录且具备当前页面权限
2. 停用公会</x:v>
      </x:c>
      <x:c r="J179" s="4" t="str">
        <x:v>1. 进入公会中心
2. 查看公会中心</x:v>
      </x:c>
      <x:c r="K179" s="4" t="str">
        <x:v>停用公会不展示、不可被搜索</x:v>
      </x:c>
      <x:c r="L179" s="4" t="str"/>
      <x:c r="M179" s="4" t="str">
        <x:v>未测</x:v>
      </x:c>
      <x:c r="N179" s="4" t="str"/>
      <x:c r="O179" s="4" t="str">
        <x:v>1. 来源（原型批注）：liveshow-proto/prototype/annotations/user.js；guild-management.html
2. 页面：guild-management.html
3. 规则：BR-B7813F5F331DD3
4. 场景：SC-6AEB8E76BDF4B2
5. 未动态验证</x:v>
      </x:c>
    </x:row>
    <x:row r="180" ht="54" customHeight="1">
      <x:c r="A180" s="4" t="n">
        <x:v>179</x:v>
      </x:c>
      <x:c r="B180" s="4" t="str">
        <x:v>UGUILD-0032</x:v>
      </x:c>
      <x:c r="C180" s="4" t="str">
        <x:v>公会</x:v>
      </x:c>
      <x:c r="D180" s="4" t="str">
        <x:v>公会中心（用户视角）</x:v>
      </x:c>
      <x:c r="E180" s="4" t="str">
        <x:v>功能需求</x:v>
      </x:c>
      <x:c r="F180" s="4" t="str">
        <x:v>P2</x:v>
      </x:c>
      <x:c r="G180" s="4" t="str">
        <x:v>验证无匹配时的公会中心结果</x:v>
      </x:c>
      <x:c r="H180" s="4" t="str">
        <x:v>公会中心条件结果</x:v>
      </x:c>
      <x:c r="I180" s="4" t="str">
        <x:v>1. 用户账号已登录且具备当前页面权限
2. 无匹配</x:v>
      </x:c>
      <x:c r="J180" s="4" t="str">
        <x:v>1. 进入公会中心
2. 查看公会中心</x:v>
      </x:c>
      <x:c r="K180" s="4" t="str">
        <x:v>展示空状态</x:v>
      </x:c>
      <x:c r="L180" s="4" t="str"/>
      <x:c r="M180" s="4" t="str">
        <x:v>未测</x:v>
      </x:c>
      <x:c r="N180" s="4" t="str"/>
      <x:c r="O180" s="4" t="str">
        <x:v>1. 来源（原型批注）：liveshow-proto/prototype/annotations/user.js；guild-management.html
2. 页面：guild-management.html
3. 规则：BR-ECA0BE76B9C67D
4. 场景：SC-72CFC5832B6DD6
5. 未动态验证</x:v>
      </x:c>
    </x:row>
    <x:row r="181" ht="54" customHeight="1">
      <x:c r="A181" s="4" t="n">
        <x:v>180</x:v>
      </x:c>
      <x:c r="B181" s="4" t="str">
        <x:v>UGUILD-0033</x:v>
      </x:c>
      <x:c r="C181" s="4" t="str">
        <x:v>公会</x:v>
      </x:c>
      <x:c r="D181" s="4" t="str">
        <x:v>公会中心（用户视角）</x:v>
      </x:c>
      <x:c r="E181" s="4" t="str">
        <x:v>功能需求</x:v>
      </x:c>
      <x:c r="F181" s="4" t="str">
        <x:v>P2</x:v>
      </x:c>
      <x:c r="G181" s="4" t="str">
        <x:v>验证已加入公会时的公会中心结果</x:v>
      </x:c>
      <x:c r="H181" s="4" t="str">
        <x:v>公会中心条件结果</x:v>
      </x:c>
      <x:c r="I181" s="4" t="str">
        <x:v>1. 用户账号已登录且具备当前页面权限
2. 已加入公会</x:v>
      </x:c>
      <x:c r="J181" s="4" t="str">
        <x:v>1. 进入公会中心
2. 查看公会中心</x:v>
      </x:c>
      <x:c r="K181" s="4" t="str">
        <x:v>不可再次申请其他公会</x:v>
      </x:c>
      <x:c r="L181" s="4" t="str"/>
      <x:c r="M181" s="4" t="str">
        <x:v>未测</x:v>
      </x:c>
      <x:c r="N181" s="4" t="str"/>
      <x:c r="O181" s="4" t="str">
        <x:v>1. 来源（原型批注）：liveshow-proto/prototype/annotations/user.js；guild-management.html
2. 页面：guild-management.html
3. 规则：BR-D6F7722E71A885
4. 场景：SC-1CFFF37B4755A5
5. 未动态验证</x:v>
      </x:c>
    </x:row>
    <x:row r="182" ht="54" customHeight="1">
      <x:c r="A182" s="4" t="n">
        <x:v>181</x:v>
      </x:c>
      <x:c r="B182" s="4" t="str">
        <x:v>UGUILD-0034</x:v>
      </x:c>
      <x:c r="C182" s="4" t="str">
        <x:v>公会</x:v>
      </x:c>
      <x:c r="D182" s="4" t="str">
        <x:v>申请加入公会（用户视角）</x:v>
      </x:c>
      <x:c r="E182" s="4" t="str">
        <x:v>业务流程</x:v>
      </x:c>
      <x:c r="F182" s="4" t="str">
        <x:v>P2</x:v>
      </x:c>
      <x:c r="G182" s="4" t="str">
        <x:v>验证点击更换公会后的申请加入公会状态</x:v>
      </x:c>
      <x:c r="H182" s="4" t="str">
        <x:v>申请加入公会状态</x:v>
      </x:c>
      <x:c r="I182" s="4" t="str">
        <x:v>1. 用户账号已登录且具备当前页面权限</x:v>
      </x:c>
      <x:c r="J182" s="4" t="str">
        <x:v>1. 进入申请加入公会
2. 点击更换公会</x:v>
      </x:c>
      <x:c r="K182" s="4" t="str">
        <x:v>返回公会选择页</x:v>
      </x:c>
      <x:c r="L182" s="4" t="str"/>
      <x:c r="M182" s="4" t="str">
        <x:v>未测</x:v>
      </x:c>
      <x:c r="N182" s="4" t="str"/>
      <x:c r="O182" s="4" t="str">
        <x:v>1. 来源（原型批注）：liveshow-proto/prototype/annotations/user.js；guild-application-form.html
2. 页面：guild-application-form.html
3. 规则：BR-E0A7EBEC18D61B
4. 场景：SC-9591D0F1B98038
5. 未动态验证</x:v>
      </x:c>
    </x:row>
    <x:row r="183" ht="54" customHeight="1">
      <x:c r="A183" s="4" t="n">
        <x:v>182</x:v>
      </x:c>
      <x:c r="B183" s="4" t="str">
        <x:v>UGUILD-0035</x:v>
      </x:c>
      <x:c r="C183" s="4" t="str">
        <x:v>公会</x:v>
      </x:c>
      <x:c r="D183" s="4" t="str">
        <x:v>申请加入公会（用户视角）</x:v>
      </x:c>
      <x:c r="E183" s="4" t="str">
        <x:v>功能需求</x:v>
      </x:c>
      <x:c r="F183" s="4" t="str">
        <x:v>P2</x:v>
      </x:c>
      <x:c r="G183" s="4" t="str">
        <x:v>验证来源于公会选择页，时的申请加入公会结果</x:v>
      </x:c>
      <x:c r="H183" s="4" t="str">
        <x:v>申请加入公会条件结果</x:v>
      </x:c>
      <x:c r="I183" s="4" t="str">
        <x:v>1. 用户账号已登录且具备当前页面权限
2. 来源于公会选择页，</x:v>
      </x:c>
      <x:c r="J183" s="4" t="str">
        <x:v>1. 进入申请加入公会
2. 查看申请加入公会</x:v>
      </x:c>
      <x:c r="K183" s="4" t="str">
        <x:v>来源于公会选择页，展示所选公会名称</x:v>
      </x:c>
      <x:c r="L183" s="4" t="str"/>
      <x:c r="M183" s="4" t="str">
        <x:v>未测</x:v>
      </x:c>
      <x:c r="N183" s="4" t="str"/>
      <x:c r="O183" s="4" t="str">
        <x:v>1. 来源（原型批注）：liveshow-proto/prototype/annotations/user.js；guild-application-form.html
2. 页面：guild-application-form.html
3. 规则：BR-98C1F692E02FEC
4. 场景：SC-22D8B8C8F0C86F
5. 未动态验证</x:v>
      </x:c>
    </x:row>
    <x:row r="184" ht="54" customHeight="1">
      <x:c r="A184" s="4" t="n">
        <x:v>183</x:v>
      </x:c>
      <x:c r="B184" s="4" t="str">
        <x:v>UGUILD-0036</x:v>
      </x:c>
      <x:c r="C184" s="4" t="str">
        <x:v>公会</x:v>
      </x:c>
      <x:c r="D184" s="4" t="str">
        <x:v>申请加入公会（用户视角）</x:v>
      </x:c>
      <x:c r="E184" s="4" t="str">
        <x:v>业务流程</x:v>
      </x:c>
      <x:c r="F184" s="4" t="str">
        <x:v>P2</x:v>
      </x:c>
      <x:c r="G184" s="4" t="str">
        <x:v>验证切换证件类型后的申请加入公会状态</x:v>
      </x:c>
      <x:c r="H184" s="4" t="str">
        <x:v>申请加入公会状态</x:v>
      </x:c>
      <x:c r="I184" s="4" t="str">
        <x:v>1. 用户账号已登录且具备当前页面权限</x:v>
      </x:c>
      <x:c r="J184" s="4" t="str">
        <x:v>1. 进入申请加入公会
2. 切换证件类型</x:v>
      </x:c>
      <x:c r="K184" s="4" t="str">
        <x:v>清空已上传的证件正面和反面照片</x:v>
      </x:c>
      <x:c r="L184" s="4" t="str"/>
      <x:c r="M184" s="4" t="str">
        <x:v>未测</x:v>
      </x:c>
      <x:c r="N184" s="4" t="str"/>
      <x:c r="O184" s="4" t="str">
        <x:v>1. 来源（原型批注）：liveshow-proto/prototype/annotations/user.js；guild-application-form.html
2. 页面：guild-application-form.html
3. 规则：BR-51B5FFE89F940C
4. 场景：SC-16907034C0BE2E
5. 未动态验证</x:v>
      </x:c>
    </x:row>
    <x:row r="185" ht="54" customHeight="1">
      <x:c r="A185" s="4" t="n">
        <x:v>184</x:v>
      </x:c>
      <x:c r="B185" s="4" t="str">
        <x:v>UGUILD-0037</x:v>
      </x:c>
      <x:c r="C185" s="4" t="str">
        <x:v>公会</x:v>
      </x:c>
      <x:c r="D185" s="4" t="str">
        <x:v>申请加入公会（用户视角）</x:v>
      </x:c>
      <x:c r="E185" s="4" t="str">
        <x:v>逻辑校验</x:v>
      </x:c>
      <x:c r="F185" s="4" t="str">
        <x:v>P2</x:v>
      </x:c>
      <x:c r="G185" s="4" t="str">
        <x:v>验证申请加入公会按指定范围筛选</x:v>
      </x:c>
      <x:c r="H185" s="4" t="str">
        <x:v>申请加入公会数据范围</x:v>
      </x:c>
      <x:c r="I185" s="4" t="str">
        <x:v>1. 用户账号已登录且具备当前页面权限
2. 存在符合和不符合“本次选择公会及当前用户填写的申请资料”的记录</x:v>
      </x:c>
      <x:c r="J185" s="4" t="str">
        <x:v>1. 进入申请加入公会
2. 查看申请加入公会</x:v>
      </x:c>
      <x:c r="K185" s="4" t="str">
        <x:v>数据范围：本次选择公会及当前用户填写的申请资料</x:v>
      </x:c>
      <x:c r="L185" s="4" t="str"/>
      <x:c r="M185" s="4" t="str">
        <x:v>未测</x:v>
      </x:c>
      <x:c r="N185" s="4" t="str"/>
      <x:c r="O185" s="4" t="str">
        <x:v>1. 来源（原型批注）：liveshow-proto/prototype/annotations/user.js；guild-application-form.html
2. 页面：guild-application-form.html
3. 规则：BR-93BC388B4353EE
4. 场景：SC-11CBD95852CE71
5. 未动态验证</x:v>
      </x:c>
    </x:row>
    <x:row r="186" ht="54" customHeight="1">
      <x:c r="A186" s="4" t="n">
        <x:v>185</x:v>
      </x:c>
      <x:c r="B186" s="4" t="str">
        <x:v>UGUILD-0038</x:v>
      </x:c>
      <x:c r="C186" s="4" t="str">
        <x:v>公会</x:v>
      </x:c>
      <x:c r="D186" s="4" t="str">
        <x:v>申请加入公会（用户视角）</x:v>
      </x:c>
      <x:c r="E186" s="4" t="str">
        <x:v>功能需求</x:v>
      </x:c>
      <x:c r="F186" s="4" t="str">
        <x:v>P2</x:v>
      </x:c>
      <x:c r="G186" s="4" t="str">
        <x:v>验证申请加入公会可查看本人照片</x:v>
      </x:c>
      <x:c r="H186" s="4" t="str">
        <x:v>本人照片展示</x:v>
      </x:c>
      <x:c r="I186" s="4" t="str">
        <x:v>1. 用户账号已登录且具备当前页面权限</x:v>
      </x:c>
      <x:c r="J186" s="4" t="str">
        <x:v>1. 进入申请加入公会
2. 查看本人照片</x:v>
      </x:c>
      <x:c r="K186" s="4" t="str">
        <x:v>申请加入公会显示“本人照片”</x:v>
      </x:c>
      <x:c r="L186" s="4" t="str"/>
      <x:c r="M186" s="4" t="str">
        <x:v>未测</x:v>
      </x:c>
      <x:c r="N186" s="4" t="str"/>
      <x:c r="O186" s="4" t="str">
        <x:v>1. 来源（原型批注）：liveshow-proto/prototype/annotations/user.js；guild-application-form.html
2. 页面：guild-application-form.html
3. 规则：BR-2811019C2C9CDC
4. 场景：SC-01B53C6A2122AF
5. 未动态验证</x:v>
      </x:c>
    </x:row>
    <x:row r="187" ht="54" customHeight="1">
      <x:c r="A187" s="4" t="n">
        <x:v>186</x:v>
      </x:c>
      <x:c r="B187" s="4" t="str">
        <x:v>UGUILD-0039</x:v>
      </x:c>
      <x:c r="C187" s="4" t="str">
        <x:v>公会</x:v>
      </x:c>
      <x:c r="D187" s="4" t="str">
        <x:v>申请加入公会（用户视角）</x:v>
      </x:c>
      <x:c r="E187" s="4" t="str">
        <x:v>功能需求</x:v>
      </x:c>
      <x:c r="F187" s="4" t="str">
        <x:v>P2</x:v>
      </x:c>
      <x:c r="G187" s="4" t="str">
        <x:v>验证申请加入公会可查看电话</x:v>
      </x:c>
      <x:c r="H187" s="4" t="str">
        <x:v>电话展示</x:v>
      </x:c>
      <x:c r="I187" s="4" t="str">
        <x:v>1. 用户账号已登录且具备当前页面权限</x:v>
      </x:c>
      <x:c r="J187" s="4" t="str">
        <x:v>1. 进入申请加入公会
2. 查看电话</x:v>
      </x:c>
      <x:c r="K187" s="4" t="str">
        <x:v>申请加入公会显示“电话”</x:v>
      </x:c>
      <x:c r="L187" s="4" t="str"/>
      <x:c r="M187" s="4" t="str">
        <x:v>未测</x:v>
      </x:c>
      <x:c r="N187" s="4" t="str"/>
      <x:c r="O187" s="4" t="str">
        <x:v>1. 来源（原型批注）：liveshow-proto/prototype/annotations/user.js；guild-application-form.html
2. 页面：guild-application-form.html
3. 规则：BR-E9A7B9BE12D021
4. 场景：SC-86F121DD04F1B8
5. 未动态验证</x:v>
      </x:c>
    </x:row>
    <x:row r="188" ht="54" customHeight="1">
      <x:c r="A188" s="4" t="n">
        <x:v>187</x:v>
      </x:c>
      <x:c r="B188" s="4" t="str">
        <x:v>UGUILD-0040</x:v>
      </x:c>
      <x:c r="C188" s="4" t="str">
        <x:v>公会</x:v>
      </x:c>
      <x:c r="D188" s="4" t="str">
        <x:v>申请加入公会（用户视角）</x:v>
      </x:c>
      <x:c r="E188" s="4" t="str">
        <x:v>功能需求</x:v>
      </x:c>
      <x:c r="F188" s="4" t="str">
        <x:v>P2</x:v>
      </x:c>
      <x:c r="G188" s="4" t="str">
        <x:v>验证申请加入公会可查看申请公会</x:v>
      </x:c>
      <x:c r="H188" s="4" t="str">
        <x:v>申请公会展示</x:v>
      </x:c>
      <x:c r="I188" s="4" t="str">
        <x:v>1. 用户账号已登录且具备当前页面权限</x:v>
      </x:c>
      <x:c r="J188" s="4" t="str">
        <x:v>1. 进入申请加入公会
2. 查看申请公会</x:v>
      </x:c>
      <x:c r="K188" s="4" t="str">
        <x:v>申请加入公会显示“申请公会”</x:v>
      </x:c>
      <x:c r="L188" s="4" t="str"/>
      <x:c r="M188" s="4" t="str">
        <x:v>未测</x:v>
      </x:c>
      <x:c r="N188" s="4" t="str"/>
      <x:c r="O188" s="4" t="str">
        <x:v>1. 来源（原型批注）：liveshow-proto/prototype/annotations/user.js；guild-application-form.html
2. 页面：guild-application-form.html
3. 规则：BR-98C1F692E02FEC
4. 场景：SC-71A585216012F4
5. 未动态验证</x:v>
      </x:c>
    </x:row>
    <x:row r="189" ht="54" customHeight="1">
      <x:c r="A189" s="4" t="n">
        <x:v>188</x:v>
      </x:c>
      <x:c r="B189" s="4" t="str">
        <x:v>UGUILD-0041</x:v>
      </x:c>
      <x:c r="C189" s="4" t="str">
        <x:v>公会</x:v>
      </x:c>
      <x:c r="D189" s="4" t="str">
        <x:v>申请加入公会（用户视角）</x:v>
      </x:c>
      <x:c r="E189" s="4" t="str">
        <x:v>功能需求</x:v>
      </x:c>
      <x:c r="F189" s="4" t="str">
        <x:v>P2</x:v>
      </x:c>
      <x:c r="G189" s="4" t="str">
        <x:v>验证申请加入公会可查看姓名</x:v>
      </x:c>
      <x:c r="H189" s="4" t="str">
        <x:v>姓名展示</x:v>
      </x:c>
      <x:c r="I189" s="4" t="str">
        <x:v>1. 用户账号已登录且具备当前页面权限</x:v>
      </x:c>
      <x:c r="J189" s="4" t="str">
        <x:v>1. 进入申请加入公会
2. 查看姓名</x:v>
      </x:c>
      <x:c r="K189" s="4" t="str">
        <x:v>申请加入公会显示“姓名”</x:v>
      </x:c>
      <x:c r="L189" s="4" t="str"/>
      <x:c r="M189" s="4" t="str">
        <x:v>未测</x:v>
      </x:c>
      <x:c r="N189" s="4" t="str"/>
      <x:c r="O189" s="4" t="str">
        <x:v>1. 来源（原型批注）：liveshow-proto/prototype/annotations/user.js；guild-application-form.html
2. 页面：guild-application-form.html
3. 规则：BR-9D56459701ED4D
4. 场景：SC-0AAC685369B00A
5. 未动态验证</x:v>
      </x:c>
    </x:row>
    <x:row r="190" ht="54" customHeight="1">
      <x:c r="A190" s="4" t="n">
        <x:v>189</x:v>
      </x:c>
      <x:c r="B190" s="4" t="str">
        <x:v>UGUILD-0042</x:v>
      </x:c>
      <x:c r="C190" s="4" t="str">
        <x:v>公会</x:v>
      </x:c>
      <x:c r="D190" s="4" t="str">
        <x:v>申请加入公会（用户视角）</x:v>
      </x:c>
      <x:c r="E190" s="4" t="str">
        <x:v>功能需求</x:v>
      </x:c>
      <x:c r="F190" s="4" t="str">
        <x:v>P2</x:v>
      </x:c>
      <x:c r="G190" s="4" t="str">
        <x:v>验证申请加入公会可查看证件类型</x:v>
      </x:c>
      <x:c r="H190" s="4" t="str">
        <x:v>证件类型展示</x:v>
      </x:c>
      <x:c r="I190" s="4" t="str">
        <x:v>1. 用户账号已登录且具备当前页面权限</x:v>
      </x:c>
      <x:c r="J190" s="4" t="str">
        <x:v>1. 进入申请加入公会
2. 查看证件类型</x:v>
      </x:c>
      <x:c r="K190" s="4" t="str">
        <x:v>申请加入公会显示“证件类型”</x:v>
      </x:c>
      <x:c r="L190" s="4" t="str"/>
      <x:c r="M190" s="4" t="str">
        <x:v>未测</x:v>
      </x:c>
      <x:c r="N190" s="4" t="str"/>
      <x:c r="O190" s="4" t="str">
        <x:v>1. 来源（原型批注）：liveshow-proto/prototype/annotations/user.js；guild-application-form.html
2. 页面：guild-application-form.html
3. 规则：BR-55D9BEB0970EF3
4. 场景：SC-2D6D7D2C7343E1
5. 未动态验证</x:v>
      </x:c>
    </x:row>
    <x:row r="191" ht="54" customHeight="1">
      <x:c r="A191" s="4" t="n">
        <x:v>190</x:v>
      </x:c>
      <x:c r="B191" s="4" t="str">
        <x:v>UGUILD-0043</x:v>
      </x:c>
      <x:c r="C191" s="4" t="str">
        <x:v>公会</x:v>
      </x:c>
      <x:c r="D191" s="4" t="str">
        <x:v>申请加入公会（用户视角）</x:v>
      </x:c>
      <x:c r="E191" s="4" t="str">
        <x:v>功能需求</x:v>
      </x:c>
      <x:c r="F191" s="4" t="str">
        <x:v>P2</x:v>
      </x:c>
      <x:c r="G191" s="4" t="str">
        <x:v>验证申请加入公会可查看证件照片</x:v>
      </x:c>
      <x:c r="H191" s="4" t="str">
        <x:v>证件照片展示</x:v>
      </x:c>
      <x:c r="I191" s="4" t="str">
        <x:v>1. 用户账号已登录且具备当前页面权限</x:v>
      </x:c>
      <x:c r="J191" s="4" t="str">
        <x:v>1. 进入申请加入公会
2. 查看证件照片</x:v>
      </x:c>
      <x:c r="K191" s="4" t="str">
        <x:v>申请加入公会显示“证件照片”</x:v>
      </x:c>
      <x:c r="L191" s="4" t="str"/>
      <x:c r="M191" s="4" t="str">
        <x:v>未测</x:v>
      </x:c>
      <x:c r="N191" s="4" t="str"/>
      <x:c r="O191" s="4" t="str">
        <x:v>1. 来源（原型批注）：liveshow-proto/prototype/annotations/user.js；guild-application-form.html
2. 页面：guild-application-form.html
3. 规则：BR-89630A7D4EFC74
4. 场景：SC-88AE9F3DACA07E
5. 未动态验证</x:v>
      </x:c>
    </x:row>
    <x:row r="192" ht="54" customHeight="1">
      <x:c r="A192" s="4" t="n">
        <x:v>191</x:v>
      </x:c>
      <x:c r="B192" s="4" t="str">
        <x:v>UGUILD-0044</x:v>
      </x:c>
      <x:c r="C192" s="4" t="str">
        <x:v>公会</x:v>
      </x:c>
      <x:c r="D192" s="4" t="str">
        <x:v>申请加入公会（用户视角）</x:v>
      </x:c>
      <x:c r="E192" s="4" t="str">
        <x:v>业务流程</x:v>
      </x:c>
      <x:c r="F192" s="4" t="str">
        <x:v>P2</x:v>
      </x:c>
      <x:c r="G192" s="4" t="str">
        <x:v>验证提交后的申请加入公会状态</x:v>
      </x:c>
      <x:c r="H192" s="4" t="str">
        <x:v>申请加入公会状态</x:v>
      </x:c>
      <x:c r="I192" s="4" t="str">
        <x:v>1. 用户账号已登录且具备当前页面权限</x:v>
      </x:c>
      <x:c r="J192" s="4" t="str">
        <x:v>1. 进入申请加入公会
2. 提交</x:v>
      </x:c>
      <x:c r="K192" s="4" t="str">
        <x:v>进入公会审核</x:v>
      </x:c>
      <x:c r="L192" s="4" t="str"/>
      <x:c r="M192" s="4" t="str">
        <x:v>未测</x:v>
      </x:c>
      <x:c r="N192" s="4" t="str"/>
      <x:c r="O192" s="4" t="str">
        <x:v>1. 来源（原型批注）：liveshow-proto/prototype/annotations/user.js；guild-application-form.html
2. 页面：guild-application-form.html
3. 规则：BR-6FB5B05E85BB14
4. 场景：SC-21F2CAB49F6E86
5. 未动态验证</x:v>
      </x:c>
    </x:row>
    <x:row r="193" ht="54" customHeight="1">
      <x:c r="A193" s="4" t="n">
        <x:v>192</x:v>
      </x:c>
      <x:c r="B193" s="4" t="str">
        <x:v>UGUILD-0045</x:v>
      </x:c>
      <x:c r="C193" s="4" t="str">
        <x:v>公会</x:v>
      </x:c>
      <x:c r="D193" s="4" t="str">
        <x:v>申请加入公会（用户视角）</x:v>
      </x:c>
      <x:c r="E193" s="4" t="str">
        <x:v>功能需求</x:v>
      </x:c>
      <x:c r="F193" s="4" t="str">
        <x:v>P2</x:v>
      </x:c>
      <x:c r="G193" s="4" t="str">
        <x:v>验证证件类型的默认状态</x:v>
      </x:c>
      <x:c r="H193" s="4" t="str">
        <x:v>证件类型默认值</x:v>
      </x:c>
      <x:c r="I193" s="4" t="str">
        <x:v>1. 用户账号已登录且具备当前页面权限</x:v>
      </x:c>
      <x:c r="J193" s="4" t="str">
        <x:v>1. 进入申请加入公会
2. 查看证件类型</x:v>
      </x:c>
      <x:c r="K193" s="4" t="str">
        <x:v>必选，使用单选框选择 KTP（印尼居民身份证）或 SIM（印尼驾驶证），默认选择 KTP</x:v>
      </x:c>
      <x:c r="L193" s="4" t="str"/>
      <x:c r="M193" s="4" t="str">
        <x:v>未测</x:v>
      </x:c>
      <x:c r="N193" s="4" t="str"/>
      <x:c r="O193" s="4" t="str">
        <x:v>1. 来源（原型批注）：liveshow-proto/prototype/annotations/user.js；guild-application-form.html
2. 页面：guild-application-form.html
3. 规则：BR-55D9BEB0970EF3
4. 场景：SC-1707A96FD6F73F
5. 未动态验证</x:v>
      </x:c>
    </x:row>
    <x:row r="194" ht="54" customHeight="1">
      <x:c r="A194" s="4" t="n">
        <x:v>193</x:v>
      </x:c>
      <x:c r="B194" s="4" t="str">
        <x:v>UGUILD-0046</x:v>
      </x:c>
      <x:c r="C194" s="4" t="str">
        <x:v>公会</x:v>
      </x:c>
      <x:c r="D194" s="4" t="str">
        <x:v>申请退出公会（用户视角）</x:v>
      </x:c>
      <x:c r="E194" s="4" t="str">
        <x:v>逻辑校验</x:v>
      </x:c>
      <x:c r="F194" s="4" t="str">
        <x:v>P2</x:v>
      </x:c>
      <x:c r="G194" s="4" t="str">
        <x:v>验证申请退出公会按指定范围筛选</x:v>
      </x:c>
      <x:c r="H194" s="4" t="str">
        <x:v>申请退出公会数据范围</x:v>
      </x:c>
      <x:c r="I194" s="4" t="str">
        <x:v>1. 用户账号已登录且具备当前页面权限
2. 存在符合和不符合“当前账号已加入的公会及本次退出原因”的记录</x:v>
      </x:c>
      <x:c r="J194" s="4" t="str">
        <x:v>1. 进入申请退出公会
2. 查看申请退出公会</x:v>
      </x:c>
      <x:c r="K194" s="4" t="str">
        <x:v>数据范围：当前账号已加入的公会及本次退出原因</x:v>
      </x:c>
      <x:c r="L194" s="4" t="str"/>
      <x:c r="M194" s="4" t="str">
        <x:v>未测</x:v>
      </x:c>
      <x:c r="N194" s="4" t="str"/>
      <x:c r="O194" s="4" t="str">
        <x:v>1. 来源（原型批注）：liveshow-proto/prototype/annotations/user.js；guild-leave-application.html
2. 页面：guild-leave-application.html
3. 规则：BR-1B97BAEF953CD1
4. 场景：SC-B051AD57AB3894
5. 未动态验证</x:v>
      </x:c>
    </x:row>
    <x:row r="195" ht="54" customHeight="1">
      <x:c r="A195" s="4" t="n">
        <x:v>194</x:v>
      </x:c>
      <x:c r="B195" s="4" t="str">
        <x:v>UGUILD-0047</x:v>
      </x:c>
      <x:c r="C195" s="4" t="str">
        <x:v>公会</x:v>
      </x:c>
      <x:c r="D195" s="4" t="str">
        <x:v>申请退出公会（用户视角）</x:v>
      </x:c>
      <x:c r="E195" s="4" t="str">
        <x:v>功能需求</x:v>
      </x:c>
      <x:c r="F195" s="4" t="str">
        <x:v>P2</x:v>
      </x:c>
      <x:c r="G195" s="4" t="str">
        <x:v>验证申请退出公会可查看当前公会</x:v>
      </x:c>
      <x:c r="H195" s="4" t="str">
        <x:v>当前公会展示</x:v>
      </x:c>
      <x:c r="I195" s="4" t="str">
        <x:v>1. 用户账号已登录且具备当前页面权限</x:v>
      </x:c>
      <x:c r="J195" s="4" t="str">
        <x:v>1. 进入申请退出公会
2. 查看当前公会</x:v>
      </x:c>
      <x:c r="K195" s="4" t="str">
        <x:v>申请退出公会显示“当前公会”</x:v>
      </x:c>
      <x:c r="L195" s="4" t="str"/>
      <x:c r="M195" s="4" t="str">
        <x:v>未测</x:v>
      </x:c>
      <x:c r="N195" s="4" t="str"/>
      <x:c r="O195" s="4" t="str">
        <x:v>1. 来源（原型批注）：liveshow-proto/prototype/annotations/user.js；guild-leave-application.html
2. 页面：guild-leave-application.html
3. 规则：BR-339BD05819ABB3
4. 场景：SC-6600F8A2B435BB
5. 未动态验证</x:v>
      </x:c>
    </x:row>
    <x:row r="196" ht="54" customHeight="1">
      <x:c r="A196" s="4" t="n">
        <x:v>195</x:v>
      </x:c>
      <x:c r="B196" s="4" t="str">
        <x:v>UGUILD-0048</x:v>
      </x:c>
      <x:c r="C196" s="4" t="str">
        <x:v>公会</x:v>
      </x:c>
      <x:c r="D196" s="4" t="str">
        <x:v>申请退出公会（用户视角）</x:v>
      </x:c>
      <x:c r="E196" s="4" t="str">
        <x:v>功能需求</x:v>
      </x:c>
      <x:c r="F196" s="4" t="str">
        <x:v>P2</x:v>
      </x:c>
      <x:c r="G196" s="4" t="str">
        <x:v>验证申请退出公会可查看退会原因</x:v>
      </x:c>
      <x:c r="H196" s="4" t="str">
        <x:v>退会原因展示</x:v>
      </x:c>
      <x:c r="I196" s="4" t="str">
        <x:v>1. 用户账号已登录且具备当前页面权限</x:v>
      </x:c>
      <x:c r="J196" s="4" t="str">
        <x:v>1. 进入申请退出公会
2. 查看退会原因</x:v>
      </x:c>
      <x:c r="K196" s="4" t="str">
        <x:v>申请退出公会显示“退会原因”</x:v>
      </x:c>
      <x:c r="L196" s="4" t="str"/>
      <x:c r="M196" s="4" t="str">
        <x:v>未测</x:v>
      </x:c>
      <x:c r="N196" s="4" t="str"/>
      <x:c r="O196" s="4" t="str">
        <x:v>1. 来源（原型批注）：liveshow-proto/prototype/annotations/user.js；guild-leave-application.html
2. 页面：guild-leave-application.html
3. 规则：BR-88D94D7D880EEA
4. 场景：SC-D988E72BF9F22A
5. 未动态验证</x:v>
      </x:c>
    </x:row>
    <x:row r="197" ht="54" customHeight="1">
      <x:c r="A197" s="4" t="n">
        <x:v>196</x:v>
      </x:c>
      <x:c r="B197" s="4" t="str">
        <x:v>UGUILD-0049</x:v>
      </x:c>
      <x:c r="C197" s="4" t="str">
        <x:v>公会</x:v>
      </x:c>
      <x:c r="D197" s="4" t="str">
        <x:v>申请退出公会（用户视角）</x:v>
      </x:c>
      <x:c r="E197" s="4" t="str">
        <x:v>异常用例</x:v>
      </x:c>
      <x:c r="F197" s="4" t="str">
        <x:v>P2</x:v>
      </x:c>
      <x:c r="G197" s="4" t="str">
        <x:v>验证退会原因为空后的申请退出公会状态</x:v>
      </x:c>
      <x:c r="H197" s="4" t="str">
        <x:v>申请退出公会状态</x:v>
      </x:c>
      <x:c r="I197" s="4" t="str">
        <x:v>1. 用户账号已登录且具备当前页面权限
2. 退会原因为空</x:v>
      </x:c>
      <x:c r="J197" s="4" t="str">
        <x:v>1. 进入申请退出公会
2. 刷新申请退出公会</x:v>
      </x:c>
      <x:c r="K197" s="4" t="str">
        <x:v>提交按钮不可用</x:v>
      </x:c>
      <x:c r="L197" s="4" t="str"/>
      <x:c r="M197" s="4" t="str">
        <x:v>未测</x:v>
      </x:c>
      <x:c r="N197" s="4" t="str"/>
      <x:c r="O197" s="4" t="str">
        <x:v>1. 来源（原型批注）：liveshow-proto/prototype/annotations/user.js；guild-leave-application.html
2. 页面：guild-leave-application.html
3. 规则：BR-3571CB0693F6E2
4. 场景：SC-0199836E950A09
5. 未动态验证</x:v>
      </x:c>
    </x:row>
    <x:row r="198" ht="54" customHeight="1">
      <x:c r="A198" s="4" t="n">
        <x:v>197</x:v>
      </x:c>
      <x:c r="B198" s="4" t="str">
        <x:v>UGUILD-0050</x:v>
      </x:c>
      <x:c r="C198" s="4" t="str">
        <x:v>公会</x:v>
      </x:c>
      <x:c r="D198" s="4" t="str">
        <x:v>我的公会（用户视角）</x:v>
      </x:c>
      <x:c r="E198" s="4" t="str">
        <x:v>业务流程</x:v>
      </x:c>
      <x:c r="F198" s="4" t="str">
        <x:v>P2</x:v>
      </x:c>
      <x:c r="G198" s="4" t="str">
        <x:v>验证点击公会卡片后的我的公会状态</x:v>
      </x:c>
      <x:c r="H198" s="4" t="str">
        <x:v>我的公会状态</x:v>
      </x:c>
      <x:c r="I198" s="4" t="str">
        <x:v>1. 用户账号已登录且具备当前页面权限</x:v>
      </x:c>
      <x:c r="J198" s="4" t="str">
        <x:v>1. 进入我的公会
2. 点击公会卡片</x:v>
      </x:c>
      <x:c r="K198" s="4" t="str">
        <x:v>进入对应公会详情 P032-3</x:v>
      </x:c>
      <x:c r="L198" s="4" t="str"/>
      <x:c r="M198" s="4" t="str">
        <x:v>未测</x:v>
      </x:c>
      <x:c r="N198" s="4" t="str"/>
      <x:c r="O198" s="4" t="str">
        <x:v>1. 来源（原型批注）：liveshow-proto/prototype/annotations/user.js；guild-application-records.html
2. 页面：guild-application-records.html
3. 规则：BR-3F9EAF292F733F
4. 场景：SC-5FD3763A62058F
5. 未动态验证</x:v>
      </x:c>
    </x:row>
    <x:row r="199" ht="54" customHeight="1">
      <x:c r="A199" s="4" t="n">
        <x:v>198</x:v>
      </x:c>
      <x:c r="B199" s="4" t="str">
        <x:v>UGUILD-0051</x:v>
      </x:c>
      <x:c r="C199" s="4" t="str">
        <x:v>公会</x:v>
      </x:c>
      <x:c r="D199" s="4" t="str">
        <x:v>我的公会（用户视角）</x:v>
      </x:c>
      <x:c r="E199" s="4" t="str">
        <x:v>功能需求</x:v>
      </x:c>
      <x:c r="F199" s="4" t="str">
        <x:v>P2</x:v>
      </x:c>
      <x:c r="G199" s="4" t="str">
        <x:v>验证卡片时的我的公会结果</x:v>
      </x:c>
      <x:c r="H199" s="4" t="str">
        <x:v>我的公会条件结果</x:v>
      </x:c>
      <x:c r="I199" s="4" t="str">
        <x:v>1. 用户账号已登录且具备当前页面权限
2. 卡片</x:v>
      </x:c>
      <x:c r="J199" s="4" t="str">
        <x:v>1. 进入我的公会
2. 查看我的公会</x:v>
      </x:c>
      <x:c r="K199" s="4" t="str">
        <x:v>卡片展示当前公会关系状态</x:v>
      </x:c>
      <x:c r="L199" s="4" t="str"/>
      <x:c r="M199" s="4" t="str">
        <x:v>未测</x:v>
      </x:c>
      <x:c r="N199" s="4" t="str"/>
      <x:c r="O199" s="4" t="str">
        <x:v>1. 来源（原型批注）：liveshow-proto/prototype/annotations/user.js；guild-application-records.html
2. 页面：guild-application-records.html
3. 规则：BR-302126DAE4073E
4. 场景：SC-CEE9A2DB3A8350
5. 未动态验证</x:v>
      </x:c>
    </x:row>
    <x:row r="200" ht="54" customHeight="1">
      <x:c r="A200" s="4" t="n">
        <x:v>199</x:v>
      </x:c>
      <x:c r="B200" s="4" t="str">
        <x:v>UGUILD-0052</x:v>
      </x:c>
      <x:c r="C200" s="4" t="str">
        <x:v>公会</x:v>
      </x:c>
      <x:c r="D200" s="4" t="str">
        <x:v>我的公会（用户视角）</x:v>
      </x:c>
      <x:c r="E200" s="4" t="str">
        <x:v>逻辑校验</x:v>
      </x:c>
      <x:c r="F200" s="4" t="str">
        <x:v>P2</x:v>
      </x:c>
      <x:c r="G200" s="4" t="str">
        <x:v>验证数据范围：按指定范围筛选</x:v>
      </x:c>
      <x:c r="H200" s="4" t="str">
        <x:v>数据范围：数据范围</x:v>
      </x:c>
      <x:c r="I200" s="4" t="str">
        <x:v>1. 用户账号已登录且具备当前页面权限
2. 存在符合和不符合“当前账号申请过的公会，包含申请中、已加入、申请被驳回及已退出的公会”的记录</x:v>
      </x:c>
      <x:c r="J200" s="4" t="str">
        <x:v>1. 进入我的公会
2. 查看数据范围：</x:v>
      </x:c>
      <x:c r="K200" s="4" t="str">
        <x:v>数据范围：仅展示当前账号申请过的公会，包含申请中、已加入、申请被驳回及已退出的公会</x:v>
      </x:c>
      <x:c r="L200" s="4" t="str"/>
      <x:c r="M200" s="4" t="str">
        <x:v>未测</x:v>
      </x:c>
      <x:c r="N200" s="4" t="str"/>
      <x:c r="O200" s="4" t="str">
        <x:v>1. 来源（原型批注）：liveshow-proto/prototype/annotations/user.js；guild-application-records.html
2. 页面：guild-application-records.html
3. 规则：BR-5E0816E442188F
4. 场景：SC-7EDA82786B25E5
5. 未动态验证</x:v>
      </x:c>
    </x:row>
    <x:row r="201" ht="54" customHeight="1">
      <x:c r="A201" s="4" t="n">
        <x:v>200</x:v>
      </x:c>
      <x:c r="B201" s="4" t="str">
        <x:v>UGUILD-0053</x:v>
      </x:c>
      <x:c r="C201" s="4" t="str">
        <x:v>公会</x:v>
      </x:c>
      <x:c r="D201" s="4" t="str">
        <x:v>我的公会（用户视角）</x:v>
      </x:c>
      <x:c r="E201" s="4" t="str">
        <x:v>功能需求</x:v>
      </x:c>
      <x:c r="F201" s="4" t="str">
        <x:v>P2</x:v>
      </x:c>
      <x:c r="G201" s="4" t="str">
        <x:v>验证我的公会可查看公会 ID</x:v>
      </x:c>
      <x:c r="H201" s="4" t="str">
        <x:v>公会 ID展示</x:v>
      </x:c>
      <x:c r="I201" s="4" t="str">
        <x:v>1. 用户账号已登录且具备当前页面权限</x:v>
      </x:c>
      <x:c r="J201" s="4" t="str">
        <x:v>1. 进入我的公会
2. 查看公会 ID</x:v>
      </x:c>
      <x:c r="K201" s="4" t="str">
        <x:v>我的公会显示“公会 ID”</x:v>
      </x:c>
      <x:c r="L201" s="4" t="str"/>
      <x:c r="M201" s="4" t="str">
        <x:v>未测</x:v>
      </x:c>
      <x:c r="N201" s="4" t="str"/>
      <x:c r="O201" s="4" t="str">
        <x:v>1. 来源（原型批注）：liveshow-proto/prototype/annotations/user.js；guild-application-records.html
2. 页面：guild-application-records.html
3. 规则：BR-288FE08B8601CF
4. 场景：SC-849F8768FE74E4
5. 未动态验证</x:v>
      </x:c>
    </x:row>
    <x:row r="202" ht="54" customHeight="1">
      <x:c r="A202" s="4" t="n">
        <x:v>201</x:v>
      </x:c>
      <x:c r="B202" s="4" t="str">
        <x:v>UGUILD-0054</x:v>
      </x:c>
      <x:c r="C202" s="4" t="str">
        <x:v>公会</x:v>
      </x:c>
      <x:c r="D202" s="4" t="str">
        <x:v>我的公会（用户视角）</x:v>
      </x:c>
      <x:c r="E202" s="4" t="str">
        <x:v>功能需求</x:v>
      </x:c>
      <x:c r="F202" s="4" t="str">
        <x:v>P2</x:v>
      </x:c>
      <x:c r="G202" s="4" t="str">
        <x:v>验证我的公会可查看公会名称</x:v>
      </x:c>
      <x:c r="H202" s="4" t="str">
        <x:v>公会名称展示</x:v>
      </x:c>
      <x:c r="I202" s="4" t="str">
        <x:v>1. 用户账号已登录且具备当前页面权限</x:v>
      </x:c>
      <x:c r="J202" s="4" t="str">
        <x:v>1. 进入我的公会
2. 查看公会名称</x:v>
      </x:c>
      <x:c r="K202" s="4" t="str">
        <x:v>我的公会显示“公会名称”</x:v>
      </x:c>
      <x:c r="L202" s="4" t="str"/>
      <x:c r="M202" s="4" t="str">
        <x:v>未测</x:v>
      </x:c>
      <x:c r="N202" s="4" t="str"/>
      <x:c r="O202" s="4" t="str">
        <x:v>1. 来源（原型批注）：liveshow-proto/prototype/annotations/user.js；guild-application-records.html
2. 页面：guild-application-records.html
3. 规则：BR-4166A326AE22D9
4. 场景：SC-8D514FAA0307EA
5. 未动态验证</x:v>
      </x:c>
    </x:row>
    <x:row r="203" ht="54" customHeight="1">
      <x:c r="A203" s="4" t="n">
        <x:v>202</x:v>
      </x:c>
      <x:c r="B203" s="4" t="str">
        <x:v>UGUILD-0055</x:v>
      </x:c>
      <x:c r="C203" s="4" t="str">
        <x:v>公会</x:v>
      </x:c>
      <x:c r="D203" s="4" t="str">
        <x:v>我的公会（用户视角）</x:v>
      </x:c>
      <x:c r="E203" s="4" t="str">
        <x:v>功能需求</x:v>
      </x:c>
      <x:c r="F203" s="4" t="str">
        <x:v>P2</x:v>
      </x:c>
      <x:c r="G203" s="4" t="str">
        <x:v>验证我的公会可查看公会头像</x:v>
      </x:c>
      <x:c r="H203" s="4" t="str">
        <x:v>公会头像展示</x:v>
      </x:c>
      <x:c r="I203" s="4" t="str">
        <x:v>1. 用户账号已登录且具备当前页面权限</x:v>
      </x:c>
      <x:c r="J203" s="4" t="str">
        <x:v>1. 进入我的公会
2. 查看公会头像</x:v>
      </x:c>
      <x:c r="K203" s="4" t="str">
        <x:v>我的公会显示“公会头像”</x:v>
      </x:c>
      <x:c r="L203" s="4" t="str"/>
      <x:c r="M203" s="4" t="str">
        <x:v>未测</x:v>
      </x:c>
      <x:c r="N203" s="4" t="str"/>
      <x:c r="O203" s="4" t="str">
        <x:v>1. 来源（原型批注）：liveshow-proto/prototype/annotations/user.js；guild-application-records.html
2. 页面：guild-application-records.html
3. 规则：BR-7B40EB0CCAC990
4. 场景：SC-0E1379DF6E0469
5. 未动态验证</x:v>
      </x:c>
    </x:row>
    <x:row r="204" ht="54" customHeight="1">
      <x:c r="A204" s="4" t="n">
        <x:v>203</x:v>
      </x:c>
      <x:c r="B204" s="4" t="str">
        <x:v>UGUILD-0056</x:v>
      </x:c>
      <x:c r="C204" s="4" t="str">
        <x:v>公会</x:v>
      </x:c>
      <x:c r="D204" s="4" t="str">
        <x:v>我的公会（用户视角）</x:v>
      </x:c>
      <x:c r="E204" s="4" t="str">
        <x:v>功能需求</x:v>
      </x:c>
      <x:c r="F204" s="4" t="str">
        <x:v>P2</x:v>
      </x:c>
      <x:c r="G204" s="4" t="str">
        <x:v>验证我的公会可查看关系状态</x:v>
      </x:c>
      <x:c r="H204" s="4" t="str">
        <x:v>关系状态展示</x:v>
      </x:c>
      <x:c r="I204" s="4" t="str">
        <x:v>1. 用户账号已登录且具备当前页面权限</x:v>
      </x:c>
      <x:c r="J204" s="4" t="str">
        <x:v>1. 进入我的公会
2. 查看关系状态</x:v>
      </x:c>
      <x:c r="K204" s="4" t="str">
        <x:v>我的公会显示“关系状态”</x:v>
      </x:c>
      <x:c r="L204" s="4" t="str"/>
      <x:c r="M204" s="4" t="str">
        <x:v>未测</x:v>
      </x:c>
      <x:c r="N204" s="4" t="str"/>
      <x:c r="O204" s="4" t="str">
        <x:v>1. 来源（原型批注）：liveshow-proto/prototype/annotations/user.js；guild-application-records.html
2. 页面：guild-application-records.html
3. 规则：BR-1EB163A8596822
4. 场景：SC-02EFDC697358E6
5. 未动态验证</x:v>
      </x:c>
    </x:row>
    <x:row r="205" ht="54" customHeight="1">
      <x:c r="A205" s="4" t="n">
        <x:v>204</x:v>
      </x:c>
      <x:c r="B205" s="4" t="str">
        <x:v>UWALLET-0001</x:v>
      </x:c>
      <x:c r="C205" s="4" t="str">
        <x:v>钱包与充值</x:v>
      </x:c>
      <x:c r="D205" s="4" t="str">
        <x:v>充值订单详情（用户视角）</x:v>
      </x:c>
      <x:c r="E205" s="4" t="str">
        <x:v>逻辑校验</x:v>
      </x:c>
      <x:c r="F205" s="4" t="str">
        <x:v>P1</x:v>
      </x:c>
      <x:c r="G205" s="4" t="str">
        <x:v>验证充值订单详情按指定范围筛选</x:v>
      </x:c>
      <x:c r="H205" s="4" t="str">
        <x:v>充值订单详情数据范围</x:v>
      </x:c>
      <x:c r="I205" s="4" t="str">
        <x:v>1. 用户账号已登录且具备当前页面权限
2. 存在符合和不符合“当前用户所选的单笔充值订单，金额与金币使用该订单的套餐快照”的记录</x:v>
      </x:c>
      <x:c r="J205" s="4" t="str">
        <x:v>1. 进入充值订单详情
2. 查看充值订单详情</x:v>
      </x:c>
      <x:c r="K205" s="4" t="str">
        <x:v>数据范围：当前用户所选的单笔充值订单，金额与金币使用该订单的套餐快照</x:v>
      </x:c>
      <x:c r="L205" s="4" t="str"/>
      <x:c r="M205" s="4" t="str">
        <x:v>未测</x:v>
      </x:c>
      <x:c r="N205" s="4" t="str"/>
      <x:c r="O205" s="4" t="str">
        <x:v>1. 来源（原型批注）：liveshow-proto/prototype/annotations/user.js；order-income-detail.html
2. 页面：order-income-detail.html
3. 规则：BR-0095D7AD2DF5AD
4. 场景：SC-0ED39C3C5649A4
5. 未动态验证</x:v>
      </x:c>
    </x:row>
    <x:row r="206" ht="54" customHeight="1">
      <x:c r="A206" s="4" t="n">
        <x:v>205</x:v>
      </x:c>
      <x:c r="B206" s="4" t="str">
        <x:v>UWALLET-0002</x:v>
      </x:c>
      <x:c r="C206" s="4" t="str">
        <x:v>钱包与充值</x:v>
      </x:c>
      <x:c r="D206" s="4" t="str">
        <x:v>充值订单详情（用户视角）</x:v>
      </x:c>
      <x:c r="E206" s="4" t="str">
        <x:v>功能需求</x:v>
      </x:c>
      <x:c r="F206" s="4" t="str">
        <x:v>P1</x:v>
      </x:c>
      <x:c r="G206" s="4" t="str">
        <x:v>验证充值订单详情可查看购买套餐名称</x:v>
      </x:c>
      <x:c r="H206" s="4" t="str">
        <x:v>购买套餐名称展示</x:v>
      </x:c>
      <x:c r="I206" s="4" t="str">
        <x:v>1. 用户账号已登录且具备当前页面权限</x:v>
      </x:c>
      <x:c r="J206" s="4" t="str">
        <x:v>1. 进入充值订单详情
2. 查看购买套餐名称</x:v>
      </x:c>
      <x:c r="K206" s="4" t="str">
        <x:v>充值订单详情显示“购买套餐名称”</x:v>
      </x:c>
      <x:c r="L206" s="4" t="str"/>
      <x:c r="M206" s="4" t="str">
        <x:v>未测</x:v>
      </x:c>
      <x:c r="N206" s="4" t="str"/>
      <x:c r="O206" s="4" t="str">
        <x:v>1. 来源（原型批注）：liveshow-proto/prototype/annotations/user.js；order-income-detail.html
2. 页面：order-income-detail.html
3. 规则：BR-63EC5D88D766CD
4. 场景：SC-E0952F4766991A
5. 未动态验证</x:v>
      </x:c>
    </x:row>
    <x:row r="207" ht="54" customHeight="1">
      <x:c r="A207" s="4" t="n">
        <x:v>206</x:v>
      </x:c>
      <x:c r="B207" s="4" t="str">
        <x:v>UWALLET-0003</x:v>
      </x:c>
      <x:c r="C207" s="4" t="str">
        <x:v>钱包与充值</x:v>
      </x:c>
      <x:c r="D207" s="4" t="str">
        <x:v>充值订单详情（用户视角）</x:v>
      </x:c>
      <x:c r="E207" s="4" t="str">
        <x:v>功能需求</x:v>
      </x:c>
      <x:c r="F207" s="4" t="str">
        <x:v>P1</x:v>
      </x:c>
      <x:c r="G207" s="4" t="str">
        <x:v>验证充值订单详情可查看数量</x:v>
      </x:c>
      <x:c r="H207" s="4" t="str">
        <x:v>数量展示</x:v>
      </x:c>
      <x:c r="I207" s="4" t="str">
        <x:v>1. 用户账号已登录且具备当前页面权限</x:v>
      </x:c>
      <x:c r="J207" s="4" t="str">
        <x:v>1. 进入充值订单详情
2. 查看数量</x:v>
      </x:c>
      <x:c r="K207" s="4" t="str">
        <x:v>充值订单详情显示“数量”</x:v>
      </x:c>
      <x:c r="L207" s="4" t="str"/>
      <x:c r="M207" s="4" t="str">
        <x:v>未测</x:v>
      </x:c>
      <x:c r="N207" s="4" t="str"/>
      <x:c r="O207" s="4" t="str">
        <x:v>1. 来源（原型批注）：liveshow-proto/prototype/annotations/user.js；order-income-detail.html
2. 页面：order-income-detail.html
3. 规则：BR-E7F7F9BEB83E97
4. 场景：SC-FB54512B581187
5. 未动态验证</x:v>
      </x:c>
    </x:row>
    <x:row r="208" ht="54" customHeight="1">
      <x:c r="A208" s="4" t="n">
        <x:v>207</x:v>
      </x:c>
      <x:c r="B208" s="4" t="str">
        <x:v>UWALLET-0004</x:v>
      </x:c>
      <x:c r="C208" s="4" t="str">
        <x:v>钱包与充值</x:v>
      </x:c>
      <x:c r="D208" s="4" t="str">
        <x:v>充值订单详情（用户视角）</x:v>
      </x:c>
      <x:c r="E208" s="4" t="str">
        <x:v>功能需求</x:v>
      </x:c>
      <x:c r="F208" s="4" t="str">
        <x:v>P1</x:v>
      </x:c>
      <x:c r="G208" s="4" t="str">
        <x:v>验证充值订单详情可查看套餐金币 / 赠送金币</x:v>
      </x:c>
      <x:c r="H208" s="4" t="str">
        <x:v>套餐金币 / 赠送金币展示</x:v>
      </x:c>
      <x:c r="I208" s="4" t="str">
        <x:v>1. 用户账号已登录且具备当前页面权限</x:v>
      </x:c>
      <x:c r="J208" s="4" t="str">
        <x:v>1. 进入充值订单详情
2. 查看套餐金币 / 赠送金币</x:v>
      </x:c>
      <x:c r="K208" s="4" t="str">
        <x:v>充值订单详情显示“套餐金币 / 赠送金币”</x:v>
      </x:c>
      <x:c r="L208" s="4" t="str"/>
      <x:c r="M208" s="4" t="str">
        <x:v>未测</x:v>
      </x:c>
      <x:c r="N208" s="4" t="str"/>
      <x:c r="O208" s="4" t="str">
        <x:v>1. 来源（原型批注）：liveshow-proto/prototype/annotations/user.js；order-income-detail.html
2. 页面：order-income-detail.html
3. 规则：BR-47E3A0D9DBD857
4. 场景：SC-F4A9684E059C02
5. 未动态验证</x:v>
      </x:c>
    </x:row>
    <x:row r="209" ht="54" customHeight="1">
      <x:c r="A209" s="4" t="n">
        <x:v>208</x:v>
      </x:c>
      <x:c r="B209" s="4" t="str">
        <x:v>UWALLET-0005</x:v>
      </x:c>
      <x:c r="C209" s="4" t="str">
        <x:v>钱包与充值</x:v>
      </x:c>
      <x:c r="D209" s="4" t="str">
        <x:v>充值订单详情（用户视角）</x:v>
      </x:c>
      <x:c r="E209" s="4" t="str">
        <x:v>功能需求</x:v>
      </x:c>
      <x:c r="F209" s="4" t="str">
        <x:v>P1</x:v>
      </x:c>
      <x:c r="G209" s="4" t="str">
        <x:v>验证充值订单详情可查看支付金额</x:v>
      </x:c>
      <x:c r="H209" s="4" t="str">
        <x:v>支付金额展示</x:v>
      </x:c>
      <x:c r="I209" s="4" t="str">
        <x:v>1. 用户账号已登录且具备当前页面权限</x:v>
      </x:c>
      <x:c r="J209" s="4" t="str">
        <x:v>1. 进入充值订单详情
2. 查看支付金额</x:v>
      </x:c>
      <x:c r="K209" s="4" t="str">
        <x:v>充值订单详情显示“支付金额”</x:v>
      </x:c>
      <x:c r="L209" s="4" t="str"/>
      <x:c r="M209" s="4" t="str">
        <x:v>未测</x:v>
      </x:c>
      <x:c r="N209" s="4" t="str"/>
      <x:c r="O209" s="4" t="str">
        <x:v>1. 来源（原型批注）：liveshow-proto/prototype/annotations/user.js；order-income-detail.html
2. 页面：order-income-detail.html
3. 规则：BR-4EC331FE357E27
4. 场景：SC-CF6EFB888E54B0
5. 未动态验证</x:v>
      </x:c>
    </x:row>
    <x:row r="210" ht="54" customHeight="1">
      <x:c r="A210" s="4" t="n">
        <x:v>209</x:v>
      </x:c>
      <x:c r="B210" s="4" t="str">
        <x:v>UWALLET-0006</x:v>
      </x:c>
      <x:c r="C210" s="4" t="str">
        <x:v>钱包与充值</x:v>
      </x:c>
      <x:c r="D210" s="4" t="str">
        <x:v>充值订单详情（用户视角）</x:v>
      </x:c>
      <x:c r="E210" s="4" t="str">
        <x:v>功能需求</x:v>
      </x:c>
      <x:c r="F210" s="4" t="str">
        <x:v>P1</x:v>
      </x:c>
      <x:c r="G210" s="4" t="str">
        <x:v>验证充值订单详情可查看支付渠道</x:v>
      </x:c>
      <x:c r="H210" s="4" t="str">
        <x:v>支付渠道展示</x:v>
      </x:c>
      <x:c r="I210" s="4" t="str">
        <x:v>1. 用户账号已登录且具备当前页面权限</x:v>
      </x:c>
      <x:c r="J210" s="4" t="str">
        <x:v>1. 进入充值订单详情
2. 查看支付渠道</x:v>
      </x:c>
      <x:c r="K210" s="4" t="str">
        <x:v>充值订单详情显示“支付渠道”</x:v>
      </x:c>
      <x:c r="L210" s="4" t="str"/>
      <x:c r="M210" s="4" t="str">
        <x:v>未测</x:v>
      </x:c>
      <x:c r="N210" s="4" t="str"/>
      <x:c r="O210" s="4" t="str">
        <x:v>1. 来源（原型批注）：liveshow-proto/prototype/annotations/user.js；order-income-detail.html
2. 页面：order-income-detail.html
3. 规则：BR-741D6615462BD4
4. 场景：SC-3210C4D3003DA7
5. 未动态验证</x:v>
      </x:c>
    </x:row>
    <x:row r="211" ht="54" customHeight="1">
      <x:c r="A211" s="4" t="n">
        <x:v>210</x:v>
      </x:c>
      <x:c r="B211" s="4" t="str">
        <x:v>UWALLET-0007</x:v>
      </x:c>
      <x:c r="C211" s="4" t="str">
        <x:v>钱包与充值</x:v>
      </x:c>
      <x:c r="D211" s="4" t="str">
        <x:v>充值订单详情（用户视角）</x:v>
      </x:c>
      <x:c r="E211" s="4" t="str">
        <x:v>功能需求</x:v>
      </x:c>
      <x:c r="F211" s="4" t="str">
        <x:v>P1</x:v>
      </x:c>
      <x:c r="G211" s="4" t="str">
        <x:v>验证充值订单详情可查看支付时间</x:v>
      </x:c>
      <x:c r="H211" s="4" t="str">
        <x:v>支付时间展示</x:v>
      </x:c>
      <x:c r="I211" s="4" t="str">
        <x:v>1. 用户账号已登录且具备当前页面权限</x:v>
      </x:c>
      <x:c r="J211" s="4" t="str">
        <x:v>1. 进入充值订单详情
2. 查看支付时间</x:v>
      </x:c>
      <x:c r="K211" s="4" t="str">
        <x:v>充值订单详情显示“支付时间”</x:v>
      </x:c>
      <x:c r="L211" s="4" t="str"/>
      <x:c r="M211" s="4" t="str">
        <x:v>未测</x:v>
      </x:c>
      <x:c r="N211" s="4" t="str"/>
      <x:c r="O211" s="4" t="str">
        <x:v>1. 来源（原型批注）：liveshow-proto/prototype/annotations/user.js；order-income-detail.html
2. 页面：order-income-detail.html
3. 规则：BR-8B82B0CDB34551
4. 场景：SC-39A877CF2DD2EA
5. 未动态验证</x:v>
      </x:c>
    </x:row>
    <x:row r="212" ht="54" customHeight="1">
      <x:c r="A212" s="4" t="n">
        <x:v>211</x:v>
      </x:c>
      <x:c r="B212" s="4" t="str">
        <x:v>UWALLET-0008</x:v>
      </x:c>
      <x:c r="C212" s="4" t="str">
        <x:v>钱包与充值</x:v>
      </x:c>
      <x:c r="D212" s="4" t="str">
        <x:v>充值订单详情（用户视角）</x:v>
      </x:c>
      <x:c r="E212" s="4" t="str">
        <x:v>业务流程</x:v>
      </x:c>
      <x:c r="F212" s="4" t="str">
        <x:v>P1</x:v>
      </x:c>
      <x:c r="G212" s="4" t="str">
        <x:v>验证订单状态变化后的充值订单详情状态</x:v>
      </x:c>
      <x:c r="H212" s="4" t="str">
        <x:v>充值订单详情状态</x:v>
      </x:c>
      <x:c r="I212" s="4" t="str">
        <x:v>1. 用户账号已登录且具备当前页面权限
2. 订单状态变化</x:v>
      </x:c>
      <x:c r="J212" s="4" t="str">
        <x:v>1. 进入充值订单详情
2. 刷新充值订单详情</x:v>
      </x:c>
      <x:c r="K212" s="4" t="str">
        <x:v>刷新状态、时间和关联余额流水</x:v>
      </x:c>
      <x:c r="L212" s="4" t="str"/>
      <x:c r="M212" s="4" t="str">
        <x:v>未测</x:v>
      </x:c>
      <x:c r="N212" s="4" t="str"/>
      <x:c r="O212" s="4" t="str">
        <x:v>1. 来源（原型批注）：liveshow-proto/prototype/annotations/user.js；order-income-detail.html
2. 页面：order-income-detail.html
3. 规则：BR-66076ED4C5B463
4. 场景：SC-F1B0A494403C45
5. 未动态验证</x:v>
      </x:c>
    </x:row>
    <x:row r="213" ht="54" customHeight="1">
      <x:c r="A213" s="4" t="n">
        <x:v>212</x:v>
      </x:c>
      <x:c r="B213" s="4" t="str">
        <x:v>UWALLET-0009</x:v>
      </x:c>
      <x:c r="C213" s="4" t="str">
        <x:v>钱包与充值</x:v>
      </x:c>
      <x:c r="D213" s="4" t="str">
        <x:v>充值订单详情（用户视角）</x:v>
      </x:c>
      <x:c r="E213" s="4" t="str">
        <x:v>业务流程</x:v>
      </x:c>
      <x:c r="F213" s="4" t="str">
        <x:v>P1</x:v>
      </x:c>
      <x:c r="G213" s="4" t="str">
        <x:v>验证返回后的充值订单详情状态</x:v>
      </x:c>
      <x:c r="H213" s="4" t="str">
        <x:v>充值订单详情状态</x:v>
      </x:c>
      <x:c r="I213" s="4" t="str">
        <x:v>1. 用户账号已登录且具备当前页面权限</x:v>
      </x:c>
      <x:c r="J213" s="4" t="str">
        <x:v>1. 进入充值订单详情
2. 返回</x:v>
      </x:c>
      <x:c r="K213" s="4" t="str">
        <x:v>保留筛选位置</x:v>
      </x:c>
      <x:c r="L213" s="4" t="str"/>
      <x:c r="M213" s="4" t="str">
        <x:v>未测</x:v>
      </x:c>
      <x:c r="N213" s="4" t="str"/>
      <x:c r="O213" s="4" t="str">
        <x:v>1. 来源（原型批注）：liveshow-proto/prototype/annotations/user.js；order-income-detail.html
2. 页面：order-income-detail.html
3. 规则：BR-1A550345B0F7FB
4. 场景：SC-3884BA159F1376
5. 未动态验证</x:v>
      </x:c>
    </x:row>
    <x:row r="214" ht="54" customHeight="1">
      <x:c r="A214" s="4" t="n">
        <x:v>213</x:v>
      </x:c>
      <x:c r="B214" s="4" t="str">
        <x:v>UWALLET-0010</x:v>
      </x:c>
      <x:c r="C214" s="4" t="str">
        <x:v>钱包与充值</x:v>
      </x:c>
      <x:c r="D214" s="4" t="str">
        <x:v>余额充值（用户视角）</x:v>
      </x:c>
      <x:c r="E214" s="4" t="str">
        <x:v>功能需求</x:v>
      </x:c>
      <x:c r="F214" s="4" t="str">
        <x:v>P1</x:v>
      </x:c>
      <x:c r="G214" s="4" t="str">
        <x:v>验证失败、超时的余额充值结果</x:v>
      </x:c>
      <x:c r="H214" s="4" t="str">
        <x:v>余额充值条件结果</x:v>
      </x:c>
      <x:c r="I214" s="4" t="str">
        <x:v>1. 用户账号已登录且具备当前页面权限
2. 失败、超</x:v>
      </x:c>
      <x:c r="J214" s="4" t="str">
        <x:v>1. 进入余额充值
2. 查看余额充值</x:v>
      </x:c>
      <x:c r="K214" s="4" t="str">
        <x:v>或取消不增加余额</x:v>
      </x:c>
      <x:c r="L214" s="4" t="str"/>
      <x:c r="M214" s="4" t="str">
        <x:v>未测</x:v>
      </x:c>
      <x:c r="N214" s="4" t="str"/>
      <x:c r="O214" s="4" t="str">
        <x:v>1. 来源（原型批注）：liveshow-proto/prototype/annotations/user.js；recharge.html
2. 页面：recharge.html
3. 规则：BR-2E3CA85EDFF0DB
4. 场景：SC-0EF124785CB5E2
5. 未动态验证</x:v>
      </x:c>
    </x:row>
    <x:row r="215" ht="54" customHeight="1">
      <x:c r="A215" s="4" t="n">
        <x:v>214</x:v>
      </x:c>
      <x:c r="B215" s="4" t="str">
        <x:v>UWALLET-0011</x:v>
      </x:c>
      <x:c r="C215" s="4" t="str">
        <x:v>钱包与充值</x:v>
      </x:c>
      <x:c r="D215" s="4" t="str">
        <x:v>余额充值（用户视角）</x:v>
      </x:c>
      <x:c r="E215" s="4" t="str">
        <x:v>业务流程</x:v>
      </x:c>
      <x:c r="F215" s="4" t="str">
        <x:v>P1</x:v>
      </x:c>
      <x:c r="G215" s="4" t="str">
        <x:v>验证选择套餐和渠道并支付成功后的余额充值状态</x:v>
      </x:c>
      <x:c r="H215" s="4" t="str">
        <x:v>余额充值状态</x:v>
      </x:c>
      <x:c r="I215" s="4" t="str">
        <x:v>1. 用户账号已登录且具备当前页面权限</x:v>
      </x:c>
      <x:c r="J215" s="4" t="str">
        <x:v>1. 进入余额充值
2. 选择套餐和渠道并支付成功</x:v>
      </x:c>
      <x:c r="K215" s="4" t="str">
        <x:v>更新余额</x:v>
      </x:c>
      <x:c r="L215" s="4" t="str"/>
      <x:c r="M215" s="4" t="str">
        <x:v>未测</x:v>
      </x:c>
      <x:c r="N215" s="4" t="str"/>
      <x:c r="O215" s="4" t="str">
        <x:v>1. 来源（原型批注）：liveshow-proto/prototype/annotations/user.js；recharge.html
2. 页面：recharge.html
3. 规则：BR-6938F9805CDEDA
4. 场景：SC-69DEB7E148BC3F
5. 未动态验证</x:v>
      </x:c>
    </x:row>
    <x:row r="216" ht="54" customHeight="1">
      <x:c r="A216" s="4" t="n">
        <x:v>215</x:v>
      </x:c>
      <x:c r="B216" s="4" t="str">
        <x:v>UWALLET-0012</x:v>
      </x:c>
      <x:c r="C216" s="4" t="str">
        <x:v>钱包与充值</x:v>
      </x:c>
      <x:c r="D216" s="4" t="str">
        <x:v>余额充值（用户视角）</x:v>
      </x:c>
      <x:c r="E216" s="4" t="str">
        <x:v>功能需求</x:v>
      </x:c>
      <x:c r="F216" s="4" t="str">
        <x:v>P1</x:v>
      </x:c>
      <x:c r="G216" s="4" t="str">
        <x:v>验证余额不足时的余额充值结果</x:v>
      </x:c>
      <x:c r="H216" s="4" t="str">
        <x:v>余额充值条件结果</x:v>
      </x:c>
      <x:c r="I216" s="4" t="str">
        <x:v>1. 用户账号已登录且具备当前页面权限
2. 余额不足</x:v>
      </x:c>
      <x:c r="J216" s="4" t="str">
        <x:v>1. 进入余额充值
2. 查看余额充值</x:v>
      </x:c>
      <x:c r="K216" s="4" t="str">
        <x:v>允许为负，后续充值先抵扣负余额</x:v>
      </x:c>
      <x:c r="L216" s="4" t="str"/>
      <x:c r="M216" s="4" t="str">
        <x:v>未测</x:v>
      </x:c>
      <x:c r="N216" s="4" t="str"/>
      <x:c r="O216" s="4" t="str">
        <x:v>1. 来源（原型批注）：liveshow-proto/prototype/annotations/user.js；recharge.html
2. 页面：recharge.html
3. 规则：BR-BA6EB7294657FE
4. 场景：SC-F018B14E286185
5. 未动态验证</x:v>
      </x:c>
    </x:row>
    <x:row r="217" ht="54" customHeight="1">
      <x:c r="A217" s="4" t="n">
        <x:v>216</x:v>
      </x:c>
      <x:c r="B217" s="4" t="str">
        <x:v>UWALLET-0013</x:v>
      </x:c>
      <x:c r="C217" s="4" t="str">
        <x:v>钱包与充值</x:v>
      </x:c>
      <x:c r="D217" s="4" t="str">
        <x:v>余额充值（用户视角）</x:v>
      </x:c>
      <x:c r="E217" s="4" t="str">
        <x:v>逻辑校验</x:v>
      </x:c>
      <x:c r="F217" s="4" t="str">
        <x:v>P1</x:v>
      </x:c>
      <x:c r="G217" s="4" t="str">
        <x:v>验证余额充值按指定范围筛选</x:v>
      </x:c>
      <x:c r="H217" s="4" t="str">
        <x:v>余额充值数据范围</x:v>
      </x:c>
      <x:c r="I217" s="4" t="str">
        <x:v>1. 用户账号已登录且具备当前页面权限
2. 存在符合和不符合“当前账号可见的活动和充值套餐”的记录</x:v>
      </x:c>
      <x:c r="J217" s="4" t="str">
        <x:v>1. 进入余额充值
2. 查看余额充值</x:v>
      </x:c>
      <x:c r="K217" s="4" t="str">
        <x:v>数据范围：当前账号可见的活动和充值套餐</x:v>
      </x:c>
      <x:c r="L217" s="4" t="str"/>
      <x:c r="M217" s="4" t="str">
        <x:v>未测</x:v>
      </x:c>
      <x:c r="N217" s="4" t="str"/>
      <x:c r="O217" s="4" t="str">
        <x:v>1. 来源（原型批注）：liveshow-proto/prototype/annotations/user.js；recharge.html
2. 页面：recharge.html
3. 规则：BR-544ED150AC3308
4. 场景：SC-76DFD36C4DCB14
5. 未动态验证</x:v>
      </x:c>
    </x:row>
    <x:row r="218" ht="54" customHeight="1">
      <x:c r="A218" s="4" t="n">
        <x:v>217</x:v>
      </x:c>
      <x:c r="B218" s="4" t="str">
        <x:v>UWALLET-0014</x:v>
      </x:c>
      <x:c r="C218" s="4" t="str">
        <x:v>钱包与充值</x:v>
      </x:c>
      <x:c r="D218" s="4" t="str">
        <x:v>余额充值（用户视角）</x:v>
      </x:c>
      <x:c r="E218" s="4" t="str">
        <x:v>功能需求</x:v>
      </x:c>
      <x:c r="F218" s="4" t="str">
        <x:v>P1</x:v>
      </x:c>
      <x:c r="G218" s="4" t="str">
        <x:v>验证余额充值可查看充值套餐</x:v>
      </x:c>
      <x:c r="H218" s="4" t="str">
        <x:v>充值套餐展示</x:v>
      </x:c>
      <x:c r="I218" s="4" t="str">
        <x:v>1. 用户账号已登录且具备当前页面权限</x:v>
      </x:c>
      <x:c r="J218" s="4" t="str">
        <x:v>1. 进入余额充值
2. 查看充值套餐</x:v>
      </x:c>
      <x:c r="K218" s="4" t="str">
        <x:v>余额充值显示“充值套餐”</x:v>
      </x:c>
      <x:c r="L218" s="4" t="str"/>
      <x:c r="M218" s="4" t="str">
        <x:v>未测</x:v>
      </x:c>
      <x:c r="N218" s="4" t="str"/>
      <x:c r="O218" s="4" t="str">
        <x:v>1. 来源（原型批注）：liveshow-proto/prototype/annotations/user.js；recharge.html
2. 页面：recharge.html
3. 规则：BR-A7935DBB6D3AED
4. 场景：SC-FC4E504F5EC43F
5. 未动态验证</x:v>
      </x:c>
    </x:row>
    <x:row r="219" ht="54" customHeight="1">
      <x:c r="A219" s="4" t="n">
        <x:v>218</x:v>
      </x:c>
      <x:c r="B219" s="4" t="str">
        <x:v>UWALLET-0015</x:v>
      </x:c>
      <x:c r="C219" s="4" t="str">
        <x:v>钱包与充值</x:v>
      </x:c>
      <x:c r="D219" s="4" t="str">
        <x:v>余额充值（用户视角）</x:v>
      </x:c>
      <x:c r="E219" s="4" t="str">
        <x:v>功能需求</x:v>
      </x:c>
      <x:c r="F219" s="4" t="str">
        <x:v>P1</x:v>
      </x:c>
      <x:c r="G219" s="4" t="str">
        <x:v>验证余额充值可查看到账金币</x:v>
      </x:c>
      <x:c r="H219" s="4" t="str">
        <x:v>到账金币展示</x:v>
      </x:c>
      <x:c r="I219" s="4" t="str">
        <x:v>1. 用户账号已登录且具备当前页面权限</x:v>
      </x:c>
      <x:c r="J219" s="4" t="str">
        <x:v>1. 进入余额充值
2. 查看到账金币</x:v>
      </x:c>
      <x:c r="K219" s="4" t="str">
        <x:v>余额充值显示“到账金币”</x:v>
      </x:c>
      <x:c r="L219" s="4" t="str"/>
      <x:c r="M219" s="4" t="str">
        <x:v>未测</x:v>
      </x:c>
      <x:c r="N219" s="4" t="str"/>
      <x:c r="O219" s="4" t="str">
        <x:v>1. 来源（原型批注）：liveshow-proto/prototype/annotations/user.js；recharge.html
2. 页面：recharge.html
3. 规则：BR-9514F9D10148B0
4. 场景：SC-7531313BAE7591
5. 未动态验证</x:v>
      </x:c>
    </x:row>
    <x:row r="220" ht="54" customHeight="1">
      <x:c r="A220" s="4" t="n">
        <x:v>219</x:v>
      </x:c>
      <x:c r="B220" s="4" t="str">
        <x:v>UWALLET-0016</x:v>
      </x:c>
      <x:c r="C220" s="4" t="str">
        <x:v>钱包与充值</x:v>
      </x:c>
      <x:c r="D220" s="4" t="str">
        <x:v>余额充值（用户视角）</x:v>
      </x:c>
      <x:c r="E220" s="4" t="str">
        <x:v>功能需求</x:v>
      </x:c>
      <x:c r="F220" s="4" t="str">
        <x:v>P1</x:v>
      </x:c>
      <x:c r="G220" s="4" t="str">
        <x:v>验证余额充值可查看支付渠道</x:v>
      </x:c>
      <x:c r="H220" s="4" t="str">
        <x:v>支付渠道展示</x:v>
      </x:c>
      <x:c r="I220" s="4" t="str">
        <x:v>1. 用户账号已登录且具备当前页面权限</x:v>
      </x:c>
      <x:c r="J220" s="4" t="str">
        <x:v>1. 进入余额充值
2. 查看支付渠道</x:v>
      </x:c>
      <x:c r="K220" s="4" t="str">
        <x:v>余额充值显示“支付渠道”</x:v>
      </x:c>
      <x:c r="L220" s="4" t="str"/>
      <x:c r="M220" s="4" t="str">
        <x:v>未测</x:v>
      </x:c>
      <x:c r="N220" s="4" t="str"/>
      <x:c r="O220" s="4" t="str">
        <x:v>1. 来源（原型批注）：liveshow-proto/prototype/annotations/user.js；recharge.html
2. 页面：recharge.html
3. 规则：BR-EEAB1271B691DD
4. 场景：SC-5A2920294B2ADA
5. 未动态验证</x:v>
      </x:c>
    </x:row>
    <x:row r="221" ht="54" customHeight="1">
      <x:c r="A221" s="4" t="n">
        <x:v>220</x:v>
      </x:c>
      <x:c r="B221" s="4" t="str">
        <x:v>UWALLET-0017</x:v>
      </x:c>
      <x:c r="C221" s="4" t="str">
        <x:v>钱包与充值</x:v>
      </x:c>
      <x:c r="D221" s="4" t="str">
        <x:v>余额明细（用户视角）</x:v>
      </x:c>
      <x:c r="E221" s="4" t="str">
        <x:v>业务流程</x:v>
      </x:c>
      <x:c r="F221" s="4" t="str">
        <x:v>P1</x:v>
      </x:c>
      <x:c r="G221" s="4" t="str">
        <x:v>验证点击流水后的余额明细状态</x:v>
      </x:c>
      <x:c r="H221" s="4" t="str">
        <x:v>余额明细状态</x:v>
      </x:c>
      <x:c r="I221" s="4" t="str">
        <x:v>1. 用户账号已登录且具备当前页面权限</x:v>
      </x:c>
      <x:c r="J221" s="4" t="str">
        <x:v>1. 进入余额明细
2. 点击流水</x:v>
      </x:c>
      <x:c r="K221" s="4" t="str">
        <x:v>按类型进入充值或支出详情</x:v>
      </x:c>
      <x:c r="L221" s="4" t="str"/>
      <x:c r="M221" s="4" t="str">
        <x:v>未测</x:v>
      </x:c>
      <x:c r="N221" s="4" t="str"/>
      <x:c r="O221" s="4" t="str">
        <x:v>1. 来源（原型批注）：liveshow-proto/prototype/annotations/user.js；balance-detail.html
2. 页面：balance-detail.html
3. 规则：BR-A860A3D4B5007F
4. 场景：SC-E184A87BFF3B02
5. 未动态验证</x:v>
      </x:c>
    </x:row>
    <x:row r="222" ht="54" customHeight="1">
      <x:c r="A222" s="4" t="n">
        <x:v>221</x:v>
      </x:c>
      <x:c r="B222" s="4" t="str">
        <x:v>UWALLET-0018</x:v>
      </x:c>
      <x:c r="C222" s="4" t="str">
        <x:v>钱包与充值</x:v>
      </x:c>
      <x:c r="D222" s="4" t="str">
        <x:v>余额明细（用户视角）</x:v>
      </x:c>
      <x:c r="E222" s="4" t="str">
        <x:v>功能需求</x:v>
      </x:c>
      <x:c r="F222" s="4" t="str">
        <x:v>P1</x:v>
      </x:c>
      <x:c r="G222" s="4" t="str">
        <x:v>验证无法关联订单的赠送、任务等奖励只时的余额明细结果</x:v>
      </x:c>
      <x:c r="H222" s="4" t="str">
        <x:v>余额明细条件结果</x:v>
      </x:c>
      <x:c r="I222" s="4" t="str">
        <x:v>1. 用户账号已登录且具备当前页面权限
2. 无法关联订单的赠送、任务等奖励只</x:v>
      </x:c>
      <x:c r="J222" s="4" t="str">
        <x:v>1. 进入余额明细
2. 查看余额明细</x:v>
      </x:c>
      <x:c r="K222" s="4" t="str">
        <x:v>无法关联订单的赠送、任务等奖励只展示流水信息</x:v>
      </x:c>
      <x:c r="L222" s="4" t="str"/>
      <x:c r="M222" s="4" t="str">
        <x:v>未测</x:v>
      </x:c>
      <x:c r="N222" s="4" t="str"/>
      <x:c r="O222" s="4" t="str">
        <x:v>1. 来源（原型批注）：liveshow-proto/prototype/annotations/user.js；balance-detail.html
2. 页面：balance-detail.html
3. 规则：BR-D16E2E5388BD0A
4. 场景：SC-BF40277A857987
5. 未动态验证</x:v>
      </x:c>
    </x:row>
    <x:row r="223" ht="54" customHeight="1">
      <x:c r="A223" s="4" t="n">
        <x:v>222</x:v>
      </x:c>
      <x:c r="B223" s="4" t="str">
        <x:v>UWALLET-0019</x:v>
      </x:c>
      <x:c r="C223" s="4" t="str">
        <x:v>钱包与充值</x:v>
      </x:c>
      <x:c r="D223" s="4" t="str">
        <x:v>余额明细（用户视角）</x:v>
      </x:c>
      <x:c r="E223" s="4" t="str">
        <x:v>逻辑校验</x:v>
      </x:c>
      <x:c r="F223" s="4" t="str">
        <x:v>P1</x:v>
      </x:c>
      <x:c r="G223" s="4" t="str">
        <x:v>验证余额明细按指定范围筛选</x:v>
      </x:c>
      <x:c r="H223" s="4" t="str">
        <x:v>余额明细数据范围</x:v>
      </x:c>
      <x:c r="I223" s="4" t="str">
        <x:v>1. 用户账号已登录且具备当前页面权限
2. 存在符合和不符合“当前登录账号的金币流水”的记录</x:v>
      </x:c>
      <x:c r="J223" s="4" t="str">
        <x:v>1. 进入余额明细
2. 查看余额明细</x:v>
      </x:c>
      <x:c r="K223" s="4" t="str">
        <x:v>数据范围：当前登录账号的金币流水</x:v>
      </x:c>
      <x:c r="L223" s="4" t="str"/>
      <x:c r="M223" s="4" t="str">
        <x:v>未测</x:v>
      </x:c>
      <x:c r="N223" s="4" t="str"/>
      <x:c r="O223" s="4" t="str">
        <x:v>1. 来源（原型批注）：liveshow-proto/prototype/annotations/user.js；balance-detail.html
2. 页面：balance-detail.html
3. 规则：BR-2B15E9227BB26C
4. 场景：SC-35577400CB0A25
5. 未动态验证</x:v>
      </x:c>
    </x:row>
    <x:row r="224" ht="54" customHeight="1">
      <x:c r="A224" s="4" t="n">
        <x:v>223</x:v>
      </x:c>
      <x:c r="B224" s="4" t="str">
        <x:v>UWALLET-0020</x:v>
      </x:c>
      <x:c r="C224" s="4" t="str">
        <x:v>钱包与充值</x:v>
      </x:c>
      <x:c r="D224" s="4" t="str">
        <x:v>余额明细（用户视角）</x:v>
      </x:c>
      <x:c r="E224" s="4" t="str">
        <x:v>功能需求</x:v>
      </x:c>
      <x:c r="F224" s="4" t="str">
        <x:v>P1</x:v>
      </x:c>
      <x:c r="G224" s="4" t="str">
        <x:v>验证余额明细可查看变动金币</x:v>
      </x:c>
      <x:c r="H224" s="4" t="str">
        <x:v>变动金币展示</x:v>
      </x:c>
      <x:c r="I224" s="4" t="str">
        <x:v>1. 用户账号已登录且具备当前页面权限</x:v>
      </x:c>
      <x:c r="J224" s="4" t="str">
        <x:v>1. 进入余额明细
2. 查看变动金币</x:v>
      </x:c>
      <x:c r="K224" s="4" t="str">
        <x:v>余额明细显示“变动金币”</x:v>
      </x:c>
      <x:c r="L224" s="4" t="str"/>
      <x:c r="M224" s="4" t="str">
        <x:v>未测</x:v>
      </x:c>
      <x:c r="N224" s="4" t="str"/>
      <x:c r="O224" s="4" t="str">
        <x:v>1. 来源（原型批注）：liveshow-proto/prototype/annotations/user.js；balance-detail.html
2. 页面：balance-detail.html
3. 规则：BR-F74845F54D0E14
4. 场景：SC-A4EF85A8F367BC
5. 未动态验证</x:v>
      </x:c>
    </x:row>
    <x:row r="225" ht="54" customHeight="1">
      <x:c r="A225" s="4" t="n">
        <x:v>224</x:v>
      </x:c>
      <x:c r="B225" s="4" t="str">
        <x:v>UWALLET-0021</x:v>
      </x:c>
      <x:c r="C225" s="4" t="str">
        <x:v>钱包与充值</x:v>
      </x:c>
      <x:c r="D225" s="4" t="str">
        <x:v>余额明细（用户视角）</x:v>
      </x:c>
      <x:c r="E225" s="4" t="str">
        <x:v>功能需求</x:v>
      </x:c>
      <x:c r="F225" s="4" t="str">
        <x:v>P1</x:v>
      </x:c>
      <x:c r="G225" s="4" t="str">
        <x:v>验证余额明细可查看变动类型</x:v>
      </x:c>
      <x:c r="H225" s="4" t="str">
        <x:v>变动类型展示</x:v>
      </x:c>
      <x:c r="I225" s="4" t="str">
        <x:v>1. 用户账号已登录且具备当前页面权限</x:v>
      </x:c>
      <x:c r="J225" s="4" t="str">
        <x:v>1. 进入余额明细
2. 查看变动类型</x:v>
      </x:c>
      <x:c r="K225" s="4" t="str">
        <x:v>余额明细显示“变动类型”</x:v>
      </x:c>
      <x:c r="L225" s="4" t="str"/>
      <x:c r="M225" s="4" t="str">
        <x:v>未测</x:v>
      </x:c>
      <x:c r="N225" s="4" t="str"/>
      <x:c r="O225" s="4" t="str">
        <x:v>1. 来源（原型批注）：liveshow-proto/prototype/annotations/user.js；balance-detail.html
2. 页面：balance-detail.html
3. 规则：BR-6E14C24BAE266E
4. 场景：SC-5ADBBBFAD8A08F
5. 未动态验证</x:v>
      </x:c>
    </x:row>
    <x:row r="226" ht="54" customHeight="1">
      <x:c r="A226" s="4" t="n">
        <x:v>225</x:v>
      </x:c>
      <x:c r="B226" s="4" t="str">
        <x:v>UWALLET-0022</x:v>
      </x:c>
      <x:c r="C226" s="4" t="str">
        <x:v>钱包与充值</x:v>
      </x:c>
      <x:c r="D226" s="4" t="str">
        <x:v>余额明细（用户视角）</x:v>
      </x:c>
      <x:c r="E226" s="4" t="str">
        <x:v>功能需求</x:v>
      </x:c>
      <x:c r="F226" s="4" t="str">
        <x:v>P1</x:v>
      </x:c>
      <x:c r="G226" s="4" t="str">
        <x:v>验证余额明细可查看发生时间</x:v>
      </x:c>
      <x:c r="H226" s="4" t="str">
        <x:v>发生时间展示</x:v>
      </x:c>
      <x:c r="I226" s="4" t="str">
        <x:v>1. 用户账号已登录且具备当前页面权限</x:v>
      </x:c>
      <x:c r="J226" s="4" t="str">
        <x:v>1. 进入余额明细
2. 查看发生时间</x:v>
      </x:c>
      <x:c r="K226" s="4" t="str">
        <x:v>余额明细显示“发生时间”</x:v>
      </x:c>
      <x:c r="L226" s="4" t="str"/>
      <x:c r="M226" s="4" t="str">
        <x:v>未测</x:v>
      </x:c>
      <x:c r="N226" s="4" t="str"/>
      <x:c r="O226" s="4" t="str">
        <x:v>1. 来源（原型批注）：liveshow-proto/prototype/annotations/user.js；balance-detail.html
2. 页面：balance-detail.html
3. 规则：BR-D3C038461F8C2A
4. 场景：SC-8B8981C47F2A29
5. 未动态验证</x:v>
      </x:c>
    </x:row>
    <x:row r="227" ht="54" customHeight="1">
      <x:c r="A227" s="4" t="n">
        <x:v>226</x:v>
      </x:c>
      <x:c r="B227" s="4" t="str">
        <x:v>UWALLET-0023</x:v>
      </x:c>
      <x:c r="C227" s="4" t="str">
        <x:v>钱包与充值</x:v>
      </x:c>
      <x:c r="D227" s="4" t="str">
        <x:v>余额明细（用户视角）</x:v>
      </x:c>
      <x:c r="E227" s="4" t="str">
        <x:v>功能需求</x:v>
      </x:c>
      <x:c r="F227" s="4" t="str">
        <x:v>P1</x:v>
      </x:c>
      <x:c r="G227" s="4" t="str">
        <x:v>验证余额允许因退款为负，负余额时的余额明细结果</x:v>
      </x:c>
      <x:c r="H227" s="4" t="str">
        <x:v>余额明细条件结果</x:v>
      </x:c>
      <x:c r="I227" s="4" t="str">
        <x:v>1. 用户账号已登录且具备当前页面权限
2. 余额允许因退款为负，负余额</x:v>
      </x:c>
      <x:c r="J227" s="4" t="str">
        <x:v>1. 进入余额明细
2. 查看余额明细</x:v>
      </x:c>
      <x:c r="K227" s="4" t="str">
        <x:v>不可消费，后续充值先抵扣负值</x:v>
      </x:c>
      <x:c r="L227" s="4" t="str"/>
      <x:c r="M227" s="4" t="str">
        <x:v>未测</x:v>
      </x:c>
      <x:c r="N227" s="4" t="str"/>
      <x:c r="O227" s="4" t="str">
        <x:v>1. 来源（原型批注）：liveshow-proto/prototype/annotations/user.js；balance-detail.html
2. 页面：balance-detail.html
3. 规则：BR-67A1F991C9C2CE
4. 场景：SC-688769D66D4544
5. 未动态验证</x:v>
      </x:c>
    </x:row>
    <x:row r="228" ht="54" customHeight="1">
      <x:c r="A228" s="4" t="n">
        <x:v>227</x:v>
      </x:c>
      <x:c r="B228" s="4" t="str">
        <x:v>UWALLET-0024</x:v>
      </x:c>
      <x:c r="C228" s="4" t="str">
        <x:v>钱包与充值</x:v>
      </x:c>
      <x:c r="D228" s="4" t="str">
        <x:v>支出订单详情（用户视角）</x:v>
      </x:c>
      <x:c r="E228" s="4" t="str">
        <x:v>业务流程</x:v>
      </x:c>
      <x:c r="F228" s="4" t="str">
        <x:v>P1</x:v>
      </x:c>
      <x:c r="G228" s="4" t="str">
        <x:v>验证点击业务对象后的支出订单详情状态</x:v>
      </x:c>
      <x:c r="H228" s="4" t="str">
        <x:v>支出订单详情状态</x:v>
      </x:c>
      <x:c r="I228" s="4" t="str">
        <x:v>1. 用户账号已登录且具备当前页面权限</x:v>
      </x:c>
      <x:c r="J228" s="4" t="str">
        <x:v>1. 进入支出订单详情
2. 点击业务对象</x:v>
      </x:c>
      <x:c r="K228" s="4" t="str">
        <x:v>进入仍可访问的主播或场次信息</x:v>
      </x:c>
      <x:c r="L228" s="4" t="str"/>
      <x:c r="M228" s="4" t="str">
        <x:v>未测</x:v>
      </x:c>
      <x:c r="N228" s="4" t="str"/>
      <x:c r="O228" s="4" t="str">
        <x:v>1. 来源（原型批注）：liveshow-proto/prototype/annotations/user.js；order-expense-detail.html
2. 页面：order-expense-detail.html
3. 规则：BR-A8B1799995F943
4. 场景：SC-A3983833D54F74
5. 未动态验证</x:v>
      </x:c>
    </x:row>
    <x:row r="229" ht="54" customHeight="1">
      <x:c r="A229" s="4" t="n">
        <x:v>228</x:v>
      </x:c>
      <x:c r="B229" s="4" t="str">
        <x:v>UWALLET-0025</x:v>
      </x:c>
      <x:c r="C229" s="4" t="str">
        <x:v>钱包与充值</x:v>
      </x:c>
      <x:c r="D229" s="4" t="str">
        <x:v>支出订单详情（用户视角）</x:v>
      </x:c>
      <x:c r="E229" s="4" t="str">
        <x:v>功能需求</x:v>
      </x:c>
      <x:c r="F229" s="4" t="str">
        <x:v>P1</x:v>
      </x:c>
      <x:c r="G229" s="4" t="str">
        <x:v>验证对象已失效时的支出订单详情结果</x:v>
      </x:c>
      <x:c r="H229" s="4" t="str">
        <x:v>支出订单详情条件结果</x:v>
      </x:c>
      <x:c r="I229" s="4" t="str">
        <x:v>1. 用户账号已登录且具备当前页面权限
2. 对象已失效</x:v>
      </x:c>
      <x:c r="J229" s="4" t="str">
        <x:v>1. 进入支出订单详情
2. 查看支出订单详情</x:v>
      </x:c>
      <x:c r="K229" s="4" t="str">
        <x:v>仅保留订单快照，不重新发起消费</x:v>
      </x:c>
      <x:c r="L229" s="4" t="str"/>
      <x:c r="M229" s="4" t="str">
        <x:v>未测</x:v>
      </x:c>
      <x:c r="N229" s="4" t="str"/>
      <x:c r="O229" s="4" t="str">
        <x:v>1. 来源（原型批注）：liveshow-proto/prototype/annotations/user.js；order-expense-detail.html
2. 页面：order-expense-detail.html
3. 规则：BR-CAC37E9B867DC0
4. 场景：SC-6CE0D67B21699B
5. 未动态验证</x:v>
      </x:c>
    </x:row>
    <x:row r="230" ht="54" customHeight="1">
      <x:c r="A230" s="4" t="n">
        <x:v>229</x:v>
      </x:c>
      <x:c r="B230" s="4" t="str">
        <x:v>UWALLET-0026</x:v>
      </x:c>
      <x:c r="C230" s="4" t="str">
        <x:v>钱包与充值</x:v>
      </x:c>
      <x:c r="D230" s="4" t="str">
        <x:v>支出订单详情（用户视角）</x:v>
      </x:c>
      <x:c r="E230" s="4" t="str">
        <x:v>功能需求</x:v>
      </x:c>
      <x:c r="F230" s="4" t="str">
        <x:v>P1</x:v>
      </x:c>
      <x:c r="G230" s="4" t="str">
        <x:v>验证支出订单详情可查看付款商品名称</x:v>
      </x:c>
      <x:c r="H230" s="4" t="str">
        <x:v>付款商品名称展示</x:v>
      </x:c>
      <x:c r="I230" s="4" t="str">
        <x:v>1. 用户账号已登录且具备当前页面权限</x:v>
      </x:c>
      <x:c r="J230" s="4" t="str">
        <x:v>1. 进入支出订单详情
2. 查看付款商品名称</x:v>
      </x:c>
      <x:c r="K230" s="4" t="str">
        <x:v>支出订单详情显示“付款商品名称”</x:v>
      </x:c>
      <x:c r="L230" s="4" t="str"/>
      <x:c r="M230" s="4" t="str">
        <x:v>未测</x:v>
      </x:c>
      <x:c r="N230" s="4" t="str"/>
      <x:c r="O230" s="4" t="str">
        <x:v>1. 来源（原型批注）：liveshow-proto/prototype/annotations/user.js；order-expense-detail.html
2. 页面：order-expense-detail.html
3. 规则：BR-A9137793555CE0
4. 场景：SC-445B05CAFE2208
5. 未动态验证</x:v>
      </x:c>
    </x:row>
    <x:row r="231" ht="54" customHeight="1">
      <x:c r="A231" s="4" t="n">
        <x:v>230</x:v>
      </x:c>
      <x:c r="B231" s="4" t="str">
        <x:v>UWALLET-0027</x:v>
      </x:c>
      <x:c r="C231" s="4" t="str">
        <x:v>钱包与充值</x:v>
      </x:c>
      <x:c r="D231" s="4" t="str">
        <x:v>支出订单详情（用户视角）</x:v>
      </x:c>
      <x:c r="E231" s="4" t="str">
        <x:v>功能需求</x:v>
      </x:c>
      <x:c r="F231" s="4" t="str">
        <x:v>P1</x:v>
      </x:c>
      <x:c r="G231" s="4" t="str">
        <x:v>验证支出订单详情可查看扣款金币</x:v>
      </x:c>
      <x:c r="H231" s="4" t="str">
        <x:v>扣款金币展示</x:v>
      </x:c>
      <x:c r="I231" s="4" t="str">
        <x:v>1. 用户账号已登录且具备当前页面权限</x:v>
      </x:c>
      <x:c r="J231" s="4" t="str">
        <x:v>1. 进入支出订单详情
2. 查看扣款金币</x:v>
      </x:c>
      <x:c r="K231" s="4" t="str">
        <x:v>支出订单详情显示“扣款金币”</x:v>
      </x:c>
      <x:c r="L231" s="4" t="str"/>
      <x:c r="M231" s="4" t="str">
        <x:v>未测</x:v>
      </x:c>
      <x:c r="N231" s="4" t="str"/>
      <x:c r="O231" s="4" t="str">
        <x:v>1. 来源（原型批注）：liveshow-proto/prototype/annotations/user.js；order-expense-detail.html
2. 页面：order-expense-detail.html
3. 规则：BR-CCDB548D97ED18
4. 场景：SC-6CB43B5168566F
5. 未动态验证</x:v>
      </x:c>
    </x:row>
    <x:row r="232" ht="54" customHeight="1">
      <x:c r="A232" s="4" t="n">
        <x:v>231</x:v>
      </x:c>
      <x:c r="B232" s="4" t="str">
        <x:v>UWALLET-0028</x:v>
      </x:c>
      <x:c r="C232" s="4" t="str">
        <x:v>钱包与充值</x:v>
      </x:c>
      <x:c r="D232" s="4" t="str">
        <x:v>支出订单详情（用户视角）</x:v>
      </x:c>
      <x:c r="E232" s="4" t="str">
        <x:v>功能需求</x:v>
      </x:c>
      <x:c r="F232" s="4" t="str">
        <x:v>P1</x:v>
      </x:c>
      <x:c r="G232" s="4" t="str">
        <x:v>验证支出订单详情可查看数量</x:v>
      </x:c>
      <x:c r="H232" s="4" t="str">
        <x:v>数量展示</x:v>
      </x:c>
      <x:c r="I232" s="4" t="str">
        <x:v>1. 用户账号已登录且具备当前页面权限</x:v>
      </x:c>
      <x:c r="J232" s="4" t="str">
        <x:v>1. 进入支出订单详情
2. 查看数量</x:v>
      </x:c>
      <x:c r="K232" s="4" t="str">
        <x:v>支出订单详情显示“数量”</x:v>
      </x:c>
      <x:c r="L232" s="4" t="str"/>
      <x:c r="M232" s="4" t="str">
        <x:v>未测</x:v>
      </x:c>
      <x:c r="N232" s="4" t="str"/>
      <x:c r="O232" s="4" t="str">
        <x:v>1. 来源（原型批注）：liveshow-proto/prototype/annotations/user.js；order-expense-detail.html
2. 页面：order-expense-detail.html
3. 规则：BR-76B6326D212D46
4. 场景：SC-12F34556366B42
5. 未动态验证</x:v>
      </x:c>
    </x:row>
    <x:row r="233" ht="54" customHeight="1">
      <x:c r="A233" s="4" t="n">
        <x:v>232</x:v>
      </x:c>
      <x:c r="B233" s="4" t="str">
        <x:v>UWALLET-0029</x:v>
      </x:c>
      <x:c r="C233" s="4" t="str">
        <x:v>钱包与充值</x:v>
      </x:c>
      <x:c r="D233" s="4" t="str">
        <x:v>支出订单详情（用户视角）</x:v>
      </x:c>
      <x:c r="E233" s="4" t="str">
        <x:v>功能需求</x:v>
      </x:c>
      <x:c r="F233" s="4" t="str">
        <x:v>P1</x:v>
      </x:c>
      <x:c r="G233" s="4" t="str">
        <x:v>验证支出订单详情可查看消费直播间</x:v>
      </x:c>
      <x:c r="H233" s="4" t="str">
        <x:v>消费直播间展示</x:v>
      </x:c>
      <x:c r="I233" s="4" t="str">
        <x:v>1. 用户账号已登录且具备当前页面权限</x:v>
      </x:c>
      <x:c r="J233" s="4" t="str">
        <x:v>1. 进入支出订单详情
2. 查看消费直播间</x:v>
      </x:c>
      <x:c r="K233" s="4" t="str">
        <x:v>支出订单详情显示“消费直播间”</x:v>
      </x:c>
      <x:c r="L233" s="4" t="str"/>
      <x:c r="M233" s="4" t="str">
        <x:v>未测</x:v>
      </x:c>
      <x:c r="N233" s="4" t="str"/>
      <x:c r="O233" s="4" t="str">
        <x:v>1. 来源（原型批注）：liveshow-proto/prototype/annotations/user.js；order-expense-detail.html
2. 页面：order-expense-detail.html
3. 规则：BR-3CDB45689EC5CF
4. 场景：SC-51A32BC134FDBD
5. 未动态验证</x:v>
      </x:c>
    </x:row>
    <x:row r="234" ht="54" customHeight="1">
      <x:c r="A234" s="4" t="n">
        <x:v>233</x:v>
      </x:c>
      <x:c r="B234" s="4" t="str">
        <x:v>UWALLET-0030</x:v>
      </x:c>
      <x:c r="C234" s="4" t="str">
        <x:v>钱包与充值</x:v>
      </x:c>
      <x:c r="D234" s="4" t="str">
        <x:v>支出订单详情（用户视角）</x:v>
      </x:c>
      <x:c r="E234" s="4" t="str">
        <x:v>功能需求</x:v>
      </x:c>
      <x:c r="F234" s="4" t="str">
        <x:v>P1</x:v>
      </x:c>
      <x:c r="G234" s="4" t="str">
        <x:v>验证支出订单详情可查看支付时间</x:v>
      </x:c>
      <x:c r="H234" s="4" t="str">
        <x:v>支付时间展示</x:v>
      </x:c>
      <x:c r="I234" s="4" t="str">
        <x:v>1. 用户账号已登录且具备当前页面权限</x:v>
      </x:c>
      <x:c r="J234" s="4" t="str">
        <x:v>1. 进入支出订单详情
2. 查看支付时间</x:v>
      </x:c>
      <x:c r="K234" s="4" t="str">
        <x:v>支出订单详情显示“支付时间”</x:v>
      </x:c>
      <x:c r="L234" s="4" t="str"/>
      <x:c r="M234" s="4" t="str">
        <x:v>未测</x:v>
      </x:c>
      <x:c r="N234" s="4" t="str"/>
      <x:c r="O234" s="4" t="str">
        <x:v>1. 来源（原型批注）：liveshow-proto/prototype/annotations/user.js；order-expense-detail.html
2. 页面：order-expense-detail.html
3. 规则：BR-BAB790E7597170
4. 场景：SC-ED0B4642A7B4A1
5. 未动态验证</x:v>
      </x:c>
    </x:row>
    <x:row r="235" ht="54" customHeight="1">
      <x:c r="A235" s="4" t="n">
        <x:v>234</x:v>
      </x:c>
      <x:c r="B235" s="4" t="str">
        <x:v>UHOME-0001</x:v>
      </x:c>
      <x:c r="C235" s="4" t="str">
        <x:v>首页与发现</x:v>
      </x:c>
      <x:c r="D235" s="4" t="str">
        <x:v>充值福利-已领取（用户视角）</x:v>
      </x:c>
      <x:c r="E235" s="4" t="str">
        <x:v>功能需求</x:v>
      </x:c>
      <x:c r="F235" s="4" t="str">
        <x:v>P1</x:v>
      </x:c>
      <x:c r="G235" s="4" t="str">
        <x:v>验证充值福利-已领取可查看领取状态</x:v>
      </x:c>
      <x:c r="H235" s="4" t="str">
        <x:v>领取状态展示</x:v>
      </x:c>
      <x:c r="I235" s="4" t="str">
        <x:v>1. 用户账号已登录且具备当前页面权限</x:v>
      </x:c>
      <x:c r="J235" s="4" t="str">
        <x:v>1. 打开充值福利-已领取
2. 查看领取状态</x:v>
      </x:c>
      <x:c r="K235" s="4" t="str">
        <x:v>充值福利-已领取显示“领取状态”</x:v>
      </x:c>
      <x:c r="L235" s="4" t="str"/>
      <x:c r="M235" s="4" t="str">
        <x:v>未测</x:v>
      </x:c>
      <x:c r="N235" s="4" t="str"/>
      <x:c r="O235" s="4" t="str">
        <x:v>1. 来源（原型批注）：liveshow-proto/prototype/annotations/user.js；views/welfare-center/claimed.html
2. 页面：views/welfare-center/claimed.html
3. 规则：BR-448642CCFAB1D0
4. 场景：SC-C6BD87590A0CBD
5. 未动态验证</x:v>
      </x:c>
    </x:row>
    <x:row r="236" ht="54" customHeight="1">
      <x:c r="A236" s="4" t="n">
        <x:v>235</x:v>
      </x:c>
      <x:c r="B236" s="4" t="str">
        <x:v>UHOME-0002</x:v>
      </x:c>
      <x:c r="C236" s="4" t="str">
        <x:v>首页与发现</x:v>
      </x:c>
      <x:c r="D236" s="4" t="str">
        <x:v>充值福利-已领取（用户视角）</x:v>
      </x:c>
      <x:c r="E236" s="4" t="str">
        <x:v>功能需求</x:v>
      </x:c>
      <x:c r="F236" s="4" t="str">
        <x:v>P1</x:v>
      </x:c>
      <x:c r="G236" s="4" t="str">
        <x:v>验证充值福利-已领取可查看签到 / 任务奖励</x:v>
      </x:c>
      <x:c r="H236" s="4" t="str">
        <x:v>签到 / 任务奖励展示</x:v>
      </x:c>
      <x:c r="I236" s="4" t="str">
        <x:v>1. 用户账号已登录且具备当前页面权限</x:v>
      </x:c>
      <x:c r="J236" s="4" t="str">
        <x:v>1. 打开充值福利-已领取
2. 查看签到 / 任务奖励</x:v>
      </x:c>
      <x:c r="K236" s="4" t="str">
        <x:v>充值福利-已领取显示“签到 / 任务奖励”</x:v>
      </x:c>
      <x:c r="L236" s="4" t="str"/>
      <x:c r="M236" s="4" t="str">
        <x:v>未测</x:v>
      </x:c>
      <x:c r="N236" s="4" t="str"/>
      <x:c r="O236" s="4" t="str">
        <x:v>1. 来源（原型批注）：liveshow-proto/prototype/annotations/user.js；views/welfare-center/claimed.html
2. 页面：views/welfare-center/claimed.html
3. 规则：BR-2D0451149D8F8F
4. 场景：SC-9272EBFF892A7C
5. 未动态验证</x:v>
      </x:c>
    </x:row>
    <x:row r="237" ht="54" customHeight="1">
      <x:c r="A237" s="4" t="n">
        <x:v>236</x:v>
      </x:c>
      <x:c r="B237" s="4" t="str">
        <x:v>UHOME-0003</x:v>
      </x:c>
      <x:c r="C237" s="4" t="str">
        <x:v>首页与发现</x:v>
      </x:c>
      <x:c r="D237" s="4" t="str">
        <x:v>充值福利（用户视角）</x:v>
      </x:c>
      <x:c r="E237" s="4" t="str">
        <x:v>功能需求</x:v>
      </x:c>
      <x:c r="F237" s="4" t="str">
        <x:v>P1</x:v>
      </x:c>
      <x:c r="G237" s="4" t="str">
        <x:v>验证当前原型演示已连续签到 3 天，今天领取 30 金币，第 7 天时的充值福利结果</x:v>
      </x:c>
      <x:c r="H237" s="4" t="str">
        <x:v>充值福利条件结果</x:v>
      </x:c>
      <x:c r="I237" s="4" t="str">
        <x:v>1. 用户账号已登录且具备当前页面权限
2. 当前原型演示已连续签到 3 天，今天领取 30 金币，第 7 天</x:v>
      </x:c>
      <x:c r="J237" s="4" t="str">
        <x:v>1. 进入充值福利
2. 查看充值福利</x:v>
      </x:c>
      <x:c r="K237" s="4" t="str">
        <x:v>当前原型演示已连续签到 3 天，今天领取 30 金币，第 7 天展示 +60</x:v>
      </x:c>
      <x:c r="L237" s="4" t="str"/>
      <x:c r="M237" s="4" t="str">
        <x:v>未测</x:v>
      </x:c>
      <x:c r="N237" s="4" t="str"/>
      <x:c r="O237" s="4" t="str">
        <x:v>1. 来源（原型批注）：liveshow-proto/prototype/annotations/user.js；welfare-center.html
2. 页面：welfare-center.html
3. 规则：BR-02107AB3B54CF9
4. 场景：SC-6B6A7F143AEB75
5. 未动态验证</x:v>
      </x:c>
    </x:row>
    <x:row r="238" ht="54" customHeight="1">
      <x:c r="A238" s="4" t="n">
        <x:v>237</x:v>
      </x:c>
      <x:c r="B238" s="4" t="str">
        <x:v>UHOME-0004</x:v>
      </x:c>
      <x:c r="C238" s="4" t="str">
        <x:v>首页与发现</x:v>
      </x:c>
      <x:c r="D238" s="4" t="str">
        <x:v>充值福利（用户视角）</x:v>
      </x:c>
      <x:c r="E238" s="4" t="str">
        <x:v>功能需求</x:v>
      </x:c>
      <x:c r="F238" s="4" t="str">
        <x:v>P1</x:v>
      </x:c>
      <x:c r="G238" s="4" t="str">
        <x:v>验证领取失败时的充值福利结果</x:v>
      </x:c>
      <x:c r="H238" s="4" t="str">
        <x:v>充值福利条件结果</x:v>
      </x:c>
      <x:c r="I238" s="4" t="str">
        <x:v>1. 用户账号已登录且具备当前页面权限
2. 领取失败</x:v>
      </x:c>
      <x:c r="J238" s="4" t="str">
        <x:v>1. 进入充值福利
2. 查看充值福利</x:v>
      </x:c>
      <x:c r="K238" s="4" t="str">
        <x:v>不改为已领取，提示失败并允许重试</x:v>
      </x:c>
      <x:c r="L238" s="4" t="str"/>
      <x:c r="M238" s="4" t="str">
        <x:v>未测</x:v>
      </x:c>
      <x:c r="N238" s="4" t="str"/>
      <x:c r="O238" s="4" t="str">
        <x:v>1. 来源（原型批注）：liveshow-proto/prototype/annotations/user.js；welfare-center.html
2. 页面：welfare-center.html
3. 规则：BR-AE0A1A65CBF126
4. 场景：SC-B9666392ED6693
5. 未动态验证</x:v>
      </x:c>
    </x:row>
    <x:row r="239" ht="54" customHeight="1">
      <x:c r="A239" s="4" t="n">
        <x:v>238</x:v>
      </x:c>
      <x:c r="B239" s="4" t="str">
        <x:v>UHOME-0005</x:v>
      </x:c>
      <x:c r="C239" s="4" t="str">
        <x:v>首页与发现</x:v>
      </x:c>
      <x:c r="D239" s="4" t="str">
        <x:v>充值福利（用户视角）</x:v>
      </x:c>
      <x:c r="E239" s="4" t="str">
        <x:v>业务流程</x:v>
      </x:c>
      <x:c r="F239" s="4" t="str">
        <x:v>P1</x:v>
      </x:c>
      <x:c r="G239" s="4" t="str">
        <x:v>验证任务达标获得奖励后的充值福利状态</x:v>
      </x:c>
      <x:c r="H239" s="4" t="str">
        <x:v>充值福利状态</x:v>
      </x:c>
      <x:c r="I239" s="4" t="str">
        <x:v>1. 用户账号已登录且具备当前页面权限
2. 任务达标获得奖励</x:v>
      </x:c>
      <x:c r="J239" s="4" t="str">
        <x:v>1. 进入充值福利
2. 刷新充值福利</x:v>
      </x:c>
      <x:c r="K239" s="4" t="str">
        <x:v>须在获得奖励当天 23:59 之前手动领取</x:v>
      </x:c>
      <x:c r="L239" s="4" t="str"/>
      <x:c r="M239" s="4" t="str">
        <x:v>未测</x:v>
      </x:c>
      <x:c r="N239" s="4" t="str"/>
      <x:c r="O239" s="4" t="str">
        <x:v>1. 来源（原型批注）：liveshow-proto/prototype/annotations/user.js；welfare-center.html
2. 页面：welfare-center.html
3. 规则：BR-7B8E4E24AD7071
4. 场景：SC-E61C4ABB33C92D
5. 未动态验证</x:v>
      </x:c>
    </x:row>
    <x:row r="240" ht="54" customHeight="1">
      <x:c r="A240" s="4" t="n">
        <x:v>239</x:v>
      </x:c>
      <x:c r="B240" s="4" t="str">
        <x:v>UHOME-0006</x:v>
      </x:c>
      <x:c r="C240" s="4" t="str">
        <x:v>首页与发现</x:v>
      </x:c>
      <x:c r="D240" s="4" t="str">
        <x:v>充值福利（用户视角）</x:v>
      </x:c>
      <x:c r="E240" s="4" t="str">
        <x:v>业务流程</x:v>
      </x:c>
      <x:c r="F240" s="4" t="str">
        <x:v>P1</x:v>
      </x:c>
      <x:c r="G240" s="4" t="str">
        <x:v>验证已达成的赠礼任务点击奖励后的充值福利状态</x:v>
      </x:c>
      <x:c r="H240" s="4" t="str">
        <x:v>充值福利状态</x:v>
      </x:c>
      <x:c r="I240" s="4" t="str">
        <x:v>1. 用户账号已登录且具备当前页面权限
2. 已达成的赠礼任务点击奖励</x:v>
      </x:c>
      <x:c r="J240" s="4" t="str">
        <x:v>1. 进入充值福利
2. 刷新充值福利</x:v>
      </x:c>
      <x:c r="K240" s="4" t="str">
        <x:v>显示「已领取」</x:v>
      </x:c>
      <x:c r="L240" s="4" t="str"/>
      <x:c r="M240" s="4" t="str">
        <x:v>未测</x:v>
      </x:c>
      <x:c r="N240" s="4" t="str"/>
      <x:c r="O240" s="4" t="str">
        <x:v>1. 来源（原型批注）：liveshow-proto/prototype/annotations/user.js；welfare-center.html
2. 页面：welfare-center.html
3. 规则：BR-7F0F59FC4724AF
4. 场景：SC-ED38D7E393F9C1
5. 未动态验证</x:v>
      </x:c>
    </x:row>
    <x:row r="241" ht="54" customHeight="1">
      <x:c r="A241" s="4" t="n">
        <x:v>240</x:v>
      </x:c>
      <x:c r="B241" s="4" t="str">
        <x:v>UHOME-0007</x:v>
      </x:c>
      <x:c r="C241" s="4" t="str">
        <x:v>首页与发现</x:v>
      </x:c>
      <x:c r="D241" s="4" t="str">
        <x:v>充值福利（用户视角）</x:v>
      </x:c>
      <x:c r="E241" s="4" t="str">
        <x:v>功能需求</x:v>
      </x:c>
      <x:c r="F241" s="4" t="str">
        <x:v>P1</x:v>
      </x:c>
      <x:c r="G241" s="4" t="str">
        <x:v>验证运营账号不参与签到、任务及领奖，时的充值福利结果</x:v>
      </x:c>
      <x:c r="H241" s="4" t="str">
        <x:v>充值福利条件结果</x:v>
      </x:c>
      <x:c r="I241" s="4" t="str">
        <x:v>1. 用户账号已登录且具备当前页面权限
2. 运营账号不参与签到、任务及领奖，</x:v>
      </x:c>
      <x:c r="J241" s="4" t="str">
        <x:v>1. 进入充值福利
2. 查看充值福利</x:v>
      </x:c>
      <x:c r="K241" s="4" t="str">
        <x:v>运营账号不参与签到、任务及领奖，不展示相关入口</x:v>
      </x:c>
      <x:c r="L241" s="4" t="str"/>
      <x:c r="M241" s="4" t="str">
        <x:v>未测</x:v>
      </x:c>
      <x:c r="N241" s="4" t="str"/>
      <x:c r="O241" s="4" t="str">
        <x:v>1. 来源（原型批注）：liveshow-proto/prototype/annotations/user.js；welfare-center.html
2. 页面：welfare-center.html
3. 规则：BR-DD2F08ADC227E9
4. 场景：SC-971C798B5D7A64
5. 未动态验证</x:v>
      </x:c>
    </x:row>
    <x:row r="242" ht="54" customHeight="1">
      <x:c r="A242" s="4" t="n">
        <x:v>241</x:v>
      </x:c>
      <x:c r="B242" s="4" t="str">
        <x:v>UHOME-0008</x:v>
      </x:c>
      <x:c r="C242" s="4" t="str">
        <x:v>首页与发现</x:v>
      </x:c>
      <x:c r="D242" s="4" t="str">
        <x:v>贡献榜（用户视角）</x:v>
      </x:c>
      <x:c r="E242" s="4" t="str">
        <x:v>逻辑校验</x:v>
      </x:c>
      <x:c r="F242" s="4" t="str">
        <x:v>P2</x:v>
      </x:c>
      <x:c r="G242" s="4" t="str">
        <x:v>验证贡献榜按指定范围筛选</x:v>
      </x:c>
      <x:c r="H242" s="4" t="str">
        <x:v>贡献榜数据范围</x:v>
      </x:c>
      <x:c r="I242" s="4" t="str">
        <x:v>1. 用户账号已登录且具备当前页面权限
2. 存在符合和不符合“所选当日、本周或本月的用户送礼汇总，按字段表中的排名规则展示前 99 名”的记录</x:v>
      </x:c>
      <x:c r="J242" s="4" t="str">
        <x:v>1. 进入贡献榜
2. 查看贡献榜</x:v>
      </x:c>
      <x:c r="K242" s="4" t="str">
        <x:v>数据范围：所选当日、本周或本月的用户送礼汇总，按字段表中的排名规则展示前 99 名</x:v>
      </x:c>
      <x:c r="L242" s="4" t="str"/>
      <x:c r="M242" s="4" t="str">
        <x:v>未测</x:v>
      </x:c>
      <x:c r="N242" s="4" t="str"/>
      <x:c r="O242" s="4" t="str">
        <x:v>1. 来源（原型批注）：liveshow-proto/prototype/annotations/user.js；contribution-ranking.html
2. 页面：contribution-ranking.html
3. 规则：BR-92D95141053AF4
4. 场景：SC-C4948644A54030
5. 未动态验证</x:v>
      </x:c>
    </x:row>
    <x:row r="243" ht="54" customHeight="1">
      <x:c r="A243" s="4" t="n">
        <x:v>242</x:v>
      </x:c>
      <x:c r="B243" s="4" t="str">
        <x:v>UHOME-0009</x:v>
      </x:c>
      <x:c r="C243" s="4" t="str">
        <x:v>首页与发现</x:v>
      </x:c>
      <x:c r="D243" s="4" t="str">
        <x:v>贡献榜（用户视角）</x:v>
      </x:c>
      <x:c r="E243" s="4" t="str">
        <x:v>功能需求</x:v>
      </x:c>
      <x:c r="F243" s="4" t="str">
        <x:v>P2</x:v>
      </x:c>
      <x:c r="G243" s="4" t="str">
        <x:v>验证贡献榜可查看用户</x:v>
      </x:c>
      <x:c r="H243" s="4" t="str">
        <x:v>用户展示</x:v>
      </x:c>
      <x:c r="I243" s="4" t="str">
        <x:v>1. 用户账号已登录且具备当前页面权限</x:v>
      </x:c>
      <x:c r="J243" s="4" t="str">
        <x:v>1. 进入贡献榜
2. 查看用户</x:v>
      </x:c>
      <x:c r="K243" s="4" t="str">
        <x:v>贡献榜显示“用户”</x:v>
      </x:c>
      <x:c r="L243" s="4" t="str"/>
      <x:c r="M243" s="4" t="str">
        <x:v>未测</x:v>
      </x:c>
      <x:c r="N243" s="4" t="str"/>
      <x:c r="O243" s="4" t="str">
        <x:v>1. 来源（原型批注）：liveshow-proto/prototype/annotations/user.js；contribution-ranking.html
2. 页面：contribution-ranking.html
3. 规则：BR-BACA9AFE7A0FF6
4. 场景：SC-A0EF2EDCDB712A
5. 未动态验证</x:v>
      </x:c>
    </x:row>
    <x:row r="244" ht="54" customHeight="1">
      <x:c r="A244" s="4" t="n">
        <x:v>243</x:v>
      </x:c>
      <x:c r="B244" s="4" t="str">
        <x:v>UHOME-0010</x:v>
      </x:c>
      <x:c r="C244" s="4" t="str">
        <x:v>首页与发现</x:v>
      </x:c>
      <x:c r="D244" s="4" t="str">
        <x:v>贡献榜（用户视角）</x:v>
      </x:c>
      <x:c r="E244" s="4" t="str">
        <x:v>业务流程</x:v>
      </x:c>
      <x:c r="F244" s="4" t="str">
        <x:v>P2</x:v>
      </x:c>
      <x:c r="G244" s="4" t="str">
        <x:v>验证完成全部排序后的贡献榜状态</x:v>
      </x:c>
      <x:c r="H244" s="4" t="str">
        <x:v>贡献榜状态</x:v>
      </x:c>
      <x:c r="I244" s="4" t="str">
        <x:v>1. 用户账号已登录且具备当前页面权限
2. 完成全部排序</x:v>
      </x:c>
      <x:c r="J244" s="4" t="str">
        <x:v>1. 进入贡献榜
2. 刷新贡献榜</x:v>
      </x:c>
      <x:c r="K244" s="4" t="str">
        <x:v>显示前 99 名</x:v>
      </x:c>
      <x:c r="L244" s="4" t="str"/>
      <x:c r="M244" s="4" t="str">
        <x:v>未测</x:v>
      </x:c>
      <x:c r="N244" s="4" t="str"/>
      <x:c r="O244" s="4" t="str">
        <x:v>1. 来源（原型批注）：liveshow-proto/prototype/annotations/user.js；contribution-ranking.html、fan-contribution-ranking.html
2. 页面：contribution-ranking.html、fan-contribution-ranking.html
3. 规则：BR-670FCBC8198873
4. 场景：SC-034BA96AF034DF
5. 未动态验证</x:v>
      </x:c>
    </x:row>
    <x:row r="245" ht="54" customHeight="1">
      <x:c r="A245" s="4" t="n">
        <x:v>244</x:v>
      </x:c>
      <x:c r="B245" s="4" t="str">
        <x:v>UHOME-0011</x:v>
      </x:c>
      <x:c r="C245" s="4" t="str">
        <x:v>首页与发现</x:v>
      </x:c>
      <x:c r="D245" s="4" t="str">
        <x:v>贡献榜（用户视角）</x:v>
      </x:c>
      <x:c r="E245" s="4" t="str">
        <x:v>业务流程</x:v>
      </x:c>
      <x:c r="F245" s="4" t="str">
        <x:v>P2</x:v>
      </x:c>
      <x:c r="G245" s="4" t="str">
        <x:v>验证已登录用户点击用户后的贡献榜状态</x:v>
      </x:c>
      <x:c r="H245" s="4" t="str">
        <x:v>贡献榜状态</x:v>
      </x:c>
      <x:c r="I245" s="4" t="str">
        <x:v>1. 用户账号已登录且具备当前页面权限
2. 已登录用户点击用户</x:v>
      </x:c>
      <x:c r="J245" s="4" t="str">
        <x:v>1. 进入贡献榜
2. 刷新贡献榜</x:v>
      </x:c>
      <x:c r="K245" s="4" t="str">
        <x:v>进入该用户主页</x:v>
      </x:c>
      <x:c r="L245" s="4" t="str"/>
      <x:c r="M245" s="4" t="str">
        <x:v>未测</x:v>
      </x:c>
      <x:c r="N245" s="4" t="str"/>
      <x:c r="O245" s="4" t="str">
        <x:v>1. 来源（原型批注）：liveshow-proto/prototype/annotations/user.js；contribution-ranking.html
2. 页面：contribution-ranking.html
3. 规则：BR-A00AC716DE001D
4. 场景：SC-32C4867EF37425
5. 未动态验证</x:v>
      </x:c>
    </x:row>
    <x:row r="246" ht="54" customHeight="1">
      <x:c r="A246" s="4" t="n">
        <x:v>245</x:v>
      </x:c>
      <x:c r="B246" s="4" t="str">
        <x:v>UHOME-0012</x:v>
      </x:c>
      <x:c r="C246" s="4" t="str">
        <x:v>首页与发现</x:v>
      </x:c>
      <x:c r="D246" s="4" t="str">
        <x:v>贡献榜（用户视角）</x:v>
      </x:c>
      <x:c r="E246" s="4" t="str">
        <x:v>业务流程</x:v>
      </x:c>
      <x:c r="F246" s="4" t="str">
        <x:v>P2</x:v>
      </x:c>
      <x:c r="G246" s="4" t="str">
        <x:v>验证账号注销后的贡献榜状态</x:v>
      </x:c>
      <x:c r="H246" s="4" t="str">
        <x:v>贡献榜状态</x:v>
      </x:c>
      <x:c r="I246" s="4" t="str">
        <x:v>1. 用户账号已登录且具备当前页面权限
2. 账号注销</x:v>
      </x:c>
      <x:c r="J246" s="4" t="str">
        <x:v>1. 进入贡献榜
2. 刷新贡献榜</x:v>
      </x:c>
      <x:c r="K246" s="4" t="str">
        <x:v>保留历史数值</x:v>
      </x:c>
      <x:c r="L246" s="4" t="str"/>
      <x:c r="M246" s="4" t="str">
        <x:v>未测</x:v>
      </x:c>
      <x:c r="N246" s="4" t="str"/>
      <x:c r="O246" s="4" t="str">
        <x:v>1. 来源（原型批注）：liveshow-proto/prototype/annotations/user.js；contribution-ranking.html、fan-contribution-ranking.html
2. 页面：contribution-ranking.html、fan-contribution-ranking.html
3. 规则：BR-145A947F458E86
4. 场景：SC-789D33F59B22D0
5. 未动态验证</x:v>
      </x:c>
    </x:row>
    <x:row r="247" ht="54" customHeight="1">
      <x:c r="A247" s="4" t="n">
        <x:v>246</x:v>
      </x:c>
      <x:c r="B247" s="4" t="str">
        <x:v>UHOME-0013</x:v>
      </x:c>
      <x:c r="C247" s="4" t="str">
        <x:v>首页与发现</x:v>
      </x:c>
      <x:c r="D247" s="4" t="str">
        <x:v>全部任务（用户视角）</x:v>
      </x:c>
      <x:c r="E247" s="4" t="str">
        <x:v>业务流程</x:v>
      </x:c>
      <x:c r="F247" s="4" t="str">
        <x:v>P2</x:v>
      </x:c>
      <x:c r="G247" s="4" t="str">
        <x:v>验证点击去完成后的全部任务状态</x:v>
      </x:c>
      <x:c r="H247" s="4" t="str">
        <x:v>全部任务状态</x:v>
      </x:c>
      <x:c r="I247" s="4" t="str">
        <x:v>1. 用户账号已登录且具备当前页面权限</x:v>
      </x:c>
      <x:c r="J247" s="4" t="str">
        <x:v>1. 进入全部任务
2. 点击去完成</x:v>
      </x:c>
      <x:c r="K247" s="4" t="str">
        <x:v>进入对应功能或提示前往路径</x:v>
      </x:c>
      <x:c r="L247" s="4" t="str"/>
      <x:c r="M247" s="4" t="str">
        <x:v>未测</x:v>
      </x:c>
      <x:c r="N247" s="4" t="str"/>
      <x:c r="O247" s="4" t="str">
        <x:v>1. 来源（原型批注）：liveshow-proto/prototype/annotations/user.js；all-tasks.html
2. 页面：all-tasks.html
3. 规则：BR-A2DFDDF095665F
4. 场景：SC-B7D543D2F0D6FE
5. 未动态验证</x:v>
      </x:c>
    </x:row>
    <x:row r="248" ht="54" customHeight="1">
      <x:c r="A248" s="4" t="n">
        <x:v>247</x:v>
      </x:c>
      <x:c r="B248" s="4" t="str">
        <x:v>UHOME-0014</x:v>
      </x:c>
      <x:c r="C248" s="4" t="str">
        <x:v>首页与发现</x:v>
      </x:c>
      <x:c r="D248" s="4" t="str">
        <x:v>全部任务（用户视角）</x:v>
      </x:c>
      <x:c r="E248" s="4" t="str">
        <x:v>业务流程</x:v>
      </x:c>
      <x:c r="F248" s="4" t="str">
        <x:v>P2</x:v>
      </x:c>
      <x:c r="G248" s="4" t="str">
        <x:v>验证点击已领取后的全部任务状态</x:v>
      </x:c>
      <x:c r="H248" s="4" t="str">
        <x:v>全部任务状态</x:v>
      </x:c>
      <x:c r="I248" s="4" t="str">
        <x:v>1. 用户账号已登录且具备当前页面权限</x:v>
      </x:c>
      <x:c r="J248" s="4" t="str">
        <x:v>1. 进入全部任务
2. 点击已领取</x:v>
      </x:c>
      <x:c r="K248" s="4" t="str">
        <x:v>不重复发放</x:v>
      </x:c>
      <x:c r="L248" s="4" t="str"/>
      <x:c r="M248" s="4" t="str">
        <x:v>未测</x:v>
      </x:c>
      <x:c r="N248" s="4" t="str"/>
      <x:c r="O248" s="4" t="str">
        <x:v>1. 来源（原型批注）：liveshow-proto/prototype/annotations/user.js；all-tasks.html
2. 页面：all-tasks.html
3. 规则：BR-349A80BEDF766F
4. 场景：SC-591A258FB5E933
5. 未动态验证</x:v>
      </x:c>
    </x:row>
    <x:row r="249" ht="54" customHeight="1">
      <x:c r="A249" s="4" t="n">
        <x:v>248</x:v>
      </x:c>
      <x:c r="B249" s="4" t="str">
        <x:v>UHOME-0015</x:v>
      </x:c>
      <x:c r="C249" s="4" t="str">
        <x:v>首页与发现</x:v>
      </x:c>
      <x:c r="D249" s="4" t="str">
        <x:v>全部任务（用户视角）</x:v>
      </x:c>
      <x:c r="E249" s="4" t="str">
        <x:v>功能需求</x:v>
      </x:c>
      <x:c r="F249" s="4" t="str">
        <x:v>P2</x:v>
      </x:c>
      <x:c r="G249" s="4" t="str">
        <x:v>验证全部任务可查看操作状态</x:v>
      </x:c>
      <x:c r="H249" s="4" t="str">
        <x:v>操作状态展示</x:v>
      </x:c>
      <x:c r="I249" s="4" t="str">
        <x:v>1. 用户账号已登录且具备当前页面权限</x:v>
      </x:c>
      <x:c r="J249" s="4" t="str">
        <x:v>1. 进入全部任务
2. 查看操作状态</x:v>
      </x:c>
      <x:c r="K249" s="4" t="str">
        <x:v>全部任务显示“操作状态”</x:v>
      </x:c>
      <x:c r="L249" s="4" t="str"/>
      <x:c r="M249" s="4" t="str">
        <x:v>未测</x:v>
      </x:c>
      <x:c r="N249" s="4" t="str"/>
      <x:c r="O249" s="4" t="str">
        <x:v>1. 来源（原型批注）：liveshow-proto/prototype/annotations/user.js；all-tasks.html
2. 页面：all-tasks.html
3. 规则：BR-592C8E99CC5AF4
4. 场景：SC-FE99FEF22B109A
5. 未动态验证</x:v>
      </x:c>
    </x:row>
    <x:row r="250" ht="54" customHeight="1">
      <x:c r="A250" s="4" t="n">
        <x:v>249</x:v>
      </x:c>
      <x:c r="B250" s="4" t="str">
        <x:v>UHOME-0016</x:v>
      </x:c>
      <x:c r="C250" s="4" t="str">
        <x:v>首页与发现</x:v>
      </x:c>
      <x:c r="D250" s="4" t="str">
        <x:v>全部任务（用户视角）</x:v>
      </x:c>
      <x:c r="E250" s="4" t="str">
        <x:v>功能需求</x:v>
      </x:c>
      <x:c r="F250" s="4" t="str">
        <x:v>P2</x:v>
      </x:c>
      <x:c r="G250" s="4" t="str">
        <x:v>验证全部任务可查看奖励</x:v>
      </x:c>
      <x:c r="H250" s="4" t="str">
        <x:v>奖励展示</x:v>
      </x:c>
      <x:c r="I250" s="4" t="str">
        <x:v>1. 用户账号已登录且具备当前页面权限</x:v>
      </x:c>
      <x:c r="J250" s="4" t="str">
        <x:v>1. 进入全部任务
2. 查看奖励</x:v>
      </x:c>
      <x:c r="K250" s="4" t="str">
        <x:v>全部任务显示“奖励”</x:v>
      </x:c>
      <x:c r="L250" s="4" t="str"/>
      <x:c r="M250" s="4" t="str">
        <x:v>未测</x:v>
      </x:c>
      <x:c r="N250" s="4" t="str"/>
      <x:c r="O250" s="4" t="str">
        <x:v>1. 来源（原型批注）：liveshow-proto/prototype/annotations/user.js；all-tasks.html
2. 页面：all-tasks.html
3. 规则：BR-BC21C46F53B36B
4. 场景：SC-4C9F71FE0D2B6F
5. 未动态验证</x:v>
      </x:c>
    </x:row>
    <x:row r="251" ht="54" customHeight="1">
      <x:c r="A251" s="4" t="n">
        <x:v>250</x:v>
      </x:c>
      <x:c r="B251" s="4" t="str">
        <x:v>UHOME-0017</x:v>
      </x:c>
      <x:c r="C251" s="4" t="str">
        <x:v>首页与发现</x:v>
      </x:c>
      <x:c r="D251" s="4" t="str">
        <x:v>全部任务（用户视角）</x:v>
      </x:c>
      <x:c r="E251" s="4" t="str">
        <x:v>功能需求</x:v>
      </x:c>
      <x:c r="F251" s="4" t="str">
        <x:v>P2</x:v>
      </x:c>
      <x:c r="G251" s="4" t="str">
        <x:v>验证全部任务可查看任务范围</x:v>
      </x:c>
      <x:c r="H251" s="4" t="str">
        <x:v>任务范围展示</x:v>
      </x:c>
      <x:c r="I251" s="4" t="str">
        <x:v>1. 用户账号已登录且具备当前页面权限</x:v>
      </x:c>
      <x:c r="J251" s="4" t="str">
        <x:v>1. 进入全部任务
2. 查看任务范围</x:v>
      </x:c>
      <x:c r="K251" s="4" t="str">
        <x:v>全部任务显示“任务范围”</x:v>
      </x:c>
      <x:c r="L251" s="4" t="str"/>
      <x:c r="M251" s="4" t="str">
        <x:v>未测</x:v>
      </x:c>
      <x:c r="N251" s="4" t="str"/>
      <x:c r="O251" s="4" t="str">
        <x:v>1. 来源（原型批注）：liveshow-proto/prototype/annotations/user.js；all-tasks.html
2. 页面：all-tasks.html
3. 规则：BR-DA4088E2CA83A4
4. 场景：SC-AAB68C0BDD3682
5. 未动态验证</x:v>
      </x:c>
    </x:row>
    <x:row r="252" ht="54" customHeight="1">
      <x:c r="A252" s="4" t="n">
        <x:v>251</x:v>
      </x:c>
      <x:c r="B252" s="4" t="str">
        <x:v>UHOME-0018</x:v>
      </x:c>
      <x:c r="C252" s="4" t="str">
        <x:v>首页与发现</x:v>
      </x:c>
      <x:c r="D252" s="4" t="str">
        <x:v>全部任务（用户视角）</x:v>
      </x:c>
      <x:c r="E252" s="4" t="str">
        <x:v>功能需求</x:v>
      </x:c>
      <x:c r="F252" s="4" t="str">
        <x:v>P2</x:v>
      </x:c>
      <x:c r="G252" s="4" t="str">
        <x:v>验证全部任务可查看任务进度</x:v>
      </x:c>
      <x:c r="H252" s="4" t="str">
        <x:v>任务进度展示</x:v>
      </x:c>
      <x:c r="I252" s="4" t="str">
        <x:v>1. 用户账号已登录且具备当前页面权限</x:v>
      </x:c>
      <x:c r="J252" s="4" t="str">
        <x:v>1. 进入全部任务
2. 查看任务进度</x:v>
      </x:c>
      <x:c r="K252" s="4" t="str">
        <x:v>全部任务显示“任务进度”</x:v>
      </x:c>
      <x:c r="L252" s="4" t="str"/>
      <x:c r="M252" s="4" t="str">
        <x:v>未测</x:v>
      </x:c>
      <x:c r="N252" s="4" t="str"/>
      <x:c r="O252" s="4" t="str">
        <x:v>1. 来源（原型批注）：liveshow-proto/prototype/annotations/user.js；all-tasks.html
2. 页面：all-tasks.html
3. 规则：BR-4678BC58A6E9E0
4. 场景：SC-6FDC0124387F82
5. 未动态验证</x:v>
      </x:c>
    </x:row>
    <x:row r="253" ht="54" customHeight="1">
      <x:c r="A253" s="4" t="n">
        <x:v>252</x:v>
      </x:c>
      <x:c r="B253" s="4" t="str">
        <x:v>UHOME-0019</x:v>
      </x:c>
      <x:c r="C253" s="4" t="str">
        <x:v>首页与发现</x:v>
      </x:c>
      <x:c r="D253" s="4" t="str">
        <x:v>首次登录通知说明（用户视角）</x:v>
      </x:c>
      <x:c r="E253" s="4" t="str">
        <x:v>功能需求</x:v>
      </x:c>
      <x:c r="F253" s="4" t="str">
        <x:v>P1</x:v>
      </x:c>
      <x:c r="G253" s="4" t="str">
        <x:v>验证首次登录通知说明可查看按钮</x:v>
      </x:c>
      <x:c r="H253" s="4" t="str">
        <x:v>按钮展示</x:v>
      </x:c>
      <x:c r="I253" s="4" t="str">
        <x:v>1. 用户账号已登录且具备当前页面权限</x:v>
      </x:c>
      <x:c r="J253" s="4" t="str">
        <x:v>1. 打开首次登录通知说明
2. 查看按钮</x:v>
      </x:c>
      <x:c r="K253" s="4" t="str">
        <x:v>首次登录通知说明显示“按钮”</x:v>
      </x:c>
      <x:c r="L253" s="4" t="str"/>
      <x:c r="M253" s="4" t="str">
        <x:v>未测</x:v>
      </x:c>
      <x:c r="N253" s="4" t="str"/>
      <x:c r="O253" s="4" t="str">
        <x:v>1. 来源（原型批注）：liveshow-proto/prototype/annotations/user.js；views/live-plaza/notification-intro.html
2. 页面：views/live-plaza/notification-intro.html
3. 规则：BR-55550383D4CE37
4. 场景：SC-B5EBAB91930D2B
5. 未动态验证</x:v>
      </x:c>
    </x:row>
    <x:row r="254" ht="54" customHeight="1">
      <x:c r="A254" s="4" t="n">
        <x:v>253</x:v>
      </x:c>
      <x:c r="B254" s="4" t="str">
        <x:v>UHOME-0020</x:v>
      </x:c>
      <x:c r="C254" s="4" t="str">
        <x:v>首页与发现</x:v>
      </x:c>
      <x:c r="D254" s="4" t="str">
        <x:v>首次登录通知说明（用户视角）</x:v>
      </x:c>
      <x:c r="E254" s="4" t="str">
        <x:v>功能需求</x:v>
      </x:c>
      <x:c r="F254" s="4" t="str">
        <x:v>P1</x:v>
      </x:c>
      <x:c r="G254" s="4" t="str">
        <x:v>验证首次登录通知说明可查看标题</x:v>
      </x:c>
      <x:c r="H254" s="4" t="str">
        <x:v>标题展示</x:v>
      </x:c>
      <x:c r="I254" s="4" t="str">
        <x:v>1. 用户账号已登录且具备当前页面权限</x:v>
      </x:c>
      <x:c r="J254" s="4" t="str">
        <x:v>1. 打开首次登录通知说明
2. 查看标题</x:v>
      </x:c>
      <x:c r="K254" s="4" t="str">
        <x:v>首次登录通知说明显示“标题”</x:v>
      </x:c>
      <x:c r="L254" s="4" t="str"/>
      <x:c r="M254" s="4" t="str">
        <x:v>未测</x:v>
      </x:c>
      <x:c r="N254" s="4" t="str"/>
      <x:c r="O254" s="4" t="str">
        <x:v>1. 来源（原型批注）：liveshow-proto/prototype/annotations/user.js；views/live-plaza/notification-intro.html
2. 页面：views/live-plaza/notification-intro.html
3. 规则：BR-A91B9FBBEFA973
4. 场景：SC-C93880607202C0
5. 未动态验证</x:v>
      </x:c>
    </x:row>
    <x:row r="255" ht="54" customHeight="1">
      <x:c r="A255" s="4" t="n">
        <x:v>254</x:v>
      </x:c>
      <x:c r="B255" s="4" t="str">
        <x:v>UHOME-0021</x:v>
      </x:c>
      <x:c r="C255" s="4" t="str">
        <x:v>首页与发现</x:v>
      </x:c>
      <x:c r="D255" s="4" t="str">
        <x:v>首次登录通知说明（用户视角）</x:v>
      </x:c>
      <x:c r="E255" s="4" t="str">
        <x:v>功能需求</x:v>
      </x:c>
      <x:c r="F255" s="4" t="str">
        <x:v>P1</x:v>
      </x:c>
      <x:c r="G255" s="4" t="str">
        <x:v>验证首次登录通知说明可查看正文</x:v>
      </x:c>
      <x:c r="H255" s="4" t="str">
        <x:v>正文展示</x:v>
      </x:c>
      <x:c r="I255" s="4" t="str">
        <x:v>1. 用户账号已登录且具备当前页面权限</x:v>
      </x:c>
      <x:c r="J255" s="4" t="str">
        <x:v>1. 打开首次登录通知说明
2. 查看正文</x:v>
      </x:c>
      <x:c r="K255" s="4" t="str">
        <x:v>首次登录通知说明显示“正文”</x:v>
      </x:c>
      <x:c r="L255" s="4" t="str"/>
      <x:c r="M255" s="4" t="str">
        <x:v>未测</x:v>
      </x:c>
      <x:c r="N255" s="4" t="str"/>
      <x:c r="O255" s="4" t="str">
        <x:v>1. 来源（原型批注）：liveshow-proto/prototype/annotations/user.js；views/live-plaza/notification-intro.html
2. 页面：views/live-plaza/notification-intro.html
3. 规则：BR-14BBA101CA15A9
4. 场景：SC-F8046036917440
5. 未动态验证</x:v>
      </x:c>
    </x:row>
    <x:row r="256" ht="54" customHeight="1">
      <x:c r="A256" s="4" t="n">
        <x:v>255</x:v>
      </x:c>
      <x:c r="B256" s="4" t="str">
        <x:v>UHOME-0022</x:v>
      </x:c>
      <x:c r="C256" s="4" t="str">
        <x:v>首页与发现</x:v>
      </x:c>
      <x:c r="D256" s="4" t="str">
        <x:v>首次登录通知说明（用户视角）</x:v>
      </x:c>
      <x:c r="E256" s="4" t="str">
        <x:v>业务流程</x:v>
      </x:c>
      <x:c r="F256" s="4" t="str">
        <x:v>P1</x:v>
      </x:c>
      <x:c r="G256" s="4" t="str">
        <x:v>验证选择开启后的首次登录通知说明状态</x:v>
      </x:c>
      <x:c r="H256" s="4" t="str">
        <x:v>首次登录通知说明状态</x:v>
      </x:c>
      <x:c r="I256" s="4" t="str">
        <x:v>1. 用户账号已登录且具备当前页面权限</x:v>
      </x:c>
      <x:c r="J256" s="4" t="str">
        <x:v>1. 打开首次登录通知说明
2. 选择开启</x:v>
      </x:c>
      <x:c r="K256" s="4" t="str">
        <x:v>后续登录不再展示</x:v>
      </x:c>
      <x:c r="L256" s="4" t="str"/>
      <x:c r="M256" s="4" t="str">
        <x:v>未测</x:v>
      </x:c>
      <x:c r="N256" s="4" t="str"/>
      <x:c r="O256" s="4" t="str">
        <x:v>1. 来源（原型批注）：liveshow-proto/prototype/annotations/user.js；views/live-plaza/notification-intro.html
2. 页面：views/live-plaza/notification-intro.html
3. 规则：BR-4E2CC51EA702E2
4. 场景：SC-338A9059D25925
5. 未动态验证</x:v>
      </x:c>
    </x:row>
    <x:row r="257" ht="54" customHeight="1">
      <x:c r="A257" s="4" t="n">
        <x:v>256</x:v>
      </x:c>
      <x:c r="B257" s="4" t="str">
        <x:v>UHOME-0023</x:v>
      </x:c>
      <x:c r="C257" s="4" t="str">
        <x:v>首页与发现</x:v>
      </x:c>
      <x:c r="D257" s="4" t="str">
        <x:v>首次登录通知说明（用户视角）</x:v>
      </x:c>
      <x:c r="E257" s="4" t="str">
        <x:v>业务流程</x:v>
      </x:c>
      <x:c r="F257" s="4" t="str">
        <x:v>P1</x:v>
      </x:c>
      <x:c r="G257" s="4" t="str">
        <x:v>验证选择暂不开启后的首次登录通知说明状态</x:v>
      </x:c>
      <x:c r="H257" s="4" t="str">
        <x:v>首次登录通知说明状态</x:v>
      </x:c>
      <x:c r="I257" s="4" t="str">
        <x:v>1. 用户账号已登录且具备当前页面权限</x:v>
      </x:c>
      <x:c r="J257" s="4" t="str">
        <x:v>1. 打开首次登录通知说明
2. 选择暂不开启</x:v>
      </x:c>
      <x:c r="K257" s="4" t="str">
        <x:v>后续登录不再展示</x:v>
      </x:c>
      <x:c r="L257" s="4" t="str"/>
      <x:c r="M257" s="4" t="str">
        <x:v>未测</x:v>
      </x:c>
      <x:c r="N257" s="4" t="str"/>
      <x:c r="O257" s="4" t="str">
        <x:v>1. 来源（原型批注）：liveshow-proto/prototype/annotations/user.js；views/live-plaza/notification-intro.html
2. 页面：views/live-plaza/notification-intro.html
3. 规则：BR-4E2CC51EA702E2
4. 场景：SC-AF3F021FBBBCA7
5. 未动态验证</x:v>
      </x:c>
    </x:row>
    <x:row r="258" ht="54" customHeight="1">
      <x:c r="A258" s="4" t="n">
        <x:v>257</x:v>
      </x:c>
      <x:c r="B258" s="4" t="str">
        <x:v>UHOME-0024</x:v>
      </x:c>
      <x:c r="C258" s="4" t="str">
        <x:v>首页与发现</x:v>
      </x:c>
      <x:c r="D258" s="4" t="str">
        <x:v>首页（用户视角）</x:v>
      </x:c>
      <x:c r="E258" s="4" t="str">
        <x:v>业务流程</x:v>
      </x:c>
      <x:c r="F258" s="4" t="str">
        <x:v>P2</x:v>
      </x:c>
      <x:c r="G258" s="4" t="str">
        <x:v>验证被主播踢出后的首页状态</x:v>
      </x:c>
      <x:c r="H258" s="4" t="str">
        <x:v>首页状态</x:v>
      </x:c>
      <x:c r="I258" s="4" t="str">
        <x:v>1. 用户账号已登录且具备当前页面权限
2. 被主播踢出</x:v>
      </x:c>
      <x:c r="J258" s="4" t="str">
        <x:v>1. 进入首页
2. 刷新首页</x:v>
      </x:c>
      <x:c r="K258" s="4" t="str">
        <x:v>失效</x:v>
      </x:c>
      <x:c r="L258" s="4" t="str"/>
      <x:c r="M258" s="4" t="str">
        <x:v>未测</x:v>
      </x:c>
      <x:c r="N258" s="4" t="str"/>
      <x:c r="O258" s="4" t="str">
        <x:v>1. 来源（原型批注）：liveshow-proto/prototype/annotations/user.js；live-plaza.html
2. 页面：live-plaza.html
3. 规则：BR-937FC9B96AF836
4. 场景：SC-AB8B6A5F780090
5. 未动态验证</x:v>
      </x:c>
    </x:row>
    <x:row r="259" ht="54" customHeight="1">
      <x:c r="A259" s="4" t="n">
        <x:v>258</x:v>
      </x:c>
      <x:c r="B259" s="4" t="str">
        <x:v>UHOME-0025</x:v>
      </x:c>
      <x:c r="C259" s="4" t="str">
        <x:v>首页与发现</x:v>
      </x:c>
      <x:c r="D259" s="4" t="str">
        <x:v>首页（用户视角）</x:v>
      </x:c>
      <x:c r="E259" s="4" t="str">
        <x:v>业务流程</x:v>
      </x:c>
      <x:c r="F259" s="4" t="str">
        <x:v>P2</x:v>
      </x:c>
      <x:c r="G259" s="4" t="str">
        <x:v>验证登录成功后的首页状态</x:v>
      </x:c>
      <x:c r="H259" s="4" t="str">
        <x:v>首页状态</x:v>
      </x:c>
      <x:c r="I259" s="4" t="str">
        <x:v>1. 用户账号已登录且具备当前页面权限
2. 登录成功</x:v>
      </x:c>
      <x:c r="J259" s="4" t="str">
        <x:v>1. 进入首页
2. 刷新首页</x:v>
      </x:c>
      <x:c r="K259" s="4" t="str">
        <x:v>首次进入首页显示通知授权说明</x:v>
      </x:c>
      <x:c r="L259" s="4" t="str"/>
      <x:c r="M259" s="4" t="str">
        <x:v>未测</x:v>
      </x:c>
      <x:c r="N259" s="4" t="str"/>
      <x:c r="O259" s="4" t="str">
        <x:v>1. 来源（原型批注）：liveshow-proto/prototype/annotations/user.js；live-plaza.html
2. 页面：live-plaza.html
3. 规则：BR-EEADD4F242D979
4. 场景：SC-49CDB6F15AA79F
5. 未动态验证</x:v>
      </x:c>
    </x:row>
    <x:row r="260" ht="54" customHeight="1">
      <x:c r="A260" s="4" t="n">
        <x:v>259</x:v>
      </x:c>
      <x:c r="B260" s="4" t="str">
        <x:v>UHOME-0026</x:v>
      </x:c>
      <x:c r="C260" s="4" t="str">
        <x:v>首页与发现</x:v>
      </x:c>
      <x:c r="D260" s="4" t="str">
        <x:v>首页（用户视角）</x:v>
      </x:c>
      <x:c r="E260" s="4" t="str">
        <x:v>业务流程</x:v>
      </x:c>
      <x:c r="F260" s="4" t="str">
        <x:v>P2</x:v>
      </x:c>
      <x:c r="G260" s="4" t="str">
        <x:v>验证点击搜索后的首页状态</x:v>
      </x:c>
      <x:c r="H260" s="4" t="str">
        <x:v>首页状态</x:v>
      </x:c>
      <x:c r="I260" s="4" t="str">
        <x:v>1. 用户账号已登录且具备当前页面权限</x:v>
      </x:c>
      <x:c r="J260" s="4" t="str">
        <x:v>1. 进入首页
2. 点击搜索</x:v>
      </x:c>
      <x:c r="K260" s="4" t="str">
        <x:v>进入搜索页</x:v>
      </x:c>
      <x:c r="L260" s="4" t="str"/>
      <x:c r="M260" s="4" t="str">
        <x:v>未测</x:v>
      </x:c>
      <x:c r="N260" s="4" t="str"/>
      <x:c r="O260" s="4" t="str">
        <x:v>1. 来源（原型批注）：liveshow-proto/prototype/annotations/user.js；live-plaza.html
2. 页面：live-plaza.html
3. 规则：BR-13929344435818
4. 场景：SC-589BED3A3918AC
5. 未动态验证</x:v>
      </x:c>
    </x:row>
    <x:row r="261" ht="54" customHeight="1">
      <x:c r="A261" s="4" t="n">
        <x:v>260</x:v>
      </x:c>
      <x:c r="B261" s="4" t="str">
        <x:v>UHOME-0027</x:v>
      </x:c>
      <x:c r="C261" s="4" t="str">
        <x:v>首页与发现</x:v>
      </x:c>
      <x:c r="D261" s="4" t="str">
        <x:v>首页（用户视角）</x:v>
      </x:c>
      <x:c r="E261" s="4" t="str">
        <x:v>业务流程</x:v>
      </x:c>
      <x:c r="F261" s="4" t="str">
        <x:v>P2</x:v>
      </x:c>
      <x:c r="G261" s="4" t="str">
        <x:v>验证点击暂不开启后的首页状态</x:v>
      </x:c>
      <x:c r="H261" s="4" t="str">
        <x:v>首页状态</x:v>
      </x:c>
      <x:c r="I261" s="4" t="str">
        <x:v>1. 用户账号已登录且具备当前页面权限</x:v>
      </x:c>
      <x:c r="J261" s="4" t="str">
        <x:v>1. 进入首页
2. 点击暂不开启</x:v>
      </x:c>
      <x:c r="K261" s="4" t="str">
        <x:v>仅关闭说明</x:v>
      </x:c>
      <x:c r="L261" s="4" t="str"/>
      <x:c r="M261" s="4" t="str">
        <x:v>未测</x:v>
      </x:c>
      <x:c r="N261" s="4" t="str"/>
      <x:c r="O261" s="4" t="str">
        <x:v>1. 来源（原型批注）：liveshow-proto/prototype/annotations/user.js；live-plaza.html
2. 页面：live-plaza.html
3. 规则：BR-4DA94DC075DBFF
4. 场景：SC-4E0DD1691D817A
5. 未动态验证</x:v>
      </x:c>
    </x:row>
    <x:row r="262" ht="54" customHeight="1">
      <x:c r="A262" s="4" t="n">
        <x:v>261</x:v>
      </x:c>
      <x:c r="B262" s="4" t="str">
        <x:v>UHOME-0028</x:v>
      </x:c>
      <x:c r="C262" s="4" t="str">
        <x:v>首页与发现</x:v>
      </x:c>
      <x:c r="D262" s="4" t="str">
        <x:v>首页（用户视角）</x:v>
      </x:c>
      <x:c r="E262" s="4" t="str">
        <x:v>逻辑校验</x:v>
      </x:c>
      <x:c r="F262" s="4" t="str">
        <x:v>P2</x:v>
      </x:c>
      <x:c r="G262" s="4" t="str">
        <x:v>验证关注区按指定范围筛选</x:v>
      </x:c>
      <x:c r="H262" s="4" t="str">
        <x:v>关注区数据范围</x:v>
      </x:c>
      <x:c r="I262" s="4" t="str">
        <x:v>1. 用户账号已登录且具备当前页面权限
2. 存在符合和不符合“已关注且正在直播的主播”的记录</x:v>
      </x:c>
      <x:c r="J262" s="4" t="str">
        <x:v>1. 进入首页
2. 查看关注区</x:v>
      </x:c>
      <x:c r="K262" s="4" t="str">
        <x:v>关注区仅展示已关注且正在直播的主播</x:v>
      </x:c>
      <x:c r="L262" s="4" t="str"/>
      <x:c r="M262" s="4" t="str">
        <x:v>未测</x:v>
      </x:c>
      <x:c r="N262" s="4" t="str"/>
      <x:c r="O262" s="4" t="str">
        <x:v>1. 来源（原型批注）：liveshow-proto/prototype/annotations/user.js；live-plaza.html
2. 页面：live-plaza.html
3. 规则：BR-0ECB88B9A29D14
4. 场景：SC-FBB1A45E2791F4
5. 未动态验证</x:v>
      </x:c>
    </x:row>
    <x:row r="263" ht="54" customHeight="1">
      <x:c r="A263" s="4" t="n">
        <x:v>262</x:v>
      </x:c>
      <x:c r="B263" s="4" t="str">
        <x:v>UHOME-0029</x:v>
      </x:c>
      <x:c r="C263" s="4" t="str">
        <x:v>首页与发现</x:v>
      </x:c>
      <x:c r="D263" s="4" t="str">
        <x:v>首页（用户视角）</x:v>
      </x:c>
      <x:c r="E263" s="4" t="str">
        <x:v>逻辑校验</x:v>
      </x:c>
      <x:c r="F263" s="4" t="str">
        <x:v>P2</x:v>
      </x:c>
      <x:c r="G263" s="4" t="str">
        <x:v>验证关注主播按指定范围筛选</x:v>
      </x:c>
      <x:c r="H263" s="4" t="str">
        <x:v>关注主播数据范围</x:v>
      </x:c>
      <x:c r="I263" s="4" t="str">
        <x:v>1. 用户账号已登录且具备当前页面权限
2. 存在符合和不符合“当前用户已关注且正在直播的主播”的记录</x:v>
      </x:c>
      <x:c r="J263" s="4" t="str">
        <x:v>1. 进入首页
2. 查看关注主播</x:v>
      </x:c>
      <x:c r="K263" s="4" t="str">
        <x:v>仅展示当前用户已关注且正在直播的主播</x:v>
      </x:c>
      <x:c r="L263" s="4" t="str"/>
      <x:c r="M263" s="4" t="str">
        <x:v>未测</x:v>
      </x:c>
      <x:c r="N263" s="4" t="str"/>
      <x:c r="O263" s="4" t="str">
        <x:v>1. 来源（原型批注）：liveshow-proto/prototype/annotations/user.js；live-plaza.html
2. 页面：live-plaza.html
3. 规则：BR-9116E74CFD8AAC
4. 场景：SC-268DC65E14A66D
5. 未动态验证</x:v>
      </x:c>
    </x:row>
    <x:row r="264" ht="54" customHeight="1">
      <x:c r="A264" s="4" t="n">
        <x:v>263</x:v>
      </x:c>
      <x:c r="B264" s="4" t="str">
        <x:v>UHOME-0030</x:v>
      </x:c>
      <x:c r="C264" s="4" t="str">
        <x:v>首页与发现</x:v>
      </x:c>
      <x:c r="D264" s="4" t="str">
        <x:v>首页（用户视角）</x:v>
      </x:c>
      <x:c r="E264" s="4" t="str">
        <x:v>业务流程</x:v>
      </x:c>
      <x:c r="F264" s="4" t="str">
        <x:v>P2</x:v>
      </x:c>
      <x:c r="G264" s="4" t="str">
        <x:v>验证门票房购票后的首页状态</x:v>
      </x:c>
      <x:c r="H264" s="4" t="str">
        <x:v>首页状态</x:v>
      </x:c>
      <x:c r="I264" s="4" t="str">
        <x:v>1. 用户账号已登录且具备当前页面权限
2. 门票房购票</x:v>
      </x:c>
      <x:c r="J264" s="4" t="str">
        <x:v>1. 进入首页
2. 刷新首页</x:v>
      </x:c>
      <x:c r="K264" s="4" t="str">
        <x:v>本场可重复进入</x:v>
      </x:c>
      <x:c r="L264" s="4" t="str"/>
      <x:c r="M264" s="4" t="str">
        <x:v>未测</x:v>
      </x:c>
      <x:c r="N264" s="4" t="str"/>
      <x:c r="O264" s="4" t="str">
        <x:v>1. 来源（原型批注）：liveshow-proto/prototype/annotations/user.js；live-plaza.html
2. 页面：live-plaza.html
3. 规则：BR-838A6935818FBE
4. 场景：SC-3923DD96E28014
5. 未动态验证</x:v>
      </x:c>
    </x:row>
    <x:row r="265" ht="54" customHeight="1">
      <x:c r="A265" s="4" t="n">
        <x:v>264</x:v>
      </x:c>
      <x:c r="B265" s="4" t="str">
        <x:v>UHOME-0031</x:v>
      </x:c>
      <x:c r="C265" s="4" t="str">
        <x:v>首页与发现</x:v>
      </x:c>
      <x:c r="D265" s="4" t="str">
        <x:v>首页（用户视角）</x:v>
      </x:c>
      <x:c r="E265" s="4" t="str">
        <x:v>功能需求</x:v>
      </x:c>
      <x:c r="F265" s="4" t="str">
        <x:v>P2</x:v>
      </x:c>
      <x:c r="G265" s="4" t="str">
        <x:v>验证门票房时的首页结果</x:v>
      </x:c>
      <x:c r="H265" s="4" t="str">
        <x:v>首页条件结果</x:v>
      </x:c>
      <x:c r="I265" s="4" t="str">
        <x:v>1. 用户账号已登录且具备当前页面权限
2. 门票房</x:v>
      </x:c>
      <x:c r="J265" s="4" t="str">
        <x:v>1. 进入首页
2. 查看首页</x:v>
      </x:c>
      <x:c r="K265" s="4" t="str">
        <x:v>门票房展示金币价格</x:v>
      </x:c>
      <x:c r="L265" s="4" t="str"/>
      <x:c r="M265" s="4" t="str">
        <x:v>未测</x:v>
      </x:c>
      <x:c r="N265" s="4" t="str"/>
      <x:c r="O265" s="4" t="str">
        <x:v>1. 来源（原型批注）：liveshow-proto/prototype/annotations/user.js；live-plaza.html
2. 页面：live-plaza.html
3. 规则：BR-F84C1DD5DD7ADB
4. 场景：SC-E8BD3CF97C85FE
5. 未动态验证</x:v>
      </x:c>
    </x:row>
    <x:row r="266" ht="54" customHeight="1">
      <x:c r="A266" s="4" t="n">
        <x:v>265</x:v>
      </x:c>
      <x:c r="B266" s="4" t="str">
        <x:v>UHOME-0032</x:v>
      </x:c>
      <x:c r="C266" s="4" t="str">
        <x:v>首页与发现</x:v>
      </x:c>
      <x:c r="D266" s="4" t="str">
        <x:v>首页（用户视角）</x:v>
      </x:c>
      <x:c r="E266" s="4" t="str">
        <x:v>功能需求</x:v>
      </x:c>
      <x:c r="F266" s="4" t="str">
        <x:v>P2</x:v>
      </x:c>
      <x:c r="G266" s="4" t="str">
        <x:v>验证密码房时的首页结果</x:v>
      </x:c>
      <x:c r="H266" s="4" t="str">
        <x:v>首页条件结果</x:v>
      </x:c>
      <x:c r="I266" s="4" t="str">
        <x:v>1. 用户账号已登录且具备当前页面权限
2. 密码房</x:v>
      </x:c>
      <x:c r="J266" s="4" t="str">
        <x:v>1. 进入首页
2. 查看首页</x:v>
      </x:c>
      <x:c r="K266" s="4" t="str">
        <x:v>密码房展示密码准入提示</x:v>
      </x:c>
      <x:c r="L266" s="4" t="str"/>
      <x:c r="M266" s="4" t="str">
        <x:v>未测</x:v>
      </x:c>
      <x:c r="N266" s="4" t="str"/>
      <x:c r="O266" s="4" t="str">
        <x:v>1. 来源（原型批注）：liveshow-proto/prototype/annotations/user.js；live-plaza.html
2. 页面：live-plaza.html
3. 规则：BR-79A51F690A92B5
4. 场景：SC-7FB6C77FC59761
5. 未动态验证</x:v>
      </x:c>
    </x:row>
    <x:row r="267" ht="54" customHeight="1">
      <x:c r="A267" s="4" t="n">
        <x:v>266</x:v>
      </x:c>
      <x:c r="B267" s="4" t="str">
        <x:v>UHOME-0033</x:v>
      </x:c>
      <x:c r="C267" s="4" t="str">
        <x:v>首页与发现</x:v>
      </x:c>
      <x:c r="D267" s="4" t="str">
        <x:v>首页（用户视角）</x:v>
      </x:c>
      <x:c r="E267" s="4" t="str">
        <x:v>业务流程</x:v>
      </x:c>
      <x:c r="F267" s="4" t="str">
        <x:v>P2</x:v>
      </x:c>
      <x:c r="G267" s="4" t="str">
        <x:v>验证切换热门后的首页状态</x:v>
      </x:c>
      <x:c r="H267" s="4" t="str">
        <x:v>首页状态</x:v>
      </x:c>
      <x:c r="I267" s="4" t="str">
        <x:v>1. 用户账号已登录且具备当前页面权限</x:v>
      </x:c>
      <x:c r="J267" s="4" t="str">
        <x:v>1. 进入首页
2. 切换热门</x:v>
      </x:c>
      <x:c r="K267" s="4" t="str">
        <x:v>刷新当前直播列表</x:v>
      </x:c>
      <x:c r="L267" s="4" t="str"/>
      <x:c r="M267" s="4" t="str">
        <x:v>未测</x:v>
      </x:c>
      <x:c r="N267" s="4" t="str"/>
      <x:c r="O267" s="4" t="str">
        <x:v>1. 来源（原型批注）：liveshow-proto/prototype/annotations/user.js；live-plaza.html
2. 页面：live-plaza.html
3. 规则：BR-BFB91A7004D315
4. 场景：SC-2C55864B638FC9
5. 未动态验证</x:v>
      </x:c>
    </x:row>
    <x:row r="268" ht="54" customHeight="1">
      <x:c r="A268" s="4" t="n">
        <x:v>267</x:v>
      </x:c>
      <x:c r="B268" s="4" t="str">
        <x:v>UHOME-0034</x:v>
      </x:c>
      <x:c r="C268" s="4" t="str">
        <x:v>首页与发现</x:v>
      </x:c>
      <x:c r="D268" s="4" t="str">
        <x:v>首页（用户视角）</x:v>
      </x:c>
      <x:c r="E268" s="4" t="str">
        <x:v>业务流程</x:v>
      </x:c>
      <x:c r="F268" s="4" t="str">
        <x:v>P2</x:v>
      </x:c>
      <x:c r="G268" s="4" t="str">
        <x:v>验证切换新人后的首页状态</x:v>
      </x:c>
      <x:c r="H268" s="4" t="str">
        <x:v>首页状态</x:v>
      </x:c>
      <x:c r="I268" s="4" t="str">
        <x:v>1. 用户账号已登录且具备当前页面权限</x:v>
      </x:c>
      <x:c r="J268" s="4" t="str">
        <x:v>1. 进入首页
2. 切换新人</x:v>
      </x:c>
      <x:c r="K268" s="4" t="str">
        <x:v>刷新当前直播列表</x:v>
      </x:c>
      <x:c r="L268" s="4" t="str"/>
      <x:c r="M268" s="4" t="str">
        <x:v>未测</x:v>
      </x:c>
      <x:c r="N268" s="4" t="str"/>
      <x:c r="O268" s="4" t="str">
        <x:v>1. 来源（原型批注）：liveshow-proto/prototype/annotations/user.js；live-plaza.html
2. 页面：live-plaza.html
3. 规则：BR-BFB91A7004D315
4. 场景：SC-974D46E38D2065
5. 未动态验证</x:v>
      </x:c>
    </x:row>
    <x:row r="269" ht="54" customHeight="1">
      <x:c r="A269" s="4" t="n">
        <x:v>268</x:v>
      </x:c>
      <x:c r="B269" s="4" t="str">
        <x:v>UHOME-0035</x:v>
      </x:c>
      <x:c r="C269" s="4" t="str">
        <x:v>首页与发现</x:v>
      </x:c>
      <x:c r="D269" s="4" t="str">
        <x:v>首页（用户视角）</x:v>
      </x:c>
      <x:c r="E269" s="4" t="str">
        <x:v>功能需求</x:v>
      </x:c>
      <x:c r="F269" s="4" t="str">
        <x:v>P2</x:v>
      </x:c>
      <x:c r="G269" s="4" t="str">
        <x:v>验证首页可查看房型</x:v>
      </x:c>
      <x:c r="H269" s="4" t="str">
        <x:v>房型展示</x:v>
      </x:c>
      <x:c r="I269" s="4" t="str">
        <x:v>1. 用户账号已登录且具备当前页面权限</x:v>
      </x:c>
      <x:c r="J269" s="4" t="str">
        <x:v>1. 进入首页
2. 查看房型</x:v>
      </x:c>
      <x:c r="K269" s="4" t="str">
        <x:v>首页显示“房型”</x:v>
      </x:c>
      <x:c r="L269" s="4" t="str"/>
      <x:c r="M269" s="4" t="str">
        <x:v>未测</x:v>
      </x:c>
      <x:c r="N269" s="4" t="str"/>
      <x:c r="O269" s="4" t="str">
        <x:v>1. 来源（原型批注）：liveshow-proto/prototype/annotations/user.js；live-plaza.html
2. 页面：live-plaza.html
3. 规则：BR-C47EC5252DDFEE、BR-F84C1DD5DD7ADB、BR-79A51F690A92B5
4. 场景：SC-728099AFDD7D20
5. 未动态验证</x:v>
      </x:c>
    </x:row>
    <x:row r="270" ht="54" customHeight="1">
      <x:c r="A270" s="4" t="n">
        <x:v>269</x:v>
      </x:c>
      <x:c r="B270" s="4" t="str">
        <x:v>UHOME-0036</x:v>
      </x:c>
      <x:c r="C270" s="4" t="str">
        <x:v>首页与发现</x:v>
      </x:c>
      <x:c r="D270" s="4" t="str">
        <x:v>首页（用户视角）</x:v>
      </x:c>
      <x:c r="E270" s="4" t="str">
        <x:v>功能需求</x:v>
      </x:c>
      <x:c r="F270" s="4" t="str">
        <x:v>P2</x:v>
      </x:c>
      <x:c r="G270" s="4" t="str">
        <x:v>验证首页可查看关注主播</x:v>
      </x:c>
      <x:c r="H270" s="4" t="str">
        <x:v>关注主播展示</x:v>
      </x:c>
      <x:c r="I270" s="4" t="str">
        <x:v>1. 用户账号已登录且具备当前页面权限</x:v>
      </x:c>
      <x:c r="J270" s="4" t="str">
        <x:v>1. 进入首页
2. 查看关注主播</x:v>
      </x:c>
      <x:c r="K270" s="4" t="str">
        <x:v>首页显示“关注主播”</x:v>
      </x:c>
      <x:c r="L270" s="4" t="str"/>
      <x:c r="M270" s="4" t="str">
        <x:v>未测</x:v>
      </x:c>
      <x:c r="N270" s="4" t="str"/>
      <x:c r="O270" s="4" t="str">
        <x:v>1. 来源（原型批注）：liveshow-proto/prototype/annotations/user.js；live-plaza.html
2. 页面：live-plaza.html
3. 规则：BR-9116E74CFD8AAC
4. 场景：SC-A752CC1685EF7A
5. 未动态验证</x:v>
      </x:c>
    </x:row>
    <x:row r="271" ht="54" customHeight="1">
      <x:c r="A271" s="4" t="n">
        <x:v>270</x:v>
      </x:c>
      <x:c r="B271" s="4" t="str">
        <x:v>UHOME-0037</x:v>
      </x:c>
      <x:c r="C271" s="4" t="str">
        <x:v>首页与发现</x:v>
      </x:c>
      <x:c r="D271" s="4" t="str">
        <x:v>首页（用户视角）</x:v>
      </x:c>
      <x:c r="E271" s="4" t="str">
        <x:v>功能需求</x:v>
      </x:c>
      <x:c r="F271" s="4" t="str">
        <x:v>P2</x:v>
      </x:c>
      <x:c r="G271" s="4" t="str">
        <x:v>验证首页可查看通知说明弹窗</x:v>
      </x:c>
      <x:c r="H271" s="4" t="str">
        <x:v>通知说明弹窗展示</x:v>
      </x:c>
      <x:c r="I271" s="4" t="str">
        <x:v>1. 用户账号已登录且具备当前页面权限</x:v>
      </x:c>
      <x:c r="J271" s="4" t="str">
        <x:v>1. 进入首页
2. 查看通知说明弹窗</x:v>
      </x:c>
      <x:c r="K271" s="4" t="str">
        <x:v>首页显示“通知说明弹窗”</x:v>
      </x:c>
      <x:c r="L271" s="4" t="str"/>
      <x:c r="M271" s="4" t="str">
        <x:v>未测</x:v>
      </x:c>
      <x:c r="N271" s="4" t="str"/>
      <x:c r="O271" s="4" t="str">
        <x:v>1. 来源（原型批注）：liveshow-proto/prototype/annotations/user.js；live-plaza.html
2. 页面：live-plaza.html
3. 规则：BR-59999F7FEA1DC0、BR-832323DEF0851F、BR-B8940EDF15015B
4. 场景：SC-72760A393FE80F
5. 未动态验证</x:v>
      </x:c>
    </x:row>
    <x:row r="272" ht="54" customHeight="1">
      <x:c r="A272" s="4" t="n">
        <x:v>271</x:v>
      </x:c>
      <x:c r="B272" s="4" t="str">
        <x:v>UHOME-0038</x:v>
      </x:c>
      <x:c r="C272" s="4" t="str">
        <x:v>首页与发现</x:v>
      </x:c>
      <x:c r="D272" s="4" t="str">
        <x:v>首页（用户视角）</x:v>
      </x:c>
      <x:c r="E272" s="4" t="str">
        <x:v>功能需求</x:v>
      </x:c>
      <x:c r="F272" s="4" t="str">
        <x:v>P2</x:v>
      </x:c>
      <x:c r="G272" s="4" t="str">
        <x:v>验证首页可查看系统授权弹窗</x:v>
      </x:c>
      <x:c r="H272" s="4" t="str">
        <x:v>系统授权弹窗展示</x:v>
      </x:c>
      <x:c r="I272" s="4" t="str">
        <x:v>1. 用户账号已登录且具备当前页面权限</x:v>
      </x:c>
      <x:c r="J272" s="4" t="str">
        <x:v>1. 进入首页
2. 查看系统授权弹窗</x:v>
      </x:c>
      <x:c r="K272" s="4" t="str">
        <x:v>首页显示“系统授权弹窗”</x:v>
      </x:c>
      <x:c r="L272" s="4" t="str"/>
      <x:c r="M272" s="4" t="str">
        <x:v>未测</x:v>
      </x:c>
      <x:c r="N272" s="4" t="str"/>
      <x:c r="O272" s="4" t="str">
        <x:v>1. 来源（原型批注）：liveshow-proto/prototype/annotations/user.js；live-plaza.html
2. 页面：live-plaza.html
3. 规则：BR-3723698F1C9ACD
4. 场景：SC-830F70D1A293FA
5. 未动态验证</x:v>
      </x:c>
    </x:row>
    <x:row r="273" ht="54" customHeight="1">
      <x:c r="A273" s="4" t="n">
        <x:v>272</x:v>
      </x:c>
      <x:c r="B273" s="4" t="str">
        <x:v>UHOME-0039</x:v>
      </x:c>
      <x:c r="C273" s="4" t="str">
        <x:v>首页与发现</x:v>
      </x:c>
      <x:c r="D273" s="4" t="str">
        <x:v>首页（用户视角）</x:v>
      </x:c>
      <x:c r="E273" s="4" t="str">
        <x:v>功能需求</x:v>
      </x:c>
      <x:c r="F273" s="4" t="str">
        <x:v>P2</x:v>
      </x:c>
      <x:c r="G273" s="4" t="str">
        <x:v>验证首页可查看直播卡片</x:v>
      </x:c>
      <x:c r="H273" s="4" t="str">
        <x:v>直播卡片展示</x:v>
      </x:c>
      <x:c r="I273" s="4" t="str">
        <x:v>1. 用户账号已登录且具备当前页面权限</x:v>
      </x:c>
      <x:c r="J273" s="4" t="str">
        <x:v>1. 进入首页
2. 查看直播卡片</x:v>
      </x:c>
      <x:c r="K273" s="4" t="str">
        <x:v>首页显示“直播卡片”</x:v>
      </x:c>
      <x:c r="L273" s="4" t="str"/>
      <x:c r="M273" s="4" t="str">
        <x:v>未测</x:v>
      </x:c>
      <x:c r="N273" s="4" t="str"/>
      <x:c r="O273" s="4" t="str">
        <x:v>1. 来源（原型批注）：liveshow-proto/prototype/annotations/user.js；live-plaza.html
2. 页面：live-plaza.html
3. 规则：BR-67A2101E832FB7、BR-A8674EE7915328、BR-053C10EDE30637、BR-48008DA12ED2FF
4. 场景：SC-4C96BBC9615BDA
5. 未动态验证</x:v>
      </x:c>
    </x:row>
    <x:row r="274" ht="54" customHeight="1">
      <x:c r="A274" s="4" t="n">
        <x:v>273</x:v>
      </x:c>
      <x:c r="B274" s="4" t="str">
        <x:v>UHOME-0040</x:v>
      </x:c>
      <x:c r="C274" s="4" t="str">
        <x:v>首页与发现</x:v>
      </x:c>
      <x:c r="D274" s="4" t="str">
        <x:v>首页（用户视角）</x:v>
      </x:c>
      <x:c r="E274" s="4" t="str">
        <x:v>功能需求</x:v>
      </x:c>
      <x:c r="F274" s="4" t="str">
        <x:v>P2</x:v>
      </x:c>
      <x:c r="G274" s="4" t="str">
        <x:v>验证首页可查看Banner</x:v>
      </x:c>
      <x:c r="H274" s="4" t="str">
        <x:v>Banner展示</x:v>
      </x:c>
      <x:c r="I274" s="4" t="str">
        <x:v>1. 用户账号已登录且具备当前页面权限</x:v>
      </x:c>
      <x:c r="J274" s="4" t="str">
        <x:v>1. 进入首页
2. 查看Banner</x:v>
      </x:c>
      <x:c r="K274" s="4" t="str">
        <x:v>首页显示“Banner”</x:v>
      </x:c>
      <x:c r="L274" s="4" t="str"/>
      <x:c r="M274" s="4" t="str">
        <x:v>未测</x:v>
      </x:c>
      <x:c r="N274" s="4" t="str"/>
      <x:c r="O274" s="4" t="str">
        <x:v>1. 来源（原型批注）：liveshow-proto/prototype/annotations/user.js；live-plaza.html
2. 页面：live-plaza.html
3. 规则：BR-DF1662C0CCE5D9
4. 场景：SC-48D745D6C81EDF
5. 未动态验证</x:v>
      </x:c>
    </x:row>
    <x:row r="275" ht="54" customHeight="1">
      <x:c r="A275" s="4" t="n">
        <x:v>274</x:v>
      </x:c>
      <x:c r="B275" s="4" t="str">
        <x:v>UHOME-0041</x:v>
      </x:c>
      <x:c r="C275" s="4" t="str">
        <x:v>首页与发现</x:v>
      </x:c>
      <x:c r="D275" s="4" t="str">
        <x:v>首页（用户视角）</x:v>
      </x:c>
      <x:c r="E275" s="4" t="str">
        <x:v>功能需求</x:v>
      </x:c>
      <x:c r="F275" s="4" t="str">
        <x:v>P2</x:v>
      </x:c>
      <x:c r="G275" s="4" t="str">
        <x:v>验证无符合数据时的首页结果</x:v>
      </x:c>
      <x:c r="H275" s="4" t="str">
        <x:v>首页条件结果</x:v>
      </x:c>
      <x:c r="I275" s="4" t="str">
        <x:v>1. 用户账号已登录且具备当前页面权限
2. 无符合数据</x:v>
      </x:c>
      <x:c r="J275" s="4" t="str">
        <x:v>1. 进入首页
2. 查看首页</x:v>
      </x:c>
      <x:c r="K275" s="4" t="str">
        <x:v>隐藏</x:v>
      </x:c>
      <x:c r="L275" s="4" t="str"/>
      <x:c r="M275" s="4" t="str">
        <x:v>未测</x:v>
      </x:c>
      <x:c r="N275" s="4" t="str"/>
      <x:c r="O275" s="4" t="str">
        <x:v>1. 来源（原型批注）：liveshow-proto/prototype/annotations/user.js；live-plaza.html
2. 页面：live-plaza.html
3. 规则：BR-FC9F44658E3251
4. 场景：SC-826A741B0576D0
5. 未动态验证</x:v>
      </x:c>
    </x:row>
    <x:row r="276" ht="54" customHeight="1">
      <x:c r="A276" s="4" t="n">
        <x:v>275</x:v>
      </x:c>
      <x:c r="B276" s="4" t="str">
        <x:v>UHOME-0042</x:v>
      </x:c>
      <x:c r="C276" s="4" t="str">
        <x:v>首页与发现</x:v>
      </x:c>
      <x:c r="D276" s="4" t="str">
        <x:v>首页（用户视角）</x:v>
      </x:c>
      <x:c r="E276" s="4" t="str">
        <x:v>业务流程</x:v>
      </x:c>
      <x:c r="F276" s="4" t="str">
        <x:v>P2</x:v>
      </x:c>
      <x:c r="G276" s="4" t="str">
        <x:v>验证选择分类后的首页状态</x:v>
      </x:c>
      <x:c r="H276" s="4" t="str">
        <x:v>首页状态</x:v>
      </x:c>
      <x:c r="I276" s="4" t="str">
        <x:v>1. 用户账号已登录且具备当前页面权限</x:v>
      </x:c>
      <x:c r="J276" s="4" t="str">
        <x:v>1. 进入首页
2. 选择分类</x:v>
      </x:c>
      <x:c r="K276" s="4" t="str">
        <x:v>刷新当前直播列表</x:v>
      </x:c>
      <x:c r="L276" s="4" t="str"/>
      <x:c r="M276" s="4" t="str">
        <x:v>未测</x:v>
      </x:c>
      <x:c r="N276" s="4" t="str"/>
      <x:c r="O276" s="4" t="str">
        <x:v>1. 来源（原型批注）：liveshow-proto/prototype/annotations/user.js；live-plaza.html
2. 页面：live-plaza.html
3. 规则：BR-BFB91A7004D315
4. 场景：SC-5BA2834AD2B8F7
5. 未动态验证</x:v>
      </x:c>
    </x:row>
    <x:row r="277" ht="54" customHeight="1">
      <x:c r="A277" s="4" t="n">
        <x:v>276</x:v>
      </x:c>
      <x:c r="B277" s="4" t="str">
        <x:v>UHOME-0043</x:v>
      </x:c>
      <x:c r="C277" s="4" t="str">
        <x:v>首页与发现</x:v>
      </x:c>
      <x:c r="D277" s="4" t="str">
        <x:v>首页（用户视角）</x:v>
      </x:c>
      <x:c r="E277" s="4" t="str">
        <x:v>业务流程</x:v>
      </x:c>
      <x:c r="F277" s="4" t="str">
        <x:v>P2</x:v>
      </x:c>
      <x:c r="G277" s="4" t="str">
        <x:v>验证选择开启后的首页状态</x:v>
      </x:c>
      <x:c r="H277" s="4" t="str">
        <x:v>首页状态</x:v>
      </x:c>
      <x:c r="I277" s="4" t="str">
        <x:v>1. 用户账号已登录且具备当前页面权限</x:v>
      </x:c>
      <x:c r="J277" s="4" t="str">
        <x:v>1. 进入首页
2. 选择开启</x:v>
      </x:c>
      <x:c r="K277" s="4" t="str">
        <x:v>均不在后续登录中重复展示</x:v>
      </x:c>
      <x:c r="L277" s="4" t="str"/>
      <x:c r="M277" s="4" t="str">
        <x:v>未测</x:v>
      </x:c>
      <x:c r="N277" s="4" t="str"/>
      <x:c r="O277" s="4" t="str">
        <x:v>1. 来源（原型批注）：liveshow-proto/prototype/annotations/user.js；live-plaza.html
2. 页面：live-plaza.html
3. 规则：BR-48EB1609DD9CAA
4. 场景：SC-EB8F7942F0875D
5. 未动态验证</x:v>
      </x:c>
    </x:row>
    <x:row r="278" ht="54" customHeight="1">
      <x:c r="A278" s="4" t="n">
        <x:v>277</x:v>
      </x:c>
      <x:c r="B278" s="4" t="str">
        <x:v>UHOME-0044</x:v>
      </x:c>
      <x:c r="C278" s="4" t="str">
        <x:v>首页与发现</x:v>
      </x:c>
      <x:c r="D278" s="4" t="str">
        <x:v>首页（用户视角）</x:v>
      </x:c>
      <x:c r="E278" s="4" t="str">
        <x:v>业务流程</x:v>
      </x:c>
      <x:c r="F278" s="4" t="str">
        <x:v>P2</x:v>
      </x:c>
      <x:c r="G278" s="4" t="str">
        <x:v>验证选择暂不开启后的首页状态</x:v>
      </x:c>
      <x:c r="H278" s="4" t="str">
        <x:v>首页状态</x:v>
      </x:c>
      <x:c r="I278" s="4" t="str">
        <x:v>1. 用户账号已登录且具备当前页面权限</x:v>
      </x:c>
      <x:c r="J278" s="4" t="str">
        <x:v>1. 进入首页
2. 选择暂不开启</x:v>
      </x:c>
      <x:c r="K278" s="4" t="str">
        <x:v>均不在后续登录中重复展示</x:v>
      </x:c>
      <x:c r="L278" s="4" t="str"/>
      <x:c r="M278" s="4" t="str">
        <x:v>未测</x:v>
      </x:c>
      <x:c r="N278" s="4" t="str"/>
      <x:c r="O278" s="4" t="str">
        <x:v>1. 来源（原型批注）：liveshow-proto/prototype/annotations/user.js；live-plaza.html
2. 页面：live-plaza.html
3. 规则：BR-48EB1609DD9CAA
4. 场景：SC-FA793EDEFE594C
5. 未动态验证</x:v>
      </x:c>
    </x:row>
    <x:row r="279" ht="54" customHeight="1">
      <x:c r="A279" s="4" t="n">
        <x:v>278</x:v>
      </x:c>
      <x:c r="B279" s="4" t="str">
        <x:v>UHOME-0045</x:v>
      </x:c>
      <x:c r="C279" s="4" t="str">
        <x:v>首页与发现</x:v>
      </x:c>
      <x:c r="D279" s="4" t="str">
        <x:v>首页（用户视角）</x:v>
      </x:c>
      <x:c r="E279" s="4" t="str">
        <x:v>业务流程</x:v>
      </x:c>
      <x:c r="F279" s="4" t="str">
        <x:v>P2</x:v>
      </x:c>
      <x:c r="G279" s="4" t="str">
        <x:v>验证直播结束后的首页状态</x:v>
      </x:c>
      <x:c r="H279" s="4" t="str">
        <x:v>首页状态</x:v>
      </x:c>
      <x:c r="I279" s="4" t="str">
        <x:v>1. 用户账号已登录且具备当前页面权限
2. 直播结束</x:v>
      </x:c>
      <x:c r="J279" s="4" t="str">
        <x:v>1. 进入首页
2. 刷新首页</x:v>
      </x:c>
      <x:c r="K279" s="4" t="str">
        <x:v>失效</x:v>
      </x:c>
      <x:c r="L279" s="4" t="str"/>
      <x:c r="M279" s="4" t="str">
        <x:v>未测</x:v>
      </x:c>
      <x:c r="N279" s="4" t="str"/>
      <x:c r="O279" s="4" t="str">
        <x:v>1. 来源（原型批注）：liveshow-proto/prototype/annotations/user.js；live-plaza.html
2. 页面：live-plaza.html
3. 规则：BR-937FC9B96AF836
4. 场景：SC-184D7AA06CED65
5. 未动态验证</x:v>
      </x:c>
    </x:row>
    <x:row r="280" ht="54" customHeight="1">
      <x:c r="A280" s="4" t="n">
        <x:v>279</x:v>
      </x:c>
      <x:c r="B280" s="4" t="str">
        <x:v>UHOME-0046</x:v>
      </x:c>
      <x:c r="C280" s="4" t="str">
        <x:v>首页与发现</x:v>
      </x:c>
      <x:c r="D280" s="4" t="str">
        <x:v>搜索（用户视角）</x:v>
      </x:c>
      <x:c r="E280" s="4" t="str">
        <x:v>功能需求</x:v>
      </x:c>
      <x:c r="F280" s="4" t="str">
        <x:v>P2</x:v>
      </x:c>
      <x:c r="G280" s="4" t="str">
        <x:v>验证不时的搜索结果</x:v>
      </x:c>
      <x:c r="H280" s="4" t="str">
        <x:v>搜索条件结果</x:v>
      </x:c>
      <x:c r="I280" s="4" t="str">
        <x:v>1. 用户账号已登录且具备当前页面权限
2. 不</x:v>
      </x:c>
      <x:c r="J280" s="4" t="str">
        <x:v>1. 进入搜索
2. 查看搜索</x:v>
      </x:c>
      <x:c r="K280" s="4" t="str">
        <x:v>不展示热门搜索词</x:v>
      </x:c>
      <x:c r="L280" s="4" t="str"/>
      <x:c r="M280" s="4" t="str">
        <x:v>未测</x:v>
      </x:c>
      <x:c r="N280" s="4" t="str"/>
      <x:c r="O280" s="4" t="str">
        <x:v>1. 来源（原型批注）：liveshow-proto/prototype/annotations/user.js；search.html
2. 页面：search.html
3. 规则：BR-EC6D5BB820B74F
4. 场景：SC-4699664DAECD71
5. 未动态验证</x:v>
      </x:c>
    </x:row>
    <x:row r="281" ht="54" customHeight="1">
      <x:c r="A281" s="4" t="n">
        <x:v>280</x:v>
      </x:c>
      <x:c r="B281" s="4" t="str">
        <x:v>UHOME-0047</x:v>
      </x:c>
      <x:c r="C281" s="4" t="str">
        <x:v>首页与发现</x:v>
      </x:c>
      <x:c r="D281" s="4" t="str">
        <x:v>搜索（用户视角）</x:v>
      </x:c>
      <x:c r="E281" s="4" t="str">
        <x:v>功能需求</x:v>
      </x:c>
      <x:c r="F281" s="4" t="str">
        <x:v>P2</x:v>
      </x:c>
      <x:c r="G281" s="4" t="str">
        <x:v>验证超过 10 条时的搜索结果</x:v>
      </x:c>
      <x:c r="H281" s="4" t="str">
        <x:v>搜索条件结果</x:v>
      </x:c>
      <x:c r="I281" s="4" t="str">
        <x:v>1. 用户账号已登录且具备当前页面权限
2. 超过 10 条</x:v>
      </x:c>
      <x:c r="J281" s="4" t="str">
        <x:v>1. 进入搜索
2. 查看搜索</x:v>
      </x:c>
      <x:c r="K281" s="4" t="str">
        <x:v>删除最早一条</x:v>
      </x:c>
      <x:c r="L281" s="4" t="str"/>
      <x:c r="M281" s="4" t="str">
        <x:v>未测</x:v>
      </x:c>
      <x:c r="N281" s="4" t="str"/>
      <x:c r="O281" s="4" t="str">
        <x:v>1. 来源（原型批注）：liveshow-proto/prototype/annotations/user.js；search.html
2. 页面：search.html
3. 规则：BR-1521C3E65CF92B
4. 场景：SC-F4F2065AF3CE30
5. 未动态验证</x:v>
      </x:c>
    </x:row>
    <x:row r="282" ht="54" customHeight="1">
      <x:c r="A282" s="4" t="n">
        <x:v>281</x:v>
      </x:c>
      <x:c r="B282" s="4" t="str">
        <x:v>UHOME-0048</x:v>
      </x:c>
      <x:c r="C282" s="4" t="str">
        <x:v>首页与发现</x:v>
      </x:c>
      <x:c r="D282" s="4" t="str">
        <x:v>搜索（用户视角）</x:v>
      </x:c>
      <x:c r="E282" s="4" t="str">
        <x:v>业务流程</x:v>
      </x:c>
      <x:c r="F282" s="4" t="str">
        <x:v>P2</x:v>
      </x:c>
      <x:c r="G282" s="4" t="str">
        <x:v>验证点击历史词后的搜索状态</x:v>
      </x:c>
      <x:c r="H282" s="4" t="str">
        <x:v>搜索状态</x:v>
      </x:c>
      <x:c r="I282" s="4" t="str">
        <x:v>1. 用户账号已登录且具备当前页面权限</x:v>
      </x:c>
      <x:c r="J282" s="4" t="str">
        <x:v>1. 进入搜索
2. 点击历史词</x:v>
      </x:c>
      <x:c r="K282" s="4" t="str">
        <x:v>写入最近使用记录</x:v>
      </x:c>
      <x:c r="L282" s="4" t="str"/>
      <x:c r="M282" s="4" t="str">
        <x:v>未测</x:v>
      </x:c>
      <x:c r="N282" s="4" t="str"/>
      <x:c r="O282" s="4" t="str">
        <x:v>1. 来源（原型批注）：liveshow-proto/prototype/annotations/user.js；search.html
2. 页面：search.html
3. 规则：BR-5E589C316381C2
4. 场景：SC-2A9286F9FBB768
5. 未动态验证</x:v>
      </x:c>
    </x:row>
    <x:row r="283" ht="54" customHeight="1">
      <x:c r="A283" s="4" t="n">
        <x:v>282</x:v>
      </x:c>
      <x:c r="B283" s="4" t="str">
        <x:v>UHOME-0049</x:v>
      </x:c>
      <x:c r="C283" s="4" t="str">
        <x:v>首页与发现</x:v>
      </x:c>
      <x:c r="D283" s="4" t="str">
        <x:v>搜索（用户视角）</x:v>
      </x:c>
      <x:c r="E283" s="4" t="str">
        <x:v>业务流程</x:v>
      </x:c>
      <x:c r="F283" s="4" t="str">
        <x:v>P2</x:v>
      </x:c>
      <x:c r="G283" s="4" t="str">
        <x:v>验证点击历史词右侧删除后的搜索状态</x:v>
      </x:c>
      <x:c r="H283" s="4" t="str">
        <x:v>搜索状态</x:v>
      </x:c>
      <x:c r="I283" s="4" t="str">
        <x:v>1. 用户账号已登录且具备当前页面权限</x:v>
      </x:c>
      <x:c r="J283" s="4" t="str">
        <x:v>1. 进入搜索
2. 点击历史词右侧删除</x:v>
      </x:c>
      <x:c r="K283" s="4" t="str">
        <x:v>仅删除该条</x:v>
      </x:c>
      <x:c r="L283" s="4" t="str"/>
      <x:c r="M283" s="4" t="str">
        <x:v>未测</x:v>
      </x:c>
      <x:c r="N283" s="4" t="str"/>
      <x:c r="O283" s="4" t="str">
        <x:v>1. 来源（原型批注）：liveshow-proto/prototype/annotations/user.js；search.html
2. 页面：search.html
3. 规则：BR-4FA45BA7AA160F
4. 场景：SC-38F1DE6CF118DD
5. 未动态验证</x:v>
      </x:c>
    </x:row>
    <x:row r="284" ht="54" customHeight="1">
      <x:c r="A284" s="4" t="n">
        <x:v>283</x:v>
      </x:c>
      <x:c r="B284" s="4" t="str">
        <x:v>UHOME-0050</x:v>
      </x:c>
      <x:c r="C284" s="4" t="str">
        <x:v>首页与发现</x:v>
      </x:c>
      <x:c r="D284" s="4" t="str">
        <x:v>搜索（用户视角）</x:v>
      </x:c>
      <x:c r="E284" s="4" t="str">
        <x:v>业务流程</x:v>
      </x:c>
      <x:c r="F284" s="4" t="str">
        <x:v>P2</x:v>
      </x:c>
      <x:c r="G284" s="4" t="str">
        <x:v>验证点击清空全部后的搜索状态</x:v>
      </x:c>
      <x:c r="H284" s="4" t="str">
        <x:v>搜索状态</x:v>
      </x:c>
      <x:c r="I284" s="4" t="str">
        <x:v>1. 用户账号已登录且具备当前页面权限</x:v>
      </x:c>
      <x:c r="J284" s="4" t="str">
        <x:v>1. 进入搜索
2. 点击清空全部</x:v>
      </x:c>
      <x:c r="K284" s="4" t="str">
        <x:v>删除全部搜索历史</x:v>
      </x:c>
      <x:c r="L284" s="4" t="str"/>
      <x:c r="M284" s="4" t="str">
        <x:v>未测</x:v>
      </x:c>
      <x:c r="N284" s="4" t="str"/>
      <x:c r="O284" s="4" t="str">
        <x:v>1. 来源（原型批注）：liveshow-proto/prototype/annotations/user.js；search.html
2. 页面：search.html
3. 规则：BR-43619FA656EADE
4. 场景：SC-EF52FE061D3784
5. 未动态验证</x:v>
      </x:c>
    </x:row>
    <x:row r="285" ht="54" customHeight="1">
      <x:c r="A285" s="4" t="n">
        <x:v>284</x:v>
      </x:c>
      <x:c r="B285" s="4" t="str">
        <x:v>UHOME-0051</x:v>
      </x:c>
      <x:c r="C285" s="4" t="str">
        <x:v>首页与发现</x:v>
      </x:c>
      <x:c r="D285" s="4" t="str">
        <x:v>搜索（用户视角）</x:v>
      </x:c>
      <x:c r="E285" s="4" t="str">
        <x:v>业务流程</x:v>
      </x:c>
      <x:c r="F285" s="4" t="str">
        <x:v>P2</x:v>
      </x:c>
      <x:c r="G285" s="4" t="str">
        <x:v>验证关键词为空后的搜索状态</x:v>
      </x:c>
      <x:c r="H285" s="4" t="str">
        <x:v>搜索状态</x:v>
      </x:c>
      <x:c r="I285" s="4" t="str">
        <x:v>1. 用户账号已登录且具备当前页面权限
2. 关键词为空</x:v>
      </x:c>
      <x:c r="J285" s="4" t="str">
        <x:v>1. 进入搜索
2. 刷新搜索</x:v>
      </x:c>
      <x:c r="K285" s="4" t="str">
        <x:v>提示输入</x:v>
      </x:c>
      <x:c r="L285" s="4" t="str"/>
      <x:c r="M285" s="4" t="str">
        <x:v>未测</x:v>
      </x:c>
      <x:c r="N285" s="4" t="str"/>
      <x:c r="O285" s="4" t="str">
        <x:v>1. 来源（原型批注）：liveshow-proto/prototype/annotations/user.js；search.html
2. 页面：search.html
3. 规则：BR-84B94541781383
4. 场景：SC-47CE84A6BFC7B0
5. 未动态验证</x:v>
      </x:c>
    </x:row>
    <x:row r="286" ht="54" customHeight="1">
      <x:c r="A286" s="4" t="n">
        <x:v>285</x:v>
      </x:c>
      <x:c r="B286" s="4" t="str">
        <x:v>UHOME-0052</x:v>
      </x:c>
      <x:c r="C286" s="4" t="str">
        <x:v>首页与发现</x:v>
      </x:c>
      <x:c r="D286" s="4" t="str">
        <x:v>搜索（用户视角）</x:v>
      </x:c>
      <x:c r="E286" s="4" t="str">
        <x:v>逻辑校验</x:v>
      </x:c>
      <x:c r="F286" s="4" t="str">
        <x:v>P2</x:v>
      </x:c>
      <x:c r="G286" s="4" t="str">
        <x:v>验证搜索按指定范围筛选</x:v>
      </x:c>
      <x:c r="H286" s="4" t="str">
        <x:v>搜索数据范围</x:v>
      </x:c>
      <x:c r="I286" s="4" t="str">
        <x:v>1. 用户账号已登录且具备当前页面权限
2. 存在符合和不符合“仅当前用户的搜索历史”的记录</x:v>
      </x:c>
      <x:c r="J286" s="4" t="str">
        <x:v>1. 进入搜索
2. 查看搜索</x:v>
      </x:c>
      <x:c r="K286" s="4" t="str">
        <x:v>数据范围：仅当前用户的搜索历史</x:v>
      </x:c>
      <x:c r="L286" s="4" t="str"/>
      <x:c r="M286" s="4" t="str">
        <x:v>未测</x:v>
      </x:c>
      <x:c r="N286" s="4" t="str"/>
      <x:c r="O286" s="4" t="str">
        <x:v>1. 来源（原型批注）：liveshow-proto/prototype/annotations/user.js；search.html
2. 页面：search.html
3. 规则：BR-B874C7DB03BFCF
4. 场景：SC-5672194B3CEBEC
5. 未动态验证</x:v>
      </x:c>
    </x:row>
    <x:row r="287" ht="54" customHeight="1">
      <x:c r="A287" s="4" t="n">
        <x:v>286</x:v>
      </x:c>
      <x:c r="B287" s="4" t="str">
        <x:v>UHOME-0053</x:v>
      </x:c>
      <x:c r="C287" s="4" t="str">
        <x:v>首页与发现</x:v>
      </x:c>
      <x:c r="D287" s="4" t="str">
        <x:v>搜索（用户视角）</x:v>
      </x:c>
      <x:c r="E287" s="4" t="str">
        <x:v>功能需求</x:v>
      </x:c>
      <x:c r="F287" s="4" t="str">
        <x:v>P2</x:v>
      </x:c>
      <x:c r="G287" s="4" t="str">
        <x:v>验证搜索可查看搜索关键词</x:v>
      </x:c>
      <x:c r="H287" s="4" t="str">
        <x:v>搜索关键词展示</x:v>
      </x:c>
      <x:c r="I287" s="4" t="str">
        <x:v>1. 用户账号已登录且具备当前页面权限</x:v>
      </x:c>
      <x:c r="J287" s="4" t="str">
        <x:v>1. 进入搜索
2. 查看搜索关键词</x:v>
      </x:c>
      <x:c r="K287" s="4" t="str">
        <x:v>搜索显示“搜索关键词”</x:v>
      </x:c>
      <x:c r="L287" s="4" t="str"/>
      <x:c r="M287" s="4" t="str">
        <x:v>未测</x:v>
      </x:c>
      <x:c r="N287" s="4" t="str"/>
      <x:c r="O287" s="4" t="str">
        <x:v>1. 来源（原型批注）：liveshow-proto/prototype/annotations/user.js；search.html
2. 页面：search.html
3. 规则：BR-04798110BFB715、BR-CF7570D24DCD2B
4. 场景：SC-8E6AD16F82F83E
5. 未动态验证</x:v>
      </x:c>
    </x:row>
    <x:row r="288" ht="54" customHeight="1">
      <x:c r="A288" s="4" t="n">
        <x:v>287</x:v>
      </x:c>
      <x:c r="B288" s="4" t="str">
        <x:v>UHOME-0054</x:v>
      </x:c>
      <x:c r="C288" s="4" t="str">
        <x:v>首页与发现</x:v>
      </x:c>
      <x:c r="D288" s="4" t="str">
        <x:v>搜索（用户视角）</x:v>
      </x:c>
      <x:c r="E288" s="4" t="str">
        <x:v>功能需求</x:v>
      </x:c>
      <x:c r="F288" s="4" t="str">
        <x:v>P2</x:v>
      </x:c>
      <x:c r="G288" s="4" t="str">
        <x:v>验证搜索可查看搜索历史</x:v>
      </x:c>
      <x:c r="H288" s="4" t="str">
        <x:v>搜索历史展示</x:v>
      </x:c>
      <x:c r="I288" s="4" t="str">
        <x:v>1. 用户账号已登录且具备当前页面权限</x:v>
      </x:c>
      <x:c r="J288" s="4" t="str">
        <x:v>1. 进入搜索
2. 查看搜索历史</x:v>
      </x:c>
      <x:c r="K288" s="4" t="str">
        <x:v>搜索显示“搜索历史”</x:v>
      </x:c>
      <x:c r="L288" s="4" t="str"/>
      <x:c r="M288" s="4" t="str">
        <x:v>未测</x:v>
      </x:c>
      <x:c r="N288" s="4" t="str"/>
      <x:c r="O288" s="4" t="str">
        <x:v>1. 来源（原型批注）：liveshow-proto/prototype/annotations/user.js；search.html
2. 页面：search.html
3. 规则：BR-B154B07A83901E、BR-EC6D5BB820B74F
4. 场景：SC-364624ACC1AE60
5. 未动态验证</x:v>
      </x:c>
    </x:row>
    <x:row r="289" ht="54" customHeight="1">
      <x:c r="A289" s="4" t="n">
        <x:v>288</x:v>
      </x:c>
      <x:c r="B289" s="4" t="str">
        <x:v>UHOME-0055</x:v>
      </x:c>
      <x:c r="C289" s="4" t="str">
        <x:v>首页与发现</x:v>
      </x:c>
      <x:c r="D289" s="4" t="str">
        <x:v>搜索（用户视角）</x:v>
      </x:c>
      <x:c r="E289" s="4" t="str">
        <x:v>业务流程</x:v>
      </x:c>
      <x:c r="F289" s="4" t="str">
        <x:v>P2</x:v>
      </x:c>
      <x:c r="G289" s="4" t="str">
        <x:v>验证提交关键词后的搜索状态</x:v>
      </x:c>
      <x:c r="H289" s="4" t="str">
        <x:v>搜索状态</x:v>
      </x:c>
      <x:c r="I289" s="4" t="str">
        <x:v>1. 用户账号已登录且具备当前页面权限</x:v>
      </x:c>
      <x:c r="J289" s="4" t="str">
        <x:v>1. 进入搜索
2. 提交关键词</x:v>
      </x:c>
      <x:c r="K289" s="4" t="str">
        <x:v>写入搜索历史</x:v>
      </x:c>
      <x:c r="L289" s="4" t="str"/>
      <x:c r="M289" s="4" t="str">
        <x:v>未测</x:v>
      </x:c>
      <x:c r="N289" s="4" t="str"/>
      <x:c r="O289" s="4" t="str">
        <x:v>1. 来源（原型批注）：liveshow-proto/prototype/annotations/user.js；search.html
2. 页面：search.html
3. 规则：BR-98B220C8083D93
4. 场景：SC-C3BDC15FE47404
5. 未动态验证</x:v>
      </x:c>
    </x:row>
    <x:row r="290" ht="54" customHeight="1">
      <x:c r="A290" s="4" t="n">
        <x:v>289</x:v>
      </x:c>
      <x:c r="B290" s="4" t="str">
        <x:v>UHOME-0056</x:v>
      </x:c>
      <x:c r="C290" s="4" t="str">
        <x:v>首页与发现</x:v>
      </x:c>
      <x:c r="D290" s="4" t="str">
        <x:v>搜索结果（用户视角）</x:v>
      </x:c>
      <x:c r="E290" s="4" t="str">
        <x:v>业务流程</x:v>
      </x:c>
      <x:c r="F290" s="4" t="str">
        <x:v>P2</x:v>
      </x:c>
      <x:c r="G290" s="4" t="str">
        <x:v>验证点击未开播主播后的搜索结果状态</x:v>
      </x:c>
      <x:c r="H290" s="4" t="str">
        <x:v>搜索结果状态</x:v>
      </x:c>
      <x:c r="I290" s="4" t="str">
        <x:v>1. 用户账号已登录且具备当前页面权限</x:v>
      </x:c>
      <x:c r="J290" s="4" t="str">
        <x:v>1. 进入搜索结果
2. 点击未开播主播</x:v>
      </x:c>
      <x:c r="K290" s="4" t="str">
        <x:v>进入主播主页</x:v>
      </x:c>
      <x:c r="L290" s="4" t="str"/>
      <x:c r="M290" s="4" t="str">
        <x:v>未测</x:v>
      </x:c>
      <x:c r="N290" s="4" t="str"/>
      <x:c r="O290" s="4" t="str">
        <x:v>1. 来源（原型批注）：liveshow-proto/prototype/annotations/user.js；search-results.html
2. 页面：search-results.html
3. 规则：BR-37DE55DF52F3DB
4. 场景：SC-98AD53F1792228
5. 未动态验证</x:v>
      </x:c>
    </x:row>
    <x:row r="291" ht="54" customHeight="1">
      <x:c r="A291" s="4" t="n">
        <x:v>290</x:v>
      </x:c>
      <x:c r="B291" s="4" t="str">
        <x:v>UHOME-0057</x:v>
      </x:c>
      <x:c r="C291" s="4" t="str">
        <x:v>首页与发现</x:v>
      </x:c>
      <x:c r="D291" s="4" t="str">
        <x:v>搜索结果（用户视角）</x:v>
      </x:c>
      <x:c r="E291" s="4" t="str">
        <x:v>业务流程</x:v>
      </x:c>
      <x:c r="F291" s="4" t="str">
        <x:v>P2</x:v>
      </x:c>
      <x:c r="G291" s="4" t="str">
        <x:v>验证点击直播中的结果后的搜索结果状态</x:v>
      </x:c>
      <x:c r="H291" s="4" t="str">
        <x:v>搜索结果状态</x:v>
      </x:c>
      <x:c r="I291" s="4" t="str">
        <x:v>1. 用户账号已登录且具备当前页面权限</x:v>
      </x:c>
      <x:c r="J291" s="4" t="str">
        <x:v>1. 进入搜索结果
2. 点击直播中的结果</x:v>
      </x:c>
      <x:c r="K291" s="4" t="str">
        <x:v>进入直播间</x:v>
      </x:c>
      <x:c r="L291" s="4" t="str"/>
      <x:c r="M291" s="4" t="str">
        <x:v>未测</x:v>
      </x:c>
      <x:c r="N291" s="4" t="str"/>
      <x:c r="O291" s="4" t="str">
        <x:v>1. 来源（原型批注）：liveshow-proto/prototype/annotations/user.js；search-results.html
2. 页面：search-results.html
3. 规则：BR-8CB4B3499BC4F0
4. 场景：SC-1376CE9DC5F7B9
5. 未动态验证</x:v>
      </x:c>
    </x:row>
    <x:row r="292" ht="54" customHeight="1">
      <x:c r="A292" s="4" t="n">
        <x:v>291</x:v>
      </x:c>
      <x:c r="B292" s="4" t="str">
        <x:v>UHOME-0058</x:v>
      </x:c>
      <x:c r="C292" s="4" t="str">
        <x:v>首页与发现</x:v>
      </x:c>
      <x:c r="D292" s="4" t="str">
        <x:v>搜索结果（用户视角）</x:v>
      </x:c>
      <x:c r="E292" s="4" t="str">
        <x:v>异常用例</x:v>
      </x:c>
      <x:c r="F292" s="4" t="str">
        <x:v>P2</x:v>
      </x:c>
      <x:c r="G292" s="4" t="str">
        <x:v>验证去除首尾空格后的搜索结果状态</x:v>
      </x:c>
      <x:c r="H292" s="4" t="str">
        <x:v>搜索结果状态</x:v>
      </x:c>
      <x:c r="I292" s="4" t="str">
        <x:v>1. 用户账号已登录且具备当前页面权限
2. 去除首尾空格</x:v>
      </x:c>
      <x:c r="J292" s="4" t="str">
        <x:v>1. 进入搜索结果
2. 刷新搜索结果</x:v>
      </x:c>
      <x:c r="K292" s="4" t="str">
        <x:v>不能为空</x:v>
      </x:c>
      <x:c r="L292" s="4" t="str"/>
      <x:c r="M292" s="4" t="str">
        <x:v>未测</x:v>
      </x:c>
      <x:c r="N292" s="4" t="str"/>
      <x:c r="O292" s="4" t="str">
        <x:v>1. 来源（原型批注）：liveshow-proto/prototype/annotations/user.js；search-results.html
2. 页面：search-results.html
3. 规则：BR-C44A94D61F71E7
4. 场景：SC-F60264C2566715
5. 未动态验证</x:v>
      </x:c>
    </x:row>
    <x:row r="293" ht="54" customHeight="1">
      <x:c r="A293" s="4" t="n">
        <x:v>292</x:v>
      </x:c>
      <x:c r="B293" s="4" t="str">
        <x:v>UHOME-0059</x:v>
      </x:c>
      <x:c r="C293" s="4" t="str">
        <x:v>首页与发现</x:v>
      </x:c>
      <x:c r="D293" s="4" t="str">
        <x:v>搜索结果（用户视角）</x:v>
      </x:c>
      <x:c r="E293" s="4" t="str">
        <x:v>逻辑校验</x:v>
      </x:c>
      <x:c r="F293" s="4" t="str">
        <x:v>P2</x:v>
      </x:c>
      <x:c r="G293" s="4" t="str">
        <x:v>验证搜索结果按指定范围筛选</x:v>
      </x:c>
      <x:c r="H293" s="4" t="str">
        <x:v>搜索结果数据范围</x:v>
      </x:c>
      <x:c r="I293" s="4" t="str">
        <x:v>1. 用户账号已登录且具备当前页面权限
2. 存在符合和不符合“与当前房间号、主播 ID 或昵称关键词匹配的主播、直播间”的记录</x:v>
      </x:c>
      <x:c r="J293" s="4" t="str">
        <x:v>1. 进入搜索结果
2. 查看搜索结果</x:v>
      </x:c>
      <x:c r="K293" s="4" t="str">
        <x:v>数据范围：与当前房间号、主播 ID 或昵称关键词匹配的主播、直播间</x:v>
      </x:c>
      <x:c r="L293" s="4" t="str"/>
      <x:c r="M293" s="4" t="str">
        <x:v>未测</x:v>
      </x:c>
      <x:c r="N293" s="4" t="str"/>
      <x:c r="O293" s="4" t="str">
        <x:v>1. 来源（原型批注）：liveshow-proto/prototype/annotations/user.js；search-results.html
2. 页面：search-results.html
3. 规则：BR-63D45AD0232CD3
4. 场景：SC-59F3D64F807920
5. 未动态验证</x:v>
      </x:c>
    </x:row>
    <x:row r="294" ht="54" customHeight="1">
      <x:c r="A294" s="4" t="n">
        <x:v>293</x:v>
      </x:c>
      <x:c r="B294" s="4" t="str">
        <x:v>UHOME-0060</x:v>
      </x:c>
      <x:c r="C294" s="4" t="str">
        <x:v>首页与发现</x:v>
      </x:c>
      <x:c r="D294" s="4" t="str">
        <x:v>搜索结果（用户视角）</x:v>
      </x:c>
      <x:c r="E294" s="4" t="str">
        <x:v>功能需求</x:v>
      </x:c>
      <x:c r="F294" s="4" t="str">
        <x:v>P2</x:v>
      </x:c>
      <x:c r="G294" s="4" t="str">
        <x:v>验证搜索结果可查看房间号</x:v>
      </x:c>
      <x:c r="H294" s="4" t="str">
        <x:v>房间号展示</x:v>
      </x:c>
      <x:c r="I294" s="4" t="str">
        <x:v>1. 用户账号已登录且具备当前页面权限</x:v>
      </x:c>
      <x:c r="J294" s="4" t="str">
        <x:v>1. 进入搜索结果
2. 查看房间号</x:v>
      </x:c>
      <x:c r="K294" s="4" t="str">
        <x:v>搜索结果显示“房间号”</x:v>
      </x:c>
      <x:c r="L294" s="4" t="str"/>
      <x:c r="M294" s="4" t="str">
        <x:v>未测</x:v>
      </x:c>
      <x:c r="N294" s="4" t="str"/>
      <x:c r="O294" s="4" t="str">
        <x:v>1. 来源（原型批注）：liveshow-proto/prototype/annotations/user.js；search-results.html
2. 页面：search-results.html
3. 规则：BR-1A7D338543828D
4. 场景：SC-68A25B1A129949
5. 未动态验证</x:v>
      </x:c>
    </x:row>
    <x:row r="295" ht="54" customHeight="1">
      <x:c r="A295" s="4" t="n">
        <x:v>294</x:v>
      </x:c>
      <x:c r="B295" s="4" t="str">
        <x:v>UHOME-0061</x:v>
      </x:c>
      <x:c r="C295" s="4" t="str">
        <x:v>首页与发现</x:v>
      </x:c>
      <x:c r="D295" s="4" t="str">
        <x:v>搜索结果（用户视角）</x:v>
      </x:c>
      <x:c r="E295" s="4" t="str">
        <x:v>功能需求</x:v>
      </x:c>
      <x:c r="F295" s="4" t="str">
        <x:v>P2</x:v>
      </x:c>
      <x:c r="G295" s="4" t="str">
        <x:v>验证搜索结果可查看搜索关键词</x:v>
      </x:c>
      <x:c r="H295" s="4" t="str">
        <x:v>搜索关键词展示</x:v>
      </x:c>
      <x:c r="I295" s="4" t="str">
        <x:v>1. 用户账号已登录且具备当前页面权限</x:v>
      </x:c>
      <x:c r="J295" s="4" t="str">
        <x:v>1. 进入搜索结果
2. 查看搜索关键词</x:v>
      </x:c>
      <x:c r="K295" s="4" t="str">
        <x:v>搜索结果显示“搜索关键词”</x:v>
      </x:c>
      <x:c r="L295" s="4" t="str"/>
      <x:c r="M295" s="4" t="str">
        <x:v>未测</x:v>
      </x:c>
      <x:c r="N295" s="4" t="str"/>
      <x:c r="O295" s="4" t="str">
        <x:v>1. 来源（原型批注）：liveshow-proto/prototype/annotations/user.js；search-results.html
2. 页面：search-results.html
3. 规则：BR-A875EF8DCCF8BA、BR-C44A94D61F71E7
4. 场景：SC-D3EE06351C4D20
5. 未动态验证</x:v>
      </x:c>
    </x:row>
    <x:row r="296" ht="54" customHeight="1">
      <x:c r="A296" s="4" t="n">
        <x:v>295</x:v>
      </x:c>
      <x:c r="B296" s="4" t="str">
        <x:v>UHOME-0062</x:v>
      </x:c>
      <x:c r="C296" s="4" t="str">
        <x:v>首页与发现</x:v>
      </x:c>
      <x:c r="D296" s="4" t="str">
        <x:v>搜索结果（用户视角）</x:v>
      </x:c>
      <x:c r="E296" s="4" t="str">
        <x:v>功能需求</x:v>
      </x:c>
      <x:c r="F296" s="4" t="str">
        <x:v>P2</x:v>
      </x:c>
      <x:c r="G296" s="4" t="str">
        <x:v>验证搜索结果可查看直播状态</x:v>
      </x:c>
      <x:c r="H296" s="4" t="str">
        <x:v>直播状态展示</x:v>
      </x:c>
      <x:c r="I296" s="4" t="str">
        <x:v>1. 用户账号已登录且具备当前页面权限</x:v>
      </x:c>
      <x:c r="J296" s="4" t="str">
        <x:v>1. 进入搜索结果
2. 查看直播状态</x:v>
      </x:c>
      <x:c r="K296" s="4" t="str">
        <x:v>搜索结果显示“直播状态”</x:v>
      </x:c>
      <x:c r="L296" s="4" t="str"/>
      <x:c r="M296" s="4" t="str">
        <x:v>未测</x:v>
      </x:c>
      <x:c r="N296" s="4" t="str"/>
      <x:c r="O296" s="4" t="str">
        <x:v>1. 来源（原型批注）：liveshow-proto/prototype/annotations/user.js；search-results.html
2. 页面：search-results.html
3. 规则：BR-39D4F4BCDA96EC、BR-F2B6C35CEF771B
4. 场景：SC-E6684D2B4B51F0
5. 未动态验证</x:v>
      </x:c>
    </x:row>
    <x:row r="297" ht="54" customHeight="1">
      <x:c r="A297" s="4" t="n">
        <x:v>296</x:v>
      </x:c>
      <x:c r="B297" s="4" t="str">
        <x:v>UHOME-0063</x:v>
      </x:c>
      <x:c r="C297" s="4" t="str">
        <x:v>首页与发现</x:v>
      </x:c>
      <x:c r="D297" s="4" t="str">
        <x:v>搜索结果（用户视角）</x:v>
      </x:c>
      <x:c r="E297" s="4" t="str">
        <x:v>功能需求</x:v>
      </x:c>
      <x:c r="F297" s="4" t="str">
        <x:v>P2</x:v>
      </x:c>
      <x:c r="G297" s="4" t="str">
        <x:v>验证搜索结果可查看主播头像 / 昵称</x:v>
      </x:c>
      <x:c r="H297" s="4" t="str">
        <x:v>主播头像 / 昵称展示</x:v>
      </x:c>
      <x:c r="I297" s="4" t="str">
        <x:v>1. 用户账号已登录且具备当前页面权限</x:v>
      </x:c>
      <x:c r="J297" s="4" t="str">
        <x:v>1. 进入搜索结果
2. 查看主播头像 / 昵称</x:v>
      </x:c>
      <x:c r="K297" s="4" t="str">
        <x:v>搜索结果显示“主播头像 / 昵称”</x:v>
      </x:c>
      <x:c r="L297" s="4" t="str"/>
      <x:c r="M297" s="4" t="str">
        <x:v>未测</x:v>
      </x:c>
      <x:c r="N297" s="4" t="str"/>
      <x:c r="O297" s="4" t="str">
        <x:v>1. 来源（原型批注）：liveshow-proto/prototype/annotations/user.js；search-results.html
2. 页面：search-results.html
3. 规则：BR-376015DF9D84FA
4. 场景：SC-AB18320427DE7E
5. 未动态验证</x:v>
      </x:c>
    </x:row>
    <x:row r="298" ht="54" customHeight="1">
      <x:c r="A298" s="4" t="n">
        <x:v>297</x:v>
      </x:c>
      <x:c r="B298" s="4" t="str">
        <x:v>UHOME-0064</x:v>
      </x:c>
      <x:c r="C298" s="4" t="str">
        <x:v>首页与发现</x:v>
      </x:c>
      <x:c r="D298" s="4" t="str">
        <x:v>搜索结果（用户视角）</x:v>
      </x:c>
      <x:c r="E298" s="4" t="str">
        <x:v>功能需求</x:v>
      </x:c>
      <x:c r="F298" s="4" t="str">
        <x:v>P2</x:v>
      </x:c>
      <x:c r="G298" s="4" t="str">
        <x:v>验证未开播时的搜索结果结果</x:v>
      </x:c>
      <x:c r="H298" s="4" t="str">
        <x:v>搜索结果条件结果</x:v>
      </x:c>
      <x:c r="I298" s="4" t="str">
        <x:v>1. 用户账号已登录且具备当前页面权限
2. 未开播</x:v>
      </x:c>
      <x:c r="J298" s="4" t="str">
        <x:v>1. 进入搜索结果
2. 查看搜索结果</x:v>
      </x:c>
      <x:c r="K298" s="4" t="str">
        <x:v>不展示</x:v>
      </x:c>
      <x:c r="L298" s="4" t="str"/>
      <x:c r="M298" s="4" t="str">
        <x:v>未测</x:v>
      </x:c>
      <x:c r="N298" s="4" t="str"/>
      <x:c r="O298" s="4" t="str">
        <x:v>1. 来源（原型批注）：liveshow-proto/prototype/annotations/user.js；search-results.html
2. 页面：search-results.html
3. 规则：BR-F2B6C35CEF771B
4. 场景：SC-4A1AFB2CE05C79
5. 未动态验证</x:v>
      </x:c>
    </x:row>
    <x:row r="299" ht="54" customHeight="1">
      <x:c r="A299" s="4" t="n">
        <x:v>298</x:v>
      </x:c>
      <x:c r="B299" s="4" t="str">
        <x:v>UHOME-0065</x:v>
      </x:c>
      <x:c r="C299" s="4" t="str">
        <x:v>首页与发现</x:v>
      </x:c>
      <x:c r="D299" s="4" t="str">
        <x:v>搜索结果（用户视角）</x:v>
      </x:c>
      <x:c r="E299" s="4" t="str">
        <x:v>业务流程</x:v>
      </x:c>
      <x:c r="F299" s="4" t="str">
        <x:v>P2</x:v>
      </x:c>
      <x:c r="G299" s="4" t="str">
        <x:v>验证修改关键词并提交后的搜索结果状态</x:v>
      </x:c>
      <x:c r="H299" s="4" t="str">
        <x:v>搜索结果状态</x:v>
      </x:c>
      <x:c r="I299" s="4" t="str">
        <x:v>1. 用户账号已登录且具备当前页面权限</x:v>
      </x:c>
      <x:c r="J299" s="4" t="str">
        <x:v>1. 进入搜索结果
2. 修改关键词并提交</x:v>
      </x:c>
      <x:c r="K299" s="4" t="str">
        <x:v>刷新搜索结果</x:v>
      </x:c>
      <x:c r="L299" s="4" t="str"/>
      <x:c r="M299" s="4" t="str">
        <x:v>未测</x:v>
      </x:c>
      <x:c r="N299" s="4" t="str"/>
      <x:c r="O299" s="4" t="str">
        <x:v>1. 来源（原型批注）：liveshow-proto/prototype/annotations/user.js；search-results.html
2. 页面：search-results.html
3. 规则：BR-7C810FA06D42EC
4. 场景：SC-19324BBEE4129C
5. 未动态验证</x:v>
      </x:c>
    </x:row>
    <x:row r="300" ht="54" customHeight="1">
      <x:c r="A300" s="4" t="n">
        <x:v>299</x:v>
      </x:c>
      <x:c r="B300" s="4" t="str">
        <x:v>UHOME-0066</x:v>
      </x:c>
      <x:c r="C300" s="4" t="str">
        <x:v>首页与发现</x:v>
      </x:c>
      <x:c r="D300" s="4" t="str">
        <x:v>搜索结果（用户视角）</x:v>
      </x:c>
      <x:c r="E300" s="4" t="str">
        <x:v>功能需求</x:v>
      </x:c>
      <x:c r="F300" s="4" t="str">
        <x:v>P2</x:v>
      </x:c>
      <x:c r="G300" s="4" t="str">
        <x:v>验证正在直播时的搜索结果结果</x:v>
      </x:c>
      <x:c r="H300" s="4" t="str">
        <x:v>搜索结果条件结果</x:v>
      </x:c>
      <x:c r="I300" s="4" t="str">
        <x:v>1. 用户账号已登录且具备当前页面权限
2. 正在直播</x:v>
      </x:c>
      <x:c r="J300" s="4" t="str">
        <x:v>1. 进入搜索结果
2. 查看搜索结果</x:v>
      </x:c>
      <x:c r="K300" s="4" t="str">
        <x:v>展示“直播中”入口</x:v>
      </x:c>
      <x:c r="L300" s="4" t="str"/>
      <x:c r="M300" s="4" t="str">
        <x:v>未测</x:v>
      </x:c>
      <x:c r="N300" s="4" t="str"/>
      <x:c r="O300" s="4" t="str">
        <x:v>1. 来源（原型批注）：liveshow-proto/prototype/annotations/user.js；search-results.html
2. 页面：search-results.html
3. 规则：BR-39D4F4BCDA96EC
4. 场景：SC-6ABF8DDBC04017
5. 未动态验证</x:v>
      </x:c>
    </x:row>
    <x:row r="301" ht="54" customHeight="1">
      <x:c r="A301" s="4" t="n">
        <x:v>300</x:v>
      </x:c>
      <x:c r="B301" s="4" t="str">
        <x:v>UHOME-0067</x:v>
      </x:c>
      <x:c r="C301" s="4" t="str">
        <x:v>首页与发现</x:v>
      </x:c>
      <x:c r="D301" s="4" t="str">
        <x:v>系统通知授权弹窗（用户视角）</x:v>
      </x:c>
      <x:c r="E301" s="4" t="str">
        <x:v>功能需求</x:v>
      </x:c>
      <x:c r="F301" s="4" t="str">
        <x:v>P2</x:v>
      </x:c>
      <x:c r="G301" s="4" t="str">
        <x:v>验证系统通知授权弹窗可查看按钮</x:v>
      </x:c>
      <x:c r="H301" s="4" t="str">
        <x:v>按钮展示</x:v>
      </x:c>
      <x:c r="I301" s="4" t="str">
        <x:v>1. 用户账号已登录且具备当前页面权限</x:v>
      </x:c>
      <x:c r="J301" s="4" t="str">
        <x:v>1. 打开系统通知授权弹窗
2. 查看按钮</x:v>
      </x:c>
      <x:c r="K301" s="4" t="str">
        <x:v>系统通知授权弹窗显示“按钮”</x:v>
      </x:c>
      <x:c r="L301" s="4" t="str"/>
      <x:c r="M301" s="4" t="str">
        <x:v>未测</x:v>
      </x:c>
      <x:c r="N301" s="4" t="str"/>
      <x:c r="O301" s="4" t="str">
        <x:v>1. 来源（原型批注）：liveshow-proto/prototype/annotations/user.js；views/live-plaza/notification-permission.html
2. 页面：views/live-plaza/notification-permission.html
3. 规则：BR-23B6FB4D70EDCF
4. 场景：SC-321F91AA75C113
5. 未动态验证</x:v>
      </x:c>
    </x:row>
    <x:row r="302" ht="54" customHeight="1">
      <x:c r="A302" s="4" t="n">
        <x:v>301</x:v>
      </x:c>
      <x:c r="B302" s="4" t="str">
        <x:v>UHOME-0068</x:v>
      </x:c>
      <x:c r="C302" s="4" t="str">
        <x:v>首页与发现</x:v>
      </x:c>
      <x:c r="D302" s="4" t="str">
        <x:v>系统通知授权弹窗（用户视角）</x:v>
      </x:c>
      <x:c r="E302" s="4" t="str">
        <x:v>功能需求</x:v>
      </x:c>
      <x:c r="F302" s="4" t="str">
        <x:v>P2</x:v>
      </x:c>
      <x:c r="G302" s="4" t="str">
        <x:v>验证系统通知授权弹窗可查看标题</x:v>
      </x:c>
      <x:c r="H302" s="4" t="str">
        <x:v>标题展示</x:v>
      </x:c>
      <x:c r="I302" s="4" t="str">
        <x:v>1. 用户账号已登录且具备当前页面权限</x:v>
      </x:c>
      <x:c r="J302" s="4" t="str">
        <x:v>1. 打开系统通知授权弹窗
2. 查看标题</x:v>
      </x:c>
      <x:c r="K302" s="4" t="str">
        <x:v>系统通知授权弹窗显示“标题”</x:v>
      </x:c>
      <x:c r="L302" s="4" t="str"/>
      <x:c r="M302" s="4" t="str">
        <x:v>未测</x:v>
      </x:c>
      <x:c r="N302" s="4" t="str"/>
      <x:c r="O302" s="4" t="str">
        <x:v>1. 来源（原型批注）：liveshow-proto/prototype/annotations/user.js；views/live-plaza/notification-permission.html
2. 页面：views/live-plaza/notification-permission.html
3. 规则：BR-56B85DFB09A724
4. 场景：SC-999FB3A4D31739
5. 未动态验证</x:v>
      </x:c>
    </x:row>
    <x:row r="303" ht="54" customHeight="1">
      <x:c r="A303" s="4" t="n">
        <x:v>302</x:v>
      </x:c>
      <x:c r="B303" s="4" t="str">
        <x:v>UHOME-0069</x:v>
      </x:c>
      <x:c r="C303" s="4" t="str">
        <x:v>首页与发现</x:v>
      </x:c>
      <x:c r="D303" s="4" t="str">
        <x:v>系统通知授权弹窗（用户视角）</x:v>
      </x:c>
      <x:c r="E303" s="4" t="str">
        <x:v>功能需求</x:v>
      </x:c>
      <x:c r="F303" s="4" t="str">
        <x:v>P2</x:v>
      </x:c>
      <x:c r="G303" s="4" t="str">
        <x:v>验证系统通知授权弹窗可查看正文</x:v>
      </x:c>
      <x:c r="H303" s="4" t="str">
        <x:v>正文展示</x:v>
      </x:c>
      <x:c r="I303" s="4" t="str">
        <x:v>1. 用户账号已登录且具备当前页面权限</x:v>
      </x:c>
      <x:c r="J303" s="4" t="str">
        <x:v>1. 打开系统通知授权弹窗
2. 查看正文</x:v>
      </x:c>
      <x:c r="K303" s="4" t="str">
        <x:v>系统通知授权弹窗显示“正文”</x:v>
      </x:c>
      <x:c r="L303" s="4" t="str"/>
      <x:c r="M303" s="4" t="str">
        <x:v>未测</x:v>
      </x:c>
      <x:c r="N303" s="4" t="str"/>
      <x:c r="O303" s="4" t="str">
        <x:v>1. 来源（原型批注）：liveshow-proto/prototype/annotations/user.js；views/live-plaza/notification-permission.html
2. 页面：views/live-plaza/notification-permission.html
3. 规则：BR-D223316FCFFA40
4. 场景：SC-F0E4FF104930B0
5. 未动态验证</x:v>
      </x:c>
    </x:row>
    <x:row r="304" ht="54" customHeight="1">
      <x:c r="A304" s="4" t="n">
        <x:v>303</x:v>
      </x:c>
      <x:c r="B304" s="4" t="str">
        <x:v>UHOME-0070</x:v>
      </x:c>
      <x:c r="C304" s="4" t="str">
        <x:v>首页与发现</x:v>
      </x:c>
      <x:c r="D304" s="4" t="str">
        <x:v>系统通知授权弹窗（用户视角）</x:v>
      </x:c>
      <x:c r="E304" s="4" t="str">
        <x:v>异常用例</x:v>
      </x:c>
      <x:c r="F304" s="4" t="str">
        <x:v>P2</x:v>
      </x:c>
      <x:c r="G304" s="4" t="str">
        <x:v>验证允许后的系统通知授权弹窗状态</x:v>
      </x:c>
      <x:c r="H304" s="4" t="str">
        <x:v>系统通知授权弹窗状态</x:v>
      </x:c>
      <x:c r="I304" s="4" t="str">
        <x:v>1. 用户账号已登录且具备当前页面权限
2. 允许</x:v>
      </x:c>
      <x:c r="J304" s="4" t="str">
        <x:v>1. 打开系统通知授权弹窗
2. 刷新系统通知授权弹窗</x:v>
      </x:c>
      <x:c r="K304" s="4" t="str">
        <x:v>不允许后记录为已拒绝</x:v>
      </x:c>
      <x:c r="L304" s="4" t="str"/>
      <x:c r="M304" s="4" t="str">
        <x:v>未测</x:v>
      </x:c>
      <x:c r="N304" s="4" t="str"/>
      <x:c r="O304" s="4" t="str">
        <x:v>1. 来源（原型批注）：liveshow-proto/prototype/annotations/user.js；views/live-plaza/notification-permission.html
2. 页面：views/live-plaza/notification-permission.html
3. 规则：BR-08A29719F63421
4. 场景：SC-0BEBEAB24318E9
5. 未动态验证</x:v>
      </x:c>
    </x:row>
    <x:row r="305" ht="54" customHeight="1">
      <x:c r="A305" s="4" t="n">
        <x:v>304</x:v>
      </x:c>
      <x:c r="B305" s="4" t="str">
        <x:v>UHOME-0071</x:v>
      </x:c>
      <x:c r="C305" s="4" t="str">
        <x:v>首页与发现</x:v>
      </x:c>
      <x:c r="D305" s="4" t="str">
        <x:v>邀请好友-选项（用户视角）</x:v>
      </x:c>
      <x:c r="E305" s="4" t="str">
        <x:v>业务流程</x:v>
      </x:c>
      <x:c r="F305" s="4" t="str">
        <x:v>P2</x:v>
      </x:c>
      <x:c r="G305" s="4" t="str">
        <x:v>验证保存图片后的邀请好友-选项状态</x:v>
      </x:c>
      <x:c r="H305" s="4" t="str">
        <x:v>邀请好友-选项状态</x:v>
      </x:c>
      <x:c r="I305" s="4" t="str">
        <x:v>1. 用户账号已登录且具备当前页面权限</x:v>
      </x:c>
      <x:c r="J305" s="4" t="str">
        <x:v>1. 打开邀请好友-选项
2. 保存图片</x:v>
      </x:c>
      <x:c r="K305" s="4" t="str">
        <x:v>给出保存结果反馈</x:v>
      </x:c>
      <x:c r="L305" s="4" t="str"/>
      <x:c r="M305" s="4" t="str">
        <x:v>未测</x:v>
      </x:c>
      <x:c r="N305" s="4" t="str"/>
      <x:c r="O305" s="4" t="str">
        <x:v>1. 来源（原型批注）：liveshow-proto/prototype/annotations/user.js；views/invite-friends/share-options.html
2. 页面：views/invite-friends/share-options.html
3. 规则：BR-C77BB07D296722
4. 场景：SC-C358C3C34401F3
5. 未动态验证</x:v>
      </x:c>
    </x:row>
    <x:row r="306" ht="54" customHeight="1">
      <x:c r="A306" s="4" t="n">
        <x:v>305</x:v>
      </x:c>
      <x:c r="B306" s="4" t="str">
        <x:v>UHOME-0072</x:v>
      </x:c>
      <x:c r="C306" s="4" t="str">
        <x:v>首页与发现</x:v>
      </x:c>
      <x:c r="D306" s="4" t="str">
        <x:v>邀请好友-选项（用户视角）</x:v>
      </x:c>
      <x:c r="E306" s="4" t="str">
        <x:v>业务流程</x:v>
      </x:c>
      <x:c r="F306" s="4" t="str">
        <x:v>P2</x:v>
      </x:c>
      <x:c r="G306" s="4" t="str">
        <x:v>验证点击取消后的邀请好友-选项状态</x:v>
      </x:c>
      <x:c r="H306" s="4" t="str">
        <x:v>邀请好友-选项状态</x:v>
      </x:c>
      <x:c r="I306" s="4" t="str">
        <x:v>1. 用户账号已登录且具备当前页面权限</x:v>
      </x:c>
      <x:c r="J306" s="4" t="str">
        <x:v>1. 打开邀请好友-选项
2. 点击取消</x:v>
      </x:c>
      <x:c r="K306" s="4" t="str">
        <x:v>关闭分享选项</x:v>
      </x:c>
      <x:c r="L306" s="4" t="str"/>
      <x:c r="M306" s="4" t="str">
        <x:v>未测</x:v>
      </x:c>
      <x:c r="N306" s="4" t="str"/>
      <x:c r="O306" s="4" t="str">
        <x:v>1. 来源（原型批注）：liveshow-proto/prototype/annotations/user.js；views/invite-friends/share-options.html
2. 页面：views/invite-friends/share-options.html
3. 规则：BR-7C14C022D5BD54
4. 场景：SC-20A8E745B97146
5. 未动态验证</x:v>
      </x:c>
    </x:row>
    <x:row r="307" ht="54" customHeight="1">
      <x:c r="A307" s="4" t="n">
        <x:v>306</x:v>
      </x:c>
      <x:c r="B307" s="4" t="str">
        <x:v>UHOME-0073</x:v>
      </x:c>
      <x:c r="C307" s="4" t="str">
        <x:v>首页与发现</x:v>
      </x:c>
      <x:c r="D307" s="4" t="str">
        <x:v>邀请好友-选项（用户视角）</x:v>
      </x:c>
      <x:c r="E307" s="4" t="str">
        <x:v>业务流程</x:v>
      </x:c>
      <x:c r="F307" s="4" t="str">
        <x:v>P2</x:v>
      </x:c>
      <x:c r="G307" s="4" t="str">
        <x:v>验证点击遮罩后的邀请好友-选项状态</x:v>
      </x:c>
      <x:c r="H307" s="4" t="str">
        <x:v>邀请好友-选项状态</x:v>
      </x:c>
      <x:c r="I307" s="4" t="str">
        <x:v>1. 用户账号已登录且具备当前页面权限</x:v>
      </x:c>
      <x:c r="J307" s="4" t="str">
        <x:v>1. 打开邀请好友-选项
2. 点击遮罩</x:v>
      </x:c>
      <x:c r="K307" s="4" t="str">
        <x:v>关闭分享选项</x:v>
      </x:c>
      <x:c r="L307" s="4" t="str"/>
      <x:c r="M307" s="4" t="str">
        <x:v>未测</x:v>
      </x:c>
      <x:c r="N307" s="4" t="str"/>
      <x:c r="O307" s="4" t="str">
        <x:v>1. 来源（原型批注）：liveshow-proto/prototype/annotations/user.js；views/invite-friends/share-options.html
2. 页面：views/invite-friends/share-options.html
3. 规则：BR-7C14C022D5BD54
4. 场景：SC-170905859DC8B1
5. 未动态验证</x:v>
      </x:c>
    </x:row>
    <x:row r="308" ht="54" customHeight="1">
      <x:c r="A308" s="4" t="n">
        <x:v>307</x:v>
      </x:c>
      <x:c r="B308" s="4" t="str">
        <x:v>UHOME-0074</x:v>
      </x:c>
      <x:c r="C308" s="4" t="str">
        <x:v>首页与发现</x:v>
      </x:c>
      <x:c r="D308" s="4" t="str">
        <x:v>邀请好友-选项（用户视角）</x:v>
      </x:c>
      <x:c r="E308" s="4" t="str">
        <x:v>业务流程</x:v>
      </x:c>
      <x:c r="F308" s="4" t="str">
        <x:v>P2</x:v>
      </x:c>
      <x:c r="G308" s="4" t="str">
        <x:v>验证复制链接后的邀请好友-选项状态</x:v>
      </x:c>
      <x:c r="H308" s="4" t="str">
        <x:v>邀请好友-选项状态</x:v>
      </x:c>
      <x:c r="I308" s="4" t="str">
        <x:v>1. 用户账号已登录且具备当前页面权限
2. 复制链接</x:v>
      </x:c>
      <x:c r="J308" s="4" t="str">
        <x:v>1. 打开邀请好友-选项
2. 刷新邀请好友-选项</x:v>
      </x:c>
      <x:c r="K308" s="4" t="str">
        <x:v>提示“复制成功”</x:v>
      </x:c>
      <x:c r="L308" s="4" t="str"/>
      <x:c r="M308" s="4" t="str">
        <x:v>未测</x:v>
      </x:c>
      <x:c r="N308" s="4" t="str"/>
      <x:c r="O308" s="4" t="str">
        <x:v>1. 来源（原型批注）：liveshow-proto/prototype/annotations/user.js；views/invite-friends/share-options.html
2. 页面：views/invite-friends/share-options.html
3. 规则：BR-497F075FD89958
4. 场景：SC-63A0AAB3C8F3CA
5. 未动态验证</x:v>
      </x:c>
    </x:row>
    <x:row r="309" ht="54" customHeight="1">
      <x:c r="A309" s="4" t="n">
        <x:v>308</x:v>
      </x:c>
      <x:c r="B309" s="4" t="str">
        <x:v>UHOME-0075</x:v>
      </x:c>
      <x:c r="C309" s="4" t="str">
        <x:v>首页与发现</x:v>
      </x:c>
      <x:c r="D309" s="4" t="str">
        <x:v>邀请好友-选项（用户视角）</x:v>
      </x:c>
      <x:c r="E309" s="4" t="str">
        <x:v>功能需求</x:v>
      </x:c>
      <x:c r="F309" s="4" t="str">
        <x:v>P2</x:v>
      </x:c>
      <x:c r="G309" s="4" t="str">
        <x:v>验证邀请好友-选项可查看分享方式</x:v>
      </x:c>
      <x:c r="H309" s="4" t="str">
        <x:v>分享方式展示</x:v>
      </x:c>
      <x:c r="I309" s="4" t="str">
        <x:v>1. 用户账号已登录且具备当前页面权限</x:v>
      </x:c>
      <x:c r="J309" s="4" t="str">
        <x:v>1. 打开邀请好友-选项
2. 查看分享方式</x:v>
      </x:c>
      <x:c r="K309" s="4" t="str">
        <x:v>邀请好友-选项显示“分享方式”</x:v>
      </x:c>
      <x:c r="L309" s="4" t="str"/>
      <x:c r="M309" s="4" t="str">
        <x:v>未测</x:v>
      </x:c>
      <x:c r="N309" s="4" t="str"/>
      <x:c r="O309" s="4" t="str">
        <x:v>1. 来源（原型批注）：liveshow-proto/prototype/annotations/user.js；views/invite-friends/share-options.html
2. 页面：views/invite-friends/share-options.html
3. 规则：BR-D2B479F6CC5B5F
4. 场景：SC-3D8170369ADEE1
5. 未动态验证</x:v>
      </x:c>
    </x:row>
    <x:row r="310" ht="54" customHeight="1">
      <x:c r="A310" s="4" t="n">
        <x:v>309</x:v>
      </x:c>
      <x:c r="B310" s="4" t="str">
        <x:v>UHOME-0076</x:v>
      </x:c>
      <x:c r="C310" s="4" t="str">
        <x:v>首页与发现</x:v>
      </x:c>
      <x:c r="D310" s="4" t="str">
        <x:v>邀请好友（用户视角）</x:v>
      </x:c>
      <x:c r="E310" s="4" t="str">
        <x:v>业务流程</x:v>
      </x:c>
      <x:c r="F310" s="4" t="str">
        <x:v>P2</x:v>
      </x:c>
      <x:c r="G310" s="4" t="str">
        <x:v>验证点击邀请好友后的邀请好友状态</x:v>
      </x:c>
      <x:c r="H310" s="4" t="str">
        <x:v>邀请好友状态</x:v>
      </x:c>
      <x:c r="I310" s="4" t="str">
        <x:v>1. 用户账号已登录且具备当前页面权限</x:v>
      </x:c>
      <x:c r="J310" s="4" t="str">
        <x:v>1. 进入邀请好友
2. 点击邀请好友</x:v>
      </x:c>
      <x:c r="K310" s="4" t="str">
        <x:v>打开复制链接、发送给好友和保存图片选项</x:v>
      </x:c>
      <x:c r="L310" s="4" t="str"/>
      <x:c r="M310" s="4" t="str">
        <x:v>未测</x:v>
      </x:c>
      <x:c r="N310" s="4" t="str"/>
      <x:c r="O310" s="4" t="str">
        <x:v>1. 来源（原型批注）：liveshow-proto/prototype/annotations/user.js；invite-friends.html
2. 页面：invite-friends.html
3. 规则：BR-F95FDA58F3952F
4. 场景：SC-2BE777A0DABD9E
5. 未动态验证</x:v>
      </x:c>
    </x:row>
    <x:row r="311" ht="54" customHeight="1">
      <x:c r="A311" s="4" t="n">
        <x:v>310</x:v>
      </x:c>
      <x:c r="B311" s="4" t="str">
        <x:v>UHOME-0077</x:v>
      </x:c>
      <x:c r="C311" s="4" t="str">
        <x:v>首页与发现</x:v>
      </x:c>
      <x:c r="D311" s="4" t="str">
        <x:v>邀请好友（用户视角）</x:v>
      </x:c>
      <x:c r="E311" s="4" t="str">
        <x:v>功能需求</x:v>
      </x:c>
      <x:c r="F311" s="4" t="str">
        <x:v>P2</x:v>
      </x:c>
      <x:c r="G311" s="4" t="str">
        <x:v>验证具体奖励以活动页面时的邀请好友结果</x:v>
      </x:c>
      <x:c r="H311" s="4" t="str">
        <x:v>邀请好友条件结果</x:v>
      </x:c>
      <x:c r="I311" s="4" t="str">
        <x:v>1. 用户账号已登录且具备当前页面权限
2. 具体奖励以活动页面</x:v>
      </x:c>
      <x:c r="J311" s="4" t="str">
        <x:v>1. 进入邀请好友
2. 查看邀请好友</x:v>
      </x:c>
      <x:c r="K311" s="4" t="str">
        <x:v>具体奖励以活动页面展示为准</x:v>
      </x:c>
      <x:c r="L311" s="4" t="str"/>
      <x:c r="M311" s="4" t="str">
        <x:v>未测</x:v>
      </x:c>
      <x:c r="N311" s="4" t="str"/>
      <x:c r="O311" s="4" t="str">
        <x:v>1. 来源（原型批注）：liveshow-proto/prototype/annotations/user.js；invite-friends.html
2. 页面：invite-friends.html
3. 规则：BR-03CE142CF17987
4. 场景：SC-94967D626CFCA2
5. 未动态验证</x:v>
      </x:c>
    </x:row>
    <x:row r="312" ht="54" customHeight="1">
      <x:c r="A312" s="4" t="n">
        <x:v>311</x:v>
      </x:c>
      <x:c r="B312" s="4" t="str">
        <x:v>UHOME-0078</x:v>
      </x:c>
      <x:c r="C312" s="4" t="str">
        <x:v>首页与发现</x:v>
      </x:c>
      <x:c r="D312" s="4" t="str">
        <x:v>邀请好友（用户视角）</x:v>
      </x:c>
      <x:c r="E312" s="4" t="str">
        <x:v>业务流程</x:v>
      </x:c>
      <x:c r="F312" s="4" t="str">
        <x:v>P2</x:v>
      </x:c>
      <x:c r="G312" s="4" t="str">
        <x:v>验证切换奖励/邀请记录后的邀请好友状态</x:v>
      </x:c>
      <x:c r="H312" s="4" t="str">
        <x:v>邀请好友状态</x:v>
      </x:c>
      <x:c r="I312" s="4" t="str">
        <x:v>1. 用户账号已登录且具备当前页面权限</x:v>
      </x:c>
      <x:c r="J312" s="4" t="str">
        <x:v>1. 进入邀请好友
2. 切换奖励/邀请记录</x:v>
      </x:c>
      <x:c r="K312" s="4" t="str">
        <x:v>展示统计或记录列表</x:v>
      </x:c>
      <x:c r="L312" s="4" t="str"/>
      <x:c r="M312" s="4" t="str">
        <x:v>未测</x:v>
      </x:c>
      <x:c r="N312" s="4" t="str"/>
      <x:c r="O312" s="4" t="str">
        <x:v>1. 来源（原型批注）：liveshow-proto/prototype/annotations/user.js；invite-friends.html
2. 页面：invite-friends.html
3. 规则：BR-D8A4BE9A45CCAA
4. 场景：SC-300B196C07E705
5. 未动态验证</x:v>
      </x:c>
    </x:row>
    <x:row r="313" ht="54" customHeight="1">
      <x:c r="A313" s="4" t="n">
        <x:v>312</x:v>
      </x:c>
      <x:c r="B313" s="4" t="str">
        <x:v>UHOME-0079</x:v>
      </x:c>
      <x:c r="C313" s="4" t="str">
        <x:v>首页与发现</x:v>
      </x:c>
      <x:c r="D313" s="4" t="str">
        <x:v>邀请好友（用户视角）</x:v>
      </x:c>
      <x:c r="E313" s="4" t="str">
        <x:v>逻辑校验</x:v>
      </x:c>
      <x:c r="F313" s="4" t="str">
        <x:v>P2</x:v>
      </x:c>
      <x:c r="G313" s="4" t="str">
        <x:v>验证邀请好友按指定范围筛选</x:v>
      </x:c>
      <x:c r="H313" s="4" t="str">
        <x:v>邀请好友数据范围</x:v>
      </x:c>
      <x:c r="I313" s="4" t="str">
        <x:v>1. 用户账号已登录且具备当前页面权限
2. 存在符合和不符合“当前账号成功邀请的好友及对应奖励”的记录</x:v>
      </x:c>
      <x:c r="J313" s="4" t="str">
        <x:v>1. 进入邀请好友
2. 查看邀请好友</x:v>
      </x:c>
      <x:c r="K313" s="4" t="str">
        <x:v>数据范围：当前账号成功邀请的好友及对应奖励</x:v>
      </x:c>
      <x:c r="L313" s="4" t="str"/>
      <x:c r="M313" s="4" t="str">
        <x:v>未测</x:v>
      </x:c>
      <x:c r="N313" s="4" t="str"/>
      <x:c r="O313" s="4" t="str">
        <x:v>1. 来源（原型批注）：liveshow-proto/prototype/annotations/user.js；invite-friends.html
2. 页面：invite-friends.html
3. 规则：BR-283455B84F0D72
4. 场景：SC-1F3EE9748F1B63
5. 未动态验证</x:v>
      </x:c>
    </x:row>
    <x:row r="314" ht="54" customHeight="1">
      <x:c r="A314" s="4" t="n">
        <x:v>313</x:v>
      </x:c>
      <x:c r="B314" s="4" t="str">
        <x:v>UHOME-0080</x:v>
      </x:c>
      <x:c r="C314" s="4" t="str">
        <x:v>首页与发现</x:v>
      </x:c>
      <x:c r="D314" s="4" t="str">
        <x:v>邀请好友（用户视角）</x:v>
      </x:c>
      <x:c r="E314" s="4" t="str">
        <x:v>功能需求</x:v>
      </x:c>
      <x:c r="F314" s="4" t="str">
        <x:v>P2</x:v>
      </x:c>
      <x:c r="G314" s="4" t="str">
        <x:v>验证邀请好友可查看累计获得金币</x:v>
      </x:c>
      <x:c r="H314" s="4" t="str">
        <x:v>累计获得金币展示</x:v>
      </x:c>
      <x:c r="I314" s="4" t="str">
        <x:v>1. 用户账号已登录且具备当前页面权限</x:v>
      </x:c>
      <x:c r="J314" s="4" t="str">
        <x:v>1. 进入邀请好友
2. 查看累计获得金币</x:v>
      </x:c>
      <x:c r="K314" s="4" t="str">
        <x:v>邀请好友显示“累计获得金币”</x:v>
      </x:c>
      <x:c r="L314" s="4" t="str"/>
      <x:c r="M314" s="4" t="str">
        <x:v>未测</x:v>
      </x:c>
      <x:c r="N314" s="4" t="str"/>
      <x:c r="O314" s="4" t="str">
        <x:v>1. 来源（原型批注）：liveshow-proto/prototype/annotations/user.js；invite-friends.html
2. 页面：invite-friends.html
3. 规则：BR-026EC24199F976
4. 场景：SC-0585DA296B85CF
5. 未动态验证</x:v>
      </x:c>
    </x:row>
    <x:row r="315" ht="54" customHeight="1">
      <x:c r="A315" s="4" t="n">
        <x:v>314</x:v>
      </x:c>
      <x:c r="B315" s="4" t="str">
        <x:v>UHOME-0081</x:v>
      </x:c>
      <x:c r="C315" s="4" t="str">
        <x:v>首页与发现</x:v>
      </x:c>
      <x:c r="D315" s="4" t="str">
        <x:v>邀请好友（用户视角）</x:v>
      </x:c>
      <x:c r="E315" s="4" t="str">
        <x:v>功能需求</x:v>
      </x:c>
      <x:c r="F315" s="4" t="str">
        <x:v>P2</x:v>
      </x:c>
      <x:c r="G315" s="4" t="str">
        <x:v>验证邀请好友可查看邀请记录</x:v>
      </x:c>
      <x:c r="H315" s="4" t="str">
        <x:v>邀请记录展示</x:v>
      </x:c>
      <x:c r="I315" s="4" t="str">
        <x:v>1. 用户账号已登录且具备当前页面权限</x:v>
      </x:c>
      <x:c r="J315" s="4" t="str">
        <x:v>1. 进入邀请好友
2. 查看邀请记录</x:v>
      </x:c>
      <x:c r="K315" s="4" t="str">
        <x:v>邀请好友显示“邀请记录”</x:v>
      </x:c>
      <x:c r="L315" s="4" t="str"/>
      <x:c r="M315" s="4" t="str">
        <x:v>未测</x:v>
      </x:c>
      <x:c r="N315" s="4" t="str"/>
      <x:c r="O315" s="4" t="str">
        <x:v>1. 来源（原型批注）：liveshow-proto/prototype/annotations/user.js；invite-friends.html
2. 页面：invite-friends.html
3. 规则：BR-5750DE411B50CA
4. 场景：SC-0E8F61FB3523E9
5. 未动态验证</x:v>
      </x:c>
    </x:row>
    <x:row r="316" ht="54" customHeight="1">
      <x:c r="A316" s="4" t="n">
        <x:v>315</x:v>
      </x:c>
      <x:c r="B316" s="4" t="str">
        <x:v>UHOME-0082</x:v>
      </x:c>
      <x:c r="C316" s="4" t="str">
        <x:v>首页与发现</x:v>
      </x:c>
      <x:c r="D316" s="4" t="str">
        <x:v>邀请好友（用户视角）</x:v>
      </x:c>
      <x:c r="E316" s="4" t="str">
        <x:v>功能需求</x:v>
      </x:c>
      <x:c r="F316" s="4" t="str">
        <x:v>P2</x:v>
      </x:c>
      <x:c r="G316" s="4" t="str">
        <x:v>验证邀请好友可查看已邀请好友</x:v>
      </x:c>
      <x:c r="H316" s="4" t="str">
        <x:v>已邀请好友展示</x:v>
      </x:c>
      <x:c r="I316" s="4" t="str">
        <x:v>1. 用户账号已登录且具备当前页面权限</x:v>
      </x:c>
      <x:c r="J316" s="4" t="str">
        <x:v>1. 进入邀请好友
2. 查看已邀请好友</x:v>
      </x:c>
      <x:c r="K316" s="4" t="str">
        <x:v>邀请好友显示“已邀请好友”</x:v>
      </x:c>
      <x:c r="L316" s="4" t="str"/>
      <x:c r="M316" s="4" t="str">
        <x:v>未测</x:v>
      </x:c>
      <x:c r="N316" s="4" t="str"/>
      <x:c r="O316" s="4" t="str">
        <x:v>1. 来源（原型批注）：liveshow-proto/prototype/annotations/user.js；invite-friends.html
2. 页面：invite-friends.html
3. 规则：BR-943E58E5983A4E
4. 场景：SC-9C0B16D8DC7748
5. 未动态验证</x:v>
      </x:c>
    </x:row>
    <x:row r="317" ht="54" customHeight="1">
      <x:c r="A317" s="4" t="n">
        <x:v>316</x:v>
      </x:c>
      <x:c r="B317" s="4" t="str">
        <x:v>UHOME-0083</x:v>
      </x:c>
      <x:c r="C317" s="4" t="str">
        <x:v>首页与发现</x:v>
      </x:c>
      <x:c r="D317" s="4" t="str">
        <x:v>邀请好友（用户视角）</x:v>
      </x:c>
      <x:c r="E317" s="4" t="str">
        <x:v>功能需求</x:v>
      </x:c>
      <x:c r="F317" s="4" t="str">
        <x:v>P2</x:v>
      </x:c>
      <x:c r="G317" s="4" t="str">
        <x:v>验证邀请记录按邀请日期倒序时的邀请好友结果</x:v>
      </x:c>
      <x:c r="H317" s="4" t="str">
        <x:v>邀请好友条件结果</x:v>
      </x:c>
      <x:c r="I317" s="4" t="str">
        <x:v>1. 用户账号已登录且具备当前页面权限
2. 邀请记录按邀请日期倒序</x:v>
      </x:c>
      <x:c r="J317" s="4" t="str">
        <x:v>1. 进入邀请好友
2. 查看邀请好友</x:v>
      </x:c>
      <x:c r="K317" s="4" t="str">
        <x:v>邀请记录按邀请日期倒序展示并分页</x:v>
      </x:c>
      <x:c r="L317" s="4" t="str"/>
      <x:c r="M317" s="4" t="str">
        <x:v>未测</x:v>
      </x:c>
      <x:c r="N317" s="4" t="str"/>
      <x:c r="O317" s="4" t="str">
        <x:v>1. 来源（原型批注）：liveshow-proto/prototype/annotations/user.js；invite-friends.html
2. 页面：invite-friends.html
3. 规则：BR-412B82C9D409F9
4. 场景：SC-2775815BCAD19C
5. 未动态验证</x:v>
      </x:c>
    </x:row>
    <x:row r="318" ht="54" customHeight="1">
      <x:c r="A318" s="4" t="n">
        <x:v>317</x:v>
      </x:c>
      <x:c r="B318" s="4" t="str">
        <x:v>UHOME-0084</x:v>
      </x:c>
      <x:c r="C318" s="4" t="str">
        <x:v>首页与发现</x:v>
      </x:c>
      <x:c r="D318" s="4" t="str">
        <x:v>主播榜（用户视角）</x:v>
      </x:c>
      <x:c r="E318" s="4" t="str">
        <x:v>业务流程</x:v>
      </x:c>
      <x:c r="F318" s="4" t="str">
        <x:v>P2</x:v>
      </x:c>
      <x:c r="G318" s="4" t="str">
        <x:v>验证完成全部排序后的主播榜状态</x:v>
      </x:c>
      <x:c r="H318" s="4" t="str">
        <x:v>主播榜状态</x:v>
      </x:c>
      <x:c r="I318" s="4" t="str">
        <x:v>1. 用户账号已登录且具备当前页面权限
2. 完成全部排序</x:v>
      </x:c>
      <x:c r="J318" s="4" t="str">
        <x:v>1. 进入主播榜
2. 刷新主播榜</x:v>
      </x:c>
      <x:c r="K318" s="4" t="str">
        <x:v>显示前 99 名</x:v>
      </x:c>
      <x:c r="L318" s="4" t="str"/>
      <x:c r="M318" s="4" t="str">
        <x:v>未测</x:v>
      </x:c>
      <x:c r="N318" s="4" t="str"/>
      <x:c r="O318" s="4" t="str">
        <x:v>1. 来源（原型批注）：liveshow-proto/prototype/annotations/user.js；host-ranking.html
2. 页面：host-ranking.html
3. 规则：BR-EEBB19F025754D
4. 场景：SC-5793B878ED24AF
5. 未动态验证</x:v>
      </x:c>
    </x:row>
    <x:row r="319" ht="54" customHeight="1">
      <x:c r="A319" s="4" t="n">
        <x:v>318</x:v>
      </x:c>
      <x:c r="B319" s="4" t="str">
        <x:v>UHOME-0085</x:v>
      </x:c>
      <x:c r="C319" s="4" t="str">
        <x:v>首页与发现</x:v>
      </x:c>
      <x:c r="D319" s="4" t="str">
        <x:v>主播榜（用户视角）</x:v>
      </x:c>
      <x:c r="E319" s="4" t="str">
        <x:v>业务流程</x:v>
      </x:c>
      <x:c r="F319" s="4" t="str">
        <x:v>P2</x:v>
      </x:c>
      <x:c r="G319" s="4" t="str">
        <x:v>验证已登录用户点击主播后的主播榜状态</x:v>
      </x:c>
      <x:c r="H319" s="4" t="str">
        <x:v>主播榜状态</x:v>
      </x:c>
      <x:c r="I319" s="4" t="str">
        <x:v>1. 用户账号已登录且具备当前页面权限
2. 已登录用户点击主播</x:v>
      </x:c>
      <x:c r="J319" s="4" t="str">
        <x:v>1. 进入主播榜
2. 刷新主播榜</x:v>
      </x:c>
      <x:c r="K319" s="4" t="str">
        <x:v>进入该主播主页</x:v>
      </x:c>
      <x:c r="L319" s="4" t="str"/>
      <x:c r="M319" s="4" t="str">
        <x:v>未测</x:v>
      </x:c>
      <x:c r="N319" s="4" t="str"/>
      <x:c r="O319" s="4" t="str">
        <x:v>1. 来源（原型批注）：liveshow-proto/prototype/annotations/user.js；host-ranking.html
2. 页面：host-ranking.html
3. 规则：BR-E06FFCEEB9A1D4
4. 场景：SC-C14A004594D75B
5. 未动态验证</x:v>
      </x:c>
    </x:row>
    <x:row r="320" ht="54" customHeight="1">
      <x:c r="A320" s="4" t="n">
        <x:v>319</x:v>
      </x:c>
      <x:c r="B320" s="4" t="str">
        <x:v>UHOME-0086</x:v>
      </x:c>
      <x:c r="C320" s="4" t="str">
        <x:v>首页与发现</x:v>
      </x:c>
      <x:c r="D320" s="4" t="str">
        <x:v>主播榜（用户视角）</x:v>
      </x:c>
      <x:c r="E320" s="4" t="str">
        <x:v>业务流程</x:v>
      </x:c>
      <x:c r="F320" s="4" t="str">
        <x:v>P2</x:v>
      </x:c>
      <x:c r="G320" s="4" t="str">
        <x:v>验证账号注销后的主播榜状态</x:v>
      </x:c>
      <x:c r="H320" s="4" t="str">
        <x:v>主播榜状态</x:v>
      </x:c>
      <x:c r="I320" s="4" t="str">
        <x:v>1. 用户账号已登录且具备当前页面权限
2. 账号注销</x:v>
      </x:c>
      <x:c r="J320" s="4" t="str">
        <x:v>1. 进入主播榜
2. 刷新主播榜</x:v>
      </x:c>
      <x:c r="K320" s="4" t="str">
        <x:v>保留历史数值</x:v>
      </x:c>
      <x:c r="L320" s="4" t="str"/>
      <x:c r="M320" s="4" t="str">
        <x:v>未测</x:v>
      </x:c>
      <x:c r="N320" s="4" t="str"/>
      <x:c r="O320" s="4" t="str">
        <x:v>1. 来源（原型批注）：liveshow-proto/prototype/annotations/user.js；host-ranking.html
2. 页面：host-ranking.html
3. 规则：BR-396D59046EA9B2
4. 场景：SC-E5D9946291D591
5. 未动态验证</x:v>
      </x:c>
    </x:row>
    <x:row r="321" ht="54" customHeight="1">
      <x:c r="A321" s="4" t="n">
        <x:v>320</x:v>
      </x:c>
      <x:c r="B321" s="4" t="str">
        <x:v>UHOME-0087</x:v>
      </x:c>
      <x:c r="C321" s="4" t="str">
        <x:v>首页与发现</x:v>
      </x:c>
      <x:c r="D321" s="4" t="str">
        <x:v>主播榜（用户视角）</x:v>
      </x:c>
      <x:c r="E321" s="4" t="str">
        <x:v>逻辑校验</x:v>
      </x:c>
      <x:c r="F321" s="4" t="str">
        <x:v>P2</x:v>
      </x:c>
      <x:c r="G321" s="4" t="str">
        <x:v>验证主播榜按指定范围筛选</x:v>
      </x:c>
      <x:c r="H321" s="4" t="str">
        <x:v>主播榜数据范围</x:v>
      </x:c>
      <x:c r="I321" s="4" t="str">
        <x:v>1. 用户账号已登录且具备当前页面权限
2. 存在符合和不符合“所选当日、本周或本月的主播收礼汇总，按字段表中的排名规则展示前 99 名”的记录</x:v>
      </x:c>
      <x:c r="J321" s="4" t="str">
        <x:v>1. 进入主播榜
2. 查看主播榜</x:v>
      </x:c>
      <x:c r="K321" s="4" t="str">
        <x:v>数据范围：所选当日、本周或本月的主播收礼汇总，按字段表中的排名规则展示前 99 名</x:v>
      </x:c>
      <x:c r="L321" s="4" t="str"/>
      <x:c r="M321" s="4" t="str">
        <x:v>未测</x:v>
      </x:c>
      <x:c r="N321" s="4" t="str"/>
      <x:c r="O321" s="4" t="str">
        <x:v>1. 来源（原型批注）：liveshow-proto/prototype/annotations/user.js；host-ranking.html
2. 页面：host-ranking.html
3. 规则：BR-6C94880043D295
4. 场景：SC-F1A154F0FE0C13
5. 未动态验证</x:v>
      </x:c>
    </x:row>
    <x:row r="322" ht="54" customHeight="1">
      <x:c r="A322" s="4" t="n">
        <x:v>321</x:v>
      </x:c>
      <x:c r="B322" s="4" t="str">
        <x:v>UHOME-0088</x:v>
      </x:c>
      <x:c r="C322" s="4" t="str">
        <x:v>首页与发现</x:v>
      </x:c>
      <x:c r="D322" s="4" t="str">
        <x:v>主播榜（用户视角）</x:v>
      </x:c>
      <x:c r="E322" s="4" t="str">
        <x:v>功能需求</x:v>
      </x:c>
      <x:c r="F322" s="4" t="str">
        <x:v>P2</x:v>
      </x:c>
      <x:c r="G322" s="4" t="str">
        <x:v>验证主播榜可查看榜单数量</x:v>
      </x:c>
      <x:c r="H322" s="4" t="str">
        <x:v>榜单数量展示</x:v>
      </x:c>
      <x:c r="I322" s="4" t="str">
        <x:v>1. 用户账号已登录且具备当前页面权限</x:v>
      </x:c>
      <x:c r="J322" s="4" t="str">
        <x:v>1. 进入主播榜
2. 查看榜单数量</x:v>
      </x:c>
      <x:c r="K322" s="4" t="str">
        <x:v>主播榜显示“榜单数量”</x:v>
      </x:c>
      <x:c r="L322" s="4" t="str"/>
      <x:c r="M322" s="4" t="str">
        <x:v>未测</x:v>
      </x:c>
      <x:c r="N322" s="4" t="str"/>
      <x:c r="O322" s="4" t="str">
        <x:v>1. 来源（原型批注）：liveshow-proto/prototype/annotations/user.js；host-ranking.html
2. 页面：host-ranking.html
3. 规则：BR-EEBB19F025754D、BR-BAE9AA6F65050E
4. 场景：SC-C54B76AED83421
5. 未动态验证</x:v>
      </x:c>
    </x:row>
    <x:row r="323" ht="54" customHeight="1">
      <x:c r="A323" s="4" t="n">
        <x:v>322</x:v>
      </x:c>
      <x:c r="B323" s="4" t="str">
        <x:v>UHOME-0089</x:v>
      </x:c>
      <x:c r="C323" s="4" t="str">
        <x:v>首页与发现</x:v>
      </x:c>
      <x:c r="D323" s="4" t="str">
        <x:v>主播榜（用户视角）</x:v>
      </x:c>
      <x:c r="E323" s="4" t="str">
        <x:v>功能需求</x:v>
      </x:c>
      <x:c r="F323" s="4" t="str">
        <x:v>P2</x:v>
      </x:c>
      <x:c r="G323" s="4" t="str">
        <x:v>验证主播榜可查看排名</x:v>
      </x:c>
      <x:c r="H323" s="4" t="str">
        <x:v>排名展示</x:v>
      </x:c>
      <x:c r="I323" s="4" t="str">
        <x:v>1. 用户账号已登录且具备当前页面权限</x:v>
      </x:c>
      <x:c r="J323" s="4" t="str">
        <x:v>1. 进入主播榜
2. 查看排名</x:v>
      </x:c>
      <x:c r="K323" s="4" t="str">
        <x:v>主播榜显示“排名”</x:v>
      </x:c>
      <x:c r="L323" s="4" t="str"/>
      <x:c r="M323" s="4" t="str">
        <x:v>未测</x:v>
      </x:c>
      <x:c r="N323" s="4" t="str"/>
      <x:c r="O323" s="4" t="str">
        <x:v>1. 来源（原型批注）：liveshow-proto/prototype/annotations/user.js；host-ranking.html
2. 页面：host-ranking.html
3. 规则：BR-B79E7BEFA8DA35、BR-90565AEB04F8F1
4. 场景：SC-11D55A77D5A9B7
5. 未动态验证</x:v>
      </x:c>
    </x:row>
    <x:row r="324" ht="54" customHeight="1">
      <x:c r="A324" s="4" t="n">
        <x:v>323</x:v>
      </x:c>
      <x:c r="B324" s="4" t="str">
        <x:v>UHOME-0090</x:v>
      </x:c>
      <x:c r="C324" s="4" t="str">
        <x:v>首页与发现</x:v>
      </x:c>
      <x:c r="D324" s="4" t="str">
        <x:v>主播榜（用户视角）</x:v>
      </x:c>
      <x:c r="E324" s="4" t="str">
        <x:v>功能需求</x:v>
      </x:c>
      <x:c r="F324" s="4" t="str">
        <x:v>P2</x:v>
      </x:c>
      <x:c r="G324" s="4" t="str">
        <x:v>验证主播榜可查看收礼值</x:v>
      </x:c>
      <x:c r="H324" s="4" t="str">
        <x:v>收礼值展示</x:v>
      </x:c>
      <x:c r="I324" s="4" t="str">
        <x:v>1. 用户账号已登录且具备当前页面权限</x:v>
      </x:c>
      <x:c r="J324" s="4" t="str">
        <x:v>1. 进入主播榜
2. 查看收礼值</x:v>
      </x:c>
      <x:c r="K324" s="4" t="str">
        <x:v>主播榜显示“收礼值”</x:v>
      </x:c>
      <x:c r="L324" s="4" t="str"/>
      <x:c r="M324" s="4" t="str">
        <x:v>未测</x:v>
      </x:c>
      <x:c r="N324" s="4" t="str"/>
      <x:c r="O324" s="4" t="str">
        <x:v>1. 来源（原型批注）：liveshow-proto/prototype/annotations/user.js；host-ranking.html
2. 页面：host-ranking.html
3. 规则：BR-B813C68A0163E8、BR-B835439094B5E8、BR-D5DC41F15B6306
4. 场景：SC-4CED3CAB636A7E
5. 未动态验证</x:v>
      </x:c>
    </x:row>
    <x:row r="325" ht="54" customHeight="1">
      <x:c r="A325" s="4" t="n">
        <x:v>324</x:v>
      </x:c>
      <x:c r="B325" s="4" t="str">
        <x:v>UHOME-0091</x:v>
      </x:c>
      <x:c r="C325" s="4" t="str">
        <x:v>首页与发现</x:v>
      </x:c>
      <x:c r="D325" s="4" t="str">
        <x:v>主播榜（用户视角）</x:v>
      </x:c>
      <x:c r="E325" s="4" t="str">
        <x:v>功能需求</x:v>
      </x:c>
      <x:c r="F325" s="4" t="str">
        <x:v>P2</x:v>
      </x:c>
      <x:c r="G325" s="4" t="str">
        <x:v>验证主播榜可查看周期</x:v>
      </x:c>
      <x:c r="H325" s="4" t="str">
        <x:v>周期展示</x:v>
      </x:c>
      <x:c r="I325" s="4" t="str">
        <x:v>1. 用户账号已登录且具备当前页面权限</x:v>
      </x:c>
      <x:c r="J325" s="4" t="str">
        <x:v>1. 进入主播榜
2. 查看周期</x:v>
      </x:c>
      <x:c r="K325" s="4" t="str">
        <x:v>主播榜显示“周期”</x:v>
      </x:c>
      <x:c r="L325" s="4" t="str"/>
      <x:c r="M325" s="4" t="str">
        <x:v>未测</x:v>
      </x:c>
      <x:c r="N325" s="4" t="str"/>
      <x:c r="O325" s="4" t="str">
        <x:v>1. 来源（原型批注）：liveshow-proto/prototype/annotations/user.js；host-ranking.html
2. 页面：host-ranking.html
3. 规则：BR-938A2ACA325015
4. 场景：SC-09BAC3FD793D71
5. 未动态验证</x:v>
      </x:c>
    </x:row>
    <x:row r="326" ht="54" customHeight="1">
      <x:c r="A326" s="4" t="n">
        <x:v>325</x:v>
      </x:c>
      <x:c r="B326" s="4" t="str">
        <x:v>UHOME-0092</x:v>
      </x:c>
      <x:c r="C326" s="4" t="str">
        <x:v>首页与发现</x:v>
      </x:c>
      <x:c r="D326" s="4" t="str">
        <x:v>主播榜（用户视角）</x:v>
      </x:c>
      <x:c r="E326" s="4" t="str">
        <x:v>功能需求</x:v>
      </x:c>
      <x:c r="F326" s="4" t="str">
        <x:v>P2</x:v>
      </x:c>
      <x:c r="G326" s="4" t="str">
        <x:v>验证主播榜可查看主播</x:v>
      </x:c>
      <x:c r="H326" s="4" t="str">
        <x:v>主播展示</x:v>
      </x:c>
      <x:c r="I326" s="4" t="str">
        <x:v>1. 用户账号已登录且具备当前页面权限</x:v>
      </x:c>
      <x:c r="J326" s="4" t="str">
        <x:v>1. 进入主播榜
2. 查看主播</x:v>
      </x:c>
      <x:c r="K326" s="4" t="str">
        <x:v>主播榜显示“主播”</x:v>
      </x:c>
      <x:c r="L326" s="4" t="str"/>
      <x:c r="M326" s="4" t="str">
        <x:v>未测</x:v>
      </x:c>
      <x:c r="N326" s="4" t="str"/>
      <x:c r="O326" s="4" t="str">
        <x:v>1. 来源（原型批注）：liveshow-proto/prototype/annotations/user.js；host-ranking.html
2. 页面：host-ranking.html
3. 规则：BR-E4C60B02C33F8E
4. 场景：SC-C7823C7A80483D
5. 未动态验证</x:v>
      </x:c>
    </x:row>
    <x:row r="327" ht="54" customHeight="1">
      <x:c r="A327" s="4" t="n">
        <x:v>326</x:v>
      </x:c>
      <x:c r="B327" s="4" t="str">
        <x:v>USOC-0001</x:v>
      </x:c>
      <x:c r="C327" s="4" t="str">
        <x:v>消息与社交</x:v>
      </x:c>
      <x:c r="D327" s="4" t="str">
        <x:v>1 对 1 私信（用户视角）</x:v>
      </x:c>
      <x:c r="E327" s="4" t="str">
        <x:v>逻辑校验</x:v>
      </x:c>
      <x:c r="F327" s="4" t="str">
        <x:v>P2</x:v>
      </x:c>
      <x:c r="G327" s="4" t="str">
        <x:v>验证1 对 1 私信按指定范围筛选</x:v>
      </x:c>
      <x:c r="H327" s="4" t="str">
        <x:v>1 对 1 私信数据范围</x:v>
      </x:c>
      <x:c r="I327" s="4" t="str">
        <x:v>1. 用户账号已登录且具备当前页面权限
2. 存在符合和不符合“当前账号与所选对象的单聊记录”的记录</x:v>
      </x:c>
      <x:c r="J327" s="4" t="str">
        <x:v>1. 进入1 对 1 私信
2. 查看1 对 1 私信</x:v>
      </x:c>
      <x:c r="K327" s="4" t="str">
        <x:v>数据范围：当前账号与所选对象的单聊记录</x:v>
      </x:c>
      <x:c r="L327" s="4" t="str"/>
      <x:c r="M327" s="4" t="str">
        <x:v>未测</x:v>
      </x:c>
      <x:c r="N327" s="4" t="str"/>
      <x:c r="O327" s="4" t="str">
        <x:v>1. 来源（原型批注）：liveshow-proto/prototype/annotations/user.js；direct-message.html
2. 页面：direct-message.html
3. 规则：BR-51F4CFCC516FE7
4. 场景：SC-85515FD4521BDF
5. 未动态验证</x:v>
      </x:c>
    </x:row>
    <x:row r="328" ht="54" customHeight="1">
      <x:c r="A328" s="4" t="n">
        <x:v>327</x:v>
      </x:c>
      <x:c r="B328" s="4" t="str">
        <x:v>USOC-0002</x:v>
      </x:c>
      <x:c r="C328" s="4" t="str">
        <x:v>消息与社交</x:v>
      </x:c>
      <x:c r="D328" s="4" t="str">
        <x:v>1 对 1 私信（用户视角）</x:v>
      </x:c>
      <x:c r="E328" s="4" t="str">
        <x:v>功能需求</x:v>
      </x:c>
      <x:c r="F328" s="4" t="str">
        <x:v>P2</x:v>
      </x:c>
      <x:c r="G328" s="4" t="str">
        <x:v>验证1 对 1 私信可查看消息</x:v>
      </x:c>
      <x:c r="H328" s="4" t="str">
        <x:v>消息展示</x:v>
      </x:c>
      <x:c r="I328" s="4" t="str">
        <x:v>1. 用户账号已登录且具备当前页面权限</x:v>
      </x:c>
      <x:c r="J328" s="4" t="str">
        <x:v>1. 进入1 对 1 私信
2. 查看消息</x:v>
      </x:c>
      <x:c r="K328" s="4" t="str">
        <x:v>1 对 1 私信显示“消息”</x:v>
      </x:c>
      <x:c r="L328" s="4" t="str"/>
      <x:c r="M328" s="4" t="str">
        <x:v>未测</x:v>
      </x:c>
      <x:c r="N328" s="4" t="str"/>
      <x:c r="O328" s="4" t="str">
        <x:v>1. 来源（原型批注）：liveshow-proto/prototype/annotations/user.js；direct-message.html
2. 页面：direct-message.html
3. 规则：BR-E585EC09A561B4、BR-A66182B5FC5120
4. 场景：SC-943EAC8A61CF76
5. 未动态验证</x:v>
      </x:c>
    </x:row>
    <x:row r="329" ht="54" customHeight="1">
      <x:c r="A329" s="4" t="n">
        <x:v>328</x:v>
      </x:c>
      <x:c r="B329" s="4" t="str">
        <x:v>USOC-0003</x:v>
      </x:c>
      <x:c r="C329" s="4" t="str">
        <x:v>消息与社交</x:v>
      </x:c>
      <x:c r="D329" s="4" t="str">
        <x:v>1 对 1 私信（用户视角）</x:v>
      </x:c>
      <x:c r="E329" s="4" t="str">
        <x:v>功能需求</x:v>
      </x:c>
      <x:c r="F329" s="4" t="str">
        <x:v>P2</x:v>
      </x:c>
      <x:c r="G329" s="4" t="str">
        <x:v>验证1 对 1 私信可查看已读状态</x:v>
      </x:c>
      <x:c r="H329" s="4" t="str">
        <x:v>已读状态展示</x:v>
      </x:c>
      <x:c r="I329" s="4" t="str">
        <x:v>1. 用户账号已登录且具备当前页面权限</x:v>
      </x:c>
      <x:c r="J329" s="4" t="str">
        <x:v>1. 进入1 对 1 私信
2. 查看已读状态</x:v>
      </x:c>
      <x:c r="K329" s="4" t="str">
        <x:v>1 对 1 私信显示“已读状态”</x:v>
      </x:c>
      <x:c r="L329" s="4" t="str"/>
      <x:c r="M329" s="4" t="str">
        <x:v>未测</x:v>
      </x:c>
      <x:c r="N329" s="4" t="str"/>
      <x:c r="O329" s="4" t="str">
        <x:v>1. 来源（原型批注）：liveshow-proto/prototype/annotations/user.js；direct-message.html
2. 页面：direct-message.html
3. 规则：BR-02AB11DB273CB1
4. 场景：SC-E51C05A7E4BD53
5. 未动态验证</x:v>
      </x:c>
    </x:row>
    <x:row r="330" ht="54" customHeight="1">
      <x:c r="A330" s="4" t="n">
        <x:v>329</x:v>
      </x:c>
      <x:c r="B330" s="4" t="str">
        <x:v>USOC-0004</x:v>
      </x:c>
      <x:c r="C330" s="4" t="str">
        <x:v>消息与社交</x:v>
      </x:c>
      <x:c r="D330" s="4" t="str">
        <x:v>1 对 1 私信（用户视角）</x:v>
      </x:c>
      <x:c r="E330" s="4" t="str">
        <x:v>业务流程</x:v>
      </x:c>
      <x:c r="F330" s="4" t="str">
        <x:v>P2</x:v>
      </x:c>
      <x:c r="G330" s="4" t="str">
        <x:v>验证对方进入会话后的1 对 1 私信状态</x:v>
      </x:c>
      <x:c r="H330" s="4" t="str">
        <x:v>1 对 1 私信状态</x:v>
      </x:c>
      <x:c r="I330" s="4" t="str">
        <x:v>1. 用户账号已登录且具备当前页面权限
2. 对方进入会话</x:v>
      </x:c>
      <x:c r="J330" s="4" t="str">
        <x:v>1. 进入1 对 1 私信
2. 刷新1 对 1 私信</x:v>
      </x:c>
      <x:c r="K330" s="4" t="str">
        <x:v>更新已读状态</x:v>
      </x:c>
      <x:c r="L330" s="4" t="str"/>
      <x:c r="M330" s="4" t="str">
        <x:v>未测</x:v>
      </x:c>
      <x:c r="N330" s="4" t="str"/>
      <x:c r="O330" s="4" t="str">
        <x:v>1. 来源（原型批注）：liveshow-proto/prototype/annotations/user.js；direct-message.html
2. 页面：direct-message.html
3. 规则：BR-02AB11DB273CB1
4. 场景：SC-361EACAF15AD91
5. 未动态验证</x:v>
      </x:c>
    </x:row>
    <x:row r="331" ht="54" customHeight="1">
      <x:c r="A331" s="4" t="n">
        <x:v>330</x:v>
      </x:c>
      <x:c r="B331" s="4" t="str">
        <x:v>USOC-0005</x:v>
      </x:c>
      <x:c r="C331" s="4" t="str">
        <x:v>消息与社交</x:v>
      </x:c>
      <x:c r="D331" s="4" t="str">
        <x:v>单聊设置（用户视角）</x:v>
      </x:c>
      <x:c r="E331" s="4" t="str">
        <x:v>功能需求</x:v>
      </x:c>
      <x:c r="F331" s="4" t="str">
        <x:v>P2</x:v>
      </x:c>
      <x:c r="G331" s="4" t="str">
        <x:v>验证单聊设置可查看聊天对象</x:v>
      </x:c>
      <x:c r="H331" s="4" t="str">
        <x:v>聊天对象展示</x:v>
      </x:c>
      <x:c r="I331" s="4" t="str">
        <x:v>1. 用户账号已登录且具备当前页面权限</x:v>
      </x:c>
      <x:c r="J331" s="4" t="str">
        <x:v>1. 进入单聊设置
2. 查看聊天对象</x:v>
      </x:c>
      <x:c r="K331" s="4" t="str">
        <x:v>单聊设置显示“聊天对象”</x:v>
      </x:c>
      <x:c r="L331" s="4" t="str"/>
      <x:c r="M331" s="4" t="str">
        <x:v>未测</x:v>
      </x:c>
      <x:c r="N331" s="4" t="str"/>
      <x:c r="O331" s="4" t="str">
        <x:v>1. 来源（原型批注）：liveshow-proto/prototype/annotations/user.js；chat-settings.html
2. 页面：chat-settings.html
3. 规则：BR-A5E0D7B3E5CCD2
4. 场景：SC-4D853D9155FFD6
5. 未动态验证</x:v>
      </x:c>
    </x:row>
    <x:row r="332" ht="54" customHeight="1">
      <x:c r="A332" s="4" t="n">
        <x:v>331</x:v>
      </x:c>
      <x:c r="B332" s="4" t="str">
        <x:v>USOC-0006</x:v>
      </x:c>
      <x:c r="C332" s="4" t="str">
        <x:v>消息与社交</x:v>
      </x:c>
      <x:c r="D332" s="4" t="str">
        <x:v>单聊设置（用户视角）</x:v>
      </x:c>
      <x:c r="E332" s="4" t="str">
        <x:v>功能需求</x:v>
      </x:c>
      <x:c r="F332" s="4" t="str">
        <x:v>P2</x:v>
      </x:c>
      <x:c r="G332" s="4" t="str">
        <x:v>验证单聊设置可查看消息免打扰</x:v>
      </x:c>
      <x:c r="H332" s="4" t="str">
        <x:v>消息免打扰展示</x:v>
      </x:c>
      <x:c r="I332" s="4" t="str">
        <x:v>1. 用户账号已登录且具备当前页面权限</x:v>
      </x:c>
      <x:c r="J332" s="4" t="str">
        <x:v>1. 进入单聊设置
2. 查看消息免打扰</x:v>
      </x:c>
      <x:c r="K332" s="4" t="str">
        <x:v>单聊设置显示“消息免打扰”</x:v>
      </x:c>
      <x:c r="L332" s="4" t="str"/>
      <x:c r="M332" s="4" t="str">
        <x:v>未测</x:v>
      </x:c>
      <x:c r="N332" s="4" t="str"/>
      <x:c r="O332" s="4" t="str">
        <x:v>1. 来源（原型批注）：liveshow-proto/prototype/annotations/user.js；chat-settings.html
2. 页面：chat-settings.html
3. 规则：BR-2F6A7925BEDAC8
4. 场景：SC-B846C93D15E807
5. 未动态验证</x:v>
      </x:c>
    </x:row>
    <x:row r="333" ht="54" customHeight="1">
      <x:c r="A333" s="4" t="n">
        <x:v>332</x:v>
      </x:c>
      <x:c r="B333" s="4" t="str">
        <x:v>USOC-0007</x:v>
      </x:c>
      <x:c r="C333" s="4" t="str">
        <x:v>消息与社交</x:v>
      </x:c>
      <x:c r="D333" s="4" t="str">
        <x:v>单聊设置（用户视角）</x:v>
      </x:c>
      <x:c r="E333" s="4" t="str">
        <x:v>业务流程</x:v>
      </x:c>
      <x:c r="F333" s="4" t="str">
        <x:v>P2</x:v>
      </x:c>
      <x:c r="G333" s="4" t="str">
        <x:v>验证举报后的单聊设置状态</x:v>
      </x:c>
      <x:c r="H333" s="4" t="str">
        <x:v>单聊设置状态</x:v>
      </x:c>
      <x:c r="I333" s="4" t="str">
        <x:v>1. 用户账号已登录且具备当前页面权限
2. 举报</x:v>
      </x:c>
      <x:c r="J333" s="4" t="str">
        <x:v>1. 进入单聊设置
2. 刷新单聊设置</x:v>
      </x:c>
      <x:c r="K333" s="4" t="str">
        <x:v>进入当前账号的举报流程</x:v>
      </x:c>
      <x:c r="L333" s="4" t="str"/>
      <x:c r="M333" s="4" t="str">
        <x:v>未测</x:v>
      </x:c>
      <x:c r="N333" s="4" t="str"/>
      <x:c r="O333" s="4" t="str">
        <x:v>1. 来源（原型批注）：liveshow-proto/prototype/annotations/user.js；chat-settings.html
2. 页面：chat-settings.html
3. 规则：BR-46E52240014FC9
4. 场景：SC-02EDE25A5F8A1A
5. 未动态验证</x:v>
      </x:c>
    </x:row>
    <x:row r="334" ht="54" customHeight="1">
      <x:c r="A334" s="4" t="n">
        <x:v>333</x:v>
      </x:c>
      <x:c r="B334" s="4" t="str">
        <x:v>USOC-0008</x:v>
      </x:c>
      <x:c r="C334" s="4" t="str">
        <x:v>消息与社交</x:v>
      </x:c>
      <x:c r="D334" s="4" t="str">
        <x:v>单聊设置（用户视角）</x:v>
      </x:c>
      <x:c r="E334" s="4" t="str">
        <x:v>异常用例</x:v>
      </x:c>
      <x:c r="F334" s="4" t="str">
        <x:v>P2</x:v>
      </x:c>
      <x:c r="G334" s="4" t="str">
        <x:v>验证拉黑后的单聊设置状态</x:v>
      </x:c>
      <x:c r="H334" s="4" t="str">
        <x:v>单聊设置状态</x:v>
      </x:c>
      <x:c r="I334" s="4" t="str">
        <x:v>1. 用户账号已登录且具备当前页面权限
2. 拉黑</x:v>
      </x:c>
      <x:c r="J334" s="4" t="str">
        <x:v>1. 进入单聊设置
2. 刷新单聊设置</x:v>
      </x:c>
      <x:c r="K334" s="4" t="str">
        <x:v>双方不能搜索、关注、申请好友、私信或进入对方主持的直播间</x:v>
      </x:c>
      <x:c r="L334" s="4" t="str"/>
      <x:c r="M334" s="4" t="str">
        <x:v>未测</x:v>
      </x:c>
      <x:c r="N334" s="4" t="str"/>
      <x:c r="O334" s="4" t="str">
        <x:v>1. 来源（原型批注）：liveshow-proto/prototype/annotations/user.js；chat-settings.html
2. 页面：chat-settings.html
3. 规则：BR-4061E101CCB6BC
4. 场景：SC-B63AE0DF0701D0
5. 未动态验证</x:v>
      </x:c>
    </x:row>
    <x:row r="335" ht="54" customHeight="1">
      <x:c r="A335" s="4" t="n">
        <x:v>334</x:v>
      </x:c>
      <x:c r="B335" s="4" t="str">
        <x:v>USOC-0009</x:v>
      </x:c>
      <x:c r="C335" s="4" t="str">
        <x:v>消息与社交</x:v>
      </x:c>
      <x:c r="D335" s="4" t="str">
        <x:v>单聊设置（用户视角）</x:v>
      </x:c>
      <x:c r="E335" s="4" t="str">
        <x:v>业务流程</x:v>
      </x:c>
      <x:c r="F335" s="4" t="str">
        <x:v>P2</x:v>
      </x:c>
      <x:c r="G335" s="4" t="str">
        <x:v>验证取消拉黑后的单聊设置状态</x:v>
      </x:c>
      <x:c r="H335" s="4" t="str">
        <x:v>单聊设置状态</x:v>
      </x:c>
      <x:c r="I335" s="4" t="str">
        <x:v>1. 用户账号已登录且具备当前页面权限</x:v>
      </x:c>
      <x:c r="J335" s="4" t="str">
        <x:v>1. 进入单聊设置
2. 取消拉黑</x:v>
      </x:c>
      <x:c r="K335" s="4" t="str">
        <x:v>不恢复</x:v>
      </x:c>
      <x:c r="L335" s="4" t="str"/>
      <x:c r="M335" s="4" t="str">
        <x:v>未测</x:v>
      </x:c>
      <x:c r="N335" s="4" t="str"/>
      <x:c r="O335" s="4" t="str">
        <x:v>1. 来源（原型批注）：liveshow-proto/prototype/annotations/user.js；chat-settings.html
2. 页面：chat-settings.html
3. 规则：BR-A61DDDD8A401E5
4. 场景：SC-E7A13BDB186C63
5. 未动态验证</x:v>
      </x:c>
    </x:row>
    <x:row r="336" ht="54" customHeight="1">
      <x:c r="A336" s="4" t="n">
        <x:v>335</x:v>
      </x:c>
      <x:c r="B336" s="4" t="str">
        <x:v>USOC-0010</x:v>
      </x:c>
      <x:c r="C336" s="4" t="str">
        <x:v>消息与社交</x:v>
      </x:c>
      <x:c r="D336" s="4" t="str">
        <x:v>单聊设置（用户视角）</x:v>
      </x:c>
      <x:c r="E336" s="4" t="str">
        <x:v>业务流程</x:v>
      </x:c>
      <x:c r="F336" s="4" t="str">
        <x:v>P2</x:v>
      </x:c>
      <x:c r="G336" s="4" t="str">
        <x:v>验证确认后的单聊设置状态</x:v>
      </x:c>
      <x:c r="H336" s="4" t="str">
        <x:v>单聊设置状态</x:v>
      </x:c>
      <x:c r="I336" s="4" t="str">
        <x:v>1. 用户账号已登录且具备当前页面权限</x:v>
      </x:c>
      <x:c r="J336" s="4" t="str">
        <x:v>1. 进入单聊设置
2. 确认</x:v>
      </x:c>
      <x:c r="K336" s="4" t="str">
        <x:v>执行并删除当前会话</x:v>
      </x:c>
      <x:c r="L336" s="4" t="str"/>
      <x:c r="M336" s="4" t="str">
        <x:v>未测</x:v>
      </x:c>
      <x:c r="N336" s="4" t="str"/>
      <x:c r="O336" s="4" t="str">
        <x:v>1. 来源（原型批注）：liveshow-proto/prototype/annotations/user.js；chat-settings.html
2. 页面：chat-settings.html
3. 规则：BR-CE546774CB16F4
4. 场景：SC-5AABFB6DE73797
5. 未动态验证</x:v>
      </x:c>
    </x:row>
    <x:row r="337" ht="54" customHeight="1">
      <x:c r="A337" s="4" t="n">
        <x:v>336</x:v>
      </x:c>
      <x:c r="B337" s="4" t="str">
        <x:v>USOC-0011</x:v>
      </x:c>
      <x:c r="C337" s="4" t="str">
        <x:v>消息与社交</x:v>
      </x:c>
      <x:c r="D337" s="4" t="str">
        <x:v>粉丝列表（用户视角）</x:v>
      </x:c>
      <x:c r="E337" s="4" t="str">
        <x:v>功能需求</x:v>
      </x:c>
      <x:c r="F337" s="4" t="str">
        <x:v>P2</x:v>
      </x:c>
      <x:c r="G337" s="4" t="str">
        <x:v>验证按昵称实时的粉丝列表结果</x:v>
      </x:c>
      <x:c r="H337" s="4" t="str">
        <x:v>粉丝列表条件结果</x:v>
      </x:c>
      <x:c r="I337" s="4" t="str">
        <x:v>1. 用户账号已登录且具备当前页面权限
2. 按昵称实</x:v>
      </x:c>
      <x:c r="J337" s="4" t="str">
        <x:v>1. 进入粉丝列表
2. 查看粉丝列表</x:v>
      </x:c>
      <x:c r="K337" s="4" t="str">
        <x:v>搜索粉丝，无匹配时显示空态</x:v>
      </x:c>
      <x:c r="L337" s="4" t="str"/>
      <x:c r="M337" s="4" t="str">
        <x:v>未测</x:v>
      </x:c>
      <x:c r="N337" s="4" t="str"/>
      <x:c r="O337" s="4" t="str">
        <x:v>1. 来源（原型批注）：liveshow-proto/prototype/annotations/user.js；follower-list.html
2. 页面：follower-list.html
3. 规则：BR-797B5C7CB09AD3
4. 场景：SC-622E68FA3C56A2
5. 未动态验证</x:v>
      </x:c>
    </x:row>
    <x:row r="338" ht="54" customHeight="1">
      <x:c r="A338" s="4" t="n">
        <x:v>337</x:v>
      </x:c>
      <x:c r="B338" s="4" t="str">
        <x:v>USOC-0012</x:v>
      </x:c>
      <x:c r="C338" s="4" t="str">
        <x:v>消息与社交</x:v>
      </x:c>
      <x:c r="D338" s="4" t="str">
        <x:v>粉丝列表（用户视角）</x:v>
      </x:c>
      <x:c r="E338" s="4" t="str">
        <x:v>功能需求</x:v>
      </x:c>
      <x:c r="F338" s="4" t="str">
        <x:v>P2</x:v>
      </x:c>
      <x:c r="G338" s="4" t="str">
        <x:v>验证粉丝列表可查看等级</x:v>
      </x:c>
      <x:c r="H338" s="4" t="str">
        <x:v>等级展示</x:v>
      </x:c>
      <x:c r="I338" s="4" t="str">
        <x:v>1. 用户账号已登录且具备当前页面权限</x:v>
      </x:c>
      <x:c r="J338" s="4" t="str">
        <x:v>1. 进入粉丝列表
2. 查看等级</x:v>
      </x:c>
      <x:c r="K338" s="4" t="str">
        <x:v>粉丝列表显示“等级”</x:v>
      </x:c>
      <x:c r="L338" s="4" t="str"/>
      <x:c r="M338" s="4" t="str">
        <x:v>未测</x:v>
      </x:c>
      <x:c r="N338" s="4" t="str"/>
      <x:c r="O338" s="4" t="str">
        <x:v>1. 来源（原型批注）：liveshow-proto/prototype/annotations/user.js；follower-list.html
2. 页面：follower-list.html
3. 规则：BR-C94551F0A1B45D
4. 场景：SC-600E8ED1B396B4
5. 未动态验证</x:v>
      </x:c>
    </x:row>
    <x:row r="339" ht="54" customHeight="1">
      <x:c r="A339" s="4" t="n">
        <x:v>338</x:v>
      </x:c>
      <x:c r="B339" s="4" t="str">
        <x:v>USOC-0013</x:v>
      </x:c>
      <x:c r="C339" s="4" t="str">
        <x:v>消息与社交</x:v>
      </x:c>
      <x:c r="D339" s="4" t="str">
        <x:v>粉丝列表（用户视角）</x:v>
      </x:c>
      <x:c r="E339" s="4" t="str">
        <x:v>功能需求</x:v>
      </x:c>
      <x:c r="F339" s="4" t="str">
        <x:v>P2</x:v>
      </x:c>
      <x:c r="G339" s="4" t="str">
        <x:v>验证粉丝列表可查看粉丝头像 / 昵称</x:v>
      </x:c>
      <x:c r="H339" s="4" t="str">
        <x:v>粉丝头像 / 昵称展示</x:v>
      </x:c>
      <x:c r="I339" s="4" t="str">
        <x:v>1. 用户账号已登录且具备当前页面权限</x:v>
      </x:c>
      <x:c r="J339" s="4" t="str">
        <x:v>1. 进入粉丝列表
2. 查看粉丝头像 / 昵称</x:v>
      </x:c>
      <x:c r="K339" s="4" t="str">
        <x:v>粉丝列表显示“粉丝头像 / 昵称”</x:v>
      </x:c>
      <x:c r="L339" s="4" t="str"/>
      <x:c r="M339" s="4" t="str">
        <x:v>未测</x:v>
      </x:c>
      <x:c r="N339" s="4" t="str"/>
      <x:c r="O339" s="4" t="str">
        <x:v>1. 来源（原型批注）：liveshow-proto/prototype/annotations/user.js；follower-list.html
2. 页面：follower-list.html
3. 规则：BR-9DB6D0D941C93B
4. 场景：SC-B8FCFE0F198D47
5. 未动态验证</x:v>
      </x:c>
    </x:row>
    <x:row r="340" ht="54" customHeight="1">
      <x:c r="A340" s="4" t="n">
        <x:v>339</x:v>
      </x:c>
      <x:c r="B340" s="4" t="str">
        <x:v>USOC-0014</x:v>
      </x:c>
      <x:c r="C340" s="4" t="str">
        <x:v>消息与社交</x:v>
      </x:c>
      <x:c r="D340" s="4" t="str">
        <x:v>粉丝列表（用户视角）</x:v>
      </x:c>
      <x:c r="E340" s="4" t="str">
        <x:v>功能需求</x:v>
      </x:c>
      <x:c r="F340" s="4" t="str">
        <x:v>P2</x:v>
      </x:c>
      <x:c r="G340" s="4" t="str">
        <x:v>验证粉丝列表可查看搜索关键词</x:v>
      </x:c>
      <x:c r="H340" s="4" t="str">
        <x:v>搜索关键词展示</x:v>
      </x:c>
      <x:c r="I340" s="4" t="str">
        <x:v>1. 用户账号已登录且具备当前页面权限</x:v>
      </x:c>
      <x:c r="J340" s="4" t="str">
        <x:v>1. 进入粉丝列表
2. 查看搜索关键词</x:v>
      </x:c>
      <x:c r="K340" s="4" t="str">
        <x:v>粉丝列表显示“搜索关键词”</x:v>
      </x:c>
      <x:c r="L340" s="4" t="str"/>
      <x:c r="M340" s="4" t="str">
        <x:v>未测</x:v>
      </x:c>
      <x:c r="N340" s="4" t="str"/>
      <x:c r="O340" s="4" t="str">
        <x:v>1. 来源（原型批注）：liveshow-proto/prototype/annotations/user.js；follower-list.html
2. 页面：follower-list.html
3. 规则：BR-52FE0616F94D06、BR-C5AB470B5F6992
4. 场景：SC-951C3B05B97111
5. 未动态验证</x:v>
      </x:c>
    </x:row>
    <x:row r="341" ht="54" customHeight="1">
      <x:c r="A341" s="4" t="n">
        <x:v>340</x:v>
      </x:c>
      <x:c r="B341" s="4" t="str">
        <x:v>USOC-0015</x:v>
      </x:c>
      <x:c r="C341" s="4" t="str">
        <x:v>消息与社交</x:v>
      </x:c>
      <x:c r="D341" s="4" t="str">
        <x:v>粉丝列表（用户视角）</x:v>
      </x:c>
      <x:c r="E341" s="4" t="str">
        <x:v>功能需求</x:v>
      </x:c>
      <x:c r="F341" s="4" t="str">
        <x:v>P2</x:v>
      </x:c>
      <x:c r="G341" s="4" t="str">
        <x:v>验证粉丝列表可查看勋章</x:v>
      </x:c>
      <x:c r="H341" s="4" t="str">
        <x:v>勋章展示</x:v>
      </x:c>
      <x:c r="I341" s="4" t="str">
        <x:v>1. 用户账号已登录且具备当前页面权限</x:v>
      </x:c>
      <x:c r="J341" s="4" t="str">
        <x:v>1. 进入粉丝列表
2. 查看勋章</x:v>
      </x:c>
      <x:c r="K341" s="4" t="str">
        <x:v>粉丝列表显示“勋章”</x:v>
      </x:c>
      <x:c r="L341" s="4" t="str"/>
      <x:c r="M341" s="4" t="str">
        <x:v>未测</x:v>
      </x:c>
      <x:c r="N341" s="4" t="str"/>
      <x:c r="O341" s="4" t="str">
        <x:v>1. 来源（原型批注）：liveshow-proto/prototype/annotations/user.js；follower-list.html
2. 页面：follower-list.html
3. 规则：BR-DC4A2F41AE41E1
4. 场景：SC-ED2058747E0A73
5. 未动态验证</x:v>
      </x:c>
    </x:row>
    <x:row r="342" ht="54" customHeight="1">
      <x:c r="A342" s="4" t="n">
        <x:v>341</x:v>
      </x:c>
      <x:c r="B342" s="4" t="str">
        <x:v>USOC-0016</x:v>
      </x:c>
      <x:c r="C342" s="4" t="str">
        <x:v>消息与社交</x:v>
      </x:c>
      <x:c r="D342" s="4" t="str">
        <x:v>粉丝列表（用户视角）</x:v>
      </x:c>
      <x:c r="E342" s="4" t="str">
        <x:v>功能需求</x:v>
      </x:c>
      <x:c r="F342" s="4" t="str">
        <x:v>P2</x:v>
      </x:c>
      <x:c r="G342" s="4" t="str">
        <x:v>验证空值时的粉丝列表结果</x:v>
      </x:c>
      <x:c r="H342" s="4" t="str">
        <x:v>粉丝列表条件结果</x:v>
      </x:c>
      <x:c r="I342" s="4" t="str">
        <x:v>1. 用户账号已登录且具备当前页面权限
2. 空值</x:v>
      </x:c>
      <x:c r="J342" s="4" t="str">
        <x:v>1. 进入粉丝列表
2. 查看粉丝列表</x:v>
      </x:c>
      <x:c r="K342" s="4" t="str">
        <x:v>空值展示全部粉丝</x:v>
      </x:c>
      <x:c r="L342" s="4" t="str"/>
      <x:c r="M342" s="4" t="str">
        <x:v>未测</x:v>
      </x:c>
      <x:c r="N342" s="4" t="str"/>
      <x:c r="O342" s="4" t="str">
        <x:v>1. 来源（原型批注）：liveshow-proto/prototype/annotations/user.js；follower-list.html
2. 页面：follower-list.html
3. 规则：BR-C5AB470B5F6992
4. 场景：SC-2B85A32753A929
5. 未动态验证</x:v>
      </x:c>
    </x:row>
    <x:row r="343" ht="54" customHeight="1">
      <x:c r="A343" s="4" t="n">
        <x:v>342</x:v>
      </x:c>
      <x:c r="B343" s="4" t="str">
        <x:v>USOC-0017</x:v>
      </x:c>
      <x:c r="C343" s="4" t="str">
        <x:v>消息与社交</x:v>
      </x:c>
      <x:c r="D343" s="4" t="str">
        <x:v>粉丝列表（用户视角）</x:v>
      </x:c>
      <x:c r="E343" s="4" t="str">
        <x:v>功能需求</x:v>
      </x:c>
      <x:c r="F343" s="4" t="str">
        <x:v>P2</x:v>
      </x:c>
      <x:c r="G343" s="4" t="str">
        <x:v>验证展示该账号当前时的粉丝列表结果</x:v>
      </x:c>
      <x:c r="H343" s="4" t="str">
        <x:v>粉丝列表条件结果</x:v>
      </x:c>
      <x:c r="I343" s="4" t="str">
        <x:v>1. 用户账号已登录且具备当前页面权限
2. 展示该账号当前</x:v>
      </x:c>
      <x:c r="J343" s="4" t="str">
        <x:v>1. 进入粉丝列表
2. 查看粉丝列表</x:v>
      </x:c>
      <x:c r="K343" s="4" t="str">
        <x:v>展示该账号当前显示的勋章</x:v>
      </x:c>
      <x:c r="L343" s="4" t="str"/>
      <x:c r="M343" s="4" t="str">
        <x:v>未测</x:v>
      </x:c>
      <x:c r="N343" s="4" t="str"/>
      <x:c r="O343" s="4" t="str">
        <x:v>1. 来源（原型批注）：liveshow-proto/prototype/annotations/user.js；follower-list.html
2. 页面：follower-list.html
3. 规则：BR-DC4A2F41AE41E1
4. 场景：SC-EDFB8DD060F27A
5. 未动态验证</x:v>
      </x:c>
    </x:row>
    <x:row r="344" ht="54" customHeight="1">
      <x:c r="A344" s="4" t="n">
        <x:v>343</x:v>
      </x:c>
      <x:c r="B344" s="4" t="str">
        <x:v>USOC-0018</x:v>
      </x:c>
      <x:c r="C344" s="4" t="str">
        <x:v>消息与社交</x:v>
      </x:c>
      <x:c r="D344" s="4" t="str">
        <x:v>粉丝团群聊（用户视角）</x:v>
      </x:c>
      <x:c r="E344" s="4" t="str">
        <x:v>业务流程</x:v>
      </x:c>
      <x:c r="F344" s="4" t="str">
        <x:v>P2</x:v>
      </x:c>
      <x:c r="G344" s="4" t="str">
        <x:v>验证按最后的粉丝团群聊状态</x:v>
      </x:c>
      <x:c r="H344" s="4" t="str">
        <x:v>粉丝团群聊状态</x:v>
      </x:c>
      <x:c r="I344" s="4" t="str">
        <x:v>1. 用户账号已登录且具备当前页面权限
2. 按最</x:v>
      </x:c>
      <x:c r="J344" s="4" t="str">
        <x:v>1. 打开粉丝团群聊
2. 刷新粉丝团群聊</x:v>
      </x:c>
      <x:c r="K344" s="4" t="str">
        <x:v>时间相同时按会话 ID 从大到小排序</x:v>
      </x:c>
      <x:c r="L344" s="4" t="str"/>
      <x:c r="M344" s="4" t="str">
        <x:v>未测</x:v>
      </x:c>
      <x:c r="N344" s="4" t="str"/>
      <x:c r="O344" s="4" t="str">
        <x:v>1. 来源（原型批注）：liveshow-proto/prototype/annotations/user.js；views/message-center/fan-group.html
2. 页面：views/message-center/fan-group.html
3. 规则：BR-8B753E2A5F9542
4. 场景：SC-142C57C1C4A518
5. 未动态验证</x:v>
      </x:c>
    </x:row>
    <x:row r="345" ht="54" customHeight="1">
      <x:c r="A345" s="4" t="n">
        <x:v>344</x:v>
      </x:c>
      <x:c r="B345" s="4" t="str">
        <x:v>USOC-0019</x:v>
      </x:c>
      <x:c r="C345" s="4" t="str">
        <x:v>消息与社交</x:v>
      </x:c>
      <x:c r="D345" s="4" t="str">
        <x:v>粉丝团群聊（用户视角）</x:v>
      </x:c>
      <x:c r="E345" s="4" t="str">
        <x:v>业务流程</x:v>
      </x:c>
      <x:c r="F345" s="4" t="str">
        <x:v>P2</x:v>
      </x:c>
      <x:c r="G345" s="4" t="str">
        <x:v>验证被移出后的粉丝团群聊状态</x:v>
      </x:c>
      <x:c r="H345" s="4" t="str">
        <x:v>粉丝团群聊状态</x:v>
      </x:c>
      <x:c r="I345" s="4" t="str">
        <x:v>1. 用户账号已登录且具备当前页面权限
2. 被移出</x:v>
      </x:c>
      <x:c r="J345" s="4" t="str">
        <x:v>1. 进入粉丝团群聊
2. 刷新粉丝团群聊</x:v>
      </x:c>
      <x:c r="K345" s="4" t="str">
        <x:v>立即失去群聊权限</x:v>
      </x:c>
      <x:c r="L345" s="4" t="str"/>
      <x:c r="M345" s="4" t="str">
        <x:v>未测</x:v>
      </x:c>
      <x:c r="N345" s="4" t="str"/>
      <x:c r="O345" s="4" t="str">
        <x:v>1. 来源（原型批注）：liveshow-proto/prototype/annotations/user.js；fan-group-chat.html、views/message-center/fan-group.html
2. 页面：fan-group-chat.html、views/message-center/fan-group.html
3. 规则：BR-48EC85B54E40CE、BR-9CF8F76A2A582C
4. 场景：SC-AE715C5DE204B4
5. 未动态验证</x:v>
      </x:c>
    </x:row>
    <x:row r="346" ht="54" customHeight="1">
      <x:c r="A346" s="4" t="n">
        <x:v>345</x:v>
      </x:c>
      <x:c r="B346" s="4" t="str">
        <x:v>USOC-0020</x:v>
      </x:c>
      <x:c r="C346" s="4" t="str">
        <x:v>消息与社交</x:v>
      </x:c>
      <x:c r="D346" s="4" t="str">
        <x:v>粉丝团群聊（用户视角）</x:v>
      </x:c>
      <x:c r="E346" s="4" t="str">
        <x:v>业务流程</x:v>
      </x:c>
      <x:c r="F346" s="4" t="str">
        <x:v>P2</x:v>
      </x:c>
      <x:c r="G346" s="4" t="str">
        <x:v>验证场次已结束后的粉丝团群聊状态</x:v>
      </x:c>
      <x:c r="H346" s="4" t="str">
        <x:v>粉丝团群聊状态</x:v>
      </x:c>
      <x:c r="I346" s="4" t="str">
        <x:v>1. 用户账号已登录且具备当前页面权限
2. 场次已结束</x:v>
      </x:c>
      <x:c r="J346" s="4" t="str">
        <x:v>1. 进入粉丝团群聊
2. 刷新粉丝团群聊</x:v>
      </x:c>
      <x:c r="K346" s="4" t="str">
        <x:v>提示直播已结束</x:v>
      </x:c>
      <x:c r="L346" s="4" t="str"/>
      <x:c r="M346" s="4" t="str">
        <x:v>未测</x:v>
      </x:c>
      <x:c r="N346" s="4" t="str"/>
      <x:c r="O346" s="4" t="str">
        <x:v>1. 来源（原型批注）：liveshow-proto/prototype/annotations/user.js；fan-group-chat.html
2. 页面：fan-group-chat.html
3. 规则：BR-0A1AA48F50FE36
4. 场景：SC-488FCA27AB305E
5. 未动态验证</x:v>
      </x:c>
    </x:row>
    <x:row r="347" ht="54" customHeight="1">
      <x:c r="A347" s="4" t="n">
        <x:v>346</x:v>
      </x:c>
      <x:c r="B347" s="4" t="str">
        <x:v>USOC-0021</x:v>
      </x:c>
      <x:c r="C347" s="4" t="str">
        <x:v>消息与社交</x:v>
      </x:c>
      <x:c r="D347" s="4" t="str">
        <x:v>粉丝团群聊（用户视角）</x:v>
      </x:c>
      <x:c r="E347" s="4" t="str">
        <x:v>业务流程</x:v>
      </x:c>
      <x:c r="F347" s="4" t="str">
        <x:v>P2</x:v>
      </x:c>
      <x:c r="G347" s="4" t="str">
        <x:v>验证点击直播中卡片后的粉丝团群聊状态</x:v>
      </x:c>
      <x:c r="H347" s="4" t="str">
        <x:v>粉丝团群聊状态</x:v>
      </x:c>
      <x:c r="I347" s="4" t="str">
        <x:v>1. 用户账号已登录且具备当前页面权限</x:v>
      </x:c>
      <x:c r="J347" s="4" t="str">
        <x:v>1. 进入粉丝团群聊
2. 点击直播中卡片</x:v>
      </x:c>
      <x:c r="K347" s="4" t="str">
        <x:v>按房间规则进入</x:v>
      </x:c>
      <x:c r="L347" s="4" t="str"/>
      <x:c r="M347" s="4" t="str">
        <x:v>未测</x:v>
      </x:c>
      <x:c r="N347" s="4" t="str"/>
      <x:c r="O347" s="4" t="str">
        <x:v>1. 来源（原型批注）：liveshow-proto/prototype/annotations/user.js；fan-group-chat.html
2. 页面：fan-group-chat.html
3. 规则：BR-2AA58233FF8AC2
4. 场景：SC-980F25F8AD779A
5. 未动态验证</x:v>
      </x:c>
    </x:row>
    <x:row r="348" ht="54" customHeight="1">
      <x:c r="A348" s="4" t="n">
        <x:v>347</x:v>
      </x:c>
      <x:c r="B348" s="4" t="str">
        <x:v>USOC-0022</x:v>
      </x:c>
      <x:c r="C348" s="4" t="str">
        <x:v>消息与社交</x:v>
      </x:c>
      <x:c r="D348" s="4" t="str">
        <x:v>粉丝团群聊（用户视角）</x:v>
      </x:c>
      <x:c r="E348" s="4" t="str">
        <x:v>逻辑校验</x:v>
      </x:c>
      <x:c r="F348" s="4" t="str">
        <x:v>P2</x:v>
      </x:c>
      <x:c r="G348" s="4" t="str">
        <x:v>验证粉丝团群聊按指定范围筛选</x:v>
      </x:c>
      <x:c r="H348" s="4" t="str">
        <x:v>粉丝团群聊数据范围</x:v>
      </x:c>
      <x:c r="I348" s="4" t="str">
        <x:v>1. 用户账号已登录且具备当前页面权限
2. 存在符合和不符合“当前粉丝群内、当前账号有权限查看的消息”的记录</x:v>
      </x:c>
      <x:c r="J348" s="4" t="str">
        <x:v>1. 进入粉丝团群聊
2. 查看粉丝团群聊</x:v>
      </x:c>
      <x:c r="K348" s="4" t="str">
        <x:v>数据范围：当前粉丝群内、当前账号有权限查看的消息</x:v>
      </x:c>
      <x:c r="L348" s="4" t="str"/>
      <x:c r="M348" s="4" t="str">
        <x:v>未测</x:v>
      </x:c>
      <x:c r="N348" s="4" t="str"/>
      <x:c r="O348" s="4" t="str">
        <x:v>1. 来源（原型批注）：liveshow-proto/prototype/annotations/user.js；fan-group-chat.html
2. 页面：fan-group-chat.html
3. 规则：BR-AA1F3F8738CF52
4. 场景：SC-884CE8FADF473E
5. 未动态验证</x:v>
      </x:c>
    </x:row>
    <x:row r="349" ht="54" customHeight="1">
      <x:c r="A349" s="4" t="n">
        <x:v>348</x:v>
      </x:c>
      <x:c r="B349" s="4" t="str">
        <x:v>USOC-0023</x:v>
      </x:c>
      <x:c r="C349" s="4" t="str">
        <x:v>消息与社交</x:v>
      </x:c>
      <x:c r="D349" s="4" t="str">
        <x:v>粉丝团群聊（用户视角）</x:v>
      </x:c>
      <x:c r="E349" s="4" t="str">
        <x:v>逻辑校验</x:v>
      </x:c>
      <x:c r="F349" s="4" t="str">
        <x:v>P2</x:v>
      </x:c>
      <x:c r="G349" s="4" t="str">
        <x:v>验证粉丝团群聊按指定范围筛选</x:v>
      </x:c>
      <x:c r="H349" s="4" t="str">
        <x:v>粉丝团群聊数据范围</x:v>
      </x:c>
      <x:c r="I349" s="4" t="str">
        <x:v>1. 用户账号已登录且具备当前页面权限
2. 存在符合和不符合“当前账号有效团籍对应的粉丝群会话”的记录</x:v>
      </x:c>
      <x:c r="J349" s="4" t="str">
        <x:v>1. 打开粉丝团群聊
2. 查看粉丝团群聊</x:v>
      </x:c>
      <x:c r="K349" s="4" t="str">
        <x:v>数据范围：当前账号有效团籍对应的粉丝群会话</x:v>
      </x:c>
      <x:c r="L349" s="4" t="str"/>
      <x:c r="M349" s="4" t="str">
        <x:v>未测</x:v>
      </x:c>
      <x:c r="N349" s="4" t="str"/>
      <x:c r="O349" s="4" t="str">
        <x:v>1. 来源（原型批注）：liveshow-proto/prototype/annotations/user.js；views/message-center/fan-group.html
2. 页面：views/message-center/fan-group.html
3. 规则：BR-126666A0710227
4. 场景：SC-70F39BEDCAB271
5. 未动态验证</x:v>
      </x:c>
    </x:row>
    <x:row r="350" ht="54" customHeight="1">
      <x:c r="A350" s="4" t="n">
        <x:v>349</x:v>
      </x:c>
      <x:c r="B350" s="4" t="str">
        <x:v>USOC-0024</x:v>
      </x:c>
      <x:c r="C350" s="4" t="str">
        <x:v>消息与社交</x:v>
      </x:c>
      <x:c r="D350" s="4" t="str">
        <x:v>粉丝团群聊（用户视角）</x:v>
      </x:c>
      <x:c r="E350" s="4" t="str">
        <x:v>功能需求</x:v>
      </x:c>
      <x:c r="F350" s="4" t="str">
        <x:v>P2</x:v>
      </x:c>
      <x:c r="G350" s="4" t="str">
        <x:v>验证粉丝团群聊可查看发言状态</x:v>
      </x:c>
      <x:c r="H350" s="4" t="str">
        <x:v>发言状态展示</x:v>
      </x:c>
      <x:c r="I350" s="4" t="str">
        <x:v>1. 用户账号已登录且具备当前页面权限</x:v>
      </x:c>
      <x:c r="J350" s="4" t="str">
        <x:v>1. 进入粉丝团群聊
2. 查看发言状态</x:v>
      </x:c>
      <x:c r="K350" s="4" t="str">
        <x:v>粉丝团群聊显示“发言状态”</x:v>
      </x:c>
      <x:c r="L350" s="4" t="str"/>
      <x:c r="M350" s="4" t="str">
        <x:v>未测</x:v>
      </x:c>
      <x:c r="N350" s="4" t="str"/>
      <x:c r="O350" s="4" t="str">
        <x:v>1. 来源（原型批注）：liveshow-proto/prototype/annotations/user.js；fan-group-chat.html
2. 页面：fan-group-chat.html
3. 规则：BR-6F945BF4F1D671
4. 场景：SC-065BBAD8A3D3AB
5. 未动态验证</x:v>
      </x:c>
    </x:row>
    <x:row r="351" ht="54" customHeight="1">
      <x:c r="A351" s="4" t="n">
        <x:v>350</x:v>
      </x:c>
      <x:c r="B351" s="4" t="str">
        <x:v>USOC-0025</x:v>
      </x:c>
      <x:c r="C351" s="4" t="str">
        <x:v>消息与社交</x:v>
      </x:c>
      <x:c r="D351" s="4" t="str">
        <x:v>粉丝团群聊（用户视角）</x:v>
      </x:c>
      <x:c r="E351" s="4" t="str">
        <x:v>功能需求</x:v>
      </x:c>
      <x:c r="F351" s="4" t="str">
        <x:v>P2</x:v>
      </x:c>
      <x:c r="G351" s="4" t="str">
        <x:v>验证粉丝团群聊可查看会话</x:v>
      </x:c>
      <x:c r="H351" s="4" t="str">
        <x:v>会话展示</x:v>
      </x:c>
      <x:c r="I351" s="4" t="str">
        <x:v>1. 用户账号已登录且具备当前页面权限</x:v>
      </x:c>
      <x:c r="J351" s="4" t="str">
        <x:v>1. 打开粉丝团群聊
2. 查看会话</x:v>
      </x:c>
      <x:c r="K351" s="4" t="str">
        <x:v>粉丝团群聊显示“会话”</x:v>
      </x:c>
      <x:c r="L351" s="4" t="str"/>
      <x:c r="M351" s="4" t="str">
        <x:v>未测</x:v>
      </x:c>
      <x:c r="N351" s="4" t="str"/>
      <x:c r="O351" s="4" t="str">
        <x:v>1. 来源（原型批注）：liveshow-proto/prototype/annotations/user.js；views/message-center/fan-group.html
2. 页面：views/message-center/fan-group.html
3. 规则：BR-DBE577B307731D
4. 场景：SC-B6BB978EA198DA
5. 未动态验证</x:v>
      </x:c>
    </x:row>
    <x:row r="352" ht="54" customHeight="1">
      <x:c r="A352" s="4" t="n">
        <x:v>351</x:v>
      </x:c>
      <x:c r="B352" s="4" t="str">
        <x:v>USOC-0026</x:v>
      </x:c>
      <x:c r="C352" s="4" t="str">
        <x:v>消息与社交</x:v>
      </x:c>
      <x:c r="D352" s="4" t="str">
        <x:v>粉丝团群聊（用户视角）</x:v>
      </x:c>
      <x:c r="E352" s="4" t="str">
        <x:v>功能需求</x:v>
      </x:c>
      <x:c r="F352" s="4" t="str">
        <x:v>P2</x:v>
      </x:c>
      <x:c r="G352" s="4" t="str">
        <x:v>验证粉丝团群聊可查看群成员状态</x:v>
      </x:c>
      <x:c r="H352" s="4" t="str">
        <x:v>群成员状态展示</x:v>
      </x:c>
      <x:c r="I352" s="4" t="str">
        <x:v>1. 用户账号已登录且具备当前页面权限</x:v>
      </x:c>
      <x:c r="J352" s="4" t="str">
        <x:v>1. 打开粉丝团群聊
2. 查看群成员状态</x:v>
      </x:c>
      <x:c r="K352" s="4" t="str">
        <x:v>粉丝团群聊显示“群成员状态”</x:v>
      </x:c>
      <x:c r="L352" s="4" t="str"/>
      <x:c r="M352" s="4" t="str">
        <x:v>未测</x:v>
      </x:c>
      <x:c r="N352" s="4" t="str"/>
      <x:c r="O352" s="4" t="str">
        <x:v>1. 来源（原型批注）：liveshow-proto/prototype/annotations/user.js；views/message-center/fan-group.html
2. 页面：views/message-center/fan-group.html
3. 规则：BR-2E9F9494408A8B、BR-F814BBDAC4437D
4. 场景：SC-C9E12DF5B99E6A
5. 未动态验证</x:v>
      </x:c>
    </x:row>
    <x:row r="353" ht="54" customHeight="1">
      <x:c r="A353" s="4" t="n">
        <x:v>352</x:v>
      </x:c>
      <x:c r="B353" s="4" t="str">
        <x:v>USOC-0027</x:v>
      </x:c>
      <x:c r="C353" s="4" t="str">
        <x:v>消息与社交</x:v>
      </x:c>
      <x:c r="D353" s="4" t="str">
        <x:v>粉丝团群聊（用户视角）</x:v>
      </x:c>
      <x:c r="E353" s="4" t="str">
        <x:v>功能需求</x:v>
      </x:c>
      <x:c r="F353" s="4" t="str">
        <x:v>P2</x:v>
      </x:c>
      <x:c r="G353" s="4" t="str">
        <x:v>验证粉丝团群聊可查看群消息</x:v>
      </x:c>
      <x:c r="H353" s="4" t="str">
        <x:v>群消息展示</x:v>
      </x:c>
      <x:c r="I353" s="4" t="str">
        <x:v>1. 用户账号已登录且具备当前页面权限</x:v>
      </x:c>
      <x:c r="J353" s="4" t="str">
        <x:v>1. 进入粉丝团群聊
2. 查看群消息</x:v>
      </x:c>
      <x:c r="K353" s="4" t="str">
        <x:v>粉丝团群聊显示“群消息”</x:v>
      </x:c>
      <x:c r="L353" s="4" t="str"/>
      <x:c r="M353" s="4" t="str">
        <x:v>未测</x:v>
      </x:c>
      <x:c r="N353" s="4" t="str"/>
      <x:c r="O353" s="4" t="str">
        <x:v>1. 来源（原型批注）：liveshow-proto/prototype/annotations/user.js；fan-group-chat.html
2. 页面：fan-group-chat.html
3. 规则：BR-DDA759DDC867D1
4. 场景：SC-F1AB0F2A38540B
5. 未动态验证</x:v>
      </x:c>
    </x:row>
    <x:row r="354" ht="54" customHeight="1">
      <x:c r="A354" s="4" t="n">
        <x:v>353</x:v>
      </x:c>
      <x:c r="B354" s="4" t="str">
        <x:v>USOC-0028</x:v>
      </x:c>
      <x:c r="C354" s="4" t="str">
        <x:v>消息与社交</x:v>
      </x:c>
      <x:c r="D354" s="4" t="str">
        <x:v>粉丝团群聊（用户视角）</x:v>
      </x:c>
      <x:c r="E354" s="4" t="str">
        <x:v>功能需求</x:v>
      </x:c>
      <x:c r="F354" s="4" t="str">
        <x:v>P2</x:v>
      </x:c>
      <x:c r="G354" s="4" t="str">
        <x:v>验证粉丝团群聊可查看直播卡片</x:v>
      </x:c>
      <x:c r="H354" s="4" t="str">
        <x:v>直播卡片展示</x:v>
      </x:c>
      <x:c r="I354" s="4" t="str">
        <x:v>1. 用户账号已登录且具备当前页面权限</x:v>
      </x:c>
      <x:c r="J354" s="4" t="str">
        <x:v>1. 进入粉丝团群聊
2. 查看直播卡片</x:v>
      </x:c>
      <x:c r="K354" s="4" t="str">
        <x:v>粉丝团群聊显示“直播卡片”</x:v>
      </x:c>
      <x:c r="L354" s="4" t="str"/>
      <x:c r="M354" s="4" t="str">
        <x:v>未测</x:v>
      </x:c>
      <x:c r="N354" s="4" t="str"/>
      <x:c r="O354" s="4" t="str">
        <x:v>1. 来源（原型批注）：liveshow-proto/prototype/annotations/user.js；fan-group-chat.html
2. 页面：fan-group-chat.html
3. 规则：BR-FD7C1C38935572
4. 场景：SC-E6A0BC9889F116
5. 未动态验证</x:v>
      </x:c>
    </x:row>
    <x:row r="355" ht="54" customHeight="1">
      <x:c r="A355" s="4" t="n">
        <x:v>354</x:v>
      </x:c>
      <x:c r="B355" s="4" t="str">
        <x:v>USOC-0029</x:v>
      </x:c>
      <x:c r="C355" s="4" t="str">
        <x:v>消息与社交</x:v>
      </x:c>
      <x:c r="D355" s="4" t="str">
        <x:v>粉丝团群聊（用户视角）</x:v>
      </x:c>
      <x:c r="E355" s="4" t="str">
        <x:v>业务流程</x:v>
      </x:c>
      <x:c r="F355" s="4" t="str">
        <x:v>P2</x:v>
      </x:c>
      <x:c r="G355" s="4" t="str">
        <x:v>验证拉黑主播后的粉丝团群聊状态</x:v>
      </x:c>
      <x:c r="H355" s="4" t="str">
        <x:v>粉丝团群聊状态</x:v>
      </x:c>
      <x:c r="I355" s="4" t="str">
        <x:v>1. 用户账号已登录且具备当前页面权限
2. 拉黑主播</x:v>
      </x:c>
      <x:c r="J355" s="4" t="str">
        <x:v>1. 进入粉丝团群聊
2. 刷新粉丝团群聊</x:v>
      </x:c>
      <x:c r="K355" s="4" t="str">
        <x:v>立即失去群聊权限</x:v>
      </x:c>
      <x:c r="L355" s="4" t="str"/>
      <x:c r="M355" s="4" t="str">
        <x:v>未测</x:v>
      </x:c>
      <x:c r="N355" s="4" t="str"/>
      <x:c r="O355" s="4" t="str">
        <x:v>1. 来源（原型批注）：liveshow-proto/prototype/annotations/user.js；fan-group-chat.html、views/message-center/fan-group.html
2. 页面：fan-group-chat.html、views/message-center/fan-group.html
3. 规则：BR-48EC85B54E40CE、BR-9CF8F76A2A582C
4. 场景：SC-977EB66EA05795
5. 未动态验证</x:v>
      </x:c>
    </x:row>
    <x:row r="356" ht="54" customHeight="1">
      <x:c r="A356" s="4" t="n">
        <x:v>355</x:v>
      </x:c>
      <x:c r="B356" s="4" t="str">
        <x:v>USOC-0030</x:v>
      </x:c>
      <x:c r="C356" s="4" t="str">
        <x:v>消息与社交</x:v>
      </x:c>
      <x:c r="D356" s="4" t="str">
        <x:v>粉丝团群聊（用户视角）</x:v>
      </x:c>
      <x:c r="E356" s="4" t="str">
        <x:v>功能需求</x:v>
      </x:c>
      <x:c r="F356" s="4" t="str">
        <x:v>P2</x:v>
      </x:c>
      <x:c r="G356" s="4" t="str">
        <x:v>验证排序：聊天消息按发送时间从早到晚时的粉丝团群聊结果</x:v>
      </x:c>
      <x:c r="H356" s="4" t="str">
        <x:v>粉丝团群聊条件结果</x:v>
      </x:c>
      <x:c r="I356" s="4" t="str">
        <x:v>1. 用户账号已登录且具备当前页面权限
2. 排序：聊天消息按发送时间从早到晚</x:v>
      </x:c>
      <x:c r="J356" s="4" t="str">
        <x:v>1. 进入粉丝团群聊
2. 查看粉丝团群聊</x:v>
      </x:c>
      <x:c r="K356" s="4" t="str">
        <x:v>排序：聊天消息按发送时间从早到晚展示</x:v>
      </x:c>
      <x:c r="L356" s="4" t="str"/>
      <x:c r="M356" s="4" t="str">
        <x:v>未测</x:v>
      </x:c>
      <x:c r="N356" s="4" t="str"/>
      <x:c r="O356" s="4" t="str">
        <x:v>1. 来源（原型批注）：liveshow-proto/prototype/annotations/user.js；fan-group-chat.html
2. 页面：fan-group-chat.html
3. 规则：BR-9813561C540F1C
4. 场景：SC-12D161B04AFDEF
5. 未动态验证</x:v>
      </x:c>
    </x:row>
    <x:row r="357" ht="54" customHeight="1">
      <x:c r="A357" s="4" t="n">
        <x:v>356</x:v>
      </x:c>
      <x:c r="B357" s="4" t="str">
        <x:v>USOC-0031</x:v>
      </x:c>
      <x:c r="C357" s="4" t="str">
        <x:v>消息与社交</x:v>
      </x:c>
      <x:c r="D357" s="4" t="str">
        <x:v>粉丝团群聊（用户视角）</x:v>
      </x:c>
      <x:c r="E357" s="4" t="str">
        <x:v>业务流程</x:v>
      </x:c>
      <x:c r="F357" s="4" t="str">
        <x:v>P2</x:v>
      </x:c>
      <x:c r="G357" s="4" t="str">
        <x:v>验证团籍失效后的粉丝团群聊状态</x:v>
      </x:c>
      <x:c r="H357" s="4" t="str">
        <x:v>粉丝团群聊状态</x:v>
      </x:c>
      <x:c r="I357" s="4" t="str">
        <x:v>1. 用户账号已登录且具备当前页面权限
2. 团籍失效</x:v>
      </x:c>
      <x:c r="J357" s="4" t="str">
        <x:v>1. 打开粉丝团群聊
2. 刷新粉丝团群聊</x:v>
      </x:c>
      <x:c r="K357" s="4" t="str">
        <x:v>不再保留入口</x:v>
      </x:c>
      <x:c r="L357" s="4" t="str"/>
      <x:c r="M357" s="4" t="str">
        <x:v>未测</x:v>
      </x:c>
      <x:c r="N357" s="4" t="str"/>
      <x:c r="O357" s="4" t="str">
        <x:v>1. 来源（原型批注）：liveshow-proto/prototype/annotations/user.js；views/message-center/fan-group.html
2. 页面：views/message-center/fan-group.html
3. 规则：BR-18215E28DDADD3
4. 场景：SC-F7B1FC0E1203AF
5. 未动态验证</x:v>
      </x:c>
    </x:row>
    <x:row r="358" ht="54" customHeight="1">
      <x:c r="A358" s="4" t="n">
        <x:v>357</x:v>
      </x:c>
      <x:c r="B358" s="4" t="str">
        <x:v>USOC-0032</x:v>
      </x:c>
      <x:c r="C358" s="4" t="str">
        <x:v>消息与社交</x:v>
      </x:c>
      <x:c r="D358" s="4" t="str">
        <x:v>粉丝团群聊（用户视角）</x:v>
      </x:c>
      <x:c r="E358" s="4" t="str">
        <x:v>业务流程</x:v>
      </x:c>
      <x:c r="F358" s="4" t="str">
        <x:v>P2</x:v>
      </x:c>
      <x:c r="G358" s="4" t="str">
        <x:v>验证退出后的粉丝团群聊状态</x:v>
      </x:c>
      <x:c r="H358" s="4" t="str">
        <x:v>粉丝团群聊状态</x:v>
      </x:c>
      <x:c r="I358" s="4" t="str">
        <x:v>1. 用户账号已登录且具备当前页面权限</x:v>
      </x:c>
      <x:c r="J358" s="4" t="str">
        <x:v>1. 进入粉丝团群聊
2. 退出</x:v>
      </x:c>
      <x:c r="K358" s="4" t="str">
        <x:v>立即失去群聊权限</x:v>
      </x:c>
      <x:c r="L358" s="4" t="str"/>
      <x:c r="M358" s="4" t="str">
        <x:v>未测</x:v>
      </x:c>
      <x:c r="N358" s="4" t="str"/>
      <x:c r="O358" s="4" t="str">
        <x:v>1. 来源（原型批注）：liveshow-proto/prototype/annotations/user.js；fan-group-chat.html
2. 页面：fan-group-chat.html
3. 规则：BR-48EC85B54E40CE
4. 场景：SC-E0ED154431ACA5
5. 未动态验证</x:v>
      </x:c>
    </x:row>
    <x:row r="359" ht="54" customHeight="1">
      <x:c r="A359" s="4" t="n">
        <x:v>358</x:v>
      </x:c>
      <x:c r="B359" s="4" t="str">
        <x:v>USOC-0033</x:v>
      </x:c>
      <x:c r="C359" s="4" t="str">
        <x:v>消息与社交</x:v>
      </x:c>
      <x:c r="D359" s="4" t="str">
        <x:v>粉丝团群聊（用户视角）</x:v>
      </x:c>
      <x:c r="E359" s="4" t="str">
        <x:v>业务流程</x:v>
      </x:c>
      <x:c r="F359" s="4" t="str">
        <x:v>P2</x:v>
      </x:c>
      <x:c r="G359" s="4" t="str">
        <x:v>验证主动退出后的粉丝团群聊状态</x:v>
      </x:c>
      <x:c r="H359" s="4" t="str">
        <x:v>粉丝团群聊状态</x:v>
      </x:c>
      <x:c r="I359" s="4" t="str">
        <x:v>1. 用户账号已登录且具备当前页面权限
2. 主动退出</x:v>
      </x:c>
      <x:c r="J359" s="4" t="str">
        <x:v>1. 打开粉丝团群聊
2. 刷新粉丝团群聊</x:v>
      </x:c>
      <x:c r="K359" s="4" t="str">
        <x:v>立即失去群聊权限</x:v>
      </x:c>
      <x:c r="L359" s="4" t="str"/>
      <x:c r="M359" s="4" t="str">
        <x:v>未测</x:v>
      </x:c>
      <x:c r="N359" s="4" t="str"/>
      <x:c r="O359" s="4" t="str">
        <x:v>1. 来源（原型批注）：liveshow-proto/prototype/annotations/user.js；views/message-center/fan-group.html
2. 页面：views/message-center/fan-group.html
3. 规则：BR-9CF8F76A2A582C
4. 场景：SC-7D7BCA43895C6E
5. 未动态验证</x:v>
      </x:c>
    </x:row>
    <x:row r="360" ht="54" customHeight="1">
      <x:c r="A360" s="4" t="n">
        <x:v>359</x:v>
      </x:c>
      <x:c r="B360" s="4" t="str">
        <x:v>USOC-0034</x:v>
      </x:c>
      <x:c r="C360" s="4" t="str">
        <x:v>消息与社交</x:v>
      </x:c>
      <x:c r="D360" s="4" t="str">
        <x:v>好友（用户视角）</x:v>
      </x:c>
      <x:c r="E360" s="4" t="str">
        <x:v>业务流程</x:v>
      </x:c>
      <x:c r="F360" s="4" t="str">
        <x:v>P2</x:v>
      </x:c>
      <x:c r="G360" s="4" t="str">
        <x:v>验证关注后的好友状态</x:v>
      </x:c>
      <x:c r="H360" s="4" t="str">
        <x:v>好友状态</x:v>
      </x:c>
      <x:c r="I360" s="4" t="str">
        <x:v>1. 用户账号已登录且具备当前页面权限
2. 关注</x:v>
      </x:c>
      <x:c r="J360" s="4" t="str">
        <x:v>1. 打开好友
2. 刷新好友</x:v>
      </x:c>
      <x:c r="K360" s="4" t="str">
        <x:v>仅更新关注关系</x:v>
      </x:c>
      <x:c r="L360" s="4" t="str"/>
      <x:c r="M360" s="4" t="str">
        <x:v>未测</x:v>
      </x:c>
      <x:c r="N360" s="4" t="str"/>
      <x:c r="O360" s="4" t="str">
        <x:v>1. 来源（原型批注）：liveshow-proto/prototype/annotations/user.js；views/user-home/friend.html
2. 页面：views/user-home/friend.html
3. 规则：BR-431A30EFA68CB0
4. 场景：SC-77478DFE691086
5. 未动态验证</x:v>
      </x:c>
    </x:row>
    <x:row r="361" ht="54" customHeight="1">
      <x:c r="A361" s="4" t="n">
        <x:v>360</x:v>
      </x:c>
      <x:c r="B361" s="4" t="str">
        <x:v>USOC-0035</x:v>
      </x:c>
      <x:c r="C361" s="4" t="str">
        <x:v>消息与社交</x:v>
      </x:c>
      <x:c r="D361" s="4" t="str">
        <x:v>好友（用户视角）</x:v>
      </x:c>
      <x:c r="E361" s="4" t="str">
        <x:v>功能需求</x:v>
      </x:c>
      <x:c r="F361" s="4" t="str">
        <x:v>P2</x:v>
      </x:c>
      <x:c r="G361" s="4" t="str">
        <x:v>验证好友可查看好友状态</x:v>
      </x:c>
      <x:c r="H361" s="4" t="str">
        <x:v>好友状态展示</x:v>
      </x:c>
      <x:c r="I361" s="4" t="str">
        <x:v>1. 用户账号已登录且具备当前页面权限</x:v>
      </x:c>
      <x:c r="J361" s="4" t="str">
        <x:v>1. 打开好友
2. 查看好友状态</x:v>
      </x:c>
      <x:c r="K361" s="4" t="str">
        <x:v>好友显示“好友状态”</x:v>
      </x:c>
      <x:c r="L361" s="4" t="str"/>
      <x:c r="M361" s="4" t="str">
        <x:v>未测</x:v>
      </x:c>
      <x:c r="N361" s="4" t="str"/>
      <x:c r="O361" s="4" t="str">
        <x:v>1. 来源（原型批注）：liveshow-proto/prototype/annotations/user.js；views/user-home/friend.html
2. 页面：views/user-home/friend.html
3. 规则：BR-1B15A97C979E80
4. 场景：SC-B0FE155BA98DEE
5. 未动态验证</x:v>
      </x:c>
    </x:row>
    <x:row r="362" ht="54" customHeight="1">
      <x:c r="A362" s="4" t="n">
        <x:v>361</x:v>
      </x:c>
      <x:c r="B362" s="4" t="str">
        <x:v>USOC-0036</x:v>
      </x:c>
      <x:c r="C362" s="4" t="str">
        <x:v>消息与社交</x:v>
      </x:c>
      <x:c r="D362" s="4" t="str">
        <x:v>好友（用户视角）</x:v>
      </x:c>
      <x:c r="E362" s="4" t="str">
        <x:v>功能需求</x:v>
      </x:c>
      <x:c r="F362" s="4" t="str">
        <x:v>P2</x:v>
      </x:c>
      <x:c r="G362" s="4" t="str">
        <x:v>验证好友可查看账号资料 / 社交数据</x:v>
      </x:c>
      <x:c r="H362" s="4" t="str">
        <x:v>账号资料 / 社交数据展示</x:v>
      </x:c>
      <x:c r="I362" s="4" t="str">
        <x:v>1. 用户账号已登录且具备当前页面权限</x:v>
      </x:c>
      <x:c r="J362" s="4" t="str">
        <x:v>1. 打开好友
2. 查看账号资料 / 社交数据</x:v>
      </x:c>
      <x:c r="K362" s="4" t="str">
        <x:v>好友显示“账号资料 / 社交数据”</x:v>
      </x:c>
      <x:c r="L362" s="4" t="str"/>
      <x:c r="M362" s="4" t="str">
        <x:v>未测</x:v>
      </x:c>
      <x:c r="N362" s="4" t="str"/>
      <x:c r="O362" s="4" t="str">
        <x:v>1. 来源（原型批注）：liveshow-proto/prototype/annotations/user.js；views/user-home/friend.html
2. 页面：views/user-home/friend.html
3. 规则：BR-8F98B51BDC800A
4. 场景：SC-C42398F6EE1EF8
5. 未动态验证</x:v>
      </x:c>
    </x:row>
    <x:row r="363" ht="54" customHeight="1">
      <x:c r="A363" s="4" t="n">
        <x:v>362</x:v>
      </x:c>
      <x:c r="B363" s="4" t="str">
        <x:v>USOC-0037</x:v>
      </x:c>
      <x:c r="C363" s="4" t="str">
        <x:v>消息与社交</x:v>
      </x:c>
      <x:c r="D363" s="4" t="str">
        <x:v>好友（用户视角）</x:v>
      </x:c>
      <x:c r="E363" s="4" t="str">
        <x:v>业务流程</x:v>
      </x:c>
      <x:c r="F363" s="4" t="str">
        <x:v>P2</x:v>
      </x:c>
      <x:c r="G363" s="4" t="str">
        <x:v>验证取消关注后的好友状态</x:v>
      </x:c>
      <x:c r="H363" s="4" t="str">
        <x:v>好友状态</x:v>
      </x:c>
      <x:c r="I363" s="4" t="str">
        <x:v>1. 用户账号已登录且具备当前页面权限</x:v>
      </x:c>
      <x:c r="J363" s="4" t="str">
        <x:v>1. 打开好友
2. 取消关注</x:v>
      </x:c>
      <x:c r="K363" s="4" t="str">
        <x:v>仅更新关注关系</x:v>
      </x:c>
      <x:c r="L363" s="4" t="str"/>
      <x:c r="M363" s="4" t="str">
        <x:v>未测</x:v>
      </x:c>
      <x:c r="N363" s="4" t="str"/>
      <x:c r="O363" s="4" t="str">
        <x:v>1. 来源（原型批注）：liveshow-proto/prototype/annotations/user.js；views/user-home/friend.html
2. 页面：views/user-home/friend.html
3. 规则：BR-431A30EFA68CB0
4. 场景：SC-02539989031356
5. 未动态验证</x:v>
      </x:c>
    </x:row>
    <x:row r="364" ht="54" customHeight="1">
      <x:c r="A364" s="4" t="n">
        <x:v>363</x:v>
      </x:c>
      <x:c r="B364" s="4" t="str">
        <x:v>USOC-0038</x:v>
      </x:c>
      <x:c r="C364" s="4" t="str">
        <x:v>消息与社交</x:v>
      </x:c>
      <x:c r="D364" s="4" t="str">
        <x:v>好友（用户视角）</x:v>
      </x:c>
      <x:c r="E364" s="4" t="str">
        <x:v>业务流程</x:v>
      </x:c>
      <x:c r="F364" s="4" t="str">
        <x:v>P2</x:v>
      </x:c>
      <x:c r="G364" s="4" t="str">
        <x:v>验证删除好友后的好友状态</x:v>
      </x:c>
      <x:c r="H364" s="4" t="str">
        <x:v>好友状态</x:v>
      </x:c>
      <x:c r="I364" s="4" t="str">
        <x:v>1. 用户账号已登录且具备当前页面权限</x:v>
      </x:c>
      <x:c r="J364" s="4" t="str">
        <x:v>1. 打开好友
2. 删除好友</x:v>
      </x:c>
      <x:c r="K364" s="4" t="str">
        <x:v>二次确认后更新主页关系状态</x:v>
      </x:c>
      <x:c r="L364" s="4" t="str"/>
      <x:c r="M364" s="4" t="str">
        <x:v>未测</x:v>
      </x:c>
      <x:c r="N364" s="4" t="str"/>
      <x:c r="O364" s="4" t="str">
        <x:v>1. 来源（原型批注）：liveshow-proto/prototype/annotations/user.js；views/user-home/friend.html
2. 页面：views/user-home/friend.html
3. 规则：BR-1BDFFC04345061
4. 场景：SC-97E1077767983F
5. 未动态验证</x:v>
      </x:c>
    </x:row>
    <x:row r="365" ht="54" customHeight="1">
      <x:c r="A365" s="4" t="n">
        <x:v>364</x:v>
      </x:c>
      <x:c r="B365" s="4" t="str">
        <x:v>USOC-0039</x:v>
      </x:c>
      <x:c r="C365" s="4" t="str">
        <x:v>消息与社交</x:v>
      </x:c>
      <x:c r="D365" s="4" t="str">
        <x:v>好友（用户视角）</x:v>
      </x:c>
      <x:c r="E365" s="4" t="str">
        <x:v>业务流程</x:v>
      </x:c>
      <x:c r="F365" s="4" t="str">
        <x:v>P2</x:v>
      </x:c>
      <x:c r="G365" s="4" t="str">
        <x:v>验证私信后的好友状态</x:v>
      </x:c>
      <x:c r="H365" s="4" t="str">
        <x:v>好友状态</x:v>
      </x:c>
      <x:c r="I365" s="4" t="str">
        <x:v>1. 用户账号已登录且具备当前页面权限
2. 私信</x:v>
      </x:c>
      <x:c r="J365" s="4" t="str">
        <x:v>1. 打开好友
2. 刷新好友</x:v>
      </x:c>
      <x:c r="K365" s="4" t="str">
        <x:v>进入单聊</x:v>
      </x:c>
      <x:c r="L365" s="4" t="str"/>
      <x:c r="M365" s="4" t="str">
        <x:v>未测</x:v>
      </x:c>
      <x:c r="N365" s="4" t="str"/>
      <x:c r="O365" s="4" t="str">
        <x:v>1. 来源（原型批注）：liveshow-proto/prototype/annotations/user.js；views/user-home/friend.html
2. 页面：views/user-home/friend.html
3. 规则：BR-1D66012AA356D7
4. 场景：SC-8C9DE65F079302
5. 未动态验证</x:v>
      </x:c>
    </x:row>
    <x:row r="366" ht="54" customHeight="1">
      <x:c r="A366" s="4" t="n">
        <x:v>365</x:v>
      </x:c>
      <x:c r="B366" s="4" t="str">
        <x:v>USOC-0040</x:v>
      </x:c>
      <x:c r="C366" s="4" t="str">
        <x:v>消息与社交</x:v>
      </x:c>
      <x:c r="D366" s="4" t="str">
        <x:v>好友列表（用户视角）</x:v>
      </x:c>
      <x:c r="E366" s="4" t="str">
        <x:v>业务流程</x:v>
      </x:c>
      <x:c r="F366" s="4" t="str">
        <x:v>P2</x:v>
      </x:c>
      <x:c r="G366" s="4" t="str">
        <x:v>验证点击等级后的好友列表状态</x:v>
      </x:c>
      <x:c r="H366" s="4" t="str">
        <x:v>好友列表状态</x:v>
      </x:c>
      <x:c r="I366" s="4" t="str">
        <x:v>1. 用户账号已登录且具备当前页面权限</x:v>
      </x:c>
      <x:c r="J366" s="4" t="str">
        <x:v>1. 进入好友列表
2. 点击等级</x:v>
      </x:c>
      <x:c r="K366" s="4" t="str">
        <x:v>进入对方主页</x:v>
      </x:c>
      <x:c r="L366" s="4" t="str"/>
      <x:c r="M366" s="4" t="str">
        <x:v>未测</x:v>
      </x:c>
      <x:c r="N366" s="4" t="str"/>
      <x:c r="O366" s="4" t="str">
        <x:v>1. 来源（原型批注）：liveshow-proto/prototype/annotations/user.js；friend-list.html
2. 页面：friend-list.html
3. 规则：BR-1EE9FA7CC0E0A1
4. 场景：SC-C4AC51BAE17F53
5. 未动态验证</x:v>
      </x:c>
    </x:row>
    <x:row r="367" ht="54" customHeight="1">
      <x:c r="A367" s="4" t="n">
        <x:v>366</x:v>
      </x:c>
      <x:c r="B367" s="4" t="str">
        <x:v>USOC-0041</x:v>
      </x:c>
      <x:c r="C367" s="4" t="str">
        <x:v>消息与社交</x:v>
      </x:c>
      <x:c r="D367" s="4" t="str">
        <x:v>好友列表（用户视角）</x:v>
      </x:c>
      <x:c r="E367" s="4" t="str">
        <x:v>业务流程</x:v>
      </x:c>
      <x:c r="F367" s="4" t="str">
        <x:v>P2</x:v>
      </x:c>
      <x:c r="G367" s="4" t="str">
        <x:v>验证点击返回后的好友列表状态</x:v>
      </x:c>
      <x:c r="H367" s="4" t="str">
        <x:v>好友列表状态</x:v>
      </x:c>
      <x:c r="I367" s="4" t="str">
        <x:v>1. 用户账号已登录且具备当前页面权限</x:v>
      </x:c>
      <x:c r="J367" s="4" t="str">
        <x:v>1. 进入好友列表
2. 点击返回</x:v>
      </x:c>
      <x:c r="K367" s="4" t="str">
        <x:v>进入消息中心</x:v>
      </x:c>
      <x:c r="L367" s="4" t="str"/>
      <x:c r="M367" s="4" t="str">
        <x:v>未测</x:v>
      </x:c>
      <x:c r="N367" s="4" t="str"/>
      <x:c r="O367" s="4" t="str">
        <x:v>1. 来源（原型批注）：liveshow-proto/prototype/annotations/user.js；friend-list.html
2. 页面：friend-list.html
3. 规则：BR-D502495AB7D848
4. 场景：SC-BFC9DEC1D0B947
5. 未动态验证</x:v>
      </x:c>
    </x:row>
    <x:row r="368" ht="54" customHeight="1">
      <x:c r="A368" s="4" t="n">
        <x:v>367</x:v>
      </x:c>
      <x:c r="B368" s="4" t="str">
        <x:v>USOC-0042</x:v>
      </x:c>
      <x:c r="C368" s="4" t="str">
        <x:v>消息与社交</x:v>
      </x:c>
      <x:c r="D368" s="4" t="str">
        <x:v>好友列表（用户视角）</x:v>
      </x:c>
      <x:c r="E368" s="4" t="str">
        <x:v>业务流程</x:v>
      </x:c>
      <x:c r="F368" s="4" t="str">
        <x:v>P2</x:v>
      </x:c>
      <x:c r="G368" s="4" t="str">
        <x:v>验证点击昵称后的好友列表状态</x:v>
      </x:c>
      <x:c r="H368" s="4" t="str">
        <x:v>好友列表状态</x:v>
      </x:c>
      <x:c r="I368" s="4" t="str">
        <x:v>1. 用户账号已登录且具备当前页面权限</x:v>
      </x:c>
      <x:c r="J368" s="4" t="str">
        <x:v>1. 进入好友列表
2. 点击昵称</x:v>
      </x:c>
      <x:c r="K368" s="4" t="str">
        <x:v>进入对方主页</x:v>
      </x:c>
      <x:c r="L368" s="4" t="str"/>
      <x:c r="M368" s="4" t="str">
        <x:v>未测</x:v>
      </x:c>
      <x:c r="N368" s="4" t="str"/>
      <x:c r="O368" s="4" t="str">
        <x:v>1. 来源（原型批注）：liveshow-proto/prototype/annotations/user.js；friend-list.html
2. 页面：friend-list.html
3. 规则：BR-1EE9FA7CC0E0A1
4. 场景：SC-B0615E41B90AC9
5. 未动态验证</x:v>
      </x:c>
    </x:row>
    <x:row r="369" ht="54" customHeight="1">
      <x:c r="A369" s="4" t="n">
        <x:v>368</x:v>
      </x:c>
      <x:c r="B369" s="4" t="str">
        <x:v>USOC-0043</x:v>
      </x:c>
      <x:c r="C369" s="4" t="str">
        <x:v>消息与社交</x:v>
      </x:c>
      <x:c r="D369" s="4" t="str">
        <x:v>好友列表（用户视角）</x:v>
      </x:c>
      <x:c r="E369" s="4" t="str">
        <x:v>业务流程</x:v>
      </x:c>
      <x:c r="F369" s="4" t="str">
        <x:v>P2</x:v>
      </x:c>
      <x:c r="G369" s="4" t="str">
        <x:v>验证点击勋章后的好友列表状态</x:v>
      </x:c>
      <x:c r="H369" s="4" t="str">
        <x:v>好友列表状态</x:v>
      </x:c>
      <x:c r="I369" s="4" t="str">
        <x:v>1. 用户账号已登录且具备当前页面权限</x:v>
      </x:c>
      <x:c r="J369" s="4" t="str">
        <x:v>1. 进入好友列表
2. 点击勋章</x:v>
      </x:c>
      <x:c r="K369" s="4" t="str">
        <x:v>进入对方主页</x:v>
      </x:c>
      <x:c r="L369" s="4" t="str"/>
      <x:c r="M369" s="4" t="str">
        <x:v>未测</x:v>
      </x:c>
      <x:c r="N369" s="4" t="str"/>
      <x:c r="O369" s="4" t="str">
        <x:v>1. 来源（原型批注）：liveshow-proto/prototype/annotations/user.js；friend-list.html
2. 页面：friend-list.html
3. 规则：BR-1EE9FA7CC0E0A1
4. 场景：SC-B9878571516D92
5. 未动态验证</x:v>
      </x:c>
    </x:row>
    <x:row r="370" ht="54" customHeight="1">
      <x:c r="A370" s="4" t="n">
        <x:v>369</x:v>
      </x:c>
      <x:c r="B370" s="4" t="str">
        <x:v>USOC-0044</x:v>
      </x:c>
      <x:c r="C370" s="4" t="str">
        <x:v>消息与社交</x:v>
      </x:c>
      <x:c r="D370" s="4" t="str">
        <x:v>好友列表（用户视角）</x:v>
      </x:c>
      <x:c r="E370" s="4" t="str">
        <x:v>逻辑校验</x:v>
      </x:c>
      <x:c r="F370" s="4" t="str">
        <x:v>P2</x:v>
      </x:c>
      <x:c r="G370" s="4" t="str">
        <x:v>验证好友列表按指定范围筛选</x:v>
      </x:c>
      <x:c r="H370" s="4" t="str">
        <x:v>好友列表数据范围</x:v>
      </x:c>
      <x:c r="I370" s="4" t="str">
        <x:v>1. 用户账号已登录且具备当前页面权限
2. 存在符合和不符合“当前账号仍有效的双向好友关系”的记录</x:v>
      </x:c>
      <x:c r="J370" s="4" t="str">
        <x:v>1. 进入好友列表
2. 查看好友列表</x:v>
      </x:c>
      <x:c r="K370" s="4" t="str">
        <x:v>数据范围：当前账号仍有效的双向好友关系</x:v>
      </x:c>
      <x:c r="L370" s="4" t="str"/>
      <x:c r="M370" s="4" t="str">
        <x:v>未测</x:v>
      </x:c>
      <x:c r="N370" s="4" t="str"/>
      <x:c r="O370" s="4" t="str">
        <x:v>1. 来源（原型批注）：liveshow-proto/prototype/annotations/user.js；friend-list.html
2. 页面：friend-list.html
3. 规则：BR-5E451770BFFF55
4. 场景：SC-D317644428A226
5. 未动态验证</x:v>
      </x:c>
    </x:row>
    <x:row r="371" ht="54" customHeight="1">
      <x:c r="A371" s="4" t="n">
        <x:v>370</x:v>
      </x:c>
      <x:c r="B371" s="4" t="str">
        <x:v>USOC-0045</x:v>
      </x:c>
      <x:c r="C371" s="4" t="str">
        <x:v>消息与社交</x:v>
      </x:c>
      <x:c r="D371" s="4" t="str">
        <x:v>好友列表（用户视角）</x:v>
      </x:c>
      <x:c r="E371" s="4" t="str">
        <x:v>功能需求</x:v>
      </x:c>
      <x:c r="F371" s="4" t="str">
        <x:v>P2</x:v>
      </x:c>
      <x:c r="G371" s="4" t="str">
        <x:v>验证好友列表可查看等级</x:v>
      </x:c>
      <x:c r="H371" s="4" t="str">
        <x:v>等级展示</x:v>
      </x:c>
      <x:c r="I371" s="4" t="str">
        <x:v>1. 用户账号已登录且具备当前页面权限</x:v>
      </x:c>
      <x:c r="J371" s="4" t="str">
        <x:v>1. 进入好友列表
2. 查看等级</x:v>
      </x:c>
      <x:c r="K371" s="4" t="str">
        <x:v>好友列表显示“等级”</x:v>
      </x:c>
      <x:c r="L371" s="4" t="str"/>
      <x:c r="M371" s="4" t="str">
        <x:v>未测</x:v>
      </x:c>
      <x:c r="N371" s="4" t="str"/>
      <x:c r="O371" s="4" t="str">
        <x:v>1. 来源（原型批注）：liveshow-proto/prototype/annotations/user.js；friend-list.html
2. 页面：friend-list.html
3. 规则：BR-96B5B02BA35EB6
4. 场景：SC-BB4F7D43D8330E
5. 未动态验证</x:v>
      </x:c>
    </x:row>
    <x:row r="372" ht="54" customHeight="1">
      <x:c r="A372" s="4" t="n">
        <x:v>371</x:v>
      </x:c>
      <x:c r="B372" s="4" t="str">
        <x:v>USOC-0046</x:v>
      </x:c>
      <x:c r="C372" s="4" t="str">
        <x:v>消息与社交</x:v>
      </x:c>
      <x:c r="D372" s="4" t="str">
        <x:v>好友列表（用户视角）</x:v>
      </x:c>
      <x:c r="E372" s="4" t="str">
        <x:v>功能需求</x:v>
      </x:c>
      <x:c r="F372" s="4" t="str">
        <x:v>P2</x:v>
      </x:c>
      <x:c r="G372" s="4" t="str">
        <x:v>验证好友列表可查看好友头像 / 昵称</x:v>
      </x:c>
      <x:c r="H372" s="4" t="str">
        <x:v>好友头像 / 昵称展示</x:v>
      </x:c>
      <x:c r="I372" s="4" t="str">
        <x:v>1. 用户账号已登录且具备当前页面权限</x:v>
      </x:c>
      <x:c r="J372" s="4" t="str">
        <x:v>1. 进入好友列表
2. 查看好友头像 / 昵称</x:v>
      </x:c>
      <x:c r="K372" s="4" t="str">
        <x:v>好友列表显示“好友头像 / 昵称”</x:v>
      </x:c>
      <x:c r="L372" s="4" t="str"/>
      <x:c r="M372" s="4" t="str">
        <x:v>未测</x:v>
      </x:c>
      <x:c r="N372" s="4" t="str"/>
      <x:c r="O372" s="4" t="str">
        <x:v>1. 来源（原型批注）：liveshow-proto/prototype/annotations/user.js；friend-list.html
2. 页面：friend-list.html
3. 规则：BR-F8319780281DDA
4. 场景：SC-3641696557B398
5. 未动态验证</x:v>
      </x:c>
    </x:row>
    <x:row r="373" ht="54" customHeight="1">
      <x:c r="A373" s="4" t="n">
        <x:v>372</x:v>
      </x:c>
      <x:c r="B373" s="4" t="str">
        <x:v>USOC-0047</x:v>
      </x:c>
      <x:c r="C373" s="4" t="str">
        <x:v>消息与社交</x:v>
      </x:c>
      <x:c r="D373" s="4" t="str">
        <x:v>好友列表（用户视角）</x:v>
      </x:c>
      <x:c r="E373" s="4" t="str">
        <x:v>功能需求</x:v>
      </x:c>
      <x:c r="F373" s="4" t="str">
        <x:v>P2</x:v>
      </x:c>
      <x:c r="G373" s="4" t="str">
        <x:v>验证好友列表可查看搜索关键词</x:v>
      </x:c>
      <x:c r="H373" s="4" t="str">
        <x:v>搜索关键词展示</x:v>
      </x:c>
      <x:c r="I373" s="4" t="str">
        <x:v>1. 用户账号已登录且具备当前页面权限</x:v>
      </x:c>
      <x:c r="J373" s="4" t="str">
        <x:v>1. 进入好友列表
2. 查看搜索关键词</x:v>
      </x:c>
      <x:c r="K373" s="4" t="str">
        <x:v>好友列表显示“搜索关键词”</x:v>
      </x:c>
      <x:c r="L373" s="4" t="str"/>
      <x:c r="M373" s="4" t="str">
        <x:v>未测</x:v>
      </x:c>
      <x:c r="N373" s="4" t="str"/>
      <x:c r="O373" s="4" t="str">
        <x:v>1. 来源（原型批注）：liveshow-proto/prototype/annotations/user.js；friend-list.html
2. 页面：friend-list.html
3. 规则：BR-DCBEA6AD265FD4、BR-74D3A7CB45651C
4. 场景：SC-1AD0E37596A4F6
5. 未动态验证</x:v>
      </x:c>
    </x:row>
    <x:row r="374" ht="54" customHeight="1">
      <x:c r="A374" s="4" t="n">
        <x:v>373</x:v>
      </x:c>
      <x:c r="B374" s="4" t="str">
        <x:v>USOC-0048</x:v>
      </x:c>
      <x:c r="C374" s="4" t="str">
        <x:v>消息与社交</x:v>
      </x:c>
      <x:c r="D374" s="4" t="str">
        <x:v>好友列表（用户视角）</x:v>
      </x:c>
      <x:c r="E374" s="4" t="str">
        <x:v>功能需求</x:v>
      </x:c>
      <x:c r="F374" s="4" t="str">
        <x:v>P2</x:v>
      </x:c>
      <x:c r="G374" s="4" t="str">
        <x:v>验证好友列表可查看勋章</x:v>
      </x:c>
      <x:c r="H374" s="4" t="str">
        <x:v>勋章展示</x:v>
      </x:c>
      <x:c r="I374" s="4" t="str">
        <x:v>1. 用户账号已登录且具备当前页面权限</x:v>
      </x:c>
      <x:c r="J374" s="4" t="str">
        <x:v>1. 进入好友列表
2. 查看勋章</x:v>
      </x:c>
      <x:c r="K374" s="4" t="str">
        <x:v>好友列表显示“勋章”</x:v>
      </x:c>
      <x:c r="L374" s="4" t="str"/>
      <x:c r="M374" s="4" t="str">
        <x:v>未测</x:v>
      </x:c>
      <x:c r="N374" s="4" t="str"/>
      <x:c r="O374" s="4" t="str">
        <x:v>1. 来源（原型批注）：liveshow-proto/prototype/annotations/user.js；friend-list.html
2. 页面：friend-list.html
3. 规则：BR-E087D307BFED46
4. 场景：SC-408F6A659E0C16
5. 未动态验证</x:v>
      </x:c>
    </x:row>
    <x:row r="375" ht="54" customHeight="1">
      <x:c r="A375" s="4" t="n">
        <x:v>374</x:v>
      </x:c>
      <x:c r="B375" s="4" t="str">
        <x:v>USOC-0049</x:v>
      </x:c>
      <x:c r="C375" s="4" t="str">
        <x:v>消息与社交</x:v>
      </x:c>
      <x:c r="D375" s="4" t="str">
        <x:v>好友列表（用户视角）</x:v>
      </x:c>
      <x:c r="E375" s="4" t="str">
        <x:v>功能需求</x:v>
      </x:c>
      <x:c r="F375" s="4" t="str">
        <x:v>P2</x:v>
      </x:c>
      <x:c r="G375" s="4" t="str">
        <x:v>验证空值时的好友列表结果</x:v>
      </x:c>
      <x:c r="H375" s="4" t="str">
        <x:v>好友列表条件结果</x:v>
      </x:c>
      <x:c r="I375" s="4" t="str">
        <x:v>1. 用户账号已登录且具备当前页面权限
2. 空值</x:v>
      </x:c>
      <x:c r="J375" s="4" t="str">
        <x:v>1. 进入好友列表
2. 查看好友列表</x:v>
      </x:c>
      <x:c r="K375" s="4" t="str">
        <x:v>空值展示全部好友</x:v>
      </x:c>
      <x:c r="L375" s="4" t="str"/>
      <x:c r="M375" s="4" t="str">
        <x:v>未测</x:v>
      </x:c>
      <x:c r="N375" s="4" t="str"/>
      <x:c r="O375" s="4" t="str">
        <x:v>1. 来源（原型批注）：liveshow-proto/prototype/annotations/user.js；friend-list.html
2. 页面：friend-list.html
3. 规则：BR-74D3A7CB45651C
4. 场景：SC-414DEAB1C6C35A
5. 未动态验证</x:v>
      </x:c>
    </x:row>
    <x:row r="376" ht="54" customHeight="1">
      <x:c r="A376" s="4" t="n">
        <x:v>375</x:v>
      </x:c>
      <x:c r="B376" s="4" t="str">
        <x:v>USOC-0050</x:v>
      </x:c>
      <x:c r="C376" s="4" t="str">
        <x:v>消息与社交</x:v>
      </x:c>
      <x:c r="D376" s="4" t="str">
        <x:v>好友列表（用户视角）</x:v>
      </x:c>
      <x:c r="E376" s="4" t="str">
        <x:v>功能需求</x:v>
      </x:c>
      <x:c r="F376" s="4" t="str">
        <x:v>P2</x:v>
      </x:c>
      <x:c r="G376" s="4" t="str">
        <x:v>验证无匹配时的好友列表结果</x:v>
      </x:c>
      <x:c r="H376" s="4" t="str">
        <x:v>好友列表条件结果</x:v>
      </x:c>
      <x:c r="I376" s="4" t="str">
        <x:v>1. 用户账号已登录且具备当前页面权限
2. 无匹配</x:v>
      </x:c>
      <x:c r="J376" s="4" t="str">
        <x:v>1. 进入好友列表
2. 查看好友列表</x:v>
      </x:c>
      <x:c r="K376" s="4" t="str">
        <x:v>展示空状态</x:v>
      </x:c>
      <x:c r="L376" s="4" t="str"/>
      <x:c r="M376" s="4" t="str">
        <x:v>未测</x:v>
      </x:c>
      <x:c r="N376" s="4" t="str"/>
      <x:c r="O376" s="4" t="str">
        <x:v>1. 来源（原型批注）：liveshow-proto/prototype/annotations/user.js；friend-list.html
2. 页面：friend-list.html
3. 规则：BR-87A40050ED09B2
4. 场景：SC-02ED8523D1A805
5. 未动态验证</x:v>
      </x:c>
    </x:row>
    <x:row r="377" ht="54" customHeight="1">
      <x:c r="A377" s="4" t="n">
        <x:v>376</x:v>
      </x:c>
      <x:c r="B377" s="4" t="str">
        <x:v>USOC-0051</x:v>
      </x:c>
      <x:c r="C377" s="4" t="str">
        <x:v>消息与社交</x:v>
      </x:c>
      <x:c r="D377" s="4" t="str">
        <x:v>好友列表（用户视角）</x:v>
      </x:c>
      <x:c r="E377" s="4" t="str">
        <x:v>功能需求</x:v>
      </x:c>
      <x:c r="F377" s="4" t="str">
        <x:v>P2</x:v>
      </x:c>
      <x:c r="G377" s="4" t="str">
        <x:v>验证展示该好友当前时的好友列表结果</x:v>
      </x:c>
      <x:c r="H377" s="4" t="str">
        <x:v>好友列表条件结果</x:v>
      </x:c>
      <x:c r="I377" s="4" t="str">
        <x:v>1. 用户账号已登录且具备当前页面权限
2. 展示该好友当前</x:v>
      </x:c>
      <x:c r="J377" s="4" t="str">
        <x:v>1. 进入好友列表
2. 查看好友列表</x:v>
      </x:c>
      <x:c r="K377" s="4" t="str">
        <x:v>展示该好友当前显示的勋章</x:v>
      </x:c>
      <x:c r="L377" s="4" t="str"/>
      <x:c r="M377" s="4" t="str">
        <x:v>未测</x:v>
      </x:c>
      <x:c r="N377" s="4" t="str"/>
      <x:c r="O377" s="4" t="str">
        <x:v>1. 来源（原型批注）：liveshow-proto/prototype/annotations/user.js；friend-list.html
2. 页面：friend-list.html
3. 规则：BR-E087D307BFED46
4. 场景：SC-6E1DBC43C859C2
5. 未动态验证</x:v>
      </x:c>
    </x:row>
    <x:row r="378" ht="54" customHeight="1">
      <x:c r="A378" s="4" t="n">
        <x:v>377</x:v>
      </x:c>
      <x:c r="B378" s="4" t="str">
        <x:v>USOC-0052</x:v>
      </x:c>
      <x:c r="C378" s="4" t="str">
        <x:v>消息与社交</x:v>
      </x:c>
      <x:c r="D378" s="4" t="str">
        <x:v>互动通知（用户视角）</x:v>
      </x:c>
      <x:c r="E378" s="4" t="str">
        <x:v>业务流程</x:v>
      </x:c>
      <x:c r="F378" s="4" t="str">
        <x:v>P2</x:v>
      </x:c>
      <x:c r="G378" s="4" t="str">
        <x:v>验证点击头像后的互动通知状态</x:v>
      </x:c>
      <x:c r="H378" s="4" t="str">
        <x:v>互动通知状态</x:v>
      </x:c>
      <x:c r="I378" s="4" t="str">
        <x:v>1. 用户账号已登录且具备当前页面权限</x:v>
      </x:c>
      <x:c r="J378" s="4" t="str">
        <x:v>1. 进入互动通知
2. 点击头像</x:v>
      </x:c>
      <x:c r="K378" s="4" t="str">
        <x:v>进入对应用户或主播主页</x:v>
      </x:c>
      <x:c r="L378" s="4" t="str"/>
      <x:c r="M378" s="4" t="str">
        <x:v>未测</x:v>
      </x:c>
      <x:c r="N378" s="4" t="str"/>
      <x:c r="O378" s="4" t="str">
        <x:v>1. 来源（原型批注）：liveshow-proto/prototype/annotations/user.js；interaction-notifications.html
2. 页面：interaction-notifications.html
3. 规则：BR-8464E121E369C7
4. 场景：SC-82369D6997496C
5. 未动态验证</x:v>
      </x:c>
    </x:row>
    <x:row r="379" ht="54" customHeight="1">
      <x:c r="A379" s="4" t="n">
        <x:v>378</x:v>
      </x:c>
      <x:c r="B379" s="4" t="str">
        <x:v>USOC-0053</x:v>
      </x:c>
      <x:c r="C379" s="4" t="str">
        <x:v>消息与社交</x:v>
      </x:c>
      <x:c r="D379" s="4" t="str">
        <x:v>互动通知（用户视角）</x:v>
      </x:c>
      <x:c r="E379" s="4" t="str">
        <x:v>逻辑校验</x:v>
      </x:c>
      <x:c r="F379" s="4" t="str">
        <x:v>P2</x:v>
      </x:c>
      <x:c r="G379" s="4" t="str">
        <x:v>验证互动通知按指定范围筛选</x:v>
      </x:c>
      <x:c r="H379" s="4" t="str">
        <x:v>互动通知数据范围</x:v>
      </x:c>
      <x:c r="I379" s="4" t="str">
        <x:v>1. 用户账号已登录且具备当前页面权限
2. 存在符合和不符合“与当前账号相关的关注和好友申请通知”的记录</x:v>
      </x:c>
      <x:c r="J379" s="4" t="str">
        <x:v>1. 进入互动通知
2. 查看互动通知</x:v>
      </x:c>
      <x:c r="K379" s="4" t="str">
        <x:v>数据范围：与当前账号相关的关注和好友申请通知</x:v>
      </x:c>
      <x:c r="L379" s="4" t="str"/>
      <x:c r="M379" s="4" t="str">
        <x:v>未测</x:v>
      </x:c>
      <x:c r="N379" s="4" t="str"/>
      <x:c r="O379" s="4" t="str">
        <x:v>1. 来源（原型批注）：liveshow-proto/prototype/annotations/user.js；interaction-notifications.html
2. 页面：interaction-notifications.html
3. 规则：BR-CBB5D344A0C61E
4. 场景：SC-2AC9A139E01299
5. 未动态验证</x:v>
      </x:c>
    </x:row>
    <x:row r="380" ht="54" customHeight="1">
      <x:c r="A380" s="4" t="n">
        <x:v>379</x:v>
      </x:c>
      <x:c r="B380" s="4" t="str">
        <x:v>USOC-0054</x:v>
      </x:c>
      <x:c r="C380" s="4" t="str">
        <x:v>消息与社交</x:v>
      </x:c>
      <x:c r="D380" s="4" t="str">
        <x:v>互动通知（用户视角）</x:v>
      </x:c>
      <x:c r="E380" s="4" t="str">
        <x:v>功能需求</x:v>
      </x:c>
      <x:c r="F380" s="4" t="str">
        <x:v>P2</x:v>
      </x:c>
      <x:c r="G380" s="4" t="str">
        <x:v>验证互动通知可查看处理状态</x:v>
      </x:c>
      <x:c r="H380" s="4" t="str">
        <x:v>处理状态展示</x:v>
      </x:c>
      <x:c r="I380" s="4" t="str">
        <x:v>1. 用户账号已登录且具备当前页面权限</x:v>
      </x:c>
      <x:c r="J380" s="4" t="str">
        <x:v>1. 进入互动通知
2. 查看处理状态</x:v>
      </x:c>
      <x:c r="K380" s="4" t="str">
        <x:v>互动通知显示“处理状态”</x:v>
      </x:c>
      <x:c r="L380" s="4" t="str"/>
      <x:c r="M380" s="4" t="str">
        <x:v>未测</x:v>
      </x:c>
      <x:c r="N380" s="4" t="str"/>
      <x:c r="O380" s="4" t="str">
        <x:v>1. 来源（原型批注）：liveshow-proto/prototype/annotations/user.js；interaction-notifications.html
2. 页面：interaction-notifications.html
3. 规则：BR-289496D2587076
4. 场景：SC-2EC6BFDC9F81C5
5. 未动态验证</x:v>
      </x:c>
    </x:row>
    <x:row r="381" ht="54" customHeight="1">
      <x:c r="A381" s="4" t="n">
        <x:v>380</x:v>
      </x:c>
      <x:c r="B381" s="4" t="str">
        <x:v>USOC-0055</x:v>
      </x:c>
      <x:c r="C381" s="4" t="str">
        <x:v>消息与社交</x:v>
      </x:c>
      <x:c r="D381" s="4" t="str">
        <x:v>互动通知（用户视角）</x:v>
      </x:c>
      <x:c r="E381" s="4" t="str">
        <x:v>功能需求</x:v>
      </x:c>
      <x:c r="F381" s="4" t="str">
        <x:v>P2</x:v>
      </x:c>
      <x:c r="G381" s="4" t="str">
        <x:v>验证互动通知可查看发生时间</x:v>
      </x:c>
      <x:c r="H381" s="4" t="str">
        <x:v>发生时间展示</x:v>
      </x:c>
      <x:c r="I381" s="4" t="str">
        <x:v>1. 用户账号已登录且具备当前页面权限</x:v>
      </x:c>
      <x:c r="J381" s="4" t="str">
        <x:v>1. 进入互动通知
2. 查看发生时间</x:v>
      </x:c>
      <x:c r="K381" s="4" t="str">
        <x:v>互动通知显示“发生时间”</x:v>
      </x:c>
      <x:c r="L381" s="4" t="str"/>
      <x:c r="M381" s="4" t="str">
        <x:v>未测</x:v>
      </x:c>
      <x:c r="N381" s="4" t="str"/>
      <x:c r="O381" s="4" t="str">
        <x:v>1. 来源（原型批注）：liveshow-proto/prototype/annotations/user.js；interaction-notifications.html
2. 页面：interaction-notifications.html
3. 规则：BR-8A5162893C138E、BR-403D4F2B0833ED
4. 场景：SC-FFCD8800BC44CF
5. 未动态验证</x:v>
      </x:c>
    </x:row>
    <x:row r="382" ht="54" customHeight="1">
      <x:c r="A382" s="4" t="n">
        <x:v>381</x:v>
      </x:c>
      <x:c r="B382" s="4" t="str">
        <x:v>USOC-0056</x:v>
      </x:c>
      <x:c r="C382" s="4" t="str">
        <x:v>消息与社交</x:v>
      </x:c>
      <x:c r="D382" s="4" t="str">
        <x:v>互动通知（用户视角）</x:v>
      </x:c>
      <x:c r="E382" s="4" t="str">
        <x:v>功能需求</x:v>
      </x:c>
      <x:c r="F382" s="4" t="str">
        <x:v>P2</x:v>
      </x:c>
      <x:c r="G382" s="4" t="str">
        <x:v>验证互动通知可查看通知类型</x:v>
      </x:c>
      <x:c r="H382" s="4" t="str">
        <x:v>通知类型展示</x:v>
      </x:c>
      <x:c r="I382" s="4" t="str">
        <x:v>1. 用户账号已登录且具备当前页面权限</x:v>
      </x:c>
      <x:c r="J382" s="4" t="str">
        <x:v>1. 进入互动通知
2. 查看通知类型</x:v>
      </x:c>
      <x:c r="K382" s="4" t="str">
        <x:v>互动通知显示“通知类型”</x:v>
      </x:c>
      <x:c r="L382" s="4" t="str"/>
      <x:c r="M382" s="4" t="str">
        <x:v>未测</x:v>
      </x:c>
      <x:c r="N382" s="4" t="str"/>
      <x:c r="O382" s="4" t="str">
        <x:v>1. 来源（原型批注）：liveshow-proto/prototype/annotations/user.js；interaction-notifications.html
2. 页面：interaction-notifications.html
3. 规则：BR-E045838CF4F6D0
4. 场景：SC-D49B0F4467FD0F
5. 未动态验证</x:v>
      </x:c>
    </x:row>
    <x:row r="383" ht="54" customHeight="1">
      <x:c r="A383" s="4" t="n">
        <x:v>382</x:v>
      </x:c>
      <x:c r="B383" s="4" t="str">
        <x:v>USOC-0057</x:v>
      </x:c>
      <x:c r="C383" s="4" t="str">
        <x:v>消息与社交</x:v>
      </x:c>
      <x:c r="D383" s="4" t="str">
        <x:v>互动通知（用户视角）</x:v>
      </x:c>
      <x:c r="E383" s="4" t="str">
        <x:v>功能需求</x:v>
      </x:c>
      <x:c r="F383" s="4" t="str">
        <x:v>P2</x:v>
      </x:c>
      <x:c r="G383" s="4" t="str">
        <x:v>验证同一申请双方存在待处理记录时的互动通知结果</x:v>
      </x:c>
      <x:c r="H383" s="4" t="str">
        <x:v>互动通知条件结果</x:v>
      </x:c>
      <x:c r="I383" s="4" t="str">
        <x:v>1. 用户账号已登录且具备当前页面权限
2. 同一申请双方存在待处理记录</x:v>
      </x:c>
      <x:c r="J383" s="4" t="str">
        <x:v>1. 进入互动通知
2. 查看互动通知</x:v>
      </x:c>
      <x:c r="K383" s="4" t="str">
        <x:v>不可重复发送</x:v>
      </x:c>
      <x:c r="L383" s="4" t="str"/>
      <x:c r="M383" s="4" t="str">
        <x:v>未测</x:v>
      </x:c>
      <x:c r="N383" s="4" t="str"/>
      <x:c r="O383" s="4" t="str">
        <x:v>1. 来源（原型批注）：liveshow-proto/prototype/annotations/user.js；interaction-notifications.html
2. 页面：interaction-notifications.html
3. 规则：BR-E603875DAA43D3
4. 场景：SC-ECD7FC1044AAE9
5. 未动态验证</x:v>
      </x:c>
    </x:row>
    <x:row r="384" ht="54" customHeight="1">
      <x:c r="A384" s="4" t="n">
        <x:v>383</x:v>
      </x:c>
      <x:c r="B384" s="4" t="str">
        <x:v>USOC-0058</x:v>
      </x:c>
      <x:c r="C384" s="4" t="str">
        <x:v>消息与社交</x:v>
      </x:c>
      <x:c r="D384" s="4" t="str">
        <x:v>拉黑（用户视角）</x:v>
      </x:c>
      <x:c r="E384" s="4" t="str">
        <x:v>功能需求</x:v>
      </x:c>
      <x:c r="F384" s="4" t="str">
        <x:v>P2</x:v>
      </x:c>
      <x:c r="G384" s="4" t="str">
        <x:v>验证当前账号已拉黑该对象，时的拉黑结果</x:v>
      </x:c>
      <x:c r="H384" s="4" t="str">
        <x:v>拉黑条件结果</x:v>
      </x:c>
      <x:c r="I384" s="4" t="str">
        <x:v>1. 用户账号已登录且具备当前页面权限
2. 当前账号已拉黑该对象，</x:v>
      </x:c>
      <x:c r="J384" s="4" t="str">
        <x:v>1. 打开拉黑
2. 查看拉黑</x:v>
      </x:c>
      <x:c r="K384" s="4" t="str">
        <x:v>当前账号已拉黑该对象，隐藏关注、好友和私信操作</x:v>
      </x:c>
      <x:c r="L384" s="4" t="str"/>
      <x:c r="M384" s="4" t="str">
        <x:v>未测</x:v>
      </x:c>
      <x:c r="N384" s="4" t="str"/>
      <x:c r="O384" s="4" t="str">
        <x:v>1. 来源（原型批注）：liveshow-proto/prototype/annotations/user.js；views/user-home/blocked.html
2. 页面：views/user-home/blocked.html
3. 规则：BR-1789DD53F92B7F
4. 场景：SC-0D8038E23236D0
5. 未动态验证</x:v>
      </x:c>
    </x:row>
    <x:row r="385" ht="54" customHeight="1">
      <x:c r="A385" s="4" t="n">
        <x:v>384</x:v>
      </x:c>
      <x:c r="B385" s="4" t="str">
        <x:v>USOC-0059</x:v>
      </x:c>
      <x:c r="C385" s="4" t="str">
        <x:v>消息与社交</x:v>
      </x:c>
      <x:c r="D385" s="4" t="str">
        <x:v>拉黑（用户视角）</x:v>
      </x:c>
      <x:c r="E385" s="4" t="str">
        <x:v>功能需求</x:v>
      </x:c>
      <x:c r="F385" s="4" t="str">
        <x:v>P2</x:v>
      </x:c>
      <x:c r="G385" s="4" t="str">
        <x:v>验证拉黑可查看拉黑状态</x:v>
      </x:c>
      <x:c r="H385" s="4" t="str">
        <x:v>拉黑状态展示</x:v>
      </x:c>
      <x:c r="I385" s="4" t="str">
        <x:v>1. 用户账号已登录且具备当前页面权限</x:v>
      </x:c>
      <x:c r="J385" s="4" t="str">
        <x:v>1. 打开拉黑
2. 查看拉黑状态</x:v>
      </x:c>
      <x:c r="K385" s="4" t="str">
        <x:v>拉黑显示“拉黑状态”</x:v>
      </x:c>
      <x:c r="L385" s="4" t="str"/>
      <x:c r="M385" s="4" t="str">
        <x:v>未测</x:v>
      </x:c>
      <x:c r="N385" s="4" t="str"/>
      <x:c r="O385" s="4" t="str">
        <x:v>1. 来源（原型批注）：liveshow-proto/prototype/annotations/user.js；views/user-home/blocked.html
2. 页面：views/user-home/blocked.html
3. 规则：BR-1789DD53F92B7F
4. 场景：SC-8F6F54748A411D
5. 未动态验证</x:v>
      </x:c>
    </x:row>
    <x:row r="386" ht="54" customHeight="1">
      <x:c r="A386" s="4" t="n">
        <x:v>385</x:v>
      </x:c>
      <x:c r="B386" s="4" t="str">
        <x:v>USOC-0060</x:v>
      </x:c>
      <x:c r="C386" s="4" t="str">
        <x:v>消息与社交</x:v>
      </x:c>
      <x:c r="D386" s="4" t="str">
        <x:v>拉黑（用户视角）</x:v>
      </x:c>
      <x:c r="E386" s="4" t="str">
        <x:v>功能需求</x:v>
      </x:c>
      <x:c r="F386" s="4" t="str">
        <x:v>P2</x:v>
      </x:c>
      <x:c r="G386" s="4" t="str">
        <x:v>验证拉黑可查看账号资料</x:v>
      </x:c>
      <x:c r="H386" s="4" t="str">
        <x:v>账号资料展示</x:v>
      </x:c>
      <x:c r="I386" s="4" t="str">
        <x:v>1. 用户账号已登录且具备当前页面权限</x:v>
      </x:c>
      <x:c r="J386" s="4" t="str">
        <x:v>1. 打开拉黑
2. 查看账号资料</x:v>
      </x:c>
      <x:c r="K386" s="4" t="str">
        <x:v>拉黑显示“账号资料”</x:v>
      </x:c>
      <x:c r="L386" s="4" t="str"/>
      <x:c r="M386" s="4" t="str">
        <x:v>未测</x:v>
      </x:c>
      <x:c r="N386" s="4" t="str"/>
      <x:c r="O386" s="4" t="str">
        <x:v>1. 来源（原型批注）：liveshow-proto/prototype/annotations/user.js；views/user-home/blocked.html
2. 页面：views/user-home/blocked.html
3. 规则：BR-662D8CDA80635F
4. 场景：SC-1038FB10B80D55
5. 未动态验证</x:v>
      </x:c>
    </x:row>
    <x:row r="387" ht="54" customHeight="1">
      <x:c r="A387" s="4" t="n">
        <x:v>386</x:v>
      </x:c>
      <x:c r="B387" s="4" t="str">
        <x:v>USOC-0061</x:v>
      </x:c>
      <x:c r="C387" s="4" t="str">
        <x:v>消息与社交</x:v>
      </x:c>
      <x:c r="D387" s="4" t="str">
        <x:v>拉黑（用户视角）</x:v>
      </x:c>
      <x:c r="E387" s="4" t="str">
        <x:v>功能需求</x:v>
      </x:c>
      <x:c r="F387" s="4" t="str">
        <x:v>P2</x:v>
      </x:c>
      <x:c r="G387" s="4" t="str">
        <x:v>验证拉黑状态下时的拉黑结果</x:v>
      </x:c>
      <x:c r="H387" s="4" t="str">
        <x:v>拉黑条件结果</x:v>
      </x:c>
      <x:c r="I387" s="4" t="str">
        <x:v>1. 用户账号已登录且具备当前页面权限
2. 拉黑状态下</x:v>
      </x:c>
      <x:c r="J387" s="4" t="str">
        <x:v>1. 打开拉黑
2. 查看拉黑</x:v>
      </x:c>
      <x:c r="K387" s="4" t="str">
        <x:v>拉黑状态下隐藏关注、好友和私信操作</x:v>
      </x:c>
      <x:c r="L387" s="4" t="str"/>
      <x:c r="M387" s="4" t="str">
        <x:v>未测</x:v>
      </x:c>
      <x:c r="N387" s="4" t="str"/>
      <x:c r="O387" s="4" t="str">
        <x:v>1. 来源（原型批注）：liveshow-proto/prototype/annotations/user.js；views/user-home/blocked.html
2. 页面：views/user-home/blocked.html
3. 规则：BR-5F5C8280CAD936
4. 场景：SC-49331A6D9B3283
5. 未动态验证</x:v>
      </x:c>
    </x:row>
    <x:row r="388" ht="54" customHeight="1">
      <x:c r="A388" s="4" t="n">
        <x:v>387</x:v>
      </x:c>
      <x:c r="B388" s="4" t="str">
        <x:v>USOC-0062</x:v>
      </x:c>
      <x:c r="C388" s="4" t="str">
        <x:v>消息与社交</x:v>
      </x:c>
      <x:c r="D388" s="4" t="str">
        <x:v>拉黑（用户视角）</x:v>
      </x:c>
      <x:c r="E388" s="4" t="str">
        <x:v>业务流程</x:v>
      </x:c>
      <x:c r="F388" s="4" t="str">
        <x:v>P2</x:v>
      </x:c>
      <x:c r="G388" s="4" t="str">
        <x:v>验证取消拉黑确认后的拉黑状态</x:v>
      </x:c>
      <x:c r="H388" s="4" t="str">
        <x:v>拉黑状态</x:v>
      </x:c>
      <x:c r="I388" s="4" t="str">
        <x:v>1. 用户账号已登录且具备当前页面权限</x:v>
      </x:c>
      <x:c r="J388" s="4" t="str">
        <x:v>1. 打开拉黑
2. 取消拉黑确认</x:v>
      </x:c>
      <x:c r="K388" s="4" t="str">
        <x:v>恢复可操作状态</x:v>
      </x:c>
      <x:c r="L388" s="4" t="str"/>
      <x:c r="M388" s="4" t="str">
        <x:v>未测</x:v>
      </x:c>
      <x:c r="N388" s="4" t="str"/>
      <x:c r="O388" s="4" t="str">
        <x:v>1. 来源（原型批注）：liveshow-proto/prototype/annotations/user.js；views/user-home/blocked.html
2. 页面：views/user-home/blocked.html
3. 规则：BR-7E5BA881B5B1CE
4. 场景：SC-5C129209057686
5. 未动态验证</x:v>
      </x:c>
    </x:row>
    <x:row r="389" ht="54" customHeight="1">
      <x:c r="A389" s="4" t="n">
        <x:v>388</x:v>
      </x:c>
      <x:c r="B389" s="4" t="str">
        <x:v>USOC-0063</x:v>
      </x:c>
      <x:c r="C389" s="4" t="str">
        <x:v>消息与社交</x:v>
      </x:c>
      <x:c r="D389" s="4" t="str">
        <x:v>拉黑（用户视角）</x:v>
      </x:c>
      <x:c r="E389" s="4" t="str">
        <x:v>业务流程</x:v>
      </x:c>
      <x:c r="F389" s="4" t="str">
        <x:v>P2</x:v>
      </x:c>
      <x:c r="G389" s="4" t="str">
        <x:v>验证已有关注、好友、好友申请和加入对方粉丝团的关系立后的拉黑状态</x:v>
      </x:c>
      <x:c r="H389" s="4" t="str">
        <x:v>拉黑状态</x:v>
      </x:c>
      <x:c r="I389" s="4" t="str">
        <x:v>1. 用户账号已登录且具备当前页面权限
2. 已有关注、好友、好友申请和加入对方粉丝团的关系立</x:v>
      </x:c>
      <x:c r="J389" s="4" t="str">
        <x:v>1. 打开拉黑
2. 刷新拉黑</x:v>
      </x:c>
      <x:c r="K389" s="4" t="str">
        <x:v>解除</x:v>
      </x:c>
      <x:c r="L389" s="4" t="str"/>
      <x:c r="M389" s="4" t="str">
        <x:v>未测</x:v>
      </x:c>
      <x:c r="N389" s="4" t="str"/>
      <x:c r="O389" s="4" t="str">
        <x:v>1. 来源（原型批注）：liveshow-proto/prototype/annotations/user.js；views/user-home/blocked.html
2. 页面：views/user-home/blocked.html
3. 规则：BR-154C356FFBCBFA
4. 场景：SC-E3F9F4ED948A56
5. 未动态验证</x:v>
      </x:c>
    </x:row>
    <x:row r="390" ht="54" customHeight="1">
      <x:c r="A390" s="4" t="n">
        <x:v>389</x:v>
      </x:c>
      <x:c r="B390" s="4" t="str">
        <x:v>USOC-0064</x:v>
      </x:c>
      <x:c r="C390" s="4" t="str">
        <x:v>消息与社交</x:v>
      </x:c>
      <x:c r="D390" s="4" t="str">
        <x:v>拉黑确认（用户视角）</x:v>
      </x:c>
      <x:c r="E390" s="4" t="str">
        <x:v>业务流程</x:v>
      </x:c>
      <x:c r="F390" s="4" t="str">
        <x:v>P2</x:v>
      </x:c>
      <x:c r="G390" s="4" t="str">
        <x:v>验证关闭后的拉黑确认状态</x:v>
      </x:c>
      <x:c r="H390" s="4" t="str">
        <x:v>拉黑确认状态</x:v>
      </x:c>
      <x:c r="I390" s="4" t="str">
        <x:v>1. 用户账号已登录且具备当前页面权限</x:v>
      </x:c>
      <x:c r="J390" s="4" t="str">
        <x:v>1. 打开拉黑确认
2. 关闭</x:v>
      </x:c>
      <x:c r="K390" s="4" t="str">
        <x:v>不改变现有关系</x:v>
      </x:c>
      <x:c r="L390" s="4" t="str"/>
      <x:c r="M390" s="4" t="str">
        <x:v>未测</x:v>
      </x:c>
      <x:c r="N390" s="4" t="str"/>
      <x:c r="O390" s="4" t="str">
        <x:v>1. 来源（原型批注）：liveshow-proto/prototype/annotations/user.js；views/user-home/block-confirm.html、views/host-home/block-confirm.html、views/chat-settings/block-confirm.html
2. 页面：views/user-home/block-confirm.html、views/host-home/block-confirm.html、views/chat-settings/block-confirm.html
3. 规则：BR-820189E8F4633E
4. 场景：SC-6AC7C3578A0EE3
5. 未动态验证</x:v>
      </x:c>
    </x:row>
    <x:row r="391" ht="54" customHeight="1">
      <x:c r="A391" s="4" t="n">
        <x:v>390</x:v>
      </x:c>
      <x:c r="B391" s="4" t="str">
        <x:v>USOC-0065</x:v>
      </x:c>
      <x:c r="C391" s="4" t="str">
        <x:v>消息与社交</x:v>
      </x:c>
      <x:c r="D391" s="4" t="str">
        <x:v>拉黑确认（用户视角）</x:v>
      </x:c>
      <x:c r="E391" s="4" t="str">
        <x:v>功能需求</x:v>
      </x:c>
      <x:c r="F391" s="4" t="str">
        <x:v>P2</x:v>
      </x:c>
      <x:c r="G391" s="4" t="str">
        <x:v>验证拉黑确认可查看后果说明</x:v>
      </x:c>
      <x:c r="H391" s="4" t="str">
        <x:v>后果说明展示</x:v>
      </x:c>
      <x:c r="I391" s="4" t="str">
        <x:v>1. 用户账号已登录且具备当前页面权限</x:v>
      </x:c>
      <x:c r="J391" s="4" t="str">
        <x:v>1. 打开拉黑确认
2. 查看后果说明</x:v>
      </x:c>
      <x:c r="K391" s="4" t="str">
        <x:v>拉黑确认显示“后果说明”</x:v>
      </x:c>
      <x:c r="L391" s="4" t="str"/>
      <x:c r="M391" s="4" t="str">
        <x:v>未测</x:v>
      </x:c>
      <x:c r="N391" s="4" t="str"/>
      <x:c r="O391" s="4" t="str">
        <x:v>1. 来源（原型批注）：liveshow-proto/prototype/annotations/user.js；views/user-home/block-confirm.html、views/host-home/block-confirm.html、views/chat-settings/block-confirm.html
2. 页面：views/user-home/block-confirm.html
3. 规则：BR-2A83194EB5EAB6
4. 场景：SC-145AC6DB72B25A
5. 未动态验证</x:v>
      </x:c>
    </x:row>
    <x:row r="392" ht="54" customHeight="1">
      <x:c r="A392" s="4" t="n">
        <x:v>391</x:v>
      </x:c>
      <x:c r="B392" s="4" t="str">
        <x:v>USOC-0066</x:v>
      </x:c>
      <x:c r="C392" s="4" t="str">
        <x:v>消息与社交</x:v>
      </x:c>
      <x:c r="D392" s="4" t="str">
        <x:v>拉黑确认（用户视角）</x:v>
      </x:c>
      <x:c r="E392" s="4" t="str">
        <x:v>功能需求</x:v>
      </x:c>
      <x:c r="F392" s="4" t="str">
        <x:v>P2</x:v>
      </x:c>
      <x:c r="G392" s="4" t="str">
        <x:v>验证拉黑确认可查看确认对象</x:v>
      </x:c>
      <x:c r="H392" s="4" t="str">
        <x:v>确认对象展示</x:v>
      </x:c>
      <x:c r="I392" s="4" t="str">
        <x:v>1. 用户账号已登录且具备当前页面权限</x:v>
      </x:c>
      <x:c r="J392" s="4" t="str">
        <x:v>1. 打开拉黑确认
2. 查看确认对象</x:v>
      </x:c>
      <x:c r="K392" s="4" t="str">
        <x:v>拉黑确认显示“确认对象”</x:v>
      </x:c>
      <x:c r="L392" s="4" t="str"/>
      <x:c r="M392" s="4" t="str">
        <x:v>未测</x:v>
      </x:c>
      <x:c r="N392" s="4" t="str"/>
      <x:c r="O392" s="4" t="str">
        <x:v>1. 来源（原型批注）：liveshow-proto/prototype/annotations/user.js；views/user-home/block-confirm.html、views/host-home/block-confirm.html、views/chat-settings/block-confirm.html
2. 页面：views/user-home/block-confirm.html
3. 规则：BR-A4F58A5617D019
4. 场景：SC-448414AA7B5CCD
5. 未动态验证</x:v>
      </x:c>
    </x:row>
    <x:row r="393" ht="54" customHeight="1">
      <x:c r="A393" s="4" t="n">
        <x:v>392</x:v>
      </x:c>
      <x:c r="B393" s="4" t="str">
        <x:v>USOC-0067</x:v>
      </x:c>
      <x:c r="C393" s="4" t="str">
        <x:v>消息与社交</x:v>
      </x:c>
      <x:c r="D393" s="4" t="str">
        <x:v>拉黑确认（用户视角）</x:v>
      </x:c>
      <x:c r="E393" s="4" t="str">
        <x:v>业务流程</x:v>
      </x:c>
      <x:c r="F393" s="4" t="str">
        <x:v>P2</x:v>
      </x:c>
      <x:c r="G393" s="4" t="str">
        <x:v>验证取消后的拉黑确认状态</x:v>
      </x:c>
      <x:c r="H393" s="4" t="str">
        <x:v>拉黑确认状态</x:v>
      </x:c>
      <x:c r="I393" s="4" t="str">
        <x:v>1. 用户账号已登录且具备当前页面权限</x:v>
      </x:c>
      <x:c r="J393" s="4" t="str">
        <x:v>1. 打开拉黑确认
2. 取消</x:v>
      </x:c>
      <x:c r="K393" s="4" t="str">
        <x:v>不改变现有关系</x:v>
      </x:c>
      <x:c r="L393" s="4" t="str"/>
      <x:c r="M393" s="4" t="str">
        <x:v>未测</x:v>
      </x:c>
      <x:c r="N393" s="4" t="str"/>
      <x:c r="O393" s="4" t="str">
        <x:v>1. 来源（原型批注）：liveshow-proto/prototype/annotations/user.js；views/user-home/block-confirm.html、views/host-home/block-confirm.html、views/chat-settings/block-confirm.html
2. 页面：views/user-home/block-confirm.html、views/host-home/block-confirm.html、views/chat-settings/block-confirm.html
3. 规则：BR-820189E8F4633E
4. 场景：SC-449709CBEAAE4D
5. 未动态验证</x:v>
      </x:c>
    </x:row>
    <x:row r="394" ht="54" customHeight="1">
      <x:c r="A394" s="4" t="n">
        <x:v>393</x:v>
      </x:c>
      <x:c r="B394" s="4" t="str">
        <x:v>USOC-0068</x:v>
      </x:c>
      <x:c r="C394" s="4" t="str">
        <x:v>消息与社交</x:v>
      </x:c>
      <x:c r="D394" s="4" t="str">
        <x:v>拉黑确认（用户视角）</x:v>
      </x:c>
      <x:c r="E394" s="4" t="str">
        <x:v>业务流程</x:v>
      </x:c>
      <x:c r="F394" s="4" t="str">
        <x:v>P2</x:v>
      </x:c>
      <x:c r="G394" s="4" t="str">
        <x:v>验证确认拉黑后的拉黑确认状态</x:v>
      </x:c>
      <x:c r="H394" s="4" t="str">
        <x:v>拉黑确认状态</x:v>
      </x:c>
      <x:c r="I394" s="4" t="str">
        <x:v>1. 用户账号已登录且具备当前页面权限</x:v>
      </x:c>
      <x:c r="J394" s="4" t="str">
        <x:v>1. 打开拉黑确认
2. 确认拉黑</x:v>
      </x:c>
      <x:c r="K394" s="4" t="str">
        <x:v>同步解除双方关注、好友和加入对方粉丝团的关系</x:v>
      </x:c>
      <x:c r="L394" s="4" t="str"/>
      <x:c r="M394" s="4" t="str">
        <x:v>未测</x:v>
      </x:c>
      <x:c r="N394" s="4" t="str"/>
      <x:c r="O394" s="4" t="str">
        <x:v>1. 来源（原型批注）：liveshow-proto/prototype/annotations/user.js；views/user-home/block-confirm.html
2. 页面：views/user-home/block-confirm.html
3. 规则：BR-99C983284204F3
4. 场景：SC-8B59C5F60A23B4
5. 未动态验证</x:v>
      </x:c>
    </x:row>
    <x:row r="395" ht="54" customHeight="1">
      <x:c r="A395" s="4" t="n">
        <x:v>394</x:v>
      </x:c>
      <x:c r="B395" s="4" t="str">
        <x:v>USOC-0069</x:v>
      </x:c>
      <x:c r="C395" s="4" t="str">
        <x:v>消息与社交</x:v>
      </x:c>
      <x:c r="D395" s="4" t="str">
        <x:v>礼物展馆（用户视角）</x:v>
      </x:c>
      <x:c r="E395" s="4" t="str">
        <x:v>功能需求</x:v>
      </x:c>
      <x:c r="F395" s="4" t="str">
        <x:v>P2</x:v>
      </x:c>
      <x:c r="G395" s="4" t="str">
        <x:v>验证按当前主播时的礼物展馆结果</x:v>
      </x:c>
      <x:c r="H395" s="4" t="str">
        <x:v>礼物展馆条件结果</x:v>
      </x:c>
      <x:c r="I395" s="4" t="str">
        <x:v>1. 用户账号已登录且具备当前页面权限
2. 按当前主播</x:v>
      </x:c>
      <x:c r="J395" s="4" t="str">
        <x:v>1. 进入礼物展馆
2. 查看礼物展馆</x:v>
      </x:c>
      <x:c r="K395" s="4" t="str">
        <x:v>按当前主播展示对应礼物的收到数量</x:v>
      </x:c>
      <x:c r="L395" s="4" t="str"/>
      <x:c r="M395" s="4" t="str">
        <x:v>未测</x:v>
      </x:c>
      <x:c r="N395" s="4" t="str"/>
      <x:c r="O395" s="4" t="str">
        <x:v>1. 来源（原型批注）：liveshow-proto/prototype/annotations/user.js；host-gift-gallery.html
2. 页面：host-gift-gallery.html
3. 规则：BR-E1CD0190A8E29C
4. 场景：SC-053948066214B0
5. 未动态验证</x:v>
      </x:c>
    </x:row>
    <x:row r="396" ht="54" customHeight="1">
      <x:c r="A396" s="4" t="n">
        <x:v>395</x:v>
      </x:c>
      <x:c r="B396" s="4" t="str">
        <x:v>USOC-0070</x:v>
      </x:c>
      <x:c r="C396" s="4" t="str">
        <x:v>消息与社交</x:v>
      </x:c>
      <x:c r="D396" s="4" t="str">
        <x:v>礼物展馆（用户视角）</x:v>
      </x:c>
      <x:c r="E396" s="4" t="str">
        <x:v>逻辑校验</x:v>
      </x:c>
      <x:c r="F396" s="4" t="str">
        <x:v>P2</x:v>
      </x:c>
      <x:c r="G396" s="4" t="str">
        <x:v>验证礼物展馆按指定范围筛选</x:v>
      </x:c>
      <x:c r="H396" s="4" t="str">
        <x:v>礼物展馆数据范围</x:v>
      </x:c>
      <x:c r="I396" s="4" t="str">
        <x:v>1. 用户账号已登录且具备当前页面权限
2. 存在符合和不符合“平台礼物目录与当前查看主播的收礼数量”的记录</x:v>
      </x:c>
      <x:c r="J396" s="4" t="str">
        <x:v>1. 进入礼物展馆
2. 查看礼物展馆</x:v>
      </x:c>
      <x:c r="K396" s="4" t="str">
        <x:v>数据范围：平台礼物目录与当前查看主播的收礼数量</x:v>
      </x:c>
      <x:c r="L396" s="4" t="str"/>
      <x:c r="M396" s="4" t="str">
        <x:v>未测</x:v>
      </x:c>
      <x:c r="N396" s="4" t="str"/>
      <x:c r="O396" s="4" t="str">
        <x:v>1. 来源（原型批注）：liveshow-proto/prototype/annotations/user.js；host-gift-gallery.html
2. 页面：host-gift-gallery.html
3. 规则：BR-3CA0D37D0D570C
4. 场景：SC-8120E2C2A76D82
5. 未动态验证</x:v>
      </x:c>
    </x:row>
    <x:row r="397" ht="54" customHeight="1">
      <x:c r="A397" s="4" t="n">
        <x:v>396</x:v>
      </x:c>
      <x:c r="B397" s="4" t="str">
        <x:v>USOC-0071</x:v>
      </x:c>
      <x:c r="C397" s="4" t="str">
        <x:v>消息与社交</x:v>
      </x:c>
      <x:c r="D397" s="4" t="str">
        <x:v>礼物展馆（用户视角）</x:v>
      </x:c>
      <x:c r="E397" s="4" t="str">
        <x:v>功能需求</x:v>
      </x:c>
      <x:c r="F397" s="4" t="str">
        <x:v>P2</x:v>
      </x:c>
      <x:c r="G397" s="4" t="str">
        <x:v>验证礼物展馆可查看累计收到</x:v>
      </x:c>
      <x:c r="H397" s="4" t="str">
        <x:v>累计收到展示</x:v>
      </x:c>
      <x:c r="I397" s="4" t="str">
        <x:v>1. 用户账号已登录且具备当前页面权限</x:v>
      </x:c>
      <x:c r="J397" s="4" t="str">
        <x:v>1. 进入礼物展馆
2. 查看累计收到</x:v>
      </x:c>
      <x:c r="K397" s="4" t="str">
        <x:v>礼物展馆显示“累计收到”</x:v>
      </x:c>
      <x:c r="L397" s="4" t="str"/>
      <x:c r="M397" s="4" t="str">
        <x:v>未测</x:v>
      </x:c>
      <x:c r="N397" s="4" t="str"/>
      <x:c r="O397" s="4" t="str">
        <x:v>1. 来源（原型批注）：liveshow-proto/prototype/annotations/user.js；host-gift-gallery.html
2. 页面：host-gift-gallery.html
3. 规则：BR-C63F984FCAB3BF
4. 场景：SC-FC16D004211CE8
5. 未动态验证</x:v>
      </x:c>
    </x:row>
    <x:row r="398" ht="54" customHeight="1">
      <x:c r="A398" s="4" t="n">
        <x:v>397</x:v>
      </x:c>
      <x:c r="B398" s="4" t="str">
        <x:v>USOC-0072</x:v>
      </x:c>
      <x:c r="C398" s="4" t="str">
        <x:v>消息与社交</x:v>
      </x:c>
      <x:c r="D398" s="4" t="str">
        <x:v>礼物展馆（用户视角）</x:v>
      </x:c>
      <x:c r="E398" s="4" t="str">
        <x:v>功能需求</x:v>
      </x:c>
      <x:c r="F398" s="4" t="str">
        <x:v>P2</x:v>
      </x:c>
      <x:c r="G398" s="4" t="str">
        <x:v>验证礼物展馆可查看礼物图标 / 名称</x:v>
      </x:c>
      <x:c r="H398" s="4" t="str">
        <x:v>礼物图标 / 名称展示</x:v>
      </x:c>
      <x:c r="I398" s="4" t="str">
        <x:v>1. 用户账号已登录且具备当前页面权限</x:v>
      </x:c>
      <x:c r="J398" s="4" t="str">
        <x:v>1. 进入礼物展馆
2. 查看礼物图标 / 名称</x:v>
      </x:c>
      <x:c r="K398" s="4" t="str">
        <x:v>礼物展馆显示“礼物图标 / 名称”</x:v>
      </x:c>
      <x:c r="L398" s="4" t="str"/>
      <x:c r="M398" s="4" t="str">
        <x:v>未测</x:v>
      </x:c>
      <x:c r="N398" s="4" t="str"/>
      <x:c r="O398" s="4" t="str">
        <x:v>1. 来源（原型批注）：liveshow-proto/prototype/annotations/user.js；host-gift-gallery.html
2. 页面：host-gift-gallery.html
3. 规则：BR-EA2B48BA0DAF04
4. 场景：SC-DBABA9C4D0C5BC
5. 未动态验证</x:v>
      </x:c>
    </x:row>
    <x:row r="399" ht="54" customHeight="1">
      <x:c r="A399" s="4" t="n">
        <x:v>398</x:v>
      </x:c>
      <x:c r="B399" s="4" t="str">
        <x:v>USOC-0073</x:v>
      </x:c>
      <x:c r="C399" s="4" t="str">
        <x:v>消息与社交</x:v>
      </x:c>
      <x:c r="D399" s="4" t="str">
        <x:v>礼物展馆（用户视角）</x:v>
      </x:c>
      <x:c r="E399" s="4" t="str">
        <x:v>功能需求</x:v>
      </x:c>
      <x:c r="F399" s="4" t="str">
        <x:v>P2</x:v>
      </x:c>
      <x:c r="G399" s="4" t="str">
        <x:v>验证礼物展馆可查看收到数量</x:v>
      </x:c>
      <x:c r="H399" s="4" t="str">
        <x:v>收到数量展示</x:v>
      </x:c>
      <x:c r="I399" s="4" t="str">
        <x:v>1. 用户账号已登录且具备当前页面权限</x:v>
      </x:c>
      <x:c r="J399" s="4" t="str">
        <x:v>1. 进入礼物展馆
2. 查看收到数量</x:v>
      </x:c>
      <x:c r="K399" s="4" t="str">
        <x:v>礼物展馆显示“收到数量”</x:v>
      </x:c>
      <x:c r="L399" s="4" t="str"/>
      <x:c r="M399" s="4" t="str">
        <x:v>未测</x:v>
      </x:c>
      <x:c r="N399" s="4" t="str"/>
      <x:c r="O399" s="4" t="str">
        <x:v>1. 来源（原型批注）：liveshow-proto/prototype/annotations/user.js；host-gift-gallery.html
2. 页面：host-gift-gallery.html
3. 规则：BR-E1CD0190A8E29C、BR-61F4ECF5E0BEE2
4. 场景：SC-53DC031565EB67
5. 未动态验证</x:v>
      </x:c>
    </x:row>
    <x:row r="400" ht="54" customHeight="1">
      <x:c r="A400" s="4" t="n">
        <x:v>399</x:v>
      </x:c>
      <x:c r="B400" s="4" t="str">
        <x:v>USOC-0074</x:v>
      </x:c>
      <x:c r="C400" s="4" t="str">
        <x:v>消息与社交</x:v>
      </x:c>
      <x:c r="D400" s="4" t="str">
        <x:v>礼物展馆（用户视角）</x:v>
      </x:c>
      <x:c r="E400" s="4" t="str">
        <x:v>功能需求</x:v>
      </x:c>
      <x:c r="F400" s="4" t="str">
        <x:v>P2</x:v>
      </x:c>
      <x:c r="G400" s="4" t="str">
        <x:v>验证没有记录时的礼物展馆结果</x:v>
      </x:c>
      <x:c r="H400" s="4" t="str">
        <x:v>礼物展馆条件结果</x:v>
      </x:c>
      <x:c r="I400" s="4" t="str">
        <x:v>1. 用户账号已登录且具备当前页面权限
2. 没有记录</x:v>
      </x:c>
      <x:c r="J400" s="4" t="str">
        <x:v>1. 进入礼物展馆
2. 查看礼物展馆</x:v>
      </x:c>
      <x:c r="K400" s="4" t="str">
        <x:v>显示未收到</x:v>
      </x:c>
      <x:c r="L400" s="4" t="str"/>
      <x:c r="M400" s="4" t="str">
        <x:v>未测</x:v>
      </x:c>
      <x:c r="N400" s="4" t="str"/>
      <x:c r="O400" s="4" t="str">
        <x:v>1. 来源（原型批注）：liveshow-proto/prototype/annotations/user.js；host-gift-gallery.html
2. 页面：host-gift-gallery.html
3. 规则：BR-61F4ECF5E0BEE2
4. 场景：SC-7368AB0952C463
5. 未动态验证</x:v>
      </x:c>
    </x:row>
    <x:row r="401" ht="54" customHeight="1">
      <x:c r="A401" s="4" t="n">
        <x:v>400</x:v>
      </x:c>
      <x:c r="B401" s="4" t="str">
        <x:v>USOC-0075</x:v>
      </x:c>
      <x:c r="C401" s="4" t="str">
        <x:v>消息与社交</x:v>
      </x:c>
      <x:c r="D401" s="4" t="str">
        <x:v>礼物展馆（用户视角）</x:v>
      </x:c>
      <x:c r="E401" s="4" t="str">
        <x:v>功能需求</x:v>
      </x:c>
      <x:c r="F401" s="4" t="str">
        <x:v>P2</x:v>
      </x:c>
      <x:c r="G401" s="4" t="str">
        <x:v>验证未收到的礼物也时的礼物展馆结果</x:v>
      </x:c>
      <x:c r="H401" s="4" t="str">
        <x:v>礼物展馆条件结果</x:v>
      </x:c>
      <x:c r="I401" s="4" t="str">
        <x:v>1. 用户账号已登录且具备当前页面权限
2. 未收到的礼物也</x:v>
      </x:c>
      <x:c r="J401" s="4" t="str">
        <x:v>1. 进入礼物展馆
2. 查看礼物展馆</x:v>
      </x:c>
      <x:c r="K401" s="4" t="str">
        <x:v>未收到的礼物也展示</x:v>
      </x:c>
      <x:c r="L401" s="4" t="str"/>
      <x:c r="M401" s="4" t="str">
        <x:v>未测</x:v>
      </x:c>
      <x:c r="N401" s="4" t="str"/>
      <x:c r="O401" s="4" t="str">
        <x:v>1. 来源（原型批注）：liveshow-proto/prototype/annotations/user.js；host-gift-gallery.html
2. 页面：host-gift-gallery.html
3. 规则：BR-A265D554475207
4. 场景：SC-22B720B2E85563
5. 未动态验证</x:v>
      </x:c>
    </x:row>
    <x:row r="402" ht="54" customHeight="1">
      <x:c r="A402" s="4" t="n">
        <x:v>401</x:v>
      </x:c>
      <x:c r="B402" s="4" t="str">
        <x:v>USOC-0076</x:v>
      </x:c>
      <x:c r="C402" s="4" t="str">
        <x:v>消息与社交</x:v>
      </x:c>
      <x:c r="D402" s="4" t="str">
        <x:v>群管理（成员）（用户视角）</x:v>
      </x:c>
      <x:c r="E402" s="4" t="str">
        <x:v>功能需求</x:v>
      </x:c>
      <x:c r="F402" s="4" t="str">
        <x:v>P2</x:v>
      </x:c>
      <x:c r="G402" s="4" t="str">
        <x:v>验证群管理（成员）可查看群公告</x:v>
      </x:c>
      <x:c r="H402" s="4" t="str">
        <x:v>群公告展示</x:v>
      </x:c>
      <x:c r="I402" s="4" t="str">
        <x:v>1. 用户账号已登录且具备当前页面权限</x:v>
      </x:c>
      <x:c r="J402" s="4" t="str">
        <x:v>1. 进入群管理（成员）
2. 查看群公告</x:v>
      </x:c>
      <x:c r="K402" s="4" t="str">
        <x:v>群管理（成员）显示“群公告”</x:v>
      </x:c>
      <x:c r="L402" s="4" t="str"/>
      <x:c r="M402" s="4" t="str">
        <x:v>未测</x:v>
      </x:c>
      <x:c r="N402" s="4" t="str"/>
      <x:c r="O402" s="4" t="str">
        <x:v>1. 来源（原型批注）：liveshow-proto/prototype/annotations/user.js；group-manage-member.html
2. 页面：group-manage-member.html
3. 规则：BR-E79F6862D9BBA0
4. 场景：SC-FD85763BF98E37
5. 未动态验证</x:v>
      </x:c>
    </x:row>
    <x:row r="403" ht="54" customHeight="1">
      <x:c r="A403" s="4" t="n">
        <x:v>402</x:v>
      </x:c>
      <x:c r="B403" s="4" t="str">
        <x:v>USOC-0077</x:v>
      </x:c>
      <x:c r="C403" s="4" t="str">
        <x:v>消息与社交</x:v>
      </x:c>
      <x:c r="D403" s="4" t="str">
        <x:v>群管理（成员）（用户视角）</x:v>
      </x:c>
      <x:c r="E403" s="4" t="str">
        <x:v>功能需求</x:v>
      </x:c>
      <x:c r="F403" s="4" t="str">
        <x:v>P2</x:v>
      </x:c>
      <x:c r="G403" s="4" t="str">
        <x:v>验证群管理（成员）可查看群消息免打扰</x:v>
      </x:c>
      <x:c r="H403" s="4" t="str">
        <x:v>群消息免打扰展示</x:v>
      </x:c>
      <x:c r="I403" s="4" t="str">
        <x:v>1. 用户账号已登录且具备当前页面权限</x:v>
      </x:c>
      <x:c r="J403" s="4" t="str">
        <x:v>1. 进入群管理（成员）
2. 查看群消息免打扰</x:v>
      </x:c>
      <x:c r="K403" s="4" t="str">
        <x:v>群管理（成员）显示“群消息免打扰”</x:v>
      </x:c>
      <x:c r="L403" s="4" t="str"/>
      <x:c r="M403" s="4" t="str">
        <x:v>未测</x:v>
      </x:c>
      <x:c r="N403" s="4" t="str"/>
      <x:c r="O403" s="4" t="str">
        <x:v>1. 来源（原型批注）：liveshow-proto/prototype/annotations/user.js；group-manage-member.html
2. 页面：group-manage-member.html
3. 规则：BR-6EDD0D06A327CE
4. 场景：SC-D9719202E0F2FE
5. 未动态验证</x:v>
      </x:c>
    </x:row>
    <x:row r="404" ht="54" customHeight="1">
      <x:c r="A404" s="4" t="n">
        <x:v>403</x:v>
      </x:c>
      <x:c r="B404" s="4" t="str">
        <x:v>USOC-0078</x:v>
      </x:c>
      <x:c r="C404" s="4" t="str">
        <x:v>消息与社交</x:v>
      </x:c>
      <x:c r="D404" s="4" t="str">
        <x:v>群管理（成员）（用户视角）</x:v>
      </x:c>
      <x:c r="E404" s="4" t="str">
        <x:v>业务流程</x:v>
      </x:c>
      <x:c r="F404" s="4" t="str">
        <x:v>P2</x:v>
      </x:c>
      <x:c r="G404" s="4" t="str">
        <x:v>验证退出粉丝团后的群管理（成员）状态</x:v>
      </x:c>
      <x:c r="H404" s="4" t="str">
        <x:v>群管理（成员）状态</x:v>
      </x:c>
      <x:c r="I404" s="4" t="str">
        <x:v>1. 用户账号已登录且具备当前页面权限</x:v>
      </x:c>
      <x:c r="J404" s="4" t="str">
        <x:v>1. 进入群管理（成员）
2. 退出粉丝团</x:v>
      </x:c>
      <x:c r="K404" s="4" t="str">
        <x:v>返回消息中心</x:v>
      </x:c>
      <x:c r="L404" s="4" t="str"/>
      <x:c r="M404" s="4" t="str">
        <x:v>未测</x:v>
      </x:c>
      <x:c r="N404" s="4" t="str"/>
      <x:c r="O404" s="4" t="str">
        <x:v>1. 来源（原型批注）：liveshow-proto/prototype/annotations/user.js；group-manage-member.html
2. 页面：group-manage-member.html
3. 规则：BR-4D1F25106BEB72
4. 场景：SC-48DC14B2438C01
5. 未动态验证</x:v>
      </x:c>
    </x:row>
    <x:row r="405" ht="54" customHeight="1">
      <x:c r="A405" s="4" t="n">
        <x:v>404</x:v>
      </x:c>
      <x:c r="B405" s="4" t="str">
        <x:v>USOC-0079</x:v>
      </x:c>
      <x:c r="C405" s="4" t="str">
        <x:v>消息与社交</x:v>
      </x:c>
      <x:c r="D405" s="4" t="str">
        <x:v>群管理（成员）（用户视角）</x:v>
      </x:c>
      <x:c r="E405" s="4" t="str">
        <x:v>业务流程</x:v>
      </x:c>
      <x:c r="F405" s="4" t="str">
        <x:v>P2</x:v>
      </x:c>
      <x:c r="G405" s="4" t="str">
        <x:v>验证主动退出后的群管理（成员）状态</x:v>
      </x:c>
      <x:c r="H405" s="4" t="str">
        <x:v>群管理（成员）状态</x:v>
      </x:c>
      <x:c r="I405" s="4" t="str">
        <x:v>1. 用户账号已登录且具备当前页面权限
2. 主动退出</x:v>
      </x:c>
      <x:c r="J405" s="4" t="str">
        <x:v>1. 进入群管理（成员）
2. 刷新群管理（成员）</x:v>
      </x:c>
      <x:c r="K405" s="4" t="str">
        <x:v>团籍解除</x:v>
      </x:c>
      <x:c r="L405" s="4" t="str"/>
      <x:c r="M405" s="4" t="str">
        <x:v>未测</x:v>
      </x:c>
      <x:c r="N405" s="4" t="str"/>
      <x:c r="O405" s="4" t="str">
        <x:v>1. 来源（原型批注）：liveshow-proto/prototype/annotations/user.js；group-manage-member.html
2. 页面：group-manage-member.html
3. 规则：BR-332133CDED550E
4. 场景：SC-CE671958EF5723
5. 未动态验证</x:v>
      </x:c>
    </x:row>
    <x:row r="406" ht="54" customHeight="1">
      <x:c r="A406" s="4" t="n">
        <x:v>405</x:v>
      </x:c>
      <x:c r="B406" s="4" t="str">
        <x:v>USOC-0080</x:v>
      </x:c>
      <x:c r="C406" s="4" t="str">
        <x:v>消息与社交</x:v>
      </x:c>
      <x:c r="D406" s="4" t="str">
        <x:v>群管理（群主）（用户视角）</x:v>
      </x:c>
      <x:c r="E406" s="4" t="str">
        <x:v>业务流程</x:v>
      </x:c>
      <x:c r="F406" s="4" t="str">
        <x:v>P2</x:v>
      </x:c>
      <x:c r="G406" s="4" t="str">
        <x:v>验证编辑公告后的群管理（群主）状态</x:v>
      </x:c>
      <x:c r="H406" s="4" t="str">
        <x:v>群管理（群主）状态</x:v>
      </x:c>
      <x:c r="I406" s="4" t="str">
        <x:v>1. 用户账号已登录且具备当前页面权限
2. 编辑公告</x:v>
      </x:c>
      <x:c r="J406" s="4" t="str">
        <x:v>1. 进入群管理（群主）
2. 刷新群管理（群主）</x:v>
      </x:c>
      <x:c r="K406" s="4" t="str">
        <x:v>原型以提示代替编辑</x:v>
      </x:c>
      <x:c r="L406" s="4" t="str"/>
      <x:c r="M406" s="4" t="str">
        <x:v>未测</x:v>
      </x:c>
      <x:c r="N406" s="4" t="str"/>
      <x:c r="O406" s="4" t="str">
        <x:v>1. 来源（原型批注）：liveshow-proto/prototype/annotations/user.js；group-manage-owner.html
2. 页面：group-manage-owner.html
3. 规则：BR-B18603B963FC73
4. 场景：SC-3FB467F699F4E1
5. 未动态验证</x:v>
      </x:c>
    </x:row>
    <x:row r="407" ht="54" customHeight="1">
      <x:c r="A407" s="4" t="n">
        <x:v>406</x:v>
      </x:c>
      <x:c r="B407" s="4" t="str">
        <x:v>USOC-0081</x:v>
      </x:c>
      <x:c r="C407" s="4" t="str">
        <x:v>消息与社交</x:v>
      </x:c>
      <x:c r="D407" s="4" t="str">
        <x:v>群管理（群主）（用户视角）</x:v>
      </x:c>
      <x:c r="E407" s="4" t="str">
        <x:v>业务流程</x:v>
      </x:c>
      <x:c r="F407" s="4" t="str">
        <x:v>P2</x:v>
      </x:c>
      <x:c r="G407" s="4" t="str">
        <x:v>验证点击群成员管理后的群管理（群主）状态</x:v>
      </x:c>
      <x:c r="H407" s="4" t="str">
        <x:v>群管理（群主）状态</x:v>
      </x:c>
      <x:c r="I407" s="4" t="str">
        <x:v>1. 用户账号已登录且具备当前页面权限</x:v>
      </x:c>
      <x:c r="J407" s="4" t="str">
        <x:v>1. 进入群管理（群主）
2. 点击群成员管理</x:v>
      </x:c>
      <x:c r="K407" s="4" t="str">
        <x:v>进入粉丝团成员页</x:v>
      </x:c>
      <x:c r="L407" s="4" t="str"/>
      <x:c r="M407" s="4" t="str">
        <x:v>未测</x:v>
      </x:c>
      <x:c r="N407" s="4" t="str"/>
      <x:c r="O407" s="4" t="str">
        <x:v>1. 来源（原型批注）：liveshow-proto/prototype/annotations/user.js；group-manage-owner.html
2. 页面：group-manage-owner.html
3. 规则：BR-B35D534D81D107
4. 场景：SC-D8EF0BE7510904
5. 未动态验证</x:v>
      </x:c>
    </x:row>
    <x:row r="408" ht="54" customHeight="1">
      <x:c r="A408" s="4" t="n">
        <x:v>407</x:v>
      </x:c>
      <x:c r="B408" s="4" t="str">
        <x:v>USOC-0082</x:v>
      </x:c>
      <x:c r="C408" s="4" t="str">
        <x:v>消息与社交</x:v>
      </x:c>
      <x:c r="D408" s="4" t="str">
        <x:v>群管理（群主）（用户视角）</x:v>
      </x:c>
      <x:c r="E408" s="4" t="str">
        <x:v>业务流程</x:v>
      </x:c>
      <x:c r="F408" s="4" t="str">
        <x:v>P2</x:v>
      </x:c>
      <x:c r="G408" s="4" t="str">
        <x:v>验证返回后的群管理（群主）状态</x:v>
      </x:c>
      <x:c r="H408" s="4" t="str">
        <x:v>群管理（群主）状态</x:v>
      </x:c>
      <x:c r="I408" s="4" t="str">
        <x:v>1. 用户账号已登录且具备当前页面权限</x:v>
      </x:c>
      <x:c r="J408" s="4" t="str">
        <x:v>1. 进入群管理（群主）
2. 返回</x:v>
      </x:c>
      <x:c r="K408" s="4" t="str">
        <x:v>进入粉丝群聊天页</x:v>
      </x:c>
      <x:c r="L408" s="4" t="str"/>
      <x:c r="M408" s="4" t="str">
        <x:v>未测</x:v>
      </x:c>
      <x:c r="N408" s="4" t="str"/>
      <x:c r="O408" s="4" t="str">
        <x:v>1. 来源（原型批注）：liveshow-proto/prototype/annotations/user.js；group-manage-owner.html
2. 页面：group-manage-owner.html
3. 规则：BR-7FBEDC3F4EE21A
4. 场景：SC-302C7FE52CBA85
5. 未动态验证</x:v>
      </x:c>
    </x:row>
    <x:row r="409" ht="54" customHeight="1">
      <x:c r="A409" s="4" t="n">
        <x:v>408</x:v>
      </x:c>
      <x:c r="B409" s="4" t="str">
        <x:v>USOC-0083</x:v>
      </x:c>
      <x:c r="C409" s="4" t="str">
        <x:v>消息与社交</x:v>
      </x:c>
      <x:c r="D409" s="4" t="str">
        <x:v>群管理（群主）（用户视角）</x:v>
      </x:c>
      <x:c r="E409" s="4" t="str">
        <x:v>业务流程</x:v>
      </x:c>
      <x:c r="F409" s="4" t="str">
        <x:v>P2</x:v>
      </x:c>
      <x:c r="G409" s="4" t="str">
        <x:v>验证举报后的群管理（群主）状态</x:v>
      </x:c>
      <x:c r="H409" s="4" t="str">
        <x:v>群管理（群主）状态</x:v>
      </x:c>
      <x:c r="I409" s="4" t="str">
        <x:v>1. 用户账号已登录且具备当前页面权限
2. 举报</x:v>
      </x:c>
      <x:c r="J409" s="4" t="str">
        <x:v>1. 进入群管理（群主）
2. 刷新群管理（群主）</x:v>
      </x:c>
      <x:c r="K409" s="4" t="str">
        <x:v>原型显示举报提示</x:v>
      </x:c>
      <x:c r="L409" s="4" t="str"/>
      <x:c r="M409" s="4" t="str">
        <x:v>未测</x:v>
      </x:c>
      <x:c r="N409" s="4" t="str"/>
      <x:c r="O409" s="4" t="str">
        <x:v>1. 来源（原型批注）：liveshow-proto/prototype/annotations/user.js；group-manage-owner.html
2. 页面：group-manage-owner.html
3. 规则：BR-EB8EF18D6432B6
4. 场景：SC-2CDEE0FA6F7DB7
5. 未动态验证</x:v>
      </x:c>
    </x:row>
    <x:row r="410" ht="54" customHeight="1">
      <x:c r="A410" s="4" t="n">
        <x:v>409</x:v>
      </x:c>
      <x:c r="B410" s="4" t="str">
        <x:v>USOC-0084</x:v>
      </x:c>
      <x:c r="C410" s="4" t="str">
        <x:v>消息与社交</x:v>
      </x:c>
      <x:c r="D410" s="4" t="str">
        <x:v>群管理（群主）（用户视角）</x:v>
      </x:c>
      <x:c r="E410" s="4" t="str">
        <x:v>业务流程</x:v>
      </x:c>
      <x:c r="F410" s="4" t="str">
        <x:v>P2</x:v>
      </x:c>
      <x:c r="G410" s="4" t="str">
        <x:v>验证切换群消息免打扰后的群管理（群主）状态</x:v>
      </x:c>
      <x:c r="H410" s="4" t="str">
        <x:v>群管理（群主）状态</x:v>
      </x:c>
      <x:c r="I410" s="4" t="str">
        <x:v>1. 用户账号已登录且具备当前页面权限</x:v>
      </x:c>
      <x:c r="J410" s="4" t="str">
        <x:v>1. 进入群管理（群主）
2. 切换群消息免打扰</x:v>
      </x:c>
      <x:c r="K410" s="4" t="str">
        <x:v>更新当前账号对此群的通知设置</x:v>
      </x:c>
      <x:c r="L410" s="4" t="str"/>
      <x:c r="M410" s="4" t="str">
        <x:v>未测</x:v>
      </x:c>
      <x:c r="N410" s="4" t="str"/>
      <x:c r="O410" s="4" t="str">
        <x:v>1. 来源（原型批注）：liveshow-proto/prototype/annotations/user.js；group-manage-owner.html
2. 页面：group-manage-owner.html
3. 规则：BR-F7619F48C2A149
4. 场景：SC-45E93DCF5734B2
5. 未动态验证</x:v>
      </x:c>
    </x:row>
    <x:row r="411" ht="54" customHeight="1">
      <x:c r="A411" s="4" t="n">
        <x:v>410</x:v>
      </x:c>
      <x:c r="B411" s="4" t="str">
        <x:v>USOC-0085</x:v>
      </x:c>
      <x:c r="C411" s="4" t="str">
        <x:v>消息与社交</x:v>
      </x:c>
      <x:c r="D411" s="4" t="str">
        <x:v>群管理（群主）（用户视角）</x:v>
      </x:c>
      <x:c r="E411" s="4" t="str">
        <x:v>逻辑校验</x:v>
      </x:c>
      <x:c r="F411" s="4" t="str">
        <x:v>P2</x:v>
      </x:c>
      <x:c r="G411" s="4" t="str">
        <x:v>验证群管理（群主）按指定范围筛选</x:v>
      </x:c>
      <x:c r="H411" s="4" t="str">
        <x:v>群管理（群主）数据范围</x:v>
      </x:c>
      <x:c r="I411" s="4" t="str">
        <x:v>1. 用户账号已登录且具备当前页面权限
2. 存在符合和不符合“当前主播所属粉丝群的群公告和个人通知设置”的记录</x:v>
      </x:c>
      <x:c r="J411" s="4" t="str">
        <x:v>1. 进入群管理（群主）
2. 查看群管理（群主）</x:v>
      </x:c>
      <x:c r="K411" s="4" t="str">
        <x:v>数据范围：当前主播所属粉丝群的群公告和个人通知设置</x:v>
      </x:c>
      <x:c r="L411" s="4" t="str"/>
      <x:c r="M411" s="4" t="str">
        <x:v>未测</x:v>
      </x:c>
      <x:c r="N411" s="4" t="str"/>
      <x:c r="O411" s="4" t="str">
        <x:v>1. 来源（原型批注）：liveshow-proto/prototype/annotations/user.js；group-manage-owner.html
2. 页面：group-manage-owner.html
3. 规则：BR-AE6D28ABDDEE6C
4. 场景：SC-5DAAAC844EDF25
5. 未动态验证</x:v>
      </x:c>
    </x:row>
    <x:row r="412" ht="54" customHeight="1">
      <x:c r="A412" s="4" t="n">
        <x:v>411</x:v>
      </x:c>
      <x:c r="B412" s="4" t="str">
        <x:v>USOC-0086</x:v>
      </x:c>
      <x:c r="C412" s="4" t="str">
        <x:v>消息与社交</x:v>
      </x:c>
      <x:c r="D412" s="4" t="str">
        <x:v>群管理（群主）（用户视角）</x:v>
      </x:c>
      <x:c r="E412" s="4" t="str">
        <x:v>功能需求</x:v>
      </x:c>
      <x:c r="F412" s="4" t="str">
        <x:v>P2</x:v>
      </x:c>
      <x:c r="G412" s="4" t="str">
        <x:v>验证群管理（群主）可查看群公告</x:v>
      </x:c>
      <x:c r="H412" s="4" t="str">
        <x:v>群公告展示</x:v>
      </x:c>
      <x:c r="I412" s="4" t="str">
        <x:v>1. 用户账号已登录且具备当前页面权限</x:v>
      </x:c>
      <x:c r="J412" s="4" t="str">
        <x:v>1. 进入群管理（群主）
2. 查看群公告</x:v>
      </x:c>
      <x:c r="K412" s="4" t="str">
        <x:v>群管理（群主）显示“群公告”</x:v>
      </x:c>
      <x:c r="L412" s="4" t="str"/>
      <x:c r="M412" s="4" t="str">
        <x:v>未测</x:v>
      </x:c>
      <x:c r="N412" s="4" t="str"/>
      <x:c r="O412" s="4" t="str">
        <x:v>1. 来源（原型批注）：liveshow-proto/prototype/annotations/user.js；group-manage-owner.html
2. 页面：group-manage-owner.html
3. 规则：BR-F29254CAD057D0
4. 场景：SC-D13A2A83550351
5. 未动态验证</x:v>
      </x:c>
    </x:row>
    <x:row r="413" ht="54" customHeight="1">
      <x:c r="A413" s="4" t="n">
        <x:v>412</x:v>
      </x:c>
      <x:c r="B413" s="4" t="str">
        <x:v>USOC-0087</x:v>
      </x:c>
      <x:c r="C413" s="4" t="str">
        <x:v>消息与社交</x:v>
      </x:c>
      <x:c r="D413" s="4" t="str">
        <x:v>群管理（群主）（用户视角）</x:v>
      </x:c>
      <x:c r="E413" s="4" t="str">
        <x:v>功能需求</x:v>
      </x:c>
      <x:c r="F413" s="4" t="str">
        <x:v>P2</x:v>
      </x:c>
      <x:c r="G413" s="4" t="str">
        <x:v>验证群管理（群主）可查看群消息免打扰</x:v>
      </x:c>
      <x:c r="H413" s="4" t="str">
        <x:v>群消息免打扰展示</x:v>
      </x:c>
      <x:c r="I413" s="4" t="str">
        <x:v>1. 用户账号已登录且具备当前页面权限</x:v>
      </x:c>
      <x:c r="J413" s="4" t="str">
        <x:v>1. 进入群管理（群主）
2. 查看群消息免打扰</x:v>
      </x:c>
      <x:c r="K413" s="4" t="str">
        <x:v>群管理（群主）显示“群消息免打扰”</x:v>
      </x:c>
      <x:c r="L413" s="4" t="str"/>
      <x:c r="M413" s="4" t="str">
        <x:v>未测</x:v>
      </x:c>
      <x:c r="N413" s="4" t="str"/>
      <x:c r="O413" s="4" t="str">
        <x:v>1. 来源（原型批注）：liveshow-proto/prototype/annotations/user.js；group-manage-owner.html
2. 页面：group-manage-owner.html
3. 规则：BR-BDE433BBA2BA0C
4. 场景：SC-DD38D77F0C4774
5. 未动态验证</x:v>
      </x:c>
    </x:row>
    <x:row r="414" ht="54" customHeight="1">
      <x:c r="A414" s="4" t="n">
        <x:v>413</x:v>
      </x:c>
      <x:c r="B414" s="4" t="str">
        <x:v>USOC-0088</x:v>
      </x:c>
      <x:c r="C414" s="4" t="str">
        <x:v>消息与社交</x:v>
      </x:c>
      <x:c r="D414" s="4" t="str">
        <x:v>系统通知（用户视角）</x:v>
      </x:c>
      <x:c r="E414" s="4" t="str">
        <x:v>逻辑校验</x:v>
      </x:c>
      <x:c r="F414" s="4" t="str">
        <x:v>P2</x:v>
      </x:c>
      <x:c r="G414" s="4" t="str">
        <x:v>验证系统通知按指定范围筛选</x:v>
      </x:c>
      <x:c r="H414" s="4" t="str">
        <x:v>系统通知数据范围</x:v>
      </x:c>
      <x:c r="I414" s="4" t="str">
        <x:v>1. 用户账号已登录且具备当前页面权限
2. 存在符合和不符合“发送给当前账号的系统通知”的记录</x:v>
      </x:c>
      <x:c r="J414" s="4" t="str">
        <x:v>1. 进入系统通知
2. 查看系统通知</x:v>
      </x:c>
      <x:c r="K414" s="4" t="str">
        <x:v>数据范围：发送给当前账号的系统通知</x:v>
      </x:c>
      <x:c r="L414" s="4" t="str"/>
      <x:c r="M414" s="4" t="str">
        <x:v>未测</x:v>
      </x:c>
      <x:c r="N414" s="4" t="str"/>
      <x:c r="O414" s="4" t="str">
        <x:v>1. 来源（原型批注）：liveshow-proto/prototype/annotations/user.js；system-notifications.html
2. 页面：system-notifications.html
3. 规则：BR-8C7E1D74CE2834
4. 场景：SC-9BD46965A78106
5. 未动态验证</x:v>
      </x:c>
    </x:row>
    <x:row r="415" ht="54" customHeight="1">
      <x:c r="A415" s="4" t="n">
        <x:v>414</x:v>
      </x:c>
      <x:c r="B415" s="4" t="str">
        <x:v>USOC-0089</x:v>
      </x:c>
      <x:c r="C415" s="4" t="str">
        <x:v>消息与社交</x:v>
      </x:c>
      <x:c r="D415" s="4" t="str">
        <x:v>系统通知（用户视角）</x:v>
      </x:c>
      <x:c r="E415" s="4" t="str">
        <x:v>功能需求</x:v>
      </x:c>
      <x:c r="F415" s="4" t="str">
        <x:v>P2</x:v>
      </x:c>
      <x:c r="G415" s="4" t="str">
        <x:v>验证系统通知可查看通知类型</x:v>
      </x:c>
      <x:c r="H415" s="4" t="str">
        <x:v>通知类型展示</x:v>
      </x:c>
      <x:c r="I415" s="4" t="str">
        <x:v>1. 用户账号已登录且具备当前页面权限</x:v>
      </x:c>
      <x:c r="J415" s="4" t="str">
        <x:v>1. 进入系统通知
2. 查看通知类型</x:v>
      </x:c>
      <x:c r="K415" s="4" t="str">
        <x:v>系统通知显示“通知类型”</x:v>
      </x:c>
      <x:c r="L415" s="4" t="str"/>
      <x:c r="M415" s="4" t="str">
        <x:v>未测</x:v>
      </x:c>
      <x:c r="N415" s="4" t="str"/>
      <x:c r="O415" s="4" t="str">
        <x:v>1. 来源（原型批注）：liveshow-proto/prototype/annotations/user.js；system-notifications.html
2. 页面：system-notifications.html
3. 规则：BR-262FC5C11058C9
4. 场景：SC-A049E7A849F993
5. 未动态验证</x:v>
      </x:c>
    </x:row>
    <x:row r="416" ht="54" customHeight="1">
      <x:c r="A416" s="4" t="n">
        <x:v>415</x:v>
      </x:c>
      <x:c r="B416" s="4" t="str">
        <x:v>USOC-0090</x:v>
      </x:c>
      <x:c r="C416" s="4" t="str">
        <x:v>消息与社交</x:v>
      </x:c>
      <x:c r="D416" s="4" t="str">
        <x:v>系统通知（用户视角）</x:v>
      </x:c>
      <x:c r="E416" s="4" t="str">
        <x:v>功能需求</x:v>
      </x:c>
      <x:c r="F416" s="4" t="str">
        <x:v>P2</x:v>
      </x:c>
      <x:c r="G416" s="4" t="str">
        <x:v>验证系统通知可查看通知时间</x:v>
      </x:c>
      <x:c r="H416" s="4" t="str">
        <x:v>通知时间展示</x:v>
      </x:c>
      <x:c r="I416" s="4" t="str">
        <x:v>1. 用户账号已登录且具备当前页面权限</x:v>
      </x:c>
      <x:c r="J416" s="4" t="str">
        <x:v>1. 进入系统通知
2. 查看通知时间</x:v>
      </x:c>
      <x:c r="K416" s="4" t="str">
        <x:v>系统通知显示“通知时间”</x:v>
      </x:c>
      <x:c r="L416" s="4" t="str"/>
      <x:c r="M416" s="4" t="str">
        <x:v>未测</x:v>
      </x:c>
      <x:c r="N416" s="4" t="str"/>
      <x:c r="O416" s="4" t="str">
        <x:v>1. 来源（原型批注）：liveshow-proto/prototype/annotations/user.js；system-notifications.html
2. 页面：system-notifications.html
3. 规则：BR-B08AEE41873854、BR-9F53D6B02BFD4E
4. 场景：SC-6C0ADF3694EC08
5. 未动态验证</x:v>
      </x:c>
    </x:row>
    <x:row r="417" ht="54" customHeight="1">
      <x:c r="A417" s="4" t="n">
        <x:v>416</x:v>
      </x:c>
      <x:c r="B417" s="4" t="str">
        <x:v>USOC-0091</x:v>
      </x:c>
      <x:c r="C417" s="4" t="str">
        <x:v>消息与社交</x:v>
      </x:c>
      <x:c r="D417" s="4" t="str">
        <x:v>系统通知（用户视角）</x:v>
      </x:c>
      <x:c r="E417" s="4" t="str">
        <x:v>功能需求</x:v>
      </x:c>
      <x:c r="F417" s="4" t="str">
        <x:v>P2</x:v>
      </x:c>
      <x:c r="G417" s="4" t="str">
        <x:v>验证系统通知可查看已读状态</x:v>
      </x:c>
      <x:c r="H417" s="4" t="str">
        <x:v>已读状态展示</x:v>
      </x:c>
      <x:c r="I417" s="4" t="str">
        <x:v>1. 用户账号已登录且具备当前页面权限</x:v>
      </x:c>
      <x:c r="J417" s="4" t="str">
        <x:v>1. 进入系统通知
2. 查看已读状态</x:v>
      </x:c>
      <x:c r="K417" s="4" t="str">
        <x:v>系统通知显示“已读状态”</x:v>
      </x:c>
      <x:c r="L417" s="4" t="str"/>
      <x:c r="M417" s="4" t="str">
        <x:v>未测</x:v>
      </x:c>
      <x:c r="N417" s="4" t="str"/>
      <x:c r="O417" s="4" t="str">
        <x:v>1. 来源（原型批注）：liveshow-proto/prototype/annotations/user.js；system-notifications.html
2. 页面：system-notifications.html
3. 规则：BR-1AC4E011FB4442
4. 场景：SC-3AFAD2564DC0BC
5. 未动态验证</x:v>
      </x:c>
    </x:row>
    <x:row r="418" ht="54" customHeight="1">
      <x:c r="A418" s="4" t="n">
        <x:v>417</x:v>
      </x:c>
      <x:c r="B418" s="4" t="str">
        <x:v>USOC-0092</x:v>
      </x:c>
      <x:c r="C418" s="4" t="str">
        <x:v>消息与社交</x:v>
      </x:c>
      <x:c r="D418" s="4" t="str">
        <x:v>消息（用户视角）</x:v>
      </x:c>
      <x:c r="E418" s="4" t="str">
        <x:v>业务流程</x:v>
      </x:c>
      <x:c r="F418" s="4" t="str">
        <x:v>P2</x:v>
      </x:c>
      <x:c r="G418" s="4" t="str">
        <x:v>验证其余会话按最后的消息状态</x:v>
      </x:c>
      <x:c r="H418" s="4" t="str">
        <x:v>消息状态</x:v>
      </x:c>
      <x:c r="I418" s="4" t="str">
        <x:v>1. 用户账号已登录且具备当前页面权限
2. 其余会话按最</x:v>
      </x:c>
      <x:c r="J418" s="4" t="str">
        <x:v>1. 进入消息
2. 刷新消息</x:v>
      </x:c>
      <x:c r="K418" s="4" t="str">
        <x:v>时间相同时按会话 ID 从大到小排序</x:v>
      </x:c>
      <x:c r="L418" s="4" t="str"/>
      <x:c r="M418" s="4" t="str">
        <x:v>未测</x:v>
      </x:c>
      <x:c r="N418" s="4" t="str"/>
      <x:c r="O418" s="4" t="str">
        <x:v>1. 来源（原型批注）：liveshow-proto/prototype/annotations/user.js；message-center.html
2. 页面：message-center.html
3. 规则：BR-94A18E2248CF56
4. 场景：SC-F089C287B2D40F
5. 未动态验证</x:v>
      </x:c>
    </x:row>
    <x:row r="419" ht="54" customHeight="1">
      <x:c r="A419" s="4" t="n">
        <x:v>418</x:v>
      </x:c>
      <x:c r="B419" s="4" t="str">
        <x:v>USOC-0093</x:v>
      </x:c>
      <x:c r="C419" s="4" t="str">
        <x:v>消息与社交</x:v>
      </x:c>
      <x:c r="D419" s="4" t="str">
        <x:v>消息（用户视角）</x:v>
      </x:c>
      <x:c r="E419" s="4" t="str">
        <x:v>逻辑校验</x:v>
      </x:c>
      <x:c r="F419" s="4" t="str">
        <x:v>P2</x:v>
      </x:c>
      <x:c r="G419" s="4" t="str">
        <x:v>验证消息按指定范围筛选</x:v>
      </x:c>
      <x:c r="H419" s="4" t="str">
        <x:v>消息数据范围</x:v>
      </x:c>
      <x:c r="I419" s="4" t="str">
        <x:v>1. 用户账号已登录且具备当前页面权限
2. 存在符合和不符合“当前登录账号的私信和有效粉丝团会话”的记录</x:v>
      </x:c>
      <x:c r="J419" s="4" t="str">
        <x:v>1. 进入消息
2. 查看消息</x:v>
      </x:c>
      <x:c r="K419" s="4" t="str">
        <x:v>数据范围：当前登录账号的私信和有效粉丝团会话</x:v>
      </x:c>
      <x:c r="L419" s="4" t="str"/>
      <x:c r="M419" s="4" t="str">
        <x:v>未测</x:v>
      </x:c>
      <x:c r="N419" s="4" t="str"/>
      <x:c r="O419" s="4" t="str">
        <x:v>1. 来源（原型批注）：liveshow-proto/prototype/annotations/user.js；message-center.html
2. 页面：message-center.html
3. 规则：BR-3C063211ACA530
4. 场景：SC-1BFFA17CA0A7B6
5. 未动态验证</x:v>
      </x:c>
    </x:row>
    <x:row r="420" ht="54" customHeight="1">
      <x:c r="A420" s="4" t="n">
        <x:v>419</x:v>
      </x:c>
      <x:c r="B420" s="4" t="str">
        <x:v>USOC-0094</x:v>
      </x:c>
      <x:c r="C420" s="4" t="str">
        <x:v>消息与社交</x:v>
      </x:c>
      <x:c r="D420" s="4" t="str">
        <x:v>消息（用户视角）</x:v>
      </x:c>
      <x:c r="E420" s="4" t="str">
        <x:v>功能需求</x:v>
      </x:c>
      <x:c r="F420" s="4" t="str">
        <x:v>P2</x:v>
      </x:c>
      <x:c r="G420" s="4" t="str">
        <x:v>验证消息可查看会话</x:v>
      </x:c>
      <x:c r="H420" s="4" t="str">
        <x:v>会话展示</x:v>
      </x:c>
      <x:c r="I420" s="4" t="str">
        <x:v>1. 用户账号已登录且具备当前页面权限</x:v>
      </x:c>
      <x:c r="J420" s="4" t="str">
        <x:v>1. 进入消息
2. 查看会话</x:v>
      </x:c>
      <x:c r="K420" s="4" t="str">
        <x:v>消息显示“会话”</x:v>
      </x:c>
      <x:c r="L420" s="4" t="str"/>
      <x:c r="M420" s="4" t="str">
        <x:v>未测</x:v>
      </x:c>
      <x:c r="N420" s="4" t="str"/>
      <x:c r="O420" s="4" t="str">
        <x:v>1. 来源（原型批注）：liveshow-proto/prototype/annotations/user.js；message-center.html
2. 页面：message-center.html
3. 规则：BR-A986D76E393D6E
4. 场景：SC-037B4C22DF2C94
5. 未动态验证</x:v>
      </x:c>
    </x:row>
    <x:row r="421" ht="54" customHeight="1">
      <x:c r="A421" s="4" t="n">
        <x:v>420</x:v>
      </x:c>
      <x:c r="B421" s="4" t="str">
        <x:v>USOC-0095</x:v>
      </x:c>
      <x:c r="C421" s="4" t="str">
        <x:v>消息与社交</x:v>
      </x:c>
      <x:c r="D421" s="4" t="str">
        <x:v>消息（用户视角）</x:v>
      </x:c>
      <x:c r="E421" s="4" t="str">
        <x:v>功能需求</x:v>
      </x:c>
      <x:c r="F421" s="4" t="str">
        <x:v>P2</x:v>
      </x:c>
      <x:c r="G421" s="4" t="str">
        <x:v>验证消息可查看排序</x:v>
      </x:c>
      <x:c r="H421" s="4" t="str">
        <x:v>排序展示</x:v>
      </x:c>
      <x:c r="I421" s="4" t="str">
        <x:v>1. 用户账号已登录且具备当前页面权限</x:v>
      </x:c>
      <x:c r="J421" s="4" t="str">
        <x:v>1. 进入消息
2. 查看排序</x:v>
      </x:c>
      <x:c r="K421" s="4" t="str">
        <x:v>消息显示“排序”</x:v>
      </x:c>
      <x:c r="L421" s="4" t="str"/>
      <x:c r="M421" s="4" t="str">
        <x:v>未测</x:v>
      </x:c>
      <x:c r="N421" s="4" t="str"/>
      <x:c r="O421" s="4" t="str">
        <x:v>1. 来源（原型批注）：liveshow-proto/prototype/annotations/user.js；message-center.html
2. 页面：message-center.html
3. 规则：BR-BA5F2A4B811E1F、BR-94A18E2248CF56
4. 场景：SC-103DC8C552DD31
5. 未动态验证</x:v>
      </x:c>
    </x:row>
    <x:row r="422" ht="54" customHeight="1">
      <x:c r="A422" s="4" t="n">
        <x:v>421</x:v>
      </x:c>
      <x:c r="B422" s="4" t="str">
        <x:v>USOC-0096</x:v>
      </x:c>
      <x:c r="C422" s="4" t="str">
        <x:v>消息与社交</x:v>
      </x:c>
      <x:c r="D422" s="4" t="str">
        <x:v>消息（用户视角）</x:v>
      </x:c>
      <x:c r="E422" s="4" t="str">
        <x:v>功能需求</x:v>
      </x:c>
      <x:c r="F422" s="4" t="str">
        <x:v>P2</x:v>
      </x:c>
      <x:c r="G422" s="4" t="str">
        <x:v>验证消息可查看消息分类</x:v>
      </x:c>
      <x:c r="H422" s="4" t="str">
        <x:v>消息分类展示</x:v>
      </x:c>
      <x:c r="I422" s="4" t="str">
        <x:v>1. 用户账号已登录且具备当前页面权限</x:v>
      </x:c>
      <x:c r="J422" s="4" t="str">
        <x:v>1. 进入消息
2. 查看消息分类</x:v>
      </x:c>
      <x:c r="K422" s="4" t="str">
        <x:v>消息显示“消息分类”</x:v>
      </x:c>
      <x:c r="L422" s="4" t="str"/>
      <x:c r="M422" s="4" t="str">
        <x:v>未测</x:v>
      </x:c>
      <x:c r="N422" s="4" t="str"/>
      <x:c r="O422" s="4" t="str">
        <x:v>1. 来源（原型批注）：liveshow-proto/prototype/annotations/user.js；message-center.html
2. 页面：message-center.html
3. 规则：BR-F5B7E5637404A6
4. 场景：SC-981C1DB70B2CD5
5. 未动态验证</x:v>
      </x:c>
    </x:row>
    <x:row r="423" ht="54" customHeight="1">
      <x:c r="A423" s="4" t="n">
        <x:v>422</x:v>
      </x:c>
      <x:c r="B423" s="4" t="str">
        <x:v>USOC-0097</x:v>
      </x:c>
      <x:c r="C423" s="4" t="str">
        <x:v>消息与社交</x:v>
      </x:c>
      <x:c r="D423" s="4" t="str">
        <x:v>用户主页（用户视角）</x:v>
      </x:c>
      <x:c r="E423" s="4" t="str">
        <x:v>业务流程</x:v>
      </x:c>
      <x:c r="F423" s="4" t="str">
        <x:v>P2</x:v>
      </x:c>
      <x:c r="G423" s="4" t="str">
        <x:v>验证拉黑后的用户主页状态</x:v>
      </x:c>
      <x:c r="H423" s="4" t="str">
        <x:v>用户主页状态</x:v>
      </x:c>
      <x:c r="I423" s="4" t="str">
        <x:v>1. 用户账号已登录且具备当前页面权限
2. 拉黑</x:v>
      </x:c>
      <x:c r="J423" s="4" t="str">
        <x:v>1. 进入用户主页
2. 刷新用户主页</x:v>
      </x:c>
      <x:c r="K423" s="4" t="str">
        <x:v>解除双方关注、好友和加入对方粉丝团的关系</x:v>
      </x:c>
      <x:c r="L423" s="4" t="str"/>
      <x:c r="M423" s="4" t="str">
        <x:v>未测</x:v>
      </x:c>
      <x:c r="N423" s="4" t="str"/>
      <x:c r="O423" s="4" t="str">
        <x:v>1. 来源（原型批注）：liveshow-proto/prototype/annotations/user.js；user-home.html
2. 页面：user-home.html
3. 规则：BR-761DE0C7729B4C
4. 场景：SC-F81953D417A904
5. 未动态验证</x:v>
      </x:c>
    </x:row>
    <x:row r="424" ht="54" customHeight="1">
      <x:c r="A424" s="4" t="n">
        <x:v>423</x:v>
      </x:c>
      <x:c r="B424" s="4" t="str">
        <x:v>USOC-0098</x:v>
      </x:c>
      <x:c r="C424" s="4" t="str">
        <x:v>消息与社交</x:v>
      </x:c>
      <x:c r="D424" s="4" t="str">
        <x:v>用户主页（用户视角）</x:v>
      </x:c>
      <x:c r="E424" s="4" t="str">
        <x:v>业务流程</x:v>
      </x:c>
      <x:c r="F424" s="4" t="str">
        <x:v>P2</x:v>
      </x:c>
      <x:c r="G424" s="4" t="str">
        <x:v>验证取消拉黑后的用户主页状态</x:v>
      </x:c>
      <x:c r="H424" s="4" t="str">
        <x:v>用户主页状态</x:v>
      </x:c>
      <x:c r="I424" s="4" t="str">
        <x:v>1. 用户账号已登录且具备当前页面权限</x:v>
      </x:c>
      <x:c r="J424" s="4" t="str">
        <x:v>1. 进入用户主页
2. 取消拉黑</x:v>
      </x:c>
      <x:c r="K424" s="4" t="str">
        <x:v>不恢复</x:v>
      </x:c>
      <x:c r="L424" s="4" t="str"/>
      <x:c r="M424" s="4" t="str">
        <x:v>未测</x:v>
      </x:c>
      <x:c r="N424" s="4" t="str"/>
      <x:c r="O424" s="4" t="str">
        <x:v>1. 来源（原型批注）：liveshow-proto/prototype/annotations/user.js；user-home.html
2. 页面：user-home.html
3. 规则：BR-F71F5BCD82E784
4. 场景：SC-AF77A099B35400
5. 未动态验证</x:v>
      </x:c>
    </x:row>
    <x:row r="425" ht="54" customHeight="1">
      <x:c r="A425" s="4" t="n">
        <x:v>424</x:v>
      </x:c>
      <x:c r="B425" s="4" t="str">
        <x:v>USOC-0099</x:v>
      </x:c>
      <x:c r="C425" s="4" t="str">
        <x:v>消息与社交</x:v>
      </x:c>
      <x:c r="D425" s="4" t="str">
        <x:v>用户主页（用户视角）</x:v>
      </x:c>
      <x:c r="E425" s="4" t="str">
        <x:v>业务流程</x:v>
      </x:c>
      <x:c r="F425" s="4" t="str">
        <x:v>P2</x:v>
      </x:c>
      <x:c r="G425" s="4" t="str">
        <x:v>验证确认后的用户主页状态</x:v>
      </x:c>
      <x:c r="H425" s="4" t="str">
        <x:v>用户主页状态</x:v>
      </x:c>
      <x:c r="I425" s="4" t="str">
        <x:v>1. 用户账号已登录且具备当前页面权限</x:v>
      </x:c>
      <x:c r="J425" s="4" t="str">
        <x:v>1. 进入用户主页
2. 确认</x:v>
      </x:c>
      <x:c r="K425" s="4" t="str">
        <x:v>执行并切换为拉黑状态</x:v>
      </x:c>
      <x:c r="L425" s="4" t="str"/>
      <x:c r="M425" s="4" t="str">
        <x:v>未测</x:v>
      </x:c>
      <x:c r="N425" s="4" t="str"/>
      <x:c r="O425" s="4" t="str">
        <x:v>1. 来源（原型批注）：liveshow-proto/prototype/annotations/user.js；user-home.html
2. 页面：user-home.html
3. 规则：BR-112AB8053047AC
4. 场景：SC-31A092310C9370
5. 未动态验证</x:v>
      </x:c>
    </x:row>
    <x:row r="426" ht="54" customHeight="1">
      <x:c r="A426" s="4" t="n">
        <x:v>425</x:v>
      </x:c>
      <x:c r="B426" s="4" t="str">
        <x:v>USOC-0100</x:v>
      </x:c>
      <x:c r="C426" s="4" t="str">
        <x:v>消息与社交</x:v>
      </x:c>
      <x:c r="D426" s="4" t="str">
        <x:v>用户主页（用户视角）</x:v>
      </x:c>
      <x:c r="E426" s="4" t="str">
        <x:v>逻辑校验</x:v>
      </x:c>
      <x:c r="F426" s="4" t="str">
        <x:v>P2</x:v>
      </x:c>
      <x:c r="G426" s="4" t="str">
        <x:v>验证用户主页按指定范围筛选</x:v>
      </x:c>
      <x:c r="H426" s="4" t="str">
        <x:v>用户主页数据范围</x:v>
      </x:c>
      <x:c r="I426" s="4" t="str">
        <x:v>1. 用户账号已登录且具备当前页面权限
2. 存在符合和不符合“当前查看对象的资料、社交统计和已加入粉丝团”的记录</x:v>
      </x:c>
      <x:c r="J426" s="4" t="str">
        <x:v>1. 进入用户主页
2. 查看用户主页</x:v>
      </x:c>
      <x:c r="K426" s="4" t="str">
        <x:v>数据范围：当前查看对象的资料、社交统计和已加入粉丝团</x:v>
      </x:c>
      <x:c r="L426" s="4" t="str"/>
      <x:c r="M426" s="4" t="str">
        <x:v>未测</x:v>
      </x:c>
      <x:c r="N426" s="4" t="str"/>
      <x:c r="O426" s="4" t="str">
        <x:v>1. 来源（原型批注）：liveshow-proto/prototype/annotations/user.js；user-home.html
2. 页面：user-home.html
3. 规则：BR-CB9C58EA794CB0
4. 场景：SC-F1D60D83EDAA90
5. 未动态验证</x:v>
      </x:c>
    </x:row>
    <x:row r="427" ht="54" customHeight="1">
      <x:c r="A427" s="4" t="n">
        <x:v>426</x:v>
      </x:c>
      <x:c r="B427" s="4" t="str">
        <x:v>USOC-0101</x:v>
      </x:c>
      <x:c r="C427" s="4" t="str">
        <x:v>消息与社交</x:v>
      </x:c>
      <x:c r="D427" s="4" t="str">
        <x:v>用户主页（用户视角）</x:v>
      </x:c>
      <x:c r="E427" s="4" t="str">
        <x:v>功能需求</x:v>
      </x:c>
      <x:c r="F427" s="4" t="str">
        <x:v>P2</x:v>
      </x:c>
      <x:c r="G427" s="4" t="str">
        <x:v>验证用户主页可查看粉丝/关注</x:v>
      </x:c>
      <x:c r="H427" s="4" t="str">
        <x:v>粉丝/关注展示</x:v>
      </x:c>
      <x:c r="I427" s="4" t="str">
        <x:v>1. 用户账号已登录且具备当前页面权限</x:v>
      </x:c>
      <x:c r="J427" s="4" t="str">
        <x:v>1. 进入用户主页
2. 查看粉丝/关注</x:v>
      </x:c>
      <x:c r="K427" s="4" t="str">
        <x:v>用户主页显示“粉丝/关注”</x:v>
      </x:c>
      <x:c r="L427" s="4" t="str"/>
      <x:c r="M427" s="4" t="str">
        <x:v>未测</x:v>
      </x:c>
      <x:c r="N427" s="4" t="str"/>
      <x:c r="O427" s="4" t="str">
        <x:v>1. 来源（原型批注）：liveshow-proto/prototype/annotations/user.js；user-home.html
2. 页面：user-home.html
3. 规则：BR-F0E998662933F0、BR-688C651236680D
4. 场景：SC-1FB044F2EDE159
5. 未动态验证</x:v>
      </x:c>
    </x:row>
    <x:row r="428" ht="54" customHeight="1">
      <x:c r="A428" s="4" t="n">
        <x:v>427</x:v>
      </x:c>
      <x:c r="B428" s="4" t="str">
        <x:v>USOC-0102</x:v>
      </x:c>
      <x:c r="C428" s="4" t="str">
        <x:v>消息与社交</x:v>
      </x:c>
      <x:c r="D428" s="4" t="str">
        <x:v>用户主页（用户视角）</x:v>
      </x:c>
      <x:c r="E428" s="4" t="str">
        <x:v>功能需求</x:v>
      </x:c>
      <x:c r="F428" s="4" t="str">
        <x:v>P2</x:v>
      </x:c>
      <x:c r="G428" s="4" t="str">
        <x:v>验证用户主页可查看关系状态</x:v>
      </x:c>
      <x:c r="H428" s="4" t="str">
        <x:v>关系状态展示</x:v>
      </x:c>
      <x:c r="I428" s="4" t="str">
        <x:v>1. 用户账号已登录且具备当前页面权限</x:v>
      </x:c>
      <x:c r="J428" s="4" t="str">
        <x:v>1. 进入用户主页
2. 查看关系状态</x:v>
      </x:c>
      <x:c r="K428" s="4" t="str">
        <x:v>用户主页显示“关系状态”</x:v>
      </x:c>
      <x:c r="L428" s="4" t="str"/>
      <x:c r="M428" s="4" t="str">
        <x:v>未测</x:v>
      </x:c>
      <x:c r="N428" s="4" t="str"/>
      <x:c r="O428" s="4" t="str">
        <x:v>1. 来源（原型批注）：liveshow-proto/prototype/annotations/user.js；user-home.html
2. 页面：user-home.html
3. 规则：BR-017AA30D4DCA3F
4. 场景：SC-7698271D7D99E5
5. 未动态验证</x:v>
      </x:c>
    </x:row>
    <x:row r="429" ht="54" customHeight="1">
      <x:c r="A429" s="4" t="n">
        <x:v>428</x:v>
      </x:c>
      <x:c r="B429" s="4" t="str">
        <x:v>USOC-0103</x:v>
      </x:c>
      <x:c r="C429" s="4" t="str">
        <x:v>消息与社交</x:v>
      </x:c>
      <x:c r="D429" s="4" t="str">
        <x:v>用户主页（用户视角）</x:v>
      </x:c>
      <x:c r="E429" s="4" t="str">
        <x:v>功能需求</x:v>
      </x:c>
      <x:c r="F429" s="4" t="str">
        <x:v>P2</x:v>
      </x:c>
      <x:c r="G429" s="4" t="str">
        <x:v>验证用户主页可查看送出</x:v>
      </x:c>
      <x:c r="H429" s="4" t="str">
        <x:v>送出展示</x:v>
      </x:c>
      <x:c r="I429" s="4" t="str">
        <x:v>1. 用户账号已登录且具备当前页面权限</x:v>
      </x:c>
      <x:c r="J429" s="4" t="str">
        <x:v>1. 进入用户主页
2. 查看送出</x:v>
      </x:c>
      <x:c r="K429" s="4" t="str">
        <x:v>用户主页显示“送出”</x:v>
      </x:c>
      <x:c r="L429" s="4" t="str"/>
      <x:c r="M429" s="4" t="str">
        <x:v>未测</x:v>
      </x:c>
      <x:c r="N429" s="4" t="str"/>
      <x:c r="O429" s="4" t="str">
        <x:v>1. 来源（原型批注）：liveshow-proto/prototype/annotations/user.js；user-home.html
2. 页面：user-home.html
3. 规则：BR-327E4AAC544063
4. 场景：SC-222C2EA04CC738
5. 未动态验证</x:v>
      </x:c>
    </x:row>
    <x:row r="430" ht="54" customHeight="1">
      <x:c r="A430" s="4" t="n">
        <x:v>429</x:v>
      </x:c>
      <x:c r="B430" s="4" t="str">
        <x:v>USOC-0104</x:v>
      </x:c>
      <x:c r="C430" s="4" t="str">
        <x:v>消息与社交</x:v>
      </x:c>
      <x:c r="D430" s="4" t="str">
        <x:v>用户主页（用户视角）</x:v>
      </x:c>
      <x:c r="E430" s="4" t="str">
        <x:v>功能需求</x:v>
      </x:c>
      <x:c r="F430" s="4" t="str">
        <x:v>P2</x:v>
      </x:c>
      <x:c r="G430" s="4" t="str">
        <x:v>验证用户主页可查看用户资料</x:v>
      </x:c>
      <x:c r="H430" s="4" t="str">
        <x:v>用户资料展示</x:v>
      </x:c>
      <x:c r="I430" s="4" t="str">
        <x:v>1. 用户账号已登录且具备当前页面权限</x:v>
      </x:c>
      <x:c r="J430" s="4" t="str">
        <x:v>1. 进入用户主页
2. 查看用户资料</x:v>
      </x:c>
      <x:c r="K430" s="4" t="str">
        <x:v>用户主页显示“用户资料”</x:v>
      </x:c>
      <x:c r="L430" s="4" t="str"/>
      <x:c r="M430" s="4" t="str">
        <x:v>未测</x:v>
      </x:c>
      <x:c r="N430" s="4" t="str"/>
      <x:c r="O430" s="4" t="str">
        <x:v>1. 来源（原型批注）：liveshow-proto/prototype/annotations/user.js；user-home.html
2. 页面：user-home.html
3. 规则：BR-8ED3FFD482955B
4. 场景：SC-F722BAFF291734
5. 未动态验证</x:v>
      </x:c>
    </x:row>
    <x:row r="431" ht="54" customHeight="1">
      <x:c r="A431" s="4" t="n">
        <x:v>430</x:v>
      </x:c>
      <x:c r="B431" s="4" t="str">
        <x:v>USOC-0105</x:v>
      </x:c>
      <x:c r="C431" s="4" t="str">
        <x:v>消息与社交</x:v>
      </x:c>
      <x:c r="D431" s="4" t="str">
        <x:v>主播主页（用户视角）</x:v>
      </x:c>
      <x:c r="E431" s="4" t="str">
        <x:v>业务流程</x:v>
      </x:c>
      <x:c r="F431" s="4" t="str">
        <x:v>P2</x:v>
      </x:c>
      <x:c r="G431" s="4" t="str">
        <x:v>验证拉黑后的主播主页状态</x:v>
      </x:c>
      <x:c r="H431" s="4" t="str">
        <x:v>主播主页状态</x:v>
      </x:c>
      <x:c r="I431" s="4" t="str">
        <x:v>1. 用户账号已登录且具备当前页面权限
2. 拉黑</x:v>
      </x:c>
      <x:c r="J431" s="4" t="str">
        <x:v>1. 进入主播主页
2. 刷新主播主页</x:v>
      </x:c>
      <x:c r="K431" s="4" t="str">
        <x:v>解除双方关注、好友和加入对方粉丝团的关系</x:v>
      </x:c>
      <x:c r="L431" s="4" t="str"/>
      <x:c r="M431" s="4" t="str">
        <x:v>未测</x:v>
      </x:c>
      <x:c r="N431" s="4" t="str"/>
      <x:c r="O431" s="4" t="str">
        <x:v>1. 来源（原型批注）：liveshow-proto/prototype/annotations/user.js；host-home.html
2. 页面：host-home.html
3. 规则：BR-5E3737D1BC2390
4. 场景：SC-244B460CC2BA5D
5. 未动态验证</x:v>
      </x:c>
    </x:row>
    <x:row r="432" ht="54" customHeight="1">
      <x:c r="A432" s="4" t="n">
        <x:v>431</x:v>
      </x:c>
      <x:c r="B432" s="4" t="str">
        <x:v>USOC-0106</x:v>
      </x:c>
      <x:c r="C432" s="4" t="str">
        <x:v>消息与社交</x:v>
      </x:c>
      <x:c r="D432" s="4" t="str">
        <x:v>主播主页（用户视角）</x:v>
      </x:c>
      <x:c r="E432" s="4" t="str">
        <x:v>业务流程</x:v>
      </x:c>
      <x:c r="F432" s="4" t="str">
        <x:v>P2</x:v>
      </x:c>
      <x:c r="G432" s="4" t="str">
        <x:v>验证取消拉黑后的主播主页状态</x:v>
      </x:c>
      <x:c r="H432" s="4" t="str">
        <x:v>主播主页状态</x:v>
      </x:c>
      <x:c r="I432" s="4" t="str">
        <x:v>1. 用户账号已登录且具备当前页面权限</x:v>
      </x:c>
      <x:c r="J432" s="4" t="str">
        <x:v>1. 进入主播主页
2. 取消拉黑</x:v>
      </x:c>
      <x:c r="K432" s="4" t="str">
        <x:v>不恢复</x:v>
      </x:c>
      <x:c r="L432" s="4" t="str"/>
      <x:c r="M432" s="4" t="str">
        <x:v>未测</x:v>
      </x:c>
      <x:c r="N432" s="4" t="str"/>
      <x:c r="O432" s="4" t="str">
        <x:v>1. 来源（原型批注）：liveshow-proto/prototype/annotations/user.js；host-home.html
2. 页面：host-home.html
3. 规则：BR-7362A28CFF4C96
4. 场景：SC-870424D451DC3E
5. 未动态验证</x:v>
      </x:c>
    </x:row>
    <x:row r="433" ht="54" customHeight="1">
      <x:c r="A433" s="4" t="n">
        <x:v>432</x:v>
      </x:c>
      <x:c r="B433" s="4" t="str">
        <x:v>USOC-0107</x:v>
      </x:c>
      <x:c r="C433" s="4" t="str">
        <x:v>消息与社交</x:v>
      </x:c>
      <x:c r="D433" s="4" t="str">
        <x:v>主播主页（用户视角）</x:v>
      </x:c>
      <x:c r="E433" s="4" t="str">
        <x:v>业务流程</x:v>
      </x:c>
      <x:c r="F433" s="4" t="str">
        <x:v>P2</x:v>
      </x:c>
      <x:c r="G433" s="4" t="str">
        <x:v>验证确认后的主播主页状态</x:v>
      </x:c>
      <x:c r="H433" s="4" t="str">
        <x:v>主播主页状态</x:v>
      </x:c>
      <x:c r="I433" s="4" t="str">
        <x:v>1. 用户账号已登录且具备当前页面权限</x:v>
      </x:c>
      <x:c r="J433" s="4" t="str">
        <x:v>1. 进入主播主页
2. 确认</x:v>
      </x:c>
      <x:c r="K433" s="4" t="str">
        <x:v>执行并切换为拉黑状态</x:v>
      </x:c>
      <x:c r="L433" s="4" t="str"/>
      <x:c r="M433" s="4" t="str">
        <x:v>未测</x:v>
      </x:c>
      <x:c r="N433" s="4" t="str"/>
      <x:c r="O433" s="4" t="str">
        <x:v>1. 来源（原型批注）：liveshow-proto/prototype/annotations/user.js；host-home.html
2. 页面：host-home.html
3. 规则：BR-0A248F9C0A9966
4. 场景：SC-5CB438D58D5F81
5. 未动态验证</x:v>
      </x:c>
    </x:row>
    <x:row r="434" ht="54" customHeight="1">
      <x:c r="A434" s="4" t="n">
        <x:v>433</x:v>
      </x:c>
      <x:c r="B434" s="4" t="str">
        <x:v>USOC-0108</x:v>
      </x:c>
      <x:c r="C434" s="4" t="str">
        <x:v>消息与社交</x:v>
      </x:c>
      <x:c r="D434" s="4" t="str">
        <x:v>主播主页（用户视角）</x:v>
      </x:c>
      <x:c r="E434" s="4" t="str">
        <x:v>业务流程</x:v>
      </x:c>
      <x:c r="F434" s="4" t="str">
        <x:v>P2</x:v>
      </x:c>
      <x:c r="G434" s="4" t="str">
        <x:v>验证未加入后的主播主页状态</x:v>
      </x:c>
      <x:c r="H434" s="4" t="str">
        <x:v>主播主页状态</x:v>
      </x:c>
      <x:c r="I434" s="4" t="str">
        <x:v>1. 用户账号已登录且具备当前页面权限
2. 未加入</x:v>
      </x:c>
      <x:c r="J434" s="4" t="str">
        <x:v>1. 进入主播主页
2. 刷新主播主页</x:v>
      </x:c>
      <x:c r="K434" s="4" t="str">
        <x:v>打开加入粉丝团视图</x:v>
      </x:c>
      <x:c r="L434" s="4" t="str"/>
      <x:c r="M434" s="4" t="str">
        <x:v>未测</x:v>
      </x:c>
      <x:c r="N434" s="4" t="str"/>
      <x:c r="O434" s="4" t="str">
        <x:v>1. 来源（原型批注）：liveshow-proto/prototype/annotations/user.js；host-home.html
2. 页面：host-home.html
3. 规则：BR-A305AC325A3CEB
4. 场景：SC-47306092EE6E38
5. 未动态验证</x:v>
      </x:c>
    </x:row>
    <x:row r="435" ht="54" customHeight="1">
      <x:c r="A435" s="4" t="n">
        <x:v>434</x:v>
      </x:c>
      <x:c r="B435" s="4" t="str">
        <x:v>USOC-0109</x:v>
      </x:c>
      <x:c r="C435" s="4" t="str">
        <x:v>消息与社交</x:v>
      </x:c>
      <x:c r="D435" s="4" t="str">
        <x:v>主播主页（用户视角）</x:v>
      </x:c>
      <x:c r="E435" s="4" t="str">
        <x:v>业务流程</x:v>
      </x:c>
      <x:c r="F435" s="4" t="str">
        <x:v>P2</x:v>
      </x:c>
      <x:c r="G435" s="4" t="str">
        <x:v>验证已加入粉丝团后的主播主页状态</x:v>
      </x:c>
      <x:c r="H435" s="4" t="str">
        <x:v>主播主页状态</x:v>
      </x:c>
      <x:c r="I435" s="4" t="str">
        <x:v>1. 用户账号已登录且具备当前页面权限
2. 已加入粉丝团</x:v>
      </x:c>
      <x:c r="J435" s="4" t="str">
        <x:v>1. 进入主播主页
2. 刷新主播主页</x:v>
      </x:c>
      <x:c r="K435" s="4" t="str">
        <x:v>进入贡献榜</x:v>
      </x:c>
      <x:c r="L435" s="4" t="str"/>
      <x:c r="M435" s="4" t="str">
        <x:v>未测</x:v>
      </x:c>
      <x:c r="N435" s="4" t="str"/>
      <x:c r="O435" s="4" t="str">
        <x:v>1. 来源（原型批注）：liveshow-proto/prototype/annotations/user.js；host-home.html
2. 页面：host-home.html
3. 规则：BR-BC9EB33E60B6E2
4. 场景：SC-2D0A6729DE4481
5. 未动态验证</x:v>
      </x:c>
    </x:row>
    <x:row r="436" ht="54" customHeight="1">
      <x:c r="A436" s="4" t="n">
        <x:v>435</x:v>
      </x:c>
      <x:c r="B436" s="4" t="str">
        <x:v>USOC-0110</x:v>
      </x:c>
      <x:c r="C436" s="4" t="str">
        <x:v>消息与社交</x:v>
      </x:c>
      <x:c r="D436" s="4" t="str">
        <x:v>主播主页（用户视角）</x:v>
      </x:c>
      <x:c r="E436" s="4" t="str">
        <x:v>逻辑校验</x:v>
      </x:c>
      <x:c r="F436" s="4" t="str">
        <x:v>P2</x:v>
      </x:c>
      <x:c r="G436" s="4" t="str">
        <x:v>验证主播主页按指定范围筛选</x:v>
      </x:c>
      <x:c r="H436" s="4" t="str">
        <x:v>主播主页数据范围</x:v>
      </x:c>
      <x:c r="I436" s="4" t="str">
        <x:v>1. 用户账号已登录且具备当前页面权限
2. 存在符合和不符合“当前查看主播的资料、历史统计和当前直播状态”的记录</x:v>
      </x:c>
      <x:c r="J436" s="4" t="str">
        <x:v>1. 进入主播主页
2. 查看主播主页</x:v>
      </x:c>
      <x:c r="K436" s="4" t="str">
        <x:v>数据范围：当前查看主播的资料、历史统计和当前直播状态</x:v>
      </x:c>
      <x:c r="L436" s="4" t="str"/>
      <x:c r="M436" s="4" t="str">
        <x:v>未测</x:v>
      </x:c>
      <x:c r="N436" s="4" t="str"/>
      <x:c r="O436" s="4" t="str">
        <x:v>1. 来源（原型批注）：liveshow-proto/prototype/annotations/user.js；host-home.html
2. 页面：host-home.html
3. 规则：BR-E413815F8AF292
4. 场景：SC-559C285E725E46
5. 未动态验证</x:v>
      </x:c>
    </x:row>
    <x:row r="437" ht="54" customHeight="1">
      <x:c r="A437" s="4" t="n">
        <x:v>436</x:v>
      </x:c>
      <x:c r="B437" s="4" t="str">
        <x:v>USOC-0111</x:v>
      </x:c>
      <x:c r="C437" s="4" t="str">
        <x:v>消息与社交</x:v>
      </x:c>
      <x:c r="D437" s="4" t="str">
        <x:v>主播主页（用户视角）</x:v>
      </x:c>
      <x:c r="E437" s="4" t="str">
        <x:v>功能需求</x:v>
      </x:c>
      <x:c r="F437" s="4" t="str">
        <x:v>P2</x:v>
      </x:c>
      <x:c r="G437" s="4" t="str">
        <x:v>验证主播主页可查看粉丝/关注/观众</x:v>
      </x:c>
      <x:c r="H437" s="4" t="str">
        <x:v>粉丝/关注/观众展示</x:v>
      </x:c>
      <x:c r="I437" s="4" t="str">
        <x:v>1. 用户账号已登录且具备当前页面权限</x:v>
      </x:c>
      <x:c r="J437" s="4" t="str">
        <x:v>1. 进入主播主页
2. 查看粉丝/关注/观众</x:v>
      </x:c>
      <x:c r="K437" s="4" t="str">
        <x:v>主播主页显示“粉丝/关注/观众”</x:v>
      </x:c>
      <x:c r="L437" s="4" t="str"/>
      <x:c r="M437" s="4" t="str">
        <x:v>未测</x:v>
      </x:c>
      <x:c r="N437" s="4" t="str"/>
      <x:c r="O437" s="4" t="str">
        <x:v>1. 来源（原型批注）：liveshow-proto/prototype/annotations/user.js；host-home.html
2. 页面：host-home.html
3. 规则：BR-32AB5147DC7F35、BR-D93574A3433554、BR-E99147600A0BBA
4. 场景：SC-0B4F9C35C5EE77
5. 未动态验证</x:v>
      </x:c>
    </x:row>
    <x:row r="438" ht="54" customHeight="1">
      <x:c r="A438" s="4" t="n">
        <x:v>437</x:v>
      </x:c>
      <x:c r="B438" s="4" t="str">
        <x:v>USOC-0112</x:v>
      </x:c>
      <x:c r="C438" s="4" t="str">
        <x:v>消息与社交</x:v>
      </x:c>
      <x:c r="D438" s="4" t="str">
        <x:v>主播主页（用户视角）</x:v>
      </x:c>
      <x:c r="E438" s="4" t="str">
        <x:v>功能需求</x:v>
      </x:c>
      <x:c r="F438" s="4" t="str">
        <x:v>P2</x:v>
      </x:c>
      <x:c r="G438" s="4" t="str">
        <x:v>验证主播主页可查看粉丝团</x:v>
      </x:c>
      <x:c r="H438" s="4" t="str">
        <x:v>粉丝团展示</x:v>
      </x:c>
      <x:c r="I438" s="4" t="str">
        <x:v>1. 用户账号已登录且具备当前页面权限</x:v>
      </x:c>
      <x:c r="J438" s="4" t="str">
        <x:v>1. 进入主播主页
2. 查看粉丝团</x:v>
      </x:c>
      <x:c r="K438" s="4" t="str">
        <x:v>主播主页显示“粉丝团”</x:v>
      </x:c>
      <x:c r="L438" s="4" t="str"/>
      <x:c r="M438" s="4" t="str">
        <x:v>未测</x:v>
      </x:c>
      <x:c r="N438" s="4" t="str"/>
      <x:c r="O438" s="4" t="str">
        <x:v>1. 来源（原型批注）：liveshow-proto/prototype/annotations/user.js；host-home.html
2. 页面：host-home.html
3. 规则：BR-6A13F87424D216
4. 场景：SC-7DC029AF334566
5. 未动态验证</x:v>
      </x:c>
    </x:row>
    <x:row r="439" ht="54" customHeight="1">
      <x:c r="A439" s="4" t="n">
        <x:v>438</x:v>
      </x:c>
      <x:c r="B439" s="4" t="str">
        <x:v>USOC-0113</x:v>
      </x:c>
      <x:c r="C439" s="4" t="str">
        <x:v>消息与社交</x:v>
      </x:c>
      <x:c r="D439" s="4" t="str">
        <x:v>主播主页（用户视角）</x:v>
      </x:c>
      <x:c r="E439" s="4" t="str">
        <x:v>功能需求</x:v>
      </x:c>
      <x:c r="F439" s="4" t="str">
        <x:v>P2</x:v>
      </x:c>
      <x:c r="G439" s="4" t="str">
        <x:v>验证主播主页可查看关系状态</x:v>
      </x:c>
      <x:c r="H439" s="4" t="str">
        <x:v>关系状态展示</x:v>
      </x:c>
      <x:c r="I439" s="4" t="str">
        <x:v>1. 用户账号已登录且具备当前页面权限</x:v>
      </x:c>
      <x:c r="J439" s="4" t="str">
        <x:v>1. 进入主播主页
2. 查看关系状态</x:v>
      </x:c>
      <x:c r="K439" s="4" t="str">
        <x:v>主播主页显示“关系状态”</x:v>
      </x:c>
      <x:c r="L439" s="4" t="str"/>
      <x:c r="M439" s="4" t="str">
        <x:v>未测</x:v>
      </x:c>
      <x:c r="N439" s="4" t="str"/>
      <x:c r="O439" s="4" t="str">
        <x:v>1. 来源（原型批注）：liveshow-proto/prototype/annotations/user.js；host-home.html
2. 页面：host-home.html
3. 规则：BR-A82AE70731C7E1
4. 场景：SC-B4E9F3D5C8A229
5. 未动态验证</x:v>
      </x:c>
    </x:row>
    <x:row r="440" ht="54" customHeight="1">
      <x:c r="A440" s="4" t="n">
        <x:v>439</x:v>
      </x:c>
      <x:c r="B440" s="4" t="str">
        <x:v>USOC-0114</x:v>
      </x:c>
      <x:c r="C440" s="4" t="str">
        <x:v>消息与社交</x:v>
      </x:c>
      <x:c r="D440" s="4" t="str">
        <x:v>主播主页（用户视角）</x:v>
      </x:c>
      <x:c r="E440" s="4" t="str">
        <x:v>功能需求</x:v>
      </x:c>
      <x:c r="F440" s="4" t="str">
        <x:v>P2</x:v>
      </x:c>
      <x:c r="G440" s="4" t="str">
        <x:v>验证主播主页可查看礼物展馆</x:v>
      </x:c>
      <x:c r="H440" s="4" t="str">
        <x:v>礼物展馆展示</x:v>
      </x:c>
      <x:c r="I440" s="4" t="str">
        <x:v>1. 用户账号已登录且具备当前页面权限</x:v>
      </x:c>
      <x:c r="J440" s="4" t="str">
        <x:v>1. 进入主播主页
2. 查看礼物展馆</x:v>
      </x:c>
      <x:c r="K440" s="4" t="str">
        <x:v>主播主页显示“礼物展馆”</x:v>
      </x:c>
      <x:c r="L440" s="4" t="str"/>
      <x:c r="M440" s="4" t="str">
        <x:v>未测</x:v>
      </x:c>
      <x:c r="N440" s="4" t="str"/>
      <x:c r="O440" s="4" t="str">
        <x:v>1. 来源（原型批注）：liveshow-proto/prototype/annotations/user.js；host-home.html
2. 页面：host-home.html
3. 规则：BR-B42D68B84C8FE0
4. 场景：SC-E3F326BB706E41
5. 未动态验证</x:v>
      </x:c>
    </x:row>
    <x:row r="441" ht="54" customHeight="1">
      <x:c r="A441" s="4" t="n">
        <x:v>440</x:v>
      </x:c>
      <x:c r="B441" s="4" t="str">
        <x:v>USOC-0115</x:v>
      </x:c>
      <x:c r="C441" s="4" t="str">
        <x:v>消息与社交</x:v>
      </x:c>
      <x:c r="D441" s="4" t="str">
        <x:v>主播主页（用户视角）</x:v>
      </x:c>
      <x:c r="E441" s="4" t="str">
        <x:v>功能需求</x:v>
      </x:c>
      <x:c r="F441" s="4" t="str">
        <x:v>P2</x:v>
      </x:c>
      <x:c r="G441" s="4" t="str">
        <x:v>验证主播主页可查看主播资料</x:v>
      </x:c>
      <x:c r="H441" s="4" t="str">
        <x:v>主播资料展示</x:v>
      </x:c>
      <x:c r="I441" s="4" t="str">
        <x:v>1. 用户账号已登录且具备当前页面权限</x:v>
      </x:c>
      <x:c r="J441" s="4" t="str">
        <x:v>1. 进入主播主页
2. 查看主播资料</x:v>
      </x:c>
      <x:c r="K441" s="4" t="str">
        <x:v>主播主页显示“主播资料”</x:v>
      </x:c>
      <x:c r="L441" s="4" t="str"/>
      <x:c r="M441" s="4" t="str">
        <x:v>未测</x:v>
      </x:c>
      <x:c r="N441" s="4" t="str"/>
      <x:c r="O441" s="4" t="str">
        <x:v>1. 来源（原型批注）：liveshow-proto/prototype/annotations/user.js；host-home.html
2. 页面：host-home.html
3. 规则：BR-FFFB7EE093002C
4. 场景：SC-BDACCB2CE9AA21
5. 未动态验证</x:v>
      </x:c>
    </x:row>
    <x:row r="442" ht="54" customHeight="1">
      <x:c r="A442" s="4" t="n">
        <x:v>441</x:v>
      </x:c>
      <x:c r="B442" s="4" t="str">
        <x:v>UAUTH-0001</x:v>
      </x:c>
      <x:c r="C442" s="4" t="str">
        <x:v>账号与登录</x:v>
      </x:c>
      <x:c r="D442" s="4" t="str">
        <x:v>登录与注册（用户视角）</x:v>
      </x:c>
      <x:c r="E442" s="4" t="str">
        <x:v>功能需求</x:v>
      </x:c>
      <x:c r="F442" s="4" t="str">
        <x:v>P1</x:v>
      </x:c>
      <x:c r="G442" s="4" t="str">
        <x:v>验证登录与注册可查看手机号</x:v>
      </x:c>
      <x:c r="H442" s="4" t="str">
        <x:v>手机号展示</x:v>
      </x:c>
      <x:c r="I442" s="4" t="str">
        <x:v>1. 用户账号已登录且具备当前页面权限</x:v>
      </x:c>
      <x:c r="J442" s="4" t="str">
        <x:v>1. 进入登录与注册
2. 查看手机号</x:v>
      </x:c>
      <x:c r="K442" s="4" t="str">
        <x:v>登录与注册显示“手机号”</x:v>
      </x:c>
      <x:c r="L442" s="4" t="str"/>
      <x:c r="M442" s="4" t="str">
        <x:v>未测</x:v>
      </x:c>
      <x:c r="N442" s="4" t="str"/>
      <x:c r="O442" s="4" t="str">
        <x:v>1. 来源（原型批注）：liveshow-proto/prototype/annotations/user.js；auth-login-register.html
2. 页面：auth-login-register.html
3. 规则：BR-E978A76826BEDE
4. 场景：SC-D7CF5F5DCF7A10
5. 未动态验证</x:v>
      </x:c>
    </x:row>
    <x:row r="443" ht="54" customHeight="1">
      <x:c r="A443" s="4" t="n">
        <x:v>442</x:v>
      </x:c>
      <x:c r="B443" s="4" t="str">
        <x:v>UAUTH-0002</x:v>
      </x:c>
      <x:c r="C443" s="4" t="str">
        <x:v>账号与登录</x:v>
      </x:c>
      <x:c r="D443" s="4" t="str">
        <x:v>登录与注册（用户视角）</x:v>
      </x:c>
      <x:c r="E443" s="4" t="str">
        <x:v>功能需求</x:v>
      </x:c>
      <x:c r="F443" s="4" t="str">
        <x:v>P1</x:v>
      </x:c>
      <x:c r="G443" s="4" t="str">
        <x:v>验证登录与注册可查看协议确认</x:v>
      </x:c>
      <x:c r="H443" s="4" t="str">
        <x:v>协议确认展示</x:v>
      </x:c>
      <x:c r="I443" s="4" t="str">
        <x:v>1. 用户账号已登录且具备当前页面权限</x:v>
      </x:c>
      <x:c r="J443" s="4" t="str">
        <x:v>1. 进入登录与注册
2. 查看协议确认</x:v>
      </x:c>
      <x:c r="K443" s="4" t="str">
        <x:v>登录与注册显示“协议确认”</x:v>
      </x:c>
      <x:c r="L443" s="4" t="str"/>
      <x:c r="M443" s="4" t="str">
        <x:v>未测</x:v>
      </x:c>
      <x:c r="N443" s="4" t="str"/>
      <x:c r="O443" s="4" t="str">
        <x:v>1. 来源（原型批注）：liveshow-proto/prototype/annotations/user.js；auth-login-register.html
2. 页面：auth-login-register.html
3. 规则：BR-2CCA7C0E4249B6
4. 场景：SC-F31E9B0FB82450
5. 未动态验证</x:v>
      </x:c>
    </x:row>
    <x:row r="444" ht="54" customHeight="1">
      <x:c r="A444" s="4" t="n">
        <x:v>443</x:v>
      </x:c>
      <x:c r="B444" s="4" t="str">
        <x:v>UAUTH-0003</x:v>
      </x:c>
      <x:c r="C444" s="4" t="str">
        <x:v>账号与登录</x:v>
      </x:c>
      <x:c r="D444" s="4" t="str">
        <x:v>登录与注册（用户视角）</x:v>
      </x:c>
      <x:c r="E444" s="4" t="str">
        <x:v>功能需求</x:v>
      </x:c>
      <x:c r="F444" s="4" t="str">
        <x:v>P1</x:v>
      </x:c>
      <x:c r="G444" s="4" t="str">
        <x:v>验证登录与注册可查看邮箱</x:v>
      </x:c>
      <x:c r="H444" s="4" t="str">
        <x:v>邮箱展示</x:v>
      </x:c>
      <x:c r="I444" s="4" t="str">
        <x:v>1. 用户账号已登录且具备当前页面权限</x:v>
      </x:c>
      <x:c r="J444" s="4" t="str">
        <x:v>1. 进入登录与注册
2. 查看邮箱</x:v>
      </x:c>
      <x:c r="K444" s="4" t="str">
        <x:v>登录与注册显示“邮箱”</x:v>
      </x:c>
      <x:c r="L444" s="4" t="str"/>
      <x:c r="M444" s="4" t="str">
        <x:v>未测</x:v>
      </x:c>
      <x:c r="N444" s="4" t="str"/>
      <x:c r="O444" s="4" t="str">
        <x:v>1. 来源（原型批注）：liveshow-proto/prototype/annotations/user.js；auth-login-register.html
2. 页面：auth-login-register.html
3. 规则：BR-BF7AAFA5F34BEB
4. 场景：SC-EF70040DF25BD1
5. 未动态验证</x:v>
      </x:c>
    </x:row>
    <x:row r="445" ht="54" customHeight="1">
      <x:c r="A445" s="4" t="n">
        <x:v>444</x:v>
      </x:c>
      <x:c r="B445" s="4" t="str">
        <x:v>UAUTH-0004</x:v>
      </x:c>
      <x:c r="C445" s="4" t="str">
        <x:v>账号与登录</x:v>
      </x:c>
      <x:c r="D445" s="4" t="str">
        <x:v>登录与注册（用户视角）</x:v>
      </x:c>
      <x:c r="E445" s="4" t="str">
        <x:v>功能需求</x:v>
      </x:c>
      <x:c r="F445" s="4" t="str">
        <x:v>P1</x:v>
      </x:c>
      <x:c r="G445" s="4" t="str">
        <x:v>验证登录与注册可查看游客进入</x:v>
      </x:c>
      <x:c r="H445" s="4" t="str">
        <x:v>游客进入展示</x:v>
      </x:c>
      <x:c r="I445" s="4" t="str">
        <x:v>1. 用户账号已登录且具备当前页面权限</x:v>
      </x:c>
      <x:c r="J445" s="4" t="str">
        <x:v>1. 进入登录与注册
2. 查看游客进入</x:v>
      </x:c>
      <x:c r="K445" s="4" t="str">
        <x:v>登录与注册显示“游客进入”</x:v>
      </x:c>
      <x:c r="L445" s="4" t="str"/>
      <x:c r="M445" s="4" t="str">
        <x:v>未测</x:v>
      </x:c>
      <x:c r="N445" s="4" t="str"/>
      <x:c r="O445" s="4" t="str">
        <x:v>1. 来源（原型批注）：liveshow-proto/prototype/annotations/user.js；auth-login-register.html
2. 页面：auth-login-register.html
3. 规则：BR-5E97D95E4770E5
4. 场景：SC-C3DEAA00B6DE34
5. 未动态验证</x:v>
      </x:c>
    </x:row>
    <x:row r="446" ht="54" customHeight="1">
      <x:c r="A446" s="4" t="n">
        <x:v>445</x:v>
      </x:c>
      <x:c r="B446" s="4" t="str">
        <x:v>UAUTH-0005</x:v>
      </x:c>
      <x:c r="C446" s="4" t="str">
        <x:v>账号与登录</x:v>
      </x:c>
      <x:c r="D446" s="4" t="str">
        <x:v>登录与注册（用户视角）</x:v>
      </x:c>
      <x:c r="E446" s="4" t="str">
        <x:v>功能需求</x:v>
      </x:c>
      <x:c r="F446" s="4" t="str">
        <x:v>P1</x:v>
      </x:c>
      <x:c r="G446" s="4" t="str">
        <x:v>验证登录与注册可查看Apple ID</x:v>
      </x:c>
      <x:c r="H446" s="4" t="str">
        <x:v>Apple ID展示</x:v>
      </x:c>
      <x:c r="I446" s="4" t="str">
        <x:v>1. 用户账号已登录且具备当前页面权限</x:v>
      </x:c>
      <x:c r="J446" s="4" t="str">
        <x:v>1. 进入登录与注册
2. 查看Apple ID</x:v>
      </x:c>
      <x:c r="K446" s="4" t="str">
        <x:v>登录与注册显示“Apple ID”</x:v>
      </x:c>
      <x:c r="L446" s="4" t="str"/>
      <x:c r="M446" s="4" t="str">
        <x:v>未测</x:v>
      </x:c>
      <x:c r="N446" s="4" t="str"/>
      <x:c r="O446" s="4" t="str">
        <x:v>1. 来源（原型批注）：liveshow-proto/prototype/annotations/user.js；auth-login-register.html
2. 页面：auth-login-register.html
3. 规则：BR-93B68839DD9532、BR-1F1EB94AB06E18
4. 场景：SC-35EDA4834F444A
5. 未动态验证</x:v>
      </x:c>
    </x:row>
    <x:row r="447" ht="54" customHeight="1">
      <x:c r="A447" s="4" t="n">
        <x:v>446</x:v>
      </x:c>
      <x:c r="B447" s="4" t="str">
        <x:v>UAUTH-0006</x:v>
      </x:c>
      <x:c r="C447" s="4" t="str">
        <x:v>账号与登录</x:v>
      </x:c>
      <x:c r="D447" s="4" t="str">
        <x:v>登录与注册（用户视角）</x:v>
      </x:c>
      <x:c r="E447" s="4" t="str">
        <x:v>功能需求</x:v>
      </x:c>
      <x:c r="F447" s="4" t="str">
        <x:v>P1</x:v>
      </x:c>
      <x:c r="G447" s="4" t="str">
        <x:v>验证登录与注册可查看Facebook</x:v>
      </x:c>
      <x:c r="H447" s="4" t="str">
        <x:v>Facebook展示</x:v>
      </x:c>
      <x:c r="I447" s="4" t="str">
        <x:v>1. 用户账号已登录且具备当前页面权限</x:v>
      </x:c>
      <x:c r="J447" s="4" t="str">
        <x:v>1. 进入登录与注册
2. 查看Facebook</x:v>
      </x:c>
      <x:c r="K447" s="4" t="str">
        <x:v>登录与注册显示“Facebook”</x:v>
      </x:c>
      <x:c r="L447" s="4" t="str"/>
      <x:c r="M447" s="4" t="str">
        <x:v>未测</x:v>
      </x:c>
      <x:c r="N447" s="4" t="str"/>
      <x:c r="O447" s="4" t="str">
        <x:v>1. 来源（原型批注）：liveshow-proto/prototype/annotations/user.js；auth-login-register.html
2. 页面：auth-login-register.html
3. 规则：BR-E68D9FB491061F、BR-A504C4F9D5A5DD
4. 场景：SC-4AE3C99ECC8D40
5. 未动态验证</x:v>
      </x:c>
    </x:row>
    <x:row r="448" ht="54" customHeight="1">
      <x:c r="A448" s="4" t="n">
        <x:v>447</x:v>
      </x:c>
      <x:c r="B448" s="4" t="str">
        <x:v>UAUTH-0007</x:v>
      </x:c>
      <x:c r="C448" s="4" t="str">
        <x:v>账号与登录</x:v>
      </x:c>
      <x:c r="D448" s="4" t="str">
        <x:v>登录与注册（用户视角）</x:v>
      </x:c>
      <x:c r="E448" s="4" t="str">
        <x:v>功能需求</x:v>
      </x:c>
      <x:c r="F448" s="4" t="str">
        <x:v>P1</x:v>
      </x:c>
      <x:c r="G448" s="4" t="str">
        <x:v>验证登录与注册可查看Google</x:v>
      </x:c>
      <x:c r="H448" s="4" t="str">
        <x:v>Google展示</x:v>
      </x:c>
      <x:c r="I448" s="4" t="str">
        <x:v>1. 用户账号已登录且具备当前页面权限</x:v>
      </x:c>
      <x:c r="J448" s="4" t="str">
        <x:v>1. 进入登录与注册
2. 查看Google</x:v>
      </x:c>
      <x:c r="K448" s="4" t="str">
        <x:v>登录与注册显示“Google”</x:v>
      </x:c>
      <x:c r="L448" s="4" t="str"/>
      <x:c r="M448" s="4" t="str">
        <x:v>未测</x:v>
      </x:c>
      <x:c r="N448" s="4" t="str"/>
      <x:c r="O448" s="4" t="str">
        <x:v>1. 来源（原型批注）：liveshow-proto/prototype/annotations/user.js；auth-login-register.html
2. 页面：auth-login-register.html
3. 规则：BR-F096465F067826、BR-798C29E7C80876
4. 场景：SC-0F97445DCF4BA6
5. 未动态验证</x:v>
      </x:c>
    </x:row>
    <x:row r="449" ht="54" customHeight="1">
      <x:c r="A449" s="4" t="n">
        <x:v>448</x:v>
      </x:c>
      <x:c r="B449" s="4" t="str">
        <x:v>UAUTH-0008</x:v>
      </x:c>
      <x:c r="C449" s="4" t="str">
        <x:v>账号与登录</x:v>
      </x:c>
      <x:c r="D449" s="4" t="str">
        <x:v>登录与注册（用户视角）</x:v>
      </x:c>
      <x:c r="E449" s="4" t="str">
        <x:v>功能需求</x:v>
      </x:c>
      <x:c r="F449" s="4" t="str">
        <x:v>P1</x:v>
      </x:c>
      <x:c r="G449" s="4" t="str">
        <x:v>验证登录与注册可查看TikTok</x:v>
      </x:c>
      <x:c r="H449" s="4" t="str">
        <x:v>TikTok展示</x:v>
      </x:c>
      <x:c r="I449" s="4" t="str">
        <x:v>1. 用户账号已登录且具备当前页面权限</x:v>
      </x:c>
      <x:c r="J449" s="4" t="str">
        <x:v>1. 进入登录与注册
2. 查看TikTok</x:v>
      </x:c>
      <x:c r="K449" s="4" t="str">
        <x:v>登录与注册显示“TikTok”</x:v>
      </x:c>
      <x:c r="L449" s="4" t="str"/>
      <x:c r="M449" s="4" t="str">
        <x:v>未测</x:v>
      </x:c>
      <x:c r="N449" s="4" t="str"/>
      <x:c r="O449" s="4" t="str">
        <x:v>1. 来源（原型批注）：liveshow-proto/prototype/annotations/user.js；auth-login-register.html
2. 页面：auth-login-register.html
3. 规则：BR-D9435D04BBA781、BR-87D70AF54D216B
4. 场景：SC-30ADC1B30BB250
5. 未动态验证</x:v>
      </x:c>
    </x:row>
    <x:row r="450" ht="54" customHeight="1">
      <x:c r="A450" s="4" t="n">
        <x:v>449</x:v>
      </x:c>
      <x:c r="B450" s="4" t="str">
        <x:v>UAUTH-0009</x:v>
      </x:c>
      <x:c r="C450" s="4" t="str">
        <x:v>账号与登录</x:v>
      </x:c>
      <x:c r="D450" s="4" t="str">
        <x:v>登录与注册（用户视角）</x:v>
      </x:c>
      <x:c r="E450" s="4" t="str">
        <x:v>功能需求</x:v>
      </x:c>
      <x:c r="F450" s="4" t="str">
        <x:v>P1</x:v>
      </x:c>
      <x:c r="G450" s="4" t="str">
        <x:v>验证第三方一键登录入口，仅在 iOS时的登录与注册结果</x:v>
      </x:c>
      <x:c r="H450" s="4" t="str">
        <x:v>登录与注册条件结果</x:v>
      </x:c>
      <x:c r="I450" s="4" t="str">
        <x:v>1. 用户账号已登录且具备当前页面权限
2. 第三方一键登录入口，仅在 iOS</x:v>
      </x:c>
      <x:c r="J450" s="4" t="str">
        <x:v>1. 进入登录与注册
2. 查看登录与注册</x:v>
      </x:c>
      <x:c r="K450" s="4" t="str">
        <x:v>第三方一键登录入口，仅在 iOS 展示</x:v>
      </x:c>
      <x:c r="L450" s="4" t="str"/>
      <x:c r="M450" s="4" t="str">
        <x:v>未测</x:v>
      </x:c>
      <x:c r="N450" s="4" t="str"/>
      <x:c r="O450" s="4" t="str">
        <x:v>1. 来源（原型批注）：liveshow-proto/prototype/annotations/user.js；auth-login-register.html
2. 页面：auth-login-register.html
3. 规则：BR-93B68839DD9532
4. 场景：SC-9E255D1DEFBDC6
5. 未动态验证</x:v>
      </x:c>
    </x:row>
    <x:row r="451" ht="54" customHeight="1">
      <x:c r="A451" s="4" t="n">
        <x:v>450</x:v>
      </x:c>
      <x:c r="B451" s="4" t="str">
        <x:v>UAUTH-0010</x:v>
      </x:c>
      <x:c r="C451" s="4" t="str">
        <x:v>账号与登录</x:v>
      </x:c>
      <x:c r="D451" s="4" t="str">
        <x:v>登录与注册（用户视角）</x:v>
      </x:c>
      <x:c r="E451" s="4" t="str">
        <x:v>业务流程</x:v>
      </x:c>
      <x:c r="F451" s="4" t="str">
        <x:v>P1</x:v>
      </x:c>
      <x:c r="G451" s="4" t="str">
        <x:v>验证点击手机号登录后的登录与注册状态</x:v>
      </x:c>
      <x:c r="H451" s="4" t="str">
        <x:v>登录与注册状态</x:v>
      </x:c>
      <x:c r="I451" s="4" t="str">
        <x:v>1. 用户账号已登录且具备当前页面权限</x:v>
      </x:c>
      <x:c r="J451" s="4" t="str">
        <x:v>1. 进入登录与注册
2. 点击手机号登录</x:v>
      </x:c>
      <x:c r="K451" s="4" t="str">
        <x:v>进入手机号登录页</x:v>
      </x:c>
      <x:c r="L451" s="4" t="str"/>
      <x:c r="M451" s="4" t="str">
        <x:v>未测</x:v>
      </x:c>
      <x:c r="N451" s="4" t="str"/>
      <x:c r="O451" s="4" t="str">
        <x:v>1. 来源（原型批注）：liveshow-proto/prototype/annotations/user.js；auth-login-register.html
2. 页面：auth-login-register.html
3. 规则：BR-9D1888B8684883
4. 场景：SC-D4339497A26EDD
5. 未动态验证</x:v>
      </x:c>
    </x:row>
    <x:row r="452" ht="54" customHeight="1">
      <x:c r="A452" s="4" t="n">
        <x:v>451</x:v>
      </x:c>
      <x:c r="B452" s="4" t="str">
        <x:v>UAUTH-0011</x:v>
      </x:c>
      <x:c r="C452" s="4" t="str">
        <x:v>账号与登录</x:v>
      </x:c>
      <x:c r="D452" s="4" t="str">
        <x:v>登录与注册（用户视角）</x:v>
      </x:c>
      <x:c r="E452" s="4" t="str">
        <x:v>业务流程</x:v>
      </x:c>
      <x:c r="F452" s="4" t="str">
        <x:v>P1</x:v>
      </x:c>
      <x:c r="G452" s="4" t="str">
        <x:v>验证点击邮箱后的登录与注册状态</x:v>
      </x:c>
      <x:c r="H452" s="4" t="str">
        <x:v>登录与注册状态</x:v>
      </x:c>
      <x:c r="I452" s="4" t="str">
        <x:v>1. 用户账号已登录且具备当前页面权限</x:v>
      </x:c>
      <x:c r="J452" s="4" t="str">
        <x:v>1. 进入登录与注册
2. 点击邮箱</x:v>
      </x:c>
      <x:c r="K452" s="4" t="str">
        <x:v>进入邮箱登录页</x:v>
      </x:c>
      <x:c r="L452" s="4" t="str"/>
      <x:c r="M452" s="4" t="str">
        <x:v>未测</x:v>
      </x:c>
      <x:c r="N452" s="4" t="str"/>
      <x:c r="O452" s="4" t="str">
        <x:v>1. 来源（原型批注）：liveshow-proto/prototype/annotations/user.js；auth-login-register.html
2. 页面：auth-login-register.html
3. 规则：BR-FF344BE348559E
4. 场景：SC-8E109BE9AD2BAF
5. 未动态验证</x:v>
      </x:c>
    </x:row>
    <x:row r="453" ht="54" customHeight="1">
      <x:c r="A453" s="4" t="n">
        <x:v>452</x:v>
      </x:c>
      <x:c r="B453" s="4" t="str">
        <x:v>UAUTH-0012</x:v>
      </x:c>
      <x:c r="C453" s="4" t="str">
        <x:v>账号与登录</x:v>
      </x:c>
      <x:c r="D453" s="4" t="str">
        <x:v>登录与注册（用户视角）</x:v>
      </x:c>
      <x:c r="E453" s="4" t="str">
        <x:v>业务流程</x:v>
      </x:c>
      <x:c r="F453" s="4" t="str">
        <x:v>P1</x:v>
      </x:c>
      <x:c r="G453" s="4" t="str">
        <x:v>验证点击游客进入后的登录与注册状态</x:v>
      </x:c>
      <x:c r="H453" s="4" t="str">
        <x:v>登录与注册状态</x:v>
      </x:c>
      <x:c r="I453" s="4" t="str">
        <x:v>1. 用户账号已登录且具备当前页面权限</x:v>
      </x:c>
      <x:c r="J453" s="4" t="str">
        <x:v>1. 进入登录与注册
2. 点击游客进入</x:v>
      </x:c>
      <x:c r="K453" s="4" t="str">
        <x:v>直接以游客身份进入首页</x:v>
      </x:c>
      <x:c r="L453" s="4" t="str"/>
      <x:c r="M453" s="4" t="str">
        <x:v>未测</x:v>
      </x:c>
      <x:c r="N453" s="4" t="str"/>
      <x:c r="O453" s="4" t="str">
        <x:v>1. 来源（原型批注）：liveshow-proto/prototype/annotations/user.js；auth-login-register.html
2. 页面：auth-login-register.html
3. 规则：BR-013849890AE745
4. 场景：SC-D02B31D20D1C93
5. 未动态验证</x:v>
      </x:c>
    </x:row>
    <x:row r="454" ht="54" customHeight="1">
      <x:c r="A454" s="4" t="n">
        <x:v>453</x:v>
      </x:c>
      <x:c r="B454" s="4" t="str">
        <x:v>UAUTH-0013</x:v>
      </x:c>
      <x:c r="C454" s="4" t="str">
        <x:v>账号与登录</x:v>
      </x:c>
      <x:c r="D454" s="4" t="str">
        <x:v>登录与注册（用户视角）</x:v>
      </x:c>
      <x:c r="E454" s="4" t="str">
        <x:v>业务流程</x:v>
      </x:c>
      <x:c r="F454" s="4" t="str">
        <x:v>P1</x:v>
      </x:c>
      <x:c r="G454" s="4" t="str">
        <x:v>验证取消授权后的登录与注册状态</x:v>
      </x:c>
      <x:c r="H454" s="4" t="str">
        <x:v>登录与注册状态</x:v>
      </x:c>
      <x:c r="I454" s="4" t="str">
        <x:v>1. 用户账号已登录且具备当前页面权限</x:v>
      </x:c>
      <x:c r="J454" s="4" t="str">
        <x:v>1. 进入登录与注册
2. 取消授权</x:v>
      </x:c>
      <x:c r="K454" s="4" t="str">
        <x:v>Toast 提示“已取消授权”</x:v>
      </x:c>
      <x:c r="L454" s="4" t="str"/>
      <x:c r="M454" s="4" t="str">
        <x:v>未测</x:v>
      </x:c>
      <x:c r="N454" s="4" t="str"/>
      <x:c r="O454" s="4" t="str">
        <x:v>1. 来源（原型批注）：liveshow-proto/prototype/annotations/user.js；auth-login-register.html
2. 页面：auth-login-register.html
3. 规则：BR-8364784843425D
4. 场景：SC-A98D0797B32410
5. 未动态验证</x:v>
      </x:c>
    </x:row>
    <x:row r="455" ht="54" customHeight="1">
      <x:c r="A455" s="4" t="n">
        <x:v>454</x:v>
      </x:c>
      <x:c r="B455" s="4" t="str">
        <x:v>UAUTH-0014</x:v>
      </x:c>
      <x:c r="C455" s="4" t="str">
        <x:v>账号与登录</x:v>
      </x:c>
      <x:c r="D455" s="4" t="str">
        <x:v>登录与注册（用户视角）</x:v>
      </x:c>
      <x:c r="E455" s="4" t="str">
        <x:v>业务流程</x:v>
      </x:c>
      <x:c r="F455" s="4" t="str">
        <x:v>P1</x:v>
      </x:c>
      <x:c r="G455" s="4" t="str">
        <x:v>验证取消注销后的登录与注册状态</x:v>
      </x:c>
      <x:c r="H455" s="4" t="str">
        <x:v>登录与注册状态</x:v>
      </x:c>
      <x:c r="I455" s="4" t="str">
        <x:v>1. 用户账号已登录且具备当前页面权限</x:v>
      </x:c>
      <x:c r="J455" s="4" t="str">
        <x:v>1. 进入登录与注册
2. 取消注销</x:v>
      </x:c>
      <x:c r="K455" s="4" t="str">
        <x:v>恢复账号并直接登录</x:v>
      </x:c>
      <x:c r="L455" s="4" t="str"/>
      <x:c r="M455" s="4" t="str">
        <x:v>未测</x:v>
      </x:c>
      <x:c r="N455" s="4" t="str"/>
      <x:c r="O455" s="4" t="str">
        <x:v>1. 来源（原型批注）：liveshow-proto/prototype/annotations/user.js；auth-login-register.html
2. 页面：auth-login-register.html
3. 规则：BR-4FF5D828647E38
4. 场景：SC-0398F58BF7AB34
5. 未动态验证</x:v>
      </x:c>
    </x:row>
    <x:row r="456" ht="54" customHeight="1">
      <x:c r="A456" s="4" t="n">
        <x:v>455</x:v>
      </x:c>
      <x:c r="B456" s="4" t="str">
        <x:v>UAUTH-0015</x:v>
      </x:c>
      <x:c r="C456" s="4" t="str">
        <x:v>账号与登录</x:v>
      </x:c>
      <x:c r="D456" s="4" t="str">
        <x:v>登录与注册（用户视角）</x:v>
      </x:c>
      <x:c r="E456" s="4" t="str">
        <x:v>业务流程</x:v>
      </x:c>
      <x:c r="F456" s="4" t="str">
        <x:v>P1</x:v>
      </x:c>
      <x:c r="G456" s="4" t="str">
        <x:v>验证所有新注册账号首次授权成功后的登录与注册状态</x:v>
      </x:c>
      <x:c r="H456" s="4" t="str">
        <x:v>登录与注册状态</x:v>
      </x:c>
      <x:c r="I456" s="4" t="str">
        <x:v>1. 用户账号已登录且具备当前页面权限
2. 所有新注册账号首次授权成功</x:v>
      </x:c>
      <x:c r="J456" s="4" t="str">
        <x:v>1. 进入登录与注册
2. 刷新登录与注册</x:v>
      </x:c>
      <x:c r="K456" s="4" t="str">
        <x:v>进入资料补全</x:v>
      </x:c>
      <x:c r="L456" s="4" t="str"/>
      <x:c r="M456" s="4" t="str">
        <x:v>未测</x:v>
      </x:c>
      <x:c r="N456" s="4" t="str"/>
      <x:c r="O456" s="4" t="str">
        <x:v>1. 来源（原型批注）：liveshow-proto/prototype/annotations/user.js；auth-login-register.html
2. 页面：auth-login-register.html
3. 规则：BR-C1893869727F31
4. 场景：SC-DE10F01D47AC06
5. 未动态验证</x:v>
      </x:c>
    </x:row>
    <x:row r="457" ht="54" customHeight="1">
      <x:c r="A457" s="4" t="n">
        <x:v>456</x:v>
      </x:c>
      <x:c r="B457" s="4" t="str">
        <x:v>UAUTH-0016</x:v>
      </x:c>
      <x:c r="C457" s="4" t="str">
        <x:v>账号与登录</x:v>
      </x:c>
      <x:c r="D457" s="4" t="str">
        <x:v>登录与注册（用户视角）</x:v>
      </x:c>
      <x:c r="E457" s="4" t="str">
        <x:v>业务流程</x:v>
      </x:c>
      <x:c r="F457" s="4" t="str">
        <x:v>P1</x:v>
      </x:c>
      <x:c r="G457" s="4" t="str">
        <x:v>验证未勾选协议后的登录与注册状态</x:v>
      </x:c>
      <x:c r="H457" s="4" t="str">
        <x:v>登录与注册状态</x:v>
      </x:c>
      <x:c r="I457" s="4" t="str">
        <x:v>1. 用户账号已登录且具备当前页面权限
2. 未勾选协议</x:v>
      </x:c>
      <x:c r="J457" s="4" t="str">
        <x:v>1. 进入登录与注册
2. 刷新登录与注册</x:v>
      </x:c>
      <x:c r="K457" s="4" t="str">
        <x:v>提示先同意《用户协议》和《隐私政策》</x:v>
      </x:c>
      <x:c r="L457" s="4" t="str"/>
      <x:c r="M457" s="4" t="str">
        <x:v>未测</x:v>
      </x:c>
      <x:c r="N457" s="4" t="str"/>
      <x:c r="O457" s="4" t="str">
        <x:v>1. 来源（原型批注）：liveshow-proto/prototype/annotations/user.js；auth-login-register.html
2. 页面：auth-login-register.html
3. 规则：BR-05D8517612289A
4. 场景：SC-20D8D57173506D
5. 未动态验证</x:v>
      </x:c>
    </x:row>
    <x:row r="458" ht="54" customHeight="1">
      <x:c r="A458" s="4" t="n">
        <x:v>457</x:v>
      </x:c>
      <x:c r="B458" s="4" t="str">
        <x:v>UAUTH-0017</x:v>
      </x:c>
      <x:c r="C458" s="4" t="str">
        <x:v>账号与登录</x:v>
      </x:c>
      <x:c r="D458" s="4" t="str">
        <x:v>登录与注册（用户视角）</x:v>
      </x:c>
      <x:c r="E458" s="4" t="str">
        <x:v>业务流程</x:v>
      </x:c>
      <x:c r="F458" s="4" t="str">
        <x:v>P1</x:v>
      </x:c>
      <x:c r="G458" s="4" t="str">
        <x:v>验证已有账号后的登录与注册状态</x:v>
      </x:c>
      <x:c r="H458" s="4" t="str">
        <x:v>登录与注册状态</x:v>
      </x:c>
      <x:c r="I458" s="4" t="str">
        <x:v>1. 用户账号已登录且具备当前页面权限
2. 已有账号</x:v>
      </x:c>
      <x:c r="J458" s="4" t="str">
        <x:v>1. 进入登录与注册
2. 刷新登录与注册</x:v>
      </x:c>
      <x:c r="K458" s="4" t="str">
        <x:v>进入首页</x:v>
      </x:c>
      <x:c r="L458" s="4" t="str"/>
      <x:c r="M458" s="4" t="str">
        <x:v>未测</x:v>
      </x:c>
      <x:c r="N458" s="4" t="str"/>
      <x:c r="O458" s="4" t="str">
        <x:v>1. 来源（原型批注）：liveshow-proto/prototype/annotations/user.js；auth-login-register.html
2. 页面：auth-login-register.html
3. 规则：BR-989E87704B0F20
4. 场景：SC-F1EEAD999F7E22
5. 未动态验证</x:v>
      </x:c>
    </x:row>
    <x:row r="459" ht="54" customHeight="1">
      <x:c r="A459" s="4" t="n">
        <x:v>458</x:v>
      </x:c>
      <x:c r="B459" s="4" t="str">
        <x:v>UAUTH-0018</x:v>
      </x:c>
      <x:c r="C459" s="4" t="str">
        <x:v>账号与登录</x:v>
      </x:c>
      <x:c r="D459" s="4" t="str">
        <x:v>登录与注册（用户视角）</x:v>
      </x:c>
      <x:c r="E459" s="4" t="str">
        <x:v>业务流程</x:v>
      </x:c>
      <x:c r="F459" s="4" t="str">
        <x:v>P1</x:v>
      </x:c>
      <x:c r="G459" s="4" t="str">
        <x:v>验证用户取消授权后的登录与注册状态</x:v>
      </x:c>
      <x:c r="H459" s="4" t="str">
        <x:v>登录与注册状态</x:v>
      </x:c>
      <x:c r="I459" s="4" t="str">
        <x:v>1. 用户账号已登录且具备当前页面权限
2. 用户取消授权</x:v>
      </x:c>
      <x:c r="J459" s="4" t="str">
        <x:v>1. 进入登录与注册
2. 刷新登录与注册</x:v>
      </x:c>
      <x:c r="K459" s="4" t="str">
        <x:v>停留本页</x:v>
      </x:c>
      <x:c r="L459" s="4" t="str"/>
      <x:c r="M459" s="4" t="str">
        <x:v>未测</x:v>
      </x:c>
      <x:c r="N459" s="4" t="str"/>
      <x:c r="O459" s="4" t="str">
        <x:v>1. 来源（原型批注）：liveshow-proto/prototype/annotations/user.js；auth-login-register.html
2. 页面：auth-login-register.html
3. 规则：BR-6F709BA2845E94
4. 场景：SC-F2BC2BD58817E2
5. 未动态验证</x:v>
      </x:c>
    </x:row>
    <x:row r="460" ht="54" customHeight="1">
      <x:c r="A460" s="4" t="n">
        <x:v>459</x:v>
      </x:c>
      <x:c r="B460" s="4" t="str">
        <x:v>UAUTH-0019</x:v>
      </x:c>
      <x:c r="C460" s="4" t="str">
        <x:v>账号与登录</x:v>
      </x:c>
      <x:c r="D460" s="4" t="str">
        <x:v>登录与注册（用户视角）</x:v>
      </x:c>
      <x:c r="E460" s="4" t="str">
        <x:v>异常用例</x:v>
      </x:c>
      <x:c r="F460" s="4" t="str">
        <x:v>P1</x:v>
      </x:c>
      <x:c r="G460" s="4" t="str">
        <x:v>验证用户授权失败后的登录与注册状态</x:v>
      </x:c>
      <x:c r="H460" s="4" t="str">
        <x:v>登录与注册状态</x:v>
      </x:c>
      <x:c r="I460" s="4" t="str">
        <x:v>1. 用户账号已登录且具备当前页面权限
2. 用户授权失败</x:v>
      </x:c>
      <x:c r="J460" s="4" t="str">
        <x:v>1. 进入登录与注册
2. 刷新登录与注册</x:v>
      </x:c>
      <x:c r="K460" s="4" t="str">
        <x:v>停留本页</x:v>
      </x:c>
      <x:c r="L460" s="4" t="str"/>
      <x:c r="M460" s="4" t="str">
        <x:v>未测</x:v>
      </x:c>
      <x:c r="N460" s="4" t="str"/>
      <x:c r="O460" s="4" t="str">
        <x:v>1. 来源（原型批注）：liveshow-proto/prototype/annotations/user.js；auth-login-register.html
2. 页面：auth-login-register.html
3. 规则：BR-6F709BA2845E94
4. 场景：SC-453CBAC1478CD2
5. 未动态验证</x:v>
      </x:c>
    </x:row>
    <x:row r="461" ht="54" customHeight="1">
      <x:c r="A461" s="4" t="n">
        <x:v>460</x:v>
      </x:c>
      <x:c r="B461" s="4" t="str">
        <x:v>UAUTH-0020</x:v>
      </x:c>
      <x:c r="C461" s="4" t="str">
        <x:v>账号与登录</x:v>
      </x:c>
      <x:c r="D461" s="4" t="str">
        <x:v>登录与注册（用户视角）</x:v>
      </x:c>
      <x:c r="E461" s="4" t="str">
        <x:v>业务流程</x:v>
      </x:c>
      <x:c r="F461" s="4" t="str">
        <x:v>P1</x:v>
      </x:c>
      <x:c r="G461" s="4" t="str">
        <x:v>验证用户授权未取得有效账号标识后的登录与注册状态</x:v>
      </x:c>
      <x:c r="H461" s="4" t="str">
        <x:v>登录与注册状态</x:v>
      </x:c>
      <x:c r="I461" s="4" t="str">
        <x:v>1. 用户账号已登录且具备当前页面权限
2. 用户授权未取得有效账号标识</x:v>
      </x:c>
      <x:c r="J461" s="4" t="str">
        <x:v>1. 进入登录与注册
2. 刷新登录与注册</x:v>
      </x:c>
      <x:c r="K461" s="4" t="str">
        <x:v>停留本页</x:v>
      </x:c>
      <x:c r="L461" s="4" t="str"/>
      <x:c r="M461" s="4" t="str">
        <x:v>未测</x:v>
      </x:c>
      <x:c r="N461" s="4" t="str"/>
      <x:c r="O461" s="4" t="str">
        <x:v>1. 来源（原型批注）：liveshow-proto/prototype/annotations/user.js；auth-login-register.html
2. 页面：auth-login-register.html
3. 规则：BR-6F709BA2845E94
4. 场景：SC-FD2BCD8DACAE31
5. 未动态验证</x:v>
      </x:c>
    </x:row>
    <x:row r="462" ht="54" customHeight="1">
      <x:c r="A462" s="4" t="n">
        <x:v>461</x:v>
      </x:c>
      <x:c r="B462" s="4" t="str">
        <x:v>UAUTH-0021</x:v>
      </x:c>
      <x:c r="C462" s="4" t="str">
        <x:v>账号与登录</x:v>
      </x:c>
      <x:c r="D462" s="4" t="str">
        <x:v>登录与注册（用户视角）</x:v>
      </x:c>
      <x:c r="E462" s="4" t="str">
        <x:v>业务流程</x:v>
      </x:c>
      <x:c r="F462" s="4" t="str">
        <x:v>P1</x:v>
      </x:c>
      <x:c r="G462" s="4" t="str">
        <x:v>验证账号处于注销冷静期后的登录与注册状态</x:v>
      </x:c>
      <x:c r="H462" s="4" t="str">
        <x:v>登录与注册状态</x:v>
      </x:c>
      <x:c r="I462" s="4" t="str">
        <x:v>1. 用户账号已登录且具备当前页面权限
2. 账号处于注销冷静期</x:v>
      </x:c>
      <x:c r="J462" s="4" t="str">
        <x:v>1. 进入登录与注册
2. 刷新登录与注册</x:v>
      </x:c>
      <x:c r="K462" s="4" t="str">
        <x:v>展示注销冷静期弹窗</x:v>
      </x:c>
      <x:c r="L462" s="4" t="str"/>
      <x:c r="M462" s="4" t="str">
        <x:v>未测</x:v>
      </x:c>
      <x:c r="N462" s="4" t="str"/>
      <x:c r="O462" s="4" t="str">
        <x:v>1. 来源（原型批注）：liveshow-proto/prototype/annotations/user.js；auth-login-register.html
2. 页面：auth-login-register.html
3. 规则：BR-303BC16F91B083
4. 场景：SC-F660A7FC2641E7
5. 未动态验证</x:v>
      </x:c>
    </x:row>
    <x:row r="463" ht="54" customHeight="1">
      <x:c r="A463" s="4" t="n">
        <x:v>462</x:v>
      </x:c>
      <x:c r="B463" s="4" t="str">
        <x:v>UAUTH-0022</x:v>
      </x:c>
      <x:c r="C463" s="4" t="str">
        <x:v>账号与登录</x:v>
      </x:c>
      <x:c r="D463" s="4" t="str">
        <x:v>登录与注册（用户视角）</x:v>
      </x:c>
      <x:c r="E463" s="4" t="str">
        <x:v>功能需求</x:v>
      </x:c>
      <x:c r="F463" s="4" t="str">
        <x:v>P1</x:v>
      </x:c>
      <x:c r="G463" s="4" t="str">
        <x:v>验证Apple ID 仅在 iOS时的登录与注册结果</x:v>
      </x:c>
      <x:c r="H463" s="4" t="str">
        <x:v>登录与注册条件结果</x:v>
      </x:c>
      <x:c r="I463" s="4" t="str">
        <x:v>1. 用户账号已登录且具备当前页面权限
2. Apple ID 仅在 iOS</x:v>
      </x:c>
      <x:c r="J463" s="4" t="str">
        <x:v>1. 进入登录与注册
2. 查看登录与注册</x:v>
      </x:c>
      <x:c r="K463" s="4" t="str">
        <x:v>Apple ID 仅在 iOS 展示</x:v>
      </x:c>
      <x:c r="L463" s="4" t="str"/>
      <x:c r="M463" s="4" t="str">
        <x:v>未测</x:v>
      </x:c>
      <x:c r="N463" s="4" t="str"/>
      <x:c r="O463" s="4" t="str">
        <x:v>1. 来源（原型批注）：liveshow-proto/prototype/annotations/user.js；auth-login-register.html
2. 页面：auth-login-register.html
3. 规则：BR-9D829FED6755B1
4. 场景：SC-C7263DC115B04C
5. 未动态验证</x:v>
      </x:c>
    </x:row>
    <x:row r="464" ht="54" customHeight="1">
      <x:c r="A464" s="4" t="n">
        <x:v>463</x:v>
      </x:c>
      <x:c r="B464" s="4" t="str">
        <x:v>UAUTH-0023</x:v>
      </x:c>
      <x:c r="C464" s="4" t="str">
        <x:v>账号与登录</x:v>
      </x:c>
      <x:c r="D464" s="4" t="str">
        <x:v>手机号登录（用户视角）</x:v>
      </x:c>
      <x:c r="E464" s="4" t="str">
        <x:v>业务流程</x:v>
      </x:c>
      <x:c r="F464" s="4" t="str">
        <x:v>P1</x:v>
      </x:c>
      <x:c r="G464" s="4" t="str">
        <x:v>验证登录成功后的手机号登录状态</x:v>
      </x:c>
      <x:c r="H464" s="4" t="str">
        <x:v>手机号登录状态</x:v>
      </x:c>
      <x:c r="I464" s="4" t="str">
        <x:v>1. 用户账号已登录且具备当前页面权限
2. 登录成功</x:v>
      </x:c>
      <x:c r="J464" s="4" t="str">
        <x:v>1. 进入手机号登录
2. 刷新手机号登录</x:v>
      </x:c>
      <x:c r="K464" s="4" t="str">
        <x:v>进入首页</x:v>
      </x:c>
      <x:c r="L464" s="4" t="str"/>
      <x:c r="M464" s="4" t="str">
        <x:v>未测</x:v>
      </x:c>
      <x:c r="N464" s="4" t="str"/>
      <x:c r="O464" s="4" t="str">
        <x:v>1. 来源（原型批注）：liveshow-proto/prototype/annotations/user.js；auth-phone-login.html
2. 页面：auth-phone-login.html
3. 规则：BR-EC88414B27DEEB
4. 场景：SC-F9A371E138003B
5. 未动态验证</x:v>
      </x:c>
    </x:row>
    <x:row r="465" ht="54" customHeight="1">
      <x:c r="A465" s="4" t="n">
        <x:v>464</x:v>
      </x:c>
      <x:c r="B465" s="4" t="str">
        <x:v>UAUTH-0024</x:v>
      </x:c>
      <x:c r="C465" s="4" t="str">
        <x:v>账号与登录</x:v>
      </x:c>
      <x:c r="D465" s="4" t="str">
        <x:v>手机号登录（用户视角）</x:v>
      </x:c>
      <x:c r="E465" s="4" t="str">
        <x:v>业务流程</x:v>
      </x:c>
      <x:c r="F465" s="4" t="str">
        <x:v>P1</x:v>
      </x:c>
      <x:c r="G465" s="4" t="str">
        <x:v>验证点击短信验证码登录后的手机号登录状态</x:v>
      </x:c>
      <x:c r="H465" s="4" t="str">
        <x:v>手机号登录状态</x:v>
      </x:c>
      <x:c r="I465" s="4" t="str">
        <x:v>1. 用户账号已登录且具备当前页面权限</x:v>
      </x:c>
      <x:c r="J465" s="4" t="str">
        <x:v>1. 进入手机号登录
2. 点击短信验证码登录</x:v>
      </x:c>
      <x:c r="K465" s="4" t="str">
        <x:v>切换登录方式</x:v>
      </x:c>
      <x:c r="L465" s="4" t="str"/>
      <x:c r="M465" s="4" t="str">
        <x:v>未测</x:v>
      </x:c>
      <x:c r="N465" s="4" t="str"/>
      <x:c r="O465" s="4" t="str">
        <x:v>1. 来源（原型批注）：liveshow-proto/prototype/annotations/user.js；auth-phone-login.html
2. 页面：auth-phone-login.html
3. 规则：BR-23F6AB7B2A3FE0
4. 场景：SC-6C83698DFF2494
5. 未动态验证</x:v>
      </x:c>
    </x:row>
    <x:row r="466" ht="54" customHeight="1">
      <x:c r="A466" s="4" t="n">
        <x:v>465</x:v>
      </x:c>
      <x:c r="B466" s="4" t="str">
        <x:v>UAUTH-0025</x:v>
      </x:c>
      <x:c r="C466" s="4" t="str">
        <x:v>账号与登录</x:v>
      </x:c>
      <x:c r="D466" s="4" t="str">
        <x:v>手机号登录（用户视角）</x:v>
      </x:c>
      <x:c r="E466" s="4" t="str">
        <x:v>业务流程</x:v>
      </x:c>
      <x:c r="F466" s="4" t="str">
        <x:v>P1</x:v>
      </x:c>
      <x:c r="G466" s="4" t="str">
        <x:v>验证点击区号后的手机号登录状态</x:v>
      </x:c>
      <x:c r="H466" s="4" t="str">
        <x:v>手机号登录状态</x:v>
      </x:c>
      <x:c r="I466" s="4" t="str">
        <x:v>1. 用户账号已登录且具备当前页面权限</x:v>
      </x:c>
      <x:c r="J466" s="4" t="str">
        <x:v>1. 进入手机号登录
2. 点击区号</x:v>
      </x:c>
      <x:c r="K466" s="4" t="str">
        <x:v>保存当前输入</x:v>
      </x:c>
      <x:c r="L466" s="4" t="str"/>
      <x:c r="M466" s="4" t="str">
        <x:v>未测</x:v>
      </x:c>
      <x:c r="N466" s="4" t="str"/>
      <x:c r="O466" s="4" t="str">
        <x:v>1. 来源（原型批注）：liveshow-proto/prototype/annotations/user.js；auth-phone-login.html
2. 页面：auth-phone-login.html
3. 规则：BR-298EF6856A6215
4. 场景：SC-7FEAFABAF6DDA8
5. 未动态验证</x:v>
      </x:c>
    </x:row>
    <x:row r="467" ht="54" customHeight="1">
      <x:c r="A467" s="4" t="n">
        <x:v>466</x:v>
      </x:c>
      <x:c r="B467" s="4" t="str">
        <x:v>UAUTH-0026</x:v>
      </x:c>
      <x:c r="C467" s="4" t="str">
        <x:v>账号与登录</x:v>
      </x:c>
      <x:c r="D467" s="4" t="str">
        <x:v>手机号登录（用户视角）</x:v>
      </x:c>
      <x:c r="E467" s="4" t="str">
        <x:v>业务流程</x:v>
      </x:c>
      <x:c r="F467" s="4" t="str">
        <x:v>P1</x:v>
      </x:c>
      <x:c r="G467" s="4" t="str">
        <x:v>验证点击使用密码登录后的手机号登录状态</x:v>
      </x:c>
      <x:c r="H467" s="4" t="str">
        <x:v>手机号登录状态</x:v>
      </x:c>
      <x:c r="I467" s="4" t="str">
        <x:v>1. 用户账号已登录且具备当前页面权限</x:v>
      </x:c>
      <x:c r="J467" s="4" t="str">
        <x:v>1. 进入手机号登录
2. 点击使用密码登录</x:v>
      </x:c>
      <x:c r="K467" s="4" t="str">
        <x:v>切换登录方式</x:v>
      </x:c>
      <x:c r="L467" s="4" t="str"/>
      <x:c r="M467" s="4" t="str">
        <x:v>未测</x:v>
      </x:c>
      <x:c r="N467" s="4" t="str"/>
      <x:c r="O467" s="4" t="str">
        <x:v>1. 来源（原型批注）：liveshow-proto/prototype/annotations/user.js；auth-phone-login.html
2. 页面：auth-phone-login.html
3. 规则：BR-23F6AB7B2A3FE0
4. 场景：SC-C23A5A44BAB40F
5. 未动态验证</x:v>
      </x:c>
    </x:row>
    <x:row r="468" ht="54" customHeight="1">
      <x:c r="A468" s="4" t="n">
        <x:v>467</x:v>
      </x:c>
      <x:c r="B468" s="4" t="str">
        <x:v>UAUTH-0027</x:v>
      </x:c>
      <x:c r="C468" s="4" t="str">
        <x:v>账号与登录</x:v>
      </x:c>
      <x:c r="D468" s="4" t="str">
        <x:v>手机号登录（用户视角）</x:v>
      </x:c>
      <x:c r="E468" s="4" t="str">
        <x:v>异常用例</x:v>
      </x:c>
      <x:c r="F468" s="4" t="str">
        <x:v>P1</x:v>
      </x:c>
      <x:c r="G468" s="4" t="str">
        <x:v>验证发送后的手机号登录状态</x:v>
      </x:c>
      <x:c r="H468" s="4" t="str">
        <x:v>手机号登录状态</x:v>
      </x:c>
      <x:c r="I468" s="4" t="str">
        <x:v>1. 用户账号已登录且具备当前页面权限</x:v>
      </x:c>
      <x:c r="J468" s="4" t="str">
        <x:v>1. 进入手机号登录
2. 发送</x:v>
      </x:c>
      <x:c r="K468" s="4" t="str">
        <x:v>期间不可重复获取</x:v>
      </x:c>
      <x:c r="L468" s="4" t="str"/>
      <x:c r="M468" s="4" t="str">
        <x:v>未测</x:v>
      </x:c>
      <x:c r="N468" s="4" t="str"/>
      <x:c r="O468" s="4" t="str">
        <x:v>1. 来源（原型批注）：liveshow-proto/prototype/annotations/user.js；auth-phone-login.html
2. 页面：auth-phone-login.html
3. 规则：BR-ADD7BA7B8D7B09
4. 场景：SC-2AD17F4E53A02B
5. 未动态验证</x:v>
      </x:c>
    </x:row>
    <x:row r="469" ht="54" customHeight="1">
      <x:c r="A469" s="4" t="n">
        <x:v>468</x:v>
      </x:c>
      <x:c r="B469" s="4" t="str">
        <x:v>UAUTH-0028</x:v>
      </x:c>
      <x:c r="C469" s="4" t="str">
        <x:v>账号与登录</x:v>
      </x:c>
      <x:c r="D469" s="4" t="str">
        <x:v>手机号登录（用户视角）</x:v>
      </x:c>
      <x:c r="E469" s="4" t="str">
        <x:v>业务流程</x:v>
      </x:c>
      <x:c r="F469" s="4" t="str">
        <x:v>P1</x:v>
      </x:c>
      <x:c r="G469" s="4" t="str">
        <x:v>验证返回后的手机号登录状态</x:v>
      </x:c>
      <x:c r="H469" s="4" t="str">
        <x:v>手机号登录状态</x:v>
      </x:c>
      <x:c r="I469" s="4" t="str">
        <x:v>1. 用户账号已登录且具备当前页面权限</x:v>
      </x:c>
      <x:c r="J469" s="4" t="str">
        <x:v>1. 进入手机号登录
2. 返回</x:v>
      </x:c>
      <x:c r="K469" s="4" t="str">
        <x:v>恢复登录表单</x:v>
      </x:c>
      <x:c r="L469" s="4" t="str"/>
      <x:c r="M469" s="4" t="str">
        <x:v>未测</x:v>
      </x:c>
      <x:c r="N469" s="4" t="str"/>
      <x:c r="O469" s="4" t="str">
        <x:v>1. 来源（原型批注）：liveshow-proto/prototype/annotations/user.js；auth-phone-login.html
2. 页面：auth-phone-login.html
3. 规则：BR-F2712E0D5F7F40
4. 场景：SC-397DD5A1F98600
5. 未动态验证</x:v>
      </x:c>
    </x:row>
    <x:row r="470" ht="54" customHeight="1">
      <x:c r="A470" s="4" t="n">
        <x:v>469</x:v>
      </x:c>
      <x:c r="B470" s="4" t="str">
        <x:v>UAUTH-0029</x:v>
      </x:c>
      <x:c r="C470" s="4" t="str">
        <x:v>账号与登录</x:v>
      </x:c>
      <x:c r="D470" s="4" t="str">
        <x:v>手机号登录（用户视角）</x:v>
      </x:c>
      <x:c r="E470" s="4" t="str">
        <x:v>业务流程</x:v>
      </x:c>
      <x:c r="F470" s="4" t="str">
        <x:v>P1</x:v>
      </x:c>
      <x:c r="G470" s="4" t="str">
        <x:v>验证连续错误 5 次后的手机号登录状态</x:v>
      </x:c>
      <x:c r="H470" s="4" t="str">
        <x:v>手机号登录状态</x:v>
      </x:c>
      <x:c r="I470" s="4" t="str">
        <x:v>1. 用户账号已登录且具备当前页面权限
2. 连续错误 5 次</x:v>
      </x:c>
      <x:c r="J470" s="4" t="str">
        <x:v>1. 进入手机号登录
2. 刷新手机号登录</x:v>
      </x:c>
      <x:c r="K470" s="4" t="str">
        <x:v>当前验证码失效</x:v>
      </x:c>
      <x:c r="L470" s="4" t="str"/>
      <x:c r="M470" s="4" t="str">
        <x:v>未测</x:v>
      </x:c>
      <x:c r="N470" s="4" t="str"/>
      <x:c r="O470" s="4" t="str">
        <x:v>1. 来源（原型批注）：liveshow-proto/prototype/annotations/user.js；auth-phone-login.html
2. 页面：auth-phone-login.html
3. 规则：BR-9FB5727335FB0D
4. 场景：SC-27C0CC6FA14553
5. 未动态验证</x:v>
      </x:c>
    </x:row>
    <x:row r="471" ht="54" customHeight="1">
      <x:c r="A471" s="4" t="n">
        <x:v>470</x:v>
      </x:c>
      <x:c r="B471" s="4" t="str">
        <x:v>UAUTH-0030</x:v>
      </x:c>
      <x:c r="C471" s="4" t="str">
        <x:v>账号与登录</x:v>
      </x:c>
      <x:c r="D471" s="4" t="str">
        <x:v>手机号登录（用户视角）</x:v>
      </x:c>
      <x:c r="E471" s="4" t="str">
        <x:v>业务流程</x:v>
      </x:c>
      <x:c r="F471" s="4" t="str">
        <x:v>P1</x:v>
      </x:c>
      <x:c r="G471" s="4" t="str">
        <x:v>验证命中注销冷静期后的手机号登录状态</x:v>
      </x:c>
      <x:c r="H471" s="4" t="str">
        <x:v>手机号登录状态</x:v>
      </x:c>
      <x:c r="I471" s="4" t="str">
        <x:v>1. 用户账号已登录且具备当前页面权限
2. 命中注销冷静期</x:v>
      </x:c>
      <x:c r="J471" s="4" t="str">
        <x:v>1. 进入手机号登录
2. 刷新手机号登录</x:v>
      </x:c>
      <x:c r="K471" s="4" t="str">
        <x:v>展示可取消截止时间及取消注销操作</x:v>
      </x:c>
      <x:c r="L471" s="4" t="str"/>
      <x:c r="M471" s="4" t="str">
        <x:v>未测</x:v>
      </x:c>
      <x:c r="N471" s="4" t="str"/>
      <x:c r="O471" s="4" t="str">
        <x:v>1. 来源（原型批注）：liveshow-proto/prototype/annotations/user.js；auth-phone-login.html
2. 页面：auth-phone-login.html
3. 规则：BR-FDCBD454E0A2CD
4. 场景：SC-E5FC1319ED13A4
5. 未动态验证</x:v>
      </x:c>
    </x:row>
    <x:row r="472" ht="54" customHeight="1">
      <x:c r="A472" s="4" t="n">
        <x:v>471</x:v>
      </x:c>
      <x:c r="B472" s="4" t="str">
        <x:v>UAUTH-0031</x:v>
      </x:c>
      <x:c r="C472" s="4" t="str">
        <x:v>账号与登录</x:v>
      </x:c>
      <x:c r="D472" s="4" t="str">
        <x:v>手机号登录（用户视角）</x:v>
      </x:c>
      <x:c r="E472" s="4" t="str">
        <x:v>功能需求</x:v>
      </x:c>
      <x:c r="F472" s="4" t="str">
        <x:v>P1</x:v>
      </x:c>
      <x:c r="G472" s="4" t="str">
        <x:v>验证手机号登录可查看国家或地区区号</x:v>
      </x:c>
      <x:c r="H472" s="4" t="str">
        <x:v>国家或地区区号展示</x:v>
      </x:c>
      <x:c r="I472" s="4" t="str">
        <x:v>1. 用户账号已登录且具备当前页面权限</x:v>
      </x:c>
      <x:c r="J472" s="4" t="str">
        <x:v>1. 进入手机号登录
2. 查看国家或地区区号</x:v>
      </x:c>
      <x:c r="K472" s="4" t="str">
        <x:v>手机号登录显示“国家或地区区号”</x:v>
      </x:c>
      <x:c r="L472" s="4" t="str"/>
      <x:c r="M472" s="4" t="str">
        <x:v>未测</x:v>
      </x:c>
      <x:c r="N472" s="4" t="str"/>
      <x:c r="O472" s="4" t="str">
        <x:v>1. 来源（原型批注）：liveshow-proto/prototype/annotations/user.js；auth-phone-login.html
2. 页面：auth-phone-login.html
3. 规则：BR-5B13A20074B696、BR-CDEAA9734430B8、BR-4978B578F7D9FF、BR-313A8D15482377
4. 场景：SC-F4B54D9D7B1471
5. 未动态验证</x:v>
      </x:c>
    </x:row>
    <x:row r="473" ht="54" customHeight="1">
      <x:c r="A473" s="4" t="n">
        <x:v>472</x:v>
      </x:c>
      <x:c r="B473" s="4" t="str">
        <x:v>UAUTH-0032</x:v>
      </x:c>
      <x:c r="C473" s="4" t="str">
        <x:v>账号与登录</x:v>
      </x:c>
      <x:c r="D473" s="4" t="str">
        <x:v>手机号登录（用户视角）</x:v>
      </x:c>
      <x:c r="E473" s="4" t="str">
        <x:v>功能需求</x:v>
      </x:c>
      <x:c r="F473" s="4" t="str">
        <x:v>P1</x:v>
      </x:c>
      <x:c r="G473" s="4" t="str">
        <x:v>验证手机号登录可查看密码</x:v>
      </x:c>
      <x:c r="H473" s="4" t="str">
        <x:v>密码展示</x:v>
      </x:c>
      <x:c r="I473" s="4" t="str">
        <x:v>1. 用户账号已登录且具备当前页面权限</x:v>
      </x:c>
      <x:c r="J473" s="4" t="str">
        <x:v>1. 进入手机号登录
2. 查看密码</x:v>
      </x:c>
      <x:c r="K473" s="4" t="str">
        <x:v>手机号登录显示“密码”</x:v>
      </x:c>
      <x:c r="L473" s="4" t="str"/>
      <x:c r="M473" s="4" t="str">
        <x:v>未测</x:v>
      </x:c>
      <x:c r="N473" s="4" t="str"/>
      <x:c r="O473" s="4" t="str">
        <x:v>1. 来源（原型批注）：liveshow-proto/prototype/annotations/user.js；auth-phone-login.html
2. 页面：auth-phone-login.html
3. 规则：BR-D4060DC23B3B14
4. 场景：SC-00382D02E831A2
5. 未动态验证</x:v>
      </x:c>
    </x:row>
    <x:row r="474" ht="54" customHeight="1">
      <x:c r="A474" s="4" t="n">
        <x:v>473</x:v>
      </x:c>
      <x:c r="B474" s="4" t="str">
        <x:v>UAUTH-0033</x:v>
      </x:c>
      <x:c r="C474" s="4" t="str">
        <x:v>账号与登录</x:v>
      </x:c>
      <x:c r="D474" s="4" t="str">
        <x:v>手机号登录（用户视角）</x:v>
      </x:c>
      <x:c r="E474" s="4" t="str">
        <x:v>功能需求</x:v>
      </x:c>
      <x:c r="F474" s="4" t="str">
        <x:v>P1</x:v>
      </x:c>
      <x:c r="G474" s="4" t="str">
        <x:v>验证手机号登录可查看手机号</x:v>
      </x:c>
      <x:c r="H474" s="4" t="str">
        <x:v>手机号展示</x:v>
      </x:c>
      <x:c r="I474" s="4" t="str">
        <x:v>1. 用户账号已登录且具备当前页面权限</x:v>
      </x:c>
      <x:c r="J474" s="4" t="str">
        <x:v>1. 进入手机号登录
2. 查看手机号</x:v>
      </x:c>
      <x:c r="K474" s="4" t="str">
        <x:v>手机号登录显示“手机号”</x:v>
      </x:c>
      <x:c r="L474" s="4" t="str"/>
      <x:c r="M474" s="4" t="str">
        <x:v>未测</x:v>
      </x:c>
      <x:c r="N474" s="4" t="str"/>
      <x:c r="O474" s="4" t="str">
        <x:v>1. 来源（原型批注）：liveshow-proto/prototype/annotations/user.js；auth-phone-login.html
2. 页面：auth-phone-login.html
3. 规则：BR-62A1B06971D121
4. 场景：SC-B1534315D795F7
5. 未动态验证</x:v>
      </x:c>
    </x:row>
    <x:row r="475" ht="54" customHeight="1">
      <x:c r="A475" s="4" t="n">
        <x:v>474</x:v>
      </x:c>
      <x:c r="B475" s="4" t="str">
        <x:v>UAUTH-0034</x:v>
      </x:c>
      <x:c r="C475" s="4" t="str">
        <x:v>账号与登录</x:v>
      </x:c>
      <x:c r="D475" s="4" t="str">
        <x:v>手机号登录（用户视角）</x:v>
      </x:c>
      <x:c r="E475" s="4" t="str">
        <x:v>功能需求</x:v>
      </x:c>
      <x:c r="F475" s="4" t="str">
        <x:v>P1</x:v>
      </x:c>
      <x:c r="G475" s="4" t="str">
        <x:v>验证手机号登录可查看验证码</x:v>
      </x:c>
      <x:c r="H475" s="4" t="str">
        <x:v>验证码展示</x:v>
      </x:c>
      <x:c r="I475" s="4" t="str">
        <x:v>1. 用户账号已登录且具备当前页面权限</x:v>
      </x:c>
      <x:c r="J475" s="4" t="str">
        <x:v>1. 进入手机号登录
2. 查看验证码</x:v>
      </x:c>
      <x:c r="K475" s="4" t="str">
        <x:v>手机号登录显示“验证码”</x:v>
      </x:c>
      <x:c r="L475" s="4" t="str"/>
      <x:c r="M475" s="4" t="str">
        <x:v>未测</x:v>
      </x:c>
      <x:c r="N475" s="4" t="str"/>
      <x:c r="O475" s="4" t="str">
        <x:v>1. 来源（原型批注）：liveshow-proto/prototype/annotations/user.js；auth-phone-login.html
2. 页面：auth-phone-login.html
3. 规则：BR-5C9337D28727EA、BR-9FB5727335FB0D
4. 场景：SC-ADE9237A7BB3FF
5. 未动态验证</x:v>
      </x:c>
    </x:row>
    <x:row r="476" ht="54" customHeight="1">
      <x:c r="A476" s="4" t="n">
        <x:v>475</x:v>
      </x:c>
      <x:c r="B476" s="4" t="str">
        <x:v>UAUTH-0035</x:v>
      </x:c>
      <x:c r="C476" s="4" t="str">
        <x:v>账号与登录</x:v>
      </x:c>
      <x:c r="D476" s="4" t="str">
        <x:v>手机号登录（用户视角）</x:v>
      </x:c>
      <x:c r="E476" s="4" t="str">
        <x:v>业务流程</x:v>
      </x:c>
      <x:c r="F476" s="4" t="str">
        <x:v>P1</x:v>
      </x:c>
      <x:c r="G476" s="4" t="str">
        <x:v>验证选择后的手机号登录状态</x:v>
      </x:c>
      <x:c r="H476" s="4" t="str">
        <x:v>手机号登录状态</x:v>
      </x:c>
      <x:c r="I476" s="4" t="str">
        <x:v>1. 用户账号已登录且具备当前页面权限</x:v>
      </x:c>
      <x:c r="J476" s="4" t="str">
        <x:v>1. 进入手机号登录
2. 选择</x:v>
      </x:c>
      <x:c r="K476" s="4" t="str">
        <x:v>恢复登录表单</x:v>
      </x:c>
      <x:c r="L476" s="4" t="str"/>
      <x:c r="M476" s="4" t="str">
        <x:v>未测</x:v>
      </x:c>
      <x:c r="N476" s="4" t="str"/>
      <x:c r="O476" s="4" t="str">
        <x:v>1. 来源（原型批注）：liveshow-proto/prototype/annotations/user.js；auth-phone-login.html
2. 页面：auth-phone-login.html
3. 规则：BR-F2712E0D5F7F40
4. 场景：SC-045A66DD4618DC
5. 未动态验证</x:v>
      </x:c>
    </x:row>
    <x:row r="477" ht="54" customHeight="1">
      <x:c r="A477" s="4" t="n">
        <x:v>476</x:v>
      </x:c>
      <x:c r="B477" s="4" t="str">
        <x:v>UAUTH-0036</x:v>
      </x:c>
      <x:c r="C477" s="4" t="str">
        <x:v>账号与登录</x:v>
      </x:c>
      <x:c r="D477" s="4" t="str">
        <x:v>手机号登录（用户视角）</x:v>
      </x:c>
      <x:c r="E477" s="4" t="str">
        <x:v>业务流程</x:v>
      </x:c>
      <x:c r="F477" s="4" t="str">
        <x:v>P1</x:v>
      </x:c>
      <x:c r="G477" s="4" t="str">
        <x:v>验证选择区号后的手机号登录状态</x:v>
      </x:c>
      <x:c r="H477" s="4" t="str">
        <x:v>手机号登录状态</x:v>
      </x:c>
      <x:c r="I477" s="4" t="str">
        <x:v>1. 用户账号已登录且具备当前页面权限</x:v>
      </x:c>
      <x:c r="J477" s="4" t="str">
        <x:v>1. 进入手机号登录
2. 选择区号</x:v>
      </x:c>
      <x:c r="K477" s="4" t="str">
        <x:v>返回本页</x:v>
      </x:c>
      <x:c r="L477" s="4" t="str"/>
      <x:c r="M477" s="4" t="str">
        <x:v>未测</x:v>
      </x:c>
      <x:c r="N477" s="4" t="str"/>
      <x:c r="O477" s="4" t="str">
        <x:v>1. 来源（原型批注）：liveshow-proto/prototype/annotations/user.js；auth-phone-login.html
2. 页面：auth-phone-login.html
3. 规则：BR-4AEF07143234D4
4. 场景：SC-114FF8FD3F4274
5. 未动态验证</x:v>
      </x:c>
    </x:row>
    <x:row r="478" ht="54" customHeight="1">
      <x:c r="A478" s="4" t="n">
        <x:v>477</x:v>
      </x:c>
      <x:c r="B478" s="4" t="str">
        <x:v>UAUTH-0037</x:v>
      </x:c>
      <x:c r="C478" s="4" t="str">
        <x:v>账号与登录</x:v>
      </x:c>
      <x:c r="D478" s="4" t="str">
        <x:v>选择国家/地区（用户视角）</x:v>
      </x:c>
      <x:c r="E478" s="4" t="str">
        <x:v>业务流程</x:v>
      </x:c>
      <x:c r="F478" s="4" t="str">
        <x:v>P1</x:v>
      </x:c>
      <x:c r="G478" s="4" t="str">
        <x:v>验证点击返回后的选择国家/地区状态</x:v>
      </x:c>
      <x:c r="H478" s="4" t="str">
        <x:v>选择国家/地区状态</x:v>
      </x:c>
      <x:c r="I478" s="4" t="str">
        <x:v>1. 用户账号已登录且具备当前页面权限</x:v>
      </x:c>
      <x:c r="J478" s="4" t="str">
        <x:v>1. 进入选择国家/地区
2. 点击返回</x:v>
      </x:c>
      <x:c r="K478" s="4" t="str">
        <x:v>不改变原区号</x:v>
      </x:c>
      <x:c r="L478" s="4" t="str"/>
      <x:c r="M478" s="4" t="str">
        <x:v>未测</x:v>
      </x:c>
      <x:c r="N478" s="4" t="str"/>
      <x:c r="O478" s="4" t="str">
        <x:v>1. 来源（原型批注）：liveshow-proto/prototype/annotations/user.js；auth-country-select.html
2. 页面：auth-country-select.html
3. 规则：BR-CBBAEA51F11048
4. 场景：SC-29AA71DCEEC938
5. 未动态验证</x:v>
      </x:c>
    </x:row>
    <x:row r="479" ht="54" customHeight="1">
      <x:c r="A479" s="4" t="n">
        <x:v>478</x:v>
      </x:c>
      <x:c r="B479" s="4" t="str">
        <x:v>UAUTH-0038</x:v>
      </x:c>
      <x:c r="C479" s="4" t="str">
        <x:v>账号与登录</x:v>
      </x:c>
      <x:c r="D479" s="4" t="str">
        <x:v>选择国家/地区（用户视角）</x:v>
      </x:c>
      <x:c r="E479" s="4" t="str">
        <x:v>业务流程</x:v>
      </x:c>
      <x:c r="F479" s="4" t="str">
        <x:v>P1</x:v>
      </x:c>
      <x:c r="G479" s="4" t="str">
        <x:v>验证清空搜索后的选择国家/地区状态</x:v>
      </x:c>
      <x:c r="H479" s="4" t="str">
        <x:v>选择国家/地区状态</x:v>
      </x:c>
      <x:c r="I479" s="4" t="str">
        <x:v>1. 用户账号已登录且具备当前页面权限</x:v>
      </x:c>
      <x:c r="J479" s="4" t="str">
        <x:v>1. 进入选择国家/地区
2. 清空搜索</x:v>
      </x:c>
      <x:c r="K479" s="4" t="str">
        <x:v>恢复全部地区</x:v>
      </x:c>
      <x:c r="L479" s="4" t="str"/>
      <x:c r="M479" s="4" t="str">
        <x:v>未测</x:v>
      </x:c>
      <x:c r="N479" s="4" t="str"/>
      <x:c r="O479" s="4" t="str">
        <x:v>1. 来源（原型批注）：liveshow-proto/prototype/annotations/user.js；auth-country-select.html
2. 页面：auth-country-select.html
3. 规则：BR-9EC1AC5FA19A6A
4. 场景：SC-15750D905749FC
5. 未动态验证</x:v>
      </x:c>
    </x:row>
    <x:row r="480" ht="54" customHeight="1">
      <x:c r="A480" s="4" t="n">
        <x:v>479</x:v>
      </x:c>
      <x:c r="B480" s="4" t="str">
        <x:v>UAUTH-0039</x:v>
      </x:c>
      <x:c r="C480" s="4" t="str">
        <x:v>账号与登录</x:v>
      </x:c>
      <x:c r="D480" s="4" t="str">
        <x:v>选择国家/地区（用户视角）</x:v>
      </x:c>
      <x:c r="E480" s="4" t="str">
        <x:v>逻辑校验</x:v>
      </x:c>
      <x:c r="F480" s="4" t="str">
        <x:v>P1</x:v>
      </x:c>
      <x:c r="G480" s="4" t="str">
        <x:v>验证数据范围：按指定范围筛选</x:v>
      </x:c>
      <x:c r="H480" s="4" t="str">
        <x:v>数据范围：数据范围</x:v>
      </x:c>
      <x:c r="I480" s="4" t="str">
        <x:v>1. 用户账号已登录且具备当前页面权限
2. 存在符合和不符合“支持手机号登录的国家或地区”的记录</x:v>
      </x:c>
      <x:c r="J480" s="4" t="str">
        <x:v>1. 进入选择国家/地区
2. 查看数据范围：</x:v>
      </x:c>
      <x:c r="K480" s="4" t="str">
        <x:v>数据范围：仅展示支持手机号登录的国家或地区</x:v>
      </x:c>
      <x:c r="L480" s="4" t="str"/>
      <x:c r="M480" s="4" t="str">
        <x:v>未测</x:v>
      </x:c>
      <x:c r="N480" s="4" t="str"/>
      <x:c r="O480" s="4" t="str">
        <x:v>1. 来源（原型批注）：liveshow-proto/prototype/annotations/user.js；auth-country-select.html
2. 页面：auth-country-select.html
3. 规则：BR-A79607404A8503
4. 场景：SC-A94023B4EBCB24
5. 未动态验证</x:v>
      </x:c>
    </x:row>
    <x:row r="481" ht="54" customHeight="1">
      <x:c r="A481" s="4" t="n">
        <x:v>480</x:v>
      </x:c>
      <x:c r="B481" s="4" t="str">
        <x:v>UAUTH-0040</x:v>
      </x:c>
      <x:c r="C481" s="4" t="str">
        <x:v>账号与登录</x:v>
      </x:c>
      <x:c r="D481" s="4" t="str">
        <x:v>选择国家/地区（用户视角）</x:v>
      </x:c>
      <x:c r="E481" s="4" t="str">
        <x:v>功能需求</x:v>
      </x:c>
      <x:c r="F481" s="4" t="str">
        <x:v>P1</x:v>
      </x:c>
      <x:c r="G481" s="4" t="str">
        <x:v>验证无结果时的选择国家/地区结果</x:v>
      </x:c>
      <x:c r="H481" s="4" t="str">
        <x:v>选择国家/地区条件结果</x:v>
      </x:c>
      <x:c r="I481" s="4" t="str">
        <x:v>1. 用户账号已登录且具备当前页面权限
2. 无结果</x:v>
      </x:c>
      <x:c r="J481" s="4" t="str">
        <x:v>1. 进入选择国家/地区
2. 查看选择国家/地区</x:v>
      </x:c>
      <x:c r="K481" s="4" t="str">
        <x:v>显示空状态</x:v>
      </x:c>
      <x:c r="L481" s="4" t="str"/>
      <x:c r="M481" s="4" t="str">
        <x:v>未测</x:v>
      </x:c>
      <x:c r="N481" s="4" t="str"/>
      <x:c r="O481" s="4" t="str">
        <x:v>1. 来源（原型批注）：liveshow-proto/prototype/annotations/user.js；auth-country-select.html
2. 页面：auth-country-select.html
3. 规则：BR-4A161F5A4DB8D1
4. 场景：SC-591E29F5913682
5. 未动态验证</x:v>
      </x:c>
    </x:row>
    <x:row r="482" ht="54" customHeight="1">
      <x:c r="A482" s="4" t="n">
        <x:v>481</x:v>
      </x:c>
      <x:c r="B482" s="4" t="str">
        <x:v>UAUTH-0041</x:v>
      </x:c>
      <x:c r="C482" s="4" t="str">
        <x:v>账号与登录</x:v>
      </x:c>
      <x:c r="D482" s="4" t="str">
        <x:v>选择国家/地区（用户视角）</x:v>
      </x:c>
      <x:c r="E482" s="4" t="str">
        <x:v>业务流程</x:v>
      </x:c>
      <x:c r="F482" s="4" t="str">
        <x:v>P1</x:v>
      </x:c>
      <x:c r="G482" s="4" t="str">
        <x:v>验证选择地区后的选择国家/地区状态</x:v>
      </x:c>
      <x:c r="H482" s="4" t="str">
        <x:v>选择国家/地区状态</x:v>
      </x:c>
      <x:c r="I482" s="4" t="str">
        <x:v>1. 用户账号已登录且具备当前页面权限</x:v>
      </x:c>
      <x:c r="J482" s="4" t="str">
        <x:v>1. 进入选择国家/地区
2. 选择地区</x:v>
      </x:c>
      <x:c r="K482" s="4" t="str">
        <x:v>保存区号</x:v>
      </x:c>
      <x:c r="L482" s="4" t="str"/>
      <x:c r="M482" s="4" t="str">
        <x:v>未测</x:v>
      </x:c>
      <x:c r="N482" s="4" t="str"/>
      <x:c r="O482" s="4" t="str">
        <x:v>1. 来源（原型批注）：liveshow-proto/prototype/annotations/user.js；auth-country-select.html
2. 页面：auth-country-select.html
3. 规则：BR-CFB13EB6F41A95
4. 场景：SC-49271A90C1CBC8
5. 未动态验证</x:v>
      </x:c>
    </x:row>
    <x:row r="483" ht="54" customHeight="1">
      <x:c r="A483" s="4" t="n">
        <x:v>482</x:v>
      </x:c>
      <x:c r="B483" s="4" t="str">
        <x:v>UAUTH-0042</x:v>
      </x:c>
      <x:c r="C483" s="4" t="str">
        <x:v>账号与登录</x:v>
      </x:c>
      <x:c r="D483" s="4" t="str">
        <x:v>选择国家/地区（用户视角）</x:v>
      </x:c>
      <x:c r="E483" s="4" t="str">
        <x:v>功能需求</x:v>
      </x:c>
      <x:c r="F483" s="4" t="str">
        <x:v>P1</x:v>
      </x:c>
      <x:c r="G483" s="4" t="str">
        <x:v>验证选择国家/地区可查看当前选中项</x:v>
      </x:c>
      <x:c r="H483" s="4" t="str">
        <x:v>当前选中项展示</x:v>
      </x:c>
      <x:c r="I483" s="4" t="str">
        <x:v>1. 用户账号已登录且具备当前页面权限</x:v>
      </x:c>
      <x:c r="J483" s="4" t="str">
        <x:v>1. 进入选择国家/地区
2. 查看当前选中项</x:v>
      </x:c>
      <x:c r="K483" s="4" t="str">
        <x:v>选择国家/地区显示“当前选中项”</x:v>
      </x:c>
      <x:c r="L483" s="4" t="str"/>
      <x:c r="M483" s="4" t="str">
        <x:v>未测</x:v>
      </x:c>
      <x:c r="N483" s="4" t="str"/>
      <x:c r="O483" s="4" t="str">
        <x:v>1. 来源（原型批注）：liveshow-proto/prototype/annotations/user.js；auth-country-select.html
2. 页面：auth-country-select.html
3. 规则：BR-2E00B9627B4E79、BR-51FEDF260272DC
4. 场景：SC-086B3D29D51352
5. 未动态验证</x:v>
      </x:c>
    </x:row>
    <x:row r="484" ht="54" customHeight="1">
      <x:c r="A484" s="4" t="n">
        <x:v>483</x:v>
      </x:c>
      <x:c r="B484" s="4" t="str">
        <x:v>UAUTH-0043</x:v>
      </x:c>
      <x:c r="C484" s="4" t="str">
        <x:v>账号与登录</x:v>
      </x:c>
      <x:c r="D484" s="4" t="str">
        <x:v>选择国家/地区（用户视角）</x:v>
      </x:c>
      <x:c r="E484" s="4" t="str">
        <x:v>功能需求</x:v>
      </x:c>
      <x:c r="F484" s="4" t="str">
        <x:v>P1</x:v>
      </x:c>
      <x:c r="G484" s="4" t="str">
        <x:v>验证选择国家/地区可查看全部地区</x:v>
      </x:c>
      <x:c r="H484" s="4" t="str">
        <x:v>全部地区展示</x:v>
      </x:c>
      <x:c r="I484" s="4" t="str">
        <x:v>1. 用户账号已登录且具备当前页面权限</x:v>
      </x:c>
      <x:c r="J484" s="4" t="str">
        <x:v>1. 进入选择国家/地区
2. 查看全部地区</x:v>
      </x:c>
      <x:c r="K484" s="4" t="str">
        <x:v>选择国家/地区显示“全部地区”</x:v>
      </x:c>
      <x:c r="L484" s="4" t="str"/>
      <x:c r="M484" s="4" t="str">
        <x:v>未测</x:v>
      </x:c>
      <x:c r="N484" s="4" t="str"/>
      <x:c r="O484" s="4" t="str">
        <x:v>1. 来源（原型批注）：liveshow-proto/prototype/annotations/user.js；auth-country-select.html
2. 页面：auth-country-select.html
3. 规则：BR-22FFD1672DF2EA、BR-563F2FA9ECBD24
4. 场景：SC-98230485087DF7
5. 未动态验证</x:v>
      </x:c>
    </x:row>
    <x:row r="485" ht="54" customHeight="1">
      <x:c r="A485" s="4" t="n">
        <x:v>484</x:v>
      </x:c>
      <x:c r="B485" s="4" t="str">
        <x:v>UAUTH-0044</x:v>
      </x:c>
      <x:c r="C485" s="4" t="str">
        <x:v>账号与登录</x:v>
      </x:c>
      <x:c r="D485" s="4" t="str">
        <x:v>选择国家/地区（用户视角）</x:v>
      </x:c>
      <x:c r="E485" s="4" t="str">
        <x:v>功能需求</x:v>
      </x:c>
      <x:c r="F485" s="4" t="str">
        <x:v>P1</x:v>
      </x:c>
      <x:c r="G485" s="4" t="str">
        <x:v>验证选择国家/地区可查看搜索</x:v>
      </x:c>
      <x:c r="H485" s="4" t="str">
        <x:v>搜索展示</x:v>
      </x:c>
      <x:c r="I485" s="4" t="str">
        <x:v>1. 用户账号已登录且具备当前页面权限</x:v>
      </x:c>
      <x:c r="J485" s="4" t="str">
        <x:v>1. 进入选择国家/地区
2. 查看搜索</x:v>
      </x:c>
      <x:c r="K485" s="4" t="str">
        <x:v>选择国家/地区显示“搜索”</x:v>
      </x:c>
      <x:c r="L485" s="4" t="str"/>
      <x:c r="M485" s="4" t="str">
        <x:v>未测</x:v>
      </x:c>
      <x:c r="N485" s="4" t="str"/>
      <x:c r="O485" s="4" t="str">
        <x:v>1. 来源（原型批注）：liveshow-proto/prototype/annotations/user.js；auth-country-select.html
2. 页面：auth-country-select.html
3. 规则：BR-6E267904552846、BR-4A161F5A4DB8D1
4. 场景：SC-A67A8914D0A269
5. 未动态验证</x:v>
      </x:c>
    </x:row>
    <x:row r="486" ht="54" customHeight="1">
      <x:c r="A486" s="4" t="n">
        <x:v>485</x:v>
      </x:c>
      <x:c r="B486" s="4" t="str">
        <x:v>UAUTH-0045</x:v>
      </x:c>
      <x:c r="C486" s="4" t="str">
        <x:v>账号与登录</x:v>
      </x:c>
      <x:c r="D486" s="4" t="str">
        <x:v>邮箱登录（用户视角）</x:v>
      </x:c>
      <x:c r="E486" s="4" t="str">
        <x:v>业务流程</x:v>
      </x:c>
      <x:c r="F486" s="4" t="str">
        <x:v>P1</x:v>
      </x:c>
      <x:c r="G486" s="4" t="str">
        <x:v>验证登录成功后的邮箱登录状态</x:v>
      </x:c>
      <x:c r="H486" s="4" t="str">
        <x:v>邮箱登录状态</x:v>
      </x:c>
      <x:c r="I486" s="4" t="str">
        <x:v>1. 用户账号已登录且具备当前页面权限
2. 登录成功</x:v>
      </x:c>
      <x:c r="J486" s="4" t="str">
        <x:v>1. 进入邮箱登录
2. 刷新邮箱登录</x:v>
      </x:c>
      <x:c r="K486" s="4" t="str">
        <x:v>进入首页</x:v>
      </x:c>
      <x:c r="L486" s="4" t="str"/>
      <x:c r="M486" s="4" t="str">
        <x:v>未测</x:v>
      </x:c>
      <x:c r="N486" s="4" t="str"/>
      <x:c r="O486" s="4" t="str">
        <x:v>1. 来源（原型批注）：liveshow-proto/prototype/annotations/user.js；auth-email-login.html
2. 页面：auth-email-login.html
3. 规则：BR-D82740E260992D
4. 场景：SC-FF955D64CB95CA
5. 未动态验证</x:v>
      </x:c>
    </x:row>
    <x:row r="487" ht="54" customHeight="1">
      <x:c r="A487" s="4" t="n">
        <x:v>486</x:v>
      </x:c>
      <x:c r="B487" s="4" t="str">
        <x:v>UAUTH-0046</x:v>
      </x:c>
      <x:c r="C487" s="4" t="str">
        <x:v>账号与登录</x:v>
      </x:c>
      <x:c r="D487" s="4" t="str">
        <x:v>邮箱登录（用户视角）</x:v>
      </x:c>
      <x:c r="E487" s="4" t="str">
        <x:v>业务流程</x:v>
      </x:c>
      <x:c r="F487" s="4" t="str">
        <x:v>P1</x:v>
      </x:c>
      <x:c r="G487" s="4" t="str">
        <x:v>验证点击使用密码登录后的邮箱登录状态</x:v>
      </x:c>
      <x:c r="H487" s="4" t="str">
        <x:v>邮箱登录状态</x:v>
      </x:c>
      <x:c r="I487" s="4" t="str">
        <x:v>1. 用户账号已登录且具备当前页面权限</x:v>
      </x:c>
      <x:c r="J487" s="4" t="str">
        <x:v>1. 进入邮箱登录
2. 点击使用密码登录</x:v>
      </x:c>
      <x:c r="K487" s="4" t="str">
        <x:v>切换登录方式</x:v>
      </x:c>
      <x:c r="L487" s="4" t="str"/>
      <x:c r="M487" s="4" t="str">
        <x:v>未测</x:v>
      </x:c>
      <x:c r="N487" s="4" t="str"/>
      <x:c r="O487" s="4" t="str">
        <x:v>1. 来源（原型批注）：liveshow-proto/prototype/annotations/user.js；auth-email-login.html
2. 页面：auth-email-login.html
3. 规则：BR-A107D9DA948E61
4. 场景：SC-F01A8E81B91FB1
5. 未动态验证</x:v>
      </x:c>
    </x:row>
    <x:row r="488" ht="54" customHeight="1">
      <x:c r="A488" s="4" t="n">
        <x:v>487</x:v>
      </x:c>
      <x:c r="B488" s="4" t="str">
        <x:v>UAUTH-0047</x:v>
      </x:c>
      <x:c r="C488" s="4" t="str">
        <x:v>账号与登录</x:v>
      </x:c>
      <x:c r="D488" s="4" t="str">
        <x:v>邮箱登录（用户视角）</x:v>
      </x:c>
      <x:c r="E488" s="4" t="str">
        <x:v>业务流程</x:v>
      </x:c>
      <x:c r="F488" s="4" t="str">
        <x:v>P1</x:v>
      </x:c>
      <x:c r="G488" s="4" t="str">
        <x:v>验证点击邮箱验证码登录后的邮箱登录状态</x:v>
      </x:c>
      <x:c r="H488" s="4" t="str">
        <x:v>邮箱登录状态</x:v>
      </x:c>
      <x:c r="I488" s="4" t="str">
        <x:v>1. 用户账号已登录且具备当前页面权限</x:v>
      </x:c>
      <x:c r="J488" s="4" t="str">
        <x:v>1. 进入邮箱登录
2. 点击邮箱验证码登录</x:v>
      </x:c>
      <x:c r="K488" s="4" t="str">
        <x:v>切换登录方式</x:v>
      </x:c>
      <x:c r="L488" s="4" t="str"/>
      <x:c r="M488" s="4" t="str">
        <x:v>未测</x:v>
      </x:c>
      <x:c r="N488" s="4" t="str"/>
      <x:c r="O488" s="4" t="str">
        <x:v>1. 来源（原型批注）：liveshow-proto/prototype/annotations/user.js；auth-email-login.html
2. 页面：auth-email-login.html
3. 规则：BR-A107D9DA948E61
4. 场景：SC-206B4211EAEF63
5. 未动态验证</x:v>
      </x:c>
    </x:row>
    <x:row r="489" ht="54" customHeight="1">
      <x:c r="A489" s="4" t="n">
        <x:v>488</x:v>
      </x:c>
      <x:c r="B489" s="4" t="str">
        <x:v>UAUTH-0048</x:v>
      </x:c>
      <x:c r="C489" s="4" t="str">
        <x:v>账号与登录</x:v>
      </x:c>
      <x:c r="D489" s="4" t="str">
        <x:v>邮箱登录（用户视角）</x:v>
      </x:c>
      <x:c r="E489" s="4" t="str">
        <x:v>异常用例</x:v>
      </x:c>
      <x:c r="F489" s="4" t="str">
        <x:v>P1</x:v>
      </x:c>
      <x:c r="G489" s="4" t="str">
        <x:v>验证发送后的邮箱登录状态</x:v>
      </x:c>
      <x:c r="H489" s="4" t="str">
        <x:v>邮箱登录状态</x:v>
      </x:c>
      <x:c r="I489" s="4" t="str">
        <x:v>1. 用户账号已登录且具备当前页面权限</x:v>
      </x:c>
      <x:c r="J489" s="4" t="str">
        <x:v>1. 进入邮箱登录
2. 发送</x:v>
      </x:c>
      <x:c r="K489" s="4" t="str">
        <x:v>期间不可重复获取</x:v>
      </x:c>
      <x:c r="L489" s="4" t="str"/>
      <x:c r="M489" s="4" t="str">
        <x:v>未测</x:v>
      </x:c>
      <x:c r="N489" s="4" t="str"/>
      <x:c r="O489" s="4" t="str">
        <x:v>1. 来源（原型批注）：liveshow-proto/prototype/annotations/user.js；auth-email-login.html
2. 页面：auth-email-login.html
3. 规则：BR-6BE784B91A6E11
4. 场景：SC-28832CB3CD544B
5. 未动态验证</x:v>
      </x:c>
    </x:row>
    <x:row r="490" ht="54" customHeight="1">
      <x:c r="A490" s="4" t="n">
        <x:v>489</x:v>
      </x:c>
      <x:c r="B490" s="4" t="str">
        <x:v>UAUTH-0049</x:v>
      </x:c>
      <x:c r="C490" s="4" t="str">
        <x:v>账号与登录</x:v>
      </x:c>
      <x:c r="D490" s="4" t="str">
        <x:v>邮箱登录（用户视角）</x:v>
      </x:c>
      <x:c r="E490" s="4" t="str">
        <x:v>业务流程</x:v>
      </x:c>
      <x:c r="F490" s="4" t="str">
        <x:v>P1</x:v>
      </x:c>
      <x:c r="G490" s="4" t="str">
        <x:v>验证连续错误 5 次后的邮箱登录状态</x:v>
      </x:c>
      <x:c r="H490" s="4" t="str">
        <x:v>邮箱登录状态</x:v>
      </x:c>
      <x:c r="I490" s="4" t="str">
        <x:v>1. 用户账号已登录且具备当前页面权限
2. 连续错误 5 次</x:v>
      </x:c>
      <x:c r="J490" s="4" t="str">
        <x:v>1. 进入邮箱登录
2. 刷新邮箱登录</x:v>
      </x:c>
      <x:c r="K490" s="4" t="str">
        <x:v>当前验证码失效</x:v>
      </x:c>
      <x:c r="L490" s="4" t="str"/>
      <x:c r="M490" s="4" t="str">
        <x:v>未测</x:v>
      </x:c>
      <x:c r="N490" s="4" t="str"/>
      <x:c r="O490" s="4" t="str">
        <x:v>1. 来源（原型批注）：liveshow-proto/prototype/annotations/user.js；auth-email-login.html
2. 页面：auth-email-login.html
3. 规则：BR-824F8C84651260
4. 场景：SC-14C4E5F7633642
5. 未动态验证</x:v>
      </x:c>
    </x:row>
    <x:row r="491" ht="54" customHeight="1">
      <x:c r="A491" s="4" t="n">
        <x:v>490</x:v>
      </x:c>
      <x:c r="B491" s="4" t="str">
        <x:v>UAUTH-0050</x:v>
      </x:c>
      <x:c r="C491" s="4" t="str">
        <x:v>账号与登录</x:v>
      </x:c>
      <x:c r="D491" s="4" t="str">
        <x:v>邮箱登录（用户视角）</x:v>
      </x:c>
      <x:c r="E491" s="4" t="str">
        <x:v>业务流程</x:v>
      </x:c>
      <x:c r="F491" s="4" t="str">
        <x:v>P1</x:v>
      </x:c>
      <x:c r="G491" s="4" t="str">
        <x:v>验证命中注销冷静期后的邮箱登录状态</x:v>
      </x:c>
      <x:c r="H491" s="4" t="str">
        <x:v>邮箱登录状态</x:v>
      </x:c>
      <x:c r="I491" s="4" t="str">
        <x:v>1. 用户账号已登录且具备当前页面权限
2. 命中注销冷静期</x:v>
      </x:c>
      <x:c r="J491" s="4" t="str">
        <x:v>1. 进入邮箱登录
2. 刷新邮箱登录</x:v>
      </x:c>
      <x:c r="K491" s="4" t="str">
        <x:v>展示可取消截止时间及取消注销操作</x:v>
      </x:c>
      <x:c r="L491" s="4" t="str"/>
      <x:c r="M491" s="4" t="str">
        <x:v>未测</x:v>
      </x:c>
      <x:c r="N491" s="4" t="str"/>
      <x:c r="O491" s="4" t="str">
        <x:v>1. 来源（原型批注）：liveshow-proto/prototype/annotations/user.js；auth-email-login.html
2. 页面：auth-email-login.html
3. 规则：BR-44E1A9D4E784CB
4. 场景：SC-90408B15D8996A
5. 未动态验证</x:v>
      </x:c>
    </x:row>
    <x:row r="492" ht="54" customHeight="1">
      <x:c r="A492" s="4" t="n">
        <x:v>491</x:v>
      </x:c>
      <x:c r="B492" s="4" t="str">
        <x:v>UAUTH-0051</x:v>
      </x:c>
      <x:c r="C492" s="4" t="str">
        <x:v>账号与登录</x:v>
      </x:c>
      <x:c r="D492" s="4" t="str">
        <x:v>邮箱登录（用户视角）</x:v>
      </x:c>
      <x:c r="E492" s="4" t="str">
        <x:v>功能需求</x:v>
      </x:c>
      <x:c r="F492" s="4" t="str">
        <x:v>P1</x:v>
      </x:c>
      <x:c r="G492" s="4" t="str">
        <x:v>验证邮箱登录的默认状态</x:v>
      </x:c>
      <x:c r="H492" s="4" t="str">
        <x:v>邮箱登录默认值</x:v>
      </x:c>
      <x:c r="I492" s="4" t="str">
        <x:v>1. 用户账号已登录且具备当前页面权限</x:v>
      </x:c>
      <x:c r="J492" s="4" t="str">
        <x:v>1. 进入邮箱登录
2. 查看邮箱登录</x:v>
      </x:c>
      <x:c r="K492" s="4" t="str">
        <x:v>默认使用邮箱验证码登录</x:v>
      </x:c>
      <x:c r="L492" s="4" t="str"/>
      <x:c r="M492" s="4" t="str">
        <x:v>未测</x:v>
      </x:c>
      <x:c r="N492" s="4" t="str"/>
      <x:c r="O492" s="4" t="str">
        <x:v>1. 来源（原型批注）：liveshow-proto/prototype/annotations/user.js；auth-email-login.html
2. 页面：auth-email-login.html
3. 规则：BR-773C31D6D4C576
4. 场景：SC-2E94EB31D4F625
5. 未动态验证</x:v>
      </x:c>
    </x:row>
    <x:row r="493" ht="54" customHeight="1">
      <x:c r="A493" s="4" t="n">
        <x:v>492</x:v>
      </x:c>
      <x:c r="B493" s="4" t="str">
        <x:v>UAUTH-0052</x:v>
      </x:c>
      <x:c r="C493" s="4" t="str">
        <x:v>账号与登录</x:v>
      </x:c>
      <x:c r="D493" s="4" t="str">
        <x:v>邮箱登录（用户视角）</x:v>
      </x:c>
      <x:c r="E493" s="4" t="str">
        <x:v>功能需求</x:v>
      </x:c>
      <x:c r="F493" s="4" t="str">
        <x:v>P1</x:v>
      </x:c>
      <x:c r="G493" s="4" t="str">
        <x:v>验证邮箱登录可查看密码</x:v>
      </x:c>
      <x:c r="H493" s="4" t="str">
        <x:v>密码展示</x:v>
      </x:c>
      <x:c r="I493" s="4" t="str">
        <x:v>1. 用户账号已登录且具备当前页面权限</x:v>
      </x:c>
      <x:c r="J493" s="4" t="str">
        <x:v>1. 进入邮箱登录
2. 查看密码</x:v>
      </x:c>
      <x:c r="K493" s="4" t="str">
        <x:v>邮箱登录显示“密码”</x:v>
      </x:c>
      <x:c r="L493" s="4" t="str"/>
      <x:c r="M493" s="4" t="str">
        <x:v>未测</x:v>
      </x:c>
      <x:c r="N493" s="4" t="str"/>
      <x:c r="O493" s="4" t="str">
        <x:v>1. 来源（原型批注）：liveshow-proto/prototype/annotations/user.js；auth-email-login.html
2. 页面：auth-email-login.html
3. 规则：BR-A54F0C9026020D
4. 场景：SC-7137C24CB52182
5. 未动态验证</x:v>
      </x:c>
    </x:row>
    <x:row r="494" ht="54" customHeight="1">
      <x:c r="A494" s="4" t="n">
        <x:v>493</x:v>
      </x:c>
      <x:c r="B494" s="4" t="str">
        <x:v>UAUTH-0053</x:v>
      </x:c>
      <x:c r="C494" s="4" t="str">
        <x:v>账号与登录</x:v>
      </x:c>
      <x:c r="D494" s="4" t="str">
        <x:v>邮箱登录（用户视角）</x:v>
      </x:c>
      <x:c r="E494" s="4" t="str">
        <x:v>功能需求</x:v>
      </x:c>
      <x:c r="F494" s="4" t="str">
        <x:v>P1</x:v>
      </x:c>
      <x:c r="G494" s="4" t="str">
        <x:v>验证邮箱登录可查看验证码</x:v>
      </x:c>
      <x:c r="H494" s="4" t="str">
        <x:v>验证码展示</x:v>
      </x:c>
      <x:c r="I494" s="4" t="str">
        <x:v>1. 用户账号已登录且具备当前页面权限</x:v>
      </x:c>
      <x:c r="J494" s="4" t="str">
        <x:v>1. 进入邮箱登录
2. 查看验证码</x:v>
      </x:c>
      <x:c r="K494" s="4" t="str">
        <x:v>邮箱登录显示“验证码”</x:v>
      </x:c>
      <x:c r="L494" s="4" t="str"/>
      <x:c r="M494" s="4" t="str">
        <x:v>未测</x:v>
      </x:c>
      <x:c r="N494" s="4" t="str"/>
      <x:c r="O494" s="4" t="str">
        <x:v>1. 来源（原型批注）：liveshow-proto/prototype/annotations/user.js；auth-email-login.html
2. 页面：auth-email-login.html
3. 规则：BR-9892B015C2CB47、BR-824F8C84651260
4. 场景：SC-0B62726DA66ADC
5. 未动态验证</x:v>
      </x:c>
    </x:row>
    <x:row r="495" ht="54" customHeight="1">
      <x:c r="A495" s="4" t="n">
        <x:v>494</x:v>
      </x:c>
      <x:c r="B495" s="4" t="str">
        <x:v>UAUTH-0054</x:v>
      </x:c>
      <x:c r="C495" s="4" t="str">
        <x:v>账号与登录</x:v>
      </x:c>
      <x:c r="D495" s="4" t="str">
        <x:v>邮箱登录（用户视角）</x:v>
      </x:c>
      <x:c r="E495" s="4" t="str">
        <x:v>功能需求</x:v>
      </x:c>
      <x:c r="F495" s="4" t="str">
        <x:v>P1</x:v>
      </x:c>
      <x:c r="G495" s="4" t="str">
        <x:v>验证邮箱登录可查看邮箱</x:v>
      </x:c>
      <x:c r="H495" s="4" t="str">
        <x:v>邮箱展示</x:v>
      </x:c>
      <x:c r="I495" s="4" t="str">
        <x:v>1. 用户账号已登录且具备当前页面权限</x:v>
      </x:c>
      <x:c r="J495" s="4" t="str">
        <x:v>1. 进入邮箱登录
2. 查看邮箱</x:v>
      </x:c>
      <x:c r="K495" s="4" t="str">
        <x:v>邮箱登录显示“邮箱”</x:v>
      </x:c>
      <x:c r="L495" s="4" t="str"/>
      <x:c r="M495" s="4" t="str">
        <x:v>未测</x:v>
      </x:c>
      <x:c r="N495" s="4" t="str"/>
      <x:c r="O495" s="4" t="str">
        <x:v>1. 来源（原型批注）：liveshow-proto/prototype/annotations/user.js；auth-email-login.html
2. 页面：auth-email-login.html
3. 规则：BR-370574F796B05B
4. 场景：SC-F50466A4AAD4A9
5. 未动态验证</x:v>
      </x:c>
    </x:row>
    <x:row r="496" ht="54" customHeight="1">
      <x:c r="A496" s="4" t="n">
        <x:v>495</x:v>
      </x:c>
      <x:c r="B496" s="4" t="str">
        <x:v>UAUTH-0055</x:v>
      </x:c>
      <x:c r="C496" s="4" t="str">
        <x:v>账号与登录</x:v>
      </x:c>
      <x:c r="D496" s="4" t="str">
        <x:v>注销冷静期（用户视角）</x:v>
      </x:c>
      <x:c r="E496" s="4" t="str">
        <x:v>业务流程</x:v>
      </x:c>
      <x:c r="F496" s="4" t="str">
        <x:v>P1</x:v>
      </x:c>
      <x:c r="G496" s="4" t="str">
        <x:v>验证取消注销后的注销冷静期状态</x:v>
      </x:c>
      <x:c r="H496" s="4" t="str">
        <x:v>注销冷静期状态</x:v>
      </x:c>
      <x:c r="I496" s="4" t="str">
        <x:v>1. 用户账号已登录且具备当前页面权限</x:v>
      </x:c>
      <x:c r="J496" s="4" t="str">
        <x:v>1. 打开注销冷静期
2. 取消注销</x:v>
      </x:c>
      <x:c r="K496" s="4" t="str">
        <x:v>原有数据和关系保持不变</x:v>
      </x:c>
      <x:c r="L496" s="4" t="str"/>
      <x:c r="M496" s="4" t="str">
        <x:v>未测</x:v>
      </x:c>
      <x:c r="N496" s="4" t="str"/>
      <x:c r="O496" s="4" t="str">
        <x:v>1. 来源（原型批注）：liveshow-proto/prototype/annotations/user.js；views/auth-login-register/deletion-cooling.html
2. 页面：views/auth-login-register/deletion-cooling.html
3. 规则：BR-138CB1480CB1B0
4. 场景：SC-010CA728D3CDE4
5. 未动态验证</x:v>
      </x:c>
    </x:row>
    <x:row r="497" ht="54" customHeight="1">
      <x:c r="A497" s="4" t="n">
        <x:v>496</x:v>
      </x:c>
      <x:c r="B497" s="4" t="str">
        <x:v>UAUTH-0056</x:v>
      </x:c>
      <x:c r="C497" s="4" t="str">
        <x:v>账号与登录</x:v>
      </x:c>
      <x:c r="D497" s="4" t="str">
        <x:v>注销冷静期（用户视角）</x:v>
      </x:c>
      <x:c r="E497" s="4" t="str">
        <x:v>功能需求</x:v>
      </x:c>
      <x:c r="F497" s="4" t="str">
        <x:v>P1</x:v>
      </x:c>
      <x:c r="G497" s="4" t="str">
        <x:v>验证注销冷静期可查看可取消截止时间</x:v>
      </x:c>
      <x:c r="H497" s="4" t="str">
        <x:v>可取消截止时间展示</x:v>
      </x:c>
      <x:c r="I497" s="4" t="str">
        <x:v>1. 用户账号已登录且具备当前页面权限</x:v>
      </x:c>
      <x:c r="J497" s="4" t="str">
        <x:v>1. 打开注销冷静期
2. 查看可取消截止时间</x:v>
      </x:c>
      <x:c r="K497" s="4" t="str">
        <x:v>注销冷静期显示“可取消截止时间”</x:v>
      </x:c>
      <x:c r="L497" s="4" t="str"/>
      <x:c r="M497" s="4" t="str">
        <x:v>未测</x:v>
      </x:c>
      <x:c r="N497" s="4" t="str"/>
      <x:c r="O497" s="4" t="str">
        <x:v>1. 来源（原型批注）：liveshow-proto/prototype/annotations/user.js；views/auth-login-register/deletion-cooling.html
2. 页面：views/auth-login-register/deletion-cooling.html
3. 规则：BR-83AFC9553F6A97
4. 场景：SC-1EC6BD66620394
5. 未动态验证</x:v>
      </x:c>
    </x:row>
    <x:row r="498" ht="54" customHeight="1">
      <x:c r="A498" s="4" t="n">
        <x:v>497</x:v>
      </x:c>
      <x:c r="B498" s="4" t="str">
        <x:v>UAUTH-0057</x:v>
      </x:c>
      <x:c r="C498" s="4" t="str">
        <x:v>账号与登录</x:v>
      </x:c>
      <x:c r="D498" s="4" t="str">
        <x:v>资料补全（用户视角）</x:v>
      </x:c>
      <x:c r="E498" s="4" t="str">
        <x:v>业务流程</x:v>
      </x:c>
      <x:c r="F498" s="4" t="str">
        <x:v>P1</x:v>
      </x:c>
      <x:c r="G498" s="4" t="str">
        <x:v>验证保存后的资料补全状态</x:v>
      </x:c>
      <x:c r="H498" s="4" t="str">
        <x:v>资料补全状态</x:v>
      </x:c>
      <x:c r="I498" s="4" t="str">
        <x:v>1. 用户账号已登录且具备当前页面权限</x:v>
      </x:c>
      <x:c r="J498" s="4" t="str">
        <x:v>1. 进入资料补全
2. 保存</x:v>
      </x:c>
      <x:c r="K498" s="4" t="str">
        <x:v>保存资料</x:v>
      </x:c>
      <x:c r="L498" s="4" t="str"/>
      <x:c r="M498" s="4" t="str">
        <x:v>未测</x:v>
      </x:c>
      <x:c r="N498" s="4" t="str"/>
      <x:c r="O498" s="4" t="str">
        <x:v>1. 来源（原型批注）：liveshow-proto/prototype/annotations/user.js；auth-profile-completion.html
2. 页面：auth-profile-completion.html
3. 规则：BR-4C613D9E348584
4. 场景：SC-A21361917D17FC
5. 未动态验证</x:v>
      </x:c>
    </x:row>
    <x:row r="499" ht="54" customHeight="1">
      <x:c r="A499" s="4" t="n">
        <x:v>498</x:v>
      </x:c>
      <x:c r="B499" s="4" t="str">
        <x:v>UAUTH-0058</x:v>
      </x:c>
      <x:c r="C499" s="4" t="str">
        <x:v>账号与登录</x:v>
      </x:c>
      <x:c r="D499" s="4" t="str">
        <x:v>资料补全（用户视角）</x:v>
      </x:c>
      <x:c r="E499" s="4" t="str">
        <x:v>功能需求</x:v>
      </x:c>
      <x:c r="F499" s="4" t="str">
        <x:v>P1</x:v>
      </x:c>
      <x:c r="G499" s="4" t="str">
        <x:v>验证昵称的默认状态</x:v>
      </x:c>
      <x:c r="H499" s="4" t="str">
        <x:v>昵称默认值</x:v>
      </x:c>
      <x:c r="I499" s="4" t="str">
        <x:v>1. 用户账号已登录且具备当前页面权限</x:v>
      </x:c>
      <x:c r="J499" s="4" t="str">
        <x:v>1. 进入资料补全
2. 查看昵称</x:v>
      </x:c>
      <x:c r="K499" s="4" t="str">
        <x:v>默认使用系统昵称</x:v>
      </x:c>
      <x:c r="L499" s="4" t="str"/>
      <x:c r="M499" s="4" t="str">
        <x:v>未测</x:v>
      </x:c>
      <x:c r="N499" s="4" t="str"/>
      <x:c r="O499" s="4" t="str">
        <x:v>1. 来源（原型批注）：liveshow-proto/prototype/annotations/user.js；auth-profile-completion.html
2. 页面：auth-profile-completion.html
3. 规则：BR-FF9A32E0CC1664
4. 场景：SC-F4FDA63EDEA03A
5. 未动态验证</x:v>
      </x:c>
    </x:row>
    <x:row r="500" ht="54" customHeight="1">
      <x:c r="A500" s="4" t="n">
        <x:v>499</x:v>
      </x:c>
      <x:c r="B500" s="4" t="str">
        <x:v>UAUTH-0059</x:v>
      </x:c>
      <x:c r="C500" s="4" t="str">
        <x:v>账号与登录</x:v>
      </x:c>
      <x:c r="D500" s="4" t="str">
        <x:v>资料补全（用户视角）</x:v>
      </x:c>
      <x:c r="E500" s="4" t="str">
        <x:v>业务流程</x:v>
      </x:c>
      <x:c r="F500" s="4" t="str">
        <x:v>P1</x:v>
      </x:c>
      <x:c r="G500" s="4" t="str">
        <x:v>验证跳过后的资料补全状态</x:v>
      </x:c>
      <x:c r="H500" s="4" t="str">
        <x:v>资料补全状态</x:v>
      </x:c>
      <x:c r="I500" s="4" t="str">
        <x:v>1. 用户账号已登录且具备当前页面权限
2. 跳过</x:v>
      </x:c>
      <x:c r="J500" s="4" t="str">
        <x:v>1. 进入资料补全
2. 刷新资料补全</x:v>
      </x:c>
      <x:c r="K500" s="4" t="str">
        <x:v>保留系统默认资料</x:v>
      </x:c>
      <x:c r="L500" s="4" t="str"/>
      <x:c r="M500" s="4" t="str">
        <x:v>未测</x:v>
      </x:c>
      <x:c r="N500" s="4" t="str"/>
      <x:c r="O500" s="4" t="str">
        <x:v>1. 来源（原型批注）：liveshow-proto/prototype/annotations/user.js；auth-profile-completion.html
2. 页面：auth-profile-completion.html
3. 规则：BR-A0F2840412E9EC
4. 场景：SC-05DA6F33261833
5. 未动态验证</x:v>
      </x:c>
    </x:row>
    <x:row r="501" ht="54" customHeight="1">
      <x:c r="A501" s="4" t="n">
        <x:v>500</x:v>
      </x:c>
      <x:c r="B501" s="4" t="str">
        <x:v>UAUTH-0060</x:v>
      </x:c>
      <x:c r="C501" s="4" t="str">
        <x:v>账号与登录</x:v>
      </x:c>
      <x:c r="D501" s="4" t="str">
        <x:v>资料补全（用户视角）</x:v>
      </x:c>
      <x:c r="E501" s="4" t="str">
        <x:v>功能需求</x:v>
      </x:c>
      <x:c r="F501" s="4" t="str">
        <x:v>P1</x:v>
      </x:c>
      <x:c r="G501" s="4" t="str">
        <x:v>验证头像的默认状态</x:v>
      </x:c>
      <x:c r="H501" s="4" t="str">
        <x:v>头像默认值</x:v>
      </x:c>
      <x:c r="I501" s="4" t="str">
        <x:v>1. 用户账号已登录且具备当前页面权限</x:v>
      </x:c>
      <x:c r="J501" s="4" t="str">
        <x:v>1. 进入资料补全
2. 查看头像</x:v>
      </x:c>
      <x:c r="K501" s="4" t="str">
        <x:v>默认使用系统头像，可选择预置头像</x:v>
      </x:c>
      <x:c r="L501" s="4" t="str"/>
      <x:c r="M501" s="4" t="str">
        <x:v>未测</x:v>
      </x:c>
      <x:c r="N501" s="4" t="str"/>
      <x:c r="O501" s="4" t="str">
        <x:v>1. 来源（原型批注）：liveshow-proto/prototype/annotations/user.js；auth-profile-completion.html
2. 页面：auth-profile-completion.html
3. 规则：BR-BF746D53322F93
4. 场景：SC-C790916340B450
5. 未动态验证</x:v>
      </x:c>
    </x:row>
    <x:row r="502" ht="54" customHeight="1">
      <x:c r="A502" s="4" t="n">
        <x:v>501</x:v>
      </x:c>
      <x:c r="B502" s="4" t="str">
        <x:v>UAUTH-0061</x:v>
      </x:c>
      <x:c r="C502" s="4" t="str">
        <x:v>账号与登录</x:v>
      </x:c>
      <x:c r="D502" s="4" t="str">
        <x:v>资料补全（用户视角）</x:v>
      </x:c>
      <x:c r="E502" s="4" t="str">
        <x:v>功能需求</x:v>
      </x:c>
      <x:c r="F502" s="4" t="str">
        <x:v>P1</x:v>
      </x:c>
      <x:c r="G502" s="4" t="str">
        <x:v>验证资料补全可查看昵称</x:v>
      </x:c>
      <x:c r="H502" s="4" t="str">
        <x:v>昵称展示</x:v>
      </x:c>
      <x:c r="I502" s="4" t="str">
        <x:v>1. 用户账号已登录且具备当前页面权限</x:v>
      </x:c>
      <x:c r="J502" s="4" t="str">
        <x:v>1. 进入资料补全
2. 查看昵称</x:v>
      </x:c>
      <x:c r="K502" s="4" t="str">
        <x:v>资料补全显示“昵称”</x:v>
      </x:c>
      <x:c r="L502" s="4" t="str"/>
      <x:c r="M502" s="4" t="str">
        <x:v>未测</x:v>
      </x:c>
      <x:c r="N502" s="4" t="str"/>
      <x:c r="O502" s="4" t="str">
        <x:v>1. 来源（原型批注）：liveshow-proto/prototype/annotations/user.js；auth-profile-completion.html
2. 页面：auth-profile-completion.html
3. 规则：BR-FF9A32E0CC1664、BR-56AA747A1D392A
4. 场景：SC-4AA1DD86087913
5. 未动态验证</x:v>
      </x:c>
    </x:row>
    <x:row r="503" ht="54" customHeight="1">
      <x:c r="A503" s="4" t="n">
        <x:v>502</x:v>
      </x:c>
      <x:c r="B503" s="4" t="str">
        <x:v>UAUTH-0062</x:v>
      </x:c>
      <x:c r="C503" s="4" t="str">
        <x:v>账号与登录</x:v>
      </x:c>
      <x:c r="D503" s="4" t="str">
        <x:v>资料补全（用户视角）</x:v>
      </x:c>
      <x:c r="E503" s="4" t="str">
        <x:v>功能需求</x:v>
      </x:c>
      <x:c r="F503" s="4" t="str">
        <x:v>P1</x:v>
      </x:c>
      <x:c r="G503" s="4" t="str">
        <x:v>验证资料补全可查看头像</x:v>
      </x:c>
      <x:c r="H503" s="4" t="str">
        <x:v>头像展示</x:v>
      </x:c>
      <x:c r="I503" s="4" t="str">
        <x:v>1. 用户账号已登录且具备当前页面权限</x:v>
      </x:c>
      <x:c r="J503" s="4" t="str">
        <x:v>1. 进入资料补全
2. 查看头像</x:v>
      </x:c>
      <x:c r="K503" s="4" t="str">
        <x:v>资料补全显示“头像”</x:v>
      </x:c>
      <x:c r="L503" s="4" t="str"/>
      <x:c r="M503" s="4" t="str">
        <x:v>未测</x:v>
      </x:c>
      <x:c r="N503" s="4" t="str"/>
      <x:c r="O503" s="4" t="str">
        <x:v>1. 来源（原型批注）：liveshow-proto/prototype/annotations/user.js；auth-profile-completion.html
2. 页面：auth-profile-completion.html
3. 规则：BR-BF746D53322F93
4. 场景：SC-A073B4AC08341C
5. 未动态验证</x:v>
      </x:c>
    </x:row>
    <x:row r="504" ht="54" customHeight="1">
      <x:c r="A504" s="4" t="n">
        <x:v>503</x:v>
      </x:c>
      <x:c r="B504" s="4" t="str">
        <x:v>ULIVE-0001</x:v>
      </x:c>
      <x:c r="C504" s="4" t="str">
        <x:v>直播模块</x:v>
      </x:c>
      <x:c r="D504" s="4" t="str">
        <x:v>被禁言（观众视角）</x:v>
      </x:c>
      <x:c r="E504" s="4" t="str">
        <x:v>功能需求</x:v>
      </x:c>
      <x:c r="F504" s="4" t="str">
        <x:v>P1</x:v>
      </x:c>
      <x:c r="G504" s="4" t="str">
        <x:v>验证本场未解除禁言时的被禁言结果</x:v>
      </x:c>
      <x:c r="H504" s="4" t="str">
        <x:v>被禁言条件结果</x:v>
      </x:c>
      <x:c r="I504" s="4" t="str">
        <x:v>1. 观众账号已登录且具备当前页面权限
2. 本场未解除禁言</x:v>
      </x:c>
      <x:c r="J504" s="4" t="str">
        <x:v>1. 打开被禁言
2. 查看被禁言</x:v>
      </x:c>
      <x:c r="K504" s="4" t="str">
        <x:v>用户进入同一主播的下一场直播后恢复发言</x:v>
      </x:c>
      <x:c r="L504" s="4" t="str"/>
      <x:c r="M504" s="4" t="str">
        <x:v>未测</x:v>
      </x:c>
      <x:c r="N504" s="4" t="str"/>
      <x:c r="O504" s="4" t="str">
        <x:v>1. 来源（原型批注）：liveshow-proto/prototype/annotations/user.js；views/live-room/comment-muted.html
2. 页面：views/live-room/comment-muted.html
3. 规则：BR-246A400C5B213C
4. 场景：SC-268FCF7EFC9471
5. 未动态验证</x:v>
      </x:c>
    </x:row>
    <x:row r="505" ht="54" customHeight="1">
      <x:c r="A505" s="4" t="n">
        <x:v>504</x:v>
      </x:c>
      <x:c r="B505" s="4" t="str">
        <x:v>ULIVE-0002</x:v>
      </x:c>
      <x:c r="C505" s="4" t="str">
        <x:v>直播模块</x:v>
      </x:c>
      <x:c r="D505" s="4" t="str">
        <x:v>被禁言（观众视角）</x:v>
      </x:c>
      <x:c r="E505" s="4" t="str">
        <x:v>业务流程</x:v>
      </x:c>
      <x:c r="F505" s="4" t="str">
        <x:v>P1</x:v>
      </x:c>
      <x:c r="G505" s="4" t="str">
        <x:v>验证房管解除禁言后的被禁言状态</x:v>
      </x:c>
      <x:c r="H505" s="4" t="str">
        <x:v>被禁言状态</x:v>
      </x:c>
      <x:c r="I505" s="4" t="str">
        <x:v>1. 观众账号已登录且具备当前页面权限
2. 房管解除禁言</x:v>
      </x:c>
      <x:c r="J505" s="4" t="str">
        <x:v>1. 打开被禁言
2. 刷新被禁言</x:v>
      </x:c>
      <x:c r="K505" s="4" t="str">
        <x:v>用户立即恢复发言</x:v>
      </x:c>
      <x:c r="L505" s="4" t="str"/>
      <x:c r="M505" s="4" t="str">
        <x:v>未测</x:v>
      </x:c>
      <x:c r="N505" s="4" t="str"/>
      <x:c r="O505" s="4" t="str">
        <x:v>1. 来源（原型批注）：liveshow-proto/prototype/annotations/user.js；views/live-room/comment-muted.html
2. 页面：views/live-room/comment-muted.html
3. 规则：BR-6080E980D671AA
4. 场景：SC-77E6D01B2AC458
5. 未动态验证</x:v>
      </x:c>
    </x:row>
    <x:row r="506" ht="54" customHeight="1">
      <x:c r="A506" s="4" t="n">
        <x:v>505</x:v>
      </x:c>
      <x:c r="B506" s="4" t="str">
        <x:v>ULIVE-0003</x:v>
      </x:c>
      <x:c r="C506" s="4" t="str">
        <x:v>直播模块</x:v>
      </x:c>
      <x:c r="D506" s="4" t="str">
        <x:v>被禁言（观众视角）</x:v>
      </x:c>
      <x:c r="E506" s="4" t="str">
        <x:v>业务流程</x:v>
      </x:c>
      <x:c r="F506" s="4" t="str">
        <x:v>P1</x:v>
      </x:c>
      <x:c r="G506" s="4" t="str">
        <x:v>验证主播解除禁言后的被禁言状态</x:v>
      </x:c>
      <x:c r="H506" s="4" t="str">
        <x:v>被禁言状态</x:v>
      </x:c>
      <x:c r="I506" s="4" t="str">
        <x:v>1. 观众账号已登录且具备当前页面权限
2. 主播解除禁言</x:v>
      </x:c>
      <x:c r="J506" s="4" t="str">
        <x:v>1. 打开被禁言
2. 刷新被禁言</x:v>
      </x:c>
      <x:c r="K506" s="4" t="str">
        <x:v>用户立即恢复发言</x:v>
      </x:c>
      <x:c r="L506" s="4" t="str"/>
      <x:c r="M506" s="4" t="str">
        <x:v>未测</x:v>
      </x:c>
      <x:c r="N506" s="4" t="str"/>
      <x:c r="O506" s="4" t="str">
        <x:v>1. 来源（原型批注）：liveshow-proto/prototype/annotations/user.js；views/live-room/comment-muted.html
2. 页面：views/live-room/comment-muted.html
3. 规则：BR-6080E980D671AA
4. 场景：SC-69754C873A540C
5. 未动态验证</x:v>
      </x:c>
    </x:row>
    <x:row r="507" ht="54" customHeight="1">
      <x:c r="A507" s="4" t="n">
        <x:v>506</x:v>
      </x:c>
      <x:c r="B507" s="4" t="str">
        <x:v>ULIVE-0004</x:v>
      </x:c>
      <x:c r="C507" s="4" t="str">
        <x:v>直播模块</x:v>
      </x:c>
      <x:c r="D507" s="4" t="str">
        <x:v>被拉黑或踢出-访问受限（观众视角）</x:v>
      </x:c>
      <x:c r="E507" s="4" t="str">
        <x:v>业务流程</x:v>
      </x:c>
      <x:c r="F507" s="4" t="str">
        <x:v>P1</x:v>
      </x:c>
      <x:c r="G507" s="4" t="str">
        <x:v>验证点击“返回”后的被拉黑或踢出-访问受限状态</x:v>
      </x:c>
      <x:c r="H507" s="4" t="str">
        <x:v>被拉黑或踢出-访问受限状态</x:v>
      </x:c>
      <x:c r="I507" s="4" t="str">
        <x:v>1. 观众账号已登录且具备当前页面权限</x:v>
      </x:c>
      <x:c r="J507" s="4" t="str">
        <x:v>1. 打开被拉黑或踢出-访问受限
2. 点击“返回”</x:v>
      </x:c>
      <x:c r="K507" s="4" t="str">
        <x:v>无来源时返回首页</x:v>
      </x:c>
      <x:c r="L507" s="4" t="str"/>
      <x:c r="M507" s="4" t="str">
        <x:v>未测</x:v>
      </x:c>
      <x:c r="N507" s="4" t="str"/>
      <x:c r="O507" s="4" t="str">
        <x:v>1. 来源（原型批注）：liveshow-proto/prototype/annotations/user.js；views/live-room/blocked-room-restricted.html
2. 页面：views/live-room/blocked-room-restricted.html
3. 规则：BR-0081781397AD17
4. 场景：SC-FCDB629202EEA0
5. 未动态验证</x:v>
      </x:c>
    </x:row>
    <x:row r="508" ht="54" customHeight="1">
      <x:c r="A508" s="4" t="n">
        <x:v>507</x:v>
      </x:c>
      <x:c r="B508" s="4" t="str">
        <x:v>ULIVE-0005</x:v>
      </x:c>
      <x:c r="C508" s="4" t="str">
        <x:v>直播模块</x:v>
      </x:c>
      <x:c r="D508" s="4" t="str">
        <x:v>被拉黑或踢出-访问受限（观众视角）</x:v>
      </x:c>
      <x:c r="E508" s="4" t="str">
        <x:v>功能需求</x:v>
      </x:c>
      <x:c r="F508" s="4" t="str">
        <x:v>P1</x:v>
      </x:c>
      <x:c r="G508" s="4" t="str">
        <x:v>验证巡房人员从有效巡房任务进入时的被拉黑或踢出-访问受限结果</x:v>
      </x:c>
      <x:c r="H508" s="4" t="str">
        <x:v>被拉黑或踢出-访问受限条件结果</x:v>
      </x:c>
      <x:c r="I508" s="4" t="str">
        <x:v>1. 观众账号已登录且具备当前页面权限
2. 巡房人员从有效巡房任务进入</x:v>
      </x:c>
      <x:c r="J508" s="4" t="str">
        <x:v>1. 打开被拉黑或踢出-访问受限
2. 查看被拉黑或踢出-访问受限</x:v>
      </x:c>
      <x:c r="K508" s="4" t="str">
        <x:v>不应用此拦截</x:v>
      </x:c>
      <x:c r="L508" s="4" t="str"/>
      <x:c r="M508" s="4" t="str">
        <x:v>未测</x:v>
      </x:c>
      <x:c r="N508" s="4" t="str"/>
      <x:c r="O508" s="4" t="str">
        <x:v>1. 来源（原型批注）：liveshow-proto/prototype/annotations/user.js；views/live-room/blocked-room-restricted.html
2. 页面：views/live-room/blocked-room-restricted.html
3. 规则：BR-D6C022B189DC8E
4. 场景：SC-1EADCE732F6512
5. 未动态验证</x:v>
      </x:c>
    </x:row>
    <x:row r="509" ht="54" customHeight="1">
      <x:c r="A509" s="4" t="n">
        <x:v>508</x:v>
      </x:c>
      <x:c r="B509" s="4" t="str">
        <x:v>ULIVE-0006</x:v>
      </x:c>
      <x:c r="C509" s="4" t="str">
        <x:v>直播模块</x:v>
      </x:c>
      <x:c r="D509" s="4" t="str">
        <x:v>本场贡献-贡献榜（观众视角）</x:v>
      </x:c>
      <x:c r="E509" s="4" t="str">
        <x:v>功能需求</x:v>
      </x:c>
      <x:c r="F509" s="4" t="str">
        <x:v>P1</x:v>
      </x:c>
      <x:c r="G509" s="4" t="str">
        <x:v>验证本场贡献-贡献榜可查看榜单数量</x:v>
      </x:c>
      <x:c r="H509" s="4" t="str">
        <x:v>榜单数量展示</x:v>
      </x:c>
      <x:c r="I509" s="4" t="str">
        <x:v>1. 观众账号已登录且具备当前页面权限</x:v>
      </x:c>
      <x:c r="J509" s="4" t="str">
        <x:v>1. 打开本场贡献-贡献榜
2. 查看榜单数量</x:v>
      </x:c>
      <x:c r="K509" s="4" t="str">
        <x:v>本场贡献-贡献榜显示“榜单数量”</x:v>
      </x:c>
      <x:c r="L509" s="4" t="str"/>
      <x:c r="M509" s="4" t="str">
        <x:v>未测</x:v>
      </x:c>
      <x:c r="N509" s="4" t="str"/>
      <x:c r="O509" s="4" t="str">
        <x:v>1. 来源（原型批注）：liveshow-proto/prototype/annotations/user.js；views/live-room/contribution-rank.html
2. 页面：views/live-room/contribution-rank.html
3. 规则：BR-FB96A190A0A47E、BR-690AB2C9D7C357
4. 场景：SC-55E199188B1A3F
5. 未动态验证</x:v>
      </x:c>
    </x:row>
    <x:row r="510" ht="54" customHeight="1">
      <x:c r="A510" s="4" t="n">
        <x:v>509</x:v>
      </x:c>
      <x:c r="B510" s="4" t="str">
        <x:v>ULIVE-0007</x:v>
      </x:c>
      <x:c r="C510" s="4" t="str">
        <x:v>直播模块</x:v>
      </x:c>
      <x:c r="D510" s="4" t="str">
        <x:v>本场贡献-贡献榜（观众视角）</x:v>
      </x:c>
      <x:c r="E510" s="4" t="str">
        <x:v>功能需求</x:v>
      </x:c>
      <x:c r="F510" s="4" t="str">
        <x:v>P1</x:v>
      </x:c>
      <x:c r="G510" s="4" t="str">
        <x:v>验证本场贡献-贡献榜可查看贡献值</x:v>
      </x:c>
      <x:c r="H510" s="4" t="str">
        <x:v>贡献值展示</x:v>
      </x:c>
      <x:c r="I510" s="4" t="str">
        <x:v>1. 观众账号已登录且具备当前页面权限</x:v>
      </x:c>
      <x:c r="J510" s="4" t="str">
        <x:v>1. 打开本场贡献-贡献榜
2. 查看贡献值</x:v>
      </x:c>
      <x:c r="K510" s="4" t="str">
        <x:v>本场贡献-贡献榜显示“贡献值”</x:v>
      </x:c>
      <x:c r="L510" s="4" t="str"/>
      <x:c r="M510" s="4" t="str">
        <x:v>未测</x:v>
      </x:c>
      <x:c r="N510" s="4" t="str"/>
      <x:c r="O510" s="4" t="str">
        <x:v>1. 来源（原型批注）：liveshow-proto/prototype/annotations/user.js；views/live-room/contribution-rank.html
2. 页面：views/live-room/contribution-rank.html
3. 规则：BR-34D6103EFDEF7A、BR-0CCA1F0A73E23C、BR-60B37F8B8F8004
4. 场景：SC-1DC2E4747EA883
5. 未动态验证</x:v>
      </x:c>
    </x:row>
    <x:row r="511" ht="54" customHeight="1">
      <x:c r="A511" s="4" t="n">
        <x:v>510</x:v>
      </x:c>
      <x:c r="B511" s="4" t="str">
        <x:v>ULIVE-0008</x:v>
      </x:c>
      <x:c r="C511" s="4" t="str">
        <x:v>直播模块</x:v>
      </x:c>
      <x:c r="D511" s="4" t="str">
        <x:v>本场贡献-贡献榜（观众视角）</x:v>
      </x:c>
      <x:c r="E511" s="4" t="str">
        <x:v>功能需求</x:v>
      </x:c>
      <x:c r="F511" s="4" t="str">
        <x:v>P1</x:v>
      </x:c>
      <x:c r="G511" s="4" t="str">
        <x:v>验证本场贡献-贡献榜可查看排名</x:v>
      </x:c>
      <x:c r="H511" s="4" t="str">
        <x:v>排名展示</x:v>
      </x:c>
      <x:c r="I511" s="4" t="str">
        <x:v>1. 观众账号已登录且具备当前页面权限</x:v>
      </x:c>
      <x:c r="J511" s="4" t="str">
        <x:v>1. 打开本场贡献-贡献榜
2. 查看排名</x:v>
      </x:c>
      <x:c r="K511" s="4" t="str">
        <x:v>本场贡献-贡献榜显示“排名”</x:v>
      </x:c>
      <x:c r="L511" s="4" t="str"/>
      <x:c r="M511" s="4" t="str">
        <x:v>未测</x:v>
      </x:c>
      <x:c r="N511" s="4" t="str"/>
      <x:c r="O511" s="4" t="str">
        <x:v>1. 来源（原型批注）：liveshow-proto/prototype/annotations/user.js；views/live-room/contribution-rank.html
2. 页面：views/live-room/contribution-rank.html
3. 规则：BR-49A0A33DE68FDB、BR-9D625DC320C808
4. 场景：SC-1043ADDDBD5EF6
5. 未动态验证</x:v>
      </x:c>
    </x:row>
    <x:row r="512" ht="54" customHeight="1">
      <x:c r="A512" s="4" t="n">
        <x:v>511</x:v>
      </x:c>
      <x:c r="B512" s="4" t="str">
        <x:v>ULIVE-0009</x:v>
      </x:c>
      <x:c r="C512" s="4" t="str">
        <x:v>直播模块</x:v>
      </x:c>
      <x:c r="D512" s="4" t="str">
        <x:v>本场贡献-贡献榜（观众视角）</x:v>
      </x:c>
      <x:c r="E512" s="4" t="str">
        <x:v>功能需求</x:v>
      </x:c>
      <x:c r="F512" s="4" t="str">
        <x:v>P1</x:v>
      </x:c>
      <x:c r="G512" s="4" t="str">
        <x:v>验证本场贡献-贡献榜可查看我的排名</x:v>
      </x:c>
      <x:c r="H512" s="4" t="str">
        <x:v>我的排名展示</x:v>
      </x:c>
      <x:c r="I512" s="4" t="str">
        <x:v>1. 观众账号已登录且具备当前页面权限</x:v>
      </x:c>
      <x:c r="J512" s="4" t="str">
        <x:v>1. 打开本场贡献-贡献榜
2. 查看我的排名</x:v>
      </x:c>
      <x:c r="K512" s="4" t="str">
        <x:v>本场贡献-贡献榜显示“我的排名”</x:v>
      </x:c>
      <x:c r="L512" s="4" t="str"/>
      <x:c r="M512" s="4" t="str">
        <x:v>未测</x:v>
      </x:c>
      <x:c r="N512" s="4" t="str"/>
      <x:c r="O512" s="4" t="str">
        <x:v>1. 来源（原型批注）：liveshow-proto/prototype/annotations/user.js；views/live-room/contribution-rank.html
2. 页面：views/live-room/contribution-rank.html
3. 规则：BR-CF4378A677C56A、BR-9E386E081145E6
4. 场景：SC-94A4C43D0B5DD3
5. 未动态验证</x:v>
      </x:c>
    </x:row>
    <x:row r="513" ht="54" customHeight="1">
      <x:c r="A513" s="4" t="n">
        <x:v>512</x:v>
      </x:c>
      <x:c r="B513" s="4" t="str">
        <x:v>ULIVE-0010</x:v>
      </x:c>
      <x:c r="C513" s="4" t="str">
        <x:v>直播模块</x:v>
      </x:c>
      <x:c r="D513" s="4" t="str">
        <x:v>本场贡献-贡献榜（观众视角）</x:v>
      </x:c>
      <x:c r="E513" s="4" t="str">
        <x:v>业务流程</x:v>
      </x:c>
      <x:c r="F513" s="4" t="str">
        <x:v>P1</x:v>
      </x:c>
      <x:c r="G513" s="4" t="str">
        <x:v>验证场次结束后的本场贡献-贡献榜状态</x:v>
      </x:c>
      <x:c r="H513" s="4" t="str">
        <x:v>本场贡献-贡献榜状态</x:v>
      </x:c>
      <x:c r="I513" s="4" t="str">
        <x:v>1. 观众账号已登录且具备当前页面权限
2. 场次结束</x:v>
      </x:c>
      <x:c r="J513" s="4" t="str">
        <x:v>1. 打开本场贡献-贡献榜
2. 刷新本场贡献-贡献榜</x:v>
      </x:c>
      <x:c r="K513" s="4" t="str">
        <x:v>榜单作为历史快照保留</x:v>
      </x:c>
      <x:c r="L513" s="4" t="str"/>
      <x:c r="M513" s="4" t="str">
        <x:v>未测</x:v>
      </x:c>
      <x:c r="N513" s="4" t="str"/>
      <x:c r="O513" s="4" t="str">
        <x:v>1. 来源（原型批注）：liveshow-proto/prototype/annotations/user.js；views/live-room/contribution-rank.html
2. 页面：views/live-room/contribution-rank.html
3. 规则：BR-10AB0333E00450
4. 场景：SC-FA2752D134E2F2
5. 未动态验证</x:v>
      </x:c>
    </x:row>
    <x:row r="514" ht="54" customHeight="1">
      <x:c r="A514" s="4" t="n">
        <x:v>513</x:v>
      </x:c>
      <x:c r="B514" s="4" t="str">
        <x:v>ULIVE-0011</x:v>
      </x:c>
      <x:c r="C514" s="4" t="str">
        <x:v>直播模块</x:v>
      </x:c>
      <x:c r="D514" s="4" t="str">
        <x:v>本场贡献-贡献榜（观众视角）</x:v>
      </x:c>
      <x:c r="E514" s="4" t="str">
        <x:v>业务流程</x:v>
      </x:c>
      <x:c r="F514" s="4" t="str">
        <x:v>P1</x:v>
      </x:c>
      <x:c r="G514" s="4" t="str">
        <x:v>验证点击用户后的本场贡献-贡献榜状态</x:v>
      </x:c>
      <x:c r="H514" s="4" t="str">
        <x:v>本场贡献-贡献榜状态</x:v>
      </x:c>
      <x:c r="I514" s="4" t="str">
        <x:v>1. 观众账号已登录且具备当前页面权限</x:v>
      </x:c>
      <x:c r="J514" s="4" t="str">
        <x:v>1. 打开本场贡献-贡献榜
2. 点击用户</x:v>
      </x:c>
      <x:c r="K514" s="4" t="str">
        <x:v>打开用户资料卡</x:v>
      </x:c>
      <x:c r="L514" s="4" t="str"/>
      <x:c r="M514" s="4" t="str">
        <x:v>未测</x:v>
      </x:c>
      <x:c r="N514" s="4" t="str"/>
      <x:c r="O514" s="4" t="str">
        <x:v>1. 来源（原型批注）：liveshow-proto/prototype/annotations/user.js；views/live-room/contribution-rank.html
2. 页面：views/live-room/contribution-rank.html
3. 规则：BR-6BEE790C496697
4. 场景：SC-FCB736C6A06F67
5. 未动态验证</x:v>
      </x:c>
    </x:row>
    <x:row r="515" ht="54" customHeight="1">
      <x:c r="A515" s="4" t="n">
        <x:v>514</x:v>
      </x:c>
      <x:c r="B515" s="4" t="str">
        <x:v>ULIVE-0012</x:v>
      </x:c>
      <x:c r="C515" s="4" t="str">
        <x:v>直播模块</x:v>
      </x:c>
      <x:c r="D515" s="4" t="str">
        <x:v>本场贡献-贡献榜（观众视角）</x:v>
      </x:c>
      <x:c r="E515" s="4" t="str">
        <x:v>功能需求</x:v>
      </x:c>
      <x:c r="F515" s="4" t="str">
        <x:v>P1</x:v>
      </x:c>
      <x:c r="G515" s="4" t="str">
        <x:v>验证固定时的本场贡献-贡献榜结果</x:v>
      </x:c>
      <x:c r="H515" s="4" t="str">
        <x:v>本场贡献-贡献榜条件结果</x:v>
      </x:c>
      <x:c r="I515" s="4" t="str">
        <x:v>1. 观众账号已登录且具备当前页面权限
2. 固定</x:v>
      </x:c>
      <x:c r="J515" s="4" t="str">
        <x:v>1. 打开本场贡献-贡献榜
2. 查看本场贡献-贡献榜</x:v>
      </x:c>
      <x:c r="K515" s="4" t="str">
        <x:v>固定显示在榜单底部</x:v>
      </x:c>
      <x:c r="L515" s="4" t="str"/>
      <x:c r="M515" s="4" t="str">
        <x:v>未测</x:v>
      </x:c>
      <x:c r="N515" s="4" t="str"/>
      <x:c r="O515" s="4" t="str">
        <x:v>1. 来源（原型批注）：liveshow-proto/prototype/annotations/user.js；views/live-room/contribution-rank.html
2. 页面：views/live-room/contribution-rank.html
3. 规则：BR-CF4378A677C56A
4. 场景：SC-712E43DAE6DD6F
5. 未动态验证</x:v>
      </x:c>
    </x:row>
    <x:row r="516" ht="54" customHeight="1">
      <x:c r="A516" s="4" t="n">
        <x:v>515</x:v>
      </x:c>
      <x:c r="B516" s="4" t="str">
        <x:v>ULIVE-0013</x:v>
      </x:c>
      <x:c r="C516" s="4" t="str">
        <x:v>直播模块</x:v>
      </x:c>
      <x:c r="D516" s="4" t="str">
        <x:v>本场贡献-贡献榜（观众视角）</x:v>
      </x:c>
      <x:c r="E516" s="4" t="str">
        <x:v>业务流程</x:v>
      </x:c>
      <x:c r="F516" s="4" t="str">
        <x:v>P1</x:v>
      </x:c>
      <x:c r="G516" s="4" t="str">
        <x:v>验证切换贡献榜后的本场贡献-贡献榜状态</x:v>
      </x:c>
      <x:c r="H516" s="4" t="str">
        <x:v>本场贡献-贡献榜状态</x:v>
      </x:c>
      <x:c r="I516" s="4" t="str">
        <x:v>1. 观众账号已登录且具备当前页面权限</x:v>
      </x:c>
      <x:c r="J516" s="4" t="str">
        <x:v>1. 打开本场贡献-贡献榜
2. 切换贡献榜</x:v>
      </x:c>
      <x:c r="K516" s="4" t="str">
        <x:v>保持当前场次范围</x:v>
      </x:c>
      <x:c r="L516" s="4" t="str"/>
      <x:c r="M516" s="4" t="str">
        <x:v>未测</x:v>
      </x:c>
      <x:c r="N516" s="4" t="str"/>
      <x:c r="O516" s="4" t="str">
        <x:v>1. 来源（原型批注）：liveshow-proto/prototype/annotations/user.js；views/live-room/contribution-rank.html
2. 页面：views/live-room/contribution-rank.html
3. 规则：BR-196CA42ADFFBC0
4. 场景：SC-A091C8270B34EA
5. 未动态验证</x:v>
      </x:c>
    </x:row>
    <x:row r="517" ht="54" customHeight="1">
      <x:c r="A517" s="4" t="n">
        <x:v>516</x:v>
      </x:c>
      <x:c r="B517" s="4" t="str">
        <x:v>ULIVE-0014</x:v>
      </x:c>
      <x:c r="C517" s="4" t="str">
        <x:v>直播模块</x:v>
      </x:c>
      <x:c r="D517" s="4" t="str">
        <x:v>本场贡献-贡献榜（观众视角）</x:v>
      </x:c>
      <x:c r="E517" s="4" t="str">
        <x:v>业务流程</x:v>
      </x:c>
      <x:c r="F517" s="4" t="str">
        <x:v>P1</x:v>
      </x:c>
      <x:c r="G517" s="4" t="str">
        <x:v>验证切换收到礼物后的本场贡献-贡献榜状态</x:v>
      </x:c>
      <x:c r="H517" s="4" t="str">
        <x:v>本场贡献-贡献榜状态</x:v>
      </x:c>
      <x:c r="I517" s="4" t="str">
        <x:v>1. 观众账号已登录且具备当前页面权限</x:v>
      </x:c>
      <x:c r="J517" s="4" t="str">
        <x:v>1. 打开本场贡献-贡献榜
2. 切换收到礼物</x:v>
      </x:c>
      <x:c r="K517" s="4" t="str">
        <x:v>保持当前场次范围</x:v>
      </x:c>
      <x:c r="L517" s="4" t="str"/>
      <x:c r="M517" s="4" t="str">
        <x:v>未测</x:v>
      </x:c>
      <x:c r="N517" s="4" t="str"/>
      <x:c r="O517" s="4" t="str">
        <x:v>1. 来源（原型批注）：liveshow-proto/prototype/annotations/user.js；views/live-room/contribution-rank.html
2. 页面：views/live-room/contribution-rank.html
3. 规则：BR-196CA42ADFFBC0
4. 场景：SC-4417FDF26F27F7
5. 未动态验证</x:v>
      </x:c>
    </x:row>
    <x:row r="518" ht="54" customHeight="1">
      <x:c r="A518" s="4" t="n">
        <x:v>517</x:v>
      </x:c>
      <x:c r="B518" s="4" t="str">
        <x:v>ULIVE-0015</x:v>
      </x:c>
      <x:c r="C518" s="4" t="str">
        <x:v>直播模块</x:v>
      </x:c>
      <x:c r="D518" s="4" t="str">
        <x:v>本场贡献-贡献榜（观众视角）</x:v>
      </x:c>
      <x:c r="E518" s="4" t="str">
        <x:v>业务流程</x:v>
      </x:c>
      <x:c r="F518" s="4" t="str">
        <x:v>P1</x:v>
      </x:c>
      <x:c r="G518" s="4" t="str">
        <x:v>验证完成全部排序后的本场贡献-贡献榜状态</x:v>
      </x:c>
      <x:c r="H518" s="4" t="str">
        <x:v>本场贡献-贡献榜状态</x:v>
      </x:c>
      <x:c r="I518" s="4" t="str">
        <x:v>1. 观众账号已登录且具备当前页面权限
2. 完成全部排序</x:v>
      </x:c>
      <x:c r="J518" s="4" t="str">
        <x:v>1. 打开本场贡献-贡献榜
2. 刷新本场贡献-贡献榜</x:v>
      </x:c>
      <x:c r="K518" s="4" t="str">
        <x:v>显示前 99 名</x:v>
      </x:c>
      <x:c r="L518" s="4" t="str"/>
      <x:c r="M518" s="4" t="str">
        <x:v>未测</x:v>
      </x:c>
      <x:c r="N518" s="4" t="str"/>
      <x:c r="O518" s="4" t="str">
        <x:v>1. 来源（原型批注）：liveshow-proto/prototype/annotations/user.js；views/live-room/contribution-rank.html
2. 页面：views/live-room/contribution-rank.html
3. 规则：BR-FB96A190A0A47E
4. 场景：SC-12D4952F77BB00
5. 未动态验证</x:v>
      </x:c>
    </x:row>
    <x:row r="519" ht="54" customHeight="1">
      <x:c r="A519" s="4" t="n">
        <x:v>518</x:v>
      </x:c>
      <x:c r="B519" s="4" t="str">
        <x:v>ULIVE-0016</x:v>
      </x:c>
      <x:c r="C519" s="4" t="str">
        <x:v>直播模块</x:v>
      </x:c>
      <x:c r="D519" s="4" t="str">
        <x:v>本场贡献-贡献榜（观众视角）</x:v>
      </x:c>
      <x:c r="E519" s="4" t="str">
        <x:v>功能需求</x:v>
      </x:c>
      <x:c r="F519" s="4" t="str">
        <x:v>P1</x:v>
      </x:c>
      <x:c r="G519" s="4" t="str">
        <x:v>验证虚拟金币可计入榜单时的本场贡献-贡献榜结果</x:v>
      </x:c>
      <x:c r="H519" s="4" t="str">
        <x:v>本场贡献-贡献榜条件结果</x:v>
      </x:c>
      <x:c r="I519" s="4" t="str">
        <x:v>1. 观众账号已登录且具备当前页面权限
2. 虚拟金币可计入榜单</x:v>
      </x:c>
      <x:c r="J519" s="4" t="str">
        <x:v>1. 打开本场贡献-贡献榜
2. 查看本场贡献-贡献榜</x:v>
      </x:c>
      <x:c r="K519" s="4" t="str">
        <x:v>虚拟金币可计入榜单展示但不计入主播收益</x:v>
      </x:c>
      <x:c r="L519" s="4" t="str"/>
      <x:c r="M519" s="4" t="str">
        <x:v>未测</x:v>
      </x:c>
      <x:c r="N519" s="4" t="str"/>
      <x:c r="O519" s="4" t="str">
        <x:v>1. 来源（原型批注）：liveshow-proto/prototype/annotations/user.js；views/live-room/contribution-rank.html
2. 页面：views/live-room/contribution-rank.html
3. 规则：BR-CAB5E77F1A41A8
4. 场景：SC-7B7C3CBF772E57
5. 未动态验证</x:v>
      </x:c>
    </x:row>
    <x:row r="520" ht="54" customHeight="1">
      <x:c r="A520" s="4" t="n">
        <x:v>519</x:v>
      </x:c>
      <x:c r="B520" s="4" t="str">
        <x:v>ULIVE-0017</x:v>
      </x:c>
      <x:c r="C520" s="4" t="str">
        <x:v>直播模块</x:v>
      </x:c>
      <x:c r="D520" s="4" t="str">
        <x:v>本场贡献-贡献榜（观众视角）</x:v>
      </x:c>
      <x:c r="E520" s="4" t="str">
        <x:v>功能需求</x:v>
      </x:c>
      <x:c r="F520" s="4" t="str">
        <x:v>P1</x:v>
      </x:c>
      <x:c r="G520" s="4" t="str">
        <x:v>验证虚拟金币赠礼可计入时的本场贡献-贡献榜结果</x:v>
      </x:c>
      <x:c r="H520" s="4" t="str">
        <x:v>本场贡献-贡献榜条件结果</x:v>
      </x:c>
      <x:c r="I520" s="4" t="str">
        <x:v>1. 观众账号已登录且具备当前页面权限
2. 虚拟金币赠礼可计入</x:v>
      </x:c>
      <x:c r="J520" s="4" t="str">
        <x:v>1. 打开本场贡献-贡献榜
2. 查看本场贡献-贡献榜</x:v>
      </x:c>
      <x:c r="K520" s="4" t="str">
        <x:v>虚拟金币赠礼可计入展示但不形成主播收益</x:v>
      </x:c>
      <x:c r="L520" s="4" t="str"/>
      <x:c r="M520" s="4" t="str">
        <x:v>未测</x:v>
      </x:c>
      <x:c r="N520" s="4" t="str"/>
      <x:c r="O520" s="4" t="str">
        <x:v>1. 来源（原型批注）：liveshow-proto/prototype/annotations/user.js；views/live-room/contribution-rank.html
2. 页面：views/live-room/contribution-rank.html
3. 规则：BR-60B37F8B8F8004
4. 场景：SC-5D52D1F145543F
5. 未动态验证</x:v>
      </x:c>
    </x:row>
    <x:row r="521" ht="54" customHeight="1">
      <x:c r="A521" s="4" t="n">
        <x:v>520</x:v>
      </x:c>
      <x:c r="B521" s="4" t="str">
        <x:v>ULIVE-0018</x:v>
      </x:c>
      <x:c r="C521" s="4" t="str">
        <x:v>直播模块</x:v>
      </x:c>
      <x:c r="D521" s="4" t="str">
        <x:v>本场贡献-贡献榜（观众视角）</x:v>
      </x:c>
      <x:c r="E521" s="4" t="str">
        <x:v>业务流程</x:v>
      </x:c>
      <x:c r="F521" s="4" t="str">
        <x:v>P1</x:v>
      </x:c>
      <x:c r="G521" s="4" t="str">
        <x:v>验证账号注销后的本场贡献-贡献榜状态</x:v>
      </x:c>
      <x:c r="H521" s="4" t="str">
        <x:v>本场贡献-贡献榜状态</x:v>
      </x:c>
      <x:c r="I521" s="4" t="str">
        <x:v>1. 观众账号已登录且具备当前页面权限
2. 账号注销</x:v>
      </x:c>
      <x:c r="J521" s="4" t="str">
        <x:v>1. 打开本场贡献-贡献榜
2. 刷新本场贡献-贡献榜</x:v>
      </x:c>
      <x:c r="K521" s="4" t="str">
        <x:v>保留历史贡献</x:v>
      </x:c>
      <x:c r="L521" s="4" t="str"/>
      <x:c r="M521" s="4" t="str">
        <x:v>未测</x:v>
      </x:c>
      <x:c r="N521" s="4" t="str"/>
      <x:c r="O521" s="4" t="str">
        <x:v>1. 来源（原型批注）：liveshow-proto/prototype/annotations/user.js；views/live-room/contribution-rank.html
2. 页面：views/live-room/contribution-rank.html
3. 规则：BR-FE3BA53CD34231
4. 场景：SC-77AF9253D3BBD8
5. 未动态验证</x:v>
      </x:c>
    </x:row>
    <x:row r="522" ht="54" customHeight="1">
      <x:c r="A522" s="4" t="n">
        <x:v>521</x:v>
      </x:c>
      <x:c r="B522" s="4" t="str">
        <x:v>ULIVE-0019</x:v>
      </x:c>
      <x:c r="C522" s="4" t="str">
        <x:v>直播模块</x:v>
      </x:c>
      <x:c r="D522" s="4" t="str">
        <x:v>本场贡献-贡献榜（主播视角）</x:v>
      </x:c>
      <x:c r="E522" s="4" t="str">
        <x:v>功能需求</x:v>
      </x:c>
      <x:c r="F522" s="4" t="str">
        <x:v>P1</x:v>
      </x:c>
      <x:c r="G522" s="4" t="str">
        <x:v>验证本场贡献-贡献榜可查看榜单数量</x:v>
      </x:c>
      <x:c r="H522" s="4" t="str">
        <x:v>榜单数量展示</x:v>
      </x:c>
      <x:c r="I522" s="4" t="str">
        <x:v>1. 主播账号已登录且具备当前页面权限</x:v>
      </x:c>
      <x:c r="J522" s="4" t="str">
        <x:v>1. 打开本场贡献-贡献榜
2. 查看榜单数量</x:v>
      </x:c>
      <x:c r="K522" s="4" t="str">
        <x:v>本场贡献-贡献榜显示“榜单数量”</x:v>
      </x:c>
      <x:c r="L522" s="4" t="str"/>
      <x:c r="M522" s="4" t="str">
        <x:v>未测</x:v>
      </x:c>
      <x:c r="N522" s="4" t="str"/>
      <x:c r="O522" s="4" t="str">
        <x:v>1. 来源（原型批注）：liveshow-proto/prototype/annotations/user.js；views/live-room-host/contribution-rank.html
2. 页面：views/live-room-host/contribution-rank.html
3. 规则：BR-8DFF6BEDFB8F0C、BR-6F177E85397CF4
4. 场景：SC-7571EC92F23E48
5. 未动态验证</x:v>
      </x:c>
    </x:row>
    <x:row r="523" ht="54" customHeight="1">
      <x:c r="A523" s="4" t="n">
        <x:v>522</x:v>
      </x:c>
      <x:c r="B523" s="4" t="str">
        <x:v>ULIVE-0020</x:v>
      </x:c>
      <x:c r="C523" s="4" t="str">
        <x:v>直播模块</x:v>
      </x:c>
      <x:c r="D523" s="4" t="str">
        <x:v>本场贡献-贡献榜（主播视角）</x:v>
      </x:c>
      <x:c r="E523" s="4" t="str">
        <x:v>功能需求</x:v>
      </x:c>
      <x:c r="F523" s="4" t="str">
        <x:v>P1</x:v>
      </x:c>
      <x:c r="G523" s="4" t="str">
        <x:v>验证本场贡献-贡献榜可查看禁言状态</x:v>
      </x:c>
      <x:c r="H523" s="4" t="str">
        <x:v>禁言状态展示</x:v>
      </x:c>
      <x:c r="I523" s="4" t="str">
        <x:v>1. 主播账号已登录且具备当前页面权限</x:v>
      </x:c>
      <x:c r="J523" s="4" t="str">
        <x:v>1. 打开本场贡献-贡献榜
2. 查看禁言状态</x:v>
      </x:c>
      <x:c r="K523" s="4" t="str">
        <x:v>本场贡献-贡献榜显示“禁言状态”</x:v>
      </x:c>
      <x:c r="L523" s="4" t="str"/>
      <x:c r="M523" s="4" t="str">
        <x:v>未测</x:v>
      </x:c>
      <x:c r="N523" s="4" t="str"/>
      <x:c r="O523" s="4" t="str">
        <x:v>1. 来源（原型批注）：liveshow-proto/prototype/annotations/user.js；views/live-room-host/contribution-rank.html
2. 页面：views/live-room-host/contribution-rank.html
3. 规则：BR-F086759AAAADAF
4. 场景：SC-67A08B3B79A433
5. 未动态验证</x:v>
      </x:c>
    </x:row>
    <x:row r="524" ht="54" customHeight="1">
      <x:c r="A524" s="4" t="n">
        <x:v>523</x:v>
      </x:c>
      <x:c r="B524" s="4" t="str">
        <x:v>ULIVE-0021</x:v>
      </x:c>
      <x:c r="C524" s="4" t="str">
        <x:v>直播模块</x:v>
      </x:c>
      <x:c r="D524" s="4" t="str">
        <x:v>本场贡献-贡献榜（主播视角）</x:v>
      </x:c>
      <x:c r="E524" s="4" t="str">
        <x:v>功能需求</x:v>
      </x:c>
      <x:c r="F524" s="4" t="str">
        <x:v>P1</x:v>
      </x:c>
      <x:c r="G524" s="4" t="str">
        <x:v>验证本场贡献-贡献榜可查看排名</x:v>
      </x:c>
      <x:c r="H524" s="4" t="str">
        <x:v>排名展示</x:v>
      </x:c>
      <x:c r="I524" s="4" t="str">
        <x:v>1. 主播账号已登录且具备当前页面权限</x:v>
      </x:c>
      <x:c r="J524" s="4" t="str">
        <x:v>1. 打开本场贡献-贡献榜
2. 查看排名</x:v>
      </x:c>
      <x:c r="K524" s="4" t="str">
        <x:v>本场贡献-贡献榜显示“排名”</x:v>
      </x:c>
      <x:c r="L524" s="4" t="str"/>
      <x:c r="M524" s="4" t="str">
        <x:v>未测</x:v>
      </x:c>
      <x:c r="N524" s="4" t="str"/>
      <x:c r="O524" s="4" t="str">
        <x:v>1. 来源（原型批注）：liveshow-proto/prototype/annotations/user.js；views/live-room-host/contribution-rank.html
2. 页面：views/live-room-host/contribution-rank.html
3. 规则：BR-9B955D5329C45F、BR-B049B488437151
4. 场景：SC-1864CED61E8D54
5. 未动态验证</x:v>
      </x:c>
    </x:row>
    <x:row r="525" ht="54" customHeight="1">
      <x:c r="A525" s="4" t="n">
        <x:v>524</x:v>
      </x:c>
      <x:c r="B525" s="4" t="str">
        <x:v>ULIVE-0022</x:v>
      </x:c>
      <x:c r="C525" s="4" t="str">
        <x:v>直播模块</x:v>
      </x:c>
      <x:c r="D525" s="4" t="str">
        <x:v>本场贡献-贡献榜（主播视角）</x:v>
      </x:c>
      <x:c r="E525" s="4" t="str">
        <x:v>功能需求</x:v>
      </x:c>
      <x:c r="F525" s="4" t="str">
        <x:v>P1</x:v>
      </x:c>
      <x:c r="G525" s="4" t="str">
        <x:v>验证本场贡献-贡献榜可查看统计范围</x:v>
      </x:c>
      <x:c r="H525" s="4" t="str">
        <x:v>统计范围展示</x:v>
      </x:c>
      <x:c r="I525" s="4" t="str">
        <x:v>1. 主播账号已登录且具备当前页面权限</x:v>
      </x:c>
      <x:c r="J525" s="4" t="str">
        <x:v>1. 打开本场贡献-贡献榜
2. 查看统计范围</x:v>
      </x:c>
      <x:c r="K525" s="4" t="str">
        <x:v>本场贡献-贡献榜显示“统计范围”</x:v>
      </x:c>
      <x:c r="L525" s="4" t="str"/>
      <x:c r="M525" s="4" t="str">
        <x:v>未测</x:v>
      </x:c>
      <x:c r="N525" s="4" t="str"/>
      <x:c r="O525" s="4" t="str">
        <x:v>1. 来源（原型批注）：liveshow-proto/prototype/annotations/user.js；views/live-room-host/contribution-rank.html
2. 页面：views/live-room-host/contribution-rank.html
3. 规则：BR-039F50A187C88E
4. 场景：SC-16CA6D90CE434B
5. 未动态验证</x:v>
      </x:c>
    </x:row>
    <x:row r="526" ht="54" customHeight="1">
      <x:c r="A526" s="4" t="n">
        <x:v>525</x:v>
      </x:c>
      <x:c r="B526" s="4" t="str">
        <x:v>ULIVE-0023</x:v>
      </x:c>
      <x:c r="C526" s="4" t="str">
        <x:v>直播模块</x:v>
      </x:c>
      <x:c r="D526" s="4" t="str">
        <x:v>本场贡献-贡献榜（主播视角）</x:v>
      </x:c>
      <x:c r="E526" s="4" t="str">
        <x:v>功能需求</x:v>
      </x:c>
      <x:c r="F526" s="4" t="str">
        <x:v>P1</x:v>
      </x:c>
      <x:c r="G526" s="4" t="str">
        <x:v>验证本场贡献-贡献榜可查看用户身份</x:v>
      </x:c>
      <x:c r="H526" s="4" t="str">
        <x:v>用户身份展示</x:v>
      </x:c>
      <x:c r="I526" s="4" t="str">
        <x:v>1. 主播账号已登录且具备当前页面权限</x:v>
      </x:c>
      <x:c r="J526" s="4" t="str">
        <x:v>1. 打开本场贡献-贡献榜
2. 查看用户身份</x:v>
      </x:c>
      <x:c r="K526" s="4" t="str">
        <x:v>本场贡献-贡献榜显示“用户身份”</x:v>
      </x:c>
      <x:c r="L526" s="4" t="str"/>
      <x:c r="M526" s="4" t="str">
        <x:v>未测</x:v>
      </x:c>
      <x:c r="N526" s="4" t="str"/>
      <x:c r="O526" s="4" t="str">
        <x:v>1. 来源（原型批注）：liveshow-proto/prototype/annotations/user.js；views/live-room-host/contribution-rank.html
2. 页面：views/live-room-host/contribution-rank.html
3. 规则：BR-96ABA352FB2DAD、BR-8E577F2A319DAE
4. 场景：SC-C311C75FF4A0C0
5. 未动态验证</x:v>
      </x:c>
    </x:row>
    <x:row r="527" ht="54" customHeight="1">
      <x:c r="A527" s="4" t="n">
        <x:v>526</x:v>
      </x:c>
      <x:c r="B527" s="4" t="str">
        <x:v>ULIVE-0024</x:v>
      </x:c>
      <x:c r="C527" s="4" t="str">
        <x:v>直播模块</x:v>
      </x:c>
      <x:c r="D527" s="4" t="str">
        <x:v>本场贡献-贡献榜（主播视角）</x:v>
      </x:c>
      <x:c r="E527" s="4" t="str">
        <x:v>业务流程</x:v>
      </x:c>
      <x:c r="F527" s="4" t="str">
        <x:v>P1</x:v>
      </x:c>
      <x:c r="G527" s="4" t="str">
        <x:v>验证场次结束后的本场贡献-贡献榜状态</x:v>
      </x:c>
      <x:c r="H527" s="4" t="str">
        <x:v>本场贡献-贡献榜状态</x:v>
      </x:c>
      <x:c r="I527" s="4" t="str">
        <x:v>1. 主播账号已登录且具备当前页面权限
2. 场次结束</x:v>
      </x:c>
      <x:c r="J527" s="4" t="str">
        <x:v>1. 打开本场贡献-贡献榜
2. 刷新本场贡献-贡献榜</x:v>
      </x:c>
      <x:c r="K527" s="4" t="str">
        <x:v>榜单保留为历史快照</x:v>
      </x:c>
      <x:c r="L527" s="4" t="str"/>
      <x:c r="M527" s="4" t="str">
        <x:v>未测</x:v>
      </x:c>
      <x:c r="N527" s="4" t="str"/>
      <x:c r="O527" s="4" t="str">
        <x:v>1. 来源（原型批注）：liveshow-proto/prototype/annotations/user.js；views/live-room-host/contribution-rank.html
2. 页面：views/live-room-host/contribution-rank.html
3. 规则：BR-3A4B119018BDF3
4. 场景：SC-461E4CDE412C4C
5. 未动态验证</x:v>
      </x:c>
    </x:row>
    <x:row r="528" ht="54" customHeight="1">
      <x:c r="A528" s="4" t="n">
        <x:v>527</x:v>
      </x:c>
      <x:c r="B528" s="4" t="str">
        <x:v>ULIVE-0025</x:v>
      </x:c>
      <x:c r="C528" s="4" t="str">
        <x:v>直播模块</x:v>
      </x:c>
      <x:c r="D528" s="4" t="str">
        <x:v>本场贡献-贡献榜（主播视角）</x:v>
      </x:c>
      <x:c r="E528" s="4" t="str">
        <x:v>功能需求</x:v>
      </x:c>
      <x:c r="F528" s="4" t="str">
        <x:v>P1</x:v>
      </x:c>
      <x:c r="G528" s="4" t="str">
        <x:v>验证当前场次被禁言用户时的本场贡献-贡献榜结果</x:v>
      </x:c>
      <x:c r="H528" s="4" t="str">
        <x:v>本场贡献-贡献榜条件结果</x:v>
      </x:c>
      <x:c r="I528" s="4" t="str">
        <x:v>1. 主播账号已登录且具备当前页面权限
2. 当前场次被禁言用户</x:v>
      </x:c>
      <x:c r="J528" s="4" t="str">
        <x:v>1. 打开本场贡献-贡献榜
2. 查看本场贡献-贡献榜</x:v>
      </x:c>
      <x:c r="K528" s="4" t="str">
        <x:v>当前场次被禁言用户展示禁言标识</x:v>
      </x:c>
      <x:c r="L528" s="4" t="str"/>
      <x:c r="M528" s="4" t="str">
        <x:v>未测</x:v>
      </x:c>
      <x:c r="N528" s="4" t="str"/>
      <x:c r="O528" s="4" t="str">
        <x:v>1. 来源（原型批注）：liveshow-proto/prototype/annotations/user.js；views/live-room-host/contribution-rank.html
2. 页面：views/live-room-host/contribution-rank.html
3. 规则：BR-F086759AAAADAF
4. 场景：SC-EDFBCBB4E6CF3F
5. 未动态验证</x:v>
      </x:c>
    </x:row>
    <x:row r="529" ht="54" customHeight="1">
      <x:c r="A529" s="4" t="n">
        <x:v>528</x:v>
      </x:c>
      <x:c r="B529" s="4" t="str">
        <x:v>ULIVE-0026</x:v>
      </x:c>
      <x:c r="C529" s="4" t="str">
        <x:v>直播模块</x:v>
      </x:c>
      <x:c r="D529" s="4" t="str">
        <x:v>本场贡献-贡献榜（主播视角）</x:v>
      </x:c>
      <x:c r="E529" s="4" t="str">
        <x:v>业务流程</x:v>
      </x:c>
      <x:c r="F529" s="4" t="str">
        <x:v>P1</x:v>
      </x:c>
      <x:c r="G529" s="4" t="str">
        <x:v>验证点击用户后的本场贡献-贡献榜状态</x:v>
      </x:c>
      <x:c r="H529" s="4" t="str">
        <x:v>本场贡献-贡献榜状态</x:v>
      </x:c>
      <x:c r="I529" s="4" t="str">
        <x:v>1. 主播账号已登录且具备当前页面权限</x:v>
      </x:c>
      <x:c r="J529" s="4" t="str">
        <x:v>1. 打开本场贡献-贡献榜
2. 点击用户</x:v>
      </x:c>
      <x:c r="K529" s="4" t="str">
        <x:v>打开主播权限资料卡</x:v>
      </x:c>
      <x:c r="L529" s="4" t="str"/>
      <x:c r="M529" s="4" t="str">
        <x:v>未测</x:v>
      </x:c>
      <x:c r="N529" s="4" t="str"/>
      <x:c r="O529" s="4" t="str">
        <x:v>1. 来源（原型批注）：liveshow-proto/prototype/annotations/user.js；views/live-room-host/contribution-rank.html
2. 页面：views/live-room-host/contribution-rank.html
3. 规则：BR-3EE2B42E2B8B87
4. 场景：SC-18C30FB2A184F9
5. 未动态验证</x:v>
      </x:c>
    </x:row>
    <x:row r="530" ht="54" customHeight="1">
      <x:c r="A530" s="4" t="n">
        <x:v>529</x:v>
      </x:c>
      <x:c r="B530" s="4" t="str">
        <x:v>ULIVE-0027</x:v>
      </x:c>
      <x:c r="C530" s="4" t="str">
        <x:v>直播模块</x:v>
      </x:c>
      <x:c r="D530" s="4" t="str">
        <x:v>本场贡献-贡献榜（主播视角）</x:v>
      </x:c>
      <x:c r="E530" s="4" t="str">
        <x:v>业务流程</x:v>
      </x:c>
      <x:c r="F530" s="4" t="str">
        <x:v>P1</x:v>
      </x:c>
      <x:c r="G530" s="4" t="str">
        <x:v>验证切换至观众后的本场贡献-贡献榜状态</x:v>
      </x:c>
      <x:c r="H530" s="4" t="str">
        <x:v>本场贡献-贡献榜状态</x:v>
      </x:c>
      <x:c r="I530" s="4" t="str">
        <x:v>1. 主播账号已登录且具备当前页面权限</x:v>
      </x:c>
      <x:c r="J530" s="4" t="str">
        <x:v>1. 打开本场贡献-贡献榜
2. 切换至观众</x:v>
      </x:c>
      <x:c r="K530" s="4" t="str">
        <x:v>展示当前在线观众</x:v>
      </x:c>
      <x:c r="L530" s="4" t="str"/>
      <x:c r="M530" s="4" t="str">
        <x:v>未测</x:v>
      </x:c>
      <x:c r="N530" s="4" t="str"/>
      <x:c r="O530" s="4" t="str">
        <x:v>1. 来源（原型批注）：liveshow-proto/prototype/annotations/user.js；views/live-room-host/contribution-rank.html
2. 页面：views/live-room-host/contribution-rank.html
3. 规则：BR-F61C83CE6C0912
4. 场景：SC-AFA65CDDE94743
5. 未动态验证</x:v>
      </x:c>
    </x:row>
    <x:row r="531" ht="54" customHeight="1">
      <x:c r="A531" s="4" t="n">
        <x:v>530</x:v>
      </x:c>
      <x:c r="B531" s="4" t="str">
        <x:v>ULIVE-0028</x:v>
      </x:c>
      <x:c r="C531" s="4" t="str">
        <x:v>直播模块</x:v>
      </x:c>
      <x:c r="D531" s="4" t="str">
        <x:v>本场贡献-贡献榜（主播视角）</x:v>
      </x:c>
      <x:c r="E531" s="4" t="str">
        <x:v>业务流程</x:v>
      </x:c>
      <x:c r="F531" s="4" t="str">
        <x:v>P1</x:v>
      </x:c>
      <x:c r="G531" s="4" t="str">
        <x:v>验证私信后的本场贡献-贡献榜状态</x:v>
      </x:c>
      <x:c r="H531" s="4" t="str">
        <x:v>本场贡献-贡献榜状态</x:v>
      </x:c>
      <x:c r="I531" s="4" t="str">
        <x:v>1. 主播账号已登录且具备当前页面权限
2. 私信</x:v>
      </x:c>
      <x:c r="J531" s="4" t="str">
        <x:v>1. 打开本场贡献-贡献榜
2. 刷新本场贡献-贡献榜</x:v>
      </x:c>
      <x:c r="K531" s="4" t="str">
        <x:v>进入与该用户的单聊</x:v>
      </x:c>
      <x:c r="L531" s="4" t="str"/>
      <x:c r="M531" s="4" t="str">
        <x:v>未测</x:v>
      </x:c>
      <x:c r="N531" s="4" t="str"/>
      <x:c r="O531" s="4" t="str">
        <x:v>1. 来源（原型批注）：liveshow-proto/prototype/annotations/user.js；views/live-room-host/contribution-rank.html
2. 页面：views/live-room-host/contribution-rank.html
3. 规则：BR-8CA8A6F1F78B8A
4. 场景：SC-1CC5AA409E4BEA
5. 未动态验证</x:v>
      </x:c>
    </x:row>
    <x:row r="532" ht="54" customHeight="1">
      <x:c r="A532" s="4" t="n">
        <x:v>531</x:v>
      </x:c>
      <x:c r="B532" s="4" t="str">
        <x:v>ULIVE-0029</x:v>
      </x:c>
      <x:c r="C532" s="4" t="str">
        <x:v>直播模块</x:v>
      </x:c>
      <x:c r="D532" s="4" t="str">
        <x:v>本场贡献-贡献榜（主播视角）</x:v>
      </x:c>
      <x:c r="E532" s="4" t="str">
        <x:v>业务流程</x:v>
      </x:c>
      <x:c r="F532" s="4" t="str">
        <x:v>P1</x:v>
      </x:c>
      <x:c r="G532" s="4" t="str">
        <x:v>验证完成全部排序后的本场贡献-贡献榜状态</x:v>
      </x:c>
      <x:c r="H532" s="4" t="str">
        <x:v>本场贡献-贡献榜状态</x:v>
      </x:c>
      <x:c r="I532" s="4" t="str">
        <x:v>1. 主播账号已登录且具备当前页面权限
2. 完成全部排序</x:v>
      </x:c>
      <x:c r="J532" s="4" t="str">
        <x:v>1. 打开本场贡献-贡献榜
2. 刷新本场贡献-贡献榜</x:v>
      </x:c>
      <x:c r="K532" s="4" t="str">
        <x:v>显示前 99 名</x:v>
      </x:c>
      <x:c r="L532" s="4" t="str"/>
      <x:c r="M532" s="4" t="str">
        <x:v>未测</x:v>
      </x:c>
      <x:c r="N532" s="4" t="str"/>
      <x:c r="O532" s="4" t="str">
        <x:v>1. 来源（原型批注）：liveshow-proto/prototype/annotations/user.js；views/live-room-host/contribution-rank.html
2. 页面：views/live-room-host/contribution-rank.html
3. 规则：BR-8DFF6BEDFB8F0C
4. 场景：SC-E09C9746AB4D2B
5. 未动态验证</x:v>
      </x:c>
    </x:row>
    <x:row r="533" ht="54" customHeight="1">
      <x:c r="A533" s="4" t="n">
        <x:v>532</x:v>
      </x:c>
      <x:c r="B533" s="4" t="str">
        <x:v>ULIVE-0030</x:v>
      </x:c>
      <x:c r="C533" s="4" t="str">
        <x:v>直播模块</x:v>
      </x:c>
      <x:c r="D533" s="4" t="str">
        <x:v>本场贡献-贡献榜（主播视角）</x:v>
      </x:c>
      <x:c r="E533" s="4" t="str">
        <x:v>功能需求</x:v>
      </x:c>
      <x:c r="F533" s="4" t="str">
        <x:v>P1</x:v>
      </x:c>
      <x:c r="G533" s="4" t="str">
        <x:v>验证无对应身份时的本场贡献-贡献榜结果</x:v>
      </x:c>
      <x:c r="H533" s="4" t="str">
        <x:v>本场贡献-贡献榜条件结果</x:v>
      </x:c>
      <x:c r="I533" s="4" t="str">
        <x:v>1. 主播账号已登录且具备当前页面权限
2. 无对应身份</x:v>
      </x:c>
      <x:c r="J533" s="4" t="str">
        <x:v>1. 打开本场贡献-贡献榜
2. 查看本场贡献-贡献榜</x:v>
      </x:c>
      <x:c r="K533" s="4" t="str">
        <x:v>不展示</x:v>
      </x:c>
      <x:c r="L533" s="4" t="str"/>
      <x:c r="M533" s="4" t="str">
        <x:v>未测</x:v>
      </x:c>
      <x:c r="N533" s="4" t="str"/>
      <x:c r="O533" s="4" t="str">
        <x:v>1. 来源（原型批注）：liveshow-proto/prototype/annotations/user.js；views/live-room-host/contribution-rank.html
2. 页面：views/live-room-host/contribution-rank.html
3. 规则：BR-8E577F2A319DAE
4. 场景：SC-53DA53BE363A1E
5. 未动态验证</x:v>
      </x:c>
    </x:row>
    <x:row r="534" ht="54" customHeight="1">
      <x:c r="A534" s="4" t="n">
        <x:v>533</x:v>
      </x:c>
      <x:c r="B534" s="4" t="str">
        <x:v>ULIVE-0031</x:v>
      </x:c>
      <x:c r="C534" s="4" t="str">
        <x:v>直播模块</x:v>
      </x:c>
      <x:c r="D534" s="4" t="str">
        <x:v>本场贡献-贡献榜（主播视角）</x:v>
      </x:c>
      <x:c r="E534" s="4" t="str">
        <x:v>业务流程</x:v>
      </x:c>
      <x:c r="F534" s="4" t="str">
        <x:v>P1</x:v>
      </x:c>
      <x:c r="G534" s="4" t="str">
        <x:v>验证账号注销后的本场贡献-贡献榜状态</x:v>
      </x:c>
      <x:c r="H534" s="4" t="str">
        <x:v>本场贡献-贡献榜状态</x:v>
      </x:c>
      <x:c r="I534" s="4" t="str">
        <x:v>1. 主播账号已登录且具备当前页面权限
2. 账号注销</x:v>
      </x:c>
      <x:c r="J534" s="4" t="str">
        <x:v>1. 打开本场贡献-贡献榜
2. 刷新本场贡献-贡献榜</x:v>
      </x:c>
      <x:c r="K534" s="4" t="str">
        <x:v>保留历史贡献</x:v>
      </x:c>
      <x:c r="L534" s="4" t="str"/>
      <x:c r="M534" s="4" t="str">
        <x:v>未测</x:v>
      </x:c>
      <x:c r="N534" s="4" t="str"/>
      <x:c r="O534" s="4" t="str">
        <x:v>1. 来源（原型批注）：liveshow-proto/prototype/annotations/user.js；views/live-room-host/contribution-rank.html
2. 页面：views/live-room-host/contribution-rank.html
3. 规则：BR-8D831383EA7497
4. 场景：SC-F354C1CF4C9A43
5. 未动态验证</x:v>
      </x:c>
    </x:row>
    <x:row r="535" ht="54" customHeight="1">
      <x:c r="A535" s="4" t="n">
        <x:v>534</x:v>
      </x:c>
      <x:c r="B535" s="4" t="str">
        <x:v>ULIVE-0032</x:v>
      </x:c>
      <x:c r="C535" s="4" t="str">
        <x:v>直播模块</x:v>
      </x:c>
      <x:c r="D535" s="4" t="str">
        <x:v>本场贡献-收到礼物（观众视角）</x:v>
      </x:c>
      <x:c r="E535" s="4" t="str">
        <x:v>逻辑校验</x:v>
      </x:c>
      <x:c r="F535" s="4" t="str">
        <x:v>P1</x:v>
      </x:c>
      <x:c r="G535" s="4" t="str">
        <x:v>验证本场贡献-收到礼物按指定范围筛选</x:v>
      </x:c>
      <x:c r="H535" s="4" t="str">
        <x:v>本场贡献-收到礼物数据范围</x:v>
      </x:c>
      <x:c r="I535" s="4" t="str">
        <x:v>1. 观众账号已登录且具备当前页面权限
2. 存在符合和不符合“成功赠送记录”的记录</x:v>
      </x:c>
      <x:c r="J535" s="4" t="str">
        <x:v>1. 打开本场贡献-收到礼物
2. 查看本场贡献-收到礼物</x:v>
      </x:c>
      <x:c r="K535" s="4" t="str">
        <x:v>仅统计成功赠送记录</x:v>
      </x:c>
      <x:c r="L535" s="4" t="str"/>
      <x:c r="M535" s="4" t="str">
        <x:v>未测</x:v>
      </x:c>
      <x:c r="N535" s="4" t="str"/>
      <x:c r="O535" s="4" t="str">
        <x:v>1. 来源（原型批注）：liveshow-proto/prototype/annotations/user.js；views/live-room/contribution-gifts.html
2. 页面：views/live-room/contribution-gifts.html
3. 规则：BR-D634F8B60282C6
4. 场景：SC-DD7D64BA73BEC7
5. 未动态验证</x:v>
      </x:c>
    </x:row>
    <x:row r="536" ht="54" customHeight="1">
      <x:c r="A536" s="4" t="n">
        <x:v>535</x:v>
      </x:c>
      <x:c r="B536" s="4" t="str">
        <x:v>ULIVE-0033</x:v>
      </x:c>
      <x:c r="C536" s="4" t="str">
        <x:v>直播模块</x:v>
      </x:c>
      <x:c r="D536" s="4" t="str">
        <x:v>本场贡献-收到礼物（观众视角）</x:v>
      </x:c>
      <x:c r="E536" s="4" t="str">
        <x:v>功能需求</x:v>
      </x:c>
      <x:c r="F536" s="4" t="str">
        <x:v>P1</x:v>
      </x:c>
      <x:c r="G536" s="4" t="str">
        <x:v>验证本场贡献-收到礼物可查看贡献值</x:v>
      </x:c>
      <x:c r="H536" s="4" t="str">
        <x:v>贡献值展示</x:v>
      </x:c>
      <x:c r="I536" s="4" t="str">
        <x:v>1. 观众账号已登录且具备当前页面权限</x:v>
      </x:c>
      <x:c r="J536" s="4" t="str">
        <x:v>1. 打开本场贡献-收到礼物
2. 查看贡献值</x:v>
      </x:c>
      <x:c r="K536" s="4" t="str">
        <x:v>本场贡献-收到礼物显示“贡献值”</x:v>
      </x:c>
      <x:c r="L536" s="4" t="str"/>
      <x:c r="M536" s="4" t="str">
        <x:v>未测</x:v>
      </x:c>
      <x:c r="N536" s="4" t="str"/>
      <x:c r="O536" s="4" t="str">
        <x:v>1. 来源（原型批注）：liveshow-proto/prototype/annotations/user.js；views/live-room/contribution-gifts.html
2. 页面：views/live-room/contribution-gifts.html
3. 规则：BR-492F9DF997C58B、BR-6905F37CE76F82
4. 场景：SC-E2C51AEDB480C7
5. 未动态验证</x:v>
      </x:c>
    </x:row>
    <x:row r="537" ht="54" customHeight="1">
      <x:c r="A537" s="4" t="n">
        <x:v>536</x:v>
      </x:c>
      <x:c r="B537" s="4" t="str">
        <x:v>ULIVE-0034</x:v>
      </x:c>
      <x:c r="C537" s="4" t="str">
        <x:v>直播模块</x:v>
      </x:c>
      <x:c r="D537" s="4" t="str">
        <x:v>本场贡献-收到礼物（观众视角）</x:v>
      </x:c>
      <x:c r="E537" s="4" t="str">
        <x:v>功能需求</x:v>
      </x:c>
      <x:c r="F537" s="4" t="str">
        <x:v>P1</x:v>
      </x:c>
      <x:c r="G537" s="4" t="str">
        <x:v>验证本场贡献-收到礼物可查看礼物</x:v>
      </x:c>
      <x:c r="H537" s="4" t="str">
        <x:v>礼物展示</x:v>
      </x:c>
      <x:c r="I537" s="4" t="str">
        <x:v>1. 观众账号已登录且具备当前页面权限</x:v>
      </x:c>
      <x:c r="J537" s="4" t="str">
        <x:v>1. 打开本场贡献-收到礼物
2. 查看礼物</x:v>
      </x:c>
      <x:c r="K537" s="4" t="str">
        <x:v>本场贡献-收到礼物显示“礼物”</x:v>
      </x:c>
      <x:c r="L537" s="4" t="str"/>
      <x:c r="M537" s="4" t="str">
        <x:v>未测</x:v>
      </x:c>
      <x:c r="N537" s="4" t="str"/>
      <x:c r="O537" s="4" t="str">
        <x:v>1. 来源（原型批注）：liveshow-proto/prototype/annotations/user.js；views/live-room/contribution-gifts.html
2. 页面：views/live-room/contribution-gifts.html
3. 规则：BR-66AC71427C8BAA
4. 场景：SC-D3F963357CFBF5
5. 未动态验证</x:v>
      </x:c>
    </x:row>
    <x:row r="538" ht="54" customHeight="1">
      <x:c r="A538" s="4" t="n">
        <x:v>537</x:v>
      </x:c>
      <x:c r="B538" s="4" t="str">
        <x:v>ULIVE-0035</x:v>
      </x:c>
      <x:c r="C538" s="4" t="str">
        <x:v>直播模块</x:v>
      </x:c>
      <x:c r="D538" s="4" t="str">
        <x:v>本场贡献-收到礼物（观众视角）</x:v>
      </x:c>
      <x:c r="E538" s="4" t="str">
        <x:v>功能需求</x:v>
      </x:c>
      <x:c r="F538" s="4" t="str">
        <x:v>P1</x:v>
      </x:c>
      <x:c r="G538" s="4" t="str">
        <x:v>验证本场贡献-收到礼物可查看赠送用户</x:v>
      </x:c>
      <x:c r="H538" s="4" t="str">
        <x:v>赠送用户展示</x:v>
      </x:c>
      <x:c r="I538" s="4" t="str">
        <x:v>1. 观众账号已登录且具备当前页面权限</x:v>
      </x:c>
      <x:c r="J538" s="4" t="str">
        <x:v>1. 打开本场贡献-收到礼物
2. 查看赠送用户</x:v>
      </x:c>
      <x:c r="K538" s="4" t="str">
        <x:v>本场贡献-收到礼物显示“赠送用户”</x:v>
      </x:c>
      <x:c r="L538" s="4" t="str"/>
      <x:c r="M538" s="4" t="str">
        <x:v>未测</x:v>
      </x:c>
      <x:c r="N538" s="4" t="str"/>
      <x:c r="O538" s="4" t="str">
        <x:v>1. 来源（原型批注）：liveshow-proto/prototype/annotations/user.js；views/live-room/contribution-gifts.html
2. 页面：views/live-room/contribution-gifts.html
3. 规则：BR-6CAD56786F7D0A
4. 场景：SC-E48B1CF28ECB9A
5. 未动态验证</x:v>
      </x:c>
    </x:row>
    <x:row r="539" ht="54" customHeight="1">
      <x:c r="A539" s="4" t="n">
        <x:v>538</x:v>
      </x:c>
      <x:c r="B539" s="4" t="str">
        <x:v>ULIVE-0036</x:v>
      </x:c>
      <x:c r="C539" s="4" t="str">
        <x:v>直播模块</x:v>
      </x:c>
      <x:c r="D539" s="4" t="str">
        <x:v>本场贡献-收到礼物（观众视角）</x:v>
      </x:c>
      <x:c r="E539" s="4" t="str">
        <x:v>业务流程</x:v>
      </x:c>
      <x:c r="F539" s="4" t="str">
        <x:v>P1</x:v>
      </x:c>
      <x:c r="G539" s="4" t="str">
        <x:v>验证点击赠送用户后的本场贡献-收到礼物状态</x:v>
      </x:c>
      <x:c r="H539" s="4" t="str">
        <x:v>本场贡献-收到礼物状态</x:v>
      </x:c>
      <x:c r="I539" s="4" t="str">
        <x:v>1. 观众账号已登录且具备当前页面权限</x:v>
      </x:c>
      <x:c r="J539" s="4" t="str">
        <x:v>1. 打开本场贡献-收到礼物
2. 点击赠送用户</x:v>
      </x:c>
      <x:c r="K539" s="4" t="str">
        <x:v>打开用户资料卡</x:v>
      </x:c>
      <x:c r="L539" s="4" t="str"/>
      <x:c r="M539" s="4" t="str">
        <x:v>未测</x:v>
      </x:c>
      <x:c r="N539" s="4" t="str"/>
      <x:c r="O539" s="4" t="str">
        <x:v>1. 来源（原型批注）：liveshow-proto/prototype/annotations/user.js；views/live-room/contribution-gifts.html
2. 页面：views/live-room/contribution-gifts.html
3. 规则：BR-DFE8C43719D16A
4. 场景：SC-155835AB40BFCF
5. 未动态验证</x:v>
      </x:c>
    </x:row>
    <x:row r="540" ht="54" customHeight="1">
      <x:c r="A540" s="4" t="n">
        <x:v>539</x:v>
      </x:c>
      <x:c r="B540" s="4" t="str">
        <x:v>ULIVE-0037</x:v>
      </x:c>
      <x:c r="C540" s="4" t="str">
        <x:v>直播模块</x:v>
      </x:c>
      <x:c r="D540" s="4" t="str">
        <x:v>本场贡献-收到礼物（观众视角）</x:v>
      </x:c>
      <x:c r="E540" s="4" t="str">
        <x:v>业务流程</x:v>
      </x:c>
      <x:c r="F540" s="4" t="str">
        <x:v>P1</x:v>
      </x:c>
      <x:c r="G540" s="4" t="str">
        <x:v>验证切换至贡献榜后的本场贡献-收到礼物状态</x:v>
      </x:c>
      <x:c r="H540" s="4" t="str">
        <x:v>本场贡献-收到礼物状态</x:v>
      </x:c>
      <x:c r="I540" s="4" t="str">
        <x:v>1. 观众账号已登录且具备当前页面权限</x:v>
      </x:c>
      <x:c r="J540" s="4" t="str">
        <x:v>1. 打开本场贡献-收到礼物
2. 切换至贡献榜</x:v>
      </x:c>
      <x:c r="K540" s="4" t="str">
        <x:v>返回同一场次的用户排名</x:v>
      </x:c>
      <x:c r="L540" s="4" t="str"/>
      <x:c r="M540" s="4" t="str">
        <x:v>未测</x:v>
      </x:c>
      <x:c r="N540" s="4" t="str"/>
      <x:c r="O540" s="4" t="str">
        <x:v>1. 来源（原型批注）：liveshow-proto/prototype/annotations/user.js；views/live-room/contribution-gifts.html
2. 页面：views/live-room/contribution-gifts.html
3. 规则：BR-B228408DABCA82
4. 场景：SC-E94AC82BD44696
5. 未动态验证</x:v>
      </x:c>
    </x:row>
    <x:row r="541" ht="54" customHeight="1">
      <x:c r="A541" s="4" t="n">
        <x:v>540</x:v>
      </x:c>
      <x:c r="B541" s="4" t="str">
        <x:v>ULIVE-0038</x:v>
      </x:c>
      <x:c r="C541" s="4" t="str">
        <x:v>直播模块</x:v>
      </x:c>
      <x:c r="D541" s="4" t="str">
        <x:v>本场贡献-收到礼物（观众视角）</x:v>
      </x:c>
      <x:c r="E541" s="4" t="str">
        <x:v>功能需求</x:v>
      </x:c>
      <x:c r="F541" s="4" t="str">
        <x:v>P1</x:v>
      </x:c>
      <x:c r="G541" s="4" t="str">
        <x:v>验证失败或撤销记录时的本场贡献-收到礼物结果</x:v>
      </x:c>
      <x:c r="H541" s="4" t="str">
        <x:v>本场贡献-收到礼物条件结果</x:v>
      </x:c>
      <x:c r="I541" s="4" t="str">
        <x:v>1. 观众账号已登录且具备当前页面权限
2. 失败或撤销记录</x:v>
      </x:c>
      <x:c r="J541" s="4" t="str">
        <x:v>1. 打开本场贡献-收到礼物
2. 查看本场贡献-收到礼物</x:v>
      </x:c>
      <x:c r="K541" s="4" t="str">
        <x:v>失败或撤销记录不展示</x:v>
      </x:c>
      <x:c r="L541" s="4" t="str"/>
      <x:c r="M541" s="4" t="str">
        <x:v>未测</x:v>
      </x:c>
      <x:c r="N541" s="4" t="str"/>
      <x:c r="O541" s="4" t="str">
        <x:v>1. 来源（原型批注）：liveshow-proto/prototype/annotations/user.js；views/live-room/contribution-gifts.html
2. 页面：views/live-room/contribution-gifts.html
3. 规则：BR-892C22EE5053DF
4. 场景：SC-8F4473BBDC985C
5. 未动态验证</x:v>
      </x:c>
    </x:row>
    <x:row r="542" ht="54" customHeight="1">
      <x:c r="A542" s="4" t="n">
        <x:v>541</x:v>
      </x:c>
      <x:c r="B542" s="4" t="str">
        <x:v>ULIVE-0039</x:v>
      </x:c>
      <x:c r="C542" s="4" t="str">
        <x:v>直播模块</x:v>
      </x:c>
      <x:c r="D542" s="4" t="str">
        <x:v>本场贡献-收到礼物（观众视角）</x:v>
      </x:c>
      <x:c r="E542" s="4" t="str">
        <x:v>功能需求</x:v>
      </x:c>
      <x:c r="F542" s="4" t="str">
        <x:v>P1</x:v>
      </x:c>
      <x:c r="G542" s="4" t="str">
        <x:v>验证幸运礼物时的本场贡献-收到礼物结果</x:v>
      </x:c>
      <x:c r="H542" s="4" t="str">
        <x:v>本场贡献-收到礼物条件结果</x:v>
      </x:c>
      <x:c r="I542" s="4" t="str">
        <x:v>1. 观众账号已登录且具备当前页面权限
2. 幸运礼物</x:v>
      </x:c>
      <x:c r="J542" s="4" t="str">
        <x:v>1. 打开本场贡献-收到礼物
2. 查看本场贡献-收到礼物</x:v>
      </x:c>
      <x:c r="K542" s="4" t="str">
        <x:v>幸运礼物展示送出数量和开奖结果，用户净消耗与主播收益按各自口径计算</x:v>
      </x:c>
      <x:c r="L542" s="4" t="str"/>
      <x:c r="M542" s="4" t="str">
        <x:v>未测</x:v>
      </x:c>
      <x:c r="N542" s="4" t="str"/>
      <x:c r="O542" s="4" t="str">
        <x:v>1. 来源（原型批注）：liveshow-proto/prototype/annotations/user.js；views/live-room/contribution-gifts.html
2. 页面：views/live-room/contribution-gifts.html
3. 规则：BR-C57E04E9C6AE69
4. 场景：SC-6D11A2BC082202
5. 未动态验证</x:v>
      </x:c>
    </x:row>
    <x:row r="543" ht="54" customHeight="1">
      <x:c r="A543" s="4" t="n">
        <x:v>542</x:v>
      </x:c>
      <x:c r="B543" s="4" t="str">
        <x:v>ULIVE-0040</x:v>
      </x:c>
      <x:c r="C543" s="4" t="str">
        <x:v>直播模块</x:v>
      </x:c>
      <x:c r="D543" s="4" t="str">
        <x:v>充值（观众视角）</x:v>
      </x:c>
      <x:c r="E543" s="4" t="str">
        <x:v>功能需求</x:v>
      </x:c>
      <x:c r="F543" s="4" t="str">
        <x:v>P1</x:v>
      </x:c>
      <x:c r="G543" s="4" t="str">
        <x:v>验证充值套餐、赠送金币和支付渠道按当前端及后台配置时的充值结果</x:v>
      </x:c>
      <x:c r="H543" s="4" t="str">
        <x:v>充值条件结果</x:v>
      </x:c>
      <x:c r="I543" s="4" t="str">
        <x:v>1. 观众账号已登录且具备当前页面权限
2. 充值套餐、赠送金币和支付渠道按当前端及后台配置</x:v>
      </x:c>
      <x:c r="J543" s="4" t="str">
        <x:v>1. 打开充值
2. 查看充值</x:v>
      </x:c>
      <x:c r="K543" s="4" t="str">
        <x:v>充值套餐、赠送金币和支付渠道按当前端及后台配置展示</x:v>
      </x:c>
      <x:c r="L543" s="4" t="str"/>
      <x:c r="M543" s="4" t="str">
        <x:v>未测</x:v>
      </x:c>
      <x:c r="N543" s="4" t="str"/>
      <x:c r="O543" s="4" t="str">
        <x:v>1. 来源（原型批注）：liveshow-proto/prototype/annotations/user.js；views/live-room/gift-recharge.html
2. 页面：views/live-room/gift-recharge.html
3. 规则：BR-1590F3E8A25D4F
4. 场景：SC-3F49B5BE5BC8F7
5. 未动态验证</x:v>
      </x:c>
    </x:row>
    <x:row r="544" ht="54" customHeight="1">
      <x:c r="A544" s="4" t="n">
        <x:v>543</x:v>
      </x:c>
      <x:c r="B544" s="4" t="str">
        <x:v>ULIVE-0041</x:v>
      </x:c>
      <x:c r="C544" s="4" t="str">
        <x:v>直播模块</x:v>
      </x:c>
      <x:c r="D544" s="4" t="str">
        <x:v>充值（观众视角）</x:v>
      </x:c>
      <x:c r="E544" s="4" t="str">
        <x:v>业务流程</x:v>
      </x:c>
      <x:c r="F544" s="4" t="str">
        <x:v>P1</x:v>
      </x:c>
      <x:c r="G544" s="4" t="str">
        <x:v>验证关闭后的充值状态</x:v>
      </x:c>
      <x:c r="H544" s="4" t="str">
        <x:v>充值状态</x:v>
      </x:c>
      <x:c r="I544" s="4" t="str">
        <x:v>1. 观众账号已登录且具备当前页面权限</x:v>
      </x:c>
      <x:c r="J544" s="4" t="str">
        <x:v>1. 打开充值
2. 关闭</x:v>
      </x:c>
      <x:c r="K544" s="4" t="str">
        <x:v>返回礼物视图</x:v>
      </x:c>
      <x:c r="L544" s="4" t="str"/>
      <x:c r="M544" s="4" t="str">
        <x:v>未测</x:v>
      </x:c>
      <x:c r="N544" s="4" t="str"/>
      <x:c r="O544" s="4" t="str">
        <x:v>1. 来源（原型批注）：liveshow-proto/prototype/annotations/user.js；views/live-room/gift-recharge.html
2. 页面：views/live-room/gift-recharge.html
3. 规则：BR-2B145F89DB84FE
4. 场景：SC-275405DFF798D0
5. 未动态验证</x:v>
      </x:c>
    </x:row>
    <x:row r="545" ht="54" customHeight="1">
      <x:c r="A545" s="4" t="n">
        <x:v>544</x:v>
      </x:c>
      <x:c r="B545" s="4" t="str">
        <x:v>ULIVE-0042</x:v>
      </x:c>
      <x:c r="C545" s="4" t="str">
        <x:v>直播模块</x:v>
      </x:c>
      <x:c r="D545" s="4" t="str">
        <x:v>充值（观众视角）</x:v>
      </x:c>
      <x:c r="E545" s="4" t="str">
        <x:v>功能需求</x:v>
      </x:c>
      <x:c r="F545" s="4" t="str">
        <x:v>P1</x:v>
      </x:c>
      <x:c r="G545" s="4" t="str">
        <x:v>验证失败时的充值结果</x:v>
      </x:c>
      <x:c r="H545" s="4" t="str">
        <x:v>充值条件结果</x:v>
      </x:c>
      <x:c r="I545" s="4" t="str">
        <x:v>1. 观众账号已登录且具备当前页面权限
2. 失败</x:v>
      </x:c>
      <x:c r="J545" s="4" t="str">
        <x:v>1. 打开充值
2. 查看充值</x:v>
      </x:c>
      <x:c r="K545" s="4" t="str">
        <x:v>不增加余额</x:v>
      </x:c>
      <x:c r="L545" s="4" t="str"/>
      <x:c r="M545" s="4" t="str">
        <x:v>未测</x:v>
      </x:c>
      <x:c r="N545" s="4" t="str"/>
      <x:c r="O545" s="4" t="str">
        <x:v>1. 来源（原型批注）：liveshow-proto/prototype/annotations/user.js；views/live-room/gift-recharge.html
2. 页面：views/live-room/gift-recharge.html
3. 规则：BR-534D3976553B2A
4. 场景：SC-1EB618E0CE4A74
5. 未动态验证</x:v>
      </x:c>
    </x:row>
    <x:row r="546" ht="54" customHeight="1">
      <x:c r="A546" s="4" t="n">
        <x:v>545</x:v>
      </x:c>
      <x:c r="B546" s="4" t="str">
        <x:v>ULIVE-0043</x:v>
      </x:c>
      <x:c r="C546" s="4" t="str">
        <x:v>直播模块</x:v>
      </x:c>
      <x:c r="D546" s="4" t="str">
        <x:v>充值（观众视角）</x:v>
      </x:c>
      <x:c r="E546" s="4" t="str">
        <x:v>业务流程</x:v>
      </x:c>
      <x:c r="F546" s="4" t="str">
        <x:v>P1</x:v>
      </x:c>
      <x:c r="G546" s="4" t="str">
        <x:v>验证选择套餐并支付成功后的充值状态</x:v>
      </x:c>
      <x:c r="H546" s="4" t="str">
        <x:v>充值状态</x:v>
      </x:c>
      <x:c r="I546" s="4" t="str">
        <x:v>1. 观众账号已登录且具备当前页面权限</x:v>
      </x:c>
      <x:c r="J546" s="4" t="str">
        <x:v>1. 打开充值
2. 选择套餐并支付成功</x:v>
      </x:c>
      <x:c r="K546" s="4" t="str">
        <x:v>刷新金币余额</x:v>
      </x:c>
      <x:c r="L546" s="4" t="str"/>
      <x:c r="M546" s="4" t="str">
        <x:v>未测</x:v>
      </x:c>
      <x:c r="N546" s="4" t="str"/>
      <x:c r="O546" s="4" t="str">
        <x:v>1. 来源（原型批注）：liveshow-proto/prototype/annotations/user.js；views/live-room/gift-recharge.html
2. 页面：views/live-room/gift-recharge.html
3. 规则：BR-9CED2175EFA231
4. 场景：SC-24E45C91FCAB61
5. 未动态验证</x:v>
      </x:c>
    </x:row>
    <x:row r="547" ht="54" customHeight="1">
      <x:c r="A547" s="4" t="n">
        <x:v>546</x:v>
      </x:c>
      <x:c r="B547" s="4" t="str">
        <x:v>ULIVE-0044</x:v>
      </x:c>
      <x:c r="C547" s="4" t="str">
        <x:v>直播模块</x:v>
      </x:c>
      <x:c r="D547" s="4" t="str">
        <x:v>充值（观众视角）</x:v>
      </x:c>
      <x:c r="E547" s="4" t="str">
        <x:v>业务流程</x:v>
      </x:c>
      <x:c r="F547" s="4" t="str">
        <x:v>P1</x:v>
      </x:c>
      <x:c r="G547" s="4" t="str">
        <x:v>验证支付成功后的充值状态</x:v>
      </x:c>
      <x:c r="H547" s="4" t="str">
        <x:v>充值状态</x:v>
      </x:c>
      <x:c r="I547" s="4" t="str">
        <x:v>1. 观众账号已登录且具备当前页面权限
2. 支付成功</x:v>
      </x:c>
      <x:c r="J547" s="4" t="str">
        <x:v>1. 打开充值
2. 刷新充值</x:v>
      </x:c>
      <x:c r="K547" s="4" t="str">
        <x:v>增加金币</x:v>
      </x:c>
      <x:c r="L547" s="4" t="str"/>
      <x:c r="M547" s="4" t="str">
        <x:v>未测</x:v>
      </x:c>
      <x:c r="N547" s="4" t="str"/>
      <x:c r="O547" s="4" t="str">
        <x:v>1. 来源（原型批注）：liveshow-proto/prototype/annotations/user.js；views/live-room/gift-recharge.html
2. 页面：views/live-room/gift-recharge.html
3. 规则：BR-28405CD43A415C
4. 场景：SC-D57E719EF53269
5. 未动态验证</x:v>
      </x:c>
    </x:row>
    <x:row r="548" ht="54" customHeight="1">
      <x:c r="A548" s="4" t="n">
        <x:v>547</x:v>
      </x:c>
      <x:c r="B548" s="4" t="str">
        <x:v>ULIVE-0045</x:v>
      </x:c>
      <x:c r="C548" s="4" t="str">
        <x:v>直播模块</x:v>
      </x:c>
      <x:c r="D548" s="4" t="str">
        <x:v>充值（观众视角）</x:v>
      </x:c>
      <x:c r="E548" s="4" t="str">
        <x:v>异常用例</x:v>
      </x:c>
      <x:c r="F548" s="4" t="str">
        <x:v>P1</x:v>
      </x:c>
      <x:c r="G548" s="4" t="str">
        <x:v>验证支付失败后的充值状态</x:v>
      </x:c>
      <x:c r="H548" s="4" t="str">
        <x:v>充值状态</x:v>
      </x:c>
      <x:c r="I548" s="4" t="str">
        <x:v>1. 观众账号已登录且具备当前页面权限
2. 支付失败</x:v>
      </x:c>
      <x:c r="J548" s="4" t="str">
        <x:v>1. 打开充值
2. 刷新充值</x:v>
      </x:c>
      <x:c r="K548" s="4" t="str">
        <x:v>返回礼物视图</x:v>
      </x:c>
      <x:c r="L548" s="4" t="str"/>
      <x:c r="M548" s="4" t="str">
        <x:v>未测</x:v>
      </x:c>
      <x:c r="N548" s="4" t="str"/>
      <x:c r="O548" s="4" t="str">
        <x:v>1. 来源（原型批注）：liveshow-proto/prototype/annotations/user.js；views/live-room/gift-recharge.html
2. 页面：views/live-room/gift-recharge.html
3. 规则：BR-2B145F89DB84FE
4. 场景：SC-0C209C7B608DC6
5. 未动态验证</x:v>
      </x:c>
    </x:row>
    <x:row r="549" ht="54" customHeight="1">
      <x:c r="A549" s="4" t="n">
        <x:v>548</x:v>
      </x:c>
      <x:c r="B549" s="4" t="str">
        <x:v>ULIVE-0046</x:v>
      </x:c>
      <x:c r="C549" s="4" t="str">
        <x:v>直播模块</x:v>
      </x:c>
      <x:c r="D549" s="4" t="str">
        <x:v>房间密码（主播视角）</x:v>
      </x:c>
      <x:c r="E549" s="4" t="str">
        <x:v>功能需求</x:v>
      </x:c>
      <x:c r="F549" s="4" t="str">
        <x:v>P1</x:v>
      </x:c>
      <x:c r="G549" s="4" t="str">
        <x:v>验证房间密码可查看房间密码</x:v>
      </x:c>
      <x:c r="H549" s="4" t="str">
        <x:v>房间密码展示</x:v>
      </x:c>
      <x:c r="I549" s="4" t="str">
        <x:v>1. 主播账号已登录且具备当前页面权限</x:v>
      </x:c>
      <x:c r="J549" s="4" t="str">
        <x:v>1. 打开房间密码
2. 查看房间密码</x:v>
      </x:c>
      <x:c r="K549" s="4" t="str">
        <x:v>房间密码显示“房间密码”</x:v>
      </x:c>
      <x:c r="L549" s="4" t="str"/>
      <x:c r="M549" s="4" t="str">
        <x:v>未测</x:v>
      </x:c>
      <x:c r="N549" s="4" t="str"/>
      <x:c r="O549" s="4" t="str">
        <x:v>1. 来源（原型批注）：liveshow-proto/prototype/annotations/user.js；views/live-room-host-password/room-password.html
2. 页面：views/live-room-host-password/room-password.html
3. 规则：BR-95FCC1D2BE5F9F
4. 场景：SC-B759782E95EB3A
5. 未动态验证</x:v>
      </x:c>
    </x:row>
    <x:row r="550" ht="54" customHeight="1">
      <x:c r="A550" s="4" t="n">
        <x:v>549</x:v>
      </x:c>
      <x:c r="B550" s="4" t="str">
        <x:v>ULIVE-0047</x:v>
      </x:c>
      <x:c r="C550" s="4" t="str">
        <x:v>直播模块</x:v>
      </x:c>
      <x:c r="D550" s="4" t="str">
        <x:v>房间密码（主播视角）</x:v>
      </x:c>
      <x:c r="E550" s="4" t="str">
        <x:v>逻辑校验</x:v>
      </x:c>
      <x:c r="F550" s="4" t="str">
        <x:v>P1</x:v>
      </x:c>
      <x:c r="G550" s="4" t="str">
        <x:v>验证房间密码输入12</x:v>
      </x:c>
      <x:c r="H550" s="4" t="str">
        <x:v>房间密码取值边界</x:v>
      </x:c>
      <x:c r="I550" s="4" t="str">
        <x:v>1. 主播账号已登录且具备当前页面权限</x:v>
      </x:c>
      <x:c r="J550" s="4" t="str">
        <x:v>1. 打开房间密码
2. 输入房间密码12</x:v>
      </x:c>
      <x:c r="K550" s="4" t="str">
        <x:v>房间密码接受数值12</x:v>
      </x:c>
      <x:c r="L550" s="4" t="str"/>
      <x:c r="M550" s="4" t="str">
        <x:v>未测</x:v>
      </x:c>
      <x:c r="N550" s="4" t="str"/>
      <x:c r="O550" s="4" t="str">
        <x:v>1. 来源（原型批注）：liveshow-proto/prototype/annotations/user.js；views/live-room-host-password/room-password.html
2. 页面：views/live-room-host-password/room-password.html
3. 规则：BR-95FCC1D2BE5F9F
4. 场景：SC-38D8B3AE551DE3
5. 未动态验证</x:v>
      </x:c>
    </x:row>
    <x:row r="551" ht="54" customHeight="1">
      <x:c r="A551" s="4" t="n">
        <x:v>550</x:v>
      </x:c>
      <x:c r="B551" s="4" t="str">
        <x:v>ULIVE-0048</x:v>
      </x:c>
      <x:c r="C551" s="4" t="str">
        <x:v>直播模块</x:v>
      </x:c>
      <x:c r="D551" s="4" t="str">
        <x:v>房间密码（主播视角）</x:v>
      </x:c>
      <x:c r="E551" s="4" t="str">
        <x:v>异常用例</x:v>
      </x:c>
      <x:c r="F551" s="4" t="str">
        <x:v>P1</x:v>
      </x:c>
      <x:c r="G551" s="4" t="str">
        <x:v>验证房间密码输入13</x:v>
      </x:c>
      <x:c r="H551" s="4" t="str">
        <x:v>房间密码取值边界</x:v>
      </x:c>
      <x:c r="I551" s="4" t="str">
        <x:v>1. 主播账号已登录且具备当前页面权限</x:v>
      </x:c>
      <x:c r="J551" s="4" t="str">
        <x:v>1. 打开房间密码
2. 输入房间密码13</x:v>
      </x:c>
      <x:c r="K551" s="4" t="str">
        <x:v>房间密码不接受数值13</x:v>
      </x:c>
      <x:c r="L551" s="4" t="str"/>
      <x:c r="M551" s="4" t="str">
        <x:v>未测</x:v>
      </x:c>
      <x:c r="N551" s="4" t="str"/>
      <x:c r="O551" s="4" t="str">
        <x:v>1. 来源（原型批注）：liveshow-proto/prototype/annotations/user.js；views/live-room-host-password/room-password.html
2. 页面：views/live-room-host-password/room-password.html
3. 规则：BR-95FCC1D2BE5F9F
4. 场景：SC-AE5DDF43D72BA5
5. 未动态验证</x:v>
      </x:c>
    </x:row>
    <x:row r="552" ht="54" customHeight="1">
      <x:c r="A552" s="4" t="n">
        <x:v>551</x:v>
      </x:c>
      <x:c r="B552" s="4" t="str">
        <x:v>ULIVE-0049</x:v>
      </x:c>
      <x:c r="C552" s="4" t="str">
        <x:v>直播模块</x:v>
      </x:c>
      <x:c r="D552" s="4" t="str">
        <x:v>房间密码（主播视角）</x:v>
      </x:c>
      <x:c r="E552" s="4" t="str">
        <x:v>异常用例</x:v>
      </x:c>
      <x:c r="F552" s="4" t="str">
        <x:v>P1</x:v>
      </x:c>
      <x:c r="G552" s="4" t="str">
        <x:v>验证房间密码输入3</x:v>
      </x:c>
      <x:c r="H552" s="4" t="str">
        <x:v>房间密码取值边界</x:v>
      </x:c>
      <x:c r="I552" s="4" t="str">
        <x:v>1. 主播账号已登录且具备当前页面权限</x:v>
      </x:c>
      <x:c r="J552" s="4" t="str">
        <x:v>1. 打开房间密码
2. 输入房间密码3</x:v>
      </x:c>
      <x:c r="K552" s="4" t="str">
        <x:v>房间密码不接受数值3</x:v>
      </x:c>
      <x:c r="L552" s="4" t="str"/>
      <x:c r="M552" s="4" t="str">
        <x:v>未测</x:v>
      </x:c>
      <x:c r="N552" s="4" t="str"/>
      <x:c r="O552" s="4" t="str">
        <x:v>1. 来源（原型批注）：liveshow-proto/prototype/annotations/user.js；views/live-room-host-password/room-password.html
2. 页面：views/live-room-host-password/room-password.html
3. 规则：BR-95FCC1D2BE5F9F
4. 场景：SC-D9FDD882DC7664
5. 未动态验证</x:v>
      </x:c>
    </x:row>
    <x:row r="553" ht="54" customHeight="1">
      <x:c r="A553" s="4" t="n">
        <x:v>552</x:v>
      </x:c>
      <x:c r="B553" s="4" t="str">
        <x:v>ULIVE-0050</x:v>
      </x:c>
      <x:c r="C553" s="4" t="str">
        <x:v>直播模块</x:v>
      </x:c>
      <x:c r="D553" s="4" t="str">
        <x:v>房间密码（主播视角）</x:v>
      </x:c>
      <x:c r="E553" s="4" t="str">
        <x:v>逻辑校验</x:v>
      </x:c>
      <x:c r="F553" s="4" t="str">
        <x:v>P1</x:v>
      </x:c>
      <x:c r="G553" s="4" t="str">
        <x:v>验证房间密码输入4</x:v>
      </x:c>
      <x:c r="H553" s="4" t="str">
        <x:v>房间密码取值边界</x:v>
      </x:c>
      <x:c r="I553" s="4" t="str">
        <x:v>1. 主播账号已登录且具备当前页面权限</x:v>
      </x:c>
      <x:c r="J553" s="4" t="str">
        <x:v>1. 打开房间密码
2. 输入房间密码4</x:v>
      </x:c>
      <x:c r="K553" s="4" t="str">
        <x:v>房间密码接受数值4</x:v>
      </x:c>
      <x:c r="L553" s="4" t="str"/>
      <x:c r="M553" s="4" t="str">
        <x:v>未测</x:v>
      </x:c>
      <x:c r="N553" s="4" t="str"/>
      <x:c r="O553" s="4" t="str">
        <x:v>1. 来源（原型批注）：liveshow-proto/prototype/annotations/user.js；views/live-room-host-password/room-password.html
2. 页面：views/live-room-host-password/room-password.html
3. 规则：BR-95FCC1D2BE5F9F
4. 场景：SC-78DEE367F12FEF
5. 未动态验证</x:v>
      </x:c>
    </x:row>
    <x:row r="554" ht="54" customHeight="1">
      <x:c r="A554" s="4" t="n">
        <x:v>553</x:v>
      </x:c>
      <x:c r="B554" s="4" t="str">
        <x:v>ULIVE-0051</x:v>
      </x:c>
      <x:c r="C554" s="4" t="str">
        <x:v>直播模块</x:v>
      </x:c>
      <x:c r="D554" s="4" t="str">
        <x:v>房间密码（主播视角）</x:v>
      </x:c>
      <x:c r="E554" s="4" t="str">
        <x:v>业务流程</x:v>
      </x:c>
      <x:c r="F554" s="4" t="str">
        <x:v>P1</x:v>
      </x:c>
      <x:c r="G554" s="4" t="str">
        <x:v>验证密码不是 4-12 个数字后的房间密码状态</x:v>
      </x:c>
      <x:c r="H554" s="4" t="str">
        <x:v>房间密码状态</x:v>
      </x:c>
      <x:c r="I554" s="4" t="str">
        <x:v>1. 主播账号已登录且具备当前页面权限
2. 密码不是 4-12 个数字</x:v>
      </x:c>
      <x:c r="J554" s="4" t="str">
        <x:v>1. 打开房间密码
2. 刷新房间密码</x:v>
      </x:c>
      <x:c r="K554" s="4" t="str">
        <x:v>不保存、保留输入</x:v>
      </x:c>
      <x:c r="L554" s="4" t="str"/>
      <x:c r="M554" s="4" t="str">
        <x:v>未测</x:v>
      </x:c>
      <x:c r="N554" s="4" t="str"/>
      <x:c r="O554" s="4" t="str">
        <x:v>1. 来源（原型批注）：liveshow-proto/prototype/annotations/user.js；views/live-room-host-password/room-password.html
2. 页面：views/live-room-host-password/room-password.html
3. 规则：BR-1B2162585B975F
4. 场景：SC-1C824A4FC1FB61
5. 未动态验证</x:v>
      </x:c>
    </x:row>
    <x:row r="555" ht="54" customHeight="1">
      <x:c r="A555" s="4" t="n">
        <x:v>554</x:v>
      </x:c>
      <x:c r="B555" s="4" t="str">
        <x:v>ULIVE-0052</x:v>
      </x:c>
      <x:c r="C555" s="4" t="str">
        <x:v>直播模块</x:v>
      </x:c>
      <x:c r="D555" s="4" t="str">
        <x:v>房间密码（主播视角）</x:v>
      </x:c>
      <x:c r="E555" s="4" t="str">
        <x:v>业务流程</x:v>
      </x:c>
      <x:c r="F555" s="4" t="str">
        <x:v>P1</x:v>
      </x:c>
      <x:c r="G555" s="4" t="str">
        <x:v>验证取消后的房间密码状态</x:v>
      </x:c>
      <x:c r="H555" s="4" t="str">
        <x:v>房间密码状态</x:v>
      </x:c>
      <x:c r="I555" s="4" t="str">
        <x:v>1. 主播账号已登录且具备当前页面权限</x:v>
      </x:c>
      <x:c r="J555" s="4" t="str">
        <x:v>1. 打开房间密码
2. 取消</x:v>
      </x:c>
      <x:c r="K555" s="4" t="str">
        <x:v>保留原密码</x:v>
      </x:c>
      <x:c r="L555" s="4" t="str"/>
      <x:c r="M555" s="4" t="str">
        <x:v>未测</x:v>
      </x:c>
      <x:c r="N555" s="4" t="str"/>
      <x:c r="O555" s="4" t="str">
        <x:v>1. 来源（原型批注）：liveshow-proto/prototype/annotations/user.js；views/live-room-host-password/room-password.html
2. 页面：views/live-room-host-password/room-password.html
3. 规则：BR-809F34DC9A9FB1
4. 场景：SC-2AEF9CDDF42E36
5. 未动态验证</x:v>
      </x:c>
    </x:row>
    <x:row r="556" ht="54" customHeight="1">
      <x:c r="A556" s="4" t="n">
        <x:v>555</x:v>
      </x:c>
      <x:c r="B556" s="4" t="str">
        <x:v>ULIVE-0053</x:v>
      </x:c>
      <x:c r="C556" s="4" t="str">
        <x:v>直播模块</x:v>
      </x:c>
      <x:c r="D556" s="4" t="str">
        <x:v>房间密码（主播视角）</x:v>
      </x:c>
      <x:c r="E556" s="4" t="str">
        <x:v>业务流程</x:v>
      </x:c>
      <x:c r="F556" s="4" t="str">
        <x:v>P1</x:v>
      </x:c>
      <x:c r="G556" s="4" t="str">
        <x:v>验证用户退出后的房间密码状态</x:v>
      </x:c>
      <x:c r="H556" s="4" t="str">
        <x:v>房间密码状态</x:v>
      </x:c>
      <x:c r="I556" s="4" t="str">
        <x:v>1. 主播账号已登录且具备当前页面权限
2. 用户退出</x:v>
      </x:c>
      <x:c r="J556" s="4" t="str">
        <x:v>1. 打开房间密码
2. 刷新房间密码</x:v>
      </x:c>
      <x:c r="K556" s="4" t="str">
        <x:v>再次进入</x:v>
      </x:c>
      <x:c r="L556" s="4" t="str"/>
      <x:c r="M556" s="4" t="str">
        <x:v>未测</x:v>
      </x:c>
      <x:c r="N556" s="4" t="str"/>
      <x:c r="O556" s="4" t="str">
        <x:v>1. 来源（原型批注）：liveshow-proto/prototype/annotations/user.js；views/live-room-host-password/room-password.html
2. 页面：views/live-room-host-password/room-password.html
3. 规则：BR-811B61A2E23982
4. 场景：SC-317AD25B188301
5. 未动态验证</x:v>
      </x:c>
    </x:row>
    <x:row r="557" ht="54" customHeight="1">
      <x:c r="A557" s="4" t="n">
        <x:v>556</x:v>
      </x:c>
      <x:c r="B557" s="4" t="str">
        <x:v>ULIVE-0054</x:v>
      </x:c>
      <x:c r="C557" s="4" t="str">
        <x:v>直播模块</x:v>
      </x:c>
      <x:c r="D557" s="4" t="str">
        <x:v>房间密码（主播视角）</x:v>
      </x:c>
      <x:c r="E557" s="4" t="str">
        <x:v>业务流程</x:v>
      </x:c>
      <x:c r="F557" s="4" t="str">
        <x:v>P1</x:v>
      </x:c>
      <x:c r="G557" s="4" t="str">
        <x:v>验证主播修改密码后的房间密码状态</x:v>
      </x:c>
      <x:c r="H557" s="4" t="str">
        <x:v>房间密码状态</x:v>
      </x:c>
      <x:c r="I557" s="4" t="str">
        <x:v>1. 主播账号已登录且具备当前页面权限
2. 主播修改密码</x:v>
      </x:c>
      <x:c r="J557" s="4" t="str">
        <x:v>1. 打开房间密码
2. 刷新房间密码</x:v>
      </x:c>
      <x:c r="K557" s="4" t="str">
        <x:v>已通过旧密码验证的在线用户不强制退出</x:v>
      </x:c>
      <x:c r="L557" s="4" t="str"/>
      <x:c r="M557" s="4" t="str">
        <x:v>未测</x:v>
      </x:c>
      <x:c r="N557" s="4" t="str"/>
      <x:c r="O557" s="4" t="str">
        <x:v>1. 来源（原型批注）：liveshow-proto/prototype/annotations/user.js；views/live-room-host-password/room-password.html
2. 页面：views/live-room-host-password/room-password.html
3. 规则：BR-A573CD258D9136
4. 场景：SC-11C51D7F8231C8
5. 未动态验证</x:v>
      </x:c>
    </x:row>
    <x:row r="558" ht="54" customHeight="1">
      <x:c r="A558" s="4" t="n">
        <x:v>557</x:v>
      </x:c>
      <x:c r="B558" s="4" t="str">
        <x:v>ULIVE-0055</x:v>
      </x:c>
      <x:c r="C558" s="4" t="str">
        <x:v>直播模块</x:v>
      </x:c>
      <x:c r="D558" s="4" t="str">
        <x:v>粉丝团-未加入（观众视角）</x:v>
      </x:c>
      <x:c r="E558" s="4" t="str">
        <x:v>功能需求</x:v>
      </x:c>
      <x:c r="F558" s="4" t="str">
        <x:v>P1</x:v>
      </x:c>
      <x:c r="G558" s="4" t="str">
        <x:v>验证粉丝团-未加入可查看粉丝团</x:v>
      </x:c>
      <x:c r="H558" s="4" t="str">
        <x:v>粉丝团展示</x:v>
      </x:c>
      <x:c r="I558" s="4" t="str">
        <x:v>1. 观众账号已登录且具备当前页面权限</x:v>
      </x:c>
      <x:c r="J558" s="4" t="str">
        <x:v>1. 打开粉丝团-未加入
2. 查看粉丝团</x:v>
      </x:c>
      <x:c r="K558" s="4" t="str">
        <x:v>粉丝团-未加入显示“粉丝团”</x:v>
      </x:c>
      <x:c r="L558" s="4" t="str"/>
      <x:c r="M558" s="4" t="str">
        <x:v>未测</x:v>
      </x:c>
      <x:c r="N558" s="4" t="str"/>
      <x:c r="O558" s="4" t="str">
        <x:v>1. 来源（原型批注）：liveshow-proto/prototype/annotations/user.js；views/live-room/fan-club-not-joined.html
2. 页面：views/live-room/fan-club-not-joined.html
3. 规则：BR-512E753E56C307
4. 场景：SC-01A02CF44C10DF
5. 未动态验证</x:v>
      </x:c>
    </x:row>
    <x:row r="559" ht="54" customHeight="1">
      <x:c r="A559" s="4" t="n">
        <x:v>558</x:v>
      </x:c>
      <x:c r="B559" s="4" t="str">
        <x:v>ULIVE-0056</x:v>
      </x:c>
      <x:c r="C559" s="4" t="str">
        <x:v>直播模块</x:v>
      </x:c>
      <x:c r="D559" s="4" t="str">
        <x:v>粉丝团-未加入（观众视角）</x:v>
      </x:c>
      <x:c r="E559" s="4" t="str">
        <x:v>功能需求</x:v>
      </x:c>
      <x:c r="F559" s="4" t="str">
        <x:v>P1</x:v>
      </x:c>
      <x:c r="G559" s="4" t="str">
        <x:v>验证粉丝团-未加入可查看加入条件</x:v>
      </x:c>
      <x:c r="H559" s="4" t="str">
        <x:v>加入条件展示</x:v>
      </x:c>
      <x:c r="I559" s="4" t="str">
        <x:v>1. 观众账号已登录且具备当前页面权限</x:v>
      </x:c>
      <x:c r="J559" s="4" t="str">
        <x:v>1. 打开粉丝团-未加入
2. 查看加入条件</x:v>
      </x:c>
      <x:c r="K559" s="4" t="str">
        <x:v>粉丝团-未加入显示“加入条件”</x:v>
      </x:c>
      <x:c r="L559" s="4" t="str"/>
      <x:c r="M559" s="4" t="str">
        <x:v>未测</x:v>
      </x:c>
      <x:c r="N559" s="4" t="str"/>
      <x:c r="O559" s="4" t="str">
        <x:v>1. 来源（原型批注）：liveshow-proto/prototype/annotations/user.js；views/live-room/fan-club-not-joined.html
2. 页面：views/live-room/fan-club-not-joined.html
3. 规则：BR-27A8C96048D5D8
4. 场景：SC-338A497F2AC2BC
5. 未动态验证</x:v>
      </x:c>
    </x:row>
    <x:row r="560" ht="54" customHeight="1">
      <x:c r="A560" s="4" t="n">
        <x:v>559</x:v>
      </x:c>
      <x:c r="B560" s="4" t="str">
        <x:v>ULIVE-0057</x:v>
      </x:c>
      <x:c r="C560" s="4" t="str">
        <x:v>直播模块</x:v>
      </x:c>
      <x:c r="D560" s="4" t="str">
        <x:v>粉丝团-未加入（观众视角）</x:v>
      </x:c>
      <x:c r="E560" s="4" t="str">
        <x:v>功能需求</x:v>
      </x:c>
      <x:c r="F560" s="4" t="str">
        <x:v>P1</x:v>
      </x:c>
      <x:c r="G560" s="4" t="str">
        <x:v>验证粉丝团-未加入可查看权益</x:v>
      </x:c>
      <x:c r="H560" s="4" t="str">
        <x:v>权益展示</x:v>
      </x:c>
      <x:c r="I560" s="4" t="str">
        <x:v>1. 观众账号已登录且具备当前页面权限</x:v>
      </x:c>
      <x:c r="J560" s="4" t="str">
        <x:v>1. 打开粉丝团-未加入
2. 查看权益</x:v>
      </x:c>
      <x:c r="K560" s="4" t="str">
        <x:v>粉丝团-未加入显示“权益”</x:v>
      </x:c>
      <x:c r="L560" s="4" t="str"/>
      <x:c r="M560" s="4" t="str">
        <x:v>未测</x:v>
      </x:c>
      <x:c r="N560" s="4" t="str"/>
      <x:c r="O560" s="4" t="str">
        <x:v>1. 来源（原型批注）：liveshow-proto/prototype/annotations/user.js；views/live-room/fan-club-not-joined.html
2. 页面：views/live-room/fan-club-not-joined.html
3. 规则：BR-2543283808C3DE
4. 场景：SC-243965BF606E68
5. 未动态验证</x:v>
      </x:c>
    </x:row>
    <x:row r="561" ht="54" customHeight="1">
      <x:c r="A561" s="4" t="n">
        <x:v>560</x:v>
      </x:c>
      <x:c r="B561" s="4" t="str">
        <x:v>ULIVE-0058</x:v>
      </x:c>
      <x:c r="C561" s="4" t="str">
        <x:v>直播模块</x:v>
      </x:c>
      <x:c r="D561" s="4" t="str">
        <x:v>粉丝团-未加入（观众视角）</x:v>
      </x:c>
      <x:c r="E561" s="4" t="str">
        <x:v>业务流程</x:v>
      </x:c>
      <x:c r="F561" s="4" t="str">
        <x:v>P1</x:v>
      </x:c>
      <x:c r="G561" s="4" t="str">
        <x:v>验证加入成功后的粉丝团-未加入状态</x:v>
      </x:c>
      <x:c r="H561" s="4" t="str">
        <x:v>粉丝团-未加入状态</x:v>
      </x:c>
      <x:c r="I561" s="4" t="str">
        <x:v>1. 观众账号已登录且具备当前页面权限
2. 加入成功</x:v>
      </x:c>
      <x:c r="J561" s="4" t="str">
        <x:v>1. 打开粉丝团-未加入
2. 刷新粉丝团-未加入</x:v>
      </x:c>
      <x:c r="K561" s="4" t="str">
        <x:v>同步获得团籍和群籍</x:v>
      </x:c>
      <x:c r="L561" s="4" t="str"/>
      <x:c r="M561" s="4" t="str">
        <x:v>未测</x:v>
      </x:c>
      <x:c r="N561" s="4" t="str"/>
      <x:c r="O561" s="4" t="str">
        <x:v>1. 来源（原型批注）：liveshow-proto/prototype/annotations/user.js；views/live-room/fan-club-not-joined.html
2. 页面：views/live-room/fan-club-not-joined.html
3. 规则：BR-321140CC16A6D2
4. 场景：SC-C537F85C867AE2
5. 未动态验证</x:v>
      </x:c>
    </x:row>
    <x:row r="562" ht="54" customHeight="1">
      <x:c r="A562" s="4" t="n">
        <x:v>561</x:v>
      </x:c>
      <x:c r="B562" s="4" t="str">
        <x:v>ULIVE-0059</x:v>
      </x:c>
      <x:c r="C562" s="4" t="str">
        <x:v>直播模块</x:v>
      </x:c>
      <x:c r="D562" s="4" t="str">
        <x:v>粉丝团-未加入（观众视角）</x:v>
      </x:c>
      <x:c r="E562" s="4" t="str">
        <x:v>异常用例</x:v>
      </x:c>
      <x:c r="F562" s="4" t="str">
        <x:v>P1</x:v>
      </x:c>
      <x:c r="G562" s="4" t="str">
        <x:v>验证加入请求失败后的粉丝团-未加入状态</x:v>
      </x:c>
      <x:c r="H562" s="4" t="str">
        <x:v>粉丝团-未加入状态</x:v>
      </x:c>
      <x:c r="I562" s="4" t="str">
        <x:v>1. 观众账号已登录且具备当前页面权限
2. 加入请求失败</x:v>
      </x:c>
      <x:c r="J562" s="4" t="str">
        <x:v>1. 打开粉丝团-未加入
2. 刷新粉丝团-未加入</x:v>
      </x:c>
      <x:c r="K562" s="4" t="str">
        <x:v>提示“未满足进群条件”</x:v>
      </x:c>
      <x:c r="L562" s="4" t="str"/>
      <x:c r="M562" s="4" t="str">
        <x:v>未测</x:v>
      </x:c>
      <x:c r="N562" s="4" t="str"/>
      <x:c r="O562" s="4" t="str">
        <x:v>1. 来源（原型批注）：liveshow-proto/prototype/annotations/user.js；views/live-room/fan-club-not-joined.html
2. 页面：views/live-room/fan-club-not-joined.html
3. 规则：BR-EF8DC98B0A67A9
4. 场景：SC-6FB82BA5990C3B
5. 未动态验证</x:v>
      </x:c>
    </x:row>
    <x:row r="563" ht="54" customHeight="1">
      <x:c r="A563" s="4" t="n">
        <x:v>562</x:v>
      </x:c>
      <x:c r="B563" s="4" t="str">
        <x:v>ULIVE-0060</x:v>
      </x:c>
      <x:c r="C563" s="4" t="str">
        <x:v>直播模块</x:v>
      </x:c>
      <x:c r="D563" s="4" t="str">
        <x:v>粉丝团-未加入（观众视角）</x:v>
      </x:c>
      <x:c r="E563" s="4" t="str">
        <x:v>业务流程</x:v>
      </x:c>
      <x:c r="F563" s="4" t="str">
        <x:v>P1</x:v>
      </x:c>
      <x:c r="G563" s="4" t="str">
        <x:v>验证条件未满足后的粉丝团-未加入状态</x:v>
      </x:c>
      <x:c r="H563" s="4" t="str">
        <x:v>粉丝团-未加入状态</x:v>
      </x:c>
      <x:c r="I563" s="4" t="str">
        <x:v>1. 观众账号已登录且具备当前页面权限
2. 条件未满足</x:v>
      </x:c>
      <x:c r="J563" s="4" t="str">
        <x:v>1. 打开粉丝团-未加入
2. 刷新粉丝团-未加入</x:v>
      </x:c>
      <x:c r="K563" s="4" t="str">
        <x:v>提示“未满足进群条件”</x:v>
      </x:c>
      <x:c r="L563" s="4" t="str"/>
      <x:c r="M563" s="4" t="str">
        <x:v>未测</x:v>
      </x:c>
      <x:c r="N563" s="4" t="str"/>
      <x:c r="O563" s="4" t="str">
        <x:v>1. 来源（原型批注）：liveshow-proto/prototype/annotations/user.js；views/live-room/fan-club-not-joined.html
2. 页面：views/live-room/fan-club-not-joined.html
3. 规则：BR-EF8DC98B0A67A9
4. 场景：SC-93BFFE79DB05F2
5. 未动态验证</x:v>
      </x:c>
    </x:row>
    <x:row r="564" ht="54" customHeight="1">
      <x:c r="A564" s="4" t="n">
        <x:v>563</x:v>
      </x:c>
      <x:c r="B564" s="4" t="str">
        <x:v>ULIVE-0061</x:v>
      </x:c>
      <x:c r="C564" s="4" t="str">
        <x:v>直播模块</x:v>
      </x:c>
      <x:c r="D564" s="4" t="str">
        <x:v>粉丝团-未加入（观众视角）</x:v>
      </x:c>
      <x:c r="E564" s="4" t="str">
        <x:v>业务流程</x:v>
      </x:c>
      <x:c r="F564" s="4" t="str">
        <x:v>P1</x:v>
      </x:c>
      <x:c r="G564" s="4" t="str">
        <x:v>验证展示加入后的粉丝团-未加入状态</x:v>
      </x:c>
      <x:c r="H564" s="4" t="str">
        <x:v>粉丝团-未加入状态</x:v>
      </x:c>
      <x:c r="I564" s="4" t="str">
        <x:v>1. 观众账号已登录且具备当前页面权限
2. 展示加入</x:v>
      </x:c>
      <x:c r="J564" s="4" t="str">
        <x:v>1. 打开粉丝团-未加入
2. 刷新粉丝团-未加入</x:v>
      </x:c>
      <x:c r="K564" s="4" t="str">
        <x:v>可获得的群聊、灯牌和等级权益</x:v>
      </x:c>
      <x:c r="L564" s="4" t="str"/>
      <x:c r="M564" s="4" t="str">
        <x:v>未测</x:v>
      </x:c>
      <x:c r="N564" s="4" t="str"/>
      <x:c r="O564" s="4" t="str">
        <x:v>1. 来源（原型批注）：liveshow-proto/prototype/annotations/user.js；views/live-room/fan-club-not-joined.html
2. 页面：views/live-room/fan-club-not-joined.html
3. 规则：BR-2543283808C3DE
4. 场景：SC-28864F1EF6D8CC
5. 未动态验证</x:v>
      </x:c>
    </x:row>
    <x:row r="565" ht="54" customHeight="1">
      <x:c r="A565" s="4" t="n">
        <x:v>564</x:v>
      </x:c>
      <x:c r="B565" s="4" t="str">
        <x:v>ULIVE-0062</x:v>
      </x:c>
      <x:c r="C565" s="4" t="str">
        <x:v>直播模块</x:v>
      </x:c>
      <x:c r="D565" s="4" t="str">
        <x:v>粉丝团-已加入（观众视角）</x:v>
      </x:c>
      <x:c r="E565" s="4" t="str">
        <x:v>业务流程</x:v>
      </x:c>
      <x:c r="F565" s="4" t="str">
        <x:v>P1</x:v>
      </x:c>
      <x:c r="G565" s="4" t="str">
        <x:v>验证被主播移出后的粉丝团-已加入状态</x:v>
      </x:c>
      <x:c r="H565" s="4" t="str">
        <x:v>粉丝团-已加入状态</x:v>
      </x:c>
      <x:c r="I565" s="4" t="str">
        <x:v>1. 观众账号已登录且具备当前页面权限
2. 被主播移出</x:v>
      </x:c>
      <x:c r="J565" s="4" t="str">
        <x:v>1. 打开粉丝团-已加入
2. 刷新粉丝团-已加入</x:v>
      </x:c>
      <x:c r="K565" s="4" t="str">
        <x:v>团籍解除</x:v>
      </x:c>
      <x:c r="L565" s="4" t="str"/>
      <x:c r="M565" s="4" t="str">
        <x:v>未测</x:v>
      </x:c>
      <x:c r="N565" s="4" t="str"/>
      <x:c r="O565" s="4" t="str">
        <x:v>1. 来源（原型批注）：liveshow-proto/prototype/annotations/user.js；views/live-room/fan-club-joined.html
2. 页面：views/live-room/fan-club-joined.html
3. 规则：BR-E92AAC9E417580
4. 场景：SC-0C7D5700CE5D5A
5. 未动态验证</x:v>
      </x:c>
    </x:row>
    <x:row r="566" ht="54" customHeight="1">
      <x:c r="A566" s="4" t="n">
        <x:v>565</x:v>
      </x:c>
      <x:c r="B566" s="4" t="str">
        <x:v>ULIVE-0063</x:v>
      </x:c>
      <x:c r="C566" s="4" t="str">
        <x:v>直播模块</x:v>
      </x:c>
      <x:c r="D566" s="4" t="str">
        <x:v>粉丝团-已加入（观众视角）</x:v>
      </x:c>
      <x:c r="E566" s="4" t="str">
        <x:v>业务流程</x:v>
      </x:c>
      <x:c r="F566" s="4" t="str">
        <x:v>P1</x:v>
      </x:c>
      <x:c r="G566" s="4" t="str">
        <x:v>验证查看贡献后的粉丝团-已加入状态</x:v>
      </x:c>
      <x:c r="H566" s="4" t="str">
        <x:v>粉丝团-已加入状态</x:v>
      </x:c>
      <x:c r="I566" s="4" t="str">
        <x:v>1. 观众账号已登录且具备当前页面权限</x:v>
      </x:c>
      <x:c r="J566" s="4" t="str">
        <x:v>1. 打开粉丝团-已加入
2. 查看贡献</x:v>
      </x:c>
      <x:c r="K566" s="4" t="str">
        <x:v>进入当前主播贡献榜</x:v>
      </x:c>
      <x:c r="L566" s="4" t="str"/>
      <x:c r="M566" s="4" t="str">
        <x:v>未测</x:v>
      </x:c>
      <x:c r="N566" s="4" t="str"/>
      <x:c r="O566" s="4" t="str">
        <x:v>1. 来源（原型批注）：liveshow-proto/prototype/annotations/user.js；views/live-room/fan-club-joined.html
2. 页面：views/live-room/fan-club-joined.html
3. 规则：BR-2F5BEF1063AD2F
4. 场景：SC-4D7A966ECBE75E
5. 未动态验证</x:v>
      </x:c>
    </x:row>
    <x:row r="567" ht="54" customHeight="1">
      <x:c r="A567" s="4" t="n">
        <x:v>566</x:v>
      </x:c>
      <x:c r="B567" s="4" t="str">
        <x:v>ULIVE-0064</x:v>
      </x:c>
      <x:c r="C567" s="4" t="str">
        <x:v>直播模块</x:v>
      </x:c>
      <x:c r="D567" s="4" t="str">
        <x:v>粉丝团-已加入（观众视角）</x:v>
      </x:c>
      <x:c r="E567" s="4" t="str">
        <x:v>功能需求</x:v>
      </x:c>
      <x:c r="F567" s="4" t="str">
        <x:v>P1</x:v>
      </x:c>
      <x:c r="G567" s="4" t="str">
        <x:v>验证粉丝团-已加入可查看粉丝等级</x:v>
      </x:c>
      <x:c r="H567" s="4" t="str">
        <x:v>粉丝等级展示</x:v>
      </x:c>
      <x:c r="I567" s="4" t="str">
        <x:v>1. 观众账号已登录且具备当前页面权限</x:v>
      </x:c>
      <x:c r="J567" s="4" t="str">
        <x:v>1. 打开粉丝团-已加入
2. 查看粉丝等级</x:v>
      </x:c>
      <x:c r="K567" s="4" t="str">
        <x:v>粉丝团-已加入显示“粉丝等级”</x:v>
      </x:c>
      <x:c r="L567" s="4" t="str"/>
      <x:c r="M567" s="4" t="str">
        <x:v>未测</x:v>
      </x:c>
      <x:c r="N567" s="4" t="str"/>
      <x:c r="O567" s="4" t="str">
        <x:v>1. 来源（原型批注）：liveshow-proto/prototype/annotations/user.js；views/live-room/fan-club-joined.html
2. 页面：views/live-room/fan-club-joined.html
3. 规则：BR-A7D46FAEA8666D
4. 场景：SC-8DB5EE17957DB2
5. 未动态验证</x:v>
      </x:c>
    </x:row>
    <x:row r="568" ht="54" customHeight="1">
      <x:c r="A568" s="4" t="n">
        <x:v>567</x:v>
      </x:c>
      <x:c r="B568" s="4" t="str">
        <x:v>ULIVE-0065</x:v>
      </x:c>
      <x:c r="C568" s="4" t="str">
        <x:v>直播模块</x:v>
      </x:c>
      <x:c r="D568" s="4" t="str">
        <x:v>粉丝团-已加入（观众视角）</x:v>
      </x:c>
      <x:c r="E568" s="4" t="str">
        <x:v>功能需求</x:v>
      </x:c>
      <x:c r="F568" s="4" t="str">
        <x:v>P1</x:v>
      </x:c>
      <x:c r="G568" s="4" t="str">
        <x:v>验证粉丝团-已加入可查看亲密度</x:v>
      </x:c>
      <x:c r="H568" s="4" t="str">
        <x:v>亲密度展示</x:v>
      </x:c>
      <x:c r="I568" s="4" t="str">
        <x:v>1. 观众账号已登录且具备当前页面权限</x:v>
      </x:c>
      <x:c r="J568" s="4" t="str">
        <x:v>1. 打开粉丝团-已加入
2. 查看亲密度</x:v>
      </x:c>
      <x:c r="K568" s="4" t="str">
        <x:v>粉丝团-已加入显示“亲密度”</x:v>
      </x:c>
      <x:c r="L568" s="4" t="str"/>
      <x:c r="M568" s="4" t="str">
        <x:v>未测</x:v>
      </x:c>
      <x:c r="N568" s="4" t="str"/>
      <x:c r="O568" s="4" t="str">
        <x:v>1. 来源（原型批注）：liveshow-proto/prototype/annotations/user.js；views/live-room/fan-club-joined.html
2. 页面：views/live-room/fan-club-joined.html
3. 规则：BR-166621D6B0DC38
4. 场景：SC-0A9FE4A91C9E2C
5. 未动态验证</x:v>
      </x:c>
    </x:row>
    <x:row r="569" ht="54" customHeight="1">
      <x:c r="A569" s="4" t="n">
        <x:v>568</x:v>
      </x:c>
      <x:c r="B569" s="4" t="str">
        <x:v>ULIVE-0066</x:v>
      </x:c>
      <x:c r="C569" s="4" t="str">
        <x:v>直播模块</x:v>
      </x:c>
      <x:c r="D569" s="4" t="str">
        <x:v>粉丝团-已加入（观众视角）</x:v>
      </x:c>
      <x:c r="E569" s="4" t="str">
        <x:v>功能需求</x:v>
      </x:c>
      <x:c r="F569" s="4" t="str">
        <x:v>P1</x:v>
      </x:c>
      <x:c r="G569" s="4" t="str">
        <x:v>验证粉丝团-已加入可查看团籍状态</x:v>
      </x:c>
      <x:c r="H569" s="4" t="str">
        <x:v>团籍状态展示</x:v>
      </x:c>
      <x:c r="I569" s="4" t="str">
        <x:v>1. 观众账号已登录且具备当前页面权限</x:v>
      </x:c>
      <x:c r="J569" s="4" t="str">
        <x:v>1. 打开粉丝团-已加入
2. 查看团籍状态</x:v>
      </x:c>
      <x:c r="K569" s="4" t="str">
        <x:v>粉丝团-已加入显示“团籍状态”</x:v>
      </x:c>
      <x:c r="L569" s="4" t="str"/>
      <x:c r="M569" s="4" t="str">
        <x:v>未测</x:v>
      </x:c>
      <x:c r="N569" s="4" t="str"/>
      <x:c r="O569" s="4" t="str">
        <x:v>1. 来源（原型批注）：liveshow-proto/prototype/annotations/user.js；views/live-room/fan-club-joined.html
2. 页面：views/live-room/fan-club-joined.html
3. 规则：BR-8C0995DD00DB64
4. 场景：SC-5DF56B168CC467
5. 未动态验证</x:v>
      </x:c>
    </x:row>
    <x:row r="570" ht="54" customHeight="1">
      <x:c r="A570" s="4" t="n">
        <x:v>569</x:v>
      </x:c>
      <x:c r="B570" s="4" t="str">
        <x:v>ULIVE-0067</x:v>
      </x:c>
      <x:c r="C570" s="4" t="str">
        <x:v>直播模块</x:v>
      </x:c>
      <x:c r="D570" s="4" t="str">
        <x:v>粉丝团-已加入（观众视角）</x:v>
      </x:c>
      <x:c r="E570" s="4" t="str">
        <x:v>业务流程</x:v>
      </x:c>
      <x:c r="F570" s="4" t="str">
        <x:v>P1</x:v>
      </x:c>
      <x:c r="G570" s="4" t="str">
        <x:v>验证账号拉黑后的粉丝团-已加入状态</x:v>
      </x:c>
      <x:c r="H570" s="4" t="str">
        <x:v>粉丝团-已加入状态</x:v>
      </x:c>
      <x:c r="I570" s="4" t="str">
        <x:v>1. 观众账号已登录且具备当前页面权限
2. 账号拉黑</x:v>
      </x:c>
      <x:c r="J570" s="4" t="str">
        <x:v>1. 打开粉丝团-已加入
2. 刷新粉丝团-已加入</x:v>
      </x:c>
      <x:c r="K570" s="4" t="str">
        <x:v>团籍解除</x:v>
      </x:c>
      <x:c r="L570" s="4" t="str"/>
      <x:c r="M570" s="4" t="str">
        <x:v>未测</x:v>
      </x:c>
      <x:c r="N570" s="4" t="str"/>
      <x:c r="O570" s="4" t="str">
        <x:v>1. 来源（原型批注）：liveshow-proto/prototype/annotations/user.js；views/live-room/fan-club-joined.html
2. 页面：views/live-room/fan-club-joined.html
3. 规则：BR-E92AAC9E417580
4. 场景：SC-2BA2A0170D1764
5. 未动态验证</x:v>
      </x:c>
    </x:row>
    <x:row r="571" ht="54" customHeight="1">
      <x:c r="A571" s="4" t="n">
        <x:v>570</x:v>
      </x:c>
      <x:c r="B571" s="4" t="str">
        <x:v>ULIVE-0068</x:v>
      </x:c>
      <x:c r="C571" s="4" t="str">
        <x:v>直播模块</x:v>
      </x:c>
      <x:c r="D571" s="4" t="str">
        <x:v>粉丝团-已加入（观众视角）</x:v>
      </x:c>
      <x:c r="E571" s="4" t="str">
        <x:v>业务流程</x:v>
      </x:c>
      <x:c r="F571" s="4" t="str">
        <x:v>P1</x:v>
      </x:c>
      <x:c r="G571" s="4" t="str">
        <x:v>验证主动退出后的粉丝团-已加入状态</x:v>
      </x:c>
      <x:c r="H571" s="4" t="str">
        <x:v>粉丝团-已加入状态</x:v>
      </x:c>
      <x:c r="I571" s="4" t="str">
        <x:v>1. 观众账号已登录且具备当前页面权限
2. 主动退出</x:v>
      </x:c>
      <x:c r="J571" s="4" t="str">
        <x:v>1. 打开粉丝团-已加入
2. 刷新粉丝团-已加入</x:v>
      </x:c>
      <x:c r="K571" s="4" t="str">
        <x:v>团籍解除</x:v>
      </x:c>
      <x:c r="L571" s="4" t="str"/>
      <x:c r="M571" s="4" t="str">
        <x:v>未测</x:v>
      </x:c>
      <x:c r="N571" s="4" t="str"/>
      <x:c r="O571" s="4" t="str">
        <x:v>1. 来源（原型批注）：liveshow-proto/prototype/annotations/user.js；views/live-room/fan-club-joined.html
2. 页面：views/live-room/fan-club-joined.html
3. 规则：BR-E92AAC9E417580
4. 场景：SC-02FC75F75F6AB7
5. 未动态验证</x:v>
      </x:c>
    </x:row>
    <x:row r="572" ht="54" customHeight="1">
      <x:c r="A572" s="4" t="n">
        <x:v>571</x:v>
      </x:c>
      <x:c r="B572" s="4" t="str">
        <x:v>ULIVE-0069</x:v>
      </x:c>
      <x:c r="C572" s="4" t="str">
        <x:v>直播模块</x:v>
      </x:c>
      <x:c r="D572" s="4" t="str">
        <x:v>更多功能（观众视角）</x:v>
      </x:c>
      <x:c r="E572" s="4" t="str">
        <x:v>业务流程</x:v>
      </x:c>
      <x:c r="F572" s="4" t="str">
        <x:v>P1</x:v>
      </x:c>
      <x:c r="G572" s="4" t="str">
        <x:v>验证尝试受限操作后的更多功能状态</x:v>
      </x:c>
      <x:c r="H572" s="4" t="str">
        <x:v>更多功能状态</x:v>
      </x:c>
      <x:c r="I572" s="4" t="str">
        <x:v>1. 观众账号已登录且具备当前页面权限
2. 尝试受限操作</x:v>
      </x:c>
      <x:c r="J572" s="4" t="str">
        <x:v>1. 打开更多功能
2. 刷新更多功能</x:v>
      </x:c>
      <x:c r="K572" s="4" t="str">
        <x:v>提示先退出连麦</x:v>
      </x:c>
      <x:c r="L572" s="4" t="str"/>
      <x:c r="M572" s="4" t="str">
        <x:v>未测</x:v>
      </x:c>
      <x:c r="N572" s="4" t="str"/>
      <x:c r="O572" s="4" t="str">
        <x:v>1. 来源（原型批注）：liveshow-proto/prototype/annotations/user.js；views/live-room-cohost-active/more-actions.html
2. 页面：views/live-room-cohost-active/more-actions.html
3. 规则：BR-12CBAE5D172045
4. 场景：SC-DEF898495E113D
5. 未动态验证</x:v>
      </x:c>
    </x:row>
    <x:row r="573" ht="54" customHeight="1">
      <x:c r="A573" s="4" t="n">
        <x:v>572</x:v>
      </x:c>
      <x:c r="B573" s="4" t="str">
        <x:v>ULIVE-0070</x:v>
      </x:c>
      <x:c r="C573" s="4" t="str">
        <x:v>直播模块</x:v>
      </x:c>
      <x:c r="D573" s="4" t="str">
        <x:v>更多功能（观众视角）</x:v>
      </x:c>
      <x:c r="E573" s="4" t="str">
        <x:v>业务流程</x:v>
      </x:c>
      <x:c r="F573" s="4" t="str">
        <x:v>P1</x:v>
      </x:c>
      <x:c r="G573" s="4" t="str">
        <x:v>验证选择观众管理后的更多功能状态</x:v>
      </x:c>
      <x:c r="H573" s="4" t="str">
        <x:v>更多功能状态</x:v>
      </x:c>
      <x:c r="I573" s="4" t="str">
        <x:v>1. 观众账号已登录且具备当前页面权限</x:v>
      </x:c>
      <x:c r="J573" s="4" t="str">
        <x:v>1. 打开更多功能
2. 选择观众管理</x:v>
      </x:c>
      <x:c r="K573" s="4" t="str">
        <x:v>打开对应视图且不中断连麦</x:v>
      </x:c>
      <x:c r="L573" s="4" t="str"/>
      <x:c r="M573" s="4" t="str">
        <x:v>未测</x:v>
      </x:c>
      <x:c r="N573" s="4" t="str"/>
      <x:c r="O573" s="4" t="str">
        <x:v>1. 来源（原型批注）：liveshow-proto/prototype/annotations/user.js；views/live-room-cohost-active/more-actions.html
2. 页面：views/live-room-cohost-active/more-actions.html
3. 规则：BR-5D7D96FE027B5B
4. 场景：SC-77CFDF1B8B2CD2
5. 未动态验证</x:v>
      </x:c>
    </x:row>
    <x:row r="574" ht="54" customHeight="1">
      <x:c r="A574" s="4" t="n">
        <x:v>573</x:v>
      </x:c>
      <x:c r="B574" s="4" t="str">
        <x:v>ULIVE-0071</x:v>
      </x:c>
      <x:c r="C574" s="4" t="str">
        <x:v>直播模块</x:v>
      </x:c>
      <x:c r="D574" s="4" t="str">
        <x:v>更多功能（观众视角）</x:v>
      </x:c>
      <x:c r="E574" s="4" t="str">
        <x:v>业务流程</x:v>
      </x:c>
      <x:c r="F574" s="4" t="str">
        <x:v>P1</x:v>
      </x:c>
      <x:c r="G574" s="4" t="str">
        <x:v>验证选择转发后的更多功能状态</x:v>
      </x:c>
      <x:c r="H574" s="4" t="str">
        <x:v>更多功能状态</x:v>
      </x:c>
      <x:c r="I574" s="4" t="str">
        <x:v>1. 观众账号已登录且具备当前页面权限</x:v>
      </x:c>
      <x:c r="J574" s="4" t="str">
        <x:v>1. 打开更多功能
2. 选择转发</x:v>
      </x:c>
      <x:c r="K574" s="4" t="str">
        <x:v>打开对应视图且不中断连麦</x:v>
      </x:c>
      <x:c r="L574" s="4" t="str"/>
      <x:c r="M574" s="4" t="str">
        <x:v>未测</x:v>
      </x:c>
      <x:c r="N574" s="4" t="str"/>
      <x:c r="O574" s="4" t="str">
        <x:v>1. 来源（原型批注）：liveshow-proto/prototype/annotations/user.js；views/live-room-cohost-active/more-actions.html
2. 页面：views/live-room-cohost-active/more-actions.html
3. 规则：BR-5D7D96FE027B5B
4. 场景：SC-732F9BEFA0AC7E
5. 未动态验证</x:v>
      </x:c>
    </x:row>
    <x:row r="575" ht="54" customHeight="1">
      <x:c r="A575" s="4" t="n">
        <x:v>574</x:v>
      </x:c>
      <x:c r="B575" s="4" t="str">
        <x:v>ULIVE-0072</x:v>
      </x:c>
      <x:c r="C575" s="4" t="str">
        <x:v>直播模块</x:v>
      </x:c>
      <x:c r="D575" s="4" t="str">
        <x:v>更多功能（用户）（观众视角）</x:v>
      </x:c>
      <x:c r="E575" s="4" t="str">
        <x:v>业务流程</x:v>
      </x:c>
      <x:c r="F575" s="4" t="str">
        <x:v>P1</x:v>
      </x:c>
      <x:c r="G575" s="4" t="str">
        <x:v>验证点击遮罩后的更多功能（用户）状态</x:v>
      </x:c>
      <x:c r="H575" s="4" t="str">
        <x:v>更多功能（用户）状态</x:v>
      </x:c>
      <x:c r="I575" s="4" t="str">
        <x:v>1. 观众账号已登录且具备当前页面权限</x:v>
      </x:c>
      <x:c r="J575" s="4" t="str">
        <x:v>1. 打开更多功能（用户）
2. 点击遮罩</x:v>
      </x:c>
      <x:c r="K575" s="4" t="str">
        <x:v>关闭菜单</x:v>
      </x:c>
      <x:c r="L575" s="4" t="str"/>
      <x:c r="M575" s="4" t="str">
        <x:v>未测</x:v>
      </x:c>
      <x:c r="N575" s="4" t="str"/>
      <x:c r="O575" s="4" t="str">
        <x:v>1. 来源（原型批注）：liveshow-proto/prototype/annotations/user.js；views/live-room/more-actions.html
2. 页面：views/live-room/more-actions.html
3. 规则：BR-8030AAAAEBE4AD
4. 场景：SC-37BFBB71EDC38A
5. 未动态验证</x:v>
      </x:c>
    </x:row>
    <x:row r="576" ht="54" customHeight="1">
      <x:c r="A576" s="4" t="n">
        <x:v>575</x:v>
      </x:c>
      <x:c r="B576" s="4" t="str">
        <x:v>ULIVE-0073</x:v>
      </x:c>
      <x:c r="C576" s="4" t="str">
        <x:v>直播模块</x:v>
      </x:c>
      <x:c r="D576" s="4" t="str">
        <x:v>更多功能（用户）（观众视角）</x:v>
      </x:c>
      <x:c r="E576" s="4" t="str">
        <x:v>业务流程</x:v>
      </x:c>
      <x:c r="F576" s="4" t="str">
        <x:v>P1</x:v>
      </x:c>
      <x:c r="G576" s="4" t="str">
        <x:v>验证选择举报后的更多功能（用户）状态</x:v>
      </x:c>
      <x:c r="H576" s="4" t="str">
        <x:v>更多功能（用户）状态</x:v>
      </x:c>
      <x:c r="I576" s="4" t="str">
        <x:v>1. 观众账号已登录且具备当前页面权限</x:v>
      </x:c>
      <x:c r="J576" s="4" t="str">
        <x:v>1. 打开更多功能（用户）
2. 选择举报</x:v>
      </x:c>
      <x:c r="K576" s="4" t="str">
        <x:v>进入直播举报页</x:v>
      </x:c>
      <x:c r="L576" s="4" t="str"/>
      <x:c r="M576" s="4" t="str">
        <x:v>未测</x:v>
      </x:c>
      <x:c r="N576" s="4" t="str"/>
      <x:c r="O576" s="4" t="str">
        <x:v>1. 来源（原型批注）：liveshow-proto/prototype/annotations/user.js；views/live-room/more-actions.html
2. 页面：views/live-room/more-actions.html
3. 规则：BR-53C8D7EB4EF110
4. 场景：SC-65EA75E21925B3
5. 未动态验证</x:v>
      </x:c>
    </x:row>
    <x:row r="577" ht="54" customHeight="1">
      <x:c r="A577" s="4" t="n">
        <x:v>576</x:v>
      </x:c>
      <x:c r="B577" s="4" t="str">
        <x:v>ULIVE-0074</x:v>
      </x:c>
      <x:c r="C577" s="4" t="str">
        <x:v>直播模块</x:v>
      </x:c>
      <x:c r="D577" s="4" t="str">
        <x:v>更多功能（用户）（观众视角）</x:v>
      </x:c>
      <x:c r="E577" s="4" t="str">
        <x:v>业务流程</x:v>
      </x:c>
      <x:c r="F577" s="4" t="str">
        <x:v>P1</x:v>
      </x:c>
      <x:c r="G577" s="4" t="str">
        <x:v>验证选择清屏后的更多功能（用户）状态</x:v>
      </x:c>
      <x:c r="H577" s="4" t="str">
        <x:v>更多功能（用户）状态</x:v>
      </x:c>
      <x:c r="I577" s="4" t="str">
        <x:v>1. 观众账号已登录且具备当前页面权限</x:v>
      </x:c>
      <x:c r="J577" s="4" t="str">
        <x:v>1. 打开更多功能（用户）
2. 选择清屏</x:v>
      </x:c>
      <x:c r="K577" s="4" t="str">
        <x:v>立即清空当前显示</x:v>
      </x:c>
      <x:c r="L577" s="4" t="str"/>
      <x:c r="M577" s="4" t="str">
        <x:v>未测</x:v>
      </x:c>
      <x:c r="N577" s="4" t="str"/>
      <x:c r="O577" s="4" t="str">
        <x:v>1. 来源（原型批注）：liveshow-proto/prototype/annotations/user.js；views/live-room/more-actions.html
2. 页面：views/live-room/more-actions.html
3. 规则：BR-36AB258E99AE4B
4. 场景：SC-5210D58173EB81
5. 未动态验证</x:v>
      </x:c>
    </x:row>
    <x:row r="578" ht="54" customHeight="1">
      <x:c r="A578" s="4" t="n">
        <x:v>577</x:v>
      </x:c>
      <x:c r="B578" s="4" t="str">
        <x:v>ULIVE-0075</x:v>
      </x:c>
      <x:c r="C578" s="4" t="str">
        <x:v>直播模块</x:v>
      </x:c>
      <x:c r="D578" s="4" t="str">
        <x:v>更多功能（主播视角）</x:v>
      </x:c>
      <x:c r="E578" s="4" t="str">
        <x:v>业务流程</x:v>
      </x:c>
      <x:c r="F578" s="4" t="str">
        <x:v>P1</x:v>
      </x:c>
      <x:c r="G578" s="4" t="str">
        <x:v>验证点击遮罩后的更多功能状态</x:v>
      </x:c>
      <x:c r="H578" s="4" t="str">
        <x:v>更多功能状态</x:v>
      </x:c>
      <x:c r="I578" s="4" t="str">
        <x:v>1. 主播账号已登录且具备当前页面权限</x:v>
      </x:c>
      <x:c r="J578" s="4" t="str">
        <x:v>1. 打开更多功能
2. 点击遮罩</x:v>
      </x:c>
      <x:c r="K578" s="4" t="str">
        <x:v>返回直播间</x:v>
      </x:c>
      <x:c r="L578" s="4" t="str"/>
      <x:c r="M578" s="4" t="str">
        <x:v>未测</x:v>
      </x:c>
      <x:c r="N578" s="4" t="str"/>
      <x:c r="O578" s="4" t="str">
        <x:v>1. 来源（原型批注）：liveshow-proto/prototype/annotations/user.js；views/live-room-host/more-actions.html
2. 页面：views/live-room-host/more-actions.html
3. 规则：BR-575BFB0916D908
4. 场景：SC-E445D1BF578B64
5. 未动态验证</x:v>
      </x:c>
    </x:row>
    <x:row r="579" ht="54" customHeight="1">
      <x:c r="A579" s="4" t="n">
        <x:v>578</x:v>
      </x:c>
      <x:c r="B579" s="4" t="str">
        <x:v>ULIVE-0076</x:v>
      </x:c>
      <x:c r="C579" s="4" t="str">
        <x:v>直播模块</x:v>
      </x:c>
      <x:c r="D579" s="4" t="str">
        <x:v>更多功能（主播视角）</x:v>
      </x:c>
      <x:c r="E579" s="4" t="str">
        <x:v>业务流程</x:v>
      </x:c>
      <x:c r="F579" s="4" t="str">
        <x:v>P1</x:v>
      </x:c>
      <x:c r="G579" s="4" t="str">
        <x:v>验证关闭后的更多功能状态</x:v>
      </x:c>
      <x:c r="H579" s="4" t="str">
        <x:v>更多功能状态</x:v>
      </x:c>
      <x:c r="I579" s="4" t="str">
        <x:v>1. 主播账号已登录且具备当前页面权限</x:v>
      </x:c>
      <x:c r="J579" s="4" t="str">
        <x:v>1. 打开更多功能
2. 关闭</x:v>
      </x:c>
      <x:c r="K579" s="4" t="str">
        <x:v>返回直播间</x:v>
      </x:c>
      <x:c r="L579" s="4" t="str"/>
      <x:c r="M579" s="4" t="str">
        <x:v>未测</x:v>
      </x:c>
      <x:c r="N579" s="4" t="str"/>
      <x:c r="O579" s="4" t="str">
        <x:v>1. 来源（原型批注）：liveshow-proto/prototype/annotations/user.js；views/live-room-host/more-actions.html、views/live-room-host-password/more-actions.html
2. 页面：views/live-room-host/more-actions.html、views/live-room-host-password/more-actions.html
3. 规则：BR-575BFB0916D908、BR-4396084827C494
4. 场景：SC-451C1C8E34C40E
5. 未动态验证</x:v>
      </x:c>
    </x:row>
    <x:row r="580" ht="54" customHeight="1">
      <x:c r="A580" s="4" t="n">
        <x:v>579</x:v>
      </x:c>
      <x:c r="B580" s="4" t="str">
        <x:v>ULIVE-0077</x:v>
      </x:c>
      <x:c r="C580" s="4" t="str">
        <x:v>直播模块</x:v>
      </x:c>
      <x:c r="D580" s="4" t="str">
        <x:v>更多功能（主播视角）</x:v>
      </x:c>
      <x:c r="E580" s="4" t="str">
        <x:v>业务流程</x:v>
      </x:c>
      <x:c r="F580" s="4" t="str">
        <x:v>P1</x:v>
      </x:c>
      <x:c r="G580" s="4" t="str">
        <x:v>验证选择房间密码后的更多功能状态</x:v>
      </x:c>
      <x:c r="H580" s="4" t="str">
        <x:v>更多功能状态</x:v>
      </x:c>
      <x:c r="I580" s="4" t="str">
        <x:v>1. 主播账号已登录且具备当前页面权限</x:v>
      </x:c>
      <x:c r="J580" s="4" t="str">
        <x:v>1. 打开更多功能
2. 选择房间密码</x:v>
      </x:c>
      <x:c r="K580" s="4" t="str">
        <x:v>打开对应视图</x:v>
      </x:c>
      <x:c r="L580" s="4" t="str"/>
      <x:c r="M580" s="4" t="str">
        <x:v>未测</x:v>
      </x:c>
      <x:c r="N580" s="4" t="str"/>
      <x:c r="O580" s="4" t="str">
        <x:v>1. 来源（原型批注）：liveshow-proto/prototype/annotations/user.js；views/live-room-host-password/more-actions.html
2. 页面：views/live-room-host-password/more-actions.html
3. 规则：BR-6C679AD7DEB984
4. 场景：SC-0E5EB8A37F0820
5. 未动态验证</x:v>
      </x:c>
    </x:row>
    <x:row r="581" ht="54" customHeight="1">
      <x:c r="A581" s="4" t="n">
        <x:v>580</x:v>
      </x:c>
      <x:c r="B581" s="4" t="str">
        <x:v>ULIVE-0078</x:v>
      </x:c>
      <x:c r="C581" s="4" t="str">
        <x:v>直播模块</x:v>
      </x:c>
      <x:c r="D581" s="4" t="str">
        <x:v>更多功能（主播视角）</x:v>
      </x:c>
      <x:c r="E581" s="4" t="str">
        <x:v>业务流程</x:v>
      </x:c>
      <x:c r="F581" s="4" t="str">
        <x:v>P1</x:v>
      </x:c>
      <x:c r="G581" s="4" t="str">
        <x:v>验证选择功能后的更多功能状态</x:v>
      </x:c>
      <x:c r="H581" s="4" t="str">
        <x:v>更多功能状态</x:v>
      </x:c>
      <x:c r="I581" s="4" t="str">
        <x:v>1. 主播账号已登录且具备当前页面权限</x:v>
      </x:c>
      <x:c r="J581" s="4" t="str">
        <x:v>1. 打开更多功能
2. 选择功能</x:v>
      </x:c>
      <x:c r="K581" s="4" t="str">
        <x:v>打开对应设置或视图</x:v>
      </x:c>
      <x:c r="L581" s="4" t="str"/>
      <x:c r="M581" s="4" t="str">
        <x:v>未测</x:v>
      </x:c>
      <x:c r="N581" s="4" t="str"/>
      <x:c r="O581" s="4" t="str">
        <x:v>1. 来源（原型批注）：liveshow-proto/prototype/annotations/user.js；views/live-room-host/more-actions.html
2. 页面：views/live-room-host/more-actions.html
3. 规则：BR-5E976027CE7B88
4. 场景：SC-D2D0557B43BBBE
5. 未动态验证</x:v>
      </x:c>
    </x:row>
    <x:row r="582" ht="54" customHeight="1">
      <x:c r="A582" s="4" t="n">
        <x:v>581</x:v>
      </x:c>
      <x:c r="B582" s="4" t="str">
        <x:v>ULIVE-0079</x:v>
      </x:c>
      <x:c r="C582" s="4" t="str">
        <x:v>直播模块</x:v>
      </x:c>
      <x:c r="D582" s="4" t="str">
        <x:v>更多功能（主播视角）</x:v>
      </x:c>
      <x:c r="E582" s="4" t="str">
        <x:v>业务流程</x:v>
      </x:c>
      <x:c r="F582" s="4" t="str">
        <x:v>P1</x:v>
      </x:c>
      <x:c r="G582" s="4" t="str">
        <x:v>验证选择可见范围后的更多功能状态</x:v>
      </x:c>
      <x:c r="H582" s="4" t="str">
        <x:v>更多功能状态</x:v>
      </x:c>
      <x:c r="I582" s="4" t="str">
        <x:v>1. 主播账号已登录且具备当前页面权限</x:v>
      </x:c>
      <x:c r="J582" s="4" t="str">
        <x:v>1. 打开更多功能
2. 选择可见范围</x:v>
      </x:c>
      <x:c r="K582" s="4" t="str">
        <x:v>打开对应视图</x:v>
      </x:c>
      <x:c r="L582" s="4" t="str"/>
      <x:c r="M582" s="4" t="str">
        <x:v>未测</x:v>
      </x:c>
      <x:c r="N582" s="4" t="str"/>
      <x:c r="O582" s="4" t="str">
        <x:v>1. 来源（原型批注）：liveshow-proto/prototype/annotations/user.js；views/live-room-host-password/more-actions.html
2. 页面：views/live-room-host-password/more-actions.html
3. 规则：BR-6C679AD7DEB984
4. 场景：SC-8D78DBF9BFB55F
5. 未动态验证</x:v>
      </x:c>
    </x:row>
    <x:row r="583" ht="54" customHeight="1">
      <x:c r="A583" s="4" t="n">
        <x:v>582</x:v>
      </x:c>
      <x:c r="B583" s="4" t="str">
        <x:v>ULIVE-0080</x:v>
      </x:c>
      <x:c r="C583" s="4" t="str">
        <x:v>直播模块</x:v>
      </x:c>
      <x:c r="D583" s="4" t="str">
        <x:v>更多功能（主播视角）</x:v>
      </x:c>
      <x:c r="E583" s="4" t="str">
        <x:v>业务流程</x:v>
      </x:c>
      <x:c r="F583" s="4" t="str">
        <x:v>P1</x:v>
      </x:c>
      <x:c r="G583" s="4" t="str">
        <x:v>验证用户退出后的更多功能状态</x:v>
      </x:c>
      <x:c r="H583" s="4" t="str">
        <x:v>更多功能状态</x:v>
      </x:c>
      <x:c r="I583" s="4" t="str">
        <x:v>1. 主播账号已登录且具备当前页面权限
2. 用户退出</x:v>
      </x:c>
      <x:c r="J583" s="4" t="str">
        <x:v>1. 打开更多功能
2. 刷新更多功能</x:v>
      </x:c>
      <x:c r="K583" s="4" t="str">
        <x:v>再次进入</x:v>
      </x:c>
      <x:c r="L583" s="4" t="str"/>
      <x:c r="M583" s="4" t="str">
        <x:v>未测</x:v>
      </x:c>
      <x:c r="N583" s="4" t="str"/>
      <x:c r="O583" s="4" t="str">
        <x:v>1. 来源（原型批注）：liveshow-proto/prototype/annotations/user.js；views/live-room-host-password/more-actions.html
2. 页面：views/live-room-host-password/more-actions.html
3. 规则：BR-01413B073DB5DB
4. 场景：SC-7BA47144469177
5. 未动态验证</x:v>
      </x:c>
    </x:row>
    <x:row r="584" ht="54" customHeight="1">
      <x:c r="A584" s="4" t="n">
        <x:v>583</x:v>
      </x:c>
      <x:c r="B584" s="4" t="str">
        <x:v>ULIVE-0081</x:v>
      </x:c>
      <x:c r="C584" s="4" t="str">
        <x:v>直播模块</x:v>
      </x:c>
      <x:c r="D584" s="4" t="str">
        <x:v>更多功能（主播视角）</x:v>
      </x:c>
      <x:c r="E584" s="4" t="str">
        <x:v>业务流程</x:v>
      </x:c>
      <x:c r="F584" s="4" t="str">
        <x:v>P1</x:v>
      </x:c>
      <x:c r="G584" s="4" t="str">
        <x:v>验证主播修改密码后的更多功能状态</x:v>
      </x:c>
      <x:c r="H584" s="4" t="str">
        <x:v>更多功能状态</x:v>
      </x:c>
      <x:c r="I584" s="4" t="str">
        <x:v>1. 主播账号已登录且具备当前页面权限
2. 主播修改密码</x:v>
      </x:c>
      <x:c r="J584" s="4" t="str">
        <x:v>1. 打开更多功能
2. 刷新更多功能</x:v>
      </x:c>
      <x:c r="K584" s="4" t="str">
        <x:v>已通过旧密码验证的在线用户不强制退出</x:v>
      </x:c>
      <x:c r="L584" s="4" t="str"/>
      <x:c r="M584" s="4" t="str">
        <x:v>未测</x:v>
      </x:c>
      <x:c r="N584" s="4" t="str"/>
      <x:c r="O584" s="4" t="str">
        <x:v>1. 来源（原型批注）：liveshow-proto/prototype/annotations/user.js；views/live-room-host-password/more-actions.html
2. 页面：views/live-room-host-password/more-actions.html
3. 规则：BR-69FE8EDC3248C4
4. 场景：SC-DAB07653924CDD
5. 未动态验证</x:v>
      </x:c>
    </x:row>
    <x:row r="585" ht="54" customHeight="1">
      <x:c r="A585" s="4" t="n">
        <x:v>584</x:v>
      </x:c>
      <x:c r="B585" s="4" t="str">
        <x:v>ULIVE-0082</x:v>
      </x:c>
      <x:c r="C585" s="4" t="str">
        <x:v>直播模块</x:v>
      </x:c>
      <x:c r="D585" s="4" t="str">
        <x:v>更多功能（主播视角）</x:v>
      </x:c>
      <x:c r="E585" s="4" t="str">
        <x:v>业务流程</x:v>
      </x:c>
      <x:c r="F585" s="4" t="str">
        <x:v>P1</x:v>
      </x:c>
      <x:c r="G585" s="4" t="str">
        <x:v>验证转发后的更多功能状态</x:v>
      </x:c>
      <x:c r="H585" s="4" t="str">
        <x:v>更多功能状态</x:v>
      </x:c>
      <x:c r="I585" s="4" t="str">
        <x:v>1. 主播账号已登录且具备当前页面权限
2. 转发</x:v>
      </x:c>
      <x:c r="J585" s="4" t="str">
        <x:v>1. 打开更多功能
2. 刷新更多功能</x:v>
      </x:c>
      <x:c r="K585" s="4" t="str">
        <x:v>进入接收对象视图</x:v>
      </x:c>
      <x:c r="L585" s="4" t="str"/>
      <x:c r="M585" s="4" t="str">
        <x:v>未测</x:v>
      </x:c>
      <x:c r="N585" s="4" t="str"/>
      <x:c r="O585" s="4" t="str">
        <x:v>1. 来源（原型批注）：liveshow-proto/prototype/annotations/user.js；views/live-room-host/more-actions.html
2. 页面：views/live-room-host/more-actions.html
3. 规则：BR-2942B2915167B6
4. 场景：SC-CDEFD09F3105E1
5. 未动态验证</x:v>
      </x:c>
    </x:row>
    <x:row r="586" ht="54" customHeight="1">
      <x:c r="A586" s="4" t="n">
        <x:v>585</x:v>
      </x:c>
      <x:c r="B586" s="4" t="str">
        <x:v>ULIVE-0083</x:v>
      </x:c>
      <x:c r="C586" s="4" t="str">
        <x:v>直播模块</x:v>
      </x:c>
      <x:c r="D586" s="4" t="str">
        <x:v>观众资料卡-主播（主播视角）</x:v>
      </x:c>
      <x:c r="E586" s="4" t="str">
        <x:v>业务流程</x:v>
      </x:c>
      <x:c r="F586" s="4" t="str">
        <x:v>P1</x:v>
      </x:c>
      <x:c r="G586" s="4" t="str">
        <x:v>验证点击答谢后的观众资料卡-主播状态</x:v>
      </x:c>
      <x:c r="H586" s="4" t="str">
        <x:v>观众资料卡-主播状态</x:v>
      </x:c>
      <x:c r="I586" s="4" t="str">
        <x:v>1. 主播账号已登录且具备当前页面权限</x:v>
      </x:c>
      <x:c r="J586" s="4" t="str">
        <x:v>1. 打开观众资料卡-主播
2. 点击答谢</x:v>
      </x:c>
      <x:c r="K586" s="4" t="str">
        <x:v>关闭资料卡并预填答谢文案</x:v>
      </x:c>
      <x:c r="L586" s="4" t="str"/>
      <x:c r="M586" s="4" t="str">
        <x:v>未测</x:v>
      </x:c>
      <x:c r="N586" s="4" t="str"/>
      <x:c r="O586" s="4" t="str">
        <x:v>1. 来源（原型批注）：liveshow-proto/prototype/annotations/user.js；views/live-room-host/profile-host.html
2. 页面：views/live-room-host/profile-host.html
3. 规则：BR-EDA1E63E7F54A2
4. 场景：SC-B5EC1E010B2E7E
5. 未动态验证</x:v>
      </x:c>
    </x:row>
    <x:row r="587" ht="54" customHeight="1">
      <x:c r="A587" s="4" t="n">
        <x:v>586</x:v>
      </x:c>
      <x:c r="B587" s="4" t="str">
        <x:v>ULIVE-0084</x:v>
      </x:c>
      <x:c r="C587" s="4" t="str">
        <x:v>直播模块</x:v>
      </x:c>
      <x:c r="D587" s="4" t="str">
        <x:v>观众资料卡-主播（主播视角）</x:v>
      </x:c>
      <x:c r="E587" s="4" t="str">
        <x:v>业务流程</x:v>
      </x:c>
      <x:c r="F587" s="4" t="str">
        <x:v>P1</x:v>
      </x:c>
      <x:c r="G587" s="4" t="str">
        <x:v>验证房管达到上限后的观众资料卡-主播状态</x:v>
      </x:c>
      <x:c r="H587" s="4" t="str">
        <x:v>观众资料卡-主播状态</x:v>
      </x:c>
      <x:c r="I587" s="4" t="str">
        <x:v>1. 主播账号已登录且具备当前页面权限
2. 房管达到上限</x:v>
      </x:c>
      <x:c r="J587" s="4" t="str">
        <x:v>1. 打开观众资料卡-主播
2. 刷新观众资料卡-主播</x:v>
      </x:c>
      <x:c r="K587" s="4" t="str">
        <x:v>提示“已达3人上限”</x:v>
      </x:c>
      <x:c r="L587" s="4" t="str"/>
      <x:c r="M587" s="4" t="str">
        <x:v>未测</x:v>
      </x:c>
      <x:c r="N587" s="4" t="str"/>
      <x:c r="O587" s="4" t="str">
        <x:v>1. 来源（原型批注）：liveshow-proto/prototype/annotations/user.js；views/live-room-host/profile-host.html
2. 页面：views/live-room-host/profile-host.html
3. 规则：BR-193C9E74F3A672
4. 场景：SC-5D6015B3869A29
5. 未动态验证</x:v>
      </x:c>
    </x:row>
    <x:row r="588" ht="54" customHeight="1">
      <x:c r="A588" s="4" t="n">
        <x:v>587</x:v>
      </x:c>
      <x:c r="B588" s="4" t="str">
        <x:v>ULIVE-0085</x:v>
      </x:c>
      <x:c r="C588" s="4" t="str">
        <x:v>直播模块</x:v>
      </x:c>
      <x:c r="D588" s="4" t="str">
        <x:v>观众资料卡-主播（主播视角）</x:v>
      </x:c>
      <x:c r="E588" s="4" t="str">
        <x:v>功能需求</x:v>
      </x:c>
      <x:c r="F588" s="4" t="str">
        <x:v>P1</x:v>
      </x:c>
      <x:c r="G588" s="4" t="str">
        <x:v>验证观众资料卡-主播可查看本场状态</x:v>
      </x:c>
      <x:c r="H588" s="4" t="str">
        <x:v>本场状态展示</x:v>
      </x:c>
      <x:c r="I588" s="4" t="str">
        <x:v>1. 主播账号已登录且具备当前页面权限</x:v>
      </x:c>
      <x:c r="J588" s="4" t="str">
        <x:v>1. 打开观众资料卡-主播
2. 查看本场状态</x:v>
      </x:c>
      <x:c r="K588" s="4" t="str">
        <x:v>观众资料卡-主播显示“本场状态”</x:v>
      </x:c>
      <x:c r="L588" s="4" t="str"/>
      <x:c r="M588" s="4" t="str">
        <x:v>未测</x:v>
      </x:c>
      <x:c r="N588" s="4" t="str"/>
      <x:c r="O588" s="4" t="str">
        <x:v>1. 来源（原型批注）：liveshow-proto/prototype/annotations/user.js；views/live-room-host/profile-host.html
2. 页面：views/live-room-host/profile-host.html
3. 规则：BR-3B3909245C9B52
4. 场景：SC-3A1A9A3E11DF01
5. 未动态验证</x:v>
      </x:c>
    </x:row>
    <x:row r="589" ht="54" customHeight="1">
      <x:c r="A589" s="4" t="n">
        <x:v>588</x:v>
      </x:c>
      <x:c r="B589" s="4" t="str">
        <x:v>ULIVE-0086</x:v>
      </x:c>
      <x:c r="C589" s="4" t="str">
        <x:v>直播模块</x:v>
      </x:c>
      <x:c r="D589" s="4" t="str">
        <x:v>观众资料卡-主播（主播视角）</x:v>
      </x:c>
      <x:c r="E589" s="4" t="str">
        <x:v>功能需求</x:v>
      </x:c>
      <x:c r="F589" s="4" t="str">
        <x:v>P1</x:v>
      </x:c>
      <x:c r="G589" s="4" t="str">
        <x:v>验证观众资料卡-主播可查看房管状态</x:v>
      </x:c>
      <x:c r="H589" s="4" t="str">
        <x:v>房管状态展示</x:v>
      </x:c>
      <x:c r="I589" s="4" t="str">
        <x:v>1. 主播账号已登录且具备当前页面权限</x:v>
      </x:c>
      <x:c r="J589" s="4" t="str">
        <x:v>1. 打开观众资料卡-主播
2. 查看房管状态</x:v>
      </x:c>
      <x:c r="K589" s="4" t="str">
        <x:v>观众资料卡-主播显示“房管状态”</x:v>
      </x:c>
      <x:c r="L589" s="4" t="str"/>
      <x:c r="M589" s="4" t="str">
        <x:v>未测</x:v>
      </x:c>
      <x:c r="N589" s="4" t="str"/>
      <x:c r="O589" s="4" t="str">
        <x:v>1. 来源（原型批注）：liveshow-proto/prototype/annotations/user.js；views/live-room-host/profile-host.html
2. 页面：views/live-room-host/profile-host.html
3. 规则：BR-FE8758E65C4C1D
4. 场景：SC-5D362EDA713A35
5. 未动态验证</x:v>
      </x:c>
    </x:row>
    <x:row r="590" ht="54" customHeight="1">
      <x:c r="A590" s="4" t="n">
        <x:v>589</x:v>
      </x:c>
      <x:c r="B590" s="4" t="str">
        <x:v>ULIVE-0087</x:v>
      </x:c>
      <x:c r="C590" s="4" t="str">
        <x:v>直播模块</x:v>
      </x:c>
      <x:c r="D590" s="4" t="str">
        <x:v>观众资料卡-主播（主播视角）</x:v>
      </x:c>
      <x:c r="E590" s="4" t="str">
        <x:v>功能需求</x:v>
      </x:c>
      <x:c r="F590" s="4" t="str">
        <x:v>P1</x:v>
      </x:c>
      <x:c r="G590" s="4" t="str">
        <x:v>验证观众资料卡-主播可查看用户资料</x:v>
      </x:c>
      <x:c r="H590" s="4" t="str">
        <x:v>用户资料展示</x:v>
      </x:c>
      <x:c r="I590" s="4" t="str">
        <x:v>1. 主播账号已登录且具备当前页面权限</x:v>
      </x:c>
      <x:c r="J590" s="4" t="str">
        <x:v>1. 打开观众资料卡-主播
2. 查看用户资料</x:v>
      </x:c>
      <x:c r="K590" s="4" t="str">
        <x:v>观众资料卡-主播显示“用户资料”</x:v>
      </x:c>
      <x:c r="L590" s="4" t="str"/>
      <x:c r="M590" s="4" t="str">
        <x:v>未测</x:v>
      </x:c>
      <x:c r="N590" s="4" t="str"/>
      <x:c r="O590" s="4" t="str">
        <x:v>1. 来源（原型批注）：liveshow-proto/prototype/annotations/user.js；views/live-room-host/profile-host.html
2. 页面：views/live-room-host/profile-host.html
3. 规则：BR-F1D68706FE0D9D
4. 场景：SC-66D989EE920B83
5. 未动态验证</x:v>
      </x:c>
    </x:row>
    <x:row r="591" ht="54" customHeight="1">
      <x:c r="A591" s="4" t="n">
        <x:v>590</x:v>
      </x:c>
      <x:c r="B591" s="4" t="str">
        <x:v>ULIVE-0088</x:v>
      </x:c>
      <x:c r="C591" s="4" t="str">
        <x:v>直播模块</x:v>
      </x:c>
      <x:c r="D591" s="4" t="str">
        <x:v>观众资料卡-主播（主播视角）</x:v>
      </x:c>
      <x:c r="E591" s="4" t="str">
        <x:v>功能需求</x:v>
      </x:c>
      <x:c r="F591" s="4" t="str">
        <x:v>P1</x:v>
      </x:c>
      <x:c r="G591" s="4" t="str">
        <x:v>验证目标已被踢出时的观众资料卡-主播结果</x:v>
      </x:c>
      <x:c r="H591" s="4" t="str">
        <x:v>观众资料卡-主播条件结果</x:v>
      </x:c>
      <x:c r="I591" s="4" t="str">
        <x:v>1. 主播账号已登录且具备当前页面权限
2. 目标已被踢出</x:v>
      </x:c>
      <x:c r="J591" s="4" t="str">
        <x:v>1. 打开观众资料卡-主播
2. 查看观众资料卡-主播</x:v>
      </x:c>
      <x:c r="K591" s="4" t="str">
        <x:v>不可新增房管</x:v>
      </x:c>
      <x:c r="L591" s="4" t="str"/>
      <x:c r="M591" s="4" t="str">
        <x:v>未测</x:v>
      </x:c>
      <x:c r="N591" s="4" t="str"/>
      <x:c r="O591" s="4" t="str">
        <x:v>1. 来源（原型批注）：liveshow-proto/prototype/annotations/user.js；views/live-room-host/profile-host.html
2. 页面：views/live-room-host/profile-host.html
3. 规则：BR-0AA215CDAC3BB7
4. 场景：SC-C9A0293D69FF83
5. 未动态验证</x:v>
      </x:c>
    </x:row>
    <x:row r="592" ht="54" customHeight="1">
      <x:c r="A592" s="4" t="n">
        <x:v>591</x:v>
      </x:c>
      <x:c r="B592" s="4" t="str">
        <x:v>ULIVE-0089</x:v>
      </x:c>
      <x:c r="C592" s="4" t="str">
        <x:v>直播模块</x:v>
      </x:c>
      <x:c r="D592" s="4" t="str">
        <x:v>观众资料卡-主播（主播视角）</x:v>
      </x:c>
      <x:c r="E592" s="4" t="str">
        <x:v>功能需求</x:v>
      </x:c>
      <x:c r="F592" s="4" t="str">
        <x:v>P1</x:v>
      </x:c>
      <x:c r="G592" s="4" t="str">
        <x:v>验证双方存在拉黑关系时的观众资料卡-主播结果</x:v>
      </x:c>
      <x:c r="H592" s="4" t="str">
        <x:v>观众资料卡-主播条件结果</x:v>
      </x:c>
      <x:c r="I592" s="4" t="str">
        <x:v>1. 主播账号已登录且具备当前页面权限
2. 双方存在拉黑关系</x:v>
      </x:c>
      <x:c r="J592" s="4" t="str">
        <x:v>1. 打开观众资料卡-主播
2. 查看观众资料卡-主播</x:v>
      </x:c>
      <x:c r="K592" s="4" t="str">
        <x:v>不可新增房管</x:v>
      </x:c>
      <x:c r="L592" s="4" t="str"/>
      <x:c r="M592" s="4" t="str">
        <x:v>未测</x:v>
      </x:c>
      <x:c r="N592" s="4" t="str"/>
      <x:c r="O592" s="4" t="str">
        <x:v>1. 来源（原型批注）：liveshow-proto/prototype/annotations/user.js；views/live-room-host/profile-host.html
2. 页面：views/live-room-host/profile-host.html
3. 规则：BR-0AA215CDAC3BB7
4. 场景：SC-12487010963AF6
5. 未动态验证</x:v>
      </x:c>
    </x:row>
    <x:row r="593" ht="54" customHeight="1">
      <x:c r="A593" s="4" t="n">
        <x:v>592</x:v>
      </x:c>
      <x:c r="B593" s="4" t="str">
        <x:v>ULIVE-0090</x:v>
      </x:c>
      <x:c r="C593" s="4" t="str">
        <x:v>直播模块</x:v>
      </x:c>
      <x:c r="D593" s="4" t="str">
        <x:v>恢复发言确认（主播视角）</x:v>
      </x:c>
      <x:c r="E593" s="4" t="str">
        <x:v>业务流程</x:v>
      </x:c>
      <x:c r="F593" s="4" t="str">
        <x:v>P1</x:v>
      </x:c>
      <x:c r="G593" s="4" t="str">
        <x:v>验证关闭后的恢复发言确认状态</x:v>
      </x:c>
      <x:c r="H593" s="4" t="str">
        <x:v>恢复发言确认状态</x:v>
      </x:c>
      <x:c r="I593" s="4" t="str">
        <x:v>1. 主播账号已登录且具备当前页面权限</x:v>
      </x:c>
      <x:c r="J593" s="4" t="str">
        <x:v>1. 打开恢复发言确认
2. 关闭</x:v>
      </x:c>
      <x:c r="K593" s="4" t="str">
        <x:v>保持原状态并给出结果反馈</x:v>
      </x:c>
      <x:c r="L593" s="4" t="str"/>
      <x:c r="M593" s="4" t="str">
        <x:v>未测</x:v>
      </x:c>
      <x:c r="N593" s="4" t="str"/>
      <x:c r="O593" s="4" t="str">
        <x:v>1. 来源（原型批注）：liveshow-proto/prototype/annotations/user.js；views/live-room-host/restore-speaking-confirm.html
2. 页面：views/live-room-host/restore-speaking-confirm.html
3. 规则：BR-36AEA3A9F1168D
4. 场景：SC-D09F8F56D8FB1A
5. 未动态验证</x:v>
      </x:c>
    </x:row>
    <x:row r="594" ht="54" customHeight="1">
      <x:c r="A594" s="4" t="n">
        <x:v>593</x:v>
      </x:c>
      <x:c r="B594" s="4" t="str">
        <x:v>ULIVE-0091</x:v>
      </x:c>
      <x:c r="C594" s="4" t="str">
        <x:v>直播模块</x:v>
      </x:c>
      <x:c r="D594" s="4" t="str">
        <x:v>恢复发言确认（主播视角）</x:v>
      </x:c>
      <x:c r="E594" s="4" t="str">
        <x:v>异常用例</x:v>
      </x:c>
      <x:c r="F594" s="4" t="str">
        <x:v>P1</x:v>
      </x:c>
      <x:c r="G594" s="4" t="str">
        <x:v>验证关闭请求失败后的恢复发言确认状态</x:v>
      </x:c>
      <x:c r="H594" s="4" t="str">
        <x:v>恢复发言确认状态</x:v>
      </x:c>
      <x:c r="I594" s="4" t="str">
        <x:v>1. 主播账号已登录且具备当前页面权限</x:v>
      </x:c>
      <x:c r="J594" s="4" t="str">
        <x:v>1. 打开恢复发言确认
2. 关闭请求失败</x:v>
      </x:c>
      <x:c r="K594" s="4" t="str">
        <x:v>保持原状态并给出结果反馈</x:v>
      </x:c>
      <x:c r="L594" s="4" t="str"/>
      <x:c r="M594" s="4" t="str">
        <x:v>未测</x:v>
      </x:c>
      <x:c r="N594" s="4" t="str"/>
      <x:c r="O594" s="4" t="str">
        <x:v>1. 来源（原型批注）：liveshow-proto/prototype/annotations/user.js；views/live-room-host/restore-speaking-confirm.html
2. 页面：views/live-room-host/restore-speaking-confirm.html
3. 规则：BR-36AEA3A9F1168D
4. 场景：SC-5C52CEDC93446B
5. 未动态验证</x:v>
      </x:c>
    </x:row>
    <x:row r="595" ht="54" customHeight="1">
      <x:c r="A595" s="4" t="n">
        <x:v>594</x:v>
      </x:c>
      <x:c r="B595" s="4" t="str">
        <x:v>ULIVE-0092</x:v>
      </x:c>
      <x:c r="C595" s="4" t="str">
        <x:v>直播模块</x:v>
      </x:c>
      <x:c r="D595" s="4" t="str">
        <x:v>恢复发言确认（主播视角）</x:v>
      </x:c>
      <x:c r="E595" s="4" t="str">
        <x:v>业务流程</x:v>
      </x:c>
      <x:c r="F595" s="4" t="str">
        <x:v>P1</x:v>
      </x:c>
      <x:c r="G595" s="4" t="str">
        <x:v>验证取消后的恢复发言确认状态</x:v>
      </x:c>
      <x:c r="H595" s="4" t="str">
        <x:v>恢复发言确认状态</x:v>
      </x:c>
      <x:c r="I595" s="4" t="str">
        <x:v>1. 主播账号已登录且具备当前页面权限</x:v>
      </x:c>
      <x:c r="J595" s="4" t="str">
        <x:v>1. 打开恢复发言确认
2. 取消</x:v>
      </x:c>
      <x:c r="K595" s="4" t="str">
        <x:v>保持原状态并给出结果反馈</x:v>
      </x:c>
      <x:c r="L595" s="4" t="str"/>
      <x:c r="M595" s="4" t="str">
        <x:v>未测</x:v>
      </x:c>
      <x:c r="N595" s="4" t="str"/>
      <x:c r="O595" s="4" t="str">
        <x:v>1. 来源（原型批注）：liveshow-proto/prototype/annotations/user.js；views/live-room-host/restore-speaking-confirm.html
2. 页面：views/live-room-host/restore-speaking-confirm.html
3. 规则：BR-36AEA3A9F1168D
4. 场景：SC-D3628EB0B20C96
5. 未动态验证</x:v>
      </x:c>
    </x:row>
    <x:row r="596" ht="54" customHeight="1">
      <x:c r="A596" s="4" t="n">
        <x:v>595</x:v>
      </x:c>
      <x:c r="B596" s="4" t="str">
        <x:v>ULIVE-0093</x:v>
      </x:c>
      <x:c r="C596" s="4" t="str">
        <x:v>直播模块</x:v>
      </x:c>
      <x:c r="D596" s="4" t="str">
        <x:v>恢复发言确认（主播视角）</x:v>
      </x:c>
      <x:c r="E596" s="4" t="str">
        <x:v>业务流程</x:v>
      </x:c>
      <x:c r="F596" s="4" t="str">
        <x:v>P1</x:v>
      </x:c>
      <x:c r="G596" s="4" t="str">
        <x:v>验证确认后的恢复发言确认状态</x:v>
      </x:c>
      <x:c r="H596" s="4" t="str">
        <x:v>恢复发言确认状态</x:v>
      </x:c>
      <x:c r="I596" s="4" t="str">
        <x:v>1. 主播账号已登录且具备当前页面权限</x:v>
      </x:c>
      <x:c r="J596" s="4" t="str">
        <x:v>1. 打开恢复发言确认
2. 确认</x:v>
      </x:c>
      <x:c r="K596" s="4" t="str">
        <x:v>解除本场禁言、移出禁言列表</x:v>
      </x:c>
      <x:c r="L596" s="4" t="str"/>
      <x:c r="M596" s="4" t="str">
        <x:v>未测</x:v>
      </x:c>
      <x:c r="N596" s="4" t="str"/>
      <x:c r="O596" s="4" t="str">
        <x:v>1. 来源（原型批注）：liveshow-proto/prototype/annotations/user.js；views/live-room-host/restore-speaking-confirm.html
2. 页面：views/live-room-host/restore-speaking-confirm.html
3. 规则：BR-BF22F4C452EA42
4. 场景：SC-29D3AE99DA7B5A
5. 未动态验证</x:v>
      </x:c>
    </x:row>
    <x:row r="597" ht="54" customHeight="1">
      <x:c r="A597" s="4" t="n">
        <x:v>596</x:v>
      </x:c>
      <x:c r="B597" s="4" t="str">
        <x:v>ULIVE-0094</x:v>
      </x:c>
      <x:c r="C597" s="4" t="str">
        <x:v>直播模块</x:v>
      </x:c>
      <x:c r="D597" s="4" t="str">
        <x:v>结束直播确认（主播视角）</x:v>
      </x:c>
      <x:c r="E597" s="4" t="str">
        <x:v>业务流程</x:v>
      </x:c>
      <x:c r="F597" s="4" t="str">
        <x:v>P1</x:v>
      </x:c>
      <x:c r="G597" s="4" t="str">
        <x:v>验证关闭后的结束直播确认状态</x:v>
      </x:c>
      <x:c r="H597" s="4" t="str">
        <x:v>结束直播确认状态</x:v>
      </x:c>
      <x:c r="I597" s="4" t="str">
        <x:v>1. 主播账号已登录且具备当前页面权限</x:v>
      </x:c>
      <x:c r="J597" s="4" t="str">
        <x:v>1. 打开结束直播确认
2. 关闭</x:v>
      </x:c>
      <x:c r="K597" s="4" t="str">
        <x:v>返回直播间继续直播</x:v>
      </x:c>
      <x:c r="L597" s="4" t="str"/>
      <x:c r="M597" s="4" t="str">
        <x:v>未测</x:v>
      </x:c>
      <x:c r="N597" s="4" t="str"/>
      <x:c r="O597" s="4" t="str">
        <x:v>1. 来源（原型批注）：liveshow-proto/prototype/annotations/user.js；views/live-room-host/end-confirm.html
2. 页面：views/live-room-host/end-confirm.html
3. 规则：BR-9F10E9851CD0EC
4. 场景：SC-21CD641D7E9D82
5. 未动态验证</x:v>
      </x:c>
    </x:row>
    <x:row r="598" ht="54" customHeight="1">
      <x:c r="A598" s="4" t="n">
        <x:v>597</x:v>
      </x:c>
      <x:c r="B598" s="4" t="str">
        <x:v>ULIVE-0095</x:v>
      </x:c>
      <x:c r="C598" s="4" t="str">
        <x:v>直播模块</x:v>
      </x:c>
      <x:c r="D598" s="4" t="str">
        <x:v>结束直播确认（主播视角）</x:v>
      </x:c>
      <x:c r="E598" s="4" t="str">
        <x:v>业务流程</x:v>
      </x:c>
      <x:c r="F598" s="4" t="str">
        <x:v>P1</x:v>
      </x:c>
      <x:c r="G598" s="4" t="str">
        <x:v>验证取消后的结束直播确认状态</x:v>
      </x:c>
      <x:c r="H598" s="4" t="str">
        <x:v>结束直播确认状态</x:v>
      </x:c>
      <x:c r="I598" s="4" t="str">
        <x:v>1. 主播账号已登录且具备当前页面权限</x:v>
      </x:c>
      <x:c r="J598" s="4" t="str">
        <x:v>1. 打开结束直播确认
2. 取消</x:v>
      </x:c>
      <x:c r="K598" s="4" t="str">
        <x:v>返回直播间继续直播</x:v>
      </x:c>
      <x:c r="L598" s="4" t="str"/>
      <x:c r="M598" s="4" t="str">
        <x:v>未测</x:v>
      </x:c>
      <x:c r="N598" s="4" t="str"/>
      <x:c r="O598" s="4" t="str">
        <x:v>1. 来源（原型批注）：liveshow-proto/prototype/annotations/user.js；views/live-room-host/end-confirm.html
2. 页面：views/live-room-host/end-confirm.html
3. 规则：BR-9F10E9851CD0EC
4. 场景：SC-1681E14716DA49
5. 未动态验证</x:v>
      </x:c>
    </x:row>
    <x:row r="599" ht="54" customHeight="1">
      <x:c r="A599" s="4" t="n">
        <x:v>598</x:v>
      </x:c>
      <x:c r="B599" s="4" t="str">
        <x:v>ULIVE-0096</x:v>
      </x:c>
      <x:c r="C599" s="4" t="str">
        <x:v>直播模块</x:v>
      </x:c>
      <x:c r="D599" s="4" t="str">
        <x:v>结束直播确认（主播视角）</x:v>
      </x:c>
      <x:c r="E599" s="4" t="str">
        <x:v>业务流程</x:v>
      </x:c>
      <x:c r="F599" s="4" t="str">
        <x:v>P1</x:v>
      </x:c>
      <x:c r="G599" s="4" t="str">
        <x:v>验证确认后的结束直播确认状态</x:v>
      </x:c>
      <x:c r="H599" s="4" t="str">
        <x:v>结束直播确认状态</x:v>
      </x:c>
      <x:c r="I599" s="4" t="str">
        <x:v>1. 主播账号已登录且具备当前页面权限</x:v>
      </x:c>
      <x:c r="J599" s="4" t="str">
        <x:v>1. 打开结束直播确认
2. 确认</x:v>
      </x:c>
      <x:c r="K599" s="4" t="str">
        <x:v>进入主播结束页</x:v>
      </x:c>
      <x:c r="L599" s="4" t="str"/>
      <x:c r="M599" s="4" t="str">
        <x:v>未测</x:v>
      </x:c>
      <x:c r="N599" s="4" t="str"/>
      <x:c r="O599" s="4" t="str">
        <x:v>1. 来源（原型批注）：liveshow-proto/prototype/annotations/user.js；views/live-room-host/end-confirm.html
2. 页面：views/live-room-host/end-confirm.html
3. 规则：BR-A25D1A8CC183D4
4. 场景：SC-B87DE2CF029DC6
5. 未动态验证</x:v>
      </x:c>
    </x:row>
    <x:row r="600" ht="54" customHeight="1">
      <x:c r="A600" s="4" t="n">
        <x:v>599</x:v>
      </x:c>
      <x:c r="B600" s="4" t="str">
        <x:v>ULIVE-0097</x:v>
      </x:c>
      <x:c r="C600" s="4" t="str">
        <x:v>直播模块</x:v>
      </x:c>
      <x:c r="D600" s="4" t="str">
        <x:v>禁言确认（房管视角）</x:v>
      </x:c>
      <x:c r="E600" s="4" t="str">
        <x:v>业务流程</x:v>
      </x:c>
      <x:c r="F600" s="4" t="str">
        <x:v>P1</x:v>
      </x:c>
      <x:c r="G600" s="4" t="str">
        <x:v>验证关闭后的禁言确认状态</x:v>
      </x:c>
      <x:c r="H600" s="4" t="str">
        <x:v>禁言确认状态</x:v>
      </x:c>
      <x:c r="I600" s="4" t="str">
        <x:v>1. 房管账号已登录且具备当前页面权限</x:v>
      </x:c>
      <x:c r="J600" s="4" t="str">
        <x:v>1. 打开禁言确认
2. 关闭</x:v>
      </x:c>
      <x:c r="K600" s="4" t="str">
        <x:v>不改变状态</x:v>
      </x:c>
      <x:c r="L600" s="4" t="str"/>
      <x:c r="M600" s="4" t="str">
        <x:v>未测</x:v>
      </x:c>
      <x:c r="N600" s="4" t="str"/>
      <x:c r="O600" s="4" t="str">
        <x:v>1. 来源（原型批注）：liveshow-proto/prototype/annotations/user.js；views/live-room/profile-moderator-mute.html
2. 页面：views/live-room/profile-moderator-mute.html
3. 规则：BR-7EB8186454FE65
4. 场景：SC-79D780BA93D40C
5. 未动态验证</x:v>
      </x:c>
    </x:row>
    <x:row r="601" ht="54" customHeight="1">
      <x:c r="A601" s="4" t="n">
        <x:v>600</x:v>
      </x:c>
      <x:c r="B601" s="4" t="str">
        <x:v>ULIVE-0098</x:v>
      </x:c>
      <x:c r="C601" s="4" t="str">
        <x:v>直播模块</x:v>
      </x:c>
      <x:c r="D601" s="4" t="str">
        <x:v>禁言确认（房管视角）</x:v>
      </x:c>
      <x:c r="E601" s="4" t="str">
        <x:v>功能需求</x:v>
      </x:c>
      <x:c r="F601" s="4" t="str">
        <x:v>P1</x:v>
      </x:c>
      <x:c r="G601" s="4" t="str">
        <x:v>验证禁言确认的默认状态</x:v>
      </x:c>
      <x:c r="H601" s="4" t="str">
        <x:v>禁言确认默认值</x:v>
      </x:c>
      <x:c r="I601" s="4" t="str">
        <x:v>1. 房管账号已登录且具备当前页面权限</x:v>
      </x:c>
      <x:c r="J601" s="4" t="str">
        <x:v>1. 打开禁言确认
2. 查看禁言确认</x:v>
      </x:c>
      <x:c r="K601" s="4" t="str">
        <x:v>下一场默认恢复</x:v>
      </x:c>
      <x:c r="L601" s="4" t="str"/>
      <x:c r="M601" s="4" t="str">
        <x:v>未测</x:v>
      </x:c>
      <x:c r="N601" s="4" t="str"/>
      <x:c r="O601" s="4" t="str">
        <x:v>1. 来源（原型批注）：liveshow-proto/prototype/annotations/user.js；views/live-room/profile-moderator-mute.html
2. 页面：views/live-room/profile-moderator-mute.html
3. 规则：BR-3501E744334A27
4. 场景：SC-DB2834CDC0C4C0
5. 未动态验证</x:v>
      </x:c>
    </x:row>
    <x:row r="602" ht="54" customHeight="1">
      <x:c r="A602" s="4" t="n">
        <x:v>601</x:v>
      </x:c>
      <x:c r="B602" s="4" t="str">
        <x:v>ULIVE-0099</x:v>
      </x:c>
      <x:c r="C602" s="4" t="str">
        <x:v>直播模块</x:v>
      </x:c>
      <x:c r="D602" s="4" t="str">
        <x:v>禁言确认（房管视角）</x:v>
      </x:c>
      <x:c r="E602" s="4" t="str">
        <x:v>业务流程</x:v>
      </x:c>
      <x:c r="F602" s="4" t="str">
        <x:v>P1</x:v>
      </x:c>
      <x:c r="G602" s="4" t="str">
        <x:v>验证取消后的禁言确认状态</x:v>
      </x:c>
      <x:c r="H602" s="4" t="str">
        <x:v>禁言确认状态</x:v>
      </x:c>
      <x:c r="I602" s="4" t="str">
        <x:v>1. 房管账号已登录且具备当前页面权限</x:v>
      </x:c>
      <x:c r="J602" s="4" t="str">
        <x:v>1. 打开禁言确认
2. 取消</x:v>
      </x:c>
      <x:c r="K602" s="4" t="str">
        <x:v>不改变状态</x:v>
      </x:c>
      <x:c r="L602" s="4" t="str"/>
      <x:c r="M602" s="4" t="str">
        <x:v>未测</x:v>
      </x:c>
      <x:c r="N602" s="4" t="str"/>
      <x:c r="O602" s="4" t="str">
        <x:v>1. 来源（原型批注）：liveshow-proto/prototype/annotations/user.js；views/live-room/profile-moderator-mute.html
2. 页面：views/live-room/profile-moderator-mute.html
3. 规则：BR-7EB8186454FE65
4. 场景：SC-D9909460608B8B
5. 未动态验证</x:v>
      </x:c>
    </x:row>
    <x:row r="603" ht="54" customHeight="1">
      <x:c r="A603" s="4" t="n">
        <x:v>602</x:v>
      </x:c>
      <x:c r="B603" s="4" t="str">
        <x:v>ULIVE-0100</x:v>
      </x:c>
      <x:c r="C603" s="4" t="str">
        <x:v>直播模块</x:v>
      </x:c>
      <x:c r="D603" s="4" t="str">
        <x:v>禁言确认（房管视角）</x:v>
      </x:c>
      <x:c r="E603" s="4" t="str">
        <x:v>业务流程</x:v>
      </x:c>
      <x:c r="F603" s="4" t="str">
        <x:v>P1</x:v>
      </x:c>
      <x:c r="G603" s="4" t="str">
        <x:v>验证确认后的禁言确认状态</x:v>
      </x:c>
      <x:c r="H603" s="4" t="str">
        <x:v>禁言确认状态</x:v>
      </x:c>
      <x:c r="I603" s="4" t="str">
        <x:v>1. 房管账号已登录且具备当前页面权限</x:v>
      </x:c>
      <x:c r="J603" s="4" t="str">
        <x:v>1. 打开禁言确认
2. 确认</x:v>
      </x:c>
      <x:c r="K603" s="4" t="str">
        <x:v>写入本场禁言状态</x:v>
      </x:c>
      <x:c r="L603" s="4" t="str"/>
      <x:c r="M603" s="4" t="str">
        <x:v>未测</x:v>
      </x:c>
      <x:c r="N603" s="4" t="str"/>
      <x:c r="O603" s="4" t="str">
        <x:v>1. 来源（原型批注）：liveshow-proto/prototype/annotations/user.js；views/live-room/profile-moderator-mute.html
2. 页面：views/live-room/profile-moderator-mute.html
3. 规则：BR-F4364B459EE5CC
4. 场景：SC-149A2D973E001E
5. 未动态验证</x:v>
      </x:c>
    </x:row>
    <x:row r="604" ht="54" customHeight="1">
      <x:c r="A604" s="4" t="n">
        <x:v>603</x:v>
      </x:c>
      <x:c r="B604" s="4" t="str">
        <x:v>ULIVE-0101</x:v>
      </x:c>
      <x:c r="C604" s="4" t="str">
        <x:v>直播模块</x:v>
      </x:c>
      <x:c r="D604" s="4" t="str">
        <x:v>禁用用户（主播视角）</x:v>
      </x:c>
      <x:c r="E604" s="4" t="str">
        <x:v>业务流程</x:v>
      </x:c>
      <x:c r="F604" s="4" t="str">
        <x:v>P1</x:v>
      </x:c>
      <x:c r="G604" s="4" t="str">
        <x:v>验证场次结束后的禁用用户状态</x:v>
      </x:c>
      <x:c r="H604" s="4" t="str">
        <x:v>禁用用户状态</x:v>
      </x:c>
      <x:c r="I604" s="4" t="str">
        <x:v>1. 主播账号已登录且具备当前页面权限
2. 场次结束</x:v>
      </x:c>
      <x:c r="J604" s="4" t="str">
        <x:v>1. 打开禁用用户
2. 刷新禁用用户</x:v>
      </x:c>
      <x:c r="K604" s="4" t="str">
        <x:v>全部本场禁言失效</x:v>
      </x:c>
      <x:c r="L604" s="4" t="str"/>
      <x:c r="M604" s="4" t="str">
        <x:v>未测</x:v>
      </x:c>
      <x:c r="N604" s="4" t="str"/>
      <x:c r="O604" s="4" t="str">
        <x:v>1. 来源（原型批注）：liveshow-proto/prototype/annotations/user.js；views/live-room-host/muted-users.html
2. 页面：views/live-room-host/muted-users.html
3. 规则：BR-1E8AA6E943AE2B
4. 场景：SC-258DF10E8130B2
5. 未动态验证</x:v>
      </x:c>
    </x:row>
    <x:row r="605" ht="54" customHeight="1">
      <x:c r="A605" s="4" t="n">
        <x:v>604</x:v>
      </x:c>
      <x:c r="B605" s="4" t="str">
        <x:v>ULIVE-0102</x:v>
      </x:c>
      <x:c r="C605" s="4" t="str">
        <x:v>直播模块</x:v>
      </x:c>
      <x:c r="D605" s="4" t="str">
        <x:v>禁用用户（主播视角）</x:v>
      </x:c>
      <x:c r="E605" s="4" t="str">
        <x:v>逻辑校验</x:v>
      </x:c>
      <x:c r="F605" s="4" t="str">
        <x:v>P1</x:v>
      </x:c>
      <x:c r="G605" s="4" t="str">
        <x:v>验证禁用用户按指定范围筛选</x:v>
      </x:c>
      <x:c r="H605" s="4" t="str">
        <x:v>禁用用户数据范围</x:v>
      </x:c>
      <x:c r="I605" s="4" t="str">
        <x:v>1. 主播账号已登录且具备当前页面权限
2. 存在符合和不符合“当前场次仍处于禁言状态的用户”的记录</x:v>
      </x:c>
      <x:c r="J605" s="4" t="str">
        <x:v>1. 打开禁用用户
2. 查看禁用用户</x:v>
      </x:c>
      <x:c r="K605" s="4" t="str">
        <x:v>仅展示当前场次仍处于禁言状态的用户</x:v>
      </x:c>
      <x:c r="L605" s="4" t="str"/>
      <x:c r="M605" s="4" t="str">
        <x:v>未测</x:v>
      </x:c>
      <x:c r="N605" s="4" t="str"/>
      <x:c r="O605" s="4" t="str">
        <x:v>1. 来源（原型批注）：liveshow-proto/prototype/annotations/user.js；views/live-room-host/muted-users.html
2. 页面：views/live-room-host/muted-users.html
3. 规则：BR-06E1EBC3CBEF61
4. 场景：SC-3B1AE1347FB6A8
5. 未动态验证</x:v>
      </x:c>
    </x:row>
    <x:row r="606" ht="54" customHeight="1">
      <x:c r="A606" s="4" t="n">
        <x:v>605</x:v>
      </x:c>
      <x:c r="B606" s="4" t="str">
        <x:v>ULIVE-0103</x:v>
      </x:c>
      <x:c r="C606" s="4" t="str">
        <x:v>直播模块</x:v>
      </x:c>
      <x:c r="D606" s="4" t="str">
        <x:v>禁用用户（主播视角）</x:v>
      </x:c>
      <x:c r="E606" s="4" t="str">
        <x:v>功能需求</x:v>
      </x:c>
      <x:c r="F606" s="4" t="str">
        <x:v>P1</x:v>
      </x:c>
      <x:c r="G606" s="4" t="str">
        <x:v>验证禁用用户可查看操作人</x:v>
      </x:c>
      <x:c r="H606" s="4" t="str">
        <x:v>操作人展示</x:v>
      </x:c>
      <x:c r="I606" s="4" t="str">
        <x:v>1. 主播账号已登录且具备当前页面权限</x:v>
      </x:c>
      <x:c r="J606" s="4" t="str">
        <x:v>1. 打开禁用用户
2. 查看操作人</x:v>
      </x:c>
      <x:c r="K606" s="4" t="str">
        <x:v>禁用用户显示“操作人”</x:v>
      </x:c>
      <x:c r="L606" s="4" t="str"/>
      <x:c r="M606" s="4" t="str">
        <x:v>未测</x:v>
      </x:c>
      <x:c r="N606" s="4" t="str"/>
      <x:c r="O606" s="4" t="str">
        <x:v>1. 来源（原型批注）：liveshow-proto/prototype/annotations/user.js；views/live-room-host/muted-users.html
2. 页面：views/live-room-host/muted-users.html
3. 规则：BR-6F593418BFDF52
4. 场景：SC-F9D6E583A746F9
5. 未动态验证</x:v>
      </x:c>
    </x:row>
    <x:row r="607" ht="54" customHeight="1">
      <x:c r="A607" s="4" t="n">
        <x:v>606</x:v>
      </x:c>
      <x:c r="B607" s="4" t="str">
        <x:v>ULIVE-0104</x:v>
      </x:c>
      <x:c r="C607" s="4" t="str">
        <x:v>直播模块</x:v>
      </x:c>
      <x:c r="D607" s="4" t="str">
        <x:v>禁用用户（主播视角）</x:v>
      </x:c>
      <x:c r="E607" s="4" t="str">
        <x:v>功能需求</x:v>
      </x:c>
      <x:c r="F607" s="4" t="str">
        <x:v>P1</x:v>
      </x:c>
      <x:c r="G607" s="4" t="str">
        <x:v>验证禁用用户可查看禁言状态</x:v>
      </x:c>
      <x:c r="H607" s="4" t="str">
        <x:v>禁言状态展示</x:v>
      </x:c>
      <x:c r="I607" s="4" t="str">
        <x:v>1. 主播账号已登录且具备当前页面权限</x:v>
      </x:c>
      <x:c r="J607" s="4" t="str">
        <x:v>1. 打开禁用用户
2. 查看禁言状态</x:v>
      </x:c>
      <x:c r="K607" s="4" t="str">
        <x:v>禁用用户显示“禁言状态”</x:v>
      </x:c>
      <x:c r="L607" s="4" t="str"/>
      <x:c r="M607" s="4" t="str">
        <x:v>未测</x:v>
      </x:c>
      <x:c r="N607" s="4" t="str"/>
      <x:c r="O607" s="4" t="str">
        <x:v>1. 来源（原型批注）：liveshow-proto/prototype/annotations/user.js；views/live-room-host/muted-users.html
2. 页面：views/live-room-host/muted-users.html
3. 规则：BR-ADD920C5BF47CE
4. 场景：SC-346B2F89685F60
5. 未动态验证</x:v>
      </x:c>
    </x:row>
    <x:row r="608" ht="54" customHeight="1">
      <x:c r="A608" s="4" t="n">
        <x:v>607</x:v>
      </x:c>
      <x:c r="B608" s="4" t="str">
        <x:v>ULIVE-0105</x:v>
      </x:c>
      <x:c r="C608" s="4" t="str">
        <x:v>直播模块</x:v>
      </x:c>
      <x:c r="D608" s="4" t="str">
        <x:v>禁用用户（主播视角）</x:v>
      </x:c>
      <x:c r="E608" s="4" t="str">
        <x:v>功能需求</x:v>
      </x:c>
      <x:c r="F608" s="4" t="str">
        <x:v>P1</x:v>
      </x:c>
      <x:c r="G608" s="4" t="str">
        <x:v>验证禁用用户可查看用户</x:v>
      </x:c>
      <x:c r="H608" s="4" t="str">
        <x:v>用户展示</x:v>
      </x:c>
      <x:c r="I608" s="4" t="str">
        <x:v>1. 主播账号已登录且具备当前页面权限</x:v>
      </x:c>
      <x:c r="J608" s="4" t="str">
        <x:v>1. 打开禁用用户
2. 查看用户</x:v>
      </x:c>
      <x:c r="K608" s="4" t="str">
        <x:v>禁用用户显示“用户”</x:v>
      </x:c>
      <x:c r="L608" s="4" t="str"/>
      <x:c r="M608" s="4" t="str">
        <x:v>未测</x:v>
      </x:c>
      <x:c r="N608" s="4" t="str"/>
      <x:c r="O608" s="4" t="str">
        <x:v>1. 来源（原型批注）：liveshow-proto/prototype/annotations/user.js；views/live-room-host/muted-users.html
2. 页面：views/live-room-host/muted-users.html
3. 规则：BR-4C7B5D27795CE1
4. 场景：SC-05D7B869760BAB
5. 未动态验证</x:v>
      </x:c>
    </x:row>
    <x:row r="609" ht="54" customHeight="1">
      <x:c r="A609" s="4" t="n">
        <x:v>608</x:v>
      </x:c>
      <x:c r="B609" s="4" t="str">
        <x:v>ULIVE-0106</x:v>
      </x:c>
      <x:c r="C609" s="4" t="str">
        <x:v>直播模块</x:v>
      </x:c>
      <x:c r="D609" s="4" t="str">
        <x:v>举报用户（观众视角）</x:v>
      </x:c>
      <x:c r="E609" s="4" t="str">
        <x:v>逻辑校验</x:v>
      </x:c>
      <x:c r="F609" s="4" t="str">
        <x:v>P1</x:v>
      </x:c>
      <x:c r="G609" s="4" t="str">
        <x:v>验证补充说明输入0个字符</x:v>
      </x:c>
      <x:c r="H609" s="4" t="str">
        <x:v>补充说明长度边界</x:v>
      </x:c>
      <x:c r="I609" s="4" t="str">
        <x:v>1. 观众账号已登录且具备当前页面权限</x:v>
      </x:c>
      <x:c r="J609" s="4" t="str">
        <x:v>1. 进入举报用户
2. 清空补充说明</x:v>
      </x:c>
      <x:c r="K609" s="4" t="str">
        <x:v>补充说明保留0个字符</x:v>
      </x:c>
      <x:c r="L609" s="4" t="str"/>
      <x:c r="M609" s="4" t="str">
        <x:v>未测</x:v>
      </x:c>
      <x:c r="N609" s="4" t="str"/>
      <x:c r="O609" s="4" t="str">
        <x:v>1. 来源（原型批注）：liveshow-proto/prototype/annotations/user.js；live-room-user-report.html
2. 页面：live-room-user-report.html
3. 规则：BR-0C2DC284E731C0
4. 场景：SC-D822E78DAC5699
5. 未动态验证</x:v>
      </x:c>
    </x:row>
    <x:row r="610" ht="54" customHeight="1">
      <x:c r="A610" s="4" t="n">
        <x:v>609</x:v>
      </x:c>
      <x:c r="B610" s="4" t="str">
        <x:v>ULIVE-0107</x:v>
      </x:c>
      <x:c r="C610" s="4" t="str">
        <x:v>直播模块</x:v>
      </x:c>
      <x:c r="D610" s="4" t="str">
        <x:v>举报用户（观众视角）</x:v>
      </x:c>
      <x:c r="E610" s="4" t="str">
        <x:v>逻辑校验</x:v>
      </x:c>
      <x:c r="F610" s="4" t="str">
        <x:v>P1</x:v>
      </x:c>
      <x:c r="G610" s="4" t="str">
        <x:v>验证补充说明输入200个字符</x:v>
      </x:c>
      <x:c r="H610" s="4" t="str">
        <x:v>补充说明长度边界</x:v>
      </x:c>
      <x:c r="I610" s="4" t="str">
        <x:v>1. 观众账号已登录且具备当前页面权限</x:v>
      </x:c>
      <x:c r="J610" s="4" t="str">
        <x:v>1. 进入举报用户
2. 输入由200个“测”组成的补充说明</x:v>
      </x:c>
      <x:c r="K610" s="4" t="str">
        <x:v>补充说明保留200个字符</x:v>
      </x:c>
      <x:c r="L610" s="4" t="str"/>
      <x:c r="M610" s="4" t="str">
        <x:v>未测</x:v>
      </x:c>
      <x:c r="N610" s="4" t="str"/>
      <x:c r="O610" s="4" t="str">
        <x:v>1. 来源（原型批注）：liveshow-proto/prototype/annotations/user.js；live-room-user-report.html
2. 页面：live-room-user-report.html
3. 规则：BR-0C2DC284E731C0
4. 场景：SC-03F1F3D7628F63
5. 未动态验证</x:v>
      </x:c>
    </x:row>
    <x:row r="611" ht="54" customHeight="1">
      <x:c r="A611" s="4" t="n">
        <x:v>610</x:v>
      </x:c>
      <x:c r="B611" s="4" t="str">
        <x:v>ULIVE-0108</x:v>
      </x:c>
      <x:c r="C611" s="4" t="str">
        <x:v>直播模块</x:v>
      </x:c>
      <x:c r="D611" s="4" t="str">
        <x:v>举报用户（观众视角）</x:v>
      </x:c>
      <x:c r="E611" s="4" t="str">
        <x:v>异常用例</x:v>
      </x:c>
      <x:c r="F611" s="4" t="str">
        <x:v>P1</x:v>
      </x:c>
      <x:c r="G611" s="4" t="str">
        <x:v>验证补充说明输入201个字符</x:v>
      </x:c>
      <x:c r="H611" s="4" t="str">
        <x:v>补充说明长度边界</x:v>
      </x:c>
      <x:c r="I611" s="4" t="str">
        <x:v>1. 观众账号已登录且具备当前页面权限</x:v>
      </x:c>
      <x:c r="J611" s="4" t="str">
        <x:v>1. 进入举报用户
2. 输入由201个“测”组成的补充说明</x:v>
      </x:c>
      <x:c r="K611" s="4" t="str">
        <x:v>补充说明不能保留201个字符</x:v>
      </x:c>
      <x:c r="L611" s="4" t="str"/>
      <x:c r="M611" s="4" t="str">
        <x:v>未测</x:v>
      </x:c>
      <x:c r="N611" s="4" t="str"/>
      <x:c r="O611" s="4" t="str">
        <x:v>1. 来源（原型批注）：liveshow-proto/prototype/annotations/user.js；live-room-user-report.html
2. 页面：live-room-user-report.html
3. 规则：BR-0C2DC284E731C0
4. 场景：SC-45AEB7F7DB1B44
5. 未动态验证</x:v>
      </x:c>
    </x:row>
    <x:row r="612" ht="54" customHeight="1">
      <x:c r="A612" s="4" t="n">
        <x:v>611</x:v>
      </x:c>
      <x:c r="B612" s="4" t="str">
        <x:v>ULIVE-0109</x:v>
      </x:c>
      <x:c r="C612" s="4" t="str">
        <x:v>直播模块</x:v>
      </x:c>
      <x:c r="D612" s="4" t="str">
        <x:v>举报用户（观众视角）</x:v>
      </x:c>
      <x:c r="E612" s="4" t="str">
        <x:v>功能需求</x:v>
      </x:c>
      <x:c r="F612" s="4" t="str">
        <x:v>P1</x:v>
      </x:c>
      <x:c r="G612" s="4" t="str">
        <x:v>验证举报用户可查看补充说明</x:v>
      </x:c>
      <x:c r="H612" s="4" t="str">
        <x:v>补充说明展示</x:v>
      </x:c>
      <x:c r="I612" s="4" t="str">
        <x:v>1. 观众账号已登录且具备当前页面权限</x:v>
      </x:c>
      <x:c r="J612" s="4" t="str">
        <x:v>1. 进入举报用户
2. 查看补充说明</x:v>
      </x:c>
      <x:c r="K612" s="4" t="str">
        <x:v>举报用户显示“补充说明”</x:v>
      </x:c>
      <x:c r="L612" s="4" t="str"/>
      <x:c r="M612" s="4" t="str">
        <x:v>未测</x:v>
      </x:c>
      <x:c r="N612" s="4" t="str"/>
      <x:c r="O612" s="4" t="str">
        <x:v>1. 来源（原型批注）：liveshow-proto/prototype/annotations/user.js；live-room-user-report.html
2. 页面：live-room-user-report.html
3. 规则：BR-0C2DC284E731C0
4. 场景：SC-04A5FDF84F1C19
5. 未动态验证</x:v>
      </x:c>
    </x:row>
    <x:row r="613" ht="54" customHeight="1">
      <x:c r="A613" s="4" t="n">
        <x:v>612</x:v>
      </x:c>
      <x:c r="B613" s="4" t="str">
        <x:v>ULIVE-0110</x:v>
      </x:c>
      <x:c r="C613" s="4" t="str">
        <x:v>直播模块</x:v>
      </x:c>
      <x:c r="D613" s="4" t="str">
        <x:v>举报用户（观众视角）</x:v>
      </x:c>
      <x:c r="E613" s="4" t="str">
        <x:v>功能需求</x:v>
      </x:c>
      <x:c r="F613" s="4" t="str">
        <x:v>P1</x:v>
      </x:c>
      <x:c r="G613" s="4" t="str">
        <x:v>验证举报用户可查看举报原因</x:v>
      </x:c>
      <x:c r="H613" s="4" t="str">
        <x:v>举报原因展示</x:v>
      </x:c>
      <x:c r="I613" s="4" t="str">
        <x:v>1. 观众账号已登录且具备当前页面权限</x:v>
      </x:c>
      <x:c r="J613" s="4" t="str">
        <x:v>1. 进入举报用户
2. 查看举报原因</x:v>
      </x:c>
      <x:c r="K613" s="4" t="str">
        <x:v>举报用户显示“举报原因”</x:v>
      </x:c>
      <x:c r="L613" s="4" t="str"/>
      <x:c r="M613" s="4" t="str">
        <x:v>未测</x:v>
      </x:c>
      <x:c r="N613" s="4" t="str"/>
      <x:c r="O613" s="4" t="str">
        <x:v>1. 来源（原型批注）：liveshow-proto/prototype/annotations/user.js；live-room-user-report.html
2. 页面：live-room-user-report.html
3. 规则：BR-B12B9EB1F5260C、BR-DCD6C3A50BF249
4. 场景：SC-1DF87BD495ED2C
5. 未动态验证</x:v>
      </x:c>
    </x:row>
    <x:row r="614" ht="54" customHeight="1">
      <x:c r="A614" s="4" t="n">
        <x:v>613</x:v>
      </x:c>
      <x:c r="B614" s="4" t="str">
        <x:v>ULIVE-0111</x:v>
      </x:c>
      <x:c r="C614" s="4" t="str">
        <x:v>直播模块</x:v>
      </x:c>
      <x:c r="D614" s="4" t="str">
        <x:v>举报用户（观众视角）</x:v>
      </x:c>
      <x:c r="E614" s="4" t="str">
        <x:v>异常用例</x:v>
      </x:c>
      <x:c r="F614" s="4" t="str">
        <x:v>P1</x:v>
      </x:c>
      <x:c r="G614" s="4" t="str">
        <x:v>验证未选择举报原因后的举报用户状态</x:v>
      </x:c>
      <x:c r="H614" s="4" t="str">
        <x:v>举报用户状态</x:v>
      </x:c>
      <x:c r="I614" s="4" t="str">
        <x:v>1. 观众账号已登录且具备当前页面权限
2. 未选择举报原因</x:v>
      </x:c>
      <x:c r="J614" s="4" t="str">
        <x:v>1. 进入举报用户
2. 刷新举报用户</x:v>
      </x:c>
      <x:c r="K614" s="4" t="str">
        <x:v>提交按钮不可用</x:v>
      </x:c>
      <x:c r="L614" s="4" t="str"/>
      <x:c r="M614" s="4" t="str">
        <x:v>未测</x:v>
      </x:c>
      <x:c r="N614" s="4" t="str"/>
      <x:c r="O614" s="4" t="str">
        <x:v>1. 来源（原型批注）：liveshow-proto/prototype/annotations/user.js；live-room-user-report.html
2. 页面：live-room-user-report.html
3. 规则：BR-39D1F564253E6E
4. 场景：SC-6B06D6FDC48354
5. 未动态验证</x:v>
      </x:c>
    </x:row>
    <x:row r="615" ht="54" customHeight="1">
      <x:c r="A615" s="4" t="n">
        <x:v>614</x:v>
      </x:c>
      <x:c r="B615" s="4" t="str">
        <x:v>ULIVE-0112</x:v>
      </x:c>
      <x:c r="C615" s="4" t="str">
        <x:v>直播模块</x:v>
      </x:c>
      <x:c r="D615" s="4" t="str">
        <x:v>举报直播间（观众视角）</x:v>
      </x:c>
      <x:c r="E615" s="4" t="str">
        <x:v>逻辑校验</x:v>
      </x:c>
      <x:c r="F615" s="4" t="str">
        <x:v>P1</x:v>
      </x:c>
      <x:c r="G615" s="4" t="str">
        <x:v>验证补充说明输入0个字符</x:v>
      </x:c>
      <x:c r="H615" s="4" t="str">
        <x:v>补充说明长度边界</x:v>
      </x:c>
      <x:c r="I615" s="4" t="str">
        <x:v>1. 观众账号已登录且具备当前页面权限</x:v>
      </x:c>
      <x:c r="J615" s="4" t="str">
        <x:v>1. 进入举报直播间
2. 清空补充说明</x:v>
      </x:c>
      <x:c r="K615" s="4" t="str">
        <x:v>补充说明保留0个字符</x:v>
      </x:c>
      <x:c r="L615" s="4" t="str"/>
      <x:c r="M615" s="4" t="str">
        <x:v>未测</x:v>
      </x:c>
      <x:c r="N615" s="4" t="str"/>
      <x:c r="O615" s="4" t="str">
        <x:v>1. 来源（原型批注）：liveshow-proto/prototype/annotations/user.js；live-room-report.html
2. 页面：live-room-report.html
3. 规则：BR-FC3CCC8EDADF86
4. 场景：SC-9FE3B0433B1A2C
5. 未动态验证</x:v>
      </x:c>
    </x:row>
    <x:row r="616" ht="54" customHeight="1">
      <x:c r="A616" s="4" t="n">
        <x:v>615</x:v>
      </x:c>
      <x:c r="B616" s="4" t="str">
        <x:v>ULIVE-0113</x:v>
      </x:c>
      <x:c r="C616" s="4" t="str">
        <x:v>直播模块</x:v>
      </x:c>
      <x:c r="D616" s="4" t="str">
        <x:v>举报直播间（观众视角）</x:v>
      </x:c>
      <x:c r="E616" s="4" t="str">
        <x:v>逻辑校验</x:v>
      </x:c>
      <x:c r="F616" s="4" t="str">
        <x:v>P1</x:v>
      </x:c>
      <x:c r="G616" s="4" t="str">
        <x:v>验证补充说明输入200个字符</x:v>
      </x:c>
      <x:c r="H616" s="4" t="str">
        <x:v>补充说明长度边界</x:v>
      </x:c>
      <x:c r="I616" s="4" t="str">
        <x:v>1. 观众账号已登录且具备当前页面权限</x:v>
      </x:c>
      <x:c r="J616" s="4" t="str">
        <x:v>1. 进入举报直播间
2. 输入由200个“测”组成的补充说明</x:v>
      </x:c>
      <x:c r="K616" s="4" t="str">
        <x:v>补充说明保留200个字符</x:v>
      </x:c>
      <x:c r="L616" s="4" t="str"/>
      <x:c r="M616" s="4" t="str">
        <x:v>未测</x:v>
      </x:c>
      <x:c r="N616" s="4" t="str"/>
      <x:c r="O616" s="4" t="str">
        <x:v>1. 来源（原型批注）：liveshow-proto/prototype/annotations/user.js；live-room-report.html
2. 页面：live-room-report.html
3. 规则：BR-FC3CCC8EDADF86
4. 场景：SC-8A32E8F541A7C8
5. 未动态验证</x:v>
      </x:c>
    </x:row>
    <x:row r="617" ht="54" customHeight="1">
      <x:c r="A617" s="4" t="n">
        <x:v>616</x:v>
      </x:c>
      <x:c r="B617" s="4" t="str">
        <x:v>ULIVE-0114</x:v>
      </x:c>
      <x:c r="C617" s="4" t="str">
        <x:v>直播模块</x:v>
      </x:c>
      <x:c r="D617" s="4" t="str">
        <x:v>举报直播间（观众视角）</x:v>
      </x:c>
      <x:c r="E617" s="4" t="str">
        <x:v>异常用例</x:v>
      </x:c>
      <x:c r="F617" s="4" t="str">
        <x:v>P1</x:v>
      </x:c>
      <x:c r="G617" s="4" t="str">
        <x:v>验证补充说明输入201个字符</x:v>
      </x:c>
      <x:c r="H617" s="4" t="str">
        <x:v>补充说明长度边界</x:v>
      </x:c>
      <x:c r="I617" s="4" t="str">
        <x:v>1. 观众账号已登录且具备当前页面权限</x:v>
      </x:c>
      <x:c r="J617" s="4" t="str">
        <x:v>1. 进入举报直播间
2. 输入由201个“测”组成的补充说明</x:v>
      </x:c>
      <x:c r="K617" s="4" t="str">
        <x:v>补充说明不能保留201个字符</x:v>
      </x:c>
      <x:c r="L617" s="4" t="str"/>
      <x:c r="M617" s="4" t="str">
        <x:v>未测</x:v>
      </x:c>
      <x:c r="N617" s="4" t="str"/>
      <x:c r="O617" s="4" t="str">
        <x:v>1. 来源（原型批注）：liveshow-proto/prototype/annotations/user.js；live-room-report.html
2. 页面：live-room-report.html
3. 规则：BR-FC3CCC8EDADF86
4. 场景：SC-39D5E0A2EB8B2E
5. 未动态验证</x:v>
      </x:c>
    </x:row>
    <x:row r="618" ht="54" customHeight="1">
      <x:c r="A618" s="4" t="n">
        <x:v>617</x:v>
      </x:c>
      <x:c r="B618" s="4" t="str">
        <x:v>ULIVE-0115</x:v>
      </x:c>
      <x:c r="C618" s="4" t="str">
        <x:v>直播模块</x:v>
      </x:c>
      <x:c r="D618" s="4" t="str">
        <x:v>举报直播间（观众视角）</x:v>
      </x:c>
      <x:c r="E618" s="4" t="str">
        <x:v>业务流程</x:v>
      </x:c>
      <x:c r="F618" s="4" t="str">
        <x:v>P1</x:v>
      </x:c>
      <x:c r="G618" s="4" t="str">
        <x:v>验证场次结束后的举报直播间状态</x:v>
      </x:c>
      <x:c r="H618" s="4" t="str">
        <x:v>举报直播间状态</x:v>
      </x:c>
      <x:c r="I618" s="4" t="str">
        <x:v>1. 观众账号已登录且具备当前页面权限
2. 场次结束</x:v>
      </x:c>
      <x:c r="J618" s="4" t="str">
        <x:v>1. 进入举报直播间
2. 刷新举报直播间</x:v>
      </x:c>
      <x:c r="K618" s="4" t="str">
        <x:v>未处理的直播举报失效</x:v>
      </x:c>
      <x:c r="L618" s="4" t="str"/>
      <x:c r="M618" s="4" t="str">
        <x:v>未测</x:v>
      </x:c>
      <x:c r="N618" s="4" t="str"/>
      <x:c r="O618" s="4" t="str">
        <x:v>1. 来源（原型批注）：liveshow-proto/prototype/annotations/user.js；live-room-report.html
2. 页面：live-room-report.html
3. 规则：BR-40835F4E86D354
4. 场景：SC-E3405E106243E2
5. 未动态验证</x:v>
      </x:c>
    </x:row>
    <x:row r="619" ht="54" customHeight="1">
      <x:c r="A619" s="4" t="n">
        <x:v>618</x:v>
      </x:c>
      <x:c r="B619" s="4" t="str">
        <x:v>ULIVE-0116</x:v>
      </x:c>
      <x:c r="C619" s="4" t="str">
        <x:v>直播模块</x:v>
      </x:c>
      <x:c r="D619" s="4" t="str">
        <x:v>举报直播间（观众视角）</x:v>
      </x:c>
      <x:c r="E619" s="4" t="str">
        <x:v>功能需求</x:v>
      </x:c>
      <x:c r="F619" s="4" t="str">
        <x:v>P1</x:v>
      </x:c>
      <x:c r="G619" s="4" t="str">
        <x:v>验证举报直播间可查看补充说明</x:v>
      </x:c>
      <x:c r="H619" s="4" t="str">
        <x:v>补充说明展示</x:v>
      </x:c>
      <x:c r="I619" s="4" t="str">
        <x:v>1. 观众账号已登录且具备当前页面权限</x:v>
      </x:c>
      <x:c r="J619" s="4" t="str">
        <x:v>1. 进入举报直播间
2. 查看补充说明</x:v>
      </x:c>
      <x:c r="K619" s="4" t="str">
        <x:v>举报直播间显示“补充说明”</x:v>
      </x:c>
      <x:c r="L619" s="4" t="str"/>
      <x:c r="M619" s="4" t="str">
        <x:v>未测</x:v>
      </x:c>
      <x:c r="N619" s="4" t="str"/>
      <x:c r="O619" s="4" t="str">
        <x:v>1. 来源（原型批注）：liveshow-proto/prototype/annotations/user.js；live-room-report.html
2. 页面：live-room-report.html
3. 规则：BR-FC3CCC8EDADF86
4. 场景：SC-C03E5E9556A67A
5. 未动态验证</x:v>
      </x:c>
    </x:row>
    <x:row r="620" ht="54" customHeight="1">
      <x:c r="A620" s="4" t="n">
        <x:v>619</x:v>
      </x:c>
      <x:c r="B620" s="4" t="str">
        <x:v>ULIVE-0117</x:v>
      </x:c>
      <x:c r="C620" s="4" t="str">
        <x:v>直播模块</x:v>
      </x:c>
      <x:c r="D620" s="4" t="str">
        <x:v>举报直播间（观众视角）</x:v>
      </x:c>
      <x:c r="E620" s="4" t="str">
        <x:v>功能需求</x:v>
      </x:c>
      <x:c r="F620" s="4" t="str">
        <x:v>P1</x:v>
      </x:c>
      <x:c r="G620" s="4" t="str">
        <x:v>验证举报直播间可查看举报原因</x:v>
      </x:c>
      <x:c r="H620" s="4" t="str">
        <x:v>举报原因展示</x:v>
      </x:c>
      <x:c r="I620" s="4" t="str">
        <x:v>1. 观众账号已登录且具备当前页面权限</x:v>
      </x:c>
      <x:c r="J620" s="4" t="str">
        <x:v>1. 进入举报直播间
2. 查看举报原因</x:v>
      </x:c>
      <x:c r="K620" s="4" t="str">
        <x:v>举报直播间显示“举报原因”</x:v>
      </x:c>
      <x:c r="L620" s="4" t="str"/>
      <x:c r="M620" s="4" t="str">
        <x:v>未测</x:v>
      </x:c>
      <x:c r="N620" s="4" t="str"/>
      <x:c r="O620" s="4" t="str">
        <x:v>1. 来源（原型批注）：liveshow-proto/prototype/annotations/user.js；live-room-report.html
2. 页面：live-room-report.html
3. 规则：BR-1BBCE62F387A8E、BR-BE5F5B77D6FEEE
4. 场景：SC-3BFC3EE2174BAF
5. 未动态验证</x:v>
      </x:c>
    </x:row>
    <x:row r="621" ht="54" customHeight="1">
      <x:c r="A621" s="4" t="n">
        <x:v>620</x:v>
      </x:c>
      <x:c r="B621" s="4" t="str">
        <x:v>ULIVE-0118</x:v>
      </x:c>
      <x:c r="C621" s="4" t="str">
        <x:v>直播模块</x:v>
      </x:c>
      <x:c r="D621" s="4" t="str">
        <x:v>举报直播间（观众视角）</x:v>
      </x:c>
      <x:c r="E621" s="4" t="str">
        <x:v>异常用例</x:v>
      </x:c>
      <x:c r="F621" s="4" t="str">
        <x:v>P1</x:v>
      </x:c>
      <x:c r="G621" s="4" t="str">
        <x:v>验证未选择举报原因后的举报直播间状态</x:v>
      </x:c>
      <x:c r="H621" s="4" t="str">
        <x:v>举报直播间状态</x:v>
      </x:c>
      <x:c r="I621" s="4" t="str">
        <x:v>1. 观众账号已登录且具备当前页面权限
2. 未选择举报原因</x:v>
      </x:c>
      <x:c r="J621" s="4" t="str">
        <x:v>1. 进入举报直播间
2. 刷新举报直播间</x:v>
      </x:c>
      <x:c r="K621" s="4" t="str">
        <x:v>提交按钮不可用</x:v>
      </x:c>
      <x:c r="L621" s="4" t="str"/>
      <x:c r="M621" s="4" t="str">
        <x:v>未测</x:v>
      </x:c>
      <x:c r="N621" s="4" t="str"/>
      <x:c r="O621" s="4" t="str">
        <x:v>1. 来源（原型批注）：liveshow-proto/prototype/annotations/user.js；live-room-report.html
2. 页面：live-room-report.html
3. 规则：BR-F134042E47503F
4. 场景：SC-2FC23D26960B06
5. 未动态验证</x:v>
      </x:c>
    </x:row>
    <x:row r="622" ht="54" customHeight="1">
      <x:c r="A622" s="4" t="n">
        <x:v>621</x:v>
      </x:c>
      <x:c r="B622" s="4" t="str">
        <x:v>ULIVE-0119</x:v>
      </x:c>
      <x:c r="C622" s="4" t="str">
        <x:v>直播模块</x:v>
      </x:c>
      <x:c r="D622" s="4" t="str">
        <x:v>快捷答谢（主播视角）</x:v>
      </x:c>
      <x:c r="E622" s="4" t="str">
        <x:v>业务流程</x:v>
      </x:c>
      <x:c r="F622" s="4" t="str">
        <x:v>P1</x:v>
      </x:c>
      <x:c r="G622" s="4" t="str">
        <x:v>验证点击答谢后的快捷答谢状态</x:v>
      </x:c>
      <x:c r="H622" s="4" t="str">
        <x:v>快捷答谢状态</x:v>
      </x:c>
      <x:c r="I622" s="4" t="str">
        <x:v>1. 主播账号已登录且具备当前页面权限</x:v>
      </x:c>
      <x:c r="J622" s="4" t="str">
        <x:v>1. 打开快捷答谢
2. 点击答谢</x:v>
      </x:c>
      <x:c r="K622" s="4" t="str">
        <x:v>关闭资料卡</x:v>
      </x:c>
      <x:c r="L622" s="4" t="str"/>
      <x:c r="M622" s="4" t="str">
        <x:v>未测</x:v>
      </x:c>
      <x:c r="N622" s="4" t="str"/>
      <x:c r="O622" s="4" t="str">
        <x:v>1. 来源（原型批注）：liveshow-proto/prototype/annotations/user.js；views/live-room-host/thank-message.html
2. 页面：views/live-room-host/thank-message.html
3. 规则：BR-53FE9839687BAB
4. 场景：SC-F473772D7751E6
5. 未动态验证</x:v>
      </x:c>
    </x:row>
    <x:row r="623" ht="54" customHeight="1">
      <x:c r="A623" s="4" t="n">
        <x:v>622</x:v>
      </x:c>
      <x:c r="B623" s="4" t="str">
        <x:v>ULIVE-0120</x:v>
      </x:c>
      <x:c r="C623" s="4" t="str">
        <x:v>直播模块</x:v>
      </x:c>
      <x:c r="D623" s="4" t="str">
        <x:v>快捷答谢（主播视角）</x:v>
      </x:c>
      <x:c r="E623" s="4" t="str">
        <x:v>功能需求</x:v>
      </x:c>
      <x:c r="F623" s="4" t="str">
        <x:v>P1</x:v>
      </x:c>
      <x:c r="G623" s="4" t="str">
        <x:v>验证快捷答谢可查看答谢对象</x:v>
      </x:c>
      <x:c r="H623" s="4" t="str">
        <x:v>答谢对象展示</x:v>
      </x:c>
      <x:c r="I623" s="4" t="str">
        <x:v>1. 主播账号已登录且具备当前页面权限</x:v>
      </x:c>
      <x:c r="J623" s="4" t="str">
        <x:v>1. 打开快捷答谢
2. 查看答谢对象</x:v>
      </x:c>
      <x:c r="K623" s="4" t="str">
        <x:v>快捷答谢显示“答谢对象”</x:v>
      </x:c>
      <x:c r="L623" s="4" t="str"/>
      <x:c r="M623" s="4" t="str">
        <x:v>未测</x:v>
      </x:c>
      <x:c r="N623" s="4" t="str"/>
      <x:c r="O623" s="4" t="str">
        <x:v>1. 来源（原型批注）：liveshow-proto/prototype/annotations/user.js；views/live-room-host/thank-message.html
2. 页面：views/live-room-host/thank-message.html
3. 规则：BR-9944BD5C8B7BB8
4. 场景：SC-97D4862146DB0F
5. 未动态验证</x:v>
      </x:c>
    </x:row>
    <x:row r="624" ht="54" customHeight="1">
      <x:c r="A624" s="4" t="n">
        <x:v>623</x:v>
      </x:c>
      <x:c r="B624" s="4" t="str">
        <x:v>ULIVE-0121</x:v>
      </x:c>
      <x:c r="C624" s="4" t="str">
        <x:v>直播模块</x:v>
      </x:c>
      <x:c r="D624" s="4" t="str">
        <x:v>快捷答谢（主播视角）</x:v>
      </x:c>
      <x:c r="E624" s="4" t="str">
        <x:v>功能需求</x:v>
      </x:c>
      <x:c r="F624" s="4" t="str">
        <x:v>P1</x:v>
      </x:c>
      <x:c r="G624" s="4" t="str">
        <x:v>验证快捷答谢可查看答谢语</x:v>
      </x:c>
      <x:c r="H624" s="4" t="str">
        <x:v>答谢语展示</x:v>
      </x:c>
      <x:c r="I624" s="4" t="str">
        <x:v>1. 主播账号已登录且具备当前页面权限</x:v>
      </x:c>
      <x:c r="J624" s="4" t="str">
        <x:v>1. 打开快捷答谢
2. 查看答谢语</x:v>
      </x:c>
      <x:c r="K624" s="4" t="str">
        <x:v>快捷答谢显示“答谢语”</x:v>
      </x:c>
      <x:c r="L624" s="4" t="str"/>
      <x:c r="M624" s="4" t="str">
        <x:v>未测</x:v>
      </x:c>
      <x:c r="N624" s="4" t="str"/>
      <x:c r="O624" s="4" t="str">
        <x:v>1. 来源（原型批注）：liveshow-proto/prototype/annotations/user.js；views/live-room-host/thank-message.html
2. 页面：views/live-room-host/thank-message.html
3. 规则：BR-52FA1AEAD8A200
4. 场景：SC-D2E4107B10ADA1
5. 未动态验证</x:v>
      </x:c>
    </x:row>
    <x:row r="625" ht="54" customHeight="1">
      <x:c r="A625" s="4" t="n">
        <x:v>624</x:v>
      </x:c>
      <x:c r="B625" s="4" t="str">
        <x:v>ULIVE-0122</x:v>
      </x:c>
      <x:c r="C625" s="4" t="str">
        <x:v>直播模块</x:v>
      </x:c>
      <x:c r="D625" s="4" t="str">
        <x:v>礼物（观众视角）</x:v>
      </x:c>
      <x:c r="E625" s="4" t="str">
        <x:v>功能需求</x:v>
      </x:c>
      <x:c r="F625" s="4" t="str">
        <x:v>P1</x:v>
      </x:c>
      <x:c r="G625" s="4" t="str">
        <x:v>验证礼物可查看金币余额</x:v>
      </x:c>
      <x:c r="H625" s="4" t="str">
        <x:v>金币余额展示</x:v>
      </x:c>
      <x:c r="I625" s="4" t="str">
        <x:v>1. 观众账号已登录且具备当前页面权限</x:v>
      </x:c>
      <x:c r="J625" s="4" t="str">
        <x:v>1. 打开礼物
2. 查看金币余额</x:v>
      </x:c>
      <x:c r="K625" s="4" t="str">
        <x:v>礼物显示“金币余额”</x:v>
      </x:c>
      <x:c r="L625" s="4" t="str"/>
      <x:c r="M625" s="4" t="str">
        <x:v>未测</x:v>
      </x:c>
      <x:c r="N625" s="4" t="str"/>
      <x:c r="O625" s="4" t="str">
        <x:v>1. 来源（原型批注）：liveshow-proto/prototype/annotations/user.js；views/live-room/gift.html
2. 页面：views/live-room/gift.html
3. 规则：BR-A53DB3DC5221D7、BR-A025078910F049
4. 场景：SC-1CFE392EAA9566
5. 未动态验证</x:v>
      </x:c>
    </x:row>
    <x:row r="626" ht="54" customHeight="1">
      <x:c r="A626" s="4" t="n">
        <x:v>625</x:v>
      </x:c>
      <x:c r="B626" s="4" t="str">
        <x:v>ULIVE-0123</x:v>
      </x:c>
      <x:c r="C626" s="4" t="str">
        <x:v>直播模块</x:v>
      </x:c>
      <x:c r="D626" s="4" t="str">
        <x:v>礼物（观众视角）</x:v>
      </x:c>
      <x:c r="E626" s="4" t="str">
        <x:v>功能需求</x:v>
      </x:c>
      <x:c r="F626" s="4" t="str">
        <x:v>P1</x:v>
      </x:c>
      <x:c r="G626" s="4" t="str">
        <x:v>验证礼物可查看礼物</x:v>
      </x:c>
      <x:c r="H626" s="4" t="str">
        <x:v>礼物展示</x:v>
      </x:c>
      <x:c r="I626" s="4" t="str">
        <x:v>1. 观众账号已登录且具备当前页面权限</x:v>
      </x:c>
      <x:c r="J626" s="4" t="str">
        <x:v>1. 打开礼物
2. 查看礼物</x:v>
      </x:c>
      <x:c r="K626" s="4" t="str">
        <x:v>礼物显示“礼物”</x:v>
      </x:c>
      <x:c r="L626" s="4" t="str"/>
      <x:c r="M626" s="4" t="str">
        <x:v>未测</x:v>
      </x:c>
      <x:c r="N626" s="4" t="str"/>
      <x:c r="O626" s="4" t="str">
        <x:v>1. 来源（原型批注）：liveshow-proto/prototype/annotations/user.js；views/live-room/gift.html
2. 页面：views/live-room/gift.html
3. 规则：BR-CEE5CD224E62B2
4. 场景：SC-D7AECE03B91ED4
5. 未动态验证</x:v>
      </x:c>
    </x:row>
    <x:row r="627" ht="54" customHeight="1">
      <x:c r="A627" s="4" t="n">
        <x:v>626</x:v>
      </x:c>
      <x:c r="B627" s="4" t="str">
        <x:v>ULIVE-0124</x:v>
      </x:c>
      <x:c r="C627" s="4" t="str">
        <x:v>直播模块</x:v>
      </x:c>
      <x:c r="D627" s="4" t="str">
        <x:v>礼物（观众视角）</x:v>
      </x:c>
      <x:c r="E627" s="4" t="str">
        <x:v>功能需求</x:v>
      </x:c>
      <x:c r="F627" s="4" t="str">
        <x:v>P1</x:v>
      </x:c>
      <x:c r="G627" s="4" t="str">
        <x:v>验证礼物可查看赠送数量</x:v>
      </x:c>
      <x:c r="H627" s="4" t="str">
        <x:v>赠送数量展示</x:v>
      </x:c>
      <x:c r="I627" s="4" t="str">
        <x:v>1. 观众账号已登录且具备当前页面权限</x:v>
      </x:c>
      <x:c r="J627" s="4" t="str">
        <x:v>1. 打开礼物
2. 查看赠送数量</x:v>
      </x:c>
      <x:c r="K627" s="4" t="str">
        <x:v>礼物显示“赠送数量”</x:v>
      </x:c>
      <x:c r="L627" s="4" t="str"/>
      <x:c r="M627" s="4" t="str">
        <x:v>未测</x:v>
      </x:c>
      <x:c r="N627" s="4" t="str"/>
      <x:c r="O627" s="4" t="str">
        <x:v>1. 来源（原型批注）：liveshow-proto/prototype/annotations/user.js；views/live-room/gift.html
2. 页面：views/live-room/gift.html
3. 规则：BR-655BFB6515F526、BR-4F6F9D94DADCFE
4. 场景：SC-4FB39ED4EA6410
5. 未动态验证</x:v>
      </x:c>
    </x:row>
    <x:row r="628" ht="54" customHeight="1">
      <x:c r="A628" s="4" t="n">
        <x:v>627</x:v>
      </x:c>
      <x:c r="B628" s="4" t="str">
        <x:v>ULIVE-0125</x:v>
      </x:c>
      <x:c r="C628" s="4" t="str">
        <x:v>直播模块</x:v>
      </x:c>
      <x:c r="D628" s="4" t="str">
        <x:v>礼物（观众视角）</x:v>
      </x:c>
      <x:c r="E628" s="4" t="str">
        <x:v>功能需求</x:v>
      </x:c>
      <x:c r="F628" s="4" t="str">
        <x:v>P1</x:v>
      </x:c>
      <x:c r="G628" s="4" t="str">
        <x:v>验证普通用户时的礼物结果</x:v>
      </x:c>
      <x:c r="H628" s="4" t="str">
        <x:v>礼物条件结果</x:v>
      </x:c>
      <x:c r="I628" s="4" t="str">
        <x:v>1. 观众账号已登录且具备当前页面权限
2. 普通用户</x:v>
      </x:c>
      <x:c r="J628" s="4" t="str">
        <x:v>1. 打开礼物
2. 查看礼物</x:v>
      </x:c>
      <x:c r="K628" s="4" t="str">
        <x:v>普通用户显示真实金币余额</x:v>
      </x:c>
      <x:c r="L628" s="4" t="str"/>
      <x:c r="M628" s="4" t="str">
        <x:v>未测</x:v>
      </x:c>
      <x:c r="N628" s="4" t="str"/>
      <x:c r="O628" s="4" t="str">
        <x:v>1. 来源（原型批注）：liveshow-proto/prototype/annotations/user.js；views/live-room/gift.html
2. 页面：views/live-room/gift.html
3. 规则：BR-A53DB3DC5221D7
4. 场景：SC-E29CAF8007F88A
5. 未动态验证</x:v>
      </x:c>
    </x:row>
    <x:row r="629" ht="54" customHeight="1">
      <x:c r="A629" s="4" t="n">
        <x:v>628</x:v>
      </x:c>
      <x:c r="B629" s="4" t="str">
        <x:v>ULIVE-0126</x:v>
      </x:c>
      <x:c r="C629" s="4" t="str">
        <x:v>直播模块</x:v>
      </x:c>
      <x:c r="D629" s="4" t="str">
        <x:v>礼物（观众视角）</x:v>
      </x:c>
      <x:c r="E629" s="4" t="str">
        <x:v>功能需求</x:v>
      </x:c>
      <x:c r="F629" s="4" t="str">
        <x:v>P1</x:v>
      </x:c>
      <x:c r="G629" s="4" t="str">
        <x:v>验证请求失败时的礼物结果</x:v>
      </x:c>
      <x:c r="H629" s="4" t="str">
        <x:v>礼物条件结果</x:v>
      </x:c>
      <x:c r="I629" s="4" t="str">
        <x:v>1. 观众账号已登录且具备当前页面权限
2. 请求失败</x:v>
      </x:c>
      <x:c r="J629" s="4" t="str">
        <x:v>1. 打开礼物
2. 查看礼物</x:v>
      </x:c>
      <x:c r="K629" s="4" t="str">
        <x:v>不扣减金币</x:v>
      </x:c>
      <x:c r="L629" s="4" t="str"/>
      <x:c r="M629" s="4" t="str">
        <x:v>未测</x:v>
      </x:c>
      <x:c r="N629" s="4" t="str"/>
      <x:c r="O629" s="4" t="str">
        <x:v>1. 来源（原型批注）：liveshow-proto/prototype/annotations/user.js；views/live-room/gift.html
2. 页面：views/live-room/gift.html
3. 规则：BR-99CA1E0DDF252F
4. 场景：SC-EBB9640A64311D
5. 未动态验证</x:v>
      </x:c>
    </x:row>
    <x:row r="630" ht="54" customHeight="1">
      <x:c r="A630" s="4" t="n">
        <x:v>629</x:v>
      </x:c>
      <x:c r="B630" s="4" t="str">
        <x:v>ULIVE-0127</x:v>
      </x:c>
      <x:c r="C630" s="4" t="str">
        <x:v>直播模块</x:v>
      </x:c>
      <x:c r="D630" s="4" t="str">
        <x:v>礼物（观众视角）</x:v>
      </x:c>
      <x:c r="E630" s="4" t="str">
        <x:v>异常用例</x:v>
      </x:c>
      <x:c r="F630" s="4" t="str">
        <x:v>P1</x:v>
      </x:c>
      <x:c r="G630" s="4" t="str">
        <x:v>验证下架后的礼物状态</x:v>
      </x:c>
      <x:c r="H630" s="4" t="str">
        <x:v>礼物状态</x:v>
      </x:c>
      <x:c r="I630" s="4" t="str">
        <x:v>1. 观众账号已登录且具备当前页面权限
2. 下架</x:v>
      </x:c>
      <x:c r="J630" s="4" t="str">
        <x:v>1. 打开礼物
2. 刷新礼物</x:v>
      </x:c>
      <x:c r="K630" s="4" t="str">
        <x:v>不可继续赠送</x:v>
      </x:c>
      <x:c r="L630" s="4" t="str"/>
      <x:c r="M630" s="4" t="str">
        <x:v>未测</x:v>
      </x:c>
      <x:c r="N630" s="4" t="str"/>
      <x:c r="O630" s="4" t="str">
        <x:v>1. 来源（原型批注）：liveshow-proto/prototype/annotations/user.js；views/live-room/gift.html
2. 页面：views/live-room/gift.html
3. 规则：BR-741BBC8CE5C884
4. 场景：SC-0D414D4205D7C2
5. 未动态验证</x:v>
      </x:c>
    </x:row>
    <x:row r="631" ht="54" customHeight="1">
      <x:c r="A631" s="4" t="n">
        <x:v>630</x:v>
      </x:c>
      <x:c r="B631" s="4" t="str">
        <x:v>ULIVE-0128</x:v>
      </x:c>
      <x:c r="C631" s="4" t="str">
        <x:v>直播模块</x:v>
      </x:c>
      <x:c r="D631" s="4" t="str">
        <x:v>礼物（观众视角）</x:v>
      </x:c>
      <x:c r="E631" s="4" t="str">
        <x:v>业务流程</x:v>
      </x:c>
      <x:c r="F631" s="4" t="str">
        <x:v>P1</x:v>
      </x:c>
      <x:c r="G631" s="4" t="str">
        <x:v>验证选择礼物和数量后的礼物状态</x:v>
      </x:c>
      <x:c r="H631" s="4" t="str">
        <x:v>礼物状态</x:v>
      </x:c>
      <x:c r="I631" s="4" t="str">
        <x:v>1. 观众账号已登录且具备当前页面权限</x:v>
      </x:c>
      <x:c r="J631" s="4" t="str">
        <x:v>1. 打开礼物
2. 选择礼物和数量</x:v>
      </x:c>
      <x:c r="K631" s="4" t="str">
        <x:v>显示本次所需金币</x:v>
      </x:c>
      <x:c r="L631" s="4" t="str"/>
      <x:c r="M631" s="4" t="str">
        <x:v>未测</x:v>
      </x:c>
      <x:c r="N631" s="4" t="str"/>
      <x:c r="O631" s="4" t="str">
        <x:v>1. 来源（原型批注）：liveshow-proto/prototype/annotations/user.js；views/live-room/gift.html
2. 页面：views/live-room/gift.html
3. 规则：BR-2DCB38AC87D2C5
4. 场景：SC-9B7181BF3E3C9E
5. 未动态验证</x:v>
      </x:c>
    </x:row>
    <x:row r="632" ht="54" customHeight="1">
      <x:c r="A632" s="4" t="n">
        <x:v>631</x:v>
      </x:c>
      <x:c r="B632" s="4" t="str">
        <x:v>ULIVE-0129</x:v>
      </x:c>
      <x:c r="C632" s="4" t="str">
        <x:v>直播模块</x:v>
      </x:c>
      <x:c r="D632" s="4" t="str">
        <x:v>礼物（观众视角）</x:v>
      </x:c>
      <x:c r="E632" s="4" t="str">
        <x:v>功能需求</x:v>
      </x:c>
      <x:c r="F632" s="4" t="str">
        <x:v>P1</x:v>
      </x:c>
      <x:c r="G632" s="4" t="str">
        <x:v>验证余额不足时的礼物结果</x:v>
      </x:c>
      <x:c r="H632" s="4" t="str">
        <x:v>礼物条件结果</x:v>
      </x:c>
      <x:c r="I632" s="4" t="str">
        <x:v>1. 观众账号已登录且具备当前页面权限
2. 余额不足</x:v>
      </x:c>
      <x:c r="J632" s="4" t="str">
        <x:v>1. 打开礼物
2. 查看礼物</x:v>
      </x:c>
      <x:c r="K632" s="4" t="str">
        <x:v>不扣减金币</x:v>
      </x:c>
      <x:c r="L632" s="4" t="str"/>
      <x:c r="M632" s="4" t="str">
        <x:v>未测</x:v>
      </x:c>
      <x:c r="N632" s="4" t="str"/>
      <x:c r="O632" s="4" t="str">
        <x:v>1. 来源（原型批注）：liveshow-proto/prototype/annotations/user.js；views/live-room/gift.html
2. 页面：views/live-room/gift.html
3. 规则：BR-99CA1E0DDF252F
4. 场景：SC-43D76C459EBB12
5. 未动态验证</x:v>
      </x:c>
    </x:row>
    <x:row r="633" ht="54" customHeight="1">
      <x:c r="A633" s="4" t="n">
        <x:v>632</x:v>
      </x:c>
      <x:c r="B633" s="4" t="str">
        <x:v>ULIVE-0130</x:v>
      </x:c>
      <x:c r="C633" s="4" t="str">
        <x:v>直播模块</x:v>
      </x:c>
      <x:c r="D633" s="4" t="str">
        <x:v>礼物（观众视角）</x:v>
      </x:c>
      <x:c r="E633" s="4" t="str">
        <x:v>业务流程</x:v>
      </x:c>
      <x:c r="F633" s="4" t="str">
        <x:v>P1</x:v>
      </x:c>
      <x:c r="G633" s="4" t="str">
        <x:v>验证余额充足并赠送成功后的礼物状态</x:v>
      </x:c>
      <x:c r="H633" s="4" t="str">
        <x:v>礼物状态</x:v>
      </x:c>
      <x:c r="I633" s="4" t="str">
        <x:v>1. 观众账号已登录且具备当前页面权限
2. 余额充足并赠送成功</x:v>
      </x:c>
      <x:c r="J633" s="4" t="str">
        <x:v>1. 打开礼物
2. 刷新礼物</x:v>
      </x:c>
      <x:c r="K633" s="4" t="str">
        <x:v>扣减一次金币、播放礼物效果</x:v>
      </x:c>
      <x:c r="L633" s="4" t="str"/>
      <x:c r="M633" s="4" t="str">
        <x:v>未测</x:v>
      </x:c>
      <x:c r="N633" s="4" t="str"/>
      <x:c r="O633" s="4" t="str">
        <x:v>1. 来源（原型批注）：liveshow-proto/prototype/annotations/user.js；views/live-room/gift.html
2. 页面：views/live-room/gift.html
3. 规则：BR-846E80FC0B4E78
4. 场景：SC-BF595743A16594
5. 未动态验证</x:v>
      </x:c>
    </x:row>
    <x:row r="634" ht="54" customHeight="1">
      <x:c r="A634" s="4" t="n">
        <x:v>633</x:v>
      </x:c>
      <x:c r="B634" s="4" t="str">
        <x:v>ULIVE-0131</x:v>
      </x:c>
      <x:c r="C634" s="4" t="str">
        <x:v>直播模块</x:v>
      </x:c>
      <x:c r="D634" s="4" t="str">
        <x:v>礼物（观众视角）</x:v>
      </x:c>
      <x:c r="E634" s="4" t="str">
        <x:v>异常用例</x:v>
      </x:c>
      <x:c r="F634" s="4" t="str">
        <x:v>P1</x:v>
      </x:c>
      <x:c r="G634" s="4" t="str">
        <x:v>验证运营账号虚拟金币不足后的礼物状态</x:v>
      </x:c>
      <x:c r="H634" s="4" t="str">
        <x:v>礼物状态</x:v>
      </x:c>
      <x:c r="I634" s="4" t="str">
        <x:v>1. 观众账号已登录且具备当前页面权限
2. 运营账号虚拟金币不足</x:v>
      </x:c>
      <x:c r="J634" s="4" t="str">
        <x:v>1. 打开礼物
2. 刷新礼物</x:v>
      </x:c>
      <x:c r="K634" s="4" t="str">
        <x:v>不显示充值入口</x:v>
      </x:c>
      <x:c r="L634" s="4" t="str"/>
      <x:c r="M634" s="4" t="str">
        <x:v>未测</x:v>
      </x:c>
      <x:c r="N634" s="4" t="str"/>
      <x:c r="O634" s="4" t="str">
        <x:v>1. 来源（原型批注）：liveshow-proto/prototype/annotations/user.js；views/live-room/gift.html
2. 页面：views/live-room/gift.html
3. 规则：BR-AFF93ABF531908
4. 场景：SC-CC3DA990C73DB4
5. 未动态验证</x:v>
      </x:c>
    </x:row>
    <x:row r="635" ht="54" customHeight="1">
      <x:c r="A635" s="4" t="n">
        <x:v>634</x:v>
      </x:c>
      <x:c r="B635" s="4" t="str">
        <x:v>ULIVE-0132</x:v>
      </x:c>
      <x:c r="C635" s="4" t="str">
        <x:v>直播模块</x:v>
      </x:c>
      <x:c r="D635" s="4" t="str">
        <x:v>礼物（观众视角）</x:v>
      </x:c>
      <x:c r="E635" s="4" t="str">
        <x:v>功能需求</x:v>
      </x:c>
      <x:c r="F635" s="4" t="str">
        <x:v>P1</x:v>
      </x:c>
      <x:c r="G635" s="4" t="str">
        <x:v>验证运营账号只时的礼物结果</x:v>
      </x:c>
      <x:c r="H635" s="4" t="str">
        <x:v>礼物条件结果</x:v>
      </x:c>
      <x:c r="I635" s="4" t="str">
        <x:v>1. 观众账号已登录且具备当前页面权限
2. 运营账号只</x:v>
      </x:c>
      <x:c r="J635" s="4" t="str">
        <x:v>1. 打开礼物
2. 查看礼物</x:v>
      </x:c>
      <x:c r="K635" s="4" t="str">
        <x:v>运营账号只显示所属公会发放的虚拟金币余额</x:v>
      </x:c>
      <x:c r="L635" s="4" t="str"/>
      <x:c r="M635" s="4" t="str">
        <x:v>未测</x:v>
      </x:c>
      <x:c r="N635" s="4" t="str"/>
      <x:c r="O635" s="4" t="str">
        <x:v>1. 来源（原型批注）：liveshow-proto/prototype/annotations/user.js；views/live-room/gift.html
2. 页面：views/live-room/gift.html
3. 规则：BR-A025078910F049
4. 场景：SC-11FC4DB1E98F00
5. 未动态验证</x:v>
      </x:c>
    </x:row>
    <x:row r="636" ht="54" customHeight="1">
      <x:c r="A636" s="4" t="n">
        <x:v>635</x:v>
      </x:c>
      <x:c r="B636" s="4" t="str">
        <x:v>ULIVE-0133</x:v>
      </x:c>
      <x:c r="C636" s="4" t="str">
        <x:v>直播模块</x:v>
      </x:c>
      <x:c r="D636" s="4" t="str">
        <x:v>连麦主播-搜索结果（主播视角）</x:v>
      </x:c>
      <x:c r="E636" s="4" t="str">
        <x:v>业务流程</x:v>
      </x:c>
      <x:c r="F636" s="4" t="str">
        <x:v>P1</x:v>
      </x:c>
      <x:c r="G636" s="4" t="str">
        <x:v>验证关键词为空后的连麦主播-搜索结果状态</x:v>
      </x:c>
      <x:c r="H636" s="4" t="str">
        <x:v>连麦主播-搜索结果状态</x:v>
      </x:c>
      <x:c r="I636" s="4" t="str">
        <x:v>1. 主播账号已登录且具备当前页面权限
2. 关键词为空</x:v>
      </x:c>
      <x:c r="J636" s="4" t="str">
        <x:v>1. 打开连麦主播-搜索结果
2. 刷新连麦主播-搜索结果</x:v>
      </x:c>
      <x:c r="K636" s="4" t="str">
        <x:v>返回未搜索状态</x:v>
      </x:c>
      <x:c r="L636" s="4" t="str"/>
      <x:c r="M636" s="4" t="str">
        <x:v>未测</x:v>
      </x:c>
      <x:c r="N636" s="4" t="str"/>
      <x:c r="O636" s="4" t="str">
        <x:v>1. 来源（原型批注）：liveshow-proto/prototype/annotations/user.js；views/live-room-host/cohost-hosts-search-result.html
2. 页面：views/live-room-host/cohost-hosts-search-result.html
3. 规则：BR-62504F3068B933
4. 场景：SC-84BF4C636191CD
5. 未动态验证</x:v>
      </x:c>
    </x:row>
    <x:row r="637" ht="54" customHeight="1">
      <x:c r="A637" s="4" t="n">
        <x:v>636</x:v>
      </x:c>
      <x:c r="B637" s="4" t="str">
        <x:v>ULIVE-0134</x:v>
      </x:c>
      <x:c r="C637" s="4" t="str">
        <x:v>直播模块</x:v>
      </x:c>
      <x:c r="D637" s="4" t="str">
        <x:v>连麦主播-搜索结果（主播视角）</x:v>
      </x:c>
      <x:c r="E637" s="4" t="str">
        <x:v>逻辑校验</x:v>
      </x:c>
      <x:c r="F637" s="4" t="str">
        <x:v>P1</x:v>
      </x:c>
      <x:c r="G637" s="4" t="str">
        <x:v>验证连麦主播-搜索结果按指定范围筛选</x:v>
      </x:c>
      <x:c r="H637" s="4" t="str">
        <x:v>连麦主播-搜索结果数据范围</x:v>
      </x:c>
      <x:c r="I637" s="4" t="str">
        <x:v>1. 主播账号已登录且具备当前页面权限
2. 存在符合和不符合“当前在普通房直播、未连麦且双方无账号拉黑关系的主播”的记录</x:v>
      </x:c>
      <x:c r="J637" s="4" t="str">
        <x:v>1. 打开连麦主播-搜索结果
2. 查看连麦主播-搜索结果</x:v>
      </x:c>
      <x:c r="K637" s="4" t="str">
        <x:v>仅返回当前在普通房直播、未连麦且双方无账号拉黑关系的主播</x:v>
      </x:c>
      <x:c r="L637" s="4" t="str"/>
      <x:c r="M637" s="4" t="str">
        <x:v>未测</x:v>
      </x:c>
      <x:c r="N637" s="4" t="str"/>
      <x:c r="O637" s="4" t="str">
        <x:v>1. 来源（原型批注）：liveshow-proto/prototype/annotations/user.js；views/live-room-host/cohost-hosts-search-result.html
2. 页面：views/live-room-host/cohost-hosts-search-result.html
3. 规则：BR-2E2DC5AC310B6E
4. 场景：SC-8F69C759276681
5. 未动态验证</x:v>
      </x:c>
    </x:row>
    <x:row r="638" ht="54" customHeight="1">
      <x:c r="A638" s="4" t="n">
        <x:v>637</x:v>
      </x:c>
      <x:c r="B638" s="4" t="str">
        <x:v>ULIVE-0135</x:v>
      </x:c>
      <x:c r="C638" s="4" t="str">
        <x:v>直播模块</x:v>
      </x:c>
      <x:c r="D638" s="4" t="str">
        <x:v>连麦主播-搜索结果（主播视角）</x:v>
      </x:c>
      <x:c r="E638" s="4" t="str">
        <x:v>功能需求</x:v>
      </x:c>
      <x:c r="F638" s="4" t="str">
        <x:v>P1</x:v>
      </x:c>
      <x:c r="G638" s="4" t="str">
        <x:v>验证连麦主播-搜索结果可查看搜索关键词</x:v>
      </x:c>
      <x:c r="H638" s="4" t="str">
        <x:v>搜索关键词展示</x:v>
      </x:c>
      <x:c r="I638" s="4" t="str">
        <x:v>1. 主播账号已登录且具备当前页面权限</x:v>
      </x:c>
      <x:c r="J638" s="4" t="str">
        <x:v>1. 打开连麦主播-搜索结果
2. 查看搜索关键词</x:v>
      </x:c>
      <x:c r="K638" s="4" t="str">
        <x:v>连麦主播-搜索结果显示“搜索关键词”</x:v>
      </x:c>
      <x:c r="L638" s="4" t="str"/>
      <x:c r="M638" s="4" t="str">
        <x:v>未测</x:v>
      </x:c>
      <x:c r="N638" s="4" t="str"/>
      <x:c r="O638" s="4" t="str">
        <x:v>1. 来源（原型批注）：liveshow-proto/prototype/annotations/user.js；views/live-room-host/cohost-hosts-search-result.html
2. 页面：views/live-room-host/cohost-hosts-search-result.html
3. 规则：BR-559F99AB0159B9
4. 场景：SC-2AB247275A535D
5. 未动态验证</x:v>
      </x:c>
    </x:row>
    <x:row r="639" ht="54" customHeight="1">
      <x:c r="A639" s="4" t="n">
        <x:v>638</x:v>
      </x:c>
      <x:c r="B639" s="4" t="str">
        <x:v>ULIVE-0136</x:v>
      </x:c>
      <x:c r="C639" s="4" t="str">
        <x:v>直播模块</x:v>
      </x:c>
      <x:c r="D639" s="4" t="str">
        <x:v>连麦主播-搜索结果（主播视角）</x:v>
      </x:c>
      <x:c r="E639" s="4" t="str">
        <x:v>功能需求</x:v>
      </x:c>
      <x:c r="F639" s="4" t="str">
        <x:v>P1</x:v>
      </x:c>
      <x:c r="G639" s="4" t="str">
        <x:v>验证连麦主播-搜索结果可查看搜索结果</x:v>
      </x:c>
      <x:c r="H639" s="4" t="str">
        <x:v>搜索结果展示</x:v>
      </x:c>
      <x:c r="I639" s="4" t="str">
        <x:v>1. 主播账号已登录且具备当前页面权限</x:v>
      </x:c>
      <x:c r="J639" s="4" t="str">
        <x:v>1. 打开连麦主播-搜索结果
2. 查看搜索结果</x:v>
      </x:c>
      <x:c r="K639" s="4" t="str">
        <x:v>连麦主播-搜索结果显示“搜索结果”</x:v>
      </x:c>
      <x:c r="L639" s="4" t="str"/>
      <x:c r="M639" s="4" t="str">
        <x:v>未测</x:v>
      </x:c>
      <x:c r="N639" s="4" t="str"/>
      <x:c r="O639" s="4" t="str">
        <x:v>1. 来源（原型批注）：liveshow-proto/prototype/annotations/user.js；views/live-room-host/cohost-hosts-search-result.html
2. 页面：views/live-room-host/cohost-hosts-search-result.html
3. 规则：BR-90B35B8FF16B73
4. 场景：SC-4623D1C2333FE1
5. 未动态验证</x:v>
      </x:c>
    </x:row>
    <x:row r="640" ht="54" customHeight="1">
      <x:c r="A640" s="4" t="n">
        <x:v>639</x:v>
      </x:c>
      <x:c r="B640" s="4" t="str">
        <x:v>ULIVE-0137</x:v>
      </x:c>
      <x:c r="C640" s="4" t="str">
        <x:v>直播模块</x:v>
      </x:c>
      <x:c r="D640" s="4" t="str">
        <x:v>连麦主播-搜索结果（主播视角）</x:v>
      </x:c>
      <x:c r="E640" s="4" t="str">
        <x:v>业务流程</x:v>
      </x:c>
      <x:c r="F640" s="4" t="str">
        <x:v>P1</x:v>
      </x:c>
      <x:c r="G640" s="4" t="str">
        <x:v>验证无匹配后的连麦主播-搜索结果状态</x:v>
      </x:c>
      <x:c r="H640" s="4" t="str">
        <x:v>连麦主播-搜索结果状态</x:v>
      </x:c>
      <x:c r="I640" s="4" t="str">
        <x:v>1. 主播账号已登录且具备当前页面权限
2. 无匹配</x:v>
      </x:c>
      <x:c r="J640" s="4" t="str">
        <x:v>1. 打开连麦主播-搜索结果
2. 刷新连麦主播-搜索结果</x:v>
      </x:c>
      <x:c r="K640" s="4" t="str">
        <x:v>显示“查询结果为空或主播未在普通房直播”</x:v>
      </x:c>
      <x:c r="L640" s="4" t="str"/>
      <x:c r="M640" s="4" t="str">
        <x:v>未测</x:v>
      </x:c>
      <x:c r="N640" s="4" t="str"/>
      <x:c r="O640" s="4" t="str">
        <x:v>1. 来源（原型批注）：liveshow-proto/prototype/annotations/user.js；views/live-room-host/cohost-hosts-search-result.html
2. 页面：views/live-room-host/cohost-hosts-search-result.html
3. 规则：BR-048612BEDE087A
4. 场景：SC-4259D6CEEC0B37
5. 未动态验证</x:v>
      </x:c>
    </x:row>
    <x:row r="641" ht="54" customHeight="1">
      <x:c r="A641" s="4" t="n">
        <x:v>640</x:v>
      </x:c>
      <x:c r="B641" s="4" t="str">
        <x:v>ULIVE-0138</x:v>
      </x:c>
      <x:c r="C641" s="4" t="str">
        <x:v>直播模块</x:v>
      </x:c>
      <x:c r="D641" s="4" t="str">
        <x:v>连麦主播-搜索结果（主播视角）</x:v>
      </x:c>
      <x:c r="E641" s="4" t="str">
        <x:v>业务流程</x:v>
      </x:c>
      <x:c r="F641" s="4" t="str">
        <x:v>P1</x:v>
      </x:c>
      <x:c r="G641" s="4" t="str">
        <x:v>验证主播未在普通房直播后的连麦主播-搜索结果状态</x:v>
      </x:c>
      <x:c r="H641" s="4" t="str">
        <x:v>连麦主播-搜索结果状态</x:v>
      </x:c>
      <x:c r="I641" s="4" t="str">
        <x:v>1. 主播账号已登录且具备当前页面权限
2. 主播未在普通房直播</x:v>
      </x:c>
      <x:c r="J641" s="4" t="str">
        <x:v>1. 打开连麦主播-搜索结果
2. 刷新连麦主播-搜索结果</x:v>
      </x:c>
      <x:c r="K641" s="4" t="str">
        <x:v>显示“查询结果为空或主播未在普通房直播”</x:v>
      </x:c>
      <x:c r="L641" s="4" t="str"/>
      <x:c r="M641" s="4" t="str">
        <x:v>未测</x:v>
      </x:c>
      <x:c r="N641" s="4" t="str"/>
      <x:c r="O641" s="4" t="str">
        <x:v>1. 来源（原型批注）：liveshow-proto/prototype/annotations/user.js；views/live-room-host/cohost-hosts-search-result.html
2. 页面：views/live-room-host/cohost-hosts-search-result.html
3. 规则：BR-048612BEDE087A
4. 场景：SC-D42E48DE1F432F
5. 未动态验证</x:v>
      </x:c>
    </x:row>
    <x:row r="642" ht="54" customHeight="1">
      <x:c r="A642" s="4" t="n">
        <x:v>641</x:v>
      </x:c>
      <x:c r="B642" s="4" t="str">
        <x:v>ULIVE-0139</x:v>
      </x:c>
      <x:c r="C642" s="4" t="str">
        <x:v>直播模块</x:v>
      </x:c>
      <x:c r="D642" s="4" t="str">
        <x:v>连麦主播（主播视角）</x:v>
      </x:c>
      <x:c r="E642" s="4" t="str">
        <x:v>功能需求</x:v>
      </x:c>
      <x:c r="F642" s="4" t="str">
        <x:v>P1</x:v>
      </x:c>
      <x:c r="G642" s="4" t="str">
        <x:v>验证连麦主播可查看邀请状态</x:v>
      </x:c>
      <x:c r="H642" s="4" t="str">
        <x:v>邀请状态展示</x:v>
      </x:c>
      <x:c r="I642" s="4" t="str">
        <x:v>1. 主播账号已登录且具备当前页面权限</x:v>
      </x:c>
      <x:c r="J642" s="4" t="str">
        <x:v>1. 打开连麦主播
2. 查看邀请状态</x:v>
      </x:c>
      <x:c r="K642" s="4" t="str">
        <x:v>连麦主播显示“邀请状态”</x:v>
      </x:c>
      <x:c r="L642" s="4" t="str"/>
      <x:c r="M642" s="4" t="str">
        <x:v>未测</x:v>
      </x:c>
      <x:c r="N642" s="4" t="str"/>
      <x:c r="O642" s="4" t="str">
        <x:v>1. 来源（原型批注）：liveshow-proto/prototype/annotations/user.js；views/live-room-host/cohost-hosts.html
2. 页面：views/live-room-host/cohost-hosts.html
3. 规则：BR-5FA8EAD569ADB2
4. 场景：SC-F8BCCDAC0B4072
5. 未动态验证</x:v>
      </x:c>
    </x:row>
    <x:row r="643" ht="54" customHeight="1">
      <x:c r="A643" s="4" t="n">
        <x:v>642</x:v>
      </x:c>
      <x:c r="B643" s="4" t="str">
        <x:v>ULIVE-0140</x:v>
      </x:c>
      <x:c r="C643" s="4" t="str">
        <x:v>直播模块</x:v>
      </x:c>
      <x:c r="D643" s="4" t="str">
        <x:v>连麦主播（主播视角）</x:v>
      </x:c>
      <x:c r="E643" s="4" t="str">
        <x:v>功能需求</x:v>
      </x:c>
      <x:c r="F643" s="4" t="str">
        <x:v>P1</x:v>
      </x:c>
      <x:c r="G643" s="4" t="str">
        <x:v>验证连麦主播可查看主播</x:v>
      </x:c>
      <x:c r="H643" s="4" t="str">
        <x:v>主播展示</x:v>
      </x:c>
      <x:c r="I643" s="4" t="str">
        <x:v>1. 主播账号已登录且具备当前页面权限</x:v>
      </x:c>
      <x:c r="J643" s="4" t="str">
        <x:v>1. 打开连麦主播
2. 查看主播</x:v>
      </x:c>
      <x:c r="K643" s="4" t="str">
        <x:v>连麦主播显示“主播”</x:v>
      </x:c>
      <x:c r="L643" s="4" t="str"/>
      <x:c r="M643" s="4" t="str">
        <x:v>未测</x:v>
      </x:c>
      <x:c r="N643" s="4" t="str"/>
      <x:c r="O643" s="4" t="str">
        <x:v>1. 来源（原型批注）：liveshow-proto/prototype/annotations/user.js；views/live-room-host/cohost-hosts.html
2. 页面：views/live-room-host/cohost-hosts.html
3. 规则：BR-8037BEF93EE501
4. 场景：SC-397015F22D1DB1
5. 未动态验证</x:v>
      </x:c>
    </x:row>
    <x:row r="644" ht="54" customHeight="1">
      <x:c r="A644" s="4" t="n">
        <x:v>643</x:v>
      </x:c>
      <x:c r="B644" s="4" t="str">
        <x:v>ULIVE-0141</x:v>
      </x:c>
      <x:c r="C644" s="4" t="str">
        <x:v>直播模块</x:v>
      </x:c>
      <x:c r="D644" s="4" t="str">
        <x:v>连麦主播（主播视角）</x:v>
      </x:c>
      <x:c r="E644" s="4" t="str">
        <x:v>异常用例</x:v>
      </x:c>
      <x:c r="F644" s="4" t="str">
        <x:v>P1</x:v>
      </x:c>
      <x:c r="G644" s="4" t="str">
        <x:v>验证请求失败后的连麦主播状态</x:v>
      </x:c>
      <x:c r="H644" s="4" t="str">
        <x:v>连麦主播状态</x:v>
      </x:c>
      <x:c r="I644" s="4" t="str">
        <x:v>1. 主播账号已登录且具备当前页面权限
2. 请求失败</x:v>
      </x:c>
      <x:c r="J644" s="4" t="str">
        <x:v>1. 打开连麦主播
2. 刷新连麦主播</x:v>
      </x:c>
      <x:c r="K644" s="4" t="str">
        <x:v>提示“请求失败”</x:v>
      </x:c>
      <x:c r="L644" s="4" t="str"/>
      <x:c r="M644" s="4" t="str">
        <x:v>未测</x:v>
      </x:c>
      <x:c r="N644" s="4" t="str"/>
      <x:c r="O644" s="4" t="str">
        <x:v>1. 来源（原型批注）：liveshow-proto/prototype/annotations/user.js；views/live-room-host/cohost-hosts.html
2. 页面：views/live-room-host/cohost-hosts.html
3. 规则：BR-0B0414E8FAE9F6
4. 场景：SC-7098FECEE1EF80
5. 未动态验证</x:v>
      </x:c>
    </x:row>
    <x:row r="645" ht="54" customHeight="1">
      <x:c r="A645" s="4" t="n">
        <x:v>644</x:v>
      </x:c>
      <x:c r="B645" s="4" t="str">
        <x:v>ULIVE-0142</x:v>
      </x:c>
      <x:c r="C645" s="4" t="str">
        <x:v>直播模块</x:v>
      </x:c>
      <x:c r="D645" s="4" t="str">
        <x:v>连麦主播（主播视角）</x:v>
      </x:c>
      <x:c r="E645" s="4" t="str">
        <x:v>业务流程</x:v>
      </x:c>
      <x:c r="F645" s="4" t="str">
        <x:v>P1</x:v>
      </x:c>
      <x:c r="G645" s="4" t="str">
        <x:v>验证邀请成功后的连麦主播状态</x:v>
      </x:c>
      <x:c r="H645" s="4" t="str">
        <x:v>连麦主播状态</x:v>
      </x:c>
      <x:c r="I645" s="4" t="str">
        <x:v>1. 主播账号已登录且具备当前页面权限
2. 邀请成功</x:v>
      </x:c>
      <x:c r="J645" s="4" t="str">
        <x:v>1. 打开连麦主播
2. 刷新连麦主播</x:v>
      </x:c>
      <x:c r="K645" s="4" t="str">
        <x:v>标记邀请中并禁止重复发送</x:v>
      </x:c>
      <x:c r="L645" s="4" t="str"/>
      <x:c r="M645" s="4" t="str">
        <x:v>未测</x:v>
      </x:c>
      <x:c r="N645" s="4" t="str"/>
      <x:c r="O645" s="4" t="str">
        <x:v>1. 来源（原型批注）：liveshow-proto/prototype/annotations/user.js；views/live-room-host/cohost-hosts.html
2. 页面：views/live-room-host/cohost-hosts.html
3. 规则：BR-1A7AA14434235D
4. 场景：SC-713D6178F342B2
5. 未动态验证</x:v>
      </x:c>
    </x:row>
    <x:row r="646" ht="54" customHeight="1">
      <x:c r="A646" s="4" t="n">
        <x:v>645</x:v>
      </x:c>
      <x:c r="B646" s="4" t="str">
        <x:v>ULIVE-0143</x:v>
      </x:c>
      <x:c r="C646" s="4" t="str">
        <x:v>直播模块</x:v>
      </x:c>
      <x:c r="D646" s="4" t="str">
        <x:v>连麦主播（主播视角）</x:v>
      </x:c>
      <x:c r="E646" s="4" t="str">
        <x:v>业务流程</x:v>
      </x:c>
      <x:c r="F646" s="4" t="str">
        <x:v>P1</x:v>
      </x:c>
      <x:c r="G646" s="4" t="str">
        <x:v>验证主播未在普通房直播后的连麦主播状态</x:v>
      </x:c>
      <x:c r="H646" s="4" t="str">
        <x:v>连麦主播状态</x:v>
      </x:c>
      <x:c r="I646" s="4" t="str">
        <x:v>1. 主播账号已登录且具备当前页面权限
2. 主播未在普通房直播</x:v>
      </x:c>
      <x:c r="J646" s="4" t="str">
        <x:v>1. 打开连麦主播
2. 刷新连麦主播</x:v>
      </x:c>
      <x:c r="K646" s="4" t="str">
        <x:v>显示“查询结果为空或主播未在普通房直播”</x:v>
      </x:c>
      <x:c r="L646" s="4" t="str"/>
      <x:c r="M646" s="4" t="str">
        <x:v>未测</x:v>
      </x:c>
      <x:c r="N646" s="4" t="str"/>
      <x:c r="O646" s="4" t="str">
        <x:v>1. 来源（原型批注）：liveshow-proto/prototype/annotations/user.js；views/live-room-host/cohost-hosts.html
2. 页面：views/live-room-host/cohost-hosts.html
3. 规则：BR-E1AD531E406CA4
4. 场景：SC-E9F5B673C7EE20
5. 未动态验证</x:v>
      </x:c>
    </x:row>
    <x:row r="647" ht="54" customHeight="1">
      <x:c r="A647" s="4" t="n">
        <x:v>646</x:v>
      </x:c>
      <x:c r="B647" s="4" t="str">
        <x:v>ULIVE-0144</x:v>
      </x:c>
      <x:c r="C647" s="4" t="str">
        <x:v>直播模块</x:v>
      </x:c>
      <x:c r="D647" s="4" t="str">
        <x:v>门票房-访问受限（观众视角）</x:v>
      </x:c>
      <x:c r="E647" s="4" t="str">
        <x:v>业务流程</x:v>
      </x:c>
      <x:c r="F647" s="4" t="str">
        <x:v>P1</x:v>
      </x:c>
      <x:c r="G647" s="4" t="str">
        <x:v>验证被踢出后的门票房-访问受限状态</x:v>
      </x:c>
      <x:c r="H647" s="4" t="str">
        <x:v>门票房-访问受限状态</x:v>
      </x:c>
      <x:c r="I647" s="4" t="str">
        <x:v>1. 观众账号已登录且具备当前页面权限
2. 被踢出</x:v>
      </x:c>
      <x:c r="J647" s="4" t="str">
        <x:v>1. 打开门票房-访问受限
2. 刷新门票房-访问受限</x:v>
      </x:c>
      <x:c r="K647" s="4" t="str">
        <x:v>门票失效</x:v>
      </x:c>
      <x:c r="L647" s="4" t="str"/>
      <x:c r="M647" s="4" t="str">
        <x:v>未测</x:v>
      </x:c>
      <x:c r="N647" s="4" t="str"/>
      <x:c r="O647" s="4" t="str">
        <x:v>1. 来源（原型批注）：liveshow-proto/prototype/annotations/user.js；views/live-room/ticket-room-restricted.html
2. 页面：views/live-room/ticket-room-restricted.html
3. 规则：BR-7D1935199826DF
4. 场景：SC-C455A9A84E3F97
5. 未动态验证</x:v>
      </x:c>
    </x:row>
    <x:row r="648" ht="54" customHeight="1">
      <x:c r="A648" s="4" t="n">
        <x:v>647</x:v>
      </x:c>
      <x:c r="B648" s="4" t="str">
        <x:v>ULIVE-0145</x:v>
      </x:c>
      <x:c r="C648" s="4" t="str">
        <x:v>直播模块</x:v>
      </x:c>
      <x:c r="D648" s="4" t="str">
        <x:v>门票房-访问受限（观众视角）</x:v>
      </x:c>
      <x:c r="E648" s="4" t="str">
        <x:v>业务流程</x:v>
      </x:c>
      <x:c r="F648" s="4" t="str">
        <x:v>P1</x:v>
      </x:c>
      <x:c r="G648" s="4" t="str">
        <x:v>验证场次结束后的门票房-访问受限状态</x:v>
      </x:c>
      <x:c r="H648" s="4" t="str">
        <x:v>门票房-访问受限状态</x:v>
      </x:c>
      <x:c r="I648" s="4" t="str">
        <x:v>1. 观众账号已登录且具备当前页面权限
2. 场次结束</x:v>
      </x:c>
      <x:c r="J648" s="4" t="str">
        <x:v>1. 打开门票房-访问受限
2. 刷新门票房-访问受限</x:v>
      </x:c>
      <x:c r="K648" s="4" t="str">
        <x:v>门票失效</x:v>
      </x:c>
      <x:c r="L648" s="4" t="str"/>
      <x:c r="M648" s="4" t="str">
        <x:v>未测</x:v>
      </x:c>
      <x:c r="N648" s="4" t="str"/>
      <x:c r="O648" s="4" t="str">
        <x:v>1. 来源（原型批注）：liveshow-proto/prototype/annotations/user.js；views/live-room/ticket-room-restricted.html
2. 页面：views/live-room/ticket-room-restricted.html
3. 规则：BR-7D1935199826DF
4. 场景：SC-CAE592779213BB
5. 未动态验证</x:v>
      </x:c>
    </x:row>
    <x:row r="649" ht="54" customHeight="1">
      <x:c r="A649" s="4" t="n">
        <x:v>648</x:v>
      </x:c>
      <x:c r="B649" s="4" t="str">
        <x:v>ULIVE-0146</x:v>
      </x:c>
      <x:c r="C649" s="4" t="str">
        <x:v>直播模块</x:v>
      </x:c>
      <x:c r="D649" s="4" t="str">
        <x:v>门票房-访问受限（观众视角）</x:v>
      </x:c>
      <x:c r="E649" s="4" t="str">
        <x:v>功能需求</x:v>
      </x:c>
      <x:c r="F649" s="4" t="str">
        <x:v>P1</x:v>
      </x:c>
      <x:c r="G649" s="4" t="str">
        <x:v>验证门票房-访问受限可查看金币余额</x:v>
      </x:c>
      <x:c r="H649" s="4" t="str">
        <x:v>金币余额展示</x:v>
      </x:c>
      <x:c r="I649" s="4" t="str">
        <x:v>1. 观众账号已登录且具备当前页面权限</x:v>
      </x:c>
      <x:c r="J649" s="4" t="str">
        <x:v>1. 打开门票房-访问受限
2. 查看金币余额</x:v>
      </x:c>
      <x:c r="K649" s="4" t="str">
        <x:v>门票房-访问受限显示“金币余额”</x:v>
      </x:c>
      <x:c r="L649" s="4" t="str"/>
      <x:c r="M649" s="4" t="str">
        <x:v>未测</x:v>
      </x:c>
      <x:c r="N649" s="4" t="str"/>
      <x:c r="O649" s="4" t="str">
        <x:v>1. 来源（原型批注）：liveshow-proto/prototype/annotations/user.js；views/live-room/ticket-room-restricted.html
2. 页面：views/live-room/ticket-room-restricted.html
3. 规则：BR-40E8C2B8A08709
4. 场景：SC-9FA5C808BEFBF4
5. 未动态验证</x:v>
      </x:c>
    </x:row>
    <x:row r="650" ht="54" customHeight="1">
      <x:c r="A650" s="4" t="n">
        <x:v>649</x:v>
      </x:c>
      <x:c r="B650" s="4" t="str">
        <x:v>ULIVE-0147</x:v>
      </x:c>
      <x:c r="C650" s="4" t="str">
        <x:v>直播模块</x:v>
      </x:c>
      <x:c r="D650" s="4" t="str">
        <x:v>门票房-访问受限（观众视角）</x:v>
      </x:c>
      <x:c r="E650" s="4" t="str">
        <x:v>功能需求</x:v>
      </x:c>
      <x:c r="F650" s="4" t="str">
        <x:v>P1</x:v>
      </x:c>
      <x:c r="G650" s="4" t="str">
        <x:v>验证门票房-访问受限可查看门票价格</x:v>
      </x:c>
      <x:c r="H650" s="4" t="str">
        <x:v>门票价格展示</x:v>
      </x:c>
      <x:c r="I650" s="4" t="str">
        <x:v>1. 观众账号已登录且具备当前页面权限</x:v>
      </x:c>
      <x:c r="J650" s="4" t="str">
        <x:v>1. 打开门票房-访问受限
2. 查看门票价格</x:v>
      </x:c>
      <x:c r="K650" s="4" t="str">
        <x:v>门票房-访问受限显示“门票价格”</x:v>
      </x:c>
      <x:c r="L650" s="4" t="str"/>
      <x:c r="M650" s="4" t="str">
        <x:v>未测</x:v>
      </x:c>
      <x:c r="N650" s="4" t="str"/>
      <x:c r="O650" s="4" t="str">
        <x:v>1. 来源（原型批注）：liveshow-proto/prototype/annotations/user.js；views/live-room/ticket-room-restricted.html
2. 页面：views/live-room/ticket-room-restricted.html
3. 规则：BR-939A8EEFD1F08C
4. 场景：SC-85F6BA0F9DCC53
5. 未动态验证</x:v>
      </x:c>
    </x:row>
    <x:row r="651" ht="54" customHeight="1">
      <x:c r="A651" s="4" t="n">
        <x:v>650</x:v>
      </x:c>
      <x:c r="B651" s="4" t="str">
        <x:v>ULIVE-0148</x:v>
      </x:c>
      <x:c r="C651" s="4" t="str">
        <x:v>直播模块</x:v>
      </x:c>
      <x:c r="D651" s="4" t="str">
        <x:v>门票房-访问受限（观众视角）</x:v>
      </x:c>
      <x:c r="E651" s="4" t="str">
        <x:v>业务流程</x:v>
      </x:c>
      <x:c r="F651" s="4" t="str">
        <x:v>P1</x:v>
      </x:c>
      <x:c r="G651" s="4" t="str">
        <x:v>验证取消后的门票房-访问受限状态</x:v>
      </x:c>
      <x:c r="H651" s="4" t="str">
        <x:v>门票房-访问受限状态</x:v>
      </x:c>
      <x:c r="I651" s="4" t="str">
        <x:v>1. 观众账号已登录且具备当前页面权限</x:v>
      </x:c>
      <x:c r="J651" s="4" t="str">
        <x:v>1. 打开门票房-访问受限
2. 取消</x:v>
      </x:c>
      <x:c r="K651" s="4" t="str">
        <x:v>返回来源页</x:v>
      </x:c>
      <x:c r="L651" s="4" t="str"/>
      <x:c r="M651" s="4" t="str">
        <x:v>未测</x:v>
      </x:c>
      <x:c r="N651" s="4" t="str"/>
      <x:c r="O651" s="4" t="str">
        <x:v>1. 来源（原型批注）：liveshow-proto/prototype/annotations/user.js；views/live-room/ticket-room-restricted.html
2. 页面：views/live-room/ticket-room-restricted.html
3. 规则：BR-651FF7CB061877
4. 场景：SC-35AF248746D78F
5. 未动态验证</x:v>
      </x:c>
    </x:row>
    <x:row r="652" ht="54" customHeight="1">
      <x:c r="A652" s="4" t="n">
        <x:v>651</x:v>
      </x:c>
      <x:c r="B652" s="4" t="str">
        <x:v>ULIVE-0149</x:v>
      </x:c>
      <x:c r="C652" s="4" t="str">
        <x:v>直播模块</x:v>
      </x:c>
      <x:c r="D652" s="4" t="str">
        <x:v>门票房-访问受限（观众视角）</x:v>
      </x:c>
      <x:c r="E652" s="4" t="str">
        <x:v>功能需求</x:v>
      </x:c>
      <x:c r="F652" s="4" t="str">
        <x:v>P1</x:v>
      </x:c>
      <x:c r="G652" s="4" t="str">
        <x:v>验证巡房人员从有效巡房任务进入时的门票房-访问受限结果</x:v>
      </x:c>
      <x:c r="H652" s="4" t="str">
        <x:v>门票房-访问受限条件结果</x:v>
      </x:c>
      <x:c r="I652" s="4" t="str">
        <x:v>1. 观众账号已登录且具备当前页面权限
2. 巡房人员从有效巡房任务进入</x:v>
      </x:c>
      <x:c r="J652" s="4" t="str">
        <x:v>1. 打开门票房-访问受限
2. 查看门票房-访问受限</x:v>
      </x:c>
      <x:c r="K652" s="4" t="str">
        <x:v>无需购票，平台封禁仍优先拦截</x:v>
      </x:c>
      <x:c r="L652" s="4" t="str"/>
      <x:c r="M652" s="4" t="str">
        <x:v>未测</x:v>
      </x:c>
      <x:c r="N652" s="4" t="str"/>
      <x:c r="O652" s="4" t="str">
        <x:v>1. 来源（原型批注）：liveshow-proto/prototype/annotations/user.js；views/live-room/ticket-room-restricted.html
2. 页面：views/live-room/ticket-room-restricted.html
3. 规则：BR-51E715C7B8E541
4. 场景：SC-BE8C9A03B40B13
5. 未动态验证</x:v>
      </x:c>
    </x:row>
    <x:row r="653" ht="54" customHeight="1">
      <x:c r="A653" s="4" t="n">
        <x:v>652</x:v>
      </x:c>
      <x:c r="B653" s="4" t="str">
        <x:v>ULIVE-0150</x:v>
      </x:c>
      <x:c r="C653" s="4" t="str">
        <x:v>直播模块</x:v>
      </x:c>
      <x:c r="D653" s="4" t="str">
        <x:v>门票房-访问受限（观众视角）</x:v>
      </x:c>
      <x:c r="E653" s="4" t="str">
        <x:v>业务流程</x:v>
      </x:c>
      <x:c r="F653" s="4" t="str">
        <x:v>P1</x:v>
      </x:c>
      <x:c r="G653" s="4" t="str">
        <x:v>验证余额充足并确认购买后的门票房-访问受限状态</x:v>
      </x:c>
      <x:c r="H653" s="4" t="str">
        <x:v>门票房-访问受限状态</x:v>
      </x:c>
      <x:c r="I653" s="4" t="str">
        <x:v>1. 观众账号已登录且具备当前页面权限
2. 余额充足并确认购买</x:v>
      </x:c>
      <x:c r="J653" s="4" t="str">
        <x:v>1. 打开门票房-访问受限
2. 刷新门票房-访问受限</x:v>
      </x:c>
      <x:c r="K653" s="4" t="str">
        <x:v>扣减一次金币、生成支出记录</x:v>
      </x:c>
      <x:c r="L653" s="4" t="str"/>
      <x:c r="M653" s="4" t="str">
        <x:v>未测</x:v>
      </x:c>
      <x:c r="N653" s="4" t="str"/>
      <x:c r="O653" s="4" t="str">
        <x:v>1. 来源（原型批注）：liveshow-proto/prototype/annotations/user.js；views/live-room/ticket-room-restricted.html
2. 页面：views/live-room/ticket-room-restricted.html
3. 规则：BR-4E0226EEDF05A2
4. 场景：SC-416F59F49D0D6A
5. 未动态验证</x:v>
      </x:c>
    </x:row>
    <x:row r="654" ht="54" customHeight="1">
      <x:c r="A654" s="4" t="n">
        <x:v>653</x:v>
      </x:c>
      <x:c r="B654" s="4" t="str">
        <x:v>ULIVE-0151</x:v>
      </x:c>
      <x:c r="C654" s="4" t="str">
        <x:v>直播模块</x:v>
      </x:c>
      <x:c r="D654" s="4" t="str">
        <x:v>密码房-访问受限（观众视角）</x:v>
      </x:c>
      <x:c r="E654" s="4" t="str">
        <x:v>逻辑校验</x:v>
      </x:c>
      <x:c r="F654" s="4" t="str">
        <x:v>P1</x:v>
      </x:c>
      <x:c r="G654" s="4" t="str">
        <x:v>验证房间密码输入12</x:v>
      </x:c>
      <x:c r="H654" s="4" t="str">
        <x:v>房间密码取值边界</x:v>
      </x:c>
      <x:c r="I654" s="4" t="str">
        <x:v>1. 观众账号已登录且具备当前页面权限</x:v>
      </x:c>
      <x:c r="J654" s="4" t="str">
        <x:v>1. 打开密码房-访问受限
2. 输入房间密码12</x:v>
      </x:c>
      <x:c r="K654" s="4" t="str">
        <x:v>房间密码接受数值12</x:v>
      </x:c>
      <x:c r="L654" s="4" t="str"/>
      <x:c r="M654" s="4" t="str">
        <x:v>未测</x:v>
      </x:c>
      <x:c r="N654" s="4" t="str"/>
      <x:c r="O654" s="4" t="str">
        <x:v>1. 来源（原型批注）：liveshow-proto/prototype/annotations/user.js；views/live-room/password-room-restricted.html
2. 页面：views/live-room/password-room-restricted.html
3. 规则：BR-8C9B74CDC041A1
4. 场景：SC-F4775755C3BACC
5. 未动态验证</x:v>
      </x:c>
    </x:row>
    <x:row r="655" ht="54" customHeight="1">
      <x:c r="A655" s="4" t="n">
        <x:v>654</x:v>
      </x:c>
      <x:c r="B655" s="4" t="str">
        <x:v>ULIVE-0152</x:v>
      </x:c>
      <x:c r="C655" s="4" t="str">
        <x:v>直播模块</x:v>
      </x:c>
      <x:c r="D655" s="4" t="str">
        <x:v>密码房-访问受限（观众视角）</x:v>
      </x:c>
      <x:c r="E655" s="4" t="str">
        <x:v>异常用例</x:v>
      </x:c>
      <x:c r="F655" s="4" t="str">
        <x:v>P1</x:v>
      </x:c>
      <x:c r="G655" s="4" t="str">
        <x:v>验证房间密码输入13</x:v>
      </x:c>
      <x:c r="H655" s="4" t="str">
        <x:v>房间密码取值边界</x:v>
      </x:c>
      <x:c r="I655" s="4" t="str">
        <x:v>1. 观众账号已登录且具备当前页面权限</x:v>
      </x:c>
      <x:c r="J655" s="4" t="str">
        <x:v>1. 打开密码房-访问受限
2. 输入房间密码13</x:v>
      </x:c>
      <x:c r="K655" s="4" t="str">
        <x:v>房间密码不接受数值13</x:v>
      </x:c>
      <x:c r="L655" s="4" t="str"/>
      <x:c r="M655" s="4" t="str">
        <x:v>未测</x:v>
      </x:c>
      <x:c r="N655" s="4" t="str"/>
      <x:c r="O655" s="4" t="str">
        <x:v>1. 来源（原型批注）：liveshow-proto/prototype/annotations/user.js；views/live-room/password-room-restricted.html
2. 页面：views/live-room/password-room-restricted.html
3. 规则：BR-8C9B74CDC041A1
4. 场景：SC-9E930ACB4947AA
5. 未动态验证</x:v>
      </x:c>
    </x:row>
    <x:row r="656" ht="54" customHeight="1">
      <x:c r="A656" s="4" t="n">
        <x:v>655</x:v>
      </x:c>
      <x:c r="B656" s="4" t="str">
        <x:v>ULIVE-0153</x:v>
      </x:c>
      <x:c r="C656" s="4" t="str">
        <x:v>直播模块</x:v>
      </x:c>
      <x:c r="D656" s="4" t="str">
        <x:v>密码房-访问受限（观众视角）</x:v>
      </x:c>
      <x:c r="E656" s="4" t="str">
        <x:v>异常用例</x:v>
      </x:c>
      <x:c r="F656" s="4" t="str">
        <x:v>P1</x:v>
      </x:c>
      <x:c r="G656" s="4" t="str">
        <x:v>验证房间密码输入3</x:v>
      </x:c>
      <x:c r="H656" s="4" t="str">
        <x:v>房间密码取值边界</x:v>
      </x:c>
      <x:c r="I656" s="4" t="str">
        <x:v>1. 观众账号已登录且具备当前页面权限</x:v>
      </x:c>
      <x:c r="J656" s="4" t="str">
        <x:v>1. 打开密码房-访问受限
2. 输入房间密码3</x:v>
      </x:c>
      <x:c r="K656" s="4" t="str">
        <x:v>房间密码不接受数值3</x:v>
      </x:c>
      <x:c r="L656" s="4" t="str"/>
      <x:c r="M656" s="4" t="str">
        <x:v>未测</x:v>
      </x:c>
      <x:c r="N656" s="4" t="str"/>
      <x:c r="O656" s="4" t="str">
        <x:v>1. 来源（原型批注）：liveshow-proto/prototype/annotations/user.js；views/live-room/password-room-restricted.html
2. 页面：views/live-room/password-room-restricted.html
3. 规则：BR-8C9B74CDC041A1
4. 场景：SC-B19E25348BDD95
5. 未动态验证</x:v>
      </x:c>
    </x:row>
    <x:row r="657" ht="54" customHeight="1">
      <x:c r="A657" s="4" t="n">
        <x:v>656</x:v>
      </x:c>
      <x:c r="B657" s="4" t="str">
        <x:v>ULIVE-0154</x:v>
      </x:c>
      <x:c r="C657" s="4" t="str">
        <x:v>直播模块</x:v>
      </x:c>
      <x:c r="D657" s="4" t="str">
        <x:v>密码房-访问受限（观众视角）</x:v>
      </x:c>
      <x:c r="E657" s="4" t="str">
        <x:v>逻辑校验</x:v>
      </x:c>
      <x:c r="F657" s="4" t="str">
        <x:v>P1</x:v>
      </x:c>
      <x:c r="G657" s="4" t="str">
        <x:v>验证房间密码输入4</x:v>
      </x:c>
      <x:c r="H657" s="4" t="str">
        <x:v>房间密码取值边界</x:v>
      </x:c>
      <x:c r="I657" s="4" t="str">
        <x:v>1. 观众账号已登录且具备当前页面权限</x:v>
      </x:c>
      <x:c r="J657" s="4" t="str">
        <x:v>1. 打开密码房-访问受限
2. 输入房间密码4</x:v>
      </x:c>
      <x:c r="K657" s="4" t="str">
        <x:v>房间密码接受数值4</x:v>
      </x:c>
      <x:c r="L657" s="4" t="str"/>
      <x:c r="M657" s="4" t="str">
        <x:v>未测</x:v>
      </x:c>
      <x:c r="N657" s="4" t="str"/>
      <x:c r="O657" s="4" t="str">
        <x:v>1. 来源（原型批注）：liveshow-proto/prototype/annotations/user.js；views/live-room/password-room-restricted.html
2. 页面：views/live-room/password-room-restricted.html
3. 规则：BR-8C9B74CDC041A1
4. 场景：SC-2A6A600C4E7E13
5. 未动态验证</x:v>
      </x:c>
    </x:row>
    <x:row r="658" ht="54" customHeight="1">
      <x:c r="A658" s="4" t="n">
        <x:v>657</x:v>
      </x:c>
      <x:c r="B658" s="4" t="str">
        <x:v>ULIVE-0155</x:v>
      </x:c>
      <x:c r="C658" s="4" t="str">
        <x:v>直播模块</x:v>
      </x:c>
      <x:c r="D658" s="4" t="str">
        <x:v>密码房-访问受限（观众视角）</x:v>
      </x:c>
      <x:c r="E658" s="4" t="str">
        <x:v>业务流程</x:v>
      </x:c>
      <x:c r="F658" s="4" t="str">
        <x:v>P1</x:v>
      </x:c>
      <x:c r="G658" s="4" t="str">
        <x:v>验证关闭后的密码房-访问受限状态</x:v>
      </x:c>
      <x:c r="H658" s="4" t="str">
        <x:v>密码房-访问受限状态</x:v>
      </x:c>
      <x:c r="I658" s="4" t="str">
        <x:v>1. 观众账号已登录且具备当前页面权限</x:v>
      </x:c>
      <x:c r="J658" s="4" t="str">
        <x:v>1. 打开密码房-访问受限
2. 关闭</x:v>
      </x:c>
      <x:c r="K658" s="4" t="str">
        <x:v>返回来源页</x:v>
      </x:c>
      <x:c r="L658" s="4" t="str"/>
      <x:c r="M658" s="4" t="str">
        <x:v>未测</x:v>
      </x:c>
      <x:c r="N658" s="4" t="str"/>
      <x:c r="O658" s="4" t="str">
        <x:v>1. 来源（原型批注）：liveshow-proto/prototype/annotations/user.js；views/live-room/password-room-restricted.html
2. 页面：views/live-room/password-room-restricted.html
3. 规则：BR-102790D210DFB9
4. 场景：SC-B0B9B4FF88BBB9
5. 未动态验证</x:v>
      </x:c>
    </x:row>
    <x:row r="659" ht="54" customHeight="1">
      <x:c r="A659" s="4" t="n">
        <x:v>658</x:v>
      </x:c>
      <x:c r="B659" s="4" t="str">
        <x:v>ULIVE-0156</x:v>
      </x:c>
      <x:c r="C659" s="4" t="str">
        <x:v>直播模块</x:v>
      </x:c>
      <x:c r="D659" s="4" t="str">
        <x:v>密码房-访问受限（观众视角）</x:v>
      </x:c>
      <x:c r="E659" s="4" t="str">
        <x:v>业务流程</x:v>
      </x:c>
      <x:c r="F659" s="4" t="str">
        <x:v>P1</x:v>
      </x:c>
      <x:c r="G659" s="4" t="str">
        <x:v>验证密码不是 4-12 个数字后的密码房-访问受限状态</x:v>
      </x:c>
      <x:c r="H659" s="4" t="str">
        <x:v>密码房-访问受限状态</x:v>
      </x:c>
      <x:c r="I659" s="4" t="str">
        <x:v>1. 观众账号已登录且具备当前页面权限
2. 密码不是 4-12 个数字</x:v>
      </x:c>
      <x:c r="J659" s="4" t="str">
        <x:v>1. 打开密码房-访问受限
2. 刷新密码房-访问受限</x:v>
      </x:c>
      <x:c r="K659" s="4" t="str">
        <x:v>保留输入</x:v>
      </x:c>
      <x:c r="L659" s="4" t="str"/>
      <x:c r="M659" s="4" t="str">
        <x:v>未测</x:v>
      </x:c>
      <x:c r="N659" s="4" t="str"/>
      <x:c r="O659" s="4" t="str">
        <x:v>1. 来源（原型批注）：liveshow-proto/prototype/annotations/user.js；views/live-room/password-room-restricted.html
2. 页面：views/live-room/password-room-restricted.html
3. 规则：BR-BF583A6CF1FF13
4. 场景：SC-F206FB7F460EEB
5. 未动态验证</x:v>
      </x:c>
    </x:row>
    <x:row r="660" ht="54" customHeight="1">
      <x:c r="A660" s="4" t="n">
        <x:v>659</x:v>
      </x:c>
      <x:c r="B660" s="4" t="str">
        <x:v>ULIVE-0157</x:v>
      </x:c>
      <x:c r="C660" s="4" t="str">
        <x:v>直播模块</x:v>
      </x:c>
      <x:c r="D660" s="4" t="str">
        <x:v>密码房-访问受限（观众视角）</x:v>
      </x:c>
      <x:c r="E660" s="4" t="str">
        <x:v>功能需求</x:v>
      </x:c>
      <x:c r="F660" s="4" t="str">
        <x:v>P1</x:v>
      </x:c>
      <x:c r="G660" s="4" t="str">
        <x:v>验证密码房-访问受限可查看房间密码</x:v>
      </x:c>
      <x:c r="H660" s="4" t="str">
        <x:v>房间密码展示</x:v>
      </x:c>
      <x:c r="I660" s="4" t="str">
        <x:v>1. 观众账号已登录且具备当前页面权限</x:v>
      </x:c>
      <x:c r="J660" s="4" t="str">
        <x:v>1. 打开密码房-访问受限
2. 查看房间密码</x:v>
      </x:c>
      <x:c r="K660" s="4" t="str">
        <x:v>密码房-访问受限显示“房间密码”</x:v>
      </x:c>
      <x:c r="L660" s="4" t="str"/>
      <x:c r="M660" s="4" t="str">
        <x:v>未测</x:v>
      </x:c>
      <x:c r="N660" s="4" t="str"/>
      <x:c r="O660" s="4" t="str">
        <x:v>1. 来源（原型批注）：liveshow-proto/prototype/annotations/user.js；views/live-room/password-room-restricted.html
2. 页面：views/live-room/password-room-restricted.html
3. 规则：BR-8C9B74CDC041A1、BR-E453D3DA7DF945
4. 场景：SC-558A294A43CC56
5. 未动态验证</x:v>
      </x:c>
    </x:row>
    <x:row r="661" ht="54" customHeight="1">
      <x:c r="A661" s="4" t="n">
        <x:v>660</x:v>
      </x:c>
      <x:c r="B661" s="4" t="str">
        <x:v>ULIVE-0158</x:v>
      </x:c>
      <x:c r="C661" s="4" t="str">
        <x:v>直播模块</x:v>
      </x:c>
      <x:c r="D661" s="4" t="str">
        <x:v>密码房-访问受限（观众视角）</x:v>
      </x:c>
      <x:c r="E661" s="4" t="str">
        <x:v>业务流程</x:v>
      </x:c>
      <x:c r="F661" s="4" t="str">
        <x:v>P1</x:v>
      </x:c>
      <x:c r="G661" s="4" t="str">
        <x:v>验证密码格式有效但不正确后的密码房-访问受限状态</x:v>
      </x:c>
      <x:c r="H661" s="4" t="str">
        <x:v>密码房-访问受限状态</x:v>
      </x:c>
      <x:c r="I661" s="4" t="str">
        <x:v>1. 观众账号已登录且具备当前页面权限
2. 密码格式有效但不正确</x:v>
      </x:c>
      <x:c r="J661" s="4" t="str">
        <x:v>1. 打开密码房-访问受限
2. 刷新密码房-访问受限</x:v>
      </x:c>
      <x:c r="K661" s="4" t="str">
        <x:v>保留输入</x:v>
      </x:c>
      <x:c r="L661" s="4" t="str"/>
      <x:c r="M661" s="4" t="str">
        <x:v>未测</x:v>
      </x:c>
      <x:c r="N661" s="4" t="str"/>
      <x:c r="O661" s="4" t="str">
        <x:v>1. 来源（原型批注）：liveshow-proto/prototype/annotations/user.js；views/live-room/password-room-restricted.html
2. 页面：views/live-room/password-room-restricted.html
3. 规则：BR-80862202D67B8D
4. 场景：SC-9FEE3C2079082C
5. 未动态验证</x:v>
      </x:c>
    </x:row>
    <x:row r="662" ht="54" customHeight="1">
      <x:c r="A662" s="4" t="n">
        <x:v>661</x:v>
      </x:c>
      <x:c r="B662" s="4" t="str">
        <x:v>ULIVE-0159</x:v>
      </x:c>
      <x:c r="C662" s="4" t="str">
        <x:v>直播模块</x:v>
      </x:c>
      <x:c r="D662" s="4" t="str">
        <x:v>密码房-访问受限（观众视角）</x:v>
      </x:c>
      <x:c r="E662" s="4" t="str">
        <x:v>业务流程</x:v>
      </x:c>
      <x:c r="F662" s="4" t="str">
        <x:v>P1</x:v>
      </x:c>
      <x:c r="G662" s="4" t="str">
        <x:v>验证密码正确后的密码房-访问受限状态</x:v>
      </x:c>
      <x:c r="H662" s="4" t="str">
        <x:v>密码房-访问受限状态</x:v>
      </x:c>
      <x:c r="I662" s="4" t="str">
        <x:v>1. 观众账号已登录且具备当前页面权限
2. 密码正确</x:v>
      </x:c>
      <x:c r="J662" s="4" t="str">
        <x:v>1. 打开密码房-访问受限
2. 刷新密码房-访问受限</x:v>
      </x:c>
      <x:c r="K662" s="4" t="str">
        <x:v>进入直播间</x:v>
      </x:c>
      <x:c r="L662" s="4" t="str"/>
      <x:c r="M662" s="4" t="str">
        <x:v>未测</x:v>
      </x:c>
      <x:c r="N662" s="4" t="str"/>
      <x:c r="O662" s="4" t="str">
        <x:v>1. 来源（原型批注）：liveshow-proto/prototype/annotations/user.js；views/live-room/password-room-restricted.html
2. 页面：views/live-room/password-room-restricted.html
3. 规则：BR-2E27DBD478B95F
4. 场景：SC-4E783297919235
5. 未动态验证</x:v>
      </x:c>
    </x:row>
    <x:row r="663" ht="54" customHeight="1">
      <x:c r="A663" s="4" t="n">
        <x:v>662</x:v>
      </x:c>
      <x:c r="B663" s="4" t="str">
        <x:v>ULIVE-0160</x:v>
      </x:c>
      <x:c r="C663" s="4" t="str">
        <x:v>直播模块</x:v>
      </x:c>
      <x:c r="D663" s="4" t="str">
        <x:v>密码房-访问受限（观众视角）</x:v>
      </x:c>
      <x:c r="E663" s="4" t="str">
        <x:v>功能需求</x:v>
      </x:c>
      <x:c r="F663" s="4" t="str">
        <x:v>P1</x:v>
      </x:c>
      <x:c r="G663" s="4" t="str">
        <x:v>验证巡房人员从有效巡房任务进入时的密码房-访问受限结果</x:v>
      </x:c>
      <x:c r="H663" s="4" t="str">
        <x:v>密码房-访问受限条件结果</x:v>
      </x:c>
      <x:c r="I663" s="4" t="str">
        <x:v>1. 观众账号已登录且具备当前页面权限
2. 巡房人员从有效巡房任务进入</x:v>
      </x:c>
      <x:c r="J663" s="4" t="str">
        <x:v>1. 打开密码房-访问受限
2. 查看密码房-访问受限</x:v>
      </x:c>
      <x:c r="K663" s="4" t="str">
        <x:v>无需密码，平台封禁仍优先拦截</x:v>
      </x:c>
      <x:c r="L663" s="4" t="str"/>
      <x:c r="M663" s="4" t="str">
        <x:v>未测</x:v>
      </x:c>
      <x:c r="N663" s="4" t="str"/>
      <x:c r="O663" s="4" t="str">
        <x:v>1. 来源（原型批注）：liveshow-proto/prototype/annotations/user.js；views/live-room/password-room-restricted.html
2. 页面：views/live-room/password-room-restricted.html
3. 规则：BR-2AAB96E07388DD
4. 场景：SC-BECFFAFBBDE3B4
5. 未动态验证</x:v>
      </x:c>
    </x:row>
    <x:row r="664" ht="54" customHeight="1">
      <x:c r="A664" s="4" t="n">
        <x:v>663</x:v>
      </x:c>
      <x:c r="B664" s="4" t="str">
        <x:v>ULIVE-0161</x:v>
      </x:c>
      <x:c r="C664" s="4" t="str">
        <x:v>直播模块</x:v>
      </x:c>
      <x:c r="D664" s="4" t="str">
        <x:v>收到连麦邀请（主播视角）</x:v>
      </x:c>
      <x:c r="E664" s="4" t="str">
        <x:v>业务流程</x:v>
      </x:c>
      <x:c r="F664" s="4" t="str">
        <x:v>P1</x:v>
      </x:c>
      <x:c r="G664" s="4" t="str">
        <x:v>验证处理后的收到连麦邀请状态</x:v>
      </x:c>
      <x:c r="H664" s="4" t="str">
        <x:v>收到连麦邀请状态</x:v>
      </x:c>
      <x:c r="I664" s="4" t="str">
        <x:v>1. 主播账号已登录且具备当前页面权限
2. 处理</x:v>
      </x:c>
      <x:c r="J664" s="4" t="str">
        <x:v>1. 打开收到连麦邀请
2. 刷新收到连麦邀请</x:v>
      </x:c>
      <x:c r="K664" s="4" t="str">
        <x:v>同步更新数量</x:v>
      </x:c>
      <x:c r="L664" s="4" t="str"/>
      <x:c r="M664" s="4" t="str">
        <x:v>未测</x:v>
      </x:c>
      <x:c r="N664" s="4" t="str"/>
      <x:c r="O664" s="4" t="str">
        <x:v>1. 来源（原型批注）：liveshow-proto/prototype/annotations/user.js；views/live-room-host/cohost-invite-notice.html
2. 页面：views/live-room-host/cohost-invite-notice.html
3. 规则：BR-BE57F8CB9D33CB
4. 场景：SC-F3B22CADCCD648
5. 未动态验证</x:v>
      </x:c>
    </x:row>
    <x:row r="665" ht="54" customHeight="1">
      <x:c r="A665" s="4" t="n">
        <x:v>664</x:v>
      </x:c>
      <x:c r="B665" s="4" t="str">
        <x:v>ULIVE-0162</x:v>
      </x:c>
      <x:c r="C665" s="4" t="str">
        <x:v>直播模块</x:v>
      </x:c>
      <x:c r="D665" s="4" t="str">
        <x:v>收到连麦邀请（主播视角）</x:v>
      </x:c>
      <x:c r="E665" s="4" t="str">
        <x:v>业务流程</x:v>
      </x:c>
      <x:c r="F665" s="4" t="str">
        <x:v>P1</x:v>
      </x:c>
      <x:c r="G665" s="4" t="str">
        <x:v>验证点击提示后的收到连麦邀请状态</x:v>
      </x:c>
      <x:c r="H665" s="4" t="str">
        <x:v>收到连麦邀请状态</x:v>
      </x:c>
      <x:c r="I665" s="4" t="str">
        <x:v>1. 主播账号已登录且具备当前页面权限</x:v>
      </x:c>
      <x:c r="J665" s="4" t="str">
        <x:v>1. 打开收到连麦邀请
2. 点击提示</x:v>
      </x:c>
      <x:c r="K665" s="4" t="str">
        <x:v>打开全部待处理邀请</x:v>
      </x:c>
      <x:c r="L665" s="4" t="str"/>
      <x:c r="M665" s="4" t="str">
        <x:v>未测</x:v>
      </x:c>
      <x:c r="N665" s="4" t="str"/>
      <x:c r="O665" s="4" t="str">
        <x:v>1. 来源（原型批注）：liveshow-proto/prototype/annotations/user.js；views/live-room-host/cohost-invite-notice.html
2. 页面：views/live-room-host/cohost-invite-notice.html
3. 规则：BR-1EBD4745C25A0E
4. 场景：SC-1E6D5E2BA16BDD
5. 未动态验证</x:v>
      </x:c>
    </x:row>
    <x:row r="666" ht="54" customHeight="1">
      <x:c r="A666" s="4" t="n">
        <x:v>665</x:v>
      </x:c>
      <x:c r="B666" s="4" t="str">
        <x:v>ULIVE-0163</x:v>
      </x:c>
      <x:c r="C666" s="4" t="str">
        <x:v>直播模块</x:v>
      </x:c>
      <x:c r="D666" s="4" t="str">
        <x:v>收到连麦邀请（主播视角）</x:v>
      </x:c>
      <x:c r="E666" s="4" t="str">
        <x:v>异常用例</x:v>
      </x:c>
      <x:c r="F666" s="4" t="str">
        <x:v>P1</x:v>
      </x:c>
      <x:c r="G666" s="4" t="str">
        <x:v>验证拒绝后的收到连麦邀请状态</x:v>
      </x:c>
      <x:c r="H666" s="4" t="str">
        <x:v>收到连麦邀请状态</x:v>
      </x:c>
      <x:c r="I666" s="4" t="str">
        <x:v>1. 主播账号已登录且具备当前页面权限</x:v>
      </x:c>
      <x:c r="J666" s="4" t="str">
        <x:v>1. 打开收到连麦邀请
2. 拒绝</x:v>
      </x:c>
      <x:c r="K666" s="4" t="str">
        <x:v>关闭该邀请</x:v>
      </x:c>
      <x:c r="L666" s="4" t="str"/>
      <x:c r="M666" s="4" t="str">
        <x:v>未测</x:v>
      </x:c>
      <x:c r="N666" s="4" t="str"/>
      <x:c r="O666" s="4" t="str">
        <x:v>1. 来源（原型批注）：liveshow-proto/prototype/annotations/user.js；views/live-room-host/cohost-invite-notice.html
2. 页面：views/live-room-host/cohost-invite-notice.html
3. 规则：BR-AF894A1C5CC099
4. 场景：SC-3CCE9E24A6DA5C
5. 未动态验证</x:v>
      </x:c>
    </x:row>
    <x:row r="667" ht="54" customHeight="1">
      <x:c r="A667" s="4" t="n">
        <x:v>666</x:v>
      </x:c>
      <x:c r="B667" s="4" t="str">
        <x:v>ULIVE-0164</x:v>
      </x:c>
      <x:c r="C667" s="4" t="str">
        <x:v>直播模块</x:v>
      </x:c>
      <x:c r="D667" s="4" t="str">
        <x:v>收到连麦邀请（主播视角）</x:v>
      </x:c>
      <x:c r="E667" s="4" t="str">
        <x:v>业务流程</x:v>
      </x:c>
      <x:c r="F667" s="4" t="str">
        <x:v>P1</x:v>
      </x:c>
      <x:c r="G667" s="4" t="str">
        <x:v>验证失效邀请立后的收到连麦邀请状态</x:v>
      </x:c>
      <x:c r="H667" s="4" t="str">
        <x:v>收到连麦邀请状态</x:v>
      </x:c>
      <x:c r="I667" s="4" t="str">
        <x:v>1. 主播账号已登录且具备当前页面权限
2. 失效邀请立</x:v>
      </x:c>
      <x:c r="J667" s="4" t="str">
        <x:v>1. 打开收到连麦邀请
2. 刷新收到连麦邀请</x:v>
      </x:c>
      <x:c r="K667" s="4" t="str">
        <x:v>关闭或从列表移除</x:v>
      </x:c>
      <x:c r="L667" s="4" t="str"/>
      <x:c r="M667" s="4" t="str">
        <x:v>未测</x:v>
      </x:c>
      <x:c r="N667" s="4" t="str"/>
      <x:c r="O667" s="4" t="str">
        <x:v>1. 来源（原型批注）：liveshow-proto/prototype/annotations/user.js；views/live-room-host/cohost-invite-notice.html
2. 页面：views/live-room-host/cohost-invite-notice.html
3. 规则：BR-1CD8C75DB561FF
4. 场景：SC-65FA9110A7E004
5. 未动态验证</x:v>
      </x:c>
    </x:row>
    <x:row r="668" ht="54" customHeight="1">
      <x:c r="A668" s="4" t="n">
        <x:v>667</x:v>
      </x:c>
      <x:c r="B668" s="4" t="str">
        <x:v>ULIVE-0165</x:v>
      </x:c>
      <x:c r="C668" s="4" t="str">
        <x:v>直播模块</x:v>
      </x:c>
      <x:c r="D668" s="4" t="str">
        <x:v>收到连麦邀请（主播视角）</x:v>
      </x:c>
      <x:c r="E668" s="4" t="str">
        <x:v>逻辑校验</x:v>
      </x:c>
      <x:c r="F668" s="4" t="str">
        <x:v>P1</x:v>
      </x:c>
      <x:c r="G668" s="4" t="str">
        <x:v>验证收到连麦邀请按指定范围筛选</x:v>
      </x:c>
      <x:c r="H668" s="4" t="str">
        <x:v>收到连麦邀请数据范围</x:v>
      </x:c>
      <x:c r="I668" s="4" t="str">
        <x:v>1. 主播账号已登录且具备当前页面权限
2. 存在符合和不符合“当前有效邀请”的记录</x:v>
      </x:c>
      <x:c r="J668" s="4" t="str">
        <x:v>1. 打开收到连麦邀请
2. 查看收到连麦邀请</x:v>
      </x:c>
      <x:c r="K668" s="4" t="str">
        <x:v>仅展示当前有效邀请</x:v>
      </x:c>
      <x:c r="L668" s="4" t="str"/>
      <x:c r="M668" s="4" t="str">
        <x:v>未测</x:v>
      </x:c>
      <x:c r="N668" s="4" t="str"/>
      <x:c r="O668" s="4" t="str">
        <x:v>1. 来源（原型批注）：liveshow-proto/prototype/annotations/user.js；views/live-room-host/cohost-invite-notice.html
2. 页面：views/live-room-host/cohost-invite-notice.html
3. 规则：BR-9B49CDBA38DCF0
4. 场景：SC-EBDCA8A9968AAC
5. 未动态验证</x:v>
      </x:c>
    </x:row>
    <x:row r="669" ht="54" customHeight="1">
      <x:c r="A669" s="4" t="n">
        <x:v>668</x:v>
      </x:c>
      <x:c r="B669" s="4" t="str">
        <x:v>ULIVE-0166</x:v>
      </x:c>
      <x:c r="C669" s="4" t="str">
        <x:v>直播模块</x:v>
      </x:c>
      <x:c r="D669" s="4" t="str">
        <x:v>收到连麦邀请（主播视角）</x:v>
      </x:c>
      <x:c r="E669" s="4" t="str">
        <x:v>功能需求</x:v>
      </x:c>
      <x:c r="F669" s="4" t="str">
        <x:v>P1</x:v>
      </x:c>
      <x:c r="G669" s="4" t="str">
        <x:v>验证收到连麦邀请可查看邀请主播</x:v>
      </x:c>
      <x:c r="H669" s="4" t="str">
        <x:v>邀请主播展示</x:v>
      </x:c>
      <x:c r="I669" s="4" t="str">
        <x:v>1. 主播账号已登录且具备当前页面权限</x:v>
      </x:c>
      <x:c r="J669" s="4" t="str">
        <x:v>1. 打开收到连麦邀请
2. 查看邀请主播</x:v>
      </x:c>
      <x:c r="K669" s="4" t="str">
        <x:v>收到连麦邀请显示“邀请主播”</x:v>
      </x:c>
      <x:c r="L669" s="4" t="str"/>
      <x:c r="M669" s="4" t="str">
        <x:v>未测</x:v>
      </x:c>
      <x:c r="N669" s="4" t="str"/>
      <x:c r="O669" s="4" t="str">
        <x:v>1. 来源（原型批注）：liveshow-proto/prototype/annotations/user.js；views/live-room-host/cohost-invite-notice.html
2. 页面：views/live-room-host/cohost-invite-notice.html
3. 规则：BR-611913B02741D2
4. 场景：SC-DD57BA127EB67B
5. 未动态验证</x:v>
      </x:c>
    </x:row>
    <x:row r="670" ht="54" customHeight="1">
      <x:c r="A670" s="4" t="n">
        <x:v>669</x:v>
      </x:c>
      <x:c r="B670" s="4" t="str">
        <x:v>ULIVE-0167</x:v>
      </x:c>
      <x:c r="C670" s="4" t="str">
        <x:v>直播模块</x:v>
      </x:c>
      <x:c r="D670" s="4" t="str">
        <x:v>收到连麦邀请（主播视角）</x:v>
      </x:c>
      <x:c r="E670" s="4" t="str">
        <x:v>功能需求</x:v>
      </x:c>
      <x:c r="F670" s="4" t="str">
        <x:v>P1</x:v>
      </x:c>
      <x:c r="G670" s="4" t="str">
        <x:v>验证收到连麦邀请可查看有效状态</x:v>
      </x:c>
      <x:c r="H670" s="4" t="str">
        <x:v>有效状态展示</x:v>
      </x:c>
      <x:c r="I670" s="4" t="str">
        <x:v>1. 主播账号已登录且具备当前页面权限</x:v>
      </x:c>
      <x:c r="J670" s="4" t="str">
        <x:v>1. 打开收到连麦邀请
2. 查看有效状态</x:v>
      </x:c>
      <x:c r="K670" s="4" t="str">
        <x:v>收到连麦邀请显示“有效状态”</x:v>
      </x:c>
      <x:c r="L670" s="4" t="str"/>
      <x:c r="M670" s="4" t="str">
        <x:v>未测</x:v>
      </x:c>
      <x:c r="N670" s="4" t="str"/>
      <x:c r="O670" s="4" t="str">
        <x:v>1. 来源（原型批注）：liveshow-proto/prototype/annotations/user.js；views/live-room-host/cohost-invite-notice.html
2. 页面：views/live-room-host/cohost-invite-notice.html
3. 规则：BR-443EFEFD048F92
4. 场景：SC-29B0FCA8325585
5. 未动态验证</x:v>
      </x:c>
    </x:row>
    <x:row r="671" ht="54" customHeight="1">
      <x:c r="A671" s="4" t="n">
        <x:v>670</x:v>
      </x:c>
      <x:c r="B671" s="4" t="str">
        <x:v>ULIVE-0168</x:v>
      </x:c>
      <x:c r="C671" s="4" t="str">
        <x:v>直播模块</x:v>
      </x:c>
      <x:c r="D671" s="4" t="str">
        <x:v>收到连麦邀请（主播视角）</x:v>
      </x:c>
      <x:c r="E671" s="4" t="str">
        <x:v>功能需求</x:v>
      </x:c>
      <x:c r="F671" s="4" t="str">
        <x:v>P1</x:v>
      </x:c>
      <x:c r="G671" s="4" t="str">
        <x:v>验证邀请双方仍在播、未连麦且房型为普通房时的收到连麦邀请结果</x:v>
      </x:c>
      <x:c r="H671" s="4" t="str">
        <x:v>收到连麦邀请条件结果</x:v>
      </x:c>
      <x:c r="I671" s="4" t="str">
        <x:v>1. 主播账号已登录且具备当前页面权限
2. 邀请双方仍在播、未连麦且房型为普通房</x:v>
      </x:c>
      <x:c r="J671" s="4" t="str">
        <x:v>1. 打开收到连麦邀请
2. 查看收到连麦邀请</x:v>
      </x:c>
      <x:c r="K671" s="4" t="str">
        <x:v>有效</x:v>
      </x:c>
      <x:c r="L671" s="4" t="str"/>
      <x:c r="M671" s="4" t="str">
        <x:v>未测</x:v>
      </x:c>
      <x:c r="N671" s="4" t="str"/>
      <x:c r="O671" s="4" t="str">
        <x:v>1. 来源（原型批注）：liveshow-proto/prototype/annotations/user.js；views/live-room-host/cohost-invite-notice.html
2. 页面：views/live-room-host/cohost-invite-notice.html
3. 规则：BR-443EFEFD048F92
4. 场景：SC-8106616AD1DEE9
5. 未动态验证</x:v>
      </x:c>
    </x:row>
    <x:row r="672" ht="54" customHeight="1">
      <x:c r="A672" s="4" t="n">
        <x:v>671</x:v>
      </x:c>
      <x:c r="B672" s="4" t="str">
        <x:v>ULIVE-0169</x:v>
      </x:c>
      <x:c r="C672" s="4" t="str">
        <x:v>直播模块</x:v>
      </x:c>
      <x:c r="D672" s="4" t="str">
        <x:v>踢出确认（房管视角）</x:v>
      </x:c>
      <x:c r="E672" s="4" t="str">
        <x:v>业务流程</x:v>
      </x:c>
      <x:c r="F672" s="4" t="str">
        <x:v>P1</x:v>
      </x:c>
      <x:c r="G672" s="4" t="str">
        <x:v>验证关闭后的踢出确认状态</x:v>
      </x:c>
      <x:c r="H672" s="4" t="str">
        <x:v>踢出确认状态</x:v>
      </x:c>
      <x:c r="I672" s="4" t="str">
        <x:v>1. 房管账号已登录且具备当前页面权限</x:v>
      </x:c>
      <x:c r="J672" s="4" t="str">
        <x:v>1. 打开踢出确认
2. 关闭</x:v>
      </x:c>
      <x:c r="K672" s="4" t="str">
        <x:v>不改变状态</x:v>
      </x:c>
      <x:c r="L672" s="4" t="str"/>
      <x:c r="M672" s="4" t="str">
        <x:v>未测</x:v>
      </x:c>
      <x:c r="N672" s="4" t="str"/>
      <x:c r="O672" s="4" t="str">
        <x:v>1. 来源（原型批注）：liveshow-proto/prototype/annotations/user.js；views/live-room/profile-moderator-remove.html
2. 页面：views/live-room/profile-moderator-remove.html
3. 规则：BR-96FBD6D36E600C
4. 场景：SC-3B4A7429B6F0E3
5. 未动态验证</x:v>
      </x:c>
    </x:row>
    <x:row r="673" ht="54" customHeight="1">
      <x:c r="A673" s="4" t="n">
        <x:v>672</x:v>
      </x:c>
      <x:c r="B673" s="4" t="str">
        <x:v>ULIVE-0170</x:v>
      </x:c>
      <x:c r="C673" s="4" t="str">
        <x:v>直播模块</x:v>
      </x:c>
      <x:c r="D673" s="4" t="str">
        <x:v>踢出确认（房管视角）</x:v>
      </x:c>
      <x:c r="E673" s="4" t="str">
        <x:v>业务流程</x:v>
      </x:c>
      <x:c r="F673" s="4" t="str">
        <x:v>P1</x:v>
      </x:c>
      <x:c r="G673" s="4" t="str">
        <x:v>验证取消后的踢出确认状态</x:v>
      </x:c>
      <x:c r="H673" s="4" t="str">
        <x:v>踢出确认状态</x:v>
      </x:c>
      <x:c r="I673" s="4" t="str">
        <x:v>1. 房管账号已登录且具备当前页面权限</x:v>
      </x:c>
      <x:c r="J673" s="4" t="str">
        <x:v>1. 打开踢出确认
2. 取消</x:v>
      </x:c>
      <x:c r="K673" s="4" t="str">
        <x:v>不改变状态</x:v>
      </x:c>
      <x:c r="L673" s="4" t="str"/>
      <x:c r="M673" s="4" t="str">
        <x:v>未测</x:v>
      </x:c>
      <x:c r="N673" s="4" t="str"/>
      <x:c r="O673" s="4" t="str">
        <x:v>1. 来源（原型批注）：liveshow-proto/prototype/annotations/user.js；views/live-room/profile-moderator-remove.html
2. 页面：views/live-room/profile-moderator-remove.html
3. 规则：BR-96FBD6D36E600C
4. 场景：SC-64A1EE437F357A
5. 未动态验证</x:v>
      </x:c>
    </x:row>
    <x:row r="674" ht="54" customHeight="1">
      <x:c r="A674" s="4" t="n">
        <x:v>673</x:v>
      </x:c>
      <x:c r="B674" s="4" t="str">
        <x:v>ULIVE-0171</x:v>
      </x:c>
      <x:c r="C674" s="4" t="str">
        <x:v>直播模块</x:v>
      </x:c>
      <x:c r="D674" s="4" t="str">
        <x:v>踢出确认（房管视角）</x:v>
      </x:c>
      <x:c r="E674" s="4" t="str">
        <x:v>业务流程</x:v>
      </x:c>
      <x:c r="F674" s="4" t="str">
        <x:v>P1</x:v>
      </x:c>
      <x:c r="G674" s="4" t="str">
        <x:v>验证确认后的踢出确认状态</x:v>
      </x:c>
      <x:c r="H674" s="4" t="str">
        <x:v>踢出确认状态</x:v>
      </x:c>
      <x:c r="I674" s="4" t="str">
        <x:v>1. 房管账号已登录且具备当前页面权限</x:v>
      </x:c>
      <x:c r="J674" s="4" t="str">
        <x:v>1. 打开踢出确认
2. 确认</x:v>
      </x:c>
      <x:c r="K674" s="4" t="str">
        <x:v>用户立即退出、写入本场踢出状态并从在线列表移除</x:v>
      </x:c>
      <x:c r="L674" s="4" t="str"/>
      <x:c r="M674" s="4" t="str">
        <x:v>未测</x:v>
      </x:c>
      <x:c r="N674" s="4" t="str"/>
      <x:c r="O674" s="4" t="str">
        <x:v>1. 来源（原型批注）：liveshow-proto/prototype/annotations/user.js；views/live-room/profile-moderator-remove.html
2. 页面：views/live-room/profile-moderator-remove.html
3. 规则：BR-7D3FDC596E3CC7
4. 场景：SC-74E5478D0ED206
5. 未动态验证</x:v>
      </x:c>
    </x:row>
    <x:row r="675" ht="54" customHeight="1">
      <x:c r="A675" s="4" t="n">
        <x:v>674</x:v>
      </x:c>
      <x:c r="B675" s="4" t="str">
        <x:v>ULIVE-0172</x:v>
      </x:c>
      <x:c r="C675" s="4" t="str">
        <x:v>直播模块</x:v>
      </x:c>
      <x:c r="D675" s="4" t="str">
        <x:v>退出连麦确认（观众视角）</x:v>
      </x:c>
      <x:c r="E675" s="4" t="str">
        <x:v>业务流程</x:v>
      </x:c>
      <x:c r="F675" s="4" t="str">
        <x:v>P1</x:v>
      </x:c>
      <x:c r="G675" s="4" t="str">
        <x:v>验证关闭后的退出连麦确认状态</x:v>
      </x:c>
      <x:c r="H675" s="4" t="str">
        <x:v>退出连麦确认状态</x:v>
      </x:c>
      <x:c r="I675" s="4" t="str">
        <x:v>1. 观众账号已登录且具备当前页面权限</x:v>
      </x:c>
      <x:c r="J675" s="4" t="str">
        <x:v>1. 打开退出连麦确认
2. 关闭</x:v>
      </x:c>
      <x:c r="K675" s="4" t="str">
        <x:v>保持连麦</x:v>
      </x:c>
      <x:c r="L675" s="4" t="str"/>
      <x:c r="M675" s="4" t="str">
        <x:v>未测</x:v>
      </x:c>
      <x:c r="N675" s="4" t="str"/>
      <x:c r="O675" s="4" t="str">
        <x:v>1. 来源（原型批注）：liveshow-proto/prototype/annotations/user.js；views/live-room-cohost-active/cohost-exit-confirm.html
2. 页面：views/live-room-cohost-active/cohost-exit-confirm.html
3. 规则：BR-50CDF26D62B061
4. 场景：SC-207705A84D55E9
5. 未动态验证</x:v>
      </x:c>
    </x:row>
    <x:row r="676" ht="54" customHeight="1">
      <x:c r="A676" s="4" t="n">
        <x:v>675</x:v>
      </x:c>
      <x:c r="B676" s="4" t="str">
        <x:v>ULIVE-0173</x:v>
      </x:c>
      <x:c r="C676" s="4" t="str">
        <x:v>直播模块</x:v>
      </x:c>
      <x:c r="D676" s="4" t="str">
        <x:v>退出连麦确认（观众视角）</x:v>
      </x:c>
      <x:c r="E676" s="4" t="str">
        <x:v>异常用例</x:v>
      </x:c>
      <x:c r="F676" s="4" t="str">
        <x:v>P1</x:v>
      </x:c>
      <x:c r="G676" s="4" t="str">
        <x:v>验证请求失败后的退出连麦确认状态</x:v>
      </x:c>
      <x:c r="H676" s="4" t="str">
        <x:v>退出连麦确认状态</x:v>
      </x:c>
      <x:c r="I676" s="4" t="str">
        <x:v>1. 观众账号已登录且具备当前页面权限
2. 请求失败</x:v>
      </x:c>
      <x:c r="J676" s="4" t="str">
        <x:v>1. 打开退出连麦确认
2. 刷新退出连麦确认</x:v>
      </x:c>
      <x:c r="K676" s="4" t="str">
        <x:v>保持当前画面</x:v>
      </x:c>
      <x:c r="L676" s="4" t="str"/>
      <x:c r="M676" s="4" t="str">
        <x:v>未测</x:v>
      </x:c>
      <x:c r="N676" s="4" t="str"/>
      <x:c r="O676" s="4" t="str">
        <x:v>1. 来源（原型批注）：liveshow-proto/prototype/annotations/user.js；views/live-room-cohost-active/cohost-exit-confirm.html
2. 页面：views/live-room-cohost-active/cohost-exit-confirm.html
3. 规则：BR-DC79D345DD0803
4. 场景：SC-ED695D151BD203
5. 未动态验证</x:v>
      </x:c>
    </x:row>
    <x:row r="677" ht="54" customHeight="1">
      <x:c r="A677" s="4" t="n">
        <x:v>676</x:v>
      </x:c>
      <x:c r="B677" s="4" t="str">
        <x:v>ULIVE-0174</x:v>
      </x:c>
      <x:c r="C677" s="4" t="str">
        <x:v>直播模块</x:v>
      </x:c>
      <x:c r="D677" s="4" t="str">
        <x:v>退出连麦确认（观众视角）</x:v>
      </x:c>
      <x:c r="E677" s="4" t="str">
        <x:v>业务流程</x:v>
      </x:c>
      <x:c r="F677" s="4" t="str">
        <x:v>P1</x:v>
      </x:c>
      <x:c r="G677" s="4" t="str">
        <x:v>验证取消后的退出连麦确认状态</x:v>
      </x:c>
      <x:c r="H677" s="4" t="str">
        <x:v>退出连麦确认状态</x:v>
      </x:c>
      <x:c r="I677" s="4" t="str">
        <x:v>1. 观众账号已登录且具备当前页面权限</x:v>
      </x:c>
      <x:c r="J677" s="4" t="str">
        <x:v>1. 打开退出连麦确认
2. 取消</x:v>
      </x:c>
      <x:c r="K677" s="4" t="str">
        <x:v>保持连麦</x:v>
      </x:c>
      <x:c r="L677" s="4" t="str"/>
      <x:c r="M677" s="4" t="str">
        <x:v>未测</x:v>
      </x:c>
      <x:c r="N677" s="4" t="str"/>
      <x:c r="O677" s="4" t="str">
        <x:v>1. 来源（原型批注）：liveshow-proto/prototype/annotations/user.js；views/live-room-cohost-active/cohost-exit-confirm.html
2. 页面：views/live-room-cohost-active/cohost-exit-confirm.html
3. 规则：BR-50CDF26D62B061
4. 场景：SC-888708AD260FDB
5. 未动态验证</x:v>
      </x:c>
    </x:row>
    <x:row r="678" ht="54" customHeight="1">
      <x:c r="A678" s="4" t="n">
        <x:v>677</x:v>
      </x:c>
      <x:c r="B678" s="4" t="str">
        <x:v>ULIVE-0175</x:v>
      </x:c>
      <x:c r="C678" s="4" t="str">
        <x:v>直播模块</x:v>
      </x:c>
      <x:c r="D678" s="4" t="str">
        <x:v>退出连麦确认（观众视角）</x:v>
      </x:c>
      <x:c r="E678" s="4" t="str">
        <x:v>业务流程</x:v>
      </x:c>
      <x:c r="F678" s="4" t="str">
        <x:v>P1</x:v>
      </x:c>
      <x:c r="G678" s="4" t="str">
        <x:v>验证确认后的退出连麦确认状态</x:v>
      </x:c>
      <x:c r="H678" s="4" t="str">
        <x:v>退出连麦确认状态</x:v>
      </x:c>
      <x:c r="I678" s="4" t="str">
        <x:v>1. 观众账号已登录且具备当前页面权限</x:v>
      </x:c>
      <x:c r="J678" s="4" t="str">
        <x:v>1. 打开退出连麦确认
2. 确认</x:v>
      </x:c>
      <x:c r="K678" s="4" t="str">
        <x:v>双方退出连麦画面</x:v>
      </x:c>
      <x:c r="L678" s="4" t="str"/>
      <x:c r="M678" s="4" t="str">
        <x:v>未测</x:v>
      </x:c>
      <x:c r="N678" s="4" t="str"/>
      <x:c r="O678" s="4" t="str">
        <x:v>1. 来源（原型批注）：liveshow-proto/prototype/annotations/user.js；views/live-room-cohost-active/cohost-exit-confirm.html
2. 页面：views/live-room-cohost-active/cohost-exit-confirm.html
3. 规则：BR-4752AD7B2E6EC7
4. 场景：SC-758AEBF3E51AF0
5. 未动态验证</x:v>
      </x:c>
    </x:row>
    <x:row r="679" ht="54" customHeight="1">
      <x:c r="A679" s="4" t="n">
        <x:v>678</x:v>
      </x:c>
      <x:c r="B679" s="4" t="str">
        <x:v>ULIVE-0176</x:v>
      </x:c>
      <x:c r="C679" s="4" t="str">
        <x:v>直播模块</x:v>
      </x:c>
      <x:c r="D679" s="4" t="str">
        <x:v>选择分享对象（主播视角）</x:v>
      </x:c>
      <x:c r="E679" s="4" t="str">
        <x:v>功能需求</x:v>
      </x:c>
      <x:c r="F679" s="4" t="str">
        <x:v>P1</x:v>
      </x:c>
      <x:c r="G679" s="4" t="str">
        <x:v>验证无权限对象时的选择分享对象结果</x:v>
      </x:c>
      <x:c r="H679" s="4" t="str">
        <x:v>选择分享对象条件结果</x:v>
      </x:c>
      <x:c r="I679" s="4" t="str">
        <x:v>1. 主播账号已登录且具备当前页面权限
2. 无权限对象</x:v>
      </x:c>
      <x:c r="J679" s="4" t="str">
        <x:v>1. 打开选择分享对象
2. 查看选择分享对象</x:v>
      </x:c>
      <x:c r="K679" s="4" t="str">
        <x:v>无权限对象不展示</x:v>
      </x:c>
      <x:c r="L679" s="4" t="str"/>
      <x:c r="M679" s="4" t="str">
        <x:v>未测</x:v>
      </x:c>
      <x:c r="N679" s="4" t="str"/>
      <x:c r="O679" s="4" t="str">
        <x:v>1. 来源（原型批注）：liveshow-proto/prototype/annotations/user.js；views/live-room-host/share-recipient.html
2. 页面：views/live-room-host/share-recipient.html
3. 规则：BR-C84AC563D01A4F
4. 场景：SC-BD2203C014D480
5. 未动态验证</x:v>
      </x:c>
    </x:row>
    <x:row r="680" ht="54" customHeight="1">
      <x:c r="A680" s="4" t="n">
        <x:v>679</x:v>
      </x:c>
      <x:c r="B680" s="4" t="str">
        <x:v>ULIVE-0177</x:v>
      </x:c>
      <x:c r="C680" s="4" t="str">
        <x:v>直播模块</x:v>
      </x:c>
      <x:c r="D680" s="4" t="str">
        <x:v>选择分享对象（主播视角）</x:v>
      </x:c>
      <x:c r="E680" s="4" t="str">
        <x:v>业务流程</x:v>
      </x:c>
      <x:c r="F680" s="4" t="str">
        <x:v>P1</x:v>
      </x:c>
      <x:c r="G680" s="4" t="str">
        <x:v>验证选择对象并确认后的选择分享对象状态</x:v>
      </x:c>
      <x:c r="H680" s="4" t="str">
        <x:v>选择分享对象状态</x:v>
      </x:c>
      <x:c r="I680" s="4" t="str">
        <x:v>1. 主播账号已登录且具备当前页面权限</x:v>
      </x:c>
      <x:c r="J680" s="4" t="str">
        <x:v>1. 打开选择分享对象
2. 选择对象并确认</x:v>
      </x:c>
      <x:c r="K680" s="4" t="str">
        <x:v>提示成功</x:v>
      </x:c>
      <x:c r="L680" s="4" t="str"/>
      <x:c r="M680" s="4" t="str">
        <x:v>未测</x:v>
      </x:c>
      <x:c r="N680" s="4" t="str"/>
      <x:c r="O680" s="4" t="str">
        <x:v>1. 来源（原型批注）：liveshow-proto/prototype/annotations/user.js；views/live-room-host/share-recipient.html
2. 页面：views/live-room-host/share-recipient.html
3. 规则：BR-B950D47CD3FCED
4. 场景：SC-14ED81500EB212
5. 未动态验证</x:v>
      </x:c>
    </x:row>
    <x:row r="681" ht="54" customHeight="1">
      <x:c r="A681" s="4" t="n">
        <x:v>680</x:v>
      </x:c>
      <x:c r="B681" s="4" t="str">
        <x:v>ULIVE-0178</x:v>
      </x:c>
      <x:c r="C681" s="4" t="str">
        <x:v>直播模块</x:v>
      </x:c>
      <x:c r="D681" s="4" t="str">
        <x:v>选择分享对象（主播视角）</x:v>
      </x:c>
      <x:c r="E681" s="4" t="str">
        <x:v>功能需求</x:v>
      </x:c>
      <x:c r="F681" s="4" t="str">
        <x:v>P1</x:v>
      </x:c>
      <x:c r="G681" s="4" t="str">
        <x:v>验证选择分享对象可查看分享内容</x:v>
      </x:c>
      <x:c r="H681" s="4" t="str">
        <x:v>分享内容展示</x:v>
      </x:c>
      <x:c r="I681" s="4" t="str">
        <x:v>1. 主播账号已登录且具备当前页面权限</x:v>
      </x:c>
      <x:c r="J681" s="4" t="str">
        <x:v>1. 打开选择分享对象
2. 查看分享内容</x:v>
      </x:c>
      <x:c r="K681" s="4" t="str">
        <x:v>选择分享对象显示“分享内容”</x:v>
      </x:c>
      <x:c r="L681" s="4" t="str"/>
      <x:c r="M681" s="4" t="str">
        <x:v>未测</x:v>
      </x:c>
      <x:c r="N681" s="4" t="str"/>
      <x:c r="O681" s="4" t="str">
        <x:v>1. 来源（原型批注）：liveshow-proto/prototype/annotations/user.js；views/live-room-host/share-recipient.html
2. 页面：views/live-room-host/share-recipient.html
3. 规则：BR-3DD226F12D7426
4. 场景：SC-51C701F008961D
5. 未动态验证</x:v>
      </x:c>
    </x:row>
    <x:row r="682" ht="54" customHeight="1">
      <x:c r="A682" s="4" t="n">
        <x:v>681</x:v>
      </x:c>
      <x:c r="B682" s="4" t="str">
        <x:v>ULIVE-0179</x:v>
      </x:c>
      <x:c r="C682" s="4" t="str">
        <x:v>直播模块</x:v>
      </x:c>
      <x:c r="D682" s="4" t="str">
        <x:v>选择分享对象（主播视角）</x:v>
      </x:c>
      <x:c r="E682" s="4" t="str">
        <x:v>功能需求</x:v>
      </x:c>
      <x:c r="F682" s="4" t="str">
        <x:v>P1</x:v>
      </x:c>
      <x:c r="G682" s="4" t="str">
        <x:v>验证选择分享对象可查看接收对象</x:v>
      </x:c>
      <x:c r="H682" s="4" t="str">
        <x:v>接收对象展示</x:v>
      </x:c>
      <x:c r="I682" s="4" t="str">
        <x:v>1. 主播账号已登录且具备当前页面权限</x:v>
      </x:c>
      <x:c r="J682" s="4" t="str">
        <x:v>1. 打开选择分享对象
2. 查看接收对象</x:v>
      </x:c>
      <x:c r="K682" s="4" t="str">
        <x:v>选择分享对象显示“接收对象”</x:v>
      </x:c>
      <x:c r="L682" s="4" t="str"/>
      <x:c r="M682" s="4" t="str">
        <x:v>未测</x:v>
      </x:c>
      <x:c r="N682" s="4" t="str"/>
      <x:c r="O682" s="4" t="str">
        <x:v>1. 来源（原型批注）：liveshow-proto/prototype/annotations/user.js；views/live-room-host/share-recipient.html
2. 页面：views/live-room-host/share-recipient.html
3. 规则：BR-80622B25B11559、BR-C84AC563D01A4F
4. 场景：SC-FB5D79F7913C19
5. 未动态验证</x:v>
      </x:c>
    </x:row>
    <x:row r="683" ht="54" customHeight="1">
      <x:c r="A683" s="4" t="n">
        <x:v>682</x:v>
      </x:c>
      <x:c r="B683" s="4" t="str">
        <x:v>ULIVE-0180</x:v>
      </x:c>
      <x:c r="C683" s="4" t="str">
        <x:v>直播模块</x:v>
      </x:c>
      <x:c r="D683" s="4" t="str">
        <x:v>巡房身份-正常进入（观众视角）</x:v>
      </x:c>
      <x:c r="E683" s="4" t="str">
        <x:v>功能需求</x:v>
      </x:c>
      <x:c r="F683" s="4" t="str">
        <x:v>P1</x:v>
      </x:c>
      <x:c r="G683" s="4" t="str">
        <x:v>验证房管查看该用户时的巡房身份-正常进入结果</x:v>
      </x:c>
      <x:c r="H683" s="4" t="str">
        <x:v>巡房身份-正常进入条件结果</x:v>
      </x:c>
      <x:c r="I683" s="4" t="str">
        <x:v>1. 观众账号已登录且具备当前页面权限
2. 房管查看该用户</x:v>
      </x:c>
      <x:c r="J683" s="4" t="str">
        <x:v>1. 打开巡房身份-正常进入
2. 查看巡房身份-正常进入</x:v>
      </x:c>
      <x:c r="K683" s="4" t="str">
        <x:v>隐藏拉黑、踢出操作</x:v>
      </x:c>
      <x:c r="L683" s="4" t="str"/>
      <x:c r="M683" s="4" t="str">
        <x:v>未测</x:v>
      </x:c>
      <x:c r="N683" s="4" t="str"/>
      <x:c r="O683" s="4" t="str">
        <x:v>1. 来源（原型批注）：liveshow-proto/prototype/annotations/user.js；views/live-room/patrol-room-allowed.html
2. 页面：views/live-room/patrol-room-allowed.html
3. 规则：BR-85F8B8754D2352
4. 场景：SC-9E2171AAC2262D
5. 未动态验证</x:v>
      </x:c>
    </x:row>
    <x:row r="684" ht="54" customHeight="1">
      <x:c r="A684" s="4" t="n">
        <x:v>683</x:v>
      </x:c>
      <x:c r="B684" s="4" t="str">
        <x:v>ULIVE-0181</x:v>
      </x:c>
      <x:c r="C684" s="4" t="str">
        <x:v>直播模块</x:v>
      </x:c>
      <x:c r="D684" s="4" t="str">
        <x:v>巡房身份-正常进入（观众视角）</x:v>
      </x:c>
      <x:c r="E684" s="4" t="str">
        <x:v>业务流程</x:v>
      </x:c>
      <x:c r="F684" s="4" t="str">
        <x:v>P1</x:v>
      </x:c>
      <x:c r="G684" s="4" t="str">
        <x:v>验证进入后的巡房身份-正常进入状态</x:v>
      </x:c>
      <x:c r="H684" s="4" t="str">
        <x:v>巡房身份-正常进入状态</x:v>
      </x:c>
      <x:c r="I684" s="4" t="str">
        <x:v>1. 观众账号已登录且具备当前页面权限</x:v>
      </x:c>
      <x:c r="J684" s="4" t="str">
        <x:v>1. 打开巡房身份-正常进入
2. 进入</x:v>
      </x:c>
      <x:c r="K684" s="4" t="str">
        <x:v>直接展示直播内容</x:v>
      </x:c>
      <x:c r="L684" s="4" t="str"/>
      <x:c r="M684" s="4" t="str">
        <x:v>未测</x:v>
      </x:c>
      <x:c r="N684" s="4" t="str"/>
      <x:c r="O684" s="4" t="str">
        <x:v>1. 来源（原型批注）：liveshow-proto/prototype/annotations/user.js；views/live-room/patrol-room-allowed.html
2. 页面：views/live-room/patrol-room-allowed.html
3. 规则：BR-9465013A51FEE7
4. 场景：SC-08F30E6A4D6B22
5. 未动态验证</x:v>
      </x:c>
    </x:row>
    <x:row r="685" ht="54" customHeight="1">
      <x:c r="A685" s="4" t="n">
        <x:v>684</x:v>
      </x:c>
      <x:c r="B685" s="4" t="str">
        <x:v>ULIVE-0182</x:v>
      </x:c>
      <x:c r="C685" s="4" t="str">
        <x:v>直播模块</x:v>
      </x:c>
      <x:c r="D685" s="4" t="str">
        <x:v>巡房身份-正常进入（观众视角）</x:v>
      </x:c>
      <x:c r="E685" s="4" t="str">
        <x:v>业务流程</x:v>
      </x:c>
      <x:c r="F685" s="4" t="str">
        <x:v>P1</x:v>
      </x:c>
      <x:c r="G685" s="4" t="str">
        <x:v>验证巡房结束后的巡房身份-正常进入状态</x:v>
      </x:c>
      <x:c r="H685" s="4" t="str">
        <x:v>巡房身份-正常进入状态</x:v>
      </x:c>
      <x:c r="I685" s="4" t="str">
        <x:v>1. 观众账号已登录且具备当前页面权限
2. 巡房结束</x:v>
      </x:c>
      <x:c r="J685" s="4" t="str">
        <x:v>1. 打开巡房身份-正常进入
2. 刷新巡房身份-正常进入</x:v>
      </x:c>
      <x:c r="K685" s="4" t="str">
        <x:v>恢复普通用户规则</x:v>
      </x:c>
      <x:c r="L685" s="4" t="str"/>
      <x:c r="M685" s="4" t="str">
        <x:v>未测</x:v>
      </x:c>
      <x:c r="N685" s="4" t="str"/>
      <x:c r="O685" s="4" t="str">
        <x:v>1. 来源（原型批注）：liveshow-proto/prototype/annotations/user.js；views/live-room/patrol-room-allowed.html
2. 页面：views/live-room/patrol-room-allowed.html
3. 规则：BR-E1FFE883D922B9
4. 场景：SC-FD0A5FBFDF4A0E
5. 未动态验证</x:v>
      </x:c>
    </x:row>
    <x:row r="686" ht="54" customHeight="1">
      <x:c r="A686" s="4" t="n">
        <x:v>685</x:v>
      </x:c>
      <x:c r="B686" s="4" t="str">
        <x:v>ULIVE-0183</x:v>
      </x:c>
      <x:c r="C686" s="4" t="str">
        <x:v>直播模块</x:v>
      </x:c>
      <x:c r="D686" s="4" t="str">
        <x:v>巡房身份-正常进入（观众视角）</x:v>
      </x:c>
      <x:c r="E686" s="4" t="str">
        <x:v>功能需求</x:v>
      </x:c>
      <x:c r="F686" s="4" t="str">
        <x:v>P1</x:v>
      </x:c>
      <x:c r="G686" s="4" t="str">
        <x:v>验证主播查看该用户时的巡房身份-正常进入结果</x:v>
      </x:c>
      <x:c r="H686" s="4" t="str">
        <x:v>巡房身份-正常进入条件结果</x:v>
      </x:c>
      <x:c r="I686" s="4" t="str">
        <x:v>1. 观众账号已登录且具备当前页面权限
2. 主播查看该用户</x:v>
      </x:c>
      <x:c r="J686" s="4" t="str">
        <x:v>1. 打开巡房身份-正常进入
2. 查看巡房身份-正常进入</x:v>
      </x:c>
      <x:c r="K686" s="4" t="str">
        <x:v>隐藏拉黑、踢出操作</x:v>
      </x:c>
      <x:c r="L686" s="4" t="str"/>
      <x:c r="M686" s="4" t="str">
        <x:v>未测</x:v>
      </x:c>
      <x:c r="N686" s="4" t="str"/>
      <x:c r="O686" s="4" t="str">
        <x:v>1. 来源（原型批注）：liveshow-proto/prototype/annotations/user.js；views/live-room/patrol-room-allowed.html
2. 页面：views/live-room/patrol-room-allowed.html
3. 规则：BR-85F8B8754D2352
4. 场景：SC-B194E8EBC20996
5. 未动态验证</x:v>
      </x:c>
    </x:row>
    <x:row r="687" ht="54" customHeight="1">
      <x:c r="A687" s="4" t="n">
        <x:v>686</x:v>
      </x:c>
      <x:c r="B687" s="4" t="str">
        <x:v>ULIVE-0184</x:v>
      </x:c>
      <x:c r="C687" s="4" t="str">
        <x:v>直播模块</x:v>
      </x:c>
      <x:c r="D687" s="4" t="str">
        <x:v>用户资料卡-房管（房管视角）</x:v>
      </x:c>
      <x:c r="E687" s="4" t="str">
        <x:v>业务流程</x:v>
      </x:c>
      <x:c r="F687" s="4" t="str">
        <x:v>P1</x:v>
      </x:c>
      <x:c r="G687" s="4" t="str">
        <x:v>验证禁言后的用户资料卡-房管状态</x:v>
      </x:c>
      <x:c r="H687" s="4" t="str">
        <x:v>用户资料卡-房管状态</x:v>
      </x:c>
      <x:c r="I687" s="4" t="str">
        <x:v>1. 房管账号已登录且具备当前页面权限
2. 禁言</x:v>
      </x:c>
      <x:c r="J687" s="4" t="str">
        <x:v>1. 打开用户资料卡-房管
2. 刷新用户资料卡-房管</x:v>
      </x:c>
      <x:c r="K687" s="4" t="str">
        <x:v>打开对应确认视图</x:v>
      </x:c>
      <x:c r="L687" s="4" t="str"/>
      <x:c r="M687" s="4" t="str">
        <x:v>未测</x:v>
      </x:c>
      <x:c r="N687" s="4" t="str"/>
      <x:c r="O687" s="4" t="str">
        <x:v>1. 来源（原型批注）：liveshow-proto/prototype/annotations/user.js；views/live-room/profile-moderator.html
2. 页面：views/live-room/profile-moderator.html
3. 规则：BR-58DD7A68698C2D
4. 场景：SC-E518ECCE610C00
5. 未动态验证</x:v>
      </x:c>
    </x:row>
    <x:row r="688" ht="54" customHeight="1">
      <x:c r="A688" s="4" t="n">
        <x:v>687</x:v>
      </x:c>
      <x:c r="B688" s="4" t="str">
        <x:v>ULIVE-0185</x:v>
      </x:c>
      <x:c r="C688" s="4" t="str">
        <x:v>直播模块</x:v>
      </x:c>
      <x:c r="D688" s="4" t="str">
        <x:v>用户资料卡-房管（房管视角）</x:v>
      </x:c>
      <x:c r="E688" s="4" t="str">
        <x:v>业务流程</x:v>
      </x:c>
      <x:c r="F688" s="4" t="str">
        <x:v>P1</x:v>
      </x:c>
      <x:c r="G688" s="4" t="str">
        <x:v>验证取消后的用户资料卡-房管状态</x:v>
      </x:c>
      <x:c r="H688" s="4" t="str">
        <x:v>用户资料卡-房管状态</x:v>
      </x:c>
      <x:c r="I688" s="4" t="str">
        <x:v>1. 房管账号已登录且具备当前页面权限</x:v>
      </x:c>
      <x:c r="J688" s="4" t="str">
        <x:v>1. 打开用户资料卡-房管
2. 取消</x:v>
      </x:c>
      <x:c r="K688" s="4" t="str">
        <x:v>保持用户当前状态</x:v>
      </x:c>
      <x:c r="L688" s="4" t="str"/>
      <x:c r="M688" s="4" t="str">
        <x:v>未测</x:v>
      </x:c>
      <x:c r="N688" s="4" t="str"/>
      <x:c r="O688" s="4" t="str">
        <x:v>1. 来源（原型批注）：liveshow-proto/prototype/annotations/user.js；views/live-room/profile-moderator.html
2. 页面：views/live-room/profile-moderator.html
3. 规则：BR-3AFB7F286DE701
4. 场景：SC-0D071116DFEE4A
5. 未动态验证</x:v>
      </x:c>
    </x:row>
    <x:row r="689" ht="54" customHeight="1">
      <x:c r="A689" s="4" t="n">
        <x:v>688</x:v>
      </x:c>
      <x:c r="B689" s="4" t="str">
        <x:v>ULIVE-0186</x:v>
      </x:c>
      <x:c r="C689" s="4" t="str">
        <x:v>直播模块</x:v>
      </x:c>
      <x:c r="D689" s="4" t="str">
        <x:v>用户资料卡-房管（房管视角）</x:v>
      </x:c>
      <x:c r="E689" s="4" t="str">
        <x:v>业务流程</x:v>
      </x:c>
      <x:c r="F689" s="4" t="str">
        <x:v>P1</x:v>
      </x:c>
      <x:c r="G689" s="4" t="str">
        <x:v>验证踢出后的用户资料卡-房管状态</x:v>
      </x:c>
      <x:c r="H689" s="4" t="str">
        <x:v>用户资料卡-房管状态</x:v>
      </x:c>
      <x:c r="I689" s="4" t="str">
        <x:v>1. 房管账号已登录且具备当前页面权限
2. 踢出</x:v>
      </x:c>
      <x:c r="J689" s="4" t="str">
        <x:v>1. 打开用户资料卡-房管
2. 刷新用户资料卡-房管</x:v>
      </x:c>
      <x:c r="K689" s="4" t="str">
        <x:v>打开对应确认视图</x:v>
      </x:c>
      <x:c r="L689" s="4" t="str"/>
      <x:c r="M689" s="4" t="str">
        <x:v>未测</x:v>
      </x:c>
      <x:c r="N689" s="4" t="str"/>
      <x:c r="O689" s="4" t="str">
        <x:v>1. 来源（原型批注）：liveshow-proto/prototype/annotations/user.js；views/live-room/profile-moderator.html
2. 页面：views/live-room/profile-moderator.html
3. 规则：BR-58DD7A68698C2D
4. 场景：SC-E07012EE4330A9
5. 未动态验证</x:v>
      </x:c>
    </x:row>
    <x:row r="690" ht="54" customHeight="1">
      <x:c r="A690" s="4" t="n">
        <x:v>689</x:v>
      </x:c>
      <x:c r="B690" s="4" t="str">
        <x:v>ULIVE-0187</x:v>
      </x:c>
      <x:c r="C690" s="4" t="str">
        <x:v>直播模块</x:v>
      </x:c>
      <x:c r="D690" s="4" t="str">
        <x:v>用户资料卡-普通观众（观众视角）</x:v>
      </x:c>
      <x:c r="E690" s="4" t="str">
        <x:v>业务流程</x:v>
      </x:c>
      <x:c r="F690" s="4" t="str">
        <x:v>P1</x:v>
      </x:c>
      <x:c r="G690" s="4" t="str">
        <x:v>验证点击主页后的用户资料卡-普通观众状态</x:v>
      </x:c>
      <x:c r="H690" s="4" t="str">
        <x:v>用户资料卡-普通观众状态</x:v>
      </x:c>
      <x:c r="I690" s="4" t="str">
        <x:v>1. 观众账号已登录且具备当前页面权限</x:v>
      </x:c>
      <x:c r="J690" s="4" t="str">
        <x:v>1. 打开用户资料卡-普通观众
2. 点击主页</x:v>
      </x:c>
      <x:c r="K690" s="4" t="str">
        <x:v>进入该用户主页</x:v>
      </x:c>
      <x:c r="L690" s="4" t="str"/>
      <x:c r="M690" s="4" t="str">
        <x:v>未测</x:v>
      </x:c>
      <x:c r="N690" s="4" t="str"/>
      <x:c r="O690" s="4" t="str">
        <x:v>1. 来源（原型批注）：liveshow-proto/prototype/annotations/user.js；views/live-room/profile-viewer.html
2. 页面：views/live-room/profile-viewer.html
3. 规则：BR-17A526B53E6CC4
4. 场景：SC-D86E83F6F6B83A
5. 未动态验证</x:v>
      </x:c>
    </x:row>
    <x:row r="691" ht="54" customHeight="1">
      <x:c r="A691" s="4" t="n">
        <x:v>690</x:v>
      </x:c>
      <x:c r="B691" s="4" t="str">
        <x:v>ULIVE-0188</x:v>
      </x:c>
      <x:c r="C691" s="4" t="str">
        <x:v>直播模块</x:v>
      </x:c>
      <x:c r="D691" s="4" t="str">
        <x:v>用户资料卡-普通观众（观众视角）</x:v>
      </x:c>
      <x:c r="E691" s="4" t="str">
        <x:v>业务流程</x:v>
      </x:c>
      <x:c r="F691" s="4" t="str">
        <x:v>P1</x:v>
      </x:c>
      <x:c r="G691" s="4" t="str">
        <x:v>验证关注后的用户资料卡-普通观众状态</x:v>
      </x:c>
      <x:c r="H691" s="4" t="str">
        <x:v>用户资料卡-普通观众状态</x:v>
      </x:c>
      <x:c r="I691" s="4" t="str">
        <x:v>1. 观众账号已登录且具备当前页面权限
2. 关注</x:v>
      </x:c>
      <x:c r="J691" s="4" t="str">
        <x:v>1. 打开用户资料卡-普通观众
2. 刷新用户资料卡-普通观众</x:v>
      </x:c>
      <x:c r="K691" s="4" t="str">
        <x:v>更新关系状态</x:v>
      </x:c>
      <x:c r="L691" s="4" t="str"/>
      <x:c r="M691" s="4" t="str">
        <x:v>未测</x:v>
      </x:c>
      <x:c r="N691" s="4" t="str"/>
      <x:c r="O691" s="4" t="str">
        <x:v>1. 来源（原型批注）：liveshow-proto/prototype/annotations/user.js；views/live-room/profile-viewer.html
2. 页面：views/live-room/profile-viewer.html
3. 规则：BR-1365900F02E432
4. 场景：SC-2A5BBD4C49E64B
5. 未动态验证</x:v>
      </x:c>
    </x:row>
    <x:row r="692" ht="54" customHeight="1">
      <x:c r="A692" s="4" t="n">
        <x:v>691</x:v>
      </x:c>
      <x:c r="B692" s="4" t="str">
        <x:v>ULIVE-0189</x:v>
      </x:c>
      <x:c r="C692" s="4" t="str">
        <x:v>直播模块</x:v>
      </x:c>
      <x:c r="D692" s="4" t="str">
        <x:v>用户资料卡-普通观众（观众视角）</x:v>
      </x:c>
      <x:c r="E692" s="4" t="str">
        <x:v>业务流程</x:v>
      </x:c>
      <x:c r="F692" s="4" t="str">
        <x:v>P1</x:v>
      </x:c>
      <x:c r="G692" s="4" t="str">
        <x:v>验证举报后的用户资料卡-普通观众状态</x:v>
      </x:c>
      <x:c r="H692" s="4" t="str">
        <x:v>用户资料卡-普通观众状态</x:v>
      </x:c>
      <x:c r="I692" s="4" t="str">
        <x:v>1. 观众账号已登录且具备当前页面权限
2. 举报</x:v>
      </x:c>
      <x:c r="J692" s="4" t="str">
        <x:v>1. 打开用户资料卡-普通观众
2. 刷新用户资料卡-普通观众</x:v>
      </x:c>
      <x:c r="K692" s="4" t="str">
        <x:v>进入账号举报流程</x:v>
      </x:c>
      <x:c r="L692" s="4" t="str"/>
      <x:c r="M692" s="4" t="str">
        <x:v>未测</x:v>
      </x:c>
      <x:c r="N692" s="4" t="str"/>
      <x:c r="O692" s="4" t="str">
        <x:v>1. 来源（原型批注）：liveshow-proto/prototype/annotations/user.js；views/live-room/profile-viewer.html
2. 页面：views/live-room/profile-viewer.html
3. 规则：BR-5B3B4AC55407AA
4. 场景：SC-509D5C002F354E
5. 未动态验证</x:v>
      </x:c>
    </x:row>
    <x:row r="693" ht="54" customHeight="1">
      <x:c r="A693" s="4" t="n">
        <x:v>692</x:v>
      </x:c>
      <x:c r="B693" s="4" t="str">
        <x:v>ULIVE-0190</x:v>
      </x:c>
      <x:c r="C693" s="4" t="str">
        <x:v>直播模块</x:v>
      </x:c>
      <x:c r="D693" s="4" t="str">
        <x:v>用户资料卡-普通观众（观众视角）</x:v>
      </x:c>
      <x:c r="E693" s="4" t="str">
        <x:v>业务流程</x:v>
      </x:c>
      <x:c r="F693" s="4" t="str">
        <x:v>P1</x:v>
      </x:c>
      <x:c r="G693" s="4" t="str">
        <x:v>验证申请好友成功后的用户资料卡-普通观众状态</x:v>
      </x:c>
      <x:c r="H693" s="4" t="str">
        <x:v>用户资料卡-普通观众状态</x:v>
      </x:c>
      <x:c r="I693" s="4" t="str">
        <x:v>1. 观众账号已登录且具备当前页面权限
2. 申请好友成功</x:v>
      </x:c>
      <x:c r="J693" s="4" t="str">
        <x:v>1. 打开用户资料卡-普通观众
2. 刷新用户资料卡-普通观众</x:v>
      </x:c>
      <x:c r="K693" s="4" t="str">
        <x:v>更新关系状态</x:v>
      </x:c>
      <x:c r="L693" s="4" t="str"/>
      <x:c r="M693" s="4" t="str">
        <x:v>未测</x:v>
      </x:c>
      <x:c r="N693" s="4" t="str"/>
      <x:c r="O693" s="4" t="str">
        <x:v>1. 来源（原型批注）：liveshow-proto/prototype/annotations/user.js；views/live-room/profile-viewer.html
2. 页面：views/live-room/profile-viewer.html
3. 规则：BR-1365900F02E432
4. 场景：SC-B64F0C7E52C30E
5. 未动态验证</x:v>
      </x:c>
    </x:row>
    <x:row r="694" ht="54" customHeight="1">
      <x:c r="A694" s="4" t="n">
        <x:v>693</x:v>
      </x:c>
      <x:c r="B694" s="4" t="str">
        <x:v>ULIVE-0191</x:v>
      </x:c>
      <x:c r="C694" s="4" t="str">
        <x:v>直播模块</x:v>
      </x:c>
      <x:c r="D694" s="4" t="str">
        <x:v>用户资料卡-普通观众（观众视角）</x:v>
      </x:c>
      <x:c r="E694" s="4" t="str">
        <x:v>功能需求</x:v>
      </x:c>
      <x:c r="F694" s="4" t="str">
        <x:v>P1</x:v>
      </x:c>
      <x:c r="G694" s="4" t="str">
        <x:v>验证用户资料卡-普通观众可查看关系状态</x:v>
      </x:c>
      <x:c r="H694" s="4" t="str">
        <x:v>关系状态展示</x:v>
      </x:c>
      <x:c r="I694" s="4" t="str">
        <x:v>1. 观众账号已登录且具备当前页面权限</x:v>
      </x:c>
      <x:c r="J694" s="4" t="str">
        <x:v>1. 打开用户资料卡-普通观众
2. 查看关系状态</x:v>
      </x:c>
      <x:c r="K694" s="4" t="str">
        <x:v>用户资料卡-普通观众显示“关系状态”</x:v>
      </x:c>
      <x:c r="L694" s="4" t="str"/>
      <x:c r="M694" s="4" t="str">
        <x:v>未测</x:v>
      </x:c>
      <x:c r="N694" s="4" t="str"/>
      <x:c r="O694" s="4" t="str">
        <x:v>1. 来源（原型批注）：liveshow-proto/prototype/annotations/user.js；views/live-room/profile-viewer.html
2. 页面：views/live-room/profile-viewer.html
3. 规则：BR-C5DFA0B85935AD
4. 场景：SC-3838C2159F6C04
5. 未动态验证</x:v>
      </x:c>
    </x:row>
    <x:row r="695" ht="54" customHeight="1">
      <x:c r="A695" s="4" t="n">
        <x:v>694</x:v>
      </x:c>
      <x:c r="B695" s="4" t="str">
        <x:v>ULIVE-0192</x:v>
      </x:c>
      <x:c r="C695" s="4" t="str">
        <x:v>直播模块</x:v>
      </x:c>
      <x:c r="D695" s="4" t="str">
        <x:v>用户资料卡-普通观众（观众视角）</x:v>
      </x:c>
      <x:c r="E695" s="4" t="str">
        <x:v>功能需求</x:v>
      </x:c>
      <x:c r="F695" s="4" t="str">
        <x:v>P1</x:v>
      </x:c>
      <x:c r="G695" s="4" t="str">
        <x:v>验证用户资料卡-普通观众可查看用户资料</x:v>
      </x:c>
      <x:c r="H695" s="4" t="str">
        <x:v>用户资料展示</x:v>
      </x:c>
      <x:c r="I695" s="4" t="str">
        <x:v>1. 观众账号已登录且具备当前页面权限</x:v>
      </x:c>
      <x:c r="J695" s="4" t="str">
        <x:v>1. 打开用户资料卡-普通观众
2. 查看用户资料</x:v>
      </x:c>
      <x:c r="K695" s="4" t="str">
        <x:v>用户资料卡-普通观众显示“用户资料”</x:v>
      </x:c>
      <x:c r="L695" s="4" t="str"/>
      <x:c r="M695" s="4" t="str">
        <x:v>未测</x:v>
      </x:c>
      <x:c r="N695" s="4" t="str"/>
      <x:c r="O695" s="4" t="str">
        <x:v>1. 来源（原型批注）：liveshow-proto/prototype/annotations/user.js；views/live-room/profile-viewer.html
2. 页面：views/live-room/profile-viewer.html
3. 规则：BR-3EC2EBB8A8C33A
4. 场景：SC-D04E4EB94666AC
5. 未动态验证</x:v>
      </x:c>
    </x:row>
    <x:row r="696" ht="54" customHeight="1">
      <x:c r="A696" s="4" t="n">
        <x:v>695</x:v>
      </x:c>
      <x:c r="B696" s="4" t="str">
        <x:v>ULIVE-0193</x:v>
      </x:c>
      <x:c r="C696" s="4" t="str">
        <x:v>直播模块</x:v>
      </x:c>
      <x:c r="D696" s="4" t="str">
        <x:v>在线观众-房管列表（观众视角）</x:v>
      </x:c>
      <x:c r="E696" s="4" t="str">
        <x:v>功能需求</x:v>
      </x:c>
      <x:c r="F696" s="4" t="str">
        <x:v>P1</x:v>
      </x:c>
      <x:c r="G696" s="4" t="str">
        <x:v>验证普通观众只读查看，时的在线观众-房管列表结果</x:v>
      </x:c>
      <x:c r="H696" s="4" t="str">
        <x:v>在线观众-房管列表条件结果</x:v>
      </x:c>
      <x:c r="I696" s="4" t="str">
        <x:v>1. 观众账号已登录且具备当前页面权限
2. 普通观众只读查看，</x:v>
      </x:c>
      <x:c r="J696" s="4" t="str">
        <x:v>1. 打开在线观众-房管列表
2. 查看在线观众-房管列表</x:v>
      </x:c>
      <x:c r="K696" s="4" t="str">
        <x:v>普通观众只读查看，不显示授权操作</x:v>
      </x:c>
      <x:c r="L696" s="4" t="str"/>
      <x:c r="M696" s="4" t="str">
        <x:v>未测</x:v>
      </x:c>
      <x:c r="N696" s="4" t="str"/>
      <x:c r="O696" s="4" t="str">
        <x:v>1. 来源（原型批注）：liveshow-proto/prototype/annotations/user.js；views/live-room/audience-managers.html
2. 页面：views/live-room/audience-managers.html
3. 规则：BR-C50BE1F466BF4B
4. 场景：SC-A179A9C3A64FAB
5. 未动态验证</x:v>
      </x:c>
    </x:row>
    <x:row r="697" ht="54" customHeight="1">
      <x:c r="A697" s="4" t="n">
        <x:v>696</x:v>
      </x:c>
      <x:c r="B697" s="4" t="str">
        <x:v>ULIVE-0194</x:v>
      </x:c>
      <x:c r="C697" s="4" t="str">
        <x:v>直播模块</x:v>
      </x:c>
      <x:c r="D697" s="4" t="str">
        <x:v>在线观众-房管列表（观众视角）</x:v>
      </x:c>
      <x:c r="E697" s="4" t="str">
        <x:v>业务流程</x:v>
      </x:c>
      <x:c r="F697" s="4" t="str">
        <x:v>P1</x:v>
      </x:c>
      <x:c r="G697" s="4" t="str">
        <x:v>验证取消拉黑后的在线观众-房管列表状态</x:v>
      </x:c>
      <x:c r="H697" s="4" t="str">
        <x:v>在线观众-房管列表状态</x:v>
      </x:c>
      <x:c r="I697" s="4" t="str">
        <x:v>1. 观众账号已登录且具备当前页面权限</x:v>
      </x:c>
      <x:c r="J697" s="4" t="str">
        <x:v>1. 打开在线观众-房管列表
2. 取消拉黑</x:v>
      </x:c>
      <x:c r="K697" s="4" t="str">
        <x:v>不自动恢复</x:v>
      </x:c>
      <x:c r="L697" s="4" t="str"/>
      <x:c r="M697" s="4" t="str">
        <x:v>未测</x:v>
      </x:c>
      <x:c r="N697" s="4" t="str"/>
      <x:c r="O697" s="4" t="str">
        <x:v>1. 来源（原型批注）：liveshow-proto/prototype/annotations/user.js；views/live-room/audience-managers.html
2. 页面：views/live-room/audience-managers.html
3. 规则：BR-B039210FB025F7
4. 场景：SC-BA884D85898DFD
5. 未动态验证</x:v>
      </x:c>
    </x:row>
    <x:row r="698" ht="54" customHeight="1">
      <x:c r="A698" s="4" t="n">
        <x:v>697</x:v>
      </x:c>
      <x:c r="B698" s="4" t="str">
        <x:v>ULIVE-0195</x:v>
      </x:c>
      <x:c r="C698" s="4" t="str">
        <x:v>直播模块</x:v>
      </x:c>
      <x:c r="D698" s="4" t="str">
        <x:v>在线观众-房管列表（观众视角）</x:v>
      </x:c>
      <x:c r="E698" s="4" t="str">
        <x:v>业务流程</x:v>
      </x:c>
      <x:c r="F698" s="4" t="str">
        <x:v>P1</x:v>
      </x:c>
      <x:c r="G698" s="4" t="str">
        <x:v>验证已授权后的在线观众-房管列表状态</x:v>
      </x:c>
      <x:c r="H698" s="4" t="str">
        <x:v>在线观众-房管列表状态</x:v>
      </x:c>
      <x:c r="I698" s="4" t="str">
        <x:v>1. 观众账号已登录且具备当前页面权限
2. 已授权</x:v>
      </x:c>
      <x:c r="J698" s="4" t="str">
        <x:v>1. 打开在线观众-房管列表
2. 刷新在线观众-房管列表</x:v>
      </x:c>
      <x:c r="K698" s="4" t="str">
        <x:v>房管身份自动解除</x:v>
      </x:c>
      <x:c r="L698" s="4" t="str"/>
      <x:c r="M698" s="4" t="str">
        <x:v>未测</x:v>
      </x:c>
      <x:c r="N698" s="4" t="str"/>
      <x:c r="O698" s="4" t="str">
        <x:v>1. 来源（原型批注）：liveshow-proto/prototype/annotations/user.js；views/live-room/audience-managers.html
2. 页面：views/live-room/audience-managers.html
3. 规则：BR-849EAC5F484F0E
4. 场景：SC-830B90D8CF2FE3
5. 未动态验证</x:v>
      </x:c>
    </x:row>
    <x:row r="699" ht="54" customHeight="1">
      <x:c r="A699" s="4" t="n">
        <x:v>698</x:v>
      </x:c>
      <x:c r="B699" s="4" t="str">
        <x:v>ULIVE-0196</x:v>
      </x:c>
      <x:c r="C699" s="4" t="str">
        <x:v>直播模块</x:v>
      </x:c>
      <x:c r="D699" s="4" t="str">
        <x:v>在线观众-房管列表（观众视角）</x:v>
      </x:c>
      <x:c r="E699" s="4" t="str">
        <x:v>功能需求</x:v>
      </x:c>
      <x:c r="F699" s="4" t="str">
        <x:v>P1</x:v>
      </x:c>
      <x:c r="G699" s="4" t="str">
        <x:v>验证在线观众-房管列表可查看房管</x:v>
      </x:c>
      <x:c r="H699" s="4" t="str">
        <x:v>房管展示</x:v>
      </x:c>
      <x:c r="I699" s="4" t="str">
        <x:v>1. 观众账号已登录且具备当前页面权限</x:v>
      </x:c>
      <x:c r="J699" s="4" t="str">
        <x:v>1. 打开在线观众-房管列表
2. 查看房管</x:v>
      </x:c>
      <x:c r="K699" s="4" t="str">
        <x:v>在线观众-房管列表显示“房管”</x:v>
      </x:c>
      <x:c r="L699" s="4" t="str"/>
      <x:c r="M699" s="4" t="str">
        <x:v>未测</x:v>
      </x:c>
      <x:c r="N699" s="4" t="str"/>
      <x:c r="O699" s="4" t="str">
        <x:v>1. 来源（原型批注）：liveshow-proto/prototype/annotations/user.js；views/live-room/audience-managers.html
2. 页面：views/live-room/audience-managers.html
3. 规则：BR-8DC71FD5BD95D7
4. 场景：SC-B1C23DA041AE6A
5. 未动态验证</x:v>
      </x:c>
    </x:row>
    <x:row r="700" ht="54" customHeight="1">
      <x:c r="A700" s="4" t="n">
        <x:v>699</x:v>
      </x:c>
      <x:c r="B700" s="4" t="str">
        <x:v>ULIVE-0197</x:v>
      </x:c>
      <x:c r="C700" s="4" t="str">
        <x:v>直播模块</x:v>
      </x:c>
      <x:c r="D700" s="4" t="str">
        <x:v>在线观众-房管列表（观众视角）</x:v>
      </x:c>
      <x:c r="E700" s="4" t="str">
        <x:v>功能需求</x:v>
      </x:c>
      <x:c r="F700" s="4" t="str">
        <x:v>P1</x:v>
      </x:c>
      <x:c r="G700" s="4" t="str">
        <x:v>验证在线观众-房管列表可查看授权状态</x:v>
      </x:c>
      <x:c r="H700" s="4" t="str">
        <x:v>授权状态展示</x:v>
      </x:c>
      <x:c r="I700" s="4" t="str">
        <x:v>1. 观众账号已登录且具备当前页面权限</x:v>
      </x:c>
      <x:c r="J700" s="4" t="str">
        <x:v>1. 打开在线观众-房管列表
2. 查看授权状态</x:v>
      </x:c>
      <x:c r="K700" s="4" t="str">
        <x:v>在线观众-房管列表显示“授权状态”</x:v>
      </x:c>
      <x:c r="L700" s="4" t="str"/>
      <x:c r="M700" s="4" t="str">
        <x:v>未测</x:v>
      </x:c>
      <x:c r="N700" s="4" t="str"/>
      <x:c r="O700" s="4" t="str">
        <x:v>1. 来源（原型批注）：liveshow-proto/prototype/annotations/user.js；views/live-room/audience-managers.html
2. 页面：views/live-room/audience-managers.html
3. 规则：BR-17BA65E4672913
4. 场景：SC-6BA619762A0D18
5. 未动态验证</x:v>
      </x:c>
    </x:row>
    <x:row r="701" ht="54" customHeight="1">
      <x:c r="A701" s="4" t="n">
        <x:v>700</x:v>
      </x:c>
      <x:c r="B701" s="4" t="str">
        <x:v>ULIVE-0198</x:v>
      </x:c>
      <x:c r="C701" s="4" t="str">
        <x:v>直播模块</x:v>
      </x:c>
      <x:c r="D701" s="4" t="str">
        <x:v>在线观众-房管列表（观众视角）</x:v>
      </x:c>
      <x:c r="E701" s="4" t="str">
        <x:v>业务流程</x:v>
      </x:c>
      <x:c r="F701" s="4" t="str">
        <x:v>P1</x:v>
      </x:c>
      <x:c r="G701" s="4" t="str">
        <x:v>验证主播取消房管后的在线观众-房管列表状态</x:v>
      </x:c>
      <x:c r="H701" s="4" t="str">
        <x:v>在线观众-房管列表状态</x:v>
      </x:c>
      <x:c r="I701" s="4" t="str">
        <x:v>1. 观众账号已登录且具备当前页面权限
2. 主播取消房管</x:v>
      </x:c>
      <x:c r="J701" s="4" t="str">
        <x:v>1. 打开在线观众-房管列表
2. 刷新在线观众-房管列表</x:v>
      </x:c>
      <x:c r="K701" s="4" t="str">
        <x:v>二次确认后更新列表</x:v>
      </x:c>
      <x:c r="L701" s="4" t="str"/>
      <x:c r="M701" s="4" t="str">
        <x:v>未测</x:v>
      </x:c>
      <x:c r="N701" s="4" t="str"/>
      <x:c r="O701" s="4" t="str">
        <x:v>1. 来源（原型批注）：liveshow-proto/prototype/annotations/user.js；views/live-room/audience-managers.html
2. 页面：views/live-room/audience-managers.html
3. 规则：BR-4316B0C33F8FA7
4. 场景：SC-96DAB105C9D84E
5. 未动态验证</x:v>
      </x:c>
    </x:row>
    <x:row r="702" ht="54" customHeight="1">
      <x:c r="A702" s="4" t="n">
        <x:v>701</x:v>
      </x:c>
      <x:c r="B702" s="4" t="str">
        <x:v>ULIVE-0199</x:v>
      </x:c>
      <x:c r="C702" s="4" t="str">
        <x:v>直播模块</x:v>
      </x:c>
      <x:c r="D702" s="4" t="str">
        <x:v>在线观众-房管列表（观众视角）</x:v>
      </x:c>
      <x:c r="E702" s="4" t="str">
        <x:v>业务流程</x:v>
      </x:c>
      <x:c r="F702" s="4" t="str">
        <x:v>P1</x:v>
      </x:c>
      <x:c r="G702" s="4" t="str">
        <x:v>验证主播取消授权后的在线观众-房管列表状态</x:v>
      </x:c>
      <x:c r="H702" s="4" t="str">
        <x:v>在线观众-房管列表状态</x:v>
      </x:c>
      <x:c r="I702" s="4" t="str">
        <x:v>1. 观众账号已登录且具备当前页面权限
2. 主播取消授权</x:v>
      </x:c>
      <x:c r="J702" s="4" t="str">
        <x:v>1. 打开在线观众-房管列表
2. 刷新在线观众-房管列表</x:v>
      </x:c>
      <x:c r="K702" s="4" t="str">
        <x:v>立即失去管理权限</x:v>
      </x:c>
      <x:c r="L702" s="4" t="str"/>
      <x:c r="M702" s="4" t="str">
        <x:v>未测</x:v>
      </x:c>
      <x:c r="N702" s="4" t="str"/>
      <x:c r="O702" s="4" t="str">
        <x:v>1. 来源（原型批注）：liveshow-proto/prototype/annotations/user.js；views/live-room/audience-managers.html
2. 页面：views/live-room/audience-managers.html
3. 规则：BR-F5DDC8D31E5978
4. 场景：SC-ACD5E46E727CEA
5. 未动态验证</x:v>
      </x:c>
    </x:row>
    <x:row r="703" ht="54" customHeight="1">
      <x:c r="A703" s="4" t="n">
        <x:v>702</x:v>
      </x:c>
      <x:c r="B703" s="4" t="str">
        <x:v>ULIVE-0200</x:v>
      </x:c>
      <x:c r="C703" s="4" t="str">
        <x:v>直播模块</x:v>
      </x:c>
      <x:c r="D703" s="4" t="str">
        <x:v>在线观众-观众列表（观众视角）</x:v>
      </x:c>
      <x:c r="E703" s="4" t="str">
        <x:v>业务流程</x:v>
      </x:c>
      <x:c r="F703" s="4" t="str">
        <x:v>P1</x:v>
      </x:c>
      <x:c r="G703" s="4" t="str">
        <x:v>验证被踢出用户立后的在线观众-观众列表状态</x:v>
      </x:c>
      <x:c r="H703" s="4" t="str">
        <x:v>在线观众-观众列表状态</x:v>
      </x:c>
      <x:c r="I703" s="4" t="str">
        <x:v>1. 观众账号已登录且具备当前页面权限
2. 被踢出用户立</x:v>
      </x:c>
      <x:c r="J703" s="4" t="str">
        <x:v>1. 打开在线观众-观众列表
2. 刷新在线观众-观众列表</x:v>
      </x:c>
      <x:c r="K703" s="4" t="str">
        <x:v>移出列表</x:v>
      </x:c>
      <x:c r="L703" s="4" t="str"/>
      <x:c r="M703" s="4" t="str">
        <x:v>未测</x:v>
      </x:c>
      <x:c r="N703" s="4" t="str"/>
      <x:c r="O703" s="4" t="str">
        <x:v>1. 来源（原型批注）：liveshow-proto/prototype/annotations/user.js；views/live-room/audience-online.html
2. 页面：views/live-room/audience-online.html
3. 规则：BR-C36C21877896B7
4. 场景：SC-7A4994100180C5
5. 未动态验证</x:v>
      </x:c>
    </x:row>
    <x:row r="704" ht="54" customHeight="1">
      <x:c r="A704" s="4" t="n">
        <x:v>703</x:v>
      </x:c>
      <x:c r="B704" s="4" t="str">
        <x:v>ULIVE-0201</x:v>
      </x:c>
      <x:c r="C704" s="4" t="str">
        <x:v>直播模块</x:v>
      </x:c>
      <x:c r="D704" s="4" t="str">
        <x:v>在线观众-观众列表（观众视角）</x:v>
      </x:c>
      <x:c r="E704" s="4" t="str">
        <x:v>业务流程</x:v>
      </x:c>
      <x:c r="F704" s="4" t="str">
        <x:v>P1</x:v>
      </x:c>
      <x:c r="G704" s="4" t="str">
        <x:v>验证点击用户后的在线观众-观众列表状态</x:v>
      </x:c>
      <x:c r="H704" s="4" t="str">
        <x:v>在线观众-观众列表状态</x:v>
      </x:c>
      <x:c r="I704" s="4" t="str">
        <x:v>1. 观众账号已登录且具备当前页面权限</x:v>
      </x:c>
      <x:c r="J704" s="4" t="str">
        <x:v>1. 打开在线观众-观众列表
2. 点击用户</x:v>
      </x:c>
      <x:c r="K704" s="4" t="str">
        <x:v>打开对应资料卡</x:v>
      </x:c>
      <x:c r="L704" s="4" t="str"/>
      <x:c r="M704" s="4" t="str">
        <x:v>未测</x:v>
      </x:c>
      <x:c r="N704" s="4" t="str"/>
      <x:c r="O704" s="4" t="str">
        <x:v>1. 来源（原型批注）：liveshow-proto/prototype/annotations/user.js；views/live-room/audience-online.html
2. 页面：views/live-room/audience-online.html
3. 规则：BR-FD868CE4A94A39
4. 场景：SC-9822CC04D6BD38
5. 未动态验证</x:v>
      </x:c>
    </x:row>
    <x:row r="705" ht="54" customHeight="1">
      <x:c r="A705" s="4" t="n">
        <x:v>704</x:v>
      </x:c>
      <x:c r="B705" s="4" t="str">
        <x:v>ULIVE-0202</x:v>
      </x:c>
      <x:c r="C705" s="4" t="str">
        <x:v>直播模块</x:v>
      </x:c>
      <x:c r="D705" s="4" t="str">
        <x:v>在线观众-观众列表（观众视角）</x:v>
      </x:c>
      <x:c r="E705" s="4" t="str">
        <x:v>业务流程</x:v>
      </x:c>
      <x:c r="F705" s="4" t="str">
        <x:v>P1</x:v>
      </x:c>
      <x:c r="G705" s="4" t="str">
        <x:v>验证切换至房管后的在线观众-观众列表状态</x:v>
      </x:c>
      <x:c r="H705" s="4" t="str">
        <x:v>在线观众-观众列表状态</x:v>
      </x:c>
      <x:c r="I705" s="4" t="str">
        <x:v>1. 观众账号已登录且具备当前页面权限</x:v>
      </x:c>
      <x:c r="J705" s="4" t="str">
        <x:v>1. 打开在线观众-观众列表
2. 切换至房管</x:v>
      </x:c>
      <x:c r="K705" s="4" t="str">
        <x:v>展示当前主播已授权房管</x:v>
      </x:c>
      <x:c r="L705" s="4" t="str"/>
      <x:c r="M705" s="4" t="str">
        <x:v>未测</x:v>
      </x:c>
      <x:c r="N705" s="4" t="str"/>
      <x:c r="O705" s="4" t="str">
        <x:v>1. 来源（原型批注）：liveshow-proto/prototype/annotations/user.js；views/live-room/audience-online.html
2. 页面：views/live-room/audience-online.html
3. 规则：BR-E16A341693309D
4. 场景：SC-BDF9A5A45D662F
5. 未动态验证</x:v>
      </x:c>
    </x:row>
    <x:row r="706" ht="54" customHeight="1">
      <x:c r="A706" s="4" t="n">
        <x:v>705</x:v>
      </x:c>
      <x:c r="B706" s="4" t="str">
        <x:v>ULIVE-0203</x:v>
      </x:c>
      <x:c r="C706" s="4" t="str">
        <x:v>直播模块</x:v>
      </x:c>
      <x:c r="D706" s="4" t="str">
        <x:v>在线观众-观众列表（观众视角）</x:v>
      </x:c>
      <x:c r="E706" s="4" t="str">
        <x:v>功能需求</x:v>
      </x:c>
      <x:c r="F706" s="4" t="str">
        <x:v>P1</x:v>
      </x:c>
      <x:c r="G706" s="4" t="str">
        <x:v>验证已授权房管时的在线观众-观众列表结果</x:v>
      </x:c>
      <x:c r="H706" s="4" t="str">
        <x:v>在线观众-观众列表条件结果</x:v>
      </x:c>
      <x:c r="I706" s="4" t="str">
        <x:v>1. 观众账号已登录且具备当前页面权限
2. 已授权房管</x:v>
      </x:c>
      <x:c r="J706" s="4" t="str">
        <x:v>1. 打开在线观众-观众列表
2. 查看在线观众-观众列表</x:v>
      </x:c>
      <x:c r="K706" s="4" t="str">
        <x:v>已授权房管展示房管标识</x:v>
      </x:c>
      <x:c r="L706" s="4" t="str"/>
      <x:c r="M706" s="4" t="str">
        <x:v>未测</x:v>
      </x:c>
      <x:c r="N706" s="4" t="str"/>
      <x:c r="O706" s="4" t="str">
        <x:v>1. 来源（原型批注）：liveshow-proto/prototype/annotations/user.js；views/live-room/audience-online.html
2. 页面：views/live-room/audience-online.html
3. 规则：BR-F20D2722852B32
4. 场景：SC-63AA32FBA465E4
5. 未动态验证</x:v>
      </x:c>
    </x:row>
    <x:row r="707" ht="54" customHeight="1">
      <x:c r="A707" s="4" t="n">
        <x:v>706</x:v>
      </x:c>
      <x:c r="B707" s="4" t="str">
        <x:v>ULIVE-0204</x:v>
      </x:c>
      <x:c r="C707" s="4" t="str">
        <x:v>直播模块</x:v>
      </x:c>
      <x:c r="D707" s="4" t="str">
        <x:v>在线观众-观众列表（观众视角）</x:v>
      </x:c>
      <x:c r="E707" s="4" t="str">
        <x:v>功能需求</x:v>
      </x:c>
      <x:c r="F707" s="4" t="str">
        <x:v>P1</x:v>
      </x:c>
      <x:c r="G707" s="4" t="str">
        <x:v>验证在线观众-观众列表可查看财富等级</x:v>
      </x:c>
      <x:c r="H707" s="4" t="str">
        <x:v>财富等级展示</x:v>
      </x:c>
      <x:c r="I707" s="4" t="str">
        <x:v>1. 观众账号已登录且具备当前页面权限</x:v>
      </x:c>
      <x:c r="J707" s="4" t="str">
        <x:v>1. 打开在线观众-观众列表
2. 查看财富等级</x:v>
      </x:c>
      <x:c r="K707" s="4" t="str">
        <x:v>在线观众-观众列表显示“财富等级”</x:v>
      </x:c>
      <x:c r="L707" s="4" t="str"/>
      <x:c r="M707" s="4" t="str">
        <x:v>未测</x:v>
      </x:c>
      <x:c r="N707" s="4" t="str"/>
      <x:c r="O707" s="4" t="str">
        <x:v>1. 来源（原型批注）：liveshow-proto/prototype/annotations/user.js；views/live-room/audience-online.html
2. 页面：views/live-room/audience-online.html
3. 规则：BR-7117E4BB1949E7
4. 场景：SC-1D3D7C9CEF22C4
5. 未动态验证</x:v>
      </x:c>
    </x:row>
    <x:row r="708" ht="54" customHeight="1">
      <x:c r="A708" s="4" t="n">
        <x:v>707</x:v>
      </x:c>
      <x:c r="B708" s="4" t="str">
        <x:v>ULIVE-0205</x:v>
      </x:c>
      <x:c r="C708" s="4" t="str">
        <x:v>直播模块</x:v>
      </x:c>
      <x:c r="D708" s="4" t="str">
        <x:v>在线观众-观众列表（观众视角）</x:v>
      </x:c>
      <x:c r="E708" s="4" t="str">
        <x:v>功能需求</x:v>
      </x:c>
      <x:c r="F708" s="4" t="str">
        <x:v>P1</x:v>
      </x:c>
      <x:c r="G708" s="4" t="str">
        <x:v>验证在线观众-观众列表可查看房管状态</x:v>
      </x:c>
      <x:c r="H708" s="4" t="str">
        <x:v>房管状态展示</x:v>
      </x:c>
      <x:c r="I708" s="4" t="str">
        <x:v>1. 观众账号已登录且具备当前页面权限</x:v>
      </x:c>
      <x:c r="J708" s="4" t="str">
        <x:v>1. 打开在线观众-观众列表
2. 查看房管状态</x:v>
      </x:c>
      <x:c r="K708" s="4" t="str">
        <x:v>在线观众-观众列表显示“房管状态”</x:v>
      </x:c>
      <x:c r="L708" s="4" t="str"/>
      <x:c r="M708" s="4" t="str">
        <x:v>未测</x:v>
      </x:c>
      <x:c r="N708" s="4" t="str"/>
      <x:c r="O708" s="4" t="str">
        <x:v>1. 来源（原型批注）：liveshow-proto/prototype/annotations/user.js；views/live-room/audience-online.html
2. 页面：views/live-room/audience-online.html
3. 规则：BR-F20D2722852B32
4. 场景：SC-0D82E9007C02D6
5. 未动态验证</x:v>
      </x:c>
    </x:row>
    <x:row r="709" ht="54" customHeight="1">
      <x:c r="A709" s="4" t="n">
        <x:v>708</x:v>
      </x:c>
      <x:c r="B709" s="4" t="str">
        <x:v>ULIVE-0206</x:v>
      </x:c>
      <x:c r="C709" s="4" t="str">
        <x:v>直播模块</x:v>
      </x:c>
      <x:c r="D709" s="4" t="str">
        <x:v>在线观众-观众列表（观众视角）</x:v>
      </x:c>
      <x:c r="E709" s="4" t="str">
        <x:v>功能需求</x:v>
      </x:c>
      <x:c r="F709" s="4" t="str">
        <x:v>P1</x:v>
      </x:c>
      <x:c r="G709" s="4" t="str">
        <x:v>验证在线观众-观众列表可查看用户</x:v>
      </x:c>
      <x:c r="H709" s="4" t="str">
        <x:v>用户展示</x:v>
      </x:c>
      <x:c r="I709" s="4" t="str">
        <x:v>1. 观众账号已登录且具备当前页面权限</x:v>
      </x:c>
      <x:c r="J709" s="4" t="str">
        <x:v>1. 打开在线观众-观众列表
2. 查看用户</x:v>
      </x:c>
      <x:c r="K709" s="4" t="str">
        <x:v>在线观众-观众列表显示“用户”</x:v>
      </x:c>
      <x:c r="L709" s="4" t="str"/>
      <x:c r="M709" s="4" t="str">
        <x:v>未测</x:v>
      </x:c>
      <x:c r="N709" s="4" t="str"/>
      <x:c r="O709" s="4" t="str">
        <x:v>1. 来源（原型批注）：liveshow-proto/prototype/annotations/user.js；views/live-room/audience-online.html
2. 页面：views/live-room/audience-online.html
3. 规则：BR-D78236AF7ED6D6
4. 场景：SC-BB1D2C3D62830C
5. 未动态验证</x:v>
      </x:c>
    </x:row>
    <x:row r="710" ht="54" customHeight="1">
      <x:c r="A710" s="4" t="n">
        <x:v>709</x:v>
      </x:c>
      <x:c r="B710" s="4" t="str">
        <x:v>ULIVE-0207</x:v>
      </x:c>
      <x:c r="C710" s="4" t="str">
        <x:v>直播模块</x:v>
      </x:c>
      <x:c r="D710" s="4" t="str">
        <x:v>在线观众-观众列表（观众视角）</x:v>
      </x:c>
      <x:c r="E710" s="4" t="str">
        <x:v>功能需求</x:v>
      </x:c>
      <x:c r="F710" s="4" t="str">
        <x:v>P1</x:v>
      </x:c>
      <x:c r="G710" s="4" t="str">
        <x:v>验证主播、房管和普通观众的可执行操作按当前查看者权限时的在线观众-观众列表结果</x:v>
      </x:c>
      <x:c r="H710" s="4" t="str">
        <x:v>在线观众-观众列表条件结果</x:v>
      </x:c>
      <x:c r="I710" s="4" t="str">
        <x:v>1. 观众账号已登录且具备当前页面权限
2. 主播、房管和普通观众的可执行操作按当前查看者权限</x:v>
      </x:c>
      <x:c r="J710" s="4" t="str">
        <x:v>1. 打开在线观众-观众列表
2. 查看在线观众-观众列表</x:v>
      </x:c>
      <x:c r="K710" s="4" t="str">
        <x:v>主播、房管和普通观众的可执行操作按当前查看者权限展示</x:v>
      </x:c>
      <x:c r="L710" s="4" t="str"/>
      <x:c r="M710" s="4" t="str">
        <x:v>未测</x:v>
      </x:c>
      <x:c r="N710" s="4" t="str"/>
      <x:c r="O710" s="4" t="str">
        <x:v>1. 来源（原型批注）：liveshow-proto/prototype/annotations/user.js；views/live-room/audience-online.html
2. 页面：views/live-room/audience-online.html
3. 规则：BR-A8AA49127350A1
4. 场景：SC-2C8E7DC91489B2
5. 未动态验证</x:v>
      </x:c>
    </x:row>
    <x:row r="711" ht="54" customHeight="1">
      <x:c r="A711" s="4" t="n">
        <x:v>710</x:v>
      </x:c>
      <x:c r="B711" s="4" t="str">
        <x:v>ULIVE-0208</x:v>
      </x:c>
      <x:c r="C711" s="4" t="str">
        <x:v>直播模块</x:v>
      </x:c>
      <x:c r="D711" s="4" t="str">
        <x:v>在线观众-观众列表（主播视角）</x:v>
      </x:c>
      <x:c r="E711" s="4" t="str">
        <x:v>功能需求</x:v>
      </x:c>
      <x:c r="F711" s="4" t="str">
        <x:v>P1</x:v>
      </x:c>
      <x:c r="G711" s="4" t="str">
        <x:v>验证当前场次被禁言时的在线观众-观众列表结果</x:v>
      </x:c>
      <x:c r="H711" s="4" t="str">
        <x:v>在线观众-观众列表条件结果</x:v>
      </x:c>
      <x:c r="I711" s="4" t="str">
        <x:v>1. 主播账号已登录且具备当前页面权限
2. 当前场次被禁言</x:v>
      </x:c>
      <x:c r="J711" s="4" t="str">
        <x:v>1. 打开在线观众-观众列表
2. 查看在线观众-观众列表</x:v>
      </x:c>
      <x:c r="K711" s="4" t="str">
        <x:v>展示禁言标识</x:v>
      </x:c>
      <x:c r="L711" s="4" t="str"/>
      <x:c r="M711" s="4" t="str">
        <x:v>未测</x:v>
      </x:c>
      <x:c r="N711" s="4" t="str"/>
      <x:c r="O711" s="4" t="str">
        <x:v>1. 来源（原型批注）：liveshow-proto/prototype/annotations/user.js；views/live-room-host/audience-viewers.html
2. 页面：views/live-room-host/audience-viewers.html
3. 规则：BR-206CD27F68744E
4. 场景：SC-4D4B8CA8D1C59B
5. 未动态验证</x:v>
      </x:c>
    </x:row>
    <x:row r="712" ht="54" customHeight="1">
      <x:c r="A712" s="4" t="n">
        <x:v>711</x:v>
      </x:c>
      <x:c r="B712" s="4" t="str">
        <x:v>ULIVE-0209</x:v>
      </x:c>
      <x:c r="C712" s="4" t="str">
        <x:v>直播模块</x:v>
      </x:c>
      <x:c r="D712" s="4" t="str">
        <x:v>在线观众-观众列表（主播视角）</x:v>
      </x:c>
      <x:c r="E712" s="4" t="str">
        <x:v>业务流程</x:v>
      </x:c>
      <x:c r="F712" s="4" t="str">
        <x:v>P1</x:v>
      </x:c>
      <x:c r="G712" s="4" t="str">
        <x:v>验证点击私信后的在线观众-观众列表状态</x:v>
      </x:c>
      <x:c r="H712" s="4" t="str">
        <x:v>在线观众-观众列表状态</x:v>
      </x:c>
      <x:c r="I712" s="4" t="str">
        <x:v>1. 主播账号已登录且具备当前页面权限</x:v>
      </x:c>
      <x:c r="J712" s="4" t="str">
        <x:v>1. 打开在线观众-观众列表
2. 点击私信</x:v>
      </x:c>
      <x:c r="K712" s="4" t="str">
        <x:v>进入与该用户的单聊</x:v>
      </x:c>
      <x:c r="L712" s="4" t="str"/>
      <x:c r="M712" s="4" t="str">
        <x:v>未测</x:v>
      </x:c>
      <x:c r="N712" s="4" t="str"/>
      <x:c r="O712" s="4" t="str">
        <x:v>1. 来源（原型批注）：liveshow-proto/prototype/annotations/user.js；views/live-room-host/audience-viewers.html
2. 页面：views/live-room-host/audience-viewers.html
3. 规则：BR-A57548A47E4AE8
4. 场景：SC-9026B80D0ECAB7
5. 未动态验证</x:v>
      </x:c>
    </x:row>
    <x:row r="713" ht="54" customHeight="1">
      <x:c r="A713" s="4" t="n">
        <x:v>712</x:v>
      </x:c>
      <x:c r="B713" s="4" t="str">
        <x:v>ULIVE-0210</x:v>
      </x:c>
      <x:c r="C713" s="4" t="str">
        <x:v>直播模块</x:v>
      </x:c>
      <x:c r="D713" s="4" t="str">
        <x:v>在线观众-观众列表（主播视角）</x:v>
      </x:c>
      <x:c r="E713" s="4" t="str">
        <x:v>业务流程</x:v>
      </x:c>
      <x:c r="F713" s="4" t="str">
        <x:v>P1</x:v>
      </x:c>
      <x:c r="G713" s="4" t="str">
        <x:v>验证点击用户后的在线观众-观众列表状态</x:v>
      </x:c>
      <x:c r="H713" s="4" t="str">
        <x:v>在线观众-观众列表状态</x:v>
      </x:c>
      <x:c r="I713" s="4" t="str">
        <x:v>1. 主播账号已登录且具备当前页面权限</x:v>
      </x:c>
      <x:c r="J713" s="4" t="str">
        <x:v>1. 打开在线观众-观众列表
2. 点击用户</x:v>
      </x:c>
      <x:c r="K713" s="4" t="str">
        <x:v>打开主播权限资料卡</x:v>
      </x:c>
      <x:c r="L713" s="4" t="str"/>
      <x:c r="M713" s="4" t="str">
        <x:v>未测</x:v>
      </x:c>
      <x:c r="N713" s="4" t="str"/>
      <x:c r="O713" s="4" t="str">
        <x:v>1. 来源（原型批注）：liveshow-proto/prototype/annotations/user.js；views/live-room-host/audience-viewers.html
2. 页面：views/live-room-host/audience-viewers.html
3. 规则：BR-254F42EC225113
4. 场景：SC-283D8921DC7C7D
5. 未动态验证</x:v>
      </x:c>
    </x:row>
    <x:row r="714" ht="54" customHeight="1">
      <x:c r="A714" s="4" t="n">
        <x:v>713</x:v>
      </x:c>
      <x:c r="B714" s="4" t="str">
        <x:v>ULIVE-0211</x:v>
      </x:c>
      <x:c r="C714" s="4" t="str">
        <x:v>直播模块</x:v>
      </x:c>
      <x:c r="D714" s="4" t="str">
        <x:v>在线观众-观众列表（主播视角）</x:v>
      </x:c>
      <x:c r="E714" s="4" t="str">
        <x:v>业务流程</x:v>
      </x:c>
      <x:c r="F714" s="4" t="str">
        <x:v>P1</x:v>
      </x:c>
      <x:c r="G714" s="4" t="str">
        <x:v>验证关闭后的在线观众-观众列表状态</x:v>
      </x:c>
      <x:c r="H714" s="4" t="str">
        <x:v>在线观众-观众列表状态</x:v>
      </x:c>
      <x:c r="I714" s="4" t="str">
        <x:v>1. 主播账号已登录且具备当前页面权限</x:v>
      </x:c>
      <x:c r="J714" s="4" t="str">
        <x:v>1. 打开在线观众-观众列表
2. 关闭</x:v>
      </x:c>
      <x:c r="K714" s="4" t="str">
        <x:v>返回直播间</x:v>
      </x:c>
      <x:c r="L714" s="4" t="str"/>
      <x:c r="M714" s="4" t="str">
        <x:v>未测</x:v>
      </x:c>
      <x:c r="N714" s="4" t="str"/>
      <x:c r="O714" s="4" t="str">
        <x:v>1. 来源（原型批注）：liveshow-proto/prototype/annotations/user.js；views/live-room-host/audience-viewers.html
2. 页面：views/live-room-host/audience-viewers.html
3. 规则：BR-AA2270DA00A42B
4. 场景：SC-68679E69F472E4
5. 未动态验证</x:v>
      </x:c>
    </x:row>
    <x:row r="715" ht="54" customHeight="1">
      <x:c r="A715" s="4" t="n">
        <x:v>714</x:v>
      </x:c>
      <x:c r="B715" s="4" t="str">
        <x:v>ULIVE-0212</x:v>
      </x:c>
      <x:c r="C715" s="4" t="str">
        <x:v>直播模块</x:v>
      </x:c>
      <x:c r="D715" s="4" t="str">
        <x:v>在线观众-观众列表（主播视角）</x:v>
      </x:c>
      <x:c r="E715" s="4" t="str">
        <x:v>功能需求</x:v>
      </x:c>
      <x:c r="F715" s="4" t="str">
        <x:v>P1</x:v>
      </x:c>
      <x:c r="G715" s="4" t="str">
        <x:v>验证前端展示服务端等级，无数据时的在线观众-观众列表结果</x:v>
      </x:c>
      <x:c r="H715" s="4" t="str">
        <x:v>在线观众-观众列表条件结果</x:v>
      </x:c>
      <x:c r="I715" s="4" t="str">
        <x:v>1. 主播账号已登录且具备当前页面权限
2. 前端展示服务端等级，无数据</x:v>
      </x:c>
      <x:c r="J715" s="4" t="str">
        <x:v>1. 打开在线观众-观众列表
2. 查看在线观众-观众列表</x:v>
      </x:c>
      <x:c r="K715" s="4" t="str">
        <x:v>不展示</x:v>
      </x:c>
      <x:c r="L715" s="4" t="str"/>
      <x:c r="M715" s="4" t="str">
        <x:v>未测</x:v>
      </x:c>
      <x:c r="N715" s="4" t="str"/>
      <x:c r="O715" s="4" t="str">
        <x:v>1. 来源（原型批注）：liveshow-proto/prototype/annotations/user.js；views/live-room-host/audience-viewers.html
2. 页面：views/live-room-host/audience-viewers.html
3. 规则：BR-315F80F8A272ED
4. 场景：SC-D6F040E09DD02F
5. 未动态验证</x:v>
      </x:c>
    </x:row>
    <x:row r="716" ht="54" customHeight="1">
      <x:c r="A716" s="4" t="n">
        <x:v>715</x:v>
      </x:c>
      <x:c r="B716" s="4" t="str">
        <x:v>ULIVE-0213</x:v>
      </x:c>
      <x:c r="C716" s="4" t="str">
        <x:v>直播模块</x:v>
      </x:c>
      <x:c r="D716" s="4" t="str">
        <x:v>在线观众-观众列表（主播视角）</x:v>
      </x:c>
      <x:c r="E716" s="4" t="str">
        <x:v>业务流程</x:v>
      </x:c>
      <x:c r="F716" s="4" t="str">
        <x:v>P1</x:v>
      </x:c>
      <x:c r="G716" s="4" t="str">
        <x:v>验证切换按贡献/按停留时长后的在线观众-观众列表状态</x:v>
      </x:c>
      <x:c r="H716" s="4" t="str">
        <x:v>在线观众-观众列表状态</x:v>
      </x:c>
      <x:c r="I716" s="4" t="str">
        <x:v>1. 主播账号已登录且具备当前页面权限</x:v>
      </x:c>
      <x:c r="J716" s="4" t="str">
        <x:v>1. 打开在线观众-观众列表
2. 切换按贡献/按停留时长</x:v>
      </x:c>
      <x:c r="K716" s="4" t="str">
        <x:v>不关闭弹层</x:v>
      </x:c>
      <x:c r="L716" s="4" t="str"/>
      <x:c r="M716" s="4" t="str">
        <x:v>未测</x:v>
      </x:c>
      <x:c r="N716" s="4" t="str"/>
      <x:c r="O716" s="4" t="str">
        <x:v>1. 来源（原型批注）：liveshow-proto/prototype/annotations/user.js；views/live-room-host/audience-viewers.html
2. 页面：views/live-room-host/audience-viewers.html
3. 规则：BR-0564968E820FEE
4. 场景：SC-8291E19F7E0AE5
5. 未动态验证</x:v>
      </x:c>
    </x:row>
    <x:row r="717" ht="54" customHeight="1">
      <x:c r="A717" s="4" t="n">
        <x:v>716</x:v>
      </x:c>
      <x:c r="B717" s="4" t="str">
        <x:v>ULIVE-0214</x:v>
      </x:c>
      <x:c r="C717" s="4" t="str">
        <x:v>直播模块</x:v>
      </x:c>
      <x:c r="D717" s="4" t="str">
        <x:v>在线观众-观众列表（主播视角）</x:v>
      </x:c>
      <x:c r="E717" s="4" t="str">
        <x:v>业务流程</x:v>
      </x:c>
      <x:c r="F717" s="4" t="str">
        <x:v>P1</x:v>
      </x:c>
      <x:c r="G717" s="4" t="str">
        <x:v>验证切换贡献 TOP10/观众后的在线观众-观众列表状态</x:v>
      </x:c>
      <x:c r="H717" s="4" t="str">
        <x:v>在线观众-观众列表状态</x:v>
      </x:c>
      <x:c r="I717" s="4" t="str">
        <x:v>1. 主播账号已登录且具备当前页面权限</x:v>
      </x:c>
      <x:c r="J717" s="4" t="str">
        <x:v>1. 打开在线观众-观众列表
2. 切换贡献 TOP10/观众</x:v>
      </x:c>
      <x:c r="K717" s="4" t="str">
        <x:v>在当前弹层切换榜单和在线列表</x:v>
      </x:c>
      <x:c r="L717" s="4" t="str"/>
      <x:c r="M717" s="4" t="str">
        <x:v>未测</x:v>
      </x:c>
      <x:c r="N717" s="4" t="str"/>
      <x:c r="O717" s="4" t="str">
        <x:v>1. 来源（原型批注）：liveshow-proto/prototype/annotations/user.js；views/live-room-host/audience-viewers.html
2. 页面：views/live-room-host/audience-viewers.html
3. 规则：BR-D5C996F0C3B755
4. 场景：SC-3EF7CAC925DCA0
5. 未动态验证</x:v>
      </x:c>
    </x:row>
    <x:row r="718" ht="54" customHeight="1">
      <x:c r="A718" s="4" t="n">
        <x:v>717</x:v>
      </x:c>
      <x:c r="B718" s="4" t="str">
        <x:v>ULIVE-0215</x:v>
      </x:c>
      <x:c r="C718" s="4" t="str">
        <x:v>直播模块</x:v>
      </x:c>
      <x:c r="D718" s="4" t="str">
        <x:v>在线观众-观众列表（主播视角）</x:v>
      </x:c>
      <x:c r="E718" s="4" t="str">
        <x:v>异常用例</x:v>
      </x:c>
      <x:c r="F718" s="4" t="str">
        <x:v>P1</x:v>
      </x:c>
      <x:c r="G718" s="4" t="str">
        <x:v>验证踢出后的在线观众-观众列表状态</x:v>
      </x:c>
      <x:c r="H718" s="4" t="str">
        <x:v>在线观众-观众列表状态</x:v>
      </x:c>
      <x:c r="I718" s="4" t="str">
        <x:v>1. 主播账号已登录且具备当前页面权限
2. 踢出</x:v>
      </x:c>
      <x:c r="J718" s="4" t="str">
        <x:v>1. 打开在线观众-观众列表
2. 刷新在线观众-观众列表</x:v>
      </x:c>
      <x:c r="K718" s="4" t="str">
        <x:v>立即移除且本场不可重进</x:v>
      </x:c>
      <x:c r="L718" s="4" t="str"/>
      <x:c r="M718" s="4" t="str">
        <x:v>未测</x:v>
      </x:c>
      <x:c r="N718" s="4" t="str"/>
      <x:c r="O718" s="4" t="str">
        <x:v>1. 来源（原型批注）：liveshow-proto/prototype/annotations/user.js；views/live-room-host/audience-viewers.html
2. 页面：views/live-room-host/audience-viewers.html
3. 规则：BR-AD89ED00DD08A4
4. 场景：SC-490EC3119EAFE4
5. 未动态验证</x:v>
      </x:c>
    </x:row>
    <x:row r="719" ht="54" customHeight="1">
      <x:c r="A719" s="4" t="n">
        <x:v>718</x:v>
      </x:c>
      <x:c r="B719" s="4" t="str">
        <x:v>ULIVE-0216</x:v>
      </x:c>
      <x:c r="C719" s="4" t="str">
        <x:v>直播模块</x:v>
      </x:c>
      <x:c r="D719" s="4" t="str">
        <x:v>在线观众-观众列表（主播视角）</x:v>
      </x:c>
      <x:c r="E719" s="4" t="str">
        <x:v>功能需求</x:v>
      </x:c>
      <x:c r="F719" s="4" t="str">
        <x:v>P1</x:v>
      </x:c>
      <x:c r="G719" s="4" t="str">
        <x:v>验证无有效团籍时的在线观众-观众列表结果</x:v>
      </x:c>
      <x:c r="H719" s="4" t="str">
        <x:v>在线观众-观众列表条件结果</x:v>
      </x:c>
      <x:c r="I719" s="4" t="str">
        <x:v>1. 主播账号已登录且具备当前页面权限
2. 无有效团籍</x:v>
      </x:c>
      <x:c r="J719" s="4" t="str">
        <x:v>1. 打开在线观众-观众列表
2. 查看在线观众-观众列表</x:v>
      </x:c>
      <x:c r="K719" s="4" t="str">
        <x:v>不展示</x:v>
      </x:c>
      <x:c r="L719" s="4" t="str"/>
      <x:c r="M719" s="4" t="str">
        <x:v>未测</x:v>
      </x:c>
      <x:c r="N719" s="4" t="str"/>
      <x:c r="O719" s="4" t="str">
        <x:v>1. 来源（原型批注）：liveshow-proto/prototype/annotations/user.js；views/live-room-host/audience-viewers.html
2. 页面：views/live-room-host/audience-viewers.html
3. 规则：BR-1999AE683862C8
4. 场景：SC-DCF7CDDE10F453
5. 未动态验证</x:v>
      </x:c>
    </x:row>
    <x:row r="720" ht="54" customHeight="1">
      <x:c r="A720" s="4" t="n">
        <x:v>719</x:v>
      </x:c>
      <x:c r="B720" s="4" t="str">
        <x:v>ULIVE-0217</x:v>
      </x:c>
      <x:c r="C720" s="4" t="str">
        <x:v>直播模块</x:v>
      </x:c>
      <x:c r="D720" s="4" t="str">
        <x:v>在线观众-观众列表（主播视角）</x:v>
      </x:c>
      <x:c r="E720" s="4" t="str">
        <x:v>功能需求</x:v>
      </x:c>
      <x:c r="F720" s="4" t="str">
        <x:v>P1</x:v>
      </x:c>
      <x:c r="G720" s="4" t="str">
        <x:v>验证已经离线的用户不在本列表时的在线观众-观众列表结果</x:v>
      </x:c>
      <x:c r="H720" s="4" t="str">
        <x:v>在线观众-观众列表条件结果</x:v>
      </x:c>
      <x:c r="I720" s="4" t="str">
        <x:v>1. 主播账号已登录且具备当前页面权限
2. 已经离线的用户不在本列表</x:v>
      </x:c>
      <x:c r="J720" s="4" t="str">
        <x:v>1. 打开在线观众-观众列表
2. 查看在线观众-观众列表</x:v>
      </x:c>
      <x:c r="K720" s="4" t="str">
        <x:v>已经离线的用户不在本列表展示</x:v>
      </x:c>
      <x:c r="L720" s="4" t="str"/>
      <x:c r="M720" s="4" t="str">
        <x:v>未测</x:v>
      </x:c>
      <x:c r="N720" s="4" t="str"/>
      <x:c r="O720" s="4" t="str">
        <x:v>1. 来源（原型批注）：liveshow-proto/prototype/annotations/user.js；views/live-room-host/audience-viewers.html
2. 页面：views/live-room-host/audience-viewers.html
3. 规则：BR-569F2D8E945CF3
4. 场景：SC-E4738AFB1ED1C6
5. 未动态验证</x:v>
      </x:c>
    </x:row>
    <x:row r="721" ht="54" customHeight="1">
      <x:c r="A721" s="4" t="n">
        <x:v>720</x:v>
      </x:c>
      <x:c r="B721" s="4" t="str">
        <x:v>ULIVE-0218</x:v>
      </x:c>
      <x:c r="C721" s="4" t="str">
        <x:v>直播模块</x:v>
      </x:c>
      <x:c r="D721" s="4" t="str">
        <x:v>在线观众-观众列表（主播视角）</x:v>
      </x:c>
      <x:c r="E721" s="4" t="str">
        <x:v>逻辑校验</x:v>
      </x:c>
      <x:c r="F721" s="4" t="str">
        <x:v>P1</x:v>
      </x:c>
      <x:c r="G721" s="4" t="str">
        <x:v>验证用户按指定范围筛选</x:v>
      </x:c>
      <x:c r="H721" s="4" t="str">
        <x:v>用户数据范围</x:v>
      </x:c>
      <x:c r="I721" s="4" t="str">
        <x:v>1. 主播账号已登录且具备当前页面权限
2. 存在符合和不符合“当前仍在线的观众”的记录</x:v>
      </x:c>
      <x:c r="J721" s="4" t="str">
        <x:v>1. 打开在线观众-观众列表
2. 查看用户</x:v>
      </x:c>
      <x:c r="K721" s="4" t="str">
        <x:v>仅包含当前仍在线的观众</x:v>
      </x:c>
      <x:c r="L721" s="4" t="str"/>
      <x:c r="M721" s="4" t="str">
        <x:v>未测</x:v>
      </x:c>
      <x:c r="N721" s="4" t="str"/>
      <x:c r="O721" s="4" t="str">
        <x:v>1. 来源（原型批注）：liveshow-proto/prototype/annotations/user.js；views/live-room-host/audience-viewers.html
2. 页面：views/live-room-host/audience-viewers.html
3. 规则：BR-CD237B913B1F0A
4. 场景：SC-711652923110B1
5. 未动态验证</x:v>
      </x:c>
    </x:row>
    <x:row r="722" ht="54" customHeight="1">
      <x:c r="A722" s="4" t="n">
        <x:v>721</x:v>
      </x:c>
      <x:c r="B722" s="4" t="str">
        <x:v>ULIVE-0219</x:v>
      </x:c>
      <x:c r="C722" s="4" t="str">
        <x:v>直播模块</x:v>
      </x:c>
      <x:c r="D722" s="4" t="str">
        <x:v>在线观众-观众列表（主播视角）</x:v>
      </x:c>
      <x:c r="E722" s="4" t="str">
        <x:v>业务流程</x:v>
      </x:c>
      <x:c r="F722" s="4" t="str">
        <x:v>P1</x:v>
      </x:c>
      <x:c r="G722" s="4" t="str">
        <x:v>验证用户离线后的在线观众-观众列表状态</x:v>
      </x:c>
      <x:c r="H722" s="4" t="str">
        <x:v>在线观众-观众列表状态</x:v>
      </x:c>
      <x:c r="I722" s="4" t="str">
        <x:v>1. 主播账号已登录且具备当前页面权限
2. 用户离线</x:v>
      </x:c>
      <x:c r="J722" s="4" t="str">
        <x:v>1. 打开在线观众-观众列表
2. 刷新在线观众-观众列表</x:v>
      </x:c>
      <x:c r="K722" s="4" t="str">
        <x:v>但其贡献仍保留在本场贡献榜</x:v>
      </x:c>
      <x:c r="L722" s="4" t="str"/>
      <x:c r="M722" s="4" t="str">
        <x:v>未测</x:v>
      </x:c>
      <x:c r="N722" s="4" t="str"/>
      <x:c r="O722" s="4" t="str">
        <x:v>1. 来源（原型批注）：liveshow-proto/prototype/annotations/user.js；views/live-room-host/audience-viewers.html
2. 页面：views/live-room-host/audience-viewers.html
3. 规则：BR-5F413116032AB8
4. 场景：SC-8B05543CF55FBF
5. 未动态验证</x:v>
      </x:c>
    </x:row>
    <x:row r="723" ht="54" customHeight="1">
      <x:c r="A723" s="4" t="n">
        <x:v>722</x:v>
      </x:c>
      <x:c r="B723" s="4" t="str">
        <x:v>ULIVE-0220</x:v>
      </x:c>
      <x:c r="C723" s="4" t="str">
        <x:v>直播模块</x:v>
      </x:c>
      <x:c r="D723" s="4" t="str">
        <x:v>在线观众-观众列表（主播视角）</x:v>
      </x:c>
      <x:c r="E723" s="4" t="str">
        <x:v>功能需求</x:v>
      </x:c>
      <x:c r="F723" s="4" t="str">
        <x:v>P1</x:v>
      </x:c>
      <x:c r="G723" s="4" t="str">
        <x:v>验证在线观众-观众列表可查看财富等级</x:v>
      </x:c>
      <x:c r="H723" s="4" t="str">
        <x:v>财富等级展示</x:v>
      </x:c>
      <x:c r="I723" s="4" t="str">
        <x:v>1. 主播账号已登录且具备当前页面权限</x:v>
      </x:c>
      <x:c r="J723" s="4" t="str">
        <x:v>1. 打开在线观众-观众列表
2. 查看财富等级</x:v>
      </x:c>
      <x:c r="K723" s="4" t="str">
        <x:v>在线观众-观众列表显示“财富等级”</x:v>
      </x:c>
      <x:c r="L723" s="4" t="str"/>
      <x:c r="M723" s="4" t="str">
        <x:v>未测</x:v>
      </x:c>
      <x:c r="N723" s="4" t="str"/>
      <x:c r="O723" s="4" t="str">
        <x:v>1. 来源（原型批注）：liveshow-proto/prototype/annotations/user.js；views/live-room-host/audience-viewers.html
2. 页面：views/live-room-host/audience-viewers.html
3. 规则：BR-E0C0AB7F793204、BR-315F80F8A272ED
4. 场景：SC-E0AC3EE68C336F
5. 未动态验证</x:v>
      </x:c>
    </x:row>
    <x:row r="724" ht="54" customHeight="1">
      <x:c r="A724" s="4" t="n">
        <x:v>723</x:v>
      </x:c>
      <x:c r="B724" s="4" t="str">
        <x:v>ULIVE-0221</x:v>
      </x:c>
      <x:c r="C724" s="4" t="str">
        <x:v>直播模块</x:v>
      </x:c>
      <x:c r="D724" s="4" t="str">
        <x:v>在线观众-观众列表（主播视角）</x:v>
      </x:c>
      <x:c r="E724" s="4" t="str">
        <x:v>功能需求</x:v>
      </x:c>
      <x:c r="F724" s="4" t="str">
        <x:v>P1</x:v>
      </x:c>
      <x:c r="G724" s="4" t="str">
        <x:v>验证在线观众-观众列表可查看灯牌/粉丝等级/亲密度</x:v>
      </x:c>
      <x:c r="H724" s="4" t="str">
        <x:v>灯牌/粉丝等级/亲密度展示</x:v>
      </x:c>
      <x:c r="I724" s="4" t="str">
        <x:v>1. 主播账号已登录且具备当前页面权限</x:v>
      </x:c>
      <x:c r="J724" s="4" t="str">
        <x:v>1. 打开在线观众-观众列表
2. 查看灯牌/粉丝等级/亲密度</x:v>
      </x:c>
      <x:c r="K724" s="4" t="str">
        <x:v>在线观众-观众列表显示“灯牌/粉丝等级/亲密度”</x:v>
      </x:c>
      <x:c r="L724" s="4" t="str"/>
      <x:c r="M724" s="4" t="str">
        <x:v>未测</x:v>
      </x:c>
      <x:c r="N724" s="4" t="str"/>
      <x:c r="O724" s="4" t="str">
        <x:v>1. 来源（原型批注）：liveshow-proto/prototype/annotations/user.js；views/live-room-host/audience-viewers.html
2. 页面：views/live-room-host/audience-viewers.html
3. 规则：BR-87F86CA0D484AF、BR-1999AE683862C8
4. 场景：SC-9A093D2D682A18
5. 未动态验证</x:v>
      </x:c>
    </x:row>
    <x:row r="725" ht="54" customHeight="1">
      <x:c r="A725" s="4" t="n">
        <x:v>724</x:v>
      </x:c>
      <x:c r="B725" s="4" t="str">
        <x:v>ULIVE-0222</x:v>
      </x:c>
      <x:c r="C725" s="4" t="str">
        <x:v>直播模块</x:v>
      </x:c>
      <x:c r="D725" s="4" t="str">
        <x:v>在线观众-观众列表（主播视角）</x:v>
      </x:c>
      <x:c r="E725" s="4" t="str">
        <x:v>功能需求</x:v>
      </x:c>
      <x:c r="F725" s="4" t="str">
        <x:v>P1</x:v>
      </x:c>
      <x:c r="G725" s="4" t="str">
        <x:v>验证在线观众-观众列表可查看禁言状态</x:v>
      </x:c>
      <x:c r="H725" s="4" t="str">
        <x:v>禁言状态展示</x:v>
      </x:c>
      <x:c r="I725" s="4" t="str">
        <x:v>1. 主播账号已登录且具备当前页面权限</x:v>
      </x:c>
      <x:c r="J725" s="4" t="str">
        <x:v>1. 打开在线观众-观众列表
2. 查看禁言状态</x:v>
      </x:c>
      <x:c r="K725" s="4" t="str">
        <x:v>在线观众-观众列表显示“禁言状态”</x:v>
      </x:c>
      <x:c r="L725" s="4" t="str"/>
      <x:c r="M725" s="4" t="str">
        <x:v>未测</x:v>
      </x:c>
      <x:c r="N725" s="4" t="str"/>
      <x:c r="O725" s="4" t="str">
        <x:v>1. 来源（原型批注）：liveshow-proto/prototype/annotations/user.js；views/live-room-host/audience-viewers.html
2. 页面：views/live-room-host/audience-viewers.html
3. 规则：BR-206CD27F68744E
4. 场景：SC-92DD0C0376DB67
5. 未动态验证</x:v>
      </x:c>
    </x:row>
    <x:row r="726" ht="54" customHeight="1">
      <x:c r="A726" s="4" t="n">
        <x:v>725</x:v>
      </x:c>
      <x:c r="B726" s="4" t="str">
        <x:v>ULIVE-0223</x:v>
      </x:c>
      <x:c r="C726" s="4" t="str">
        <x:v>直播模块</x:v>
      </x:c>
      <x:c r="D726" s="4" t="str">
        <x:v>在线观众-观众列表（主播视角）</x:v>
      </x:c>
      <x:c r="E726" s="4" t="str">
        <x:v>功能需求</x:v>
      </x:c>
      <x:c r="F726" s="4" t="str">
        <x:v>P1</x:v>
      </x:c>
      <x:c r="G726" s="4" t="str">
        <x:v>验证在线观众-观众列表可查看停留时长</x:v>
      </x:c>
      <x:c r="H726" s="4" t="str">
        <x:v>停留时长展示</x:v>
      </x:c>
      <x:c r="I726" s="4" t="str">
        <x:v>1. 主播账号已登录且具备当前页面权限</x:v>
      </x:c>
      <x:c r="J726" s="4" t="str">
        <x:v>1. 打开在线观众-观众列表
2. 查看停留时长</x:v>
      </x:c>
      <x:c r="K726" s="4" t="str">
        <x:v>在线观众-观众列表显示“停留时长”</x:v>
      </x:c>
      <x:c r="L726" s="4" t="str"/>
      <x:c r="M726" s="4" t="str">
        <x:v>未测</x:v>
      </x:c>
      <x:c r="N726" s="4" t="str"/>
      <x:c r="O726" s="4" t="str">
        <x:v>1. 来源（原型批注）：liveshow-proto/prototype/annotations/user.js；views/live-room-host/audience-viewers.html
2. 页面：views/live-room-host/audience-viewers.html
3. 规则：BR-3E99874EF75F75
4. 场景：SC-D18EF8415C5102
5. 未动态验证</x:v>
      </x:c>
    </x:row>
    <x:row r="727" ht="54" customHeight="1">
      <x:c r="A727" s="4" t="n">
        <x:v>726</x:v>
      </x:c>
      <x:c r="B727" s="4" t="str">
        <x:v>ULIVE-0224</x:v>
      </x:c>
      <x:c r="C727" s="4" t="str">
        <x:v>直播模块</x:v>
      </x:c>
      <x:c r="D727" s="4" t="str">
        <x:v>在线观众-观众列表（主播视角）</x:v>
      </x:c>
      <x:c r="E727" s="4" t="str">
        <x:v>功能需求</x:v>
      </x:c>
      <x:c r="F727" s="4" t="str">
        <x:v>P1</x:v>
      </x:c>
      <x:c r="G727" s="4" t="str">
        <x:v>验证在线观众-观众列表可查看用户</x:v>
      </x:c>
      <x:c r="H727" s="4" t="str">
        <x:v>用户展示</x:v>
      </x:c>
      <x:c r="I727" s="4" t="str">
        <x:v>1. 主播账号已登录且具备当前页面权限</x:v>
      </x:c>
      <x:c r="J727" s="4" t="str">
        <x:v>1. 打开在线观众-观众列表
2. 查看用户</x:v>
      </x:c>
      <x:c r="K727" s="4" t="str">
        <x:v>在线观众-观众列表显示“用户”</x:v>
      </x:c>
      <x:c r="L727" s="4" t="str"/>
      <x:c r="M727" s="4" t="str">
        <x:v>未测</x:v>
      </x:c>
      <x:c r="N727" s="4" t="str"/>
      <x:c r="O727" s="4" t="str">
        <x:v>1. 来源（原型批注）：liveshow-proto/prototype/annotations/user.js；views/live-room-host/audience-viewers.html
2. 页面：views/live-room-host/audience-viewers.html
3. 规则：BR-FBF32D35EFE7A5、BR-CD237B913B1F0A
4. 场景：SC-AC8B954FBC7ED1
5. 未动态验证</x:v>
      </x:c>
    </x:row>
    <x:row r="728" ht="54" customHeight="1">
      <x:c r="A728" s="4" t="n">
        <x:v>727</x:v>
      </x:c>
      <x:c r="B728" s="4" t="str">
        <x:v>ULIVE-0225</x:v>
      </x:c>
      <x:c r="C728" s="4" t="str">
        <x:v>直播模块</x:v>
      </x:c>
      <x:c r="D728" s="4" t="str">
        <x:v>在线观众-观众列表（主播视角）</x:v>
      </x:c>
      <x:c r="E728" s="4" t="str">
        <x:v>功能需求</x:v>
      </x:c>
      <x:c r="F728" s="4" t="str">
        <x:v>P1</x:v>
      </x:c>
      <x:c r="G728" s="4" t="str">
        <x:v>验证在线观众-观众列表可查看在线观众贡献</x:v>
      </x:c>
      <x:c r="H728" s="4" t="str">
        <x:v>在线观众贡献展示</x:v>
      </x:c>
      <x:c r="I728" s="4" t="str">
        <x:v>1. 主播账号已登录且具备当前页面权限</x:v>
      </x:c>
      <x:c r="J728" s="4" t="str">
        <x:v>1. 打开在线观众-观众列表
2. 查看在线观众贡献</x:v>
      </x:c>
      <x:c r="K728" s="4" t="str">
        <x:v>在线观众-观众列表显示“在线观众贡献”</x:v>
      </x:c>
      <x:c r="L728" s="4" t="str"/>
      <x:c r="M728" s="4" t="str">
        <x:v>未测</x:v>
      </x:c>
      <x:c r="N728" s="4" t="str"/>
      <x:c r="O728" s="4" t="str">
        <x:v>1. 来源（原型批注）：liveshow-proto/prototype/annotations/user.js；views/live-room-host/audience-viewers.html
2. 页面：views/live-room-host/audience-viewers.html
3. 规则：BR-FB0558A1BB234A、BR-569F2D8E945CF3
4. 场景：SC-851BA0EAE9832A
5. 未动态验证</x:v>
      </x:c>
    </x:row>
    <x:row r="729" ht="54" customHeight="1">
      <x:c r="A729" s="4" t="n">
        <x:v>728</x:v>
      </x:c>
      <x:c r="B729" s="4" t="str">
        <x:v>ULIVE-0226</x:v>
      </x:c>
      <x:c r="C729" s="4" t="str">
        <x:v>直播模块</x:v>
      </x:c>
      <x:c r="D729" s="4" t="str">
        <x:v>直播间（观众视角）</x:v>
      </x:c>
      <x:c r="E729" s="4" t="str">
        <x:v>功能需求</x:v>
      </x:c>
      <x:c r="F729" s="4" t="str">
        <x:v>P1</x:v>
      </x:c>
      <x:c r="G729" s="4" t="str">
        <x:v>验证按停留时长时的直播间结果</x:v>
      </x:c>
      <x:c r="H729" s="4" t="str">
        <x:v>直播间条件结果</x:v>
      </x:c>
      <x:c r="I729" s="4" t="str">
        <x:v>1. 观众账号已登录且具备当前页面权限
2. 按停留时长</x:v>
      </x:c>
      <x:c r="J729" s="4" t="str">
        <x:v>1. 进入直播间
2. 查看直播间</x:v>
      </x:c>
      <x:c r="K729" s="4" t="str">
        <x:v>依次比较停留时长、贡献值、粉丝等级、财富等级、用户 ID</x:v>
      </x:c>
      <x:c r="L729" s="4" t="str"/>
      <x:c r="M729" s="4" t="str">
        <x:v>未测</x:v>
      </x:c>
      <x:c r="N729" s="4" t="str"/>
      <x:c r="O729" s="4" t="str">
        <x:v>1. 来源（原型批注）：liveshow-proto/prototype/annotations/user.js；live-room-cohost-active.html
2. 页面：live-room-cohost-active.html
3. 规则：BR-5A780592800777
4. 场景：SC-84639BD7ED3867
5. 未动态验证</x:v>
      </x:c>
    </x:row>
    <x:row r="730" ht="54" customHeight="1">
      <x:c r="A730" s="4" t="n">
        <x:v>729</x:v>
      </x:c>
      <x:c r="B730" s="4" t="str">
        <x:v>ULIVE-0227</x:v>
      </x:c>
      <x:c r="C730" s="4" t="str">
        <x:v>直播模块</x:v>
      </x:c>
      <x:c r="D730" s="4" t="str">
        <x:v>直播间（观众视角）</x:v>
      </x:c>
      <x:c r="E730" s="4" t="str">
        <x:v>业务流程</x:v>
      </x:c>
      <x:c r="F730" s="4" t="str">
        <x:v>P1</x:v>
      </x:c>
      <x:c r="G730" s="4" t="str">
        <x:v>验证取消后的直播间状态</x:v>
      </x:c>
      <x:c r="H730" s="4" t="str">
        <x:v>直播间状态</x:v>
      </x:c>
      <x:c r="I730" s="4" t="str">
        <x:v>1. 观众账号已登录且具备当前页面权限</x:v>
      </x:c>
      <x:c r="J730" s="4" t="str">
        <x:v>1. 进入直播间
2. 取消</x:v>
      </x:c>
      <x:c r="K730" s="4" t="str">
        <x:v>保持连麦</x:v>
      </x:c>
      <x:c r="L730" s="4" t="str"/>
      <x:c r="M730" s="4" t="str">
        <x:v>未测</x:v>
      </x:c>
      <x:c r="N730" s="4" t="str"/>
      <x:c r="O730" s="4" t="str">
        <x:v>1. 来源（原型批注）：liveshow-proto/prototype/annotations/user.js；live-room-cohost-active.html
2. 页面：live-room-cohost-active.html
3. 规则：BR-37067010DF6735
4. 场景：SC-98710DA6777A36
5. 未动态验证</x:v>
      </x:c>
    </x:row>
    <x:row r="731" ht="54" customHeight="1">
      <x:c r="A731" s="4" t="n">
        <x:v>730</x:v>
      </x:c>
      <x:c r="B731" s="4" t="str">
        <x:v>ULIVE-0228</x:v>
      </x:c>
      <x:c r="C731" s="4" t="str">
        <x:v>直播模块</x:v>
      </x:c>
      <x:c r="D731" s="4" t="str">
        <x:v>直播间（观众视角）</x:v>
      </x:c>
      <x:c r="E731" s="4" t="str">
        <x:v>业务流程</x:v>
      </x:c>
      <x:c r="F731" s="4" t="str">
        <x:v>P1</x:v>
      </x:c>
      <x:c r="G731" s="4" t="str">
        <x:v>验证退出连麦确认后的直播间状态</x:v>
      </x:c>
      <x:c r="H731" s="4" t="str">
        <x:v>直播间状态</x:v>
      </x:c>
      <x:c r="I731" s="4" t="str">
        <x:v>1. 观众账号已登录且具备当前页面权限</x:v>
      </x:c>
      <x:c r="J731" s="4" t="str">
        <x:v>1. 进入直播间
2. 退出连麦确认</x:v>
      </x:c>
      <x:c r="K731" s="4" t="str">
        <x:v>双方退出连麦</x:v>
      </x:c>
      <x:c r="L731" s="4" t="str"/>
      <x:c r="M731" s="4" t="str">
        <x:v>未测</x:v>
      </x:c>
      <x:c r="N731" s="4" t="str"/>
      <x:c r="O731" s="4" t="str">
        <x:v>1. 来源（原型批注）：liveshow-proto/prototype/annotations/user.js；live-room-cohost-active.html
2. 页面：live-room-cohost-active.html
3. 规则：BR-2A89D49260D199
4. 场景：SC-345DFA05534A48
5. 未动态验证</x:v>
      </x:c>
    </x:row>
    <x:row r="732" ht="54" customHeight="1">
      <x:c r="A732" s="4" t="n">
        <x:v>731</x:v>
      </x:c>
      <x:c r="B732" s="4" t="str">
        <x:v>ULIVE-0229</x:v>
      </x:c>
      <x:c r="C732" s="4" t="str">
        <x:v>直播模块</x:v>
      </x:c>
      <x:c r="D732" s="4" t="str">
        <x:v>直播间（观众视角）</x:v>
      </x:c>
      <x:c r="E732" s="4" t="str">
        <x:v>业务流程</x:v>
      </x:c>
      <x:c r="F732" s="4" t="str">
        <x:v>P1</x:v>
      </x:c>
      <x:c r="G732" s="4" t="str">
        <x:v>验证完整排序后的直播间状态</x:v>
      </x:c>
      <x:c r="H732" s="4" t="str">
        <x:v>直播间状态</x:v>
      </x:c>
      <x:c r="I732" s="4" t="str">
        <x:v>1. 观众账号已登录且具备当前页面权限
2. 完整排序</x:v>
      </x:c>
      <x:c r="J732" s="4" t="str">
        <x:v>1. 进入直播间
2. 刷新直播间</x:v>
      </x:c>
      <x:c r="K732" s="4" t="str">
        <x:v>显示前 99 名</x:v>
      </x:c>
      <x:c r="L732" s="4" t="str"/>
      <x:c r="M732" s="4" t="str">
        <x:v>未测</x:v>
      </x:c>
      <x:c r="N732" s="4" t="str"/>
      <x:c r="O732" s="4" t="str">
        <x:v>1. 来源（原型批注）：liveshow-proto/prototype/annotations/user.js；live-room-cohost-active.html
2. 页面：live-room-cohost-active.html
3. 规则：BR-EE1675F5D67CC5
4. 场景：SC-17C990197786F0
5. 未动态验证</x:v>
      </x:c>
    </x:row>
    <x:row r="733" ht="54" customHeight="1">
      <x:c r="A733" s="4" t="n">
        <x:v>732</x:v>
      </x:c>
      <x:c r="B733" s="4" t="str">
        <x:v>ULIVE-0230</x:v>
      </x:c>
      <x:c r="C733" s="4" t="str">
        <x:v>直播模块</x:v>
      </x:c>
      <x:c r="D733" s="4" t="str">
        <x:v>直播间（观众视角）</x:v>
      </x:c>
      <x:c r="E733" s="4" t="str">
        <x:v>业务流程</x:v>
      </x:c>
      <x:c r="F733" s="4" t="str">
        <x:v>P1</x:v>
      </x:c>
      <x:c r="G733" s="4" t="str">
        <x:v>验证账号注销后的直播间状态</x:v>
      </x:c>
      <x:c r="H733" s="4" t="str">
        <x:v>直播间状态</x:v>
      </x:c>
      <x:c r="I733" s="4" t="str">
        <x:v>1. 观众账号已登录且具备当前页面权限
2. 账号注销</x:v>
      </x:c>
      <x:c r="J733" s="4" t="str">
        <x:v>1. 进入直播间
2. 刷新直播间</x:v>
      </x:c>
      <x:c r="K733" s="4" t="str">
        <x:v>保留历史贡献</x:v>
      </x:c>
      <x:c r="L733" s="4" t="str"/>
      <x:c r="M733" s="4" t="str">
        <x:v>未测</x:v>
      </x:c>
      <x:c r="N733" s="4" t="str"/>
      <x:c r="O733" s="4" t="str">
        <x:v>1. 来源（原型批注）：liveshow-proto/prototype/annotations/user.js；live-room-cohost-active.html
2. 页面：live-room-cohost-active.html
3. 规则：BR-CA61F921CD97F4
4. 场景：SC-CA50B4A8D3C3C7
5. 未动态验证</x:v>
      </x:c>
    </x:row>
    <x:row r="734" ht="54" customHeight="1">
      <x:c r="A734" s="4" t="n">
        <x:v>733</x:v>
      </x:c>
      <x:c r="B734" s="4" t="str">
        <x:v>ULIVE-0231</x:v>
      </x:c>
      <x:c r="C734" s="4" t="str">
        <x:v>直播模块</x:v>
      </x:c>
      <x:c r="D734" s="4" t="str">
        <x:v>直播间（观众视角）</x:v>
      </x:c>
      <x:c r="E734" s="4" t="str">
        <x:v>功能需求</x:v>
      </x:c>
      <x:c r="F734" s="4" t="str">
        <x:v>P1</x:v>
      </x:c>
      <x:c r="G734" s="4" t="str">
        <x:v>验证直播间可查看本场贡献榜</x:v>
      </x:c>
      <x:c r="H734" s="4" t="str">
        <x:v>本场贡献榜展示</x:v>
      </x:c>
      <x:c r="I734" s="4" t="str">
        <x:v>1. 观众账号已登录且具备当前页面权限</x:v>
      </x:c>
      <x:c r="J734" s="4" t="str">
        <x:v>1. 进入直播间
2. 查看本场贡献榜</x:v>
      </x:c>
      <x:c r="K734" s="4" t="str">
        <x:v>直播间显示“本场贡献榜”</x:v>
      </x:c>
      <x:c r="L734" s="4" t="str"/>
      <x:c r="M734" s="4" t="str">
        <x:v>未测</x:v>
      </x:c>
      <x:c r="N734" s="4" t="str"/>
      <x:c r="O734" s="4" t="str">
        <x:v>1. 来源（原型批注）：liveshow-proto/prototype/annotations/user.js；live-room-cohost-active.html
2. 页面：live-room-cohost-active.html
3. 规则：BR-1F421B26AA2CA9、BR-EE1675F5D67CC5
4. 场景：SC-6594A8E8D97784
5. 未动态验证</x:v>
      </x:c>
    </x:row>
    <x:row r="735" ht="54" customHeight="1">
      <x:c r="A735" s="4" t="n">
        <x:v>734</x:v>
      </x:c>
      <x:c r="B735" s="4" t="str">
        <x:v>ULIVE-0232</x:v>
      </x:c>
      <x:c r="C735" s="4" t="str">
        <x:v>直播模块</x:v>
      </x:c>
      <x:c r="D735" s="4" t="str">
        <x:v>直播间（观众视角）</x:v>
      </x:c>
      <x:c r="E735" s="4" t="str">
        <x:v>功能需求</x:v>
      </x:c>
      <x:c r="F735" s="4" t="str">
        <x:v>P1</x:v>
      </x:c>
      <x:c r="G735" s="4" t="str">
        <x:v>验证直播间可查看本场数据</x:v>
      </x:c>
      <x:c r="H735" s="4" t="str">
        <x:v>本场数据展示</x:v>
      </x:c>
      <x:c r="I735" s="4" t="str">
        <x:v>1. 观众账号已登录且具备当前页面权限</x:v>
      </x:c>
      <x:c r="J735" s="4" t="str">
        <x:v>1. 进入直播间
2. 查看本场数据</x:v>
      </x:c>
      <x:c r="K735" s="4" t="str">
        <x:v>直播间显示“本场数据”</x:v>
      </x:c>
      <x:c r="L735" s="4" t="str"/>
      <x:c r="M735" s="4" t="str">
        <x:v>未测</x:v>
      </x:c>
      <x:c r="N735" s="4" t="str"/>
      <x:c r="O735" s="4" t="str">
        <x:v>1. 来源（原型批注）：liveshow-proto/prototype/annotations/user.js；live-room-cohost-active.html
2. 页面：live-room-cohost-active.html
3. 规则：BR-2A8769BED65D10
4. 场景：SC-A5B3D2207335A2
5. 未动态验证</x:v>
      </x:c>
    </x:row>
    <x:row r="736" ht="54" customHeight="1">
      <x:c r="A736" s="4" t="n">
        <x:v>735</x:v>
      </x:c>
      <x:c r="B736" s="4" t="str">
        <x:v>ULIVE-0233</x:v>
      </x:c>
      <x:c r="C736" s="4" t="str">
        <x:v>直播模块</x:v>
      </x:c>
      <x:c r="D736" s="4" t="str">
        <x:v>直播间（观众视角）</x:v>
      </x:c>
      <x:c r="E736" s="4" t="str">
        <x:v>功能需求</x:v>
      </x:c>
      <x:c r="F736" s="4" t="str">
        <x:v>P1</x:v>
      </x:c>
      <x:c r="G736" s="4" t="str">
        <x:v>验证直播间可查看连麦主播</x:v>
      </x:c>
      <x:c r="H736" s="4" t="str">
        <x:v>连麦主播展示</x:v>
      </x:c>
      <x:c r="I736" s="4" t="str">
        <x:v>1. 观众账号已登录且具备当前页面权限</x:v>
      </x:c>
      <x:c r="J736" s="4" t="str">
        <x:v>1. 进入直播间
2. 查看连麦主播</x:v>
      </x:c>
      <x:c r="K736" s="4" t="str">
        <x:v>直播间显示“连麦主播”</x:v>
      </x:c>
      <x:c r="L736" s="4" t="str"/>
      <x:c r="M736" s="4" t="str">
        <x:v>未测</x:v>
      </x:c>
      <x:c r="N736" s="4" t="str"/>
      <x:c r="O736" s="4" t="str">
        <x:v>1. 来源（原型批注）：liveshow-proto/prototype/annotations/user.js；live-room-cohost-active.html
2. 页面：live-room-cohost-active.html
3. 规则：BR-2EA9C1E375473D
4. 场景：SC-64C3AEE5D27E55
5. 未动态验证</x:v>
      </x:c>
    </x:row>
    <x:row r="737" ht="54" customHeight="1">
      <x:c r="A737" s="4" t="n">
        <x:v>736</x:v>
      </x:c>
      <x:c r="B737" s="4" t="str">
        <x:v>ULIVE-0234</x:v>
      </x:c>
      <x:c r="C737" s="4" t="str">
        <x:v>直播模块</x:v>
      </x:c>
      <x:c r="D737" s="4" t="str">
        <x:v>直播间（观众视角）</x:v>
      </x:c>
      <x:c r="E737" s="4" t="str">
        <x:v>功能需求</x:v>
      </x:c>
      <x:c r="F737" s="4" t="str">
        <x:v>P1</x:v>
      </x:c>
      <x:c r="G737" s="4" t="str">
        <x:v>验证直播间可查看连麦状态</x:v>
      </x:c>
      <x:c r="H737" s="4" t="str">
        <x:v>连麦状态展示</x:v>
      </x:c>
      <x:c r="I737" s="4" t="str">
        <x:v>1. 观众账号已登录且具备当前页面权限</x:v>
      </x:c>
      <x:c r="J737" s="4" t="str">
        <x:v>1. 进入直播间
2. 查看连麦状态</x:v>
      </x:c>
      <x:c r="K737" s="4" t="str">
        <x:v>直播间显示“连麦状态”</x:v>
      </x:c>
      <x:c r="L737" s="4" t="str"/>
      <x:c r="M737" s="4" t="str">
        <x:v>未测</x:v>
      </x:c>
      <x:c r="N737" s="4" t="str"/>
      <x:c r="O737" s="4" t="str">
        <x:v>1. 来源（原型批注）：liveshow-proto/prototype/annotations/user.js；live-room-cohost-active.html
2. 页面：live-room-cohost-active.html
3. 规则：BR-E186F715A954CD
4. 场景：SC-97EEFD261245B5
5. 未动态验证</x:v>
      </x:c>
    </x:row>
    <x:row r="738" ht="54" customHeight="1">
      <x:c r="A738" s="4" t="n">
        <x:v>737</x:v>
      </x:c>
      <x:c r="B738" s="4" t="str">
        <x:v>ULIVE-0235</x:v>
      </x:c>
      <x:c r="C738" s="4" t="str">
        <x:v>直播模块</x:v>
      </x:c>
      <x:c r="D738" s="4" t="str">
        <x:v>直播间（观众视角）</x:v>
      </x:c>
      <x:c r="E738" s="4" t="str">
        <x:v>功能需求</x:v>
      </x:c>
      <x:c r="F738" s="4" t="str">
        <x:v>P1</x:v>
      </x:c>
      <x:c r="G738" s="4" t="str">
        <x:v>验证直播间可查看在线观众排序</x:v>
      </x:c>
      <x:c r="H738" s="4" t="str">
        <x:v>在线观众排序展示</x:v>
      </x:c>
      <x:c r="I738" s="4" t="str">
        <x:v>1. 观众账号已登录且具备当前页面权限</x:v>
      </x:c>
      <x:c r="J738" s="4" t="str">
        <x:v>1. 进入直播间
2. 查看在线观众排序</x:v>
      </x:c>
      <x:c r="K738" s="4" t="str">
        <x:v>直播间显示“在线观众排序”</x:v>
      </x:c>
      <x:c r="L738" s="4" t="str"/>
      <x:c r="M738" s="4" t="str">
        <x:v>未测</x:v>
      </x:c>
      <x:c r="N738" s="4" t="str"/>
      <x:c r="O738" s="4" t="str">
        <x:v>1. 来源（原型批注）：liveshow-proto/prototype/annotations/user.js；live-room-cohost-active.html
2. 页面：live-room-cohost-active.html
3. 规则：BR-D7BCD2CA5EFA5B、BR-5A780592800777、BR-DB6CFA4C8ED730
4. 场景：SC-C09E431C3270FD
5. 未动态验证</x:v>
      </x:c>
    </x:row>
    <x:row r="739" ht="54" customHeight="1">
      <x:c r="A739" s="4" t="n">
        <x:v>738</x:v>
      </x:c>
      <x:c r="B739" s="4" t="str">
        <x:v>ULIVE-0236</x:v>
      </x:c>
      <x:c r="C739" s="4" t="str">
        <x:v>直播模块</x:v>
      </x:c>
      <x:c r="D739" s="4" t="str">
        <x:v>直播间（普通房）（观众视角）</x:v>
      </x:c>
      <x:c r="E739" s="4" t="str">
        <x:v>业务流程</x:v>
      </x:c>
      <x:c r="F739" s="4" t="str">
        <x:v>P1</x:v>
      </x:c>
      <x:c r="G739" s="4" t="str">
        <x:v>验证本场踢出后的直播间（普通房）状态</x:v>
      </x:c>
      <x:c r="H739" s="4" t="str">
        <x:v>直播间（普通房）状态</x:v>
      </x:c>
      <x:c r="I739" s="4" t="str">
        <x:v>1. 观众账号已登录且具备当前页面权限
2. 本场踢出</x:v>
      </x:c>
      <x:c r="J739" s="4" t="str">
        <x:v>1. 进入直播间（普通房）
2. 刷新直播间（普通房）</x:v>
      </x:c>
      <x:c r="K739" s="4" t="str">
        <x:v>显示访问受限拦截</x:v>
      </x:c>
      <x:c r="L739" s="4" t="str"/>
      <x:c r="M739" s="4" t="str">
        <x:v>未测</x:v>
      </x:c>
      <x:c r="N739" s="4" t="str"/>
      <x:c r="O739" s="4" t="str">
        <x:v>1. 来源（原型批注）：liveshow-proto/prototype/annotations/user.js；live-room.html
2. 页面：live-room.html
3. 规则：BR-2DCA92328842C7
4. 场景：SC-A53D665E41F1AF
5. 未动态验证</x:v>
      </x:c>
    </x:row>
    <x:row r="740" ht="54" customHeight="1">
      <x:c r="A740" s="4" t="n">
        <x:v>739</x:v>
      </x:c>
      <x:c r="B740" s="4" t="str">
        <x:v>ULIVE-0237</x:v>
      </x:c>
      <x:c r="C740" s="4" t="str">
        <x:v>直播模块</x:v>
      </x:c>
      <x:c r="D740" s="4" t="str">
        <x:v>直播间（普通房）（观众视角）</x:v>
      </x:c>
      <x:c r="E740" s="4" t="str">
        <x:v>业务流程</x:v>
      </x:c>
      <x:c r="F740" s="4" t="str">
        <x:v>P1</x:v>
      </x:c>
      <x:c r="G740" s="4" t="str">
        <x:v>验证进入普通房后的直播间（普通房）状态</x:v>
      </x:c>
      <x:c r="H740" s="4" t="str">
        <x:v>直播间（普通房）状态</x:v>
      </x:c>
      <x:c r="I740" s="4" t="str">
        <x:v>1. 观众账号已登录且具备当前页面权限</x:v>
      </x:c>
      <x:c r="J740" s="4" t="str">
        <x:v>1. 进入直播间（普通房）
2. 进入普通房</x:v>
      </x:c>
      <x:c r="K740" s="4" t="str">
        <x:v>直接展示直播内容</x:v>
      </x:c>
      <x:c r="L740" s="4" t="str"/>
      <x:c r="M740" s="4" t="str">
        <x:v>未测</x:v>
      </x:c>
      <x:c r="N740" s="4" t="str"/>
      <x:c r="O740" s="4" t="str">
        <x:v>1. 来源（原型批注）：liveshow-proto/prototype/annotations/user.js；live-room.html
2. 页面：live-room.html
3. 规则：BR-087835B266AB13
4. 场景：SC-649FD07C82CFC7
5. 未动态验证</x:v>
      </x:c>
    </x:row>
    <x:row r="741" ht="54" customHeight="1">
      <x:c r="A741" s="4" t="n">
        <x:v>740</x:v>
      </x:c>
      <x:c r="B741" s="4" t="str">
        <x:v>ULIVE-0238</x:v>
      </x:c>
      <x:c r="C741" s="4" t="str">
        <x:v>直播模块</x:v>
      </x:c>
      <x:c r="D741" s="4" t="str">
        <x:v>直播间（普通房）（观众视角）</x:v>
      </x:c>
      <x:c r="E741" s="4" t="str">
        <x:v>功能需求</x:v>
      </x:c>
      <x:c r="F741" s="4" t="str">
        <x:v>P1</x:v>
      </x:c>
      <x:c r="G741" s="4" t="str">
        <x:v>验证命中任一限制时的直播间（普通房）结果</x:v>
      </x:c>
      <x:c r="H741" s="4" t="str">
        <x:v>直播间（普通房）条件结果</x:v>
      </x:c>
      <x:c r="I741" s="4" t="str">
        <x:v>1. 观众账号已登录且具备当前页面权限
2. 命中任一限制</x:v>
      </x:c>
      <x:c r="J741" s="4" t="str">
        <x:v>1. 进入直播间（普通房）
2. 查看直播间（普通房）</x:v>
      </x:c>
      <x:c r="K741" s="4" t="str">
        <x:v>不能进入</x:v>
      </x:c>
      <x:c r="L741" s="4" t="str"/>
      <x:c r="M741" s="4" t="str">
        <x:v>未测</x:v>
      </x:c>
      <x:c r="N741" s="4" t="str"/>
      <x:c r="O741" s="4" t="str">
        <x:v>1. 来源（原型批注）：liveshow-proto/prototype/annotations/user.js；live-room.html
2. 页面：live-room.html
3. 规则：BR-D76DD5073A2540
4. 场景：SC-E62C6EC9D56F93
5. 未动态验证</x:v>
      </x:c>
    </x:row>
    <x:row r="742" ht="54" customHeight="1">
      <x:c r="A742" s="4" t="n">
        <x:v>741</x:v>
      </x:c>
      <x:c r="B742" s="4" t="str">
        <x:v>ULIVE-0239</x:v>
      </x:c>
      <x:c r="C742" s="4" t="str">
        <x:v>直播模块</x:v>
      </x:c>
      <x:c r="D742" s="4" t="str">
        <x:v>直播间（普通房）（观众视角）</x:v>
      </x:c>
      <x:c r="E742" s="4" t="str">
        <x:v>业务流程</x:v>
      </x:c>
      <x:c r="F742" s="4" t="str">
        <x:v>P1</x:v>
      </x:c>
      <x:c r="G742" s="4" t="str">
        <x:v>验证命中双方拉黑后的直播间（普通房）状态</x:v>
      </x:c>
      <x:c r="H742" s="4" t="str">
        <x:v>直播间（普通房）状态</x:v>
      </x:c>
      <x:c r="I742" s="4" t="str">
        <x:v>1. 观众账号已登录且具备当前页面权限
2. 命中双方拉黑</x:v>
      </x:c>
      <x:c r="J742" s="4" t="str">
        <x:v>1. 进入直播间（普通房）
2. 刷新直播间（普通房）</x:v>
      </x:c>
      <x:c r="K742" s="4" t="str">
        <x:v>显示访问受限拦截</x:v>
      </x:c>
      <x:c r="L742" s="4" t="str"/>
      <x:c r="M742" s="4" t="str">
        <x:v>未测</x:v>
      </x:c>
      <x:c r="N742" s="4" t="str"/>
      <x:c r="O742" s="4" t="str">
        <x:v>1. 来源（原型批注）：liveshow-proto/prototype/annotations/user.js；live-room.html
2. 页面：live-room.html
3. 规则：BR-2DCA92328842C7
4. 场景：SC-9DFDAA6190DF30
5. 未动态验证</x:v>
      </x:c>
    </x:row>
    <x:row r="743" ht="54" customHeight="1">
      <x:c r="A743" s="4" t="n">
        <x:v>742</x:v>
      </x:c>
      <x:c r="B743" s="4" t="str">
        <x:v>ULIVE-0240</x:v>
      </x:c>
      <x:c r="C743" s="4" t="str">
        <x:v>直播模块</x:v>
      </x:c>
      <x:c r="D743" s="4" t="str">
        <x:v>直播间（普通房）（观众视角）</x:v>
      </x:c>
      <x:c r="E743" s="4" t="str">
        <x:v>业务流程</x:v>
      </x:c>
      <x:c r="F743" s="4" t="str">
        <x:v>P1</x:v>
      </x:c>
      <x:c r="G743" s="4" t="str">
        <x:v>验证清屏后的直播间（普通房）状态</x:v>
      </x:c>
      <x:c r="H743" s="4" t="str">
        <x:v>直播间（普通房）状态</x:v>
      </x:c>
      <x:c r="I743" s="4" t="str">
        <x:v>1. 观众账号已登录且具备当前页面权限
2. 清屏</x:v>
      </x:c>
      <x:c r="J743" s="4" t="str">
        <x:v>1. 进入直播间（普通房）
2. 刷新直播间（普通房）</x:v>
      </x:c>
      <x:c r="K743" s="4" t="str">
        <x:v>仅清除当前设备上的公屏显示</x:v>
      </x:c>
      <x:c r="L743" s="4" t="str"/>
      <x:c r="M743" s="4" t="str">
        <x:v>未测</x:v>
      </x:c>
      <x:c r="N743" s="4" t="str"/>
      <x:c r="O743" s="4" t="str">
        <x:v>1. 来源（原型批注）：liveshow-proto/prototype/annotations/user.js；live-room.html
2. 页面：live-room.html
3. 规则：BR-690A4E116C6A35
4. 场景：SC-1B5ED2FB0A6953
5. 未动态验证</x:v>
      </x:c>
    </x:row>
    <x:row r="744" ht="54" customHeight="1">
      <x:c r="A744" s="4" t="n">
        <x:v>743</x:v>
      </x:c>
      <x:c r="B744" s="4" t="str">
        <x:v>ULIVE-0241</x:v>
      </x:c>
      <x:c r="C744" s="4" t="str">
        <x:v>直播模块</x:v>
      </x:c>
      <x:c r="D744" s="4" t="str">
        <x:v>直播间（普通房）（观众视角）</x:v>
      </x:c>
      <x:c r="E744" s="4" t="str">
        <x:v>异常用例</x:v>
      </x:c>
      <x:c r="F744" s="4" t="str">
        <x:v>P1</x:v>
      </x:c>
      <x:c r="G744" s="4" t="str">
        <x:v>验证踢出后的直播间（普通房）状态</x:v>
      </x:c>
      <x:c r="H744" s="4" t="str">
        <x:v>直播间（普通房）状态</x:v>
      </x:c>
      <x:c r="I744" s="4" t="str">
        <x:v>1. 观众账号已登录且具备当前页面权限
2. 踢出</x:v>
      </x:c>
      <x:c r="J744" s="4" t="str">
        <x:v>1. 进入直播间（普通房）
2. 刷新直播间（普通房）</x:v>
      </x:c>
      <x:c r="K744" s="4" t="str">
        <x:v>本场不可重进</x:v>
      </x:c>
      <x:c r="L744" s="4" t="str"/>
      <x:c r="M744" s="4" t="str">
        <x:v>未测</x:v>
      </x:c>
      <x:c r="N744" s="4" t="str"/>
      <x:c r="O744" s="4" t="str">
        <x:v>1. 来源（原型批注）：liveshow-proto/prototype/annotations/user.js；live-room.html
2. 页面：live-room.html
3. 规则：BR-999E5D47E9C371
4. 场景：SC-E3AB2B6B6A4D98
5. 未动态验证</x:v>
      </x:c>
    </x:row>
    <x:row r="745" ht="54" customHeight="1">
      <x:c r="A745" s="4" t="n">
        <x:v>744</x:v>
      </x:c>
      <x:c r="B745" s="4" t="str">
        <x:v>ULIVE-0242</x:v>
      </x:c>
      <x:c r="C745" s="4" t="str">
        <x:v>直播模块</x:v>
      </x:c>
      <x:c r="D745" s="4" t="str">
        <x:v>直播间（普通房）（观众视角）</x:v>
      </x:c>
      <x:c r="E745" s="4" t="str">
        <x:v>功能需求</x:v>
      </x:c>
      <x:c r="F745" s="4" t="str">
        <x:v>P1</x:v>
      </x:c>
      <x:c r="G745" s="4" t="str">
        <x:v>验证虚拟金币赠礼可计入时的直播间（普通房）结果</x:v>
      </x:c>
      <x:c r="H745" s="4" t="str">
        <x:v>直播间（普通房）条件结果</x:v>
      </x:c>
      <x:c r="I745" s="4" t="str">
        <x:v>1. 观众账号已登录且具备当前页面权限
2. 虚拟金币赠礼可计入</x:v>
      </x:c>
      <x:c r="J745" s="4" t="str">
        <x:v>1. 进入直播间（普通房）
2. 查看直播间（普通房）</x:v>
      </x:c>
      <x:c r="K745" s="4" t="str">
        <x:v>虚拟金币赠礼可计入展示但不形成主播收益</x:v>
      </x:c>
      <x:c r="L745" s="4" t="str"/>
      <x:c r="M745" s="4" t="str">
        <x:v>未测</x:v>
      </x:c>
      <x:c r="N745" s="4" t="str"/>
      <x:c r="O745" s="4" t="str">
        <x:v>1. 来源（原型批注）：liveshow-proto/prototype/annotations/user.js；live-room.html
2. 页面：live-room.html
3. 规则：BR-B931267C89C5BF
4. 场景：SC-02EC38F9C7BA11
5. 未动态验证</x:v>
      </x:c>
    </x:row>
    <x:row r="746" ht="54" customHeight="1">
      <x:c r="A746" s="4" t="n">
        <x:v>745</x:v>
      </x:c>
      <x:c r="B746" s="4" t="str">
        <x:v>ULIVE-0243</x:v>
      </x:c>
      <x:c r="C746" s="4" t="str">
        <x:v>直播模块</x:v>
      </x:c>
      <x:c r="D746" s="4" t="str">
        <x:v>直播间（普通房）（观众视角）</x:v>
      </x:c>
      <x:c r="E746" s="4" t="str">
        <x:v>业务流程</x:v>
      </x:c>
      <x:c r="F746" s="4" t="str">
        <x:v>P1</x:v>
      </x:c>
      <x:c r="G746" s="4" t="str">
        <x:v>验证巡房结束后的直播间（普通房）状态</x:v>
      </x:c>
      <x:c r="H746" s="4" t="str">
        <x:v>直播间（普通房）状态</x:v>
      </x:c>
      <x:c r="I746" s="4" t="str">
        <x:v>1. 观众账号已登录且具备当前页面权限
2. 巡房结束</x:v>
      </x:c>
      <x:c r="J746" s="4" t="str">
        <x:v>1. 进入直播间（普通房）
2. 刷新直播间（普通房）</x:v>
      </x:c>
      <x:c r="K746" s="4" t="str">
        <x:v>恢复普通用户规则</x:v>
      </x:c>
      <x:c r="L746" s="4" t="str"/>
      <x:c r="M746" s="4" t="str">
        <x:v>未测</x:v>
      </x:c>
      <x:c r="N746" s="4" t="str"/>
      <x:c r="O746" s="4" t="str">
        <x:v>1. 来源（原型批注）：liveshow-proto/prototype/annotations/user.js；live-room.html
2. 页面：live-room.html
3. 规则：BR-29F6DC440E25CE
4. 场景：SC-D8BC4A3DEE18DB
5. 未动态验证</x:v>
      </x:c>
    </x:row>
    <x:row r="747" ht="54" customHeight="1">
      <x:c r="A747" s="4" t="n">
        <x:v>746</x:v>
      </x:c>
      <x:c r="B747" s="4" t="str">
        <x:v>ULIVE-0244</x:v>
      </x:c>
      <x:c r="C747" s="4" t="str">
        <x:v>直播模块</x:v>
      </x:c>
      <x:c r="D747" s="4" t="str">
        <x:v>直播间（普通房）（观众视角）</x:v>
      </x:c>
      <x:c r="E747" s="4" t="str">
        <x:v>业务流程</x:v>
      </x:c>
      <x:c r="F747" s="4" t="str">
        <x:v>P1</x:v>
      </x:c>
      <x:c r="G747" s="4" t="str">
        <x:v>验证巡房任务进入后的直播间（普通房）状态</x:v>
      </x:c>
      <x:c r="H747" s="4" t="str">
        <x:v>直播间（普通房）状态</x:v>
      </x:c>
      <x:c r="I747" s="4" t="str">
        <x:v>1. 观众账号已登录且具备当前页面权限
2. 巡房任务进入</x:v>
      </x:c>
      <x:c r="J747" s="4" t="str">
        <x:v>1. 进入直播间（普通房）
2. 刷新直播间（普通房）</x:v>
      </x:c>
      <x:c r="K747" s="4" t="str">
        <x:v>不显示访问拦截</x:v>
      </x:c>
      <x:c r="L747" s="4" t="str"/>
      <x:c r="M747" s="4" t="str">
        <x:v>未测</x:v>
      </x:c>
      <x:c r="N747" s="4" t="str"/>
      <x:c r="O747" s="4" t="str">
        <x:v>1. 来源（原型批注）：liveshow-proto/prototype/annotations/user.js；live-room.html
2. 页面：live-room.html
3. 规则：BR-6F71E30C3B85E1
4. 场景：SC-E5CFFEF9A1455B
5. 未动态验证</x:v>
      </x:c>
    </x:row>
    <x:row r="748" ht="54" customHeight="1">
      <x:c r="A748" s="4" t="n">
        <x:v>747</x:v>
      </x:c>
      <x:c r="B748" s="4" t="str">
        <x:v>ULIVE-0245</x:v>
      </x:c>
      <x:c r="C748" s="4" t="str">
        <x:v>直播模块</x:v>
      </x:c>
      <x:c r="D748" s="4" t="str">
        <x:v>直播间（普通房）（观众视角）</x:v>
      </x:c>
      <x:c r="E748" s="4" t="str">
        <x:v>功能需求</x:v>
      </x:c>
      <x:c r="F748" s="4" t="str">
        <x:v>P1</x:v>
      </x:c>
      <x:c r="G748" s="4" t="str">
        <x:v>验证直播间（普通房）可查看本场贡献</x:v>
      </x:c>
      <x:c r="H748" s="4" t="str">
        <x:v>本场贡献展示</x:v>
      </x:c>
      <x:c r="I748" s="4" t="str">
        <x:v>1. 观众账号已登录且具备当前页面权限</x:v>
      </x:c>
      <x:c r="J748" s="4" t="str">
        <x:v>1. 进入直播间（普通房）
2. 查看本场贡献</x:v>
      </x:c>
      <x:c r="K748" s="4" t="str">
        <x:v>直播间（普通房）显示“本场贡献”</x:v>
      </x:c>
      <x:c r="L748" s="4" t="str"/>
      <x:c r="M748" s="4" t="str">
        <x:v>未测</x:v>
      </x:c>
      <x:c r="N748" s="4" t="str"/>
      <x:c r="O748" s="4" t="str">
        <x:v>1. 来源（原型批注）：liveshow-proto/prototype/annotations/user.js；live-room.html
2. 页面：live-room.html
3. 规则：BR-3B3B32718503AA、BR-87830F9B6D8D00、BR-B931267C89C5BF
4. 场景：SC-878D2FB16C319A
5. 未动态验证</x:v>
      </x:c>
    </x:row>
    <x:row r="749" ht="54" customHeight="1">
      <x:c r="A749" s="4" t="n">
        <x:v>748</x:v>
      </x:c>
      <x:c r="B749" s="4" t="str">
        <x:v>ULIVE-0246</x:v>
      </x:c>
      <x:c r="C749" s="4" t="str">
        <x:v>直播模块</x:v>
      </x:c>
      <x:c r="D749" s="4" t="str">
        <x:v>直播间（普通房）（观众视角）</x:v>
      </x:c>
      <x:c r="E749" s="4" t="str">
        <x:v>功能需求</x:v>
      </x:c>
      <x:c r="F749" s="4" t="str">
        <x:v>P1</x:v>
      </x:c>
      <x:c r="G749" s="4" t="str">
        <x:v>验证直播间（普通房）可查看公屏消息</x:v>
      </x:c>
      <x:c r="H749" s="4" t="str">
        <x:v>公屏消息展示</x:v>
      </x:c>
      <x:c r="I749" s="4" t="str">
        <x:v>1. 观众账号已登录且具备当前页面权限</x:v>
      </x:c>
      <x:c r="J749" s="4" t="str">
        <x:v>1. 进入直播间（普通房）
2. 查看公屏消息</x:v>
      </x:c>
      <x:c r="K749" s="4" t="str">
        <x:v>直播间（普通房）显示“公屏消息”</x:v>
      </x:c>
      <x:c r="L749" s="4" t="str"/>
      <x:c r="M749" s="4" t="str">
        <x:v>未测</x:v>
      </x:c>
      <x:c r="N749" s="4" t="str"/>
      <x:c r="O749" s="4" t="str">
        <x:v>1. 来源（原型批注）：liveshow-proto/prototype/annotations/user.js；live-room.html
2. 页面：live-room.html
3. 规则：BR-D95D92878CFA55
4. 场景：SC-2AAD1540B002FE
5. 未动态验证</x:v>
      </x:c>
    </x:row>
    <x:row r="750" ht="54" customHeight="1">
      <x:c r="A750" s="4" t="n">
        <x:v>749</x:v>
      </x:c>
      <x:c r="B750" s="4" t="str">
        <x:v>ULIVE-0247</x:v>
      </x:c>
      <x:c r="C750" s="4" t="str">
        <x:v>直播模块</x:v>
      </x:c>
      <x:c r="D750" s="4" t="str">
        <x:v>直播间（普通房）（观众视角）</x:v>
      </x:c>
      <x:c r="E750" s="4" t="str">
        <x:v>功能需求</x:v>
      </x:c>
      <x:c r="F750" s="4" t="str">
        <x:v>P1</x:v>
      </x:c>
      <x:c r="G750" s="4" t="str">
        <x:v>验证直播间（普通房）可查看在线人数</x:v>
      </x:c>
      <x:c r="H750" s="4" t="str">
        <x:v>在线人数展示</x:v>
      </x:c>
      <x:c r="I750" s="4" t="str">
        <x:v>1. 观众账号已登录且具备当前页面权限</x:v>
      </x:c>
      <x:c r="J750" s="4" t="str">
        <x:v>1. 进入直播间（普通房）
2. 查看在线人数</x:v>
      </x:c>
      <x:c r="K750" s="4" t="str">
        <x:v>直播间（普通房）显示“在线人数”</x:v>
      </x:c>
      <x:c r="L750" s="4" t="str"/>
      <x:c r="M750" s="4" t="str">
        <x:v>未测</x:v>
      </x:c>
      <x:c r="N750" s="4" t="str"/>
      <x:c r="O750" s="4" t="str">
        <x:v>1. 来源（原型批注）：liveshow-proto/prototype/annotations/user.js；live-room.html
2. 页面：live-room.html
3. 规则：BR-1460830810F082
4. 场景：SC-42F2BC3A485613
5. 未动态验证</x:v>
      </x:c>
    </x:row>
    <x:row r="751" ht="54" customHeight="1">
      <x:c r="A751" s="4" t="n">
        <x:v>750</x:v>
      </x:c>
      <x:c r="B751" s="4" t="str">
        <x:v>ULIVE-0248</x:v>
      </x:c>
      <x:c r="C751" s="4" t="str">
        <x:v>直播模块</x:v>
      </x:c>
      <x:c r="D751" s="4" t="str">
        <x:v>直播间（普通房）（观众视角）</x:v>
      </x:c>
      <x:c r="E751" s="4" t="str">
        <x:v>功能需求</x:v>
      </x:c>
      <x:c r="F751" s="4" t="str">
        <x:v>P1</x:v>
      </x:c>
      <x:c r="G751" s="4" t="str">
        <x:v>验证直播间（普通房）可查看直播场次</x:v>
      </x:c>
      <x:c r="H751" s="4" t="str">
        <x:v>直播场次展示</x:v>
      </x:c>
      <x:c r="I751" s="4" t="str">
        <x:v>1. 观众账号已登录且具备当前页面权限</x:v>
      </x:c>
      <x:c r="J751" s="4" t="str">
        <x:v>1. 进入直播间（普通房）
2. 查看直播场次</x:v>
      </x:c>
      <x:c r="K751" s="4" t="str">
        <x:v>直播间（普通房）显示“直播场次”</x:v>
      </x:c>
      <x:c r="L751" s="4" t="str"/>
      <x:c r="M751" s="4" t="str">
        <x:v>未测</x:v>
      </x:c>
      <x:c r="N751" s="4" t="str"/>
      <x:c r="O751" s="4" t="str">
        <x:v>1. 来源（原型批注）：liveshow-proto/prototype/annotations/user.js；live-room.html
2. 页面：live-room.html
3. 规则：BR-47CFF19F213294
4. 场景：SC-87C732956EE239
5. 未动态验证</x:v>
      </x:c>
    </x:row>
    <x:row r="752" ht="54" customHeight="1">
      <x:c r="A752" s="4" t="n">
        <x:v>751</x:v>
      </x:c>
      <x:c r="B752" s="4" t="str">
        <x:v>ULIVE-0249</x:v>
      </x:c>
      <x:c r="C752" s="4" t="str">
        <x:v>直播模块</x:v>
      </x:c>
      <x:c r="D752" s="4" t="str">
        <x:v>直播间（普通房）（观众视角）</x:v>
      </x:c>
      <x:c r="E752" s="4" t="str">
        <x:v>功能需求</x:v>
      </x:c>
      <x:c r="F752" s="4" t="str">
        <x:v>P1</x:v>
      </x:c>
      <x:c r="G752" s="4" t="str">
        <x:v>验证直播间（普通房）可查看主播</x:v>
      </x:c>
      <x:c r="H752" s="4" t="str">
        <x:v>主播展示</x:v>
      </x:c>
      <x:c r="I752" s="4" t="str">
        <x:v>1. 观众账号已登录且具备当前页面权限</x:v>
      </x:c>
      <x:c r="J752" s="4" t="str">
        <x:v>1. 进入直播间（普通房）
2. 查看主播</x:v>
      </x:c>
      <x:c r="K752" s="4" t="str">
        <x:v>直播间（普通房）显示“主播”</x:v>
      </x:c>
      <x:c r="L752" s="4" t="str"/>
      <x:c r="M752" s="4" t="str">
        <x:v>未测</x:v>
      </x:c>
      <x:c r="N752" s="4" t="str"/>
      <x:c r="O752" s="4" t="str">
        <x:v>1. 来源（原型批注）：liveshow-proto/prototype/annotations/user.js；live-room.html
2. 页面：live-room.html
3. 规则：BR-7C36435CA7B30D
4. 场景：SC-F75D3C12000C7E
5. 未动态验证</x:v>
      </x:c>
    </x:row>
    <x:row r="753" ht="54" customHeight="1">
      <x:c r="A753" s="4" t="n">
        <x:v>752</x:v>
      </x:c>
      <x:c r="B753" s="4" t="str">
        <x:v>ULIVE-0250</x:v>
      </x:c>
      <x:c r="C753" s="4" t="str">
        <x:v>直播模块</x:v>
      </x:c>
      <x:c r="D753" s="4" t="str">
        <x:v>直播间（主播）（主播视角）</x:v>
      </x:c>
      <x:c r="E753" s="4" t="str">
        <x:v>业务流程</x:v>
      </x:c>
      <x:c r="F753" s="4" t="str">
        <x:v>P1</x:v>
      </x:c>
      <x:c r="G753" s="4" t="str">
        <x:v>验证清屏后的直播间（主播）状态</x:v>
      </x:c>
      <x:c r="H753" s="4" t="str">
        <x:v>直播间（主播）状态</x:v>
      </x:c>
      <x:c r="I753" s="4" t="str">
        <x:v>1. 主播账号已登录且具备当前页面权限
2. 清屏</x:v>
      </x:c>
      <x:c r="J753" s="4" t="str">
        <x:v>1. 进入直播间（主播）
2. 刷新直播间（主播）</x:v>
      </x:c>
      <x:c r="K753" s="4" t="str">
        <x:v>仅清除当前主播设备上的公屏显示</x:v>
      </x:c>
      <x:c r="L753" s="4" t="str"/>
      <x:c r="M753" s="4" t="str">
        <x:v>未测</x:v>
      </x:c>
      <x:c r="N753" s="4" t="str"/>
      <x:c r="O753" s="4" t="str">
        <x:v>1. 来源（原型批注）：liveshow-proto/prototype/annotations/user.js；live-room-host.html
2. 页面：live-room-host.html
3. 规则：BR-61063B86D5E1D8
4. 场景：SC-7C0E313634BADA
5. 未动态验证</x:v>
      </x:c>
    </x:row>
    <x:row r="754" ht="54" customHeight="1">
      <x:c r="A754" s="4" t="n">
        <x:v>753</x:v>
      </x:c>
      <x:c r="B754" s="4" t="str">
        <x:v>ULIVE-0251</x:v>
      </x:c>
      <x:c r="C754" s="4" t="str">
        <x:v>直播模块</x:v>
      </x:c>
      <x:c r="D754" s="4" t="str">
        <x:v>直播间（主播）（主播视角）</x:v>
      </x:c>
      <x:c r="E754" s="4" t="str">
        <x:v>异常用例</x:v>
      </x:c>
      <x:c r="F754" s="4" t="str">
        <x:v>P1</x:v>
      </x:c>
      <x:c r="G754" s="4" t="str">
        <x:v>验证踢出后的直播间（主播）状态</x:v>
      </x:c>
      <x:c r="H754" s="4" t="str">
        <x:v>直播间（主播）状态</x:v>
      </x:c>
      <x:c r="I754" s="4" t="str">
        <x:v>1. 主播账号已登录且具备当前页面权限
2. 踢出</x:v>
      </x:c>
      <x:c r="J754" s="4" t="str">
        <x:v>1. 进入直播间（主播）
2. 刷新直播间（主播）</x:v>
      </x:c>
      <x:c r="K754" s="4" t="str">
        <x:v>用户本场不可重进</x:v>
      </x:c>
      <x:c r="L754" s="4" t="str"/>
      <x:c r="M754" s="4" t="str">
        <x:v>未测</x:v>
      </x:c>
      <x:c r="N754" s="4" t="str"/>
      <x:c r="O754" s="4" t="str">
        <x:v>1. 来源（原型批注）：liveshow-proto/prototype/annotations/user.js；live-room-host.html
2. 页面：live-room-host.html
3. 规则：BR-3E750B381EF2FD
4. 场景：SC-55D329B389EA90
5. 未动态验证</x:v>
      </x:c>
    </x:row>
    <x:row r="755" ht="54" customHeight="1">
      <x:c r="A755" s="4" t="n">
        <x:v>754</x:v>
      </x:c>
      <x:c r="B755" s="4" t="str">
        <x:v>ULIVE-0252</x:v>
      </x:c>
      <x:c r="C755" s="4" t="str">
        <x:v>直播模块</x:v>
      </x:c>
      <x:c r="D755" s="4" t="str">
        <x:v>直播间（主播）（主播视角）</x:v>
      </x:c>
      <x:c r="E755" s="4" t="str">
        <x:v>业务流程</x:v>
      </x:c>
      <x:c r="F755" s="4" t="str">
        <x:v>P1</x:v>
      </x:c>
      <x:c r="G755" s="4" t="str">
        <x:v>验证新连麦邀请后的直播间（主播）状态</x:v>
      </x:c>
      <x:c r="H755" s="4" t="str">
        <x:v>直播间（主播）状态</x:v>
      </x:c>
      <x:c r="I755" s="4" t="str">
        <x:v>1. 主播账号已登录且具备当前页面权限
2. 新连麦邀请</x:v>
      </x:c>
      <x:c r="J755" s="4" t="str">
        <x:v>1. 进入直播间（主播）
2. 刷新直播间（主播）</x:v>
      </x:c>
      <x:c r="K755" s="4" t="str">
        <x:v>更新待处理数量</x:v>
      </x:c>
      <x:c r="L755" s="4" t="str"/>
      <x:c r="M755" s="4" t="str">
        <x:v>未测</x:v>
      </x:c>
      <x:c r="N755" s="4" t="str"/>
      <x:c r="O755" s="4" t="str">
        <x:v>1. 来源（原型批注）：liveshow-proto/prototype/annotations/user.js；live-room-host.html
2. 页面：live-room-host.html
3. 规则：BR-4150658724A41C
4. 场景：SC-421B9F4C3FEC14
5. 未动态验证</x:v>
      </x:c>
    </x:row>
    <x:row r="756" ht="54" customHeight="1">
      <x:c r="A756" s="4" t="n">
        <x:v>755</x:v>
      </x:c>
      <x:c r="B756" s="4" t="str">
        <x:v>ULIVE-0253</x:v>
      </x:c>
      <x:c r="C756" s="4" t="str">
        <x:v>直播模块</x:v>
      </x:c>
      <x:c r="D756" s="4" t="str">
        <x:v>直播间（主播）（主播视角）</x:v>
      </x:c>
      <x:c r="E756" s="4" t="str">
        <x:v>功能需求</x:v>
      </x:c>
      <x:c r="F756" s="4" t="str">
        <x:v>P1</x:v>
      </x:c>
      <x:c r="G756" s="4" t="str">
        <x:v>验证直播间（主播）可查看本场贡献</x:v>
      </x:c>
      <x:c r="H756" s="4" t="str">
        <x:v>本场贡献展示</x:v>
      </x:c>
      <x:c r="I756" s="4" t="str">
        <x:v>1. 主播账号已登录且具备当前页面权限</x:v>
      </x:c>
      <x:c r="J756" s="4" t="str">
        <x:v>1. 进入直播间（主播）
2. 查看本场贡献</x:v>
      </x:c>
      <x:c r="K756" s="4" t="str">
        <x:v>直播间（主播）显示“本场贡献”</x:v>
      </x:c>
      <x:c r="L756" s="4" t="str"/>
      <x:c r="M756" s="4" t="str">
        <x:v>未测</x:v>
      </x:c>
      <x:c r="N756" s="4" t="str"/>
      <x:c r="O756" s="4" t="str">
        <x:v>1. 来源（原型批注）：liveshow-proto/prototype/annotations/user.js；live-room-host.html
2. 页面：live-room-host.html
3. 规则：BR-BDF7A886C6D464、BR-791BD8D51B3FC9、BR-24B9132BB0E9F9
4. 场景：SC-189715611DE4F9
5. 未动态验证</x:v>
      </x:c>
    </x:row>
    <x:row r="757" ht="54" customHeight="1">
      <x:c r="A757" s="4" t="n">
        <x:v>756</x:v>
      </x:c>
      <x:c r="B757" s="4" t="str">
        <x:v>ULIVE-0254</x:v>
      </x:c>
      <x:c r="C757" s="4" t="str">
        <x:v>直播模块</x:v>
      </x:c>
      <x:c r="D757" s="4" t="str">
        <x:v>直播间（主播）（主播视角）</x:v>
      </x:c>
      <x:c r="E757" s="4" t="str">
        <x:v>功能需求</x:v>
      </x:c>
      <x:c r="F757" s="4" t="str">
        <x:v>P1</x:v>
      </x:c>
      <x:c r="G757" s="4" t="str">
        <x:v>验证直播间（主播）可查看待处理连麦邀请</x:v>
      </x:c>
      <x:c r="H757" s="4" t="str">
        <x:v>待处理连麦邀请展示</x:v>
      </x:c>
      <x:c r="I757" s="4" t="str">
        <x:v>1. 主播账号已登录且具备当前页面权限</x:v>
      </x:c>
      <x:c r="J757" s="4" t="str">
        <x:v>1. 进入直播间（主播）
2. 查看待处理连麦邀请</x:v>
      </x:c>
      <x:c r="K757" s="4" t="str">
        <x:v>直播间（主播）显示“待处理连麦邀请”</x:v>
      </x:c>
      <x:c r="L757" s="4" t="str"/>
      <x:c r="M757" s="4" t="str">
        <x:v>未测</x:v>
      </x:c>
      <x:c r="N757" s="4" t="str"/>
      <x:c r="O757" s="4" t="str">
        <x:v>1. 来源（原型批注）：liveshow-proto/prototype/annotations/user.js；live-room-host.html
2. 页面：live-room-host.html
3. 规则：BR-98CEF8C50EBBD5
4. 场景：SC-73F9818226573B
5. 未动态验证</x:v>
      </x:c>
    </x:row>
    <x:row r="758" ht="54" customHeight="1">
      <x:c r="A758" s="4" t="n">
        <x:v>757</x:v>
      </x:c>
      <x:c r="B758" s="4" t="str">
        <x:v>ULIVE-0255</x:v>
      </x:c>
      <x:c r="C758" s="4" t="str">
        <x:v>直播模块</x:v>
      </x:c>
      <x:c r="D758" s="4" t="str">
        <x:v>直播间（主播）（主播视角）</x:v>
      </x:c>
      <x:c r="E758" s="4" t="str">
        <x:v>功能需求</x:v>
      </x:c>
      <x:c r="F758" s="4" t="str">
        <x:v>P1</x:v>
      </x:c>
      <x:c r="G758" s="4" t="str">
        <x:v>验证直播间（主播）可查看房间 ID</x:v>
      </x:c>
      <x:c r="H758" s="4" t="str">
        <x:v>房间 ID展示</x:v>
      </x:c>
      <x:c r="I758" s="4" t="str">
        <x:v>1. 主播账号已登录且具备当前页面权限</x:v>
      </x:c>
      <x:c r="J758" s="4" t="str">
        <x:v>1. 进入直播间（主播）
2. 查看房间 ID</x:v>
      </x:c>
      <x:c r="K758" s="4" t="str">
        <x:v>直播间（主播）显示“房间 ID”</x:v>
      </x:c>
      <x:c r="L758" s="4" t="str"/>
      <x:c r="M758" s="4" t="str">
        <x:v>未测</x:v>
      </x:c>
      <x:c r="N758" s="4" t="str"/>
      <x:c r="O758" s="4" t="str">
        <x:v>1. 来源（原型批注）：liveshow-proto/prototype/annotations/user.js；live-room-host.html
2. 页面：live-room-host.html
3. 规则：BR-F16AF626385FF9、BR-370BCEF8F6ED4F
4. 场景：SC-4FD7033FA8E271
5. 未动态验证</x:v>
      </x:c>
    </x:row>
    <x:row r="759" ht="54" customHeight="1">
      <x:c r="A759" s="4" t="n">
        <x:v>758</x:v>
      </x:c>
      <x:c r="B759" s="4" t="str">
        <x:v>ULIVE-0256</x:v>
      </x:c>
      <x:c r="C759" s="4" t="str">
        <x:v>直播模块</x:v>
      </x:c>
      <x:c r="D759" s="4" t="str">
        <x:v>直播间（主播）（主播视角）</x:v>
      </x:c>
      <x:c r="E759" s="4" t="str">
        <x:v>功能需求</x:v>
      </x:c>
      <x:c r="F759" s="4" t="str">
        <x:v>P1</x:v>
      </x:c>
      <x:c r="G759" s="4" t="str">
        <x:v>验证直播间（主播）可查看公屏消息</x:v>
      </x:c>
      <x:c r="H759" s="4" t="str">
        <x:v>公屏消息展示</x:v>
      </x:c>
      <x:c r="I759" s="4" t="str">
        <x:v>1. 主播账号已登录且具备当前页面权限</x:v>
      </x:c>
      <x:c r="J759" s="4" t="str">
        <x:v>1. 进入直播间（主播）
2. 查看公屏消息</x:v>
      </x:c>
      <x:c r="K759" s="4" t="str">
        <x:v>直播间（主播）显示“公屏消息”</x:v>
      </x:c>
      <x:c r="L759" s="4" t="str"/>
      <x:c r="M759" s="4" t="str">
        <x:v>未测</x:v>
      </x:c>
      <x:c r="N759" s="4" t="str"/>
      <x:c r="O759" s="4" t="str">
        <x:v>1. 来源（原型批注）：liveshow-proto/prototype/annotations/user.js；live-room-host.html
2. 页面：live-room-host.html
3. 规则：BR-36870E7382B48B、BR-5E3B9C1F0F9282
4. 场景：SC-34FB595B0FA575
5. 未动态验证</x:v>
      </x:c>
    </x:row>
    <x:row r="760" ht="54" customHeight="1">
      <x:c r="A760" s="4" t="n">
        <x:v>759</x:v>
      </x:c>
      <x:c r="B760" s="4" t="str">
        <x:v>ULIVE-0257</x:v>
      </x:c>
      <x:c r="C760" s="4" t="str">
        <x:v>直播模块</x:v>
      </x:c>
      <x:c r="D760" s="4" t="str">
        <x:v>直播间（主播）（主播视角）</x:v>
      </x:c>
      <x:c r="E760" s="4" t="str">
        <x:v>功能需求</x:v>
      </x:c>
      <x:c r="F760" s="4" t="str">
        <x:v>P1</x:v>
      </x:c>
      <x:c r="G760" s="4" t="str">
        <x:v>验证直播间（主播）可查看在线人数</x:v>
      </x:c>
      <x:c r="H760" s="4" t="str">
        <x:v>在线人数展示</x:v>
      </x:c>
      <x:c r="I760" s="4" t="str">
        <x:v>1. 主播账号已登录且具备当前页面权限</x:v>
      </x:c>
      <x:c r="J760" s="4" t="str">
        <x:v>1. 进入直播间（主播）
2. 查看在线人数</x:v>
      </x:c>
      <x:c r="K760" s="4" t="str">
        <x:v>直播间（主播）显示“在线人数”</x:v>
      </x:c>
      <x:c r="L760" s="4" t="str"/>
      <x:c r="M760" s="4" t="str">
        <x:v>未测</x:v>
      </x:c>
      <x:c r="N760" s="4" t="str"/>
      <x:c r="O760" s="4" t="str">
        <x:v>1. 来源（原型批注）：liveshow-proto/prototype/annotations/user.js；live-room-host.html
2. 页面：live-room-host.html
3. 规则：BR-4410C5EAE1FF47
4. 场景：SC-12802D59DB8A44
5. 未动态验证</x:v>
      </x:c>
    </x:row>
    <x:row r="761" ht="54" customHeight="1">
      <x:c r="A761" s="4" t="n">
        <x:v>760</x:v>
      </x:c>
      <x:c r="B761" s="4" t="str">
        <x:v>ULIVE-0258</x:v>
      </x:c>
      <x:c r="C761" s="4" t="str">
        <x:v>直播模块</x:v>
      </x:c>
      <x:c r="D761" s="4" t="str">
        <x:v>直播间（主播视角）</x:v>
      </x:c>
      <x:c r="E761" s="4" t="str">
        <x:v>功能需求</x:v>
      </x:c>
      <x:c r="F761" s="4" t="str">
        <x:v>P1</x:v>
      </x:c>
      <x:c r="G761" s="4" t="str">
        <x:v>验证按停留时长时的直播间结果</x:v>
      </x:c>
      <x:c r="H761" s="4" t="str">
        <x:v>直播间条件结果</x:v>
      </x:c>
      <x:c r="I761" s="4" t="str">
        <x:v>1. 主播账号已登录且具备当前页面权限
2. 按停留时长</x:v>
      </x:c>
      <x:c r="J761" s="4" t="str">
        <x:v>1. 进入直播间
2. 查看直播间</x:v>
      </x:c>
      <x:c r="K761" s="4" t="str">
        <x:v>依次比较停留时长、贡献值、粉丝等级、财富等级、用户 ID</x:v>
      </x:c>
      <x:c r="L761" s="4" t="str"/>
      <x:c r="M761" s="4" t="str">
        <x:v>未测</x:v>
      </x:c>
      <x:c r="N761" s="4" t="str"/>
      <x:c r="O761" s="4" t="str">
        <x:v>1. 来源（原型批注）：liveshow-proto/prototype/annotations/user.js；live-room-host-password.html
2. 页面：live-room-host-password.html
3. 规则：BR-FCD54CF00307E6
4. 场景：SC-3E888DB7A03999
5. 未动态验证</x:v>
      </x:c>
    </x:row>
    <x:row r="762" ht="54" customHeight="1">
      <x:c r="A762" s="4" t="n">
        <x:v>761</x:v>
      </x:c>
      <x:c r="B762" s="4" t="str">
        <x:v>ULIVE-0259</x:v>
      </x:c>
      <x:c r="C762" s="4" t="str">
        <x:v>直播模块</x:v>
      </x:c>
      <x:c r="D762" s="4" t="str">
        <x:v>直播间（主播视角）</x:v>
      </x:c>
      <x:c r="E762" s="4" t="str">
        <x:v>逻辑校验</x:v>
      </x:c>
      <x:c r="F762" s="4" t="str">
        <x:v>P1</x:v>
      </x:c>
      <x:c r="G762" s="4" t="str">
        <x:v>验证房间密码输入12</x:v>
      </x:c>
      <x:c r="H762" s="4" t="str">
        <x:v>房间密码取值边界</x:v>
      </x:c>
      <x:c r="I762" s="4" t="str">
        <x:v>1. 主播账号已登录且具备当前页面权限</x:v>
      </x:c>
      <x:c r="J762" s="4" t="str">
        <x:v>1. 进入直播间
2. 输入房间密码12</x:v>
      </x:c>
      <x:c r="K762" s="4" t="str">
        <x:v>房间密码接受数值12</x:v>
      </x:c>
      <x:c r="L762" s="4" t="str"/>
      <x:c r="M762" s="4" t="str">
        <x:v>未测</x:v>
      </x:c>
      <x:c r="N762" s="4" t="str"/>
      <x:c r="O762" s="4" t="str">
        <x:v>1. 来源（原型批注）：liveshow-proto/prototype/annotations/user.js；live-room-host-password.html
2. 页面：live-room-host-password.html
3. 规则：BR-39D8006B89998C
4. 场景：SC-60A8094D78D293
5. 未动态验证</x:v>
      </x:c>
    </x:row>
    <x:row r="763" ht="54" customHeight="1">
      <x:c r="A763" s="4" t="n">
        <x:v>762</x:v>
      </x:c>
      <x:c r="B763" s="4" t="str">
        <x:v>ULIVE-0260</x:v>
      </x:c>
      <x:c r="C763" s="4" t="str">
        <x:v>直播模块</x:v>
      </x:c>
      <x:c r="D763" s="4" t="str">
        <x:v>直播间（主播视角）</x:v>
      </x:c>
      <x:c r="E763" s="4" t="str">
        <x:v>异常用例</x:v>
      </x:c>
      <x:c r="F763" s="4" t="str">
        <x:v>P1</x:v>
      </x:c>
      <x:c r="G763" s="4" t="str">
        <x:v>验证房间密码输入13</x:v>
      </x:c>
      <x:c r="H763" s="4" t="str">
        <x:v>房间密码取值边界</x:v>
      </x:c>
      <x:c r="I763" s="4" t="str">
        <x:v>1. 主播账号已登录且具备当前页面权限</x:v>
      </x:c>
      <x:c r="J763" s="4" t="str">
        <x:v>1. 进入直播间
2. 输入房间密码13</x:v>
      </x:c>
      <x:c r="K763" s="4" t="str">
        <x:v>房间密码不接受数值13</x:v>
      </x:c>
      <x:c r="L763" s="4" t="str"/>
      <x:c r="M763" s="4" t="str">
        <x:v>未测</x:v>
      </x:c>
      <x:c r="N763" s="4" t="str"/>
      <x:c r="O763" s="4" t="str">
        <x:v>1. 来源（原型批注）：liveshow-proto/prototype/annotations/user.js；live-room-host-password.html
2. 页面：live-room-host-password.html
3. 规则：BR-39D8006B89998C
4. 场景：SC-4E5FBC03D19E68
5. 未动态验证</x:v>
      </x:c>
    </x:row>
    <x:row r="764" ht="54" customHeight="1">
      <x:c r="A764" s="4" t="n">
        <x:v>763</x:v>
      </x:c>
      <x:c r="B764" s="4" t="str">
        <x:v>ULIVE-0261</x:v>
      </x:c>
      <x:c r="C764" s="4" t="str">
        <x:v>直播模块</x:v>
      </x:c>
      <x:c r="D764" s="4" t="str">
        <x:v>直播间（主播视角）</x:v>
      </x:c>
      <x:c r="E764" s="4" t="str">
        <x:v>异常用例</x:v>
      </x:c>
      <x:c r="F764" s="4" t="str">
        <x:v>P1</x:v>
      </x:c>
      <x:c r="G764" s="4" t="str">
        <x:v>验证房间密码输入3</x:v>
      </x:c>
      <x:c r="H764" s="4" t="str">
        <x:v>房间密码取值边界</x:v>
      </x:c>
      <x:c r="I764" s="4" t="str">
        <x:v>1. 主播账号已登录且具备当前页面权限</x:v>
      </x:c>
      <x:c r="J764" s="4" t="str">
        <x:v>1. 进入直播间
2. 输入房间密码3</x:v>
      </x:c>
      <x:c r="K764" s="4" t="str">
        <x:v>房间密码不接受数值3</x:v>
      </x:c>
      <x:c r="L764" s="4" t="str"/>
      <x:c r="M764" s="4" t="str">
        <x:v>未测</x:v>
      </x:c>
      <x:c r="N764" s="4" t="str"/>
      <x:c r="O764" s="4" t="str">
        <x:v>1. 来源（原型批注）：liveshow-proto/prototype/annotations/user.js；live-room-host-password.html
2. 页面：live-room-host-password.html
3. 规则：BR-39D8006B89998C
4. 场景：SC-F6C3211A26D8EF
5. 未动态验证</x:v>
      </x:c>
    </x:row>
    <x:row r="765" ht="54" customHeight="1">
      <x:c r="A765" s="4" t="n">
        <x:v>764</x:v>
      </x:c>
      <x:c r="B765" s="4" t="str">
        <x:v>ULIVE-0262</x:v>
      </x:c>
      <x:c r="C765" s="4" t="str">
        <x:v>直播模块</x:v>
      </x:c>
      <x:c r="D765" s="4" t="str">
        <x:v>直播间（主播视角）</x:v>
      </x:c>
      <x:c r="E765" s="4" t="str">
        <x:v>逻辑校验</x:v>
      </x:c>
      <x:c r="F765" s="4" t="str">
        <x:v>P1</x:v>
      </x:c>
      <x:c r="G765" s="4" t="str">
        <x:v>验证房间密码输入4</x:v>
      </x:c>
      <x:c r="H765" s="4" t="str">
        <x:v>房间密码取值边界</x:v>
      </x:c>
      <x:c r="I765" s="4" t="str">
        <x:v>1. 主播账号已登录且具备当前页面权限</x:v>
      </x:c>
      <x:c r="J765" s="4" t="str">
        <x:v>1. 进入直播间
2. 输入房间密码4</x:v>
      </x:c>
      <x:c r="K765" s="4" t="str">
        <x:v>房间密码接受数值4</x:v>
      </x:c>
      <x:c r="L765" s="4" t="str"/>
      <x:c r="M765" s="4" t="str">
        <x:v>未测</x:v>
      </x:c>
      <x:c r="N765" s="4" t="str"/>
      <x:c r="O765" s="4" t="str">
        <x:v>1. 来源（原型批注）：liveshow-proto/prototype/annotations/user.js；live-room-host-password.html
2. 页面：live-room-host-password.html
3. 规则：BR-39D8006B89998C
4. 场景：SC-64CB9D8ED28A72
5. 未动态验证</x:v>
      </x:c>
    </x:row>
    <x:row r="766" ht="54" customHeight="1">
      <x:c r="A766" s="4" t="n">
        <x:v>765</x:v>
      </x:c>
      <x:c r="B766" s="4" t="str">
        <x:v>ULIVE-0263</x:v>
      </x:c>
      <x:c r="C766" s="4" t="str">
        <x:v>直播模块</x:v>
      </x:c>
      <x:c r="D766" s="4" t="str">
        <x:v>直播间（主播视角）</x:v>
      </x:c>
      <x:c r="E766" s="4" t="str">
        <x:v>业务流程</x:v>
      </x:c>
      <x:c r="F766" s="4" t="str">
        <x:v>P1</x:v>
      </x:c>
      <x:c r="G766" s="4" t="str">
        <x:v>验证结束直播后的直播间状态</x:v>
      </x:c>
      <x:c r="H766" s="4" t="str">
        <x:v>直播间状态</x:v>
      </x:c>
      <x:c r="I766" s="4" t="str">
        <x:v>1. 主播账号已登录且具备当前页面权限
2. 结束直播</x:v>
      </x:c>
      <x:c r="J766" s="4" t="str">
        <x:v>1. 进入直播间
2. 刷新直播间</x:v>
      </x:c>
      <x:c r="K766" s="4" t="str">
        <x:v>二次确认后关闭本场</x:v>
      </x:c>
      <x:c r="L766" s="4" t="str"/>
      <x:c r="M766" s="4" t="str">
        <x:v>未测</x:v>
      </x:c>
      <x:c r="N766" s="4" t="str"/>
      <x:c r="O766" s="4" t="str">
        <x:v>1. 来源（原型批注）：liveshow-proto/prototype/annotations/user.js；live-room-host-password.html
2. 页面：live-room-host-password.html
3. 规则：BR-14E0D7FD7F03D5
4. 场景：SC-5C4D590274E629
5. 未动态验证</x:v>
      </x:c>
    </x:row>
    <x:row r="767" ht="54" customHeight="1">
      <x:c r="A767" s="4" t="n">
        <x:v>766</x:v>
      </x:c>
      <x:c r="B767" s="4" t="str">
        <x:v>ULIVE-0264</x:v>
      </x:c>
      <x:c r="C767" s="4" t="str">
        <x:v>直播模块</x:v>
      </x:c>
      <x:c r="D767" s="4" t="str">
        <x:v>直播间（主播视角）</x:v>
      </x:c>
      <x:c r="E767" s="4" t="str">
        <x:v>业务流程</x:v>
      </x:c>
      <x:c r="F767" s="4" t="str">
        <x:v>P1</x:v>
      </x:c>
      <x:c r="G767" s="4" t="str">
        <x:v>验证完整排序后的直播间状态</x:v>
      </x:c>
      <x:c r="H767" s="4" t="str">
        <x:v>直播间状态</x:v>
      </x:c>
      <x:c r="I767" s="4" t="str">
        <x:v>1. 主播账号已登录且具备当前页面权限
2. 完整排序</x:v>
      </x:c>
      <x:c r="J767" s="4" t="str">
        <x:v>1. 进入直播间
2. 刷新直播间</x:v>
      </x:c>
      <x:c r="K767" s="4" t="str">
        <x:v>显示前 99 名</x:v>
      </x:c>
      <x:c r="L767" s="4" t="str"/>
      <x:c r="M767" s="4" t="str">
        <x:v>未测</x:v>
      </x:c>
      <x:c r="N767" s="4" t="str"/>
      <x:c r="O767" s="4" t="str">
        <x:v>1. 来源（原型批注）：liveshow-proto/prototype/annotations/user.js；live-room-host-password.html
2. 页面：live-room-host-password.html
3. 规则：BR-0EC9902FA32CEB
4. 场景：SC-B6A7A40D14E45A
5. 未动态验证</x:v>
      </x:c>
    </x:row>
    <x:row r="768" ht="54" customHeight="1">
      <x:c r="A768" s="4" t="n">
        <x:v>767</x:v>
      </x:c>
      <x:c r="B768" s="4" t="str">
        <x:v>ULIVE-0265</x:v>
      </x:c>
      <x:c r="C768" s="4" t="str">
        <x:v>直播模块</x:v>
      </x:c>
      <x:c r="D768" s="4" t="str">
        <x:v>直播间（主播视角）</x:v>
      </x:c>
      <x:c r="E768" s="4" t="str">
        <x:v>业务流程</x:v>
      </x:c>
      <x:c r="F768" s="4" t="str">
        <x:v>P1</x:v>
      </x:c>
      <x:c r="G768" s="4" t="str">
        <x:v>验证校验通过后的直播间状态</x:v>
      </x:c>
      <x:c r="H768" s="4" t="str">
        <x:v>直播间状态</x:v>
      </x:c>
      <x:c r="I768" s="4" t="str">
        <x:v>1. 主播账号已登录且具备当前页面权限
2. 校验通过</x:v>
      </x:c>
      <x:c r="J768" s="4" t="str">
        <x:v>1. 进入直播间
2. 刷新直播间</x:v>
      </x:c>
      <x:c r="K768" s="4" t="str">
        <x:v>更新本场有效密码</x:v>
      </x:c>
      <x:c r="L768" s="4" t="str"/>
      <x:c r="M768" s="4" t="str">
        <x:v>未测</x:v>
      </x:c>
      <x:c r="N768" s="4" t="str"/>
      <x:c r="O768" s="4" t="str">
        <x:v>1. 来源（原型批注）：liveshow-proto/prototype/annotations/user.js；live-room-host-password.html
2. 页面：live-room-host-password.html
3. 规则：BR-5EE523E3750230
4. 场景：SC-3CC285DF923A70
5. 未动态验证</x:v>
      </x:c>
    </x:row>
    <x:row r="769" ht="54" customHeight="1">
      <x:c r="A769" s="4" t="n">
        <x:v>768</x:v>
      </x:c>
      <x:c r="B769" s="4" t="str">
        <x:v>ULIVE-0266</x:v>
      </x:c>
      <x:c r="C769" s="4" t="str">
        <x:v>直播模块</x:v>
      </x:c>
      <x:c r="D769" s="4" t="str">
        <x:v>直播间（主播视角）</x:v>
      </x:c>
      <x:c r="E769" s="4" t="str">
        <x:v>业务流程</x:v>
      </x:c>
      <x:c r="F769" s="4" t="str">
        <x:v>P1</x:v>
      </x:c>
      <x:c r="G769" s="4" t="str">
        <x:v>验证用户输入当前有效密码后的直播间状态</x:v>
      </x:c>
      <x:c r="H769" s="4" t="str">
        <x:v>直播间状态</x:v>
      </x:c>
      <x:c r="I769" s="4" t="str">
        <x:v>1. 主播账号已登录且具备当前页面权限
2. 用户输入当前有效密码</x:v>
      </x:c>
      <x:c r="J769" s="4" t="str">
        <x:v>1. 进入直播间
2. 刷新直播间</x:v>
      </x:c>
      <x:c r="K769" s="4" t="str">
        <x:v>才可进入</x:v>
      </x:c>
      <x:c r="L769" s="4" t="str"/>
      <x:c r="M769" s="4" t="str">
        <x:v>未测</x:v>
      </x:c>
      <x:c r="N769" s="4" t="str"/>
      <x:c r="O769" s="4" t="str">
        <x:v>1. 来源（原型批注）：liveshow-proto/prototype/annotations/user.js；live-room-host-password.html
2. 页面：live-room-host-password.html
3. 规则：BR-C01C0A223B5D46
4. 场景：SC-31AABDF769B2BD
5. 未动态验证</x:v>
      </x:c>
    </x:row>
    <x:row r="770" ht="54" customHeight="1">
      <x:c r="A770" s="4" t="n">
        <x:v>769</x:v>
      </x:c>
      <x:c r="B770" s="4" t="str">
        <x:v>ULIVE-0267</x:v>
      </x:c>
      <x:c r="C770" s="4" t="str">
        <x:v>直播模块</x:v>
      </x:c>
      <x:c r="D770" s="4" t="str">
        <x:v>直播间（主播视角）</x:v>
      </x:c>
      <x:c r="E770" s="4" t="str">
        <x:v>业务流程</x:v>
      </x:c>
      <x:c r="F770" s="4" t="str">
        <x:v>P1</x:v>
      </x:c>
      <x:c r="G770" s="4" t="str">
        <x:v>验证用户退出后的直播间状态</x:v>
      </x:c>
      <x:c r="H770" s="4" t="str">
        <x:v>直播间状态</x:v>
      </x:c>
      <x:c r="I770" s="4" t="str">
        <x:v>1. 主播账号已登录且具备当前页面权限
2. 用户退出</x:v>
      </x:c>
      <x:c r="J770" s="4" t="str">
        <x:v>1. 进入直播间
2. 刷新直播间</x:v>
      </x:c>
      <x:c r="K770" s="4" t="str">
        <x:v>再次进入</x:v>
      </x:c>
      <x:c r="L770" s="4" t="str"/>
      <x:c r="M770" s="4" t="str">
        <x:v>未测</x:v>
      </x:c>
      <x:c r="N770" s="4" t="str"/>
      <x:c r="O770" s="4" t="str">
        <x:v>1. 来源（原型批注）：liveshow-proto/prototype/annotations/user.js；live-room-host-password.html
2. 页面：live-room-host-password.html
3. 规则：BR-273EA93E88E49F
4. 场景：SC-08521FC788A8B6
5. 未动态验证</x:v>
      </x:c>
    </x:row>
    <x:row r="771" ht="54" customHeight="1">
      <x:c r="A771" s="4" t="n">
        <x:v>770</x:v>
      </x:c>
      <x:c r="B771" s="4" t="str">
        <x:v>ULIVE-0268</x:v>
      </x:c>
      <x:c r="C771" s="4" t="str">
        <x:v>直播模块</x:v>
      </x:c>
      <x:c r="D771" s="4" t="str">
        <x:v>直播间（主播视角）</x:v>
      </x:c>
      <x:c r="E771" s="4" t="str">
        <x:v>业务流程</x:v>
      </x:c>
      <x:c r="F771" s="4" t="str">
        <x:v>P1</x:v>
      </x:c>
      <x:c r="G771" s="4" t="str">
        <x:v>验证账号注销后的直播间状态</x:v>
      </x:c>
      <x:c r="H771" s="4" t="str">
        <x:v>直播间状态</x:v>
      </x:c>
      <x:c r="I771" s="4" t="str">
        <x:v>1. 主播账号已登录且具备当前页面权限
2. 账号注销</x:v>
      </x:c>
      <x:c r="J771" s="4" t="str">
        <x:v>1. 进入直播间
2. 刷新直播间</x:v>
      </x:c>
      <x:c r="K771" s="4" t="str">
        <x:v>保留历史贡献</x:v>
      </x:c>
      <x:c r="L771" s="4" t="str"/>
      <x:c r="M771" s="4" t="str">
        <x:v>未测</x:v>
      </x:c>
      <x:c r="N771" s="4" t="str"/>
      <x:c r="O771" s="4" t="str">
        <x:v>1. 来源（原型批注）：liveshow-proto/prototype/annotations/user.js；live-room-host-password.html
2. 页面：live-room-host-password.html
3. 规则：BR-77D95E8974E552
4. 场景：SC-446D582D382D36
5. 未动态验证</x:v>
      </x:c>
    </x:row>
    <x:row r="772" ht="54" customHeight="1">
      <x:c r="A772" s="4" t="n">
        <x:v>771</x:v>
      </x:c>
      <x:c r="B772" s="4" t="str">
        <x:v>ULIVE-0269</x:v>
      </x:c>
      <x:c r="C772" s="4" t="str">
        <x:v>直播模块</x:v>
      </x:c>
      <x:c r="D772" s="4" t="str">
        <x:v>直播间（主播视角）</x:v>
      </x:c>
      <x:c r="E772" s="4" t="str">
        <x:v>功能需求</x:v>
      </x:c>
      <x:c r="F772" s="4" t="str">
        <x:v>P1</x:v>
      </x:c>
      <x:c r="G772" s="4" t="str">
        <x:v>验证直播间可查看本场贡献榜</x:v>
      </x:c>
      <x:c r="H772" s="4" t="str">
        <x:v>本场贡献榜展示</x:v>
      </x:c>
      <x:c r="I772" s="4" t="str">
        <x:v>1. 主播账号已登录且具备当前页面权限</x:v>
      </x:c>
      <x:c r="J772" s="4" t="str">
        <x:v>1. 进入直播间
2. 查看本场贡献榜</x:v>
      </x:c>
      <x:c r="K772" s="4" t="str">
        <x:v>直播间显示“本场贡献榜”</x:v>
      </x:c>
      <x:c r="L772" s="4" t="str"/>
      <x:c r="M772" s="4" t="str">
        <x:v>未测</x:v>
      </x:c>
      <x:c r="N772" s="4" t="str"/>
      <x:c r="O772" s="4" t="str">
        <x:v>1. 来源（原型批注）：liveshow-proto/prototype/annotations/user.js；live-room-host-password.html
2. 页面：live-room-host-password.html
3. 规则：BR-3E0FF0D23712DC、BR-0EC9902FA32CEB
4. 场景：SC-C44D9C9A9C8211
5. 未动态验证</x:v>
      </x:c>
    </x:row>
    <x:row r="773" ht="54" customHeight="1">
      <x:c r="A773" s="4" t="n">
        <x:v>772</x:v>
      </x:c>
      <x:c r="B773" s="4" t="str">
        <x:v>ULIVE-0270</x:v>
      </x:c>
      <x:c r="C773" s="4" t="str">
        <x:v>直播模块</x:v>
      </x:c>
      <x:c r="D773" s="4" t="str">
        <x:v>直播间（主播视角）</x:v>
      </x:c>
      <x:c r="E773" s="4" t="str">
        <x:v>功能需求</x:v>
      </x:c>
      <x:c r="F773" s="4" t="str">
        <x:v>P1</x:v>
      </x:c>
      <x:c r="G773" s="4" t="str">
        <x:v>验证直播间可查看房间密码</x:v>
      </x:c>
      <x:c r="H773" s="4" t="str">
        <x:v>房间密码展示</x:v>
      </x:c>
      <x:c r="I773" s="4" t="str">
        <x:v>1. 主播账号已登录且具备当前页面权限</x:v>
      </x:c>
      <x:c r="J773" s="4" t="str">
        <x:v>1. 进入直播间
2. 查看房间密码</x:v>
      </x:c>
      <x:c r="K773" s="4" t="str">
        <x:v>直播间显示“房间密码”</x:v>
      </x:c>
      <x:c r="L773" s="4" t="str"/>
      <x:c r="M773" s="4" t="str">
        <x:v>未测</x:v>
      </x:c>
      <x:c r="N773" s="4" t="str"/>
      <x:c r="O773" s="4" t="str">
        <x:v>1. 来源（原型批注）：liveshow-proto/prototype/annotations/user.js；live-room-host-password.html
2. 页面：live-room-host-password.html
3. 规则：BR-39D8006B89998C
4. 场景：SC-806FE9D54E6EBC
5. 未动态验证</x:v>
      </x:c>
    </x:row>
    <x:row r="774" ht="54" customHeight="1">
      <x:c r="A774" s="4" t="n">
        <x:v>773</x:v>
      </x:c>
      <x:c r="B774" s="4" t="str">
        <x:v>ULIVE-0271</x:v>
      </x:c>
      <x:c r="C774" s="4" t="str">
        <x:v>直播模块</x:v>
      </x:c>
      <x:c r="D774" s="4" t="str">
        <x:v>直播间（主播视角）</x:v>
      </x:c>
      <x:c r="E774" s="4" t="str">
        <x:v>功能需求</x:v>
      </x:c>
      <x:c r="F774" s="4" t="str">
        <x:v>P1</x:v>
      </x:c>
      <x:c r="G774" s="4" t="str">
        <x:v>验证直播间可查看在线观众排序</x:v>
      </x:c>
      <x:c r="H774" s="4" t="str">
        <x:v>在线观众排序展示</x:v>
      </x:c>
      <x:c r="I774" s="4" t="str">
        <x:v>1. 主播账号已登录且具备当前页面权限</x:v>
      </x:c>
      <x:c r="J774" s="4" t="str">
        <x:v>1. 进入直播间
2. 查看在线观众排序</x:v>
      </x:c>
      <x:c r="K774" s="4" t="str">
        <x:v>直播间显示“在线观众排序”</x:v>
      </x:c>
      <x:c r="L774" s="4" t="str"/>
      <x:c r="M774" s="4" t="str">
        <x:v>未测</x:v>
      </x:c>
      <x:c r="N774" s="4" t="str"/>
      <x:c r="O774" s="4" t="str">
        <x:v>1. 来源（原型批注）：liveshow-proto/prototype/annotations/user.js；live-room-host-password.html
2. 页面：live-room-host-password.html
3. 规则：BR-02C2FACBD08500、BR-FCD54CF00307E6、BR-E1FA961EDFC759
4. 场景：SC-C4E2D40194EEF9
5. 未动态验证</x:v>
      </x:c>
    </x:row>
    <x:row r="775" ht="54" customHeight="1">
      <x:c r="A775" s="4" t="n">
        <x:v>774</x:v>
      </x:c>
      <x:c r="B775" s="4" t="str">
        <x:v>ULIVE-0272</x:v>
      </x:c>
      <x:c r="C775" s="4" t="str">
        <x:v>直播模块</x:v>
      </x:c>
      <x:c r="D775" s="4" t="str">
        <x:v>直播间（主播视角）</x:v>
      </x:c>
      <x:c r="E775" s="4" t="str">
        <x:v>业务流程</x:v>
      </x:c>
      <x:c r="F775" s="4" t="str">
        <x:v>P1</x:v>
      </x:c>
      <x:c r="G775" s="4" t="str">
        <x:v>验证主播修改密码后的直播间状态</x:v>
      </x:c>
      <x:c r="H775" s="4" t="str">
        <x:v>直播间状态</x:v>
      </x:c>
      <x:c r="I775" s="4" t="str">
        <x:v>1. 主播账号已登录且具备当前页面权限
2. 主播修改密码</x:v>
      </x:c>
      <x:c r="J775" s="4" t="str">
        <x:v>1. 进入直播间
2. 刷新直播间</x:v>
      </x:c>
      <x:c r="K775" s="4" t="str">
        <x:v>已通过旧密码验证的在线用户不强制退出</x:v>
      </x:c>
      <x:c r="L775" s="4" t="str"/>
      <x:c r="M775" s="4" t="str">
        <x:v>未测</x:v>
      </x:c>
      <x:c r="N775" s="4" t="str"/>
      <x:c r="O775" s="4" t="str">
        <x:v>1. 来源（原型批注）：liveshow-proto/prototype/annotations/user.js；live-room-host-password.html
2. 页面：live-room-host-password.html
3. 规则：BR-261A3F4DFFA362
4. 场景：SC-4D5FF7961EFC19
5. 未动态验证</x:v>
      </x:c>
    </x:row>
    <x:row r="776" ht="54" customHeight="1">
      <x:c r="A776" s="4" t="n">
        <x:v>775</x:v>
      </x:c>
      <x:c r="B776" s="4" t="str">
        <x:v>ULIVE-0273</x:v>
      </x:c>
      <x:c r="C776" s="4" t="str">
        <x:v>直播模块</x:v>
      </x:c>
      <x:c r="D776" s="4" t="str">
        <x:v>直播结束页（观众）（观众视角）</x:v>
      </x:c>
      <x:c r="E776" s="4" t="str">
        <x:v>业务流程</x:v>
      </x:c>
      <x:c r="F776" s="4" t="str">
        <x:v>P1</x:v>
      </x:c>
      <x:c r="G776" s="4" t="str">
        <x:v>验证重复打开已结束房间后的直播结束页（观众）状态</x:v>
      </x:c>
      <x:c r="H776" s="4" t="str">
        <x:v>直播结束页（观众）状态</x:v>
      </x:c>
      <x:c r="I776" s="4" t="str">
        <x:v>1. 观众账号已登录且具备当前页面权限
2. 重复打开已结束房间</x:v>
      </x:c>
      <x:c r="J776" s="4" t="str">
        <x:v>1. 进入直播结束页（观众）
2. 刷新直播结束页（观众）</x:v>
      </x:c>
      <x:c r="K776" s="4" t="str">
        <x:v>仍进入当前结束状态</x:v>
      </x:c>
      <x:c r="L776" s="4" t="str"/>
      <x:c r="M776" s="4" t="str">
        <x:v>未测</x:v>
      </x:c>
      <x:c r="N776" s="4" t="str"/>
      <x:c r="O776" s="4" t="str">
        <x:v>1. 来源（原型批注）：liveshow-proto/prototype/annotations/user.js；live-end-viewer.html
2. 页面：live-end-viewer.html
3. 规则：BR-2FF4CCE1861F7B
4. 场景：SC-1EC8DB8CD517E5
5. 未动态验证</x:v>
      </x:c>
    </x:row>
    <x:row r="777" ht="54" customHeight="1">
      <x:c r="A777" s="4" t="n">
        <x:v>776</x:v>
      </x:c>
      <x:c r="B777" s="4" t="str">
        <x:v>ULIVE-0274</x:v>
      </x:c>
      <x:c r="C777" s="4" t="str">
        <x:v>直播模块</x:v>
      </x:c>
      <x:c r="D777" s="4" t="str">
        <x:v>直播结束页（主播）（主播视角）</x:v>
      </x:c>
      <x:c r="E777" s="4" t="str">
        <x:v>业务流程</x:v>
      </x:c>
      <x:c r="F777" s="4" t="str">
        <x:v>P1</x:v>
      </x:c>
      <x:c r="G777" s="4" t="str">
        <x:v>验证查看直播数据后的直播结束页（主播）状态</x:v>
      </x:c>
      <x:c r="H777" s="4" t="str">
        <x:v>直播结束页（主播）状态</x:v>
      </x:c>
      <x:c r="I777" s="4" t="str">
        <x:v>1. 主播账号已登录且具备当前页面权限</x:v>
      </x:c>
      <x:c r="J777" s="4" t="str">
        <x:v>1. 进入直播结束页（主播）
2. 查看直播数据</x:v>
      </x:c>
      <x:c r="K777" s="4" t="str">
        <x:v>进入当前场次或汇总数据</x:v>
      </x:c>
      <x:c r="L777" s="4" t="str"/>
      <x:c r="M777" s="4" t="str">
        <x:v>未测</x:v>
      </x:c>
      <x:c r="N777" s="4" t="str"/>
      <x:c r="O777" s="4" t="str">
        <x:v>1. 来源（原型批注）：liveshow-proto/prototype/annotations/user.js；live-end-host.html
2. 页面：live-end-host.html
3. 规则：BR-2B57262280D742
4. 场景：SC-CD29101038E889
5. 未动态验证</x:v>
      </x:c>
    </x:row>
    <x:row r="778" ht="54" customHeight="1">
      <x:c r="A778" s="4" t="n">
        <x:v>777</x:v>
      </x:c>
      <x:c r="B778" s="4" t="str">
        <x:v>ULIVE-0275</x:v>
      </x:c>
      <x:c r="C778" s="4" t="str">
        <x:v>直播模块</x:v>
      </x:c>
      <x:c r="D778" s="4" t="str">
        <x:v>直播结束页（主播）（主播视角）</x:v>
      </x:c>
      <x:c r="E778" s="4" t="str">
        <x:v>业务流程</x:v>
      </x:c>
      <x:c r="F778" s="4" t="str">
        <x:v>P1</x:v>
      </x:c>
      <x:c r="G778" s="4" t="str">
        <x:v>验证结束后的直播结束页（主播）状态</x:v>
      </x:c>
      <x:c r="H778" s="4" t="str">
        <x:v>直播结束页（主播）状态</x:v>
      </x:c>
      <x:c r="I778" s="4" t="str">
        <x:v>1. 主播账号已登录且具备当前页面权限
2. 结束</x:v>
      </x:c>
      <x:c r="J778" s="4" t="str">
        <x:v>1. 进入直播结束页（主播）
2. 刷新直播结束页（主播）</x:v>
      </x:c>
      <x:c r="K778" s="4" t="str">
        <x:v>关闭当前场次</x:v>
      </x:c>
      <x:c r="L778" s="4" t="str"/>
      <x:c r="M778" s="4" t="str">
        <x:v>未测</x:v>
      </x:c>
      <x:c r="N778" s="4" t="str"/>
      <x:c r="O778" s="4" t="str">
        <x:v>1. 来源（原型批注）：liveshow-proto/prototype/annotations/user.js；live-end-host.html
2. 页面：live-end-host.html
3. 规则：BR-3D11FF18AEAB7B
4. 场景：SC-7A8D41AE896A5E
5. 未动态验证</x:v>
      </x:c>
    </x:row>
    <x:row r="779" ht="54" customHeight="1">
      <x:c r="A779" s="4" t="n">
        <x:v>778</x:v>
      </x:c>
      <x:c r="B779" s="4" t="str">
        <x:v>ULIVE-0276</x:v>
      </x:c>
      <x:c r="C779" s="4" t="str">
        <x:v>直播模块</x:v>
      </x:c>
      <x:c r="D779" s="4" t="str">
        <x:v>直播结束页（主播）（主播视角）</x:v>
      </x:c>
      <x:c r="E779" s="4" t="str">
        <x:v>功能需求</x:v>
      </x:c>
      <x:c r="F779" s="4" t="str">
        <x:v>P1</x:v>
      </x:c>
      <x:c r="G779" s="4" t="str">
        <x:v>验证直播结束页（主播）可查看本场收益</x:v>
      </x:c>
      <x:c r="H779" s="4" t="str">
        <x:v>本场收益展示</x:v>
      </x:c>
      <x:c r="I779" s="4" t="str">
        <x:v>1. 主播账号已登录且具备当前页面权限</x:v>
      </x:c>
      <x:c r="J779" s="4" t="str">
        <x:v>1. 进入直播结束页（主播）
2. 查看本场收益</x:v>
      </x:c>
      <x:c r="K779" s="4" t="str">
        <x:v>直播结束页（主播）显示“本场收益”</x:v>
      </x:c>
      <x:c r="L779" s="4" t="str"/>
      <x:c r="M779" s="4" t="str">
        <x:v>未测</x:v>
      </x:c>
      <x:c r="N779" s="4" t="str"/>
      <x:c r="O779" s="4" t="str">
        <x:v>1. 来源（原型批注）：liveshow-proto/prototype/annotations/user.js；live-end-host.html
2. 页面：live-end-host.html
3. 规则：BR-C1AD17C0525045、BR-A6AE2E5027ED2C、BR-BA62A44DEDB2B7
4. 场景：SC-B473BAE5F61347
5. 未动态验证</x:v>
      </x:c>
    </x:row>
    <x:row r="780" ht="54" customHeight="1">
      <x:c r="A780" s="4" t="n">
        <x:v>779</x:v>
      </x:c>
      <x:c r="B780" s="4" t="str">
        <x:v>ULIVE-0277</x:v>
      </x:c>
      <x:c r="C780" s="4" t="str">
        <x:v>直播模块</x:v>
      </x:c>
      <x:c r="D780" s="4" t="str">
        <x:v>直播结束页（主播）（主播视角）</x:v>
      </x:c>
      <x:c r="E780" s="4" t="str">
        <x:v>功能需求</x:v>
      </x:c>
      <x:c r="F780" s="4" t="str">
        <x:v>P1</x:v>
      </x:c>
      <x:c r="G780" s="4" t="str">
        <x:v>验证直播结束页（主播）可查看观看人数</x:v>
      </x:c>
      <x:c r="H780" s="4" t="str">
        <x:v>观看人数展示</x:v>
      </x:c>
      <x:c r="I780" s="4" t="str">
        <x:v>1. 主播账号已登录且具备当前页面权限</x:v>
      </x:c>
      <x:c r="J780" s="4" t="str">
        <x:v>1. 进入直播结束页（主播）
2. 查看观看人数</x:v>
      </x:c>
      <x:c r="K780" s="4" t="str">
        <x:v>直播结束页（主播）显示“观看人数”</x:v>
      </x:c>
      <x:c r="L780" s="4" t="str"/>
      <x:c r="M780" s="4" t="str">
        <x:v>未测</x:v>
      </x:c>
      <x:c r="N780" s="4" t="str"/>
      <x:c r="O780" s="4" t="str">
        <x:v>1. 来源（原型批注）：liveshow-proto/prototype/annotations/user.js；live-end-host.html
2. 页面：live-end-host.html
3. 规则：BR-198B4671E58191
4. 场景：SC-8B19D46687D841
5. 未动态验证</x:v>
      </x:c>
    </x:row>
    <x:row r="781" ht="54" customHeight="1">
      <x:c r="A781" s="4" t="n">
        <x:v>780</x:v>
      </x:c>
      <x:c r="B781" s="4" t="str">
        <x:v>ULIVE-0278</x:v>
      </x:c>
      <x:c r="C781" s="4" t="str">
        <x:v>直播模块</x:v>
      </x:c>
      <x:c r="D781" s="4" t="str">
        <x:v>直播结束页（主播）（主播视角）</x:v>
      </x:c>
      <x:c r="E781" s="4" t="str">
        <x:v>功能需求</x:v>
      </x:c>
      <x:c r="F781" s="4" t="str">
        <x:v>P1</x:v>
      </x:c>
      <x:c r="G781" s="4" t="str">
        <x:v>验证直播结束页（主播）可查看直播时长</x:v>
      </x:c>
      <x:c r="H781" s="4" t="str">
        <x:v>直播时长展示</x:v>
      </x:c>
      <x:c r="I781" s="4" t="str">
        <x:v>1. 主播账号已登录且具备当前页面权限</x:v>
      </x:c>
      <x:c r="J781" s="4" t="str">
        <x:v>1. 进入直播结束页（主播）
2. 查看直播时长</x:v>
      </x:c>
      <x:c r="K781" s="4" t="str">
        <x:v>直播结束页（主播）显示“直播时长”</x:v>
      </x:c>
      <x:c r="L781" s="4" t="str"/>
      <x:c r="M781" s="4" t="str">
        <x:v>未测</x:v>
      </x:c>
      <x:c r="N781" s="4" t="str"/>
      <x:c r="O781" s="4" t="str">
        <x:v>1. 来源（原型批注）：liveshow-proto/prototype/annotations/user.js；live-end-host.html
2. 页面：live-end-host.html
3. 规则：BR-081D51E6ECA7F3
4. 场景：SC-828AC29AA4DA9B
5. 未动态验证</x:v>
      </x:c>
    </x:row>
    <x:row r="782" ht="54" customHeight="1">
      <x:c r="A782" s="4" t="n">
        <x:v>781</x:v>
      </x:c>
      <x:c r="B782" s="4" t="str">
        <x:v>ULIVE-0279</x:v>
      </x:c>
      <x:c r="C782" s="4" t="str">
        <x:v>直播模块</x:v>
      </x:c>
      <x:c r="D782" s="4" t="str">
        <x:v>重点观众（主播视角）</x:v>
      </x:c>
      <x:c r="E782" s="4" t="str">
        <x:v>业务流程</x:v>
      </x:c>
      <x:c r="F782" s="4" t="str">
        <x:v>P1</x:v>
      </x:c>
      <x:c r="G782" s="4" t="str">
        <x:v>验证点击用户后的重点观众状态</x:v>
      </x:c>
      <x:c r="H782" s="4" t="str">
        <x:v>重点观众状态</x:v>
      </x:c>
      <x:c r="I782" s="4" t="str">
        <x:v>1. 主播账号已登录且具备当前页面权限</x:v>
      </x:c>
      <x:c r="J782" s="4" t="str">
        <x:v>1. 打开重点观众
2. 点击用户</x:v>
      </x:c>
      <x:c r="K782" s="4" t="str">
        <x:v>打开主播权限资料卡</x:v>
      </x:c>
      <x:c r="L782" s="4" t="str"/>
      <x:c r="M782" s="4" t="str">
        <x:v>未测</x:v>
      </x:c>
      <x:c r="N782" s="4" t="str"/>
      <x:c r="O782" s="4" t="str">
        <x:v>1. 来源（原型批注）：liveshow-proto/prototype/annotations/user.js；views/live-room-host/focus-viewers.html
2. 页面：views/live-room-host/focus-viewers.html
3. 规则：BR-7920CDE7179E72
4. 场景：SC-A4AC5992D8E770
5. 未动态验证</x:v>
      </x:c>
    </x:row>
    <x:row r="783" ht="54" customHeight="1">
      <x:c r="A783" s="4" t="n">
        <x:v>782</x:v>
      </x:c>
      <x:c r="B783" s="4" t="str">
        <x:v>ULIVE-0280</x:v>
      </x:c>
      <x:c r="C783" s="4" t="str">
        <x:v>直播模块</x:v>
      </x:c>
      <x:c r="D783" s="4" t="str">
        <x:v>重点观众（主播视角）</x:v>
      </x:c>
      <x:c r="E783" s="4" t="str">
        <x:v>功能需求</x:v>
      </x:c>
      <x:c r="F783" s="4" t="str">
        <x:v>P1</x:v>
      </x:c>
      <x:c r="G783" s="4" t="str">
        <x:v>验证重点观众可查看用户信息</x:v>
      </x:c>
      <x:c r="H783" s="4" t="str">
        <x:v>用户信息展示</x:v>
      </x:c>
      <x:c r="I783" s="4" t="str">
        <x:v>1. 主播账号已登录且具备当前页面权限</x:v>
      </x:c>
      <x:c r="J783" s="4" t="str">
        <x:v>1. 打开重点观众
2. 查看用户信息</x:v>
      </x:c>
      <x:c r="K783" s="4" t="str">
        <x:v>重点观众显示“用户信息”</x:v>
      </x:c>
      <x:c r="L783" s="4" t="str"/>
      <x:c r="M783" s="4" t="str">
        <x:v>未测</x:v>
      </x:c>
      <x:c r="N783" s="4" t="str"/>
      <x:c r="O783" s="4" t="str">
        <x:v>1. 来源（原型批注）：liveshow-proto/prototype/annotations/user.js；views/live-room-host/focus-viewers.html
2. 页面：views/live-room-host/focus-viewers.html
3. 规则：BR-7F7F8AA10149C1
4. 场景：SC-2E4BE60094243F
5. 未动态验证</x:v>
      </x:c>
    </x:row>
    <x:row r="784" ht="54" customHeight="1">
      <x:c r="A784" s="4" t="n">
        <x:v>783</x:v>
      </x:c>
      <x:c r="B784" s="4" t="str">
        <x:v>ULIVE-0281</x:v>
      </x:c>
      <x:c r="C784" s="4" t="str">
        <x:v>直播模块</x:v>
      </x:c>
      <x:c r="D784" s="4" t="str">
        <x:v>重点观众（主播视角）</x:v>
      </x:c>
      <x:c r="E784" s="4" t="str">
        <x:v>功能需求</x:v>
      </x:c>
      <x:c r="F784" s="4" t="str">
        <x:v>P1</x:v>
      </x:c>
      <x:c r="G784" s="4" t="str">
        <x:v>验证重点观众可查看重点标签</x:v>
      </x:c>
      <x:c r="H784" s="4" t="str">
        <x:v>重点标签展示</x:v>
      </x:c>
      <x:c r="I784" s="4" t="str">
        <x:v>1. 主播账号已登录且具备当前页面权限</x:v>
      </x:c>
      <x:c r="J784" s="4" t="str">
        <x:v>1. 打开重点观众
2. 查看重点标签</x:v>
      </x:c>
      <x:c r="K784" s="4" t="str">
        <x:v>重点观众显示“重点标签”</x:v>
      </x:c>
      <x:c r="L784" s="4" t="str"/>
      <x:c r="M784" s="4" t="str">
        <x:v>未测</x:v>
      </x:c>
      <x:c r="N784" s="4" t="str"/>
      <x:c r="O784" s="4" t="str">
        <x:v>1. 来源（原型批注）：liveshow-proto/prototype/annotations/user.js；views/live-room-host/focus-viewers.html
2. 页面：views/live-room-host/focus-viewers.html
3. 规则：BR-F5AC87AC7D186B、BR-BCD8CB8FF224C3
4. 场景：SC-A8BDEDD5372615
5. 未动态验证</x:v>
      </x:c>
    </x:row>
    <x:row r="785" ht="54" customHeight="1">
      <x:c r="A785" s="4" t="n">
        <x:v>784</x:v>
      </x:c>
      <x:c r="B785" s="4" t="str">
        <x:v>ULIVE-0282</x:v>
      </x:c>
      <x:c r="C785" s="4" t="str">
        <x:v>直播模块</x:v>
      </x:c>
      <x:c r="D785" s="4" t="str">
        <x:v>主播资料卡（观众视角）</x:v>
      </x:c>
      <x:c r="E785" s="4" t="str">
        <x:v>业务流程</x:v>
      </x:c>
      <x:c r="F785" s="4" t="str">
        <x:v>P1</x:v>
      </x:c>
      <x:c r="G785" s="4" t="str">
        <x:v>验证场次结束后的主播资料卡状态</x:v>
      </x:c>
      <x:c r="H785" s="4" t="str">
        <x:v>主播资料卡状态</x:v>
      </x:c>
      <x:c r="I785" s="4" t="str">
        <x:v>1. 观众账号已登录且具备当前页面权限
2. 场次结束</x:v>
      </x:c>
      <x:c r="J785" s="4" t="str">
        <x:v>1. 打开主播资料卡
2. 刷新主播资料卡</x:v>
      </x:c>
      <x:c r="K785" s="4" t="str">
        <x:v>更新为未开播</x:v>
      </x:c>
      <x:c r="L785" s="4" t="str"/>
      <x:c r="M785" s="4" t="str">
        <x:v>未测</x:v>
      </x:c>
      <x:c r="N785" s="4" t="str"/>
      <x:c r="O785" s="4" t="str">
        <x:v>1. 来源（原型批注）：liveshow-proto/prototype/annotations/user.js；views/live-room/host-profile.html
2. 页面：views/live-room/host-profile.html
3. 规则：BR-B449C9BEFD364C
4. 场景：SC-ECBC04E79911D7
5. 未动态验证</x:v>
      </x:c>
    </x:row>
    <x:row r="786" ht="54" customHeight="1">
      <x:c r="A786" s="4" t="n">
        <x:v>785</x:v>
      </x:c>
      <x:c r="B786" s="4" t="str">
        <x:v>ULIVE-0283</x:v>
      </x:c>
      <x:c r="C786" s="4" t="str">
        <x:v>直播模块</x:v>
      </x:c>
      <x:c r="D786" s="4" t="str">
        <x:v>主播资料卡（观众视角）</x:v>
      </x:c>
      <x:c r="E786" s="4" t="str">
        <x:v>异常用例</x:v>
      </x:c>
      <x:c r="F786" s="4" t="str">
        <x:v>P1</x:v>
      </x:c>
      <x:c r="G786" s="4" t="str">
        <x:v>验证拉黑后的主播资料卡状态</x:v>
      </x:c>
      <x:c r="H786" s="4" t="str">
        <x:v>主播资料卡状态</x:v>
      </x:c>
      <x:c r="I786" s="4" t="str">
        <x:v>1. 观众账号已登录且具备当前页面权限
2. 拉黑</x:v>
      </x:c>
      <x:c r="J786" s="4" t="str">
        <x:v>1. 打开主播资料卡
2. 刷新主播资料卡</x:v>
      </x:c>
      <x:c r="K786" s="4" t="str">
        <x:v>不能关注、申请好友、私信、观看直播或加入粉丝团</x:v>
      </x:c>
      <x:c r="L786" s="4" t="str"/>
      <x:c r="M786" s="4" t="str">
        <x:v>未测</x:v>
      </x:c>
      <x:c r="N786" s="4" t="str"/>
      <x:c r="O786" s="4" t="str">
        <x:v>1. 来源（原型批注）：liveshow-proto/prototype/annotations/user.js；views/live-room/host-profile.html
2. 页面：views/live-room/host-profile.html
3. 规则：BR-B66DC3D0795E4E
4. 场景：SC-6632425EB6CEBD
5. 未动态验证</x:v>
      </x:c>
    </x:row>
    <x:row r="787" ht="54" customHeight="1">
      <x:c r="A787" s="4" t="n">
        <x:v>786</x:v>
      </x:c>
      <x:c r="B787" s="4" t="str">
        <x:v>ULIVE-0284</x:v>
      </x:c>
      <x:c r="C787" s="4" t="str">
        <x:v>直播模块</x:v>
      </x:c>
      <x:c r="D787" s="4" t="str">
        <x:v>主播资料卡（观众视角）</x:v>
      </x:c>
      <x:c r="E787" s="4" t="str">
        <x:v>功能需求</x:v>
      </x:c>
      <x:c r="F787" s="4" t="str">
        <x:v>P1</x:v>
      </x:c>
      <x:c r="G787" s="4" t="str">
        <x:v>验证主播资料卡可查看关系状态</x:v>
      </x:c>
      <x:c r="H787" s="4" t="str">
        <x:v>关系状态展示</x:v>
      </x:c>
      <x:c r="I787" s="4" t="str">
        <x:v>1. 观众账号已登录且具备当前页面权限</x:v>
      </x:c>
      <x:c r="J787" s="4" t="str">
        <x:v>1. 打开主播资料卡
2. 查看关系状态</x:v>
      </x:c>
      <x:c r="K787" s="4" t="str">
        <x:v>主播资料卡显示“关系状态”</x:v>
      </x:c>
      <x:c r="L787" s="4" t="str"/>
      <x:c r="M787" s="4" t="str">
        <x:v>未测</x:v>
      </x:c>
      <x:c r="N787" s="4" t="str"/>
      <x:c r="O787" s="4" t="str">
        <x:v>1. 来源（原型批注）：liveshow-proto/prototype/annotations/user.js；views/live-room/host-profile.html
2. 页面：views/live-room/host-profile.html
3. 规则：BR-1A6D7D221EDA7F
4. 场景：SC-FA0A1B0B79C9CD
5. 未动态验证</x:v>
      </x:c>
    </x:row>
    <x:row r="788" ht="54" customHeight="1">
      <x:c r="A788" s="4" t="n">
        <x:v>787</x:v>
      </x:c>
      <x:c r="B788" s="4" t="str">
        <x:v>ULIVE-0285</x:v>
      </x:c>
      <x:c r="C788" s="4" t="str">
        <x:v>直播模块</x:v>
      </x:c>
      <x:c r="D788" s="4" t="str">
        <x:v>主播资料卡（观众视角）</x:v>
      </x:c>
      <x:c r="E788" s="4" t="str">
        <x:v>功能需求</x:v>
      </x:c>
      <x:c r="F788" s="4" t="str">
        <x:v>P1</x:v>
      </x:c>
      <x:c r="G788" s="4" t="str">
        <x:v>验证主播资料卡可查看直播状态</x:v>
      </x:c>
      <x:c r="H788" s="4" t="str">
        <x:v>直播状态展示</x:v>
      </x:c>
      <x:c r="I788" s="4" t="str">
        <x:v>1. 观众账号已登录且具备当前页面权限</x:v>
      </x:c>
      <x:c r="J788" s="4" t="str">
        <x:v>1. 打开主播资料卡
2. 查看直播状态</x:v>
      </x:c>
      <x:c r="K788" s="4" t="str">
        <x:v>主播资料卡显示“直播状态”</x:v>
      </x:c>
      <x:c r="L788" s="4" t="str"/>
      <x:c r="M788" s="4" t="str">
        <x:v>未测</x:v>
      </x:c>
      <x:c r="N788" s="4" t="str"/>
      <x:c r="O788" s="4" t="str">
        <x:v>1. 来源（原型批注）：liveshow-proto/prototype/annotations/user.js；views/live-room/host-profile.html
2. 页面：views/live-room/host-profile.html
3. 规则：BR-747473BDDE0047、BR-B449C9BEFD364C
4. 场景：SC-C56C6A3930EF4F
5. 未动态验证</x:v>
      </x:c>
    </x:row>
    <x:row r="789" ht="54" customHeight="1">
      <x:c r="A789" s="4" t="n">
        <x:v>788</x:v>
      </x:c>
      <x:c r="B789" s="4" t="str">
        <x:v>ULIVE-0286</x:v>
      </x:c>
      <x:c r="C789" s="4" t="str">
        <x:v>直播模块</x:v>
      </x:c>
      <x:c r="D789" s="4" t="str">
        <x:v>主播资料卡（观众视角）</x:v>
      </x:c>
      <x:c r="E789" s="4" t="str">
        <x:v>功能需求</x:v>
      </x:c>
      <x:c r="F789" s="4" t="str">
        <x:v>P1</x:v>
      </x:c>
      <x:c r="G789" s="4" t="str">
        <x:v>验证主播资料卡可查看主播资料</x:v>
      </x:c>
      <x:c r="H789" s="4" t="str">
        <x:v>主播资料展示</x:v>
      </x:c>
      <x:c r="I789" s="4" t="str">
        <x:v>1. 观众账号已登录且具备当前页面权限</x:v>
      </x:c>
      <x:c r="J789" s="4" t="str">
        <x:v>1. 打开主播资料卡
2. 查看主播资料</x:v>
      </x:c>
      <x:c r="K789" s="4" t="str">
        <x:v>主播资料卡显示“主播资料”</x:v>
      </x:c>
      <x:c r="L789" s="4" t="str"/>
      <x:c r="M789" s="4" t="str">
        <x:v>未测</x:v>
      </x:c>
      <x:c r="N789" s="4" t="str"/>
      <x:c r="O789" s="4" t="str">
        <x:v>1. 来源（原型批注）：liveshow-proto/prototype/annotations/user.js；views/live-room/host-profile.html
2. 页面：views/live-room/host-profile.html
3. 规则：BR-C4E07791AF6F8C
4. 场景：SC-F414B8712C7B43
5. 未动态验证</x:v>
      </x:c>
    </x:row>
    <x:row r="790" ht="54" customHeight="1">
      <x:c r="A790" s="4" t="n">
        <x:v>789</x:v>
      </x:c>
      <x:c r="B790" s="4" t="str">
        <x:v>ULIVE-0287</x:v>
      </x:c>
      <x:c r="C790" s="4" t="str">
        <x:v>直播模块</x:v>
      </x:c>
      <x:c r="D790" s="4" t="str">
        <x:v>主播资料卡（观众视角）</x:v>
      </x:c>
      <x:c r="E790" s="4" t="str">
        <x:v>业务流程</x:v>
      </x:c>
      <x:c r="F790" s="4" t="str">
        <x:v>P1</x:v>
      </x:c>
      <x:c r="G790" s="4" t="str">
        <x:v>验证状态变更后的主播资料卡状态</x:v>
      </x:c>
      <x:c r="H790" s="4" t="str">
        <x:v>主播资料卡状态</x:v>
      </x:c>
      <x:c r="I790" s="4" t="str">
        <x:v>1. 观众账号已登录且具备当前页面权限
2. 状态变更</x:v>
      </x:c>
      <x:c r="J790" s="4" t="str">
        <x:v>1. 打开主播资料卡
2. 刷新主播资料卡</x:v>
      </x:c>
      <x:c r="K790" s="4" t="str">
        <x:v>同步更新直播间入口</x:v>
      </x:c>
      <x:c r="L790" s="4" t="str"/>
      <x:c r="M790" s="4" t="str">
        <x:v>未测</x:v>
      </x:c>
      <x:c r="N790" s="4" t="str"/>
      <x:c r="O790" s="4" t="str">
        <x:v>1. 来源（原型批注）：liveshow-proto/prototype/annotations/user.js；views/live-room/host-profile.html
2. 页面：views/live-room/host-profile.html
3. 规则：BR-1D563EBAC0A5B3
4. 场景：SC-5FC2254833B75C
5. 未动态验证</x:v>
      </x:c>
    </x:row>
    <x:row r="791" ht="54" customHeight="1">
      <x:c r="A791" s="4" t="n">
        <x:v>790</x:v>
      </x:c>
      <x:c r="B791" s="4" t="str">
        <x:v>UHOST-0001</x:v>
      </x:c>
      <x:c r="C791" s="4" t="str">
        <x:v>主播中心</x:v>
      </x:c>
      <x:c r="D791" s="4" t="str">
        <x:v>单人禁言确认（主播视角）</x:v>
      </x:c>
      <x:c r="E791" s="4" t="str">
        <x:v>功能需求</x:v>
      </x:c>
      <x:c r="F791" s="4" t="str">
        <x:v>P2</x:v>
      </x:c>
      <x:c r="G791" s="4" t="str">
        <x:v>验证单人禁言确认可查看确认对象</x:v>
      </x:c>
      <x:c r="H791" s="4" t="str">
        <x:v>确认对象展示</x:v>
      </x:c>
      <x:c r="I791" s="4" t="str">
        <x:v>1. 主播账号已登录且具备当前页面权限</x:v>
      </x:c>
      <x:c r="J791" s="4" t="str">
        <x:v>1. 打开单人禁言确认
2. 查看确认对象</x:v>
      </x:c>
      <x:c r="K791" s="4" t="str">
        <x:v>单人禁言确认显示“确认对象”</x:v>
      </x:c>
      <x:c r="L791" s="4" t="str"/>
      <x:c r="M791" s="4" t="str">
        <x:v>未测</x:v>
      </x:c>
      <x:c r="N791" s="4" t="str"/>
      <x:c r="O791" s="4" t="str">
        <x:v>1. 来源（原型批注）：liveshow-proto/prototype/annotations/user.js；views/fan-club/member-mute-confirm.html
2. 页面：views/fan-club/member-mute-confirm.html
3. 规则：BR-2D0E8861685741
4. 场景：SC-673A95CC933917
5. 未动态验证</x:v>
      </x:c>
    </x:row>
    <x:row r="792" ht="54" customHeight="1">
      <x:c r="A792" s="4" t="n">
        <x:v>791</x:v>
      </x:c>
      <x:c r="B792" s="4" t="str">
        <x:v>UHOST-0002</x:v>
      </x:c>
      <x:c r="C792" s="4" t="str">
        <x:v>主播中心</x:v>
      </x:c>
      <x:c r="D792" s="4" t="str">
        <x:v>单人禁言确认（主播视角）</x:v>
      </x:c>
      <x:c r="E792" s="4" t="str">
        <x:v>异常用例</x:v>
      </x:c>
      <x:c r="F792" s="4" t="str">
        <x:v>P2</x:v>
      </x:c>
      <x:c r="G792" s="4" t="str">
        <x:v>验证请求失败后的单人禁言确认状态</x:v>
      </x:c>
      <x:c r="H792" s="4" t="str">
        <x:v>单人禁言确认状态</x:v>
      </x:c>
      <x:c r="I792" s="4" t="str">
        <x:v>1. 主播账号已登录且具备当前页面权限
2. 请求失败</x:v>
      </x:c>
      <x:c r="J792" s="4" t="str">
        <x:v>1. 打开单人禁言确认
2. 刷新单人禁言确认</x:v>
      </x:c>
      <x:c r="K792" s="4" t="str">
        <x:v>保持原状态</x:v>
      </x:c>
      <x:c r="L792" s="4" t="str"/>
      <x:c r="M792" s="4" t="str">
        <x:v>未测</x:v>
      </x:c>
      <x:c r="N792" s="4" t="str"/>
      <x:c r="O792" s="4" t="str">
        <x:v>1. 来源（原型批注）：liveshow-proto/prototype/annotations/user.js；views/fan-club/member-mute-confirm.html
2. 页面：views/fan-club/member-mute-confirm.html
3. 规则：BR-148F3E1AE1C67D
4. 场景：SC-8DB43CA7D3DAC5
5. 未动态验证</x:v>
      </x:c>
    </x:row>
    <x:row r="793" ht="54" customHeight="1">
      <x:c r="A793" s="4" t="n">
        <x:v>792</x:v>
      </x:c>
      <x:c r="B793" s="4" t="str">
        <x:v>UHOST-0003</x:v>
      </x:c>
      <x:c r="C793" s="4" t="str">
        <x:v>主播中心</x:v>
      </x:c>
      <x:c r="D793" s="4" t="str">
        <x:v>单人禁言确认（主播视角）</x:v>
      </x:c>
      <x:c r="E793" s="4" t="str">
        <x:v>业务流程</x:v>
      </x:c>
      <x:c r="F793" s="4" t="str">
        <x:v>P2</x:v>
      </x:c>
      <x:c r="G793" s="4" t="str">
        <x:v>验证取消后的单人禁言确认状态</x:v>
      </x:c>
      <x:c r="H793" s="4" t="str">
        <x:v>单人禁言确认状态</x:v>
      </x:c>
      <x:c r="I793" s="4" t="str">
        <x:v>1. 主播账号已登录且具备当前页面权限</x:v>
      </x:c>
      <x:c r="J793" s="4" t="str">
        <x:v>1. 打开单人禁言确认
2. 取消</x:v>
      </x:c>
      <x:c r="K793" s="4" t="str">
        <x:v>保持原状态</x:v>
      </x:c>
      <x:c r="L793" s="4" t="str"/>
      <x:c r="M793" s="4" t="str">
        <x:v>未测</x:v>
      </x:c>
      <x:c r="N793" s="4" t="str"/>
      <x:c r="O793" s="4" t="str">
        <x:v>1. 来源（原型批注）：liveshow-proto/prototype/annotations/user.js；views/fan-club/member-mute-confirm.html
2. 页面：views/fan-club/member-mute-confirm.html
3. 规则：BR-148F3E1AE1C67D
4. 场景：SC-E4EDE1C88BE841
5. 未动态验证</x:v>
      </x:c>
    </x:row>
    <x:row r="794" ht="54" customHeight="1">
      <x:c r="A794" s="4" t="n">
        <x:v>793</x:v>
      </x:c>
      <x:c r="B794" s="4" t="str">
        <x:v>UHOST-0004</x:v>
      </x:c>
      <x:c r="C794" s="4" t="str">
        <x:v>主播中心</x:v>
      </x:c>
      <x:c r="D794" s="4" t="str">
        <x:v>单人禁言确认（主播视角）</x:v>
      </x:c>
      <x:c r="E794" s="4" t="str">
        <x:v>业务流程</x:v>
      </x:c>
      <x:c r="F794" s="4" t="str">
        <x:v>P2</x:v>
      </x:c>
      <x:c r="G794" s="4" t="str">
        <x:v>验证确认后的单人禁言确认状态</x:v>
      </x:c>
      <x:c r="H794" s="4" t="str">
        <x:v>单人禁言确认状态</x:v>
      </x:c>
      <x:c r="I794" s="4" t="str">
        <x:v>1. 主播账号已登录且具备当前页面权限</x:v>
      </x:c>
      <x:c r="J794" s="4" t="str">
        <x:v>1. 打开单人禁言确认
2. 确认</x:v>
      </x:c>
      <x:c r="K794" s="4" t="str">
        <x:v>提示成功</x:v>
      </x:c>
      <x:c r="L794" s="4" t="str"/>
      <x:c r="M794" s="4" t="str">
        <x:v>未测</x:v>
      </x:c>
      <x:c r="N794" s="4" t="str"/>
      <x:c r="O794" s="4" t="str">
        <x:v>1. 来源（原型批注）：liveshow-proto/prototype/annotations/user.js；views/fan-club/member-mute-confirm.html
2. 页面：views/fan-club/member-mute-confirm.html
3. 规则：BR-A18D3223B33DCA
4. 场景：SC-D55CB52D09328B
5. 未动态验证</x:v>
      </x:c>
    </x:row>
    <x:row r="795" ht="54" customHeight="1">
      <x:c r="A795" s="4" t="n">
        <x:v>794</x:v>
      </x:c>
      <x:c r="B795" s="4" t="str">
        <x:v>UHOST-0005</x:v>
      </x:c>
      <x:c r="C795" s="4" t="str">
        <x:v>主播中心</x:v>
      </x:c>
      <x:c r="D795" s="4" t="str">
        <x:v>房管管理（主播视角）</x:v>
      </x:c>
      <x:c r="E795" s="4" t="str">
        <x:v>逻辑校验</x:v>
      </x:c>
      <x:c r="F795" s="4" t="str">
        <x:v>P2</x:v>
      </x:c>
      <x:c r="G795" s="4" t="str">
        <x:v>验证房管管理按指定范围筛选</x:v>
      </x:c>
      <x:c r="H795" s="4" t="str">
        <x:v>房管管理数据范围</x:v>
      </x:c>
      <x:c r="I795" s="4" t="str">
        <x:v>1. 主播账号已登录且具备当前页面权限
2. 存在符合和不符合“当前主播仍有效的房管授权”的记录</x:v>
      </x:c>
      <x:c r="J795" s="4" t="str">
        <x:v>1. 进入房管管理
2. 查看房管管理</x:v>
      </x:c>
      <x:c r="K795" s="4" t="str">
        <x:v>数据范围：当前主播仍有效的房管授权</x:v>
      </x:c>
      <x:c r="L795" s="4" t="str"/>
      <x:c r="M795" s="4" t="str">
        <x:v>未测</x:v>
      </x:c>
      <x:c r="N795" s="4" t="str"/>
      <x:c r="O795" s="4" t="str">
        <x:v>1. 来源（原型批注）：liveshow-proto/prototype/annotations/user.js；moderator-management.html
2. 页面：moderator-management.html
3. 规则：BR-55A6C19BE7940C
4. 场景：SC-165EA3F73FE498
5. 未动态验证</x:v>
      </x:c>
    </x:row>
    <x:row r="796" ht="54" customHeight="1">
      <x:c r="A796" s="4" t="n">
        <x:v>795</x:v>
      </x:c>
      <x:c r="B796" s="4" t="str">
        <x:v>UHOST-0006</x:v>
      </x:c>
      <x:c r="C796" s="4" t="str">
        <x:v>主播中心</x:v>
      </x:c>
      <x:c r="D796" s="4" t="str">
        <x:v>房管管理（主播视角）</x:v>
      </x:c>
      <x:c r="E796" s="4" t="str">
        <x:v>功能需求</x:v>
      </x:c>
      <x:c r="F796" s="4" t="str">
        <x:v>P2</x:v>
      </x:c>
      <x:c r="G796" s="4" t="str">
        <x:v>验证房管管理可查看房管</x:v>
      </x:c>
      <x:c r="H796" s="4" t="str">
        <x:v>房管展示</x:v>
      </x:c>
      <x:c r="I796" s="4" t="str">
        <x:v>1. 主播账号已登录且具备当前页面权限</x:v>
      </x:c>
      <x:c r="J796" s="4" t="str">
        <x:v>1. 进入房管管理
2. 查看房管</x:v>
      </x:c>
      <x:c r="K796" s="4" t="str">
        <x:v>房管管理显示“房管”</x:v>
      </x:c>
      <x:c r="L796" s="4" t="str"/>
      <x:c r="M796" s="4" t="str">
        <x:v>未测</x:v>
      </x:c>
      <x:c r="N796" s="4" t="str"/>
      <x:c r="O796" s="4" t="str">
        <x:v>1. 来源（原型批注）：liveshow-proto/prototype/annotations/user.js；moderator-management.html
2. 页面：moderator-management.html
3. 规则：BR-D7EBAC35B9434C
4. 场景：SC-641C92D7C48097
5. 未动态验证</x:v>
      </x:c>
    </x:row>
    <x:row r="797" ht="54" customHeight="1">
      <x:c r="A797" s="4" t="n">
        <x:v>796</x:v>
      </x:c>
      <x:c r="B797" s="4" t="str">
        <x:v>UHOST-0007</x:v>
      </x:c>
      <x:c r="C797" s="4" t="str">
        <x:v>主播中心</x:v>
      </x:c>
      <x:c r="D797" s="4" t="str">
        <x:v>房管管理（主播视角）</x:v>
      </x:c>
      <x:c r="E797" s="4" t="str">
        <x:v>功能需求</x:v>
      </x:c>
      <x:c r="F797" s="4" t="str">
        <x:v>P2</x:v>
      </x:c>
      <x:c r="G797" s="4" t="str">
        <x:v>验证房管管理可查看房管数量</x:v>
      </x:c>
      <x:c r="H797" s="4" t="str">
        <x:v>房管数量展示</x:v>
      </x:c>
      <x:c r="I797" s="4" t="str">
        <x:v>1. 主播账号已登录且具备当前页面权限</x:v>
      </x:c>
      <x:c r="J797" s="4" t="str">
        <x:v>1. 进入房管管理
2. 查看房管数量</x:v>
      </x:c>
      <x:c r="K797" s="4" t="str">
        <x:v>房管管理显示“房管数量”</x:v>
      </x:c>
      <x:c r="L797" s="4" t="str"/>
      <x:c r="M797" s="4" t="str">
        <x:v>未测</x:v>
      </x:c>
      <x:c r="N797" s="4" t="str"/>
      <x:c r="O797" s="4" t="str">
        <x:v>1. 来源（原型批注）：liveshow-proto/prototype/annotations/user.js；moderator-management.html
2. 页面：moderator-management.html
3. 规则：BR-B6C4DCD3CBC347
4. 场景：SC-B3D9B4E930DC7F
5. 未动态验证</x:v>
      </x:c>
    </x:row>
    <x:row r="798" ht="54" customHeight="1">
      <x:c r="A798" s="4" t="n">
        <x:v>797</x:v>
      </x:c>
      <x:c r="B798" s="4" t="str">
        <x:v>UHOST-0008</x:v>
      </x:c>
      <x:c r="C798" s="4" t="str">
        <x:v>主播中心</x:v>
      </x:c>
      <x:c r="D798" s="4" t="str">
        <x:v>房管管理（主播视角）</x:v>
      </x:c>
      <x:c r="E798" s="4" t="str">
        <x:v>业务流程</x:v>
      </x:c>
      <x:c r="F798" s="4" t="str">
        <x:v>P2</x:v>
      </x:c>
      <x:c r="G798" s="4" t="str">
        <x:v>验证取消房管后的房管管理状态</x:v>
      </x:c>
      <x:c r="H798" s="4" t="str">
        <x:v>房管管理状态</x:v>
      </x:c>
      <x:c r="I798" s="4" t="str">
        <x:v>1. 主播账号已登录且具备当前页面权限</x:v>
      </x:c>
      <x:c r="J798" s="4" t="str">
        <x:v>1. 进入房管管理
2. 取消房管</x:v>
      </x:c>
      <x:c r="K798" s="4" t="str">
        <x:v>更新列表</x:v>
      </x:c>
      <x:c r="L798" s="4" t="str"/>
      <x:c r="M798" s="4" t="str">
        <x:v>未测</x:v>
      </x:c>
      <x:c r="N798" s="4" t="str"/>
      <x:c r="O798" s="4" t="str">
        <x:v>1. 来源（原型批注）：liveshow-proto/prototype/annotations/user.js；moderator-management.html
2. 页面：moderator-management.html
3. 规则：BR-311C3FF560D160
4. 场景：SC-B23DCDE0C9AC65
5. 未动态验证</x:v>
      </x:c>
    </x:row>
    <x:row r="799" ht="54" customHeight="1">
      <x:c r="A799" s="4" t="n">
        <x:v>798</x:v>
      </x:c>
      <x:c r="B799" s="4" t="str">
        <x:v>UHOST-0009</x:v>
      </x:c>
      <x:c r="C799" s="4" t="str">
        <x:v>主播中心</x:v>
      </x:c>
      <x:c r="D799" s="4" t="str">
        <x:v>房管管理（主播视角）</x:v>
      </x:c>
      <x:c r="E799" s="4" t="str">
        <x:v>业务流程</x:v>
      </x:c>
      <x:c r="F799" s="4" t="str">
        <x:v>P2</x:v>
      </x:c>
      <x:c r="G799" s="4" t="str">
        <x:v>验证取消拉黑后的房管管理状态</x:v>
      </x:c>
      <x:c r="H799" s="4" t="str">
        <x:v>房管管理状态</x:v>
      </x:c>
      <x:c r="I799" s="4" t="str">
        <x:v>1. 主播账号已登录且具备当前页面权限</x:v>
      </x:c>
      <x:c r="J799" s="4" t="str">
        <x:v>1. 进入房管管理
2. 取消拉黑</x:v>
      </x:c>
      <x:c r="K799" s="4" t="str">
        <x:v>不自动恢复</x:v>
      </x:c>
      <x:c r="L799" s="4" t="str"/>
      <x:c r="M799" s="4" t="str">
        <x:v>未测</x:v>
      </x:c>
      <x:c r="N799" s="4" t="str"/>
      <x:c r="O799" s="4" t="str">
        <x:v>1. 来源（原型批注）：liveshow-proto/prototype/annotations/user.js；moderator-management.html
2. 页面：moderator-management.html
3. 规则：BR-00EB0DA9F3DDBD
4. 场景：SC-6F4B63632D1114
5. 未动态验证</x:v>
      </x:c>
    </x:row>
    <x:row r="800" ht="54" customHeight="1">
      <x:c r="A800" s="4" t="n">
        <x:v>799</x:v>
      </x:c>
      <x:c r="B800" s="4" t="str">
        <x:v>UHOST-0010</x:v>
      </x:c>
      <x:c r="C800" s="4" t="str">
        <x:v>主播中心</x:v>
      </x:c>
      <x:c r="D800" s="4" t="str">
        <x:v>房管管理（主播视角）</x:v>
      </x:c>
      <x:c r="E800" s="4" t="str">
        <x:v>逻辑校验</x:v>
      </x:c>
      <x:c r="F800" s="4" t="str">
        <x:v>P2</x:v>
      </x:c>
      <x:c r="G800" s="4" t="str">
        <x:v>验证搜索按指定范围筛选</x:v>
      </x:c>
      <x:c r="H800" s="4" t="str">
        <x:v>搜索数据范围</x:v>
      </x:c>
      <x:c r="I800" s="4" t="str">
        <x:v>1. 主播账号已登录且具备当前页面权限
2. 存在符合和不符合“未在该直播间黑名单、双方无账号拉黑关系且当前非房管的用户”的记录</x:v>
      </x:c>
      <x:c r="J800" s="4" t="str">
        <x:v>1. 进入房管管理
2. 查看搜索</x:v>
      </x:c>
      <x:c r="K800" s="4" t="str">
        <x:v>搜索仅返回未在该直播间黑名单、双方无账号拉黑关系且当前非房管的用户</x:v>
      </x:c>
      <x:c r="L800" s="4" t="str"/>
      <x:c r="M800" s="4" t="str">
        <x:v>未测</x:v>
      </x:c>
      <x:c r="N800" s="4" t="str"/>
      <x:c r="O800" s="4" t="str">
        <x:v>1. 来源（原型批注）：liveshow-proto/prototype/annotations/user.js；moderator-management.html
2. 页面：moderator-management.html
3. 规则：BR-6235720AA02E15
4. 场景：SC-B120B28EEB2E82
5. 未动态验证</x:v>
      </x:c>
    </x:row>
    <x:row r="801" ht="54" customHeight="1">
      <x:c r="A801" s="4" t="n">
        <x:v>800</x:v>
      </x:c>
      <x:c r="B801" s="4" t="str">
        <x:v>UHOST-0011</x:v>
      </x:c>
      <x:c r="C801" s="4" t="str">
        <x:v>主播中心</x:v>
      </x:c>
      <x:c r="D801" s="4" t="str">
        <x:v>房管管理（主播视角）</x:v>
      </x:c>
      <x:c r="E801" s="4" t="str">
        <x:v>业务流程</x:v>
      </x:c>
      <x:c r="F801" s="4" t="str">
        <x:v>P2</x:v>
      </x:c>
      <x:c r="G801" s="4" t="str">
        <x:v>验证已授权后的房管管理状态</x:v>
      </x:c>
      <x:c r="H801" s="4" t="str">
        <x:v>房管管理状态</x:v>
      </x:c>
      <x:c r="I801" s="4" t="str">
        <x:v>1. 主播账号已登录且具备当前页面权限
2. 已授权</x:v>
      </x:c>
      <x:c r="J801" s="4" t="str">
        <x:v>1. 进入房管管理
2. 刷新房管管理</x:v>
      </x:c>
      <x:c r="K801" s="4" t="str">
        <x:v>房管身份自动解除</x:v>
      </x:c>
      <x:c r="L801" s="4" t="str"/>
      <x:c r="M801" s="4" t="str">
        <x:v>未测</x:v>
      </x:c>
      <x:c r="N801" s="4" t="str"/>
      <x:c r="O801" s="4" t="str">
        <x:v>1. 来源（原型批注）：liveshow-proto/prototype/annotations/user.js；moderator-management.html
2. 页面：moderator-management.html
3. 规则：BR-B8E80D2B7173FC
4. 场景：SC-E80736E3CD99F4
5. 未动态验证</x:v>
      </x:c>
    </x:row>
    <x:row r="802" ht="54" customHeight="1">
      <x:c r="A802" s="4" t="n">
        <x:v>801</x:v>
      </x:c>
      <x:c r="B802" s="4" t="str">
        <x:v>UHOST-0012</x:v>
      </x:c>
      <x:c r="C802" s="4" t="str">
        <x:v>主播中心</x:v>
      </x:c>
      <x:c r="D802" s="4" t="str">
        <x:v>房管管理（主播视角）</x:v>
      </x:c>
      <x:c r="E802" s="4" t="str">
        <x:v>业务流程</x:v>
      </x:c>
      <x:c r="F802" s="4" t="str">
        <x:v>P2</x:v>
      </x:c>
      <x:c r="G802" s="4" t="str">
        <x:v>验证因拉黑自动解除后的房管管理状态</x:v>
      </x:c>
      <x:c r="H802" s="4" t="str">
        <x:v>房管管理状态</x:v>
      </x:c>
      <x:c r="I802" s="4" t="str">
        <x:v>1. 主播账号已登录且具备当前页面权限
2. 因拉黑自动解除</x:v>
      </x:c>
      <x:c r="J802" s="4" t="str">
        <x:v>1. 进入房管管理
2. 刷新房管管理</x:v>
      </x:c>
      <x:c r="K802" s="4" t="str">
        <x:v>立即移出房管列表</x:v>
      </x:c>
      <x:c r="L802" s="4" t="str"/>
      <x:c r="M802" s="4" t="str">
        <x:v>未测</x:v>
      </x:c>
      <x:c r="N802" s="4" t="str"/>
      <x:c r="O802" s="4" t="str">
        <x:v>1. 来源（原型批注）：liveshow-proto/prototype/annotations/user.js；moderator-management.html
2. 页面：moderator-management.html
3. 规则：BR-0146071B77DA83
4. 场景：SC-04A9B365D6C812
5. 未动态验证</x:v>
      </x:c>
    </x:row>
    <x:row r="803" ht="54" customHeight="1">
      <x:c r="A803" s="4" t="n">
        <x:v>802</x:v>
      </x:c>
      <x:c r="B803" s="4" t="str">
        <x:v>UHOST-0013</x:v>
      </x:c>
      <x:c r="C803" s="4" t="str">
        <x:v>主播中心</x:v>
      </x:c>
      <x:c r="D803" s="4" t="str">
        <x:v>房型（门票房）（主播视角）</x:v>
      </x:c>
      <x:c r="E803" s="4" t="str">
        <x:v>业务流程</x:v>
      </x:c>
      <x:c r="F803" s="4" t="str">
        <x:v>P2</x:v>
      </x:c>
      <x:c r="G803" s="4" t="str">
        <x:v>验证档位已停用后的房型（门票房）状态</x:v>
      </x:c>
      <x:c r="H803" s="4" t="str">
        <x:v>房型（门票房）状态</x:v>
      </x:c>
      <x:c r="I803" s="4" t="str">
        <x:v>1. 主播账号已登录且具备当前页面权限
2. 档位已停用</x:v>
      </x:c>
      <x:c r="J803" s="4" t="str">
        <x:v>1. 打开房型（门票房）
2. 刷新房型（门票房）</x:v>
      </x:c>
      <x:c r="K803" s="4" t="str">
        <x:v>不保存</x:v>
      </x:c>
      <x:c r="L803" s="4" t="str"/>
      <x:c r="M803" s="4" t="str">
        <x:v>未测</x:v>
      </x:c>
      <x:c r="N803" s="4" t="str"/>
      <x:c r="O803" s="4" t="str">
        <x:v>1. 来源（原型批注）：liveshow-proto/prototype/annotations/user.js；views/start-live-settings/room-ticket.html
2. 页面：views/start-live-settings/room-ticket.html
3. 规则：BR-9CAD2E2C1D92F8
4. 场景：SC-6E4BE5753B8D01
5. 未动态验证</x:v>
      </x:c>
    </x:row>
    <x:row r="804" ht="54" customHeight="1">
      <x:c r="A804" s="4" t="n">
        <x:v>803</x:v>
      </x:c>
      <x:c r="B804" s="4" t="str">
        <x:v>UHOST-0014</x:v>
      </x:c>
      <x:c r="C804" s="4" t="str">
        <x:v>主播中心</x:v>
      </x:c>
      <x:c r="D804" s="4" t="str">
        <x:v>房型（门票房）（主播视角）</x:v>
      </x:c>
      <x:c r="E804" s="4" t="str">
        <x:v>业务流程</x:v>
      </x:c>
      <x:c r="F804" s="4" t="str">
        <x:v>P2</x:v>
      </x:c>
      <x:c r="G804" s="4" t="str">
        <x:v>验证点击档位后的房型（门票房）状态</x:v>
      </x:c>
      <x:c r="H804" s="4" t="str">
        <x:v>房型（门票房）状态</x:v>
      </x:c>
      <x:c r="I804" s="4" t="str">
        <x:v>1. 主播账号已登录且具备当前页面权限</x:v>
      </x:c>
      <x:c r="J804" s="4" t="str">
        <x:v>1. 打开房型（门票房）
2. 点击档位</x:v>
      </x:c>
      <x:c r="K804" s="4" t="str">
        <x:v>切换单选</x:v>
      </x:c>
      <x:c r="L804" s="4" t="str"/>
      <x:c r="M804" s="4" t="str">
        <x:v>未测</x:v>
      </x:c>
      <x:c r="N804" s="4" t="str"/>
      <x:c r="O804" s="4" t="str">
        <x:v>1. 来源（原型批注）：liveshow-proto/prototype/annotations/user.js；views/start-live-settings/room-ticket.html
2. 页面：views/start-live-settings/room-ticket.html
3. 规则：BR-8DC1F3B45369A6
4. 场景：SC-66A7D2C12B53DA
5. 未动态验证</x:v>
      </x:c>
    </x:row>
    <x:row r="805" ht="54" customHeight="1">
      <x:c r="A805" s="4" t="n">
        <x:v>804</x:v>
      </x:c>
      <x:c r="B805" s="4" t="str">
        <x:v>UHOST-0015</x:v>
      </x:c>
      <x:c r="C805" s="4" t="str">
        <x:v>主播中心</x:v>
      </x:c>
      <x:c r="D805" s="4" t="str">
        <x:v>房型（门票房）（主播视角）</x:v>
      </x:c>
      <x:c r="E805" s="4" t="str">
        <x:v>功能需求</x:v>
      </x:c>
      <x:c r="F805" s="4" t="str">
        <x:v>P2</x:v>
      </x:c>
      <x:c r="G805" s="4" t="str">
        <x:v>验证房型（门票房）可查看门票价格</x:v>
      </x:c>
      <x:c r="H805" s="4" t="str">
        <x:v>门票价格展示</x:v>
      </x:c>
      <x:c r="I805" s="4" t="str">
        <x:v>1. 主播账号已登录且具备当前页面权限</x:v>
      </x:c>
      <x:c r="J805" s="4" t="str">
        <x:v>1. 打开房型（门票房）
2. 查看门票价格</x:v>
      </x:c>
      <x:c r="K805" s="4" t="str">
        <x:v>房型（门票房）显示“门票价格”</x:v>
      </x:c>
      <x:c r="L805" s="4" t="str"/>
      <x:c r="M805" s="4" t="str">
        <x:v>未测</x:v>
      </x:c>
      <x:c r="N805" s="4" t="str"/>
      <x:c r="O805" s="4" t="str">
        <x:v>1. 来源（原型批注）：liveshow-proto/prototype/annotations/user.js；views/start-live-settings/room-ticket.html
2. 页面：views/start-live-settings/room-ticket.html
3. 规则：BR-38AD0D6E4FC1F3、BR-6A371CE7793F95
4. 场景：SC-CC040AC0BA20F4
5. 未动态验证</x:v>
      </x:c>
    </x:row>
    <x:row r="806" ht="54" customHeight="1">
      <x:c r="A806" s="4" t="n">
        <x:v>805</x:v>
      </x:c>
      <x:c r="B806" s="4" t="str">
        <x:v>UHOST-0016</x:v>
      </x:c>
      <x:c r="C806" s="4" t="str">
        <x:v>主播中心</x:v>
      </x:c>
      <x:c r="D806" s="4" t="str">
        <x:v>房型（门票房）（主播视角）</x:v>
      </x:c>
      <x:c r="E806" s="4" t="str">
        <x:v>功能需求</x:v>
      </x:c>
      <x:c r="F806" s="4" t="str">
        <x:v>P2</x:v>
      </x:c>
      <x:c r="G806" s="4" t="str">
        <x:v>验证后台已启用的价格档位全部平铺时的房型（门票房）结果</x:v>
      </x:c>
      <x:c r="H806" s="4" t="str">
        <x:v>房型（门票房）条件结果</x:v>
      </x:c>
      <x:c r="I806" s="4" t="str">
        <x:v>1. 主播账号已登录且具备当前页面权限
2. 后台已启用的价格档位全部平铺</x:v>
      </x:c>
      <x:c r="J806" s="4" t="str">
        <x:v>1. 打开房型（门票房）
2. 查看房型（门票房）</x:v>
      </x:c>
      <x:c r="K806" s="4" t="str">
        <x:v>后台已启用的价格档位全部平铺展示，按后台排序，只能单选</x:v>
      </x:c>
      <x:c r="L806" s="4" t="str"/>
      <x:c r="M806" s="4" t="str">
        <x:v>未测</x:v>
      </x:c>
      <x:c r="N806" s="4" t="str"/>
      <x:c r="O806" s="4" t="str">
        <x:v>1. 来源（原型批注）：liveshow-proto/prototype/annotations/user.js；views/start-live-settings/room-ticket.html
2. 页面：views/start-live-settings/room-ticket.html
3. 规则：BR-6A371CE7793F95
4. 场景：SC-99CE8CE9344F1E
5. 未动态验证</x:v>
      </x:c>
    </x:row>
    <x:row r="807" ht="54" customHeight="1">
      <x:c r="A807" s="4" t="n">
        <x:v>806</x:v>
      </x:c>
      <x:c r="B807" s="4" t="str">
        <x:v>UHOST-0017</x:v>
      </x:c>
      <x:c r="C807" s="4" t="str">
        <x:v>主播中心</x:v>
      </x:c>
      <x:c r="D807" s="4" t="str">
        <x:v>房型（门票房）（主播视角）</x:v>
      </x:c>
      <x:c r="E807" s="4" t="str">
        <x:v>功能需求</x:v>
      </x:c>
      <x:c r="F807" s="4" t="str">
        <x:v>P2</x:v>
      </x:c>
      <x:c r="G807" s="4" t="str">
        <x:v>验证门票房受平台功能开关控制，关闭时的房型（门票房）结果</x:v>
      </x:c>
      <x:c r="H807" s="4" t="str">
        <x:v>房型（门票房）条件结果</x:v>
      </x:c>
      <x:c r="I807" s="4" t="str">
        <x:v>1. 主播账号已登录且具备当前页面权限
2. 门票房受平台功能开关控制，关闭</x:v>
      </x:c>
      <x:c r="J807" s="4" t="str">
        <x:v>1. 打开房型（门票房）
2. 查看房型（门票房）</x:v>
      </x:c>
      <x:c r="K807" s="4" t="str">
        <x:v>不可选择</x:v>
      </x:c>
      <x:c r="L807" s="4" t="str"/>
      <x:c r="M807" s="4" t="str">
        <x:v>未测</x:v>
      </x:c>
      <x:c r="N807" s="4" t="str"/>
      <x:c r="O807" s="4" t="str">
        <x:v>1. 来源（原型批注）：liveshow-proto/prototype/annotations/user.js；views/start-live-settings/room-ticket.html
2. 页面：views/start-live-settings/room-ticket.html
3. 规则：BR-A8D92BC080EEC0
4. 场景：SC-76976BEF95B498
5. 未动态验证</x:v>
      </x:c>
    </x:row>
    <x:row r="808" ht="54" customHeight="1">
      <x:c r="A808" s="4" t="n">
        <x:v>807</x:v>
      </x:c>
      <x:c r="B808" s="4" t="str">
        <x:v>UHOST-0018</x:v>
      </x:c>
      <x:c r="C808" s="4" t="str">
        <x:v>主播中心</x:v>
      </x:c>
      <x:c r="D808" s="4" t="str">
        <x:v>房型（门票房）（主播视角）</x:v>
      </x:c>
      <x:c r="E808" s="4" t="str">
        <x:v>业务流程</x:v>
      </x:c>
      <x:c r="F808" s="4" t="str">
        <x:v>P2</x:v>
      </x:c>
      <x:c r="G808" s="4" t="str">
        <x:v>验证未选择后的房型（门票房）状态</x:v>
      </x:c>
      <x:c r="H808" s="4" t="str">
        <x:v>房型（门票房）状态</x:v>
      </x:c>
      <x:c r="I808" s="4" t="str">
        <x:v>1. 主播账号已登录且具备当前页面权限
2. 未选择</x:v>
      </x:c>
      <x:c r="J808" s="4" t="str">
        <x:v>1. 打开房型（门票房）
2. 刷新房型（门票房）</x:v>
      </x:c>
      <x:c r="K808" s="4" t="str">
        <x:v>不保存</x:v>
      </x:c>
      <x:c r="L808" s="4" t="str"/>
      <x:c r="M808" s="4" t="str">
        <x:v>未测</x:v>
      </x:c>
      <x:c r="N808" s="4" t="str"/>
      <x:c r="O808" s="4" t="str">
        <x:v>1. 来源（原型批注）：liveshow-proto/prototype/annotations/user.js；views/start-live-settings/room-ticket.html
2. 页面：views/start-live-settings/room-ticket.html
3. 规则：BR-9CAD2E2C1D92F8
4. 场景：SC-19D11A3DD1717B
5. 未动态验证</x:v>
      </x:c>
    </x:row>
    <x:row r="809" ht="54" customHeight="1">
      <x:c r="A809" s="4" t="n">
        <x:v>808</x:v>
      </x:c>
      <x:c r="B809" s="4" t="str">
        <x:v>UHOST-0019</x:v>
      </x:c>
      <x:c r="C809" s="4" t="str">
        <x:v>主播中心</x:v>
      </x:c>
      <x:c r="D809" s="4" t="str">
        <x:v>房型（门票房）（主播视角）</x:v>
      </x:c>
      <x:c r="E809" s="4" t="str">
        <x:v>业务流程</x:v>
      </x:c>
      <x:c r="F809" s="4" t="str">
        <x:v>P2</x:v>
      </x:c>
      <x:c r="G809" s="4" t="str">
        <x:v>验证选择门票房后的房型（门票房）状态</x:v>
      </x:c>
      <x:c r="H809" s="4" t="str">
        <x:v>房型（门票房）状态</x:v>
      </x:c>
      <x:c r="I809" s="4" t="str">
        <x:v>1. 主播账号已登录且具备当前页面权限</x:v>
      </x:c>
      <x:c r="J809" s="4" t="str">
        <x:v>1. 打开房型（门票房）
2. 选择门票房</x:v>
      </x:c>
      <x:c r="K809" s="4" t="str">
        <x:v>平铺展示后台已启用的价格档位</x:v>
      </x:c>
      <x:c r="L809" s="4" t="str"/>
      <x:c r="M809" s="4" t="str">
        <x:v>未测</x:v>
      </x:c>
      <x:c r="N809" s="4" t="str"/>
      <x:c r="O809" s="4" t="str">
        <x:v>1. 来源（原型批注）：liveshow-proto/prototype/annotations/user.js；views/start-live-settings/room-ticket.html
2. 页面：views/start-live-settings/room-ticket.html
3. 规则：BR-EAECF6A6F67DA4
4. 场景：SC-B2864DB3A55BF6
5. 未动态验证</x:v>
      </x:c>
    </x:row>
    <x:row r="810" ht="54" customHeight="1">
      <x:c r="A810" s="4" t="n">
        <x:v>809</x:v>
      </x:c>
      <x:c r="B810" s="4" t="str">
        <x:v>UHOST-0020</x:v>
      </x:c>
      <x:c r="C810" s="4" t="str">
        <x:v>主播中心</x:v>
      </x:c>
      <x:c r="D810" s="4" t="str">
        <x:v>房型（门票房）（主播视角）</x:v>
      </x:c>
      <x:c r="E810" s="4" t="str">
        <x:v>业务流程</x:v>
      </x:c>
      <x:c r="F810" s="4" t="str">
        <x:v>P2</x:v>
      </x:c>
      <x:c r="G810" s="4" t="str">
        <x:v>验证选择有效档位后的房型（门票房）状态</x:v>
      </x:c>
      <x:c r="H810" s="4" t="str">
        <x:v>房型（门票房）状态</x:v>
      </x:c>
      <x:c r="I810" s="4" t="str">
        <x:v>1. 主播账号已登录且具备当前页面权限</x:v>
      </x:c>
      <x:c r="J810" s="4" t="str">
        <x:v>1. 打开房型（门票房）
2. 选择有效档位</x:v>
      </x:c>
      <x:c r="K810" s="4" t="str">
        <x:v>回填门票房和价格</x:v>
      </x:c>
      <x:c r="L810" s="4" t="str"/>
      <x:c r="M810" s="4" t="str">
        <x:v>未测</x:v>
      </x:c>
      <x:c r="N810" s="4" t="str"/>
      <x:c r="O810" s="4" t="str">
        <x:v>1. 来源（原型批注）：liveshow-proto/prototype/annotations/user.js；views/start-live-settings/room-ticket.html
2. 页面：views/start-live-settings/room-ticket.html
3. 规则：BR-C2FD7F97AEDDE8
4. 场景：SC-C6A6E33CBFF435
5. 未动态验证</x:v>
      </x:c>
    </x:row>
    <x:row r="811" ht="54" customHeight="1">
      <x:c r="A811" s="4" t="n">
        <x:v>810</x:v>
      </x:c>
      <x:c r="B811" s="4" t="str">
        <x:v>UHOST-0021</x:v>
      </x:c>
      <x:c r="C811" s="4" t="str">
        <x:v>主播中心</x:v>
      </x:c>
      <x:c r="D811" s="4" t="str">
        <x:v>房型（密码房）（主播视角）</x:v>
      </x:c>
      <x:c r="E811" s="4" t="str">
        <x:v>功能需求</x:v>
      </x:c>
      <x:c r="F811" s="4" t="str">
        <x:v>P2</x:v>
      </x:c>
      <x:c r="G811" s="4" t="str">
        <x:v>验证超过 5 人时的房型（密码房）结果</x:v>
      </x:c>
      <x:c r="H811" s="4" t="str">
        <x:v>房型（密码房）条件结果</x:v>
      </x:c>
      <x:c r="I811" s="4" t="str">
        <x:v>1. 主播账号已登录且具备当前页面权限
2. 超过 5 人</x:v>
      </x:c>
      <x:c r="J811" s="4" t="str">
        <x:v>1. 打开房型（密码房）
2. 查看房型（密码房）</x:v>
      </x:c>
      <x:c r="K811" s="4" t="str">
        <x:v>超过 5 人显示“...”</x:v>
      </x:c>
      <x:c r="L811" s="4" t="str"/>
      <x:c r="M811" s="4" t="str">
        <x:v>未测</x:v>
      </x:c>
      <x:c r="N811" s="4" t="str"/>
      <x:c r="O811" s="4" t="str">
        <x:v>1. 来源（原型批注）：liveshow-proto/prototype/annotations/user.js；views/start-live-settings/room-password.html
2. 页面：views/start-live-settings/room-password.html
3. 规则：BR-89BB99AFBDA4B3
4. 场景：SC-83D1F2EF79E3CD
5. 未动态验证</x:v>
      </x:c>
    </x:row>
    <x:row r="812" ht="54" customHeight="1">
      <x:c r="A812" s="4" t="n">
        <x:v>811</x:v>
      </x:c>
      <x:c r="B812" s="4" t="str">
        <x:v>UHOST-0022</x:v>
      </x:c>
      <x:c r="C812" s="4" t="str">
        <x:v>主播中心</x:v>
      </x:c>
      <x:c r="D812" s="4" t="str">
        <x:v>房型（密码房）（主播视角）</x:v>
      </x:c>
      <x:c r="E812" s="4" t="str">
        <x:v>业务流程</x:v>
      </x:c>
      <x:c r="F812" s="4" t="str">
        <x:v>P2</x:v>
      </x:c>
      <x:c r="G812" s="4" t="str">
        <x:v>验证点击编辑图标后的房型（密码房）状态</x:v>
      </x:c>
      <x:c r="H812" s="4" t="str">
        <x:v>房型（密码房）状态</x:v>
      </x:c>
      <x:c r="I812" s="4" t="str">
        <x:v>1. 主播账号已登录且具备当前页面权限</x:v>
      </x:c>
      <x:c r="J812" s="4" t="str">
        <x:v>1. 打开房型（密码房）
2. 点击编辑图标</x:v>
      </x:c>
      <x:c r="K812" s="4" t="str">
        <x:v>进入新页面搜索、多选或全选粉丝</x:v>
      </x:c>
      <x:c r="L812" s="4" t="str"/>
      <x:c r="M812" s="4" t="str">
        <x:v>未测</x:v>
      </x:c>
      <x:c r="N812" s="4" t="str"/>
      <x:c r="O812" s="4" t="str">
        <x:v>1. 来源（原型批注）：liveshow-proto/prototype/annotations/user.js；views/start-live-settings/room-password.html
2. 页面：views/start-live-settings/room-password.html
3. 规则：BR-91BF49182CEE66
4. 场景：SC-7A844B2EC91892
5. 未动态验证</x:v>
      </x:c>
    </x:row>
    <x:row r="813" ht="54" customHeight="1">
      <x:c r="A813" s="4" t="n">
        <x:v>812</x:v>
      </x:c>
      <x:c r="B813" s="4" t="str">
        <x:v>UHOST-0023</x:v>
      </x:c>
      <x:c r="C813" s="4" t="str">
        <x:v>主播中心</x:v>
      </x:c>
      <x:c r="D813" s="4" t="str">
        <x:v>房型（密码房）（主播视角）</x:v>
      </x:c>
      <x:c r="E813" s="4" t="str">
        <x:v>逻辑校验</x:v>
      </x:c>
      <x:c r="F813" s="4" t="str">
        <x:v>P2</x:v>
      </x:c>
      <x:c r="G813" s="4" t="str">
        <x:v>验证房间密码输入12</x:v>
      </x:c>
      <x:c r="H813" s="4" t="str">
        <x:v>房间密码取值边界</x:v>
      </x:c>
      <x:c r="I813" s="4" t="str">
        <x:v>1. 主播账号已登录且具备当前页面权限</x:v>
      </x:c>
      <x:c r="J813" s="4" t="str">
        <x:v>1. 打开房型（密码房）
2. 输入房间密码12</x:v>
      </x:c>
      <x:c r="K813" s="4" t="str">
        <x:v>房间密码接受数值12</x:v>
      </x:c>
      <x:c r="L813" s="4" t="str"/>
      <x:c r="M813" s="4" t="str">
        <x:v>未测</x:v>
      </x:c>
      <x:c r="N813" s="4" t="str"/>
      <x:c r="O813" s="4" t="str">
        <x:v>1. 来源（原型批注）：liveshow-proto/prototype/annotations/user.js；views/start-live-settings/room-password.html
2. 页面：views/start-live-settings/room-password.html
3. 规则：BR-73CFA8ED9343A2
4. 场景：SC-EB619601A10E92
5. 未动态验证</x:v>
      </x:c>
    </x:row>
    <x:row r="814" ht="54" customHeight="1">
      <x:c r="A814" s="4" t="n">
        <x:v>813</x:v>
      </x:c>
      <x:c r="B814" s="4" t="str">
        <x:v>UHOST-0024</x:v>
      </x:c>
      <x:c r="C814" s="4" t="str">
        <x:v>主播中心</x:v>
      </x:c>
      <x:c r="D814" s="4" t="str">
        <x:v>房型（密码房）（主播视角）</x:v>
      </x:c>
      <x:c r="E814" s="4" t="str">
        <x:v>异常用例</x:v>
      </x:c>
      <x:c r="F814" s="4" t="str">
        <x:v>P2</x:v>
      </x:c>
      <x:c r="G814" s="4" t="str">
        <x:v>验证房间密码输入13</x:v>
      </x:c>
      <x:c r="H814" s="4" t="str">
        <x:v>房间密码取值边界</x:v>
      </x:c>
      <x:c r="I814" s="4" t="str">
        <x:v>1. 主播账号已登录且具备当前页面权限</x:v>
      </x:c>
      <x:c r="J814" s="4" t="str">
        <x:v>1. 打开房型（密码房）
2. 输入房间密码13</x:v>
      </x:c>
      <x:c r="K814" s="4" t="str">
        <x:v>房间密码不接受数值13</x:v>
      </x:c>
      <x:c r="L814" s="4" t="str"/>
      <x:c r="M814" s="4" t="str">
        <x:v>未测</x:v>
      </x:c>
      <x:c r="N814" s="4" t="str"/>
      <x:c r="O814" s="4" t="str">
        <x:v>1. 来源（原型批注）：liveshow-proto/prototype/annotations/user.js；views/start-live-settings/room-password.html
2. 页面：views/start-live-settings/room-password.html
3. 规则：BR-73CFA8ED9343A2
4. 场景：SC-21A85637449E36
5. 未动态验证</x:v>
      </x:c>
    </x:row>
    <x:row r="815" ht="54" customHeight="1">
      <x:c r="A815" s="4" t="n">
        <x:v>814</x:v>
      </x:c>
      <x:c r="B815" s="4" t="str">
        <x:v>UHOST-0025</x:v>
      </x:c>
      <x:c r="C815" s="4" t="str">
        <x:v>主播中心</x:v>
      </x:c>
      <x:c r="D815" s="4" t="str">
        <x:v>房型（密码房）（主播视角）</x:v>
      </x:c>
      <x:c r="E815" s="4" t="str">
        <x:v>异常用例</x:v>
      </x:c>
      <x:c r="F815" s="4" t="str">
        <x:v>P2</x:v>
      </x:c>
      <x:c r="G815" s="4" t="str">
        <x:v>验证房间密码输入3</x:v>
      </x:c>
      <x:c r="H815" s="4" t="str">
        <x:v>房间密码取值边界</x:v>
      </x:c>
      <x:c r="I815" s="4" t="str">
        <x:v>1. 主播账号已登录且具备当前页面权限</x:v>
      </x:c>
      <x:c r="J815" s="4" t="str">
        <x:v>1. 打开房型（密码房）
2. 输入房间密码3</x:v>
      </x:c>
      <x:c r="K815" s="4" t="str">
        <x:v>房间密码不接受数值3</x:v>
      </x:c>
      <x:c r="L815" s="4" t="str"/>
      <x:c r="M815" s="4" t="str">
        <x:v>未测</x:v>
      </x:c>
      <x:c r="N815" s="4" t="str"/>
      <x:c r="O815" s="4" t="str">
        <x:v>1. 来源（原型批注）：liveshow-proto/prototype/annotations/user.js；views/start-live-settings/room-password.html
2. 页面：views/start-live-settings/room-password.html
3. 规则：BR-73CFA8ED9343A2
4. 场景：SC-F19E6DD9D743B1
5. 未动态验证</x:v>
      </x:c>
    </x:row>
    <x:row r="816" ht="54" customHeight="1">
      <x:c r="A816" s="4" t="n">
        <x:v>815</x:v>
      </x:c>
      <x:c r="B816" s="4" t="str">
        <x:v>UHOST-0026</x:v>
      </x:c>
      <x:c r="C816" s="4" t="str">
        <x:v>主播中心</x:v>
      </x:c>
      <x:c r="D816" s="4" t="str">
        <x:v>房型（密码房）（主播视角）</x:v>
      </x:c>
      <x:c r="E816" s="4" t="str">
        <x:v>逻辑校验</x:v>
      </x:c>
      <x:c r="F816" s="4" t="str">
        <x:v>P2</x:v>
      </x:c>
      <x:c r="G816" s="4" t="str">
        <x:v>验证房间密码输入4</x:v>
      </x:c>
      <x:c r="H816" s="4" t="str">
        <x:v>房间密码取值边界</x:v>
      </x:c>
      <x:c r="I816" s="4" t="str">
        <x:v>1. 主播账号已登录且具备当前页面权限</x:v>
      </x:c>
      <x:c r="J816" s="4" t="str">
        <x:v>1. 打开房型（密码房）
2. 输入房间密码4</x:v>
      </x:c>
      <x:c r="K816" s="4" t="str">
        <x:v>房间密码接受数值4</x:v>
      </x:c>
      <x:c r="L816" s="4" t="str"/>
      <x:c r="M816" s="4" t="str">
        <x:v>未测</x:v>
      </x:c>
      <x:c r="N816" s="4" t="str"/>
      <x:c r="O816" s="4" t="str">
        <x:v>1. 来源（原型批注）：liveshow-proto/prototype/annotations/user.js；views/start-live-settings/room-password.html
2. 页面：views/start-live-settings/room-password.html
3. 规则：BR-73CFA8ED9343A2
4. 场景：SC-3365812CF87B6B
5. 未动态验证</x:v>
      </x:c>
    </x:row>
    <x:row r="817" ht="54" customHeight="1">
      <x:c r="A817" s="4" t="n">
        <x:v>816</x:v>
      </x:c>
      <x:c r="B817" s="4" t="str">
        <x:v>UHOST-0027</x:v>
      </x:c>
      <x:c r="C817" s="4" t="str">
        <x:v>主播中心</x:v>
      </x:c>
      <x:c r="D817" s="4" t="str">
        <x:v>房型（密码房）（主播视角）</x:v>
      </x:c>
      <x:c r="E817" s="4" t="str">
        <x:v>功能需求</x:v>
      </x:c>
      <x:c r="F817" s="4" t="str">
        <x:v>P2</x:v>
      </x:c>
      <x:c r="G817" s="4" t="str">
        <x:v>验证房型（密码房）可查看房间密码</x:v>
      </x:c>
      <x:c r="H817" s="4" t="str">
        <x:v>房间密码展示</x:v>
      </x:c>
      <x:c r="I817" s="4" t="str">
        <x:v>1. 主播账号已登录且具备当前页面权限</x:v>
      </x:c>
      <x:c r="J817" s="4" t="str">
        <x:v>1. 打开房型（密码房）
2. 查看房间密码</x:v>
      </x:c>
      <x:c r="K817" s="4" t="str">
        <x:v>房型（密码房）显示“房间密码”</x:v>
      </x:c>
      <x:c r="L817" s="4" t="str"/>
      <x:c r="M817" s="4" t="str">
        <x:v>未测</x:v>
      </x:c>
      <x:c r="N817" s="4" t="str"/>
      <x:c r="O817" s="4" t="str">
        <x:v>1. 来源（原型批注）：liveshow-proto/prototype/annotations/user.js；views/start-live-settings/room-password.html
2. 页面：views/start-live-settings/room-password.html
3. 规则：BR-73CFA8ED9343A2
4. 场景：SC-D51021102F305C
5. 未动态验证</x:v>
      </x:c>
    </x:row>
    <x:row r="818" ht="54" customHeight="1">
      <x:c r="A818" s="4" t="n">
        <x:v>817</x:v>
      </x:c>
      <x:c r="B818" s="4" t="str">
        <x:v>UHOST-0028</x:v>
      </x:c>
      <x:c r="C818" s="4" t="str">
        <x:v>主播中心</x:v>
      </x:c>
      <x:c r="D818" s="4" t="str">
        <x:v>房型（密码房）（主播视角）</x:v>
      </x:c>
      <x:c r="E818" s="4" t="str">
        <x:v>功能需求</x:v>
      </x:c>
      <x:c r="F818" s="4" t="str">
        <x:v>P2</x:v>
      </x:c>
      <x:c r="G818" s="4" t="str">
        <x:v>验证房型（密码房）可查看粉丝授权名单</x:v>
      </x:c>
      <x:c r="H818" s="4" t="str">
        <x:v>粉丝授权名单展示</x:v>
      </x:c>
      <x:c r="I818" s="4" t="str">
        <x:v>1. 主播账号已登录且具备当前页面权限</x:v>
      </x:c>
      <x:c r="J818" s="4" t="str">
        <x:v>1. 打开房型（密码房）
2. 查看粉丝授权名单</x:v>
      </x:c>
      <x:c r="K818" s="4" t="str">
        <x:v>房型（密码房）显示“粉丝授权名单”</x:v>
      </x:c>
      <x:c r="L818" s="4" t="str"/>
      <x:c r="M818" s="4" t="str">
        <x:v>未测</x:v>
      </x:c>
      <x:c r="N818" s="4" t="str"/>
      <x:c r="O818" s="4" t="str">
        <x:v>1. 来源（原型批注）：liveshow-proto/prototype/annotations/user.js；views/start-live-settings/room-password.html
2. 页面：views/start-live-settings/room-password.html
3. 规则：BR-FDCC70A9AEDB59、BR-FB80DBC2C66D7F
4. 场景：SC-2767EEF76E121B
5. 未动态验证</x:v>
      </x:c>
    </x:row>
    <x:row r="819" ht="54" customHeight="1">
      <x:c r="A819" s="4" t="n">
        <x:v>818</x:v>
      </x:c>
      <x:c r="B819" s="4" t="str">
        <x:v>UHOST-0029</x:v>
      </x:c>
      <x:c r="C819" s="4" t="str">
        <x:v>主播中心</x:v>
      </x:c>
      <x:c r="D819" s="4" t="str">
        <x:v>房型（密码房）（主播视角）</x:v>
      </x:c>
      <x:c r="E819" s="4" t="str">
        <x:v>功能需求</x:v>
      </x:c>
      <x:c r="F819" s="4" t="str">
        <x:v>P2</x:v>
      </x:c>
      <x:c r="G819" s="4" t="str">
        <x:v>验证房型（密码房）可查看广场展示</x:v>
      </x:c>
      <x:c r="H819" s="4" t="str">
        <x:v>广场展示展示</x:v>
      </x:c>
      <x:c r="I819" s="4" t="str">
        <x:v>1. 主播账号已登录且具备当前页面权限</x:v>
      </x:c>
      <x:c r="J819" s="4" t="str">
        <x:v>1. 打开房型（密码房）
2. 查看广场展示</x:v>
      </x:c>
      <x:c r="K819" s="4" t="str">
        <x:v>房型（密码房）显示“广场展示”</x:v>
      </x:c>
      <x:c r="L819" s="4" t="str"/>
      <x:c r="M819" s="4" t="str">
        <x:v>未测</x:v>
      </x:c>
      <x:c r="N819" s="4" t="str"/>
      <x:c r="O819" s="4" t="str">
        <x:v>1. 来源（原型批注）：liveshow-proto/prototype/annotations/user.js；views/start-live-settings/room-password.html
2. 页面：views/start-live-settings/room-password.html
3. 规则：BR-D164E0E42BB4A2、BR-C1AF67D6C61AE1
4. 场景：SC-EAC5155EDAEF79
5. 未动态验证</x:v>
      </x:c>
    </x:row>
    <x:row r="820" ht="54" customHeight="1">
      <x:c r="A820" s="4" t="n">
        <x:v>819</x:v>
      </x:c>
      <x:c r="B820" s="4" t="str">
        <x:v>UHOST-0030</x:v>
      </x:c>
      <x:c r="C820" s="4" t="str">
        <x:v>主播中心</x:v>
      </x:c>
      <x:c r="D820" s="4" t="str">
        <x:v>房型（密码房）（主播视角）</x:v>
      </x:c>
      <x:c r="E820" s="4" t="str">
        <x:v>逻辑校验</x:v>
      </x:c>
      <x:c r="F820" s="4" t="str">
        <x:v>P2</x:v>
      </x:c>
      <x:c r="G820" s="4" t="str">
        <x:v>验证粉丝授权名单按指定范围筛选</x:v>
      </x:c>
      <x:c r="H820" s="4" t="str">
        <x:v>粉丝授权名单数据范围</x:v>
      </x:c>
      <x:c r="I820" s="4" t="str">
        <x:v>1. 主播账号已登录且具备当前页面权限
2. 存在符合和不符合“当前仍关注主播的粉丝”的记录</x:v>
      </x:c>
      <x:c r="J820" s="4" t="str">
        <x:v>1. 打开房型（密码房）
2. 查看粉丝授权名单</x:v>
      </x:c>
      <x:c r="K820" s="4" t="str">
        <x:v>仅可选择当前仍关注主播的粉丝</x:v>
      </x:c>
      <x:c r="L820" s="4" t="str"/>
      <x:c r="M820" s="4" t="str">
        <x:v>未测</x:v>
      </x:c>
      <x:c r="N820" s="4" t="str"/>
      <x:c r="O820" s="4" t="str">
        <x:v>1. 来源（原型批注）：liveshow-proto/prototype/annotations/user.js；views/start-live-settings/room-password.html
2. 页面：views/start-live-settings/room-password.html
3. 规则：BR-FB80DBC2C66D7F
4. 场景：SC-E3EF1930BA29BD
5. 未动态验证</x:v>
      </x:c>
    </x:row>
    <x:row r="821" ht="54" customHeight="1">
      <x:c r="A821" s="4" t="n">
        <x:v>820</x:v>
      </x:c>
      <x:c r="B821" s="4" t="str">
        <x:v>UHOST-0031</x:v>
      </x:c>
      <x:c r="C821" s="4" t="str">
        <x:v>主播中心</x:v>
      </x:c>
      <x:c r="D821" s="4" t="str">
        <x:v>房型（密码房）（主播视角）</x:v>
      </x:c>
      <x:c r="E821" s="4" t="str">
        <x:v>业务流程</x:v>
      </x:c>
      <x:c r="F821" s="4" t="str">
        <x:v>P2</x:v>
      </x:c>
      <x:c r="G821" s="4" t="str">
        <x:v>验证密码不是 4-12 个数字后的房型（密码房）状态</x:v>
      </x:c>
      <x:c r="H821" s="4" t="str">
        <x:v>房型（密码房）状态</x:v>
      </x:c>
      <x:c r="I821" s="4" t="str">
        <x:v>1. 主播账号已登录且具备当前页面权限
2. 密码不是 4-12 个数字</x:v>
      </x:c>
      <x:c r="J821" s="4" t="str">
        <x:v>1. 打开房型（密码房）
2. 刷新房型（密码房）</x:v>
      </x:c>
      <x:c r="K821" s="4" t="str">
        <x:v>不保存、保留输入</x:v>
      </x:c>
      <x:c r="L821" s="4" t="str"/>
      <x:c r="M821" s="4" t="str">
        <x:v>未测</x:v>
      </x:c>
      <x:c r="N821" s="4" t="str"/>
      <x:c r="O821" s="4" t="str">
        <x:v>1. 来源（原型批注）：liveshow-proto/prototype/annotations/user.js；views/start-live-settings/room-password.html
2. 页面：views/start-live-settings/room-password.html
3. 规则：BR-6899E7767E3685
4. 场景：SC-658D541BA7D0D7
5. 未动态验证</x:v>
      </x:c>
    </x:row>
    <x:row r="822" ht="54" customHeight="1">
      <x:c r="A822" s="4" t="n">
        <x:v>821</x:v>
      </x:c>
      <x:c r="B822" s="4" t="str">
        <x:v>UHOST-0032</x:v>
      </x:c>
      <x:c r="C822" s="4" t="str">
        <x:v>主播中心</x:v>
      </x:c>
      <x:c r="D822" s="4" t="str">
        <x:v>房型（密码房）（主播视角）</x:v>
      </x:c>
      <x:c r="E822" s="4" t="str">
        <x:v>功能需求</x:v>
      </x:c>
      <x:c r="F822" s="4" t="str">
        <x:v>P2</x:v>
      </x:c>
      <x:c r="G822" s="4" t="str">
        <x:v>验证密码房受平台功能开关控制，关闭时的房型（密码房）结果</x:v>
      </x:c>
      <x:c r="H822" s="4" t="str">
        <x:v>房型（密码房）条件结果</x:v>
      </x:c>
      <x:c r="I822" s="4" t="str">
        <x:v>1. 主播账号已登录且具备当前页面权限
2. 密码房受平台功能开关控制，关闭</x:v>
      </x:c>
      <x:c r="J822" s="4" t="str">
        <x:v>1. 打开房型（密码房）
2. 查看房型（密码房）</x:v>
      </x:c>
      <x:c r="K822" s="4" t="str">
        <x:v>不可选择</x:v>
      </x:c>
      <x:c r="L822" s="4" t="str"/>
      <x:c r="M822" s="4" t="str">
        <x:v>未测</x:v>
      </x:c>
      <x:c r="N822" s="4" t="str"/>
      <x:c r="O822" s="4" t="str">
        <x:v>1. 来源（原型批注）：liveshow-proto/prototype/annotations/user.js；views/start-live-settings/room-password.html
2. 页面：views/start-live-settings/room-password.html
3. 规则：BR-C1B25C790DB6C3
4. 场景：SC-7E40BEA52F3A72
5. 未动态验证</x:v>
      </x:c>
    </x:row>
    <x:row r="823" ht="54" customHeight="1">
      <x:c r="A823" s="4" t="n">
        <x:v>822</x:v>
      </x:c>
      <x:c r="B823" s="4" t="str">
        <x:v>UHOST-0033</x:v>
      </x:c>
      <x:c r="C823" s="4" t="str">
        <x:v>主播中心</x:v>
      </x:c>
      <x:c r="D823" s="4" t="str">
        <x:v>房型（密码房）（主播视角）</x:v>
      </x:c>
      <x:c r="E823" s="4" t="str">
        <x:v>业务流程</x:v>
      </x:c>
      <x:c r="F823" s="4" t="str">
        <x:v>P2</x:v>
      </x:c>
      <x:c r="G823" s="4" t="str">
        <x:v>验证名单内粉丝输入正确密码后的房型（密码房）状态</x:v>
      </x:c>
      <x:c r="H823" s="4" t="str">
        <x:v>房型（密码房）状态</x:v>
      </x:c>
      <x:c r="I823" s="4" t="str">
        <x:v>1. 主播账号已登录且具备当前页面权限
2. 名单内粉丝输入正确密码</x:v>
      </x:c>
      <x:c r="J823" s="4" t="str">
        <x:v>1. 打开房型（密码房）
2. 刷新房型（密码房）</x:v>
      </x:c>
      <x:c r="K823" s="4" t="str">
        <x:v>方可进入</x:v>
      </x:c>
      <x:c r="L823" s="4" t="str"/>
      <x:c r="M823" s="4" t="str">
        <x:v>未测</x:v>
      </x:c>
      <x:c r="N823" s="4" t="str"/>
      <x:c r="O823" s="4" t="str">
        <x:v>1. 来源（原型批注）：liveshow-proto/prototype/annotations/user.js；views/start-live-settings/room-password.html
2. 页面：views/start-live-settings/room-password.html
3. 规则：BR-B40C3096B5CC81
4. 场景：SC-31A10D5AA155D6
5. 未动态验证</x:v>
      </x:c>
    </x:row>
    <x:row r="824" ht="54" customHeight="1">
      <x:c r="A824" s="4" t="n">
        <x:v>823</x:v>
      </x:c>
      <x:c r="B824" s="4" t="str">
        <x:v>UHOST-0034</x:v>
      </x:c>
      <x:c r="C824" s="4" t="str">
        <x:v>主播中心</x:v>
      </x:c>
      <x:c r="D824" s="4" t="str">
        <x:v>房型（密码房）（主播视角）</x:v>
      </x:c>
      <x:c r="E824" s="4" t="str">
        <x:v>功能需求</x:v>
      </x:c>
      <x:c r="F824" s="4" t="str">
        <x:v>P2</x:v>
      </x:c>
      <x:c r="G824" s="4" t="str">
        <x:v>验证名单外用户时的房型（密码房）结果</x:v>
      </x:c>
      <x:c r="H824" s="4" t="str">
        <x:v>房型（密码房）条件结果</x:v>
      </x:c>
      <x:c r="I824" s="4" t="str">
        <x:v>1. 主播账号已登录且具备当前页面权限
2. 名单外用户</x:v>
      </x:c>
      <x:c r="J824" s="4" t="str">
        <x:v>1. 打开房型（密码房）
2. 查看房型（密码房）</x:v>
      </x:c>
      <x:c r="K824" s="4" t="str">
        <x:v>名单外用户不展示</x:v>
      </x:c>
      <x:c r="L824" s="4" t="str"/>
      <x:c r="M824" s="4" t="str">
        <x:v>未测</x:v>
      </x:c>
      <x:c r="N824" s="4" t="str"/>
      <x:c r="O824" s="4" t="str">
        <x:v>1. 来源（原型批注）：liveshow-proto/prototype/annotations/user.js；views/start-live-settings/room-password.html
2. 页面：views/start-live-settings/room-password.html
3. 规则：BR-88CF9DBC2965A2
4. 场景：SC-121DA3C6D1FD4E
5. 未动态验证</x:v>
      </x:c>
    </x:row>
    <x:row r="825" ht="54" customHeight="1">
      <x:c r="A825" s="4" t="n">
        <x:v>824</x:v>
      </x:c>
      <x:c r="B825" s="4" t="str">
        <x:v>UHOST-0035</x:v>
      </x:c>
      <x:c r="C825" s="4" t="str">
        <x:v>主播中心</x:v>
      </x:c>
      <x:c r="D825" s="4" t="str">
        <x:v>房型（密码房）（主播视角）</x:v>
      </x:c>
      <x:c r="E825" s="4" t="str">
        <x:v>业务流程</x:v>
      </x:c>
      <x:c r="F825" s="4" t="str">
        <x:v>P2</x:v>
      </x:c>
      <x:c r="G825" s="4" t="str">
        <x:v>验证取消勾选后的房型（密码房）状态</x:v>
      </x:c>
      <x:c r="H825" s="4" t="str">
        <x:v>房型（密码房）状态</x:v>
      </x:c>
      <x:c r="I825" s="4" t="str">
        <x:v>1. 主播账号已登录且具备当前页面权限</x:v>
      </x:c>
      <x:c r="J825" s="4" t="str">
        <x:v>1. 打开房型（密码房）
2. 取消勾选</x:v>
      </x:c>
      <x:c r="K825" s="4" t="str">
        <x:v>删除</x:v>
      </x:c>
      <x:c r="L825" s="4" t="str"/>
      <x:c r="M825" s="4" t="str">
        <x:v>未测</x:v>
      </x:c>
      <x:c r="N825" s="4" t="str"/>
      <x:c r="O825" s="4" t="str">
        <x:v>1. 来源（原型批注）：liveshow-proto/prototype/annotations/user.js；views/start-live-settings/room-password.html
2. 页面：views/start-live-settings/room-password.html
3. 规则：BR-6221A5E3C80BBF
4. 场景：SC-6131E37075B092
5. 未动态验证</x:v>
      </x:c>
    </x:row>
    <x:row r="826" ht="54" customHeight="1">
      <x:c r="A826" s="4" t="n">
        <x:v>825</x:v>
      </x:c>
      <x:c r="B826" s="4" t="str">
        <x:v>UHOST-0036</x:v>
      </x:c>
      <x:c r="C826" s="4" t="str">
        <x:v>主播中心</x:v>
      </x:c>
      <x:c r="D826" s="4" t="str">
        <x:v>房型（普通）（主播视角）</x:v>
      </x:c>
      <x:c r="E826" s="4" t="str">
        <x:v>功能需求</x:v>
      </x:c>
      <x:c r="F826" s="4" t="str">
        <x:v>P2</x:v>
      </x:c>
      <x:c r="G826" s="4" t="str">
        <x:v>验证房型（普通）可查看房型</x:v>
      </x:c>
      <x:c r="H826" s="4" t="str">
        <x:v>房型展示</x:v>
      </x:c>
      <x:c r="I826" s="4" t="str">
        <x:v>1. 主播账号已登录且具备当前页面权限</x:v>
      </x:c>
      <x:c r="J826" s="4" t="str">
        <x:v>1. 打开房型（普通）
2. 查看房型</x:v>
      </x:c>
      <x:c r="K826" s="4" t="str">
        <x:v>房型（普通）显示“房型”</x:v>
      </x:c>
      <x:c r="L826" s="4" t="str"/>
      <x:c r="M826" s="4" t="str">
        <x:v>未测</x:v>
      </x:c>
      <x:c r="N826" s="4" t="str"/>
      <x:c r="O826" s="4" t="str">
        <x:v>1. 来源（原型批注）：liveshow-proto/prototype/annotations/user.js；views/start-live-settings/room-normal.html
2. 页面：views/start-live-settings/room-normal.html
3. 规则：BR-DD6AA758F8ADEA
4. 场景：SC-F34A2FCDD5D799
5. 未动态验证</x:v>
      </x:c>
    </x:row>
    <x:row r="827" ht="54" customHeight="1">
      <x:c r="A827" s="4" t="n">
        <x:v>826</x:v>
      </x:c>
      <x:c r="B827" s="4" t="str">
        <x:v>UHOST-0037</x:v>
      </x:c>
      <x:c r="C827" s="4" t="str">
        <x:v>主播中心</x:v>
      </x:c>
      <x:c r="D827" s="4" t="str">
        <x:v>房型（普通）（主播视角）</x:v>
      </x:c>
      <x:c r="E827" s="4" t="str">
        <x:v>业务流程</x:v>
      </x:c>
      <x:c r="F827" s="4" t="str">
        <x:v>P2</x:v>
      </x:c>
      <x:c r="G827" s="4" t="str">
        <x:v>验证确认后的房型（普通）状态</x:v>
      </x:c>
      <x:c r="H827" s="4" t="str">
        <x:v>房型（普通）状态</x:v>
      </x:c>
      <x:c r="I827" s="4" t="str">
        <x:v>1. 主播账号已登录且具备当前页面权限</x:v>
      </x:c>
      <x:c r="J827" s="4" t="str">
        <x:v>1. 打开房型（普通）
2. 确认</x:v>
      </x:c>
      <x:c r="K827" s="4" t="str">
        <x:v>回填房型</x:v>
      </x:c>
      <x:c r="L827" s="4" t="str"/>
      <x:c r="M827" s="4" t="str">
        <x:v>未测</x:v>
      </x:c>
      <x:c r="N827" s="4" t="str"/>
      <x:c r="O827" s="4" t="str">
        <x:v>1. 来源（原型批注）：liveshow-proto/prototype/annotations/user.js；views/start-live-settings/room-normal.html
2. 页面：views/start-live-settings/room-normal.html
3. 规则：BR-B2B2E41CE6C566
4. 场景：SC-11062ACE6A87B9
5. 未动态验证</x:v>
      </x:c>
    </x:row>
    <x:row r="828" ht="54" customHeight="1">
      <x:c r="A828" s="4" t="n">
        <x:v>827</x:v>
      </x:c>
      <x:c r="B828" s="4" t="str">
        <x:v>UHOST-0038</x:v>
      </x:c>
      <x:c r="C828" s="4" t="str">
        <x:v>主播中心</x:v>
      </x:c>
      <x:c r="D828" s="4" t="str">
        <x:v>分成记录（主播视角）</x:v>
      </x:c>
      <x:c r="E828" s="4" t="str">
        <x:v>功能需求</x:v>
      </x:c>
      <x:c r="F828" s="4" t="str">
        <x:v>P2</x:v>
      </x:c>
      <x:c r="G828" s="4" t="str">
        <x:v>验证按分成日期倒序时的分成记录结果</x:v>
      </x:c>
      <x:c r="H828" s="4" t="str">
        <x:v>分成记录条件结果</x:v>
      </x:c>
      <x:c r="I828" s="4" t="str">
        <x:v>1. 主播账号已登录且具备当前页面权限
2. 按分成日期倒序</x:v>
      </x:c>
      <x:c r="J828" s="4" t="str">
        <x:v>1. 进入分成记录
2. 查看分成记录</x:v>
      </x:c>
      <x:c r="K828" s="4" t="str">
        <x:v>按分成日期倒序展示</x:v>
      </x:c>
      <x:c r="L828" s="4" t="str"/>
      <x:c r="M828" s="4" t="str">
        <x:v>未测</x:v>
      </x:c>
      <x:c r="N828" s="4" t="str"/>
      <x:c r="O828" s="4" t="str">
        <x:v>1. 来源（原型批注）：liveshow-proto/prototype/annotations/user.js；income-sharing.html
2. 页面：income-sharing.html
3. 规则：BR-506F533BF4452E
4. 场景：SC-9E6C555175A8ED
5. 未动态验证</x:v>
      </x:c>
    </x:row>
    <x:row r="829" ht="54" customHeight="1">
      <x:c r="A829" s="4" t="n">
        <x:v>828</x:v>
      </x:c>
      <x:c r="B829" s="4" t="str">
        <x:v>UHOST-0039</x:v>
      </x:c>
      <x:c r="C829" s="4" t="str">
        <x:v>主播中心</x:v>
      </x:c>
      <x:c r="D829" s="4" t="str">
        <x:v>分成记录（主播视角）</x:v>
      </x:c>
      <x:c r="E829" s="4" t="str">
        <x:v>功能需求</x:v>
      </x:c>
      <x:c r="F829" s="4" t="str">
        <x:v>P2</x:v>
      </x:c>
      <x:c r="G829" s="4" t="str">
        <x:v>验证财务上传的最终金额，以美元时的分成记录结果</x:v>
      </x:c>
      <x:c r="H829" s="4" t="str">
        <x:v>分成记录条件结果</x:v>
      </x:c>
      <x:c r="I829" s="4" t="str">
        <x:v>1. 主播账号已登录且具备当前页面权限
2. 财务上传的最终金额，以美元</x:v>
      </x:c>
      <x:c r="J829" s="4" t="str">
        <x:v>1. 进入分成记录
2. 查看分成记录</x:v>
      </x:c>
      <x:c r="K829" s="4" t="str">
        <x:v>财务上传的最终金额，以美元展示</x:v>
      </x:c>
      <x:c r="L829" s="4" t="str"/>
      <x:c r="M829" s="4" t="str">
        <x:v>未测</x:v>
      </x:c>
      <x:c r="N829" s="4" t="str"/>
      <x:c r="O829" s="4" t="str">
        <x:v>1. 来源（原型批注）：liveshow-proto/prototype/annotations/user.js；income-sharing.html
2. 页面：income-sharing.html
3. 规则：BR-D2C242172405C0
4. 场景：SC-574AC5960BB3E2
5. 未动态验证</x:v>
      </x:c>
    </x:row>
    <x:row r="830" ht="54" customHeight="1">
      <x:c r="A830" s="4" t="n">
        <x:v>829</x:v>
      </x:c>
      <x:c r="B830" s="4" t="str">
        <x:v>UHOST-0040</x:v>
      </x:c>
      <x:c r="C830" s="4" t="str">
        <x:v>主播中心</x:v>
      </x:c>
      <x:c r="D830" s="4" t="str">
        <x:v>分成记录（主播视角）</x:v>
      </x:c>
      <x:c r="E830" s="4" t="str">
        <x:v>业务流程</x:v>
      </x:c>
      <x:c r="F830" s="4" t="str">
        <x:v>P2</x:v>
      </x:c>
      <x:c r="G830" s="4" t="str">
        <x:v>验证点击分成记录后的分成记录状态</x:v>
      </x:c>
      <x:c r="H830" s="4" t="str">
        <x:v>分成记录状态</x:v>
      </x:c>
      <x:c r="I830" s="4" t="str">
        <x:v>1. 主播账号已登录且具备当前页面权限</x:v>
      </x:c>
      <x:c r="J830" s="4" t="str">
        <x:v>1. 进入分成记录
2. 点击分成记录</x:v>
      </x:c>
      <x:c r="K830" s="4" t="str">
        <x:v>原型提示查看对应日期的记录</x:v>
      </x:c>
      <x:c r="L830" s="4" t="str"/>
      <x:c r="M830" s="4" t="str">
        <x:v>未测</x:v>
      </x:c>
      <x:c r="N830" s="4" t="str"/>
      <x:c r="O830" s="4" t="str">
        <x:v>1. 来源（原型批注）：liveshow-proto/prototype/annotations/user.js；income-sharing.html
2. 页面：income-sharing.html
3. 规则：BR-CF9A67DF7BA05A
4. 场景：SC-16A9C0339ECA9F
5. 未动态验证</x:v>
      </x:c>
    </x:row>
    <x:row r="831" ht="54" customHeight="1">
      <x:c r="A831" s="4" t="n">
        <x:v>830</x:v>
      </x:c>
      <x:c r="B831" s="4" t="str">
        <x:v>UHOST-0041</x:v>
      </x:c>
      <x:c r="C831" s="4" t="str">
        <x:v>主播中心</x:v>
      </x:c>
      <x:c r="D831" s="4" t="str">
        <x:v>分成记录（主播视角）</x:v>
      </x:c>
      <x:c r="E831" s="4" t="str">
        <x:v>逻辑校验</x:v>
      </x:c>
      <x:c r="F831" s="4" t="str">
        <x:v>P2</x:v>
      </x:c>
      <x:c r="G831" s="4" t="str">
        <x:v>验证分成记录按指定范围筛选</x:v>
      </x:c>
      <x:c r="H831" s="4" t="str">
        <x:v>分成记录数据范围</x:v>
      </x:c>
      <x:c r="I831" s="4" t="str">
        <x:v>1. 主播账号已登录且具备当前页面权限
2. 存在符合和不符合“当前主播已上传的分成结果”的记录</x:v>
      </x:c>
      <x:c r="J831" s="4" t="str">
        <x:v>1. 进入分成记录
2. 查看分成记录</x:v>
      </x:c>
      <x:c r="K831" s="4" t="str">
        <x:v>数据范围：当前主播已上传的分成结果</x:v>
      </x:c>
      <x:c r="L831" s="4" t="str"/>
      <x:c r="M831" s="4" t="str">
        <x:v>未测</x:v>
      </x:c>
      <x:c r="N831" s="4" t="str"/>
      <x:c r="O831" s="4" t="str">
        <x:v>1. 来源（原型批注）：liveshow-proto/prototype/annotations/user.js；income-sharing.html
2. 页面：income-sharing.html
3. 规则：BR-E14DFB6B5FE4C7
4. 场景：SC-C66B0D1E7C53D3
5. 未动态验证</x:v>
      </x:c>
    </x:row>
    <x:row r="832" ht="54" customHeight="1">
      <x:c r="A832" s="4" t="n">
        <x:v>831</x:v>
      </x:c>
      <x:c r="B832" s="4" t="str">
        <x:v>UHOST-0042</x:v>
      </x:c>
      <x:c r="C832" s="4" t="str">
        <x:v>主播中心</x:v>
      </x:c>
      <x:c r="D832" s="4" t="str">
        <x:v>分成记录（主播视角）</x:v>
      </x:c>
      <x:c r="E832" s="4" t="str">
        <x:v>功能需求</x:v>
      </x:c>
      <x:c r="F832" s="4" t="str">
        <x:v>P2</x:v>
      </x:c>
      <x:c r="G832" s="4" t="str">
        <x:v>验证分成记录的默认状态</x:v>
      </x:c>
      <x:c r="H832" s="4" t="str">
        <x:v>分成记录默认值</x:v>
      </x:c>
      <x:c r="I832" s="4" t="str">
        <x:v>1. 主播账号已登录且具备当前页面权限</x:v>
      </x:c>
      <x:c r="J832" s="4" t="str">
        <x:v>1. 进入分成记录
2. 查看分成记录</x:v>
      </x:c>
      <x:c r="K832" s="4" t="str">
        <x:v>幸运礼物按送出价值 × 后台比例，默认 1%</x:v>
      </x:c>
      <x:c r="L832" s="4" t="str"/>
      <x:c r="M832" s="4" t="str">
        <x:v>未测</x:v>
      </x:c>
      <x:c r="N832" s="4" t="str"/>
      <x:c r="O832" s="4" t="str">
        <x:v>1. 来源（原型批注）：liveshow-proto/prototype/annotations/user.js；income-sharing.html
2. 页面：income-sharing.html
3. 规则：BR-725891656B653E
4. 场景：SC-4B9B26A0C2FA88
5. 未动态验证</x:v>
      </x:c>
    </x:row>
    <x:row r="833" ht="54" customHeight="1">
      <x:c r="A833" s="4" t="n">
        <x:v>832</x:v>
      </x:c>
      <x:c r="B833" s="4" t="str">
        <x:v>UHOST-0043</x:v>
      </x:c>
      <x:c r="C833" s="4" t="str">
        <x:v>主播中心</x:v>
      </x:c>
      <x:c r="D833" s="4" t="str">
        <x:v>分成记录（主播视角）</x:v>
      </x:c>
      <x:c r="E833" s="4" t="str">
        <x:v>功能需求</x:v>
      </x:c>
      <x:c r="F833" s="4" t="str">
        <x:v>P2</x:v>
      </x:c>
      <x:c r="G833" s="4" t="str">
        <x:v>验证分成记录可查看分成金额</x:v>
      </x:c>
      <x:c r="H833" s="4" t="str">
        <x:v>分成金额展示</x:v>
      </x:c>
      <x:c r="I833" s="4" t="str">
        <x:v>1. 主播账号已登录且具备当前页面权限</x:v>
      </x:c>
      <x:c r="J833" s="4" t="str">
        <x:v>1. 进入分成记录
2. 查看分成金额</x:v>
      </x:c>
      <x:c r="K833" s="4" t="str">
        <x:v>分成记录显示“分成金额”</x:v>
      </x:c>
      <x:c r="L833" s="4" t="str"/>
      <x:c r="M833" s="4" t="str">
        <x:v>未测</x:v>
      </x:c>
      <x:c r="N833" s="4" t="str"/>
      <x:c r="O833" s="4" t="str">
        <x:v>1. 来源（原型批注）：liveshow-proto/prototype/annotations/user.js；income-sharing.html
2. 页面：income-sharing.html
3. 规则：BR-D2C242172405C0、BR-2C720123C449E8
4. 场景：SC-9628034D7DB53E
5. 未动态验证</x:v>
      </x:c>
    </x:row>
    <x:row r="834" ht="54" customHeight="1">
      <x:c r="A834" s="4" t="n">
        <x:v>833</x:v>
      </x:c>
      <x:c r="B834" s="4" t="str">
        <x:v>UHOST-0044</x:v>
      </x:c>
      <x:c r="C834" s="4" t="str">
        <x:v>主播中心</x:v>
      </x:c>
      <x:c r="D834" s="4" t="str">
        <x:v>分成记录（主播视角）</x:v>
      </x:c>
      <x:c r="E834" s="4" t="str">
        <x:v>功能需求</x:v>
      </x:c>
      <x:c r="F834" s="4" t="str">
        <x:v>P2</x:v>
      </x:c>
      <x:c r="G834" s="4" t="str">
        <x:v>验证分成记录可查看分成日期</x:v>
      </x:c>
      <x:c r="H834" s="4" t="str">
        <x:v>分成日期展示</x:v>
      </x:c>
      <x:c r="I834" s="4" t="str">
        <x:v>1. 主播账号已登录且具备当前页面权限</x:v>
      </x:c>
      <x:c r="J834" s="4" t="str">
        <x:v>1. 进入分成记录
2. 查看分成日期</x:v>
      </x:c>
      <x:c r="K834" s="4" t="str">
        <x:v>分成记录显示“分成日期”</x:v>
      </x:c>
      <x:c r="L834" s="4" t="str"/>
      <x:c r="M834" s="4" t="str">
        <x:v>未测</x:v>
      </x:c>
      <x:c r="N834" s="4" t="str"/>
      <x:c r="O834" s="4" t="str">
        <x:v>1. 来源（原型批注）：liveshow-proto/prototype/annotations/user.js；income-sharing.html
2. 页面：income-sharing.html
3. 规则：BR-5A51803EB48564
4. 场景：SC-0CEBBB340BC5AF
5. 未动态验证</x:v>
      </x:c>
    </x:row>
    <x:row r="835" ht="54" customHeight="1">
      <x:c r="A835" s="4" t="n">
        <x:v>834</x:v>
      </x:c>
      <x:c r="B835" s="4" t="str">
        <x:v>UHOST-0045</x:v>
      </x:c>
      <x:c r="C835" s="4" t="str">
        <x:v>主播中心</x:v>
      </x:c>
      <x:c r="D835" s="4" t="str">
        <x:v>分成记录（主播视角）</x:v>
      </x:c>
      <x:c r="E835" s="4" t="str">
        <x:v>功能需求</x:v>
      </x:c>
      <x:c r="F835" s="4" t="str">
        <x:v>P2</x:v>
      </x:c>
      <x:c r="G835" s="4" t="str">
        <x:v>验证金额以美元时的分成记录结果</x:v>
      </x:c>
      <x:c r="H835" s="4" t="str">
        <x:v>分成记录条件结果</x:v>
      </x:c>
      <x:c r="I835" s="4" t="str">
        <x:v>1. 主播账号已登录且具备当前页面权限
2. 金额以美元</x:v>
      </x:c>
      <x:c r="J835" s="4" t="str">
        <x:v>1. 进入分成记录
2. 查看分成记录</x:v>
      </x:c>
      <x:c r="K835" s="4" t="str">
        <x:v>金额以美元展示，数字按印尼格式使用“.”分隔千位、“,”分隔小数</x:v>
      </x:c>
      <x:c r="L835" s="4" t="str"/>
      <x:c r="M835" s="4" t="str">
        <x:v>未测</x:v>
      </x:c>
      <x:c r="N835" s="4" t="str"/>
      <x:c r="O835" s="4" t="str">
        <x:v>1. 来源（原型批注）：liveshow-proto/prototype/annotations/user.js；income-sharing.html
2. 页面：income-sharing.html
3. 规则：BR-3276EF623FBFF5
4. 场景：SC-E8754DBB2DFE39
5. 未动态验证</x:v>
      </x:c>
    </x:row>
    <x:row r="836" ht="54" customHeight="1">
      <x:c r="A836" s="4" t="n">
        <x:v>835</x:v>
      </x:c>
      <x:c r="B836" s="4" t="str">
        <x:v>UHOST-0046</x:v>
      </x:c>
      <x:c r="C836" s="4" t="str">
        <x:v>主播中心</x:v>
      </x:c>
      <x:c r="D836" s="4" t="str">
        <x:v>粉丝列表（主播视角）</x:v>
      </x:c>
      <x:c r="E836" s="4" t="str">
        <x:v>业务流程</x:v>
      </x:c>
      <x:c r="F836" s="4" t="str">
        <x:v>P2</x:v>
      </x:c>
      <x:c r="G836" s="4" t="str">
        <x:v>验证点击用户后的粉丝列表状态</x:v>
      </x:c>
      <x:c r="H836" s="4" t="str">
        <x:v>粉丝列表状态</x:v>
      </x:c>
      <x:c r="I836" s="4" t="str">
        <x:v>1. 主播账号已登录且具备当前页面权限</x:v>
      </x:c>
      <x:c r="J836" s="4" t="str">
        <x:v>1. 进入粉丝列表
2. 点击用户</x:v>
      </x:c>
      <x:c r="K836" s="4" t="str">
        <x:v>进入对应用户主页</x:v>
      </x:c>
      <x:c r="L836" s="4" t="str"/>
      <x:c r="M836" s="4" t="str">
        <x:v>未测</x:v>
      </x:c>
      <x:c r="N836" s="4" t="str"/>
      <x:c r="O836" s="4" t="str">
        <x:v>1. 来源（原型批注）：liveshow-proto/prototype/annotations/user.js；fan-list.html
2. 页面：fan-list.html
3. 规则：BR-309CD3D9AB767B
4. 场景：SC-72009FBB62763C
5. 未动态验证</x:v>
      </x:c>
    </x:row>
    <x:row r="837" ht="54" customHeight="1">
      <x:c r="A837" s="4" t="n">
        <x:v>836</x:v>
      </x:c>
      <x:c r="B837" s="4" t="str">
        <x:v>UHOST-0047</x:v>
      </x:c>
      <x:c r="C837" s="4" t="str">
        <x:v>主播中心</x:v>
      </x:c>
      <x:c r="D837" s="4" t="str">
        <x:v>粉丝列表（主播视角）</x:v>
      </x:c>
      <x:c r="E837" s="4" t="str">
        <x:v>逻辑校验</x:v>
      </x:c>
      <x:c r="F837" s="4" t="str">
        <x:v>P2</x:v>
      </x:c>
      <x:c r="G837" s="4" t="str">
        <x:v>验证粉丝按指定范围筛选</x:v>
      </x:c>
      <x:c r="H837" s="4" t="str">
        <x:v>粉丝数据范围</x:v>
      </x:c>
      <x:c r="I837" s="4" t="str">
        <x:v>1. 主播账号已登录且具备当前页面权限
2. 存在符合和不符合“当前仍关注该主播的用户”的记录</x:v>
      </x:c>
      <x:c r="J837" s="4" t="str">
        <x:v>1. 进入粉丝列表
2. 查看粉丝</x:v>
      </x:c>
      <x:c r="K837" s="4" t="str">
        <x:v>仅展示当前仍关注该主播的用户</x:v>
      </x:c>
      <x:c r="L837" s="4" t="str"/>
      <x:c r="M837" s="4" t="str">
        <x:v>未测</x:v>
      </x:c>
      <x:c r="N837" s="4" t="str"/>
      <x:c r="O837" s="4" t="str">
        <x:v>1. 来源（原型批注）：liveshow-proto/prototype/annotations/user.js；fan-list.html
2. 页面：fan-list.html
3. 规则：BR-7D114C62313871
4. 场景：SC-5BB98DC040D546
5. 未动态验证</x:v>
      </x:c>
    </x:row>
    <x:row r="838" ht="54" customHeight="1">
      <x:c r="A838" s="4" t="n">
        <x:v>837</x:v>
      </x:c>
      <x:c r="B838" s="4" t="str">
        <x:v>UHOST-0048</x:v>
      </x:c>
      <x:c r="C838" s="4" t="str">
        <x:v>主播中心</x:v>
      </x:c>
      <x:c r="D838" s="4" t="str">
        <x:v>粉丝列表（主播视角）</x:v>
      </x:c>
      <x:c r="E838" s="4" t="str">
        <x:v>逻辑校验</x:v>
      </x:c>
      <x:c r="F838" s="4" t="str">
        <x:v>P2</x:v>
      </x:c>
      <x:c r="G838" s="4" t="str">
        <x:v>验证粉丝列表按指定范围筛选</x:v>
      </x:c>
      <x:c r="H838" s="4" t="str">
        <x:v>粉丝列表数据范围</x:v>
      </x:c>
      <x:c r="I838" s="4" t="str">
        <x:v>1. 主播账号已登录且具备当前页面权限
2. 存在符合和不符合“当前仍关注该主播的用户”的记录</x:v>
      </x:c>
      <x:c r="J838" s="4" t="str">
        <x:v>1. 进入粉丝列表
2. 查看粉丝列表</x:v>
      </x:c>
      <x:c r="K838" s="4" t="str">
        <x:v>数据范围：当前仍关注该主播的用户</x:v>
      </x:c>
      <x:c r="L838" s="4" t="str"/>
      <x:c r="M838" s="4" t="str">
        <x:v>未测</x:v>
      </x:c>
      <x:c r="N838" s="4" t="str"/>
      <x:c r="O838" s="4" t="str">
        <x:v>1. 来源（原型批注）：liveshow-proto/prototype/annotations/user.js；fan-list.html
2. 页面：fan-list.html
3. 规则：BR-EF7E479F04004A
4. 场景：SC-66F95EB7920335
5. 未动态验证</x:v>
      </x:c>
    </x:row>
    <x:row r="839" ht="54" customHeight="1">
      <x:c r="A839" s="4" t="n">
        <x:v>838</x:v>
      </x:c>
      <x:c r="B839" s="4" t="str">
        <x:v>UHOST-0049</x:v>
      </x:c>
      <x:c r="C839" s="4" t="str">
        <x:v>主播中心</x:v>
      </x:c>
      <x:c r="D839" s="4" t="str">
        <x:v>粉丝列表（主播视角）</x:v>
      </x:c>
      <x:c r="E839" s="4" t="str">
        <x:v>功能需求</x:v>
      </x:c>
      <x:c r="F839" s="4" t="str">
        <x:v>P2</x:v>
      </x:c>
      <x:c r="G839" s="4" t="str">
        <x:v>验证粉丝列表可查看财富等级</x:v>
      </x:c>
      <x:c r="H839" s="4" t="str">
        <x:v>财富等级展示</x:v>
      </x:c>
      <x:c r="I839" s="4" t="str">
        <x:v>1. 主播账号已登录且具备当前页面权限</x:v>
      </x:c>
      <x:c r="J839" s="4" t="str">
        <x:v>1. 进入粉丝列表
2. 查看财富等级</x:v>
      </x:c>
      <x:c r="K839" s="4" t="str">
        <x:v>粉丝列表显示“财富等级”</x:v>
      </x:c>
      <x:c r="L839" s="4" t="str"/>
      <x:c r="M839" s="4" t="str">
        <x:v>未测</x:v>
      </x:c>
      <x:c r="N839" s="4" t="str"/>
      <x:c r="O839" s="4" t="str">
        <x:v>1. 来源（原型批注）：liveshow-proto/prototype/annotations/user.js；fan-list.html
2. 页面：fan-list.html
3. 规则：BR-30194DB6BC8F62
4. 场景：SC-E20CCDC827CB2E
5. 未动态验证</x:v>
      </x:c>
    </x:row>
    <x:row r="840" ht="54" customHeight="1">
      <x:c r="A840" s="4" t="n">
        <x:v>839</x:v>
      </x:c>
      <x:c r="B840" s="4" t="str">
        <x:v>UHOST-0050</x:v>
      </x:c>
      <x:c r="C840" s="4" t="str">
        <x:v>主播中心</x:v>
      </x:c>
      <x:c r="D840" s="4" t="str">
        <x:v>粉丝列表（主播视角）</x:v>
      </x:c>
      <x:c r="E840" s="4" t="str">
        <x:v>功能需求</x:v>
      </x:c>
      <x:c r="F840" s="4" t="str">
        <x:v>P2</x:v>
      </x:c>
      <x:c r="G840" s="4" t="str">
        <x:v>验证粉丝列表可查看粉丝</x:v>
      </x:c>
      <x:c r="H840" s="4" t="str">
        <x:v>粉丝展示</x:v>
      </x:c>
      <x:c r="I840" s="4" t="str">
        <x:v>1. 主播账号已登录且具备当前页面权限</x:v>
      </x:c>
      <x:c r="J840" s="4" t="str">
        <x:v>1. 进入粉丝列表
2. 查看粉丝</x:v>
      </x:c>
      <x:c r="K840" s="4" t="str">
        <x:v>粉丝列表显示“粉丝”</x:v>
      </x:c>
      <x:c r="L840" s="4" t="str"/>
      <x:c r="M840" s="4" t="str">
        <x:v>未测</x:v>
      </x:c>
      <x:c r="N840" s="4" t="str"/>
      <x:c r="O840" s="4" t="str">
        <x:v>1. 来源（原型批注）：liveshow-proto/prototype/annotations/user.js；fan-list.html
2. 页面：fan-list.html
3. 规则：BR-7D114C62313871
4. 场景：SC-182D4E3D394766
5. 未动态验证</x:v>
      </x:c>
    </x:row>
    <x:row r="841" ht="54" customHeight="1">
      <x:c r="A841" s="4" t="n">
        <x:v>840</x:v>
      </x:c>
      <x:c r="B841" s="4" t="str">
        <x:v>UHOST-0051</x:v>
      </x:c>
      <x:c r="C841" s="4" t="str">
        <x:v>主播中心</x:v>
      </x:c>
      <x:c r="D841" s="4" t="str">
        <x:v>粉丝列表（主播视角）</x:v>
      </x:c>
      <x:c r="E841" s="4" t="str">
        <x:v>功能需求</x:v>
      </x:c>
      <x:c r="F841" s="4" t="str">
        <x:v>P2</x:v>
      </x:c>
      <x:c r="G841" s="4" t="str">
        <x:v>验证粉丝列表可查看装扮</x:v>
      </x:c>
      <x:c r="H841" s="4" t="str">
        <x:v>装扮展示</x:v>
      </x:c>
      <x:c r="I841" s="4" t="str">
        <x:v>1. 主播账号已登录且具备当前页面权限</x:v>
      </x:c>
      <x:c r="J841" s="4" t="str">
        <x:v>1. 进入粉丝列表
2. 查看装扮</x:v>
      </x:c>
      <x:c r="K841" s="4" t="str">
        <x:v>粉丝列表显示“装扮”</x:v>
      </x:c>
      <x:c r="L841" s="4" t="str"/>
      <x:c r="M841" s="4" t="str">
        <x:v>未测</x:v>
      </x:c>
      <x:c r="N841" s="4" t="str"/>
      <x:c r="O841" s="4" t="str">
        <x:v>1. 来源（原型批注）：liveshow-proto/prototype/annotations/user.js；fan-list.html
2. 页面：fan-list.html
3. 规则：BR-CB84187A3A7347、BR-B65B22AB024D84
4. 场景：SC-C80BAE87DEFFB7
5. 未动态验证</x:v>
      </x:c>
    </x:row>
    <x:row r="842" ht="54" customHeight="1">
      <x:c r="A842" s="4" t="n">
        <x:v>841</x:v>
      </x:c>
      <x:c r="B842" s="4" t="str">
        <x:v>UHOST-0052</x:v>
      </x:c>
      <x:c r="C842" s="4" t="str">
        <x:v>主播中心</x:v>
      </x:c>
      <x:c r="D842" s="4" t="str">
        <x:v>粉丝团（主播视角）</x:v>
      </x:c>
      <x:c r="E842" s="4" t="str">
        <x:v>业务流程</x:v>
      </x:c>
      <x:c r="F842" s="4" t="str">
        <x:v>P2</x:v>
      </x:c>
      <x:c r="G842" s="4" t="str">
        <x:v>验证点击成员后的粉丝团状态</x:v>
      </x:c>
      <x:c r="H842" s="4" t="str">
        <x:v>粉丝团状态</x:v>
      </x:c>
      <x:c r="I842" s="4" t="str">
        <x:v>1. 主播账号已登录且具备当前页面权限</x:v>
      </x:c>
      <x:c r="J842" s="4" t="str">
        <x:v>1. 进入粉丝团
2. 点击成员</x:v>
      </x:c>
      <x:c r="K842" s="4" t="str">
        <x:v>原型以资料提示反馈</x:v>
      </x:c>
      <x:c r="L842" s="4" t="str"/>
      <x:c r="M842" s="4" t="str">
        <x:v>未测</x:v>
      </x:c>
      <x:c r="N842" s="4" t="str"/>
      <x:c r="O842" s="4" t="str">
        <x:v>1. 来源（原型批注）：liveshow-proto/prototype/annotations/user.js；fan-club.html
2. 页面：fan-club.html
3. 规则：BR-445AC7B1DF3253
4. 场景：SC-64F07C14DC553B
5. 未动态验证</x:v>
      </x:c>
    </x:row>
    <x:row r="843" ht="54" customHeight="1">
      <x:c r="A843" s="4" t="n">
        <x:v>842</x:v>
      </x:c>
      <x:c r="B843" s="4" t="str">
        <x:v>UHOST-0053</x:v>
      </x:c>
      <x:c r="C843" s="4" t="str">
        <x:v>主播中心</x:v>
      </x:c>
      <x:c r="D843" s="4" t="str">
        <x:v>粉丝团（主播视角）</x:v>
      </x:c>
      <x:c r="E843" s="4" t="str">
        <x:v>业务流程</x:v>
      </x:c>
      <x:c r="F843" s="4" t="str">
        <x:v>P2</x:v>
      </x:c>
      <x:c r="G843" s="4" t="str">
        <x:v>验证点击粉丝团设置后的粉丝团状态</x:v>
      </x:c>
      <x:c r="H843" s="4" t="str">
        <x:v>粉丝团状态</x:v>
      </x:c>
      <x:c r="I843" s="4" t="str">
        <x:v>1. 主播账号已登录且具备当前页面权限</x:v>
      </x:c>
      <x:c r="J843" s="4" t="str">
        <x:v>1. 进入粉丝团
2. 点击粉丝团设置</x:v>
      </x:c>
      <x:c r="K843" s="4" t="str">
        <x:v>进入设置页</x:v>
      </x:c>
      <x:c r="L843" s="4" t="str"/>
      <x:c r="M843" s="4" t="str">
        <x:v>未测</x:v>
      </x:c>
      <x:c r="N843" s="4" t="str"/>
      <x:c r="O843" s="4" t="str">
        <x:v>1. 来源（原型批注）：liveshow-proto/prototype/annotations/user.js；fan-club.html
2. 页面：fan-club.html
3. 规则：BR-2F6FFA3EF5A721
4. 场景：SC-F1DDF877C240BD
5. 未动态验证</x:v>
      </x:c>
    </x:row>
    <x:row r="844" ht="54" customHeight="1">
      <x:c r="A844" s="4" t="n">
        <x:v>843</x:v>
      </x:c>
      <x:c r="B844" s="4" t="str">
        <x:v>UHOST-0054</x:v>
      </x:c>
      <x:c r="C844" s="4" t="str">
        <x:v>主播中心</x:v>
      </x:c>
      <x:c r="D844" s="4" t="str">
        <x:v>粉丝团（主播视角）</x:v>
      </x:c>
      <x:c r="E844" s="4" t="str">
        <x:v>逻辑校验</x:v>
      </x:c>
      <x:c r="F844" s="4" t="str">
        <x:v>P2</x:v>
      </x:c>
      <x:c r="G844" s="4" t="str">
        <x:v>验证粉丝团按指定范围筛选</x:v>
      </x:c>
      <x:c r="H844" s="4" t="str">
        <x:v>粉丝团数据范围</x:v>
      </x:c>
      <x:c r="I844" s="4" t="str">
        <x:v>1. 主播账号已登录且具备当前页面权限
2. 存在符合和不符合“当前主播粉丝团的有效成员”的记录</x:v>
      </x:c>
      <x:c r="J844" s="4" t="str">
        <x:v>1. 进入粉丝团
2. 查看粉丝团</x:v>
      </x:c>
      <x:c r="K844" s="4" t="str">
        <x:v>数据范围：当前主播粉丝团的有效成员</x:v>
      </x:c>
      <x:c r="L844" s="4" t="str"/>
      <x:c r="M844" s="4" t="str">
        <x:v>未测</x:v>
      </x:c>
      <x:c r="N844" s="4" t="str"/>
      <x:c r="O844" s="4" t="str">
        <x:v>1. 来源（原型批注）：liveshow-proto/prototype/annotations/user.js；fan-club.html
2. 页面：fan-club.html
3. 规则：BR-BA295CC8DDBD6D
4. 场景：SC-DBC4BBEE2A7EE5
5. 未动态验证</x:v>
      </x:c>
    </x:row>
    <x:row r="845" ht="54" customHeight="1">
      <x:c r="A845" s="4" t="n">
        <x:v>844</x:v>
      </x:c>
      <x:c r="B845" s="4" t="str">
        <x:v>UHOST-0055</x:v>
      </x:c>
      <x:c r="C845" s="4" t="str">
        <x:v>主播中心</x:v>
      </x:c>
      <x:c r="D845" s="4" t="str">
        <x:v>粉丝团（主播视角）</x:v>
      </x:c>
      <x:c r="E845" s="4" t="str">
        <x:v>功能需求</x:v>
      </x:c>
      <x:c r="F845" s="4" t="str">
        <x:v>P2</x:v>
      </x:c>
      <x:c r="G845" s="4" t="str">
        <x:v>验证粉丝团的默认状态</x:v>
      </x:c>
      <x:c r="H845" s="4" t="str">
        <x:v>粉丝团默认值</x:v>
      </x:c>
      <x:c r="I845" s="4" t="str">
        <x:v>1. 主播账号已登录且具备当前页面权限</x:v>
      </x:c>
      <x:c r="J845" s="4" t="str">
        <x:v>1. 进入粉丝团
2. 查看粉丝团</x:v>
      </x:c>
      <x:c r="K845" s="4" t="str">
        <x:v>排序：默认按累计贡献从高到低</x:v>
      </x:c>
      <x:c r="L845" s="4" t="str"/>
      <x:c r="M845" s="4" t="str">
        <x:v>未测</x:v>
      </x:c>
      <x:c r="N845" s="4" t="str"/>
      <x:c r="O845" s="4" t="str">
        <x:v>1. 来源（原型批注）：liveshow-proto/prototype/annotations/user.js；fan-club.html
2. 页面：fan-club.html
3. 规则：BR-CB25F42FF951A5
4. 场景：SC-F0335D4284D2FF
5. 未动态验证</x:v>
      </x:c>
    </x:row>
    <x:row r="846" ht="54" customHeight="1">
      <x:c r="A846" s="4" t="n">
        <x:v>845</x:v>
      </x:c>
      <x:c r="B846" s="4" t="str">
        <x:v>UHOST-0056</x:v>
      </x:c>
      <x:c r="C846" s="4" t="str">
        <x:v>主播中心</x:v>
      </x:c>
      <x:c r="D846" s="4" t="str">
        <x:v>粉丝团（主播视角）</x:v>
      </x:c>
      <x:c r="E846" s="4" t="str">
        <x:v>功能需求</x:v>
      </x:c>
      <x:c r="F846" s="4" t="str">
        <x:v>P2</x:v>
      </x:c>
      <x:c r="G846" s="4" t="str">
        <x:v>验证粉丝团可查看成员</x:v>
      </x:c>
      <x:c r="H846" s="4" t="str">
        <x:v>成员展示</x:v>
      </x:c>
      <x:c r="I846" s="4" t="str">
        <x:v>1. 主播账号已登录且具备当前页面权限</x:v>
      </x:c>
      <x:c r="J846" s="4" t="str">
        <x:v>1. 进入粉丝团
2. 查看成员</x:v>
      </x:c>
      <x:c r="K846" s="4" t="str">
        <x:v>粉丝团显示“成员”</x:v>
      </x:c>
      <x:c r="L846" s="4" t="str"/>
      <x:c r="M846" s="4" t="str">
        <x:v>未测</x:v>
      </x:c>
      <x:c r="N846" s="4" t="str"/>
      <x:c r="O846" s="4" t="str">
        <x:v>1. 来源（原型批注）：liveshow-proto/prototype/annotations/user.js；fan-club.html
2. 页面：fan-club.html
3. 规则：BR-A9F4FCEDDE659D
4. 场景：SC-13C5130A0A9DA4
5. 未动态验证</x:v>
      </x:c>
    </x:row>
    <x:row r="847" ht="54" customHeight="1">
      <x:c r="A847" s="4" t="n">
        <x:v>846</x:v>
      </x:c>
      <x:c r="B847" s="4" t="str">
        <x:v>UHOST-0057</x:v>
      </x:c>
      <x:c r="C847" s="4" t="str">
        <x:v>主播中心</x:v>
      </x:c>
      <x:c r="D847" s="4" t="str">
        <x:v>粉丝团（主播视角）</x:v>
      </x:c>
      <x:c r="E847" s="4" t="str">
        <x:v>功能需求</x:v>
      </x:c>
      <x:c r="F847" s="4" t="str">
        <x:v>P2</x:v>
      </x:c>
      <x:c r="G847" s="4" t="str">
        <x:v>验证粉丝团可查看成员数</x:v>
      </x:c>
      <x:c r="H847" s="4" t="str">
        <x:v>成员数展示</x:v>
      </x:c>
      <x:c r="I847" s="4" t="str">
        <x:v>1. 主播账号已登录且具备当前页面权限</x:v>
      </x:c>
      <x:c r="J847" s="4" t="str">
        <x:v>1. 进入粉丝团
2. 查看成员数</x:v>
      </x:c>
      <x:c r="K847" s="4" t="str">
        <x:v>粉丝团显示“成员数”</x:v>
      </x:c>
      <x:c r="L847" s="4" t="str"/>
      <x:c r="M847" s="4" t="str">
        <x:v>未测</x:v>
      </x:c>
      <x:c r="N847" s="4" t="str"/>
      <x:c r="O847" s="4" t="str">
        <x:v>1. 来源（原型批注）：liveshow-proto/prototype/annotations/user.js；fan-club.html
2. 页面：fan-club.html
3. 规则：BR-57820B52FC8BF8
4. 场景：SC-3F4C54D652DF4D
5. 未动态验证</x:v>
      </x:c>
    </x:row>
    <x:row r="848" ht="54" customHeight="1">
      <x:c r="A848" s="4" t="n">
        <x:v>847</x:v>
      </x:c>
      <x:c r="B848" s="4" t="str">
        <x:v>UHOST-0058</x:v>
      </x:c>
      <x:c r="C848" s="4" t="str">
        <x:v>主播中心</x:v>
      </x:c>
      <x:c r="D848" s="4" t="str">
        <x:v>粉丝团（主播视角）</x:v>
      </x:c>
      <x:c r="E848" s="4" t="str">
        <x:v>功能需求</x:v>
      </x:c>
      <x:c r="F848" s="4" t="str">
        <x:v>P2</x:v>
      </x:c>
      <x:c r="G848" s="4" t="str">
        <x:v>验证粉丝团可查看加入条件</x:v>
      </x:c>
      <x:c r="H848" s="4" t="str">
        <x:v>加入条件展示</x:v>
      </x:c>
      <x:c r="I848" s="4" t="str">
        <x:v>1. 主播账号已登录且具备当前页面权限</x:v>
      </x:c>
      <x:c r="J848" s="4" t="str">
        <x:v>1. 进入粉丝团
2. 查看加入条件</x:v>
      </x:c>
      <x:c r="K848" s="4" t="str">
        <x:v>粉丝团显示“加入条件”</x:v>
      </x:c>
      <x:c r="L848" s="4" t="str"/>
      <x:c r="M848" s="4" t="str">
        <x:v>未测</x:v>
      </x:c>
      <x:c r="N848" s="4" t="str"/>
      <x:c r="O848" s="4" t="str">
        <x:v>1. 来源（原型批注）：liveshow-proto/prototype/annotations/user.js；fan-club.html
2. 页面：fan-club.html
3. 规则：BR-BCAEB1FF964413
4. 场景：SC-9499D690DF8A8F
5. 未动态验证</x:v>
      </x:c>
    </x:row>
    <x:row r="849" ht="54" customHeight="1">
      <x:c r="A849" s="4" t="n">
        <x:v>848</x:v>
      </x:c>
      <x:c r="B849" s="4" t="str">
        <x:v>UHOST-0059</x:v>
      </x:c>
      <x:c r="C849" s="4" t="str">
        <x:v>主播中心</x:v>
      </x:c>
      <x:c r="D849" s="4" t="str">
        <x:v>粉丝团（主播视角）</x:v>
      </x:c>
      <x:c r="E849" s="4" t="str">
        <x:v>业务流程</x:v>
      </x:c>
      <x:c r="F849" s="4" t="str">
        <x:v>P2</x:v>
      </x:c>
      <x:c r="G849" s="4" t="str">
        <x:v>验证移除成员后的粉丝团状态</x:v>
      </x:c>
      <x:c r="H849" s="4" t="str">
        <x:v>粉丝团状态</x:v>
      </x:c>
      <x:c r="I849" s="4" t="str">
        <x:v>1. 主播账号已登录且具备当前页面权限
2. 移除成员</x:v>
      </x:c>
      <x:c r="J849" s="4" t="str">
        <x:v>1. 进入粉丝团
2. 刷新粉丝团</x:v>
      </x:c>
      <x:c r="K849" s="4" t="str">
        <x:v>团籍解除</x:v>
      </x:c>
      <x:c r="L849" s="4" t="str"/>
      <x:c r="M849" s="4" t="str">
        <x:v>未测</x:v>
      </x:c>
      <x:c r="N849" s="4" t="str"/>
      <x:c r="O849" s="4" t="str">
        <x:v>1. 来源（原型批注）：liveshow-proto/prototype/annotations/user.js；fan-club.html
2. 页面：fan-club.html
3. 规则：BR-E30B58BAD66CCC
4. 场景：SC-EA3F14B10B438A
5. 未动态验证</x:v>
      </x:c>
    </x:row>
    <x:row r="850" ht="54" customHeight="1">
      <x:c r="A850" s="4" t="n">
        <x:v>849</x:v>
      </x:c>
      <x:c r="B850" s="4" t="str">
        <x:v>UHOST-0060</x:v>
      </x:c>
      <x:c r="C850" s="4" t="str">
        <x:v>主播中心</x:v>
      </x:c>
      <x:c r="D850" s="4" t="str">
        <x:v>粉丝团（主播视角）</x:v>
      </x:c>
      <x:c r="E850" s="4" t="str">
        <x:v>业务流程</x:v>
      </x:c>
      <x:c r="F850" s="4" t="str">
        <x:v>P2</x:v>
      </x:c>
      <x:c r="G850" s="4" t="str">
        <x:v>验证左滑成员后的粉丝团状态</x:v>
      </x:c>
      <x:c r="H850" s="4" t="str">
        <x:v>粉丝团状态</x:v>
      </x:c>
      <x:c r="I850" s="4" t="str">
        <x:v>1. 主播账号已登录且具备当前页面权限
2. 左滑成员</x:v>
      </x:c>
      <x:c r="J850" s="4" t="str">
        <x:v>1. 进入粉丝团
2. 刷新粉丝团</x:v>
      </x:c>
      <x:c r="K850" s="4" t="str">
        <x:v>显示移除操作</x:v>
      </x:c>
      <x:c r="L850" s="4" t="str"/>
      <x:c r="M850" s="4" t="str">
        <x:v>未测</x:v>
      </x:c>
      <x:c r="N850" s="4" t="str"/>
      <x:c r="O850" s="4" t="str">
        <x:v>1. 来源（原型批注）：liveshow-proto/prototype/annotations/user.js；fan-club.html
2. 页面：fan-club.html
3. 规则：BR-170C48EAB3C328
4. 场景：SC-F180D0714EB18A
5. 未动态验证</x:v>
      </x:c>
    </x:row>
    <x:row r="851" ht="54" customHeight="1">
      <x:c r="A851" s="4" t="n">
        <x:v>850</x:v>
      </x:c>
      <x:c r="B851" s="4" t="str">
        <x:v>UHOST-0061</x:v>
      </x:c>
      <x:c r="C851" s="4" t="str">
        <x:v>主播中心</x:v>
      </x:c>
      <x:c r="D851" s="4" t="str">
        <x:v>粉丝团设置（主播视角）</x:v>
      </x:c>
      <x:c r="E851" s="4" t="str">
        <x:v>异常用例</x:v>
      </x:c>
      <x:c r="F851" s="4" t="str">
        <x:v>P2</x:v>
      </x:c>
      <x:c r="G851" s="4" t="str">
        <x:v>验证粉丝团名称输入0个字符</x:v>
      </x:c>
      <x:c r="H851" s="4" t="str">
        <x:v>粉丝团名称长度边界</x:v>
      </x:c>
      <x:c r="I851" s="4" t="str">
        <x:v>1. 主播账号已登录且具备当前页面权限</x:v>
      </x:c>
      <x:c r="J851" s="4" t="str">
        <x:v>1. 进入粉丝团设置
2. 清空粉丝团名称</x:v>
      </x:c>
      <x:c r="K851" s="4" t="str">
        <x:v>粉丝团名称不能保留0个字符</x:v>
      </x:c>
      <x:c r="L851" s="4" t="str"/>
      <x:c r="M851" s="4" t="str">
        <x:v>未测</x:v>
      </x:c>
      <x:c r="N851" s="4" t="str"/>
      <x:c r="O851" s="4" t="str">
        <x:v>1. 来源（原型批注）：liveshow-proto/prototype/annotations/user.js；fan-club-settings.html
2. 页面：fan-club-settings.html
3. 规则：BR-9AF45F52AAF91C
4. 场景：SC-707B3392E6002B
5. 未动态验证</x:v>
      </x:c>
    </x:row>
    <x:row r="852" ht="54" customHeight="1">
      <x:c r="A852" s="4" t="n">
        <x:v>851</x:v>
      </x:c>
      <x:c r="B852" s="4" t="str">
        <x:v>UHOST-0062</x:v>
      </x:c>
      <x:c r="C852" s="4" t="str">
        <x:v>主播中心</x:v>
      </x:c>
      <x:c r="D852" s="4" t="str">
        <x:v>粉丝团设置（主播视角）</x:v>
      </x:c>
      <x:c r="E852" s="4" t="str">
        <x:v>逻辑校验</x:v>
      </x:c>
      <x:c r="F852" s="4" t="str">
        <x:v>P2</x:v>
      </x:c>
      <x:c r="G852" s="4" t="str">
        <x:v>验证粉丝团名称输入20个字符</x:v>
      </x:c>
      <x:c r="H852" s="4" t="str">
        <x:v>粉丝团名称长度边界</x:v>
      </x:c>
      <x:c r="I852" s="4" t="str">
        <x:v>1. 主播账号已登录且具备当前页面权限</x:v>
      </x:c>
      <x:c r="J852" s="4" t="str">
        <x:v>1. 进入粉丝团设置
2. 输入由20个“测”组成的粉丝团名称</x:v>
      </x:c>
      <x:c r="K852" s="4" t="str">
        <x:v>粉丝团名称保留20个字符</x:v>
      </x:c>
      <x:c r="L852" s="4" t="str"/>
      <x:c r="M852" s="4" t="str">
        <x:v>未测</x:v>
      </x:c>
      <x:c r="N852" s="4" t="str"/>
      <x:c r="O852" s="4" t="str">
        <x:v>1. 来源（原型批注）：liveshow-proto/prototype/annotations/user.js；fan-club-settings.html
2. 页面：fan-club-settings.html
3. 规则：BR-9AF45F52AAF91C
4. 场景：SC-C54A8F00CDFE1E
5. 未动态验证</x:v>
      </x:c>
    </x:row>
    <x:row r="853" ht="54" customHeight="1">
      <x:c r="A853" s="4" t="n">
        <x:v>852</x:v>
      </x:c>
      <x:c r="B853" s="4" t="str">
        <x:v>UHOST-0063</x:v>
      </x:c>
      <x:c r="C853" s="4" t="str">
        <x:v>主播中心</x:v>
      </x:c>
      <x:c r="D853" s="4" t="str">
        <x:v>粉丝团设置（主播视角）</x:v>
      </x:c>
      <x:c r="E853" s="4" t="str">
        <x:v>异常用例</x:v>
      </x:c>
      <x:c r="F853" s="4" t="str">
        <x:v>P2</x:v>
      </x:c>
      <x:c r="G853" s="4" t="str">
        <x:v>验证粉丝团名称输入21个字符</x:v>
      </x:c>
      <x:c r="H853" s="4" t="str">
        <x:v>粉丝团名称长度边界</x:v>
      </x:c>
      <x:c r="I853" s="4" t="str">
        <x:v>1. 主播账号已登录且具备当前页面权限</x:v>
      </x:c>
      <x:c r="J853" s="4" t="str">
        <x:v>1. 进入粉丝团设置
2. 输入由21个“测”组成的粉丝团名称</x:v>
      </x:c>
      <x:c r="K853" s="4" t="str">
        <x:v>粉丝团名称不能保留21个字符</x:v>
      </x:c>
      <x:c r="L853" s="4" t="str"/>
      <x:c r="M853" s="4" t="str">
        <x:v>未测</x:v>
      </x:c>
      <x:c r="N853" s="4" t="str"/>
      <x:c r="O853" s="4" t="str">
        <x:v>1. 来源（原型批注）：liveshow-proto/prototype/annotations/user.js；fan-club-settings.html
2. 页面：fan-club-settings.html
3. 规则：BR-9AF45F52AAF91C
4. 场景：SC-F62845FFEBA51F
5. 未动态验证</x:v>
      </x:c>
    </x:row>
    <x:row r="854" ht="54" customHeight="1">
      <x:c r="A854" s="4" t="n">
        <x:v>853</x:v>
      </x:c>
      <x:c r="B854" s="4" t="str">
        <x:v>UHOST-0064</x:v>
      </x:c>
      <x:c r="C854" s="4" t="str">
        <x:v>主播中心</x:v>
      </x:c>
      <x:c r="D854" s="4" t="str">
        <x:v>粉丝团设置（主播视角）</x:v>
      </x:c>
      <x:c r="E854" s="4" t="str">
        <x:v>逻辑校验</x:v>
      </x:c>
      <x:c r="F854" s="4" t="str">
        <x:v>P2</x:v>
      </x:c>
      <x:c r="G854" s="4" t="str">
        <x:v>验证粉丝团设置按指定范围筛选</x:v>
      </x:c>
      <x:c r="H854" s="4" t="str">
        <x:v>粉丝团设置数据范围</x:v>
      </x:c>
      <x:c r="I854" s="4" t="str">
        <x:v>1. 主播账号已登录且具备当前页面权限
2. 存在符合和不符合“仅当前主播自己的粉丝团名称和加入条件”的记录</x:v>
      </x:c>
      <x:c r="J854" s="4" t="str">
        <x:v>1. 进入粉丝团设置
2. 查看粉丝团设置</x:v>
      </x:c>
      <x:c r="K854" s="4" t="str">
        <x:v>数据范围：仅当前主播自己的粉丝团名称和加入条件</x:v>
      </x:c>
      <x:c r="L854" s="4" t="str"/>
      <x:c r="M854" s="4" t="str">
        <x:v>未测</x:v>
      </x:c>
      <x:c r="N854" s="4" t="str"/>
      <x:c r="O854" s="4" t="str">
        <x:v>1. 来源（原型批注）：liveshow-proto/prototype/annotations/user.js；fan-club-settings.html
2. 页面：fan-club-settings.html
3. 规则：BR-7B7C57DC9C4C56
4. 场景：SC-D4DD833A0497D3
5. 未动态验证</x:v>
      </x:c>
    </x:row>
    <x:row r="855" ht="54" customHeight="1">
      <x:c r="A855" s="4" t="n">
        <x:v>854</x:v>
      </x:c>
      <x:c r="B855" s="4" t="str">
        <x:v>UHOST-0065</x:v>
      </x:c>
      <x:c r="C855" s="4" t="str">
        <x:v>主播中心</x:v>
      </x:c>
      <x:c r="D855" s="4" t="str">
        <x:v>粉丝团设置（主播视角）</x:v>
      </x:c>
      <x:c r="E855" s="4" t="str">
        <x:v>功能需求</x:v>
      </x:c>
      <x:c r="F855" s="4" t="str">
        <x:v>P2</x:v>
      </x:c>
      <x:c r="G855" s="4" t="str">
        <x:v>验证粉丝团设置可查看粉丝团名称</x:v>
      </x:c>
      <x:c r="H855" s="4" t="str">
        <x:v>粉丝团名称展示</x:v>
      </x:c>
      <x:c r="I855" s="4" t="str">
        <x:v>1. 主播账号已登录且具备当前页面权限</x:v>
      </x:c>
      <x:c r="J855" s="4" t="str">
        <x:v>1. 进入粉丝团设置
2. 查看粉丝团名称</x:v>
      </x:c>
      <x:c r="K855" s="4" t="str">
        <x:v>粉丝团设置显示“粉丝团名称”</x:v>
      </x:c>
      <x:c r="L855" s="4" t="str"/>
      <x:c r="M855" s="4" t="str">
        <x:v>未测</x:v>
      </x:c>
      <x:c r="N855" s="4" t="str"/>
      <x:c r="O855" s="4" t="str">
        <x:v>1. 来源（原型批注）：liveshow-proto/prototype/annotations/user.js；fan-club-settings.html
2. 页面：fan-club-settings.html
3. 规则：BR-9AF45F52AAF91C
4. 场景：SC-452EE9E6E98C70
5. 未动态验证</x:v>
      </x:c>
    </x:row>
    <x:row r="856" ht="54" customHeight="1">
      <x:c r="A856" s="4" t="n">
        <x:v>855</x:v>
      </x:c>
      <x:c r="B856" s="4" t="str">
        <x:v>UHOST-0066</x:v>
      </x:c>
      <x:c r="C856" s="4" t="str">
        <x:v>主播中心</x:v>
      </x:c>
      <x:c r="D856" s="4" t="str">
        <x:v>粉丝团设置（主播视角）</x:v>
      </x:c>
      <x:c r="E856" s="4" t="str">
        <x:v>功能需求</x:v>
      </x:c>
      <x:c r="F856" s="4" t="str">
        <x:v>P2</x:v>
      </x:c>
      <x:c r="G856" s="4" t="str">
        <x:v>验证粉丝团设置可查看累计贡献</x:v>
      </x:c>
      <x:c r="H856" s="4" t="str">
        <x:v>累计贡献展示</x:v>
      </x:c>
      <x:c r="I856" s="4" t="str">
        <x:v>1. 主播账号已登录且具备当前页面权限</x:v>
      </x:c>
      <x:c r="J856" s="4" t="str">
        <x:v>1. 进入粉丝团设置
2. 查看累计贡献</x:v>
      </x:c>
      <x:c r="K856" s="4" t="str">
        <x:v>粉丝团设置显示“累计贡献”</x:v>
      </x:c>
      <x:c r="L856" s="4" t="str"/>
      <x:c r="M856" s="4" t="str">
        <x:v>未测</x:v>
      </x:c>
      <x:c r="N856" s="4" t="str"/>
      <x:c r="O856" s="4" t="str">
        <x:v>1. 来源（原型批注）：liveshow-proto/prototype/annotations/user.js；fan-club-settings.html
2. 页面：fan-club-settings.html
3. 规则：BR-129361AEE020EB
4. 场景：SC-964A558F02A3CF
5. 未动态验证</x:v>
      </x:c>
    </x:row>
    <x:row r="857" ht="54" customHeight="1">
      <x:c r="A857" s="4" t="n">
        <x:v>856</x:v>
      </x:c>
      <x:c r="B857" s="4" t="str">
        <x:v>UHOST-0067</x:v>
      </x:c>
      <x:c r="C857" s="4" t="str">
        <x:v>主播中心</x:v>
      </x:c>
      <x:c r="D857" s="4" t="str">
        <x:v>粉丝团设置（主播视角）</x:v>
      </x:c>
      <x:c r="E857" s="4" t="str">
        <x:v>功能需求</x:v>
      </x:c>
      <x:c r="F857" s="4" t="str">
        <x:v>P2</x:v>
      </x:c>
      <x:c r="G857" s="4" t="str">
        <x:v>验证粉丝团设置可查看需要关注</x:v>
      </x:c>
      <x:c r="H857" s="4" t="str">
        <x:v>需要关注展示</x:v>
      </x:c>
      <x:c r="I857" s="4" t="str">
        <x:v>1. 主播账号已登录且具备当前页面权限</x:v>
      </x:c>
      <x:c r="J857" s="4" t="str">
        <x:v>1. 进入粉丝团设置
2. 查看需要关注</x:v>
      </x:c>
      <x:c r="K857" s="4" t="str">
        <x:v>粉丝团设置显示“需要关注”</x:v>
      </x:c>
      <x:c r="L857" s="4" t="str"/>
      <x:c r="M857" s="4" t="str">
        <x:v>未测</x:v>
      </x:c>
      <x:c r="N857" s="4" t="str"/>
      <x:c r="O857" s="4" t="str">
        <x:v>1. 来源（原型批注）：liveshow-proto/prototype/annotations/user.js；fan-club-settings.html
2. 页面：fan-club-settings.html
3. 规则：BR-E82AFC47988D28
4. 场景：SC-73E2714DC0B08B
5. 未动态验证</x:v>
      </x:c>
    </x:row>
    <x:row r="858" ht="54" customHeight="1">
      <x:c r="A858" s="4" t="n">
        <x:v>857</x:v>
      </x:c>
      <x:c r="B858" s="4" t="str">
        <x:v>UHOST-0068</x:v>
      </x:c>
      <x:c r="C858" s="4" t="str">
        <x:v>主播中心</x:v>
      </x:c>
      <x:c r="D858" s="4" t="str">
        <x:v>粉丝团设置（主播视角）</x:v>
      </x:c>
      <x:c r="E858" s="4" t="str">
        <x:v>异常用例</x:v>
      </x:c>
      <x:c r="F858" s="4" t="str">
        <x:v>P2</x:v>
      </x:c>
      <x:c r="G858" s="4" t="str">
        <x:v>验证累计贡献无效后的粉丝团设置状态</x:v>
      </x:c>
      <x:c r="H858" s="4" t="str">
        <x:v>粉丝团设置状态</x:v>
      </x:c>
      <x:c r="I858" s="4" t="str">
        <x:v>1. 主播账号已登录且具备当前页面权限
2. 累计贡献无效</x:v>
      </x:c>
      <x:c r="J858" s="4" t="str">
        <x:v>1. 进入粉丝团设置
2. 刷新粉丝团设置</x:v>
      </x:c>
      <x:c r="K858" s="4" t="str">
        <x:v>保存按钮不可用</x:v>
      </x:c>
      <x:c r="L858" s="4" t="str"/>
      <x:c r="M858" s="4" t="str">
        <x:v>未测</x:v>
      </x:c>
      <x:c r="N858" s="4" t="str"/>
      <x:c r="O858" s="4" t="str">
        <x:v>1. 来源（原型批注）：liveshow-proto/prototype/annotations/user.js；fan-club-settings.html
2. 页面：fan-club-settings.html
3. 规则：BR-9097F9181AEBD8
4. 场景：SC-DC85DDBAAE9E59
5. 未动态验证</x:v>
      </x:c>
    </x:row>
    <x:row r="859" ht="54" customHeight="1">
      <x:c r="A859" s="4" t="n">
        <x:v>858</x:v>
      </x:c>
      <x:c r="B859" s="4" t="str">
        <x:v>UHOST-0069</x:v>
      </x:c>
      <x:c r="C859" s="4" t="str">
        <x:v>主播中心</x:v>
      </x:c>
      <x:c r="D859" s="4" t="str">
        <x:v>粉丝团设置（主播视角）</x:v>
      </x:c>
      <x:c r="E859" s="4" t="str">
        <x:v>异常用例</x:v>
      </x:c>
      <x:c r="F859" s="4" t="str">
        <x:v>P2</x:v>
      </x:c>
      <x:c r="G859" s="4" t="str">
        <x:v>验证名称为空后的粉丝团设置状态</x:v>
      </x:c>
      <x:c r="H859" s="4" t="str">
        <x:v>粉丝团设置状态</x:v>
      </x:c>
      <x:c r="I859" s="4" t="str">
        <x:v>1. 主播账号已登录且具备当前页面权限
2. 名称为空</x:v>
      </x:c>
      <x:c r="J859" s="4" t="str">
        <x:v>1. 进入粉丝团设置
2. 刷新粉丝团设置</x:v>
      </x:c>
      <x:c r="K859" s="4" t="str">
        <x:v>保存按钮不可用</x:v>
      </x:c>
      <x:c r="L859" s="4" t="str"/>
      <x:c r="M859" s="4" t="str">
        <x:v>未测</x:v>
      </x:c>
      <x:c r="N859" s="4" t="str"/>
      <x:c r="O859" s="4" t="str">
        <x:v>1. 来源（原型批注）：liveshow-proto/prototype/annotations/user.js；fan-club-settings.html
2. 页面：fan-club-settings.html
3. 规则：BR-9097F9181AEBD8
4. 场景：SC-5FFEFFFAF5F747
5. 未动态验证</x:v>
      </x:c>
    </x:row>
    <x:row r="860" ht="54" customHeight="1">
      <x:c r="A860" s="4" t="n">
        <x:v>859</x:v>
      </x:c>
      <x:c r="B860" s="4" t="str">
        <x:v>UHOST-0070</x:v>
      </x:c>
      <x:c r="C860" s="4" t="str">
        <x:v>主播中心</x:v>
      </x:c>
      <x:c r="D860" s="4" t="str">
        <x:v>粉丝团设置（主播视角）</x:v>
      </x:c>
      <x:c r="E860" s="4" t="str">
        <x:v>业务流程</x:v>
      </x:c>
      <x:c r="F860" s="4" t="str">
        <x:v>P2</x:v>
      </x:c>
      <x:c r="G860" s="4" t="str">
        <x:v>验证校验通过并保存成功后的粉丝团设置状态</x:v>
      </x:c>
      <x:c r="H860" s="4" t="str">
        <x:v>粉丝团设置状态</x:v>
      </x:c>
      <x:c r="I860" s="4" t="str">
        <x:v>1. 主播账号已登录且具备当前页面权限
2. 校验通过并保存成功</x:v>
      </x:c>
      <x:c r="J860" s="4" t="str">
        <x:v>1. 进入粉丝团设置
2. 刷新粉丝团设置</x:v>
      </x:c>
      <x:c r="K860" s="4" t="str">
        <x:v>更新粉丝团加入条件</x:v>
      </x:c>
      <x:c r="L860" s="4" t="str"/>
      <x:c r="M860" s="4" t="str">
        <x:v>未测</x:v>
      </x:c>
      <x:c r="N860" s="4" t="str"/>
      <x:c r="O860" s="4" t="str">
        <x:v>1. 来源（原型批注）：liveshow-proto/prototype/annotations/user.js；fan-club-settings.html
2. 页面：fan-club-settings.html
3. 规则：BR-DBC90358F3C821
4. 场景：SC-1C3188C36137CD
5. 未动态验证</x:v>
      </x:c>
    </x:row>
    <x:row r="861" ht="54" customHeight="1">
      <x:c r="A861" s="4" t="n">
        <x:v>860</x:v>
      </x:c>
      <x:c r="B861" s="4" t="str">
        <x:v>UHOST-0071</x:v>
      </x:c>
      <x:c r="C861" s="4" t="str">
        <x:v>主播中心</x:v>
      </x:c>
      <x:c r="D861" s="4" t="str">
        <x:v>公会通知（主播视角）</x:v>
      </x:c>
      <x:c r="E861" s="4" t="str">
        <x:v>功能需求</x:v>
      </x:c>
      <x:c r="F861" s="4" t="str">
        <x:v>P2</x:v>
      </x:c>
      <x:c r="G861" s="4" t="str">
        <x:v>验证本页时的公会通知结果</x:v>
      </x:c>
      <x:c r="H861" s="4" t="str">
        <x:v>公会通知条件结果</x:v>
      </x:c>
      <x:c r="I861" s="4" t="str">
        <x:v>1. 主播账号已登录且具备当前页面权限
2. 本页</x:v>
      </x:c>
      <x:c r="J861" s="4" t="str">
        <x:v>1. 进入公会通知
2. 查看公会通知</x:v>
      </x:c>
      <x:c r="K861" s="4" t="str">
        <x:v>本页不展示发布时间</x:v>
      </x:c>
      <x:c r="L861" s="4" t="str"/>
      <x:c r="M861" s="4" t="str">
        <x:v>未测</x:v>
      </x:c>
      <x:c r="N861" s="4" t="str"/>
      <x:c r="O861" s="4" t="str">
        <x:v>1. 来源（原型批注）：liveshow-proto/prototype/annotations/user.js；host-guild-notifications.html
2. 页面：host-guild-notifications.html
3. 规则：BR-AF2DE9D0991BEA
4. 场景：SC-F77E42253ABDF5
5. 未动态验证</x:v>
      </x:c>
    </x:row>
    <x:row r="862" ht="54" customHeight="1">
      <x:c r="A862" s="4" t="n">
        <x:v>861</x:v>
      </x:c>
      <x:c r="B862" s="4" t="str">
        <x:v>UHOST-0072</x:v>
      </x:c>
      <x:c r="C862" s="4" t="str">
        <x:v>主播中心</x:v>
      </x:c>
      <x:c r="D862" s="4" t="str">
        <x:v>公会通知（主播视角）</x:v>
      </x:c>
      <x:c r="E862" s="4" t="str">
        <x:v>逻辑校验</x:v>
      </x:c>
      <x:c r="F862" s="4" t="str">
        <x:v>P2</x:v>
      </x:c>
      <x:c r="G862" s="4" t="str">
        <x:v>验证公会通知按指定范围筛选</x:v>
      </x:c>
      <x:c r="H862" s="4" t="str">
        <x:v>公会通知数据范围</x:v>
      </x:c>
      <x:c r="I862" s="4" t="str">
        <x:v>1. 主播账号已登录且具备当前页面权限
2. 存在符合和不符合“当前公会向该主播发送的有效通知”的记录</x:v>
      </x:c>
      <x:c r="J862" s="4" t="str">
        <x:v>1. 进入公会通知
2. 查看公会通知</x:v>
      </x:c>
      <x:c r="K862" s="4" t="str">
        <x:v>仅展示当前公会向该主播发送的有效通知</x:v>
      </x:c>
      <x:c r="L862" s="4" t="str"/>
      <x:c r="M862" s="4" t="str">
        <x:v>未测</x:v>
      </x:c>
      <x:c r="N862" s="4" t="str"/>
      <x:c r="O862" s="4" t="str">
        <x:v>1. 来源（原型批注）：liveshow-proto/prototype/annotations/user.js；host-guild-notifications.html
2. 页面：host-guild-notifications.html
3. 规则：BR-BA0566C4A8AA94
4. 场景：SC-2A5C6BE8C7C03A
5. 未动态验证</x:v>
      </x:c>
    </x:row>
    <x:row r="863" ht="54" customHeight="1">
      <x:c r="A863" s="4" t="n">
        <x:v>862</x:v>
      </x:c>
      <x:c r="B863" s="4" t="str">
        <x:v>UHOST-0073</x:v>
      </x:c>
      <x:c r="C863" s="4" t="str">
        <x:v>主播中心</x:v>
      </x:c>
      <x:c r="D863" s="4" t="str">
        <x:v>公会通知（主播视角）</x:v>
      </x:c>
      <x:c r="E863" s="4" t="str">
        <x:v>功能需求</x:v>
      </x:c>
      <x:c r="F863" s="4" t="str">
        <x:v>P2</x:v>
      </x:c>
      <x:c r="G863" s="4" t="str">
        <x:v>验证公会通知可查看通知标题</x:v>
      </x:c>
      <x:c r="H863" s="4" t="str">
        <x:v>通知标题展示</x:v>
      </x:c>
      <x:c r="I863" s="4" t="str">
        <x:v>1. 主播账号已登录且具备当前页面权限</x:v>
      </x:c>
      <x:c r="J863" s="4" t="str">
        <x:v>1. 进入公会通知
2. 查看通知标题</x:v>
      </x:c>
      <x:c r="K863" s="4" t="str">
        <x:v>公会通知显示“通知标题”</x:v>
      </x:c>
      <x:c r="L863" s="4" t="str"/>
      <x:c r="M863" s="4" t="str">
        <x:v>未测</x:v>
      </x:c>
      <x:c r="N863" s="4" t="str"/>
      <x:c r="O863" s="4" t="str">
        <x:v>1. 来源（原型批注）：liveshow-proto/prototype/annotations/user.js；host-guild-notifications.html
2. 页面：host-guild-notifications.html
3. 规则：BR-E701429B34C4D9
4. 场景：SC-6181BBD6FB5F0E
5. 未动态验证</x:v>
      </x:c>
    </x:row>
    <x:row r="864" ht="54" customHeight="1">
      <x:c r="A864" s="4" t="n">
        <x:v>863</x:v>
      </x:c>
      <x:c r="B864" s="4" t="str">
        <x:v>UHOST-0074</x:v>
      </x:c>
      <x:c r="C864" s="4" t="str">
        <x:v>主播中心</x:v>
      </x:c>
      <x:c r="D864" s="4" t="str">
        <x:v>公会通知（主播视角）</x:v>
      </x:c>
      <x:c r="E864" s="4" t="str">
        <x:v>功能需求</x:v>
      </x:c>
      <x:c r="F864" s="4" t="str">
        <x:v>P2</x:v>
      </x:c>
      <x:c r="G864" s="4" t="str">
        <x:v>验证公会通知可查看通知内容 / 图片</x:v>
      </x:c>
      <x:c r="H864" s="4" t="str">
        <x:v>通知内容 / 图片展示</x:v>
      </x:c>
      <x:c r="I864" s="4" t="str">
        <x:v>1. 主播账号已登录且具备当前页面权限</x:v>
      </x:c>
      <x:c r="J864" s="4" t="str">
        <x:v>1. 进入公会通知
2. 查看通知内容 / 图片</x:v>
      </x:c>
      <x:c r="K864" s="4" t="str">
        <x:v>公会通知显示“通知内容 / 图片”</x:v>
      </x:c>
      <x:c r="L864" s="4" t="str"/>
      <x:c r="M864" s="4" t="str">
        <x:v>未测</x:v>
      </x:c>
      <x:c r="N864" s="4" t="str"/>
      <x:c r="O864" s="4" t="str">
        <x:v>1. 来源（原型批注）：liveshow-proto/prototype/annotations/user.js；host-guild-notifications.html
2. 页面：host-guild-notifications.html
3. 规则：BR-7777CA29483A67、BR-6A95C33D862956
4. 场景：SC-9423796AAB8B7D
5. 未动态验证</x:v>
      </x:c>
    </x:row>
    <x:row r="865" ht="54" customHeight="1">
      <x:c r="A865" s="4" t="n">
        <x:v>864</x:v>
      </x:c>
      <x:c r="B865" s="4" t="str">
        <x:v>UHOST-0075</x:v>
      </x:c>
      <x:c r="C865" s="4" t="str">
        <x:v>主播中心</x:v>
      </x:c>
      <x:c r="D865" s="4" t="str">
        <x:v>公会通知（主播视角）</x:v>
      </x:c>
      <x:c r="E865" s="4" t="str">
        <x:v>功能需求</x:v>
      </x:c>
      <x:c r="F865" s="4" t="str">
        <x:v>P2</x:v>
      </x:c>
      <x:c r="G865" s="4" t="str">
        <x:v>验证公会通知可查看未读标记</x:v>
      </x:c>
      <x:c r="H865" s="4" t="str">
        <x:v>未读标记展示</x:v>
      </x:c>
      <x:c r="I865" s="4" t="str">
        <x:v>1. 主播账号已登录且具备当前页面权限</x:v>
      </x:c>
      <x:c r="J865" s="4" t="str">
        <x:v>1. 进入公会通知
2. 查看未读标记</x:v>
      </x:c>
      <x:c r="K865" s="4" t="str">
        <x:v>公会通知显示“未读标记”</x:v>
      </x:c>
      <x:c r="L865" s="4" t="str"/>
      <x:c r="M865" s="4" t="str">
        <x:v>未测</x:v>
      </x:c>
      <x:c r="N865" s="4" t="str"/>
      <x:c r="O865" s="4" t="str">
        <x:v>1. 来源（原型批注）：liveshow-proto/prototype/annotations/user.js；host-guild-notifications.html
2. 页面：host-guild-notifications.html
3. 规则：BR-84867A78557BE9
4. 场景：SC-2C3A06BEE50278
5. 未动态验证</x:v>
      </x:c>
    </x:row>
    <x:row r="866" ht="54" customHeight="1">
      <x:c r="A866" s="4" t="n">
        <x:v>865</x:v>
      </x:c>
      <x:c r="B866" s="4" t="str">
        <x:v>UHOST-0076</x:v>
      </x:c>
      <x:c r="C866" s="4" t="str">
        <x:v>主播中心</x:v>
      </x:c>
      <x:c r="D866" s="4" t="str">
        <x:v>公会通知（主播视角）</x:v>
      </x:c>
      <x:c r="E866" s="4" t="str">
        <x:v>功能需求</x:v>
      </x:c>
      <x:c r="F866" s="4" t="str">
        <x:v>P2</x:v>
      </x:c>
      <x:c r="G866" s="4" t="str">
        <x:v>验证未读通知标题旁时的公会通知结果</x:v>
      </x:c>
      <x:c r="H866" s="4" t="str">
        <x:v>公会通知条件结果</x:v>
      </x:c>
      <x:c r="I866" s="4" t="str">
        <x:v>1. 主播账号已登录且具备当前页面权限
2. 未读通知标题旁</x:v>
      </x:c>
      <x:c r="J866" s="4" t="str">
        <x:v>1. 进入公会通知
2. 查看公会通知</x:v>
      </x:c>
      <x:c r="K866" s="4" t="str">
        <x:v>未读通知标题旁展示提示点</x:v>
      </x:c>
      <x:c r="L866" s="4" t="str"/>
      <x:c r="M866" s="4" t="str">
        <x:v>未测</x:v>
      </x:c>
      <x:c r="N866" s="4" t="str"/>
      <x:c r="O866" s="4" t="str">
        <x:v>1. 来源（原型批注）：liveshow-proto/prototype/annotations/user.js；host-guild-notifications.html
2. 页面：host-guild-notifications.html
3. 规则：BR-84867A78557BE9
4. 场景：SC-F514388152883F
5. 未动态验证</x:v>
      </x:c>
    </x:row>
    <x:row r="867" ht="54" customHeight="1">
      <x:c r="A867" s="4" t="n">
        <x:v>866</x:v>
      </x:c>
      <x:c r="B867" s="4" t="str">
        <x:v>UHOST-0077</x:v>
      </x:c>
      <x:c r="C867" s="4" t="str">
        <x:v>主播中心</x:v>
      </x:c>
      <x:c r="D867" s="4" t="str">
        <x:v>开播设置（主播视角）</x:v>
      </x:c>
      <x:c r="E867" s="4" t="str">
        <x:v>功能需求</x:v>
      </x:c>
      <x:c r="F867" s="4" t="str">
        <x:v>P2</x:v>
      </x:c>
      <x:c r="G867" s="4" t="str">
        <x:v>验证不增加产品说明弹窗，首次使用时的开播设置结果</x:v>
      </x:c>
      <x:c r="H867" s="4" t="str">
        <x:v>开播设置条件结果</x:v>
      </x:c>
      <x:c r="I867" s="4" t="str">
        <x:v>1. 主播账号已登录且具备当前页面权限
2. 不增加产品说明弹窗，首次使用</x:v>
      </x:c>
      <x:c r="J867" s="4" t="str">
        <x:v>1. 进入开播设置
2. 查看开播设置</x:v>
      </x:c>
      <x:c r="K867" s="4" t="str">
        <x:v>直接调用系统权限弹窗</x:v>
      </x:c>
      <x:c r="L867" s="4" t="str"/>
      <x:c r="M867" s="4" t="str">
        <x:v>未测</x:v>
      </x:c>
      <x:c r="N867" s="4" t="str"/>
      <x:c r="O867" s="4" t="str">
        <x:v>1. 来源（原型批注）：liveshow-proto/prototype/annotations/user.js；start-live-settings.html
2. 页面：start-live-settings.html
3. 规则：BR-D9281CA889D2BF
4. 场景：SC-1A0C4B83F94CF3
5. 未动态验证</x:v>
      </x:c>
    </x:row>
    <x:row r="868" ht="54" customHeight="1">
      <x:c r="A868" s="4" t="n">
        <x:v>867</x:v>
      </x:c>
      <x:c r="B868" s="4" t="str">
        <x:v>UHOST-0078</x:v>
      </x:c>
      <x:c r="C868" s="4" t="str">
        <x:v>主播中心</x:v>
      </x:c>
      <x:c r="D868" s="4" t="str">
        <x:v>开播设置（主播视角）</x:v>
      </x:c>
      <x:c r="E868" s="4" t="str">
        <x:v>功能需求</x:v>
      </x:c>
      <x:c r="F868" s="4" t="str">
        <x:v>P2</x:v>
      </x:c>
      <x:c r="G868" s="4" t="str">
        <x:v>验证超过 5 人时的开播设置结果</x:v>
      </x:c>
      <x:c r="H868" s="4" t="str">
        <x:v>开播设置条件结果</x:v>
      </x:c>
      <x:c r="I868" s="4" t="str">
        <x:v>1. 主播账号已登录且具备当前页面权限
2. 超过 5 人</x:v>
      </x:c>
      <x:c r="J868" s="4" t="str">
        <x:v>1. 进入开播设置
2. 查看开播设置</x:v>
      </x:c>
      <x:c r="K868" s="4" t="str">
        <x:v>超过 5 人显示“...”</x:v>
      </x:c>
      <x:c r="L868" s="4" t="str"/>
      <x:c r="M868" s="4" t="str">
        <x:v>未测</x:v>
      </x:c>
      <x:c r="N868" s="4" t="str"/>
      <x:c r="O868" s="4" t="str">
        <x:v>1. 来源（原型批注）：liveshow-proto/prototype/annotations/user.js；start-live-settings.html
2. 页面：start-live-settings.html
3. 规则：BR-ACD9A2368407F3、BR-107974558DC69E
4. 场景：SC-DF4670CC2B2204
5. 未动态验证</x:v>
      </x:c>
    </x:row>
    <x:row r="869" ht="54" customHeight="1">
      <x:c r="A869" s="4" t="n">
        <x:v>868</x:v>
      </x:c>
      <x:c r="B869" s="4" t="str">
        <x:v>UHOST-0079</x:v>
      </x:c>
      <x:c r="C869" s="4" t="str">
        <x:v>主播中心</x:v>
      </x:c>
      <x:c r="D869" s="4" t="str">
        <x:v>开播设置（主播视角）</x:v>
      </x:c>
      <x:c r="E869" s="4" t="str">
        <x:v>业务流程</x:v>
      </x:c>
      <x:c r="F869" s="4" t="str">
        <x:v>P2</x:v>
      </x:c>
      <x:c r="G869" s="4" t="str">
        <x:v>验证点击编辑图标后的开播设置状态</x:v>
      </x:c>
      <x:c r="H869" s="4" t="str">
        <x:v>开播设置状态</x:v>
      </x:c>
      <x:c r="I869" s="4" t="str">
        <x:v>1. 主播账号已登录且具备当前页面权限</x:v>
      </x:c>
      <x:c r="J869" s="4" t="str">
        <x:v>1. 进入开播设置
2. 点击编辑图标</x:v>
      </x:c>
      <x:c r="K869" s="4" t="str">
        <x:v>进入选择可见粉丝页</x:v>
      </x:c>
      <x:c r="L869" s="4" t="str"/>
      <x:c r="M869" s="4" t="str">
        <x:v>未测</x:v>
      </x:c>
      <x:c r="N869" s="4" t="str"/>
      <x:c r="O869" s="4" t="str">
        <x:v>1. 来源（原型批注）：liveshow-proto/prototype/annotations/user.js；start-live-settings.html
2. 页面：start-live-settings.html
3. 规则：BR-7B96E233F8DE7D
4. 场景：SC-1F1429052DE28F
5. 未动态验证</x:v>
      </x:c>
    </x:row>
    <x:row r="870" ht="54" customHeight="1">
      <x:c r="A870" s="4" t="n">
        <x:v>869</x:v>
      </x:c>
      <x:c r="B870" s="4" t="str">
        <x:v>UHOST-0080</x:v>
      </x:c>
      <x:c r="C870" s="4" t="str">
        <x:v>主播中心</x:v>
      </x:c>
      <x:c r="D870" s="4" t="str">
        <x:v>开播设置（主播视角）</x:v>
      </x:c>
      <x:c r="E870" s="4" t="str">
        <x:v>业务流程</x:v>
      </x:c>
      <x:c r="F870" s="4" t="str">
        <x:v>P2</x:v>
      </x:c>
      <x:c r="G870" s="4" t="str">
        <x:v>验证点击修改封面后的开播设置状态</x:v>
      </x:c>
      <x:c r="H870" s="4" t="str">
        <x:v>开播设置状态</x:v>
      </x:c>
      <x:c r="I870" s="4" t="str">
        <x:v>1. 主播账号已登录且具备当前页面权限</x:v>
      </x:c>
      <x:c r="J870" s="4" t="str">
        <x:v>1. 进入开播设置
2. 点击修改封面</x:v>
      </x:c>
      <x:c r="K870" s="4" t="str">
        <x:v>直接打开系统照片选择器</x:v>
      </x:c>
      <x:c r="L870" s="4" t="str"/>
      <x:c r="M870" s="4" t="str">
        <x:v>未测</x:v>
      </x:c>
      <x:c r="N870" s="4" t="str"/>
      <x:c r="O870" s="4" t="str">
        <x:v>1. 来源（原型批注）：liveshow-proto/prototype/annotations/user.js；start-live-settings.html
2. 页面：start-live-settings.html
3. 规则：BR-A4FCAC8ABCB278
4. 场景：SC-9383AED5A0DA83
5. 未动态验证</x:v>
      </x:c>
    </x:row>
    <x:row r="871" ht="54" customHeight="1">
      <x:c r="A871" s="4" t="n">
        <x:v>870</x:v>
      </x:c>
      <x:c r="B871" s="4" t="str">
        <x:v>UHOST-0081</x:v>
      </x:c>
      <x:c r="C871" s="4" t="str">
        <x:v>主播中心</x:v>
      </x:c>
      <x:c r="D871" s="4" t="str">
        <x:v>开播设置（主播视角）</x:v>
      </x:c>
      <x:c r="E871" s="4" t="str">
        <x:v>逻辑校验</x:v>
      </x:c>
      <x:c r="F871" s="4" t="str">
        <x:v>P2</x:v>
      </x:c>
      <x:c r="G871" s="4" t="str">
        <x:v>验证房间密码输入12</x:v>
      </x:c>
      <x:c r="H871" s="4" t="str">
        <x:v>房间密码取值边界</x:v>
      </x:c>
      <x:c r="I871" s="4" t="str">
        <x:v>1. 主播账号已登录且具备当前页面权限</x:v>
      </x:c>
      <x:c r="J871" s="4" t="str">
        <x:v>1. 进入开播设置
2. 输入房间密码12</x:v>
      </x:c>
      <x:c r="K871" s="4" t="str">
        <x:v>房间密码接受数值12</x:v>
      </x:c>
      <x:c r="L871" s="4" t="str"/>
      <x:c r="M871" s="4" t="str">
        <x:v>未测</x:v>
      </x:c>
      <x:c r="N871" s="4" t="str"/>
      <x:c r="O871" s="4" t="str">
        <x:v>1. 来源（原型批注）：liveshow-proto/prototype/annotations/user.js；start-live-settings.html
2. 页面：start-live-settings.html
3. 规则：BR-CC122F1854D378
4. 场景：SC-A46DFD87EA87E2
5. 未动态验证</x:v>
      </x:c>
    </x:row>
    <x:row r="872" ht="54" customHeight="1">
      <x:c r="A872" s="4" t="n">
        <x:v>871</x:v>
      </x:c>
      <x:c r="B872" s="4" t="str">
        <x:v>UHOST-0082</x:v>
      </x:c>
      <x:c r="C872" s="4" t="str">
        <x:v>主播中心</x:v>
      </x:c>
      <x:c r="D872" s="4" t="str">
        <x:v>开播设置（主播视角）</x:v>
      </x:c>
      <x:c r="E872" s="4" t="str">
        <x:v>异常用例</x:v>
      </x:c>
      <x:c r="F872" s="4" t="str">
        <x:v>P2</x:v>
      </x:c>
      <x:c r="G872" s="4" t="str">
        <x:v>验证房间密码输入13</x:v>
      </x:c>
      <x:c r="H872" s="4" t="str">
        <x:v>房间密码取值边界</x:v>
      </x:c>
      <x:c r="I872" s="4" t="str">
        <x:v>1. 主播账号已登录且具备当前页面权限</x:v>
      </x:c>
      <x:c r="J872" s="4" t="str">
        <x:v>1. 进入开播设置
2. 输入房间密码13</x:v>
      </x:c>
      <x:c r="K872" s="4" t="str">
        <x:v>房间密码不接受数值13</x:v>
      </x:c>
      <x:c r="L872" s="4" t="str"/>
      <x:c r="M872" s="4" t="str">
        <x:v>未测</x:v>
      </x:c>
      <x:c r="N872" s="4" t="str"/>
      <x:c r="O872" s="4" t="str">
        <x:v>1. 来源（原型批注）：liveshow-proto/prototype/annotations/user.js；start-live-settings.html
2. 页面：start-live-settings.html
3. 规则：BR-CC122F1854D378
4. 场景：SC-886A9B24FF923E
5. 未动态验证</x:v>
      </x:c>
    </x:row>
    <x:row r="873" ht="54" customHeight="1">
      <x:c r="A873" s="4" t="n">
        <x:v>872</x:v>
      </x:c>
      <x:c r="B873" s="4" t="str">
        <x:v>UHOST-0083</x:v>
      </x:c>
      <x:c r="C873" s="4" t="str">
        <x:v>主播中心</x:v>
      </x:c>
      <x:c r="D873" s="4" t="str">
        <x:v>开播设置（主播视角）</x:v>
      </x:c>
      <x:c r="E873" s="4" t="str">
        <x:v>异常用例</x:v>
      </x:c>
      <x:c r="F873" s="4" t="str">
        <x:v>P2</x:v>
      </x:c>
      <x:c r="G873" s="4" t="str">
        <x:v>验证房间密码输入3</x:v>
      </x:c>
      <x:c r="H873" s="4" t="str">
        <x:v>房间密码取值边界</x:v>
      </x:c>
      <x:c r="I873" s="4" t="str">
        <x:v>1. 主播账号已登录且具备当前页面权限</x:v>
      </x:c>
      <x:c r="J873" s="4" t="str">
        <x:v>1. 进入开播设置
2. 输入房间密码3</x:v>
      </x:c>
      <x:c r="K873" s="4" t="str">
        <x:v>房间密码不接受数值3</x:v>
      </x:c>
      <x:c r="L873" s="4" t="str"/>
      <x:c r="M873" s="4" t="str">
        <x:v>未测</x:v>
      </x:c>
      <x:c r="N873" s="4" t="str"/>
      <x:c r="O873" s="4" t="str">
        <x:v>1. 来源（原型批注）：liveshow-proto/prototype/annotations/user.js；start-live-settings.html
2. 页面：start-live-settings.html
3. 规则：BR-CC122F1854D378
4. 场景：SC-4D1586D03FAF05
5. 未动态验证</x:v>
      </x:c>
    </x:row>
    <x:row r="874" ht="54" customHeight="1">
      <x:c r="A874" s="4" t="n">
        <x:v>873</x:v>
      </x:c>
      <x:c r="B874" s="4" t="str">
        <x:v>UHOST-0084</x:v>
      </x:c>
      <x:c r="C874" s="4" t="str">
        <x:v>主播中心</x:v>
      </x:c>
      <x:c r="D874" s="4" t="str">
        <x:v>开播设置（主播视角）</x:v>
      </x:c>
      <x:c r="E874" s="4" t="str">
        <x:v>逻辑校验</x:v>
      </x:c>
      <x:c r="F874" s="4" t="str">
        <x:v>P2</x:v>
      </x:c>
      <x:c r="G874" s="4" t="str">
        <x:v>验证房间密码输入4</x:v>
      </x:c>
      <x:c r="H874" s="4" t="str">
        <x:v>房间密码取值边界</x:v>
      </x:c>
      <x:c r="I874" s="4" t="str">
        <x:v>1. 主播账号已登录且具备当前页面权限</x:v>
      </x:c>
      <x:c r="J874" s="4" t="str">
        <x:v>1. 进入开播设置
2. 输入房间密码4</x:v>
      </x:c>
      <x:c r="K874" s="4" t="str">
        <x:v>房间密码接受数值4</x:v>
      </x:c>
      <x:c r="L874" s="4" t="str"/>
      <x:c r="M874" s="4" t="str">
        <x:v>未测</x:v>
      </x:c>
      <x:c r="N874" s="4" t="str"/>
      <x:c r="O874" s="4" t="str">
        <x:v>1. 来源（原型批注）：liveshow-proto/prototype/annotations/user.js；start-live-settings.html
2. 页面：start-live-settings.html
3. 规则：BR-CC122F1854D378
4. 场景：SC-137E32000419AA
5. 未动态验证</x:v>
      </x:c>
    </x:row>
    <x:row r="875" ht="54" customHeight="1">
      <x:c r="A875" s="4" t="n">
        <x:v>874</x:v>
      </x:c>
      <x:c r="B875" s="4" t="str">
        <x:v>UHOST-0085</x:v>
      </x:c>
      <x:c r="C875" s="4" t="str">
        <x:v>主播中心</x:v>
      </x:c>
      <x:c r="D875" s="4" t="str">
        <x:v>开播设置（主播视角）</x:v>
      </x:c>
      <x:c r="E875" s="4" t="str">
        <x:v>业务流程</x:v>
      </x:c>
      <x:c r="F875" s="4" t="str">
        <x:v>P2</x:v>
      </x:c>
      <x:c r="G875" s="4" t="str">
        <x:v>验证关闭后的开播设置状态</x:v>
      </x:c>
      <x:c r="H875" s="4" t="str">
        <x:v>开播设置状态</x:v>
      </x:c>
      <x:c r="I875" s="4" t="str">
        <x:v>1. 主播账号已登录且具备当前页面权限</x:v>
      </x:c>
      <x:c r="J875" s="4" t="str">
        <x:v>1. 进入开播设置
2. 关闭</x:v>
      </x:c>
      <x:c r="K875" s="4" t="str">
        <x:v>隐藏名单</x:v>
      </x:c>
      <x:c r="L875" s="4" t="str"/>
      <x:c r="M875" s="4" t="str">
        <x:v>未测</x:v>
      </x:c>
      <x:c r="N875" s="4" t="str"/>
      <x:c r="O875" s="4" t="str">
        <x:v>1. 来源（原型批注）：liveshow-proto/prototype/annotations/user.js；start-live-settings.html
2. 页面：start-live-settings.html
3. 规则：BR-7B844D8FC49E53
4. 场景：SC-5E8F1CF2B191F8
5. 未动态验证</x:v>
      </x:c>
    </x:row>
    <x:row r="876" ht="54" customHeight="1">
      <x:c r="A876" s="4" t="n">
        <x:v>875</x:v>
      </x:c>
      <x:c r="B876" s="4" t="str">
        <x:v>UHOST-0086</x:v>
      </x:c>
      <x:c r="C876" s="4" t="str">
        <x:v>主播中心</x:v>
      </x:c>
      <x:c r="D876" s="4" t="str">
        <x:v>开播设置（主播视角）</x:v>
      </x:c>
      <x:c r="E876" s="4" t="str">
        <x:v>功能需求</x:v>
      </x:c>
      <x:c r="F876" s="4" t="str">
        <x:v>P2</x:v>
      </x:c>
      <x:c r="G876" s="4" t="str">
        <x:v>验证后台已启用的价格档位全部平铺时的开播设置结果</x:v>
      </x:c>
      <x:c r="H876" s="4" t="str">
        <x:v>开播设置条件结果</x:v>
      </x:c>
      <x:c r="I876" s="4" t="str">
        <x:v>1. 主播账号已登录且具备当前页面权限
2. 后台已启用的价格档位全部平铺</x:v>
      </x:c>
      <x:c r="J876" s="4" t="str">
        <x:v>1. 进入开播设置
2. 查看开播设置</x:v>
      </x:c>
      <x:c r="K876" s="4" t="str">
        <x:v>后台已启用的价格档位全部平铺展示，只能单选</x:v>
      </x:c>
      <x:c r="L876" s="4" t="str"/>
      <x:c r="M876" s="4" t="str">
        <x:v>未测</x:v>
      </x:c>
      <x:c r="N876" s="4" t="str"/>
      <x:c r="O876" s="4" t="str">
        <x:v>1. 来源（原型批注）：liveshow-proto/prototype/annotations/user.js；start-live-settings.html
2. 页面：start-live-settings.html
3. 规则：BR-F105AF2A6A181A
4. 场景：SC-C695E51C46993E
5. 未动态验证</x:v>
      </x:c>
    </x:row>
    <x:row r="877" ht="54" customHeight="1">
      <x:c r="A877" s="4" t="n">
        <x:v>876</x:v>
      </x:c>
      <x:c r="B877" s="4" t="str">
        <x:v>UHOST-0087</x:v>
      </x:c>
      <x:c r="C877" s="4" t="str">
        <x:v>主播中心</x:v>
      </x:c>
      <x:c r="D877" s="4" t="str">
        <x:v>开播设置（主播视角）</x:v>
      </x:c>
      <x:c r="E877" s="4" t="str">
        <x:v>功能需求</x:v>
      </x:c>
      <x:c r="F877" s="4" t="str">
        <x:v>P2</x:v>
      </x:c>
      <x:c r="G877" s="4" t="str">
        <x:v>验证开播设置可查看房间密码</x:v>
      </x:c>
      <x:c r="H877" s="4" t="str">
        <x:v>房间密码展示</x:v>
      </x:c>
      <x:c r="I877" s="4" t="str">
        <x:v>1. 主播账号已登录且具备当前页面权限</x:v>
      </x:c>
      <x:c r="J877" s="4" t="str">
        <x:v>1. 进入开播设置
2. 查看房间密码</x:v>
      </x:c>
      <x:c r="K877" s="4" t="str">
        <x:v>开播设置显示“房间密码”</x:v>
      </x:c>
      <x:c r="L877" s="4" t="str"/>
      <x:c r="M877" s="4" t="str">
        <x:v>未测</x:v>
      </x:c>
      <x:c r="N877" s="4" t="str"/>
      <x:c r="O877" s="4" t="str">
        <x:v>1. 来源（原型批注）：liveshow-proto/prototype/annotations/user.js；start-live-settings.html
2. 页面：start-live-settings.html
3. 规则：BR-CC122F1854D378、BR-DEF613EF16B155
4. 场景：SC-8A7A7E6A6FEB7F
5. 未动态验证</x:v>
      </x:c>
    </x:row>
    <x:row r="878" ht="54" customHeight="1">
      <x:c r="A878" s="4" t="n">
        <x:v>877</x:v>
      </x:c>
      <x:c r="B878" s="4" t="str">
        <x:v>UHOST-0088</x:v>
      </x:c>
      <x:c r="C878" s="4" t="str">
        <x:v>主播中心</x:v>
      </x:c>
      <x:c r="D878" s="4" t="str">
        <x:v>开播设置（主播视角）</x:v>
      </x:c>
      <x:c r="E878" s="4" t="str">
        <x:v>功能需求</x:v>
      </x:c>
      <x:c r="F878" s="4" t="str">
        <x:v>P2</x:v>
      </x:c>
      <x:c r="G878" s="4" t="str">
        <x:v>验证开播设置可查看房型</x:v>
      </x:c>
      <x:c r="H878" s="4" t="str">
        <x:v>房型展示</x:v>
      </x:c>
      <x:c r="I878" s="4" t="str">
        <x:v>1. 主播账号已登录且具备当前页面权限</x:v>
      </x:c>
      <x:c r="J878" s="4" t="str">
        <x:v>1. 进入开播设置
2. 查看房型</x:v>
      </x:c>
      <x:c r="K878" s="4" t="str">
        <x:v>开播设置显示“房型”</x:v>
      </x:c>
      <x:c r="L878" s="4" t="str"/>
      <x:c r="M878" s="4" t="str">
        <x:v>未测</x:v>
      </x:c>
      <x:c r="N878" s="4" t="str"/>
      <x:c r="O878" s="4" t="str">
        <x:v>1. 来源（原型批注）：liveshow-proto/prototype/annotations/user.js；start-live-settings.html
2. 页面：start-live-settings.html
3. 规则：BR-E644BEA40F2636、BR-F83BB0AEF3DBC0
4. 场景：SC-81F8503450DF7A
5. 未动态验证</x:v>
      </x:c>
    </x:row>
    <x:row r="879" ht="54" customHeight="1">
      <x:c r="A879" s="4" t="n">
        <x:v>878</x:v>
      </x:c>
      <x:c r="B879" s="4" t="str">
        <x:v>UHOST-0089</x:v>
      </x:c>
      <x:c r="C879" s="4" t="str">
        <x:v>主播中心</x:v>
      </x:c>
      <x:c r="D879" s="4" t="str">
        <x:v>开播设置（主播视角）</x:v>
      </x:c>
      <x:c r="E879" s="4" t="str">
        <x:v>功能需求</x:v>
      </x:c>
      <x:c r="F879" s="4" t="str">
        <x:v>P2</x:v>
      </x:c>
      <x:c r="G879" s="4" t="str">
        <x:v>验证开播设置可查看分类</x:v>
      </x:c>
      <x:c r="H879" s="4" t="str">
        <x:v>分类展示</x:v>
      </x:c>
      <x:c r="I879" s="4" t="str">
        <x:v>1. 主播账号已登录且具备当前页面权限</x:v>
      </x:c>
      <x:c r="J879" s="4" t="str">
        <x:v>1. 进入开播设置
2. 查看分类</x:v>
      </x:c>
      <x:c r="K879" s="4" t="str">
        <x:v>开播设置显示“分类”</x:v>
      </x:c>
      <x:c r="L879" s="4" t="str"/>
      <x:c r="M879" s="4" t="str">
        <x:v>未测</x:v>
      </x:c>
      <x:c r="N879" s="4" t="str"/>
      <x:c r="O879" s="4" t="str">
        <x:v>1. 来源（原型批注）：liveshow-proto/prototype/annotations/user.js；start-live-settings.html
2. 页面：start-live-settings.html
3. 规则：BR-6545F02A8F1B48
4. 场景：SC-891D5B4367029B
5. 未动态验证</x:v>
      </x:c>
    </x:row>
    <x:row r="880" ht="54" customHeight="1">
      <x:c r="A880" s="4" t="n">
        <x:v>879</x:v>
      </x:c>
      <x:c r="B880" s="4" t="str">
        <x:v>UHOST-0090</x:v>
      </x:c>
      <x:c r="C880" s="4" t="str">
        <x:v>主播中心</x:v>
      </x:c>
      <x:c r="D880" s="4" t="str">
        <x:v>开播设置（主播视角）</x:v>
      </x:c>
      <x:c r="E880" s="4" t="str">
        <x:v>功能需求</x:v>
      </x:c>
      <x:c r="F880" s="4" t="str">
        <x:v>P2</x:v>
      </x:c>
      <x:c r="G880" s="4" t="str">
        <x:v>验证开播设置可查看封面</x:v>
      </x:c>
      <x:c r="H880" s="4" t="str">
        <x:v>封面展示</x:v>
      </x:c>
      <x:c r="I880" s="4" t="str">
        <x:v>1. 主播账号已登录且具备当前页面权限</x:v>
      </x:c>
      <x:c r="J880" s="4" t="str">
        <x:v>1. 进入开播设置
2. 查看封面</x:v>
      </x:c>
      <x:c r="K880" s="4" t="str">
        <x:v>开播设置显示“封面”</x:v>
      </x:c>
      <x:c r="L880" s="4" t="str"/>
      <x:c r="M880" s="4" t="str">
        <x:v>未测</x:v>
      </x:c>
      <x:c r="N880" s="4" t="str"/>
      <x:c r="O880" s="4" t="str">
        <x:v>1. 来源（原型批注）：liveshow-proto/prototype/annotations/user.js；start-live-settings.html
2. 页面：start-live-settings.html
3. 规则：BR-02E1F20AB795F3、BR-0E48E9994AD8AD
4. 场景：SC-ACB20644E4E85B
5. 未动态验证</x:v>
      </x:c>
    </x:row>
    <x:row r="881" ht="54" customHeight="1">
      <x:c r="A881" s="4" t="n">
        <x:v>880</x:v>
      </x:c>
      <x:c r="B881" s="4" t="str">
        <x:v>UHOST-0091</x:v>
      </x:c>
      <x:c r="C881" s="4" t="str">
        <x:v>主播中心</x:v>
      </x:c>
      <x:c r="D881" s="4" t="str">
        <x:v>开播设置（主播视角）</x:v>
      </x:c>
      <x:c r="E881" s="4" t="str">
        <x:v>功能需求</x:v>
      </x:c>
      <x:c r="F881" s="4" t="str">
        <x:v>P2</x:v>
      </x:c>
      <x:c r="G881" s="4" t="str">
        <x:v>验证开播设置可查看可见名单</x:v>
      </x:c>
      <x:c r="H881" s="4" t="str">
        <x:v>可见名单展示</x:v>
      </x:c>
      <x:c r="I881" s="4" t="str">
        <x:v>1. 主播账号已登录且具备当前页面权限</x:v>
      </x:c>
      <x:c r="J881" s="4" t="str">
        <x:v>1. 进入开播设置
2. 查看可见名单</x:v>
      </x:c>
      <x:c r="K881" s="4" t="str">
        <x:v>开播设置显示“可见名单”</x:v>
      </x:c>
      <x:c r="L881" s="4" t="str"/>
      <x:c r="M881" s="4" t="str">
        <x:v>未测</x:v>
      </x:c>
      <x:c r="N881" s="4" t="str"/>
      <x:c r="O881" s="4" t="str">
        <x:v>1. 来源（原型批注）：liveshow-proto/prototype/annotations/user.js；start-live-settings.html
2. 页面：start-live-settings.html
3. 规则：BR-F68F401F3ACE4C、BR-ACD9A2368407F3、BR-B14EB5C917D8AE
4. 场景：SC-CD8F7FD1F5F0C1
5. 未动态验证</x:v>
      </x:c>
    </x:row>
    <x:row r="882" ht="54" customHeight="1">
      <x:c r="A882" s="4" t="n">
        <x:v>881</x:v>
      </x:c>
      <x:c r="B882" s="4" t="str">
        <x:v>UHOST-0092</x:v>
      </x:c>
      <x:c r="C882" s="4" t="str">
        <x:v>主播中心</x:v>
      </x:c>
      <x:c r="D882" s="4" t="str">
        <x:v>开播设置（主播视角）</x:v>
      </x:c>
      <x:c r="E882" s="4" t="str">
        <x:v>功能需求</x:v>
      </x:c>
      <x:c r="F882" s="4" t="str">
        <x:v>P2</x:v>
      </x:c>
      <x:c r="G882" s="4" t="str">
        <x:v>验证开播设置可查看门票价格</x:v>
      </x:c>
      <x:c r="H882" s="4" t="str">
        <x:v>门票价格展示</x:v>
      </x:c>
      <x:c r="I882" s="4" t="str">
        <x:v>1. 主播账号已登录且具备当前页面权限</x:v>
      </x:c>
      <x:c r="J882" s="4" t="str">
        <x:v>1. 进入开播设置
2. 查看门票价格</x:v>
      </x:c>
      <x:c r="K882" s="4" t="str">
        <x:v>开播设置显示“门票价格”</x:v>
      </x:c>
      <x:c r="L882" s="4" t="str"/>
      <x:c r="M882" s="4" t="str">
        <x:v>未测</x:v>
      </x:c>
      <x:c r="N882" s="4" t="str"/>
      <x:c r="O882" s="4" t="str">
        <x:v>1. 来源（原型批注）：liveshow-proto/prototype/annotations/user.js；start-live-settings.html
2. 页面：start-live-settings.html
3. 规则：BR-A7A2519E8EB8DE、BR-F105AF2A6A181A、BR-BC2CE98E8E48B1
4. 场景：SC-A8C3489AACF8FA
5. 未动态验证</x:v>
      </x:c>
    </x:row>
    <x:row r="883" ht="54" customHeight="1">
      <x:c r="A883" s="4" t="n">
        <x:v>882</x:v>
      </x:c>
      <x:c r="B883" s="4" t="str">
        <x:v>UHOST-0093</x:v>
      </x:c>
      <x:c r="C883" s="4" t="str">
        <x:v>主播中心</x:v>
      </x:c>
      <x:c r="D883" s="4" t="str">
        <x:v>开播设置（主播视角）</x:v>
      </x:c>
      <x:c r="E883" s="4" t="str">
        <x:v>功能需求</x:v>
      </x:c>
      <x:c r="F883" s="4" t="str">
        <x:v>P2</x:v>
      </x:c>
      <x:c r="G883" s="4" t="str">
        <x:v>验证开播设置可查看直播主题</x:v>
      </x:c>
      <x:c r="H883" s="4" t="str">
        <x:v>直播主题展示</x:v>
      </x:c>
      <x:c r="I883" s="4" t="str">
        <x:v>1. 主播账号已登录且具备当前页面权限</x:v>
      </x:c>
      <x:c r="J883" s="4" t="str">
        <x:v>1. 进入开播设置
2. 查看直播主题</x:v>
      </x:c>
      <x:c r="K883" s="4" t="str">
        <x:v>开播设置显示“直播主题”</x:v>
      </x:c>
      <x:c r="L883" s="4" t="str"/>
      <x:c r="M883" s="4" t="str">
        <x:v>未测</x:v>
      </x:c>
      <x:c r="N883" s="4" t="str"/>
      <x:c r="O883" s="4" t="str">
        <x:v>1. 来源（原型批注）：liveshow-proto/prototype/annotations/user.js；start-live-settings.html
2. 页面：start-live-settings.html
3. 规则：BR-E548396C43E55D、BR-FD8DF335F95429
4. 场景：SC-E6B2F069044EBD
5. 未动态验证</x:v>
      </x:c>
    </x:row>
    <x:row r="884" ht="54" customHeight="1">
      <x:c r="A884" s="4" t="n">
        <x:v>883</x:v>
      </x:c>
      <x:c r="B884" s="4" t="str">
        <x:v>UHOST-0094</x:v>
      </x:c>
      <x:c r="C884" s="4" t="str">
        <x:v>主播中心</x:v>
      </x:c>
      <x:c r="D884" s="4" t="str">
        <x:v>开播设置（主播视角）</x:v>
      </x:c>
      <x:c r="E884" s="4" t="str">
        <x:v>逻辑校验</x:v>
      </x:c>
      <x:c r="F884" s="4" t="str">
        <x:v>P2</x:v>
      </x:c>
      <x:c r="G884" s="4" t="str">
        <x:v>验证可见名单按指定范围筛选</x:v>
      </x:c>
      <x:c r="H884" s="4" t="str">
        <x:v>可见名单数据范围</x:v>
      </x:c>
      <x:c r="I884" s="4" t="str">
        <x:v>1. 主播账号已登录且具备当前页面权限
2. 存在符合和不符合“当前仍关注主播的粉丝”的记录</x:v>
      </x:c>
      <x:c r="J884" s="4" t="str">
        <x:v>1. 进入开播设置
2. 查看可见名单</x:v>
      </x:c>
      <x:c r="K884" s="4" t="str">
        <x:v>仅可选择当前仍关注主播的粉丝</x:v>
      </x:c>
      <x:c r="L884" s="4" t="str"/>
      <x:c r="M884" s="4" t="str">
        <x:v>未测</x:v>
      </x:c>
      <x:c r="N884" s="4" t="str"/>
      <x:c r="O884" s="4" t="str">
        <x:v>1. 来源（原型批注）：liveshow-proto/prototype/annotations/user.js；start-live-settings.html
2. 页面：start-live-settings.html
3. 规则：BR-B14EB5C917D8AE
4. 场景：SC-80226CA436DF72
5. 未动态验证</x:v>
      </x:c>
    </x:row>
    <x:row r="885" ht="54" customHeight="1">
      <x:c r="A885" s="4" t="n">
        <x:v>884</x:v>
      </x:c>
      <x:c r="B885" s="4" t="str">
        <x:v>UHOST-0095</x:v>
      </x:c>
      <x:c r="C885" s="4" t="str">
        <x:v>主播中心</x:v>
      </x:c>
      <x:c r="D885" s="4" t="str">
        <x:v>开播设置（主播视角）</x:v>
      </x:c>
      <x:c r="E885" s="4" t="str">
        <x:v>异常用例</x:v>
      </x:c>
      <x:c r="F885" s="4" t="str">
        <x:v>P2</x:v>
      </x:c>
      <x:c r="G885" s="4" t="str">
        <x:v>验证麦克风权限被拒绝后的开播设置状态</x:v>
      </x:c>
      <x:c r="H885" s="4" t="str">
        <x:v>开播设置状态</x:v>
      </x:c>
      <x:c r="I885" s="4" t="str">
        <x:v>1. 主播账号已登录且具备当前页面权限
2. 麦克风权限被拒绝</x:v>
      </x:c>
      <x:c r="J885" s="4" t="str">
        <x:v>1. 进入开播设置
2. 刷新开播设置</x:v>
      </x:c>
      <x:c r="K885" s="4" t="str">
        <x:v>停留当前页</x:v>
      </x:c>
      <x:c r="L885" s="4" t="str"/>
      <x:c r="M885" s="4" t="str">
        <x:v>未测</x:v>
      </x:c>
      <x:c r="N885" s="4" t="str"/>
      <x:c r="O885" s="4" t="str">
        <x:v>1. 来源（原型批注）：liveshow-proto/prototype/annotations/user.js；start-live-settings.html
2. 页面：start-live-settings.html
3. 规则：BR-12BCEEB4331121
4. 场景：SC-72AE445A3E5D29
5. 未动态验证</x:v>
      </x:c>
    </x:row>
    <x:row r="886" ht="54" customHeight="1">
      <x:c r="A886" s="4" t="n">
        <x:v>885</x:v>
      </x:c>
      <x:c r="B886" s="4" t="str">
        <x:v>UHOST-0096</x:v>
      </x:c>
      <x:c r="C886" s="4" t="str">
        <x:v>主播中心</x:v>
      </x:c>
      <x:c r="D886" s="4" t="str">
        <x:v>开播设置（主播视角）</x:v>
      </x:c>
      <x:c r="E886" s="4" t="str">
        <x:v>业务流程</x:v>
      </x:c>
      <x:c r="F886" s="4" t="str">
        <x:v>P2</x:v>
      </x:c>
      <x:c r="G886" s="4" t="str">
        <x:v>验证名单内粉丝仍需输入正确密码后的开播设置状态</x:v>
      </x:c>
      <x:c r="H886" s="4" t="str">
        <x:v>开播设置状态</x:v>
      </x:c>
      <x:c r="I886" s="4" t="str">
        <x:v>1. 主播账号已登录且具备当前页面权限
2. 名单内粉丝仍需输入正确密码</x:v>
      </x:c>
      <x:c r="J886" s="4" t="str">
        <x:v>1. 进入开播设置
2. 刷新开播设置</x:v>
      </x:c>
      <x:c r="K886" s="4" t="str">
        <x:v>才能进入</x:v>
      </x:c>
      <x:c r="L886" s="4" t="str"/>
      <x:c r="M886" s="4" t="str">
        <x:v>未测</x:v>
      </x:c>
      <x:c r="N886" s="4" t="str"/>
      <x:c r="O886" s="4" t="str">
        <x:v>1. 来源（原型批注）：liveshow-proto/prototype/annotations/user.js；start-live-settings.html
2. 页面：start-live-settings.html
3. 规则：BR-B3CB245DEF667A
4. 场景：SC-B083C17AFE7DA3
5. 未动态验证</x:v>
      </x:c>
    </x:row>
    <x:row r="887" ht="54" customHeight="1">
      <x:c r="A887" s="4" t="n">
        <x:v>886</x:v>
      </x:c>
      <x:c r="B887" s="4" t="str">
        <x:v>UHOST-0097</x:v>
      </x:c>
      <x:c r="C887" s="4" t="str">
        <x:v>主播中心</x:v>
      </x:c>
      <x:c r="D887" s="4" t="str">
        <x:v>开播设置（主播视角）</x:v>
      </x:c>
      <x:c r="E887" s="4" t="str">
        <x:v>功能需求</x:v>
      </x:c>
      <x:c r="F887" s="4" t="str">
        <x:v>P2</x:v>
      </x:c>
      <x:c r="G887" s="4" t="str">
        <x:v>验证名单外用户时的开播设置结果</x:v>
      </x:c>
      <x:c r="H887" s="4" t="str">
        <x:v>开播设置条件结果</x:v>
      </x:c>
      <x:c r="I887" s="4" t="str">
        <x:v>1. 主播账号已登录且具备当前页面权限
2. 名单外用户</x:v>
      </x:c>
      <x:c r="J887" s="4" t="str">
        <x:v>1. 进入开播设置
2. 查看开播设置</x:v>
      </x:c>
      <x:c r="K887" s="4" t="str">
        <x:v>名单外用户不展示</x:v>
      </x:c>
      <x:c r="L887" s="4" t="str"/>
      <x:c r="M887" s="4" t="str">
        <x:v>未测</x:v>
      </x:c>
      <x:c r="N887" s="4" t="str"/>
      <x:c r="O887" s="4" t="str">
        <x:v>1. 来源（原型批注）：liveshow-proto/prototype/annotations/user.js；start-live-settings.html
2. 页面：start-live-settings.html
3. 规则：BR-37C03CF30E775B
4. 场景：SC-5D801E0F096BC8
5. 未动态验证</x:v>
      </x:c>
    </x:row>
    <x:row r="888" ht="54" customHeight="1">
      <x:c r="A888" s="4" t="n">
        <x:v>887</x:v>
      </x:c>
      <x:c r="B888" s="4" t="str">
        <x:v>UHOST-0098</x:v>
      </x:c>
      <x:c r="C888" s="4" t="str">
        <x:v>主播中心</x:v>
      </x:c>
      <x:c r="D888" s="4" t="str">
        <x:v>开播设置（主播视角）</x:v>
      </x:c>
      <x:c r="E888" s="4" t="str">
        <x:v>业务流程</x:v>
      </x:c>
      <x:c r="F888" s="4" t="str">
        <x:v>P2</x:v>
      </x:c>
      <x:c r="G888" s="4" t="str">
        <x:v>验证确认后的开播设置状态</x:v>
      </x:c>
      <x:c r="H888" s="4" t="str">
        <x:v>开播设置状态</x:v>
      </x:c>
      <x:c r="I888" s="4" t="str">
        <x:v>1. 主播账号已登录且具备当前页面权限</x:v>
      </x:c>
      <x:c r="J888" s="4" t="str">
        <x:v>1. 进入开播设置
2. 确认</x:v>
      </x:c>
      <x:c r="K888" s="4" t="str">
        <x:v>保存</x:v>
      </x:c>
      <x:c r="L888" s="4" t="str"/>
      <x:c r="M888" s="4" t="str">
        <x:v>未测</x:v>
      </x:c>
      <x:c r="N888" s="4" t="str"/>
      <x:c r="O888" s="4" t="str">
        <x:v>1. 来源（原型批注）：liveshow-proto/prototype/annotations/user.js；start-live-settings.html
2. 页面：start-live-settings.html
3. 规则：BR-E52E1375E12F28
4. 场景：SC-10F26865210432
5. 未动态验证</x:v>
      </x:c>
    </x:row>
    <x:row r="889" ht="54" customHeight="1">
      <x:c r="A889" s="4" t="n">
        <x:v>888</x:v>
      </x:c>
      <x:c r="B889" s="4" t="str">
        <x:v>UHOST-0099</x:v>
      </x:c>
      <x:c r="C889" s="4" t="str">
        <x:v>主播中心</x:v>
      </x:c>
      <x:c r="D889" s="4" t="str">
        <x:v>开播设置（主播视角）</x:v>
      </x:c>
      <x:c r="E889" s="4" t="str">
        <x:v>业务流程</x:v>
      </x:c>
      <x:c r="F889" s="4" t="str">
        <x:v>P2</x:v>
      </x:c>
      <x:c r="G889" s="4" t="str">
        <x:v>验证相机后的开播设置状态</x:v>
      </x:c>
      <x:c r="H889" s="4" t="str">
        <x:v>开播设置状态</x:v>
      </x:c>
      <x:c r="I889" s="4" t="str">
        <x:v>1. 主播账号已登录且具备当前页面权限
2. 相机</x:v>
      </x:c>
      <x:c r="J889" s="4" t="str">
        <x:v>1. 进入开播设置
2. 刷新开播设置</x:v>
      </x:c>
      <x:c r="K889" s="4" t="str">
        <x:v>停留当前页</x:v>
      </x:c>
      <x:c r="L889" s="4" t="str"/>
      <x:c r="M889" s="4" t="str">
        <x:v>未测</x:v>
      </x:c>
      <x:c r="N889" s="4" t="str"/>
      <x:c r="O889" s="4" t="str">
        <x:v>1. 来源（原型批注）：liveshow-proto/prototype/annotations/user.js；start-live-settings.html
2. 页面：start-live-settings.html
3. 规则：BR-12BCEEB4331121
4. 场景：SC-0B02FB54D87CF0
5. 未动态验证</x:v>
      </x:c>
    </x:row>
    <x:row r="890" ht="54" customHeight="1">
      <x:c r="A890" s="4" t="n">
        <x:v>889</x:v>
      </x:c>
      <x:c r="B890" s="4" t="str">
        <x:v>UHOST-0100</x:v>
      </x:c>
      <x:c r="C890" s="4" t="str">
        <x:v>主播中心</x:v>
      </x:c>
      <x:c r="D890" s="4" t="str">
        <x:v>开播设置（主播视角）</x:v>
      </x:c>
      <x:c r="E890" s="4" t="str">
        <x:v>逻辑校验</x:v>
      </x:c>
      <x:c r="F890" s="4" t="str">
        <x:v>P2</x:v>
      </x:c>
      <x:c r="G890" s="4" t="str">
        <x:v>验证直播主题输入40个字符</x:v>
      </x:c>
      <x:c r="H890" s="4" t="str">
        <x:v>直播主题长度边界</x:v>
      </x:c>
      <x:c r="I890" s="4" t="str">
        <x:v>1. 主播账号已登录且具备当前页面权限</x:v>
      </x:c>
      <x:c r="J890" s="4" t="str">
        <x:v>1. 进入开播设置
2. 输入由40个“测”组成的直播主题</x:v>
      </x:c>
      <x:c r="K890" s="4" t="str">
        <x:v>直播主题保留40个字符</x:v>
      </x:c>
      <x:c r="L890" s="4" t="str"/>
      <x:c r="M890" s="4" t="str">
        <x:v>未测</x:v>
      </x:c>
      <x:c r="N890" s="4" t="str"/>
      <x:c r="O890" s="4" t="str">
        <x:v>1. 来源（原型批注）：liveshow-proto/prototype/annotations/user.js；start-live-settings.html
2. 页面：start-live-settings.html
3. 规则：BR-E548396C43E55D
4. 场景：SC-B78E804E91309C
5. 未动态验证</x:v>
      </x:c>
    </x:row>
    <x:row r="891" ht="54" customHeight="1">
      <x:c r="A891" s="4" t="n">
        <x:v>890</x:v>
      </x:c>
      <x:c r="B891" s="4" t="str">
        <x:v>UHOST-0101</x:v>
      </x:c>
      <x:c r="C891" s="4" t="str">
        <x:v>主播中心</x:v>
      </x:c>
      <x:c r="D891" s="4" t="str">
        <x:v>开播设置（主播视角）</x:v>
      </x:c>
      <x:c r="E891" s="4" t="str">
        <x:v>异常用例</x:v>
      </x:c>
      <x:c r="F891" s="4" t="str">
        <x:v>P2</x:v>
      </x:c>
      <x:c r="G891" s="4" t="str">
        <x:v>验证直播主题输入41个字符</x:v>
      </x:c>
      <x:c r="H891" s="4" t="str">
        <x:v>直播主题长度边界</x:v>
      </x:c>
      <x:c r="I891" s="4" t="str">
        <x:v>1. 主播账号已登录且具备当前页面权限</x:v>
      </x:c>
      <x:c r="J891" s="4" t="str">
        <x:v>1. 进入开播设置
2. 输入由41个“测”组成的直播主题</x:v>
      </x:c>
      <x:c r="K891" s="4" t="str">
        <x:v>直播主题不能保留41个字符</x:v>
      </x:c>
      <x:c r="L891" s="4" t="str"/>
      <x:c r="M891" s="4" t="str">
        <x:v>未测</x:v>
      </x:c>
      <x:c r="N891" s="4" t="str"/>
      <x:c r="O891" s="4" t="str">
        <x:v>1. 来源（原型批注）：liveshow-proto/prototype/annotations/user.js；start-live-settings.html
2. 页面：start-live-settings.html
3. 规则：BR-E548396C43E55D
4. 场景：SC-5FCAFC82A6D4C0
5. 未动态验证</x:v>
      </x:c>
    </x:row>
    <x:row r="892" ht="54" customHeight="1">
      <x:c r="A892" s="4" t="n">
        <x:v>891</x:v>
      </x:c>
      <x:c r="B892" s="4" t="str">
        <x:v>UHOST-0102</x:v>
      </x:c>
      <x:c r="C892" s="4" t="str">
        <x:v>主播中心</x:v>
      </x:c>
      <x:c r="D892" s="4" t="str">
        <x:v>美颜设置（主播视角）</x:v>
      </x:c>
      <x:c r="E892" s="4" t="str">
        <x:v>功能需求</x:v>
      </x:c>
      <x:c r="F892" s="4" t="str">
        <x:v>P2</x:v>
      </x:c>
      <x:c r="G892" s="4" t="str">
        <x:v>验证美颜设置可查看模式</x:v>
      </x:c>
      <x:c r="H892" s="4" t="str">
        <x:v>模式展示</x:v>
      </x:c>
      <x:c r="I892" s="4" t="str">
        <x:v>1. 主播账号已登录且具备当前页面权限</x:v>
      </x:c>
      <x:c r="J892" s="4" t="str">
        <x:v>1. 打开美颜设置
2. 查看模式</x:v>
      </x:c>
      <x:c r="K892" s="4" t="str">
        <x:v>美颜设置显示“模式”</x:v>
      </x:c>
      <x:c r="L892" s="4" t="str"/>
      <x:c r="M892" s="4" t="str">
        <x:v>未测</x:v>
      </x:c>
      <x:c r="N892" s="4" t="str"/>
      <x:c r="O892" s="4" t="str">
        <x:v>1. 来源（原型批注）：liveshow-proto/prototype/annotations/user.js；views/start-live-settings/beauty.html
2. 页面：views/start-live-settings/beauty.html
3. 规则：BR-130EB22F9938BB
4. 场景：SC-5D5B5E826CFC46
5. 未动态验证</x:v>
      </x:c>
    </x:row>
    <x:row r="893" ht="54" customHeight="1">
      <x:c r="A893" s="4" t="n">
        <x:v>892</x:v>
      </x:c>
      <x:c r="B893" s="4" t="str">
        <x:v>UHOST-0103</x:v>
      </x:c>
      <x:c r="C893" s="4" t="str">
        <x:v>主播中心</x:v>
      </x:c>
      <x:c r="D893" s="4" t="str">
        <x:v>美颜设置（主播视角）</x:v>
      </x:c>
      <x:c r="E893" s="4" t="str">
        <x:v>功能需求</x:v>
      </x:c>
      <x:c r="F893" s="4" t="str">
        <x:v>P2</x:v>
      </x:c>
      <x:c r="G893" s="4" t="str">
        <x:v>验证美颜设置可查看强度</x:v>
      </x:c>
      <x:c r="H893" s="4" t="str">
        <x:v>强度展示</x:v>
      </x:c>
      <x:c r="I893" s="4" t="str">
        <x:v>1. 主播账号已登录且具备当前页面权限</x:v>
      </x:c>
      <x:c r="J893" s="4" t="str">
        <x:v>1. 打开美颜设置
2. 查看强度</x:v>
      </x:c>
      <x:c r="K893" s="4" t="str">
        <x:v>美颜设置显示“强度”</x:v>
      </x:c>
      <x:c r="L893" s="4" t="str"/>
      <x:c r="M893" s="4" t="str">
        <x:v>未测</x:v>
      </x:c>
      <x:c r="N893" s="4" t="str"/>
      <x:c r="O893" s="4" t="str">
        <x:v>1. 来源（原型批注）：liveshow-proto/prototype/annotations/user.js；views/start-live-settings/beauty.html
2. 页面：views/start-live-settings/beauty.html
3. 规则：BR-8E03E4EA1D4BA8
4. 场景：SC-F6092590898D9E
5. 未动态验证</x:v>
      </x:c>
    </x:row>
    <x:row r="894" ht="54" customHeight="1">
      <x:c r="A894" s="4" t="n">
        <x:v>893</x:v>
      </x:c>
      <x:c r="B894" s="4" t="str">
        <x:v>UHOST-0104</x:v>
      </x:c>
      <x:c r="C894" s="4" t="str">
        <x:v>主播中心</x:v>
      </x:c>
      <x:c r="D894" s="4" t="str">
        <x:v>美颜设置（主播视角）</x:v>
      </x:c>
      <x:c r="E894" s="4" t="str">
        <x:v>功能需求</x:v>
      </x:c>
      <x:c r="F894" s="4" t="str">
        <x:v>P2</x:v>
      </x:c>
      <x:c r="G894" s="4" t="str">
        <x:v>验证美颜设置可查看项目</x:v>
      </x:c>
      <x:c r="H894" s="4" t="str">
        <x:v>项目展示</x:v>
      </x:c>
      <x:c r="I894" s="4" t="str">
        <x:v>1. 主播账号已登录且具备当前页面权限</x:v>
      </x:c>
      <x:c r="J894" s="4" t="str">
        <x:v>1. 打开美颜设置
2. 查看项目</x:v>
      </x:c>
      <x:c r="K894" s="4" t="str">
        <x:v>美颜设置显示“项目”</x:v>
      </x:c>
      <x:c r="L894" s="4" t="str"/>
      <x:c r="M894" s="4" t="str">
        <x:v>未测</x:v>
      </x:c>
      <x:c r="N894" s="4" t="str"/>
      <x:c r="O894" s="4" t="str">
        <x:v>1. 来源（原型批注）：liveshow-proto/prototype/annotations/user.js；views/start-live-settings/beauty.html
2. 页面：views/start-live-settings/beauty.html
3. 规则：BR-970405965C4F3A
4. 场景：SC-181FA3F9E31F88
5. 未动态验证</x:v>
      </x:c>
    </x:row>
    <x:row r="895" ht="54" customHeight="1">
      <x:c r="A895" s="4" t="n">
        <x:v>894</x:v>
      </x:c>
      <x:c r="B895" s="4" t="str">
        <x:v>UHOST-0105</x:v>
      </x:c>
      <x:c r="C895" s="4" t="str">
        <x:v>主播中心</x:v>
      </x:c>
      <x:c r="D895" s="4" t="str">
        <x:v>美颜设置（主播视角）</x:v>
      </x:c>
      <x:c r="E895" s="4" t="str">
        <x:v>逻辑校验</x:v>
      </x:c>
      <x:c r="F895" s="4" t="str">
        <x:v>P2</x:v>
      </x:c>
      <x:c r="G895" s="4" t="str">
        <x:v>验证强度输入0</x:v>
      </x:c>
      <x:c r="H895" s="4" t="str">
        <x:v>强度取值边界</x:v>
      </x:c>
      <x:c r="I895" s="4" t="str">
        <x:v>1. 主播账号已登录且具备当前页面权限</x:v>
      </x:c>
      <x:c r="J895" s="4" t="str">
        <x:v>1. 打开美颜设置
2. 输入强度0</x:v>
      </x:c>
      <x:c r="K895" s="4" t="str">
        <x:v>强度接受数值0</x:v>
      </x:c>
      <x:c r="L895" s="4" t="str"/>
      <x:c r="M895" s="4" t="str">
        <x:v>未测</x:v>
      </x:c>
      <x:c r="N895" s="4" t="str"/>
      <x:c r="O895" s="4" t="str">
        <x:v>1. 来源（原型批注）：liveshow-proto/prototype/annotations/user.js；views/start-live-settings/beauty.html
2. 页面：views/start-live-settings/beauty.html
3. 规则：BR-8E03E4EA1D4BA8
4. 场景：SC-81643B62EB37EB
5. 未动态验证</x:v>
      </x:c>
    </x:row>
    <x:row r="896" ht="54" customHeight="1">
      <x:c r="A896" s="4" t="n">
        <x:v>895</x:v>
      </x:c>
      <x:c r="B896" s="4" t="str">
        <x:v>UHOST-0106</x:v>
      </x:c>
      <x:c r="C896" s="4" t="str">
        <x:v>主播中心</x:v>
      </x:c>
      <x:c r="D896" s="4" t="str">
        <x:v>美颜设置（主播视角）</x:v>
      </x:c>
      <x:c r="E896" s="4" t="str">
        <x:v>逻辑校验</x:v>
      </x:c>
      <x:c r="F896" s="4" t="str">
        <x:v>P2</x:v>
      </x:c>
      <x:c r="G896" s="4" t="str">
        <x:v>验证强度输入100</x:v>
      </x:c>
      <x:c r="H896" s="4" t="str">
        <x:v>强度取值边界</x:v>
      </x:c>
      <x:c r="I896" s="4" t="str">
        <x:v>1. 主播账号已登录且具备当前页面权限</x:v>
      </x:c>
      <x:c r="J896" s="4" t="str">
        <x:v>1. 打开美颜设置
2. 输入强度100</x:v>
      </x:c>
      <x:c r="K896" s="4" t="str">
        <x:v>强度接受数值100</x:v>
      </x:c>
      <x:c r="L896" s="4" t="str"/>
      <x:c r="M896" s="4" t="str">
        <x:v>未测</x:v>
      </x:c>
      <x:c r="N896" s="4" t="str"/>
      <x:c r="O896" s="4" t="str">
        <x:v>1. 来源（原型批注）：liveshow-proto/prototype/annotations/user.js；views/start-live-settings/beauty.html
2. 页面：views/start-live-settings/beauty.html
3. 规则：BR-8E03E4EA1D4BA8
4. 场景：SC-1A9F80DA9F4C22
5. 未动态验证</x:v>
      </x:c>
    </x:row>
    <x:row r="897" ht="54" customHeight="1">
      <x:c r="A897" s="4" t="n">
        <x:v>896</x:v>
      </x:c>
      <x:c r="B897" s="4" t="str">
        <x:v>UHOST-0107</x:v>
      </x:c>
      <x:c r="C897" s="4" t="str">
        <x:v>主播中心</x:v>
      </x:c>
      <x:c r="D897" s="4" t="str">
        <x:v>美颜设置（主播视角）</x:v>
      </x:c>
      <x:c r="E897" s="4" t="str">
        <x:v>业务流程</x:v>
      </x:c>
      <x:c r="F897" s="4" t="str">
        <x:v>P2</x:v>
      </x:c>
      <x:c r="G897" s="4" t="str">
        <x:v>验证完成后的美颜设置状态</x:v>
      </x:c>
      <x:c r="H897" s="4" t="str">
        <x:v>美颜设置状态</x:v>
      </x:c>
      <x:c r="I897" s="4" t="str">
        <x:v>1. 主播账号已登录且具备当前页面权限
2. 完成</x:v>
      </x:c>
      <x:c r="J897" s="4" t="str">
        <x:v>1. 打开美颜设置
2. 刷新美颜设置</x:v>
      </x:c>
      <x:c r="K897" s="4" t="str">
        <x:v>保留当前参数</x:v>
      </x:c>
      <x:c r="L897" s="4" t="str"/>
      <x:c r="M897" s="4" t="str">
        <x:v>未测</x:v>
      </x:c>
      <x:c r="N897" s="4" t="str"/>
      <x:c r="O897" s="4" t="str">
        <x:v>1. 来源（原型批注）：liveshow-proto/prototype/annotations/user.js；views/start-live-settings/beauty.html
2. 页面：views/start-live-settings/beauty.html
3. 规则：BR-EFD1E6785B9C21
4. 场景：SC-66B0D0BA84C201
5. 未动态验证</x:v>
      </x:c>
    </x:row>
    <x:row r="898" ht="54" customHeight="1">
      <x:c r="A898" s="4" t="n">
        <x:v>897</x:v>
      </x:c>
      <x:c r="B898" s="4" t="str">
        <x:v>UHOST-0108</x:v>
      </x:c>
      <x:c r="C898" s="4" t="str">
        <x:v>主播中心</x:v>
      </x:c>
      <x:c r="D898" s="4" t="str">
        <x:v>申请成为主播（主播视角）</x:v>
      </x:c>
      <x:c r="E898" s="4" t="str">
        <x:v>业务流程</x:v>
      </x:c>
      <x:c r="F898" s="4" t="str">
        <x:v>P2</x:v>
      </x:c>
      <x:c r="G898" s="4" t="str">
        <x:v>验证“去加入”及公会驳回后的申请成为主播状态</x:v>
      </x:c>
      <x:c r="H898" s="4" t="str">
        <x:v>申请成为主播状态</x:v>
      </x:c>
      <x:c r="I898" s="4" t="str">
        <x:v>1. 主播账号已登录且具备当前页面权限
2. “去加入”及公会驳回</x:v>
      </x:c>
      <x:c r="J898" s="4" t="str">
        <x:v>1. 进入申请成为主播
2. 刷新申请成为主播</x:v>
      </x:c>
      <x:c r="K898" s="4" t="str">
        <x:v>的“重新申请”进入公会选择页</x:v>
      </x:c>
      <x:c r="L898" s="4" t="str"/>
      <x:c r="M898" s="4" t="str">
        <x:v>未测</x:v>
      </x:c>
      <x:c r="N898" s="4" t="str"/>
      <x:c r="O898" s="4" t="str">
        <x:v>1. 来源（原型批注）：liveshow-proto/prototype/annotations/user.js；host-center-pending.html
2. 页面：host-center-pending.html
3. 规则：BR-F77CCB3239CE78
4. 场景：SC-D2B510CF8EB8D1
5. 未动态验证</x:v>
      </x:c>
    </x:row>
    <x:row r="899" ht="54" customHeight="1">
      <x:c r="A899" s="4" t="n">
        <x:v>898</x:v>
      </x:c>
      <x:c r="B899" s="4" t="str">
        <x:v>UHOST-0109</x:v>
      </x:c>
      <x:c r="C899" s="4" t="str">
        <x:v>主播中心</x:v>
      </x:c>
      <x:c r="D899" s="4" t="str">
        <x:v>申请成为主播（主播视角）</x:v>
      </x:c>
      <x:c r="E899" s="4" t="str">
        <x:v>业务流程</x:v>
      </x:c>
      <x:c r="F899" s="4" t="str">
        <x:v>P2</x:v>
      </x:c>
      <x:c r="G899" s="4" t="str">
        <x:v>验证“提交申请”及平台驳回后的申请成为主播状态</x:v>
      </x:c>
      <x:c r="H899" s="4" t="str">
        <x:v>申请成为主播状态</x:v>
      </x:c>
      <x:c r="I899" s="4" t="str">
        <x:v>1. 主播账号已登录且具备当前页面权限
2. “提交申请”及平台驳回</x:v>
      </x:c>
      <x:c r="J899" s="4" t="str">
        <x:v>1. 进入申请成为主播
2. 刷新申请成为主播</x:v>
      </x:c>
      <x:c r="K899" s="4" t="str">
        <x:v>的“重新申请”打开本页主播认证资料弹窗</x:v>
      </x:c>
      <x:c r="L899" s="4" t="str"/>
      <x:c r="M899" s="4" t="str">
        <x:v>未测</x:v>
      </x:c>
      <x:c r="N899" s="4" t="str"/>
      <x:c r="O899" s="4" t="str">
        <x:v>1. 来源（原型批注）：liveshow-proto/prototype/annotations/user.js；host-center-pending.html
2. 页面：host-center-pending.html
3. 规则：BR-346840D53C6E1F
4. 场景：SC-451E70BA15B278
5. 未动态验证</x:v>
      </x:c>
    </x:row>
    <x:row r="900" ht="54" customHeight="1">
      <x:c r="A900" s="4" t="n">
        <x:v>899</x:v>
      </x:c>
      <x:c r="B900" s="4" t="str">
        <x:v>UHOST-0110</x:v>
      </x:c>
      <x:c r="C900" s="4" t="str">
        <x:v>主播中心</x:v>
      </x:c>
      <x:c r="D900" s="4" t="str">
        <x:v>申请成为主播（主播视角）</x:v>
      </x:c>
      <x:c r="E900" s="4" t="str">
        <x:v>功能需求</x:v>
      </x:c>
      <x:c r="F900" s="4" t="str">
        <x:v>P2</x:v>
      </x:c>
      <x:c r="G900" s="4" t="str">
        <x:v>验证申请成为主播可查看步骤状态 / 操作</x:v>
      </x:c>
      <x:c r="H900" s="4" t="str">
        <x:v>步骤状态 / 操作展示</x:v>
      </x:c>
      <x:c r="I900" s="4" t="str">
        <x:v>1. 主播账号已登录且具备当前页面权限</x:v>
      </x:c>
      <x:c r="J900" s="4" t="str">
        <x:v>1. 进入申请成为主播
2. 查看步骤状态 / 操作</x:v>
      </x:c>
      <x:c r="K900" s="4" t="str">
        <x:v>申请成为主播显示“步骤状态 / 操作”</x:v>
      </x:c>
      <x:c r="L900" s="4" t="str"/>
      <x:c r="M900" s="4" t="str">
        <x:v>未测</x:v>
      </x:c>
      <x:c r="N900" s="4" t="str"/>
      <x:c r="O900" s="4" t="str">
        <x:v>1. 来源（原型批注）：liveshow-proto/prototype/annotations/user.js；host-center-pending.html
2. 页面：host-center-pending.html
3. 规则：BR-49D298DBBC7D06
4. 场景：SC-770DD15925ECE4
5. 未动态验证</x:v>
      </x:c>
    </x:row>
    <x:row r="901" ht="54" customHeight="1">
      <x:c r="A901" s="4" t="n">
        <x:v>900</x:v>
      </x:c>
      <x:c r="B901" s="4" t="str">
        <x:v>UHOST-0111</x:v>
      </x:c>
      <x:c r="C901" s="4" t="str">
        <x:v>主播中心</x:v>
      </x:c>
      <x:c r="D901" s="4" t="str">
        <x:v>申请成为主播（主播视角）</x:v>
      </x:c>
      <x:c r="E901" s="4" t="str">
        <x:v>功能需求</x:v>
      </x:c>
      <x:c r="F901" s="4" t="str">
        <x:v>P2</x:v>
      </x:c>
      <x:c r="G901" s="4" t="str">
        <x:v>验证申请成为主播可查看公会名称</x:v>
      </x:c>
      <x:c r="H901" s="4" t="str">
        <x:v>公会名称展示</x:v>
      </x:c>
      <x:c r="I901" s="4" t="str">
        <x:v>1. 主播账号已登录且具备当前页面权限</x:v>
      </x:c>
      <x:c r="J901" s="4" t="str">
        <x:v>1. 进入申请成为主播
2. 查看公会名称</x:v>
      </x:c>
      <x:c r="K901" s="4" t="str">
        <x:v>申请成为主播显示“公会名称”</x:v>
      </x:c>
      <x:c r="L901" s="4" t="str"/>
      <x:c r="M901" s="4" t="str">
        <x:v>未测</x:v>
      </x:c>
      <x:c r="N901" s="4" t="str"/>
      <x:c r="O901" s="4" t="str">
        <x:v>1. 来源（原型批注）：liveshow-proto/prototype/annotations/user.js；host-center-pending.html
2. 页面：host-center-pending.html
3. 规则：BR-72AE651A2853CA
4. 场景：SC-B18A83F8D8BC7A
5. 未动态验证</x:v>
      </x:c>
    </x:row>
    <x:row r="902" ht="54" customHeight="1">
      <x:c r="A902" s="4" t="n">
        <x:v>901</x:v>
      </x:c>
      <x:c r="B902" s="4" t="str">
        <x:v>UHOST-0112</x:v>
      </x:c>
      <x:c r="C902" s="4" t="str">
        <x:v>主播中心</x:v>
      </x:c>
      <x:c r="D902" s="4" t="str">
        <x:v>申请成为主播（主播视角）</x:v>
      </x:c>
      <x:c r="E902" s="4" t="str">
        <x:v>功能需求</x:v>
      </x:c>
      <x:c r="F902" s="4" t="str">
        <x:v>P2</x:v>
      </x:c>
      <x:c r="G902" s="4" t="str">
        <x:v>验证申请成为主播可查看申请步骤</x:v>
      </x:c>
      <x:c r="H902" s="4" t="str">
        <x:v>申请步骤展示</x:v>
      </x:c>
      <x:c r="I902" s="4" t="str">
        <x:v>1. 主播账号已登录且具备当前页面权限</x:v>
      </x:c>
      <x:c r="J902" s="4" t="str">
        <x:v>1. 进入申请成为主播
2. 查看申请步骤</x:v>
      </x:c>
      <x:c r="K902" s="4" t="str">
        <x:v>申请成为主播显示“申请步骤”</x:v>
      </x:c>
      <x:c r="L902" s="4" t="str"/>
      <x:c r="M902" s="4" t="str">
        <x:v>未测</x:v>
      </x:c>
      <x:c r="N902" s="4" t="str"/>
      <x:c r="O902" s="4" t="str">
        <x:v>1. 来源（原型批注）：liveshow-proto/prototype/annotations/user.js；host-center-pending.html
2. 页面：host-center-pending.html
3. 规则：BR-34F60A77F9E516
4. 场景：SC-46AEFF390142C4
5. 未动态验证</x:v>
      </x:c>
    </x:row>
    <x:row r="903" ht="54" customHeight="1">
      <x:c r="A903" s="4" t="n">
        <x:v>902</x:v>
      </x:c>
      <x:c r="B903" s="4" t="str">
        <x:v>UHOST-0113</x:v>
      </x:c>
      <x:c r="C903" s="4" t="str">
        <x:v>主播中心</x:v>
      </x:c>
      <x:c r="D903" s="4" t="str">
        <x:v>申请成为主播（主播视角）</x:v>
      </x:c>
      <x:c r="E903" s="4" t="str">
        <x:v>功能需求</x:v>
      </x:c>
      <x:c r="F903" s="4" t="str">
        <x:v>P2</x:v>
      </x:c>
      <x:c r="G903" s="4" t="str">
        <x:v>验证申请成为主播可查看页面提示</x:v>
      </x:c>
      <x:c r="H903" s="4" t="str">
        <x:v>页面提示展示</x:v>
      </x:c>
      <x:c r="I903" s="4" t="str">
        <x:v>1. 主播账号已登录且具备当前页面权限</x:v>
      </x:c>
      <x:c r="J903" s="4" t="str">
        <x:v>1. 进入申请成为主播
2. 查看页面提示</x:v>
      </x:c>
      <x:c r="K903" s="4" t="str">
        <x:v>申请成为主播显示“页面提示”</x:v>
      </x:c>
      <x:c r="L903" s="4" t="str"/>
      <x:c r="M903" s="4" t="str">
        <x:v>未测</x:v>
      </x:c>
      <x:c r="N903" s="4" t="str"/>
      <x:c r="O903" s="4" t="str">
        <x:v>1. 来源（原型批注）：liveshow-proto/prototype/annotations/user.js；host-center-pending.html
2. 页面：host-center-pending.html
3. 规则：BR-3A93CA1451466E、BR-A22658D405E55F
4. 场景：SC-7E3B72709842EE
5. 未动态验证</x:v>
      </x:c>
    </x:row>
    <x:row r="904" ht="54" customHeight="1">
      <x:c r="A904" s="4" t="n">
        <x:v>903</x:v>
      </x:c>
      <x:c r="B904" s="4" t="str">
        <x:v>UHOST-0114</x:v>
      </x:c>
      <x:c r="C904" s="4" t="str">
        <x:v>主播中心</x:v>
      </x:c>
      <x:c r="D904" s="4" t="str">
        <x:v>申请成为主播（主播视角）</x:v>
      </x:c>
      <x:c r="E904" s="4" t="str">
        <x:v>功能需求</x:v>
      </x:c>
      <x:c r="F904" s="4" t="str">
        <x:v>P2</x:v>
      </x:c>
      <x:c r="G904" s="4" t="str">
        <x:v>验证在公会审核中和直播权限审核中时的申请成为主播结果</x:v>
      </x:c>
      <x:c r="H904" s="4" t="str">
        <x:v>申请成为主播条件结果</x:v>
      </x:c>
      <x:c r="I904" s="4" t="str">
        <x:v>1. 主播账号已登录且具备当前页面权限
2. 在公会审核中和直播权限审核中</x:v>
      </x:c>
      <x:c r="J904" s="4" t="str">
        <x:v>1. 进入申请成为主播
2. 查看申请成为主播</x:v>
      </x:c>
      <x:c r="K904" s="4" t="str">
        <x:v>在公会审核中和直播权限审核中展示对应公会名称</x:v>
      </x:c>
      <x:c r="L904" s="4" t="str"/>
      <x:c r="M904" s="4" t="str">
        <x:v>未测</x:v>
      </x:c>
      <x:c r="N904" s="4" t="str"/>
      <x:c r="O904" s="4" t="str">
        <x:v>1. 来源（原型批注）：liveshow-proto/prototype/annotations/user.js；host-center-pending.html
2. 页面：host-center-pending.html
3. 规则：BR-72AE651A2853CA
4. 场景：SC-D0889C549598B6
5. 未动态验证</x:v>
      </x:c>
    </x:row>
    <x:row r="905" ht="54" customHeight="1">
      <x:c r="A905" s="4" t="n">
        <x:v>904</x:v>
      </x:c>
      <x:c r="B905" s="4" t="str">
        <x:v>UHOST-0115</x:v>
      </x:c>
      <x:c r="C905" s="4" t="str">
        <x:v>主播中心</x:v>
      </x:c>
      <x:c r="D905" s="4" t="str">
        <x:v>申请成为主播（主播视角）</x:v>
      </x:c>
      <x:c r="E905" s="4" t="str">
        <x:v>业务流程</x:v>
      </x:c>
      <x:c r="F905" s="4" t="str">
        <x:v>P2</x:v>
      </x:c>
      <x:c r="G905" s="4" t="str">
        <x:v>验证直播权限申请通过后的申请成为主播状态</x:v>
      </x:c>
      <x:c r="H905" s="4" t="str">
        <x:v>申请成为主播状态</x:v>
      </x:c>
      <x:c r="I905" s="4" t="str">
        <x:v>1. 主播账号已登录且具备当前页面权限
2. 直播权限申请通过</x:v>
      </x:c>
      <x:c r="J905" s="4" t="str">
        <x:v>1. 进入申请成为主播
2. 刷新申请成为主播</x:v>
      </x:c>
      <x:c r="K905" s="4" t="str">
        <x:v>进入主播中心</x:v>
      </x:c>
      <x:c r="L905" s="4" t="str"/>
      <x:c r="M905" s="4" t="str">
        <x:v>未测</x:v>
      </x:c>
      <x:c r="N905" s="4" t="str"/>
      <x:c r="O905" s="4" t="str">
        <x:v>1. 来源（原型批注）：liveshow-proto/prototype/annotations/user.js；host-center-pending.html
2. 页面：host-center-pending.html
3. 规则：BR-7248DD09EB1D43
4. 场景：SC-082D2EC86D8EE5
5. 未动态验证</x:v>
      </x:c>
    </x:row>
    <x:row r="906" ht="54" customHeight="1">
      <x:c r="A906" s="4" t="n">
        <x:v>905</x:v>
      </x:c>
      <x:c r="B906" s="4" t="str">
        <x:v>UHOST-0116</x:v>
      </x:c>
      <x:c r="C906" s="4" t="str">
        <x:v>主播中心</x:v>
      </x:c>
      <x:c r="D906" s="4" t="str">
        <x:v>选类型（主播视角）</x:v>
      </x:c>
      <x:c r="E906" s="4" t="str">
        <x:v>功能需求</x:v>
      </x:c>
      <x:c r="F906" s="4" t="str">
        <x:v>P2</x:v>
      </x:c>
      <x:c r="G906" s="4" t="str">
        <x:v>验证按平台配置顺序时的选类型结果</x:v>
      </x:c>
      <x:c r="H906" s="4" t="str">
        <x:v>选类型条件结果</x:v>
      </x:c>
      <x:c r="I906" s="4" t="str">
        <x:v>1. 主播账号已登录且具备当前页面权限
2. 按平台配置顺序</x:v>
      </x:c>
      <x:c r="J906" s="4" t="str">
        <x:v>1. 打开选类型
2. 查看选类型</x:v>
      </x:c>
      <x:c r="K906" s="4" t="str">
        <x:v>按平台配置顺序展示</x:v>
      </x:c>
      <x:c r="L906" s="4" t="str"/>
      <x:c r="M906" s="4" t="str">
        <x:v>未测</x:v>
      </x:c>
      <x:c r="N906" s="4" t="str"/>
      <x:c r="O906" s="4" t="str">
        <x:v>1. 来源（原型批注）：liveshow-proto/prototype/annotations/user.js；views/start-live-settings/category.html
2. 页面：views/start-live-settings/category.html
3. 规则：BR-36E795B318BAEE
4. 场景：SC-969353A2A76640
5. 未动态验证</x:v>
      </x:c>
    </x:row>
    <x:row r="907" ht="54" customHeight="1">
      <x:c r="A907" s="4" t="n">
        <x:v>906</x:v>
      </x:c>
      <x:c r="B907" s="4" t="str">
        <x:v>UHOST-0117</x:v>
      </x:c>
      <x:c r="C907" s="4" t="str">
        <x:v>主播中心</x:v>
      </x:c>
      <x:c r="D907" s="4" t="str">
        <x:v>选类型（主播视角）</x:v>
      </x:c>
      <x:c r="E907" s="4" t="str">
        <x:v>业务流程</x:v>
      </x:c>
      <x:c r="F907" s="4" t="str">
        <x:v>P2</x:v>
      </x:c>
      <x:c r="G907" s="4" t="str">
        <x:v>验证关闭未选择后的选类型状态</x:v>
      </x:c>
      <x:c r="H907" s="4" t="str">
        <x:v>选类型状态</x:v>
      </x:c>
      <x:c r="I907" s="4" t="str">
        <x:v>1. 主播账号已登录且具备当前页面权限</x:v>
      </x:c>
      <x:c r="J907" s="4" t="str">
        <x:v>1. 打开选类型
2. 关闭未选择</x:v>
      </x:c>
      <x:c r="K907" s="4" t="str">
        <x:v>保留原分类</x:v>
      </x:c>
      <x:c r="L907" s="4" t="str"/>
      <x:c r="M907" s="4" t="str">
        <x:v>未测</x:v>
      </x:c>
      <x:c r="N907" s="4" t="str"/>
      <x:c r="O907" s="4" t="str">
        <x:v>1. 来源（原型批注）：liveshow-proto/prototype/annotations/user.js；views/start-live-settings/category.html
2. 页面：views/start-live-settings/category.html
3. 规则：BR-9768C4ABFCB414
4. 场景：SC-C6324361908AC2
5. 未动态验证</x:v>
      </x:c>
    </x:row>
    <x:row r="908" ht="54" customHeight="1">
      <x:c r="A908" s="4" t="n">
        <x:v>907</x:v>
      </x:c>
      <x:c r="B908" s="4" t="str">
        <x:v>UHOST-0118</x:v>
      </x:c>
      <x:c r="C908" s="4" t="str">
        <x:v>主播中心</x:v>
      </x:c>
      <x:c r="D908" s="4" t="str">
        <x:v>选类型（主播视角）</x:v>
      </x:c>
      <x:c r="E908" s="4" t="str">
        <x:v>逻辑校验</x:v>
      </x:c>
      <x:c r="F908" s="4" t="str">
        <x:v>P2</x:v>
      </x:c>
      <x:c r="G908" s="4" t="str">
        <x:v>验证选类型按指定范围筛选</x:v>
      </x:c>
      <x:c r="H908" s="4" t="str">
        <x:v>选类型数据范围</x:v>
      </x:c>
      <x:c r="I908" s="4" t="str">
        <x:v>1. 主播账号已登录且具备当前页面权限
2. 存在符合和不符合“平台当前已启用的直播分类”的记录</x:v>
      </x:c>
      <x:c r="J908" s="4" t="str">
        <x:v>1. 打开选类型
2. 查看选类型</x:v>
      </x:c>
      <x:c r="K908" s="4" t="str">
        <x:v>数据范围：平台当前已启用的直播分类</x:v>
      </x:c>
      <x:c r="L908" s="4" t="str"/>
      <x:c r="M908" s="4" t="str">
        <x:v>未测</x:v>
      </x:c>
      <x:c r="N908" s="4" t="str"/>
      <x:c r="O908" s="4" t="str">
        <x:v>1. 来源（原型批注）：liveshow-proto/prototype/annotations/user.js；views/start-live-settings/category.html
2. 页面：views/start-live-settings/category.html
3. 规则：BR-810A4A78D560BF
4. 场景：SC-350F48D3691CCB
5. 未动态验证</x:v>
      </x:c>
    </x:row>
    <x:row r="909" ht="54" customHeight="1">
      <x:c r="A909" s="4" t="n">
        <x:v>908</x:v>
      </x:c>
      <x:c r="B909" s="4" t="str">
        <x:v>UHOST-0119</x:v>
      </x:c>
      <x:c r="C909" s="4" t="str">
        <x:v>主播中心</x:v>
      </x:c>
      <x:c r="D909" s="4" t="str">
        <x:v>选类型（主播视角）</x:v>
      </x:c>
      <x:c r="E909" s="4" t="str">
        <x:v>功能需求</x:v>
      </x:c>
      <x:c r="F909" s="4" t="str">
        <x:v>P2</x:v>
      </x:c>
      <x:c r="G909" s="4" t="str">
        <x:v>验证选类型可查看直播分类</x:v>
      </x:c>
      <x:c r="H909" s="4" t="str">
        <x:v>直播分类展示</x:v>
      </x:c>
      <x:c r="I909" s="4" t="str">
        <x:v>1. 主播账号已登录且具备当前页面权限</x:v>
      </x:c>
      <x:c r="J909" s="4" t="str">
        <x:v>1. 打开选类型
2. 查看直播分类</x:v>
      </x:c>
      <x:c r="K909" s="4" t="str">
        <x:v>选类型显示“直播分类”</x:v>
      </x:c>
      <x:c r="L909" s="4" t="str"/>
      <x:c r="M909" s="4" t="str">
        <x:v>未测</x:v>
      </x:c>
      <x:c r="N909" s="4" t="str"/>
      <x:c r="O909" s="4" t="str">
        <x:v>1. 来源（原型批注）：liveshow-proto/prototype/annotations/user.js；views/start-live-settings/category.html
2. 页面：views/start-live-settings/category.html
3. 规则：BR-1F5C6A77A27A55
4. 场景：SC-49B725B7586DF6
5. 未动态验证</x:v>
      </x:c>
    </x:row>
    <x:row r="910" ht="54" customHeight="1">
      <x:c r="A910" s="4" t="n">
        <x:v>909</x:v>
      </x:c>
      <x:c r="B910" s="4" t="str">
        <x:v>UHOST-0120</x:v>
      </x:c>
      <x:c r="C910" s="4" t="str">
        <x:v>主播中心</x:v>
      </x:c>
      <x:c r="D910" s="4" t="str">
        <x:v>选类型（主播视角）</x:v>
      </x:c>
      <x:c r="E910" s="4" t="str">
        <x:v>业务流程</x:v>
      </x:c>
      <x:c r="F910" s="4" t="str">
        <x:v>P2</x:v>
      </x:c>
      <x:c r="G910" s="4" t="str">
        <x:v>验证选择分类后的选类型状态</x:v>
      </x:c>
      <x:c r="H910" s="4" t="str">
        <x:v>选类型状态</x:v>
      </x:c>
      <x:c r="I910" s="4" t="str">
        <x:v>1. 主播账号已登录且具备当前页面权限</x:v>
      </x:c>
      <x:c r="J910" s="4" t="str">
        <x:v>1. 打开选类型
2. 选择分类</x:v>
      </x:c>
      <x:c r="K910" s="4" t="str">
        <x:v>回填</x:v>
      </x:c>
      <x:c r="L910" s="4" t="str"/>
      <x:c r="M910" s="4" t="str">
        <x:v>未测</x:v>
      </x:c>
      <x:c r="N910" s="4" t="str"/>
      <x:c r="O910" s="4" t="str">
        <x:v>1. 来源（原型批注）：liveshow-proto/prototype/annotations/user.js；views/start-live-settings/category.html
2. 页面：views/start-live-settings/category.html
3. 规则：BR-A2D868CE79F733
4. 场景：SC-41211A93FF6C5E
5. 未动态验证</x:v>
      </x:c>
    </x:row>
    <x:row r="911" ht="54" customHeight="1">
      <x:c r="A911" s="4" t="n">
        <x:v>910</x:v>
      </x:c>
      <x:c r="B911" s="4" t="str">
        <x:v>UHOST-0121</x:v>
      </x:c>
      <x:c r="C911" s="4" t="str">
        <x:v>主播中心</x:v>
      </x:c>
      <x:c r="D911" s="4" t="str">
        <x:v>选择可见粉丝（主播视角）</x:v>
      </x:c>
      <x:c r="E911" s="4" t="str">
        <x:v>业务流程</x:v>
      </x:c>
      <x:c r="F911" s="4" t="str">
        <x:v>P2</x:v>
      </x:c>
      <x:c r="G911" s="4" t="str">
        <x:v>验证点击返回后的选择可见粉丝状态</x:v>
      </x:c>
      <x:c r="H911" s="4" t="str">
        <x:v>选择可见粉丝状态</x:v>
      </x:c>
      <x:c r="I911" s="4" t="str">
        <x:v>1. 主播账号已登录且具备当前页面权限</x:v>
      </x:c>
      <x:c r="J911" s="4" t="str">
        <x:v>1. 进入选择可见粉丝
2. 点击返回</x:v>
      </x:c>
      <x:c r="K911" s="4" t="str">
        <x:v>不保存本次未确认的修改</x:v>
      </x:c>
      <x:c r="L911" s="4" t="str"/>
      <x:c r="M911" s="4" t="str">
        <x:v>未测</x:v>
      </x:c>
      <x:c r="N911" s="4" t="str"/>
      <x:c r="O911" s="4" t="str">
        <x:v>1. 来源（原型批注）：liveshow-proto/prototype/annotations/user.js；visible-fan-select.html
2. 页面：visible-fan-select.html
3. 规则：BR-C74CC1E3F212CE
4. 场景：SC-C1A8935A476C38
5. 未动态验证</x:v>
      </x:c>
    </x:row>
    <x:row r="912" ht="54" customHeight="1">
      <x:c r="A912" s="4" t="n">
        <x:v>911</x:v>
      </x:c>
      <x:c r="B912" s="4" t="str">
        <x:v>UHOST-0122</x:v>
      </x:c>
      <x:c r="C912" s="4" t="str">
        <x:v>主播中心</x:v>
      </x:c>
      <x:c r="D912" s="4" t="str">
        <x:v>选择可见粉丝（主播视角）</x:v>
      </x:c>
      <x:c r="E912" s="4" t="str">
        <x:v>业务流程</x:v>
      </x:c>
      <x:c r="F912" s="4" t="str">
        <x:v>P2</x:v>
      </x:c>
      <x:c r="G912" s="4" t="str">
        <x:v>验证点击全选后的选择可见粉丝状态</x:v>
      </x:c>
      <x:c r="H912" s="4" t="str">
        <x:v>选择可见粉丝状态</x:v>
      </x:c>
      <x:c r="I912" s="4" t="str">
        <x:v>1. 主播账号已登录且具备当前页面权限</x:v>
      </x:c>
      <x:c r="J912" s="4" t="str">
        <x:v>1. 进入选择可见粉丝
2. 点击全选</x:v>
      </x:c>
      <x:c r="K912" s="4" t="str">
        <x:v>选中全部当前有效粉丝</x:v>
      </x:c>
      <x:c r="L912" s="4" t="str"/>
      <x:c r="M912" s="4" t="str">
        <x:v>未测</x:v>
      </x:c>
      <x:c r="N912" s="4" t="str"/>
      <x:c r="O912" s="4" t="str">
        <x:v>1. 来源（原型批注）：liveshow-proto/prototype/annotations/user.js；visible-fan-select.html
2. 页面：visible-fan-select.html
3. 规则：BR-19CF1ED6E462FB
4. 场景：SC-669DFED97AD37E
5. 未动态验证</x:v>
      </x:c>
    </x:row>
    <x:row r="913" ht="54" customHeight="1">
      <x:c r="A913" s="4" t="n">
        <x:v>912</x:v>
      </x:c>
      <x:c r="B913" s="4" t="str">
        <x:v>UHOST-0123</x:v>
      </x:c>
      <x:c r="C913" s="4" t="str">
        <x:v>主播中心</x:v>
      </x:c>
      <x:c r="D913" s="4" t="str">
        <x:v>选择可见粉丝（主播视角）</x:v>
      </x:c>
      <x:c r="E913" s="4" t="str">
        <x:v>业务流程</x:v>
      </x:c>
      <x:c r="F913" s="4" t="str">
        <x:v>P2</x:v>
      </x:c>
      <x:c r="G913" s="4" t="str">
        <x:v>验证点击确认后的选择可见粉丝状态</x:v>
      </x:c>
      <x:c r="H913" s="4" t="str">
        <x:v>选择可见粉丝状态</x:v>
      </x:c>
      <x:c r="I913" s="4" t="str">
        <x:v>1. 主播账号已登录且具备当前页面权限</x:v>
      </x:c>
      <x:c r="J913" s="4" t="str">
        <x:v>1. 进入选择可见粉丝
2. 点击确认</x:v>
      </x:c>
      <x:c r="K913" s="4" t="str">
        <x:v>保存选择</x:v>
      </x:c>
      <x:c r="L913" s="4" t="str"/>
      <x:c r="M913" s="4" t="str">
        <x:v>未测</x:v>
      </x:c>
      <x:c r="N913" s="4" t="str"/>
      <x:c r="O913" s="4" t="str">
        <x:v>1. 来源（原型批注）：liveshow-proto/prototype/annotations/user.js；visible-fan-select.html
2. 页面：visible-fan-select.html
3. 规则：BR-C47BC9F1624F10
4. 场景：SC-45224C2B1CE00E
5. 未动态验证</x:v>
      </x:c>
    </x:row>
    <x:row r="914" ht="54" customHeight="1">
      <x:c r="A914" s="4" t="n">
        <x:v>913</x:v>
      </x:c>
      <x:c r="B914" s="4" t="str">
        <x:v>UHOST-0124</x:v>
      </x:c>
      <x:c r="C914" s="4" t="str">
        <x:v>主播中心</x:v>
      </x:c>
      <x:c r="D914" s="4" t="str">
        <x:v>选择可见粉丝（主播视角）</x:v>
      </x:c>
      <x:c r="E914" s="4" t="str">
        <x:v>业务流程</x:v>
      </x:c>
      <x:c r="F914" s="4" t="str">
        <x:v>P2</x:v>
      </x:c>
      <x:c r="G914" s="4" t="str">
        <x:v>验证取消勾选后的选择可见粉丝状态</x:v>
      </x:c>
      <x:c r="H914" s="4" t="str">
        <x:v>选择可见粉丝状态</x:v>
      </x:c>
      <x:c r="I914" s="4" t="str">
        <x:v>1. 主播账号已登录且具备当前页面权限</x:v>
      </x:c>
      <x:c r="J914" s="4" t="str">
        <x:v>1. 进入选择可见粉丝
2. 取消勾选</x:v>
      </x:c>
      <x:c r="K914" s="4" t="str">
        <x:v>从可见名单中删除</x:v>
      </x:c>
      <x:c r="L914" s="4" t="str"/>
      <x:c r="M914" s="4" t="str">
        <x:v>未测</x:v>
      </x:c>
      <x:c r="N914" s="4" t="str"/>
      <x:c r="O914" s="4" t="str">
        <x:v>1. 来源（原型批注）：liveshow-proto/prototype/annotations/user.js；visible-fan-select.html
2. 页面：visible-fan-select.html
3. 规则：BR-F45E439E3E2891
4. 场景：SC-682E2C9C8465B2
5. 未动态验证</x:v>
      </x:c>
    </x:row>
    <x:row r="915" ht="54" customHeight="1">
      <x:c r="A915" s="4" t="n">
        <x:v>914</x:v>
      </x:c>
      <x:c r="B915" s="4" t="str">
        <x:v>UHOST-0125</x:v>
      </x:c>
      <x:c r="C915" s="4" t="str">
        <x:v>主播中心</x:v>
      </x:c>
      <x:c r="D915" s="4" t="str">
        <x:v>选择可见粉丝（主播视角）</x:v>
      </x:c>
      <x:c r="E915" s="4" t="str">
        <x:v>业务流程</x:v>
      </x:c>
      <x:c r="F915" s="4" t="str">
        <x:v>P2</x:v>
      </x:c>
      <x:c r="G915" s="4" t="str">
        <x:v>验证确认后的选择可见粉丝状态</x:v>
      </x:c>
      <x:c r="H915" s="4" t="str">
        <x:v>选择可见粉丝状态</x:v>
      </x:c>
      <x:c r="I915" s="4" t="str">
        <x:v>1. 主播账号已登录且具备当前页面权限</x:v>
      </x:c>
      <x:c r="J915" s="4" t="str">
        <x:v>1. 进入选择可见粉丝
2. 确认</x:v>
      </x:c>
      <x:c r="K915" s="4" t="str">
        <x:v>覆盖保存名单</x:v>
      </x:c>
      <x:c r="L915" s="4" t="str"/>
      <x:c r="M915" s="4" t="str">
        <x:v>未测</x:v>
      </x:c>
      <x:c r="N915" s="4" t="str"/>
      <x:c r="O915" s="4" t="str">
        <x:v>1. 来源（原型批注）：liveshow-proto/prototype/annotations/user.js；visible-fan-select.html
2. 页面：visible-fan-select.html
3. 规则：BR-DC238066FDDA86
4. 场景：SC-DBB9DB54567239
5. 未动态验证</x:v>
      </x:c>
    </x:row>
    <x:row r="916" ht="54" customHeight="1">
      <x:c r="A916" s="4" t="n">
        <x:v>915</x:v>
      </x:c>
      <x:c r="B916" s="4" t="str">
        <x:v>UHOST-0126</x:v>
      </x:c>
      <x:c r="C916" s="4" t="str">
        <x:v>主播中心</x:v>
      </x:c>
      <x:c r="D916" s="4" t="str">
        <x:v>选择可见粉丝（主播视角）</x:v>
      </x:c>
      <x:c r="E916" s="4" t="str">
        <x:v>功能需求</x:v>
      </x:c>
      <x:c r="F916" s="4" t="str">
        <x:v>P2</x:v>
      </x:c>
      <x:c r="G916" s="4" t="str">
        <x:v>验证无结果时的选择可见粉丝结果</x:v>
      </x:c>
      <x:c r="H916" s="4" t="str">
        <x:v>选择可见粉丝条件结果</x:v>
      </x:c>
      <x:c r="I916" s="4" t="str">
        <x:v>1. 主播账号已登录且具备当前页面权限
2. 无结果</x:v>
      </x:c>
      <x:c r="J916" s="4" t="str">
        <x:v>1. 进入选择可见粉丝
2. 查看选择可见粉丝</x:v>
      </x:c>
      <x:c r="K916" s="4" t="str">
        <x:v>显示空状态</x:v>
      </x:c>
      <x:c r="L916" s="4" t="str"/>
      <x:c r="M916" s="4" t="str">
        <x:v>未测</x:v>
      </x:c>
      <x:c r="N916" s="4" t="str"/>
      <x:c r="O916" s="4" t="str">
        <x:v>1. 来源（原型批注）：liveshow-proto/prototype/annotations/user.js；visible-fan-select.html
2. 页面：visible-fan-select.html
3. 规则：BR-E69E6557208554
4. 场景：SC-4F28D20CE3C0EB
5. 未动态验证</x:v>
      </x:c>
    </x:row>
    <x:row r="917" ht="54" customHeight="1">
      <x:c r="A917" s="4" t="n">
        <x:v>916</x:v>
      </x:c>
      <x:c r="B917" s="4" t="str">
        <x:v>UHOST-0127</x:v>
      </x:c>
      <x:c r="C917" s="4" t="str">
        <x:v>主播中心</x:v>
      </x:c>
      <x:c r="D917" s="4" t="str">
        <x:v>选择可见粉丝（主播视角）</x:v>
      </x:c>
      <x:c r="E917" s="4" t="str">
        <x:v>功能需求</x:v>
      </x:c>
      <x:c r="F917" s="4" t="str">
        <x:v>P2</x:v>
      </x:c>
      <x:c r="G917" s="4" t="str">
        <x:v>验证选择可见粉丝可查看可选粉丝</x:v>
      </x:c>
      <x:c r="H917" s="4" t="str">
        <x:v>可选粉丝展示</x:v>
      </x:c>
      <x:c r="I917" s="4" t="str">
        <x:v>1. 主播账号已登录且具备当前页面权限</x:v>
      </x:c>
      <x:c r="J917" s="4" t="str">
        <x:v>1. 进入选择可见粉丝
2. 查看可选粉丝</x:v>
      </x:c>
      <x:c r="K917" s="4" t="str">
        <x:v>选择可见粉丝显示“可选粉丝”</x:v>
      </x:c>
      <x:c r="L917" s="4" t="str"/>
      <x:c r="M917" s="4" t="str">
        <x:v>未测</x:v>
      </x:c>
      <x:c r="N917" s="4" t="str"/>
      <x:c r="O917" s="4" t="str">
        <x:v>1. 来源（原型批注）：liveshow-proto/prototype/annotations/user.js；visible-fan-select.html
2. 页面：visible-fan-select.html
3. 规则：BR-B192548E895A2B
4. 场景：SC-F4DFB07C0399EB
5. 未动态验证</x:v>
      </x:c>
    </x:row>
    <x:row r="918" ht="54" customHeight="1">
      <x:c r="A918" s="4" t="n">
        <x:v>917</x:v>
      </x:c>
      <x:c r="B918" s="4" t="str">
        <x:v>UHOST-0128</x:v>
      </x:c>
      <x:c r="C918" s="4" t="str">
        <x:v>主播中心</x:v>
      </x:c>
      <x:c r="D918" s="4" t="str">
        <x:v>选择可见粉丝（主播视角）</x:v>
      </x:c>
      <x:c r="E918" s="4" t="str">
        <x:v>功能需求</x:v>
      </x:c>
      <x:c r="F918" s="4" t="str">
        <x:v>P2</x:v>
      </x:c>
      <x:c r="G918" s="4" t="str">
        <x:v>验证选择可见粉丝可查看搜索</x:v>
      </x:c>
      <x:c r="H918" s="4" t="str">
        <x:v>搜索展示</x:v>
      </x:c>
      <x:c r="I918" s="4" t="str">
        <x:v>1. 主播账号已登录且具备当前页面权限</x:v>
      </x:c>
      <x:c r="J918" s="4" t="str">
        <x:v>1. 进入选择可见粉丝
2. 查看搜索</x:v>
      </x:c>
      <x:c r="K918" s="4" t="str">
        <x:v>选择可见粉丝显示“搜索”</x:v>
      </x:c>
      <x:c r="L918" s="4" t="str"/>
      <x:c r="M918" s="4" t="str">
        <x:v>未测</x:v>
      </x:c>
      <x:c r="N918" s="4" t="str"/>
      <x:c r="O918" s="4" t="str">
        <x:v>1. 来源（原型批注）：liveshow-proto/prototype/annotations/user.js；visible-fan-select.html
2. 页面：visible-fan-select.html
3. 规则：BR-2455F02FD8F613、BR-E69E6557208554
4. 场景：SC-7231CA1ECE85BD
5. 未动态验证</x:v>
      </x:c>
    </x:row>
    <x:row r="919" ht="54" customHeight="1">
      <x:c r="A919" s="4" t="n">
        <x:v>918</x:v>
      </x:c>
      <x:c r="B919" s="4" t="str">
        <x:v>UHOST-0129</x:v>
      </x:c>
      <x:c r="C919" s="4" t="str">
        <x:v>主播中心</x:v>
      </x:c>
      <x:c r="D919" s="4" t="str">
        <x:v>选择可见粉丝（主播视角）</x:v>
      </x:c>
      <x:c r="E919" s="4" t="str">
        <x:v>功能需求</x:v>
      </x:c>
      <x:c r="F919" s="4" t="str">
        <x:v>P2</x:v>
      </x:c>
      <x:c r="G919" s="4" t="str">
        <x:v>验证选择可见粉丝可查看已选数量</x:v>
      </x:c>
      <x:c r="H919" s="4" t="str">
        <x:v>已选数量展示</x:v>
      </x:c>
      <x:c r="I919" s="4" t="str">
        <x:v>1. 主播账号已登录且具备当前页面权限</x:v>
      </x:c>
      <x:c r="J919" s="4" t="str">
        <x:v>1. 进入选择可见粉丝
2. 查看已选数量</x:v>
      </x:c>
      <x:c r="K919" s="4" t="str">
        <x:v>选择可见粉丝显示“已选数量”</x:v>
      </x:c>
      <x:c r="L919" s="4" t="str"/>
      <x:c r="M919" s="4" t="str">
        <x:v>未测</x:v>
      </x:c>
      <x:c r="N919" s="4" t="str"/>
      <x:c r="O919" s="4" t="str">
        <x:v>1. 来源（原型批注）：liveshow-proto/prototype/annotations/user.js；visible-fan-select.html
2. 页面：visible-fan-select.html
3. 规则：BR-913EA07ACC1214
4. 场景：SC-8EE1C0F3EBA7AC
5. 未动态验证</x:v>
      </x:c>
    </x:row>
    <x:row r="920" ht="54" customHeight="1">
      <x:c r="A920" s="4" t="n">
        <x:v>919</x:v>
      </x:c>
      <x:c r="B920" s="4" t="str">
        <x:v>UHOST-0130</x:v>
      </x:c>
      <x:c r="C920" s="4" t="str">
        <x:v>主播中心</x:v>
      </x:c>
      <x:c r="D920" s="4" t="str">
        <x:v>月数据（主播视角）</x:v>
      </x:c>
      <x:c r="E920" s="4" t="str">
        <x:v>业务流程</x:v>
      </x:c>
      <x:c r="F920" s="4" t="str">
        <x:v>P2</x:v>
      </x:c>
      <x:c r="G920" s="4" t="str">
        <x:v>验证场次结束后的月数据状态</x:v>
      </x:c>
      <x:c r="H920" s="4" t="str">
        <x:v>月数据状态</x:v>
      </x:c>
      <x:c r="I920" s="4" t="str">
        <x:v>1. 主播账号已登录且具备当前页面权限
2. 场次结束</x:v>
      </x:c>
      <x:c r="J920" s="4" t="str">
        <x:v>1. 打开月数据
2. 刷新月数据</x:v>
      </x:c>
      <x:c r="K920" s="4" t="str">
        <x:v>数据保留</x:v>
      </x:c>
      <x:c r="L920" s="4" t="str"/>
      <x:c r="M920" s="4" t="str">
        <x:v>未测</x:v>
      </x:c>
      <x:c r="N920" s="4" t="str"/>
      <x:c r="O920" s="4" t="str">
        <x:v>1. 来源（原型批注）：liveshow-proto/prototype/annotations/user.js；views/live-data/month.html
2. 页面：views/live-data/month.html
3. 规则：BR-750A4EF19328EC
4. 场景：SC-EF95E4A8EC1DDE
5. 未动态验证</x:v>
      </x:c>
    </x:row>
    <x:row r="921" ht="54" customHeight="1">
      <x:c r="A921" s="4" t="n">
        <x:v>920</x:v>
      </x:c>
      <x:c r="B921" s="4" t="str">
        <x:v>UHOST-0131</x:v>
      </x:c>
      <x:c r="C921" s="4" t="str">
        <x:v>主播中心</x:v>
      </x:c>
      <x:c r="D921" s="4" t="str">
        <x:v>月数据（主播视角）</x:v>
      </x:c>
      <x:c r="E921" s="4" t="str">
        <x:v>功能需求</x:v>
      </x:c>
      <x:c r="F921" s="4" t="str">
        <x:v>P2</x:v>
      </x:c>
      <x:c r="G921" s="4" t="str">
        <x:v>验证收益的默认状态</x:v>
      </x:c>
      <x:c r="H921" s="4" t="str">
        <x:v>收益默认值</x:v>
      </x:c>
      <x:c r="I921" s="4" t="str">
        <x:v>1. 主播账号已登录且具备当前页面权限</x:v>
      </x:c>
      <x:c r="J921" s="4" t="str">
        <x:v>1. 打开月数据
2. 查看收益</x:v>
      </x:c>
      <x:c r="K921" s="4" t="str">
        <x:v>幸运礼物按送出价值 × 后台比例，默认 1%</x:v>
      </x:c>
      <x:c r="L921" s="4" t="str"/>
      <x:c r="M921" s="4" t="str">
        <x:v>未测</x:v>
      </x:c>
      <x:c r="N921" s="4" t="str"/>
      <x:c r="O921" s="4" t="str">
        <x:v>1. 来源（原型批注）：liveshow-proto/prototype/annotations/user.js；views/live-data/month.html
2. 页面：views/live-data/month.html
3. 规则：BR-8395127D9AA285
4. 场景：SC-3A4D1A76FAA379
5. 未动态验证</x:v>
      </x:c>
    </x:row>
    <x:row r="922" ht="54" customHeight="1">
      <x:c r="A922" s="4" t="n">
        <x:v>921</x:v>
      </x:c>
      <x:c r="B922" s="4" t="str">
        <x:v>UHOST-0132</x:v>
      </x:c>
      <x:c r="C922" s="4" t="str">
        <x:v>主播中心</x:v>
      </x:c>
      <x:c r="D922" s="4" t="str">
        <x:v>月数据（主播视角）</x:v>
      </x:c>
      <x:c r="E922" s="4" t="str">
        <x:v>功能需求</x:v>
      </x:c>
      <x:c r="F922" s="4" t="str">
        <x:v>P2</x:v>
      </x:c>
      <x:c r="G922" s="4" t="str">
        <x:v>验证无数据月份全部指标时的月数据结果</x:v>
      </x:c>
      <x:c r="H922" s="4" t="str">
        <x:v>月数据条件结果</x:v>
      </x:c>
      <x:c r="I922" s="4" t="str">
        <x:v>1. 主播账号已登录且具备当前页面权限
2. 无数据月份全部指标</x:v>
      </x:c>
      <x:c r="J922" s="4" t="str">
        <x:v>1. 打开月数据
2. 查看月数据</x:v>
      </x:c>
      <x:c r="K922" s="4" t="str">
        <x:v>无数据月份全部指标显示 0</x:v>
      </x:c>
      <x:c r="L922" s="4" t="str"/>
      <x:c r="M922" s="4" t="str">
        <x:v>未测</x:v>
      </x:c>
      <x:c r="N922" s="4" t="str"/>
      <x:c r="O922" s="4" t="str">
        <x:v>1. 来源（原型批注）：liveshow-proto/prototype/annotations/user.js；views/live-data/month.html
2. 页面：views/live-data/month.html
3. 规则：BR-40000203272EB8
4. 场景：SC-F874C4C4D29F30
5. 未动态验证</x:v>
      </x:c>
    </x:row>
    <x:row r="923" ht="54" customHeight="1">
      <x:c r="A923" s="4" t="n">
        <x:v>922</x:v>
      </x:c>
      <x:c r="B923" s="4" t="str">
        <x:v>UHOST-0133</x:v>
      </x:c>
      <x:c r="C923" s="4" t="str">
        <x:v>主播中心</x:v>
      </x:c>
      <x:c r="D923" s="4" t="str">
        <x:v>月数据（主播视角）</x:v>
      </x:c>
      <x:c r="E923" s="4" t="str">
        <x:v>功能需求</x:v>
      </x:c>
      <x:c r="F923" s="4" t="str">
        <x:v>P2</x:v>
      </x:c>
      <x:c r="G923" s="4" t="str">
        <x:v>验证无数据月份时的月数据结果</x:v>
      </x:c>
      <x:c r="H923" s="4" t="str">
        <x:v>月数据条件结果</x:v>
      </x:c>
      <x:c r="I923" s="4" t="str">
        <x:v>1. 主播账号已登录且具备当前页面权限
2. 无数据月份</x:v>
      </x:c>
      <x:c r="J923" s="4" t="str">
        <x:v>1. 打开月数据
2. 查看月数据</x:v>
      </x:c>
      <x:c r="K923" s="4" t="str">
        <x:v>无数据月份展示 0，不沿用上一月份数据</x:v>
      </x:c>
      <x:c r="L923" s="4" t="str"/>
      <x:c r="M923" s="4" t="str">
        <x:v>未测</x:v>
      </x:c>
      <x:c r="N923" s="4" t="str"/>
      <x:c r="O923" s="4" t="str">
        <x:v>1. 来源（原型批注）：liveshow-proto/prototype/annotations/user.js；views/live-data/month.html
2. 页面：views/live-data/month.html
3. 规则：BR-D96F22AB30035A
4. 场景：SC-51768536472EF0
5. 未动态验证</x:v>
      </x:c>
    </x:row>
    <x:row r="924" ht="54" customHeight="1">
      <x:c r="A924" s="4" t="n">
        <x:v>923</x:v>
      </x:c>
      <x:c r="B924" s="4" t="str">
        <x:v>UHOST-0134</x:v>
      </x:c>
      <x:c r="C924" s="4" t="str">
        <x:v>主播中心</x:v>
      </x:c>
      <x:c r="D924" s="4" t="str">
        <x:v>月数据（主播视角）</x:v>
      </x:c>
      <x:c r="E924" s="4" t="str">
        <x:v>功能需求</x:v>
      </x:c>
      <x:c r="F924" s="4" t="str">
        <x:v>P2</x:v>
      </x:c>
      <x:c r="G924" s="4" t="str">
        <x:v>验证月份的默认状态</x:v>
      </x:c>
      <x:c r="H924" s="4" t="str">
        <x:v>月份默认值</x:v>
      </x:c>
      <x:c r="I924" s="4" t="str">
        <x:v>1. 主播账号已登录且具备当前页面权限</x:v>
      </x:c>
      <x:c r="J924" s="4" t="str">
        <x:v>1. 打开月数据
2. 查看月份</x:v>
      </x:c>
      <x:c r="K924" s="4" t="str">
        <x:v>默认当前自然月，可切换有数据的历史月份</x:v>
      </x:c>
      <x:c r="L924" s="4" t="str"/>
      <x:c r="M924" s="4" t="str">
        <x:v>未测</x:v>
      </x:c>
      <x:c r="N924" s="4" t="str"/>
      <x:c r="O924" s="4" t="str">
        <x:v>1. 来源（原型批注）：liveshow-proto/prototype/annotations/user.js；views/live-data/month.html
2. 页面：views/live-data/month.html
3. 规则：BR-C4E7EC134875A7
4. 场景：SC-717CBB2424926A
5. 未动态验证</x:v>
      </x:c>
    </x:row>
    <x:row r="925" ht="54" customHeight="1">
      <x:c r="A925" s="4" t="n">
        <x:v>924</x:v>
      </x:c>
      <x:c r="B925" s="4" t="str">
        <x:v>UHOST-0135</x:v>
      </x:c>
      <x:c r="C925" s="4" t="str">
        <x:v>主播中心</x:v>
      </x:c>
      <x:c r="D925" s="4" t="str">
        <x:v>月数据（主播视角）</x:v>
      </x:c>
      <x:c r="E925" s="4" t="str">
        <x:v>逻辑校验</x:v>
      </x:c>
      <x:c r="F925" s="4" t="str">
        <x:v>P2</x:v>
      </x:c>
      <x:c r="G925" s="4" t="str">
        <x:v>验证月数据按指定范围筛选</x:v>
      </x:c>
      <x:c r="H925" s="4" t="str">
        <x:v>月数据数据范围</x:v>
      </x:c>
      <x:c r="I925" s="4" t="str">
        <x:v>1. 主播账号已登录且具备当前页面权限
2. 存在符合和不符合“已形成有效记录的直播场次”的记录</x:v>
      </x:c>
      <x:c r="J925" s="4" t="str">
        <x:v>1. 打开月数据
2. 查看月数据</x:v>
      </x:c>
      <x:c r="K925" s="4" t="str">
        <x:v>仅统计已形成有效记录的直播场次</x:v>
      </x:c>
      <x:c r="L925" s="4" t="str"/>
      <x:c r="M925" s="4" t="str">
        <x:v>未测</x:v>
      </x:c>
      <x:c r="N925" s="4" t="str"/>
      <x:c r="O925" s="4" t="str">
        <x:v>1. 来源（原型批注）：liveshow-proto/prototype/annotations/user.js；views/live-data/month.html
2. 页面：views/live-data/month.html
3. 规则：BR-A8478C3836FDF4
4. 场景：SC-2170EE7D6D50E9
5. 未动态验证</x:v>
      </x:c>
    </x:row>
    <x:row r="926" ht="54" customHeight="1">
      <x:c r="A926" s="4" t="n">
        <x:v>925</x:v>
      </x:c>
      <x:c r="B926" s="4" t="str">
        <x:v>UHOST-0136</x:v>
      </x:c>
      <x:c r="C926" s="4" t="str">
        <x:v>主播中心</x:v>
      </x:c>
      <x:c r="D926" s="4" t="str">
        <x:v>月数据（主播视角）</x:v>
      </x:c>
      <x:c r="E926" s="4" t="str">
        <x:v>逻辑校验</x:v>
      </x:c>
      <x:c r="F926" s="4" t="str">
        <x:v>P2</x:v>
      </x:c>
      <x:c r="G926" s="4" t="str">
        <x:v>验证月数据按指定范围筛选</x:v>
      </x:c>
      <x:c r="H926" s="4" t="str">
        <x:v>月数据数据范围</x:v>
      </x:c>
      <x:c r="I926" s="4" t="str">
        <x:v>1. 主播账号已登录且具备当前页面权限
2. 存在符合和不符合“当前主播所选自然月的有效直播记录”的记录</x:v>
      </x:c>
      <x:c r="J926" s="4" t="str">
        <x:v>1. 打开月数据
2. 查看月数据</x:v>
      </x:c>
      <x:c r="K926" s="4" t="str">
        <x:v>数据范围：当前主播所选自然月的有效直播记录</x:v>
      </x:c>
      <x:c r="L926" s="4" t="str"/>
      <x:c r="M926" s="4" t="str">
        <x:v>未测</x:v>
      </x:c>
      <x:c r="N926" s="4" t="str"/>
      <x:c r="O926" s="4" t="str">
        <x:v>1. 来源（原型批注）：liveshow-proto/prototype/annotations/user.js；views/live-data/month.html
2. 页面：views/live-data/month.html
3. 规则：BR-DA5CB7203F88A3
4. 场景：SC-B471F3796D23B3
5. 未动态验证</x:v>
      </x:c>
    </x:row>
    <x:row r="927" ht="54" customHeight="1">
      <x:c r="A927" s="4" t="n">
        <x:v>926</x:v>
      </x:c>
      <x:c r="B927" s="4" t="str">
        <x:v>UHOST-0137</x:v>
      </x:c>
      <x:c r="C927" s="4" t="str">
        <x:v>主播中心</x:v>
      </x:c>
      <x:c r="D927" s="4" t="str">
        <x:v>月数据（主播视角）</x:v>
      </x:c>
      <x:c r="E927" s="4" t="str">
        <x:v>功能需求</x:v>
      </x:c>
      <x:c r="F927" s="4" t="str">
        <x:v>P2</x:v>
      </x:c>
      <x:c r="G927" s="4" t="str">
        <x:v>验证月数据可查看观众人次</x:v>
      </x:c>
      <x:c r="H927" s="4" t="str">
        <x:v>观众人次展示</x:v>
      </x:c>
      <x:c r="I927" s="4" t="str">
        <x:v>1. 主播账号已登录且具备当前页面权限</x:v>
      </x:c>
      <x:c r="J927" s="4" t="str">
        <x:v>1. 打开月数据
2. 查看观众人次</x:v>
      </x:c>
      <x:c r="K927" s="4" t="str">
        <x:v>月数据显示“观众人次”</x:v>
      </x:c>
      <x:c r="L927" s="4" t="str"/>
      <x:c r="M927" s="4" t="str">
        <x:v>未测</x:v>
      </x:c>
      <x:c r="N927" s="4" t="str"/>
      <x:c r="O927" s="4" t="str">
        <x:v>1. 来源（原型批注）：liveshow-proto/prototype/annotations/user.js；views/live-data/month.html
2. 页面：views/live-data/month.html
3. 规则：BR-70A0E57764B928
4. 场景：SC-BD583585C6AC59
5. 未动态验证</x:v>
      </x:c>
    </x:row>
    <x:row r="928" ht="54" customHeight="1">
      <x:c r="A928" s="4" t="n">
        <x:v>927</x:v>
      </x:c>
      <x:c r="B928" s="4" t="str">
        <x:v>UHOST-0138</x:v>
      </x:c>
      <x:c r="C928" s="4" t="str">
        <x:v>主播中心</x:v>
      </x:c>
      <x:c r="D928" s="4" t="str">
        <x:v>月数据（主播视角）</x:v>
      </x:c>
      <x:c r="E928" s="4" t="str">
        <x:v>功能需求</x:v>
      </x:c>
      <x:c r="F928" s="4" t="str">
        <x:v>P2</x:v>
      </x:c>
      <x:c r="G928" s="4" t="str">
        <x:v>验证月数据可查看开播时长</x:v>
      </x:c>
      <x:c r="H928" s="4" t="str">
        <x:v>开播时长展示</x:v>
      </x:c>
      <x:c r="I928" s="4" t="str">
        <x:v>1. 主播账号已登录且具备当前页面权限</x:v>
      </x:c>
      <x:c r="J928" s="4" t="str">
        <x:v>1. 打开月数据
2. 查看开播时长</x:v>
      </x:c>
      <x:c r="K928" s="4" t="str">
        <x:v>月数据显示“开播时长”</x:v>
      </x:c>
      <x:c r="L928" s="4" t="str"/>
      <x:c r="M928" s="4" t="str">
        <x:v>未测</x:v>
      </x:c>
      <x:c r="N928" s="4" t="str"/>
      <x:c r="O928" s="4" t="str">
        <x:v>1. 来源（原型批注）：liveshow-proto/prototype/annotations/user.js；views/live-data/month.html
2. 页面：views/live-data/month.html
3. 规则：BR-6170190145F18E、BR-6F804CA2E043D3
4. 场景：SC-FE923D33FA2CC6
5. 未动态验证</x:v>
      </x:c>
    </x:row>
    <x:row r="929" ht="54" customHeight="1">
      <x:c r="A929" s="4" t="n">
        <x:v>928</x:v>
      </x:c>
      <x:c r="B929" s="4" t="str">
        <x:v>UHOST-0139</x:v>
      </x:c>
      <x:c r="C929" s="4" t="str">
        <x:v>主播中心</x:v>
      </x:c>
      <x:c r="D929" s="4" t="str">
        <x:v>月数据（主播视角）</x:v>
      </x:c>
      <x:c r="E929" s="4" t="str">
        <x:v>功能需求</x:v>
      </x:c>
      <x:c r="F929" s="4" t="str">
        <x:v>P2</x:v>
      </x:c>
      <x:c r="G929" s="4" t="str">
        <x:v>验证月数据可查看收益</x:v>
      </x:c>
      <x:c r="H929" s="4" t="str">
        <x:v>收益展示</x:v>
      </x:c>
      <x:c r="I929" s="4" t="str">
        <x:v>1. 主播账号已登录且具备当前页面权限</x:v>
      </x:c>
      <x:c r="J929" s="4" t="str">
        <x:v>1. 打开月数据
2. 查看收益</x:v>
      </x:c>
      <x:c r="K929" s="4" t="str">
        <x:v>月数据显示“收益”</x:v>
      </x:c>
      <x:c r="L929" s="4" t="str"/>
      <x:c r="M929" s="4" t="str">
        <x:v>未测</x:v>
      </x:c>
      <x:c r="N929" s="4" t="str"/>
      <x:c r="O929" s="4" t="str">
        <x:v>1. 来源（原型批注）：liveshow-proto/prototype/annotations/user.js；views/live-data/month.html
2. 页面：views/live-data/month.html
3. 规则：BR-193725F52B0AC6、BR-8395127D9AA285、BR-7FE229F2DB4455
4. 场景：SC-71592F99ADB473
5. 未动态验证</x:v>
      </x:c>
    </x:row>
    <x:row r="930" ht="54" customHeight="1">
      <x:c r="A930" s="4" t="n">
        <x:v>929</x:v>
      </x:c>
      <x:c r="B930" s="4" t="str">
        <x:v>UHOST-0140</x:v>
      </x:c>
      <x:c r="C930" s="4" t="str">
        <x:v>主播中心</x:v>
      </x:c>
      <x:c r="D930" s="4" t="str">
        <x:v>月数据（主播视角）</x:v>
      </x:c>
      <x:c r="E930" s="4" t="str">
        <x:v>功能需求</x:v>
      </x:c>
      <x:c r="F930" s="4" t="str">
        <x:v>P2</x:v>
      </x:c>
      <x:c r="G930" s="4" t="str">
        <x:v>验证月数据可查看新增粉丝/送礼人数</x:v>
      </x:c>
      <x:c r="H930" s="4" t="str">
        <x:v>新增粉丝/送礼人数展示</x:v>
      </x:c>
      <x:c r="I930" s="4" t="str">
        <x:v>1. 主播账号已登录且具备当前页面权限</x:v>
      </x:c>
      <x:c r="J930" s="4" t="str">
        <x:v>1. 打开月数据
2. 查看新增粉丝/送礼人数</x:v>
      </x:c>
      <x:c r="K930" s="4" t="str">
        <x:v>月数据显示“新增粉丝/送礼人数”</x:v>
      </x:c>
      <x:c r="L930" s="4" t="str"/>
      <x:c r="M930" s="4" t="str">
        <x:v>未测</x:v>
      </x:c>
      <x:c r="N930" s="4" t="str"/>
      <x:c r="O930" s="4" t="str">
        <x:v>1. 来源（原型批注）：liveshow-proto/prototype/annotations/user.js；views/live-data/month.html
2. 页面：views/live-data/month.html
3. 规则：BR-9BF8F7D71B8D6F
4. 场景：SC-79E1F72B5E8F70
5. 未动态验证</x:v>
      </x:c>
    </x:row>
    <x:row r="931" ht="54" customHeight="1">
      <x:c r="A931" s="4" t="n">
        <x:v>930</x:v>
      </x:c>
      <x:c r="B931" s="4" t="str">
        <x:v>UHOST-0141</x:v>
      </x:c>
      <x:c r="C931" s="4" t="str">
        <x:v>主播中心</x:v>
      </x:c>
      <x:c r="D931" s="4" t="str">
        <x:v>月数据（主播视角）</x:v>
      </x:c>
      <x:c r="E931" s="4" t="str">
        <x:v>功能需求</x:v>
      </x:c>
      <x:c r="F931" s="4" t="str">
        <x:v>P2</x:v>
      </x:c>
      <x:c r="G931" s="4" t="str">
        <x:v>验证月数据可查看有效天</x:v>
      </x:c>
      <x:c r="H931" s="4" t="str">
        <x:v>有效天展示</x:v>
      </x:c>
      <x:c r="I931" s="4" t="str">
        <x:v>1. 主播账号已登录且具备当前页面权限</x:v>
      </x:c>
      <x:c r="J931" s="4" t="str">
        <x:v>1. 打开月数据
2. 查看有效天</x:v>
      </x:c>
      <x:c r="K931" s="4" t="str">
        <x:v>月数据显示“有效天”</x:v>
      </x:c>
      <x:c r="L931" s="4" t="str"/>
      <x:c r="M931" s="4" t="str">
        <x:v>未测</x:v>
      </x:c>
      <x:c r="N931" s="4" t="str"/>
      <x:c r="O931" s="4" t="str">
        <x:v>1. 来源（原型批注）：liveshow-proto/prototype/annotations/user.js；views/live-data/month.html
2. 页面：views/live-data/month.html
3. 规则：BR-D838218035A4EB、BR-77A736C58DF143
4. 场景：SC-BB5BACB68D7515
5. 未动态验证</x:v>
      </x:c>
    </x:row>
    <x:row r="932" ht="54" customHeight="1">
      <x:c r="A932" s="4" t="n">
        <x:v>931</x:v>
      </x:c>
      <x:c r="B932" s="4" t="str">
        <x:v>UHOST-0142</x:v>
      </x:c>
      <x:c r="C932" s="4" t="str">
        <x:v>主播中心</x:v>
      </x:c>
      <x:c r="D932" s="4" t="str">
        <x:v>月数据（主播视角）</x:v>
      </x:c>
      <x:c r="E932" s="4" t="str">
        <x:v>功能需求</x:v>
      </x:c>
      <x:c r="F932" s="4" t="str">
        <x:v>P2</x:v>
      </x:c>
      <x:c r="G932" s="4" t="str">
        <x:v>验证月数据可查看月份</x:v>
      </x:c>
      <x:c r="H932" s="4" t="str">
        <x:v>月份展示</x:v>
      </x:c>
      <x:c r="I932" s="4" t="str">
        <x:v>1. 主播账号已登录且具备当前页面权限</x:v>
      </x:c>
      <x:c r="J932" s="4" t="str">
        <x:v>1. 打开月数据
2. 查看月份</x:v>
      </x:c>
      <x:c r="K932" s="4" t="str">
        <x:v>月数据显示“月份”</x:v>
      </x:c>
      <x:c r="L932" s="4" t="str"/>
      <x:c r="M932" s="4" t="str">
        <x:v>未测</x:v>
      </x:c>
      <x:c r="N932" s="4" t="str"/>
      <x:c r="O932" s="4" t="str">
        <x:v>1. 来源（原型批注）：liveshow-proto/prototype/annotations/user.js；views/live-data/month.html
2. 页面：views/live-data/month.html
3. 规则：BR-C4E7EC134875A7、BR-40000203272EB8
4. 场景：SC-64B9F1D5EE5303
5. 未动态验证</x:v>
      </x:c>
    </x:row>
    <x:row r="933" ht="54" customHeight="1">
      <x:c r="A933" s="4" t="n">
        <x:v>932</x:v>
      </x:c>
      <x:c r="B933" s="4" t="str">
        <x:v>UHOST-0143</x:v>
      </x:c>
      <x:c r="C933" s="4" t="str">
        <x:v>主播中心</x:v>
      </x:c>
      <x:c r="D933" s="4" t="str">
        <x:v>直播记录（主播视角）</x:v>
      </x:c>
      <x:c r="E933" s="4" t="str">
        <x:v>功能需求</x:v>
      </x:c>
      <x:c r="F933" s="4" t="str">
        <x:v>P1</x:v>
      </x:c>
      <x:c r="G933" s="4" t="str">
        <x:v>验证观众人数时的直播记录结果</x:v>
      </x:c>
      <x:c r="H933" s="4" t="str">
        <x:v>直播记录条件结果</x:v>
      </x:c>
      <x:c r="I933" s="4" t="str">
        <x:v>1. 主播账号已登录且具备当前页面权限
2. 观众人数</x:v>
      </x:c>
      <x:c r="J933" s="4" t="str">
        <x:v>1. 进入直播记录
2. 查看直播记录</x:v>
      </x:c>
      <x:c r="K933" s="4" t="str">
        <x:v>观众人数展示当前场次的统计值</x:v>
      </x:c>
      <x:c r="L933" s="4" t="str"/>
      <x:c r="M933" s="4" t="str">
        <x:v>未测</x:v>
      </x:c>
      <x:c r="N933" s="4" t="str"/>
      <x:c r="O933" s="4" t="str">
        <x:v>1. 来源（原型批注）：liveshow-proto/prototype/annotations/user.js；live-records.html
2. 页面：live-records.html
3. 规则：BR-382AE790146D99
4. 场景：SC-03A4072C66A31E
5. 未动态验证</x:v>
      </x:c>
    </x:row>
    <x:row r="934" ht="54" customHeight="1">
      <x:c r="A934" s="4" t="n">
        <x:v>933</x:v>
      </x:c>
      <x:c r="B934" s="4" t="str">
        <x:v>UHOST-0144</x:v>
      </x:c>
      <x:c r="C934" s="4" t="str">
        <x:v>主播中心</x:v>
      </x:c>
      <x:c r="D934" s="4" t="str">
        <x:v>直播记录（主播视角）</x:v>
      </x:c>
      <x:c r="E934" s="4" t="str">
        <x:v>功能需求</x:v>
      </x:c>
      <x:c r="F934" s="4" t="str">
        <x:v>P1</x:v>
      </x:c>
      <x:c r="G934" s="4" t="str">
        <x:v>验证默认时的直播记录结果</x:v>
      </x:c>
      <x:c r="H934" s="4" t="str">
        <x:v>直播记录条件结果</x:v>
      </x:c>
      <x:c r="I934" s="4" t="str">
        <x:v>1. 主播账号已登录且具备当前页面权限
2. 默认</x:v>
      </x:c>
      <x:c r="J934" s="4" t="str">
        <x:v>1. 进入直播记录
2. 查看直播记录</x:v>
      </x:c>
      <x:c r="K934" s="4" t="str">
        <x:v>默认展示近 7 天</x:v>
      </x:c>
      <x:c r="L934" s="4" t="str"/>
      <x:c r="M934" s="4" t="str">
        <x:v>未测</x:v>
      </x:c>
      <x:c r="N934" s="4" t="str"/>
      <x:c r="O934" s="4" t="str">
        <x:v>1. 来源（原型批注）：liveshow-proto/prototype/annotations/user.js；live-records.html
2. 页面：live-records.html
3. 规则：BR-2677A6AEFE0966
4. 场景：SC-7C445122408275
5. 未动态验证</x:v>
      </x:c>
    </x:row>
    <x:row r="935" ht="54" customHeight="1">
      <x:c r="A935" s="4" t="n">
        <x:v>934</x:v>
      </x:c>
      <x:c r="B935" s="4" t="str">
        <x:v>UHOST-0145</x:v>
      </x:c>
      <x:c r="C935" s="4" t="str">
        <x:v>主播中心</x:v>
      </x:c>
      <x:c r="D935" s="4" t="str">
        <x:v>直播记录（主播视角）</x:v>
      </x:c>
      <x:c r="E935" s="4" t="str">
        <x:v>功能需求</x:v>
      </x:c>
      <x:c r="F935" s="4" t="str">
        <x:v>P1</x:v>
      </x:c>
      <x:c r="G935" s="4" t="str">
        <x:v>验证排序：按开播时间倒序时的直播记录结果</x:v>
      </x:c>
      <x:c r="H935" s="4" t="str">
        <x:v>直播记录条件结果</x:v>
      </x:c>
      <x:c r="I935" s="4" t="str">
        <x:v>1. 主播账号已登录且具备当前页面权限
2. 排序：按开播时间倒序</x:v>
      </x:c>
      <x:c r="J935" s="4" t="str">
        <x:v>1. 进入直播记录
2. 查看直播记录</x:v>
      </x:c>
      <x:c r="K935" s="4" t="str">
        <x:v>排序：按开播时间倒序展示</x:v>
      </x:c>
      <x:c r="L935" s="4" t="str"/>
      <x:c r="M935" s="4" t="str">
        <x:v>未测</x:v>
      </x:c>
      <x:c r="N935" s="4" t="str"/>
      <x:c r="O935" s="4" t="str">
        <x:v>1. 来源（原型批注）：liveshow-proto/prototype/annotations/user.js；live-records.html
2. 页面：live-records.html
3. 规则：BR-7C87817844F0AA
4. 场景：SC-88D34C2CF540DF
5. 未动态验证</x:v>
      </x:c>
    </x:row>
    <x:row r="936" ht="54" customHeight="1">
      <x:c r="A936" s="4" t="n">
        <x:v>935</x:v>
      </x:c>
      <x:c r="B936" s="4" t="str">
        <x:v>UHOST-0146</x:v>
      </x:c>
      <x:c r="C936" s="4" t="str">
        <x:v>主播中心</x:v>
      </x:c>
      <x:c r="D936" s="4" t="str">
        <x:v>直播记录（主播视角）</x:v>
      </x:c>
      <x:c r="E936" s="4" t="str">
        <x:v>逻辑校验</x:v>
      </x:c>
      <x:c r="F936" s="4" t="str">
        <x:v>P1</x:v>
      </x:c>
      <x:c r="G936" s="4" t="str">
        <x:v>验证直播记录按指定范围筛选</x:v>
      </x:c>
      <x:c r="H936" s="4" t="str">
        <x:v>直播记录数据范围</x:v>
      </x:c>
      <x:c r="I936" s="4" t="str">
        <x:v>1. 主播账号已登录且具备当前页面权限
2. 存在符合和不符合“当前主播在筛选日期范围内已实际开始的直播场次”的记录</x:v>
      </x:c>
      <x:c r="J936" s="4" t="str">
        <x:v>1. 进入直播记录
2. 查看直播记录</x:v>
      </x:c>
      <x:c r="K936" s="4" t="str">
        <x:v>数据范围：当前主播在筛选日期范围内已实际开始的直播场次</x:v>
      </x:c>
      <x:c r="L936" s="4" t="str"/>
      <x:c r="M936" s="4" t="str">
        <x:v>未测</x:v>
      </x:c>
      <x:c r="N936" s="4" t="str"/>
      <x:c r="O936" s="4" t="str">
        <x:v>1. 来源（原型批注）：liveshow-proto/prototype/annotations/user.js；live-records.html
2. 页面：live-records.html
3. 规则：BR-540FBCD94B70F0
4. 场景：SC-AEFA81E141A55A
5. 未动态验证</x:v>
      </x:c>
    </x:row>
    <x:row r="937" ht="54" customHeight="1">
      <x:c r="A937" s="4" t="n">
        <x:v>936</x:v>
      </x:c>
      <x:c r="B937" s="4" t="str">
        <x:v>UHOST-0147</x:v>
      </x:c>
      <x:c r="C937" s="4" t="str">
        <x:v>主播中心</x:v>
      </x:c>
      <x:c r="D937" s="4" t="str">
        <x:v>直播记录（主播视角）</x:v>
      </x:c>
      <x:c r="E937" s="4" t="str">
        <x:v>功能需求</x:v>
      </x:c>
      <x:c r="F937" s="4" t="str">
        <x:v>P1</x:v>
      </x:c>
      <x:c r="G937" s="4" t="str">
        <x:v>验证直播记录的默认状态</x:v>
      </x:c>
      <x:c r="H937" s="4" t="str">
        <x:v>直播记录默认值</x:v>
      </x:c>
      <x:c r="I937" s="4" t="str">
        <x:v>1. 主播账号已登录且具备当前页面权限</x:v>
      </x:c>
      <x:c r="J937" s="4" t="str">
        <x:v>1. 进入直播记录
2. 查看直播记录</x:v>
      </x:c>
      <x:c r="K937" s="4" t="str">
        <x:v>普通/定制礼物和门票按成功支付金币，幸运礼物按送出价值 × 后台比例，默认 1%，返奖不影响</x:v>
      </x:c>
      <x:c r="L937" s="4" t="str"/>
      <x:c r="M937" s="4" t="str">
        <x:v>未测</x:v>
      </x:c>
      <x:c r="N937" s="4" t="str"/>
      <x:c r="O937" s="4" t="str">
        <x:v>1. 来源（原型批注）：liveshow-proto/prototype/annotations/user.js；live-records.html
2. 页面：live-records.html
3. 规则：BR-5B8F3243AFA289
4. 场景：SC-DE3CFE1702F854
5. 未动态验证</x:v>
      </x:c>
    </x:row>
    <x:row r="938" ht="54" customHeight="1">
      <x:c r="A938" s="4" t="n">
        <x:v>937</x:v>
      </x:c>
      <x:c r="B938" s="4" t="str">
        <x:v>UHOST-0148</x:v>
      </x:c>
      <x:c r="C938" s="4" t="str">
        <x:v>主播中心</x:v>
      </x:c>
      <x:c r="D938" s="4" t="str">
        <x:v>直播记录（主播视角）</x:v>
      </x:c>
      <x:c r="E938" s="4" t="str">
        <x:v>功能需求</x:v>
      </x:c>
      <x:c r="F938" s="4" t="str">
        <x:v>P1</x:v>
      </x:c>
      <x:c r="G938" s="4" t="str">
        <x:v>验证直播记录可查看观众人数/收益</x:v>
      </x:c>
      <x:c r="H938" s="4" t="str">
        <x:v>观众人数/收益展示</x:v>
      </x:c>
      <x:c r="I938" s="4" t="str">
        <x:v>1. 主播账号已登录且具备当前页面权限</x:v>
      </x:c>
      <x:c r="J938" s="4" t="str">
        <x:v>1. 进入直播记录
2. 查看观众人数/收益</x:v>
      </x:c>
      <x:c r="K938" s="4" t="str">
        <x:v>直播记录显示“观众人数/收益”</x:v>
      </x:c>
      <x:c r="L938" s="4" t="str"/>
      <x:c r="M938" s="4" t="str">
        <x:v>未测</x:v>
      </x:c>
      <x:c r="N938" s="4" t="str"/>
      <x:c r="O938" s="4" t="str">
        <x:v>1. 来源（原型批注）：liveshow-proto/prototype/annotations/user.js；live-records.html
2. 页面：live-records.html
3. 规则：BR-43F832530B35EA、BR-1B307D26A929AF
4. 场景：SC-7CAC054C2DF912
5. 未动态验证</x:v>
      </x:c>
    </x:row>
    <x:row r="939" ht="54" customHeight="1">
      <x:c r="A939" s="4" t="n">
        <x:v>938</x:v>
      </x:c>
      <x:c r="B939" s="4" t="str">
        <x:v>UHOST-0149</x:v>
      </x:c>
      <x:c r="C939" s="4" t="str">
        <x:v>主播中心</x:v>
      </x:c>
      <x:c r="D939" s="4" t="str">
        <x:v>直播记录（主播视角）</x:v>
      </x:c>
      <x:c r="E939" s="4" t="str">
        <x:v>功能需求</x:v>
      </x:c>
      <x:c r="F939" s="4" t="str">
        <x:v>P1</x:v>
      </x:c>
      <x:c r="G939" s="4" t="str">
        <x:v>验证直播记录可查看开播/结束时间</x:v>
      </x:c>
      <x:c r="H939" s="4" t="str">
        <x:v>开播/结束时间展示</x:v>
      </x:c>
      <x:c r="I939" s="4" t="str">
        <x:v>1. 主播账号已登录且具备当前页面权限</x:v>
      </x:c>
      <x:c r="J939" s="4" t="str">
        <x:v>1. 进入直播记录
2. 查看开播/结束时间</x:v>
      </x:c>
      <x:c r="K939" s="4" t="str">
        <x:v>直播记录显示“开播/结束时间”</x:v>
      </x:c>
      <x:c r="L939" s="4" t="str"/>
      <x:c r="M939" s="4" t="str">
        <x:v>未测</x:v>
      </x:c>
      <x:c r="N939" s="4" t="str"/>
      <x:c r="O939" s="4" t="str">
        <x:v>1. 来源（原型批注）：liveshow-proto/prototype/annotations/user.js；live-records.html
2. 页面：live-records.html
3. 规则：BR-54FB764E313161、BR-B6D72CF63B61D5
4. 场景：SC-0EB85F0A4D517F
5. 未动态验证</x:v>
      </x:c>
    </x:row>
    <x:row r="940" ht="54" customHeight="1">
      <x:c r="A940" s="4" t="n">
        <x:v>939</x:v>
      </x:c>
      <x:c r="B940" s="4" t="str">
        <x:v>UHOST-0150</x:v>
      </x:c>
      <x:c r="C940" s="4" t="str">
        <x:v>主播中心</x:v>
      </x:c>
      <x:c r="D940" s="4" t="str">
        <x:v>直播记录（主播视角）</x:v>
      </x:c>
      <x:c r="E940" s="4" t="str">
        <x:v>功能需求</x:v>
      </x:c>
      <x:c r="F940" s="4" t="str">
        <x:v>P1</x:v>
      </x:c>
      <x:c r="G940" s="4" t="str">
        <x:v>验证直播记录可查看时长</x:v>
      </x:c>
      <x:c r="H940" s="4" t="str">
        <x:v>时长展示</x:v>
      </x:c>
      <x:c r="I940" s="4" t="str">
        <x:v>1. 主播账号已登录且具备当前页面权限</x:v>
      </x:c>
      <x:c r="J940" s="4" t="str">
        <x:v>1. 进入直播记录
2. 查看时长</x:v>
      </x:c>
      <x:c r="K940" s="4" t="str">
        <x:v>直播记录显示“时长”</x:v>
      </x:c>
      <x:c r="L940" s="4" t="str"/>
      <x:c r="M940" s="4" t="str">
        <x:v>未测</x:v>
      </x:c>
      <x:c r="N940" s="4" t="str"/>
      <x:c r="O940" s="4" t="str">
        <x:v>1. 来源（原型批注）：liveshow-proto/prototype/annotations/user.js；live-records.html
2. 页面：live-records.html
3. 规则：BR-798A7075160C69
4. 场景：SC-CC1E591231C95C
5. 未动态验证</x:v>
      </x:c>
    </x:row>
    <x:row r="941" ht="54" customHeight="1">
      <x:c r="A941" s="4" t="n">
        <x:v>940</x:v>
      </x:c>
      <x:c r="B941" s="4" t="str">
        <x:v>UHOST-0151</x:v>
      </x:c>
      <x:c r="C941" s="4" t="str">
        <x:v>主播中心</x:v>
      </x:c>
      <x:c r="D941" s="4" t="str">
        <x:v>直播记录（主播视角）</x:v>
      </x:c>
      <x:c r="E941" s="4" t="str">
        <x:v>功能需求</x:v>
      </x:c>
      <x:c r="F941" s="4" t="str">
        <x:v>P1</x:v>
      </x:c>
      <x:c r="G941" s="4" t="str">
        <x:v>验证直播记录可查看直播场次</x:v>
      </x:c>
      <x:c r="H941" s="4" t="str">
        <x:v>直播场次展示</x:v>
      </x:c>
      <x:c r="I941" s="4" t="str">
        <x:v>1. 主播账号已登录且具备当前页面权限</x:v>
      </x:c>
      <x:c r="J941" s="4" t="str">
        <x:v>1. 进入直播记录
2. 查看直播场次</x:v>
      </x:c>
      <x:c r="K941" s="4" t="str">
        <x:v>直播记录显示“直播场次”</x:v>
      </x:c>
      <x:c r="L941" s="4" t="str"/>
      <x:c r="M941" s="4" t="str">
        <x:v>未测</x:v>
      </x:c>
      <x:c r="N941" s="4" t="str"/>
      <x:c r="O941" s="4" t="str">
        <x:v>1. 来源（原型批注）：liveshow-proto/prototype/annotations/user.js；live-records.html
2. 页面：live-records.html
3. 规则：BR-7E4804047C6213
4. 场景：SC-F2DEE0AF080BB2
5. 未动态验证</x:v>
      </x:c>
    </x:row>
    <x:row r="942" ht="54" customHeight="1">
      <x:c r="A942" s="4" t="n">
        <x:v>941</x:v>
      </x:c>
      <x:c r="B942" s="4" t="str">
        <x:v>UHOST-0152</x:v>
      </x:c>
      <x:c r="C942" s="4" t="str">
        <x:v>主播中心</x:v>
      </x:c>
      <x:c r="D942" s="4" t="str">
        <x:v>直播数据（主播视角）</x:v>
      </x:c>
      <x:c r="E942" s="4" t="str">
        <x:v>业务流程</x:v>
      </x:c>
      <x:c r="F942" s="4" t="str">
        <x:v>P1</x:v>
      </x:c>
      <x:c r="G942" s="4" t="str">
        <x:v>验证场次结束后的直播数据状态</x:v>
      </x:c>
      <x:c r="H942" s="4" t="str">
        <x:v>直播数据状态</x:v>
      </x:c>
      <x:c r="I942" s="4" t="str">
        <x:v>1. 主播账号已登录且具备当前页面权限
2. 场次结束</x:v>
      </x:c>
      <x:c r="J942" s="4" t="str">
        <x:v>1. 进入直播数据
2. 刷新直播数据</x:v>
      </x:c>
      <x:c r="K942" s="4" t="str">
        <x:v>保留历史快照</x:v>
      </x:c>
      <x:c r="L942" s="4" t="str"/>
      <x:c r="M942" s="4" t="str">
        <x:v>未测</x:v>
      </x:c>
      <x:c r="N942" s="4" t="str"/>
      <x:c r="O942" s="4" t="str">
        <x:v>1. 来源（原型批注）：liveshow-proto/prototype/annotations/user.js；live-data.html
2. 页面：live-data.html
3. 规则：BR-623A1353FBC6C5
4. 场景：SC-3DF407B4063B84
5. 未动态验证</x:v>
      </x:c>
    </x:row>
    <x:row r="943" ht="54" customHeight="1">
      <x:c r="A943" s="4" t="n">
        <x:v>942</x:v>
      </x:c>
      <x:c r="B943" s="4" t="str">
        <x:v>UHOST-0153</x:v>
      </x:c>
      <x:c r="C943" s="4" t="str">
        <x:v>主播中心</x:v>
      </x:c>
      <x:c r="D943" s="4" t="str">
        <x:v>直播数据（主播视角）</x:v>
      </x:c>
      <x:c r="E943" s="4" t="str">
        <x:v>业务流程</x:v>
      </x:c>
      <x:c r="F943" s="4" t="str">
        <x:v>P1</x:v>
      </x:c>
      <x:c r="G943" s="4" t="str">
        <x:v>验证进入直播记录后的直播数据状态</x:v>
      </x:c>
      <x:c r="H943" s="4" t="str">
        <x:v>直播数据状态</x:v>
      </x:c>
      <x:c r="I943" s="4" t="str">
        <x:v>1. 主播账号已登录且具备当前页面权限</x:v>
      </x:c>
      <x:c r="J943" s="4" t="str">
        <x:v>1. 进入直播数据
2. 进入直播记录</x:v>
      </x:c>
      <x:c r="K943" s="4" t="str">
        <x:v>保留当前日期范围</x:v>
      </x:c>
      <x:c r="L943" s="4" t="str"/>
      <x:c r="M943" s="4" t="str">
        <x:v>未测</x:v>
      </x:c>
      <x:c r="N943" s="4" t="str"/>
      <x:c r="O943" s="4" t="str">
        <x:v>1. 来源（原型批注）：liveshow-proto/prototype/annotations/user.js；live-data.html
2. 页面：live-data.html
3. 规则：BR-DA146BDE34038F
4. 场景：SC-56F8D377D373B8
5. 未动态验证</x:v>
      </x:c>
    </x:row>
    <x:row r="944" ht="54" customHeight="1">
      <x:c r="A944" s="4" t="n">
        <x:v>943</x:v>
      </x:c>
      <x:c r="B944" s="4" t="str">
        <x:v>UHOST-0154</x:v>
      </x:c>
      <x:c r="C944" s="4" t="str">
        <x:v>主播中心</x:v>
      </x:c>
      <x:c r="D944" s="4" t="str">
        <x:v>直播数据（主播视角）</x:v>
      </x:c>
      <x:c r="E944" s="4" t="str">
        <x:v>业务流程</x:v>
      </x:c>
      <x:c r="F944" s="4" t="str">
        <x:v>P1</x:v>
      </x:c>
      <x:c r="G944" s="4" t="str">
        <x:v>验证切换日/月范围后的直播数据状态</x:v>
      </x:c>
      <x:c r="H944" s="4" t="str">
        <x:v>直播数据状态</x:v>
      </x:c>
      <x:c r="I944" s="4" t="str">
        <x:v>1. 主播账号已登录且具备当前页面权限</x:v>
      </x:c>
      <x:c r="J944" s="4" t="str">
        <x:v>1. 进入直播数据
2. 切换日/月范围</x:v>
      </x:c>
      <x:c r="K944" s="4" t="str">
        <x:v>同步更新全部指标</x:v>
      </x:c>
      <x:c r="L944" s="4" t="str"/>
      <x:c r="M944" s="4" t="str">
        <x:v>未测</x:v>
      </x:c>
      <x:c r="N944" s="4" t="str"/>
      <x:c r="O944" s="4" t="str">
        <x:v>1. 来源（原型批注）：liveshow-proto/prototype/annotations/user.js；live-data.html
2. 页面：live-data.html
3. 规则：BR-61AA128B26A897
4. 场景：SC-3C6A2C2D864523
5. 未动态验证</x:v>
      </x:c>
    </x:row>
    <x:row r="945" ht="54" customHeight="1">
      <x:c r="A945" s="4" t="n">
        <x:v>944</x:v>
      </x:c>
      <x:c r="B945" s="4" t="str">
        <x:v>UHOST-0155</x:v>
      </x:c>
      <x:c r="C945" s="4" t="str">
        <x:v>主播中心</x:v>
      </x:c>
      <x:c r="D945" s="4" t="str">
        <x:v>直播数据（主播视角）</x:v>
      </x:c>
      <x:c r="E945" s="4" t="str">
        <x:v>功能需求</x:v>
      </x:c>
      <x:c r="F945" s="4" t="str">
        <x:v>P1</x:v>
      </x:c>
      <x:c r="G945" s="4" t="str">
        <x:v>验证收益的默认状态</x:v>
      </x:c>
      <x:c r="H945" s="4" t="str">
        <x:v>收益默认值</x:v>
      </x:c>
      <x:c r="I945" s="4" t="str">
        <x:v>1. 主播账号已登录且具备当前页面权限</x:v>
      </x:c>
      <x:c r="J945" s="4" t="str">
        <x:v>1. 进入直播数据
2. 查看收益</x:v>
      </x:c>
      <x:c r="K945" s="4" t="str">
        <x:v>幸运礼物按送出价值 × 后台比例汇总，默认 1%，返奖不影响</x:v>
      </x:c>
      <x:c r="L945" s="4" t="str"/>
      <x:c r="M945" s="4" t="str">
        <x:v>未测</x:v>
      </x:c>
      <x:c r="N945" s="4" t="str"/>
      <x:c r="O945" s="4" t="str">
        <x:v>1. 来源（原型批注）：liveshow-proto/prototype/annotations/user.js；live-data.html
2. 页面：live-data.html
3. 规则：BR-B84BB4356FFA74
4. 场景：SC-62456F6853B2A0
5. 未动态验证</x:v>
      </x:c>
    </x:row>
    <x:row r="946" ht="54" customHeight="1">
      <x:c r="A946" s="4" t="n">
        <x:v>945</x:v>
      </x:c>
      <x:c r="B946" s="4" t="str">
        <x:v>UHOST-0156</x:v>
      </x:c>
      <x:c r="C946" s="4" t="str">
        <x:v>主播中心</x:v>
      </x:c>
      <x:c r="D946" s="4" t="str">
        <x:v>直播数据（主播视角）</x:v>
      </x:c>
      <x:c r="E946" s="4" t="str">
        <x:v>逻辑校验</x:v>
      </x:c>
      <x:c r="F946" s="4" t="str">
        <x:v>P1</x:v>
      </x:c>
      <x:c r="G946" s="4" t="str">
        <x:v>验证直播数据按指定范围筛选</x:v>
      </x:c>
      <x:c r="H946" s="4" t="str">
        <x:v>直播数据数据范围</x:v>
      </x:c>
      <x:c r="I946" s="4" t="str">
        <x:v>1. 主播账号已登录且具备当前页面权限
2. 存在符合和不符合“仅当前主播、当前日或月范围内的直播数据”的记录</x:v>
      </x:c>
      <x:c r="J946" s="4" t="str">
        <x:v>1. 进入直播数据
2. 查看直播数据</x:v>
      </x:c>
      <x:c r="K946" s="4" t="str">
        <x:v>数据范围：仅当前主播、当前日或月范围内的直播数据</x:v>
      </x:c>
      <x:c r="L946" s="4" t="str"/>
      <x:c r="M946" s="4" t="str">
        <x:v>未测</x:v>
      </x:c>
      <x:c r="N946" s="4" t="str"/>
      <x:c r="O946" s="4" t="str">
        <x:v>1. 来源（原型批注）：liveshow-proto/prototype/annotations/user.js；live-data.html
2. 页面：live-data.html
3. 规则：BR-A58DE239F37DDA
4. 场景：SC-10C1699F3BC551
5. 未动态验证</x:v>
      </x:c>
    </x:row>
    <x:row r="947" ht="54" customHeight="1">
      <x:c r="A947" s="4" t="n">
        <x:v>946</x:v>
      </x:c>
      <x:c r="B947" s="4" t="str">
        <x:v>UHOST-0157</x:v>
      </x:c>
      <x:c r="C947" s="4" t="str">
        <x:v>主播中心</x:v>
      </x:c>
      <x:c r="D947" s="4" t="str">
        <x:v>直播数据（主播视角）</x:v>
      </x:c>
      <x:c r="E947" s="4" t="str">
        <x:v>功能需求</x:v>
      </x:c>
      <x:c r="F947" s="4" t="str">
        <x:v>P1</x:v>
      </x:c>
      <x:c r="G947" s="4" t="str">
        <x:v>验证直播数据可查看观众人次</x:v>
      </x:c>
      <x:c r="H947" s="4" t="str">
        <x:v>观众人次展示</x:v>
      </x:c>
      <x:c r="I947" s="4" t="str">
        <x:v>1. 主播账号已登录且具备当前页面权限</x:v>
      </x:c>
      <x:c r="J947" s="4" t="str">
        <x:v>1. 进入直播数据
2. 查看观众人次</x:v>
      </x:c>
      <x:c r="K947" s="4" t="str">
        <x:v>直播数据显示“观众人次”</x:v>
      </x:c>
      <x:c r="L947" s="4" t="str"/>
      <x:c r="M947" s="4" t="str">
        <x:v>未测</x:v>
      </x:c>
      <x:c r="N947" s="4" t="str"/>
      <x:c r="O947" s="4" t="str">
        <x:v>1. 来源（原型批注）：liveshow-proto/prototype/annotations/user.js；live-data.html
2. 页面：live-data.html
3. 规则：BR-F21A2149106F98
4. 场景：SC-DD2B11EAD15404
5. 未动态验证</x:v>
      </x:c>
    </x:row>
    <x:row r="948" ht="54" customHeight="1">
      <x:c r="A948" s="4" t="n">
        <x:v>947</x:v>
      </x:c>
      <x:c r="B948" s="4" t="str">
        <x:v>UHOST-0158</x:v>
      </x:c>
      <x:c r="C948" s="4" t="str">
        <x:v>主播中心</x:v>
      </x:c>
      <x:c r="D948" s="4" t="str">
        <x:v>直播数据（主播视角）</x:v>
      </x:c>
      <x:c r="E948" s="4" t="str">
        <x:v>功能需求</x:v>
      </x:c>
      <x:c r="F948" s="4" t="str">
        <x:v>P1</x:v>
      </x:c>
      <x:c r="G948" s="4" t="str">
        <x:v>验证直播数据可查看开播时长</x:v>
      </x:c>
      <x:c r="H948" s="4" t="str">
        <x:v>开播时长展示</x:v>
      </x:c>
      <x:c r="I948" s="4" t="str">
        <x:v>1. 主播账号已登录且具备当前页面权限</x:v>
      </x:c>
      <x:c r="J948" s="4" t="str">
        <x:v>1. 进入直播数据
2. 查看开播时长</x:v>
      </x:c>
      <x:c r="K948" s="4" t="str">
        <x:v>直播数据显示“开播时长”</x:v>
      </x:c>
      <x:c r="L948" s="4" t="str"/>
      <x:c r="M948" s="4" t="str">
        <x:v>未测</x:v>
      </x:c>
      <x:c r="N948" s="4" t="str"/>
      <x:c r="O948" s="4" t="str">
        <x:v>1. 来源（原型批注）：liveshow-proto/prototype/annotations/user.js；live-data.html
2. 页面：live-data.html
3. 规则：BR-894EB56B57EAA0
4. 场景：SC-1A03B8A7158F69
5. 未动态验证</x:v>
      </x:c>
    </x:row>
    <x:row r="949" ht="54" customHeight="1">
      <x:c r="A949" s="4" t="n">
        <x:v>948</x:v>
      </x:c>
      <x:c r="B949" s="4" t="str">
        <x:v>UHOST-0159</x:v>
      </x:c>
      <x:c r="C949" s="4" t="str">
        <x:v>主播中心</x:v>
      </x:c>
      <x:c r="D949" s="4" t="str">
        <x:v>直播数据（主播视角）</x:v>
      </x:c>
      <x:c r="E949" s="4" t="str">
        <x:v>功能需求</x:v>
      </x:c>
      <x:c r="F949" s="4" t="str">
        <x:v>P1</x:v>
      </x:c>
      <x:c r="G949" s="4" t="str">
        <x:v>验证直播数据可查看收益</x:v>
      </x:c>
      <x:c r="H949" s="4" t="str">
        <x:v>收益展示</x:v>
      </x:c>
      <x:c r="I949" s="4" t="str">
        <x:v>1. 主播账号已登录且具备当前页面权限</x:v>
      </x:c>
      <x:c r="J949" s="4" t="str">
        <x:v>1. 进入直播数据
2. 查看收益</x:v>
      </x:c>
      <x:c r="K949" s="4" t="str">
        <x:v>直播数据显示“收益”</x:v>
      </x:c>
      <x:c r="L949" s="4" t="str"/>
      <x:c r="M949" s="4" t="str">
        <x:v>未测</x:v>
      </x:c>
      <x:c r="N949" s="4" t="str"/>
      <x:c r="O949" s="4" t="str">
        <x:v>1. 来源（原型批注）：liveshow-proto/prototype/annotations/user.js；live-data.html
2. 页面：live-data.html
3. 规则：BR-08D78B159D1458、BR-B84BB4356FFA74、BR-6959175D5CC550
4. 场景：SC-75456BF426E5AF
5. 未动态验证</x:v>
      </x:c>
    </x:row>
    <x:row r="950" ht="54" customHeight="1">
      <x:c r="A950" s="4" t="n">
        <x:v>949</x:v>
      </x:c>
      <x:c r="B950" s="4" t="str">
        <x:v>UHOST-0160</x:v>
      </x:c>
      <x:c r="C950" s="4" t="str">
        <x:v>主播中心</x:v>
      </x:c>
      <x:c r="D950" s="4" t="str">
        <x:v>直播数据（主播视角）</x:v>
      </x:c>
      <x:c r="E950" s="4" t="str">
        <x:v>功能需求</x:v>
      </x:c>
      <x:c r="F950" s="4" t="str">
        <x:v>P1</x:v>
      </x:c>
      <x:c r="G950" s="4" t="str">
        <x:v>验证直播数据可查看新增粉丝/送礼人数</x:v>
      </x:c>
      <x:c r="H950" s="4" t="str">
        <x:v>新增粉丝/送礼人数展示</x:v>
      </x:c>
      <x:c r="I950" s="4" t="str">
        <x:v>1. 主播账号已登录且具备当前页面权限</x:v>
      </x:c>
      <x:c r="J950" s="4" t="str">
        <x:v>1. 进入直播数据
2. 查看新增粉丝/送礼人数</x:v>
      </x:c>
      <x:c r="K950" s="4" t="str">
        <x:v>直播数据显示“新增粉丝/送礼人数”</x:v>
      </x:c>
      <x:c r="L950" s="4" t="str"/>
      <x:c r="M950" s="4" t="str">
        <x:v>未测</x:v>
      </x:c>
      <x:c r="N950" s="4" t="str"/>
      <x:c r="O950" s="4" t="str">
        <x:v>1. 来源（原型批注）：liveshow-proto/prototype/annotations/user.js；live-data.html
2. 页面：live-data.html
3. 规则：BR-A9BB2FBC4187BB
4. 场景：SC-EB784C2A9220A5
5. 未动态验证</x:v>
      </x:c>
    </x:row>
    <x:row r="951" ht="54" customHeight="1">
      <x:c r="A951" s="4" t="n">
        <x:v>950</x:v>
      </x:c>
      <x:c r="B951" s="4" t="str">
        <x:v>UHOST-0161</x:v>
      </x:c>
      <x:c r="C951" s="4" t="str">
        <x:v>主播中心</x:v>
      </x:c>
      <x:c r="D951" s="4" t="str">
        <x:v>直播数据（主播视角）</x:v>
      </x:c>
      <x:c r="E951" s="4" t="str">
        <x:v>功能需求</x:v>
      </x:c>
      <x:c r="F951" s="4" t="str">
        <x:v>P1</x:v>
      </x:c>
      <x:c r="G951" s="4" t="str">
        <x:v>验证直播数据可查看有效天</x:v>
      </x:c>
      <x:c r="H951" s="4" t="str">
        <x:v>有效天展示</x:v>
      </x:c>
      <x:c r="I951" s="4" t="str">
        <x:v>1. 主播账号已登录且具备当前页面权限</x:v>
      </x:c>
      <x:c r="J951" s="4" t="str">
        <x:v>1. 进入直播数据
2. 查看有效天</x:v>
      </x:c>
      <x:c r="K951" s="4" t="str">
        <x:v>直播数据显示“有效天”</x:v>
      </x:c>
      <x:c r="L951" s="4" t="str"/>
      <x:c r="M951" s="4" t="str">
        <x:v>未测</x:v>
      </x:c>
      <x:c r="N951" s="4" t="str"/>
      <x:c r="O951" s="4" t="str">
        <x:v>1. 来源（原型批注）：liveshow-proto/prototype/annotations/user.js；live-data.html
2. 页面：live-data.html
3. 规则：BR-C3C2E98F938ACD
4. 场景：SC-989824A324BDEF
5. 未动态验证</x:v>
      </x:c>
    </x:row>
    <x:row r="952" ht="54" customHeight="1">
      <x:c r="A952" s="4" t="n">
        <x:v>951</x:v>
      </x:c>
      <x:c r="B952" s="4" t="str">
        <x:v>UHOST-0162</x:v>
      </x:c>
      <x:c r="C952" s="4" t="str">
        <x:v>主播中心</x:v>
      </x:c>
      <x:c r="D952" s="4" t="str">
        <x:v>主播中心（主播视角）</x:v>
      </x:c>
      <x:c r="E952" s="4" t="str">
        <x:v>功能需求</x:v>
      </x:c>
      <x:c r="F952" s="4" t="str">
        <x:v>P2</x:v>
      </x:c>
      <x:c r="G952" s="4" t="str">
        <x:v>验证本月收益的默认状态</x:v>
      </x:c>
      <x:c r="H952" s="4" t="str">
        <x:v>本月收益默认值</x:v>
      </x:c>
      <x:c r="I952" s="4" t="str">
        <x:v>1. 主播账号已登录且具备当前页面权限</x:v>
      </x:c>
      <x:c r="J952" s="4" t="str">
        <x:v>1. 进入主播中心
2. 查看本月收益</x:v>
      </x:c>
      <x:c r="K952" s="4" t="str">
        <x:v>幸运礼物按送出价值 × 后台比例，默认 1%</x:v>
      </x:c>
      <x:c r="L952" s="4" t="str"/>
      <x:c r="M952" s="4" t="str">
        <x:v>未测</x:v>
      </x:c>
      <x:c r="N952" s="4" t="str"/>
      <x:c r="O952" s="4" t="str">
        <x:v>1. 来源（原型批注）：liveshow-proto/prototype/annotations/user.js；host-center.html
2. 页面：host-center.html
3. 规则：BR-484D3C3A79901D
4. 场景：SC-70E04666E28CF1
5. 未动态验证</x:v>
      </x:c>
    </x:row>
    <x:row r="953" ht="54" customHeight="1">
      <x:c r="A953" s="4" t="n">
        <x:v>952</x:v>
      </x:c>
      <x:c r="B953" s="4" t="str">
        <x:v>UHOST-0163</x:v>
      </x:c>
      <x:c r="C953" s="4" t="str">
        <x:v>主播中心</x:v>
      </x:c>
      <x:c r="D953" s="4" t="str">
        <x:v>主播中心（主播视角）</x:v>
      </x:c>
      <x:c r="E953" s="4" t="str">
        <x:v>功能需求</x:v>
      </x:c>
      <x:c r="F953" s="4" t="str">
        <x:v>P2</x:v>
      </x:c>
      <x:c r="G953" s="4" t="str">
        <x:v>验证工具入口按主播和公会状态时的主播中心结果</x:v>
      </x:c>
      <x:c r="H953" s="4" t="str">
        <x:v>主播中心条件结果</x:v>
      </x:c>
      <x:c r="I953" s="4" t="str">
        <x:v>1. 主播账号已登录且具备当前页面权限
2. 工具入口按主播和公会状态</x:v>
      </x:c>
      <x:c r="J953" s="4" t="str">
        <x:v>1. 进入主播中心
2. 查看主播中心</x:v>
      </x:c>
      <x:c r="K953" s="4" t="str">
        <x:v>工具入口按主播和公会状态展示</x:v>
      </x:c>
      <x:c r="L953" s="4" t="str"/>
      <x:c r="M953" s="4" t="str">
        <x:v>未测</x:v>
      </x:c>
      <x:c r="N953" s="4" t="str"/>
      <x:c r="O953" s="4" t="str">
        <x:v>1. 来源（原型批注）：liveshow-proto/prototype/annotations/user.js；host-center.html
2. 页面：host-center.html
3. 规则：BR-181BF50DC8086E
4. 场景：SC-03AF64E2D7441C
5. 未动态验证</x:v>
      </x:c>
    </x:row>
    <x:row r="954" ht="54" customHeight="1">
      <x:c r="A954" s="4" t="n">
        <x:v>953</x:v>
      </x:c>
      <x:c r="B954" s="4" t="str">
        <x:v>UHOST-0164</x:v>
      </x:c>
      <x:c r="C954" s="4" t="str">
        <x:v>主播中心</x:v>
      </x:c>
      <x:c r="D954" s="4" t="str">
        <x:v>主播中心（主播视角）</x:v>
      </x:c>
      <x:c r="E954" s="4" t="str">
        <x:v>业务流程</x:v>
      </x:c>
      <x:c r="F954" s="4" t="str">
        <x:v>P2</x:v>
      </x:c>
      <x:c r="G954" s="4" t="str">
        <x:v>验证开始直播后的主播中心状态</x:v>
      </x:c>
      <x:c r="H954" s="4" t="str">
        <x:v>主播中心状态</x:v>
      </x:c>
      <x:c r="I954" s="4" t="str">
        <x:v>1. 主播账号已登录且具备当前页面权限
2. 开始直播</x:v>
      </x:c>
      <x:c r="J954" s="4" t="str">
        <x:v>1. 进入主播中心
2. 刷新主播中心</x:v>
      </x:c>
      <x:c r="K954" s="4" t="str">
        <x:v>通过后进入开播设置</x:v>
      </x:c>
      <x:c r="L954" s="4" t="str"/>
      <x:c r="M954" s="4" t="str">
        <x:v>未测</x:v>
      </x:c>
      <x:c r="N954" s="4" t="str"/>
      <x:c r="O954" s="4" t="str">
        <x:v>1. 来源（原型批注）：liveshow-proto/prototype/annotations/user.js；host-center.html
2. 页面：host-center.html
3. 规则：BR-0A53D0FD2281F2
4. 场景：SC-094B4BBEAFD3FC
5. 未动态验证</x:v>
      </x:c>
    </x:row>
    <x:row r="955" ht="54" customHeight="1">
      <x:c r="A955" s="4" t="n">
        <x:v>954</x:v>
      </x:c>
      <x:c r="B955" s="4" t="str">
        <x:v>UHOST-0165</x:v>
      </x:c>
      <x:c r="C955" s="4" t="str">
        <x:v>主播中心</x:v>
      </x:c>
      <x:c r="D955" s="4" t="str">
        <x:v>主播中心（主播视角）</x:v>
      </x:c>
      <x:c r="E955" s="4" t="str">
        <x:v>业务流程</x:v>
      </x:c>
      <x:c r="F955" s="4" t="str">
        <x:v>P2</x:v>
      </x:c>
      <x:c r="G955" s="4" t="str">
        <x:v>验证权限不满足后的主播中心状态</x:v>
      </x:c>
      <x:c r="H955" s="4" t="str">
        <x:v>主播中心状态</x:v>
      </x:c>
      <x:c r="I955" s="4" t="str">
        <x:v>1. 主播账号已登录且具备当前页面权限
2. 权限不满足</x:v>
      </x:c>
      <x:c r="J955" s="4" t="str">
        <x:v>1. 进入主播中心
2. 刷新主播中心</x:v>
      </x:c>
      <x:c r="K955" s="4" t="str">
        <x:v>停留当前页</x:v>
      </x:c>
      <x:c r="L955" s="4" t="str"/>
      <x:c r="M955" s="4" t="str">
        <x:v>未测</x:v>
      </x:c>
      <x:c r="N955" s="4" t="str"/>
      <x:c r="O955" s="4" t="str">
        <x:v>1. 来源（原型批注）：liveshow-proto/prototype/annotations/user.js；host-center.html
2. 页面：host-center.html
3. 规则：BR-C3F7613ABF4156
4. 场景：SC-A24A13975F0761
5. 未动态验证</x:v>
      </x:c>
    </x:row>
    <x:row r="956" ht="54" customHeight="1">
      <x:c r="A956" s="4" t="n">
        <x:v>955</x:v>
      </x:c>
      <x:c r="B956" s="4" t="str">
        <x:v>UHOST-0166</x:v>
      </x:c>
      <x:c r="C956" s="4" t="str">
        <x:v>主播中心</x:v>
      </x:c>
      <x:c r="D956" s="4" t="str">
        <x:v>主播中心（主播视角）</x:v>
      </x:c>
      <x:c r="E956" s="4" t="str">
        <x:v>逻辑校验</x:v>
      </x:c>
      <x:c r="F956" s="4" t="str">
        <x:v>P2</x:v>
      </x:c>
      <x:c r="G956" s="4" t="str">
        <x:v>验证主播中心按指定范围筛选</x:v>
      </x:c>
      <x:c r="H956" s="4" t="str">
        <x:v>主播中心数据范围</x:v>
      </x:c>
      <x:c r="I956" s="4" t="str">
        <x:v>1. 主播账号已登录且具备当前页面权限
2. 存在符合和不符合“当前主播的资料、累计收益、粉丝数及当前所选今日或本月指标”的记录</x:v>
      </x:c>
      <x:c r="J956" s="4" t="str">
        <x:v>1. 进入主播中心
2. 查看主播中心</x:v>
      </x:c>
      <x:c r="K956" s="4" t="str">
        <x:v>数据范围：当前主播的资料、累计收益、粉丝数及当前所选今日或本月指标</x:v>
      </x:c>
      <x:c r="L956" s="4" t="str"/>
      <x:c r="M956" s="4" t="str">
        <x:v>未测</x:v>
      </x:c>
      <x:c r="N956" s="4" t="str"/>
      <x:c r="O956" s="4" t="str">
        <x:v>1. 来源（原型批注）：liveshow-proto/prototype/annotations/user.js；host-center.html
2. 页面：host-center.html
3. 规则：BR-4E914637B22FE5
4. 场景：SC-EF4A1AE9EB3334
5. 未动态验证</x:v>
      </x:c>
    </x:row>
    <x:row r="957" ht="54" customHeight="1">
      <x:c r="A957" s="4" t="n">
        <x:v>956</x:v>
      </x:c>
      <x:c r="B957" s="4" t="str">
        <x:v>UHOST-0167</x:v>
      </x:c>
      <x:c r="C957" s="4" t="str">
        <x:v>主播中心</x:v>
      </x:c>
      <x:c r="D957" s="4" t="str">
        <x:v>主播中心（主播视角）</x:v>
      </x:c>
      <x:c r="E957" s="4" t="str">
        <x:v>功能需求</x:v>
      </x:c>
      <x:c r="F957" s="4" t="str">
        <x:v>P2</x:v>
      </x:c>
      <x:c r="G957" s="4" t="str">
        <x:v>验证主播中心可查看本月收益</x:v>
      </x:c>
      <x:c r="H957" s="4" t="str">
        <x:v>本月收益展示</x:v>
      </x:c>
      <x:c r="I957" s="4" t="str">
        <x:v>1. 主播账号已登录且具备当前页面权限</x:v>
      </x:c>
      <x:c r="J957" s="4" t="str">
        <x:v>1. 进入主播中心
2. 查看本月收益</x:v>
      </x:c>
      <x:c r="K957" s="4" t="str">
        <x:v>主播中心显示“本月收益”</x:v>
      </x:c>
      <x:c r="L957" s="4" t="str"/>
      <x:c r="M957" s="4" t="str">
        <x:v>未测</x:v>
      </x:c>
      <x:c r="N957" s="4" t="str"/>
      <x:c r="O957" s="4" t="str">
        <x:v>1. 来源（原型批注）：liveshow-proto/prototype/annotations/user.js；host-center.html
2. 页面：host-center.html
3. 规则：BR-AA2A37EDA73645、BR-484D3C3A79901D、BR-BFE8C4E8D1B886
4. 场景：SC-B3AECDD6989B1D
5. 未动态验证</x:v>
      </x:c>
    </x:row>
    <x:row r="958" ht="54" customHeight="1">
      <x:c r="A958" s="4" t="n">
        <x:v>957</x:v>
      </x:c>
      <x:c r="B958" s="4" t="str">
        <x:v>UHOST-0168</x:v>
      </x:c>
      <x:c r="C958" s="4" t="str">
        <x:v>主播中心</x:v>
      </x:c>
      <x:c r="D958" s="4" t="str">
        <x:v>主播中心（主播视角）</x:v>
      </x:c>
      <x:c r="E958" s="4" t="str">
        <x:v>功能需求</x:v>
      </x:c>
      <x:c r="F958" s="4" t="str">
        <x:v>P2</x:v>
      </x:c>
      <x:c r="G958" s="4" t="str">
        <x:v>验证主播中心可查看观众人数/涨粉</x:v>
      </x:c>
      <x:c r="H958" s="4" t="str">
        <x:v>观众人数/涨粉展示</x:v>
      </x:c>
      <x:c r="I958" s="4" t="str">
        <x:v>1. 主播账号已登录且具备当前页面权限</x:v>
      </x:c>
      <x:c r="J958" s="4" t="str">
        <x:v>1. 进入主播中心
2. 查看观众人数/涨粉</x:v>
      </x:c>
      <x:c r="K958" s="4" t="str">
        <x:v>主播中心显示“观众人数/涨粉”</x:v>
      </x:c>
      <x:c r="L958" s="4" t="str"/>
      <x:c r="M958" s="4" t="str">
        <x:v>未测</x:v>
      </x:c>
      <x:c r="N958" s="4" t="str"/>
      <x:c r="O958" s="4" t="str">
        <x:v>1. 来源（原型批注）：liveshow-proto/prototype/annotations/user.js；host-center.html
2. 页面：host-center.html
3. 规则：BR-6BA9A73895B6F6
4. 场景：SC-EF52D6D1900AE9
5. 未动态验证</x:v>
      </x:c>
    </x:row>
    <x:row r="959" ht="54" customHeight="1">
      <x:c r="A959" s="4" t="n">
        <x:v>958</x:v>
      </x:c>
      <x:c r="B959" s="4" t="str">
        <x:v>UHOST-0169</x:v>
      </x:c>
      <x:c r="C959" s="4" t="str">
        <x:v>主播中心</x:v>
      </x:c>
      <x:c r="D959" s="4" t="str">
        <x:v>主播中心（主播视角）</x:v>
      </x:c>
      <x:c r="E959" s="4" t="str">
        <x:v>功能需求</x:v>
      </x:c>
      <x:c r="F959" s="4" t="str">
        <x:v>P2</x:v>
      </x:c>
      <x:c r="G959" s="4" t="str">
        <x:v>验证主播中心可查看有效天</x:v>
      </x:c>
      <x:c r="H959" s="4" t="str">
        <x:v>有效天展示</x:v>
      </x:c>
      <x:c r="I959" s="4" t="str">
        <x:v>1. 主播账号已登录且具备当前页面权限</x:v>
      </x:c>
      <x:c r="J959" s="4" t="str">
        <x:v>1. 进入主播中心
2. 查看有效天</x:v>
      </x:c>
      <x:c r="K959" s="4" t="str">
        <x:v>主播中心显示“有效天”</x:v>
      </x:c>
      <x:c r="L959" s="4" t="str"/>
      <x:c r="M959" s="4" t="str">
        <x:v>未测</x:v>
      </x:c>
      <x:c r="N959" s="4" t="str"/>
      <x:c r="O959" s="4" t="str">
        <x:v>1. 来源（原型批注）：liveshow-proto/prototype/annotations/user.js；host-center.html
2. 页面：host-center.html
3. 规则：BR-4B5024D633DEA8
4. 场景：SC-2F0156398E246C
5. 未动态验证</x:v>
      </x:c>
    </x:row>
    <x:row r="960" ht="54" customHeight="1">
      <x:c r="A960" s="4" t="n">
        <x:v>959</x:v>
      </x:c>
      <x:c r="B960" s="4" t="str">
        <x:v>UHOST-0170</x:v>
      </x:c>
      <x:c r="C960" s="4" t="str">
        <x:v>主播中心</x:v>
      </x:c>
      <x:c r="D960" s="4" t="str">
        <x:v>主播中心（主播视角）</x:v>
      </x:c>
      <x:c r="E960" s="4" t="str">
        <x:v>功能需求</x:v>
      </x:c>
      <x:c r="F960" s="4" t="str">
        <x:v>P2</x:v>
      </x:c>
      <x:c r="G960" s="4" t="str">
        <x:v>验证主播中心可查看直播权限</x:v>
      </x:c>
      <x:c r="H960" s="4" t="str">
        <x:v>直播权限展示</x:v>
      </x:c>
      <x:c r="I960" s="4" t="str">
        <x:v>1. 主播账号已登录且具备当前页面权限</x:v>
      </x:c>
      <x:c r="J960" s="4" t="str">
        <x:v>1. 进入主播中心
2. 查看直播权限</x:v>
      </x:c>
      <x:c r="K960" s="4" t="str">
        <x:v>主播中心显示“直播权限”</x:v>
      </x:c>
      <x:c r="L960" s="4" t="str"/>
      <x:c r="M960" s="4" t="str">
        <x:v>未测</x:v>
      </x:c>
      <x:c r="N960" s="4" t="str"/>
      <x:c r="O960" s="4" t="str">
        <x:v>1. 来源（原型批注）：liveshow-proto/prototype/annotations/user.js；host-center.html
2. 页面：host-center.html
3. 规则：BR-A525877D4F8167
4. 场景：SC-3B1836C9F49F3D
5. 未动态验证</x:v>
      </x:c>
    </x:row>
    <x:row r="961" ht="54" customHeight="1">
      <x:c r="A961" s="4" t="n">
        <x:v>960</x:v>
      </x:c>
      <x:c r="B961" s="4" t="str">
        <x:v>UHOST-0171</x:v>
      </x:c>
      <x:c r="C961" s="4" t="str">
        <x:v>主播中心</x:v>
      </x:c>
      <x:c r="D961" s="4" t="str">
        <x:v>主播中心（主播视角）</x:v>
      </x:c>
      <x:c r="E961" s="4" t="str">
        <x:v>功能需求</x:v>
      </x:c>
      <x:c r="F961" s="4" t="str">
        <x:v>P2</x:v>
      </x:c>
      <x:c r="G961" s="4" t="str">
        <x:v>验证主播中心可查看主播等级</x:v>
      </x:c>
      <x:c r="H961" s="4" t="str">
        <x:v>主播等级展示</x:v>
      </x:c>
      <x:c r="I961" s="4" t="str">
        <x:v>1. 主播账号已登录且具备当前页面权限</x:v>
      </x:c>
      <x:c r="J961" s="4" t="str">
        <x:v>1. 进入主播中心
2. 查看主播等级</x:v>
      </x:c>
      <x:c r="K961" s="4" t="str">
        <x:v>主播中心显示“主播等级”</x:v>
      </x:c>
      <x:c r="L961" s="4" t="str"/>
      <x:c r="M961" s="4" t="str">
        <x:v>未测</x:v>
      </x:c>
      <x:c r="N961" s="4" t="str"/>
      <x:c r="O961" s="4" t="str">
        <x:v>1. 来源（原型批注）：liveshow-proto/prototype/annotations/user.js；host-center.html
2. 页面：host-center.html
3. 规则：BR-066D317F60630F
4. 场景：SC-8FB4F1D9F1D06D
5. 未动态验证</x:v>
      </x:c>
    </x:row>
    <x:row r="962" ht="132" customHeight="1">
      <x:c r="A962" s="15" t="n">
        <x:v>961</x:v>
      </x:c>
      <x:c r="B962" s="15" t="str">
        <x:v>IDN-U-0001</x:v>
      </x:c>
      <x:c r="C962" s="15" t="str">
        <x:v>账号与资料</x:v>
      </x:c>
      <x:c r="D962" s="15" t="str">
        <x:v>语言设置（用户视角）</x:v>
      </x:c>
      <x:c r="E962" s="15" t="str">
        <x:v>功能需求</x:v>
      </x:c>
      <x:c r="F962" s="15" t="str">
        <x:v>P2</x:v>
      </x:c>
      <x:c r="G962" s="15" t="str">
        <x:v>验证语言设置（用户视角）在“中文、英文、印尼语、马来语”场景下的处理</x:v>
      </x:c>
      <x:c r="H962" s="15" t="str">
        <x:v>中文、英文、印尼语、马来语观察项</x:v>
      </x:c>
      <x:c r="I962" s="15" t="str">
        <x:v>1. 普通用户账号及关联业务数据已准备，账号可进入当前页面</x:v>
      </x:c>
      <x:c r="J962" s="15" t="str">
        <x:v>1. 使用普通用户账号从当前端导航进入【语言设置（用户视角）】
2. 依次选择或切换规格要求的语言并重新进入目标页，记录页面文案语言
3. 刷新【语言设置（用户视角）】，查询“中文、英文、印尼语、马来语”对应的业务记录或界面反馈</x:v>
      </x:c>
      <x:c r="K962" s="15" t="str">
        <x:v>用户 App 支持中文、英文、印尼语、马来语</x:v>
      </x:c>
      <x:c r="L962" s="15" t="str"/>
      <x:c r="M962" s="15" t="str">
        <x:v>未测</x:v>
      </x:c>
      <x:c r="N962" s="15" t="str"/>
      <x:c r="O962" s="15" t="str">
        <x:v>1. 需求：REQ-ACC-001
2. 业务规则来源：需求规格说明.md:11
3. 原始问答：Q007
4. 入口证据：liveshow-proto/prototype/pages/user/profile/settings.html
5. 规则：BR-1030D69BCED27F
6. 基线场景：SCN-ACC-001-01-1
7. 补充前覆盖：未覆盖；最佳匹配 UAUTH-0005；预期分数 0.2159
8. 未动态验证</x:v>
      </x:c>
    </x:row>
    <x:row r="963" ht="132" customHeight="1">
      <x:c r="A963" s="15" t="n">
        <x:v>962</x:v>
      </x:c>
      <x:c r="B963" s="15" t="str">
        <x:v>IDN-U-0002</x:v>
      </x:c>
      <x:c r="C963" s="15" t="str">
        <x:v>账号与资料</x:v>
      </x:c>
      <x:c r="D963" s="15" t="str">
        <x:v>登录与注册（用户视角）</x:v>
      </x:c>
      <x:c r="E963" s="15" t="str">
        <x:v>功能需求</x:v>
      </x:c>
      <x:c r="F963" s="15" t="str">
        <x:v>P2</x:v>
      </x:c>
      <x:c r="G963" s="15" t="str">
        <x:v>验证登录与注册（用户视角）在“正式上线后默认语言为印尼语”场景下的处理</x:v>
      </x:c>
      <x:c r="H963" s="15" t="str">
        <x:v>正式上线后默认语言为印尼语观察项</x:v>
      </x:c>
      <x:c r="I963" s="15" t="str">
        <x:v>1. 未登录用户账号及关联业务数据已准备，账号可进入当前页面</x:v>
      </x:c>
      <x:c r="J963" s="15" t="str">
        <x:v>1. 使用未登录用户账号从当前端导航进入【登录与注册（用户视角）】
2. 清除应用数据或首次安装后启动应用，不手动选择语言，进入登录首页
3. 刷新【登录与注册（用户视角）】，查询“正式上线后默认语言为印尼语”对应的业务记录或界面反馈</x:v>
      </x:c>
      <x:c r="K963" s="15" t="str">
        <x:v>用户 App 正式上线后默认语言为印尼语</x:v>
      </x:c>
      <x:c r="L963" s="15" t="str"/>
      <x:c r="M963" s="15" t="str">
        <x:v>未测</x:v>
      </x:c>
      <x:c r="N963" s="15" t="str"/>
      <x:c r="O963" s="15" t="str">
        <x:v>1. 需求：REQ-ACC-002
2. 业务规则来源：需求规格说明.md:12
3. 原始问答：Q033
4. 入口证据：liveshow-proto/prototype/pages/user/auth/auth-login-register.html
5. 规则：BR-3EBFAEE392DCB1
6. 基线场景：SCN-ACC-002-01-1
7. 补充前覆盖：未覆盖；最佳匹配 UAUTH-0005；预期分数 0.1921
8. 未动态验证</x:v>
      </x:c>
    </x:row>
    <x:row r="964" ht="132" customHeight="1">
      <x:c r="A964" s="15" t="n">
        <x:v>963</x:v>
      </x:c>
      <x:c r="B964" s="15" t="str">
        <x:v>IDN-U-0003</x:v>
      </x:c>
      <x:c r="C964" s="15" t="str">
        <x:v>账号与资料</x:v>
      </x:c>
      <x:c r="D964" s="15" t="str">
        <x:v>国家或地区区号（用户视角）</x:v>
      </x:c>
      <x:c r="E964" s="15" t="str">
        <x:v>功能需求</x:v>
      </x:c>
      <x:c r="F964" s="15" t="str">
        <x:v>P2</x:v>
      </x:c>
      <x:c r="G964" s="15" t="str">
        <x:v>验证国家或地区区号（用户视角）在“手机号码区号选择”场景下的处理</x:v>
      </x:c>
      <x:c r="H964" s="15" t="str">
        <x:v>手机号码区号选择观察项</x:v>
      </x:c>
      <x:c r="I964" s="15" t="str">
        <x:v>1. 未登录用户账号及关联业务数据已准备，账号可进入当前页面</x:v>
      </x:c>
      <x:c r="J964" s="15" t="str">
        <x:v>1. 使用未登录用户账号从当前端导航进入【国家或地区区号（用户视角）】
2. 打开手机号区号选择器，选择 +62 后返回，再改选另一个可用区号
3. 刷新【国家或地区区号（用户视角）】，查询“手机号码区号选择”对应的业务记录或界面反馈</x:v>
      </x:c>
      <x:c r="K964" s="15" t="str">
        <x:v>手机号码区号可选择</x:v>
      </x:c>
      <x:c r="L964" s="15" t="str"/>
      <x:c r="M964" s="15" t="str">
        <x:v>未测</x:v>
      </x:c>
      <x:c r="N964" s="15" t="str"/>
      <x:c r="O964" s="15" t="str">
        <x:v>1. 需求：REQ-ACC-003
2. 业务规则来源：需求规格说明.md:13
3. 原始问答：Q011
4. 入口证据：liveshow-proto/prototype/pages/user/auth/auth-country-select.html
5. 规则：BR-F6715768113E5B
6. 基线场景：SCN-ACC-003-01-1
7. 补充前覆盖：部分覆盖；最佳匹配 UAUTH-0031；预期分数 0.333
8. 未动态验证</x:v>
      </x:c>
    </x:row>
    <x:row r="965" ht="132" customHeight="1">
      <x:c r="A965" s="15" t="n">
        <x:v>964</x:v>
      </x:c>
      <x:c r="B965" s="15" t="str">
        <x:v>IDN-U-0004</x:v>
      </x:c>
      <x:c r="C965" s="15" t="str">
        <x:v>账号与资料</x:v>
      </x:c>
      <x:c r="D965" s="15" t="str">
        <x:v>国家或地区区号（用户视角）</x:v>
      </x:c>
      <x:c r="E965" s="15" t="str">
        <x:v>异常用例</x:v>
      </x:c>
      <x:c r="F965" s="15" t="str">
        <x:v>P2</x:v>
      </x:c>
      <x:c r="G965" s="15" t="str">
        <x:v>验证国家或地区区号（用户视角）在“手机号码区号固定为单一区号”场景下的处理</x:v>
      </x:c>
      <x:c r="H965" s="15" t="str">
        <x:v>手机号码区号固定为单一区号观察项</x:v>
      </x:c>
      <x:c r="I965" s="15" t="str">
        <x:v>1. 未登录用户账号及关联业务数据已准备，账号可进入当前页面</x:v>
      </x:c>
      <x:c r="J965" s="15" t="str">
        <x:v>1. 使用未登录用户账号从当前端导航进入【国家或地区区号（用户视角）】
2. 打开手机号区号选择器，选择 +62 后返回，再改选另一个可用区号
3. 刷新【国家或地区区号（用户视角）】，查询“手机号码区号固定为单一区号”对应的业务记录或界面反馈</x:v>
      </x:c>
      <x:c r="K965" s="15" t="str">
        <x:v>手机号码区号不得固定为单一区号</x:v>
      </x:c>
      <x:c r="L965" s="15" t="str"/>
      <x:c r="M965" s="15" t="str">
        <x:v>未测</x:v>
      </x:c>
      <x:c r="N965" s="15" t="str"/>
      <x:c r="O965" s="15" t="str">
        <x:v>1. 需求：REQ-ACC-003
2. 业务规则来源：需求规格说明.md:13
3. 原始问答：Q011
4. 入口证据：liveshow-proto/prototype/pages/user/auth/auth-country-select.html
5. 规则：BR-34CB656AD9AACC
6. 基线场景：SCN-ACC-003-02-1
7. 补充前覆盖：未覆盖；最佳匹配 UAUTH-0031；预期分数 0.2385
8. 未动态验证</x:v>
      </x:c>
    </x:row>
    <x:row r="966" ht="132" customHeight="1">
      <x:c r="A966" s="15" t="n">
        <x:v>965</x:v>
      </x:c>
      <x:c r="B966" s="15" t="str">
        <x:v>IDN-U-0005</x:v>
      </x:c>
      <x:c r="C966" s="15" t="str">
        <x:v>账号与资料</x:v>
      </x:c>
      <x:c r="D966" s="15" t="str">
        <x:v>邮箱登录（用户视角）</x:v>
      </x:c>
      <x:c r="E966" s="15" t="str">
        <x:v>功能需求</x:v>
      </x:c>
      <x:c r="F966" s="15" t="str">
        <x:v>P2</x:v>
      </x:c>
      <x:c r="G966" s="15" t="str">
        <x:v>验证邮箱登录（用户视角）在“邮箱验证码完成邮箱登录”场景下的处理</x:v>
      </x:c>
      <x:c r="H966" s="15" t="str">
        <x:v>邮箱验证码完成邮箱登录观察项</x:v>
      </x:c>
      <x:c r="I966" s="15" t="str">
        <x:v>1. 未登录用户账号及关联业务数据已准备，账号可进入当前页面</x:v>
      </x:c>
      <x:c r="J966" s="15" t="str">
        <x:v>1. 使用未登录用户账号从当前端导航进入【邮箱登录（用户视角）】
2. 分别选择邮箱验证码登录和邮箱密码登录，输入有效测试邮箱及对应凭证后提交登录
3. 刷新【邮箱登录（用户视角）】，查询“邮箱验证码完成邮箱登录”对应的业务记录或界面反馈</x:v>
      </x:c>
      <x:c r="K966" s="15" t="str">
        <x:v>邮箱验证码可以完成邮箱登录</x:v>
      </x:c>
      <x:c r="L966" s="15" t="str"/>
      <x:c r="M966" s="15" t="str">
        <x:v>未测</x:v>
      </x:c>
      <x:c r="N966" s="15" t="str"/>
      <x:c r="O966" s="15" t="str">
        <x:v>1. 需求：REQ-ACC-004
2. 业务规则来源：需求规格说明.md:14
3. 原始问答：Q012
4. 入口证据：liveshow-proto/prototype/pages/user/auth/auth-email-login.html
5. 规则：BR-A73D1557461838
6. 基线场景：SCN-ACC-004-01-1
7. 补充前覆盖：部分覆盖；最佳匹配 UAUTH-0011；预期分数 0.4214
8. 未动态验证</x:v>
      </x:c>
    </x:row>
    <x:row r="967" ht="132" customHeight="1">
      <x:c r="A967" s="15" t="n">
        <x:v>966</x:v>
      </x:c>
      <x:c r="B967" s="15" t="str">
        <x:v>IDN-U-0006</x:v>
      </x:c>
      <x:c r="C967" s="15" t="str">
        <x:v>账号与资料</x:v>
      </x:c>
      <x:c r="D967" s="15" t="str">
        <x:v>邮箱登录（用户视角）</x:v>
      </x:c>
      <x:c r="E967" s="15" t="str">
        <x:v>功能需求</x:v>
      </x:c>
      <x:c r="F967" s="15" t="str">
        <x:v>P1</x:v>
      </x:c>
      <x:c r="G967" s="15" t="str">
        <x:v>验证邮箱登录（用户视角）在“邮箱密码完成邮箱登录”场景下的处理</x:v>
      </x:c>
      <x:c r="H967" s="15" t="str">
        <x:v>邮箱密码完成邮箱登录观察项</x:v>
      </x:c>
      <x:c r="I967" s="15" t="str">
        <x:v>1. 未登录用户账号及关联业务数据已准备，账号可进入当前页面</x:v>
      </x:c>
      <x:c r="J967" s="15" t="str">
        <x:v>1. 使用未登录用户账号从当前端导航进入【邮箱登录（用户视角）】
2. 分别选择邮箱验证码登录和邮箱密码登录，输入有效测试邮箱及对应凭证后提交登录
3. 刷新【邮箱登录（用户视角）】，查询“邮箱密码完成邮箱登录”对应的业务记录或界面反馈</x:v>
      </x:c>
      <x:c r="K967" s="15" t="str">
        <x:v>邮箱密码可以完成邮箱登录</x:v>
      </x:c>
      <x:c r="L967" s="15" t="str"/>
      <x:c r="M967" s="15" t="str">
        <x:v>未测</x:v>
      </x:c>
      <x:c r="N967" s="15" t="str"/>
      <x:c r="O967" s="15" t="str">
        <x:v>1. 需求：REQ-ACC-004
2. 业务规则来源：需求规格说明.md:14
3. 原始问答：Q012
4. 入口证据：liveshow-proto/prototype/pages/user/auth/auth-email-login.html
5. 规则：BR-0B97E2CFAB95F2
6. 基线场景：SCN-ACC-004-02-1
7. 补充前覆盖：部分覆盖；最佳匹配 UAUTH-0052；预期分数 0.4375
8. 未动态验证</x:v>
      </x:c>
    </x:row>
    <x:row r="968" ht="132" customHeight="1">
      <x:c r="A968" s="15" t="n">
        <x:v>967</x:v>
      </x:c>
      <x:c r="B968" s="15" t="str">
        <x:v>IDN-U-0007</x:v>
      </x:c>
      <x:c r="C968" s="15" t="str">
        <x:v>账号与资料</x:v>
      </x:c>
      <x:c r="D968" s="15" t="str">
        <x:v>资料编辑（用户视角）</x:v>
      </x:c>
      <x:c r="E968" s="15" t="str">
        <x:v>功能需求</x:v>
      </x:c>
      <x:c r="F968" s="15" t="str">
        <x:v>P2</x:v>
      </x:c>
      <x:c r="G968" s="15" t="str">
        <x:v>验证资料编辑（用户视角）在“保存资料时同步触发风控校验”场景下的处理</x:v>
      </x:c>
      <x:c r="H968" s="15" t="str">
        <x:v>保存资料时同步触发风控校验观察项</x:v>
      </x:c>
      <x:c r="I968" s="15" t="str">
        <x:v>1. 普通用户账号及关联业务数据已准备，账号可进入当前页面</x:v>
      </x:c>
      <x:c r="J968" s="15" t="str">
        <x:v>1. 使用普通用户账号从当前端导航进入【资料编辑（用户视角）】
2. 编辑头像或昵称后点击保存，按当前场景让风控服务返回成功、不通过、约 3 秒延迟或网络异常
3. 刷新【资料编辑（用户视角）】，查询“保存资料时同步触发风控校验”对应的业务记录或界面反馈</x:v>
      </x:c>
      <x:c r="K968" s="15" t="str">
        <x:v>保存资料时同步触发风控校验</x:v>
      </x:c>
      <x:c r="L968" s="15" t="str"/>
      <x:c r="M968" s="15" t="str">
        <x:v>未测</x:v>
      </x:c>
      <x:c r="N968" s="15" t="str"/>
      <x:c r="O968" s="15" t="str">
        <x:v>1. 需求：REQ-ACC-005
2. 业务规则来源：需求规格说明.md:15
3. 原始问答：Q010
4. 入口证据：liveshow-proto/prototype/pages/user/profile/profile-edit.html
5. 规则：BR-4A2D9127A64D50
6. 基线场景：SCN-ACC-005-01-1
7. 补充前覆盖：未覆盖；最佳匹配 UAUTH-0057；预期分数 0.25
8. 未动态验证</x:v>
      </x:c>
    </x:row>
    <x:row r="969" ht="132" customHeight="1">
      <x:c r="A969" s="15" t="n">
        <x:v>968</x:v>
      </x:c>
      <x:c r="B969" s="15" t="str">
        <x:v>IDN-U-0008</x:v>
      </x:c>
      <x:c r="C969" s="15" t="str">
        <x:v>账号与资料</x:v>
      </x:c>
      <x:c r="D969" s="15" t="str">
        <x:v>资料编辑（用户视角）</x:v>
      </x:c>
      <x:c r="E969" s="15" t="str">
        <x:v>功能需求</x:v>
      </x:c>
      <x:c r="F969" s="15" t="str">
        <x:v>P2</x:v>
      </x:c>
      <x:c r="G969" s="15" t="str">
        <x:v>验证资料编辑（用户视角）在“约 3 秒校验期间加载状态”场景下的处理</x:v>
      </x:c>
      <x:c r="H969" s="15" t="str">
        <x:v>约 3 秒校验期间加载状态观察项</x:v>
      </x:c>
      <x:c r="I969" s="15" t="str">
        <x:v>1. 普通用户账号及关联业务数据已准备，账号可进入当前页面</x:v>
      </x:c>
      <x:c r="J969" s="15" t="str">
        <x:v>1. 使用普通用户账号从当前端导航进入【资料编辑（用户视角）】
2. 编辑头像或昵称后点击保存，按当前场景让风控服务返回成功、不通过、约 3 秒延迟或网络异常
3. 刷新【资料编辑（用户视角）】，查询“约 3 秒校验期间加载状态”对应的业务记录或界面反馈</x:v>
      </x:c>
      <x:c r="K969" s="15" t="str">
        <x:v>约 3 秒校验期间显示加载状态</x:v>
      </x:c>
      <x:c r="L969" s="15" t="str"/>
      <x:c r="M969" s="15" t="str">
        <x:v>未测</x:v>
      </x:c>
      <x:c r="N969" s="15" t="str"/>
      <x:c r="O969" s="15" t="str">
        <x:v>1. 需求：REQ-ACC-005
2. 业务规则来源：需求规格说明.md:15
3. 原始问答：Q010
4. 入口证据：liveshow-proto/prototype/pages/user/profile/profile-edit.html
5. 规则：BR-3480194F791120
6. 基线场景：SCN-ACC-005-02-1
7. 补充前覆盖：未覆盖；最佳匹配 UPROF-0053；预期分数 0.1
8. 未动态验证</x:v>
      </x:c>
    </x:row>
    <x:row r="970" ht="132" customHeight="1">
      <x:c r="A970" s="15" t="n">
        <x:v>969</x:v>
      </x:c>
      <x:c r="B970" s="15" t="str">
        <x:v>IDN-U-0009</x:v>
      </x:c>
      <x:c r="C970" s="15" t="str">
        <x:v>账号与资料</x:v>
      </x:c>
      <x:c r="D970" s="15" t="str">
        <x:v>资料编辑（用户视角）</x:v>
      </x:c>
      <x:c r="E970" s="15" t="str">
        <x:v>功能需求</x:v>
      </x:c>
      <x:c r="F970" s="15" t="str">
        <x:v>P2</x:v>
      </x:c>
      <x:c r="G970" s="15" t="str">
        <x:v>验证资料编辑（用户视角）在“风控校验成功后保存资料”场景下的处理</x:v>
      </x:c>
      <x:c r="H970" s="15" t="str">
        <x:v>风控校验成功后保存资料观察项</x:v>
      </x:c>
      <x:c r="I970" s="15" t="str">
        <x:v>1. 普通用户账号及关联业务数据已准备，账号可进入当前页面</x:v>
      </x:c>
      <x:c r="J970" s="15" t="str">
        <x:v>1. 使用普通用户账号从当前端导航进入【资料编辑（用户视角）】
2. 编辑头像或昵称后点击保存，按当前场景让风控服务返回成功、不通过、约 3 秒延迟或网络异常
3. 刷新【资料编辑（用户视角）】，查询“风控校验成功后保存资料”对应的业务记录或界面反馈</x:v>
      </x:c>
      <x:c r="K970" s="15" t="str">
        <x:v>风控校验成功后保存资料</x:v>
      </x:c>
      <x:c r="L970" s="15" t="str"/>
      <x:c r="M970" s="15" t="str">
        <x:v>未测</x:v>
      </x:c>
      <x:c r="N970" s="15" t="str"/>
      <x:c r="O970" s="15" t="str">
        <x:v>1. 需求：REQ-ACC-005
2. 业务规则来源：需求规格说明.md:15
3. 原始问答：Q010
4. 入口证据：liveshow-proto/prototype/pages/user/profile/profile-edit.html
5. 规则：BR-CD402F7425E9F0
6. 基线场景：SCN-ACC-005-03-1
7. 补充前覆盖：未覆盖；最佳匹配 UAUTH-0057；预期分数 0.25
8. 未动态验证</x:v>
      </x:c>
    </x:row>
    <x:row r="971" ht="132" customHeight="1">
      <x:c r="A971" s="15" t="n">
        <x:v>970</x:v>
      </x:c>
      <x:c r="B971" s="15" t="str">
        <x:v>IDN-U-0010</x:v>
      </x:c>
      <x:c r="C971" s="15" t="str">
        <x:v>账号与资料</x:v>
      </x:c>
      <x:c r="D971" s="15" t="str">
        <x:v>资料编辑（用户视角）</x:v>
      </x:c>
      <x:c r="E971" s="15" t="str">
        <x:v>异常用例</x:v>
      </x:c>
      <x:c r="F971" s="15" t="str">
        <x:v>P2</x:v>
      </x:c>
      <x:c r="G971" s="15" t="str">
        <x:v>验证资料编辑（用户视角）在“风控校验失败时提示审核不通过”场景下的处理</x:v>
      </x:c>
      <x:c r="H971" s="15" t="str">
        <x:v>风控校验失败时提示审核不通过观察项</x:v>
      </x:c>
      <x:c r="I971" s="15" t="str">
        <x:v>1. 普通用户账号及关联业务数据已准备，账号可进入当前页面
2. 准备会命中风控拒绝规则的头像或昵称</x:v>
      </x:c>
      <x:c r="J971" s="15" t="str">
        <x:v>1. 使用普通用户账号从当前端导航进入【资料编辑（用户视角）】
2. 编辑头像或昵称后点击保存，按当前场景让风控服务返回成功、不通过、约 3 秒延迟或网络异常
3. 刷新【资料编辑（用户视角）】，查询“风控校验失败时提示审核不通过”对应的业务记录或界面反馈</x:v>
      </x:c>
      <x:c r="K971" s="15" t="str">
        <x:v>风控校验失败时提示“审核不通过”</x:v>
      </x:c>
      <x:c r="L971" s="15" t="str"/>
      <x:c r="M971" s="15" t="str">
        <x:v>未测</x:v>
      </x:c>
      <x:c r="N971" s="15" t="str"/>
      <x:c r="O971" s="15" t="str">
        <x:v>1. 需求：REQ-ACC-005
2. 业务规则来源：需求规格说明.md:15
3. 原始问答：Q010
4. 入口证据：liveshow-proto/prototype/pages/user/profile/profile-edit.html
5. 规则：BR-E823263A274006
6. 基线场景：SCN-ACC-005-04-1
7. 补充前覆盖：未覆盖；最佳匹配 UHOME-0004；预期分数 0.1692
8. 未动态验证</x:v>
      </x:c>
    </x:row>
    <x:row r="972" ht="132" customHeight="1">
      <x:c r="A972" s="15" t="n">
        <x:v>971</x:v>
      </x:c>
      <x:c r="B972" s="15" t="str">
        <x:v>IDN-U-0011</x:v>
      </x:c>
      <x:c r="C972" s="15" t="str">
        <x:v>账号与资料</x:v>
      </x:c>
      <x:c r="D972" s="15" t="str">
        <x:v>资料编辑（用户视角）</x:v>
      </x:c>
      <x:c r="E972" s="15" t="str">
        <x:v>功能需求</x:v>
      </x:c>
      <x:c r="F972" s="15" t="str">
        <x:v>P2</x:v>
      </x:c>
      <x:c r="G972" s="15" t="str">
        <x:v>验证资料编辑（用户视角）在“网络异常时提示网络异常，请重试”场景下的处理</x:v>
      </x:c>
      <x:c r="H972" s="15" t="str">
        <x:v>网络异常时提示网络异常，请重试观察项</x:v>
      </x:c>
      <x:c r="I972" s="15" t="str">
        <x:v>1. 普通用户账号及关联业务数据已准备，账号可进入当前页面
2. 可将保存请求切换为断网或超时响应</x:v>
      </x:c>
      <x:c r="J972" s="15" t="str">
        <x:v>1. 使用普通用户账号从当前端导航进入【资料编辑（用户视角）】
2. 编辑头像或昵称后点击保存，按当前场景让风控服务返回成功、不通过、约 3 秒延迟或网络异常
3. 刷新【资料编辑（用户视角）】，查询“网络异常时提示网络异常，请重试”对应的业务记录或界面反馈</x:v>
      </x:c>
      <x:c r="K972" s="15" t="str">
        <x:v>网络异常时提示“网络异常，请重试”</x:v>
      </x:c>
      <x:c r="L972" s="15" t="str"/>
      <x:c r="M972" s="15" t="str">
        <x:v>未测</x:v>
      </x:c>
      <x:c r="N972" s="15" t="str"/>
      <x:c r="O972" s="15" t="str">
        <x:v>1. 需求：REQ-ACC-005
2. 业务规则来源：需求规格说明.md:15
3. 原始问答：Q010
4. 入口证据：liveshow-proto/prototype/pages/user/profile/profile-edit.html
5. 规则：BR-D4B1F6271BD553
6. 基线场景：SCN-ACC-005-05-1
7. 补充前覆盖：部分覆盖；最佳匹配 UPROF-0118；预期分数 0.325
8. 未动态验证</x:v>
      </x:c>
    </x:row>
    <x:row r="973" ht="132" customHeight="1">
      <x:c r="A973" s="15" t="n">
        <x:v>972</x:v>
      </x:c>
      <x:c r="B973" s="15" t="str">
        <x:v>IDN-U-0012</x:v>
      </x:c>
      <x:c r="C973" s="15" t="str">
        <x:v>账号与资料</x:v>
      </x:c>
      <x:c r="D973" s="15" t="str">
        <x:v>账号限制（用户视角）</x:v>
      </x:c>
      <x:c r="E973" s="15" t="str">
        <x:v>功能需求</x:v>
      </x:c>
      <x:c r="F973" s="15" t="str">
        <x:v>P1</x:v>
      </x:c>
      <x:c r="G973" s="15" t="str">
        <x:v>验证账号限制（用户视角）在“被封禁账号执行受限操作时明确提示”场景下的处理</x:v>
      </x:c>
      <x:c r="H973" s="15" t="str">
        <x:v>被封禁账号执行受限操作时明确提示观察项</x:v>
      </x:c>
      <x:c r="I973" s="15" t="str">
        <x:v>1. 被封禁用户账号及关联业务数据已准备，账号可进入当前页面</x:v>
      </x:c>
      <x:c r="J973" s="15" t="str">
        <x:v>1. 使用被封禁用户账号从当前端导航进入【账号限制（用户视角）】
2. 使用已封禁账号进入受限功能并点击提交、发送或开播按钮
3. 刷新【账号限制（用户视角）】，查询“被封禁账号执行受限操作时明确提示”对应的业务记录或界面反馈</x:v>
      </x:c>
      <x:c r="K973" s="15" t="str">
        <x:v>被封禁账号执行受限操作时显示明确提示</x:v>
      </x:c>
      <x:c r="L973" s="15" t="str"/>
      <x:c r="M973" s="15" t="str">
        <x:v>未测</x:v>
      </x:c>
      <x:c r="N973" s="15" t="str"/>
      <x:c r="O973" s="15" t="str">
        <x:v>1. 需求：REQ-ACC-006
2. 业务规则来源：需求规格说明.md:16
3. 原始问答：Q026
4. 入口证据：liveshow-proto/prototype/pages/user/profile/settings.html
5. 规则：BR-F581542830A265
6. 基线场景：SCN-ACC-006-01-1
7. 补充前覆盖：未覆盖；最佳匹配 ULIVE-0207；预期分数 0.16
8. 未动态验证</x:v>
      </x:c>
    </x:row>
    <x:row r="974" ht="132" customHeight="1">
      <x:c r="A974" s="15" t="n">
        <x:v>973</x:v>
      </x:c>
      <x:c r="B974" s="15" t="str">
        <x:v>IDN-U-0013</x:v>
      </x:c>
      <x:c r="C974" s="15" t="str">
        <x:v>账号与资料</x:v>
      </x:c>
      <x:c r="D974" s="15" t="str">
        <x:v>账号注销（用户视角）</x:v>
      </x:c>
      <x:c r="E974" s="15" t="str">
        <x:v>异常用例</x:v>
      </x:c>
      <x:c r="F974" s="15" t="str">
        <x:v>P1</x:v>
      </x:c>
      <x:c r="G974" s="15" t="str">
        <x:v>验证账号注销（用户视角）在“余额为负数的用户注销账号”场景下的处理</x:v>
      </x:c>
      <x:c r="H974" s="15" t="str">
        <x:v>余额为负数的用户注销账号观察项</x:v>
      </x:c>
      <x:c r="I974" s="15" t="str">
        <x:v>1. 普通用户账号及关联业务数据已准备，账号可进入当前页面
2. 测试账号当前余额为 -1</x:v>
      </x:c>
      <x:c r="J974" s="15" t="str">
        <x:v>1. 使用普通用户账号从当前端导航进入【账号注销（用户视角）】
2. 将测试账号余额调整为 -1，再从设置页发起注销并确认
3. 刷新【账号注销（用户视角）】，查询“余额为负数的用户注销账号”对应的业务记录或界面反馈</x:v>
      </x:c>
      <x:c r="K974" s="15" t="str">
        <x:v>余额为负数的用户不能注销账号</x:v>
      </x:c>
      <x:c r="L974" s="15" t="str"/>
      <x:c r="M974" s="15" t="str">
        <x:v>未测</x:v>
      </x:c>
      <x:c r="N974" s="15" t="str"/>
      <x:c r="O974" s="15" t="str">
        <x:v>1. 需求：REQ-ACC-007
2. 业务规则来源：需求规格说明.md:17
3. 原始问答：Q097
4. 入口证据：liveshow-proto/prototype/pages/user/profile/settings.html
5. 规则：BR-6F30CFAE45FD19
6. 基线场景：SCN-ACC-007-01-1
7. 补充前覆盖：未覆盖；最佳匹配 UWALLET-0012；预期分数 0.1818
8. 未动态验证</x:v>
      </x:c>
    </x:row>
    <x:row r="975" ht="132" customHeight="1">
      <x:c r="A975" s="15" t="n">
        <x:v>974</x:v>
      </x:c>
      <x:c r="B975" s="15" t="str">
        <x:v>IDN-U-0014</x:v>
      </x:c>
      <x:c r="C975" s="15" t="str">
        <x:v>账号与资料</x:v>
      </x:c>
      <x:c r="D975" s="15" t="str">
        <x:v>主播认证（申请人视角）</x:v>
      </x:c>
      <x:c r="E975" s="15" t="str">
        <x:v>功能需求</x:v>
      </x:c>
      <x:c r="F975" s="15" t="str">
        <x:v>P2</x:v>
      </x:c>
      <x:c r="G975" s="15" t="str">
        <x:v>验证主播认证（申请人视角）在“主播认证接受 +62 手机号”场景下的处理</x:v>
      </x:c>
      <x:c r="H975" s="15" t="str">
        <x:v>主播认证接受 +62 手机号观察项</x:v>
      </x:c>
      <x:c r="I975" s="15" t="str">
        <x:v>1. 主播申请人账号及关联业务数据已准备，账号可进入当前页面</x:v>
      </x:c>
      <x:c r="J975" s="15" t="str">
        <x:v>1. 使用主播申请人账号从当前端导航进入【主播认证（申请人视角）】
2. 选择主播认证，分别输入 +62 与非 +62 手机号并上传 KTP、印尼驾驶证及其他证件后提交
3. 刷新【主播认证（申请人视角）】，查询“主播认证接受 +62 手机号”对应的业务记录或界面反馈</x:v>
      </x:c>
      <x:c r="K975" s="15" t="str">
        <x:v>主播认证仅接受 +62 手机号</x:v>
      </x:c>
      <x:c r="L975" s="15" t="str"/>
      <x:c r="M975" s="15" t="str">
        <x:v>未测</x:v>
      </x:c>
      <x:c r="N975" s="15" t="str"/>
      <x:c r="O975" s="15" t="str">
        <x:v>1. 需求：REQ-ACC-008
2. 业务规则来源：需求规格说明.md:18
3. 原始问答：Q136
4. 入口证据：liveshow-proto/prototype/pages/user/guild/guild-application-form.html
5. 规则：BR-BF4879B7B09BA0
6. 基线场景：SCN-ACC-008-01-1
7. 补充前覆盖：未覆盖；最佳匹配 UHOST-0109；预期分数 0.2127
8. 未动态验证</x:v>
      </x:c>
    </x:row>
    <x:row r="976" ht="132" customHeight="1">
      <x:c r="A976" s="15" t="n">
        <x:v>975</x:v>
      </x:c>
      <x:c r="B976" s="15" t="str">
        <x:v>IDN-U-0015</x:v>
      </x:c>
      <x:c r="C976" s="15" t="str">
        <x:v>账号与资料</x:v>
      </x:c>
      <x:c r="D976" s="15" t="str">
        <x:v>主播认证（申请人视角）</x:v>
      </x:c>
      <x:c r="E976" s="15" t="str">
        <x:v>功能需求</x:v>
      </x:c>
      <x:c r="F976" s="15" t="str">
        <x:v>P2</x:v>
      </x:c>
      <x:c r="G976" s="15" t="str">
        <x:v>验证主播认证（申请人视角）在“主播认证接受印尼本国驾驶证”场景下的处理</x:v>
      </x:c>
      <x:c r="H976" s="15" t="str">
        <x:v>主播认证接受印尼本国驾驶证观察项</x:v>
      </x:c>
      <x:c r="I976" s="15" t="str">
        <x:v>1. 主播申请人账号及关联业务数据已准备，账号可进入当前页面</x:v>
      </x:c>
      <x:c r="J976" s="15" t="str">
        <x:v>1. 使用主播申请人账号从当前端导航进入【主播认证（申请人视角）】
2. 选择主播认证，分别输入 +62 与非 +62 手机号并上传 KTP、印尼驾驶证及其他证件后提交
3. 刷新【主播认证（申请人视角）】，查询“主播认证接受印尼本国驾驶证”对应的业务记录或界面反馈</x:v>
      </x:c>
      <x:c r="K976" s="15" t="str">
        <x:v>主播认证接受印尼本国驾驶证</x:v>
      </x:c>
      <x:c r="L976" s="15" t="str"/>
      <x:c r="M976" s="15" t="str">
        <x:v>未测</x:v>
      </x:c>
      <x:c r="N976" s="15" t="str"/>
      <x:c r="O976" s="15" t="str">
        <x:v>1. 需求：REQ-ACC-008
2. 业务规则来源：需求规格说明.md:18
3. 原始问答：Q136
4. 入口证据：liveshow-proto/prototype/pages/user/guild/guild-application-form.html
5. 规则：BR-80814CACC2D932
6. 基线场景：SCN-ACC-008-02-1
7. 补充前覆盖：未覆盖；最佳匹配 UHOST-0109；预期分数 0.2943
8. 未动态验证</x:v>
      </x:c>
    </x:row>
    <x:row r="977" ht="132" customHeight="1">
      <x:c r="A977" s="15" t="n">
        <x:v>976</x:v>
      </x:c>
      <x:c r="B977" s="15" t="str">
        <x:v>IDN-U-0016</x:v>
      </x:c>
      <x:c r="C977" s="15" t="str">
        <x:v>账号与资料</x:v>
      </x:c>
      <x:c r="D977" s="15" t="str">
        <x:v>主播认证（申请人视角）</x:v>
      </x:c>
      <x:c r="E977" s="15" t="str">
        <x:v>功能需求</x:v>
      </x:c>
      <x:c r="F977" s="15" t="str">
        <x:v>P2</x:v>
      </x:c>
      <x:c r="G977" s="15" t="str">
        <x:v>验证主播认证（申请人视角）在“主播认证接受 KTP”场景下的处理</x:v>
      </x:c>
      <x:c r="H977" s="15" t="str">
        <x:v>主播认证接受 KTP观察项</x:v>
      </x:c>
      <x:c r="I977" s="15" t="str">
        <x:v>1. 主播申请人账号及关联业务数据已准备，账号可进入当前页面</x:v>
      </x:c>
      <x:c r="J977" s="15" t="str">
        <x:v>1. 使用主播申请人账号从当前端导航进入【主播认证（申请人视角）】
2. 选择主播认证，分别输入 +62 与非 +62 手机号并上传 KTP、印尼驾驶证及其他证件后提交
3. 刷新【主播认证（申请人视角）】，查询“主播认证接受 KTP”对应的业务记录或界面反馈</x:v>
      </x:c>
      <x:c r="K977" s="15" t="str">
        <x:v>主播认证接受 KTP</x:v>
      </x:c>
      <x:c r="L977" s="15" t="str"/>
      <x:c r="M977" s="15" t="str">
        <x:v>未测</x:v>
      </x:c>
      <x:c r="N977" s="15" t="str"/>
      <x:c r="O977" s="15" t="str">
        <x:v>1. 需求：REQ-ACC-008
2. 业务规则来源：需求规格说明.md:18
3. 原始问答：Q136
4. 入口证据：liveshow-proto/prototype/pages/user/guild/guild-application-form.html
5. 规则：BR-168A81E221E933
6. 基线场景：SCN-ACC-008-03-1
7. 补充前覆盖：未覆盖；最佳匹配 UHOST-0109；预期分数 0.2973
8. 未动态验证</x:v>
      </x:c>
    </x:row>
    <x:row r="978" ht="132" customHeight="1">
      <x:c r="A978" s="15" t="n">
        <x:v>977</x:v>
      </x:c>
      <x:c r="B978" s="15" t="str">
        <x:v>IDN-U-0017</x:v>
      </x:c>
      <x:c r="C978" s="15" t="str">
        <x:v>账号与资料</x:v>
      </x:c>
      <x:c r="D978" s="15" t="str">
        <x:v>主播认证（申请人视角）</x:v>
      </x:c>
      <x:c r="E978" s="15" t="str">
        <x:v>异常用例</x:v>
      </x:c>
      <x:c r="F978" s="15" t="str">
        <x:v>P2</x:v>
      </x:c>
      <x:c r="G978" s="15" t="str">
        <x:v>验证主播认证（申请人视角）在“主播认证拒绝非印尼本国驾驶证或非 KTP 证件”场景下的处理</x:v>
      </x:c>
      <x:c r="H978" s="15" t="str">
        <x:v>主播认证拒绝非印尼本国驾驶证或非 KTP 证件观察项</x:v>
      </x:c>
      <x:c r="I978" s="15" t="str">
        <x:v>1. 主播申请人账号及关联业务数据已准备，账号可进入当前页面</x:v>
      </x:c>
      <x:c r="J978" s="15" t="str">
        <x:v>1. 使用主播申请人账号从当前端导航进入【主播认证（申请人视角）】
2. 选择主播认证，分别输入 +62 与非 +62 手机号并上传 KTP、印尼驾驶证及其他证件后提交
3. 刷新【主播认证（申请人视角）】，查询“主播认证拒绝非印尼本国驾驶证或非 KTP 证件”对应的业务记录或界面反馈</x:v>
      </x:c>
      <x:c r="K978" s="15" t="str">
        <x:v>主播认证拒绝非印尼本国驾驶证或非 KTP 证件</x:v>
      </x:c>
      <x:c r="L978" s="15" t="str"/>
      <x:c r="M978" s="15" t="str">
        <x:v>未测</x:v>
      </x:c>
      <x:c r="N978" s="15" t="str"/>
      <x:c r="O978" s="15" t="str">
        <x:v>1. 需求：REQ-ACC-008
2. 业务规则来源：需求规格说明.md:18
3. 原始问答：Q136
4. 入口证据：liveshow-proto/prototype/pages/user/guild/guild-application-form.html
5. 规则：BR-01DB67DDE4272B
6. 基线场景：SCN-ACC-008-04-1
7. 补充前覆盖：未覆盖；最佳匹配 UGUILD-0045；预期分数 0.25
8. 未动态验证</x:v>
      </x:c>
    </x:row>
    <x:row r="979" ht="132" customHeight="1">
      <x:c r="A979" s="15" t="n">
        <x:v>978</x:v>
      </x:c>
      <x:c r="B979" s="15" t="str">
        <x:v>IDN-U-0018</x:v>
      </x:c>
      <x:c r="C979" s="15" t="str">
        <x:v>账号与资料</x:v>
      </x:c>
      <x:c r="D979" s="15" t="str">
        <x:v>手机号注册（用户视角）</x:v>
      </x:c>
      <x:c r="E979" s="15" t="str">
        <x:v>异常用例</x:v>
      </x:c>
      <x:c r="F979" s="15" t="str">
        <x:v>P2</x:v>
      </x:c>
      <x:c r="G979" s="15" t="str">
        <x:v>验证手机号注册（用户视角）在“注册流程屏蔽 +86 手机号”场景下的处理</x:v>
      </x:c>
      <x:c r="H979" s="15" t="str">
        <x:v>注册流程屏蔽 +86 手机号观察项</x:v>
      </x:c>
      <x:c r="I979" s="15" t="str">
        <x:v>1. 未注册用户账号及关联业务数据已准备，账号可进入当前页面</x:v>
      </x:c>
      <x:c r="J979" s="15" t="str">
        <x:v>1. 使用未注册用户账号从当前端导航进入【手机号注册（用户视角）】
2. 在手机号注册页选择 +86 并输入格式正确的号码，尝试获取验证码或提交注册
3. 刷新【手机号注册（用户视角）】，查询“注册流程屏蔽 +86 手机号”对应的业务记录或界面反馈</x:v>
      </x:c>
      <x:c r="K979" s="15" t="str">
        <x:v>注册流程屏蔽 +86 手机号</x:v>
      </x:c>
      <x:c r="L979" s="15" t="str"/>
      <x:c r="M979" s="15" t="str">
        <x:v>未测</x:v>
      </x:c>
      <x:c r="N979" s="15" t="str"/>
      <x:c r="O979" s="15" t="str">
        <x:v>1. 需求：REQ-ACC-009
2. 业务规则来源：需求规格说明.md:19
3. 原始问答：Q136
4. 入口证据：liveshow-proto/prototype/pages/user/auth/auth-phone-login.html
5. 规则：BR-9DCAEB426F18BE
6. 基线场景：SCN-ACC-009-01-1
7. 补充前覆盖：未覆盖；最佳匹配 UAUTH-0001；预期分数 0.185
8. 未动态验证</x:v>
      </x:c>
    </x:row>
    <x:row r="980" ht="132" customHeight="1">
      <x:c r="A980" s="15" t="n">
        <x:v>979</x:v>
      </x:c>
      <x:c r="B980" s="15" t="str">
        <x:v>IDN-U-0019</x:v>
      </x:c>
      <x:c r="C980" s="15" t="str">
        <x:v>账号与资料</x:v>
      </x:c>
      <x:c r="D980" s="15" t="str">
        <x:v>头像与昵称上传（用户视角）</x:v>
      </x:c>
      <x:c r="E980" s="15" t="str">
        <x:v>异常用例</x:v>
      </x:c>
      <x:c r="F980" s="15" t="str">
        <x:v>P2</x:v>
      </x:c>
      <x:c r="G980" s="15" t="str">
        <x:v>验证头像与昵称上传（用户视角）在“违规头像在上传阶段被拦截”场景下的处理</x:v>
      </x:c>
      <x:c r="H980" s="15" t="str">
        <x:v>违规头像在上传阶段被拦截观察项</x:v>
      </x:c>
      <x:c r="I980" s="15" t="str">
        <x:v>1. 普通用户账号及关联业务数据已准备，账号可进入当前页面</x:v>
      </x:c>
      <x:c r="J980" s="15" t="str">
        <x:v>1. 使用普通用户账号从当前端导航进入【头像与昵称上传（用户视角）】
2. 上传已标记违规的头像或输入违规昵称并提交；后台场景同时检查用户资料操作区
3. 刷新【头像与昵称上传（用户视角）】，查询“违规头像在上传阶段被拦截”对应的业务记录或界面反馈</x:v>
      </x:c>
      <x:c r="K980" s="15" t="str">
        <x:v>违规头像在上传阶段被拦截</x:v>
      </x:c>
      <x:c r="L980" s="15" t="str"/>
      <x:c r="M980" s="15" t="str">
        <x:v>未测</x:v>
      </x:c>
      <x:c r="N980" s="15" t="str"/>
      <x:c r="O980" s="15" t="str">
        <x:v>1. 需求：REQ-ACC-010
2. 业务规则来源：需求规格说明.md:20
3. 原始问答：Q107
4. 入口证据：liveshow-proto/prototype/pages/user/profile/profile-edit.html
5. 规则：BR-31CFBD115FD1E6
6. 基线场景：SCN-ACC-010-01-1
7. 补充前覆盖：未覆盖；最佳匹配 UPROF-0046；预期分数 0.1409
8. 未动态验证</x:v>
      </x:c>
    </x:row>
    <x:row r="981" ht="132" customHeight="1">
      <x:c r="A981" s="15" t="n">
        <x:v>980</x:v>
      </x:c>
      <x:c r="B981" s="15" t="str">
        <x:v>IDN-U-0020</x:v>
      </x:c>
      <x:c r="C981" s="15" t="str">
        <x:v>账号与资料</x:v>
      </x:c>
      <x:c r="D981" s="15" t="str">
        <x:v>头像与昵称上传（用户视角）</x:v>
      </x:c>
      <x:c r="E981" s="15" t="str">
        <x:v>异常用例</x:v>
      </x:c>
      <x:c r="F981" s="15" t="str">
        <x:v>P2</x:v>
      </x:c>
      <x:c r="G981" s="15" t="str">
        <x:v>验证头像与昵称上传（用户视角）在“违规昵称在上传阶段被拦截”场景下的处理</x:v>
      </x:c>
      <x:c r="H981" s="15" t="str">
        <x:v>违规昵称在上传阶段被拦截观察项</x:v>
      </x:c>
      <x:c r="I981" s="15" t="str">
        <x:v>1. 普通用户账号及关联业务数据已准备，账号可进入当前页面</x:v>
      </x:c>
      <x:c r="J981" s="15" t="str">
        <x:v>1. 使用普通用户账号从当前端导航进入【头像与昵称上传（用户视角）】
2. 上传已标记违规的头像或输入违规昵称并提交；后台场景同时检查用户资料操作区
3. 刷新【头像与昵称上传（用户视角）】，查询“违规昵称在上传阶段被拦截”对应的业务记录或界面反馈</x:v>
      </x:c>
      <x:c r="K981" s="15" t="str">
        <x:v>违规昵称在上传阶段被拦截</x:v>
      </x:c>
      <x:c r="L981" s="15" t="str"/>
      <x:c r="M981" s="15" t="str">
        <x:v>未测</x:v>
      </x:c>
      <x:c r="N981" s="15" t="str"/>
      <x:c r="O981" s="15" t="str">
        <x:v>1. 需求：REQ-ACC-010
2. 业务规则来源：需求规格说明.md:20
3. 原始问答：Q107
4. 入口证据：liveshow-proto/prototype/pages/user/profile/profile-edit.html
5. 规则：BR-3A54EFF27BA1DB
6. 基线场景：SCN-ACC-010-02-1
7. 补充前覆盖：未覆盖；最佳匹配 UPROF-0105；预期分数 0.1409
8. 未动态验证</x:v>
      </x:c>
    </x:row>
    <x:row r="982" ht="132" customHeight="1">
      <x:c r="A982" s="15" t="n">
        <x:v>981</x:v>
      </x:c>
      <x:c r="B982" s="15" t="str">
        <x:v>IDN-U-0021</x:v>
      </x:c>
      <x:c r="C982" s="15" t="str">
        <x:v>账号与资料</x:v>
      </x:c>
      <x:c r="D982" s="15" t="str">
        <x:v>系统通知（用户视角）</x:v>
      </x:c>
      <x:c r="E982" s="15" t="str">
        <x:v>功能需求</x:v>
      </x:c>
      <x:c r="F982" s="15" t="str">
        <x:v>P2</x:v>
      </x:c>
      <x:c r="G982" s="15" t="str">
        <x:v>验证系统通知（用户视角）在“重置用户资料后向用户发送通知”场景下的处理</x:v>
      </x:c>
      <x:c r="H982" s="15" t="str">
        <x:v>重置用户资料后向用户发送通知观察项</x:v>
      </x:c>
      <x:c r="I982" s="15" t="str">
        <x:v>1. 普通用户账号及关联业务数据已准备，账号可进入当前页面</x:v>
      </x:c>
      <x:c r="J982" s="15" t="str">
        <x:v>1. 使用普通用户账号从当前端导航进入【系统通知（用户视角）】
2. 平台管理员重置测试用户资料后，使用该用户账号刷新系统通知列表
3. 刷新【系统通知（用户视角）】，查询“重置用户资料后向用户发送通知”对应的业务记录或界面反馈</x:v>
      </x:c>
      <x:c r="K982" s="15" t="str">
        <x:v>后台重置用户资料后向用户发送通知</x:v>
      </x:c>
      <x:c r="L982" s="15" t="str">
        <x:v>FLOW-ACC-011-U</x:v>
      </x:c>
      <x:c r="M982" s="15" t="str">
        <x:v>未测</x:v>
      </x:c>
      <x:c r="N982" s="15" t="str"/>
      <x:c r="O982" s="15" t="str">
        <x:v>1. 需求：REQ-ACC-011
2. 业务规则来源：需求规格说明.md:21
3. 原始问答：Q061
4. 入口证据：liveshow-proto/prototype/pages/user/social/system-notifications.html
5. 规则：BR-B8E586BA6793E2
6. 基线场景：SCN-ACC-011-01-1
7. 补充前覆盖：未覆盖；最佳匹配 UPROF-0087；预期分数 0.1818
8. 未动态验证</x:v>
      </x:c>
    </x:row>
    <x:row r="983" ht="132" customHeight="1">
      <x:c r="A983" s="15" t="n">
        <x:v>982</x:v>
      </x:c>
      <x:c r="B983" s="15" t="str">
        <x:v>IDN-U-0022</x:v>
      </x:c>
      <x:c r="C983" s="15" t="str">
        <x:v>账号与资料</x:v>
      </x:c>
      <x:c r="D983" s="15" t="str">
        <x:v>搜索结果（用户视角）</x:v>
      </x:c>
      <x:c r="E983" s="15" t="str">
        <x:v>异常用例</x:v>
      </x:c>
      <x:c r="F983" s="15" t="str">
        <x:v>P2</x:v>
      </x:c>
      <x:c r="G983" s="15" t="str">
        <x:v>验证搜索结果（用户视角）在“普通用户搜索能力”场景下的处理</x:v>
      </x:c>
      <x:c r="H983" s="15" t="str">
        <x:v>普通用户搜索能力观察项</x:v>
      </x:c>
      <x:c r="I983" s="15" t="str">
        <x:v>1. 普通用户账号及关联业务数据已准备，账号可进入当前页面</x:v>
      </x:c>
      <x:c r="J983" s="15" t="str">
        <x:v>1. 使用普通用户账号从当前端导航进入【搜索结果（用户视角）】
2. 分别输入普通用户昵称、主播昵称和直播主题执行搜索，检查返回对象类型
3. 刷新【搜索结果（用户视角）】，查询“普通用户搜索能力”对应的业务记录或界面反馈</x:v>
      </x:c>
      <x:c r="K983" s="15" t="str">
        <x:v>系统不提供普通用户搜索能力</x:v>
      </x:c>
      <x:c r="L983" s="15" t="str"/>
      <x:c r="M983" s="15" t="str">
        <x:v>未测</x:v>
      </x:c>
      <x:c r="N983" s="15" t="str"/>
      <x:c r="O983" s="15" t="str">
        <x:v>1. 需求：REQ-ACC-012
2. 业务规则来源：需求规格说明.md:22
3. 原始问答：Q025
4. 入口证据：liveshow-proto/prototype/pages/user/home/search-results.html
5. 规则：BR-45F0D671C4D3DA
6. 基线场景：SCN-ACC-012-01-1
7. 补充前覆盖：未覆盖；最佳匹配 ULIVE-0134；预期分数 0.1563
8. 未动态验证</x:v>
      </x:c>
    </x:row>
    <x:row r="984" ht="132" customHeight="1">
      <x:c r="A984" s="15" t="n">
        <x:v>983</x:v>
      </x:c>
      <x:c r="B984" s="15" t="str">
        <x:v>IDN-U-0023</x:v>
      </x:c>
      <x:c r="C984" s="15" t="str">
        <x:v>账号与资料</x:v>
      </x:c>
      <x:c r="D984" s="15" t="str">
        <x:v>搜索结果（用户视角）</x:v>
      </x:c>
      <x:c r="E984" s="15" t="str">
        <x:v>功能需求</x:v>
      </x:c>
      <x:c r="F984" s="15" t="str">
        <x:v>P2</x:v>
      </x:c>
      <x:c r="G984" s="15" t="str">
        <x:v>验证搜索结果（用户视角）在“搜索范围主播”场景下的处理</x:v>
      </x:c>
      <x:c r="H984" s="15" t="str">
        <x:v>搜索范围主播观察项</x:v>
      </x:c>
      <x:c r="I984" s="15" t="str">
        <x:v>1. 普通用户账号及关联业务数据已准备，账号可进入当前页面</x:v>
      </x:c>
      <x:c r="J984" s="15" t="str">
        <x:v>1. 使用普通用户账号从当前端导航进入【搜索结果（用户视角）】
2. 分别输入普通用户昵称、主播昵称和直播主题执行搜索，检查返回对象类型
3. 刷新【搜索结果（用户视角）】，查询“搜索范围主播”对应的业务记录或界面反馈</x:v>
      </x:c>
      <x:c r="K984" s="15" t="str">
        <x:v>搜索范围支持主播</x:v>
      </x:c>
      <x:c r="L984" s="15" t="str"/>
      <x:c r="M984" s="15" t="str">
        <x:v>未测</x:v>
      </x:c>
      <x:c r="N984" s="15" t="str"/>
      <x:c r="O984" s="15" t="str">
        <x:v>1. 需求：REQ-ACC-012
2. 业务规则来源：需求规格说明.md:22
3. 原始问答：Q025
4. 入口证据：liveshow-proto/prototype/pages/user/home/search-results.html
5. 规则：BR-04AAFD65874FD2
6. 基线场景：SCN-ACC-012-02-1
7. 补充前覆盖：部分覆盖；最佳匹配 ULIVE-0134；预期分数 0.19
8. 未动态验证</x:v>
      </x:c>
    </x:row>
    <x:row r="985" ht="132" customHeight="1">
      <x:c r="A985" s="15" t="n">
        <x:v>984</x:v>
      </x:c>
      <x:c r="B985" s="15" t="str">
        <x:v>IDN-U-0024</x:v>
      </x:c>
      <x:c r="C985" s="15" t="str">
        <x:v>账号与资料</x:v>
      </x:c>
      <x:c r="D985" s="15" t="str">
        <x:v>搜索结果（用户视角）</x:v>
      </x:c>
      <x:c r="E985" s="15" t="str">
        <x:v>功能需求</x:v>
      </x:c>
      <x:c r="F985" s="15" t="str">
        <x:v>P2</x:v>
      </x:c>
      <x:c r="G985" s="15" t="str">
        <x:v>验证搜索结果（用户视角）在“搜索范围直播内容”场景下的处理</x:v>
      </x:c>
      <x:c r="H985" s="15" t="str">
        <x:v>搜索范围直播内容观察项</x:v>
      </x:c>
      <x:c r="I985" s="15" t="str">
        <x:v>1. 普通用户账号及关联业务数据已准备，账号可进入当前页面</x:v>
      </x:c>
      <x:c r="J985" s="15" t="str">
        <x:v>1. 使用普通用户账号从当前端导航进入【搜索结果（用户视角）】
2. 分别输入普通用户昵称、主播昵称和直播主题执行搜索，检查返回对象类型
3. 刷新【搜索结果（用户视角）】，查询“搜索范围直播内容”对应的业务记录或界面反馈</x:v>
      </x:c>
      <x:c r="K985" s="15" t="str">
        <x:v>搜索范围支持直播内容</x:v>
      </x:c>
      <x:c r="L985" s="15" t="str"/>
      <x:c r="M985" s="15" t="str">
        <x:v>未测</x:v>
      </x:c>
      <x:c r="N985" s="15" t="str"/>
      <x:c r="O985" s="15" t="str">
        <x:v>1. 需求：REQ-ACC-012
2. 业务规则来源：需求规格说明.md:22
3. 原始问答：Q025
4. 入口证据：liveshow-proto/prototype/pages/user/home/search-results.html
5. 规则：BR-0A09CB7195C689
6. 基线场景：SCN-ACC-012-03-1
7. 补充前覆盖：未覆盖；最佳匹配 ULIVE-0181；预期分数 0.25
8. 未动态验证</x:v>
      </x:c>
    </x:row>
    <x:row r="986" ht="132" customHeight="1">
      <x:c r="A986" s="15" t="n">
        <x:v>985</x:v>
      </x:c>
      <x:c r="B986" s="15" t="str">
        <x:v>IDN-U-0025</x:v>
      </x:c>
      <x:c r="C986" s="15" t="str">
        <x:v>直播</x:v>
      </x:c>
      <x:c r="D986" s="15" t="str">
        <x:v>受限直播间（观众视角）</x:v>
      </x:c>
      <x:c r="E986" s="15" t="str">
        <x:v>功能需求</x:v>
      </x:c>
      <x:c r="F986" s="15" t="str">
        <x:v>P2</x:v>
      </x:c>
      <x:c r="G986" s="15" t="str">
        <x:v>验证受限直播间（观众视角）在“受限直播间直播封面图”场景下的处理</x:v>
      </x:c>
      <x:c r="H986" s="15" t="str">
        <x:v>受限直播间直播封面图观察项</x:v>
      </x:c>
      <x:c r="I986" s="15" t="str">
        <x:v>1. 观众账号及关联业务数据已准备，账号可进入当前页面</x:v>
      </x:c>
      <x:c r="J986" s="15" t="str">
        <x:v>1. 使用观众账号从当前端导航进入【受限直播间（观众视角）】
2. 分别从门票房、密码房和已拉黑关系的直播卡片进入直播间，停留在准入校验层
3. 刷新【受限直播间（观众视角）】，查询“受限直播间直播封面图”对应的业务记录或界面反馈</x:v>
      </x:c>
      <x:c r="K986" s="15" t="str">
        <x:v>受限直播间展示直播封面图</x:v>
      </x:c>
      <x:c r="L986" s="15" t="str"/>
      <x:c r="M986" s="15" t="str">
        <x:v>未测</x:v>
      </x:c>
      <x:c r="N986" s="15" t="str"/>
      <x:c r="O986" s="15" t="str">
        <x:v>1. 需求：REQ-LIVE-001
2. 业务规则来源：需求规格说明.md:28
3. 原始问答：Q006
4. 入口证据：liveshow-proto/prototype/pages/user/live/live-room.html
5. 规则：BR-F737257FA39781
6. 基线场景：SCN-LIVE-001-01-1
7. 补充前覆盖：未覆盖；最佳匹配 ULIVE-0159；预期分数 0.2688
8. 未动态验证</x:v>
      </x:c>
    </x:row>
    <x:row r="987" ht="132" customHeight="1">
      <x:c r="A987" s="15" t="n">
        <x:v>986</x:v>
      </x:c>
      <x:c r="B987" s="15" t="str">
        <x:v>IDN-U-0026</x:v>
      </x:c>
      <x:c r="C987" s="15" t="str">
        <x:v>直播</x:v>
      </x:c>
      <x:c r="D987" s="15" t="str">
        <x:v>受限直播间（观众视角）</x:v>
      </x:c>
      <x:c r="E987" s="15" t="str">
        <x:v>功能需求</x:v>
      </x:c>
      <x:c r="F987" s="15" t="str">
        <x:v>P2</x:v>
      </x:c>
      <x:c r="G987" s="15" t="str">
        <x:v>验证受限直播间（观众视角）在“受限直播间毛玻璃遮罩”场景下的处理</x:v>
      </x:c>
      <x:c r="H987" s="15" t="str">
        <x:v>受限直播间毛玻璃遮罩观察项</x:v>
      </x:c>
      <x:c r="I987" s="15" t="str">
        <x:v>1. 观众账号及关联业务数据已准备，账号可进入当前页面</x:v>
      </x:c>
      <x:c r="J987" s="15" t="str">
        <x:v>1. 使用观众账号从当前端导航进入【受限直播间（观众视角）】
2. 分别从门票房、密码房和已拉黑关系的直播卡片进入直播间，停留在准入校验层
3. 刷新【受限直播间（观众视角）】，查询“受限直播间毛玻璃遮罩”对应的业务记录或界面反馈</x:v>
      </x:c>
      <x:c r="K987" s="15" t="str">
        <x:v>受限直播间展示毛玻璃遮罩</x:v>
      </x:c>
      <x:c r="L987" s="15" t="str"/>
      <x:c r="M987" s="15" t="str">
        <x:v>未测</x:v>
      </x:c>
      <x:c r="N987" s="15" t="str"/>
      <x:c r="O987" s="15" t="str">
        <x:v>1. 需求：REQ-LIVE-001
2. 业务规则来源：需求规格说明.md:28
3. 原始问答：Q006
4. 入口证据：liveshow-proto/prototype/pages/user/live/live-room.html
5. 规则：BR-FF8FFD609471F9
6. 基线场景：SCN-LIVE-001-02-1
7. 补充前覆盖：未覆盖；最佳匹配 UPROF-0009；预期分数 0.25
8. 未动态验证</x:v>
      </x:c>
    </x:row>
    <x:row r="988" ht="132" customHeight="1">
      <x:c r="A988" s="15" t="n">
        <x:v>987</x:v>
      </x:c>
      <x:c r="B988" s="15" t="str">
        <x:v>IDN-U-0027</x:v>
      </x:c>
      <x:c r="C988" s="15" t="str">
        <x:v>直播</x:v>
      </x:c>
      <x:c r="D988" s="15" t="str">
        <x:v>受限直播间（观众视角）</x:v>
      </x:c>
      <x:c r="E988" s="15" t="str">
        <x:v>功能需求</x:v>
      </x:c>
      <x:c r="F988" s="15" t="str">
        <x:v>P1</x:v>
      </x:c>
      <x:c r="G988" s="15" t="str">
        <x:v>验证受限直播间（观众视角）在“门票直播间购买门票弹窗”场景下的处理</x:v>
      </x:c>
      <x:c r="H988" s="15" t="str">
        <x:v>门票直播间购买门票弹窗观察项</x:v>
      </x:c>
      <x:c r="I988" s="15" t="str">
        <x:v>1. 观众账号及关联业务数据已准备，账号可进入当前页面</x:v>
      </x:c>
      <x:c r="J988" s="15" t="str">
        <x:v>1. 使用观众账号从当前端导航进入【受限直播间（观众视角）】
2. 分别从门票房、密码房和已拉黑关系的直播卡片进入直播间，停留在准入校验层
3. 刷新【受限直播间（观众视角）】，查询“门票直播间购买门票弹窗”对应的业务记录或界面反馈</x:v>
      </x:c>
      <x:c r="K988" s="15" t="str">
        <x:v>门票直播间展示购买门票弹窗</x:v>
      </x:c>
      <x:c r="L988" s="15" t="str"/>
      <x:c r="M988" s="15" t="str">
        <x:v>未测</x:v>
      </x:c>
      <x:c r="N988" s="15" t="str"/>
      <x:c r="O988" s="15" t="str">
        <x:v>1. 需求：REQ-LIVE-001
2. 业务规则来源：需求规格说明.md:28
3. 原始问答：Q006
4. 入口证据：liveshow-proto/prototype/pages/user/live/live-room.html
5. 规则：BR-4FBBCDB5603EF2
6. 基线场景：SCN-LIVE-001-03-1
7. 补充前覆盖：未覆盖；最佳匹配 UPROF-0009；预期分数 0.25
8. 未动态验证</x:v>
      </x:c>
    </x:row>
    <x:row r="989" ht="132" customHeight="1">
      <x:c r="A989" s="15" t="n">
        <x:v>988</x:v>
      </x:c>
      <x:c r="B989" s="15" t="str">
        <x:v>IDN-U-0028</x:v>
      </x:c>
      <x:c r="C989" s="15" t="str">
        <x:v>直播</x:v>
      </x:c>
      <x:c r="D989" s="15" t="str">
        <x:v>受限直播间（观众视角）</x:v>
      </x:c>
      <x:c r="E989" s="15" t="str">
        <x:v>功能需求</x:v>
      </x:c>
      <x:c r="F989" s="15" t="str">
        <x:v>P1</x:v>
      </x:c>
      <x:c r="G989" s="15" t="str">
        <x:v>验证受限直播间（观众视角）在“密码直播间输入密码弹窗”场景下的处理</x:v>
      </x:c>
      <x:c r="H989" s="15" t="str">
        <x:v>密码直播间输入密码弹窗观察项</x:v>
      </x:c>
      <x:c r="I989" s="15" t="str">
        <x:v>1. 观众账号及关联业务数据已准备，账号可进入当前页面</x:v>
      </x:c>
      <x:c r="J989" s="15" t="str">
        <x:v>1. 使用观众账号从当前端导航进入【受限直播间（观众视角）】
2. 分别从门票房、密码房和已拉黑关系的直播卡片进入直播间，停留在准入校验层
3. 刷新【受限直播间（观众视角）】，查询“密码直播间输入密码弹窗”对应的业务记录或界面反馈</x:v>
      </x:c>
      <x:c r="K989" s="15" t="str">
        <x:v>密码直播间展示输入密码弹窗</x:v>
      </x:c>
      <x:c r="L989" s="15" t="str"/>
      <x:c r="M989" s="15" t="str">
        <x:v>未测</x:v>
      </x:c>
      <x:c r="N989" s="15" t="str"/>
      <x:c r="O989" s="15" t="str">
        <x:v>1. 需求：REQ-LIVE-001
2. 业务规则来源：需求规格说明.md:28
3. 原始问答：Q006
4. 入口证据：liveshow-proto/prototype/pages/user/live/live-room.html
5. 规则：BR-A618DDE8F94BAC
6. 基线场景：SCN-LIVE-001-04-1
7. 补充前覆盖：部分覆盖；最佳匹配 ULIVE-0270；预期分数 0.3
8. 未动态验证</x:v>
      </x:c>
    </x:row>
    <x:row r="990" ht="132" customHeight="1">
      <x:c r="A990" s="15" t="n">
        <x:v>989</x:v>
      </x:c>
      <x:c r="B990" s="15" t="str">
        <x:v>IDN-U-0029</x:v>
      </x:c>
      <x:c r="C990" s="15" t="str">
        <x:v>直播</x:v>
      </x:c>
      <x:c r="D990" s="15" t="str">
        <x:v>受限直播间（观众视角）</x:v>
      </x:c>
      <x:c r="E990" s="15" t="str">
        <x:v>功能需求</x:v>
      </x:c>
      <x:c r="F990" s="15" t="str">
        <x:v>P1</x:v>
      </x:c>
      <x:c r="G990" s="15" t="str">
        <x:v>验证受限直播间（观众视角）在“被拉黑用户进入直播间时拉黑提示弹窗”场景下的处理</x:v>
      </x:c>
      <x:c r="H990" s="15" t="str">
        <x:v>被拉黑用户进入直播间时拉黑提示弹窗观察项</x:v>
      </x:c>
      <x:c r="I990" s="15" t="str">
        <x:v>1. 观众账号及关联业务数据已准备，账号可进入当前页面</x:v>
      </x:c>
      <x:c r="J990" s="15" t="str">
        <x:v>1. 使用观众账号从当前端导航进入【受限直播间（观众视角）】
2. 分别从门票房、密码房和已拉黑关系的直播卡片进入直播间，停留在准入校验层
3. 刷新【受限直播间（观众视角）】，查询“被拉黑用户进入直播间时拉黑提示弹窗”对应的业务记录或界面反馈</x:v>
      </x:c>
      <x:c r="K990" s="15" t="str">
        <x:v>被拉黑用户进入直播间时展示拉黑提示弹窗</x:v>
      </x:c>
      <x:c r="L990" s="15" t="str"/>
      <x:c r="M990" s="15" t="str">
        <x:v>未测</x:v>
      </x:c>
      <x:c r="N990" s="15" t="str"/>
      <x:c r="O990" s="15" t="str">
        <x:v>1. 需求：REQ-LIVE-001
2. 业务规则来源：需求规格说明.md:28
3. 原始问答：Q006
4. 入口证据：liveshow-proto/prototype/pages/user/live/live-room.html
5. 规则：BR-D471C2B3D48934
6. 基线场景：SCN-LIVE-001-05-1
7. 补充前覆盖：部分覆盖；最佳匹配 USOC-0008；预期分数 0.2385
8. 未动态验证</x:v>
      </x:c>
    </x:row>
    <x:row r="991" ht="132" customHeight="1">
      <x:c r="A991" s="15" t="n">
        <x:v>990</x:v>
      </x:c>
      <x:c r="B991" s="15" t="str">
        <x:v>IDN-U-0030</x:v>
      </x:c>
      <x:c r="C991" s="15" t="str">
        <x:v>直播</x:v>
      </x:c>
      <x:c r="D991" s="15" t="str">
        <x:v>直播间礼物特效（观众视角）</x:v>
      </x:c>
      <x:c r="E991" s="15" t="str">
        <x:v>功能需求</x:v>
      </x:c>
      <x:c r="F991" s="15" t="str">
        <x:v>P2</x:v>
      </x:c>
      <x:c r="G991" s="15" t="str">
        <x:v>验证直播间礼物特效（观众视角）在“直播间礼物特效”场景下的处理</x:v>
      </x:c>
      <x:c r="H991" s="15" t="str">
        <x:v>直播间礼物特效观察项</x:v>
      </x:c>
      <x:c r="I991" s="15" t="str">
        <x:v>1. 观众账号及关联业务数据已准备，账号可进入当前页面</x:v>
      </x:c>
      <x:c r="J991" s="15" t="str">
        <x:v>1. 使用观众账号从当前端导航进入【直播间礼物特效（观众视角）】
2. 在直播间发送普通礼物，再启用个人装扮道具并发送消息，对比两类展示效果
3. 刷新【直播间礼物特效（观众视角）】，查询“直播间礼物特效”对应的业务记录或界面反馈</x:v>
      </x:c>
      <x:c r="K991" s="15" t="str">
        <x:v>直播间礼物支持特效</x:v>
      </x:c>
      <x:c r="L991" s="15" t="str"/>
      <x:c r="M991" s="15" t="str">
        <x:v>未测</x:v>
      </x:c>
      <x:c r="N991" s="15" t="str"/>
      <x:c r="O991" s="15" t="str">
        <x:v>1. 需求：REQ-LIVE-002
2. 业务规则来源：需求规格说明.md:29
3. 原始问答：Q013
4. 入口证据：liveshow-proto/prototype/pages/user/live/live-room.html
5. 规则：BR-C782DED43C88B0
6. 基线场景：SCN-LIVE-002-01-1
7. 补充前覆盖：未覆盖；最佳匹配 UPROF-0009；预期分数 0.25
8. 未动态验证</x:v>
      </x:c>
    </x:row>
    <x:row r="992" ht="132" customHeight="1">
      <x:c r="A992" s="15" t="n">
        <x:v>991</x:v>
      </x:c>
      <x:c r="B992" s="15" t="str">
        <x:v>IDN-U-0031</x:v>
      </x:c>
      <x:c r="C992" s="15" t="str">
        <x:v>直播</x:v>
      </x:c>
      <x:c r="D992" s="15" t="str">
        <x:v>直播间礼物特效（观众视角）</x:v>
      </x:c>
      <x:c r="E992" s="15" t="str">
        <x:v>异常用例</x:v>
      </x:c>
      <x:c r="F992" s="15" t="str">
        <x:v>P2</x:v>
      </x:c>
      <x:c r="G992" s="15" t="str">
        <x:v>验证直播间礼物特效（观众视角）在“个人装扮道具不礼物特效”场景下的处理</x:v>
      </x:c>
      <x:c r="H992" s="15" t="str">
        <x:v>个人装扮道具不礼物特效观察项</x:v>
      </x:c>
      <x:c r="I992" s="15" t="str">
        <x:v>1. 观众账号及关联业务数据已准备，账号可进入当前页面</x:v>
      </x:c>
      <x:c r="J992" s="15" t="str">
        <x:v>1. 使用观众账号从当前端导航进入【直播间礼物特效（观众视角）】
2. 在直播间发送普通礼物，再启用个人装扮道具并发送消息，对比两类展示效果
3. 刷新【直播间礼物特效（观众视角）】，查询“个人装扮道具不礼物特效”对应的业务记录或界面反馈</x:v>
      </x:c>
      <x:c r="K992" s="15" t="str">
        <x:v>个人装扮道具不使用礼物特效</x:v>
      </x:c>
      <x:c r="L992" s="15" t="str"/>
      <x:c r="M992" s="15" t="str">
        <x:v>未测</x:v>
      </x:c>
      <x:c r="N992" s="15" t="str"/>
      <x:c r="O992" s="15" t="str">
        <x:v>1. 需求：REQ-LIVE-002
2. 业务规则来源：需求规格说明.md:29
3. 原始问答：Q013
4. 入口证据：liveshow-proto/prototype/pages/user/live/live-room.html
5. 规则：BR-DC636DE7BF6823
6. 基线场景：SCN-LIVE-002-02-1
7. 补充前覆盖：未覆盖；最佳匹配 UPROF-0083；预期分数 0.1375
8. 未动态验证</x:v>
      </x:c>
    </x:row>
    <x:row r="993" ht="132" customHeight="1">
      <x:c r="A993" s="15" t="n">
        <x:v>992</x:v>
      </x:c>
      <x:c r="B993" s="15" t="str">
        <x:v>IDN-U-0032</x:v>
      </x:c>
      <x:c r="C993" s="15" t="str">
        <x:v>直播</x:v>
      </x:c>
      <x:c r="D993" s="15" t="str">
        <x:v>直播数据（主播视角）</x:v>
      </x:c>
      <x:c r="E993" s="15" t="str">
        <x:v>异常用例</x:v>
      </x:c>
      <x:c r="F993" s="15" t="str">
        <x:v>P1</x:v>
      </x:c>
      <x:c r="G993" s="15" t="str">
        <x:v>验证直播数据（主播视角）在“直播访问量按进入次数统计且不按账号去重”场景下的处理</x:v>
      </x:c>
      <x:c r="H993" s="15" t="str">
        <x:v>直播访问量按进入次数统计且不按账号去重观察项</x:v>
      </x:c>
      <x:c r="I993" s="15" t="str">
        <x:v>1. 主播账号及关联业务数据已准备，账号可进入当前页面</x:v>
      </x:c>
      <x:c r="J993" s="15" t="str">
        <x:v>1. 使用主播账号从当前端导航进入【直播数据（主播视角）】
2. 使用同一账号连续进入并退出同一直播间 5 次，再刷新各端访问统计
3. 刷新【直播数据（主播视角）】，查询“直播访问量按进入次数统计且不按账号去重”对应的业务记录或界面反馈</x:v>
      </x:c>
      <x:c r="K993" s="15" t="str">
        <x:v>直播访问量按进入次数统计且不按账号去重</x:v>
      </x:c>
      <x:c r="L993" s="15" t="str"/>
      <x:c r="M993" s="15" t="str">
        <x:v>未测</x:v>
      </x:c>
      <x:c r="N993" s="15" t="str"/>
      <x:c r="O993" s="15" t="str">
        <x:v>1. 需求：REQ-LIVE-004
2. 业务规则来源：需求规格说明.md:31
3. 原始问答：Q015
4. 入口证据：liveshow-proto/prototype/pages/user/host/live-data.html
5. 规则：BR-61901446E87EE8
6. 基线场景：SCN-LIVE-004-01-1
7. 补充前覆盖：未覆盖；最佳匹配 USOC-0110；预期分数 0.15
8. 未动态验证</x:v>
      </x:c>
    </x:row>
    <x:row r="994" ht="132" customHeight="1">
      <x:c r="A994" s="15" t="n">
        <x:v>993</x:v>
      </x:c>
      <x:c r="B994" s="15" t="str">
        <x:v>IDN-U-0033</x:v>
      </x:c>
      <x:c r="C994" s="15" t="str">
        <x:v>直播</x:v>
      </x:c>
      <x:c r="D994" s="15" t="str">
        <x:v>直播数据（主播视角）</x:v>
      </x:c>
      <x:c r="E994" s="15" t="str">
        <x:v>功能需求</x:v>
      </x:c>
      <x:c r="F994" s="15" t="str">
        <x:v>P1</x:v>
      </x:c>
      <x:c r="G994" s="15" t="str">
        <x:v>验证直播数据（主播视角）在“同一账号进入 5 次时访问量增加 5”场景下的处理</x:v>
      </x:c>
      <x:c r="H994" s="15" t="str">
        <x:v>同一账号进入 5 次时访问量增加 5观察项</x:v>
      </x:c>
      <x:c r="I994" s="15" t="str">
        <x:v>1. 主播账号及关联业务数据已准备，账号可进入当前页面
2. 记录首次进入前的访问量基线</x:v>
      </x:c>
      <x:c r="J994" s="15" t="str">
        <x:v>1. 使用主播账号从当前端导航进入【直播数据（主播视角）】
2. 使用同一账号连续进入并退出同一直播间 5 次，再刷新各端访问统计
3. 刷新【直播数据（主播视角）】，查询“同一账号进入 5 次时访问量增加 5”对应的业务记录或界面反馈</x:v>
      </x:c>
      <x:c r="K994" s="15" t="str">
        <x:v>同一账号进入 5 次时访问量增加 5</x:v>
      </x:c>
      <x:c r="L994" s="15" t="str"/>
      <x:c r="M994" s="15" t="str">
        <x:v>未测</x:v>
      </x:c>
      <x:c r="N994" s="15" t="str"/>
      <x:c r="O994" s="15" t="str">
        <x:v>1. 需求：REQ-LIVE-004
2. 业务规则来源：需求规格说明.md:31
3. 原始问答：Q015
4. 入口证据：liveshow-proto/prototype/pages/user/host/live-data.html
5. 规则：BR-608DAB84623172
6. 基线场景：SCN-LIVE-004-02-1
7. 补充前覆盖：未覆盖；最佳匹配 UPROF-0052；预期分数 0.1321
8. 未动态验证</x:v>
      </x:c>
    </x:row>
    <x:row r="995" ht="132" customHeight="1">
      <x:c r="A995" s="15" t="n">
        <x:v>994</x:v>
      </x:c>
      <x:c r="B995" s="15" t="str">
        <x:v>IDN-U-0034</x:v>
      </x:c>
      <x:c r="C995" s="15" t="str">
        <x:v>直播</x:v>
      </x:c>
      <x:c r="D995" s="15" t="str">
        <x:v>主播直播间（主播视角）</x:v>
      </x:c>
      <x:c r="E995" s="15" t="str">
        <x:v>异常用例</x:v>
      </x:c>
      <x:c r="F995" s="15" t="str">
        <x:v>P2</x:v>
      </x:c>
      <x:c r="G995" s="15" t="str">
        <x:v>验证主播直播间（主播视角）在“断流但场次不结束的独立功能”场景下的处理</x:v>
      </x:c>
      <x:c r="H995" s="15" t="str">
        <x:v>断流但场次不结束的独立功能观察项</x:v>
      </x:c>
      <x:c r="I995" s="15" t="str">
        <x:v>1. 主播账号及关联业务数据已准备，账号可进入当前页面</x:v>
      </x:c>
      <x:c r="J995" s="15" t="str">
        <x:v>1. 使用主播账号从当前端导航进入【主播直播间（主播视角）】
2. 主播开播后模拟网络断流，检查直播控制区可用操作及场次状态
3. 刷新【主播直播间（主播视角）】，查询“断流但场次不结束的独立功能”对应的业务记录或界面反馈</x:v>
      </x:c>
      <x:c r="K995" s="15" t="str">
        <x:v>系统不提供“断流但场次不结束”的独立功能</x:v>
      </x:c>
      <x:c r="L995" s="15" t="str"/>
      <x:c r="M995" s="15" t="str">
        <x:v>未测</x:v>
      </x:c>
      <x:c r="N995" s="15" t="str"/>
      <x:c r="O995" s="15" t="str">
        <x:v>1. 需求：REQ-LIVE-005
2. 业务规则来源：需求规格说明.md:32
3. 原始问答：Q016
4. 入口证据：liveshow-proto/prototype/pages/user/live/live-room-host.html
5. 规则：BR-860B5AD51DF403
6. 基线场景：SCN-LIVE-005-01-1
7. 补充前覆盖：未覆盖；最佳匹配 USOC-0020；预期分数 0.1346
8. 未动态验证</x:v>
      </x:c>
    </x:row>
    <x:row r="996" ht="132" customHeight="1">
      <x:c r="A996" s="15" t="n">
        <x:v>995</x:v>
      </x:c>
      <x:c r="B996" s="15" t="str">
        <x:v>IDN-U-0035</x:v>
      </x:c>
      <x:c r="C996" s="15" t="str">
        <x:v>直播</x:v>
      </x:c>
      <x:c r="D996" s="15" t="str">
        <x:v>门票订单（观众视角）</x:v>
      </x:c>
      <x:c r="E996" s="15" t="str">
        <x:v>异常用例</x:v>
      </x:c>
      <x:c r="F996" s="15" t="str">
        <x:v>P1</x:v>
      </x:c>
      <x:c r="G996" s="15" t="str">
        <x:v>验证门票订单（观众视角）在“强制关闭门票直播间后不退还观众已支付门票”场景下的处理</x:v>
      </x:c>
      <x:c r="H996" s="15" t="str">
        <x:v>强制关闭门票直播间后不退还观众已支付门票观察项</x:v>
      </x:c>
      <x:c r="I996" s="15" t="str">
        <x:v>1. 已购票观众账号及关联业务数据已准备，账号可进入当前页面</x:v>
      </x:c>
      <x:c r="J996" s="15" t="str">
        <x:v>1. 使用已购票观众账号从当前端导航进入【门票订单（观众视角）】
2. 平台管理员强制关闭已有付费观众的门票房，再刷新观众订单与余额
3. 刷新【门票订单（观众视角）】，查询“强制关闭门票直播间后不退还观众已支付门票”对应的业务记录或界面反馈</x:v>
      </x:c>
      <x:c r="K996" s="15" t="str">
        <x:v>后台强制关闭门票直播间后不自动退还观众已支付门票</x:v>
      </x:c>
      <x:c r="L996" s="15" t="str">
        <x:v>FLOW-LIVE-006-U</x:v>
      </x:c>
      <x:c r="M996" s="15" t="str">
        <x:v>未测</x:v>
      </x:c>
      <x:c r="N996" s="15" t="str"/>
      <x:c r="O996" s="15" t="str">
        <x:v>1. 需求：REQ-LIVE-006
2. 业务规则来源：需求规格说明.md:33
3. 原始问答：Q017
4. 入口证据：liveshow-proto/prototype/pages/user/wallet/order-expense-detail.html
5. 规则：BR-608EC1AF11E2AC
6. 基线场景：SCN-LIVE-006-01-1
7. 补充前覆盖：未覆盖；最佳匹配 ULIVE-0235；预期分数 0.1818
8. 未动态验证</x:v>
      </x:c>
    </x:row>
    <x:row r="997" ht="132" customHeight="1">
      <x:c r="A997" s="15" t="n">
        <x:v>996</x:v>
      </x:c>
      <x:c r="B997" s="15" t="str">
        <x:v>IDN-U-0036</x:v>
      </x:c>
      <x:c r="C997" s="15" t="str">
        <x:v>直播</x:v>
      </x:c>
      <x:c r="D997" s="15" t="str">
        <x:v>直播记录（主播视角）</x:v>
      </x:c>
      <x:c r="E997" s="15" t="str">
        <x:v>功能需求</x:v>
      </x:c>
      <x:c r="F997" s="15" t="str">
        <x:v>P2</x:v>
      </x:c>
      <x:c r="G997" s="15" t="str">
        <x:v>验证直播记录（主播视角）在“只加入新公会后产生的数据”场景下的处理</x:v>
      </x:c>
      <x:c r="H997" s="15" t="str">
        <x:v>只加入新公会后产生的数据观察项</x:v>
      </x:c>
      <x:c r="I997" s="15" t="str">
        <x:v>1. 主播账号及关联业务数据已准备，账号可进入当前页面</x:v>
      </x:c>
      <x:c r="J997" s="15" t="str">
        <x:v>1. 使用主播账号从当前端导航进入【直播记录（主播视角）】
2. 让主播退出旧公会并加入新公会，在三个目标端分别查询变更前后直播历史
3. 刷新【直播记录（主播视角）】，查询“只加入新公会后产生的数据”对应的业务记录或界面反馈</x:v>
      </x:c>
      <x:c r="K997" s="15" t="str">
        <x:v>主播端只展示加入新公会后产生的数据</x:v>
      </x:c>
      <x:c r="L997" s="15" t="str">
        <x:v>FLOW-LIVE-007-U</x:v>
      </x:c>
      <x:c r="M997" s="15" t="str">
        <x:v>未测</x:v>
      </x:c>
      <x:c r="N997" s="15" t="str"/>
      <x:c r="O997" s="15" t="str">
        <x:v>1. 需求：REQ-LIVE-007
2. 业务规则来源：需求规格说明.md:34
3. 原始问答：Q018
4. 入口证据：liveshow-proto/prototype/pages/user/host/live-records.html
5. 规则：BR-2EC78EAE8151F0
6. 基线场景：SCN-LIVE-007-02-1
7. 补充前覆盖：未覆盖；最佳匹配 UPROF-0043；预期分数 0.1989
8. 未动态验证</x:v>
      </x:c>
    </x:row>
    <x:row r="998" ht="132" customHeight="1">
      <x:c r="A998" s="15" t="n">
        <x:v>997</x:v>
      </x:c>
      <x:c r="B998" s="15" t="str">
        <x:v>IDN-U-0037</x:v>
      </x:c>
      <x:c r="C998" s="15" t="str">
        <x:v>直播</x:v>
      </x:c>
      <x:c r="D998" s="15" t="str">
        <x:v>主播中心（主播视角）</x:v>
      </x:c>
      <x:c r="E998" s="15" t="str">
        <x:v>功能需求</x:v>
      </x:c>
      <x:c r="F998" s="15" t="str">
        <x:v>P2</x:v>
      </x:c>
      <x:c r="G998" s="15" t="str">
        <x:v>验证主播中心（主播视角）在“主播 ID 与直播间 ID 同一标识”场景下的处理</x:v>
      </x:c>
      <x:c r="H998" s="15" t="str">
        <x:v>主播 ID 与直播间 ID 同一标识观察项</x:v>
      </x:c>
      <x:c r="I998" s="15" t="str">
        <x:v>1. 主播账号及关联业务数据已准备，账号可进入当前页面</x:v>
      </x:c>
      <x:c r="J998" s="15" t="str">
        <x:v>1. 使用主播账号从当前端导航进入【主播中心（主播视角）】
2. 记录主播与直播间 ID，完成主播退出身份和恢复身份，再次查询两个标识
3. 刷新【主播中心（主播视角）】，查询“主播 ID 与直播间 ID 同一标识”对应的业务记录或界面反馈</x:v>
      </x:c>
      <x:c r="K998" s="15" t="str">
        <x:v>主播 ID 与直播间 ID 使用同一标识</x:v>
      </x:c>
      <x:c r="L998" s="15" t="str"/>
      <x:c r="M998" s="15" t="str">
        <x:v>未测</x:v>
      </x:c>
      <x:c r="N998" s="15" t="str"/>
      <x:c r="O998" s="15" t="str">
        <x:v>1. 需求：REQ-LIVE-008
2. 业务规则来源：需求规格说明.md:35
3. 原始问答：Q019
4. 入口证据：liveshow-proto/prototype/pages/user/host/host-center.html
5. 规则：BR-585FA831055051
6. 基线场景：SCN-LIVE-008-01-1
7. 补充前覆盖：部分覆盖；最佳匹配 UHOME-0059；预期分数 0.3571
8. 未动态验证</x:v>
      </x:c>
    </x:row>
    <x:row r="999" ht="132" customHeight="1">
      <x:c r="A999" s="15" t="n">
        <x:v>998</x:v>
      </x:c>
      <x:c r="B999" s="15" t="str">
        <x:v>IDN-U-0038</x:v>
      </x:c>
      <x:c r="C999" s="15" t="str">
        <x:v>直播</x:v>
      </x:c>
      <x:c r="D999" s="15" t="str">
        <x:v>主播中心（主播视角）</x:v>
      </x:c>
      <x:c r="E999" s="15" t="str">
        <x:v>异常用例</x:v>
      </x:c>
      <x:c r="F999" s="15" t="str">
        <x:v>P2</x:v>
      </x:c>
      <x:c r="G999" s="15" t="str">
        <x:v>验证主播中心（主播视角）在“主播退出身份后固定直播间不变化”场景下的处理</x:v>
      </x:c>
      <x:c r="H999" s="15" t="str">
        <x:v>主播退出身份后固定直播间不变化观察项</x:v>
      </x:c>
      <x:c r="I999" s="15" t="str">
        <x:v>1. 主播账号及关联业务数据已准备，账号可进入当前页面</x:v>
      </x:c>
      <x:c r="J999" s="15" t="str">
        <x:v>1. 使用主播账号从当前端导航进入【主播中心（主播视角）】
2. 记录主播与直播间 ID，完成主播退出身份和恢复身份，再次查询两个标识
3. 刷新【主播中心（主播视角）】，查询“主播退出身份后固定直播间不变化”对应的业务记录或界面反馈</x:v>
      </x:c>
      <x:c r="K999" s="15" t="str">
        <x:v>主播退出身份后固定直播间不变化</x:v>
      </x:c>
      <x:c r="L999" s="15" t="str"/>
      <x:c r="M999" s="15" t="str">
        <x:v>未测</x:v>
      </x:c>
      <x:c r="N999" s="15" t="str"/>
      <x:c r="O999" s="15" t="str">
        <x:v>1. 需求：REQ-LIVE-008
2. 业务规则来源：需求规格说明.md:35
3. 原始问答：Q019
4. 入口证据：liveshow-proto/prototype/pages/user/host/host-center.html
5. 规则：BR-2438C0D0E5F413
6. 基线场景：SCN-LIVE-008-02-1
7. 补充前覆盖：未覆盖；最佳匹配 UHOME-0059；预期分数 0.231
8. 未动态验证</x:v>
      </x:c>
    </x:row>
    <x:row r="1000" ht="132" customHeight="1">
      <x:c r="A1000" s="15" t="n">
        <x:v>999</x:v>
      </x:c>
      <x:c r="B1000" s="15" t="str">
        <x:v>IDN-U-0039</x:v>
      </x:c>
      <x:c r="C1000" s="15" t="str">
        <x:v>直播</x:v>
      </x:c>
      <x:c r="D1000" s="15" t="str">
        <x:v>主播中心（主播视角）</x:v>
      </x:c>
      <x:c r="E1000" s="15" t="str">
        <x:v>异常用例</x:v>
      </x:c>
      <x:c r="F1000" s="15" t="str">
        <x:v>P2</x:v>
      </x:c>
      <x:c r="G1000" s="15" t="str">
        <x:v>验证主播中心（主播视角）在“主播恢复身份后固定直播间不变化”场景下的处理</x:v>
      </x:c>
      <x:c r="H1000" s="15" t="str">
        <x:v>主播恢复身份后固定直播间不变化观察项</x:v>
      </x:c>
      <x:c r="I1000" s="15" t="str">
        <x:v>1. 主播账号及关联业务数据已准备，账号可进入当前页面</x:v>
      </x:c>
      <x:c r="J1000" s="15" t="str">
        <x:v>1. 使用主播账号从当前端导航进入【主播中心（主播视角）】
2. 记录主播与直播间 ID，完成主播退出身份和恢复身份，再次查询两个标识
3. 刷新【主播中心（主播视角）】，查询“主播恢复身份后固定直播间不变化”对应的业务记录或界面反馈</x:v>
      </x:c>
      <x:c r="K1000" s="15" t="str">
        <x:v>主播恢复身份后固定直播间不变化</x:v>
      </x:c>
      <x:c r="L1000" s="15" t="str"/>
      <x:c r="M1000" s="15" t="str">
        <x:v>未测</x:v>
      </x:c>
      <x:c r="N1000" s="15" t="str"/>
      <x:c r="O1000" s="15" t="str">
        <x:v>1. 需求：REQ-LIVE-008
2. 业务规则来源：需求规格说明.md:35
3. 原始问答：Q019
4. 入口证据：liveshow-proto/prototype/pages/user/host/host-center.html
5. 规则：BR-7ACE3727B2F8BA
6. 基线场景：SCN-LIVE-008-03-1
7. 补充前覆盖：未覆盖；最佳匹配 UHOME-0059；预期分数 0.231
8. 未动态验证</x:v>
      </x:c>
    </x:row>
    <x:row r="1001" ht="132" customHeight="1">
      <x:c r="A1001" s="15" t="n">
        <x:v>1000</x:v>
      </x:c>
      <x:c r="B1001" s="15" t="str">
        <x:v>IDN-U-0040</x:v>
      </x:c>
      <x:c r="C1001" s="15" t="str">
        <x:v>直播</x:v>
      </x:c>
      <x:c r="D1001" s="15" t="str">
        <x:v>全部任务（用户视角）</x:v>
      </x:c>
      <x:c r="E1001" s="15" t="str">
        <x:v>功能需求</x:v>
      </x:c>
      <x:c r="F1001" s="15" t="str">
        <x:v>P2</x:v>
      </x:c>
      <x:c r="G1001" s="15" t="str">
        <x:v>验证全部任务（用户视角）在“任务入口跳转到独立页面”场景下的处理</x:v>
      </x:c>
      <x:c r="H1001" s="15" t="str">
        <x:v>任务入口跳转到独立页面观察项</x:v>
      </x:c>
      <x:c r="I1001" s="15" t="str">
        <x:v>1. 普通用户账号及关联业务数据已准备，账号可进入当前页面</x:v>
      </x:c>
      <x:c r="J1001" s="15" t="str">
        <x:v>1. 使用普通用户账号从当前端导航进入【全部任务（用户视角）】
2. 点击任务入口并等待跳转完成，滚动检查任务列表首尾记录
3. 刷新【全部任务（用户视角）】，查询“任务入口跳转到独立页面”对应的业务记录或界面反馈</x:v>
      </x:c>
      <x:c r="K1001" s="15" t="str">
        <x:v>任务入口跳转到独立页面</x:v>
      </x:c>
      <x:c r="L1001" s="15" t="str"/>
      <x:c r="M1001" s="15" t="str">
        <x:v>未测</x:v>
      </x:c>
      <x:c r="N1001" s="15" t="str"/>
      <x:c r="O1001" s="15" t="str">
        <x:v>1. 需求：REQ-LIVE-009
2. 业务规则来源：需求规格说明.md:36
3. 原始问答：Q020
4. 入口证据：liveshow-proto/prototype/pages/user/home/all-tasks.html
5. 规则：BR-5B5CE2104903B4
6. 基线场景：SCN-LIVE-009-01-1
7. 补充前覆盖：未覆盖；最佳匹配 UHOME-0007；预期分数 0.2125
8. 未动态验证</x:v>
      </x:c>
    </x:row>
    <x:row r="1002" ht="132" customHeight="1">
      <x:c r="A1002" s="15" t="n">
        <x:v>1001</x:v>
      </x:c>
      <x:c r="B1002" s="15" t="str">
        <x:v>IDN-U-0041</x:v>
      </x:c>
      <x:c r="C1002" s="15" t="str">
        <x:v>直播</x:v>
      </x:c>
      <x:c r="D1002" s="15" t="str">
        <x:v>全部任务（用户视角）</x:v>
      </x:c>
      <x:c r="E1002" s="15" t="str">
        <x:v>功能需求</x:v>
      </x:c>
      <x:c r="F1002" s="15" t="str">
        <x:v>P2</x:v>
      </x:c>
      <x:c r="G1002" s="15" t="str">
        <x:v>验证全部任务（用户视角）在“独立任务页面全部任务”场景下的处理</x:v>
      </x:c>
      <x:c r="H1002" s="15" t="str">
        <x:v>独立任务页面全部任务观察项</x:v>
      </x:c>
      <x:c r="I1002" s="15" t="str">
        <x:v>1. 普通用户账号及关联业务数据已准备，账号可进入当前页面</x:v>
      </x:c>
      <x:c r="J1002" s="15" t="str">
        <x:v>1. 使用普通用户账号从当前端导航进入【全部任务（用户视角）】
2. 点击任务入口并等待跳转完成，滚动检查任务列表首尾记录
3. 刷新【全部任务（用户视角）】，查询“独立任务页面全部任务”对应的业务记录或界面反馈</x:v>
      </x:c>
      <x:c r="K1002" s="15" t="str">
        <x:v>独立任务页面展示全部任务</x:v>
      </x:c>
      <x:c r="L1002" s="15" t="str"/>
      <x:c r="M1002" s="15" t="str">
        <x:v>未测</x:v>
      </x:c>
      <x:c r="N1002" s="15" t="str"/>
      <x:c r="O1002" s="15" t="str">
        <x:v>1. 需求：REQ-LIVE-009
2. 业务规则来源：需求规格说明.md:36
3. 原始问答：Q020
4. 入口证据：liveshow-proto/prototype/pages/user/home/all-tasks.html
5. 规则：BR-86EA2D5FBD48EE
6. 基线场景：SCN-LIVE-009-02-1
7. 补充前覆盖：部分覆盖；最佳匹配 UHOME-0015；预期分数 0.475
8. 未动态验证</x:v>
      </x:c>
    </x:row>
    <x:row r="1003" ht="132" customHeight="1">
      <x:c r="A1003" s="15" t="n">
        <x:v>1002</x:v>
      </x:c>
      <x:c r="B1003" s="15" t="str">
        <x:v>IDN-U-0042</x:v>
      </x:c>
      <x:c r="C1003" s="15" t="str">
        <x:v>直播</x:v>
      </x:c>
      <x:c r="D1003" s="15" t="str">
        <x:v>密码直播间（观众视角）</x:v>
      </x:c>
      <x:c r="E1003" s="15" t="str">
        <x:v>功能需求</x:v>
      </x:c>
      <x:c r="F1003" s="15" t="str">
        <x:v>P1</x:v>
      </x:c>
      <x:c r="G1003" s="15" t="str">
        <x:v>验证密码直播间（观众视角）在“用户退出密码房且主播修改本场密码后再次进入输入新”场景下的处理</x:v>
      </x:c>
      <x:c r="H1003" s="15" t="str">
        <x:v>用户退出密码房且主播修改本场密码后再次进入输入新观察项</x:v>
      </x:c>
      <x:c r="I1003" s="15" t="str">
        <x:v>1. 观众账号及关联业务数据已准备，账号可进入当前页面</x:v>
      </x:c>
      <x:c r="J1003" s="15" t="str">
        <x:v>1. 使用观众账号从当前端导航进入【密码直播间（观众视角）】
2. 观众退出密码房，主播修改本场密码后，观众再次从直播卡片进入并输入旧密码
3. 刷新【密码直播间（观众视角）】，查询“用户退出密码房且主播修改本场密码后再次进入输入新”对应的业务记录或界面反馈</x:v>
      </x:c>
      <x:c r="K1003" s="15" t="str">
        <x:v>主播修改本场密码后，已退出密码房的用户再次进入时必须输入新密码</x:v>
      </x:c>
      <x:c r="L1003" s="15" t="str"/>
      <x:c r="M1003" s="15" t="str">
        <x:v>未测</x:v>
      </x:c>
      <x:c r="N1003" s="15" t="str"/>
      <x:c r="O1003" s="15" t="str">
        <x:v>1. 需求：REQ-LIVE-010
2. 业务规则来源：需求规格说明.md:37
3. 原始问答：Q037
4. 入口证据：liveshow-proto/prototype/pages/user/live/live-room.html
5. 规则：BR-076E632CF6186A
6. 基线场景：SCN-LIVE-010-01-1
7. 补充前覆盖：未覆盖；最佳匹配 ULIVE-0053；预期分数 0.1962
8. 未动态验证</x:v>
      </x:c>
    </x:row>
    <x:row r="1004" ht="132" customHeight="1">
      <x:c r="A1004" s="15" t="n">
        <x:v>1003</x:v>
      </x:c>
      <x:c r="B1004" s="15" t="str">
        <x:v>IDN-U-0043</x:v>
      </x:c>
      <x:c r="C1004" s="15" t="str">
        <x:v>直播</x:v>
      </x:c>
      <x:c r="D1004" s="15" t="str">
        <x:v>直播中断处理（主播与观众视角）</x:v>
      </x:c>
      <x:c r="E1004" s="15" t="str">
        <x:v>功能需求</x:v>
      </x:c>
      <x:c r="F1004" s="15" t="str">
        <x:v>P2</x:v>
      </x:c>
      <x:c r="G1004" s="15" t="str">
        <x:v>验证直播中断处理（主播与观众视角）在“主播 App 切到后台时观众端最后一帧”场景下的处理</x:v>
      </x:c>
      <x:c r="H1004" s="15" t="str">
        <x:v>主播 App 切到后台时观众端最后一帧观察项</x:v>
      </x:c>
      <x:c r="I1004" s="15" t="str">
        <x:v>1. 主播与观众账号及关联业务数据已准备，账号可进入当前页面</x:v>
      </x:c>
      <x:c r="J1004" s="15" t="str">
        <x:v>1. 使用主播与观众账号从当前端导航进入【直播中断处理（主播与观众视角）】
2. 主播先将 App 切换到后台 119 秒并返回，再切换到后台超过 120 秒；新开一场直播后关闭主播 App 进程
3. 刷新【直播中断处理（主播与观众视角）】，查询“主播 App 切到后台时观众端最后一帧”对应的业务记录或界面反馈</x:v>
      </x:c>
      <x:c r="K1004" s="15" t="str">
        <x:v>主播 App 切到后台时观众端展示最后一帧</x:v>
      </x:c>
      <x:c r="L1004" s="15" t="str">
        <x:v>FLOW-LIVE-011-U</x:v>
      </x:c>
      <x:c r="M1004" s="15" t="str">
        <x:v>未测</x:v>
      </x:c>
      <x:c r="N1004" s="15" t="str"/>
      <x:c r="O1004" s="15" t="str">
        <x:v>1. 需求：REQ-LIVE-011
2. 业务规则来源：需求规格说明.md:38
3. 原始问答：Q039
4. 入口证据：liveshow-proto/prototype/pages/user/live/live-room-host.html
5. 规则：BR-D5AE6710CEF0EE
6. 基线场景：SCN-LIVE-011-01-1
7. 补充前覆盖：未覆盖；最佳匹配 UAUTH-0005；预期分数 0.1862
8. 未动态验证</x:v>
      </x:c>
    </x:row>
    <x:row r="1005" ht="132" customHeight="1">
      <x:c r="A1005" s="15" t="n">
        <x:v>1004</x:v>
      </x:c>
      <x:c r="B1005" s="15" t="str">
        <x:v>IDN-U-0044</x:v>
      </x:c>
      <x:c r="C1005" s="15" t="str">
        <x:v>直播</x:v>
      </x:c>
      <x:c r="D1005" s="15" t="str">
        <x:v>直播中断处理（主播与观众视角）</x:v>
      </x:c>
      <x:c r="E1005" s="15" t="str">
        <x:v>异常用例</x:v>
      </x:c>
      <x:c r="F1005" s="15" t="str">
        <x:v>P2</x:v>
      </x:c>
      <x:c r="G1005" s="15" t="str">
        <x:v>验证直播中断处理（主播与观众视角）在“主播 App 在后台超过 120 秒后直播间结束”场景下的处理</x:v>
      </x:c>
      <x:c r="H1005" s="15" t="str">
        <x:v>主播 App 在后台超过 120 秒后直播间结束观察项</x:v>
      </x:c>
      <x:c r="I1005" s="15" t="str">
        <x:v>1. 主播与观众账号及关联业务数据已准备，账号可进入当前页面
2. 测试设备可保持后台运行并精确记录 119 秒与 121 秒</x:v>
      </x:c>
      <x:c r="J1005" s="15" t="str">
        <x:v>1. 使用主播与观众账号从当前端导航进入【直播中断处理（主播与观众视角）】
2. 主播先将 App 切换到后台 119 秒并返回，再切换到后台超过 120 秒；新开一场直播后关闭主播 App 进程
3. 刷新【直播中断处理（主播与观众视角）】，查询“主播 App 在后台超过 120 秒后直播间结束”对应的业务记录或界面反馈</x:v>
      </x:c>
      <x:c r="K1005" s="15" t="str">
        <x:v>主播 App 在后台超过 120 秒后直播间自动结束</x:v>
      </x:c>
      <x:c r="L1005" s="15" t="str">
        <x:v>FLOW-LIVE-011-U</x:v>
      </x:c>
      <x:c r="M1005" s="15" t="str">
        <x:v>未测</x:v>
      </x:c>
      <x:c r="N1005" s="15" t="str"/>
      <x:c r="O1005" s="15" t="str">
        <x:v>1. 需求：REQ-LIVE-011
2. 业务规则来源：需求规格说明.md:38
3. 原始问答：Q039
4. 入口证据：liveshow-proto/prototype/pages/user/live/live-room-host.html
5. 规则：BR-690CDDEACE26EA
6. 基线场景：SCN-LIVE-011-02-1
7. 补充前覆盖：未覆盖；最佳匹配 UHOME-0059；预期分数 0.0868
8. 未动态验证</x:v>
      </x:c>
    </x:row>
    <x:row r="1006" ht="132" customHeight="1">
      <x:c r="A1006" s="15" t="n">
        <x:v>1005</x:v>
      </x:c>
      <x:c r="B1006" s="15" t="str">
        <x:v>IDN-U-0045</x:v>
      </x:c>
      <x:c r="C1006" s="15" t="str">
        <x:v>直播</x:v>
      </x:c>
      <x:c r="D1006" s="15" t="str">
        <x:v>直播中断处理（主播与观众视角）</x:v>
      </x:c>
      <x:c r="E1006" s="15" t="str">
        <x:v>功能需求</x:v>
      </x:c>
      <x:c r="F1006" s="15" t="str">
        <x:v>P2</x:v>
      </x:c>
      <x:c r="G1006" s="15" t="str">
        <x:v>验证直播中断处理（主播与观众视角）在“主播 App 在后台暂停期间计入直播时长”场景下的处理</x:v>
      </x:c>
      <x:c r="H1006" s="15" t="str">
        <x:v>主播 App 在后台暂停期间计入直播时长观察项</x:v>
      </x:c>
      <x:c r="I1006" s="15" t="str">
        <x:v>1. 主播与观众账号及关联业务数据已准备，账号可进入当前页面</x:v>
      </x:c>
      <x:c r="J1006" s="15" t="str">
        <x:v>1. 使用主播与观众账号从当前端导航进入【直播中断处理（主播与观众视角）】
2. 主播先将 App 切换到后台 119 秒并返回，再切换到后台超过 120 秒；新开一场直播后关闭主播 App 进程
3. 刷新【直播中断处理（主播与观众视角）】，查询“主播 App 在后台暂停期间计入直播时长”对应的业务记录或界面反馈</x:v>
      </x:c>
      <x:c r="K1006" s="15" t="str">
        <x:v>主播 App 在后台暂停期间计入直播时长</x:v>
      </x:c>
      <x:c r="L1006" s="15" t="str">
        <x:v>FLOW-LIVE-011-U</x:v>
      </x:c>
      <x:c r="M1006" s="15" t="str">
        <x:v>未测</x:v>
      </x:c>
      <x:c r="N1006" s="15" t="str"/>
      <x:c r="O1006" s="15" t="str">
        <x:v>1. 需求：REQ-LIVE-011
2. 业务规则来源：需求规格说明.md:38
3. 原始问答：Q039
4. 入口证据：liveshow-proto/prototype/pages/user/live/live-room-host.html
5. 规则：BR-C63C48E9549E8B
6. 基线场景：SCN-LIVE-011-03-1
7. 补充前覆盖：未覆盖；最佳匹配 ULIVE-0278；预期分数 0.2621
8. 未动态验证</x:v>
      </x:c>
    </x:row>
    <x:row r="1007" ht="132" customHeight="1">
      <x:c r="A1007" s="15" t="n">
        <x:v>1006</x:v>
      </x:c>
      <x:c r="B1007" s="15" t="str">
        <x:v>IDN-U-0046</x:v>
      </x:c>
      <x:c r="C1007" s="15" t="str">
        <x:v>直播</x:v>
      </x:c>
      <x:c r="D1007" s="15" t="str">
        <x:v>直播中断处理（主播与观众视角）</x:v>
      </x:c>
      <x:c r="E1007" s="15" t="str">
        <x:v>异常用例</x:v>
      </x:c>
      <x:c r="F1007" s="15" t="str">
        <x:v>P2</x:v>
      </x:c>
      <x:c r="G1007" s="15" t="str">
        <x:v>验证直播中断处理（主播与观众视角）在“主播 App 被杀时直播间立即结束”场景下的处理</x:v>
      </x:c>
      <x:c r="H1007" s="15" t="str">
        <x:v>主播 App 被杀时直播间立即结束观察项</x:v>
      </x:c>
      <x:c r="I1007" s="15" t="str">
        <x:v>1. 主播与观众账号及关联业务数据已准备，账号可进入当前页面</x:v>
      </x:c>
      <x:c r="J1007" s="15" t="str">
        <x:v>1. 使用主播与观众账号从当前端导航进入【直播中断处理（主播与观众视角）】
2. 主播先将 App 切换到后台 119 秒并返回，再切换到后台超过 120 秒；新开一场直播后关闭主播 App 进程
3. 刷新【直播中断处理（主播与观众视角）】，查询“主播 App 被杀时直播间立即结束”对应的业务记录或界面反馈</x:v>
      </x:c>
      <x:c r="K1007" s="15" t="str">
        <x:v>主播 App 被杀时直播间立即结束</x:v>
      </x:c>
      <x:c r="L1007" s="15" t="str">
        <x:v>FLOW-LIVE-011-U</x:v>
      </x:c>
      <x:c r="M1007" s="15" t="str">
        <x:v>未测</x:v>
      </x:c>
      <x:c r="N1007" s="15" t="str"/>
      <x:c r="O1007" s="15" t="str">
        <x:v>1. 需求：REQ-LIVE-011
2. 业务规则来源：需求规格说明.md:38
3. 原始问答：Q039
4. 入口证据：liveshow-proto/prototype/pages/user/live/live-room-host.html
5. 规则：BR-518F7AF33D90F6
6. 基线场景：SCN-LIVE-011-04-1
7. 补充前覆盖：未覆盖；最佳匹配 UHOME-0059；预期分数 0.231
8. 未动态验证</x:v>
      </x:c>
    </x:row>
    <x:row r="1008" ht="132" customHeight="1">
      <x:c r="A1008" s="15" t="n">
        <x:v>1007</x:v>
      </x:c>
      <x:c r="B1008" s="15" t="str">
        <x:v>IDN-U-0047</x:v>
      </x:c>
      <x:c r="C1008" s="15" t="str">
        <x:v>直播</x:v>
      </x:c>
      <x:c r="D1008" s="15" t="str">
        <x:v>直播广场轮播（用户视角）</x:v>
      </x:c>
      <x:c r="E1008" s="15" t="str">
        <x:v>功能需求</x:v>
      </x:c>
      <x:c r="F1008" s="15" t="str">
        <x:v>P2</x:v>
      </x:c>
      <x:c r="G1008" s="15" t="str">
        <x:v>验证直播广场轮播（用户视角）在“首页轮播多张素材滚动”场景下的处理</x:v>
      </x:c>
      <x:c r="H1008" s="15" t="str">
        <x:v>首页轮播多张素材滚动观察项</x:v>
      </x:c>
      <x:c r="I1008" s="15" t="str">
        <x:v>1. 普通用户账号及关联业务数据已准备，账号可进入当前页面</x:v>
      </x:c>
      <x:c r="J1008" s="15" t="str">
        <x:v>1. 使用普通用户账号从当前端导航进入【直播广场轮播（用户视角）】
2. 后台为同一轮播规则配置多条素材并启用，用户端停留一个完整轮播周期
3. 刷新【直播广场轮播（用户视角）】，查询“首页轮播多张素材滚动”对应的业务记录或界面反馈</x:v>
      </x:c>
      <x:c r="K1008" s="15" t="str">
        <x:v>首页轮播支持多张素材滚动展示</x:v>
      </x:c>
      <x:c r="L1008" s="15" t="str">
        <x:v>FLOW-LIVE-012-U</x:v>
      </x:c>
      <x:c r="M1008" s="15" t="str">
        <x:v>未测</x:v>
      </x:c>
      <x:c r="N1008" s="15" t="str"/>
      <x:c r="O1008" s="15" t="str">
        <x:v>1. 需求：REQ-LIVE-012
2. 业务规则来源：需求规格说明.md:39
3. 原始问答：Q041
4. 入口证据：liveshow-proto/prototype/pages/user/home/live-plaza.html
5. 规则：BR-BB4138A4D7A094
6. 基线场景：SCN-LIVE-012-01-1
7. 补充前覆盖：未覆盖；最佳匹配 UPROF-0009；预期分数 0.15
8. 未动态验证</x:v>
      </x:c>
    </x:row>
    <x:row r="1009" ht="132" customHeight="1">
      <x:c r="A1009" s="15" t="n">
        <x:v>1008</x:v>
      </x:c>
      <x:c r="B1009" s="15" t="str">
        <x:v>IDN-U-0048</x:v>
      </x:c>
      <x:c r="C1009" s="15" t="str">
        <x:v>直播</x:v>
      </x:c>
      <x:c r="D1009" s="15" t="str">
        <x:v>系统通知（接收者视角）</x:v>
      </x:c>
      <x:c r="E1009" s="15" t="str">
        <x:v>功能需求</x:v>
      </x:c>
      <x:c r="F1009" s="15" t="str">
        <x:v>P2</x:v>
      </x:c>
      <x:c r="G1009" s="15" t="str">
        <x:v>验证系统通知（接收者视角）在“推送对象选择全部时推送给所有用户”场景下的处理</x:v>
      </x:c>
      <x:c r="H1009" s="15" t="str">
        <x:v>推送对象选择全部时推送给所有用户观察项</x:v>
      </x:c>
      <x:c r="I1009" s="15" t="str">
        <x:v>1. 普通用户账号及关联业务数据已准备，账号可进入当前页面</x:v>
      </x:c>
      <x:c r="J1009" s="15" t="str">
        <x:v>1. 使用普通用户账号从当前端导航进入【系统通知（接收者视角）】
2. 分别创建推送对象为全部和指定公会的消息，使用公会内外账号检查接收结果
3. 刷新【系统通知（接收者视角）】，查询“推送对象选择全部时推送给所有用户”对应的业务记录或界面反馈</x:v>
      </x:c>
      <x:c r="K1009" s="15" t="str">
        <x:v>推送对象选择全部时推送给所有用户</x:v>
      </x:c>
      <x:c r="L1009" s="15" t="str">
        <x:v>FLOW-LIVE-013-U</x:v>
      </x:c>
      <x:c r="M1009" s="15" t="str">
        <x:v>未测</x:v>
      </x:c>
      <x:c r="N1009" s="15" t="str"/>
      <x:c r="O1009" s="15" t="str">
        <x:v>1. 需求：REQ-LIVE-013
2. 业务规则来源：需求规格说明.md:40
3. 原始问答：Q046
4. 入口证据：liveshow-proto/prototype/pages/user/social/system-notifications.html
5. 规则：BR-F0F70A5AB381D4
6. 基线场景：SCN-LIVE-013-01-1
7. 补充前覆盖：未覆盖；最佳匹配 ULIVE-0179；预期分数 0.175
8. 未动态验证</x:v>
      </x:c>
    </x:row>
    <x:row r="1010" ht="132" customHeight="1">
      <x:c r="A1010" s="15" t="n">
        <x:v>1009</x:v>
      </x:c>
      <x:c r="B1010" s="15" t="str">
        <x:v>IDN-U-0049</x:v>
      </x:c>
      <x:c r="C1010" s="15" t="str">
        <x:v>直播</x:v>
      </x:c>
      <x:c r="D1010" s="15" t="str">
        <x:v>系统通知（接收者视角）</x:v>
      </x:c>
      <x:c r="E1010" s="15" t="str">
        <x:v>功能需求</x:v>
      </x:c>
      <x:c r="F1010" s="15" t="str">
        <x:v>P2</x:v>
      </x:c>
      <x:c r="G1010" s="15" t="str">
        <x:v>验证系统通知（接收者视角）在“推送对象选择指定公会时只推送给该公会成员”场景下的处理</x:v>
      </x:c>
      <x:c r="H1010" s="15" t="str">
        <x:v>推送对象选择指定公会时只推送给该公会成员观察项</x:v>
      </x:c>
      <x:c r="I1010" s="15" t="str">
        <x:v>1. 普通用户账号及关联业务数据已准备，账号可进入当前页面</x:v>
      </x:c>
      <x:c r="J1010" s="15" t="str">
        <x:v>1. 使用普通用户账号从当前端导航进入【系统通知（接收者视角）】
2. 分别创建推送对象为全部和指定公会的消息，使用公会内外账号检查接收结果
3. 刷新【系统通知（接收者视角）】，查询“推送对象选择指定公会时只推送给该公会成员”对应的业务记录或界面反馈</x:v>
      </x:c>
      <x:c r="K1010" s="15" t="str">
        <x:v>推送对象选择指定公会时只推送给该公会成员</x:v>
      </x:c>
      <x:c r="L1010" s="15" t="str">
        <x:v>FLOW-LIVE-013-U</x:v>
      </x:c>
      <x:c r="M1010" s="15" t="str">
        <x:v>未测</x:v>
      </x:c>
      <x:c r="N1010" s="15" t="str"/>
      <x:c r="O1010" s="15" t="str">
        <x:v>1. 需求：REQ-LIVE-013
2. 业务规则来源：需求规格说明.md:40
3. 原始问答：Q046
4. 入口证据：liveshow-proto/prototype/pages/user/social/system-notifications.html
5. 规则：BR-2E44F2A8D60E0B
6. 基线场景：SCN-LIVE-013-02-1
7. 补充前覆盖：未覆盖；最佳匹配 ULIVE-0179；预期分数 0.1529
8. 未动态验证</x:v>
      </x:c>
    </x:row>
    <x:row r="1011" ht="132" customHeight="1">
      <x:c r="A1011" s="15" t="n">
        <x:v>1010</x:v>
      </x:c>
      <x:c r="B1011" s="15" t="str">
        <x:v>IDN-U-0050</x:v>
      </x:c>
      <x:c r="C1011" s="15" t="str">
        <x:v>直播</x:v>
      </x:c>
      <x:c r="D1011" s="15" t="str">
        <x:v>主播直播间（主播视角）</x:v>
      </x:c>
      <x:c r="E1011" s="15" t="str">
        <x:v>异常用例</x:v>
      </x:c>
      <x:c r="F1011" s="15" t="str">
        <x:v>P2</x:v>
      </x:c>
      <x:c r="G1011" s="15" t="str">
        <x:v>验证主播直播间（主播视角）在“直播过程中转换直播间房型”场景下的处理</x:v>
      </x:c>
      <x:c r="H1011" s="15" t="str">
        <x:v>直播过程中转换直播间房型观察项</x:v>
      </x:c>
      <x:c r="I1011" s="15" t="str">
        <x:v>1. 主播账号及关联业务数据已准备，账号可进入当前页面</x:v>
      </x:c>
      <x:c r="J1011" s="15" t="str">
        <x:v>1. 使用主播账号从当前端导航进入【主播直播间（主播视角）】
2. 主播开播后打开房型设置，尝试从当前房型切换到另一房型并提交
3. 刷新【主播直播间（主播视角）】，查询“直播过程中转换直播间房型”对应的业务记录或界面反馈</x:v>
      </x:c>
      <x:c r="K1011" s="15" t="str">
        <x:v>直播过程中不能转换直播间房型</x:v>
      </x:c>
      <x:c r="L1011" s="15" t="str"/>
      <x:c r="M1011" s="15" t="str">
        <x:v>未测</x:v>
      </x:c>
      <x:c r="N1011" s="15" t="str"/>
      <x:c r="O1011" s="15" t="str">
        <x:v>1. 需求：REQ-LIVE-015
2. 业务规则来源：需求规格说明.md:42
3. 原始问答：Q105
4. 入口证据：liveshow-proto/prototype/pages/user/live/live-room-host.html
5. 规则：BR-5277B6A0A1C407
6. 基线场景：SCN-LIVE-015-01-1
7. 补充前覆盖：未覆盖；最佳匹配 ULIVE-0270；预期分数 0.2875
8. 未动态验证</x:v>
      </x:c>
    </x:row>
    <x:row r="1012" ht="132" customHeight="1">
      <x:c r="A1012" s="15" t="n">
        <x:v>1011</x:v>
      </x:c>
      <x:c r="B1012" s="15" t="str">
        <x:v>IDN-U-0051</x:v>
      </x:c>
      <x:c r="C1012" s="15" t="str">
        <x:v>直播</x:v>
      </x:c>
      <x:c r="D1012" s="15" t="str">
        <x:v>开播设置（主播视角）</x:v>
      </x:c>
      <x:c r="E1012" s="15" t="str">
        <x:v>功能需求</x:v>
      </x:c>
      <x:c r="F1012" s="15" t="str">
        <x:v>P1</x:v>
      </x:c>
      <x:c r="G1012" s="15" t="str">
        <x:v>验证开播设置（主播视角）在“开播设置包含门票价格选择”场景下的处理</x:v>
      </x:c>
      <x:c r="H1012" s="15" t="str">
        <x:v>开播设置包含门票价格选择观察项</x:v>
      </x:c>
      <x:c r="I1012" s="15" t="str">
        <x:v>1. 主播账号及关联业务数据已准备，账号可进入当前页面</x:v>
      </x:c>
      <x:c r="J1012" s="15" t="str">
        <x:v>1. 使用主播账号从当前端导航进入【开播设置（主播视角）】
2. 主播进入开播设置并选择门票房，定位门票价格选择控件
3. 刷新【开播设置（主播视角）】，查询“开播设置包含门票价格选择”对应的业务记录或界面反馈</x:v>
      </x:c>
      <x:c r="K1012" s="15" t="str">
        <x:v>开播设置包含门票价格选择</x:v>
      </x:c>
      <x:c r="L1012" s="15" t="str"/>
      <x:c r="M1012" s="15" t="str">
        <x:v>未测</x:v>
      </x:c>
      <x:c r="N1012" s="15" t="str"/>
      <x:c r="O1012" s="15" t="str">
        <x:v>1. 需求：REQ-LIVE-016
2. 业务规则来源：需求规格说明.md:43
3. 原始问答：Q113
4. 入口证据：liveshow-proto/prototype/pages/user/host/start-live-settings.html
5. 规则：BR-80EDFB99A54504
6. 基线场景：SCN-LIVE-016-01-1
7. 补充前覆盖：部分覆盖；最佳匹配 UHOST-0092；预期分数 0.5255
8. 未动态验证</x:v>
      </x:c>
    </x:row>
    <x:row r="1013" ht="132" customHeight="1">
      <x:c r="A1013" s="15" t="n">
        <x:v>1012</x:v>
      </x:c>
      <x:c r="B1013" s="15" t="str">
        <x:v>IDN-U-0052</x:v>
      </x:c>
      <x:c r="C1013" s="15" t="str">
        <x:v>直播</x:v>
      </x:c>
      <x:c r="D1013" s="15" t="str">
        <x:v>开播美颜（主播视角）</x:v>
      </x:c>
      <x:c r="E1013" s="15" t="str">
        <x:v>功能需求</x:v>
      </x:c>
      <x:c r="F1013" s="15" t="str">
        <x:v>P2</x:v>
      </x:c>
      <x:c r="G1013" s="15" t="str">
        <x:v>验证开播美颜（主播视角）在“美颜采用选项与滑块组合交互”场景下的处理</x:v>
      </x:c>
      <x:c r="H1013" s="15" t="str">
        <x:v>美颜采用选项与滑块组合交互观察项</x:v>
      </x:c>
      <x:c r="I1013" s="15" t="str">
        <x:v>1. 主播账号及关联业务数据已准备，账号可进入当前页面</x:v>
      </x:c>
      <x:c r="J1013" s="15" t="str">
        <x:v>1. 使用主播账号从当前端导航进入【开播美颜（主播视角）】
2. 主播进入美颜设置，切换美颜项并拖动滑块；再更换套餐账号比较可用项
3. 刷新【开播美颜（主播视角）】，查询“美颜采用选项与滑块组合交互”对应的业务记录或界面反馈</x:v>
      </x:c>
      <x:c r="K1013" s="15" t="str">
        <x:v>美颜采用选项与滑块组合交互</x:v>
      </x:c>
      <x:c r="L1013" s="15" t="str"/>
      <x:c r="M1013" s="15" t="str">
        <x:v>未测</x:v>
      </x:c>
      <x:c r="N1013" s="15" t="str"/>
      <x:c r="O1013" s="15" t="str">
        <x:v>1. 需求：REQ-LIVE-017
2. 业务规则来源：需求规格说明.md:44
3. 原始问答：Q128
4. 入口证据：liveshow-proto/prototype/pages/user/host/start-live-settings.html
5. 规则：BR-3CEDBF04E23F12
6. 基线场景：SCN-LIVE-017-01-1
7. 补充前覆盖：未覆盖；最佳匹配 UHOME-0072；预期分数 0.1375
8. 未动态验证</x:v>
      </x:c>
    </x:row>
    <x:row r="1014" ht="132" customHeight="1">
      <x:c r="A1014" s="15" t="n">
        <x:v>1013</x:v>
      </x:c>
      <x:c r="B1014" s="15" t="str">
        <x:v>IDN-U-0053</x:v>
      </x:c>
      <x:c r="C1014" s="15" t="str">
        <x:v>直播</x:v>
      </x:c>
      <x:c r="D1014" s="15" t="str">
        <x:v>开播美颜（主播视角）</x:v>
      </x:c>
      <x:c r="E1014" s="15" t="str">
        <x:v>功能需求</x:v>
      </x:c>
      <x:c r="F1014" s="15" t="str">
        <x:v>P2</x:v>
      </x:c>
      <x:c r="G1014" s="15" t="str">
        <x:v>验证开播美颜（主播视角）在“用美颜项数量由已购买套餐决定”场景下的处理</x:v>
      </x:c>
      <x:c r="H1014" s="15" t="str">
        <x:v>用美颜项数量由已购买套餐决定观察项</x:v>
      </x:c>
      <x:c r="I1014" s="15" t="str">
        <x:v>1. 主播账号及关联业务数据已准备，账号可进入当前页面</x:v>
      </x:c>
      <x:c r="J1014" s="15" t="str">
        <x:v>1. 使用主播账号从当前端导航进入【开播美颜（主播视角）】
2. 主播进入美颜设置，切换美颜项并拖动滑块；再更换套餐账号比较可用项
3. 刷新【开播美颜（主播视角）】，查询“用美颜项数量由已购买套餐决定”对应的业务记录或界面反馈</x:v>
      </x:c>
      <x:c r="K1014" s="15" t="str">
        <x:v>可用美颜项数量由已购买套餐决定</x:v>
      </x:c>
      <x:c r="L1014" s="15" t="str"/>
      <x:c r="M1014" s="15" t="str">
        <x:v>未测</x:v>
      </x:c>
      <x:c r="N1014" s="15" t="str"/>
      <x:c r="O1014" s="15" t="str">
        <x:v>1. 需求：REQ-LIVE-017
2. 业务规则来源：需求规格说明.md:44
3. 原始问答：Q128
4. 入口证据：liveshow-proto/prototype/pages/user/host/start-live-settings.html
5. 规则：BR-6918DB9890F260
6. 基线场景：SCN-LIVE-017-02-1
7. 补充前覆盖：未覆盖；最佳匹配 UWALLET-0002；预期分数 0.25
8. 未动态验证</x:v>
      </x:c>
    </x:row>
    <x:row r="1015" ht="132" customHeight="1">
      <x:c r="A1015" s="15" t="n">
        <x:v>1014</x:v>
      </x:c>
      <x:c r="B1015" s="15" t="str">
        <x:v>IDN-U-0054</x:v>
      </x:c>
      <x:c r="C1015" s="15" t="str">
        <x:v>直播</x:v>
      </x:c>
      <x:c r="D1015" s="15" t="str">
        <x:v>主播入口（非主播视角）</x:v>
      </x:c>
      <x:c r="E1015" s="15" t="str">
        <x:v>功能需求</x:v>
      </x:c>
      <x:c r="F1015" s="15" t="str">
        <x:v>P2</x:v>
      </x:c>
      <x:c r="G1015" s="15" t="str">
        <x:v>验证主播入口（非主播视角）在“主播相关 3 个入口对所有用户”场景下的处理</x:v>
      </x:c>
      <x:c r="H1015" s="15" t="str">
        <x:v>主播相关 3 个入口对所有用户观察项</x:v>
      </x:c>
      <x:c r="I1015" s="15" t="str">
        <x:v>1. 非主播用户账号及关联业务数据已准备，账号可进入当前页面</x:v>
      </x:c>
      <x:c r="J1015" s="15" t="str">
        <x:v>1. 使用非主播用户账号从当前端导航进入【主播入口（非主播视角）】
2. 使用非主播账号查看三个主播入口，并分别点击开始直播和主播中心
3. 刷新【主播入口（非主播视角）】，查询“主播相关 3 个入口对所有用户”对应的业务记录或界面反馈</x:v>
      </x:c>
      <x:c r="K1015" s="15" t="str">
        <x:v>主播相关 3 个入口对所有用户展示</x:v>
      </x:c>
      <x:c r="L1015" s="15" t="str"/>
      <x:c r="M1015" s="15" t="str">
        <x:v>未测</x:v>
      </x:c>
      <x:c r="N1015" s="15" t="str"/>
      <x:c r="O1015" s="15" t="str">
        <x:v>1. 需求：REQ-LIVE-018
2. 业务规则来源：需求规格说明.md:45
3. 原始问答：Q130
4. 入口证据：liveshow-proto/prototype/pages/user/profile/profile.html
5. 规则：BR-54C6D5D317054C
6. 基线场景：SCN-LIVE-018-01-1
7. 补充前覆盖：未覆盖；最佳匹配 ULIVE-0048；预期分数 0.1
8. 未动态验证</x:v>
      </x:c>
    </x:row>
    <x:row r="1016" ht="132" customHeight="1">
      <x:c r="A1016" s="15" t="n">
        <x:v>1015</x:v>
      </x:c>
      <x:c r="B1016" s="15" t="str">
        <x:v>IDN-U-0055</x:v>
      </x:c>
      <x:c r="C1016" s="15" t="str">
        <x:v>直播</x:v>
      </x:c>
      <x:c r="D1016" s="15" t="str">
        <x:v>主播入口（非主播视角）</x:v>
      </x:c>
      <x:c r="E1016" s="15" t="str">
        <x:v>功能需求</x:v>
      </x:c>
      <x:c r="F1016" s="15" t="str">
        <x:v>P2</x:v>
      </x:c>
      <x:c r="G1016" s="15" t="str">
        <x:v>验证主播入口（非主播视角）在“非主播点击开始直播跳转主播身份引导页”场景下的处理</x:v>
      </x:c>
      <x:c r="H1016" s="15" t="str">
        <x:v>非主播点击开始直播跳转主播身份引导页观察项</x:v>
      </x:c>
      <x:c r="I1016" s="15" t="str">
        <x:v>1. 非主播用户账号及关联业务数据已准备，账号可进入当前页面</x:v>
      </x:c>
      <x:c r="J1016" s="15" t="str">
        <x:v>1. 使用非主播用户账号从当前端导航进入【主播入口（非主播视角）】
2. 使用非主播账号查看三个主播入口，并分别点击开始直播和主播中心
3. 刷新【主播入口（非主播视角）】，查询“非主播点击开始直播跳转主播身份引导页”对应的业务记录或界面反馈</x:v>
      </x:c>
      <x:c r="K1016" s="15" t="str">
        <x:v>非主播点击开始直播跳转主播身份引导页</x:v>
      </x:c>
      <x:c r="L1016" s="15" t="str"/>
      <x:c r="M1016" s="15" t="str">
        <x:v>未测</x:v>
      </x:c>
      <x:c r="N1016" s="15" t="str"/>
      <x:c r="O1016" s="15" t="str">
        <x:v>1. 需求：REQ-LIVE-018
2. 业务规则来源：需求规格说明.md:45
3. 原始问答：Q130
4. 入口证据：liveshow-proto/prototype/pages/user/profile/profile.html
5. 规则：BR-44D6297B98D82E
6. 基线场景：SCN-LIVE-018-02-1
7. 补充前覆盖：未覆盖；最佳匹配 UPROF-0056；预期分数 0.2406
8. 未动态验证</x:v>
      </x:c>
    </x:row>
    <x:row r="1017" ht="132" customHeight="1">
      <x:c r="A1017" s="15" t="n">
        <x:v>1016</x:v>
      </x:c>
      <x:c r="B1017" s="15" t="str">
        <x:v>IDN-U-0056</x:v>
      </x:c>
      <x:c r="C1017" s="15" t="str">
        <x:v>直播</x:v>
      </x:c>
      <x:c r="D1017" s="15" t="str">
        <x:v>主播入口（非主播视角）</x:v>
      </x:c>
      <x:c r="E1017" s="15" t="str">
        <x:v>功能需求</x:v>
      </x:c>
      <x:c r="F1017" s="15" t="str">
        <x:v>P2</x:v>
      </x:c>
      <x:c r="G1017" s="15" t="str">
        <x:v>验证主播入口（非主播视角）在“非主播点击主播中心跳转主播身份引导页”场景下的处理</x:v>
      </x:c>
      <x:c r="H1017" s="15" t="str">
        <x:v>非主播点击主播中心跳转主播身份引导页观察项</x:v>
      </x:c>
      <x:c r="I1017" s="15" t="str">
        <x:v>1. 非主播用户账号及关联业务数据已准备，账号可进入当前页面</x:v>
      </x:c>
      <x:c r="J1017" s="15" t="str">
        <x:v>1. 使用非主播用户账号从当前端导航进入【主播入口（非主播视角）】
2. 使用非主播账号查看三个主播入口，并分别点击开始直播和主播中心
3. 刷新【主播入口（非主播视角）】，查询“非主播点击主播中心跳转主播身份引导页”对应的业务记录或界面反馈</x:v>
      </x:c>
      <x:c r="K1017" s="15" t="str">
        <x:v>非主播点击主播中心跳转主播身份引导页</x:v>
      </x:c>
      <x:c r="L1017" s="15" t="str"/>
      <x:c r="M1017" s="15" t="str">
        <x:v>未测</x:v>
      </x:c>
      <x:c r="N1017" s="15" t="str"/>
      <x:c r="O1017" s="15" t="str">
        <x:v>1. 需求：REQ-LIVE-018
2. 业务规则来源：需求规格说明.md:45
3. 原始问答：Q130
4. 入口证据：liveshow-proto/prototype/pages/user/profile/profile.html
5. 规则：BR-389C461B6B449A
6. 基线场景：SCN-LIVE-018-03-1
7. 补充前覆盖：部分覆盖；最佳匹配 UPROF-0056；预期分数 0.2463
8. 未动态验证</x:v>
      </x:c>
    </x:row>
    <x:row r="1018" ht="132" customHeight="1">
      <x:c r="A1018" s="15" t="n">
        <x:v>1017</x:v>
      </x:c>
      <x:c r="B1018" s="15" t="str">
        <x:v>IDN-U-0057</x:v>
      </x:c>
      <x:c r="C1018" s="15" t="str">
        <x:v>直播</x:v>
      </x:c>
      <x:c r="D1018" s="15" t="str">
        <x:v>直播广场分类（用户视角）</x:v>
      </x:c>
      <x:c r="E1018" s="15" t="str">
        <x:v>异常用例</x:v>
      </x:c>
      <x:c r="F1018" s="15" t="str">
        <x:v>P2</x:v>
      </x:c>
      <x:c r="G1018" s="15" t="str">
        <x:v>验证直播广场分类（用户视角）在“首页热门列表不是用户关注列表”场景下的处理</x:v>
      </x:c>
      <x:c r="H1018" s="15" t="str">
        <x:v>首页热门列表不是用户关注列表观察项</x:v>
      </x:c>
      <x:c r="I1018" s="15" t="str">
        <x:v>1. 普通用户账号及关联业务数据已准备，账号可进入当前页面</x:v>
      </x:c>
      <x:c r="J1018" s="15" t="str">
        <x:v>1. 使用普通用户账号从当前端导航进入【直播广场分类（用户视角）】
2. 在同一账号下依次打开热门、新人和关注列表，记录三个列表的数据集合
3. 刷新【直播广场分类（用户视角）】，查询“首页热门列表不是用户关注列表”对应的业务记录或界面反馈</x:v>
      </x:c>
      <x:c r="K1018" s="15" t="str">
        <x:v>首页热门列表不是用户关注列表</x:v>
      </x:c>
      <x:c r="L1018" s="15" t="str"/>
      <x:c r="M1018" s="15" t="str">
        <x:v>未测</x:v>
      </x:c>
      <x:c r="N1018" s="15" t="str"/>
      <x:c r="O1018" s="15" t="str">
        <x:v>1. 需求：REQ-LIVE-019
2. 业务规则来源：需求规格说明.md:46
3. 原始问答：Q131
4. 入口证据：liveshow-proto/prototype/pages/user/home/live-plaza.html
5. 规则：BR-B7404C94220D65
6. 基线场景：SCN-LIVE-019-01-1
7. 补充前覆盖：未覆盖；最佳匹配 UHOME-0036；预期分数 0.19
8. 未动态验证</x:v>
      </x:c>
    </x:row>
    <x:row r="1019" ht="132" customHeight="1">
      <x:c r="A1019" s="15" t="n">
        <x:v>1018</x:v>
      </x:c>
      <x:c r="B1019" s="15" t="str">
        <x:v>IDN-U-0058</x:v>
      </x:c>
      <x:c r="C1019" s="15" t="str">
        <x:v>直播</x:v>
      </x:c>
      <x:c r="D1019" s="15" t="str">
        <x:v>直播广场分类（用户视角）</x:v>
      </x:c>
      <x:c r="E1019" s="15" t="str">
        <x:v>异常用例</x:v>
      </x:c>
      <x:c r="F1019" s="15" t="str">
        <x:v>P2</x:v>
      </x:c>
      <x:c r="G1019" s="15" t="str">
        <x:v>验证直播广场分类（用户视角）在“首页新人列表不是用户关注列表”场景下的处理</x:v>
      </x:c>
      <x:c r="H1019" s="15" t="str">
        <x:v>首页新人列表不是用户关注列表观察项</x:v>
      </x:c>
      <x:c r="I1019" s="15" t="str">
        <x:v>1. 普通用户账号及关联业务数据已准备，账号可进入当前页面</x:v>
      </x:c>
      <x:c r="J1019" s="15" t="str">
        <x:v>1. 使用普通用户账号从当前端导航进入【直播广场分类（用户视角）】
2. 在同一账号下依次打开热门、新人和关注列表，记录三个列表的数据集合
3. 刷新【直播广场分类（用户视角）】，查询“首页新人列表不是用户关注列表”对应的业务记录或界面反馈</x:v>
      </x:c>
      <x:c r="K1019" s="15" t="str">
        <x:v>首页新人列表不是用户关注列表</x:v>
      </x:c>
      <x:c r="L1019" s="15" t="str"/>
      <x:c r="M1019" s="15" t="str">
        <x:v>未测</x:v>
      </x:c>
      <x:c r="N1019" s="15" t="str"/>
      <x:c r="O1019" s="15" t="str">
        <x:v>1. 需求：REQ-LIVE-019
2. 业务规则来源：需求规格说明.md:46
3. 原始问答：Q131
4. 入口证据：liveshow-proto/prototype/pages/user/home/live-plaza.html
5. 规则：BR-0F9C800B9E84AA
6. 基线场景：SCN-LIVE-019-02-1
7. 补充前覆盖：未覆盖；最佳匹配 UHOME-0036；预期分数 0.19
8. 未动态验证</x:v>
      </x:c>
    </x:row>
    <x:row r="1020" ht="132" customHeight="1">
      <x:c r="A1020" s="15" t="n">
        <x:v>1019</x:v>
      </x:c>
      <x:c r="B1020" s="15" t="str">
        <x:v>IDN-U-0059</x:v>
      </x:c>
      <x:c r="C1020" s="15" t="str">
        <x:v>直播</x:v>
      </x:c>
      <x:c r="D1020" s="15" t="str">
        <x:v>直播消息卡片（用户视角）</x:v>
      </x:c>
      <x:c r="E1020" s="15" t="str">
        <x:v>功能需求</x:v>
      </x:c>
      <x:c r="F1020" s="15" t="str">
        <x:v>P2</x:v>
      </x:c>
      <x:c r="G1020" s="15" t="str">
        <x:v>验证直播消息卡片（用户视角）在“直播消息卡片房间封面图”场景下的处理</x:v>
      </x:c>
      <x:c r="H1020" s="15" t="str">
        <x:v>直播消息卡片房间封面图观察项</x:v>
      </x:c>
      <x:c r="I1020" s="15" t="str">
        <x:v>1. 普通用户账号及关联业务数据已准备，账号可进入当前页面</x:v>
      </x:c>
      <x:c r="J1020" s="15" t="str">
        <x:v>1. 使用普通用户账号从当前端导航进入【直播消息卡片（用户视角）】
2. 分别创建普通房、密码房和门票房直播并发送直播消息卡片，接收端打开卡片
3. 刷新【直播消息卡片（用户视角）】，查询“直播消息卡片房间封面图”对应的业务记录或界面反馈</x:v>
      </x:c>
      <x:c r="K1020" s="15" t="str">
        <x:v>直播消息卡片展示房间封面图</x:v>
      </x:c>
      <x:c r="L1020" s="15" t="str"/>
      <x:c r="M1020" s="15" t="str">
        <x:v>未测</x:v>
      </x:c>
      <x:c r="N1020" s="15" t="str"/>
      <x:c r="O1020" s="15" t="str">
        <x:v>1. 需求：REQ-LIVE-020
2. 业务规则来源：需求规格说明.md:47
3. 原始问答：Q122
4. 入口证据：liveshow-proto/prototype/pages/user/social/message-center.html
5. 规则：BR-51C66EBB107FF9
6. 基线场景：SCN-LIVE-020-01-1
7. 补充前覆盖：未覆盖；最佳匹配 USOC-0028；预期分数 0.19
8. 未动态验证</x:v>
      </x:c>
    </x:row>
    <x:row r="1021" ht="132" customHeight="1">
      <x:c r="A1021" s="15" t="n">
        <x:v>1020</x:v>
      </x:c>
      <x:c r="B1021" s="15" t="str">
        <x:v>IDN-U-0060</x:v>
      </x:c>
      <x:c r="C1021" s="15" t="str">
        <x:v>直播</x:v>
      </x:c>
      <x:c r="D1021" s="15" t="str">
        <x:v>直播消息卡片（用户视角）</x:v>
      </x:c>
      <x:c r="E1021" s="15" t="str">
        <x:v>功能需求</x:v>
      </x:c>
      <x:c r="F1021" s="15" t="str">
        <x:v>P2</x:v>
      </x:c>
      <x:c r="G1021" s="15" t="str">
        <x:v>验证直播消息卡片（用户视角）在“直播消息卡片直播间主题”场景下的处理</x:v>
      </x:c>
      <x:c r="H1021" s="15" t="str">
        <x:v>直播消息卡片直播间主题观察项</x:v>
      </x:c>
      <x:c r="I1021" s="15" t="str">
        <x:v>1. 普通用户账号及关联业务数据已准备，账号可进入当前页面</x:v>
      </x:c>
      <x:c r="J1021" s="15" t="str">
        <x:v>1. 使用普通用户账号从当前端导航进入【直播消息卡片（用户视角）】
2. 分别创建普通房、密码房和门票房直播并发送直播消息卡片，接收端打开卡片
3. 刷新【直播消息卡片（用户视角）】，查询“直播消息卡片直播间主题”对应的业务记录或界面反馈</x:v>
      </x:c>
      <x:c r="K1021" s="15" t="str">
        <x:v>直播消息卡片展示直播间主题</x:v>
      </x:c>
      <x:c r="L1021" s="15" t="str"/>
      <x:c r="M1021" s="15" t="str">
        <x:v>未测</x:v>
      </x:c>
      <x:c r="N1021" s="15" t="str"/>
      <x:c r="O1021" s="15" t="str">
        <x:v>1. 需求：REQ-LIVE-020
2. 业务规则来源：需求规格说明.md:47
3. 原始问答：Q122
4. 入口证据：liveshow-proto/prototype/pages/user/social/message-center.html
5. 规则：BR-196B2D1CD0DFEF
6. 基线场景：SCN-LIVE-020-02-1
7. 补充前覆盖：部分覆盖；最佳匹配 ULIVE-0256；预期分数 0.4
8. 未动态验证</x:v>
      </x:c>
    </x:row>
    <x:row r="1022" ht="132" customHeight="1">
      <x:c r="A1022" s="15" t="n">
        <x:v>1021</x:v>
      </x:c>
      <x:c r="B1022" s="15" t="str">
        <x:v>IDN-U-0061</x:v>
      </x:c>
      <x:c r="C1022" s="15" t="str">
        <x:v>直播</x:v>
      </x:c>
      <x:c r="D1022" s="15" t="str">
        <x:v>直播消息卡片（用户视角）</x:v>
      </x:c>
      <x:c r="E1022" s="15" t="str">
        <x:v>功能需求</x:v>
      </x:c>
      <x:c r="F1022" s="15" t="str">
        <x:v>P2</x:v>
      </x:c>
      <x:c r="G1022" s="15" t="str">
        <x:v>验证直播消息卡片（用户视角）在“直播消息卡片主播名称”场景下的处理</x:v>
      </x:c>
      <x:c r="H1022" s="15" t="str">
        <x:v>直播消息卡片主播名称观察项</x:v>
      </x:c>
      <x:c r="I1022" s="15" t="str">
        <x:v>1. 普通用户账号及关联业务数据已准备，账号可进入当前页面</x:v>
      </x:c>
      <x:c r="J1022" s="15" t="str">
        <x:v>1. 使用普通用户账号从当前端导航进入【直播消息卡片（用户视角）】
2. 分别创建普通房、密码房和门票房直播并发送直播消息卡片，接收端打开卡片
3. 刷新【直播消息卡片（用户视角）】，查询“直播消息卡片主播名称”对应的业务记录或界面反馈</x:v>
      </x:c>
      <x:c r="K1022" s="15" t="str">
        <x:v>直播消息卡片展示主播名称</x:v>
      </x:c>
      <x:c r="L1022" s="15" t="str"/>
      <x:c r="M1022" s="15" t="str">
        <x:v>未测</x:v>
      </x:c>
      <x:c r="N1022" s="15" t="str"/>
      <x:c r="O1022" s="15" t="str">
        <x:v>1. 需求：REQ-LIVE-020
2. 业务规则来源：需求规格说明.md:47
3. 原始问答：Q122
4. 入口证据：liveshow-proto/prototype/pages/user/social/message-center.html
5. 规则：BR-5493E7D67B7DB1
6. 基线场景：SCN-LIVE-020-03-1
7. 补充前覆盖：未覆盖；最佳匹配 ULIVE-0256；预期分数 0.25
8. 未动态验证</x:v>
      </x:c>
    </x:row>
    <x:row r="1023" ht="132" customHeight="1">
      <x:c r="A1023" s="15" t="n">
        <x:v>1022</x:v>
      </x:c>
      <x:c r="B1023" s="15" t="str">
        <x:v>IDN-U-0062</x:v>
      </x:c>
      <x:c r="C1023" s="15" t="str">
        <x:v>直播</x:v>
      </x:c>
      <x:c r="D1023" s="15" t="str">
        <x:v>直播消息卡片（用户视角）</x:v>
      </x:c>
      <x:c r="E1023" s="15" t="str">
        <x:v>功能需求</x:v>
      </x:c>
      <x:c r="F1023" s="15" t="str">
        <x:v>P2</x:v>
      </x:c>
      <x:c r="G1023" s="15" t="str">
        <x:v>验证直播消息卡片（用户视角）在“直播消息卡片房型信息”场景下的处理</x:v>
      </x:c>
      <x:c r="H1023" s="15" t="str">
        <x:v>直播消息卡片房型信息观察项</x:v>
      </x:c>
      <x:c r="I1023" s="15" t="str">
        <x:v>1. 普通用户账号及关联业务数据已准备，账号可进入当前页面</x:v>
      </x:c>
      <x:c r="J1023" s="15" t="str">
        <x:v>1. 使用普通用户账号从当前端导航进入【直播消息卡片（用户视角）】
2. 分别创建普通房、密码房和门票房直播并发送直播消息卡片，接收端打开卡片
3. 刷新【直播消息卡片（用户视角）】，查询“直播消息卡片房型信息”对应的业务记录或界面反馈</x:v>
      </x:c>
      <x:c r="K1023" s="15" t="str">
        <x:v>直播消息卡片展示房型信息</x:v>
      </x:c>
      <x:c r="L1023" s="15" t="str"/>
      <x:c r="M1023" s="15" t="str">
        <x:v>未测</x:v>
      </x:c>
      <x:c r="N1023" s="15" t="str"/>
      <x:c r="O1023" s="15" t="str">
        <x:v>1. 需求：REQ-LIVE-020
2. 业务规则来源：需求规格说明.md:47
3. 原始问答：Q122
4. 入口证据：liveshow-proto/prototype/pages/user/social/message-center.html
5. 规则：BR-82EBCCA76CA0F4
6. 基线场景：SCN-LIVE-020-04-1
7. 补充前覆盖：未覆盖；最佳匹配 USOC-0028；预期分数 0.2
8. 未动态验证</x:v>
      </x:c>
    </x:row>
    <x:row r="1024" ht="132" customHeight="1">
      <x:c r="A1024" s="15" t="n">
        <x:v>1023</x:v>
      </x:c>
      <x:c r="B1024" s="15" t="str">
        <x:v>IDN-U-0063</x:v>
      </x:c>
      <x:c r="C1024" s="15" t="str">
        <x:v>直播</x:v>
      </x:c>
      <x:c r="D1024" s="15" t="str">
        <x:v>直播消息卡片（用户视角）</x:v>
      </x:c>
      <x:c r="E1024" s="15" t="str">
        <x:v>功能需求</x:v>
      </x:c>
      <x:c r="F1024" s="15" t="str">
        <x:v>P1</x:v>
      </x:c>
      <x:c r="G1024" s="15" t="str">
        <x:v>验证直播消息卡片（用户视角）在“普通房、密码房、门票房的直播消息卡片均封面图”场景下的处理</x:v>
      </x:c>
      <x:c r="H1024" s="15" t="str">
        <x:v>普通房、密码房、门票房的直播消息卡片均封面图观察项</x:v>
      </x:c>
      <x:c r="I1024" s="15" t="str">
        <x:v>1. 普通用户账号及关联业务数据已准备，账号可进入当前页面</x:v>
      </x:c>
      <x:c r="J1024" s="15" t="str">
        <x:v>1. 使用普通用户账号从当前端导航进入【直播消息卡片（用户视角）】
2. 分别创建普通房、密码房和门票房直播并发送直播消息卡片，接收端打开卡片
3. 刷新【直播消息卡片（用户视角）】，查询“普通房、密码房、门票房的直播消息卡片均封面图”对应的业务记录或界面反馈</x:v>
      </x:c>
      <x:c r="K1024" s="15" t="str">
        <x:v>普通房、密码房、门票房的直播消息卡片均展示封面图</x:v>
      </x:c>
      <x:c r="L1024" s="15" t="str"/>
      <x:c r="M1024" s="15" t="str">
        <x:v>未测</x:v>
      </x:c>
      <x:c r="N1024" s="15" t="str"/>
      <x:c r="O1024" s="15" t="str">
        <x:v>1. 需求：REQ-LIVE-020
2. 业务规则来源：需求规格说明.md:47
3. 原始问答：Q122
4. 入口证据：liveshow-proto/prototype/pages/user/social/message-center.html
5. 规则：BR-B48202F0892510
6. 基线场景：SCN-LIVE-020-05-1
7. 补充前覆盖：未覆盖；最佳匹配 UHOME-0032；预期分数 0.2211
8. 未动态验证</x:v>
      </x:c>
    </x:row>
    <x:row r="1025" ht="132" customHeight="1">
      <x:c r="A1025" s="15" t="n">
        <x:v>1024</x:v>
      </x:c>
      <x:c r="B1025" s="15" t="str">
        <x:v>IDN-U-0064</x:v>
      </x:c>
      <x:c r="C1025" s="15" t="str">
        <x:v>直播</x:v>
      </x:c>
      <x:c r="D1025" s="15" t="str">
        <x:v>密码房可见范围（主播与观众视角）</x:v>
      </x:c>
      <x:c r="E1025" s="15" t="str">
        <x:v>功能需求</x:v>
      </x:c>
      <x:c r="F1025" s="15" t="str">
        <x:v>P1</x:v>
      </x:c>
      <x:c r="G1025" s="15" t="str">
        <x:v>验证密码房可见范围（主播与观众视角）在“同时开启广场和粉丝授权见时，授权用户能在首页看到”场景下的处理</x:v>
      </x:c>
      <x:c r="H1025" s="15" t="str">
        <x:v>同时开启广场和粉丝授权见时，授权用户能在首页看到观察项</x:v>
      </x:c>
      <x:c r="I1025" s="15" t="str">
        <x:v>1. 主播与观众账号及关联业务数据已准备，账号可进入当前页面</x:v>
      </x:c>
      <x:c r="J1025" s="15" t="str">
        <x:v>1. 使用主播与观众账号从当前端导航进入【密码房可见范围（主播与观众视角）】
2. 主播同时开启广场展示和粉丝授权，分别用授权与未授权账号查看首页并用授权账号输入正确密码
3. 刷新【密码房可见范围（主播与观众视角）】，查询“同时开启广场和粉丝授权见时，授权用户能在首页看到”对应的业务记录或界面反馈</x:v>
      </x:c>
      <x:c r="K1025" s="15" t="str">
        <x:v>同时开启广场展示和粉丝授权可见时，仅授权用户能在首页看到密码房</x:v>
      </x:c>
      <x:c r="L1025" s="15" t="str"/>
      <x:c r="M1025" s="15" t="str">
        <x:v>未测</x:v>
      </x:c>
      <x:c r="N1025" s="15" t="str"/>
      <x:c r="O1025" s="15" t="str">
        <x:v>1. 需求：REQ-LIVE-022
2. 业务规则来源：需求规格说明.md:49
3. 原始问答：Q072、Q083
4. 入口证据：liveshow-proto/prototype/pages/user/host/start-live-settings.html
5. 规则：BR-6B6902F91E0E0B
6. 基线场景：SCN-LIVE-022-01-1
7. 补充前覆盖：未覆盖；最佳匹配 UHOST-0028；预期分数 0.25
8. 未动态验证</x:v>
      </x:c>
    </x:row>
    <x:row r="1026" ht="132" customHeight="1">
      <x:c r="A1026" s="15" t="n">
        <x:v>1025</x:v>
      </x:c>
      <x:c r="B1026" s="15" t="str">
        <x:v>IDN-U-0065</x:v>
      </x:c>
      <x:c r="C1026" s="15" t="str">
        <x:v>直播</x:v>
      </x:c>
      <x:c r="D1026" s="15" t="str">
        <x:v>密码房可见范围（主播与观众视角）</x:v>
      </x:c>
      <x:c r="E1026" s="15" t="str">
        <x:v>异常用例</x:v>
      </x:c>
      <x:c r="F1026" s="15" t="str">
        <x:v>P1</x:v>
      </x:c>
      <x:c r="G1026" s="15" t="str">
        <x:v>验证密码房可见范围（主播与观众视角）在“未授权用户在首页看到该密码房”场景下的处理</x:v>
      </x:c>
      <x:c r="H1026" s="15" t="str">
        <x:v>未授权用户在首页看到该密码房观察项</x:v>
      </x:c>
      <x:c r="I1026" s="15" t="str">
        <x:v>1. 主播与观众账号及关联业务数据已准备，账号可进入当前页面</x:v>
      </x:c>
      <x:c r="J1026" s="15" t="str">
        <x:v>1. 使用主播与观众账号从当前端导航进入【密码房可见范围（主播与观众视角）】
2. 主播同时开启广场展示和粉丝授权，分别用授权与未授权账号查看首页并用授权账号输入正确密码
3. 刷新【密码房可见范围（主播与观众视角）】，查询“未授权用户在首页看到该密码房”对应的业务记录或界面反馈</x:v>
      </x:c>
      <x:c r="K1026" s="15" t="str">
        <x:v>未授权用户不能在首页看到该密码房</x:v>
      </x:c>
      <x:c r="L1026" s="15" t="str"/>
      <x:c r="M1026" s="15" t="str">
        <x:v>未测</x:v>
      </x:c>
      <x:c r="N1026" s="15" t="str"/>
      <x:c r="O1026" s="15" t="str">
        <x:v>1. 需求：REQ-LIVE-022
2. 业务规则来源：需求规格说明.md:49
3. 原始问答：Q072、Q083
4. 入口证据：liveshow-proto/prototype/pages/user/host/start-live-settings.html
5. 规则：BR-8EF132275FA1A4
6. 基线场景：SCN-LIVE-022-02-1
7. 补充前覆盖：未覆盖；最佳匹配 UHOST-0028；预期分数 0.2413
8. 未动态验证</x:v>
      </x:c>
    </x:row>
    <x:row r="1027" ht="132" customHeight="1">
      <x:c r="A1027" s="15" t="n">
        <x:v>1026</x:v>
      </x:c>
      <x:c r="B1027" s="15" t="str">
        <x:v>IDN-U-0066</x:v>
      </x:c>
      <x:c r="C1027" s="15" t="str">
        <x:v>直播</x:v>
      </x:c>
      <x:c r="D1027" s="15" t="str">
        <x:v>密码房可见范围（主播与观众视角）</x:v>
      </x:c>
      <x:c r="E1027" s="15" t="str">
        <x:v>功能需求</x:v>
      </x:c>
      <x:c r="F1027" s="15" t="str">
        <x:v>P1</x:v>
      </x:c>
      <x:c r="G1027" s="15" t="str">
        <x:v>验证密码房可见范围（主播与观众视角）在“授权用户输入正确密码后进入直播间”场景下的处理</x:v>
      </x:c>
      <x:c r="H1027" s="15" t="str">
        <x:v>授权用户输入正确密码后进入直播间观察项</x:v>
      </x:c>
      <x:c r="I1027" s="15" t="str">
        <x:v>1. 主播与观众账号及关联业务数据已准备，账号可进入当前页面</x:v>
      </x:c>
      <x:c r="J1027" s="15" t="str">
        <x:v>1. 使用主播与观众账号从当前端导航进入【密码房可见范围（主播与观众视角）】
2. 主播同时开启广场展示和粉丝授权，分别用授权与未授权账号查看首页并用授权账号输入正确密码
3. 刷新【密码房可见范围（主播与观众视角）】，查询“授权用户输入正确密码后进入直播间”对应的业务记录或界面反馈</x:v>
      </x:c>
      <x:c r="K1027" s="15" t="str">
        <x:v>授权用户输入正确密码后可以进入直播间</x:v>
      </x:c>
      <x:c r="L1027" s="15" t="str"/>
      <x:c r="M1027" s="15" t="str">
        <x:v>未测</x:v>
      </x:c>
      <x:c r="N1027" s="15" t="str"/>
      <x:c r="O1027" s="15" t="str">
        <x:v>1. 需求：REQ-LIVE-022
2. 业务规则来源：需求规格说明.md:49
3. 原始问答：Q072、Q083
4. 入口证据：liveshow-proto/prototype/pages/user/host/start-live-settings.html
5. 规则：BR-1AEA27621EEB59
6. 基线场景：SCN-LIVE-022-03-1
7. 补充前覆盖：部分覆盖；最佳匹配 ULIVE-0159；预期分数 0.351
8. 未动态验证</x:v>
      </x:c>
    </x:row>
    <x:row r="1028" ht="132" customHeight="1">
      <x:c r="A1028" s="15" t="n">
        <x:v>1027</x:v>
      </x:c>
      <x:c r="B1028" s="15" t="str">
        <x:v>IDN-U-0067</x:v>
      </x:c>
      <x:c r="C1028" s="15" t="str">
        <x:v>直播</x:v>
      </x:c>
      <x:c r="D1028" s="15" t="str">
        <x:v>粉丝授权名单（主播视角）</x:v>
      </x:c>
      <x:c r="E1028" s="15" t="str">
        <x:v>功能需求</x:v>
      </x:c>
      <x:c r="F1028" s="15" t="str">
        <x:v>P1</x:v>
      </x:c>
      <x:c r="G1028" s="15" t="str">
        <x:v>验证粉丝授权名单（主播视角）在“密码房授权名单再次设置时选中上次选择的用户”场景下的处理</x:v>
      </x:c>
      <x:c r="H1028" s="15" t="str">
        <x:v>密码房授权名单再次设置时选中上次选择的用户观察项</x:v>
      </x:c>
      <x:c r="I1028" s="15" t="str">
        <x:v>1. 主播账号及关联业务数据已准备，账号可进入当前页面</x:v>
      </x:c>
      <x:c r="J1028" s="15" t="str">
        <x:v>1. 使用主播账号从当前端导航进入【粉丝授权名单（主播视角）】
2. 主播保存一次粉丝授权名单，退出设置后再次进入授权选择页
3. 刷新【粉丝授权名单（主播视角）】，查询“密码房授权名单再次设置时选中上次选择的用户”对应的业务记录或界面反馈</x:v>
      </x:c>
      <x:c r="K1028" s="15" t="str">
        <x:v>密码房授权名单再次设置时自动选中上次选择的用户</x:v>
      </x:c>
      <x:c r="L1028" s="15" t="str"/>
      <x:c r="M1028" s="15" t="str">
        <x:v>未测</x:v>
      </x:c>
      <x:c r="N1028" s="15" t="str"/>
      <x:c r="O1028" s="15" t="str">
        <x:v>1. 需求：REQ-LIVE-023
2. 业务规则来源：需求规格说明.md:50
3. 原始问答：Q094
4. 入口证据：liveshow-proto/prototype/pages/user/host/visible-fan-select.html
5. 规则：BR-D8C4CDAB4B06C4
6. 基线场景：SCN-LIVE-023-01-1
7. 补充前覆盖：未覆盖；最佳匹配 UHOST-0028；预期分数 0.2836
8. 未动态验证</x:v>
      </x:c>
    </x:row>
    <x:row r="1029" ht="132" customHeight="1">
      <x:c r="A1029" s="15" t="n">
        <x:v>1028</x:v>
      </x:c>
      <x:c r="B1029" s="15" t="str">
        <x:v>IDN-U-0068</x:v>
      </x:c>
      <x:c r="C1029" s="15" t="str">
        <x:v>直播</x:v>
      </x:c>
      <x:c r="D1029" s="15" t="str">
        <x:v>观众答谢（主播视角）</x:v>
      </x:c>
      <x:c r="E1029" s="15" t="str">
        <x:v>功能需求</x:v>
      </x:c>
      <x:c r="F1029" s="15" t="str">
        <x:v>P2</x:v>
      </x:c>
      <x:c r="G1029" s="15" t="str">
        <x:v>验证观众答谢（主播视角）在“主播答谢观众固定口头答谢内容”场景下的处理</x:v>
      </x:c>
      <x:c r="H1029" s="15" t="str">
        <x:v>主播答谢观众固定口头答谢内容观察项</x:v>
      </x:c>
      <x:c r="I1029" s="15" t="str">
        <x:v>1. 主播账号及关联业务数据已准备，账号可进入当前页面</x:v>
      </x:c>
      <x:c r="J1029" s="15" t="str">
        <x:v>1. 使用主播账号从当前端导航进入【观众答谢（主播视角）】
2. 主播在观众资料卡点击答谢，检查预填内容并继续进入答谢流程
3. 刷新【观众答谢（主播视角）】，查询“主播答谢观众固定口头答谢内容”对应的业务记录或界面反馈</x:v>
      </x:c>
      <x:c r="K1029" s="15" t="str">
        <x:v>主播答谢观众使用固定口头答谢内容</x:v>
      </x:c>
      <x:c r="L1029" s="15" t="str"/>
      <x:c r="M1029" s="15" t="str">
        <x:v>未测</x:v>
      </x:c>
      <x:c r="N1029" s="15" t="str"/>
      <x:c r="O1029" s="15" t="str">
        <x:v>1. 需求：REQ-LIVE-024
2. 业务规则来源：需求规格说明.md:51
3. 原始问答：Q087
4. 入口证据：liveshow-proto/prototype/pages/user/live/live-room-host.html
5. 规则：BR-CEA29682D16E76
6. 基线场景：SCN-LIVE-024-01-1
7. 补充前覆盖：未覆盖；最佳匹配 USOC-0111；预期分数 0.1643
8. 未动态验证</x:v>
      </x:c>
    </x:row>
    <x:row r="1030" ht="132" customHeight="1">
      <x:c r="A1030" s="15" t="n">
        <x:v>1029</x:v>
      </x:c>
      <x:c r="B1030" s="15" t="str">
        <x:v>IDN-U-0069</x:v>
      </x:c>
      <x:c r="C1030" s="15" t="str">
        <x:v>直播</x:v>
      </x:c>
      <x:c r="D1030" s="15" t="str">
        <x:v>观众答谢（主播视角）</x:v>
      </x:c>
      <x:c r="E1030" s="15" t="str">
        <x:v>功能需求</x:v>
      </x:c>
      <x:c r="F1030" s="15" t="str">
        <x:v>P2</x:v>
      </x:c>
      <x:c r="G1030" s="15" t="str">
        <x:v>验证观众答谢（主播视角）在“点击答谢后进入对答谢页面”场景下的处理</x:v>
      </x:c>
      <x:c r="H1030" s="15" t="str">
        <x:v>点击答谢后进入对答谢页面观察项</x:v>
      </x:c>
      <x:c r="I1030" s="15" t="str">
        <x:v>1. 主播账号及关联业务数据已准备，账号可进入当前页面</x:v>
      </x:c>
      <x:c r="J1030" s="15" t="str">
        <x:v>1. 使用主播账号从当前端导航进入【观众答谢（主播视角）】
2. 主播在观众资料卡点击答谢，检查预填内容并继续进入答谢流程
3. 刷新【观众答谢（主播视角）】，查询“点击答谢后进入对答谢页面”对应的业务记录或界面反馈</x:v>
      </x:c>
      <x:c r="K1030" s="15" t="str">
        <x:v>点击答谢后进入对应答谢页面</x:v>
      </x:c>
      <x:c r="L1030" s="15" t="str"/>
      <x:c r="M1030" s="15" t="str">
        <x:v>未测</x:v>
      </x:c>
      <x:c r="N1030" s="15" t="str"/>
      <x:c r="O1030" s="15" t="str">
        <x:v>1. 需求：REQ-LIVE-024
2. 业务规则来源：需求规格说明.md:51
3. 原始问答：Q087
4. 入口证据：liveshow-proto/prototype/pages/user/live/live-room-host.html
5. 规则：BR-1EB6F983A1933F
6. 基线场景：SCN-LIVE-024-02-1
7. 补充前覆盖：未覆盖；最佳匹配 UHOST-0164；预期分数 0.2929
8. 未动态验证</x:v>
      </x:c>
    </x:row>
    <x:row r="1031" ht="132" customHeight="1">
      <x:c r="A1031" s="15" t="n">
        <x:v>1030</x:v>
      </x:c>
      <x:c r="B1031" s="15" t="str">
        <x:v>IDN-U-0070</x:v>
      </x:c>
      <x:c r="C1031" s="15" t="str">
        <x:v>直播</x:v>
      </x:c>
      <x:c r="D1031" s="15" t="str">
        <x:v>直播贡献榜（用户视角）</x:v>
      </x:c>
      <x:c r="E1031" s="15" t="str">
        <x:v>功能需求</x:v>
      </x:c>
      <x:c r="F1031" s="15" t="str">
        <x:v>P2</x:v>
      </x:c>
      <x:c r="G1031" s="15" t="str">
        <x:v>验证直播贡献榜（用户视角）在“在线观众贡献榜反映在线观众”场景下的处理</x:v>
      </x:c>
      <x:c r="H1031" s="15" t="str">
        <x:v>在线观众贡献榜反映在线观众观察项</x:v>
      </x:c>
      <x:c r="I1031" s="15" t="str">
        <x:v>1. 主播或观众账号及关联业务数据已准备，账号可进入当前页面</x:v>
      </x:c>
      <x:c r="J1031" s="15" t="str">
        <x:v>1. 使用主播或观众账号从当前端导航进入【直播贡献榜（用户视角）】
2. 准备一名在线和一名已离线且均有贡献的观众，分别打开在线贡献榜与本场累计贡献榜
3. 刷新【直播贡献榜（用户视角）】，查询“在线观众贡献榜反映在线观众”对应的业务记录或界面反馈</x:v>
      </x:c>
      <x:c r="K1031" s="15" t="str">
        <x:v>在线观众贡献榜仅反映在线观众</x:v>
      </x:c>
      <x:c r="L1031" s="15" t="str"/>
      <x:c r="M1031" s="15" t="str">
        <x:v>未测</x:v>
      </x:c>
      <x:c r="N1031" s="15" t="str"/>
      <x:c r="O1031" s="15" t="str">
        <x:v>1. 需求：REQ-LIVE-025
2. 业务规则来源：需求规格说明.md:52
3. 原始问答：Q088
4. 入口证据：liveshow-proto/prototype/pages/user/home/contribution-ranking.html
5. 规则：BR-2BE7287BD87618
6. 基线场景：SCN-LIVE-025-01-1
7. 补充前覆盖：部分覆盖；最佳匹配 ULIVE-0225；预期分数 0.505
8. 未动态验证</x:v>
      </x:c>
    </x:row>
    <x:row r="1032" ht="132" customHeight="1">
      <x:c r="A1032" s="15" t="n">
        <x:v>1031</x:v>
      </x:c>
      <x:c r="B1032" s="15" t="str">
        <x:v>IDN-U-0071</x:v>
      </x:c>
      <x:c r="C1032" s="15" t="str">
        <x:v>直播</x:v>
      </x:c>
      <x:c r="D1032" s="15" t="str">
        <x:v>直播贡献榜（用户视角）</x:v>
      </x:c>
      <x:c r="E1032" s="15" t="str">
        <x:v>功能需求</x:v>
      </x:c>
      <x:c r="F1032" s="15" t="str">
        <x:v>P2</x:v>
      </x:c>
      <x:c r="G1032" s="15" t="str">
        <x:v>验证直播贡献榜（用户视角）在“本场累计贡献榜包含在线观众和已离线观众”场景下的处理</x:v>
      </x:c>
      <x:c r="H1032" s="15" t="str">
        <x:v>本场累计贡献榜包含在线观众和已离线观众观察项</x:v>
      </x:c>
      <x:c r="I1032" s="15" t="str">
        <x:v>1. 主播或观众账号及关联业务数据已准备，账号可进入当前页面</x:v>
      </x:c>
      <x:c r="J1032" s="15" t="str">
        <x:v>1. 使用主播或观众账号从当前端导航进入【直播贡献榜（用户视角）】
2. 准备一名在线和一名已离线且均有贡献的观众，分别打开在线贡献榜与本场累计贡献榜
3. 刷新【直播贡献榜（用户视角）】，查询“本场累计贡献榜包含在线观众和已离线观众”对应的业务记录或界面反馈</x:v>
      </x:c>
      <x:c r="K1032" s="15" t="str">
        <x:v>本场累计贡献榜包含在线观众和已离线观众</x:v>
      </x:c>
      <x:c r="L1032" s="15" t="str"/>
      <x:c r="M1032" s="15" t="str">
        <x:v>未测</x:v>
      </x:c>
      <x:c r="N1032" s="15" t="str"/>
      <x:c r="O1032" s="15" t="str">
        <x:v>1. 需求：REQ-LIVE-025
2. 业务规则来源：需求规格说明.md:52
3. 原始问答：Q088
4. 入口证据：liveshow-proto/prototype/pages/user/home/contribution-ranking.html
5. 规则：BR-B2D9DDF5C8A10D
6. 基线场景：SCN-LIVE-025-02-1
7. 补充前覆盖：部分覆盖；最佳匹配 ULIVE-0219；预期分数 0.2125
8. 未动态验证</x:v>
      </x:c>
    </x:row>
    <x:row r="1033" ht="132" customHeight="1">
      <x:c r="A1033" s="15" t="n">
        <x:v>1032</x:v>
      </x:c>
      <x:c r="B1033" s="15" t="str">
        <x:v>IDN-U-0072</x:v>
      </x:c>
      <x:c r="C1033" s="15" t="str">
        <x:v>直播</x:v>
      </x:c>
      <x:c r="D1033" s="15" t="str">
        <x:v>主播主页（用户视角）</x:v>
      </x:c>
      <x:c r="E1033" s="15" t="str">
        <x:v>功能需求</x:v>
      </x:c>
      <x:c r="F1033" s="15" t="str">
        <x:v>P2</x:v>
      </x:c>
      <x:c r="G1033" s="15" t="str">
        <x:v>验证主播主页（用户视角）在“主播页面粉丝数按关注该主播的用户数统计”场景下的处理</x:v>
      </x:c>
      <x:c r="H1033" s="15" t="str">
        <x:v>主播页面粉丝数按关注该主播的用户数统计观察项</x:v>
      </x:c>
      <x:c r="I1033" s="15" t="str">
        <x:v>1. 普通用户账号及关联业务数据已准备，账号可进入当前页面</x:v>
      </x:c>
      <x:c r="J1033" s="15" t="str">
        <x:v>1. 使用普通用户账号从当前端导航进入【主播主页（用户视角）】
2. 准备关注人数与粉丝团人数不同的主播，刷新主播主页并核对粉丝数
3. 刷新【主播主页（用户视角）】，查询“主播页面粉丝数按关注该主播的用户数统计”对应的业务记录或界面反馈</x:v>
      </x:c>
      <x:c r="K1033" s="15" t="str">
        <x:v>主播页面粉丝数按关注该主播的用户数统计</x:v>
      </x:c>
      <x:c r="L1033" s="15" t="str"/>
      <x:c r="M1033" s="15" t="str">
        <x:v>未测</x:v>
      </x:c>
      <x:c r="N1033" s="15" t="str"/>
      <x:c r="O1033" s="15" t="str">
        <x:v>1. 需求：REQ-LIVE-026
2. 业务规则来源：需求规格说明.md:53
3. 原始问答：Q070
4. 入口证据：liveshow-proto/prototype/pages/user/social/host-home.html
5. 规则：BR-257656F29B413D
6. 基线场景：SCN-LIVE-026-01-1
7. 补充前覆盖：部分覆盖；最佳匹配 UHOST-0047；预期分数 0.4115
8. 未动态验证</x:v>
      </x:c>
    </x:row>
    <x:row r="1034" ht="132" customHeight="1">
      <x:c r="A1034" s="15" t="n">
        <x:v>1033</x:v>
      </x:c>
      <x:c r="B1034" s="15" t="str">
        <x:v>IDN-U-0073</x:v>
      </x:c>
      <x:c r="C1034" s="15" t="str">
        <x:v>直播</x:v>
      </x:c>
      <x:c r="D1034" s="15" t="str">
        <x:v>主播主页（用户视角）</x:v>
      </x:c>
      <x:c r="E1034" s="15" t="str">
        <x:v>异常用例</x:v>
      </x:c>
      <x:c r="F1034" s="15" t="str">
        <x:v>P2</x:v>
      </x:c>
      <x:c r="G1034" s="15" t="str">
        <x:v>验证主播主页（用户视角）在“主播页面粉丝数不按粉丝团人数统计”场景下的处理</x:v>
      </x:c>
      <x:c r="H1034" s="15" t="str">
        <x:v>主播页面粉丝数不按粉丝团人数统计观察项</x:v>
      </x:c>
      <x:c r="I1034" s="15" t="str">
        <x:v>1. 普通用户账号及关联业务数据已准备，账号可进入当前页面</x:v>
      </x:c>
      <x:c r="J1034" s="15" t="str">
        <x:v>1. 使用普通用户账号从当前端导航进入【主播主页（用户视角）】
2. 准备关注人数与粉丝团人数不同的主播，刷新主播主页并核对粉丝数
3. 刷新【主播主页（用户视角）】，查询“主播页面粉丝数不按粉丝团人数统计”对应的业务记录或界面反馈</x:v>
      </x:c>
      <x:c r="K1034" s="15" t="str">
        <x:v>主播页面粉丝数不按粉丝团人数统计</x:v>
      </x:c>
      <x:c r="L1034" s="15" t="str"/>
      <x:c r="M1034" s="15" t="str">
        <x:v>未测</x:v>
      </x:c>
      <x:c r="N1034" s="15" t="str"/>
      <x:c r="O1034" s="15" t="str">
        <x:v>1. 需求：REQ-LIVE-026
2. 业务规则来源：需求规格说明.md:53
3. 原始问答：Q070
4. 入口证据：liveshow-proto/prototype/pages/user/social/host-home.html
5. 规则：BR-140581403441CF
6. 基线场景：SCN-LIVE-026-02-1
7. 补充前覆盖：部分覆盖；最佳匹配 UFAN-0004；预期分数 0.35
8. 未动态验证</x:v>
      </x:c>
    </x:row>
    <x:row r="1035" ht="132" customHeight="1">
      <x:c r="A1035" s="15" t="n">
        <x:v>1034</x:v>
      </x:c>
      <x:c r="B1035" s="15" t="str">
        <x:v>IDN-U-0074</x:v>
      </x:c>
      <x:c r="C1035" s="15" t="str">
        <x:v>社交与房管</x:v>
      </x:c>
      <x:c r="D1035" s="15" t="str">
        <x:v>粉丝团（主播视角）</x:v>
      </x:c>
      <x:c r="E1035" s="15" t="str">
        <x:v>功能需求</x:v>
      </x:c>
      <x:c r="F1035" s="15" t="str">
        <x:v>P2</x:v>
      </x:c>
      <x:c r="G1035" s="15" t="str">
        <x:v>验证粉丝团（主播视角）在“每个主播默认拥有 1 个粉丝团”场景下的处理</x:v>
      </x:c>
      <x:c r="H1035" s="15" t="str">
        <x:v>每个主播默认拥有 1 个粉丝团观察项</x:v>
      </x:c>
      <x:c r="I1035" s="15" t="str">
        <x:v>1. 主播账号及关联业务数据已准备，账号可进入当前页面</x:v>
      </x:c>
      <x:c r="J1035" s="15" t="str">
        <x:v>1. 使用主播账号从当前端导航进入【粉丝团（主播视角）】
2. 为主播查询粉丝团数量，并将成员数依次准备为 499、500，尝试创建第二个粉丝团或加入新成员
3. 刷新【粉丝团（主播视角）】，查询“每个主播默认拥有 1 个粉丝团”对应的业务记录或界面反馈</x:v>
      </x:c>
      <x:c r="K1035" s="15" t="str">
        <x:v>每个主播默认拥有 1 个粉丝团</x:v>
      </x:c>
      <x:c r="L1035" s="15" t="str"/>
      <x:c r="M1035" s="15" t="str">
        <x:v>未测</x:v>
      </x:c>
      <x:c r="N1035" s="15" t="str"/>
      <x:c r="O1035" s="15" t="str">
        <x:v>1. 需求：REQ-SOC-001
2. 业务规则来源：需求规格说明.md:59
3. 原始问答：Q052、Q143
4. 入口证据：liveshow-proto/prototype/pages/user/host/fan-club.html
5. 规则：BR-3429B51EE85908
6. 基线场景：SCN-SOC-001-01-1
7. 补充前覆盖：未覆盖；最佳匹配 UHOST-0063；预期分数 0.2534
8. 未动态验证</x:v>
      </x:c>
    </x:row>
    <x:row r="1036" ht="132" customHeight="1">
      <x:c r="A1036" s="15" t="n">
        <x:v>1035</x:v>
      </x:c>
      <x:c r="B1036" s="15" t="str">
        <x:v>IDN-U-0075</x:v>
      </x:c>
      <x:c r="C1036" s="15" t="str">
        <x:v>社交与房管</x:v>
      </x:c>
      <x:c r="D1036" s="15" t="str">
        <x:v>粉丝团（主播视角）</x:v>
      </x:c>
      <x:c r="E1036" s="15" t="str">
        <x:v>功能需求</x:v>
      </x:c>
      <x:c r="F1036" s="15" t="str">
        <x:v>P2</x:v>
      </x:c>
      <x:c r="G1036" s="15" t="str">
        <x:v>验证粉丝团（主播视角）在“每个主播最多只能拥有 1 个粉丝团”场景下的处理</x:v>
      </x:c>
      <x:c r="H1036" s="15" t="str">
        <x:v>每个主播最多只能拥有 1 个粉丝团观察项</x:v>
      </x:c>
      <x:c r="I1036" s="15" t="str">
        <x:v>1. 主播账号及关联业务数据已准备，账号可进入当前页面</x:v>
      </x:c>
      <x:c r="J1036" s="15" t="str">
        <x:v>1. 使用主播账号从当前端导航进入【粉丝团（主播视角）】
2. 为主播查询粉丝团数量，并将成员数依次准备为 499、500，尝试创建第二个粉丝团或加入新成员
3. 刷新【粉丝团（主播视角）】，查询“每个主播最多只能拥有 1 个粉丝团”对应的业务记录或界面反馈</x:v>
      </x:c>
      <x:c r="K1036" s="15" t="str">
        <x:v>每个主播最多只能拥有 1 个粉丝团</x:v>
      </x:c>
      <x:c r="L1036" s="15" t="str"/>
      <x:c r="M1036" s="15" t="str">
        <x:v>未测</x:v>
      </x:c>
      <x:c r="N1036" s="15" t="str"/>
      <x:c r="O1036" s="15" t="str">
        <x:v>1. 需求：REQ-SOC-001
2. 业务规则来源：需求规格说明.md:59
3. 原始问答：Q052、Q143
4. 入口证据：liveshow-proto/prototype/pages/user/host/fan-club.html
5. 规则：BR-131843ACC4230C
6. 基线场景：SCN-SOC-001-02-1
7. 补充前覆盖：未覆盖；最佳匹配 UHOST-0063；预期分数 0.231
8. 未动态验证</x:v>
      </x:c>
    </x:row>
    <x:row r="1037" ht="132" customHeight="1">
      <x:c r="A1037" s="15" t="n">
        <x:v>1036</x:v>
      </x:c>
      <x:c r="B1037" s="15" t="str">
        <x:v>IDN-U-0076</x:v>
      </x:c>
      <x:c r="C1037" s="15" t="str">
        <x:v>社交与房管</x:v>
      </x:c>
      <x:c r="D1037" s="15" t="str">
        <x:v>粉丝团（主播视角）</x:v>
      </x:c>
      <x:c r="E1037" s="15" t="str">
        <x:v>功能需求</x:v>
      </x:c>
      <x:c r="F1037" s="15" t="str">
        <x:v>P2</x:v>
      </x:c>
      <x:c r="G1037" s="15" t="str">
        <x:v>验证粉丝团（主播视角）在“单个粉丝团成员上限为 500 人”场景下的处理</x:v>
      </x:c>
      <x:c r="H1037" s="15" t="str">
        <x:v>单个粉丝团成员上限为 500 人观察项</x:v>
      </x:c>
      <x:c r="I1037" s="15" t="str">
        <x:v>1. 主播账号及关联业务数据已准备，账号可进入当前页面
2. 目标粉丝团成员数已按场景准备为 499 或 500 人</x:v>
      </x:c>
      <x:c r="J1037" s="15" t="str">
        <x:v>1. 使用主播账号从当前端导航进入【粉丝团（主播视角）】
2. 为主播查询粉丝团数量，并将成员数依次准备为 499、500，尝试创建第二个粉丝团或加入新成员
3. 刷新【粉丝团（主播视角）】，查询“单个粉丝团成员上限为 500 人”对应的业务记录或界面反馈</x:v>
      </x:c>
      <x:c r="K1037" s="15" t="str">
        <x:v>单个粉丝团成员上限为 500 人</x:v>
      </x:c>
      <x:c r="L1037" s="15" t="str"/>
      <x:c r="M1037" s="15" t="str">
        <x:v>未测</x:v>
      </x:c>
      <x:c r="N1037" s="15" t="str"/>
      <x:c r="O1037" s="15" t="str">
        <x:v>1. 需求：REQ-SOC-001
2. 业务规则来源：需求规格说明.md:59
3. 原始问答：Q052、Q143
4. 入口证据：liveshow-proto/prototype/pages/user/host/fan-club.html
5. 规则：BR-123D3B71E08A57
6. 基线场景：SCN-SOC-001-03-1
7. 补充前覆盖：未覆盖；最佳匹配 USOC-0081；预期分数 0.251
8. 未动态验证</x:v>
      </x:c>
    </x:row>
    <x:row r="1038" ht="132" customHeight="1">
      <x:c r="A1038" s="15" t="n">
        <x:v>1037</x:v>
      </x:c>
      <x:c r="B1038" s="15" t="str">
        <x:v>IDN-U-0077</x:v>
      </x:c>
      <x:c r="C1038" s="15" t="str">
        <x:v>社交与房管</x:v>
      </x:c>
      <x:c r="D1038" s="15" t="str">
        <x:v>粉丝团加入（用户视角）</x:v>
      </x:c>
      <x:c r="E1038" s="15" t="str">
        <x:v>异常用例</x:v>
      </x:c>
      <x:c r="F1038" s="15" t="str">
        <x:v>P2</x:v>
      </x:c>
      <x:c r="G1038" s="15" t="str">
        <x:v>验证粉丝团加入（用户视角）在“用户达到入团条件后不会加入粉丝团”场景下的处理</x:v>
      </x:c>
      <x:c r="H1038" s="15" t="str">
        <x:v>用户达到入团条件后不会加入粉丝团观察项</x:v>
      </x:c>
      <x:c r="I1038" s="15" t="str">
        <x:v>1. 普通用户账号及关联业务数据已准备，账号可进入当前页面</x:v>
      </x:c>
      <x:c r="J1038" s="15" t="str">
        <x:v>1. 使用普通用户账号从当前端导航进入【粉丝团加入（用户视角）】
2. 让符合条件的用户在 499 人和 500 人粉丝团中打开加入页，分别尝试主动加入；随后主播移除一名成员后重试
3. 刷新【粉丝团加入（用户视角）】，查询“用户达到入团条件后不会加入粉丝团”对应的业务记录或界面反馈</x:v>
      </x:c>
      <x:c r="K1038" s="15" t="str">
        <x:v>用户达到入团条件后不会自动加入粉丝团</x:v>
      </x:c>
      <x:c r="L1038" s="15" t="str"/>
      <x:c r="M1038" s="15" t="str">
        <x:v>未测</x:v>
      </x:c>
      <x:c r="N1038" s="15" t="str"/>
      <x:c r="O1038" s="15" t="str">
        <x:v>1. 需求：REQ-SOC-002
2. 业务规则来源：需求规格说明.md:60
3. 原始问答：Q055
4. 入口证据：liveshow-proto/prototype/pages/user/host/fan-club.html
5. 规则：BR-D60CD4F5FAA5FA
6. 基线场景：SCN-SOC-002-01-1
7. 补充前覆盖：未覆盖；最佳匹配 ULIVE-0066；预期分数 0.2521
8. 未动态验证</x:v>
      </x:c>
    </x:row>
    <x:row r="1039" ht="132" customHeight="1">
      <x:c r="A1039" s="15" t="n">
        <x:v>1038</x:v>
      </x:c>
      <x:c r="B1039" s="15" t="str">
        <x:v>IDN-U-0078</x:v>
      </x:c>
      <x:c r="C1039" s="15" t="str">
        <x:v>社交与房管</x:v>
      </x:c>
      <x:c r="D1039" s="15" t="str">
        <x:v>粉丝团加入（用户视角）</x:v>
      </x:c>
      <x:c r="E1039" s="15" t="str">
        <x:v>功能需求</x:v>
      </x:c>
      <x:c r="F1039" s="15" t="str">
        <x:v>P2</x:v>
      </x:c>
      <x:c r="G1039" s="15" t="str">
        <x:v>验证粉丝团加入（用户视角）在“符合条件的用户需主动加入粉丝团”场景下的处理</x:v>
      </x:c>
      <x:c r="H1039" s="15" t="str">
        <x:v>符合条件的用户需主动加入粉丝团观察项</x:v>
      </x:c>
      <x:c r="I1039" s="15" t="str">
        <x:v>1. 普通用户账号及关联业务数据已准备，账号可进入当前页面</x:v>
      </x:c>
      <x:c r="J1039" s="15" t="str">
        <x:v>1. 使用普通用户账号从当前端导航进入【粉丝团加入（用户视角）】
2. 让符合条件的用户在 499 人和 500 人粉丝团中打开加入页，分别尝试主动加入；随后主播移除一名成员后重试
3. 刷新【粉丝团加入（用户视角）】，查询“符合条件的用户需主动加入粉丝团”对应的业务记录或界面反馈</x:v>
      </x:c>
      <x:c r="K1039" s="15" t="str">
        <x:v>符合条件的用户需主动加入粉丝团</x:v>
      </x:c>
      <x:c r="L1039" s="15" t="str"/>
      <x:c r="M1039" s="15" t="str">
        <x:v>未测</x:v>
      </x:c>
      <x:c r="N1039" s="15" t="str"/>
      <x:c r="O1039" s="15" t="str">
        <x:v>1. 需求：REQ-SOC-002
2. 业务规则来源：需求规格说明.md:60
3. 原始问答：Q055
4. 入口证据：liveshow-proto/prototype/pages/user/host/fan-club.html
5. 规则：BR-3A3E9E1A4B20C0
6. 基线场景：SCN-SOC-002-02-1
7. 补充前覆盖：部分覆盖；最佳匹配 UHOST-0064；预期分数 0.2909
8. 未动态验证</x:v>
      </x:c>
    </x:row>
    <x:row r="1040" ht="132" customHeight="1">
      <x:c r="A1040" s="15" t="n">
        <x:v>1039</x:v>
      </x:c>
      <x:c r="B1040" s="15" t="str">
        <x:v>IDN-U-0079</x:v>
      </x:c>
      <x:c r="C1040" s="15" t="str">
        <x:v>社交与房管</x:v>
      </x:c>
      <x:c r="D1040" s="15" t="str">
        <x:v>粉丝团加入（用户视角）</x:v>
      </x:c>
      <x:c r="E1040" s="15" t="str">
        <x:v>异常用例</x:v>
      </x:c>
      <x:c r="F1040" s="15" t="str">
        <x:v>P2</x:v>
      </x:c>
      <x:c r="G1040" s="15" t="str">
        <x:v>验证粉丝团加入（用户视角）在“粉丝团达到 500 人时加入按钮置灰”场景下的处理</x:v>
      </x:c>
      <x:c r="H1040" s="15" t="str">
        <x:v>粉丝团达到 500 人时加入按钮置灰观察项</x:v>
      </x:c>
      <x:c r="I1040" s="15" t="str">
        <x:v>1. 普通用户账号及关联业务数据已准备，账号可进入当前页面
2. 目标粉丝团成员数已按场景准备为 499 或 500 人</x:v>
      </x:c>
      <x:c r="J1040" s="15" t="str">
        <x:v>1. 使用普通用户账号从当前端导航进入【粉丝团加入（用户视角）】
2. 让符合条件的用户在 499 人和 500 人粉丝团中打开加入页，分别尝试主动加入；随后主播移除一名成员后重试
3. 刷新【粉丝团加入（用户视角）】，查询“粉丝团达到 500 人时加入按钮置灰”对应的业务记录或界面反馈</x:v>
      </x:c>
      <x:c r="K1040" s="15" t="str">
        <x:v>粉丝团达到 500 人时加入按钮置灰</x:v>
      </x:c>
      <x:c r="L1040" s="15" t="str"/>
      <x:c r="M1040" s="15" t="str">
        <x:v>未测</x:v>
      </x:c>
      <x:c r="N1040" s="15" t="str"/>
      <x:c r="O1040" s="15" t="str">
        <x:v>1. 需求：REQ-SOC-002
2. 业务规则来源：需求规格说明.md:60
3. 原始问答：Q055
4. 入口证据：liveshow-proto/prototype/pages/user/host/fan-club.html
5. 规则：BR-249A7CB842365B
6. 基线场景：SCN-SOC-002-03-1
7. 补充前覆盖：未覆盖；最佳匹配 USOC-0068；预期分数 0.1221
8. 未动态验证</x:v>
      </x:c>
    </x:row>
    <x:row r="1041" ht="132" customHeight="1">
      <x:c r="A1041" s="15" t="n">
        <x:v>1040</x:v>
      </x:c>
      <x:c r="B1041" s="15" t="str">
        <x:v>IDN-U-0080</x:v>
      </x:c>
      <x:c r="C1041" s="15" t="str">
        <x:v>社交与房管</x:v>
      </x:c>
      <x:c r="D1041" s="15" t="str">
        <x:v>粉丝团加入（用户视角）</x:v>
      </x:c>
      <x:c r="E1041" s="15" t="str">
        <x:v>功能需求</x:v>
      </x:c>
      <x:c r="F1041" s="15" t="str">
        <x:v>P2</x:v>
      </x:c>
      <x:c r="G1041" s="15" t="str">
        <x:v>验证粉丝团加入（用户视角）在“粉丝团达到 500 人时成员已满”场景下的处理</x:v>
      </x:c>
      <x:c r="H1041" s="15" t="str">
        <x:v>粉丝团达到 500 人时成员已满观察项</x:v>
      </x:c>
      <x:c r="I1041" s="15" t="str">
        <x:v>1. 普通用户账号及关联业务数据已准备，账号可进入当前页面
2. 目标粉丝团成员数已按场景准备为 499 或 500 人</x:v>
      </x:c>
      <x:c r="J1041" s="15" t="str">
        <x:v>1. 使用普通用户账号从当前端导航进入【粉丝团加入（用户视角）】
2. 让符合条件的用户在 499 人和 500 人粉丝团中打开加入页，分别尝试主动加入；随后主播移除一名成员后重试
3. 刷新【粉丝团加入（用户视角）】，查询“粉丝团达到 500 人时成员已满”对应的业务记录或界面反馈</x:v>
      </x:c>
      <x:c r="K1041" s="15" t="str">
        <x:v>粉丝团达到 500 人时显示“成员已满”</x:v>
      </x:c>
      <x:c r="L1041" s="15" t="str"/>
      <x:c r="M1041" s="15" t="str">
        <x:v>未测</x:v>
      </x:c>
      <x:c r="N1041" s="15" t="str"/>
      <x:c r="O1041" s="15" t="str">
        <x:v>1. 需求：REQ-SOC-002
2. 业务规则来源：需求规格说明.md:60
3. 原始问答：Q055
4. 入口证据：liveshow-proto/prototype/pages/user/host/fan-club.html
5. 规则：BR-4C03683CE31D8A
6. 基线场景：SCN-SOC-002-04-1
7. 补充前覆盖：未覆盖；最佳匹配 USOC-0026；预期分数 0.1413
8. 未动态验证</x:v>
      </x:c>
    </x:row>
    <x:row r="1042" ht="132" customHeight="1">
      <x:c r="A1042" s="15" t="n">
        <x:v>1041</x:v>
      </x:c>
      <x:c r="B1042" s="15" t="str">
        <x:v>IDN-U-0081</x:v>
      </x:c>
      <x:c r="C1042" s="15" t="str">
        <x:v>社交与房管</x:v>
      </x:c>
      <x:c r="D1042" s="15" t="str">
        <x:v>粉丝团加入（用户视角）</x:v>
      </x:c>
      <x:c r="E1042" s="15" t="str">
        <x:v>异常用例</x:v>
      </x:c>
      <x:c r="F1042" s="15" t="str">
        <x:v>P2</x:v>
      </x:c>
      <x:c r="G1042" s="15" t="str">
        <x:v>验证粉丝团加入（用户视角）在“主播移除成员后新的符合条件用户加入”场景下的处理</x:v>
      </x:c>
      <x:c r="H1042" s="15" t="str">
        <x:v>主播移除成员后新的符合条件用户加入观察项</x:v>
      </x:c>
      <x:c r="I1042" s="15" t="str">
        <x:v>1. 普通用户账号及关联业务数据已准备，账号可进入当前页面</x:v>
      </x:c>
      <x:c r="J1042" s="15" t="str">
        <x:v>1. 使用普通用户账号从当前端导航进入【粉丝团加入（用户视角）】
2. 让符合条件的用户在 499 人和 500 人粉丝团中打开加入页，分别尝试主动加入；随后主播移除一名成员后重试
3. 刷新【粉丝团加入（用户视角）】，查询“主播移除成员后新的符合条件用户加入”对应的业务记录或界面反馈</x:v>
      </x:c>
      <x:c r="K1042" s="15" t="str">
        <x:v>主播移除成员后新的符合条件用户可以加入</x:v>
      </x:c>
      <x:c r="L1042" s="15" t="str"/>
      <x:c r="M1042" s="15" t="str">
        <x:v>未测</x:v>
      </x:c>
      <x:c r="N1042" s="15" t="str"/>
      <x:c r="O1042" s="15" t="str">
        <x:v>1. 需求：REQ-SOC-002
2. 业务规则来源：需求规格说明.md:60
3. 原始问答：Q055
4. 入口证据：liveshow-proto/prototype/pages/user/host/fan-club.html
5. 规则：BR-99E382EDB52BFC
6. 基线场景：SCN-SOC-002-05-1
7. 补充前覆盖：未覆盖；最佳匹配 UHOST-0064；预期分数 0.1964
8. 未动态验证</x:v>
      </x:c>
    </x:row>
    <x:row r="1043" ht="132" customHeight="1">
      <x:c r="A1043" s="15" t="n">
        <x:v>1042</x:v>
      </x:c>
      <x:c r="B1043" s="15" t="str">
        <x:v>IDN-U-0082</x:v>
      </x:c>
      <x:c r="C1043" s="15" t="str">
        <x:v>社交与房管</x:v>
      </x:c>
      <x:c r="D1043" s="15" t="str">
        <x:v>粉丝群聊（用户视角）</x:v>
      </x:c>
      <x:c r="E1043" s="15" t="str">
        <x:v>功能需求</x:v>
      </x:c>
      <x:c r="F1043" s="15" t="str">
        <x:v>P2</x:v>
      </x:c>
      <x:c r="G1043" s="15" t="str">
        <x:v>验证粉丝群聊（用户视角）在“粉丝团与粉丝群聊是同一业务实体”场景下的处理</x:v>
      </x:c>
      <x:c r="H1043" s="15" t="str">
        <x:v>粉丝团与粉丝群聊是同一业务实体观察项</x:v>
      </x:c>
      <x:c r="I1043" s="15" t="str">
        <x:v>1. 普通用户账号及关联业务数据已准备，账号可进入当前页面</x:v>
      </x:c>
      <x:c r="J1043" s="15" t="str">
        <x:v>1. 使用普通用户账号从当前端导航进入【粉丝群聊（用户视角）】
2. 使用同一用户加入粉丝群聊并刷新粉丝团状态；再将群成员填满后用新用户尝试加入
3. 刷新【粉丝群聊（用户视角）】，查询“粉丝团与粉丝群聊是同一业务实体”对应的业务记录或界面反馈</x:v>
      </x:c>
      <x:c r="K1043" s="15" t="str">
        <x:v>粉丝团与粉丝群聊是同一业务实体</x:v>
      </x:c>
      <x:c r="L1043" s="15" t="str"/>
      <x:c r="M1043" s="15" t="str">
        <x:v>未测</x:v>
      </x:c>
      <x:c r="N1043" s="15" t="str"/>
      <x:c r="O1043" s="15" t="str">
        <x:v>1. 需求：REQ-SOC-003
2. 业务规则来源：需求规格说明.md:61
3. 原始问答：Q059
4. 入口证据：liveshow-proto/prototype/pages/user/social/fan-group-chat.html
5. 规则：BR-68A59E074466CA
6. 基线场景：SCN-SOC-003-01-1
7. 补充前覆盖：未覆盖；最佳匹配 USOC-0082；预期分数 0.3045
8. 未动态验证</x:v>
      </x:c>
    </x:row>
    <x:row r="1044" ht="132" customHeight="1">
      <x:c r="A1044" s="15" t="n">
        <x:v>1043</x:v>
      </x:c>
      <x:c r="B1044" s="15" t="str">
        <x:v>IDN-U-0083</x:v>
      </x:c>
      <x:c r="C1044" s="15" t="str">
        <x:v>社交与房管</x:v>
      </x:c>
      <x:c r="D1044" s="15" t="str">
        <x:v>粉丝群聊（用户视角）</x:v>
      </x:c>
      <x:c r="E1044" s="15" t="str">
        <x:v>功能需求</x:v>
      </x:c>
      <x:c r="F1044" s="15" t="str">
        <x:v>P2</x:v>
      </x:c>
      <x:c r="G1044" s="15" t="str">
        <x:v>验证粉丝群聊（用户视角）在“加入群聊时同步加入粉丝团”场景下的处理</x:v>
      </x:c>
      <x:c r="H1044" s="15" t="str">
        <x:v>加入群聊时同步加入粉丝团观察项</x:v>
      </x:c>
      <x:c r="I1044" s="15" t="str">
        <x:v>1. 普通用户账号及关联业务数据已准备，账号可进入当前页面</x:v>
      </x:c>
      <x:c r="J1044" s="15" t="str">
        <x:v>1. 使用普通用户账号从当前端导航进入【粉丝群聊（用户视角）】
2. 使用同一用户加入粉丝群聊并刷新粉丝团状态；再将群成员填满后用新用户尝试加入
3. 刷新【粉丝群聊（用户视角）】，查询“加入群聊时同步加入粉丝团”对应的业务记录或界面反馈</x:v>
      </x:c>
      <x:c r="K1044" s="15" t="str">
        <x:v>加入群聊时同步加入粉丝团</x:v>
      </x:c>
      <x:c r="L1044" s="15" t="str"/>
      <x:c r="M1044" s="15" t="str">
        <x:v>未测</x:v>
      </x:c>
      <x:c r="N1044" s="15" t="str"/>
      <x:c r="O1044" s="15" t="str">
        <x:v>1. 需求：REQ-SOC-003
2. 业务规则来源：需求规格说明.md:61
3. 原始问答：Q059
4. 入口证据：liveshow-proto/prototype/pages/user/social/fan-group-chat.html
5. 规则：BR-8ABDCB1073C65A
6. 基线场景：SCN-SOC-003-02-1
7. 补充前覆盖：部分覆盖；最佳匹配 USOC-0024；预期分数 0.28
8. 未动态验证</x:v>
      </x:c>
    </x:row>
    <x:row r="1045" ht="132" customHeight="1">
      <x:c r="A1045" s="15" t="n">
        <x:v>1044</x:v>
      </x:c>
      <x:c r="B1045" s="15" t="str">
        <x:v>IDN-U-0084</x:v>
      </x:c>
      <x:c r="C1045" s="15" t="str">
        <x:v>社交与房管</x:v>
      </x:c>
      <x:c r="D1045" s="15" t="str">
        <x:v>粉丝群聊（用户视角）</x:v>
      </x:c>
      <x:c r="E1045" s="15" t="str">
        <x:v>异常用例</x:v>
      </x:c>
      <x:c r="F1045" s="15" t="str">
        <x:v>P2</x:v>
      </x:c>
      <x:c r="G1045" s="15" t="str">
        <x:v>验证粉丝群聊（用户视角）在“群聊已满时加入粉丝团”场景下的处理</x:v>
      </x:c>
      <x:c r="H1045" s="15" t="str">
        <x:v>群聊已满时加入粉丝团观察项</x:v>
      </x:c>
      <x:c r="I1045" s="15" t="str">
        <x:v>1. 普通用户账号及关联业务数据已准备，账号可进入当前页面</x:v>
      </x:c>
      <x:c r="J1045" s="15" t="str">
        <x:v>1. 使用普通用户账号从当前端导航进入【粉丝群聊（用户视角）】
2. 使用同一用户加入粉丝群聊并刷新粉丝团状态；再将群成员填满后用新用户尝试加入
3. 刷新【粉丝群聊（用户视角）】，查询“群聊已满时加入粉丝团”对应的业务记录或界面反馈</x:v>
      </x:c>
      <x:c r="K1045" s="15" t="str">
        <x:v>群聊已满时不能加入粉丝团</x:v>
      </x:c>
      <x:c r="L1045" s="15" t="str"/>
      <x:c r="M1045" s="15" t="str">
        <x:v>未测</x:v>
      </x:c>
      <x:c r="N1045" s="15" t="str"/>
      <x:c r="O1045" s="15" t="str">
        <x:v>1. 需求：REQ-SOC-003
2. 业务规则来源：需求规格说明.md:61
3. 原始问答：Q059
4. 入口证据：liveshow-proto/prototype/pages/user/social/fan-group-chat.html
5. 规则：BR-CDC70AF788079F
6. 基线场景：SCN-SOC-003-03-1
7. 补充前覆盖：未覆盖；最佳匹配 USOC-0024；预期分数 0.2677
8. 未动态验证</x:v>
      </x:c>
    </x:row>
    <x:row r="1046" ht="132" customHeight="1">
      <x:c r="A1046" s="15" t="n">
        <x:v>1045</x:v>
      </x:c>
      <x:c r="B1046" s="15" t="str">
        <x:v>IDN-U-0085</x:v>
      </x:c>
      <x:c r="C1046" s="15" t="str">
        <x:v>社交与房管</x:v>
      </x:c>
      <x:c r="D1046" s="15" t="str">
        <x:v>粉丝群聊历史（新成员视角）</x:v>
      </x:c>
      <x:c r="E1046" s="15" t="str">
        <x:v>异常用例</x:v>
      </x:c>
      <x:c r="F1046" s="15" t="str">
        <x:v>P2</x:v>
      </x:c>
      <x:c r="G1046" s="15" t="str">
        <x:v>验证粉丝群聊历史（新成员视角）在“用户加入粉丝团后查看加入前的群聊历史消息”场景下的处理</x:v>
      </x:c>
      <x:c r="H1046" s="15" t="str">
        <x:v>用户加入粉丝团后查看加入前的群聊历史消息观察项</x:v>
      </x:c>
      <x:c r="I1046" s="15" t="str">
        <x:v>1. 新入团用户账号及关联业务数据已准备，账号可进入当前页面</x:v>
      </x:c>
      <x:c r="J1046" s="15" t="str">
        <x:v>1. 使用新入团用户账号从当前端导航进入【粉丝群聊历史（新成员视角）】
2. 先由老成员发送 3 条群聊消息，再让新用户加入粉丝团并从群聊顶部向上滑动
3. 刷新【粉丝群聊历史（新成员视角）】，查询“用户加入粉丝团后查看加入前的群聊历史消息”对应的业务记录或界面反馈</x:v>
      </x:c>
      <x:c r="K1046" s="15" t="str">
        <x:v>用户加入粉丝团后不能查看加入前的群聊历史消息</x:v>
      </x:c>
      <x:c r="L1046" s="15" t="str"/>
      <x:c r="M1046" s="15" t="str">
        <x:v>未测</x:v>
      </x:c>
      <x:c r="N1046" s="15" t="str"/>
      <x:c r="O1046" s="15" t="str">
        <x:v>1. 需求：REQ-SOC-004
2. 业务规则来源：需求规格说明.md:62
3. 原始问答：Q064
4. 入口证据：liveshow-proto/prototype/pages/user/social/fan-group-chat.html
5. 规则：BR-67F91760946F5D
6. 基线场景：SCN-SOC-004-01-1
7. 补充前覆盖：未覆盖；最佳匹配 USOC-0027；预期分数 0.2406
8. 未动态验证</x:v>
      </x:c>
    </x:row>
    <x:row r="1047" ht="132" customHeight="1">
      <x:c r="A1047" s="15" t="n">
        <x:v>1046</x:v>
      </x:c>
      <x:c r="B1047" s="15" t="str">
        <x:v>IDN-U-0086</x:v>
      </x:c>
      <x:c r="C1047" s="15" t="str">
        <x:v>社交与房管</x:v>
      </x:c>
      <x:c r="D1047" s="15" t="str">
        <x:v>踢出后的直播间准入（观众视角）</x:v>
      </x:c>
      <x:c r="E1047" s="15" t="str">
        <x:v>异常用例</x:v>
      </x:c>
      <x:c r="F1047" s="15" t="str">
        <x:v>P2</x:v>
      </x:c>
      <x:c r="G1047" s="15" t="str">
        <x:v>验证踢出后的直播间准入（观众视角）在“被主播踢出直播间后本场结束前免费重新进入”场景下的处理</x:v>
      </x:c>
      <x:c r="H1047" s="15" t="str">
        <x:v>被主播踢出直播间后本场结束前免费重新进入观察项</x:v>
      </x:c>
      <x:c r="I1047" s="15" t="str">
        <x:v>1. 被踢出观众账号及关联业务数据已准备，账号可进入当前页面</x:v>
      </x:c>
      <x:c r="J1047" s="15" t="str">
        <x:v>1. 使用被踢出观众账号从当前端导航进入【踢出后的直播间准入（观众视角）】
2. 主播踢出已进入的观众，在本场未结束时分别从免费入口和付费入口再次进入
3. 刷新【踢出后的直播间准入（观众视角）】，查询“被主播踢出直播间后本场结束前免费重新进入”对应的业务记录或界面反馈</x:v>
      </x:c>
      <x:c r="K1047" s="15" t="str">
        <x:v>被主播踢出直播间后本场结束前不能免费重新进入</x:v>
      </x:c>
      <x:c r="L1047" s="15" t="str"/>
      <x:c r="M1047" s="15" t="str">
        <x:v>未测</x:v>
      </x:c>
      <x:c r="N1047" s="15" t="str"/>
      <x:c r="O1047" s="15" t="str">
        <x:v>1. 需求：REQ-SOC-005
2. 业务规则来源：需求规格说明.md:63
3. 原始问答：Q053
4. 入口证据：liveshow-proto/prototype/pages/user/live/live-room.html
5. 规则：BR-B9A5BDA4003AD4
6. 基线场景：SCN-SOC-005-01-1
7. 补充前覆盖：未覆盖；最佳匹配 ULIVE-0253；预期分数 0.2082
8. 未动态验证</x:v>
      </x:c>
    </x:row>
    <x:row r="1048" ht="132" customHeight="1">
      <x:c r="A1048" s="15" t="n">
        <x:v>1047</x:v>
      </x:c>
      <x:c r="B1048" s="15" t="str">
        <x:v>IDN-U-0087</x:v>
      </x:c>
      <x:c r="C1048" s="15" t="str">
        <x:v>社交与房管</x:v>
      </x:c>
      <x:c r="D1048" s="15" t="str">
        <x:v>踢出后的直播间准入（观众视角）</x:v>
      </x:c>
      <x:c r="E1048" s="15" t="str">
        <x:v>异常用例</x:v>
      </x:c>
      <x:c r="F1048" s="15" t="str">
        <x:v>P2</x:v>
      </x:c>
      <x:c r="G1048" s="15" t="str">
        <x:v>验证踢出后的直播间准入（观众视角）在“被主播踢出直播间后本场结束前再次付费进入”场景下的处理</x:v>
      </x:c>
      <x:c r="H1048" s="15" t="str">
        <x:v>被主播踢出直播间后本场结束前再次付费进入观察项</x:v>
      </x:c>
      <x:c r="I1048" s="15" t="str">
        <x:v>1. 被踢出观众账号及关联业务数据已准备，账号可进入当前页面</x:v>
      </x:c>
      <x:c r="J1048" s="15" t="str">
        <x:v>1. 使用被踢出观众账号从当前端导航进入【踢出后的直播间准入（观众视角）】
2. 主播踢出已进入的观众，在本场未结束时分别从免费入口和付费入口再次进入
3. 刷新【踢出后的直播间准入（观众视角）】，查询“被主播踢出直播间后本场结束前再次付费进入”对应的业务记录或界面反馈</x:v>
      </x:c>
      <x:c r="K1048" s="15" t="str">
        <x:v>被主播踢出直播间后本场结束前不能再次付费进入</x:v>
      </x:c>
      <x:c r="L1048" s="15" t="str"/>
      <x:c r="M1048" s="15" t="str">
        <x:v>未测</x:v>
      </x:c>
      <x:c r="N1048" s="15" t="str"/>
      <x:c r="O1048" s="15" t="str">
        <x:v>1. 需求：REQ-SOC-005
2. 业务规则来源：需求规格说明.md:63
3. 原始问答：Q053
4. 入口证据：liveshow-proto/prototype/pages/user/live/live-room.html
5. 规则：BR-6C74E0A44D8893
6. 基线场景：SCN-SOC-005-02-1
7. 补充前覆盖：未覆盖；最佳匹配 ULIVE-0253；预期分数 0.2082
8. 未动态验证</x:v>
      </x:c>
    </x:row>
    <x:row r="1049" ht="132" customHeight="1">
      <x:c r="A1049" s="15" t="n">
        <x:v>1048</x:v>
      </x:c>
      <x:c r="B1049" s="15" t="str">
        <x:v>IDN-U-0088</x:v>
      </x:c>
      <x:c r="C1049" s="15" t="str">
        <x:v>社交与房管</x:v>
      </x:c>
      <x:c r="D1049" s="15" t="str">
        <x:v>陌生人私信（用户视角）</x:v>
      </x:c>
      <x:c r="E1049" s="15" t="str">
        <x:v>功能需求</x:v>
      </x:c>
      <x:c r="F1049" s="15" t="str">
        <x:v>P2</x:v>
      </x:c>
      <x:c r="G1049" s="15" t="str">
        <x:v>验证陌生人私信（用户视角）在“陌生人 A 到 B 最多发送 3 条私信”场景下的处理</x:v>
      </x:c>
      <x:c r="H1049" s="15" t="str">
        <x:v>陌生人 A 到 B 最多发送 3 条私信观察项</x:v>
      </x:c>
      <x:c r="I1049" s="15" t="str">
        <x:v>1. 非好友用户账号及关联业务数据已准备，账号可进入当前页面</x:v>
      </x:c>
      <x:c r="J1049" s="15" t="str">
        <x:v>1. 使用非好友用户账号从当前端导航进入【陌生人私信（用户视角）】
2. A 与 B 保持非好友关系，A 连续向 B 发送 4 条消息，再由 B 向 A 连续发送 4 条消息
3. 刷新【陌生人私信（用户视角）】，查询“陌生人 A 到 B 最多发送 3 条私信”对应的业务记录或界面反馈</x:v>
      </x:c>
      <x:c r="K1049" s="15" t="str">
        <x:v>陌生人 A 到 B 最多发送 3 条私信</x:v>
      </x:c>
      <x:c r="L1049" s="15" t="str"/>
      <x:c r="M1049" s="15" t="str">
        <x:v>未测</x:v>
      </x:c>
      <x:c r="N1049" s="15" t="str"/>
      <x:c r="O1049" s="15" t="str">
        <x:v>1. 需求：REQ-SOC-006
2. 业务规则来源：需求规格说明.md:64
3. 原始问答：Q057
4. 入口证据：liveshow-proto/prototype/pages/user/social/direct-message.html
5. 规则：BR-398FF3BFF92720
6. 基线场景：SCN-SOC-006-01-1
7. 补充前覆盖：未覆盖；最佳匹配 UPROF-0053；预期分数 0.1
8. 未动态验证</x:v>
      </x:c>
    </x:row>
    <x:row r="1050" ht="132" customHeight="1">
      <x:c r="A1050" s="15" t="n">
        <x:v>1049</x:v>
      </x:c>
      <x:c r="B1050" s="15" t="str">
        <x:v>IDN-U-0089</x:v>
      </x:c>
      <x:c r="C1050" s="15" t="str">
        <x:v>社交与房管</x:v>
      </x:c>
      <x:c r="D1050" s="15" t="str">
        <x:v>陌生人私信（用户视角）</x:v>
      </x:c>
      <x:c r="E1050" s="15" t="str">
        <x:v>功能需求</x:v>
      </x:c>
      <x:c r="F1050" s="15" t="str">
        <x:v>P2</x:v>
      </x:c>
      <x:c r="G1050" s="15" t="str">
        <x:v>验证陌生人私信（用户视角）在“陌生人 B 到 A 独立发送最多 3 条私信”场景下的处理</x:v>
      </x:c>
      <x:c r="H1050" s="15" t="str">
        <x:v>陌生人 B 到 A 独立发送最多 3 条私信观察项</x:v>
      </x:c>
      <x:c r="I1050" s="15" t="str">
        <x:v>1. 非好友用户账号及关联业务数据已准备，账号可进入当前页面</x:v>
      </x:c>
      <x:c r="J1050" s="15" t="str">
        <x:v>1. 使用非好友用户账号从当前端导航进入【陌生人私信（用户视角）】
2. A 与 B 保持非好友关系，A 连续向 B 发送 4 条消息，再由 B 向 A 连续发送 4 条消息
3. 刷新【陌生人私信（用户视角）】，查询“陌生人 B 到 A 独立发送最多 3 条私信”对应的业务记录或界面反馈</x:v>
      </x:c>
      <x:c r="K1050" s="15" t="str">
        <x:v>陌生人 B 到 A 可独立发送最多 3 条私信</x:v>
      </x:c>
      <x:c r="L1050" s="15" t="str"/>
      <x:c r="M1050" s="15" t="str">
        <x:v>未测</x:v>
      </x:c>
      <x:c r="N1050" s="15" t="str"/>
      <x:c r="O1050" s="15" t="str">
        <x:v>1. 需求：REQ-SOC-006
2. 业务规则来源：需求规格说明.md:64
3. 原始问答：Q057
4. 入口证据：liveshow-proto/prototype/pages/user/social/direct-message.html
5. 规则：BR-D1FBFAF1BAE4EA
6. 基线场景：SCN-SOC-006-02-1
7. 补充前覆盖：未覆盖；最佳匹配 UPROF-0053；预期分数 0.1
8. 未动态验证</x:v>
      </x:c>
    </x:row>
    <x:row r="1051" ht="132" customHeight="1">
      <x:c r="A1051" s="15" t="n">
        <x:v>1050</x:v>
      </x:c>
      <x:c r="B1051" s="15" t="str">
        <x:v>IDN-U-0090</x:v>
      </x:c>
      <x:c r="C1051" s="15" t="str">
        <x:v>社交与房管</x:v>
      </x:c>
      <x:c r="D1051" s="15" t="str">
        <x:v>删除会话关系（双方用户视角）</x:v>
      </x:c>
      <x:c r="E1051" s="15" t="str">
        <x:v>异常用例</x:v>
      </x:c>
      <x:c r="F1051" s="15" t="str">
        <x:v>P2</x:v>
      </x:c>
      <x:c r="G1051" s="15" t="str">
        <x:v>验证删除会话关系（双方用户视角）在“删除好友或会话关系后 A 端聊天记录清空”场景下的处理</x:v>
      </x:c>
      <x:c r="H1051" s="15" t="str">
        <x:v>删除好友或会话关系后 A 端聊天记录清空观察项</x:v>
      </x:c>
      <x:c r="I1051" s="15" t="str">
        <x:v>1. 聊天双方用户账号及关联业务数据已准备，账号可进入当前页面</x:v>
      </x:c>
      <x:c r="J1051" s="15" t="str">
        <x:v>1. 使用聊天双方用户账号从当前端导航进入【删除会话关系（双方用户视角）】
2. A 与 B 先产生聊天记录，再删除好友或会话关系，双方分别刷新会话列表并重新打开对话
3. 刷新【删除会话关系（双方用户视角）】，查询“删除好友或会话关系后 A 端聊天记录清空”对应的业务记录或界面反馈</x:v>
      </x:c>
      <x:c r="K1051" s="15" t="str">
        <x:v>删除好友或会话关系后 A 端聊天记录清空</x:v>
      </x:c>
      <x:c r="L1051" s="15" t="str"/>
      <x:c r="M1051" s="15" t="str">
        <x:v>未测</x:v>
      </x:c>
      <x:c r="N1051" s="15" t="str"/>
      <x:c r="O1051" s="15" t="str">
        <x:v>1. 需求：REQ-SOC-007
2. 业务规则来源：需求规格说明.md:65
3. 原始问答：Q062
4. 入口证据：liveshow-proto/prototype/pages/user/social/chat-settings.html
5. 规则：BR-3DE8E017EBE95B
6. 基线场景：SCN-SOC-007-01-1
7. 补充前覆盖：未覆盖；最佳匹配 USOC-0038；预期分数 0.1265
8. 未动态验证</x:v>
      </x:c>
    </x:row>
    <x:row r="1052" ht="132" customHeight="1">
      <x:c r="A1052" s="15" t="n">
        <x:v>1051</x:v>
      </x:c>
      <x:c r="B1052" s="15" t="str">
        <x:v>IDN-U-0091</x:v>
      </x:c>
      <x:c r="C1052" s="15" t="str">
        <x:v>社交与房管</x:v>
      </x:c>
      <x:c r="D1052" s="15" t="str">
        <x:v>删除会话关系（双方用户视角）</x:v>
      </x:c>
      <x:c r="E1052" s="15" t="str">
        <x:v>异常用例</x:v>
      </x:c>
      <x:c r="F1052" s="15" t="str">
        <x:v>P2</x:v>
      </x:c>
      <x:c r="G1052" s="15" t="str">
        <x:v>验证删除会话关系（双方用户视角）在“删除好友或会话关系后 B 端聊天记录清空”场景下的处理</x:v>
      </x:c>
      <x:c r="H1052" s="15" t="str">
        <x:v>删除好友或会话关系后 B 端聊天记录清空观察项</x:v>
      </x:c>
      <x:c r="I1052" s="15" t="str">
        <x:v>1. 聊天双方用户账号及关联业务数据已准备，账号可进入当前页面</x:v>
      </x:c>
      <x:c r="J1052" s="15" t="str">
        <x:v>1. 使用聊天双方用户账号从当前端导航进入【删除会话关系（双方用户视角）】
2. A 与 B 先产生聊天记录，再删除好友或会话关系，双方分别刷新会话列表并重新打开对话
3. 刷新【删除会话关系（双方用户视角）】，查询“删除好友或会话关系后 B 端聊天记录清空”对应的业务记录或界面反馈</x:v>
      </x:c>
      <x:c r="K1052" s="15" t="str">
        <x:v>删除好友或会话关系后 B 端聊天记录清空</x:v>
      </x:c>
      <x:c r="L1052" s="15" t="str"/>
      <x:c r="M1052" s="15" t="str">
        <x:v>未测</x:v>
      </x:c>
      <x:c r="N1052" s="15" t="str"/>
      <x:c r="O1052" s="15" t="str">
        <x:v>1. 需求：REQ-SOC-007
2. 业务规则来源：需求规格说明.md:65
3. 原始问答：Q062
4. 入口证据：liveshow-proto/prototype/pages/user/social/chat-settings.html
5. 规则：BR-8CD1FC43E54317
6. 基线场景：SCN-SOC-007-02-1
7. 补充前覆盖：未覆盖；最佳匹配 USOC-0038；预期分数 0.1265
8. 未动态验证</x:v>
      </x:c>
    </x:row>
    <x:row r="1053" ht="132" customHeight="1">
      <x:c r="A1053" s="15" t="n">
        <x:v>1052</x:v>
      </x:c>
      <x:c r="B1053" s="15" t="str">
        <x:v>IDN-U-0092</x:v>
      </x:c>
      <x:c r="C1053" s="15" t="str">
        <x:v>社交与房管</x:v>
      </x:c>
      <x:c r="D1053" s="15" t="str">
        <x:v>删除会话关系（双方用户视角）</x:v>
      </x:c>
      <x:c r="E1053" s="15" t="str">
        <x:v>功能需求</x:v>
      </x:c>
      <x:c r="F1053" s="15" t="str">
        <x:v>P2</x:v>
      </x:c>
      <x:c r="G1053" s="15" t="str">
        <x:v>验证删除会话关系（双方用户视角）在“删除好友或会话关系后从 A 端对话列表删除”场景下的处理</x:v>
      </x:c>
      <x:c r="H1053" s="15" t="str">
        <x:v>删除好友或会话关系后从 A 端对话列表删除观察项</x:v>
      </x:c>
      <x:c r="I1053" s="15" t="str">
        <x:v>1. 聊天双方用户账号及关联业务数据已准备，账号可进入当前页面</x:v>
      </x:c>
      <x:c r="J1053" s="15" t="str">
        <x:v>1. 使用聊天双方用户账号从当前端导航进入【删除会话关系（双方用户视角）】
2. A 与 B 先产生聊天记录，再删除好友或会话关系，双方分别刷新会话列表并重新打开对话
3. 刷新【删除会话关系（双方用户视角）】，查询“删除好友或会话关系后从 A 端对话列表删除”对应的业务记录或界面反馈</x:v>
      </x:c>
      <x:c r="K1053" s="15" t="str">
        <x:v>删除好友或会话关系后从 A 端对话列表删除</x:v>
      </x:c>
      <x:c r="L1053" s="15" t="str"/>
      <x:c r="M1053" s="15" t="str">
        <x:v>未测</x:v>
      </x:c>
      <x:c r="N1053" s="15" t="str"/>
      <x:c r="O1053" s="15" t="str">
        <x:v>1. 需求：REQ-SOC-007
2. 业务规则来源：需求规格说明.md:65
3. 原始问答：Q062
4. 入口证据：liveshow-proto/prototype/pages/user/social/chat-settings.html
5. 规则：BR-E61EC8501B37CE
6. 基线场景：SCN-SOC-007-03-1
7. 补充前覆盖：未覆盖；最佳匹配 USOC-0038；预期分数 0.1265
8. 未动态验证</x:v>
      </x:c>
    </x:row>
    <x:row r="1054" ht="132" customHeight="1">
      <x:c r="A1054" s="15" t="n">
        <x:v>1053</x:v>
      </x:c>
      <x:c r="B1054" s="15" t="str">
        <x:v>IDN-U-0093</x:v>
      </x:c>
      <x:c r="C1054" s="15" t="str">
        <x:v>社交与房管</x:v>
      </x:c>
      <x:c r="D1054" s="15" t="str">
        <x:v>删除会话关系（双方用户视角）</x:v>
      </x:c>
      <x:c r="E1054" s="15" t="str">
        <x:v>功能需求</x:v>
      </x:c>
      <x:c r="F1054" s="15" t="str">
        <x:v>P2</x:v>
      </x:c>
      <x:c r="G1054" s="15" t="str">
        <x:v>验证删除会话关系（双方用户视角）在“删除好友或会话关系后从 B 端对话列表删除”场景下的处理</x:v>
      </x:c>
      <x:c r="H1054" s="15" t="str">
        <x:v>删除好友或会话关系后从 B 端对话列表删除观察项</x:v>
      </x:c>
      <x:c r="I1054" s="15" t="str">
        <x:v>1. 聊天双方用户账号及关联业务数据已准备，账号可进入当前页面</x:v>
      </x:c>
      <x:c r="J1054" s="15" t="str">
        <x:v>1. 使用聊天双方用户账号从当前端导航进入【删除会话关系（双方用户视角）】
2. A 与 B 先产生聊天记录，再删除好友或会话关系，双方分别刷新会话列表并重新打开对话
3. 刷新【删除会话关系（双方用户视角）】，查询“删除好友或会话关系后从 B 端对话列表删除”对应的业务记录或界面反馈</x:v>
      </x:c>
      <x:c r="K1054" s="15" t="str">
        <x:v>删除好友或会话关系后从 B 端对话列表删除</x:v>
      </x:c>
      <x:c r="L1054" s="15" t="str"/>
      <x:c r="M1054" s="15" t="str">
        <x:v>未测</x:v>
      </x:c>
      <x:c r="N1054" s="15" t="str"/>
      <x:c r="O1054" s="15" t="str">
        <x:v>1. 需求：REQ-SOC-007
2. 业务规则来源：需求规格说明.md:65
3. 原始问答：Q062
4. 入口证据：liveshow-proto/prototype/pages/user/social/chat-settings.html
5. 规则：BR-DB08C102057CDA
6. 基线场景：SCN-SOC-007-04-1
7. 补充前覆盖：未覆盖；最佳匹配 USOC-0038；预期分数 0.1265
8. 未动态验证</x:v>
      </x:c>
    </x:row>
    <x:row r="1055" ht="132" customHeight="1">
      <x:c r="A1055" s="15" t="n">
        <x:v>1054</x:v>
      </x:c>
      <x:c r="B1055" s="15" t="str">
        <x:v>IDN-U-0094</x:v>
      </x:c>
      <x:c r="C1055" s="15" t="str">
        <x:v>社交与房管</x:v>
      </x:c>
      <x:c r="D1055" s="15" t="str">
        <x:v>账号拉黑（观众视角）</x:v>
      </x:c>
      <x:c r="E1055" s="15" t="str">
        <x:v>功能需求</x:v>
      </x:c>
      <x:c r="F1055" s="15" t="str">
        <x:v>P1</x:v>
      </x:c>
      <x:c r="G1055" s="15" t="str">
        <x:v>验证账号拉黑（观众视角）在“直播间只账号级拉黑”场景下的处理</x:v>
      </x:c>
      <x:c r="H1055" s="15" t="str">
        <x:v>直播间只账号级拉黑观察项</x:v>
      </x:c>
      <x:c r="I1055" s="15" t="str">
        <x:v>1. 被主播拉黑用户账号及关联业务数据已准备，账号可进入当前页面</x:v>
      </x:c>
      <x:c r="J1055" s="15" t="str">
        <x:v>1. 使用被主播拉黑用户账号从当前端导航进入【账号拉黑（观众视角）】
2. 主播在账号维度拉黑观众，观众退出后再次进入该主播直播间
3. 刷新【账号拉黑（观众视角）】，查询“直播间只账号级拉黑”对应的业务记录或界面反馈</x:v>
      </x:c>
      <x:c r="K1055" s="15" t="str">
        <x:v>直播间只使用账号级拉黑</x:v>
      </x:c>
      <x:c r="L1055" s="15" t="str"/>
      <x:c r="M1055" s="15" t="str">
        <x:v>未测</x:v>
      </x:c>
      <x:c r="N1055" s="15" t="str"/>
      <x:c r="O1055" s="15" t="str">
        <x:v>1. 需求：REQ-SOC-008
2. 业务规则来源：需求规格说明.md:66
3. 原始问答：Q060
4. 入口证据：liveshow-proto/prototype/pages/user/live/live-room.html
5. 规则：BR-489D8A02DC4FD8
6. 基线场景：SCN-SOC-008-01-1
7. 补充前覆盖：未覆盖；最佳匹配 UHOST-0010；预期分数 0.25
8. 未动态验证</x:v>
      </x:c>
    </x:row>
    <x:row r="1056" ht="132" customHeight="1">
      <x:c r="A1056" s="15" t="n">
        <x:v>1055</x:v>
      </x:c>
      <x:c r="B1056" s="15" t="str">
        <x:v>IDN-U-0095</x:v>
      </x:c>
      <x:c r="C1056" s="15" t="str">
        <x:v>社交与房管</x:v>
      </x:c>
      <x:c r="D1056" s="15" t="str">
        <x:v>账号拉黑（观众视角）</x:v>
      </x:c>
      <x:c r="E1056" s="15" t="str">
        <x:v>功能需求</x:v>
      </x:c>
      <x:c r="F1056" s="15" t="str">
        <x:v>P1</x:v>
      </x:c>
      <x:c r="G1056" s="15" t="str">
        <x:v>验证账号拉黑（观众视角）在“被主播拉黑的用户再次进入直播间时拉黑提示”场景下的处理</x:v>
      </x:c>
      <x:c r="H1056" s="15" t="str">
        <x:v>被主播拉黑的用户再次进入直播间时拉黑提示观察项</x:v>
      </x:c>
      <x:c r="I1056" s="15" t="str">
        <x:v>1. 被主播拉黑用户账号及关联业务数据已准备，账号可进入当前页面</x:v>
      </x:c>
      <x:c r="J1056" s="15" t="str">
        <x:v>1. 使用被主播拉黑用户账号从当前端导航进入【账号拉黑（观众视角）】
2. 主播在账号维度拉黑观众，观众退出后再次进入该主播直播间
3. 刷新【账号拉黑（观众视角）】，查询“被主播拉黑的用户再次进入直播间时拉黑提示”对应的业务记录或界面反馈</x:v>
      </x:c>
      <x:c r="K1056" s="15" t="str">
        <x:v>被主播拉黑的用户再次进入直播间时显示拉黑提示</x:v>
      </x:c>
      <x:c r="L1056" s="15" t="str"/>
      <x:c r="M1056" s="15" t="str">
        <x:v>未测</x:v>
      </x:c>
      <x:c r="N1056" s="15" t="str"/>
      <x:c r="O1056" s="15" t="str">
        <x:v>1. 需求：REQ-SOC-008
2. 业务规则来源：需求规格说明.md:66
3. 原始问答：Q060
4. 入口证据：liveshow-proto/prototype/pages/user/live/live-room.html
5. 规则：BR-C2C60CEB3AD2F2
6. 基线场景：SCN-SOC-008-02-1
7. 补充前覆盖：未覆盖；最佳匹配 UPROF-0073；预期分数 0.25
8. 未动态验证</x:v>
      </x:c>
    </x:row>
    <x:row r="1057" ht="132" customHeight="1">
      <x:c r="A1057" s="15" t="n">
        <x:v>1056</x:v>
      </x:c>
      <x:c r="B1057" s="15" t="str">
        <x:v>IDN-U-0096</x:v>
      </x:c>
      <x:c r="C1057" s="15" t="str">
        <x:v>社交与房管</x:v>
      </x:c>
      <x:c r="D1057" s="15" t="str">
        <x:v>房管管理（主播视角）</x:v>
      </x:c>
      <x:c r="E1057" s="15" t="str">
        <x:v>异常用例</x:v>
      </x:c>
      <x:c r="F1057" s="15" t="str">
        <x:v>P2</x:v>
      </x:c>
      <x:c r="G1057" s="15" t="str">
        <x:v>验证房管管理（主播视角）在“主播处置其他房管”场景下的处理</x:v>
      </x:c>
      <x:c r="H1057" s="15" t="str">
        <x:v>主播处置其他房管观察项</x:v>
      </x:c>
      <x:c r="I1057" s="15" t="str">
        <x:v>1. 主播账号及关联业务数据已准备，账号可进入当前页面</x:v>
      </x:c>
      <x:c r="J1057" s="15" t="str">
        <x:v>1. 使用主播账号从当前端导航进入【房管管理（主播视角）】
2. 将两名用户设为房管，主播打开其中一名房管资料卡并点击禁言、踢出或拉黑入口
3. 刷新【房管管理（主播视角）】，查询“主播处置其他房管”对应的业务记录或界面反馈</x:v>
      </x:c>
      <x:c r="K1057" s="15" t="str">
        <x:v>主播不能处置其他房管</x:v>
      </x:c>
      <x:c r="L1057" s="15" t="str"/>
      <x:c r="M1057" s="15" t="str">
        <x:v>未测</x:v>
      </x:c>
      <x:c r="N1057" s="15" t="str"/>
      <x:c r="O1057" s="15" t="str">
        <x:v>1. 需求：REQ-SOC-009
2. 业务规则来源：需求规格说明.md:67
3. 原始问答：Q049
4. 入口证据：liveshow-proto/prototype/pages/user/host/moderator-management.html
5. 规则：BR-0B4D60258E4B63
6. 基线场景：SCN-SOC-009-01-1
7. 补充前覆盖：未覆盖；最佳匹配 ULIVE-0086；预期分数 0.2
8. 未动态验证</x:v>
      </x:c>
    </x:row>
    <x:row r="1058" ht="132" customHeight="1">
      <x:c r="A1058" s="15" t="n">
        <x:v>1057</x:v>
      </x:c>
      <x:c r="B1058" s="15" t="str">
        <x:v>IDN-U-0097</x:v>
      </x:c>
      <x:c r="C1058" s="15" t="str">
        <x:v>社交与房管</x:v>
      </x:c>
      <x:c r="D1058" s="15" t="str">
        <x:v>巡房账号处置（巡房视角）</x:v>
      </x:c>
      <x:c r="E1058" s="15" t="str">
        <x:v>功能需求</x:v>
      </x:c>
      <x:c r="F1058" s="15" t="str">
        <x:v>P1</x:v>
      </x:c>
      <x:c r="G1058" s="15" t="str">
        <x:v>验证巡房账号处置（巡房视角）在“巡房账号接收主播发起的拉黑操作”场景下的处理</x:v>
      </x:c>
      <x:c r="H1058" s="15" t="str">
        <x:v>巡房账号接收主播发起的拉黑操作观察项</x:v>
      </x:c>
      <x:c r="I1058" s="15" t="str">
        <x:v>1. 巡房账号账号及关联业务数据已准备，账号可进入当前页面</x:v>
      </x:c>
      <x:c r="J1058" s="15" t="str">
        <x:v>1. 使用巡房账号账号从当前端导航进入【巡房账号处置（巡房视角）】
2. 主播对巡房账号分别发起拉黑和踢出，巡房账号重新进入并执行巡房操作
3. 刷新【巡房账号处置（巡房视角）】，查询“巡房账号接收主播发起的拉黑操作”对应的业务记录或界面反馈</x:v>
      </x:c>
      <x:c r="K1058" s="15" t="str">
        <x:v>巡房账号可接收主播发起的拉黑操作</x:v>
      </x:c>
      <x:c r="L1058" s="15" t="str"/>
      <x:c r="M1058" s="15" t="str">
        <x:v>未测</x:v>
      </x:c>
      <x:c r="N1058" s="15" t="str"/>
      <x:c r="O1058" s="15" t="str">
        <x:v>1. 需求：REQ-SOC-010
2. 业务规则来源：需求规格说明.md:68
3. 原始问答：Q051
4. 入口证据：liveshow-proto/prototype/pages/user/live/live-room.html
5. 规则：BR-7D59DACFF1CAE0
6. 基线场景：SCN-SOC-010-01-1
7. 补充前覆盖：未覆盖；最佳匹配 USOC-0058；预期分数 0.19
8. 未动态验证</x:v>
      </x:c>
    </x:row>
    <x:row r="1059" ht="132" customHeight="1">
      <x:c r="A1059" s="15" t="n">
        <x:v>1058</x:v>
      </x:c>
      <x:c r="B1059" s="15" t="str">
        <x:v>IDN-U-0098</x:v>
      </x:c>
      <x:c r="C1059" s="15" t="str">
        <x:v>社交与房管</x:v>
      </x:c>
      <x:c r="D1059" s="15" t="str">
        <x:v>巡房账号处置（巡房视角）</x:v>
      </x:c>
      <x:c r="E1059" s="15" t="str">
        <x:v>功能需求</x:v>
      </x:c>
      <x:c r="F1059" s="15" t="str">
        <x:v>P1</x:v>
      </x:c>
      <x:c r="G1059" s="15" t="str">
        <x:v>验证巡房账号处置（巡房视角）在“巡房账号接收主播发起的踢出操作”场景下的处理</x:v>
      </x:c>
      <x:c r="H1059" s="15" t="str">
        <x:v>巡房账号接收主播发起的踢出操作观察项</x:v>
      </x:c>
      <x:c r="I1059" s="15" t="str">
        <x:v>1. 巡房账号账号及关联业务数据已准备，账号可进入当前页面</x:v>
      </x:c>
      <x:c r="J1059" s="15" t="str">
        <x:v>1. 使用巡房账号账号从当前端导航进入【巡房账号处置（巡房视角）】
2. 主播对巡房账号分别发起拉黑和踢出，巡房账号重新进入并执行巡房操作
3. 刷新【巡房账号处置（巡房视角）】，查询“巡房账号接收主播发起的踢出操作”对应的业务记录或界面反馈</x:v>
      </x:c>
      <x:c r="K1059" s="15" t="str">
        <x:v>巡房账号可接收主播发起的踢出操作</x:v>
      </x:c>
      <x:c r="L1059" s="15" t="str"/>
      <x:c r="M1059" s="15" t="str">
        <x:v>未测</x:v>
      </x:c>
      <x:c r="N1059" s="15" t="str"/>
      <x:c r="O1059" s="15" t="str">
        <x:v>1. 需求：REQ-SOC-010
2. 业务规则来源：需求规格说明.md:68
3. 原始问答：Q051
4. 入口证据：liveshow-proto/prototype/pages/user/live/live-room.html
5. 规则：BR-5B6D97871F6F2D
6. 基线场景：SCN-SOC-010-02-1
7. 补充前覆盖：未覆盖；最佳匹配 ULIVE-0183；预期分数 0.2543
8. 未动态验证</x:v>
      </x:c>
    </x:row>
    <x:row r="1060" ht="132" customHeight="1">
      <x:c r="A1060" s="15" t="n">
        <x:v>1059</x:v>
      </x:c>
      <x:c r="B1060" s="15" t="str">
        <x:v>IDN-U-0099</x:v>
      </x:c>
      <x:c r="C1060" s="15" t="str">
        <x:v>社交与房管</x:v>
      </x:c>
      <x:c r="D1060" s="15" t="str">
        <x:v>巡房账号处置（巡房视角）</x:v>
      </x:c>
      <x:c r="E1060" s="15" t="str">
        <x:v>异常用例</x:v>
      </x:c>
      <x:c r="F1060" s="15" t="str">
        <x:v>P1</x:v>
      </x:c>
      <x:c r="G1060" s="15" t="str">
        <x:v>验证巡房账号处置（巡房视角）在“主播拉黑巡房账号后巡房身份和能力不受影响”场景下的处理</x:v>
      </x:c>
      <x:c r="H1060" s="15" t="str">
        <x:v>主播拉黑巡房账号后巡房身份和能力不受影响观察项</x:v>
      </x:c>
      <x:c r="I1060" s="15" t="str">
        <x:v>1. 巡房账号账号及关联业务数据已准备，账号可进入当前页面</x:v>
      </x:c>
      <x:c r="J1060" s="15" t="str">
        <x:v>1. 使用巡房账号账号从当前端导航进入【巡房账号处置（巡房视角）】
2. 主播对巡房账号分别发起拉黑和踢出，巡房账号重新进入并执行巡房操作
3. 刷新【巡房账号处置（巡房视角）】，查询“主播拉黑巡房账号后巡房身份和能力不受影响”对应的业务记录或界面反馈</x:v>
      </x:c>
      <x:c r="K1060" s="15" t="str">
        <x:v>主播拉黑巡房账号后巡房身份和能力不受影响</x:v>
      </x:c>
      <x:c r="L1060" s="15" t="str"/>
      <x:c r="M1060" s="15" t="str">
        <x:v>未测</x:v>
      </x:c>
      <x:c r="N1060" s="15" t="str"/>
      <x:c r="O1060" s="15" t="str">
        <x:v>1. 需求：REQ-SOC-010
2. 业务规则来源：需求规格说明.md:68
3. 原始问答：Q051
4. 入口证据：liveshow-proto/prototype/pages/user/live/live-room.html
5. 规则：BR-9381EEE37060F0
6. 基线场景：SCN-SOC-010-03-1
7. 补充前覆盖：未覆盖；最佳匹配 UPROF-0056；预期分数 0.2
8. 未动态验证</x:v>
      </x:c>
    </x:row>
    <x:row r="1061" ht="132" customHeight="1">
      <x:c r="A1061" s="15" t="n">
        <x:v>1060</x:v>
      </x:c>
      <x:c r="B1061" s="15" t="str">
        <x:v>IDN-U-0100</x:v>
      </x:c>
      <x:c r="C1061" s="15" t="str">
        <x:v>社交与房管</x:v>
      </x:c>
      <x:c r="D1061" s="15" t="str">
        <x:v>巡房账号处置（巡房视角）</x:v>
      </x:c>
      <x:c r="E1061" s="15" t="str">
        <x:v>异常用例</x:v>
      </x:c>
      <x:c r="F1061" s="15" t="str">
        <x:v>P1</x:v>
      </x:c>
      <x:c r="G1061" s="15" t="str">
        <x:v>验证巡房账号处置（巡房视角）在“主播踢出巡房账号后巡房身份和能力不受影响”场景下的处理</x:v>
      </x:c>
      <x:c r="H1061" s="15" t="str">
        <x:v>主播踢出巡房账号后巡房身份和能力不受影响观察项</x:v>
      </x:c>
      <x:c r="I1061" s="15" t="str">
        <x:v>1. 巡房账号账号及关联业务数据已准备，账号可进入当前页面</x:v>
      </x:c>
      <x:c r="J1061" s="15" t="str">
        <x:v>1. 使用巡房账号账号从当前端导航进入【巡房账号处置（巡房视角）】
2. 主播对巡房账号分别发起拉黑和踢出，巡房账号重新进入并执行巡房操作
3. 刷新【巡房账号处置（巡房视角）】，查询“主播踢出巡房账号后巡房身份和能力不受影响”对应的业务记录或界面反馈</x:v>
      </x:c>
      <x:c r="K1061" s="15" t="str">
        <x:v>主播踢出巡房账号后巡房身份和能力不受影响</x:v>
      </x:c>
      <x:c r="L1061" s="15" t="str"/>
      <x:c r="M1061" s="15" t="str">
        <x:v>未测</x:v>
      </x:c>
      <x:c r="N1061" s="15" t="str"/>
      <x:c r="O1061" s="15" t="str">
        <x:v>1. 需求：REQ-SOC-010
2. 业务规则来源：需求规格说明.md:68
3. 原始问答：Q051
4. 入口证据：liveshow-proto/prototype/pages/user/live/live-room.html
5. 规则：BR-C4A2BBB902B0CE
6. 基线场景：SCN-SOC-010-04-1
7. 补充前覆盖：未覆盖；最佳匹配 UPROF-0056；预期分数 0.2
8. 未动态验证</x:v>
      </x:c>
    </x:row>
    <x:row r="1062" ht="132" customHeight="1">
      <x:c r="A1062" s="15" t="n">
        <x:v>1061</x:v>
      </x:c>
      <x:c r="B1062" s="15" t="str">
        <x:v>IDN-U-0101</x:v>
      </x:c>
      <x:c r="C1062" s="15" t="str">
        <x:v>社交与房管</x:v>
      </x:c>
      <x:c r="D1062" s="15" t="str">
        <x:v>禁言组合状态（用户视角）</x:v>
      </x:c>
      <x:c r="E1062" s="15" t="str">
        <x:v>功能需求</x:v>
      </x:c>
      <x:c r="F1062" s="15" t="str">
        <x:v>P1</x:v>
      </x:c>
      <x:c r="G1062" s="15" t="str">
        <x:v>验证禁言组合状态（用户视角）在“单人禁言与全员禁言分别独立生效”场景下的处理</x:v>
      </x:c>
      <x:c r="H1062" s="15" t="str">
        <x:v>单人禁言与全员禁言分别独立生效观察项</x:v>
      </x:c>
      <x:c r="I1062" s="15" t="str">
        <x:v>1. 主播与被禁言用户账号及关联业务数据已准备，账号可进入当前页面</x:v>
      </x:c>
      <x:c r="J1062" s="15" t="str">
        <x:v>1. 使用主播与被禁言用户账号从当前端导航进入【禁言组合状态（用户视角）】
2. 依次组合单人禁言和全员禁言，分别解除其中一个或全部后让目标用户发送消息
3. 刷新【禁言组合状态（用户视角）】，查询“单人禁言与全员禁言分别独立生效”对应的业务记录或界面反馈</x:v>
      </x:c>
      <x:c r="K1062" s="15" t="str">
        <x:v>单人禁言与全员禁言分别独立生效</x:v>
      </x:c>
      <x:c r="L1062" s="15" t="str"/>
      <x:c r="M1062" s="15" t="str">
        <x:v>未测</x:v>
      </x:c>
      <x:c r="N1062" s="15" t="str"/>
      <x:c r="O1062" s="15" t="str">
        <x:v>1. 需求：REQ-SOC-012
2. 业务规则来源：需求规格说明.md:70
3. 原始问答：Q115
4. 入口证据：liveshow-proto/prototype/pages/user/live/live-room-host.html
5. 规则：BR-2EE7D0C46EAFA1
6. 基线场景：SCN-SOC-012-01-1
7. 补充前覆盖：未覆盖；最佳匹配 UHOST-0001；预期分数 0.2731
8. 未动态验证</x:v>
      </x:c>
    </x:row>
    <x:row r="1063" ht="132" customHeight="1">
      <x:c r="A1063" s="15" t="n">
        <x:v>1062</x:v>
      </x:c>
      <x:c r="B1063" s="15" t="str">
        <x:v>IDN-U-0102</x:v>
      </x:c>
      <x:c r="C1063" s="15" t="str">
        <x:v>社交与房管</x:v>
      </x:c>
      <x:c r="D1063" s="15" t="str">
        <x:v>禁言组合状态（用户视角）</x:v>
      </x:c>
      <x:c r="E1063" s="15" t="str">
        <x:v>功能需求</x:v>
      </x:c>
      <x:c r="F1063" s="15" t="str">
        <x:v>P1</x:v>
      </x:c>
      <x:c r="G1063" s="15" t="str">
        <x:v>验证禁言组合状态（用户视角）在“解除单人禁言但全员禁言仍存在时用户禁言”场景下的处理</x:v>
      </x:c>
      <x:c r="H1063" s="15" t="str">
        <x:v>解除单人禁言但全员禁言仍存在时用户禁言观察项</x:v>
      </x:c>
      <x:c r="I1063" s="15" t="str">
        <x:v>1. 主播与被禁言用户账号及关联业务数据已准备，账号可进入当前页面</x:v>
      </x:c>
      <x:c r="J1063" s="15" t="str">
        <x:v>1. 使用主播与被禁言用户账号从当前端导航进入【禁言组合状态（用户视角）】
2. 依次组合单人禁言和全员禁言，分别解除其中一个或全部后让目标用户发送消息
3. 刷新【禁言组合状态（用户视角）】，查询“解除单人禁言但全员禁言仍存在时用户禁言”对应的业务记录或界面反馈</x:v>
      </x:c>
      <x:c r="K1063" s="15" t="str">
        <x:v>仅解除单人禁言但全员禁言仍存在时用户保持禁言</x:v>
      </x:c>
      <x:c r="L1063" s="15" t="str"/>
      <x:c r="M1063" s="15" t="str">
        <x:v>未测</x:v>
      </x:c>
      <x:c r="N1063" s="15" t="str"/>
      <x:c r="O1063" s="15" t="str">
        <x:v>1. 需求：REQ-SOC-012
2. 业务规则来源：需求规格说明.md:70
3. 原始问答：Q115
4. 入口证据：liveshow-proto/prototype/pages/user/live/live-room-host.html
5. 规则：BR-863C21466D08E0
6. 基线场景：SCN-SOC-012-02-1
7. 补充前覆盖：未覆盖；最佳匹配 UHOST-0001；预期分数 0.2294
8. 未动态验证</x:v>
      </x:c>
    </x:row>
    <x:row r="1064" ht="132" customHeight="1">
      <x:c r="A1064" s="15" t="n">
        <x:v>1063</x:v>
      </x:c>
      <x:c r="B1064" s="15" t="str">
        <x:v>IDN-U-0103</x:v>
      </x:c>
      <x:c r="C1064" s="15" t="str">
        <x:v>社交与房管</x:v>
      </x:c>
      <x:c r="D1064" s="15" t="str">
        <x:v>禁言组合状态（用户视角）</x:v>
      </x:c>
      <x:c r="E1064" s="15" t="str">
        <x:v>功能需求</x:v>
      </x:c>
      <x:c r="F1064" s="15" t="str">
        <x:v>P1</x:v>
      </x:c>
      <x:c r="G1064" s="15" t="str">
        <x:v>验证禁言组合状态（用户视角）在“解除全员禁言但单人禁言仍存在时用户禁言”场景下的处理</x:v>
      </x:c>
      <x:c r="H1064" s="15" t="str">
        <x:v>解除全员禁言但单人禁言仍存在时用户禁言观察项</x:v>
      </x:c>
      <x:c r="I1064" s="15" t="str">
        <x:v>1. 主播与被禁言用户账号及关联业务数据已准备，账号可进入当前页面</x:v>
      </x:c>
      <x:c r="J1064" s="15" t="str">
        <x:v>1. 使用主播与被禁言用户账号从当前端导航进入【禁言组合状态（用户视角）】
2. 依次组合单人禁言和全员禁言，分别解除其中一个或全部后让目标用户发送消息
3. 刷新【禁言组合状态（用户视角）】，查询“解除全员禁言但单人禁言仍存在时用户禁言”对应的业务记录或界面反馈</x:v>
      </x:c>
      <x:c r="K1064" s="15" t="str">
        <x:v>仅解除全员禁言但单人禁言仍存在时用户保持禁言</x:v>
      </x:c>
      <x:c r="L1064" s="15" t="str"/>
      <x:c r="M1064" s="15" t="str">
        <x:v>未测</x:v>
      </x:c>
      <x:c r="N1064" s="15" t="str"/>
      <x:c r="O1064" s="15" t="str">
        <x:v>1. 需求：REQ-SOC-012
2. 业务规则来源：需求规格说明.md:70
3. 原始问答：Q115
4. 入口证据：liveshow-proto/prototype/pages/user/live/live-room-host.html
5. 规则：BR-F8BF52448E31C9
6. 基线场景：SCN-SOC-012-03-1
7. 补充前覆盖：未覆盖；最佳匹配 UHOST-0001；预期分数 0.2294
8. 未动态验证</x:v>
      </x:c>
    </x:row>
    <x:row r="1065" ht="132" customHeight="1">
      <x:c r="A1065" s="15" t="n">
        <x:v>1064</x:v>
      </x:c>
      <x:c r="B1065" s="15" t="str">
        <x:v>IDN-U-0104</x:v>
      </x:c>
      <x:c r="C1065" s="15" t="str">
        <x:v>社交与房管</x:v>
      </x:c>
      <x:c r="D1065" s="15" t="str">
        <x:v>禁言组合状态（用户视角）</x:v>
      </x:c>
      <x:c r="E1065" s="15" t="str">
        <x:v>功能需求</x:v>
      </x:c>
      <x:c r="F1065" s="15" t="str">
        <x:v>P1</x:v>
      </x:c>
      <x:c r="G1065" s="15" t="str">
        <x:v>验证禁言组合状态（用户视角）在“单人禁言和全员禁言都解除后用户恢复发言”场景下的处理</x:v>
      </x:c>
      <x:c r="H1065" s="15" t="str">
        <x:v>单人禁言和全员禁言都解除后用户恢复发言观察项</x:v>
      </x:c>
      <x:c r="I1065" s="15" t="str">
        <x:v>1. 主播与被禁言用户账号及关联业务数据已准备，账号可进入当前页面</x:v>
      </x:c>
      <x:c r="J1065" s="15" t="str">
        <x:v>1. 使用主播与被禁言用户账号从当前端导航进入【禁言组合状态（用户视角）】
2. 依次组合单人禁言和全员禁言，分别解除其中一个或全部后让目标用户发送消息
3. 刷新【禁言组合状态（用户视角）】，查询“单人禁言和全员禁言都解除后用户恢复发言”对应的业务记录或界面反馈</x:v>
      </x:c>
      <x:c r="K1065" s="15" t="str">
        <x:v>单人禁言和全员禁言都解除后用户恢复发言</x:v>
      </x:c>
      <x:c r="L1065" s="15" t="str"/>
      <x:c r="M1065" s="15" t="str">
        <x:v>未测</x:v>
      </x:c>
      <x:c r="N1065" s="15" t="str"/>
      <x:c r="O1065" s="15" t="str">
        <x:v>1. 需求：REQ-SOC-012
2. 业务规则来源：需求规格说明.md:70
3. 原始问答：Q115
4. 入口证据：liveshow-proto/prototype/pages/user/live/live-room-host.html
5. 规则：BR-1350B301AC7FD9
6. 基线场景：SCN-SOC-012-04-1
7. 补充前覆盖：部分覆盖；最佳匹配 ULIVE-0001；预期分数 0.31
8. 未动态验证</x:v>
      </x:c>
    </x:row>
    <x:row r="1066" ht="132" customHeight="1">
      <x:c r="A1066" s="15" t="n">
        <x:v>1065</x:v>
      </x:c>
      <x:c r="B1066" s="15" t="str">
        <x:v>IDN-U-0105</x:v>
      </x:c>
      <x:c r="C1066" s="15" t="str">
        <x:v>社交与房管</x:v>
      </x:c>
      <x:c r="D1066" s="15" t="str">
        <x:v>拉黑与房管权限（主播视角）</x:v>
      </x:c>
      <x:c r="E1066" s="15" t="str">
        <x:v>功能需求</x:v>
      </x:c>
      <x:c r="F1066" s="15" t="str">
        <x:v>P1</x:v>
      </x:c>
      <x:c r="G1066" s="15" t="str">
        <x:v>验证拉黑与房管权限（主播视角）在“用户拉黑主播后取消该用户房管权限”场景下的处理</x:v>
      </x:c>
      <x:c r="H1066" s="15" t="str">
        <x:v>用户拉黑主播后取消该用户房管权限观察项</x:v>
      </x:c>
      <x:c r="I1066" s="15" t="str">
        <x:v>1. 主播与房管账号及关联业务数据已准备，账号可进入当前页面</x:v>
      </x:c>
      <x:c r="J1066" s="15" t="str">
        <x:v>1. 使用主播与房管账号从当前端导航进入【拉黑与房管权限（主播视角）】
2. 先授予用户房管权限，再分别由用户拉黑主播、主播拉黑用户，刷新房管列表
3. 刷新【拉黑与房管权限（主播视角）】，查询“用户拉黑主播后取消该用户房管权限”对应的业务记录或界面反馈</x:v>
      </x:c>
      <x:c r="K1066" s="15" t="str">
        <x:v>用户拉黑主播后自动取消该用户房管权限</x:v>
      </x:c>
      <x:c r="L1066" s="15" t="str"/>
      <x:c r="M1066" s="15" t="str">
        <x:v>未测</x:v>
      </x:c>
      <x:c r="N1066" s="15" t="str"/>
      <x:c r="O1066" s="15" t="str">
        <x:v>1. 需求：REQ-SOC-013
2. 业务规则来源：需求规格说明.md:71
3. 原始问答：Q110
4. 入口证据：liveshow-proto/prototype/pages/user/host/moderator-management.html
5. 规则：BR-5360D67ECEE272
6. 基线场景：SCN-SOC-013-01-1
7. 补充前覆盖：未覆盖；最佳匹配 ULIVE-0207；预期分数 0.2038
8. 未动态验证</x:v>
      </x:c>
    </x:row>
    <x:row r="1067" ht="132" customHeight="1">
      <x:c r="A1067" s="15" t="n">
        <x:v>1066</x:v>
      </x:c>
      <x:c r="B1067" s="15" t="str">
        <x:v>IDN-U-0106</x:v>
      </x:c>
      <x:c r="C1067" s="15" t="str">
        <x:v>社交与房管</x:v>
      </x:c>
      <x:c r="D1067" s="15" t="str">
        <x:v>拉黑与房管权限（主播视角）</x:v>
      </x:c>
      <x:c r="E1067" s="15" t="str">
        <x:v>功能需求</x:v>
      </x:c>
      <x:c r="F1067" s="15" t="str">
        <x:v>P1</x:v>
      </x:c>
      <x:c r="G1067" s="15" t="str">
        <x:v>验证拉黑与房管权限（主播视角）在“主播拉黑用户后取消该用户房管权限”场景下的处理</x:v>
      </x:c>
      <x:c r="H1067" s="15" t="str">
        <x:v>主播拉黑用户后取消该用户房管权限观察项</x:v>
      </x:c>
      <x:c r="I1067" s="15" t="str">
        <x:v>1. 主播与房管账号及关联业务数据已准备，账号可进入当前页面</x:v>
      </x:c>
      <x:c r="J1067" s="15" t="str">
        <x:v>1. 使用主播与房管账号从当前端导航进入【拉黑与房管权限（主播视角）】
2. 先授予用户房管权限，再分别由用户拉黑主播、主播拉黑用户，刷新房管列表
3. 刷新【拉黑与房管权限（主播视角）】，查询“主播拉黑用户后取消该用户房管权限”对应的业务记录或界面反馈</x:v>
      </x:c>
      <x:c r="K1067" s="15" t="str">
        <x:v>主播拉黑用户后自动取消该用户房管权限</x:v>
      </x:c>
      <x:c r="L1067" s="15" t="str"/>
      <x:c r="M1067" s="15" t="str">
        <x:v>未测</x:v>
      </x:c>
      <x:c r="N1067" s="15" t="str"/>
      <x:c r="O1067" s="15" t="str">
        <x:v>1. 需求：REQ-SOC-013
2. 业务规则来源：需求规格说明.md:71
3. 原始问答：Q110
4. 入口证据：liveshow-proto/prototype/pages/user/host/moderator-management.html
5. 规则：BR-689DA544ED3C5C
6. 基线场景：SCN-SOC-013-02-1
7. 补充前覆盖：部分覆盖；最佳匹配 UHOST-0009；预期分数 0.1346
8. 未动态验证</x:v>
      </x:c>
    </x:row>
    <x:row r="1068" ht="132" customHeight="1">
      <x:c r="A1068" s="15" t="n">
        <x:v>1067</x:v>
      </x:c>
      <x:c r="B1068" s="15" t="str">
        <x:v>IDN-U-0107</x:v>
      </x:c>
      <x:c r="C1068" s="15" t="str">
        <x:v>社交与房管</x:v>
      </x:c>
      <x:c r="D1068" s="15" t="str">
        <x:v>群资料编辑（成员视角）</x:v>
      </x:c>
      <x:c r="E1068" s="15" t="str">
        <x:v>异常用例</x:v>
      </x:c>
      <x:c r="F1068" s="15" t="str">
        <x:v>P2</x:v>
      </x:c>
      <x:c r="G1068" s="15" t="str">
        <x:v>验证群资料编辑（成员视角）在“普通群成员编辑群资料”场景下的处理</x:v>
      </x:c>
      <x:c r="H1068" s="15" t="str">
        <x:v>普通群成员编辑群资料观察项</x:v>
      </x:c>
      <x:c r="I1068" s="15" t="str">
        <x:v>1. 群成员或群主账号及关联业务数据已准备，账号可进入当前页面</x:v>
      </x:c>
      <x:c r="J1068" s="15" t="str">
        <x:v>1. 使用群成员或群主账号从当前端导航进入【群资料编辑（成员视角）】
2. 使用普通群成员和群主账号分别打开群资料编辑入口并尝试保存同一项修改
3. 刷新【群资料编辑（成员视角）】，查询“普通群成员编辑群资料”对应的业务记录或界面反馈</x:v>
      </x:c>
      <x:c r="K1068" s="15" t="str">
        <x:v>普通群成员不能编辑群资料</x:v>
      </x:c>
      <x:c r="L1068" s="15" t="str"/>
      <x:c r="M1068" s="15" t="str">
        <x:v>未测</x:v>
      </x:c>
      <x:c r="N1068" s="15" t="str"/>
      <x:c r="O1068" s="15" t="str">
        <x:v>1. 需求：REQ-SOC-014
2. 业务规则来源：需求规格说明.md:72
3. 原始问答：Q125
4. 入口证据：liveshow-proto/prototype/pages/user/social/group-manage-member.html
5. 规则：BR-D08A31F63896FE
6. 基线场景：SCN-SOC-014-01-1
7. 补充前覆盖：未覆盖；最佳匹配 USOC-0026；预期分数 0.2268
8. 未动态验证</x:v>
      </x:c>
    </x:row>
    <x:row r="1069" ht="132" customHeight="1">
      <x:c r="A1069" s="15" t="n">
        <x:v>1068</x:v>
      </x:c>
      <x:c r="B1069" s="15" t="str">
        <x:v>IDN-U-0108</x:v>
      </x:c>
      <x:c r="C1069" s="15" t="str">
        <x:v>社交与房管</x:v>
      </x:c>
      <x:c r="D1069" s="15" t="str">
        <x:v>群资料编辑（成员视角）</x:v>
      </x:c>
      <x:c r="E1069" s="15" t="str">
        <x:v>功能需求</x:v>
      </x:c>
      <x:c r="F1069" s="15" t="str">
        <x:v>P2</x:v>
      </x:c>
      <x:c r="G1069" s="15" t="str">
        <x:v>验证群资料编辑（成员视角）在“群主编辑群资料”场景下的处理</x:v>
      </x:c>
      <x:c r="H1069" s="15" t="str">
        <x:v>群主编辑群资料观察项</x:v>
      </x:c>
      <x:c r="I1069" s="15" t="str">
        <x:v>1. 群成员或群主账号及关联业务数据已准备，账号可进入当前页面</x:v>
      </x:c>
      <x:c r="J1069" s="15" t="str">
        <x:v>1. 使用群成员或群主账号从当前端导航进入【群资料编辑（成员视角）】
2. 使用普通群成员和群主账号分别打开群资料编辑入口并尝试保存同一项修改
3. 刷新【群资料编辑（成员视角）】，查询“群主编辑群资料”对应的业务记录或界面反馈</x:v>
      </x:c>
      <x:c r="K1069" s="15" t="str">
        <x:v>群主可以编辑群资料</x:v>
      </x:c>
      <x:c r="L1069" s="15" t="str"/>
      <x:c r="M1069" s="15" t="str">
        <x:v>未测</x:v>
      </x:c>
      <x:c r="N1069" s="15" t="str"/>
      <x:c r="O1069" s="15" t="str">
        <x:v>1. 需求：REQ-SOC-014
2. 业务规则来源：需求规格说明.md:72
3. 原始问答：Q125
4. 入口证据：liveshow-proto/prototype/pages/user/social/group-manage-member.html
5. 规则：BR-D7EA49914994D7
6. 基线场景：SCN-SOC-014-02-1
7. 补充前覆盖：未覆盖；最佳匹配 UPROF-0058；预期分数 0.25
8. 未动态验证</x:v>
      </x:c>
    </x:row>
    <x:row r="1070" ht="132" customHeight="1">
      <x:c r="A1070" s="15" t="n">
        <x:v>1069</x:v>
      </x:c>
      <x:c r="B1070" s="15" t="str">
        <x:v>IDN-U-0109</x:v>
      </x:c>
      <x:c r="C1070" s="15" t="str">
        <x:v>社交与房管</x:v>
      </x:c>
      <x:c r="D1070" s="15" t="str">
        <x:v>客服入口（用户视角）</x:v>
      </x:c>
      <x:c r="E1070" s="15" t="str">
        <x:v>功能需求</x:v>
      </x:c>
      <x:c r="F1070" s="15" t="str">
        <x:v>P2</x:v>
      </x:c>
      <x:c r="G1070" s="15" t="str">
        <x:v>验证客服入口（用户视角）在“客服入口优先跳转客户 WhatsApp 会话”场景下的处理</x:v>
      </x:c>
      <x:c r="H1070" s="15" t="str">
        <x:v>客服入口优先跳转客户 WhatsApp 会话观察项</x:v>
      </x:c>
      <x:c r="I1070" s="15" t="str">
        <x:v>1. 普通用户账号及关联业务数据已准备，账号可进入当前页面</x:v>
      </x:c>
      <x:c r="J1070" s="15" t="str">
        <x:v>1. 使用普通用户账号从当前端导航进入【客服入口（用户视角）】
2. 点击客服入口并记录系统实际唤起的应用或页面
3. 刷新【客服入口（用户视角）】，查询“客服入口优先跳转客户 WhatsApp 会话”对应的业务记录或界面反馈</x:v>
      </x:c>
      <x:c r="K1070" s="15" t="str">
        <x:v>客服入口优先跳转客户 WhatsApp 会话</x:v>
      </x:c>
      <x:c r="L1070" s="15" t="str"/>
      <x:c r="M1070" s="15" t="str">
        <x:v>未测</x:v>
      </x:c>
      <x:c r="N1070" s="15" t="str"/>
      <x:c r="O1070" s="15" t="str">
        <x:v>1. 需求：REQ-SOC-015
2. 业务规则来源：需求规格说明.md:73
3. 原始问答：Q133
4. 入口证据：liveshow-proto/prototype/pages/user/profile/settings.html
5. 规则：BR-BE55B63F8752E7
6. 基线场景：SCN-SOC-015-01-1
7. 补充前覆盖：未覆盖；最佳匹配 UAUTH-0005；预期分数 0.0724
8. 未动态验证</x:v>
      </x:c>
    </x:row>
    <x:row r="1071" ht="132" customHeight="1">
      <x:c r="A1071" s="15" t="n">
        <x:v>1070</x:v>
      </x:c>
      <x:c r="B1071" s="15" t="str">
        <x:v>IDN-U-0110</x:v>
      </x:c>
      <x:c r="C1071" s="15" t="str">
        <x:v>社交与房管</x:v>
      </x:c>
      <x:c r="D1071" s="15" t="str">
        <x:v>客服入口（用户视角）</x:v>
      </x:c>
      <x:c r="E1071" s="15" t="str">
        <x:v>异常用例</x:v>
      </x:c>
      <x:c r="F1071" s="15" t="str">
        <x:v>P2</x:v>
      </x:c>
      <x:c r="G1071" s="15" t="str">
        <x:v>验证客服入口（用户视角）在“客服入口不跳转独立客服系统”场景下的处理</x:v>
      </x:c>
      <x:c r="H1071" s="15" t="str">
        <x:v>客服入口不跳转独立客服系统观察项</x:v>
      </x:c>
      <x:c r="I1071" s="15" t="str">
        <x:v>1. 普通用户账号及关联业务数据已准备，账号可进入当前页面</x:v>
      </x:c>
      <x:c r="J1071" s="15" t="str">
        <x:v>1. 使用普通用户账号从当前端导航进入【客服入口（用户视角）】
2. 点击客服入口并记录系统实际唤起的应用或页面
3. 刷新【客服入口（用户视角）】，查询“客服入口不跳转独立客服系统”对应的业务记录或界面反馈</x:v>
      </x:c>
      <x:c r="K1071" s="15" t="str">
        <x:v>客服入口不跳转独立客服系统</x:v>
      </x:c>
      <x:c r="L1071" s="15" t="str"/>
      <x:c r="M1071" s="15" t="str">
        <x:v>未测</x:v>
      </x:c>
      <x:c r="N1071" s="15" t="str"/>
      <x:c r="O1071" s="15" t="str">
        <x:v>1. 需求：REQ-SOC-015
2. 业务规则来源：需求规格说明.md:73
3. 原始问答：Q133
4. 入口证据：liveshow-proto/prototype/pages/user/profile/settings.html
5. 规则：BR-AA1488DEBCFF6D
6. 基线场景：SCN-SOC-015-02-1
7. 补充前覆盖：未覆盖；最佳匹配 UFAN-0020；预期分数 0.15
8. 未动态验证</x:v>
      </x:c>
    </x:row>
    <x:row r="1072" ht="132" customHeight="1">
      <x:c r="A1072" s="15" t="n">
        <x:v>1071</x:v>
      </x:c>
      <x:c r="B1072" s="15" t="str">
        <x:v>IDN-U-0111</x:v>
      </x:c>
      <x:c r="C1072" s="15" t="str">
        <x:v>金币、礼物与订单</x:v>
      </x:c>
      <x:c r="D1072" s="15" t="str">
        <x:v>金币余额（用户视角）</x:v>
      </x:c>
      <x:c r="E1072" s="15" t="str">
        <x:v>功能需求</x:v>
      </x:c>
      <x:c r="F1072" s="15" t="str">
        <x:v>P1</x:v>
      </x:c>
      <x:c r="G1072" s="15" t="str">
        <x:v>验证金币余额（用户视角）在“金币以整数形式存储”场景下的处理</x:v>
      </x:c>
      <x:c r="H1072" s="15" t="str">
        <x:v>金币以整数形式存储观察项</x:v>
      </x:c>
      <x:c r="I1072" s="15" t="str">
        <x:v>1. 普通用户账号及关联业务数据已准备，账号可进入当前页面</x:v>
      </x:c>
      <x:c r="J1072" s="15" t="str">
        <x:v>1. 使用普通用户账号从当前端导航进入【金币余额（用户视角）】
2. 在可输入金币数量的业务入口分别提交整数 1 和小数 1.5，并核对余额或保存结果
3. 刷新【金币余额（用户视角）】，查询“金币以整数形式存储”对应的业务记录或界面反馈</x:v>
      </x:c>
      <x:c r="K1072" s="15" t="str">
        <x:v>金币以整数形式存储</x:v>
      </x:c>
      <x:c r="L1072" s="15" t="str"/>
      <x:c r="M1072" s="15" t="str">
        <x:v>未测</x:v>
      </x:c>
      <x:c r="N1072" s="15" t="str"/>
      <x:c r="O1072" s="15" t="str">
        <x:v>1. 需求：REQ-FIN-001
2. 业务规则来源：需求规格说明.md:79
3. 原始问答：Q024
4. 入口证据：liveshow-proto/prototype/pages/user/wallet/balance-detail.html
5. 规则：BR-BABDA2F98A9250
6. 基线场景：SCN-FIN-001-01-1
7. 补充前覆盖：未覆盖；最佳匹配 UPROF-0063；预期分数 0.1563
8. 未动态验证</x:v>
      </x:c>
    </x:row>
    <x:row r="1073" ht="132" customHeight="1">
      <x:c r="A1073" s="15" t="n">
        <x:v>1072</x:v>
      </x:c>
      <x:c r="B1073" s="15" t="str">
        <x:v>IDN-U-0112</x:v>
      </x:c>
      <x:c r="C1073" s="15" t="str">
        <x:v>金币、礼物与订单</x:v>
      </x:c>
      <x:c r="D1073" s="15" t="str">
        <x:v>金币余额（用户视角）</x:v>
      </x:c>
      <x:c r="E1073" s="15" t="str">
        <x:v>异常用例</x:v>
      </x:c>
      <x:c r="F1073" s="15" t="str">
        <x:v>P1</x:v>
      </x:c>
      <x:c r="G1073" s="15" t="str">
        <x:v>验证金币余额（用户视角）在“小数金币”场景下的处理</x:v>
      </x:c>
      <x:c r="H1073" s="15" t="str">
        <x:v>小数金币观察项</x:v>
      </x:c>
      <x:c r="I1073" s="15" t="str">
        <x:v>1. 普通用户账号及关联业务数据已准备，账号可进入当前页面</x:v>
      </x:c>
      <x:c r="J1073" s="15" t="str">
        <x:v>1. 使用普通用户账号从当前端导航进入【金币余额（用户视角）】
2. 在可输入金币数量的业务入口分别提交整数 1 和小数 1.5，并核对余额或保存结果
3. 刷新【金币余额（用户视角）】，查询“小数金币”对应的业务记录或界面反馈</x:v>
      </x:c>
      <x:c r="K1073" s="15" t="str">
        <x:v>系统不接受小数金币</x:v>
      </x:c>
      <x:c r="L1073" s="15" t="str"/>
      <x:c r="M1073" s="15" t="str">
        <x:v>未测</x:v>
      </x:c>
      <x:c r="N1073" s="15" t="str"/>
      <x:c r="O1073" s="15" t="str">
        <x:v>1. 需求：REQ-FIN-001
2. 业务规则来源：需求规格说明.md:79
3. 原始问答：Q024
4. 入口证据：liveshow-proto/prototype/pages/user/wallet/balance-detail.html
5. 规则：BR-87B6244C79C1FD
6. 基线场景：SCN-FIN-001-02-1
7. 补充前覆盖：未覆盖；最佳匹配 ULIVE-0048；预期分数 0.25
8. 未动态验证</x:v>
      </x:c>
    </x:row>
    <x:row r="1074" ht="132" customHeight="1">
      <x:c r="A1074" s="15" t="n">
        <x:v>1073</x:v>
      </x:c>
      <x:c r="B1074" s="15" t="str">
        <x:v>IDN-U-0113</x:v>
      </x:c>
      <x:c r="C1074" s="15" t="str">
        <x:v>金币、礼物与订单</x:v>
      </x:c>
      <x:c r="D1074" s="15" t="str">
        <x:v>我的装扮（用户视角）</x:v>
      </x:c>
      <x:c r="E1074" s="15" t="str">
        <x:v>异常用例</x:v>
      </x:c>
      <x:c r="F1074" s="15" t="str">
        <x:v>P2</x:v>
      </x:c>
      <x:c r="G1074" s="15" t="str">
        <x:v>验证我的装扮（用户视角）在“道具上架后不会发放给所有用户”场景下的处理</x:v>
      </x:c>
      <x:c r="H1074" s="15" t="str">
        <x:v>道具上架后不会发放给所有用户观察项</x:v>
      </x:c>
      <x:c r="I1074" s="15" t="str">
        <x:v>1. 普通用户账号及关联业务数据已准备，账号可进入当前页面</x:v>
      </x:c>
      <x:c r="J1074" s="15" t="str">
        <x:v>1. 使用普通用户账号从当前端导航进入【我的装扮（用户视角）】
2. 后台上架测试道具后使用未获取该道具的用户登录，并检查任务、购买和等级入口
3. 刷新【我的装扮（用户视角）】，查询“道具上架后不会发放给所有用户”对应的业务记录或界面反馈</x:v>
      </x:c>
      <x:c r="K1074" s="15" t="str">
        <x:v>道具上架后不会自动发放给所有用户</x:v>
      </x:c>
      <x:c r="L1074" s="15" t="str"/>
      <x:c r="M1074" s="15" t="str">
        <x:v>未测</x:v>
      </x:c>
      <x:c r="N1074" s="15" t="str"/>
      <x:c r="O1074" s="15" t="str">
        <x:v>1. 需求：REQ-FIN-004
2. 业务规则来源：需求规格说明.md:82
3. 原始问答：Q030
4. 入口证据：liveshow-proto/prototype/pages/user/profile/my-decoration.html
5. 规则：BR-51AEDDF7BA9860
6. 基线场景：SCN-FIN-004-01-1
7. 补充前覆盖：未覆盖；最佳匹配 UPROF-0081；预期分数 0.1346
8. 未动态验证</x:v>
      </x:c>
    </x:row>
    <x:row r="1075" ht="132" customHeight="1">
      <x:c r="A1075" s="15" t="n">
        <x:v>1074</x:v>
      </x:c>
      <x:c r="B1075" s="15" t="str">
        <x:v>IDN-U-0114</x:v>
      </x:c>
      <x:c r="C1075" s="15" t="str">
        <x:v>金币、礼物与订单</x:v>
      </x:c>
      <x:c r="D1075" s="15" t="str">
        <x:v>我的装扮（用户视角）</x:v>
      </x:c>
      <x:c r="E1075" s="15" t="str">
        <x:v>功能需求</x:v>
      </x:c>
      <x:c r="F1075" s="15" t="str">
        <x:v>P2</x:v>
      </x:c>
      <x:c r="G1075" s="15" t="str">
        <x:v>验证我的装扮（用户视角）在“本期道具配置”场景下的处理</x:v>
      </x:c>
      <x:c r="H1075" s="15" t="str">
        <x:v>本期道具配置观察项</x:v>
      </x:c>
      <x:c r="I1075" s="15" t="str">
        <x:v>1. 普通用户账号及关联业务数据已准备，账号可进入当前页面</x:v>
      </x:c>
      <x:c r="J1075" s="15" t="str">
        <x:v>1. 使用普通用户账号从当前端导航进入【我的装扮（用户视角）】
2. 后台上架测试道具后使用未获取该道具的用户登录，并检查任务、购买和等级入口
3. 刷新【我的装扮（用户视角）】，查询“本期道具配置”对应的业务记录或界面反馈</x:v>
      </x:c>
      <x:c r="K1075" s="15" t="str">
        <x:v>本期支持道具配置</x:v>
      </x:c>
      <x:c r="L1075" s="15" t="str"/>
      <x:c r="M1075" s="15" t="str">
        <x:v>未测</x:v>
      </x:c>
      <x:c r="N1075" s="15" t="str"/>
      <x:c r="O1075" s="15" t="str">
        <x:v>1. 需求：REQ-FIN-004
2. 业务规则来源：需求规格说明.md:82
3. 原始问答：Q030
4. 入口证据：liveshow-proto/prototype/pages/user/profile/my-decoration.html
5. 规则：BR-92FE9D8B040CA2
6. 基线场景：SCN-FIN-004-02-1
7. 补充前覆盖：部分覆盖；最佳匹配 UPROF-0083；预期分数 0.3925
8. 未动态验证</x:v>
      </x:c>
    </x:row>
    <x:row r="1076" ht="132" customHeight="1">
      <x:c r="A1076" s="15" t="n">
        <x:v>1075</x:v>
      </x:c>
      <x:c r="B1076" s="15" t="str">
        <x:v>IDN-U-0115</x:v>
      </x:c>
      <x:c r="C1076" s="15" t="str">
        <x:v>金币、礼物与订单</x:v>
      </x:c>
      <x:c r="D1076" s="15" t="str">
        <x:v>我的装扮（用户视角）</x:v>
      </x:c>
      <x:c r="E1076" s="15" t="str">
        <x:v>异常用例</x:v>
      </x:c>
      <x:c r="F1076" s="15" t="str">
        <x:v>P2</x:v>
      </x:c>
      <x:c r="G1076" s="15" t="str">
        <x:v>验证我的装扮（用户视角）在“本期不实现任务获得道具逻辑”场景下的处理</x:v>
      </x:c>
      <x:c r="H1076" s="15" t="str">
        <x:v>本期不实现任务获得道具逻辑观察项</x:v>
      </x:c>
      <x:c r="I1076" s="15" t="str">
        <x:v>1. 普通用户账号及关联业务数据已准备，账号可进入当前页面</x:v>
      </x:c>
      <x:c r="J1076" s="15" t="str">
        <x:v>1. 使用普通用户账号从当前端导航进入【我的装扮（用户视角）】
2. 后台上架测试道具后使用未获取该道具的用户登录，并检查任务、购买和等级入口
3. 刷新【我的装扮（用户视角）】，查询“本期不实现任务获得道具逻辑”对应的业务记录或界面反馈</x:v>
      </x:c>
      <x:c r="K1076" s="15" t="str">
        <x:v>本期不实现任务获得道具逻辑</x:v>
      </x:c>
      <x:c r="L1076" s="15" t="str"/>
      <x:c r="M1076" s="15" t="str">
        <x:v>未测</x:v>
      </x:c>
      <x:c r="N1076" s="15" t="str"/>
      <x:c r="O1076" s="15" t="str">
        <x:v>1. 需求：REQ-FIN-004
2. 业务规则来源：需求规格说明.md:82
3. 原始问答：Q030
4. 入口证据：liveshow-proto/prototype/pages/user/profile/my-decoration.html
5. 规则：BR-3A84DE6B633C36
6. 基线场景：SCN-FIN-004-03-1
7. 补充前覆盖：未覆盖；最佳匹配 UHOME-0005；预期分数 0.1375
8. 未动态验证</x:v>
      </x:c>
    </x:row>
    <x:row r="1077" ht="132" customHeight="1">
      <x:c r="A1077" s="15" t="n">
        <x:v>1076</x:v>
      </x:c>
      <x:c r="B1077" s="15" t="str">
        <x:v>IDN-U-0116</x:v>
      </x:c>
      <x:c r="C1077" s="15" t="str">
        <x:v>金币、礼物与订单</x:v>
      </x:c>
      <x:c r="D1077" s="15" t="str">
        <x:v>我的装扮（用户视角）</x:v>
      </x:c>
      <x:c r="E1077" s="15" t="str">
        <x:v>异常用例</x:v>
      </x:c>
      <x:c r="F1077" s="15" t="str">
        <x:v>P1</x:v>
      </x:c>
      <x:c r="G1077" s="15" t="str">
        <x:v>验证我的装扮（用户视角）在“本期不实现金币购买道具逻辑”场景下的处理</x:v>
      </x:c>
      <x:c r="H1077" s="15" t="str">
        <x:v>本期不实现金币购买道具逻辑观察项</x:v>
      </x:c>
      <x:c r="I1077" s="15" t="str">
        <x:v>1. 普通用户账号及关联业务数据已准备，账号可进入当前页面</x:v>
      </x:c>
      <x:c r="J1077" s="15" t="str">
        <x:v>1. 使用普通用户账号从当前端导航进入【我的装扮（用户视角）】
2. 后台上架测试道具后使用未获取该道具的用户登录，并检查任务、购买和等级入口
3. 刷新【我的装扮（用户视角）】，查询“本期不实现金币购买道具逻辑”对应的业务记录或界面反馈</x:v>
      </x:c>
      <x:c r="K1077" s="15" t="str">
        <x:v>本期不实现金币购买道具逻辑</x:v>
      </x:c>
      <x:c r="L1077" s="15" t="str"/>
      <x:c r="M1077" s="15" t="str">
        <x:v>未测</x:v>
      </x:c>
      <x:c r="N1077" s="15" t="str"/>
      <x:c r="O1077" s="15" t="str">
        <x:v>1. 需求：REQ-FIN-004
2. 业务规则来源：需求规格说明.md:82
3. 原始问答：Q030
4. 入口证据：liveshow-proto/prototype/pages/user/profile/my-decoration.html
5. 规则：BR-D293E2614CFB06
6. 基线场景：SCN-FIN-004-04-1
7. 补充前覆盖：未覆盖；最佳匹配 ULIVE-0150；预期分数 0.1375
8. 未动态验证</x:v>
      </x:c>
    </x:row>
    <x:row r="1078" ht="132" customHeight="1">
      <x:c r="A1078" s="15" t="n">
        <x:v>1077</x:v>
      </x:c>
      <x:c r="B1078" s="15" t="str">
        <x:v>IDN-U-0117</x:v>
      </x:c>
      <x:c r="C1078" s="15" t="str">
        <x:v>金币、礼物与订单</x:v>
      </x:c>
      <x:c r="D1078" s="15" t="str">
        <x:v>我的装扮（用户视角）</x:v>
      </x:c>
      <x:c r="E1078" s="15" t="str">
        <x:v>异常用例</x:v>
      </x:c>
      <x:c r="F1078" s="15" t="str">
        <x:v>P2</x:v>
      </x:c>
      <x:c r="G1078" s="15" t="str">
        <x:v>验证我的装扮（用户视角）在“本期不实现达到等级获得道具逻辑”场景下的处理</x:v>
      </x:c>
      <x:c r="H1078" s="15" t="str">
        <x:v>本期不实现达到等级获得道具逻辑观察项</x:v>
      </x:c>
      <x:c r="I1078" s="15" t="str">
        <x:v>1. 普通用户账号及关联业务数据已准备，账号可进入当前页面</x:v>
      </x:c>
      <x:c r="J1078" s="15" t="str">
        <x:v>1. 使用普通用户账号从当前端导航进入【我的装扮（用户视角）】
2. 后台上架测试道具后使用未获取该道具的用户登录，并检查任务、购买和等级入口
3. 刷新【我的装扮（用户视角）】，查询“本期不实现达到等级获得道具逻辑”对应的业务记录或界面反馈</x:v>
      </x:c>
      <x:c r="K1078" s="15" t="str">
        <x:v>本期不实现达到等级获得道具逻辑</x:v>
      </x:c>
      <x:c r="L1078" s="15" t="str"/>
      <x:c r="M1078" s="15" t="str">
        <x:v>未测</x:v>
      </x:c>
      <x:c r="N1078" s="15" t="str"/>
      <x:c r="O1078" s="15" t="str">
        <x:v>1. 需求：REQ-FIN-004
2. 业务规则来源：需求规格说明.md:82
3. 原始问答：Q030
4. 入口证据：liveshow-proto/prototype/pages/user/profile/my-decoration.html
5. 规则：BR-521ED532FF1A45
6. 基线场景：SCN-FIN-004-05-1
7. 补充前覆盖：未覆盖；最佳匹配 ULIVE-0061；预期分数 0.1643
8. 未动态验证</x:v>
      </x:c>
    </x:row>
    <x:row r="1079" ht="132" customHeight="1">
      <x:c r="A1079" s="15" t="n">
        <x:v>1078</x:v>
      </x:c>
      <x:c r="B1079" s="15" t="str">
        <x:v>IDN-U-0118</x:v>
      </x:c>
      <x:c r="C1079" s="15" t="str">
        <x:v>金币、礼物与订单</x:v>
      </x:c>
      <x:c r="D1079" s="15" t="str">
        <x:v>主播收益（主播视角）</x:v>
      </x:c>
      <x:c r="E1079" s="15" t="str">
        <x:v>功能需求</x:v>
      </x:c>
      <x:c r="F1079" s="15" t="str">
        <x:v>P1</x:v>
      </x:c>
      <x:c r="G1079" s="15" t="str">
        <x:v>验证主播收益（主播视角）在“门票按礼物价值计入主播收益”场景下的处理</x:v>
      </x:c>
      <x:c r="H1079" s="15" t="str">
        <x:v>门票按礼物价值计入主播收益观察项</x:v>
      </x:c>
      <x:c r="I1079" s="15" t="str">
        <x:v>1. 主播账号及关联业务数据已准备，账号可进入当前页面</x:v>
      </x:c>
      <x:c r="J1079" s="15" t="str">
        <x:v>1. 使用主播账号从当前端导航进入【主播收益（主播视角）】
2. 购买一张门票并分别发送普通礼物、定制礼物和幸运礼物，再查询礼物价值、返奖及主播收益
3. 刷新【主播收益（主播视角）】，查询“门票按礼物价值计入主播收益”对应的业务记录或界面反馈</x:v>
      </x:c>
      <x:c r="K1079" s="15" t="str">
        <x:v>门票按礼物价值计入主播收益</x:v>
      </x:c>
      <x:c r="L1079" s="15" t="str">
        <x:v>FLOW-FIN-005-U</x:v>
      </x:c>
      <x:c r="M1079" s="15" t="str">
        <x:v>未测</x:v>
      </x:c>
      <x:c r="N1079" s="15" t="str"/>
      <x:c r="O1079" s="15" t="str">
        <x:v>1. 需求：REQ-FIN-005
2. 业务规则来源：需求规格说明.md:83
3. 原始问答：Q036
4. 入口证据：liveshow-proto/prototype/pages/user/host/income-sharing.html
5. 规则：BR-1768E5F351D9B7
6. 基线场景：SCN-FIN-005-01-1
7. 补充前覆盖：未覆盖；最佳匹配 ULIVE-0016；预期分数 0.25
8. 未动态验证</x:v>
      </x:c>
    </x:row>
    <x:row r="1080" ht="132" customHeight="1">
      <x:c r="A1080" s="15" t="n">
        <x:v>1079</x:v>
      </x:c>
      <x:c r="B1080" s="15" t="str">
        <x:v>IDN-U-0119</x:v>
      </x:c>
      <x:c r="C1080" s="15" t="str">
        <x:v>金币、礼物与订单</x:v>
      </x:c>
      <x:c r="D1080" s="15" t="str">
        <x:v>主播收益（主播视角）</x:v>
      </x:c>
      <x:c r="E1080" s="15" t="str">
        <x:v>功能需求</x:v>
      </x:c>
      <x:c r="F1080" s="15" t="str">
        <x:v>P1</x:v>
      </x:c>
      <x:c r="G1080" s="15" t="str">
        <x:v>验证主播收益（主播视角）在“普通礼物按礼物价值计入主播收益”场景下的处理</x:v>
      </x:c>
      <x:c r="H1080" s="15" t="str">
        <x:v>普通礼物按礼物价值计入主播收益观察项</x:v>
      </x:c>
      <x:c r="I1080" s="15" t="str">
        <x:v>1. 主播账号及关联业务数据已准备，账号可进入当前页面</x:v>
      </x:c>
      <x:c r="J1080" s="15" t="str">
        <x:v>1. 使用主播账号从当前端导航进入【主播收益（主播视角）】
2. 购买一张门票并分别发送普通礼物、定制礼物和幸运礼物，再查询礼物价值、返奖及主播收益
3. 刷新【主播收益（主播视角）】，查询“普通礼物按礼物价值计入主播收益”对应的业务记录或界面反馈</x:v>
      </x:c>
      <x:c r="K1080" s="15" t="str">
        <x:v>普通礼物按礼物价值计入主播收益</x:v>
      </x:c>
      <x:c r="L1080" s="15" t="str">
        <x:v>FLOW-FIN-005-U</x:v>
      </x:c>
      <x:c r="M1080" s="15" t="str">
        <x:v>未测</x:v>
      </x:c>
      <x:c r="N1080" s="15" t="str"/>
      <x:c r="O1080" s="15" t="str">
        <x:v>1. 需求：REQ-FIN-005
2. 业务规则来源：需求规格说明.md:83
3. 原始问答：Q036
4. 入口证据：liveshow-proto/prototype/pages/user/host/income-sharing.html
5. 规则：BR-77AA522360D3C5
6. 基线场景：SCN-FIN-005-02-1
7. 补充前覆盖：未覆盖；最佳匹配 ULIVE-0039；预期分数 0.3077
8. 未动态验证</x:v>
      </x:c>
    </x:row>
    <x:row r="1081" ht="132" customHeight="1">
      <x:c r="A1081" s="15" t="n">
        <x:v>1080</x:v>
      </x:c>
      <x:c r="B1081" s="15" t="str">
        <x:v>IDN-U-0120</x:v>
      </x:c>
      <x:c r="C1081" s="15" t="str">
        <x:v>金币、礼物与订单</x:v>
      </x:c>
      <x:c r="D1081" s="15" t="str">
        <x:v>主播收益（主播视角）</x:v>
      </x:c>
      <x:c r="E1081" s="15" t="str">
        <x:v>功能需求</x:v>
      </x:c>
      <x:c r="F1081" s="15" t="str">
        <x:v>P1</x:v>
      </x:c>
      <x:c r="G1081" s="15" t="str">
        <x:v>验证主播收益（主播视角）在“定制礼物按礼物价值计入主播收益”场景下的处理</x:v>
      </x:c>
      <x:c r="H1081" s="15" t="str">
        <x:v>定制礼物按礼物价值计入主播收益观察项</x:v>
      </x:c>
      <x:c r="I1081" s="15" t="str">
        <x:v>1. 主播账号及关联业务数据已准备，账号可进入当前页面</x:v>
      </x:c>
      <x:c r="J1081" s="15" t="str">
        <x:v>1. 使用主播账号从当前端导航进入【主播收益（主播视角）】
2. 购买一张门票并分别发送普通礼物、定制礼物和幸运礼物，再查询礼物价值、返奖及主播收益
3. 刷新【主播收益（主播视角）】，查询“定制礼物按礼物价值计入主播收益”对应的业务记录或界面反馈</x:v>
      </x:c>
      <x:c r="K1081" s="15" t="str">
        <x:v>定制礼物按礼物价值计入主播收益</x:v>
      </x:c>
      <x:c r="L1081" s="15" t="str">
        <x:v>FLOW-FIN-005-U</x:v>
      </x:c>
      <x:c r="M1081" s="15" t="str">
        <x:v>未测</x:v>
      </x:c>
      <x:c r="N1081" s="15" t="str"/>
      <x:c r="O1081" s="15" t="str">
        <x:v>1. 需求：REQ-FIN-005
2. 业务规则来源：需求规格说明.md:83
3. 原始问答：Q036
4. 入口证据：liveshow-proto/prototype/pages/user/host/income-sharing.html
5. 规则：BR-204404F73AD886
6. 基线场景：SCN-FIN-005-03-1
7. 补充前覆盖：未覆盖；最佳匹配 ULIVE-0039；预期分数 0.3077
8. 未动态验证</x:v>
      </x:c>
    </x:row>
    <x:row r="1082" ht="132" customHeight="1">
      <x:c r="A1082" s="15" t="n">
        <x:v>1081</x:v>
      </x:c>
      <x:c r="B1082" s="15" t="str">
        <x:v>IDN-U-0121</x:v>
      </x:c>
      <x:c r="C1082" s="15" t="str">
        <x:v>金币、礼物与订单</x:v>
      </x:c>
      <x:c r="D1082" s="15" t="str">
        <x:v>主播收益（主播视角）</x:v>
      </x:c>
      <x:c r="E1082" s="15" t="str">
        <x:v>功能需求</x:v>
      </x:c>
      <x:c r="F1082" s="15" t="str">
        <x:v>P1</x:v>
      </x:c>
      <x:c r="G1082" s="15" t="str">
        <x:v>验证主播收益（主播视角）在“幸运礼物按礼物价值的 1% 计入主播收益”场景下的处理</x:v>
      </x:c>
      <x:c r="H1082" s="15" t="str">
        <x:v>幸运礼物按礼物价值的 1% 计入主播收益观察项</x:v>
      </x:c>
      <x:c r="I1082" s="15" t="str">
        <x:v>1. 主播账号及关联业务数据已准备，账号可进入当前页面
2. 测试礼物价值应使 1% 收益可以独立人工核算</x:v>
      </x:c>
      <x:c r="J1082" s="15" t="str">
        <x:v>1. 使用主播账号从当前端导航进入【主播收益（主播视角）】
2. 购买一张门票并分别发送普通礼物、定制礼物和幸运礼物，再查询礼物价值、返奖及主播收益
3. 刷新【主播收益（主播视角）】，查询“幸运礼物按礼物价值的 1% 计入主播收益”对应的业务记录或界面反馈</x:v>
      </x:c>
      <x:c r="K1082" s="15" t="str">
        <x:v>幸运礼物按礼物价值的 1% 计入主播收益</x:v>
      </x:c>
      <x:c r="L1082" s="15" t="str">
        <x:v>FLOW-FIN-005-U</x:v>
      </x:c>
      <x:c r="M1082" s="15" t="str">
        <x:v>未测</x:v>
      </x:c>
      <x:c r="N1082" s="15" t="str"/>
      <x:c r="O1082" s="15" t="str">
        <x:v>1. 需求：REQ-FIN-005
2. 业务规则来源：需求规格说明.md:83
3. 原始问答：Q036
4. 入口证据：liveshow-proto/prototype/pages/user/host/income-sharing.html
5. 规则：BR-15A986E59C7F4F
6. 基线场景：SCN-FIN-005-04-1
7. 补充前覆盖：部分覆盖；最佳匹配 UHOST-0162；预期分数 0.34
8. 未动态验证</x:v>
      </x:c>
    </x:row>
    <x:row r="1083" ht="132" customHeight="1">
      <x:c r="A1083" s="15" t="n">
        <x:v>1082</x:v>
      </x:c>
      <x:c r="B1083" s="15" t="str">
        <x:v>IDN-U-0122</x:v>
      </x:c>
      <x:c r="C1083" s="15" t="str">
        <x:v>金币、礼物与订单</x:v>
      </x:c>
      <x:c r="D1083" s="15" t="str">
        <x:v>主播收益（主播视角）</x:v>
      </x:c>
      <x:c r="E1083" s="15" t="str">
        <x:v>功能需求</x:v>
      </x:c>
      <x:c r="F1083" s="15" t="str">
        <x:v>P1</x:v>
      </x:c>
      <x:c r="G1083" s="15" t="str">
        <x:v>验证主播收益（主播视角）在“幸运礼物主播收益与返奖无关”场景下的处理</x:v>
      </x:c>
      <x:c r="H1083" s="15" t="str">
        <x:v>幸运礼物主播收益与返奖无关观察项</x:v>
      </x:c>
      <x:c r="I1083" s="15" t="str">
        <x:v>1. 主播账号及关联业务数据已准备，账号可进入当前页面</x:v>
      </x:c>
      <x:c r="J1083" s="15" t="str">
        <x:v>1. 使用主播账号从当前端导航进入【主播收益（主播视角）】
2. 购买一张门票并分别发送普通礼物、定制礼物和幸运礼物，再查询礼物价值、返奖及主播收益
3. 刷新【主播收益（主播视角）】，查询“幸运礼物主播收益与返奖无关”对应的业务记录或界面反馈</x:v>
      </x:c>
      <x:c r="K1083" s="15" t="str">
        <x:v>幸运礼物主播收益与返奖无关</x:v>
      </x:c>
      <x:c r="L1083" s="15" t="str">
        <x:v>FLOW-FIN-005-U</x:v>
      </x:c>
      <x:c r="M1083" s="15" t="str">
        <x:v>未测</x:v>
      </x:c>
      <x:c r="N1083" s="15" t="str"/>
      <x:c r="O1083" s="15" t="str">
        <x:v>1. 需求：REQ-FIN-005
2. 业务规则来源：需求规格说明.md:83
3. 原始问答：Q036
4. 入口证据：liveshow-proto/prototype/pages/user/host/income-sharing.html
5. 规则：BR-2317D24536D847
6. 基线场景：SCN-FIN-005-05-1
7. 补充前覆盖：部分覆盖；最佳匹配 UHOST-0155；预期分数 0.3318
8. 未动态验证</x:v>
      </x:c>
    </x:row>
    <x:row r="1084" ht="132" customHeight="1">
      <x:c r="A1084" s="15" t="n">
        <x:v>1083</x:v>
      </x:c>
      <x:c r="B1084" s="15" t="str">
        <x:v>IDN-U-0123</x:v>
      </x:c>
      <x:c r="C1084" s="15" t="str">
        <x:v>金币、礼物与订单</x:v>
      </x:c>
      <x:c r="D1084" s="15" t="str">
        <x:v>贡献榜（用户视角）</x:v>
      </x:c>
      <x:c r="E1084" s="15" t="str">
        <x:v>功能需求</x:v>
      </x:c>
      <x:c r="F1084" s="15" t="str">
        <x:v>P1</x:v>
      </x:c>
      <x:c r="G1084" s="15" t="str">
        <x:v>验证贡献榜（用户视角）在“门票按礼物价值计入榜单贡献”场景下的处理</x:v>
      </x:c>
      <x:c r="H1084" s="15" t="str">
        <x:v>门票按礼物价值计入榜单贡献观察项</x:v>
      </x:c>
      <x:c r="I1084" s="15" t="str">
        <x:v>1. 普通用户账号及关联业务数据已准备，账号可进入当前页面</x:v>
      </x:c>
      <x:c r="J1084" s="15" t="str">
        <x:v>1. 使用普通用户账号从当前端导航进入【贡献榜（用户视角）】
2. 分别产生门票、普通礼物、定制礼物和幸运礼物交易，刷新贡献榜并记录贡献增量
3. 刷新【贡献榜（用户视角）】，查询“门票按礼物价值计入榜单贡献”对应的业务记录或界面反馈</x:v>
      </x:c>
      <x:c r="K1084" s="15" t="str">
        <x:v>门票按礼物价值计入榜单贡献</x:v>
      </x:c>
      <x:c r="L1084" s="15" t="str">
        <x:v>FLOW-FIN-006-U</x:v>
      </x:c>
      <x:c r="M1084" s="15" t="str">
        <x:v>未测</x:v>
      </x:c>
      <x:c r="N1084" s="15" t="str"/>
      <x:c r="O1084" s="15" t="str">
        <x:v>1. 需求：REQ-FIN-006
2. 业务规则来源：需求规格说明.md:84
3. 原始问答：Q036
4. 入口证据：liveshow-proto/prototype/pages/user/home/contribution-ranking.html
5. 规则：BR-3366B89871C824
6. 基线场景：SCN-FIN-006-01-1
7. 补充前覆盖：未覆盖；最佳匹配 UHOST-0147；预期分数 0.2909
8. 未动态验证</x:v>
      </x:c>
    </x:row>
    <x:row r="1085" ht="132" customHeight="1">
      <x:c r="A1085" s="15" t="n">
        <x:v>1084</x:v>
      </x:c>
      <x:c r="B1085" s="15" t="str">
        <x:v>IDN-U-0124</x:v>
      </x:c>
      <x:c r="C1085" s="15" t="str">
        <x:v>金币、礼物与订单</x:v>
      </x:c>
      <x:c r="D1085" s="15" t="str">
        <x:v>贡献榜（用户视角）</x:v>
      </x:c>
      <x:c r="E1085" s="15" t="str">
        <x:v>功能需求</x:v>
      </x:c>
      <x:c r="F1085" s="15" t="str">
        <x:v>P2</x:v>
      </x:c>
      <x:c r="G1085" s="15" t="str">
        <x:v>验证贡献榜（用户视角）在“普通礼物按礼物价值计入榜单贡献”场景下的处理</x:v>
      </x:c>
      <x:c r="H1085" s="15" t="str">
        <x:v>普通礼物按礼物价值计入榜单贡献观察项</x:v>
      </x:c>
      <x:c r="I1085" s="15" t="str">
        <x:v>1. 普通用户账号及关联业务数据已准备，账号可进入当前页面</x:v>
      </x:c>
      <x:c r="J1085" s="15" t="str">
        <x:v>1. 使用普通用户账号从当前端导航进入【贡献榜（用户视角）】
2. 分别产生门票、普通礼物、定制礼物和幸运礼物交易，刷新贡献榜并记录贡献增量
3. 刷新【贡献榜（用户视角）】，查询“普通礼物按礼物价值计入榜单贡献”对应的业务记录或界面反馈</x:v>
      </x:c>
      <x:c r="K1085" s="15" t="str">
        <x:v>普通礼物按礼物价值计入榜单贡献</x:v>
      </x:c>
      <x:c r="L1085" s="15" t="str">
        <x:v>FLOW-FIN-006-U</x:v>
      </x:c>
      <x:c r="M1085" s="15" t="str">
        <x:v>未测</x:v>
      </x:c>
      <x:c r="N1085" s="15" t="str"/>
      <x:c r="O1085" s="15" t="str">
        <x:v>1. 需求：REQ-FIN-006
2. 业务规则来源：需求规格说明.md:84
3. 原始问答：Q036
4. 入口证据：liveshow-proto/prototype/pages/user/home/contribution-ranking.html
5. 规则：BR-78A9827A72F797
6. 基线场景：SCN-FIN-006-02-1
7. 补充前覆盖：未覆盖；最佳匹配 UHOST-0147；预期分数 0.2731
8. 未动态验证</x:v>
      </x:c>
    </x:row>
    <x:row r="1086" ht="132" customHeight="1">
      <x:c r="A1086" s="15" t="n">
        <x:v>1085</x:v>
      </x:c>
      <x:c r="B1086" s="15" t="str">
        <x:v>IDN-U-0125</x:v>
      </x:c>
      <x:c r="C1086" s="15" t="str">
        <x:v>金币、礼物与订单</x:v>
      </x:c>
      <x:c r="D1086" s="15" t="str">
        <x:v>贡献榜（用户视角）</x:v>
      </x:c>
      <x:c r="E1086" s="15" t="str">
        <x:v>功能需求</x:v>
      </x:c>
      <x:c r="F1086" s="15" t="str">
        <x:v>P2</x:v>
      </x:c>
      <x:c r="G1086" s="15" t="str">
        <x:v>验证贡献榜（用户视角）在“定制礼物按礼物价值计入榜单贡献”场景下的处理</x:v>
      </x:c>
      <x:c r="H1086" s="15" t="str">
        <x:v>定制礼物按礼物价值计入榜单贡献观察项</x:v>
      </x:c>
      <x:c r="I1086" s="15" t="str">
        <x:v>1. 普通用户账号及关联业务数据已准备，账号可进入当前页面</x:v>
      </x:c>
      <x:c r="J1086" s="15" t="str">
        <x:v>1. 使用普通用户账号从当前端导航进入【贡献榜（用户视角）】
2. 分别产生门票、普通礼物、定制礼物和幸运礼物交易，刷新贡献榜并记录贡献增量
3. 刷新【贡献榜（用户视角）】，查询“定制礼物按礼物价值计入榜单贡献”对应的业务记录或界面反馈</x:v>
      </x:c>
      <x:c r="K1086" s="15" t="str">
        <x:v>定制礼物按礼物价值计入榜单贡献</x:v>
      </x:c>
      <x:c r="L1086" s="15" t="str">
        <x:v>FLOW-FIN-006-U</x:v>
      </x:c>
      <x:c r="M1086" s="15" t="str">
        <x:v>未测</x:v>
      </x:c>
      <x:c r="N1086" s="15" t="str"/>
      <x:c r="O1086" s="15" t="str">
        <x:v>1. 需求：REQ-FIN-006
2. 业务规则来源：需求规格说明.md:84
3. 原始问答：Q036
4. 入口证据：liveshow-proto/prototype/pages/user/home/contribution-ranking.html
5. 规则：BR-7227D3F6249CA6
6. 基线场景：SCN-FIN-006-03-1
7. 补充前覆盖：部分覆盖；最佳匹配 UHOST-0147；预期分数 0.3769
8. 未动态验证</x:v>
      </x:c>
    </x:row>
    <x:row r="1087" ht="132" customHeight="1">
      <x:c r="A1087" s="15" t="n">
        <x:v>1086</x:v>
      </x:c>
      <x:c r="B1087" s="15" t="str">
        <x:v>IDN-U-0126</x:v>
      </x:c>
      <x:c r="C1087" s="15" t="str">
        <x:v>金币、礼物与订单</x:v>
      </x:c>
      <x:c r="D1087" s="15" t="str">
        <x:v>贡献榜（用户视角）</x:v>
      </x:c>
      <x:c r="E1087" s="15" t="str">
        <x:v>功能需求</x:v>
      </x:c>
      <x:c r="F1087" s="15" t="str">
        <x:v>P2</x:v>
      </x:c>
      <x:c r="G1087" s="15" t="str">
        <x:v>验证贡献榜（用户视角）在“幸运礼物按礼物价值计入榜单贡献”场景下的处理</x:v>
      </x:c>
      <x:c r="H1087" s="15" t="str">
        <x:v>幸运礼物按礼物价值计入榜单贡献观察项</x:v>
      </x:c>
      <x:c r="I1087" s="15" t="str">
        <x:v>1. 普通用户账号及关联业务数据已准备，账号可进入当前页面</x:v>
      </x:c>
      <x:c r="J1087" s="15" t="str">
        <x:v>1. 使用普通用户账号从当前端导航进入【贡献榜（用户视角）】
2. 分别产生门票、普通礼物、定制礼物和幸运礼物交易，刷新贡献榜并记录贡献增量
3. 刷新【贡献榜（用户视角）】，查询“幸运礼物按礼物价值计入榜单贡献”对应的业务记录或界面反馈</x:v>
      </x:c>
      <x:c r="K1087" s="15" t="str">
        <x:v>幸运礼物按礼物价值计入榜单贡献</x:v>
      </x:c>
      <x:c r="L1087" s="15" t="str">
        <x:v>FLOW-FIN-006-U</x:v>
      </x:c>
      <x:c r="M1087" s="15" t="str">
        <x:v>未测</x:v>
      </x:c>
      <x:c r="N1087" s="15" t="str"/>
      <x:c r="O1087" s="15" t="str">
        <x:v>1. 需求：REQ-FIN-006
2. 业务规则来源：需求规格说明.md:84
3. 原始问答：Q036
4. 入口证据：liveshow-proto/prototype/pages/user/home/contribution-ranking.html
5. 规则：BR-BDA71D7B24BC9E
6. 基线场景：SCN-FIN-006-04-1
7. 补充前覆盖：部分覆盖；最佳匹配 UHOST-0042；预期分数 0.3769
8. 未动态验证</x:v>
      </x:c>
    </x:row>
    <x:row r="1088" ht="132" customHeight="1">
      <x:c r="A1088" s="15" t="n">
        <x:v>1087</x:v>
      </x:c>
      <x:c r="B1088" s="15" t="str">
        <x:v>IDN-U-0127</x:v>
      </x:c>
      <x:c r="C1088" s="15" t="str">
        <x:v>金币、礼物与订单</x:v>
      </x:c>
      <x:c r="D1088" s="15" t="str">
        <x:v>金额展示（用户视角）</x:v>
      </x:c>
      <x:c r="E1088" s="15" t="str">
        <x:v>功能需求</x:v>
      </x:c>
      <x:c r="F1088" s="15" t="str">
        <x:v>P2</x:v>
      </x:c>
      <x:c r="G1088" s="15" t="str">
        <x:v>验证金额展示（用户视角）在“金额 USD”场景下的处理</x:v>
      </x:c>
      <x:c r="H1088" s="15" t="str">
        <x:v>金额 USD观察项</x:v>
      </x:c>
      <x:c r="I1088" s="15" t="str">
        <x:v>1. 普通用户账号及关联业务数据已准备，账号可进入当前页面</x:v>
      </x:c>
      <x:c r="J1088" s="15" t="str">
        <x:v>1. 使用普通用户账号从当前端导航进入【金额展示（用户视角）】
2. 打开包含金额的目标页面并完成一笔交易，核对输入、明细和汇总币种
3. 刷新【金额展示（用户视角）】，查询“金额 USD”对应的业务记录或界面反馈</x:v>
      </x:c>
      <x:c r="K1088" s="15" t="str">
        <x:v>金额展示统一使用 USD</x:v>
      </x:c>
      <x:c r="L1088" s="15" t="str"/>
      <x:c r="M1088" s="15" t="str">
        <x:v>未测</x:v>
      </x:c>
      <x:c r="N1088" s="15" t="str"/>
      <x:c r="O1088" s="15" t="str">
        <x:v>1. 需求：REQ-FIN-007
2. 业务规则来源：需求规格说明.md:85
3. 原始问答：Q068、Q069
4. 入口证据：liveshow-proto/prototype/pages/user/wallet/balance-detail.html
5. 规则：BR-892CBD4C05E5F1
6. 基线场景：SCN-FIN-007-02-1
7. 补充前覆盖：未覆盖；最佳匹配 UWALLET-0001；预期分数 0.1125
8. 未动态验证</x:v>
      </x:c>
    </x:row>
    <x:row r="1089" ht="132" customHeight="1">
      <x:c r="A1089" s="15" t="n">
        <x:v>1088</x:v>
      </x:c>
      <x:c r="B1089" s="15" t="str">
        <x:v>IDN-U-0128</x:v>
      </x:c>
      <x:c r="C1089" s="15" t="str">
        <x:v>金币、礼物与订单</x:v>
      </x:c>
      <x:c r="D1089" s="15" t="str">
        <x:v>退款后限购（用户视角）</x:v>
      </x:c>
      <x:c r="E1089" s="15" t="str">
        <x:v>异常用例</x:v>
      </x:c>
      <x:c r="F1089" s="15" t="str">
        <x:v>P1</x:v>
      </x:c>
      <x:c r="G1089" s="15" t="str">
        <x:v>验证退款后限购（用户视角）在“支付成功订单全额退款后不恢复已占用的活动套餐限购”场景下的处理</x:v>
      </x:c>
      <x:c r="H1089" s="15" t="str">
        <x:v>支付成功订单全额退款后不恢复已占用的活动套餐限购观察项</x:v>
      </x:c>
      <x:c r="I1089" s="15" t="str">
        <x:v>1. 普通用户账号及关联业务数据已准备，账号可进入当前页面
2. 准备一笔已支付且满足退款或冲正条件的订单</x:v>
      </x:c>
      <x:c r="J1089" s="15" t="str">
        <x:v>1. 使用普通用户账号从当前端导航进入【退款后限购（用户视角）】
2. 购买达到活动套餐限购上限后完成全额退款，再次尝试购买同一活动套餐
3. 刷新【退款后限购（用户视角）】，查询“支付成功订单全额退款后不恢复已占用的活动套餐限购”对应的业务记录或界面反馈</x:v>
      </x:c>
      <x:c r="K1089" s="15" t="str">
        <x:v>支付成功订单全额退款后不恢复已占用的活动套餐限购次数</x:v>
      </x:c>
      <x:c r="L1089" s="15" t="str">
        <x:v>FLOW-FIN-008-U</x:v>
      </x:c>
      <x:c r="M1089" s="15" t="str">
        <x:v>未测</x:v>
      </x:c>
      <x:c r="N1089" s="15" t="str"/>
      <x:c r="O1089" s="15" t="str">
        <x:v>1. 需求：REQ-FIN-008
2. 业务规则来源：需求规格说明.md:86
3. 原始问答：Q073
4. 入口证据：liveshow-proto/prototype/pages/user/wallet/recharge.html
5. 规则：BR-E1396E722FE659
6. 基线场景：SCN-FIN-008-01-1
7. 补充前覆盖：未覆盖；最佳匹配 UWALLET-0013；预期分数 0.1728
8. 未动态验证</x:v>
      </x:c>
    </x:row>
    <x:row r="1090" ht="132" customHeight="1">
      <x:c r="A1090" s="15" t="n">
        <x:v>1089</x:v>
      </x:c>
      <x:c r="B1090" s="15" t="str">
        <x:v>IDN-U-0129</x:v>
      </x:c>
      <x:c r="C1090" s="15" t="str">
        <x:v>金币、礼物与订单</x:v>
      </x:c>
      <x:c r="D1090" s="15" t="str">
        <x:v>退款后主播收益（主播视角）</x:v>
      </x:c>
      <x:c r="E1090" s="15" t="str">
        <x:v>异常用例</x:v>
      </x:c>
      <x:c r="F1090" s="15" t="str">
        <x:v>P1</x:v>
      </x:c>
      <x:c r="G1090" s="15" t="str">
        <x:v>验证退款后主播收益（主播视角）在“订单退款不影响主播收益计算”场景下的处理</x:v>
      </x:c>
      <x:c r="H1090" s="15" t="str">
        <x:v>订单退款不影响主播收益计算观察项</x:v>
      </x:c>
      <x:c r="I1090" s="15" t="str">
        <x:v>1. 主播账号及关联业务数据已准备，账号可进入当前页面
2. 准备一笔已支付且满足退款或冲正条件的订单</x:v>
      </x:c>
      <x:c r="J1090" s="15" t="str">
        <x:v>1. 使用主播账号从当前端导航进入【退款后主播收益（主播视角）】
2. 记录退款前主播收益，对订单分别执行退款和冲正后重新查询收益
3. 刷新【退款后主播收益（主播视角）】，查询“订单退款不影响主播收益计算”对应的业务记录或界面反馈</x:v>
      </x:c>
      <x:c r="K1090" s="15" t="str">
        <x:v>订单退款不影响主播收益计算</x:v>
      </x:c>
      <x:c r="L1090" s="15" t="str">
        <x:v>FLOW-FIN-009-U</x:v>
      </x:c>
      <x:c r="M1090" s="15" t="str">
        <x:v>未测</x:v>
      </x:c>
      <x:c r="N1090" s="15" t="str"/>
      <x:c r="O1090" s="15" t="str">
        <x:v>1. 需求：REQ-FIN-009
2. 业务规则来源：需求规格说明.md:87
3. 原始问答：Q075
4. 入口证据：liveshow-proto/prototype/pages/user/host/income-sharing.html
5. 规则：BR-EE57E951388157
6. 基线场景：SCN-FIN-009-01-1
7. 补充前覆盖：未覆盖；最佳匹配 ULIVE-0016；预期分数 0.25
8. 未动态验证</x:v>
      </x:c>
    </x:row>
    <x:row r="1091" ht="132" customHeight="1">
      <x:c r="A1091" s="15" t="n">
        <x:v>1090</x:v>
      </x:c>
      <x:c r="B1091" s="15" t="str">
        <x:v>IDN-U-0130</x:v>
      </x:c>
      <x:c r="C1091" s="15" t="str">
        <x:v>金币、礼物与订单</x:v>
      </x:c>
      <x:c r="D1091" s="15" t="str">
        <x:v>退款后主播收益（主播视角）</x:v>
      </x:c>
      <x:c r="E1091" s="15" t="str">
        <x:v>异常用例</x:v>
      </x:c>
      <x:c r="F1091" s="15" t="str">
        <x:v>P1</x:v>
      </x:c>
      <x:c r="G1091" s="15" t="str">
        <x:v>验证退款后主播收益（主播视角）在“订单冲正不影响主播收益计算”场景下的处理</x:v>
      </x:c>
      <x:c r="H1091" s="15" t="str">
        <x:v>订单冲正不影响主播收益计算观察项</x:v>
      </x:c>
      <x:c r="I1091" s="15" t="str">
        <x:v>1. 主播账号及关联业务数据已准备，账号可进入当前页面
2. 准备一笔已支付且满足退款或冲正条件的订单</x:v>
      </x:c>
      <x:c r="J1091" s="15" t="str">
        <x:v>1. 使用主播账号从当前端导航进入【退款后主播收益（主播视角）】
2. 记录退款前主播收益，对订单分别执行退款和冲正后重新查询收益
3. 刷新【退款后主播收益（主播视角）】，查询“订单冲正不影响主播收益计算”对应的业务记录或界面反馈</x:v>
      </x:c>
      <x:c r="K1091" s="15" t="str">
        <x:v>订单冲正不影响主播收益计算</x:v>
      </x:c>
      <x:c r="L1091" s="15" t="str">
        <x:v>FLOW-FIN-009-U</x:v>
      </x:c>
      <x:c r="M1091" s="15" t="str">
        <x:v>未测</x:v>
      </x:c>
      <x:c r="N1091" s="15" t="str"/>
      <x:c r="O1091" s="15" t="str">
        <x:v>1. 需求：REQ-FIN-009
2. 业务规则来源：需求规格说明.md:87
3. 原始问答：Q075
4. 入口证据：liveshow-proto/prototype/pages/user/host/income-sharing.html
5. 规则：BR-CAD134F413383B
6. 基线场景：SCN-FIN-009-02-1
7. 补充前覆盖：部分覆盖；最佳匹配 ULIVE-0039；预期分数 0.3318
8. 未动态验证</x:v>
      </x:c>
    </x:row>
    <x:row r="1092" ht="132" customHeight="1">
      <x:c r="A1092" s="15" t="n">
        <x:v>1091</x:v>
      </x:c>
      <x:c r="B1092" s="15" t="str">
        <x:v>IDN-U-0131</x:v>
      </x:c>
      <x:c r="C1092" s="15" t="str">
        <x:v>金币、礼物与订单</x:v>
      </x:c>
      <x:c r="D1092" s="15" t="str">
        <x:v>资金功能（用户视角）</x:v>
      </x:c>
      <x:c r="E1092" s="15" t="str">
        <x:v>异常用例</x:v>
      </x:c>
      <x:c r="F1092" s="15" t="str">
        <x:v>P2</x:v>
      </x:c>
      <x:c r="G1092" s="15" t="str">
        <x:v>验证资金功能（用户视角）在“提现功能”场景下的处理</x:v>
      </x:c>
      <x:c r="H1092" s="15" t="str">
        <x:v>提现功能观察项</x:v>
      </x:c>
      <x:c r="I1092" s="15" t="str">
        <x:v>1. 普通用户账号及关联业务数据已准备，账号可进入当前页面</x:v>
      </x:c>
      <x:c r="J1092" s="15" t="str">
        <x:v>1. 使用普通用户账号从当前端导航进入【资金功能（用户视角）】
2. 遍历资金相关页面及操作菜单，搜索并尝试进入提现入口
3. 刷新【资金功能（用户视角）】，查询“提现功能”对应的业务记录或界面反馈</x:v>
      </x:c>
      <x:c r="K1092" s="15" t="str">
        <x:v>系统不提供提现功能</x:v>
      </x:c>
      <x:c r="L1092" s="15" t="str"/>
      <x:c r="M1092" s="15" t="str">
        <x:v>未测</x:v>
      </x:c>
      <x:c r="N1092" s="15" t="str"/>
      <x:c r="O1092" s="15" t="str">
        <x:v>1. 需求：REQ-FIN-011
2. 业务规则来源：需求规格说明.md:89
3. 原始问答：Q089
4. 入口证据：liveshow-proto/prototype/pages/user/wallet/balance-detail.html
5. 规则：BR-BF52E28BB2F74B
6. 基线场景：SCN-FIN-011-01-1
7. 补充前覆盖：未覆盖；最佳匹配 UPROF-0090；预期分数 0.2125
8. 未动态验证</x:v>
      </x:c>
    </x:row>
    <x:row r="1093" ht="132" customHeight="1">
      <x:c r="A1093" s="15" t="n">
        <x:v>1092</x:v>
      </x:c>
      <x:c r="B1093" s="15" t="str">
        <x:v>IDN-U-0132</x:v>
      </x:c>
      <x:c r="C1093" s="15" t="str">
        <x:v>金币、礼物与订单</x:v>
      </x:c>
      <x:c r="D1093" s="15" t="str">
        <x:v>充值套餐（用户视角）</x:v>
      </x:c>
      <x:c r="E1093" s="15" t="str">
        <x:v>功能需求</x:v>
      </x:c>
      <x:c r="F1093" s="15" t="str">
        <x:v>P1</x:v>
      </x:c>
      <x:c r="G1093" s="15" t="str">
        <x:v>验证充值套餐（用户视角）在“充值套餐赠送比例由套餐本金和赠送金币计算”场景下的处理</x:v>
      </x:c>
      <x:c r="H1093" s="15" t="str">
        <x:v>充值套餐赠送比例由套餐本金和赠送金币计算观察项</x:v>
      </x:c>
      <x:c r="I1093" s="15" t="str">
        <x:v>1. 普通用户账号及关联业务数据已准备，账号可进入当前页面</x:v>
      </x:c>
      <x:c r="J1093" s="15" t="str">
        <x:v>1. 使用普通用户账号从当前端导航进入【充值套餐（用户视角）】
2. 后台配置套餐本金与赠送金币，用户端打开套餐并按两项数值人工计算赠送比例
3. 刷新【充值套餐（用户视角）】，查询“充值套餐赠送比例由套餐本金和赠送金币计算”对应的业务记录或界面反馈</x:v>
      </x:c>
      <x:c r="K1093" s="15" t="str">
        <x:v>充值套餐赠送比例由套餐本金和赠送金币计算</x:v>
      </x:c>
      <x:c r="L1093" s="15" t="str">
        <x:v>FLOW-FIN-013-U</x:v>
      </x:c>
      <x:c r="M1093" s="15" t="str">
        <x:v>未测</x:v>
      </x:c>
      <x:c r="N1093" s="15" t="str"/>
      <x:c r="O1093" s="15" t="str">
        <x:v>1. 需求：REQ-FIN-013
2. 业务规则来源：需求规格说明.md:91
3. 原始问答：Q101
4. 入口证据：liveshow-proto/prototype/pages/user/wallet/recharge.html
5. 规则：BR-DBAA9BAFC9187C
6. 基线场景：SCN-FIN-013-01-1
7. 补充前覆盖：部分覆盖；最佳匹配 ULIVE-0040；预期分数 0.4353
8. 未动态验证</x:v>
      </x:c>
    </x:row>
    <x:row r="1094" ht="132" customHeight="1">
      <x:c r="A1094" s="15" t="n">
        <x:v>1093</x:v>
      </x:c>
      <x:c r="B1094" s="15" t="str">
        <x:v>IDN-U-0133</x:v>
      </x:c>
      <x:c r="C1094" s="15" t="str">
        <x:v>金币、礼物与订单</x:v>
      </x:c>
      <x:c r="D1094" s="15" t="str">
        <x:v>充值套餐（用户视角）</x:v>
      </x:c>
      <x:c r="E1094" s="15" t="str">
        <x:v>功能需求</x:v>
      </x:c>
      <x:c r="F1094" s="15" t="str">
        <x:v>P1</x:v>
      </x:c>
      <x:c r="G1094" s="15" t="str">
        <x:v>验证充值套餐（用户视角）在“的赠送比例与实际赠送金币数量一致”场景下的处理</x:v>
      </x:c>
      <x:c r="H1094" s="15" t="str">
        <x:v>的赠送比例与实际赠送金币数量一致观察项</x:v>
      </x:c>
      <x:c r="I1094" s="15" t="str">
        <x:v>1. 普通用户账号及关联业务数据已准备，账号可进入当前页面</x:v>
      </x:c>
      <x:c r="J1094" s="15" t="str">
        <x:v>1. 使用普通用户账号从当前端导航进入【充值套餐（用户视角）】
2. 后台配置套餐本金与赠送金币，用户端打开套餐并按两项数值人工计算赠送比例
3. 刷新【充值套餐（用户视角）】，查询“的赠送比例与实际赠送金币数量一致”对应的业务记录或界面反馈</x:v>
      </x:c>
      <x:c r="K1094" s="15" t="str">
        <x:v>展示的赠送比例与实际赠送金币数量一致</x:v>
      </x:c>
      <x:c r="L1094" s="15" t="str">
        <x:v>FLOW-FIN-013-U</x:v>
      </x:c>
      <x:c r="M1094" s="15" t="str">
        <x:v>未测</x:v>
      </x:c>
      <x:c r="N1094" s="15" t="str"/>
      <x:c r="O1094" s="15" t="str">
        <x:v>1. 需求：REQ-FIN-013
2. 业务规则来源：需求规格说明.md:91
3. 原始问答：Q101
4. 入口证据：liveshow-proto/prototype/pages/user/wallet/recharge.html
5. 规则：BR-B596115F4FA746
6. 基线场景：SCN-FIN-013-02-1
7. 补充前覆盖：未覆盖；最佳匹配 UWALLET-0004；预期分数 0.2607
8. 未动态验证</x:v>
      </x:c>
    </x:row>
    <x:row r="1095" ht="132" customHeight="1">
      <x:c r="A1095" s="15" t="n">
        <x:v>1094</x:v>
      </x:c>
      <x:c r="B1095" s="15" t="str">
        <x:v>IDN-U-0134</x:v>
      </x:c>
      <x:c r="C1095" s="15" t="str">
        <x:v>金币、礼物与订单</x:v>
      </x:c>
      <x:c r="D1095" s="15" t="str">
        <x:v>资金账户（用户视角）</x:v>
      </x:c>
      <x:c r="E1095" s="15" t="str">
        <x:v>功能需求</x:v>
      </x:c>
      <x:c r="F1095" s="15" t="str">
        <x:v>P2</x:v>
      </x:c>
      <x:c r="G1095" s="15" t="str">
        <x:v>验证资金账户（用户视角）在“用户只有 1 个资金账户”场景下的处理</x:v>
      </x:c>
      <x:c r="H1095" s="15" t="str">
        <x:v>用户只有 1 个资金账户观察项</x:v>
      </x:c>
      <x:c r="I1095" s="15" t="str">
        <x:v>1. 普通用户账号及关联业务数据已准备，账号可进入当前页面</x:v>
      </x:c>
      <x:c r="J1095" s="15" t="str">
        <x:v>1. 使用普通用户账号从当前端导航进入【资金账户（用户视角）】
2. 让同一用户通过充值和非充值途径获得金币，查询余额账户及后台报表分类
3. 刷新【资金账户（用户视角）】，查询“用户只有 1 个资金账户”对应的业务记录或界面反馈</x:v>
      </x:c>
      <x:c r="K1095" s="15" t="str">
        <x:v>用户只有 1 个资金账户</x:v>
      </x:c>
      <x:c r="L1095" s="15" t="str">
        <x:v>FLOW-FIN-014-U</x:v>
      </x:c>
      <x:c r="M1095" s="15" t="str">
        <x:v>未测</x:v>
      </x:c>
      <x:c r="N1095" s="15" t="str"/>
      <x:c r="O1095" s="15" t="str">
        <x:v>1. 需求：REQ-FIN-014
2. 业务规则来源：需求规格说明.md:92
3. 原始问答：Q135
4. 入口证据：liveshow-proto/prototype/pages/user/wallet/balance-detail.html
5. 规则：BR-374B371DDC61E4
6. 基线场景：SCN-FIN-014-01-1
7. 补充前覆盖：未覆盖；最佳匹配 UPROF-0103；预期分数 0.1643
8. 未动态验证</x:v>
      </x:c>
    </x:row>
    <x:row r="1096" ht="132" customHeight="1">
      <x:c r="A1096" s="15" t="n">
        <x:v>1095</x:v>
      </x:c>
      <x:c r="B1096" s="15" t="str">
        <x:v>IDN-U-0135</x:v>
      </x:c>
      <x:c r="C1096" s="15" t="str">
        <x:v>金币、礼物与订单</x:v>
      </x:c>
      <x:c r="D1096" s="15" t="str">
        <x:v>资金账户（用户视角）</x:v>
      </x:c>
      <x:c r="E1096" s="15" t="str">
        <x:v>异常用例</x:v>
      </x:c>
      <x:c r="F1096" s="15" t="str">
        <x:v>P2</x:v>
      </x:c>
      <x:c r="G1096" s="15" t="str">
        <x:v>验证资金账户（用户视角）在“不拆分本金账户和赠金账户”场景下的处理</x:v>
      </x:c>
      <x:c r="H1096" s="15" t="str">
        <x:v>不拆分本金账户和赠金账户观察项</x:v>
      </x:c>
      <x:c r="I1096" s="15" t="str">
        <x:v>1. 普通用户账号及关联业务数据已准备，账号可进入当前页面</x:v>
      </x:c>
      <x:c r="J1096" s="15" t="str">
        <x:v>1. 使用普通用户账号从当前端导航进入【资金账户（用户视角）】
2. 让同一用户通过充值和非充值途径获得金币，查询余额账户及后台报表分类
3. 刷新【资金账户（用户视角）】，查询“不拆分本金账户和赠金账户”对应的业务记录或界面反馈</x:v>
      </x:c>
      <x:c r="K1096" s="15" t="str">
        <x:v>不拆分本金账户和赠金账户</x:v>
      </x:c>
      <x:c r="L1096" s="15" t="str">
        <x:v>FLOW-FIN-014-U</x:v>
      </x:c>
      <x:c r="M1096" s="15" t="str">
        <x:v>未测</x:v>
      </x:c>
      <x:c r="N1096" s="15" t="str"/>
      <x:c r="O1096" s="15" t="str">
        <x:v>1. 需求：REQ-FIN-014
2. 业务规则来源：需求规格说明.md:92
3. 原始问答：Q135
4. 入口证据：liveshow-proto/prototype/pages/user/wallet/balance-detail.html
5. 规则：BR-39B0D6EC63A0EE
6. 基线场景：SCN-FIN-014-02-1
7. 补充前覆盖：未覆盖；最佳匹配 UFAN-0001；预期分数 0.1
8. 未动态验证</x:v>
      </x:c>
    </x:row>
    <x:row r="1097" ht="132" customHeight="1">
      <x:c r="A1097" s="15" t="n">
        <x:v>1096</x:v>
      </x:c>
      <x:c r="B1097" s="15" t="str">
        <x:v>IDN-U-0136</x:v>
      </x:c>
      <x:c r="C1097" s="15" t="str">
        <x:v>金币、礼物与订单</x:v>
      </x:c>
      <x:c r="D1097" s="15" t="str">
        <x:v>资金账户（用户视角）</x:v>
      </x:c>
      <x:c r="E1097" s="15" t="str">
        <x:v>功能需求</x:v>
      </x:c>
      <x:c r="F1097" s="15" t="str">
        <x:v>P1</x:v>
      </x:c>
      <x:c r="G1097" s="15" t="str">
        <x:v>验证资金账户（用户视角）在“除充值外获得的金币在报表中归类为赠金”场景下的处理</x:v>
      </x:c>
      <x:c r="H1097" s="15" t="str">
        <x:v>除充值外获得的金币在报表中归类为赠金观察项</x:v>
      </x:c>
      <x:c r="I1097" s="15" t="str">
        <x:v>1. 普通用户账号及关联业务数据已准备，账号可进入当前页面</x:v>
      </x:c>
      <x:c r="J1097" s="15" t="str">
        <x:v>1. 使用普通用户账号从当前端导航进入【资金账户（用户视角）】
2. 让同一用户通过充值和非充值途径获得金币，查询余额账户及后台报表分类
3. 刷新【资金账户（用户视角）】，查询“除充值外获得的金币在报表中归类为赠金”对应的业务记录或界面反馈</x:v>
      </x:c>
      <x:c r="K1097" s="15" t="str">
        <x:v>除充值外获得的金币在报表中归类为赠金</x:v>
      </x:c>
      <x:c r="L1097" s="15" t="str">
        <x:v>FLOW-FIN-014-U</x:v>
      </x:c>
      <x:c r="M1097" s="15" t="str">
        <x:v>未测</x:v>
      </x:c>
      <x:c r="N1097" s="15" t="str"/>
      <x:c r="O1097" s="15" t="str">
        <x:v>1. 需求：REQ-FIN-014
2. 业务规则来源：需求规格说明.md:92
3. 原始问答：Q135
4. 入口证据：liveshow-proto/prototype/pages/user/wallet/balance-detail.html
5. 规则：BR-CED1588E519B1B
6. 基线场景：SCN-FIN-014-03-1
7. 补充前覆盖：未覆盖；最佳匹配 UWALLET-0019；预期分数 0.1811
8. 未动态验证</x:v>
      </x:c>
    </x:row>
    <x:row r="1098" ht="132" customHeight="1">
      <x:c r="A1098" s="15" t="n">
        <x:v>1097</x:v>
      </x:c>
      <x:c r="B1098" s="15" t="str">
        <x:v>IDN-U-0137</x:v>
      </x:c>
      <x:c r="C1098" s="15" t="str">
        <x:v>金币、礼物与订单</x:v>
      </x:c>
      <x:c r="D1098" s="15" t="str">
        <x:v>余额扣减（用户视角）</x:v>
      </x:c>
      <x:c r="E1098" s="15" t="str">
        <x:v>功能需求</x:v>
      </x:c>
      <x:c r="F1098" s="15" t="str">
        <x:v>P1</x:v>
      </x:c>
      <x:c r="G1098" s="15" t="str">
        <x:v>验证余额扣减（用户视角）在“所有消费从余额扣减”场景下的处理</x:v>
      </x:c>
      <x:c r="H1098" s="15" t="str">
        <x:v>所有消费从余额扣减观察项</x:v>
      </x:c>
      <x:c r="I1098" s="15" t="str">
        <x:v>1. 普通用户账号及关联业务数据已准备，账号可进入当前页面</x:v>
      </x:c>
      <x:c r="J1098" s="15" t="str">
        <x:v>1. 使用普通用户账号从当前端导航进入【余额扣减（用户视角）】
2. 让余额包含多次充值和赠金后完成消费，查询余额扣减及订单明细的资金追踪字段
3. 刷新【余额扣减（用户视角）】，查询“所有消费从余额扣减”对应的业务记录或界面反馈</x:v>
      </x:c>
      <x:c r="K1098" s="15" t="str">
        <x:v>所有消费统一从余额扣减</x:v>
      </x:c>
      <x:c r="L1098" s="15" t="str">
        <x:v>FLOW-FIN-015-U</x:v>
      </x:c>
      <x:c r="M1098" s="15" t="str">
        <x:v>未测</x:v>
      </x:c>
      <x:c r="N1098" s="15" t="str"/>
      <x:c r="O1098" s="15" t="str">
        <x:v>1. 需求：REQ-FIN-015
2. 业务规则来源：需求规格说明.md:93
3. 原始问答：Q135
4. 入口证据：liveshow-proto/prototype/pages/user/wallet/balance-detail.html
5. 规则：BR-4B620AF7BDE9F3
6. 基线场景：SCN-FIN-015-01-1
7. 补充前覆盖：未覆盖；最佳匹配 UPROF-0054；预期分数 0.145
8. 未动态验证</x:v>
      </x:c>
    </x:row>
    <x:row r="1099" ht="132" customHeight="1">
      <x:c r="A1099" s="15" t="n">
        <x:v>1098</x:v>
      </x:c>
      <x:c r="B1099" s="15" t="str">
        <x:v>IDN-U-0138</x:v>
      </x:c>
      <x:c r="C1099" s="15" t="str">
        <x:v>金币、礼物与订单</x:v>
      </x:c>
      <x:c r="D1099" s="15" t="str">
        <x:v>余额扣减（用户视角）</x:v>
      </x:c>
      <x:c r="E1099" s="15" t="str">
        <x:v>异常用例</x:v>
      </x:c>
      <x:c r="F1099" s="15" t="str">
        <x:v>P1</x:v>
      </x:c>
      <x:c r="G1099" s="15" t="str">
        <x:v>验证余额扣减（用户视角）在“不逐笔追踪消费了哪次充值获得的金币”场景下的处理</x:v>
      </x:c>
      <x:c r="H1099" s="15" t="str">
        <x:v>不逐笔追踪消费了哪次充值获得的金币观察项</x:v>
      </x:c>
      <x:c r="I1099" s="15" t="str">
        <x:v>1. 普通用户账号及关联业务数据已准备，账号可进入当前页面</x:v>
      </x:c>
      <x:c r="J1099" s="15" t="str">
        <x:v>1. 使用普通用户账号从当前端导航进入【余额扣减（用户视角）】
2. 让余额包含多次充值和赠金后完成消费，查询余额扣减及订单明细的资金追踪字段
3. 刷新【余额扣减（用户视角）】，查询“不逐笔追踪消费了哪次充值获得的金币”对应的业务记录或界面反馈</x:v>
      </x:c>
      <x:c r="K1099" s="15" t="str">
        <x:v>系统不逐笔追踪消费使用了哪次充值获得的金币</x:v>
      </x:c>
      <x:c r="L1099" s="15" t="str">
        <x:v>FLOW-FIN-015-U</x:v>
      </x:c>
      <x:c r="M1099" s="15" t="str">
        <x:v>未测</x:v>
      </x:c>
      <x:c r="N1099" s="15" t="str"/>
      <x:c r="O1099" s="15" t="str">
        <x:v>1. 需求：REQ-FIN-015
2. 业务规则来源：需求规格说明.md:93
3. 原始问答：Q135
4. 入口证据：liveshow-proto/prototype/pages/user/wallet/balance-detail.html
5. 规则：BR-7D380A8A2F71EF
6. 基线场景：SCN-FIN-015-02-1
7. 补充前覆盖：未覆盖；最佳匹配 UWALLET-0019；预期分数 0.1765
8. 未动态验证</x:v>
      </x:c>
    </x:row>
    <x:row r="1100" ht="132" customHeight="1">
      <x:c r="A1100" s="15" t="n">
        <x:v>1099</x:v>
      </x:c>
      <x:c r="B1100" s="15" t="str">
        <x:v>IDN-U-0139</x:v>
      </x:c>
      <x:c r="C1100" s="15" t="str">
        <x:v>金币、礼物与订单</x:v>
      </x:c>
      <x:c r="D1100" s="15" t="str">
        <x:v>退款后余额（用户视角）</x:v>
      </x:c>
      <x:c r="E1100" s="15" t="str">
        <x:v>功能需求</x:v>
      </x:c>
      <x:c r="F1100" s="15" t="str">
        <x:v>P1</x:v>
      </x:c>
      <x:c r="G1100" s="15" t="str">
        <x:v>验证退款后余额（用户视角）在“充值订单退款时从当前余额扣除套餐本金金币与赠送金”场景下的处理</x:v>
      </x:c>
      <x:c r="H1100" s="15" t="str">
        <x:v>充值订单退款时从当前余额扣除套餐本金金币与赠送金观察项</x:v>
      </x:c>
      <x:c r="I1100" s="15" t="str">
        <x:v>1. 普通用户账号及关联业务数据已准备，账号可进入当前页面
2. 准备一笔已支付且满足退款或冲正条件的订单</x:v>
      </x:c>
      <x:c r="J1100" s="15" t="str">
        <x:v>1. 使用普通用户账号从当前端导航进入【退款后余额（用户视角）】
2. 记录退款前余额，对含本金金币和赠送金币的充值订单执行退款，再读取当前余额
3. 刷新【退款后余额（用户视角）】，查询“充值订单退款时从当前余额扣除套餐本金金币与赠送金”对应的业务记录或界面反馈</x:v>
      </x:c>
      <x:c r="K1100" s="15" t="str">
        <x:v>充值订单退款时从当前余额扣除套餐本金金币与赠送金币总额</x:v>
      </x:c>
      <x:c r="L1100" s="15" t="str">
        <x:v>FLOW-FIN-016-U</x:v>
      </x:c>
      <x:c r="M1100" s="15" t="str">
        <x:v>未测</x:v>
      </x:c>
      <x:c r="N1100" s="15" t="str"/>
      <x:c r="O1100" s="15" t="str">
        <x:v>1. 需求：REQ-FIN-016
2. 业务规则来源：需求规格说明.md:94
3. 原始问答：Q135
4. 入口证据：liveshow-proto/prototype/pages/user/wallet/balance-detail.html
5. 规则：BR-FF6FADC7D31624
6. 基线场景：SCN-FIN-016-01-1
7. 补充前覆盖：未覆盖；最佳匹配 UWALLET-0004；预期分数 0.25
8. 未动态验证</x:v>
      </x:c>
    </x:row>
    <x:row r="1101" ht="132" customHeight="1">
      <x:c r="A1101" s="15" t="n">
        <x:v>1100</x:v>
      </x:c>
      <x:c r="B1101" s="15" t="str">
        <x:v>IDN-U-0140</x:v>
      </x:c>
      <x:c r="C1101" s="15" t="str">
        <x:v>金币、礼物与订单</x:v>
      </x:c>
      <x:c r="D1101" s="15" t="str">
        <x:v>充值套餐展示（用户视角）</x:v>
      </x:c>
      <x:c r="E1101" s="15" t="str">
        <x:v>功能需求</x:v>
      </x:c>
      <x:c r="F1101" s="15" t="str">
        <x:v>P1</x:v>
      </x:c>
      <x:c r="G1101" s="15" t="str">
        <x:v>验证充值套餐展示（用户视角）在“用户入口 +xxx 金币”场景下的处理</x:v>
      </x:c>
      <x:c r="H1101" s="15" t="str">
        <x:v>用户入口 +xxx 金币观察项</x:v>
      </x:c>
      <x:c r="I1101" s="15" t="str">
        <x:v>1. 普通用户账号及关联业务数据已准备，账号可进入当前页面</x:v>
      </x:c>
      <x:c r="J1101" s="15" t="str">
        <x:v>1. 使用普通用户账号从当前端导航进入【充值套餐展示（用户视角）】
2. 后台录入套餐本金和赠送金币绝对值并保存，用户端刷新套餐卡片和最高赠送提示
3. 刷新【充值套餐展示（用户视角）】，查询“用户入口 +xxx 金币”对应的业务记录或界面反馈</x:v>
      </x:c>
      <x:c r="K1101" s="15" t="str">
        <x:v>用户入口显示 +xxx 金币</x:v>
      </x:c>
      <x:c r="L1101" s="15" t="str">
        <x:v>FLOW-FIN-017-U</x:v>
      </x:c>
      <x:c r="M1101" s="15" t="str">
        <x:v>未测</x:v>
      </x:c>
      <x:c r="N1101" s="15" t="str"/>
      <x:c r="O1101" s="15" t="str">
        <x:v>1. 需求：REQ-FIN-017
2. 业务规则来源：需求规格说明.md:95
3. 原始问答：Q137、Q139
4. 入口证据：liveshow-proto/prototype/pages/user/wallet/recharge.html
5. 规则：BR-B55C0937D17E68
6. 基线场景：SCN-FIN-017-03-1
7. 补充前覆盖：未覆盖；最佳匹配 ULIVE-0131；预期分数 0.09
8. 未动态验证</x:v>
      </x:c>
    </x:row>
    <x:row r="1102" ht="132" customHeight="1">
      <x:c r="A1102" s="15" t="n">
        <x:v>1101</x:v>
      </x:c>
      <x:c r="B1102" s="15" t="str">
        <x:v>IDN-U-0141</x:v>
      </x:c>
      <x:c r="C1102" s="15" t="str">
        <x:v>金币、礼物与订单</x:v>
      </x:c>
      <x:c r="D1102" s="15" t="str">
        <x:v>充值套餐展示（用户视角）</x:v>
      </x:c>
      <x:c r="E1102" s="15" t="str">
        <x:v>功能需求</x:v>
      </x:c>
      <x:c r="F1102" s="15" t="str">
        <x:v>P2</x:v>
      </x:c>
      <x:c r="G1102" s="15" t="str">
        <x:v>验证充值套餐展示（用户视角）在“用户入口提示各套餐中的最高赠送比例”场景下的处理</x:v>
      </x:c>
      <x:c r="H1102" s="15" t="str">
        <x:v>用户入口提示各套餐中的最高赠送比例观察项</x:v>
      </x:c>
      <x:c r="I1102" s="15" t="str">
        <x:v>1. 普通用户账号及关联业务数据已准备，账号可进入当前页面</x:v>
      </x:c>
      <x:c r="J1102" s="15" t="str">
        <x:v>1. 使用普通用户账号从当前端导航进入【充值套餐展示（用户视角）】
2. 后台录入套餐本金和赠送金币绝对值并保存，用户端刷新套餐卡片和最高赠送提示
3. 刷新【充值套餐展示（用户视角）】，查询“用户入口提示各套餐中的最高赠送比例”对应的业务记录或界面反馈</x:v>
      </x:c>
      <x:c r="K1102" s="15" t="str">
        <x:v>用户入口提示各套餐中的最高赠送比例</x:v>
      </x:c>
      <x:c r="L1102" s="15" t="str">
        <x:v>FLOW-FIN-017-U</x:v>
      </x:c>
      <x:c r="M1102" s="15" t="str">
        <x:v>未测</x:v>
      </x:c>
      <x:c r="N1102" s="15" t="str"/>
      <x:c r="O1102" s="15" t="str">
        <x:v>1. 需求：REQ-FIN-017
2. 业务规则来源：需求规格说明.md:95
3. 原始问答：Q137、Q139
4. 入口证据：liveshow-proto/prototype/pages/user/wallet/recharge.html
5. 规则：BR-9B1477983CB5C1
6. 基线场景：SCN-FIN-017-04-1
7. 补充前覆盖：未覆盖；最佳匹配 UPROF-0090；预期分数 0.2657
8. 未动态验证</x:v>
      </x:c>
    </x:row>
    <x:row r="1103" ht="132" customHeight="1">
      <x:c r="A1103" s="15" t="n">
        <x:v>1102</x:v>
      </x:c>
      <x:c r="B1103" s="15" t="str">
        <x:v>IDN-U-0142</x:v>
      </x:c>
      <x:c r="C1103" s="15" t="str">
        <x:v>金币、礼物与订单</x:v>
      </x:c>
      <x:c r="D1103" s="15" t="str">
        <x:v>运营账号资金限制（运营账号视角）</x:v>
      </x:c>
      <x:c r="E1103" s="15" t="str">
        <x:v>异常用例</x:v>
      </x:c>
      <x:c r="F1103" s="15" t="str">
        <x:v>P1</x:v>
      </x:c>
      <x:c r="G1103" s="15" t="str">
        <x:v>验证运营账号资金限制（运营账号视角）在“运营账号不持有真实金币”场景下的处理</x:v>
      </x:c>
      <x:c r="H1103" s="15" t="str">
        <x:v>运营账号不持有真实金币观察项</x:v>
      </x:c>
      <x:c r="I1103" s="15" t="str">
        <x:v>1. 运营账号账号及关联业务数据已准备，账号可进入当前页面</x:v>
      </x:c>
      <x:c r="J1103" s="15" t="str">
        <x:v>1. 使用运营账号账号从当前端导航进入【运营账号资金限制（运营账号视角）】
2. 使用运营账号分别查看余额、尝试充值、领取任务和发送幸运礼物；公会与后台同时核对发放记录
3. 刷新【运营账号资金限制（运营账号视角）】，查询“运营账号不持有真实金币”对应的业务记录或界面反馈</x:v>
      </x:c>
      <x:c r="K1103" s="15" t="str">
        <x:v>运营账号不持有真实金币</x:v>
      </x:c>
      <x:c r="L1103" s="15" t="str">
        <x:v>FLOW-FIN-018-U</x:v>
      </x:c>
      <x:c r="M1103" s="15" t="str">
        <x:v>未测</x:v>
      </x:c>
      <x:c r="N1103" s="15" t="str"/>
      <x:c r="O1103" s="15" t="str">
        <x:v>1. 需求：REQ-FIN-018
2. 业务规则来源：需求规格说明.md:96
3. 原始问答：Q111
4. 入口证据：liveshow-proto/prototype/pages/user/wallet/balance-detail.html
5. 规则：BR-B2C17E73661E6D
6. 基线场景：SCN-FIN-018-01-1
7. 补充前覆盖：部分覆盖；最佳匹配 ULIVE-0132；预期分数 0.35
8. 未动态验证</x:v>
      </x:c>
    </x:row>
    <x:row r="1104" ht="132" customHeight="1">
      <x:c r="A1104" s="15" t="n">
        <x:v>1103</x:v>
      </x:c>
      <x:c r="B1104" s="15" t="str">
        <x:v>IDN-U-0143</x:v>
      </x:c>
      <x:c r="C1104" s="15" t="str">
        <x:v>金币、礼物与订单</x:v>
      </x:c>
      <x:c r="D1104" s="15" t="str">
        <x:v>运营账号资金限制（运营账号视角）</x:v>
      </x:c>
      <x:c r="E1104" s="15" t="str">
        <x:v>异常用例</x:v>
      </x:c>
      <x:c r="F1104" s="15" t="str">
        <x:v>P1</x:v>
      </x:c>
      <x:c r="G1104" s="15" t="str">
        <x:v>验证运营账号资金限制（运营账号视角）在“运营账号充值”场景下的处理</x:v>
      </x:c>
      <x:c r="H1104" s="15" t="str">
        <x:v>运营账号充值观察项</x:v>
      </x:c>
      <x:c r="I1104" s="15" t="str">
        <x:v>1. 运营账号账号及关联业务数据已准备，账号可进入当前页面</x:v>
      </x:c>
      <x:c r="J1104" s="15" t="str">
        <x:v>1. 使用运营账号账号从当前端导航进入【运营账号资金限制（运营账号视角）】
2. 使用运营账号分别查看余额、尝试充值、领取任务和发送幸运礼物；公会与后台同时核对发放记录
3. 刷新【运营账号资金限制（运营账号视角）】，查询“运营账号充值”对应的业务记录或界面反馈</x:v>
      </x:c>
      <x:c r="K1104" s="15" t="str">
        <x:v>运营账号不能充值</x:v>
      </x:c>
      <x:c r="L1104" s="15" t="str">
        <x:v>FLOW-FIN-018-U</x:v>
      </x:c>
      <x:c r="M1104" s="15" t="str">
        <x:v>未测</x:v>
      </x:c>
      <x:c r="N1104" s="15" t="str"/>
      <x:c r="O1104" s="15" t="str">
        <x:v>1. 需求：REQ-FIN-018
2. 业务规则来源：需求规格说明.md:96
3. 原始问答：Q111
4. 入口证据：liveshow-proto/prototype/pages/user/wallet/balance-detail.html
5. 规则：BR-8019DA45A20D01
6. 基线场景：SCN-FIN-018-03-1
7. 补充前覆盖：未覆盖；最佳匹配 UHOME-0007；预期分数 0.5821
8. 未动态验证</x:v>
      </x:c>
    </x:row>
    <x:row r="1105" ht="132" customHeight="1">
      <x:c r="A1105" s="15" t="n">
        <x:v>1104</x:v>
      </x:c>
      <x:c r="B1105" s="15" t="str">
        <x:v>IDN-U-0144</x:v>
      </x:c>
      <x:c r="C1105" s="15" t="str">
        <x:v>金币、礼物与订单</x:v>
      </x:c>
      <x:c r="D1105" s="15" t="str">
        <x:v>运营账号资金限制（运营账号视角）</x:v>
      </x:c>
      <x:c r="E1105" s="15" t="str">
        <x:v>异常用例</x:v>
      </x:c>
      <x:c r="F1105" s="15" t="str">
        <x:v>P1</x:v>
      </x:c>
      <x:c r="G1105" s="15" t="str">
        <x:v>验证运营账号资金限制（运营账号视角）在“运营账号发送幸运礼物”场景下的处理</x:v>
      </x:c>
      <x:c r="H1105" s="15" t="str">
        <x:v>运营账号发送幸运礼物观察项</x:v>
      </x:c>
      <x:c r="I1105" s="15" t="str">
        <x:v>1. 运营账号账号及关联业务数据已准备，账号可进入当前页面</x:v>
      </x:c>
      <x:c r="J1105" s="15" t="str">
        <x:v>1. 使用运营账号账号从当前端导航进入【运营账号资金限制（运营账号视角）】
2. 使用运营账号分别查看余额、尝试充值、领取任务和发送幸运礼物；公会与后台同时核对发放记录
3. 刷新【运营账号资金限制（运营账号视角）】，查询“运营账号发送幸运礼物”对应的业务记录或界面反馈</x:v>
      </x:c>
      <x:c r="K1105" s="15" t="str">
        <x:v>运营账号不能发送幸运礼物</x:v>
      </x:c>
      <x:c r="L1105" s="15" t="str">
        <x:v>FLOW-FIN-018-U</x:v>
      </x:c>
      <x:c r="M1105" s="15" t="str">
        <x:v>未测</x:v>
      </x:c>
      <x:c r="N1105" s="15" t="str"/>
      <x:c r="O1105" s="15" t="str">
        <x:v>1. 需求：REQ-FIN-018
2. 业务规则来源：需求规格说明.md:96
3. 原始问答：Q111
4. 入口证据：liveshow-proto/prototype/pages/user/wallet/balance-detail.html
5. 规则：BR-E19A94D31FDA56
6. 基线场景：SCN-FIN-018-05-1
7. 补充前覆盖：未覆盖；最佳匹配 ULIVE-0132；预期分数 0.3127
8. 未动态验证</x:v>
      </x:c>
    </x:row>
    <x:row r="1106" ht="132" customHeight="1">
      <x:c r="A1106" s="15" t="n">
        <x:v>1105</x:v>
      </x:c>
      <x:c r="B1106" s="15" t="str">
        <x:v>IDN-U-0145</x:v>
      </x:c>
      <x:c r="C1106" s="15" t="str">
        <x:v>金币、礼物与订单</x:v>
      </x:c>
      <x:c r="D1106" s="15" t="str">
        <x:v>直播间密码（主播视角）</x:v>
      </x:c>
      <x:c r="E1106" s="15" t="str">
        <x:v>功能需求</x:v>
      </x:c>
      <x:c r="F1106" s="15" t="str">
        <x:v>P1</x:v>
      </x:c>
      <x:c r="G1106" s="15" t="str">
        <x:v>验证直播间密码（主播视角）在“直播间密码只接受数字”场景下的处理</x:v>
      </x:c>
      <x:c r="H1106" s="15" t="str">
        <x:v>直播间密码只接受数字观察项</x:v>
      </x:c>
      <x:c r="I1106" s="15" t="str">
        <x:v>1. 主播账号及关联业务数据已准备，账号可进入当前页面</x:v>
      </x:c>
      <x:c r="J1106" s="15" t="str">
        <x:v>1. 使用主播账号从当前端导航进入【直播间密码（主播视角）】
2. 主播在开播设置中分别输入纯数字密码和含字母或符号的密码并提交
3. 刷新【直播间密码（主播视角）】，查询“直播间密码只接受数字”对应的业务记录或界面反馈</x:v>
      </x:c>
      <x:c r="K1106" s="15" t="str">
        <x:v>直播间密码只接受数字</x:v>
      </x:c>
      <x:c r="L1106" s="15" t="str"/>
      <x:c r="M1106" s="15" t="str">
        <x:v>未测</x:v>
      </x:c>
      <x:c r="N1106" s="15" t="str"/>
      <x:c r="O1106" s="15" t="str">
        <x:v>1. 需求：REQ-FIN-019
2. 业务规则来源：需求规格说明.md:97
3. 原始问答：Q071
4. 入口证据：liveshow-proto/prototype/pages/user/host/start-live-settings.html
5. 规则：BR-2499F2B5756BA7
6. 基线场景：SCN-FIN-019-01-1
7. 补充前覆盖：部分覆盖；最佳匹配 ULIVE-0259；预期分数 0.4125
8. 未动态验证</x:v>
      </x:c>
    </x:row>
    <x:row r="1107" ht="132" customHeight="1">
      <x:c r="A1107" s="15" t="n">
        <x:v>1106</x:v>
      </x:c>
      <x:c r="B1107" s="15" t="str">
        <x:v>IDN-U-0146</x:v>
      </x:c>
      <x:c r="C1107" s="15" t="str">
        <x:v>金币、礼物与订单</x:v>
      </x:c>
      <x:c r="D1107" s="15" t="str">
        <x:v>直播间密码（主播视角）</x:v>
      </x:c>
      <x:c r="E1107" s="15" t="str">
        <x:v>异常用例</x:v>
      </x:c>
      <x:c r="F1107" s="15" t="str">
        <x:v>P1</x:v>
      </x:c>
      <x:c r="G1107" s="15" t="str">
        <x:v>验证直播间密码（主播视角）在“直播间密码拒绝非数字字符”场景下的处理</x:v>
      </x:c>
      <x:c r="H1107" s="15" t="str">
        <x:v>直播间密码拒绝非数字字符观察项</x:v>
      </x:c>
      <x:c r="I1107" s="15" t="str">
        <x:v>1. 主播账号及关联业务数据已准备，账号可进入当前页面</x:v>
      </x:c>
      <x:c r="J1107" s="15" t="str">
        <x:v>1. 使用主播账号从当前端导航进入【直播间密码（主播视角）】
2. 主播在开播设置中分别输入纯数字密码和含字母或符号的密码并提交
3. 刷新【直播间密码（主播视角）】，查询“直播间密码拒绝非数字字符”对应的业务记录或界面反馈</x:v>
      </x:c>
      <x:c r="K1107" s="15" t="str">
        <x:v>直播间密码拒绝非数字字符</x:v>
      </x:c>
      <x:c r="L1107" s="15" t="str"/>
      <x:c r="M1107" s="15" t="str">
        <x:v>未测</x:v>
      </x:c>
      <x:c r="N1107" s="15" t="str"/>
      <x:c r="O1107" s="15" t="str">
        <x:v>1. 需求：REQ-FIN-019
2. 业务规则来源：需求规格说明.md:97
3. 原始问答：Q071
4. 入口证据：liveshow-proto/prototype/pages/user/host/start-live-settings.html
5. 规则：BR-5CD257F99A2E04
6. 基线场景：SCN-FIN-019-02-1
7. 补充前覆盖：未覆盖；最佳匹配 ULIVE-0270；预期分数 0.25
8. 未动态验证</x:v>
      </x:c>
    </x:row>
    <x:row r="1108" ht="132" customHeight="1">
      <x:c r="A1108" s="15" t="n">
        <x:v>1107</x:v>
      </x:c>
      <x:c r="B1108" s="15" t="str">
        <x:v>IDN-U-0147</x:v>
      </x:c>
      <x:c r="C1108" s="15" t="str">
        <x:v>任务与等级</x:v>
      </x:c>
      <x:c r="D1108" s="15" t="str">
        <x:v>连续登录任务（用户视角）</x:v>
      </x:c>
      <x:c r="E1108" s="15" t="str">
        <x:v>功能需求</x:v>
      </x:c>
      <x:c r="F1108" s="15" t="str">
        <x:v>P2</x:v>
      </x:c>
      <x:c r="G1108" s="15" t="str">
        <x:v>验证连续登录任务（用户视角）在“本期只提供连续登录奖励任务”场景下的处理</x:v>
      </x:c>
      <x:c r="H1108" s="15" t="str">
        <x:v>本期只提供连续登录奖励任务观察项</x:v>
      </x:c>
      <x:c r="I1108" s="15" t="str">
        <x:v>1. 普通用户账号及关联业务数据已准备，账号可进入当前页面</x:v>
      </x:c>
      <x:c r="J1108" s="15" t="str">
        <x:v>1. 使用普通用户账号从当前端导航进入【连续登录任务（用户视角）】
2. 后台进入任务配置检查新建入口及可编辑字段，用户端打开全部任务列表
3. 刷新【连续登录任务（用户视角）】，查询“本期只提供连续登录奖励任务”对应的业务记录或界面反馈</x:v>
      </x:c>
      <x:c r="K1108" s="15" t="str">
        <x:v>本期只提供连续登录奖励任务</x:v>
      </x:c>
      <x:c r="L1108" s="15" t="str"/>
      <x:c r="M1108" s="15" t="str">
        <x:v>未测</x:v>
      </x:c>
      <x:c r="N1108" s="15" t="str"/>
      <x:c r="O1108" s="15" t="str">
        <x:v>1. 需求：REQ-TASK-001
2. 业务规则来源：需求规格说明.md:103
3. 原始问答：Q077
4. 入口证据：liveshow-proto/prototype/pages/user/home/all-tasks.html
5. 规则：BR-57654D443DF122
6. 基线场景：SCN-TASK-001-02-1
7. 补充前覆盖：未覆盖；最佳匹配 UHOME-0022；预期分数 0.2159
8. 未动态验证</x:v>
      </x:c>
    </x:row>
    <x:row r="1109" ht="132" customHeight="1">
      <x:c r="A1109" s="15" t="n">
        <x:v>1108</x:v>
      </x:c>
      <x:c r="B1109" s="15" t="str">
        <x:v>IDN-U-0148</x:v>
      </x:c>
      <x:c r="C1109" s="15" t="str">
        <x:v>任务与等级</x:v>
      </x:c>
      <x:c r="D1109" s="15" t="str">
        <x:v>邀请与任务奖励（用户视角）</x:v>
      </x:c>
      <x:c r="E1109" s="15" t="str">
        <x:v>功能需求</x:v>
      </x:c>
      <x:c r="F1109" s="15" t="str">
        <x:v>P2</x:v>
      </x:c>
      <x:c r="G1109" s="15" t="str">
        <x:v>验证邀请与任务奖励（用户视角）在“邀请奖励固定规则”场景下的处理</x:v>
      </x:c>
      <x:c r="H1109" s="15" t="str">
        <x:v>邀请奖励固定规则观察项</x:v>
      </x:c>
      <x:c r="I1109" s="15" t="str">
        <x:v>1. 普通用户账号及关联业务数据已准备，账号可进入当前页面</x:v>
      </x:c>
      <x:c r="J1109" s="15" t="str">
        <x:v>1. 使用普通用户账号从当前端导航进入【邀请与任务奖励（用户视角）】
2. 分别打开邀请奖励和普通任务奖励配置，尝试修改规则并在用户端刷新
3. 刷新【邀请与任务奖励（用户视角）】，查询“邀请奖励固定规则”对应的业务记录或界面反馈</x:v>
      </x:c>
      <x:c r="K1109" s="15" t="str">
        <x:v>邀请奖励使用固定规则</x:v>
      </x:c>
      <x:c r="L1109" s="15" t="str">
        <x:v>FLOW-TASK-003-U</x:v>
      </x:c>
      <x:c r="M1109" s="15" t="str">
        <x:v>未测</x:v>
      </x:c>
      <x:c r="N1109" s="15" t="str"/>
      <x:c r="O1109" s="15" t="str">
        <x:v>1. 需求：REQ-TASK-003
2. 业务规则来源：需求规格说明.md:105
3. 原始问答：Q081
4. 入口证据：liveshow-proto/prototype/pages/user/home/invite-friends.html
5. 规则：BR-36BFE65D4A1C9F
6. 基线场景：SCN-TASK-003-01-1
7. 补充前覆盖：部分覆盖；最佳匹配 UPROF-0070；预期分数 0.3625
8. 未动态验证</x:v>
      </x:c>
    </x:row>
    <x:row r="1110" ht="132" customHeight="1">
      <x:c r="A1110" s="15" t="n">
        <x:v>1109</x:v>
      </x:c>
      <x:c r="B1110" s="15" t="str">
        <x:v>IDN-U-0149</x:v>
      </x:c>
      <x:c r="C1110" s="15" t="str">
        <x:v>任务与等级</x:v>
      </x:c>
      <x:c r="D1110" s="15" t="str">
        <x:v>新增奖励档位（用户视角）</x:v>
      </x:c>
      <x:c r="E1110" s="15" t="str">
        <x:v>功能需求</x:v>
      </x:c>
      <x:c r="F1110" s="15" t="str">
        <x:v>P2</x:v>
      </x:c>
      <x:c r="G1110" s="15" t="str">
        <x:v>验证新增奖励档位（用户视角）在“用户达到较高档位后新增较低档位时立即具备领取新增”场景下的处理</x:v>
      </x:c>
      <x:c r="H1110" s="15" t="str">
        <x:v>用户达到较高档位后新增较低档位时立即具备领取新增观察项</x:v>
      </x:c>
      <x:c r="I1110" s="15" t="str">
        <x:v>1. 普通用户账号及关联业务数据已准备，账号可进入当前页面</x:v>
      </x:c>
      <x:c r="J1110" s="15" t="str">
        <x:v>1. 使用普通用户账号从当前端导航进入【新增奖励档位（用户视角）】
2. 先让用户达到较高档位，再由后台新增较低档位并保存，用户端立即刷新任务页
3. 刷新【新增奖励档位（用户视角）】，查询“用户达到较高档位后新增较低档位时立即具备领取新增”对应的业务记录或界面反馈</x:v>
      </x:c>
      <x:c r="K1110" s="15" t="str">
        <x:v>用户达到较高档位后新增较低档位时立即具备领取新增档位奖励的资格</x:v>
      </x:c>
      <x:c r="L1110" s="15" t="str">
        <x:v>FLOW-TASK-004-U</x:v>
      </x:c>
      <x:c r="M1110" s="15" t="str">
        <x:v>未测</x:v>
      </x:c>
      <x:c r="N1110" s="15" t="str"/>
      <x:c r="O1110" s="15" t="str">
        <x:v>1. 需求：REQ-TASK-004
2. 业务规则来源：需求规格说明.md:106
3. 原始问答：Q084
4. 入口证据：liveshow-proto/prototype/pages/user/home/all-tasks.html
5. 规则：BR-8535E11386E582
6. 基线场景：SCN-TASK-004-01-1
7. 补充前覆盖：未覆盖；最佳匹配 UHOME-0002；预期分数 0.1391
8. 未动态验证</x:v>
      </x:c>
    </x:row>
    <x:row r="1111" ht="132" customHeight="1">
      <x:c r="A1111" s="15" t="n">
        <x:v>1110</x:v>
      </x:c>
      <x:c r="B1111" s="15" t="str">
        <x:v>IDN-U-0150</x:v>
      </x:c>
      <x:c r="C1111" s="15" t="str">
        <x:v>任务与等级</x:v>
      </x:c>
      <x:c r="D1111" s="15" t="str">
        <x:v>奖励领取顺序（用户视角）</x:v>
      </x:c>
      <x:c r="E1111" s="15" t="str">
        <x:v>功能需求</x:v>
      </x:c>
      <x:c r="F1111" s="15" t="str">
        <x:v>P2</x:v>
      </x:c>
      <x:c r="G1111" s="15" t="str">
        <x:v>验证奖励领取顺序（用户视角）在“用户同时达到多个档位时优先最早尚未领取的档位奖励”场景下的处理</x:v>
      </x:c>
      <x:c r="H1111" s="15" t="str">
        <x:v>用户同时达到多个档位时优先最早尚未领取的档位奖励观察项</x:v>
      </x:c>
      <x:c r="I1111" s="15" t="str">
        <x:v>1. 普通用户账号及关联业务数据已准备，账号可进入当前页面</x:v>
      </x:c>
      <x:c r="J1111" s="15" t="str">
        <x:v>1. 使用普通用户账号从当前端导航进入【奖励领取顺序（用户视角）】
2. 让用户同时达到多个未领取档位，重新进入任务页并记录优先展示项
3. 刷新【奖励领取顺序（用户视角）】，查询“用户同时达到多个档位时优先最早尚未领取的档位奖励”对应的业务记录或界面反馈</x:v>
      </x:c>
      <x:c r="K1111" s="15" t="str">
        <x:v>用户同时达到多个档位时优先展示最早尚未领取的档位奖励</x:v>
      </x:c>
      <x:c r="L1111" s="15" t="str"/>
      <x:c r="M1111" s="15" t="str">
        <x:v>未测</x:v>
      </x:c>
      <x:c r="N1111" s="15" t="str"/>
      <x:c r="O1111" s="15" t="str">
        <x:v>1. 需求：REQ-TASK-005
2. 业务规则来源：需求规格说明.md:107
3. 原始问答：Q117
4. 入口证据：liveshow-proto/prototype/pages/user/home/all-tasks.html
5. 规则：BR-E44B17505509CA
6. 基线场景：SCN-TASK-005-01-1
7. 补充前覆盖：未覆盖；最佳匹配 UHOME-0002；预期分数 0.145
8. 未动态验证</x:v>
      </x:c>
    </x:row>
    <x:row r="1112" ht="132" customHeight="1">
      <x:c r="A1112" s="15" t="n">
        <x:v>1111</x:v>
      </x:c>
      <x:c r="B1112" s="15" t="str">
        <x:v>IDN-U-0151</x:v>
      </x:c>
      <x:c r="C1112" s="15" t="str">
        <x:v>任务与等级</x:v>
      </x:c>
      <x:c r="D1112" s="15" t="str">
        <x:v>每日任务奖励（用户视角）</x:v>
      </x:c>
      <x:c r="E1112" s="15" t="str">
        <x:v>异常用例</x:v>
      </x:c>
      <x:c r="F1112" s="15" t="str">
        <x:v>P2</x:v>
      </x:c>
      <x:c r="G1112" s="15" t="str">
        <x:v>验证每日任务奖励（用户视角）在“每日任务当日达成未领取的奖励次日清空并作废”场景下的处理</x:v>
      </x:c>
      <x:c r="H1112" s="15" t="str">
        <x:v>每日任务当日达成未领取的奖励次日清空并作废观察项</x:v>
      </x:c>
      <x:c r="I1112" s="15" t="str">
        <x:v>1. 普通用户账号及关联业务数据已准备，账号可进入当前页面</x:v>
      </x:c>
      <x:c r="J1112" s="15" t="str">
        <x:v>1. 使用普通用户账号从当前端导航进入【每日任务奖励（用户视角）】
2. 用户当日完成每日任务但不领取，跨日后刷新；另完成一项任务后不点击领取检查余额
3. 刷新【每日任务奖励（用户视角）】，查询“每日任务当日达成未领取的奖励次日清空并作废”对应的业务记录或界面反馈</x:v>
      </x:c>
      <x:c r="K1112" s="15" t="str">
        <x:v>每日任务当日达成未领取的奖励次日清空并作废</x:v>
      </x:c>
      <x:c r="L1112" s="15" t="str"/>
      <x:c r="M1112" s="15" t="str">
        <x:v>未测</x:v>
      </x:c>
      <x:c r="N1112" s="15" t="str"/>
      <x:c r="O1112" s="15" t="str">
        <x:v>1. 需求：REQ-TASK-006
2. 业务规则来源：需求规格说明.md:108
3. 原始问答：Q117、Q118
4. 入口证据：liveshow-proto/prototype/pages/user/home/all-tasks.html
5. 规则：BR-1844169F9B18A4
6. 基线场景：SCN-TASK-006-01-1
7. 补充前覆盖：未覆盖；最佳匹配 UHOME-0002；预期分数 0.1675
8. 未动态验证</x:v>
      </x:c>
    </x:row>
    <x:row r="1113" ht="132" customHeight="1">
      <x:c r="A1113" s="15" t="n">
        <x:v>1112</x:v>
      </x:c>
      <x:c r="B1113" s="15" t="str">
        <x:v>IDN-U-0152</x:v>
      </x:c>
      <x:c r="C1113" s="15" t="str">
        <x:v>任务与等级</x:v>
      </x:c>
      <x:c r="D1113" s="15" t="str">
        <x:v>每日任务奖励（用户视角）</x:v>
      </x:c>
      <x:c r="E1113" s="15" t="str">
        <x:v>功能需求</x:v>
      </x:c>
      <x:c r="F1113" s="15" t="str">
        <x:v>P2</x:v>
      </x:c>
      <x:c r="G1113" s="15" t="str">
        <x:v>验证每日任务奖励（用户视角）在“任务奖励由用户主动领取”场景下的处理</x:v>
      </x:c>
      <x:c r="H1113" s="15" t="str">
        <x:v>任务奖励由用户主动领取观察项</x:v>
      </x:c>
      <x:c r="I1113" s="15" t="str">
        <x:v>1. 普通用户账号及关联业务数据已准备，账号可进入当前页面</x:v>
      </x:c>
      <x:c r="J1113" s="15" t="str">
        <x:v>1. 使用普通用户账号从当前端导航进入【每日任务奖励（用户视角）】
2. 用户当日完成每日任务但不领取，跨日后刷新；另完成一项任务后不点击领取检查余额
3. 刷新【每日任务奖励（用户视角）】，查询“任务奖励由用户主动领取”对应的业务记录或界面反馈</x:v>
      </x:c>
      <x:c r="K1113" s="15" t="str">
        <x:v>任务奖励必须由用户主动领取</x:v>
      </x:c>
      <x:c r="L1113" s="15" t="str"/>
      <x:c r="M1113" s="15" t="str">
        <x:v>未测</x:v>
      </x:c>
      <x:c r="N1113" s="15" t="str"/>
      <x:c r="O1113" s="15" t="str">
        <x:v>1. 需求：REQ-TASK-006
2. 业务规则来源：需求规格说明.md:108
3. 原始问答：Q117、Q118
4. 入口证据：liveshow-proto/prototype/pages/user/home/all-tasks.html
5. 规则：BR-624B4F31AD0153
6. 基线场景：SCN-TASK-006-02-1
7. 补充前覆盖：部分覆盖；最佳匹配 UHOME-0002；预期分数 0.38
8. 未动态验证</x:v>
      </x:c>
    </x:row>
    <x:row r="1114" ht="132" customHeight="1">
      <x:c r="A1114" s="15" t="n">
        <x:v>1113</x:v>
      </x:c>
      <x:c r="B1114" s="15" t="str">
        <x:v>IDN-U-0153</x:v>
      </x:c>
      <x:c r="C1114" s="15" t="str">
        <x:v>任务与等级</x:v>
      </x:c>
      <x:c r="D1114" s="15" t="str">
        <x:v>连续登录奖励（用户视角）</x:v>
      </x:c>
      <x:c r="E1114" s="15" t="str">
        <x:v>功能需求</x:v>
      </x:c>
      <x:c r="F1114" s="15" t="str">
        <x:v>P2</x:v>
      </x:c>
      <x:c r="G1114" s="15" t="str">
        <x:v>验证连续登录奖励（用户视角）在“连续登录达到配置最高第 z 天后继续按第 z 天”场景下的处理</x:v>
      </x:c>
      <x:c r="H1114" s="15" t="str">
        <x:v>连续登录达到配置最高第 z 天后继续按第 z 天观察项</x:v>
      </x:c>
      <x:c r="I1114" s="15" t="str">
        <x:v>1. 普通用户账号及关联业务数据已准备，账号可进入当前页面</x:v>
      </x:c>
      <x:c r="J1114" s="15" t="str">
        <x:v>1. 使用普通用户账号从当前端导航进入【连续登录奖励（用户视角）】
2. 后台将连续登录最高档配置到第 z 天，用户连续登录到 z+1 天及以后并领取奖励
3. 刷新【连续登录奖励（用户视角）】，查询“连续登录达到配置最高第 z 天后继续按第 z 天”对应的业务记录或界面反馈</x:v>
      </x:c>
      <x:c r="K1114" s="15" t="str">
        <x:v>连续登录达到配置最高第 z 天后继续按第 z 天最高档奖励发放</x:v>
      </x:c>
      <x:c r="L1114" s="15" t="str">
        <x:v>FLOW-TASK-007-U</x:v>
      </x:c>
      <x:c r="M1114" s="15" t="str">
        <x:v>未测</x:v>
      </x:c>
      <x:c r="N1114" s="15" t="str"/>
      <x:c r="O1114" s="15" t="str">
        <x:v>1. 需求：REQ-TASK-007
2. 业务规则来源：需求规格说明.md:109
3. 原始问答：Q140
4. 入口证据：liveshow-proto/prototype/pages/user/home/all-tasks.html
5. 规则：BR-EB80AC4D5A2F04
6. 基线场景：SCN-TASK-007-01-1
7. 补充前覆盖：未覆盖；最佳匹配 UHOME-0022；预期分数 0.1579
8. 未动态验证</x:v>
      </x:c>
    </x:row>
    <x:row r="1115" ht="132" customHeight="1">
      <x:c r="A1115" s="15" t="n">
        <x:v>1114</x:v>
      </x:c>
      <x:c r="B1115" s="15" t="str">
        <x:v>IDN-U-0154</x:v>
      </x:c>
      <x:c r="C1115" s="15" t="str">
        <x:v>任务与等级</x:v>
      </x:c>
      <x:c r="D1115" s="15" t="str">
        <x:v>财富等级（用户视角）</x:v>
      </x:c>
      <x:c r="E1115" s="15" t="str">
        <x:v>功能需求</x:v>
      </x:c>
      <x:c r="F1115" s="15" t="str">
        <x:v>P2</x:v>
      </x:c>
      <x:c r="G1115" s="15" t="str">
        <x:v>验证财富等级（用户视角）在“财富等级与用户累计打赏金额相关”场景下的处理</x:v>
      </x:c>
      <x:c r="H1115" s="15" t="str">
        <x:v>财富等级与用户累计打赏金额相关观察项</x:v>
      </x:c>
      <x:c r="I1115" s="15" t="str">
        <x:v>1. 普通用户账号及关联业务数据已准备，账号可进入当前页面</x:v>
      </x:c>
      <x:c r="J1115" s="15" t="str">
        <x:v>1. 使用普通用户账号从当前端导航进入【财富等级（用户视角）】
2. 准备累计打赏金额不同的用户，刷新财富等级并在后台核对等级数据
3. 刷新【财富等级（用户视角）】，查询“财富等级与用户累计打赏金额相关”对应的业务记录或界面反馈</x:v>
      </x:c>
      <x:c r="K1115" s="15" t="str">
        <x:v>财富等级与用户累计打赏金额相关</x:v>
      </x:c>
      <x:c r="L1115" s="15" t="str"/>
      <x:c r="M1115" s="15" t="str">
        <x:v>未测</x:v>
      </x:c>
      <x:c r="N1115" s="15" t="str"/>
      <x:c r="O1115" s="15" t="str">
        <x:v>1. 需求：REQ-TASK-009
2. 业务规则来源：需求规格说明.md:111
3. 原始问答：Q142
4. 入口证据：liveshow-proto/prototype/pages/user/profile/profile.html
5. 规则：BR-D892A47D57FFD1
6. 基线场景：SCN-TASK-009-01-1
7. 补充前覆盖：部分覆盖；最佳匹配 UPROF-0094；预期分数 0.43
8. 未动态验证</x:v>
      </x:c>
    </x:row>
    <x:row r="1116" ht="132" customHeight="1">
      <x:c r="A1116" s="15" t="n">
        <x:v>1115</x:v>
      </x:c>
      <x:c r="B1116" s="15" t="str">
        <x:v>IDN-U-0155</x:v>
      </x:c>
      <x:c r="C1116" s="15" t="str">
        <x:v>公会与运营</x:v>
      </x:c>
      <x:c r="D1116" s="15" t="str">
        <x:v>公会推荐（用户视角）</x:v>
      </x:c>
      <x:c r="E1116" s="15" t="str">
        <x:v>异常用例</x:v>
      </x:c>
      <x:c r="F1116" s="15" t="str">
        <x:v>P2</x:v>
      </x:c>
      <x:c r="G1116" s="15" t="str">
        <x:v>验证公会推荐（用户视角）在“公会停用时从公会推荐中移除”场景下的处理</x:v>
      </x:c>
      <x:c r="H1116" s="15" t="str">
        <x:v>公会停用时从公会推荐中移除观察项</x:v>
      </x:c>
      <x:c r="I1116" s="15" t="str">
        <x:v>1. 普通用户账号及关联业务数据已准备，账号可进入当前页面</x:v>
      </x:c>
      <x:c r="J1116" s="15" t="str">
        <x:v>1. 使用普通用户账号从当前端导航进入【公会推荐（用户视角）】
2. 后台停用当前推荐公会并刷新用户端推荐，再重新启用该公会并再次刷新
3. 刷新【公会推荐（用户视角）】，查询“公会停用时从公会推荐中移除”对应的业务记录或界面反馈</x:v>
      </x:c>
      <x:c r="K1116" s="15" t="str">
        <x:v>公会停用时自动从公会推荐中移除</x:v>
      </x:c>
      <x:c r="L1116" s="15" t="str">
        <x:v>FLOW-GUILD-001-U</x:v>
      </x:c>
      <x:c r="M1116" s="15" t="str">
        <x:v>未测</x:v>
      </x:c>
      <x:c r="N1116" s="15" t="str"/>
      <x:c r="O1116" s="15" t="str">
        <x:v>1. 需求：REQ-GUILD-001
2. 业务规则来源：需求规格说明.md:117
3. 原始问答：Q079
4. 入口证据：liveshow-proto/prototype/pages/user/home/live-plaza.html
5. 规则：BR-EAC4DF649A0C29
6. 基线场景：SCN-GUILD-001-01-1
7. 补充前覆盖：未覆盖；最佳匹配 UGUILD-0031；预期分数 0.1692
8. 未动态验证</x:v>
      </x:c>
    </x:row>
    <x:row r="1117" ht="132" customHeight="1">
      <x:c r="A1117" s="15" t="n">
        <x:v>1116</x:v>
      </x:c>
      <x:c r="B1117" s="15" t="str">
        <x:v>IDN-U-0156</x:v>
      </x:c>
      <x:c r="C1117" s="15" t="str">
        <x:v>公会与运营</x:v>
      </x:c>
      <x:c r="D1117" s="15" t="str">
        <x:v>公会推荐（用户视角）</x:v>
      </x:c>
      <x:c r="E1117" s="15" t="str">
        <x:v>异常用例</x:v>
      </x:c>
      <x:c r="F1117" s="15" t="str">
        <x:v>P2</x:v>
      </x:c>
      <x:c r="G1117" s="15" t="str">
        <x:v>验证公会推荐（用户视角）在“公会重新启用时不恢复原推荐”场景下的处理</x:v>
      </x:c>
      <x:c r="H1117" s="15" t="str">
        <x:v>公会重新启用时不恢复原推荐观察项</x:v>
      </x:c>
      <x:c r="I1117" s="15" t="str">
        <x:v>1. 普通用户账号及关联业务数据已准备，账号可进入当前页面</x:v>
      </x:c>
      <x:c r="J1117" s="15" t="str">
        <x:v>1. 使用普通用户账号从当前端导航进入【公会推荐（用户视角）】
2. 后台停用当前推荐公会并刷新用户端推荐，再重新启用该公会并再次刷新
3. 刷新【公会推荐（用户视角）】，查询“公会重新启用时不恢复原推荐”对应的业务记录或界面反馈</x:v>
      </x:c>
      <x:c r="K1117" s="15" t="str">
        <x:v>公会重新启用时不自动恢复原推荐</x:v>
      </x:c>
      <x:c r="L1117" s="15" t="str">
        <x:v>FLOW-GUILD-001-U</x:v>
      </x:c>
      <x:c r="M1117" s="15" t="str">
        <x:v>未测</x:v>
      </x:c>
      <x:c r="N1117" s="15" t="str"/>
      <x:c r="O1117" s="15" t="str">
        <x:v>1. 需求：REQ-GUILD-001
2. 业务规则来源：需求规格说明.md:117
3. 原始问答：Q079
4. 入口证据：liveshow-proto/prototype/pages/user/home/live-plaza.html
5. 规则：BR-7B3F35F496879E
6. 基线场景：SCN-GUILD-001-02-1
7. 补充前覆盖：未覆盖；最佳匹配 ULIVE-0194；预期分数 0.25
8. 未动态验证</x:v>
      </x:c>
    </x:row>
  </x:sheetData>
  <x:dataValidations count="6">
    <x:dataValidation type="list" sqref="E2:E961">
      <x:formula1>"功能需求,业务流程,逻辑校验,异常用例"</x:formula1>
    </x:dataValidation>
    <x:dataValidation type="list" sqref="F2:F961">
      <x:formula1>"P0,P1,P2,P3"</x:formula1>
    </x:dataValidation>
    <x:dataValidation type="list" sqref="M2:M961">
      <x:formula1>"未测,通过,不通过,阻塞,不适用"</x:formula1>
    </x:dataValidation>
    <x:dataValidation type="list" sqref="E962:E1117">
      <x:formula1>"功能需求,业务流程,逻辑校验,异常用例"</x:formula1>
    </x:dataValidation>
    <x:dataValidation type="list" sqref="F962:F1117">
      <x:formula1>"P0,P1,P2,P3"</x:formula1>
    </x:dataValidation>
    <x:dataValidation type="list" sqref="M962:M1117">
      <x:formula1>"未测,通过,不通过,阻塞,不适用"</x:formula1>
    </x:dataValidation>
  </x:dataValidations>
  <x:pageMargins left="0.7" right="0.7" top="0.75" bottom="0.75" header="0.3" footer="0.3"/>
  <x:tableParts count="1">
    <x:tablePart xmlns:r="http://schemas.openxmlformats.org/officeDocument/2006/relationships" r:id="Rdee6a5a5c72e4931"/>
  </x:tableParts>
</x:worksheet>
</file>

<file path=xl/worksheets/sheet3.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2" hidden="0" customWidth="1"/>
    <x:col min="2" max="2" width="13" hidden="0" customWidth="1"/>
    <x:col min="3" max="3" width="13" hidden="0" customWidth="1"/>
    <x:col min="4" max="4" width="22" hidden="0" customWidth="1"/>
    <x:col min="5" max="5" width="11" hidden="0" customWidth="1"/>
    <x:col min="6" max="6" width="13" hidden="0" customWidth="1"/>
    <x:col min="7" max="7" width="31" hidden="0" customWidth="1"/>
    <x:col min="8" max="8" width="19" hidden="0" customWidth="1"/>
    <x:col min="9" max="9" width="38" hidden="0" customWidth="1"/>
    <x:col min="10" max="10" width="44" hidden="0" customWidth="1"/>
    <x:col min="11" max="11" width="38" hidden="0" customWidth="1"/>
    <x:col min="12" max="12" width="12" hidden="0" customWidth="1"/>
    <x:col min="13" max="13" width="24" hidden="0" customWidth="1"/>
    <x:col min="14" max="14" width="38" hidden="0" customWidth="1"/>
    <x:col min="15" max="15" width="32" hidden="0" customWidth="1"/>
    <x:col min="16" max="16" width="20" hidden="0" customWidth="1"/>
    <x:col min="17" max="17" width="32" hidden="0" customWidth="1"/>
    <x:col min="18" max="18" width="12" hidden="0" customWidth="1"/>
    <x:col min="19" max="19" width="22" hidden="0" customWidth="1"/>
    <x:col min="20" max="20" width="12" hidden="0" customWidth="1"/>
  </x:cols>
  <x:sheetData>
    <x:row r="1" ht="34" customHeight="1">
      <x:c r="A1" s="7" t="str">
        <x:v>问题编号</x:v>
      </x:c>
      <x:c r="B1" s="7" t="str">
        <x:v>需求组编号</x:v>
      </x:c>
      <x:c r="C1" s="7" t="str">
        <x:v>父问题编号</x:v>
      </x:c>
      <x:c r="D1" s="7" t="str">
        <x:v>追问触发条件</x:v>
      </x:c>
      <x:c r="E1" s="7" t="str">
        <x:v>阻塞等级</x:v>
      </x:c>
      <x:c r="F1" s="7" t="str">
        <x:v>功能模块</x:v>
      </x:c>
      <x:c r="G1" s="7" t="str">
        <x:v>具体场景</x:v>
      </x:c>
      <x:c r="H1" s="7" t="str">
        <x:v>问题分类</x:v>
      </x:c>
      <x:c r="I1" s="7" t="str">
        <x:v>待决策问题</x:v>
      </x:c>
      <x:c r="J1" s="7" t="str">
        <x:v>可选方案</x:v>
      </x:c>
      <x:c r="K1" s="7" t="str">
        <x:v>测试建议</x:v>
      </x:c>
      <x:c r="L1" s="7" t="str">
        <x:v>产品结论</x:v>
      </x:c>
      <x:c r="M1" s="7" t="str">
        <x:v>结论补充</x:v>
      </x:c>
      <x:c r="N1" s="7" t="str">
        <x:v>已知依据</x:v>
      </x:c>
      <x:c r="O1" s="7" t="str">
        <x:v>影响范围</x:v>
      </x:c>
      <x:c r="P1" s="7" t="str">
        <x:v>已有用例编号</x:v>
      </x:c>
      <x:c r="Q1" s="7" t="str">
        <x:v>确认后待补用例</x:v>
      </x:c>
      <x:c r="R1" s="7" t="str">
        <x:v>负责人</x:v>
      </x:c>
      <x:c r="S1" s="7" t="str">
        <x:v>期望确认时间</x:v>
      </x:c>
      <x:c r="T1" s="7" t="str">
        <x:v>确认状态</x:v>
      </x:c>
    </x:row>
    <x:row r="2" ht="54" customHeight="1">
      <x:c r="A2" s="4" t="str">
        <x:v>UQ-001</x:v>
      </x:c>
      <x:c r="B2" s="4" t="str">
        <x:v>URQ-001</x:v>
      </x:c>
      <x:c r="C2" s="4" t="str"/>
      <x:c r="D2" s="4" t="str"/>
      <x:c r="E2" s="4" t="str">
        <x:v>部分阻塞</x:v>
      </x:c>
      <x:c r="F2" s="4" t="str">
        <x:v>系统配置</x:v>
      </x:c>
      <x:c r="G2" s="4" t="str">
        <x:v>用户在search-results.html执行相关业务时需要确定唯一结果</x:v>
      </x:c>
      <x:c r="H2" s="4" t="str">
        <x:v>计算与统计口径</x:v>
      </x:c>
      <x:c r="I2" s="4" t="str">
        <x:v>排序：匹配结果的优先级待确认</x:v>
      </x:c>
      <x:c r="J2" s="4" t="str">
        <x:v>A. 按最近更新时间倒序
B. 按创建或加入时间倒序
C. 按名称或昵称升序
D. 按后台可读取的排序配置执行</x:v>
      </x:c>
      <x:c r="K2" s="4" t="str">
        <x:v>优先采用可由当前端直接读取并稳定复现的规则，避免测试依赖人工解释</x:v>
      </x:c>
      <x:c r="L2" s="8" t="str"/>
      <x:c r="M2" s="8" t="str"/>
      <x:c r="N2" s="4" t="str">
        <x:v>1. liveshow-proto/prototype/annotations/user.js；search-results.html / 业务规则 / 3.3；3. 排序：匹配结果的优先级待确认。</x:v>
      </x:c>
      <x:c r="O2" s="4" t="str">
        <x:v>1. 用户App 系统配置 search-results.html
2. 礼物或门票成交后的分成记录与线下结算核对</x:v>
      </x:c>
      <x:c r="P2" s="4" t="str"/>
      <x:c r="Q2" s="4" t="str">
        <x:v>1. 系统配置相关规则的正常、边界和历史数据场景</x:v>
      </x:c>
      <x:c r="R2" s="4" t="str">
        <x:v>产品</x:v>
      </x:c>
      <x:c r="S2" s="4" t="str">
        <x:v>进入对应功能测试前</x:v>
      </x:c>
      <x:c r="T2" s="4" t="str">
        <x:v>待确认</x:v>
      </x:c>
    </x:row>
    <x:row r="3" ht="54" customHeight="1">
      <x:c r="A3" s="4" t="str">
        <x:v>UQ-002</x:v>
      </x:c>
      <x:c r="B3" s="4" t="str">
        <x:v>URQ-002</x:v>
      </x:c>
      <x:c r="C3" s="4" t="str"/>
      <x:c r="D3" s="4" t="str"/>
      <x:c r="E3" s="4" t="str">
        <x:v>部分阻塞</x:v>
      </x:c>
      <x:c r="F3" s="4" t="str">
        <x:v>系统配置</x:v>
      </x:c>
      <x:c r="G3" s="4" t="str">
        <x:v>用户在follower-list.html执行相关业务时需要确定唯一结果</x:v>
      </x:c>
      <x:c r="H3" s="4" t="str">
        <x:v>计算与统计口径</x:v>
      </x:c>
      <x:c r="I3" s="4" t="str">
        <x:v>排序：粉丝列表排序依据待确认</x:v>
      </x:c>
      <x:c r="J3" s="4" t="str">
        <x:v>A. 按最近更新时间倒序
B. 按创建或加入时间倒序
C. 按名称或昵称升序
D. 按后台可读取的排序配置执行</x:v>
      </x:c>
      <x:c r="K3" s="4" t="str">
        <x:v>优先采用可由当前端直接读取并稳定复现的规则，避免测试依赖人工解释</x:v>
      </x:c>
      <x:c r="L3" s="8" t="str"/>
      <x:c r="M3" s="8" t="str"/>
      <x:c r="N3" s="4" t="str">
        <x:v>1. liveshow-proto/prototype/annotations/user.js；follower-list.html / 业务规则 / 3.2；2. 排序：粉丝列表排序依据待确认；搜索不改变结果的相对顺序。</x:v>
      </x:c>
      <x:c r="O3" s="4" t="str">
        <x:v>1. 用户App 系统配置 follower-list.html
2. 礼物或门票成交后的分成记录与线下结算核对</x:v>
      </x:c>
      <x:c r="P3" s="4" t="str"/>
      <x:c r="Q3" s="4" t="str">
        <x:v>1. 系统配置相关规则的正常、边界和历史数据场景</x:v>
      </x:c>
      <x:c r="R3" s="4" t="str">
        <x:v>产品</x:v>
      </x:c>
      <x:c r="S3" s="4" t="str">
        <x:v>进入对应功能测试前</x:v>
      </x:c>
      <x:c r="T3" s="4" t="str">
        <x:v>待确认</x:v>
      </x:c>
    </x:row>
    <x:row r="4" ht="54" customHeight="1">
      <x:c r="A4" s="4" t="str">
        <x:v>UQ-003</x:v>
      </x:c>
      <x:c r="B4" s="4" t="str">
        <x:v>URQ-003</x:v>
      </x:c>
      <x:c r="C4" s="4" t="str"/>
      <x:c r="D4" s="4" t="str"/>
      <x:c r="E4" s="4" t="str">
        <x:v>部分阻塞</x:v>
      </x:c>
      <x:c r="F4" s="4" t="str">
        <x:v>系统配置</x:v>
      </x:c>
      <x:c r="G4" s="4" t="str">
        <x:v>用户在my-following.html执行相关业务时需要确定唯一结果</x:v>
      </x:c>
      <x:c r="H4" s="4" t="str">
        <x:v>计算与统计口径</x:v>
      </x:c>
      <x:c r="I4" s="4" t="str">
        <x:v>排序：关注列表的排序依据待确认</x:v>
      </x:c>
      <x:c r="J4" s="4" t="str">
        <x:v>A. 按最近更新时间倒序
B. 按创建或加入时间倒序
C. 按名称或昵称升序
D. 按后台可读取的排序配置执行</x:v>
      </x:c>
      <x:c r="K4" s="4" t="str">
        <x:v>优先采用可由当前端直接读取并稳定复现的规则，避免测试依赖人工解释</x:v>
      </x:c>
      <x:c r="L4" s="8" t="str"/>
      <x:c r="M4" s="8" t="str"/>
      <x:c r="N4" s="4" t="str">
        <x:v>1. liveshow-proto/prototype/annotations/user.js；my-following.html / 业务规则 / 3.3；3. 排序：关注列表的排序依据待确认。</x:v>
      </x:c>
      <x:c r="O4" s="4" t="str">
        <x:v>1. 用户App 系统配置 my-following.html
2. 礼物或门票成交后的分成记录与线下结算核对</x:v>
      </x:c>
      <x:c r="P4" s="4" t="str"/>
      <x:c r="Q4" s="4" t="str">
        <x:v>1. 系统配置相关规则的正常、边界和历史数据场景</x:v>
      </x:c>
      <x:c r="R4" s="4" t="str">
        <x:v>产品</x:v>
      </x:c>
      <x:c r="S4" s="4" t="str">
        <x:v>进入对应功能测试前</x:v>
      </x:c>
      <x:c r="T4" s="4" t="str">
        <x:v>待确认</x:v>
      </x:c>
    </x:row>
    <x:row r="5" ht="54" customHeight="1">
      <x:c r="A5" s="4" t="str">
        <x:v>UQ-004</x:v>
      </x:c>
      <x:c r="B5" s="4" t="str">
        <x:v>URQ-004</x:v>
      </x:c>
      <x:c r="C5" s="4" t="str"/>
      <x:c r="D5" s="4" t="str"/>
      <x:c r="E5" s="4" t="str">
        <x:v>部分阻塞</x:v>
      </x:c>
      <x:c r="F5" s="4" t="str">
        <x:v>系统配置</x:v>
      </x:c>
      <x:c r="G5" s="4" t="str">
        <x:v>用户在my-decoration-avatar-frame.html执行相关业务时需要确定唯一结果</x:v>
      </x:c>
      <x:c r="H5" s="4" t="str">
        <x:v>计算与统计口径</x:v>
      </x:c>
      <x:c r="I5" s="4" t="str">
        <x:v>道具列表排序依据待确认</x:v>
      </x:c>
      <x:c r="J5" s="4" t="str">
        <x:v>A. 按最近更新时间倒序
B. 按创建或加入时间倒序
C. 按名称或昵称升序
D. 按后台可读取的排序配置执行</x:v>
      </x:c>
      <x:c r="K5" s="4" t="str">
        <x:v>优先采用可由当前端直接读取并稳定复现的规则，避免测试依赖人工解释</x:v>
      </x:c>
      <x:c r="L5" s="8" t="str"/>
      <x:c r="M5" s="8" t="str"/>
      <x:c r="N5" s="4" t="str">
        <x:v>1. liveshow-proto/prototype/annotations/user.js；my-decoration-avatar-frame.html / 业务规则 / 3.2；2. 数据范围：当前账号持有的头像框；道具列表排序依据待确认。</x:v>
      </x:c>
      <x:c r="O5" s="4" t="str">
        <x:v>1. 用户App 系统配置 my-decoration-avatar-frame.html
2. 礼物或门票成交后的分成记录与线下结算核对</x:v>
      </x:c>
      <x:c r="P5" s="4" t="str"/>
      <x:c r="Q5" s="4" t="str">
        <x:v>1. 系统配置相关规则的正常、边界和历史数据场景</x:v>
      </x:c>
      <x:c r="R5" s="4" t="str">
        <x:v>产品</x:v>
      </x:c>
      <x:c r="S5" s="4" t="str">
        <x:v>进入对应功能测试前</x:v>
      </x:c>
      <x:c r="T5" s="4" t="str">
        <x:v>待确认</x:v>
      </x:c>
    </x:row>
    <x:row r="6" ht="54" customHeight="1">
      <x:c r="A6" s="4" t="str">
        <x:v>UQ-005</x:v>
      </x:c>
      <x:c r="B6" s="4" t="str">
        <x:v>URQ-005</x:v>
      </x:c>
      <x:c r="C6" s="4" t="str"/>
      <x:c r="D6" s="4" t="str"/>
      <x:c r="E6" s="4" t="str">
        <x:v>部分阻塞</x:v>
      </x:c>
      <x:c r="F6" s="4" t="str">
        <x:v>系统配置</x:v>
      </x:c>
      <x:c r="G6" s="4" t="str">
        <x:v>用户在my-decoration-chat-bubble.html执行相关业务时需要确定唯一结果</x:v>
      </x:c>
      <x:c r="H6" s="4" t="str">
        <x:v>计算与统计口径</x:v>
      </x:c>
      <x:c r="I6" s="4" t="str">
        <x:v>道具列表排序依据待确认</x:v>
      </x:c>
      <x:c r="J6" s="4" t="str">
        <x:v>A. 按最近更新时间倒序
B. 按创建或加入时间倒序
C. 按名称或昵称升序
D. 按后台可读取的排序配置执行</x:v>
      </x:c>
      <x:c r="K6" s="4" t="str">
        <x:v>优先采用可由当前端直接读取并稳定复现的规则，避免测试依赖人工解释</x:v>
      </x:c>
      <x:c r="L6" s="8" t="str"/>
      <x:c r="M6" s="8" t="str"/>
      <x:c r="N6" s="4" t="str">
        <x:v>1. liveshow-proto/prototype/annotations/user.js；my-decoration-chat-bubble.html / 业务规则 / 3.2；2. 数据范围：当前账号持有的聊天气泡；道具列表排序依据待确认。</x:v>
      </x:c>
      <x:c r="O6" s="4" t="str">
        <x:v>1. 用户App 系统配置 my-decoration-chat-bubble.html
2. 礼物或门票成交后的分成记录与线下结算核对</x:v>
      </x:c>
      <x:c r="P6" s="4" t="str"/>
      <x:c r="Q6" s="4" t="str">
        <x:v>1. 系统配置相关规则的正常、边界和历史数据场景</x:v>
      </x:c>
      <x:c r="R6" s="4" t="str">
        <x:v>产品</x:v>
      </x:c>
      <x:c r="S6" s="4" t="str">
        <x:v>进入对应功能测试前</x:v>
      </x:c>
      <x:c r="T6" s="4" t="str">
        <x:v>待确认</x:v>
      </x:c>
    </x:row>
    <x:row r="7" ht="54" customHeight="1">
      <x:c r="A7" s="4" t="str">
        <x:v>UQ-006</x:v>
      </x:c>
      <x:c r="B7" s="4" t="str">
        <x:v>URQ-006</x:v>
      </x:c>
      <x:c r="C7" s="4" t="str"/>
      <x:c r="D7" s="4" t="str"/>
      <x:c r="E7" s="4" t="str">
        <x:v>部分阻塞</x:v>
      </x:c>
      <x:c r="F7" s="4" t="str">
        <x:v>系统配置</x:v>
      </x:c>
      <x:c r="G7" s="4" t="str">
        <x:v>用户在my-decoration-medal.html执行相关业务时需要确定唯一结果</x:v>
      </x:c>
      <x:c r="H7" s="4" t="str">
        <x:v>计算与统计口径</x:v>
      </x:c>
      <x:c r="I7" s="4" t="str">
        <x:v>道具列表排序依据待确认</x:v>
      </x:c>
      <x:c r="J7" s="4" t="str">
        <x:v>A. 按最近更新时间倒序
B. 按创建或加入时间倒序
C. 按名称或昵称升序
D. 按后台可读取的排序配置执行</x:v>
      </x:c>
      <x:c r="K7" s="4" t="str">
        <x:v>优先采用可由当前端直接读取并稳定复现的规则，避免测试依赖人工解释</x:v>
      </x:c>
      <x:c r="L7" s="8" t="str"/>
      <x:c r="M7" s="8" t="str"/>
      <x:c r="N7" s="4" t="str">
        <x:v>1. liveshow-proto/prototype/annotations/user.js；my-decoration-medal.html / 业务规则 / 3.2；2. 数据范围：当前账号持有的勋章；道具列表排序依据待确认。</x:v>
      </x:c>
      <x:c r="O7" s="4" t="str">
        <x:v>1. 用户App 系统配置 my-decoration-medal.html
2. 礼物或门票成交后的分成记录与线下结算核对</x:v>
      </x:c>
      <x:c r="P7" s="4" t="str"/>
      <x:c r="Q7" s="4" t="str">
        <x:v>1. 系统配置相关规则的正常、边界和历史数据场景</x:v>
      </x:c>
      <x:c r="R7" s="4" t="str">
        <x:v>产品</x:v>
      </x:c>
      <x:c r="S7" s="4" t="str">
        <x:v>进入对应功能测试前</x:v>
      </x:c>
      <x:c r="T7" s="4" t="str">
        <x:v>待确认</x:v>
      </x:c>
    </x:row>
    <x:row r="8" ht="54" customHeight="1">
      <x:c r="A8" s="4" t="str">
        <x:v>UQ-007</x:v>
      </x:c>
      <x:c r="B8" s="4" t="str">
        <x:v>URQ-007</x:v>
      </x:c>
      <x:c r="C8" s="4" t="str"/>
      <x:c r="D8" s="4" t="str"/>
      <x:c r="E8" s="4" t="str">
        <x:v>部分阻塞</x:v>
      </x:c>
      <x:c r="F8" s="4" t="str">
        <x:v>系统配置</x:v>
      </x:c>
      <x:c r="G8" s="4" t="str">
        <x:v>用户在friend-list.html执行相关业务时需要确定唯一结果</x:v>
      </x:c>
      <x:c r="H8" s="4" t="str">
        <x:v>计算与统计口径</x:v>
      </x:c>
      <x:c r="I8" s="4" t="str">
        <x:v>排序：好友列表排序依据待确认</x:v>
      </x:c>
      <x:c r="J8" s="4" t="str">
        <x:v>A. 按最近更新时间倒序
B. 按创建或加入时间倒序
C. 按名称或昵称升序
D. 按后台可读取的排序配置执行</x:v>
      </x:c>
      <x:c r="K8" s="4" t="str">
        <x:v>优先采用可由当前端直接读取并稳定复现的规则，避免测试依赖人工解释</x:v>
      </x:c>
      <x:c r="L8" s="8" t="str"/>
      <x:c r="M8" s="8" t="str"/>
      <x:c r="N8" s="4" t="str">
        <x:v>1. liveshow-proto/prototype/annotations/user.js；friend-list.html / 业务规则 / 3.5；5. 排序：好友列表排序依据待确认；搜索不改变结果的相对顺序。</x:v>
      </x:c>
      <x:c r="O8" s="4" t="str">
        <x:v>1. 用户App 系统配置 friend-list.html
2. 礼物或门票成交后的分成记录与线下结算核对</x:v>
      </x:c>
      <x:c r="P8" s="4" t="str"/>
      <x:c r="Q8" s="4" t="str">
        <x:v>1. 系统配置相关规则的正常、边界和历史数据场景</x:v>
      </x:c>
      <x:c r="R8" s="4" t="str">
        <x:v>产品</x:v>
      </x:c>
      <x:c r="S8" s="4" t="str">
        <x:v>进入对应功能测试前</x:v>
      </x:c>
      <x:c r="T8" s="4" t="str">
        <x:v>待确认</x:v>
      </x:c>
    </x:row>
    <x:row r="9" ht="54" customHeight="1">
      <x:c r="A9" s="4" t="str">
        <x:v>UQ-008</x:v>
      </x:c>
      <x:c r="B9" s="4" t="str">
        <x:v>URQ-008</x:v>
      </x:c>
      <x:c r="C9" s="4" t="str"/>
      <x:c r="D9" s="4" t="str"/>
      <x:c r="E9" s="4" t="str">
        <x:v>部分阻塞</x:v>
      </x:c>
      <x:c r="F9" s="4" t="str">
        <x:v>系统配置</x:v>
      </x:c>
      <x:c r="G9" s="4" t="str">
        <x:v>用户在blacklist-management.html执行相关业务时需要确定唯一结果</x:v>
      </x:c>
      <x:c r="H9" s="4" t="str">
        <x:v>计算与统计口径</x:v>
      </x:c>
      <x:c r="I9" s="4" t="str">
        <x:v>排序：黑名单列表排序依据待确认</x:v>
      </x:c>
      <x:c r="J9" s="4" t="str">
        <x:v>A. 按最近更新时间倒序
B. 按创建或加入时间倒序
C. 按名称或昵称升序
D. 按后台可读取的排序配置执行</x:v>
      </x:c>
      <x:c r="K9" s="4" t="str">
        <x:v>优先采用可由当前端直接读取并稳定复现的规则，避免测试依赖人工解释</x:v>
      </x:c>
      <x:c r="L9" s="8" t="str"/>
      <x:c r="M9" s="8" t="str"/>
      <x:c r="N9" s="4" t="str">
        <x:v>1. liveshow-proto/prototype/annotations/user.js；blacklist-management.html / 业务规则 / 3.10；10. 排序：黑名单列表排序依据待确认。</x:v>
      </x:c>
      <x:c r="O9" s="4" t="str">
        <x:v>1. 用户App 系统配置 blacklist-management.html
2. 礼物或门票成交后的分成记录与线下结算核对</x:v>
      </x:c>
      <x:c r="P9" s="4" t="str"/>
      <x:c r="Q9" s="4" t="str">
        <x:v>1. 系统配置相关规则的正常、边界和历史数据场景</x:v>
      </x:c>
      <x:c r="R9" s="4" t="str">
        <x:v>产品</x:v>
      </x:c>
      <x:c r="S9" s="4" t="str">
        <x:v>进入对应功能测试前</x:v>
      </x:c>
      <x:c r="T9" s="4" t="str">
        <x:v>待确认</x:v>
      </x:c>
    </x:row>
    <x:row r="10" ht="54" customHeight="1">
      <x:c r="A10" s="4" t="str">
        <x:v>UQ-009</x:v>
      </x:c>
      <x:c r="B10" s="4" t="str">
        <x:v>URQ-009</x:v>
      </x:c>
      <x:c r="C10" s="4" t="str"/>
      <x:c r="D10" s="4" t="str"/>
      <x:c r="E10" s="4" t="str">
        <x:v>部分阻塞</x:v>
      </x:c>
      <x:c r="F10" s="4" t="str">
        <x:v>系统配置</x:v>
      </x:c>
      <x:c r="G10" s="4" t="str">
        <x:v>用户在user-home.html执行相关业务时需要确定唯一结果</x:v>
      </x:c>
      <x:c r="H10" s="4" t="str">
        <x:v>业务规则</x:v>
      </x:c>
      <x:c r="I10" s="4" t="str">
        <x:v>粉丝团展示顺序待确认</x:v>
      </x:c>
      <x:c r="J10" s="4" t="str">
        <x:v>A. 采用当前问题所述规则
B. 不采用该规则并保持当前已确认行为</x:v>
      </x:c>
      <x:c r="K10" s="4" t="str">
        <x:v>优先采用可由当前端直接读取并稳定复现的规则，避免测试依赖人工解释</x:v>
      </x:c>
      <x:c r="L10" s="8" t="str"/>
      <x:c r="M10" s="8" t="str"/>
      <x:c r="N10" s="4" t="str">
        <x:v>1. liveshow-proto/prototype/annotations/user.js；user-home.html / 业务规则 / 3.4；4. 数据范围：当前查看对象的资料、社交统计和已加入粉丝团；粉丝团展示顺序待确认。</x:v>
      </x:c>
      <x:c r="O10" s="4" t="str">
        <x:v>1. 用户App 系统配置 user-home.html
2. 礼物或门票成交后的分成记录与线下结算核对</x:v>
      </x:c>
      <x:c r="P10" s="4" t="str"/>
      <x:c r="Q10" s="4" t="str">
        <x:v>1. 系统配置相关规则的正常、边界和历史数据场景</x:v>
      </x:c>
      <x:c r="R10" s="4" t="str">
        <x:v>产品</x:v>
      </x:c>
      <x:c r="S10" s="4" t="str">
        <x:v>进入对应功能测试前</x:v>
      </x:c>
      <x:c r="T10" s="4" t="str">
        <x:v>待确认</x:v>
      </x:c>
    </x:row>
    <x:row r="11" ht="54" customHeight="1">
      <x:c r="A11" s="4" t="str">
        <x:v>UQ-010</x:v>
      </x:c>
      <x:c r="B11" s="4" t="str">
        <x:v>URQ-010</x:v>
      </x:c>
      <x:c r="C11" s="4" t="str"/>
      <x:c r="D11" s="4" t="str"/>
      <x:c r="E11" s="4" t="str">
        <x:v>部分阻塞</x:v>
      </x:c>
      <x:c r="F11" s="4" t="str">
        <x:v>系统配置</x:v>
      </x:c>
      <x:c r="G11" s="4" t="str">
        <x:v>用户在my-fan-clubs.html执行相关业务时需要确定唯一结果</x:v>
      </x:c>
      <x:c r="H11" s="4" t="str">
        <x:v>计算与统计口径</x:v>
      </x:c>
      <x:c r="I11" s="4" t="str">
        <x:v>排序：已加入粉丝团列表排序依据待确认</x:v>
      </x:c>
      <x:c r="J11" s="4" t="str">
        <x:v>A. 按最近更新时间倒序
B. 按创建或加入时间倒序
C. 按名称或昵称升序
D. 按后台可读取的排序配置执行</x:v>
      </x:c>
      <x:c r="K11" s="4" t="str">
        <x:v>优先采用可由当前端直接读取并稳定复现的规则，避免测试依赖人工解释</x:v>
      </x:c>
      <x:c r="L11" s="8" t="str"/>
      <x:c r="M11" s="8" t="str"/>
      <x:c r="N11" s="4" t="str">
        <x:v>1. liveshow-proto/prototype/annotations/user.js；my-fan-clubs.html / 业务规则 / 3.4；4. 排序：已加入粉丝团列表排序依据待确认。</x:v>
      </x:c>
      <x:c r="O11" s="4" t="str">
        <x:v>1. 用户App 系统配置 my-fan-clubs.html
2. 礼物或门票成交后的分成记录与线下结算核对</x:v>
      </x:c>
      <x:c r="P11" s="4" t="str"/>
      <x:c r="Q11" s="4" t="str">
        <x:v>1. 系统配置相关规则的正常、边界和历史数据场景</x:v>
      </x:c>
      <x:c r="R11" s="4" t="str">
        <x:v>产品</x:v>
      </x:c>
      <x:c r="S11" s="4" t="str">
        <x:v>进入对应功能测试前</x:v>
      </x:c>
      <x:c r="T11" s="4" t="str">
        <x:v>待确认</x:v>
      </x:c>
    </x:row>
    <x:row r="12" ht="54" customHeight="1">
      <x:c r="A12" s="4" t="str">
        <x:v>UQ-011</x:v>
      </x:c>
      <x:c r="B12" s="4" t="str">
        <x:v>URQ-011</x:v>
      </x:c>
      <x:c r="C12" s="4" t="str"/>
      <x:c r="D12" s="4" t="str"/>
      <x:c r="E12" s="4" t="str">
        <x:v>部分阻塞</x:v>
      </x:c>
      <x:c r="F12" s="4" t="str">
        <x:v>系统配置</x:v>
      </x:c>
      <x:c r="G12" s="4" t="str">
        <x:v>主播在moderator-management.html执行相关业务时需要确定唯一结果</x:v>
      </x:c>
      <x:c r="H12" s="4" t="str">
        <x:v>计算与统计口径</x:v>
      </x:c>
      <x:c r="I12" s="4" t="str">
        <x:v>排序依据待确认</x:v>
      </x:c>
      <x:c r="J12" s="4" t="str">
        <x:v>A. 按最近更新时间倒序
B. 按创建或加入时间倒序
C. 按名称或昵称升序
D. 按后台可读取的排序配置执行</x:v>
      </x:c>
      <x:c r="K12" s="4" t="str">
        <x:v>优先采用可由当前端直接读取并稳定复现的规则，避免测试依赖人工解释</x:v>
      </x:c>
      <x:c r="L12" s="8" t="str"/>
      <x:c r="M12" s="8" t="str"/>
      <x:c r="N12" s="4" t="str">
        <x:v>1. liveshow-proto/prototype/annotations/user.js；moderator-management.html / 业务规则 / 3.5；5. 数据范围：当前主播仍有效的房管授权；排序依据待确认。</x:v>
      </x:c>
      <x:c r="O12" s="4" t="str">
        <x:v>1. 用户App 系统配置 moderator-management.html
2. 礼物或门票成交后的分成记录与线下结算核对</x:v>
      </x:c>
      <x:c r="P12" s="4" t="str"/>
      <x:c r="Q12" s="4" t="str">
        <x:v>1. 系统配置相关规则的正常、边界和历史数据场景</x:v>
      </x:c>
      <x:c r="R12" s="4" t="str">
        <x:v>产品</x:v>
      </x:c>
      <x:c r="S12" s="4" t="str">
        <x:v>进入对应功能测试前</x:v>
      </x:c>
      <x:c r="T12" s="4" t="str">
        <x:v>待确认</x:v>
      </x:c>
    </x:row>
    <x:row r="13" ht="54" customHeight="1">
      <x:c r="A13" s="4" t="str">
        <x:v>UQ-012</x:v>
      </x:c>
      <x:c r="B13" s="4" t="str">
        <x:v>URQ-012</x:v>
      </x:c>
      <x:c r="C13" s="4" t="str"/>
      <x:c r="D13" s="4" t="str"/>
      <x:c r="E13" s="4" t="str">
        <x:v>部分阻塞</x:v>
      </x:c>
      <x:c r="F13" s="4" t="str">
        <x:v>系统配置</x:v>
      </x:c>
      <x:c r="G13" s="4" t="str">
        <x:v>主播在host-guild-notifications.html执行相关业务时需要确定唯一结果</x:v>
      </x:c>
      <x:c r="H13" s="4" t="str">
        <x:v>计算与统计口径</x:v>
      </x:c>
      <x:c r="I13" s="4" t="str">
        <x:v>排序：通知列表的排序依据待确认</x:v>
      </x:c>
      <x:c r="J13" s="4" t="str">
        <x:v>A. 按最近更新时间倒序
B. 按创建或加入时间倒序
C. 按名称或昵称升序
D. 按后台可读取的排序配置执行</x:v>
      </x:c>
      <x:c r="K13" s="4" t="str">
        <x:v>优先采用可由当前端直接读取并稳定复现的规则，避免测试依赖人工解释</x:v>
      </x:c>
      <x:c r="L13" s="8" t="str"/>
      <x:c r="M13" s="8" t="str"/>
      <x:c r="N13" s="4" t="str">
        <x:v>1. liveshow-proto/prototype/annotations/user.js；host-guild-notifications.html / 业务规则 / 3.2；2. 排序：通知列表的排序依据待确认；本页不展示发布时间。</x:v>
      </x:c>
      <x:c r="O13" s="4" t="str">
        <x:v>1. 用户App 系统配置 host-guild-notifications.html
2. 礼物或门票成交后的分成记录与线下结算核对</x:v>
      </x:c>
      <x:c r="P13" s="4" t="str"/>
      <x:c r="Q13" s="4" t="str">
        <x:v>1. 系统配置相关规则的正常、边界和历史数据场景</x:v>
      </x:c>
      <x:c r="R13" s="4" t="str">
        <x:v>产品</x:v>
      </x:c>
      <x:c r="S13" s="4" t="str">
        <x:v>进入对应功能测试前</x:v>
      </x:c>
      <x:c r="T13" s="4" t="str">
        <x:v>待确认</x:v>
      </x:c>
    </x:row>
    <x:row r="14" ht="54" customHeight="1">
      <x:c r="A14" s="4" t="str">
        <x:v>UQ-013</x:v>
      </x:c>
      <x:c r="B14" s="4" t="str">
        <x:v>URQ-013</x:v>
      </x:c>
      <x:c r="C14" s="4" t="str"/>
      <x:c r="D14" s="4" t="str"/>
      <x:c r="E14" s="4" t="str">
        <x:v>部分阻塞</x:v>
      </x:c>
      <x:c r="F14" s="4" t="str">
        <x:v>系统配置</x:v>
      </x:c>
      <x:c r="G14" s="4" t="str">
        <x:v>主播在visible-fan-select.html执行相关业务时需要确定唯一结果</x:v>
      </x:c>
      <x:c r="H14" s="4" t="str">
        <x:v>计算与统计口径</x:v>
      </x:c>
      <x:c r="I14" s="4" t="str">
        <x:v>排序：可选粉丝列表的排序依据待确认</x:v>
      </x:c>
      <x:c r="J14" s="4" t="str">
        <x:v>A. 按最近更新时间倒序
B. 按创建或加入时间倒序
C. 按名称或昵称升序
D. 按后台可读取的排序配置执行</x:v>
      </x:c>
      <x:c r="K14" s="4" t="str">
        <x:v>优先采用可由当前端直接读取并稳定复现的规则，避免测试依赖人工解释</x:v>
      </x:c>
      <x:c r="L14" s="8" t="str"/>
      <x:c r="M14" s="8" t="str"/>
      <x:c r="N14" s="4" t="str">
        <x:v>1. liveshow-proto/prototype/annotations/user.js；visible-fan-select.html / 业务规则 / 3.3；3. 排序：可选粉丝列表的排序依据待确认；搜索不改变匹配结果的相对顺序。</x:v>
      </x:c>
      <x:c r="O14" s="4" t="str">
        <x:v>1. 用户App 系统配置 visible-fan-select.html
2. 礼物或门票成交后的分成记录与线下结算核对</x:v>
      </x:c>
      <x:c r="P14" s="4" t="str"/>
      <x:c r="Q14" s="4" t="str">
        <x:v>1. 系统配置相关规则的正常、边界和历史数据场景</x:v>
      </x:c>
      <x:c r="R14" s="4" t="str">
        <x:v>产品</x:v>
      </x:c>
      <x:c r="S14" s="4" t="str">
        <x:v>进入对应功能测试前</x:v>
      </x:c>
      <x:c r="T14" s="4" t="str">
        <x:v>待确认</x:v>
      </x:c>
    </x:row>
    <x:row r="15" ht="54" customHeight="1">
      <x:c r="A15" s="4" t="str">
        <x:v>UQ-014</x:v>
      </x:c>
      <x:c r="B15" s="4" t="str">
        <x:v>URQ-014</x:v>
      </x:c>
      <x:c r="C15" s="4" t="str"/>
      <x:c r="D15" s="4" t="str"/>
      <x:c r="E15" s="4" t="str">
        <x:v>部分阻塞</x:v>
      </x:c>
      <x:c r="F15" s="4" t="str">
        <x:v>系统配置</x:v>
      </x:c>
      <x:c r="G15" s="4" t="str">
        <x:v>主播在fan-list.html执行相关业务时需要确定唯一结果</x:v>
      </x:c>
      <x:c r="H15" s="4" t="str">
        <x:v>计算与统计口径</x:v>
      </x:c>
      <x:c r="I15" s="4" t="str">
        <x:v>排序依据待确认</x:v>
      </x:c>
      <x:c r="J15" s="4" t="str">
        <x:v>A. 按最近更新时间倒序
B. 按创建或加入时间倒序
C. 按名称或昵称升序
D. 按后台可读取的排序配置执行</x:v>
      </x:c>
      <x:c r="K15" s="4" t="str">
        <x:v>优先采用可由当前端直接读取并稳定复现的规则，避免测试依赖人工解释</x:v>
      </x:c>
      <x:c r="L15" s="8" t="str"/>
      <x:c r="M15" s="8" t="str"/>
      <x:c r="N15" s="4" t="str">
        <x:v>1. liveshow-proto/prototype/annotations/user.js；fan-list.html / 业务规则 / 3.2；2. 数据范围：当前仍关注该主播的用户；排序依据待确认。</x:v>
      </x:c>
      <x:c r="O15" s="4" t="str">
        <x:v>1. 用户App 系统配置 fan-list.html
2. 礼物或门票成交后的分成记录与线下结算核对</x:v>
      </x:c>
      <x:c r="P15" s="4" t="str"/>
      <x:c r="Q15" s="4" t="str">
        <x:v>1. 系统配置相关规则的正常、边界和历史数据场景</x:v>
      </x:c>
      <x:c r="R15" s="4" t="str">
        <x:v>产品</x:v>
      </x:c>
      <x:c r="S15" s="4" t="str">
        <x:v>进入对应功能测试前</x:v>
      </x:c>
      <x:c r="T15" s="4" t="str">
        <x:v>待确认</x:v>
      </x:c>
    </x:row>
    <x:row r="16" ht="54" customHeight="1">
      <x:c r="A16" s="4" t="str">
        <x:v>UQ-015</x:v>
      </x:c>
      <x:c r="B16" s="4" t="str">
        <x:v>URQ-015</x:v>
      </x:c>
      <x:c r="C16" s="4" t="str"/>
      <x:c r="D16" s="4" t="str"/>
      <x:c r="E16" s="4" t="str">
        <x:v>部分阻塞</x:v>
      </x:c>
      <x:c r="F16" s="4" t="str">
        <x:v>系统配置</x:v>
      </x:c>
      <x:c r="G16" s="4" t="str">
        <x:v>主播在fan-club.html执行相关业务时需要确定唯一结果</x:v>
      </x:c>
      <x:c r="H16" s="4" t="str">
        <x:v>计算与统计口径</x:v>
      </x:c>
      <x:c r="I16" s="4" t="str">
        <x:v>相同值的次序待确认</x:v>
      </x:c>
      <x:c r="J16" s="4" t="str">
        <x:v>A. 按最近更新时间倒序
B. 按创建或加入时间倒序
C. 按名称或昵称升序
D. 按后台可读取的排序配置执行</x:v>
      </x:c>
      <x:c r="K16" s="4" t="str">
        <x:v>优先采用可由当前端直接读取并稳定复现的规则，避免测试依赖人工解释</x:v>
      </x:c>
      <x:c r="L16" s="8" t="str"/>
      <x:c r="M16" s="8" t="str"/>
      <x:c r="N16" s="4" t="str">
        <x:v>1. liveshow-proto/prototype/annotations/user.js；fan-club.html / 业务规则 / 3.4；4. 排序：默认按累计贡献从高到低；“本月最多”按本月贡献从高到低；“最新加入”按加入时间从新到旧；相同值的次序待确认。</x:v>
      </x:c>
      <x:c r="O16" s="4" t="str">
        <x:v>1. 用户App 系统配置 fan-club.html
2. 礼物或门票成交后的分成记录与线下结算核对</x:v>
      </x:c>
      <x:c r="P16" s="4" t="str"/>
      <x:c r="Q16" s="4" t="str">
        <x:v>1. 系统配置相关规则的正常、边界和历史数据场景</x:v>
      </x:c>
      <x:c r="R16" s="4" t="str">
        <x:v>产品</x:v>
      </x:c>
      <x:c r="S16" s="4" t="str">
        <x:v>进入对应功能测试前</x:v>
      </x:c>
      <x:c r="T16" s="4" t="str">
        <x:v>待确认</x:v>
      </x:c>
    </x:row>
    <x:row r="17" ht="54" customHeight="1">
      <x:c r="A17" s="4" t="str">
        <x:v>UQ-016</x:v>
      </x:c>
      <x:c r="B17" s="4" t="str">
        <x:v>URQ-016</x:v>
      </x:c>
      <x:c r="C17" s="4" t="str"/>
      <x:c r="D17" s="4" t="str"/>
      <x:c r="E17" s="4" t="str">
        <x:v>部分阻塞</x:v>
      </x:c>
      <x:c r="F17" s="4" t="str">
        <x:v>系统配置</x:v>
      </x:c>
      <x:c r="G17" s="4" t="str">
        <x:v>主播在live-data.html执行相关业务时需要确定唯一结果</x:v>
      </x:c>
      <x:c r="H17" s="4" t="str">
        <x:v>计算与统计口径</x:v>
      </x:c>
      <x:c r="I17" s="4" t="str">
        <x:v>直播数据明细列表采用哪种排序规则？</x:v>
      </x:c>
      <x:c r="J17" s="4" t="str">
        <x:v>A. 按最近更新时间倒序
B. 按创建或加入时间倒序
C. 按名称或昵称升序
D. 按后台可读取的排序配置执行</x:v>
      </x:c>
      <x:c r="K17" s="4" t="str">
        <x:v>优先采用可由当前端直接读取并稳定复现的规则，避免测试依赖人工解释</x:v>
      </x:c>
      <x:c r="L17" s="8" t="str"/>
      <x:c r="M17" s="8" t="str"/>
      <x:c r="N17" s="4" t="str">
        <x:v>1. liveshow-proto/prototype/annotations/user.js；live-data.html / 业务规则 / 3.2；2. 数据范围：仅当前主播、当前日或月范围内的直播数据；日期趋势按时间顺序展示，明细列表的排序依据待确认。</x:v>
      </x:c>
      <x:c r="O17" s="4" t="str">
        <x:v>1. 用户App 系统配置 live-data.html
2. 礼物或门票成交后的分成记录与线下结算核对</x:v>
      </x:c>
      <x:c r="P17" s="4" t="str"/>
      <x:c r="Q17" s="4" t="str">
        <x:v>1. 系统配置相关规则的正常、边界和历史数据场景</x:v>
      </x:c>
      <x:c r="R17" s="4" t="str">
        <x:v>产品</x:v>
      </x:c>
      <x:c r="S17" s="4" t="str">
        <x:v>进入对应功能测试前</x:v>
      </x:c>
      <x:c r="T17" s="4" t="str">
        <x:v>待确认</x:v>
      </x:c>
    </x:row>
    <x:row r="18" ht="54" customHeight="1">
      <x:c r="A18" s="4" t="str">
        <x:v>UQ-017</x:v>
      </x:c>
      <x:c r="B18" s="4" t="str">
        <x:v>URQ-017</x:v>
      </x:c>
      <x:c r="C18" s="4" t="str"/>
      <x:c r="D18" s="4" t="str"/>
      <x:c r="E18" s="4" t="str">
        <x:v>部分阻塞</x:v>
      </x:c>
      <x:c r="F18" s="4" t="str">
        <x:v>系统配置</x:v>
      </x:c>
      <x:c r="G18" s="4" t="str">
        <x:v>用户在auth-country-select.html执行相关业务时需要确定唯一结果</x:v>
      </x:c>
      <x:c r="H18" s="4" t="str">
        <x:v>计算与统计口径</x:v>
      </x:c>
      <x:c r="I18" s="4" t="str">
        <x:v>排序：待确认，当前页面未提供排序条件</x:v>
      </x:c>
      <x:c r="J18" s="4" t="str">
        <x:v>A. 按最近更新时间倒序
B. 按创建或加入时间倒序
C. 按名称或昵称升序
D. 按后台可读取的排序配置执行</x:v>
      </x:c>
      <x:c r="K18" s="4" t="str">
        <x:v>优先采用可由当前端直接读取并稳定复现的规则，避免测试依赖人工解释</x:v>
      </x:c>
      <x:c r="L18" s="8" t="str"/>
      <x:c r="M18" s="8" t="str"/>
      <x:c r="N18" s="4" t="str">
        <x:v>1. liveshow-proto/prototype/annotations/user.js；auth-country-select.html / 业务规则 / 3.4；4. 排序：待确认，当前页面未提供排序条件。</x:v>
      </x:c>
      <x:c r="O18" s="4" t="str">
        <x:v>1. 用户App 系统配置 auth-country-select.html
2. 礼物或门票成交后的分成记录与线下结算核对</x:v>
      </x:c>
      <x:c r="P18" s="4" t="str"/>
      <x:c r="Q18" s="4" t="str">
        <x:v>1. 系统配置相关规则的正常、边界和历史数据场景</x:v>
      </x:c>
      <x:c r="R18" s="4" t="str">
        <x:v>产品</x:v>
      </x:c>
      <x:c r="S18" s="4" t="str">
        <x:v>进入对应功能测试前</x:v>
      </x:c>
      <x:c r="T18" s="4" t="str">
        <x:v>待确认</x:v>
      </x:c>
    </x:row>
    <x:row r="19" ht="54" customHeight="1">
      <x:c r="A19" s="4" t="str">
        <x:v>UQ-018</x:v>
      </x:c>
      <x:c r="B19" s="4" t="str">
        <x:v>URQ-018</x:v>
      </x:c>
      <x:c r="C19" s="4" t="str"/>
      <x:c r="D19" s="4" t="str"/>
      <x:c r="E19" s="4" t="str">
        <x:v>部分阻塞</x:v>
      </x:c>
      <x:c r="F19" s="4" t="str">
        <x:v>系统配置</x:v>
      </x:c>
      <x:c r="G19" s="4" t="str">
        <x:v>主播在views/live-data/month.html执行相关业务时需要确定唯一结果</x:v>
      </x:c>
      <x:c r="H19" s="4" t="str">
        <x:v>计算与统计口径</x:v>
      </x:c>
      <x:c r="I19" s="4" t="str">
        <x:v>直播数据明细列表采用哪种排序规则？</x:v>
      </x:c>
      <x:c r="J19" s="4" t="str">
        <x:v>A. 按最近更新时间倒序
B. 按创建或加入时间倒序
C. 按名称或昵称升序
D. 按后台可读取的排序配置执行</x:v>
      </x:c>
      <x:c r="K19" s="4" t="str">
        <x:v>优先采用可由当前端直接读取并稳定复现的规则，避免测试依赖人工解释</x:v>
      </x:c>
      <x:c r="L19" s="8" t="str"/>
      <x:c r="M19" s="8" t="str"/>
      <x:c r="N19" s="4" t="str">
        <x:v>1. liveshow-proto/prototype/annotations/user.js；views/live-data/month.html / 业务规则 / 3.2；数据范围：当前主播所选自然月的有效直播记录；按时间顺序展示趋势，明细列表排序依据待确认。</x:v>
      </x:c>
      <x:c r="O19" s="4" t="str">
        <x:v>1. 用户App 系统配置 views/live-data/month.html
2. 礼物或门票成交后的分成记录与线下结算核对</x:v>
      </x:c>
      <x:c r="P19" s="4" t="str"/>
      <x:c r="Q19" s="4" t="str">
        <x:v>1. 系统配置相关规则的正常、边界和历史数据场景</x:v>
      </x:c>
      <x:c r="R19" s="4" t="str">
        <x:v>产品</x:v>
      </x:c>
      <x:c r="S19" s="4" t="str">
        <x:v>进入对应功能测试前</x:v>
      </x:c>
      <x:c r="T19" s="4" t="str">
        <x:v>待确认</x:v>
      </x:c>
    </x:row>
    <x:row r="20" ht="96" customHeight="1">
      <x:c r="A20" s="15" t="str">
        <x:v>IDN-U-PENDING-001</x:v>
      </x:c>
      <x:c r="B20" s="15" t="str">
        <x:v>PENDING-001</x:v>
      </x:c>
      <x:c r="C20" s="15" t="str"/>
      <x:c r="D20" s="15" t="str"/>
      <x:c r="E20" s="15" t="str">
        <x:v>部分阻塞</x:v>
      </x:c>
      <x:c r="F20" s="15" t="str">
        <x:v>印尼直播需求缺口</x:v>
      </x:c>
      <x:c r="G20" s="15" t="str">
        <x:v>用户App：用户资料是否存在“待审核”状态，以及后台重置资料是否撤销待审核记录？</x:v>
      </x:c>
      <x:c r="H20" s="15" t="str">
        <x:v>业务规则</x:v>
      </x:c>
      <x:c r="I20" s="15" t="str">
        <x:v>需补充原始证据后再形成可测试规则</x:v>
      </x:c>
      <x:c r="J20" s="15" t="str">
        <x:v>A. 补充可测试的正式结论及适用范围
B. 明确本期不实现并记录后续版本范围</x:v>
      </x:c>
      <x:c r="K20" s="15" t="str">
        <x:v>确认后按最终规则补充正常、异常、边界及跨端一致性用例</x:v>
      </x:c>
      <x:c r="L20" s="16" t="str"/>
      <x:c r="M20" s="16" t="str"/>
      <x:c r="N20" s="15" t="str">
        <x:v>1. 需求待确认.md:11
2. 来源：李浩确认应撤销，但同一上下文中李星明称当前没有待审核状态。
3. 原问题或答案依赖未附截图、撤回内容或完整上下文，现有文本不足以形成确定规则</x:v>
      </x:c>
      <x:c r="O20" s="15" t="str">
        <x:v>1. 用户App 用户资料是否存在“待审核”状态，以及后台重置资料是否撤销待审核记录？</x:v>
      </x:c>
      <x:c r="P20" s="15" t="str"/>
      <x:c r="Q20" s="15" t="str">
        <x:v>1. 需补充原始证据后再形成可测试规则</x:v>
      </x:c>
      <x:c r="R20" s="15" t="str">
        <x:v>产品</x:v>
      </x:c>
      <x:c r="S20" s="15" t="str">
        <x:v>进入对应功能测试前</x:v>
      </x:c>
      <x:c r="T20" s="15" t="str">
        <x:v>待确认</x:v>
      </x:c>
    </x:row>
    <x:row r="21" ht="96" customHeight="1">
      <x:c r="A21" s="15" t="str">
        <x:v>IDN-U-PENDING-002</x:v>
      </x:c>
      <x:c r="B21" s="15" t="str">
        <x:v>PENDING-002</x:v>
      </x:c>
      <x:c r="C21" s="15" t="str"/>
      <x:c r="D21" s="15" t="str"/>
      <x:c r="E21" s="15" t="str">
        <x:v>部分阻塞</x:v>
      </x:c>
      <x:c r="F21" s="15" t="str">
        <x:v>印尼直播需求缺口</x:v>
      </x:c>
      <x:c r="G21" s="15" t="str">
        <x:v>用户App：首次注册、设置密码、修改密码、忘记密码及邮箱账号的完整流程是什么？</x:v>
      </x:c>
      <x:c r="H21" s="15" t="str">
        <x:v>业务规则</x:v>
      </x:c>
      <x:c r="I21" s="15" t="str">
        <x:v>需补充原始证据后再形成可测试规则</x:v>
      </x:c>
      <x:c r="J21" s="15" t="str">
        <x:v>A. 补充可测试的正式结论及适用范围
B. 明确本期不实现并记录后续版本范围</x:v>
      </x:c>
      <x:c r="K21" s="15" t="str">
        <x:v>确认后按最终规则补充正常、异常、边界及跨端一致性用例</x:v>
      </x:c>
      <x:c r="L21" s="16" t="str"/>
      <x:c r="M21" s="16" t="str"/>
      <x:c r="N21" s="15" t="str">
        <x:v>1. 需求待确认.md:12
2. 来源：佘柱湘称缺少“设置密码登录”，李浩称入口不做设置/修改密码且不做忘记密码；邮箱适用范围未完整回答。
3. 原问题或答案依赖未附截图、撤回内容或完整上下文，现有文本不足以形成确定规则</x:v>
      </x:c>
      <x:c r="O21" s="15" t="str">
        <x:v>1. 用户App 首次注册、设置密码、修改密码、忘记密码及邮箱账号的完整流程是什么？</x:v>
      </x:c>
      <x:c r="P21" s="15" t="str"/>
      <x:c r="Q21" s="15" t="str">
        <x:v>1. 需补充原始证据后再形成可测试规则</x:v>
      </x:c>
      <x:c r="R21" s="15" t="str">
        <x:v>产品</x:v>
      </x:c>
      <x:c r="S21" s="15" t="str">
        <x:v>进入对应功能测试前</x:v>
      </x:c>
      <x:c r="T21" s="15" t="str">
        <x:v>待确认</x:v>
      </x:c>
    </x:row>
    <x:row r="22" ht="96" customHeight="1">
      <x:c r="A22" s="15" t="str">
        <x:v>IDN-U-PENDING-003</x:v>
      </x:c>
      <x:c r="B22" s="15" t="str">
        <x:v>PENDING-003</x:v>
      </x:c>
      <x:c r="C22" s="15" t="str"/>
      <x:c r="D22" s="15" t="str"/>
      <x:c r="E22" s="15" t="str">
        <x:v>部分阻塞</x:v>
      </x:c>
      <x:c r="F22" s="15" t="str">
        <x:v>印尼直播需求缺口</x:v>
      </x:c>
      <x:c r="G22" s="15" t="str">
        <x:v>用户App：主播切后台后，观众端是否显示“主播暂时离开”提示？</x:v>
      </x:c>
      <x:c r="H22" s="15" t="str">
        <x:v>业务规则</x:v>
      </x:c>
      <x:c r="I22" s="15" t="str">
        <x:v>需补充原始证据后再形成可测试规则</x:v>
      </x:c>
      <x:c r="J22" s="15" t="str">
        <x:v>A. 补充可测试的正式结论及适用范围
B. 明确本期不实现并记录后续版本范围</x:v>
      </x:c>
      <x:c r="K22" s="15" t="str">
        <x:v>确认后按最终规则补充正常、异常、边界及跨端一致性用例</x:v>
      </x:c>
      <x:c r="L22" s="16" t="str"/>
      <x:c r="M22" s="16" t="str"/>
      <x:c r="N22" s="15" t="str">
        <x:v>1. 需求待确认.md:13
2. 来源：先确认展示提示，后因可能无法实现又接受只停在最后一帧。
3. 原问题或答案依赖未附截图、撤回内容或完整上下文，现有文本不足以形成确定规则</x:v>
      </x:c>
      <x:c r="O22" s="15" t="str">
        <x:v>1. 用户App 主播切后台后，观众端是否显示“主播暂时离开”提示？</x:v>
      </x:c>
      <x:c r="P22" s="15" t="str"/>
      <x:c r="Q22" s="15" t="str">
        <x:v>1. 需补充原始证据后再形成可测试规则</x:v>
      </x:c>
      <x:c r="R22" s="15" t="str">
        <x:v>产品</x:v>
      </x:c>
      <x:c r="S22" s="15" t="str">
        <x:v>进入对应功能测试前</x:v>
      </x:c>
      <x:c r="T22" s="15" t="str">
        <x:v>待确认</x:v>
      </x:c>
    </x:row>
    <x:row r="23" ht="96" customHeight="1">
      <x:c r="A23" s="15" t="str">
        <x:v>IDN-U-PENDING-004</x:v>
      </x:c>
      <x:c r="B23" s="15" t="str">
        <x:v>PENDING-004</x:v>
      </x:c>
      <x:c r="C23" s="15" t="str"/>
      <x:c r="D23" s="15" t="str"/>
      <x:c r="E23" s="15" t="str">
        <x:v>部分阻塞</x:v>
      </x:c>
      <x:c r="F23" s="15" t="str">
        <x:v>印尼直播需求缺口</x:v>
      </x:c>
      <x:c r="G23" s="15" t="str">
        <x:v>用户App：密码房白名单在开播前是否校验为空，开播中能否增删成员？</x:v>
      </x:c>
      <x:c r="H23" s="15" t="str">
        <x:v>业务规则</x:v>
      </x:c>
      <x:c r="I23" s="15" t="str">
        <x:v>需补充原始证据后再形成可测试规则</x:v>
      </x:c>
      <x:c r="J23" s="15" t="str">
        <x:v>A. 补充可测试的正式结论及适用范围
B. 明确本期不实现并记录后续版本范围</x:v>
      </x:c>
      <x:c r="K23" s="15" t="str">
        <x:v>确认后按最终规则补充正常、异常、边界及跨端一致性用例</x:v>
      </x:c>
      <x:c r="L23" s="16" t="str"/>
      <x:c r="M23" s="16" t="str"/>
      <x:c r="N23" s="15" t="str">
        <x:v>1. 需求待确认.md:14
2. 来源：佘柱湘建议开播前校验且开播中可修改，李浩随后明确不做校验、允许无人可进入的直播开播。
3. 原问题或答案依赖未附截图、撤回内容或完整上下文，现有文本不足以形成确定规则</x:v>
      </x:c>
      <x:c r="O23" s="15" t="str">
        <x:v>1. 用户App 密码房白名单在开播前是否校验为空，开播中能否增删成员？</x:v>
      </x:c>
      <x:c r="P23" s="15" t="str"/>
      <x:c r="Q23" s="15" t="str">
        <x:v>1. 需补充原始证据后再形成可测试规则</x:v>
      </x:c>
      <x:c r="R23" s="15" t="str">
        <x:v>产品</x:v>
      </x:c>
      <x:c r="S23" s="15" t="str">
        <x:v>进入对应功能测试前</x:v>
      </x:c>
      <x:c r="T23" s="15" t="str">
        <x:v>待确认</x:v>
      </x:c>
    </x:row>
    <x:row r="24" ht="96" customHeight="1">
      <x:c r="A24" s="15" t="str">
        <x:v>IDN-U-PENDING-006</x:v>
      </x:c>
      <x:c r="B24" s="15" t="str">
        <x:v>PENDING-006</x:v>
      </x:c>
      <x:c r="C24" s="15" t="str"/>
      <x:c r="D24" s="15" t="str"/>
      <x:c r="E24" s="15" t="str">
        <x:v>部分阻塞</x:v>
      </x:c>
      <x:c r="F24" s="15" t="str">
        <x:v>印尼直播需求缺口</x:v>
      </x:c>
      <x:c r="G24" s="15" t="str">
        <x:v>用户App：幸运礼物主播收益的小数处理，是逐个礼物截断后累计，还是先累计后统一处理？</x:v>
      </x:c>
      <x:c r="H24" s="15" t="str">
        <x:v>业务规则</x:v>
      </x:c>
      <x:c r="I24" s="15" t="str">
        <x:v>需补充原始证据后再形成可测试规则</x:v>
      </x:c>
      <x:c r="J24" s="15" t="str">
        <x:v>A. 补充可测试的正式结论及适用范围
B. 明确本期不实现并记录后续版本范围</x:v>
      </x:c>
      <x:c r="K24" s="15" t="str">
        <x:v>确认后按最终规则补充正常、异常、边界及跨端一致性用例</x:v>
      </x:c>
      <x:c r="L24" s="16" t="str"/>
      <x:c r="M24" s="16" t="str"/>
      <x:c r="N24" s="15" t="str">
        <x:v>1. 需求待确认.md:16
2. 来源：李浩给出逐个截断规则，随后被指出会导致小额礼物批量发送仍产生 0 收益，未见最终回复。
3. 原问题或答案依赖未附截图、撤回内容或完整上下文，现有文本不足以形成确定规则</x:v>
      </x:c>
      <x:c r="O24" s="15" t="str">
        <x:v>1. 用户App 幸运礼物主播收益的小数处理，是逐个礼物截断后累计，还是先累计后统一处理？</x:v>
      </x:c>
      <x:c r="P24" s="15" t="str"/>
      <x:c r="Q24" s="15" t="str">
        <x:v>1. 需补充原始证据后再形成可测试规则</x:v>
      </x:c>
      <x:c r="R24" s="15" t="str">
        <x:v>产品</x:v>
      </x:c>
      <x:c r="S24" s="15" t="str">
        <x:v>进入对应功能测试前</x:v>
      </x:c>
      <x:c r="T24" s="15" t="str">
        <x:v>待确认</x:v>
      </x:c>
    </x:row>
    <x:row r="25" ht="96" customHeight="1">
      <x:c r="A25" s="15" t="str">
        <x:v>IDN-U-PENDING-007</x:v>
      </x:c>
      <x:c r="B25" s="15" t="str">
        <x:v>PENDING-007</x:v>
      </x:c>
      <x:c r="C25" s="15" t="str"/>
      <x:c r="D25" s="15" t="str"/>
      <x:c r="E25" s="15" t="str">
        <x:v>部分阻塞</x:v>
      </x:c>
      <x:c r="F25" s="15" t="str">
        <x:v>印尼直播需求缺口</x:v>
      </x:c>
      <x:c r="G25" s="15" t="str">
        <x:v>用户App：已互相拉黑的双方在同一直播间或粉丝团中，是否仍可互见消息和礼物；房管是否仍可管理对方？</x:v>
      </x:c>
      <x:c r="H25" s="15" t="str">
        <x:v>业务规则</x:v>
      </x:c>
      <x:c r="I25" s="15" t="str">
        <x:v>需补充原始证据后再形成可测试规则</x:v>
      </x:c>
      <x:c r="J25" s="15" t="str">
        <x:v>A. 补充可测试的正式结论及适用范围
B. 明确本期不实现并记录后续版本范围</x:v>
      </x:c>
      <x:c r="K25" s="15" t="str">
        <x:v>确认后按最终规则补充正常、异常、边界及跨端一致性用例</x:v>
      </x:c>
      <x:c r="L25" s="16" t="str"/>
      <x:c r="M25" s="16" t="str"/>
      <x:c r="N25" s="15" t="str">
        <x:v>1. 需求待确认.md:17
2. 来源：最后聊天回复称可以互见且房管仍可管理，随后被指出与早间说法冲突，只承诺更新。
3. 原问题或答案依赖未附截图、撤回内容或完整上下文，现有文本不足以形成确定规则</x:v>
      </x:c>
      <x:c r="O25" s="15" t="str">
        <x:v>1. 用户App 已互相拉黑的双方在同一直播间或粉丝团中，是否仍可互见消息和礼物；房管是否仍可管理对方？</x:v>
      </x:c>
      <x:c r="P25" s="15" t="str"/>
      <x:c r="Q25" s="15" t="str">
        <x:v>1. 需补充原始证据后再形成可测试规则</x:v>
      </x:c>
      <x:c r="R25" s="15" t="str">
        <x:v>产品</x:v>
      </x:c>
      <x:c r="S25" s="15" t="str">
        <x:v>进入对应功能测试前</x:v>
      </x:c>
      <x:c r="T25" s="15" t="str">
        <x:v>待确认</x:v>
      </x:c>
    </x:row>
    <x:row r="26" ht="96" customHeight="1">
      <x:c r="A26" s="15" t="str">
        <x:v>IDN-U-PENDING-011</x:v>
      </x:c>
      <x:c r="B26" s="15" t="str">
        <x:v>PENDING-011</x:v>
      </x:c>
      <x:c r="C26" s="15" t="str"/>
      <x:c r="D26" s="15" t="str"/>
      <x:c r="E26" s="15" t="str">
        <x:v>不阻塞</x:v>
      </x:c>
      <x:c r="F26" s="15" t="str">
        <x:v>印尼直播需求缺口</x:v>
      </x:c>
      <x:c r="G26" s="15" t="str">
        <x:v>用户App：注销账号后的登录、重新注册、冷静期及粉丝团处理</x:v>
      </x:c>
      <x:c r="H26" s="15" t="str">
        <x:v>流程与状态</x:v>
      </x:c>
      <x:c r="I26" s="15" t="str">
        <x:v>冷静期时长、取消注销入口、注销后是否允许重新注册、数据恢复规则。</x:v>
      </x:c>
      <x:c r="J26" s="15" t="str">
        <x:v>A. 补充可测试的正式结论及适用范围
B. 明确本期不实现并记录后续版本范围</x:v>
      </x:c>
      <x:c r="K26" s="15" t="str">
        <x:v>确认后按最终规则补充正常、异常、边界及跨端一致性用例</x:v>
      </x:c>
      <x:c r="L26" s="16" t="str"/>
      <x:c r="M26" s="16" t="str"/>
      <x:c r="N26" s="15" t="str">
        <x:v>1. 需求待确认.md:26
2. 来源：Q029、Q086
3. 已明确要限制登录、解散粉丝团并增加冷静期。</x:v>
      </x:c>
      <x:c r="O26" s="15" t="str">
        <x:v>1. 用户App 注销账号后的登录、重新注册、冷静期及粉丝团处理</x:v>
      </x:c>
      <x:c r="P26" s="15" t="str"/>
      <x:c r="Q26" s="15" t="str">
        <x:v>1. 冷静期时长、取消注销入口、注销后是否允许重新注册、数据恢复规则。</x:v>
      </x:c>
      <x:c r="R26" s="15" t="str">
        <x:v>产品</x:v>
      </x:c>
      <x:c r="S26" s="15" t="str">
        <x:v>进入对应功能测试前</x:v>
      </x:c>
      <x:c r="T26" s="15" t="str">
        <x:v>待确认</x:v>
      </x:c>
    </x:row>
    <x:row r="27" ht="96" customHeight="1">
      <x:c r="A27" s="15" t="str">
        <x:v>IDN-U-PENDING-012</x:v>
      </x:c>
      <x:c r="B27" s="15" t="str">
        <x:v>PENDING-012</x:v>
      </x:c>
      <x:c r="C27" s="15" t="str"/>
      <x:c r="D27" s="15" t="str"/>
      <x:c r="E27" s="15" t="str">
        <x:v>不阻塞</x:v>
      </x:c>
      <x:c r="F27" s="15" t="str">
        <x:v>印尼直播需求缺口</x:v>
      </x:c>
      <x:c r="G27" s="15" t="str">
        <x:v>用户App：道具获取与任务奖励范围</x:v>
      </x:c>
      <x:c r="H27" s="15" t="str">
        <x:v>流程与状态</x:v>
      </x:c>
      <x:c r="I27" s="15" t="str">
        <x:v>道具通过任务、购买、等级获得的详细条件和后续版本范围。</x:v>
      </x:c>
      <x:c r="J27" s="15" t="str">
        <x:v>A. 补充可测试的正式结论及适用范围
B. 明确本期不实现并记录后续版本范围</x:v>
      </x:c>
      <x:c r="K27" s="15" t="str">
        <x:v>确认后按最终规则补充正常、异常、边界及跨端一致性用例</x:v>
      </x:c>
      <x:c r="L27" s="16" t="str"/>
      <x:c r="M27" s="16" t="str"/>
      <x:c r="N27" s="15" t="str">
        <x:v>1. 需求待确认.md:27
2. 来源：Q031
3. 本期任务中心只奖励金币；道具只做配置。</x:v>
      </x:c>
      <x:c r="O27" s="15" t="str">
        <x:v>1. 用户App 道具获取与任务奖励范围</x:v>
      </x:c>
      <x:c r="P27" s="15" t="str"/>
      <x:c r="Q27" s="15" t="str">
        <x:v>1. 道具通过任务、购买、等级获得的详细条件和后续版本范围。</x:v>
      </x:c>
      <x:c r="R27" s="15" t="str">
        <x:v>产品</x:v>
      </x:c>
      <x:c r="S27" s="15" t="str">
        <x:v>进入对应功能测试前</x:v>
      </x:c>
      <x:c r="T27" s="15" t="str">
        <x:v>待确认</x:v>
      </x:c>
    </x:row>
    <x:row r="28" ht="96" customHeight="1">
      <x:c r="A28" s="15" t="str">
        <x:v>IDN-U-PENDING-014</x:v>
      </x:c>
      <x:c r="B28" s="15" t="str">
        <x:v>PENDING-014</x:v>
      </x:c>
      <x:c r="C28" s="15" t="str"/>
      <x:c r="D28" s="15" t="str"/>
      <x:c r="E28" s="15" t="str">
        <x:v>不阻塞</x:v>
      </x:c>
      <x:c r="F28" s="15" t="str">
        <x:v>印尼直播需求缺口</x:v>
      </x:c>
      <x:c r="G28" s="15" t="str">
        <x:v>用户App：进房提示和全局等级体系</x:v>
      </x:c>
      <x:c r="H28" s="15" t="str">
        <x:v>流程与状态</x:v>
      </x:c>
      <x:c r="I28" s="15" t="str">
        <x:v>进房提示的触发条件、文案；亲密度配置位置；完整等级种类。</x:v>
      </x:c>
      <x:c r="J28" s="15" t="str">
        <x:v>A. 补充可测试的正式结论及适用范围
B. 明确本期不实现并记录后续版本范围</x:v>
      </x:c>
      <x:c r="K28" s="15" t="str">
        <x:v>确认后按最终规则补充正常、异常、边界及跨端一致性用例</x:v>
      </x:c>
      <x:c r="L28" s="16" t="str"/>
      <x:c r="M28" s="16" t="str"/>
      <x:c r="N28" s="15" t="str">
        <x:v>1. 需求待确认.md:29
2. 来源：Q043、Q044
3. 只承诺整理。</x:v>
      </x:c>
      <x:c r="O28" s="15" t="str">
        <x:v>1. 用户App 进房提示和全局等级体系</x:v>
      </x:c>
      <x:c r="P28" s="15" t="str"/>
      <x:c r="Q28" s="15" t="str">
        <x:v>1. 进房提示的触发条件、文案；亲密度配置位置；完整等级种类。</x:v>
      </x:c>
      <x:c r="R28" s="15" t="str">
        <x:v>产品</x:v>
      </x:c>
      <x:c r="S28" s="15" t="str">
        <x:v>进入对应功能测试前</x:v>
      </x:c>
      <x:c r="T28" s="15" t="str">
        <x:v>待确认</x:v>
      </x:c>
    </x:row>
    <x:row r="29" ht="96" customHeight="1">
      <x:c r="A29" s="15" t="str">
        <x:v>IDN-U-PENDING-015</x:v>
      </x:c>
      <x:c r="B29" s="15" t="str">
        <x:v>PENDING-015</x:v>
      </x:c>
      <x:c r="C29" s="15" t="str"/>
      <x:c r="D29" s="15" t="str"/>
      <x:c r="E29" s="15" t="str">
        <x:v>不阻塞</x:v>
      </x:c>
      <x:c r="F29" s="15" t="str">
        <x:v>印尼直播需求缺口</x:v>
      </x:c>
      <x:c r="G29" s="15" t="str">
        <x:v>用户App：充值限制和直播间返奖统计</x:v>
      </x:c>
      <x:c r="H29" s="15" t="str">
        <x:v>流程与状态</x:v>
      </x:c>
      <x:c r="I29" s="15" t="str">
        <x:v>第三方账号、运营账号充值限制；绑定手机号引导；统计时间和次数配置。</x:v>
      </x:c>
      <x:c r="J29" s="15" t="str">
        <x:v>A. 补充可测试的正式结论及适用范围
B. 明确本期不实现并记录后续版本范围</x:v>
      </x:c>
      <x:c r="K29" s="15" t="str">
        <x:v>确认后按最终规则补充正常、异常、边界及跨端一致性用例</x:v>
      </x:c>
      <x:c r="L29" s="16" t="str"/>
      <x:c r="M29" s="16" t="str"/>
      <x:c r="N29" s="15" t="str">
        <x:v>1. 需求待确认.md:30
2. 来源：Q047
3. 已确认圈出的金币是用户送出幸运礼物时的返奖数量。</x:v>
      </x:c>
      <x:c r="O29" s="15" t="str">
        <x:v>1. 用户App 充值限制和直播间返奖统计</x:v>
      </x:c>
      <x:c r="P29" s="15" t="str"/>
      <x:c r="Q29" s="15" t="str">
        <x:v>1. 第三方账号、运营账号充值限制；绑定手机号引导；统计时间和次数配置。</x:v>
      </x:c>
      <x:c r="R29" s="15" t="str">
        <x:v>产品</x:v>
      </x:c>
      <x:c r="S29" s="15" t="str">
        <x:v>进入对应功能测试前</x:v>
      </x:c>
      <x:c r="T29" s="15" t="str">
        <x:v>待确认</x:v>
      </x:c>
    </x:row>
    <x:row r="30" ht="96" customHeight="1">
      <x:c r="A30" s="15" t="str">
        <x:v>IDN-U-PENDING-017</x:v>
      </x:c>
      <x:c r="B30" s="15" t="str">
        <x:v>PENDING-017</x:v>
      </x:c>
      <x:c r="C30" s="15" t="str"/>
      <x:c r="D30" s="15" t="str"/>
      <x:c r="E30" s="15" t="str">
        <x:v>不阻塞</x:v>
      </x:c>
      <x:c r="F30" s="15" t="str">
        <x:v>印尼直播需求缺口</x:v>
      </x:c>
      <x:c r="G30" s="15" t="str">
        <x:v>用户App：客服方案</x:v>
      </x:c>
      <x:c r="H30" s="15" t="str">
        <x:v>流程与状态</x:v>
      </x:c>
      <x:c r="I30" s="15" t="str">
        <x:v>最终方案；若采用 WhatsApp，需确认号码配置、未安装时降级和跳转失败处理。</x:v>
      </x:c>
      <x:c r="J30" s="15" t="str">
        <x:v>A. 补充可测试的正式结论及适用范围
B. 明确本期不实现并记录后续版本范围</x:v>
      </x:c>
      <x:c r="K30" s="15" t="str">
        <x:v>确认后按最终规则补充正常、异常、边界及跨端一致性用例</x:v>
      </x:c>
      <x:c r="L30" s="16" t="str"/>
      <x:c r="M30" s="16" t="str"/>
      <x:c r="N30" s="15" t="str">
        <x:v>1. 需求待确认.md:32
2. 来源：Q065、Q133
3. 可能接平台或直接放联系方式。</x:v>
      </x:c>
      <x:c r="O30" s="15" t="str">
        <x:v>1. 用户App 客服方案</x:v>
      </x:c>
      <x:c r="P30" s="15" t="str"/>
      <x:c r="Q30" s="15" t="str">
        <x:v>1. 最终方案；若采用 WhatsApp，需确认号码配置、未安装时降级和跳转失败处理。</x:v>
      </x:c>
      <x:c r="R30" s="15" t="str">
        <x:v>产品</x:v>
      </x:c>
      <x:c r="S30" s="15" t="str">
        <x:v>进入对应功能测试前</x:v>
      </x:c>
      <x:c r="T30" s="15" t="str">
        <x:v>待确认</x:v>
      </x:c>
    </x:row>
    <x:row r="31" ht="96" customHeight="1">
      <x:c r="A31" s="15" t="str">
        <x:v>IDN-U-PENDING-018</x:v>
      </x:c>
      <x:c r="B31" s="15" t="str">
        <x:v>PENDING-018</x:v>
      </x:c>
      <x:c r="C31" s="15" t="str"/>
      <x:c r="D31" s="15" t="str"/>
      <x:c r="E31" s="15" t="str">
        <x:v>不阻塞</x:v>
      </x:c>
      <x:c r="F31" s="15" t="str">
        <x:v>印尼直播需求缺口</x:v>
      </x:c>
      <x:c r="G31" s="15" t="str">
        <x:v>用户App：私信敏感词服务</x:v>
      </x:c>
      <x:c r="H31" s="15" t="str">
        <x:v>流程与状态</x:v>
      </x:c>
      <x:c r="I31" s="15" t="str">
        <x:v>服务商、费用、检测范围、后台是否保留配置和违规处理方式。</x:v>
      </x:c>
      <x:c r="J31" s="15" t="str">
        <x:v>A. 补充可测试的正式结论及适用范围
B. 明确本期不实现并记录后续版本范围</x:v>
      </x:c>
      <x:c r="K31" s="15" t="str">
        <x:v>确认后按最终规则补充正常、异常、边界及跨端一致性用例</x:v>
      </x:c>
      <x:c r="L31" s="16" t="str"/>
      <x:c r="M31" s="16" t="str"/>
      <x:c r="N31" s="15" t="str">
        <x:v>1. 需求待确认.md:33
2. 来源：Q067
3. 本期先不做，倾向接第三方。</x:v>
      </x:c>
      <x:c r="O31" s="15" t="str">
        <x:v>1. 用户App 私信敏感词服务</x:v>
      </x:c>
      <x:c r="P31" s="15" t="str"/>
      <x:c r="Q31" s="15" t="str">
        <x:v>1. 服务商、费用、检测范围、后台是否保留配置和违规处理方式。</x:v>
      </x:c>
      <x:c r="R31" s="15" t="str">
        <x:v>产品</x:v>
      </x:c>
      <x:c r="S31" s="15" t="str">
        <x:v>进入对应功能测试前</x:v>
      </x:c>
      <x:c r="T31" s="15" t="str">
        <x:v>待确认</x:v>
      </x:c>
    </x:row>
    <x:row r="32" ht="96" customHeight="1">
      <x:c r="A32" s="15" t="str">
        <x:v>IDN-U-PENDING-019</x:v>
      </x:c>
      <x:c r="B32" s="15" t="str">
        <x:v>PENDING-019</x:v>
      </x:c>
      <x:c r="C32" s="15" t="str"/>
      <x:c r="D32" s="15" t="str"/>
      <x:c r="E32" s="15" t="str">
        <x:v>不阻塞</x:v>
      </x:c>
      <x:c r="F32" s="15" t="str">
        <x:v>印尼直播需求缺口</x:v>
      </x:c>
      <x:c r="G32" s="15" t="str">
        <x:v>用户App：生效中任务的修改和下架规则</x:v>
      </x:c>
      <x:c r="H32" s="15" t="str">
        <x:v>流程与状态</x:v>
      </x:c>
      <x:c r="I32" s="15" t="str">
        <x:v>该方案只是设想，需确认是否采用；还需处理规则变更后的历史进度迁移。</x:v>
      </x:c>
      <x:c r="J32" s="15" t="str">
        <x:v>A. 补充可测试的正式结论及适用范围
B. 明确本期不实现并记录后续版本范围</x:v>
      </x:c>
      <x:c r="K32" s="15" t="str">
        <x:v>确认后按最终规则补充正常、异常、边界及跨端一致性用例</x:v>
      </x:c>
      <x:c r="L32" s="16" t="str"/>
      <x:c r="M32" s="16" t="str"/>
      <x:c r="N32" s="15" t="str">
        <x:v>1. 需求待确认.md:34
2. 来源：Q076
3. 曾提出新规则立即影响进行中任务、已完成/领取不受影响、下架保留进度。</x:v>
      </x:c>
      <x:c r="O32" s="15" t="str">
        <x:v>1. 用户App 生效中任务的修改和下架规则</x:v>
      </x:c>
      <x:c r="P32" s="15" t="str"/>
      <x:c r="Q32" s="15" t="str">
        <x:v>1. 该方案只是设想，需确认是否采用；还需处理规则变更后的历史进度迁移。</x:v>
      </x:c>
      <x:c r="R32" s="15" t="str">
        <x:v>产品</x:v>
      </x:c>
      <x:c r="S32" s="15" t="str">
        <x:v>进入对应功能测试前</x:v>
      </x:c>
      <x:c r="T32" s="15" t="str">
        <x:v>待确认</x:v>
      </x:c>
    </x:row>
    <x:row r="33" ht="96" customHeight="1">
      <x:c r="A33" s="15" t="str">
        <x:v>IDN-U-PENDING-020</x:v>
      </x:c>
      <x:c r="B33" s="15" t="str">
        <x:v>PENDING-020</x:v>
      </x:c>
      <x:c r="C33" s="15" t="str"/>
      <x:c r="D33" s="15" t="str"/>
      <x:c r="E33" s="15" t="str">
        <x:v>不阻塞</x:v>
      </x:c>
      <x:c r="F33" s="15" t="str">
        <x:v>印尼直播需求缺口</x:v>
      </x:c>
      <x:c r="G33" s="15" t="str">
        <x:v>用户App：运营位在直播数量不足时如何顺延</x:v>
      </x:c>
      <x:c r="H33" s="15" t="str">
        <x:v>流程与状态</x:v>
      </x:c>
      <x:c r="I33" s="15" t="str">
        <x:v>最终位置；只有 1 场或 0 场直播时的顺延；无 Banner 时是否占位。</x:v>
      </x:c>
      <x:c r="J33" s="15" t="str">
        <x:v>A. 补充可测试的正式结论及适用范围
B. 明确本期不实现并记录后续版本范围</x:v>
      </x:c>
      <x:c r="K33" s="15" t="str">
        <x:v>确认后按最终规则补充正常、异常、边界及跨端一致性用例</x:v>
      </x:c>
      <x:c r="L33" s="16" t="str"/>
      <x:c r="M33" s="16" t="str"/>
      <x:c r="N33" s="15" t="str">
        <x:v>1. 需求待确认.md:35
2. 来源：Q098、Q100
3. 曾提固定第三位或前四位随机。</x:v>
      </x:c>
      <x:c r="O33" s="15" t="str">
        <x:v>1. 用户App 运营位在直播数量不足时如何顺延</x:v>
      </x:c>
      <x:c r="P33" s="15" t="str"/>
      <x:c r="Q33" s="15" t="str">
        <x:v>1. 最终位置；只有 1 场或 0 场直播时的顺延；无 Banner 时是否占位。</x:v>
      </x:c>
      <x:c r="R33" s="15" t="str">
        <x:v>产品</x:v>
      </x:c>
      <x:c r="S33" s="15" t="str">
        <x:v>进入对应功能测试前</x:v>
      </x:c>
      <x:c r="T33" s="15" t="str">
        <x:v>待确认</x:v>
      </x:c>
    </x:row>
    <x:row r="34" ht="96" customHeight="1">
      <x:c r="A34" s="15" t="str">
        <x:v>IDN-U-PENDING-021</x:v>
      </x:c>
      <x:c r="B34" s="15" t="str">
        <x:v>PENDING-021</x:v>
      </x:c>
      <x:c r="C34" s="15" t="str"/>
      <x:c r="D34" s="15" t="str"/>
      <x:c r="E34" s="15" t="str">
        <x:v>不阻塞</x:v>
      </x:c>
      <x:c r="F34" s="15" t="str">
        <x:v>印尼直播需求缺口</x:v>
      </x:c>
      <x:c r="G34" s="15" t="str">
        <x:v>用户App：充值套餐赠送百分比由谁计算</x:v>
      </x:c>
      <x:c r="H34" s="15" t="str">
        <x:v>流程与状态</x:v>
      </x:c>
      <x:c r="I34" s="15" t="str">
        <x:v>百分比由前端还是后端计算；精度和舍入规则。</x:v>
      </x:c>
      <x:c r="J34" s="15" t="str">
        <x:v>A. 补充可测试的正式结论及适用范围
B. 明确本期不实现并记录后续版本范围</x:v>
      </x:c>
      <x:c r="K34" s="15" t="str">
        <x:v>确认后按最终规则补充正常、异常、边界及跨端一致性用例</x:v>
      </x:c>
      <x:c r="L34" s="16" t="str"/>
      <x:c r="M34" s="16" t="str"/>
      <x:c r="N34" s="15" t="str">
        <x:v>1. 需求待确认.md:36
2. 来源：Q103
3. 后台只录入赠送金币绝对值。</x:v>
      </x:c>
      <x:c r="O34" s="15" t="str">
        <x:v>1. 用户App 充值套餐赠送百分比由谁计算</x:v>
      </x:c>
      <x:c r="P34" s="15" t="str"/>
      <x:c r="Q34" s="15" t="str">
        <x:v>1. 百分比由前端还是后端计算；精度和舍入规则。</x:v>
      </x:c>
      <x:c r="R34" s="15" t="str">
        <x:v>产品</x:v>
      </x:c>
      <x:c r="S34" s="15" t="str">
        <x:v>进入对应功能测试前</x:v>
      </x:c>
      <x:c r="T34" s="15" t="str">
        <x:v>待确认</x:v>
      </x:c>
    </x:row>
    <x:row r="35" ht="96" customHeight="1">
      <x:c r="A35" s="15" t="str">
        <x:v>IDN-U-PENDING-022</x:v>
      </x:c>
      <x:c r="B35" s="15" t="str">
        <x:v>PENDING-022</x:v>
      </x:c>
      <x:c r="C35" s="15" t="str"/>
      <x:c r="D35" s="15" t="str"/>
      <x:c r="E35" s="15" t="str">
        <x:v>不阻塞</x:v>
      </x:c>
      <x:c r="F35" s="15" t="str">
        <x:v>印尼直播需求缺口</x:v>
      </x:c>
      <x:c r="G35" s="15" t="str">
        <x:v>用户App：主播认证 OCR</x:v>
      </x:c>
      <x:c r="H35" s="15" t="str">
        <x:v>流程与状态</x:v>
      </x:c>
      <x:c r="I35" s="15" t="str">
        <x:v>是否接 OCR、供应商、失败降级、人工复核和费用承担。</x:v>
      </x:c>
      <x:c r="J35" s="15" t="str">
        <x:v>A. 补充可测试的正式结论及适用范围
B. 明确本期不实现并记录后续版本范围</x:v>
      </x:c>
      <x:c r="K35" s="15" t="str">
        <x:v>确认后按最终规则补充正常、异常、边界及跨端一致性用例</x:v>
      </x:c>
      <x:c r="L35" s="16" t="str"/>
      <x:c r="M35" s="16" t="str"/>
      <x:c r="N35" s="15" t="str">
        <x:v>1. 需求待确认.md:37
2. 来源：Q106、Q112、Q136
3. 一处回复称证件人工核对、不做系统校验；此前和随后仍在讨论 OCR 接入。</x:v>
      </x:c>
      <x:c r="O35" s="15" t="str">
        <x:v>1. 用户App 主播认证 OCR</x:v>
      </x:c>
      <x:c r="P35" s="15" t="str"/>
      <x:c r="Q35" s="15" t="str">
        <x:v>1. 是否接 OCR、供应商、失败降级、人工复核和费用承担。</x:v>
      </x:c>
      <x:c r="R35" s="15" t="str">
        <x:v>产品</x:v>
      </x:c>
      <x:c r="S35" s="15" t="str">
        <x:v>进入对应功能测试前</x:v>
      </x:c>
      <x:c r="T35" s="15" t="str">
        <x:v>待确认</x:v>
      </x:c>
    </x:row>
    <x:row r="36" ht="96" customHeight="1">
      <x:c r="A36" s="15" t="str">
        <x:v>IDN-U-PENDING-023</x:v>
      </x:c>
      <x:c r="B36" s="15" t="str">
        <x:v>PENDING-023</x:v>
      </x:c>
      <x:c r="C36" s="15" t="str"/>
      <x:c r="D36" s="15" t="str"/>
      <x:c r="E36" s="15" t="str">
        <x:v>不阻塞</x:v>
      </x:c>
      <x:c r="F36" s="15" t="str">
        <x:v>印尼直播需求缺口</x:v>
      </x:c>
      <x:c r="G36" s="15" t="str">
        <x:v>用户App：IM 表情</x:v>
      </x:c>
      <x:c r="H36" s="15" t="str">
        <x:v>流程与状态</x:v>
      </x:c>
      <x:c r="I36" s="15" t="str">
        <x:v>使用的 IM 是否提供、表情范围及最终一期范围。</x:v>
      </x:c>
      <x:c r="J36" s="15" t="str">
        <x:v>A. 补充可测试的正式结论及适用范围
B. 明确本期不实现并记录后续版本范围</x:v>
      </x:c>
      <x:c r="K36" s="15" t="str">
        <x:v>确认后按最终规则补充正常、异常、边界及跨端一致性用例</x:v>
      </x:c>
      <x:c r="L36" s="16" t="str"/>
      <x:c r="M36" s="16" t="str"/>
      <x:c r="N36" s="15" t="str">
        <x:v>1. 需求待确认.md:38
2. 来源：Q121
3. 第三方 IM 有内置表情则接入，否则暂不做。</x:v>
      </x:c>
      <x:c r="O36" s="15" t="str">
        <x:v>1. 用户App IM 表情</x:v>
      </x:c>
      <x:c r="P36" s="15" t="str"/>
      <x:c r="Q36" s="15" t="str">
        <x:v>1. 使用的 IM 是否提供、表情范围及最终一期范围。</x:v>
      </x:c>
      <x:c r="R36" s="15" t="str">
        <x:v>产品</x:v>
      </x:c>
      <x:c r="S36" s="15" t="str">
        <x:v>进入对应功能测试前</x:v>
      </x:c>
      <x:c r="T36" s="15" t="str">
        <x:v>待确认</x:v>
      </x:c>
    </x:row>
    <x:row r="37" ht="96" customHeight="1">
      <x:c r="A37" s="15" t="str">
        <x:v>IDN-U-PENDING-024</x:v>
      </x:c>
      <x:c r="B37" s="15" t="str">
        <x:v>PENDING-024</x:v>
      </x:c>
      <x:c r="C37" s="15" t="str"/>
      <x:c r="D37" s="15" t="str"/>
      <x:c r="E37" s="15" t="str">
        <x:v>不阻塞</x:v>
      </x:c>
      <x:c r="F37" s="15" t="str">
        <x:v>印尼直播需求缺口</x:v>
      </x:c>
      <x:c r="G37" s="15" t="str">
        <x:v>用户App：粉丝团的 IM 套餐和容量方案</x:v>
      </x:c>
      <x:c r="H37" s="15" t="str">
        <x:v>流程与状态</x:v>
      </x:c>
      <x:c r="I37" s="15" t="str">
        <x:v>最终套餐、免费/Pro/Enterprise 上限、扩容费用及达到上限后的创建策略。</x:v>
      </x:c>
      <x:c r="J37" s="15" t="str">
        <x:v>A. 补充可测试的正式结论及适用范围
B. 明确本期不实现并记录后续版本范围</x:v>
      </x:c>
      <x:c r="K37" s="15" t="str">
        <x:v>确认后按最终规则补充正常、异常、边界及跨端一致性用例</x:v>
      </x:c>
      <x:c r="L37" s="16" t="str"/>
      <x:c r="M37" s="16" t="str"/>
      <x:c r="N37" s="15" t="str">
        <x:v>1. 需求待确认.md:39
2. 来源：Q129
3. 粉丝团与群为同一概念，聊天提到每月 999 美元。</x:v>
      </x:c>
      <x:c r="O37" s="15" t="str">
        <x:v>1. 用户App 粉丝团的 IM 套餐和容量方案</x:v>
      </x:c>
      <x:c r="P37" s="15" t="str"/>
      <x:c r="Q37" s="15" t="str">
        <x:v>1. 最终套餐、免费/Pro/Enterprise 上限、扩容费用及达到上限后的创建策略。</x:v>
      </x:c>
      <x:c r="R37" s="15" t="str">
        <x:v>产品</x:v>
      </x:c>
      <x:c r="S37" s="15" t="str">
        <x:v>进入对应功能测试前</x:v>
      </x:c>
      <x:c r="T37" s="15" t="str">
        <x:v>待确认</x:v>
      </x:c>
    </x:row>
    <x:row r="38" ht="96" customHeight="1">
      <x:c r="A38" s="15" t="str">
        <x:v>IDN-U-PENDING-026</x:v>
      </x:c>
      <x:c r="B38" s="15" t="str">
        <x:v>PENDING-026</x:v>
      </x:c>
      <x:c r="C38" s="15" t="str"/>
      <x:c r="D38" s="15" t="str"/>
      <x:c r="E38" s="15" t="str">
        <x:v>不阻塞</x:v>
      </x:c>
      <x:c r="F38" s="15" t="str">
        <x:v>印尼直播需求缺口</x:v>
      </x:c>
      <x:c r="G38" s="15" t="str">
        <x:v>用户App：勋章获取条件</x:v>
      </x:c>
      <x:c r="H38" s="15" t="str">
        <x:v>流程与状态</x:v>
      </x:c>
      <x:c r="I38" s="15" t="str">
        <x:v>可配置维度、阈值、累计周期、重复获取、撤销和补发规则。</x:v>
      </x:c>
      <x:c r="J38" s="15" t="str">
        <x:v>A. 补充可测试的正式结论及适用范围
B. 明确本期不实现并记录后续版本范围</x:v>
      </x:c>
      <x:c r="K38" s="15" t="str">
        <x:v>确认后按最终规则补充正常、异常、边界及跨端一致性用例</x:v>
      </x:c>
      <x:c r="L38" s="16" t="str"/>
      <x:c r="M38" s="16" t="str"/>
      <x:c r="N38" s="15" t="str">
        <x:v>1. 需求待确认.md:41
2. 来源：Q134
3. 客户已确认存在获取条件。</x:v>
      </x:c>
      <x:c r="O38" s="15" t="str">
        <x:v>1. 用户App 勋章获取条件</x:v>
      </x:c>
      <x:c r="P38" s="15" t="str"/>
      <x:c r="Q38" s="15" t="str">
        <x:v>1. 可配置维度、阈值、累计周期、重复获取、撤销和补发规则。</x:v>
      </x:c>
      <x:c r="R38" s="15" t="str">
        <x:v>产品</x:v>
      </x:c>
      <x:c r="S38" s="15" t="str">
        <x:v>进入对应功能测试前</x:v>
      </x:c>
      <x:c r="T38" s="15" t="str">
        <x:v>待确认</x:v>
      </x:c>
    </x:row>
    <x:row r="39" ht="96" customHeight="1">
      <x:c r="A39" s="15" t="str">
        <x:v>IDN-U-PENDING-027</x:v>
      </x:c>
      <x:c r="B39" s="15" t="str">
        <x:v>PENDING-027</x:v>
      </x:c>
      <x:c r="C39" s="15" t="str"/>
      <x:c r="D39" s="15" t="str"/>
      <x:c r="E39" s="15" t="str">
        <x:v>不阻塞</x:v>
      </x:c>
      <x:c r="F39" s="15" t="str">
        <x:v>印尼直播需求缺口</x:v>
      </x:c>
      <x:c r="G39" s="15" t="str">
        <x:v>用户App：连续签到任务完成后的展示</x:v>
      </x:c>
      <x:c r="H39" s="15" t="str">
        <x:v>流程与状态</x:v>
      </x:c>
      <x:c r="I39" s="15" t="str">
        <x:v>所有任务完成后是否继续展示；循环、重置或隐藏条件。</x:v>
      </x:c>
      <x:c r="J39" s="15" t="str">
        <x:v>A. 补充可测试的正式结论及适用范围
B. 明确本期不实现并记录后续版本范围</x:v>
      </x:c>
      <x:c r="K39" s="15" t="str">
        <x:v>确认后按最终规则补充正常、异常、边界及跨端一致性用例</x:v>
      </x:c>
      <x:c r="L39" s="16" t="str"/>
      <x:c r="M39" s="16" t="str"/>
      <x:c r="N39" s="15" t="str">
        <x:v>1. 需求待确认.md:42
2. 来源：Q140
3. 已给出超过最大配置天数后沿用最高奖励的规则。</x:v>
      </x:c>
      <x:c r="O39" s="15" t="str">
        <x:v>1. 用户App 连续签到任务完成后的展示</x:v>
      </x:c>
      <x:c r="P39" s="15" t="str"/>
      <x:c r="Q39" s="15" t="str">
        <x:v>1. 所有任务完成后是否继续展示；循环、重置或隐藏条件。</x:v>
      </x:c>
      <x:c r="R39" s="15" t="str">
        <x:v>产品</x:v>
      </x:c>
      <x:c r="S39" s="15" t="str">
        <x:v>进入对应功能测试前</x:v>
      </x:c>
      <x:c r="T39" s="15" t="str">
        <x:v>待确认</x:v>
      </x:c>
    </x:row>
    <x:row r="40" ht="96" customHeight="1">
      <x:c r="A40" s="15" t="str">
        <x:v>IDN-U-PENDING-028</x:v>
      </x:c>
      <x:c r="B40" s="15" t="str">
        <x:v>PENDING-028</x:v>
      </x:c>
      <x:c r="C40" s="15" t="str"/>
      <x:c r="D40" s="15" t="str"/>
      <x:c r="E40" s="15" t="str">
        <x:v>不阻塞</x:v>
      </x:c>
      <x:c r="F40" s="15" t="str">
        <x:v>印尼直播需求缺口</x:v>
      </x:c>
      <x:c r="G40" s="15" t="str">
        <x:v>用户App：漏领和断签规则</x:v>
      </x:c>
      <x:c r="H40" s="15" t="str">
        <x:v>流程与状态</x:v>
      </x:c>
      <x:c r="I40" s="15" t="str">
        <x:v>漏领是否立即断签；次日是否还能补领；连续天数具体从何时重置。</x:v>
      </x:c>
      <x:c r="J40" s="15" t="str">
        <x:v>A. 补充可测试的正式结论及适用范围
B. 明确本期不实现并记录后续版本范围</x:v>
      </x:c>
      <x:c r="K40" s="15" t="str">
        <x:v>确认后按最终规则补充正常、异常、边界及跨端一致性用例</x:v>
      </x:c>
      <x:c r="L40" s="16" t="str"/>
      <x:c r="M40" s="16" t="str"/>
      <x:c r="N40" s="15" t="str">
        <x:v>1. 需求待确认.md:43
2. 来源：Q141
3. 回复为“登录没领=没登录，需要重来”。</x:v>
      </x:c>
      <x:c r="O40" s="15" t="str">
        <x:v>1. 用户App 漏领和断签规则</x:v>
      </x:c>
      <x:c r="P40" s="15" t="str"/>
      <x:c r="Q40" s="15" t="str">
        <x:v>1. 漏领是否立即断签；次日是否还能补领；连续天数具体从何时重置。</x:v>
      </x:c>
      <x:c r="R40" s="15" t="str">
        <x:v>产品</x:v>
      </x:c>
      <x:c r="S40" s="15" t="str">
        <x:v>进入对应功能测试前</x:v>
      </x:c>
      <x:c r="T40" s="15" t="str">
        <x:v>待确认</x:v>
      </x:c>
    </x:row>
    <x:row r="41" ht="96" customHeight="1">
      <x:c r="A41" s="15" t="str">
        <x:v>IDN-U-PENDING-029</x:v>
      </x:c>
      <x:c r="B41" s="15" t="str">
        <x:v>PENDING-029</x:v>
      </x:c>
      <x:c r="C41" s="15" t="str"/>
      <x:c r="D41" s="15" t="str"/>
      <x:c r="E41" s="15" t="str">
        <x:v>不阻塞</x:v>
      </x:c>
      <x:c r="F41" s="15" t="str">
        <x:v>印尼直播需求缺口</x:v>
      </x:c>
      <x:c r="G41" s="15" t="str">
        <x:v>用户App：财富等级计算</x:v>
      </x:c>
      <x:c r="H41" s="15" t="str">
        <x:v>流程与状态</x:v>
      </x:c>
      <x:c r="I41" s="15" t="str">
        <x:v>等级阈值、币种口径、退款影响、历史累计范围和后台配置入口。</x:v>
      </x:c>
      <x:c r="J41" s="15" t="str">
        <x:v>A. 补充可测试的正式结论及适用范围
B. 明确本期不实现并记录后续版本范围</x:v>
      </x:c>
      <x:c r="K41" s="15" t="str">
        <x:v>确认后按最终规则补充正常、异常、边界及跨端一致性用例</x:v>
      </x:c>
      <x:c r="L41" s="16" t="str"/>
      <x:c r="M41" s="16" t="str"/>
      <x:c r="N41" s="15" t="str">
        <x:v>1. 需求待确认.md:44
2. 来源：Q142
3. 已知与累计打赏相关。</x:v>
      </x:c>
      <x:c r="O41" s="15" t="str">
        <x:v>1. 用户App 财富等级计算</x:v>
      </x:c>
      <x:c r="P41" s="15" t="str"/>
      <x:c r="Q41" s="15" t="str">
        <x:v>1. 等级阈值、币种口径、退款影响、历史累计范围和后台配置入口。</x:v>
      </x:c>
      <x:c r="R41" s="15" t="str">
        <x:v>产品</x:v>
      </x:c>
      <x:c r="S41" s="15" t="str">
        <x:v>进入对应功能测试前</x:v>
      </x:c>
      <x:c r="T41" s="15" t="str">
        <x:v>待确认</x:v>
      </x:c>
    </x:row>
    <x:row r="42" ht="96" customHeight="1">
      <x:c r="A42" s="15" t="str">
        <x:v>IDN-U-PENDING-030</x:v>
      </x:c>
      <x:c r="B42" s="15" t="str">
        <x:v>PENDING-030</x:v>
      </x:c>
      <x:c r="C42" s="15" t="str"/>
      <x:c r="D42" s="15" t="str"/>
      <x:c r="E42" s="15" t="str">
        <x:v>不阻塞</x:v>
      </x:c>
      <x:c r="F42" s="15" t="str">
        <x:v>印尼直播需求缺口</x:v>
      </x:c>
      <x:c r="G42" s="15" t="str">
        <x:v>用户App：主播等级与财富等级配置</x:v>
      </x:c>
      <x:c r="H42" s="15" t="str">
        <x:v>流程与状态</x:v>
      </x:c>
      <x:c r="I42" s="15" t="str">
        <x:v>两类等级的指标、阈值、权益、升降级和配置页面。</x:v>
      </x:c>
      <x:c r="J42" s="15" t="str">
        <x:v>A. 补充可测试的正式结论及适用范围
B. 明确本期不实现并记录后续版本范围</x:v>
      </x:c>
      <x:c r="K42" s="15" t="str">
        <x:v>确认后按最终规则补充正常、异常、边界及跨端一致性用例</x:v>
      </x:c>
      <x:c r="L42" s="16" t="str"/>
      <x:c r="M42" s="16" t="str"/>
      <x:c r="N42" s="15" t="str">
        <x:v>1. 需求待确认.md:45
2. 来源：Q144
3. 已知存在这两类等级，原型仍在制作。</x:v>
      </x:c>
      <x:c r="O42" s="15" t="str">
        <x:v>1. 用户App 主播等级与财富等级配置</x:v>
      </x:c>
      <x:c r="P42" s="15" t="str"/>
      <x:c r="Q42" s="15" t="str">
        <x:v>1. 两类等级的指标、阈值、权益、升降级和配置页面。</x:v>
      </x:c>
      <x:c r="R42" s="15" t="str">
        <x:v>产品</x:v>
      </x:c>
      <x:c r="S42" s="15" t="str">
        <x:v>进入对应功能测试前</x:v>
      </x:c>
      <x:c r="T42" s="15" t="str">
        <x:v>待确认</x:v>
      </x:c>
    </x:row>
    <x:row r="43" ht="96" customHeight="1">
      <x:c r="A43" s="15" t="str">
        <x:v>IDN-U-PENDING-031</x:v>
      </x:c>
      <x:c r="B43" s="15" t="str">
        <x:v>PENDING-031</x:v>
      </x:c>
      <x:c r="C43" s="15" t="str"/>
      <x:c r="D43" s="15" t="str"/>
      <x:c r="E43" s="15" t="str">
        <x:v>不阻塞</x:v>
      </x:c>
      <x:c r="F43" s="15" t="str">
        <x:v>印尼直播需求缺口</x:v>
      </x:c>
      <x:c r="G43" s="15" t="str">
        <x:v>用户App：粉丝团何时创建</x:v>
      </x:c>
      <x:c r="H43" s="15" t="str">
        <x:v>流程与状态</x:v>
      </x:c>
      <x:c r="I43" s="15" t="str">
        <x:v>成为主播时是否自动创建、创建失败如何重试、主播失去身份时是否保留。</x:v>
      </x:c>
      <x:c r="J43" s="15" t="str">
        <x:v>A. 补充可测试的正式结论及适用范围
B. 明确本期不实现并记录后续版本范围</x:v>
      </x:c>
      <x:c r="K43" s="15" t="str">
        <x:v>确认后按最终规则补充正常、异常、边界及跨端一致性用例</x:v>
      </x:c>
      <x:c r="L43" s="16" t="str"/>
      <x:c r="M43" s="16" t="str"/>
      <x:c r="N43" s="15" t="str">
        <x:v>1. 需求待确认.md:46
2. 来源：原聊天 #576
3. 已知每个主播默认 1 个粉丝团。</x:v>
      </x:c>
      <x:c r="O43" s="15" t="str">
        <x:v>1. 用户App 粉丝团何时创建</x:v>
      </x:c>
      <x:c r="P43" s="15" t="str"/>
      <x:c r="Q43" s="15" t="str">
        <x:v>1. 成为主播时是否自动创建、创建失败如何重试、主播失去身份时是否保留。</x:v>
      </x:c>
      <x:c r="R43" s="15" t="str">
        <x:v>产品</x:v>
      </x:c>
      <x:c r="S43" s="15" t="str">
        <x:v>进入对应功能测试前</x:v>
      </x:c>
      <x:c r="T43" s="15" t="str">
        <x:v>待确认</x:v>
      </x:c>
    </x:row>
    <x:row r="44" ht="96" customHeight="1">
      <x:c r="A44" s="15" t="str">
        <x:v>IDN-U-PENDING-032</x:v>
      </x:c>
      <x:c r="B44" s="15" t="str">
        <x:v>PENDING-032</x:v>
      </x:c>
      <x:c r="C44" s="15" t="str"/>
      <x:c r="D44" s="15" t="str"/>
      <x:c r="E44" s="15" t="str">
        <x:v>不阻塞</x:v>
      </x:c>
      <x:c r="F44" s="15" t="str">
        <x:v>印尼直播需求缺口</x:v>
      </x:c>
      <x:c r="G44" s="15" t="str">
        <x:v>用户App：登录成功后的授权提示</x:v>
      </x:c>
      <x:c r="H44" s="15" t="str">
        <x:v>流程与状态</x:v>
      </x:c>
      <x:c r="I44" s="15" t="str">
        <x:v>申请哪些系统权限、出现顺序、拒绝后的降级行为、是否可再次触发。</x:v>
      </x:c>
      <x:c r="J44" s="15" t="str">
        <x:v>A. 补充可测试的正式结论及适用范围
B. 明确本期不实现并记录后续版本范围</x:v>
      </x:c>
      <x:c r="K44" s="15" t="str">
        <x:v>确认后按最终规则补充正常、异常、边界及跨端一致性用例</x:v>
      </x:c>
      <x:c r="L44" s="16" t="str"/>
      <x:c r="M44" s="16" t="str"/>
      <x:c r="N44" s="15" t="str">
        <x:v>1. 需求待确认.md:47
2. 来源：Q045
3. 已知登录成功进入首页时要显示授权提示。</x:v>
      </x:c>
      <x:c r="O44" s="15" t="str">
        <x:v>1. 用户App 登录成功后的授权提示</x:v>
      </x:c>
      <x:c r="P44" s="15" t="str"/>
      <x:c r="Q44" s="15" t="str">
        <x:v>1. 申请哪些系统权限、出现顺序、拒绝后的降级行为、是否可再次触发。</x:v>
      </x:c>
      <x:c r="R44" s="15" t="str">
        <x:v>产品</x:v>
      </x:c>
      <x:c r="S44" s="15" t="str">
        <x:v>进入对应功能测试前</x:v>
      </x:c>
      <x:c r="T44" s="15" t="str">
        <x:v>待确认</x:v>
      </x:c>
    </x:row>
    <x:row r="45" ht="96" customHeight="1">
      <x:c r="A45" s="15" t="str">
        <x:v>IDN-U-PENDING-033</x:v>
      </x:c>
      <x:c r="B45" s="15" t="str">
        <x:v>PENDING-033</x:v>
      </x:c>
      <x:c r="C45" s="15" t="str"/>
      <x:c r="D45" s="15" t="str"/>
      <x:c r="E45" s="15" t="str">
        <x:v>不阻塞</x:v>
      </x:c>
      <x:c r="F45" s="15" t="str">
        <x:v>印尼直播需求缺口</x:v>
      </x:c>
      <x:c r="G45" s="15" t="str">
        <x:v>用户App：页面树问题的原始截图内容；当前只能确认曾修复。</x:v>
      </x:c>
      <x:c r="H45" s="15" t="str">
        <x:v>流程与状态</x:v>
      </x:c>
      <x:c r="I45" s="15" t="str">
        <x:v>需补充原始证据后再形成可测试规则</x:v>
      </x:c>
      <x:c r="J45" s="15" t="str">
        <x:v>A. 补充可测试的正式结论及适用范围
B. 明确本期不实现并记录后续版本范围</x:v>
      </x:c>
      <x:c r="K45" s="15" t="str">
        <x:v>确认后按最终规则补充正常、异常、边界及跨端一致性用例</x:v>
      </x:c>
      <x:c r="L45" s="16" t="str"/>
      <x:c r="M45" s="16" t="str"/>
      <x:c r="N45" s="15" t="str">
        <x:v>1. 需求待确认.md:53
2. 来源：Q001
3. 原问题或答案依赖未附截图、撤回内容或完整上下文，现有文本不足以形成确定规则</x:v>
      </x:c>
      <x:c r="O45" s="15" t="str">
        <x:v>1. 用户App 页面树问题的原始截图内容；当前只能确认曾修复。</x:v>
      </x:c>
      <x:c r="P45" s="15" t="str"/>
      <x:c r="Q45" s="15" t="str">
        <x:v>1. 需补充原始证据后再形成可测试规则</x:v>
      </x:c>
      <x:c r="R45" s="15" t="str">
        <x:v>产品</x:v>
      </x:c>
      <x:c r="S45" s="15" t="str">
        <x:v>进入对应功能测试前</x:v>
      </x:c>
      <x:c r="T45" s="15" t="str">
        <x:v>待确认</x:v>
      </x:c>
    </x:row>
    <x:row r="46" ht="96" customHeight="1">
      <x:c r="A46" s="15" t="str">
        <x:v>IDN-U-PENDING-034</x:v>
      </x:c>
      <x:c r="B46" s="15" t="str">
        <x:v>PENDING-034</x:v>
      </x:c>
      <x:c r="C46" s="15" t="str"/>
      <x:c r="D46" s="15" t="str"/>
      <x:c r="E46" s="15" t="str">
        <x:v>不阻塞</x:v>
      </x:c>
      <x:c r="F46" s="15" t="str">
        <x:v>印尼直播需求缺口</x:v>
      </x:c>
      <x:c r="G46" s="15" t="str">
        <x:v>用户App：“暂不用新增”所指的具体字段或按钮，以及关闭门票房、密码房的现有入口。</x:v>
      </x:c>
      <x:c r="H46" s="15" t="str">
        <x:v>流程与状态</x:v>
      </x:c>
      <x:c r="I46" s="15" t="str">
        <x:v>需补充原始证据后再形成可测试规则</x:v>
      </x:c>
      <x:c r="J46" s="15" t="str">
        <x:v>A. 补充可测试的正式结论及适用范围
B. 明确本期不实现并记录后续版本范围</x:v>
      </x:c>
      <x:c r="K46" s="15" t="str">
        <x:v>确认后按最终规则补充正常、异常、边界及跨端一致性用例</x:v>
      </x:c>
      <x:c r="L46" s="16" t="str"/>
      <x:c r="M46" s="16" t="str"/>
      <x:c r="N46" s="15" t="str">
        <x:v>1. 需求待确认.md:54
2. 来源：Q002
3. 原问题或答案依赖未附截图、撤回内容或完整上下文，现有文本不足以形成确定规则</x:v>
      </x:c>
      <x:c r="O46" s="15" t="str">
        <x:v>1. 用户App “暂不用新增”所指的具体字段或按钮，以及关闭门票房、密码房的现有入口。</x:v>
      </x:c>
      <x:c r="P46" s="15" t="str"/>
      <x:c r="Q46" s="15" t="str">
        <x:v>1. 需补充原始证据后再形成可测试规则</x:v>
      </x:c>
      <x:c r="R46" s="15" t="str">
        <x:v>产品</x:v>
      </x:c>
      <x:c r="S46" s="15" t="str">
        <x:v>进入对应功能测试前</x:v>
      </x:c>
      <x:c r="T46" s="15" t="str">
        <x:v>待确认</x:v>
      </x:c>
    </x:row>
    <x:row r="47" ht="96" customHeight="1">
      <x:c r="A47" s="15" t="str">
        <x:v>IDN-U-PENDING-035</x:v>
      </x:c>
      <x:c r="B47" s="15" t="str">
        <x:v>PENDING-035</x:v>
      </x:c>
      <x:c r="C47" s="15" t="str"/>
      <x:c r="D47" s="15" t="str"/>
      <x:c r="E47" s="15" t="str">
        <x:v>不阻塞</x:v>
      </x:c>
      <x:c r="F47" s="15" t="str">
        <x:v>印尼直播需求缺口</x:v>
      </x:c>
      <x:c r="G47" s="15" t="str">
        <x:v>用户App：毛玻璃方案与“外层校验”的完整页面关系。</x:v>
      </x:c>
      <x:c r="H47" s="15" t="str">
        <x:v>流程与状态</x:v>
      </x:c>
      <x:c r="I47" s="15" t="str">
        <x:v>需补充原始证据后再形成可测试规则</x:v>
      </x:c>
      <x:c r="J47" s="15" t="str">
        <x:v>A. 补充可测试的正式结论及适用范围
B. 明确本期不实现并记录后续版本范围</x:v>
      </x:c>
      <x:c r="K47" s="15" t="str">
        <x:v>确认后按最终规则补充正常、异常、边界及跨端一致性用例</x:v>
      </x:c>
      <x:c r="L47" s="16" t="str"/>
      <x:c r="M47" s="16" t="str"/>
      <x:c r="N47" s="15" t="str">
        <x:v>1. 需求待确认.md:55
2. 来源：Q004
3. 原问题或答案依赖未附截图、撤回内容或完整上下文，现有文本不足以形成确定规则</x:v>
      </x:c>
      <x:c r="O47" s="15" t="str">
        <x:v>1. 用户App 毛玻璃方案与“外层校验”的完整页面关系。</x:v>
      </x:c>
      <x:c r="P47" s="15" t="str"/>
      <x:c r="Q47" s="15" t="str">
        <x:v>1. 需补充原始证据后再形成可测试规则</x:v>
      </x:c>
      <x:c r="R47" s="15" t="str">
        <x:v>产品</x:v>
      </x:c>
      <x:c r="S47" s="15" t="str">
        <x:v>进入对应功能测试前</x:v>
      </x:c>
      <x:c r="T47" s="15" t="str">
        <x:v>待确认</x:v>
      </x:c>
    </x:row>
    <x:row r="48" ht="96" customHeight="1">
      <x:c r="A48" s="15" t="str">
        <x:v>IDN-U-PENDING-036</x:v>
      </x:c>
      <x:c r="B48" s="15" t="str">
        <x:v>PENDING-036</x:v>
      </x:c>
      <x:c r="C48" s="15" t="str"/>
      <x:c r="D48" s="15" t="str"/>
      <x:c r="E48" s="15" t="str">
        <x:v>不阻塞</x:v>
      </x:c>
      <x:c r="F48" s="15" t="str">
        <x:v>印尼直播需求缺口</x:v>
      </x:c>
      <x:c r="G48" s="15" t="str">
        <x:v>用户App：资料审核失败页面、风控记录对用户的展示方式。</x:v>
      </x:c>
      <x:c r="H48" s="15" t="str">
        <x:v>流程与状态</x:v>
      </x:c>
      <x:c r="I48" s="15" t="str">
        <x:v>需补充原始证据后再形成可测试规则</x:v>
      </x:c>
      <x:c r="J48" s="15" t="str">
        <x:v>A. 补充可测试的正式结论及适用范围
B. 明确本期不实现并记录后续版本范围</x:v>
      </x:c>
      <x:c r="K48" s="15" t="str">
        <x:v>确认后按最终规则补充正常、异常、边界及跨端一致性用例</x:v>
      </x:c>
      <x:c r="L48" s="16" t="str"/>
      <x:c r="M48" s="16" t="str"/>
      <x:c r="N48" s="15" t="str">
        <x:v>1. 需求待确认.md:56
2. 来源：Q009
3. 原问题或答案依赖未附截图、撤回内容或完整上下文，现有文本不足以形成确定规则</x:v>
      </x:c>
      <x:c r="O48" s="15" t="str">
        <x:v>1. 用户App 资料审核失败页面、风控记录对用户的展示方式。</x:v>
      </x:c>
      <x:c r="P48" s="15" t="str"/>
      <x:c r="Q48" s="15" t="str">
        <x:v>1. 需补充原始证据后再形成可测试规则</x:v>
      </x:c>
      <x:c r="R48" s="15" t="str">
        <x:v>产品</x:v>
      </x:c>
      <x:c r="S48" s="15" t="str">
        <x:v>进入对应功能测试前</x:v>
      </x:c>
      <x:c r="T48" s="15" t="str">
        <x:v>待确认</x:v>
      </x:c>
    </x:row>
    <x:row r="49" ht="96" customHeight="1">
      <x:c r="A49" s="15" t="str">
        <x:v>IDN-U-PENDING-037</x:v>
      </x:c>
      <x:c r="B49" s="15" t="str">
        <x:v>PENDING-037</x:v>
      </x:c>
      <x:c r="C49" s="15" t="str"/>
      <x:c r="D49" s="15" t="str"/>
      <x:c r="E49" s="15" t="str">
        <x:v>不阻塞</x:v>
      </x:c>
      <x:c r="F49" s="15" t="str">
        <x:v>印尼直播需求缺口</x:v>
      </x:c>
      <x:c r="G49" s="15" t="str">
        <x:v>用户App：“累计计算”对应的指标、起止时间和重复进入后的计算公式。</x:v>
      </x:c>
      <x:c r="H49" s="15" t="str">
        <x:v>流程与状态</x:v>
      </x:c>
      <x:c r="I49" s="15" t="str">
        <x:v>需补充原始证据后再形成可测试规则</x:v>
      </x:c>
      <x:c r="J49" s="15" t="str">
        <x:v>A. 补充可测试的正式结论及适用范围
B. 明确本期不实现并记录后续版本范围</x:v>
      </x:c>
      <x:c r="K49" s="15" t="str">
        <x:v>确认后按最终规则补充正常、异常、边界及跨端一致性用例</x:v>
      </x:c>
      <x:c r="L49" s="16" t="str"/>
      <x:c r="M49" s="16" t="str"/>
      <x:c r="N49" s="15" t="str">
        <x:v>1. 需求待确认.md:57
2. 来源：Q034
3. 原问题或答案依赖未附截图、撤回内容或完整上下文，现有文本不足以形成确定规则</x:v>
      </x:c>
      <x:c r="O49" s="15" t="str">
        <x:v>1. 用户App “累计计算”对应的指标、起止时间和重复进入后的计算公式。</x:v>
      </x:c>
      <x:c r="P49" s="15" t="str"/>
      <x:c r="Q49" s="15" t="str">
        <x:v>1. 需补充原始证据后再形成可测试规则</x:v>
      </x:c>
      <x:c r="R49" s="15" t="str">
        <x:v>产品</x:v>
      </x:c>
      <x:c r="S49" s="15" t="str">
        <x:v>进入对应功能测试前</x:v>
      </x:c>
      <x:c r="T49" s="15" t="str">
        <x:v>待确认</x:v>
      </x:c>
    </x:row>
    <x:row r="50" ht="96" customHeight="1">
      <x:c r="A50" s="15" t="str">
        <x:v>IDN-U-PENDING-038</x:v>
      </x:c>
      <x:c r="B50" s="15" t="str">
        <x:v>PENDING-038</x:v>
      </x:c>
      <x:c r="C50" s="15" t="str"/>
      <x:c r="D50" s="15" t="str"/>
      <x:c r="E50" s="15" t="str">
        <x:v>不阻塞</x:v>
      </x:c>
      <x:c r="F50" s="15" t="str">
        <x:v>印尼直播需求缺口</x:v>
      </x:c>
      <x:c r="G50" s="15" t="str">
        <x:v>用户App：“没有该功能”具体指向的页面控件或能力。</x:v>
      </x:c>
      <x:c r="H50" s="15" t="str">
        <x:v>流程与状态</x:v>
      </x:c>
      <x:c r="I50" s="15" t="str">
        <x:v>需补充原始证据后再形成可测试规则</x:v>
      </x:c>
      <x:c r="J50" s="15" t="str">
        <x:v>A. 补充可测试的正式结论及适用范围
B. 明确本期不实现并记录后续版本范围</x:v>
      </x:c>
      <x:c r="K50" s="15" t="str">
        <x:v>确认后按最终规则补充正常、异常、边界及跨端一致性用例</x:v>
      </x:c>
      <x:c r="L50" s="16" t="str"/>
      <x:c r="M50" s="16" t="str"/>
      <x:c r="N50" s="15" t="str">
        <x:v>1. 需求待确认.md:58
2. 来源：Q035、Q038
3. 原问题或答案依赖未附截图、撤回内容或完整上下文，现有文本不足以形成确定规则</x:v>
      </x:c>
      <x:c r="O50" s="15" t="str">
        <x:v>1. 用户App “没有该功能”具体指向的页面控件或能力。</x:v>
      </x:c>
      <x:c r="P50" s="15" t="str"/>
      <x:c r="Q50" s="15" t="str">
        <x:v>1. 需补充原始证据后再形成可测试规则</x:v>
      </x:c>
      <x:c r="R50" s="15" t="str">
        <x:v>产品</x:v>
      </x:c>
      <x:c r="S50" s="15" t="str">
        <x:v>进入对应功能测试前</x:v>
      </x:c>
      <x:c r="T50" s="15" t="str">
        <x:v>待确认</x:v>
      </x:c>
    </x:row>
    <x:row r="51" ht="96" customHeight="1">
      <x:c r="A51" s="15" t="str">
        <x:v>IDN-U-PENDING-039</x:v>
      </x:c>
      <x:c r="B51" s="15" t="str">
        <x:v>PENDING-039</x:v>
      </x:c>
      <x:c r="C51" s="15" t="str"/>
      <x:c r="D51" s="15" t="str"/>
      <x:c r="E51" s="15" t="str">
        <x:v>不阻塞</x:v>
      </x:c>
      <x:c r="F51" s="15" t="str">
        <x:v>印尼直播需求缺口</x:v>
      </x:c>
      <x:c r="G51" s="15" t="str">
        <x:v>用户App：主播收益与榜单贡献问题截图中的原始冲突点。</x:v>
      </x:c>
      <x:c r="H51" s="15" t="str">
        <x:v>流程与状态</x:v>
      </x:c>
      <x:c r="I51" s="15" t="str">
        <x:v>需补充原始证据后再形成可测试规则</x:v>
      </x:c>
      <x:c r="J51" s="15" t="str">
        <x:v>A. 补充可测试的正式结论及适用范围
B. 明确本期不实现并记录后续版本范围</x:v>
      </x:c>
      <x:c r="K51" s="15" t="str">
        <x:v>确认后按最终规则补充正常、异常、边界及跨端一致性用例</x:v>
      </x:c>
      <x:c r="L51" s="16" t="str"/>
      <x:c r="M51" s="16" t="str"/>
      <x:c r="N51" s="15" t="str">
        <x:v>1. 需求待确认.md:59
2. 来源：Q036
3. 原问题或答案依赖未附截图、撤回内容或完整上下文，现有文本不足以形成确定规则</x:v>
      </x:c>
      <x:c r="O51" s="15" t="str">
        <x:v>1. 用户App 主播收益与榜单贡献问题截图中的原始冲突点。</x:v>
      </x:c>
      <x:c r="P51" s="15" t="str"/>
      <x:c r="Q51" s="15" t="str">
        <x:v>1. 需补充原始证据后再形成可测试规则</x:v>
      </x:c>
      <x:c r="R51" s="15" t="str">
        <x:v>产品</x:v>
      </x:c>
      <x:c r="S51" s="15" t="str">
        <x:v>进入对应功能测试前</x:v>
      </x:c>
      <x:c r="T51" s="15" t="str">
        <x:v>待确认</x:v>
      </x:c>
    </x:row>
    <x:row r="52" ht="96" customHeight="1">
      <x:c r="A52" s="15" t="str">
        <x:v>IDN-U-PENDING-041</x:v>
      </x:c>
      <x:c r="B52" s="15" t="str">
        <x:v>PENDING-041</x:v>
      </x:c>
      <x:c r="C52" s="15" t="str"/>
      <x:c r="D52" s="15" t="str"/>
      <x:c r="E52" s="15" t="str">
        <x:v>不阻塞</x:v>
      </x:c>
      <x:c r="F52" s="15" t="str">
        <x:v>印尼直播需求缺口</x:v>
      </x:c>
      <x:c r="G52" s="15" t="str">
        <x:v>用户App：“默认话术不可修改”具体对应哪两处话术，以及是否需要多语言。</x:v>
      </x:c>
      <x:c r="H52" s="15" t="str">
        <x:v>流程与状态</x:v>
      </x:c>
      <x:c r="I52" s="15" t="str">
        <x:v>需补充原始证据后再形成可测试规则</x:v>
      </x:c>
      <x:c r="J52" s="15" t="str">
        <x:v>A. 补充可测试的正式结论及适用范围
B. 明确本期不实现并记录后续版本范围</x:v>
      </x:c>
      <x:c r="K52" s="15" t="str">
        <x:v>确认后按最终规则补充正常、异常、边界及跨端一致性用例</x:v>
      </x:c>
      <x:c r="L52" s="16" t="str"/>
      <x:c r="M52" s="16" t="str"/>
      <x:c r="N52" s="15" t="str">
        <x:v>1. 需求待确认.md:61
2. 来源：Q054
3. 原问题或答案依赖未附截图、撤回内容或完整上下文，现有文本不足以形成确定规则</x:v>
      </x:c>
      <x:c r="O52" s="15" t="str">
        <x:v>1. 用户App “默认话术不可修改”具体对应哪两处话术，以及是否需要多语言。</x:v>
      </x:c>
      <x:c r="P52" s="15" t="str"/>
      <x:c r="Q52" s="15" t="str">
        <x:v>1. 需补充原始证据后再形成可测试规则</x:v>
      </x:c>
      <x:c r="R52" s="15" t="str">
        <x:v>产品</x:v>
      </x:c>
      <x:c r="S52" s="15" t="str">
        <x:v>进入对应功能测试前</x:v>
      </x:c>
      <x:c r="T52" s="15" t="str">
        <x:v>待确认</x:v>
      </x:c>
    </x:row>
    <x:row r="53" ht="96" customHeight="1">
      <x:c r="A53" s="15" t="str">
        <x:v>IDN-U-PENDING-042</x:v>
      </x:c>
      <x:c r="B53" s="15" t="str">
        <x:v>PENDING-042</x:v>
      </x:c>
      <x:c r="C53" s="15" t="str"/>
      <x:c r="D53" s="15" t="str"/>
      <x:c r="E53" s="15" t="str">
        <x:v>不阻塞</x:v>
      </x:c>
      <x:c r="F53" s="15" t="str">
        <x:v>印尼直播需求缺口</x:v>
      </x:c>
      <x:c r="G53" s="15" t="str">
        <x:v>用户App：粉丝团主动加入入口的准确页面和控件位置。</x:v>
      </x:c>
      <x:c r="H53" s="15" t="str">
        <x:v>流程与状态</x:v>
      </x:c>
      <x:c r="I53" s="15" t="str">
        <x:v>需补充原始证据后再形成可测试规则</x:v>
      </x:c>
      <x:c r="J53" s="15" t="str">
        <x:v>A. 补充可测试的正式结论及适用范围
B. 明确本期不实现并记录后续版本范围</x:v>
      </x:c>
      <x:c r="K53" s="15" t="str">
        <x:v>确认后按最终规则补充正常、异常、边界及跨端一致性用例</x:v>
      </x:c>
      <x:c r="L53" s="16" t="str"/>
      <x:c r="M53" s="16" t="str"/>
      <x:c r="N53" s="15" t="str">
        <x:v>1. 需求待确认.md:62
2. 来源：Q056
3. 原问题或答案依赖未附截图、撤回内容或完整上下文，现有文本不足以形成确定规则</x:v>
      </x:c>
      <x:c r="O53" s="15" t="str">
        <x:v>1. 用户App 粉丝团主动加入入口的准确页面和控件位置。</x:v>
      </x:c>
      <x:c r="P53" s="15" t="str"/>
      <x:c r="Q53" s="15" t="str">
        <x:v>1. 需补充原始证据后再形成可测试规则</x:v>
      </x:c>
      <x:c r="R53" s="15" t="str">
        <x:v>产品</x:v>
      </x:c>
      <x:c r="S53" s="15" t="str">
        <x:v>进入对应功能测试前</x:v>
      </x:c>
      <x:c r="T53" s="15" t="str">
        <x:v>待确认</x:v>
      </x:c>
    </x:row>
    <x:row r="54" ht="96" customHeight="1">
      <x:c r="A54" s="15" t="str">
        <x:v>IDN-U-PENDING-043</x:v>
      </x:c>
      <x:c r="B54" s="15" t="str">
        <x:v>PENDING-043</x:v>
      </x:c>
      <x:c r="C54" s="15" t="str"/>
      <x:c r="D54" s="15" t="str"/>
      <x:c r="E54" s="15" t="str">
        <x:v>不阻塞</x:v>
      </x:c>
      <x:c r="F54" s="15" t="str">
        <x:v>印尼直播需求缺口</x:v>
      </x:c>
      <x:c r="G54" s="15" t="str">
        <x:v>用户App：“2 KB、约 600 个中文字”限制的具体对象，是单条消息、简介还是其他字段。</x:v>
      </x:c>
      <x:c r="H54" s="15" t="str">
        <x:v>流程与状态</x:v>
      </x:c>
      <x:c r="I54" s="15" t="str">
        <x:v>需补充原始证据后再形成可测试规则</x:v>
      </x:c>
      <x:c r="J54" s="15" t="str">
        <x:v>A. 补充可测试的正式结论及适用范围
B. 明确本期不实现并记录后续版本范围</x:v>
      </x:c>
      <x:c r="K54" s="15" t="str">
        <x:v>确认后按最终规则补充正常、异常、边界及跨端一致性用例</x:v>
      </x:c>
      <x:c r="L54" s="16" t="str"/>
      <x:c r="M54" s="16" t="str"/>
      <x:c r="N54" s="15" t="str">
        <x:v>1. 需求待确认.md:63
2. 来源：Q063
3. 原问题或答案依赖未附截图、撤回内容或完整上下文，现有文本不足以形成确定规则</x:v>
      </x:c>
      <x:c r="O54" s="15" t="str">
        <x:v>1. 用户App “2 KB、约 600 个中文字”限制的具体对象，是单条消息、简介还是其他字段。</x:v>
      </x:c>
      <x:c r="P54" s="15" t="str"/>
      <x:c r="Q54" s="15" t="str">
        <x:v>1. 需补充原始证据后再形成可测试规则</x:v>
      </x:c>
      <x:c r="R54" s="15" t="str">
        <x:v>产品</x:v>
      </x:c>
      <x:c r="S54" s="15" t="str">
        <x:v>进入对应功能测试前</x:v>
      </x:c>
      <x:c r="T54" s="15" t="str">
        <x:v>待确认</x:v>
      </x:c>
    </x:row>
    <x:row r="55" ht="96" customHeight="1">
      <x:c r="A55" s="15" t="str">
        <x:v>IDN-U-PENDING-044</x:v>
      </x:c>
      <x:c r="B55" s="15" t="str">
        <x:v>PENDING-044</x:v>
      </x:c>
      <x:c r="C55" s="15" t="str"/>
      <x:c r="D55" s="15" t="str"/>
      <x:c r="E55" s="15" t="str">
        <x:v>不阻塞</x:v>
      </x:c>
      <x:c r="F55" s="15" t="str">
        <x:v>印尼直播需求缺口</x:v>
      </x:c>
      <x:c r="G55" s="15" t="str">
        <x:v>用户App：登录时提示的具体业务事件、弹窗内容和操作按钮。</x:v>
      </x:c>
      <x:c r="H55" s="15" t="str">
        <x:v>流程与状态</x:v>
      </x:c>
      <x:c r="I55" s="15" t="str">
        <x:v>需补充原始证据后再形成可测试规则</x:v>
      </x:c>
      <x:c r="J55" s="15" t="str">
        <x:v>A. 补充可测试的正式结论及适用范围
B. 明确本期不实现并记录后续版本范围</x:v>
      </x:c>
      <x:c r="K55" s="15" t="str">
        <x:v>确认后按最终规则补充正常、异常、边界及跨端一致性用例</x:v>
      </x:c>
      <x:c r="L55" s="16" t="str"/>
      <x:c r="M55" s="16" t="str"/>
      <x:c r="N55" s="15" t="str">
        <x:v>1. 需求待确认.md:64
2. 来源：Q085
3. 原问题或答案依赖未附截图、撤回内容或完整上下文，现有文本不足以形成确定规则</x:v>
      </x:c>
      <x:c r="O55" s="15" t="str">
        <x:v>1. 用户App 登录时提示的具体业务事件、弹窗内容和操作按钮。</x:v>
      </x:c>
      <x:c r="P55" s="15" t="str"/>
      <x:c r="Q55" s="15" t="str">
        <x:v>1. 需补充原始证据后再形成可测试规则</x:v>
      </x:c>
      <x:c r="R55" s="15" t="str">
        <x:v>产品</x:v>
      </x:c>
      <x:c r="S55" s="15" t="str">
        <x:v>进入对应功能测试前</x:v>
      </x:c>
      <x:c r="T55" s="15" t="str">
        <x:v>待确认</x:v>
      </x:c>
    </x:row>
    <x:row r="56" ht="96" customHeight="1">
      <x:c r="A56" s="15" t="str">
        <x:v>IDN-U-PENDING-046</x:v>
      </x:c>
      <x:c r="B56" s="15" t="str">
        <x:v>PENDING-046</x:v>
      </x:c>
      <x:c r="C56" s="15" t="str"/>
      <x:c r="D56" s="15" t="str"/>
      <x:c r="E56" s="15" t="str">
        <x:v>不阻塞</x:v>
      </x:c>
      <x:c r="F56" s="15" t="str">
        <x:v>印尼直播需求缺口</x:v>
      </x:c>
      <x:c r="G56" s="15" t="str">
        <x:v>用户App：被撤回问题所对应的多语言预填字段。</x:v>
      </x:c>
      <x:c r="H56" s="15" t="str">
        <x:v>流程与状态</x:v>
      </x:c>
      <x:c r="I56" s="15" t="str">
        <x:v>需补充原始证据后再形成可测试规则</x:v>
      </x:c>
      <x:c r="J56" s="15" t="str">
        <x:v>A. 补充可测试的正式结论及适用范围
B. 明确本期不实现并记录后续版本范围</x:v>
      </x:c>
      <x:c r="K56" s="15" t="str">
        <x:v>确认后按最终规则补充正常、异常、边界及跨端一致性用例</x:v>
      </x:c>
      <x:c r="L56" s="16" t="str"/>
      <x:c r="M56" s="16" t="str"/>
      <x:c r="N56" s="15" t="str">
        <x:v>1. 需求待确认.md:66
2. 来源：Q093
3. 原问题或答案依赖未附截图、撤回内容或完整上下文，现有文本不足以形成确定规则</x:v>
      </x:c>
      <x:c r="O56" s="15" t="str">
        <x:v>1. 用户App 被撤回问题所对应的多语言预填字段。</x:v>
      </x:c>
      <x:c r="P56" s="15" t="str"/>
      <x:c r="Q56" s="15" t="str">
        <x:v>1. 需补充原始证据后再形成可测试规则</x:v>
      </x:c>
      <x:c r="R56" s="15" t="str">
        <x:v>产品</x:v>
      </x:c>
      <x:c r="S56" s="15" t="str">
        <x:v>进入对应功能测试前</x:v>
      </x:c>
      <x:c r="T56" s="15" t="str">
        <x:v>待确认</x:v>
      </x:c>
    </x:row>
    <x:row r="57" ht="96" customHeight="1">
      <x:c r="A57" s="15" t="str">
        <x:v>IDN-U-PENDING-049</x:v>
      </x:c>
      <x:c r="B57" s="15" t="str">
        <x:v>PENDING-049</x:v>
      </x:c>
      <x:c r="C57" s="15" t="str"/>
      <x:c r="D57" s="15" t="str"/>
      <x:c r="E57" s="15" t="str">
        <x:v>不阻塞</x:v>
      </x:c>
      <x:c r="F57" s="15" t="str">
        <x:v>印尼直播需求缺口</x:v>
      </x:c>
      <x:c r="G57" s="15" t="str">
        <x:v>用户App：仅回答“是的”的截图问题原文。</x:v>
      </x:c>
      <x:c r="H57" s="15" t="str">
        <x:v>流程与状态</x:v>
      </x:c>
      <x:c r="I57" s="15" t="str">
        <x:v>需补充原始证据后再形成可测试规则</x:v>
      </x:c>
      <x:c r="J57" s="15" t="str">
        <x:v>A. 补充可测试的正式结论及适用范围
B. 明确本期不实现并记录后续版本范围</x:v>
      </x:c>
      <x:c r="K57" s="15" t="str">
        <x:v>确认后按最终规则补充正常、异常、边界及跨端一致性用例</x:v>
      </x:c>
      <x:c r="L57" s="16" t="str"/>
      <x:c r="M57" s="16" t="str"/>
      <x:c r="N57" s="15" t="str">
        <x:v>1. 需求待确认.md:69
2. 来源：Q109
3. 原问题或答案依赖未附截图、撤回内容或完整上下文，现有文本不足以形成确定规则</x:v>
      </x:c>
      <x:c r="O57" s="15" t="str">
        <x:v>1. 用户App 仅回答“是的”的截图问题原文。</x:v>
      </x:c>
      <x:c r="P57" s="15" t="str"/>
      <x:c r="Q57" s="15" t="str">
        <x:v>1. 需补充原始证据后再形成可测试规则</x:v>
      </x:c>
      <x:c r="R57" s="15" t="str">
        <x:v>产品</x:v>
      </x:c>
      <x:c r="S57" s="15" t="str">
        <x:v>进入对应功能测试前</x:v>
      </x:c>
      <x:c r="T57" s="15" t="str">
        <x:v>待确认</x:v>
      </x:c>
    </x:row>
    <x:row r="58" ht="96" customHeight="1">
      <x:c r="A58" s="15" t="str">
        <x:v>IDN-U-PENDING-050</x:v>
      </x:c>
      <x:c r="B58" s="15" t="str">
        <x:v>PENDING-050</x:v>
      </x:c>
      <x:c r="C58" s="15" t="str"/>
      <x:c r="D58" s="15" t="str"/>
      <x:c r="E58" s="15" t="str">
        <x:v>不阻塞</x:v>
      </x:c>
      <x:c r="F58" s="15" t="str">
        <x:v>印尼直播需求缺口</x:v>
      </x:c>
      <x:c r="G58" s="15" t="str">
        <x:v>用户App：“立即解散”所指对象及触发条件。</x:v>
      </x:c>
      <x:c r="H58" s="15" t="str">
        <x:v>流程与状态</x:v>
      </x:c>
      <x:c r="I58" s="15" t="str">
        <x:v>需补充原始证据后再形成可测试规则</x:v>
      </x:c>
      <x:c r="J58" s="15" t="str">
        <x:v>A. 补充可测试的正式结论及适用范围
B. 明确本期不实现并记录后续版本范围</x:v>
      </x:c>
      <x:c r="K58" s="15" t="str">
        <x:v>确认后按最终规则补充正常、异常、边界及跨端一致性用例</x:v>
      </x:c>
      <x:c r="L58" s="16" t="str"/>
      <x:c r="M58" s="16" t="str"/>
      <x:c r="N58" s="15" t="str">
        <x:v>1. 需求待确认.md:70
2. 来源：Q116
3. 原问题或答案依赖未附截图、撤回内容或完整上下文，现有文本不足以形成确定规则</x:v>
      </x:c>
      <x:c r="O58" s="15" t="str">
        <x:v>1. 用户App “立即解散”所指对象及触发条件。</x:v>
      </x:c>
      <x:c r="P58" s="15" t="str"/>
      <x:c r="Q58" s="15" t="str">
        <x:v>1. 需补充原始证据后再形成可测试规则</x:v>
      </x:c>
      <x:c r="R58" s="15" t="str">
        <x:v>产品</x:v>
      </x:c>
      <x:c r="S58" s="15" t="str">
        <x:v>进入对应功能测试前</x:v>
      </x:c>
      <x:c r="T58" s="15" t="str">
        <x:v>待确认</x:v>
      </x:c>
    </x:row>
    <x:row r="59" ht="96" customHeight="1">
      <x:c r="A59" s="15" t="str">
        <x:v>IDN-U-PENDING-051</x:v>
      </x:c>
      <x:c r="B59" s="15" t="str">
        <x:v>PENDING-051</x:v>
      </x:c>
      <x:c r="C59" s="15" t="str"/>
      <x:c r="D59" s="15" t="str"/>
      <x:c r="E59" s="15" t="str">
        <x:v>不阻塞</x:v>
      </x:c>
      <x:c r="F59" s="15" t="str">
        <x:v>印尼直播需求缺口</x:v>
      </x:c>
      <x:c r="G59" s="15" t="str">
        <x:v>用户App：拉黑、非好友、删除好友时消息发送失败的文字规则；现有回答只有截图。</x:v>
      </x:c>
      <x:c r="H59" s="15" t="str">
        <x:v>流程与状态</x:v>
      </x:c>
      <x:c r="I59" s="15" t="str">
        <x:v>需补充原始证据后再形成可测试规则</x:v>
      </x:c>
      <x:c r="J59" s="15" t="str">
        <x:v>A. 补充可测试的正式结论及适用范围
B. 明确本期不实现并记录后续版本范围</x:v>
      </x:c>
      <x:c r="K59" s="15" t="str">
        <x:v>确认后按最终规则补充正常、异常、边界及跨端一致性用例</x:v>
      </x:c>
      <x:c r="L59" s="16" t="str"/>
      <x:c r="M59" s="16" t="str"/>
      <x:c r="N59" s="15" t="str">
        <x:v>1. 需求待确认.md:71
2. 来源：Q120
3. 原问题或答案依赖未附截图、撤回内容或完整上下文，现有文本不足以形成确定规则</x:v>
      </x:c>
      <x:c r="O59" s="15" t="str">
        <x:v>1. 用户App 拉黑、非好友、删除好友时消息发送失败的文字规则；现有回答只有截图。</x:v>
      </x:c>
      <x:c r="P59" s="15" t="str"/>
      <x:c r="Q59" s="15" t="str">
        <x:v>1. 需补充原始证据后再形成可测试规则</x:v>
      </x:c>
      <x:c r="R59" s="15" t="str">
        <x:v>产品</x:v>
      </x:c>
      <x:c r="S59" s="15" t="str">
        <x:v>进入对应功能测试前</x:v>
      </x:c>
      <x:c r="T59" s="15" t="str">
        <x:v>待确认</x:v>
      </x:c>
    </x:row>
    <x:row r="60" ht="96" customHeight="1">
      <x:c r="A60" s="15" t="str">
        <x:v>IDN-U-PENDING-054</x:v>
      </x:c>
      <x:c r="B60" s="15" t="str">
        <x:v>PENDING-054</x:v>
      </x:c>
      <x:c r="C60" s="15" t="str"/>
      <x:c r="D60" s="15" t="str"/>
      <x:c r="E60" s="15" t="str">
        <x:v>不阻塞</x:v>
      </x:c>
      <x:c r="F60" s="15" t="str">
        <x:v>印尼直播需求缺口</x:v>
      </x:c>
      <x:c r="G60" s="15" t="str">
        <x:v>用户App：已承诺补充计算逻辑和贡献榜说明。</x:v>
      </x:c>
      <x:c r="H60" s="15" t="str">
        <x:v>流程与状态</x:v>
      </x:c>
      <x:c r="I60" s="15" t="str">
        <x:v>需补充原始证据后再形成可测试规则</x:v>
      </x:c>
      <x:c r="J60" s="15" t="str">
        <x:v>A. 补充可测试的正式结论及适用范围
B. 明确本期不实现并记录后续版本范围</x:v>
      </x:c>
      <x:c r="K60" s="15" t="str">
        <x:v>确认后按最终规则补充正常、异常、边界及跨端一致性用例</x:v>
      </x:c>
      <x:c r="L60" s="16" t="str"/>
      <x:c r="M60" s="16" t="str"/>
      <x:c r="N60" s="15" t="str">
        <x:v>1. 需求待确认.md:81
2. 来源：Q005
3. 原问题或答案依赖未附截图、撤回内容或完整上下文，现有文本不足以形成确定规则</x:v>
      </x:c>
      <x:c r="O60" s="15" t="str">
        <x:v>1. 用户App 已承诺补充计算逻辑和贡献榜说明。</x:v>
      </x:c>
      <x:c r="P60" s="15" t="str"/>
      <x:c r="Q60" s="15" t="str">
        <x:v>1. 需补充原始证据后再形成可测试规则</x:v>
      </x:c>
      <x:c r="R60" s="15" t="str">
        <x:v>产品</x:v>
      </x:c>
      <x:c r="S60" s="15" t="str">
        <x:v>进入对应功能测试前</x:v>
      </x:c>
      <x:c r="T60" s="15" t="str">
        <x:v>待确认</x:v>
      </x:c>
    </x:row>
    <x:row r="61" ht="96" customHeight="1">
      <x:c r="A61" s="15" t="str">
        <x:v>IDN-U-PENDING-056</x:v>
      </x:c>
      <x:c r="B61" s="15" t="str">
        <x:v>PENDING-056</x:v>
      </x:c>
      <x:c r="C61" s="15" t="str"/>
      <x:c r="D61" s="15" t="str"/>
      <x:c r="E61" s="15" t="str">
        <x:v>不阻塞</x:v>
      </x:c>
      <x:c r="F61" s="15" t="str">
        <x:v>印尼直播需求缺口</x:v>
      </x:c>
      <x:c r="G61" s="15" t="str">
        <x:v>用户App：已承诺整理进房提示、等级、公屏消息和 IM。</x:v>
      </x:c>
      <x:c r="H61" s="15" t="str">
        <x:v>流程与状态</x:v>
      </x:c>
      <x:c r="I61" s="15" t="str">
        <x:v>需补充原始证据后再形成可测试规则</x:v>
      </x:c>
      <x:c r="J61" s="15" t="str">
        <x:v>A. 补充可测试的正式结论及适用范围
B. 明确本期不实现并记录后续版本范围</x:v>
      </x:c>
      <x:c r="K61" s="15" t="str">
        <x:v>确认后按最终规则补充正常、异常、边界及跨端一致性用例</x:v>
      </x:c>
      <x:c r="L61" s="16" t="str"/>
      <x:c r="M61" s="16" t="str"/>
      <x:c r="N61" s="15" t="str">
        <x:v>1. 需求待确认.md:83
2. 来源：Q032、Q043、Q044
3. 原问题或答案依赖未附截图、撤回内容或完整上下文，现有文本不足以形成确定规则</x:v>
      </x:c>
      <x:c r="O61" s="15" t="str">
        <x:v>1. 用户App 已承诺整理进房提示、等级、公屏消息和 IM。</x:v>
      </x:c>
      <x:c r="P61" s="15" t="str"/>
      <x:c r="Q61" s="15" t="str">
        <x:v>1. 需补充原始证据后再形成可测试规则</x:v>
      </x:c>
      <x:c r="R61" s="15" t="str">
        <x:v>产品</x:v>
      </x:c>
      <x:c r="S61" s="15" t="str">
        <x:v>进入对应功能测试前</x:v>
      </x:c>
      <x:c r="T61" s="15" t="str">
        <x:v>待确认</x:v>
      </x:c>
    </x:row>
    <x:row r="62" ht="96" customHeight="1">
      <x:c r="A62" s="15" t="str">
        <x:v>IDN-U-PENDING-057</x:v>
      </x:c>
      <x:c r="B62" s="15" t="str">
        <x:v>PENDING-057</x:v>
      </x:c>
      <x:c r="C62" s="15" t="str"/>
      <x:c r="D62" s="15" t="str"/>
      <x:c r="E62" s="15" t="str">
        <x:v>不阻塞</x:v>
      </x:c>
      <x:c r="F62" s="15" t="str">
        <x:v>印尼直播需求缺口</x:v>
      </x:c>
      <x:c r="G62" s="15" t="str">
        <x:v>用户App：已承诺调整充值规则在原型中的归属位置。</x:v>
      </x:c>
      <x:c r="H62" s="15" t="str">
        <x:v>流程与状态</x:v>
      </x:c>
      <x:c r="I62" s="15" t="str">
        <x:v>需补充原始证据后再形成可测试规则</x:v>
      </x:c>
      <x:c r="J62" s="15" t="str">
        <x:v>A. 补充可测试的正式结论及适用范围
B. 明确本期不实现并记录后续版本范围</x:v>
      </x:c>
      <x:c r="K62" s="15" t="str">
        <x:v>确认后按最终规则补充正常、异常、边界及跨端一致性用例</x:v>
      </x:c>
      <x:c r="L62" s="16" t="str"/>
      <x:c r="M62" s="16" t="str"/>
      <x:c r="N62" s="15" t="str">
        <x:v>1. 需求待确认.md:84
2. 来源：Q048
3. 原问题或答案依赖未附截图、撤回内容或完整上下文，现有文本不足以形成确定规则</x:v>
      </x:c>
      <x:c r="O62" s="15" t="str">
        <x:v>1. 用户App 已承诺调整充值规则在原型中的归属位置。</x:v>
      </x:c>
      <x:c r="P62" s="15" t="str"/>
      <x:c r="Q62" s="15" t="str">
        <x:v>1. 需补充原始证据后再形成可测试规则</x:v>
      </x:c>
      <x:c r="R62" s="15" t="str">
        <x:v>产品</x:v>
      </x:c>
      <x:c r="S62" s="15" t="str">
        <x:v>进入对应功能测试前</x:v>
      </x:c>
      <x:c r="T62" s="15" t="str">
        <x:v>待确认</x:v>
      </x:c>
    </x:row>
    <x:row r="63" ht="96" customHeight="1">
      <x:c r="A63" s="15" t="str">
        <x:v>IDN-U-PENDING-058</x:v>
      </x:c>
      <x:c r="B63" s="15" t="str">
        <x:v>PENDING-058</x:v>
      </x:c>
      <x:c r="C63" s="15" t="str"/>
      <x:c r="D63" s="15" t="str"/>
      <x:c r="E63" s="15" t="str">
        <x:v>不阻塞</x:v>
      </x:c>
      <x:c r="F63" s="15" t="str">
        <x:v>印尼直播需求缺口</x:v>
      </x:c>
      <x:c r="G63" s="15" t="str">
        <x:v>用户App：已承诺更新取消注销弹窗。</x:v>
      </x:c>
      <x:c r="H63" s="15" t="str">
        <x:v>流程与状态</x:v>
      </x:c>
      <x:c r="I63" s="15" t="str">
        <x:v>需补充原始证据后再形成可测试规则</x:v>
      </x:c>
      <x:c r="J63" s="15" t="str">
        <x:v>A. 补充可测试的正式结论及适用范围
B. 明确本期不实现并记录后续版本范围</x:v>
      </x:c>
      <x:c r="K63" s="15" t="str">
        <x:v>确认后按最终规则补充正常、异常、边界及跨端一致性用例</x:v>
      </x:c>
      <x:c r="L63" s="16" t="str"/>
      <x:c r="M63" s="16" t="str"/>
      <x:c r="N63" s="15" t="str">
        <x:v>1. 需求待确认.md:85
2. 来源：Q086
3. 原问题或答案依赖未附截图、撤回内容或完整上下文，现有文本不足以形成确定规则</x:v>
      </x:c>
      <x:c r="O63" s="15" t="str">
        <x:v>1. 用户App 已承诺更新取消注销弹窗。</x:v>
      </x:c>
      <x:c r="P63" s="15" t="str"/>
      <x:c r="Q63" s="15" t="str">
        <x:v>1. 需补充原始证据后再形成可测试规则</x:v>
      </x:c>
      <x:c r="R63" s="15" t="str">
        <x:v>产品</x:v>
      </x:c>
      <x:c r="S63" s="15" t="str">
        <x:v>进入对应功能测试前</x:v>
      </x:c>
      <x:c r="T63" s="15" t="str">
        <x:v>待确认</x:v>
      </x:c>
    </x:row>
    <x:row r="64" ht="96" customHeight="1">
      <x:c r="A64" s="15" t="str">
        <x:v>IDN-U-PENDING-061</x:v>
      </x:c>
      <x:c r="B64" s="15" t="str">
        <x:v>PENDING-061</x:v>
      </x:c>
      <x:c r="C64" s="15" t="str"/>
      <x:c r="D64" s="15" t="str"/>
      <x:c r="E64" s="15" t="str">
        <x:v>不阻塞</x:v>
      </x:c>
      <x:c r="F64" s="15" t="str">
        <x:v>印尼直播需求缺口</x:v>
      </x:c>
      <x:c r="G64" s="15" t="str">
        <x:v>用户App：已承诺修复社交关系列表跳转。</x:v>
      </x:c>
      <x:c r="H64" s="15" t="str">
        <x:v>流程与状态</x:v>
      </x:c>
      <x:c r="I64" s="15" t="str">
        <x:v>需补充原始证据后再形成可测试规则</x:v>
      </x:c>
      <x:c r="J64" s="15" t="str">
        <x:v>A. 补充可测试的正式结论及适用范围
B. 明确本期不实现并记录后续版本范围</x:v>
      </x:c>
      <x:c r="K64" s="15" t="str">
        <x:v>确认后按最终规则补充正常、异常、边界及跨端一致性用例</x:v>
      </x:c>
      <x:c r="L64" s="16" t="str"/>
      <x:c r="M64" s="16" t="str"/>
      <x:c r="N64" s="15" t="str">
        <x:v>1. 需求待确认.md:88
2. 来源：Q132
3. 原问题或答案依赖未附截图、撤回内容或完整上下文，现有文本不足以形成确定规则</x:v>
      </x:c>
      <x:c r="O64" s="15" t="str">
        <x:v>1. 用户App 已承诺修复社交关系列表跳转。</x:v>
      </x:c>
      <x:c r="P64" s="15" t="str"/>
      <x:c r="Q64" s="15" t="str">
        <x:v>1. 需补充原始证据后再形成可测试规则</x:v>
      </x:c>
      <x:c r="R64" s="15" t="str">
        <x:v>产品</x:v>
      </x:c>
      <x:c r="S64" s="15" t="str">
        <x:v>进入对应功能测试前</x:v>
      </x:c>
      <x:c r="T64" s="15" t="str">
        <x:v>待确认</x:v>
      </x:c>
    </x:row>
    <x:row r="65" ht="96" customHeight="1">
      <x:c r="A65" s="15" t="str">
        <x:v>IDN-U-ENTRY-001</x:v>
      </x:c>
      <x:c r="B65" s="15" t="str">
        <x:v>REQ-FIN-007</x:v>
      </x:c>
      <x:c r="C65" s="15" t="str"/>
      <x:c r="D65" s="15" t="str"/>
      <x:c r="E65" s="15" t="str">
        <x:v>部分阻塞</x:v>
      </x:c>
      <x:c r="F65" s="15" t="str">
        <x:v>金币、礼物与订单</x:v>
      </x:c>
      <x:c r="G65" s="15" t="str">
        <x:v>用户App缺少可确认的当前入口：系统金额统一使用 USD</x:v>
      </x:c>
      <x:c r="H65" s="15" t="str">
        <x:v>角色与权限</x:v>
      </x:c>
      <x:c r="I65" s="15" t="str">
        <x:v>请确认 REQ-FIN-007 是否适用于用户App；如适用，请提供页面入口、执行角色和可观察位置</x:v>
      </x:c>
      <x:c r="J65" s="15" t="str">
        <x:v>A. 适用并补充明确入口
B. 本端不适用并指定覆盖端</x:v>
      </x:c>
      <x:c r="K65" s="15" t="str">
        <x:v>入口确认后再生成正式用例，不使用其他端或历史用例推定本端入口</x:v>
      </x:c>
      <x:c r="L65" s="16" t="str"/>
      <x:c r="M65" s="16" t="str"/>
      <x:c r="N65" s="15" t="str">
        <x:v>1. 需求规格说明.md:85
2. 需求：REQ-FIN-007</x:v>
      </x:c>
      <x:c r="O65" s="15" t="str">
        <x:v>1. 用户App SCN-FIN-007-01-1</x:v>
      </x:c>
      <x:c r="P65" s="15" t="str">
        <x:v>1. UWALLET-0001</x:v>
      </x:c>
      <x:c r="Q65" s="15" t="str">
        <x:v>1. 系统金额统一使用 USD</x:v>
      </x:c>
      <x:c r="R65" s="15" t="str">
        <x:v>产品</x:v>
      </x:c>
      <x:c r="S65" s="15" t="str">
        <x:v>进入对应功能测试前</x:v>
      </x:c>
      <x:c r="T65" s="15" t="str">
        <x:v>待确认</x:v>
      </x:c>
    </x:row>
  </x:sheetData>
  <x:dataValidations count="10">
    <x:dataValidation type="list" sqref="E2:E19">
      <x:formula1>"阻塞测试,部分阻塞,不阻塞"</x:formula1>
    </x:dataValidation>
    <x:dataValidation type="list" sqref="H2:H19">
      <x:formula1>"需求范围,业务规则,角色与权限,流程与状态,字段与数据校验,计算与统计口径,异常处理,跨端与跨模块一致性,配置和历史数据影响,交互与文案规则"</x:formula1>
    </x:dataValidation>
    <x:dataValidation type="list" sqref="L2:L19">
      <x:formula1>"A,B,C,D,其他"</x:formula1>
    </x:dataValidation>
    <x:dataValidation type="list" sqref="R2:R19">
      <x:formula1>"产品,交互,技术,多方确认"</x:formula1>
    </x:dataValidation>
    <x:dataValidation type="list" sqref="T2:T19">
      <x:formula1>"待前置结论,待确认,确认中,已确认,无需处理"</x:formula1>
    </x:dataValidation>
    <x:dataValidation type="list" sqref="E20:E65">
      <x:formula1>"阻塞测试,部分阻塞,不阻塞"</x:formula1>
    </x:dataValidation>
    <x:dataValidation type="list" sqref="H20:H65">
      <x:formula1>"需求范围,业务规则,角色与权限,流程与状态,字段与数据校验,计算与统计口径,异常处理,跨端与跨模块一致性,配置和历史数据影响,交互与文案规则"</x:formula1>
    </x:dataValidation>
    <x:dataValidation type="list" sqref="L20:L65">
      <x:formula1>"A,B,C,D,其他"</x:formula1>
    </x:dataValidation>
    <x:dataValidation type="list" sqref="R20:R65">
      <x:formula1>"产品,交互,技术,多方确认"</x:formula1>
    </x:dataValidation>
    <x:dataValidation type="list" sqref="T20:T65">
      <x:formula1>"待前置结论,待确认,确认中,已确认,无需处理"</x:formula1>
    </x:dataValidation>
  </x:dataValidations>
  <x:pageMargins left="0.7" right="0.7" top="0.75" bottom="0.75" header="0.3" footer="0.3"/>
  <x:tableParts count="1">
    <x:tablePart xmlns:r="http://schemas.openxmlformats.org/officeDocument/2006/relationships" r:id="R43d4bc5da715499b"/>
  </x:tableParts>
</x:worksheet>
</file>